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912" documentId="13_ncr:1_{463D126B-36EC-4AC4-BFD3-846ACE3C8DAA}" xr6:coauthVersionLast="47" xr6:coauthVersionMax="47" xr10:uidLastSave="{5134468F-250C-42FC-B3A1-D3BF6784E194}"/>
  <bookViews>
    <workbookView xWindow="-23148" yWindow="-108" windowWidth="23256" windowHeight="14016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5" i="21" l="1"/>
  <c r="AB164" i="21"/>
  <c r="AB163" i="21"/>
  <c r="AB162" i="21"/>
  <c r="AB161" i="21"/>
  <c r="AB160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Z18" i="21" l="1"/>
  <c r="Z17" i="21"/>
  <c r="Z16" i="21"/>
  <c r="Z15" i="21"/>
  <c r="Z14" i="21"/>
  <c r="Z13" i="21"/>
  <c r="Z31" i="21"/>
  <c r="Z30" i="21"/>
  <c r="Z29" i="21"/>
  <c r="Z28" i="21"/>
  <c r="Z27" i="21"/>
  <c r="Z26" i="21"/>
  <c r="Z25" i="21"/>
  <c r="Z24" i="21" s="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B155" i="21"/>
  <c r="AB154" i="21"/>
  <c r="AB150" i="21"/>
  <c r="AB131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31" i="21"/>
  <c r="AC30" i="21"/>
  <c r="AC29" i="21"/>
  <c r="AC28" i="21"/>
  <c r="AC27" i="21"/>
  <c r="AC26" i="21"/>
  <c r="AC19" i="21"/>
  <c r="AC18" i="21"/>
  <c r="AC17" i="21"/>
  <c r="AC16" i="21"/>
  <c r="AC15" i="21"/>
  <c r="AC14" i="21"/>
  <c r="AC13" i="2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P164" i="21"/>
  <c r="AU164" i="21"/>
  <c r="AU163" i="21"/>
  <c r="AU162" i="21"/>
  <c r="AU161" i="21"/>
  <c r="AU160" i="21"/>
  <c r="X164" i="21"/>
  <c r="X163" i="21"/>
  <c r="X162" i="21"/>
  <c r="X161" i="21"/>
  <c r="X160" i="21"/>
  <c r="T164" i="21"/>
  <c r="T163" i="21"/>
  <c r="T162" i="21"/>
  <c r="T161" i="21"/>
  <c r="T160" i="21"/>
  <c r="P163" i="21"/>
  <c r="P162" i="21"/>
  <c r="P161" i="21"/>
  <c r="P160" i="21"/>
  <c r="AB12" i="21" l="1"/>
  <c r="AB21" i="21" s="1"/>
  <c r="AC21" i="21" s="1"/>
  <c r="AB143" i="21"/>
  <c r="AB134" i="21" s="1"/>
  <c r="AC134" i="21" s="1"/>
  <c r="AB32" i="21"/>
  <c r="AC32" i="21" s="1"/>
  <c r="AB24" i="21"/>
  <c r="AC25" i="21"/>
  <c r="AB85" i="21"/>
  <c r="AC85" i="21" s="1"/>
  <c r="AB46" i="21"/>
  <c r="AC46" i="21" s="1"/>
  <c r="AC24" i="21"/>
  <c r="AC35" i="21"/>
  <c r="AC86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P159" i="21"/>
  <c r="V166" i="21"/>
  <c r="AQ159" i="21"/>
  <c r="R166" i="21"/>
  <c r="T159" i="21"/>
  <c r="AU159" i="21"/>
  <c r="AC12" i="21" l="1"/>
  <c r="AB23" i="2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T18" i="21"/>
  <c r="P18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Y130" i="21" s="1"/>
  <c r="X129" i="21"/>
  <c r="Y129" i="21" s="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0" i="21"/>
  <c r="T155" i="21"/>
  <c r="T154" i="21"/>
  <c r="T150" i="21"/>
  <c r="U10" i="21"/>
  <c r="P150" i="21"/>
  <c r="Q10" i="21"/>
  <c r="P155" i="21"/>
  <c r="P154" i="21"/>
  <c r="AB132" i="21" l="1"/>
  <c r="AC132" i="21" s="1"/>
  <c r="T143" i="2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AB151" i="21" l="1"/>
  <c r="AB157" i="21" s="1"/>
  <c r="Y12" i="2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AC151" i="21" l="1"/>
  <c r="AB166" i="21"/>
  <c r="AC157" i="21"/>
  <c r="Q21" i="2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1" i="21"/>
  <c r="T157" i="21"/>
  <c r="U151" i="21"/>
  <c r="Y151" i="21"/>
  <c r="X157" i="21"/>
  <c r="Y157" i="21" l="1"/>
  <c r="X166" i="21"/>
  <c r="U157" i="21"/>
  <c r="T166" i="21"/>
  <c r="Q157" i="21"/>
  <c r="P166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<sst xmlns="http://schemas.openxmlformats.org/spreadsheetml/2006/main" count="495" uniqueCount="196">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</sst>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E5"/>
          <cell r="F5">
            <v>420937.66000000003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>
            <v>15906.25</v>
          </cell>
          <cell r="E6"/>
          <cell r="F6">
            <v>18366.86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E7"/>
          <cell r="F7">
            <v>118711.39000000001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E9"/>
          <cell r="F9">
            <v>52833.82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E10"/>
          <cell r="F10">
            <v>4854.9400000000005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>
            <v>3431.3</v>
          </cell>
          <cell r="E11"/>
          <cell r="F11">
            <v>3928.26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E12"/>
          <cell r="F12">
            <v>205262.51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>
            <v>592.58999999999992</v>
          </cell>
          <cell r="F13">
            <v>63618.049999999988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>
            <v>592.58999999999992</v>
          </cell>
          <cell r="F16">
            <v>45796.639999999992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333045.58</v>
          </cell>
          <cell r="E17">
            <v>29888.55</v>
          </cell>
          <cell r="F17">
            <v>1021223.9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>
            <v>1307.92</v>
          </cell>
          <cell r="F20">
            <v>4901.28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15924.140000000001</v>
          </cell>
          <cell r="F21">
            <v>29649.43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E22"/>
          <cell r="F22">
            <v>103038.12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>
            <v>1588.1</v>
          </cell>
          <cell r="F23">
            <v>26620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44918.66</v>
          </cell>
          <cell r="E24"/>
          <cell r="F24">
            <v>132088.18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3881.96</v>
          </cell>
          <cell r="F25">
            <v>49320.149999999994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394.44</v>
          </cell>
          <cell r="E26"/>
          <cell r="F26">
            <v>31330.65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6766.4299999999994</v>
          </cell>
          <cell r="F27">
            <v>616676.28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65780.299999999988</v>
          </cell>
          <cell r="D29">
            <v>107667.2</v>
          </cell>
          <cell r="E29">
            <v>18211.009999999998</v>
          </cell>
          <cell r="F29">
            <v>279047.74999999994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225</v>
          </cell>
          <cell r="F30">
            <v>225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E33"/>
          <cell r="F33">
            <v>16785.29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>
            <v>429.46</v>
          </cell>
          <cell r="F34">
            <v>7945.3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8006.02</v>
          </cell>
          <cell r="E36"/>
          <cell r="F36">
            <v>24330.39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IPTU e Taxas Municipais CIF</v>
          </cell>
          <cell r="B37"/>
          <cell r="C37"/>
          <cell r="D37"/>
          <cell r="E37">
            <v>2430.6600000000003</v>
          </cell>
          <cell r="F37">
            <v>2430.6600000000003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de Equipamentos (Prod)</v>
          </cell>
          <cell r="B38">
            <v>2679.9199999999996</v>
          </cell>
          <cell r="C38">
            <v>9080.0500000000011</v>
          </cell>
          <cell r="D38">
            <v>50727.39</v>
          </cell>
          <cell r="E38">
            <v>5803.26</v>
          </cell>
          <cell r="F38">
            <v>68290.62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Manutenção Predial CIF</v>
          </cell>
          <cell r="B39">
            <v>22729.919999999998</v>
          </cell>
          <cell r="C39">
            <v>3526.05</v>
          </cell>
          <cell r="D39">
            <v>6703.59</v>
          </cell>
          <cell r="E39">
            <v>6172.05</v>
          </cell>
          <cell r="F39">
            <v>39131.61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Material de Limpeza CIF</v>
          </cell>
          <cell r="B40">
            <v>1649.3</v>
          </cell>
          <cell r="C40">
            <v>1675.48</v>
          </cell>
          <cell r="D40">
            <v>2109.6999999999998</v>
          </cell>
          <cell r="E40">
            <v>1239.0999999999999</v>
          </cell>
          <cell r="F40">
            <v>6673.58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Seguranca do Trabalho CIF</v>
          </cell>
          <cell r="B41">
            <v>2316.15</v>
          </cell>
          <cell r="C41">
            <v>2405.31</v>
          </cell>
          <cell r="D41">
            <v>2405.31</v>
          </cell>
          <cell r="E41"/>
          <cell r="F41">
            <v>7126.77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Medicina e Segurança do Trabalho MOD</v>
          </cell>
          <cell r="B42"/>
          <cell r="C42"/>
          <cell r="D42">
            <v>180</v>
          </cell>
          <cell r="E42"/>
          <cell r="F42">
            <v>180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Salarios e Ordenados CIF</v>
          </cell>
          <cell r="B43">
            <v>36962.579999999994</v>
          </cell>
          <cell r="C43">
            <v>30986.82</v>
          </cell>
          <cell r="D43">
            <v>28474.9</v>
          </cell>
          <cell r="E43">
            <v>595.26</v>
          </cell>
          <cell r="F43">
            <v>97019.559999999983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Seguro de Vida CIF</v>
          </cell>
          <cell r="B44">
            <v>361.18</v>
          </cell>
          <cell r="C44">
            <v>243.78000000000003</v>
          </cell>
          <cell r="D44">
            <v>272.03999999999996</v>
          </cell>
          <cell r="E44"/>
          <cell r="F44">
            <v>877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4 - GASTOS COM PESSOAL</v>
          </cell>
          <cell r="B45">
            <v>162457.65999999997</v>
          </cell>
          <cell r="C45">
            <v>172282.52000000005</v>
          </cell>
          <cell r="D45">
            <v>186773.47999999998</v>
          </cell>
          <cell r="E45">
            <v>41565.769999999997</v>
          </cell>
          <cell r="F45">
            <v>563079.43000000005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Assistência Médica (Adm)</v>
          </cell>
          <cell r="B46"/>
          <cell r="C46">
            <v>75</v>
          </cell>
          <cell r="D46"/>
          <cell r="E46"/>
          <cell r="F46">
            <v>75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Confraternização</v>
          </cell>
          <cell r="B47">
            <v>3330.86</v>
          </cell>
          <cell r="C47">
            <v>369.46000000000004</v>
          </cell>
          <cell r="D47">
            <v>1065.51</v>
          </cell>
          <cell r="E47">
            <v>170.15</v>
          </cell>
          <cell r="F47">
            <v>4935.9799999999996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Cursos e Treinamentos (Adm)</v>
          </cell>
          <cell r="B48">
            <v>2231.33</v>
          </cell>
          <cell r="C48">
            <v>4424.49</v>
          </cell>
          <cell r="D48">
            <v>1873.7600000000002</v>
          </cell>
          <cell r="E48">
            <v>1197.0999999999999</v>
          </cell>
          <cell r="F48">
            <v>9726.68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Ferias (Adm)</v>
          </cell>
          <cell r="B49"/>
          <cell r="C49">
            <v>297.89999999999998</v>
          </cell>
          <cell r="D49">
            <v>1372.31</v>
          </cell>
          <cell r="E49">
            <v>1529.83</v>
          </cell>
          <cell r="F49">
            <v>3200.04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FGTS (Adm)</v>
          </cell>
          <cell r="B50">
            <v>8774.5499999999993</v>
          </cell>
          <cell r="C50">
            <v>9673.7099999999991</v>
          </cell>
          <cell r="D50">
            <v>9088.76</v>
          </cell>
          <cell r="E50"/>
          <cell r="F50">
            <v>27537.019999999997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Gratificações (Adm)</v>
          </cell>
          <cell r="B51">
            <v>2919.01</v>
          </cell>
          <cell r="C51">
            <v>4519.01</v>
          </cell>
          <cell r="D51">
            <v>4955.24</v>
          </cell>
          <cell r="E51">
            <v>1980.24</v>
          </cell>
          <cell r="F51">
            <v>14373.5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INSS (Adm)</v>
          </cell>
          <cell r="B52">
            <v>22949.23</v>
          </cell>
          <cell r="C52">
            <v>17763.09</v>
          </cell>
          <cell r="D52">
            <v>20718.489999999998</v>
          </cell>
          <cell r="E52"/>
          <cell r="F52">
            <v>61430.81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Manutenção Predial (Adm)</v>
          </cell>
          <cell r="B53">
            <v>2233.96</v>
          </cell>
          <cell r="C53">
            <v>2457.64</v>
          </cell>
          <cell r="D53">
            <v>1143.7600000000002</v>
          </cell>
          <cell r="E53">
            <v>98</v>
          </cell>
          <cell r="F53">
            <v>5933.3600000000006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Pró-Labore</v>
          </cell>
          <cell r="B54">
            <v>64498.680000000008</v>
          </cell>
          <cell r="C54">
            <v>60318.180000000008</v>
          </cell>
          <cell r="D54">
            <v>59830.189999999995</v>
          </cell>
          <cell r="E54">
            <v>30930.639999999999</v>
          </cell>
          <cell r="F54">
            <v>215577.69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Rescisões (Adm)</v>
          </cell>
          <cell r="B55">
            <v>879.73</v>
          </cell>
          <cell r="C55"/>
          <cell r="D55">
            <v>11928.27</v>
          </cell>
          <cell r="E55"/>
          <cell r="F55">
            <v>12808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Salarios e Ordenados (Adm)</v>
          </cell>
          <cell r="B56">
            <v>53990.009999999995</v>
          </cell>
          <cell r="C56">
            <v>71662.62000000001</v>
          </cell>
          <cell r="D56">
            <v>74200.570000000007</v>
          </cell>
          <cell r="E56">
            <v>5659.81</v>
          </cell>
          <cell r="F56">
            <v>205513.01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Seguro de Vida (Adm)</v>
          </cell>
          <cell r="B57">
            <v>650.30000000000007</v>
          </cell>
          <cell r="C57">
            <v>721.42000000000007</v>
          </cell>
          <cell r="D57">
            <v>596.62</v>
          </cell>
          <cell r="E57"/>
          <cell r="F57">
            <v>1968.3400000000001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5 - DESPESAS ADMINISTRATIVAS</v>
          </cell>
          <cell r="B58">
            <v>16694.399999999998</v>
          </cell>
          <cell r="C58">
            <v>18621.319999999996</v>
          </cell>
          <cell r="D58">
            <v>17985.82</v>
          </cell>
          <cell r="E58">
            <v>4876.7999999999993</v>
          </cell>
          <cell r="F58">
            <v>58178.34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Água</v>
          </cell>
          <cell r="B59">
            <v>32.229999999999997</v>
          </cell>
          <cell r="C59">
            <v>32.229999999999997</v>
          </cell>
          <cell r="D59">
            <v>32.229999999999997</v>
          </cell>
          <cell r="E59"/>
          <cell r="F59">
            <v>96.69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Alimentação</v>
          </cell>
          <cell r="B60">
            <v>295.60000000000002</v>
          </cell>
          <cell r="C60">
            <v>338.73</v>
          </cell>
          <cell r="D60">
            <v>782.8</v>
          </cell>
          <cell r="E60">
            <v>607.5</v>
          </cell>
          <cell r="F60">
            <v>2024.63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Aluguel de Imóvel</v>
          </cell>
          <cell r="B61">
            <v>800</v>
          </cell>
          <cell r="C61">
            <v>900</v>
          </cell>
          <cell r="D61">
            <v>900</v>
          </cell>
          <cell r="E61">
            <v>900</v>
          </cell>
          <cell r="F61">
            <v>3500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Combustíveis (Adm)</v>
          </cell>
          <cell r="B62">
            <v>511.23</v>
          </cell>
          <cell r="C62">
            <v>981.08999999999992</v>
          </cell>
          <cell r="D62">
            <v>780.64</v>
          </cell>
          <cell r="E62"/>
          <cell r="F62">
            <v>2272.96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Copa</v>
          </cell>
          <cell r="B63">
            <v>15.99</v>
          </cell>
          <cell r="C63">
            <v>368.6</v>
          </cell>
          <cell r="D63">
            <v>150.63</v>
          </cell>
          <cell r="E63"/>
          <cell r="F63">
            <v>535.22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Despesas Cartorárias</v>
          </cell>
          <cell r="B64">
            <v>432.21</v>
          </cell>
          <cell r="C64">
            <v>511.6699999999999</v>
          </cell>
          <cell r="D64">
            <v>350.68</v>
          </cell>
          <cell r="E64"/>
          <cell r="F64">
            <v>1294.56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Doações</v>
          </cell>
          <cell r="B65">
            <v>100</v>
          </cell>
          <cell r="C65">
            <v>100</v>
          </cell>
          <cell r="D65">
            <v>100</v>
          </cell>
          <cell r="E65"/>
          <cell r="F65">
            <v>300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Energia Eletrica (Adm)</v>
          </cell>
          <cell r="B66">
            <v>98.41</v>
          </cell>
          <cell r="C66">
            <v>91.95</v>
          </cell>
          <cell r="D66"/>
          <cell r="E66"/>
          <cell r="F66">
            <v>190.36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Expediente (Adm)</v>
          </cell>
          <cell r="B67">
            <v>111.89</v>
          </cell>
          <cell r="C67">
            <v>373.27</v>
          </cell>
          <cell r="D67">
            <v>382.17</v>
          </cell>
          <cell r="E67">
            <v>388.82</v>
          </cell>
          <cell r="F67">
            <v>1256.1499999999999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Material de Limpeza (Adm)</v>
          </cell>
          <cell r="B68">
            <v>367.37</v>
          </cell>
          <cell r="C68">
            <v>577.9</v>
          </cell>
          <cell r="D68">
            <v>427.23</v>
          </cell>
          <cell r="E68">
            <v>448.1</v>
          </cell>
          <cell r="F68">
            <v>1820.6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Rastreamento de frota</v>
          </cell>
          <cell r="B69">
            <v>370</v>
          </cell>
          <cell r="C69">
            <v>370</v>
          </cell>
          <cell r="D69">
            <v>370</v>
          </cell>
          <cell r="E69">
            <v>370</v>
          </cell>
          <cell r="F69">
            <v>1480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Seguros Veicular</v>
          </cell>
          <cell r="B70">
            <v>11212.419999999998</v>
          </cell>
          <cell r="C70">
            <v>11212.419999999998</v>
          </cell>
          <cell r="D70">
            <v>11212.419999999998</v>
          </cell>
          <cell r="E70">
            <v>1697.48</v>
          </cell>
          <cell r="F70">
            <v>35334.74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SPC/Serasa/Associacao</v>
          </cell>
          <cell r="B71">
            <v>351</v>
          </cell>
          <cell r="C71">
            <v>617.44000000000005</v>
          </cell>
          <cell r="D71">
            <v>351</v>
          </cell>
          <cell r="E71"/>
          <cell r="F71">
            <v>1319.44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Telefone e Internet</v>
          </cell>
          <cell r="B72">
            <v>1996.0500000000002</v>
          </cell>
          <cell r="C72">
            <v>2146.02</v>
          </cell>
          <cell r="D72">
            <v>2146.02</v>
          </cell>
          <cell r="E72">
            <v>464.9</v>
          </cell>
          <cell r="F72">
            <v>6752.99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6 - DESPESA COM VENDAS</v>
          </cell>
          <cell r="B73">
            <v>401746.28999999986</v>
          </cell>
          <cell r="C73">
            <v>315472.21000000002</v>
          </cell>
          <cell r="D73">
            <v>386839.54000000004</v>
          </cell>
          <cell r="E73">
            <v>132470.43</v>
          </cell>
          <cell r="F73">
            <v>1236528.47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Brindes</v>
          </cell>
          <cell r="B74">
            <v>1368</v>
          </cell>
          <cell r="C74"/>
          <cell r="D74"/>
          <cell r="E74"/>
          <cell r="F74">
            <v>1368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Carregamento</v>
          </cell>
          <cell r="B75">
            <v>1955</v>
          </cell>
          <cell r="C75">
            <v>2415</v>
          </cell>
          <cell r="D75">
            <v>3042.48</v>
          </cell>
          <cell r="E75"/>
          <cell r="F75">
            <v>7412.48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Combustiveis Frota</v>
          </cell>
          <cell r="B76">
            <v>41074.299999999996</v>
          </cell>
          <cell r="C76">
            <v>47569.919999999998</v>
          </cell>
          <cell r="D76">
            <v>69230.98000000001</v>
          </cell>
          <cell r="E76">
            <v>26021.809999999998</v>
          </cell>
          <cell r="F76">
            <v>183897.01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Externo</v>
          </cell>
          <cell r="B77">
            <v>117100.21999999996</v>
          </cell>
          <cell r="C77">
            <v>78726.199999999983</v>
          </cell>
          <cell r="D77">
            <v>88339.049999999988</v>
          </cell>
          <cell r="E77">
            <v>54220.92</v>
          </cell>
          <cell r="F77">
            <v>338386.3899999999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Comissões sobre Vendas Interno</v>
          </cell>
          <cell r="B78">
            <v>7224.44</v>
          </cell>
          <cell r="C78">
            <v>5041.3999999999996</v>
          </cell>
          <cell r="D78">
            <v>10515.810000000001</v>
          </cell>
          <cell r="E78">
            <v>8548.01</v>
          </cell>
          <cell r="F78">
            <v>31329.660000000003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Consultoria Comercial</v>
          </cell>
          <cell r="B79">
            <v>13677.889999999998</v>
          </cell>
          <cell r="C79">
            <v>10422.07</v>
          </cell>
          <cell r="D79">
            <v>13862.09</v>
          </cell>
          <cell r="E79">
            <v>25253.83</v>
          </cell>
          <cell r="F79">
            <v>63215.880000000005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Desenvolvimento de Novos Produtos</v>
          </cell>
          <cell r="B80">
            <v>24000</v>
          </cell>
          <cell r="C80">
            <v>24000</v>
          </cell>
          <cell r="D80">
            <v>24000</v>
          </cell>
          <cell r="E80"/>
          <cell r="F80">
            <v>72000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Feiras e Eventos</v>
          </cell>
          <cell r="B81">
            <v>119279.42999999996</v>
          </cell>
          <cell r="C81">
            <v>38472.950000000004</v>
          </cell>
          <cell r="D81">
            <v>41728.47</v>
          </cell>
          <cell r="E81">
            <v>1333.77</v>
          </cell>
          <cell r="F81">
            <v>200814.61999999997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</v>
          </cell>
          <cell r="B82"/>
          <cell r="C82">
            <v>2334.16</v>
          </cell>
          <cell r="D82">
            <v>709</v>
          </cell>
          <cell r="E82"/>
          <cell r="F82">
            <v>3043.16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Ass. Técnica</v>
          </cell>
          <cell r="B83">
            <v>673.06999999999994</v>
          </cell>
          <cell r="C83">
            <v>1644.02</v>
          </cell>
          <cell r="D83">
            <v>420.81</v>
          </cell>
          <cell r="E83"/>
          <cell r="F83">
            <v>2737.9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Fretes Karams</v>
          </cell>
          <cell r="B84">
            <v>9673.85</v>
          </cell>
          <cell r="C84">
            <v>18654.349999999999</v>
          </cell>
          <cell r="D84">
            <v>19808.55</v>
          </cell>
          <cell r="E84">
            <v>6003</v>
          </cell>
          <cell r="F84">
            <v>54139.75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IPVA e Licenciamento</v>
          </cell>
          <cell r="B85">
            <v>4296.6099999999997</v>
          </cell>
          <cell r="C85">
            <v>4296.6099999999997</v>
          </cell>
          <cell r="D85">
            <v>4296.6099999999997</v>
          </cell>
          <cell r="E85">
            <v>610.55999999999995</v>
          </cell>
          <cell r="F85">
            <v>13500.389999999998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Mostruário de Tecido</v>
          </cell>
          <cell r="B86">
            <v>7122.33</v>
          </cell>
          <cell r="C86">
            <v>4005.16</v>
          </cell>
          <cell r="D86">
            <v>4874.22</v>
          </cell>
          <cell r="E86">
            <v>2254.29</v>
          </cell>
          <cell r="F86">
            <v>18256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Multas de Trânsito</v>
          </cell>
          <cell r="B87">
            <v>260.32</v>
          </cell>
          <cell r="C87">
            <v>260.32</v>
          </cell>
          <cell r="D87">
            <v>1564.33</v>
          </cell>
          <cell r="E87">
            <v>667.02</v>
          </cell>
          <cell r="F87">
            <v>2751.99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Pedágio Frota</v>
          </cell>
          <cell r="B88">
            <v>4450.1000000000004</v>
          </cell>
          <cell r="C88">
            <v>10141.98</v>
          </cell>
          <cell r="D88">
            <v>9958.6499999999978</v>
          </cell>
          <cell r="E88"/>
          <cell r="F88">
            <v>24550.729999999996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Publicidade e Propaganda</v>
          </cell>
          <cell r="B89">
            <v>1965</v>
          </cell>
          <cell r="C89">
            <v>1965</v>
          </cell>
          <cell r="D89">
            <v>7759.59</v>
          </cell>
          <cell r="E89">
            <v>2280.7200000000003</v>
          </cell>
          <cell r="F89">
            <v>13970.310000000001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Royalties</v>
          </cell>
          <cell r="B90">
            <v>35699.840000000004</v>
          </cell>
          <cell r="C90">
            <v>45445.030000000006</v>
          </cell>
          <cell r="D90">
            <v>61558.19</v>
          </cell>
          <cell r="E90"/>
          <cell r="F90">
            <v>142703.06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Viagens e Estadias c/ Vendas</v>
          </cell>
          <cell r="B91">
            <v>738.16</v>
          </cell>
          <cell r="C91">
            <v>1807.69</v>
          </cell>
          <cell r="D91">
            <v>2500</v>
          </cell>
          <cell r="E91">
            <v>118.65</v>
          </cell>
          <cell r="F91">
            <v>5164.5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Manutenção com veiculos</v>
          </cell>
          <cell r="B92">
            <v>11187.73</v>
          </cell>
          <cell r="C92">
            <v>18270.349999999999</v>
          </cell>
          <cell r="D92">
            <v>22670.71</v>
          </cell>
          <cell r="E92">
            <v>5157.8499999999995</v>
          </cell>
          <cell r="F92">
            <v>57286.639999999992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7 - SERVIÇOS DE TERCEIROS</v>
          </cell>
          <cell r="B93">
            <v>74180.06</v>
          </cell>
          <cell r="C93">
            <v>63742.03</v>
          </cell>
          <cell r="D93">
            <v>67412.58</v>
          </cell>
          <cell r="E93">
            <v>35740.800000000003</v>
          </cell>
          <cell r="F93">
            <v>241075.47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Empresarial</v>
          </cell>
          <cell r="B94">
            <v>16033.429999999998</v>
          </cell>
          <cell r="C94">
            <v>14452.9</v>
          </cell>
          <cell r="D94">
            <v>20130.41</v>
          </cell>
          <cell r="E94">
            <v>5008.41</v>
          </cell>
          <cell r="F94">
            <v>55625.149999999994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Consultoria Juridica</v>
          </cell>
          <cell r="B95">
            <v>6035.41</v>
          </cell>
          <cell r="C95">
            <v>6035.41</v>
          </cell>
          <cell r="D95">
            <v>6035.41</v>
          </cell>
          <cell r="E95"/>
          <cell r="F95">
            <v>18106.23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Contabilidade</v>
          </cell>
          <cell r="B96">
            <v>11823</v>
          </cell>
          <cell r="C96">
            <v>11880</v>
          </cell>
          <cell r="D96">
            <v>12244</v>
          </cell>
          <cell r="E96">
            <v>6748</v>
          </cell>
          <cell r="F96">
            <v>42695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Curadoria</v>
          </cell>
          <cell r="B97">
            <v>8966</v>
          </cell>
          <cell r="C97">
            <v>9436</v>
          </cell>
          <cell r="D97">
            <v>9436</v>
          </cell>
          <cell r="E97">
            <v>4718</v>
          </cell>
          <cell r="F97">
            <v>32556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Outros Serviços de Terceiros</v>
          </cell>
          <cell r="B98">
            <v>6685.8499999999995</v>
          </cell>
          <cell r="C98">
            <v>9350</v>
          </cell>
          <cell r="D98">
            <v>7769.93</v>
          </cell>
          <cell r="E98">
            <v>5200</v>
          </cell>
          <cell r="F98">
            <v>29005.78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Sistemas de Informação</v>
          </cell>
          <cell r="B99">
            <v>23441.37</v>
          </cell>
          <cell r="C99">
            <v>11505.72</v>
          </cell>
          <cell r="D99">
            <v>10818.33</v>
          </cell>
          <cell r="E99">
            <v>6648.3899999999994</v>
          </cell>
          <cell r="F99">
            <v>52413.81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Vigilancia e Seguranca</v>
          </cell>
          <cell r="B100">
            <v>1195</v>
          </cell>
          <cell r="C100">
            <v>1082</v>
          </cell>
          <cell r="D100">
            <v>978.5</v>
          </cell>
          <cell r="E100">
            <v>418</v>
          </cell>
          <cell r="F100">
            <v>3673.5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Consultoria Tributaria</v>
          </cell>
          <cell r="B101"/>
          <cell r="C101"/>
          <cell r="D101"/>
          <cell r="E101">
            <v>7000</v>
          </cell>
          <cell r="F101">
            <v>7000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8 - DESPESAS FINANCEIRAS</v>
          </cell>
          <cell r="B102">
            <v>56553.34</v>
          </cell>
          <cell r="C102">
            <v>61446.999999999985</v>
          </cell>
          <cell r="D102">
            <v>55657.97</v>
          </cell>
          <cell r="E102">
            <v>38094.359999999993</v>
          </cell>
          <cell r="F102">
            <v>211752.66999999998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Bancarias</v>
          </cell>
          <cell r="B103">
            <v>9652.9900000000034</v>
          </cell>
          <cell r="C103">
            <v>9775.6499999999905</v>
          </cell>
          <cell r="D103">
            <v>9300.989999999998</v>
          </cell>
          <cell r="E103">
            <v>5789.5699999999988</v>
          </cell>
          <cell r="F103">
            <v>34519.19999999999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Despesas de Cobranca</v>
          </cell>
          <cell r="B104">
            <v>143.60000000000002</v>
          </cell>
          <cell r="C104">
            <v>95.93</v>
          </cell>
          <cell r="D104">
            <v>251.57000000000002</v>
          </cell>
          <cell r="E104">
            <v>123.10000000000001</v>
          </cell>
          <cell r="F104">
            <v>614.20000000000005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Despesas de Outros Gastos Não Operacionais</v>
          </cell>
          <cell r="B105">
            <v>6672.09</v>
          </cell>
          <cell r="C105">
            <v>11317.74</v>
          </cell>
          <cell r="D105">
            <v>13530.41</v>
          </cell>
          <cell r="E105">
            <v>8.9</v>
          </cell>
          <cell r="F105">
            <v>31529.140000000003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Insumos de Clientes</v>
          </cell>
          <cell r="B106">
            <v>10463.530000000001</v>
          </cell>
          <cell r="C106">
            <v>10819.31</v>
          </cell>
          <cell r="D106">
            <v>3571.8999999999996</v>
          </cell>
          <cell r="E106">
            <v>15149.56</v>
          </cell>
          <cell r="F106">
            <v>40004.299999999996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Juros Pagos</v>
          </cell>
          <cell r="B107"/>
          <cell r="C107">
            <v>95.75</v>
          </cell>
          <cell r="D107"/>
          <cell r="E107"/>
          <cell r="F107">
            <v>95.75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Juros Pagos - Antecipação de Crédito</v>
          </cell>
          <cell r="B108">
            <v>29621.129999999994</v>
          </cell>
          <cell r="C108">
            <v>29342.62</v>
          </cell>
          <cell r="D108">
            <v>29003.100000000002</v>
          </cell>
          <cell r="E108">
            <v>17023.229999999996</v>
          </cell>
          <cell r="F108">
            <v>104990.07999999999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9 - INVESTIMENTOS</v>
          </cell>
          <cell r="B109">
            <v>53166.43</v>
          </cell>
          <cell r="C109">
            <v>26411.83</v>
          </cell>
          <cell r="D109">
            <v>26833.7</v>
          </cell>
          <cell r="E109">
            <v>6216.37</v>
          </cell>
          <cell r="F109">
            <v>112628.33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Computadores e Periféricos</v>
          </cell>
          <cell r="B110">
            <v>9551.4999999999982</v>
          </cell>
          <cell r="C110">
            <v>4960.7299999999996</v>
          </cell>
          <cell r="D110">
            <v>2407.11</v>
          </cell>
          <cell r="E110">
            <v>1222.06</v>
          </cell>
          <cell r="F110">
            <v>18141.399999999998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Consórcios</v>
          </cell>
          <cell r="B111">
            <v>3037.44</v>
          </cell>
          <cell r="C111">
            <v>3037.44</v>
          </cell>
          <cell r="D111">
            <v>3037.44</v>
          </cell>
          <cell r="E111">
            <v>3037.44</v>
          </cell>
          <cell r="F111">
            <v>12149.76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Construções e Reformas</v>
          </cell>
          <cell r="B112">
            <v>14634.46</v>
          </cell>
          <cell r="C112">
            <v>5089.95</v>
          </cell>
          <cell r="D112">
            <v>2570</v>
          </cell>
          <cell r="E112"/>
          <cell r="F112">
            <v>22294.41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Maquinas e Equipamentos</v>
          </cell>
          <cell r="B113">
            <v>25943.030000000002</v>
          </cell>
          <cell r="C113">
            <v>13323.710000000001</v>
          </cell>
          <cell r="D113">
            <v>14734.15</v>
          </cell>
          <cell r="E113">
            <v>1956.87</v>
          </cell>
          <cell r="F113">
            <v>55957.760000000009</v>
          </cell>
          <cell r="G113"/>
          <cell r="H113"/>
          <cell r="I113"/>
          <cell r="J113"/>
          <cell r="K113"/>
          <cell r="L113"/>
          <cell r="M113"/>
        </row>
        <row r="114">
          <cell r="A114" t="str">
            <v>Moveis e Utensilios</v>
          </cell>
          <cell r="B114"/>
          <cell r="C114"/>
          <cell r="D114">
            <v>4085</v>
          </cell>
          <cell r="E114"/>
          <cell r="F114">
            <v>4085</v>
          </cell>
          <cell r="G114"/>
          <cell r="H114"/>
          <cell r="I114"/>
          <cell r="J114"/>
          <cell r="K114"/>
          <cell r="L114"/>
          <cell r="M114"/>
        </row>
        <row r="115">
          <cell r="A115" t="str">
            <v>Total Geral</v>
          </cell>
          <cell r="B115">
            <v>1297618.3500000003</v>
          </cell>
          <cell r="C115">
            <v>1221760.2699999996</v>
          </cell>
          <cell r="D115">
            <v>1381034.77</v>
          </cell>
          <cell r="E115">
            <v>307656.68</v>
          </cell>
          <cell r="F115">
            <v>4208070.07</v>
          </cell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P53" activePane="bottomRight" state="frozen"/>
      <selection pane="topRight" activeCell="F1" sqref="F1"/>
      <selection pane="bottomLeft" activeCell="A9" sqref="A9"/>
      <selection pane="bottomRight" activeCell="I23" sqref="I23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53" t="s">
        <v>157</v>
      </c>
      <c r="O4" s="53"/>
      <c r="P4" s="54" t="s">
        <v>158</v>
      </c>
      <c r="Q4" s="54"/>
      <c r="R4" s="44" t="s">
        <v>157</v>
      </c>
      <c r="S4" s="43"/>
      <c r="T4" s="54" t="s">
        <v>158</v>
      </c>
      <c r="U4" s="54"/>
      <c r="V4" s="44" t="s">
        <v>157</v>
      </c>
      <c r="W4" s="43"/>
      <c r="X4" s="54" t="s">
        <v>158</v>
      </c>
      <c r="Y4" s="54"/>
      <c r="Z4" s="44" t="s">
        <v>157</v>
      </c>
      <c r="AA4" s="43"/>
      <c r="AB4" s="54" t="s">
        <v>158</v>
      </c>
      <c r="AC4" s="54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732125.8</v>
      </c>
      <c r="AC10" s="14">
        <f>AB10/Z10-1</f>
        <v>-0.70072237372620094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0</v>
      </c>
      <c r="AC12" s="14">
        <f t="shared" ref="AC12:AC19" si="3">IFERROR((AB12*-1)/Z12-1,"")</f>
        <v>-1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1">
        <f t="shared" ref="R13:R18" si="5"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51">
        <f t="shared" ref="Z13:Z18" si="7">AB$10*$F13</f>
        <v>-19181.695960000001</v>
      </c>
      <c r="AA13" s="15">
        <v>-2.6200000000000001E-2</v>
      </c>
      <c r="AB13" s="6">
        <f>IFERROR(VLOOKUP($I13,[1]RESUMO!$A$5:$M$150,5,FALSE),"")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1">
        <f t="shared" si="5"/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1">
        <f t="shared" si="6"/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51">
        <f t="shared" si="7"/>
        <v>-18046.900969999999</v>
      </c>
      <c r="AA14" s="15">
        <v>-2.4649999999999998E-2</v>
      </c>
      <c r="AB14" s="6">
        <f>IFERROR(VLOOKUP($I14,[1]RESUMO!$A$5:$M$150,5,FALSE),"")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1">
        <f t="shared" si="5"/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51">
        <f t="shared" si="7"/>
        <v>-2013.3459499999999</v>
      </c>
      <c r="AA15" s="15">
        <v>-2.7499999999999998E-3</v>
      </c>
      <c r="AB15" s="6">
        <f>IFERROR(VLOOKUP($I15,[1]RESUMO!$A$5:$M$150,5,FALSE),"")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1">
        <f t="shared" si="5"/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1">
        <f t="shared" si="6"/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51">
        <f t="shared" si="7"/>
        <v>-7760.533480000001</v>
      </c>
      <c r="AA16" s="15">
        <v>-1.06E-2</v>
      </c>
      <c r="AB16" s="6">
        <f>IFERROR(VLOOKUP($I16,[1]RESUMO!$A$5:$M$150,5,FALSE),"")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1">
        <f t="shared" si="5"/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51">
        <f t="shared" si="7"/>
        <v>-9334.6039500000006</v>
      </c>
      <c r="AA17" s="15">
        <v>-1.2750000000000001E-2</v>
      </c>
      <c r="AB17" s="6">
        <f>IFERROR(VLOOKUP($I17,[1]RESUMO!$A$5:$M$150,5,FALSE),"")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1">
        <f t="shared" si="5"/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8">IFERROR((T18*-1)/R18-1,"")</f>
        <v>-0.1434810823216397</v>
      </c>
      <c r="V18" s="51">
        <f t="shared" si="6"/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9">IFERROR((X18*-1)/V18-1,"")</f>
        <v>-0.13935220618344279</v>
      </c>
      <c r="Z18" s="51">
        <f t="shared" si="7"/>
        <v>-622.30693000000008</v>
      </c>
      <c r="AA18" s="15">
        <v>-8.5000000000000006E-4</v>
      </c>
      <c r="AB18" s="6">
        <f>IFERROR(VLOOKUP($I18,[1]RESUMO!$A$5:$M$150,5,FALSE),"")</f>
        <v>0</v>
      </c>
      <c r="AC18" s="46">
        <f t="shared" si="3"/>
        <v>-1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10">IFERROR((P19*-1)/N19-1,"")</f>
        <v/>
      </c>
      <c r="R19" s="51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IFERROR(VLOOKUP($I19,[1]RESUMO!$A$5:$M$150,5,FALSE),"")</f>
        <v>0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732125.8</v>
      </c>
      <c r="AC21" s="14">
        <f>AB21/Z21-1</f>
        <v>-0.67547427209520827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1278370.5500000003</v>
      </c>
      <c r="U23" s="14">
        <f>IFERROR((T23*-1)/R23-1,"")</f>
        <v>3.6972167786801124E-2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366735.60000000003</v>
      </c>
      <c r="AC23" s="14">
        <f>IFERROR((AB23*-1)/Z23-1,"")</f>
        <v>-0.73556345792898536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2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-282271.10219000006</v>
      </c>
      <c r="AA24" s="13">
        <v>-0.38554999999999995</v>
      </c>
      <c r="AB24" s="8">
        <f>SUM(AB25:AB31)</f>
        <v>318636.04000000004</v>
      </c>
      <c r="AC24" s="45">
        <f>IFERROR((AB24*-1)/Z24-1,"")</f>
        <v>0.12882982894055628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1">P$10*$F25</f>
        <v>-124607.76184500004</v>
      </c>
      <c r="O25" s="15">
        <v>-8.2750000000000004E-2</v>
      </c>
      <c r="P25" s="47">
        <v>561916.11</v>
      </c>
      <c r="Q25" s="46">
        <f t="shared" ref="Q25:Q62" si="12">IFERROR((P25*-1)/N25-1,"")</f>
        <v>3.5094791984063489</v>
      </c>
      <c r="R25" s="51">
        <f t="shared" ref="R25:R31" si="13">T$10*$F25</f>
        <v>-169365.37083250002</v>
      </c>
      <c r="S25" s="15">
        <v>-8.2750000000000004E-2</v>
      </c>
      <c r="T25" s="47">
        <v>830151.62000000011</v>
      </c>
      <c r="U25" s="46">
        <f t="shared" ref="U25:U31" si="14">IFERROR((T25*-1)/R25-1,"")</f>
        <v>3.9015428355836006</v>
      </c>
      <c r="V25" s="51">
        <f t="shared" ref="V25:V31" si="15">X$10*$F25</f>
        <v>-217321.64134999996</v>
      </c>
      <c r="W25" s="15">
        <v>-8.2750000000000004E-2</v>
      </c>
      <c r="X25" s="47">
        <v>1009819.8799999997</v>
      </c>
      <c r="Y25" s="46">
        <f t="shared" ref="Y25:Y31" si="16">IFERROR((X25*-1)/V25-1,"")</f>
        <v>3.6466604693716107</v>
      </c>
      <c r="Z25" s="51">
        <f t="shared" ref="Z25:Z31" si="17">AB$10*$F25</f>
        <v>-60583.409950000008</v>
      </c>
      <c r="AA25" s="15">
        <v>-8.2750000000000004E-2</v>
      </c>
      <c r="AB25" s="47">
        <v>318043.45</v>
      </c>
      <c r="AC25" s="46">
        <f t="shared" ref="AC25:AC31" si="18">IFERROR((AB25*-1)/Z25-1,"")</f>
        <v>4.2496789180814334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1"/>
        <v>0</v>
      </c>
      <c r="O26" s="15">
        <v>0</v>
      </c>
      <c r="P26" s="6">
        <f>IFERROR(VLOOKUP($I26,[1]RESUMO!$A$5:$M$150,2,FALSE),"")</f>
        <v>564</v>
      </c>
      <c r="Q26" s="46" t="str">
        <f t="shared" ref="Q26" si="19">IFERROR((P26*-1)/N26-1,"")</f>
        <v/>
      </c>
      <c r="R26" s="51">
        <f t="shared" si="13"/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20">IFERROR((T26*-1)/R26-1,"")</f>
        <v/>
      </c>
      <c r="V26" s="51">
        <f t="shared" si="15"/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21">IFERROR((X26*-1)/V26-1,"")</f>
        <v/>
      </c>
      <c r="Z26" s="51">
        <f t="shared" si="17"/>
        <v>0</v>
      </c>
      <c r="AA26" s="15">
        <v>0</v>
      </c>
      <c r="AB26" s="6">
        <f>IFERROR(VLOOKUP($I26,[1]RESUMO!$A$5:$M$150,5,FALSE),"")</f>
        <v>0</v>
      </c>
      <c r="AC26" s="46" t="str">
        <f t="shared" si="18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1"/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12"/>
        <v/>
      </c>
      <c r="R27" s="51">
        <f t="shared" si="13"/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14"/>
        <v/>
      </c>
      <c r="V27" s="51">
        <f t="shared" si="15"/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16"/>
        <v/>
      </c>
      <c r="Z27" s="51">
        <f t="shared" si="17"/>
        <v>-76809.147992500002</v>
      </c>
      <c r="AA27" s="15">
        <v>-0.10491250000000001</v>
      </c>
      <c r="AB27" s="6" t="str">
        <f>IFERROR(VLOOKUP($I27,[1]RESUMO!$A$5:$M$150,5,FALSE),"")</f>
        <v/>
      </c>
      <c r="AC27" s="46" t="str">
        <f t="shared" si="18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1"/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12"/>
        <v/>
      </c>
      <c r="R28" s="51">
        <f t="shared" si="13"/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14"/>
        <v/>
      </c>
      <c r="V28" s="51">
        <f t="shared" si="15"/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16"/>
        <v/>
      </c>
      <c r="Z28" s="51">
        <f t="shared" si="17"/>
        <v>-54451.856374999988</v>
      </c>
      <c r="AA28" s="15">
        <v>-7.4374999999999983E-2</v>
      </c>
      <c r="AB28" s="6" t="str">
        <f>IFERROR(VLOOKUP($I28,[1]RESUMO!$A$5:$M$150,5,FALSE),"")</f>
        <v/>
      </c>
      <c r="AC28" s="46" t="str">
        <f t="shared" si="18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1"/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12"/>
        <v/>
      </c>
      <c r="R29" s="51">
        <f t="shared" si="13"/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14"/>
        <v/>
      </c>
      <c r="V29" s="51">
        <f t="shared" si="15"/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16"/>
        <v/>
      </c>
      <c r="Z29" s="51">
        <f t="shared" si="17"/>
        <v>-41538.987577499996</v>
      </c>
      <c r="AA29" s="15">
        <v>-5.6737499999999996E-2</v>
      </c>
      <c r="AB29" s="6" t="str">
        <f>IFERROR(VLOOKUP($I29,[1]RESUMO!$A$5:$M$150,5,FALSE),"")</f>
        <v/>
      </c>
      <c r="AC29" s="46" t="str">
        <f t="shared" si="18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1"/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12"/>
        <v>-0.99998922816168467</v>
      </c>
      <c r="R30" s="51">
        <f t="shared" si="13"/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14"/>
        <v>-0.98005480429831737</v>
      </c>
      <c r="V30" s="51">
        <f t="shared" si="15"/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16"/>
        <v>-0.92453889169915004</v>
      </c>
      <c r="Z30" s="51">
        <f t="shared" si="17"/>
        <v>-45135.555570000004</v>
      </c>
      <c r="AA30" s="15">
        <v>-6.1650000000000003E-2</v>
      </c>
      <c r="AB30" s="6">
        <f>IFERROR(VLOOKUP($I30,[1]RESUMO!$A$5:$M$150,5,FALSE),"")</f>
        <v>0</v>
      </c>
      <c r="AC30" s="46">
        <f t="shared" si="18"/>
        <v>-1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1"/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12"/>
        <v>0.34654691320020192</v>
      </c>
      <c r="R31" s="51">
        <f t="shared" si="13"/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14"/>
        <v>0.81929921005272277</v>
      </c>
      <c r="V31" s="51">
        <f t="shared" si="15"/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6"/>
        <v>0.16860678399364515</v>
      </c>
      <c r="Z31" s="51">
        <f t="shared" si="17"/>
        <v>-3752.1447250000006</v>
      </c>
      <c r="AA31" s="15">
        <v>-5.1250000000000002E-3</v>
      </c>
      <c r="AB31" s="6">
        <f>IFERROR(VLOOKUP($I31,[1]RESUMO!$A$5:$M$150,5,FALSE),"")</f>
        <v>592.58999999999992</v>
      </c>
      <c r="AC31" s="46">
        <f t="shared" si="18"/>
        <v>-0.84206632647945101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29888.550000000003</v>
      </c>
      <c r="AC32" s="45">
        <f>(AB32*-1)/Z32-1</f>
        <v>-0.91448090519643233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12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2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23">IFERROR((X33*-1)/V33-1,"")</f>
        <v>0.88776620370370352</v>
      </c>
      <c r="Z33" s="6">
        <v>-4320</v>
      </c>
      <c r="AA33" s="15">
        <v>-1.7659251258496989E-3</v>
      </c>
      <c r="AB33" s="6">
        <f>IFERROR(VLOOKUP($I33,[1]RESUMO!$A$5:$M$150,5,FALSE),"")</f>
        <v>0</v>
      </c>
      <c r="AC33" s="46">
        <f t="shared" ref="AC33:AC45" si="24">IFERROR((AB33*-1)/Z33-1,"")</f>
        <v>-1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12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2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23"/>
        <v>-0.50742021225707368</v>
      </c>
      <c r="Z34" s="6">
        <v>-19046.924444444445</v>
      </c>
      <c r="AA34" s="15">
        <v>-7.7859820478252927E-3</v>
      </c>
      <c r="AB34" s="6">
        <f>IFERROR(VLOOKUP($I34,[1]RESUMO!$A$5:$M$150,5,FALSE),"")</f>
        <v>3881.96</v>
      </c>
      <c r="AC34" s="46">
        <f t="shared" si="24"/>
        <v>-0.79618966771654942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12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2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23"/>
        <v>-1</v>
      </c>
      <c r="Z35" s="6">
        <v>-2194.0299999999997</v>
      </c>
      <c r="AA35" s="15">
        <v>-8.9687331108055895E-4</v>
      </c>
      <c r="AB35" s="6">
        <f>IFERROR(VLOOKUP($I35,[1]RESUMO!$A$5:$M$150,5,FALSE),"")</f>
        <v>1307.92</v>
      </c>
      <c r="AC35" s="46">
        <f t="shared" si="24"/>
        <v>-0.40387323783175244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12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2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23"/>
        <v>4.798661786295999E-2</v>
      </c>
      <c r="Z36" s="6">
        <v>-208162.68670000002</v>
      </c>
      <c r="AA36" s="15">
        <v>-8.5092527478682636E-2</v>
      </c>
      <c r="AB36" s="6">
        <f>IFERROR(VLOOKUP($I36,[1]RESUMO!$A$5:$M$150,5,FALSE),"")</f>
        <v>6766.4299999999994</v>
      </c>
      <c r="AC36" s="46">
        <f t="shared" si="24"/>
        <v>-0.96749451062883496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12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2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23"/>
        <v/>
      </c>
      <c r="Z37" s="6">
        <v>-122.7</v>
      </c>
      <c r="AA37" s="15">
        <v>-5.015717892170326E-5</v>
      </c>
      <c r="AB37" s="6" t="str">
        <f>IFERROR(VLOOKUP($I37,[1]RESUMO!$A$5:$M$150,5,FALSE),"")</f>
        <v/>
      </c>
      <c r="AC37" s="46" t="str">
        <f t="shared" si="24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12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2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23"/>
        <v/>
      </c>
      <c r="Z38" s="6">
        <v>-17346.890558333333</v>
      </c>
      <c r="AA38" s="15">
        <v>-7.0910439565568858E-3</v>
      </c>
      <c r="AB38" s="6" t="str">
        <f>IFERROR(VLOOKUP($I38,[1]RESUMO!$A$5:$M$150,5,FALSE),"")</f>
        <v/>
      </c>
      <c r="AC38" s="46" t="str">
        <f t="shared" si="24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12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2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23"/>
        <v>5.1668350577432243E-2</v>
      </c>
      <c r="Z39" s="6">
        <v>-7819.0999999999995</v>
      </c>
      <c r="AA39" s="15">
        <v>-3.196283599891523E-3</v>
      </c>
      <c r="AB39" s="6">
        <f>IFERROR(VLOOKUP($I39,[1]RESUMO!$A$5:$M$150,5,FALSE),"")</f>
        <v>1588.1</v>
      </c>
      <c r="AC39" s="46">
        <f t="shared" si="24"/>
        <v>-0.79689478328707908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12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2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394.44</v>
      </c>
      <c r="Y40" s="46">
        <f t="shared" si="23"/>
        <v>-0.96055599999999997</v>
      </c>
      <c r="Z40" s="6">
        <v>-10000</v>
      </c>
      <c r="AA40" s="15">
        <v>-4.0877896431705998E-3</v>
      </c>
      <c r="AB40" s="6">
        <f>IFERROR(VLOOKUP($I40,[1]RESUMO!$A$5:$M$150,5,FALSE),"")</f>
        <v>0</v>
      </c>
      <c r="AC40" s="46">
        <f t="shared" si="24"/>
        <v>-1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12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2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23"/>
        <v>-0.72909814224347613</v>
      </c>
      <c r="Z41" s="6">
        <v>-1291.6116666666667</v>
      </c>
      <c r="AA41" s="15">
        <v>-5.2798367939983163E-4</v>
      </c>
      <c r="AB41" s="6">
        <f>IFERROR(VLOOKUP($I41,[1]RESUMO!$A$5:$M$150,5,FALSE),"")</f>
        <v>420</v>
      </c>
      <c r="AC41" s="46">
        <f t="shared" si="24"/>
        <v>-0.67482486351031723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12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2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23"/>
        <v>2.0785639980724246E-2</v>
      </c>
      <c r="Z42" s="6">
        <v>-1940.2016666666657</v>
      </c>
      <c r="AA42" s="15">
        <v>-7.931136278662332E-4</v>
      </c>
      <c r="AB42" s="6">
        <f>IFERROR(VLOOKUP($I42,[1]RESUMO!$A$5:$M$150,5,FALSE),"")</f>
        <v>0</v>
      </c>
      <c r="AC42" s="46">
        <f t="shared" si="24"/>
        <v>-1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12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2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35869.64</v>
      </c>
      <c r="Y43" s="46">
        <f t="shared" si="23"/>
        <v>1.1539427027389531</v>
      </c>
      <c r="Z43" s="6">
        <v>-16653.014936000003</v>
      </c>
      <c r="AA43" s="15">
        <v>-6.8074021982946114E-3</v>
      </c>
      <c r="AB43" s="6">
        <f>IFERROR(VLOOKUP($I43,[1]RESUMO!$A$5:$M$150,5,FALSE),"")</f>
        <v>0</v>
      </c>
      <c r="AC43" s="46">
        <f t="shared" si="24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12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2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44918.66</v>
      </c>
      <c r="Y44" s="46">
        <f t="shared" si="23"/>
        <v>0.19881288557134624</v>
      </c>
      <c r="Z44" s="6">
        <v>-37469.283606000005</v>
      </c>
      <c r="AA44" s="15">
        <v>-1.5316654946162874E-2</v>
      </c>
      <c r="AB44" s="6">
        <f>IFERROR(VLOOKUP($I44,[1]RESUMO!$A$5:$M$150,5,FALSE),"")</f>
        <v>0</v>
      </c>
      <c r="AC44" s="46">
        <f t="shared" si="24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12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2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23"/>
        <v>-0.7570031363358648</v>
      </c>
      <c r="Z45" s="6">
        <v>-23129.187411111114</v>
      </c>
      <c r="AA45" s="15">
        <v>-9.4547252754091822E-3</v>
      </c>
      <c r="AB45" s="6">
        <f>IFERROR(VLOOKUP($I45,[1]RESUMO!$A$5:$M$150,5,FALSE),"")</f>
        <v>15924.140000000001</v>
      </c>
      <c r="AC45" s="46">
        <f t="shared" si="24"/>
        <v>-0.31151320982637953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18211.010000000002</v>
      </c>
      <c r="AC46" s="45">
        <f>(AB46*-1)/Z46-1</f>
        <v>-0.80664915941101545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12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9080.0500000000011</v>
      </c>
      <c r="U47" s="46">
        <f t="shared" ref="U47:U62" si="25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6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IFERROR(VLOOKUP($I47,[1]RESUMO!$A$5:$M$150,5,FALSE),"")</f>
        <v>5803.26</v>
      </c>
      <c r="AC47" s="46">
        <f t="shared" ref="AC47:AC62" si="27">IFERROR((AB47*-1)/Z47-1,"")</f>
        <v>-0.50257771428571574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12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25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6"/>
        <v>-0.3213360328499969</v>
      </c>
      <c r="Z48" s="6">
        <v>-41957.288700000005</v>
      </c>
      <c r="AA48" s="15">
        <v>-1.7151257020337884E-2</v>
      </c>
      <c r="AB48" s="6">
        <f>IFERROR(VLOOKUP($I48,[1]RESUMO!$A$5:$M$150,5,FALSE),"")</f>
        <v>595.26</v>
      </c>
      <c r="AC48" s="46">
        <f t="shared" si="27"/>
        <v>-0.98581271530064329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12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25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6"/>
        <v>-1</v>
      </c>
      <c r="Z49" s="6">
        <v>-28.333333333333332</v>
      </c>
      <c r="AA49" s="15">
        <v>-1.1582070655650032E-5</v>
      </c>
      <c r="AB49" s="6">
        <f>IFERROR(VLOOKUP($I49,[1]RESUMO!$A$5:$M$150,5,FALSE),"")</f>
        <v>0</v>
      </c>
      <c r="AC49" s="46">
        <f t="shared" si="27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12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25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6"/>
        <v/>
      </c>
      <c r="Z50" s="6">
        <v>-3496.4407250000004</v>
      </c>
      <c r="AA50" s="15">
        <v>-1.4292714183614904E-3</v>
      </c>
      <c r="AB50" s="6" t="str">
        <f>IFERROR(VLOOKUP($I50,[1]RESUMO!$A$5:$M$150,5,FALSE),"")</f>
        <v/>
      </c>
      <c r="AC50" s="46" t="str">
        <f t="shared" si="27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12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25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6"/>
        <v>-0.54388852636273</v>
      </c>
      <c r="Z51" s="6">
        <v>-3484.8059999999996</v>
      </c>
      <c r="AA51" s="15">
        <v>-1.4245153875258763E-3</v>
      </c>
      <c r="AB51" s="6">
        <f>IFERROR(VLOOKUP($I51,[1]RESUMO!$A$5:$M$150,5,FALSE),"")</f>
        <v>429.46</v>
      </c>
      <c r="AC51" s="46">
        <f t="shared" si="27"/>
        <v>-0.87676214974377342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12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25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26"/>
        <v/>
      </c>
      <c r="Z52" s="6">
        <v>-2841.8077777777767</v>
      </c>
      <c r="AA52" s="15">
        <v>-1.1616712401881651E-3</v>
      </c>
      <c r="AB52" s="6" t="str">
        <f>IFERROR(VLOOKUP($I52,[1]RESUMO!$A$5:$M$150,5,FALSE),"")</f>
        <v/>
      </c>
      <c r="AC52" s="46" t="str">
        <f t="shared" si="27"/>
        <v/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12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25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6"/>
        <v>-1</v>
      </c>
      <c r="Z53" s="6">
        <v>-97.555555555555557</v>
      </c>
      <c r="AA53" s="15">
        <v>-3.9878658963375403E-5</v>
      </c>
      <c r="AB53" s="6">
        <f>IFERROR(VLOOKUP($I53,[1]RESUMO!$A$5:$M$150,5,FALSE),"")</f>
        <v>225</v>
      </c>
      <c r="AC53" s="46">
        <f t="shared" si="27"/>
        <v>1.3063781321184509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12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25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6"/>
        <v>-0.45041813595908609</v>
      </c>
      <c r="Z54" s="6">
        <v>-494.99449999999968</v>
      </c>
      <c r="AA54" s="15">
        <v>-2.0234333905264079E-4</v>
      </c>
      <c r="AB54" s="6">
        <f>IFERROR(VLOOKUP($I54,[1]RESUMO!$A$5:$M$150,5,FALSE),"")</f>
        <v>0</v>
      </c>
      <c r="AC54" s="46">
        <f t="shared" si="27"/>
        <v>-1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12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25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5035.68</v>
      </c>
      <c r="Y55" s="46">
        <f t="shared" si="26"/>
        <v>0.5002399332824381</v>
      </c>
      <c r="Z55" s="6">
        <v>-3356.5830960000003</v>
      </c>
      <c r="AA55" s="15">
        <v>-1.3721005616270307E-3</v>
      </c>
      <c r="AB55" s="6">
        <f>IFERROR(VLOOKUP($I55,[1]RESUMO!$A$5:$M$150,5,FALSE),"")</f>
        <v>0</v>
      </c>
      <c r="AC55" s="46">
        <f t="shared" si="27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12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25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8006.02</v>
      </c>
      <c r="Y56" s="46">
        <f t="shared" si="26"/>
        <v>6.0075383014176698E-2</v>
      </c>
      <c r="Z56" s="6">
        <v>-7552.3119660000002</v>
      </c>
      <c r="AA56" s="15">
        <v>-3.0872262636608191E-3</v>
      </c>
      <c r="AB56" s="6">
        <f>IFERROR(VLOOKUP($I56,[1]RESUMO!$A$5:$M$150,5,FALSE),"")</f>
        <v>0</v>
      </c>
      <c r="AC56" s="46">
        <f t="shared" si="27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12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25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6"/>
        <v>-0.68723622506141591</v>
      </c>
      <c r="Z57" s="6">
        <v>-4661.9209666666666</v>
      </c>
      <c r="AA57" s="15">
        <v>-1.9056952244819868E-3</v>
      </c>
      <c r="AB57" s="6">
        <f>IFERROR(VLOOKUP($I57,[1]RESUMO!$A$5:$M$150,5,FALSE),"")</f>
        <v>1316.22</v>
      </c>
      <c r="AC57" s="46">
        <f t="shared" si="27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12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25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6"/>
        <v>2.3185787162474103E-3</v>
      </c>
      <c r="Z58" s="6">
        <v>-2399.7460000000001</v>
      </c>
      <c r="AA58" s="15">
        <v>-9.8096568450400739E-4</v>
      </c>
      <c r="AB58" s="6">
        <f>IFERROR(VLOOKUP($I58,[1]RESUMO!$A$5:$M$150,5,FALSE),"")</f>
        <v>0</v>
      </c>
      <c r="AC58" s="46">
        <f t="shared" si="27"/>
        <v>-1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12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25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6"/>
        <v>-0.71798800000000007</v>
      </c>
      <c r="Z59" s="6">
        <v>-2500</v>
      </c>
      <c r="AA59" s="15">
        <v>-1.0219474107926499E-3</v>
      </c>
      <c r="AB59" s="6">
        <f>IFERROR(VLOOKUP($I59,[1]RESUMO!$A$5:$M$150,5,FALSE),"")</f>
        <v>0</v>
      </c>
      <c r="AC59" s="46">
        <f t="shared" si="27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12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25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6"/>
        <v>8.1897435897435811E-2</v>
      </c>
      <c r="Z60" s="6">
        <v>-1950</v>
      </c>
      <c r="AA60" s="15">
        <v>-7.9711898041826695E-4</v>
      </c>
      <c r="AB60" s="6">
        <f>IFERROR(VLOOKUP($I60,[1]RESUMO!$A$5:$M$150,5,FALSE),"")</f>
        <v>1239.0999999999999</v>
      </c>
      <c r="AC60" s="46">
        <f t="shared" si="27"/>
        <v>-0.36456410256410265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12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25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6"/>
        <v>-4.2344285714285723E-2</v>
      </c>
      <c r="Z61" s="6">
        <v>-7000</v>
      </c>
      <c r="AA61" s="15">
        <v>-2.8614527502194196E-3</v>
      </c>
      <c r="AB61" s="6">
        <f>IFERROR(VLOOKUP($I61,[1]RESUMO!$A$5:$M$150,5,FALSE),"")</f>
        <v>6172.05</v>
      </c>
      <c r="AC61" s="46">
        <f t="shared" si="27"/>
        <v>-0.11827857142857146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IFERROR(VLOOKUP($I62,[1]RESUMO!$A$5:$M$150,2,FALSE),"")</f>
        <v>0</v>
      </c>
      <c r="Q62" s="46">
        <f t="shared" si="12"/>
        <v>-1</v>
      </c>
      <c r="R62" s="6">
        <v>-697.8950000000001</v>
      </c>
      <c r="S62" s="15">
        <v>-3.1352145429305677E-4</v>
      </c>
      <c r="T62" s="6">
        <f>IFERROR(VLOOKUP($I62,[1]RESUMO!$A$5:$M$150,3,FALSE),"")</f>
        <v>0</v>
      </c>
      <c r="U62" s="46">
        <f t="shared" si="25"/>
        <v>-1</v>
      </c>
      <c r="V62" s="6">
        <v>-697.8950000000001</v>
      </c>
      <c r="W62" s="15">
        <v>-2.4921005665760058E-4</v>
      </c>
      <c r="X62" s="6">
        <f>IFERROR(VLOOKUP($I62,[1]RESUMO!$A$5:$M$150,4,FALSE),"")</f>
        <v>0</v>
      </c>
      <c r="Y62" s="46">
        <f t="shared" si="26"/>
        <v>-1</v>
      </c>
      <c r="Z62" s="6">
        <v>-697.8950000000001</v>
      </c>
      <c r="AA62" s="15">
        <v>-2.8528479530205459E-4</v>
      </c>
      <c r="AB62" s="6">
        <f>IFERROR(VLOOKUP($I62,[1]RESUMO!$A$5:$M$150,5,FALSE),"")</f>
        <v>2430.6600000000003</v>
      </c>
      <c r="AC62" s="46">
        <f t="shared" si="27"/>
        <v>2.4828448405562442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365390.2</v>
      </c>
      <c r="AC64" s="14">
        <f>AB64/Z64-1</f>
        <v>-0.57959094746314488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8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9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659011.41999999993</v>
      </c>
      <c r="Y66" s="14">
        <f t="shared" ref="Y66" si="30">IFERROR((X66*-1)/V66-1,"")</f>
        <v>-0.10505028577747111</v>
      </c>
      <c r="Z66" s="7">
        <v>-702233.64180127438</v>
      </c>
      <c r="AA66" s="14">
        <v>-0.28705834080412218</v>
      </c>
      <c r="AB66" s="7">
        <f>SUM(AB67+AB85+AB101+AB123)</f>
        <v>207653.8</v>
      </c>
      <c r="AC66" s="14">
        <f t="shared" ref="AC66" si="31">IFERROR((AB66*-1)/Z66-1,"")</f>
        <v>-0.70429528345102543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186773.48</v>
      </c>
      <c r="Y67" s="45">
        <f>(X67*-1)/V67-1</f>
        <v>6.814397676358408E-2</v>
      </c>
      <c r="Z67" s="8">
        <v>-174857.96303033334</v>
      </c>
      <c r="AA67" s="13">
        <v>-7.1478257030130415E-2</v>
      </c>
      <c r="AB67" s="8">
        <f>SUM(AB68:AB84)</f>
        <v>41565.769999999997</v>
      </c>
      <c r="AC67" s="45">
        <f>(AB67*-1)/Z67-1</f>
        <v>-0.76228837806609118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8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32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33">IFERROR((X68*-1)/V68-1,"")</f>
        <v>-6.3690297339593194E-2</v>
      </c>
      <c r="Z68" s="6">
        <v>-63900</v>
      </c>
      <c r="AA68" s="15">
        <v>-2.6120975819860132E-2</v>
      </c>
      <c r="AB68" s="6">
        <f>IFERROR(VLOOKUP($I68,[1]RESUMO!$A$5:$M$150,5,FALSE),"")</f>
        <v>30930.639999999999</v>
      </c>
      <c r="AC68" s="46">
        <f t="shared" ref="AC68:AC84" si="34">IFERROR((AB68*-1)/Z68-1,"")</f>
        <v>-0.5159524256651018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8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32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74200.570000000007</v>
      </c>
      <c r="Y69" s="46">
        <f t="shared" si="33"/>
        <v>0.22625140088850371</v>
      </c>
      <c r="Z69" s="6">
        <v>-60510.079700000002</v>
      </c>
      <c r="AA69" s="15">
        <v>-2.4735247710508754E-2</v>
      </c>
      <c r="AB69" s="6">
        <f>IFERROR(VLOOKUP($I69,[1]RESUMO!$A$5:$M$150,5,FALSE),"")</f>
        <v>5659.81</v>
      </c>
      <c r="AC69" s="46">
        <f t="shared" si="34"/>
        <v>-0.90646500503617744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8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32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33"/>
        <v/>
      </c>
      <c r="Z70" s="6">
        <v>0</v>
      </c>
      <c r="AA70" s="15">
        <v>0</v>
      </c>
      <c r="AB70" s="6" t="str">
        <f>IFERROR(VLOOKUP($I70,[1]RESUMO!$A$5:$M$150,5,FALSE),"")</f>
        <v/>
      </c>
      <c r="AC70" s="46" t="str">
        <f t="shared" si="34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8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32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33"/>
        <v/>
      </c>
      <c r="Z71" s="6">
        <v>-5042.5066416666668</v>
      </c>
      <c r="AA71" s="15">
        <v>-2.0612706425423961E-3</v>
      </c>
      <c r="AB71" s="6" t="str">
        <f>IFERROR(VLOOKUP($I71,[1]RESUMO!$A$5:$M$150,5,FALSE),"")</f>
        <v/>
      </c>
      <c r="AC71" s="46" t="str">
        <f t="shared" si="34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8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32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33"/>
        <v>-0.79588871703303998</v>
      </c>
      <c r="Z72" s="6">
        <v>-6723.3421888888888</v>
      </c>
      <c r="AA72" s="15">
        <v>-2.748360856723195E-3</v>
      </c>
      <c r="AB72" s="6">
        <f>IFERROR(VLOOKUP($I72,[1]RESUMO!$A$5:$M$150,5,FALSE),"")</f>
        <v>1529.83</v>
      </c>
      <c r="AC72" s="46">
        <f t="shared" si="34"/>
        <v>-0.77245989315727182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8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32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33"/>
        <v>8.0747653586202173E-2</v>
      </c>
      <c r="Z73" s="6">
        <v>-4585.0111111111119</v>
      </c>
      <c r="AA73" s="15">
        <v>-1.8742560933822125E-3</v>
      </c>
      <c r="AB73" s="6">
        <f>IFERROR(VLOOKUP($I73,[1]RESUMO!$A$5:$M$150,5,FALSE),"")</f>
        <v>1980.24</v>
      </c>
      <c r="AC73" s="46">
        <f t="shared" si="34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8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32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33"/>
        <v/>
      </c>
      <c r="Z74" s="6">
        <v>-333</v>
      </c>
      <c r="AA74" s="15">
        <v>-1.3612339511758097E-4</v>
      </c>
      <c r="AB74" s="6" t="str">
        <f>IFERROR(VLOOKUP($I74,[1]RESUMO!$A$5:$M$150,5,FALSE),"")</f>
        <v/>
      </c>
      <c r="AC74" s="46" t="str">
        <f t="shared" si="34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8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32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11928.27</v>
      </c>
      <c r="Y75" s="46">
        <f t="shared" si="33"/>
        <v>0.78924050000000001</v>
      </c>
      <c r="Z75" s="6">
        <v>-6666.666666666667</v>
      </c>
      <c r="AA75" s="15">
        <v>-2.7251930954470664E-3</v>
      </c>
      <c r="AB75" s="6">
        <f>IFERROR(VLOOKUP($I75,[1]RESUMO!$A$5:$M$150,5,FALSE),"")</f>
        <v>0</v>
      </c>
      <c r="AC75" s="46">
        <f t="shared" si="34"/>
        <v>-1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8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32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33"/>
        <v/>
      </c>
      <c r="Z76" s="6">
        <v>0</v>
      </c>
      <c r="AA76" s="15">
        <v>0</v>
      </c>
      <c r="AB76" s="6" t="str">
        <f>IFERROR(VLOOKUP($I76,[1]RESUMO!$A$5:$M$150,5,FALSE),"")</f>
        <v/>
      </c>
      <c r="AC76" s="46" t="str">
        <f t="shared" si="34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8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32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33"/>
        <v>-1</v>
      </c>
      <c r="Z77" s="6">
        <v>-305.81</v>
      </c>
      <c r="AA77" s="15">
        <v>-1.2500869507780011E-4</v>
      </c>
      <c r="AB77" s="6">
        <f>IFERROR(VLOOKUP($I77,[1]RESUMO!$A$5:$M$150,5,FALSE),"")</f>
        <v>0</v>
      </c>
      <c r="AC77" s="46">
        <f t="shared" si="34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8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32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33"/>
        <v>-2.0118164379002823E-2</v>
      </c>
      <c r="Z78" s="6">
        <v>-608.86933333333388</v>
      </c>
      <c r="AA78" s="15">
        <v>-2.4889297548441895E-4</v>
      </c>
      <c r="AB78" s="6">
        <f>IFERROR(VLOOKUP($I78,[1]RESUMO!$A$5:$M$150,5,FALSE),"")</f>
        <v>0</v>
      </c>
      <c r="AC78" s="46">
        <f t="shared" si="34"/>
        <v>-1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8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32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20718.489999999998</v>
      </c>
      <c r="Y79" s="46">
        <f t="shared" si="33"/>
        <v>0.90220741391986992</v>
      </c>
      <c r="Z79" s="6">
        <v>-10891.814345999999</v>
      </c>
      <c r="AA79" s="15">
        <v>-4.4523445878915753E-3</v>
      </c>
      <c r="AB79" s="6">
        <f>IFERROR(VLOOKUP($I79,[1]RESUMO!$A$5:$M$150,5,FALSE),"")</f>
        <v>0</v>
      </c>
      <c r="AC79" s="46">
        <f t="shared" si="34"/>
        <v>-1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8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32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9088.76</v>
      </c>
      <c r="Y80" s="46">
        <f t="shared" si="33"/>
        <v>0.87753016626748859</v>
      </c>
      <c r="Z80" s="6">
        <v>-4840.8063760000005</v>
      </c>
      <c r="AA80" s="15">
        <v>-1.9788198168407003E-3</v>
      </c>
      <c r="AB80" s="6">
        <f>IFERROR(VLOOKUP($I80,[1]RESUMO!$A$5:$M$150,5,FALSE),"")</f>
        <v>0</v>
      </c>
      <c r="AC80" s="46">
        <f t="shared" si="34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8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32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33"/>
        <v/>
      </c>
      <c r="Z81" s="6">
        <v>-30</v>
      </c>
      <c r="AA81" s="15">
        <v>-1.2263368929511799E-5</v>
      </c>
      <c r="AB81" s="6" t="str">
        <f>IFERROR(VLOOKUP($I81,[1]RESUMO!$A$5:$M$150,5,FALSE),"")</f>
        <v/>
      </c>
      <c r="AC81" s="46" t="str">
        <f t="shared" si="34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8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32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33"/>
        <v>-0.45188708932824495</v>
      </c>
      <c r="Z82" s="6">
        <v>-2086.7233333333334</v>
      </c>
      <c r="AA82" s="15">
        <v>-8.530086030162431E-4</v>
      </c>
      <c r="AB82" s="6">
        <f>IFERROR(VLOOKUP($I82,[1]RESUMO!$A$5:$M$150,5,FALSE),"")</f>
        <v>98</v>
      </c>
      <c r="AC82" s="46">
        <f t="shared" si="34"/>
        <v>-0.95303641913877735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8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32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33"/>
        <v>-0.67878399999999994</v>
      </c>
      <c r="Z83" s="6">
        <v>-5833.333333333333</v>
      </c>
      <c r="AA83" s="15">
        <v>-2.3845439585161829E-3</v>
      </c>
      <c r="AB83" s="6">
        <f>IFERROR(VLOOKUP($I83,[1]RESUMO!$A$5:$M$150,5,FALSE),"")</f>
        <v>1197.0999999999999</v>
      </c>
      <c r="AC83" s="46">
        <f t="shared" si="34"/>
        <v>-0.79478285714285712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8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32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33"/>
        <v>-0.57379599999999997</v>
      </c>
      <c r="Z84" s="6">
        <v>-2500</v>
      </c>
      <c r="AA84" s="15">
        <v>-1.0219474107926499E-3</v>
      </c>
      <c r="AB84" s="6">
        <f>IFERROR(VLOOKUP($I84,[1]RESUMO!$A$5:$M$150,5,FALSE),"")</f>
        <v>170.15</v>
      </c>
      <c r="AC84" s="46">
        <f t="shared" si="34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4876.8</v>
      </c>
      <c r="AC85" s="45">
        <f>(AB85*-1)/Z85-1</f>
        <v>-0.76041989307056201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8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35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36">IFERROR((X86*-1)/V86-1,"")</f>
        <v>5.8823529411764719E-2</v>
      </c>
      <c r="Z86" s="6">
        <v>-850</v>
      </c>
      <c r="AA86" s="15">
        <v>-3.4746211966950097E-4</v>
      </c>
      <c r="AB86" s="6">
        <f>IFERROR(VLOOKUP($I86,[1]RESUMO!$A$5:$M$150,5,FALSE),"")</f>
        <v>900</v>
      </c>
      <c r="AC86" s="46">
        <f t="shared" ref="AC86:AC100" si="37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8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35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36"/>
        <v>4.0348612007746754E-2</v>
      </c>
      <c r="Z87" s="6">
        <v>-30.98</v>
      </c>
      <c r="AA87" s="15">
        <v>-1.2663972314542518E-5</v>
      </c>
      <c r="AB87" s="6">
        <f>IFERROR(VLOOKUP($I87,[1]RESUMO!$A$5:$M$150,5,FALSE),"")</f>
        <v>0</v>
      </c>
      <c r="AC87" s="46">
        <f t="shared" si="37"/>
        <v>-1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8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35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36"/>
        <v>-1</v>
      </c>
      <c r="Z88" s="6">
        <v>-59.852857142857147</v>
      </c>
      <c r="AA88" s="15">
        <v>-2.4466588954274089E-5</v>
      </c>
      <c r="AB88" s="6">
        <f>IFERROR(VLOOKUP($I88,[1]RESUMO!$A$5:$M$150,5,FALSE),"")</f>
        <v>0</v>
      </c>
      <c r="AC88" s="46">
        <f t="shared" si="37"/>
        <v>-1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8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35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36"/>
        <v>-5.1535972940004782E-2</v>
      </c>
      <c r="Z89" s="6">
        <v>-2262.6266666666666</v>
      </c>
      <c r="AA89" s="15">
        <v>-9.2491418543616153E-4</v>
      </c>
      <c r="AB89" s="6">
        <f>IFERROR(VLOOKUP($I89,[1]RESUMO!$A$5:$M$150,5,FALSE),"")</f>
        <v>464.9</v>
      </c>
      <c r="AC89" s="46">
        <f t="shared" si="37"/>
        <v>-0.79453084026234999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8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35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36"/>
        <v>-6.9500748694350079E-2</v>
      </c>
      <c r="Z90" s="6">
        <v>-410.71500000000003</v>
      </c>
      <c r="AA90" s="15">
        <v>-1.6789165232948129E-4</v>
      </c>
      <c r="AB90" s="6">
        <f>IFERROR(VLOOKUP($I90,[1]RESUMO!$A$5:$M$150,5,FALSE),"")</f>
        <v>388.82</v>
      </c>
      <c r="AC90" s="46">
        <f t="shared" si="37"/>
        <v>-5.3309472505265298E-2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8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35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36"/>
        <v>-0.37199237304863864</v>
      </c>
      <c r="Z91" s="6">
        <v>-680.29428571428582</v>
      </c>
      <c r="AA91" s="15">
        <v>-2.7808999354509984E-4</v>
      </c>
      <c r="AB91" s="6">
        <f>IFERROR(VLOOKUP($I91,[1]RESUMO!$A$5:$M$150,5,FALSE),"")</f>
        <v>448.1</v>
      </c>
      <c r="AC91" s="46">
        <f t="shared" si="37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8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35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36"/>
        <v>-0.32936095693211842</v>
      </c>
      <c r="Z92" s="6">
        <v>-224.60666666666668</v>
      </c>
      <c r="AA92" s="15">
        <v>-9.1814480578707118E-5</v>
      </c>
      <c r="AB92" s="6">
        <f>IFERROR(VLOOKUP($I92,[1]RESUMO!$A$5:$M$150,5,FALSE),"")</f>
        <v>0</v>
      </c>
      <c r="AC92" s="46">
        <f t="shared" si="37"/>
        <v>-1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8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35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36"/>
        <v>-0.36181818181818182</v>
      </c>
      <c r="Z93" s="6">
        <v>-550</v>
      </c>
      <c r="AA93" s="15">
        <v>-2.2482843037438296E-4</v>
      </c>
      <c r="AB93" s="6">
        <f>IFERROR(VLOOKUP($I93,[1]RESUMO!$A$5:$M$150,5,FALSE),"")</f>
        <v>0</v>
      </c>
      <c r="AC93" s="46">
        <f t="shared" si="37"/>
        <v>-1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8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35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36"/>
        <v>-0.15836800000000006</v>
      </c>
      <c r="Z94" s="6">
        <v>-416.66666666666669</v>
      </c>
      <c r="AA94" s="15">
        <v>-1.7032456846544165E-4</v>
      </c>
      <c r="AB94" s="6">
        <f>IFERROR(VLOOKUP($I94,[1]RESUMO!$A$5:$M$150,5,FALSE),"")</f>
        <v>0</v>
      </c>
      <c r="AC94" s="46">
        <f t="shared" si="37"/>
        <v>-1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8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35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36"/>
        <v>-4.2445277011776139E-2</v>
      </c>
      <c r="Z95" s="6">
        <v>-11709.43</v>
      </c>
      <c r="AA95" s="15">
        <v>-4.7865686681431117E-3</v>
      </c>
      <c r="AB95" s="6">
        <f>IFERROR(VLOOKUP($I95,[1]RESUMO!$A$5:$M$150,5,FALSE),"")</f>
        <v>1697.48</v>
      </c>
      <c r="AC95" s="46">
        <f t="shared" si="37"/>
        <v>-0.8550330801755508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8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35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36"/>
        <v>-5.7402980028496198E-2</v>
      </c>
      <c r="Z96" s="6">
        <v>-828.18</v>
      </c>
      <c r="AA96" s="15">
        <v>-3.385425626681027E-4</v>
      </c>
      <c r="AB96" s="6">
        <f>IFERROR(VLOOKUP($I96,[1]RESUMO!$A$5:$M$150,5,FALSE),"")</f>
        <v>0</v>
      </c>
      <c r="AC96" s="46">
        <f t="shared" si="37"/>
        <v>-1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8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35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36"/>
        <v>0</v>
      </c>
      <c r="Z97" s="6">
        <v>-370</v>
      </c>
      <c r="AA97" s="15">
        <v>-1.5124821679731218E-4</v>
      </c>
      <c r="AB97" s="6">
        <f>IFERROR(VLOOKUP($I97,[1]RESUMO!$A$5:$M$150,5,FALSE),"")</f>
        <v>370</v>
      </c>
      <c r="AC97" s="46">
        <f t="shared" si="37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8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35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36"/>
        <v/>
      </c>
      <c r="Z98" s="6">
        <v>-79.55</v>
      </c>
      <c r="AA98" s="15">
        <v>-3.2518366611422118E-5</v>
      </c>
      <c r="AB98" s="6" t="str">
        <f>IFERROR(VLOOKUP($I98,[1]RESUMO!$A$5:$M$150,5,FALSE),"")</f>
        <v/>
      </c>
      <c r="AC98" s="46" t="str">
        <f t="shared" si="37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8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35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36"/>
        <v>-0.46604620141878372</v>
      </c>
      <c r="Z99" s="6">
        <v>-1466.0444444444445</v>
      </c>
      <c r="AA99" s="15">
        <v>-5.992881296427796E-4</v>
      </c>
      <c r="AB99" s="6">
        <f>IFERROR(VLOOKUP($I99,[1]RESUMO!$A$5:$M$150,5,FALSE),"")</f>
        <v>607.5</v>
      </c>
      <c r="AC99" s="46">
        <f t="shared" si="37"/>
        <v>-0.58561965682410722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8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35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36"/>
        <v>-0.76</v>
      </c>
      <c r="Z100" s="6">
        <v>-416.66666666666669</v>
      </c>
      <c r="AA100" s="15">
        <v>-1.7032456846544165E-4</v>
      </c>
      <c r="AB100" s="6">
        <f>IFERROR(VLOOKUP($I100,[1]RESUMO!$A$5:$M$150,5,FALSE),"")</f>
        <v>0</v>
      </c>
      <c r="AC100" s="46">
        <f t="shared" si="37"/>
        <v>-1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386839.54</v>
      </c>
      <c r="Y101" s="45">
        <f>(X101*-1)/V101-1</f>
        <v>-0.17755012061202957</v>
      </c>
      <c r="Z101" s="8">
        <v>-436216.95079197281</v>
      </c>
      <c r="AA101" s="13">
        <v>-0.17831631336228854</v>
      </c>
      <c r="AB101" s="8">
        <f>SUM(AB102:AB122)</f>
        <v>132470.43</v>
      </c>
      <c r="AC101" s="45">
        <f>(AB101*-1)/Z101-1</f>
        <v>-0.69631984782000433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8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38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39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IFERROR(VLOOKUP($I102,[1]RESUMO!$A$5:$M$150,5,FALSE),"")</f>
        <v>0</v>
      </c>
      <c r="AC102" s="46">
        <f t="shared" ref="AC102:AC122" si="40">IFERROR((AB102*-1)/Z102-1,"")</f>
        <v>-1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8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38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69230.98000000001</v>
      </c>
      <c r="Y103" s="46">
        <f t="shared" si="39"/>
        <v>-4.9170585598273697E-2</v>
      </c>
      <c r="Z103" s="6">
        <v>-63604.055662300911</v>
      </c>
      <c r="AA103" s="15">
        <v>-2.5999999999999999E-2</v>
      </c>
      <c r="AB103" s="6">
        <f>IFERROR(VLOOKUP($I103,[1]RESUMO!$A$5:$M$150,5,FALSE),"")</f>
        <v>26021.809999999998</v>
      </c>
      <c r="AC103" s="46">
        <f t="shared" si="40"/>
        <v>-0.59087813302094949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8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38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9"/>
        <v>-7.3250150291556571E-2</v>
      </c>
      <c r="Z104" s="6">
        <v>-10745.78</v>
      </c>
      <c r="AA104" s="15">
        <v>-4.3926488191789771E-3</v>
      </c>
      <c r="AB104" s="6">
        <f>IFERROR(VLOOKUP($I104,[1]RESUMO!$A$5:$M$150,5,FALSE),"")</f>
        <v>0</v>
      </c>
      <c r="AC104" s="46">
        <f t="shared" si="40"/>
        <v>-1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8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38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9"/>
        <v>-0.78516950000000008</v>
      </c>
      <c r="Z105" s="6">
        <v>-20000</v>
      </c>
      <c r="AA105" s="15">
        <v>-8.1755792863411995E-3</v>
      </c>
      <c r="AB105" s="6">
        <f>IFERROR(VLOOKUP($I105,[1]RESUMO!$A$5:$M$150,5,FALSE),"")</f>
        <v>610.55999999999995</v>
      </c>
      <c r="AC105" s="46">
        <f t="shared" si="40"/>
        <v>-0.969472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8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38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9"/>
        <v>1.3283620489856491</v>
      </c>
      <c r="Z106" s="6">
        <v>-671.85857142857151</v>
      </c>
      <c r="AA106" s="15">
        <v>-2.7464165099611092E-4</v>
      </c>
      <c r="AB106" s="6">
        <f>IFERROR(VLOOKUP($I106,[1]RESUMO!$A$5:$M$150,5,FALSE),"")</f>
        <v>667.02</v>
      </c>
      <c r="AC106" s="46">
        <f t="shared" si="40"/>
        <v>-7.2017707808404996E-3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8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38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22670.71</v>
      </c>
      <c r="Y107" s="46">
        <f t="shared" si="39"/>
        <v>0.42484796127004198</v>
      </c>
      <c r="Z107" s="6">
        <v>-15910.96777777778</v>
      </c>
      <c r="AA107" s="15">
        <v>-6.5040689294821137E-3</v>
      </c>
      <c r="AB107" s="6">
        <f>IFERROR(VLOOKUP($I107,[1]RESUMO!$A$5:$M$150,5,FALSE),"")</f>
        <v>5157.8499999999995</v>
      </c>
      <c r="AC107" s="46">
        <f t="shared" si="40"/>
        <v>-0.67583052947893185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8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38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9"/>
        <v>-0.55774765863786635</v>
      </c>
      <c r="Z108" s="6">
        <v>-1603.1571428571428</v>
      </c>
      <c r="AA108" s="15">
        <v>-6.553369164946398E-4</v>
      </c>
      <c r="AB108" s="6">
        <f>IFERROR(VLOOKUP($I108,[1]RESUMO!$A$5:$M$150,5,FALSE),"")</f>
        <v>0</v>
      </c>
      <c r="AC108" s="46">
        <f t="shared" si="40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8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38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9"/>
        <v>4.1906356567400938E-2</v>
      </c>
      <c r="Z109" s="6">
        <v>-19011.833333333332</v>
      </c>
      <c r="AA109" s="15">
        <v>-7.7716375397685568E-3</v>
      </c>
      <c r="AB109" s="6">
        <f>IFERROR(VLOOKUP($I109,[1]RESUMO!$A$5:$M$150,5,FALSE),"")</f>
        <v>6003</v>
      </c>
      <c r="AC109" s="46">
        <f t="shared" si="40"/>
        <v>-0.68424928334107704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8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38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9"/>
        <v/>
      </c>
      <c r="Z110" s="6">
        <v>-10000</v>
      </c>
      <c r="AA110" s="15">
        <v>-4.0877896431705998E-3</v>
      </c>
      <c r="AB110" s="6" t="str">
        <f>IFERROR(VLOOKUP($I110,[1]RESUMO!$A$5:$M$150,5,FALSE),"")</f>
        <v/>
      </c>
      <c r="AC110" s="46" t="str">
        <f t="shared" si="40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8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38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9"/>
        <v>-0.60937611198608832</v>
      </c>
      <c r="Z111" s="6">
        <v>-1077.2766666666666</v>
      </c>
      <c r="AA111" s="15">
        <v>-4.4036804008293459E-4</v>
      </c>
      <c r="AB111" s="6">
        <f>IFERROR(VLOOKUP($I111,[1]RESUMO!$A$5:$M$150,5,FALSE),"")</f>
        <v>0</v>
      </c>
      <c r="AC111" s="46">
        <f t="shared" si="40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8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38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9"/>
        <v>-0.3045255</v>
      </c>
      <c r="Z112" s="6">
        <v>-60000</v>
      </c>
      <c r="AA112" s="15">
        <v>-2.4526737859023599E-2</v>
      </c>
      <c r="AB112" s="6">
        <f>IFERROR(VLOOKUP($I112,[1]RESUMO!$A$5:$M$150,5,FALSE),"")</f>
        <v>1333.77</v>
      </c>
      <c r="AC112" s="46">
        <f t="shared" si="40"/>
        <v>-0.97777049999999999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8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38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9"/>
        <v>-1</v>
      </c>
      <c r="Z113" s="6">
        <v>-2402.3599999999997</v>
      </c>
      <c r="AA113" s="15">
        <v>-9.8203423271673207E-4</v>
      </c>
      <c r="AB113" s="6">
        <f>IFERROR(VLOOKUP($I113,[1]RESUMO!$A$5:$M$150,5,FALSE),"")</f>
        <v>0</v>
      </c>
      <c r="AC113" s="46">
        <f t="shared" si="40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8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38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2500</v>
      </c>
      <c r="Y114" s="46">
        <f t="shared" si="39"/>
        <v>-0.5</v>
      </c>
      <c r="Z114" s="6">
        <v>-5000</v>
      </c>
      <c r="AA114" s="15">
        <v>-2.0438948215852999E-3</v>
      </c>
      <c r="AB114" s="6">
        <f>IFERROR(VLOOKUP($I114,[1]RESUMO!$A$5:$M$150,5,FALSE),"")</f>
        <v>118.65</v>
      </c>
      <c r="AC114" s="46">
        <f t="shared" si="40"/>
        <v>-0.97626999999999997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8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38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39"/>
        <v>-0.19873803504928966</v>
      </c>
      <c r="Z115" s="6">
        <v>-17300.321999999996</v>
      </c>
      <c r="AA115" s="15">
        <v>-7.0720077095116456E-3</v>
      </c>
      <c r="AB115" s="6">
        <f>IFERROR(VLOOKUP($I115,[1]RESUMO!$A$5:$M$150,5,FALSE),"")</f>
        <v>25253.83</v>
      </c>
      <c r="AC115" s="46">
        <f t="shared" si="40"/>
        <v>0.45973178996321606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8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38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9"/>
        <v>-0.17974160169837938</v>
      </c>
      <c r="Z116" s="6">
        <v>-11198.993254491044</v>
      </c>
      <c r="AA116" s="15">
        <v>-4.5779128639645899E-3</v>
      </c>
      <c r="AB116" s="6">
        <f>IFERROR(VLOOKUP($I116,[1]RESUMO!$A$5:$M$150,5,FALSE),"")</f>
        <v>8548.01</v>
      </c>
      <c r="AC116" s="46">
        <f t="shared" si="40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8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38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9"/>
        <v>-0.22954465025216664</v>
      </c>
      <c r="Z117" s="6">
        <v>-100159.50914234405</v>
      </c>
      <c r="AA117" s="15">
        <v>-4.0943100413712498E-2</v>
      </c>
      <c r="AB117" s="6">
        <f>IFERROR(VLOOKUP($I117,[1]RESUMO!$A$5:$M$150,5,FALSE),"")</f>
        <v>54220.92</v>
      </c>
      <c r="AC117" s="46">
        <f t="shared" si="40"/>
        <v>-0.4586542958897426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8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38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9"/>
        <v/>
      </c>
      <c r="Z118" s="6">
        <v>-1619.6499999999999</v>
      </c>
      <c r="AA118" s="15">
        <v>-6.6207884955612605E-4</v>
      </c>
      <c r="AB118" s="6" t="str">
        <f>IFERROR(VLOOKUP($I118,[1]RESUMO!$A$5:$M$150,5,FALSE),"")</f>
        <v/>
      </c>
      <c r="AC118" s="46" t="str">
        <f t="shared" si="40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8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38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61558.19</v>
      </c>
      <c r="Y119" s="46">
        <f t="shared" si="39"/>
        <v>-4.6421997506404411E-2</v>
      </c>
      <c r="Z119" s="6">
        <v>-56391.877710522778</v>
      </c>
      <c r="AA119" s="15">
        <v>-2.3051813366401799E-2</v>
      </c>
      <c r="AB119" s="6">
        <f>IFERROR(VLOOKUP($I119,[1]RESUMO!$A$5:$M$150,5,FALSE),"")</f>
        <v>0</v>
      </c>
      <c r="AC119" s="46">
        <f t="shared" si="40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8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38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9"/>
        <v>-0.33449631172311345</v>
      </c>
      <c r="Z120" s="6">
        <v>-7324.1066666666675</v>
      </c>
      <c r="AA120" s="15">
        <v>-2.9939407377476746E-3</v>
      </c>
      <c r="AB120" s="6">
        <f>IFERROR(VLOOKUP($I120,[1]RESUMO!$A$5:$M$150,5,FALSE),"")</f>
        <v>2254.29</v>
      </c>
      <c r="AC120" s="46">
        <f t="shared" si="40"/>
        <v>-0.69220956184872606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8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38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9"/>
        <v>0.52524287238846901</v>
      </c>
      <c r="Z121" s="6">
        <v>-4444.1295302505132</v>
      </c>
      <c r="AA121" s="15">
        <v>-1.816666666666667E-3</v>
      </c>
      <c r="AB121" s="6">
        <f>IFERROR(VLOOKUP($I121,[1]RESUMO!$A$5:$M$150,5,FALSE),"")</f>
        <v>2280.7200000000003</v>
      </c>
      <c r="AC121" s="46">
        <f t="shared" si="40"/>
        <v>-0.48680163697401568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8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38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9"/>
        <v>0</v>
      </c>
      <c r="Z122" s="6">
        <v>-24000</v>
      </c>
      <c r="AA122" s="15">
        <v>-9.8106951436094381E-3</v>
      </c>
      <c r="AB122" s="6">
        <f>IFERROR(VLOOKUP($I122,[1]RESUMO!$A$5:$M$150,5,FALSE),"")</f>
        <v>0</v>
      </c>
      <c r="AC122" s="46">
        <f t="shared" si="40"/>
        <v>-1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f>SUM(AB124:AB130)</f>
        <v>28740.799999999999</v>
      </c>
      <c r="AC123" s="45">
        <f>(AB123*-1)/Z123-1</f>
        <v>-0.59407435518014196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8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4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42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IFERROR(VLOOKUP($I124,[1]RESUMO!$A$5:$M$150,5,FALSE),"")</f>
        <v>6748</v>
      </c>
      <c r="AC124" s="46">
        <f t="shared" ref="AC124:AC130" si="43">IFERROR((AB124*-1)/Z124-1,"")</f>
        <v>-0.47664018198154523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8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41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42"/>
        <v>-3.204795108895897E-2</v>
      </c>
      <c r="Z125" s="6">
        <v>-20796.908299999963</v>
      </c>
      <c r="AA125" s="15">
        <v>-8.5013386358708531E-3</v>
      </c>
      <c r="AB125" s="6">
        <f>IFERROR(VLOOKUP($I125,[1]RESUMO!$A$5:$M$150,5,FALSE),"")</f>
        <v>5008.41</v>
      </c>
      <c r="AC125" s="46">
        <f t="shared" si="43"/>
        <v>-0.75917526164213511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8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41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42"/>
        <v>1.3527434414105421E-2</v>
      </c>
      <c r="Z126" s="6">
        <v>-5954.8560750000006</v>
      </c>
      <c r="AA126" s="15">
        <v>-2.4342198989956527E-3</v>
      </c>
      <c r="AB126" s="6">
        <f>IFERROR(VLOOKUP($I126,[1]RESUMO!$A$5:$M$150,5,FALSE),"")</f>
        <v>0</v>
      </c>
      <c r="AC126" s="46">
        <f t="shared" si="43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8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41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42"/>
        <v>-7.9855394633587484E-2</v>
      </c>
      <c r="Z127" s="6">
        <v>-10254.909874999998</v>
      </c>
      <c r="AA127" s="15">
        <v>-4.1919914378672901E-3</v>
      </c>
      <c r="AB127" s="6">
        <f>IFERROR(VLOOKUP($I127,[1]RESUMO!$A$5:$M$150,5,FALSE),"")</f>
        <v>4718</v>
      </c>
      <c r="AC127" s="46">
        <f t="shared" si="43"/>
        <v>-0.53992769731679369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8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41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42"/>
        <v>-8.073077829930253E-2</v>
      </c>
      <c r="Z128" s="6">
        <v>-11768.402275000035</v>
      </c>
      <c r="AA128" s="15">
        <v>-4.8106752936410467E-3</v>
      </c>
      <c r="AB128" s="6">
        <f>IFERROR(VLOOKUP($I128,[1]RESUMO!$A$5:$M$150,5,FALSE),"")</f>
        <v>6648.3899999999994</v>
      </c>
      <c r="AC128" s="46">
        <f t="shared" si="43"/>
        <v>-0.43506434903883506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8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41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42"/>
        <v>-0.26932353622019611</v>
      </c>
      <c r="Z129" s="6">
        <v>-1339.17</v>
      </c>
      <c r="AA129" s="15">
        <v>-5.4742452564447719E-4</v>
      </c>
      <c r="AB129" s="6">
        <f>IFERROR(VLOOKUP($I129,[1]RESUMO!$A$5:$M$150,5,FALSE),"")</f>
        <v>418</v>
      </c>
      <c r="AC129" s="46">
        <f t="shared" si="43"/>
        <v>-0.68786636498726828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8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41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42"/>
        <v>-3.248541048032072E-3</v>
      </c>
      <c r="Z130" s="6">
        <v>-7795.2532000000037</v>
      </c>
      <c r="AA130" s="15">
        <v>-3.1865355296852491E-3</v>
      </c>
      <c r="AB130" s="6">
        <f>IFERROR(VLOOKUP($I130,[1]RESUMO!$A$5:$M$150,5,FALSE),"")</f>
        <v>5200</v>
      </c>
      <c r="AC130" s="46">
        <f t="shared" si="43"/>
        <v>-0.33292737688110019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318060.41999999969</v>
      </c>
      <c r="Y132" s="14">
        <f>X132/V132-1</f>
        <v>-1.4686100321830486E-2</v>
      </c>
      <c r="Z132" s="7">
        <v>166896.54889072594</v>
      </c>
      <c r="AA132" s="14">
        <v>6.822379840364251E-2</v>
      </c>
      <c r="AB132" s="48">
        <f>AB64-AB66</f>
        <v>157736.40000000002</v>
      </c>
      <c r="AC132" s="14">
        <f>AB132/Z132-1</f>
        <v>-5.4885190566303699E-2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4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5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6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22944.799999999996</v>
      </c>
      <c r="AC134" s="14">
        <f t="shared" ref="AC134" si="47">IFERROR((AB134*-1)/Z134-1,"")</f>
        <v>-0.67361103384165899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 t="str">
        <f>IFERROR(VLOOKUP($I136,[1]RESUMO!$A$5:$M$150,5,FALSE),"")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 t="str">
        <f>IFERROR(VLOOKUP($I137,[1]RESUMO!$A$5:$M$150,5,FALSE),"")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 t="str">
        <f>IFERROR(VLOOKUP($I138,[1]RESUMO!$A$5:$M$150,5,FALSE),"")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 t="str">
        <f>IFERROR(VLOOKUP($I139,[1]RESUMO!$A$5:$M$150,5,FALSE),"")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 t="str">
        <f>IFERROR(VLOOKUP($I140,[1]RESUMO!$A$5:$M$150,5,FALSE),"")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 t="str">
        <f>IFERROR(VLOOKUP($I141,[1]RESUMO!$A$5:$M$150,5,FALSE),"")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 t="str">
        <f>IFERROR(VLOOKUP($I142,[1]RESUMO!$A$5:$M$150,5,FALSE),"")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22944.799999999996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f>IFERROR(VLOOKUP($I144,[1]RESUMO!$A$5:$M$150,5,FALSE),"")</f>
        <v>5789.5699999999988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f>IFERROR(VLOOKUP($I145,[1]RESUMO!$A$5:$M$150,5,FALSE),"")</f>
        <v>17023.229999999996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f>IFERROR(VLOOKUP($I146,[1]RESUMO!$A$5:$M$150,5,FALSE),"")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f>IFERROR(VLOOKUP($I147,[1]RESUMO!$A$5:$M$150,5,FALSE),"")</f>
        <v>123.10000000000001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 t="str">
        <f>IFERROR(VLOOKUP($I148,[1]RESUMO!$A$5:$M$150,5,FALSE),"")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f>IFERROR(VLOOKUP($I149,[1]RESUMO!$A$5:$M$150,5,FALSE),"")</f>
        <v>8.9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48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265974.34999999969</v>
      </c>
      <c r="Y151" s="14">
        <f t="shared" ref="Y151" si="49">IFERROR((X151*-1)/V151-1,"")</f>
        <v>-2.0533547330684199</v>
      </c>
      <c r="Z151" s="7">
        <v>96597.603831202126</v>
      </c>
      <c r="AA151" s="14">
        <v>3.9487068449628467E-2</v>
      </c>
      <c r="AB151" s="48">
        <f>AB132-AB134</f>
        <v>134791.60000000003</v>
      </c>
      <c r="AC151" s="14">
        <f t="shared" ref="AC151" si="50">IFERROR((AB151*-1)/Z151-1,"")</f>
        <v>-2.3953927908557584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 t="str">
        <f>IFERROR(VLOOKUP(U154,[1]RESUMO!$A$5:$B$93,2,FALSE),"")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 t="str">
        <f>IFERROR(VLOOKUP(U155,[1]RESUMO!$A$5:$B$93,2,FALSE),"")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265974.34999999969</v>
      </c>
      <c r="Y157" s="50">
        <f>X157/V157-1</f>
        <v>5.3354733068419868E-2</v>
      </c>
      <c r="Z157" s="7">
        <v>96597.603831202126</v>
      </c>
      <c r="AA157" s="14">
        <v>3.9487068449628467E-2</v>
      </c>
      <c r="AB157" s="48">
        <f>AB151-AB153</f>
        <v>134791.60000000003</v>
      </c>
      <c r="AC157" s="50">
        <f>AB157/Z157-1</f>
        <v>0.3953927908557584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6216.37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51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IFERROR(VLOOKUP($I160,[1]RESUMO!$A$5:$M$150,2,FALSE),"")</f>
        <v>9551.4999999999982</v>
      </c>
      <c r="R160" s="6">
        <v>-2167</v>
      </c>
      <c r="S160" s="15">
        <v>0</v>
      </c>
      <c r="T160" s="6">
        <f>IFERROR(VLOOKUP($I160,[1]RESUMO!$A$5:$M$150,3,FALSE),"")</f>
        <v>4960.7299999999996</v>
      </c>
      <c r="V160" s="6">
        <v>-2167</v>
      </c>
      <c r="W160" s="15">
        <v>0</v>
      </c>
      <c r="X160" s="6">
        <f>IFERROR(VLOOKUP($I160,[1]RESUMO!$A$5:$M$150,4,FALSE),"")</f>
        <v>2407.11</v>
      </c>
      <c r="Z160" s="6">
        <v>-2167</v>
      </c>
      <c r="AA160" s="15">
        <v>0</v>
      </c>
      <c r="AB160" s="6">
        <f>IFERROR(VLOOKUP($I160,[1]RESUMO!$A$5:$M$150,5,FALSE),"")</f>
        <v>1222.06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51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IFERROR(VLOOKUP($I161,[1]RESUMO!$A$5:$M$150,2,FALSE),"")</f>
        <v>3037.44</v>
      </c>
      <c r="R161" s="6">
        <v>-1508</v>
      </c>
      <c r="S161" s="15">
        <v>0</v>
      </c>
      <c r="T161" s="6">
        <f>IFERROR(VLOOKUP($I161,[1]RESUMO!$A$5:$M$150,3,FALSE),"")</f>
        <v>3037.44</v>
      </c>
      <c r="V161" s="6">
        <v>-1508</v>
      </c>
      <c r="W161" s="15">
        <v>0</v>
      </c>
      <c r="X161" s="6">
        <f>IFERROR(VLOOKUP($I161,[1]RESUMO!$A$5:$M$150,4,FALSE),"")</f>
        <v>3037.44</v>
      </c>
      <c r="Z161" s="6">
        <v>-1508</v>
      </c>
      <c r="AA161" s="15">
        <v>0</v>
      </c>
      <c r="AB161" s="6">
        <f>IFERROR(VLOOKUP($I161,[1]RESUMO!$A$5:$M$150,5,FALSE),"")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51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IFERROR(VLOOKUP($I162,[1]RESUMO!$A$5:$M$150,2,FALSE),"")</f>
        <v>14634.46</v>
      </c>
      <c r="R162" s="6">
        <v>-9000</v>
      </c>
      <c r="T162" s="6">
        <f>IFERROR(VLOOKUP($I162,[1]RESUMO!$A$5:$M$150,3,FALSE),"")</f>
        <v>5089.95</v>
      </c>
      <c r="V162" s="6">
        <v>-9000</v>
      </c>
      <c r="X162" s="6">
        <f>IFERROR(VLOOKUP($I162,[1]RESUMO!$A$5:$M$150,4,FALSE),"")</f>
        <v>2570</v>
      </c>
      <c r="Y162" s="6"/>
      <c r="AB162" s="6">
        <f>IFERROR(VLOOKUP($I162,[1]RESUMO!$A$5:$M$150,5,FALSE),"")</f>
        <v>0</v>
      </c>
      <c r="AC162" s="6"/>
      <c r="AU162" s="6">
        <f t="shared" si="51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IFERROR(VLOOKUP($I163,[1]RESUMO!$A$5:$M$150,2,FALSE),"")</f>
        <v>25943.030000000002</v>
      </c>
      <c r="R163" s="6">
        <v>-36540</v>
      </c>
      <c r="T163" s="6">
        <f>IFERROR(VLOOKUP($I163,[1]RESUMO!$A$5:$M$150,3,FALSE),"")</f>
        <v>13323.710000000001</v>
      </c>
      <c r="V163" s="6">
        <v>-36540</v>
      </c>
      <c r="X163" s="6">
        <f>IFERROR(VLOOKUP($I163,[1]RESUMO!$A$5:$M$150,4,FALSE),"")</f>
        <v>14734.15</v>
      </c>
      <c r="Z163" s="6">
        <v>-36540</v>
      </c>
      <c r="AB163" s="6">
        <f>IFERROR(VLOOKUP($I163,[1]RESUMO!$A$5:$M$150,5,FALSE),"")</f>
        <v>1956.87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51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IFERROR(VLOOKUP($I164,[1]RESUMO!$A$5:$M$150,2,FALSE),"")</f>
        <v>0</v>
      </c>
      <c r="R164" s="6">
        <v>-373</v>
      </c>
      <c r="T164" s="6">
        <f>IFERROR(VLOOKUP($I164,[1]RESUMO!$A$5:$M$150,3,FALSE),"")</f>
        <v>0</v>
      </c>
      <c r="V164" s="6">
        <v>-373</v>
      </c>
      <c r="X164" s="6">
        <f>IFERROR(VLOOKUP($I164,[1]RESUMO!$A$5:$M$150,4,FALSE),"")</f>
        <v>4085</v>
      </c>
      <c r="Z164" s="6">
        <v>-373</v>
      </c>
      <c r="AB164" s="6">
        <f>IFERROR(VLOOKUP($I164,[1]RESUMO!$A$5:$M$150,5,FALSE),"")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51"/>
        <v>-4476</v>
      </c>
    </row>
    <row r="165" spans="9:49" x14ac:dyDescent="0.25">
      <c r="AB165" s="15" t="str">
        <f>IFERROR(VLOOKUP($I165,[1]RESUMO!$A$5:$M$150,5,FALSE),"")</f>
        <v/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-236904.08999999939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292808.0499999997</v>
      </c>
      <c r="Y166" s="50"/>
      <c r="Z166" s="7">
        <f>Z157+Z159</f>
        <v>56009.603831202126</v>
      </c>
      <c r="AA166" s="14"/>
      <c r="AB166" s="7">
        <f>AB157+AB159</f>
        <v>141007.97000000003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" priority="28" operator="equal">
      <formula>"rafael"</formula>
    </cfRule>
  </conditionalFormatting>
  <conditionalFormatting sqref="Q1:Q1048576">
    <cfRule type="cellIs" dxfId="3" priority="27" operator="greaterThan">
      <formula>0</formula>
    </cfRule>
  </conditionalFormatting>
  <conditionalFormatting sqref="U1:U1048576">
    <cfRule type="cellIs" dxfId="2" priority="4" operator="greaterThan">
      <formula>0</formula>
    </cfRule>
  </conditionalFormatting>
  <conditionalFormatting sqref="Y1:Y161 Y163:Y1048576">
    <cfRule type="cellIs" dxfId="1" priority="2" operator="greaterThan">
      <formula>0</formula>
    </cfRule>
  </conditionalFormatting>
  <conditionalFormatting sqref="AC1:AC161 AC163:AC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2026-04-14T13:26:16Z</dcterms:modified>
</cp:coreProperties>
</file>