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536" documentId="13_ncr:1_{463D126B-36EC-4AC4-BFD3-846ACE3C8DAA}" xr6:coauthVersionLast="47" xr6:coauthVersionMax="47" xr10:uidLastSave="{847AD5FD-7755-4B19-965E-C32A60FBFF0A}"/>
  <bookViews>
    <workbookView xWindow="-135" yWindow="-135" windowWidth="29070" windowHeight="1587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6" i="21" l="1"/>
  <c r="AC26" i="21" s="1"/>
  <c r="X26" i="21"/>
  <c r="Y26" i="21" s="1"/>
  <c r="T26" i="21"/>
  <c r="U26" i="21" s="1"/>
  <c r="P26" i="21"/>
  <c r="Q26" i="21" s="1"/>
  <c r="AB18" i="21"/>
  <c r="AC18" i="21" s="1"/>
  <c r="X18" i="21"/>
  <c r="Y18" i="21" s="1"/>
  <c r="T18" i="21"/>
  <c r="U18" i="21" s="1"/>
  <c r="P18" i="21"/>
  <c r="Q18" i="21" s="1"/>
  <c r="AB155" i="21" l="1"/>
  <c r="AB154" i="21"/>
  <c r="AB150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1" i="21"/>
  <c r="AB130" i="21"/>
  <c r="AC130" i="21" s="1"/>
  <c r="AB129" i="21"/>
  <c r="AC129" i="21" s="1"/>
  <c r="AB128" i="21"/>
  <c r="AC128" i="21" s="1"/>
  <c r="AB127" i="21"/>
  <c r="AC127" i="21" s="1"/>
  <c r="AB126" i="21"/>
  <c r="AC126" i="21" s="1"/>
  <c r="AB125" i="21"/>
  <c r="AC125" i="21" s="1"/>
  <c r="AB124" i="21"/>
  <c r="AC124" i="21" s="1"/>
  <c r="AB122" i="21"/>
  <c r="AC122" i="21" s="1"/>
  <c r="AB121" i="21"/>
  <c r="AC121" i="21" s="1"/>
  <c r="AB120" i="21"/>
  <c r="AC120" i="21" s="1"/>
  <c r="AB119" i="21"/>
  <c r="AC119" i="21" s="1"/>
  <c r="AB118" i="21"/>
  <c r="AC118" i="21" s="1"/>
  <c r="AB117" i="21"/>
  <c r="AC117" i="21" s="1"/>
  <c r="AB116" i="21"/>
  <c r="AC116" i="21" s="1"/>
  <c r="AB115" i="21"/>
  <c r="AC115" i="21" s="1"/>
  <c r="AB114" i="21"/>
  <c r="AC114" i="21" s="1"/>
  <c r="AB113" i="21"/>
  <c r="AC113" i="21" s="1"/>
  <c r="AB112" i="21"/>
  <c r="AC112" i="21" s="1"/>
  <c r="AB111" i="21"/>
  <c r="AC111" i="21" s="1"/>
  <c r="AB110" i="21"/>
  <c r="AC110" i="21" s="1"/>
  <c r="AB109" i="21"/>
  <c r="AC109" i="21" s="1"/>
  <c r="AB108" i="21"/>
  <c r="AC108" i="21" s="1"/>
  <c r="AB107" i="21"/>
  <c r="AC107" i="21" s="1"/>
  <c r="AB106" i="21"/>
  <c r="AC106" i="21" s="1"/>
  <c r="AB105" i="21"/>
  <c r="AB104" i="21"/>
  <c r="AC104" i="21" s="1"/>
  <c r="AB103" i="21"/>
  <c r="AC103" i="21" s="1"/>
  <c r="AB102" i="21"/>
  <c r="AC102" i="21" s="1"/>
  <c r="AB100" i="21"/>
  <c r="AC100" i="21" s="1"/>
  <c r="AB99" i="21"/>
  <c r="AC99" i="21" s="1"/>
  <c r="AB98" i="21"/>
  <c r="AC98" i="21" s="1"/>
  <c r="AB97" i="21"/>
  <c r="AC97" i="21" s="1"/>
  <c r="AB96" i="21"/>
  <c r="AC96" i="21" s="1"/>
  <c r="AB95" i="21"/>
  <c r="AC95" i="21" s="1"/>
  <c r="AB94" i="21"/>
  <c r="AC94" i="21" s="1"/>
  <c r="AB93" i="21"/>
  <c r="AC93" i="21" s="1"/>
  <c r="AB92" i="21"/>
  <c r="AC92" i="21" s="1"/>
  <c r="AB91" i="21"/>
  <c r="AC91" i="21" s="1"/>
  <c r="AB90" i="21"/>
  <c r="AC90" i="21" s="1"/>
  <c r="AB89" i="21"/>
  <c r="AC89" i="21" s="1"/>
  <c r="AB88" i="21"/>
  <c r="AC88" i="21" s="1"/>
  <c r="AB87" i="21"/>
  <c r="AC87" i="21" s="1"/>
  <c r="AB86" i="21"/>
  <c r="AC86" i="21" s="1"/>
  <c r="AB84" i="21"/>
  <c r="AC84" i="21" s="1"/>
  <c r="AB83" i="21"/>
  <c r="AC83" i="21" s="1"/>
  <c r="AB82" i="21"/>
  <c r="AC82" i="21" s="1"/>
  <c r="AB81" i="21"/>
  <c r="AC81" i="21" s="1"/>
  <c r="AB80" i="21"/>
  <c r="AC80" i="21" s="1"/>
  <c r="AB79" i="21"/>
  <c r="AC79" i="21" s="1"/>
  <c r="AB78" i="21"/>
  <c r="AC78" i="21" s="1"/>
  <c r="AB77" i="21"/>
  <c r="AC77" i="21" s="1"/>
  <c r="AB76" i="21"/>
  <c r="AC76" i="21" s="1"/>
  <c r="AB75" i="21"/>
  <c r="AC75" i="21" s="1"/>
  <c r="AB74" i="21"/>
  <c r="AC74" i="21" s="1"/>
  <c r="AB73" i="21"/>
  <c r="AC73" i="21" s="1"/>
  <c r="AB72" i="21"/>
  <c r="AC72" i="21" s="1"/>
  <c r="AB71" i="21"/>
  <c r="AC71" i="21" s="1"/>
  <c r="AB70" i="21"/>
  <c r="AC70" i="21" s="1"/>
  <c r="AB69" i="21"/>
  <c r="AC69" i="21" s="1"/>
  <c r="AB68" i="21"/>
  <c r="AC68" i="21" s="1"/>
  <c r="AB62" i="21"/>
  <c r="AC62" i="21" s="1"/>
  <c r="AB61" i="21"/>
  <c r="AC61" i="21" s="1"/>
  <c r="AB60" i="21"/>
  <c r="AC60" i="21" s="1"/>
  <c r="AB59" i="21"/>
  <c r="AC59" i="21" s="1"/>
  <c r="AB58" i="21"/>
  <c r="AC58" i="21" s="1"/>
  <c r="AB57" i="21"/>
  <c r="AC57" i="21" s="1"/>
  <c r="AB56" i="21"/>
  <c r="AC56" i="21" s="1"/>
  <c r="AB55" i="21"/>
  <c r="AC55" i="21" s="1"/>
  <c r="AB54" i="21"/>
  <c r="AC54" i="21" s="1"/>
  <c r="AB53" i="21"/>
  <c r="AC53" i="21" s="1"/>
  <c r="AB52" i="21"/>
  <c r="AC52" i="21" s="1"/>
  <c r="AB51" i="21"/>
  <c r="AC51" i="21" s="1"/>
  <c r="AB50" i="21"/>
  <c r="AC50" i="21" s="1"/>
  <c r="AB49" i="21"/>
  <c r="AC49" i="21" s="1"/>
  <c r="AB48" i="21"/>
  <c r="AC48" i="21" s="1"/>
  <c r="AB47" i="21"/>
  <c r="AC47" i="21" s="1"/>
  <c r="AB45" i="21"/>
  <c r="AC45" i="21" s="1"/>
  <c r="AB44" i="21"/>
  <c r="AC44" i="21" s="1"/>
  <c r="AB43" i="21"/>
  <c r="AC43" i="21" s="1"/>
  <c r="AB42" i="21"/>
  <c r="AC42" i="21" s="1"/>
  <c r="AB41" i="21"/>
  <c r="AC41" i="21" s="1"/>
  <c r="AB40" i="21"/>
  <c r="AC40" i="21" s="1"/>
  <c r="AB39" i="21"/>
  <c r="AC39" i="21" s="1"/>
  <c r="AB38" i="21"/>
  <c r="AC38" i="21" s="1"/>
  <c r="AB37" i="21"/>
  <c r="AC37" i="21" s="1"/>
  <c r="AB36" i="21"/>
  <c r="AC36" i="21" s="1"/>
  <c r="AB35" i="21"/>
  <c r="AC35" i="21" s="1"/>
  <c r="AB34" i="21"/>
  <c r="AC34" i="21" s="1"/>
  <c r="AB33" i="21"/>
  <c r="AC33" i="21" s="1"/>
  <c r="AB31" i="21"/>
  <c r="AC31" i="21" s="1"/>
  <c r="AB30" i="21"/>
  <c r="AC30" i="21" s="1"/>
  <c r="AB29" i="21"/>
  <c r="AC29" i="21" s="1"/>
  <c r="AB28" i="21"/>
  <c r="AC28" i="21" s="1"/>
  <c r="AB27" i="21"/>
  <c r="AC27" i="21" s="1"/>
  <c r="AC25" i="21"/>
  <c r="AB19" i="21"/>
  <c r="AC19" i="21" s="1"/>
  <c r="AB17" i="21"/>
  <c r="AC17" i="21" s="1"/>
  <c r="AB16" i="21"/>
  <c r="AC16" i="21" s="1"/>
  <c r="AB15" i="21"/>
  <c r="AC15" i="21" s="1"/>
  <c r="AB14" i="21"/>
  <c r="AC14" i="21" s="1"/>
  <c r="AB13" i="21"/>
  <c r="AC13" i="21" s="1"/>
  <c r="AC10" i="21"/>
  <c r="AB143" i="21" l="1"/>
  <c r="AB134" i="21" s="1"/>
  <c r="AC134" i="21" s="1"/>
  <c r="AB101" i="21"/>
  <c r="AC101" i="21" s="1"/>
  <c r="AC105" i="21"/>
  <c r="AB12" i="21"/>
  <c r="AB24" i="21"/>
  <c r="AB32" i="21"/>
  <c r="AC32" i="21" s="1"/>
  <c r="AB46" i="21"/>
  <c r="AC46" i="21" s="1"/>
  <c r="AB85" i="21"/>
  <c r="AC85" i="21" s="1"/>
  <c r="AB67" i="21"/>
  <c r="AB123" i="21"/>
  <c r="AC123" i="21" s="1"/>
  <c r="AC12" i="21" l="1"/>
  <c r="AB21" i="21"/>
  <c r="AC24" i="21"/>
  <c r="AB23" i="21"/>
  <c r="AC23" i="21" s="1"/>
  <c r="AC67" i="21"/>
  <c r="AB66" i="21"/>
  <c r="AC66" i="21" s="1"/>
  <c r="AB64" i="21" l="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3" i="21" s="1"/>
  <c r="T134" i="21" s="1"/>
  <c r="U134" i="21" s="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Q129" i="21"/>
  <c r="X131" i="21"/>
  <c r="X155" i="21"/>
  <c r="X154" i="21"/>
  <c r="Y130" i="21"/>
  <c r="Y129" i="21"/>
  <c r="Y10" i="21"/>
  <c r="T155" i="21"/>
  <c r="T154" i="21"/>
  <c r="T150" i="21"/>
  <c r="U10" i="21"/>
  <c r="P150" i="21"/>
  <c r="Q10" i="21"/>
  <c r="P155" i="21"/>
  <c r="P154" i="21"/>
  <c r="P143" i="21" l="1"/>
  <c r="P134" i="21" s="1"/>
  <c r="Q134" i="21" s="1"/>
  <c r="X143" i="21"/>
  <c r="X134" i="21" s="1"/>
  <c r="Y134" i="21" s="1"/>
  <c r="AB132" i="21"/>
  <c r="AC64" i="2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Y12" i="21" l="1"/>
  <c r="X21" i="21"/>
  <c r="U12" i="21"/>
  <c r="T21" i="21"/>
  <c r="Q12" i="21"/>
  <c r="P21" i="21"/>
  <c r="AC132" i="21"/>
  <c r="AB151" i="21"/>
  <c r="AC151" i="21" s="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Q21" i="21" l="1"/>
  <c r="P64" i="21"/>
  <c r="X64" i="21"/>
  <c r="Y21" i="21"/>
  <c r="U21" i="21"/>
  <c r="T64" i="21"/>
  <c r="U64" i="21" l="1"/>
  <c r="T132" i="21"/>
  <c r="Y64" i="21"/>
  <c r="X132" i="21"/>
  <c r="Q64" i="21"/>
  <c r="P132" i="21"/>
  <c r="Q132" i="21" l="1"/>
  <c r="P151" i="21"/>
  <c r="Q151" i="21" s="1"/>
  <c r="X151" i="21"/>
  <c r="Y151" i="21" s="1"/>
  <c r="Y132" i="21"/>
  <c r="T151" i="21"/>
  <c r="U151" i="21" s="1"/>
  <c r="U132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<sst xmlns="http://schemas.openxmlformats.org/spreadsheetml/2006/main" count="488" uniqueCount="188">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</sst>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9" formatCode="_-* #,##0_-;\-* #,##0_-;_-* &quot;-&quot;??_-;_-@_-"/>
    <numFmt numFmtId="170" formatCode="[$-416]mmm\-yy;@"/>
    <numFmt numFmtId="173" formatCode="0.00%;\-0.0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70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9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3" fontId="0" fillId="0" borderId="0" xfId="1" applyNumberFormat="1" applyFont="1" applyAlignment="1">
      <alignment horizontal="center"/>
    </xf>
    <xf numFmtId="173" fontId="2" fillId="0" borderId="0" xfId="1" applyNumberFormat="1" applyFont="1" applyAlignment="1">
      <alignment horizontal="center"/>
    </xf>
    <xf numFmtId="173" fontId="1" fillId="0" borderId="0" xfId="2" applyNumberFormat="1" applyFont="1" applyAlignment="1">
      <alignment horizontal="center"/>
    </xf>
    <xf numFmtId="173" fontId="1" fillId="0" borderId="0" xfId="1" applyNumberFormat="1" applyFont="1" applyAlignment="1">
      <alignment horizontal="center"/>
    </xf>
    <xf numFmtId="173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3" fontId="0" fillId="0" borderId="0" xfId="1" applyNumberFormat="1" applyFont="1" applyAlignment="1">
      <alignment horizontal="centerContinuous"/>
    </xf>
    <xf numFmtId="170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0" fontId="2" fillId="0" borderId="0" xfId="0" applyNumberFormat="1" applyFont="1" applyAlignment="1">
      <alignment horizontal="center" vertical="center"/>
    </xf>
    <xf numFmtId="170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ORÇAMENTO - RESPONSÁVEIS"/>
      <sheetName val="CUSTO MOD"/>
      <sheetName val="RESUMO"/>
      <sheetName val="DESPESAS"/>
      <sheetName val="Backup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5788.56</v>
          </cell>
          <cell r="E5"/>
          <cell r="F5">
            <v>257388.23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/>
          <cell r="E6"/>
          <cell r="F6">
            <v>2460.61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/>
          <cell r="E7"/>
          <cell r="F7">
            <v>79654.33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/>
          <cell r="E9"/>
          <cell r="F9">
            <v>30636.12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128.6</v>
          </cell>
          <cell r="E10"/>
          <cell r="F10">
            <v>3062.31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/>
          <cell r="E11"/>
          <cell r="F11">
            <v>496.96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/>
          <cell r="E12"/>
          <cell r="F12">
            <v>124098.02000000002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/>
          <cell r="F13">
            <v>63025.459999999992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/>
          <cell r="F16">
            <v>45204.049999999996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259701.91999999998</v>
          </cell>
          <cell r="E17">
            <v>11537.52</v>
          </cell>
          <cell r="F17">
            <v>929529.21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/>
          <cell r="F20">
            <v>3593.3599999999997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10127.52</v>
          </cell>
          <cell r="F21">
            <v>23852.809999999998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/>
          <cell r="E22"/>
          <cell r="F22">
            <v>67168.479999999996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/>
          <cell r="F23">
            <v>25031.9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/>
          <cell r="E24"/>
          <cell r="F24">
            <v>87169.52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990</v>
          </cell>
          <cell r="F25">
            <v>46428.189999999995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7839.08</v>
          </cell>
          <cell r="E26"/>
          <cell r="F26">
            <v>38775.29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/>
          <cell r="F27">
            <v>609909.85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/>
          <cell r="F28">
            <v>5847.7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65815.299999999988</v>
          </cell>
          <cell r="D29">
            <v>94625.499999999985</v>
          </cell>
          <cell r="E29">
            <v>2722.8199999999997</v>
          </cell>
          <cell r="F29">
            <v>250552.85999999996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75</v>
          </cell>
          <cell r="F30">
            <v>75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/>
          <cell r="E33"/>
          <cell r="F33">
            <v>11749.61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/>
          <cell r="F34">
            <v>7515.84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/>
          <cell r="E36"/>
          <cell r="F36">
            <v>16324.37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Manutenção de Equipamentos (Prod)</v>
          </cell>
          <cell r="B37">
            <v>2679.9199999999996</v>
          </cell>
          <cell r="C37">
            <v>9115.0500000000011</v>
          </cell>
          <cell r="D37">
            <v>50727.39</v>
          </cell>
          <cell r="E37">
            <v>92.5</v>
          </cell>
          <cell r="F37">
            <v>62614.86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Predial CIF</v>
          </cell>
          <cell r="B38">
            <v>22729.919999999998</v>
          </cell>
          <cell r="C38">
            <v>3526.05</v>
          </cell>
          <cell r="D38">
            <v>6703.59</v>
          </cell>
          <cell r="E38"/>
          <cell r="F38">
            <v>32959.56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Material de Limpeza CIF</v>
          </cell>
          <cell r="B39">
            <v>1649.3</v>
          </cell>
          <cell r="C39">
            <v>1675.48</v>
          </cell>
          <cell r="D39">
            <v>2109.6999999999998</v>
          </cell>
          <cell r="E39">
            <v>1239.0999999999999</v>
          </cell>
          <cell r="F39">
            <v>6673.58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Medicina e Seguranca do Trabalho CIF</v>
          </cell>
          <cell r="B40">
            <v>2316.15</v>
          </cell>
          <cell r="C40">
            <v>2405.31</v>
          </cell>
          <cell r="D40">
            <v>2405.31</v>
          </cell>
          <cell r="E40"/>
          <cell r="F40">
            <v>7126.77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Segurança do Trabalho MOD</v>
          </cell>
          <cell r="B41"/>
          <cell r="C41"/>
          <cell r="D41">
            <v>180</v>
          </cell>
          <cell r="E41"/>
          <cell r="F41">
            <v>180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Salarios e Ordenados CIF</v>
          </cell>
          <cell r="B42">
            <v>36962.579999999994</v>
          </cell>
          <cell r="C42">
            <v>30986.82</v>
          </cell>
          <cell r="D42">
            <v>28474.9</v>
          </cell>
          <cell r="E42"/>
          <cell r="F42">
            <v>96424.299999999988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Seguro de Vida CIF</v>
          </cell>
          <cell r="B43">
            <v>361.18</v>
          </cell>
          <cell r="C43">
            <v>243.78000000000003</v>
          </cell>
          <cell r="D43">
            <v>272.03999999999996</v>
          </cell>
          <cell r="E43"/>
          <cell r="F43">
            <v>877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4 - GASTOS COM PESSOAL</v>
          </cell>
          <cell r="B44">
            <v>162457.65999999997</v>
          </cell>
          <cell r="C44">
            <v>172282.52000000005</v>
          </cell>
          <cell r="D44">
            <v>149071.4</v>
          </cell>
          <cell r="E44">
            <v>32012.289999999997</v>
          </cell>
          <cell r="F44">
            <v>515823.87000000005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Assistência Médica (Adm)</v>
          </cell>
          <cell r="B45"/>
          <cell r="C45">
            <v>75</v>
          </cell>
          <cell r="D45"/>
          <cell r="E45"/>
          <cell r="F45">
            <v>75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Confraternização</v>
          </cell>
          <cell r="B46">
            <v>3330.86</v>
          </cell>
          <cell r="C46">
            <v>369.46000000000004</v>
          </cell>
          <cell r="D46">
            <v>1065.51</v>
          </cell>
          <cell r="E46">
            <v>85.15</v>
          </cell>
          <cell r="F46">
            <v>4850.9799999999996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Cursos e Treinamentos (Adm)</v>
          </cell>
          <cell r="B47">
            <v>2231.33</v>
          </cell>
          <cell r="C47">
            <v>4424.49</v>
          </cell>
          <cell r="D47">
            <v>1873.7600000000002</v>
          </cell>
          <cell r="E47"/>
          <cell r="F47">
            <v>8529.58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Ferias (Adm)</v>
          </cell>
          <cell r="B48"/>
          <cell r="C48">
            <v>297.89999999999998</v>
          </cell>
          <cell r="D48">
            <v>1372.31</v>
          </cell>
          <cell r="E48">
            <v>1529.83</v>
          </cell>
          <cell r="F48">
            <v>3200.04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FGTS (Adm)</v>
          </cell>
          <cell r="B49">
            <v>8774.5499999999993</v>
          </cell>
          <cell r="C49">
            <v>9673.7099999999991</v>
          </cell>
          <cell r="D49"/>
          <cell r="E49"/>
          <cell r="F49">
            <v>18448.259999999998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Gratificações (Adm)</v>
          </cell>
          <cell r="B50">
            <v>2919.01</v>
          </cell>
          <cell r="C50">
            <v>4519.01</v>
          </cell>
          <cell r="D50">
            <v>4955.24</v>
          </cell>
          <cell r="E50"/>
          <cell r="F50">
            <v>12393.26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INSS (Adm)</v>
          </cell>
          <cell r="B51">
            <v>22949.23</v>
          </cell>
          <cell r="C51">
            <v>17763.09</v>
          </cell>
          <cell r="D51">
            <v>178.31</v>
          </cell>
          <cell r="E51"/>
          <cell r="F51">
            <v>40890.629999999997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Manutenção Predial (Adm)</v>
          </cell>
          <cell r="B52">
            <v>2233.96</v>
          </cell>
          <cell r="C52">
            <v>2457.64</v>
          </cell>
          <cell r="D52">
            <v>1143.7600000000002</v>
          </cell>
          <cell r="E52"/>
          <cell r="F52">
            <v>5835.3600000000006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Pró-Labore</v>
          </cell>
          <cell r="B53">
            <v>64498.680000000008</v>
          </cell>
          <cell r="C53">
            <v>60318.180000000008</v>
          </cell>
          <cell r="D53">
            <v>59830.189999999995</v>
          </cell>
          <cell r="E53">
            <v>30397.309999999998</v>
          </cell>
          <cell r="F53">
            <v>215044.36000000002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Rescisões (Adm)</v>
          </cell>
          <cell r="B54">
            <v>879.73</v>
          </cell>
          <cell r="C54"/>
          <cell r="D54">
            <v>4483.63</v>
          </cell>
          <cell r="E54"/>
          <cell r="F54">
            <v>5363.3600000000006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Salarios e Ordenados (Adm)</v>
          </cell>
          <cell r="B55">
            <v>53990.009999999995</v>
          </cell>
          <cell r="C55">
            <v>71662.62000000001</v>
          </cell>
          <cell r="D55">
            <v>73572.070000000007</v>
          </cell>
          <cell r="E55"/>
          <cell r="F55">
            <v>199224.7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Seguro de Vida (Adm)</v>
          </cell>
          <cell r="B56">
            <v>650.30000000000007</v>
          </cell>
          <cell r="C56">
            <v>721.42000000000007</v>
          </cell>
          <cell r="D56">
            <v>596.62</v>
          </cell>
          <cell r="E56"/>
          <cell r="F56">
            <v>1968.3400000000001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5 - DESPESAS ADMINISTRATIVAS</v>
          </cell>
          <cell r="B57">
            <v>16694.399999999998</v>
          </cell>
          <cell r="C57">
            <v>18621.319999999996</v>
          </cell>
          <cell r="D57">
            <v>17985.82</v>
          </cell>
          <cell r="E57">
            <v>524.9</v>
          </cell>
          <cell r="F57">
            <v>53826.44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Água</v>
          </cell>
          <cell r="B58">
            <v>32.229999999999997</v>
          </cell>
          <cell r="C58">
            <v>32.229999999999997</v>
          </cell>
          <cell r="D58">
            <v>32.229999999999997</v>
          </cell>
          <cell r="E58"/>
          <cell r="F58">
            <v>96.69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Alimentação</v>
          </cell>
          <cell r="B59">
            <v>295.60000000000002</v>
          </cell>
          <cell r="C59">
            <v>338.73</v>
          </cell>
          <cell r="D59">
            <v>782.8</v>
          </cell>
          <cell r="E59">
            <v>76.8</v>
          </cell>
          <cell r="F59">
            <v>1493.93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Aluguel de Imóvel</v>
          </cell>
          <cell r="B60">
            <v>800</v>
          </cell>
          <cell r="C60">
            <v>900</v>
          </cell>
          <cell r="D60">
            <v>900</v>
          </cell>
          <cell r="E60"/>
          <cell r="F60">
            <v>2600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Combustíveis (Adm)</v>
          </cell>
          <cell r="B61">
            <v>511.23</v>
          </cell>
          <cell r="C61">
            <v>981.08999999999992</v>
          </cell>
          <cell r="D61">
            <v>780.64</v>
          </cell>
          <cell r="E61"/>
          <cell r="F61">
            <v>2272.96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Copa</v>
          </cell>
          <cell r="B62">
            <v>15.99</v>
          </cell>
          <cell r="C62">
            <v>368.6</v>
          </cell>
          <cell r="D62">
            <v>150.63</v>
          </cell>
          <cell r="E62"/>
          <cell r="F62">
            <v>535.22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Despesas Cartorárias</v>
          </cell>
          <cell r="B63">
            <v>432.21</v>
          </cell>
          <cell r="C63">
            <v>511.6699999999999</v>
          </cell>
          <cell r="D63">
            <v>350.68</v>
          </cell>
          <cell r="E63"/>
          <cell r="F63">
            <v>1294.56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Doações</v>
          </cell>
          <cell r="B64">
            <v>100</v>
          </cell>
          <cell r="C64">
            <v>100</v>
          </cell>
          <cell r="D64">
            <v>100</v>
          </cell>
          <cell r="E64"/>
          <cell r="F64">
            <v>300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Energia Eletrica (Adm)</v>
          </cell>
          <cell r="B65">
            <v>98.41</v>
          </cell>
          <cell r="C65">
            <v>91.95</v>
          </cell>
          <cell r="D65"/>
          <cell r="E65"/>
          <cell r="F65">
            <v>190.36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Material de Expediente (Adm)</v>
          </cell>
          <cell r="B66">
            <v>111.89</v>
          </cell>
          <cell r="C66">
            <v>373.27</v>
          </cell>
          <cell r="D66">
            <v>382.17</v>
          </cell>
          <cell r="E66"/>
          <cell r="F66">
            <v>867.32999999999993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Material de Limpeza (Adm)</v>
          </cell>
          <cell r="B67">
            <v>367.37</v>
          </cell>
          <cell r="C67">
            <v>577.9</v>
          </cell>
          <cell r="D67">
            <v>427.23</v>
          </cell>
          <cell r="E67">
            <v>448.1</v>
          </cell>
          <cell r="F67">
            <v>1820.6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Rastreamento de frota</v>
          </cell>
          <cell r="B68">
            <v>370</v>
          </cell>
          <cell r="C68">
            <v>370</v>
          </cell>
          <cell r="D68">
            <v>370</v>
          </cell>
          <cell r="E68"/>
          <cell r="F68">
            <v>1110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Seguros Veicular</v>
          </cell>
          <cell r="B69">
            <v>11212.419999999998</v>
          </cell>
          <cell r="C69">
            <v>11212.419999999998</v>
          </cell>
          <cell r="D69">
            <v>11212.419999999998</v>
          </cell>
          <cell r="E69"/>
          <cell r="F69">
            <v>33637.259999999995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SPC/Serasa/Associacao</v>
          </cell>
          <cell r="B70">
            <v>351</v>
          </cell>
          <cell r="C70">
            <v>617.44000000000005</v>
          </cell>
          <cell r="D70">
            <v>351</v>
          </cell>
          <cell r="E70"/>
          <cell r="F70">
            <v>1319.44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Telefone e Internet</v>
          </cell>
          <cell r="B71">
            <v>1996.0500000000002</v>
          </cell>
          <cell r="C71">
            <v>2146.02</v>
          </cell>
          <cell r="D71">
            <v>2146.02</v>
          </cell>
          <cell r="E71"/>
          <cell r="F71">
            <v>6288.09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6 - DESPESA COM VENDAS</v>
          </cell>
          <cell r="B72">
            <v>401746.28999999986</v>
          </cell>
          <cell r="C72">
            <v>315472.21000000002</v>
          </cell>
          <cell r="D72">
            <v>320421.34999999998</v>
          </cell>
          <cell r="E72">
            <v>3612.2400000000002</v>
          </cell>
          <cell r="F72">
            <v>1041252.0899999999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Brindes</v>
          </cell>
          <cell r="B73">
            <v>1368</v>
          </cell>
          <cell r="C73"/>
          <cell r="D73"/>
          <cell r="E73"/>
          <cell r="F73">
            <v>1368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Carregamento</v>
          </cell>
          <cell r="B74">
            <v>1955</v>
          </cell>
          <cell r="C74">
            <v>2415</v>
          </cell>
          <cell r="D74">
            <v>182.48000000000002</v>
          </cell>
          <cell r="E74"/>
          <cell r="F74">
            <v>4552.4799999999996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Combustiveis Frota</v>
          </cell>
          <cell r="B75">
            <v>41074.299999999996</v>
          </cell>
          <cell r="C75">
            <v>47569.919999999998</v>
          </cell>
          <cell r="D75">
            <v>70184.260000000009</v>
          </cell>
          <cell r="E75"/>
          <cell r="F75">
            <v>158828.48000000001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Comissões sobre Vendas Externo</v>
          </cell>
          <cell r="B76">
            <v>117100.21999999996</v>
          </cell>
          <cell r="C76">
            <v>78726.199999999983</v>
          </cell>
          <cell r="D76">
            <v>88339.049999999988</v>
          </cell>
          <cell r="E76"/>
          <cell r="F76">
            <v>284165.46999999991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Comissões sobre Vendas Interno</v>
          </cell>
          <cell r="B77">
            <v>7224.44</v>
          </cell>
          <cell r="C77">
            <v>5041.3999999999996</v>
          </cell>
          <cell r="D77">
            <v>10515.810000000001</v>
          </cell>
          <cell r="E77"/>
          <cell r="F77">
            <v>22781.65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Consultoria Comercial</v>
          </cell>
          <cell r="B78">
            <v>13677.889999999998</v>
          </cell>
          <cell r="C78">
            <v>10422.07</v>
          </cell>
          <cell r="D78">
            <v>14362.09</v>
          </cell>
          <cell r="E78"/>
          <cell r="F78">
            <v>38462.050000000003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Desenvolvimento de Novos Produtos</v>
          </cell>
          <cell r="B79">
            <v>24000</v>
          </cell>
          <cell r="C79">
            <v>24000</v>
          </cell>
          <cell r="D79">
            <v>24000</v>
          </cell>
          <cell r="E79"/>
          <cell r="F79">
            <v>72000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Feiras e Eventos</v>
          </cell>
          <cell r="B80">
            <v>119279.42999999996</v>
          </cell>
          <cell r="C80">
            <v>38472.950000000004</v>
          </cell>
          <cell r="D80">
            <v>41728.47</v>
          </cell>
          <cell r="E80">
            <v>77.13</v>
          </cell>
          <cell r="F80">
            <v>199557.97999999998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Fretes</v>
          </cell>
          <cell r="B81"/>
          <cell r="C81">
            <v>2334.16</v>
          </cell>
          <cell r="D81">
            <v>709</v>
          </cell>
          <cell r="E81"/>
          <cell r="F81">
            <v>3043.16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Fretes Ass. Técnica</v>
          </cell>
          <cell r="B82">
            <v>673.06999999999994</v>
          </cell>
          <cell r="C82">
            <v>1644.02</v>
          </cell>
          <cell r="D82">
            <v>420.81</v>
          </cell>
          <cell r="E82"/>
          <cell r="F82">
            <v>2737.9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 Karams</v>
          </cell>
          <cell r="B83">
            <v>9673.85</v>
          </cell>
          <cell r="C83">
            <v>18654.349999999999</v>
          </cell>
          <cell r="D83">
            <v>19808.55</v>
          </cell>
          <cell r="E83"/>
          <cell r="F83">
            <v>48136.75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IPVA e Licenciamento</v>
          </cell>
          <cell r="B84">
            <v>4296.6099999999997</v>
          </cell>
          <cell r="C84">
            <v>4296.6099999999997</v>
          </cell>
          <cell r="D84">
            <v>4296.6099999999997</v>
          </cell>
          <cell r="E84"/>
          <cell r="F84">
            <v>12889.829999999998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Mostruário de Tecido</v>
          </cell>
          <cell r="B85">
            <v>7122.33</v>
          </cell>
          <cell r="C85">
            <v>4005.16</v>
          </cell>
          <cell r="D85">
            <v>4874.22</v>
          </cell>
          <cell r="E85">
            <v>1441.65</v>
          </cell>
          <cell r="F85">
            <v>17443.36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Multas de Trânsito</v>
          </cell>
          <cell r="B86">
            <v>260.32</v>
          </cell>
          <cell r="C86">
            <v>260.32</v>
          </cell>
          <cell r="D86">
            <v>1564.33</v>
          </cell>
          <cell r="E86">
            <v>293.45999999999998</v>
          </cell>
          <cell r="F86">
            <v>2378.4299999999998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Pedágio Frota</v>
          </cell>
          <cell r="B87">
            <v>4450.1000000000004</v>
          </cell>
          <cell r="C87">
            <v>10141.98</v>
          </cell>
          <cell r="D87">
            <v>9958.6499999999978</v>
          </cell>
          <cell r="E87"/>
          <cell r="F87">
            <v>24550.729999999996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Publicidade e Propaganda</v>
          </cell>
          <cell r="B88">
            <v>1965</v>
          </cell>
          <cell r="C88">
            <v>1965</v>
          </cell>
          <cell r="D88">
            <v>7759.59</v>
          </cell>
          <cell r="E88">
            <v>1800</v>
          </cell>
          <cell r="F88">
            <v>13489.59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Royalties</v>
          </cell>
          <cell r="B89">
            <v>35699.840000000004</v>
          </cell>
          <cell r="C89">
            <v>45445.030000000006</v>
          </cell>
          <cell r="D89"/>
          <cell r="E89"/>
          <cell r="F89">
            <v>81144.87000000001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Viagens e Estadias c/ Vendas</v>
          </cell>
          <cell r="B90">
            <v>738.16</v>
          </cell>
          <cell r="C90">
            <v>1807.69</v>
          </cell>
          <cell r="D90"/>
          <cell r="E90"/>
          <cell r="F90">
            <v>2545.85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Manutenção com veiculos</v>
          </cell>
          <cell r="B91">
            <v>11187.73</v>
          </cell>
          <cell r="C91">
            <v>18270.349999999999</v>
          </cell>
          <cell r="D91">
            <v>21717.43</v>
          </cell>
          <cell r="E91"/>
          <cell r="F91">
            <v>51175.509999999995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7 - SERVIÇOS DE TERCEIROS</v>
          </cell>
          <cell r="B92">
            <v>74180.06</v>
          </cell>
          <cell r="C92">
            <v>63742.03</v>
          </cell>
          <cell r="D92">
            <v>66912.58</v>
          </cell>
          <cell r="E92">
            <v>425.6</v>
          </cell>
          <cell r="F92">
            <v>205260.27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Consultoria Empresarial</v>
          </cell>
          <cell r="B93">
            <v>16033.429999999998</v>
          </cell>
          <cell r="C93">
            <v>14452.9</v>
          </cell>
          <cell r="D93">
            <v>19630.41</v>
          </cell>
          <cell r="E93"/>
          <cell r="F93">
            <v>50116.74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Consultoria Juridica</v>
          </cell>
          <cell r="B94">
            <v>6035.41</v>
          </cell>
          <cell r="C94">
            <v>6035.41</v>
          </cell>
          <cell r="D94">
            <v>6035.41</v>
          </cell>
          <cell r="E94"/>
          <cell r="F94">
            <v>18106.23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Contabilidade</v>
          </cell>
          <cell r="B95">
            <v>11823</v>
          </cell>
          <cell r="C95">
            <v>11880</v>
          </cell>
          <cell r="D95">
            <v>12244</v>
          </cell>
          <cell r="E95"/>
          <cell r="F95">
            <v>35947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Curadoria</v>
          </cell>
          <cell r="B96">
            <v>8966</v>
          </cell>
          <cell r="C96">
            <v>9436</v>
          </cell>
          <cell r="D96">
            <v>9436</v>
          </cell>
          <cell r="E96"/>
          <cell r="F96">
            <v>27838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Outros Serviços de Terceiros</v>
          </cell>
          <cell r="B97">
            <v>6685.8499999999995</v>
          </cell>
          <cell r="C97">
            <v>9350</v>
          </cell>
          <cell r="D97">
            <v>7769.93</v>
          </cell>
          <cell r="E97"/>
          <cell r="F97">
            <v>23805.78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Sistemas de Informação</v>
          </cell>
          <cell r="B98">
            <v>23441.37</v>
          </cell>
          <cell r="C98">
            <v>11505.72</v>
          </cell>
          <cell r="D98">
            <v>10818.33</v>
          </cell>
          <cell r="E98">
            <v>381.6</v>
          </cell>
          <cell r="F98">
            <v>46147.02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Vigilancia e Seguranca</v>
          </cell>
          <cell r="B99">
            <v>1195</v>
          </cell>
          <cell r="C99">
            <v>1082</v>
          </cell>
          <cell r="D99">
            <v>978.5</v>
          </cell>
          <cell r="E99">
            <v>44</v>
          </cell>
          <cell r="F99">
            <v>3299.5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8 - DESPESAS FINANCEIRAS</v>
          </cell>
          <cell r="B100">
            <v>56553.34</v>
          </cell>
          <cell r="C100">
            <v>61446.999999999985</v>
          </cell>
          <cell r="D100">
            <v>55657.97</v>
          </cell>
          <cell r="E100">
            <v>13340.41</v>
          </cell>
          <cell r="F100">
            <v>186998.71999999997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Despesas Bancarias</v>
          </cell>
          <cell r="B101">
            <v>9652.9900000000034</v>
          </cell>
          <cell r="C101">
            <v>9775.6499999999905</v>
          </cell>
          <cell r="D101">
            <v>9300.989999999998</v>
          </cell>
          <cell r="E101">
            <v>1112.22</v>
          </cell>
          <cell r="F101">
            <v>29841.849999999991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Despesas de Cobranca</v>
          </cell>
          <cell r="B102">
            <v>143.60000000000002</v>
          </cell>
          <cell r="C102">
            <v>95.93</v>
          </cell>
          <cell r="D102">
            <v>251.57000000000002</v>
          </cell>
          <cell r="E102">
            <v>15.33</v>
          </cell>
          <cell r="F102">
            <v>506.43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Despesas de Outros Gastos Não Operacionais</v>
          </cell>
          <cell r="B103">
            <v>6672.09</v>
          </cell>
          <cell r="C103">
            <v>11317.74</v>
          </cell>
          <cell r="D103">
            <v>13530.41</v>
          </cell>
          <cell r="E103"/>
          <cell r="F103">
            <v>31520.240000000002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Insumos de Clientes</v>
          </cell>
          <cell r="B104">
            <v>10463.530000000001</v>
          </cell>
          <cell r="C104">
            <v>10819.31</v>
          </cell>
          <cell r="D104">
            <v>3571.8999999999996</v>
          </cell>
          <cell r="E104">
            <v>7689.5599999999995</v>
          </cell>
          <cell r="F104">
            <v>32544.299999999996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Juros Pagos</v>
          </cell>
          <cell r="B105"/>
          <cell r="C105">
            <v>95.75</v>
          </cell>
          <cell r="D105"/>
          <cell r="E105"/>
          <cell r="F105">
            <v>95.75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Juros Pagos - Antecipação de Crédito</v>
          </cell>
          <cell r="B106">
            <v>29621.129999999994</v>
          </cell>
          <cell r="C106">
            <v>29342.62</v>
          </cell>
          <cell r="D106">
            <v>29003.100000000002</v>
          </cell>
          <cell r="E106">
            <v>4523.3</v>
          </cell>
          <cell r="F106">
            <v>92490.15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9 - INVESTIMENTOS</v>
          </cell>
          <cell r="B107">
            <v>53166.43</v>
          </cell>
          <cell r="C107">
            <v>26446.83</v>
          </cell>
          <cell r="D107">
            <v>26833.7</v>
          </cell>
          <cell r="E107">
            <v>257.99</v>
          </cell>
          <cell r="F107">
            <v>106704.95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Computadores e Periféricos</v>
          </cell>
          <cell r="B108">
            <v>9551.4999999999982</v>
          </cell>
          <cell r="C108">
            <v>4960.7299999999996</v>
          </cell>
          <cell r="D108">
            <v>2407.11</v>
          </cell>
          <cell r="E108"/>
          <cell r="F108">
            <v>16919.339999999997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Consórcios</v>
          </cell>
          <cell r="B109">
            <v>3037.44</v>
          </cell>
          <cell r="C109">
            <v>3037.44</v>
          </cell>
          <cell r="D109">
            <v>3037.44</v>
          </cell>
          <cell r="E109"/>
          <cell r="F109">
            <v>9112.32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Construções e Reformas</v>
          </cell>
          <cell r="B110">
            <v>14634.46</v>
          </cell>
          <cell r="C110">
            <v>5089.95</v>
          </cell>
          <cell r="D110">
            <v>2570</v>
          </cell>
          <cell r="E110"/>
          <cell r="F110">
            <v>22294.41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Maquinas e Equipamentos</v>
          </cell>
          <cell r="B111">
            <v>25943.030000000002</v>
          </cell>
          <cell r="C111">
            <v>13358.710000000001</v>
          </cell>
          <cell r="D111">
            <v>14734.15</v>
          </cell>
          <cell r="E111">
            <v>257.99</v>
          </cell>
          <cell r="F111">
            <v>54293.880000000005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Moveis e Utensilios</v>
          </cell>
          <cell r="B112"/>
          <cell r="C112"/>
          <cell r="D112">
            <v>4085</v>
          </cell>
          <cell r="E112"/>
          <cell r="F112">
            <v>4085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Total Geral</v>
          </cell>
          <cell r="B113">
            <v>1297618.3500000003</v>
          </cell>
          <cell r="C113">
            <v>1221830.2699999996</v>
          </cell>
          <cell r="D113">
            <v>1026479.7100000004</v>
          </cell>
          <cell r="E113">
            <v>64433.77</v>
          </cell>
          <cell r="F113">
            <v>3610362.1000000006</v>
          </cell>
          <cell r="G113"/>
          <cell r="H113"/>
          <cell r="I113"/>
          <cell r="J113"/>
          <cell r="K113"/>
          <cell r="L113"/>
          <cell r="M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57"/>
  <sheetViews>
    <sheetView showGridLines="0" tabSelected="1" zoomScaleNormal="100" workbookViewId="0">
      <pane xSplit="9" ySplit="10" topLeftCell="N11" activePane="bottomRight" state="frozen"/>
      <selection pane="topRight" activeCell="F1" sqref="F1"/>
      <selection pane="bottomLeft" activeCell="A9" sqref="A9"/>
      <selection pane="bottomRight" activeCell="X17" sqref="X17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hidden="1" customWidth="1"/>
    <col min="27" max="27" width="7.42578125" style="15" hidden="1" customWidth="1"/>
    <col min="28" max="28" width="12.5703125" style="15" hidden="1" customWidth="1"/>
    <col min="29" max="29" width="12.140625" style="15" hidden="1" customWidth="1"/>
    <col min="30" max="30" width="11.5703125" style="6" hidden="1" customWidth="1"/>
    <col min="31" max="31" width="7.42578125" style="15" hidden="1" customWidth="1"/>
    <col min="32" max="32" width="11.5703125" style="6" hidden="1" customWidth="1"/>
    <col min="33" max="33" width="7.42578125" style="15" hidden="1" customWidth="1"/>
    <col min="34" max="34" width="11.5703125" style="6" hidden="1" customWidth="1"/>
    <col min="35" max="35" width="7.42578125" style="15" hidden="1" customWidth="1"/>
    <col min="36" max="36" width="11.5703125" style="6" hidden="1" customWidth="1"/>
    <col min="37" max="37" width="7.42578125" style="15" hidden="1" customWidth="1"/>
    <col min="38" max="38" width="11.5703125" style="6" hidden="1" customWidth="1"/>
    <col min="39" max="39" width="7.42578125" style="15" hidden="1" customWidth="1"/>
    <col min="40" max="40" width="11.5703125" style="6" hidden="1" customWidth="1"/>
    <col min="41" max="41" width="7.42578125" style="15" hidden="1" customWidth="1"/>
    <col min="42" max="42" width="11.5703125" style="6" hidden="1" customWidth="1"/>
    <col min="43" max="43" width="7.42578125" style="15" hidden="1" customWidth="1"/>
    <col min="44" max="44" width="11.5703125" style="6" hidden="1" customWidth="1"/>
    <col min="45" max="45" width="7.42578125" style="15" hidden="1" customWidth="1"/>
    <col min="46" max="46" width="3.7109375" style="27" hidden="1" customWidth="1"/>
    <col min="47" max="47" width="12.7109375" style="6" hidden="1" customWidth="1"/>
    <col min="48" max="48" width="7.42578125" style="15" hidden="1" customWidth="1"/>
    <col min="49" max="49" width="12.7109375" style="6" hidden="1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50" t="s">
        <v>157</v>
      </c>
      <c r="O4" s="50"/>
      <c r="P4" s="51" t="s">
        <v>158</v>
      </c>
      <c r="Q4" s="51"/>
      <c r="R4" s="44" t="s">
        <v>157</v>
      </c>
      <c r="S4" s="43"/>
      <c r="T4" s="51" t="s">
        <v>158</v>
      </c>
      <c r="U4" s="51"/>
      <c r="V4" s="44" t="s">
        <v>157</v>
      </c>
      <c r="W4" s="43"/>
      <c r="X4" s="51" t="s">
        <v>158</v>
      </c>
      <c r="Y4" s="51"/>
      <c r="Z4" s="44" t="s">
        <v>157</v>
      </c>
      <c r="AA4" s="43"/>
      <c r="AB4" s="51" t="s">
        <v>158</v>
      </c>
      <c r="AC4" s="51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0</v>
      </c>
      <c r="AC10" s="14">
        <f>AB10/Z10-1</f>
        <v>-1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5788.56</v>
      </c>
      <c r="Y12" s="14">
        <f t="shared" ref="Y12:Y19" si="2">IFERROR((X12*-1)/V12-1,"")</f>
        <v>-0.97343153771454372</v>
      </c>
      <c r="Z12" s="7">
        <v>-190322.90502026965</v>
      </c>
      <c r="AA12" s="14">
        <v>-7.7799999999999994E-2</v>
      </c>
      <c r="AB12" s="7">
        <f>SUM(AB13:AB19)</f>
        <v>5788.56</v>
      </c>
      <c r="AC12" s="14">
        <f t="shared" ref="AC12:AC19" si="3">IFERROR((AB12*-1)/Z12-1,"")</f>
        <v>-0.96958558404001083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6">
        <v>-42534.310324259073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0.23143550702235127</v>
      </c>
      <c r="R13" s="6">
        <v>-58320.886017926772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0.22974400591161581</v>
      </c>
      <c r="V13" s="6">
        <v>-73371.232466442045</v>
      </c>
      <c r="W13" s="15">
        <v>-2.6200000000000005E-2</v>
      </c>
      <c r="X13" s="6">
        <f>IFERROR(VLOOKUP($I13,[1]RESUMO!$A$5:$M$150,4,FALSE),"")</f>
        <v>0</v>
      </c>
      <c r="Y13" s="46">
        <f t="shared" si="2"/>
        <v>-1</v>
      </c>
      <c r="Z13" s="6">
        <v>-64093.317628933997</v>
      </c>
      <c r="AA13" s="15">
        <v>-2.6200000000000001E-2</v>
      </c>
      <c r="AB13" s="6">
        <f>IFERROR(VLOOKUP($I13,[1]RESUMO!$A$5:$M$150,4,FALSE),"")</f>
        <v>0</v>
      </c>
      <c r="AC13" s="46">
        <f t="shared" si="3"/>
        <v>-1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6">
        <v>-40017.967537900229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0.51629414818561448</v>
      </c>
      <c r="R14" s="6">
        <v>-54870.604593202093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-0.65418059194574918</v>
      </c>
      <c r="V14" s="6">
        <v>-69030.567950297554</v>
      </c>
      <c r="W14" s="15">
        <v>-2.4649999999999998E-2</v>
      </c>
      <c r="X14" s="6">
        <f>IFERROR(VLOOKUP($I14,[1]RESUMO!$A$5:$M$150,4,FALSE),"")</f>
        <v>0</v>
      </c>
      <c r="Y14" s="46">
        <f t="shared" si="2"/>
        <v>-1</v>
      </c>
      <c r="Z14" s="6">
        <v>-60301.537387527591</v>
      </c>
      <c r="AA14" s="15">
        <v>-2.4649999999999998E-2</v>
      </c>
      <c r="AB14" s="6">
        <f>IFERROR(VLOOKUP($I14,[1]RESUMO!$A$5:$M$150,4,FALSE),"")</f>
        <v>0</v>
      </c>
      <c r="AC14" s="46">
        <f t="shared" si="3"/>
        <v>-1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6">
        <v>-4464.4791370882613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6">
        <v>-6121.4670438663588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-0.91881684628230609</v>
      </c>
      <c r="V15" s="6">
        <v>-7701.1789802563198</v>
      </c>
      <c r="W15" s="15">
        <v>-2.7499999999999998E-3</v>
      </c>
      <c r="X15" s="6">
        <f>IFERROR(VLOOKUP($I15,[1]RESUMO!$A$5:$M$150,4,FALSE),"")</f>
        <v>0</v>
      </c>
      <c r="Y15" s="46">
        <f t="shared" si="2"/>
        <v>-1</v>
      </c>
      <c r="Z15" s="6">
        <v>-6727.3520412049038</v>
      </c>
      <c r="AA15" s="15">
        <v>-2.7499999999999998E-3</v>
      </c>
      <c r="AB15" s="6">
        <f>IFERROR(VLOOKUP($I15,[1]RESUMO!$A$5:$M$150,4,FALSE),"")</f>
        <v>0</v>
      </c>
      <c r="AC15" s="46">
        <f t="shared" si="3"/>
        <v>-1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6">
        <v>-17208.537764776571</v>
      </c>
      <c r="O16" s="15">
        <v>-1.06E-2</v>
      </c>
      <c r="P16" s="6">
        <f>IFERROR(VLOOKUP($I16,[1]RESUMO!$A$5:$M$150,2,FALSE),"")</f>
        <v>15874.39</v>
      </c>
      <c r="Q16" s="46">
        <f t="shared" si="0"/>
        <v>-7.752824690935578E-2</v>
      </c>
      <c r="R16" s="6">
        <v>-23595.472969084876</v>
      </c>
      <c r="S16" s="15">
        <v>-1.06E-2</v>
      </c>
      <c r="T16" s="6">
        <f>IFERROR(VLOOKUP($I16,[1]RESUMO!$A$5:$M$150,3,FALSE),"")</f>
        <v>14761.73</v>
      </c>
      <c r="U16" s="46">
        <f t="shared" si="1"/>
        <v>-0.37438295814875044</v>
      </c>
      <c r="V16" s="6">
        <v>-29684.544432987997</v>
      </c>
      <c r="W16" s="15">
        <v>-1.06E-2</v>
      </c>
      <c r="X16" s="6">
        <f>IFERROR(VLOOKUP($I16,[1]RESUMO!$A$5:$M$150,4,FALSE),"")</f>
        <v>0</v>
      </c>
      <c r="Y16" s="46">
        <f t="shared" si="2"/>
        <v>-1</v>
      </c>
      <c r="Z16" s="6">
        <v>-25930.884231553449</v>
      </c>
      <c r="AA16" s="15">
        <v>-1.06E-2</v>
      </c>
      <c r="AB16" s="6">
        <f>IFERROR(VLOOKUP($I16,[1]RESUMO!$A$5:$M$150,4,FALSE),"")</f>
        <v>0</v>
      </c>
      <c r="AC16" s="46">
        <f t="shared" si="3"/>
        <v>-1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6">
        <v>-20698.948726500123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6">
        <v>-28381.347203380396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-0.91330186046605544</v>
      </c>
      <c r="V17" s="6">
        <v>-35705.4661811884</v>
      </c>
      <c r="W17" s="15">
        <v>-1.2750000000000003E-2</v>
      </c>
      <c r="X17" s="6">
        <f>IFERROR(VLOOKUP($I17,[1]RESUMO!$A$5:$M$150,4,FALSE),"")</f>
        <v>0</v>
      </c>
      <c r="Y17" s="46">
        <f t="shared" si="2"/>
        <v>-1</v>
      </c>
      <c r="Z17" s="6">
        <v>-31190.450372859104</v>
      </c>
      <c r="AA17" s="15">
        <v>-1.2750000000000001E-2</v>
      </c>
      <c r="AB17" s="6">
        <f>IFERROR(VLOOKUP($I17,[1]RESUMO!$A$5:$M$150,4,FALSE),"")</f>
        <v>0</v>
      </c>
      <c r="AC17" s="46">
        <f t="shared" si="3"/>
        <v>-1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6">
        <v>-1379.929915100008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4.6154579448606237E-2</v>
      </c>
      <c r="R18" s="6">
        <v>-1892.0898135586931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4">IFERROR((T18*-1)/R18-1,"")</f>
        <v>-0.21246338872392168</v>
      </c>
      <c r="V18" s="6">
        <v>-2380.3644120792264</v>
      </c>
      <c r="W18" s="15">
        <v>-8.5000000000000006E-4</v>
      </c>
      <c r="X18" s="6">
        <f>IFERROR(VLOOKUP($I18,[1]RESUMO!$A$5:$M$150,4,FALSE),"")</f>
        <v>128.6</v>
      </c>
      <c r="Y18" s="46">
        <f t="shared" ref="Y18" si="5">IFERROR((X18*-1)/V18-1,"")</f>
        <v>-0.94597465860797803</v>
      </c>
      <c r="Z18" s="6">
        <v>-2079.363358190607</v>
      </c>
      <c r="AA18" s="15">
        <v>-8.5000000000000006E-4</v>
      </c>
      <c r="AB18" s="6">
        <f>IFERROR(VLOOKUP($I18,[1]RESUMO!$A$5:$M$150,4,FALSE),"")</f>
        <v>128.6</v>
      </c>
      <c r="AC18" s="46">
        <f t="shared" ref="AC18" si="6">IFERROR((AB18*-1)/Z18-1,"")</f>
        <v>-0.93815414728097191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6">
        <v>0</v>
      </c>
      <c r="O19" s="15">
        <v>-8.4999999999999995E-4</v>
      </c>
      <c r="P19" s="6">
        <f>IFERROR(VLOOKUP($I19,[1]RESUMO!$A$5:$M$150,2,FALSE),"")</f>
        <v>5659.96</v>
      </c>
      <c r="Q19" s="46" t="str">
        <f t="shared" ref="Q19" si="7">IFERROR((P19*-1)/N19-1,"")</f>
        <v/>
      </c>
      <c r="R19" s="6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6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f>IFERROR(VLOOKUP($I19,[1]RESUMO!$A$5:$M$150,4,FALSE),"")</f>
        <v>5659.96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2620454.8399999994</v>
      </c>
      <c r="Y21" s="14">
        <f>X21/V21-1</f>
        <v>1.4675183670345815E-2</v>
      </c>
      <c r="Z21" s="7">
        <v>2255986.9281451502</v>
      </c>
      <c r="AA21" s="14">
        <v>0.92220000000000002</v>
      </c>
      <c r="AB21" s="48">
        <f>AB10-AB12</f>
        <v>-5788.56</v>
      </c>
      <c r="AC21" s="14"/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v>-1069601.9562959964</v>
      </c>
      <c r="O23" s="14">
        <v>-0.65884625943898545</v>
      </c>
      <c r="P23" s="7">
        <f>P24+P32+P46</f>
        <v>958701.03999999992</v>
      </c>
      <c r="Q23" s="14">
        <f>IFERROR((P23*-1)/N23-1,"")</f>
        <v>-0.10368428707819821</v>
      </c>
      <c r="R23" s="7">
        <v>-1301911.6608262858</v>
      </c>
      <c r="S23" s="14">
        <v>-0.58486912395610513</v>
      </c>
      <c r="T23" s="7">
        <f>T24+T32+T46</f>
        <v>1278405.5500000003</v>
      </c>
      <c r="U23" s="14">
        <f>IFERROR((T23*-1)/R23-1,"")</f>
        <v>-1.8055073576472069E-2</v>
      </c>
      <c r="V23" s="7">
        <v>-1523387.2743081583</v>
      </c>
      <c r="W23" s="14">
        <v>-0.54398359200424673</v>
      </c>
      <c r="X23" s="7">
        <f>X24+X32+X46</f>
        <v>1393448.2099999997</v>
      </c>
      <c r="Y23" s="14">
        <f>IFERROR((X23*-1)/V23-1,"")</f>
        <v>-8.5296146619821323E-2</v>
      </c>
      <c r="Z23" s="7">
        <v>-1386856.7374531499</v>
      </c>
      <c r="AA23" s="14">
        <v>-0.56691786079223527</v>
      </c>
      <c r="AB23" s="7">
        <f>AB24+AB32+AB46</f>
        <v>383628.32999999996</v>
      </c>
      <c r="AC23" s="14">
        <f>IFERROR((AB23*-1)/Z23-1,"")</f>
        <v>-0.72338287031398618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8">
        <v>-625919.97501977417</v>
      </c>
      <c r="O24" s="13">
        <v>-0.38555</v>
      </c>
      <c r="P24" s="8">
        <f>SUM(P25:P31)</f>
        <v>572872.94999999995</v>
      </c>
      <c r="Q24" s="45">
        <f>IFERROR((P24*-1)/N24-1,"")</f>
        <v>-8.475049069667151E-2</v>
      </c>
      <c r="R24" s="8">
        <v>-858229.67955006356</v>
      </c>
      <c r="S24" s="13">
        <v>-0.38555</v>
      </c>
      <c r="T24" s="8">
        <f>SUM(T25:T31)</f>
        <v>852739.33000000019</v>
      </c>
      <c r="U24" s="45">
        <f>IFERROR((T24*-1)/R24-1,"")</f>
        <v>-6.3972962959539803E-3</v>
      </c>
      <c r="V24" s="8">
        <v>-1079705.293031936</v>
      </c>
      <c r="W24" s="13">
        <v>-0.38554999999999995</v>
      </c>
      <c r="X24" s="8">
        <f>SUM(X25:X31)</f>
        <v>1039300.7899999997</v>
      </c>
      <c r="Y24" s="45">
        <f>IFERROR((X24*-1)/V24-1,"")</f>
        <v>-3.7421788420130775E-2</v>
      </c>
      <c r="Z24" s="8">
        <v>-943174.75617692748</v>
      </c>
      <c r="AA24" s="13">
        <v>-0.38554999999999995</v>
      </c>
      <c r="AB24" s="8">
        <f>SUM(AB25:AB31)</f>
        <v>29480.909999999996</v>
      </c>
      <c r="AC24" s="45">
        <f>IFERROR((AB24*-1)/Z24-1,"")</f>
        <v>-0.96874289753099607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10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6">
        <v>-134340.23585238314</v>
      </c>
      <c r="O25" s="15">
        <v>-8.2750000000000004E-2</v>
      </c>
      <c r="P25" s="47">
        <v>561916.11</v>
      </c>
      <c r="Q25" s="46">
        <f t="shared" ref="Q25:Q62" si="8">IFERROR((P25*-1)/N25-1,"")</f>
        <v>3.1827834113485505</v>
      </c>
      <c r="R25" s="6">
        <v>-184200.50831997863</v>
      </c>
      <c r="S25" s="15">
        <v>-8.2750000000000004E-2</v>
      </c>
      <c r="T25" s="47">
        <v>830151.62000000011</v>
      </c>
      <c r="U25" s="46">
        <f t="shared" ref="U25:U31" si="9">IFERROR((T25*-1)/R25-1,"")</f>
        <v>3.5067824598937918</v>
      </c>
      <c r="V25" s="6">
        <v>-231735.47658771294</v>
      </c>
      <c r="W25" s="15">
        <v>-8.2750000000000004E-2</v>
      </c>
      <c r="X25" s="47">
        <v>1009819.8799999997</v>
      </c>
      <c r="Y25" s="46">
        <f t="shared" ref="Y25:Y31" si="10">IFERROR((X25*-1)/V25-1,"")</f>
        <v>3.3576404220429241</v>
      </c>
      <c r="Z25" s="6">
        <v>-202432.1386944385</v>
      </c>
      <c r="AA25" s="15">
        <v>-8.2750000000000004E-2</v>
      </c>
      <c r="AB25" s="47"/>
      <c r="AC25" s="46">
        <f t="shared" ref="AC25:AC31" si="11">IFERROR((AB25*-1)/Z25-1,"")</f>
        <v>-1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-8.2750000000000004E-2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6">
        <v>0</v>
      </c>
      <c r="O26" s="15">
        <v>0</v>
      </c>
      <c r="P26" s="6">
        <f>IFERROR(VLOOKUP($I26,[1]RESUMO!$A$5:$M$150,2,FALSE),"")</f>
        <v>564</v>
      </c>
      <c r="Q26" s="46" t="str">
        <f t="shared" ref="Q26" si="12">IFERROR((P26*-1)/N26-1,"")</f>
        <v/>
      </c>
      <c r="R26" s="6"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3">IFERROR((T26*-1)/R26-1,"")</f>
        <v/>
      </c>
      <c r="V26" s="6"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4">IFERROR((X26*-1)/V26-1,"")</f>
        <v/>
      </c>
      <c r="Z26" s="6">
        <v>0</v>
      </c>
      <c r="AA26" s="15">
        <v>0</v>
      </c>
      <c r="AB26" s="6">
        <f>IFERROR(VLOOKUP($I26,[1]RESUMO!$A$5:$M$150,4,FALSE),"")</f>
        <v>1534.3</v>
      </c>
      <c r="AC26" s="46" t="str">
        <f t="shared" ref="AC26" si="15">IFERROR((AB26*-1)/Z26-1,"")</f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6">
        <v>-170319.87907991718</v>
      </c>
      <c r="O27" s="15">
        <v>-0.10491250000000002</v>
      </c>
      <c r="P27" s="6" t="str">
        <f>IFERROR(VLOOKUP($I27,[1]RESUMO!$A$5:$M$150,2,FALSE),"")</f>
        <v/>
      </c>
      <c r="Q27" s="46" t="str">
        <f t="shared" si="8"/>
        <v/>
      </c>
      <c r="R27" s="6">
        <v>-233533.96772350161</v>
      </c>
      <c r="S27" s="15">
        <v>-0.10491250000000001</v>
      </c>
      <c r="T27" s="6" t="str">
        <f>IFERROR(VLOOKUP($I27,[1]RESUMO!$A$5:$M$150,3,FALSE),"")</f>
        <v/>
      </c>
      <c r="U27" s="46" t="str">
        <f t="shared" si="9"/>
        <v/>
      </c>
      <c r="V27" s="6">
        <v>-293799.97809677862</v>
      </c>
      <c r="W27" s="15">
        <v>-0.10491249999999999</v>
      </c>
      <c r="X27" s="6" t="str">
        <f>IFERROR(VLOOKUP($I27,[1]RESUMO!$A$5:$M$150,4,FALSE),"")</f>
        <v/>
      </c>
      <c r="Y27" s="46" t="str">
        <f t="shared" si="10"/>
        <v/>
      </c>
      <c r="Z27" s="6">
        <v>-256648.4803719671</v>
      </c>
      <c r="AA27" s="15">
        <v>-0.10491250000000001</v>
      </c>
      <c r="AB27" s="6" t="str">
        <f>IFERROR(VLOOKUP($I27,[1]RESUMO!$A$5:$M$150,4,FALSE),"")</f>
        <v/>
      </c>
      <c r="AC27" s="46" t="str">
        <f t="shared" si="11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6">
        <v>-120743.86757125067</v>
      </c>
      <c r="O28" s="15">
        <v>-7.4374999999999983E-2</v>
      </c>
      <c r="P28" s="6" t="str">
        <f>IFERROR(VLOOKUP($I28,[1]RESUMO!$A$5:$M$150,2,FALSE),"")</f>
        <v/>
      </c>
      <c r="Q28" s="46" t="str">
        <f t="shared" si="8"/>
        <v/>
      </c>
      <c r="R28" s="6">
        <v>-165557.85868638559</v>
      </c>
      <c r="S28" s="15">
        <v>-7.4374999999999983E-2</v>
      </c>
      <c r="T28" s="6" t="str">
        <f>IFERROR(VLOOKUP($I28,[1]RESUMO!$A$5:$M$150,3,FALSE),"")</f>
        <v/>
      </c>
      <c r="U28" s="46" t="str">
        <f t="shared" si="9"/>
        <v/>
      </c>
      <c r="V28" s="6">
        <v>-208281.88605693224</v>
      </c>
      <c r="W28" s="15">
        <v>-7.4374999999999983E-2</v>
      </c>
      <c r="X28" s="6" t="str">
        <f>IFERROR(VLOOKUP($I28,[1]RESUMO!$A$5:$M$150,4,FALSE),"")</f>
        <v/>
      </c>
      <c r="Y28" s="46" t="str">
        <f t="shared" si="10"/>
        <v/>
      </c>
      <c r="Z28" s="6">
        <v>-181944.29384167804</v>
      </c>
      <c r="AA28" s="15">
        <v>-7.4374999999999983E-2</v>
      </c>
      <c r="AB28" s="6" t="str">
        <f>IFERROR(VLOOKUP($I28,[1]RESUMO!$A$5:$M$150,4,FALSE),"")</f>
        <v/>
      </c>
      <c r="AC28" s="46" t="str">
        <f t="shared" si="11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6">
        <v>-92110.321832925532</v>
      </c>
      <c r="O29" s="15">
        <v>-5.6737500000000003E-2</v>
      </c>
      <c r="P29" s="6" t="str">
        <f>IFERROR(VLOOKUP($I29,[1]RESUMO!$A$5:$M$150,2,FALSE),"")</f>
        <v/>
      </c>
      <c r="Q29" s="46" t="str">
        <f t="shared" si="8"/>
        <v/>
      </c>
      <c r="R29" s="6">
        <v>-126296.99505504275</v>
      </c>
      <c r="S29" s="15">
        <v>-5.6737499999999996E-2</v>
      </c>
      <c r="T29" s="6" t="str">
        <f>IFERROR(VLOOKUP($I29,[1]RESUMO!$A$5:$M$150,3,FALSE),"")</f>
        <v/>
      </c>
      <c r="U29" s="46" t="str">
        <f t="shared" si="9"/>
        <v/>
      </c>
      <c r="V29" s="6">
        <v>-158889.32450628834</v>
      </c>
      <c r="W29" s="15">
        <v>-5.6737499999999989E-2</v>
      </c>
      <c r="X29" s="6" t="str">
        <f>IFERROR(VLOOKUP($I29,[1]RESUMO!$A$5:$M$150,4,FALSE),"")</f>
        <v/>
      </c>
      <c r="Y29" s="46" t="str">
        <f t="shared" si="10"/>
        <v/>
      </c>
      <c r="Z29" s="6">
        <v>-138797.504159223</v>
      </c>
      <c r="AA29" s="15">
        <v>-5.6737499999999996E-2</v>
      </c>
      <c r="AB29" s="6" t="str">
        <f>IFERROR(VLOOKUP($I29,[1]RESUMO!$A$5:$M$150,4,FALSE),"")</f>
        <v/>
      </c>
      <c r="AC29" s="46" t="str">
        <f t="shared" si="11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6">
        <v>-100085.50501872411</v>
      </c>
      <c r="O30" s="15">
        <v>-6.1650000000000003E-2</v>
      </c>
      <c r="P30" s="6">
        <f>IFERROR(VLOOKUP($I30,[1]RESUMO!$A$5:$M$150,2,FALSE),"")</f>
        <v>1</v>
      </c>
      <c r="Q30" s="46">
        <f t="shared" si="8"/>
        <v>-0.99999000854319697</v>
      </c>
      <c r="R30" s="6">
        <v>-137232.16118340404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9"/>
        <v>-0.98166115013931332</v>
      </c>
      <c r="V30" s="6">
        <v>-172646.43059374625</v>
      </c>
      <c r="W30" s="15">
        <v>-6.1650000000000003E-2</v>
      </c>
      <c r="X30" s="6">
        <f>IFERROR(VLOOKUP($I30,[1]RESUMO!$A$5:$M$150,4,FALSE),"")</f>
        <v>12217.75</v>
      </c>
      <c r="Y30" s="46">
        <f t="shared" si="10"/>
        <v>-0.92923253635779157</v>
      </c>
      <c r="Z30" s="6">
        <v>-150815.00121464813</v>
      </c>
      <c r="AA30" s="15">
        <v>-6.1650000000000003E-2</v>
      </c>
      <c r="AB30" s="6">
        <f>IFERROR(VLOOKUP($I30,[1]RESUMO!$A$5:$M$150,4,FALSE),"")</f>
        <v>12217.75</v>
      </c>
      <c r="AC30" s="46">
        <f t="shared" si="11"/>
        <v>-0.91898849649173142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6">
        <v>-8320.1656645735784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8"/>
        <v>0.24899436128386232</v>
      </c>
      <c r="R31" s="6">
        <v>-11408.188581750943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9"/>
        <v>0.67277652041329339</v>
      </c>
      <c r="V31" s="6">
        <v>-14352.197190477689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10"/>
        <v>9.5920003832980161E-2</v>
      </c>
      <c r="Z31" s="6">
        <v>-12537.337894972778</v>
      </c>
      <c r="AA31" s="15">
        <v>-5.1250000000000002E-3</v>
      </c>
      <c r="AB31" s="6">
        <f>IFERROR(VLOOKUP($I31,[1]RESUMO!$A$5:$M$150,4,FALSE),"")</f>
        <v>15728.859999999995</v>
      </c>
      <c r="AC31" s="46">
        <f t="shared" si="11"/>
        <v>0.25456138550010321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259701.91999999998</v>
      </c>
      <c r="Y32" s="45">
        <f>(X32*-1)/V32-1</f>
        <v>-0.25692370097751349</v>
      </c>
      <c r="Z32" s="8">
        <v>-349495.63098922232</v>
      </c>
      <c r="AA32" s="13">
        <v>-0.14286646206911166</v>
      </c>
      <c r="AB32" s="8">
        <f>SUM(AB33:AB45)</f>
        <v>259701.91999999998</v>
      </c>
      <c r="AC32" s="45">
        <f>(AB32*-1)/Z32-1</f>
        <v>-0.25692370097751349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8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16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17">IFERROR((X33*-1)/V33-1,"")</f>
        <v>0.88776620370370352</v>
      </c>
      <c r="Z33" s="6">
        <v>-4320</v>
      </c>
      <c r="AA33" s="15">
        <v>-1.7659251258496989E-3</v>
      </c>
      <c r="AB33" s="6">
        <f>IFERROR(VLOOKUP($I33,[1]RESUMO!$A$5:$M$150,4,FALSE),"")</f>
        <v>8155.15</v>
      </c>
      <c r="AC33" s="46">
        <f t="shared" ref="AC33:AC45" si="18">IFERROR((AB33*-1)/Z33-1,"")</f>
        <v>0.88776620370370352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8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16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17"/>
        <v>-0.50742021225707368</v>
      </c>
      <c r="Z34" s="6">
        <v>-19046.924444444445</v>
      </c>
      <c r="AA34" s="15">
        <v>-7.7859820478252927E-3</v>
      </c>
      <c r="AB34" s="6">
        <f>IFERROR(VLOOKUP($I34,[1]RESUMO!$A$5:$M$150,4,FALSE),"")</f>
        <v>9382.1299999999992</v>
      </c>
      <c r="AC34" s="46">
        <f t="shared" si="18"/>
        <v>-0.50742021225707368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8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16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17"/>
        <v>-1</v>
      </c>
      <c r="Z35" s="6">
        <v>-2194.0299999999997</v>
      </c>
      <c r="AA35" s="15">
        <v>-8.9687331108055895E-4</v>
      </c>
      <c r="AB35" s="6">
        <f>IFERROR(VLOOKUP($I35,[1]RESUMO!$A$5:$M$150,4,FALSE),"")</f>
        <v>0</v>
      </c>
      <c r="AC35" s="46">
        <f t="shared" si="18"/>
        <v>-1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8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16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17"/>
        <v>4.798661786295999E-2</v>
      </c>
      <c r="Z36" s="6">
        <v>-208162.68670000002</v>
      </c>
      <c r="AA36" s="15">
        <v>-8.5092527478682636E-2</v>
      </c>
      <c r="AB36" s="6">
        <f>IFERROR(VLOOKUP($I36,[1]RESUMO!$A$5:$M$150,4,FALSE),"")</f>
        <v>218151.71</v>
      </c>
      <c r="AC36" s="46">
        <f t="shared" si="18"/>
        <v>4.798661786295999E-2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8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16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17"/>
        <v/>
      </c>
      <c r="Z37" s="6">
        <v>-122.7</v>
      </c>
      <c r="AA37" s="15">
        <v>-5.015717892170326E-5</v>
      </c>
      <c r="AB37" s="6" t="str">
        <f>IFERROR(VLOOKUP($I37,[1]RESUMO!$A$5:$M$150,4,FALSE),"")</f>
        <v/>
      </c>
      <c r="AC37" s="46" t="str">
        <f t="shared" si="18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8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16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17"/>
        <v/>
      </c>
      <c r="Z38" s="6">
        <v>-17346.890558333333</v>
      </c>
      <c r="AA38" s="15">
        <v>-7.0910439565568858E-3</v>
      </c>
      <c r="AB38" s="6" t="str">
        <f>IFERROR(VLOOKUP($I38,[1]RESUMO!$A$5:$M$150,4,FALSE),"")</f>
        <v/>
      </c>
      <c r="AC38" s="46" t="str">
        <f t="shared" si="18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8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16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17"/>
        <v>5.1668350577432243E-2</v>
      </c>
      <c r="Z39" s="6">
        <v>-7819.0999999999995</v>
      </c>
      <c r="AA39" s="15">
        <v>-3.196283599891523E-3</v>
      </c>
      <c r="AB39" s="6">
        <f>IFERROR(VLOOKUP($I39,[1]RESUMO!$A$5:$M$150,4,FALSE),"")</f>
        <v>8223.1</v>
      </c>
      <c r="AC39" s="46">
        <f t="shared" si="18"/>
        <v>5.1668350577432243E-2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8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16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7839.08</v>
      </c>
      <c r="Y40" s="46">
        <f t="shared" si="17"/>
        <v>-0.21609200000000006</v>
      </c>
      <c r="Z40" s="6">
        <v>-10000</v>
      </c>
      <c r="AA40" s="15">
        <v>-4.0877896431705998E-3</v>
      </c>
      <c r="AB40" s="6">
        <f>IFERROR(VLOOKUP($I40,[1]RESUMO!$A$5:$M$150,4,FALSE),"")</f>
        <v>7839.08</v>
      </c>
      <c r="AC40" s="46">
        <f t="shared" si="18"/>
        <v>-0.21609200000000006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8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16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17"/>
        <v>-0.72909814224347613</v>
      </c>
      <c r="Z41" s="6">
        <v>-1291.6116666666667</v>
      </c>
      <c r="AA41" s="15">
        <v>-5.2798367939983163E-4</v>
      </c>
      <c r="AB41" s="6">
        <f>IFERROR(VLOOKUP($I41,[1]RESUMO!$A$5:$M$150,4,FALSE),"")</f>
        <v>349.9</v>
      </c>
      <c r="AC41" s="46">
        <f t="shared" si="18"/>
        <v>-0.72909814224347613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8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16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17"/>
        <v>2.0785639980724246E-2</v>
      </c>
      <c r="Z42" s="6">
        <v>-1940.2016666666657</v>
      </c>
      <c r="AA42" s="15">
        <v>-7.931136278662332E-4</v>
      </c>
      <c r="AB42" s="6">
        <f>IFERROR(VLOOKUP($I42,[1]RESUMO!$A$5:$M$150,4,FALSE),"")</f>
        <v>1980.53</v>
      </c>
      <c r="AC42" s="46">
        <f t="shared" si="18"/>
        <v>2.0785639980724246E-2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8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16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0</v>
      </c>
      <c r="Y43" s="46">
        <f t="shared" si="17"/>
        <v>-1</v>
      </c>
      <c r="Z43" s="6">
        <v>-16653.014936000003</v>
      </c>
      <c r="AA43" s="15">
        <v>-6.8074021982946114E-3</v>
      </c>
      <c r="AB43" s="6">
        <f>IFERROR(VLOOKUP($I43,[1]RESUMO!$A$5:$M$150,4,FALSE),"")</f>
        <v>0</v>
      </c>
      <c r="AC43" s="46">
        <f t="shared" si="18"/>
        <v>-1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8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16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0</v>
      </c>
      <c r="Y44" s="46">
        <f t="shared" si="17"/>
        <v>-1</v>
      </c>
      <c r="Z44" s="6">
        <v>-37469.283606000005</v>
      </c>
      <c r="AA44" s="15">
        <v>-1.5316654946162874E-2</v>
      </c>
      <c r="AB44" s="6">
        <f>IFERROR(VLOOKUP($I44,[1]RESUMO!$A$5:$M$150,4,FALSE),"")</f>
        <v>0</v>
      </c>
      <c r="AC44" s="46">
        <f t="shared" si="18"/>
        <v>-1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8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16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17"/>
        <v>-0.7570031363358648</v>
      </c>
      <c r="Z45" s="6">
        <v>-23129.187411111114</v>
      </c>
      <c r="AA45" s="15">
        <v>-9.4547252754091822E-3</v>
      </c>
      <c r="AB45" s="6">
        <f>IFERROR(VLOOKUP($I45,[1]RESUMO!$A$5:$M$150,4,FALSE),"")</f>
        <v>5620.32</v>
      </c>
      <c r="AC45" s="46">
        <f t="shared" si="18"/>
        <v>-0.7570031363358648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65815.3</v>
      </c>
      <c r="U46" s="45">
        <f>(T46*-1)/R46-1</f>
        <v>-0.30122252535053284</v>
      </c>
      <c r="V46" s="8">
        <v>-94186.350287000037</v>
      </c>
      <c r="W46" s="15">
        <v>-3.3632832577100986E-2</v>
      </c>
      <c r="X46" s="8">
        <f>SUM(X47:X62)</f>
        <v>94445.5</v>
      </c>
      <c r="Y46" s="45">
        <f>(X46*-1)/V46-1</f>
        <v>2.7514572144509142E-3</v>
      </c>
      <c r="Z46" s="6">
        <v>-94186.350287000037</v>
      </c>
      <c r="AA46" s="15">
        <v>-3.8501398723123699E-2</v>
      </c>
      <c r="AB46" s="8">
        <f>SUM(AB47:AB62)</f>
        <v>94445.5</v>
      </c>
      <c r="AC46" s="45">
        <f>(AB46*-1)/Z46-1</f>
        <v>2.7514572144509142E-3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8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9115.0500000000011</v>
      </c>
      <c r="U47" s="46">
        <f t="shared" ref="U47:U62" si="19">IFERROR((T47*-1)/R47-1,"")</f>
        <v>-0.21871000000000218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20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IFERROR(VLOOKUP($I47,[1]RESUMO!$A$5:$M$150,4,FALSE),"")</f>
        <v>50727.39</v>
      </c>
      <c r="AC47" s="46">
        <f t="shared" ref="AC47:AC62" si="21">IFERROR((AB47*-1)/Z47-1,"")</f>
        <v>3.3480619999999872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8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19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20"/>
        <v>-0.3213360328499969</v>
      </c>
      <c r="Z48" s="6">
        <v>-41957.288700000005</v>
      </c>
      <c r="AA48" s="15">
        <v>-1.7151257020337884E-2</v>
      </c>
      <c r="AB48" s="6">
        <f>IFERROR(VLOOKUP($I48,[1]RESUMO!$A$5:$M$150,4,FALSE),"")</f>
        <v>28474.9</v>
      </c>
      <c r="AC48" s="46">
        <f t="shared" si="21"/>
        <v>-0.3213360328499969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8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19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20"/>
        <v>-1</v>
      </c>
      <c r="Z49" s="6">
        <v>-28.333333333333332</v>
      </c>
      <c r="AA49" s="15">
        <v>-1.1582070655650032E-5</v>
      </c>
      <c r="AB49" s="6">
        <f>IFERROR(VLOOKUP($I49,[1]RESUMO!$A$5:$M$150,4,FALSE),"")</f>
        <v>0</v>
      </c>
      <c r="AC49" s="46">
        <f t="shared" si="21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8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19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20"/>
        <v/>
      </c>
      <c r="Z50" s="6">
        <v>-3496.4407250000004</v>
      </c>
      <c r="AA50" s="15">
        <v>-1.4292714183614904E-3</v>
      </c>
      <c r="AB50" s="6" t="str">
        <f>IFERROR(VLOOKUP($I50,[1]RESUMO!$A$5:$M$150,4,FALSE),"")</f>
        <v/>
      </c>
      <c r="AC50" s="46" t="str">
        <f t="shared" si="21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8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19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20"/>
        <v>-0.54388852636273</v>
      </c>
      <c r="Z51" s="6">
        <v>-3484.8059999999996</v>
      </c>
      <c r="AA51" s="15">
        <v>-1.4245153875258763E-3</v>
      </c>
      <c r="AB51" s="6">
        <f>IFERROR(VLOOKUP($I51,[1]RESUMO!$A$5:$M$150,4,FALSE),"")</f>
        <v>1589.46</v>
      </c>
      <c r="AC51" s="46">
        <f t="shared" si="21"/>
        <v>-0.54388852636273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8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19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20"/>
        <v/>
      </c>
      <c r="Z52" s="6">
        <v>-2841.8077777777767</v>
      </c>
      <c r="AA52" s="15">
        <v>-1.1616712401881651E-3</v>
      </c>
      <c r="AB52" s="6" t="str">
        <f>IFERROR(VLOOKUP($I52,[1]RESUMO!$A$5:$M$150,4,FALSE),"")</f>
        <v/>
      </c>
      <c r="AC52" s="46" t="str">
        <f t="shared" si="21"/>
        <v/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8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19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20"/>
        <v>-1</v>
      </c>
      <c r="Z53" s="6">
        <v>-97.555555555555557</v>
      </c>
      <c r="AA53" s="15">
        <v>-3.9878658963375403E-5</v>
      </c>
      <c r="AB53" s="6">
        <f>IFERROR(VLOOKUP($I53,[1]RESUMO!$A$5:$M$150,4,FALSE),"")</f>
        <v>0</v>
      </c>
      <c r="AC53" s="46">
        <f t="shared" si="21"/>
        <v>-1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8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19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20"/>
        <v>-0.45041813595908609</v>
      </c>
      <c r="Z54" s="6">
        <v>-494.99449999999968</v>
      </c>
      <c r="AA54" s="15">
        <v>-2.0234333905264079E-4</v>
      </c>
      <c r="AB54" s="6">
        <f>IFERROR(VLOOKUP($I54,[1]RESUMO!$A$5:$M$150,4,FALSE),"")</f>
        <v>272.03999999999996</v>
      </c>
      <c r="AC54" s="46">
        <f t="shared" si="21"/>
        <v>-0.45041813595908609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8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19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0</v>
      </c>
      <c r="Y55" s="46">
        <f t="shared" si="20"/>
        <v>-1</v>
      </c>
      <c r="Z55" s="6">
        <v>-3356.5830960000003</v>
      </c>
      <c r="AA55" s="15">
        <v>-1.3721005616270307E-3</v>
      </c>
      <c r="AB55" s="6">
        <f>IFERROR(VLOOKUP($I55,[1]RESUMO!$A$5:$M$150,4,FALSE),"")</f>
        <v>0</v>
      </c>
      <c r="AC55" s="46">
        <f t="shared" si="21"/>
        <v>-1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8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19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0</v>
      </c>
      <c r="Y56" s="46">
        <f t="shared" si="20"/>
        <v>-1</v>
      </c>
      <c r="Z56" s="6">
        <v>-7552.3119660000002</v>
      </c>
      <c r="AA56" s="15">
        <v>-3.0872262636608191E-3</v>
      </c>
      <c r="AB56" s="6">
        <f>IFERROR(VLOOKUP($I56,[1]RESUMO!$A$5:$M$150,4,FALSE),"")</f>
        <v>0</v>
      </c>
      <c r="AC56" s="46">
        <f t="shared" si="21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8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19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20"/>
        <v>-0.68723622506141591</v>
      </c>
      <c r="Z57" s="6">
        <v>-4661.9209666666666</v>
      </c>
      <c r="AA57" s="15">
        <v>-1.9056952244819868E-3</v>
      </c>
      <c r="AB57" s="6">
        <f>IFERROR(VLOOKUP($I57,[1]RESUMO!$A$5:$M$150,4,FALSE),"")</f>
        <v>1458.08</v>
      </c>
      <c r="AC57" s="46">
        <f t="shared" si="21"/>
        <v>-0.68723622506141591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8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19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20"/>
        <v>2.3185787162474103E-3</v>
      </c>
      <c r="Z58" s="6">
        <v>-2399.7460000000001</v>
      </c>
      <c r="AA58" s="15">
        <v>-9.8096568450400739E-4</v>
      </c>
      <c r="AB58" s="6">
        <f>IFERROR(VLOOKUP($I58,[1]RESUMO!$A$5:$M$150,4,FALSE),"")</f>
        <v>2405.31</v>
      </c>
      <c r="AC58" s="46">
        <f t="shared" si="21"/>
        <v>2.3185787162474103E-3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8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19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20"/>
        <v>-0.71798800000000007</v>
      </c>
      <c r="Z59" s="6">
        <v>-2500</v>
      </c>
      <c r="AA59" s="15">
        <v>-1.0219474107926499E-3</v>
      </c>
      <c r="AB59" s="6">
        <f>IFERROR(VLOOKUP($I59,[1]RESUMO!$A$5:$M$150,4,FALSE),"")</f>
        <v>705.03</v>
      </c>
      <c r="AC59" s="46">
        <f t="shared" si="21"/>
        <v>-0.71798800000000007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8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19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20"/>
        <v>8.1897435897435811E-2</v>
      </c>
      <c r="Z60" s="6">
        <v>-1950</v>
      </c>
      <c r="AA60" s="15">
        <v>-7.9711898041826695E-4</v>
      </c>
      <c r="AB60" s="6">
        <f>IFERROR(VLOOKUP($I60,[1]RESUMO!$A$5:$M$150,4,FALSE),"")</f>
        <v>2109.6999999999998</v>
      </c>
      <c r="AC60" s="46">
        <f t="shared" si="21"/>
        <v>8.1897435897435811E-2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8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19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20"/>
        <v>-4.2344285714285723E-2</v>
      </c>
      <c r="Z61" s="6">
        <v>-7000</v>
      </c>
      <c r="AA61" s="15">
        <v>-2.8614527502194196E-3</v>
      </c>
      <c r="AB61" s="6">
        <f>IFERROR(VLOOKUP($I61,[1]RESUMO!$A$5:$M$150,4,FALSE),"")</f>
        <v>6703.59</v>
      </c>
      <c r="AC61" s="46">
        <f t="shared" si="21"/>
        <v>-4.2344285714285723E-2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 t="str">
        <f>IFERROR(VLOOKUP($I62,[1]RESUMO!$A$5:$M$150,2,FALSE),"")</f>
        <v/>
      </c>
      <c r="Q62" s="46" t="str">
        <f t="shared" si="8"/>
        <v/>
      </c>
      <c r="R62" s="6">
        <v>-697.8950000000001</v>
      </c>
      <c r="S62" s="15">
        <v>-3.1352145429305677E-4</v>
      </c>
      <c r="T62" s="6" t="str">
        <f>IFERROR(VLOOKUP($I62,[1]RESUMO!$A$5:$M$150,3,FALSE),"")</f>
        <v/>
      </c>
      <c r="U62" s="46" t="str">
        <f t="shared" si="19"/>
        <v/>
      </c>
      <c r="V62" s="6">
        <v>-697.8950000000001</v>
      </c>
      <c r="W62" s="15">
        <v>-2.4921005665760058E-4</v>
      </c>
      <c r="X62" s="6" t="str">
        <f>IFERROR(VLOOKUP($I62,[1]RESUMO!$A$5:$M$150,4,FALSE),"")</f>
        <v/>
      </c>
      <c r="Y62" s="46" t="str">
        <f t="shared" si="20"/>
        <v/>
      </c>
      <c r="Z62" s="6">
        <v>-697.8950000000001</v>
      </c>
      <c r="AA62" s="15">
        <v>-2.8528479530205459E-4</v>
      </c>
      <c r="AB62" s="6" t="str">
        <f>IFERROR(VLOOKUP($I62,[1]RESUMO!$A$5:$M$150,4,FALSE),"")</f>
        <v/>
      </c>
      <c r="AC62" s="46" t="str">
        <f t="shared" si="21"/>
        <v/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652741.44999999995</v>
      </c>
      <c r="U64" s="14">
        <f>T64/R64-1</f>
        <v>-0.13071481961861786</v>
      </c>
      <c r="V64" s="7">
        <v>1059168.0913617976</v>
      </c>
      <c r="W64" s="14">
        <v>0.37821640799575323</v>
      </c>
      <c r="X64" s="48">
        <f>X21-X23</f>
        <v>1227006.6299999997</v>
      </c>
      <c r="Y64" s="14">
        <f>X64/V64-1</f>
        <v>0.15846260853875238</v>
      </c>
      <c r="Z64" s="7">
        <v>869130.19069200032</v>
      </c>
      <c r="AA64" s="14">
        <v>0.35528213920776469</v>
      </c>
      <c r="AB64" s="48">
        <f>AB21-AB23</f>
        <v>-389416.88999999996</v>
      </c>
      <c r="AC64" s="14">
        <f>AB64/Z64-1</f>
        <v>-1.4480535760585496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2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3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554391.15</v>
      </c>
      <c r="Y66" s="14">
        <f t="shared" ref="Y66" si="24">IFERROR((X66*-1)/V66-1,"")</f>
        <v>-0.24712655015902574</v>
      </c>
      <c r="Z66" s="7">
        <v>-702233.64180127438</v>
      </c>
      <c r="AA66" s="14">
        <v>-0.28705834080412218</v>
      </c>
      <c r="AB66" s="7">
        <f>SUM(AB67+AB85+AB101+AB123)</f>
        <v>554391.15</v>
      </c>
      <c r="AC66" s="14">
        <f t="shared" ref="AC66" si="25">IFERROR((AB66*-1)/Z66-1,"")</f>
        <v>-0.21053177034077841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149071.40000000002</v>
      </c>
      <c r="Y67" s="45">
        <f>(X67*-1)/V67-1</f>
        <v>-0.14747148247323461</v>
      </c>
      <c r="Z67" s="8">
        <v>-174857.96303033334</v>
      </c>
      <c r="AA67" s="13">
        <v>-7.1478257030130415E-2</v>
      </c>
      <c r="AB67" s="8">
        <f>SUM(AB68:AB84)</f>
        <v>149071.40000000002</v>
      </c>
      <c r="AC67" s="45">
        <f>(AB67*-1)/Z67-1</f>
        <v>-0.14747148247323461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22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26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27">IFERROR((X68*-1)/V68-1,"")</f>
        <v>-6.3690297339593194E-2</v>
      </c>
      <c r="Z68" s="6">
        <v>-63900</v>
      </c>
      <c r="AA68" s="15">
        <v>-2.6120975819860132E-2</v>
      </c>
      <c r="AB68" s="6">
        <f>IFERROR(VLOOKUP($I68,[1]RESUMO!$A$5:$M$150,4,FALSE),"")</f>
        <v>59830.189999999995</v>
      </c>
      <c r="AC68" s="46">
        <f t="shared" ref="AC68:AC84" si="28">IFERROR((AB68*-1)/Z68-1,"")</f>
        <v>-6.3690297339593194E-2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22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26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73572.070000000007</v>
      </c>
      <c r="Y69" s="46">
        <f t="shared" si="27"/>
        <v>0.21586470162920657</v>
      </c>
      <c r="Z69" s="6">
        <v>-60510.079700000002</v>
      </c>
      <c r="AA69" s="15">
        <v>-2.4735247710508754E-2</v>
      </c>
      <c r="AB69" s="6">
        <f>IFERROR(VLOOKUP($I69,[1]RESUMO!$A$5:$M$150,4,FALSE),"")</f>
        <v>73572.070000000007</v>
      </c>
      <c r="AC69" s="46">
        <f t="shared" si="28"/>
        <v>0.21586470162920657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22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26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27"/>
        <v/>
      </c>
      <c r="Z70" s="6">
        <v>0</v>
      </c>
      <c r="AA70" s="15">
        <v>0</v>
      </c>
      <c r="AB70" s="6" t="str">
        <f>IFERROR(VLOOKUP($I70,[1]RESUMO!$A$5:$M$150,4,FALSE),"")</f>
        <v/>
      </c>
      <c r="AC70" s="46" t="str">
        <f t="shared" si="28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22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26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27"/>
        <v/>
      </c>
      <c r="Z71" s="6">
        <v>-5042.5066416666668</v>
      </c>
      <c r="AA71" s="15">
        <v>-2.0612706425423961E-3</v>
      </c>
      <c r="AB71" s="6" t="str">
        <f>IFERROR(VLOOKUP($I71,[1]RESUMO!$A$5:$M$150,4,FALSE),"")</f>
        <v/>
      </c>
      <c r="AC71" s="46" t="str">
        <f t="shared" si="28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22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26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27"/>
        <v>-0.79588871703303998</v>
      </c>
      <c r="Z72" s="6">
        <v>-6723.3421888888888</v>
      </c>
      <c r="AA72" s="15">
        <v>-2.748360856723195E-3</v>
      </c>
      <c r="AB72" s="6">
        <f>IFERROR(VLOOKUP($I72,[1]RESUMO!$A$5:$M$150,4,FALSE),"")</f>
        <v>1372.31</v>
      </c>
      <c r="AC72" s="46">
        <f t="shared" si="28"/>
        <v>-0.79588871703303998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22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26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27"/>
        <v>8.0747653586202173E-2</v>
      </c>
      <c r="Z73" s="6">
        <v>-4585.0111111111119</v>
      </c>
      <c r="AA73" s="15">
        <v>-1.8742560933822125E-3</v>
      </c>
      <c r="AB73" s="6">
        <f>IFERROR(VLOOKUP($I73,[1]RESUMO!$A$5:$M$150,4,FALSE),"")</f>
        <v>4955.24</v>
      </c>
      <c r="AC73" s="46">
        <f t="shared" si="28"/>
        <v>8.0747653586202173E-2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22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26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27"/>
        <v/>
      </c>
      <c r="Z74" s="6">
        <v>-333</v>
      </c>
      <c r="AA74" s="15">
        <v>-1.3612339511758097E-4</v>
      </c>
      <c r="AB74" s="6" t="str">
        <f>IFERROR(VLOOKUP($I74,[1]RESUMO!$A$5:$M$150,4,FALSE),"")</f>
        <v/>
      </c>
      <c r="AC74" s="46" t="str">
        <f t="shared" si="28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22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26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4483.63</v>
      </c>
      <c r="Y75" s="46">
        <f t="shared" si="27"/>
        <v>-0.32745550000000001</v>
      </c>
      <c r="Z75" s="6">
        <v>-6666.666666666667</v>
      </c>
      <c r="AA75" s="15">
        <v>-2.7251930954470664E-3</v>
      </c>
      <c r="AB75" s="6">
        <f>IFERROR(VLOOKUP($I75,[1]RESUMO!$A$5:$M$150,4,FALSE),"")</f>
        <v>4483.63</v>
      </c>
      <c r="AC75" s="46">
        <f t="shared" si="28"/>
        <v>-0.32745550000000001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22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26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27"/>
        <v/>
      </c>
      <c r="Z76" s="6">
        <v>0</v>
      </c>
      <c r="AA76" s="15">
        <v>0</v>
      </c>
      <c r="AB76" s="6" t="str">
        <f>IFERROR(VLOOKUP($I76,[1]RESUMO!$A$5:$M$150,4,FALSE),"")</f>
        <v/>
      </c>
      <c r="AC76" s="46" t="str">
        <f t="shared" si="28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22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26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27"/>
        <v>-1</v>
      </c>
      <c r="Z77" s="6">
        <v>-305.81</v>
      </c>
      <c r="AA77" s="15">
        <v>-1.2500869507780011E-4</v>
      </c>
      <c r="AB77" s="6">
        <f>IFERROR(VLOOKUP($I77,[1]RESUMO!$A$5:$M$150,4,FALSE),"")</f>
        <v>0</v>
      </c>
      <c r="AC77" s="46">
        <f t="shared" si="28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22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26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27"/>
        <v>-2.0118164379002823E-2</v>
      </c>
      <c r="Z78" s="6">
        <v>-608.86933333333388</v>
      </c>
      <c r="AA78" s="15">
        <v>-2.4889297548441895E-4</v>
      </c>
      <c r="AB78" s="6">
        <f>IFERROR(VLOOKUP($I78,[1]RESUMO!$A$5:$M$150,4,FALSE),"")</f>
        <v>596.62</v>
      </c>
      <c r="AC78" s="46">
        <f t="shared" si="28"/>
        <v>-2.0118164379002823E-2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22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26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178.31</v>
      </c>
      <c r="Y79" s="46">
        <f t="shared" si="27"/>
        <v>-0.98362899014474259</v>
      </c>
      <c r="Z79" s="6">
        <v>-10891.814345999999</v>
      </c>
      <c r="AA79" s="15">
        <v>-4.4523445878915753E-3</v>
      </c>
      <c r="AB79" s="6">
        <f>IFERROR(VLOOKUP($I79,[1]RESUMO!$A$5:$M$150,4,FALSE),"")</f>
        <v>178.31</v>
      </c>
      <c r="AC79" s="46">
        <f t="shared" si="28"/>
        <v>-0.98362899014474259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22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26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0</v>
      </c>
      <c r="Y80" s="46">
        <f t="shared" si="27"/>
        <v>-1</v>
      </c>
      <c r="Z80" s="6">
        <v>-4840.8063760000005</v>
      </c>
      <c r="AA80" s="15">
        <v>-1.9788198168407003E-3</v>
      </c>
      <c r="AB80" s="6">
        <f>IFERROR(VLOOKUP($I80,[1]RESUMO!$A$5:$M$150,4,FALSE),"")</f>
        <v>0</v>
      </c>
      <c r="AC80" s="46">
        <f t="shared" si="28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22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26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27"/>
        <v/>
      </c>
      <c r="Z81" s="6">
        <v>-30</v>
      </c>
      <c r="AA81" s="15">
        <v>-1.2263368929511799E-5</v>
      </c>
      <c r="AB81" s="6" t="str">
        <f>IFERROR(VLOOKUP($I81,[1]RESUMO!$A$5:$M$150,4,FALSE),"")</f>
        <v/>
      </c>
      <c r="AC81" s="46" t="str">
        <f t="shared" si="28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22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26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27"/>
        <v>-0.45188708932824495</v>
      </c>
      <c r="Z82" s="6">
        <v>-2086.7233333333334</v>
      </c>
      <c r="AA82" s="15">
        <v>-8.530086030162431E-4</v>
      </c>
      <c r="AB82" s="6">
        <f>IFERROR(VLOOKUP($I82,[1]RESUMO!$A$5:$M$150,4,FALSE),"")</f>
        <v>1143.7600000000002</v>
      </c>
      <c r="AC82" s="46">
        <f t="shared" si="28"/>
        <v>-0.45188708932824495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22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26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27"/>
        <v>-0.67878399999999994</v>
      </c>
      <c r="Z83" s="6">
        <v>-5833.333333333333</v>
      </c>
      <c r="AA83" s="15">
        <v>-2.3845439585161829E-3</v>
      </c>
      <c r="AB83" s="6">
        <f>IFERROR(VLOOKUP($I83,[1]RESUMO!$A$5:$M$150,4,FALSE),"")</f>
        <v>1873.7600000000002</v>
      </c>
      <c r="AC83" s="46">
        <f t="shared" si="28"/>
        <v>-0.67878399999999994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22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26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27"/>
        <v>-0.57379599999999997</v>
      </c>
      <c r="Z84" s="6">
        <v>-2500</v>
      </c>
      <c r="AA84" s="15">
        <v>-1.0219474107926499E-3</v>
      </c>
      <c r="AB84" s="6">
        <f>IFERROR(VLOOKUP($I84,[1]RESUMO!$A$5:$M$150,4,FALSE),"")</f>
        <v>1065.51</v>
      </c>
      <c r="AC84" s="46">
        <f t="shared" si="28"/>
        <v>-0.57379599999999997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17985.82</v>
      </c>
      <c r="AC85" s="45">
        <f>(AB85*-1)/Z85-1</f>
        <v>-0.11641964427214058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22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29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30">IFERROR((X86*-1)/V86-1,"")</f>
        <v>5.8823529411764719E-2</v>
      </c>
      <c r="Z86" s="6">
        <v>-850</v>
      </c>
      <c r="AA86" s="15">
        <v>-3.4746211966950097E-4</v>
      </c>
      <c r="AB86" s="6">
        <f>IFERROR(VLOOKUP($I86,[1]RESUMO!$A$5:$M$150,4,FALSE),"")</f>
        <v>900</v>
      </c>
      <c r="AC86" s="46">
        <f t="shared" ref="AC86:AC100" si="31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22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29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30"/>
        <v>4.0348612007746754E-2</v>
      </c>
      <c r="Z87" s="6">
        <v>-30.98</v>
      </c>
      <c r="AA87" s="15">
        <v>-1.2663972314542518E-5</v>
      </c>
      <c r="AB87" s="6">
        <f>IFERROR(VLOOKUP($I87,[1]RESUMO!$A$5:$M$150,4,FALSE),"")</f>
        <v>32.229999999999997</v>
      </c>
      <c r="AC87" s="46">
        <f t="shared" si="31"/>
        <v>4.0348612007746754E-2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22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29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30"/>
        <v>-1</v>
      </c>
      <c r="Z88" s="6">
        <v>-59.852857142857147</v>
      </c>
      <c r="AA88" s="15">
        <v>-2.4466588954274089E-5</v>
      </c>
      <c r="AB88" s="6">
        <f>IFERROR(VLOOKUP($I88,[1]RESUMO!$A$5:$M$150,4,FALSE),"")</f>
        <v>0</v>
      </c>
      <c r="AC88" s="46">
        <f t="shared" si="31"/>
        <v>-1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22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29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30"/>
        <v>-5.1535972940004782E-2</v>
      </c>
      <c r="Z89" s="6">
        <v>-2262.6266666666666</v>
      </c>
      <c r="AA89" s="15">
        <v>-9.2491418543616153E-4</v>
      </c>
      <c r="AB89" s="6">
        <f>IFERROR(VLOOKUP($I89,[1]RESUMO!$A$5:$M$150,4,FALSE),"")</f>
        <v>2146.02</v>
      </c>
      <c r="AC89" s="46">
        <f t="shared" si="31"/>
        <v>-5.1535972940004782E-2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22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29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30"/>
        <v>-6.9500748694350079E-2</v>
      </c>
      <c r="Z90" s="6">
        <v>-410.71500000000003</v>
      </c>
      <c r="AA90" s="15">
        <v>-1.6789165232948129E-4</v>
      </c>
      <c r="AB90" s="6">
        <f>IFERROR(VLOOKUP($I90,[1]RESUMO!$A$5:$M$150,4,FALSE),"")</f>
        <v>382.17</v>
      </c>
      <c r="AC90" s="46">
        <f t="shared" si="31"/>
        <v>-6.9500748694350079E-2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22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29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30"/>
        <v>-0.37199237304863864</v>
      </c>
      <c r="Z91" s="6">
        <v>-680.29428571428582</v>
      </c>
      <c r="AA91" s="15">
        <v>-2.7808999354509984E-4</v>
      </c>
      <c r="AB91" s="6">
        <f>IFERROR(VLOOKUP($I91,[1]RESUMO!$A$5:$M$150,4,FALSE),"")</f>
        <v>427.23</v>
      </c>
      <c r="AC91" s="46">
        <f t="shared" si="31"/>
        <v>-0.37199237304863864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22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29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30"/>
        <v>-0.32936095693211842</v>
      </c>
      <c r="Z92" s="6">
        <v>-224.60666666666668</v>
      </c>
      <c r="AA92" s="15">
        <v>-9.1814480578707118E-5</v>
      </c>
      <c r="AB92" s="6">
        <f>IFERROR(VLOOKUP($I92,[1]RESUMO!$A$5:$M$150,4,FALSE),"")</f>
        <v>150.63</v>
      </c>
      <c r="AC92" s="46">
        <f t="shared" si="31"/>
        <v>-0.32936095693211842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22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29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30"/>
        <v>-0.36181818181818182</v>
      </c>
      <c r="Z93" s="6">
        <v>-550</v>
      </c>
      <c r="AA93" s="15">
        <v>-2.2482843037438296E-4</v>
      </c>
      <c r="AB93" s="6">
        <f>IFERROR(VLOOKUP($I93,[1]RESUMO!$A$5:$M$150,4,FALSE),"")</f>
        <v>351</v>
      </c>
      <c r="AC93" s="46">
        <f t="shared" si="31"/>
        <v>-0.36181818181818182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22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29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30"/>
        <v>-0.15836800000000006</v>
      </c>
      <c r="Z94" s="6">
        <v>-416.66666666666669</v>
      </c>
      <c r="AA94" s="15">
        <v>-1.7032456846544165E-4</v>
      </c>
      <c r="AB94" s="6">
        <f>IFERROR(VLOOKUP($I94,[1]RESUMO!$A$5:$M$150,4,FALSE),"")</f>
        <v>350.68</v>
      </c>
      <c r="AC94" s="46">
        <f t="shared" si="31"/>
        <v>-0.15836800000000006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22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29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30"/>
        <v>-4.2445277011776139E-2</v>
      </c>
      <c r="Z95" s="6">
        <v>-11709.43</v>
      </c>
      <c r="AA95" s="15">
        <v>-4.7865686681431117E-3</v>
      </c>
      <c r="AB95" s="6">
        <f>IFERROR(VLOOKUP($I95,[1]RESUMO!$A$5:$M$150,4,FALSE),"")</f>
        <v>11212.419999999998</v>
      </c>
      <c r="AC95" s="46">
        <f t="shared" si="31"/>
        <v>-4.2445277011776139E-2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22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29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30"/>
        <v>-5.7402980028496198E-2</v>
      </c>
      <c r="Z96" s="6">
        <v>-828.18</v>
      </c>
      <c r="AA96" s="15">
        <v>-3.385425626681027E-4</v>
      </c>
      <c r="AB96" s="6">
        <f>IFERROR(VLOOKUP($I96,[1]RESUMO!$A$5:$M$150,4,FALSE),"")</f>
        <v>780.64</v>
      </c>
      <c r="AC96" s="46">
        <f t="shared" si="31"/>
        <v>-5.7402980028496198E-2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22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29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30"/>
        <v>0</v>
      </c>
      <c r="Z97" s="6">
        <v>-370</v>
      </c>
      <c r="AA97" s="15">
        <v>-1.5124821679731218E-4</v>
      </c>
      <c r="AB97" s="6">
        <f>IFERROR(VLOOKUP($I97,[1]RESUMO!$A$5:$M$150,4,FALSE),"")</f>
        <v>370</v>
      </c>
      <c r="AC97" s="46">
        <f t="shared" si="31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22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29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30"/>
        <v/>
      </c>
      <c r="Z98" s="6">
        <v>-79.55</v>
      </c>
      <c r="AA98" s="15">
        <v>-3.2518366611422118E-5</v>
      </c>
      <c r="AB98" s="6" t="str">
        <f>IFERROR(VLOOKUP($I98,[1]RESUMO!$A$5:$M$150,4,FALSE),"")</f>
        <v/>
      </c>
      <c r="AC98" s="46" t="str">
        <f t="shared" si="31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22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29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30"/>
        <v>-0.46604620141878372</v>
      </c>
      <c r="Z99" s="6">
        <v>-1466.0444444444445</v>
      </c>
      <c r="AA99" s="15">
        <v>-5.992881296427796E-4</v>
      </c>
      <c r="AB99" s="6">
        <f>IFERROR(VLOOKUP($I99,[1]RESUMO!$A$5:$M$150,4,FALSE),"")</f>
        <v>782.8</v>
      </c>
      <c r="AC99" s="46">
        <f t="shared" si="31"/>
        <v>-0.46604620141878372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22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29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30"/>
        <v>-0.76</v>
      </c>
      <c r="Z100" s="6">
        <v>-416.66666666666669</v>
      </c>
      <c r="AA100" s="15">
        <v>-1.7032456846544165E-4</v>
      </c>
      <c r="AB100" s="6">
        <f>IFERROR(VLOOKUP($I100,[1]RESUMO!$A$5:$M$150,4,FALSE),"")</f>
        <v>100</v>
      </c>
      <c r="AC100" s="46">
        <f t="shared" si="31"/>
        <v>-0.76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320421.35000000003</v>
      </c>
      <c r="Y101" s="45">
        <f>(X101*-1)/V101-1</f>
        <v>-0.31876017466872508</v>
      </c>
      <c r="Z101" s="8">
        <v>-436216.95079197281</v>
      </c>
      <c r="AA101" s="13">
        <v>-0.17831631336228854</v>
      </c>
      <c r="AB101" s="8">
        <f>SUM(AB102:AB122)</f>
        <v>320421.35000000003</v>
      </c>
      <c r="AC101" s="45">
        <f>(AB101*-1)/Z101-1</f>
        <v>-0.26545415207212897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22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32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182.48000000000002</v>
      </c>
      <c r="Y102" s="46">
        <f t="shared" ref="Y102:Y122" si="33">IFERROR((X102*-1)/V102-1,"")</f>
        <v>-0.95135259063628008</v>
      </c>
      <c r="Z102" s="6">
        <v>-3751.0733333333333</v>
      </c>
      <c r="AA102" s="15">
        <v>-1.5333598722773417E-3</v>
      </c>
      <c r="AB102" s="6">
        <f>IFERROR(VLOOKUP($I102,[1]RESUMO!$A$5:$M$150,4,FALSE),"")</f>
        <v>182.48000000000002</v>
      </c>
      <c r="AC102" s="46">
        <f t="shared" ref="AC102:AC122" si="34">IFERROR((AB102*-1)/Z102-1,"")</f>
        <v>-0.95135259063628008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22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32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70184.260000000009</v>
      </c>
      <c r="Y103" s="46">
        <f t="shared" si="33"/>
        <v>-3.6078084753119133E-2</v>
      </c>
      <c r="Z103" s="6">
        <v>-63604.055662300911</v>
      </c>
      <c r="AA103" s="15">
        <v>-2.5999999999999999E-2</v>
      </c>
      <c r="AB103" s="6">
        <f>IFERROR(VLOOKUP($I103,[1]RESUMO!$A$5:$M$150,4,FALSE),"")</f>
        <v>70184.260000000009</v>
      </c>
      <c r="AC103" s="46">
        <f t="shared" si="34"/>
        <v>0.10345573515997164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22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32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33"/>
        <v>-7.3250150291556571E-2</v>
      </c>
      <c r="Z104" s="6">
        <v>-10745.78</v>
      </c>
      <c r="AA104" s="15">
        <v>-4.3926488191789771E-3</v>
      </c>
      <c r="AB104" s="6">
        <f>IFERROR(VLOOKUP($I104,[1]RESUMO!$A$5:$M$150,4,FALSE),"")</f>
        <v>9958.6499999999978</v>
      </c>
      <c r="AC104" s="46">
        <f t="shared" si="34"/>
        <v>-7.3250150291556571E-2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22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32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33"/>
        <v>-0.78516950000000008</v>
      </c>
      <c r="Z105" s="6">
        <v>-20000</v>
      </c>
      <c r="AA105" s="15">
        <v>-8.1755792863411995E-3</v>
      </c>
      <c r="AB105" s="6">
        <f>IFERROR(VLOOKUP($I105,[1]RESUMO!$A$5:$M$150,4,FALSE),"")</f>
        <v>4296.6099999999997</v>
      </c>
      <c r="AC105" s="46">
        <f t="shared" si="34"/>
        <v>-0.78516950000000008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22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32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33"/>
        <v>1.3283620489856491</v>
      </c>
      <c r="Z106" s="6">
        <v>-671.85857142857151</v>
      </c>
      <c r="AA106" s="15">
        <v>-2.7464165099611092E-4</v>
      </c>
      <c r="AB106" s="6">
        <f>IFERROR(VLOOKUP($I106,[1]RESUMO!$A$5:$M$150,4,FALSE),"")</f>
        <v>1564.33</v>
      </c>
      <c r="AC106" s="46">
        <f t="shared" si="34"/>
        <v>1.3283620489856491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22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32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21717.43</v>
      </c>
      <c r="Y107" s="46">
        <f t="shared" si="33"/>
        <v>0.36493457238546334</v>
      </c>
      <c r="Z107" s="6">
        <v>-15910.96777777778</v>
      </c>
      <c r="AA107" s="15">
        <v>-6.5040689294821137E-3</v>
      </c>
      <c r="AB107" s="6">
        <f>IFERROR(VLOOKUP($I107,[1]RESUMO!$A$5:$M$150,4,FALSE),"")</f>
        <v>21717.43</v>
      </c>
      <c r="AC107" s="46">
        <f t="shared" si="34"/>
        <v>0.36493457238546334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22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32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33"/>
        <v>-0.55774765863786635</v>
      </c>
      <c r="Z108" s="6">
        <v>-1603.1571428571428</v>
      </c>
      <c r="AA108" s="15">
        <v>-6.553369164946398E-4</v>
      </c>
      <c r="AB108" s="6">
        <f>IFERROR(VLOOKUP($I108,[1]RESUMO!$A$5:$M$150,4,FALSE),"")</f>
        <v>709</v>
      </c>
      <c r="AC108" s="46">
        <f t="shared" si="34"/>
        <v>-0.55774765863786635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22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32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33"/>
        <v>4.1906356567400938E-2</v>
      </c>
      <c r="Z109" s="6">
        <v>-19011.833333333332</v>
      </c>
      <c r="AA109" s="15">
        <v>-7.7716375397685568E-3</v>
      </c>
      <c r="AB109" s="6">
        <f>IFERROR(VLOOKUP($I109,[1]RESUMO!$A$5:$M$150,4,FALSE),"")</f>
        <v>19808.55</v>
      </c>
      <c r="AC109" s="46">
        <f t="shared" si="34"/>
        <v>4.1906356567400938E-2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22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32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33"/>
        <v/>
      </c>
      <c r="Z110" s="6">
        <v>-10000</v>
      </c>
      <c r="AA110" s="15">
        <v>-4.0877896431705998E-3</v>
      </c>
      <c r="AB110" s="6" t="str">
        <f>IFERROR(VLOOKUP($I110,[1]RESUMO!$A$5:$M$150,4,FALSE),"")</f>
        <v/>
      </c>
      <c r="AC110" s="46" t="str">
        <f t="shared" si="34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22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32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33"/>
        <v>-0.60937611198608832</v>
      </c>
      <c r="Z111" s="6">
        <v>-1077.2766666666666</v>
      </c>
      <c r="AA111" s="15">
        <v>-4.4036804008293459E-4</v>
      </c>
      <c r="AB111" s="6">
        <f>IFERROR(VLOOKUP($I111,[1]RESUMO!$A$5:$M$150,4,FALSE),"")</f>
        <v>420.81</v>
      </c>
      <c r="AC111" s="46">
        <f t="shared" si="34"/>
        <v>-0.60937611198608832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22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32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33"/>
        <v>-0.3045255</v>
      </c>
      <c r="Z112" s="6">
        <v>-60000</v>
      </c>
      <c r="AA112" s="15">
        <v>-2.4526737859023599E-2</v>
      </c>
      <c r="AB112" s="6">
        <f>IFERROR(VLOOKUP($I112,[1]RESUMO!$A$5:$M$150,4,FALSE),"")</f>
        <v>41728.47</v>
      </c>
      <c r="AC112" s="46">
        <f t="shared" si="34"/>
        <v>-0.3045255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22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32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33"/>
        <v>-1</v>
      </c>
      <c r="Z113" s="6">
        <v>-2402.3599999999997</v>
      </c>
      <c r="AA113" s="15">
        <v>-9.8203423271673207E-4</v>
      </c>
      <c r="AB113" s="6">
        <f>IFERROR(VLOOKUP($I113,[1]RESUMO!$A$5:$M$150,4,FALSE),"")</f>
        <v>0</v>
      </c>
      <c r="AC113" s="46">
        <f t="shared" si="34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22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32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0</v>
      </c>
      <c r="Y114" s="46">
        <f t="shared" si="33"/>
        <v>-1</v>
      </c>
      <c r="Z114" s="6">
        <v>-5000</v>
      </c>
      <c r="AA114" s="15">
        <v>-2.0438948215852999E-3</v>
      </c>
      <c r="AB114" s="6">
        <f>IFERROR(VLOOKUP($I114,[1]RESUMO!$A$5:$M$150,4,FALSE),"")</f>
        <v>0</v>
      </c>
      <c r="AC114" s="46">
        <f t="shared" si="34"/>
        <v>-1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22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32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14362.09</v>
      </c>
      <c r="Y115" s="46">
        <f t="shared" si="33"/>
        <v>-0.16983683887502188</v>
      </c>
      <c r="Z115" s="6">
        <v>-17300.321999999996</v>
      </c>
      <c r="AA115" s="15">
        <v>-7.0720077095116456E-3</v>
      </c>
      <c r="AB115" s="6">
        <f>IFERROR(VLOOKUP($I115,[1]RESUMO!$A$5:$M$150,4,FALSE),"")</f>
        <v>14362.09</v>
      </c>
      <c r="AC115" s="46">
        <f t="shared" si="34"/>
        <v>-0.16983683887502188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22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32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33"/>
        <v>-0.17974160169837938</v>
      </c>
      <c r="Z116" s="6">
        <v>-11198.993254491044</v>
      </c>
      <c r="AA116" s="15">
        <v>-4.5779128639645899E-3</v>
      </c>
      <c r="AB116" s="6">
        <f>IFERROR(VLOOKUP($I116,[1]RESUMO!$A$5:$M$150,4,FALSE),"")</f>
        <v>10515.810000000001</v>
      </c>
      <c r="AC116" s="46">
        <f t="shared" si="34"/>
        <v>-6.1003988391284292E-2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22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32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33"/>
        <v>-0.22954465025216664</v>
      </c>
      <c r="Z117" s="6">
        <v>-100159.50914234405</v>
      </c>
      <c r="AA117" s="15">
        <v>-4.0943100413712498E-2</v>
      </c>
      <c r="AB117" s="6">
        <f>IFERROR(VLOOKUP($I117,[1]RESUMO!$A$5:$M$150,4,FALSE),"")</f>
        <v>88339.049999999988</v>
      </c>
      <c r="AC117" s="46">
        <f t="shared" si="34"/>
        <v>-0.11801634456440013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22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32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33"/>
        <v/>
      </c>
      <c r="Z118" s="6">
        <v>-1619.6499999999999</v>
      </c>
      <c r="AA118" s="15">
        <v>-6.6207884955612605E-4</v>
      </c>
      <c r="AB118" s="6" t="str">
        <f>IFERROR(VLOOKUP($I118,[1]RESUMO!$A$5:$M$150,4,FALSE),"")</f>
        <v/>
      </c>
      <c r="AC118" s="46" t="str">
        <f t="shared" si="34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22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32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0</v>
      </c>
      <c r="Y119" s="46">
        <f t="shared" si="33"/>
        <v>-1</v>
      </c>
      <c r="Z119" s="6">
        <v>-56391.877710522778</v>
      </c>
      <c r="AA119" s="15">
        <v>-2.3051813366401799E-2</v>
      </c>
      <c r="AB119" s="6">
        <f>IFERROR(VLOOKUP($I119,[1]RESUMO!$A$5:$M$150,4,FALSE),"")</f>
        <v>0</v>
      </c>
      <c r="AC119" s="46">
        <f t="shared" si="34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22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32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33"/>
        <v>-0.33449631172311345</v>
      </c>
      <c r="Z120" s="6">
        <v>-7324.1066666666675</v>
      </c>
      <c r="AA120" s="15">
        <v>-2.9939407377476746E-3</v>
      </c>
      <c r="AB120" s="6">
        <f>IFERROR(VLOOKUP($I120,[1]RESUMO!$A$5:$M$150,4,FALSE),"")</f>
        <v>4874.22</v>
      </c>
      <c r="AC120" s="46">
        <f t="shared" si="34"/>
        <v>-0.33449631172311345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22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32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33"/>
        <v>0.52524287238846901</v>
      </c>
      <c r="Z121" s="6">
        <v>-4444.1295302505132</v>
      </c>
      <c r="AA121" s="15">
        <v>-1.816666666666667E-3</v>
      </c>
      <c r="AB121" s="6">
        <f>IFERROR(VLOOKUP($I121,[1]RESUMO!$A$5:$M$150,4,FALSE),"")</f>
        <v>7759.59</v>
      </c>
      <c r="AC121" s="46">
        <f t="shared" si="34"/>
        <v>0.74603146627065042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22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32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33"/>
        <v>0</v>
      </c>
      <c r="Z122" s="6">
        <v>-24000</v>
      </c>
      <c r="AA122" s="15">
        <v>-9.8106951436094381E-3</v>
      </c>
      <c r="AB122" s="6">
        <f>IFERROR(VLOOKUP($I122,[1]RESUMO!$A$5:$M$150,4,FALSE),"")</f>
        <v>24000</v>
      </c>
      <c r="AC122" s="46">
        <f t="shared" si="34"/>
        <v>0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66912.58</v>
      </c>
      <c r="Y123" s="45">
        <f>(X123*-1)/V123-1</f>
        <v>-5.4948638066430244E-2</v>
      </c>
      <c r="Z123" s="8">
        <v>-70803.114724999963</v>
      </c>
      <c r="AA123" s="13">
        <v>-2.8942823907707461E-2</v>
      </c>
      <c r="AB123" s="8">
        <f>SUM(AB124:AB130)</f>
        <v>66912.58</v>
      </c>
      <c r="AC123" s="45">
        <f>(AB123*-1)/Z123-1</f>
        <v>-5.4948638066430244E-2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22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35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36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IFERROR(VLOOKUP($I124,[1]RESUMO!$A$5:$M$150,4,FALSE),"")</f>
        <v>12244</v>
      </c>
      <c r="AC124" s="46">
        <f t="shared" ref="AC124:AC130" si="37">IFERROR((AB124*-1)/Z124-1,"")</f>
        <v>-5.0382689416425652E-2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22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35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19630.41</v>
      </c>
      <c r="Y125" s="46">
        <f t="shared" si="36"/>
        <v>-5.6089986221652288E-2</v>
      </c>
      <c r="Z125" s="6">
        <v>-20796.908299999963</v>
      </c>
      <c r="AA125" s="15">
        <v>-8.5013386358708531E-3</v>
      </c>
      <c r="AB125" s="6">
        <f>IFERROR(VLOOKUP($I125,[1]RESUMO!$A$5:$M$150,4,FALSE),"")</f>
        <v>19630.41</v>
      </c>
      <c r="AC125" s="46">
        <f t="shared" si="37"/>
        <v>-5.6089986221652288E-2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22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35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36"/>
        <v>1.3527434414105421E-2</v>
      </c>
      <c r="Z126" s="6">
        <v>-5954.8560750000006</v>
      </c>
      <c r="AA126" s="15">
        <v>-2.4342198989956527E-3</v>
      </c>
      <c r="AB126" s="6">
        <f>IFERROR(VLOOKUP($I126,[1]RESUMO!$A$5:$M$150,4,FALSE),"")</f>
        <v>6035.41</v>
      </c>
      <c r="AC126" s="46">
        <f t="shared" si="37"/>
        <v>1.3527434414105421E-2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22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35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36"/>
        <v>-7.9855394633587484E-2</v>
      </c>
      <c r="Z127" s="6">
        <v>-10254.909874999998</v>
      </c>
      <c r="AA127" s="15">
        <v>-4.1919914378672901E-3</v>
      </c>
      <c r="AB127" s="6">
        <f>IFERROR(VLOOKUP($I127,[1]RESUMO!$A$5:$M$150,4,FALSE),"")</f>
        <v>9436</v>
      </c>
      <c r="AC127" s="46">
        <f t="shared" si="37"/>
        <v>-7.9855394633587484E-2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22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35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36"/>
        <v>-8.073077829930253E-2</v>
      </c>
      <c r="Z128" s="6">
        <v>-11768.402275000035</v>
      </c>
      <c r="AA128" s="15">
        <v>-4.8106752936410467E-3</v>
      </c>
      <c r="AB128" s="6">
        <f>IFERROR(VLOOKUP($I128,[1]RESUMO!$A$5:$M$150,4,FALSE),"")</f>
        <v>10818.33</v>
      </c>
      <c r="AC128" s="46">
        <f t="shared" si="37"/>
        <v>-8.073077829930253E-2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22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35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36"/>
        <v>-0.26932353622019611</v>
      </c>
      <c r="Z129" s="6">
        <v>-1339.17</v>
      </c>
      <c r="AA129" s="15">
        <v>-5.4742452564447719E-4</v>
      </c>
      <c r="AB129" s="6">
        <f>IFERROR(VLOOKUP($I129,[1]RESUMO!$A$5:$M$150,4,FALSE),"")</f>
        <v>978.5</v>
      </c>
      <c r="AC129" s="46">
        <f t="shared" si="37"/>
        <v>-0.26932353622019611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22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35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36"/>
        <v>-3.248541048032072E-3</v>
      </c>
      <c r="Z130" s="6">
        <v>-7795.2532000000037</v>
      </c>
      <c r="AA130" s="15">
        <v>-3.1865355296852491E-3</v>
      </c>
      <c r="AB130" s="6">
        <f>IFERROR(VLOOKUP($I130,[1]RESUMO!$A$5:$M$150,4,FALSE),"")</f>
        <v>7769.93</v>
      </c>
      <c r="AC130" s="46">
        <f t="shared" si="37"/>
        <v>-3.248541048032072E-3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IFERROR(VLOOKUP($I131,[1]RESUMO!$A$5:$D$93,4,FALSE),"")</f>
        <v/>
      </c>
      <c r="AB131" s="6" t="str">
        <f>IFERROR(VLOOKUP($I131,[1]RESUMO!$A$5:$D$93,4,FALSE),"")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82623.37</v>
      </c>
      <c r="U132" s="14">
        <f>T132/R132-1</f>
        <v>0.18206382427781986</v>
      </c>
      <c r="V132" s="7">
        <v>322801.10947778868</v>
      </c>
      <c r="W132" s="14">
        <v>0.11526846127583093</v>
      </c>
      <c r="X132" s="48">
        <f>X64-X66</f>
        <v>672615.47999999963</v>
      </c>
      <c r="Y132" s="14">
        <f>X132/V132-1</f>
        <v>1.0836839163537046</v>
      </c>
      <c r="Z132" s="7">
        <v>166896.54889072594</v>
      </c>
      <c r="AA132" s="14">
        <v>6.822379840364251E-2</v>
      </c>
      <c r="AB132" s="48">
        <f>AB64-AB66</f>
        <v>-943808.04</v>
      </c>
      <c r="AC132" s="14">
        <f>AB132/Z132-1</f>
        <v>-6.6550482695597868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38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39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0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52086.069999999992</v>
      </c>
      <c r="AC134" s="14">
        <f t="shared" ref="AC134" si="41">IFERROR((AB134*-1)/Z134-1,"")</f>
        <v>-0.25907750171930088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 t="str">
        <f>IFERROR(VLOOKUP($I136,[1]RESUMO!$A$5:$M$150,4,FALSE),"")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 t="str">
        <f>IFERROR(VLOOKUP($I137,[1]RESUMO!$A$5:$M$150,4,FALSE),"")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 t="str">
        <f>IFERROR(VLOOKUP($I138,[1]RESUMO!$A$5:$M$150,4,FALSE),"")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 t="str">
        <f>IFERROR(VLOOKUP($I139,[1]RESUMO!$A$5:$M$150,4,FALSE),"")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 t="str">
        <f>IFERROR(VLOOKUP($I140,[1]RESUMO!$A$5:$M$150,4,FALSE),"")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 t="str">
        <f>IFERROR(VLOOKUP($I141,[1]RESUMO!$A$5:$M$150,4,FALSE),"")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 t="str">
        <f>IFERROR(VLOOKUP($I142,[1]RESUMO!$A$5:$M$150,4,FALSE),"")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52086.069999999992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f>IFERROR(VLOOKUP($I144,[1]RESUMO!$A$5:$M$150,4,FALSE),"")</f>
        <v>9300.989999999998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f>IFERROR(VLOOKUP($I145,[1]RESUMO!$A$5:$M$150,4,FALSE),"")</f>
        <v>29003.100000000002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f>IFERROR(VLOOKUP($I146,[1]RESUMO!$A$5:$M$150,4,FALSE),"")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f>IFERROR(VLOOKUP($I147,[1]RESUMO!$A$5:$M$150,4,FALSE),"")</f>
        <v>251.57000000000002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 t="str">
        <f>IFERROR(VLOOKUP($I148,[1]RESUMO!$A$5:$M$150,4,FALSE),"")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f>IFERROR(VLOOKUP($I149,[1]RESUMO!$A$5:$M$150,4,FALSE),"")</f>
        <v>13530.41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  <c r="AB150" s="15" t="str">
        <f>IFERROR(VLOOKUP($I150,[1]RESUMO!$A$5:$M$150,4,FALSE),"")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>P151/N151-1</f>
        <v>9.1818828692727283E-2</v>
      </c>
      <c r="R151" s="7">
        <v>-401.39105013805965</v>
      </c>
      <c r="S151" s="14">
        <v>-1.8032040031738545E-4</v>
      </c>
      <c r="T151" s="48">
        <f>T132-T134</f>
        <v>31995.680000000008</v>
      </c>
      <c r="U151" s="14">
        <f>T151/R151-1</f>
        <v>-80.711991557846133</v>
      </c>
      <c r="V151" s="7">
        <v>252502.16441826487</v>
      </c>
      <c r="W151" s="14">
        <v>9.0165538800023731E-2</v>
      </c>
      <c r="X151" s="48">
        <f>X132-X134</f>
        <v>620529.40999999968</v>
      </c>
      <c r="Y151" s="14">
        <f>X151/V151-1</f>
        <v>1.4575211520646807</v>
      </c>
      <c r="Z151" s="7">
        <v>96597.603831202126</v>
      </c>
      <c r="AA151" s="14">
        <v>3.9487068449628467E-2</v>
      </c>
      <c r="AB151" s="48">
        <f>AB132-AB134</f>
        <v>-995894.11</v>
      </c>
      <c r="AC151" s="14">
        <f>AB151/Z151-1</f>
        <v>-11.309718569626826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 t="str">
        <f>IFERROR(VLOOKUP(U154,[1]RESUMO!$A$5:$B$93,2,FALSE),"")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 t="str">
        <f>IFERROR(VLOOKUP(U155,[1]RESUMO!$A$5:$B$93,2,FALSE),"")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14"/>
      <c r="Q157" s="14"/>
      <c r="R157" s="7">
        <v>-401.39105013805965</v>
      </c>
      <c r="S157" s="14">
        <v>-1.8032040031738545E-4</v>
      </c>
      <c r="T157" s="14"/>
      <c r="U157" s="14"/>
      <c r="V157" s="7">
        <v>252502.16441826487</v>
      </c>
      <c r="W157" s="14">
        <v>9.0165538800023731E-2</v>
      </c>
      <c r="X157" s="14"/>
      <c r="Y157" s="14"/>
      <c r="Z157" s="7">
        <v>96597.603831202126</v>
      </c>
      <c r="AA157" s="14">
        <v>3.9487068449628467E-2</v>
      </c>
      <c r="AB157" s="14"/>
      <c r="AC157" s="14"/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4" priority="24" operator="equal">
      <formula>"rafael"</formula>
    </cfRule>
  </conditionalFormatting>
  <conditionalFormatting sqref="Q1:Q1048576">
    <cfRule type="cellIs" dxfId="3" priority="23" operator="greaterThan">
      <formula>0</formula>
    </cfRule>
  </conditionalFormatting>
  <conditionalFormatting sqref="U1:U1048576">
    <cfRule type="cellIs" dxfId="2" priority="4" operator="greaterThan">
      <formula>0</formula>
    </cfRule>
  </conditionalFormatting>
  <conditionalFormatting sqref="Y1:Y1048576">
    <cfRule type="cellIs" dxfId="1" priority="3" operator="greaterThan">
      <formula>0</formula>
    </cfRule>
  </conditionalFormatting>
  <conditionalFormatting sqref="AC1:AC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2026-04-04T21:57:18Z</dcterms:modified>
</cp:coreProperties>
</file>