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87dc3a59766ad95/Documentos/Karams Estofados/Relatórios/Financeiro/Orçamento 2026/"/>
    </mc:Choice>
  </mc:AlternateContent>
  <xr:revisionPtr revIDLastSave="914" documentId="13_ncr:1_{463D126B-36EC-4AC4-BFD3-846ACE3C8DAA}" xr6:coauthVersionLast="47" xr6:coauthVersionMax="47" xr10:uidLastSave="{75149217-7FBE-40ED-8486-D8EF6A60CE9F}"/>
  <bookViews>
    <workbookView xWindow="-120" yWindow="-120" windowWidth="38640" windowHeight="15840" xr2:uid="{9BADCFFC-7E9F-4283-8ADA-53A2653743C8}"/>
  </bookViews>
  <sheets>
    <sheet name="Acompanhamento Orçamento" sheetId="2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65" i="21" l="1"/>
  <c r="AB164" i="21"/>
  <c r="AB163" i="21"/>
  <c r="AB162" i="21"/>
  <c r="AB161" i="21"/>
  <c r="AB160" i="21"/>
  <c r="AB149" i="21"/>
  <c r="AB148" i="21"/>
  <c r="AB147" i="21"/>
  <c r="AB146" i="21"/>
  <c r="AB145" i="21"/>
  <c r="AB144" i="21"/>
  <c r="AB142" i="21"/>
  <c r="AB141" i="21"/>
  <c r="AB140" i="21"/>
  <c r="AB139" i="21"/>
  <c r="AB138" i="21"/>
  <c r="AB137" i="21"/>
  <c r="AB136" i="21"/>
  <c r="AB130" i="21"/>
  <c r="AB129" i="21"/>
  <c r="AB128" i="21"/>
  <c r="AB127" i="21"/>
  <c r="AB126" i="21"/>
  <c r="AB125" i="21"/>
  <c r="AB124" i="21"/>
  <c r="AB122" i="21"/>
  <c r="AB121" i="21"/>
  <c r="AB120" i="21"/>
  <c r="AB119" i="21"/>
  <c r="AB118" i="21"/>
  <c r="AB117" i="21"/>
  <c r="AB116" i="21"/>
  <c r="AB115" i="21"/>
  <c r="AB114" i="21"/>
  <c r="AB113" i="21"/>
  <c r="AB112" i="21"/>
  <c r="AB111" i="21"/>
  <c r="AB110" i="21"/>
  <c r="AB109" i="21"/>
  <c r="AB108" i="21"/>
  <c r="AB107" i="21"/>
  <c r="AB106" i="21"/>
  <c r="AB105" i="21"/>
  <c r="AB104" i="21"/>
  <c r="AB103" i="21"/>
  <c r="AB102" i="21"/>
  <c r="AB100" i="21"/>
  <c r="AB99" i="21"/>
  <c r="AB98" i="21"/>
  <c r="AB97" i="21"/>
  <c r="AB96" i="21"/>
  <c r="AB95" i="21"/>
  <c r="AB94" i="21"/>
  <c r="AB93" i="21"/>
  <c r="AB92" i="21"/>
  <c r="AB91" i="21"/>
  <c r="AB90" i="21"/>
  <c r="AB89" i="21"/>
  <c r="AB88" i="21"/>
  <c r="AB87" i="21"/>
  <c r="AB86" i="21"/>
  <c r="AB84" i="21"/>
  <c r="AB83" i="21"/>
  <c r="AB82" i="21"/>
  <c r="AB81" i="21"/>
  <c r="AB80" i="21"/>
  <c r="AB79" i="21"/>
  <c r="AB78" i="21"/>
  <c r="AB77" i="21"/>
  <c r="AB76" i="21"/>
  <c r="AB75" i="21"/>
  <c r="AB74" i="21"/>
  <c r="AB73" i="21"/>
  <c r="AB72" i="21"/>
  <c r="AB71" i="21"/>
  <c r="AB70" i="21"/>
  <c r="AB69" i="21"/>
  <c r="AB68" i="21"/>
  <c r="AB62" i="21"/>
  <c r="AB61" i="21"/>
  <c r="AB60" i="21"/>
  <c r="AB59" i="21"/>
  <c r="AB58" i="21"/>
  <c r="AB57" i="21"/>
  <c r="AB56" i="21"/>
  <c r="AB55" i="21"/>
  <c r="AB54" i="21"/>
  <c r="AB53" i="21"/>
  <c r="AB52" i="21"/>
  <c r="AB51" i="21"/>
  <c r="AB50" i="21"/>
  <c r="AB49" i="21"/>
  <c r="AB48" i="21"/>
  <c r="AB47" i="21"/>
  <c r="AB45" i="21"/>
  <c r="AB44" i="21"/>
  <c r="AB43" i="21"/>
  <c r="AB42" i="21"/>
  <c r="AB41" i="21"/>
  <c r="AB40" i="21"/>
  <c r="AB39" i="21"/>
  <c r="AB38" i="21"/>
  <c r="AB37" i="21"/>
  <c r="AB36" i="21"/>
  <c r="AB35" i="21"/>
  <c r="AB34" i="21"/>
  <c r="AB33" i="21"/>
  <c r="AB31" i="21"/>
  <c r="AB30" i="21"/>
  <c r="AB29" i="21"/>
  <c r="AB28" i="21"/>
  <c r="AB27" i="21"/>
  <c r="AB26" i="21"/>
  <c r="AB19" i="21"/>
  <c r="AB18" i="21"/>
  <c r="AB17" i="21"/>
  <c r="AB16" i="21"/>
  <c r="AB15" i="21"/>
  <c r="AB14" i="21"/>
  <c r="AB13" i="21"/>
  <c r="Z18" i="21" l="1"/>
  <c r="Z17" i="21"/>
  <c r="Z16" i="21"/>
  <c r="Z15" i="21"/>
  <c r="Z14" i="21"/>
  <c r="Z13" i="21"/>
  <c r="Z31" i="21"/>
  <c r="Z30" i="21"/>
  <c r="Z29" i="21"/>
  <c r="Z28" i="21"/>
  <c r="Z27" i="21"/>
  <c r="Z26" i="21"/>
  <c r="Z25" i="21"/>
  <c r="Z24" i="21" s="1"/>
  <c r="AB159" i="21"/>
  <c r="AC128" i="21"/>
  <c r="AC126" i="21"/>
  <c r="AC125" i="21"/>
  <c r="AC124" i="21"/>
  <c r="AC122" i="21"/>
  <c r="AC121" i="21"/>
  <c r="AC120" i="21"/>
  <c r="AC118" i="21"/>
  <c r="AC117" i="21"/>
  <c r="AC114" i="21"/>
  <c r="AC113" i="21"/>
  <c r="AC111" i="21"/>
  <c r="AC110" i="21"/>
  <c r="AC109" i="21"/>
  <c r="AC108" i="21"/>
  <c r="AC107" i="21"/>
  <c r="AC106" i="21"/>
  <c r="AC105" i="21"/>
  <c r="AC104" i="21"/>
  <c r="AC103" i="21"/>
  <c r="AC102" i="21"/>
  <c r="AC100" i="21"/>
  <c r="AC99" i="21"/>
  <c r="AC98" i="21"/>
  <c r="AC97" i="21"/>
  <c r="AC96" i="21"/>
  <c r="AC95" i="21"/>
  <c r="AC94" i="21"/>
  <c r="AC93" i="21"/>
  <c r="AC92" i="21"/>
  <c r="AC91" i="21"/>
  <c r="AC90" i="21"/>
  <c r="AC88" i="21"/>
  <c r="AC87" i="21"/>
  <c r="AC84" i="21"/>
  <c r="AC83" i="21"/>
  <c r="AC82" i="21"/>
  <c r="AC81" i="21"/>
  <c r="AC80" i="21"/>
  <c r="AC79" i="21"/>
  <c r="AC78" i="21"/>
  <c r="AC77" i="21"/>
  <c r="AC76" i="21"/>
  <c r="AC75" i="21"/>
  <c r="AC74" i="21"/>
  <c r="AC72" i="21"/>
  <c r="AC71" i="21"/>
  <c r="AC62" i="21"/>
  <c r="AC61" i="21"/>
  <c r="AC60" i="21"/>
  <c r="AC59" i="21"/>
  <c r="AC58" i="21"/>
  <c r="AC57" i="21"/>
  <c r="AC56" i="21"/>
  <c r="AB155" i="21"/>
  <c r="AB154" i="21"/>
  <c r="AB150" i="21"/>
  <c r="AB131" i="21"/>
  <c r="AC130" i="21"/>
  <c r="AC129" i="21"/>
  <c r="AC127" i="21"/>
  <c r="AC119" i="21"/>
  <c r="AC116" i="21"/>
  <c r="AC115" i="21"/>
  <c r="AC112" i="21"/>
  <c r="AC89" i="21"/>
  <c r="AC73" i="21"/>
  <c r="AC70" i="21"/>
  <c r="AC69" i="21"/>
  <c r="AC68" i="21"/>
  <c r="AC55" i="21"/>
  <c r="AC54" i="21"/>
  <c r="AC53" i="21"/>
  <c r="AC52" i="21"/>
  <c r="AC51" i="21"/>
  <c r="AC50" i="21"/>
  <c r="AC48" i="21"/>
  <c r="AC47" i="21"/>
  <c r="AC45" i="21"/>
  <c r="AC44" i="21"/>
  <c r="AC43" i="21"/>
  <c r="AC42" i="21"/>
  <c r="AC41" i="21"/>
  <c r="AC40" i="21"/>
  <c r="AC39" i="21"/>
  <c r="AC38" i="21"/>
  <c r="AC37" i="21"/>
  <c r="AC36" i="21"/>
  <c r="AC34" i="21"/>
  <c r="AC33" i="21"/>
  <c r="AC31" i="21"/>
  <c r="AC30" i="21"/>
  <c r="AC29" i="21"/>
  <c r="AC28" i="21"/>
  <c r="AC27" i="21"/>
  <c r="AC26" i="21"/>
  <c r="AC19" i="21"/>
  <c r="AC18" i="21"/>
  <c r="AC17" i="21"/>
  <c r="AC16" i="21"/>
  <c r="AC15" i="21"/>
  <c r="AC14" i="21"/>
  <c r="AC13" i="21"/>
  <c r="AC10" i="21"/>
  <c r="AM159" i="21"/>
  <c r="AI159" i="21"/>
  <c r="AE159" i="21"/>
  <c r="AR166" i="21"/>
  <c r="AH166" i="21"/>
  <c r="AF166" i="21"/>
  <c r="AR159" i="21"/>
  <c r="AS159" i="21" s="1"/>
  <c r="AP159" i="21"/>
  <c r="AP166" i="21" s="1"/>
  <c r="AN159" i="21"/>
  <c r="AN166" i="21" s="1"/>
  <c r="AL159" i="21"/>
  <c r="AL166" i="21" s="1"/>
  <c r="AJ159" i="21"/>
  <c r="AK159" i="21" s="1"/>
  <c r="AH159" i="21"/>
  <c r="AF159" i="21"/>
  <c r="AG159" i="21" s="1"/>
  <c r="AD159" i="21"/>
  <c r="AD166" i="21" s="1"/>
  <c r="Z159" i="21"/>
  <c r="AA159" i="21" s="1"/>
  <c r="V159" i="21"/>
  <c r="W159" i="21" s="1"/>
  <c r="R159" i="21"/>
  <c r="S159" i="21" s="1"/>
  <c r="N159" i="21"/>
  <c r="O159" i="21" s="1"/>
  <c r="P164" i="21"/>
  <c r="AU164" i="21"/>
  <c r="AU163" i="21"/>
  <c r="AU162" i="21"/>
  <c r="AU161" i="21"/>
  <c r="AU160" i="21"/>
  <c r="X164" i="21"/>
  <c r="X163" i="21"/>
  <c r="X162" i="21"/>
  <c r="X161" i="21"/>
  <c r="X160" i="21"/>
  <c r="T164" i="21"/>
  <c r="T163" i="21"/>
  <c r="T162" i="21"/>
  <c r="T161" i="21"/>
  <c r="T160" i="21"/>
  <c r="P163" i="21"/>
  <c r="P162" i="21"/>
  <c r="P161" i="21"/>
  <c r="P160" i="21"/>
  <c r="AB12" i="21" l="1"/>
  <c r="AB21" i="21" s="1"/>
  <c r="AC21" i="21" s="1"/>
  <c r="AB143" i="21"/>
  <c r="AB134" i="21" s="1"/>
  <c r="AC134" i="21" s="1"/>
  <c r="AB32" i="21"/>
  <c r="AC32" i="21" s="1"/>
  <c r="AB24" i="21"/>
  <c r="AC25" i="21"/>
  <c r="AB85" i="21"/>
  <c r="AC85" i="21" s="1"/>
  <c r="AB46" i="21"/>
  <c r="AC46" i="21" s="1"/>
  <c r="AC24" i="21"/>
  <c r="AC35" i="21"/>
  <c r="AC86" i="21"/>
  <c r="AB101" i="21"/>
  <c r="AC101" i="21" s="1"/>
  <c r="AB67" i="21"/>
  <c r="AB123" i="21"/>
  <c r="AC123" i="21" s="1"/>
  <c r="AC49" i="21"/>
  <c r="X159" i="21"/>
  <c r="Z166" i="21"/>
  <c r="AJ166" i="21"/>
  <c r="N166" i="21"/>
  <c r="O166" i="21" s="1"/>
  <c r="AO159" i="21"/>
  <c r="P159" i="21"/>
  <c r="V166" i="21"/>
  <c r="AQ159" i="21"/>
  <c r="R166" i="21"/>
  <c r="T159" i="21"/>
  <c r="AU159" i="21"/>
  <c r="AC12" i="21" l="1"/>
  <c r="AB23" i="21"/>
  <c r="AC67" i="21"/>
  <c r="AB66" i="21"/>
  <c r="AC66" i="21" s="1"/>
  <c r="AU166" i="21"/>
  <c r="V31" i="21"/>
  <c r="V30" i="21"/>
  <c r="V29" i="21"/>
  <c r="V28" i="21"/>
  <c r="V27" i="21"/>
  <c r="V26" i="21"/>
  <c r="V25" i="21"/>
  <c r="R31" i="21"/>
  <c r="R30" i="21"/>
  <c r="R29" i="21"/>
  <c r="R28" i="21"/>
  <c r="R27" i="21"/>
  <c r="R26" i="21"/>
  <c r="R25" i="21"/>
  <c r="N31" i="21"/>
  <c r="N30" i="21"/>
  <c r="N29" i="21"/>
  <c r="N28" i="21"/>
  <c r="N27" i="21"/>
  <c r="N26" i="21"/>
  <c r="N25" i="21"/>
  <c r="N24" i="21" s="1"/>
  <c r="N23" i="21" s="1"/>
  <c r="V18" i="21"/>
  <c r="V17" i="21"/>
  <c r="V16" i="21"/>
  <c r="V15" i="21"/>
  <c r="V14" i="21"/>
  <c r="V13" i="21"/>
  <c r="R18" i="21"/>
  <c r="R17" i="21"/>
  <c r="R16" i="21"/>
  <c r="R15" i="21"/>
  <c r="R14" i="21"/>
  <c r="R13" i="21"/>
  <c r="N18" i="21"/>
  <c r="N17" i="21"/>
  <c r="N16" i="21"/>
  <c r="N15" i="21"/>
  <c r="N14" i="21"/>
  <c r="N13" i="21"/>
  <c r="X26" i="21"/>
  <c r="Y26" i="21" s="1"/>
  <c r="T26" i="21"/>
  <c r="U26" i="21" s="1"/>
  <c r="P26" i="21"/>
  <c r="X18" i="21"/>
  <c r="T18" i="21"/>
  <c r="P18" i="21"/>
  <c r="AC23" i="21" l="1"/>
  <c r="AB64" i="21"/>
  <c r="AC64" i="21" s="1"/>
  <c r="R24" i="21"/>
  <c r="R23" i="21" s="1"/>
  <c r="V24" i="21"/>
  <c r="V23" i="21" s="1"/>
  <c r="U18" i="21"/>
  <c r="Y18" i="21"/>
  <c r="Q26" i="21"/>
  <c r="Q18" i="21"/>
  <c r="X150" i="2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Y130" i="21" s="1"/>
  <c r="X129" i="21"/>
  <c r="Y129" i="21" s="1"/>
  <c r="X128" i="21"/>
  <c r="Y128" i="21" s="1"/>
  <c r="X127" i="21"/>
  <c r="Y127" i="21" s="1"/>
  <c r="X126" i="21"/>
  <c r="Y126" i="21" s="1"/>
  <c r="X125" i="21"/>
  <c r="Y125" i="21" s="1"/>
  <c r="X124" i="21"/>
  <c r="Y124" i="21" s="1"/>
  <c r="X122" i="21"/>
  <c r="Y122" i="21" s="1"/>
  <c r="X121" i="21"/>
  <c r="Y121" i="21" s="1"/>
  <c r="X120" i="21"/>
  <c r="Y120" i="21" s="1"/>
  <c r="X119" i="21"/>
  <c r="Y119" i="21" s="1"/>
  <c r="X118" i="21"/>
  <c r="Y118" i="21" s="1"/>
  <c r="X117" i="21"/>
  <c r="Y117" i="21" s="1"/>
  <c r="X116" i="21"/>
  <c r="Y116" i="21" s="1"/>
  <c r="X115" i="21"/>
  <c r="Y115" i="21" s="1"/>
  <c r="X114" i="21"/>
  <c r="Y114" i="21" s="1"/>
  <c r="X113" i="21"/>
  <c r="Y113" i="21" s="1"/>
  <c r="X112" i="21"/>
  <c r="Y112" i="21" s="1"/>
  <c r="X111" i="21"/>
  <c r="Y111" i="21" s="1"/>
  <c r="X110" i="21"/>
  <c r="Y110" i="21" s="1"/>
  <c r="X109" i="21"/>
  <c r="Y109" i="21" s="1"/>
  <c r="X108" i="21"/>
  <c r="Y108" i="21" s="1"/>
  <c r="X107" i="21"/>
  <c r="Y107" i="21" s="1"/>
  <c r="X106" i="21"/>
  <c r="X105" i="21"/>
  <c r="Y105" i="21" s="1"/>
  <c r="X104" i="21"/>
  <c r="Y104" i="21" s="1"/>
  <c r="X103" i="21"/>
  <c r="Y103" i="21" s="1"/>
  <c r="X102" i="21"/>
  <c r="Y102" i="21" s="1"/>
  <c r="X100" i="21"/>
  <c r="Y100" i="21" s="1"/>
  <c r="X99" i="21"/>
  <c r="Y99" i="21" s="1"/>
  <c r="X98" i="21"/>
  <c r="Y98" i="21" s="1"/>
  <c r="X97" i="21"/>
  <c r="Y97" i="21" s="1"/>
  <c r="X96" i="21"/>
  <c r="Y96" i="21" s="1"/>
  <c r="X95" i="21"/>
  <c r="Y95" i="21" s="1"/>
  <c r="X94" i="21"/>
  <c r="Y94" i="21" s="1"/>
  <c r="X93" i="21"/>
  <c r="Y93" i="21" s="1"/>
  <c r="X92" i="21"/>
  <c r="Y92" i="21" s="1"/>
  <c r="X91" i="21"/>
  <c r="Y91" i="21" s="1"/>
  <c r="X90" i="21"/>
  <c r="Y90" i="21" s="1"/>
  <c r="X89" i="21"/>
  <c r="Y89" i="21" s="1"/>
  <c r="X88" i="21"/>
  <c r="Y88" i="21" s="1"/>
  <c r="X87" i="21"/>
  <c r="Y87" i="21" s="1"/>
  <c r="X86" i="21"/>
  <c r="Y86" i="21" s="1"/>
  <c r="X84" i="21"/>
  <c r="Y84" i="21" s="1"/>
  <c r="X83" i="21"/>
  <c r="Y83" i="21" s="1"/>
  <c r="X82" i="21"/>
  <c r="Y82" i="21" s="1"/>
  <c r="X81" i="21"/>
  <c r="Y81" i="21" s="1"/>
  <c r="X80" i="21"/>
  <c r="Y80" i="21" s="1"/>
  <c r="X79" i="21"/>
  <c r="Y79" i="21" s="1"/>
  <c r="X78" i="21"/>
  <c r="Y78" i="21" s="1"/>
  <c r="X77" i="21"/>
  <c r="Y77" i="21" s="1"/>
  <c r="X76" i="21"/>
  <c r="Y76" i="21" s="1"/>
  <c r="X75" i="21"/>
  <c r="Y75" i="21" s="1"/>
  <c r="X74" i="21"/>
  <c r="Y74" i="21" s="1"/>
  <c r="X73" i="21"/>
  <c r="Y73" i="21" s="1"/>
  <c r="X72" i="21"/>
  <c r="Y72" i="21" s="1"/>
  <c r="X71" i="21"/>
  <c r="Y71" i="21" s="1"/>
  <c r="X70" i="21"/>
  <c r="Y70" i="21" s="1"/>
  <c r="X69" i="21"/>
  <c r="Y69" i="21" s="1"/>
  <c r="X68" i="21"/>
  <c r="Y68" i="21" s="1"/>
  <c r="X62" i="21"/>
  <c r="Y62" i="21" s="1"/>
  <c r="X61" i="21"/>
  <c r="Y61" i="21" s="1"/>
  <c r="X60" i="21"/>
  <c r="Y60" i="21" s="1"/>
  <c r="X59" i="21"/>
  <c r="Y59" i="21" s="1"/>
  <c r="X58" i="21"/>
  <c r="Y58" i="21" s="1"/>
  <c r="X57" i="21"/>
  <c r="Y57" i="21" s="1"/>
  <c r="X56" i="21"/>
  <c r="Y56" i="21" s="1"/>
  <c r="X55" i="21"/>
  <c r="Y55" i="21" s="1"/>
  <c r="X54" i="21"/>
  <c r="Y54" i="21" s="1"/>
  <c r="X53" i="21"/>
  <c r="Y53" i="21" s="1"/>
  <c r="X52" i="21"/>
  <c r="Y52" i="21" s="1"/>
  <c r="X51" i="21"/>
  <c r="Y51" i="21" s="1"/>
  <c r="X50" i="21"/>
  <c r="Y50" i="21" s="1"/>
  <c r="X49" i="21"/>
  <c r="Y49" i="21" s="1"/>
  <c r="X48" i="21"/>
  <c r="Y48" i="21" s="1"/>
  <c r="X47" i="21"/>
  <c r="Y47" i="21" s="1"/>
  <c r="X45" i="21"/>
  <c r="Y45" i="21" s="1"/>
  <c r="X44" i="21"/>
  <c r="Y44" i="21" s="1"/>
  <c r="X43" i="21"/>
  <c r="Y43" i="21" s="1"/>
  <c r="X42" i="21"/>
  <c r="Y42" i="21" s="1"/>
  <c r="X41" i="21"/>
  <c r="Y41" i="21" s="1"/>
  <c r="X40" i="21"/>
  <c r="Y40" i="21" s="1"/>
  <c r="X39" i="21"/>
  <c r="Y39" i="21" s="1"/>
  <c r="X38" i="21"/>
  <c r="Y38" i="21" s="1"/>
  <c r="X37" i="21"/>
  <c r="Y37" i="21" s="1"/>
  <c r="X36" i="21"/>
  <c r="Y36" i="21" s="1"/>
  <c r="X35" i="21"/>
  <c r="Y35" i="21" s="1"/>
  <c r="X34" i="21"/>
  <c r="Y34" i="21" s="1"/>
  <c r="X33" i="21"/>
  <c r="X31" i="21"/>
  <c r="Y31" i="21" s="1"/>
  <c r="X30" i="21"/>
  <c r="Y30" i="21" s="1"/>
  <c r="X29" i="21"/>
  <c r="Y29" i="21" s="1"/>
  <c r="X28" i="21"/>
  <c r="Y28" i="21" s="1"/>
  <c r="X27" i="21"/>
  <c r="Y27" i="21" s="1"/>
  <c r="X19" i="21"/>
  <c r="Y19" i="21" s="1"/>
  <c r="X17" i="21"/>
  <c r="Y17" i="21" s="1"/>
  <c r="X16" i="21"/>
  <c r="Y16" i="21" s="1"/>
  <c r="X15" i="21"/>
  <c r="Y15" i="21" s="1"/>
  <c r="X14" i="21"/>
  <c r="Y14" i="21" s="1"/>
  <c r="X13" i="21"/>
  <c r="Y13" i="21" s="1"/>
  <c r="T149" i="21"/>
  <c r="T148" i="21"/>
  <c r="T147" i="21"/>
  <c r="T146" i="21"/>
  <c r="T145" i="21"/>
  <c r="T144" i="21"/>
  <c r="T142" i="21"/>
  <c r="T141" i="21"/>
  <c r="T140" i="21"/>
  <c r="T139" i="21"/>
  <c r="T138" i="21"/>
  <c r="T137" i="21"/>
  <c r="T136" i="21"/>
  <c r="T130" i="21"/>
  <c r="U130" i="21" s="1"/>
  <c r="T129" i="21"/>
  <c r="U129" i="21" s="1"/>
  <c r="T128" i="21"/>
  <c r="U128" i="21" s="1"/>
  <c r="T127" i="21"/>
  <c r="U127" i="21" s="1"/>
  <c r="T126" i="21"/>
  <c r="U126" i="21" s="1"/>
  <c r="T125" i="21"/>
  <c r="U125" i="21" s="1"/>
  <c r="T124" i="21"/>
  <c r="U124" i="21" s="1"/>
  <c r="T122" i="21"/>
  <c r="U122" i="21" s="1"/>
  <c r="T121" i="21"/>
  <c r="U121" i="21" s="1"/>
  <c r="T120" i="21"/>
  <c r="U120" i="21" s="1"/>
  <c r="T119" i="21"/>
  <c r="U119" i="21" s="1"/>
  <c r="T118" i="21"/>
  <c r="U118" i="21" s="1"/>
  <c r="T117" i="21"/>
  <c r="U117" i="21" s="1"/>
  <c r="T116" i="21"/>
  <c r="U116" i="21" s="1"/>
  <c r="T115" i="21"/>
  <c r="U115" i="21" s="1"/>
  <c r="T114" i="21"/>
  <c r="U114" i="21" s="1"/>
  <c r="T113" i="21"/>
  <c r="U113" i="21" s="1"/>
  <c r="T112" i="21"/>
  <c r="U112" i="21" s="1"/>
  <c r="T111" i="21"/>
  <c r="U111" i="21" s="1"/>
  <c r="T110" i="21"/>
  <c r="U110" i="21" s="1"/>
  <c r="T109" i="21"/>
  <c r="U109" i="21" s="1"/>
  <c r="T108" i="21"/>
  <c r="U108" i="21" s="1"/>
  <c r="T107" i="21"/>
  <c r="U107" i="21" s="1"/>
  <c r="T106" i="21"/>
  <c r="U106" i="21" s="1"/>
  <c r="T105" i="21"/>
  <c r="U105" i="21" s="1"/>
  <c r="T104" i="21"/>
  <c r="U104" i="21" s="1"/>
  <c r="T103" i="21"/>
  <c r="U103" i="21" s="1"/>
  <c r="T102" i="21"/>
  <c r="U102" i="21" s="1"/>
  <c r="T100" i="21"/>
  <c r="U100" i="21" s="1"/>
  <c r="T99" i="21"/>
  <c r="U99" i="21" s="1"/>
  <c r="T98" i="21"/>
  <c r="U98" i="21" s="1"/>
  <c r="T97" i="21"/>
  <c r="U97" i="21" s="1"/>
  <c r="T96" i="21"/>
  <c r="U96" i="21" s="1"/>
  <c r="T95" i="21"/>
  <c r="U95" i="21" s="1"/>
  <c r="T94" i="21"/>
  <c r="U94" i="21" s="1"/>
  <c r="T93" i="21"/>
  <c r="U93" i="21" s="1"/>
  <c r="T92" i="21"/>
  <c r="U92" i="21" s="1"/>
  <c r="T91" i="21"/>
  <c r="T90" i="21"/>
  <c r="U90" i="21" s="1"/>
  <c r="T89" i="21"/>
  <c r="T88" i="21"/>
  <c r="U88" i="21" s="1"/>
  <c r="T87" i="21"/>
  <c r="U87" i="21" s="1"/>
  <c r="T86" i="21"/>
  <c r="U86" i="21" s="1"/>
  <c r="T84" i="21"/>
  <c r="U84" i="21" s="1"/>
  <c r="T83" i="21"/>
  <c r="U83" i="21" s="1"/>
  <c r="T82" i="21"/>
  <c r="U82" i="21" s="1"/>
  <c r="T81" i="21"/>
  <c r="U81" i="21" s="1"/>
  <c r="T80" i="21"/>
  <c r="U80" i="21" s="1"/>
  <c r="T79" i="21"/>
  <c r="U79" i="21" s="1"/>
  <c r="T78" i="21"/>
  <c r="U78" i="21" s="1"/>
  <c r="T77" i="21"/>
  <c r="U77" i="21" s="1"/>
  <c r="T76" i="21"/>
  <c r="U76" i="21" s="1"/>
  <c r="T75" i="21"/>
  <c r="U75" i="21" s="1"/>
  <c r="T74" i="21"/>
  <c r="U74" i="21" s="1"/>
  <c r="T73" i="21"/>
  <c r="T72" i="21"/>
  <c r="U72" i="21" s="1"/>
  <c r="T71" i="21"/>
  <c r="U71" i="21" s="1"/>
  <c r="T70" i="21"/>
  <c r="U70" i="21" s="1"/>
  <c r="T69" i="21"/>
  <c r="U69" i="21" s="1"/>
  <c r="T68" i="21"/>
  <c r="U68" i="21" s="1"/>
  <c r="T62" i="21"/>
  <c r="U62" i="21" s="1"/>
  <c r="T61" i="21"/>
  <c r="U61" i="21" s="1"/>
  <c r="T60" i="21"/>
  <c r="U60" i="21" s="1"/>
  <c r="T59" i="21"/>
  <c r="U59" i="21" s="1"/>
  <c r="T58" i="21"/>
  <c r="U58" i="21" s="1"/>
  <c r="T57" i="21"/>
  <c r="U57" i="21" s="1"/>
  <c r="T56" i="21"/>
  <c r="U56" i="21" s="1"/>
  <c r="T55" i="21"/>
  <c r="U55" i="21" s="1"/>
  <c r="T54" i="21"/>
  <c r="U54" i="21" s="1"/>
  <c r="T53" i="21"/>
  <c r="U53" i="21" s="1"/>
  <c r="T52" i="21"/>
  <c r="T51" i="21"/>
  <c r="T50" i="21"/>
  <c r="U50" i="21" s="1"/>
  <c r="T49" i="21"/>
  <c r="U49" i="21" s="1"/>
  <c r="T48" i="21"/>
  <c r="U48" i="21" s="1"/>
  <c r="T47" i="21"/>
  <c r="U47" i="21" s="1"/>
  <c r="T45" i="21"/>
  <c r="U45" i="21" s="1"/>
  <c r="T44" i="21"/>
  <c r="U44" i="21" s="1"/>
  <c r="T43" i="21"/>
  <c r="U43" i="21" s="1"/>
  <c r="T42" i="21"/>
  <c r="U42" i="21" s="1"/>
  <c r="T41" i="21"/>
  <c r="U41" i="21" s="1"/>
  <c r="T40" i="21"/>
  <c r="U40" i="21" s="1"/>
  <c r="T39" i="21"/>
  <c r="U39" i="21" s="1"/>
  <c r="T38" i="21"/>
  <c r="U38" i="21" s="1"/>
  <c r="T37" i="21"/>
  <c r="U37" i="21" s="1"/>
  <c r="T36" i="21"/>
  <c r="U36" i="21" s="1"/>
  <c r="T35" i="21"/>
  <c r="U35" i="21" s="1"/>
  <c r="T34" i="21"/>
  <c r="U34" i="21" s="1"/>
  <c r="T33" i="21"/>
  <c r="U33" i="21" s="1"/>
  <c r="T31" i="21"/>
  <c r="U31" i="21" s="1"/>
  <c r="T30" i="21"/>
  <c r="U30" i="21" s="1"/>
  <c r="T29" i="21"/>
  <c r="U29" i="21" s="1"/>
  <c r="T28" i="21"/>
  <c r="U28" i="21" s="1"/>
  <c r="T27" i="21"/>
  <c r="U27" i="21" s="1"/>
  <c r="U25" i="21"/>
  <c r="T19" i="21"/>
  <c r="U19" i="21" s="1"/>
  <c r="T17" i="21"/>
  <c r="U17" i="21" s="1"/>
  <c r="T16" i="21"/>
  <c r="U16" i="21" s="1"/>
  <c r="T15" i="21"/>
  <c r="U15" i="21" s="1"/>
  <c r="T14" i="21"/>
  <c r="U14" i="21" s="1"/>
  <c r="T13" i="21"/>
  <c r="U13" i="21" s="1"/>
  <c r="P149" i="21"/>
  <c r="P148" i="21"/>
  <c r="P147" i="21"/>
  <c r="P146" i="21"/>
  <c r="P145" i="21"/>
  <c r="P144" i="21"/>
  <c r="P142" i="21"/>
  <c r="P141" i="21"/>
  <c r="P140" i="21"/>
  <c r="P139" i="21"/>
  <c r="P138" i="21"/>
  <c r="P137" i="21"/>
  <c r="P136" i="21"/>
  <c r="P130" i="21"/>
  <c r="Q130" i="21" s="1"/>
  <c r="P129" i="21"/>
  <c r="Q129" i="21" s="1"/>
  <c r="P128" i="21"/>
  <c r="Q128" i="21" s="1"/>
  <c r="P127" i="21"/>
  <c r="Q127" i="21" s="1"/>
  <c r="P126" i="21"/>
  <c r="Q126" i="21" s="1"/>
  <c r="P125" i="21"/>
  <c r="Q125" i="21" s="1"/>
  <c r="P124" i="21"/>
  <c r="Q124" i="21" s="1"/>
  <c r="P122" i="21"/>
  <c r="Q122" i="21" s="1"/>
  <c r="P121" i="21"/>
  <c r="Q121" i="21" s="1"/>
  <c r="P120" i="21"/>
  <c r="Q120" i="21" s="1"/>
  <c r="P119" i="21"/>
  <c r="Q119" i="21" s="1"/>
  <c r="P118" i="21"/>
  <c r="Q118" i="21" s="1"/>
  <c r="P117" i="21"/>
  <c r="Q117" i="21" s="1"/>
  <c r="P116" i="21"/>
  <c r="Q116" i="21" s="1"/>
  <c r="P115" i="21"/>
  <c r="Q115" i="21" s="1"/>
  <c r="P114" i="21"/>
  <c r="Q114" i="21" s="1"/>
  <c r="P113" i="21"/>
  <c r="Q113" i="21" s="1"/>
  <c r="P112" i="21"/>
  <c r="Q112" i="21" s="1"/>
  <c r="P111" i="21"/>
  <c r="Q111" i="21" s="1"/>
  <c r="P110" i="21"/>
  <c r="Q110" i="21" s="1"/>
  <c r="P109" i="21"/>
  <c r="Q109" i="21" s="1"/>
  <c r="P108" i="21"/>
  <c r="Q108" i="21" s="1"/>
  <c r="P107" i="21"/>
  <c r="Q107" i="21" s="1"/>
  <c r="P106" i="21"/>
  <c r="Q106" i="21" s="1"/>
  <c r="P105" i="21"/>
  <c r="Q105" i="21" s="1"/>
  <c r="P104" i="21"/>
  <c r="Q104" i="21" s="1"/>
  <c r="P103" i="21"/>
  <c r="Q103" i="21" s="1"/>
  <c r="P102" i="21"/>
  <c r="Q102" i="21" s="1"/>
  <c r="P100" i="21"/>
  <c r="Q100" i="21" s="1"/>
  <c r="P99" i="21"/>
  <c r="Q99" i="21" s="1"/>
  <c r="P98" i="21"/>
  <c r="Q98" i="21" s="1"/>
  <c r="P97" i="21"/>
  <c r="Q97" i="21" s="1"/>
  <c r="P96" i="21"/>
  <c r="Q96" i="21" s="1"/>
  <c r="P95" i="21"/>
  <c r="Q95" i="21" s="1"/>
  <c r="P94" i="21"/>
  <c r="Q94" i="21" s="1"/>
  <c r="P93" i="21"/>
  <c r="Q93" i="21" s="1"/>
  <c r="P92" i="21"/>
  <c r="Q92" i="21" s="1"/>
  <c r="P91" i="21"/>
  <c r="Q91" i="21" s="1"/>
  <c r="P90" i="21"/>
  <c r="Q90" i="21" s="1"/>
  <c r="P89" i="21"/>
  <c r="Q89" i="21" s="1"/>
  <c r="P88" i="21"/>
  <c r="Q88" i="21" s="1"/>
  <c r="P87" i="21"/>
  <c r="Q87" i="21" s="1"/>
  <c r="P86" i="21"/>
  <c r="Q86" i="21" s="1"/>
  <c r="P84" i="21"/>
  <c r="Q84" i="21" s="1"/>
  <c r="P83" i="21"/>
  <c r="Q83" i="21" s="1"/>
  <c r="P82" i="21"/>
  <c r="Q82" i="21" s="1"/>
  <c r="P81" i="21"/>
  <c r="Q81" i="21" s="1"/>
  <c r="P80" i="21"/>
  <c r="Q80" i="21" s="1"/>
  <c r="P79" i="21"/>
  <c r="Q79" i="21" s="1"/>
  <c r="P78" i="21"/>
  <c r="Q78" i="21" s="1"/>
  <c r="P77" i="21"/>
  <c r="Q77" i="21" s="1"/>
  <c r="P76" i="21"/>
  <c r="Q76" i="21" s="1"/>
  <c r="P75" i="21"/>
  <c r="Q75" i="21" s="1"/>
  <c r="P74" i="21"/>
  <c r="Q74" i="21" s="1"/>
  <c r="P73" i="21"/>
  <c r="Q73" i="21" s="1"/>
  <c r="P72" i="21"/>
  <c r="Q72" i="21" s="1"/>
  <c r="P71" i="21"/>
  <c r="Q71" i="21" s="1"/>
  <c r="P70" i="21"/>
  <c r="Q70" i="21" s="1"/>
  <c r="P69" i="21"/>
  <c r="Q69" i="21" s="1"/>
  <c r="P68" i="21"/>
  <c r="Q68" i="21" s="1"/>
  <c r="P62" i="21"/>
  <c r="Q62" i="21" s="1"/>
  <c r="P61" i="21"/>
  <c r="Q61" i="21" s="1"/>
  <c r="P60" i="21"/>
  <c r="Q60" i="21" s="1"/>
  <c r="P59" i="21"/>
  <c r="Q59" i="21" s="1"/>
  <c r="P58" i="21"/>
  <c r="Q58" i="21" s="1"/>
  <c r="P57" i="21"/>
  <c r="Q57" i="21" s="1"/>
  <c r="P56" i="21"/>
  <c r="Q56" i="21" s="1"/>
  <c r="P55" i="21"/>
  <c r="Q55" i="21" s="1"/>
  <c r="P54" i="21"/>
  <c r="Q54" i="21" s="1"/>
  <c r="P53" i="21"/>
  <c r="Q53" i="21" s="1"/>
  <c r="P52" i="21"/>
  <c r="Q52" i="21" s="1"/>
  <c r="P51" i="21"/>
  <c r="Q51" i="21" s="1"/>
  <c r="P50" i="21"/>
  <c r="Q50" i="21" s="1"/>
  <c r="P49" i="21"/>
  <c r="Q49" i="21" s="1"/>
  <c r="P48" i="21"/>
  <c r="Q48" i="21" s="1"/>
  <c r="P47" i="21"/>
  <c r="Q47" i="21" s="1"/>
  <c r="P45" i="21"/>
  <c r="Q45" i="21" s="1"/>
  <c r="P44" i="21"/>
  <c r="Q44" i="21" s="1"/>
  <c r="P43" i="21"/>
  <c r="Q43" i="21" s="1"/>
  <c r="P42" i="21"/>
  <c r="Q42" i="21" s="1"/>
  <c r="P41" i="21"/>
  <c r="Q41" i="21" s="1"/>
  <c r="P40" i="21"/>
  <c r="Q40" i="21" s="1"/>
  <c r="P39" i="21"/>
  <c r="Q39" i="21" s="1"/>
  <c r="P38" i="21"/>
  <c r="Q38" i="21" s="1"/>
  <c r="P37" i="21"/>
  <c r="Q37" i="21" s="1"/>
  <c r="P36" i="21"/>
  <c r="Q36" i="21" s="1"/>
  <c r="P35" i="21"/>
  <c r="Q35" i="21" s="1"/>
  <c r="P34" i="21"/>
  <c r="Q34" i="21" s="1"/>
  <c r="P33" i="21"/>
  <c r="P31" i="21"/>
  <c r="Q31" i="21" s="1"/>
  <c r="P30" i="21"/>
  <c r="Q30" i="21" s="1"/>
  <c r="P29" i="21"/>
  <c r="Q29" i="21" s="1"/>
  <c r="P28" i="21"/>
  <c r="Q28" i="21" s="1"/>
  <c r="P27" i="21"/>
  <c r="Q27" i="21" s="1"/>
  <c r="P19" i="21"/>
  <c r="Q19" i="21" s="1"/>
  <c r="P17" i="21"/>
  <c r="Q17" i="21" s="1"/>
  <c r="P16" i="21"/>
  <c r="Q16" i="21" s="1"/>
  <c r="P15" i="21"/>
  <c r="Q15" i="21" s="1"/>
  <c r="P14" i="21"/>
  <c r="Q14" i="21" s="1"/>
  <c r="P13" i="21"/>
  <c r="Q13" i="21" s="1"/>
  <c r="X131" i="21"/>
  <c r="X155" i="21"/>
  <c r="X154" i="21"/>
  <c r="Y10" i="21"/>
  <c r="T155" i="21"/>
  <c r="T154" i="21"/>
  <c r="T150" i="21"/>
  <c r="U10" i="21"/>
  <c r="P150" i="21"/>
  <c r="Q10" i="21"/>
  <c r="P155" i="21"/>
  <c r="P154" i="21"/>
  <c r="AB132" i="21" l="1"/>
  <c r="AC132" i="21" s="1"/>
  <c r="T143" i="21"/>
  <c r="T134" i="21" s="1"/>
  <c r="U134" i="21" s="1"/>
  <c r="P143" i="21"/>
  <c r="P134" i="21" s="1"/>
  <c r="Q134" i="21" s="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T24" i="21"/>
  <c r="U24" i="21" s="1"/>
  <c r="T46" i="21"/>
  <c r="U46" i="21" s="1"/>
  <c r="T67" i="21"/>
  <c r="U67" i="21" s="1"/>
  <c r="T85" i="21"/>
  <c r="U85" i="21" s="1"/>
  <c r="U89" i="21"/>
  <c r="U51" i="21"/>
  <c r="T32" i="21"/>
  <c r="U32" i="21" s="1"/>
  <c r="T123" i="21"/>
  <c r="U123" i="21" s="1"/>
  <c r="U73" i="21"/>
  <c r="U91" i="21"/>
  <c r="T12" i="21"/>
  <c r="T101" i="21"/>
  <c r="U101" i="21" s="1"/>
  <c r="U52" i="21"/>
  <c r="P32" i="21"/>
  <c r="Q32" i="21" s="1"/>
  <c r="P46" i="21"/>
  <c r="Q46" i="21" s="1"/>
  <c r="P12" i="21"/>
  <c r="P24" i="21"/>
  <c r="Q24" i="21" s="1"/>
  <c r="P67" i="21"/>
  <c r="Q67" i="21" s="1"/>
  <c r="P85" i="21"/>
  <c r="Q85" i="21" s="1"/>
  <c r="Q33" i="21"/>
  <c r="P101" i="21"/>
  <c r="Q101" i="21" s="1"/>
  <c r="P123" i="21"/>
  <c r="Q123" i="21" s="1"/>
  <c r="Q25" i="21"/>
  <c r="AB151" i="21" l="1"/>
  <c r="AB157" i="21" s="1"/>
  <c r="Y12" i="21"/>
  <c r="X21" i="21"/>
  <c r="U12" i="21"/>
  <c r="T21" i="21"/>
  <c r="Q12" i="21"/>
  <c r="P21" i="21"/>
  <c r="X23" i="21"/>
  <c r="Y23" i="21" s="1"/>
  <c r="Y67" i="21"/>
  <c r="X66" i="21"/>
  <c r="Y66" i="21" s="1"/>
  <c r="T23" i="21"/>
  <c r="U23" i="21" s="1"/>
  <c r="T66" i="21"/>
  <c r="U66" i="21" s="1"/>
  <c r="P23" i="21"/>
  <c r="Q23" i="21" s="1"/>
  <c r="P66" i="21"/>
  <c r="Q66" i="21" s="1"/>
  <c r="AC151" i="21" l="1"/>
  <c r="AB166" i="21"/>
  <c r="AC157" i="21"/>
  <c r="Q21" i="21"/>
  <c r="P64" i="21"/>
  <c r="X64" i="21"/>
  <c r="Y21" i="21"/>
  <c r="U21" i="21"/>
  <c r="T64" i="21"/>
  <c r="U64" i="21" l="1"/>
  <c r="T132" i="21"/>
  <c r="U132" i="21" s="1"/>
  <c r="Y64" i="21"/>
  <c r="X132" i="21"/>
  <c r="Y132" i="21" s="1"/>
  <c r="Q64" i="21"/>
  <c r="P132" i="21"/>
  <c r="Q132" i="21" s="1"/>
  <c r="P151" i="21" l="1"/>
  <c r="X151" i="21"/>
  <c r="T151" i="21"/>
  <c r="P157" i="21" l="1"/>
  <c r="Q151" i="21"/>
  <c r="T157" i="21"/>
  <c r="U151" i="21"/>
  <c r="Y151" i="21"/>
  <c r="X157" i="21"/>
  <c r="Y157" i="21" l="1"/>
  <c r="X166" i="21"/>
  <c r="U157" i="21"/>
  <c r="T166" i="21"/>
  <c r="Q157" i="21"/>
  <c r="P166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sharedStrings.xml><?xml version="1.0" encoding="utf-8"?>
<sst xmlns="http://schemas.openxmlformats.org/spreadsheetml/2006/main" count="495" uniqueCount="196">
  <si>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</si>
  <si>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</si>
  <si>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</si>
  <si>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</si>
  <si>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</si>
  <si>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</si>
  <si>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</si>
  <si>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</si>
  <si>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</si>
  <si>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</si>
  <si>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</si>
  <si>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</si>
  <si>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</si>
  <si>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</si>
  <si>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</si>
  <si>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</si>
  <si>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</si>
  <si>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</si>
  <si>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</si>
  <si>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</si>
  <si>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</si>
  <si>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</si>
  <si>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</si>
  <si>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</si>
  <si>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</si>
  <si>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</si>
  <si>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</si>
  <si>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</si>
  <si>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</si>
  <si>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</si>
  <si>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</si>
  <si>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</si>
  <si>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</si>
  <si>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</si>
  <si>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</si>
  <si>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</si>
  <si>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</si>
  <si>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</si>
  <si>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</si>
  <si>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</si>
  <si>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</si>
  <si>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</si>
  <si>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</si>
  <si>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</si>
  <si>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</si>
  <si>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</si>
  <si>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</si>
  <si>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</si>
  <si>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</si>
  <si>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</si>
  <si>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</si>
  <si>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</si>
  <si>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</si>
  <si>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</si>
  <si>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</si>
  <si>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</si>
  <si>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</si>
  <si>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</si>
  <si>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</si>
  <si>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</si>
  <si>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</si>
  <si>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</si>
  <si>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</si>
  <si>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</si>
  <si>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</si>
  <si>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</si>
  <si>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</si>
  <si>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</si>
  <si>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</si>
  <si>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</si>
  <si>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</si>
  <si>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</si>
  <si>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</si>
  <si>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</si>
  <si>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</si>
  <si>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</si>
  <si>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</si>
  <si>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</si>
  <si>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</si>
  <si>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</si>
  <si>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</si>
  <si>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</si>
  <si>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</si>
  <si>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</si>
  <si>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</si>
  <si>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</si>
  <si>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</si>
  <si>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</si>
  <si>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</si>
  <si>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</si>
  <si>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</si>
  <si>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</si>
  <si>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</si>
  <si>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</si>
  <si>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</si>
  <si>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</si>
  <si>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</si>
  <si>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</si>
  <si>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</si>
  <si>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</si>
  <si>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</si>
  <si>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</si>
  <si>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</si>
  <si>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</si>
  <si>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</si>
  <si>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</si>
  <si>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</si>
  <si>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</si>
  <si>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</si>
  <si>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</si>
  <si>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</si>
  <si>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</si>
  <si>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</si>
  <si>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</si>
  <si>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</si>
  <si>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</si>
  <si>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</si>
  <si>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</si>
  <si>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</si>
  <si>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</si>
  <si>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</si>
  <si>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</si>
  <si>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</si>
  <si>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</si>
  <si>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</si>
  <si>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</si>
  <si>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</si>
  <si>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</si>
  <si>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</si>
  <si>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</si>
  <si>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</si>
  <si>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</si>
  <si>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</si>
  <si>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</si>
  <si>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</si>
  <si>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</si>
  <si>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</si>
  <si>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</si>
  <si>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</si>
  <si>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</si>
  <si>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</si>
  <si>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</si>
  <si>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</si>
  <si>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</si>
  <si>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</si>
  <si>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</si>
  <si>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</si>
  <si>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</si>
  <si>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</si>
  <si>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</si>
  <si>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</si>
  <si>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</si>
  <si>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</si>
  <si>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</si>
  <si>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</si>
  <si>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</si>
  <si>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</si>
  <si>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</si>
  <si>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</si>
  <si>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</si>
  <si>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</si>
  <si>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</si>
  <si>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</si>
  <si>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</si>
  <si>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</si>
  <si>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</si>
  <si>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</si>
  <si>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</si>
  <si>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</si>
  <si>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</si>
  <si>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</si>
  <si>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</si>
  <si>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</si>
  <si>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</si>
  <si>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</si>
  <si>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</si>
  <si>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</si>
  <si>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</si>
  <si>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</si>
  <si>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</si>
  <si>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</si>
  <si>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</si>
  <si>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</si>
  <si>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</si>
  <si>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</si>
  <si>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</si>
  <si>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</si>
  <si>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</si>
  <si>
    <t>Entrada de Compras</t>
  </si>
  <si>
    <t>Investimentos</t>
  </si>
  <si>
    <t>Computadores e Periféricos</t>
  </si>
  <si>
    <t>Consórcios</t>
  </si>
  <si>
    <t>Construções e Reformas</t>
  </si>
  <si>
    <t>Maquinas e Equipamentos</t>
  </si>
  <si>
    <t>Moveis e Utensilios</t>
  </si>
  <si>
    <t>Lucro Líquido Depois dos Investimentos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</si>
</sst>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  <numFmt numFmtId="171" formatCode="0%;\-0%;\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71" fontId="2" fillId="0" borderId="1" xfId="1" applyNumberFormat="1" applyFont="1" applyBorder="1" applyAlignment="1">
      <alignment horizontal="center"/>
    </xf>
    <xf numFmtId="166" fontId="0" fillId="4" borderId="0" xfId="0" applyNumberFormat="1" applyFill="1"/>
    <xf numFmtId="166" fontId="2" fillId="4" borderId="0" xfId="0" applyNumberFormat="1" applyFont="1" applyFill="1"/>
    <xf numFmtId="169" fontId="2" fillId="0" borderId="0" xfId="0" applyNumberFormat="1" applyFont="1" applyAlignment="1">
      <alignment horizontal="center" vertical="center"/>
    </xf>
    <xf numFmtId="169" fontId="2" fillId="3" borderId="0" xfId="0" applyNumberFormat="1" applyFont="1" applyFill="1" applyAlignment="1">
      <alignment horizontal="center" vertical="center"/>
    </xf>
  </cellXfs>
  <cellStyles count="4">
    <cellStyle name="Normal" xfId="0" builtinId="0"/>
    <cellStyle name="Normal 7" xfId="3" xr:uid="{FD4868E7-5440-4529-AF98-C94D08748BC4}"/>
    <cellStyle name="Porcentagem" xfId="1" builtinId="5"/>
    <cellStyle name="Vírgula" xfId="2" builtinId="3"/>
  </cellStyles>
  <dxfs count="5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pesas/Despesas%202026%20-%20Detalhado.xlsx" TargetMode="External"/><Relationship Id="rId2" Type="http://schemas.openxmlformats.org/officeDocument/2006/relationships/externalLinkPath" Target="https://d.docs.live.net/e87dc3a59766ad95/Documentos/Karams%20Estofados/Relat&#243;rios/Financeiro/Despesas/Despesas%202026%20-%20Detalhado.xlsx" TargetMode="External"/><Relationship Id="rId1" Type="http://schemas.openxmlformats.org/officeDocument/2006/relationships/externalLinkPath" Target="/e87dc3a59766ad95/Documentos/Karams%20Estofados/Relat&#243;rios/Financeiro/Despesas/Despesas%202026%20-%20Detalh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ta Manutenção"/>
      <sheetName val="TECNOLOGIA"/>
      <sheetName val="MANUTENÇÃO"/>
      <sheetName val="PREDIAL ADM"/>
      <sheetName val="PREDIAL CIF"/>
      <sheetName val="MÁQUINAS E EQUIPAMENTOS"/>
      <sheetName val="SETOR"/>
      <sheetName val="CUSTO MOD"/>
      <sheetName val="RESUMO"/>
      <sheetName val="DESPESAS"/>
      <sheetName val="FORNECEDORES MANUTENÇÃO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A5" t="str">
            <v>0 - TRIBUTOS</v>
          </cell>
          <cell r="B5">
            <v>136035.24</v>
          </cell>
          <cell r="C5">
            <v>115564.43000000001</v>
          </cell>
          <cell r="D5">
            <v>169337.99</v>
          </cell>
          <cell r="F5">
            <v>420937.66000000003</v>
          </cell>
        </row>
        <row r="6">
          <cell r="A6" t="str">
            <v>COFINS</v>
          </cell>
          <cell r="C6">
            <v>2460.61</v>
          </cell>
          <cell r="D6">
            <v>15906.25</v>
          </cell>
          <cell r="F6">
            <v>18366.86</v>
          </cell>
        </row>
        <row r="7">
          <cell r="A7" t="str">
            <v>ICMS</v>
          </cell>
          <cell r="B7">
            <v>60679.01</v>
          </cell>
          <cell r="C7">
            <v>18975.320000000003</v>
          </cell>
          <cell r="D7">
            <v>39057.060000000005</v>
          </cell>
          <cell r="F7">
            <v>118711.39000000001</v>
          </cell>
        </row>
        <row r="8">
          <cell r="A8" t="str">
            <v>Impostos a recolher</v>
          </cell>
          <cell r="B8">
            <v>5659.96</v>
          </cell>
          <cell r="C8">
            <v>5659.96</v>
          </cell>
          <cell r="D8">
            <v>5659.96</v>
          </cell>
          <cell r="F8">
            <v>16979.88</v>
          </cell>
        </row>
        <row r="9">
          <cell r="A9" t="str">
            <v>IPI</v>
          </cell>
          <cell r="B9">
            <v>15874.39</v>
          </cell>
          <cell r="C9">
            <v>14761.73</v>
          </cell>
          <cell r="D9">
            <v>22197.7</v>
          </cell>
          <cell r="F9">
            <v>52833.82</v>
          </cell>
        </row>
        <row r="10">
          <cell r="A10" t="str">
            <v>Outros Impostos</v>
          </cell>
          <cell r="B10">
            <v>1443.62</v>
          </cell>
          <cell r="C10">
            <v>1490.09</v>
          </cell>
          <cell r="D10">
            <v>1921.23</v>
          </cell>
          <cell r="F10">
            <v>4854.9400000000005</v>
          </cell>
        </row>
        <row r="11">
          <cell r="A11" t="str">
            <v>PIS</v>
          </cell>
          <cell r="C11">
            <v>496.96</v>
          </cell>
          <cell r="D11">
            <v>3431.3</v>
          </cell>
          <cell r="F11">
            <v>3928.26</v>
          </cell>
        </row>
        <row r="12">
          <cell r="A12" t="str">
            <v>Simples Nacional</v>
          </cell>
          <cell r="B12">
            <v>52378.26</v>
          </cell>
          <cell r="C12">
            <v>71719.760000000009</v>
          </cell>
          <cell r="D12">
            <v>81164.490000000005</v>
          </cell>
          <cell r="F12">
            <v>205262.51</v>
          </cell>
        </row>
        <row r="13">
          <cell r="A13" t="str">
            <v>1 - CPV</v>
          </cell>
          <cell r="B13">
            <v>10956.839999999998</v>
          </cell>
          <cell r="C13">
            <v>22587.710000000006</v>
          </cell>
          <cell r="D13">
            <v>29480.909999999996</v>
          </cell>
          <cell r="E13">
            <v>5007.66</v>
          </cell>
          <cell r="F13">
            <v>68033.119999999995</v>
          </cell>
        </row>
        <row r="14">
          <cell r="A14" t="str">
            <v>Compras</v>
          </cell>
          <cell r="B14">
            <v>564</v>
          </cell>
          <cell r="C14">
            <v>987.68</v>
          </cell>
          <cell r="D14">
            <v>1534.3</v>
          </cell>
          <cell r="F14">
            <v>3085.9799999999996</v>
          </cell>
        </row>
        <row r="15">
          <cell r="A15" t="str">
            <v>Compras - Pés/Mecanismos/Bases</v>
          </cell>
          <cell r="B15">
            <v>1</v>
          </cell>
          <cell r="C15">
            <v>2516.6800000000003</v>
          </cell>
          <cell r="D15">
            <v>12217.75</v>
          </cell>
          <cell r="F15">
            <v>14735.43</v>
          </cell>
        </row>
        <row r="16">
          <cell r="A16" t="str">
            <v>Frete sobre Compras</v>
          </cell>
          <cell r="B16">
            <v>10391.839999999998</v>
          </cell>
          <cell r="C16">
            <v>19083.350000000006</v>
          </cell>
          <cell r="D16">
            <v>15728.859999999995</v>
          </cell>
          <cell r="E16">
            <v>5007.66</v>
          </cell>
          <cell r="F16">
            <v>50211.709999999992</v>
          </cell>
        </row>
        <row r="17">
          <cell r="A17" t="str">
            <v>2 - CUSTOS DIRETOS</v>
          </cell>
          <cell r="B17">
            <v>298438.85000000003</v>
          </cell>
          <cell r="C17">
            <v>359850.92</v>
          </cell>
          <cell r="D17">
            <v>333045.58</v>
          </cell>
          <cell r="E17">
            <v>35596.559999999998</v>
          </cell>
          <cell r="F17">
            <v>1026931.9100000001</v>
          </cell>
        </row>
        <row r="18">
          <cell r="A18" t="str">
            <v>Assistência Médica MOD</v>
          </cell>
          <cell r="B18">
            <v>808</v>
          </cell>
          <cell r="C18">
            <v>570</v>
          </cell>
          <cell r="D18">
            <v>349.9</v>
          </cell>
          <cell r="E18">
            <v>420</v>
          </cell>
          <cell r="F18">
            <v>2147.9</v>
          </cell>
        </row>
        <row r="19">
          <cell r="A19" t="str">
            <v>Energia Eletrica (Prod)</v>
          </cell>
          <cell r="B19">
            <v>4543.34</v>
          </cell>
          <cell r="C19">
            <v>6905.72</v>
          </cell>
          <cell r="D19">
            <v>8155.15</v>
          </cell>
          <cell r="F19">
            <v>19604.21</v>
          </cell>
        </row>
        <row r="20">
          <cell r="A20" t="str">
            <v>EPIs/Uniformes (Prod)</v>
          </cell>
          <cell r="B20">
            <v>1899.2</v>
          </cell>
          <cell r="C20">
            <v>1694.1599999999999</v>
          </cell>
          <cell r="E20">
            <v>1307.92</v>
          </cell>
          <cell r="F20">
            <v>4901.28</v>
          </cell>
        </row>
        <row r="21">
          <cell r="A21" t="str">
            <v>Férias MOD</v>
          </cell>
          <cell r="B21">
            <v>2775.23</v>
          </cell>
          <cell r="C21">
            <v>5329.74</v>
          </cell>
          <cell r="D21">
            <v>5620.32</v>
          </cell>
          <cell r="E21">
            <v>15924.140000000001</v>
          </cell>
          <cell r="F21">
            <v>29649.43</v>
          </cell>
        </row>
        <row r="22">
          <cell r="A22" t="str">
            <v>FGTS MOD</v>
          </cell>
          <cell r="B22">
            <v>34431.979999999996</v>
          </cell>
          <cell r="C22">
            <v>32736.5</v>
          </cell>
          <cell r="D22">
            <v>35869.64</v>
          </cell>
          <cell r="F22">
            <v>103038.12</v>
          </cell>
        </row>
        <row r="23">
          <cell r="A23" t="str">
            <v>Gratificacoes MOD</v>
          </cell>
          <cell r="B23">
            <v>6816.55</v>
          </cell>
          <cell r="C23">
            <v>9992.25</v>
          </cell>
          <cell r="D23">
            <v>8223.1</v>
          </cell>
          <cell r="E23">
            <v>1588.1</v>
          </cell>
          <cell r="F23">
            <v>26620</v>
          </cell>
        </row>
        <row r="24">
          <cell r="A24" t="str">
            <v>INSS MOD</v>
          </cell>
          <cell r="B24">
            <v>44369.08</v>
          </cell>
          <cell r="C24">
            <v>42800.44</v>
          </cell>
          <cell r="D24">
            <v>44918.66</v>
          </cell>
          <cell r="F24">
            <v>132088.18</v>
          </cell>
        </row>
        <row r="25">
          <cell r="A25" t="str">
            <v>Material de Expediente (Prod)</v>
          </cell>
          <cell r="B25">
            <v>14950.47</v>
          </cell>
          <cell r="C25">
            <v>21105.59</v>
          </cell>
          <cell r="D25">
            <v>9382.1299999999992</v>
          </cell>
          <cell r="E25">
            <v>7049.37</v>
          </cell>
          <cell r="F25">
            <v>52487.56</v>
          </cell>
        </row>
        <row r="26">
          <cell r="A26" t="str">
            <v>Rescisões MOD</v>
          </cell>
          <cell r="C26">
            <v>30936.210000000003</v>
          </cell>
          <cell r="D26">
            <v>394.44</v>
          </cell>
          <cell r="F26">
            <v>31330.65</v>
          </cell>
        </row>
        <row r="27">
          <cell r="A27" t="str">
            <v>Salarios e Ordenados MOD</v>
          </cell>
          <cell r="B27">
            <v>185861.81</v>
          </cell>
          <cell r="C27">
            <v>205896.33000000002</v>
          </cell>
          <cell r="D27">
            <v>218151.71</v>
          </cell>
          <cell r="E27">
            <v>7266.4299999999994</v>
          </cell>
          <cell r="F27">
            <v>617176.28</v>
          </cell>
        </row>
        <row r="28">
          <cell r="A28" t="str">
            <v>Seguro de Vida MOD</v>
          </cell>
          <cell r="B28">
            <v>1983.19</v>
          </cell>
          <cell r="C28">
            <v>1883.98</v>
          </cell>
          <cell r="D28">
            <v>1980.53</v>
          </cell>
          <cell r="E28">
            <v>2040.6</v>
          </cell>
          <cell r="F28">
            <v>7888.2999999999993</v>
          </cell>
        </row>
        <row r="29">
          <cell r="A29" t="str">
            <v>3 - CUSTOS INDIRETOS</v>
          </cell>
          <cell r="B29">
            <v>87389.239999999991</v>
          </cell>
          <cell r="C29">
            <v>65780.299999999988</v>
          </cell>
          <cell r="D29">
            <v>107667.2</v>
          </cell>
          <cell r="E29">
            <v>19725.309999999998</v>
          </cell>
          <cell r="F29">
            <v>280562.05</v>
          </cell>
        </row>
        <row r="30">
          <cell r="A30" t="str">
            <v>Assistência Médica CIF</v>
          </cell>
          <cell r="E30">
            <v>225</v>
          </cell>
          <cell r="F30">
            <v>225</v>
          </cell>
        </row>
        <row r="31">
          <cell r="A31" t="str">
            <v>Cursos e Treinamentos CIF</v>
          </cell>
          <cell r="B31">
            <v>2934.94</v>
          </cell>
          <cell r="C31">
            <v>1387.6999999999998</v>
          </cell>
          <cell r="D31">
            <v>705.03</v>
          </cell>
          <cell r="F31">
            <v>5027.6699999999992</v>
          </cell>
        </row>
        <row r="32">
          <cell r="A32" t="str">
            <v>Férias CIF</v>
          </cell>
          <cell r="D32">
            <v>1458.08</v>
          </cell>
          <cell r="E32">
            <v>1316.22</v>
          </cell>
          <cell r="F32">
            <v>2774.3</v>
          </cell>
        </row>
        <row r="33">
          <cell r="A33" t="str">
            <v>FGTS CIF</v>
          </cell>
          <cell r="B33">
            <v>6497.95</v>
          </cell>
          <cell r="C33">
            <v>5251.66</v>
          </cell>
          <cell r="D33">
            <v>5035.68</v>
          </cell>
          <cell r="F33">
            <v>16785.29</v>
          </cell>
        </row>
        <row r="34">
          <cell r="A34" t="str">
            <v>Gratificações CIF</v>
          </cell>
          <cell r="B34">
            <v>3000.69</v>
          </cell>
          <cell r="C34">
            <v>2925.69</v>
          </cell>
          <cell r="D34">
            <v>1589.46</v>
          </cell>
          <cell r="E34">
            <v>429.46</v>
          </cell>
          <cell r="F34">
            <v>7945.3</v>
          </cell>
        </row>
        <row r="35">
          <cell r="A35" t="str">
            <v>Horas Extras CIF</v>
          </cell>
          <cell r="B35">
            <v>230</v>
          </cell>
          <cell r="F35">
            <v>230</v>
          </cell>
        </row>
        <row r="36">
          <cell r="A36" t="str">
            <v>INSS CIF</v>
          </cell>
          <cell r="B36">
            <v>8026.6100000000006</v>
          </cell>
          <cell r="C36">
            <v>8297.76</v>
          </cell>
          <cell r="D36">
            <v>8006.02</v>
          </cell>
          <cell r="F36">
            <v>24330.39</v>
          </cell>
        </row>
        <row r="37">
          <cell r="A37" t="str">
            <v>IPTU e Taxas Municipais CIF</v>
          </cell>
          <cell r="E37">
            <v>2430.6600000000003</v>
          </cell>
          <cell r="F37">
            <v>2430.6600000000003</v>
          </cell>
        </row>
        <row r="38">
          <cell r="A38" t="str">
            <v>Manutenção de Equipamentos (Prod)</v>
          </cell>
          <cell r="B38">
            <v>2679.9199999999996</v>
          </cell>
          <cell r="C38">
            <v>9080.0500000000011</v>
          </cell>
          <cell r="D38">
            <v>50727.39</v>
          </cell>
          <cell r="E38">
            <v>5803.26</v>
          </cell>
          <cell r="F38">
            <v>68290.62</v>
          </cell>
        </row>
        <row r="39">
          <cell r="A39" t="str">
            <v>Manutenção Predial CIF</v>
          </cell>
          <cell r="B39">
            <v>22729.919999999998</v>
          </cell>
          <cell r="C39">
            <v>3526.05</v>
          </cell>
          <cell r="D39">
            <v>6703.59</v>
          </cell>
          <cell r="E39">
            <v>6555.5700000000006</v>
          </cell>
          <cell r="F39">
            <v>39515.129999999997</v>
          </cell>
        </row>
        <row r="40">
          <cell r="A40" t="str">
            <v>Material de Limpeza CIF</v>
          </cell>
          <cell r="B40">
            <v>1649.3</v>
          </cell>
          <cell r="C40">
            <v>1675.48</v>
          </cell>
          <cell r="D40">
            <v>2109.6999999999998</v>
          </cell>
          <cell r="E40">
            <v>2093.6</v>
          </cell>
          <cell r="F40">
            <v>7528.08</v>
          </cell>
        </row>
        <row r="41">
          <cell r="A41" t="str">
            <v>Medicina e Seguranca do Trabalho CIF</v>
          </cell>
          <cell r="B41">
            <v>2316.15</v>
          </cell>
          <cell r="C41">
            <v>2405.31</v>
          </cell>
          <cell r="D41">
            <v>2405.31</v>
          </cell>
          <cell r="F41">
            <v>7126.77</v>
          </cell>
        </row>
        <row r="42">
          <cell r="A42" t="str">
            <v>Medicina e Segurança do Trabalho MOD</v>
          </cell>
          <cell r="D42">
            <v>180</v>
          </cell>
          <cell r="F42">
            <v>180</v>
          </cell>
        </row>
        <row r="43">
          <cell r="A43" t="str">
            <v>Salarios e Ordenados CIF</v>
          </cell>
          <cell r="B43">
            <v>36962.579999999994</v>
          </cell>
          <cell r="C43">
            <v>30986.82</v>
          </cell>
          <cell r="D43">
            <v>28474.9</v>
          </cell>
          <cell r="E43">
            <v>595.26</v>
          </cell>
          <cell r="F43">
            <v>97019.559999999983</v>
          </cell>
        </row>
        <row r="44">
          <cell r="A44" t="str">
            <v>Seguro de Vida CIF</v>
          </cell>
          <cell r="B44">
            <v>361.18</v>
          </cell>
          <cell r="C44">
            <v>243.78000000000003</v>
          </cell>
          <cell r="D44">
            <v>272.03999999999996</v>
          </cell>
          <cell r="E44">
            <v>276.27999999999997</v>
          </cell>
          <cell r="F44">
            <v>1153.28</v>
          </cell>
        </row>
        <row r="45">
          <cell r="A45" t="str">
            <v>4 - GASTOS COM PESSOAL</v>
          </cell>
          <cell r="B45">
            <v>162457.65999999997</v>
          </cell>
          <cell r="C45">
            <v>172282.52000000005</v>
          </cell>
          <cell r="D45">
            <v>186773.47999999998</v>
          </cell>
          <cell r="E45">
            <v>76539.610000000015</v>
          </cell>
          <cell r="F45">
            <v>598053.27</v>
          </cell>
        </row>
        <row r="46">
          <cell r="A46" t="str">
            <v>Assistência Médica (Adm)</v>
          </cell>
          <cell r="C46">
            <v>75</v>
          </cell>
          <cell r="F46">
            <v>75</v>
          </cell>
        </row>
        <row r="47">
          <cell r="A47" t="str">
            <v>Confraternização</v>
          </cell>
          <cell r="B47">
            <v>3330.86</v>
          </cell>
          <cell r="C47">
            <v>369.46000000000004</v>
          </cell>
          <cell r="D47">
            <v>1065.51</v>
          </cell>
          <cell r="E47">
            <v>170.15</v>
          </cell>
          <cell r="F47">
            <v>4935.9799999999996</v>
          </cell>
        </row>
        <row r="48">
          <cell r="A48" t="str">
            <v>Cursos e Treinamentos (Adm)</v>
          </cell>
          <cell r="B48">
            <v>2231.33</v>
          </cell>
          <cell r="C48">
            <v>4424.49</v>
          </cell>
          <cell r="D48">
            <v>1873.7600000000002</v>
          </cell>
          <cell r="E48">
            <v>1197.0999999999999</v>
          </cell>
          <cell r="F48">
            <v>9726.68</v>
          </cell>
        </row>
        <row r="49">
          <cell r="A49" t="str">
            <v>Ferias (Adm)</v>
          </cell>
          <cell r="C49">
            <v>297.89999999999998</v>
          </cell>
          <cell r="D49">
            <v>1372.31</v>
          </cell>
          <cell r="E49">
            <v>2681.09</v>
          </cell>
          <cell r="F49">
            <v>4351.3</v>
          </cell>
        </row>
        <row r="50">
          <cell r="A50" t="str">
            <v>FGTS (Adm)</v>
          </cell>
          <cell r="B50">
            <v>8774.5499999999993</v>
          </cell>
          <cell r="C50">
            <v>9673.7099999999991</v>
          </cell>
          <cell r="D50">
            <v>9088.76</v>
          </cell>
          <cell r="F50">
            <v>27537.019999999997</v>
          </cell>
        </row>
        <row r="51">
          <cell r="A51" t="str">
            <v>Gratificações (Adm)</v>
          </cell>
          <cell r="B51">
            <v>2919.01</v>
          </cell>
          <cell r="C51">
            <v>4519.01</v>
          </cell>
          <cell r="D51">
            <v>4955.24</v>
          </cell>
          <cell r="E51">
            <v>1980.24</v>
          </cell>
          <cell r="F51">
            <v>14373.5</v>
          </cell>
        </row>
        <row r="52">
          <cell r="A52" t="str">
            <v>INSS (Adm)</v>
          </cell>
          <cell r="B52">
            <v>22949.23</v>
          </cell>
          <cell r="C52">
            <v>17763.09</v>
          </cell>
          <cell r="D52">
            <v>20718.489999999998</v>
          </cell>
          <cell r="F52">
            <v>61430.81</v>
          </cell>
        </row>
        <row r="53">
          <cell r="A53" t="str">
            <v>Manutenção Predial (Adm)</v>
          </cell>
          <cell r="B53">
            <v>2233.96</v>
          </cell>
          <cell r="C53">
            <v>2457.64</v>
          </cell>
          <cell r="D53">
            <v>1143.7600000000002</v>
          </cell>
          <cell r="E53">
            <v>116</v>
          </cell>
          <cell r="F53">
            <v>5951.3600000000006</v>
          </cell>
        </row>
        <row r="54">
          <cell r="A54" t="str">
            <v>Pró-Labore</v>
          </cell>
          <cell r="B54">
            <v>64498.680000000008</v>
          </cell>
          <cell r="C54">
            <v>60318.180000000008</v>
          </cell>
          <cell r="D54">
            <v>59830.189999999995</v>
          </cell>
          <cell r="E54">
            <v>51717.240000000005</v>
          </cell>
          <cell r="F54">
            <v>236364.29000000004</v>
          </cell>
        </row>
        <row r="55">
          <cell r="A55" t="str">
            <v>Rescisões (Adm)</v>
          </cell>
          <cell r="B55">
            <v>879.73</v>
          </cell>
          <cell r="D55">
            <v>11928.27</v>
          </cell>
          <cell r="E55">
            <v>12417.35</v>
          </cell>
          <cell r="F55">
            <v>25225.35</v>
          </cell>
        </row>
        <row r="56">
          <cell r="A56" t="str">
            <v>Salarios e Ordenados (Adm)</v>
          </cell>
          <cell r="B56">
            <v>53990.009999999995</v>
          </cell>
          <cell r="C56">
            <v>71662.62000000001</v>
          </cell>
          <cell r="D56">
            <v>74200.570000000007</v>
          </cell>
          <cell r="E56">
            <v>5659.81</v>
          </cell>
          <cell r="F56">
            <v>205513.01</v>
          </cell>
        </row>
        <row r="57">
          <cell r="A57" t="str">
            <v>Seguro de Vida (Adm)</v>
          </cell>
          <cell r="B57">
            <v>650.30000000000007</v>
          </cell>
          <cell r="C57">
            <v>721.42000000000007</v>
          </cell>
          <cell r="D57">
            <v>596.62</v>
          </cell>
          <cell r="E57">
            <v>600.63</v>
          </cell>
          <cell r="F57">
            <v>2568.9700000000003</v>
          </cell>
        </row>
        <row r="58">
          <cell r="A58" t="str">
            <v>5 - DESPESAS ADMINISTRATIVAS</v>
          </cell>
          <cell r="B58">
            <v>16694.399999999998</v>
          </cell>
          <cell r="C58">
            <v>18621.319999999996</v>
          </cell>
          <cell r="D58">
            <v>17985.82</v>
          </cell>
          <cell r="E58">
            <v>5156.7999999999993</v>
          </cell>
          <cell r="F58">
            <v>58458.34</v>
          </cell>
        </row>
        <row r="59">
          <cell r="A59" t="str">
            <v>Água</v>
          </cell>
          <cell r="B59">
            <v>32.229999999999997</v>
          </cell>
          <cell r="C59">
            <v>32.229999999999997</v>
          </cell>
          <cell r="D59">
            <v>32.229999999999997</v>
          </cell>
          <cell r="F59">
            <v>96.69</v>
          </cell>
        </row>
        <row r="60">
          <cell r="A60" t="str">
            <v>Alimentação</v>
          </cell>
          <cell r="B60">
            <v>295.60000000000002</v>
          </cell>
          <cell r="C60">
            <v>338.73</v>
          </cell>
          <cell r="D60">
            <v>782.8</v>
          </cell>
          <cell r="E60">
            <v>607.5</v>
          </cell>
          <cell r="F60">
            <v>2024.63</v>
          </cell>
        </row>
        <row r="61">
          <cell r="A61" t="str">
            <v>Aluguel de Imóvel</v>
          </cell>
          <cell r="B61">
            <v>800</v>
          </cell>
          <cell r="C61">
            <v>900</v>
          </cell>
          <cell r="D61">
            <v>900</v>
          </cell>
          <cell r="E61">
            <v>900</v>
          </cell>
          <cell r="F61">
            <v>3500</v>
          </cell>
        </row>
        <row r="62">
          <cell r="A62" t="str">
            <v>Combustíveis (Adm)</v>
          </cell>
          <cell r="B62">
            <v>511.23</v>
          </cell>
          <cell r="C62">
            <v>981.08999999999992</v>
          </cell>
          <cell r="D62">
            <v>780.64</v>
          </cell>
          <cell r="E62">
            <v>120</v>
          </cell>
          <cell r="F62">
            <v>2392.96</v>
          </cell>
        </row>
        <row r="63">
          <cell r="A63" t="str">
            <v>Copa</v>
          </cell>
          <cell r="B63">
            <v>15.99</v>
          </cell>
          <cell r="C63">
            <v>368.6</v>
          </cell>
          <cell r="D63">
            <v>150.63</v>
          </cell>
          <cell r="F63">
            <v>535.22</v>
          </cell>
        </row>
        <row r="64">
          <cell r="A64" t="str">
            <v>Despesas Cartorárias</v>
          </cell>
          <cell r="B64">
            <v>432.21</v>
          </cell>
          <cell r="C64">
            <v>511.6699999999999</v>
          </cell>
          <cell r="D64">
            <v>350.68</v>
          </cell>
          <cell r="F64">
            <v>1294.56</v>
          </cell>
        </row>
        <row r="65">
          <cell r="A65" t="str">
            <v>Doações</v>
          </cell>
          <cell r="B65">
            <v>100</v>
          </cell>
          <cell r="C65">
            <v>100</v>
          </cell>
          <cell r="D65">
            <v>100</v>
          </cell>
          <cell r="E65">
            <v>100</v>
          </cell>
          <cell r="F65">
            <v>400</v>
          </cell>
        </row>
        <row r="66">
          <cell r="A66" t="str">
            <v>Energia Eletrica (Adm)</v>
          </cell>
          <cell r="B66">
            <v>98.41</v>
          </cell>
          <cell r="C66">
            <v>91.95</v>
          </cell>
          <cell r="E66">
            <v>60</v>
          </cell>
          <cell r="F66">
            <v>250.36</v>
          </cell>
        </row>
        <row r="67">
          <cell r="A67" t="str">
            <v>Material de Expediente (Adm)</v>
          </cell>
          <cell r="B67">
            <v>111.89</v>
          </cell>
          <cell r="C67">
            <v>373.27</v>
          </cell>
          <cell r="D67">
            <v>382.17</v>
          </cell>
          <cell r="E67">
            <v>388.82</v>
          </cell>
          <cell r="F67">
            <v>1256.1499999999999</v>
          </cell>
        </row>
        <row r="68">
          <cell r="A68" t="str">
            <v>Material de Limpeza (Adm)</v>
          </cell>
          <cell r="B68">
            <v>367.37</v>
          </cell>
          <cell r="C68">
            <v>577.9</v>
          </cell>
          <cell r="D68">
            <v>427.23</v>
          </cell>
          <cell r="E68">
            <v>448.1</v>
          </cell>
          <cell r="F68">
            <v>1820.6</v>
          </cell>
        </row>
        <row r="69">
          <cell r="A69" t="str">
            <v>Rastreamento de frota</v>
          </cell>
          <cell r="B69">
            <v>370</v>
          </cell>
          <cell r="C69">
            <v>370</v>
          </cell>
          <cell r="D69">
            <v>370</v>
          </cell>
          <cell r="E69">
            <v>370</v>
          </cell>
          <cell r="F69">
            <v>1480</v>
          </cell>
        </row>
        <row r="70">
          <cell r="A70" t="str">
            <v>Seguros Veicular</v>
          </cell>
          <cell r="B70">
            <v>11212.419999999998</v>
          </cell>
          <cell r="C70">
            <v>11212.419999999998</v>
          </cell>
          <cell r="D70">
            <v>11212.419999999998</v>
          </cell>
          <cell r="E70">
            <v>1697.48</v>
          </cell>
          <cell r="F70">
            <v>35334.74</v>
          </cell>
        </row>
        <row r="71">
          <cell r="A71" t="str">
            <v>SPC/Serasa/Associacao</v>
          </cell>
          <cell r="B71">
            <v>351</v>
          </cell>
          <cell r="C71">
            <v>617.44000000000005</v>
          </cell>
          <cell r="D71">
            <v>351</v>
          </cell>
          <cell r="F71">
            <v>1319.44</v>
          </cell>
        </row>
        <row r="72">
          <cell r="A72" t="str">
            <v>Telefone e Internet</v>
          </cell>
          <cell r="B72">
            <v>1996.0500000000002</v>
          </cell>
          <cell r="C72">
            <v>2146.02</v>
          </cell>
          <cell r="D72">
            <v>2146.02</v>
          </cell>
          <cell r="E72">
            <v>464.9</v>
          </cell>
          <cell r="F72">
            <v>6752.99</v>
          </cell>
        </row>
        <row r="73">
          <cell r="A73" t="str">
            <v>6 - DESPESA COM VENDAS</v>
          </cell>
          <cell r="B73">
            <v>401746.28999999986</v>
          </cell>
          <cell r="C73">
            <v>315472.21000000002</v>
          </cell>
          <cell r="D73">
            <v>386595.21</v>
          </cell>
          <cell r="E73">
            <v>181507.31</v>
          </cell>
          <cell r="F73">
            <v>1285321.02</v>
          </cell>
        </row>
        <row r="74">
          <cell r="A74" t="str">
            <v>Brindes</v>
          </cell>
          <cell r="B74">
            <v>1368</v>
          </cell>
          <cell r="F74">
            <v>1368</v>
          </cell>
        </row>
        <row r="75">
          <cell r="A75" t="str">
            <v>Carregamento</v>
          </cell>
          <cell r="B75">
            <v>1955</v>
          </cell>
          <cell r="C75">
            <v>2415</v>
          </cell>
          <cell r="D75">
            <v>3042.48</v>
          </cell>
          <cell r="E75">
            <v>86</v>
          </cell>
          <cell r="F75">
            <v>7498.48</v>
          </cell>
        </row>
        <row r="76">
          <cell r="A76" t="str">
            <v>Combustiveis Frota</v>
          </cell>
          <cell r="B76">
            <v>41074.299999999996</v>
          </cell>
          <cell r="C76">
            <v>47569.919999999998</v>
          </cell>
          <cell r="D76">
            <v>69230.98000000001</v>
          </cell>
          <cell r="E76">
            <v>28146.19</v>
          </cell>
          <cell r="F76">
            <v>186021.39</v>
          </cell>
        </row>
        <row r="77">
          <cell r="A77" t="str">
            <v>Comissões sobre Vendas Externo</v>
          </cell>
          <cell r="B77">
            <v>117100.21999999996</v>
          </cell>
          <cell r="C77">
            <v>78726.199999999983</v>
          </cell>
          <cell r="D77">
            <v>88339.049999999988</v>
          </cell>
          <cell r="E77">
            <v>54479.799999999996</v>
          </cell>
          <cell r="F77">
            <v>338645.2699999999</v>
          </cell>
        </row>
        <row r="78">
          <cell r="A78" t="str">
            <v>Comissões sobre Vendas Interno</v>
          </cell>
          <cell r="B78">
            <v>7224.44</v>
          </cell>
          <cell r="C78">
            <v>5041.3999999999996</v>
          </cell>
          <cell r="D78">
            <v>10515.810000000001</v>
          </cell>
          <cell r="E78">
            <v>8548.01</v>
          </cell>
          <cell r="F78">
            <v>31329.660000000003</v>
          </cell>
        </row>
        <row r="79">
          <cell r="A79" t="str">
            <v>Consultoria Comercial</v>
          </cell>
          <cell r="B79">
            <v>13677.889999999998</v>
          </cell>
          <cell r="C79">
            <v>10422.07</v>
          </cell>
          <cell r="D79">
            <v>13862.09</v>
          </cell>
          <cell r="E79">
            <v>25253.83</v>
          </cell>
          <cell r="F79">
            <v>63215.880000000005</v>
          </cell>
        </row>
        <row r="80">
          <cell r="A80" t="str">
            <v>Desenvolvimento de Novos Produtos</v>
          </cell>
          <cell r="B80">
            <v>24000</v>
          </cell>
          <cell r="C80">
            <v>24000</v>
          </cell>
          <cell r="D80">
            <v>24000</v>
          </cell>
          <cell r="E80">
            <v>510</v>
          </cell>
          <cell r="F80">
            <v>72510</v>
          </cell>
        </row>
        <row r="81">
          <cell r="A81" t="str">
            <v>Feiras e Eventos</v>
          </cell>
          <cell r="B81">
            <v>119279.42999999996</v>
          </cell>
          <cell r="C81">
            <v>38472.950000000004</v>
          </cell>
          <cell r="D81">
            <v>41728.47</v>
          </cell>
          <cell r="E81">
            <v>39467.100000000006</v>
          </cell>
          <cell r="F81">
            <v>238947.94999999998</v>
          </cell>
        </row>
        <row r="82">
          <cell r="A82" t="str">
            <v>Fretes</v>
          </cell>
          <cell r="C82">
            <v>2334.16</v>
          </cell>
          <cell r="D82">
            <v>709</v>
          </cell>
          <cell r="F82">
            <v>3043.16</v>
          </cell>
        </row>
        <row r="83">
          <cell r="A83" t="str">
            <v>Fretes Ass. Técnica</v>
          </cell>
          <cell r="B83">
            <v>673.06999999999994</v>
          </cell>
          <cell r="C83">
            <v>1644.02</v>
          </cell>
          <cell r="D83">
            <v>420.81</v>
          </cell>
          <cell r="F83">
            <v>2737.9</v>
          </cell>
        </row>
        <row r="84">
          <cell r="A84" t="str">
            <v>Fretes Karams</v>
          </cell>
          <cell r="B84">
            <v>9673.85</v>
          </cell>
          <cell r="C84">
            <v>18654.349999999999</v>
          </cell>
          <cell r="D84">
            <v>19808.55</v>
          </cell>
          <cell r="E84">
            <v>7301</v>
          </cell>
          <cell r="F84">
            <v>55437.75</v>
          </cell>
        </row>
        <row r="85">
          <cell r="A85" t="str">
            <v>IPVA e Licenciamento</v>
          </cell>
          <cell r="B85">
            <v>4296.6099999999997</v>
          </cell>
          <cell r="C85">
            <v>4296.6099999999997</v>
          </cell>
          <cell r="D85">
            <v>4296.6099999999997</v>
          </cell>
          <cell r="E85">
            <v>4715.6899999999996</v>
          </cell>
          <cell r="F85">
            <v>17605.519999999997</v>
          </cell>
        </row>
        <row r="86">
          <cell r="A86" t="str">
            <v>Mostruário de Tecido</v>
          </cell>
          <cell r="B86">
            <v>7122.33</v>
          </cell>
          <cell r="C86">
            <v>4005.16</v>
          </cell>
          <cell r="D86">
            <v>4874.22</v>
          </cell>
          <cell r="E86">
            <v>2254.29</v>
          </cell>
          <cell r="F86">
            <v>18256</v>
          </cell>
        </row>
        <row r="87">
          <cell r="A87" t="str">
            <v>Multas de Trânsito</v>
          </cell>
          <cell r="B87">
            <v>260.32</v>
          </cell>
          <cell r="C87">
            <v>260.32</v>
          </cell>
          <cell r="D87">
            <v>1564.33</v>
          </cell>
          <cell r="E87">
            <v>667.02</v>
          </cell>
          <cell r="F87">
            <v>2751.99</v>
          </cell>
        </row>
        <row r="88">
          <cell r="A88" t="str">
            <v>Pedágio Frota</v>
          </cell>
          <cell r="B88">
            <v>4450.1000000000004</v>
          </cell>
          <cell r="C88">
            <v>10141.98</v>
          </cell>
          <cell r="D88">
            <v>9958.6499999999978</v>
          </cell>
          <cell r="F88">
            <v>24550.729999999996</v>
          </cell>
        </row>
        <row r="89">
          <cell r="A89" t="str">
            <v>Publicidade e Propaganda</v>
          </cell>
          <cell r="B89">
            <v>1965</v>
          </cell>
          <cell r="C89">
            <v>1965</v>
          </cell>
          <cell r="D89">
            <v>7759.59</v>
          </cell>
          <cell r="E89">
            <v>2492.92</v>
          </cell>
          <cell r="F89">
            <v>14182.51</v>
          </cell>
        </row>
        <row r="90">
          <cell r="A90" t="str">
            <v>Royalties</v>
          </cell>
          <cell r="B90">
            <v>35699.840000000004</v>
          </cell>
          <cell r="C90">
            <v>45445.030000000006</v>
          </cell>
          <cell r="D90">
            <v>61484.200000000004</v>
          </cell>
          <cell r="F90">
            <v>142629.07</v>
          </cell>
        </row>
        <row r="91">
          <cell r="A91" t="str">
            <v>Viagens e Estadias c/ Vendas</v>
          </cell>
          <cell r="B91">
            <v>738.16</v>
          </cell>
          <cell r="C91">
            <v>1807.69</v>
          </cell>
          <cell r="D91">
            <v>2581.66</v>
          </cell>
          <cell r="E91">
            <v>2175.61</v>
          </cell>
          <cell r="F91">
            <v>7303.1200000000008</v>
          </cell>
        </row>
        <row r="92">
          <cell r="A92" t="str">
            <v>Manutenção com veiculos</v>
          </cell>
          <cell r="B92">
            <v>11187.73</v>
          </cell>
          <cell r="C92">
            <v>18270.349999999999</v>
          </cell>
          <cell r="D92">
            <v>22418.71</v>
          </cell>
          <cell r="E92">
            <v>5409.8499999999995</v>
          </cell>
          <cell r="F92">
            <v>57286.639999999992</v>
          </cell>
        </row>
        <row r="93">
          <cell r="A93" t="str">
            <v>7 - SERVIÇOS DE TERCEIROS</v>
          </cell>
          <cell r="B93">
            <v>74180.06</v>
          </cell>
          <cell r="C93">
            <v>63742.03</v>
          </cell>
          <cell r="D93">
            <v>67412.58</v>
          </cell>
          <cell r="E93">
            <v>41946.38</v>
          </cell>
          <cell r="F93">
            <v>247281.05</v>
          </cell>
        </row>
        <row r="94">
          <cell r="A94" t="str">
            <v>Consultoria Empresarial</v>
          </cell>
          <cell r="B94">
            <v>16033.429999999998</v>
          </cell>
          <cell r="C94">
            <v>14452.9</v>
          </cell>
          <cell r="D94">
            <v>20130.41</v>
          </cell>
          <cell r="E94">
            <v>10016.82</v>
          </cell>
          <cell r="F94">
            <v>60633.56</v>
          </cell>
        </row>
        <row r="95">
          <cell r="A95" t="str">
            <v>Consultoria Juridica</v>
          </cell>
          <cell r="B95">
            <v>6035.41</v>
          </cell>
          <cell r="C95">
            <v>6035.41</v>
          </cell>
          <cell r="D95">
            <v>6035.41</v>
          </cell>
          <cell r="F95">
            <v>18106.23</v>
          </cell>
        </row>
        <row r="96">
          <cell r="A96" t="str">
            <v>Contabilidade</v>
          </cell>
          <cell r="B96">
            <v>11823</v>
          </cell>
          <cell r="C96">
            <v>11880</v>
          </cell>
          <cell r="D96">
            <v>12244</v>
          </cell>
          <cell r="E96">
            <v>6748</v>
          </cell>
          <cell r="F96">
            <v>42695</v>
          </cell>
        </row>
        <row r="97">
          <cell r="A97" t="str">
            <v>Curadoria</v>
          </cell>
          <cell r="B97">
            <v>8966</v>
          </cell>
          <cell r="C97">
            <v>9436</v>
          </cell>
          <cell r="D97">
            <v>9436</v>
          </cell>
          <cell r="E97">
            <v>4718</v>
          </cell>
          <cell r="F97">
            <v>32556</v>
          </cell>
        </row>
        <row r="98">
          <cell r="A98" t="str">
            <v>Outros Serviços de Terceiros</v>
          </cell>
          <cell r="B98">
            <v>6685.8499999999995</v>
          </cell>
          <cell r="C98">
            <v>9350</v>
          </cell>
          <cell r="D98">
            <v>7769.93</v>
          </cell>
          <cell r="E98">
            <v>5200</v>
          </cell>
          <cell r="F98">
            <v>29005.78</v>
          </cell>
        </row>
        <row r="99">
          <cell r="A99" t="str">
            <v>Sistemas de Informação</v>
          </cell>
          <cell r="B99">
            <v>23441.37</v>
          </cell>
          <cell r="C99">
            <v>11505.72</v>
          </cell>
          <cell r="D99">
            <v>10818.33</v>
          </cell>
          <cell r="E99">
            <v>7845.5599999999995</v>
          </cell>
          <cell r="F99">
            <v>53610.979999999996</v>
          </cell>
        </row>
        <row r="100">
          <cell r="A100" t="str">
            <v>Vigilancia e Seguranca</v>
          </cell>
          <cell r="B100">
            <v>1195</v>
          </cell>
          <cell r="C100">
            <v>1082</v>
          </cell>
          <cell r="D100">
            <v>978.5</v>
          </cell>
          <cell r="E100">
            <v>418</v>
          </cell>
          <cell r="F100">
            <v>3673.5</v>
          </cell>
        </row>
        <row r="101">
          <cell r="A101" t="str">
            <v>Consultoria Tributaria</v>
          </cell>
          <cell r="E101">
            <v>7000</v>
          </cell>
          <cell r="F101">
            <v>7000</v>
          </cell>
        </row>
        <row r="102">
          <cell r="A102" t="str">
            <v>8 - DESPESAS FINANCEIRAS</v>
          </cell>
          <cell r="B102">
            <v>56553.34</v>
          </cell>
          <cell r="C102">
            <v>61446.999999999985</v>
          </cell>
          <cell r="D102">
            <v>55657.97</v>
          </cell>
          <cell r="E102">
            <v>45281.599999999991</v>
          </cell>
          <cell r="F102">
            <v>218939.90999999997</v>
          </cell>
        </row>
        <row r="103">
          <cell r="A103" t="str">
            <v>Despesas Bancarias</v>
          </cell>
          <cell r="B103">
            <v>9652.9900000000034</v>
          </cell>
          <cell r="C103">
            <v>9775.6499999999905</v>
          </cell>
          <cell r="D103">
            <v>9300.989999999998</v>
          </cell>
          <cell r="E103">
            <v>6360.23</v>
          </cell>
          <cell r="F103">
            <v>35089.859999999986</v>
          </cell>
        </row>
        <row r="104">
          <cell r="A104" t="str">
            <v>Despesas de Cobranca</v>
          </cell>
          <cell r="B104">
            <v>143.60000000000002</v>
          </cell>
          <cell r="C104">
            <v>95.93</v>
          </cell>
          <cell r="D104">
            <v>251.57000000000002</v>
          </cell>
          <cell r="E104">
            <v>183.16000000000003</v>
          </cell>
          <cell r="F104">
            <v>674.26</v>
          </cell>
        </row>
        <row r="105">
          <cell r="A105" t="str">
            <v>Despesas de Outros Gastos Não Operacionais</v>
          </cell>
          <cell r="B105">
            <v>6672.09</v>
          </cell>
          <cell r="C105">
            <v>11317.74</v>
          </cell>
          <cell r="D105">
            <v>13530.41</v>
          </cell>
          <cell r="E105">
            <v>4872.24</v>
          </cell>
          <cell r="F105">
            <v>36392.480000000003</v>
          </cell>
        </row>
        <row r="106">
          <cell r="A106" t="str">
            <v>Insumos de Clientes</v>
          </cell>
          <cell r="B106">
            <v>10463.530000000001</v>
          </cell>
          <cell r="C106">
            <v>10819.31</v>
          </cell>
          <cell r="D106">
            <v>3571.8999999999996</v>
          </cell>
          <cell r="E106">
            <v>15149.56</v>
          </cell>
          <cell r="F106">
            <v>40004.299999999996</v>
          </cell>
        </row>
        <row r="107">
          <cell r="A107" t="str">
            <v>Juros Pagos</v>
          </cell>
          <cell r="C107">
            <v>95.75</v>
          </cell>
          <cell r="F107">
            <v>95.75</v>
          </cell>
        </row>
        <row r="108">
          <cell r="A108" t="str">
            <v>Juros Pagos - Antecipação de Crédito</v>
          </cell>
          <cell r="B108">
            <v>29621.129999999994</v>
          </cell>
          <cell r="C108">
            <v>29342.62</v>
          </cell>
          <cell r="D108">
            <v>29003.100000000002</v>
          </cell>
          <cell r="E108">
            <v>18716.409999999996</v>
          </cell>
          <cell r="F108">
            <v>106683.25999999998</v>
          </cell>
        </row>
        <row r="109">
          <cell r="A109" t="str">
            <v>9 - INVESTIMENTOS</v>
          </cell>
          <cell r="B109">
            <v>53166.43</v>
          </cell>
          <cell r="C109">
            <v>26411.83</v>
          </cell>
          <cell r="D109">
            <v>26833.7</v>
          </cell>
          <cell r="E109">
            <v>6236.2699999999995</v>
          </cell>
          <cell r="F109">
            <v>112648.23000000001</v>
          </cell>
        </row>
        <row r="110">
          <cell r="A110" t="str">
            <v>Computadores e Periféricos</v>
          </cell>
          <cell r="B110">
            <v>9551.4999999999982</v>
          </cell>
          <cell r="C110">
            <v>4960.7299999999996</v>
          </cell>
          <cell r="D110">
            <v>2407.11</v>
          </cell>
          <cell r="E110">
            <v>1241.96</v>
          </cell>
          <cell r="F110">
            <v>18161.299999999996</v>
          </cell>
        </row>
        <row r="111">
          <cell r="A111" t="str">
            <v>Consórcios</v>
          </cell>
          <cell r="B111">
            <v>3037.44</v>
          </cell>
          <cell r="C111">
            <v>3037.44</v>
          </cell>
          <cell r="D111">
            <v>3037.44</v>
          </cell>
          <cell r="E111">
            <v>3037.44</v>
          </cell>
          <cell r="F111">
            <v>12149.76</v>
          </cell>
        </row>
        <row r="112">
          <cell r="A112" t="str">
            <v>Construções e Reformas</v>
          </cell>
          <cell r="B112">
            <v>14634.46</v>
          </cell>
          <cell r="C112">
            <v>5089.95</v>
          </cell>
          <cell r="D112">
            <v>2570</v>
          </cell>
          <cell r="F112">
            <v>22294.41</v>
          </cell>
        </row>
        <row r="113">
          <cell r="A113" t="str">
            <v>Maquinas e Equipamentos</v>
          </cell>
          <cell r="B113">
            <v>25943.030000000002</v>
          </cell>
          <cell r="C113">
            <v>13323.710000000001</v>
          </cell>
          <cell r="D113">
            <v>14734.15</v>
          </cell>
          <cell r="E113">
            <v>1956.87</v>
          </cell>
          <cell r="F113">
            <v>55957.760000000009</v>
          </cell>
        </row>
        <row r="114">
          <cell r="A114" t="str">
            <v>Moveis e Utensilios</v>
          </cell>
          <cell r="D114">
            <v>4085</v>
          </cell>
          <cell r="F114">
            <v>4085</v>
          </cell>
        </row>
        <row r="115">
          <cell r="A115" t="str">
            <v>Total Geral</v>
          </cell>
          <cell r="B115">
            <v>1297618.3500000003</v>
          </cell>
          <cell r="C115">
            <v>1221760.2699999996</v>
          </cell>
          <cell r="D115">
            <v>1380790.44</v>
          </cell>
          <cell r="E115">
            <v>416997.49999999988</v>
          </cell>
          <cell r="F115">
            <v>4317166.5599999996</v>
          </cell>
        </row>
      </sheetData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32606B-92DD-4595-BB15-6B3BF7B8928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8aa524d-4dbd-46e3-a26f-e5157eb200d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AY166"/>
  <sheetViews>
    <sheetView showGridLines="0" tabSelected="1" zoomScaleNormal="100" workbookViewId="0">
      <pane xSplit="9" ySplit="10" topLeftCell="P89" activePane="bottomRight" state="frozen"/>
      <selection pane="topRight" activeCell="F1" sqref="F1"/>
      <selection pane="bottomLeft" activeCell="A9" sqref="A9"/>
      <selection pane="bottomRight" activeCell="AB26" sqref="AB26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2.5703125" style="15" bestFit="1" customWidth="1"/>
    <col min="29" max="29" width="12.140625" style="15" bestFit="1" customWidth="1"/>
    <col min="30" max="30" width="11.5703125" style="6" customWidth="1"/>
    <col min="31" max="31" width="7.42578125" style="15" customWidth="1"/>
    <col min="32" max="32" width="11.5703125" style="6" customWidth="1"/>
    <col min="33" max="33" width="7.42578125" style="15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11.5703125" style="6" customWidth="1"/>
    <col min="45" max="45" width="7.42578125" style="15" customWidth="1"/>
    <col min="46" max="46" width="3.7109375" style="27" customWidth="1"/>
    <col min="47" max="47" width="12.7109375" style="6" customWidth="1"/>
    <col min="48" max="48" width="7.42578125" style="15" customWidth="1"/>
    <col min="49" max="49" width="12.7109375" style="6" customWidth="1"/>
    <col min="50" max="50" width="11" bestFit="1" customWidth="1"/>
  </cols>
  <sheetData>
    <row r="2" spans="2:51" x14ac:dyDescent="0.25">
      <c r="I2" s="3" t="s">
        <v>144</v>
      </c>
    </row>
    <row r="3" spans="2:51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D3" s="20" t="s">
        <v>171</v>
      </c>
      <c r="AF3" s="20" t="s">
        <v>172</v>
      </c>
      <c r="AH3" s="20" t="s">
        <v>173</v>
      </c>
      <c r="AJ3" s="20" t="s">
        <v>174</v>
      </c>
      <c r="AL3" s="20" t="s">
        <v>175</v>
      </c>
      <c r="AN3" s="20" t="s">
        <v>176</v>
      </c>
      <c r="AP3" s="20" t="s">
        <v>177</v>
      </c>
      <c r="AR3" s="20" t="s">
        <v>178</v>
      </c>
      <c r="AU3" s="6">
        <v>-27948522.454770602</v>
      </c>
      <c r="AX3" s="6"/>
    </row>
    <row r="4" spans="2:51" x14ac:dyDescent="0.25">
      <c r="I4" s="3"/>
      <c r="J4" s="44" t="s">
        <v>157</v>
      </c>
      <c r="K4" s="43"/>
      <c r="L4" s="44" t="s">
        <v>157</v>
      </c>
      <c r="M4" s="43"/>
      <c r="N4" s="53" t="s">
        <v>157</v>
      </c>
      <c r="O4" s="53"/>
      <c r="P4" s="54" t="s">
        <v>158</v>
      </c>
      <c r="Q4" s="54"/>
      <c r="R4" s="44" t="s">
        <v>157</v>
      </c>
      <c r="S4" s="43"/>
      <c r="T4" s="54" t="s">
        <v>158</v>
      </c>
      <c r="U4" s="54"/>
      <c r="V4" s="44" t="s">
        <v>157</v>
      </c>
      <c r="W4" s="43"/>
      <c r="X4" s="54" t="s">
        <v>158</v>
      </c>
      <c r="Y4" s="54"/>
      <c r="Z4" s="44" t="s">
        <v>157</v>
      </c>
      <c r="AA4" s="43"/>
      <c r="AB4" s="54" t="s">
        <v>158</v>
      </c>
      <c r="AC4" s="54"/>
      <c r="AD4" s="44" t="s">
        <v>157</v>
      </c>
      <c r="AE4" s="43"/>
      <c r="AF4" s="44" t="s">
        <v>157</v>
      </c>
      <c r="AG4" s="4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  <c r="AR4" s="44" t="s">
        <v>157</v>
      </c>
      <c r="AS4" s="43"/>
    </row>
    <row r="5" spans="2:51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46113</v>
      </c>
      <c r="AC5" s="18" t="s">
        <v>138</v>
      </c>
      <c r="AD5" s="12">
        <v>46143</v>
      </c>
      <c r="AE5" s="13" t="s">
        <v>138</v>
      </c>
      <c r="AF5" s="12">
        <v>46174</v>
      </c>
      <c r="AG5" s="13" t="s">
        <v>138</v>
      </c>
      <c r="AH5" s="12">
        <v>46204</v>
      </c>
      <c r="AI5" s="13" t="s">
        <v>138</v>
      </c>
      <c r="AJ5" s="12">
        <v>46235</v>
      </c>
      <c r="AK5" s="13" t="s">
        <v>138</v>
      </c>
      <c r="AL5" s="12">
        <v>46266</v>
      </c>
      <c r="AM5" s="13" t="s">
        <v>138</v>
      </c>
      <c r="AN5" s="12">
        <v>46296</v>
      </c>
      <c r="AO5" s="13" t="s">
        <v>138</v>
      </c>
      <c r="AP5" s="12">
        <v>46327</v>
      </c>
      <c r="AQ5" s="13" t="s">
        <v>138</v>
      </c>
      <c r="AR5" s="12">
        <v>46357</v>
      </c>
      <c r="AS5" s="13" t="s">
        <v>138</v>
      </c>
      <c r="AT5" s="16"/>
      <c r="AU5" s="10">
        <v>2026</v>
      </c>
      <c r="AV5" s="13" t="s">
        <v>138</v>
      </c>
      <c r="AW5" s="10" t="s">
        <v>143</v>
      </c>
    </row>
    <row r="6" spans="2:51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4"/>
      <c r="AC6" s="24"/>
      <c r="AD6" s="23">
        <v>34928.871875710502</v>
      </c>
      <c r="AE6" s="24"/>
      <c r="AF6" s="23">
        <v>28747.411518631685</v>
      </c>
      <c r="AG6" s="24"/>
      <c r="AH6" s="23">
        <v>28861.681146507122</v>
      </c>
      <c r="AI6" s="24"/>
      <c r="AJ6" s="23">
        <v>33440.248657756063</v>
      </c>
      <c r="AK6" s="24"/>
      <c r="AL6" s="23">
        <v>38093.594988976969</v>
      </c>
      <c r="AM6" s="24"/>
      <c r="AN6" s="23">
        <v>38900.537366207689</v>
      </c>
      <c r="AO6" s="24"/>
      <c r="AP6" s="23">
        <v>33860.639172142328</v>
      </c>
      <c r="AQ6" s="24"/>
      <c r="AR6" s="23">
        <v>30093.749736746126</v>
      </c>
      <c r="AS6" s="24"/>
      <c r="AT6" s="28"/>
      <c r="AU6" s="24"/>
      <c r="AV6" s="24"/>
      <c r="AW6" s="24"/>
    </row>
    <row r="7" spans="2:51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5"/>
      <c r="AC7" s="25"/>
      <c r="AD7" s="23">
        <v>58464.000000000007</v>
      </c>
      <c r="AE7" s="25"/>
      <c r="AF7" s="23">
        <v>61248.000000000015</v>
      </c>
      <c r="AG7" s="25"/>
      <c r="AH7" s="23">
        <v>64032</v>
      </c>
      <c r="AI7" s="25"/>
      <c r="AJ7" s="23">
        <v>61248.000000000015</v>
      </c>
      <c r="AK7" s="25"/>
      <c r="AL7" s="23">
        <v>61248.000000000015</v>
      </c>
      <c r="AM7" s="25"/>
      <c r="AN7" s="23">
        <v>58464.000000000007</v>
      </c>
      <c r="AO7" s="25"/>
      <c r="AP7" s="23">
        <v>55680.000000000007</v>
      </c>
      <c r="AQ7" s="25"/>
      <c r="AR7" s="23">
        <v>33408.000000000007</v>
      </c>
      <c r="AS7" s="25"/>
      <c r="AT7" s="29"/>
      <c r="AU7" s="17"/>
      <c r="AV7" s="25"/>
      <c r="AW7" s="17"/>
    </row>
    <row r="8" spans="2:51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/>
      <c r="AC8" s="26"/>
      <c r="AD8" s="26">
        <v>0.59744238977337327</v>
      </c>
      <c r="AE8" s="26"/>
      <c r="AF8" s="26">
        <v>0.46936082024934167</v>
      </c>
      <c r="AG8" s="26"/>
      <c r="AH8" s="26">
        <v>0.45073839871481636</v>
      </c>
      <c r="AI8" s="26"/>
      <c r="AJ8" s="26">
        <v>0.54598107134528562</v>
      </c>
      <c r="AK8" s="26"/>
      <c r="AL8" s="26">
        <v>0.62195655350341172</v>
      </c>
      <c r="AM8" s="26"/>
      <c r="AN8" s="26">
        <v>0.6653759128045923</v>
      </c>
      <c r="AO8" s="26"/>
      <c r="AP8" s="26">
        <v>0.60812929547669403</v>
      </c>
      <c r="AQ8" s="26"/>
      <c r="AR8" s="26">
        <v>0.90079471194762095</v>
      </c>
      <c r="AS8" s="26"/>
      <c r="AT8" s="30"/>
      <c r="AU8" s="26"/>
      <c r="AV8" s="26"/>
      <c r="AW8" s="26"/>
    </row>
    <row r="9" spans="2:51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3"/>
      <c r="AC9" s="13"/>
      <c r="AD9" s="12"/>
      <c r="AE9" s="13"/>
      <c r="AF9" s="12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2"/>
      <c r="AS9" s="13"/>
      <c r="AT9" s="16"/>
      <c r="AV9" s="13"/>
    </row>
    <row r="10" spans="2:51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1505833.9800000004</v>
      </c>
      <c r="Q10" s="14">
        <f>P10/N10-1</f>
        <v>-7.2446456161335049E-2</v>
      </c>
      <c r="R10" s="7">
        <v>2225988.0159514034</v>
      </c>
      <c r="S10" s="14">
        <v>1</v>
      </c>
      <c r="T10" s="7">
        <v>2046711.4300000002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732125.8</v>
      </c>
      <c r="AC10" s="14">
        <f>AB10/Z10-1</f>
        <v>-0.70072237372620094</v>
      </c>
      <c r="AD10" s="7">
        <v>2562865.1436107517</v>
      </c>
      <c r="AE10" s="14">
        <v>1</v>
      </c>
      <c r="AF10" s="7">
        <v>2217691.4687762</v>
      </c>
      <c r="AG10" s="14">
        <v>1</v>
      </c>
      <c r="AH10" s="7">
        <v>2246169.4501190959</v>
      </c>
      <c r="AI10" s="14">
        <v>1</v>
      </c>
      <c r="AJ10" s="7">
        <v>2691085.5778117538</v>
      </c>
      <c r="AK10" s="14">
        <v>1</v>
      </c>
      <c r="AL10" s="7">
        <v>2979407.8453187691</v>
      </c>
      <c r="AM10" s="14">
        <v>1</v>
      </c>
      <c r="AN10" s="7">
        <v>3011564.502699113</v>
      </c>
      <c r="AO10" s="14">
        <v>1</v>
      </c>
      <c r="AP10" s="7">
        <v>2738571.5974580734</v>
      </c>
      <c r="AQ10" s="14">
        <v>1</v>
      </c>
      <c r="AR10" s="7">
        <v>2456470.8860550248</v>
      </c>
      <c r="AS10" s="14">
        <v>1</v>
      </c>
      <c r="AT10" s="16"/>
      <c r="AU10" s="7">
        <v>30000000</v>
      </c>
      <c r="AV10" s="14">
        <v>1</v>
      </c>
      <c r="AW10" s="7">
        <v>2500000</v>
      </c>
      <c r="AY10" s="8"/>
    </row>
    <row r="12" spans="2:51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169337.99000000002</v>
      </c>
      <c r="Y12" s="14">
        <f t="shared" ref="Y12:Y19" si="2">IFERROR((X12*-1)/V12-1,"")</f>
        <v>-0.2227687022661996</v>
      </c>
      <c r="Z12" s="7">
        <v>-190322.90502026965</v>
      </c>
      <c r="AA12" s="14">
        <v>-7.7799999999999994E-2</v>
      </c>
      <c r="AB12" s="7">
        <f>SUM(AB13:AB19)</f>
        <v>0</v>
      </c>
      <c r="AC12" s="14">
        <f t="shared" ref="AC12:AC19" si="3">IFERROR((AB12*-1)/Z12-1,"")</f>
        <v>-1</v>
      </c>
      <c r="AD12" s="7">
        <v>-199390.90817291645</v>
      </c>
      <c r="AE12" s="14">
        <v>-7.779999999999998E-2</v>
      </c>
      <c r="AF12" s="7">
        <v>-172536.39627078836</v>
      </c>
      <c r="AG12" s="14">
        <v>-7.7800000000000008E-2</v>
      </c>
      <c r="AH12" s="7">
        <v>-174751.98321926568</v>
      </c>
      <c r="AI12" s="14">
        <v>-7.7800000000000008E-2</v>
      </c>
      <c r="AJ12" s="7">
        <v>-209366.45795375443</v>
      </c>
      <c r="AK12" s="14">
        <v>-7.7799999999999994E-2</v>
      </c>
      <c r="AL12" s="7">
        <v>-231797.93036580028</v>
      </c>
      <c r="AM12" s="14">
        <v>-7.7800000000000008E-2</v>
      </c>
      <c r="AN12" s="7">
        <v>-234299.71830999097</v>
      </c>
      <c r="AO12" s="14">
        <v>-7.7799999999999994E-2</v>
      </c>
      <c r="AP12" s="7">
        <v>-213060.87028223812</v>
      </c>
      <c r="AQ12" s="14">
        <v>-7.7800000000000008E-2</v>
      </c>
      <c r="AR12" s="7">
        <v>-191113.43493508094</v>
      </c>
      <c r="AS12" s="14">
        <v>-7.7800000000000008E-2</v>
      </c>
      <c r="AT12" s="16"/>
      <c r="AU12" s="7">
        <v>-2334000</v>
      </c>
      <c r="AV12" s="14">
        <v>-7.7799999999999994E-2</v>
      </c>
      <c r="AW12" s="7">
        <v>-194500</v>
      </c>
    </row>
    <row r="13" spans="2:51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51">
        <f t="shared" ref="N13:N18" si="4">P$10*$F13</f>
        <v>-39452.850276000012</v>
      </c>
      <c r="O13" s="15">
        <v>-2.6200000000000001E-2</v>
      </c>
      <c r="P13" s="6">
        <f>IFERROR(VLOOKUP($I13,[1]RESUMO!$A$5:$M$150,2,FALSE),"")</f>
        <v>52378.26</v>
      </c>
      <c r="Q13" s="46">
        <f t="shared" si="0"/>
        <v>0.32761662677291503</v>
      </c>
      <c r="R13" s="51">
        <f t="shared" ref="R13:R18" si="5">T$10*$F13</f>
        <v>-53623.839466000005</v>
      </c>
      <c r="S13" s="15">
        <v>-2.6200000000000001E-2</v>
      </c>
      <c r="T13" s="6">
        <f>IFERROR(VLOOKUP($I13,[1]RESUMO!$A$5:$M$150,3,FALSE),"")</f>
        <v>71719.760000000009</v>
      </c>
      <c r="U13" s="46">
        <f t="shared" si="1"/>
        <v>0.33746036677350677</v>
      </c>
      <c r="V13" s="51">
        <f t="shared" ref="V13:V18" si="6">X$10*$F13</f>
        <v>-68807.577079999988</v>
      </c>
      <c r="W13" s="15">
        <v>-2.6200000000000005E-2</v>
      </c>
      <c r="X13" s="6">
        <f>IFERROR(VLOOKUP($I13,[1]RESUMO!$A$5:$M$150,4,FALSE),"")</f>
        <v>81164.490000000005</v>
      </c>
      <c r="Y13" s="46">
        <f t="shared" si="2"/>
        <v>0.1795865142240527</v>
      </c>
      <c r="Z13" s="51">
        <f t="shared" ref="Z13:Z18" si="7">AB$10*$F13</f>
        <v>-19181.695960000001</v>
      </c>
      <c r="AA13" s="15">
        <v>-2.6200000000000001E-2</v>
      </c>
      <c r="AB13" s="6">
        <f>IFERROR(VLOOKUP($I13,[1]RESUMO!$A$5:$M$150,5,FALSE),"")</f>
        <v>0</v>
      </c>
      <c r="AC13" s="46">
        <f t="shared" si="3"/>
        <v>-1</v>
      </c>
      <c r="AD13" s="6">
        <v>-67147.066762601695</v>
      </c>
      <c r="AE13" s="15">
        <v>-2.6200000000000001E-2</v>
      </c>
      <c r="AF13" s="6">
        <v>-58103.516481936444</v>
      </c>
      <c r="AG13" s="15">
        <v>-2.6200000000000001E-2</v>
      </c>
      <c r="AH13" s="6">
        <v>-58849.639593120315</v>
      </c>
      <c r="AI13" s="15">
        <v>-2.6200000000000001E-2</v>
      </c>
      <c r="AJ13" s="6">
        <v>-70506.442138667961</v>
      </c>
      <c r="AK13" s="15">
        <v>-2.6200000000000005E-2</v>
      </c>
      <c r="AL13" s="6">
        <v>-78060.485547351753</v>
      </c>
      <c r="AM13" s="15">
        <v>-2.6200000000000001E-2</v>
      </c>
      <c r="AN13" s="6">
        <v>-78902.989970716764</v>
      </c>
      <c r="AO13" s="15">
        <v>-2.6200000000000001E-2</v>
      </c>
      <c r="AP13" s="6">
        <v>-71750.575853401533</v>
      </c>
      <c r="AQ13" s="15">
        <v>-2.6200000000000005E-2</v>
      </c>
      <c r="AR13" s="6">
        <v>-64359.537214641656</v>
      </c>
      <c r="AS13" s="15">
        <v>-2.6200000000000001E-2</v>
      </c>
      <c r="AU13" s="6">
        <v>-786000</v>
      </c>
      <c r="AV13" s="15">
        <v>-2.6200000000000001E-2</v>
      </c>
      <c r="AW13" s="6">
        <v>-65500</v>
      </c>
    </row>
    <row r="14" spans="2:51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51">
        <f t="shared" si="4"/>
        <v>-37118.80760700001</v>
      </c>
      <c r="O14" s="15">
        <v>-2.4649999999999998E-2</v>
      </c>
      <c r="P14" s="6">
        <f>IFERROR(VLOOKUP($I14,[1]RESUMO!$A$5:$M$150,2,FALSE),"")</f>
        <v>60679.01</v>
      </c>
      <c r="Q14" s="46">
        <f t="shared" si="0"/>
        <v>0.63472411728433098</v>
      </c>
      <c r="R14" s="51">
        <f t="shared" si="5"/>
        <v>-50451.436749500004</v>
      </c>
      <c r="S14" s="15">
        <v>-2.4649999999999998E-2</v>
      </c>
      <c r="T14" s="6">
        <f>IFERROR(VLOOKUP($I14,[1]RESUMO!$A$5:$M$150,3,FALSE),"")</f>
        <v>18975.320000000003</v>
      </c>
      <c r="U14" s="46">
        <f t="shared" si="1"/>
        <v>-0.62388940290807371</v>
      </c>
      <c r="V14" s="51">
        <f t="shared" si="6"/>
        <v>-64736.899809999981</v>
      </c>
      <c r="W14" s="15">
        <v>-2.4649999999999998E-2</v>
      </c>
      <c r="X14" s="6">
        <f>IFERROR(VLOOKUP($I14,[1]RESUMO!$A$5:$M$150,4,FALSE),"")</f>
        <v>39057.060000000005</v>
      </c>
      <c r="Y14" s="46">
        <f t="shared" si="2"/>
        <v>-0.39668009875927335</v>
      </c>
      <c r="Z14" s="51">
        <f t="shared" si="7"/>
        <v>-18046.900969999999</v>
      </c>
      <c r="AA14" s="15">
        <v>-2.4649999999999998E-2</v>
      </c>
      <c r="AB14" s="6">
        <f>IFERROR(VLOOKUP($I14,[1]RESUMO!$A$5:$M$150,5,FALSE),"")</f>
        <v>0</v>
      </c>
      <c r="AC14" s="46">
        <f t="shared" si="3"/>
        <v>-1</v>
      </c>
      <c r="AD14" s="6">
        <v>-63174.625790005026</v>
      </c>
      <c r="AE14" s="15">
        <v>-2.4649999999999998E-2</v>
      </c>
      <c r="AF14" s="6">
        <v>-54666.094705333322</v>
      </c>
      <c r="AG14" s="15">
        <v>-2.4649999999999998E-2</v>
      </c>
      <c r="AH14" s="6">
        <v>-55368.076945435707</v>
      </c>
      <c r="AI14" s="15">
        <v>-2.4649999999999998E-2</v>
      </c>
      <c r="AJ14" s="6">
        <v>-66335.259493059726</v>
      </c>
      <c r="AK14" s="15">
        <v>-2.4649999999999998E-2</v>
      </c>
      <c r="AL14" s="6">
        <v>-73442.403387107654</v>
      </c>
      <c r="AM14" s="15">
        <v>-2.4649999999999998E-2</v>
      </c>
      <c r="AN14" s="6">
        <v>-74235.064991533131</v>
      </c>
      <c r="AO14" s="15">
        <v>-2.4649999999999998E-2</v>
      </c>
      <c r="AP14" s="6">
        <v>-67505.789877341507</v>
      </c>
      <c r="AQ14" s="15">
        <v>-2.4649999999999998E-2</v>
      </c>
      <c r="AR14" s="6">
        <v>-60552.007341256358</v>
      </c>
      <c r="AS14" s="15">
        <v>-2.4649999999999998E-2</v>
      </c>
      <c r="AU14" s="6">
        <v>-739499.99999999988</v>
      </c>
      <c r="AV14" s="15">
        <v>-2.4649999999999995E-2</v>
      </c>
      <c r="AW14" s="6">
        <v>-61624.999999999993</v>
      </c>
    </row>
    <row r="15" spans="2:51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51">
        <f t="shared" si="4"/>
        <v>-4141.0434450000012</v>
      </c>
      <c r="O15" s="15">
        <v>-2.7500000000000003E-3</v>
      </c>
      <c r="P15" s="6">
        <f>IFERROR(VLOOKUP($I15,[1]RESUMO!$A$5:$M$150,2,FALSE),"")</f>
        <v>0</v>
      </c>
      <c r="Q15" s="46">
        <f t="shared" si="0"/>
        <v>-1</v>
      </c>
      <c r="R15" s="51">
        <f t="shared" si="5"/>
        <v>-5628.4564325000001</v>
      </c>
      <c r="S15" s="15">
        <v>-2.7499999999999998E-3</v>
      </c>
      <c r="T15" s="6">
        <f>IFERROR(VLOOKUP($I15,[1]RESUMO!$A$5:$M$150,3,FALSE),"")</f>
        <v>496.96</v>
      </c>
      <c r="U15" s="46">
        <f t="shared" si="1"/>
        <v>-0.91170581029455278</v>
      </c>
      <c r="V15" s="51">
        <f t="shared" si="6"/>
        <v>-7222.1693499999983</v>
      </c>
      <c r="W15" s="15">
        <v>-2.7499999999999998E-3</v>
      </c>
      <c r="X15" s="6">
        <f>IFERROR(VLOOKUP($I15,[1]RESUMO!$A$5:$M$150,4,FALSE),"")</f>
        <v>3431.3</v>
      </c>
      <c r="Y15" s="46">
        <f t="shared" si="2"/>
        <v>-0.52489344493147327</v>
      </c>
      <c r="Z15" s="51">
        <f t="shared" si="7"/>
        <v>-2013.3459499999999</v>
      </c>
      <c r="AA15" s="15">
        <v>-2.7499999999999998E-3</v>
      </c>
      <c r="AB15" s="6">
        <f>IFERROR(VLOOKUP($I15,[1]RESUMO!$A$5:$M$150,5,FALSE),"")</f>
        <v>0</v>
      </c>
      <c r="AC15" s="46">
        <f t="shared" si="3"/>
        <v>-1</v>
      </c>
      <c r="AD15" s="6">
        <v>-7047.8791449295668</v>
      </c>
      <c r="AE15" s="15">
        <v>-2.7499999999999998E-3</v>
      </c>
      <c r="AF15" s="6">
        <v>-6098.6515391345492</v>
      </c>
      <c r="AG15" s="15">
        <v>-2.7499999999999998E-3</v>
      </c>
      <c r="AH15" s="6">
        <v>-6176.9659878275133</v>
      </c>
      <c r="AI15" s="15">
        <v>-2.7499999999999998E-3</v>
      </c>
      <c r="AJ15" s="6">
        <v>-7400.4853389823229</v>
      </c>
      <c r="AK15" s="15">
        <v>-2.7499999999999998E-3</v>
      </c>
      <c r="AL15" s="6">
        <v>-8193.3715746266153</v>
      </c>
      <c r="AM15" s="15">
        <v>-2.7500000000000003E-3</v>
      </c>
      <c r="AN15" s="6">
        <v>-8281.8023824225602</v>
      </c>
      <c r="AO15" s="15">
        <v>-2.7499999999999998E-3</v>
      </c>
      <c r="AP15" s="6">
        <v>-7531.0718930097019</v>
      </c>
      <c r="AQ15" s="15">
        <v>-2.7499999999999998E-3</v>
      </c>
      <c r="AR15" s="6">
        <v>-6755.2949366513176</v>
      </c>
      <c r="AS15" s="15">
        <v>-2.7499999999999998E-3</v>
      </c>
      <c r="AU15" s="6">
        <v>-82500</v>
      </c>
      <c r="AV15" s="15">
        <v>-2.7499999999999998E-3</v>
      </c>
      <c r="AW15" s="6">
        <v>-6875</v>
      </c>
    </row>
    <row r="16" spans="2:51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51">
        <f t="shared" si="4"/>
        <v>-15961.840188000006</v>
      </c>
      <c r="O16" s="15">
        <v>-1.06E-2</v>
      </c>
      <c r="P16" s="6">
        <f>IFERROR(VLOOKUP($I16,[1]RESUMO!$A$5:$M$150,2,FALSE),"")</f>
        <v>15874.39</v>
      </c>
      <c r="Q16" s="46">
        <f t="shared" si="0"/>
        <v>-5.4787033932184315E-3</v>
      </c>
      <c r="R16" s="51">
        <f t="shared" si="5"/>
        <v>-21695.141158000002</v>
      </c>
      <c r="S16" s="15">
        <v>-1.06E-2</v>
      </c>
      <c r="T16" s="6">
        <f>IFERROR(VLOOKUP($I16,[1]RESUMO!$A$5:$M$150,3,FALSE),"")</f>
        <v>14761.73</v>
      </c>
      <c r="U16" s="46">
        <f t="shared" si="1"/>
        <v>-0.3195835928195071</v>
      </c>
      <c r="V16" s="51">
        <f t="shared" si="6"/>
        <v>-27838.180039999996</v>
      </c>
      <c r="W16" s="15">
        <v>-1.06E-2</v>
      </c>
      <c r="X16" s="6">
        <f>IFERROR(VLOOKUP($I16,[1]RESUMO!$A$5:$M$150,4,FALSE),"")</f>
        <v>22197.7</v>
      </c>
      <c r="Y16" s="46">
        <f t="shared" si="2"/>
        <v>-0.2026166951968601</v>
      </c>
      <c r="Z16" s="51">
        <f t="shared" si="7"/>
        <v>-7760.533480000001</v>
      </c>
      <c r="AA16" s="15">
        <v>-1.06E-2</v>
      </c>
      <c r="AB16" s="6">
        <f>IFERROR(VLOOKUP($I16,[1]RESUMO!$A$5:$M$150,5,FALSE),"")</f>
        <v>0</v>
      </c>
      <c r="AC16" s="46">
        <f t="shared" si="3"/>
        <v>-1</v>
      </c>
      <c r="AD16" s="6">
        <v>-27166.37052227397</v>
      </c>
      <c r="AE16" s="15">
        <v>-1.06E-2</v>
      </c>
      <c r="AF16" s="6">
        <v>-23507.52956902772</v>
      </c>
      <c r="AG16" s="15">
        <v>-1.06E-2</v>
      </c>
      <c r="AH16" s="6">
        <v>-23809.396171262415</v>
      </c>
      <c r="AI16" s="15">
        <v>-1.06E-2</v>
      </c>
      <c r="AJ16" s="6">
        <v>-28525.50712480459</v>
      </c>
      <c r="AK16" s="15">
        <v>-1.06E-2</v>
      </c>
      <c r="AL16" s="6">
        <v>-31581.723160378951</v>
      </c>
      <c r="AM16" s="15">
        <v>-1.06E-2</v>
      </c>
      <c r="AN16" s="6">
        <v>-31922.583728610596</v>
      </c>
      <c r="AO16" s="15">
        <v>-1.06E-2</v>
      </c>
      <c r="AP16" s="6">
        <v>-29028.858933055577</v>
      </c>
      <c r="AQ16" s="15">
        <v>-1.06E-2</v>
      </c>
      <c r="AR16" s="6">
        <v>-26038.591392183262</v>
      </c>
      <c r="AS16" s="15">
        <v>-1.06E-2</v>
      </c>
      <c r="AU16" s="6">
        <v>-318000</v>
      </c>
      <c r="AV16" s="15">
        <v>-1.06E-2</v>
      </c>
      <c r="AW16" s="6">
        <v>-26500</v>
      </c>
    </row>
    <row r="17" spans="2:49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51">
        <f t="shared" si="4"/>
        <v>-19199.383245000008</v>
      </c>
      <c r="O17" s="15">
        <v>-1.2750000000000003E-2</v>
      </c>
      <c r="P17" s="6">
        <f>IFERROR(VLOOKUP($I17,[1]RESUMO!$A$5:$M$150,2,FALSE),"")</f>
        <v>0</v>
      </c>
      <c r="Q17" s="46">
        <f t="shared" si="0"/>
        <v>-1</v>
      </c>
      <c r="R17" s="51">
        <f t="shared" si="5"/>
        <v>-26095.570732500004</v>
      </c>
      <c r="S17" s="15">
        <v>-1.2750000000000001E-2</v>
      </c>
      <c r="T17" s="6">
        <f>IFERROR(VLOOKUP($I17,[1]RESUMO!$A$5:$M$150,3,FALSE),"")</f>
        <v>2460.61</v>
      </c>
      <c r="U17" s="46">
        <f t="shared" si="1"/>
        <v>-0.90570775304272222</v>
      </c>
      <c r="V17" s="51">
        <f t="shared" si="6"/>
        <v>-33484.603349999998</v>
      </c>
      <c r="W17" s="15">
        <v>-1.2750000000000003E-2</v>
      </c>
      <c r="X17" s="6">
        <f>IFERROR(VLOOKUP($I17,[1]RESUMO!$A$5:$M$150,4,FALSE),"")</f>
        <v>15906.25</v>
      </c>
      <c r="Y17" s="46">
        <f t="shared" si="2"/>
        <v>-0.52496824185913493</v>
      </c>
      <c r="Z17" s="51">
        <f t="shared" si="7"/>
        <v>-9334.6039500000006</v>
      </c>
      <c r="AA17" s="15">
        <v>-1.2750000000000001E-2</v>
      </c>
      <c r="AB17" s="6">
        <f>IFERROR(VLOOKUP($I17,[1]RESUMO!$A$5:$M$150,5,FALSE),"")</f>
        <v>0</v>
      </c>
      <c r="AC17" s="46">
        <f t="shared" si="3"/>
        <v>-1</v>
      </c>
      <c r="AD17" s="6">
        <v>-32676.530581037088</v>
      </c>
      <c r="AE17" s="15">
        <v>-1.2750000000000001E-2</v>
      </c>
      <c r="AF17" s="6">
        <v>-28275.566226896553</v>
      </c>
      <c r="AG17" s="15">
        <v>-1.2750000000000001E-2</v>
      </c>
      <c r="AH17" s="6">
        <v>-28638.660489018475</v>
      </c>
      <c r="AI17" s="15">
        <v>-1.2750000000000001E-2</v>
      </c>
      <c r="AJ17" s="6">
        <v>-34311.341117099866</v>
      </c>
      <c r="AK17" s="15">
        <v>-1.2750000000000001E-2</v>
      </c>
      <c r="AL17" s="6">
        <v>-37987.45002781431</v>
      </c>
      <c r="AM17" s="15">
        <v>-1.2750000000000001E-2</v>
      </c>
      <c r="AN17" s="6">
        <v>-38397.447409413697</v>
      </c>
      <c r="AO17" s="15">
        <v>-1.2750000000000003E-2</v>
      </c>
      <c r="AP17" s="6">
        <v>-34916.787867590436</v>
      </c>
      <c r="AQ17" s="15">
        <v>-1.2749999999999999E-2</v>
      </c>
      <c r="AR17" s="6">
        <v>-31320.003797201567</v>
      </c>
      <c r="AS17" s="15">
        <v>-1.2750000000000001E-2</v>
      </c>
      <c r="AU17" s="6">
        <v>-382500</v>
      </c>
      <c r="AV17" s="15">
        <v>-1.2749999999999999E-2</v>
      </c>
      <c r="AW17" s="6">
        <v>-31875</v>
      </c>
    </row>
    <row r="18" spans="2:49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51">
        <f t="shared" si="4"/>
        <v>-1279.9588830000005</v>
      </c>
      <c r="O18" s="15">
        <v>-8.4999999999999995E-4</v>
      </c>
      <c r="P18" s="6">
        <f>IFERROR(VLOOKUP($I18,[1]RESUMO!$A$5:$M$150,2,FALSE),"")</f>
        <v>1443.62</v>
      </c>
      <c r="Q18" s="46">
        <f t="shared" si="0"/>
        <v>0.12786435499897175</v>
      </c>
      <c r="R18" s="51">
        <f t="shared" si="5"/>
        <v>-1739.7047155000002</v>
      </c>
      <c r="S18" s="15">
        <v>-8.5000000000000006E-4</v>
      </c>
      <c r="T18" s="6">
        <f>IFERROR(VLOOKUP($I18,[1]RESUMO!$A$5:$M$150,3,FALSE),"")</f>
        <v>1490.09</v>
      </c>
      <c r="U18" s="46">
        <f t="shared" ref="U18" si="8">IFERROR((T18*-1)/R18-1,"")</f>
        <v>-0.1434810823216397</v>
      </c>
      <c r="V18" s="51">
        <f t="shared" si="6"/>
        <v>-2232.3068899999998</v>
      </c>
      <c r="W18" s="15">
        <v>-8.5000000000000006E-4</v>
      </c>
      <c r="X18" s="6">
        <f>IFERROR(VLOOKUP($I18,[1]RESUMO!$A$5:$M$150,4,FALSE),"")</f>
        <v>1921.23</v>
      </c>
      <c r="Y18" s="46">
        <f t="shared" ref="Y18" si="9">IFERROR((X18*-1)/V18-1,"")</f>
        <v>-0.13935220618344279</v>
      </c>
      <c r="Z18" s="51">
        <f t="shared" si="7"/>
        <v>-622.30693000000008</v>
      </c>
      <c r="AA18" s="15">
        <v>-8.5000000000000006E-4</v>
      </c>
      <c r="AB18" s="6">
        <f>IFERROR(VLOOKUP($I18,[1]RESUMO!$A$5:$M$150,5,FALSE),"")</f>
        <v>0</v>
      </c>
      <c r="AC18" s="46">
        <f t="shared" si="3"/>
        <v>-1</v>
      </c>
      <c r="AD18" s="6">
        <v>-2178.4353720691392</v>
      </c>
      <c r="AE18" s="15">
        <v>-8.5000000000000006E-4</v>
      </c>
      <c r="AF18" s="6">
        <v>-1885.03774845977</v>
      </c>
      <c r="AG18" s="15">
        <v>-8.5000000000000006E-4</v>
      </c>
      <c r="AH18" s="6">
        <v>-1909.2440326012315</v>
      </c>
      <c r="AI18" s="15">
        <v>-8.5000000000000006E-4</v>
      </c>
      <c r="AJ18" s="6">
        <v>-2287.4227411399911</v>
      </c>
      <c r="AK18" s="15">
        <v>-8.5000000000000017E-4</v>
      </c>
      <c r="AL18" s="6">
        <v>-2532.4966685209538</v>
      </c>
      <c r="AM18" s="15">
        <v>-8.5000000000000006E-4</v>
      </c>
      <c r="AN18" s="6">
        <v>-2559.8298272942461</v>
      </c>
      <c r="AO18" s="15">
        <v>-8.5000000000000006E-4</v>
      </c>
      <c r="AP18" s="6">
        <v>-2327.7858578393625</v>
      </c>
      <c r="AQ18" s="15">
        <v>-8.5000000000000006E-4</v>
      </c>
      <c r="AR18" s="6">
        <v>-2088.0002531467712</v>
      </c>
      <c r="AS18" s="15">
        <v>-8.5000000000000006E-4</v>
      </c>
      <c r="AU18" s="6">
        <v>-25500.000000000004</v>
      </c>
      <c r="AV18" s="15">
        <v>-8.5000000000000017E-4</v>
      </c>
      <c r="AW18" s="6">
        <v>-2125.0000000000005</v>
      </c>
    </row>
    <row r="19" spans="2:49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51">
        <v>0</v>
      </c>
      <c r="O19" s="15">
        <v>0</v>
      </c>
      <c r="P19" s="6">
        <f>IFERROR(VLOOKUP($I19,[1]RESUMO!$A$5:$M$150,2,FALSE),"")</f>
        <v>5659.96</v>
      </c>
      <c r="Q19" s="46" t="str">
        <f t="shared" ref="Q19" si="10">IFERROR((P19*-1)/N19-1,"")</f>
        <v/>
      </c>
      <c r="R19" s="51">
        <v>0</v>
      </c>
      <c r="S19" s="15">
        <v>-8.5000000000000006E-4</v>
      </c>
      <c r="T19" s="6">
        <f>IFERROR(VLOOKUP($I19,[1]RESUMO!$A$5:$M$150,3,FALSE),"")</f>
        <v>5659.96</v>
      </c>
      <c r="U19" s="46" t="str">
        <f t="shared" si="1"/>
        <v/>
      </c>
      <c r="V19" s="51">
        <v>0</v>
      </c>
      <c r="W19" s="15">
        <v>-8.5000000000000006E-4</v>
      </c>
      <c r="X19" s="6">
        <f>IFERROR(VLOOKUP($I19,[1]RESUMO!$A$5:$M$150,4,FALSE),"")</f>
        <v>5659.96</v>
      </c>
      <c r="Y19" s="46" t="str">
        <f t="shared" si="2"/>
        <v/>
      </c>
      <c r="Z19" s="51">
        <v>0</v>
      </c>
      <c r="AA19" s="15">
        <v>-8.5000000000000006E-4</v>
      </c>
      <c r="AB19" s="6">
        <f>IFERROR(VLOOKUP($I19,[1]RESUMO!$A$5:$M$150,5,FALSE),"")</f>
        <v>0</v>
      </c>
      <c r="AC19" s="46" t="str">
        <f t="shared" si="3"/>
        <v/>
      </c>
      <c r="AD19" s="6">
        <v>0</v>
      </c>
      <c r="AE19" s="15">
        <v>-8.5000000000000006E-4</v>
      </c>
      <c r="AF19" s="6">
        <v>-1885.03774845977</v>
      </c>
      <c r="AG19" s="15">
        <v>-8.5000000000000006E-4</v>
      </c>
      <c r="AH19" s="6">
        <v>0</v>
      </c>
      <c r="AI19" s="15">
        <v>-8.5000000000000006E-4</v>
      </c>
      <c r="AJ19" s="6">
        <v>0</v>
      </c>
      <c r="AK19" s="15">
        <v>-8.5000000000000017E-4</v>
      </c>
      <c r="AL19" s="6">
        <v>0</v>
      </c>
      <c r="AM19" s="15">
        <v>-8.5000000000000006E-4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R19" s="6">
        <v>0</v>
      </c>
      <c r="AS19" s="15">
        <v>-8.5000000000000006E-4</v>
      </c>
      <c r="AU19" s="6">
        <v>0</v>
      </c>
      <c r="AV19" s="15">
        <v>-8.5000000000000017E-4</v>
      </c>
      <c r="AW19" s="6">
        <v>-2125.0000000000005</v>
      </c>
    </row>
    <row r="20" spans="2:49" x14ac:dyDescent="0.25">
      <c r="I20" s="1"/>
    </row>
    <row r="21" spans="2:49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1369798.7400000005</v>
      </c>
      <c r="Q21" s="14">
        <f>P21/N21-1</f>
        <v>-8.5058049750416642E-2</v>
      </c>
      <c r="R21" s="7">
        <v>2052806.1483103842</v>
      </c>
      <c r="S21" s="14">
        <v>0.92220000000000002</v>
      </c>
      <c r="T21" s="48">
        <f>T10-T12</f>
        <v>1931147.0000000002</v>
      </c>
      <c r="U21" s="14">
        <f>T21/R21-1</f>
        <v>-5.9264801213947393E-2</v>
      </c>
      <c r="V21" s="7">
        <v>2582555.365669956</v>
      </c>
      <c r="W21" s="14">
        <v>0.92220000000000002</v>
      </c>
      <c r="X21" s="48">
        <f>X10-X12</f>
        <v>2456905.4099999992</v>
      </c>
      <c r="Y21" s="14">
        <f>X21/V21-1</f>
        <v>-4.8653344412370902E-2</v>
      </c>
      <c r="Z21" s="7">
        <v>2255986.9281451502</v>
      </c>
      <c r="AA21" s="14">
        <v>0.92220000000000002</v>
      </c>
      <c r="AB21" s="48">
        <f>AB10-AB12</f>
        <v>732125.8</v>
      </c>
      <c r="AC21" s="14">
        <f>AB21/Z21-1</f>
        <v>-0.67547427209520827</v>
      </c>
      <c r="AD21" s="7">
        <v>2363474.2354378351</v>
      </c>
      <c r="AE21" s="14">
        <v>0.92219999999999991</v>
      </c>
      <c r="AF21" s="7">
        <v>2045155.0725054117</v>
      </c>
      <c r="AG21" s="14">
        <v>0.92220000000000002</v>
      </c>
      <c r="AH21" s="7">
        <v>2071417.4668998301</v>
      </c>
      <c r="AI21" s="14">
        <v>0.92220000000000002</v>
      </c>
      <c r="AJ21" s="7">
        <v>2481719.1198579995</v>
      </c>
      <c r="AK21" s="14">
        <v>0.92220000000000002</v>
      </c>
      <c r="AL21" s="7">
        <v>2747609.9149529687</v>
      </c>
      <c r="AM21" s="14">
        <v>0.92219999999999991</v>
      </c>
      <c r="AN21" s="7">
        <v>2777264.7843891219</v>
      </c>
      <c r="AO21" s="14">
        <v>0.92220000000000002</v>
      </c>
      <c r="AP21" s="7">
        <v>2525510.7271758355</v>
      </c>
      <c r="AQ21" s="14">
        <v>0.92220000000000013</v>
      </c>
      <c r="AR21" s="7">
        <v>2265357.451119944</v>
      </c>
      <c r="AS21" s="14">
        <v>0.92220000000000002</v>
      </c>
      <c r="AT21" s="16"/>
      <c r="AU21" s="7">
        <v>27666000</v>
      </c>
      <c r="AV21" s="14">
        <v>0.92220000000000002</v>
      </c>
      <c r="AW21" s="7">
        <v>2305500</v>
      </c>
    </row>
    <row r="22" spans="2:49" x14ac:dyDescent="0.25">
      <c r="I22" s="1"/>
    </row>
    <row r="23" spans="2:49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f>N24+N32+N46</f>
        <v>-1024256.2722652226</v>
      </c>
      <c r="O23" s="14">
        <v>-0.65884625943898545</v>
      </c>
      <c r="P23" s="7">
        <f>P24+P32+P46</f>
        <v>958701.03999999992</v>
      </c>
      <c r="Q23" s="14">
        <f>IFERROR((P23*-1)/N23-1,"")</f>
        <v>-6.4002763800745099E-2</v>
      </c>
      <c r="R23" s="7">
        <f>R24+R32+R46</f>
        <v>-1232791.5731127223</v>
      </c>
      <c r="S23" s="14">
        <v>-0.58486912395610513</v>
      </c>
      <c r="T23" s="7">
        <f>T24+T32+T46</f>
        <v>1278370.5500000003</v>
      </c>
      <c r="U23" s="14">
        <f>IFERROR((T23*-1)/R23-1,"")</f>
        <v>3.6972167786801124E-2</v>
      </c>
      <c r="V23" s="7">
        <f>V24+V32+V46</f>
        <v>-1456230.1241462221</v>
      </c>
      <c r="W23" s="14">
        <v>-0.54398359200424673</v>
      </c>
      <c r="X23" s="7">
        <f>X24+X32+X46</f>
        <v>1479833.5699999996</v>
      </c>
      <c r="Y23" s="14">
        <f>IFERROR((X23*-1)/V23-1,"")</f>
        <v>1.6208596060746983E-2</v>
      </c>
      <c r="Z23" s="7">
        <v>-1386856.7374531499</v>
      </c>
      <c r="AA23" s="14">
        <v>-0.56691786079223527</v>
      </c>
      <c r="AB23" s="7">
        <f>AB24+AB32+AB46</f>
        <v>573381.71</v>
      </c>
      <c r="AC23" s="14">
        <f>IFERROR((AB23*-1)/Z23-1,"")</f>
        <v>-0.58656024482170444</v>
      </c>
      <c r="AD23" s="7">
        <v>-1455440.7019585797</v>
      </c>
      <c r="AE23" s="14">
        <v>-0.5678959369309805</v>
      </c>
      <c r="AF23" s="7">
        <v>-1322358.9916261185</v>
      </c>
      <c r="AG23" s="14">
        <v>-0.59627725959366329</v>
      </c>
      <c r="AH23" s="7">
        <v>-1333338.6773328718</v>
      </c>
      <c r="AI23" s="14">
        <v>-0.59360556135343034</v>
      </c>
      <c r="AJ23" s="7">
        <v>-1504876.0903647763</v>
      </c>
      <c r="AK23" s="14">
        <v>-0.55920781664195929</v>
      </c>
      <c r="AL23" s="7">
        <v>-1616038.7406021059</v>
      </c>
      <c r="AM23" s="14">
        <v>-0.54240266002562154</v>
      </c>
      <c r="AN23" s="7">
        <v>-1628436.7398550974</v>
      </c>
      <c r="AO23" s="14">
        <v>-0.54072783046672646</v>
      </c>
      <c r="AP23" s="7">
        <v>-1523184.3252394146</v>
      </c>
      <c r="AQ23" s="14">
        <v>-0.55619664158250437</v>
      </c>
      <c r="AR23" s="7">
        <v>-1414420.3959579694</v>
      </c>
      <c r="AS23" s="14">
        <v>-0.575793673756688</v>
      </c>
      <c r="AT23" s="16"/>
      <c r="AU23" s="7">
        <v>-17079852.291820526</v>
      </c>
      <c r="AV23" s="14">
        <v>-0.56932840972735088</v>
      </c>
      <c r="AW23" s="7">
        <v>-1423321.0243183773</v>
      </c>
    </row>
    <row r="24" spans="2:49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52">
        <f>SUM(N25:N31)</f>
        <v>-580574.29098900023</v>
      </c>
      <c r="O24" s="13">
        <v>-0.38555</v>
      </c>
      <c r="P24" s="8">
        <f>SUM(P25:P31)</f>
        <v>572872.94999999995</v>
      </c>
      <c r="Q24" s="45">
        <f>IFERROR((P24*-1)/N24-1,"")</f>
        <v>-1.3265039648726384E-2</v>
      </c>
      <c r="R24" s="52">
        <f>SUM(R25:R31)</f>
        <v>-789109.5918365001</v>
      </c>
      <c r="S24" s="13">
        <v>-0.38555</v>
      </c>
      <c r="T24" s="8">
        <f>SUM(T25:T31)</f>
        <v>852739.33000000019</v>
      </c>
      <c r="U24" s="45">
        <f>IFERROR((T24*-1)/R24-1,"")</f>
        <v>8.0634855819473827E-2</v>
      </c>
      <c r="V24" s="52">
        <f>SUM(V25:V31)</f>
        <v>-1012548.1428699999</v>
      </c>
      <c r="W24" s="13">
        <v>-0.38554999999999995</v>
      </c>
      <c r="X24" s="8">
        <f>SUM(X25:X31)</f>
        <v>1039300.7899999997</v>
      </c>
      <c r="Y24" s="45">
        <f>IFERROR((X24*-1)/V24-1,"")</f>
        <v>2.6421111251235141E-2</v>
      </c>
      <c r="Z24" s="52">
        <f>SUM(Z25:Z31)</f>
        <v>-282271.10219000006</v>
      </c>
      <c r="AA24" s="13">
        <v>-0.38554999999999995</v>
      </c>
      <c r="AB24" s="8">
        <f>SUM(AB25:AB31)</f>
        <v>518059.83999999997</v>
      </c>
      <c r="AC24" s="45">
        <f>IFERROR((AB24*-1)/Z24-1,"")</f>
        <v>0.83532722967612782</v>
      </c>
      <c r="AD24" s="8">
        <v>-988112.6561191252</v>
      </c>
      <c r="AE24" s="13">
        <v>-0.38554999999999995</v>
      </c>
      <c r="AF24" s="8">
        <v>-855030.94578666391</v>
      </c>
      <c r="AG24" s="13">
        <v>-0.38555</v>
      </c>
      <c r="AH24" s="8">
        <v>-866010.63149341743</v>
      </c>
      <c r="AI24" s="13">
        <v>-0.38555</v>
      </c>
      <c r="AJ24" s="8">
        <v>-1037548.0445253217</v>
      </c>
      <c r="AK24" s="13">
        <v>-0.38555</v>
      </c>
      <c r="AL24" s="8">
        <v>-1148710.6947626513</v>
      </c>
      <c r="AM24" s="13">
        <v>-0.38554999999999995</v>
      </c>
      <c r="AN24" s="8">
        <v>-1161108.6940156429</v>
      </c>
      <c r="AO24" s="13">
        <v>-0.38554999999999995</v>
      </c>
      <c r="AP24" s="8">
        <v>-1055856.2793999601</v>
      </c>
      <c r="AQ24" s="13">
        <v>-0.38554999999999995</v>
      </c>
      <c r="AR24" s="8">
        <v>-947092.35011851473</v>
      </c>
      <c r="AS24" s="13">
        <v>-0.38554999999999995</v>
      </c>
      <c r="AT24" s="16"/>
      <c r="AU24" s="8">
        <v>-11566500</v>
      </c>
      <c r="AV24" s="13">
        <v>-0.38555</v>
      </c>
      <c r="AW24" s="8">
        <v>-963874.99999999988</v>
      </c>
    </row>
    <row r="25" spans="2:49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188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51">
        <f t="shared" ref="N25:N31" si="11">P$10*$F25</f>
        <v>-124607.76184500004</v>
      </c>
      <c r="O25" s="15">
        <v>-8.2750000000000004E-2</v>
      </c>
      <c r="P25" s="47">
        <v>561916.11</v>
      </c>
      <c r="Q25" s="46">
        <f t="shared" ref="Q25:Q62" si="12">IFERROR((P25*-1)/N25-1,"")</f>
        <v>3.5094791984063489</v>
      </c>
      <c r="R25" s="51">
        <f t="shared" ref="R25:R31" si="13">T$10*$F25</f>
        <v>-169365.37083250002</v>
      </c>
      <c r="S25" s="15">
        <v>-8.2750000000000004E-2</v>
      </c>
      <c r="T25" s="47">
        <v>830151.62000000011</v>
      </c>
      <c r="U25" s="46">
        <f t="shared" ref="U25:U31" si="14">IFERROR((T25*-1)/R25-1,"")</f>
        <v>3.9015428355836006</v>
      </c>
      <c r="V25" s="51">
        <f t="shared" ref="V25:V31" si="15">X$10*$F25</f>
        <v>-217321.64134999996</v>
      </c>
      <c r="W25" s="15">
        <v>-8.2750000000000004E-2</v>
      </c>
      <c r="X25" s="47">
        <v>1009819.8799999997</v>
      </c>
      <c r="Y25" s="46">
        <f t="shared" ref="Y25:Y31" si="16">IFERROR((X25*-1)/V25-1,"")</f>
        <v>3.6466604693716107</v>
      </c>
      <c r="Z25" s="51">
        <f t="shared" ref="Z25:Z31" si="17">AB$10*$F25</f>
        <v>-60583.409950000008</v>
      </c>
      <c r="AA25" s="15">
        <v>-8.2750000000000004E-2</v>
      </c>
      <c r="AB25" s="47">
        <v>513052.18</v>
      </c>
      <c r="AC25" s="46">
        <f t="shared" ref="AC25:AC31" si="18">IFERROR((AB25*-1)/Z25-1,"")</f>
        <v>7.4685259615367681</v>
      </c>
      <c r="AD25" s="6">
        <v>-212077.09063378972</v>
      </c>
      <c r="AE25" s="15">
        <v>-8.2750000000000004E-2</v>
      </c>
      <c r="AF25" s="6">
        <v>-183513.96904123056</v>
      </c>
      <c r="AG25" s="15">
        <v>-8.2750000000000004E-2</v>
      </c>
      <c r="AH25" s="6">
        <v>-185870.52199735519</v>
      </c>
      <c r="AI25" s="15">
        <v>-8.2750000000000004E-2</v>
      </c>
      <c r="AJ25" s="6">
        <v>-222687.33156392263</v>
      </c>
      <c r="AK25" s="15">
        <v>-8.2750000000000004E-2</v>
      </c>
      <c r="AL25" s="6">
        <v>-246545.99920012816</v>
      </c>
      <c r="AM25" s="15">
        <v>-8.2750000000000004E-2</v>
      </c>
      <c r="AN25" s="6">
        <v>-249206.96259835162</v>
      </c>
      <c r="AO25" s="15">
        <v>-8.2750000000000004E-2</v>
      </c>
      <c r="AP25" s="6">
        <v>-226616.7996896556</v>
      </c>
      <c r="AQ25" s="15">
        <v>-8.2750000000000004E-2</v>
      </c>
      <c r="AR25" s="6">
        <v>-203272.96582105331</v>
      </c>
      <c r="AS25" s="15">
        <v>-8.2750000000000004E-2</v>
      </c>
      <c r="AU25" s="6">
        <v>-2482500</v>
      </c>
      <c r="AV25" s="15">
        <v>-8.2750000000000004E-2</v>
      </c>
      <c r="AW25" s="6">
        <v>-206875</v>
      </c>
    </row>
    <row r="26" spans="2:49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0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51">
        <f t="shared" si="11"/>
        <v>0</v>
      </c>
      <c r="O26" s="15">
        <v>0</v>
      </c>
      <c r="P26" s="6">
        <f>IFERROR(VLOOKUP($I26,[1]RESUMO!$A$5:$M$150,2,FALSE),"")</f>
        <v>564</v>
      </c>
      <c r="Q26" s="46" t="str">
        <f t="shared" ref="Q26" si="19">IFERROR((P26*-1)/N26-1,"")</f>
        <v/>
      </c>
      <c r="R26" s="51">
        <f t="shared" si="13"/>
        <v>0</v>
      </c>
      <c r="S26" s="15">
        <v>0</v>
      </c>
      <c r="T26" s="6">
        <f>IFERROR(VLOOKUP($I26,[1]RESUMO!$A$5:$M$150,3,FALSE),"")</f>
        <v>987.68</v>
      </c>
      <c r="U26" s="46" t="str">
        <f t="shared" ref="U26" si="20">IFERROR((T26*-1)/R26-1,"")</f>
        <v/>
      </c>
      <c r="V26" s="51">
        <f t="shared" si="15"/>
        <v>0</v>
      </c>
      <c r="W26" s="15">
        <v>0</v>
      </c>
      <c r="X26" s="6">
        <f>IFERROR(VLOOKUP($I26,[1]RESUMO!$A$5:$M$150,4,FALSE),"")</f>
        <v>1534.3</v>
      </c>
      <c r="Y26" s="46" t="str">
        <f t="shared" ref="Y26" si="21">IFERROR((X26*-1)/V26-1,"")</f>
        <v/>
      </c>
      <c r="Z26" s="51">
        <f t="shared" si="17"/>
        <v>0</v>
      </c>
      <c r="AA26" s="15">
        <v>0</v>
      </c>
      <c r="AB26" s="6">
        <f>IFERROR(VLOOKUP($I26,[1]RESUMO!$A$5:$M$150,5,FALSE),"")</f>
        <v>0</v>
      </c>
      <c r="AC26" s="46" t="str">
        <f t="shared" si="18"/>
        <v/>
      </c>
      <c r="AD26" s="6">
        <v>0</v>
      </c>
      <c r="AE26" s="15">
        <v>0</v>
      </c>
      <c r="AF26" s="6">
        <v>0</v>
      </c>
      <c r="AG26" s="15">
        <v>0</v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R26" s="6">
        <v>0</v>
      </c>
      <c r="AS26" s="15">
        <v>0</v>
      </c>
      <c r="AU26" s="6">
        <v>-2482500</v>
      </c>
      <c r="AV26" s="15">
        <v>-8.2750000000000004E-2</v>
      </c>
      <c r="AW26" s="6">
        <v>-206875</v>
      </c>
    </row>
    <row r="27" spans="2:49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51">
        <f t="shared" si="11"/>
        <v>-157980.80742675005</v>
      </c>
      <c r="O27" s="15">
        <v>-0.10491250000000002</v>
      </c>
      <c r="P27" s="6" t="str">
        <f>IFERROR(VLOOKUP($I27,[1]RESUMO!$A$5:$M$150,2,FALSE),"")</f>
        <v/>
      </c>
      <c r="Q27" s="46" t="str">
        <f t="shared" si="12"/>
        <v/>
      </c>
      <c r="R27" s="51">
        <f t="shared" si="13"/>
        <v>-214725.61289987504</v>
      </c>
      <c r="S27" s="15">
        <v>-0.10491250000000001</v>
      </c>
      <c r="T27" s="6" t="str">
        <f>IFERROR(VLOOKUP($I27,[1]RESUMO!$A$5:$M$150,3,FALSE),"")</f>
        <v/>
      </c>
      <c r="U27" s="46" t="str">
        <f t="shared" si="14"/>
        <v/>
      </c>
      <c r="V27" s="51">
        <f t="shared" si="15"/>
        <v>-275525.76070249995</v>
      </c>
      <c r="W27" s="15">
        <v>-0.10491249999999999</v>
      </c>
      <c r="X27" s="6" t="str">
        <f>IFERROR(VLOOKUP($I27,[1]RESUMO!$A$5:$M$150,4,FALSE),"")</f>
        <v/>
      </c>
      <c r="Y27" s="46" t="str">
        <f t="shared" si="16"/>
        <v/>
      </c>
      <c r="Z27" s="51">
        <f t="shared" si="17"/>
        <v>-76809.147992500002</v>
      </c>
      <c r="AA27" s="15">
        <v>-0.10491250000000001</v>
      </c>
      <c r="AB27" s="6" t="str">
        <f>IFERROR(VLOOKUP($I27,[1]RESUMO!$A$5:$M$150,5,FALSE),"")</f>
        <v/>
      </c>
      <c r="AC27" s="46" t="str">
        <f t="shared" si="18"/>
        <v/>
      </c>
      <c r="AD27" s="6">
        <v>-268876.58937906299</v>
      </c>
      <c r="AE27" s="15">
        <v>-0.10491250000000001</v>
      </c>
      <c r="AF27" s="6">
        <v>-232663.5562179831</v>
      </c>
      <c r="AG27" s="15">
        <v>-0.10491250000000001</v>
      </c>
      <c r="AH27" s="6">
        <v>-235651.25243561965</v>
      </c>
      <c r="AI27" s="15">
        <v>-0.10491250000000001</v>
      </c>
      <c r="AJ27" s="6">
        <v>-282328.51568217564</v>
      </c>
      <c r="AK27" s="15">
        <v>-0.10491250000000001</v>
      </c>
      <c r="AL27" s="6">
        <v>-312577.1255720054</v>
      </c>
      <c r="AM27" s="15">
        <v>-0.10491250000000002</v>
      </c>
      <c r="AN27" s="6">
        <v>-315950.76088942069</v>
      </c>
      <c r="AO27" s="15">
        <v>-0.10491250000000001</v>
      </c>
      <c r="AP27" s="6">
        <v>-287310.39271832013</v>
      </c>
      <c r="AQ27" s="15">
        <v>-0.10491250000000001</v>
      </c>
      <c r="AR27" s="6">
        <v>-257714.50183324781</v>
      </c>
      <c r="AS27" s="15">
        <v>-0.10491250000000001</v>
      </c>
      <c r="AU27" s="6">
        <v>-3147375.0000000005</v>
      </c>
      <c r="AV27" s="15">
        <v>-0.10491250000000002</v>
      </c>
      <c r="AW27" s="6">
        <v>-262281.25000000006</v>
      </c>
    </row>
    <row r="28" spans="2:49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51">
        <f t="shared" si="11"/>
        <v>-111996.40226250001</v>
      </c>
      <c r="O28" s="15">
        <v>-7.4374999999999983E-2</v>
      </c>
      <c r="P28" s="6" t="str">
        <f>IFERROR(VLOOKUP($I28,[1]RESUMO!$A$5:$M$150,2,FALSE),"")</f>
        <v/>
      </c>
      <c r="Q28" s="46" t="str">
        <f t="shared" si="12"/>
        <v/>
      </c>
      <c r="R28" s="51">
        <f t="shared" si="13"/>
        <v>-152224.16260624997</v>
      </c>
      <c r="S28" s="15">
        <v>-7.4374999999999983E-2</v>
      </c>
      <c r="T28" s="6" t="str">
        <f>IFERROR(VLOOKUP($I28,[1]RESUMO!$A$5:$M$150,3,FALSE),"")</f>
        <v/>
      </c>
      <c r="U28" s="46" t="str">
        <f t="shared" si="14"/>
        <v/>
      </c>
      <c r="V28" s="51">
        <f t="shared" si="15"/>
        <v>-195326.85287499992</v>
      </c>
      <c r="W28" s="15">
        <v>-7.4374999999999983E-2</v>
      </c>
      <c r="X28" s="6" t="str">
        <f>IFERROR(VLOOKUP($I28,[1]RESUMO!$A$5:$M$150,4,FALSE),"")</f>
        <v/>
      </c>
      <c r="Y28" s="46" t="str">
        <f t="shared" si="16"/>
        <v/>
      </c>
      <c r="Z28" s="51">
        <f t="shared" si="17"/>
        <v>-54451.856374999988</v>
      </c>
      <c r="AA28" s="15">
        <v>-7.4374999999999983E-2</v>
      </c>
      <c r="AB28" s="6" t="str">
        <f>IFERROR(VLOOKUP($I28,[1]RESUMO!$A$5:$M$150,5,FALSE),"")</f>
        <v/>
      </c>
      <c r="AC28" s="46" t="str">
        <f t="shared" si="18"/>
        <v/>
      </c>
      <c r="AD28" s="6">
        <v>-190613.09505604961</v>
      </c>
      <c r="AE28" s="15">
        <v>-7.4374999999999983E-2</v>
      </c>
      <c r="AF28" s="6">
        <v>-164940.80299022983</v>
      </c>
      <c r="AG28" s="15">
        <v>-7.4374999999999983E-2</v>
      </c>
      <c r="AH28" s="6">
        <v>-167058.85285260773</v>
      </c>
      <c r="AI28" s="15">
        <v>-7.4374999999999983E-2</v>
      </c>
      <c r="AJ28" s="6">
        <v>-200149.48984974914</v>
      </c>
      <c r="AK28" s="15">
        <v>-7.4374999999999983E-2</v>
      </c>
      <c r="AL28" s="6">
        <v>-221593.45849558341</v>
      </c>
      <c r="AM28" s="15">
        <v>-7.4374999999999983E-2</v>
      </c>
      <c r="AN28" s="6">
        <v>-223985.10988824649</v>
      </c>
      <c r="AO28" s="15">
        <v>-7.4374999999999983E-2</v>
      </c>
      <c r="AP28" s="6">
        <v>-203681.26256094416</v>
      </c>
      <c r="AQ28" s="15">
        <v>-7.4374999999999983E-2</v>
      </c>
      <c r="AR28" s="6">
        <v>-182700.02215034244</v>
      </c>
      <c r="AS28" s="15">
        <v>-7.4374999999999983E-2</v>
      </c>
      <c r="AU28" s="6">
        <v>-2231249.9999999995</v>
      </c>
      <c r="AV28" s="15">
        <v>-7.4374999999999983E-2</v>
      </c>
      <c r="AW28" s="6">
        <v>-185937.49999999997</v>
      </c>
    </row>
    <row r="29" spans="2:49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51">
        <f t="shared" si="11"/>
        <v>-85437.255440250025</v>
      </c>
      <c r="O29" s="15">
        <v>-5.6737500000000003E-2</v>
      </c>
      <c r="P29" s="6" t="str">
        <f>IFERROR(VLOOKUP($I29,[1]RESUMO!$A$5:$M$150,2,FALSE),"")</f>
        <v/>
      </c>
      <c r="Q29" s="46" t="str">
        <f t="shared" si="12"/>
        <v/>
      </c>
      <c r="R29" s="51">
        <f t="shared" si="13"/>
        <v>-116125.289759625</v>
      </c>
      <c r="S29" s="15">
        <v>-5.6737499999999996E-2</v>
      </c>
      <c r="T29" s="6" t="str">
        <f>IFERROR(VLOOKUP($I29,[1]RESUMO!$A$5:$M$150,3,FALSE),"")</f>
        <v/>
      </c>
      <c r="U29" s="46" t="str">
        <f t="shared" si="14"/>
        <v/>
      </c>
      <c r="V29" s="51">
        <f t="shared" si="15"/>
        <v>-149006.48490749995</v>
      </c>
      <c r="W29" s="15">
        <v>-5.6737499999999989E-2</v>
      </c>
      <c r="X29" s="6" t="str">
        <f>IFERROR(VLOOKUP($I29,[1]RESUMO!$A$5:$M$150,4,FALSE),"")</f>
        <v/>
      </c>
      <c r="Y29" s="46" t="str">
        <f t="shared" si="16"/>
        <v/>
      </c>
      <c r="Z29" s="51">
        <f t="shared" si="17"/>
        <v>-41538.987577499996</v>
      </c>
      <c r="AA29" s="15">
        <v>-5.6737499999999996E-2</v>
      </c>
      <c r="AB29" s="6" t="str">
        <f>IFERROR(VLOOKUP($I29,[1]RESUMO!$A$5:$M$150,5,FALSE),"")</f>
        <v/>
      </c>
      <c r="AC29" s="46" t="str">
        <f t="shared" si="18"/>
        <v/>
      </c>
      <c r="AD29" s="6">
        <v>-145410.56108561502</v>
      </c>
      <c r="AE29" s="15">
        <v>-5.6737499999999996E-2</v>
      </c>
      <c r="AF29" s="6">
        <v>-125826.26970968964</v>
      </c>
      <c r="AG29" s="15">
        <v>-5.6737499999999996E-2</v>
      </c>
      <c r="AH29" s="6">
        <v>-127442.0391761322</v>
      </c>
      <c r="AI29" s="15">
        <v>-5.6737499999999996E-2</v>
      </c>
      <c r="AJ29" s="6">
        <v>-152685.46797109436</v>
      </c>
      <c r="AK29" s="15">
        <v>-5.6737499999999989E-2</v>
      </c>
      <c r="AL29" s="6">
        <v>-169044.15262377364</v>
      </c>
      <c r="AM29" s="15">
        <v>-5.6737499999999989E-2</v>
      </c>
      <c r="AN29" s="6">
        <v>-170868.64097189091</v>
      </c>
      <c r="AO29" s="15">
        <v>-5.6737499999999996E-2</v>
      </c>
      <c r="AP29" s="6">
        <v>-155379.70601077742</v>
      </c>
      <c r="AQ29" s="15">
        <v>-5.6737499999999989E-2</v>
      </c>
      <c r="AR29" s="6">
        <v>-139374.01689754697</v>
      </c>
      <c r="AS29" s="15">
        <v>-5.6737500000000003E-2</v>
      </c>
      <c r="AU29" s="6">
        <v>-1702124.9999999998</v>
      </c>
      <c r="AV29" s="15">
        <v>-5.6737499999999989E-2</v>
      </c>
      <c r="AW29" s="6">
        <v>-141843.74999999997</v>
      </c>
    </row>
    <row r="30" spans="2:49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51">
        <f t="shared" si="11"/>
        <v>-92834.664867000029</v>
      </c>
      <c r="O30" s="15">
        <v>-6.1650000000000003E-2</v>
      </c>
      <c r="P30" s="6">
        <f>IFERROR(VLOOKUP($I30,[1]RESUMO!$A$5:$M$150,2,FALSE),"")</f>
        <v>1</v>
      </c>
      <c r="Q30" s="46">
        <f t="shared" si="12"/>
        <v>-0.99998922816168467</v>
      </c>
      <c r="R30" s="51">
        <f t="shared" si="13"/>
        <v>-126179.75965950002</v>
      </c>
      <c r="S30" s="15">
        <v>-6.165000000000001E-2</v>
      </c>
      <c r="T30" s="6">
        <f>IFERROR(VLOOKUP($I30,[1]RESUMO!$A$5:$M$150,3,FALSE),"")</f>
        <v>2516.6800000000003</v>
      </c>
      <c r="U30" s="46">
        <f t="shared" si="14"/>
        <v>-0.98005480429831737</v>
      </c>
      <c r="V30" s="51">
        <f t="shared" si="15"/>
        <v>-161907.90560999999</v>
      </c>
      <c r="W30" s="15">
        <v>-6.1650000000000003E-2</v>
      </c>
      <c r="X30" s="6">
        <f>IFERROR(VLOOKUP($I30,[1]RESUMO!$A$5:$M$150,4,FALSE),"")</f>
        <v>12217.75</v>
      </c>
      <c r="Y30" s="46">
        <f t="shared" si="16"/>
        <v>-0.92453889169915004</v>
      </c>
      <c r="Z30" s="51">
        <f t="shared" si="17"/>
        <v>-45135.555570000004</v>
      </c>
      <c r="AA30" s="15">
        <v>-6.1650000000000003E-2</v>
      </c>
      <c r="AB30" s="6">
        <f>IFERROR(VLOOKUP($I30,[1]RESUMO!$A$5:$M$150,5,FALSE),"")</f>
        <v>0</v>
      </c>
      <c r="AC30" s="46">
        <f t="shared" si="18"/>
        <v>-1</v>
      </c>
      <c r="AD30" s="6">
        <v>-158000.63610360285</v>
      </c>
      <c r="AE30" s="15">
        <v>-6.1650000000000003E-2</v>
      </c>
      <c r="AF30" s="6">
        <v>-136720.67905005274</v>
      </c>
      <c r="AG30" s="15">
        <v>-6.1650000000000003E-2</v>
      </c>
      <c r="AH30" s="6">
        <v>-138476.34659984228</v>
      </c>
      <c r="AI30" s="15">
        <v>-6.165000000000001E-2</v>
      </c>
      <c r="AJ30" s="6">
        <v>-165905.42587209464</v>
      </c>
      <c r="AK30" s="15">
        <v>-6.1650000000000003E-2</v>
      </c>
      <c r="AL30" s="6">
        <v>-183680.49366390213</v>
      </c>
      <c r="AM30" s="15">
        <v>-6.1650000000000003E-2</v>
      </c>
      <c r="AN30" s="6">
        <v>-185662.95159140031</v>
      </c>
      <c r="AO30" s="15">
        <v>-6.1649999999999996E-2</v>
      </c>
      <c r="AP30" s="6">
        <v>-168832.93898329022</v>
      </c>
      <c r="AQ30" s="15">
        <v>-6.1649999999999996E-2</v>
      </c>
      <c r="AR30" s="6">
        <v>-151441.43012529227</v>
      </c>
      <c r="AS30" s="15">
        <v>-6.1649999999999996E-2</v>
      </c>
      <c r="AU30" s="6">
        <v>-1849500</v>
      </c>
      <c r="AV30" s="15">
        <v>-6.1650000000000003E-2</v>
      </c>
      <c r="AW30" s="6">
        <v>-154125</v>
      </c>
    </row>
    <row r="31" spans="2:49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51">
        <f t="shared" si="11"/>
        <v>-7717.399147500003</v>
      </c>
      <c r="O31" s="15">
        <v>-5.1250000000000002E-3</v>
      </c>
      <c r="P31" s="6">
        <f>IFERROR(VLOOKUP($I31,[1]RESUMO!$A$5:$M$150,2,FALSE),"")</f>
        <v>10391.839999999998</v>
      </c>
      <c r="Q31" s="46">
        <f t="shared" si="12"/>
        <v>0.34654691320020192</v>
      </c>
      <c r="R31" s="51">
        <f t="shared" si="13"/>
        <v>-10489.396078750002</v>
      </c>
      <c r="S31" s="15">
        <v>-5.1250000000000002E-3</v>
      </c>
      <c r="T31" s="6">
        <f>IFERROR(VLOOKUP($I31,[1]RESUMO!$A$5:$M$150,3,FALSE),"")</f>
        <v>19083.350000000006</v>
      </c>
      <c r="U31" s="46">
        <f t="shared" si="14"/>
        <v>0.81929921005272277</v>
      </c>
      <c r="V31" s="51">
        <f t="shared" si="15"/>
        <v>-13459.497424999998</v>
      </c>
      <c r="W31" s="15">
        <v>-5.1250000000000002E-3</v>
      </c>
      <c r="X31" s="6">
        <f>IFERROR(VLOOKUP($I31,[1]RESUMO!$A$5:$M$150,4,FALSE),"")</f>
        <v>15728.859999999995</v>
      </c>
      <c r="Y31" s="46">
        <f t="shared" si="16"/>
        <v>0.16860678399364515</v>
      </c>
      <c r="Z31" s="51">
        <f t="shared" si="17"/>
        <v>-3752.1447250000006</v>
      </c>
      <c r="AA31" s="15">
        <v>-5.1250000000000002E-3</v>
      </c>
      <c r="AB31" s="6">
        <f>IFERROR(VLOOKUP($I31,[1]RESUMO!$A$5:$M$150,5,FALSE),"")</f>
        <v>5007.66</v>
      </c>
      <c r="AC31" s="46">
        <f t="shared" si="18"/>
        <v>0.33461269940753668</v>
      </c>
      <c r="AD31" s="6">
        <v>-13134.683861005104</v>
      </c>
      <c r="AE31" s="15">
        <v>-5.1250000000000002E-3</v>
      </c>
      <c r="AF31" s="6">
        <v>-11365.668777478026</v>
      </c>
      <c r="AG31" s="15">
        <v>-5.1250000000000002E-3</v>
      </c>
      <c r="AH31" s="6">
        <v>-11511.618431860366</v>
      </c>
      <c r="AI31" s="15">
        <v>-5.1250000000000002E-3</v>
      </c>
      <c r="AJ31" s="6">
        <v>-13791.81358628524</v>
      </c>
      <c r="AK31" s="15">
        <v>-5.1250000000000002E-3</v>
      </c>
      <c r="AL31" s="6">
        <v>-15269.465207258692</v>
      </c>
      <c r="AM31" s="15">
        <v>-5.1250000000000002E-3</v>
      </c>
      <c r="AN31" s="6">
        <v>-15434.268076332955</v>
      </c>
      <c r="AO31" s="15">
        <v>-5.1250000000000002E-3</v>
      </c>
      <c r="AP31" s="6">
        <v>-14035.179436972627</v>
      </c>
      <c r="AQ31" s="15">
        <v>-5.1250000000000002E-3</v>
      </c>
      <c r="AR31" s="6">
        <v>-12589.413291032002</v>
      </c>
      <c r="AS31" s="15">
        <v>-5.1250000000000002E-3</v>
      </c>
      <c r="AU31" s="6">
        <v>-153749.99999999997</v>
      </c>
      <c r="AV31" s="15">
        <v>-5.1249999999999993E-3</v>
      </c>
      <c r="AW31" s="6">
        <v>-12812.499999999998</v>
      </c>
    </row>
    <row r="32" spans="2:49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333045.58</v>
      </c>
      <c r="Y32" s="45">
        <f>(X32*-1)/V32-1</f>
        <v>-4.7067973189426238E-2</v>
      </c>
      <c r="Z32" s="8">
        <v>-349495.63098922232</v>
      </c>
      <c r="AA32" s="13">
        <v>-0.14286646206911166</v>
      </c>
      <c r="AB32" s="8">
        <f>SUM(AB33:AB45)</f>
        <v>35596.559999999998</v>
      </c>
      <c r="AC32" s="45">
        <f>(AB32*-1)/Z32-1</f>
        <v>-0.89814876970208046</v>
      </c>
      <c r="AD32" s="8">
        <v>-369175.10009796615</v>
      </c>
      <c r="AE32" s="13">
        <v>-0.14404780564374342</v>
      </c>
      <c r="AF32" s="8">
        <v>-369175.10009796615</v>
      </c>
      <c r="AG32" s="13">
        <v>-0.16646819690463521</v>
      </c>
      <c r="AH32" s="8">
        <v>-369175.10009796615</v>
      </c>
      <c r="AI32" s="13">
        <v>-0.16435763565317471</v>
      </c>
      <c r="AJ32" s="8">
        <v>-369175.10009796615</v>
      </c>
      <c r="AK32" s="13">
        <v>-0.13718445193339393</v>
      </c>
      <c r="AL32" s="8">
        <v>-369175.10009796615</v>
      </c>
      <c r="AM32" s="13">
        <v>-0.12390888366559558</v>
      </c>
      <c r="AN32" s="8">
        <v>-369175.10009796615</v>
      </c>
      <c r="AO32" s="13">
        <v>-0.12258581868895492</v>
      </c>
      <c r="AP32" s="8">
        <v>-369175.10009796615</v>
      </c>
      <c r="AQ32" s="13">
        <v>-0.13480571420540269</v>
      </c>
      <c r="AR32" s="8">
        <v>-369175.10009796615</v>
      </c>
      <c r="AS32" s="13">
        <v>-0.1502867801909282</v>
      </c>
      <c r="AT32" s="16"/>
      <c r="AU32" s="8">
        <v>-4351383.3247406175</v>
      </c>
      <c r="AV32" s="13">
        <v>-0.14504611082468724</v>
      </c>
      <c r="AW32" s="8">
        <v>-362615.27706171828</v>
      </c>
    </row>
    <row r="33" spans="2:49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IFERROR(VLOOKUP($I33,[1]RESUMO!$A$5:$M$150,2,FALSE),"")</f>
        <v>4543.34</v>
      </c>
      <c r="Q33" s="46">
        <f t="shared" si="12"/>
        <v>5.1699074074074147E-2</v>
      </c>
      <c r="R33" s="6">
        <v>-4320</v>
      </c>
      <c r="S33" s="15">
        <v>-1.9407112567735908E-3</v>
      </c>
      <c r="T33" s="6">
        <f>IFERROR(VLOOKUP($I33,[1]RESUMO!$A$5:$M$150,3,FALSE),"")</f>
        <v>6905.72</v>
      </c>
      <c r="U33" s="46">
        <f t="shared" ref="U33:U45" si="22">IFERROR((T33*-1)/R33-1,"")</f>
        <v>0.59854629629629641</v>
      </c>
      <c r="V33" s="6">
        <v>-4320</v>
      </c>
      <c r="W33" s="15">
        <v>-1.5426209455015932E-3</v>
      </c>
      <c r="X33" s="6">
        <f>IFERROR(VLOOKUP($I33,[1]RESUMO!$A$5:$M$150,4,FALSE),"")</f>
        <v>8155.15</v>
      </c>
      <c r="Y33" s="46">
        <f t="shared" ref="Y33:Y45" si="23">IFERROR((X33*-1)/V33-1,"")</f>
        <v>0.88776620370370352</v>
      </c>
      <c r="Z33" s="6">
        <v>-4320</v>
      </c>
      <c r="AA33" s="15">
        <v>-1.7659251258496989E-3</v>
      </c>
      <c r="AB33" s="6">
        <f>IFERROR(VLOOKUP($I33,[1]RESUMO!$A$5:$M$150,5,FALSE),"")</f>
        <v>0</v>
      </c>
      <c r="AC33" s="46">
        <f t="shared" ref="AC33:AC45" si="24">IFERROR((AB33*-1)/Z33-1,"")</f>
        <v>-1</v>
      </c>
      <c r="AD33" s="6">
        <v>-4320</v>
      </c>
      <c r="AE33" s="15">
        <v>-1.6856134669316499E-3</v>
      </c>
      <c r="AF33" s="6">
        <v>-4320</v>
      </c>
      <c r="AG33" s="15">
        <v>-1.947971600568914E-3</v>
      </c>
      <c r="AH33" s="6">
        <v>-4320</v>
      </c>
      <c r="AI33" s="15">
        <v>-1.9232743103023444E-3</v>
      </c>
      <c r="AJ33" s="6">
        <v>-4320</v>
      </c>
      <c r="AK33" s="15">
        <v>-1.6053001196315697E-3</v>
      </c>
      <c r="AL33" s="6">
        <v>-4320</v>
      </c>
      <c r="AM33" s="15">
        <v>-1.4499525490568746E-3</v>
      </c>
      <c r="AN33" s="6">
        <v>-4320</v>
      </c>
      <c r="AO33" s="15">
        <v>-1.4344703545709223E-3</v>
      </c>
      <c r="AP33" s="6">
        <v>-4320</v>
      </c>
      <c r="AQ33" s="15">
        <v>-1.5774646914507547E-3</v>
      </c>
      <c r="AR33" s="6">
        <v>-4320</v>
      </c>
      <c r="AS33" s="15">
        <v>-1.7586204764420041E-3</v>
      </c>
      <c r="AU33" s="6">
        <v>-51840</v>
      </c>
      <c r="AV33" s="15">
        <v>-1.7279999999999999E-3</v>
      </c>
      <c r="AW33" s="6">
        <v>-4320</v>
      </c>
    </row>
    <row r="34" spans="2:49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160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IFERROR(VLOOKUP($I34,[1]RESUMO!$A$5:$M$150,2,FALSE),"")</f>
        <v>14950.47</v>
      </c>
      <c r="Q34" s="46">
        <f t="shared" si="12"/>
        <v>-0.21507170128137343</v>
      </c>
      <c r="R34" s="6">
        <v>-19046.924444444445</v>
      </c>
      <c r="S34" s="15">
        <v>-8.5566158972799553E-3</v>
      </c>
      <c r="T34" s="6">
        <f>IFERROR(VLOOKUP($I34,[1]RESUMO!$A$5:$M$150,3,FALSE),"")</f>
        <v>21105.59</v>
      </c>
      <c r="U34" s="46">
        <f t="shared" si="22"/>
        <v>0.10808388312560457</v>
      </c>
      <c r="V34" s="6">
        <v>-19046.924444444445</v>
      </c>
      <c r="W34" s="15">
        <v>-6.8014316193023838E-3</v>
      </c>
      <c r="X34" s="6">
        <f>IFERROR(VLOOKUP($I34,[1]RESUMO!$A$5:$M$150,4,FALSE),"")</f>
        <v>9382.1299999999992</v>
      </c>
      <c r="Y34" s="46">
        <f t="shared" si="23"/>
        <v>-0.50742021225707368</v>
      </c>
      <c r="Z34" s="6">
        <v>-19046.924444444445</v>
      </c>
      <c r="AA34" s="15">
        <v>-7.7859820478252927E-3</v>
      </c>
      <c r="AB34" s="6">
        <f>IFERROR(VLOOKUP($I34,[1]RESUMO!$A$5:$M$150,5,FALSE),"")</f>
        <v>7049.37</v>
      </c>
      <c r="AC34" s="46">
        <f t="shared" si="24"/>
        <v>-0.62989457848896224</v>
      </c>
      <c r="AD34" s="6">
        <v>-19046.924444444445</v>
      </c>
      <c r="AE34" s="15">
        <v>-7.4318871174039796E-3</v>
      </c>
      <c r="AF34" s="6">
        <v>-19046.924444444445</v>
      </c>
      <c r="AG34" s="15">
        <v>-8.5886268277684304E-3</v>
      </c>
      <c r="AH34" s="6">
        <v>-19046.924444444445</v>
      </c>
      <c r="AI34" s="15">
        <v>-8.4797362208957755E-3</v>
      </c>
      <c r="AJ34" s="6">
        <v>-19046.924444444445</v>
      </c>
      <c r="AK34" s="15">
        <v>-7.0777847428889198E-3</v>
      </c>
      <c r="AL34" s="6">
        <v>-19046.924444444445</v>
      </c>
      <c r="AM34" s="15">
        <v>-6.3928557059990555E-3</v>
      </c>
      <c r="AN34" s="6">
        <v>-19046.924444444445</v>
      </c>
      <c r="AO34" s="15">
        <v>-6.324594551228655E-3</v>
      </c>
      <c r="AP34" s="6">
        <v>-19046.924444444445</v>
      </c>
      <c r="AQ34" s="15">
        <v>-6.9550580536669893E-3</v>
      </c>
      <c r="AR34" s="6">
        <v>-19046.924444444445</v>
      </c>
      <c r="AS34" s="15">
        <v>-7.7537757734360523E-3</v>
      </c>
      <c r="AU34" s="6">
        <v>-228563.09333333335</v>
      </c>
      <c r="AV34" s="15">
        <v>-7.618769777777778E-3</v>
      </c>
      <c r="AW34" s="6">
        <v>-19046.924444444445</v>
      </c>
    </row>
    <row r="35" spans="2:49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IFERROR(VLOOKUP($I35,[1]RESUMO!$A$5:$M$150,2,FALSE),"")</f>
        <v>1899.2</v>
      </c>
      <c r="Q35" s="46">
        <f t="shared" si="12"/>
        <v>-0.13437829017834746</v>
      </c>
      <c r="R35" s="6">
        <v>-2194.0299999999997</v>
      </c>
      <c r="S35" s="15">
        <v>-9.8564322192105577E-4</v>
      </c>
      <c r="T35" s="6">
        <f>IFERROR(VLOOKUP($I35,[1]RESUMO!$A$5:$M$150,3,FALSE),"")</f>
        <v>1694.1599999999999</v>
      </c>
      <c r="U35" s="46">
        <f t="shared" si="22"/>
        <v>-0.2278318892631368</v>
      </c>
      <c r="V35" s="6">
        <v>-2194.0299999999997</v>
      </c>
      <c r="W35" s="15">
        <v>-7.8346218357843985E-4</v>
      </c>
      <c r="X35" s="6">
        <f>IFERROR(VLOOKUP($I35,[1]RESUMO!$A$5:$M$150,4,FALSE),"")</f>
        <v>0</v>
      </c>
      <c r="Y35" s="46">
        <f t="shared" si="23"/>
        <v>-1</v>
      </c>
      <c r="Z35" s="6">
        <v>-2194.0299999999997</v>
      </c>
      <c r="AA35" s="15">
        <v>-8.9687331108055895E-4</v>
      </c>
      <c r="AB35" s="6">
        <f>IFERROR(VLOOKUP($I35,[1]RESUMO!$A$5:$M$150,5,FALSE),"")</f>
        <v>1307.92</v>
      </c>
      <c r="AC35" s="46">
        <f t="shared" si="24"/>
        <v>-0.40387323783175244</v>
      </c>
      <c r="AD35" s="6">
        <v>-2194.0299999999997</v>
      </c>
      <c r="AE35" s="15">
        <v>-8.5608484140093689E-4</v>
      </c>
      <c r="AF35" s="6">
        <v>-2194.0299999999997</v>
      </c>
      <c r="AG35" s="15">
        <v>-9.8933058583245683E-4</v>
      </c>
      <c r="AH35" s="6">
        <v>-2194.0299999999997</v>
      </c>
      <c r="AI35" s="15">
        <v>-9.7678739236866947E-4</v>
      </c>
      <c r="AJ35" s="6">
        <v>-2194.0299999999997</v>
      </c>
      <c r="AK35" s="15">
        <v>-8.152955142303824E-4</v>
      </c>
      <c r="AL35" s="6">
        <v>-2194.0299999999997</v>
      </c>
      <c r="AM35" s="15">
        <v>-7.3639800722390147E-4</v>
      </c>
      <c r="AN35" s="6">
        <v>-2194.0299999999997</v>
      </c>
      <c r="AO35" s="15">
        <v>-7.2853495186093532E-4</v>
      </c>
      <c r="AP35" s="6">
        <v>-2194.0299999999997</v>
      </c>
      <c r="AQ35" s="15">
        <v>-8.0115853170918954E-4</v>
      </c>
      <c r="AR35" s="6">
        <v>-2194.0299999999997</v>
      </c>
      <c r="AS35" s="15">
        <v>-8.9316344535371526E-4</v>
      </c>
      <c r="AU35" s="6">
        <v>-26328.35999999999</v>
      </c>
      <c r="AV35" s="15">
        <v>-8.7761199999999962E-4</v>
      </c>
      <c r="AW35" s="6">
        <v>-2194.0299999999993</v>
      </c>
    </row>
    <row r="36" spans="2:49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IFERROR(VLOOKUP($I36,[1]RESUMO!$A$5:$M$150,2,FALSE),"")</f>
        <v>185861.81</v>
      </c>
      <c r="Q36" s="46">
        <f t="shared" si="12"/>
        <v>-0.10713196036011785</v>
      </c>
      <c r="R36" s="6">
        <v>-208162.68670000002</v>
      </c>
      <c r="S36" s="15">
        <v>-9.3514738268269504E-2</v>
      </c>
      <c r="T36" s="6">
        <f>IFERROR(VLOOKUP($I36,[1]RESUMO!$A$5:$M$150,3,FALSE),"")</f>
        <v>205896.33000000002</v>
      </c>
      <c r="U36" s="46">
        <f t="shared" si="22"/>
        <v>-1.0887430095799178E-2</v>
      </c>
      <c r="V36" s="6">
        <v>-208162.68670000002</v>
      </c>
      <c r="W36" s="15">
        <v>-7.4332435318357856E-2</v>
      </c>
      <c r="X36" s="6">
        <f>IFERROR(VLOOKUP($I36,[1]RESUMO!$A$5:$M$150,4,FALSE),"")</f>
        <v>218151.71</v>
      </c>
      <c r="Y36" s="46">
        <f t="shared" si="23"/>
        <v>4.798661786295999E-2</v>
      </c>
      <c r="Z36" s="6">
        <v>-208162.68670000002</v>
      </c>
      <c r="AA36" s="15">
        <v>-8.5092527478682636E-2</v>
      </c>
      <c r="AB36" s="6">
        <f>IFERROR(VLOOKUP($I36,[1]RESUMO!$A$5:$M$150,5,FALSE),"")</f>
        <v>7266.4299999999994</v>
      </c>
      <c r="AC36" s="46">
        <f t="shared" si="24"/>
        <v>-0.96509254316806437</v>
      </c>
      <c r="AD36" s="6">
        <v>-221693.26133550002</v>
      </c>
      <c r="AE36" s="15">
        <v>-8.6502117322943634E-2</v>
      </c>
      <c r="AF36" s="6">
        <v>-221693.26133550002</v>
      </c>
      <c r="AG36" s="15">
        <v>-9.9965781740522341E-2</v>
      </c>
      <c r="AH36" s="6">
        <v>-221693.26133550002</v>
      </c>
      <c r="AI36" s="15">
        <v>-9.8698369049470172E-2</v>
      </c>
      <c r="AJ36" s="6">
        <v>-221693.26133550002</v>
      </c>
      <c r="AK36" s="15">
        <v>-8.2380606236896067E-2</v>
      </c>
      <c r="AL36" s="6">
        <v>-221693.26133550002</v>
      </c>
      <c r="AM36" s="15">
        <v>-7.4408497542162069E-2</v>
      </c>
      <c r="AN36" s="6">
        <v>-221693.26133550002</v>
      </c>
      <c r="AO36" s="15">
        <v>-7.3613984072666408E-2</v>
      </c>
      <c r="AP36" s="6">
        <v>-221693.26133550002</v>
      </c>
      <c r="AQ36" s="15">
        <v>-8.0952150946600937E-2</v>
      </c>
      <c r="AR36" s="6">
        <v>-221693.26133550002</v>
      </c>
      <c r="AS36" s="15">
        <v>-9.0248682609680275E-2</v>
      </c>
      <c r="AU36" s="6">
        <v>-2606196.8374840003</v>
      </c>
      <c r="AV36" s="15">
        <v>-8.6873227916133347E-2</v>
      </c>
      <c r="AW36" s="6">
        <v>-217183.06979033336</v>
      </c>
    </row>
    <row r="37" spans="2:49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IFERROR(VLOOKUP($I37,[1]RESUMO!$A$5:$M$150,2,FALSE),"")</f>
        <v/>
      </c>
      <c r="Q37" s="46" t="str">
        <f t="shared" si="12"/>
        <v/>
      </c>
      <c r="R37" s="6">
        <v>-122.7</v>
      </c>
      <c r="S37" s="15">
        <v>-5.5121590556972129E-5</v>
      </c>
      <c r="T37" s="6" t="str">
        <f>IFERROR(VLOOKUP($I37,[1]RESUMO!$A$5:$M$150,3,FALSE),"")</f>
        <v/>
      </c>
      <c r="U37" s="46" t="str">
        <f t="shared" si="22"/>
        <v/>
      </c>
      <c r="V37" s="6">
        <v>-122.7</v>
      </c>
      <c r="W37" s="15">
        <v>-4.3814719910427195E-5</v>
      </c>
      <c r="X37" s="6" t="str">
        <f>IFERROR(VLOOKUP($I37,[1]RESUMO!$A$5:$M$150,4,FALSE),"")</f>
        <v/>
      </c>
      <c r="Y37" s="46" t="str">
        <f t="shared" si="23"/>
        <v/>
      </c>
      <c r="Z37" s="6">
        <v>-122.7</v>
      </c>
      <c r="AA37" s="15">
        <v>-5.015717892170326E-5</v>
      </c>
      <c r="AB37" s="6" t="str">
        <f>IFERROR(VLOOKUP($I37,[1]RESUMO!$A$5:$M$150,5,FALSE),"")</f>
        <v/>
      </c>
      <c r="AC37" s="46" t="str">
        <f t="shared" si="24"/>
        <v/>
      </c>
      <c r="AD37" s="6">
        <v>-122.7</v>
      </c>
      <c r="AE37" s="15">
        <v>-4.7876104720489225E-5</v>
      </c>
      <c r="AF37" s="6">
        <v>-122.7</v>
      </c>
      <c r="AG37" s="15">
        <v>-5.5327804488380962E-5</v>
      </c>
      <c r="AH37" s="6">
        <v>-122.7</v>
      </c>
      <c r="AI37" s="15">
        <v>-5.4626332841226309E-5</v>
      </c>
      <c r="AJ37" s="6">
        <v>-122.7</v>
      </c>
      <c r="AK37" s="15">
        <v>-4.5594982564535551E-5</v>
      </c>
      <c r="AL37" s="6">
        <v>-122.7</v>
      </c>
      <c r="AM37" s="15">
        <v>-4.1182680039184849E-5</v>
      </c>
      <c r="AN37" s="6">
        <v>-122.7</v>
      </c>
      <c r="AO37" s="15">
        <v>-4.0742942709688006E-5</v>
      </c>
      <c r="AP37" s="6">
        <v>-122.7</v>
      </c>
      <c r="AQ37" s="15">
        <v>-4.4804379083566573E-5</v>
      </c>
      <c r="AR37" s="6">
        <v>-122.7</v>
      </c>
      <c r="AS37" s="15">
        <v>-4.9949706587831924E-5</v>
      </c>
      <c r="AU37" s="6">
        <v>-1472.4000000000003</v>
      </c>
      <c r="AV37" s="15">
        <v>-4.9080000000000011E-5</v>
      </c>
      <c r="AW37" s="6">
        <v>-122.70000000000003</v>
      </c>
    </row>
    <row r="38" spans="2:49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IFERROR(VLOOKUP($I38,[1]RESUMO!$A$5:$M$150,2,FALSE),"")</f>
        <v/>
      </c>
      <c r="Q38" s="46" t="str">
        <f t="shared" si="12"/>
        <v/>
      </c>
      <c r="R38" s="6">
        <v>-17346.890558333333</v>
      </c>
      <c r="S38" s="15">
        <v>-7.7928948556891245E-3</v>
      </c>
      <c r="T38" s="6" t="str">
        <f>IFERROR(VLOOKUP($I38,[1]RESUMO!$A$5:$M$150,3,FALSE),"")</f>
        <v/>
      </c>
      <c r="U38" s="46" t="str">
        <f t="shared" si="22"/>
        <v/>
      </c>
      <c r="V38" s="6">
        <v>-17346.890558333333</v>
      </c>
      <c r="W38" s="15">
        <v>-6.1943696098631538E-3</v>
      </c>
      <c r="X38" s="6" t="str">
        <f>IFERROR(VLOOKUP($I38,[1]RESUMO!$A$5:$M$150,4,FALSE),"")</f>
        <v/>
      </c>
      <c r="Y38" s="46" t="str">
        <f t="shared" si="23"/>
        <v/>
      </c>
      <c r="Z38" s="6">
        <v>-17346.890558333333</v>
      </c>
      <c r="AA38" s="15">
        <v>-7.0910439565568858E-3</v>
      </c>
      <c r="AB38" s="6" t="str">
        <f>IFERROR(VLOOKUP($I38,[1]RESUMO!$A$5:$M$150,5,FALSE),"")</f>
        <v/>
      </c>
      <c r="AC38" s="46" t="str">
        <f t="shared" si="24"/>
        <v/>
      </c>
      <c r="AD38" s="6">
        <v>-18474.438444625001</v>
      </c>
      <c r="AE38" s="15">
        <v>-7.2085097769119689E-3</v>
      </c>
      <c r="AF38" s="6">
        <v>-18474.438444625001</v>
      </c>
      <c r="AG38" s="15">
        <v>-8.3304818117101945E-3</v>
      </c>
      <c r="AH38" s="6">
        <v>-18474.438444625001</v>
      </c>
      <c r="AI38" s="15">
        <v>-8.2248640874558483E-3</v>
      </c>
      <c r="AJ38" s="6">
        <v>-18474.438444625001</v>
      </c>
      <c r="AK38" s="15">
        <v>-6.8650505197413387E-3</v>
      </c>
      <c r="AL38" s="6">
        <v>-18474.438444625001</v>
      </c>
      <c r="AM38" s="15">
        <v>-6.2007081285135055E-3</v>
      </c>
      <c r="AN38" s="6">
        <v>-18474.438444625001</v>
      </c>
      <c r="AO38" s="15">
        <v>-6.1344986727221995E-3</v>
      </c>
      <c r="AP38" s="6">
        <v>-18474.438444625001</v>
      </c>
      <c r="AQ38" s="15">
        <v>-6.7460125788834108E-3</v>
      </c>
      <c r="AR38" s="6">
        <v>-18474.438444625001</v>
      </c>
      <c r="AS38" s="15">
        <v>-7.5207235508066893E-3</v>
      </c>
      <c r="AU38" s="6">
        <v>-217183.06979033336</v>
      </c>
      <c r="AV38" s="15">
        <v>-7.2394356596777792E-3</v>
      </c>
      <c r="AW38" s="6">
        <v>-18098.589149194446</v>
      </c>
    </row>
    <row r="39" spans="2:49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IFERROR(VLOOKUP($I39,[1]RESUMO!$A$5:$M$150,2,FALSE),"")</f>
        <v>6816.55</v>
      </c>
      <c r="Q39" s="46">
        <f t="shared" si="12"/>
        <v>-0.1282180813648629</v>
      </c>
      <c r="R39" s="6">
        <v>-7819.0999999999995</v>
      </c>
      <c r="S39" s="15">
        <v>-3.5126424508885143E-3</v>
      </c>
      <c r="T39" s="6">
        <f>IFERROR(VLOOKUP($I39,[1]RESUMO!$A$5:$M$150,3,FALSE),"")</f>
        <v>9992.25</v>
      </c>
      <c r="U39" s="46">
        <f t="shared" si="22"/>
        <v>0.27792840608254155</v>
      </c>
      <c r="V39" s="6">
        <v>-7819.0999999999995</v>
      </c>
      <c r="W39" s="15">
        <v>-2.7921082025397005E-3</v>
      </c>
      <c r="X39" s="6">
        <f>IFERROR(VLOOKUP($I39,[1]RESUMO!$A$5:$M$150,4,FALSE),"")</f>
        <v>8223.1</v>
      </c>
      <c r="Y39" s="46">
        <f t="shared" si="23"/>
        <v>5.1668350577432243E-2</v>
      </c>
      <c r="Z39" s="6">
        <v>-7819.0999999999995</v>
      </c>
      <c r="AA39" s="15">
        <v>-3.196283599891523E-3</v>
      </c>
      <c r="AB39" s="6">
        <f>IFERROR(VLOOKUP($I39,[1]RESUMO!$A$5:$M$150,5,FALSE),"")</f>
        <v>1588.1</v>
      </c>
      <c r="AC39" s="46">
        <f t="shared" si="24"/>
        <v>-0.79689478328707908</v>
      </c>
      <c r="AD39" s="6">
        <v>-7819.0999999999995</v>
      </c>
      <c r="AE39" s="15">
        <v>-3.0509213563160329E-3</v>
      </c>
      <c r="AF39" s="6">
        <v>-7819.0999999999995</v>
      </c>
      <c r="AG39" s="15">
        <v>-3.5257835050945359E-3</v>
      </c>
      <c r="AH39" s="6">
        <v>-7819.0999999999995</v>
      </c>
      <c r="AI39" s="15">
        <v>-3.4810819814085786E-3</v>
      </c>
      <c r="AJ39" s="6">
        <v>-7819.0999999999995</v>
      </c>
      <c r="AK39" s="15">
        <v>-2.9055560568081494E-3</v>
      </c>
      <c r="AL39" s="6">
        <v>-7819.0999999999995</v>
      </c>
      <c r="AM39" s="15">
        <v>-2.6243805500765298E-3</v>
      </c>
      <c r="AN39" s="6">
        <v>-7819.0999999999995</v>
      </c>
      <c r="AO39" s="15">
        <v>-2.5963581364410876E-3</v>
      </c>
      <c r="AP39" s="6">
        <v>-7819.0999999999995</v>
      </c>
      <c r="AQ39" s="15">
        <v>-2.8551745761394897E-3</v>
      </c>
      <c r="AR39" s="6">
        <v>-7819.0999999999995</v>
      </c>
      <c r="AS39" s="15">
        <v>-3.1830623535527023E-3</v>
      </c>
      <c r="AU39" s="6">
        <v>-93829.200000000012</v>
      </c>
      <c r="AV39" s="15">
        <v>-3.1276400000000005E-3</v>
      </c>
      <c r="AW39" s="6">
        <v>-7819.1000000000013</v>
      </c>
    </row>
    <row r="40" spans="2:49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IFERROR(VLOOKUP($I40,[1]RESUMO!$A$5:$M$150,2,FALSE),"")</f>
        <v>0</v>
      </c>
      <c r="Q40" s="46">
        <f t="shared" si="12"/>
        <v>-1</v>
      </c>
      <c r="R40" s="6">
        <v>-10000</v>
      </c>
      <c r="S40" s="15">
        <v>-4.4923871684573865E-3</v>
      </c>
      <c r="T40" s="6">
        <f>IFERROR(VLOOKUP($I40,[1]RESUMO!$A$5:$M$150,3,FALSE),"")</f>
        <v>30936.210000000003</v>
      </c>
      <c r="U40" s="46">
        <f t="shared" si="22"/>
        <v>2.0936210000000002</v>
      </c>
      <c r="V40" s="6">
        <v>-10000</v>
      </c>
      <c r="W40" s="15">
        <v>-3.5708818182907248E-3</v>
      </c>
      <c r="X40" s="6">
        <f>IFERROR(VLOOKUP($I40,[1]RESUMO!$A$5:$M$150,4,FALSE),"")</f>
        <v>394.44</v>
      </c>
      <c r="Y40" s="46">
        <f t="shared" si="23"/>
        <v>-0.96055599999999997</v>
      </c>
      <c r="Z40" s="6">
        <v>-10000</v>
      </c>
      <c r="AA40" s="15">
        <v>-4.0877896431705998E-3</v>
      </c>
      <c r="AB40" s="6">
        <f>IFERROR(VLOOKUP($I40,[1]RESUMO!$A$5:$M$150,5,FALSE),"")</f>
        <v>0</v>
      </c>
      <c r="AC40" s="46">
        <f t="shared" si="24"/>
        <v>-1</v>
      </c>
      <c r="AD40" s="6">
        <v>-10000</v>
      </c>
      <c r="AE40" s="15">
        <v>-3.9018830253047449E-3</v>
      </c>
      <c r="AF40" s="6">
        <v>-10000</v>
      </c>
      <c r="AG40" s="15">
        <v>-4.5091935198354489E-3</v>
      </c>
      <c r="AH40" s="6">
        <v>-10000</v>
      </c>
      <c r="AI40" s="15">
        <v>-4.4520238664406114E-3</v>
      </c>
      <c r="AJ40" s="6">
        <v>-10000</v>
      </c>
      <c r="AK40" s="15">
        <v>-3.7159724991471517E-3</v>
      </c>
      <c r="AL40" s="6">
        <v>-10000</v>
      </c>
      <c r="AM40" s="15">
        <v>-3.356371641335358E-3</v>
      </c>
      <c r="AN40" s="6">
        <v>-10000</v>
      </c>
      <c r="AO40" s="15">
        <v>-3.3205332281734312E-3</v>
      </c>
      <c r="AP40" s="6">
        <v>-10000</v>
      </c>
      <c r="AQ40" s="15">
        <v>-3.6515386376174876E-3</v>
      </c>
      <c r="AR40" s="6">
        <v>-10000</v>
      </c>
      <c r="AS40" s="15">
        <v>-4.0708807325046392E-3</v>
      </c>
      <c r="AU40" s="6">
        <v>-120000</v>
      </c>
      <c r="AV40" s="15">
        <v>-4.0000000000000001E-3</v>
      </c>
      <c r="AW40" s="6">
        <v>-10000</v>
      </c>
    </row>
    <row r="41" spans="2:49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IFERROR(VLOOKUP($I41,[1]RESUMO!$A$5:$M$150,2,FALSE),"")</f>
        <v>808</v>
      </c>
      <c r="Q41" s="46">
        <f t="shared" si="12"/>
        <v>-0.37442497551508647</v>
      </c>
      <c r="R41" s="6">
        <v>-1291.6116666666667</v>
      </c>
      <c r="S41" s="15">
        <v>-5.8024196779631922E-4</v>
      </c>
      <c r="T41" s="6">
        <f>IFERROR(VLOOKUP($I41,[1]RESUMO!$A$5:$M$150,3,FALSE),"")</f>
        <v>570</v>
      </c>
      <c r="U41" s="46">
        <f t="shared" si="22"/>
        <v>-0.55869088619257334</v>
      </c>
      <c r="V41" s="6">
        <v>-1291.6116666666667</v>
      </c>
      <c r="W41" s="15">
        <v>-4.6121926167921802E-4</v>
      </c>
      <c r="X41" s="6">
        <f>IFERROR(VLOOKUP($I41,[1]RESUMO!$A$5:$M$150,4,FALSE),"")</f>
        <v>349.9</v>
      </c>
      <c r="Y41" s="46">
        <f t="shared" si="23"/>
        <v>-0.72909814224347613</v>
      </c>
      <c r="Z41" s="6">
        <v>-1291.6116666666667</v>
      </c>
      <c r="AA41" s="15">
        <v>-5.2798367939983163E-4</v>
      </c>
      <c r="AB41" s="6">
        <f>IFERROR(VLOOKUP($I41,[1]RESUMO!$A$5:$M$150,5,FALSE),"")</f>
        <v>420</v>
      </c>
      <c r="AC41" s="46">
        <f t="shared" si="24"/>
        <v>-0.67482486351031723</v>
      </c>
      <c r="AD41" s="6">
        <v>-1291.6116666666667</v>
      </c>
      <c r="AE41" s="15">
        <v>-5.0397176374522372E-4</v>
      </c>
      <c r="AF41" s="6">
        <v>-1291.6116666666667</v>
      </c>
      <c r="AG41" s="15">
        <v>-5.8241269574771978E-4</v>
      </c>
      <c r="AH41" s="6">
        <v>-1291.6116666666667</v>
      </c>
      <c r="AI41" s="15">
        <v>-5.750285966173136E-4</v>
      </c>
      <c r="AJ41" s="6">
        <v>-1291.6116666666667</v>
      </c>
      <c r="AK41" s="15">
        <v>-4.7995934329109511E-4</v>
      </c>
      <c r="AL41" s="6">
        <v>-1291.6116666666667</v>
      </c>
      <c r="AM41" s="15">
        <v>-4.3351287696178975E-4</v>
      </c>
      <c r="AN41" s="6">
        <v>-1291.6116666666667</v>
      </c>
      <c r="AO41" s="15">
        <v>-4.2888394570631325E-4</v>
      </c>
      <c r="AP41" s="6">
        <v>-1291.6116666666667</v>
      </c>
      <c r="AQ41" s="15">
        <v>-4.7163699056308527E-4</v>
      </c>
      <c r="AR41" s="6">
        <v>-1291.6116666666667</v>
      </c>
      <c r="AS41" s="15">
        <v>-5.2579970477115384E-4</v>
      </c>
      <c r="AU41" s="6">
        <v>-15499.340000000004</v>
      </c>
      <c r="AV41" s="15">
        <v>-5.1664466666666677E-4</v>
      </c>
      <c r="AW41" s="6">
        <v>-1291.6116666666669</v>
      </c>
    </row>
    <row r="42" spans="2:49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IFERROR(VLOOKUP($I42,[1]RESUMO!$A$5:$M$150,2,FALSE),"")</f>
        <v>1983.19</v>
      </c>
      <c r="Q42" s="46">
        <f t="shared" si="12"/>
        <v>2.2156631484184786E-2</v>
      </c>
      <c r="R42" s="6">
        <v>-1940.2016666666657</v>
      </c>
      <c r="S42" s="15">
        <v>-8.7161370715529637E-4</v>
      </c>
      <c r="T42" s="6">
        <f>IFERROR(VLOOKUP($I42,[1]RESUMO!$A$5:$M$150,3,FALSE),"")</f>
        <v>1883.98</v>
      </c>
      <c r="U42" s="46">
        <f t="shared" si="22"/>
        <v>-2.8977228312176639E-2</v>
      </c>
      <c r="V42" s="6">
        <v>-1940.2016666666657</v>
      </c>
      <c r="W42" s="15">
        <v>-6.9282308553173585E-4</v>
      </c>
      <c r="X42" s="6">
        <f>IFERROR(VLOOKUP($I42,[1]RESUMO!$A$5:$M$150,4,FALSE),"")</f>
        <v>1980.53</v>
      </c>
      <c r="Y42" s="46">
        <f t="shared" si="23"/>
        <v>2.0785639980724246E-2</v>
      </c>
      <c r="Z42" s="6">
        <v>-1940.2016666666657</v>
      </c>
      <c r="AA42" s="15">
        <v>-7.931136278662332E-4</v>
      </c>
      <c r="AB42" s="6">
        <f>IFERROR(VLOOKUP($I42,[1]RESUMO!$A$5:$M$150,5,FALSE),"")</f>
        <v>2040.6</v>
      </c>
      <c r="AC42" s="46">
        <f t="shared" si="24"/>
        <v>5.1746339083308834E-2</v>
      </c>
      <c r="AD42" s="6">
        <v>-1940.2016666666657</v>
      </c>
      <c r="AE42" s="15">
        <v>-7.570439948834638E-4</v>
      </c>
      <c r="AF42" s="6">
        <v>-1940.2016666666657</v>
      </c>
      <c r="AG42" s="15">
        <v>-8.7487447825072666E-4</v>
      </c>
      <c r="AH42" s="6">
        <v>-1940.2016666666657</v>
      </c>
      <c r="AI42" s="15">
        <v>-8.6378241257078483E-4</v>
      </c>
      <c r="AJ42" s="6">
        <v>-1940.2016666666657</v>
      </c>
      <c r="AK42" s="15">
        <v>-7.2097360361327988E-4</v>
      </c>
      <c r="AL42" s="6">
        <v>-1940.2016666666657</v>
      </c>
      <c r="AM42" s="15">
        <v>-6.5120378524715944E-4</v>
      </c>
      <c r="AN42" s="6">
        <v>-1940.2016666666657</v>
      </c>
      <c r="AO42" s="15">
        <v>-6.4425041035241347E-4</v>
      </c>
      <c r="AP42" s="6">
        <v>-1940.2016666666657</v>
      </c>
      <c r="AQ42" s="15">
        <v>-7.0847213506031756E-4</v>
      </c>
      <c r="AR42" s="6">
        <v>-1940.2016666666657</v>
      </c>
      <c r="AS42" s="15">
        <v>-7.8983295820067177E-4</v>
      </c>
      <c r="AU42" s="6">
        <v>-23282.419999999984</v>
      </c>
      <c r="AV42" s="15">
        <v>-7.7608066666666616E-4</v>
      </c>
      <c r="AW42" s="6">
        <v>-1940.2016666666652</v>
      </c>
    </row>
    <row r="43" spans="2:49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IFERROR(VLOOKUP($I43,[1]RESUMO!$A$5:$M$150,2,FALSE),"")</f>
        <v>34431.979999999996</v>
      </c>
      <c r="Q43" s="46">
        <f t="shared" si="12"/>
        <v>1.0676123892476639</v>
      </c>
      <c r="R43" s="6">
        <v>-16653.014936000003</v>
      </c>
      <c r="S43" s="15">
        <v>-7.4811790614615617E-3</v>
      </c>
      <c r="T43" s="6">
        <f>IFERROR(VLOOKUP($I43,[1]RESUMO!$A$5:$M$150,3,FALSE),"")</f>
        <v>32736.5</v>
      </c>
      <c r="U43" s="46">
        <f t="shared" si="22"/>
        <v>0.96580019448797749</v>
      </c>
      <c r="V43" s="6">
        <v>-16653.014936000003</v>
      </c>
      <c r="W43" s="15">
        <v>-5.9465948254686287E-3</v>
      </c>
      <c r="X43" s="6">
        <f>IFERROR(VLOOKUP($I43,[1]RESUMO!$A$5:$M$150,4,FALSE),"")</f>
        <v>35869.64</v>
      </c>
      <c r="Y43" s="46">
        <f t="shared" si="23"/>
        <v>1.1539427027389531</v>
      </c>
      <c r="Z43" s="6">
        <v>-16653.014936000003</v>
      </c>
      <c r="AA43" s="15">
        <v>-6.8074021982946114E-3</v>
      </c>
      <c r="AB43" s="6">
        <f>IFERROR(VLOOKUP($I43,[1]RESUMO!$A$5:$M$150,5,FALSE),"")</f>
        <v>0</v>
      </c>
      <c r="AC43" s="46">
        <f t="shared" si="24"/>
        <v>-1</v>
      </c>
      <c r="AD43" s="6">
        <v>-17735.460906840002</v>
      </c>
      <c r="AE43" s="15">
        <v>-6.9201693858354906E-3</v>
      </c>
      <c r="AF43" s="6">
        <v>-17735.460906840002</v>
      </c>
      <c r="AG43" s="15">
        <v>-7.9972625392417881E-3</v>
      </c>
      <c r="AH43" s="6">
        <v>-17735.460906840002</v>
      </c>
      <c r="AI43" s="15">
        <v>-7.8958695239576149E-3</v>
      </c>
      <c r="AJ43" s="6">
        <v>-17735.460906840002</v>
      </c>
      <c r="AK43" s="15">
        <v>-6.5904484989516851E-3</v>
      </c>
      <c r="AL43" s="6">
        <v>-17735.460906840002</v>
      </c>
      <c r="AM43" s="15">
        <v>-5.952679803372966E-3</v>
      </c>
      <c r="AN43" s="6">
        <v>-17735.460906840002</v>
      </c>
      <c r="AO43" s="15">
        <v>-5.8891187258133127E-3</v>
      </c>
      <c r="AP43" s="6">
        <v>-17735.460906840002</v>
      </c>
      <c r="AQ43" s="15">
        <v>-6.4761720757280754E-3</v>
      </c>
      <c r="AR43" s="6">
        <v>-17735.460906840002</v>
      </c>
      <c r="AS43" s="15">
        <v>-7.2198946087744225E-3</v>
      </c>
      <c r="AU43" s="6">
        <v>-208495.74699871999</v>
      </c>
      <c r="AV43" s="15">
        <v>-6.949858233290666E-3</v>
      </c>
      <c r="AW43" s="6">
        <v>-17374.645583226666</v>
      </c>
    </row>
    <row r="44" spans="2:49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IFERROR(VLOOKUP($I44,[1]RESUMO!$A$5:$M$150,2,FALSE),"")</f>
        <v>44369.08</v>
      </c>
      <c r="Q44" s="46">
        <f t="shared" si="12"/>
        <v>0.1841454047147868</v>
      </c>
      <c r="R44" s="6">
        <v>-37469.283606000005</v>
      </c>
      <c r="S44" s="15">
        <v>-1.6832652888288512E-2</v>
      </c>
      <c r="T44" s="6">
        <f>IFERROR(VLOOKUP($I44,[1]RESUMO!$A$5:$M$150,3,FALSE),"")</f>
        <v>42800.44</v>
      </c>
      <c r="U44" s="46">
        <f t="shared" si="22"/>
        <v>0.14228071318519442</v>
      </c>
      <c r="V44" s="6">
        <v>-37469.283606000005</v>
      </c>
      <c r="W44" s="15">
        <v>-1.3379838357304415E-2</v>
      </c>
      <c r="X44" s="6">
        <f>IFERROR(VLOOKUP($I44,[1]RESUMO!$A$5:$M$150,4,FALSE),"")</f>
        <v>44918.66</v>
      </c>
      <c r="Y44" s="46">
        <f t="shared" si="23"/>
        <v>0.19881288557134624</v>
      </c>
      <c r="Z44" s="6">
        <v>-37469.283606000005</v>
      </c>
      <c r="AA44" s="15">
        <v>-1.5316654946162874E-2</v>
      </c>
      <c r="AB44" s="6">
        <f>IFERROR(VLOOKUP($I44,[1]RESUMO!$A$5:$M$150,5,FALSE),"")</f>
        <v>0</v>
      </c>
      <c r="AC44" s="46">
        <f t="shared" si="24"/>
        <v>-1</v>
      </c>
      <c r="AD44" s="6">
        <v>-39904.787040390001</v>
      </c>
      <c r="AE44" s="15">
        <v>-1.5570381118129853E-2</v>
      </c>
      <c r="AF44" s="6">
        <v>-39904.787040390001</v>
      </c>
      <c r="AG44" s="15">
        <v>-1.7993840713294022E-2</v>
      </c>
      <c r="AH44" s="6">
        <v>-39904.787040390001</v>
      </c>
      <c r="AI44" s="15">
        <v>-1.776570642890463E-2</v>
      </c>
      <c r="AJ44" s="6">
        <v>-39904.787040390001</v>
      </c>
      <c r="AK44" s="15">
        <v>-1.4828509122641291E-2</v>
      </c>
      <c r="AL44" s="6">
        <v>-39904.787040390001</v>
      </c>
      <c r="AM44" s="15">
        <v>-1.3393529557589172E-2</v>
      </c>
      <c r="AN44" s="6">
        <v>-39904.787040390001</v>
      </c>
      <c r="AO44" s="15">
        <v>-1.3250517133079951E-2</v>
      </c>
      <c r="AP44" s="6">
        <v>-39904.787040390001</v>
      </c>
      <c r="AQ44" s="15">
        <v>-1.4571387170388169E-2</v>
      </c>
      <c r="AR44" s="6">
        <v>-39904.787040390001</v>
      </c>
      <c r="AS44" s="15">
        <v>-1.6244762869742448E-2</v>
      </c>
      <c r="AU44" s="6">
        <v>-469115.43074712012</v>
      </c>
      <c r="AV44" s="15">
        <v>-1.5637181024904002E-2</v>
      </c>
      <c r="AW44" s="6">
        <v>-39092.952562260012</v>
      </c>
    </row>
    <row r="45" spans="2:49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IFERROR(VLOOKUP($I45,[1]RESUMO!$A$5:$M$150,2,FALSE),"")</f>
        <v>2775.23</v>
      </c>
      <c r="Q45" s="46">
        <f t="shared" si="12"/>
        <v>-0.8800117811892173</v>
      </c>
      <c r="R45" s="6">
        <v>-23129.187411111114</v>
      </c>
      <c r="S45" s="15">
        <v>-1.0390526474252168E-2</v>
      </c>
      <c r="T45" s="6">
        <f>IFERROR(VLOOKUP($I45,[1]RESUMO!$A$5:$M$150,3,FALSE),"")</f>
        <v>5329.74</v>
      </c>
      <c r="U45" s="46">
        <f t="shared" si="22"/>
        <v>-0.7695664830213782</v>
      </c>
      <c r="V45" s="6">
        <v>-23129.187411111114</v>
      </c>
      <c r="W45" s="15">
        <v>-8.2591594798175402E-3</v>
      </c>
      <c r="X45" s="6">
        <f>IFERROR(VLOOKUP($I45,[1]RESUMO!$A$5:$M$150,4,FALSE),"")</f>
        <v>5620.32</v>
      </c>
      <c r="Y45" s="46">
        <f t="shared" si="23"/>
        <v>-0.7570031363358648</v>
      </c>
      <c r="Z45" s="6">
        <v>-23129.187411111114</v>
      </c>
      <c r="AA45" s="15">
        <v>-9.4547252754091822E-3</v>
      </c>
      <c r="AB45" s="6">
        <f>IFERROR(VLOOKUP($I45,[1]RESUMO!$A$5:$M$150,5,FALSE),"")</f>
        <v>15924.140000000001</v>
      </c>
      <c r="AC45" s="46">
        <f t="shared" si="24"/>
        <v>-0.31151320982637953</v>
      </c>
      <c r="AD45" s="6">
        <v>-24632.584592833333</v>
      </c>
      <c r="AE45" s="15">
        <v>-9.6113463692159579E-3</v>
      </c>
      <c r="AF45" s="6">
        <v>-24632.584592833333</v>
      </c>
      <c r="AG45" s="15">
        <v>-1.1107309082280258E-2</v>
      </c>
      <c r="AH45" s="6">
        <v>-24632.584592833333</v>
      </c>
      <c r="AI45" s="15">
        <v>-1.0966485449941129E-2</v>
      </c>
      <c r="AJ45" s="6">
        <v>-24632.584592833333</v>
      </c>
      <c r="AK45" s="15">
        <v>-9.1534006929884504E-3</v>
      </c>
      <c r="AL45" s="6">
        <v>-24632.584592833333</v>
      </c>
      <c r="AM45" s="15">
        <v>-8.2676108380180073E-3</v>
      </c>
      <c r="AN45" s="6">
        <v>-24632.584592833333</v>
      </c>
      <c r="AO45" s="15">
        <v>-8.1793315636295993E-3</v>
      </c>
      <c r="AP45" s="6">
        <v>-24632.584592833333</v>
      </c>
      <c r="AQ45" s="15">
        <v>-8.994683438511215E-3</v>
      </c>
      <c r="AR45" s="6">
        <v>-24632.584592833333</v>
      </c>
      <c r="AS45" s="15">
        <v>-1.0027631401075585E-2</v>
      </c>
      <c r="AU45" s="6">
        <v>-289577.42638711113</v>
      </c>
      <c r="AV45" s="15">
        <v>-9.6525808795703705E-3</v>
      </c>
      <c r="AW45" s="6">
        <v>-24131.452198925926</v>
      </c>
    </row>
    <row r="46" spans="2:49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65780.3</v>
      </c>
      <c r="U46" s="45">
        <f>(T46*-1)/R46-1</f>
        <v>-0.30159412909028227</v>
      </c>
      <c r="V46" s="8">
        <v>-94186.350287000037</v>
      </c>
      <c r="W46" s="15">
        <v>-3.3632832577100986E-2</v>
      </c>
      <c r="X46" s="8">
        <f>SUM(X47:X62)</f>
        <v>107487.2</v>
      </c>
      <c r="Y46" s="45">
        <f>(X46*-1)/V46-1</f>
        <v>0.14121844271988726</v>
      </c>
      <c r="Z46" s="6">
        <v>-94186.350287000037</v>
      </c>
      <c r="AA46" s="15">
        <v>-3.8501398723123699E-2</v>
      </c>
      <c r="AB46" s="8">
        <f>SUM(AB47:AB62)</f>
        <v>19725.310000000001</v>
      </c>
      <c r="AC46" s="45">
        <f>(AB46*-1)/Z46-1</f>
        <v>-0.79057145817951324</v>
      </c>
      <c r="AD46" s="6">
        <v>-98152.945741488365</v>
      </c>
      <c r="AE46" s="15">
        <v>-3.8298131287237115E-2</v>
      </c>
      <c r="AF46" s="6">
        <v>-98152.945741488365</v>
      </c>
      <c r="AG46" s="15">
        <v>-4.4259062689027975E-2</v>
      </c>
      <c r="AH46" s="6">
        <v>-98152.945741488365</v>
      </c>
      <c r="AI46" s="15">
        <v>-4.3697925700255665E-2</v>
      </c>
      <c r="AJ46" s="6">
        <v>-98152.945741488365</v>
      </c>
      <c r="AK46" s="15">
        <v>-3.6473364708565333E-2</v>
      </c>
      <c r="AL46" s="6">
        <v>-98152.945741488365</v>
      </c>
      <c r="AM46" s="15">
        <v>-3.2943776360025968E-2</v>
      </c>
      <c r="AN46" s="6">
        <v>-98152.945741488365</v>
      </c>
      <c r="AO46" s="15">
        <v>-3.2592011777771601E-2</v>
      </c>
      <c r="AP46" s="6">
        <v>-98152.945741488365</v>
      </c>
      <c r="AQ46" s="15">
        <v>-3.5840927377101761E-2</v>
      </c>
      <c r="AR46" s="6">
        <v>-98152.945741488365</v>
      </c>
      <c r="AS46" s="15">
        <v>-3.9956893565759828E-2</v>
      </c>
      <c r="AU46" s="6">
        <v>-1161968.9670799072</v>
      </c>
      <c r="AV46" s="15">
        <v>-3.8732298902663574E-2</v>
      </c>
      <c r="AW46" s="6">
        <v>-96830.747256658913</v>
      </c>
    </row>
    <row r="47" spans="2:49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IFERROR(VLOOKUP($I47,[1]RESUMO!$A$5:$M$150,2,FALSE),"")</f>
        <v>2679.9199999999996</v>
      </c>
      <c r="Q47" s="46">
        <f t="shared" si="12"/>
        <v>-0.7702925714285721</v>
      </c>
      <c r="R47" s="6">
        <v>-11666.666666666701</v>
      </c>
      <c r="S47" s="15">
        <v>-5.2411183632002992E-3</v>
      </c>
      <c r="T47" s="6">
        <f>IFERROR(VLOOKUP($I47,[1]RESUMO!$A$5:$M$150,3,FALSE),"")</f>
        <v>9080.0500000000011</v>
      </c>
      <c r="U47" s="46">
        <f t="shared" ref="U47:U62" si="25">IFERROR((T47*-1)/R47-1,"")</f>
        <v>-0.22171000000000218</v>
      </c>
      <c r="V47" s="6">
        <v>-11666.666666666701</v>
      </c>
      <c r="W47" s="15">
        <v>-4.1660287880058581E-3</v>
      </c>
      <c r="X47" s="6">
        <f>IFERROR(VLOOKUP($I47,[1]RESUMO!$A$5:$M$150,4,FALSE),"")</f>
        <v>50727.39</v>
      </c>
      <c r="Y47" s="46">
        <f t="shared" ref="Y47:Y62" si="26">IFERROR((X47*-1)/V47-1,"")</f>
        <v>3.3480619999999872</v>
      </c>
      <c r="Z47" s="6">
        <v>-11666.666666666701</v>
      </c>
      <c r="AA47" s="15">
        <v>-4.7690879170323797E-3</v>
      </c>
      <c r="AB47" s="6">
        <f>IFERROR(VLOOKUP($I47,[1]RESUMO!$A$5:$M$150,5,FALSE),"")</f>
        <v>5803.26</v>
      </c>
      <c r="AC47" s="46">
        <f t="shared" ref="AC47:AC62" si="27">IFERROR((AB47*-1)/Z47-1,"")</f>
        <v>-0.50257771428571574</v>
      </c>
      <c r="AD47" s="6">
        <v>-11666.666666666701</v>
      </c>
      <c r="AE47" s="15">
        <v>-4.5521968628555488E-3</v>
      </c>
      <c r="AF47" s="6">
        <v>-11666.666666666701</v>
      </c>
      <c r="AG47" s="15">
        <v>-5.2607257731413729E-3</v>
      </c>
      <c r="AH47" s="6">
        <v>-11666.666666666701</v>
      </c>
      <c r="AI47" s="15">
        <v>-5.1940278441807292E-3</v>
      </c>
      <c r="AJ47" s="6">
        <v>-11666.666666666701</v>
      </c>
      <c r="AK47" s="15">
        <v>-4.3353012490050229E-3</v>
      </c>
      <c r="AL47" s="6">
        <v>-11666.666666666701</v>
      </c>
      <c r="AM47" s="15">
        <v>-3.9157669148912628E-3</v>
      </c>
      <c r="AN47" s="6">
        <v>-11666.666666666701</v>
      </c>
      <c r="AO47" s="15">
        <v>-3.8739554328690146E-3</v>
      </c>
      <c r="AP47" s="6">
        <v>-11666.666666666701</v>
      </c>
      <c r="AQ47" s="15">
        <v>-4.2601284105537483E-3</v>
      </c>
      <c r="AR47" s="6">
        <v>-11666.666666666701</v>
      </c>
      <c r="AS47" s="15">
        <v>-4.7493608545887602E-3</v>
      </c>
      <c r="AU47" s="6">
        <v>-140000.00000000041</v>
      </c>
      <c r="AV47" s="15">
        <v>-4.6666666666666801E-3</v>
      </c>
      <c r="AW47" s="6">
        <v>-11666.666666666701</v>
      </c>
    </row>
    <row r="48" spans="2:49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IFERROR(VLOOKUP($I48,[1]RESUMO!$A$5:$M$150,2,FALSE),"")</f>
        <v>36962.579999999994</v>
      </c>
      <c r="Q48" s="46">
        <f t="shared" si="12"/>
        <v>-0.11904269448182936</v>
      </c>
      <c r="R48" s="6">
        <v>-41957.288700000005</v>
      </c>
      <c r="S48" s="15">
        <v>-1.8848838537914209E-2</v>
      </c>
      <c r="T48" s="6">
        <f>IFERROR(VLOOKUP($I48,[1]RESUMO!$A$5:$M$150,3,FALSE),"")</f>
        <v>30986.82</v>
      </c>
      <c r="U48" s="46">
        <f t="shared" si="25"/>
        <v>-0.26146753138507739</v>
      </c>
      <c r="V48" s="6">
        <v>-41957.288700000005</v>
      </c>
      <c r="W48" s="15">
        <v>-1.498245193636049E-2</v>
      </c>
      <c r="X48" s="6">
        <f>IFERROR(VLOOKUP($I48,[1]RESUMO!$A$5:$M$150,4,FALSE),"")</f>
        <v>28474.9</v>
      </c>
      <c r="Y48" s="46">
        <f t="shared" si="26"/>
        <v>-0.3213360328499969</v>
      </c>
      <c r="Z48" s="6">
        <v>-41957.288700000005</v>
      </c>
      <c r="AA48" s="15">
        <v>-1.7151257020337884E-2</v>
      </c>
      <c r="AB48" s="6">
        <f>IFERROR(VLOOKUP($I48,[1]RESUMO!$A$5:$M$150,5,FALSE),"")</f>
        <v>595.26</v>
      </c>
      <c r="AC48" s="46">
        <f t="shared" si="27"/>
        <v>-0.98581271530064329</v>
      </c>
      <c r="AD48" s="6">
        <v>-44684.512465500004</v>
      </c>
      <c r="AE48" s="15">
        <v>-1.7435374068315274E-2</v>
      </c>
      <c r="AF48" s="6">
        <v>-44684.512465500004</v>
      </c>
      <c r="AG48" s="15">
        <v>-2.0149111404643896E-2</v>
      </c>
      <c r="AH48" s="6">
        <v>-44684.512465500004</v>
      </c>
      <c r="AI48" s="15">
        <v>-1.9893651595666903E-2</v>
      </c>
      <c r="AJ48" s="6">
        <v>-44684.512465500004</v>
      </c>
      <c r="AK48" s="15">
        <v>-1.6604641945959609E-2</v>
      </c>
      <c r="AL48" s="6">
        <v>-44684.512465500004</v>
      </c>
      <c r="AM48" s="15">
        <v>-1.4997783044610052E-2</v>
      </c>
      <c r="AN48" s="6">
        <v>-44684.512465500004</v>
      </c>
      <c r="AO48" s="15">
        <v>-1.4837640842642266E-2</v>
      </c>
      <c r="AP48" s="6">
        <v>-44684.512465500004</v>
      </c>
      <c r="AQ48" s="15">
        <v>-1.6316722377087353E-2</v>
      </c>
      <c r="AR48" s="6">
        <v>-44684.512465500004</v>
      </c>
      <c r="AS48" s="15">
        <v>-1.8190532083716734E-2</v>
      </c>
      <c r="AU48" s="6">
        <v>-525305.25452399999</v>
      </c>
      <c r="AV48" s="15">
        <v>-1.75101751508E-2</v>
      </c>
      <c r="AW48" s="6">
        <v>-43775.437876999997</v>
      </c>
    </row>
    <row r="49" spans="2:49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IFERROR(VLOOKUP($I49,[1]RESUMO!$A$5:$M$150,2,FALSE),"")</f>
        <v>230</v>
      </c>
      <c r="Q49" s="46">
        <f t="shared" si="12"/>
        <v>7.117647058823529</v>
      </c>
      <c r="R49" s="6">
        <v>-28.333333333333332</v>
      </c>
      <c r="S49" s="15">
        <v>-1.2728430310629261E-5</v>
      </c>
      <c r="T49" s="6">
        <f>IFERROR(VLOOKUP($I49,[1]RESUMO!$A$5:$M$150,3,FALSE),"")</f>
        <v>0</v>
      </c>
      <c r="U49" s="46">
        <f t="shared" si="25"/>
        <v>-1</v>
      </c>
      <c r="V49" s="6">
        <v>-28.333333333333332</v>
      </c>
      <c r="W49" s="15">
        <v>-1.0117498485157054E-5</v>
      </c>
      <c r="X49" s="6">
        <f>IFERROR(VLOOKUP($I49,[1]RESUMO!$A$5:$M$150,4,FALSE),"")</f>
        <v>0</v>
      </c>
      <c r="Y49" s="46">
        <f t="shared" si="26"/>
        <v>-1</v>
      </c>
      <c r="Z49" s="6">
        <v>-28.333333333333332</v>
      </c>
      <c r="AA49" s="15">
        <v>-1.1582070655650032E-5</v>
      </c>
      <c r="AB49" s="6">
        <f>IFERROR(VLOOKUP($I49,[1]RESUMO!$A$5:$M$150,5,FALSE),"")</f>
        <v>0</v>
      </c>
      <c r="AC49" s="46">
        <f t="shared" si="27"/>
        <v>-1</v>
      </c>
      <c r="AD49" s="6">
        <v>-28.333333333333332</v>
      </c>
      <c r="AE49" s="15">
        <v>-1.1055335238363445E-5</v>
      </c>
      <c r="AF49" s="6">
        <v>-28.333333333333332</v>
      </c>
      <c r="AG49" s="15">
        <v>-1.2776048306200439E-5</v>
      </c>
      <c r="AH49" s="6">
        <v>-28.333333333333332</v>
      </c>
      <c r="AI49" s="15">
        <v>-1.2614067621581733E-5</v>
      </c>
      <c r="AJ49" s="6">
        <v>-28.333333333333332</v>
      </c>
      <c r="AK49" s="15">
        <v>-1.0528588747583597E-5</v>
      </c>
      <c r="AL49" s="6">
        <v>-28.333333333333332</v>
      </c>
      <c r="AM49" s="15">
        <v>-9.5097196504501816E-6</v>
      </c>
      <c r="AN49" s="6">
        <v>-28.333333333333332</v>
      </c>
      <c r="AO49" s="15">
        <v>-9.4081774798247214E-6</v>
      </c>
      <c r="AP49" s="6">
        <v>-28.333333333333332</v>
      </c>
      <c r="AQ49" s="15">
        <v>-1.0346026139916214E-5</v>
      </c>
      <c r="AR49" s="6">
        <v>-28.333333333333332</v>
      </c>
      <c r="AS49" s="15">
        <v>-1.1534162075429812E-5</v>
      </c>
      <c r="AU49" s="6">
        <v>-340</v>
      </c>
      <c r="AV49" s="15">
        <v>-1.1333333333333334E-5</v>
      </c>
      <c r="AW49" s="6">
        <v>-28.333333333333332</v>
      </c>
    </row>
    <row r="50" spans="2:49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IFERROR(VLOOKUP($I50,[1]RESUMO!$A$5:$M$150,2,FALSE),"")</f>
        <v/>
      </c>
      <c r="Q50" s="46" t="str">
        <f t="shared" si="12"/>
        <v/>
      </c>
      <c r="R50" s="6">
        <v>-3496.4407250000004</v>
      </c>
      <c r="S50" s="15">
        <v>-1.5707365448261843E-3</v>
      </c>
      <c r="T50" s="6" t="str">
        <f>IFERROR(VLOOKUP($I50,[1]RESUMO!$A$5:$M$150,3,FALSE),"")</f>
        <v/>
      </c>
      <c r="U50" s="46" t="str">
        <f t="shared" si="25"/>
        <v/>
      </c>
      <c r="V50" s="6">
        <v>-3496.4407250000004</v>
      </c>
      <c r="W50" s="15">
        <v>-1.2485376613633741E-3</v>
      </c>
      <c r="X50" s="6" t="str">
        <f>IFERROR(VLOOKUP($I50,[1]RESUMO!$A$5:$M$150,4,FALSE),"")</f>
        <v/>
      </c>
      <c r="Y50" s="46" t="str">
        <f t="shared" si="26"/>
        <v/>
      </c>
      <c r="Z50" s="6">
        <v>-3496.4407250000004</v>
      </c>
      <c r="AA50" s="15">
        <v>-1.4292714183614904E-3</v>
      </c>
      <c r="AB50" s="6" t="str">
        <f>IFERROR(VLOOKUP($I50,[1]RESUMO!$A$5:$M$150,5,FALSE),"")</f>
        <v/>
      </c>
      <c r="AC50" s="46" t="str">
        <f t="shared" si="27"/>
        <v/>
      </c>
      <c r="AD50" s="6">
        <v>-3723.7093721250003</v>
      </c>
      <c r="AE50" s="15">
        <v>-1.4529478390262729E-3</v>
      </c>
      <c r="AF50" s="6">
        <v>-3723.7093721250003</v>
      </c>
      <c r="AG50" s="15">
        <v>-1.679092617053658E-3</v>
      </c>
      <c r="AH50" s="6">
        <v>-3723.7093721250003</v>
      </c>
      <c r="AI50" s="15">
        <v>-1.6578042996389087E-3</v>
      </c>
      <c r="AJ50" s="6">
        <v>-3723.7093721250003</v>
      </c>
      <c r="AK50" s="15">
        <v>-1.383720162163301E-3</v>
      </c>
      <c r="AL50" s="6">
        <v>-3723.7093721250003</v>
      </c>
      <c r="AM50" s="15">
        <v>-1.2498152537175043E-3</v>
      </c>
      <c r="AN50" s="6">
        <v>-3723.7093721250003</v>
      </c>
      <c r="AO50" s="15">
        <v>-1.2364700702201888E-3</v>
      </c>
      <c r="AP50" s="6">
        <v>-3723.7093721250003</v>
      </c>
      <c r="AQ50" s="15">
        <v>-1.3597268647572794E-3</v>
      </c>
      <c r="AR50" s="6">
        <v>-3723.7093721250003</v>
      </c>
      <c r="AS50" s="15">
        <v>-1.5158776736430611E-3</v>
      </c>
      <c r="AU50" s="6">
        <v>-43775.437876999989</v>
      </c>
      <c r="AV50" s="15">
        <v>-1.4591812625666663E-3</v>
      </c>
      <c r="AW50" s="6">
        <v>-3647.9531564166659</v>
      </c>
    </row>
    <row r="51" spans="2:49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IFERROR(VLOOKUP($I51,[1]RESUMO!$A$5:$M$150,2,FALSE),"")</f>
        <v>3000.69</v>
      </c>
      <c r="Q51" s="46">
        <f t="shared" si="12"/>
        <v>-0.1389219371178767</v>
      </c>
      <c r="R51" s="6">
        <v>-3484.8059999999996</v>
      </c>
      <c r="S51" s="15">
        <v>-1.5655097758963308E-3</v>
      </c>
      <c r="T51" s="6">
        <f>IFERROR(VLOOKUP($I51,[1]RESUMO!$A$5:$M$150,3,FALSE),"")</f>
        <v>2925.69</v>
      </c>
      <c r="U51" s="46">
        <f t="shared" si="25"/>
        <v>-0.16044393862958217</v>
      </c>
      <c r="V51" s="6">
        <v>-3484.8059999999996</v>
      </c>
      <c r="W51" s="15">
        <v>-1.2443830385670427E-3</v>
      </c>
      <c r="X51" s="6">
        <f>IFERROR(VLOOKUP($I51,[1]RESUMO!$A$5:$M$150,4,FALSE),"")</f>
        <v>1589.46</v>
      </c>
      <c r="Y51" s="46">
        <f t="shared" si="26"/>
        <v>-0.54388852636273</v>
      </c>
      <c r="Z51" s="6">
        <v>-3484.8059999999996</v>
      </c>
      <c r="AA51" s="15">
        <v>-1.4245153875258763E-3</v>
      </c>
      <c r="AB51" s="6">
        <f>IFERROR(VLOOKUP($I51,[1]RESUMO!$A$5:$M$150,5,FALSE),"")</f>
        <v>429.46</v>
      </c>
      <c r="AC51" s="46">
        <f t="shared" si="27"/>
        <v>-0.87676214974377342</v>
      </c>
      <c r="AD51" s="6">
        <v>-3484.8059999999996</v>
      </c>
      <c r="AE51" s="15">
        <v>-1.3597305377880127E-3</v>
      </c>
      <c r="AF51" s="6">
        <v>-3484.8059999999996</v>
      </c>
      <c r="AG51" s="15">
        <v>-1.5713664633083689E-3</v>
      </c>
      <c r="AH51" s="6">
        <v>-3484.8059999999996</v>
      </c>
      <c r="AI51" s="15">
        <v>-1.5514439481915442E-3</v>
      </c>
      <c r="AJ51" s="6">
        <v>-3484.8059999999996</v>
      </c>
      <c r="AK51" s="15">
        <v>-1.2949443260862987E-3</v>
      </c>
      <c r="AL51" s="6">
        <v>-3484.8059999999996</v>
      </c>
      <c r="AM51" s="15">
        <v>-1.1696304033955304E-3</v>
      </c>
      <c r="AN51" s="6">
        <v>-3484.8059999999996</v>
      </c>
      <c r="AO51" s="15">
        <v>-1.1571414116738142E-3</v>
      </c>
      <c r="AP51" s="6">
        <v>-3484.8059999999996</v>
      </c>
      <c r="AQ51" s="15">
        <v>-1.2724903753601245E-3</v>
      </c>
      <c r="AR51" s="6">
        <v>-3484.8059999999996</v>
      </c>
      <c r="AS51" s="15">
        <v>-1.418622960191656E-3</v>
      </c>
      <c r="AU51" s="6">
        <v>-41817.671999999991</v>
      </c>
      <c r="AV51" s="15">
        <v>-1.3939223999999996E-3</v>
      </c>
      <c r="AW51" s="6">
        <v>-3484.8059999999991</v>
      </c>
    </row>
    <row r="52" spans="2:49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 t="str">
        <f>IFERROR(VLOOKUP($I52,[1]RESUMO!$A$5:$M$150,2,FALSE),"")</f>
        <v/>
      </c>
      <c r="Q52" s="46" t="str">
        <f t="shared" si="12"/>
        <v/>
      </c>
      <c r="R52" s="6">
        <v>-2841.8077777777767</v>
      </c>
      <c r="S52" s="15">
        <v>-1.2766500796111283E-3</v>
      </c>
      <c r="T52" s="6" t="str">
        <f>IFERROR(VLOOKUP($I52,[1]RESUMO!$A$5:$M$150,3,FALSE),"")</f>
        <v/>
      </c>
      <c r="U52" s="46" t="str">
        <f t="shared" si="25"/>
        <v/>
      </c>
      <c r="V52" s="6">
        <v>-2841.8077777777767</v>
      </c>
      <c r="W52" s="15">
        <v>-1.0147759724743832E-3</v>
      </c>
      <c r="X52" s="6" t="str">
        <f>IFERROR(VLOOKUP($I52,[1]RESUMO!$A$5:$M$150,4,FALSE),"")</f>
        <v/>
      </c>
      <c r="Y52" s="46" t="str">
        <f t="shared" si="26"/>
        <v/>
      </c>
      <c r="Z52" s="6">
        <v>-2841.8077777777767</v>
      </c>
      <c r="AA52" s="15">
        <v>-1.1616712401881651E-3</v>
      </c>
      <c r="AB52" s="6" t="str">
        <f>IFERROR(VLOOKUP($I52,[1]RESUMO!$A$5:$M$150,5,FALSE),"")</f>
        <v/>
      </c>
      <c r="AC52" s="46" t="str">
        <f t="shared" si="27"/>
        <v/>
      </c>
      <c r="AD52" s="6">
        <v>-2841.8077777777767</v>
      </c>
      <c r="AE52" s="15">
        <v>-1.1088401529290106E-3</v>
      </c>
      <c r="AF52" s="6">
        <v>-2841.8077777777767</v>
      </c>
      <c r="AG52" s="15">
        <v>-1.2814261216173529E-3</v>
      </c>
      <c r="AH52" s="6">
        <v>-2841.8077777777767</v>
      </c>
      <c r="AI52" s="15">
        <v>-1.2651796050503221E-3</v>
      </c>
      <c r="AJ52" s="6">
        <v>-2841.8077777777767</v>
      </c>
      <c r="AK52" s="15">
        <v>-1.05600795500847E-3</v>
      </c>
      <c r="AL52" s="6">
        <v>-2841.8077777777767</v>
      </c>
      <c r="AM52" s="15">
        <v>-9.5381630354595835E-4</v>
      </c>
      <c r="AN52" s="6">
        <v>-2841.8077777777767</v>
      </c>
      <c r="AO52" s="15">
        <v>-9.4363171541928057E-4</v>
      </c>
      <c r="AP52" s="6">
        <v>-2841.8077777777767</v>
      </c>
      <c r="AQ52" s="15">
        <v>-1.0376970901237442E-3</v>
      </c>
      <c r="AR52" s="6">
        <v>-2841.8077777777767</v>
      </c>
      <c r="AS52" s="15">
        <v>-1.1568660528037376E-3</v>
      </c>
      <c r="AU52" s="6">
        <v>-34101.693333333322</v>
      </c>
      <c r="AV52" s="15">
        <v>-1.1367231111111106E-3</v>
      </c>
      <c r="AW52" s="6">
        <v>-2841.8077777777767</v>
      </c>
    </row>
    <row r="53" spans="2:49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IFERROR(VLOOKUP($I53,[1]RESUMO!$A$5:$M$150,2,FALSE),"")</f>
        <v>0</v>
      </c>
      <c r="Q53" s="46">
        <f t="shared" si="12"/>
        <v>-1</v>
      </c>
      <c r="R53" s="6">
        <v>-97.555555555555557</v>
      </c>
      <c r="S53" s="15">
        <v>-4.3825732598950946E-5</v>
      </c>
      <c r="T53" s="6">
        <f>IFERROR(VLOOKUP($I53,[1]RESUMO!$A$5:$M$150,3,FALSE),"")</f>
        <v>0</v>
      </c>
      <c r="U53" s="46">
        <f t="shared" si="25"/>
        <v>-1</v>
      </c>
      <c r="V53" s="6">
        <v>-97.555555555555557</v>
      </c>
      <c r="W53" s="15">
        <v>-3.4835935960658404E-5</v>
      </c>
      <c r="X53" s="6">
        <f>IFERROR(VLOOKUP($I53,[1]RESUMO!$A$5:$M$150,4,FALSE),"")</f>
        <v>0</v>
      </c>
      <c r="Y53" s="46">
        <f t="shared" si="26"/>
        <v>-1</v>
      </c>
      <c r="Z53" s="6">
        <v>-97.555555555555557</v>
      </c>
      <c r="AA53" s="15">
        <v>-3.9878658963375403E-5</v>
      </c>
      <c r="AB53" s="6">
        <f>IFERROR(VLOOKUP($I53,[1]RESUMO!$A$5:$M$150,5,FALSE),"")</f>
        <v>225</v>
      </c>
      <c r="AC53" s="46">
        <f t="shared" si="27"/>
        <v>1.3063781321184509</v>
      </c>
      <c r="AD53" s="6">
        <v>-97.555555555555557</v>
      </c>
      <c r="AE53" s="15">
        <v>-3.8065036624639623E-5</v>
      </c>
      <c r="AF53" s="6">
        <v>-97.555555555555557</v>
      </c>
      <c r="AG53" s="15">
        <v>-4.3989687893505824E-5</v>
      </c>
      <c r="AH53" s="6">
        <v>-97.555555555555557</v>
      </c>
      <c r="AI53" s="15">
        <v>-4.3431966163720634E-5</v>
      </c>
      <c r="AJ53" s="6">
        <v>-97.555555555555557</v>
      </c>
      <c r="AK53" s="15">
        <v>-3.6251376158346661E-5</v>
      </c>
      <c r="AL53" s="6">
        <v>-97.555555555555557</v>
      </c>
      <c r="AM53" s="15">
        <v>-3.2743270012138274E-5</v>
      </c>
      <c r="AN53" s="6">
        <v>-97.555555555555557</v>
      </c>
      <c r="AO53" s="15">
        <v>-3.2393646381514143E-5</v>
      </c>
      <c r="AP53" s="6">
        <v>-97.555555555555557</v>
      </c>
      <c r="AQ53" s="15">
        <v>-3.5622788042535048E-5</v>
      </c>
      <c r="AR53" s="6">
        <v>-97.555555555555557</v>
      </c>
      <c r="AS53" s="15">
        <v>-3.9713703145989707E-5</v>
      </c>
      <c r="AU53" s="6">
        <v>-1170.6666666666667</v>
      </c>
      <c r="AV53" s="15">
        <v>-3.9022222222222225E-5</v>
      </c>
      <c r="AW53" s="6">
        <v>-97.555555555555557</v>
      </c>
    </row>
    <row r="54" spans="2:49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IFERROR(VLOOKUP($I54,[1]RESUMO!$A$5:$M$150,2,FALSE),"")</f>
        <v>361.18</v>
      </c>
      <c r="Q54" s="46">
        <f t="shared" si="12"/>
        <v>-0.27033532695817786</v>
      </c>
      <c r="R54" s="6">
        <v>-494.99449999999968</v>
      </c>
      <c r="S54" s="15">
        <v>-2.2237069402569781E-4</v>
      </c>
      <c r="T54" s="6">
        <f>IFERROR(VLOOKUP($I54,[1]RESUMO!$A$5:$M$150,3,FALSE),"")</f>
        <v>243.78000000000003</v>
      </c>
      <c r="U54" s="46">
        <f t="shared" si="25"/>
        <v>-0.50750967940047786</v>
      </c>
      <c r="V54" s="6">
        <v>-494.99449999999968</v>
      </c>
      <c r="W54" s="15">
        <v>-1.7675668602039069E-4</v>
      </c>
      <c r="X54" s="6">
        <f>IFERROR(VLOOKUP($I54,[1]RESUMO!$A$5:$M$150,4,FALSE),"")</f>
        <v>272.03999999999996</v>
      </c>
      <c r="Y54" s="46">
        <f t="shared" si="26"/>
        <v>-0.45041813595908609</v>
      </c>
      <c r="Z54" s="6">
        <v>-494.99449999999968</v>
      </c>
      <c r="AA54" s="15">
        <v>-2.0234333905264079E-4</v>
      </c>
      <c r="AB54" s="6">
        <f>IFERROR(VLOOKUP($I54,[1]RESUMO!$A$5:$M$150,5,FALSE),"")</f>
        <v>276.27999999999997</v>
      </c>
      <c r="AC54" s="46">
        <f t="shared" si="27"/>
        <v>-0.44185238421841022</v>
      </c>
      <c r="AD54" s="6">
        <v>-494.99449999999968</v>
      </c>
      <c r="AE54" s="15">
        <v>-1.9314106371692084E-4</v>
      </c>
      <c r="AF54" s="6">
        <v>-494.99449999999968</v>
      </c>
      <c r="AG54" s="15">
        <v>-2.2320259917541868E-4</v>
      </c>
      <c r="AH54" s="6">
        <v>-494.99449999999968</v>
      </c>
      <c r="AI54" s="15">
        <v>-2.2037273277568359E-4</v>
      </c>
      <c r="AJ54" s="6">
        <v>-494.99449999999968</v>
      </c>
      <c r="AK54" s="15">
        <v>-1.8393859492290936E-4</v>
      </c>
      <c r="AL54" s="6">
        <v>-494.99449999999968</v>
      </c>
      <c r="AM54" s="15">
        <v>-1.6613855024169739E-4</v>
      </c>
      <c r="AN54" s="6">
        <v>-494.99449999999968</v>
      </c>
      <c r="AO54" s="15">
        <v>-1.6436456850130925E-4</v>
      </c>
      <c r="AP54" s="6">
        <v>-494.99449999999968</v>
      </c>
      <c r="AQ54" s="15">
        <v>-1.8074915421581483E-4</v>
      </c>
      <c r="AR54" s="6">
        <v>-494.99449999999968</v>
      </c>
      <c r="AS54" s="15">
        <v>-2.0150635727457665E-4</v>
      </c>
      <c r="AU54" s="6">
        <v>-5939.9339999999966</v>
      </c>
      <c r="AV54" s="15">
        <v>-1.9799779999999989E-4</v>
      </c>
      <c r="AW54" s="6">
        <v>-494.99449999999973</v>
      </c>
    </row>
    <row r="55" spans="2:49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IFERROR(VLOOKUP($I55,[1]RESUMO!$A$5:$M$150,2,FALSE),"")</f>
        <v>6497.95</v>
      </c>
      <c r="Q55" s="46">
        <f t="shared" si="12"/>
        <v>0.93588235838508771</v>
      </c>
      <c r="R55" s="6">
        <v>-3356.5830960000003</v>
      </c>
      <c r="S55" s="15">
        <v>-1.5079070830331367E-3</v>
      </c>
      <c r="T55" s="6">
        <f>IFERROR(VLOOKUP($I55,[1]RESUMO!$A$5:$M$150,3,FALSE),"")</f>
        <v>5251.66</v>
      </c>
      <c r="U55" s="46">
        <f t="shared" si="25"/>
        <v>0.56458513011590261</v>
      </c>
      <c r="V55" s="6">
        <v>-3356.5830960000003</v>
      </c>
      <c r="W55" s="15">
        <v>-1.1985961549088391E-3</v>
      </c>
      <c r="X55" s="6">
        <f>IFERROR(VLOOKUP($I55,[1]RESUMO!$A$5:$M$150,4,FALSE),"")</f>
        <v>5035.68</v>
      </c>
      <c r="Y55" s="46">
        <f t="shared" si="26"/>
        <v>0.5002399332824381</v>
      </c>
      <c r="Z55" s="6">
        <v>-3356.5830960000003</v>
      </c>
      <c r="AA55" s="15">
        <v>-1.3721005616270307E-3</v>
      </c>
      <c r="AB55" s="6">
        <f>IFERROR(VLOOKUP($I55,[1]RESUMO!$A$5:$M$150,5,FALSE),"")</f>
        <v>0</v>
      </c>
      <c r="AC55" s="46">
        <f t="shared" si="27"/>
        <v>-1</v>
      </c>
      <c r="AD55" s="6">
        <v>-3574.7609972400005</v>
      </c>
      <c r="AE55" s="15">
        <v>-1.394829925465222E-3</v>
      </c>
      <c r="AF55" s="6">
        <v>-3574.7609972400005</v>
      </c>
      <c r="AG55" s="15">
        <v>-1.6119289123715118E-3</v>
      </c>
      <c r="AH55" s="6">
        <v>-3574.7609972400005</v>
      </c>
      <c r="AI55" s="15">
        <v>-1.5914921276533524E-3</v>
      </c>
      <c r="AJ55" s="6">
        <v>-3574.7609972400005</v>
      </c>
      <c r="AK55" s="15">
        <v>-1.3283713556767689E-3</v>
      </c>
      <c r="AL55" s="6">
        <v>-3574.7609972400005</v>
      </c>
      <c r="AM55" s="15">
        <v>-1.1998226435688043E-3</v>
      </c>
      <c r="AN55" s="6">
        <v>-3574.7609972400005</v>
      </c>
      <c r="AO55" s="15">
        <v>-1.1870112674113814E-3</v>
      </c>
      <c r="AP55" s="6">
        <v>-3574.7609972400005</v>
      </c>
      <c r="AQ55" s="15">
        <v>-1.3053377901669882E-3</v>
      </c>
      <c r="AR55" s="6">
        <v>-3574.7609972400005</v>
      </c>
      <c r="AS55" s="15">
        <v>-1.4552425666973388E-3</v>
      </c>
      <c r="AU55" s="6">
        <v>-42024.42036192002</v>
      </c>
      <c r="AV55" s="15">
        <v>-1.4008140120640006E-3</v>
      </c>
      <c r="AW55" s="6">
        <v>-3502.0350301600015</v>
      </c>
    </row>
    <row r="56" spans="2:49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IFERROR(VLOOKUP($I56,[1]RESUMO!$A$5:$M$150,2,FALSE),"")</f>
        <v>8026.6100000000006</v>
      </c>
      <c r="Q56" s="46">
        <f t="shared" si="12"/>
        <v>6.2801700477318478E-2</v>
      </c>
      <c r="R56" s="6">
        <v>-7552.3119660000002</v>
      </c>
      <c r="S56" s="15">
        <v>-3.3927909368245577E-3</v>
      </c>
      <c r="T56" s="6">
        <f>IFERROR(VLOOKUP($I56,[1]RESUMO!$A$5:$M$150,3,FALSE),"")</f>
        <v>8297.76</v>
      </c>
      <c r="U56" s="46">
        <f t="shared" si="25"/>
        <v>9.8704613548269204E-2</v>
      </c>
      <c r="V56" s="6">
        <v>-7552.3119660000002</v>
      </c>
      <c r="W56" s="15">
        <v>-2.696841348544888E-3</v>
      </c>
      <c r="X56" s="6">
        <f>IFERROR(VLOOKUP($I56,[1]RESUMO!$A$5:$M$150,4,FALSE),"")</f>
        <v>8006.02</v>
      </c>
      <c r="Y56" s="46">
        <f t="shared" si="26"/>
        <v>6.0075383014176698E-2</v>
      </c>
      <c r="Z56" s="6">
        <v>-7552.3119660000002</v>
      </c>
      <c r="AA56" s="15">
        <v>-3.0872262636608191E-3</v>
      </c>
      <c r="AB56" s="6">
        <f>IFERROR(VLOOKUP($I56,[1]RESUMO!$A$5:$M$150,5,FALSE),"")</f>
        <v>0</v>
      </c>
      <c r="AC56" s="46">
        <f t="shared" si="27"/>
        <v>-1</v>
      </c>
      <c r="AD56" s="6">
        <v>-8043.2122437900007</v>
      </c>
      <c r="AE56" s="15">
        <v>-3.1383673322967496E-3</v>
      </c>
      <c r="AF56" s="6">
        <v>-8043.2122437900007</v>
      </c>
      <c r="AG56" s="15">
        <v>-3.6268400528359011E-3</v>
      </c>
      <c r="AH56" s="6">
        <v>-8043.2122437900007</v>
      </c>
      <c r="AI56" s="15">
        <v>-3.5808572872200427E-3</v>
      </c>
      <c r="AJ56" s="6">
        <v>-8043.2122437900007</v>
      </c>
      <c r="AK56" s="15">
        <v>-2.9888355502727297E-3</v>
      </c>
      <c r="AL56" s="6">
        <v>-8043.2122437900007</v>
      </c>
      <c r="AM56" s="15">
        <v>-2.6996009480298095E-3</v>
      </c>
      <c r="AN56" s="6">
        <v>-8043.2122437900007</v>
      </c>
      <c r="AO56" s="15">
        <v>-2.6707753516756077E-3</v>
      </c>
      <c r="AP56" s="6">
        <v>-8043.2122437900007</v>
      </c>
      <c r="AQ56" s="15">
        <v>-2.9370100278757233E-3</v>
      </c>
      <c r="AR56" s="6">
        <v>-8043.2122437900007</v>
      </c>
      <c r="AS56" s="15">
        <v>-3.2742957750690124E-3</v>
      </c>
      <c r="AU56" s="6">
        <v>-94554.945814320003</v>
      </c>
      <c r="AV56" s="15">
        <v>-3.1518315271440002E-3</v>
      </c>
      <c r="AW56" s="6">
        <v>-7879.5788178600005</v>
      </c>
    </row>
    <row r="57" spans="2:49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IFERROR(VLOOKUP($I57,[1]RESUMO!$A$5:$M$150,2,FALSE),"")</f>
        <v>0</v>
      </c>
      <c r="Q57" s="46">
        <f t="shared" si="12"/>
        <v>-1</v>
      </c>
      <c r="R57" s="6">
        <v>-4661.9209666666666</v>
      </c>
      <c r="S57" s="15">
        <v>-2.0943153931015784E-3</v>
      </c>
      <c r="T57" s="6">
        <f>IFERROR(VLOOKUP($I57,[1]RESUMO!$A$5:$M$150,3,FALSE),"")</f>
        <v>0</v>
      </c>
      <c r="U57" s="46">
        <f t="shared" si="25"/>
        <v>-1</v>
      </c>
      <c r="V57" s="6">
        <v>-4661.9209666666666</v>
      </c>
      <c r="W57" s="15">
        <v>-1.664716881817832E-3</v>
      </c>
      <c r="X57" s="6">
        <f>IFERROR(VLOOKUP($I57,[1]RESUMO!$A$5:$M$150,4,FALSE),"")</f>
        <v>1458.08</v>
      </c>
      <c r="Y57" s="46">
        <f t="shared" si="26"/>
        <v>-0.68723622506141591</v>
      </c>
      <c r="Z57" s="6">
        <v>-4661.9209666666666</v>
      </c>
      <c r="AA57" s="15">
        <v>-1.9056952244819868E-3</v>
      </c>
      <c r="AB57" s="6">
        <f>IFERROR(VLOOKUP($I57,[1]RESUMO!$A$5:$M$150,5,FALSE),"")</f>
        <v>1316.22</v>
      </c>
      <c r="AC57" s="46">
        <f t="shared" si="27"/>
        <v>-0.71766574135187144</v>
      </c>
      <c r="AD57" s="6">
        <v>-4964.9458295000004</v>
      </c>
      <c r="AE57" s="15">
        <v>-1.9372637853683639E-3</v>
      </c>
      <c r="AF57" s="6">
        <v>-4964.9458295000004</v>
      </c>
      <c r="AG57" s="15">
        <v>-2.2387901560715442E-3</v>
      </c>
      <c r="AH57" s="6">
        <v>-4964.9458295000004</v>
      </c>
      <c r="AI57" s="15">
        <v>-2.2104057328518781E-3</v>
      </c>
      <c r="AJ57" s="6">
        <v>-4964.9458295000004</v>
      </c>
      <c r="AK57" s="15">
        <v>-1.8449602162177346E-3</v>
      </c>
      <c r="AL57" s="6">
        <v>-4964.9458295000004</v>
      </c>
      <c r="AM57" s="15">
        <v>-1.6664203382900059E-3</v>
      </c>
      <c r="AN57" s="6">
        <v>-4964.9458295000004</v>
      </c>
      <c r="AO57" s="15">
        <v>-1.6486267602935851E-3</v>
      </c>
      <c r="AP57" s="6">
        <v>-4964.9458295000004</v>
      </c>
      <c r="AQ57" s="15">
        <v>-1.8129691530097058E-3</v>
      </c>
      <c r="AR57" s="6">
        <v>-4964.9458295000004</v>
      </c>
      <c r="AS57" s="15">
        <v>-2.0211702315240817E-3</v>
      </c>
      <c r="AU57" s="6">
        <v>-58367.250502666669</v>
      </c>
      <c r="AV57" s="15">
        <v>-1.9455750167555557E-3</v>
      </c>
      <c r="AW57" s="6">
        <v>-4863.9375418888894</v>
      </c>
    </row>
    <row r="58" spans="2:49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IFERROR(VLOOKUP($I58,[1]RESUMO!$A$5:$M$150,2,FALSE),"")</f>
        <v>2316.15</v>
      </c>
      <c r="Q58" s="46">
        <f t="shared" si="12"/>
        <v>-3.4835353408235736E-2</v>
      </c>
      <c r="R58" s="6">
        <v>-2399.7460000000001</v>
      </c>
      <c r="S58" s="15">
        <v>-1.0780588137956938E-3</v>
      </c>
      <c r="T58" s="6">
        <f>IFERROR(VLOOKUP($I58,[1]RESUMO!$A$5:$M$150,3,FALSE),"")</f>
        <v>2405.31</v>
      </c>
      <c r="U58" s="46">
        <f t="shared" si="25"/>
        <v>2.3185787162474103E-3</v>
      </c>
      <c r="V58" s="6">
        <v>-2399.7460000000001</v>
      </c>
      <c r="W58" s="15">
        <v>-8.5692093599158941E-4</v>
      </c>
      <c r="X58" s="6">
        <f>IFERROR(VLOOKUP($I58,[1]RESUMO!$A$5:$M$150,4,FALSE),"")</f>
        <v>2405.31</v>
      </c>
      <c r="Y58" s="46">
        <f t="shared" si="26"/>
        <v>2.3185787162474103E-3</v>
      </c>
      <c r="Z58" s="6">
        <v>-2399.7460000000001</v>
      </c>
      <c r="AA58" s="15">
        <v>-9.8096568450400739E-4</v>
      </c>
      <c r="AB58" s="6">
        <f>IFERROR(VLOOKUP($I58,[1]RESUMO!$A$5:$M$150,5,FALSE),"")</f>
        <v>0</v>
      </c>
      <c r="AC58" s="46">
        <f t="shared" si="27"/>
        <v>-1</v>
      </c>
      <c r="AD58" s="6">
        <v>-2399.7460000000001</v>
      </c>
      <c r="AE58" s="15">
        <v>-9.363528182442961E-4</v>
      </c>
      <c r="AF58" s="6">
        <v>-2399.7460000000001</v>
      </c>
      <c r="AG58" s="15">
        <v>-1.082091911245104E-3</v>
      </c>
      <c r="AH58" s="6">
        <v>-2399.7460000000001</v>
      </c>
      <c r="AI58" s="15">
        <v>-1.0683726465395393E-3</v>
      </c>
      <c r="AJ58" s="6">
        <v>-2399.7460000000001</v>
      </c>
      <c r="AK58" s="15">
        <v>-8.9173901409383808E-4</v>
      </c>
      <c r="AL58" s="6">
        <v>-2399.7460000000001</v>
      </c>
      <c r="AM58" s="15">
        <v>-8.0544394208079606E-4</v>
      </c>
      <c r="AN58" s="6">
        <v>-2399.7460000000001</v>
      </c>
      <c r="AO58" s="15">
        <v>-7.9684363321762795E-4</v>
      </c>
      <c r="AP58" s="6">
        <v>-2399.7460000000001</v>
      </c>
      <c r="AQ58" s="15">
        <v>-8.7627652394680158E-4</v>
      </c>
      <c r="AR58" s="6">
        <v>-2399.7460000000001</v>
      </c>
      <c r="AS58" s="15">
        <v>-9.769079754305078E-4</v>
      </c>
      <c r="AU58" s="6">
        <v>-28796.951999999994</v>
      </c>
      <c r="AV58" s="15">
        <v>-9.5989839999999975E-4</v>
      </c>
      <c r="AW58" s="6">
        <v>-2399.7459999999996</v>
      </c>
    </row>
    <row r="59" spans="2:49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IFERROR(VLOOKUP($I59,[1]RESUMO!$A$5:$M$150,2,FALSE),"")</f>
        <v>2934.94</v>
      </c>
      <c r="Q59" s="46">
        <f t="shared" si="12"/>
        <v>0.17397600000000013</v>
      </c>
      <c r="R59" s="6">
        <v>-2500</v>
      </c>
      <c r="S59" s="15">
        <v>-1.1230967921143466E-3</v>
      </c>
      <c r="T59" s="6">
        <f>IFERROR(VLOOKUP($I59,[1]RESUMO!$A$5:$M$150,3,FALSE),"")</f>
        <v>1387.6999999999998</v>
      </c>
      <c r="U59" s="46">
        <f t="shared" si="25"/>
        <v>-0.44492000000000009</v>
      </c>
      <c r="V59" s="6">
        <v>-2500</v>
      </c>
      <c r="W59" s="15">
        <v>-8.927204545726812E-4</v>
      </c>
      <c r="X59" s="6">
        <f>IFERROR(VLOOKUP($I59,[1]RESUMO!$A$5:$M$150,4,FALSE),"")</f>
        <v>705.03</v>
      </c>
      <c r="Y59" s="46">
        <f t="shared" si="26"/>
        <v>-0.71798800000000007</v>
      </c>
      <c r="Z59" s="6">
        <v>-2500</v>
      </c>
      <c r="AA59" s="15">
        <v>-1.0219474107926499E-3</v>
      </c>
      <c r="AB59" s="6">
        <f>IFERROR(VLOOKUP($I59,[1]RESUMO!$A$5:$M$150,5,FALSE),"")</f>
        <v>0</v>
      </c>
      <c r="AC59" s="46">
        <f t="shared" si="27"/>
        <v>-1</v>
      </c>
      <c r="AD59" s="6">
        <v>-2500</v>
      </c>
      <c r="AE59" s="15">
        <v>-9.7547075632618623E-4</v>
      </c>
      <c r="AF59" s="6">
        <v>-2500</v>
      </c>
      <c r="AG59" s="15">
        <v>-1.1272983799588622E-3</v>
      </c>
      <c r="AH59" s="6">
        <v>-2500</v>
      </c>
      <c r="AI59" s="15">
        <v>-1.1130059666101528E-3</v>
      </c>
      <c r="AJ59" s="6">
        <v>-2500</v>
      </c>
      <c r="AK59" s="15">
        <v>-9.2899312478678792E-4</v>
      </c>
      <c r="AL59" s="6">
        <v>-2500</v>
      </c>
      <c r="AM59" s="15">
        <v>-8.390929103338395E-4</v>
      </c>
      <c r="AN59" s="6">
        <v>-2500</v>
      </c>
      <c r="AO59" s="15">
        <v>-8.301333070433578E-4</v>
      </c>
      <c r="AP59" s="6">
        <v>-2500</v>
      </c>
      <c r="AQ59" s="15">
        <v>-9.1288465940437191E-4</v>
      </c>
      <c r="AR59" s="6">
        <v>-2500</v>
      </c>
      <c r="AS59" s="15">
        <v>-1.0177201831261598E-3</v>
      </c>
      <c r="AU59" s="6">
        <v>-30000</v>
      </c>
      <c r="AV59" s="15">
        <v>-1E-3</v>
      </c>
      <c r="AW59" s="6">
        <v>-2500</v>
      </c>
    </row>
    <row r="60" spans="2:49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IFERROR(VLOOKUP($I60,[1]RESUMO!$A$5:$M$150,2,FALSE),"")</f>
        <v>1649.3</v>
      </c>
      <c r="Q60" s="46">
        <f t="shared" si="12"/>
        <v>-0.15420512820512822</v>
      </c>
      <c r="R60" s="6">
        <v>-1950</v>
      </c>
      <c r="S60" s="15">
        <v>-8.7601549784919032E-4</v>
      </c>
      <c r="T60" s="6">
        <f>IFERROR(VLOOKUP($I60,[1]RESUMO!$A$5:$M$150,3,FALSE),"")</f>
        <v>1675.48</v>
      </c>
      <c r="U60" s="46">
        <f t="shared" si="25"/>
        <v>-0.14077948717948718</v>
      </c>
      <c r="V60" s="6">
        <v>-1950</v>
      </c>
      <c r="W60" s="15">
        <v>-6.9632195456669139E-4</v>
      </c>
      <c r="X60" s="6">
        <f>IFERROR(VLOOKUP($I60,[1]RESUMO!$A$5:$M$150,4,FALSE),"")</f>
        <v>2109.6999999999998</v>
      </c>
      <c r="Y60" s="46">
        <f t="shared" si="26"/>
        <v>8.1897435897435811E-2</v>
      </c>
      <c r="Z60" s="6">
        <v>-1950</v>
      </c>
      <c r="AA60" s="15">
        <v>-7.9711898041826695E-4</v>
      </c>
      <c r="AB60" s="6">
        <f>IFERROR(VLOOKUP($I60,[1]RESUMO!$A$5:$M$150,5,FALSE),"")</f>
        <v>2093.6</v>
      </c>
      <c r="AC60" s="46">
        <f t="shared" si="27"/>
        <v>7.3641025641025593E-2</v>
      </c>
      <c r="AD60" s="6">
        <v>-1950</v>
      </c>
      <c r="AE60" s="15">
        <v>-7.6086718993442532E-4</v>
      </c>
      <c r="AF60" s="6">
        <v>-1950</v>
      </c>
      <c r="AG60" s="15">
        <v>-8.7929273636791255E-4</v>
      </c>
      <c r="AH60" s="6">
        <v>-1950</v>
      </c>
      <c r="AI60" s="15">
        <v>-8.6814465395591931E-4</v>
      </c>
      <c r="AJ60" s="6">
        <v>-1950</v>
      </c>
      <c r="AK60" s="15">
        <v>-7.2461463733369455E-4</v>
      </c>
      <c r="AL60" s="6">
        <v>-1950</v>
      </c>
      <c r="AM60" s="15">
        <v>-6.544924700603948E-4</v>
      </c>
      <c r="AN60" s="6">
        <v>-1950</v>
      </c>
      <c r="AO60" s="15">
        <v>-6.4750397949381907E-4</v>
      </c>
      <c r="AP60" s="6">
        <v>-1950</v>
      </c>
      <c r="AQ60" s="15">
        <v>-7.1205003433541005E-4</v>
      </c>
      <c r="AR60" s="6">
        <v>-1950</v>
      </c>
      <c r="AS60" s="15">
        <v>-7.9382174283840472E-4</v>
      </c>
      <c r="AU60" s="6">
        <v>-23400</v>
      </c>
      <c r="AV60" s="15">
        <v>-7.7999999999999999E-4</v>
      </c>
      <c r="AW60" s="6">
        <v>-1950</v>
      </c>
    </row>
    <row r="61" spans="2:49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IFERROR(VLOOKUP($I61,[1]RESUMO!$A$5:$M$150,2,FALSE),"")</f>
        <v>22729.919999999998</v>
      </c>
      <c r="Q61" s="46">
        <f t="shared" si="12"/>
        <v>2.2471314285714281</v>
      </c>
      <c r="R61" s="6">
        <v>-7000</v>
      </c>
      <c r="S61" s="15">
        <v>-3.1446710179201705E-3</v>
      </c>
      <c r="T61" s="6">
        <f>IFERROR(VLOOKUP($I61,[1]RESUMO!$A$5:$M$150,3,FALSE),"")</f>
        <v>3526.05</v>
      </c>
      <c r="U61" s="46">
        <f t="shared" si="25"/>
        <v>-0.49627857142857146</v>
      </c>
      <c r="V61" s="6">
        <v>-7000</v>
      </c>
      <c r="W61" s="15">
        <v>-2.4996172728035076E-3</v>
      </c>
      <c r="X61" s="6">
        <f>IFERROR(VLOOKUP($I61,[1]RESUMO!$A$5:$M$150,4,FALSE),"")</f>
        <v>6703.59</v>
      </c>
      <c r="Y61" s="46">
        <f t="shared" si="26"/>
        <v>-4.2344285714285723E-2</v>
      </c>
      <c r="Z61" s="6">
        <v>-7000</v>
      </c>
      <c r="AA61" s="15">
        <v>-2.8614527502194196E-3</v>
      </c>
      <c r="AB61" s="6">
        <f>IFERROR(VLOOKUP($I61,[1]RESUMO!$A$5:$M$150,5,FALSE),"")</f>
        <v>6555.5700000000006</v>
      </c>
      <c r="AC61" s="46">
        <f t="shared" si="27"/>
        <v>-6.3489999999999935E-2</v>
      </c>
      <c r="AD61" s="6">
        <v>-7000</v>
      </c>
      <c r="AE61" s="15">
        <v>-2.7313181177133217E-3</v>
      </c>
      <c r="AF61" s="6">
        <v>-7000</v>
      </c>
      <c r="AG61" s="15">
        <v>-3.1564354638848142E-3</v>
      </c>
      <c r="AH61" s="6">
        <v>-7000</v>
      </c>
      <c r="AI61" s="15">
        <v>-3.116416706508428E-3</v>
      </c>
      <c r="AJ61" s="6">
        <v>-7000</v>
      </c>
      <c r="AK61" s="15">
        <v>-2.6011807494030065E-3</v>
      </c>
      <c r="AL61" s="6">
        <v>-7000</v>
      </c>
      <c r="AM61" s="15">
        <v>-2.3494601489347506E-3</v>
      </c>
      <c r="AN61" s="6">
        <v>-7000</v>
      </c>
      <c r="AO61" s="15">
        <v>-2.3243732597214017E-3</v>
      </c>
      <c r="AP61" s="6">
        <v>-7000</v>
      </c>
      <c r="AQ61" s="15">
        <v>-2.5560770463322413E-3</v>
      </c>
      <c r="AR61" s="6">
        <v>-7000</v>
      </c>
      <c r="AS61" s="15">
        <v>-2.8496165127532475E-3</v>
      </c>
      <c r="AU61" s="6">
        <v>-84000</v>
      </c>
      <c r="AV61" s="15">
        <v>-2.8E-3</v>
      </c>
      <c r="AW61" s="6">
        <v>-7000</v>
      </c>
    </row>
    <row r="62" spans="2:49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>
        <f>IFERROR(VLOOKUP($I62,[1]RESUMO!$A$5:$M$150,2,FALSE),"")</f>
        <v>0</v>
      </c>
      <c r="Q62" s="46">
        <f t="shared" si="12"/>
        <v>-1</v>
      </c>
      <c r="R62" s="6">
        <v>-697.8950000000001</v>
      </c>
      <c r="S62" s="15">
        <v>-3.1352145429305677E-4</v>
      </c>
      <c r="T62" s="6">
        <f>IFERROR(VLOOKUP($I62,[1]RESUMO!$A$5:$M$150,3,FALSE),"")</f>
        <v>0</v>
      </c>
      <c r="U62" s="46">
        <f t="shared" si="25"/>
        <v>-1</v>
      </c>
      <c r="V62" s="6">
        <v>-697.8950000000001</v>
      </c>
      <c r="W62" s="15">
        <v>-2.4921005665760058E-4</v>
      </c>
      <c r="X62" s="6">
        <f>IFERROR(VLOOKUP($I62,[1]RESUMO!$A$5:$M$150,4,FALSE),"")</f>
        <v>0</v>
      </c>
      <c r="Y62" s="46">
        <f t="shared" si="26"/>
        <v>-1</v>
      </c>
      <c r="Z62" s="6">
        <v>-697.8950000000001</v>
      </c>
      <c r="AA62" s="15">
        <v>-2.8528479530205459E-4</v>
      </c>
      <c r="AB62" s="6">
        <f>IFERROR(VLOOKUP($I62,[1]RESUMO!$A$5:$M$150,5,FALSE),"")</f>
        <v>2430.6600000000003</v>
      </c>
      <c r="AC62" s="46">
        <f t="shared" si="27"/>
        <v>2.4828448405562442</v>
      </c>
      <c r="AD62" s="6">
        <v>-697.8950000000001</v>
      </c>
      <c r="AE62" s="15">
        <v>-2.7231046539450554E-4</v>
      </c>
      <c r="AF62" s="6">
        <v>-697.8950000000001</v>
      </c>
      <c r="AG62" s="15">
        <v>-3.1469436115255612E-4</v>
      </c>
      <c r="AH62" s="6">
        <v>-697.8950000000001</v>
      </c>
      <c r="AI62" s="15">
        <v>-3.107045196269571E-4</v>
      </c>
      <c r="AJ62" s="6">
        <v>-697.8950000000001</v>
      </c>
      <c r="AK62" s="15">
        <v>-2.593358627292302E-4</v>
      </c>
      <c r="AL62" s="6">
        <v>-697.8950000000001</v>
      </c>
      <c r="AM62" s="15">
        <v>-2.3423949866297402E-4</v>
      </c>
      <c r="AN62" s="6">
        <v>-697.8950000000001</v>
      </c>
      <c r="AO62" s="15">
        <v>-2.3173835372760973E-4</v>
      </c>
      <c r="AP62" s="6">
        <v>-697.8950000000001</v>
      </c>
      <c r="AQ62" s="15">
        <v>-2.5483905575000566E-4</v>
      </c>
      <c r="AR62" s="6">
        <v>-697.8950000000001</v>
      </c>
      <c r="AS62" s="15">
        <v>-2.8410473088113256E-4</v>
      </c>
      <c r="AU62" s="6">
        <v>-8374.7400000000034</v>
      </c>
      <c r="AV62" s="15">
        <v>-2.7915800000000011E-4</v>
      </c>
      <c r="AW62" s="6">
        <v>-697.89500000000032</v>
      </c>
    </row>
    <row r="63" spans="2:49" x14ac:dyDescent="0.25">
      <c r="I63" s="1"/>
    </row>
    <row r="64" spans="2:49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411097.70000000054</v>
      </c>
      <c r="Q64" s="14">
        <f>P64/N64-1</f>
        <v>-3.8459787030892034E-2</v>
      </c>
      <c r="R64" s="7">
        <v>750894.48748409841</v>
      </c>
      <c r="S64" s="14">
        <v>0.33733087604389489</v>
      </c>
      <c r="T64" s="48">
        <f>T21-T23</f>
        <v>652776.44999999995</v>
      </c>
      <c r="U64" s="14">
        <f>T64/R64-1</f>
        <v>-0.13066820854265004</v>
      </c>
      <c r="V64" s="7">
        <v>1059168.0913617976</v>
      </c>
      <c r="W64" s="14">
        <v>0.37821640799575323</v>
      </c>
      <c r="X64" s="48">
        <f>X21-X23</f>
        <v>977071.83999999962</v>
      </c>
      <c r="Y64" s="14">
        <f>X64/V64-1</f>
        <v>-7.7510125192918999E-2</v>
      </c>
      <c r="Z64" s="7">
        <v>869130.19069200032</v>
      </c>
      <c r="AA64" s="14">
        <v>0.35528213920776469</v>
      </c>
      <c r="AB64" s="48">
        <f>AB21-AB23</f>
        <v>158744.09000000008</v>
      </c>
      <c r="AC64" s="14">
        <f>AB64/Z64-1</f>
        <v>-0.81735292169104345</v>
      </c>
      <c r="AD64" s="7">
        <v>908033.53347925539</v>
      </c>
      <c r="AE64" s="14">
        <v>0.35430406306901946</v>
      </c>
      <c r="AF64" s="7">
        <v>722796.08087929315</v>
      </c>
      <c r="AG64" s="14">
        <v>0.32592274040633679</v>
      </c>
      <c r="AH64" s="7">
        <v>738078.78956695832</v>
      </c>
      <c r="AI64" s="14">
        <v>0.32859443864656962</v>
      </c>
      <c r="AJ64" s="7">
        <v>976843.02949322318</v>
      </c>
      <c r="AK64" s="14">
        <v>0.36299218335804073</v>
      </c>
      <c r="AL64" s="7">
        <v>1131571.1743508629</v>
      </c>
      <c r="AM64" s="14">
        <v>0.37979733997437842</v>
      </c>
      <c r="AN64" s="7">
        <v>1148828.0445340245</v>
      </c>
      <c r="AO64" s="14">
        <v>0.38147216953327351</v>
      </c>
      <c r="AP64" s="7">
        <v>1002326.4019364209</v>
      </c>
      <c r="AQ64" s="14">
        <v>0.36600335841749571</v>
      </c>
      <c r="AR64" s="7">
        <v>850937.05516197463</v>
      </c>
      <c r="AS64" s="14">
        <v>0.34640632624331202</v>
      </c>
      <c r="AT64" s="16"/>
      <c r="AU64" s="7">
        <v>10586147.708179474</v>
      </c>
      <c r="AV64" s="14">
        <v>0.35287159027264914</v>
      </c>
      <c r="AW64" s="7">
        <v>882178.97568162298</v>
      </c>
    </row>
    <row r="65" spans="2:49" x14ac:dyDescent="0.25">
      <c r="I65" t="s">
        <v>47</v>
      </c>
    </row>
    <row r="66" spans="2:49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28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570118.07999999996</v>
      </c>
      <c r="U66" s="14">
        <f t="shared" ref="U66" si="29">IFERROR((T66*-1)/R66-1,"")</f>
        <v>-0.16281843283634978</v>
      </c>
      <c r="V66" s="7">
        <v>-736366.98188400897</v>
      </c>
      <c r="W66" s="14">
        <v>-0.26294794671992233</v>
      </c>
      <c r="X66" s="7">
        <f>SUM(X67+X85+X101+X123)</f>
        <v>658767.09</v>
      </c>
      <c r="Y66" s="14">
        <f t="shared" ref="Y66" si="30">IFERROR((X66*-1)/V66-1,"")</f>
        <v>-0.10538209044282265</v>
      </c>
      <c r="Z66" s="7">
        <v>-702233.64180127438</v>
      </c>
      <c r="AA66" s="14">
        <v>-0.28705834080412218</v>
      </c>
      <c r="AB66" s="7">
        <f>SUM(AB67+AB85+AB101+AB123)</f>
        <v>298150.10000000003</v>
      </c>
      <c r="AC66" s="14">
        <f t="shared" ref="AC66" si="31">IFERROR((AB66*-1)/Z66-1,"")</f>
        <v>-0.57542606583867739</v>
      </c>
      <c r="AD66" s="7">
        <v>-719188.9048191926</v>
      </c>
      <c r="AE66" s="14">
        <v>-0.28061909797015178</v>
      </c>
      <c r="AF66" s="7">
        <v>-685917.78919768217</v>
      </c>
      <c r="AG66" s="14">
        <v>-0.3092936050190046</v>
      </c>
      <c r="AH66" s="7">
        <v>-688662.76738983684</v>
      </c>
      <c r="AI66" s="14">
        <v>-0.30659430763485929</v>
      </c>
      <c r="AJ66" s="7">
        <v>-731548.00750391115</v>
      </c>
      <c r="AK66" s="14">
        <v>-0.27184122776904279</v>
      </c>
      <c r="AL66" s="7">
        <v>-759339.24477911752</v>
      </c>
      <c r="AM66" s="14">
        <v>-0.25486247073296381</v>
      </c>
      <c r="AN66" s="7">
        <v>-762438.80869057612</v>
      </c>
      <c r="AO66" s="14">
        <v>-0.25317033987060239</v>
      </c>
      <c r="AP66" s="7">
        <v>-736125.16087696399</v>
      </c>
      <c r="AQ66" s="14">
        <v>-0.26879894670646232</v>
      </c>
      <c r="AR66" s="7">
        <v>-708933.61624222319</v>
      </c>
      <c r="AS66" s="14">
        <v>-0.28859841989853047</v>
      </c>
      <c r="AT66" s="16"/>
      <c r="AU66" s="7">
        <v>-8534670.1629500762</v>
      </c>
      <c r="AV66" s="14">
        <v>-0.28448900543166922</v>
      </c>
      <c r="AW66" s="7">
        <v>-711222.51357917301</v>
      </c>
    </row>
    <row r="67" spans="2:49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186773.48</v>
      </c>
      <c r="Y67" s="45">
        <f>(X67*-1)/V67-1</f>
        <v>6.814397676358408E-2</v>
      </c>
      <c r="Z67" s="8">
        <v>-174857.96303033334</v>
      </c>
      <c r="AA67" s="13">
        <v>-7.1478257030130415E-2</v>
      </c>
      <c r="AB67" s="8">
        <f>SUM(AB68:AB84)</f>
        <v>76539.61</v>
      </c>
      <c r="AC67" s="45">
        <f>(AB67*-1)/Z67-1</f>
        <v>-0.56227552538329428</v>
      </c>
      <c r="AD67" s="8">
        <v>-180578.51873174944</v>
      </c>
      <c r="AE67" s="13">
        <v>-7.0459625697408809E-2</v>
      </c>
      <c r="AF67" s="8">
        <v>-180578.51873174944</v>
      </c>
      <c r="AG67" s="13">
        <v>-8.1426348648668878E-2</v>
      </c>
      <c r="AH67" s="8">
        <v>-180578.51873174944</v>
      </c>
      <c r="AI67" s="13">
        <v>-8.0393987516024154E-2</v>
      </c>
      <c r="AJ67" s="8">
        <v>-180578.51873174944</v>
      </c>
      <c r="AK67" s="13">
        <v>-6.7102480954390975E-2</v>
      </c>
      <c r="AL67" s="8">
        <v>-180578.51873174944</v>
      </c>
      <c r="AM67" s="13">
        <v>-6.0608861930558956E-2</v>
      </c>
      <c r="AN67" s="8">
        <v>-180578.51873174944</v>
      </c>
      <c r="AO67" s="13">
        <v>-5.996169717431124E-2</v>
      </c>
      <c r="AP67" s="8">
        <v>-180578.51873174944</v>
      </c>
      <c r="AQ67" s="13">
        <v>-6.5938943827271626E-2</v>
      </c>
      <c r="AR67" s="8">
        <v>-180578.51873174944</v>
      </c>
      <c r="AS67" s="13">
        <v>-7.3511361260930691E-2</v>
      </c>
      <c r="AT67" s="16"/>
      <c r="AU67" s="8">
        <v>-2144060.0019753287</v>
      </c>
      <c r="AV67" s="13">
        <v>-7.1468666732510955E-2</v>
      </c>
      <c r="AW67" s="8">
        <v>-178671.6668312774</v>
      </c>
    </row>
    <row r="68" spans="2:49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IFERROR(VLOOKUP($I68,[1]RESUMO!$A$5:$M$150,2,FALSE),"")</f>
        <v>64498.680000000008</v>
      </c>
      <c r="Q68" s="46">
        <f t="shared" si="28"/>
        <v>9.3690140845070768E-3</v>
      </c>
      <c r="R68" s="6">
        <v>-63900</v>
      </c>
      <c r="S68" s="15">
        <v>-2.8706354006442697E-2</v>
      </c>
      <c r="T68" s="6">
        <f>IFERROR(VLOOKUP($I68,[1]RESUMO!$A$5:$M$150,3,FALSE),"")</f>
        <v>60318.180000000008</v>
      </c>
      <c r="U68" s="46">
        <f t="shared" ref="U68:U84" si="32">IFERROR((T68*-1)/R68-1,"")</f>
        <v>-5.6053521126760431E-2</v>
      </c>
      <c r="V68" s="6">
        <v>-63900</v>
      </c>
      <c r="W68" s="15">
        <v>-2.2817934818877731E-2</v>
      </c>
      <c r="X68" s="6">
        <f>IFERROR(VLOOKUP($I68,[1]RESUMO!$A$5:$M$150,4,FALSE),"")</f>
        <v>59830.189999999995</v>
      </c>
      <c r="Y68" s="46">
        <f t="shared" ref="Y68:Y84" si="33">IFERROR((X68*-1)/V68-1,"")</f>
        <v>-6.3690297339593194E-2</v>
      </c>
      <c r="Z68" s="6">
        <v>-63900</v>
      </c>
      <c r="AA68" s="15">
        <v>-2.6120975819860132E-2</v>
      </c>
      <c r="AB68" s="6">
        <f>IFERROR(VLOOKUP($I68,[1]RESUMO!$A$5:$M$150,5,FALSE),"")</f>
        <v>51717.240000000005</v>
      </c>
      <c r="AC68" s="46">
        <f t="shared" ref="AC68:AC84" si="34">IFERROR((AB68*-1)/Z68-1,"")</f>
        <v>-0.19065352112676048</v>
      </c>
      <c r="AD68" s="6">
        <v>-63900</v>
      </c>
      <c r="AE68" s="15">
        <v>-2.4933032531697322E-2</v>
      </c>
      <c r="AF68" s="6">
        <v>-63900</v>
      </c>
      <c r="AG68" s="15">
        <v>-2.8813746591748519E-2</v>
      </c>
      <c r="AH68" s="6">
        <v>-63900</v>
      </c>
      <c r="AI68" s="15">
        <v>-2.8448432506555509E-2</v>
      </c>
      <c r="AJ68" s="6">
        <v>-63900</v>
      </c>
      <c r="AK68" s="15">
        <v>-2.3745064269550299E-2</v>
      </c>
      <c r="AL68" s="6">
        <v>-63900</v>
      </c>
      <c r="AM68" s="15">
        <v>-2.144721478813294E-2</v>
      </c>
      <c r="AN68" s="6">
        <v>-63900</v>
      </c>
      <c r="AO68" s="15">
        <v>-2.1218207328028225E-2</v>
      </c>
      <c r="AP68" s="6">
        <v>-63900</v>
      </c>
      <c r="AQ68" s="15">
        <v>-2.3333331894375746E-2</v>
      </c>
      <c r="AR68" s="6">
        <v>-63900</v>
      </c>
      <c r="AS68" s="15">
        <v>-2.6012927880704646E-2</v>
      </c>
      <c r="AU68" s="6">
        <v>-766800</v>
      </c>
      <c r="AV68" s="15">
        <v>-2.5559999999999999E-2</v>
      </c>
      <c r="AW68" s="6">
        <v>-63900</v>
      </c>
    </row>
    <row r="69" spans="2:49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IFERROR(VLOOKUP($I69,[1]RESUMO!$A$5:$M$150,2,FALSE),"")</f>
        <v>53990.009999999995</v>
      </c>
      <c r="Q69" s="46">
        <f t="shared" si="28"/>
        <v>-0.10775179494599152</v>
      </c>
      <c r="R69" s="6">
        <v>-60510.079700000002</v>
      </c>
      <c r="S69" s="15">
        <v>-2.7183470560661376E-2</v>
      </c>
      <c r="T69" s="6">
        <f>IFERROR(VLOOKUP($I69,[1]RESUMO!$A$5:$M$150,3,FALSE),"")</f>
        <v>71662.62000000001</v>
      </c>
      <c r="U69" s="46">
        <f t="shared" si="32"/>
        <v>0.18430880202592115</v>
      </c>
      <c r="V69" s="6">
        <v>-60510.079700000002</v>
      </c>
      <c r="W69" s="15">
        <v>-2.1607434342405269E-2</v>
      </c>
      <c r="X69" s="6">
        <f>IFERROR(VLOOKUP($I69,[1]RESUMO!$A$5:$M$150,4,FALSE),"")</f>
        <v>74200.570000000007</v>
      </c>
      <c r="Y69" s="46">
        <f t="shared" si="33"/>
        <v>0.22625140088850371</v>
      </c>
      <c r="Z69" s="6">
        <v>-60510.079700000002</v>
      </c>
      <c r="AA69" s="15">
        <v>-2.4735247710508754E-2</v>
      </c>
      <c r="AB69" s="6">
        <f>IFERROR(VLOOKUP($I69,[1]RESUMO!$A$5:$M$150,5,FALSE),"")</f>
        <v>5659.81</v>
      </c>
      <c r="AC69" s="46">
        <f t="shared" si="34"/>
        <v>-0.90646500503617744</v>
      </c>
      <c r="AD69" s="6">
        <v>-64443.2348805</v>
      </c>
      <c r="AE69" s="15">
        <v>-2.5144996427594962E-2</v>
      </c>
      <c r="AF69" s="6">
        <v>-64443.2348805</v>
      </c>
      <c r="AG69" s="15">
        <v>-2.9058701712038438E-2</v>
      </c>
      <c r="AH69" s="6">
        <v>-64443.2348805</v>
      </c>
      <c r="AI69" s="15">
        <v>-2.8690281971862411E-2</v>
      </c>
      <c r="AJ69" s="6">
        <v>-64443.2348805</v>
      </c>
      <c r="AK69" s="15">
        <v>-2.394692885720185E-2</v>
      </c>
      <c r="AL69" s="6">
        <v>-64443.2348805</v>
      </c>
      <c r="AM69" s="15">
        <v>-2.162954460288238E-2</v>
      </c>
      <c r="AN69" s="6">
        <v>-64443.2348805</v>
      </c>
      <c r="AO69" s="15">
        <v>-2.1398590275168532E-2</v>
      </c>
      <c r="AP69" s="6">
        <v>-64443.2348805</v>
      </c>
      <c r="AQ69" s="15">
        <v>-2.3531696209920471E-2</v>
      </c>
      <c r="AR69" s="6">
        <v>-64443.2348805</v>
      </c>
      <c r="AS69" s="15">
        <v>-2.6234072321529838E-2</v>
      </c>
      <c r="AU69" s="6">
        <v>-757586.19784400007</v>
      </c>
      <c r="AV69" s="15">
        <v>-2.525287326146667E-2</v>
      </c>
      <c r="AW69" s="6">
        <v>-63132.183153666672</v>
      </c>
    </row>
    <row r="70" spans="2:49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IFERROR(VLOOKUP($I70,[1]RESUMO!$A$5:$M$150,2,FALSE),"")</f>
        <v/>
      </c>
      <c r="Q70" s="46" t="str">
        <f t="shared" si="28"/>
        <v/>
      </c>
      <c r="R70" s="6">
        <v>0</v>
      </c>
      <c r="S70" s="15">
        <v>0</v>
      </c>
      <c r="T70" s="6" t="str">
        <f>IFERROR(VLOOKUP($I70,[1]RESUMO!$A$5:$M$150,3,FALSE),"")</f>
        <v/>
      </c>
      <c r="U70" s="46" t="str">
        <f t="shared" si="32"/>
        <v/>
      </c>
      <c r="V70" s="6">
        <v>0</v>
      </c>
      <c r="W70" s="15">
        <v>0</v>
      </c>
      <c r="X70" s="6" t="str">
        <f>IFERROR(VLOOKUP($I70,[1]RESUMO!$A$5:$M$150,4,FALSE),"")</f>
        <v/>
      </c>
      <c r="Y70" s="46" t="str">
        <f t="shared" si="33"/>
        <v/>
      </c>
      <c r="Z70" s="6">
        <v>0</v>
      </c>
      <c r="AA70" s="15">
        <v>0</v>
      </c>
      <c r="AB70" s="6" t="str">
        <f>IFERROR(VLOOKUP($I70,[1]RESUMO!$A$5:$M$150,5,FALSE),"")</f>
        <v/>
      </c>
      <c r="AC70" s="46" t="str">
        <f t="shared" si="34"/>
        <v/>
      </c>
      <c r="AD70" s="6">
        <v>0</v>
      </c>
      <c r="AE70" s="15">
        <v>0</v>
      </c>
      <c r="AF70" s="6">
        <v>0</v>
      </c>
      <c r="AG70" s="15">
        <v>0</v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R70" s="6">
        <v>0</v>
      </c>
      <c r="AS70" s="15">
        <v>0</v>
      </c>
      <c r="AU70" s="6">
        <v>0</v>
      </c>
      <c r="AV70" s="15">
        <v>0</v>
      </c>
      <c r="AW70" s="6">
        <v>0</v>
      </c>
    </row>
    <row r="71" spans="2:49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IFERROR(VLOOKUP($I71,[1]RESUMO!$A$5:$M$150,2,FALSE),"")</f>
        <v/>
      </c>
      <c r="Q71" s="46" t="str">
        <f t="shared" si="28"/>
        <v/>
      </c>
      <c r="R71" s="6">
        <v>-5042.5066416666668</v>
      </c>
      <c r="S71" s="15">
        <v>-2.2652892133884482E-3</v>
      </c>
      <c r="T71" s="6" t="str">
        <f>IFERROR(VLOOKUP($I71,[1]RESUMO!$A$5:$M$150,3,FALSE),"")</f>
        <v/>
      </c>
      <c r="U71" s="46" t="str">
        <f t="shared" si="32"/>
        <v/>
      </c>
      <c r="V71" s="6">
        <v>-5042.5066416666668</v>
      </c>
      <c r="W71" s="15">
        <v>-1.8006195285337724E-3</v>
      </c>
      <c r="X71" s="6" t="str">
        <f>IFERROR(VLOOKUP($I71,[1]RESUMO!$A$5:$M$150,4,FALSE),"")</f>
        <v/>
      </c>
      <c r="Y71" s="46" t="str">
        <f t="shared" si="33"/>
        <v/>
      </c>
      <c r="Z71" s="6">
        <v>-5042.5066416666668</v>
      </c>
      <c r="AA71" s="15">
        <v>-2.0612706425423961E-3</v>
      </c>
      <c r="AB71" s="6" t="str">
        <f>IFERROR(VLOOKUP($I71,[1]RESUMO!$A$5:$M$150,5,FALSE),"")</f>
        <v/>
      </c>
      <c r="AC71" s="46" t="str">
        <f t="shared" si="34"/>
        <v/>
      </c>
      <c r="AD71" s="6">
        <v>-5370.2695733749997</v>
      </c>
      <c r="AE71" s="15">
        <v>-2.0954163689662466E-3</v>
      </c>
      <c r="AF71" s="6">
        <v>-5370.2695733749997</v>
      </c>
      <c r="AG71" s="15">
        <v>-2.4215584760032029E-3</v>
      </c>
      <c r="AH71" s="6">
        <v>-5370.2695733749997</v>
      </c>
      <c r="AI71" s="15">
        <v>-2.3908568309885343E-3</v>
      </c>
      <c r="AJ71" s="6">
        <v>-5370.2695733749997</v>
      </c>
      <c r="AK71" s="15">
        <v>-1.9955774047668204E-3</v>
      </c>
      <c r="AL71" s="6">
        <v>-5370.2695733749997</v>
      </c>
      <c r="AM71" s="15">
        <v>-1.8024620502401982E-3</v>
      </c>
      <c r="AN71" s="6">
        <v>-5370.2695733749997</v>
      </c>
      <c r="AO71" s="15">
        <v>-1.7832158562640444E-3</v>
      </c>
      <c r="AP71" s="6">
        <v>-5370.2695733749997</v>
      </c>
      <c r="AQ71" s="15">
        <v>-1.9609746841600393E-3</v>
      </c>
      <c r="AR71" s="6">
        <v>-5370.2695733749997</v>
      </c>
      <c r="AS71" s="15">
        <v>-2.1861726934608197E-3</v>
      </c>
      <c r="AU71" s="6">
        <v>-63132.183153666672</v>
      </c>
      <c r="AV71" s="15">
        <v>-2.1044061051222222E-3</v>
      </c>
      <c r="AW71" s="6">
        <v>-5261.0152628055557</v>
      </c>
    </row>
    <row r="72" spans="2:49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IFERROR(VLOOKUP($I72,[1]RESUMO!$A$5:$M$150,2,FALSE),"")</f>
        <v>0</v>
      </c>
      <c r="Q72" s="46">
        <f t="shared" si="28"/>
        <v>-1</v>
      </c>
      <c r="R72" s="6">
        <v>-6723.3421888888888</v>
      </c>
      <c r="S72" s="15">
        <v>-3.0203856178512641E-3</v>
      </c>
      <c r="T72" s="6">
        <f>IFERROR(VLOOKUP($I72,[1]RESUMO!$A$5:$M$150,3,FALSE),"")</f>
        <v>297.89999999999998</v>
      </c>
      <c r="U72" s="46">
        <f t="shared" si="32"/>
        <v>-0.95569167957979073</v>
      </c>
      <c r="V72" s="6">
        <v>-6723.3421888888888</v>
      </c>
      <c r="W72" s="15">
        <v>-2.4008260380450298E-3</v>
      </c>
      <c r="X72" s="6">
        <f>IFERROR(VLOOKUP($I72,[1]RESUMO!$A$5:$M$150,4,FALSE),"")</f>
        <v>1372.31</v>
      </c>
      <c r="Y72" s="46">
        <f t="shared" si="33"/>
        <v>-0.79588871703303998</v>
      </c>
      <c r="Z72" s="6">
        <v>-6723.3421888888888</v>
      </c>
      <c r="AA72" s="15">
        <v>-2.748360856723195E-3</v>
      </c>
      <c r="AB72" s="6">
        <f>IFERROR(VLOOKUP($I72,[1]RESUMO!$A$5:$M$150,5,FALSE),"")</f>
        <v>2681.09</v>
      </c>
      <c r="AC72" s="46">
        <f t="shared" si="34"/>
        <v>-0.60122660357361912</v>
      </c>
      <c r="AD72" s="6">
        <v>-7160.3594311666666</v>
      </c>
      <c r="AE72" s="15">
        <v>-2.7938884919549959E-3</v>
      </c>
      <c r="AF72" s="6">
        <v>-7160.3594311666666</v>
      </c>
      <c r="AG72" s="15">
        <v>-3.2287446346709373E-3</v>
      </c>
      <c r="AH72" s="6">
        <v>-7160.3594311666666</v>
      </c>
      <c r="AI72" s="15">
        <v>-3.1878091079847121E-3</v>
      </c>
      <c r="AJ72" s="6">
        <v>-7160.3594311666666</v>
      </c>
      <c r="AK72" s="15">
        <v>-2.6607698730224277E-3</v>
      </c>
      <c r="AL72" s="6">
        <v>-7160.3594311666666</v>
      </c>
      <c r="AM72" s="15">
        <v>-2.4032827336535976E-3</v>
      </c>
      <c r="AN72" s="6">
        <v>-7160.3594311666666</v>
      </c>
      <c r="AO72" s="15">
        <v>-2.3776211416853925E-3</v>
      </c>
      <c r="AP72" s="6">
        <v>-7160.3594311666666</v>
      </c>
      <c r="AQ72" s="15">
        <v>-2.614632912213386E-3</v>
      </c>
      <c r="AR72" s="6">
        <v>-7160.3594311666666</v>
      </c>
      <c r="AS72" s="15">
        <v>-2.9148969246144264E-3</v>
      </c>
      <c r="AU72" s="6">
        <v>-84176.244204888892</v>
      </c>
      <c r="AV72" s="15">
        <v>-2.8058748068296299E-3</v>
      </c>
      <c r="AW72" s="6">
        <v>-7014.687017074074</v>
      </c>
    </row>
    <row r="73" spans="2:49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IFERROR(VLOOKUP($I73,[1]RESUMO!$A$5:$M$150,2,FALSE),"")</f>
        <v>2919.01</v>
      </c>
      <c r="Q73" s="46">
        <f t="shared" si="28"/>
        <v>-0.36335814041405456</v>
      </c>
      <c r="R73" s="6">
        <v>-4585.0111111111119</v>
      </c>
      <c r="S73" s="15">
        <v>-2.05976450827901E-3</v>
      </c>
      <c r="T73" s="6">
        <f>IFERROR(VLOOKUP($I73,[1]RESUMO!$A$5:$M$150,3,FALSE),"")</f>
        <v>4519.01</v>
      </c>
      <c r="U73" s="46">
        <f t="shared" si="32"/>
        <v>-1.4394972991705002E-2</v>
      </c>
      <c r="V73" s="6">
        <v>-4585.0111111111119</v>
      </c>
      <c r="W73" s="15">
        <v>-1.6372532813327624E-3</v>
      </c>
      <c r="X73" s="6">
        <f>IFERROR(VLOOKUP($I73,[1]RESUMO!$A$5:$M$150,4,FALSE),"")</f>
        <v>4955.24</v>
      </c>
      <c r="Y73" s="46">
        <f t="shared" si="33"/>
        <v>8.0747653586202173E-2</v>
      </c>
      <c r="Z73" s="6">
        <v>-4585.0111111111119</v>
      </c>
      <c r="AA73" s="15">
        <v>-1.8742560933822125E-3</v>
      </c>
      <c r="AB73" s="6">
        <f>IFERROR(VLOOKUP($I73,[1]RESUMO!$A$5:$M$150,5,FALSE),"")</f>
        <v>1980.24</v>
      </c>
      <c r="AC73" s="46">
        <f t="shared" si="34"/>
        <v>-0.56810573583972901</v>
      </c>
      <c r="AD73" s="6">
        <v>-4585.0111111111119</v>
      </c>
      <c r="AE73" s="15">
        <v>-1.7890177025278095E-3</v>
      </c>
      <c r="AF73" s="6">
        <v>-4585.0111111111119</v>
      </c>
      <c r="AG73" s="15">
        <v>-2.0674702390595756E-3</v>
      </c>
      <c r="AH73" s="6">
        <v>-4585.0111111111119</v>
      </c>
      <c r="AI73" s="15">
        <v>-2.0412578894562056E-3</v>
      </c>
      <c r="AJ73" s="6">
        <v>-4585.0111111111119</v>
      </c>
      <c r="AK73" s="15">
        <v>-1.7037775197173018E-3</v>
      </c>
      <c r="AL73" s="6">
        <v>-4585.0111111111119</v>
      </c>
      <c r="AM73" s="15">
        <v>-1.5389001268540858E-3</v>
      </c>
      <c r="AN73" s="6">
        <v>-4585.0111111111119</v>
      </c>
      <c r="AO73" s="15">
        <v>-1.5224681745988832E-3</v>
      </c>
      <c r="AP73" s="6">
        <v>-4585.0111111111119</v>
      </c>
      <c r="AQ73" s="15">
        <v>-1.6742345226127713E-3</v>
      </c>
      <c r="AR73" s="6">
        <v>-4585.0111111111119</v>
      </c>
      <c r="AS73" s="15">
        <v>-1.8665033390541914E-3</v>
      </c>
      <c r="AU73" s="6">
        <v>-55020.133333333339</v>
      </c>
      <c r="AV73" s="15">
        <v>-1.8340044444444445E-3</v>
      </c>
      <c r="AW73" s="6">
        <v>-4585.0111111111119</v>
      </c>
    </row>
    <row r="74" spans="2:49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IFERROR(VLOOKUP($I74,[1]RESUMO!$A$5:$M$150,2,FALSE),"")</f>
        <v/>
      </c>
      <c r="Q74" s="46" t="str">
        <f t="shared" si="28"/>
        <v/>
      </c>
      <c r="R74" s="6">
        <v>-333</v>
      </c>
      <c r="S74" s="15">
        <v>-1.4959649270963096E-4</v>
      </c>
      <c r="T74" s="6" t="str">
        <f>IFERROR(VLOOKUP($I74,[1]RESUMO!$A$5:$M$150,3,FALSE),"")</f>
        <v/>
      </c>
      <c r="U74" s="46" t="str">
        <f t="shared" si="32"/>
        <v/>
      </c>
      <c r="V74" s="6">
        <v>-333</v>
      </c>
      <c r="W74" s="15">
        <v>-1.1891036454908113E-4</v>
      </c>
      <c r="X74" s="6" t="str">
        <f>IFERROR(VLOOKUP($I74,[1]RESUMO!$A$5:$M$150,4,FALSE),"")</f>
        <v/>
      </c>
      <c r="Y74" s="46" t="str">
        <f t="shared" si="33"/>
        <v/>
      </c>
      <c r="Z74" s="6">
        <v>-333</v>
      </c>
      <c r="AA74" s="15">
        <v>-1.3612339511758097E-4</v>
      </c>
      <c r="AB74" s="6" t="str">
        <f>IFERROR(VLOOKUP($I74,[1]RESUMO!$A$5:$M$150,5,FALSE),"")</f>
        <v/>
      </c>
      <c r="AC74" s="46" t="str">
        <f t="shared" si="34"/>
        <v/>
      </c>
      <c r="AD74" s="6">
        <v>-333</v>
      </c>
      <c r="AE74" s="15">
        <v>-1.29932704742648E-4</v>
      </c>
      <c r="AF74" s="6">
        <v>-333</v>
      </c>
      <c r="AG74" s="15">
        <v>-1.5015614421052045E-4</v>
      </c>
      <c r="AH74" s="6">
        <v>-333</v>
      </c>
      <c r="AI74" s="15">
        <v>-1.4825239475247239E-4</v>
      </c>
      <c r="AJ74" s="6">
        <v>-333</v>
      </c>
      <c r="AK74" s="15">
        <v>-1.2374188422160015E-4</v>
      </c>
      <c r="AL74" s="6">
        <v>-333</v>
      </c>
      <c r="AM74" s="15">
        <v>-1.1176717565646743E-4</v>
      </c>
      <c r="AN74" s="6">
        <v>-333</v>
      </c>
      <c r="AO74" s="15">
        <v>-1.1057375649817526E-4</v>
      </c>
      <c r="AP74" s="6">
        <v>-333</v>
      </c>
      <c r="AQ74" s="15">
        <v>-1.2159623663266234E-4</v>
      </c>
      <c r="AR74" s="6">
        <v>-333</v>
      </c>
      <c r="AS74" s="15">
        <v>-1.3556032839240448E-4</v>
      </c>
      <c r="AU74" s="6">
        <v>-3996</v>
      </c>
      <c r="AV74" s="15">
        <v>-1.3320000000000001E-4</v>
      </c>
      <c r="AW74" s="6">
        <v>-333</v>
      </c>
    </row>
    <row r="75" spans="2:49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IFERROR(VLOOKUP($I75,[1]RESUMO!$A$5:$M$150,2,FALSE),"")</f>
        <v>879.73</v>
      </c>
      <c r="Q75" s="46">
        <f t="shared" si="28"/>
        <v>-0.86804049999999999</v>
      </c>
      <c r="R75" s="6">
        <v>-6666.666666666667</v>
      </c>
      <c r="S75" s="15">
        <v>-2.9949247789715907E-3</v>
      </c>
      <c r="T75" s="6">
        <f>IFERROR(VLOOKUP($I75,[1]RESUMO!$A$5:$M$150,3,FALSE),"")</f>
        <v>0</v>
      </c>
      <c r="U75" s="46">
        <f t="shared" si="32"/>
        <v>-1</v>
      </c>
      <c r="V75" s="6">
        <v>-6666.666666666667</v>
      </c>
      <c r="W75" s="15">
        <v>-2.3805878788604835E-3</v>
      </c>
      <c r="X75" s="6">
        <f>IFERROR(VLOOKUP($I75,[1]RESUMO!$A$5:$M$150,4,FALSE),"")</f>
        <v>11928.27</v>
      </c>
      <c r="Y75" s="46">
        <f t="shared" si="33"/>
        <v>0.78924050000000001</v>
      </c>
      <c r="Z75" s="6">
        <v>-6666.666666666667</v>
      </c>
      <c r="AA75" s="15">
        <v>-2.7251930954470664E-3</v>
      </c>
      <c r="AB75" s="6">
        <f>IFERROR(VLOOKUP($I75,[1]RESUMO!$A$5:$M$150,5,FALSE),"")</f>
        <v>12417.35</v>
      </c>
      <c r="AC75" s="46">
        <f t="shared" si="34"/>
        <v>0.86260249999999994</v>
      </c>
      <c r="AD75" s="6">
        <v>-6666.666666666667</v>
      </c>
      <c r="AE75" s="15">
        <v>-2.6012553502031636E-3</v>
      </c>
      <c r="AF75" s="6">
        <v>-6666.666666666667</v>
      </c>
      <c r="AG75" s="15">
        <v>-3.0061290132236329E-3</v>
      </c>
      <c r="AH75" s="6">
        <v>-6666.666666666667</v>
      </c>
      <c r="AI75" s="15">
        <v>-2.9680159109604079E-3</v>
      </c>
      <c r="AJ75" s="6">
        <v>-6666.666666666667</v>
      </c>
      <c r="AK75" s="15">
        <v>-2.4773149994314347E-3</v>
      </c>
      <c r="AL75" s="6">
        <v>-6666.666666666667</v>
      </c>
      <c r="AM75" s="15">
        <v>-2.2375810942235723E-3</v>
      </c>
      <c r="AN75" s="6">
        <v>-6666.666666666667</v>
      </c>
      <c r="AO75" s="15">
        <v>-2.2136888187822877E-3</v>
      </c>
      <c r="AP75" s="6">
        <v>-6666.666666666667</v>
      </c>
      <c r="AQ75" s="15">
        <v>-2.4343590917449919E-3</v>
      </c>
      <c r="AR75" s="6">
        <v>-6666.666666666667</v>
      </c>
      <c r="AS75" s="15">
        <v>-2.7139204883364263E-3</v>
      </c>
      <c r="AU75" s="6">
        <v>-80000</v>
      </c>
      <c r="AV75" s="15">
        <v>-2.6666666666666666E-3</v>
      </c>
      <c r="AW75" s="6">
        <v>-6666.666666666667</v>
      </c>
    </row>
    <row r="76" spans="2:49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IFERROR(VLOOKUP($I76,[1]RESUMO!$A$5:$M$150,2,FALSE),"")</f>
        <v/>
      </c>
      <c r="Q76" s="46" t="str">
        <f t="shared" si="28"/>
        <v/>
      </c>
      <c r="R76" s="6">
        <v>0</v>
      </c>
      <c r="S76" s="15">
        <v>0</v>
      </c>
      <c r="T76" s="6" t="str">
        <f>IFERROR(VLOOKUP($I76,[1]RESUMO!$A$5:$M$150,3,FALSE),"")</f>
        <v/>
      </c>
      <c r="U76" s="46" t="str">
        <f t="shared" si="32"/>
        <v/>
      </c>
      <c r="V76" s="6">
        <v>0</v>
      </c>
      <c r="W76" s="15">
        <v>0</v>
      </c>
      <c r="X76" s="6" t="str">
        <f>IFERROR(VLOOKUP($I76,[1]RESUMO!$A$5:$M$150,4,FALSE),"")</f>
        <v/>
      </c>
      <c r="Y76" s="46" t="str">
        <f t="shared" si="33"/>
        <v/>
      </c>
      <c r="Z76" s="6">
        <v>0</v>
      </c>
      <c r="AA76" s="15">
        <v>0</v>
      </c>
      <c r="AB76" s="6" t="str">
        <f>IFERROR(VLOOKUP($I76,[1]RESUMO!$A$5:$M$150,5,FALSE),"")</f>
        <v/>
      </c>
      <c r="AC76" s="46" t="str">
        <f t="shared" si="34"/>
        <v/>
      </c>
      <c r="AD76" s="6">
        <v>0</v>
      </c>
      <c r="AE76" s="15">
        <v>0</v>
      </c>
      <c r="AF76" s="6">
        <v>0</v>
      </c>
      <c r="AG76" s="15">
        <v>0</v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R76" s="6">
        <v>0</v>
      </c>
      <c r="AS76" s="15">
        <v>0</v>
      </c>
      <c r="AU76" s="6">
        <v>0</v>
      </c>
      <c r="AV76" s="15">
        <v>0</v>
      </c>
      <c r="AW76" s="6">
        <v>0</v>
      </c>
    </row>
    <row r="77" spans="2:49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IFERROR(VLOOKUP($I77,[1]RESUMO!$A$5:$M$150,2,FALSE),"")</f>
        <v>0</v>
      </c>
      <c r="Q77" s="46">
        <f t="shared" si="28"/>
        <v>-1</v>
      </c>
      <c r="R77" s="6">
        <v>-305.81</v>
      </c>
      <c r="S77" s="15">
        <v>-1.3738169199859531E-4</v>
      </c>
      <c r="T77" s="6">
        <f>IFERROR(VLOOKUP($I77,[1]RESUMO!$A$5:$M$150,3,FALSE),"")</f>
        <v>75</v>
      </c>
      <c r="U77" s="46">
        <f t="shared" si="32"/>
        <v>-0.75474968117458552</v>
      </c>
      <c r="V77" s="6">
        <v>-305.81</v>
      </c>
      <c r="W77" s="15">
        <v>-1.0920113688514866E-4</v>
      </c>
      <c r="X77" s="6">
        <f>IFERROR(VLOOKUP($I77,[1]RESUMO!$A$5:$M$150,4,FALSE),"")</f>
        <v>0</v>
      </c>
      <c r="Y77" s="46">
        <f t="shared" si="33"/>
        <v>-1</v>
      </c>
      <c r="Z77" s="6">
        <v>-305.81</v>
      </c>
      <c r="AA77" s="15">
        <v>-1.2500869507780011E-4</v>
      </c>
      <c r="AB77" s="6">
        <f>IFERROR(VLOOKUP($I77,[1]RESUMO!$A$5:$M$150,5,FALSE),"")</f>
        <v>0</v>
      </c>
      <c r="AC77" s="46">
        <f t="shared" si="34"/>
        <v>-1</v>
      </c>
      <c r="AD77" s="6">
        <v>-305.81</v>
      </c>
      <c r="AE77" s="15">
        <v>-1.1932348479684442E-4</v>
      </c>
      <c r="AF77" s="6">
        <v>-305.81</v>
      </c>
      <c r="AG77" s="15">
        <v>-1.3789564703008787E-4</v>
      </c>
      <c r="AH77" s="6">
        <v>-305.81</v>
      </c>
      <c r="AI77" s="15">
        <v>-1.3614734185962035E-4</v>
      </c>
      <c r="AJ77" s="6">
        <v>-305.81</v>
      </c>
      <c r="AK77" s="15">
        <v>-1.1363815499641905E-4</v>
      </c>
      <c r="AL77" s="6">
        <v>-305.81</v>
      </c>
      <c r="AM77" s="15">
        <v>-1.0264120116367659E-4</v>
      </c>
      <c r="AN77" s="6">
        <v>-305.81</v>
      </c>
      <c r="AO77" s="15">
        <v>-1.0154522665077171E-4</v>
      </c>
      <c r="AP77" s="6">
        <v>-305.81</v>
      </c>
      <c r="AQ77" s="15">
        <v>-1.1166770307698038E-4</v>
      </c>
      <c r="AR77" s="6">
        <v>-305.81</v>
      </c>
      <c r="AS77" s="15">
        <v>-1.2449160368072437E-4</v>
      </c>
      <c r="AU77" s="6">
        <v>-3669.72</v>
      </c>
      <c r="AV77" s="15">
        <v>-1.2232399999999999E-4</v>
      </c>
      <c r="AW77" s="6">
        <v>-305.81</v>
      </c>
    </row>
    <row r="78" spans="2:49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IFERROR(VLOOKUP($I78,[1]RESUMO!$A$5:$M$150,2,FALSE),"")</f>
        <v>650.30000000000007</v>
      </c>
      <c r="Q78" s="46">
        <f t="shared" si="28"/>
        <v>6.8045251088355352E-2</v>
      </c>
      <c r="R78" s="6">
        <v>-608.86933333333388</v>
      </c>
      <c r="S78" s="15">
        <v>-2.7352767803338722E-4</v>
      </c>
      <c r="T78" s="6">
        <f>IFERROR(VLOOKUP($I78,[1]RESUMO!$A$5:$M$150,3,FALSE),"")</f>
        <v>721.42000000000007</v>
      </c>
      <c r="U78" s="46">
        <f t="shared" si="32"/>
        <v>0.18485192225151659</v>
      </c>
      <c r="V78" s="6">
        <v>-608.86933333333388</v>
      </c>
      <c r="W78" s="15">
        <v>-2.1742004321147968E-4</v>
      </c>
      <c r="X78" s="6">
        <f>IFERROR(VLOOKUP($I78,[1]RESUMO!$A$5:$M$150,4,FALSE),"")</f>
        <v>596.62</v>
      </c>
      <c r="Y78" s="46">
        <f t="shared" si="33"/>
        <v>-2.0118164379002823E-2</v>
      </c>
      <c r="Z78" s="6">
        <v>-608.86933333333388</v>
      </c>
      <c r="AA78" s="15">
        <v>-2.4889297548441895E-4</v>
      </c>
      <c r="AB78" s="6">
        <f>IFERROR(VLOOKUP($I78,[1]RESUMO!$A$5:$M$150,5,FALSE),"")</f>
        <v>600.63</v>
      </c>
      <c r="AC78" s="46">
        <f t="shared" si="34"/>
        <v>-1.3532186435185722E-2</v>
      </c>
      <c r="AD78" s="6">
        <v>-608.86933333333388</v>
      </c>
      <c r="AE78" s="15">
        <v>-2.3757369163619521E-4</v>
      </c>
      <c r="AF78" s="6">
        <v>-608.86933333333388</v>
      </c>
      <c r="AG78" s="15">
        <v>-2.745509652293199E-4</v>
      </c>
      <c r="AH78" s="6">
        <v>-608.86933333333388</v>
      </c>
      <c r="AI78" s="15">
        <v>-2.7107008035437869E-4</v>
      </c>
      <c r="AJ78" s="6">
        <v>-608.86933333333388</v>
      </c>
      <c r="AK78" s="15">
        <v>-2.2625416982407289E-4</v>
      </c>
      <c r="AL78" s="6">
        <v>-608.86933333333388</v>
      </c>
      <c r="AM78" s="15">
        <v>-2.0435917636787672E-4</v>
      </c>
      <c r="AN78" s="6">
        <v>-608.86933333333388</v>
      </c>
      <c r="AO78" s="15">
        <v>-2.0217708529491401E-4</v>
      </c>
      <c r="AP78" s="6">
        <v>-608.86933333333388</v>
      </c>
      <c r="AQ78" s="15">
        <v>-2.2233098959270698E-4</v>
      </c>
      <c r="AR78" s="6">
        <v>-608.86933333333388</v>
      </c>
      <c r="AS78" s="15">
        <v>-2.4786344376796136E-4</v>
      </c>
      <c r="AU78" s="6">
        <v>-7306.4320000000071</v>
      </c>
      <c r="AV78" s="15">
        <v>-2.4354773333333356E-4</v>
      </c>
      <c r="AW78" s="6">
        <v>-608.86933333333388</v>
      </c>
    </row>
    <row r="79" spans="2:49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IFERROR(VLOOKUP($I79,[1]RESUMO!$A$5:$M$150,2,FALSE),"")</f>
        <v>22949.23</v>
      </c>
      <c r="Q79" s="46">
        <f t="shared" si="28"/>
        <v>1.1070162666175141</v>
      </c>
      <c r="R79" s="6">
        <v>-10891.814345999999</v>
      </c>
      <c r="S79" s="15">
        <v>-4.8930247009190469E-3</v>
      </c>
      <c r="T79" s="6">
        <f>IFERROR(VLOOKUP($I79,[1]RESUMO!$A$5:$M$150,3,FALSE),"")</f>
        <v>17763.09</v>
      </c>
      <c r="U79" s="46">
        <f t="shared" si="32"/>
        <v>0.63086602798398461</v>
      </c>
      <c r="V79" s="6">
        <v>-10891.814345999999</v>
      </c>
      <c r="W79" s="15">
        <v>-3.8893381816329478E-3</v>
      </c>
      <c r="X79" s="6">
        <f>IFERROR(VLOOKUP($I79,[1]RESUMO!$A$5:$M$150,4,FALSE),"")</f>
        <v>20718.489999999998</v>
      </c>
      <c r="Y79" s="46">
        <f t="shared" si="33"/>
        <v>0.90220741391986992</v>
      </c>
      <c r="Z79" s="6">
        <v>-10891.814345999999</v>
      </c>
      <c r="AA79" s="15">
        <v>-4.4523445878915753E-3</v>
      </c>
      <c r="AB79" s="6">
        <f>IFERROR(VLOOKUP($I79,[1]RESUMO!$A$5:$M$150,5,FALSE),"")</f>
        <v>0</v>
      </c>
      <c r="AC79" s="46">
        <f t="shared" si="34"/>
        <v>-1</v>
      </c>
      <c r="AD79" s="6">
        <v>-11599.78227849</v>
      </c>
      <c r="AE79" s="15">
        <v>-4.5260993569670935E-3</v>
      </c>
      <c r="AF79" s="6">
        <v>-11599.78227849</v>
      </c>
      <c r="AG79" s="15">
        <v>-5.2305663081669189E-3</v>
      </c>
      <c r="AH79" s="6">
        <v>-11599.78227849</v>
      </c>
      <c r="AI79" s="15">
        <v>-5.1642507549352337E-3</v>
      </c>
      <c r="AJ79" s="6">
        <v>-11599.78227849</v>
      </c>
      <c r="AK79" s="15">
        <v>-4.3104471942963327E-3</v>
      </c>
      <c r="AL79" s="6">
        <v>-11599.78227849</v>
      </c>
      <c r="AM79" s="15">
        <v>-3.8933180285188281E-3</v>
      </c>
      <c r="AN79" s="6">
        <v>-11599.78227849</v>
      </c>
      <c r="AO79" s="15">
        <v>-3.8517462495303361E-3</v>
      </c>
      <c r="AP79" s="6">
        <v>-11599.78227849</v>
      </c>
      <c r="AQ79" s="15">
        <v>-4.2357053177856851E-3</v>
      </c>
      <c r="AR79" s="6">
        <v>-11599.78227849</v>
      </c>
      <c r="AS79" s="15">
        <v>-4.7221330178753703E-3</v>
      </c>
      <c r="AU79" s="6">
        <v>-136365.51561192001</v>
      </c>
      <c r="AV79" s="15">
        <v>-4.5455171870640004E-3</v>
      </c>
      <c r="AW79" s="6">
        <v>-11363.792967660002</v>
      </c>
    </row>
    <row r="80" spans="2:49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IFERROR(VLOOKUP($I80,[1]RESUMO!$A$5:$M$150,2,FALSE),"")</f>
        <v>8774.5499999999993</v>
      </c>
      <c r="Q80" s="46">
        <f t="shared" si="28"/>
        <v>0.81262155898300659</v>
      </c>
      <c r="R80" s="6">
        <v>-4840.8063760000005</v>
      </c>
      <c r="S80" s="15">
        <v>-2.1746776448529101E-3</v>
      </c>
      <c r="T80" s="6">
        <f>IFERROR(VLOOKUP($I80,[1]RESUMO!$A$5:$M$150,3,FALSE),"")</f>
        <v>9673.7099999999991</v>
      </c>
      <c r="U80" s="46">
        <f t="shared" si="32"/>
        <v>0.99836747198995979</v>
      </c>
      <c r="V80" s="6">
        <v>-4840.8063760000005</v>
      </c>
      <c r="W80" s="15">
        <v>-1.7285947473924216E-3</v>
      </c>
      <c r="X80" s="6">
        <f>IFERROR(VLOOKUP($I80,[1]RESUMO!$A$5:$M$150,4,FALSE),"")</f>
        <v>9088.76</v>
      </c>
      <c r="Y80" s="46">
        <f t="shared" si="33"/>
        <v>0.87753016626748859</v>
      </c>
      <c r="Z80" s="6">
        <v>-4840.8063760000005</v>
      </c>
      <c r="AA80" s="15">
        <v>-1.9788198168407003E-3</v>
      </c>
      <c r="AB80" s="6">
        <f>IFERROR(VLOOKUP($I80,[1]RESUMO!$A$5:$M$150,5,FALSE),"")</f>
        <v>0</v>
      </c>
      <c r="AC80" s="46">
        <f t="shared" si="34"/>
        <v>-1</v>
      </c>
      <c r="AD80" s="6">
        <v>-5155.4587904400005</v>
      </c>
      <c r="AE80" s="15">
        <v>-2.0115997142075969E-3</v>
      </c>
      <c r="AF80" s="6">
        <v>-5155.4587904400005</v>
      </c>
      <c r="AG80" s="15">
        <v>-2.3246961369630752E-3</v>
      </c>
      <c r="AH80" s="6">
        <v>-5155.4587904400005</v>
      </c>
      <c r="AI80" s="15">
        <v>-2.2952225577489932E-3</v>
      </c>
      <c r="AJ80" s="6">
        <v>-5155.4587904400005</v>
      </c>
      <c r="AK80" s="15">
        <v>-1.9157543085761481E-3</v>
      </c>
      <c r="AL80" s="6">
        <v>-5155.4587904400005</v>
      </c>
      <c r="AM80" s="15">
        <v>-1.7303635682305906E-3</v>
      </c>
      <c r="AN80" s="6">
        <v>-5155.4587904400005</v>
      </c>
      <c r="AO80" s="15">
        <v>-1.7118872220134829E-3</v>
      </c>
      <c r="AP80" s="6">
        <v>-5155.4587904400005</v>
      </c>
      <c r="AQ80" s="15">
        <v>-1.882535696793638E-3</v>
      </c>
      <c r="AR80" s="6">
        <v>-5155.4587904400005</v>
      </c>
      <c r="AS80" s="15">
        <v>-2.098725785722387E-3</v>
      </c>
      <c r="AU80" s="6">
        <v>-60606.89582752002</v>
      </c>
      <c r="AV80" s="15">
        <v>-2.0202298609173341E-3</v>
      </c>
      <c r="AW80" s="6">
        <v>-5050.574652293335</v>
      </c>
    </row>
    <row r="81" spans="2:49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IFERROR(VLOOKUP($I81,[1]RESUMO!$A$5:$M$150,2,FALSE),"")</f>
        <v/>
      </c>
      <c r="Q81" s="46" t="str">
        <f t="shared" si="28"/>
        <v/>
      </c>
      <c r="R81" s="6">
        <v>-30</v>
      </c>
      <c r="S81" s="15">
        <v>-1.3477161505372159E-5</v>
      </c>
      <c r="T81" s="6" t="str">
        <f>IFERROR(VLOOKUP($I81,[1]RESUMO!$A$5:$M$150,3,FALSE),"")</f>
        <v/>
      </c>
      <c r="U81" s="46" t="str">
        <f t="shared" si="32"/>
        <v/>
      </c>
      <c r="V81" s="6">
        <v>-30</v>
      </c>
      <c r="W81" s="15">
        <v>-1.0712645454872174E-5</v>
      </c>
      <c r="X81" s="6" t="str">
        <f>IFERROR(VLOOKUP($I81,[1]RESUMO!$A$5:$M$150,4,FALSE),"")</f>
        <v/>
      </c>
      <c r="Y81" s="46" t="str">
        <f t="shared" si="33"/>
        <v/>
      </c>
      <c r="Z81" s="6">
        <v>-30</v>
      </c>
      <c r="AA81" s="15">
        <v>-1.2263368929511799E-5</v>
      </c>
      <c r="AB81" s="6" t="str">
        <f>IFERROR(VLOOKUP($I81,[1]RESUMO!$A$5:$M$150,5,FALSE),"")</f>
        <v/>
      </c>
      <c r="AC81" s="46" t="str">
        <f t="shared" si="34"/>
        <v/>
      </c>
      <c r="AD81" s="6">
        <v>-30</v>
      </c>
      <c r="AE81" s="15">
        <v>-1.1705649075914236E-5</v>
      </c>
      <c r="AF81" s="6">
        <v>-30</v>
      </c>
      <c r="AG81" s="15">
        <v>-1.3527580559506347E-5</v>
      </c>
      <c r="AH81" s="6">
        <v>-30</v>
      </c>
      <c r="AI81" s="15">
        <v>-1.3356071599321836E-5</v>
      </c>
      <c r="AJ81" s="6">
        <v>-30</v>
      </c>
      <c r="AK81" s="15">
        <v>-1.1147917497441456E-5</v>
      </c>
      <c r="AL81" s="6">
        <v>-30</v>
      </c>
      <c r="AM81" s="15">
        <v>-1.0069114924006075E-5</v>
      </c>
      <c r="AN81" s="6">
        <v>-30</v>
      </c>
      <c r="AO81" s="15">
        <v>-9.9615996845202948E-6</v>
      </c>
      <c r="AP81" s="6">
        <v>-30</v>
      </c>
      <c r="AQ81" s="15">
        <v>-1.0954615912852464E-5</v>
      </c>
      <c r="AR81" s="6">
        <v>-30</v>
      </c>
      <c r="AS81" s="15">
        <v>-1.2212642197513918E-5</v>
      </c>
      <c r="AU81" s="6">
        <v>-360</v>
      </c>
      <c r="AV81" s="15">
        <v>-1.2E-5</v>
      </c>
      <c r="AW81" s="6">
        <v>-30</v>
      </c>
    </row>
    <row r="82" spans="2:49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IFERROR(VLOOKUP($I82,[1]RESUMO!$A$5:$M$150,2,FALSE),"")</f>
        <v>2233.96</v>
      </c>
      <c r="Q82" s="46">
        <f t="shared" si="28"/>
        <v>7.0558786742213053E-2</v>
      </c>
      <c r="R82" s="6">
        <v>-2086.7233333333334</v>
      </c>
      <c r="S82" s="15">
        <v>-9.3743691267872918E-4</v>
      </c>
      <c r="T82" s="6">
        <f>IFERROR(VLOOKUP($I82,[1]RESUMO!$A$5:$M$150,3,FALSE),"")</f>
        <v>2457.64</v>
      </c>
      <c r="U82" s="46">
        <f t="shared" si="32"/>
        <v>0.17775076395688938</v>
      </c>
      <c r="V82" s="6">
        <v>-2086.7233333333334</v>
      </c>
      <c r="W82" s="15">
        <v>-7.4514424108030155E-4</v>
      </c>
      <c r="X82" s="6">
        <f>IFERROR(VLOOKUP($I82,[1]RESUMO!$A$5:$M$150,4,FALSE),"")</f>
        <v>1143.7600000000002</v>
      </c>
      <c r="Y82" s="46">
        <f t="shared" si="33"/>
        <v>-0.45188708932824495</v>
      </c>
      <c r="Z82" s="6">
        <v>-2086.7233333333334</v>
      </c>
      <c r="AA82" s="15">
        <v>-8.530086030162431E-4</v>
      </c>
      <c r="AB82" s="6">
        <f>IFERROR(VLOOKUP($I82,[1]RESUMO!$A$5:$M$150,5,FALSE),"")</f>
        <v>116</v>
      </c>
      <c r="AC82" s="46">
        <f t="shared" si="34"/>
        <v>-0.9444104553071242</v>
      </c>
      <c r="AD82" s="6">
        <v>-2086.7233333333334</v>
      </c>
      <c r="AE82" s="15">
        <v>-8.1421503528406687E-4</v>
      </c>
      <c r="AF82" s="6">
        <v>-2086.7233333333334</v>
      </c>
      <c r="AG82" s="15">
        <v>-9.4094393323560942E-4</v>
      </c>
      <c r="AH82" s="6">
        <v>-2086.7233333333334</v>
      </c>
      <c r="AI82" s="15">
        <v>-9.2901420826585078E-4</v>
      </c>
      <c r="AJ82" s="6">
        <v>-2086.7233333333334</v>
      </c>
      <c r="AK82" s="15">
        <v>-7.754206519995342E-4</v>
      </c>
      <c r="AL82" s="6">
        <v>-2086.7233333333334</v>
      </c>
      <c r="AM82" s="15">
        <v>-7.0038190193127893E-4</v>
      </c>
      <c r="AN82" s="6">
        <v>-2086.7233333333334</v>
      </c>
      <c r="AO82" s="15">
        <v>-6.9290341663381569E-4</v>
      </c>
      <c r="AP82" s="6">
        <v>-2086.7233333333334</v>
      </c>
      <c r="AQ82" s="15">
        <v>-7.6197508776846222E-4</v>
      </c>
      <c r="AR82" s="6">
        <v>-2086.7233333333334</v>
      </c>
      <c r="AS82" s="15">
        <v>-8.4948018117345233E-4</v>
      </c>
      <c r="AU82" s="6">
        <v>-25040.680000000008</v>
      </c>
      <c r="AV82" s="15">
        <v>-8.346893333333336E-4</v>
      </c>
      <c r="AW82" s="6">
        <v>-2086.7233333333338</v>
      </c>
    </row>
    <row r="83" spans="2:49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IFERROR(VLOOKUP($I83,[1]RESUMO!$A$5:$M$150,2,FALSE),"")</f>
        <v>2231.33</v>
      </c>
      <c r="Q83" s="46">
        <f t="shared" si="28"/>
        <v>-0.61748628571428577</v>
      </c>
      <c r="R83" s="6">
        <v>-5833.333333333333</v>
      </c>
      <c r="S83" s="15">
        <v>-2.6205591816001418E-3</v>
      </c>
      <c r="T83" s="6">
        <f>IFERROR(VLOOKUP($I83,[1]RESUMO!$A$5:$M$150,3,FALSE),"")</f>
        <v>4424.49</v>
      </c>
      <c r="U83" s="46">
        <f t="shared" si="32"/>
        <v>-0.24151599999999995</v>
      </c>
      <c r="V83" s="6">
        <v>-5833.333333333333</v>
      </c>
      <c r="W83" s="15">
        <v>-2.083014394002923E-3</v>
      </c>
      <c r="X83" s="6">
        <f>IFERROR(VLOOKUP($I83,[1]RESUMO!$A$5:$M$150,4,FALSE),"")</f>
        <v>1873.7600000000002</v>
      </c>
      <c r="Y83" s="46">
        <f t="shared" si="33"/>
        <v>-0.67878399999999994</v>
      </c>
      <c r="Z83" s="6">
        <v>-5833.333333333333</v>
      </c>
      <c r="AA83" s="15">
        <v>-2.3845439585161829E-3</v>
      </c>
      <c r="AB83" s="6">
        <f>IFERROR(VLOOKUP($I83,[1]RESUMO!$A$5:$M$150,5,FALSE),"")</f>
        <v>1197.0999999999999</v>
      </c>
      <c r="AC83" s="46">
        <f t="shared" si="34"/>
        <v>-0.79478285714285712</v>
      </c>
      <c r="AD83" s="6">
        <v>-5833.333333333333</v>
      </c>
      <c r="AE83" s="15">
        <v>-2.2760984314277679E-3</v>
      </c>
      <c r="AF83" s="6">
        <v>-5833.333333333333</v>
      </c>
      <c r="AG83" s="15">
        <v>-2.6303628865706787E-3</v>
      </c>
      <c r="AH83" s="6">
        <v>-5833.333333333333</v>
      </c>
      <c r="AI83" s="15">
        <v>-2.5970139220903568E-3</v>
      </c>
      <c r="AJ83" s="6">
        <v>-5833.333333333333</v>
      </c>
      <c r="AK83" s="15">
        <v>-2.167650624502505E-3</v>
      </c>
      <c r="AL83" s="6">
        <v>-5833.333333333333</v>
      </c>
      <c r="AM83" s="15">
        <v>-1.9578834574456253E-3</v>
      </c>
      <c r="AN83" s="6">
        <v>-5833.333333333333</v>
      </c>
      <c r="AO83" s="15">
        <v>-1.9369777164345015E-3</v>
      </c>
      <c r="AP83" s="6">
        <v>-5833.333333333333</v>
      </c>
      <c r="AQ83" s="15">
        <v>-2.1300642052768676E-3</v>
      </c>
      <c r="AR83" s="6">
        <v>-5833.333333333333</v>
      </c>
      <c r="AS83" s="15">
        <v>-2.3746804272943727E-3</v>
      </c>
      <c r="AU83" s="6">
        <v>-70000.000000000015</v>
      </c>
      <c r="AV83" s="15">
        <v>-2.333333333333334E-3</v>
      </c>
      <c r="AW83" s="6">
        <v>-5833.3333333333348</v>
      </c>
    </row>
    <row r="84" spans="2:49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IFERROR(VLOOKUP($I84,[1]RESUMO!$A$5:$M$150,2,FALSE),"")</f>
        <v>3330.86</v>
      </c>
      <c r="Q84" s="46">
        <f t="shared" si="28"/>
        <v>0.33234399999999997</v>
      </c>
      <c r="R84" s="6">
        <v>-2500</v>
      </c>
      <c r="S84" s="15">
        <v>-1.1230967921143466E-3</v>
      </c>
      <c r="T84" s="6">
        <f>IFERROR(VLOOKUP($I84,[1]RESUMO!$A$5:$M$150,3,FALSE),"")</f>
        <v>369.46000000000004</v>
      </c>
      <c r="U84" s="46">
        <f t="shared" si="32"/>
        <v>-0.85221599999999997</v>
      </c>
      <c r="V84" s="6">
        <v>-2500</v>
      </c>
      <c r="W84" s="15">
        <v>-8.927204545726812E-4</v>
      </c>
      <c r="X84" s="6">
        <f>IFERROR(VLOOKUP($I84,[1]RESUMO!$A$5:$M$150,4,FALSE),"")</f>
        <v>1065.51</v>
      </c>
      <c r="Y84" s="46">
        <f t="shared" si="33"/>
        <v>-0.57379599999999997</v>
      </c>
      <c r="Z84" s="6">
        <v>-2500</v>
      </c>
      <c r="AA84" s="15">
        <v>-1.0219474107926499E-3</v>
      </c>
      <c r="AB84" s="6">
        <f>IFERROR(VLOOKUP($I84,[1]RESUMO!$A$5:$M$150,5,FALSE),"")</f>
        <v>170.15</v>
      </c>
      <c r="AC84" s="46">
        <f t="shared" si="34"/>
        <v>-0.93193999999999999</v>
      </c>
      <c r="AD84" s="6">
        <v>-2500</v>
      </c>
      <c r="AE84" s="15">
        <v>-9.7547075632618623E-4</v>
      </c>
      <c r="AF84" s="6">
        <v>-2500</v>
      </c>
      <c r="AG84" s="15">
        <v>-1.1272983799588622E-3</v>
      </c>
      <c r="AH84" s="6">
        <v>-2500</v>
      </c>
      <c r="AI84" s="15">
        <v>-1.1130059666101528E-3</v>
      </c>
      <c r="AJ84" s="6">
        <v>-2500</v>
      </c>
      <c r="AK84" s="15">
        <v>-9.2899312478678792E-4</v>
      </c>
      <c r="AL84" s="6">
        <v>-2500</v>
      </c>
      <c r="AM84" s="15">
        <v>-8.390929103338395E-4</v>
      </c>
      <c r="AN84" s="6">
        <v>-2500</v>
      </c>
      <c r="AO84" s="15">
        <v>-8.301333070433578E-4</v>
      </c>
      <c r="AP84" s="6">
        <v>-2500</v>
      </c>
      <c r="AQ84" s="15">
        <v>-9.1288465940437191E-4</v>
      </c>
      <c r="AR84" s="6">
        <v>-2500</v>
      </c>
      <c r="AS84" s="15">
        <v>-1.0177201831261598E-3</v>
      </c>
      <c r="AU84" s="6">
        <v>-30000</v>
      </c>
      <c r="AV84" s="15">
        <v>-1E-3</v>
      </c>
      <c r="AW84" s="6">
        <v>-2500</v>
      </c>
    </row>
    <row r="85" spans="2:49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f>SUM(AB86:AB100)</f>
        <v>5156.8</v>
      </c>
      <c r="AC85" s="45">
        <f>(AB85*-1)/Z85-1</f>
        <v>-0.74666447354541376</v>
      </c>
      <c r="AD85" s="8">
        <v>-20355.613253968255</v>
      </c>
      <c r="AE85" s="13">
        <v>-7.942522182532703E-3</v>
      </c>
      <c r="AF85" s="8">
        <v>-20355.613253968255</v>
      </c>
      <c r="AG85" s="13">
        <v>-9.1787399377070231E-3</v>
      </c>
      <c r="AH85" s="8">
        <v>-20355.613253968255</v>
      </c>
      <c r="AI85" s="13">
        <v>-9.0623676022701521E-3</v>
      </c>
      <c r="AJ85" s="8">
        <v>-20355.613253968255</v>
      </c>
      <c r="AK85" s="13">
        <v>-7.5640899055021303E-3</v>
      </c>
      <c r="AL85" s="8">
        <v>-20355.613253968255</v>
      </c>
      <c r="AM85" s="13">
        <v>-6.8321003067609203E-3</v>
      </c>
      <c r="AN85" s="8">
        <v>-20355.613253968255</v>
      </c>
      <c r="AO85" s="13">
        <v>-6.7591490189649094E-3</v>
      </c>
      <c r="AP85" s="8">
        <v>-20355.613253968255</v>
      </c>
      <c r="AQ85" s="13">
        <v>-7.4329308289263719E-3</v>
      </c>
      <c r="AR85" s="8">
        <v>-20355.613253968255</v>
      </c>
      <c r="AS85" s="13">
        <v>-8.2865273793895442E-3</v>
      </c>
      <c r="AT85" s="16"/>
      <c r="AU85" s="8">
        <v>-244267.35904761904</v>
      </c>
      <c r="AV85" s="13">
        <v>-8.1422453015873014E-3</v>
      </c>
      <c r="AW85" s="8">
        <v>-20355.613253968251</v>
      </c>
    </row>
    <row r="86" spans="2:49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IFERROR(VLOOKUP($I86,[1]RESUMO!$A$5:$M$150,2,FALSE),"")</f>
        <v>800</v>
      </c>
      <c r="Q86" s="46">
        <f t="shared" si="28"/>
        <v>-5.8823529411764719E-2</v>
      </c>
      <c r="R86" s="6">
        <v>-850</v>
      </c>
      <c r="S86" s="15">
        <v>-3.8185290931887781E-4</v>
      </c>
      <c r="T86" s="6">
        <f>IFERROR(VLOOKUP($I86,[1]RESUMO!$A$5:$M$150,3,FALSE),"")</f>
        <v>900</v>
      </c>
      <c r="U86" s="46">
        <f t="shared" ref="U86:U100" si="35">IFERROR((T86*-1)/R86-1,"")</f>
        <v>5.8823529411764719E-2</v>
      </c>
      <c r="V86" s="6">
        <v>-850</v>
      </c>
      <c r="W86" s="15">
        <v>-3.0352495455471159E-4</v>
      </c>
      <c r="X86" s="6">
        <f>IFERROR(VLOOKUP($I86,[1]RESUMO!$A$5:$M$150,4,FALSE),"")</f>
        <v>900</v>
      </c>
      <c r="Y86" s="46">
        <f t="shared" ref="Y86:Y100" si="36">IFERROR((X86*-1)/V86-1,"")</f>
        <v>5.8823529411764719E-2</v>
      </c>
      <c r="Z86" s="6">
        <v>-850</v>
      </c>
      <c r="AA86" s="15">
        <v>-3.4746211966950097E-4</v>
      </c>
      <c r="AB86" s="6">
        <f>IFERROR(VLOOKUP($I86,[1]RESUMO!$A$5:$M$150,5,FALSE),"")</f>
        <v>900</v>
      </c>
      <c r="AC86" s="46">
        <f t="shared" ref="AC86:AC100" si="37">IFERROR((AB86*-1)/Z86-1,"")</f>
        <v>5.8823529411764719E-2</v>
      </c>
      <c r="AD86" s="6">
        <v>-850</v>
      </c>
      <c r="AE86" s="15">
        <v>-3.3166005715090332E-4</v>
      </c>
      <c r="AF86" s="6">
        <v>-850</v>
      </c>
      <c r="AG86" s="15">
        <v>-3.8328144918601317E-4</v>
      </c>
      <c r="AH86" s="6">
        <v>-850</v>
      </c>
      <c r="AI86" s="15">
        <v>-3.7842202864745198E-4</v>
      </c>
      <c r="AJ86" s="6">
        <v>-850</v>
      </c>
      <c r="AK86" s="15">
        <v>-3.1585766242750793E-4</v>
      </c>
      <c r="AL86" s="6">
        <v>-850</v>
      </c>
      <c r="AM86" s="15">
        <v>-2.8529158951350547E-4</v>
      </c>
      <c r="AN86" s="6">
        <v>-850</v>
      </c>
      <c r="AO86" s="15">
        <v>-2.8224532439474168E-4</v>
      </c>
      <c r="AP86" s="6">
        <v>-850</v>
      </c>
      <c r="AQ86" s="15">
        <v>-3.1038078419748643E-4</v>
      </c>
      <c r="AR86" s="6">
        <v>-850</v>
      </c>
      <c r="AS86" s="15">
        <v>-3.4602486226289434E-4</v>
      </c>
      <c r="AU86" s="6">
        <v>-10200</v>
      </c>
      <c r="AV86" s="15">
        <v>-3.4000000000000002E-4</v>
      </c>
      <c r="AW86" s="6">
        <v>-850</v>
      </c>
    </row>
    <row r="87" spans="2:49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IFERROR(VLOOKUP($I87,[1]RESUMO!$A$5:$M$150,2,FALSE),"")</f>
        <v>32.229999999999997</v>
      </c>
      <c r="Q87" s="46">
        <f t="shared" si="28"/>
        <v>4.0348612007746754E-2</v>
      </c>
      <c r="R87" s="6">
        <v>-30.98</v>
      </c>
      <c r="S87" s="15">
        <v>-1.3917415447880983E-5</v>
      </c>
      <c r="T87" s="6">
        <f>IFERROR(VLOOKUP($I87,[1]RESUMO!$A$5:$M$150,3,FALSE),"")</f>
        <v>32.229999999999997</v>
      </c>
      <c r="U87" s="46">
        <f t="shared" si="35"/>
        <v>4.0348612007746754E-2</v>
      </c>
      <c r="V87" s="6">
        <v>-30.98</v>
      </c>
      <c r="W87" s="15">
        <v>-1.1062591873064665E-5</v>
      </c>
      <c r="X87" s="6">
        <f>IFERROR(VLOOKUP($I87,[1]RESUMO!$A$5:$M$150,4,FALSE),"")</f>
        <v>32.229999999999997</v>
      </c>
      <c r="Y87" s="46">
        <f t="shared" si="36"/>
        <v>4.0348612007746754E-2</v>
      </c>
      <c r="Z87" s="6">
        <v>-30.98</v>
      </c>
      <c r="AA87" s="15">
        <v>-1.2663972314542518E-5</v>
      </c>
      <c r="AB87" s="6">
        <f>IFERROR(VLOOKUP($I87,[1]RESUMO!$A$5:$M$150,5,FALSE),"")</f>
        <v>0</v>
      </c>
      <c r="AC87" s="46">
        <f t="shared" si="37"/>
        <v>-1</v>
      </c>
      <c r="AD87" s="6">
        <v>-30.98</v>
      </c>
      <c r="AE87" s="15">
        <v>-1.2088033612394101E-5</v>
      </c>
      <c r="AF87" s="6">
        <v>-30.98</v>
      </c>
      <c r="AG87" s="15">
        <v>-1.3969481524450221E-5</v>
      </c>
      <c r="AH87" s="6">
        <v>-30.98</v>
      </c>
      <c r="AI87" s="15">
        <v>-1.3792369938233016E-5</v>
      </c>
      <c r="AJ87" s="6">
        <v>-30.98</v>
      </c>
      <c r="AK87" s="15">
        <v>-1.1512082802357877E-5</v>
      </c>
      <c r="AL87" s="6">
        <v>-30.98</v>
      </c>
      <c r="AM87" s="15">
        <v>-1.039803934485694E-5</v>
      </c>
      <c r="AN87" s="6">
        <v>-30.98</v>
      </c>
      <c r="AO87" s="15">
        <v>-1.0287011940881291E-5</v>
      </c>
      <c r="AP87" s="6">
        <v>-30.98</v>
      </c>
      <c r="AQ87" s="15">
        <v>-1.1312466699338976E-5</v>
      </c>
      <c r="AR87" s="6">
        <v>-30.98</v>
      </c>
      <c r="AS87" s="15">
        <v>-1.2611588509299373E-5</v>
      </c>
      <c r="AU87" s="6">
        <v>-371.76000000000005</v>
      </c>
      <c r="AV87" s="15">
        <v>-1.2392000000000001E-5</v>
      </c>
      <c r="AW87" s="6">
        <v>-30.980000000000004</v>
      </c>
    </row>
    <row r="88" spans="2:49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IFERROR(VLOOKUP($I88,[1]RESUMO!$A$5:$M$150,2,FALSE),"")</f>
        <v>98.41</v>
      </c>
      <c r="Q88" s="46">
        <f t="shared" si="28"/>
        <v>0.64419886865408005</v>
      </c>
      <c r="R88" s="6">
        <v>-59.852857142857147</v>
      </c>
      <c r="S88" s="15">
        <v>-2.6888220742408446E-5</v>
      </c>
      <c r="T88" s="6">
        <f>IFERROR(VLOOKUP($I88,[1]RESUMO!$A$5:$M$150,3,FALSE),"")</f>
        <v>91.95</v>
      </c>
      <c r="U88" s="46">
        <f t="shared" si="35"/>
        <v>0.53626751318710175</v>
      </c>
      <c r="V88" s="6">
        <v>-59.852857142857147</v>
      </c>
      <c r="W88" s="15">
        <v>-2.1372747934418072E-5</v>
      </c>
      <c r="X88" s="6">
        <f>IFERROR(VLOOKUP($I88,[1]RESUMO!$A$5:$M$150,4,FALSE),"")</f>
        <v>0</v>
      </c>
      <c r="Y88" s="46">
        <f t="shared" si="36"/>
        <v>-1</v>
      </c>
      <c r="Z88" s="6">
        <v>-59.852857142857147</v>
      </c>
      <c r="AA88" s="15">
        <v>-2.4466588954274089E-5</v>
      </c>
      <c r="AB88" s="6">
        <f>IFERROR(VLOOKUP($I88,[1]RESUMO!$A$5:$M$150,5,FALSE),"")</f>
        <v>60</v>
      </c>
      <c r="AC88" s="46">
        <f t="shared" si="37"/>
        <v>2.458409910017334E-3</v>
      </c>
      <c r="AD88" s="6">
        <v>-59.852857142857147</v>
      </c>
      <c r="AE88" s="15">
        <v>-2.3353884730170417E-5</v>
      </c>
      <c r="AF88" s="6">
        <v>-59.852857142857147</v>
      </c>
      <c r="AG88" s="15">
        <v>-2.6988811557220833E-5</v>
      </c>
      <c r="AH88" s="6">
        <v>-59.852857142857147</v>
      </c>
      <c r="AI88" s="15">
        <v>-2.6646634847466045E-5</v>
      </c>
      <c r="AJ88" s="6">
        <v>-59.852857142857147</v>
      </c>
      <c r="AK88" s="15">
        <v>-2.2241157113824032E-5</v>
      </c>
      <c r="AL88" s="6">
        <v>-59.852857142857147</v>
      </c>
      <c r="AM88" s="15">
        <v>-2.0088843236718215E-5</v>
      </c>
      <c r="AN88" s="6">
        <v>-59.852857142857147</v>
      </c>
      <c r="AO88" s="15">
        <v>-1.9874340094397465E-5</v>
      </c>
      <c r="AP88" s="6">
        <v>-59.852857142857147</v>
      </c>
      <c r="AQ88" s="15">
        <v>-2.185550204289427E-5</v>
      </c>
      <c r="AR88" s="6">
        <v>-59.852857142857147</v>
      </c>
      <c r="AS88" s="15">
        <v>-2.4365384292820986E-5</v>
      </c>
      <c r="AU88" s="6">
        <v>-718.23428571428576</v>
      </c>
      <c r="AV88" s="15">
        <v>-2.394114285714286E-5</v>
      </c>
      <c r="AW88" s="6">
        <v>-59.852857142857147</v>
      </c>
    </row>
    <row r="89" spans="2:49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IFERROR(VLOOKUP($I89,[1]RESUMO!$A$5:$M$150,2,FALSE),"")</f>
        <v>1996.0500000000002</v>
      </c>
      <c r="Q89" s="46">
        <f t="shared" si="28"/>
        <v>-0.11781734503261687</v>
      </c>
      <c r="R89" s="6">
        <v>-2262.6266666666666</v>
      </c>
      <c r="S89" s="15">
        <v>-1.016459500434284E-3</v>
      </c>
      <c r="T89" s="6">
        <f>IFERROR(VLOOKUP($I89,[1]RESUMO!$A$5:$M$150,3,FALSE),"")</f>
        <v>2146.02</v>
      </c>
      <c r="U89" s="46">
        <f t="shared" si="35"/>
        <v>-5.1535972940004782E-2</v>
      </c>
      <c r="V89" s="6">
        <v>-2262.6266666666666</v>
      </c>
      <c r="W89" s="15">
        <v>-8.0795724255797478E-4</v>
      </c>
      <c r="X89" s="6">
        <f>IFERROR(VLOOKUP($I89,[1]RESUMO!$A$5:$M$150,4,FALSE),"")</f>
        <v>2146.02</v>
      </c>
      <c r="Y89" s="46">
        <f t="shared" si="36"/>
        <v>-5.1535972940004782E-2</v>
      </c>
      <c r="Z89" s="6">
        <v>-2262.6266666666666</v>
      </c>
      <c r="AA89" s="15">
        <v>-9.2491418543616153E-4</v>
      </c>
      <c r="AB89" s="6">
        <f>IFERROR(VLOOKUP($I89,[1]RESUMO!$A$5:$M$150,5,FALSE),"")</f>
        <v>464.9</v>
      </c>
      <c r="AC89" s="46">
        <f t="shared" si="37"/>
        <v>-0.79453084026234999</v>
      </c>
      <c r="AD89" s="6">
        <v>-2262.6266666666666</v>
      </c>
      <c r="AE89" s="15">
        <v>-8.828504583268524E-4</v>
      </c>
      <c r="AF89" s="6">
        <v>-2262.6266666666666</v>
      </c>
      <c r="AG89" s="15">
        <v>-1.0202621503140215E-3</v>
      </c>
      <c r="AH89" s="6">
        <v>-2262.6266666666666</v>
      </c>
      <c r="AI89" s="15">
        <v>-1.0073267920844965E-3</v>
      </c>
      <c r="AJ89" s="6">
        <v>-2262.6266666666666</v>
      </c>
      <c r="AK89" s="15">
        <v>-8.407858469170322E-4</v>
      </c>
      <c r="AL89" s="6">
        <v>-2262.6266666666666</v>
      </c>
      <c r="AM89" s="15">
        <v>-7.5942159789291501E-4</v>
      </c>
      <c r="AN89" s="6">
        <v>-2262.6266666666666</v>
      </c>
      <c r="AO89" s="15">
        <v>-7.5131270296179562E-4</v>
      </c>
      <c r="AP89" s="6">
        <v>-2262.6266666666666</v>
      </c>
      <c r="AQ89" s="15">
        <v>-8.2620686958369965E-4</v>
      </c>
      <c r="AR89" s="6">
        <v>-2262.6266666666666</v>
      </c>
      <c r="AS89" s="15">
        <v>-9.2108833021845298E-4</v>
      </c>
      <c r="AU89" s="6">
        <v>-27151.52</v>
      </c>
      <c r="AV89" s="15">
        <v>-9.0505066666666666E-4</v>
      </c>
      <c r="AW89" s="6">
        <v>-2262.6266666666666</v>
      </c>
    </row>
    <row r="90" spans="2:49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IFERROR(VLOOKUP($I90,[1]RESUMO!$A$5:$M$150,2,FALSE),"")</f>
        <v>111.89</v>
      </c>
      <c r="Q90" s="46">
        <f t="shared" si="28"/>
        <v>-0.72757264769974317</v>
      </c>
      <c r="R90" s="6">
        <v>-410.71500000000003</v>
      </c>
      <c r="S90" s="15">
        <v>-1.8450907958929755E-4</v>
      </c>
      <c r="T90" s="6">
        <f>IFERROR(VLOOKUP($I90,[1]RESUMO!$A$5:$M$150,3,FALSE),"")</f>
        <v>373.27</v>
      </c>
      <c r="U90" s="46">
        <f t="shared" si="35"/>
        <v>-9.1170276225606695E-2</v>
      </c>
      <c r="V90" s="6">
        <v>-410.71500000000003</v>
      </c>
      <c r="W90" s="15">
        <v>-1.4666147259992751E-4</v>
      </c>
      <c r="X90" s="6">
        <f>IFERROR(VLOOKUP($I90,[1]RESUMO!$A$5:$M$150,4,FALSE),"")</f>
        <v>382.17</v>
      </c>
      <c r="Y90" s="46">
        <f t="shared" si="36"/>
        <v>-6.9500748694350079E-2</v>
      </c>
      <c r="Z90" s="6">
        <v>-410.71500000000003</v>
      </c>
      <c r="AA90" s="15">
        <v>-1.6789165232948129E-4</v>
      </c>
      <c r="AB90" s="6">
        <f>IFERROR(VLOOKUP($I90,[1]RESUMO!$A$5:$M$150,5,FALSE),"")</f>
        <v>388.82</v>
      </c>
      <c r="AC90" s="46">
        <f t="shared" si="37"/>
        <v>-5.3309472505265298E-2</v>
      </c>
      <c r="AD90" s="6">
        <v>-410.71500000000003</v>
      </c>
      <c r="AE90" s="15">
        <v>-1.6025618867380385E-4</v>
      </c>
      <c r="AF90" s="6">
        <v>-410.71500000000003</v>
      </c>
      <c r="AG90" s="15">
        <v>-1.8519934164992166E-4</v>
      </c>
      <c r="AH90" s="6">
        <v>-410.71500000000003</v>
      </c>
      <c r="AI90" s="15">
        <v>-1.828512982305156E-4</v>
      </c>
      <c r="AJ90" s="6">
        <v>-410.71500000000003</v>
      </c>
      <c r="AK90" s="15">
        <v>-1.5262056449872225E-4</v>
      </c>
      <c r="AL90" s="6">
        <v>-410.71500000000003</v>
      </c>
      <c r="AM90" s="15">
        <v>-1.3785121786710517E-4</v>
      </c>
      <c r="AN90" s="6">
        <v>-410.71500000000003</v>
      </c>
      <c r="AO90" s="15">
        <v>-1.3637928048092508E-4</v>
      </c>
      <c r="AP90" s="6">
        <v>-410.71500000000003</v>
      </c>
      <c r="AQ90" s="15">
        <v>-1.4997416915490665E-4</v>
      </c>
      <c r="AR90" s="6">
        <v>-410.71500000000003</v>
      </c>
      <c r="AS90" s="15">
        <v>-1.6719717800506431E-4</v>
      </c>
      <c r="AU90" s="6">
        <v>-4928.5800000000008</v>
      </c>
      <c r="AV90" s="15">
        <v>-1.6428600000000003E-4</v>
      </c>
      <c r="AW90" s="6">
        <v>-410.71500000000009</v>
      </c>
    </row>
    <row r="91" spans="2:49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IFERROR(VLOOKUP($I91,[1]RESUMO!$A$5:$M$150,2,FALSE),"")</f>
        <v>367.37</v>
      </c>
      <c r="Q91" s="46">
        <f t="shared" si="28"/>
        <v>-0.45998370453123238</v>
      </c>
      <c r="R91" s="6">
        <v>-680.29428571428582</v>
      </c>
      <c r="S91" s="15">
        <v>-3.0561453199177404E-4</v>
      </c>
      <c r="T91" s="6">
        <f>IFERROR(VLOOKUP($I91,[1]RESUMO!$A$5:$M$150,3,FALSE),"")</f>
        <v>577.9</v>
      </c>
      <c r="U91" s="46">
        <f t="shared" si="35"/>
        <v>-0.15051469322100119</v>
      </c>
      <c r="V91" s="6">
        <v>-680.29428571428582</v>
      </c>
      <c r="W91" s="15">
        <v>-2.4292504959442189E-4</v>
      </c>
      <c r="X91" s="6">
        <f>IFERROR(VLOOKUP($I91,[1]RESUMO!$A$5:$M$150,4,FALSE),"")</f>
        <v>427.23</v>
      </c>
      <c r="Y91" s="46">
        <f t="shared" si="36"/>
        <v>-0.37199237304863864</v>
      </c>
      <c r="Z91" s="6">
        <v>-680.29428571428582</v>
      </c>
      <c r="AA91" s="15">
        <v>-2.7808999354509984E-4</v>
      </c>
      <c r="AB91" s="6">
        <f>IFERROR(VLOOKUP($I91,[1]RESUMO!$A$5:$M$150,5,FALSE),"")</f>
        <v>448.1</v>
      </c>
      <c r="AC91" s="46">
        <f t="shared" si="37"/>
        <v>-0.34131447314817542</v>
      </c>
      <c r="AD91" s="6">
        <v>-680.29428571428582</v>
      </c>
      <c r="AE91" s="15">
        <v>-2.6544287256403883E-4</v>
      </c>
      <c r="AF91" s="6">
        <v>-680.29428571428582</v>
      </c>
      <c r="AG91" s="15">
        <v>-3.067578584723943E-4</v>
      </c>
      <c r="AH91" s="6">
        <v>-680.29428571428582</v>
      </c>
      <c r="AI91" s="15">
        <v>-3.0286863962031692E-4</v>
      </c>
      <c r="AJ91" s="6">
        <v>-680.29428571428582</v>
      </c>
      <c r="AK91" s="15">
        <v>-2.527954857041241E-4</v>
      </c>
      <c r="AL91" s="6">
        <v>-680.29428571428582</v>
      </c>
      <c r="AM91" s="15">
        <v>-2.2833204483339227E-4</v>
      </c>
      <c r="AN91" s="6">
        <v>-680.29428571428582</v>
      </c>
      <c r="AO91" s="15">
        <v>-2.2589397806507962E-4</v>
      </c>
      <c r="AP91" s="6">
        <v>-680.29428571428582</v>
      </c>
      <c r="AQ91" s="15">
        <v>-2.484120869236105E-4</v>
      </c>
      <c r="AR91" s="6">
        <v>-680.29428571428582</v>
      </c>
      <c r="AS91" s="15">
        <v>-2.7693969001472925E-4</v>
      </c>
      <c r="AU91" s="6">
        <v>-8163.5314285714312</v>
      </c>
      <c r="AV91" s="15">
        <v>-2.7211771428571439E-4</v>
      </c>
      <c r="AW91" s="6">
        <v>-680.29428571428593</v>
      </c>
    </row>
    <row r="92" spans="2:49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IFERROR(VLOOKUP($I92,[1]RESUMO!$A$5:$M$150,2,FALSE),"")</f>
        <v>15.99</v>
      </c>
      <c r="Q92" s="46">
        <f t="shared" si="28"/>
        <v>-0.92880888070998191</v>
      </c>
      <c r="R92" s="6">
        <v>-224.60666666666668</v>
      </c>
      <c r="S92" s="15">
        <v>-1.0090201072833187E-4</v>
      </c>
      <c r="T92" s="6">
        <f>IFERROR(VLOOKUP($I92,[1]RESUMO!$A$5:$M$150,3,FALSE),"")</f>
        <v>368.6</v>
      </c>
      <c r="U92" s="46">
        <f t="shared" si="35"/>
        <v>0.64109109257665242</v>
      </c>
      <c r="V92" s="6">
        <v>-224.60666666666668</v>
      </c>
      <c r="W92" s="15">
        <v>-8.020438622668855E-5</v>
      </c>
      <c r="X92" s="6">
        <f>IFERROR(VLOOKUP($I92,[1]RESUMO!$A$5:$M$150,4,FALSE),"")</f>
        <v>150.63</v>
      </c>
      <c r="Y92" s="46">
        <f t="shared" si="36"/>
        <v>-0.32936095693211842</v>
      </c>
      <c r="Z92" s="6">
        <v>-224.60666666666668</v>
      </c>
      <c r="AA92" s="15">
        <v>-9.1814480578707118E-5</v>
      </c>
      <c r="AB92" s="6">
        <f>IFERROR(VLOOKUP($I92,[1]RESUMO!$A$5:$M$150,5,FALSE),"")</f>
        <v>0</v>
      </c>
      <c r="AC92" s="46">
        <f t="shared" si="37"/>
        <v>-1</v>
      </c>
      <c r="AD92" s="6">
        <v>-224.60666666666668</v>
      </c>
      <c r="AE92" s="15">
        <v>-8.763889400369478E-5</v>
      </c>
      <c r="AF92" s="6">
        <v>-224.60666666666668</v>
      </c>
      <c r="AG92" s="15">
        <v>-1.0127949258451742E-4</v>
      </c>
      <c r="AH92" s="6">
        <v>-224.60666666666668</v>
      </c>
      <c r="AI92" s="15">
        <v>-9.9995424056167114E-5</v>
      </c>
      <c r="AJ92" s="6">
        <v>-224.60666666666668</v>
      </c>
      <c r="AK92" s="15">
        <v>-8.3463219645844465E-5</v>
      </c>
      <c r="AL92" s="6">
        <v>-224.60666666666668</v>
      </c>
      <c r="AM92" s="15">
        <v>-7.5386344645486371E-5</v>
      </c>
      <c r="AN92" s="6">
        <v>-224.60666666666668</v>
      </c>
      <c r="AO92" s="15">
        <v>-7.4581389993594056E-5</v>
      </c>
      <c r="AP92" s="6">
        <v>-224.60666666666668</v>
      </c>
      <c r="AQ92" s="15">
        <v>-8.2015992159980522E-5</v>
      </c>
      <c r="AR92" s="6">
        <v>-224.60666666666668</v>
      </c>
      <c r="AS92" s="15">
        <v>-9.1434695172542543E-5</v>
      </c>
      <c r="AU92" s="6">
        <v>-2695.2799999999993</v>
      </c>
      <c r="AV92" s="15">
        <v>-8.9842666666666639E-5</v>
      </c>
      <c r="AW92" s="6">
        <v>-224.6066666666666</v>
      </c>
    </row>
    <row r="93" spans="2:49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IFERROR(VLOOKUP($I93,[1]RESUMO!$A$5:$M$150,2,FALSE),"")</f>
        <v>351</v>
      </c>
      <c r="Q93" s="46">
        <f t="shared" si="28"/>
        <v>-0.36181818181818182</v>
      </c>
      <c r="R93" s="6">
        <v>-550</v>
      </c>
      <c r="S93" s="15">
        <v>-2.4708129426515626E-4</v>
      </c>
      <c r="T93" s="6">
        <f>IFERROR(VLOOKUP($I93,[1]RESUMO!$A$5:$M$150,3,FALSE),"")</f>
        <v>617.44000000000005</v>
      </c>
      <c r="U93" s="46">
        <f t="shared" si="35"/>
        <v>0.12261818181818196</v>
      </c>
      <c r="V93" s="6">
        <v>-550</v>
      </c>
      <c r="W93" s="15">
        <v>-1.9639850000598987E-4</v>
      </c>
      <c r="X93" s="6">
        <f>IFERROR(VLOOKUP($I93,[1]RESUMO!$A$5:$M$150,4,FALSE),"")</f>
        <v>351</v>
      </c>
      <c r="Y93" s="46">
        <f t="shared" si="36"/>
        <v>-0.36181818181818182</v>
      </c>
      <c r="Z93" s="6">
        <v>-550</v>
      </c>
      <c r="AA93" s="15">
        <v>-2.2482843037438296E-4</v>
      </c>
      <c r="AB93" s="6">
        <f>IFERROR(VLOOKUP($I93,[1]RESUMO!$A$5:$M$150,5,FALSE),"")</f>
        <v>0</v>
      </c>
      <c r="AC93" s="46">
        <f t="shared" si="37"/>
        <v>-1</v>
      </c>
      <c r="AD93" s="6">
        <v>-550</v>
      </c>
      <c r="AE93" s="15">
        <v>-2.1460356639176097E-4</v>
      </c>
      <c r="AF93" s="6">
        <v>-550</v>
      </c>
      <c r="AG93" s="15">
        <v>-2.4800564359094972E-4</v>
      </c>
      <c r="AH93" s="6">
        <v>-550</v>
      </c>
      <c r="AI93" s="15">
        <v>-2.4486131265423364E-4</v>
      </c>
      <c r="AJ93" s="6">
        <v>-550</v>
      </c>
      <c r="AK93" s="15">
        <v>-2.0437848745309334E-4</v>
      </c>
      <c r="AL93" s="6">
        <v>-550</v>
      </c>
      <c r="AM93" s="15">
        <v>-1.846004402734447E-4</v>
      </c>
      <c r="AN93" s="6">
        <v>-550</v>
      </c>
      <c r="AO93" s="15">
        <v>-1.8262932754953872E-4</v>
      </c>
      <c r="AP93" s="6">
        <v>-550</v>
      </c>
      <c r="AQ93" s="15">
        <v>-2.0083462506896181E-4</v>
      </c>
      <c r="AR93" s="6">
        <v>-550</v>
      </c>
      <c r="AS93" s="15">
        <v>-2.2389844028775516E-4</v>
      </c>
      <c r="AU93" s="6">
        <v>-6600</v>
      </c>
      <c r="AV93" s="15">
        <v>-2.2000000000000001E-4</v>
      </c>
      <c r="AW93" s="6">
        <v>-550</v>
      </c>
    </row>
    <row r="94" spans="2:49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IFERROR(VLOOKUP($I94,[1]RESUMO!$A$5:$M$150,2,FALSE),"")</f>
        <v>432.21</v>
      </c>
      <c r="Q94" s="46">
        <f t="shared" si="28"/>
        <v>3.7304000000000004E-2</v>
      </c>
      <c r="R94" s="6">
        <v>-416.66666666666669</v>
      </c>
      <c r="S94" s="15">
        <v>-1.8718279868572442E-4</v>
      </c>
      <c r="T94" s="6">
        <f>IFERROR(VLOOKUP($I94,[1]RESUMO!$A$5:$M$150,3,FALSE),"")</f>
        <v>511.6699999999999</v>
      </c>
      <c r="U94" s="46">
        <f t="shared" si="35"/>
        <v>0.22800799999999977</v>
      </c>
      <c r="V94" s="6">
        <v>-416.66666666666669</v>
      </c>
      <c r="W94" s="15">
        <v>-1.4878674242878022E-4</v>
      </c>
      <c r="X94" s="6">
        <f>IFERROR(VLOOKUP($I94,[1]RESUMO!$A$5:$M$150,4,FALSE),"")</f>
        <v>350.68</v>
      </c>
      <c r="Y94" s="46">
        <f t="shared" si="36"/>
        <v>-0.15836800000000006</v>
      </c>
      <c r="Z94" s="6">
        <v>-416.66666666666669</v>
      </c>
      <c r="AA94" s="15">
        <v>-1.7032456846544165E-4</v>
      </c>
      <c r="AB94" s="6">
        <f>IFERROR(VLOOKUP($I94,[1]RESUMO!$A$5:$M$150,5,FALSE),"")</f>
        <v>0</v>
      </c>
      <c r="AC94" s="46">
        <f t="shared" si="37"/>
        <v>-1</v>
      </c>
      <c r="AD94" s="6">
        <v>-416.66666666666669</v>
      </c>
      <c r="AE94" s="15">
        <v>-1.6257845938769772E-4</v>
      </c>
      <c r="AF94" s="6">
        <v>-416.66666666666669</v>
      </c>
      <c r="AG94" s="15">
        <v>-1.8788306332647705E-4</v>
      </c>
      <c r="AH94" s="6">
        <v>-416.66666666666669</v>
      </c>
      <c r="AI94" s="15">
        <v>-1.8550099443502549E-4</v>
      </c>
      <c r="AJ94" s="6">
        <v>-416.66666666666669</v>
      </c>
      <c r="AK94" s="15">
        <v>-1.5483218746446467E-4</v>
      </c>
      <c r="AL94" s="6">
        <v>-416.66666666666669</v>
      </c>
      <c r="AM94" s="15">
        <v>-1.3984881838897327E-4</v>
      </c>
      <c r="AN94" s="6">
        <v>-416.66666666666669</v>
      </c>
      <c r="AO94" s="15">
        <v>-1.3835555117389298E-4</v>
      </c>
      <c r="AP94" s="6">
        <v>-416.66666666666669</v>
      </c>
      <c r="AQ94" s="15">
        <v>-1.5214744323406199E-4</v>
      </c>
      <c r="AR94" s="6">
        <v>-416.66666666666669</v>
      </c>
      <c r="AS94" s="15">
        <v>-1.6962003052102664E-4</v>
      </c>
      <c r="AU94" s="6">
        <v>-5000</v>
      </c>
      <c r="AV94" s="15">
        <v>-1.6666666666666666E-4</v>
      </c>
      <c r="AW94" s="6">
        <v>-416.66666666666669</v>
      </c>
    </row>
    <row r="95" spans="2:49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IFERROR(VLOOKUP($I95,[1]RESUMO!$A$5:$M$150,2,FALSE),"")</f>
        <v>11212.419999999998</v>
      </c>
      <c r="Q95" s="46">
        <f t="shared" si="28"/>
        <v>-4.2445277011776139E-2</v>
      </c>
      <c r="R95" s="6">
        <v>-11709.43</v>
      </c>
      <c r="S95" s="15">
        <v>-5.2603293081949975E-3</v>
      </c>
      <c r="T95" s="6">
        <f>IFERROR(VLOOKUP($I95,[1]RESUMO!$A$5:$M$150,3,FALSE),"")</f>
        <v>11212.419999999998</v>
      </c>
      <c r="U95" s="46">
        <f t="shared" si="35"/>
        <v>-4.2445277011776139E-2</v>
      </c>
      <c r="V95" s="6">
        <v>-11709.43</v>
      </c>
      <c r="W95" s="15">
        <v>-4.1812990689547962E-3</v>
      </c>
      <c r="X95" s="6">
        <f>IFERROR(VLOOKUP($I95,[1]RESUMO!$A$5:$M$150,4,FALSE),"")</f>
        <v>11212.419999999998</v>
      </c>
      <c r="Y95" s="46">
        <f t="shared" si="36"/>
        <v>-4.2445277011776139E-2</v>
      </c>
      <c r="Z95" s="6">
        <v>-11709.43</v>
      </c>
      <c r="AA95" s="15">
        <v>-4.7865686681431117E-3</v>
      </c>
      <c r="AB95" s="6">
        <f>IFERROR(VLOOKUP($I95,[1]RESUMO!$A$5:$M$150,5,FALSE),"")</f>
        <v>1697.48</v>
      </c>
      <c r="AC95" s="46">
        <f t="shared" si="37"/>
        <v>-0.8550330801755508</v>
      </c>
      <c r="AD95" s="6">
        <v>-11709.43</v>
      </c>
      <c r="AE95" s="15">
        <v>-4.5688826152994145E-3</v>
      </c>
      <c r="AF95" s="6">
        <v>-11709.43</v>
      </c>
      <c r="AG95" s="15">
        <v>-5.2800085876966805E-3</v>
      </c>
      <c r="AH95" s="6">
        <v>-11709.43</v>
      </c>
      <c r="AI95" s="15">
        <v>-5.2130661822415696E-3</v>
      </c>
      <c r="AJ95" s="6">
        <v>-11709.43</v>
      </c>
      <c r="AK95" s="15">
        <v>-4.3511919860688636E-3</v>
      </c>
      <c r="AL95" s="6">
        <v>-11709.43</v>
      </c>
      <c r="AM95" s="15">
        <v>-3.9301198788201487E-3</v>
      </c>
      <c r="AN95" s="6">
        <v>-11709.43</v>
      </c>
      <c r="AO95" s="15">
        <v>-3.8881551397970822E-3</v>
      </c>
      <c r="AP95" s="6">
        <v>-11709.43</v>
      </c>
      <c r="AQ95" s="15">
        <v>-4.2757436069477336E-3</v>
      </c>
      <c r="AR95" s="6">
        <v>-11709.43</v>
      </c>
      <c r="AS95" s="15">
        <v>-4.7667692975611803E-3</v>
      </c>
      <c r="AU95" s="6">
        <v>-140513.15999999997</v>
      </c>
      <c r="AV95" s="15">
        <v>-4.6837719999999992E-3</v>
      </c>
      <c r="AW95" s="6">
        <v>-11709.429999999998</v>
      </c>
    </row>
    <row r="96" spans="2:49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IFERROR(VLOOKUP($I96,[1]RESUMO!$A$5:$M$150,2,FALSE),"")</f>
        <v>511.23</v>
      </c>
      <c r="Q96" s="46">
        <f t="shared" si="28"/>
        <v>-0.38270665797290437</v>
      </c>
      <c r="R96" s="6">
        <v>-828.18</v>
      </c>
      <c r="S96" s="15">
        <v>-3.7205052051730376E-4</v>
      </c>
      <c r="T96" s="6">
        <f>IFERROR(VLOOKUP($I96,[1]RESUMO!$A$5:$M$150,3,FALSE),"")</f>
        <v>981.08999999999992</v>
      </c>
      <c r="U96" s="46">
        <f t="shared" si="35"/>
        <v>0.18463377526624636</v>
      </c>
      <c r="V96" s="6">
        <v>-828.18</v>
      </c>
      <c r="W96" s="15">
        <v>-2.9573329042720123E-4</v>
      </c>
      <c r="X96" s="6">
        <f>IFERROR(VLOOKUP($I96,[1]RESUMO!$A$5:$M$150,4,FALSE),"")</f>
        <v>780.64</v>
      </c>
      <c r="Y96" s="46">
        <f t="shared" si="36"/>
        <v>-5.7402980028496198E-2</v>
      </c>
      <c r="Z96" s="6">
        <v>-828.18</v>
      </c>
      <c r="AA96" s="15">
        <v>-3.385425626681027E-4</v>
      </c>
      <c r="AB96" s="6">
        <f>IFERROR(VLOOKUP($I96,[1]RESUMO!$A$5:$M$150,5,FALSE),"")</f>
        <v>120</v>
      </c>
      <c r="AC96" s="46">
        <f t="shared" si="37"/>
        <v>-0.8551039629066145</v>
      </c>
      <c r="AD96" s="6">
        <v>-828.18</v>
      </c>
      <c r="AE96" s="15">
        <v>-3.2314614838968835E-4</v>
      </c>
      <c r="AF96" s="6">
        <v>-828.18</v>
      </c>
      <c r="AG96" s="15">
        <v>-3.734423889257322E-4</v>
      </c>
      <c r="AH96" s="6">
        <v>-828.18</v>
      </c>
      <c r="AI96" s="15">
        <v>-3.6870771257087857E-4</v>
      </c>
      <c r="AJ96" s="6">
        <v>-828.18</v>
      </c>
      <c r="AK96" s="15">
        <v>-3.0774941043436879E-4</v>
      </c>
      <c r="AL96" s="6">
        <v>-828.18</v>
      </c>
      <c r="AM96" s="15">
        <v>-2.7796798659211167E-4</v>
      </c>
      <c r="AN96" s="6">
        <v>-828.18</v>
      </c>
      <c r="AO96" s="15">
        <v>-2.749999208908672E-4</v>
      </c>
      <c r="AP96" s="6">
        <v>-828.18</v>
      </c>
      <c r="AQ96" s="15">
        <v>-3.0241312689020507E-4</v>
      </c>
      <c r="AR96" s="6">
        <v>-828.18</v>
      </c>
      <c r="AS96" s="15">
        <v>-3.3714220050456918E-4</v>
      </c>
      <c r="AU96" s="6">
        <v>-9938.1600000000017</v>
      </c>
      <c r="AV96" s="15">
        <v>-3.3127200000000008E-4</v>
      </c>
      <c r="AW96" s="6">
        <v>-828.18000000000018</v>
      </c>
    </row>
    <row r="97" spans="2:49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IFERROR(VLOOKUP($I97,[1]RESUMO!$A$5:$M$150,2,FALSE),"")</f>
        <v>370</v>
      </c>
      <c r="Q97" s="46">
        <f t="shared" si="28"/>
        <v>0</v>
      </c>
      <c r="R97" s="6">
        <v>-370</v>
      </c>
      <c r="S97" s="15">
        <v>-1.6621832523292329E-4</v>
      </c>
      <c r="T97" s="6">
        <f>IFERROR(VLOOKUP($I97,[1]RESUMO!$A$5:$M$150,3,FALSE),"")</f>
        <v>370</v>
      </c>
      <c r="U97" s="46">
        <f t="shared" si="35"/>
        <v>0</v>
      </c>
      <c r="V97" s="6">
        <v>-370</v>
      </c>
      <c r="W97" s="15">
        <v>-1.3212262727675683E-4</v>
      </c>
      <c r="X97" s="6">
        <f>IFERROR(VLOOKUP($I97,[1]RESUMO!$A$5:$M$150,4,FALSE),"")</f>
        <v>370</v>
      </c>
      <c r="Y97" s="46">
        <f t="shared" si="36"/>
        <v>0</v>
      </c>
      <c r="Z97" s="6">
        <v>-370</v>
      </c>
      <c r="AA97" s="15">
        <v>-1.5124821679731218E-4</v>
      </c>
      <c r="AB97" s="6">
        <f>IFERROR(VLOOKUP($I97,[1]RESUMO!$A$5:$M$150,5,FALSE),"")</f>
        <v>370</v>
      </c>
      <c r="AC97" s="46">
        <f t="shared" si="37"/>
        <v>0</v>
      </c>
      <c r="AD97" s="6">
        <v>-370</v>
      </c>
      <c r="AE97" s="15">
        <v>-1.4436967193627557E-4</v>
      </c>
      <c r="AF97" s="6">
        <v>-370</v>
      </c>
      <c r="AG97" s="15">
        <v>-1.6684016023391161E-4</v>
      </c>
      <c r="AH97" s="6">
        <v>-370</v>
      </c>
      <c r="AI97" s="15">
        <v>-1.6472488305830263E-4</v>
      </c>
      <c r="AJ97" s="6">
        <v>-370</v>
      </c>
      <c r="AK97" s="15">
        <v>-1.3749098246844461E-4</v>
      </c>
      <c r="AL97" s="6">
        <v>-370</v>
      </c>
      <c r="AM97" s="15">
        <v>-1.2418575072940826E-4</v>
      </c>
      <c r="AN97" s="6">
        <v>-370</v>
      </c>
      <c r="AO97" s="15">
        <v>-1.2285972944241696E-4</v>
      </c>
      <c r="AP97" s="6">
        <v>-370</v>
      </c>
      <c r="AQ97" s="15">
        <v>-1.3510692959184704E-4</v>
      </c>
      <c r="AR97" s="6">
        <v>-370</v>
      </c>
      <c r="AS97" s="15">
        <v>-1.5062258710267165E-4</v>
      </c>
      <c r="AU97" s="6">
        <v>-4440</v>
      </c>
      <c r="AV97" s="15">
        <v>-1.4799999999999999E-4</v>
      </c>
      <c r="AW97" s="6">
        <v>-370</v>
      </c>
    </row>
    <row r="98" spans="2:49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IFERROR(VLOOKUP($I98,[1]RESUMO!$A$5:$M$150,2,FALSE),"")</f>
        <v/>
      </c>
      <c r="Q98" s="46" t="str">
        <f t="shared" si="28"/>
        <v/>
      </c>
      <c r="R98" s="6">
        <v>-79.55</v>
      </c>
      <c r="S98" s="15">
        <v>-3.5736939925078502E-5</v>
      </c>
      <c r="T98" s="6" t="str">
        <f>IFERROR(VLOOKUP($I98,[1]RESUMO!$A$5:$M$150,3,FALSE),"")</f>
        <v/>
      </c>
      <c r="U98" s="46" t="str">
        <f t="shared" si="35"/>
        <v/>
      </c>
      <c r="V98" s="6">
        <v>-79.55</v>
      </c>
      <c r="W98" s="15">
        <v>-2.8406364864502715E-5</v>
      </c>
      <c r="X98" s="6" t="str">
        <f>IFERROR(VLOOKUP($I98,[1]RESUMO!$A$5:$M$150,4,FALSE),"")</f>
        <v/>
      </c>
      <c r="Y98" s="46" t="str">
        <f t="shared" si="36"/>
        <v/>
      </c>
      <c r="Z98" s="6">
        <v>-79.55</v>
      </c>
      <c r="AA98" s="15">
        <v>-3.2518366611422118E-5</v>
      </c>
      <c r="AB98" s="6" t="str">
        <f>IFERROR(VLOOKUP($I98,[1]RESUMO!$A$5:$M$150,5,FALSE),"")</f>
        <v/>
      </c>
      <c r="AC98" s="46" t="str">
        <f t="shared" si="37"/>
        <v/>
      </c>
      <c r="AD98" s="6">
        <v>-79.55</v>
      </c>
      <c r="AE98" s="15">
        <v>-3.103947946629925E-5</v>
      </c>
      <c r="AF98" s="6">
        <v>-79.55</v>
      </c>
      <c r="AG98" s="15">
        <v>-3.5870634450290997E-5</v>
      </c>
      <c r="AH98" s="6">
        <v>-79.55</v>
      </c>
      <c r="AI98" s="15">
        <v>-3.5415849857535066E-5</v>
      </c>
      <c r="AJ98" s="6">
        <v>-79.55</v>
      </c>
      <c r="AK98" s="15">
        <v>-2.9560561230715593E-5</v>
      </c>
      <c r="AL98" s="6">
        <v>-79.55</v>
      </c>
      <c r="AM98" s="15">
        <v>-2.6699936406822772E-5</v>
      </c>
      <c r="AN98" s="6">
        <v>-79.55</v>
      </c>
      <c r="AO98" s="15">
        <v>-2.6414841830119646E-5</v>
      </c>
      <c r="AP98" s="6">
        <v>-79.55</v>
      </c>
      <c r="AQ98" s="15">
        <v>-2.9047989862247113E-5</v>
      </c>
      <c r="AR98" s="6">
        <v>-79.55</v>
      </c>
      <c r="AS98" s="15">
        <v>-3.2383856227074408E-5</v>
      </c>
      <c r="AU98" s="6">
        <v>-954.5999999999998</v>
      </c>
      <c r="AV98" s="15">
        <v>-3.181999999999999E-5</v>
      </c>
      <c r="AW98" s="6">
        <v>-79.549999999999983</v>
      </c>
    </row>
    <row r="99" spans="2:49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IFERROR(VLOOKUP($I99,[1]RESUMO!$A$5:$M$150,2,FALSE),"")</f>
        <v>295.60000000000002</v>
      </c>
      <c r="Q99" s="46">
        <f t="shared" si="28"/>
        <v>-0.79836900503243802</v>
      </c>
      <c r="R99" s="6">
        <v>-1466.0444444444445</v>
      </c>
      <c r="S99" s="15">
        <v>-6.58603925061046E-4</v>
      </c>
      <c r="T99" s="6">
        <f>IFERROR(VLOOKUP($I99,[1]RESUMO!$A$5:$M$150,3,FALSE),"")</f>
        <v>338.73</v>
      </c>
      <c r="U99" s="46">
        <f t="shared" si="35"/>
        <v>-0.76894970593585155</v>
      </c>
      <c r="V99" s="6">
        <v>-1466.0444444444445</v>
      </c>
      <c r="W99" s="15">
        <v>-5.2350714514727938E-4</v>
      </c>
      <c r="X99" s="6">
        <f>IFERROR(VLOOKUP($I99,[1]RESUMO!$A$5:$M$150,4,FALSE),"")</f>
        <v>782.8</v>
      </c>
      <c r="Y99" s="46">
        <f t="shared" si="36"/>
        <v>-0.46604620141878372</v>
      </c>
      <c r="Z99" s="6">
        <v>-1466.0444444444445</v>
      </c>
      <c r="AA99" s="15">
        <v>-5.992881296427796E-4</v>
      </c>
      <c r="AB99" s="6">
        <f>IFERROR(VLOOKUP($I99,[1]RESUMO!$A$5:$M$150,5,FALSE),"")</f>
        <v>607.5</v>
      </c>
      <c r="AC99" s="46">
        <f t="shared" si="37"/>
        <v>-0.58561965682410722</v>
      </c>
      <c r="AD99" s="6">
        <v>-1466.0444444444445</v>
      </c>
      <c r="AE99" s="15">
        <v>-5.7203339321201037E-4</v>
      </c>
      <c r="AF99" s="6">
        <v>-1466.0444444444445</v>
      </c>
      <c r="AG99" s="15">
        <v>-6.61067810867965E-4</v>
      </c>
      <c r="AH99" s="6">
        <v>-1466.0444444444445</v>
      </c>
      <c r="AI99" s="15">
        <v>-6.5268648559293346E-4</v>
      </c>
      <c r="AJ99" s="6">
        <v>-1466.0444444444445</v>
      </c>
      <c r="AK99" s="15">
        <v>-5.4477808380830198E-4</v>
      </c>
      <c r="AL99" s="6">
        <v>-1466.0444444444445</v>
      </c>
      <c r="AM99" s="15">
        <v>-4.9205899982705836E-4</v>
      </c>
      <c r="AN99" s="6">
        <v>-1466.0444444444445</v>
      </c>
      <c r="AO99" s="15">
        <v>-4.8680492917568358E-4</v>
      </c>
      <c r="AP99" s="6">
        <v>-1466.0444444444445</v>
      </c>
      <c r="AQ99" s="15">
        <v>-5.3533179333533536E-4</v>
      </c>
      <c r="AR99" s="6">
        <v>-1466.0444444444445</v>
      </c>
      <c r="AS99" s="15">
        <v>-5.9680920818843569E-4</v>
      </c>
      <c r="AU99" s="6">
        <v>-17592.533333333329</v>
      </c>
      <c r="AV99" s="15">
        <v>-5.8641777777777761E-4</v>
      </c>
      <c r="AW99" s="6">
        <v>-1466.044444444444</v>
      </c>
    </row>
    <row r="100" spans="2:49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IFERROR(VLOOKUP($I100,[1]RESUMO!$A$5:$M$150,2,FALSE),"")</f>
        <v>100</v>
      </c>
      <c r="Q100" s="46">
        <f t="shared" si="28"/>
        <v>-0.76</v>
      </c>
      <c r="R100" s="6">
        <v>-416.66666666666669</v>
      </c>
      <c r="S100" s="15">
        <v>-1.8718279868572442E-4</v>
      </c>
      <c r="T100" s="6">
        <f>IFERROR(VLOOKUP($I100,[1]RESUMO!$A$5:$M$150,3,FALSE),"")</f>
        <v>100</v>
      </c>
      <c r="U100" s="46">
        <f t="shared" si="35"/>
        <v>-0.76</v>
      </c>
      <c r="V100" s="6">
        <v>-416.66666666666669</v>
      </c>
      <c r="W100" s="15">
        <v>-1.4878674242878022E-4</v>
      </c>
      <c r="X100" s="6">
        <f>IFERROR(VLOOKUP($I100,[1]RESUMO!$A$5:$M$150,4,FALSE),"")</f>
        <v>100</v>
      </c>
      <c r="Y100" s="46">
        <f t="shared" si="36"/>
        <v>-0.76</v>
      </c>
      <c r="Z100" s="6">
        <v>-416.66666666666669</v>
      </c>
      <c r="AA100" s="15">
        <v>-1.7032456846544165E-4</v>
      </c>
      <c r="AB100" s="6">
        <f>IFERROR(VLOOKUP($I100,[1]RESUMO!$A$5:$M$150,5,FALSE),"")</f>
        <v>100</v>
      </c>
      <c r="AC100" s="46">
        <f t="shared" si="37"/>
        <v>-0.76</v>
      </c>
      <c r="AD100" s="6">
        <v>-416.66666666666669</v>
      </c>
      <c r="AE100" s="15">
        <v>-1.6257845938769772E-4</v>
      </c>
      <c r="AF100" s="6">
        <v>-416.66666666666669</v>
      </c>
      <c r="AG100" s="15">
        <v>-1.8788306332647705E-4</v>
      </c>
      <c r="AH100" s="6">
        <v>-416.66666666666669</v>
      </c>
      <c r="AI100" s="15">
        <v>-1.8550099443502549E-4</v>
      </c>
      <c r="AJ100" s="6">
        <v>-416.66666666666669</v>
      </c>
      <c r="AK100" s="15">
        <v>-1.5483218746446467E-4</v>
      </c>
      <c r="AL100" s="6">
        <v>-416.66666666666669</v>
      </c>
      <c r="AM100" s="15">
        <v>-1.3984881838897327E-4</v>
      </c>
      <c r="AN100" s="6">
        <v>-416.66666666666669</v>
      </c>
      <c r="AO100" s="15">
        <v>-1.3835555117389298E-4</v>
      </c>
      <c r="AP100" s="6">
        <v>-416.66666666666669</v>
      </c>
      <c r="AQ100" s="15">
        <v>-1.5214744323406199E-4</v>
      </c>
      <c r="AR100" s="6">
        <v>-416.66666666666669</v>
      </c>
      <c r="AS100" s="15">
        <v>-1.6962003052102664E-4</v>
      </c>
      <c r="AU100" s="6">
        <v>-5000</v>
      </c>
      <c r="AV100" s="15">
        <v>-1.6666666666666666E-4</v>
      </c>
      <c r="AW100" s="6">
        <v>-416.66666666666669</v>
      </c>
    </row>
    <row r="101" spans="2:49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386595.21</v>
      </c>
      <c r="Y101" s="45">
        <f>(X101*-1)/V101-1</f>
        <v>-0.17806958451954746</v>
      </c>
      <c r="Z101" s="8">
        <v>-436216.95079197281</v>
      </c>
      <c r="AA101" s="13">
        <v>-0.17831631336228854</v>
      </c>
      <c r="AB101" s="8">
        <f>SUM(AB102:AB122)</f>
        <v>181507.31000000003</v>
      </c>
      <c r="AC101" s="45">
        <f>(AB101*-1)/Z101-1</f>
        <v>-0.58390587603149124</v>
      </c>
      <c r="AD101" s="8">
        <v>-447451.65810847498</v>
      </c>
      <c r="AE101" s="13">
        <v>-0.17459040294179209</v>
      </c>
      <c r="AF101" s="8">
        <v>-414180.54248696455</v>
      </c>
      <c r="AG101" s="13">
        <v>-0.18676202182241514</v>
      </c>
      <c r="AH101" s="8">
        <v>-416925.52067911916</v>
      </c>
      <c r="AI101" s="13">
        <v>-0.18561623685916173</v>
      </c>
      <c r="AJ101" s="8">
        <v>-459810.76079319342</v>
      </c>
      <c r="AK101" s="13">
        <v>-0.17086441419194362</v>
      </c>
      <c r="AL101" s="8">
        <v>-487601.99806839984</v>
      </c>
      <c r="AM101" s="13">
        <v>-0.16365735185752353</v>
      </c>
      <c r="AN101" s="8">
        <v>-490701.56197985844</v>
      </c>
      <c r="AO101" s="13">
        <v>-0.16293908416707245</v>
      </c>
      <c r="AP101" s="8">
        <v>-464387.91416624631</v>
      </c>
      <c r="AQ101" s="13">
        <v>-0.16957304114206417</v>
      </c>
      <c r="AR101" s="8">
        <v>-437196.36953150557</v>
      </c>
      <c r="AS101" s="13">
        <v>-0.17797742770467845</v>
      </c>
      <c r="AT101" s="16"/>
      <c r="AU101" s="8">
        <v>-5296705.4252271289</v>
      </c>
      <c r="AV101" s="13">
        <v>-0.17655684750757097</v>
      </c>
      <c r="AW101" s="8">
        <v>-441392.11876892741</v>
      </c>
    </row>
    <row r="102" spans="2:49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IFERROR(VLOOKUP($I102,[1]RESUMO!$A$5:$M$150,2,FALSE),"")</f>
        <v>1955</v>
      </c>
      <c r="Q102" s="46">
        <f t="shared" si="28"/>
        <v>-0.47881584115479836</v>
      </c>
      <c r="R102" s="6">
        <v>-3751.0733333333333</v>
      </c>
      <c r="S102" s="15">
        <v>-1.6851273710609342E-3</v>
      </c>
      <c r="T102" s="6">
        <f>IFERROR(VLOOKUP($I102,[1]RESUMO!$A$5:$M$150,3,FALSE),"")</f>
        <v>2415</v>
      </c>
      <c r="U102" s="46">
        <f t="shared" ref="U102:U122" si="38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IFERROR(VLOOKUP($I102,[1]RESUMO!$A$5:$M$150,4,FALSE),"")</f>
        <v>3042.48</v>
      </c>
      <c r="Y102" s="46">
        <f t="shared" ref="Y102:Y122" si="39">IFERROR((X102*-1)/V102-1,"")</f>
        <v>-0.18890415365557589</v>
      </c>
      <c r="Z102" s="6">
        <v>-3751.0733333333333</v>
      </c>
      <c r="AA102" s="15">
        <v>-1.5333598722773417E-3</v>
      </c>
      <c r="AB102" s="6">
        <f>IFERROR(VLOOKUP($I102,[1]RESUMO!$A$5:$M$150,5,FALSE),"")</f>
        <v>86</v>
      </c>
      <c r="AC102" s="46">
        <f t="shared" ref="AC102:AC122" si="40">IFERROR((AB102*-1)/Z102-1,"")</f>
        <v>-0.97707322881806269</v>
      </c>
      <c r="AD102" s="6">
        <v>-3751.0733333333333</v>
      </c>
      <c r="AE102" s="15">
        <v>-1.463624936600662E-3</v>
      </c>
      <c r="AF102" s="6">
        <v>-3751.0733333333333</v>
      </c>
      <c r="AG102" s="15">
        <v>-1.6914315567094225E-3</v>
      </c>
      <c r="AH102" s="6">
        <v>-3751.0733333333333</v>
      </c>
      <c r="AI102" s="15">
        <v>-1.669986800476894E-3</v>
      </c>
      <c r="AJ102" s="6">
        <v>-3751.0733333333333</v>
      </c>
      <c r="AK102" s="15">
        <v>-1.3938885348950903E-3</v>
      </c>
      <c r="AL102" s="6">
        <v>-3751.0733333333333</v>
      </c>
      <c r="AM102" s="15">
        <v>-1.2589996160569292E-3</v>
      </c>
      <c r="AN102" s="6">
        <v>-3751.0733333333333</v>
      </c>
      <c r="AO102" s="15">
        <v>-1.2455563644648607E-3</v>
      </c>
      <c r="AP102" s="6">
        <v>-3751.0733333333333</v>
      </c>
      <c r="AQ102" s="15">
        <v>-1.3697189209203287E-3</v>
      </c>
      <c r="AR102" s="6">
        <v>-3751.0733333333333</v>
      </c>
      <c r="AS102" s="15">
        <v>-1.5270172158878619E-3</v>
      </c>
      <c r="AU102" s="6">
        <v>-45012.88</v>
      </c>
      <c r="AV102" s="15">
        <v>-1.5004293333333333E-3</v>
      </c>
      <c r="AW102" s="6">
        <v>-3751.0733333333333</v>
      </c>
    </row>
    <row r="103" spans="2:49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IFERROR(VLOOKUP($I103,[1]RESUMO!$A$5:$M$150,2,FALSE),"")</f>
        <v>41074.299999999996</v>
      </c>
      <c r="Q103" s="46">
        <f t="shared" si="28"/>
        <v>-2.6897207494167796E-2</v>
      </c>
      <c r="R103" s="6">
        <v>-57875.688414736484</v>
      </c>
      <c r="S103" s="15">
        <v>-2.5999999999999999E-2</v>
      </c>
      <c r="T103" s="6">
        <f>IFERROR(VLOOKUP($I103,[1]RESUMO!$A$5:$M$150,3,FALSE),"")</f>
        <v>47569.919999999998</v>
      </c>
      <c r="U103" s="46">
        <f t="shared" si="38"/>
        <v>-0.17806731456713698</v>
      </c>
      <c r="V103" s="6">
        <v>-72811.146722423393</v>
      </c>
      <c r="W103" s="15">
        <v>-2.5999999999999999E-2</v>
      </c>
      <c r="X103" s="6">
        <f>IFERROR(VLOOKUP($I103,[1]RESUMO!$A$5:$M$150,4,FALSE),"")</f>
        <v>69230.98000000001</v>
      </c>
      <c r="Y103" s="46">
        <f t="shared" si="39"/>
        <v>-4.9170585598273697E-2</v>
      </c>
      <c r="Z103" s="6">
        <v>-63604.055662300911</v>
      </c>
      <c r="AA103" s="15">
        <v>-2.5999999999999999E-2</v>
      </c>
      <c r="AB103" s="6">
        <f>IFERROR(VLOOKUP($I103,[1]RESUMO!$A$5:$M$150,5,FALSE),"")</f>
        <v>28146.19</v>
      </c>
      <c r="AC103" s="46">
        <f t="shared" si="40"/>
        <v>-0.55747806162803115</v>
      </c>
      <c r="AD103" s="6">
        <v>-66634.493733879543</v>
      </c>
      <c r="AE103" s="15">
        <v>-2.5999999999999999E-2</v>
      </c>
      <c r="AF103" s="6">
        <v>-57659.978188181194</v>
      </c>
      <c r="AG103" s="15">
        <v>-2.5999999999999999E-2</v>
      </c>
      <c r="AH103" s="6">
        <v>-58400.40570309649</v>
      </c>
      <c r="AI103" s="15">
        <v>-2.5999999999999999E-2</v>
      </c>
      <c r="AJ103" s="6">
        <v>-69968.225023105595</v>
      </c>
      <c r="AK103" s="15">
        <v>-2.5999999999999999E-2</v>
      </c>
      <c r="AL103" s="6">
        <v>-77464.603978287996</v>
      </c>
      <c r="AM103" s="15">
        <v>-2.5999999999999999E-2</v>
      </c>
      <c r="AN103" s="6">
        <v>-78300.677070176927</v>
      </c>
      <c r="AO103" s="15">
        <v>-2.5999999999999995E-2</v>
      </c>
      <c r="AP103" s="6">
        <v>-71202.861533909905</v>
      </c>
      <c r="AQ103" s="15">
        <v>-2.5999999999999999E-2</v>
      </c>
      <c r="AR103" s="6">
        <v>-63868.243037430642</v>
      </c>
      <c r="AS103" s="15">
        <v>-2.5999999999999999E-2</v>
      </c>
      <c r="AU103" s="6">
        <v>-779999.99999999988</v>
      </c>
      <c r="AV103" s="15">
        <v>-2.5999999999999995E-2</v>
      </c>
      <c r="AW103" s="6">
        <v>-64999.999999999993</v>
      </c>
    </row>
    <row r="104" spans="2:49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IFERROR(VLOOKUP($I104,[1]RESUMO!$A$5:$M$150,2,FALSE),"")</f>
        <v>4450.1000000000004</v>
      </c>
      <c r="Q104" s="46">
        <f t="shared" si="28"/>
        <v>-0.58587464102187092</v>
      </c>
      <c r="R104" s="6">
        <v>-10745.78</v>
      </c>
      <c r="S104" s="15">
        <v>-4.8274204187066013E-3</v>
      </c>
      <c r="T104" s="6">
        <f>IFERROR(VLOOKUP($I104,[1]RESUMO!$A$5:$M$150,3,FALSE),"")</f>
        <v>10141.98</v>
      </c>
      <c r="U104" s="46">
        <f t="shared" si="38"/>
        <v>-5.6189499505852614E-2</v>
      </c>
      <c r="V104" s="6">
        <v>-10745.78</v>
      </c>
      <c r="W104" s="15">
        <v>-3.8371910425352108E-3</v>
      </c>
      <c r="X104" s="6">
        <f>IFERROR(VLOOKUP($I104,[1]RESUMO!$A$5:$M$150,4,FALSE),"")</f>
        <v>9958.6499999999978</v>
      </c>
      <c r="Y104" s="46">
        <f t="shared" si="39"/>
        <v>-7.3250150291556571E-2</v>
      </c>
      <c r="Z104" s="6">
        <v>-10745.78</v>
      </c>
      <c r="AA104" s="15">
        <v>-4.3926488191789771E-3</v>
      </c>
      <c r="AB104" s="6">
        <f>IFERROR(VLOOKUP($I104,[1]RESUMO!$A$5:$M$150,5,FALSE),"")</f>
        <v>0</v>
      </c>
      <c r="AC104" s="46">
        <f t="shared" si="40"/>
        <v>-1</v>
      </c>
      <c r="AD104" s="6">
        <v>-10745.78</v>
      </c>
      <c r="AE104" s="15">
        <v>-4.192877657565923E-3</v>
      </c>
      <c r="AF104" s="6">
        <v>-10745.78</v>
      </c>
      <c r="AG104" s="15">
        <v>-4.8454801541577379E-3</v>
      </c>
      <c r="AH104" s="6">
        <v>-10745.78</v>
      </c>
      <c r="AI104" s="15">
        <v>-4.7840469023520196E-3</v>
      </c>
      <c r="AJ104" s="6">
        <v>-10745.78</v>
      </c>
      <c r="AK104" s="15">
        <v>-3.9931022961885486E-3</v>
      </c>
      <c r="AL104" s="6">
        <v>-10745.78</v>
      </c>
      <c r="AM104" s="15">
        <v>-3.6066831256028669E-3</v>
      </c>
      <c r="AN104" s="6">
        <v>-10745.78</v>
      </c>
      <c r="AO104" s="15">
        <v>-3.5681719552641497E-3</v>
      </c>
      <c r="AP104" s="6">
        <v>-10745.78</v>
      </c>
      <c r="AQ104" s="15">
        <v>-3.9238630861337248E-3</v>
      </c>
      <c r="AR104" s="6">
        <v>-10745.78</v>
      </c>
      <c r="AS104" s="15">
        <v>-4.3744788757733707E-3</v>
      </c>
      <c r="AU104" s="6">
        <v>-128949.36</v>
      </c>
      <c r="AV104" s="15">
        <v>-4.2983120000000003E-3</v>
      </c>
      <c r="AW104" s="6">
        <v>-10745.78</v>
      </c>
    </row>
    <row r="105" spans="2:49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IFERROR(VLOOKUP($I105,[1]RESUMO!$A$5:$M$150,2,FALSE),"")</f>
        <v>4296.6099999999997</v>
      </c>
      <c r="Q105" s="46">
        <f t="shared" si="28"/>
        <v>-0.78516950000000008</v>
      </c>
      <c r="R105" s="6">
        <v>-20000</v>
      </c>
      <c r="S105" s="15">
        <v>-8.984774336914773E-3</v>
      </c>
      <c r="T105" s="6">
        <f>IFERROR(VLOOKUP($I105,[1]RESUMO!$A$5:$M$150,3,FALSE),"")</f>
        <v>4296.6099999999997</v>
      </c>
      <c r="U105" s="46">
        <f t="shared" si="38"/>
        <v>-0.78516950000000008</v>
      </c>
      <c r="V105" s="6">
        <v>-20000</v>
      </c>
      <c r="W105" s="15">
        <v>-7.1417636365814496E-3</v>
      </c>
      <c r="X105" s="6">
        <f>IFERROR(VLOOKUP($I105,[1]RESUMO!$A$5:$M$150,4,FALSE),"")</f>
        <v>4296.6099999999997</v>
      </c>
      <c r="Y105" s="46">
        <f t="shared" si="39"/>
        <v>-0.78516950000000008</v>
      </c>
      <c r="Z105" s="6">
        <v>-20000</v>
      </c>
      <c r="AA105" s="15">
        <v>-8.1755792863411995E-3</v>
      </c>
      <c r="AB105" s="6">
        <f>IFERROR(VLOOKUP($I105,[1]RESUMO!$A$5:$M$150,5,FALSE),"")</f>
        <v>4715.6899999999996</v>
      </c>
      <c r="AC105" s="46">
        <f t="shared" si="40"/>
        <v>-0.76421550000000005</v>
      </c>
      <c r="AD105" s="6">
        <v>-20000</v>
      </c>
      <c r="AE105" s="15">
        <v>-7.8037660506094899E-3</v>
      </c>
      <c r="AF105" s="6">
        <v>-20000</v>
      </c>
      <c r="AG105" s="15">
        <v>-9.0183870396708977E-3</v>
      </c>
      <c r="AH105" s="6">
        <v>-20000</v>
      </c>
      <c r="AI105" s="15">
        <v>-8.9040477328812227E-3</v>
      </c>
      <c r="AJ105" s="6">
        <v>-20000</v>
      </c>
      <c r="AK105" s="15">
        <v>-7.4319449982943033E-3</v>
      </c>
      <c r="AL105" s="6">
        <v>-20000</v>
      </c>
      <c r="AM105" s="15">
        <v>-6.712743282670716E-3</v>
      </c>
      <c r="AN105" s="6">
        <v>-20000</v>
      </c>
      <c r="AO105" s="15">
        <v>-6.6410664563468624E-3</v>
      </c>
      <c r="AP105" s="6">
        <v>-20000</v>
      </c>
      <c r="AQ105" s="15">
        <v>-7.3030772752349753E-3</v>
      </c>
      <c r="AR105" s="6">
        <v>-20000</v>
      </c>
      <c r="AS105" s="15">
        <v>-8.1417614650092784E-3</v>
      </c>
      <c r="AU105" s="6">
        <v>-240000</v>
      </c>
      <c r="AV105" s="15">
        <v>-8.0000000000000002E-3</v>
      </c>
      <c r="AW105" s="6">
        <v>-20000</v>
      </c>
    </row>
    <row r="106" spans="2:49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IFERROR(VLOOKUP($I106,[1]RESUMO!$A$5:$M$150,2,FALSE),"")</f>
        <v>260.32</v>
      </c>
      <c r="Q106" s="46">
        <f t="shared" si="28"/>
        <v>-0.61253750257813611</v>
      </c>
      <c r="R106" s="6">
        <v>-671.85857142857151</v>
      </c>
      <c r="S106" s="15">
        <v>-3.018248825303825E-4</v>
      </c>
      <c r="T106" s="6">
        <f>IFERROR(VLOOKUP($I106,[1]RESUMO!$A$5:$M$150,3,FALSE),"")</f>
        <v>260.32</v>
      </c>
      <c r="U106" s="46">
        <f t="shared" si="38"/>
        <v>-0.61253750257813611</v>
      </c>
      <c r="V106" s="6">
        <v>-671.85857142857151</v>
      </c>
      <c r="W106" s="15">
        <v>-2.3991275571770662E-4</v>
      </c>
      <c r="X106" s="6">
        <f>IFERROR(VLOOKUP($I106,[1]RESUMO!$A$5:$M$150,4,FALSE),"")</f>
        <v>1564.33</v>
      </c>
      <c r="Y106" s="46">
        <f t="shared" si="39"/>
        <v>1.3283620489856491</v>
      </c>
      <c r="Z106" s="6">
        <v>-671.85857142857151</v>
      </c>
      <c r="AA106" s="15">
        <v>-2.7464165099611092E-4</v>
      </c>
      <c r="AB106" s="6">
        <f>IFERROR(VLOOKUP($I106,[1]RESUMO!$A$5:$M$150,5,FALSE),"")</f>
        <v>667.02</v>
      </c>
      <c r="AC106" s="46">
        <f t="shared" si="40"/>
        <v>-7.2017707808404996E-3</v>
      </c>
      <c r="AD106" s="6">
        <v>-671.85857142857151</v>
      </c>
      <c r="AE106" s="15">
        <v>-2.6215135552626388E-4</v>
      </c>
      <c r="AF106" s="6">
        <v>-671.85857142857151</v>
      </c>
      <c r="AG106" s="15">
        <v>-3.0295403165316167E-4</v>
      </c>
      <c r="AH106" s="6">
        <v>-671.85857142857151</v>
      </c>
      <c r="AI106" s="15">
        <v>-2.9911303948726951E-4</v>
      </c>
      <c r="AJ106" s="6">
        <v>-671.85857142857151</v>
      </c>
      <c r="AK106" s="15">
        <v>-2.4966079747448642E-4</v>
      </c>
      <c r="AL106" s="6">
        <v>-671.85857142857151</v>
      </c>
      <c r="AM106" s="15">
        <v>-2.2550070561309435E-4</v>
      </c>
      <c r="AN106" s="6">
        <v>-671.85857142857151</v>
      </c>
      <c r="AO106" s="15">
        <v>-2.2309287110617044E-4</v>
      </c>
      <c r="AP106" s="6">
        <v>-671.85857142857151</v>
      </c>
      <c r="AQ106" s="15">
        <v>-2.4533175325859173E-4</v>
      </c>
      <c r="AR106" s="6">
        <v>-671.85857142857151</v>
      </c>
      <c r="AS106" s="15">
        <v>-2.7350561133966639E-4</v>
      </c>
      <c r="AU106" s="6">
        <v>-8062.3028571428595</v>
      </c>
      <c r="AV106" s="15">
        <v>-2.6874342857142867E-4</v>
      </c>
      <c r="AW106" s="6">
        <v>-671.85857142857162</v>
      </c>
    </row>
    <row r="107" spans="2:49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IFERROR(VLOOKUP($I107,[1]RESUMO!$A$5:$M$150,2,FALSE),"")</f>
        <v>11187.73</v>
      </c>
      <c r="Q107" s="46">
        <f t="shared" si="28"/>
        <v>-0.29685421048834881</v>
      </c>
      <c r="R107" s="6">
        <v>-15910.96777777778</v>
      </c>
      <c r="S107" s="15">
        <v>-7.1478227482627832E-3</v>
      </c>
      <c r="T107" s="6">
        <f>IFERROR(VLOOKUP($I107,[1]RESUMO!$A$5:$M$150,3,FALSE),"")</f>
        <v>18270.349999999999</v>
      </c>
      <c r="U107" s="46">
        <f t="shared" si="38"/>
        <v>0.14828653135213266</v>
      </c>
      <c r="V107" s="6">
        <v>-15910.96777777778</v>
      </c>
      <c r="W107" s="15">
        <v>-5.6816185549076253E-3</v>
      </c>
      <c r="X107" s="6">
        <f>IFERROR(VLOOKUP($I107,[1]RESUMO!$A$5:$M$150,4,FALSE),"")</f>
        <v>22418.71</v>
      </c>
      <c r="Y107" s="46">
        <f t="shared" si="39"/>
        <v>0.40900982976732103</v>
      </c>
      <c r="Z107" s="6">
        <v>-15910.96777777778</v>
      </c>
      <c r="AA107" s="15">
        <v>-6.5040689294821137E-3</v>
      </c>
      <c r="AB107" s="6">
        <f>IFERROR(VLOOKUP($I107,[1]RESUMO!$A$5:$M$150,5,FALSE),"")</f>
        <v>5409.8499999999995</v>
      </c>
      <c r="AC107" s="46">
        <f t="shared" si="40"/>
        <v>-0.6599923979762109</v>
      </c>
      <c r="AD107" s="6">
        <v>-15910.96777777778</v>
      </c>
      <c r="AE107" s="15">
        <v>-6.2082735088281882E-3</v>
      </c>
      <c r="AF107" s="6">
        <v>-15910.96777777778</v>
      </c>
      <c r="AG107" s="15">
        <v>-7.1745632797866202E-3</v>
      </c>
      <c r="AH107" s="6">
        <v>-15910.96777777778</v>
      </c>
      <c r="AI107" s="15">
        <v>-7.0836008284834223E-3</v>
      </c>
      <c r="AJ107" s="6">
        <v>-15910.96777777778</v>
      </c>
      <c r="AK107" s="15">
        <v>-5.9124718697038704E-3</v>
      </c>
      <c r="AL107" s="6">
        <v>-15910.96777777778</v>
      </c>
      <c r="AM107" s="15">
        <v>-5.3403121035534001E-3</v>
      </c>
      <c r="AN107" s="6">
        <v>-15910.96777777778</v>
      </c>
      <c r="AO107" s="15">
        <v>-5.2832897198507901E-3</v>
      </c>
      <c r="AP107" s="6">
        <v>-15910.96777777778</v>
      </c>
      <c r="AQ107" s="15">
        <v>-5.8099513602442414E-3</v>
      </c>
      <c r="AR107" s="6">
        <v>-15910.96777777778</v>
      </c>
      <c r="AS107" s="15">
        <v>-6.477165216205772E-3</v>
      </c>
      <c r="AU107" s="6">
        <v>-190931.61333333337</v>
      </c>
      <c r="AV107" s="15">
        <v>-6.3643871111111125E-3</v>
      </c>
      <c r="AW107" s="6">
        <v>-15910.967777777782</v>
      </c>
    </row>
    <row r="108" spans="2:49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IFERROR(VLOOKUP($I108,[1]RESUMO!$A$5:$M$150,2,FALSE),"")</f>
        <v>0</v>
      </c>
      <c r="Q108" s="46">
        <f t="shared" si="28"/>
        <v>-1</v>
      </c>
      <c r="R108" s="6">
        <v>-1603.1571428571428</v>
      </c>
      <c r="S108" s="15">
        <v>-7.202002577592233E-4</v>
      </c>
      <c r="T108" s="6">
        <f>IFERROR(VLOOKUP($I108,[1]RESUMO!$A$5:$M$150,3,FALSE),"")</f>
        <v>2334.16</v>
      </c>
      <c r="U108" s="46">
        <f t="shared" si="38"/>
        <v>0.45597704529455263</v>
      </c>
      <c r="V108" s="6">
        <v>-1603.1571428571428</v>
      </c>
      <c r="W108" s="15">
        <v>-5.7246846932914772E-4</v>
      </c>
      <c r="X108" s="6">
        <f>IFERROR(VLOOKUP($I108,[1]RESUMO!$A$5:$M$150,4,FALSE),"")</f>
        <v>709</v>
      </c>
      <c r="Y108" s="46">
        <f t="shared" si="39"/>
        <v>-0.55774765863786635</v>
      </c>
      <c r="Z108" s="6">
        <v>-1603.1571428571428</v>
      </c>
      <c r="AA108" s="15">
        <v>-6.553369164946398E-4</v>
      </c>
      <c r="AB108" s="6">
        <f>IFERROR(VLOOKUP($I108,[1]RESUMO!$A$5:$M$150,5,FALSE),"")</f>
        <v>0</v>
      </c>
      <c r="AC108" s="46">
        <f t="shared" si="40"/>
        <v>-1</v>
      </c>
      <c r="AD108" s="6">
        <v>-1603.1571428571428</v>
      </c>
      <c r="AE108" s="15">
        <v>-6.2553316426103398E-4</v>
      </c>
      <c r="AF108" s="6">
        <v>-1603.1571428571428</v>
      </c>
      <c r="AG108" s="15">
        <v>-7.2289457998493418E-4</v>
      </c>
      <c r="AH108" s="6">
        <v>-1603.1571428571428</v>
      </c>
      <c r="AI108" s="15">
        <v>-7.1372938616547413E-4</v>
      </c>
      <c r="AJ108" s="6">
        <v>-1603.1571428571428</v>
      </c>
      <c r="AK108" s="15">
        <v>-5.9572878546684642E-4</v>
      </c>
      <c r="AL108" s="6">
        <v>-1603.1571428571428</v>
      </c>
      <c r="AM108" s="15">
        <v>-5.3807911708899313E-4</v>
      </c>
      <c r="AN108" s="6">
        <v>-1603.1571428571428</v>
      </c>
      <c r="AO108" s="15">
        <v>-5.3233365628407229E-4</v>
      </c>
      <c r="AP108" s="6">
        <v>-1603.1571428571428</v>
      </c>
      <c r="AQ108" s="15">
        <v>-5.8539902493153157E-4</v>
      </c>
      <c r="AR108" s="6">
        <v>-1603.1571428571428</v>
      </c>
      <c r="AS108" s="15">
        <v>-6.5262615240343309E-4</v>
      </c>
      <c r="AU108" s="6">
        <v>-19237.885714285712</v>
      </c>
      <c r="AV108" s="15">
        <v>-6.412628571428571E-4</v>
      </c>
      <c r="AW108" s="6">
        <v>-1603.1571428571426</v>
      </c>
    </row>
    <row r="109" spans="2:49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IFERROR(VLOOKUP($I109,[1]RESUMO!$A$5:$M$150,2,FALSE),"")</f>
        <v>9673.85</v>
      </c>
      <c r="Q109" s="46">
        <f t="shared" si="28"/>
        <v>-0.49116690482243508</v>
      </c>
      <c r="R109" s="6">
        <v>-19011.833333333332</v>
      </c>
      <c r="S109" s="15">
        <v>-8.5408516115517072E-3</v>
      </c>
      <c r="T109" s="6">
        <f>IFERROR(VLOOKUP($I109,[1]RESUMO!$A$5:$M$150,3,FALSE),"")</f>
        <v>18654.349999999999</v>
      </c>
      <c r="U109" s="46">
        <f t="shared" si="38"/>
        <v>-1.8803201514846046E-2</v>
      </c>
      <c r="V109" s="6">
        <v>-19011.833333333332</v>
      </c>
      <c r="W109" s="15">
        <v>-6.7889009982373544E-3</v>
      </c>
      <c r="X109" s="6">
        <f>IFERROR(VLOOKUP($I109,[1]RESUMO!$A$5:$M$150,4,FALSE),"")</f>
        <v>19808.55</v>
      </c>
      <c r="Y109" s="46">
        <f t="shared" si="39"/>
        <v>4.1906356567400938E-2</v>
      </c>
      <c r="Z109" s="6">
        <v>-19011.833333333332</v>
      </c>
      <c r="AA109" s="15">
        <v>-7.7716375397685568E-3</v>
      </c>
      <c r="AB109" s="6">
        <f>IFERROR(VLOOKUP($I109,[1]RESUMO!$A$5:$M$150,5,FALSE),"")</f>
        <v>7301</v>
      </c>
      <c r="AC109" s="46">
        <f t="shared" si="40"/>
        <v>-0.61597601493806486</v>
      </c>
      <c r="AD109" s="6">
        <v>-19011.833333333332</v>
      </c>
      <c r="AE109" s="15">
        <v>-7.4181949763256257E-3</v>
      </c>
      <c r="AF109" s="6">
        <v>-19011.833333333332</v>
      </c>
      <c r="AG109" s="15">
        <v>-8.5728035666858254E-3</v>
      </c>
      <c r="AH109" s="6">
        <v>-19011.833333333332</v>
      </c>
      <c r="AI109" s="15">
        <v>-8.4641135744791159E-3</v>
      </c>
      <c r="AJ109" s="6">
        <v>-19011.833333333332</v>
      </c>
      <c r="AK109" s="15">
        <v>-7.0647449825035789E-3</v>
      </c>
      <c r="AL109" s="6">
        <v>-19011.833333333332</v>
      </c>
      <c r="AM109" s="15">
        <v>-6.3810778249794265E-3</v>
      </c>
      <c r="AN109" s="6">
        <v>-19011.833333333332</v>
      </c>
      <c r="AO109" s="15">
        <v>-6.3129424311828579E-3</v>
      </c>
      <c r="AP109" s="6">
        <v>-19011.833333333332</v>
      </c>
      <c r="AQ109" s="15">
        <v>-6.9422443988610737E-3</v>
      </c>
      <c r="AR109" s="6">
        <v>-19011.833333333332</v>
      </c>
      <c r="AS109" s="15">
        <v>-7.7394906006256117E-3</v>
      </c>
      <c r="AU109" s="6">
        <v>-228142.00000000003</v>
      </c>
      <c r="AV109" s="15">
        <v>-7.6047333333333347E-3</v>
      </c>
      <c r="AW109" s="6">
        <v>-19011.833333333336</v>
      </c>
    </row>
    <row r="110" spans="2:49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IFERROR(VLOOKUP($I110,[1]RESUMO!$A$5:$M$150,2,FALSE),"")</f>
        <v/>
      </c>
      <c r="Q110" s="46" t="str">
        <f t="shared" si="28"/>
        <v/>
      </c>
      <c r="R110" s="6">
        <v>-10000</v>
      </c>
      <c r="S110" s="15">
        <v>-4.4923871684573865E-3</v>
      </c>
      <c r="T110" s="6" t="str">
        <f>IFERROR(VLOOKUP($I110,[1]RESUMO!$A$5:$M$150,3,FALSE),"")</f>
        <v/>
      </c>
      <c r="U110" s="46" t="str">
        <f t="shared" si="38"/>
        <v/>
      </c>
      <c r="V110" s="6">
        <v>-10000</v>
      </c>
      <c r="W110" s="15">
        <v>-3.5708818182907248E-3</v>
      </c>
      <c r="X110" s="6" t="str">
        <f>IFERROR(VLOOKUP($I110,[1]RESUMO!$A$5:$M$150,4,FALSE),"")</f>
        <v/>
      </c>
      <c r="Y110" s="46" t="str">
        <f t="shared" si="39"/>
        <v/>
      </c>
      <c r="Z110" s="6">
        <v>-10000</v>
      </c>
      <c r="AA110" s="15">
        <v>-4.0877896431705998E-3</v>
      </c>
      <c r="AB110" s="6" t="str">
        <f>IFERROR(VLOOKUP($I110,[1]RESUMO!$A$5:$M$150,5,FALSE),"")</f>
        <v/>
      </c>
      <c r="AC110" s="46" t="str">
        <f t="shared" si="40"/>
        <v/>
      </c>
      <c r="AD110" s="6">
        <v>-10000</v>
      </c>
      <c r="AE110" s="15">
        <v>-3.9018830253047449E-3</v>
      </c>
      <c r="AF110" s="6">
        <v>-10000</v>
      </c>
      <c r="AG110" s="15">
        <v>-4.5091935198354489E-3</v>
      </c>
      <c r="AH110" s="6">
        <v>-10000</v>
      </c>
      <c r="AI110" s="15">
        <v>-4.4520238664406114E-3</v>
      </c>
      <c r="AJ110" s="6">
        <v>-10000</v>
      </c>
      <c r="AK110" s="15">
        <v>-3.7159724991471517E-3</v>
      </c>
      <c r="AL110" s="6">
        <v>-10000</v>
      </c>
      <c r="AM110" s="15">
        <v>-3.356371641335358E-3</v>
      </c>
      <c r="AN110" s="6">
        <v>-10000</v>
      </c>
      <c r="AO110" s="15">
        <v>-3.3205332281734312E-3</v>
      </c>
      <c r="AP110" s="6">
        <v>-10000</v>
      </c>
      <c r="AQ110" s="15">
        <v>-3.6515386376174876E-3</v>
      </c>
      <c r="AR110" s="6">
        <v>-10000</v>
      </c>
      <c r="AS110" s="15">
        <v>-4.0708807325046392E-3</v>
      </c>
      <c r="AU110" s="6">
        <v>-120000</v>
      </c>
      <c r="AV110" s="15">
        <v>-4.0000000000000001E-3</v>
      </c>
      <c r="AW110" s="6">
        <v>-10000</v>
      </c>
    </row>
    <row r="111" spans="2:49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IFERROR(VLOOKUP($I111,[1]RESUMO!$A$5:$M$150,2,FALSE),"")</f>
        <v>673.06999999999994</v>
      </c>
      <c r="Q111" s="46">
        <f t="shared" si="28"/>
        <v>-0.37521156744011908</v>
      </c>
      <c r="R111" s="6">
        <v>-1077.2766666666666</v>
      </c>
      <c r="S111" s="15">
        <v>-4.8395438742118778E-4</v>
      </c>
      <c r="T111" s="6">
        <f>IFERROR(VLOOKUP($I111,[1]RESUMO!$A$5:$M$150,3,FALSE),"")</f>
        <v>1644.02</v>
      </c>
      <c r="U111" s="46">
        <f t="shared" si="38"/>
        <v>0.52608893413329283</v>
      </c>
      <c r="V111" s="6">
        <v>-1077.2766666666666</v>
      </c>
      <c r="W111" s="15">
        <v>-3.8468276622688377E-4</v>
      </c>
      <c r="X111" s="6">
        <f>IFERROR(VLOOKUP($I111,[1]RESUMO!$A$5:$M$150,4,FALSE),"")</f>
        <v>420.81</v>
      </c>
      <c r="Y111" s="46">
        <f t="shared" si="39"/>
        <v>-0.60937611198608832</v>
      </c>
      <c r="Z111" s="6">
        <v>-1077.2766666666666</v>
      </c>
      <c r="AA111" s="15">
        <v>-4.4036804008293459E-4</v>
      </c>
      <c r="AB111" s="6">
        <f>IFERROR(VLOOKUP($I111,[1]RESUMO!$A$5:$M$150,5,FALSE),"")</f>
        <v>0</v>
      </c>
      <c r="AC111" s="46">
        <f t="shared" si="40"/>
        <v>-1</v>
      </c>
      <c r="AD111" s="6">
        <v>-1077.2766666666666</v>
      </c>
      <c r="AE111" s="15">
        <v>-4.2034075392235445E-4</v>
      </c>
      <c r="AF111" s="6">
        <v>-1077.2766666666666</v>
      </c>
      <c r="AG111" s="15">
        <v>-4.8576489644032661E-4</v>
      </c>
      <c r="AH111" s="6">
        <v>-1077.2766666666666</v>
      </c>
      <c r="AI111" s="15">
        <v>-4.7960614307595873E-4</v>
      </c>
      <c r="AJ111" s="6">
        <v>-1077.2766666666666</v>
      </c>
      <c r="AK111" s="15">
        <v>-4.0031304673062465E-4</v>
      </c>
      <c r="AL111" s="6">
        <v>-1077.2766666666666</v>
      </c>
      <c r="AM111" s="15">
        <v>-3.6157408538722835E-4</v>
      </c>
      <c r="AN111" s="6">
        <v>-1077.2766666666666</v>
      </c>
      <c r="AO111" s="15">
        <v>-3.5771329676025803E-4</v>
      </c>
      <c r="AP111" s="6">
        <v>-1077.2766666666666</v>
      </c>
      <c r="AQ111" s="15">
        <v>-3.933717371737108E-4</v>
      </c>
      <c r="AR111" s="6">
        <v>-1077.2766666666666</v>
      </c>
      <c r="AS111" s="15">
        <v>-4.385464825910156E-4</v>
      </c>
      <c r="AU111" s="6">
        <v>-12927.32</v>
      </c>
      <c r="AV111" s="15">
        <v>-4.3091066666666665E-4</v>
      </c>
      <c r="AW111" s="6">
        <v>-1077.2766666666666</v>
      </c>
    </row>
    <row r="112" spans="2:49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IFERROR(VLOOKUP($I112,[1]RESUMO!$A$5:$M$150,2,FALSE),"")</f>
        <v>119279.42999999996</v>
      </c>
      <c r="Q112" s="46">
        <f t="shared" si="28"/>
        <v>0.98799049999999933</v>
      </c>
      <c r="R112" s="6">
        <v>-60000</v>
      </c>
      <c r="S112" s="15">
        <v>-2.6954323010744317E-2</v>
      </c>
      <c r="T112" s="6">
        <f>IFERROR(VLOOKUP($I112,[1]RESUMO!$A$5:$M$150,3,FALSE),"")</f>
        <v>38472.950000000004</v>
      </c>
      <c r="U112" s="46">
        <f t="shared" si="38"/>
        <v>-0.35878416666666657</v>
      </c>
      <c r="V112" s="6">
        <v>-60000</v>
      </c>
      <c r="W112" s="15">
        <v>-2.1425290909744349E-2</v>
      </c>
      <c r="X112" s="6">
        <f>IFERROR(VLOOKUP($I112,[1]RESUMO!$A$5:$M$150,4,FALSE),"")</f>
        <v>41728.47</v>
      </c>
      <c r="Y112" s="46">
        <f t="shared" si="39"/>
        <v>-0.3045255</v>
      </c>
      <c r="Z112" s="6">
        <v>-60000</v>
      </c>
      <c r="AA112" s="15">
        <v>-2.4526737859023599E-2</v>
      </c>
      <c r="AB112" s="6">
        <f>IFERROR(VLOOKUP($I112,[1]RESUMO!$A$5:$M$150,5,FALSE),"")</f>
        <v>39467.100000000006</v>
      </c>
      <c r="AC112" s="46">
        <f t="shared" si="40"/>
        <v>-0.34221499999999994</v>
      </c>
      <c r="AD112" s="6">
        <v>-60000</v>
      </c>
      <c r="AE112" s="15">
        <v>-2.341129815182847E-2</v>
      </c>
      <c r="AF112" s="6">
        <v>-60000</v>
      </c>
      <c r="AG112" s="15">
        <v>-2.7055161119012693E-2</v>
      </c>
      <c r="AH112" s="6">
        <v>-60000</v>
      </c>
      <c r="AI112" s="15">
        <v>-2.6712143198643672E-2</v>
      </c>
      <c r="AJ112" s="6">
        <v>-60000</v>
      </c>
      <c r="AK112" s="15">
        <v>-2.2295834994882909E-2</v>
      </c>
      <c r="AL112" s="6">
        <v>-60000</v>
      </c>
      <c r="AM112" s="15">
        <v>-2.0138229848012151E-2</v>
      </c>
      <c r="AN112" s="6">
        <v>-60000</v>
      </c>
      <c r="AO112" s="15">
        <v>-1.9923199369040589E-2</v>
      </c>
      <c r="AP112" s="6">
        <v>-60000</v>
      </c>
      <c r="AQ112" s="15">
        <v>-2.1909231825704926E-2</v>
      </c>
      <c r="AR112" s="6">
        <v>-60000</v>
      </c>
      <c r="AS112" s="15">
        <v>-2.4425284395027835E-2</v>
      </c>
      <c r="AU112" s="6">
        <v>-720000</v>
      </c>
      <c r="AV112" s="15">
        <v>-2.4E-2</v>
      </c>
      <c r="AW112" s="6">
        <v>-60000</v>
      </c>
    </row>
    <row r="113" spans="2:49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IFERROR(VLOOKUP($I113,[1]RESUMO!$A$5:$M$150,2,FALSE),"")</f>
        <v>1368</v>
      </c>
      <c r="Q113" s="46">
        <f t="shared" si="28"/>
        <v>-0.43055994938310649</v>
      </c>
      <c r="R113" s="6">
        <v>-2402.3599999999997</v>
      </c>
      <c r="S113" s="15">
        <v>-1.0792331238015285E-3</v>
      </c>
      <c r="T113" s="6">
        <f>IFERROR(VLOOKUP($I113,[1]RESUMO!$A$5:$M$150,3,FALSE),"")</f>
        <v>0</v>
      </c>
      <c r="U113" s="46">
        <f t="shared" si="38"/>
        <v>-1</v>
      </c>
      <c r="V113" s="6">
        <v>-2402.3599999999997</v>
      </c>
      <c r="W113" s="15">
        <v>-8.5785436449889051E-4</v>
      </c>
      <c r="X113" s="6">
        <f>IFERROR(VLOOKUP($I113,[1]RESUMO!$A$5:$M$150,4,FALSE),"")</f>
        <v>0</v>
      </c>
      <c r="Y113" s="46">
        <f t="shared" si="39"/>
        <v>-1</v>
      </c>
      <c r="Z113" s="6">
        <v>-2402.3599999999997</v>
      </c>
      <c r="AA113" s="15">
        <v>-9.8203423271673207E-4</v>
      </c>
      <c r="AB113" s="6">
        <f>IFERROR(VLOOKUP($I113,[1]RESUMO!$A$5:$M$150,5,FALSE),"")</f>
        <v>0</v>
      </c>
      <c r="AC113" s="46">
        <f t="shared" si="40"/>
        <v>-1</v>
      </c>
      <c r="AD113" s="6">
        <v>-2402.3599999999997</v>
      </c>
      <c r="AE113" s="15">
        <v>-9.3737277046711059E-4</v>
      </c>
      <c r="AF113" s="6">
        <v>-2402.3599999999997</v>
      </c>
      <c r="AG113" s="15">
        <v>-1.0832706144311888E-3</v>
      </c>
      <c r="AH113" s="6">
        <v>-2402.3599999999997</v>
      </c>
      <c r="AI113" s="15">
        <v>-1.0695364055782267E-3</v>
      </c>
      <c r="AJ113" s="6">
        <v>-2402.3599999999997</v>
      </c>
      <c r="AK113" s="15">
        <v>-8.9271036930511504E-4</v>
      </c>
      <c r="AL113" s="6">
        <v>-2402.3599999999997</v>
      </c>
      <c r="AM113" s="15">
        <v>-8.0632129762784103E-4</v>
      </c>
      <c r="AN113" s="6">
        <v>-2402.3599999999997</v>
      </c>
      <c r="AO113" s="15">
        <v>-7.9771162060347236E-4</v>
      </c>
      <c r="AP113" s="6">
        <v>-2402.3599999999997</v>
      </c>
      <c r="AQ113" s="15">
        <v>-8.7723103614667465E-4</v>
      </c>
      <c r="AR113" s="6">
        <v>-2402.3599999999997</v>
      </c>
      <c r="AS113" s="15">
        <v>-9.779721036539844E-4</v>
      </c>
      <c r="AU113" s="6">
        <v>-28828.320000000003</v>
      </c>
      <c r="AV113" s="15">
        <v>-9.6094400000000014E-4</v>
      </c>
      <c r="AW113" s="6">
        <v>-2402.36</v>
      </c>
    </row>
    <row r="114" spans="2:49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IFERROR(VLOOKUP($I114,[1]RESUMO!$A$5:$M$150,2,FALSE),"")</f>
        <v>738.16</v>
      </c>
      <c r="Q114" s="46">
        <f t="shared" si="28"/>
        <v>-0.85236800000000001</v>
      </c>
      <c r="R114" s="6">
        <v>-5000</v>
      </c>
      <c r="S114" s="15">
        <v>-2.2461935842286933E-3</v>
      </c>
      <c r="T114" s="6">
        <f>IFERROR(VLOOKUP($I114,[1]RESUMO!$A$5:$M$150,3,FALSE),"")</f>
        <v>1807.69</v>
      </c>
      <c r="U114" s="46">
        <f t="shared" si="38"/>
        <v>-0.63846199999999997</v>
      </c>
      <c r="V114" s="6">
        <v>-5000</v>
      </c>
      <c r="W114" s="15">
        <v>-1.7854409091453624E-3</v>
      </c>
      <c r="X114" s="6">
        <f>IFERROR(VLOOKUP($I114,[1]RESUMO!$A$5:$M$150,4,FALSE),"")</f>
        <v>2581.66</v>
      </c>
      <c r="Y114" s="46">
        <f t="shared" si="39"/>
        <v>-0.48366799999999999</v>
      </c>
      <c r="Z114" s="6">
        <v>-5000</v>
      </c>
      <c r="AA114" s="15">
        <v>-2.0438948215852999E-3</v>
      </c>
      <c r="AB114" s="6">
        <f>IFERROR(VLOOKUP($I114,[1]RESUMO!$A$5:$M$150,5,FALSE),"")</f>
        <v>2175.61</v>
      </c>
      <c r="AC114" s="46">
        <f t="shared" si="40"/>
        <v>-0.56487799999999999</v>
      </c>
      <c r="AD114" s="6">
        <v>-5000</v>
      </c>
      <c r="AE114" s="15">
        <v>-1.9509415126523725E-3</v>
      </c>
      <c r="AF114" s="6">
        <v>-5000</v>
      </c>
      <c r="AG114" s="15">
        <v>-2.2545967599177244E-3</v>
      </c>
      <c r="AH114" s="6">
        <v>-5000</v>
      </c>
      <c r="AI114" s="15">
        <v>-2.2260119332203057E-3</v>
      </c>
      <c r="AJ114" s="6">
        <v>-5000</v>
      </c>
      <c r="AK114" s="15">
        <v>-1.8579862495735758E-3</v>
      </c>
      <c r="AL114" s="6">
        <v>-5000</v>
      </c>
      <c r="AM114" s="15">
        <v>-1.678185820667679E-3</v>
      </c>
      <c r="AN114" s="6">
        <v>-5000</v>
      </c>
      <c r="AO114" s="15">
        <v>-1.6602666140867156E-3</v>
      </c>
      <c r="AP114" s="6">
        <v>-5000</v>
      </c>
      <c r="AQ114" s="15">
        <v>-1.8257693188087438E-3</v>
      </c>
      <c r="AR114" s="6">
        <v>-5000</v>
      </c>
      <c r="AS114" s="15">
        <v>-2.0354403662523196E-3</v>
      </c>
      <c r="AU114" s="6">
        <v>-60000</v>
      </c>
      <c r="AV114" s="15">
        <v>-2E-3</v>
      </c>
      <c r="AW114" s="6">
        <v>-5000</v>
      </c>
    </row>
    <row r="115" spans="2:49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IFERROR(VLOOKUP($I115,[1]RESUMO!$A$5:$M$150,2,FALSE),"")</f>
        <v>13677.889999999998</v>
      </c>
      <c r="Q115" s="46">
        <f t="shared" si="28"/>
        <v>-0.20938523571989009</v>
      </c>
      <c r="R115" s="6">
        <v>-17300.321999999996</v>
      </c>
      <c r="S115" s="15">
        <v>-7.7719744562981009E-3</v>
      </c>
      <c r="T115" s="6">
        <f>IFERROR(VLOOKUP($I115,[1]RESUMO!$A$5:$M$150,3,FALSE),"")</f>
        <v>10422.07</v>
      </c>
      <c r="U115" s="46">
        <f t="shared" si="38"/>
        <v>-0.39757942077609876</v>
      </c>
      <c r="V115" s="6">
        <v>-17300.321999999996</v>
      </c>
      <c r="W115" s="15">
        <v>-6.1777405280375019E-3</v>
      </c>
      <c r="X115" s="6">
        <f>IFERROR(VLOOKUP($I115,[1]RESUMO!$A$5:$M$150,4,FALSE),"")</f>
        <v>13862.09</v>
      </c>
      <c r="Y115" s="46">
        <f t="shared" si="39"/>
        <v>-0.19873803504928966</v>
      </c>
      <c r="Z115" s="6">
        <v>-17300.321999999996</v>
      </c>
      <c r="AA115" s="15">
        <v>-7.0720077095116456E-3</v>
      </c>
      <c r="AB115" s="6">
        <f>IFERROR(VLOOKUP($I115,[1]RESUMO!$A$5:$M$150,5,FALSE),"")</f>
        <v>25253.83</v>
      </c>
      <c r="AC115" s="46">
        <f t="shared" si="40"/>
        <v>0.45973178996321606</v>
      </c>
      <c r="AD115" s="6">
        <v>-17300.321999999996</v>
      </c>
      <c r="AE115" s="15">
        <v>-6.7503832744106223E-3</v>
      </c>
      <c r="AF115" s="6">
        <v>-17300.321999999996</v>
      </c>
      <c r="AG115" s="15">
        <v>-7.8010499853466636E-3</v>
      </c>
      <c r="AH115" s="6">
        <v>-17300.321999999996</v>
      </c>
      <c r="AI115" s="15">
        <v>-7.7021446441107562E-3</v>
      </c>
      <c r="AJ115" s="6">
        <v>-17300.321999999996</v>
      </c>
      <c r="AK115" s="15">
        <v>-6.4287520778390436E-3</v>
      </c>
      <c r="AL115" s="6">
        <v>-17300.321999999996</v>
      </c>
      <c r="AM115" s="15">
        <v>-5.8066310146770196E-3</v>
      </c>
      <c r="AN115" s="6">
        <v>-17300.321999999996</v>
      </c>
      <c r="AO115" s="15">
        <v>-5.7446294059099821E-3</v>
      </c>
      <c r="AP115" s="6">
        <v>-17300.321999999996</v>
      </c>
      <c r="AQ115" s="15">
        <v>-6.3172794226223836E-3</v>
      </c>
      <c r="AR115" s="6">
        <v>-17300.321999999996</v>
      </c>
      <c r="AS115" s="15">
        <v>-7.0427547495926111E-3</v>
      </c>
      <c r="AU115" s="6">
        <v>-207603.86399999991</v>
      </c>
      <c r="AV115" s="15">
        <v>-6.920128799999997E-3</v>
      </c>
      <c r="AW115" s="6">
        <v>-17300.321999999993</v>
      </c>
    </row>
    <row r="116" spans="2:49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IFERROR(VLOOKUP($I116,[1]RESUMO!$A$5:$M$150,2,FALSE),"")</f>
        <v>7224.44</v>
      </c>
      <c r="Q116" s="46">
        <f t="shared" si="28"/>
        <v>-2.7927711668984778E-2</v>
      </c>
      <c r="R116" s="6">
        <v>-10190.379173254945</v>
      </c>
      <c r="S116" s="15">
        <v>-4.5779128639645899E-3</v>
      </c>
      <c r="T116" s="6">
        <f>IFERROR(VLOOKUP($I116,[1]RESUMO!$A$5:$M$150,3,FALSE),"")</f>
        <v>5041.3999999999996</v>
      </c>
      <c r="U116" s="46">
        <f t="shared" si="38"/>
        <v>-0.50527846763235718</v>
      </c>
      <c r="V116" s="6">
        <v>-12820.118662330586</v>
      </c>
      <c r="W116" s="15">
        <v>-4.5779128639645899E-3</v>
      </c>
      <c r="X116" s="6">
        <f>IFERROR(VLOOKUP($I116,[1]RESUMO!$A$5:$M$150,4,FALSE),"")</f>
        <v>10515.810000000001</v>
      </c>
      <c r="Y116" s="46">
        <f t="shared" si="39"/>
        <v>-0.17974160169837938</v>
      </c>
      <c r="Z116" s="6">
        <v>-11198.993254491044</v>
      </c>
      <c r="AA116" s="15">
        <v>-4.5779128639645899E-3</v>
      </c>
      <c r="AB116" s="6">
        <f>IFERROR(VLOOKUP($I116,[1]RESUMO!$A$5:$M$150,5,FALSE),"")</f>
        <v>8548.01</v>
      </c>
      <c r="AC116" s="46">
        <f t="shared" si="40"/>
        <v>-0.23671621138158483</v>
      </c>
      <c r="AD116" s="6">
        <v>-11732.573309542116</v>
      </c>
      <c r="AE116" s="15">
        <v>-4.5779128639645899E-3</v>
      </c>
      <c r="AF116" s="6">
        <v>-10152.398303215092</v>
      </c>
      <c r="AG116" s="15">
        <v>-4.5779128639645899E-3</v>
      </c>
      <c r="AH116" s="6">
        <v>-10282.768020344478</v>
      </c>
      <c r="AI116" s="15">
        <v>-4.5779128639645899E-3</v>
      </c>
      <c r="AJ116" s="6">
        <v>-12319.55528469401</v>
      </c>
      <c r="AK116" s="15">
        <v>-4.5779128639645899E-3</v>
      </c>
      <c r="AL116" s="6">
        <v>-13639.469502081814</v>
      </c>
      <c r="AM116" s="15">
        <v>-4.5779128639645899E-3</v>
      </c>
      <c r="AN116" s="6">
        <v>-13786.679877565392</v>
      </c>
      <c r="AO116" s="15">
        <v>-4.5779128639645899E-3</v>
      </c>
      <c r="AP116" s="6">
        <v>-12536.942144891371</v>
      </c>
      <c r="AQ116" s="15">
        <v>-4.5779128639645899E-3</v>
      </c>
      <c r="AR116" s="6">
        <v>-11245.509669225792</v>
      </c>
      <c r="AS116" s="15">
        <v>-4.5779128639645899E-3</v>
      </c>
      <c r="AU116" s="6">
        <v>-137337.38591893768</v>
      </c>
      <c r="AV116" s="15">
        <v>-4.5779128639645891E-3</v>
      </c>
      <c r="AW116" s="6">
        <v>-11444.782159911474</v>
      </c>
    </row>
    <row r="117" spans="2:49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IFERROR(VLOOKUP($I117,[1]RESUMO!$A$5:$M$150,2,FALSE),"")</f>
        <v>117100.21999999996</v>
      </c>
      <c r="Q117" s="46">
        <f t="shared" si="28"/>
        <v>0.76172809604733427</v>
      </c>
      <c r="R117" s="6">
        <v>-91138.850856818972</v>
      </c>
      <c r="S117" s="15">
        <v>-4.0943100413712498E-2</v>
      </c>
      <c r="T117" s="6">
        <f>IFERROR(VLOOKUP($I117,[1]RESUMO!$A$5:$M$150,3,FALSE),"")</f>
        <v>78726.199999999983</v>
      </c>
      <c r="U117" s="46">
        <f t="shared" si="38"/>
        <v>-0.13619494584498903</v>
      </c>
      <c r="V117" s="6">
        <v>-114658.23428822056</v>
      </c>
      <c r="W117" s="15">
        <v>-4.0943100413712498E-2</v>
      </c>
      <c r="X117" s="6">
        <f>IFERROR(VLOOKUP($I117,[1]RESUMO!$A$5:$M$150,4,FALSE),"")</f>
        <v>88339.049999999988</v>
      </c>
      <c r="Y117" s="46">
        <f t="shared" si="39"/>
        <v>-0.22954465025216664</v>
      </c>
      <c r="Z117" s="6">
        <v>-100159.50914234405</v>
      </c>
      <c r="AA117" s="15">
        <v>-4.0943100413712498E-2</v>
      </c>
      <c r="AB117" s="6">
        <f>IFERROR(VLOOKUP($I117,[1]RESUMO!$A$5:$M$150,5,FALSE),"")</f>
        <v>54479.799999999996</v>
      </c>
      <c r="AC117" s="46">
        <f t="shared" si="40"/>
        <v>-0.45606961868618245</v>
      </c>
      <c r="AD117" s="6">
        <v>-104931.64492165871</v>
      </c>
      <c r="AE117" s="15">
        <v>-4.0943100413712498E-2</v>
      </c>
      <c r="AF117" s="6">
        <v>-90799.164492737516</v>
      </c>
      <c r="AG117" s="15">
        <v>-4.0943100413712498E-2</v>
      </c>
      <c r="AH117" s="6">
        <v>-91965.141342439529</v>
      </c>
      <c r="AI117" s="15">
        <v>-4.0943100413712498E-2</v>
      </c>
      <c r="AJ117" s="6">
        <v>-110181.38703424015</v>
      </c>
      <c r="AK117" s="15">
        <v>-4.0943100413712498E-2</v>
      </c>
      <c r="AL117" s="6">
        <v>-121986.19458428916</v>
      </c>
      <c r="AM117" s="15">
        <v>-4.0943100413712498E-2</v>
      </c>
      <c r="AN117" s="6">
        <v>-123302.78783638193</v>
      </c>
      <c r="AO117" s="15">
        <v>-4.0943100413712498E-2</v>
      </c>
      <c r="AP117" s="6">
        <v>-112125.61190486694</v>
      </c>
      <c r="AQ117" s="15">
        <v>-4.0943100413712498E-2</v>
      </c>
      <c r="AR117" s="6">
        <v>-100575.5341511122</v>
      </c>
      <c r="AS117" s="15">
        <v>-4.0943100413712498E-2</v>
      </c>
      <c r="AU117" s="6">
        <v>-1228293.0124113751</v>
      </c>
      <c r="AV117" s="15">
        <v>-4.0943100413712505E-2</v>
      </c>
      <c r="AW117" s="6">
        <v>-102357.75103428126</v>
      </c>
    </row>
    <row r="118" spans="2:49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IFERROR(VLOOKUP($I118,[1]RESUMO!$A$5:$M$150,2,FALSE),"")</f>
        <v/>
      </c>
      <c r="Q118" s="46" t="str">
        <f t="shared" si="28"/>
        <v/>
      </c>
      <c r="R118" s="6">
        <v>-1619.6499999999999</v>
      </c>
      <c r="S118" s="15">
        <v>-7.2760948773920053E-4</v>
      </c>
      <c r="T118" s="6" t="str">
        <f>IFERROR(VLOOKUP($I118,[1]RESUMO!$A$5:$M$150,3,FALSE),"")</f>
        <v/>
      </c>
      <c r="U118" s="46" t="str">
        <f t="shared" si="38"/>
        <v/>
      </c>
      <c r="V118" s="6">
        <v>-1619.6499999999999</v>
      </c>
      <c r="W118" s="15">
        <v>-5.7835787369945723E-4</v>
      </c>
      <c r="X118" s="6" t="str">
        <f>IFERROR(VLOOKUP($I118,[1]RESUMO!$A$5:$M$150,4,FALSE),"")</f>
        <v/>
      </c>
      <c r="Y118" s="46" t="str">
        <f t="shared" si="39"/>
        <v/>
      </c>
      <c r="Z118" s="6">
        <v>-1619.6499999999999</v>
      </c>
      <c r="AA118" s="15">
        <v>-6.6207884955612605E-4</v>
      </c>
      <c r="AB118" s="6" t="str">
        <f>IFERROR(VLOOKUP($I118,[1]RESUMO!$A$5:$M$150,5,FALSE),"")</f>
        <v/>
      </c>
      <c r="AC118" s="46" t="str">
        <f t="shared" si="40"/>
        <v/>
      </c>
      <c r="AD118" s="6">
        <v>-1619.6499999999999</v>
      </c>
      <c r="AE118" s="15">
        <v>-6.3196848419348295E-4</v>
      </c>
      <c r="AF118" s="6">
        <v>-1619.6499999999999</v>
      </c>
      <c r="AG118" s="15">
        <v>-7.3033152844014849E-4</v>
      </c>
      <c r="AH118" s="6">
        <v>-1619.6499999999999</v>
      </c>
      <c r="AI118" s="15">
        <v>-7.2107204552805367E-4</v>
      </c>
      <c r="AJ118" s="6">
        <v>-1619.6499999999999</v>
      </c>
      <c r="AK118" s="15">
        <v>-6.0185748582436839E-4</v>
      </c>
      <c r="AL118" s="6">
        <v>-1619.6499999999999</v>
      </c>
      <c r="AM118" s="15">
        <v>-5.4361473288888119E-4</v>
      </c>
      <c r="AN118" s="6">
        <v>-1619.6499999999999</v>
      </c>
      <c r="AO118" s="15">
        <v>-5.3781016430110972E-4</v>
      </c>
      <c r="AP118" s="6">
        <v>-1619.6499999999999</v>
      </c>
      <c r="AQ118" s="15">
        <v>-5.9142145544171631E-4</v>
      </c>
      <c r="AR118" s="6">
        <v>-1619.6499999999999</v>
      </c>
      <c r="AS118" s="15">
        <v>-6.5934019784011388E-4</v>
      </c>
      <c r="AU118" s="6">
        <v>-19435.8</v>
      </c>
      <c r="AV118" s="15">
        <v>-6.4785999999999999E-4</v>
      </c>
      <c r="AW118" s="6">
        <v>-1619.6499999999999</v>
      </c>
    </row>
    <row r="119" spans="2:49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IFERROR(VLOOKUP($I119,[1]RESUMO!$A$5:$M$150,2,FALSE),"")</f>
        <v>35699.840000000004</v>
      </c>
      <c r="Q119" s="46">
        <f t="shared" si="28"/>
        <v>-4.6055582277741092E-2</v>
      </c>
      <c r="R119" s="6">
        <v>-51313.060299558783</v>
      </c>
      <c r="S119" s="15">
        <v>-2.3051813366401799E-2</v>
      </c>
      <c r="T119" s="6">
        <f>IFERROR(VLOOKUP($I119,[1]RESUMO!$A$5:$M$150,3,FALSE),"")</f>
        <v>45445.030000000006</v>
      </c>
      <c r="U119" s="46">
        <f t="shared" si="38"/>
        <v>-0.11435744165914097</v>
      </c>
      <c r="V119" s="6">
        <v>-64554.960201500078</v>
      </c>
      <c r="W119" s="15">
        <v>-2.3051813366401799E-2</v>
      </c>
      <c r="X119" s="6">
        <f>IFERROR(VLOOKUP($I119,[1]RESUMO!$A$5:$M$150,4,FALSE),"")</f>
        <v>61484.200000000004</v>
      </c>
      <c r="Y119" s="46">
        <f t="shared" si="39"/>
        <v>-4.7568152654963836E-2</v>
      </c>
      <c r="Z119" s="6">
        <v>-56391.877710522778</v>
      </c>
      <c r="AA119" s="15">
        <v>-2.3051813366401799E-2</v>
      </c>
      <c r="AB119" s="6">
        <f>IFERROR(VLOOKUP($I119,[1]RESUMO!$A$5:$M$150,5,FALSE),"")</f>
        <v>0</v>
      </c>
      <c r="AC119" s="46">
        <f t="shared" si="40"/>
        <v>-1</v>
      </c>
      <c r="AD119" s="6">
        <v>-59078.68897377159</v>
      </c>
      <c r="AE119" s="15">
        <v>-2.3051813366401799E-2</v>
      </c>
      <c r="AF119" s="6">
        <v>-51121.809842490446</v>
      </c>
      <c r="AG119" s="15">
        <v>-2.3051813366401799E-2</v>
      </c>
      <c r="AH119" s="6">
        <v>-51778.27895345875</v>
      </c>
      <c r="AI119" s="15">
        <v>-2.3051813366401799E-2</v>
      </c>
      <c r="AJ119" s="6">
        <v>-62034.402492732093</v>
      </c>
      <c r="AK119" s="15">
        <v>-2.3051813366401799E-2</v>
      </c>
      <c r="AL119" s="6">
        <v>-68680.753592681591</v>
      </c>
      <c r="AM119" s="15">
        <v>-2.3051813366401802E-2</v>
      </c>
      <c r="AN119" s="6">
        <v>-69422.022857100601</v>
      </c>
      <c r="AO119" s="15">
        <v>-2.3051813366401799E-2</v>
      </c>
      <c r="AP119" s="6">
        <v>-63129.041355132344</v>
      </c>
      <c r="AQ119" s="15">
        <v>-2.3051813366401799E-2</v>
      </c>
      <c r="AR119" s="6">
        <v>-56626.108405340092</v>
      </c>
      <c r="AS119" s="15">
        <v>-2.3051813366401799E-2</v>
      </c>
      <c r="AU119" s="6">
        <v>-691554.40099205403</v>
      </c>
      <c r="AV119" s="15">
        <v>-2.3051813366401802E-2</v>
      </c>
      <c r="AW119" s="6">
        <v>-57629.533416004502</v>
      </c>
    </row>
    <row r="120" spans="2:49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IFERROR(VLOOKUP($I120,[1]RESUMO!$A$5:$M$150,2,FALSE),"")</f>
        <v>7122.33</v>
      </c>
      <c r="Q120" s="46">
        <f t="shared" si="28"/>
        <v>-2.7549662484435133E-2</v>
      </c>
      <c r="R120" s="6">
        <v>-7324.1066666666675</v>
      </c>
      <c r="S120" s="15">
        <v>-3.2902722809746536E-3</v>
      </c>
      <c r="T120" s="6">
        <f>IFERROR(VLOOKUP($I120,[1]RESUMO!$A$5:$M$150,3,FALSE),"")</f>
        <v>4005.16</v>
      </c>
      <c r="U120" s="46">
        <f t="shared" si="38"/>
        <v>-0.45315378621829661</v>
      </c>
      <c r="V120" s="6">
        <v>-7324.1066666666675</v>
      </c>
      <c r="W120" s="15">
        <v>-2.615351933122189E-3</v>
      </c>
      <c r="X120" s="6">
        <f>IFERROR(VLOOKUP($I120,[1]RESUMO!$A$5:$M$150,4,FALSE),"")</f>
        <v>4874.22</v>
      </c>
      <c r="Y120" s="46">
        <f t="shared" si="39"/>
        <v>-0.33449631172311345</v>
      </c>
      <c r="Z120" s="6">
        <v>-7324.1066666666675</v>
      </c>
      <c r="AA120" s="15">
        <v>-2.9939407377476746E-3</v>
      </c>
      <c r="AB120" s="6">
        <f>IFERROR(VLOOKUP($I120,[1]RESUMO!$A$5:$M$150,5,FALSE),"")</f>
        <v>2254.29</v>
      </c>
      <c r="AC120" s="46">
        <f t="shared" si="40"/>
        <v>-0.69220956184872606</v>
      </c>
      <c r="AD120" s="6">
        <v>-7324.1066666666675</v>
      </c>
      <c r="AE120" s="15">
        <v>-2.8577807478187989E-3</v>
      </c>
      <c r="AF120" s="6">
        <v>-7324.1066666666675</v>
      </c>
      <c r="AG120" s="15">
        <v>-3.3025814319916948E-3</v>
      </c>
      <c r="AH120" s="6">
        <v>-7324.1066666666675</v>
      </c>
      <c r="AI120" s="15">
        <v>-3.2607097680356798E-3</v>
      </c>
      <c r="AJ120" s="6">
        <v>-7324.1066666666675</v>
      </c>
      <c r="AK120" s="15">
        <v>-2.7216178954153651E-3</v>
      </c>
      <c r="AL120" s="6">
        <v>-7324.1066666666675</v>
      </c>
      <c r="AM120" s="15">
        <v>-2.4582423914115241E-3</v>
      </c>
      <c r="AN120" s="6">
        <v>-7324.1066666666675</v>
      </c>
      <c r="AO120" s="15">
        <v>-2.4319939553353221E-3</v>
      </c>
      <c r="AP120" s="6">
        <v>-7324.1066666666675</v>
      </c>
      <c r="AQ120" s="15">
        <v>-2.6744258479365159E-3</v>
      </c>
      <c r="AR120" s="6">
        <v>-7324.1066666666675</v>
      </c>
      <c r="AS120" s="15">
        <v>-2.9815564712142115E-3</v>
      </c>
      <c r="AU120" s="6">
        <v>-87889.280000000028</v>
      </c>
      <c r="AV120" s="15">
        <v>-2.9296426666666677E-3</v>
      </c>
      <c r="AW120" s="6">
        <v>-7324.1066666666693</v>
      </c>
    </row>
    <row r="121" spans="2:49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IFERROR(VLOOKUP($I121,[1]RESUMO!$A$5:$M$150,2,FALSE),"")</f>
        <v>1965</v>
      </c>
      <c r="Q121" s="46">
        <f t="shared" si="28"/>
        <v>-0.33373161950899632</v>
      </c>
      <c r="R121" s="6">
        <v>-4043.8782289783835</v>
      </c>
      <c r="S121" s="15">
        <v>-1.816666666666667E-3</v>
      </c>
      <c r="T121" s="6">
        <f>IFERROR(VLOOKUP($I121,[1]RESUMO!$A$5:$M$150,3,FALSE),"")</f>
        <v>1965</v>
      </c>
      <c r="U121" s="46">
        <f t="shared" si="38"/>
        <v>-0.51408032370538925</v>
      </c>
      <c r="V121" s="6">
        <v>-5087.4455081693277</v>
      </c>
      <c r="W121" s="15">
        <v>-1.816666666666667E-3</v>
      </c>
      <c r="X121" s="6">
        <f>IFERROR(VLOOKUP($I121,[1]RESUMO!$A$5:$M$150,4,FALSE),"")</f>
        <v>7759.59</v>
      </c>
      <c r="Y121" s="46">
        <f t="shared" si="39"/>
        <v>0.52524287238846901</v>
      </c>
      <c r="Z121" s="6">
        <v>-4444.1295302505132</v>
      </c>
      <c r="AA121" s="15">
        <v>-1.816666666666667E-3</v>
      </c>
      <c r="AB121" s="6">
        <f>IFERROR(VLOOKUP($I121,[1]RESUMO!$A$5:$M$150,5,FALSE),"")</f>
        <v>2492.92</v>
      </c>
      <c r="AC121" s="46">
        <f t="shared" si="40"/>
        <v>-0.4390532537292009</v>
      </c>
      <c r="AD121" s="6">
        <v>-4655.8716775595331</v>
      </c>
      <c r="AE121" s="15">
        <v>-1.816666666666667E-3</v>
      </c>
      <c r="AF121" s="6">
        <v>-4028.8061682767639</v>
      </c>
      <c r="AG121" s="15">
        <v>-1.816666666666667E-3</v>
      </c>
      <c r="AH121" s="6">
        <v>-4080.5411677163579</v>
      </c>
      <c r="AI121" s="15">
        <v>-1.816666666666667E-3</v>
      </c>
      <c r="AJ121" s="6">
        <v>-4888.8054663580206</v>
      </c>
      <c r="AK121" s="15">
        <v>-1.8166666666666672E-3</v>
      </c>
      <c r="AL121" s="6">
        <v>-5412.5909189957647</v>
      </c>
      <c r="AM121" s="15">
        <v>-1.816666666666667E-3</v>
      </c>
      <c r="AN121" s="6">
        <v>-5471.0088465700564</v>
      </c>
      <c r="AO121" s="15">
        <v>-1.8166666666666672E-3</v>
      </c>
      <c r="AP121" s="6">
        <v>-4975.0717353821674</v>
      </c>
      <c r="AQ121" s="15">
        <v>-1.816666666666667E-3</v>
      </c>
      <c r="AR121" s="6">
        <v>-4462.5887763332958</v>
      </c>
      <c r="AS121" s="15">
        <v>-1.816666666666667E-3</v>
      </c>
      <c r="AU121" s="6">
        <v>-54500</v>
      </c>
      <c r="AV121" s="15">
        <v>-1.8166666666666667E-3</v>
      </c>
      <c r="AW121" s="6">
        <v>-4541.666666666667</v>
      </c>
    </row>
    <row r="122" spans="2:49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IFERROR(VLOOKUP($I122,[1]RESUMO!$A$5:$M$150,2,FALSE),"")</f>
        <v>24000</v>
      </c>
      <c r="Q122" s="46">
        <f t="shared" si="28"/>
        <v>0</v>
      </c>
      <c r="R122" s="6">
        <v>-24000</v>
      </c>
      <c r="S122" s="15">
        <v>-1.0781729204297727E-2</v>
      </c>
      <c r="T122" s="6">
        <f>IFERROR(VLOOKUP($I122,[1]RESUMO!$A$5:$M$150,3,FALSE),"")</f>
        <v>24000</v>
      </c>
      <c r="U122" s="46">
        <f t="shared" si="38"/>
        <v>0</v>
      </c>
      <c r="V122" s="6">
        <v>-24000</v>
      </c>
      <c r="W122" s="15">
        <v>-8.5701163638977392E-3</v>
      </c>
      <c r="X122" s="6">
        <f>IFERROR(VLOOKUP($I122,[1]RESUMO!$A$5:$M$150,4,FALSE),"")</f>
        <v>24000</v>
      </c>
      <c r="Y122" s="46">
        <f t="shared" si="39"/>
        <v>0</v>
      </c>
      <c r="Z122" s="6">
        <v>-24000</v>
      </c>
      <c r="AA122" s="15">
        <v>-9.8106951436094381E-3</v>
      </c>
      <c r="AB122" s="6">
        <f>IFERROR(VLOOKUP($I122,[1]RESUMO!$A$5:$M$150,5,FALSE),"")</f>
        <v>510</v>
      </c>
      <c r="AC122" s="46">
        <f t="shared" si="40"/>
        <v>-0.97875000000000001</v>
      </c>
      <c r="AD122" s="6">
        <v>-24000</v>
      </c>
      <c r="AE122" s="15">
        <v>-9.3645192607313878E-3</v>
      </c>
      <c r="AF122" s="6">
        <v>-24000</v>
      </c>
      <c r="AG122" s="15">
        <v>-1.0822064447605077E-2</v>
      </c>
      <c r="AH122" s="6">
        <v>-24000</v>
      </c>
      <c r="AI122" s="15">
        <v>-1.0684857279457468E-2</v>
      </c>
      <c r="AJ122" s="6">
        <v>-24000</v>
      </c>
      <c r="AK122" s="15">
        <v>-8.9183339979531651E-3</v>
      </c>
      <c r="AL122" s="6">
        <v>-24000</v>
      </c>
      <c r="AM122" s="15">
        <v>-8.0552919392048589E-3</v>
      </c>
      <c r="AN122" s="6">
        <v>-24000</v>
      </c>
      <c r="AO122" s="15">
        <v>-7.9692797476162355E-3</v>
      </c>
      <c r="AP122" s="6">
        <v>-24000</v>
      </c>
      <c r="AQ122" s="15">
        <v>-8.7636927302819703E-3</v>
      </c>
      <c r="AR122" s="6">
        <v>-24000</v>
      </c>
      <c r="AS122" s="15">
        <v>-9.7701137580111352E-3</v>
      </c>
      <c r="AU122" s="6">
        <v>-288000</v>
      </c>
      <c r="AV122" s="15">
        <v>-9.5999999999999992E-3</v>
      </c>
      <c r="AW122" s="6">
        <v>-24000</v>
      </c>
    </row>
    <row r="123" spans="2:49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63742.03</v>
      </c>
      <c r="U123" s="45">
        <f>(T123*-1)/R123-1</f>
        <v>-9.9728447716252222E-2</v>
      </c>
      <c r="V123" s="8">
        <v>-70803.114724999963</v>
      </c>
      <c r="W123" s="13">
        <v>-2.5282955504985466E-2</v>
      </c>
      <c r="X123" s="8">
        <f>SUM(X124:X130)</f>
        <v>67412.58</v>
      </c>
      <c r="Y123" s="45">
        <f>(X123*-1)/V123-1</f>
        <v>-4.7886801847190408E-2</v>
      </c>
      <c r="Z123" s="8">
        <v>-70803.114724999963</v>
      </c>
      <c r="AA123" s="13">
        <v>-2.8942823907707461E-2</v>
      </c>
      <c r="AB123" s="8">
        <f>SUM(AB124:AB130)</f>
        <v>34946.379999999997</v>
      </c>
      <c r="AC123" s="45">
        <f>(AB123*-1)/Z123-1</f>
        <v>-0.50642877596936087</v>
      </c>
      <c r="AD123" s="8">
        <v>-70803.114724999963</v>
      </c>
      <c r="AE123" s="13">
        <v>-2.7626547148418182E-2</v>
      </c>
      <c r="AF123" s="8">
        <v>-70803.114724999963</v>
      </c>
      <c r="AG123" s="13">
        <v>-3.1926494610213567E-2</v>
      </c>
      <c r="AH123" s="8">
        <v>-70803.114724999963</v>
      </c>
      <c r="AI123" s="13">
        <v>-3.1521715657403256E-2</v>
      </c>
      <c r="AJ123" s="8">
        <v>-70803.114724999963</v>
      </c>
      <c r="AK123" s="13">
        <v>-2.6310242717206063E-2</v>
      </c>
      <c r="AL123" s="8">
        <v>-70803.114724999963</v>
      </c>
      <c r="AM123" s="13">
        <v>-2.3764156638120381E-2</v>
      </c>
      <c r="AN123" s="8">
        <v>-70803.114724999963</v>
      </c>
      <c r="AO123" s="13">
        <v>-2.3510409510253794E-2</v>
      </c>
      <c r="AP123" s="8">
        <v>-70803.114724999963</v>
      </c>
      <c r="AQ123" s="13">
        <v>-2.5854030908200105E-2</v>
      </c>
      <c r="AR123" s="8">
        <v>-70803.114724999963</v>
      </c>
      <c r="AS123" s="13">
        <v>-2.8823103553531786E-2</v>
      </c>
      <c r="AT123" s="16"/>
      <c r="AU123" s="8">
        <v>-849637.37669999956</v>
      </c>
      <c r="AV123" s="13">
        <v>-2.8321245889999985E-2</v>
      </c>
      <c r="AW123" s="8">
        <v>-70803.114724999978</v>
      </c>
    </row>
    <row r="124" spans="2:49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IFERROR(VLOOKUP($I124,[1]RESUMO!$A$5:$M$150,2,FALSE),"")</f>
        <v>11823</v>
      </c>
      <c r="Q124" s="46">
        <f t="shared" si="28"/>
        <v>-8.3034509716628624E-2</v>
      </c>
      <c r="R124" s="6">
        <v>-12893.614999999965</v>
      </c>
      <c r="S124" s="15">
        <v>-5.7923110581029526E-3</v>
      </c>
      <c r="T124" s="6">
        <f>IFERROR(VLOOKUP($I124,[1]RESUMO!$A$5:$M$150,3,FALSE),"")</f>
        <v>11880</v>
      </c>
      <c r="U124" s="46">
        <f t="shared" ref="U124:U130" si="41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IFERROR(VLOOKUP($I124,[1]RESUMO!$A$5:$M$150,4,FALSE),"")</f>
        <v>12244</v>
      </c>
      <c r="Y124" s="46">
        <f t="shared" ref="Y124:Y130" si="42">IFERROR((X124*-1)/V124-1,"")</f>
        <v>-5.0382689416425652E-2</v>
      </c>
      <c r="Z124" s="6">
        <v>-12893.614999999965</v>
      </c>
      <c r="AA124" s="15">
        <v>-5.2706385860028949E-3</v>
      </c>
      <c r="AB124" s="6">
        <f>IFERROR(VLOOKUP($I124,[1]RESUMO!$A$5:$M$150,5,FALSE),"")</f>
        <v>6748</v>
      </c>
      <c r="AC124" s="46">
        <f t="shared" ref="AC124:AC130" si="43">IFERROR((AB124*-1)/Z124-1,"")</f>
        <v>-0.47664018198154523</v>
      </c>
      <c r="AD124" s="6">
        <v>-12893.614999999965</v>
      </c>
      <c r="AE124" s="15">
        <v>-5.0309377503314507E-3</v>
      </c>
      <c r="AF124" s="6">
        <v>-12893.614999999965</v>
      </c>
      <c r="AG124" s="15">
        <v>-5.8139805205252989E-3</v>
      </c>
      <c r="AH124" s="6">
        <v>-12893.614999999965</v>
      </c>
      <c r="AI124" s="15">
        <v>-5.7402681704696512E-3</v>
      </c>
      <c r="AJ124" s="6">
        <v>-12893.614999999965</v>
      </c>
      <c r="AK124" s="15">
        <v>-4.7912318754591071E-3</v>
      </c>
      <c r="AL124" s="6">
        <v>-12893.614999999965</v>
      </c>
      <c r="AM124" s="15">
        <v>-4.3275763740296081E-3</v>
      </c>
      <c r="AN124" s="6">
        <v>-12893.614999999965</v>
      </c>
      <c r="AO124" s="15">
        <v>-4.281367703877526E-3</v>
      </c>
      <c r="AP124" s="6">
        <v>-12893.614999999965</v>
      </c>
      <c r="AQ124" s="15">
        <v>-4.7081533351064275E-3</v>
      </c>
      <c r="AR124" s="6">
        <v>-12893.614999999965</v>
      </c>
      <c r="AS124" s="15">
        <v>-5.2488368875832662E-3</v>
      </c>
      <c r="AU124" s="6">
        <v>-154723.37999999957</v>
      </c>
      <c r="AV124" s="15">
        <v>-5.1574459999999857E-3</v>
      </c>
      <c r="AW124" s="6">
        <v>-12893.614999999963</v>
      </c>
    </row>
    <row r="125" spans="2:49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IFERROR(VLOOKUP($I125,[1]RESUMO!$A$5:$M$150,2,FALSE),"")</f>
        <v>16033.429999999998</v>
      </c>
      <c r="Q125" s="46">
        <f t="shared" si="28"/>
        <v>-0.22904742528484257</v>
      </c>
      <c r="R125" s="6">
        <v>-20796.908299999963</v>
      </c>
      <c r="S125" s="15">
        <v>-9.3427763990504738E-3</v>
      </c>
      <c r="T125" s="6">
        <f>IFERROR(VLOOKUP($I125,[1]RESUMO!$A$5:$M$150,3,FALSE),"")</f>
        <v>14452.9</v>
      </c>
      <c r="U125" s="46">
        <f t="shared" si="41"/>
        <v>-0.30504574086139402</v>
      </c>
      <c r="V125" s="6">
        <v>-20796.908299999963</v>
      </c>
      <c r="W125" s="15">
        <v>-7.4263301725129337E-3</v>
      </c>
      <c r="X125" s="6">
        <f>IFERROR(VLOOKUP($I125,[1]RESUMO!$A$5:$M$150,4,FALSE),"")</f>
        <v>20130.41</v>
      </c>
      <c r="Y125" s="46">
        <f t="shared" si="42"/>
        <v>-3.204795108895897E-2</v>
      </c>
      <c r="Z125" s="6">
        <v>-20796.908299999963</v>
      </c>
      <c r="AA125" s="15">
        <v>-8.5013386358708531E-3</v>
      </c>
      <c r="AB125" s="6">
        <f>IFERROR(VLOOKUP($I125,[1]RESUMO!$A$5:$M$150,5,FALSE),"")</f>
        <v>10016.82</v>
      </c>
      <c r="AC125" s="46">
        <f t="shared" si="43"/>
        <v>-0.51835052328427023</v>
      </c>
      <c r="AD125" s="6">
        <v>-20796.908299999963</v>
      </c>
      <c r="AE125" s="15">
        <v>-8.1147103474589217E-3</v>
      </c>
      <c r="AF125" s="6">
        <v>-20796.908299999963</v>
      </c>
      <c r="AG125" s="15">
        <v>-9.3777284138971892E-3</v>
      </c>
      <c r="AH125" s="6">
        <v>-20796.908299999963</v>
      </c>
      <c r="AI125" s="15">
        <v>-9.2588332099776682E-3</v>
      </c>
      <c r="AJ125" s="6">
        <v>-20796.908299999963</v>
      </c>
      <c r="AK125" s="15">
        <v>-7.7280739310085006E-3</v>
      </c>
      <c r="AL125" s="6">
        <v>-20796.908299999963</v>
      </c>
      <c r="AM125" s="15">
        <v>-6.9802153245571812E-3</v>
      </c>
      <c r="AN125" s="6">
        <v>-20796.908299999963</v>
      </c>
      <c r="AO125" s="15">
        <v>-6.9056825053425705E-3</v>
      </c>
      <c r="AP125" s="6">
        <v>-20796.908299999963</v>
      </c>
      <c r="AQ125" s="15">
        <v>-7.594071420043768E-3</v>
      </c>
      <c r="AR125" s="6">
        <v>-20796.908299999963</v>
      </c>
      <c r="AS125" s="15">
        <v>-8.4661733294135663E-3</v>
      </c>
      <c r="AU125" s="6">
        <v>-249562.89959999951</v>
      </c>
      <c r="AV125" s="15">
        <v>-8.318763319999983E-3</v>
      </c>
      <c r="AW125" s="6">
        <v>-20796.908299999959</v>
      </c>
    </row>
    <row r="126" spans="2:49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IFERROR(VLOOKUP($I126,[1]RESUMO!$A$5:$M$150,2,FALSE),"")</f>
        <v>6035.41</v>
      </c>
      <c r="Q126" s="46">
        <f t="shared" si="28"/>
        <v>1.3527434414105421E-2</v>
      </c>
      <c r="R126" s="6">
        <v>-5954.8560750000006</v>
      </c>
      <c r="S126" s="15">
        <v>-2.6751519021340517E-3</v>
      </c>
      <c r="T126" s="6">
        <f>IFERROR(VLOOKUP($I126,[1]RESUMO!$A$5:$M$150,3,FALSE),"")</f>
        <v>6035.41</v>
      </c>
      <c r="U126" s="46">
        <f t="shared" si="41"/>
        <v>1.3527434414105421E-2</v>
      </c>
      <c r="V126" s="6">
        <v>-5954.8560750000006</v>
      </c>
      <c r="W126" s="15">
        <v>-2.1264087288755573E-3</v>
      </c>
      <c r="X126" s="6">
        <f>IFERROR(VLOOKUP($I126,[1]RESUMO!$A$5:$M$150,4,FALSE),"")</f>
        <v>6035.41</v>
      </c>
      <c r="Y126" s="46">
        <f t="shared" si="42"/>
        <v>1.3527434414105421E-2</v>
      </c>
      <c r="Z126" s="6">
        <v>-5954.8560750000006</v>
      </c>
      <c r="AA126" s="15">
        <v>-2.4342198989956527E-3</v>
      </c>
      <c r="AB126" s="6">
        <f>IFERROR(VLOOKUP($I126,[1]RESUMO!$A$5:$M$150,5,FALSE),"")</f>
        <v>0</v>
      </c>
      <c r="AC126" s="46">
        <f t="shared" si="43"/>
        <v>-1</v>
      </c>
      <c r="AD126" s="6">
        <v>-5954.8560750000006</v>
      </c>
      <c r="AE126" s="15">
        <v>-2.3235151837175342E-3</v>
      </c>
      <c r="AF126" s="6">
        <v>-5954.8560750000006</v>
      </c>
      <c r="AG126" s="15">
        <v>-2.6851598424942761E-3</v>
      </c>
      <c r="AH126" s="6">
        <v>-5954.8560750000006</v>
      </c>
      <c r="AI126" s="15">
        <v>-2.6511161367118868E-3</v>
      </c>
      <c r="AJ126" s="6">
        <v>-5954.8560750000006</v>
      </c>
      <c r="AK126" s="15">
        <v>-2.2128081411079354E-3</v>
      </c>
      <c r="AL126" s="6">
        <v>-5954.8560750000006</v>
      </c>
      <c r="AM126" s="15">
        <v>-1.9986710058363579E-3</v>
      </c>
      <c r="AN126" s="6">
        <v>-5954.8560750000006</v>
      </c>
      <c r="AO126" s="15">
        <v>-1.9773297466027921E-3</v>
      </c>
      <c r="AP126" s="6">
        <v>-5954.8560750000006</v>
      </c>
      <c r="AQ126" s="15">
        <v>-2.1744387039313723E-3</v>
      </c>
      <c r="AR126" s="6">
        <v>-5954.8560750000006</v>
      </c>
      <c r="AS126" s="15">
        <v>-2.4241508860555704E-3</v>
      </c>
      <c r="AU126" s="6">
        <v>-71458.272900000025</v>
      </c>
      <c r="AV126" s="15">
        <v>-2.3819424300000011E-3</v>
      </c>
      <c r="AW126" s="6">
        <v>-5954.8560750000024</v>
      </c>
    </row>
    <row r="127" spans="2:49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IFERROR(VLOOKUP($I127,[1]RESUMO!$A$5:$M$150,2,FALSE),"")</f>
        <v>8966</v>
      </c>
      <c r="Q127" s="46">
        <f t="shared" si="28"/>
        <v>-0.12568709922475041</v>
      </c>
      <c r="R127" s="6">
        <v>-10254.909874999998</v>
      </c>
      <c r="S127" s="15">
        <v>-4.6069025536136926E-3</v>
      </c>
      <c r="T127" s="6">
        <f>IFERROR(VLOOKUP($I127,[1]RESUMO!$A$5:$M$150,3,FALSE),"")</f>
        <v>9436</v>
      </c>
      <c r="U127" s="46">
        <f t="shared" si="41"/>
        <v>-7.9855394633587484E-2</v>
      </c>
      <c r="V127" s="6">
        <v>-10254.909874999998</v>
      </c>
      <c r="W127" s="15">
        <v>-3.6619071220847501E-3</v>
      </c>
      <c r="X127" s="6">
        <f>IFERROR(VLOOKUP($I127,[1]RESUMO!$A$5:$M$150,4,FALSE),"")</f>
        <v>9436</v>
      </c>
      <c r="Y127" s="46">
        <f t="shared" si="42"/>
        <v>-7.9855394633587484E-2</v>
      </c>
      <c r="Z127" s="6">
        <v>-10254.909874999998</v>
      </c>
      <c r="AA127" s="15">
        <v>-4.1919914378672901E-3</v>
      </c>
      <c r="AB127" s="6">
        <f>IFERROR(VLOOKUP($I127,[1]RESUMO!$A$5:$M$150,5,FALSE),"")</f>
        <v>4718</v>
      </c>
      <c r="AC127" s="46">
        <f t="shared" si="43"/>
        <v>-0.53992769731679369</v>
      </c>
      <c r="AD127" s="6">
        <v>-10254.909874999998</v>
      </c>
      <c r="AE127" s="15">
        <v>-4.0013458767292499E-3</v>
      </c>
      <c r="AF127" s="6">
        <v>-10254.909874999998</v>
      </c>
      <c r="AG127" s="15">
        <v>-4.6241373154846544E-3</v>
      </c>
      <c r="AH127" s="6">
        <v>-10254.909874999998</v>
      </c>
      <c r="AI127" s="15">
        <v>-4.5655103511697496E-3</v>
      </c>
      <c r="AJ127" s="6">
        <v>-10254.909874999998</v>
      </c>
      <c r="AK127" s="15">
        <v>-3.8106963076732546E-3</v>
      </c>
      <c r="AL127" s="6">
        <v>-10254.909874999998</v>
      </c>
      <c r="AM127" s="15">
        <v>-3.4419288688899916E-3</v>
      </c>
      <c r="AN127" s="6">
        <v>-10254.909874999998</v>
      </c>
      <c r="AO127" s="15">
        <v>-3.4051768991861342E-3</v>
      </c>
      <c r="AP127" s="6">
        <v>-10254.909874999998</v>
      </c>
      <c r="AQ127" s="15">
        <v>-3.7446199633847611E-3</v>
      </c>
      <c r="AR127" s="6">
        <v>-10254.909874999998</v>
      </c>
      <c r="AS127" s="15">
        <v>-4.174651502370905E-3</v>
      </c>
      <c r="AU127" s="6">
        <v>-123058.91849999997</v>
      </c>
      <c r="AV127" s="15">
        <v>-4.1019639499999989E-3</v>
      </c>
      <c r="AW127" s="6">
        <v>-10254.909874999998</v>
      </c>
    </row>
    <row r="128" spans="2:49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IFERROR(VLOOKUP($I128,[1]RESUMO!$A$5:$M$150,2,FALSE),"")</f>
        <v>23441.37</v>
      </c>
      <c r="Q128" s="46">
        <f t="shared" si="28"/>
        <v>0.99189061116624089</v>
      </c>
      <c r="R128" s="6">
        <v>-11768.402275000035</v>
      </c>
      <c r="S128" s="15">
        <v>-5.2868219373454865E-3</v>
      </c>
      <c r="T128" s="6">
        <f>IFERROR(VLOOKUP($I128,[1]RESUMO!$A$5:$M$150,3,FALSE),"")</f>
        <v>11505.72</v>
      </c>
      <c r="U128" s="46">
        <f t="shared" si="41"/>
        <v>-2.2320980270878366E-2</v>
      </c>
      <c r="V128" s="6">
        <v>-11768.402275000035</v>
      </c>
      <c r="W128" s="15">
        <v>-4.2023573714128825E-3</v>
      </c>
      <c r="X128" s="6">
        <f>IFERROR(VLOOKUP($I128,[1]RESUMO!$A$5:$M$150,4,FALSE),"")</f>
        <v>10818.33</v>
      </c>
      <c r="Y128" s="46">
        <f t="shared" si="42"/>
        <v>-8.073077829930253E-2</v>
      </c>
      <c r="Z128" s="6">
        <v>-11768.402275000035</v>
      </c>
      <c r="AA128" s="15">
        <v>-4.8106752936410467E-3</v>
      </c>
      <c r="AB128" s="6">
        <f>IFERROR(VLOOKUP($I128,[1]RESUMO!$A$5:$M$150,5,FALSE),"")</f>
        <v>7845.5599999999995</v>
      </c>
      <c r="AC128" s="46">
        <f t="shared" si="43"/>
        <v>-0.333336861141588</v>
      </c>
      <c r="AD128" s="6">
        <v>-11768.402275000035</v>
      </c>
      <c r="AE128" s="15">
        <v>-4.5918929071780377E-3</v>
      </c>
      <c r="AF128" s="6">
        <v>-11768.402275000035</v>
      </c>
      <c r="AG128" s="15">
        <v>-5.306600327724691E-3</v>
      </c>
      <c r="AH128" s="6">
        <v>-11768.402275000035</v>
      </c>
      <c r="AI128" s="15">
        <v>-5.2393207798174151E-3</v>
      </c>
      <c r="AJ128" s="6">
        <v>-11768.402275000035</v>
      </c>
      <c r="AK128" s="15">
        <v>-4.3731059212800908E-3</v>
      </c>
      <c r="AL128" s="6">
        <v>-11768.402275000035</v>
      </c>
      <c r="AM128" s="15">
        <v>-3.9499131659636632E-3</v>
      </c>
      <c r="AN128" s="6">
        <v>-11768.402275000035</v>
      </c>
      <c r="AO128" s="15">
        <v>-3.9077370796649418E-3</v>
      </c>
      <c r="AP128" s="6">
        <v>-11768.402275000035</v>
      </c>
      <c r="AQ128" s="15">
        <v>-4.2972775610188169E-3</v>
      </c>
      <c r="AR128" s="6">
        <v>-11768.402275000035</v>
      </c>
      <c r="AS128" s="15">
        <v>-4.7907762073661408E-3</v>
      </c>
      <c r="AU128" s="6">
        <v>-141220.82730000038</v>
      </c>
      <c r="AV128" s="15">
        <v>-4.7073609100000127E-3</v>
      </c>
      <c r="AW128" s="6">
        <v>-11768.402275000031</v>
      </c>
    </row>
    <row r="129" spans="2:49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IFERROR(VLOOKUP($I129,[1]RESUMO!$A$5:$M$150,2,FALSE),"")</f>
        <v>1195</v>
      </c>
      <c r="Q129" s="46">
        <f t="shared" si="28"/>
        <v>-0.10765623483202291</v>
      </c>
      <c r="R129" s="6">
        <v>-1339.17</v>
      </c>
      <c r="S129" s="15">
        <v>-6.0160701243830786E-4</v>
      </c>
      <c r="T129" s="6">
        <f>IFERROR(VLOOKUP($I129,[1]RESUMO!$A$5:$M$150,3,FALSE),"")</f>
        <v>1082</v>
      </c>
      <c r="U129" s="46">
        <f t="shared" si="41"/>
        <v>-0.19203685865125419</v>
      </c>
      <c r="V129" s="6">
        <v>-1339.17</v>
      </c>
      <c r="W129" s="15">
        <v>-4.7820178046003903E-4</v>
      </c>
      <c r="X129" s="6">
        <f>IFERROR(VLOOKUP($I129,[1]RESUMO!$A$5:$M$150,4,FALSE),"")</f>
        <v>978.5</v>
      </c>
      <c r="Y129" s="46">
        <f t="shared" si="42"/>
        <v>-0.26932353622019611</v>
      </c>
      <c r="Z129" s="6">
        <v>-1339.17</v>
      </c>
      <c r="AA129" s="15">
        <v>-5.4742452564447719E-4</v>
      </c>
      <c r="AB129" s="6">
        <f>IFERROR(VLOOKUP($I129,[1]RESUMO!$A$5:$M$150,5,FALSE),"")</f>
        <v>418</v>
      </c>
      <c r="AC129" s="46">
        <f t="shared" si="43"/>
        <v>-0.68786636498726828</v>
      </c>
      <c r="AD129" s="6">
        <v>-1339.17</v>
      </c>
      <c r="AE129" s="15">
        <v>-5.2252846909973559E-4</v>
      </c>
      <c r="AF129" s="6">
        <v>-1339.17</v>
      </c>
      <c r="AG129" s="15">
        <v>-6.038576685958039E-4</v>
      </c>
      <c r="AH129" s="6">
        <v>-1339.17</v>
      </c>
      <c r="AI129" s="15">
        <v>-5.9620168012212743E-4</v>
      </c>
      <c r="AJ129" s="6">
        <v>-1339.17</v>
      </c>
      <c r="AK129" s="15">
        <v>-4.9763188916828913E-4</v>
      </c>
      <c r="AL129" s="6">
        <v>-1339.17</v>
      </c>
      <c r="AM129" s="15">
        <v>-4.494752210927072E-4</v>
      </c>
      <c r="AN129" s="6">
        <v>-1339.17</v>
      </c>
      <c r="AO129" s="15">
        <v>-4.4467584831730145E-4</v>
      </c>
      <c r="AP129" s="6">
        <v>-1339.17</v>
      </c>
      <c r="AQ129" s="15">
        <v>-4.8900309973382114E-4</v>
      </c>
      <c r="AR129" s="6">
        <v>-1339.17</v>
      </c>
      <c r="AS129" s="15">
        <v>-5.4516013505482382E-4</v>
      </c>
      <c r="AU129" s="6">
        <v>-16070.04</v>
      </c>
      <c r="AV129" s="15">
        <v>-5.3566799999999999E-4</v>
      </c>
      <c r="AW129" s="6">
        <v>-1339.17</v>
      </c>
    </row>
    <row r="130" spans="2:49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IFERROR(VLOOKUP($I130,[1]RESUMO!$A$5:$M$150,2,FALSE),"")</f>
        <v>6685.8499999999995</v>
      </c>
      <c r="Q130" s="46">
        <f t="shared" si="28"/>
        <v>-0.14231778898471237</v>
      </c>
      <c r="R130" s="6">
        <v>-7795.2532000000037</v>
      </c>
      <c r="S130" s="15">
        <v>-3.5019295450556395E-3</v>
      </c>
      <c r="T130" s="6">
        <f>IFERROR(VLOOKUP($I130,[1]RESUMO!$A$5:$M$150,3,FALSE),"")</f>
        <v>9350</v>
      </c>
      <c r="U130" s="46">
        <f t="shared" si="41"/>
        <v>0.1994478896464833</v>
      </c>
      <c r="V130" s="6">
        <v>-7795.2532000000037</v>
      </c>
      <c r="W130" s="15">
        <v>-2.7835927920852603E-3</v>
      </c>
      <c r="X130" s="6">
        <f>IFERROR(VLOOKUP($I130,[1]RESUMO!$A$5:$M$150,4,FALSE),"")</f>
        <v>7769.93</v>
      </c>
      <c r="Y130" s="46">
        <f t="shared" si="42"/>
        <v>-3.248541048032072E-3</v>
      </c>
      <c r="Z130" s="6">
        <v>-7795.2532000000037</v>
      </c>
      <c r="AA130" s="15">
        <v>-3.1865355296852491E-3</v>
      </c>
      <c r="AB130" s="6">
        <f>IFERROR(VLOOKUP($I130,[1]RESUMO!$A$5:$M$150,5,FALSE),"")</f>
        <v>5200</v>
      </c>
      <c r="AC130" s="46">
        <f t="shared" si="43"/>
        <v>-0.33292737688110019</v>
      </c>
      <c r="AD130" s="6">
        <v>-7795.2532000000037</v>
      </c>
      <c r="AE130" s="15">
        <v>-3.0416166139032512E-3</v>
      </c>
      <c r="AF130" s="6">
        <v>-7795.2532000000037</v>
      </c>
      <c r="AG130" s="15">
        <v>-3.5150305214916564E-3</v>
      </c>
      <c r="AH130" s="6">
        <v>-7795.2532000000037</v>
      </c>
      <c r="AI130" s="15">
        <v>-3.4704653291347566E-3</v>
      </c>
      <c r="AJ130" s="6">
        <v>-7795.2532000000037</v>
      </c>
      <c r="AK130" s="15">
        <v>-2.8966946515088846E-3</v>
      </c>
      <c r="AL130" s="6">
        <v>-7795.2532000000037</v>
      </c>
      <c r="AM130" s="15">
        <v>-2.6163766777508716E-3</v>
      </c>
      <c r="AN130" s="6">
        <v>-7795.2532000000037</v>
      </c>
      <c r="AO130" s="15">
        <v>-2.5884397272625285E-3</v>
      </c>
      <c r="AP130" s="6">
        <v>-7795.2532000000037</v>
      </c>
      <c r="AQ130" s="15">
        <v>-2.8464668249811374E-3</v>
      </c>
      <c r="AR130" s="6">
        <v>-7795.2532000000037</v>
      </c>
      <c r="AS130" s="15">
        <v>-3.1733546056875151E-3</v>
      </c>
      <c r="AU130" s="6">
        <v>-93543.038400000063</v>
      </c>
      <c r="AV130" s="15">
        <v>-3.1181012800000022E-3</v>
      </c>
      <c r="AW130" s="6">
        <v>-7795.2532000000056</v>
      </c>
    </row>
    <row r="131" spans="2:49" x14ac:dyDescent="0.25">
      <c r="I131" s="1"/>
      <c r="X131" s="6" t="str">
        <f>IFERROR(VLOOKUP($I131,[1]RESUMO!$A$5:$D$93,4,FALSE),"")</f>
        <v/>
      </c>
      <c r="AB131" s="6" t="str">
        <f>IFERROR(VLOOKUP($I131,[1]RESUMO!$A$5:$D$93,4,FALSE),"")</f>
        <v/>
      </c>
    </row>
    <row r="132" spans="2:49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-243980.70999999938</v>
      </c>
      <c r="Q132" s="14">
        <f>P132/N132-1</f>
        <v>0.24876579267270293</v>
      </c>
      <c r="R132" s="7">
        <v>69897.554009385756</v>
      </c>
      <c r="S132" s="14">
        <v>3.1400687473832171E-2</v>
      </c>
      <c r="T132" s="48">
        <f>T64-T66</f>
        <v>82658.37</v>
      </c>
      <c r="U132" s="14">
        <f>T132/R132-1</f>
        <v>0.18256455710740216</v>
      </c>
      <c r="V132" s="7">
        <v>322801.10947778868</v>
      </c>
      <c r="W132" s="14">
        <v>0.11526846127583093</v>
      </c>
      <c r="X132" s="48">
        <f>X64-X66</f>
        <v>318304.74999999965</v>
      </c>
      <c r="Y132" s="14">
        <f>X132/V132-1</f>
        <v>-1.3929194620994401E-2</v>
      </c>
      <c r="Z132" s="7">
        <v>166896.54889072594</v>
      </c>
      <c r="AA132" s="14">
        <v>6.822379840364251E-2</v>
      </c>
      <c r="AB132" s="48">
        <f>AB64-AB66</f>
        <v>-139406.00999999995</v>
      </c>
      <c r="AC132" s="14">
        <f>AB132/Z132-1</f>
        <v>-1.8352839583955376</v>
      </c>
      <c r="AD132" s="7">
        <v>188844.62866006279</v>
      </c>
      <c r="AE132" s="14">
        <v>7.3684965098867697E-2</v>
      </c>
      <c r="AF132" s="7">
        <v>36878.291681610979</v>
      </c>
      <c r="AG132" s="14">
        <v>1.6629135387332176E-2</v>
      </c>
      <c r="AH132" s="7">
        <v>49416.022177121486</v>
      </c>
      <c r="AI132" s="14">
        <v>2.200013101171034E-2</v>
      </c>
      <c r="AJ132" s="7">
        <v>245295.02198931202</v>
      </c>
      <c r="AK132" s="14">
        <v>9.1150955588997939E-2</v>
      </c>
      <c r="AL132" s="7">
        <v>372231.92957174534</v>
      </c>
      <c r="AM132" s="14">
        <v>0.12493486924141463</v>
      </c>
      <c r="AN132" s="7">
        <v>386389.23584344843</v>
      </c>
      <c r="AO132" s="14">
        <v>0.12830182966267112</v>
      </c>
      <c r="AP132" s="7">
        <v>266201.24105945695</v>
      </c>
      <c r="AQ132" s="14">
        <v>9.7204411711033389E-2</v>
      </c>
      <c r="AR132" s="7">
        <v>142003.43891975144</v>
      </c>
      <c r="AS132" s="14">
        <v>5.7807906344781557E-2</v>
      </c>
      <c r="AT132" s="16"/>
      <c r="AU132" s="7">
        <v>2051477.5452293977</v>
      </c>
      <c r="AV132" s="14">
        <v>6.8382584840979921E-2</v>
      </c>
      <c r="AW132" s="7">
        <v>170956.46210244985</v>
      </c>
    </row>
    <row r="133" spans="2:49" x14ac:dyDescent="0.25">
      <c r="I133" t="s">
        <v>113</v>
      </c>
    </row>
    <row r="134" spans="2:49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44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45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46">IFERROR((X134*-1)/V134-1,"")</f>
        <v>-0.25907750171930088</v>
      </c>
      <c r="Z134" s="7">
        <v>-70298.945059523816</v>
      </c>
      <c r="AA134" s="14">
        <v>-2.8736729954014044E-2</v>
      </c>
      <c r="AB134" s="48">
        <f>AB143</f>
        <v>30132.039999999994</v>
      </c>
      <c r="AC134" s="14">
        <f t="shared" ref="AC134" si="47">IFERROR((AB134*-1)/Z134-1,"")</f>
        <v>-0.57137279976980504</v>
      </c>
      <c r="AD134" s="7">
        <v>-70298.945059523816</v>
      </c>
      <c r="AE134" s="14">
        <v>-2.7429826042458687E-2</v>
      </c>
      <c r="AF134" s="7">
        <v>-70298.945059523816</v>
      </c>
      <c r="AG134" s="14">
        <v>-3.1699154751367302E-2</v>
      </c>
      <c r="AH134" s="7">
        <v>-70298.945059523816</v>
      </c>
      <c r="AI134" s="14">
        <v>-3.1297258119059736E-2</v>
      </c>
      <c r="AJ134" s="7">
        <v>-70298.945059523816</v>
      </c>
      <c r="AK134" s="14">
        <v>-2.6122894656024704E-2</v>
      </c>
      <c r="AL134" s="7">
        <v>-70298.945059523816</v>
      </c>
      <c r="AM134" s="14">
        <v>-2.359493856135781E-2</v>
      </c>
      <c r="AN134" s="7">
        <v>-70298.945059523816</v>
      </c>
      <c r="AO134" s="14">
        <v>-2.334299829756873E-2</v>
      </c>
      <c r="AP134" s="7">
        <v>-70298.945059523816</v>
      </c>
      <c r="AQ134" s="14">
        <v>-2.5669931406860021E-2</v>
      </c>
      <c r="AR134" s="7">
        <v>-70298.945059523816</v>
      </c>
      <c r="AS134" s="14">
        <v>-2.8617862095821772E-2</v>
      </c>
      <c r="AT134" s="16"/>
      <c r="AU134" s="7">
        <v>-843587.34071428562</v>
      </c>
      <c r="AV134" s="14">
        <v>-2.811957802380952E-2</v>
      </c>
      <c r="AW134" s="7">
        <v>-70298.945059523816</v>
      </c>
    </row>
    <row r="135" spans="2:49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13"/>
      <c r="AC135" s="13"/>
      <c r="AD135" s="8">
        <v>0</v>
      </c>
      <c r="AE135" s="13">
        <v>0</v>
      </c>
      <c r="AF135" s="8">
        <v>0</v>
      </c>
      <c r="AG135" s="13">
        <v>0</v>
      </c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8">
        <v>0</v>
      </c>
      <c r="AS135" s="13">
        <v>0</v>
      </c>
      <c r="AT135" s="16"/>
      <c r="AU135" s="8">
        <v>0</v>
      </c>
      <c r="AV135" s="13">
        <v>0</v>
      </c>
      <c r="AW135" s="8">
        <v>0</v>
      </c>
    </row>
    <row r="136" spans="2:49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IFERROR(VLOOKUP($I136,[1]RESUMO!$A$5:$M$150,2,FALSE),"")</f>
        <v/>
      </c>
      <c r="R136" s="6">
        <v>0</v>
      </c>
      <c r="S136" s="15">
        <v>0</v>
      </c>
      <c r="T136" s="6" t="str">
        <f>IFERROR(VLOOKUP($I136,[1]RESUMO!$A$5:$M$150,3,FALSE),"")</f>
        <v/>
      </c>
      <c r="V136" s="6">
        <v>0</v>
      </c>
      <c r="W136" s="15">
        <v>0</v>
      </c>
      <c r="X136" s="6" t="str">
        <f>IFERROR(VLOOKUP($I136,[1]RESUMO!$A$5:$M$150,4,FALSE),"")</f>
        <v/>
      </c>
      <c r="Z136" s="6">
        <v>0</v>
      </c>
      <c r="AA136" s="15">
        <v>0</v>
      </c>
      <c r="AB136" s="6" t="str">
        <f>IFERROR(VLOOKUP($I136,[1]RESUMO!$A$5:$M$150,5,FALSE),"")</f>
        <v/>
      </c>
      <c r="AD136" s="6">
        <v>0</v>
      </c>
      <c r="AE136" s="15">
        <v>0</v>
      </c>
      <c r="AF136" s="6">
        <v>0</v>
      </c>
      <c r="AG136" s="15">
        <v>0</v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R136" s="6">
        <v>0</v>
      </c>
      <c r="AS136" s="15">
        <v>0</v>
      </c>
      <c r="AU136" s="6">
        <v>0</v>
      </c>
      <c r="AV136" s="15">
        <v>0</v>
      </c>
      <c r="AW136" s="6">
        <v>0</v>
      </c>
    </row>
    <row r="137" spans="2:49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IFERROR(VLOOKUP($I137,[1]RESUMO!$A$5:$M$150,2,FALSE),"")</f>
        <v/>
      </c>
      <c r="R137" s="6">
        <v>0</v>
      </c>
      <c r="S137" s="15">
        <v>0</v>
      </c>
      <c r="T137" s="6" t="str">
        <f>IFERROR(VLOOKUP($I137,[1]RESUMO!$A$5:$M$150,3,FALSE),"")</f>
        <v/>
      </c>
      <c r="V137" s="6">
        <v>0</v>
      </c>
      <c r="W137" s="15">
        <v>0</v>
      </c>
      <c r="X137" s="6" t="str">
        <f>IFERROR(VLOOKUP($I137,[1]RESUMO!$A$5:$M$150,4,FALSE),"")</f>
        <v/>
      </c>
      <c r="Z137" s="6">
        <v>0</v>
      </c>
      <c r="AA137" s="15">
        <v>0</v>
      </c>
      <c r="AB137" s="6" t="str">
        <f>IFERROR(VLOOKUP($I137,[1]RESUMO!$A$5:$M$150,5,FALSE),"")</f>
        <v/>
      </c>
      <c r="AD137" s="6">
        <v>0</v>
      </c>
      <c r="AE137" s="15">
        <v>0</v>
      </c>
      <c r="AF137" s="6">
        <v>0</v>
      </c>
      <c r="AG137" s="15">
        <v>0</v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R137" s="6">
        <v>0</v>
      </c>
      <c r="AS137" s="15">
        <v>0</v>
      </c>
      <c r="AU137" s="6">
        <v>0</v>
      </c>
      <c r="AV137" s="15">
        <v>0</v>
      </c>
      <c r="AW137" s="6">
        <v>0</v>
      </c>
    </row>
    <row r="138" spans="2:49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IFERROR(VLOOKUP($I138,[1]RESUMO!$A$5:$M$150,2,FALSE),"")</f>
        <v/>
      </c>
      <c r="R138" s="6">
        <v>0</v>
      </c>
      <c r="S138" s="15">
        <v>0</v>
      </c>
      <c r="T138" s="6" t="str">
        <f>IFERROR(VLOOKUP($I138,[1]RESUMO!$A$5:$M$150,3,FALSE),"")</f>
        <v/>
      </c>
      <c r="V138" s="6">
        <v>0</v>
      </c>
      <c r="W138" s="15">
        <v>0</v>
      </c>
      <c r="X138" s="6" t="str">
        <f>IFERROR(VLOOKUP($I138,[1]RESUMO!$A$5:$M$150,4,FALSE),"")</f>
        <v/>
      </c>
      <c r="Z138" s="6">
        <v>0</v>
      </c>
      <c r="AA138" s="15">
        <v>0</v>
      </c>
      <c r="AB138" s="6" t="str">
        <f>IFERROR(VLOOKUP($I138,[1]RESUMO!$A$5:$M$150,5,FALSE),"")</f>
        <v/>
      </c>
      <c r="AD138" s="6">
        <v>0</v>
      </c>
      <c r="AE138" s="15">
        <v>0</v>
      </c>
      <c r="AF138" s="6">
        <v>0</v>
      </c>
      <c r="AG138" s="15">
        <v>0</v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R138" s="6">
        <v>0</v>
      </c>
      <c r="AS138" s="15">
        <v>0</v>
      </c>
      <c r="AU138" s="6">
        <v>0</v>
      </c>
      <c r="AV138" s="15">
        <v>0</v>
      </c>
      <c r="AW138" s="6">
        <v>0</v>
      </c>
    </row>
    <row r="139" spans="2:49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IFERROR(VLOOKUP($I139,[1]RESUMO!$A$5:$M$150,2,FALSE),"")</f>
        <v/>
      </c>
      <c r="R139" s="6">
        <v>0</v>
      </c>
      <c r="S139" s="15">
        <v>0</v>
      </c>
      <c r="T139" s="6" t="str">
        <f>IFERROR(VLOOKUP($I139,[1]RESUMO!$A$5:$M$150,3,FALSE),"")</f>
        <v/>
      </c>
      <c r="V139" s="6">
        <v>0</v>
      </c>
      <c r="W139" s="15">
        <v>0</v>
      </c>
      <c r="X139" s="6" t="str">
        <f>IFERROR(VLOOKUP($I139,[1]RESUMO!$A$5:$M$150,4,FALSE),"")</f>
        <v/>
      </c>
      <c r="Z139" s="6">
        <v>0</v>
      </c>
      <c r="AA139" s="15">
        <v>0</v>
      </c>
      <c r="AB139" s="6" t="str">
        <f>IFERROR(VLOOKUP($I139,[1]RESUMO!$A$5:$M$150,5,FALSE),"")</f>
        <v/>
      </c>
      <c r="AD139" s="6">
        <v>0</v>
      </c>
      <c r="AE139" s="15">
        <v>0</v>
      </c>
      <c r="AF139" s="6">
        <v>0</v>
      </c>
      <c r="AG139" s="15">
        <v>0</v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R139" s="6">
        <v>0</v>
      </c>
      <c r="AS139" s="15">
        <v>0</v>
      </c>
      <c r="AU139" s="6">
        <v>0</v>
      </c>
      <c r="AV139" s="15">
        <v>0</v>
      </c>
      <c r="AW139" s="6">
        <v>0</v>
      </c>
    </row>
    <row r="140" spans="2:49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IFERROR(VLOOKUP($I140,[1]RESUMO!$A$5:$M$150,2,FALSE),"")</f>
        <v/>
      </c>
      <c r="R140" s="6">
        <v>0</v>
      </c>
      <c r="S140" s="15">
        <v>0</v>
      </c>
      <c r="T140" s="6" t="str">
        <f>IFERROR(VLOOKUP($I140,[1]RESUMO!$A$5:$M$150,3,FALSE),"")</f>
        <v/>
      </c>
      <c r="V140" s="6">
        <v>0</v>
      </c>
      <c r="W140" s="15">
        <v>0</v>
      </c>
      <c r="X140" s="6" t="str">
        <f>IFERROR(VLOOKUP($I140,[1]RESUMO!$A$5:$M$150,4,FALSE),"")</f>
        <v/>
      </c>
      <c r="Z140" s="6">
        <v>0</v>
      </c>
      <c r="AA140" s="15">
        <v>0</v>
      </c>
      <c r="AB140" s="6" t="str">
        <f>IFERROR(VLOOKUP($I140,[1]RESUMO!$A$5:$M$150,5,FALSE),"")</f>
        <v/>
      </c>
      <c r="AD140" s="6">
        <v>0</v>
      </c>
      <c r="AE140" s="15">
        <v>0</v>
      </c>
      <c r="AF140" s="6">
        <v>0</v>
      </c>
      <c r="AG140" s="15">
        <v>0</v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R140" s="6">
        <v>0</v>
      </c>
      <c r="AS140" s="15">
        <v>0</v>
      </c>
      <c r="AU140" s="6">
        <v>0</v>
      </c>
      <c r="AV140" s="15">
        <v>0</v>
      </c>
      <c r="AW140" s="6">
        <v>0</v>
      </c>
    </row>
    <row r="141" spans="2:49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IFERROR(VLOOKUP($I141,[1]RESUMO!$A$5:$M$150,2,FALSE),"")</f>
        <v/>
      </c>
      <c r="R141" s="6">
        <v>0</v>
      </c>
      <c r="S141" s="15">
        <v>0</v>
      </c>
      <c r="T141" s="6" t="str">
        <f>IFERROR(VLOOKUP($I141,[1]RESUMO!$A$5:$M$150,3,FALSE),"")</f>
        <v/>
      </c>
      <c r="V141" s="6">
        <v>0</v>
      </c>
      <c r="W141" s="15">
        <v>0</v>
      </c>
      <c r="X141" s="6" t="str">
        <f>IFERROR(VLOOKUP($I141,[1]RESUMO!$A$5:$M$150,4,FALSE),"")</f>
        <v/>
      </c>
      <c r="Z141" s="6">
        <v>0</v>
      </c>
      <c r="AA141" s="15">
        <v>0</v>
      </c>
      <c r="AB141" s="6" t="str">
        <f>IFERROR(VLOOKUP($I141,[1]RESUMO!$A$5:$M$150,5,FALSE),"")</f>
        <v/>
      </c>
      <c r="AD141" s="6">
        <v>0</v>
      </c>
      <c r="AE141" s="15">
        <v>0</v>
      </c>
      <c r="AF141" s="6">
        <v>0</v>
      </c>
      <c r="AG141" s="15">
        <v>0</v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R141" s="6">
        <v>0</v>
      </c>
      <c r="AS141" s="15">
        <v>0</v>
      </c>
      <c r="AU141" s="6">
        <v>0</v>
      </c>
      <c r="AV141" s="15">
        <v>0</v>
      </c>
      <c r="AW141" s="6">
        <v>0</v>
      </c>
    </row>
    <row r="142" spans="2:49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IFERROR(VLOOKUP($I142,[1]RESUMO!$A$5:$M$150,2,FALSE),"")</f>
        <v/>
      </c>
      <c r="R142" s="6">
        <v>0</v>
      </c>
      <c r="S142" s="15">
        <v>0</v>
      </c>
      <c r="T142" s="6" t="str">
        <f>IFERROR(VLOOKUP($I142,[1]RESUMO!$A$5:$M$150,3,FALSE),"")</f>
        <v/>
      </c>
      <c r="V142" s="6">
        <v>0</v>
      </c>
      <c r="W142" s="15">
        <v>0</v>
      </c>
      <c r="X142" s="6" t="str">
        <f>IFERROR(VLOOKUP($I142,[1]RESUMO!$A$5:$M$150,4,FALSE),"")</f>
        <v/>
      </c>
      <c r="Z142" s="6">
        <v>0</v>
      </c>
      <c r="AA142" s="15">
        <v>0</v>
      </c>
      <c r="AB142" s="6" t="str">
        <f>IFERROR(VLOOKUP($I142,[1]RESUMO!$A$5:$M$150,5,FALSE),"")</f>
        <v/>
      </c>
      <c r="AD142" s="6">
        <v>0</v>
      </c>
      <c r="AE142" s="15">
        <v>0</v>
      </c>
      <c r="AF142" s="6">
        <v>0</v>
      </c>
      <c r="AG142" s="15">
        <v>0</v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R142" s="6">
        <v>0</v>
      </c>
      <c r="AS142" s="15">
        <v>0</v>
      </c>
      <c r="AU142" s="6">
        <v>0</v>
      </c>
      <c r="AV142" s="15">
        <v>0</v>
      </c>
      <c r="AW142" s="6">
        <v>0</v>
      </c>
    </row>
    <row r="143" spans="2:49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49">
        <f>SUM(AB144:AB149)</f>
        <v>30132.039999999994</v>
      </c>
      <c r="AC143" s="13"/>
      <c r="AD143" s="8">
        <v>-70298.945059523816</v>
      </c>
      <c r="AE143" s="13">
        <v>-2.7429826042458687E-2</v>
      </c>
      <c r="AF143" s="8">
        <v>-70298.945059523816</v>
      </c>
      <c r="AG143" s="13">
        <v>-3.1699154751367302E-2</v>
      </c>
      <c r="AH143" s="8">
        <v>-70298.945059523816</v>
      </c>
      <c r="AI143" s="13">
        <v>-3.1297258119059736E-2</v>
      </c>
      <c r="AJ143" s="8">
        <v>-70298.945059523816</v>
      </c>
      <c r="AK143" s="13">
        <v>-2.6122894656024704E-2</v>
      </c>
      <c r="AL143" s="8">
        <v>-70298.945059523816</v>
      </c>
      <c r="AM143" s="13">
        <v>-2.359493856135781E-2</v>
      </c>
      <c r="AN143" s="8">
        <v>-70298.945059523816</v>
      </c>
      <c r="AO143" s="13">
        <v>-2.334299829756873E-2</v>
      </c>
      <c r="AP143" s="8">
        <v>-70298.945059523816</v>
      </c>
      <c r="AQ143" s="13">
        <v>-2.5669931406860021E-2</v>
      </c>
      <c r="AR143" s="8">
        <v>-70298.945059523816</v>
      </c>
      <c r="AS143" s="13">
        <v>-2.8617862095821772E-2</v>
      </c>
      <c r="AT143" s="16"/>
      <c r="AU143" s="8">
        <v>-843587.34071428562</v>
      </c>
      <c r="AV143" s="13">
        <v>-2.811957802380952E-2</v>
      </c>
      <c r="AW143" s="8">
        <v>-70298.945059523816</v>
      </c>
    </row>
    <row r="144" spans="2:49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IFERROR(VLOOKUP($I144,[1]RESUMO!$A$5:$M$150,2,FALSE),"")</f>
        <v>9652.9900000000034</v>
      </c>
      <c r="R144" s="6">
        <v>-15075.204444444444</v>
      </c>
      <c r="S144" s="15">
        <v>-6.7723655008093972E-3</v>
      </c>
      <c r="T144" s="6">
        <f>IFERROR(VLOOKUP($I144,[1]RESUMO!$A$5:$M$150,3,FALSE),"")</f>
        <v>9775.6499999999905</v>
      </c>
      <c r="V144" s="6">
        <v>-15075.204444444444</v>
      </c>
      <c r="W144" s="15">
        <v>-5.383177345768219E-3</v>
      </c>
      <c r="X144" s="6">
        <f>IFERROR(VLOOKUP($I144,[1]RESUMO!$A$5:$M$150,4,FALSE),"")</f>
        <v>9300.989999999998</v>
      </c>
      <c r="Z144" s="6">
        <v>-15075.204444444444</v>
      </c>
      <c r="AA144" s="15">
        <v>-6.1624264596679386E-3</v>
      </c>
      <c r="AB144" s="6">
        <f>IFERROR(VLOOKUP($I144,[1]RESUMO!$A$5:$M$150,5,FALSE),"")</f>
        <v>6360.23</v>
      </c>
      <c r="AD144" s="6">
        <v>-15075.204444444444</v>
      </c>
      <c r="AE144" s="15">
        <v>-5.8821684324776424E-3</v>
      </c>
      <c r="AF144" s="6">
        <v>-15075.204444444444</v>
      </c>
      <c r="AG144" s="15">
        <v>-6.797701419108345E-3</v>
      </c>
      <c r="AH144" s="6">
        <v>-15075.204444444444</v>
      </c>
      <c r="AI144" s="15">
        <v>-6.7115169978138245E-3</v>
      </c>
      <c r="AJ144" s="6">
        <v>-15075.204444444444</v>
      </c>
      <c r="AK144" s="15">
        <v>-5.6019045134576466E-3</v>
      </c>
      <c r="AL144" s="6">
        <v>-15075.204444444444</v>
      </c>
      <c r="AM144" s="15">
        <v>-5.0597988684666084E-3</v>
      </c>
      <c r="AN144" s="6">
        <v>-15075.204444444444</v>
      </c>
      <c r="AO144" s="15">
        <v>-5.0057717279285568E-3</v>
      </c>
      <c r="AP144" s="6">
        <v>-15075.204444444444</v>
      </c>
      <c r="AQ144" s="15">
        <v>-5.5047691498871761E-3</v>
      </c>
      <c r="AR144" s="6">
        <v>-15075.204444444444</v>
      </c>
      <c r="AS144" s="15">
        <v>-6.1369359311457192E-3</v>
      </c>
      <c r="AU144" s="6">
        <v>-180902.45333333334</v>
      </c>
      <c r="AV144" s="15">
        <v>-6.0300817777777776E-3</v>
      </c>
      <c r="AW144" s="6">
        <v>-15075.204444444445</v>
      </c>
    </row>
    <row r="145" spans="2:49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IFERROR(VLOOKUP($I145,[1]RESUMO!$A$5:$M$150,2,FALSE),"")</f>
        <v>29621.129999999994</v>
      </c>
      <c r="R145" s="6">
        <v>-40249.912222222221</v>
      </c>
      <c r="S145" s="15">
        <v>-1.8081818919864722E-2</v>
      </c>
      <c r="T145" s="6">
        <f>IFERROR(VLOOKUP($I145,[1]RESUMO!$A$5:$M$150,3,FALSE),"")</f>
        <v>29342.62</v>
      </c>
      <c r="V145" s="6">
        <v>-40249.912222222221</v>
      </c>
      <c r="W145" s="15">
        <v>-1.4372767974213095E-2</v>
      </c>
      <c r="X145" s="6">
        <f>IFERROR(VLOOKUP($I145,[1]RESUMO!$A$5:$M$150,4,FALSE),"")</f>
        <v>29003.100000000002</v>
      </c>
      <c r="Z145" s="6">
        <v>-40249.912222222221</v>
      </c>
      <c r="AA145" s="15">
        <v>-1.6453317432052573E-2</v>
      </c>
      <c r="AB145" s="6">
        <f>IFERROR(VLOOKUP($I145,[1]RESUMO!$A$5:$M$150,5,FALSE),"")</f>
        <v>18716.409999999996</v>
      </c>
      <c r="AD145" s="6">
        <v>-40249.912222222221</v>
      </c>
      <c r="AE145" s="15">
        <v>-1.5705044926989487E-2</v>
      </c>
      <c r="AF145" s="6">
        <v>-40249.912222222221</v>
      </c>
      <c r="AG145" s="15">
        <v>-1.8149464336639009E-2</v>
      </c>
      <c r="AH145" s="6">
        <v>-40249.912222222221</v>
      </c>
      <c r="AI145" s="15">
        <v>-1.79193569835473E-2</v>
      </c>
      <c r="AJ145" s="6">
        <v>-40249.912222222221</v>
      </c>
      <c r="AK145" s="15">
        <v>-1.495675669108646E-2</v>
      </c>
      <c r="AL145" s="6">
        <v>-40249.912222222221</v>
      </c>
      <c r="AM145" s="15">
        <v>-1.3509366394890409E-2</v>
      </c>
      <c r="AN145" s="6">
        <v>-40249.912222222221</v>
      </c>
      <c r="AO145" s="15">
        <v>-1.336511709649528E-2</v>
      </c>
      <c r="AP145" s="6">
        <v>-40249.912222222221</v>
      </c>
      <c r="AQ145" s="15">
        <v>-1.4697410964015679E-2</v>
      </c>
      <c r="AR145" s="6">
        <v>-40249.912222222221</v>
      </c>
      <c r="AS145" s="15">
        <v>-1.6385259215044745E-2</v>
      </c>
      <c r="AU145" s="6">
        <v>-482998.94666666654</v>
      </c>
      <c r="AV145" s="15">
        <v>-1.6099964888888884E-2</v>
      </c>
      <c r="AW145" s="6">
        <v>-40249.912222222214</v>
      </c>
    </row>
    <row r="146" spans="2:49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IFERROR(VLOOKUP($I146,[1]RESUMO!$A$5:$M$150,2,FALSE),"")</f>
        <v>0</v>
      </c>
      <c r="R146" s="6">
        <v>-163.9</v>
      </c>
      <c r="S146" s="15">
        <v>-7.363022569101656E-5</v>
      </c>
      <c r="T146" s="6">
        <f>IFERROR(VLOOKUP($I146,[1]RESUMO!$A$5:$M$150,3,FALSE),"")</f>
        <v>95.75</v>
      </c>
      <c r="V146" s="6">
        <v>-163.9</v>
      </c>
      <c r="W146" s="15">
        <v>-5.8526753001784985E-5</v>
      </c>
      <c r="X146" s="6">
        <f>IFERROR(VLOOKUP($I146,[1]RESUMO!$A$5:$M$150,4,FALSE),"")</f>
        <v>0</v>
      </c>
      <c r="Z146" s="6">
        <v>-163.9</v>
      </c>
      <c r="AA146" s="15">
        <v>-6.6998872251566126E-5</v>
      </c>
      <c r="AB146" s="6">
        <f>IFERROR(VLOOKUP($I146,[1]RESUMO!$A$5:$M$150,5,FALSE),"")</f>
        <v>0</v>
      </c>
      <c r="AD146" s="6">
        <v>-163.9</v>
      </c>
      <c r="AE146" s="15">
        <v>-6.395186278474477E-5</v>
      </c>
      <c r="AF146" s="6">
        <v>-163.9</v>
      </c>
      <c r="AG146" s="15">
        <v>-7.3905681790103017E-5</v>
      </c>
      <c r="AH146" s="6">
        <v>-163.9</v>
      </c>
      <c r="AI146" s="15">
        <v>-7.2968671170961632E-5</v>
      </c>
      <c r="AJ146" s="6">
        <v>-163.9</v>
      </c>
      <c r="AK146" s="15">
        <v>-6.0904789261021819E-5</v>
      </c>
      <c r="AL146" s="6">
        <v>-163.9</v>
      </c>
      <c r="AM146" s="15">
        <v>-5.5010931201486523E-5</v>
      </c>
      <c r="AN146" s="6">
        <v>-163.9</v>
      </c>
      <c r="AO146" s="15">
        <v>-5.4423539609762544E-5</v>
      </c>
      <c r="AP146" s="6">
        <v>-163.9</v>
      </c>
      <c r="AQ146" s="15">
        <v>-5.9848718270550622E-5</v>
      </c>
      <c r="AR146" s="6">
        <v>-163.9</v>
      </c>
      <c r="AS146" s="15">
        <v>-6.6721735205751043E-5</v>
      </c>
      <c r="AU146" s="6">
        <v>-1966.8000000000004</v>
      </c>
      <c r="AV146" s="15">
        <v>-6.5560000000000016E-5</v>
      </c>
      <c r="AW146" s="6">
        <v>-163.90000000000003</v>
      </c>
    </row>
    <row r="147" spans="2:49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IFERROR(VLOOKUP($I147,[1]RESUMO!$A$5:$M$150,2,FALSE),"")</f>
        <v>143.60000000000002</v>
      </c>
      <c r="R147" s="6">
        <v>-5617.2871428571434</v>
      </c>
      <c r="S147" s="15">
        <v>-2.5235028682112082E-3</v>
      </c>
      <c r="T147" s="6">
        <f>IFERROR(VLOOKUP($I147,[1]RESUMO!$A$5:$M$150,3,FALSE),"")</f>
        <v>95.93</v>
      </c>
      <c r="V147" s="6">
        <v>-5617.2871428571434</v>
      </c>
      <c r="W147" s="15">
        <v>-2.0058668526546828E-3</v>
      </c>
      <c r="X147" s="6">
        <f>IFERROR(VLOOKUP($I147,[1]RESUMO!$A$5:$M$150,4,FALSE),"")</f>
        <v>251.57000000000002</v>
      </c>
      <c r="Z147" s="6">
        <v>-5617.2871428571434</v>
      </c>
      <c r="AA147" s="15">
        <v>-2.2962288205286797E-3</v>
      </c>
      <c r="AB147" s="6">
        <f>IFERROR(VLOOKUP($I147,[1]RESUMO!$A$5:$M$150,5,FALSE),"")</f>
        <v>183.16000000000003</v>
      </c>
      <c r="AD147" s="6">
        <v>-5617.2871428571434</v>
      </c>
      <c r="AE147" s="15">
        <v>-2.1917997350976879E-3</v>
      </c>
      <c r="AF147" s="6">
        <v>-5617.2871428571434</v>
      </c>
      <c r="AG147" s="15">
        <v>-2.5329434783626413E-3</v>
      </c>
      <c r="AH147" s="6">
        <v>-5617.2871428571434</v>
      </c>
      <c r="AI147" s="15">
        <v>-2.5008296424649996E-3</v>
      </c>
      <c r="AJ147" s="6">
        <v>-5617.2871428571434</v>
      </c>
      <c r="AK147" s="15">
        <v>-2.0873684542670025E-3</v>
      </c>
      <c r="AL147" s="6">
        <v>-5617.2871428571434</v>
      </c>
      <c r="AM147" s="15">
        <v>-1.8853703267523434E-3</v>
      </c>
      <c r="AN147" s="6">
        <v>-5617.2871428571434</v>
      </c>
      <c r="AO147" s="15">
        <v>-1.8652388610048542E-3</v>
      </c>
      <c r="AP147" s="6">
        <v>-5617.2871428571434</v>
      </c>
      <c r="AQ147" s="15">
        <v>-2.0511741040734801E-3</v>
      </c>
      <c r="AR147" s="6">
        <v>-5617.2871428571434</v>
      </c>
      <c r="AS147" s="15">
        <v>-2.286730599880318E-3</v>
      </c>
      <c r="AU147" s="6">
        <v>-67407.445714285728</v>
      </c>
      <c r="AV147" s="15">
        <v>-2.2469148571428576E-3</v>
      </c>
      <c r="AW147" s="6">
        <v>-5617.2871428571443</v>
      </c>
    </row>
    <row r="148" spans="2:49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IFERROR(VLOOKUP($I148,[1]RESUMO!$A$5:$M$150,2,FALSE),"")</f>
        <v/>
      </c>
      <c r="R148" s="6">
        <v>0</v>
      </c>
      <c r="S148" s="15">
        <v>0</v>
      </c>
      <c r="T148" s="6" t="str">
        <f>IFERROR(VLOOKUP($I148,[1]RESUMO!$A$5:$M$150,3,FALSE),"")</f>
        <v/>
      </c>
      <c r="V148" s="6">
        <v>0</v>
      </c>
      <c r="W148" s="15">
        <v>0</v>
      </c>
      <c r="X148" s="6" t="str">
        <f>IFERROR(VLOOKUP($I148,[1]RESUMO!$A$5:$M$150,4,FALSE),"")</f>
        <v/>
      </c>
      <c r="Z148" s="6">
        <v>0</v>
      </c>
      <c r="AA148" s="15">
        <v>0</v>
      </c>
      <c r="AB148" s="6" t="str">
        <f>IFERROR(VLOOKUP($I148,[1]RESUMO!$A$5:$M$150,5,FALSE),"")</f>
        <v/>
      </c>
      <c r="AD148" s="6">
        <v>0</v>
      </c>
      <c r="AE148" s="15">
        <v>0</v>
      </c>
      <c r="AF148" s="6">
        <v>0</v>
      </c>
      <c r="AG148" s="15">
        <v>0</v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R148" s="6">
        <v>0</v>
      </c>
      <c r="AS148" s="15">
        <v>0</v>
      </c>
      <c r="AU148" s="6">
        <v>0</v>
      </c>
      <c r="AV148" s="15">
        <v>0</v>
      </c>
      <c r="AW148" s="6">
        <v>0</v>
      </c>
    </row>
    <row r="149" spans="2:49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IFERROR(VLOOKUP($I149,[1]RESUMO!$A$5:$M$150,2,FALSE),"")</f>
        <v>6672.09</v>
      </c>
      <c r="R149" s="6">
        <v>-9192.6412500000006</v>
      </c>
      <c r="S149" s="15">
        <v>-4.1296903595732072E-3</v>
      </c>
      <c r="T149" s="6">
        <f>IFERROR(VLOOKUP($I149,[1]RESUMO!$A$5:$M$150,3,FALSE),"")</f>
        <v>11317.74</v>
      </c>
      <c r="V149" s="6">
        <v>-9192.6412500000006</v>
      </c>
      <c r="W149" s="15">
        <v>-3.2825835501694325E-3</v>
      </c>
      <c r="X149" s="6">
        <f>IFERROR(VLOOKUP($I149,[1]RESUMO!$A$5:$M$150,4,FALSE),"")</f>
        <v>13530.41</v>
      </c>
      <c r="Z149" s="6">
        <v>-9192.6412500000006</v>
      </c>
      <c r="AA149" s="15">
        <v>-3.7577583695132836E-3</v>
      </c>
      <c r="AB149" s="6">
        <f>IFERROR(VLOOKUP($I149,[1]RESUMO!$A$5:$M$150,5,FALSE),"")</f>
        <v>4872.24</v>
      </c>
      <c r="AD149" s="6">
        <v>-9192.6412500000006</v>
      </c>
      <c r="AE149" s="15">
        <v>-3.5868610851091196E-3</v>
      </c>
      <c r="AF149" s="6">
        <v>-9192.6412500000006</v>
      </c>
      <c r="AG149" s="15">
        <v>-4.1451398354672049E-3</v>
      </c>
      <c r="AH149" s="6">
        <v>-9192.6412500000006</v>
      </c>
      <c r="AI149" s="15">
        <v>-4.0925858240626464E-3</v>
      </c>
      <c r="AJ149" s="6">
        <v>-9192.6412500000006</v>
      </c>
      <c r="AK149" s="15">
        <v>-3.4159602079525701E-3</v>
      </c>
      <c r="AL149" s="6">
        <v>-9192.6412500000006</v>
      </c>
      <c r="AM149" s="15">
        <v>-3.085392040046962E-3</v>
      </c>
      <c r="AN149" s="6">
        <v>-9192.6412500000006</v>
      </c>
      <c r="AO149" s="15">
        <v>-3.052447072530275E-3</v>
      </c>
      <c r="AP149" s="6">
        <v>-9192.6412500000006</v>
      </c>
      <c r="AQ149" s="15">
        <v>-3.356728470613132E-3</v>
      </c>
      <c r="AR149" s="6">
        <v>-9192.6412500000006</v>
      </c>
      <c r="AS149" s="15">
        <v>-3.7422146145452365E-3</v>
      </c>
      <c r="AU149" s="6">
        <v>-110311.69500000001</v>
      </c>
      <c r="AV149" s="15">
        <v>-3.6770565000000003E-3</v>
      </c>
      <c r="AW149" s="6">
        <v>-9192.6412500000006</v>
      </c>
    </row>
    <row r="150" spans="2:49" x14ac:dyDescent="0.25">
      <c r="I150" s="1"/>
      <c r="P150" s="15" t="str">
        <f>IFERROR(VLOOKUP($I150,[1]RESUMO!$A$5:$B$93,2,FALSE),"")</f>
        <v/>
      </c>
      <c r="T150" s="15" t="str">
        <f>IFERROR(VLOOKUP($I150,[1]RESUMO!$A$5:$B$93,2,FALSE),"")</f>
        <v/>
      </c>
      <c r="X150" s="15" t="str">
        <f>IFERROR(VLOOKUP($I150,[1]RESUMO!$A$5:$M$150,4,FALSE),"")</f>
        <v/>
      </c>
      <c r="AB150" s="15" t="str">
        <f>IFERROR(VLOOKUP($I150,[1]RESUMO!$A$5:$M$150,4,FALSE),"")</f>
        <v/>
      </c>
    </row>
    <row r="151" spans="2:49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-290070.51999999938</v>
      </c>
      <c r="Q151" s="14">
        <f t="shared" ref="Q151" si="48">IFERROR((P151*-1)/N151-1,"")</f>
        <v>-2.0918188286927273</v>
      </c>
      <c r="R151" s="7">
        <v>-401.39105013805965</v>
      </c>
      <c r="S151" s="14">
        <v>-1.8032040031738545E-4</v>
      </c>
      <c r="T151" s="48">
        <f>T132-T134</f>
        <v>32030.680000000008</v>
      </c>
      <c r="U151" s="50">
        <f>T151/R151</f>
        <v>-79.799188320175446</v>
      </c>
      <c r="V151" s="7">
        <v>252502.16441826487</v>
      </c>
      <c r="W151" s="14">
        <v>9.0165538800023731E-2</v>
      </c>
      <c r="X151" s="48">
        <f>X132-X134</f>
        <v>266218.67999999964</v>
      </c>
      <c r="Y151" s="14">
        <f t="shared" ref="Y151" si="49">IFERROR((X151*-1)/V151-1,"")</f>
        <v>-2.0543223683382514</v>
      </c>
      <c r="Z151" s="7">
        <v>96597.603831202126</v>
      </c>
      <c r="AA151" s="14">
        <v>3.9487068449628467E-2</v>
      </c>
      <c r="AB151" s="48">
        <f>AB132-AB134</f>
        <v>-169538.04999999993</v>
      </c>
      <c r="AC151" s="14">
        <f t="shared" ref="AC151" si="50">IFERROR((AB151*-1)/Z151-1,"")</f>
        <v>0.75509581268968495</v>
      </c>
      <c r="AD151" s="7">
        <v>118545.68360053898</v>
      </c>
      <c r="AE151" s="14">
        <v>4.6255139056409017E-2</v>
      </c>
      <c r="AF151" s="7">
        <v>-33420.653377912837</v>
      </c>
      <c r="AG151" s="14">
        <v>-1.5070019364035127E-2</v>
      </c>
      <c r="AH151" s="7">
        <v>-20882.92288240233</v>
      </c>
      <c r="AI151" s="14">
        <v>-9.2971271073493955E-3</v>
      </c>
      <c r="AJ151" s="7">
        <v>174996.07692978822</v>
      </c>
      <c r="AK151" s="14">
        <v>6.5028060932973239E-2</v>
      </c>
      <c r="AL151" s="7">
        <v>301932.98451222153</v>
      </c>
      <c r="AM151" s="14">
        <v>0.10133993068005683</v>
      </c>
      <c r="AN151" s="7">
        <v>316090.29078392463</v>
      </c>
      <c r="AO151" s="14">
        <v>0.10495883136510238</v>
      </c>
      <c r="AP151" s="7">
        <v>195902.29599993315</v>
      </c>
      <c r="AQ151" s="14">
        <v>7.1534480304173365E-2</v>
      </c>
      <c r="AR151" s="7">
        <v>71704.493860227623</v>
      </c>
      <c r="AS151" s="14">
        <v>2.9190044248959785E-2</v>
      </c>
      <c r="AT151" s="16"/>
      <c r="AU151" s="7">
        <v>1207890.2045151121</v>
      </c>
      <c r="AV151" s="14">
        <v>4.0263006817170405E-2</v>
      </c>
      <c r="AW151" s="7">
        <v>100657.51704292603</v>
      </c>
    </row>
    <row r="153" spans="2:49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14"/>
      <c r="AC153" s="14"/>
      <c r="AD153" s="7">
        <v>0</v>
      </c>
      <c r="AE153" s="14">
        <v>0</v>
      </c>
      <c r="AF153" s="7">
        <v>0</v>
      </c>
      <c r="AG153" s="14">
        <v>0</v>
      </c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7">
        <v>0</v>
      </c>
      <c r="AS153" s="14">
        <v>0</v>
      </c>
      <c r="AT153" s="16"/>
      <c r="AU153" s="7">
        <v>0</v>
      </c>
      <c r="AV153" s="14">
        <v>0</v>
      </c>
      <c r="AW153" s="7">
        <v>0</v>
      </c>
    </row>
    <row r="154" spans="2:49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IFERROR(VLOOKUP(I154,[1]RESUMO!$A$5:$B$93,2,FALSE),"")</f>
        <v/>
      </c>
      <c r="R154" s="6">
        <v>0</v>
      </c>
      <c r="S154" s="15">
        <v>0</v>
      </c>
      <c r="T154" s="6" t="str">
        <f>IFERROR(VLOOKUP(M154,[1]RESUMO!$A$5:$B$93,2,FALSE),"")</f>
        <v/>
      </c>
      <c r="V154" s="6">
        <v>0</v>
      </c>
      <c r="W154" s="15">
        <v>0</v>
      </c>
      <c r="X154" s="6" t="str">
        <f>IFERROR(VLOOKUP(Q154,[1]RESUMO!$A$5:$B$93,2,FALSE),"")</f>
        <v/>
      </c>
      <c r="Z154" s="6">
        <v>0</v>
      </c>
      <c r="AA154" s="15">
        <v>0</v>
      </c>
      <c r="AB154" s="6" t="str">
        <f>IFERROR(VLOOKUP(U154,[1]RESUMO!$A$5:$B$93,2,FALSE),"")</f>
        <v/>
      </c>
      <c r="AD154" s="6">
        <v>0</v>
      </c>
      <c r="AE154" s="15">
        <v>0</v>
      </c>
      <c r="AF154" s="6">
        <v>0</v>
      </c>
      <c r="AG154" s="15">
        <v>0</v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R154" s="6">
        <v>0</v>
      </c>
      <c r="AS154" s="15">
        <v>0</v>
      </c>
      <c r="AU154" s="6">
        <v>0</v>
      </c>
      <c r="AV154" s="15">
        <v>0</v>
      </c>
      <c r="AW154" s="6">
        <v>0</v>
      </c>
    </row>
    <row r="155" spans="2:49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IFERROR(VLOOKUP(I155,[1]RESUMO!$A$5:$B$93,2,FALSE),"")</f>
        <v/>
      </c>
      <c r="R155" s="6">
        <v>0</v>
      </c>
      <c r="S155" s="15">
        <v>0</v>
      </c>
      <c r="T155" s="6" t="str">
        <f>IFERROR(VLOOKUP(M155,[1]RESUMO!$A$5:$B$93,2,FALSE),"")</f>
        <v/>
      </c>
      <c r="V155" s="6">
        <v>0</v>
      </c>
      <c r="W155" s="15">
        <v>0</v>
      </c>
      <c r="X155" s="6" t="str">
        <f>IFERROR(VLOOKUP(Q155,[1]RESUMO!$A$5:$B$93,2,FALSE),"")</f>
        <v/>
      </c>
      <c r="Z155" s="6">
        <v>0</v>
      </c>
      <c r="AA155" s="15">
        <v>0</v>
      </c>
      <c r="AB155" s="6" t="str">
        <f>IFERROR(VLOOKUP(U155,[1]RESUMO!$A$5:$B$93,2,FALSE),"")</f>
        <v/>
      </c>
      <c r="AD155" s="6">
        <v>0</v>
      </c>
      <c r="AE155" s="15">
        <v>0</v>
      </c>
      <c r="AF155" s="6">
        <v>0</v>
      </c>
      <c r="AG155" s="15">
        <v>0</v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R155" s="6">
        <v>0</v>
      </c>
      <c r="AS155" s="15">
        <v>0</v>
      </c>
      <c r="AU155" s="6">
        <v>0</v>
      </c>
      <c r="AV155" s="15">
        <v>0</v>
      </c>
      <c r="AW155" s="6">
        <v>0</v>
      </c>
    </row>
    <row r="156" spans="2:49" x14ac:dyDescent="0.25">
      <c r="I156" s="1"/>
    </row>
    <row r="157" spans="2:49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48">
        <f>P151-P153</f>
        <v>-290070.51999999938</v>
      </c>
      <c r="Q157" s="14">
        <f>P157/N157-1</f>
        <v>9.1818828692727283E-2</v>
      </c>
      <c r="R157" s="7">
        <v>-401.39105013805965</v>
      </c>
      <c r="S157" s="14">
        <v>-1.8032040031738545E-4</v>
      </c>
      <c r="T157" s="48">
        <f>T151-T153</f>
        <v>32030.680000000008</v>
      </c>
      <c r="U157" s="50">
        <f>T157/R157-1</f>
        <v>-80.799188320175446</v>
      </c>
      <c r="V157" s="7">
        <v>252502.16441826487</v>
      </c>
      <c r="W157" s="14">
        <v>9.0165538800023731E-2</v>
      </c>
      <c r="X157" s="48">
        <f>X151-X153</f>
        <v>266218.67999999964</v>
      </c>
      <c r="Y157" s="50">
        <f>X157/V157-1</f>
        <v>5.4322368338251659E-2</v>
      </c>
      <c r="Z157" s="7">
        <v>96597.603831202126</v>
      </c>
      <c r="AA157" s="14">
        <v>3.9487068449628467E-2</v>
      </c>
      <c r="AB157" s="48">
        <f>AB151-AB153</f>
        <v>-169538.04999999993</v>
      </c>
      <c r="AC157" s="50">
        <f>AB157/Z157-1</f>
        <v>-2.7550958126896852</v>
      </c>
      <c r="AD157" s="7">
        <v>118545.68360053898</v>
      </c>
      <c r="AE157" s="14">
        <v>4.6255139056409017E-2</v>
      </c>
      <c r="AF157" s="7">
        <v>-33420.653377912837</v>
      </c>
      <c r="AG157" s="14">
        <v>-1.5070019364035127E-2</v>
      </c>
      <c r="AH157" s="7">
        <v>-20882.92288240233</v>
      </c>
      <c r="AI157" s="14">
        <v>-9.2971271073493955E-3</v>
      </c>
      <c r="AJ157" s="7">
        <v>174996.07692978822</v>
      </c>
      <c r="AK157" s="14">
        <v>6.5028060932973239E-2</v>
      </c>
      <c r="AL157" s="7">
        <v>301932.98451222153</v>
      </c>
      <c r="AM157" s="14">
        <v>0.10133993068005683</v>
      </c>
      <c r="AN157" s="7">
        <v>316090.29078392463</v>
      </c>
      <c r="AO157" s="14">
        <v>0.10495883136510238</v>
      </c>
      <c r="AP157" s="7">
        <v>195902.29599993315</v>
      </c>
      <c r="AQ157" s="14">
        <v>7.1534480304173365E-2</v>
      </c>
      <c r="AR157" s="7">
        <v>71704.493860227623</v>
      </c>
      <c r="AS157" s="14">
        <v>2.9190044248959785E-2</v>
      </c>
      <c r="AT157" s="16"/>
      <c r="AU157" s="7">
        <v>1207890.2045151121</v>
      </c>
      <c r="AV157" s="14">
        <v>4.0263006817170405E-2</v>
      </c>
      <c r="AW157" s="7">
        <v>100657.51704292603</v>
      </c>
    </row>
    <row r="159" spans="2:49" x14ac:dyDescent="0.25">
      <c r="I159" s="4" t="s">
        <v>189</v>
      </c>
      <c r="J159" s="7">
        <v>0</v>
      </c>
      <c r="K159" s="41">
        <v>0</v>
      </c>
      <c r="L159" s="7">
        <v>0</v>
      </c>
      <c r="M159" s="14">
        <v>0</v>
      </c>
      <c r="N159" s="7">
        <f>SUM(N160:N164)</f>
        <v>-49588</v>
      </c>
      <c r="O159" s="14">
        <f>N159/N10</f>
        <v>-3.0544884590711457E-2</v>
      </c>
      <c r="P159" s="48">
        <f>SUM(P160:P164)</f>
        <v>53166.43</v>
      </c>
      <c r="Q159" s="14"/>
      <c r="R159" s="7">
        <f>SUM(R160:R164)</f>
        <v>-49588</v>
      </c>
      <c r="S159" s="14">
        <f>R159/R10</f>
        <v>-2.2276849490946486E-2</v>
      </c>
      <c r="T159" s="48">
        <f>SUM(T160:T164)</f>
        <v>26411.83</v>
      </c>
      <c r="U159" s="14"/>
      <c r="V159" s="7">
        <f>SUM(V160:V164)</f>
        <v>-49588</v>
      </c>
      <c r="W159" s="14">
        <f>V159/V10</f>
        <v>-1.7707288760540046E-2</v>
      </c>
      <c r="X159" s="48">
        <f>SUM(X160:X164)</f>
        <v>26833.7</v>
      </c>
      <c r="Y159" s="14"/>
      <c r="Z159" s="7">
        <f>SUM(Z160:Z164)</f>
        <v>-40588</v>
      </c>
      <c r="AA159" s="14">
        <f>Z159/Z10</f>
        <v>-1.6591520603700831E-2</v>
      </c>
      <c r="AB159" s="48">
        <f>SUM(AB160:AB164)</f>
        <v>6236.2699999999995</v>
      </c>
      <c r="AC159" s="14"/>
      <c r="AD159" s="7">
        <f>SUM(AD160:AD164)</f>
        <v>-40588</v>
      </c>
      <c r="AE159" s="14">
        <f>AD159/AD10</f>
        <v>-1.5836962823106898E-2</v>
      </c>
      <c r="AF159" s="7">
        <f>SUM(AF160:AF164)</f>
        <v>-40588</v>
      </c>
      <c r="AG159" s="14">
        <f>AF159/AF10</f>
        <v>-1.8301914658308122E-2</v>
      </c>
      <c r="AH159" s="7">
        <f>SUM(AH160:AH164)</f>
        <v>-39509</v>
      </c>
      <c r="AI159" s="14">
        <f>AH159/AH10</f>
        <v>-1.7589501093920212E-2</v>
      </c>
      <c r="AJ159" s="7">
        <f>SUM(AJ160:AJ164)</f>
        <v>-39509</v>
      </c>
      <c r="AK159" s="14">
        <f>AJ159/AJ10</f>
        <v>-1.4681435746880482E-2</v>
      </c>
      <c r="AL159" s="7">
        <f>SUM(AL160:AL164)</f>
        <v>-39509</v>
      </c>
      <c r="AM159" s="14">
        <f>AL159/AL10</f>
        <v>-1.3260688717751866E-2</v>
      </c>
      <c r="AN159" s="7">
        <f>SUM(AN160:AN164)</f>
        <v>-39509</v>
      </c>
      <c r="AO159" s="14">
        <f>AN159/AN10</f>
        <v>-1.311909473119041E-2</v>
      </c>
      <c r="AP159" s="7">
        <f>SUM(AP160:AP164)</f>
        <v>-39509</v>
      </c>
      <c r="AQ159" s="14">
        <f>AP159/AP10</f>
        <v>-1.4426864003362933E-2</v>
      </c>
      <c r="AR159" s="7">
        <f>SUM(AR160:AR164)</f>
        <v>-39509</v>
      </c>
      <c r="AS159" s="14">
        <f>AR159/AR10</f>
        <v>-1.6083642686052581E-2</v>
      </c>
      <c r="AT159" s="16"/>
      <c r="AU159" s="7">
        <f t="shared" ref="AU159:AU164" si="51">N159+R159+V159+Z159+AD159+AF159+AH159+AJ159+AL159+AN159+AP159+AR159</f>
        <v>-507582</v>
      </c>
      <c r="AV159" s="14">
        <v>0</v>
      </c>
      <c r="AW159" s="7">
        <v>0</v>
      </c>
    </row>
    <row r="160" spans="2:49" x14ac:dyDescent="0.25">
      <c r="I160" s="2" t="s">
        <v>190</v>
      </c>
      <c r="J160" s="6">
        <v>0</v>
      </c>
      <c r="K160" s="37">
        <v>0</v>
      </c>
      <c r="L160" s="6">
        <v>0</v>
      </c>
      <c r="M160" s="15">
        <v>0</v>
      </c>
      <c r="N160" s="6">
        <v>-2167</v>
      </c>
      <c r="O160" s="15">
        <v>0</v>
      </c>
      <c r="P160" s="6">
        <f>IFERROR(VLOOKUP($I160,[1]RESUMO!$A$5:$M$150,2,FALSE),"")</f>
        <v>9551.4999999999982</v>
      </c>
      <c r="R160" s="6">
        <v>-2167</v>
      </c>
      <c r="S160" s="15">
        <v>0</v>
      </c>
      <c r="T160" s="6">
        <f>IFERROR(VLOOKUP($I160,[1]RESUMO!$A$5:$M$150,3,FALSE),"")</f>
        <v>4960.7299999999996</v>
      </c>
      <c r="V160" s="6">
        <v>-2167</v>
      </c>
      <c r="W160" s="15">
        <v>0</v>
      </c>
      <c r="X160" s="6">
        <f>IFERROR(VLOOKUP($I160,[1]RESUMO!$A$5:$M$150,4,FALSE),"")</f>
        <v>2407.11</v>
      </c>
      <c r="Z160" s="6">
        <v>-2167</v>
      </c>
      <c r="AA160" s="15">
        <v>0</v>
      </c>
      <c r="AB160" s="6">
        <f>IFERROR(VLOOKUP($I160,[1]RESUMO!$A$5:$M$150,5,FALSE),"")</f>
        <v>1241.96</v>
      </c>
      <c r="AD160" s="6">
        <v>-2167</v>
      </c>
      <c r="AE160" s="15">
        <v>0</v>
      </c>
      <c r="AF160" s="6">
        <v>-2167</v>
      </c>
      <c r="AG160" s="15">
        <v>0</v>
      </c>
      <c r="AH160" s="6">
        <v>-1088</v>
      </c>
      <c r="AI160" s="15">
        <v>0</v>
      </c>
      <c r="AJ160" s="6">
        <v>-1088</v>
      </c>
      <c r="AK160" s="15">
        <v>0</v>
      </c>
      <c r="AL160" s="6">
        <v>-1088</v>
      </c>
      <c r="AM160" s="15">
        <v>0</v>
      </c>
      <c r="AN160" s="6">
        <v>-1088</v>
      </c>
      <c r="AO160" s="15">
        <v>0</v>
      </c>
      <c r="AP160" s="6">
        <v>-1088</v>
      </c>
      <c r="AQ160" s="15">
        <v>0</v>
      </c>
      <c r="AR160" s="6">
        <v>-1088</v>
      </c>
      <c r="AS160" s="15">
        <v>0</v>
      </c>
      <c r="AT160" s="6"/>
      <c r="AU160" s="6">
        <f t="shared" si="51"/>
        <v>-19530</v>
      </c>
      <c r="AV160" s="15">
        <v>0</v>
      </c>
      <c r="AW160" s="6">
        <v>0</v>
      </c>
    </row>
    <row r="161" spans="9:49" x14ac:dyDescent="0.25">
      <c r="I161" s="2" t="s">
        <v>191</v>
      </c>
      <c r="J161" s="6">
        <v>0</v>
      </c>
      <c r="K161" s="37">
        <v>0</v>
      </c>
      <c r="L161" s="6">
        <v>0</v>
      </c>
      <c r="M161" s="15">
        <v>0</v>
      </c>
      <c r="N161" s="6">
        <v>-1508</v>
      </c>
      <c r="O161" s="15">
        <v>0</v>
      </c>
      <c r="P161" s="6">
        <f>IFERROR(VLOOKUP($I161,[1]RESUMO!$A$5:$M$150,2,FALSE),"")</f>
        <v>3037.44</v>
      </c>
      <c r="R161" s="6">
        <v>-1508</v>
      </c>
      <c r="S161" s="15">
        <v>0</v>
      </c>
      <c r="T161" s="6">
        <f>IFERROR(VLOOKUP($I161,[1]RESUMO!$A$5:$M$150,3,FALSE),"")</f>
        <v>3037.44</v>
      </c>
      <c r="V161" s="6">
        <v>-1508</v>
      </c>
      <c r="W161" s="15">
        <v>0</v>
      </c>
      <c r="X161" s="6">
        <f>IFERROR(VLOOKUP($I161,[1]RESUMO!$A$5:$M$150,4,FALSE),"")</f>
        <v>3037.44</v>
      </c>
      <c r="Z161" s="6">
        <v>-1508</v>
      </c>
      <c r="AA161" s="15">
        <v>0</v>
      </c>
      <c r="AB161" s="6">
        <f>IFERROR(VLOOKUP($I161,[1]RESUMO!$A$5:$M$150,5,FALSE),"")</f>
        <v>3037.44</v>
      </c>
      <c r="AD161" s="6">
        <v>-1508</v>
      </c>
      <c r="AE161" s="15">
        <v>0</v>
      </c>
      <c r="AF161" s="6">
        <v>-1508</v>
      </c>
      <c r="AG161" s="15">
        <v>0</v>
      </c>
      <c r="AH161" s="6">
        <v>-1508</v>
      </c>
      <c r="AI161" s="15">
        <v>0</v>
      </c>
      <c r="AJ161" s="6">
        <v>-1508</v>
      </c>
      <c r="AK161" s="15">
        <v>0</v>
      </c>
      <c r="AL161" s="6">
        <v>-1508</v>
      </c>
      <c r="AM161" s="15">
        <v>0</v>
      </c>
      <c r="AN161" s="6">
        <v>-1508</v>
      </c>
      <c r="AO161" s="15">
        <v>0</v>
      </c>
      <c r="AP161" s="6">
        <v>-1508</v>
      </c>
      <c r="AQ161" s="15">
        <v>0</v>
      </c>
      <c r="AR161" s="6">
        <v>-1508</v>
      </c>
      <c r="AS161" s="15">
        <v>0</v>
      </c>
      <c r="AT161" s="6"/>
      <c r="AU161" s="6">
        <f t="shared" si="51"/>
        <v>-18096</v>
      </c>
      <c r="AV161" s="15">
        <v>0</v>
      </c>
      <c r="AW161" s="6">
        <v>0</v>
      </c>
    </row>
    <row r="162" spans="9:49" x14ac:dyDescent="0.25">
      <c r="I162" s="2" t="s">
        <v>192</v>
      </c>
      <c r="N162" s="6">
        <v>-9000</v>
      </c>
      <c r="O162" s="15">
        <v>0</v>
      </c>
      <c r="P162" s="6">
        <f>IFERROR(VLOOKUP($I162,[1]RESUMO!$A$5:$M$150,2,FALSE),"")</f>
        <v>14634.46</v>
      </c>
      <c r="R162" s="6">
        <v>-9000</v>
      </c>
      <c r="T162" s="6">
        <f>IFERROR(VLOOKUP($I162,[1]RESUMO!$A$5:$M$150,3,FALSE),"")</f>
        <v>5089.95</v>
      </c>
      <c r="V162" s="6">
        <v>-9000</v>
      </c>
      <c r="X162" s="6">
        <f>IFERROR(VLOOKUP($I162,[1]RESUMO!$A$5:$M$150,4,FALSE),"")</f>
        <v>2570</v>
      </c>
      <c r="Y162" s="6"/>
      <c r="AB162" s="6">
        <f>IFERROR(VLOOKUP($I162,[1]RESUMO!$A$5:$M$150,5,FALSE),"")</f>
        <v>0</v>
      </c>
      <c r="AC162" s="6"/>
      <c r="AU162" s="6">
        <f t="shared" si="51"/>
        <v>-27000</v>
      </c>
    </row>
    <row r="163" spans="9:49" x14ac:dyDescent="0.25">
      <c r="I163" s="2" t="s">
        <v>193</v>
      </c>
      <c r="N163" s="6">
        <v>-36540</v>
      </c>
      <c r="O163" s="15">
        <v>0</v>
      </c>
      <c r="P163" s="6">
        <f>IFERROR(VLOOKUP($I163,[1]RESUMO!$A$5:$M$150,2,FALSE),"")</f>
        <v>25943.030000000002</v>
      </c>
      <c r="R163" s="6">
        <v>-36540</v>
      </c>
      <c r="T163" s="6">
        <f>IFERROR(VLOOKUP($I163,[1]RESUMO!$A$5:$M$150,3,FALSE),"")</f>
        <v>13323.710000000001</v>
      </c>
      <c r="V163" s="6">
        <v>-36540</v>
      </c>
      <c r="X163" s="6">
        <f>IFERROR(VLOOKUP($I163,[1]RESUMO!$A$5:$M$150,4,FALSE),"")</f>
        <v>14734.15</v>
      </c>
      <c r="Z163" s="6">
        <v>-36540</v>
      </c>
      <c r="AB163" s="6">
        <f>IFERROR(VLOOKUP($I163,[1]RESUMO!$A$5:$M$150,5,FALSE),"")</f>
        <v>1956.87</v>
      </c>
      <c r="AD163" s="6">
        <v>-36540</v>
      </c>
      <c r="AF163" s="6">
        <v>-36540</v>
      </c>
      <c r="AH163" s="6">
        <v>-36540</v>
      </c>
      <c r="AJ163" s="6">
        <v>-36540</v>
      </c>
      <c r="AL163" s="6">
        <v>-36540</v>
      </c>
      <c r="AN163" s="6">
        <v>-36540</v>
      </c>
      <c r="AP163" s="6">
        <v>-36540</v>
      </c>
      <c r="AR163" s="6">
        <v>-36540</v>
      </c>
      <c r="AU163" s="6">
        <f t="shared" si="51"/>
        <v>-438480</v>
      </c>
    </row>
    <row r="164" spans="9:49" x14ac:dyDescent="0.25">
      <c r="I164" s="2" t="s">
        <v>194</v>
      </c>
      <c r="N164" s="6">
        <v>-373</v>
      </c>
      <c r="O164" s="15">
        <v>0</v>
      </c>
      <c r="P164" s="6">
        <f>IFERROR(VLOOKUP($I164,[1]RESUMO!$A$5:$M$150,2,FALSE),"")</f>
        <v>0</v>
      </c>
      <c r="R164" s="6">
        <v>-373</v>
      </c>
      <c r="T164" s="6">
        <f>IFERROR(VLOOKUP($I164,[1]RESUMO!$A$5:$M$150,3,FALSE),"")</f>
        <v>0</v>
      </c>
      <c r="V164" s="6">
        <v>-373</v>
      </c>
      <c r="X164" s="6">
        <f>IFERROR(VLOOKUP($I164,[1]RESUMO!$A$5:$M$150,4,FALSE),"")</f>
        <v>4085</v>
      </c>
      <c r="Z164" s="6">
        <v>-373</v>
      </c>
      <c r="AB164" s="6">
        <f>IFERROR(VLOOKUP($I164,[1]RESUMO!$A$5:$M$150,5,FALSE),"")</f>
        <v>0</v>
      </c>
      <c r="AD164" s="6">
        <v>-373</v>
      </c>
      <c r="AF164" s="6">
        <v>-373</v>
      </c>
      <c r="AH164" s="6">
        <v>-373</v>
      </c>
      <c r="AJ164" s="6">
        <v>-373</v>
      </c>
      <c r="AL164" s="6">
        <v>-373</v>
      </c>
      <c r="AN164" s="6">
        <v>-373</v>
      </c>
      <c r="AP164" s="6">
        <v>-373</v>
      </c>
      <c r="AR164" s="6">
        <v>-373</v>
      </c>
      <c r="AU164" s="6">
        <f t="shared" si="51"/>
        <v>-4476</v>
      </c>
    </row>
    <row r="165" spans="9:49" x14ac:dyDescent="0.25">
      <c r="AB165" s="15" t="str">
        <f>IFERROR(VLOOKUP($I165,[1]RESUMO!$A$5:$M$150,5,FALSE),"")</f>
        <v/>
      </c>
    </row>
    <row r="166" spans="9:49" x14ac:dyDescent="0.25">
      <c r="I166" s="4" t="s">
        <v>195</v>
      </c>
      <c r="J166" s="7">
        <v>120235.26388602481</v>
      </c>
      <c r="K166" s="41">
        <v>4.8094105554409926E-2</v>
      </c>
      <c r="L166" s="7">
        <v>-99894.989458602286</v>
      </c>
      <c r="M166" s="14">
        <v>-4.9947494729301142E-2</v>
      </c>
      <c r="N166" s="7">
        <f>N157+N159</f>
        <v>-315264.42211053544</v>
      </c>
      <c r="O166" s="14">
        <f>N166/N10</f>
        <v>-0.19419447021302827</v>
      </c>
      <c r="P166" s="7">
        <f>P157+P159</f>
        <v>-236904.08999999939</v>
      </c>
      <c r="Q166" s="14"/>
      <c r="R166" s="7">
        <f>R157+R159</f>
        <v>-49989.39105013806</v>
      </c>
      <c r="S166" s="14"/>
      <c r="T166" s="7">
        <f>T157+T159</f>
        <v>58442.510000000009</v>
      </c>
      <c r="U166" s="50"/>
      <c r="V166" s="7">
        <f>V157+V159</f>
        <v>202914.16441826487</v>
      </c>
      <c r="W166" s="14"/>
      <c r="X166" s="7">
        <f>X157+X159</f>
        <v>293052.37999999966</v>
      </c>
      <c r="Y166" s="50"/>
      <c r="Z166" s="7">
        <f>Z157+Z159</f>
        <v>56009.603831202126</v>
      </c>
      <c r="AA166" s="14"/>
      <c r="AB166" s="7">
        <f>AB157+AB159</f>
        <v>-163301.77999999994</v>
      </c>
      <c r="AC166" s="50"/>
      <c r="AD166" s="7">
        <f>AD157+AD159</f>
        <v>77957.683600538978</v>
      </c>
      <c r="AE166" s="14"/>
      <c r="AF166" s="7">
        <f>AF157+AF159</f>
        <v>-74008.653377912837</v>
      </c>
      <c r="AG166" s="14"/>
      <c r="AH166" s="7">
        <f>AH157+AH159</f>
        <v>-60391.92288240233</v>
      </c>
      <c r="AI166" s="14"/>
      <c r="AJ166" s="7">
        <f>AJ157+AJ159</f>
        <v>135487.07692978822</v>
      </c>
      <c r="AK166" s="14"/>
      <c r="AL166" s="7">
        <f>AL157+AL159</f>
        <v>262423.98451222153</v>
      </c>
      <c r="AM166" s="14"/>
      <c r="AN166" s="7">
        <f>AN157+AN159</f>
        <v>276581.29078392463</v>
      </c>
      <c r="AO166" s="14"/>
      <c r="AP166" s="7">
        <f>AP157+AP159</f>
        <v>156393.29599993315</v>
      </c>
      <c r="AQ166" s="14"/>
      <c r="AR166" s="7">
        <f>AR157+AR159</f>
        <v>32195.493860227623</v>
      </c>
      <c r="AS166" s="14"/>
      <c r="AT166" s="7"/>
      <c r="AU166" s="7">
        <f>N166+R166+V166+Z166+AD166+AF166+AH166+AJ166+AL166+AN166+AP166+AR166</f>
        <v>700308.20451511245</v>
      </c>
      <c r="AV166" s="14">
        <v>4.0263006817170405E-2</v>
      </c>
      <c r="AW166" s="7">
        <v>100657.51704292603</v>
      </c>
    </row>
  </sheetData>
  <mergeCells count="5">
    <mergeCell ref="N4:O4"/>
    <mergeCell ref="P4:Q4"/>
    <mergeCell ref="T4:U4"/>
    <mergeCell ref="X4:Y4"/>
    <mergeCell ref="AB4:AC4"/>
  </mergeCells>
  <conditionalFormatting sqref="H1:H1048576">
    <cfRule type="cellIs" dxfId="4" priority="28" operator="equal">
      <formula>"rafael"</formula>
    </cfRule>
  </conditionalFormatting>
  <conditionalFormatting sqref="Q1:Q1048576">
    <cfRule type="cellIs" dxfId="3" priority="27" operator="greaterThan">
      <formula>0</formula>
    </cfRule>
  </conditionalFormatting>
  <conditionalFormatting sqref="U1:U1048576">
    <cfRule type="cellIs" dxfId="2" priority="4" operator="greaterThan">
      <formula>0</formula>
    </cfRule>
  </conditionalFormatting>
  <conditionalFormatting sqref="Y1:Y161 Y163:Y1048576">
    <cfRule type="cellIs" dxfId="1" priority="2" operator="greaterThan">
      <formula>0</formula>
    </cfRule>
  </conditionalFormatting>
  <conditionalFormatting sqref="AC1:AC161 AC163:AC1048576">
    <cfRule type="cellIs" dxfId="0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Acompanhamento Orçamento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2026-04-16T21:09:09Z</dcterms:modified>
</cp:coreProperties>
</file>