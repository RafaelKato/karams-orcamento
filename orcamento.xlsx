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192.168.1.250\Orçamento\"/>
    </mc:Choice>
  </mc:AlternateContent>
  <xr:revisionPtr revIDLastSave="0" documentId="13_ncr:1_{4F9E87AD-5C7B-4561-976D-29D54DB05160}" xr6:coauthVersionLast="47" xr6:coauthVersionMax="47" xr10:uidLastSave="{00000000-0000-0000-0000-000000000000}"/>
  <bookViews>
    <workbookView xWindow="-135" yWindow="-135" windowWidth="38670" windowHeight="15870" activeTab="1" xr2:uid="{9BADCFFC-7E9F-4283-8ADA-53A2653743C8}"/>
  </bookViews>
  <sheets>
    <sheet name="Claude Log" sheetId="26" r:id="rId1"/>
    <sheet name="Acompanhamento Orçamento" sheetId="21" r:id="rId2"/>
    <sheet name="RESUMO" sheetId="22" r:id="rId3"/>
    <sheet name="DESPESAS" sheetId="23" r:id="rId4"/>
    <sheet name="FORNECEDORES MANUTENÇÃO" sheetId="24" state="hidden" r:id="rId5"/>
    <sheet name="BASE" sheetId="25" state="hidden" r:id="rId6"/>
  </sheets>
  <definedNames>
    <definedName name="_1988">#REF!</definedName>
    <definedName name="_CBD02">#REF!</definedName>
    <definedName name="_Fill">#REF!</definedName>
    <definedName name="_Key1">#REF!</definedName>
    <definedName name="_Key2">#REF!</definedName>
    <definedName name="_MD5">#REF!</definedName>
    <definedName name="_Sort">#REF!</definedName>
    <definedName name="_SPR1">#REF!</definedName>
    <definedName name="_T2">#REF!</definedName>
    <definedName name="adada">#REF!</definedName>
    <definedName name="adda">#REF!</definedName>
    <definedName name="ana">#REF!</definedName>
    <definedName name="as">#REF!</definedName>
    <definedName name="asd">#REF!</definedName>
    <definedName name="asfs">#REF!</definedName>
    <definedName name="CONT02092000.4">#REF!</definedName>
    <definedName name="DadosExternos_2" localSheetId="3" hidden="1">DESPESAS!$A$1:$G$4126</definedName>
    <definedName name="dasdasd">#REF!</definedName>
    <definedName name="Devoluções">#REF!</definedName>
    <definedName name="DIFF">#REF!</definedName>
    <definedName name="EEEE">#REF!</definedName>
    <definedName name="egterqfg23gt432">#REF!</definedName>
    <definedName name="ertgqetq">#REF!</definedName>
    <definedName name="fdsfs">#REF!</definedName>
    <definedName name="ffefwef">#REF!</definedName>
    <definedName name="FREGT">#REF!</definedName>
    <definedName name="fsfsgf">#REF!</definedName>
    <definedName name="g45h42g4tg42">#REF!</definedName>
    <definedName name="Gastos.com.Pessoal.Comercial">#REF!</definedName>
    <definedName name="Gastos.com.Pessoal.Industrial">#REF!</definedName>
    <definedName name="GERAL">#REF!</definedName>
    <definedName name="gfwegweg">#REF!</definedName>
    <definedName name="grewgq">#REF!</definedName>
    <definedName name="imob">#REF!</definedName>
    <definedName name="imob1">#REF!</definedName>
    <definedName name="jhkj">#REF!</definedName>
    <definedName name="klkl">#REF!</definedName>
    <definedName name="LANCTOS">#REF!</definedName>
    <definedName name="LLOYD">#REF!</definedName>
    <definedName name="m">#REF!</definedName>
    <definedName name="n">#REF!</definedName>
    <definedName name="nikol">#REF!</definedName>
    <definedName name="njo">#REF!</definedName>
    <definedName name="nlkp">#REF!</definedName>
    <definedName name="nnn">#REF!</definedName>
    <definedName name="PDC">#REF!</definedName>
    <definedName name="pinco">#REF!</definedName>
    <definedName name="pippo">#REF!</definedName>
    <definedName name="Pró.Labore">#REF!</definedName>
    <definedName name="qertwqrt">#REF!</definedName>
    <definedName name="RIC">#REF!</definedName>
    <definedName name="RICL">#REF!</definedName>
    <definedName name="RICLASS">#REF!</definedName>
    <definedName name="RPC">#REF!</definedName>
    <definedName name="S">#REF!</definedName>
    <definedName name="sa">#REF!</definedName>
    <definedName name="sadaas">#REF!</definedName>
    <definedName name="SPR">#REF!</definedName>
    <definedName name="SS">#REF!</definedName>
    <definedName name="t34t34t">#REF!</definedName>
    <definedName name="t3gtt">#REF!</definedName>
    <definedName name="TGE5RG">#REF!</definedName>
    <definedName name="tudo2">#REF!</definedName>
    <definedName name="VITA">#REF!</definedName>
    <definedName name="vtfr">#REF!</definedName>
    <definedName name="wedrwr">#REF!</definedName>
    <definedName name="wer">#REF!</definedName>
    <definedName name="werwef">#REF!</definedName>
    <definedName name="wetgewt">#REF!</definedName>
    <definedName name="wetwt">#REF!</definedName>
    <definedName name="wftrewtg">#REF!</definedName>
    <definedName name="wg">#REF!</definedName>
    <definedName name="wrn.01.">#REF!</definedName>
    <definedName name="wrn.ANALITICO._.COMPLETO.">#REF!</definedName>
    <definedName name="wrn.BALANÇOS.">#REF!</definedName>
    <definedName name="wrn.Desp._.financeiras.">#REF!</definedName>
    <definedName name="wrn.Financeiras._.Totais.">#REF!</definedName>
    <definedName name="wrn.IQRCGMES.">#REF!</definedName>
    <definedName name="wrn.JUINTI._.IRENDA.">#REF!</definedName>
    <definedName name="wrn.RESULTADO.">#REF!</definedName>
    <definedName name="wrn.TUDO.">#REF!</definedName>
    <definedName name="wt341t134t">#REF!</definedName>
    <definedName name="wtwrt">#REF!</definedName>
    <definedName name="zfsfsfs">#REF!</definedName>
  </definedName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5" i="21" l="1"/>
  <c r="AF164" i="21"/>
  <c r="AF163" i="21"/>
  <c r="AF162" i="21"/>
  <c r="AF161" i="21"/>
  <c r="AF160" i="21"/>
  <c r="AF159" i="21" s="1"/>
  <c r="AF155" i="21"/>
  <c r="AF154" i="21"/>
  <c r="AF150" i="21"/>
  <c r="AF149" i="21"/>
  <c r="AF148" i="21"/>
  <c r="AF143" i="21" s="1"/>
  <c r="AF134" i="21" s="1"/>
  <c r="AG134" i="21" s="1"/>
  <c r="AF147" i="21"/>
  <c r="AF146" i="21"/>
  <c r="AF145" i="21"/>
  <c r="AF144" i="21"/>
  <c r="AF142" i="21"/>
  <c r="AF141" i="21"/>
  <c r="AF140" i="21"/>
  <c r="AF139" i="21"/>
  <c r="AF138" i="21"/>
  <c r="AF137" i="21"/>
  <c r="AF136" i="21"/>
  <c r="AF131" i="21"/>
  <c r="AF130" i="21"/>
  <c r="AF129" i="21"/>
  <c r="AF128" i="21"/>
  <c r="AF127" i="21"/>
  <c r="AG127" i="21" s="1"/>
  <c r="AF126" i="21"/>
  <c r="AF125" i="21"/>
  <c r="AF124" i="21"/>
  <c r="AF122" i="21"/>
  <c r="AF121" i="21"/>
  <c r="AF120" i="21"/>
  <c r="AF119" i="21"/>
  <c r="AF118" i="21"/>
  <c r="AG118" i="21" s="1"/>
  <c r="AF117" i="21"/>
  <c r="AF116" i="21"/>
  <c r="AG116" i="21" s="1"/>
  <c r="AF115" i="21"/>
  <c r="AF114" i="21"/>
  <c r="AG114" i="21" s="1"/>
  <c r="AF113" i="21"/>
  <c r="AF112" i="21"/>
  <c r="AF111" i="21"/>
  <c r="AG111" i="21" s="1"/>
  <c r="AF110" i="21"/>
  <c r="AG110" i="21" s="1"/>
  <c r="AF109" i="21"/>
  <c r="AG109" i="21" s="1"/>
  <c r="AF108" i="21"/>
  <c r="AF107" i="21"/>
  <c r="AF106" i="21"/>
  <c r="AF105" i="21"/>
  <c r="AF104" i="21"/>
  <c r="AG104" i="21" s="1"/>
  <c r="AF103" i="21"/>
  <c r="AF102" i="21"/>
  <c r="AF101" i="21" s="1"/>
  <c r="AG101" i="21" s="1"/>
  <c r="AF100" i="21"/>
  <c r="AF99" i="21"/>
  <c r="AF98" i="21"/>
  <c r="AF97" i="21"/>
  <c r="AF96" i="21"/>
  <c r="AG96" i="21" s="1"/>
  <c r="AF95" i="21"/>
  <c r="AG95" i="21" s="1"/>
  <c r="AF94" i="21"/>
  <c r="AG94" i="21" s="1"/>
  <c r="AF93" i="21"/>
  <c r="AF92" i="21"/>
  <c r="AF91" i="21"/>
  <c r="AF90" i="21"/>
  <c r="AG90" i="21" s="1"/>
  <c r="AF89" i="21"/>
  <c r="AG89" i="21" s="1"/>
  <c r="AF88" i="21"/>
  <c r="AG88" i="21" s="1"/>
  <c r="AF87" i="21"/>
  <c r="AF86" i="21"/>
  <c r="AG86" i="21" s="1"/>
  <c r="AF84" i="21"/>
  <c r="AF83" i="21"/>
  <c r="AF82" i="21"/>
  <c r="AF81" i="21"/>
  <c r="AG81" i="21" s="1"/>
  <c r="AF80" i="21"/>
  <c r="AF79" i="21"/>
  <c r="AG79" i="21" s="1"/>
  <c r="AF78" i="21"/>
  <c r="AG78" i="21" s="1"/>
  <c r="AF77" i="21"/>
  <c r="AF76" i="21"/>
  <c r="AG76" i="21" s="1"/>
  <c r="AF75" i="21"/>
  <c r="AF74" i="21"/>
  <c r="AF73" i="21"/>
  <c r="AG73" i="21" s="1"/>
  <c r="AF72" i="21"/>
  <c r="AF71" i="21"/>
  <c r="AG71" i="21" s="1"/>
  <c r="AF70" i="21"/>
  <c r="AF69" i="21"/>
  <c r="AF68" i="21"/>
  <c r="AG68" i="21" s="1"/>
  <c r="AF63" i="21"/>
  <c r="AF62" i="21"/>
  <c r="AF61" i="21"/>
  <c r="AF60" i="21"/>
  <c r="AF59" i="21"/>
  <c r="AF58" i="21"/>
  <c r="AG58" i="21" s="1"/>
  <c r="AF57" i="21"/>
  <c r="AG57" i="21" s="1"/>
  <c r="AF56" i="21"/>
  <c r="AG56" i="21" s="1"/>
  <c r="AF55" i="21"/>
  <c r="AG55" i="21" s="1"/>
  <c r="AF54" i="21"/>
  <c r="AG54" i="21" s="1"/>
  <c r="AF53" i="21"/>
  <c r="AG53" i="21" s="1"/>
  <c r="AF52" i="21"/>
  <c r="AG52" i="21" s="1"/>
  <c r="AF51" i="21"/>
  <c r="AF50" i="21"/>
  <c r="AF49" i="21"/>
  <c r="AF48" i="21"/>
  <c r="AF47" i="21"/>
  <c r="AF45" i="21"/>
  <c r="AF44" i="21"/>
  <c r="AG44" i="21" s="1"/>
  <c r="AF43" i="21"/>
  <c r="AG43" i="21" s="1"/>
  <c r="AF42" i="21"/>
  <c r="AF41" i="21"/>
  <c r="AF40" i="21"/>
  <c r="AG40" i="21" s="1"/>
  <c r="AF39" i="21"/>
  <c r="AG39" i="21" s="1"/>
  <c r="AF38" i="21"/>
  <c r="AG38" i="21" s="1"/>
  <c r="AF37" i="21"/>
  <c r="AG37" i="21" s="1"/>
  <c r="AF36" i="21"/>
  <c r="AF35" i="21"/>
  <c r="AF34" i="21"/>
  <c r="AF33" i="21"/>
  <c r="AF32" i="21" s="1"/>
  <c r="AG32" i="21" s="1"/>
  <c r="AF31" i="21"/>
  <c r="AF30" i="21"/>
  <c r="AF29" i="21"/>
  <c r="AF28" i="21"/>
  <c r="AF27" i="21"/>
  <c r="AF26" i="21"/>
  <c r="AG26" i="21" s="1"/>
  <c r="AF25" i="21"/>
  <c r="AG25" i="21" s="1"/>
  <c r="AF19" i="21"/>
  <c r="AF18" i="21"/>
  <c r="AG18" i="21" s="1"/>
  <c r="AF17" i="21"/>
  <c r="AG17" i="21" s="1"/>
  <c r="AF16" i="21"/>
  <c r="AF15" i="21"/>
  <c r="AF14" i="21"/>
  <c r="AF13" i="21"/>
  <c r="AG130" i="21"/>
  <c r="AG129" i="21"/>
  <c r="AG128" i="21"/>
  <c r="AG126" i="21"/>
  <c r="AG125" i="21"/>
  <c r="AG124" i="21"/>
  <c r="AG122" i="21"/>
  <c r="AG121" i="21"/>
  <c r="AG120" i="21"/>
  <c r="AG119" i="21"/>
  <c r="AG117" i="21"/>
  <c r="AG115" i="21"/>
  <c r="AG113" i="21"/>
  <c r="AG112" i="21"/>
  <c r="AG108" i="21"/>
  <c r="AG107" i="21"/>
  <c r="AG106" i="21"/>
  <c r="AG105" i="21"/>
  <c r="AG100" i="21"/>
  <c r="AG99" i="21"/>
  <c r="AG98" i="21"/>
  <c r="AG97" i="21"/>
  <c r="AG93" i="21"/>
  <c r="AG92" i="21"/>
  <c r="AG91" i="21"/>
  <c r="AG87" i="21"/>
  <c r="AG84" i="21"/>
  <c r="AG83" i="21"/>
  <c r="AG82" i="21"/>
  <c r="AG80" i="21"/>
  <c r="AG77" i="21"/>
  <c r="AG75" i="21"/>
  <c r="AG74" i="21"/>
  <c r="AG72" i="21"/>
  <c r="AG70" i="21"/>
  <c r="AG69" i="21"/>
  <c r="AG62" i="21"/>
  <c r="AG61" i="21"/>
  <c r="AG60" i="21"/>
  <c r="AG59" i="21"/>
  <c r="AG51" i="21"/>
  <c r="AG50" i="21"/>
  <c r="AG49" i="21"/>
  <c r="AG48" i="21"/>
  <c r="AG47" i="21"/>
  <c r="AG45" i="21"/>
  <c r="AG42" i="21"/>
  <c r="AG41" i="21"/>
  <c r="AG36" i="21"/>
  <c r="AG35" i="21"/>
  <c r="AG31" i="21"/>
  <c r="AG30" i="21"/>
  <c r="AG29" i="21"/>
  <c r="AG28" i="21"/>
  <c r="AG27" i="21"/>
  <c r="AG19" i="21"/>
  <c r="AG16" i="21"/>
  <c r="AG15" i="21"/>
  <c r="AG14" i="21"/>
  <c r="AG13" i="21"/>
  <c r="AG10" i="21"/>
  <c r="H2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H201" i="23"/>
  <c r="H202" i="23"/>
  <c r="H203" i="23"/>
  <c r="H204" i="23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39" i="23"/>
  <c r="H240" i="23"/>
  <c r="H241" i="23"/>
  <c r="H242" i="23"/>
  <c r="H243" i="23"/>
  <c r="H244" i="23"/>
  <c r="H245" i="23"/>
  <c r="H246" i="23"/>
  <c r="H247" i="23"/>
  <c r="H248" i="23"/>
  <c r="H249" i="23"/>
  <c r="H250" i="23"/>
  <c r="H251" i="23"/>
  <c r="H252" i="23"/>
  <c r="H253" i="23"/>
  <c r="H254" i="23"/>
  <c r="H255" i="23"/>
  <c r="H256" i="23"/>
  <c r="H257" i="23"/>
  <c r="H258" i="23"/>
  <c r="H259" i="23"/>
  <c r="H260" i="23"/>
  <c r="H261" i="23"/>
  <c r="H262" i="23"/>
  <c r="H263" i="23"/>
  <c r="H264" i="23"/>
  <c r="H265" i="23"/>
  <c r="H266" i="23"/>
  <c r="H267" i="23"/>
  <c r="H268" i="23"/>
  <c r="H269" i="23"/>
  <c r="H270" i="23"/>
  <c r="H271" i="23"/>
  <c r="H272" i="23"/>
  <c r="H273" i="23"/>
  <c r="H274" i="23"/>
  <c r="H275" i="23"/>
  <c r="H276" i="23"/>
  <c r="H277" i="23"/>
  <c r="H278" i="23"/>
  <c r="H279" i="23"/>
  <c r="H280" i="23"/>
  <c r="H281" i="23"/>
  <c r="H282" i="23"/>
  <c r="H283" i="23"/>
  <c r="H284" i="23"/>
  <c r="H285" i="23"/>
  <c r="H286" i="23"/>
  <c r="H287" i="23"/>
  <c r="H288" i="23"/>
  <c r="H289" i="23"/>
  <c r="H290" i="23"/>
  <c r="H291" i="23"/>
  <c r="H292" i="23"/>
  <c r="H293" i="23"/>
  <c r="H294" i="23"/>
  <c r="H295" i="23"/>
  <c r="H296" i="23"/>
  <c r="H297" i="23"/>
  <c r="H298" i="23"/>
  <c r="H299" i="23"/>
  <c r="H300" i="23"/>
  <c r="H301" i="23"/>
  <c r="H302" i="23"/>
  <c r="H303" i="23"/>
  <c r="H304" i="23"/>
  <c r="H305" i="23"/>
  <c r="H306" i="23"/>
  <c r="H307" i="23"/>
  <c r="H308" i="23"/>
  <c r="H309" i="23"/>
  <c r="H310" i="23"/>
  <c r="H311" i="23"/>
  <c r="H312" i="23"/>
  <c r="H313" i="23"/>
  <c r="H314" i="23"/>
  <c r="H315" i="23"/>
  <c r="H316" i="23"/>
  <c r="H317" i="23"/>
  <c r="H318" i="23"/>
  <c r="H319" i="23"/>
  <c r="H320" i="23"/>
  <c r="H321" i="23"/>
  <c r="H322" i="23"/>
  <c r="H323" i="23"/>
  <c r="H324" i="23"/>
  <c r="H325" i="23"/>
  <c r="H326" i="23"/>
  <c r="H327" i="23"/>
  <c r="H328" i="23"/>
  <c r="H329" i="23"/>
  <c r="H330" i="23"/>
  <c r="H331" i="23"/>
  <c r="H332" i="23"/>
  <c r="H333" i="23"/>
  <c r="H334" i="23"/>
  <c r="H335" i="23"/>
  <c r="H336" i="23"/>
  <c r="H337" i="23"/>
  <c r="H338" i="23"/>
  <c r="H339" i="23"/>
  <c r="H340" i="23"/>
  <c r="H341" i="23"/>
  <c r="H342" i="23"/>
  <c r="H343" i="23"/>
  <c r="H344" i="23"/>
  <c r="H345" i="23"/>
  <c r="H346" i="23"/>
  <c r="H347" i="23"/>
  <c r="H348" i="23"/>
  <c r="H349" i="23"/>
  <c r="H350" i="23"/>
  <c r="H351" i="23"/>
  <c r="H352" i="23"/>
  <c r="H353" i="23"/>
  <c r="H354" i="23"/>
  <c r="H355" i="23"/>
  <c r="H356" i="23"/>
  <c r="H357" i="23"/>
  <c r="H358" i="23"/>
  <c r="H359" i="23"/>
  <c r="H360" i="23"/>
  <c r="H361" i="23"/>
  <c r="H362" i="23"/>
  <c r="H363" i="23"/>
  <c r="H364" i="23"/>
  <c r="H365" i="23"/>
  <c r="H366" i="23"/>
  <c r="H367" i="23"/>
  <c r="H368" i="23"/>
  <c r="H369" i="23"/>
  <c r="H370" i="23"/>
  <c r="H371" i="23"/>
  <c r="H372" i="23"/>
  <c r="H373" i="23"/>
  <c r="H374" i="23"/>
  <c r="H375" i="23"/>
  <c r="H376" i="23"/>
  <c r="H377" i="23"/>
  <c r="H378" i="23"/>
  <c r="H379" i="23"/>
  <c r="H380" i="23"/>
  <c r="H381" i="23"/>
  <c r="H382" i="23"/>
  <c r="H383" i="23"/>
  <c r="H384" i="23"/>
  <c r="H385" i="23"/>
  <c r="H386" i="23"/>
  <c r="H387" i="23"/>
  <c r="H388" i="23"/>
  <c r="H389" i="23"/>
  <c r="H390" i="23"/>
  <c r="H391" i="23"/>
  <c r="H392" i="23"/>
  <c r="H393" i="23"/>
  <c r="H394" i="23"/>
  <c r="H395" i="23"/>
  <c r="H396" i="23"/>
  <c r="H397" i="23"/>
  <c r="H398" i="23"/>
  <c r="H399" i="23"/>
  <c r="H400" i="23"/>
  <c r="H401" i="23"/>
  <c r="H402" i="23"/>
  <c r="H403" i="23"/>
  <c r="H404" i="23"/>
  <c r="H405" i="23"/>
  <c r="H406" i="23"/>
  <c r="H407" i="23"/>
  <c r="H408" i="23"/>
  <c r="H409" i="23"/>
  <c r="H410" i="23"/>
  <c r="H411" i="23"/>
  <c r="H412" i="23"/>
  <c r="H413" i="23"/>
  <c r="H414" i="23"/>
  <c r="H415" i="23"/>
  <c r="H416" i="23"/>
  <c r="H417" i="23"/>
  <c r="H418" i="23"/>
  <c r="H419" i="23"/>
  <c r="H420" i="23"/>
  <c r="H421" i="23"/>
  <c r="H422" i="23"/>
  <c r="H423" i="23"/>
  <c r="H424" i="23"/>
  <c r="H425" i="23"/>
  <c r="H426" i="23"/>
  <c r="H427" i="23"/>
  <c r="H428" i="23"/>
  <c r="H429" i="23"/>
  <c r="H430" i="23"/>
  <c r="H431" i="23"/>
  <c r="H432" i="23"/>
  <c r="H433" i="23"/>
  <c r="H434" i="23"/>
  <c r="H435" i="23"/>
  <c r="H436" i="23"/>
  <c r="H437" i="23"/>
  <c r="H438" i="23"/>
  <c r="H439" i="23"/>
  <c r="H440" i="23"/>
  <c r="H441" i="23"/>
  <c r="H442" i="23"/>
  <c r="H443" i="23"/>
  <c r="H444" i="23"/>
  <c r="H445" i="23"/>
  <c r="H446" i="23"/>
  <c r="H447" i="23"/>
  <c r="H448" i="23"/>
  <c r="H449" i="23"/>
  <c r="H450" i="23"/>
  <c r="H451" i="23"/>
  <c r="H452" i="23"/>
  <c r="H453" i="23"/>
  <c r="H454" i="23"/>
  <c r="H455" i="23"/>
  <c r="H456" i="23"/>
  <c r="H457" i="23"/>
  <c r="H458" i="23"/>
  <c r="H459" i="23"/>
  <c r="H460" i="23"/>
  <c r="H461" i="23"/>
  <c r="H462" i="23"/>
  <c r="H463" i="23"/>
  <c r="H464" i="23"/>
  <c r="H465" i="23"/>
  <c r="H466" i="23"/>
  <c r="H467" i="23"/>
  <c r="H468" i="23"/>
  <c r="H469" i="23"/>
  <c r="H470" i="23"/>
  <c r="H471" i="23"/>
  <c r="H472" i="23"/>
  <c r="H473" i="23"/>
  <c r="H474" i="23"/>
  <c r="H475" i="23"/>
  <c r="H476" i="23"/>
  <c r="H477" i="23"/>
  <c r="H478" i="23"/>
  <c r="H479" i="23"/>
  <c r="H480" i="23"/>
  <c r="H481" i="23"/>
  <c r="H482" i="23"/>
  <c r="H483" i="23"/>
  <c r="H484" i="23"/>
  <c r="H485" i="23"/>
  <c r="H486" i="23"/>
  <c r="H487" i="23"/>
  <c r="H488" i="23"/>
  <c r="H489" i="23"/>
  <c r="H490" i="23"/>
  <c r="H491" i="23"/>
  <c r="H492" i="23"/>
  <c r="H493" i="23"/>
  <c r="H494" i="23"/>
  <c r="H495" i="23"/>
  <c r="H496" i="23"/>
  <c r="H497" i="23"/>
  <c r="H498" i="23"/>
  <c r="H499" i="23"/>
  <c r="H500" i="23"/>
  <c r="H501" i="23"/>
  <c r="H502" i="23"/>
  <c r="H503" i="23"/>
  <c r="H504" i="23"/>
  <c r="H505" i="23"/>
  <c r="H506" i="23"/>
  <c r="H507" i="23"/>
  <c r="H508" i="23"/>
  <c r="H509" i="23"/>
  <c r="H510" i="23"/>
  <c r="H511" i="23"/>
  <c r="H512" i="23"/>
  <c r="H513" i="23"/>
  <c r="H514" i="23"/>
  <c r="H515" i="23"/>
  <c r="H516" i="23"/>
  <c r="H517" i="23"/>
  <c r="H518" i="23"/>
  <c r="H519" i="23"/>
  <c r="H520" i="23"/>
  <c r="H521" i="23"/>
  <c r="H522" i="23"/>
  <c r="H523" i="23"/>
  <c r="H524" i="23"/>
  <c r="H525" i="23"/>
  <c r="H526" i="23"/>
  <c r="H527" i="23"/>
  <c r="H528" i="23"/>
  <c r="H529" i="23"/>
  <c r="H530" i="23"/>
  <c r="H531" i="23"/>
  <c r="H532" i="23"/>
  <c r="H533" i="23"/>
  <c r="H534" i="23"/>
  <c r="H535" i="23"/>
  <c r="H536" i="23"/>
  <c r="H537" i="23"/>
  <c r="H538" i="23"/>
  <c r="H539" i="23"/>
  <c r="H540" i="23"/>
  <c r="H541" i="23"/>
  <c r="H542" i="23"/>
  <c r="H543" i="23"/>
  <c r="H544" i="23"/>
  <c r="H545" i="23"/>
  <c r="H546" i="23"/>
  <c r="H547" i="23"/>
  <c r="H548" i="23"/>
  <c r="H549" i="23"/>
  <c r="H550" i="23"/>
  <c r="H551" i="23"/>
  <c r="H552" i="23"/>
  <c r="H553" i="23"/>
  <c r="H554" i="23"/>
  <c r="H555" i="23"/>
  <c r="H556" i="23"/>
  <c r="H557" i="23"/>
  <c r="H558" i="23"/>
  <c r="H559" i="23"/>
  <c r="H560" i="23"/>
  <c r="H561" i="23"/>
  <c r="H562" i="23"/>
  <c r="H563" i="23"/>
  <c r="H564" i="23"/>
  <c r="H565" i="23"/>
  <c r="H566" i="23"/>
  <c r="H567" i="23"/>
  <c r="H568" i="23"/>
  <c r="H569" i="23"/>
  <c r="H570" i="23"/>
  <c r="H571" i="23"/>
  <c r="H572" i="23"/>
  <c r="H573" i="23"/>
  <c r="H574" i="23"/>
  <c r="H575" i="23"/>
  <c r="H576" i="23"/>
  <c r="H577" i="23"/>
  <c r="H578" i="23"/>
  <c r="H579" i="23"/>
  <c r="H580" i="23"/>
  <c r="H581" i="23"/>
  <c r="H582" i="23"/>
  <c r="H583" i="23"/>
  <c r="H584" i="23"/>
  <c r="H585" i="23"/>
  <c r="H586" i="23"/>
  <c r="H587" i="23"/>
  <c r="H588" i="23"/>
  <c r="H589" i="23"/>
  <c r="H590" i="23"/>
  <c r="H591" i="23"/>
  <c r="H592" i="23"/>
  <c r="H593" i="23"/>
  <c r="H594" i="23"/>
  <c r="H595" i="23"/>
  <c r="H596" i="23"/>
  <c r="H597" i="23"/>
  <c r="H598" i="23"/>
  <c r="H599" i="23"/>
  <c r="H600" i="23"/>
  <c r="H601" i="23"/>
  <c r="H602" i="23"/>
  <c r="H603" i="23"/>
  <c r="H604" i="23"/>
  <c r="H605" i="23"/>
  <c r="H606" i="23"/>
  <c r="H607" i="23"/>
  <c r="H608" i="23"/>
  <c r="H609" i="23"/>
  <c r="H610" i="23"/>
  <c r="H611" i="23"/>
  <c r="H612" i="23"/>
  <c r="H613" i="23"/>
  <c r="H614" i="23"/>
  <c r="H615" i="23"/>
  <c r="H616" i="23"/>
  <c r="H617" i="23"/>
  <c r="H618" i="23"/>
  <c r="H619" i="23"/>
  <c r="H620" i="23"/>
  <c r="H621" i="23"/>
  <c r="H622" i="23"/>
  <c r="H623" i="23"/>
  <c r="H624" i="23"/>
  <c r="H625" i="23"/>
  <c r="H626" i="23"/>
  <c r="H627" i="23"/>
  <c r="H628" i="23"/>
  <c r="H629" i="23"/>
  <c r="H630" i="23"/>
  <c r="H631" i="23"/>
  <c r="H632" i="23"/>
  <c r="H633" i="23"/>
  <c r="H634" i="23"/>
  <c r="H635" i="23"/>
  <c r="H636" i="23"/>
  <c r="H637" i="23"/>
  <c r="H638" i="23"/>
  <c r="H639" i="23"/>
  <c r="H640" i="23"/>
  <c r="H641" i="23"/>
  <c r="H642" i="23"/>
  <c r="H643" i="23"/>
  <c r="H644" i="23"/>
  <c r="H645" i="23"/>
  <c r="H646" i="23"/>
  <c r="H647" i="23"/>
  <c r="H648" i="23"/>
  <c r="H649" i="23"/>
  <c r="H650" i="23"/>
  <c r="H651" i="23"/>
  <c r="H652" i="23"/>
  <c r="H653" i="23"/>
  <c r="H654" i="23"/>
  <c r="H655" i="23"/>
  <c r="H656" i="23"/>
  <c r="H657" i="23"/>
  <c r="H658" i="23"/>
  <c r="H659" i="23"/>
  <c r="H660" i="23"/>
  <c r="H661" i="23"/>
  <c r="H662" i="23"/>
  <c r="H663" i="23"/>
  <c r="H664" i="23"/>
  <c r="H665" i="23"/>
  <c r="H666" i="23"/>
  <c r="H667" i="23"/>
  <c r="H668" i="23"/>
  <c r="H669" i="23"/>
  <c r="H670" i="23"/>
  <c r="H671" i="23"/>
  <c r="H672" i="23"/>
  <c r="H673" i="23"/>
  <c r="H674" i="23"/>
  <c r="H675" i="23"/>
  <c r="H676" i="23"/>
  <c r="H677" i="23"/>
  <c r="H678" i="23"/>
  <c r="H679" i="23"/>
  <c r="H680" i="23"/>
  <c r="H681" i="23"/>
  <c r="H682" i="23"/>
  <c r="H683" i="23"/>
  <c r="H684" i="23"/>
  <c r="H685" i="23"/>
  <c r="H686" i="23"/>
  <c r="H687" i="23"/>
  <c r="H688" i="23"/>
  <c r="H689" i="23"/>
  <c r="H690" i="23"/>
  <c r="H691" i="23"/>
  <c r="H692" i="23"/>
  <c r="H693" i="23"/>
  <c r="H694" i="23"/>
  <c r="H695" i="23"/>
  <c r="H696" i="23"/>
  <c r="H697" i="23"/>
  <c r="H698" i="23"/>
  <c r="H699" i="23"/>
  <c r="H700" i="23"/>
  <c r="H701" i="23"/>
  <c r="H702" i="23"/>
  <c r="H703" i="23"/>
  <c r="H704" i="23"/>
  <c r="H705" i="23"/>
  <c r="H706" i="23"/>
  <c r="H707" i="23"/>
  <c r="H708" i="23"/>
  <c r="H709" i="23"/>
  <c r="H710" i="23"/>
  <c r="H711" i="23"/>
  <c r="H712" i="23"/>
  <c r="H713" i="23"/>
  <c r="H714" i="23"/>
  <c r="H715" i="23"/>
  <c r="H716" i="23"/>
  <c r="H717" i="23"/>
  <c r="H718" i="23"/>
  <c r="H719" i="23"/>
  <c r="H720" i="23"/>
  <c r="H721" i="23"/>
  <c r="H722" i="23"/>
  <c r="H723" i="23"/>
  <c r="H724" i="23"/>
  <c r="H725" i="23"/>
  <c r="H726" i="23"/>
  <c r="H727" i="23"/>
  <c r="H728" i="23"/>
  <c r="H729" i="23"/>
  <c r="H730" i="23"/>
  <c r="H731" i="23"/>
  <c r="H732" i="23"/>
  <c r="H733" i="23"/>
  <c r="H734" i="23"/>
  <c r="H735" i="23"/>
  <c r="H736" i="23"/>
  <c r="H737" i="23"/>
  <c r="H738" i="23"/>
  <c r="H739" i="23"/>
  <c r="H740" i="23"/>
  <c r="H741" i="23"/>
  <c r="H742" i="23"/>
  <c r="H743" i="23"/>
  <c r="H744" i="23"/>
  <c r="H745" i="23"/>
  <c r="H746" i="23"/>
  <c r="H747" i="23"/>
  <c r="H748" i="23"/>
  <c r="H749" i="23"/>
  <c r="H750" i="23"/>
  <c r="H751" i="23"/>
  <c r="H752" i="23"/>
  <c r="H753" i="23"/>
  <c r="H754" i="23"/>
  <c r="H755" i="23"/>
  <c r="H756" i="23"/>
  <c r="H757" i="23"/>
  <c r="H758" i="23"/>
  <c r="H759" i="23"/>
  <c r="H760" i="23"/>
  <c r="H761" i="23"/>
  <c r="H762" i="23"/>
  <c r="H763" i="23"/>
  <c r="H764" i="23"/>
  <c r="H765" i="23"/>
  <c r="H766" i="23"/>
  <c r="H767" i="23"/>
  <c r="H768" i="23"/>
  <c r="H769" i="23"/>
  <c r="H770" i="23"/>
  <c r="H771" i="23"/>
  <c r="H772" i="23"/>
  <c r="H773" i="23"/>
  <c r="H774" i="23"/>
  <c r="H775" i="23"/>
  <c r="H776" i="23"/>
  <c r="H777" i="23"/>
  <c r="H778" i="23"/>
  <c r="H779" i="23"/>
  <c r="H780" i="23"/>
  <c r="H781" i="23"/>
  <c r="H782" i="23"/>
  <c r="H783" i="23"/>
  <c r="H784" i="23"/>
  <c r="H785" i="23"/>
  <c r="H786" i="23"/>
  <c r="H787" i="23"/>
  <c r="H788" i="23"/>
  <c r="H789" i="23"/>
  <c r="H790" i="23"/>
  <c r="H791" i="23"/>
  <c r="H792" i="23"/>
  <c r="H793" i="23"/>
  <c r="H794" i="23"/>
  <c r="H795" i="23"/>
  <c r="H796" i="23"/>
  <c r="H797" i="23"/>
  <c r="H798" i="23"/>
  <c r="H799" i="23"/>
  <c r="H800" i="23"/>
  <c r="H801" i="23"/>
  <c r="H802" i="23"/>
  <c r="H803" i="23"/>
  <c r="H804" i="23"/>
  <c r="H805" i="23"/>
  <c r="H806" i="23"/>
  <c r="H807" i="23"/>
  <c r="H808" i="23"/>
  <c r="H809" i="23"/>
  <c r="H810" i="23"/>
  <c r="H811" i="23"/>
  <c r="H812" i="23"/>
  <c r="H813" i="23"/>
  <c r="H814" i="23"/>
  <c r="H815" i="23"/>
  <c r="H816" i="23"/>
  <c r="H817" i="23"/>
  <c r="H818" i="23"/>
  <c r="H819" i="23"/>
  <c r="H820" i="23"/>
  <c r="H821" i="23"/>
  <c r="H822" i="23"/>
  <c r="H823" i="23"/>
  <c r="H824" i="23"/>
  <c r="H825" i="23"/>
  <c r="H826" i="23"/>
  <c r="H827" i="23"/>
  <c r="H828" i="23"/>
  <c r="H829" i="23"/>
  <c r="H830" i="23"/>
  <c r="H831" i="23"/>
  <c r="H832" i="23"/>
  <c r="H833" i="23"/>
  <c r="H834" i="23"/>
  <c r="H835" i="23"/>
  <c r="H836" i="23"/>
  <c r="H837" i="23"/>
  <c r="H838" i="23"/>
  <c r="H839" i="23"/>
  <c r="H840" i="23"/>
  <c r="H841" i="23"/>
  <c r="H842" i="23"/>
  <c r="H843" i="23"/>
  <c r="H844" i="23"/>
  <c r="H845" i="23"/>
  <c r="H846" i="23"/>
  <c r="H847" i="23"/>
  <c r="H848" i="23"/>
  <c r="H849" i="23"/>
  <c r="H850" i="23"/>
  <c r="H851" i="23"/>
  <c r="H852" i="23"/>
  <c r="H853" i="23"/>
  <c r="H854" i="23"/>
  <c r="H855" i="23"/>
  <c r="H856" i="23"/>
  <c r="H857" i="23"/>
  <c r="H858" i="23"/>
  <c r="H859" i="23"/>
  <c r="H860" i="23"/>
  <c r="H861" i="23"/>
  <c r="H862" i="23"/>
  <c r="H863" i="23"/>
  <c r="H864" i="23"/>
  <c r="H865" i="23"/>
  <c r="H866" i="23"/>
  <c r="H867" i="23"/>
  <c r="H868" i="23"/>
  <c r="H869" i="23"/>
  <c r="H870" i="23"/>
  <c r="H871" i="23"/>
  <c r="H872" i="23"/>
  <c r="H873" i="23"/>
  <c r="H874" i="23"/>
  <c r="H875" i="23"/>
  <c r="H876" i="23"/>
  <c r="H877" i="23"/>
  <c r="H878" i="23"/>
  <c r="H879" i="23"/>
  <c r="H880" i="23"/>
  <c r="H881" i="23"/>
  <c r="H882" i="23"/>
  <c r="H883" i="23"/>
  <c r="H884" i="23"/>
  <c r="H885" i="23"/>
  <c r="H886" i="23"/>
  <c r="H887" i="23"/>
  <c r="H888" i="23"/>
  <c r="H889" i="23"/>
  <c r="H890" i="23"/>
  <c r="H891" i="23"/>
  <c r="H892" i="23"/>
  <c r="H893" i="23"/>
  <c r="H894" i="23"/>
  <c r="H895" i="23"/>
  <c r="H896" i="23"/>
  <c r="H897" i="23"/>
  <c r="H898" i="23"/>
  <c r="H899" i="23"/>
  <c r="H900" i="23"/>
  <c r="H901" i="23"/>
  <c r="H902" i="23"/>
  <c r="H903" i="23"/>
  <c r="H904" i="23"/>
  <c r="H905" i="23"/>
  <c r="H906" i="23"/>
  <c r="H907" i="23"/>
  <c r="H908" i="23"/>
  <c r="H909" i="23"/>
  <c r="H910" i="23"/>
  <c r="H911" i="23"/>
  <c r="H912" i="23"/>
  <c r="H913" i="23"/>
  <c r="H914" i="23"/>
  <c r="H915" i="23"/>
  <c r="H916" i="23"/>
  <c r="H917" i="23"/>
  <c r="H918" i="23"/>
  <c r="H919" i="23"/>
  <c r="H920" i="23"/>
  <c r="H921" i="23"/>
  <c r="H922" i="23"/>
  <c r="H923" i="23"/>
  <c r="H924" i="23"/>
  <c r="H925" i="23"/>
  <c r="H926" i="23"/>
  <c r="H927" i="23"/>
  <c r="H928" i="23"/>
  <c r="H929" i="23"/>
  <c r="H930" i="23"/>
  <c r="H931" i="23"/>
  <c r="H932" i="23"/>
  <c r="H933" i="23"/>
  <c r="H934" i="23"/>
  <c r="H935" i="23"/>
  <c r="H936" i="23"/>
  <c r="H937" i="23"/>
  <c r="H938" i="23"/>
  <c r="H939" i="23"/>
  <c r="H940" i="23"/>
  <c r="H941" i="23"/>
  <c r="H942" i="23"/>
  <c r="H943" i="23"/>
  <c r="H944" i="23"/>
  <c r="H945" i="23"/>
  <c r="H946" i="23"/>
  <c r="H947" i="23"/>
  <c r="H948" i="23"/>
  <c r="H949" i="23"/>
  <c r="H950" i="23"/>
  <c r="H951" i="23"/>
  <c r="H952" i="23"/>
  <c r="H953" i="23"/>
  <c r="H954" i="23"/>
  <c r="H955" i="23"/>
  <c r="H956" i="23"/>
  <c r="H957" i="23"/>
  <c r="H958" i="23"/>
  <c r="H959" i="23"/>
  <c r="H960" i="23"/>
  <c r="H961" i="23"/>
  <c r="H962" i="23"/>
  <c r="H963" i="23"/>
  <c r="H964" i="23"/>
  <c r="H965" i="23"/>
  <c r="H966" i="23"/>
  <c r="H967" i="23"/>
  <c r="H968" i="23"/>
  <c r="H969" i="23"/>
  <c r="H970" i="23"/>
  <c r="H971" i="23"/>
  <c r="H972" i="23"/>
  <c r="H973" i="23"/>
  <c r="H974" i="23"/>
  <c r="H975" i="23"/>
  <c r="H976" i="23"/>
  <c r="H977" i="23"/>
  <c r="H978" i="23"/>
  <c r="H979" i="23"/>
  <c r="H980" i="23"/>
  <c r="H981" i="23"/>
  <c r="H982" i="23"/>
  <c r="H983" i="23"/>
  <c r="H984" i="23"/>
  <c r="H985" i="23"/>
  <c r="H986" i="23"/>
  <c r="H987" i="23"/>
  <c r="H988" i="23"/>
  <c r="H989" i="23"/>
  <c r="H990" i="23"/>
  <c r="H991" i="23"/>
  <c r="H992" i="23"/>
  <c r="H993" i="23"/>
  <c r="H994" i="23"/>
  <c r="H995" i="23"/>
  <c r="H996" i="23"/>
  <c r="H997" i="23"/>
  <c r="H998" i="23"/>
  <c r="H999" i="23"/>
  <c r="H1000" i="23"/>
  <c r="H1001" i="23"/>
  <c r="H1002" i="23"/>
  <c r="H1003" i="23"/>
  <c r="H1004" i="23"/>
  <c r="H1005" i="23"/>
  <c r="H1006" i="23"/>
  <c r="H1007" i="23"/>
  <c r="H1008" i="23"/>
  <c r="H1009" i="23"/>
  <c r="H1010" i="23"/>
  <c r="H1011" i="23"/>
  <c r="H1012" i="23"/>
  <c r="H1013" i="23"/>
  <c r="H1014" i="23"/>
  <c r="H1015" i="23"/>
  <c r="H1016" i="23"/>
  <c r="H1017" i="23"/>
  <c r="H1018" i="23"/>
  <c r="H1019" i="23"/>
  <c r="H1020" i="23"/>
  <c r="H1021" i="23"/>
  <c r="H1022" i="23"/>
  <c r="H1023" i="23"/>
  <c r="H1024" i="23"/>
  <c r="H1025" i="23"/>
  <c r="H1026" i="23"/>
  <c r="H1027" i="23"/>
  <c r="H1028" i="23"/>
  <c r="H1029" i="23"/>
  <c r="H1030" i="23"/>
  <c r="H1031" i="23"/>
  <c r="H1032" i="23"/>
  <c r="H1033" i="23"/>
  <c r="H1034" i="23"/>
  <c r="H1035" i="23"/>
  <c r="H1036" i="23"/>
  <c r="H1037" i="23"/>
  <c r="H1038" i="23"/>
  <c r="H1039" i="23"/>
  <c r="H1040" i="23"/>
  <c r="H1041" i="23"/>
  <c r="H1042" i="23"/>
  <c r="H1043" i="23"/>
  <c r="H1044" i="23"/>
  <c r="H1045" i="23"/>
  <c r="H1046" i="23"/>
  <c r="H1047" i="23"/>
  <c r="H1048" i="23"/>
  <c r="H1049" i="23"/>
  <c r="H1050" i="23"/>
  <c r="H1051" i="23"/>
  <c r="H1052" i="23"/>
  <c r="H1053" i="23"/>
  <c r="H1054" i="23"/>
  <c r="H1055" i="23"/>
  <c r="H1056" i="23"/>
  <c r="H1057" i="23"/>
  <c r="H1058" i="23"/>
  <c r="H1059" i="23"/>
  <c r="H1060" i="23"/>
  <c r="H1061" i="23"/>
  <c r="H1062" i="23"/>
  <c r="H1063" i="23"/>
  <c r="H1064" i="23"/>
  <c r="H1065" i="23"/>
  <c r="H1066" i="23"/>
  <c r="H1067" i="23"/>
  <c r="H1068" i="23"/>
  <c r="H1069" i="23"/>
  <c r="H1070" i="23"/>
  <c r="H1071" i="23"/>
  <c r="H1072" i="23"/>
  <c r="H1073" i="23"/>
  <c r="H1074" i="23"/>
  <c r="H1075" i="23"/>
  <c r="H1076" i="23"/>
  <c r="H1077" i="23"/>
  <c r="H1078" i="23"/>
  <c r="H1079" i="23"/>
  <c r="H1080" i="23"/>
  <c r="H1081" i="23"/>
  <c r="H1082" i="23"/>
  <c r="H1083" i="23"/>
  <c r="H1084" i="23"/>
  <c r="H1085" i="23"/>
  <c r="H1086" i="23"/>
  <c r="H1087" i="23"/>
  <c r="H1088" i="23"/>
  <c r="H1089" i="23"/>
  <c r="H1090" i="23"/>
  <c r="H1091" i="23"/>
  <c r="H1092" i="23"/>
  <c r="H1093" i="23"/>
  <c r="H1094" i="23"/>
  <c r="H1095" i="23"/>
  <c r="H1096" i="23"/>
  <c r="H1097" i="23"/>
  <c r="H1098" i="23"/>
  <c r="H1099" i="23"/>
  <c r="H1100" i="23"/>
  <c r="H1101" i="23"/>
  <c r="H1102" i="23"/>
  <c r="H1103" i="23"/>
  <c r="H1104" i="23"/>
  <c r="H1105" i="23"/>
  <c r="H1106" i="23"/>
  <c r="H1107" i="23"/>
  <c r="H1108" i="23"/>
  <c r="H1109" i="23"/>
  <c r="H1110" i="23"/>
  <c r="H1111" i="23"/>
  <c r="H1112" i="23"/>
  <c r="H1113" i="23"/>
  <c r="H1114" i="23"/>
  <c r="H1115" i="23"/>
  <c r="H1116" i="23"/>
  <c r="H1117" i="23"/>
  <c r="H1118" i="23"/>
  <c r="H1119" i="23"/>
  <c r="H1120" i="23"/>
  <c r="H1121" i="23"/>
  <c r="H1122" i="23"/>
  <c r="H1123" i="23"/>
  <c r="H1124" i="23"/>
  <c r="H1125" i="23"/>
  <c r="H1126" i="23"/>
  <c r="H1127" i="23"/>
  <c r="H1128" i="23"/>
  <c r="H1129" i="23"/>
  <c r="H1130" i="23"/>
  <c r="H1131" i="23"/>
  <c r="H1132" i="23"/>
  <c r="H1133" i="23"/>
  <c r="H1134" i="23"/>
  <c r="H1135" i="23"/>
  <c r="H1136" i="23"/>
  <c r="H1137" i="23"/>
  <c r="H1138" i="23"/>
  <c r="H1139" i="23"/>
  <c r="H1140" i="23"/>
  <c r="H1141" i="23"/>
  <c r="H1142" i="23"/>
  <c r="H1143" i="23"/>
  <c r="H1144" i="23"/>
  <c r="H1145" i="23"/>
  <c r="H1146" i="23"/>
  <c r="H1147" i="23"/>
  <c r="H1148" i="23"/>
  <c r="H1149" i="23"/>
  <c r="H1150" i="23"/>
  <c r="H1151" i="23"/>
  <c r="H1152" i="23"/>
  <c r="H1153" i="23"/>
  <c r="H1154" i="23"/>
  <c r="H1155" i="23"/>
  <c r="H1156" i="23"/>
  <c r="H1157" i="23"/>
  <c r="H1158" i="23"/>
  <c r="H1159" i="23"/>
  <c r="H1160" i="23"/>
  <c r="H1161" i="23"/>
  <c r="H1162" i="23"/>
  <c r="H1163" i="23"/>
  <c r="H1164" i="23"/>
  <c r="H1165" i="23"/>
  <c r="H1166" i="23"/>
  <c r="H1167" i="23"/>
  <c r="H1168" i="23"/>
  <c r="H1169" i="23"/>
  <c r="H1170" i="23"/>
  <c r="H1171" i="23"/>
  <c r="H1172" i="23"/>
  <c r="H1173" i="23"/>
  <c r="H1174" i="23"/>
  <c r="H1175" i="23"/>
  <c r="H1176" i="23"/>
  <c r="H1177" i="23"/>
  <c r="H1178" i="23"/>
  <c r="H1179" i="23"/>
  <c r="H1180" i="23"/>
  <c r="H1181" i="23"/>
  <c r="H1182" i="23"/>
  <c r="H1183" i="23"/>
  <c r="H1184" i="23"/>
  <c r="H1185" i="23"/>
  <c r="H1186" i="23"/>
  <c r="H1187" i="23"/>
  <c r="H1188" i="23"/>
  <c r="H1189" i="23"/>
  <c r="H1190" i="23"/>
  <c r="H1191" i="23"/>
  <c r="H1192" i="23"/>
  <c r="H1193" i="23"/>
  <c r="H1194" i="23"/>
  <c r="H1195" i="23"/>
  <c r="H1196" i="23"/>
  <c r="H1197" i="23"/>
  <c r="H1198" i="23"/>
  <c r="H1199" i="23"/>
  <c r="H1200" i="23"/>
  <c r="H1201" i="23"/>
  <c r="H1202" i="23"/>
  <c r="H1203" i="23"/>
  <c r="H1204" i="23"/>
  <c r="H1205" i="23"/>
  <c r="H1206" i="23"/>
  <c r="H1207" i="23"/>
  <c r="H1208" i="23"/>
  <c r="H1209" i="23"/>
  <c r="H1210" i="23"/>
  <c r="H1211" i="23"/>
  <c r="H1212" i="23"/>
  <c r="H1213" i="23"/>
  <c r="H1214" i="23"/>
  <c r="H1215" i="23"/>
  <c r="H1216" i="23"/>
  <c r="H1217" i="23"/>
  <c r="H1218" i="23"/>
  <c r="H1219" i="23"/>
  <c r="H1220" i="23"/>
  <c r="H1221" i="23"/>
  <c r="H1222" i="23"/>
  <c r="H1223" i="23"/>
  <c r="H1224" i="23"/>
  <c r="H1225" i="23"/>
  <c r="H1226" i="23"/>
  <c r="H1227" i="23"/>
  <c r="H1228" i="23"/>
  <c r="H1229" i="23"/>
  <c r="H1230" i="23"/>
  <c r="H1231" i="23"/>
  <c r="H1232" i="23"/>
  <c r="H1233" i="23"/>
  <c r="H1234" i="23"/>
  <c r="H1235" i="23"/>
  <c r="H1236" i="23"/>
  <c r="H1237" i="23"/>
  <c r="H1238" i="23"/>
  <c r="H1239" i="23"/>
  <c r="H1240" i="23"/>
  <c r="H1241" i="23"/>
  <c r="H1242" i="23"/>
  <c r="H1243" i="23"/>
  <c r="H1244" i="23"/>
  <c r="H1245" i="23"/>
  <c r="H1246" i="23"/>
  <c r="H1247" i="23"/>
  <c r="H1248" i="23"/>
  <c r="H1249" i="23"/>
  <c r="H1250" i="23"/>
  <c r="H1251" i="23"/>
  <c r="H1252" i="23"/>
  <c r="H1253" i="23"/>
  <c r="H1254" i="23"/>
  <c r="H1255" i="23"/>
  <c r="H1256" i="23"/>
  <c r="H1257" i="23"/>
  <c r="H1258" i="23"/>
  <c r="H1259" i="23"/>
  <c r="H1260" i="23"/>
  <c r="H1261" i="23"/>
  <c r="H1262" i="23"/>
  <c r="H1263" i="23"/>
  <c r="H1264" i="23"/>
  <c r="H1265" i="23"/>
  <c r="H1266" i="23"/>
  <c r="H1267" i="23"/>
  <c r="H1268" i="23"/>
  <c r="H1269" i="23"/>
  <c r="H1270" i="23"/>
  <c r="H1271" i="23"/>
  <c r="H1272" i="23"/>
  <c r="H1273" i="23"/>
  <c r="H1274" i="23"/>
  <c r="H1275" i="23"/>
  <c r="H1276" i="23"/>
  <c r="H1277" i="23"/>
  <c r="H1278" i="23"/>
  <c r="H1279" i="23"/>
  <c r="H1280" i="23"/>
  <c r="H1281" i="23"/>
  <c r="H1282" i="23"/>
  <c r="H1283" i="23"/>
  <c r="H1284" i="23"/>
  <c r="H1285" i="23"/>
  <c r="H1286" i="23"/>
  <c r="H1287" i="23"/>
  <c r="H1288" i="23"/>
  <c r="H1289" i="23"/>
  <c r="H1290" i="23"/>
  <c r="H1291" i="23"/>
  <c r="H1292" i="23"/>
  <c r="H1293" i="23"/>
  <c r="H1294" i="23"/>
  <c r="H1295" i="23"/>
  <c r="H1296" i="23"/>
  <c r="H1297" i="23"/>
  <c r="H1298" i="23"/>
  <c r="H1299" i="23"/>
  <c r="H1300" i="23"/>
  <c r="H1301" i="23"/>
  <c r="H1302" i="23"/>
  <c r="H1303" i="23"/>
  <c r="H1304" i="23"/>
  <c r="H1305" i="23"/>
  <c r="H1306" i="23"/>
  <c r="H1307" i="23"/>
  <c r="H1308" i="23"/>
  <c r="H1309" i="23"/>
  <c r="H1310" i="23"/>
  <c r="H1311" i="23"/>
  <c r="H1312" i="23"/>
  <c r="H1313" i="23"/>
  <c r="H1314" i="23"/>
  <c r="H1315" i="23"/>
  <c r="H1316" i="23"/>
  <c r="H1317" i="23"/>
  <c r="H1318" i="23"/>
  <c r="H1319" i="23"/>
  <c r="H1320" i="23"/>
  <c r="H1321" i="23"/>
  <c r="H1322" i="23"/>
  <c r="H1323" i="23"/>
  <c r="H1324" i="23"/>
  <c r="H1325" i="23"/>
  <c r="H1326" i="23"/>
  <c r="H1327" i="23"/>
  <c r="H1328" i="23"/>
  <c r="H1329" i="23"/>
  <c r="H1330" i="23"/>
  <c r="H1331" i="23"/>
  <c r="H1332" i="23"/>
  <c r="H1333" i="23"/>
  <c r="H1334" i="23"/>
  <c r="H1335" i="23"/>
  <c r="H1336" i="23"/>
  <c r="H1337" i="23"/>
  <c r="H1338" i="23"/>
  <c r="H1339" i="23"/>
  <c r="H1340" i="23"/>
  <c r="H1341" i="23"/>
  <c r="H1342" i="23"/>
  <c r="H1343" i="23"/>
  <c r="H1344" i="23"/>
  <c r="H1345" i="23"/>
  <c r="H1346" i="23"/>
  <c r="H1347" i="23"/>
  <c r="H1348" i="23"/>
  <c r="H1349" i="23"/>
  <c r="H1350" i="23"/>
  <c r="H1351" i="23"/>
  <c r="H1352" i="23"/>
  <c r="H1353" i="23"/>
  <c r="H1354" i="23"/>
  <c r="H1355" i="23"/>
  <c r="H1356" i="23"/>
  <c r="H1357" i="23"/>
  <c r="H1358" i="23"/>
  <c r="H1359" i="23"/>
  <c r="H1360" i="23"/>
  <c r="H1361" i="23"/>
  <c r="H1362" i="23"/>
  <c r="H1363" i="23"/>
  <c r="H1364" i="23"/>
  <c r="H1365" i="23"/>
  <c r="H1366" i="23"/>
  <c r="H1367" i="23"/>
  <c r="H1368" i="23"/>
  <c r="H1369" i="23"/>
  <c r="H1370" i="23"/>
  <c r="H1371" i="23"/>
  <c r="H1372" i="23"/>
  <c r="H1373" i="23"/>
  <c r="H1374" i="23"/>
  <c r="H1375" i="23"/>
  <c r="H1376" i="23"/>
  <c r="H1377" i="23"/>
  <c r="H1378" i="23"/>
  <c r="H1379" i="23"/>
  <c r="H1380" i="23"/>
  <c r="H1381" i="23"/>
  <c r="H1382" i="23"/>
  <c r="H1383" i="23"/>
  <c r="H1384" i="23"/>
  <c r="H1385" i="23"/>
  <c r="H1386" i="23"/>
  <c r="H1387" i="23"/>
  <c r="H1388" i="23"/>
  <c r="H1389" i="23"/>
  <c r="H1390" i="23"/>
  <c r="H1391" i="23"/>
  <c r="H1392" i="23"/>
  <c r="H1393" i="23"/>
  <c r="H1394" i="23"/>
  <c r="H1395" i="23"/>
  <c r="H1396" i="23"/>
  <c r="H1397" i="23"/>
  <c r="H1398" i="23"/>
  <c r="H1399" i="23"/>
  <c r="H1400" i="23"/>
  <c r="H1401" i="23"/>
  <c r="H1402" i="23"/>
  <c r="H1403" i="23"/>
  <c r="H1404" i="23"/>
  <c r="H1405" i="23"/>
  <c r="H1406" i="23"/>
  <c r="H1407" i="23"/>
  <c r="H1408" i="23"/>
  <c r="H1409" i="23"/>
  <c r="H1410" i="23"/>
  <c r="H1411" i="23"/>
  <c r="H1412" i="23"/>
  <c r="H1413" i="23"/>
  <c r="H1414" i="23"/>
  <c r="H1415" i="23"/>
  <c r="H1416" i="23"/>
  <c r="H1417" i="23"/>
  <c r="H1418" i="23"/>
  <c r="H1419" i="23"/>
  <c r="H1420" i="23"/>
  <c r="H1421" i="23"/>
  <c r="H1422" i="23"/>
  <c r="H1423" i="23"/>
  <c r="H1424" i="23"/>
  <c r="H1425" i="23"/>
  <c r="H1426" i="23"/>
  <c r="H1427" i="23"/>
  <c r="H1428" i="23"/>
  <c r="H1429" i="23"/>
  <c r="H1430" i="23"/>
  <c r="H1431" i="23"/>
  <c r="H1432" i="23"/>
  <c r="H1433" i="23"/>
  <c r="H1434" i="23"/>
  <c r="H1435" i="23"/>
  <c r="H1436" i="23"/>
  <c r="H1437" i="23"/>
  <c r="H1438" i="23"/>
  <c r="H1439" i="23"/>
  <c r="H1440" i="23"/>
  <c r="H1441" i="23"/>
  <c r="H1442" i="23"/>
  <c r="H1443" i="23"/>
  <c r="H1444" i="23"/>
  <c r="H1445" i="23"/>
  <c r="H1446" i="23"/>
  <c r="H1447" i="23"/>
  <c r="H1448" i="23"/>
  <c r="H1449" i="23"/>
  <c r="H1450" i="23"/>
  <c r="H1451" i="23"/>
  <c r="H1452" i="23"/>
  <c r="H1453" i="23"/>
  <c r="H1454" i="23"/>
  <c r="H1455" i="23"/>
  <c r="H1456" i="23"/>
  <c r="H1457" i="23"/>
  <c r="H1458" i="23"/>
  <c r="H1459" i="23"/>
  <c r="H1460" i="23"/>
  <c r="H1461" i="23"/>
  <c r="H1462" i="23"/>
  <c r="H1463" i="23"/>
  <c r="H1464" i="23"/>
  <c r="H1465" i="23"/>
  <c r="H1466" i="23"/>
  <c r="H1467" i="23"/>
  <c r="H1468" i="23"/>
  <c r="H1469" i="23"/>
  <c r="H1470" i="23"/>
  <c r="H1471" i="23"/>
  <c r="H1472" i="23"/>
  <c r="H1473" i="23"/>
  <c r="H1474" i="23"/>
  <c r="H1475" i="23"/>
  <c r="H1476" i="23"/>
  <c r="H1477" i="23"/>
  <c r="H1478" i="23"/>
  <c r="H1479" i="23"/>
  <c r="H1480" i="23"/>
  <c r="H1481" i="23"/>
  <c r="H1482" i="23"/>
  <c r="H1483" i="23"/>
  <c r="H1484" i="23"/>
  <c r="H1485" i="23"/>
  <c r="H1486" i="23"/>
  <c r="H1487" i="23"/>
  <c r="H1488" i="23"/>
  <c r="H1489" i="23"/>
  <c r="H1490" i="23"/>
  <c r="H1491" i="23"/>
  <c r="H1492" i="23"/>
  <c r="H1493" i="23"/>
  <c r="H1494" i="23"/>
  <c r="H1495" i="23"/>
  <c r="H1496" i="23"/>
  <c r="H1497" i="23"/>
  <c r="H1498" i="23"/>
  <c r="H1499" i="23"/>
  <c r="H1500" i="23"/>
  <c r="H1501" i="23"/>
  <c r="H1502" i="23"/>
  <c r="H1503" i="23"/>
  <c r="H1504" i="23"/>
  <c r="H1505" i="23"/>
  <c r="H1506" i="23"/>
  <c r="H1507" i="23"/>
  <c r="H1508" i="23"/>
  <c r="H1509" i="23"/>
  <c r="H1510" i="23"/>
  <c r="H1511" i="23"/>
  <c r="H1512" i="23"/>
  <c r="H1513" i="23"/>
  <c r="H1514" i="23"/>
  <c r="H1515" i="23"/>
  <c r="H1516" i="23"/>
  <c r="H1517" i="23"/>
  <c r="H1518" i="23"/>
  <c r="H1519" i="23"/>
  <c r="H1520" i="23"/>
  <c r="H1521" i="23"/>
  <c r="H1522" i="23"/>
  <c r="H1523" i="23"/>
  <c r="H1524" i="23"/>
  <c r="H1525" i="23"/>
  <c r="H1526" i="23"/>
  <c r="H1527" i="23"/>
  <c r="H1528" i="23"/>
  <c r="H1529" i="23"/>
  <c r="H1530" i="23"/>
  <c r="H1531" i="23"/>
  <c r="H1532" i="23"/>
  <c r="H1533" i="23"/>
  <c r="H1534" i="23"/>
  <c r="H1535" i="23"/>
  <c r="H1536" i="23"/>
  <c r="H1537" i="23"/>
  <c r="H1538" i="23"/>
  <c r="H1539" i="23"/>
  <c r="H1540" i="23"/>
  <c r="H1541" i="23"/>
  <c r="H1542" i="23"/>
  <c r="H1543" i="23"/>
  <c r="H1544" i="23"/>
  <c r="H1545" i="23"/>
  <c r="H1546" i="23"/>
  <c r="H1547" i="23"/>
  <c r="H1548" i="23"/>
  <c r="H1549" i="23"/>
  <c r="H1550" i="23"/>
  <c r="H1551" i="23"/>
  <c r="H1552" i="23"/>
  <c r="H1553" i="23"/>
  <c r="H1554" i="23"/>
  <c r="H1555" i="23"/>
  <c r="H1556" i="23"/>
  <c r="H1557" i="23"/>
  <c r="H1558" i="23"/>
  <c r="H1559" i="23"/>
  <c r="H1560" i="23"/>
  <c r="H1561" i="23"/>
  <c r="H1562" i="23"/>
  <c r="H1563" i="23"/>
  <c r="H1564" i="23"/>
  <c r="H1565" i="23"/>
  <c r="H1566" i="23"/>
  <c r="H1567" i="23"/>
  <c r="H1568" i="23"/>
  <c r="H1569" i="23"/>
  <c r="H1570" i="23"/>
  <c r="H1571" i="23"/>
  <c r="H1572" i="23"/>
  <c r="H1573" i="23"/>
  <c r="H1574" i="23"/>
  <c r="H1575" i="23"/>
  <c r="H1576" i="23"/>
  <c r="H1577" i="23"/>
  <c r="H1578" i="23"/>
  <c r="H1579" i="23"/>
  <c r="H1580" i="23"/>
  <c r="H1581" i="23"/>
  <c r="H1582" i="23"/>
  <c r="H1583" i="23"/>
  <c r="H1584" i="23"/>
  <c r="H1585" i="23"/>
  <c r="H1586" i="23"/>
  <c r="H1587" i="23"/>
  <c r="H1588" i="23"/>
  <c r="H1589" i="23"/>
  <c r="H1590" i="23"/>
  <c r="H1591" i="23"/>
  <c r="H1592" i="23"/>
  <c r="H1593" i="23"/>
  <c r="H1594" i="23"/>
  <c r="H1595" i="23"/>
  <c r="H1596" i="23"/>
  <c r="H1597" i="23"/>
  <c r="H1598" i="23"/>
  <c r="H1599" i="23"/>
  <c r="H1600" i="23"/>
  <c r="H1601" i="23"/>
  <c r="H1602" i="23"/>
  <c r="H1603" i="23"/>
  <c r="H1604" i="23"/>
  <c r="H1605" i="23"/>
  <c r="H1606" i="23"/>
  <c r="H1607" i="23"/>
  <c r="H1608" i="23"/>
  <c r="H1609" i="23"/>
  <c r="H1610" i="23"/>
  <c r="H1611" i="23"/>
  <c r="H1612" i="23"/>
  <c r="H1613" i="23"/>
  <c r="H1614" i="23"/>
  <c r="H1615" i="23"/>
  <c r="H1616" i="23"/>
  <c r="H1617" i="23"/>
  <c r="H1618" i="23"/>
  <c r="H1619" i="23"/>
  <c r="H1620" i="23"/>
  <c r="H1621" i="23"/>
  <c r="H1622" i="23"/>
  <c r="H1623" i="23"/>
  <c r="H1624" i="23"/>
  <c r="H1625" i="23"/>
  <c r="H1626" i="23"/>
  <c r="H1627" i="23"/>
  <c r="H1628" i="23"/>
  <c r="H1629" i="23"/>
  <c r="H1630" i="23"/>
  <c r="H1631" i="23"/>
  <c r="H1632" i="23"/>
  <c r="H1633" i="23"/>
  <c r="H1634" i="23"/>
  <c r="H1635" i="23"/>
  <c r="H1636" i="23"/>
  <c r="H1637" i="23"/>
  <c r="H1638" i="23"/>
  <c r="H1639" i="23"/>
  <c r="H1640" i="23"/>
  <c r="H1641" i="23"/>
  <c r="H1642" i="23"/>
  <c r="H1643" i="23"/>
  <c r="H1644" i="23"/>
  <c r="H1645" i="23"/>
  <c r="H1646" i="23"/>
  <c r="H1647" i="23"/>
  <c r="H1648" i="23"/>
  <c r="H1649" i="23"/>
  <c r="H1650" i="23"/>
  <c r="H1651" i="23"/>
  <c r="H1652" i="23"/>
  <c r="H1653" i="23"/>
  <c r="H1654" i="23"/>
  <c r="H1655" i="23"/>
  <c r="H1656" i="23"/>
  <c r="H1657" i="23"/>
  <c r="H1658" i="23"/>
  <c r="H1659" i="23"/>
  <c r="H1660" i="23"/>
  <c r="H1661" i="23"/>
  <c r="H1662" i="23"/>
  <c r="H1663" i="23"/>
  <c r="H1664" i="23"/>
  <c r="H1665" i="23"/>
  <c r="H1666" i="23"/>
  <c r="H1667" i="23"/>
  <c r="H1668" i="23"/>
  <c r="H1669" i="23"/>
  <c r="H1670" i="23"/>
  <c r="H1671" i="23"/>
  <c r="H1672" i="23"/>
  <c r="H1673" i="23"/>
  <c r="H1674" i="23"/>
  <c r="H1675" i="23"/>
  <c r="H1676" i="23"/>
  <c r="H1677" i="23"/>
  <c r="H1678" i="23"/>
  <c r="H1679" i="23"/>
  <c r="H1680" i="23"/>
  <c r="H1681" i="23"/>
  <c r="H1682" i="23"/>
  <c r="H1683" i="23"/>
  <c r="H1684" i="23"/>
  <c r="H1685" i="23"/>
  <c r="H1686" i="23"/>
  <c r="H1687" i="23"/>
  <c r="H1688" i="23"/>
  <c r="H1689" i="23"/>
  <c r="H1690" i="23"/>
  <c r="H1691" i="23"/>
  <c r="H1692" i="23"/>
  <c r="H1693" i="23"/>
  <c r="H1694" i="23"/>
  <c r="H1695" i="23"/>
  <c r="H1696" i="23"/>
  <c r="H1697" i="23"/>
  <c r="H1698" i="23"/>
  <c r="H1699" i="23"/>
  <c r="H1700" i="23"/>
  <c r="H1701" i="23"/>
  <c r="H1702" i="23"/>
  <c r="H1703" i="23"/>
  <c r="H1704" i="23"/>
  <c r="H1705" i="23"/>
  <c r="H1706" i="23"/>
  <c r="H1707" i="23"/>
  <c r="H1708" i="23"/>
  <c r="H1709" i="23"/>
  <c r="H1710" i="23"/>
  <c r="H1711" i="23"/>
  <c r="H1712" i="23"/>
  <c r="H1713" i="23"/>
  <c r="H1714" i="23"/>
  <c r="H1715" i="23"/>
  <c r="H1716" i="23"/>
  <c r="H1717" i="23"/>
  <c r="H1718" i="23"/>
  <c r="H1719" i="23"/>
  <c r="H1720" i="23"/>
  <c r="H1721" i="23"/>
  <c r="H1722" i="23"/>
  <c r="H1723" i="23"/>
  <c r="H1724" i="23"/>
  <c r="H1725" i="23"/>
  <c r="H1726" i="23"/>
  <c r="H1727" i="23"/>
  <c r="H1728" i="23"/>
  <c r="H1729" i="23"/>
  <c r="H1730" i="23"/>
  <c r="H1731" i="23"/>
  <c r="H1732" i="23"/>
  <c r="H1733" i="23"/>
  <c r="H1734" i="23"/>
  <c r="H1735" i="23"/>
  <c r="H1736" i="23"/>
  <c r="H1737" i="23"/>
  <c r="H1738" i="23"/>
  <c r="H1739" i="23"/>
  <c r="H1740" i="23"/>
  <c r="H1741" i="23"/>
  <c r="H1742" i="23"/>
  <c r="H1743" i="23"/>
  <c r="H1744" i="23"/>
  <c r="H1745" i="23"/>
  <c r="H1746" i="23"/>
  <c r="H1747" i="23"/>
  <c r="H1748" i="23"/>
  <c r="H1749" i="23"/>
  <c r="H1750" i="23"/>
  <c r="H1751" i="23"/>
  <c r="H1752" i="23"/>
  <c r="H1753" i="23"/>
  <c r="H1754" i="23"/>
  <c r="H1755" i="23"/>
  <c r="H1756" i="23"/>
  <c r="H1757" i="23"/>
  <c r="H1758" i="23"/>
  <c r="H1759" i="23"/>
  <c r="H1760" i="23"/>
  <c r="H1761" i="23"/>
  <c r="H1762" i="23"/>
  <c r="H1763" i="23"/>
  <c r="H1764" i="23"/>
  <c r="H1765" i="23"/>
  <c r="H1766" i="23"/>
  <c r="H1767" i="23"/>
  <c r="H1768" i="23"/>
  <c r="H1769" i="23"/>
  <c r="H1770" i="23"/>
  <c r="H1771" i="23"/>
  <c r="H1772" i="23"/>
  <c r="H1773" i="23"/>
  <c r="H1774" i="23"/>
  <c r="H1775" i="23"/>
  <c r="H1776" i="23"/>
  <c r="H1777" i="23"/>
  <c r="H1778" i="23"/>
  <c r="H1779" i="23"/>
  <c r="H1780" i="23"/>
  <c r="H1781" i="23"/>
  <c r="H1782" i="23"/>
  <c r="H1783" i="23"/>
  <c r="H1784" i="23"/>
  <c r="H1785" i="23"/>
  <c r="H1786" i="23"/>
  <c r="H1787" i="23"/>
  <c r="H1788" i="23"/>
  <c r="H1789" i="23"/>
  <c r="H1790" i="23"/>
  <c r="H1791" i="23"/>
  <c r="H1792" i="23"/>
  <c r="H1793" i="23"/>
  <c r="H1794" i="23"/>
  <c r="H1795" i="23"/>
  <c r="H1796" i="23"/>
  <c r="H1797" i="23"/>
  <c r="H1798" i="23"/>
  <c r="H1799" i="23"/>
  <c r="H1800" i="23"/>
  <c r="H1801" i="23"/>
  <c r="H1802" i="23"/>
  <c r="H1803" i="23"/>
  <c r="H1804" i="23"/>
  <c r="H1805" i="23"/>
  <c r="H1806" i="23"/>
  <c r="H1807" i="23"/>
  <c r="H1808" i="23"/>
  <c r="H1809" i="23"/>
  <c r="H1810" i="23"/>
  <c r="H1811" i="23"/>
  <c r="H1812" i="23"/>
  <c r="H1813" i="23"/>
  <c r="H1814" i="23"/>
  <c r="H1815" i="23"/>
  <c r="H1816" i="23"/>
  <c r="H1817" i="23"/>
  <c r="H1818" i="23"/>
  <c r="H1819" i="23"/>
  <c r="H1820" i="23"/>
  <c r="H1821" i="23"/>
  <c r="H1822" i="23"/>
  <c r="H1823" i="23"/>
  <c r="H1824" i="23"/>
  <c r="H1825" i="23"/>
  <c r="H1826" i="23"/>
  <c r="H1827" i="23"/>
  <c r="H1828" i="23"/>
  <c r="H1829" i="23"/>
  <c r="H1830" i="23"/>
  <c r="H1831" i="23"/>
  <c r="H1832" i="23"/>
  <c r="H1833" i="23"/>
  <c r="H1834" i="23"/>
  <c r="H1835" i="23"/>
  <c r="H1836" i="23"/>
  <c r="H1837" i="23"/>
  <c r="H1838" i="23"/>
  <c r="H1839" i="23"/>
  <c r="H1840" i="23"/>
  <c r="H1841" i="23"/>
  <c r="H1842" i="23"/>
  <c r="H1843" i="23"/>
  <c r="H1844" i="23"/>
  <c r="H1845" i="23"/>
  <c r="H1846" i="23"/>
  <c r="H1847" i="23"/>
  <c r="H1848" i="23"/>
  <c r="H1849" i="23"/>
  <c r="H1850" i="23"/>
  <c r="H1851" i="23"/>
  <c r="H1852" i="23"/>
  <c r="H1853" i="23"/>
  <c r="H1854" i="23"/>
  <c r="H1855" i="23"/>
  <c r="H1856" i="23"/>
  <c r="H1857" i="23"/>
  <c r="H1858" i="23"/>
  <c r="H1859" i="23"/>
  <c r="H1860" i="23"/>
  <c r="H1861" i="23"/>
  <c r="H1862" i="23"/>
  <c r="H1863" i="23"/>
  <c r="H1864" i="23"/>
  <c r="H1865" i="23"/>
  <c r="H1866" i="23"/>
  <c r="H1867" i="23"/>
  <c r="H1868" i="23"/>
  <c r="H1869" i="23"/>
  <c r="H1870" i="23"/>
  <c r="H1871" i="23"/>
  <c r="H1872" i="23"/>
  <c r="H1873" i="23"/>
  <c r="H1874" i="23"/>
  <c r="H1875" i="23"/>
  <c r="H1876" i="23"/>
  <c r="H1877" i="23"/>
  <c r="H1878" i="23"/>
  <c r="H1879" i="23"/>
  <c r="H1880" i="23"/>
  <c r="H1881" i="23"/>
  <c r="H1882" i="23"/>
  <c r="H1883" i="23"/>
  <c r="H1884" i="23"/>
  <c r="H1885" i="23"/>
  <c r="H1886" i="23"/>
  <c r="H1887" i="23"/>
  <c r="H1888" i="23"/>
  <c r="H1889" i="23"/>
  <c r="H1890" i="23"/>
  <c r="H1891" i="23"/>
  <c r="H1892" i="23"/>
  <c r="H1893" i="23"/>
  <c r="H1894" i="23"/>
  <c r="H1895" i="23"/>
  <c r="H1896" i="23"/>
  <c r="H1897" i="23"/>
  <c r="H1898" i="23"/>
  <c r="H1899" i="23"/>
  <c r="H1900" i="23"/>
  <c r="H1901" i="23"/>
  <c r="H1902" i="23"/>
  <c r="H1903" i="23"/>
  <c r="H1904" i="23"/>
  <c r="H1905" i="23"/>
  <c r="H1906" i="23"/>
  <c r="H1907" i="23"/>
  <c r="H1908" i="23"/>
  <c r="H1909" i="23"/>
  <c r="H1910" i="23"/>
  <c r="H1911" i="23"/>
  <c r="H1912" i="23"/>
  <c r="H1913" i="23"/>
  <c r="H1914" i="23"/>
  <c r="H1915" i="23"/>
  <c r="H1916" i="23"/>
  <c r="H1917" i="23"/>
  <c r="H1918" i="23"/>
  <c r="H1919" i="23"/>
  <c r="H1920" i="23"/>
  <c r="H1921" i="23"/>
  <c r="H1922" i="23"/>
  <c r="H1923" i="23"/>
  <c r="H1924" i="23"/>
  <c r="H1925" i="23"/>
  <c r="H1926" i="23"/>
  <c r="H1927" i="23"/>
  <c r="H1928" i="23"/>
  <c r="H1929" i="23"/>
  <c r="H1930" i="23"/>
  <c r="H1931" i="23"/>
  <c r="H1932" i="23"/>
  <c r="H1933" i="23"/>
  <c r="H1934" i="23"/>
  <c r="H1935" i="23"/>
  <c r="H1936" i="23"/>
  <c r="H1937" i="23"/>
  <c r="H1938" i="23"/>
  <c r="H1939" i="23"/>
  <c r="H1940" i="23"/>
  <c r="H1941" i="23"/>
  <c r="H1942" i="23"/>
  <c r="H1943" i="23"/>
  <c r="H1944" i="23"/>
  <c r="H1945" i="23"/>
  <c r="H1946" i="23"/>
  <c r="H1947" i="23"/>
  <c r="H1948" i="23"/>
  <c r="H1949" i="23"/>
  <c r="H1950" i="23"/>
  <c r="H1951" i="23"/>
  <c r="H1952" i="23"/>
  <c r="H1953" i="23"/>
  <c r="H1954" i="23"/>
  <c r="H1955" i="23"/>
  <c r="H1956" i="23"/>
  <c r="H1957" i="23"/>
  <c r="H1958" i="23"/>
  <c r="H1959" i="23"/>
  <c r="H1960" i="23"/>
  <c r="H1961" i="23"/>
  <c r="H1962" i="23"/>
  <c r="H1963" i="23"/>
  <c r="H1964" i="23"/>
  <c r="H1965" i="23"/>
  <c r="H1966" i="23"/>
  <c r="H1967" i="23"/>
  <c r="H1968" i="23"/>
  <c r="H1969" i="23"/>
  <c r="H1970" i="23"/>
  <c r="H1971" i="23"/>
  <c r="H1972" i="23"/>
  <c r="H1973" i="23"/>
  <c r="H1974" i="23"/>
  <c r="H1975" i="23"/>
  <c r="H1976" i="23"/>
  <c r="H1977" i="23"/>
  <c r="H1978" i="23"/>
  <c r="H1979" i="23"/>
  <c r="H1980" i="23"/>
  <c r="H1981" i="23"/>
  <c r="H1982" i="23"/>
  <c r="H1983" i="23"/>
  <c r="H1984" i="23"/>
  <c r="H1985" i="23"/>
  <c r="H1986" i="23"/>
  <c r="H1987" i="23"/>
  <c r="H1988" i="23"/>
  <c r="H1989" i="23"/>
  <c r="H1990" i="23"/>
  <c r="H1991" i="23"/>
  <c r="H1992" i="23"/>
  <c r="H1993" i="23"/>
  <c r="H1994" i="23"/>
  <c r="H1995" i="23"/>
  <c r="H1996" i="23"/>
  <c r="H1997" i="23"/>
  <c r="H1998" i="23"/>
  <c r="H1999" i="23"/>
  <c r="H2000" i="23"/>
  <c r="H2001" i="23"/>
  <c r="H2002" i="23"/>
  <c r="H2003" i="23"/>
  <c r="H2004" i="23"/>
  <c r="H2005" i="23"/>
  <c r="H2006" i="23"/>
  <c r="H2007" i="23"/>
  <c r="H2008" i="23"/>
  <c r="H2009" i="23"/>
  <c r="H2010" i="23"/>
  <c r="H2011" i="23"/>
  <c r="H2012" i="23"/>
  <c r="H2013" i="23"/>
  <c r="H2014" i="23"/>
  <c r="H2015" i="23"/>
  <c r="H2016" i="23"/>
  <c r="H2017" i="23"/>
  <c r="H2018" i="23"/>
  <c r="H2019" i="23"/>
  <c r="H2020" i="23"/>
  <c r="H2021" i="23"/>
  <c r="H2022" i="23"/>
  <c r="H2023" i="23"/>
  <c r="H2024" i="23"/>
  <c r="H2025" i="23"/>
  <c r="H2026" i="23"/>
  <c r="H2027" i="23"/>
  <c r="H2028" i="23"/>
  <c r="H2029" i="23"/>
  <c r="H2030" i="23"/>
  <c r="H2031" i="23"/>
  <c r="H2032" i="23"/>
  <c r="H2033" i="23"/>
  <c r="H2034" i="23"/>
  <c r="H2035" i="23"/>
  <c r="H2036" i="23"/>
  <c r="H2037" i="23"/>
  <c r="H2038" i="23"/>
  <c r="H2039" i="23"/>
  <c r="H2040" i="23"/>
  <c r="H2041" i="23"/>
  <c r="H2042" i="23"/>
  <c r="H2043" i="23"/>
  <c r="H2044" i="23"/>
  <c r="H2045" i="23"/>
  <c r="H2046" i="23"/>
  <c r="H2047" i="23"/>
  <c r="H2048" i="23"/>
  <c r="H2049" i="23"/>
  <c r="H2050" i="23"/>
  <c r="H2051" i="23"/>
  <c r="H2052" i="23"/>
  <c r="H2053" i="23"/>
  <c r="H2054" i="23"/>
  <c r="H2055" i="23"/>
  <c r="H2056" i="23"/>
  <c r="H2057" i="23"/>
  <c r="H2058" i="23"/>
  <c r="H2059" i="23"/>
  <c r="H2060" i="23"/>
  <c r="H2061" i="23"/>
  <c r="H2062" i="23"/>
  <c r="H2063" i="23"/>
  <c r="H2064" i="23"/>
  <c r="H2065" i="23"/>
  <c r="H2066" i="23"/>
  <c r="H2067" i="23"/>
  <c r="H2068" i="23"/>
  <c r="H2069" i="23"/>
  <c r="H2070" i="23"/>
  <c r="H2071" i="23"/>
  <c r="H2072" i="23"/>
  <c r="H2073" i="23"/>
  <c r="H2074" i="23"/>
  <c r="H2075" i="23"/>
  <c r="H2076" i="23"/>
  <c r="H2077" i="23"/>
  <c r="H2078" i="23"/>
  <c r="H2079" i="23"/>
  <c r="H2080" i="23"/>
  <c r="H2081" i="23"/>
  <c r="H2082" i="23"/>
  <c r="H2083" i="23"/>
  <c r="H2084" i="23"/>
  <c r="H2085" i="23"/>
  <c r="H2086" i="23"/>
  <c r="H2087" i="23"/>
  <c r="H2088" i="23"/>
  <c r="H2089" i="23"/>
  <c r="H2090" i="23"/>
  <c r="H2091" i="23"/>
  <c r="H2092" i="23"/>
  <c r="H2093" i="23"/>
  <c r="H2094" i="23"/>
  <c r="H2095" i="23"/>
  <c r="H2096" i="23"/>
  <c r="H2097" i="23"/>
  <c r="H2098" i="23"/>
  <c r="H2099" i="23"/>
  <c r="H2100" i="23"/>
  <c r="H2101" i="23"/>
  <c r="H2102" i="23"/>
  <c r="H2103" i="23"/>
  <c r="H2104" i="23"/>
  <c r="H2105" i="23"/>
  <c r="H2106" i="23"/>
  <c r="H2107" i="23"/>
  <c r="H2108" i="23"/>
  <c r="H2109" i="23"/>
  <c r="H2110" i="23"/>
  <c r="H2111" i="23"/>
  <c r="H2112" i="23"/>
  <c r="H2113" i="23"/>
  <c r="H2114" i="23"/>
  <c r="H2115" i="23"/>
  <c r="H2116" i="23"/>
  <c r="H2117" i="23"/>
  <c r="H2118" i="23"/>
  <c r="H2119" i="23"/>
  <c r="H2120" i="23"/>
  <c r="H2121" i="23"/>
  <c r="H2122" i="23"/>
  <c r="H2123" i="23"/>
  <c r="H2124" i="23"/>
  <c r="H2125" i="23"/>
  <c r="H2126" i="23"/>
  <c r="H2127" i="23"/>
  <c r="H2128" i="23"/>
  <c r="H2129" i="23"/>
  <c r="H2130" i="23"/>
  <c r="H2131" i="23"/>
  <c r="H2132" i="23"/>
  <c r="H2133" i="23"/>
  <c r="H2134" i="23"/>
  <c r="H2135" i="23"/>
  <c r="H2136" i="23"/>
  <c r="H2137" i="23"/>
  <c r="H2138" i="23"/>
  <c r="H2139" i="23"/>
  <c r="H2140" i="23"/>
  <c r="H2141" i="23"/>
  <c r="H2142" i="23"/>
  <c r="H2143" i="23"/>
  <c r="H2144" i="23"/>
  <c r="H2145" i="23"/>
  <c r="H2146" i="23"/>
  <c r="H2147" i="23"/>
  <c r="H2148" i="23"/>
  <c r="H2149" i="23"/>
  <c r="H2150" i="23"/>
  <c r="H2151" i="23"/>
  <c r="H2152" i="23"/>
  <c r="H2153" i="23"/>
  <c r="H2154" i="23"/>
  <c r="H2155" i="23"/>
  <c r="H2156" i="23"/>
  <c r="H2157" i="23"/>
  <c r="H2158" i="23"/>
  <c r="H2159" i="23"/>
  <c r="H2160" i="23"/>
  <c r="H2161" i="23"/>
  <c r="H2162" i="23"/>
  <c r="H2163" i="23"/>
  <c r="H2164" i="23"/>
  <c r="H2165" i="23"/>
  <c r="H2166" i="23"/>
  <c r="H2167" i="23"/>
  <c r="H2168" i="23"/>
  <c r="H2169" i="23"/>
  <c r="H2170" i="23"/>
  <c r="H2171" i="23"/>
  <c r="H2172" i="23"/>
  <c r="H2173" i="23"/>
  <c r="H2174" i="23"/>
  <c r="H2175" i="23"/>
  <c r="H2176" i="23"/>
  <c r="H2177" i="23"/>
  <c r="H2178" i="23"/>
  <c r="H2179" i="23"/>
  <c r="H2180" i="23"/>
  <c r="H2181" i="23"/>
  <c r="H2182" i="23"/>
  <c r="H2183" i="23"/>
  <c r="H2184" i="23"/>
  <c r="H2185" i="23"/>
  <c r="H2186" i="23"/>
  <c r="H2187" i="23"/>
  <c r="H2188" i="23"/>
  <c r="H2189" i="23"/>
  <c r="H2190" i="23"/>
  <c r="H2191" i="23"/>
  <c r="H2192" i="23"/>
  <c r="H2193" i="23"/>
  <c r="H2194" i="23"/>
  <c r="H2195" i="23"/>
  <c r="H2196" i="23"/>
  <c r="H2197" i="23"/>
  <c r="H2198" i="23"/>
  <c r="H2199" i="23"/>
  <c r="H2200" i="23"/>
  <c r="H2201" i="23"/>
  <c r="H2202" i="23"/>
  <c r="H2203" i="23"/>
  <c r="H2204" i="23"/>
  <c r="H2205" i="23"/>
  <c r="H2206" i="23"/>
  <c r="H2207" i="23"/>
  <c r="H2208" i="23"/>
  <c r="H2209" i="23"/>
  <c r="H2210" i="23"/>
  <c r="H2211" i="23"/>
  <c r="H2212" i="23"/>
  <c r="H2213" i="23"/>
  <c r="H2214" i="23"/>
  <c r="H2215" i="23"/>
  <c r="H2216" i="23"/>
  <c r="H2217" i="23"/>
  <c r="H2218" i="23"/>
  <c r="H2219" i="23"/>
  <c r="H2220" i="23"/>
  <c r="H2221" i="23"/>
  <c r="H2222" i="23"/>
  <c r="H2223" i="23"/>
  <c r="H2224" i="23"/>
  <c r="H2225" i="23"/>
  <c r="H2226" i="23"/>
  <c r="H2227" i="23"/>
  <c r="H2228" i="23"/>
  <c r="H2229" i="23"/>
  <c r="H2230" i="23"/>
  <c r="H2231" i="23"/>
  <c r="H2232" i="23"/>
  <c r="H2233" i="23"/>
  <c r="H2234" i="23"/>
  <c r="H2235" i="23"/>
  <c r="H2236" i="23"/>
  <c r="H2237" i="23"/>
  <c r="H2238" i="23"/>
  <c r="H2239" i="23"/>
  <c r="H2240" i="23"/>
  <c r="H2241" i="23"/>
  <c r="H2242" i="23"/>
  <c r="H2243" i="23"/>
  <c r="H2244" i="23"/>
  <c r="H2245" i="23"/>
  <c r="H2246" i="23"/>
  <c r="H2247" i="23"/>
  <c r="H2248" i="23"/>
  <c r="H2249" i="23"/>
  <c r="H2250" i="23"/>
  <c r="H2251" i="23"/>
  <c r="H2252" i="23"/>
  <c r="H2253" i="23"/>
  <c r="H2254" i="23"/>
  <c r="H2255" i="23"/>
  <c r="H2256" i="23"/>
  <c r="H2257" i="23"/>
  <c r="H2258" i="23"/>
  <c r="H2259" i="23"/>
  <c r="H2260" i="23"/>
  <c r="H2261" i="23"/>
  <c r="H2262" i="23"/>
  <c r="H2263" i="23"/>
  <c r="H2264" i="23"/>
  <c r="H2265" i="23"/>
  <c r="H2266" i="23"/>
  <c r="H2267" i="23"/>
  <c r="H2268" i="23"/>
  <c r="H2269" i="23"/>
  <c r="H2270" i="23"/>
  <c r="H2271" i="23"/>
  <c r="H2272" i="23"/>
  <c r="H2273" i="23"/>
  <c r="H2274" i="23"/>
  <c r="H2275" i="23"/>
  <c r="H2276" i="23"/>
  <c r="H2277" i="23"/>
  <c r="H2278" i="23"/>
  <c r="H2279" i="23"/>
  <c r="H2280" i="23"/>
  <c r="H2281" i="23"/>
  <c r="H2282" i="23"/>
  <c r="H2283" i="23"/>
  <c r="H2284" i="23"/>
  <c r="H2285" i="23"/>
  <c r="H2286" i="23"/>
  <c r="H2287" i="23"/>
  <c r="H2288" i="23"/>
  <c r="H2289" i="23"/>
  <c r="H2290" i="23"/>
  <c r="H2291" i="23"/>
  <c r="H2292" i="23"/>
  <c r="H2293" i="23"/>
  <c r="H2294" i="23"/>
  <c r="H2295" i="23"/>
  <c r="H2296" i="23"/>
  <c r="H2297" i="23"/>
  <c r="H2298" i="23"/>
  <c r="H2299" i="23"/>
  <c r="H2300" i="23"/>
  <c r="H2301" i="23"/>
  <c r="H2302" i="23"/>
  <c r="H2303" i="23"/>
  <c r="H2304" i="23"/>
  <c r="H2305" i="23"/>
  <c r="H2306" i="23"/>
  <c r="H2307" i="23"/>
  <c r="H2308" i="23"/>
  <c r="H2309" i="23"/>
  <c r="H2310" i="23"/>
  <c r="H2311" i="23"/>
  <c r="H2312" i="23"/>
  <c r="H2313" i="23"/>
  <c r="H2314" i="23"/>
  <c r="H2315" i="23"/>
  <c r="H2316" i="23"/>
  <c r="H2317" i="23"/>
  <c r="H2318" i="23"/>
  <c r="H2319" i="23"/>
  <c r="H2320" i="23"/>
  <c r="H2321" i="23"/>
  <c r="H2322" i="23"/>
  <c r="H2323" i="23"/>
  <c r="H2324" i="23"/>
  <c r="H2325" i="23"/>
  <c r="H2326" i="23"/>
  <c r="H2327" i="23"/>
  <c r="H2328" i="23"/>
  <c r="H2329" i="23"/>
  <c r="H2330" i="23"/>
  <c r="H2331" i="23"/>
  <c r="H2332" i="23"/>
  <c r="H2333" i="23"/>
  <c r="H2334" i="23"/>
  <c r="H2335" i="23"/>
  <c r="H2336" i="23"/>
  <c r="H2337" i="23"/>
  <c r="H2338" i="23"/>
  <c r="H2339" i="23"/>
  <c r="H2340" i="23"/>
  <c r="H2341" i="23"/>
  <c r="H2342" i="23"/>
  <c r="H2343" i="23"/>
  <c r="H2344" i="23"/>
  <c r="H2345" i="23"/>
  <c r="H2346" i="23"/>
  <c r="H2347" i="23"/>
  <c r="H2348" i="23"/>
  <c r="H2349" i="23"/>
  <c r="H2350" i="23"/>
  <c r="H2351" i="23"/>
  <c r="H2352" i="23"/>
  <c r="H2353" i="23"/>
  <c r="H2354" i="23"/>
  <c r="H2355" i="23"/>
  <c r="H2356" i="23"/>
  <c r="H2357" i="23"/>
  <c r="H2358" i="23"/>
  <c r="H2359" i="23"/>
  <c r="H2360" i="23"/>
  <c r="H2361" i="23"/>
  <c r="H2362" i="23"/>
  <c r="H2363" i="23"/>
  <c r="H2364" i="23"/>
  <c r="H2365" i="23"/>
  <c r="H2366" i="23"/>
  <c r="H2367" i="23"/>
  <c r="H2368" i="23"/>
  <c r="H2369" i="23"/>
  <c r="H2370" i="23"/>
  <c r="H2371" i="23"/>
  <c r="H2372" i="23"/>
  <c r="H2373" i="23"/>
  <c r="H2374" i="23"/>
  <c r="H2375" i="23"/>
  <c r="H2376" i="23"/>
  <c r="H2377" i="23"/>
  <c r="H2378" i="23"/>
  <c r="H2379" i="23"/>
  <c r="H2380" i="23"/>
  <c r="H2381" i="23"/>
  <c r="H2382" i="23"/>
  <c r="H2383" i="23"/>
  <c r="H2384" i="23"/>
  <c r="H2385" i="23"/>
  <c r="H2386" i="23"/>
  <c r="H2387" i="23"/>
  <c r="H2388" i="23"/>
  <c r="H2389" i="23"/>
  <c r="H2390" i="23"/>
  <c r="H2391" i="23"/>
  <c r="H2392" i="23"/>
  <c r="H2393" i="23"/>
  <c r="H2394" i="23"/>
  <c r="H2395" i="23"/>
  <c r="H2396" i="23"/>
  <c r="H2397" i="23"/>
  <c r="H2398" i="23"/>
  <c r="H2399" i="23"/>
  <c r="H2400" i="23"/>
  <c r="H2401" i="23"/>
  <c r="H2402" i="23"/>
  <c r="H2403" i="23"/>
  <c r="H2404" i="23"/>
  <c r="H2405" i="23"/>
  <c r="H2406" i="23"/>
  <c r="H2407" i="23"/>
  <c r="H2408" i="23"/>
  <c r="H2409" i="23"/>
  <c r="H2410" i="23"/>
  <c r="H2411" i="23"/>
  <c r="H2412" i="23"/>
  <c r="H2413" i="23"/>
  <c r="H2414" i="23"/>
  <c r="H2415" i="23"/>
  <c r="H2416" i="23"/>
  <c r="H2417" i="23"/>
  <c r="H2418" i="23"/>
  <c r="H2419" i="23"/>
  <c r="H2420" i="23"/>
  <c r="H2421" i="23"/>
  <c r="H2422" i="23"/>
  <c r="H2423" i="23"/>
  <c r="H2424" i="23"/>
  <c r="H2425" i="23"/>
  <c r="H2426" i="23"/>
  <c r="H2427" i="23"/>
  <c r="H2428" i="23"/>
  <c r="H2429" i="23"/>
  <c r="H2430" i="23"/>
  <c r="H2431" i="23"/>
  <c r="H2432" i="23"/>
  <c r="H2433" i="23"/>
  <c r="H2434" i="23"/>
  <c r="H2435" i="23"/>
  <c r="H2436" i="23"/>
  <c r="H2437" i="23"/>
  <c r="H2438" i="23"/>
  <c r="H2439" i="23"/>
  <c r="H2440" i="23"/>
  <c r="H2441" i="23"/>
  <c r="H2442" i="23"/>
  <c r="H2443" i="23"/>
  <c r="H2444" i="23"/>
  <c r="H2445" i="23"/>
  <c r="H2446" i="23"/>
  <c r="H2447" i="23"/>
  <c r="H2448" i="23"/>
  <c r="H2449" i="23"/>
  <c r="H2450" i="23"/>
  <c r="H2451" i="23"/>
  <c r="H2452" i="23"/>
  <c r="H2453" i="23"/>
  <c r="H2454" i="23"/>
  <c r="H2455" i="23"/>
  <c r="H2456" i="23"/>
  <c r="H2457" i="23"/>
  <c r="H2458" i="23"/>
  <c r="H2459" i="23"/>
  <c r="H2460" i="23"/>
  <c r="H2461" i="23"/>
  <c r="H2462" i="23"/>
  <c r="H2463" i="23"/>
  <c r="H2464" i="23"/>
  <c r="H2465" i="23"/>
  <c r="H2466" i="23"/>
  <c r="H2467" i="23"/>
  <c r="H2468" i="23"/>
  <c r="H2469" i="23"/>
  <c r="H2470" i="23"/>
  <c r="H2471" i="23"/>
  <c r="H2472" i="23"/>
  <c r="H2473" i="23"/>
  <c r="H2474" i="23"/>
  <c r="H2475" i="23"/>
  <c r="H2476" i="23"/>
  <c r="H2477" i="23"/>
  <c r="H2478" i="23"/>
  <c r="H2479" i="23"/>
  <c r="H2480" i="23"/>
  <c r="H2481" i="23"/>
  <c r="H2482" i="23"/>
  <c r="H2483" i="23"/>
  <c r="H2484" i="23"/>
  <c r="H2485" i="23"/>
  <c r="H2486" i="23"/>
  <c r="H2487" i="23"/>
  <c r="H2488" i="23"/>
  <c r="H2489" i="23"/>
  <c r="H2490" i="23"/>
  <c r="H2491" i="23"/>
  <c r="H2492" i="23"/>
  <c r="H2493" i="23"/>
  <c r="H2494" i="23"/>
  <c r="H2495" i="23"/>
  <c r="H2496" i="23"/>
  <c r="H2497" i="23"/>
  <c r="H2498" i="23"/>
  <c r="H2499" i="23"/>
  <c r="H2500" i="23"/>
  <c r="H2501" i="23"/>
  <c r="H2502" i="23"/>
  <c r="H2503" i="23"/>
  <c r="H2504" i="23"/>
  <c r="H2505" i="23"/>
  <c r="H2506" i="23"/>
  <c r="H2507" i="23"/>
  <c r="H2508" i="23"/>
  <c r="H2509" i="23"/>
  <c r="H2510" i="23"/>
  <c r="H2511" i="23"/>
  <c r="H2512" i="23"/>
  <c r="H2513" i="23"/>
  <c r="H2514" i="23"/>
  <c r="H2515" i="23"/>
  <c r="H2516" i="23"/>
  <c r="H2517" i="23"/>
  <c r="H2518" i="23"/>
  <c r="H2519" i="23"/>
  <c r="H2520" i="23"/>
  <c r="H2521" i="23"/>
  <c r="H2522" i="23"/>
  <c r="H2523" i="23"/>
  <c r="H2524" i="23"/>
  <c r="H2525" i="23"/>
  <c r="H2526" i="23"/>
  <c r="H2527" i="23"/>
  <c r="H2528" i="23"/>
  <c r="H2529" i="23"/>
  <c r="H2530" i="23"/>
  <c r="H2531" i="23"/>
  <c r="H2532" i="23"/>
  <c r="H2533" i="23"/>
  <c r="H2534" i="23"/>
  <c r="H2535" i="23"/>
  <c r="H2536" i="23"/>
  <c r="H2537" i="23"/>
  <c r="H2538" i="23"/>
  <c r="H2539" i="23"/>
  <c r="H2540" i="23"/>
  <c r="H2541" i="23"/>
  <c r="H2542" i="23"/>
  <c r="H2543" i="23"/>
  <c r="H2544" i="23"/>
  <c r="H2545" i="23"/>
  <c r="H2546" i="23"/>
  <c r="H2547" i="23"/>
  <c r="H2548" i="23"/>
  <c r="H2549" i="23"/>
  <c r="H2550" i="23"/>
  <c r="H2551" i="23"/>
  <c r="H2552" i="23"/>
  <c r="H2553" i="23"/>
  <c r="H2554" i="23"/>
  <c r="H2555" i="23"/>
  <c r="H2556" i="23"/>
  <c r="H2557" i="23"/>
  <c r="H2558" i="23"/>
  <c r="H2559" i="23"/>
  <c r="H2560" i="23"/>
  <c r="H2561" i="23"/>
  <c r="H2562" i="23"/>
  <c r="H2563" i="23"/>
  <c r="H2564" i="23"/>
  <c r="H2565" i="23"/>
  <c r="H2566" i="23"/>
  <c r="H2567" i="23"/>
  <c r="H2568" i="23"/>
  <c r="H2569" i="23"/>
  <c r="H2570" i="23"/>
  <c r="H2571" i="23"/>
  <c r="H2572" i="23"/>
  <c r="H2573" i="23"/>
  <c r="H2574" i="23"/>
  <c r="H2575" i="23"/>
  <c r="H2576" i="23"/>
  <c r="H2577" i="23"/>
  <c r="H2578" i="23"/>
  <c r="H2579" i="23"/>
  <c r="H2580" i="23"/>
  <c r="H2581" i="23"/>
  <c r="H2582" i="23"/>
  <c r="H2583" i="23"/>
  <c r="H2584" i="23"/>
  <c r="H2585" i="23"/>
  <c r="H2586" i="23"/>
  <c r="H2587" i="23"/>
  <c r="H2588" i="23"/>
  <c r="H2589" i="23"/>
  <c r="H2590" i="23"/>
  <c r="H2591" i="23"/>
  <c r="H2592" i="23"/>
  <c r="H2593" i="23"/>
  <c r="H2594" i="23"/>
  <c r="H2595" i="23"/>
  <c r="H2596" i="23"/>
  <c r="H2597" i="23"/>
  <c r="H2598" i="23"/>
  <c r="H2599" i="23"/>
  <c r="H2600" i="23"/>
  <c r="H2601" i="23"/>
  <c r="H2602" i="23"/>
  <c r="H2603" i="23"/>
  <c r="H2604" i="23"/>
  <c r="H2605" i="23"/>
  <c r="H2606" i="23"/>
  <c r="H2607" i="23"/>
  <c r="H2608" i="23"/>
  <c r="H2609" i="23"/>
  <c r="H2610" i="23"/>
  <c r="H2611" i="23"/>
  <c r="H2612" i="23"/>
  <c r="H2613" i="23"/>
  <c r="H2614" i="23"/>
  <c r="H2615" i="23"/>
  <c r="H2616" i="23"/>
  <c r="H2617" i="23"/>
  <c r="H2618" i="23"/>
  <c r="H2619" i="23"/>
  <c r="H2620" i="23"/>
  <c r="H2621" i="23"/>
  <c r="H2622" i="23"/>
  <c r="H2623" i="23"/>
  <c r="H2624" i="23"/>
  <c r="H2625" i="23"/>
  <c r="H2626" i="23"/>
  <c r="H2627" i="23"/>
  <c r="H2628" i="23"/>
  <c r="H2629" i="23"/>
  <c r="H2630" i="23"/>
  <c r="H2631" i="23"/>
  <c r="H2632" i="23"/>
  <c r="H2633" i="23"/>
  <c r="H2634" i="23"/>
  <c r="H2635" i="23"/>
  <c r="H2636" i="23"/>
  <c r="H2637" i="23"/>
  <c r="H2638" i="23"/>
  <c r="H2639" i="23"/>
  <c r="H2640" i="23"/>
  <c r="H2641" i="23"/>
  <c r="H2642" i="23"/>
  <c r="H2643" i="23"/>
  <c r="H2644" i="23"/>
  <c r="H2645" i="23"/>
  <c r="H2646" i="23"/>
  <c r="H2647" i="23"/>
  <c r="H2648" i="23"/>
  <c r="H2649" i="23"/>
  <c r="H2650" i="23"/>
  <c r="H2651" i="23"/>
  <c r="H2652" i="23"/>
  <c r="H2653" i="23"/>
  <c r="H2654" i="23"/>
  <c r="H2655" i="23"/>
  <c r="H2656" i="23"/>
  <c r="H2657" i="23"/>
  <c r="H2658" i="23"/>
  <c r="H2659" i="23"/>
  <c r="H2660" i="23"/>
  <c r="H2661" i="23"/>
  <c r="H2662" i="23"/>
  <c r="H2663" i="23"/>
  <c r="H2664" i="23"/>
  <c r="H2665" i="23"/>
  <c r="H2666" i="23"/>
  <c r="H2667" i="23"/>
  <c r="H2668" i="23"/>
  <c r="H2669" i="23"/>
  <c r="H2670" i="23"/>
  <c r="H2671" i="23"/>
  <c r="H2672" i="23"/>
  <c r="H2673" i="23"/>
  <c r="H2674" i="23"/>
  <c r="H2675" i="23"/>
  <c r="H2676" i="23"/>
  <c r="H2677" i="23"/>
  <c r="H2678" i="23"/>
  <c r="H2679" i="23"/>
  <c r="H2680" i="23"/>
  <c r="H2681" i="23"/>
  <c r="H2682" i="23"/>
  <c r="H2683" i="23"/>
  <c r="H2684" i="23"/>
  <c r="H2685" i="23"/>
  <c r="H2686" i="23"/>
  <c r="H2687" i="23"/>
  <c r="H2688" i="23"/>
  <c r="H2689" i="23"/>
  <c r="H2690" i="23"/>
  <c r="H2691" i="23"/>
  <c r="H2692" i="23"/>
  <c r="H2693" i="23"/>
  <c r="H2694" i="23"/>
  <c r="H2695" i="23"/>
  <c r="H2696" i="23"/>
  <c r="H2697" i="23"/>
  <c r="H2698" i="23"/>
  <c r="H2699" i="23"/>
  <c r="H2700" i="23"/>
  <c r="H2701" i="23"/>
  <c r="H2702" i="23"/>
  <c r="H2703" i="23"/>
  <c r="H2704" i="23"/>
  <c r="H2705" i="23"/>
  <c r="H2706" i="23"/>
  <c r="H2707" i="23"/>
  <c r="H2708" i="23"/>
  <c r="H2709" i="23"/>
  <c r="H2710" i="23"/>
  <c r="H2711" i="23"/>
  <c r="H2712" i="23"/>
  <c r="H2713" i="23"/>
  <c r="H2714" i="23"/>
  <c r="H2715" i="23"/>
  <c r="H2716" i="23"/>
  <c r="H2717" i="23"/>
  <c r="H2718" i="23"/>
  <c r="H2719" i="23"/>
  <c r="H2720" i="23"/>
  <c r="H2721" i="23"/>
  <c r="H2722" i="23"/>
  <c r="H2723" i="23"/>
  <c r="H2724" i="23"/>
  <c r="H2725" i="23"/>
  <c r="H2726" i="23"/>
  <c r="H2727" i="23"/>
  <c r="H2728" i="23"/>
  <c r="H2729" i="23"/>
  <c r="H2730" i="23"/>
  <c r="H2731" i="23"/>
  <c r="H2732" i="23"/>
  <c r="H2733" i="23"/>
  <c r="H2734" i="23"/>
  <c r="H2735" i="23"/>
  <c r="H2736" i="23"/>
  <c r="H2737" i="23"/>
  <c r="H2738" i="23"/>
  <c r="H2739" i="23"/>
  <c r="H2740" i="23"/>
  <c r="H2741" i="23"/>
  <c r="H2742" i="23"/>
  <c r="H2743" i="23"/>
  <c r="H2744" i="23"/>
  <c r="H2745" i="23"/>
  <c r="H2746" i="23"/>
  <c r="H2747" i="23"/>
  <c r="H2748" i="23"/>
  <c r="H2749" i="23"/>
  <c r="H2750" i="23"/>
  <c r="H2751" i="23"/>
  <c r="H2752" i="23"/>
  <c r="H2753" i="23"/>
  <c r="H2754" i="23"/>
  <c r="H2755" i="23"/>
  <c r="H2756" i="23"/>
  <c r="H2757" i="23"/>
  <c r="H2758" i="23"/>
  <c r="H2759" i="23"/>
  <c r="H2760" i="23"/>
  <c r="H2761" i="23"/>
  <c r="H2762" i="23"/>
  <c r="H2763" i="23"/>
  <c r="H2764" i="23"/>
  <c r="H2765" i="23"/>
  <c r="H2766" i="23"/>
  <c r="H2767" i="23"/>
  <c r="H2768" i="23"/>
  <c r="H2769" i="23"/>
  <c r="H2770" i="23"/>
  <c r="H2771" i="23"/>
  <c r="H2772" i="23"/>
  <c r="H2773" i="23"/>
  <c r="H2774" i="23"/>
  <c r="H2775" i="23"/>
  <c r="H2776" i="23"/>
  <c r="H2777" i="23"/>
  <c r="H2778" i="23"/>
  <c r="H2779" i="23"/>
  <c r="H2780" i="23"/>
  <c r="H2781" i="23"/>
  <c r="H2782" i="23"/>
  <c r="H2783" i="23"/>
  <c r="H2784" i="23"/>
  <c r="H2785" i="23"/>
  <c r="H2786" i="23"/>
  <c r="H2787" i="23"/>
  <c r="H2788" i="23"/>
  <c r="H2789" i="23"/>
  <c r="H2790" i="23"/>
  <c r="H2791" i="23"/>
  <c r="H2792" i="23"/>
  <c r="H2793" i="23"/>
  <c r="H2794" i="23"/>
  <c r="H2795" i="23"/>
  <c r="H2796" i="23"/>
  <c r="H2797" i="23"/>
  <c r="H2798" i="23"/>
  <c r="H2799" i="23"/>
  <c r="H2800" i="23"/>
  <c r="H2801" i="23"/>
  <c r="H2802" i="23"/>
  <c r="H2803" i="23"/>
  <c r="H2804" i="23"/>
  <c r="H2805" i="23"/>
  <c r="H2806" i="23"/>
  <c r="H2807" i="23"/>
  <c r="H2808" i="23"/>
  <c r="H2809" i="23"/>
  <c r="H2810" i="23"/>
  <c r="H2811" i="23"/>
  <c r="H2812" i="23"/>
  <c r="H2813" i="23"/>
  <c r="H2814" i="23"/>
  <c r="H2815" i="23"/>
  <c r="H2816" i="23"/>
  <c r="H2817" i="23"/>
  <c r="H2818" i="23"/>
  <c r="H2819" i="23"/>
  <c r="H2820" i="23"/>
  <c r="H2821" i="23"/>
  <c r="H2822" i="23"/>
  <c r="H2823" i="23"/>
  <c r="H2824" i="23"/>
  <c r="H2825" i="23"/>
  <c r="H2826" i="23"/>
  <c r="H2827" i="23"/>
  <c r="H2828" i="23"/>
  <c r="H2829" i="23"/>
  <c r="H2830" i="23"/>
  <c r="H2831" i="23"/>
  <c r="H2832" i="23"/>
  <c r="H2833" i="23"/>
  <c r="H2834" i="23"/>
  <c r="H2835" i="23"/>
  <c r="H2836" i="23"/>
  <c r="H2837" i="23"/>
  <c r="H2838" i="23"/>
  <c r="H2839" i="23"/>
  <c r="H2840" i="23"/>
  <c r="H2841" i="23"/>
  <c r="H2842" i="23"/>
  <c r="H2843" i="23"/>
  <c r="H2844" i="23"/>
  <c r="H2845" i="23"/>
  <c r="H2846" i="23"/>
  <c r="H2847" i="23"/>
  <c r="H2848" i="23"/>
  <c r="H2849" i="23"/>
  <c r="H2850" i="23"/>
  <c r="H2851" i="23"/>
  <c r="H2852" i="23"/>
  <c r="H2853" i="23"/>
  <c r="H2854" i="23"/>
  <c r="H2855" i="23"/>
  <c r="H2856" i="23"/>
  <c r="H2857" i="23"/>
  <c r="H2858" i="23"/>
  <c r="H2859" i="23"/>
  <c r="H2860" i="23"/>
  <c r="H2861" i="23"/>
  <c r="H2862" i="23"/>
  <c r="H2863" i="23"/>
  <c r="H2864" i="23"/>
  <c r="H2865" i="23"/>
  <c r="H2866" i="23"/>
  <c r="H2867" i="23"/>
  <c r="H2868" i="23"/>
  <c r="H2869" i="23"/>
  <c r="H2870" i="23"/>
  <c r="H2871" i="23"/>
  <c r="H2872" i="23"/>
  <c r="H2873" i="23"/>
  <c r="H2874" i="23"/>
  <c r="H2875" i="23"/>
  <c r="H2876" i="23"/>
  <c r="H2877" i="23"/>
  <c r="H2878" i="23"/>
  <c r="H2879" i="23"/>
  <c r="H2880" i="23"/>
  <c r="H2881" i="23"/>
  <c r="H2882" i="23"/>
  <c r="H2883" i="23"/>
  <c r="H2884" i="23"/>
  <c r="H2885" i="23"/>
  <c r="H2886" i="23"/>
  <c r="H2887" i="23"/>
  <c r="H2888" i="23"/>
  <c r="H2889" i="23"/>
  <c r="H2890" i="23"/>
  <c r="H2891" i="23"/>
  <c r="H2892" i="23"/>
  <c r="H2893" i="23"/>
  <c r="H2894" i="23"/>
  <c r="H2895" i="23"/>
  <c r="H2896" i="23"/>
  <c r="H2897" i="23"/>
  <c r="H2898" i="23"/>
  <c r="H2899" i="23"/>
  <c r="H2900" i="23"/>
  <c r="H2901" i="23"/>
  <c r="H2902" i="23"/>
  <c r="H2903" i="23"/>
  <c r="H2904" i="23"/>
  <c r="H2905" i="23"/>
  <c r="H2906" i="23"/>
  <c r="H2907" i="23"/>
  <c r="H2908" i="23"/>
  <c r="H2909" i="23"/>
  <c r="H2910" i="23"/>
  <c r="H2911" i="23"/>
  <c r="H2912" i="23"/>
  <c r="H2913" i="23"/>
  <c r="H2914" i="23"/>
  <c r="H2915" i="23"/>
  <c r="H2916" i="23"/>
  <c r="H2917" i="23"/>
  <c r="H2918" i="23"/>
  <c r="H2919" i="23"/>
  <c r="H2920" i="23"/>
  <c r="H2921" i="23"/>
  <c r="H2922" i="23"/>
  <c r="H2923" i="23"/>
  <c r="H2924" i="23"/>
  <c r="H2925" i="23"/>
  <c r="H2926" i="23"/>
  <c r="H2927" i="23"/>
  <c r="H2928" i="23"/>
  <c r="H2929" i="23"/>
  <c r="H2930" i="23"/>
  <c r="H2931" i="23"/>
  <c r="H2932" i="23"/>
  <c r="H2933" i="23"/>
  <c r="H2934" i="23"/>
  <c r="H2935" i="23"/>
  <c r="H2936" i="23"/>
  <c r="H2937" i="23"/>
  <c r="H2938" i="23"/>
  <c r="H2939" i="23"/>
  <c r="H2940" i="23"/>
  <c r="H2941" i="23"/>
  <c r="H2942" i="23"/>
  <c r="H2943" i="23"/>
  <c r="H2944" i="23"/>
  <c r="H2945" i="23"/>
  <c r="H2946" i="23"/>
  <c r="H2947" i="23"/>
  <c r="H2948" i="23"/>
  <c r="H2949" i="23"/>
  <c r="H2950" i="23"/>
  <c r="H2951" i="23"/>
  <c r="H2952" i="23"/>
  <c r="H2953" i="23"/>
  <c r="H2954" i="23"/>
  <c r="H2955" i="23"/>
  <c r="H2956" i="23"/>
  <c r="H2957" i="23"/>
  <c r="H2958" i="23"/>
  <c r="H2959" i="23"/>
  <c r="H2960" i="23"/>
  <c r="H2961" i="23"/>
  <c r="H2962" i="23"/>
  <c r="H2963" i="23"/>
  <c r="H2964" i="23"/>
  <c r="H2965" i="23"/>
  <c r="H2966" i="23"/>
  <c r="H2967" i="23"/>
  <c r="H2968" i="23"/>
  <c r="H2969" i="23"/>
  <c r="H2970" i="23"/>
  <c r="H2971" i="23"/>
  <c r="H2972" i="23"/>
  <c r="H2973" i="23"/>
  <c r="H2974" i="23"/>
  <c r="H2975" i="23"/>
  <c r="H2976" i="23"/>
  <c r="H2977" i="23"/>
  <c r="H2978" i="23"/>
  <c r="H2979" i="23"/>
  <c r="H2980" i="23"/>
  <c r="H2981" i="23"/>
  <c r="H2982" i="23"/>
  <c r="H2983" i="23"/>
  <c r="H2984" i="23"/>
  <c r="H2985" i="23"/>
  <c r="H2986" i="23"/>
  <c r="H2987" i="23"/>
  <c r="H2988" i="23"/>
  <c r="H2989" i="23"/>
  <c r="H2990" i="23"/>
  <c r="H2991" i="23"/>
  <c r="H2992" i="23"/>
  <c r="H2993" i="23"/>
  <c r="H2994" i="23"/>
  <c r="H2995" i="23"/>
  <c r="H2996" i="23"/>
  <c r="H2997" i="23"/>
  <c r="H2998" i="23"/>
  <c r="H2999" i="23"/>
  <c r="H3000" i="23"/>
  <c r="H3001" i="23"/>
  <c r="H3002" i="23"/>
  <c r="H3003" i="23"/>
  <c r="H3004" i="23"/>
  <c r="H3005" i="23"/>
  <c r="H3006" i="23"/>
  <c r="H3007" i="23"/>
  <c r="H3008" i="23"/>
  <c r="H3009" i="23"/>
  <c r="H3010" i="23"/>
  <c r="H3011" i="23"/>
  <c r="H3012" i="23"/>
  <c r="H3013" i="23"/>
  <c r="H3014" i="23"/>
  <c r="H3015" i="23"/>
  <c r="H3016" i="23"/>
  <c r="H3017" i="23"/>
  <c r="H3018" i="23"/>
  <c r="H3019" i="23"/>
  <c r="H3020" i="23"/>
  <c r="H3021" i="23"/>
  <c r="H3022" i="23"/>
  <c r="H3023" i="23"/>
  <c r="H3024" i="23"/>
  <c r="H3025" i="23"/>
  <c r="H3026" i="23"/>
  <c r="H3027" i="23"/>
  <c r="H3028" i="23"/>
  <c r="H3029" i="23"/>
  <c r="H3030" i="23"/>
  <c r="H3031" i="23"/>
  <c r="H3032" i="23"/>
  <c r="H3033" i="23"/>
  <c r="H3034" i="23"/>
  <c r="H3035" i="23"/>
  <c r="H3036" i="23"/>
  <c r="H3037" i="23"/>
  <c r="H3038" i="23"/>
  <c r="H3039" i="23"/>
  <c r="H3040" i="23"/>
  <c r="H3041" i="23"/>
  <c r="H3042" i="23"/>
  <c r="H3043" i="23"/>
  <c r="H3044" i="23"/>
  <c r="H3045" i="23"/>
  <c r="H3046" i="23"/>
  <c r="H3047" i="23"/>
  <c r="H3048" i="23"/>
  <c r="H3049" i="23"/>
  <c r="H3050" i="23"/>
  <c r="H3051" i="23"/>
  <c r="H3052" i="23"/>
  <c r="H3053" i="23"/>
  <c r="H3054" i="23"/>
  <c r="H3055" i="23"/>
  <c r="H3056" i="23"/>
  <c r="H3057" i="23"/>
  <c r="H3058" i="23"/>
  <c r="H3059" i="23"/>
  <c r="H3060" i="23"/>
  <c r="H3061" i="23"/>
  <c r="H3062" i="23"/>
  <c r="H3063" i="23"/>
  <c r="H3064" i="23"/>
  <c r="H3065" i="23"/>
  <c r="H3066" i="23"/>
  <c r="H3067" i="23"/>
  <c r="H3068" i="23"/>
  <c r="H3069" i="23"/>
  <c r="H3070" i="23"/>
  <c r="H3071" i="23"/>
  <c r="H3072" i="23"/>
  <c r="H3073" i="23"/>
  <c r="H3074" i="23"/>
  <c r="H3075" i="23"/>
  <c r="H3076" i="23"/>
  <c r="H3077" i="23"/>
  <c r="H3078" i="23"/>
  <c r="H3079" i="23"/>
  <c r="H3080" i="23"/>
  <c r="H3081" i="23"/>
  <c r="H3082" i="23"/>
  <c r="H3083" i="23"/>
  <c r="H3084" i="23"/>
  <c r="H3085" i="23"/>
  <c r="H3086" i="23"/>
  <c r="H3087" i="23"/>
  <c r="H3088" i="23"/>
  <c r="H3089" i="23"/>
  <c r="H3090" i="23"/>
  <c r="H3091" i="23"/>
  <c r="H3092" i="23"/>
  <c r="H3093" i="23"/>
  <c r="H3094" i="23"/>
  <c r="H3095" i="23"/>
  <c r="H3096" i="23"/>
  <c r="H3097" i="23"/>
  <c r="H3098" i="23"/>
  <c r="H3099" i="23"/>
  <c r="H3100" i="23"/>
  <c r="H3101" i="23"/>
  <c r="H3102" i="23"/>
  <c r="H3103" i="23"/>
  <c r="H3104" i="23"/>
  <c r="H3105" i="23"/>
  <c r="H3106" i="23"/>
  <c r="H3107" i="23"/>
  <c r="H3108" i="23"/>
  <c r="H3109" i="23"/>
  <c r="H3110" i="23"/>
  <c r="H3111" i="23"/>
  <c r="H3112" i="23"/>
  <c r="H3113" i="23"/>
  <c r="H3114" i="23"/>
  <c r="H3115" i="23"/>
  <c r="H3116" i="23"/>
  <c r="H3117" i="23"/>
  <c r="H3118" i="23"/>
  <c r="H3119" i="23"/>
  <c r="H3120" i="23"/>
  <c r="H3121" i="23"/>
  <c r="H3122" i="23"/>
  <c r="H3123" i="23"/>
  <c r="H3124" i="23"/>
  <c r="H3125" i="23"/>
  <c r="H3126" i="23"/>
  <c r="H3127" i="23"/>
  <c r="H3128" i="23"/>
  <c r="H3129" i="23"/>
  <c r="H3130" i="23"/>
  <c r="H3131" i="23"/>
  <c r="H3132" i="23"/>
  <c r="H3133" i="23"/>
  <c r="H3134" i="23"/>
  <c r="H3135" i="23"/>
  <c r="H3136" i="23"/>
  <c r="H3137" i="23"/>
  <c r="H3138" i="23"/>
  <c r="H3139" i="23"/>
  <c r="H3140" i="23"/>
  <c r="H3141" i="23"/>
  <c r="H3142" i="23"/>
  <c r="H3143" i="23"/>
  <c r="H3144" i="23"/>
  <c r="H3145" i="23"/>
  <c r="H3146" i="23"/>
  <c r="H3147" i="23"/>
  <c r="H3148" i="23"/>
  <c r="H3149" i="23"/>
  <c r="H3150" i="23"/>
  <c r="H3151" i="23"/>
  <c r="H3152" i="23"/>
  <c r="H3153" i="23"/>
  <c r="H3154" i="23"/>
  <c r="H3155" i="23"/>
  <c r="H3156" i="23"/>
  <c r="H3157" i="23"/>
  <c r="H3158" i="23"/>
  <c r="H3159" i="23"/>
  <c r="H3160" i="23"/>
  <c r="H3161" i="23"/>
  <c r="H3162" i="23"/>
  <c r="H3163" i="23"/>
  <c r="H3164" i="23"/>
  <c r="H3165" i="23"/>
  <c r="H3166" i="23"/>
  <c r="H3167" i="23"/>
  <c r="H3168" i="23"/>
  <c r="H3169" i="23"/>
  <c r="H3170" i="23"/>
  <c r="H3171" i="23"/>
  <c r="H3172" i="23"/>
  <c r="H3173" i="23"/>
  <c r="H3174" i="23"/>
  <c r="H3175" i="23"/>
  <c r="H3176" i="23"/>
  <c r="H3177" i="23"/>
  <c r="H3178" i="23"/>
  <c r="H3179" i="23"/>
  <c r="H3180" i="23"/>
  <c r="H3181" i="23"/>
  <c r="H3182" i="23"/>
  <c r="H3183" i="23"/>
  <c r="H3184" i="23"/>
  <c r="H3185" i="23"/>
  <c r="H3186" i="23"/>
  <c r="H3187" i="23"/>
  <c r="H3188" i="23"/>
  <c r="H3189" i="23"/>
  <c r="H3190" i="23"/>
  <c r="H3191" i="23"/>
  <c r="H3192" i="23"/>
  <c r="H3193" i="23"/>
  <c r="H3194" i="23"/>
  <c r="H3195" i="23"/>
  <c r="H3196" i="23"/>
  <c r="H3197" i="23"/>
  <c r="H3198" i="23"/>
  <c r="H3199" i="23"/>
  <c r="H3200" i="23"/>
  <c r="H3201" i="23"/>
  <c r="H3202" i="23"/>
  <c r="H3203" i="23"/>
  <c r="H3204" i="23"/>
  <c r="H3205" i="23"/>
  <c r="H3206" i="23"/>
  <c r="H3207" i="23"/>
  <c r="H3208" i="23"/>
  <c r="H3209" i="23"/>
  <c r="H3210" i="23"/>
  <c r="H3211" i="23"/>
  <c r="H3212" i="23"/>
  <c r="H3213" i="23"/>
  <c r="H3214" i="23"/>
  <c r="H3215" i="23"/>
  <c r="H3216" i="23"/>
  <c r="H3217" i="23"/>
  <c r="H3218" i="23"/>
  <c r="H3219" i="23"/>
  <c r="H3220" i="23"/>
  <c r="H3221" i="23"/>
  <c r="H3222" i="23"/>
  <c r="H3223" i="23"/>
  <c r="H3224" i="23"/>
  <c r="H3225" i="23"/>
  <c r="H3226" i="23"/>
  <c r="H3227" i="23"/>
  <c r="H3228" i="23"/>
  <c r="H3229" i="23"/>
  <c r="H3230" i="23"/>
  <c r="H3231" i="23"/>
  <c r="H3232" i="23"/>
  <c r="H3233" i="23"/>
  <c r="H3234" i="23"/>
  <c r="H3235" i="23"/>
  <c r="H3236" i="23"/>
  <c r="H3237" i="23"/>
  <c r="H3238" i="23"/>
  <c r="H3239" i="23"/>
  <c r="H3240" i="23"/>
  <c r="H3241" i="23"/>
  <c r="H3242" i="23"/>
  <c r="H3243" i="23"/>
  <c r="H3244" i="23"/>
  <c r="H3245" i="23"/>
  <c r="H3246" i="23"/>
  <c r="H3247" i="23"/>
  <c r="H3248" i="23"/>
  <c r="H3249" i="23"/>
  <c r="H3250" i="23"/>
  <c r="H3251" i="23"/>
  <c r="H3252" i="23"/>
  <c r="H3253" i="23"/>
  <c r="H3254" i="23"/>
  <c r="H3255" i="23"/>
  <c r="H3256" i="23"/>
  <c r="H3257" i="23"/>
  <c r="H3258" i="23"/>
  <c r="H3259" i="23"/>
  <c r="H3260" i="23"/>
  <c r="H3261" i="23"/>
  <c r="H3262" i="23"/>
  <c r="H3263" i="23"/>
  <c r="H3264" i="23"/>
  <c r="H3265" i="23"/>
  <c r="H3266" i="23"/>
  <c r="H3267" i="23"/>
  <c r="H3268" i="23"/>
  <c r="H3269" i="23"/>
  <c r="H3270" i="23"/>
  <c r="H3271" i="23"/>
  <c r="H3272" i="23"/>
  <c r="H3273" i="23"/>
  <c r="H3274" i="23"/>
  <c r="H3275" i="23"/>
  <c r="H3276" i="23"/>
  <c r="H3277" i="23"/>
  <c r="H3278" i="23"/>
  <c r="H3279" i="23"/>
  <c r="H3280" i="23"/>
  <c r="H3281" i="23"/>
  <c r="H3282" i="23"/>
  <c r="H3283" i="23"/>
  <c r="H3284" i="23"/>
  <c r="H3285" i="23"/>
  <c r="H3286" i="23"/>
  <c r="H3287" i="23"/>
  <c r="H3288" i="23"/>
  <c r="H3289" i="23"/>
  <c r="H3290" i="23"/>
  <c r="H3291" i="23"/>
  <c r="H3292" i="23"/>
  <c r="H3293" i="23"/>
  <c r="H3294" i="23"/>
  <c r="H3295" i="23"/>
  <c r="H3296" i="23"/>
  <c r="H3297" i="23"/>
  <c r="H3298" i="23"/>
  <c r="H3299" i="23"/>
  <c r="H3300" i="23"/>
  <c r="H3301" i="23"/>
  <c r="H3302" i="23"/>
  <c r="H3303" i="23"/>
  <c r="H3304" i="23"/>
  <c r="H3305" i="23"/>
  <c r="H3306" i="23"/>
  <c r="H3307" i="23"/>
  <c r="H3308" i="23"/>
  <c r="H3309" i="23"/>
  <c r="H3310" i="23"/>
  <c r="H3311" i="23"/>
  <c r="H3312" i="23"/>
  <c r="H3313" i="23"/>
  <c r="H3314" i="23"/>
  <c r="H3315" i="23"/>
  <c r="H3316" i="23"/>
  <c r="H3317" i="23"/>
  <c r="H3318" i="23"/>
  <c r="H3319" i="23"/>
  <c r="H3320" i="23"/>
  <c r="H3321" i="23"/>
  <c r="H3322" i="23"/>
  <c r="H3323" i="23"/>
  <c r="H3324" i="23"/>
  <c r="H3325" i="23"/>
  <c r="H3326" i="23"/>
  <c r="H3327" i="23"/>
  <c r="H3328" i="23"/>
  <c r="H3329" i="23"/>
  <c r="H3330" i="23"/>
  <c r="H3331" i="23"/>
  <c r="H3332" i="23"/>
  <c r="H3333" i="23"/>
  <c r="H3334" i="23"/>
  <c r="H3335" i="23"/>
  <c r="H3336" i="23"/>
  <c r="H3337" i="23"/>
  <c r="H3338" i="23"/>
  <c r="H3339" i="23"/>
  <c r="H3340" i="23"/>
  <c r="H3341" i="23"/>
  <c r="H3342" i="23"/>
  <c r="H3343" i="23"/>
  <c r="H3344" i="23"/>
  <c r="H3345" i="23"/>
  <c r="H3346" i="23"/>
  <c r="H3347" i="23"/>
  <c r="H3348" i="23"/>
  <c r="H3349" i="23"/>
  <c r="H3350" i="23"/>
  <c r="H3351" i="23"/>
  <c r="H3352" i="23"/>
  <c r="H3353" i="23"/>
  <c r="H3354" i="23"/>
  <c r="H3355" i="23"/>
  <c r="H3356" i="23"/>
  <c r="H3357" i="23"/>
  <c r="H3358" i="23"/>
  <c r="H3359" i="23"/>
  <c r="H3360" i="23"/>
  <c r="H3361" i="23"/>
  <c r="H3362" i="23"/>
  <c r="H3363" i="23"/>
  <c r="H3364" i="23"/>
  <c r="H3365" i="23"/>
  <c r="H3366" i="23"/>
  <c r="H3367" i="23"/>
  <c r="H3368" i="23"/>
  <c r="H3369" i="23"/>
  <c r="H3370" i="23"/>
  <c r="H3371" i="23"/>
  <c r="H3372" i="23"/>
  <c r="H3373" i="23"/>
  <c r="H3374" i="23"/>
  <c r="H3375" i="23"/>
  <c r="H3376" i="23"/>
  <c r="H3377" i="23"/>
  <c r="H3378" i="23"/>
  <c r="H3379" i="23"/>
  <c r="H3380" i="23"/>
  <c r="H3381" i="23"/>
  <c r="H3382" i="23"/>
  <c r="H3383" i="23"/>
  <c r="H3384" i="23"/>
  <c r="H3385" i="23"/>
  <c r="H3386" i="23"/>
  <c r="H3387" i="23"/>
  <c r="H3388" i="23"/>
  <c r="H3389" i="23"/>
  <c r="H3390" i="23"/>
  <c r="H3391" i="23"/>
  <c r="H3392" i="23"/>
  <c r="H3393" i="23"/>
  <c r="H3394" i="23"/>
  <c r="H3395" i="23"/>
  <c r="H3396" i="23"/>
  <c r="H3397" i="23"/>
  <c r="H3398" i="23"/>
  <c r="H3399" i="23"/>
  <c r="H3400" i="23"/>
  <c r="H3401" i="23"/>
  <c r="H3402" i="23"/>
  <c r="H3403" i="23"/>
  <c r="H3404" i="23"/>
  <c r="H3405" i="23"/>
  <c r="H3406" i="23"/>
  <c r="H3407" i="23"/>
  <c r="H3408" i="23"/>
  <c r="H3409" i="23"/>
  <c r="H3410" i="23"/>
  <c r="H3411" i="23"/>
  <c r="H3412" i="23"/>
  <c r="H3413" i="23"/>
  <c r="H3414" i="23"/>
  <c r="H3415" i="23"/>
  <c r="H3416" i="23"/>
  <c r="H3417" i="23"/>
  <c r="H3418" i="23"/>
  <c r="H3419" i="23"/>
  <c r="H3420" i="23"/>
  <c r="H3421" i="23"/>
  <c r="H3422" i="23"/>
  <c r="H3423" i="23"/>
  <c r="H3424" i="23"/>
  <c r="H3425" i="23"/>
  <c r="H3426" i="23"/>
  <c r="H3427" i="23"/>
  <c r="H3428" i="23"/>
  <c r="H3429" i="23"/>
  <c r="H3430" i="23"/>
  <c r="H3431" i="23"/>
  <c r="H3432" i="23"/>
  <c r="H3433" i="23"/>
  <c r="H3434" i="23"/>
  <c r="H3435" i="23"/>
  <c r="H3436" i="23"/>
  <c r="H3437" i="23"/>
  <c r="H3438" i="23"/>
  <c r="H3439" i="23"/>
  <c r="H3440" i="23"/>
  <c r="H3441" i="23"/>
  <c r="H3442" i="23"/>
  <c r="H3443" i="23"/>
  <c r="H3444" i="23"/>
  <c r="H3445" i="23"/>
  <c r="H3446" i="23"/>
  <c r="H3447" i="23"/>
  <c r="H3448" i="23"/>
  <c r="H3449" i="23"/>
  <c r="H3450" i="23"/>
  <c r="H3451" i="23"/>
  <c r="H3452" i="23"/>
  <c r="H3453" i="23"/>
  <c r="H3454" i="23"/>
  <c r="H3455" i="23"/>
  <c r="H3456" i="23"/>
  <c r="H3457" i="23"/>
  <c r="H3458" i="23"/>
  <c r="H3459" i="23"/>
  <c r="H3460" i="23"/>
  <c r="H3461" i="23"/>
  <c r="H3462" i="23"/>
  <c r="H3463" i="23"/>
  <c r="H3464" i="23"/>
  <c r="H3465" i="23"/>
  <c r="H3466" i="23"/>
  <c r="H3467" i="23"/>
  <c r="H3468" i="23"/>
  <c r="H3469" i="23"/>
  <c r="H3470" i="23"/>
  <c r="H3471" i="23"/>
  <c r="H3472" i="23"/>
  <c r="H3473" i="23"/>
  <c r="H3474" i="23"/>
  <c r="H3475" i="23"/>
  <c r="H3476" i="23"/>
  <c r="H3477" i="23"/>
  <c r="H3478" i="23"/>
  <c r="H3479" i="23"/>
  <c r="H3480" i="23"/>
  <c r="H3481" i="23"/>
  <c r="H3482" i="23"/>
  <c r="H3483" i="23"/>
  <c r="H3484" i="23"/>
  <c r="H3485" i="23"/>
  <c r="H3486" i="23"/>
  <c r="H3487" i="23"/>
  <c r="H3488" i="23"/>
  <c r="H3489" i="23"/>
  <c r="H3490" i="23"/>
  <c r="H3491" i="23"/>
  <c r="H3492" i="23"/>
  <c r="H3493" i="23"/>
  <c r="H3494" i="23"/>
  <c r="H3495" i="23"/>
  <c r="H3496" i="23"/>
  <c r="H3497" i="23"/>
  <c r="H3498" i="23"/>
  <c r="H3499" i="23"/>
  <c r="H3500" i="23"/>
  <c r="H3501" i="23"/>
  <c r="H3502" i="23"/>
  <c r="H3503" i="23"/>
  <c r="H3504" i="23"/>
  <c r="H3505" i="23"/>
  <c r="H3506" i="23"/>
  <c r="H3507" i="23"/>
  <c r="H3508" i="23"/>
  <c r="H3509" i="23"/>
  <c r="H3510" i="23"/>
  <c r="H3511" i="23"/>
  <c r="H3512" i="23"/>
  <c r="H3513" i="23"/>
  <c r="H3514" i="23"/>
  <c r="H3515" i="23"/>
  <c r="H3516" i="23"/>
  <c r="H3517" i="23"/>
  <c r="H3518" i="23"/>
  <c r="H3519" i="23"/>
  <c r="H3520" i="23"/>
  <c r="H3521" i="23"/>
  <c r="H3522" i="23"/>
  <c r="H3523" i="23"/>
  <c r="H3524" i="23"/>
  <c r="H3525" i="23"/>
  <c r="H3526" i="23"/>
  <c r="H3527" i="23"/>
  <c r="H3528" i="23"/>
  <c r="H3529" i="23"/>
  <c r="H3530" i="23"/>
  <c r="H3531" i="23"/>
  <c r="H3532" i="23"/>
  <c r="H3533" i="23"/>
  <c r="H3534" i="23"/>
  <c r="H3535" i="23"/>
  <c r="H3536" i="23"/>
  <c r="H3537" i="23"/>
  <c r="H3538" i="23"/>
  <c r="H3539" i="23"/>
  <c r="H3540" i="23"/>
  <c r="H3541" i="23"/>
  <c r="H3542" i="23"/>
  <c r="H3543" i="23"/>
  <c r="H3544" i="23"/>
  <c r="H3545" i="23"/>
  <c r="H3546" i="23"/>
  <c r="H3547" i="23"/>
  <c r="H3548" i="23"/>
  <c r="H3549" i="23"/>
  <c r="H3550" i="23"/>
  <c r="H3551" i="23"/>
  <c r="H3552" i="23"/>
  <c r="H3553" i="23"/>
  <c r="H3554" i="23"/>
  <c r="H3555" i="23"/>
  <c r="H3556" i="23"/>
  <c r="H3557" i="23"/>
  <c r="H3558" i="23"/>
  <c r="H3559" i="23"/>
  <c r="H3560" i="23"/>
  <c r="H3561" i="23"/>
  <c r="H3562" i="23"/>
  <c r="H3563" i="23"/>
  <c r="H3564" i="23"/>
  <c r="H3565" i="23"/>
  <c r="H3566" i="23"/>
  <c r="H3567" i="23"/>
  <c r="H3568" i="23"/>
  <c r="H3569" i="23"/>
  <c r="H3570" i="23"/>
  <c r="H3571" i="23"/>
  <c r="H3572" i="23"/>
  <c r="H3573" i="23"/>
  <c r="H3574" i="23"/>
  <c r="H3575" i="23"/>
  <c r="H3576" i="23"/>
  <c r="H3577" i="23"/>
  <c r="H3578" i="23"/>
  <c r="H3579" i="23"/>
  <c r="H3580" i="23"/>
  <c r="H3581" i="23"/>
  <c r="H3582" i="23"/>
  <c r="H3583" i="23"/>
  <c r="H3584" i="23"/>
  <c r="H3585" i="23"/>
  <c r="H3586" i="23"/>
  <c r="H3587" i="23"/>
  <c r="H3588" i="23"/>
  <c r="H3589" i="23"/>
  <c r="H3590" i="23"/>
  <c r="H3591" i="23"/>
  <c r="H3592" i="23"/>
  <c r="H3593" i="23"/>
  <c r="H3594" i="23"/>
  <c r="H3595" i="23"/>
  <c r="H3596" i="23"/>
  <c r="H3597" i="23"/>
  <c r="H3598" i="23"/>
  <c r="H3599" i="23"/>
  <c r="H3600" i="23"/>
  <c r="H3601" i="23"/>
  <c r="H3602" i="23"/>
  <c r="H3603" i="23"/>
  <c r="H3604" i="23"/>
  <c r="H3605" i="23"/>
  <c r="H3606" i="23"/>
  <c r="H3607" i="23"/>
  <c r="H3608" i="23"/>
  <c r="H3609" i="23"/>
  <c r="H3610" i="23"/>
  <c r="H3611" i="23"/>
  <c r="H3612" i="23"/>
  <c r="H3613" i="23"/>
  <c r="H3614" i="23"/>
  <c r="H3615" i="23"/>
  <c r="H3616" i="23"/>
  <c r="H3617" i="23"/>
  <c r="H3618" i="23"/>
  <c r="H3619" i="23"/>
  <c r="H3620" i="23"/>
  <c r="H3621" i="23"/>
  <c r="H3622" i="23"/>
  <c r="H3623" i="23"/>
  <c r="H3624" i="23"/>
  <c r="H3625" i="23"/>
  <c r="H3626" i="23"/>
  <c r="H3627" i="23"/>
  <c r="H3628" i="23"/>
  <c r="H3629" i="23"/>
  <c r="H3630" i="23"/>
  <c r="H3631" i="23"/>
  <c r="H3632" i="23"/>
  <c r="H3633" i="23"/>
  <c r="H3634" i="23"/>
  <c r="H3635" i="23"/>
  <c r="H3636" i="23"/>
  <c r="H3637" i="23"/>
  <c r="H3638" i="23"/>
  <c r="H3639" i="23"/>
  <c r="H3640" i="23"/>
  <c r="H3641" i="23"/>
  <c r="H3642" i="23"/>
  <c r="H3643" i="23"/>
  <c r="H3644" i="23"/>
  <c r="H3645" i="23"/>
  <c r="H3646" i="23"/>
  <c r="H3647" i="23"/>
  <c r="H3648" i="23"/>
  <c r="H3649" i="23"/>
  <c r="H3650" i="23"/>
  <c r="H3651" i="23"/>
  <c r="H3652" i="23"/>
  <c r="H3653" i="23"/>
  <c r="H3654" i="23"/>
  <c r="H3655" i="23"/>
  <c r="H3656" i="23"/>
  <c r="H3657" i="23"/>
  <c r="H3658" i="23"/>
  <c r="H3659" i="23"/>
  <c r="H3660" i="23"/>
  <c r="H3661" i="23"/>
  <c r="H3662" i="23"/>
  <c r="H3663" i="23"/>
  <c r="H3664" i="23"/>
  <c r="H3665" i="23"/>
  <c r="H3666" i="23"/>
  <c r="H3667" i="23"/>
  <c r="H3668" i="23"/>
  <c r="H3669" i="23"/>
  <c r="H3670" i="23"/>
  <c r="H3671" i="23"/>
  <c r="H3672" i="23"/>
  <c r="H3673" i="23"/>
  <c r="H3674" i="23"/>
  <c r="H3675" i="23"/>
  <c r="H3676" i="23"/>
  <c r="H3677" i="23"/>
  <c r="H3678" i="23"/>
  <c r="H3679" i="23"/>
  <c r="H3680" i="23"/>
  <c r="H3681" i="23"/>
  <c r="H3682" i="23"/>
  <c r="H3683" i="23"/>
  <c r="H3684" i="23"/>
  <c r="H3685" i="23"/>
  <c r="H3686" i="23"/>
  <c r="H3687" i="23"/>
  <c r="H3688" i="23"/>
  <c r="H3689" i="23"/>
  <c r="H3690" i="23"/>
  <c r="H3691" i="23"/>
  <c r="H3692" i="23"/>
  <c r="H3693" i="23"/>
  <c r="H3694" i="23"/>
  <c r="H3695" i="23"/>
  <c r="H3696" i="23"/>
  <c r="H3697" i="23"/>
  <c r="H3698" i="23"/>
  <c r="H3699" i="23"/>
  <c r="H3700" i="23"/>
  <c r="H3701" i="23"/>
  <c r="H3702" i="23"/>
  <c r="H3703" i="23"/>
  <c r="H3704" i="23"/>
  <c r="H3705" i="23"/>
  <c r="H3706" i="23"/>
  <c r="H3707" i="23"/>
  <c r="H3708" i="23"/>
  <c r="H3709" i="23"/>
  <c r="H3710" i="23"/>
  <c r="H3711" i="23"/>
  <c r="H3712" i="23"/>
  <c r="H3713" i="23"/>
  <c r="H3714" i="23"/>
  <c r="H3715" i="23"/>
  <c r="H3716" i="23"/>
  <c r="H3717" i="23"/>
  <c r="H3718" i="23"/>
  <c r="H3719" i="23"/>
  <c r="H3720" i="23"/>
  <c r="H3721" i="23"/>
  <c r="H3722" i="23"/>
  <c r="H3723" i="23"/>
  <c r="H3724" i="23"/>
  <c r="H3725" i="23"/>
  <c r="H3726" i="23"/>
  <c r="H3727" i="23"/>
  <c r="H3728" i="23"/>
  <c r="H3729" i="23"/>
  <c r="H3730" i="23"/>
  <c r="H3731" i="23"/>
  <c r="H3732" i="23"/>
  <c r="H3733" i="23"/>
  <c r="H3734" i="23"/>
  <c r="H3735" i="23"/>
  <c r="H3736" i="23"/>
  <c r="H3737" i="23"/>
  <c r="H3738" i="23"/>
  <c r="H3739" i="23"/>
  <c r="H3740" i="23"/>
  <c r="H3741" i="23"/>
  <c r="H3742" i="23"/>
  <c r="H3743" i="23"/>
  <c r="H3744" i="23"/>
  <c r="H3745" i="23"/>
  <c r="H3746" i="23"/>
  <c r="H3747" i="23"/>
  <c r="H3748" i="23"/>
  <c r="H3749" i="23"/>
  <c r="H3750" i="23"/>
  <c r="H3751" i="23"/>
  <c r="H3752" i="23"/>
  <c r="H3753" i="23"/>
  <c r="H3754" i="23"/>
  <c r="H3755" i="23"/>
  <c r="H3756" i="23"/>
  <c r="H3757" i="23"/>
  <c r="H3758" i="23"/>
  <c r="H3759" i="23"/>
  <c r="H3760" i="23"/>
  <c r="H3761" i="23"/>
  <c r="H3762" i="23"/>
  <c r="H3763" i="23"/>
  <c r="H3764" i="23"/>
  <c r="H3765" i="23"/>
  <c r="H3766" i="23"/>
  <c r="H3767" i="23"/>
  <c r="H3768" i="23"/>
  <c r="H3769" i="23"/>
  <c r="H3770" i="23"/>
  <c r="H3771" i="23"/>
  <c r="H3772" i="23"/>
  <c r="H3773" i="23"/>
  <c r="H3774" i="23"/>
  <c r="H3775" i="23"/>
  <c r="H3776" i="23"/>
  <c r="H3777" i="23"/>
  <c r="H3778" i="23"/>
  <c r="H3779" i="23"/>
  <c r="H3780" i="23"/>
  <c r="H3781" i="23"/>
  <c r="H3782" i="23"/>
  <c r="H3783" i="23"/>
  <c r="H3784" i="23"/>
  <c r="H3785" i="23"/>
  <c r="H3786" i="23"/>
  <c r="H3787" i="23"/>
  <c r="H3788" i="23"/>
  <c r="H3789" i="23"/>
  <c r="H3790" i="23"/>
  <c r="H3791" i="23"/>
  <c r="H3792" i="23"/>
  <c r="H3793" i="23"/>
  <c r="H3794" i="23"/>
  <c r="H3795" i="23"/>
  <c r="H3796" i="23"/>
  <c r="H3797" i="23"/>
  <c r="H3798" i="23"/>
  <c r="H3799" i="23"/>
  <c r="H3800" i="23"/>
  <c r="H3801" i="23"/>
  <c r="H3802" i="23"/>
  <c r="H3803" i="23"/>
  <c r="H3804" i="23"/>
  <c r="H3805" i="23"/>
  <c r="H3806" i="23"/>
  <c r="H3807" i="23"/>
  <c r="H3808" i="23"/>
  <c r="H3809" i="23"/>
  <c r="H3810" i="23"/>
  <c r="H3811" i="23"/>
  <c r="H3812" i="23"/>
  <c r="H3813" i="23"/>
  <c r="H3814" i="23"/>
  <c r="H3815" i="23"/>
  <c r="H3816" i="23"/>
  <c r="H3817" i="23"/>
  <c r="H3818" i="23"/>
  <c r="H3819" i="23"/>
  <c r="H3820" i="23"/>
  <c r="H3821" i="23"/>
  <c r="H3822" i="23"/>
  <c r="H3823" i="23"/>
  <c r="H3824" i="23"/>
  <c r="H3825" i="23"/>
  <c r="H3826" i="23"/>
  <c r="H3827" i="23"/>
  <c r="H3828" i="23"/>
  <c r="H3829" i="23"/>
  <c r="H3830" i="23"/>
  <c r="H3831" i="23"/>
  <c r="H3832" i="23"/>
  <c r="H3833" i="23"/>
  <c r="H3834" i="23"/>
  <c r="H3835" i="23"/>
  <c r="H3836" i="23"/>
  <c r="H3837" i="23"/>
  <c r="H3838" i="23"/>
  <c r="H3839" i="23"/>
  <c r="H3840" i="23"/>
  <c r="H3841" i="23"/>
  <c r="H3842" i="23"/>
  <c r="H3843" i="23"/>
  <c r="H3844" i="23"/>
  <c r="H3845" i="23"/>
  <c r="H3846" i="23"/>
  <c r="H3847" i="23"/>
  <c r="H3848" i="23"/>
  <c r="H3849" i="23"/>
  <c r="H3850" i="23"/>
  <c r="H3851" i="23"/>
  <c r="H3852" i="23"/>
  <c r="H3853" i="23"/>
  <c r="H3854" i="23"/>
  <c r="H3855" i="23"/>
  <c r="H3856" i="23"/>
  <c r="H3857" i="23"/>
  <c r="H3858" i="23"/>
  <c r="H3859" i="23"/>
  <c r="H3860" i="23"/>
  <c r="H3861" i="23"/>
  <c r="H3862" i="23"/>
  <c r="H3863" i="23"/>
  <c r="H3864" i="23"/>
  <c r="H3865" i="23"/>
  <c r="H3866" i="23"/>
  <c r="H3867" i="23"/>
  <c r="H3868" i="23"/>
  <c r="H3869" i="23"/>
  <c r="H3870" i="23"/>
  <c r="H3871" i="23"/>
  <c r="H3872" i="23"/>
  <c r="H3873" i="23"/>
  <c r="H3874" i="23"/>
  <c r="H3875" i="23"/>
  <c r="H3876" i="23"/>
  <c r="H3877" i="23"/>
  <c r="H3878" i="23"/>
  <c r="H3879" i="23"/>
  <c r="H3880" i="23"/>
  <c r="H3881" i="23"/>
  <c r="H3882" i="23"/>
  <c r="H3883" i="23"/>
  <c r="H3884" i="23"/>
  <c r="H3885" i="23"/>
  <c r="H3886" i="23"/>
  <c r="H3887" i="23"/>
  <c r="H3888" i="23"/>
  <c r="H3889" i="23"/>
  <c r="H3890" i="23"/>
  <c r="H3891" i="23"/>
  <c r="H3892" i="23"/>
  <c r="H3893" i="23"/>
  <c r="H3894" i="23"/>
  <c r="H3895" i="23"/>
  <c r="H3896" i="23"/>
  <c r="H3897" i="23"/>
  <c r="H3898" i="23"/>
  <c r="H3899" i="23"/>
  <c r="H3900" i="23"/>
  <c r="H3901" i="23"/>
  <c r="H3902" i="23"/>
  <c r="H3903" i="23"/>
  <c r="H3904" i="23"/>
  <c r="H3905" i="23"/>
  <c r="H3906" i="23"/>
  <c r="H3907" i="23"/>
  <c r="H3908" i="23"/>
  <c r="H3909" i="23"/>
  <c r="H3910" i="23"/>
  <c r="H3911" i="23"/>
  <c r="H3912" i="23"/>
  <c r="H3913" i="23"/>
  <c r="H3914" i="23"/>
  <c r="H3915" i="23"/>
  <c r="H3916" i="23"/>
  <c r="H3917" i="23"/>
  <c r="H3918" i="23"/>
  <c r="H3919" i="23"/>
  <c r="H3920" i="23"/>
  <c r="H3921" i="23"/>
  <c r="H3922" i="23"/>
  <c r="H3923" i="23"/>
  <c r="H3924" i="23"/>
  <c r="H3925" i="23"/>
  <c r="H3926" i="23"/>
  <c r="H3927" i="23"/>
  <c r="H3928" i="23"/>
  <c r="H3929" i="23"/>
  <c r="H3930" i="23"/>
  <c r="H3931" i="23"/>
  <c r="H3932" i="23"/>
  <c r="H3933" i="23"/>
  <c r="H3934" i="23"/>
  <c r="H3935" i="23"/>
  <c r="H3936" i="23"/>
  <c r="H3937" i="23"/>
  <c r="H3938" i="23"/>
  <c r="H3939" i="23"/>
  <c r="H3940" i="23"/>
  <c r="H3941" i="23"/>
  <c r="H3942" i="23"/>
  <c r="H3943" i="23"/>
  <c r="H3944" i="23"/>
  <c r="H3945" i="23"/>
  <c r="H3946" i="23"/>
  <c r="H3947" i="23"/>
  <c r="H3948" i="23"/>
  <c r="H3949" i="23"/>
  <c r="H3950" i="23"/>
  <c r="H3951" i="23"/>
  <c r="H3952" i="23"/>
  <c r="H3953" i="23"/>
  <c r="H3954" i="23"/>
  <c r="H3955" i="23"/>
  <c r="H3956" i="23"/>
  <c r="H3957" i="23"/>
  <c r="H3958" i="23"/>
  <c r="H3959" i="23"/>
  <c r="H3960" i="23"/>
  <c r="H3961" i="23"/>
  <c r="H3962" i="23"/>
  <c r="H3963" i="23"/>
  <c r="H3964" i="23"/>
  <c r="H3965" i="23"/>
  <c r="H3966" i="23"/>
  <c r="H3967" i="23"/>
  <c r="H3968" i="23"/>
  <c r="H3969" i="23"/>
  <c r="H3970" i="23"/>
  <c r="H3971" i="23"/>
  <c r="H3972" i="23"/>
  <c r="H3973" i="23"/>
  <c r="H3974" i="23"/>
  <c r="H3975" i="23"/>
  <c r="H3976" i="23"/>
  <c r="H3977" i="23"/>
  <c r="H3978" i="23"/>
  <c r="H3979" i="23"/>
  <c r="H3980" i="23"/>
  <c r="H3981" i="23"/>
  <c r="H3982" i="23"/>
  <c r="H3983" i="23"/>
  <c r="H3984" i="23"/>
  <c r="H3985" i="23"/>
  <c r="H3986" i="23"/>
  <c r="H3987" i="23"/>
  <c r="H3988" i="23"/>
  <c r="H3989" i="23"/>
  <c r="H3990" i="23"/>
  <c r="H3991" i="23"/>
  <c r="H3992" i="23"/>
  <c r="H3993" i="23"/>
  <c r="H3994" i="23"/>
  <c r="H3995" i="23"/>
  <c r="H3996" i="23"/>
  <c r="H3997" i="23"/>
  <c r="H3998" i="23"/>
  <c r="H3999" i="23"/>
  <c r="H4000" i="23"/>
  <c r="H4001" i="23"/>
  <c r="H4002" i="23"/>
  <c r="H4003" i="23"/>
  <c r="H4004" i="23"/>
  <c r="H4005" i="23"/>
  <c r="H4006" i="23"/>
  <c r="H4007" i="23"/>
  <c r="H4008" i="23"/>
  <c r="H4009" i="23"/>
  <c r="H4010" i="23"/>
  <c r="H4011" i="23"/>
  <c r="H4012" i="23"/>
  <c r="H4013" i="23"/>
  <c r="H4014" i="23"/>
  <c r="H4015" i="23"/>
  <c r="H4016" i="23"/>
  <c r="H4017" i="23"/>
  <c r="H4018" i="23"/>
  <c r="H4019" i="23"/>
  <c r="H4020" i="23"/>
  <c r="H4021" i="23"/>
  <c r="H4022" i="23"/>
  <c r="H4023" i="23"/>
  <c r="H4024" i="23"/>
  <c r="H4025" i="23"/>
  <c r="H4026" i="23"/>
  <c r="H4027" i="23"/>
  <c r="H4028" i="23"/>
  <c r="H4029" i="23"/>
  <c r="H4030" i="23"/>
  <c r="H4031" i="23"/>
  <c r="H4032" i="23"/>
  <c r="H4033" i="23"/>
  <c r="H4034" i="23"/>
  <c r="H4035" i="23"/>
  <c r="H4036" i="23"/>
  <c r="H4037" i="23"/>
  <c r="H4038" i="23"/>
  <c r="H4039" i="23"/>
  <c r="H4040" i="23"/>
  <c r="H4041" i="23"/>
  <c r="H4042" i="23"/>
  <c r="H4043" i="23"/>
  <c r="H4044" i="23"/>
  <c r="H4045" i="23"/>
  <c r="H4046" i="23"/>
  <c r="H4047" i="23"/>
  <c r="H4048" i="23"/>
  <c r="H4049" i="23"/>
  <c r="H4050" i="23"/>
  <c r="H4051" i="23"/>
  <c r="H4052" i="23"/>
  <c r="H4053" i="23"/>
  <c r="H4054" i="23"/>
  <c r="H4055" i="23"/>
  <c r="H4056" i="23"/>
  <c r="H4057" i="23"/>
  <c r="H4058" i="23"/>
  <c r="H4059" i="23"/>
  <c r="H4060" i="23"/>
  <c r="H4061" i="23"/>
  <c r="H4062" i="23"/>
  <c r="H4063" i="23"/>
  <c r="H4064" i="23"/>
  <c r="H4065" i="23"/>
  <c r="H4066" i="23"/>
  <c r="H4067" i="23"/>
  <c r="H4068" i="23"/>
  <c r="H4069" i="23"/>
  <c r="H4070" i="23"/>
  <c r="H4071" i="23"/>
  <c r="H4072" i="23"/>
  <c r="H4073" i="23"/>
  <c r="H4074" i="23"/>
  <c r="H4075" i="23"/>
  <c r="H4076" i="23"/>
  <c r="H4077" i="23"/>
  <c r="H4078" i="23"/>
  <c r="H4079" i="23"/>
  <c r="H4080" i="23"/>
  <c r="H4081" i="23"/>
  <c r="H4082" i="23"/>
  <c r="H4083" i="23"/>
  <c r="H4084" i="23"/>
  <c r="H4085" i="23"/>
  <c r="H4086" i="23"/>
  <c r="H4087" i="23"/>
  <c r="H4088" i="23"/>
  <c r="H4089" i="23"/>
  <c r="H4090" i="23"/>
  <c r="H4091" i="23"/>
  <c r="H4092" i="23"/>
  <c r="H4093" i="23"/>
  <c r="H4094" i="23"/>
  <c r="H4095" i="23"/>
  <c r="H4096" i="23"/>
  <c r="H4097" i="23"/>
  <c r="H4098" i="23"/>
  <c r="H4099" i="23"/>
  <c r="H4100" i="23"/>
  <c r="H4101" i="23"/>
  <c r="H4102" i="23"/>
  <c r="H4103" i="23"/>
  <c r="H4104" i="23"/>
  <c r="H4105" i="23"/>
  <c r="H4106" i="23"/>
  <c r="H4107" i="23"/>
  <c r="H4108" i="23"/>
  <c r="H4109" i="23"/>
  <c r="H4110" i="23"/>
  <c r="H4111" i="23"/>
  <c r="H4112" i="23"/>
  <c r="H4113" i="23"/>
  <c r="H4114" i="23"/>
  <c r="H4115" i="23"/>
  <c r="H4116" i="23"/>
  <c r="H4117" i="23"/>
  <c r="H4118" i="23"/>
  <c r="H4119" i="23"/>
  <c r="H4120" i="23"/>
  <c r="H4121" i="23"/>
  <c r="H4122" i="23"/>
  <c r="H4123" i="23"/>
  <c r="H4124" i="23"/>
  <c r="H4125" i="23"/>
  <c r="H4126" i="23"/>
  <c r="I2" i="23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201" i="23"/>
  <c r="I202" i="23"/>
  <c r="I203" i="23"/>
  <c r="I204" i="23"/>
  <c r="I205" i="23"/>
  <c r="I206" i="23"/>
  <c r="I207" i="23"/>
  <c r="I208" i="23"/>
  <c r="I209" i="23"/>
  <c r="I210" i="23"/>
  <c r="I211" i="23"/>
  <c r="I212" i="23"/>
  <c r="I213" i="23"/>
  <c r="I214" i="23"/>
  <c r="I215" i="23"/>
  <c r="I216" i="23"/>
  <c r="I217" i="23"/>
  <c r="I218" i="23"/>
  <c r="I219" i="23"/>
  <c r="I220" i="23"/>
  <c r="I221" i="23"/>
  <c r="I222" i="23"/>
  <c r="I223" i="23"/>
  <c r="I224" i="23"/>
  <c r="I225" i="23"/>
  <c r="I226" i="23"/>
  <c r="I227" i="23"/>
  <c r="I228" i="23"/>
  <c r="I229" i="23"/>
  <c r="I230" i="23"/>
  <c r="I231" i="23"/>
  <c r="I232" i="23"/>
  <c r="I233" i="23"/>
  <c r="I234" i="23"/>
  <c r="I235" i="23"/>
  <c r="I236" i="23"/>
  <c r="I237" i="23"/>
  <c r="I238" i="23"/>
  <c r="I239" i="23"/>
  <c r="I240" i="23"/>
  <c r="I241" i="23"/>
  <c r="I242" i="23"/>
  <c r="I243" i="23"/>
  <c r="I244" i="23"/>
  <c r="I245" i="23"/>
  <c r="I246" i="23"/>
  <c r="I247" i="23"/>
  <c r="I248" i="23"/>
  <c r="I249" i="23"/>
  <c r="I250" i="23"/>
  <c r="I251" i="23"/>
  <c r="I252" i="23"/>
  <c r="I253" i="23"/>
  <c r="I254" i="23"/>
  <c r="I255" i="23"/>
  <c r="I256" i="23"/>
  <c r="I257" i="23"/>
  <c r="I258" i="23"/>
  <c r="I259" i="23"/>
  <c r="I260" i="23"/>
  <c r="I261" i="23"/>
  <c r="I262" i="23"/>
  <c r="I263" i="23"/>
  <c r="I264" i="23"/>
  <c r="I265" i="23"/>
  <c r="I266" i="23"/>
  <c r="I267" i="23"/>
  <c r="I268" i="23"/>
  <c r="I269" i="23"/>
  <c r="I270" i="23"/>
  <c r="I271" i="23"/>
  <c r="I272" i="23"/>
  <c r="I273" i="23"/>
  <c r="I274" i="23"/>
  <c r="I275" i="23"/>
  <c r="I276" i="23"/>
  <c r="I277" i="23"/>
  <c r="I278" i="23"/>
  <c r="I279" i="23"/>
  <c r="I280" i="23"/>
  <c r="I281" i="23"/>
  <c r="I282" i="23"/>
  <c r="I283" i="23"/>
  <c r="I284" i="23"/>
  <c r="I285" i="23"/>
  <c r="I286" i="23"/>
  <c r="I287" i="23"/>
  <c r="I288" i="23"/>
  <c r="I289" i="23"/>
  <c r="I290" i="23"/>
  <c r="I291" i="23"/>
  <c r="I292" i="23"/>
  <c r="I293" i="23"/>
  <c r="I294" i="23"/>
  <c r="I295" i="23"/>
  <c r="I296" i="23"/>
  <c r="I297" i="23"/>
  <c r="I298" i="23"/>
  <c r="I299" i="23"/>
  <c r="I300" i="23"/>
  <c r="I301" i="23"/>
  <c r="I302" i="23"/>
  <c r="I303" i="23"/>
  <c r="I304" i="23"/>
  <c r="I305" i="23"/>
  <c r="I306" i="23"/>
  <c r="I307" i="23"/>
  <c r="I308" i="23"/>
  <c r="I309" i="23"/>
  <c r="I310" i="23"/>
  <c r="I311" i="23"/>
  <c r="I312" i="23"/>
  <c r="I313" i="23"/>
  <c r="I314" i="23"/>
  <c r="I315" i="23"/>
  <c r="I316" i="23"/>
  <c r="I317" i="23"/>
  <c r="I318" i="23"/>
  <c r="I319" i="23"/>
  <c r="I320" i="23"/>
  <c r="I321" i="23"/>
  <c r="I322" i="23"/>
  <c r="I323" i="23"/>
  <c r="I324" i="23"/>
  <c r="I325" i="23"/>
  <c r="I326" i="23"/>
  <c r="I327" i="23"/>
  <c r="I328" i="23"/>
  <c r="I329" i="23"/>
  <c r="I330" i="23"/>
  <c r="I331" i="23"/>
  <c r="I332" i="23"/>
  <c r="I333" i="23"/>
  <c r="I334" i="23"/>
  <c r="I335" i="23"/>
  <c r="I336" i="23"/>
  <c r="I337" i="23"/>
  <c r="I338" i="23"/>
  <c r="I339" i="23"/>
  <c r="I340" i="23"/>
  <c r="I341" i="23"/>
  <c r="I342" i="23"/>
  <c r="I343" i="23"/>
  <c r="I344" i="23"/>
  <c r="I345" i="23"/>
  <c r="I346" i="23"/>
  <c r="I347" i="23"/>
  <c r="I348" i="23"/>
  <c r="I349" i="23"/>
  <c r="I350" i="23"/>
  <c r="I351" i="23"/>
  <c r="I352" i="23"/>
  <c r="I353" i="23"/>
  <c r="I354" i="23"/>
  <c r="I355" i="23"/>
  <c r="I356" i="23"/>
  <c r="I357" i="23"/>
  <c r="I358" i="23"/>
  <c r="I359" i="23"/>
  <c r="I360" i="23"/>
  <c r="I361" i="23"/>
  <c r="I362" i="23"/>
  <c r="I363" i="23"/>
  <c r="I364" i="23"/>
  <c r="I365" i="23"/>
  <c r="I366" i="23"/>
  <c r="I367" i="23"/>
  <c r="I368" i="23"/>
  <c r="I369" i="23"/>
  <c r="I370" i="23"/>
  <c r="I371" i="23"/>
  <c r="I372" i="23"/>
  <c r="I373" i="23"/>
  <c r="I374" i="23"/>
  <c r="I375" i="23"/>
  <c r="I376" i="23"/>
  <c r="I377" i="23"/>
  <c r="I378" i="23"/>
  <c r="I379" i="23"/>
  <c r="I380" i="23"/>
  <c r="I381" i="23"/>
  <c r="I382" i="23"/>
  <c r="I383" i="23"/>
  <c r="I384" i="23"/>
  <c r="I385" i="23"/>
  <c r="I386" i="23"/>
  <c r="I387" i="23"/>
  <c r="I388" i="23"/>
  <c r="I389" i="23"/>
  <c r="I390" i="23"/>
  <c r="I391" i="23"/>
  <c r="I392" i="23"/>
  <c r="I393" i="23"/>
  <c r="I394" i="23"/>
  <c r="I395" i="23"/>
  <c r="I396" i="23"/>
  <c r="I397" i="23"/>
  <c r="I398" i="23"/>
  <c r="I399" i="23"/>
  <c r="I400" i="23"/>
  <c r="I401" i="23"/>
  <c r="I402" i="23"/>
  <c r="I403" i="23"/>
  <c r="I404" i="23"/>
  <c r="I405" i="23"/>
  <c r="I406" i="23"/>
  <c r="I407" i="23"/>
  <c r="I408" i="23"/>
  <c r="I409" i="23"/>
  <c r="I410" i="23"/>
  <c r="I411" i="23"/>
  <c r="I412" i="23"/>
  <c r="I413" i="23"/>
  <c r="I414" i="23"/>
  <c r="I415" i="23"/>
  <c r="I416" i="23"/>
  <c r="I417" i="23"/>
  <c r="I418" i="23"/>
  <c r="I419" i="23"/>
  <c r="I420" i="23"/>
  <c r="I421" i="23"/>
  <c r="I422" i="23"/>
  <c r="I423" i="23"/>
  <c r="I424" i="23"/>
  <c r="I425" i="23"/>
  <c r="I426" i="23"/>
  <c r="I427" i="23"/>
  <c r="I428" i="23"/>
  <c r="I429" i="23"/>
  <c r="I430" i="23"/>
  <c r="I431" i="23"/>
  <c r="I432" i="23"/>
  <c r="I433" i="23"/>
  <c r="I434" i="23"/>
  <c r="I435" i="23"/>
  <c r="I436" i="23"/>
  <c r="I437" i="23"/>
  <c r="I438" i="23"/>
  <c r="I439" i="23"/>
  <c r="I440" i="23"/>
  <c r="I441" i="23"/>
  <c r="I442" i="23"/>
  <c r="I443" i="23"/>
  <c r="I444" i="23"/>
  <c r="I445" i="23"/>
  <c r="I446" i="23"/>
  <c r="I447" i="23"/>
  <c r="I448" i="23"/>
  <c r="I449" i="23"/>
  <c r="I450" i="23"/>
  <c r="I451" i="23"/>
  <c r="I452" i="23"/>
  <c r="I453" i="23"/>
  <c r="I454" i="23"/>
  <c r="I455" i="23"/>
  <c r="I456" i="23"/>
  <c r="I457" i="23"/>
  <c r="I458" i="23"/>
  <c r="I459" i="23"/>
  <c r="I460" i="23"/>
  <c r="I461" i="23"/>
  <c r="I462" i="23"/>
  <c r="I463" i="23"/>
  <c r="I464" i="23"/>
  <c r="I465" i="23"/>
  <c r="I466" i="23"/>
  <c r="I467" i="23"/>
  <c r="I468" i="23"/>
  <c r="I469" i="23"/>
  <c r="I470" i="23"/>
  <c r="I471" i="23"/>
  <c r="I472" i="23"/>
  <c r="I473" i="23"/>
  <c r="I474" i="23"/>
  <c r="I475" i="23"/>
  <c r="I476" i="23"/>
  <c r="I477" i="23"/>
  <c r="I478" i="23"/>
  <c r="I479" i="23"/>
  <c r="I480" i="23"/>
  <c r="I481" i="23"/>
  <c r="I482" i="23"/>
  <c r="I483" i="23"/>
  <c r="I484" i="23"/>
  <c r="I485" i="23"/>
  <c r="I486" i="23"/>
  <c r="I487" i="23"/>
  <c r="I488" i="23"/>
  <c r="I489" i="23"/>
  <c r="I490" i="23"/>
  <c r="I491" i="23"/>
  <c r="I492" i="23"/>
  <c r="I493" i="23"/>
  <c r="I494" i="23"/>
  <c r="I495" i="23"/>
  <c r="I496" i="23"/>
  <c r="I497" i="23"/>
  <c r="I498" i="23"/>
  <c r="I499" i="23"/>
  <c r="I500" i="23"/>
  <c r="I501" i="23"/>
  <c r="I502" i="23"/>
  <c r="I503" i="23"/>
  <c r="I504" i="23"/>
  <c r="I505" i="23"/>
  <c r="I506" i="23"/>
  <c r="I507" i="23"/>
  <c r="I508" i="23"/>
  <c r="I509" i="23"/>
  <c r="I510" i="23"/>
  <c r="I511" i="23"/>
  <c r="I512" i="23"/>
  <c r="I513" i="23"/>
  <c r="I514" i="23"/>
  <c r="I515" i="23"/>
  <c r="I516" i="23"/>
  <c r="I517" i="23"/>
  <c r="I518" i="23"/>
  <c r="I519" i="23"/>
  <c r="I520" i="23"/>
  <c r="I521" i="23"/>
  <c r="I522" i="23"/>
  <c r="I523" i="23"/>
  <c r="I524" i="23"/>
  <c r="I525" i="23"/>
  <c r="I526" i="23"/>
  <c r="I527" i="23"/>
  <c r="I528" i="23"/>
  <c r="I529" i="23"/>
  <c r="I530" i="23"/>
  <c r="I531" i="23"/>
  <c r="I532" i="23"/>
  <c r="I533" i="23"/>
  <c r="I534" i="23"/>
  <c r="I535" i="23"/>
  <c r="I536" i="23"/>
  <c r="I537" i="23"/>
  <c r="I538" i="23"/>
  <c r="I539" i="23"/>
  <c r="I540" i="23"/>
  <c r="I541" i="23"/>
  <c r="I542" i="23"/>
  <c r="I543" i="23"/>
  <c r="I544" i="23"/>
  <c r="I545" i="23"/>
  <c r="I546" i="23"/>
  <c r="I547" i="23"/>
  <c r="I548" i="23"/>
  <c r="I549" i="23"/>
  <c r="I550" i="23"/>
  <c r="I551" i="23"/>
  <c r="I552" i="23"/>
  <c r="I553" i="23"/>
  <c r="I554" i="23"/>
  <c r="I555" i="23"/>
  <c r="I556" i="23"/>
  <c r="I557" i="23"/>
  <c r="I558" i="23"/>
  <c r="I559" i="23"/>
  <c r="I560" i="23"/>
  <c r="I561" i="23"/>
  <c r="I562" i="23"/>
  <c r="I563" i="23"/>
  <c r="I564" i="23"/>
  <c r="I565" i="23"/>
  <c r="I566" i="23"/>
  <c r="I567" i="23"/>
  <c r="I568" i="23"/>
  <c r="I569" i="23"/>
  <c r="I570" i="23"/>
  <c r="I571" i="23"/>
  <c r="I572" i="23"/>
  <c r="I573" i="23"/>
  <c r="I574" i="23"/>
  <c r="I575" i="23"/>
  <c r="I576" i="23"/>
  <c r="I577" i="23"/>
  <c r="I578" i="23"/>
  <c r="I579" i="23"/>
  <c r="I580" i="23"/>
  <c r="I581" i="23"/>
  <c r="I582" i="23"/>
  <c r="I583" i="23"/>
  <c r="I584" i="23"/>
  <c r="I585" i="23"/>
  <c r="I586" i="23"/>
  <c r="I587" i="23"/>
  <c r="I588" i="23"/>
  <c r="I589" i="23"/>
  <c r="I590" i="23"/>
  <c r="I591" i="23"/>
  <c r="I592" i="23"/>
  <c r="I593" i="23"/>
  <c r="I594" i="23"/>
  <c r="I595" i="23"/>
  <c r="I596" i="23"/>
  <c r="I597" i="23"/>
  <c r="I598" i="23"/>
  <c r="I599" i="23"/>
  <c r="I600" i="23"/>
  <c r="I601" i="23"/>
  <c r="I602" i="23"/>
  <c r="I603" i="23"/>
  <c r="I604" i="23"/>
  <c r="I605" i="23"/>
  <c r="I606" i="23"/>
  <c r="I607" i="23"/>
  <c r="I608" i="23"/>
  <c r="I609" i="23"/>
  <c r="I610" i="23"/>
  <c r="I611" i="23"/>
  <c r="I612" i="23"/>
  <c r="I613" i="23"/>
  <c r="I614" i="23"/>
  <c r="I615" i="23"/>
  <c r="I616" i="23"/>
  <c r="I617" i="23"/>
  <c r="I618" i="23"/>
  <c r="I619" i="23"/>
  <c r="I620" i="23"/>
  <c r="I621" i="23"/>
  <c r="I622" i="23"/>
  <c r="I623" i="23"/>
  <c r="I624" i="23"/>
  <c r="I625" i="23"/>
  <c r="I626" i="23"/>
  <c r="I627" i="23"/>
  <c r="I628" i="23"/>
  <c r="I629" i="23"/>
  <c r="I630" i="23"/>
  <c r="I631" i="23"/>
  <c r="I632" i="23"/>
  <c r="I633" i="23"/>
  <c r="I634" i="23"/>
  <c r="I635" i="23"/>
  <c r="I636" i="23"/>
  <c r="I637" i="23"/>
  <c r="I638" i="23"/>
  <c r="I639" i="23"/>
  <c r="I640" i="23"/>
  <c r="I641" i="23"/>
  <c r="I642" i="23"/>
  <c r="I643" i="23"/>
  <c r="I644" i="23"/>
  <c r="I645" i="23"/>
  <c r="I646" i="23"/>
  <c r="I647" i="23"/>
  <c r="I648" i="23"/>
  <c r="I649" i="23"/>
  <c r="I650" i="23"/>
  <c r="I651" i="23"/>
  <c r="I652" i="23"/>
  <c r="I653" i="23"/>
  <c r="I654" i="23"/>
  <c r="I655" i="23"/>
  <c r="I656" i="23"/>
  <c r="I657" i="23"/>
  <c r="I658" i="23"/>
  <c r="I659" i="23"/>
  <c r="I660" i="23"/>
  <c r="I661" i="23"/>
  <c r="I662" i="23"/>
  <c r="I663" i="23"/>
  <c r="I664" i="23"/>
  <c r="I665" i="23"/>
  <c r="I666" i="23"/>
  <c r="I667" i="23"/>
  <c r="I668" i="23"/>
  <c r="I669" i="23"/>
  <c r="I670" i="23"/>
  <c r="I671" i="23"/>
  <c r="I672" i="23"/>
  <c r="I673" i="23"/>
  <c r="I674" i="23"/>
  <c r="I675" i="23"/>
  <c r="I676" i="23"/>
  <c r="I677" i="23"/>
  <c r="I678" i="23"/>
  <c r="I679" i="23"/>
  <c r="I680" i="23"/>
  <c r="I681" i="23"/>
  <c r="I682" i="23"/>
  <c r="I683" i="23"/>
  <c r="I684" i="23"/>
  <c r="I685" i="23"/>
  <c r="I686" i="23"/>
  <c r="I687" i="23"/>
  <c r="I688" i="23"/>
  <c r="I689" i="23"/>
  <c r="I690" i="23"/>
  <c r="I691" i="23"/>
  <c r="I692" i="23"/>
  <c r="I693" i="23"/>
  <c r="I694" i="23"/>
  <c r="I695" i="23"/>
  <c r="I696" i="23"/>
  <c r="I697" i="23"/>
  <c r="I698" i="23"/>
  <c r="I699" i="23"/>
  <c r="I700" i="23"/>
  <c r="I701" i="23"/>
  <c r="I702" i="23"/>
  <c r="I703" i="23"/>
  <c r="I704" i="23"/>
  <c r="I705" i="23"/>
  <c r="I706" i="23"/>
  <c r="I707" i="23"/>
  <c r="I708" i="23"/>
  <c r="I709" i="23"/>
  <c r="I710" i="23"/>
  <c r="I711" i="23"/>
  <c r="I712" i="23"/>
  <c r="I713" i="23"/>
  <c r="I714" i="23"/>
  <c r="I715" i="23"/>
  <c r="I716" i="23"/>
  <c r="I717" i="23"/>
  <c r="I718" i="23"/>
  <c r="I719" i="23"/>
  <c r="I720" i="23"/>
  <c r="I721" i="23"/>
  <c r="I722" i="23"/>
  <c r="I723" i="23"/>
  <c r="I724" i="23"/>
  <c r="I725" i="23"/>
  <c r="I726" i="23"/>
  <c r="I727" i="23"/>
  <c r="I728" i="23"/>
  <c r="I729" i="23"/>
  <c r="I730" i="23"/>
  <c r="I731" i="23"/>
  <c r="I732" i="23"/>
  <c r="I733" i="23"/>
  <c r="I734" i="23"/>
  <c r="I735" i="23"/>
  <c r="I736" i="23"/>
  <c r="I737" i="23"/>
  <c r="I738" i="23"/>
  <c r="I739" i="23"/>
  <c r="I740" i="23"/>
  <c r="I741" i="23"/>
  <c r="I742" i="23"/>
  <c r="I743" i="23"/>
  <c r="I744" i="23"/>
  <c r="I745" i="23"/>
  <c r="I746" i="23"/>
  <c r="I747" i="23"/>
  <c r="I748" i="23"/>
  <c r="I749" i="23"/>
  <c r="I750" i="23"/>
  <c r="I751" i="23"/>
  <c r="I752" i="23"/>
  <c r="I753" i="23"/>
  <c r="I754" i="23"/>
  <c r="I755" i="23"/>
  <c r="I756" i="23"/>
  <c r="I757" i="23"/>
  <c r="I758" i="23"/>
  <c r="I759" i="23"/>
  <c r="I760" i="23"/>
  <c r="I761" i="23"/>
  <c r="I762" i="23"/>
  <c r="I763" i="23"/>
  <c r="I764" i="23"/>
  <c r="I765" i="23"/>
  <c r="I766" i="23"/>
  <c r="I767" i="23"/>
  <c r="I768" i="23"/>
  <c r="I769" i="23"/>
  <c r="I770" i="23"/>
  <c r="I771" i="23"/>
  <c r="I772" i="23"/>
  <c r="I773" i="23"/>
  <c r="I774" i="23"/>
  <c r="I775" i="23"/>
  <c r="I776" i="23"/>
  <c r="I777" i="23"/>
  <c r="I778" i="23"/>
  <c r="I779" i="23"/>
  <c r="I780" i="23"/>
  <c r="I781" i="23"/>
  <c r="I782" i="23"/>
  <c r="I783" i="23"/>
  <c r="I784" i="23"/>
  <c r="I785" i="23"/>
  <c r="I786" i="23"/>
  <c r="I787" i="23"/>
  <c r="I788" i="23"/>
  <c r="I789" i="23"/>
  <c r="I790" i="23"/>
  <c r="I791" i="23"/>
  <c r="I792" i="23"/>
  <c r="I793" i="23"/>
  <c r="I794" i="23"/>
  <c r="I795" i="23"/>
  <c r="I796" i="23"/>
  <c r="I797" i="23"/>
  <c r="I798" i="23"/>
  <c r="I799" i="23"/>
  <c r="I800" i="23"/>
  <c r="I801" i="23"/>
  <c r="I802" i="23"/>
  <c r="I803" i="23"/>
  <c r="I804" i="23"/>
  <c r="I805" i="23"/>
  <c r="I806" i="23"/>
  <c r="I807" i="23"/>
  <c r="I808" i="23"/>
  <c r="I809" i="23"/>
  <c r="I810" i="23"/>
  <c r="I811" i="23"/>
  <c r="I812" i="23"/>
  <c r="I813" i="23"/>
  <c r="I814" i="23"/>
  <c r="I815" i="23"/>
  <c r="I816" i="23"/>
  <c r="I817" i="23"/>
  <c r="I818" i="23"/>
  <c r="I819" i="23"/>
  <c r="I820" i="23"/>
  <c r="I821" i="23"/>
  <c r="I822" i="23"/>
  <c r="I823" i="23"/>
  <c r="I824" i="23"/>
  <c r="I825" i="23"/>
  <c r="I826" i="23"/>
  <c r="I827" i="23"/>
  <c r="I828" i="23"/>
  <c r="I829" i="23"/>
  <c r="I830" i="23"/>
  <c r="I831" i="23"/>
  <c r="I832" i="23"/>
  <c r="I833" i="23"/>
  <c r="I834" i="23"/>
  <c r="I835" i="23"/>
  <c r="I836" i="23"/>
  <c r="I837" i="23"/>
  <c r="I838" i="23"/>
  <c r="I839" i="23"/>
  <c r="I840" i="23"/>
  <c r="I841" i="23"/>
  <c r="I842" i="23"/>
  <c r="I843" i="23"/>
  <c r="I844" i="23"/>
  <c r="I845" i="23"/>
  <c r="I846" i="23"/>
  <c r="I847" i="23"/>
  <c r="I848" i="23"/>
  <c r="I849" i="23"/>
  <c r="I850" i="23"/>
  <c r="I851" i="23"/>
  <c r="I852" i="23"/>
  <c r="I853" i="23"/>
  <c r="I854" i="23"/>
  <c r="I855" i="23"/>
  <c r="I856" i="23"/>
  <c r="I857" i="23"/>
  <c r="I858" i="23"/>
  <c r="I859" i="23"/>
  <c r="I860" i="23"/>
  <c r="I861" i="23"/>
  <c r="I862" i="23"/>
  <c r="I863" i="23"/>
  <c r="I864" i="23"/>
  <c r="I865" i="23"/>
  <c r="I866" i="23"/>
  <c r="I867" i="23"/>
  <c r="I868" i="23"/>
  <c r="I869" i="23"/>
  <c r="I870" i="23"/>
  <c r="I871" i="23"/>
  <c r="I872" i="23"/>
  <c r="I873" i="23"/>
  <c r="I874" i="23"/>
  <c r="I875" i="23"/>
  <c r="I876" i="23"/>
  <c r="I877" i="23"/>
  <c r="I878" i="23"/>
  <c r="I879" i="23"/>
  <c r="I880" i="23"/>
  <c r="I881" i="23"/>
  <c r="I882" i="23"/>
  <c r="I883" i="23"/>
  <c r="I884" i="23"/>
  <c r="I885" i="23"/>
  <c r="I886" i="23"/>
  <c r="I887" i="23"/>
  <c r="I888" i="23"/>
  <c r="I889" i="23"/>
  <c r="I890" i="23"/>
  <c r="I891" i="23"/>
  <c r="I892" i="23"/>
  <c r="I893" i="23"/>
  <c r="I894" i="23"/>
  <c r="I895" i="23"/>
  <c r="I896" i="23"/>
  <c r="I897" i="23"/>
  <c r="I898" i="23"/>
  <c r="I899" i="23"/>
  <c r="I900" i="23"/>
  <c r="I901" i="23"/>
  <c r="I902" i="23"/>
  <c r="I903" i="23"/>
  <c r="I904" i="23"/>
  <c r="I905" i="23"/>
  <c r="I906" i="23"/>
  <c r="I907" i="23"/>
  <c r="I908" i="23"/>
  <c r="I909" i="23"/>
  <c r="I910" i="23"/>
  <c r="I911" i="23"/>
  <c r="I912" i="23"/>
  <c r="I913" i="23"/>
  <c r="I914" i="23"/>
  <c r="I915" i="23"/>
  <c r="I916" i="23"/>
  <c r="I917" i="23"/>
  <c r="I918" i="23"/>
  <c r="I919" i="23"/>
  <c r="I920" i="23"/>
  <c r="I921" i="23"/>
  <c r="I922" i="23"/>
  <c r="I923" i="23"/>
  <c r="I924" i="23"/>
  <c r="I925" i="23"/>
  <c r="I926" i="23"/>
  <c r="I927" i="23"/>
  <c r="I928" i="23"/>
  <c r="I929" i="23"/>
  <c r="I930" i="23"/>
  <c r="I931" i="23"/>
  <c r="I932" i="23"/>
  <c r="I933" i="23"/>
  <c r="I934" i="23"/>
  <c r="I935" i="23"/>
  <c r="I936" i="23"/>
  <c r="I937" i="23"/>
  <c r="I938" i="23"/>
  <c r="I939" i="23"/>
  <c r="I940" i="23"/>
  <c r="I941" i="23"/>
  <c r="I942" i="23"/>
  <c r="I943" i="23"/>
  <c r="I944" i="23"/>
  <c r="I945" i="23"/>
  <c r="I946" i="23"/>
  <c r="I947" i="23"/>
  <c r="I948" i="23"/>
  <c r="I949" i="23"/>
  <c r="I950" i="23"/>
  <c r="I951" i="23"/>
  <c r="I952" i="23"/>
  <c r="I953" i="23"/>
  <c r="I954" i="23"/>
  <c r="I955" i="23"/>
  <c r="I956" i="23"/>
  <c r="I957" i="23"/>
  <c r="I958" i="23"/>
  <c r="I959" i="23"/>
  <c r="I960" i="23"/>
  <c r="I961" i="23"/>
  <c r="I962" i="23"/>
  <c r="I963" i="23"/>
  <c r="I964" i="23"/>
  <c r="I965" i="23"/>
  <c r="I966" i="23"/>
  <c r="I967" i="23"/>
  <c r="I968" i="23"/>
  <c r="I969" i="23"/>
  <c r="I970" i="23"/>
  <c r="I971" i="23"/>
  <c r="I972" i="23"/>
  <c r="I973" i="23"/>
  <c r="I974" i="23"/>
  <c r="I975" i="23"/>
  <c r="I976" i="23"/>
  <c r="I977" i="23"/>
  <c r="I978" i="23"/>
  <c r="I979" i="23"/>
  <c r="I980" i="23"/>
  <c r="I981" i="23"/>
  <c r="I982" i="23"/>
  <c r="I983" i="23"/>
  <c r="I984" i="23"/>
  <c r="I985" i="23"/>
  <c r="I986" i="23"/>
  <c r="I987" i="23"/>
  <c r="I988" i="23"/>
  <c r="I989" i="23"/>
  <c r="I990" i="23"/>
  <c r="I991" i="23"/>
  <c r="I992" i="23"/>
  <c r="I993" i="23"/>
  <c r="I994" i="23"/>
  <c r="I995" i="23"/>
  <c r="I996" i="23"/>
  <c r="I997" i="23"/>
  <c r="I998" i="23"/>
  <c r="I999" i="23"/>
  <c r="I1000" i="23"/>
  <c r="I1001" i="23"/>
  <c r="I1002" i="23"/>
  <c r="I1003" i="23"/>
  <c r="I1004" i="23"/>
  <c r="I1005" i="23"/>
  <c r="I1006" i="23"/>
  <c r="I1007" i="23"/>
  <c r="I1008" i="23"/>
  <c r="I1009" i="23"/>
  <c r="I1010" i="23"/>
  <c r="I1011" i="23"/>
  <c r="I1012" i="23"/>
  <c r="I1013" i="23"/>
  <c r="I1014" i="23"/>
  <c r="I1015" i="23"/>
  <c r="I1016" i="23"/>
  <c r="I1017" i="23"/>
  <c r="I1018" i="23"/>
  <c r="I1019" i="23"/>
  <c r="I1020" i="23"/>
  <c r="I1021" i="23"/>
  <c r="I1022" i="23"/>
  <c r="I1023" i="23"/>
  <c r="I1024" i="23"/>
  <c r="I1025" i="23"/>
  <c r="I1026" i="23"/>
  <c r="I1027" i="23"/>
  <c r="I1028" i="23"/>
  <c r="I1029" i="23"/>
  <c r="I1030" i="23"/>
  <c r="I1031" i="23"/>
  <c r="I1032" i="23"/>
  <c r="I1033" i="23"/>
  <c r="I1034" i="23"/>
  <c r="I1035" i="23"/>
  <c r="I1036" i="23"/>
  <c r="I1037" i="23"/>
  <c r="I1038" i="23"/>
  <c r="I1039" i="23"/>
  <c r="I1040" i="23"/>
  <c r="I1041" i="23"/>
  <c r="I1042" i="23"/>
  <c r="I1043" i="23"/>
  <c r="I1044" i="23"/>
  <c r="I1045" i="23"/>
  <c r="I1046" i="23"/>
  <c r="I1047" i="23"/>
  <c r="I1048" i="23"/>
  <c r="I1049" i="23"/>
  <c r="I1050" i="23"/>
  <c r="I1051" i="23"/>
  <c r="I1052" i="23"/>
  <c r="I1053" i="23"/>
  <c r="I1054" i="23"/>
  <c r="I1055" i="23"/>
  <c r="I1056" i="23"/>
  <c r="I1057" i="23"/>
  <c r="I1058" i="23"/>
  <c r="I1059" i="23"/>
  <c r="I1060" i="23"/>
  <c r="I1061" i="23"/>
  <c r="I1062" i="23"/>
  <c r="I1063" i="23"/>
  <c r="I1064" i="23"/>
  <c r="I1065" i="23"/>
  <c r="I1066" i="23"/>
  <c r="I1067" i="23"/>
  <c r="I1068" i="23"/>
  <c r="I1069" i="23"/>
  <c r="I1070" i="23"/>
  <c r="I1071" i="23"/>
  <c r="I1072" i="23"/>
  <c r="I1073" i="23"/>
  <c r="I1074" i="23"/>
  <c r="I1075" i="23"/>
  <c r="I1076" i="23"/>
  <c r="I1077" i="23"/>
  <c r="I1078" i="23"/>
  <c r="I1079" i="23"/>
  <c r="I1080" i="23"/>
  <c r="I1081" i="23"/>
  <c r="I1082" i="23"/>
  <c r="I1083" i="23"/>
  <c r="I1084" i="23"/>
  <c r="I1085" i="23"/>
  <c r="I1086" i="23"/>
  <c r="I1087" i="23"/>
  <c r="I1088" i="23"/>
  <c r="I1089" i="23"/>
  <c r="I1090" i="23"/>
  <c r="I1091" i="23"/>
  <c r="I1092" i="23"/>
  <c r="I1093" i="23"/>
  <c r="I1094" i="23"/>
  <c r="I1095" i="23"/>
  <c r="I1096" i="23"/>
  <c r="I1097" i="23"/>
  <c r="I1098" i="23"/>
  <c r="I1099" i="23"/>
  <c r="I1100" i="23"/>
  <c r="I1101" i="23"/>
  <c r="I1102" i="23"/>
  <c r="I1103" i="23"/>
  <c r="I1104" i="23"/>
  <c r="I1105" i="23"/>
  <c r="I1106" i="23"/>
  <c r="I1107" i="23"/>
  <c r="I1108" i="23"/>
  <c r="I1109" i="23"/>
  <c r="I1110" i="23"/>
  <c r="I1111" i="23"/>
  <c r="I1112" i="23"/>
  <c r="I1113" i="23"/>
  <c r="I1114" i="23"/>
  <c r="I1115" i="23"/>
  <c r="I1116" i="23"/>
  <c r="I1117" i="23"/>
  <c r="I1118" i="23"/>
  <c r="I1119" i="23"/>
  <c r="I1120" i="23"/>
  <c r="I1121" i="23"/>
  <c r="I1122" i="23"/>
  <c r="I1123" i="23"/>
  <c r="I1124" i="23"/>
  <c r="I1125" i="23"/>
  <c r="I1126" i="23"/>
  <c r="I1127" i="23"/>
  <c r="I1128" i="23"/>
  <c r="I1129" i="23"/>
  <c r="I1130" i="23"/>
  <c r="I1131" i="23"/>
  <c r="I1132" i="23"/>
  <c r="I1133" i="23"/>
  <c r="I1134" i="23"/>
  <c r="I1135" i="23"/>
  <c r="I1136" i="23"/>
  <c r="I1137" i="23"/>
  <c r="I1138" i="23"/>
  <c r="I1139" i="23"/>
  <c r="I1140" i="23"/>
  <c r="I1141" i="23"/>
  <c r="I1142" i="23"/>
  <c r="I1143" i="23"/>
  <c r="I1144" i="23"/>
  <c r="I1145" i="23"/>
  <c r="I1146" i="23"/>
  <c r="I1147" i="23"/>
  <c r="I1148" i="23"/>
  <c r="I1149" i="23"/>
  <c r="I1150" i="23"/>
  <c r="I1151" i="23"/>
  <c r="I1152" i="23"/>
  <c r="I1153" i="23"/>
  <c r="I1154" i="23"/>
  <c r="I1155" i="23"/>
  <c r="I1156" i="23"/>
  <c r="I1157" i="23"/>
  <c r="I1158" i="23"/>
  <c r="I1159" i="23"/>
  <c r="I1160" i="23"/>
  <c r="I1161" i="23"/>
  <c r="I1162" i="23"/>
  <c r="I1163" i="23"/>
  <c r="I1164" i="23"/>
  <c r="I1165" i="23"/>
  <c r="I1166" i="23"/>
  <c r="I1167" i="23"/>
  <c r="I1168" i="23"/>
  <c r="I1169" i="23"/>
  <c r="I1170" i="23"/>
  <c r="I1171" i="23"/>
  <c r="I1172" i="23"/>
  <c r="I1173" i="23"/>
  <c r="I1174" i="23"/>
  <c r="I1175" i="23"/>
  <c r="I1176" i="23"/>
  <c r="I1177" i="23"/>
  <c r="I1178" i="23"/>
  <c r="I1179" i="23"/>
  <c r="I1180" i="23"/>
  <c r="I1181" i="23"/>
  <c r="I1182" i="23"/>
  <c r="I1183" i="23"/>
  <c r="I1184" i="23"/>
  <c r="I1185" i="23"/>
  <c r="I1186" i="23"/>
  <c r="I1187" i="23"/>
  <c r="I1188" i="23"/>
  <c r="I1189" i="23"/>
  <c r="I1190" i="23"/>
  <c r="I1191" i="23"/>
  <c r="I1192" i="23"/>
  <c r="I1193" i="23"/>
  <c r="I1194" i="23"/>
  <c r="I1195" i="23"/>
  <c r="I1196" i="23"/>
  <c r="I1197" i="23"/>
  <c r="I1198" i="23"/>
  <c r="I1199" i="23"/>
  <c r="I1200" i="23"/>
  <c r="I1201" i="23"/>
  <c r="I1202" i="23"/>
  <c r="I1203" i="23"/>
  <c r="I1204" i="23"/>
  <c r="I1205" i="23"/>
  <c r="I1206" i="23"/>
  <c r="I1207" i="23"/>
  <c r="I1208" i="23"/>
  <c r="I1209" i="23"/>
  <c r="I1210" i="23"/>
  <c r="I1211" i="23"/>
  <c r="I1212" i="23"/>
  <c r="I1213" i="23"/>
  <c r="I1214" i="23"/>
  <c r="I1215" i="23"/>
  <c r="I1216" i="23"/>
  <c r="I1217" i="23"/>
  <c r="I1218" i="23"/>
  <c r="I1219" i="23"/>
  <c r="I1220" i="23"/>
  <c r="I1221" i="23"/>
  <c r="I1222" i="23"/>
  <c r="I1223" i="23"/>
  <c r="I1224" i="23"/>
  <c r="I1225" i="23"/>
  <c r="I1226" i="23"/>
  <c r="I1227" i="23"/>
  <c r="I1228" i="23"/>
  <c r="I1229" i="23"/>
  <c r="I1230" i="23"/>
  <c r="I1231" i="23"/>
  <c r="I1232" i="23"/>
  <c r="I1233" i="23"/>
  <c r="I1234" i="23"/>
  <c r="I1235" i="23"/>
  <c r="I1236" i="23"/>
  <c r="I1237" i="23"/>
  <c r="I1238" i="23"/>
  <c r="I1239" i="23"/>
  <c r="I1240" i="23"/>
  <c r="I1241" i="23"/>
  <c r="I1242" i="23"/>
  <c r="I1243" i="23"/>
  <c r="I1244" i="23"/>
  <c r="I1245" i="23"/>
  <c r="I1246" i="23"/>
  <c r="I1247" i="23"/>
  <c r="I1248" i="23"/>
  <c r="I1249" i="23"/>
  <c r="I1250" i="23"/>
  <c r="I1251" i="23"/>
  <c r="I1252" i="23"/>
  <c r="I1253" i="23"/>
  <c r="I1254" i="23"/>
  <c r="I1255" i="23"/>
  <c r="I1256" i="23"/>
  <c r="I1257" i="23"/>
  <c r="I1258" i="23"/>
  <c r="I1259" i="23"/>
  <c r="I1260" i="23"/>
  <c r="I1261" i="23"/>
  <c r="I1262" i="23"/>
  <c r="I1263" i="23"/>
  <c r="I1264" i="23"/>
  <c r="I1265" i="23"/>
  <c r="I1266" i="23"/>
  <c r="I1267" i="23"/>
  <c r="I1268" i="23"/>
  <c r="I1269" i="23"/>
  <c r="I1270" i="23"/>
  <c r="I1271" i="23"/>
  <c r="I1272" i="23"/>
  <c r="I1273" i="23"/>
  <c r="I1274" i="23"/>
  <c r="I1275" i="23"/>
  <c r="I1276" i="23"/>
  <c r="I1277" i="23"/>
  <c r="I1278" i="23"/>
  <c r="I1279" i="23"/>
  <c r="I1280" i="23"/>
  <c r="I1281" i="23"/>
  <c r="I1282" i="23"/>
  <c r="I1283" i="23"/>
  <c r="I1284" i="23"/>
  <c r="I1285" i="23"/>
  <c r="I1286" i="23"/>
  <c r="I1287" i="23"/>
  <c r="I1288" i="23"/>
  <c r="I1289" i="23"/>
  <c r="I1290" i="23"/>
  <c r="I1291" i="23"/>
  <c r="I1292" i="23"/>
  <c r="I1293" i="23"/>
  <c r="I1294" i="23"/>
  <c r="I1295" i="23"/>
  <c r="I1296" i="23"/>
  <c r="I1297" i="23"/>
  <c r="I1298" i="23"/>
  <c r="I1299" i="23"/>
  <c r="I1300" i="23"/>
  <c r="I1301" i="23"/>
  <c r="I1302" i="23"/>
  <c r="I1303" i="23"/>
  <c r="I1304" i="23"/>
  <c r="I1305" i="23"/>
  <c r="I1306" i="23"/>
  <c r="I1307" i="23"/>
  <c r="I1308" i="23"/>
  <c r="I1309" i="23"/>
  <c r="I1310" i="23"/>
  <c r="I1311" i="23"/>
  <c r="I1312" i="23"/>
  <c r="I1313" i="23"/>
  <c r="I1314" i="23"/>
  <c r="I1315" i="23"/>
  <c r="I1316" i="23"/>
  <c r="I1317" i="23"/>
  <c r="I1318" i="23"/>
  <c r="I1319" i="23"/>
  <c r="I1320" i="23"/>
  <c r="I1321" i="23"/>
  <c r="I1322" i="23"/>
  <c r="I1323" i="23"/>
  <c r="I1324" i="23"/>
  <c r="I1325" i="23"/>
  <c r="I1326" i="23"/>
  <c r="I1327" i="23"/>
  <c r="I1328" i="23"/>
  <c r="I1329" i="23"/>
  <c r="I1330" i="23"/>
  <c r="I1331" i="23"/>
  <c r="I1332" i="23"/>
  <c r="I1333" i="23"/>
  <c r="I1334" i="23"/>
  <c r="I1335" i="23"/>
  <c r="I1336" i="23"/>
  <c r="I1337" i="23"/>
  <c r="I1338" i="23"/>
  <c r="I1339" i="23"/>
  <c r="I1340" i="23"/>
  <c r="I1341" i="23"/>
  <c r="I1342" i="23"/>
  <c r="I1343" i="23"/>
  <c r="I1344" i="23"/>
  <c r="I1345" i="23"/>
  <c r="I1346" i="23"/>
  <c r="I1347" i="23"/>
  <c r="I1348" i="23"/>
  <c r="I1349" i="23"/>
  <c r="I1350" i="23"/>
  <c r="I1351" i="23"/>
  <c r="I1352" i="23"/>
  <c r="I1353" i="23"/>
  <c r="I1354" i="23"/>
  <c r="I1355" i="23"/>
  <c r="I1356" i="23"/>
  <c r="I1357" i="23"/>
  <c r="I1358" i="23"/>
  <c r="I1359" i="23"/>
  <c r="I1360" i="23"/>
  <c r="I1361" i="23"/>
  <c r="I1362" i="23"/>
  <c r="I1363" i="23"/>
  <c r="I1364" i="23"/>
  <c r="I1365" i="23"/>
  <c r="I1366" i="23"/>
  <c r="I1367" i="23"/>
  <c r="I1368" i="23"/>
  <c r="I1369" i="23"/>
  <c r="I1370" i="23"/>
  <c r="I1371" i="23"/>
  <c r="I1372" i="23"/>
  <c r="I1373" i="23"/>
  <c r="I1374" i="23"/>
  <c r="I1375" i="23"/>
  <c r="I1376" i="23"/>
  <c r="I1377" i="23"/>
  <c r="I1378" i="23"/>
  <c r="I1379" i="23"/>
  <c r="I1380" i="23"/>
  <c r="I1381" i="23"/>
  <c r="I1382" i="23"/>
  <c r="I1383" i="23"/>
  <c r="I1384" i="23"/>
  <c r="I1385" i="23"/>
  <c r="I1386" i="23"/>
  <c r="I1387" i="23"/>
  <c r="I1388" i="23"/>
  <c r="I1389" i="23"/>
  <c r="I1390" i="23"/>
  <c r="I1391" i="23"/>
  <c r="I1392" i="23"/>
  <c r="I1393" i="23"/>
  <c r="I1394" i="23"/>
  <c r="I1395" i="23"/>
  <c r="I1396" i="23"/>
  <c r="I1397" i="23"/>
  <c r="I1398" i="23"/>
  <c r="I1399" i="23"/>
  <c r="I1400" i="23"/>
  <c r="I1401" i="23"/>
  <c r="I1402" i="23"/>
  <c r="I1403" i="23"/>
  <c r="I1404" i="23"/>
  <c r="I1405" i="23"/>
  <c r="I1406" i="23"/>
  <c r="I1407" i="23"/>
  <c r="I1408" i="23"/>
  <c r="I1409" i="23"/>
  <c r="I1410" i="23"/>
  <c r="I1411" i="23"/>
  <c r="I1412" i="23"/>
  <c r="I1413" i="23"/>
  <c r="I1414" i="23"/>
  <c r="I1415" i="23"/>
  <c r="I1416" i="23"/>
  <c r="I1417" i="23"/>
  <c r="I1418" i="23"/>
  <c r="I1419" i="23"/>
  <c r="I1420" i="23"/>
  <c r="I1421" i="23"/>
  <c r="I1422" i="23"/>
  <c r="I1423" i="23"/>
  <c r="I1424" i="23"/>
  <c r="I1425" i="23"/>
  <c r="I1426" i="23"/>
  <c r="I1427" i="23"/>
  <c r="I1428" i="23"/>
  <c r="I1429" i="23"/>
  <c r="I1430" i="23"/>
  <c r="I1431" i="23"/>
  <c r="I1432" i="23"/>
  <c r="I1433" i="23"/>
  <c r="I1434" i="23"/>
  <c r="I1435" i="23"/>
  <c r="I1436" i="23"/>
  <c r="I1437" i="23"/>
  <c r="I1438" i="23"/>
  <c r="I1439" i="23"/>
  <c r="I1440" i="23"/>
  <c r="I1441" i="23"/>
  <c r="I1442" i="23"/>
  <c r="I1443" i="23"/>
  <c r="I1444" i="23"/>
  <c r="I1445" i="23"/>
  <c r="I1446" i="23"/>
  <c r="I1447" i="23"/>
  <c r="I1448" i="23"/>
  <c r="I1449" i="23"/>
  <c r="I1450" i="23"/>
  <c r="I1451" i="23"/>
  <c r="I1452" i="23"/>
  <c r="I1453" i="23"/>
  <c r="I1454" i="23"/>
  <c r="I1455" i="23"/>
  <c r="I1456" i="23"/>
  <c r="I1457" i="23"/>
  <c r="I1458" i="23"/>
  <c r="I1459" i="23"/>
  <c r="I1460" i="23"/>
  <c r="I1461" i="23"/>
  <c r="I1462" i="23"/>
  <c r="I1463" i="23"/>
  <c r="I1464" i="23"/>
  <c r="I1465" i="23"/>
  <c r="I1466" i="23"/>
  <c r="I1467" i="23"/>
  <c r="I1468" i="23"/>
  <c r="I1469" i="23"/>
  <c r="I1470" i="23"/>
  <c r="I1471" i="23"/>
  <c r="I1472" i="23"/>
  <c r="I1473" i="23"/>
  <c r="I1474" i="23"/>
  <c r="I1475" i="23"/>
  <c r="I1476" i="23"/>
  <c r="I1477" i="23"/>
  <c r="I1478" i="23"/>
  <c r="I1479" i="23"/>
  <c r="I1480" i="23"/>
  <c r="I1481" i="23"/>
  <c r="I1482" i="23"/>
  <c r="I1483" i="23"/>
  <c r="I1484" i="23"/>
  <c r="I1485" i="23"/>
  <c r="I1486" i="23"/>
  <c r="I1487" i="23"/>
  <c r="I1488" i="23"/>
  <c r="I1489" i="23"/>
  <c r="I1490" i="23"/>
  <c r="I1491" i="23"/>
  <c r="I1492" i="23"/>
  <c r="I1493" i="23"/>
  <c r="I1494" i="23"/>
  <c r="I1495" i="23"/>
  <c r="I1496" i="23"/>
  <c r="I1497" i="23"/>
  <c r="I1498" i="23"/>
  <c r="I1499" i="23"/>
  <c r="I1500" i="23"/>
  <c r="I1501" i="23"/>
  <c r="I1502" i="23"/>
  <c r="I1503" i="23"/>
  <c r="I1504" i="23"/>
  <c r="I1505" i="23"/>
  <c r="I1506" i="23"/>
  <c r="I1507" i="23"/>
  <c r="I1508" i="23"/>
  <c r="I1509" i="23"/>
  <c r="I1510" i="23"/>
  <c r="I1511" i="23"/>
  <c r="I1512" i="23"/>
  <c r="I1513" i="23"/>
  <c r="I1514" i="23"/>
  <c r="I1515" i="23"/>
  <c r="I1516" i="23"/>
  <c r="I1517" i="23"/>
  <c r="I1518" i="23"/>
  <c r="I1519" i="23"/>
  <c r="I1520" i="23"/>
  <c r="I1521" i="23"/>
  <c r="I1522" i="23"/>
  <c r="I1523" i="23"/>
  <c r="I1524" i="23"/>
  <c r="I1525" i="23"/>
  <c r="I1526" i="23"/>
  <c r="I1527" i="23"/>
  <c r="I1528" i="23"/>
  <c r="I1529" i="23"/>
  <c r="I1530" i="23"/>
  <c r="I1531" i="23"/>
  <c r="I1532" i="23"/>
  <c r="I1533" i="23"/>
  <c r="I1534" i="23"/>
  <c r="I1535" i="23"/>
  <c r="I1536" i="23"/>
  <c r="I1537" i="23"/>
  <c r="I1538" i="23"/>
  <c r="I1539" i="23"/>
  <c r="I1540" i="23"/>
  <c r="I1541" i="23"/>
  <c r="I1542" i="23"/>
  <c r="I1543" i="23"/>
  <c r="I1544" i="23"/>
  <c r="I1545" i="23"/>
  <c r="I1546" i="23"/>
  <c r="I1547" i="23"/>
  <c r="I1548" i="23"/>
  <c r="I1549" i="23"/>
  <c r="I1550" i="23"/>
  <c r="I1551" i="23"/>
  <c r="I1552" i="23"/>
  <c r="I1553" i="23"/>
  <c r="I1554" i="23"/>
  <c r="I1555" i="23"/>
  <c r="I1556" i="23"/>
  <c r="I1557" i="23"/>
  <c r="I1558" i="23"/>
  <c r="I1559" i="23"/>
  <c r="I1560" i="23"/>
  <c r="I1561" i="23"/>
  <c r="I1562" i="23"/>
  <c r="I1563" i="23"/>
  <c r="I1564" i="23"/>
  <c r="I1565" i="23"/>
  <c r="I1566" i="23"/>
  <c r="I1567" i="23"/>
  <c r="I1568" i="23"/>
  <c r="I1569" i="23"/>
  <c r="I1570" i="23"/>
  <c r="I1571" i="23"/>
  <c r="I1572" i="23"/>
  <c r="I1573" i="23"/>
  <c r="I1574" i="23"/>
  <c r="I1575" i="23"/>
  <c r="I1576" i="23"/>
  <c r="I1577" i="23"/>
  <c r="I1578" i="23"/>
  <c r="I1579" i="23"/>
  <c r="I1580" i="23"/>
  <c r="I1581" i="23"/>
  <c r="I1582" i="23"/>
  <c r="I1583" i="23"/>
  <c r="I1584" i="23"/>
  <c r="I1585" i="23"/>
  <c r="I1586" i="23"/>
  <c r="I1587" i="23"/>
  <c r="I1588" i="23"/>
  <c r="I1589" i="23"/>
  <c r="I1590" i="23"/>
  <c r="I1591" i="23"/>
  <c r="I1592" i="23"/>
  <c r="I1593" i="23"/>
  <c r="I1594" i="23"/>
  <c r="I1595" i="23"/>
  <c r="I1596" i="23"/>
  <c r="I1597" i="23"/>
  <c r="I1598" i="23"/>
  <c r="I1599" i="23"/>
  <c r="I1600" i="23"/>
  <c r="I1601" i="23"/>
  <c r="I1602" i="23"/>
  <c r="I1603" i="23"/>
  <c r="I1604" i="23"/>
  <c r="I1605" i="23"/>
  <c r="I1606" i="23"/>
  <c r="I1607" i="23"/>
  <c r="I1608" i="23"/>
  <c r="I1609" i="23"/>
  <c r="I1610" i="23"/>
  <c r="I1611" i="23"/>
  <c r="I1612" i="23"/>
  <c r="I1613" i="23"/>
  <c r="I1614" i="23"/>
  <c r="I1615" i="23"/>
  <c r="I1616" i="23"/>
  <c r="I1617" i="23"/>
  <c r="I1618" i="23"/>
  <c r="I1619" i="23"/>
  <c r="I1620" i="23"/>
  <c r="I1621" i="23"/>
  <c r="I1622" i="23"/>
  <c r="I1623" i="23"/>
  <c r="I1624" i="23"/>
  <c r="I1625" i="23"/>
  <c r="I1626" i="23"/>
  <c r="I1627" i="23"/>
  <c r="I1628" i="23"/>
  <c r="I1629" i="23"/>
  <c r="I1630" i="23"/>
  <c r="I1631" i="23"/>
  <c r="I1632" i="23"/>
  <c r="I1633" i="23"/>
  <c r="I1634" i="23"/>
  <c r="I1635" i="23"/>
  <c r="I1636" i="23"/>
  <c r="I1637" i="23"/>
  <c r="I1638" i="23"/>
  <c r="I1639" i="23"/>
  <c r="I1640" i="23"/>
  <c r="I1641" i="23"/>
  <c r="I1642" i="23"/>
  <c r="I1643" i="23"/>
  <c r="I1644" i="23"/>
  <c r="I1645" i="23"/>
  <c r="I1646" i="23"/>
  <c r="I1647" i="23"/>
  <c r="I1648" i="23"/>
  <c r="I1649" i="23"/>
  <c r="I1650" i="23"/>
  <c r="I1651" i="23"/>
  <c r="I1652" i="23"/>
  <c r="I1653" i="23"/>
  <c r="I1654" i="23"/>
  <c r="I1655" i="23"/>
  <c r="I1656" i="23"/>
  <c r="I1657" i="23"/>
  <c r="I1658" i="23"/>
  <c r="I1659" i="23"/>
  <c r="I1660" i="23"/>
  <c r="I1661" i="23"/>
  <c r="I1662" i="23"/>
  <c r="I1663" i="23"/>
  <c r="I1664" i="23"/>
  <c r="I1665" i="23"/>
  <c r="I1666" i="23"/>
  <c r="I1667" i="23"/>
  <c r="I1668" i="23"/>
  <c r="I1669" i="23"/>
  <c r="I1670" i="23"/>
  <c r="I1671" i="23"/>
  <c r="I1672" i="23"/>
  <c r="I1673" i="23"/>
  <c r="I1674" i="23"/>
  <c r="I1675" i="23"/>
  <c r="I1676" i="23"/>
  <c r="I1677" i="23"/>
  <c r="I1678" i="23"/>
  <c r="I1679" i="23"/>
  <c r="I1680" i="23"/>
  <c r="I1681" i="23"/>
  <c r="I1682" i="23"/>
  <c r="I1683" i="23"/>
  <c r="I1684" i="23"/>
  <c r="I1685" i="23"/>
  <c r="I1686" i="23"/>
  <c r="I1687" i="23"/>
  <c r="I1688" i="23"/>
  <c r="I1689" i="23"/>
  <c r="I1690" i="23"/>
  <c r="I1691" i="23"/>
  <c r="I1692" i="23"/>
  <c r="I1693" i="23"/>
  <c r="I1694" i="23"/>
  <c r="I1695" i="23"/>
  <c r="I1696" i="23"/>
  <c r="I1697" i="23"/>
  <c r="I1698" i="23"/>
  <c r="I1699" i="23"/>
  <c r="I1700" i="23"/>
  <c r="I1701" i="23"/>
  <c r="I1702" i="23"/>
  <c r="I1703" i="23"/>
  <c r="I1704" i="23"/>
  <c r="I1705" i="23"/>
  <c r="I1706" i="23"/>
  <c r="I1707" i="23"/>
  <c r="I1708" i="23"/>
  <c r="I1709" i="23"/>
  <c r="I1710" i="23"/>
  <c r="I1711" i="23"/>
  <c r="I1712" i="23"/>
  <c r="I1713" i="23"/>
  <c r="I1714" i="23"/>
  <c r="I1715" i="23"/>
  <c r="I1716" i="23"/>
  <c r="I1717" i="23"/>
  <c r="I1718" i="23"/>
  <c r="I1719" i="23"/>
  <c r="I1720" i="23"/>
  <c r="I1721" i="23"/>
  <c r="I1722" i="23"/>
  <c r="I1723" i="23"/>
  <c r="I1724" i="23"/>
  <c r="I1725" i="23"/>
  <c r="I1726" i="23"/>
  <c r="I1727" i="23"/>
  <c r="I1728" i="23"/>
  <c r="I1729" i="23"/>
  <c r="I1730" i="23"/>
  <c r="I1731" i="23"/>
  <c r="I1732" i="23"/>
  <c r="I1733" i="23"/>
  <c r="I1734" i="23"/>
  <c r="I1735" i="23"/>
  <c r="I1736" i="23"/>
  <c r="I1737" i="23"/>
  <c r="I1738" i="23"/>
  <c r="I1739" i="23"/>
  <c r="I1740" i="23"/>
  <c r="I1741" i="23"/>
  <c r="I1742" i="23"/>
  <c r="I1743" i="23"/>
  <c r="I1744" i="23"/>
  <c r="I1745" i="23"/>
  <c r="I1746" i="23"/>
  <c r="I1747" i="23"/>
  <c r="I1748" i="23"/>
  <c r="I1749" i="23"/>
  <c r="I1750" i="23"/>
  <c r="I1751" i="23"/>
  <c r="I1752" i="23"/>
  <c r="I1753" i="23"/>
  <c r="I1754" i="23"/>
  <c r="I1755" i="23"/>
  <c r="I1756" i="23"/>
  <c r="I1757" i="23"/>
  <c r="I1758" i="23"/>
  <c r="I1759" i="23"/>
  <c r="I1760" i="23"/>
  <c r="I1761" i="23"/>
  <c r="I1762" i="23"/>
  <c r="I1763" i="23"/>
  <c r="I1764" i="23"/>
  <c r="I1765" i="23"/>
  <c r="I1766" i="23"/>
  <c r="I1767" i="23"/>
  <c r="I1768" i="23"/>
  <c r="I1769" i="23"/>
  <c r="I1770" i="23"/>
  <c r="I1771" i="23"/>
  <c r="I1772" i="23"/>
  <c r="I1773" i="23"/>
  <c r="I1774" i="23"/>
  <c r="I1775" i="23"/>
  <c r="I1776" i="23"/>
  <c r="I1777" i="23"/>
  <c r="I1778" i="23"/>
  <c r="I1779" i="23"/>
  <c r="I1780" i="23"/>
  <c r="I1781" i="23"/>
  <c r="I1782" i="23"/>
  <c r="I1783" i="23"/>
  <c r="I1784" i="23"/>
  <c r="I1785" i="23"/>
  <c r="I1786" i="23"/>
  <c r="I1787" i="23"/>
  <c r="I1788" i="23"/>
  <c r="I1789" i="23"/>
  <c r="I1790" i="23"/>
  <c r="I1791" i="23"/>
  <c r="I1792" i="23"/>
  <c r="I1793" i="23"/>
  <c r="I1794" i="23"/>
  <c r="I1795" i="23"/>
  <c r="I1796" i="23"/>
  <c r="I1797" i="23"/>
  <c r="I1798" i="23"/>
  <c r="I1799" i="23"/>
  <c r="I1800" i="23"/>
  <c r="I1801" i="23"/>
  <c r="I1802" i="23"/>
  <c r="I1803" i="23"/>
  <c r="I1804" i="23"/>
  <c r="I1805" i="23"/>
  <c r="I1806" i="23"/>
  <c r="I1807" i="23"/>
  <c r="I1808" i="23"/>
  <c r="I1809" i="23"/>
  <c r="I1810" i="23"/>
  <c r="I1811" i="23"/>
  <c r="I1812" i="23"/>
  <c r="I1813" i="23"/>
  <c r="I1814" i="23"/>
  <c r="I1815" i="23"/>
  <c r="I1816" i="23"/>
  <c r="I1817" i="23"/>
  <c r="I1818" i="23"/>
  <c r="I1819" i="23"/>
  <c r="I1820" i="23"/>
  <c r="I1821" i="23"/>
  <c r="I1822" i="23"/>
  <c r="I1823" i="23"/>
  <c r="I1824" i="23"/>
  <c r="I1825" i="23"/>
  <c r="I1826" i="23"/>
  <c r="I1827" i="23"/>
  <c r="I1828" i="23"/>
  <c r="I1829" i="23"/>
  <c r="I1830" i="23"/>
  <c r="I1831" i="23"/>
  <c r="I1832" i="23"/>
  <c r="I1833" i="23"/>
  <c r="I1834" i="23"/>
  <c r="I1835" i="23"/>
  <c r="I1836" i="23"/>
  <c r="I1837" i="23"/>
  <c r="I1838" i="23"/>
  <c r="I1839" i="23"/>
  <c r="I1840" i="23"/>
  <c r="I1841" i="23"/>
  <c r="I1842" i="23"/>
  <c r="I1843" i="23"/>
  <c r="I1844" i="23"/>
  <c r="I1845" i="23"/>
  <c r="I1846" i="23"/>
  <c r="I1847" i="23"/>
  <c r="I1848" i="23"/>
  <c r="I1849" i="23"/>
  <c r="I1850" i="23"/>
  <c r="I1851" i="23"/>
  <c r="I1852" i="23"/>
  <c r="I1853" i="23"/>
  <c r="I1854" i="23"/>
  <c r="I1855" i="23"/>
  <c r="I1856" i="23"/>
  <c r="I1857" i="23"/>
  <c r="I1858" i="23"/>
  <c r="I1859" i="23"/>
  <c r="I1860" i="23"/>
  <c r="I1861" i="23"/>
  <c r="I1862" i="23"/>
  <c r="I1863" i="23"/>
  <c r="I1864" i="23"/>
  <c r="I1865" i="23"/>
  <c r="I1866" i="23"/>
  <c r="I1867" i="23"/>
  <c r="I1868" i="23"/>
  <c r="I1869" i="23"/>
  <c r="I1870" i="23"/>
  <c r="I1871" i="23"/>
  <c r="I1872" i="23"/>
  <c r="I1873" i="23"/>
  <c r="I1874" i="23"/>
  <c r="I1875" i="23"/>
  <c r="I1876" i="23"/>
  <c r="I1877" i="23"/>
  <c r="I1878" i="23"/>
  <c r="I1879" i="23"/>
  <c r="I1880" i="23"/>
  <c r="I1881" i="23"/>
  <c r="I1882" i="23"/>
  <c r="I1883" i="23"/>
  <c r="I1884" i="23"/>
  <c r="I1885" i="23"/>
  <c r="I1886" i="23"/>
  <c r="I1887" i="23"/>
  <c r="I1888" i="23"/>
  <c r="I1889" i="23"/>
  <c r="I1890" i="23"/>
  <c r="I1891" i="23"/>
  <c r="I1892" i="23"/>
  <c r="I1893" i="23"/>
  <c r="I1894" i="23"/>
  <c r="I1895" i="23"/>
  <c r="I1896" i="23"/>
  <c r="I1897" i="23"/>
  <c r="I1898" i="23"/>
  <c r="I1899" i="23"/>
  <c r="I1900" i="23"/>
  <c r="I1901" i="23"/>
  <c r="I1902" i="23"/>
  <c r="I1903" i="23"/>
  <c r="I1904" i="23"/>
  <c r="I1905" i="23"/>
  <c r="I1906" i="23"/>
  <c r="I1907" i="23"/>
  <c r="I1908" i="23"/>
  <c r="I1909" i="23"/>
  <c r="I1910" i="23"/>
  <c r="I1911" i="23"/>
  <c r="I1912" i="23"/>
  <c r="I1913" i="23"/>
  <c r="I1914" i="23"/>
  <c r="I1915" i="23"/>
  <c r="I1916" i="23"/>
  <c r="I1917" i="23"/>
  <c r="I1918" i="23"/>
  <c r="I1919" i="23"/>
  <c r="I1920" i="23"/>
  <c r="I1921" i="23"/>
  <c r="I1922" i="23"/>
  <c r="I1923" i="23"/>
  <c r="I1924" i="23"/>
  <c r="I1925" i="23"/>
  <c r="I1926" i="23"/>
  <c r="I1927" i="23"/>
  <c r="I1928" i="23"/>
  <c r="I1929" i="23"/>
  <c r="I1930" i="23"/>
  <c r="I1931" i="23"/>
  <c r="I1932" i="23"/>
  <c r="I1933" i="23"/>
  <c r="I1934" i="23"/>
  <c r="I1935" i="23"/>
  <c r="I1936" i="23"/>
  <c r="I1937" i="23"/>
  <c r="I1938" i="23"/>
  <c r="I1939" i="23"/>
  <c r="I1940" i="23"/>
  <c r="I1941" i="23"/>
  <c r="I1942" i="23"/>
  <c r="I1943" i="23"/>
  <c r="I1944" i="23"/>
  <c r="I1945" i="23"/>
  <c r="I1946" i="23"/>
  <c r="I1947" i="23"/>
  <c r="I1948" i="23"/>
  <c r="I1949" i="23"/>
  <c r="I1950" i="23"/>
  <c r="I1951" i="23"/>
  <c r="I1952" i="23"/>
  <c r="I1953" i="23"/>
  <c r="I1954" i="23"/>
  <c r="I1955" i="23"/>
  <c r="I1956" i="23"/>
  <c r="I1957" i="23"/>
  <c r="I1958" i="23"/>
  <c r="I1959" i="23"/>
  <c r="I1960" i="23"/>
  <c r="I1961" i="23"/>
  <c r="I1962" i="23"/>
  <c r="I1963" i="23"/>
  <c r="I1964" i="23"/>
  <c r="I1965" i="23"/>
  <c r="I1966" i="23"/>
  <c r="I1967" i="23"/>
  <c r="I1968" i="23"/>
  <c r="I1969" i="23"/>
  <c r="I1970" i="23"/>
  <c r="I1971" i="23"/>
  <c r="I1972" i="23"/>
  <c r="I1973" i="23"/>
  <c r="I1974" i="23"/>
  <c r="I1975" i="23"/>
  <c r="I1976" i="23"/>
  <c r="I1977" i="23"/>
  <c r="I1978" i="23"/>
  <c r="I1979" i="23"/>
  <c r="I1980" i="23"/>
  <c r="I1981" i="23"/>
  <c r="I1982" i="23"/>
  <c r="I1983" i="23"/>
  <c r="I1984" i="23"/>
  <c r="I1985" i="23"/>
  <c r="I1986" i="23"/>
  <c r="I1987" i="23"/>
  <c r="I1988" i="23"/>
  <c r="I1989" i="23"/>
  <c r="I1990" i="23"/>
  <c r="I1991" i="23"/>
  <c r="I1992" i="23"/>
  <c r="I1993" i="23"/>
  <c r="I1994" i="23"/>
  <c r="I1995" i="23"/>
  <c r="I1996" i="23"/>
  <c r="I1997" i="23"/>
  <c r="I1998" i="23"/>
  <c r="I1999" i="23"/>
  <c r="I2000" i="23"/>
  <c r="I2001" i="23"/>
  <c r="I2002" i="23"/>
  <c r="I2003" i="23"/>
  <c r="I2004" i="23"/>
  <c r="I2005" i="23"/>
  <c r="I2006" i="23"/>
  <c r="I2007" i="23"/>
  <c r="I2008" i="23"/>
  <c r="I2009" i="23"/>
  <c r="I2010" i="23"/>
  <c r="I2011" i="23"/>
  <c r="I2012" i="23"/>
  <c r="I2013" i="23"/>
  <c r="I2014" i="23"/>
  <c r="I2015" i="23"/>
  <c r="I2016" i="23"/>
  <c r="I2017" i="23"/>
  <c r="I2018" i="23"/>
  <c r="I2019" i="23"/>
  <c r="I2020" i="23"/>
  <c r="I2021" i="23"/>
  <c r="I2022" i="23"/>
  <c r="I2023" i="23"/>
  <c r="I2024" i="23"/>
  <c r="I2025" i="23"/>
  <c r="I2026" i="23"/>
  <c r="I2027" i="23"/>
  <c r="I2028" i="23"/>
  <c r="I2029" i="23"/>
  <c r="I2030" i="23"/>
  <c r="I2031" i="23"/>
  <c r="I2032" i="23"/>
  <c r="I2033" i="23"/>
  <c r="I2034" i="23"/>
  <c r="I2035" i="23"/>
  <c r="I2036" i="23"/>
  <c r="I2037" i="23"/>
  <c r="I2038" i="23"/>
  <c r="I2039" i="23"/>
  <c r="I2040" i="23"/>
  <c r="I2041" i="23"/>
  <c r="I2042" i="23"/>
  <c r="I2043" i="23"/>
  <c r="I2044" i="23"/>
  <c r="I2045" i="23"/>
  <c r="I2046" i="23"/>
  <c r="I2047" i="23"/>
  <c r="I2048" i="23"/>
  <c r="I2049" i="23"/>
  <c r="I2050" i="23"/>
  <c r="I2051" i="23"/>
  <c r="I2052" i="23"/>
  <c r="I2053" i="23"/>
  <c r="I2054" i="23"/>
  <c r="I2055" i="23"/>
  <c r="I2056" i="23"/>
  <c r="I2057" i="23"/>
  <c r="I2058" i="23"/>
  <c r="I2059" i="23"/>
  <c r="I2060" i="23"/>
  <c r="I2061" i="23"/>
  <c r="I2062" i="23"/>
  <c r="I2063" i="23"/>
  <c r="I2064" i="23"/>
  <c r="I2065" i="23"/>
  <c r="I2066" i="23"/>
  <c r="I2067" i="23"/>
  <c r="I2068" i="23"/>
  <c r="I2069" i="23"/>
  <c r="I2070" i="23"/>
  <c r="I2071" i="23"/>
  <c r="I2072" i="23"/>
  <c r="I2073" i="23"/>
  <c r="I2074" i="23"/>
  <c r="I2075" i="23"/>
  <c r="I2076" i="23"/>
  <c r="I2077" i="23"/>
  <c r="I2078" i="23"/>
  <c r="I2079" i="23"/>
  <c r="I2080" i="23"/>
  <c r="I2081" i="23"/>
  <c r="I2082" i="23"/>
  <c r="I2083" i="23"/>
  <c r="I2084" i="23"/>
  <c r="I2085" i="23"/>
  <c r="I2086" i="23"/>
  <c r="I2087" i="23"/>
  <c r="I2088" i="23"/>
  <c r="I2089" i="23"/>
  <c r="I2090" i="23"/>
  <c r="I2091" i="23"/>
  <c r="I2092" i="23"/>
  <c r="I2093" i="23"/>
  <c r="I2094" i="23"/>
  <c r="I2095" i="23"/>
  <c r="I2096" i="23"/>
  <c r="I2097" i="23"/>
  <c r="I2098" i="23"/>
  <c r="I2099" i="23"/>
  <c r="I2100" i="23"/>
  <c r="I2101" i="23"/>
  <c r="I2102" i="23"/>
  <c r="I2103" i="23"/>
  <c r="I2104" i="23"/>
  <c r="I2105" i="23"/>
  <c r="I2106" i="23"/>
  <c r="I2107" i="23"/>
  <c r="I2108" i="23"/>
  <c r="I2109" i="23"/>
  <c r="I2110" i="23"/>
  <c r="I2111" i="23"/>
  <c r="I2112" i="23"/>
  <c r="I2113" i="23"/>
  <c r="I2114" i="23"/>
  <c r="I2115" i="23"/>
  <c r="I2116" i="23"/>
  <c r="I2117" i="23"/>
  <c r="I2118" i="23"/>
  <c r="I2119" i="23"/>
  <c r="I2120" i="23"/>
  <c r="I2121" i="23"/>
  <c r="I2122" i="23"/>
  <c r="I2123" i="23"/>
  <c r="I2124" i="23"/>
  <c r="I2125" i="23"/>
  <c r="I2126" i="23"/>
  <c r="I2127" i="23"/>
  <c r="I2128" i="23"/>
  <c r="I2129" i="23"/>
  <c r="I2130" i="23"/>
  <c r="I2131" i="23"/>
  <c r="I2132" i="23"/>
  <c r="I2133" i="23"/>
  <c r="I2134" i="23"/>
  <c r="I2135" i="23"/>
  <c r="I2136" i="23"/>
  <c r="I2137" i="23"/>
  <c r="I2138" i="23"/>
  <c r="I2139" i="23"/>
  <c r="I2140" i="23"/>
  <c r="I2141" i="23"/>
  <c r="I2142" i="23"/>
  <c r="I2143" i="23"/>
  <c r="I2144" i="23"/>
  <c r="I2145" i="23"/>
  <c r="I2146" i="23"/>
  <c r="I2147" i="23"/>
  <c r="I2148" i="23"/>
  <c r="I2149" i="23"/>
  <c r="I2150" i="23"/>
  <c r="I2151" i="23"/>
  <c r="I2152" i="23"/>
  <c r="I2153" i="23"/>
  <c r="I2154" i="23"/>
  <c r="I2155" i="23"/>
  <c r="I2156" i="23"/>
  <c r="I2157" i="23"/>
  <c r="I2158" i="23"/>
  <c r="I2159" i="23"/>
  <c r="I2160" i="23"/>
  <c r="I2161" i="23"/>
  <c r="I2162" i="23"/>
  <c r="I2163" i="23"/>
  <c r="I2164" i="23"/>
  <c r="I2165" i="23"/>
  <c r="I2166" i="23"/>
  <c r="I2167" i="23"/>
  <c r="I2168" i="23"/>
  <c r="I2169" i="23"/>
  <c r="I2170" i="23"/>
  <c r="I2171" i="23"/>
  <c r="I2172" i="23"/>
  <c r="I2173" i="23"/>
  <c r="I2174" i="23"/>
  <c r="I2175" i="23"/>
  <c r="I2176" i="23"/>
  <c r="I2177" i="23"/>
  <c r="I2178" i="23"/>
  <c r="I2179" i="23"/>
  <c r="I2180" i="23"/>
  <c r="I2181" i="23"/>
  <c r="I2182" i="23"/>
  <c r="I2183" i="23"/>
  <c r="I2184" i="23"/>
  <c r="I2185" i="23"/>
  <c r="I2186" i="23"/>
  <c r="I2187" i="23"/>
  <c r="I2188" i="23"/>
  <c r="I2189" i="23"/>
  <c r="I2190" i="23"/>
  <c r="I2191" i="23"/>
  <c r="I2192" i="23"/>
  <c r="I2193" i="23"/>
  <c r="I2194" i="23"/>
  <c r="I2195" i="23"/>
  <c r="I2196" i="23"/>
  <c r="I2197" i="23"/>
  <c r="I2198" i="23"/>
  <c r="I2199" i="23"/>
  <c r="I2200" i="23"/>
  <c r="I2201" i="23"/>
  <c r="I2202" i="23"/>
  <c r="I2203" i="23"/>
  <c r="I2204" i="23"/>
  <c r="I2205" i="23"/>
  <c r="I2206" i="23"/>
  <c r="I2207" i="23"/>
  <c r="I2208" i="23"/>
  <c r="I2209" i="23"/>
  <c r="I2210" i="23"/>
  <c r="I2211" i="23"/>
  <c r="I2212" i="23"/>
  <c r="I2213" i="23"/>
  <c r="I2214" i="23"/>
  <c r="I2215" i="23"/>
  <c r="I2216" i="23"/>
  <c r="I2217" i="23"/>
  <c r="I2218" i="23"/>
  <c r="I2219" i="23"/>
  <c r="I2220" i="23"/>
  <c r="I2221" i="23"/>
  <c r="I2222" i="23"/>
  <c r="I2223" i="23"/>
  <c r="I2224" i="23"/>
  <c r="I2225" i="23"/>
  <c r="I2226" i="23"/>
  <c r="I2227" i="23"/>
  <c r="I2228" i="23"/>
  <c r="I2229" i="23"/>
  <c r="I2230" i="23"/>
  <c r="I2231" i="23"/>
  <c r="I2232" i="23"/>
  <c r="I2233" i="23"/>
  <c r="I2234" i="23"/>
  <c r="I2235" i="23"/>
  <c r="I2236" i="23"/>
  <c r="I2237" i="23"/>
  <c r="I2238" i="23"/>
  <c r="I2239" i="23"/>
  <c r="I2240" i="23"/>
  <c r="I2241" i="23"/>
  <c r="I2242" i="23"/>
  <c r="I2243" i="23"/>
  <c r="I2244" i="23"/>
  <c r="I2245" i="23"/>
  <c r="I2246" i="23"/>
  <c r="I2247" i="23"/>
  <c r="I2248" i="23"/>
  <c r="I2249" i="23"/>
  <c r="I2250" i="23"/>
  <c r="I2251" i="23"/>
  <c r="I2252" i="23"/>
  <c r="I2253" i="23"/>
  <c r="I2254" i="23"/>
  <c r="I2255" i="23"/>
  <c r="I2256" i="23"/>
  <c r="I2257" i="23"/>
  <c r="I2258" i="23"/>
  <c r="I2259" i="23"/>
  <c r="I2260" i="23"/>
  <c r="I2261" i="23"/>
  <c r="I2262" i="23"/>
  <c r="I2263" i="23"/>
  <c r="I2264" i="23"/>
  <c r="I2265" i="23"/>
  <c r="I2266" i="23"/>
  <c r="I2267" i="23"/>
  <c r="I2268" i="23"/>
  <c r="I2269" i="23"/>
  <c r="I2270" i="23"/>
  <c r="I2271" i="23"/>
  <c r="I2272" i="23"/>
  <c r="I2273" i="23"/>
  <c r="I2274" i="23"/>
  <c r="I2275" i="23"/>
  <c r="I2276" i="23"/>
  <c r="I2277" i="23"/>
  <c r="I2278" i="23"/>
  <c r="I2279" i="23"/>
  <c r="I2280" i="23"/>
  <c r="I2281" i="23"/>
  <c r="I2282" i="23"/>
  <c r="I2283" i="23"/>
  <c r="I2284" i="23"/>
  <c r="I2285" i="23"/>
  <c r="I2286" i="23"/>
  <c r="I2287" i="23"/>
  <c r="I2288" i="23"/>
  <c r="I2289" i="23"/>
  <c r="I2290" i="23"/>
  <c r="I2291" i="23"/>
  <c r="I2292" i="23"/>
  <c r="I2293" i="23"/>
  <c r="I2294" i="23"/>
  <c r="I2295" i="23"/>
  <c r="I2296" i="23"/>
  <c r="I2297" i="23"/>
  <c r="I2298" i="23"/>
  <c r="I2299" i="23"/>
  <c r="I2300" i="23"/>
  <c r="I2301" i="23"/>
  <c r="I2302" i="23"/>
  <c r="I2303" i="23"/>
  <c r="I2304" i="23"/>
  <c r="I2305" i="23"/>
  <c r="I2306" i="23"/>
  <c r="I2307" i="23"/>
  <c r="I2308" i="23"/>
  <c r="I2309" i="23"/>
  <c r="I2310" i="23"/>
  <c r="I2311" i="23"/>
  <c r="I2312" i="23"/>
  <c r="I2313" i="23"/>
  <c r="I2314" i="23"/>
  <c r="I2315" i="23"/>
  <c r="I2316" i="23"/>
  <c r="I2317" i="23"/>
  <c r="I2318" i="23"/>
  <c r="I2319" i="23"/>
  <c r="I2320" i="23"/>
  <c r="I2321" i="23"/>
  <c r="I2322" i="23"/>
  <c r="I2323" i="23"/>
  <c r="I2324" i="23"/>
  <c r="I2325" i="23"/>
  <c r="I2326" i="23"/>
  <c r="I2327" i="23"/>
  <c r="I2328" i="23"/>
  <c r="I2329" i="23"/>
  <c r="I2330" i="23"/>
  <c r="I2331" i="23"/>
  <c r="I2332" i="23"/>
  <c r="I2333" i="23"/>
  <c r="I2334" i="23"/>
  <c r="I2335" i="23"/>
  <c r="I2336" i="23"/>
  <c r="I2337" i="23"/>
  <c r="I2338" i="23"/>
  <c r="I2339" i="23"/>
  <c r="I2340" i="23"/>
  <c r="I2341" i="23"/>
  <c r="I2342" i="23"/>
  <c r="I2343" i="23"/>
  <c r="I2344" i="23"/>
  <c r="I2345" i="23"/>
  <c r="I2346" i="23"/>
  <c r="I2347" i="23"/>
  <c r="I2348" i="23"/>
  <c r="I2349" i="23"/>
  <c r="I2350" i="23"/>
  <c r="I2351" i="23"/>
  <c r="I2352" i="23"/>
  <c r="I2353" i="23"/>
  <c r="I2354" i="23"/>
  <c r="I2355" i="23"/>
  <c r="I2356" i="23"/>
  <c r="I2357" i="23"/>
  <c r="I2358" i="23"/>
  <c r="I2359" i="23"/>
  <c r="I2360" i="23"/>
  <c r="I2361" i="23"/>
  <c r="I2362" i="23"/>
  <c r="I2363" i="23"/>
  <c r="I2364" i="23"/>
  <c r="I2365" i="23"/>
  <c r="I2366" i="23"/>
  <c r="I2367" i="23"/>
  <c r="I2368" i="23"/>
  <c r="I2369" i="23"/>
  <c r="I2370" i="23"/>
  <c r="I2371" i="23"/>
  <c r="I2372" i="23"/>
  <c r="I2373" i="23"/>
  <c r="I2374" i="23"/>
  <c r="I2375" i="23"/>
  <c r="I2376" i="23"/>
  <c r="I2377" i="23"/>
  <c r="I2378" i="23"/>
  <c r="I2379" i="23"/>
  <c r="I2380" i="23"/>
  <c r="I2381" i="23"/>
  <c r="I2382" i="23"/>
  <c r="I2383" i="23"/>
  <c r="I2384" i="23"/>
  <c r="I2385" i="23"/>
  <c r="I2386" i="23"/>
  <c r="I2387" i="23"/>
  <c r="I2388" i="23"/>
  <c r="I2389" i="23"/>
  <c r="I2390" i="23"/>
  <c r="I2391" i="23"/>
  <c r="I2392" i="23"/>
  <c r="I2393" i="23"/>
  <c r="I2394" i="23"/>
  <c r="I2395" i="23"/>
  <c r="I2396" i="23"/>
  <c r="I2397" i="23"/>
  <c r="I2398" i="23"/>
  <c r="I2399" i="23"/>
  <c r="I2400" i="23"/>
  <c r="I2401" i="23"/>
  <c r="I2402" i="23"/>
  <c r="I2403" i="23"/>
  <c r="I2404" i="23"/>
  <c r="I2405" i="23"/>
  <c r="I2406" i="23"/>
  <c r="I2407" i="23"/>
  <c r="I2408" i="23"/>
  <c r="I2409" i="23"/>
  <c r="I2410" i="23"/>
  <c r="I2411" i="23"/>
  <c r="I2412" i="23"/>
  <c r="I2413" i="23"/>
  <c r="I2414" i="23"/>
  <c r="I2415" i="23"/>
  <c r="I2416" i="23"/>
  <c r="I2417" i="23"/>
  <c r="I2418" i="23"/>
  <c r="I2419" i="23"/>
  <c r="I2420" i="23"/>
  <c r="I2421" i="23"/>
  <c r="I2422" i="23"/>
  <c r="I2423" i="23"/>
  <c r="I2424" i="23"/>
  <c r="I2425" i="23"/>
  <c r="I2426" i="23"/>
  <c r="I2427" i="23"/>
  <c r="I2428" i="23"/>
  <c r="I2429" i="23"/>
  <c r="I2430" i="23"/>
  <c r="I2431" i="23"/>
  <c r="I2432" i="23"/>
  <c r="I2433" i="23"/>
  <c r="I2434" i="23"/>
  <c r="I2435" i="23"/>
  <c r="I2436" i="23"/>
  <c r="I2437" i="23"/>
  <c r="I2438" i="23"/>
  <c r="I2439" i="23"/>
  <c r="I2440" i="23"/>
  <c r="I2441" i="23"/>
  <c r="I2442" i="23"/>
  <c r="I2443" i="23"/>
  <c r="I2444" i="23"/>
  <c r="I2445" i="23"/>
  <c r="I2446" i="23"/>
  <c r="I2447" i="23"/>
  <c r="I2448" i="23"/>
  <c r="I2449" i="23"/>
  <c r="I2450" i="23"/>
  <c r="I2451" i="23"/>
  <c r="I2452" i="23"/>
  <c r="I2453" i="23"/>
  <c r="I2454" i="23"/>
  <c r="I2455" i="23"/>
  <c r="I2456" i="23"/>
  <c r="I2457" i="23"/>
  <c r="I2458" i="23"/>
  <c r="I2459" i="23"/>
  <c r="I2460" i="23"/>
  <c r="I2461" i="23"/>
  <c r="I2462" i="23"/>
  <c r="I2463" i="23"/>
  <c r="I2464" i="23"/>
  <c r="I2465" i="23"/>
  <c r="I2466" i="23"/>
  <c r="I2467" i="23"/>
  <c r="I2468" i="23"/>
  <c r="I2469" i="23"/>
  <c r="I2470" i="23"/>
  <c r="I2471" i="23"/>
  <c r="I2472" i="23"/>
  <c r="I2473" i="23"/>
  <c r="I2474" i="23"/>
  <c r="I2475" i="23"/>
  <c r="I2476" i="23"/>
  <c r="I2477" i="23"/>
  <c r="I2478" i="23"/>
  <c r="I2479" i="23"/>
  <c r="I2480" i="23"/>
  <c r="I2481" i="23"/>
  <c r="I2482" i="23"/>
  <c r="I2483" i="23"/>
  <c r="I2484" i="23"/>
  <c r="I2485" i="23"/>
  <c r="I2486" i="23"/>
  <c r="I2487" i="23"/>
  <c r="I2488" i="23"/>
  <c r="I2489" i="23"/>
  <c r="I2490" i="23"/>
  <c r="I2491" i="23"/>
  <c r="I2492" i="23"/>
  <c r="I2493" i="23"/>
  <c r="I2494" i="23"/>
  <c r="I2495" i="23"/>
  <c r="I2496" i="23"/>
  <c r="I2497" i="23"/>
  <c r="I2498" i="23"/>
  <c r="I2499" i="23"/>
  <c r="I2500" i="23"/>
  <c r="I2501" i="23"/>
  <c r="I2502" i="23"/>
  <c r="I2503" i="23"/>
  <c r="I2504" i="23"/>
  <c r="I2505" i="23"/>
  <c r="I2506" i="23"/>
  <c r="I2507" i="23"/>
  <c r="I2508" i="23"/>
  <c r="I2509" i="23"/>
  <c r="I2510" i="23"/>
  <c r="I2511" i="23"/>
  <c r="I2512" i="23"/>
  <c r="I2513" i="23"/>
  <c r="I2514" i="23"/>
  <c r="I2515" i="23"/>
  <c r="I2516" i="23"/>
  <c r="I2517" i="23"/>
  <c r="I2518" i="23"/>
  <c r="I2519" i="23"/>
  <c r="I2520" i="23"/>
  <c r="I2521" i="23"/>
  <c r="I2522" i="23"/>
  <c r="I2523" i="23"/>
  <c r="I2524" i="23"/>
  <c r="I2525" i="23"/>
  <c r="I2526" i="23"/>
  <c r="I2527" i="23"/>
  <c r="I2528" i="23"/>
  <c r="I2529" i="23"/>
  <c r="I2530" i="23"/>
  <c r="I2531" i="23"/>
  <c r="I2532" i="23"/>
  <c r="I2533" i="23"/>
  <c r="I2534" i="23"/>
  <c r="I2535" i="23"/>
  <c r="I2536" i="23"/>
  <c r="I2537" i="23"/>
  <c r="I2538" i="23"/>
  <c r="I2539" i="23"/>
  <c r="I2540" i="23"/>
  <c r="I2541" i="23"/>
  <c r="I2542" i="23"/>
  <c r="I2543" i="23"/>
  <c r="I2544" i="23"/>
  <c r="I2545" i="23"/>
  <c r="I2546" i="23"/>
  <c r="I2547" i="23"/>
  <c r="I2548" i="23"/>
  <c r="I2549" i="23"/>
  <c r="I2550" i="23"/>
  <c r="I2551" i="23"/>
  <c r="I2552" i="23"/>
  <c r="I2553" i="23"/>
  <c r="I2554" i="23"/>
  <c r="I2555" i="23"/>
  <c r="I2556" i="23"/>
  <c r="I2557" i="23"/>
  <c r="I2558" i="23"/>
  <c r="I2559" i="23"/>
  <c r="I2560" i="23"/>
  <c r="I2561" i="23"/>
  <c r="I2562" i="23"/>
  <c r="I2563" i="23"/>
  <c r="I2564" i="23"/>
  <c r="I2565" i="23"/>
  <c r="I2566" i="23"/>
  <c r="I2567" i="23"/>
  <c r="I2568" i="23"/>
  <c r="I2569" i="23"/>
  <c r="I2570" i="23"/>
  <c r="I2571" i="23"/>
  <c r="I2572" i="23"/>
  <c r="I2573" i="23"/>
  <c r="I2574" i="23"/>
  <c r="I2575" i="23"/>
  <c r="I2576" i="23"/>
  <c r="I2577" i="23"/>
  <c r="I2578" i="23"/>
  <c r="I2579" i="23"/>
  <c r="I2580" i="23"/>
  <c r="I2581" i="23"/>
  <c r="I2582" i="23"/>
  <c r="I2583" i="23"/>
  <c r="I2584" i="23"/>
  <c r="I2585" i="23"/>
  <c r="I2586" i="23"/>
  <c r="I2587" i="23"/>
  <c r="I2588" i="23"/>
  <c r="I2589" i="23"/>
  <c r="I2590" i="23"/>
  <c r="I2591" i="23"/>
  <c r="I2592" i="23"/>
  <c r="I2593" i="23"/>
  <c r="I2594" i="23"/>
  <c r="I2595" i="23"/>
  <c r="I2596" i="23"/>
  <c r="I2597" i="23"/>
  <c r="I2598" i="23"/>
  <c r="I2599" i="23"/>
  <c r="I2600" i="23"/>
  <c r="I2601" i="23"/>
  <c r="I2602" i="23"/>
  <c r="I2603" i="23"/>
  <c r="I2604" i="23"/>
  <c r="I2605" i="23"/>
  <c r="I2606" i="23"/>
  <c r="I2607" i="23"/>
  <c r="I2608" i="23"/>
  <c r="I2609" i="23"/>
  <c r="I2610" i="23"/>
  <c r="I2611" i="23"/>
  <c r="I2612" i="23"/>
  <c r="I2613" i="23"/>
  <c r="I2614" i="23"/>
  <c r="I2615" i="23"/>
  <c r="I2616" i="23"/>
  <c r="I2617" i="23"/>
  <c r="I2618" i="23"/>
  <c r="I2619" i="23"/>
  <c r="I2620" i="23"/>
  <c r="I2621" i="23"/>
  <c r="I2622" i="23"/>
  <c r="I2623" i="23"/>
  <c r="I2624" i="23"/>
  <c r="I2625" i="23"/>
  <c r="I2626" i="23"/>
  <c r="I2627" i="23"/>
  <c r="I2628" i="23"/>
  <c r="I2629" i="23"/>
  <c r="I2630" i="23"/>
  <c r="I2631" i="23"/>
  <c r="I2632" i="23"/>
  <c r="I2633" i="23"/>
  <c r="I2634" i="23"/>
  <c r="I2635" i="23"/>
  <c r="I2636" i="23"/>
  <c r="I2637" i="23"/>
  <c r="I2638" i="23"/>
  <c r="I2639" i="23"/>
  <c r="I2640" i="23"/>
  <c r="I2641" i="23"/>
  <c r="I2642" i="23"/>
  <c r="I2643" i="23"/>
  <c r="I2644" i="23"/>
  <c r="I2645" i="23"/>
  <c r="I2646" i="23"/>
  <c r="I2647" i="23"/>
  <c r="I2648" i="23"/>
  <c r="I2649" i="23"/>
  <c r="I2650" i="23"/>
  <c r="I2651" i="23"/>
  <c r="I2652" i="23"/>
  <c r="I2653" i="23"/>
  <c r="I2654" i="23"/>
  <c r="I2655" i="23"/>
  <c r="I2656" i="23"/>
  <c r="I2657" i="23"/>
  <c r="I2658" i="23"/>
  <c r="I2659" i="23"/>
  <c r="I2660" i="23"/>
  <c r="I2661" i="23"/>
  <c r="I2662" i="23"/>
  <c r="I2663" i="23"/>
  <c r="I2664" i="23"/>
  <c r="I2665" i="23"/>
  <c r="I2666" i="23"/>
  <c r="I2667" i="23"/>
  <c r="I2668" i="23"/>
  <c r="I2669" i="23"/>
  <c r="I2670" i="23"/>
  <c r="I2671" i="23"/>
  <c r="I2672" i="23"/>
  <c r="I2673" i="23"/>
  <c r="I2674" i="23"/>
  <c r="I2675" i="23"/>
  <c r="I2676" i="23"/>
  <c r="I2677" i="23"/>
  <c r="I2678" i="23"/>
  <c r="I2679" i="23"/>
  <c r="I2680" i="23"/>
  <c r="I2681" i="23"/>
  <c r="I2682" i="23"/>
  <c r="I2683" i="23"/>
  <c r="I2684" i="23"/>
  <c r="I2685" i="23"/>
  <c r="I2686" i="23"/>
  <c r="I2687" i="23"/>
  <c r="I2688" i="23"/>
  <c r="I2689" i="23"/>
  <c r="I2690" i="23"/>
  <c r="I2691" i="23"/>
  <c r="I2692" i="23"/>
  <c r="I2693" i="23"/>
  <c r="I2694" i="23"/>
  <c r="I2695" i="23"/>
  <c r="I2696" i="23"/>
  <c r="I2697" i="23"/>
  <c r="I2698" i="23"/>
  <c r="I2699" i="23"/>
  <c r="I2700" i="23"/>
  <c r="I2701" i="23"/>
  <c r="I2702" i="23"/>
  <c r="I2703" i="23"/>
  <c r="I2704" i="23"/>
  <c r="I2705" i="23"/>
  <c r="I2706" i="23"/>
  <c r="I2707" i="23"/>
  <c r="I2708" i="23"/>
  <c r="I2709" i="23"/>
  <c r="I2710" i="23"/>
  <c r="I2711" i="23"/>
  <c r="I2712" i="23"/>
  <c r="I2713" i="23"/>
  <c r="I2714" i="23"/>
  <c r="I2715" i="23"/>
  <c r="I2716" i="23"/>
  <c r="I2717" i="23"/>
  <c r="I2718" i="23"/>
  <c r="I2719" i="23"/>
  <c r="I2720" i="23"/>
  <c r="I2721" i="23"/>
  <c r="I2722" i="23"/>
  <c r="I2723" i="23"/>
  <c r="I2724" i="23"/>
  <c r="I2725" i="23"/>
  <c r="I2726" i="23"/>
  <c r="I2727" i="23"/>
  <c r="I2728" i="23"/>
  <c r="I2729" i="23"/>
  <c r="I2730" i="23"/>
  <c r="I2731" i="23"/>
  <c r="I2732" i="23"/>
  <c r="I2733" i="23"/>
  <c r="I2734" i="23"/>
  <c r="I2735" i="23"/>
  <c r="I2736" i="23"/>
  <c r="I2737" i="23"/>
  <c r="I2738" i="23"/>
  <c r="I2739" i="23"/>
  <c r="I2740" i="23"/>
  <c r="I2741" i="23"/>
  <c r="I2742" i="23"/>
  <c r="I2743" i="23"/>
  <c r="I2744" i="23"/>
  <c r="I2745" i="23"/>
  <c r="I2746" i="23"/>
  <c r="I2747" i="23"/>
  <c r="I2748" i="23"/>
  <c r="I2749" i="23"/>
  <c r="I2750" i="23"/>
  <c r="I2751" i="23"/>
  <c r="I2752" i="23"/>
  <c r="I2753" i="23"/>
  <c r="I2754" i="23"/>
  <c r="I2755" i="23"/>
  <c r="I2756" i="23"/>
  <c r="I2757" i="23"/>
  <c r="I2758" i="23"/>
  <c r="I2759" i="23"/>
  <c r="I2760" i="23"/>
  <c r="I2761" i="23"/>
  <c r="I2762" i="23"/>
  <c r="I2763" i="23"/>
  <c r="I2764" i="23"/>
  <c r="I2765" i="23"/>
  <c r="I2766" i="23"/>
  <c r="I2767" i="23"/>
  <c r="I2768" i="23"/>
  <c r="I2769" i="23"/>
  <c r="I2770" i="23"/>
  <c r="I2771" i="23"/>
  <c r="I2772" i="23"/>
  <c r="I2773" i="23"/>
  <c r="I2774" i="23"/>
  <c r="I2775" i="23"/>
  <c r="I2776" i="23"/>
  <c r="I2777" i="23"/>
  <c r="I2778" i="23"/>
  <c r="I2779" i="23"/>
  <c r="I2780" i="23"/>
  <c r="I2781" i="23"/>
  <c r="I2782" i="23"/>
  <c r="I2783" i="23"/>
  <c r="I2784" i="23"/>
  <c r="I2785" i="23"/>
  <c r="I2786" i="23"/>
  <c r="I2787" i="23"/>
  <c r="I2788" i="23"/>
  <c r="I2789" i="23"/>
  <c r="I2790" i="23"/>
  <c r="I2791" i="23"/>
  <c r="I2792" i="23"/>
  <c r="I2793" i="23"/>
  <c r="I2794" i="23"/>
  <c r="I2795" i="23"/>
  <c r="I2796" i="23"/>
  <c r="I2797" i="23"/>
  <c r="I2798" i="23"/>
  <c r="I2799" i="23"/>
  <c r="I2800" i="23"/>
  <c r="I2801" i="23"/>
  <c r="I2802" i="23"/>
  <c r="I2803" i="23"/>
  <c r="I2804" i="23"/>
  <c r="I2805" i="23"/>
  <c r="I2806" i="23"/>
  <c r="I2807" i="23"/>
  <c r="I2808" i="23"/>
  <c r="I2809" i="23"/>
  <c r="I2810" i="23"/>
  <c r="I2811" i="23"/>
  <c r="I2812" i="23"/>
  <c r="I2813" i="23"/>
  <c r="I2814" i="23"/>
  <c r="I2815" i="23"/>
  <c r="I2816" i="23"/>
  <c r="I2817" i="23"/>
  <c r="I2818" i="23"/>
  <c r="I2819" i="23"/>
  <c r="I2820" i="23"/>
  <c r="I2821" i="23"/>
  <c r="I2822" i="23"/>
  <c r="I2823" i="23"/>
  <c r="I2824" i="23"/>
  <c r="I2825" i="23"/>
  <c r="I2826" i="23"/>
  <c r="I2827" i="23"/>
  <c r="I2828" i="23"/>
  <c r="I2829" i="23"/>
  <c r="I2830" i="23"/>
  <c r="I2831" i="23"/>
  <c r="I2832" i="23"/>
  <c r="I2833" i="23"/>
  <c r="I2834" i="23"/>
  <c r="I2835" i="23"/>
  <c r="I2836" i="23"/>
  <c r="I2837" i="23"/>
  <c r="I2838" i="23"/>
  <c r="I2839" i="23"/>
  <c r="I2840" i="23"/>
  <c r="I2841" i="23"/>
  <c r="I2842" i="23"/>
  <c r="I2843" i="23"/>
  <c r="I2844" i="23"/>
  <c r="I2845" i="23"/>
  <c r="I2846" i="23"/>
  <c r="I2847" i="23"/>
  <c r="I2848" i="23"/>
  <c r="I2849" i="23"/>
  <c r="I2850" i="23"/>
  <c r="I2851" i="23"/>
  <c r="I2852" i="23"/>
  <c r="I2853" i="23"/>
  <c r="I2854" i="23"/>
  <c r="I2855" i="23"/>
  <c r="I2856" i="23"/>
  <c r="I2857" i="23"/>
  <c r="I2858" i="23"/>
  <c r="I2859" i="23"/>
  <c r="I2860" i="23"/>
  <c r="I2861" i="23"/>
  <c r="I2862" i="23"/>
  <c r="I2863" i="23"/>
  <c r="I2864" i="23"/>
  <c r="I2865" i="23"/>
  <c r="I2866" i="23"/>
  <c r="I2867" i="23"/>
  <c r="I2868" i="23"/>
  <c r="I2869" i="23"/>
  <c r="I2870" i="23"/>
  <c r="I2871" i="23"/>
  <c r="I2872" i="23"/>
  <c r="I2873" i="23"/>
  <c r="I2874" i="23"/>
  <c r="I2875" i="23"/>
  <c r="I2876" i="23"/>
  <c r="I2877" i="23"/>
  <c r="I2878" i="23"/>
  <c r="I2879" i="23"/>
  <c r="I2880" i="23"/>
  <c r="I2881" i="23"/>
  <c r="I2882" i="23"/>
  <c r="I2883" i="23"/>
  <c r="I2884" i="23"/>
  <c r="I2885" i="23"/>
  <c r="I2886" i="23"/>
  <c r="I2887" i="23"/>
  <c r="I2888" i="23"/>
  <c r="I2889" i="23"/>
  <c r="I2890" i="23"/>
  <c r="I2891" i="23"/>
  <c r="I2892" i="23"/>
  <c r="I2893" i="23"/>
  <c r="I2894" i="23"/>
  <c r="I2895" i="23"/>
  <c r="I2896" i="23"/>
  <c r="I2897" i="23"/>
  <c r="I2898" i="23"/>
  <c r="I2899" i="23"/>
  <c r="I2900" i="23"/>
  <c r="I2901" i="23"/>
  <c r="I2902" i="23"/>
  <c r="I2903" i="23"/>
  <c r="I2904" i="23"/>
  <c r="I2905" i="23"/>
  <c r="I2906" i="23"/>
  <c r="I2907" i="23"/>
  <c r="I2908" i="23"/>
  <c r="I2909" i="23"/>
  <c r="I2910" i="23"/>
  <c r="I2911" i="23"/>
  <c r="I2912" i="23"/>
  <c r="I2913" i="23"/>
  <c r="I2914" i="23"/>
  <c r="I2915" i="23"/>
  <c r="I2916" i="23"/>
  <c r="I2917" i="23"/>
  <c r="I2918" i="23"/>
  <c r="I2919" i="23"/>
  <c r="I2920" i="23"/>
  <c r="I2921" i="23"/>
  <c r="I2922" i="23"/>
  <c r="I2923" i="23"/>
  <c r="I2924" i="23"/>
  <c r="I2925" i="23"/>
  <c r="I2926" i="23"/>
  <c r="I2927" i="23"/>
  <c r="I2928" i="23"/>
  <c r="I2929" i="23"/>
  <c r="I2930" i="23"/>
  <c r="I2931" i="23"/>
  <c r="I2932" i="23"/>
  <c r="I2933" i="23"/>
  <c r="I2934" i="23"/>
  <c r="I2935" i="23"/>
  <c r="I2936" i="23"/>
  <c r="I2937" i="23"/>
  <c r="I2938" i="23"/>
  <c r="I2939" i="23"/>
  <c r="I2940" i="23"/>
  <c r="I2941" i="23"/>
  <c r="I2942" i="23"/>
  <c r="I2943" i="23"/>
  <c r="I2944" i="23"/>
  <c r="I2945" i="23"/>
  <c r="I2946" i="23"/>
  <c r="I2947" i="23"/>
  <c r="I2948" i="23"/>
  <c r="I2949" i="23"/>
  <c r="I2950" i="23"/>
  <c r="I2951" i="23"/>
  <c r="I2952" i="23"/>
  <c r="I2953" i="23"/>
  <c r="I2954" i="23"/>
  <c r="I2955" i="23"/>
  <c r="I2956" i="23"/>
  <c r="I2957" i="23"/>
  <c r="I2958" i="23"/>
  <c r="I2959" i="23"/>
  <c r="I2960" i="23"/>
  <c r="I2961" i="23"/>
  <c r="I2962" i="23"/>
  <c r="I2963" i="23"/>
  <c r="I2964" i="23"/>
  <c r="I2965" i="23"/>
  <c r="I2966" i="23"/>
  <c r="I2967" i="23"/>
  <c r="I2968" i="23"/>
  <c r="I2969" i="23"/>
  <c r="I2970" i="23"/>
  <c r="I2971" i="23"/>
  <c r="I2972" i="23"/>
  <c r="I2973" i="23"/>
  <c r="I2974" i="23"/>
  <c r="I2975" i="23"/>
  <c r="I2976" i="23"/>
  <c r="I2977" i="23"/>
  <c r="I2978" i="23"/>
  <c r="I2979" i="23"/>
  <c r="I2980" i="23"/>
  <c r="I2981" i="23"/>
  <c r="I2982" i="23"/>
  <c r="I2983" i="23"/>
  <c r="I2984" i="23"/>
  <c r="I2985" i="23"/>
  <c r="I2986" i="23"/>
  <c r="I2987" i="23"/>
  <c r="I2988" i="23"/>
  <c r="I2989" i="23"/>
  <c r="I2990" i="23"/>
  <c r="I2991" i="23"/>
  <c r="I2992" i="23"/>
  <c r="I2993" i="23"/>
  <c r="I2994" i="23"/>
  <c r="I2995" i="23"/>
  <c r="I2996" i="23"/>
  <c r="I2997" i="23"/>
  <c r="I2998" i="23"/>
  <c r="I2999" i="23"/>
  <c r="I3000" i="23"/>
  <c r="I3001" i="23"/>
  <c r="I3002" i="23"/>
  <c r="I3003" i="23"/>
  <c r="I3004" i="23"/>
  <c r="I3005" i="23"/>
  <c r="I3006" i="23"/>
  <c r="I3007" i="23"/>
  <c r="I3008" i="23"/>
  <c r="I3009" i="23"/>
  <c r="I3010" i="23"/>
  <c r="I3011" i="23"/>
  <c r="I3012" i="23"/>
  <c r="I3013" i="23"/>
  <c r="I3014" i="23"/>
  <c r="I3015" i="23"/>
  <c r="I3016" i="23"/>
  <c r="I3017" i="23"/>
  <c r="I3018" i="23"/>
  <c r="I3019" i="23"/>
  <c r="I3020" i="23"/>
  <c r="I3021" i="23"/>
  <c r="I3022" i="23"/>
  <c r="I3023" i="23"/>
  <c r="I3024" i="23"/>
  <c r="I3025" i="23"/>
  <c r="I3026" i="23"/>
  <c r="I3027" i="23"/>
  <c r="I3028" i="23"/>
  <c r="I3029" i="23"/>
  <c r="I3030" i="23"/>
  <c r="I3031" i="23"/>
  <c r="I3032" i="23"/>
  <c r="I3033" i="23"/>
  <c r="I3034" i="23"/>
  <c r="I3035" i="23"/>
  <c r="I3036" i="23"/>
  <c r="I3037" i="23"/>
  <c r="I3038" i="23"/>
  <c r="I3039" i="23"/>
  <c r="I3040" i="23"/>
  <c r="I3041" i="23"/>
  <c r="I3042" i="23"/>
  <c r="I3043" i="23"/>
  <c r="I3044" i="23"/>
  <c r="I3045" i="23"/>
  <c r="I3046" i="23"/>
  <c r="I3047" i="23"/>
  <c r="I3048" i="23"/>
  <c r="I3049" i="23"/>
  <c r="I3050" i="23"/>
  <c r="I3051" i="23"/>
  <c r="I3052" i="23"/>
  <c r="I3053" i="23"/>
  <c r="I3054" i="23"/>
  <c r="I3055" i="23"/>
  <c r="I3056" i="23"/>
  <c r="I3057" i="23"/>
  <c r="I3058" i="23"/>
  <c r="I3059" i="23"/>
  <c r="I3060" i="23"/>
  <c r="I3061" i="23"/>
  <c r="I3062" i="23"/>
  <c r="I3063" i="23"/>
  <c r="I3064" i="23"/>
  <c r="I3065" i="23"/>
  <c r="I3066" i="23"/>
  <c r="I3067" i="23"/>
  <c r="I3068" i="23"/>
  <c r="I3069" i="23"/>
  <c r="I3070" i="23"/>
  <c r="I3071" i="23"/>
  <c r="I3072" i="23"/>
  <c r="I3073" i="23"/>
  <c r="I3074" i="23"/>
  <c r="I3075" i="23"/>
  <c r="I3076" i="23"/>
  <c r="I3077" i="23"/>
  <c r="I3078" i="23"/>
  <c r="I3079" i="23"/>
  <c r="I3080" i="23"/>
  <c r="I3081" i="23"/>
  <c r="I3082" i="23"/>
  <c r="I3083" i="23"/>
  <c r="I3084" i="23"/>
  <c r="I3085" i="23"/>
  <c r="I3086" i="23"/>
  <c r="I3087" i="23"/>
  <c r="I3088" i="23"/>
  <c r="I3089" i="23"/>
  <c r="I3090" i="23"/>
  <c r="I3091" i="23"/>
  <c r="I3092" i="23"/>
  <c r="I3093" i="23"/>
  <c r="I3094" i="23"/>
  <c r="I3095" i="23"/>
  <c r="I3096" i="23"/>
  <c r="I3097" i="23"/>
  <c r="I3098" i="23"/>
  <c r="I3099" i="23"/>
  <c r="I3100" i="23"/>
  <c r="I3101" i="23"/>
  <c r="I3102" i="23"/>
  <c r="I3103" i="23"/>
  <c r="I3104" i="23"/>
  <c r="I3105" i="23"/>
  <c r="I3106" i="23"/>
  <c r="I3107" i="23"/>
  <c r="I3108" i="23"/>
  <c r="I3109" i="23"/>
  <c r="I3110" i="23"/>
  <c r="I3111" i="23"/>
  <c r="I3112" i="23"/>
  <c r="I3113" i="23"/>
  <c r="I3114" i="23"/>
  <c r="I3115" i="23"/>
  <c r="I3116" i="23"/>
  <c r="I3117" i="23"/>
  <c r="I3118" i="23"/>
  <c r="I3119" i="23"/>
  <c r="I3120" i="23"/>
  <c r="I3121" i="23"/>
  <c r="I3122" i="23"/>
  <c r="I3123" i="23"/>
  <c r="I3124" i="23"/>
  <c r="I3125" i="23"/>
  <c r="I3126" i="23"/>
  <c r="I3127" i="23"/>
  <c r="I3128" i="23"/>
  <c r="I3129" i="23"/>
  <c r="I3130" i="23"/>
  <c r="I3131" i="23"/>
  <c r="I3132" i="23"/>
  <c r="I3133" i="23"/>
  <c r="I3134" i="23"/>
  <c r="I3135" i="23"/>
  <c r="I3136" i="23"/>
  <c r="I3137" i="23"/>
  <c r="I3138" i="23"/>
  <c r="I3139" i="23"/>
  <c r="I3140" i="23"/>
  <c r="I3141" i="23"/>
  <c r="I3142" i="23"/>
  <c r="I3143" i="23"/>
  <c r="I3144" i="23"/>
  <c r="I3145" i="23"/>
  <c r="I3146" i="23"/>
  <c r="I3147" i="23"/>
  <c r="I3148" i="23"/>
  <c r="I3149" i="23"/>
  <c r="I3150" i="23"/>
  <c r="I3151" i="23"/>
  <c r="I3152" i="23"/>
  <c r="I3153" i="23"/>
  <c r="I3154" i="23"/>
  <c r="I3155" i="23"/>
  <c r="I3156" i="23"/>
  <c r="I3157" i="23"/>
  <c r="I3158" i="23"/>
  <c r="I3159" i="23"/>
  <c r="I3160" i="23"/>
  <c r="I3161" i="23"/>
  <c r="I3162" i="23"/>
  <c r="I3163" i="23"/>
  <c r="I3164" i="23"/>
  <c r="I3165" i="23"/>
  <c r="I3166" i="23"/>
  <c r="I3167" i="23"/>
  <c r="I3168" i="23"/>
  <c r="I3169" i="23"/>
  <c r="I3170" i="23"/>
  <c r="I3171" i="23"/>
  <c r="I3172" i="23"/>
  <c r="I3173" i="23"/>
  <c r="I3174" i="23"/>
  <c r="I3175" i="23"/>
  <c r="I3176" i="23"/>
  <c r="I3177" i="23"/>
  <c r="I3178" i="23"/>
  <c r="I3179" i="23"/>
  <c r="I3180" i="23"/>
  <c r="I3181" i="23"/>
  <c r="I3182" i="23"/>
  <c r="I3183" i="23"/>
  <c r="I3184" i="23"/>
  <c r="I3185" i="23"/>
  <c r="I3186" i="23"/>
  <c r="I3187" i="23"/>
  <c r="I3188" i="23"/>
  <c r="I3189" i="23"/>
  <c r="I3190" i="23"/>
  <c r="I3191" i="23"/>
  <c r="I3192" i="23"/>
  <c r="I3193" i="23"/>
  <c r="I3194" i="23"/>
  <c r="I3195" i="23"/>
  <c r="I3196" i="23"/>
  <c r="I3197" i="23"/>
  <c r="I3198" i="23"/>
  <c r="I3199" i="23"/>
  <c r="I3200" i="23"/>
  <c r="I3201" i="23"/>
  <c r="I3202" i="23"/>
  <c r="I3203" i="23"/>
  <c r="I3204" i="23"/>
  <c r="I3205" i="23"/>
  <c r="I3206" i="23"/>
  <c r="I3207" i="23"/>
  <c r="I3208" i="23"/>
  <c r="I3209" i="23"/>
  <c r="I3210" i="23"/>
  <c r="I3211" i="23"/>
  <c r="I3212" i="23"/>
  <c r="I3213" i="23"/>
  <c r="I3214" i="23"/>
  <c r="I3215" i="23"/>
  <c r="I3216" i="23"/>
  <c r="I3217" i="23"/>
  <c r="I3218" i="23"/>
  <c r="I3219" i="23"/>
  <c r="I3220" i="23"/>
  <c r="I3221" i="23"/>
  <c r="I3222" i="23"/>
  <c r="I3223" i="23"/>
  <c r="I3224" i="23"/>
  <c r="I3225" i="23"/>
  <c r="I3226" i="23"/>
  <c r="I3227" i="23"/>
  <c r="I3228" i="23"/>
  <c r="I3229" i="23"/>
  <c r="I3230" i="23"/>
  <c r="I3231" i="23"/>
  <c r="I3232" i="23"/>
  <c r="I3233" i="23"/>
  <c r="I3234" i="23"/>
  <c r="I3235" i="23"/>
  <c r="I3236" i="23"/>
  <c r="I3237" i="23"/>
  <c r="I3238" i="23"/>
  <c r="I3239" i="23"/>
  <c r="I3240" i="23"/>
  <c r="I3241" i="23"/>
  <c r="I3242" i="23"/>
  <c r="I3243" i="23"/>
  <c r="I3244" i="23"/>
  <c r="I3245" i="23"/>
  <c r="I3246" i="23"/>
  <c r="I3247" i="23"/>
  <c r="I3248" i="23"/>
  <c r="I3249" i="23"/>
  <c r="I3250" i="23"/>
  <c r="I3251" i="23"/>
  <c r="I3252" i="23"/>
  <c r="I3253" i="23"/>
  <c r="I3254" i="23"/>
  <c r="I3255" i="23"/>
  <c r="I3256" i="23"/>
  <c r="I3257" i="23"/>
  <c r="I3258" i="23"/>
  <c r="I3259" i="23"/>
  <c r="I3260" i="23"/>
  <c r="I3261" i="23"/>
  <c r="I3262" i="23"/>
  <c r="I3263" i="23"/>
  <c r="I3264" i="23"/>
  <c r="I3265" i="23"/>
  <c r="I3266" i="23"/>
  <c r="I3267" i="23"/>
  <c r="I3268" i="23"/>
  <c r="I3269" i="23"/>
  <c r="I3270" i="23"/>
  <c r="I3271" i="23"/>
  <c r="I3272" i="23"/>
  <c r="I3273" i="23"/>
  <c r="I3274" i="23"/>
  <c r="I3275" i="23"/>
  <c r="I3276" i="23"/>
  <c r="I3277" i="23"/>
  <c r="I3278" i="23"/>
  <c r="I3279" i="23"/>
  <c r="I3280" i="23"/>
  <c r="I3281" i="23"/>
  <c r="I3282" i="23"/>
  <c r="I3283" i="23"/>
  <c r="I3284" i="23"/>
  <c r="I3285" i="23"/>
  <c r="I3286" i="23"/>
  <c r="I3287" i="23"/>
  <c r="I3288" i="23"/>
  <c r="I3289" i="23"/>
  <c r="I3290" i="23"/>
  <c r="I3291" i="23"/>
  <c r="I3292" i="23"/>
  <c r="I3293" i="23"/>
  <c r="I3294" i="23"/>
  <c r="I3295" i="23"/>
  <c r="I3296" i="23"/>
  <c r="I3297" i="23"/>
  <c r="I3298" i="23"/>
  <c r="I3299" i="23"/>
  <c r="I3300" i="23"/>
  <c r="I3301" i="23"/>
  <c r="I3302" i="23"/>
  <c r="I3303" i="23"/>
  <c r="I3304" i="23"/>
  <c r="I3305" i="23"/>
  <c r="I3306" i="23"/>
  <c r="I3307" i="23"/>
  <c r="I3308" i="23"/>
  <c r="I3309" i="23"/>
  <c r="I3310" i="23"/>
  <c r="I3311" i="23"/>
  <c r="I3312" i="23"/>
  <c r="I3313" i="23"/>
  <c r="I3314" i="23"/>
  <c r="I3315" i="23"/>
  <c r="I3316" i="23"/>
  <c r="I3317" i="23"/>
  <c r="I3318" i="23"/>
  <c r="I3319" i="23"/>
  <c r="I3320" i="23"/>
  <c r="I3321" i="23"/>
  <c r="I3322" i="23"/>
  <c r="I3323" i="23"/>
  <c r="I3324" i="23"/>
  <c r="I3325" i="23"/>
  <c r="I3326" i="23"/>
  <c r="I3327" i="23"/>
  <c r="I3328" i="23"/>
  <c r="I3329" i="23"/>
  <c r="I3330" i="23"/>
  <c r="I3331" i="23"/>
  <c r="I3332" i="23"/>
  <c r="I3333" i="23"/>
  <c r="I3334" i="23"/>
  <c r="I3335" i="23"/>
  <c r="I3336" i="23"/>
  <c r="I3337" i="23"/>
  <c r="I3338" i="23"/>
  <c r="I3339" i="23"/>
  <c r="I3340" i="23"/>
  <c r="I3341" i="23"/>
  <c r="I3342" i="23"/>
  <c r="I3343" i="23"/>
  <c r="I3344" i="23"/>
  <c r="I3345" i="23"/>
  <c r="I3346" i="23"/>
  <c r="I3347" i="23"/>
  <c r="I3348" i="23"/>
  <c r="I3349" i="23"/>
  <c r="I3350" i="23"/>
  <c r="I3351" i="23"/>
  <c r="I3352" i="23"/>
  <c r="I3353" i="23"/>
  <c r="I3354" i="23"/>
  <c r="I3355" i="23"/>
  <c r="I3356" i="23"/>
  <c r="I3357" i="23"/>
  <c r="I3358" i="23"/>
  <c r="I3359" i="23"/>
  <c r="I3360" i="23"/>
  <c r="I3361" i="23"/>
  <c r="I3362" i="23"/>
  <c r="I3363" i="23"/>
  <c r="I3364" i="23"/>
  <c r="I3365" i="23"/>
  <c r="I3366" i="23"/>
  <c r="I3367" i="23"/>
  <c r="I3368" i="23"/>
  <c r="I3369" i="23"/>
  <c r="I3370" i="23"/>
  <c r="I3371" i="23"/>
  <c r="I3372" i="23"/>
  <c r="I3373" i="23"/>
  <c r="I3374" i="23"/>
  <c r="I3375" i="23"/>
  <c r="I3376" i="23"/>
  <c r="I3377" i="23"/>
  <c r="I3378" i="23"/>
  <c r="I3379" i="23"/>
  <c r="I3380" i="23"/>
  <c r="I3381" i="23"/>
  <c r="I3382" i="23"/>
  <c r="I3383" i="23"/>
  <c r="I3384" i="23"/>
  <c r="I3385" i="23"/>
  <c r="I3386" i="23"/>
  <c r="I3387" i="23"/>
  <c r="I3388" i="23"/>
  <c r="I3389" i="23"/>
  <c r="I3390" i="23"/>
  <c r="I3391" i="23"/>
  <c r="I3392" i="23"/>
  <c r="I3393" i="23"/>
  <c r="I3394" i="23"/>
  <c r="I3395" i="23"/>
  <c r="I3396" i="23"/>
  <c r="I3397" i="23"/>
  <c r="I3398" i="23"/>
  <c r="I3399" i="23"/>
  <c r="I3400" i="23"/>
  <c r="I3401" i="23"/>
  <c r="I3402" i="23"/>
  <c r="I3403" i="23"/>
  <c r="I3404" i="23"/>
  <c r="I3405" i="23"/>
  <c r="I3406" i="23"/>
  <c r="I3407" i="23"/>
  <c r="I3408" i="23"/>
  <c r="I3409" i="23"/>
  <c r="I3410" i="23"/>
  <c r="I3411" i="23"/>
  <c r="I3412" i="23"/>
  <c r="I3413" i="23"/>
  <c r="I3414" i="23"/>
  <c r="I3415" i="23"/>
  <c r="I3416" i="23"/>
  <c r="I3417" i="23"/>
  <c r="I3418" i="23"/>
  <c r="I3419" i="23"/>
  <c r="I3420" i="23"/>
  <c r="I3421" i="23"/>
  <c r="I3422" i="23"/>
  <c r="I3423" i="23"/>
  <c r="I3424" i="23"/>
  <c r="I3425" i="23"/>
  <c r="I3426" i="23"/>
  <c r="I3427" i="23"/>
  <c r="I3428" i="23"/>
  <c r="I3429" i="23"/>
  <c r="I3430" i="23"/>
  <c r="I3431" i="23"/>
  <c r="I3432" i="23"/>
  <c r="I3433" i="23"/>
  <c r="I3434" i="23"/>
  <c r="I3435" i="23"/>
  <c r="I3436" i="23"/>
  <c r="I3437" i="23"/>
  <c r="I3438" i="23"/>
  <c r="I3439" i="23"/>
  <c r="I3440" i="23"/>
  <c r="I3441" i="23"/>
  <c r="I3442" i="23"/>
  <c r="I3443" i="23"/>
  <c r="I3444" i="23"/>
  <c r="I3445" i="23"/>
  <c r="I3446" i="23"/>
  <c r="I3447" i="23"/>
  <c r="I3448" i="23"/>
  <c r="I3449" i="23"/>
  <c r="I3450" i="23"/>
  <c r="I3451" i="23"/>
  <c r="I3452" i="23"/>
  <c r="I3453" i="23"/>
  <c r="I3454" i="23"/>
  <c r="I3455" i="23"/>
  <c r="I3456" i="23"/>
  <c r="I3457" i="23"/>
  <c r="I3458" i="23"/>
  <c r="I3459" i="23"/>
  <c r="I3460" i="23"/>
  <c r="I3461" i="23"/>
  <c r="I3462" i="23"/>
  <c r="I3463" i="23"/>
  <c r="I3464" i="23"/>
  <c r="I3465" i="23"/>
  <c r="I3466" i="23"/>
  <c r="I3467" i="23"/>
  <c r="I3468" i="23"/>
  <c r="I3469" i="23"/>
  <c r="I3470" i="23"/>
  <c r="I3471" i="23"/>
  <c r="I3472" i="23"/>
  <c r="I3473" i="23"/>
  <c r="I3474" i="23"/>
  <c r="I3475" i="23"/>
  <c r="I3476" i="23"/>
  <c r="I3477" i="23"/>
  <c r="I3478" i="23"/>
  <c r="I3479" i="23"/>
  <c r="I3480" i="23"/>
  <c r="I3481" i="23"/>
  <c r="I3482" i="23"/>
  <c r="I3483" i="23"/>
  <c r="I3484" i="23"/>
  <c r="I3485" i="23"/>
  <c r="I3486" i="23"/>
  <c r="I3487" i="23"/>
  <c r="I3488" i="23"/>
  <c r="I3489" i="23"/>
  <c r="I3490" i="23"/>
  <c r="I3491" i="23"/>
  <c r="I3492" i="23"/>
  <c r="I3493" i="23"/>
  <c r="I3494" i="23"/>
  <c r="I3495" i="23"/>
  <c r="I3496" i="23"/>
  <c r="I3497" i="23"/>
  <c r="I3498" i="23"/>
  <c r="I3499" i="23"/>
  <c r="I3500" i="23"/>
  <c r="I3501" i="23"/>
  <c r="I3502" i="23"/>
  <c r="I3503" i="23"/>
  <c r="I3504" i="23"/>
  <c r="I3505" i="23"/>
  <c r="I3506" i="23"/>
  <c r="I3507" i="23"/>
  <c r="I3508" i="23"/>
  <c r="I3509" i="23"/>
  <c r="I3510" i="23"/>
  <c r="I3511" i="23"/>
  <c r="I3512" i="23"/>
  <c r="I3513" i="23"/>
  <c r="I3514" i="23"/>
  <c r="I3515" i="23"/>
  <c r="I3516" i="23"/>
  <c r="I3517" i="23"/>
  <c r="I3518" i="23"/>
  <c r="I3519" i="23"/>
  <c r="I3520" i="23"/>
  <c r="I3521" i="23"/>
  <c r="I3522" i="23"/>
  <c r="I3523" i="23"/>
  <c r="I3524" i="23"/>
  <c r="I3525" i="23"/>
  <c r="I3526" i="23"/>
  <c r="I3527" i="23"/>
  <c r="I3528" i="23"/>
  <c r="I3529" i="23"/>
  <c r="I3530" i="23"/>
  <c r="I3531" i="23"/>
  <c r="I3532" i="23"/>
  <c r="I3533" i="23"/>
  <c r="I3534" i="23"/>
  <c r="I3535" i="23"/>
  <c r="I3536" i="23"/>
  <c r="I3537" i="23"/>
  <c r="I3538" i="23"/>
  <c r="I3539" i="23"/>
  <c r="I3540" i="23"/>
  <c r="I3541" i="23"/>
  <c r="I3542" i="23"/>
  <c r="I3543" i="23"/>
  <c r="I3544" i="23"/>
  <c r="I3545" i="23"/>
  <c r="I3546" i="23"/>
  <c r="I3547" i="23"/>
  <c r="I3548" i="23"/>
  <c r="I3549" i="23"/>
  <c r="I3550" i="23"/>
  <c r="I3551" i="23"/>
  <c r="I3552" i="23"/>
  <c r="I3553" i="23"/>
  <c r="I3554" i="23"/>
  <c r="I3555" i="23"/>
  <c r="I3556" i="23"/>
  <c r="I3557" i="23"/>
  <c r="I3558" i="23"/>
  <c r="I3559" i="23"/>
  <c r="I3560" i="23"/>
  <c r="I3561" i="23"/>
  <c r="I3562" i="23"/>
  <c r="I3563" i="23"/>
  <c r="I3564" i="23"/>
  <c r="I3565" i="23"/>
  <c r="I3566" i="23"/>
  <c r="I3567" i="23"/>
  <c r="I3568" i="23"/>
  <c r="I3569" i="23"/>
  <c r="I3570" i="23"/>
  <c r="I3571" i="23"/>
  <c r="I3572" i="23"/>
  <c r="I3573" i="23"/>
  <c r="I3574" i="23"/>
  <c r="I3575" i="23"/>
  <c r="I3576" i="23"/>
  <c r="I3577" i="23"/>
  <c r="I3578" i="23"/>
  <c r="I3579" i="23"/>
  <c r="I3580" i="23"/>
  <c r="I3581" i="23"/>
  <c r="I3582" i="23"/>
  <c r="I3583" i="23"/>
  <c r="I3584" i="23"/>
  <c r="I3585" i="23"/>
  <c r="I3586" i="23"/>
  <c r="I3587" i="23"/>
  <c r="I3588" i="23"/>
  <c r="I3589" i="23"/>
  <c r="I3590" i="23"/>
  <c r="I3591" i="23"/>
  <c r="I3592" i="23"/>
  <c r="I3593" i="23"/>
  <c r="I3594" i="23"/>
  <c r="I3595" i="23"/>
  <c r="I3596" i="23"/>
  <c r="I3597" i="23"/>
  <c r="I3598" i="23"/>
  <c r="I3599" i="23"/>
  <c r="I3600" i="23"/>
  <c r="I3601" i="23"/>
  <c r="I3602" i="23"/>
  <c r="I3603" i="23"/>
  <c r="I3604" i="23"/>
  <c r="I3605" i="23"/>
  <c r="I3606" i="23"/>
  <c r="I3607" i="23"/>
  <c r="I3608" i="23"/>
  <c r="I3609" i="23"/>
  <c r="I3610" i="23"/>
  <c r="I3611" i="23"/>
  <c r="I3612" i="23"/>
  <c r="I3613" i="23"/>
  <c r="I3614" i="23"/>
  <c r="I3615" i="23"/>
  <c r="I3616" i="23"/>
  <c r="I3617" i="23"/>
  <c r="I3618" i="23"/>
  <c r="I3619" i="23"/>
  <c r="I3620" i="23"/>
  <c r="I3621" i="23"/>
  <c r="I3622" i="23"/>
  <c r="I3623" i="23"/>
  <c r="I3624" i="23"/>
  <c r="I3625" i="23"/>
  <c r="I3626" i="23"/>
  <c r="I3627" i="23"/>
  <c r="I3628" i="23"/>
  <c r="I3629" i="23"/>
  <c r="I3630" i="23"/>
  <c r="I3631" i="23"/>
  <c r="I3632" i="23"/>
  <c r="I3633" i="23"/>
  <c r="I3634" i="23"/>
  <c r="I3635" i="23"/>
  <c r="I3636" i="23"/>
  <c r="I3637" i="23"/>
  <c r="I3638" i="23"/>
  <c r="I3639" i="23"/>
  <c r="I3640" i="23"/>
  <c r="I3641" i="23"/>
  <c r="I3642" i="23"/>
  <c r="I3643" i="23"/>
  <c r="I3644" i="23"/>
  <c r="I3645" i="23"/>
  <c r="I3646" i="23"/>
  <c r="I3647" i="23"/>
  <c r="I3648" i="23"/>
  <c r="I3649" i="23"/>
  <c r="I3650" i="23"/>
  <c r="I3651" i="23"/>
  <c r="I3652" i="23"/>
  <c r="I3653" i="23"/>
  <c r="I3654" i="23"/>
  <c r="I3655" i="23"/>
  <c r="I3656" i="23"/>
  <c r="I3657" i="23"/>
  <c r="I3658" i="23"/>
  <c r="I3659" i="23"/>
  <c r="I3660" i="23"/>
  <c r="I3661" i="23"/>
  <c r="I3662" i="23"/>
  <c r="I3663" i="23"/>
  <c r="I3664" i="23"/>
  <c r="I3665" i="23"/>
  <c r="I3666" i="23"/>
  <c r="I3667" i="23"/>
  <c r="I3668" i="23"/>
  <c r="I3669" i="23"/>
  <c r="I3670" i="23"/>
  <c r="I3671" i="23"/>
  <c r="I3672" i="23"/>
  <c r="I3673" i="23"/>
  <c r="I3674" i="23"/>
  <c r="I3675" i="23"/>
  <c r="I3676" i="23"/>
  <c r="I3677" i="23"/>
  <c r="I3678" i="23"/>
  <c r="I3679" i="23"/>
  <c r="I3680" i="23"/>
  <c r="I3681" i="23"/>
  <c r="I3682" i="23"/>
  <c r="I3683" i="23"/>
  <c r="I3684" i="23"/>
  <c r="I3685" i="23"/>
  <c r="I3686" i="23"/>
  <c r="I3687" i="23"/>
  <c r="I3688" i="23"/>
  <c r="I3689" i="23"/>
  <c r="I3690" i="23"/>
  <c r="I3691" i="23"/>
  <c r="I3692" i="23"/>
  <c r="I3693" i="23"/>
  <c r="I3694" i="23"/>
  <c r="I3695" i="23"/>
  <c r="I3696" i="23"/>
  <c r="I3697" i="23"/>
  <c r="I3698" i="23"/>
  <c r="I3699" i="23"/>
  <c r="I3700" i="23"/>
  <c r="I3701" i="23"/>
  <c r="I3702" i="23"/>
  <c r="I3703" i="23"/>
  <c r="I3704" i="23"/>
  <c r="I3705" i="23"/>
  <c r="I3706" i="23"/>
  <c r="I3707" i="23"/>
  <c r="I3708" i="23"/>
  <c r="I3709" i="23"/>
  <c r="I3710" i="23"/>
  <c r="I3711" i="23"/>
  <c r="I3712" i="23"/>
  <c r="I3713" i="23"/>
  <c r="I3714" i="23"/>
  <c r="I3715" i="23"/>
  <c r="I3716" i="23"/>
  <c r="I3717" i="23"/>
  <c r="I3718" i="23"/>
  <c r="I3719" i="23"/>
  <c r="I3720" i="23"/>
  <c r="I3721" i="23"/>
  <c r="I3722" i="23"/>
  <c r="I3723" i="23"/>
  <c r="I3724" i="23"/>
  <c r="I3725" i="23"/>
  <c r="I3726" i="23"/>
  <c r="I3727" i="23"/>
  <c r="I3728" i="23"/>
  <c r="I3729" i="23"/>
  <c r="I3730" i="23"/>
  <c r="I3731" i="23"/>
  <c r="I3732" i="23"/>
  <c r="I3733" i="23"/>
  <c r="I3734" i="23"/>
  <c r="I3735" i="23"/>
  <c r="I3736" i="23"/>
  <c r="I3737" i="23"/>
  <c r="I3738" i="23"/>
  <c r="I3739" i="23"/>
  <c r="I3740" i="23"/>
  <c r="I3741" i="23"/>
  <c r="I3742" i="23"/>
  <c r="I3743" i="23"/>
  <c r="I3744" i="23"/>
  <c r="I3745" i="23"/>
  <c r="I3746" i="23"/>
  <c r="I3747" i="23"/>
  <c r="I3748" i="23"/>
  <c r="I3749" i="23"/>
  <c r="I3750" i="23"/>
  <c r="I3751" i="23"/>
  <c r="I3752" i="23"/>
  <c r="I3753" i="23"/>
  <c r="I3754" i="23"/>
  <c r="I3755" i="23"/>
  <c r="I3756" i="23"/>
  <c r="I3757" i="23"/>
  <c r="I3758" i="23"/>
  <c r="I3759" i="23"/>
  <c r="I3760" i="23"/>
  <c r="I3761" i="23"/>
  <c r="I3762" i="23"/>
  <c r="I3763" i="23"/>
  <c r="I3764" i="23"/>
  <c r="I3765" i="23"/>
  <c r="I3766" i="23"/>
  <c r="I3767" i="23"/>
  <c r="I3768" i="23"/>
  <c r="I3769" i="23"/>
  <c r="I3770" i="23"/>
  <c r="I3771" i="23"/>
  <c r="I3772" i="23"/>
  <c r="I3773" i="23"/>
  <c r="I3774" i="23"/>
  <c r="I3775" i="23"/>
  <c r="I3776" i="23"/>
  <c r="I3777" i="23"/>
  <c r="I3778" i="23"/>
  <c r="I3779" i="23"/>
  <c r="I3780" i="23"/>
  <c r="I3781" i="23"/>
  <c r="I3782" i="23"/>
  <c r="I3783" i="23"/>
  <c r="I3784" i="23"/>
  <c r="I3785" i="23"/>
  <c r="I3786" i="23"/>
  <c r="I3787" i="23"/>
  <c r="I3788" i="23"/>
  <c r="I3789" i="23"/>
  <c r="I3790" i="23"/>
  <c r="I3791" i="23"/>
  <c r="I3792" i="23"/>
  <c r="I3793" i="23"/>
  <c r="I3794" i="23"/>
  <c r="I3795" i="23"/>
  <c r="I3796" i="23"/>
  <c r="I3797" i="23"/>
  <c r="I3798" i="23"/>
  <c r="I3799" i="23"/>
  <c r="I3800" i="23"/>
  <c r="I3801" i="23"/>
  <c r="I3802" i="23"/>
  <c r="I3803" i="23"/>
  <c r="I3804" i="23"/>
  <c r="I3805" i="23"/>
  <c r="I3806" i="23"/>
  <c r="I3807" i="23"/>
  <c r="I3808" i="23"/>
  <c r="I3809" i="23"/>
  <c r="I3810" i="23"/>
  <c r="I3811" i="23"/>
  <c r="I3812" i="23"/>
  <c r="I3813" i="23"/>
  <c r="I3814" i="23"/>
  <c r="I3815" i="23"/>
  <c r="I3816" i="23"/>
  <c r="I3817" i="23"/>
  <c r="I3818" i="23"/>
  <c r="I3819" i="23"/>
  <c r="I3820" i="23"/>
  <c r="I3821" i="23"/>
  <c r="I3822" i="23"/>
  <c r="I3823" i="23"/>
  <c r="I3824" i="23"/>
  <c r="I3825" i="23"/>
  <c r="I3826" i="23"/>
  <c r="I3827" i="23"/>
  <c r="I3828" i="23"/>
  <c r="I3829" i="23"/>
  <c r="I3830" i="23"/>
  <c r="I3831" i="23"/>
  <c r="I3832" i="23"/>
  <c r="I3833" i="23"/>
  <c r="I3834" i="23"/>
  <c r="I3835" i="23"/>
  <c r="I3836" i="23"/>
  <c r="I3837" i="23"/>
  <c r="I3838" i="23"/>
  <c r="I3839" i="23"/>
  <c r="I3840" i="23"/>
  <c r="I3841" i="23"/>
  <c r="I3842" i="23"/>
  <c r="I3843" i="23"/>
  <c r="I3844" i="23"/>
  <c r="I3845" i="23"/>
  <c r="I3846" i="23"/>
  <c r="I3847" i="23"/>
  <c r="I3848" i="23"/>
  <c r="I3849" i="23"/>
  <c r="I3850" i="23"/>
  <c r="I3851" i="23"/>
  <c r="I3852" i="23"/>
  <c r="I3853" i="23"/>
  <c r="I3854" i="23"/>
  <c r="I3855" i="23"/>
  <c r="I3856" i="23"/>
  <c r="I3857" i="23"/>
  <c r="I3858" i="23"/>
  <c r="I3859" i="23"/>
  <c r="I3860" i="23"/>
  <c r="I3861" i="23"/>
  <c r="I3862" i="23"/>
  <c r="I3863" i="23"/>
  <c r="I3864" i="23"/>
  <c r="I3865" i="23"/>
  <c r="I3866" i="23"/>
  <c r="I3867" i="23"/>
  <c r="I3868" i="23"/>
  <c r="I3869" i="23"/>
  <c r="I3870" i="23"/>
  <c r="I3871" i="23"/>
  <c r="I3872" i="23"/>
  <c r="I3873" i="23"/>
  <c r="I3874" i="23"/>
  <c r="I3875" i="23"/>
  <c r="I3876" i="23"/>
  <c r="I3877" i="23"/>
  <c r="I3878" i="23"/>
  <c r="I3879" i="23"/>
  <c r="I3880" i="23"/>
  <c r="I3881" i="23"/>
  <c r="I3882" i="23"/>
  <c r="I3883" i="23"/>
  <c r="I3884" i="23"/>
  <c r="I3885" i="23"/>
  <c r="I3886" i="23"/>
  <c r="I3887" i="23"/>
  <c r="I3888" i="23"/>
  <c r="I3889" i="23"/>
  <c r="I3890" i="23"/>
  <c r="I3891" i="23"/>
  <c r="I3892" i="23"/>
  <c r="I3893" i="23"/>
  <c r="I3894" i="23"/>
  <c r="I3895" i="23"/>
  <c r="I3896" i="23"/>
  <c r="I3897" i="23"/>
  <c r="I3898" i="23"/>
  <c r="I3899" i="23"/>
  <c r="I3900" i="23"/>
  <c r="I3901" i="23"/>
  <c r="I3902" i="23"/>
  <c r="I3903" i="23"/>
  <c r="I3904" i="23"/>
  <c r="I3905" i="23"/>
  <c r="I3906" i="23"/>
  <c r="I3907" i="23"/>
  <c r="I3908" i="23"/>
  <c r="I3909" i="23"/>
  <c r="I3910" i="23"/>
  <c r="I3911" i="23"/>
  <c r="I3912" i="23"/>
  <c r="I3913" i="23"/>
  <c r="I3914" i="23"/>
  <c r="I3915" i="23"/>
  <c r="I3916" i="23"/>
  <c r="I3917" i="23"/>
  <c r="I3918" i="23"/>
  <c r="I3919" i="23"/>
  <c r="I3920" i="23"/>
  <c r="I3921" i="23"/>
  <c r="I3922" i="23"/>
  <c r="I3923" i="23"/>
  <c r="I3924" i="23"/>
  <c r="I3925" i="23"/>
  <c r="I3926" i="23"/>
  <c r="I3927" i="23"/>
  <c r="I3928" i="23"/>
  <c r="I3929" i="23"/>
  <c r="I3930" i="23"/>
  <c r="I3931" i="23"/>
  <c r="I3932" i="23"/>
  <c r="I3933" i="23"/>
  <c r="I3934" i="23"/>
  <c r="I3935" i="23"/>
  <c r="I3936" i="23"/>
  <c r="I3937" i="23"/>
  <c r="I3938" i="23"/>
  <c r="I3939" i="23"/>
  <c r="I3940" i="23"/>
  <c r="I3941" i="23"/>
  <c r="I3942" i="23"/>
  <c r="I3943" i="23"/>
  <c r="I3944" i="23"/>
  <c r="I3945" i="23"/>
  <c r="I3946" i="23"/>
  <c r="I3947" i="23"/>
  <c r="I3948" i="23"/>
  <c r="I3949" i="23"/>
  <c r="I3950" i="23"/>
  <c r="I3951" i="23"/>
  <c r="I3952" i="23"/>
  <c r="I3953" i="23"/>
  <c r="I3954" i="23"/>
  <c r="I3955" i="23"/>
  <c r="I3956" i="23"/>
  <c r="I3957" i="23"/>
  <c r="I3958" i="23"/>
  <c r="I3959" i="23"/>
  <c r="I3960" i="23"/>
  <c r="I3961" i="23"/>
  <c r="I3962" i="23"/>
  <c r="I3963" i="23"/>
  <c r="I3964" i="23"/>
  <c r="I3965" i="23"/>
  <c r="I3966" i="23"/>
  <c r="I3967" i="23"/>
  <c r="I3968" i="23"/>
  <c r="I3969" i="23"/>
  <c r="I3970" i="23"/>
  <c r="I3971" i="23"/>
  <c r="I3972" i="23"/>
  <c r="I3973" i="23"/>
  <c r="I3974" i="23"/>
  <c r="I3975" i="23"/>
  <c r="I3976" i="23"/>
  <c r="I3977" i="23"/>
  <c r="I3978" i="23"/>
  <c r="I3979" i="23"/>
  <c r="I3980" i="23"/>
  <c r="I3981" i="23"/>
  <c r="I3982" i="23"/>
  <c r="I3983" i="23"/>
  <c r="I3984" i="23"/>
  <c r="I3985" i="23"/>
  <c r="I3986" i="23"/>
  <c r="I3987" i="23"/>
  <c r="I3988" i="23"/>
  <c r="I3989" i="23"/>
  <c r="I3990" i="23"/>
  <c r="I3991" i="23"/>
  <c r="I3992" i="23"/>
  <c r="I3993" i="23"/>
  <c r="I3994" i="23"/>
  <c r="I3995" i="23"/>
  <c r="I3996" i="23"/>
  <c r="I3997" i="23"/>
  <c r="I3998" i="23"/>
  <c r="I3999" i="23"/>
  <c r="I4000" i="23"/>
  <c r="I4001" i="23"/>
  <c r="I4002" i="23"/>
  <c r="I4003" i="23"/>
  <c r="I4004" i="23"/>
  <c r="I4005" i="23"/>
  <c r="I4006" i="23"/>
  <c r="I4007" i="23"/>
  <c r="I4008" i="23"/>
  <c r="I4009" i="23"/>
  <c r="I4010" i="23"/>
  <c r="I4011" i="23"/>
  <c r="I4012" i="23"/>
  <c r="I4013" i="23"/>
  <c r="I4014" i="23"/>
  <c r="I4015" i="23"/>
  <c r="I4016" i="23"/>
  <c r="I4017" i="23"/>
  <c r="I4018" i="23"/>
  <c r="I4019" i="23"/>
  <c r="I4020" i="23"/>
  <c r="I4021" i="23"/>
  <c r="I4022" i="23"/>
  <c r="I4023" i="23"/>
  <c r="I4024" i="23"/>
  <c r="I4025" i="23"/>
  <c r="I4026" i="23"/>
  <c r="I4027" i="23"/>
  <c r="I4028" i="23"/>
  <c r="I4029" i="23"/>
  <c r="I4030" i="23"/>
  <c r="I4031" i="23"/>
  <c r="I4032" i="23"/>
  <c r="I4033" i="23"/>
  <c r="I4034" i="23"/>
  <c r="I4035" i="23"/>
  <c r="I4036" i="23"/>
  <c r="I4037" i="23"/>
  <c r="I4038" i="23"/>
  <c r="I4039" i="23"/>
  <c r="I4040" i="23"/>
  <c r="I4041" i="23"/>
  <c r="I4042" i="23"/>
  <c r="I4043" i="23"/>
  <c r="I4044" i="23"/>
  <c r="I4045" i="23"/>
  <c r="I4046" i="23"/>
  <c r="I4047" i="23"/>
  <c r="I4048" i="23"/>
  <c r="I4049" i="23"/>
  <c r="I4050" i="23"/>
  <c r="I4051" i="23"/>
  <c r="I4052" i="23"/>
  <c r="I4053" i="23"/>
  <c r="I4054" i="23"/>
  <c r="I4055" i="23"/>
  <c r="I4056" i="23"/>
  <c r="I4057" i="23"/>
  <c r="I4058" i="23"/>
  <c r="I4059" i="23"/>
  <c r="I4060" i="23"/>
  <c r="I4061" i="23"/>
  <c r="I4062" i="23"/>
  <c r="I4063" i="23"/>
  <c r="I4064" i="23"/>
  <c r="I4065" i="23"/>
  <c r="I4066" i="23"/>
  <c r="I4067" i="23"/>
  <c r="I4068" i="23"/>
  <c r="I4069" i="23"/>
  <c r="I4070" i="23"/>
  <c r="I4071" i="23"/>
  <c r="I4072" i="23"/>
  <c r="I4073" i="23"/>
  <c r="I4074" i="23"/>
  <c r="I4075" i="23"/>
  <c r="I4076" i="23"/>
  <c r="I4077" i="23"/>
  <c r="I4078" i="23"/>
  <c r="I4079" i="23"/>
  <c r="I4080" i="23"/>
  <c r="I4081" i="23"/>
  <c r="I4082" i="23"/>
  <c r="I4083" i="23"/>
  <c r="I4084" i="23"/>
  <c r="I4085" i="23"/>
  <c r="I4086" i="23"/>
  <c r="I4087" i="23"/>
  <c r="I4088" i="23"/>
  <c r="I4089" i="23"/>
  <c r="I4090" i="23"/>
  <c r="I4091" i="23"/>
  <c r="I4092" i="23"/>
  <c r="I4093" i="23"/>
  <c r="I4094" i="23"/>
  <c r="I4095" i="23"/>
  <c r="I4096" i="23"/>
  <c r="I4097" i="23"/>
  <c r="I4098" i="23"/>
  <c r="I4099" i="23"/>
  <c r="I4100" i="23"/>
  <c r="I4101" i="23"/>
  <c r="I4102" i="23"/>
  <c r="I4103" i="23"/>
  <c r="I4104" i="23"/>
  <c r="I4105" i="23"/>
  <c r="I4106" i="23"/>
  <c r="I4107" i="23"/>
  <c r="I4108" i="23"/>
  <c r="I4109" i="23"/>
  <c r="I4110" i="23"/>
  <c r="I4111" i="23"/>
  <c r="I4112" i="23"/>
  <c r="I4113" i="23"/>
  <c r="I4114" i="23"/>
  <c r="I4115" i="23"/>
  <c r="I4116" i="23"/>
  <c r="I4117" i="23"/>
  <c r="I4118" i="23"/>
  <c r="I4119" i="23"/>
  <c r="I4120" i="23"/>
  <c r="I4121" i="23"/>
  <c r="I4122" i="23"/>
  <c r="I4123" i="23"/>
  <c r="I4124" i="23"/>
  <c r="I4125" i="23"/>
  <c r="I4126" i="23"/>
  <c r="J2" i="23"/>
  <c r="J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80" i="23"/>
  <c r="J81" i="23"/>
  <c r="J82" i="23"/>
  <c r="J83" i="23"/>
  <c r="J84" i="23"/>
  <c r="J85" i="23"/>
  <c r="J86" i="23"/>
  <c r="J87" i="23"/>
  <c r="J88" i="23"/>
  <c r="J89" i="23"/>
  <c r="J90" i="23"/>
  <c r="J91" i="23"/>
  <c r="J92" i="23"/>
  <c r="J93" i="23"/>
  <c r="J94" i="23"/>
  <c r="J95" i="23"/>
  <c r="J96" i="23"/>
  <c r="J97" i="23"/>
  <c r="J98" i="23"/>
  <c r="J99" i="23"/>
  <c r="J100" i="23"/>
  <c r="J101" i="23"/>
  <c r="J102" i="23"/>
  <c r="J103" i="23"/>
  <c r="J104" i="23"/>
  <c r="J105" i="23"/>
  <c r="J106" i="23"/>
  <c r="J107" i="23"/>
  <c r="J108" i="23"/>
  <c r="J109" i="23"/>
  <c r="J110" i="23"/>
  <c r="J111" i="23"/>
  <c r="J112" i="23"/>
  <c r="J113" i="23"/>
  <c r="J114" i="23"/>
  <c r="J115" i="23"/>
  <c r="J116" i="23"/>
  <c r="J117" i="23"/>
  <c r="J118" i="23"/>
  <c r="J119" i="23"/>
  <c r="J120" i="23"/>
  <c r="J121" i="23"/>
  <c r="J122" i="23"/>
  <c r="J123" i="23"/>
  <c r="J124" i="23"/>
  <c r="J125" i="23"/>
  <c r="J126" i="23"/>
  <c r="J127" i="23"/>
  <c r="J128" i="23"/>
  <c r="J129" i="23"/>
  <c r="J130" i="23"/>
  <c r="J131" i="23"/>
  <c r="J132" i="23"/>
  <c r="J133" i="23"/>
  <c r="J134" i="23"/>
  <c r="J135" i="23"/>
  <c r="J136" i="23"/>
  <c r="J137" i="23"/>
  <c r="J138" i="23"/>
  <c r="J139" i="23"/>
  <c r="J140" i="23"/>
  <c r="J141" i="23"/>
  <c r="J142" i="23"/>
  <c r="J143" i="23"/>
  <c r="J144" i="23"/>
  <c r="J145" i="23"/>
  <c r="J146" i="23"/>
  <c r="J147" i="23"/>
  <c r="J148" i="23"/>
  <c r="J149" i="23"/>
  <c r="J150" i="23"/>
  <c r="J151" i="23"/>
  <c r="J152" i="23"/>
  <c r="J153" i="23"/>
  <c r="J154" i="23"/>
  <c r="J155" i="23"/>
  <c r="J156" i="23"/>
  <c r="J157" i="23"/>
  <c r="J158" i="23"/>
  <c r="J159" i="23"/>
  <c r="J160" i="23"/>
  <c r="J161" i="23"/>
  <c r="J162" i="23"/>
  <c r="J163" i="23"/>
  <c r="J164" i="23"/>
  <c r="J165" i="23"/>
  <c r="J166" i="23"/>
  <c r="J167" i="23"/>
  <c r="J168" i="23"/>
  <c r="J169" i="23"/>
  <c r="J170" i="23"/>
  <c r="J171" i="23"/>
  <c r="J172" i="23"/>
  <c r="J173" i="23"/>
  <c r="J174" i="23"/>
  <c r="J175" i="23"/>
  <c r="J176" i="23"/>
  <c r="J177" i="23"/>
  <c r="J178" i="23"/>
  <c r="J179" i="23"/>
  <c r="J180" i="23"/>
  <c r="J181" i="23"/>
  <c r="J182" i="23"/>
  <c r="J183" i="23"/>
  <c r="J184" i="23"/>
  <c r="J185" i="23"/>
  <c r="J186" i="23"/>
  <c r="J187" i="23"/>
  <c r="J188" i="23"/>
  <c r="J189" i="23"/>
  <c r="J190" i="23"/>
  <c r="J191" i="23"/>
  <c r="J192" i="23"/>
  <c r="J193" i="23"/>
  <c r="J194" i="23"/>
  <c r="J195" i="23"/>
  <c r="J196" i="23"/>
  <c r="J197" i="23"/>
  <c r="J198" i="23"/>
  <c r="J199" i="23"/>
  <c r="J200" i="23"/>
  <c r="J201" i="23"/>
  <c r="J202" i="23"/>
  <c r="J203" i="23"/>
  <c r="J204" i="23"/>
  <c r="J205" i="23"/>
  <c r="J206" i="23"/>
  <c r="J207" i="23"/>
  <c r="J208" i="23"/>
  <c r="J209" i="23"/>
  <c r="J210" i="23"/>
  <c r="J211" i="23"/>
  <c r="J212" i="23"/>
  <c r="J213" i="23"/>
  <c r="J214" i="23"/>
  <c r="J215" i="23"/>
  <c r="J216" i="23"/>
  <c r="J217" i="23"/>
  <c r="J218" i="23"/>
  <c r="J219" i="23"/>
  <c r="J220" i="23"/>
  <c r="J221" i="23"/>
  <c r="J222" i="23"/>
  <c r="J223" i="23"/>
  <c r="J224" i="23"/>
  <c r="J225" i="23"/>
  <c r="J226" i="23"/>
  <c r="J227" i="23"/>
  <c r="J228" i="23"/>
  <c r="J229" i="23"/>
  <c r="J230" i="23"/>
  <c r="J231" i="23"/>
  <c r="J232" i="23"/>
  <c r="J233" i="23"/>
  <c r="J234" i="23"/>
  <c r="J235" i="23"/>
  <c r="J236" i="23"/>
  <c r="J237" i="23"/>
  <c r="J238" i="23"/>
  <c r="J239" i="23"/>
  <c r="J240" i="23"/>
  <c r="J241" i="23"/>
  <c r="J242" i="23"/>
  <c r="J243" i="23"/>
  <c r="J244" i="23"/>
  <c r="J245" i="23"/>
  <c r="J246" i="23"/>
  <c r="J247" i="23"/>
  <c r="J248" i="23"/>
  <c r="J249" i="23"/>
  <c r="J250" i="23"/>
  <c r="J251" i="23"/>
  <c r="J252" i="23"/>
  <c r="J253" i="23"/>
  <c r="J254" i="23"/>
  <c r="J255" i="23"/>
  <c r="J256" i="23"/>
  <c r="J257" i="23"/>
  <c r="J258" i="23"/>
  <c r="J259" i="23"/>
  <c r="J260" i="23"/>
  <c r="J261" i="23"/>
  <c r="J262" i="23"/>
  <c r="J263" i="23"/>
  <c r="J264" i="23"/>
  <c r="J265" i="23"/>
  <c r="J266" i="23"/>
  <c r="J267" i="23"/>
  <c r="J268" i="23"/>
  <c r="J269" i="23"/>
  <c r="J270" i="23"/>
  <c r="J271" i="23"/>
  <c r="J272" i="23"/>
  <c r="J273" i="23"/>
  <c r="J274" i="23"/>
  <c r="J275" i="23"/>
  <c r="J276" i="23"/>
  <c r="J277" i="23"/>
  <c r="J278" i="23"/>
  <c r="J279" i="23"/>
  <c r="J280" i="23"/>
  <c r="J281" i="23"/>
  <c r="J282" i="23"/>
  <c r="J283" i="23"/>
  <c r="J284" i="23"/>
  <c r="J285" i="23"/>
  <c r="J286" i="23"/>
  <c r="J287" i="23"/>
  <c r="J288" i="23"/>
  <c r="J289" i="23"/>
  <c r="J290" i="23"/>
  <c r="J291" i="23"/>
  <c r="J292" i="23"/>
  <c r="J293" i="23"/>
  <c r="J294" i="23"/>
  <c r="J295" i="23"/>
  <c r="J296" i="23"/>
  <c r="J297" i="23"/>
  <c r="J298" i="23"/>
  <c r="J299" i="23"/>
  <c r="J300" i="23"/>
  <c r="J301" i="23"/>
  <c r="J302" i="23"/>
  <c r="J303" i="23"/>
  <c r="J304" i="23"/>
  <c r="J305" i="23"/>
  <c r="J306" i="23"/>
  <c r="J307" i="23"/>
  <c r="J308" i="23"/>
  <c r="J309" i="23"/>
  <c r="J310" i="23"/>
  <c r="J311" i="23"/>
  <c r="J312" i="23"/>
  <c r="J313" i="23"/>
  <c r="J314" i="23"/>
  <c r="J315" i="23"/>
  <c r="J316" i="23"/>
  <c r="J317" i="23"/>
  <c r="J318" i="23"/>
  <c r="J319" i="23"/>
  <c r="J320" i="23"/>
  <c r="J321" i="23"/>
  <c r="J322" i="23"/>
  <c r="J323" i="23"/>
  <c r="J324" i="23"/>
  <c r="J325" i="23"/>
  <c r="J326" i="23"/>
  <c r="J327" i="23"/>
  <c r="J328" i="23"/>
  <c r="J329" i="23"/>
  <c r="J330" i="23"/>
  <c r="J331" i="23"/>
  <c r="J332" i="23"/>
  <c r="J333" i="23"/>
  <c r="J334" i="23"/>
  <c r="J335" i="23"/>
  <c r="J336" i="23"/>
  <c r="J337" i="23"/>
  <c r="J338" i="23"/>
  <c r="J339" i="23"/>
  <c r="J340" i="23"/>
  <c r="J341" i="23"/>
  <c r="J342" i="23"/>
  <c r="J343" i="23"/>
  <c r="J344" i="23"/>
  <c r="J345" i="23"/>
  <c r="J346" i="23"/>
  <c r="J347" i="23"/>
  <c r="J348" i="23"/>
  <c r="J349" i="23"/>
  <c r="J350" i="23"/>
  <c r="J351" i="23"/>
  <c r="J352" i="23"/>
  <c r="J353" i="23"/>
  <c r="J354" i="23"/>
  <c r="J355" i="23"/>
  <c r="J356" i="23"/>
  <c r="J357" i="23"/>
  <c r="J358" i="23"/>
  <c r="J359" i="23"/>
  <c r="J360" i="23"/>
  <c r="J361" i="23"/>
  <c r="J362" i="23"/>
  <c r="J363" i="23"/>
  <c r="J364" i="23"/>
  <c r="J365" i="23"/>
  <c r="J366" i="23"/>
  <c r="J367" i="23"/>
  <c r="J368" i="23"/>
  <c r="J369" i="23"/>
  <c r="J370" i="23"/>
  <c r="J371" i="23"/>
  <c r="J372" i="23"/>
  <c r="J373" i="23"/>
  <c r="J374" i="23"/>
  <c r="J375" i="23"/>
  <c r="J376" i="23"/>
  <c r="J377" i="23"/>
  <c r="J378" i="23"/>
  <c r="J379" i="23"/>
  <c r="J380" i="23"/>
  <c r="J381" i="23"/>
  <c r="J382" i="23"/>
  <c r="J383" i="23"/>
  <c r="J384" i="23"/>
  <c r="J385" i="23"/>
  <c r="J386" i="23"/>
  <c r="J387" i="23"/>
  <c r="J388" i="23"/>
  <c r="J389" i="23"/>
  <c r="J390" i="23"/>
  <c r="J391" i="23"/>
  <c r="J392" i="23"/>
  <c r="J393" i="23"/>
  <c r="J394" i="23"/>
  <c r="J395" i="23"/>
  <c r="J396" i="23"/>
  <c r="J397" i="23"/>
  <c r="J398" i="23"/>
  <c r="J399" i="23"/>
  <c r="J400" i="23"/>
  <c r="J401" i="23"/>
  <c r="J402" i="23"/>
  <c r="J403" i="23"/>
  <c r="J404" i="23"/>
  <c r="J405" i="23"/>
  <c r="J406" i="23"/>
  <c r="J407" i="23"/>
  <c r="J408" i="23"/>
  <c r="J409" i="23"/>
  <c r="J410" i="23"/>
  <c r="J411" i="23"/>
  <c r="J412" i="23"/>
  <c r="J413" i="23"/>
  <c r="J414" i="23"/>
  <c r="J415" i="23"/>
  <c r="J416" i="23"/>
  <c r="J417" i="23"/>
  <c r="J418" i="23"/>
  <c r="J419" i="23"/>
  <c r="J420" i="23"/>
  <c r="J421" i="23"/>
  <c r="J422" i="23"/>
  <c r="J423" i="23"/>
  <c r="J424" i="23"/>
  <c r="J425" i="23"/>
  <c r="J426" i="23"/>
  <c r="J427" i="23"/>
  <c r="J428" i="23"/>
  <c r="J429" i="23"/>
  <c r="J430" i="23"/>
  <c r="J431" i="23"/>
  <c r="J432" i="23"/>
  <c r="J433" i="23"/>
  <c r="J434" i="23"/>
  <c r="J435" i="23"/>
  <c r="J436" i="23"/>
  <c r="J437" i="23"/>
  <c r="J438" i="23"/>
  <c r="J439" i="23"/>
  <c r="J440" i="23"/>
  <c r="J441" i="23"/>
  <c r="J442" i="23"/>
  <c r="J443" i="23"/>
  <c r="J444" i="23"/>
  <c r="J445" i="23"/>
  <c r="J446" i="23"/>
  <c r="J447" i="23"/>
  <c r="J448" i="23"/>
  <c r="J449" i="23"/>
  <c r="J450" i="23"/>
  <c r="J451" i="23"/>
  <c r="J452" i="23"/>
  <c r="J453" i="23"/>
  <c r="J454" i="23"/>
  <c r="J455" i="23"/>
  <c r="J456" i="23"/>
  <c r="J457" i="23"/>
  <c r="J458" i="23"/>
  <c r="J459" i="23"/>
  <c r="J460" i="23"/>
  <c r="J461" i="23"/>
  <c r="J462" i="23"/>
  <c r="J463" i="23"/>
  <c r="J464" i="23"/>
  <c r="J465" i="23"/>
  <c r="J466" i="23"/>
  <c r="J467" i="23"/>
  <c r="J468" i="23"/>
  <c r="J469" i="23"/>
  <c r="J470" i="23"/>
  <c r="J471" i="23"/>
  <c r="J472" i="23"/>
  <c r="J473" i="23"/>
  <c r="J474" i="23"/>
  <c r="J475" i="23"/>
  <c r="J476" i="23"/>
  <c r="J477" i="23"/>
  <c r="J478" i="23"/>
  <c r="J479" i="23"/>
  <c r="J480" i="23"/>
  <c r="J481" i="23"/>
  <c r="J482" i="23"/>
  <c r="J483" i="23"/>
  <c r="J484" i="23"/>
  <c r="J485" i="23"/>
  <c r="J486" i="23"/>
  <c r="J487" i="23"/>
  <c r="J488" i="23"/>
  <c r="J489" i="23"/>
  <c r="J490" i="23"/>
  <c r="J491" i="23"/>
  <c r="J492" i="23"/>
  <c r="J493" i="23"/>
  <c r="J494" i="23"/>
  <c r="J495" i="23"/>
  <c r="J496" i="23"/>
  <c r="J497" i="23"/>
  <c r="J498" i="23"/>
  <c r="J499" i="23"/>
  <c r="J500" i="23"/>
  <c r="J501" i="23"/>
  <c r="J502" i="23"/>
  <c r="J503" i="23"/>
  <c r="J504" i="23"/>
  <c r="J505" i="23"/>
  <c r="J506" i="23"/>
  <c r="J507" i="23"/>
  <c r="J508" i="23"/>
  <c r="J509" i="23"/>
  <c r="J510" i="23"/>
  <c r="J511" i="23"/>
  <c r="J512" i="23"/>
  <c r="J513" i="23"/>
  <c r="J514" i="23"/>
  <c r="J515" i="23"/>
  <c r="J516" i="23"/>
  <c r="J517" i="23"/>
  <c r="J518" i="23"/>
  <c r="J519" i="23"/>
  <c r="J520" i="23"/>
  <c r="J521" i="23"/>
  <c r="J522" i="23"/>
  <c r="J523" i="23"/>
  <c r="J524" i="23"/>
  <c r="J525" i="23"/>
  <c r="J526" i="23"/>
  <c r="J527" i="23"/>
  <c r="J528" i="23"/>
  <c r="J529" i="23"/>
  <c r="J530" i="23"/>
  <c r="J531" i="23"/>
  <c r="J532" i="23"/>
  <c r="J533" i="23"/>
  <c r="J534" i="23"/>
  <c r="J535" i="23"/>
  <c r="J536" i="23"/>
  <c r="J537" i="23"/>
  <c r="J538" i="23"/>
  <c r="J539" i="23"/>
  <c r="J540" i="23"/>
  <c r="J541" i="23"/>
  <c r="J542" i="23"/>
  <c r="J543" i="23"/>
  <c r="J544" i="23"/>
  <c r="J545" i="23"/>
  <c r="J546" i="23"/>
  <c r="J547" i="23"/>
  <c r="J548" i="23"/>
  <c r="J549" i="23"/>
  <c r="J550" i="23"/>
  <c r="J551" i="23"/>
  <c r="J552" i="23"/>
  <c r="J553" i="23"/>
  <c r="J554" i="23"/>
  <c r="J555" i="23"/>
  <c r="J556" i="23"/>
  <c r="J557" i="23"/>
  <c r="J558" i="23"/>
  <c r="J559" i="23"/>
  <c r="J560" i="23"/>
  <c r="J561" i="23"/>
  <c r="J562" i="23"/>
  <c r="J563" i="23"/>
  <c r="J564" i="23"/>
  <c r="J565" i="23"/>
  <c r="J566" i="23"/>
  <c r="J567" i="23"/>
  <c r="J568" i="23"/>
  <c r="J569" i="23"/>
  <c r="J570" i="23"/>
  <c r="J571" i="23"/>
  <c r="J572" i="23"/>
  <c r="J573" i="23"/>
  <c r="J574" i="23"/>
  <c r="J575" i="23"/>
  <c r="J576" i="23"/>
  <c r="J577" i="23"/>
  <c r="J578" i="23"/>
  <c r="J579" i="23"/>
  <c r="J580" i="23"/>
  <c r="J581" i="23"/>
  <c r="J582" i="23"/>
  <c r="J583" i="23"/>
  <c r="J584" i="23"/>
  <c r="J585" i="23"/>
  <c r="J586" i="23"/>
  <c r="J587" i="23"/>
  <c r="J588" i="23"/>
  <c r="J589" i="23"/>
  <c r="J590" i="23"/>
  <c r="J591" i="23"/>
  <c r="J592" i="23"/>
  <c r="J593" i="23"/>
  <c r="J594" i="23"/>
  <c r="J595" i="23"/>
  <c r="J596" i="23"/>
  <c r="J597" i="23"/>
  <c r="J598" i="23"/>
  <c r="J599" i="23"/>
  <c r="J600" i="23"/>
  <c r="J601" i="23"/>
  <c r="J602" i="23"/>
  <c r="J603" i="23"/>
  <c r="J604" i="23"/>
  <c r="J605" i="23"/>
  <c r="J606" i="23"/>
  <c r="J607" i="23"/>
  <c r="J608" i="23"/>
  <c r="J609" i="23"/>
  <c r="J610" i="23"/>
  <c r="J611" i="23"/>
  <c r="J612" i="23"/>
  <c r="J613" i="23"/>
  <c r="J614" i="23"/>
  <c r="J615" i="23"/>
  <c r="J616" i="23"/>
  <c r="J617" i="23"/>
  <c r="J618" i="23"/>
  <c r="J619" i="23"/>
  <c r="J620" i="23"/>
  <c r="J621" i="23"/>
  <c r="J622" i="23"/>
  <c r="J623" i="23"/>
  <c r="J624" i="23"/>
  <c r="J625" i="23"/>
  <c r="J626" i="23"/>
  <c r="J627" i="23"/>
  <c r="J628" i="23"/>
  <c r="J629" i="23"/>
  <c r="J630" i="23"/>
  <c r="J631" i="23"/>
  <c r="J632" i="23"/>
  <c r="J633" i="23"/>
  <c r="J634" i="23"/>
  <c r="J635" i="23"/>
  <c r="J636" i="23"/>
  <c r="J637" i="23"/>
  <c r="J638" i="23"/>
  <c r="J639" i="23"/>
  <c r="J640" i="23"/>
  <c r="J641" i="23"/>
  <c r="J642" i="23"/>
  <c r="J643" i="23"/>
  <c r="J644" i="23"/>
  <c r="J645" i="23"/>
  <c r="J646" i="23"/>
  <c r="J647" i="23"/>
  <c r="J648" i="23"/>
  <c r="J649" i="23"/>
  <c r="J650" i="23"/>
  <c r="J651" i="23"/>
  <c r="J652" i="23"/>
  <c r="J653" i="23"/>
  <c r="J654" i="23"/>
  <c r="J655" i="23"/>
  <c r="J656" i="23"/>
  <c r="J657" i="23"/>
  <c r="J658" i="23"/>
  <c r="J659" i="23"/>
  <c r="J660" i="23"/>
  <c r="J661" i="23"/>
  <c r="J662" i="23"/>
  <c r="J663" i="23"/>
  <c r="J664" i="23"/>
  <c r="J665" i="23"/>
  <c r="J666" i="23"/>
  <c r="J667" i="23"/>
  <c r="J668" i="23"/>
  <c r="J669" i="23"/>
  <c r="J670" i="23"/>
  <c r="J671" i="23"/>
  <c r="J672" i="23"/>
  <c r="J673" i="23"/>
  <c r="J674" i="23"/>
  <c r="J675" i="23"/>
  <c r="J676" i="23"/>
  <c r="J677" i="23"/>
  <c r="J678" i="23"/>
  <c r="J679" i="23"/>
  <c r="J680" i="23"/>
  <c r="J681" i="23"/>
  <c r="J682" i="23"/>
  <c r="J683" i="23"/>
  <c r="J684" i="23"/>
  <c r="J685" i="23"/>
  <c r="J686" i="23"/>
  <c r="J687" i="23"/>
  <c r="J688" i="23"/>
  <c r="J689" i="23"/>
  <c r="J690" i="23"/>
  <c r="J691" i="23"/>
  <c r="J692" i="23"/>
  <c r="J693" i="23"/>
  <c r="J694" i="23"/>
  <c r="J695" i="23"/>
  <c r="J696" i="23"/>
  <c r="J697" i="23"/>
  <c r="J698" i="23"/>
  <c r="J699" i="23"/>
  <c r="J700" i="23"/>
  <c r="J701" i="23"/>
  <c r="J702" i="23"/>
  <c r="J703" i="23"/>
  <c r="J704" i="23"/>
  <c r="J705" i="23"/>
  <c r="J706" i="23"/>
  <c r="J707" i="23"/>
  <c r="J708" i="23"/>
  <c r="J709" i="23"/>
  <c r="J710" i="23"/>
  <c r="J711" i="23"/>
  <c r="J712" i="23"/>
  <c r="J713" i="23"/>
  <c r="J714" i="23"/>
  <c r="J715" i="23"/>
  <c r="J716" i="23"/>
  <c r="J717" i="23"/>
  <c r="J718" i="23"/>
  <c r="J719" i="23"/>
  <c r="J720" i="23"/>
  <c r="J721" i="23"/>
  <c r="J722" i="23"/>
  <c r="J723" i="23"/>
  <c r="J724" i="23"/>
  <c r="J725" i="23"/>
  <c r="J726" i="23"/>
  <c r="J727" i="23"/>
  <c r="J728" i="23"/>
  <c r="J729" i="23"/>
  <c r="J730" i="23"/>
  <c r="J731" i="23"/>
  <c r="J732" i="23"/>
  <c r="J733" i="23"/>
  <c r="J734" i="23"/>
  <c r="J735" i="23"/>
  <c r="J736" i="23"/>
  <c r="J737" i="23"/>
  <c r="J738" i="23"/>
  <c r="J739" i="23"/>
  <c r="J740" i="23"/>
  <c r="J741" i="23"/>
  <c r="J742" i="23"/>
  <c r="J743" i="23"/>
  <c r="J744" i="23"/>
  <c r="J745" i="23"/>
  <c r="J746" i="23"/>
  <c r="J747" i="23"/>
  <c r="J748" i="23"/>
  <c r="J749" i="23"/>
  <c r="J750" i="23"/>
  <c r="J751" i="23"/>
  <c r="J752" i="23"/>
  <c r="J753" i="23"/>
  <c r="J754" i="23"/>
  <c r="J755" i="23"/>
  <c r="J756" i="23"/>
  <c r="J757" i="23"/>
  <c r="J758" i="23"/>
  <c r="J759" i="23"/>
  <c r="J760" i="23"/>
  <c r="J761" i="23"/>
  <c r="J762" i="23"/>
  <c r="J763" i="23"/>
  <c r="J764" i="23"/>
  <c r="J765" i="23"/>
  <c r="J766" i="23"/>
  <c r="J767" i="23"/>
  <c r="J768" i="23"/>
  <c r="J769" i="23"/>
  <c r="J770" i="23"/>
  <c r="J771" i="23"/>
  <c r="J772" i="23"/>
  <c r="J773" i="23"/>
  <c r="J774" i="23"/>
  <c r="J775" i="23"/>
  <c r="J776" i="23"/>
  <c r="J777" i="23"/>
  <c r="J778" i="23"/>
  <c r="J779" i="23"/>
  <c r="J780" i="23"/>
  <c r="J781" i="23"/>
  <c r="J782" i="23"/>
  <c r="J783" i="23"/>
  <c r="J784" i="23"/>
  <c r="J785" i="23"/>
  <c r="J786" i="23"/>
  <c r="J787" i="23"/>
  <c r="J788" i="23"/>
  <c r="J789" i="23"/>
  <c r="J790" i="23"/>
  <c r="J791" i="23"/>
  <c r="J792" i="23"/>
  <c r="J793" i="23"/>
  <c r="J794" i="23"/>
  <c r="J795" i="23"/>
  <c r="J796" i="23"/>
  <c r="J797" i="23"/>
  <c r="J798" i="23"/>
  <c r="J799" i="23"/>
  <c r="J800" i="23"/>
  <c r="J801" i="23"/>
  <c r="J802" i="23"/>
  <c r="J803" i="23"/>
  <c r="J804" i="23"/>
  <c r="J805" i="23"/>
  <c r="J806" i="23"/>
  <c r="J807" i="23"/>
  <c r="J808" i="23"/>
  <c r="J809" i="23"/>
  <c r="J810" i="23"/>
  <c r="J811" i="23"/>
  <c r="J812" i="23"/>
  <c r="J813" i="23"/>
  <c r="J814" i="23"/>
  <c r="J815" i="23"/>
  <c r="J816" i="23"/>
  <c r="J817" i="23"/>
  <c r="J818" i="23"/>
  <c r="J819" i="23"/>
  <c r="J820" i="23"/>
  <c r="J821" i="23"/>
  <c r="J822" i="23"/>
  <c r="J823" i="23"/>
  <c r="J824" i="23"/>
  <c r="J825" i="23"/>
  <c r="J826" i="23"/>
  <c r="J827" i="23"/>
  <c r="J828" i="23"/>
  <c r="J829" i="23"/>
  <c r="J830" i="23"/>
  <c r="J831" i="23"/>
  <c r="J832" i="23"/>
  <c r="J833" i="23"/>
  <c r="J834" i="23"/>
  <c r="J835" i="23"/>
  <c r="J836" i="23"/>
  <c r="J837" i="23"/>
  <c r="J838" i="23"/>
  <c r="J839" i="23"/>
  <c r="J840" i="23"/>
  <c r="J841" i="23"/>
  <c r="J842" i="23"/>
  <c r="J843" i="23"/>
  <c r="J844" i="23"/>
  <c r="J845" i="23"/>
  <c r="J846" i="23"/>
  <c r="J847" i="23"/>
  <c r="J848" i="23"/>
  <c r="J849" i="23"/>
  <c r="J850" i="23"/>
  <c r="J851" i="23"/>
  <c r="J852" i="23"/>
  <c r="J853" i="23"/>
  <c r="J854" i="23"/>
  <c r="J855" i="23"/>
  <c r="J856" i="23"/>
  <c r="J857" i="23"/>
  <c r="J858" i="23"/>
  <c r="J859" i="23"/>
  <c r="J860" i="23"/>
  <c r="J861" i="23"/>
  <c r="J862" i="23"/>
  <c r="J863" i="23"/>
  <c r="J864" i="23"/>
  <c r="J865" i="23"/>
  <c r="J866" i="23"/>
  <c r="J867" i="23"/>
  <c r="J868" i="23"/>
  <c r="J869" i="23"/>
  <c r="J870" i="23"/>
  <c r="J871" i="23"/>
  <c r="J872" i="23"/>
  <c r="J873" i="23"/>
  <c r="J874" i="23"/>
  <c r="J875" i="23"/>
  <c r="J876" i="23"/>
  <c r="J877" i="23"/>
  <c r="J878" i="23"/>
  <c r="J879" i="23"/>
  <c r="J880" i="23"/>
  <c r="J881" i="23"/>
  <c r="J882" i="23"/>
  <c r="J883" i="23"/>
  <c r="J884" i="23"/>
  <c r="J885" i="23"/>
  <c r="J886" i="23"/>
  <c r="J887" i="23"/>
  <c r="J888" i="23"/>
  <c r="J889" i="23"/>
  <c r="J890" i="23"/>
  <c r="J891" i="23"/>
  <c r="J892" i="23"/>
  <c r="J893" i="23"/>
  <c r="J894" i="23"/>
  <c r="J895" i="23"/>
  <c r="J896" i="23"/>
  <c r="J897" i="23"/>
  <c r="J898" i="23"/>
  <c r="J899" i="23"/>
  <c r="J900" i="23"/>
  <c r="J901" i="23"/>
  <c r="J902" i="23"/>
  <c r="J903" i="23"/>
  <c r="J904" i="23"/>
  <c r="J905" i="23"/>
  <c r="J906" i="23"/>
  <c r="J907" i="23"/>
  <c r="J908" i="23"/>
  <c r="J909" i="23"/>
  <c r="J910" i="23"/>
  <c r="J911" i="23"/>
  <c r="J912" i="23"/>
  <c r="J913" i="23"/>
  <c r="J914" i="23"/>
  <c r="J915" i="23"/>
  <c r="J916" i="23"/>
  <c r="J917" i="23"/>
  <c r="J918" i="23"/>
  <c r="J919" i="23"/>
  <c r="J920" i="23"/>
  <c r="J921" i="23"/>
  <c r="J922" i="23"/>
  <c r="J923" i="23"/>
  <c r="J924" i="23"/>
  <c r="J925" i="23"/>
  <c r="J926" i="23"/>
  <c r="J927" i="23"/>
  <c r="J928" i="23"/>
  <c r="J929" i="23"/>
  <c r="J930" i="23"/>
  <c r="J931" i="23"/>
  <c r="J932" i="23"/>
  <c r="J933" i="23"/>
  <c r="J934" i="23"/>
  <c r="J935" i="23"/>
  <c r="J936" i="23"/>
  <c r="J937" i="23"/>
  <c r="J938" i="23"/>
  <c r="J939" i="23"/>
  <c r="J940" i="23"/>
  <c r="J941" i="23"/>
  <c r="J942" i="23"/>
  <c r="J943" i="23"/>
  <c r="J944" i="23"/>
  <c r="J945" i="23"/>
  <c r="J946" i="23"/>
  <c r="J947" i="23"/>
  <c r="J948" i="23"/>
  <c r="J949" i="23"/>
  <c r="J950" i="23"/>
  <c r="J951" i="23"/>
  <c r="J952" i="23"/>
  <c r="J953" i="23"/>
  <c r="J954" i="23"/>
  <c r="J955" i="23"/>
  <c r="J956" i="23"/>
  <c r="J957" i="23"/>
  <c r="J958" i="23"/>
  <c r="J959" i="23"/>
  <c r="J960" i="23"/>
  <c r="J961" i="23"/>
  <c r="J962" i="23"/>
  <c r="J963" i="23"/>
  <c r="J964" i="23"/>
  <c r="J965" i="23"/>
  <c r="J966" i="23"/>
  <c r="J967" i="23"/>
  <c r="J968" i="23"/>
  <c r="J969" i="23"/>
  <c r="J970" i="23"/>
  <c r="J971" i="23"/>
  <c r="J972" i="23"/>
  <c r="J973" i="23"/>
  <c r="J974" i="23"/>
  <c r="J975" i="23"/>
  <c r="J976" i="23"/>
  <c r="J977" i="23"/>
  <c r="J978" i="23"/>
  <c r="J979" i="23"/>
  <c r="J980" i="23"/>
  <c r="J981" i="23"/>
  <c r="J982" i="23"/>
  <c r="J983" i="23"/>
  <c r="J984" i="23"/>
  <c r="J985" i="23"/>
  <c r="J986" i="23"/>
  <c r="J987" i="23"/>
  <c r="J988" i="23"/>
  <c r="J989" i="23"/>
  <c r="J990" i="23"/>
  <c r="J991" i="23"/>
  <c r="J992" i="23"/>
  <c r="J993" i="23"/>
  <c r="J994" i="23"/>
  <c r="J995" i="23"/>
  <c r="J996" i="23"/>
  <c r="J997" i="23"/>
  <c r="J998" i="23"/>
  <c r="J999" i="23"/>
  <c r="J1000" i="23"/>
  <c r="J1001" i="23"/>
  <c r="J1002" i="23"/>
  <c r="J1003" i="23"/>
  <c r="J1004" i="23"/>
  <c r="J1005" i="23"/>
  <c r="J1006" i="23"/>
  <c r="J1007" i="23"/>
  <c r="J1008" i="23"/>
  <c r="J1009" i="23"/>
  <c r="J1010" i="23"/>
  <c r="J1011" i="23"/>
  <c r="J1012" i="23"/>
  <c r="J1013" i="23"/>
  <c r="J1014" i="23"/>
  <c r="J1015" i="23"/>
  <c r="J1016" i="23"/>
  <c r="J1017" i="23"/>
  <c r="J1018" i="23"/>
  <c r="J1019" i="23"/>
  <c r="J1020" i="23"/>
  <c r="J1021" i="23"/>
  <c r="J1022" i="23"/>
  <c r="J1023" i="23"/>
  <c r="J1024" i="23"/>
  <c r="J1025" i="23"/>
  <c r="J1026" i="23"/>
  <c r="J1027" i="23"/>
  <c r="J1028" i="23"/>
  <c r="J1029" i="23"/>
  <c r="J1030" i="23"/>
  <c r="J1031" i="23"/>
  <c r="J1032" i="23"/>
  <c r="J1033" i="23"/>
  <c r="J1034" i="23"/>
  <c r="J1035" i="23"/>
  <c r="J1036" i="23"/>
  <c r="J1037" i="23"/>
  <c r="J1038" i="23"/>
  <c r="J1039" i="23"/>
  <c r="J1040" i="23"/>
  <c r="J1041" i="23"/>
  <c r="J1042" i="23"/>
  <c r="J1043" i="23"/>
  <c r="J1044" i="23"/>
  <c r="J1045" i="23"/>
  <c r="J1046" i="23"/>
  <c r="J1047" i="23"/>
  <c r="J1048" i="23"/>
  <c r="J1049" i="23"/>
  <c r="J1050" i="23"/>
  <c r="J1051" i="23"/>
  <c r="J1052" i="23"/>
  <c r="J1053" i="23"/>
  <c r="J1054" i="23"/>
  <c r="J1055" i="23"/>
  <c r="J1056" i="23"/>
  <c r="J1057" i="23"/>
  <c r="J1058" i="23"/>
  <c r="J1059" i="23"/>
  <c r="J1060" i="23"/>
  <c r="J1061" i="23"/>
  <c r="J1062" i="23"/>
  <c r="J1063" i="23"/>
  <c r="J1064" i="23"/>
  <c r="J1065" i="23"/>
  <c r="J1066" i="23"/>
  <c r="J1067" i="23"/>
  <c r="J1068" i="23"/>
  <c r="J1069" i="23"/>
  <c r="J1070" i="23"/>
  <c r="J1071" i="23"/>
  <c r="J1072" i="23"/>
  <c r="J1073" i="23"/>
  <c r="J1074" i="23"/>
  <c r="J1075" i="23"/>
  <c r="J1076" i="23"/>
  <c r="J1077" i="23"/>
  <c r="J1078" i="23"/>
  <c r="J1079" i="23"/>
  <c r="J1080" i="23"/>
  <c r="J1081" i="23"/>
  <c r="J1082" i="23"/>
  <c r="J1083" i="23"/>
  <c r="J1084" i="23"/>
  <c r="J1085" i="23"/>
  <c r="J1086" i="23"/>
  <c r="J1087" i="23"/>
  <c r="J1088" i="23"/>
  <c r="J1089" i="23"/>
  <c r="J1090" i="23"/>
  <c r="J1091" i="23"/>
  <c r="J1092" i="23"/>
  <c r="J1093" i="23"/>
  <c r="J1094" i="23"/>
  <c r="J1095" i="23"/>
  <c r="J1096" i="23"/>
  <c r="J1097" i="23"/>
  <c r="J1098" i="23"/>
  <c r="J1099" i="23"/>
  <c r="J1100" i="23"/>
  <c r="J1101" i="23"/>
  <c r="J1102" i="23"/>
  <c r="J1103" i="23"/>
  <c r="J1104" i="23"/>
  <c r="J1105" i="23"/>
  <c r="J1106" i="23"/>
  <c r="J1107" i="23"/>
  <c r="J1108" i="23"/>
  <c r="J1109" i="23"/>
  <c r="J1110" i="23"/>
  <c r="J1111" i="23"/>
  <c r="J1112" i="23"/>
  <c r="J1113" i="23"/>
  <c r="J1114" i="23"/>
  <c r="J1115" i="23"/>
  <c r="J1116" i="23"/>
  <c r="J1117" i="23"/>
  <c r="J1118" i="23"/>
  <c r="J1119" i="23"/>
  <c r="J1120" i="23"/>
  <c r="J1121" i="23"/>
  <c r="J1122" i="23"/>
  <c r="J1123" i="23"/>
  <c r="J1124" i="23"/>
  <c r="J1125" i="23"/>
  <c r="J1126" i="23"/>
  <c r="J1127" i="23"/>
  <c r="J1128" i="23"/>
  <c r="J1129" i="23"/>
  <c r="J1130" i="23"/>
  <c r="J1131" i="23"/>
  <c r="J1132" i="23"/>
  <c r="J1133" i="23"/>
  <c r="J1134" i="23"/>
  <c r="J1135" i="23"/>
  <c r="J1136" i="23"/>
  <c r="J1137" i="23"/>
  <c r="J1138" i="23"/>
  <c r="J1139" i="23"/>
  <c r="J1140" i="23"/>
  <c r="J1141" i="23"/>
  <c r="J1142" i="23"/>
  <c r="J1143" i="23"/>
  <c r="J1144" i="23"/>
  <c r="J1145" i="23"/>
  <c r="J1146" i="23"/>
  <c r="J1147" i="23"/>
  <c r="J1148" i="23"/>
  <c r="J1149" i="23"/>
  <c r="J1150" i="23"/>
  <c r="J1151" i="23"/>
  <c r="J1152" i="23"/>
  <c r="J1153" i="23"/>
  <c r="J1154" i="23"/>
  <c r="J1155" i="23"/>
  <c r="J1156" i="23"/>
  <c r="J1157" i="23"/>
  <c r="J1158" i="23"/>
  <c r="J1159" i="23"/>
  <c r="J1160" i="23"/>
  <c r="J1161" i="23"/>
  <c r="J1162" i="23"/>
  <c r="J1163" i="23"/>
  <c r="J1164" i="23"/>
  <c r="J1165" i="23"/>
  <c r="J1166" i="23"/>
  <c r="J1167" i="23"/>
  <c r="J1168" i="23"/>
  <c r="J1169" i="23"/>
  <c r="J1170" i="23"/>
  <c r="J1171" i="23"/>
  <c r="J1172" i="23"/>
  <c r="J1173" i="23"/>
  <c r="J1174" i="23"/>
  <c r="J1175" i="23"/>
  <c r="J1176" i="23"/>
  <c r="J1177" i="23"/>
  <c r="J1178" i="23"/>
  <c r="J1179" i="23"/>
  <c r="J1180" i="23"/>
  <c r="J1181" i="23"/>
  <c r="J1182" i="23"/>
  <c r="J1183" i="23"/>
  <c r="J1184" i="23"/>
  <c r="J1185" i="23"/>
  <c r="J1186" i="23"/>
  <c r="J1187" i="23"/>
  <c r="J1188" i="23"/>
  <c r="J1189" i="23"/>
  <c r="J1190" i="23"/>
  <c r="J1191" i="23"/>
  <c r="J1192" i="23"/>
  <c r="J1193" i="23"/>
  <c r="J1194" i="23"/>
  <c r="J1195" i="23"/>
  <c r="J1196" i="23"/>
  <c r="J1197" i="23"/>
  <c r="J1198" i="23"/>
  <c r="J1199" i="23"/>
  <c r="J1200" i="23"/>
  <c r="J1201" i="23"/>
  <c r="J1202" i="23"/>
  <c r="J1203" i="23"/>
  <c r="J1204" i="23"/>
  <c r="J1205" i="23"/>
  <c r="J1206" i="23"/>
  <c r="J1207" i="23"/>
  <c r="J1208" i="23"/>
  <c r="J1209" i="23"/>
  <c r="J1210" i="23"/>
  <c r="J1211" i="23"/>
  <c r="J1212" i="23"/>
  <c r="J1213" i="23"/>
  <c r="J1214" i="23"/>
  <c r="J1215" i="23"/>
  <c r="J1216" i="23"/>
  <c r="J1217" i="23"/>
  <c r="J1218" i="23"/>
  <c r="J1219" i="23"/>
  <c r="J1220" i="23"/>
  <c r="J1221" i="23"/>
  <c r="J1222" i="23"/>
  <c r="J1223" i="23"/>
  <c r="J1224" i="23"/>
  <c r="J1225" i="23"/>
  <c r="J1226" i="23"/>
  <c r="J1227" i="23"/>
  <c r="J1228" i="23"/>
  <c r="J1229" i="23"/>
  <c r="J1230" i="23"/>
  <c r="J1231" i="23"/>
  <c r="J1232" i="23"/>
  <c r="J1233" i="23"/>
  <c r="J1234" i="23"/>
  <c r="J1235" i="23"/>
  <c r="J1236" i="23"/>
  <c r="J1237" i="23"/>
  <c r="J1238" i="23"/>
  <c r="J1239" i="23"/>
  <c r="J1240" i="23"/>
  <c r="J1241" i="23"/>
  <c r="J1242" i="23"/>
  <c r="J1243" i="23"/>
  <c r="J1244" i="23"/>
  <c r="J1245" i="23"/>
  <c r="J1246" i="23"/>
  <c r="J1247" i="23"/>
  <c r="J1248" i="23"/>
  <c r="J1249" i="23"/>
  <c r="J1250" i="23"/>
  <c r="J1251" i="23"/>
  <c r="J1252" i="23"/>
  <c r="J1253" i="23"/>
  <c r="J1254" i="23"/>
  <c r="J1255" i="23"/>
  <c r="J1256" i="23"/>
  <c r="J1257" i="23"/>
  <c r="J1258" i="23"/>
  <c r="J1259" i="23"/>
  <c r="J1260" i="23"/>
  <c r="J1261" i="23"/>
  <c r="J1262" i="23"/>
  <c r="J1263" i="23"/>
  <c r="J1264" i="23"/>
  <c r="J1265" i="23"/>
  <c r="J1266" i="23"/>
  <c r="J1267" i="23"/>
  <c r="J1268" i="23"/>
  <c r="J1269" i="23"/>
  <c r="J1270" i="23"/>
  <c r="J1271" i="23"/>
  <c r="J1272" i="23"/>
  <c r="J1273" i="23"/>
  <c r="J1274" i="23"/>
  <c r="J1275" i="23"/>
  <c r="J1276" i="23"/>
  <c r="J1277" i="23"/>
  <c r="J1278" i="23"/>
  <c r="J1279" i="23"/>
  <c r="J1280" i="23"/>
  <c r="J1281" i="23"/>
  <c r="J1282" i="23"/>
  <c r="J1283" i="23"/>
  <c r="J1284" i="23"/>
  <c r="J1285" i="23"/>
  <c r="J1286" i="23"/>
  <c r="J1287" i="23"/>
  <c r="J1288" i="23"/>
  <c r="J1289" i="23"/>
  <c r="J1290" i="23"/>
  <c r="J1291" i="23"/>
  <c r="J1292" i="23"/>
  <c r="J1293" i="23"/>
  <c r="J1294" i="23"/>
  <c r="J1295" i="23"/>
  <c r="J1296" i="23"/>
  <c r="J1297" i="23"/>
  <c r="J1298" i="23"/>
  <c r="J1299" i="23"/>
  <c r="J1300" i="23"/>
  <c r="J1301" i="23"/>
  <c r="J1302" i="23"/>
  <c r="J1303" i="23"/>
  <c r="J1304" i="23"/>
  <c r="J1305" i="23"/>
  <c r="J1306" i="23"/>
  <c r="J1307" i="23"/>
  <c r="J1308" i="23"/>
  <c r="J1309" i="23"/>
  <c r="J1310" i="23"/>
  <c r="J1311" i="23"/>
  <c r="J1312" i="23"/>
  <c r="J1313" i="23"/>
  <c r="J1314" i="23"/>
  <c r="J1315" i="23"/>
  <c r="J1316" i="23"/>
  <c r="J1317" i="23"/>
  <c r="J1318" i="23"/>
  <c r="J1319" i="23"/>
  <c r="J1320" i="23"/>
  <c r="J1321" i="23"/>
  <c r="J1322" i="23"/>
  <c r="J1323" i="23"/>
  <c r="J1324" i="23"/>
  <c r="J1325" i="23"/>
  <c r="J1326" i="23"/>
  <c r="J1327" i="23"/>
  <c r="J1328" i="23"/>
  <c r="J1329" i="23"/>
  <c r="J1330" i="23"/>
  <c r="J1331" i="23"/>
  <c r="J1332" i="23"/>
  <c r="J1333" i="23"/>
  <c r="J1334" i="23"/>
  <c r="J1335" i="23"/>
  <c r="J1336" i="23"/>
  <c r="J1337" i="23"/>
  <c r="J1338" i="23"/>
  <c r="J1339" i="23"/>
  <c r="J1340" i="23"/>
  <c r="J1341" i="23"/>
  <c r="J1342" i="23"/>
  <c r="J1343" i="23"/>
  <c r="J1344" i="23"/>
  <c r="J1345" i="23"/>
  <c r="J1346" i="23"/>
  <c r="J1347" i="23"/>
  <c r="J1348" i="23"/>
  <c r="J1349" i="23"/>
  <c r="J1350" i="23"/>
  <c r="J1351" i="23"/>
  <c r="J1352" i="23"/>
  <c r="J1353" i="23"/>
  <c r="J1354" i="23"/>
  <c r="J1355" i="23"/>
  <c r="J1356" i="23"/>
  <c r="J1357" i="23"/>
  <c r="J1358" i="23"/>
  <c r="J1359" i="23"/>
  <c r="J1360" i="23"/>
  <c r="J1361" i="23"/>
  <c r="J1362" i="23"/>
  <c r="J1363" i="23"/>
  <c r="J1364" i="23"/>
  <c r="J1365" i="23"/>
  <c r="J1366" i="23"/>
  <c r="J1367" i="23"/>
  <c r="J1368" i="23"/>
  <c r="J1369" i="23"/>
  <c r="J1370" i="23"/>
  <c r="J1371" i="23"/>
  <c r="J1372" i="23"/>
  <c r="J1373" i="23"/>
  <c r="J1374" i="23"/>
  <c r="J1375" i="23"/>
  <c r="J1376" i="23"/>
  <c r="J1377" i="23"/>
  <c r="J1378" i="23"/>
  <c r="J1379" i="23"/>
  <c r="J1380" i="23"/>
  <c r="J1381" i="23"/>
  <c r="J1382" i="23"/>
  <c r="J1383" i="23"/>
  <c r="J1384" i="23"/>
  <c r="J1385" i="23"/>
  <c r="J1386" i="23"/>
  <c r="J1387" i="23"/>
  <c r="J1388" i="23"/>
  <c r="J1389" i="23"/>
  <c r="J1390" i="23"/>
  <c r="J1391" i="23"/>
  <c r="J1392" i="23"/>
  <c r="J1393" i="23"/>
  <c r="J1394" i="23"/>
  <c r="J1395" i="23"/>
  <c r="J1396" i="23"/>
  <c r="J1397" i="23"/>
  <c r="J1398" i="23"/>
  <c r="J1399" i="23"/>
  <c r="J1400" i="23"/>
  <c r="J1401" i="23"/>
  <c r="J1402" i="23"/>
  <c r="J1403" i="23"/>
  <c r="J1404" i="23"/>
  <c r="J1405" i="23"/>
  <c r="J1406" i="23"/>
  <c r="J1407" i="23"/>
  <c r="J1408" i="23"/>
  <c r="J1409" i="23"/>
  <c r="J1410" i="23"/>
  <c r="J1411" i="23"/>
  <c r="J1412" i="23"/>
  <c r="J1413" i="23"/>
  <c r="J1414" i="23"/>
  <c r="J1415" i="23"/>
  <c r="J1416" i="23"/>
  <c r="J1417" i="23"/>
  <c r="J1418" i="23"/>
  <c r="J1419" i="23"/>
  <c r="J1420" i="23"/>
  <c r="J1421" i="23"/>
  <c r="J1422" i="23"/>
  <c r="J1423" i="23"/>
  <c r="J1424" i="23"/>
  <c r="J1425" i="23"/>
  <c r="J1426" i="23"/>
  <c r="J1427" i="23"/>
  <c r="J1428" i="23"/>
  <c r="J1429" i="23"/>
  <c r="J1430" i="23"/>
  <c r="J1431" i="23"/>
  <c r="J1432" i="23"/>
  <c r="J1433" i="23"/>
  <c r="J1434" i="23"/>
  <c r="J1435" i="23"/>
  <c r="J1436" i="23"/>
  <c r="J1437" i="23"/>
  <c r="J1438" i="23"/>
  <c r="J1439" i="23"/>
  <c r="J1440" i="23"/>
  <c r="J1441" i="23"/>
  <c r="J1442" i="23"/>
  <c r="J1443" i="23"/>
  <c r="J1444" i="23"/>
  <c r="J1445" i="23"/>
  <c r="J1446" i="23"/>
  <c r="J1447" i="23"/>
  <c r="J1448" i="23"/>
  <c r="J1449" i="23"/>
  <c r="J1450" i="23"/>
  <c r="J1451" i="23"/>
  <c r="J1452" i="23"/>
  <c r="J1453" i="23"/>
  <c r="J1454" i="23"/>
  <c r="J1455" i="23"/>
  <c r="J1456" i="23"/>
  <c r="J1457" i="23"/>
  <c r="J1458" i="23"/>
  <c r="J1459" i="23"/>
  <c r="J1460" i="23"/>
  <c r="J1461" i="23"/>
  <c r="J1462" i="23"/>
  <c r="J1463" i="23"/>
  <c r="J1464" i="23"/>
  <c r="J1465" i="23"/>
  <c r="J1466" i="23"/>
  <c r="J1467" i="23"/>
  <c r="J1468" i="23"/>
  <c r="J1469" i="23"/>
  <c r="J1470" i="23"/>
  <c r="J1471" i="23"/>
  <c r="J1472" i="23"/>
  <c r="J1473" i="23"/>
  <c r="J1474" i="23"/>
  <c r="J1475" i="23"/>
  <c r="J1476" i="23"/>
  <c r="J1477" i="23"/>
  <c r="J1478" i="23"/>
  <c r="J1479" i="23"/>
  <c r="J1480" i="23"/>
  <c r="J1481" i="23"/>
  <c r="J1482" i="23"/>
  <c r="J1483" i="23"/>
  <c r="J1484" i="23"/>
  <c r="J1485" i="23"/>
  <c r="J1486" i="23"/>
  <c r="J1487" i="23"/>
  <c r="J1488" i="23"/>
  <c r="J1489" i="23"/>
  <c r="J1490" i="23"/>
  <c r="J1491" i="23"/>
  <c r="J1492" i="23"/>
  <c r="J1493" i="23"/>
  <c r="J1494" i="23"/>
  <c r="J1495" i="23"/>
  <c r="J1496" i="23"/>
  <c r="J1497" i="23"/>
  <c r="J1498" i="23"/>
  <c r="J1499" i="23"/>
  <c r="J1500" i="23"/>
  <c r="J1501" i="23"/>
  <c r="J1502" i="23"/>
  <c r="J1503" i="23"/>
  <c r="J1504" i="23"/>
  <c r="J1505" i="23"/>
  <c r="J1506" i="23"/>
  <c r="J1507" i="23"/>
  <c r="J1508" i="23"/>
  <c r="J1509" i="23"/>
  <c r="J1510" i="23"/>
  <c r="J1511" i="23"/>
  <c r="J1512" i="23"/>
  <c r="J1513" i="23"/>
  <c r="J1514" i="23"/>
  <c r="J1515" i="23"/>
  <c r="J1516" i="23"/>
  <c r="J1517" i="23"/>
  <c r="J1518" i="23"/>
  <c r="J1519" i="23"/>
  <c r="J1520" i="23"/>
  <c r="J1521" i="23"/>
  <c r="J1522" i="23"/>
  <c r="J1523" i="23"/>
  <c r="J1524" i="23"/>
  <c r="J1525" i="23"/>
  <c r="J1526" i="23"/>
  <c r="J1527" i="23"/>
  <c r="J1528" i="23"/>
  <c r="J1529" i="23"/>
  <c r="J1530" i="23"/>
  <c r="J1531" i="23"/>
  <c r="J1532" i="23"/>
  <c r="J1533" i="23"/>
  <c r="J1534" i="23"/>
  <c r="J1535" i="23"/>
  <c r="J1536" i="23"/>
  <c r="J1537" i="23"/>
  <c r="J1538" i="23"/>
  <c r="J1539" i="23"/>
  <c r="J1540" i="23"/>
  <c r="J1541" i="23"/>
  <c r="J1542" i="23"/>
  <c r="J1543" i="23"/>
  <c r="J1544" i="23"/>
  <c r="J1545" i="23"/>
  <c r="J1546" i="23"/>
  <c r="J1547" i="23"/>
  <c r="J1548" i="23"/>
  <c r="J1549" i="23"/>
  <c r="J1550" i="23"/>
  <c r="J1551" i="23"/>
  <c r="J1552" i="23"/>
  <c r="J1553" i="23"/>
  <c r="J1554" i="23"/>
  <c r="J1555" i="23"/>
  <c r="J1556" i="23"/>
  <c r="J1557" i="23"/>
  <c r="J1558" i="23"/>
  <c r="J1559" i="23"/>
  <c r="J1560" i="23"/>
  <c r="J1561" i="23"/>
  <c r="J1562" i="23"/>
  <c r="J1563" i="23"/>
  <c r="J1564" i="23"/>
  <c r="J1565" i="23"/>
  <c r="J1566" i="23"/>
  <c r="J1567" i="23"/>
  <c r="J1568" i="23"/>
  <c r="J1569" i="23"/>
  <c r="J1570" i="23"/>
  <c r="J1571" i="23"/>
  <c r="J1572" i="23"/>
  <c r="J1573" i="23"/>
  <c r="J1574" i="23"/>
  <c r="J1575" i="23"/>
  <c r="J1576" i="23"/>
  <c r="J1577" i="23"/>
  <c r="J1578" i="23"/>
  <c r="J1579" i="23"/>
  <c r="J1580" i="23"/>
  <c r="J1581" i="23"/>
  <c r="J1582" i="23"/>
  <c r="J1583" i="23"/>
  <c r="J1584" i="23"/>
  <c r="J1585" i="23"/>
  <c r="J1586" i="23"/>
  <c r="J1587" i="23"/>
  <c r="J1588" i="23"/>
  <c r="J1589" i="23"/>
  <c r="J1590" i="23"/>
  <c r="J1591" i="23"/>
  <c r="J1592" i="23"/>
  <c r="J1593" i="23"/>
  <c r="J1594" i="23"/>
  <c r="J1595" i="23"/>
  <c r="J1596" i="23"/>
  <c r="J1597" i="23"/>
  <c r="J1598" i="23"/>
  <c r="J1599" i="23"/>
  <c r="J1600" i="23"/>
  <c r="J1601" i="23"/>
  <c r="J1602" i="23"/>
  <c r="J1603" i="23"/>
  <c r="J1604" i="23"/>
  <c r="J1605" i="23"/>
  <c r="J1606" i="23"/>
  <c r="J1607" i="23"/>
  <c r="J1608" i="23"/>
  <c r="J1609" i="23"/>
  <c r="J1610" i="23"/>
  <c r="J1611" i="23"/>
  <c r="J1612" i="23"/>
  <c r="J1613" i="23"/>
  <c r="J1614" i="23"/>
  <c r="J1615" i="23"/>
  <c r="J1616" i="23"/>
  <c r="J1617" i="23"/>
  <c r="J1618" i="23"/>
  <c r="J1619" i="23"/>
  <c r="J1620" i="23"/>
  <c r="J1621" i="23"/>
  <c r="J1622" i="23"/>
  <c r="J1623" i="23"/>
  <c r="J1624" i="23"/>
  <c r="J1625" i="23"/>
  <c r="J1626" i="23"/>
  <c r="J1627" i="23"/>
  <c r="J1628" i="23"/>
  <c r="J1629" i="23"/>
  <c r="J1630" i="23"/>
  <c r="J1631" i="23"/>
  <c r="J1632" i="23"/>
  <c r="J1633" i="23"/>
  <c r="J1634" i="23"/>
  <c r="J1635" i="23"/>
  <c r="J1636" i="23"/>
  <c r="J1637" i="23"/>
  <c r="J1638" i="23"/>
  <c r="J1639" i="23"/>
  <c r="J1640" i="23"/>
  <c r="J1641" i="23"/>
  <c r="J1642" i="23"/>
  <c r="J1643" i="23"/>
  <c r="J1644" i="23"/>
  <c r="J1645" i="23"/>
  <c r="J1646" i="23"/>
  <c r="J1647" i="23"/>
  <c r="J1648" i="23"/>
  <c r="J1649" i="23"/>
  <c r="J1650" i="23"/>
  <c r="J1651" i="23"/>
  <c r="J1652" i="23"/>
  <c r="J1653" i="23"/>
  <c r="J1654" i="23"/>
  <c r="J1655" i="23"/>
  <c r="J1656" i="23"/>
  <c r="J1657" i="23"/>
  <c r="J1658" i="23"/>
  <c r="J1659" i="23"/>
  <c r="J1660" i="23"/>
  <c r="J1661" i="23"/>
  <c r="J1662" i="23"/>
  <c r="J1663" i="23"/>
  <c r="J1664" i="23"/>
  <c r="J1665" i="23"/>
  <c r="J1666" i="23"/>
  <c r="J1667" i="23"/>
  <c r="J1668" i="23"/>
  <c r="J1669" i="23"/>
  <c r="J1670" i="23"/>
  <c r="J1671" i="23"/>
  <c r="J1672" i="23"/>
  <c r="J1673" i="23"/>
  <c r="J1674" i="23"/>
  <c r="J1675" i="23"/>
  <c r="J1676" i="23"/>
  <c r="J1677" i="23"/>
  <c r="J1678" i="23"/>
  <c r="J1679" i="23"/>
  <c r="J1680" i="23"/>
  <c r="J1681" i="23"/>
  <c r="J1682" i="23"/>
  <c r="J1683" i="23"/>
  <c r="J1684" i="23"/>
  <c r="J1685" i="23"/>
  <c r="J1686" i="23"/>
  <c r="J1687" i="23"/>
  <c r="J1688" i="23"/>
  <c r="J1689" i="23"/>
  <c r="J1690" i="23"/>
  <c r="J1691" i="23"/>
  <c r="J1692" i="23"/>
  <c r="J1693" i="23"/>
  <c r="J1694" i="23"/>
  <c r="J1695" i="23"/>
  <c r="J1696" i="23"/>
  <c r="J1697" i="23"/>
  <c r="J1698" i="23"/>
  <c r="J1699" i="23"/>
  <c r="J1700" i="23"/>
  <c r="J1701" i="23"/>
  <c r="J1702" i="23"/>
  <c r="J1703" i="23"/>
  <c r="J1704" i="23"/>
  <c r="J1705" i="23"/>
  <c r="J1706" i="23"/>
  <c r="J1707" i="23"/>
  <c r="J1708" i="23"/>
  <c r="J1709" i="23"/>
  <c r="J1710" i="23"/>
  <c r="J1711" i="23"/>
  <c r="J1712" i="23"/>
  <c r="J1713" i="23"/>
  <c r="J1714" i="23"/>
  <c r="J1715" i="23"/>
  <c r="J1716" i="23"/>
  <c r="J1717" i="23"/>
  <c r="J1718" i="23"/>
  <c r="J1719" i="23"/>
  <c r="J1720" i="23"/>
  <c r="J1721" i="23"/>
  <c r="J1722" i="23"/>
  <c r="J1723" i="23"/>
  <c r="J1724" i="23"/>
  <c r="J1725" i="23"/>
  <c r="J1726" i="23"/>
  <c r="J1727" i="23"/>
  <c r="J1728" i="23"/>
  <c r="J1729" i="23"/>
  <c r="J1730" i="23"/>
  <c r="J1731" i="23"/>
  <c r="J1732" i="23"/>
  <c r="J1733" i="23"/>
  <c r="J1734" i="23"/>
  <c r="J1735" i="23"/>
  <c r="J1736" i="23"/>
  <c r="J1737" i="23"/>
  <c r="J1738" i="23"/>
  <c r="J1739" i="23"/>
  <c r="J1740" i="23"/>
  <c r="J1741" i="23"/>
  <c r="J1742" i="23"/>
  <c r="J1743" i="23"/>
  <c r="J1744" i="23"/>
  <c r="J1745" i="23"/>
  <c r="J1746" i="23"/>
  <c r="J1747" i="23"/>
  <c r="J1748" i="23"/>
  <c r="J1749" i="23"/>
  <c r="J1750" i="23"/>
  <c r="J1751" i="23"/>
  <c r="J1752" i="23"/>
  <c r="J1753" i="23"/>
  <c r="J1754" i="23"/>
  <c r="J1755" i="23"/>
  <c r="J1756" i="23"/>
  <c r="J1757" i="23"/>
  <c r="J1758" i="23"/>
  <c r="J1759" i="23"/>
  <c r="J1760" i="23"/>
  <c r="J1761" i="23"/>
  <c r="J1762" i="23"/>
  <c r="J1763" i="23"/>
  <c r="J1764" i="23"/>
  <c r="J1765" i="23"/>
  <c r="J1766" i="23"/>
  <c r="J1767" i="23"/>
  <c r="J1768" i="23"/>
  <c r="J1769" i="23"/>
  <c r="J1770" i="23"/>
  <c r="J1771" i="23"/>
  <c r="J1772" i="23"/>
  <c r="J1773" i="23"/>
  <c r="J1774" i="23"/>
  <c r="J1775" i="23"/>
  <c r="J1776" i="23"/>
  <c r="J1777" i="23"/>
  <c r="J1778" i="23"/>
  <c r="J1779" i="23"/>
  <c r="J1780" i="23"/>
  <c r="J1781" i="23"/>
  <c r="J1782" i="23"/>
  <c r="J1783" i="23"/>
  <c r="J1784" i="23"/>
  <c r="J1785" i="23"/>
  <c r="J1786" i="23"/>
  <c r="J1787" i="23"/>
  <c r="J1788" i="23"/>
  <c r="J1789" i="23"/>
  <c r="J1790" i="23"/>
  <c r="J1791" i="23"/>
  <c r="J1792" i="23"/>
  <c r="J1793" i="23"/>
  <c r="J1794" i="23"/>
  <c r="J1795" i="23"/>
  <c r="J1796" i="23"/>
  <c r="J1797" i="23"/>
  <c r="J1798" i="23"/>
  <c r="J1799" i="23"/>
  <c r="J1800" i="23"/>
  <c r="J1801" i="23"/>
  <c r="J1802" i="23"/>
  <c r="J1803" i="23"/>
  <c r="J1804" i="23"/>
  <c r="J1805" i="23"/>
  <c r="J1806" i="23"/>
  <c r="J1807" i="23"/>
  <c r="J1808" i="23"/>
  <c r="J1809" i="23"/>
  <c r="J1810" i="23"/>
  <c r="J1811" i="23"/>
  <c r="J1812" i="23"/>
  <c r="J1813" i="23"/>
  <c r="J1814" i="23"/>
  <c r="J1815" i="23"/>
  <c r="J1816" i="23"/>
  <c r="J1817" i="23"/>
  <c r="J1818" i="23"/>
  <c r="J1819" i="23"/>
  <c r="J1820" i="23"/>
  <c r="J1821" i="23"/>
  <c r="J1822" i="23"/>
  <c r="J1823" i="23"/>
  <c r="J1824" i="23"/>
  <c r="J1825" i="23"/>
  <c r="J1826" i="23"/>
  <c r="J1827" i="23"/>
  <c r="J1828" i="23"/>
  <c r="J1829" i="23"/>
  <c r="J1830" i="23"/>
  <c r="J1831" i="23"/>
  <c r="J1832" i="23"/>
  <c r="J1833" i="23"/>
  <c r="J1834" i="23"/>
  <c r="J1835" i="23"/>
  <c r="J1836" i="23"/>
  <c r="J1837" i="23"/>
  <c r="J1838" i="23"/>
  <c r="J1839" i="23"/>
  <c r="J1840" i="23"/>
  <c r="J1841" i="23"/>
  <c r="J1842" i="23"/>
  <c r="J1843" i="23"/>
  <c r="J1844" i="23"/>
  <c r="J1845" i="23"/>
  <c r="J1846" i="23"/>
  <c r="J1847" i="23"/>
  <c r="J1848" i="23"/>
  <c r="J1849" i="23"/>
  <c r="J1850" i="23"/>
  <c r="J1851" i="23"/>
  <c r="J1852" i="23"/>
  <c r="J1853" i="23"/>
  <c r="J1854" i="23"/>
  <c r="J1855" i="23"/>
  <c r="J1856" i="23"/>
  <c r="J1857" i="23"/>
  <c r="J1858" i="23"/>
  <c r="J1859" i="23"/>
  <c r="J1860" i="23"/>
  <c r="J1861" i="23"/>
  <c r="J1862" i="23"/>
  <c r="J1863" i="23"/>
  <c r="J1864" i="23"/>
  <c r="J1865" i="23"/>
  <c r="J1866" i="23"/>
  <c r="J1867" i="23"/>
  <c r="J1868" i="23"/>
  <c r="J1869" i="23"/>
  <c r="J1870" i="23"/>
  <c r="J1871" i="23"/>
  <c r="J1872" i="23"/>
  <c r="J1873" i="23"/>
  <c r="J1874" i="23"/>
  <c r="J1875" i="23"/>
  <c r="J1876" i="23"/>
  <c r="J1877" i="23"/>
  <c r="J1878" i="23"/>
  <c r="J1879" i="23"/>
  <c r="J1880" i="23"/>
  <c r="J1881" i="23"/>
  <c r="J1882" i="23"/>
  <c r="J1883" i="23"/>
  <c r="J1884" i="23"/>
  <c r="J1885" i="23"/>
  <c r="J1886" i="23"/>
  <c r="J1887" i="23"/>
  <c r="J1888" i="23"/>
  <c r="J1889" i="23"/>
  <c r="J1890" i="23"/>
  <c r="J1891" i="23"/>
  <c r="J1892" i="23"/>
  <c r="J1893" i="23"/>
  <c r="J1894" i="23"/>
  <c r="J1895" i="23"/>
  <c r="J1896" i="23"/>
  <c r="J1897" i="23"/>
  <c r="J1898" i="23"/>
  <c r="J1899" i="23"/>
  <c r="J1900" i="23"/>
  <c r="J1901" i="23"/>
  <c r="J1902" i="23"/>
  <c r="J1903" i="23"/>
  <c r="J1904" i="23"/>
  <c r="J1905" i="23"/>
  <c r="J1906" i="23"/>
  <c r="J1907" i="23"/>
  <c r="J1908" i="23"/>
  <c r="J1909" i="23"/>
  <c r="J1910" i="23"/>
  <c r="J1911" i="23"/>
  <c r="J1912" i="23"/>
  <c r="J1913" i="23"/>
  <c r="J1914" i="23"/>
  <c r="J1915" i="23"/>
  <c r="J1916" i="23"/>
  <c r="J1917" i="23"/>
  <c r="J1918" i="23"/>
  <c r="J1919" i="23"/>
  <c r="J1920" i="23"/>
  <c r="J1921" i="23"/>
  <c r="J1922" i="23"/>
  <c r="J1923" i="23"/>
  <c r="J1924" i="23"/>
  <c r="J1925" i="23"/>
  <c r="J1926" i="23"/>
  <c r="J1927" i="23"/>
  <c r="J1928" i="23"/>
  <c r="J1929" i="23"/>
  <c r="J1930" i="23"/>
  <c r="J1931" i="23"/>
  <c r="J1932" i="23"/>
  <c r="J1933" i="23"/>
  <c r="J1934" i="23"/>
  <c r="J1935" i="23"/>
  <c r="J1936" i="23"/>
  <c r="J1937" i="23"/>
  <c r="J1938" i="23"/>
  <c r="J1939" i="23"/>
  <c r="J1940" i="23"/>
  <c r="J1941" i="23"/>
  <c r="J1942" i="23"/>
  <c r="J1943" i="23"/>
  <c r="J1944" i="23"/>
  <c r="J1945" i="23"/>
  <c r="J1946" i="23"/>
  <c r="J1947" i="23"/>
  <c r="J1948" i="23"/>
  <c r="J1949" i="23"/>
  <c r="J1950" i="23"/>
  <c r="J1951" i="23"/>
  <c r="J1952" i="23"/>
  <c r="J1953" i="23"/>
  <c r="J1954" i="23"/>
  <c r="J1955" i="23"/>
  <c r="J1956" i="23"/>
  <c r="J1957" i="23"/>
  <c r="J1958" i="23"/>
  <c r="J1959" i="23"/>
  <c r="J1960" i="23"/>
  <c r="J1961" i="23"/>
  <c r="J1962" i="23"/>
  <c r="J1963" i="23"/>
  <c r="J1964" i="23"/>
  <c r="J1965" i="23"/>
  <c r="J1966" i="23"/>
  <c r="J1967" i="23"/>
  <c r="J1968" i="23"/>
  <c r="J1969" i="23"/>
  <c r="J1970" i="23"/>
  <c r="J1971" i="23"/>
  <c r="J1972" i="23"/>
  <c r="J1973" i="23"/>
  <c r="J1974" i="23"/>
  <c r="J1975" i="23"/>
  <c r="J1976" i="23"/>
  <c r="J1977" i="23"/>
  <c r="J1978" i="23"/>
  <c r="J1979" i="23"/>
  <c r="J1980" i="23"/>
  <c r="J1981" i="23"/>
  <c r="J1982" i="23"/>
  <c r="J1983" i="23"/>
  <c r="J1984" i="23"/>
  <c r="J1985" i="23"/>
  <c r="J1986" i="23"/>
  <c r="J1987" i="23"/>
  <c r="J1988" i="23"/>
  <c r="J1989" i="23"/>
  <c r="J1990" i="23"/>
  <c r="J1991" i="23"/>
  <c r="J1992" i="23"/>
  <c r="J1993" i="23"/>
  <c r="J1994" i="23"/>
  <c r="J1995" i="23"/>
  <c r="J1996" i="23"/>
  <c r="J1997" i="23"/>
  <c r="J1998" i="23"/>
  <c r="J1999" i="23"/>
  <c r="J2000" i="23"/>
  <c r="J2001" i="23"/>
  <c r="J2002" i="23"/>
  <c r="J2003" i="23"/>
  <c r="J2004" i="23"/>
  <c r="J2005" i="23"/>
  <c r="J2006" i="23"/>
  <c r="J2007" i="23"/>
  <c r="J2008" i="23"/>
  <c r="J2009" i="23"/>
  <c r="J2010" i="23"/>
  <c r="J2011" i="23"/>
  <c r="J2012" i="23"/>
  <c r="J2013" i="23"/>
  <c r="J2014" i="23"/>
  <c r="J2015" i="23"/>
  <c r="J2016" i="23"/>
  <c r="J2017" i="23"/>
  <c r="J2018" i="23"/>
  <c r="J2019" i="23"/>
  <c r="J2020" i="23"/>
  <c r="J2021" i="23"/>
  <c r="J2022" i="23"/>
  <c r="J2023" i="23"/>
  <c r="J2024" i="23"/>
  <c r="J2025" i="23"/>
  <c r="J2026" i="23"/>
  <c r="J2027" i="23"/>
  <c r="J2028" i="23"/>
  <c r="J2029" i="23"/>
  <c r="J2030" i="23"/>
  <c r="J2031" i="23"/>
  <c r="J2032" i="23"/>
  <c r="J2033" i="23"/>
  <c r="J2034" i="23"/>
  <c r="J2035" i="23"/>
  <c r="J2036" i="23"/>
  <c r="J2037" i="23"/>
  <c r="J2038" i="23"/>
  <c r="J2039" i="23"/>
  <c r="J2040" i="23"/>
  <c r="J2041" i="23"/>
  <c r="J2042" i="23"/>
  <c r="J2043" i="23"/>
  <c r="J2044" i="23"/>
  <c r="J2045" i="23"/>
  <c r="J2046" i="23"/>
  <c r="J2047" i="23"/>
  <c r="J2048" i="23"/>
  <c r="J2049" i="23"/>
  <c r="J2050" i="23"/>
  <c r="J2051" i="23"/>
  <c r="J2052" i="23"/>
  <c r="J2053" i="23"/>
  <c r="J2054" i="23"/>
  <c r="J2055" i="23"/>
  <c r="J2056" i="23"/>
  <c r="J2057" i="23"/>
  <c r="J2058" i="23"/>
  <c r="J2059" i="23"/>
  <c r="J2060" i="23"/>
  <c r="J2061" i="23"/>
  <c r="J2062" i="23"/>
  <c r="J2063" i="23"/>
  <c r="J2064" i="23"/>
  <c r="J2065" i="23"/>
  <c r="J2066" i="23"/>
  <c r="J2067" i="23"/>
  <c r="J2068" i="23"/>
  <c r="J2069" i="23"/>
  <c r="J2070" i="23"/>
  <c r="J2071" i="23"/>
  <c r="J2072" i="23"/>
  <c r="J2073" i="23"/>
  <c r="J2074" i="23"/>
  <c r="J2075" i="23"/>
  <c r="J2076" i="23"/>
  <c r="J2077" i="23"/>
  <c r="J2078" i="23"/>
  <c r="J2079" i="23"/>
  <c r="J2080" i="23"/>
  <c r="J2081" i="23"/>
  <c r="J2082" i="23"/>
  <c r="J2083" i="23"/>
  <c r="J2084" i="23"/>
  <c r="J2085" i="23"/>
  <c r="J2086" i="23"/>
  <c r="J2087" i="23"/>
  <c r="J2088" i="23"/>
  <c r="J2089" i="23"/>
  <c r="J2090" i="23"/>
  <c r="J2091" i="23"/>
  <c r="J2092" i="23"/>
  <c r="J2093" i="23"/>
  <c r="J2094" i="23"/>
  <c r="J2095" i="23"/>
  <c r="J2096" i="23"/>
  <c r="J2097" i="23"/>
  <c r="J2098" i="23"/>
  <c r="J2099" i="23"/>
  <c r="J2100" i="23"/>
  <c r="J2101" i="23"/>
  <c r="J2102" i="23"/>
  <c r="J2103" i="23"/>
  <c r="J2104" i="23"/>
  <c r="J2105" i="23"/>
  <c r="J2106" i="23"/>
  <c r="J2107" i="23"/>
  <c r="J2108" i="23"/>
  <c r="J2109" i="23"/>
  <c r="J2110" i="23"/>
  <c r="J2111" i="23"/>
  <c r="J2112" i="23"/>
  <c r="J2113" i="23"/>
  <c r="J2114" i="23"/>
  <c r="J2115" i="23"/>
  <c r="J2116" i="23"/>
  <c r="J2117" i="23"/>
  <c r="J2118" i="23"/>
  <c r="J2119" i="23"/>
  <c r="J2120" i="23"/>
  <c r="J2121" i="23"/>
  <c r="J2122" i="23"/>
  <c r="J2123" i="23"/>
  <c r="J2124" i="23"/>
  <c r="J2125" i="23"/>
  <c r="J2126" i="23"/>
  <c r="J2127" i="23"/>
  <c r="J2128" i="23"/>
  <c r="J2129" i="23"/>
  <c r="J2130" i="23"/>
  <c r="J2131" i="23"/>
  <c r="J2132" i="23"/>
  <c r="J2133" i="23"/>
  <c r="J2134" i="23"/>
  <c r="J2135" i="23"/>
  <c r="J2136" i="23"/>
  <c r="J2137" i="23"/>
  <c r="J2138" i="23"/>
  <c r="J2139" i="23"/>
  <c r="J2140" i="23"/>
  <c r="J2141" i="23"/>
  <c r="J2142" i="23"/>
  <c r="J2143" i="23"/>
  <c r="J2144" i="23"/>
  <c r="J2145" i="23"/>
  <c r="J2146" i="23"/>
  <c r="J2147" i="23"/>
  <c r="J2148" i="23"/>
  <c r="J2149" i="23"/>
  <c r="J2150" i="23"/>
  <c r="J2151" i="23"/>
  <c r="J2152" i="23"/>
  <c r="J2153" i="23"/>
  <c r="J2154" i="23"/>
  <c r="J2155" i="23"/>
  <c r="J2156" i="23"/>
  <c r="J2157" i="23"/>
  <c r="J2158" i="23"/>
  <c r="J2159" i="23"/>
  <c r="J2160" i="23"/>
  <c r="J2161" i="23"/>
  <c r="J2162" i="23"/>
  <c r="J2163" i="23"/>
  <c r="J2164" i="23"/>
  <c r="J2165" i="23"/>
  <c r="J2166" i="23"/>
  <c r="J2167" i="23"/>
  <c r="J2168" i="23"/>
  <c r="J2169" i="23"/>
  <c r="J2170" i="23"/>
  <c r="J2171" i="23"/>
  <c r="J2172" i="23"/>
  <c r="J2173" i="23"/>
  <c r="J2174" i="23"/>
  <c r="J2175" i="23"/>
  <c r="J2176" i="23"/>
  <c r="J2177" i="23"/>
  <c r="J2178" i="23"/>
  <c r="J2179" i="23"/>
  <c r="J2180" i="23"/>
  <c r="J2181" i="23"/>
  <c r="J2182" i="23"/>
  <c r="J2183" i="23"/>
  <c r="J2184" i="23"/>
  <c r="J2185" i="23"/>
  <c r="J2186" i="23"/>
  <c r="J2187" i="23"/>
  <c r="J2188" i="23"/>
  <c r="J2189" i="23"/>
  <c r="J2190" i="23"/>
  <c r="J2191" i="23"/>
  <c r="J2192" i="23"/>
  <c r="J2193" i="23"/>
  <c r="J2194" i="23"/>
  <c r="J2195" i="23"/>
  <c r="J2196" i="23"/>
  <c r="J2197" i="23"/>
  <c r="J2198" i="23"/>
  <c r="J2199" i="23"/>
  <c r="J2200" i="23"/>
  <c r="J2201" i="23"/>
  <c r="J2202" i="23"/>
  <c r="J2203" i="23"/>
  <c r="J2204" i="23"/>
  <c r="J2205" i="23"/>
  <c r="J2206" i="23"/>
  <c r="J2207" i="23"/>
  <c r="J2208" i="23"/>
  <c r="J2209" i="23"/>
  <c r="J2210" i="23"/>
  <c r="J2211" i="23"/>
  <c r="J2212" i="23"/>
  <c r="J2213" i="23"/>
  <c r="J2214" i="23"/>
  <c r="J2215" i="23"/>
  <c r="J2216" i="23"/>
  <c r="J2217" i="23"/>
  <c r="J2218" i="23"/>
  <c r="J2219" i="23"/>
  <c r="J2220" i="23"/>
  <c r="J2221" i="23"/>
  <c r="J2222" i="23"/>
  <c r="J2223" i="23"/>
  <c r="J2224" i="23"/>
  <c r="J2225" i="23"/>
  <c r="J2226" i="23"/>
  <c r="J2227" i="23"/>
  <c r="J2228" i="23"/>
  <c r="J2229" i="23"/>
  <c r="J2230" i="23"/>
  <c r="J2231" i="23"/>
  <c r="J2232" i="23"/>
  <c r="J2233" i="23"/>
  <c r="J2234" i="23"/>
  <c r="J2235" i="23"/>
  <c r="J2236" i="23"/>
  <c r="J2237" i="23"/>
  <c r="J2238" i="23"/>
  <c r="J2239" i="23"/>
  <c r="J2240" i="23"/>
  <c r="J2241" i="23"/>
  <c r="J2242" i="23"/>
  <c r="J2243" i="23"/>
  <c r="J2244" i="23"/>
  <c r="J2245" i="23"/>
  <c r="J2246" i="23"/>
  <c r="J2247" i="23"/>
  <c r="J2248" i="23"/>
  <c r="J2249" i="23"/>
  <c r="J2250" i="23"/>
  <c r="J2251" i="23"/>
  <c r="J2252" i="23"/>
  <c r="J2253" i="23"/>
  <c r="J2254" i="23"/>
  <c r="J2255" i="23"/>
  <c r="J2256" i="23"/>
  <c r="J2257" i="23"/>
  <c r="J2258" i="23"/>
  <c r="J2259" i="23"/>
  <c r="J2260" i="23"/>
  <c r="J2261" i="23"/>
  <c r="J2262" i="23"/>
  <c r="J2263" i="23"/>
  <c r="J2264" i="23"/>
  <c r="J2265" i="23"/>
  <c r="J2266" i="23"/>
  <c r="J2267" i="23"/>
  <c r="J2268" i="23"/>
  <c r="J2269" i="23"/>
  <c r="J2270" i="23"/>
  <c r="J2271" i="23"/>
  <c r="J2272" i="23"/>
  <c r="J2273" i="23"/>
  <c r="J2274" i="23"/>
  <c r="J2275" i="23"/>
  <c r="J2276" i="23"/>
  <c r="J2277" i="23"/>
  <c r="J2278" i="23"/>
  <c r="J2279" i="23"/>
  <c r="J2280" i="23"/>
  <c r="J2281" i="23"/>
  <c r="J2282" i="23"/>
  <c r="J2283" i="23"/>
  <c r="J2284" i="23"/>
  <c r="J2285" i="23"/>
  <c r="J2286" i="23"/>
  <c r="J2287" i="23"/>
  <c r="J2288" i="23"/>
  <c r="J2289" i="23"/>
  <c r="J2290" i="23"/>
  <c r="J2291" i="23"/>
  <c r="J2292" i="23"/>
  <c r="J2293" i="23"/>
  <c r="J2294" i="23"/>
  <c r="J2295" i="23"/>
  <c r="J2296" i="23"/>
  <c r="J2297" i="23"/>
  <c r="J2298" i="23"/>
  <c r="J2299" i="23"/>
  <c r="J2300" i="23"/>
  <c r="J2301" i="23"/>
  <c r="J2302" i="23"/>
  <c r="J2303" i="23"/>
  <c r="J2304" i="23"/>
  <c r="J2305" i="23"/>
  <c r="J2306" i="23"/>
  <c r="J2307" i="23"/>
  <c r="J2308" i="23"/>
  <c r="J2309" i="23"/>
  <c r="J2310" i="23"/>
  <c r="J2311" i="23"/>
  <c r="J2312" i="23"/>
  <c r="J2313" i="23"/>
  <c r="J2314" i="23"/>
  <c r="J2315" i="23"/>
  <c r="J2316" i="23"/>
  <c r="J2317" i="23"/>
  <c r="J2318" i="23"/>
  <c r="J2319" i="23"/>
  <c r="J2320" i="23"/>
  <c r="J2321" i="23"/>
  <c r="J2322" i="23"/>
  <c r="J2323" i="23"/>
  <c r="J2324" i="23"/>
  <c r="J2325" i="23"/>
  <c r="J2326" i="23"/>
  <c r="J2327" i="23"/>
  <c r="J2328" i="23"/>
  <c r="J2329" i="23"/>
  <c r="J2330" i="23"/>
  <c r="J2331" i="23"/>
  <c r="J2332" i="23"/>
  <c r="J2333" i="23"/>
  <c r="J2334" i="23"/>
  <c r="J2335" i="23"/>
  <c r="J2336" i="23"/>
  <c r="J2337" i="23"/>
  <c r="J2338" i="23"/>
  <c r="J2339" i="23"/>
  <c r="J2340" i="23"/>
  <c r="J2341" i="23"/>
  <c r="J2342" i="23"/>
  <c r="J2343" i="23"/>
  <c r="J2344" i="23"/>
  <c r="J2345" i="23"/>
  <c r="J2346" i="23"/>
  <c r="J2347" i="23"/>
  <c r="J2348" i="23"/>
  <c r="J2349" i="23"/>
  <c r="J2350" i="23"/>
  <c r="J2351" i="23"/>
  <c r="J2352" i="23"/>
  <c r="J2353" i="23"/>
  <c r="J2354" i="23"/>
  <c r="J2355" i="23"/>
  <c r="J2356" i="23"/>
  <c r="J2357" i="23"/>
  <c r="J2358" i="23"/>
  <c r="J2359" i="23"/>
  <c r="J2360" i="23"/>
  <c r="J2361" i="23"/>
  <c r="J2362" i="23"/>
  <c r="J2363" i="23"/>
  <c r="J2364" i="23"/>
  <c r="J2365" i="23"/>
  <c r="J2366" i="23"/>
  <c r="J2367" i="23"/>
  <c r="J2368" i="23"/>
  <c r="J2369" i="23"/>
  <c r="J2370" i="23"/>
  <c r="J2371" i="23"/>
  <c r="J2372" i="23"/>
  <c r="J2373" i="23"/>
  <c r="J2374" i="23"/>
  <c r="J2375" i="23"/>
  <c r="J2376" i="23"/>
  <c r="J2377" i="23"/>
  <c r="J2378" i="23"/>
  <c r="J2379" i="23"/>
  <c r="J2380" i="23"/>
  <c r="J2381" i="23"/>
  <c r="J2382" i="23"/>
  <c r="J2383" i="23"/>
  <c r="J2384" i="23"/>
  <c r="J2385" i="23"/>
  <c r="J2386" i="23"/>
  <c r="J2387" i="23"/>
  <c r="J2388" i="23"/>
  <c r="J2389" i="23"/>
  <c r="J2390" i="23"/>
  <c r="J2391" i="23"/>
  <c r="J2392" i="23"/>
  <c r="J2393" i="23"/>
  <c r="J2394" i="23"/>
  <c r="J2395" i="23"/>
  <c r="J2396" i="23"/>
  <c r="J2397" i="23"/>
  <c r="J2398" i="23"/>
  <c r="J2399" i="23"/>
  <c r="J2400" i="23"/>
  <c r="J2401" i="23"/>
  <c r="J2402" i="23"/>
  <c r="J2403" i="23"/>
  <c r="J2404" i="23"/>
  <c r="J2405" i="23"/>
  <c r="J2406" i="23"/>
  <c r="J2407" i="23"/>
  <c r="J2408" i="23"/>
  <c r="J2409" i="23"/>
  <c r="J2410" i="23"/>
  <c r="J2411" i="23"/>
  <c r="J2412" i="23"/>
  <c r="J2413" i="23"/>
  <c r="J2414" i="23"/>
  <c r="J2415" i="23"/>
  <c r="J2416" i="23"/>
  <c r="J2417" i="23"/>
  <c r="J2418" i="23"/>
  <c r="J2419" i="23"/>
  <c r="J2420" i="23"/>
  <c r="J2421" i="23"/>
  <c r="J2422" i="23"/>
  <c r="J2423" i="23"/>
  <c r="J2424" i="23"/>
  <c r="J2425" i="23"/>
  <c r="J2426" i="23"/>
  <c r="J2427" i="23"/>
  <c r="J2428" i="23"/>
  <c r="J2429" i="23"/>
  <c r="J2430" i="23"/>
  <c r="J2431" i="23"/>
  <c r="J2432" i="23"/>
  <c r="J2433" i="23"/>
  <c r="J2434" i="23"/>
  <c r="J2435" i="23"/>
  <c r="J2436" i="23"/>
  <c r="J2437" i="23"/>
  <c r="J2438" i="23"/>
  <c r="J2439" i="23"/>
  <c r="J2440" i="23"/>
  <c r="J2441" i="23"/>
  <c r="J2442" i="23"/>
  <c r="J2443" i="23"/>
  <c r="J2444" i="23"/>
  <c r="J2445" i="23"/>
  <c r="J2446" i="23"/>
  <c r="J2447" i="23"/>
  <c r="J2448" i="23"/>
  <c r="J2449" i="23"/>
  <c r="J2450" i="23"/>
  <c r="J2451" i="23"/>
  <c r="J2452" i="23"/>
  <c r="J2453" i="23"/>
  <c r="J2454" i="23"/>
  <c r="J2455" i="23"/>
  <c r="J2456" i="23"/>
  <c r="J2457" i="23"/>
  <c r="J2458" i="23"/>
  <c r="J2459" i="23"/>
  <c r="J2460" i="23"/>
  <c r="J2461" i="23"/>
  <c r="J2462" i="23"/>
  <c r="J2463" i="23"/>
  <c r="J2464" i="23"/>
  <c r="J2465" i="23"/>
  <c r="J2466" i="23"/>
  <c r="J2467" i="23"/>
  <c r="J2468" i="23"/>
  <c r="J2469" i="23"/>
  <c r="J2470" i="23"/>
  <c r="J2471" i="23"/>
  <c r="J2472" i="23"/>
  <c r="J2473" i="23"/>
  <c r="J2474" i="23"/>
  <c r="J2475" i="23"/>
  <c r="J2476" i="23"/>
  <c r="J2477" i="23"/>
  <c r="J2478" i="23"/>
  <c r="J2479" i="23"/>
  <c r="J2480" i="23"/>
  <c r="J2481" i="23"/>
  <c r="J2482" i="23"/>
  <c r="J2483" i="23"/>
  <c r="J2484" i="23"/>
  <c r="J2485" i="23"/>
  <c r="J2486" i="23"/>
  <c r="J2487" i="23"/>
  <c r="J2488" i="23"/>
  <c r="J2489" i="23"/>
  <c r="J2490" i="23"/>
  <c r="J2491" i="23"/>
  <c r="J2492" i="23"/>
  <c r="J2493" i="23"/>
  <c r="J2494" i="23"/>
  <c r="J2495" i="23"/>
  <c r="J2496" i="23"/>
  <c r="J2497" i="23"/>
  <c r="J2498" i="23"/>
  <c r="J2499" i="23"/>
  <c r="J2500" i="23"/>
  <c r="J2501" i="23"/>
  <c r="J2502" i="23"/>
  <c r="J2503" i="23"/>
  <c r="J2504" i="23"/>
  <c r="J2505" i="23"/>
  <c r="J2506" i="23"/>
  <c r="J2507" i="23"/>
  <c r="J2508" i="23"/>
  <c r="J2509" i="23"/>
  <c r="J2510" i="23"/>
  <c r="J2511" i="23"/>
  <c r="J2512" i="23"/>
  <c r="J2513" i="23"/>
  <c r="J2514" i="23"/>
  <c r="J2515" i="23"/>
  <c r="J2516" i="23"/>
  <c r="J2517" i="23"/>
  <c r="J2518" i="23"/>
  <c r="J2519" i="23"/>
  <c r="J2520" i="23"/>
  <c r="J2521" i="23"/>
  <c r="J2522" i="23"/>
  <c r="J2523" i="23"/>
  <c r="J2524" i="23"/>
  <c r="J2525" i="23"/>
  <c r="J2526" i="23"/>
  <c r="J2527" i="23"/>
  <c r="J2528" i="23"/>
  <c r="J2529" i="23"/>
  <c r="J2530" i="23"/>
  <c r="J2531" i="23"/>
  <c r="J2532" i="23"/>
  <c r="J2533" i="23"/>
  <c r="J2534" i="23"/>
  <c r="J2535" i="23"/>
  <c r="J2536" i="23"/>
  <c r="J2537" i="23"/>
  <c r="J2538" i="23"/>
  <c r="J2539" i="23"/>
  <c r="J2540" i="23"/>
  <c r="J2541" i="23"/>
  <c r="J2542" i="23"/>
  <c r="J2543" i="23"/>
  <c r="J2544" i="23"/>
  <c r="J2545" i="23"/>
  <c r="J2546" i="23"/>
  <c r="J2547" i="23"/>
  <c r="J2548" i="23"/>
  <c r="J2549" i="23"/>
  <c r="J2550" i="23"/>
  <c r="J2551" i="23"/>
  <c r="J2552" i="23"/>
  <c r="J2553" i="23"/>
  <c r="J2554" i="23"/>
  <c r="J2555" i="23"/>
  <c r="J2556" i="23"/>
  <c r="J2557" i="23"/>
  <c r="J2558" i="23"/>
  <c r="J2559" i="23"/>
  <c r="J2560" i="23"/>
  <c r="J2561" i="23"/>
  <c r="J2562" i="23"/>
  <c r="J2563" i="23"/>
  <c r="J2564" i="23"/>
  <c r="J2565" i="23"/>
  <c r="J2566" i="23"/>
  <c r="J2567" i="23"/>
  <c r="J2568" i="23"/>
  <c r="J2569" i="23"/>
  <c r="J2570" i="23"/>
  <c r="J2571" i="23"/>
  <c r="J2572" i="23"/>
  <c r="J2573" i="23"/>
  <c r="J2574" i="23"/>
  <c r="J2575" i="23"/>
  <c r="J2576" i="23"/>
  <c r="J2577" i="23"/>
  <c r="J2578" i="23"/>
  <c r="J2579" i="23"/>
  <c r="J2580" i="23"/>
  <c r="J2581" i="23"/>
  <c r="J2582" i="23"/>
  <c r="J2583" i="23"/>
  <c r="J2584" i="23"/>
  <c r="J2585" i="23"/>
  <c r="J2586" i="23"/>
  <c r="J2587" i="23"/>
  <c r="J2588" i="23"/>
  <c r="J2589" i="23"/>
  <c r="J2590" i="23"/>
  <c r="J2591" i="23"/>
  <c r="J2592" i="23"/>
  <c r="J2593" i="23"/>
  <c r="J2594" i="23"/>
  <c r="J2595" i="23"/>
  <c r="J2596" i="23"/>
  <c r="J2597" i="23"/>
  <c r="J2598" i="23"/>
  <c r="J2599" i="23"/>
  <c r="J2600" i="23"/>
  <c r="J2601" i="23"/>
  <c r="J2602" i="23"/>
  <c r="J2603" i="23"/>
  <c r="J2604" i="23"/>
  <c r="J2605" i="23"/>
  <c r="J2606" i="23"/>
  <c r="J2607" i="23"/>
  <c r="J2608" i="23"/>
  <c r="J2609" i="23"/>
  <c r="J2610" i="23"/>
  <c r="J2611" i="23"/>
  <c r="J2612" i="23"/>
  <c r="J2613" i="23"/>
  <c r="J2614" i="23"/>
  <c r="J2615" i="23"/>
  <c r="J2616" i="23"/>
  <c r="J2617" i="23"/>
  <c r="J2618" i="23"/>
  <c r="J2619" i="23"/>
  <c r="J2620" i="23"/>
  <c r="J2621" i="23"/>
  <c r="J2622" i="23"/>
  <c r="J2623" i="23"/>
  <c r="J2624" i="23"/>
  <c r="J2625" i="23"/>
  <c r="J2626" i="23"/>
  <c r="J2627" i="23"/>
  <c r="J2628" i="23"/>
  <c r="J2629" i="23"/>
  <c r="J2630" i="23"/>
  <c r="J2631" i="23"/>
  <c r="J2632" i="23"/>
  <c r="J2633" i="23"/>
  <c r="J2634" i="23"/>
  <c r="J2635" i="23"/>
  <c r="J2636" i="23"/>
  <c r="J2637" i="23"/>
  <c r="J2638" i="23"/>
  <c r="J2639" i="23"/>
  <c r="J2640" i="23"/>
  <c r="J2641" i="23"/>
  <c r="J2642" i="23"/>
  <c r="J2643" i="23"/>
  <c r="J2644" i="23"/>
  <c r="J2645" i="23"/>
  <c r="J2646" i="23"/>
  <c r="J2647" i="23"/>
  <c r="J2648" i="23"/>
  <c r="J2649" i="23"/>
  <c r="J2650" i="23"/>
  <c r="J2651" i="23"/>
  <c r="J2652" i="23"/>
  <c r="J2653" i="23"/>
  <c r="J2654" i="23"/>
  <c r="J2655" i="23"/>
  <c r="J2656" i="23"/>
  <c r="J2657" i="23"/>
  <c r="J2658" i="23"/>
  <c r="J2659" i="23"/>
  <c r="J2660" i="23"/>
  <c r="J2661" i="23"/>
  <c r="J2662" i="23"/>
  <c r="J2663" i="23"/>
  <c r="J2664" i="23"/>
  <c r="J2665" i="23"/>
  <c r="J2666" i="23"/>
  <c r="J2667" i="23"/>
  <c r="J2668" i="23"/>
  <c r="J2669" i="23"/>
  <c r="J2670" i="23"/>
  <c r="J2671" i="23"/>
  <c r="J2672" i="23"/>
  <c r="J2673" i="23"/>
  <c r="J2674" i="23"/>
  <c r="J2675" i="23"/>
  <c r="J2676" i="23"/>
  <c r="J2677" i="23"/>
  <c r="J2678" i="23"/>
  <c r="J2679" i="23"/>
  <c r="J2680" i="23"/>
  <c r="J2681" i="23"/>
  <c r="J2682" i="23"/>
  <c r="J2683" i="23"/>
  <c r="J2684" i="23"/>
  <c r="J2685" i="23"/>
  <c r="J2686" i="23"/>
  <c r="J2687" i="23"/>
  <c r="J2688" i="23"/>
  <c r="J2689" i="23"/>
  <c r="J2690" i="23"/>
  <c r="J2691" i="23"/>
  <c r="J2692" i="23"/>
  <c r="J2693" i="23"/>
  <c r="J2694" i="23"/>
  <c r="J2695" i="23"/>
  <c r="J2696" i="23"/>
  <c r="J2697" i="23"/>
  <c r="J2698" i="23"/>
  <c r="J2699" i="23"/>
  <c r="J2700" i="23"/>
  <c r="J2701" i="23"/>
  <c r="J2702" i="23"/>
  <c r="J2703" i="23"/>
  <c r="J2704" i="23"/>
  <c r="J2705" i="23"/>
  <c r="J2706" i="23"/>
  <c r="J2707" i="23"/>
  <c r="J2708" i="23"/>
  <c r="J2709" i="23"/>
  <c r="J2710" i="23"/>
  <c r="J2711" i="23"/>
  <c r="J2712" i="23"/>
  <c r="J2713" i="23"/>
  <c r="J2714" i="23"/>
  <c r="J2715" i="23"/>
  <c r="J2716" i="23"/>
  <c r="J2717" i="23"/>
  <c r="J2718" i="23"/>
  <c r="J2719" i="23"/>
  <c r="J2720" i="23"/>
  <c r="J2721" i="23"/>
  <c r="J2722" i="23"/>
  <c r="J2723" i="23"/>
  <c r="J2724" i="23"/>
  <c r="J2725" i="23"/>
  <c r="J2726" i="23"/>
  <c r="J2727" i="23"/>
  <c r="J2728" i="23"/>
  <c r="J2729" i="23"/>
  <c r="J2730" i="23"/>
  <c r="J2731" i="23"/>
  <c r="J2732" i="23"/>
  <c r="J2733" i="23"/>
  <c r="J2734" i="23"/>
  <c r="J2735" i="23"/>
  <c r="J2736" i="23"/>
  <c r="J2737" i="23"/>
  <c r="J2738" i="23"/>
  <c r="J2739" i="23"/>
  <c r="J2740" i="23"/>
  <c r="J2741" i="23"/>
  <c r="J2742" i="23"/>
  <c r="J2743" i="23"/>
  <c r="J2744" i="23"/>
  <c r="J2745" i="23"/>
  <c r="J2746" i="23"/>
  <c r="J2747" i="23"/>
  <c r="J2748" i="23"/>
  <c r="J2749" i="23"/>
  <c r="J2750" i="23"/>
  <c r="J2751" i="23"/>
  <c r="J2752" i="23"/>
  <c r="J2753" i="23"/>
  <c r="J2754" i="23"/>
  <c r="J2755" i="23"/>
  <c r="J2756" i="23"/>
  <c r="J2757" i="23"/>
  <c r="J2758" i="23"/>
  <c r="J2759" i="23"/>
  <c r="J2760" i="23"/>
  <c r="J2761" i="23"/>
  <c r="J2762" i="23"/>
  <c r="J2763" i="23"/>
  <c r="J2764" i="23"/>
  <c r="J2765" i="23"/>
  <c r="J2766" i="23"/>
  <c r="J2767" i="23"/>
  <c r="J2768" i="23"/>
  <c r="J2769" i="23"/>
  <c r="J2770" i="23"/>
  <c r="J2771" i="23"/>
  <c r="J2772" i="23"/>
  <c r="J2773" i="23"/>
  <c r="J2774" i="23"/>
  <c r="J2775" i="23"/>
  <c r="J2776" i="23"/>
  <c r="J2777" i="23"/>
  <c r="J2778" i="23"/>
  <c r="J2779" i="23"/>
  <c r="J2780" i="23"/>
  <c r="J2781" i="23"/>
  <c r="J2782" i="23"/>
  <c r="J2783" i="23"/>
  <c r="J2784" i="23"/>
  <c r="J2785" i="23"/>
  <c r="J2786" i="23"/>
  <c r="J2787" i="23"/>
  <c r="J2788" i="23"/>
  <c r="J2789" i="23"/>
  <c r="J2790" i="23"/>
  <c r="J2791" i="23"/>
  <c r="J2792" i="23"/>
  <c r="J2793" i="23"/>
  <c r="J2794" i="23"/>
  <c r="J2795" i="23"/>
  <c r="J2796" i="23"/>
  <c r="J2797" i="23"/>
  <c r="J2798" i="23"/>
  <c r="J2799" i="23"/>
  <c r="J2800" i="23"/>
  <c r="J2801" i="23"/>
  <c r="J2802" i="23"/>
  <c r="J2803" i="23"/>
  <c r="J2804" i="23"/>
  <c r="J2805" i="23"/>
  <c r="J2806" i="23"/>
  <c r="J2807" i="23"/>
  <c r="J2808" i="23"/>
  <c r="J2809" i="23"/>
  <c r="J2810" i="23"/>
  <c r="J2811" i="23"/>
  <c r="J2812" i="23"/>
  <c r="J2813" i="23"/>
  <c r="J2814" i="23"/>
  <c r="J2815" i="23"/>
  <c r="J2816" i="23"/>
  <c r="J2817" i="23"/>
  <c r="J2818" i="23"/>
  <c r="J2819" i="23"/>
  <c r="J2820" i="23"/>
  <c r="J2821" i="23"/>
  <c r="J2822" i="23"/>
  <c r="J2823" i="23"/>
  <c r="J2824" i="23"/>
  <c r="J2825" i="23"/>
  <c r="J2826" i="23"/>
  <c r="J2827" i="23"/>
  <c r="J2828" i="23"/>
  <c r="J2829" i="23"/>
  <c r="J2830" i="23"/>
  <c r="J2831" i="23"/>
  <c r="J2832" i="23"/>
  <c r="J2833" i="23"/>
  <c r="J2834" i="23"/>
  <c r="J2835" i="23"/>
  <c r="J2836" i="23"/>
  <c r="J2837" i="23"/>
  <c r="J2838" i="23"/>
  <c r="J2839" i="23"/>
  <c r="J2840" i="23"/>
  <c r="J2841" i="23"/>
  <c r="J2842" i="23"/>
  <c r="J2843" i="23"/>
  <c r="J2844" i="23"/>
  <c r="J2845" i="23"/>
  <c r="J2846" i="23"/>
  <c r="J2847" i="23"/>
  <c r="J2848" i="23"/>
  <c r="J2849" i="23"/>
  <c r="J2850" i="23"/>
  <c r="J2851" i="23"/>
  <c r="J2852" i="23"/>
  <c r="J2853" i="23"/>
  <c r="J2854" i="23"/>
  <c r="J2855" i="23"/>
  <c r="J2856" i="23"/>
  <c r="J2857" i="23"/>
  <c r="J2858" i="23"/>
  <c r="J2859" i="23"/>
  <c r="J2860" i="23"/>
  <c r="J2861" i="23"/>
  <c r="J2862" i="23"/>
  <c r="J2863" i="23"/>
  <c r="J2864" i="23"/>
  <c r="J2865" i="23"/>
  <c r="J2866" i="23"/>
  <c r="J2867" i="23"/>
  <c r="J2868" i="23"/>
  <c r="J2869" i="23"/>
  <c r="J2870" i="23"/>
  <c r="J2871" i="23"/>
  <c r="J2872" i="23"/>
  <c r="J2873" i="23"/>
  <c r="J2874" i="23"/>
  <c r="J2875" i="23"/>
  <c r="J2876" i="23"/>
  <c r="J2877" i="23"/>
  <c r="J2878" i="23"/>
  <c r="J2879" i="23"/>
  <c r="J2880" i="23"/>
  <c r="J2881" i="23"/>
  <c r="J2882" i="23"/>
  <c r="J2883" i="23"/>
  <c r="J2884" i="23"/>
  <c r="J2885" i="23"/>
  <c r="J2886" i="23"/>
  <c r="J2887" i="23"/>
  <c r="J2888" i="23"/>
  <c r="J2889" i="23"/>
  <c r="J2890" i="23"/>
  <c r="J2891" i="23"/>
  <c r="J2892" i="23"/>
  <c r="J2893" i="23"/>
  <c r="J2894" i="23"/>
  <c r="J2895" i="23"/>
  <c r="J2896" i="23"/>
  <c r="J2897" i="23"/>
  <c r="J2898" i="23"/>
  <c r="J2899" i="23"/>
  <c r="J2900" i="23"/>
  <c r="J2901" i="23"/>
  <c r="J2902" i="23"/>
  <c r="J2903" i="23"/>
  <c r="J2904" i="23"/>
  <c r="J2905" i="23"/>
  <c r="J2906" i="23"/>
  <c r="J2907" i="23"/>
  <c r="J2908" i="23"/>
  <c r="J2909" i="23"/>
  <c r="J2910" i="23"/>
  <c r="J2911" i="23"/>
  <c r="J2912" i="23"/>
  <c r="J2913" i="23"/>
  <c r="J2914" i="23"/>
  <c r="J2915" i="23"/>
  <c r="J2916" i="23"/>
  <c r="J2917" i="23"/>
  <c r="J2918" i="23"/>
  <c r="J2919" i="23"/>
  <c r="J2920" i="23"/>
  <c r="J2921" i="23"/>
  <c r="J2922" i="23"/>
  <c r="J2923" i="23"/>
  <c r="J2924" i="23"/>
  <c r="J2925" i="23"/>
  <c r="J2926" i="23"/>
  <c r="J2927" i="23"/>
  <c r="J2928" i="23"/>
  <c r="J2929" i="23"/>
  <c r="J2930" i="23"/>
  <c r="J2931" i="23"/>
  <c r="J2932" i="23"/>
  <c r="J2933" i="23"/>
  <c r="J2934" i="23"/>
  <c r="J2935" i="23"/>
  <c r="J2936" i="23"/>
  <c r="J2937" i="23"/>
  <c r="J2938" i="23"/>
  <c r="J2939" i="23"/>
  <c r="J2940" i="23"/>
  <c r="J2941" i="23"/>
  <c r="J2942" i="23"/>
  <c r="J2943" i="23"/>
  <c r="J2944" i="23"/>
  <c r="J2945" i="23"/>
  <c r="J2946" i="23"/>
  <c r="J2947" i="23"/>
  <c r="J2948" i="23"/>
  <c r="J2949" i="23"/>
  <c r="J2950" i="23"/>
  <c r="J2951" i="23"/>
  <c r="J2952" i="23"/>
  <c r="J2953" i="23"/>
  <c r="J2954" i="23"/>
  <c r="J2955" i="23"/>
  <c r="J2956" i="23"/>
  <c r="J2957" i="23"/>
  <c r="J2958" i="23"/>
  <c r="J2959" i="23"/>
  <c r="J2960" i="23"/>
  <c r="J2961" i="23"/>
  <c r="J2962" i="23"/>
  <c r="J2963" i="23"/>
  <c r="J2964" i="23"/>
  <c r="J2965" i="23"/>
  <c r="J2966" i="23"/>
  <c r="J2967" i="23"/>
  <c r="J2968" i="23"/>
  <c r="J2969" i="23"/>
  <c r="J2970" i="23"/>
  <c r="J2971" i="23"/>
  <c r="J2972" i="23"/>
  <c r="J2973" i="23"/>
  <c r="J2974" i="23"/>
  <c r="J2975" i="23"/>
  <c r="J2976" i="23"/>
  <c r="J2977" i="23"/>
  <c r="J2978" i="23"/>
  <c r="J2979" i="23"/>
  <c r="J2980" i="23"/>
  <c r="J2981" i="23"/>
  <c r="J2982" i="23"/>
  <c r="J2983" i="23"/>
  <c r="J2984" i="23"/>
  <c r="J2985" i="23"/>
  <c r="J2986" i="23"/>
  <c r="J2987" i="23"/>
  <c r="J2988" i="23"/>
  <c r="J2989" i="23"/>
  <c r="J2990" i="23"/>
  <c r="J2991" i="23"/>
  <c r="J2992" i="23"/>
  <c r="J2993" i="23"/>
  <c r="J2994" i="23"/>
  <c r="J2995" i="23"/>
  <c r="J2996" i="23"/>
  <c r="J2997" i="23"/>
  <c r="J2998" i="23"/>
  <c r="J2999" i="23"/>
  <c r="J3000" i="23"/>
  <c r="J3001" i="23"/>
  <c r="J3002" i="23"/>
  <c r="J3003" i="23"/>
  <c r="J3004" i="23"/>
  <c r="J3005" i="23"/>
  <c r="J3006" i="23"/>
  <c r="J3007" i="23"/>
  <c r="J3008" i="23"/>
  <c r="J3009" i="23"/>
  <c r="J3010" i="23"/>
  <c r="J3011" i="23"/>
  <c r="J3012" i="23"/>
  <c r="J3013" i="23"/>
  <c r="J3014" i="23"/>
  <c r="J3015" i="23"/>
  <c r="J3016" i="23"/>
  <c r="J3017" i="23"/>
  <c r="J3018" i="23"/>
  <c r="J3019" i="23"/>
  <c r="J3020" i="23"/>
  <c r="J3021" i="23"/>
  <c r="J3022" i="23"/>
  <c r="J3023" i="23"/>
  <c r="J3024" i="23"/>
  <c r="J3025" i="23"/>
  <c r="J3026" i="23"/>
  <c r="J3027" i="23"/>
  <c r="J3028" i="23"/>
  <c r="J3029" i="23"/>
  <c r="J3030" i="23"/>
  <c r="J3031" i="23"/>
  <c r="J3032" i="23"/>
  <c r="J3033" i="23"/>
  <c r="J3034" i="23"/>
  <c r="J3035" i="23"/>
  <c r="J3036" i="23"/>
  <c r="J3037" i="23"/>
  <c r="J3038" i="23"/>
  <c r="J3039" i="23"/>
  <c r="J3040" i="23"/>
  <c r="J3041" i="23"/>
  <c r="J3042" i="23"/>
  <c r="J3043" i="23"/>
  <c r="J3044" i="23"/>
  <c r="J3045" i="23"/>
  <c r="J3046" i="23"/>
  <c r="J3047" i="23"/>
  <c r="J3048" i="23"/>
  <c r="J3049" i="23"/>
  <c r="J3050" i="23"/>
  <c r="J3051" i="23"/>
  <c r="J3052" i="23"/>
  <c r="J3053" i="23"/>
  <c r="J3054" i="23"/>
  <c r="J3055" i="23"/>
  <c r="J3056" i="23"/>
  <c r="J3057" i="23"/>
  <c r="J3058" i="23"/>
  <c r="J3059" i="23"/>
  <c r="J3060" i="23"/>
  <c r="J3061" i="23"/>
  <c r="J3062" i="23"/>
  <c r="J3063" i="23"/>
  <c r="J3064" i="23"/>
  <c r="J3065" i="23"/>
  <c r="J3066" i="23"/>
  <c r="J3067" i="23"/>
  <c r="J3068" i="23"/>
  <c r="J3069" i="23"/>
  <c r="J3070" i="23"/>
  <c r="J3071" i="23"/>
  <c r="J3072" i="23"/>
  <c r="J3073" i="23"/>
  <c r="J3074" i="23"/>
  <c r="J3075" i="23"/>
  <c r="J3076" i="23"/>
  <c r="J3077" i="23"/>
  <c r="J3078" i="23"/>
  <c r="J3079" i="23"/>
  <c r="J3080" i="23"/>
  <c r="J3081" i="23"/>
  <c r="J3082" i="23"/>
  <c r="J3083" i="23"/>
  <c r="J3084" i="23"/>
  <c r="J3085" i="23"/>
  <c r="J3086" i="23"/>
  <c r="J3087" i="23"/>
  <c r="J3088" i="23"/>
  <c r="J3089" i="23"/>
  <c r="J3090" i="23"/>
  <c r="J3091" i="23"/>
  <c r="J3092" i="23"/>
  <c r="J3093" i="23"/>
  <c r="J3094" i="23"/>
  <c r="J3095" i="23"/>
  <c r="J3096" i="23"/>
  <c r="J3097" i="23"/>
  <c r="J3098" i="23"/>
  <c r="J3099" i="23"/>
  <c r="J3100" i="23"/>
  <c r="J3101" i="23"/>
  <c r="J3102" i="23"/>
  <c r="J3103" i="23"/>
  <c r="J3104" i="23"/>
  <c r="J3105" i="23"/>
  <c r="J3106" i="23"/>
  <c r="J3107" i="23"/>
  <c r="J3108" i="23"/>
  <c r="J3109" i="23"/>
  <c r="J3110" i="23"/>
  <c r="J3111" i="23"/>
  <c r="J3112" i="23"/>
  <c r="J3113" i="23"/>
  <c r="J3114" i="23"/>
  <c r="J3115" i="23"/>
  <c r="J3116" i="23"/>
  <c r="J3117" i="23"/>
  <c r="J3118" i="23"/>
  <c r="J3119" i="23"/>
  <c r="J3120" i="23"/>
  <c r="J3121" i="23"/>
  <c r="J3122" i="23"/>
  <c r="J3123" i="23"/>
  <c r="J3124" i="23"/>
  <c r="J3125" i="23"/>
  <c r="J3126" i="23"/>
  <c r="J3127" i="23"/>
  <c r="J3128" i="23"/>
  <c r="J3129" i="23"/>
  <c r="J3130" i="23"/>
  <c r="J3131" i="23"/>
  <c r="J3132" i="23"/>
  <c r="J3133" i="23"/>
  <c r="J3134" i="23"/>
  <c r="J3135" i="23"/>
  <c r="J3136" i="23"/>
  <c r="J3137" i="23"/>
  <c r="J3138" i="23"/>
  <c r="J3139" i="23"/>
  <c r="J3140" i="23"/>
  <c r="J3141" i="23"/>
  <c r="J3142" i="23"/>
  <c r="J3143" i="23"/>
  <c r="J3144" i="23"/>
  <c r="J3145" i="23"/>
  <c r="J3146" i="23"/>
  <c r="J3147" i="23"/>
  <c r="J3148" i="23"/>
  <c r="J3149" i="23"/>
  <c r="J3150" i="23"/>
  <c r="J3151" i="23"/>
  <c r="J3152" i="23"/>
  <c r="J3153" i="23"/>
  <c r="J3154" i="23"/>
  <c r="J3155" i="23"/>
  <c r="J3156" i="23"/>
  <c r="J3157" i="23"/>
  <c r="J3158" i="23"/>
  <c r="J3159" i="23"/>
  <c r="J3160" i="23"/>
  <c r="J3161" i="23"/>
  <c r="J3162" i="23"/>
  <c r="J3163" i="23"/>
  <c r="J3164" i="23"/>
  <c r="J3165" i="23"/>
  <c r="J3166" i="23"/>
  <c r="J3167" i="23"/>
  <c r="J3168" i="23"/>
  <c r="J3169" i="23"/>
  <c r="J3170" i="23"/>
  <c r="J3171" i="23"/>
  <c r="J3172" i="23"/>
  <c r="J3173" i="23"/>
  <c r="J3174" i="23"/>
  <c r="J3175" i="23"/>
  <c r="J3176" i="23"/>
  <c r="J3177" i="23"/>
  <c r="J3178" i="23"/>
  <c r="J3179" i="23"/>
  <c r="J3180" i="23"/>
  <c r="J3181" i="23"/>
  <c r="J3182" i="23"/>
  <c r="J3183" i="23"/>
  <c r="J3184" i="23"/>
  <c r="J3185" i="23"/>
  <c r="J3186" i="23"/>
  <c r="J3187" i="23"/>
  <c r="J3188" i="23"/>
  <c r="J3189" i="23"/>
  <c r="J3190" i="23"/>
  <c r="J3191" i="23"/>
  <c r="J3192" i="23"/>
  <c r="J3193" i="23"/>
  <c r="J3194" i="23"/>
  <c r="J3195" i="23"/>
  <c r="J3196" i="23"/>
  <c r="J3197" i="23"/>
  <c r="J3198" i="23"/>
  <c r="J3199" i="23"/>
  <c r="J3200" i="23"/>
  <c r="J3201" i="23"/>
  <c r="J3202" i="23"/>
  <c r="J3203" i="23"/>
  <c r="J3204" i="23"/>
  <c r="J3205" i="23"/>
  <c r="J3206" i="23"/>
  <c r="J3207" i="23"/>
  <c r="J3208" i="23"/>
  <c r="J3209" i="23"/>
  <c r="J3210" i="23"/>
  <c r="J3211" i="23"/>
  <c r="J3212" i="23"/>
  <c r="J3213" i="23"/>
  <c r="J3214" i="23"/>
  <c r="J3215" i="23"/>
  <c r="J3216" i="23"/>
  <c r="J3217" i="23"/>
  <c r="J3218" i="23"/>
  <c r="J3219" i="23"/>
  <c r="J3220" i="23"/>
  <c r="J3221" i="23"/>
  <c r="J3222" i="23"/>
  <c r="J3223" i="23"/>
  <c r="J3224" i="23"/>
  <c r="J3225" i="23"/>
  <c r="J3226" i="23"/>
  <c r="J3227" i="23"/>
  <c r="J3228" i="23"/>
  <c r="J3229" i="23"/>
  <c r="J3230" i="23"/>
  <c r="J3231" i="23"/>
  <c r="J3232" i="23"/>
  <c r="J3233" i="23"/>
  <c r="J3234" i="23"/>
  <c r="J3235" i="23"/>
  <c r="J3236" i="23"/>
  <c r="J3237" i="23"/>
  <c r="J3238" i="23"/>
  <c r="J3239" i="23"/>
  <c r="J3240" i="23"/>
  <c r="J3241" i="23"/>
  <c r="J3242" i="23"/>
  <c r="J3243" i="23"/>
  <c r="J3244" i="23"/>
  <c r="J3245" i="23"/>
  <c r="J3246" i="23"/>
  <c r="J3247" i="23"/>
  <c r="J3248" i="23"/>
  <c r="J3249" i="23"/>
  <c r="J3250" i="23"/>
  <c r="J3251" i="23"/>
  <c r="J3252" i="23"/>
  <c r="J3253" i="23"/>
  <c r="J3254" i="23"/>
  <c r="J3255" i="23"/>
  <c r="J3256" i="23"/>
  <c r="J3257" i="23"/>
  <c r="J3258" i="23"/>
  <c r="J3259" i="23"/>
  <c r="J3260" i="23"/>
  <c r="J3261" i="23"/>
  <c r="J3262" i="23"/>
  <c r="J3263" i="23"/>
  <c r="J3264" i="23"/>
  <c r="J3265" i="23"/>
  <c r="J3266" i="23"/>
  <c r="J3267" i="23"/>
  <c r="J3268" i="23"/>
  <c r="J3269" i="23"/>
  <c r="J3270" i="23"/>
  <c r="J3271" i="23"/>
  <c r="J3272" i="23"/>
  <c r="J3273" i="23"/>
  <c r="J3274" i="23"/>
  <c r="J3275" i="23"/>
  <c r="J3276" i="23"/>
  <c r="J3277" i="23"/>
  <c r="J3278" i="23"/>
  <c r="J3279" i="23"/>
  <c r="J3280" i="23"/>
  <c r="J3281" i="23"/>
  <c r="J3282" i="23"/>
  <c r="J3283" i="23"/>
  <c r="J3284" i="23"/>
  <c r="J3285" i="23"/>
  <c r="J3286" i="23"/>
  <c r="J3287" i="23"/>
  <c r="J3288" i="23"/>
  <c r="J3289" i="23"/>
  <c r="J3290" i="23"/>
  <c r="J3291" i="23"/>
  <c r="J3292" i="23"/>
  <c r="J3293" i="23"/>
  <c r="J3294" i="23"/>
  <c r="J3295" i="23"/>
  <c r="J3296" i="23"/>
  <c r="J3297" i="23"/>
  <c r="J3298" i="23"/>
  <c r="J3299" i="23"/>
  <c r="J3300" i="23"/>
  <c r="J3301" i="23"/>
  <c r="J3302" i="23"/>
  <c r="J3303" i="23"/>
  <c r="J3304" i="23"/>
  <c r="J3305" i="23"/>
  <c r="J3306" i="23"/>
  <c r="J3307" i="23"/>
  <c r="J3308" i="23"/>
  <c r="J3309" i="23"/>
  <c r="J3310" i="23"/>
  <c r="J3311" i="23"/>
  <c r="J3312" i="23"/>
  <c r="J3313" i="23"/>
  <c r="J3314" i="23"/>
  <c r="J3315" i="23"/>
  <c r="J3316" i="23"/>
  <c r="J3317" i="23"/>
  <c r="J3318" i="23"/>
  <c r="J3319" i="23"/>
  <c r="J3320" i="23"/>
  <c r="J3321" i="23"/>
  <c r="J3322" i="23"/>
  <c r="J3323" i="23"/>
  <c r="J3324" i="23"/>
  <c r="J3325" i="23"/>
  <c r="J3326" i="23"/>
  <c r="J3327" i="23"/>
  <c r="J3328" i="23"/>
  <c r="J3329" i="23"/>
  <c r="J3330" i="23"/>
  <c r="J3331" i="23"/>
  <c r="J3332" i="23"/>
  <c r="J3333" i="23"/>
  <c r="J3334" i="23"/>
  <c r="J3335" i="23"/>
  <c r="J3336" i="23"/>
  <c r="J3337" i="23"/>
  <c r="J3338" i="23"/>
  <c r="J3339" i="23"/>
  <c r="J3340" i="23"/>
  <c r="J3341" i="23"/>
  <c r="J3342" i="23"/>
  <c r="J3343" i="23"/>
  <c r="J3344" i="23"/>
  <c r="J3345" i="23"/>
  <c r="J3346" i="23"/>
  <c r="J3347" i="23"/>
  <c r="J3348" i="23"/>
  <c r="J3349" i="23"/>
  <c r="J3350" i="23"/>
  <c r="J3351" i="23"/>
  <c r="J3352" i="23"/>
  <c r="J3353" i="23"/>
  <c r="J3354" i="23"/>
  <c r="J3355" i="23"/>
  <c r="J3356" i="23"/>
  <c r="J3357" i="23"/>
  <c r="J3358" i="23"/>
  <c r="J3359" i="23"/>
  <c r="J3360" i="23"/>
  <c r="J3361" i="23"/>
  <c r="J3362" i="23"/>
  <c r="J3363" i="23"/>
  <c r="J3364" i="23"/>
  <c r="J3365" i="23"/>
  <c r="J3366" i="23"/>
  <c r="J3367" i="23"/>
  <c r="J3368" i="23"/>
  <c r="J3369" i="23"/>
  <c r="J3370" i="23"/>
  <c r="J3371" i="23"/>
  <c r="J3372" i="23"/>
  <c r="J3373" i="23"/>
  <c r="J3374" i="23"/>
  <c r="J3375" i="23"/>
  <c r="J3376" i="23"/>
  <c r="J3377" i="23"/>
  <c r="J3378" i="23"/>
  <c r="J3379" i="23"/>
  <c r="J3380" i="23"/>
  <c r="J3381" i="23"/>
  <c r="J3382" i="23"/>
  <c r="J3383" i="23"/>
  <c r="J3384" i="23"/>
  <c r="J3385" i="23"/>
  <c r="J3386" i="23"/>
  <c r="J3387" i="23"/>
  <c r="J3388" i="23"/>
  <c r="J3389" i="23"/>
  <c r="J3390" i="23"/>
  <c r="J3391" i="23"/>
  <c r="J3392" i="23"/>
  <c r="J3393" i="23"/>
  <c r="J3394" i="23"/>
  <c r="J3395" i="23"/>
  <c r="J3396" i="23"/>
  <c r="J3397" i="23"/>
  <c r="J3398" i="23"/>
  <c r="J3399" i="23"/>
  <c r="J3400" i="23"/>
  <c r="J3401" i="23"/>
  <c r="J3402" i="23"/>
  <c r="J3403" i="23"/>
  <c r="J3404" i="23"/>
  <c r="J3405" i="23"/>
  <c r="J3406" i="23"/>
  <c r="J3407" i="23"/>
  <c r="J3408" i="23"/>
  <c r="J3409" i="23"/>
  <c r="J3410" i="23"/>
  <c r="J3411" i="23"/>
  <c r="J3412" i="23"/>
  <c r="J3413" i="23"/>
  <c r="J3414" i="23"/>
  <c r="J3415" i="23"/>
  <c r="J3416" i="23"/>
  <c r="J3417" i="23"/>
  <c r="J3418" i="23"/>
  <c r="J3419" i="23"/>
  <c r="J3420" i="23"/>
  <c r="J3421" i="23"/>
  <c r="J3422" i="23"/>
  <c r="J3423" i="23"/>
  <c r="J3424" i="23"/>
  <c r="J3425" i="23"/>
  <c r="J3426" i="23"/>
  <c r="J3427" i="23"/>
  <c r="J3428" i="23"/>
  <c r="J3429" i="23"/>
  <c r="J3430" i="23"/>
  <c r="J3431" i="23"/>
  <c r="J3432" i="23"/>
  <c r="J3433" i="23"/>
  <c r="J3434" i="23"/>
  <c r="J3435" i="23"/>
  <c r="J3436" i="23"/>
  <c r="J3437" i="23"/>
  <c r="J3438" i="23"/>
  <c r="J3439" i="23"/>
  <c r="J3440" i="23"/>
  <c r="J3441" i="23"/>
  <c r="J3442" i="23"/>
  <c r="J3443" i="23"/>
  <c r="J3444" i="23"/>
  <c r="J3445" i="23"/>
  <c r="J3446" i="23"/>
  <c r="J3447" i="23"/>
  <c r="J3448" i="23"/>
  <c r="J3449" i="23"/>
  <c r="J3450" i="23"/>
  <c r="J3451" i="23"/>
  <c r="J3452" i="23"/>
  <c r="J3453" i="23"/>
  <c r="J3454" i="23"/>
  <c r="J3455" i="23"/>
  <c r="J3456" i="23"/>
  <c r="J3457" i="23"/>
  <c r="J3458" i="23"/>
  <c r="J3459" i="23"/>
  <c r="J3460" i="23"/>
  <c r="J3461" i="23"/>
  <c r="J3462" i="23"/>
  <c r="J3463" i="23"/>
  <c r="J3464" i="23"/>
  <c r="J3465" i="23"/>
  <c r="J3466" i="23"/>
  <c r="J3467" i="23"/>
  <c r="J3468" i="23"/>
  <c r="J3469" i="23"/>
  <c r="J3470" i="23"/>
  <c r="J3471" i="23"/>
  <c r="J3472" i="23"/>
  <c r="J3473" i="23"/>
  <c r="J3474" i="23"/>
  <c r="J3475" i="23"/>
  <c r="J3476" i="23"/>
  <c r="J3477" i="23"/>
  <c r="J3478" i="23"/>
  <c r="J3479" i="23"/>
  <c r="J3480" i="23"/>
  <c r="J3481" i="23"/>
  <c r="J3482" i="23"/>
  <c r="J3483" i="23"/>
  <c r="J3484" i="23"/>
  <c r="J3485" i="23"/>
  <c r="J3486" i="23"/>
  <c r="J3487" i="23"/>
  <c r="J3488" i="23"/>
  <c r="J3489" i="23"/>
  <c r="J3490" i="23"/>
  <c r="J3491" i="23"/>
  <c r="J3492" i="23"/>
  <c r="J3493" i="23"/>
  <c r="J3494" i="23"/>
  <c r="J3495" i="23"/>
  <c r="J3496" i="23"/>
  <c r="J3497" i="23"/>
  <c r="J3498" i="23"/>
  <c r="J3499" i="23"/>
  <c r="J3500" i="23"/>
  <c r="J3501" i="23"/>
  <c r="J3502" i="23"/>
  <c r="J3503" i="23"/>
  <c r="J3504" i="23"/>
  <c r="J3505" i="23"/>
  <c r="J3506" i="23"/>
  <c r="J3507" i="23"/>
  <c r="J3508" i="23"/>
  <c r="J3509" i="23"/>
  <c r="J3510" i="23"/>
  <c r="J3511" i="23"/>
  <c r="J3512" i="23"/>
  <c r="J3513" i="23"/>
  <c r="J3514" i="23"/>
  <c r="J3515" i="23"/>
  <c r="J3516" i="23"/>
  <c r="J3517" i="23"/>
  <c r="J3518" i="23"/>
  <c r="J3519" i="23"/>
  <c r="J3520" i="23"/>
  <c r="J3521" i="23"/>
  <c r="J3522" i="23"/>
  <c r="J3523" i="23"/>
  <c r="J3524" i="23"/>
  <c r="J3525" i="23"/>
  <c r="J3526" i="23"/>
  <c r="J3527" i="23"/>
  <c r="J3528" i="23"/>
  <c r="J3529" i="23"/>
  <c r="J3530" i="23"/>
  <c r="J3531" i="23"/>
  <c r="J3532" i="23"/>
  <c r="J3533" i="23"/>
  <c r="J3534" i="23"/>
  <c r="J3535" i="23"/>
  <c r="J3536" i="23"/>
  <c r="J3537" i="23"/>
  <c r="J3538" i="23"/>
  <c r="J3539" i="23"/>
  <c r="J3540" i="23"/>
  <c r="J3541" i="23"/>
  <c r="J3542" i="23"/>
  <c r="J3543" i="23"/>
  <c r="J3544" i="23"/>
  <c r="J3545" i="23"/>
  <c r="J3546" i="23"/>
  <c r="J3547" i="23"/>
  <c r="J3548" i="23"/>
  <c r="J3549" i="23"/>
  <c r="J3550" i="23"/>
  <c r="J3551" i="23"/>
  <c r="J3552" i="23"/>
  <c r="J3553" i="23"/>
  <c r="J3554" i="23"/>
  <c r="J3555" i="23"/>
  <c r="J3556" i="23"/>
  <c r="J3557" i="23"/>
  <c r="J3558" i="23"/>
  <c r="J3559" i="23"/>
  <c r="J3560" i="23"/>
  <c r="J3561" i="23"/>
  <c r="J3562" i="23"/>
  <c r="J3563" i="23"/>
  <c r="J3564" i="23"/>
  <c r="J3565" i="23"/>
  <c r="J3566" i="23"/>
  <c r="J3567" i="23"/>
  <c r="J3568" i="23"/>
  <c r="J3569" i="23"/>
  <c r="J3570" i="23"/>
  <c r="J3571" i="23"/>
  <c r="J3572" i="23"/>
  <c r="J3573" i="23"/>
  <c r="J3574" i="23"/>
  <c r="J3575" i="23"/>
  <c r="J3576" i="23"/>
  <c r="J3577" i="23"/>
  <c r="J3578" i="23"/>
  <c r="J3579" i="23"/>
  <c r="J3580" i="23"/>
  <c r="J3581" i="23"/>
  <c r="J3582" i="23"/>
  <c r="J3583" i="23"/>
  <c r="J3584" i="23"/>
  <c r="J3585" i="23"/>
  <c r="J3586" i="23"/>
  <c r="J3587" i="23"/>
  <c r="J3588" i="23"/>
  <c r="J3589" i="23"/>
  <c r="J3590" i="23"/>
  <c r="J3591" i="23"/>
  <c r="J3592" i="23"/>
  <c r="J3593" i="23"/>
  <c r="J3594" i="23"/>
  <c r="J3595" i="23"/>
  <c r="J3596" i="23"/>
  <c r="J3597" i="23"/>
  <c r="J3598" i="23"/>
  <c r="J3599" i="23"/>
  <c r="J3600" i="23"/>
  <c r="J3601" i="23"/>
  <c r="J3602" i="23"/>
  <c r="J3603" i="23"/>
  <c r="J3604" i="23"/>
  <c r="J3605" i="23"/>
  <c r="J3606" i="23"/>
  <c r="J3607" i="23"/>
  <c r="J3608" i="23"/>
  <c r="J3609" i="23"/>
  <c r="J3610" i="23"/>
  <c r="J3611" i="23"/>
  <c r="J3612" i="23"/>
  <c r="J3613" i="23"/>
  <c r="J3614" i="23"/>
  <c r="J3615" i="23"/>
  <c r="J3616" i="23"/>
  <c r="J3617" i="23"/>
  <c r="J3618" i="23"/>
  <c r="J3619" i="23"/>
  <c r="J3620" i="23"/>
  <c r="J3621" i="23"/>
  <c r="J3622" i="23"/>
  <c r="J3623" i="23"/>
  <c r="J3624" i="23"/>
  <c r="J3625" i="23"/>
  <c r="J3626" i="23"/>
  <c r="J3627" i="23"/>
  <c r="J3628" i="23"/>
  <c r="J3629" i="23"/>
  <c r="J3630" i="23"/>
  <c r="J3631" i="23"/>
  <c r="J3632" i="23"/>
  <c r="J3633" i="23"/>
  <c r="J3634" i="23"/>
  <c r="J3635" i="23"/>
  <c r="J3636" i="23"/>
  <c r="J3637" i="23"/>
  <c r="J3638" i="23"/>
  <c r="J3639" i="23"/>
  <c r="J3640" i="23"/>
  <c r="J3641" i="23"/>
  <c r="J3642" i="23"/>
  <c r="J3643" i="23"/>
  <c r="J3644" i="23"/>
  <c r="J3645" i="23"/>
  <c r="J3646" i="23"/>
  <c r="J3647" i="23"/>
  <c r="J3648" i="23"/>
  <c r="J3649" i="23"/>
  <c r="J3650" i="23"/>
  <c r="J3651" i="23"/>
  <c r="J3652" i="23"/>
  <c r="J3653" i="23"/>
  <c r="J3654" i="23"/>
  <c r="J3655" i="23"/>
  <c r="J3656" i="23"/>
  <c r="J3657" i="23"/>
  <c r="J3658" i="23"/>
  <c r="J3659" i="23"/>
  <c r="J3660" i="23"/>
  <c r="J3661" i="23"/>
  <c r="J3662" i="23"/>
  <c r="J3663" i="23"/>
  <c r="J3664" i="23"/>
  <c r="J3665" i="23"/>
  <c r="J3666" i="23"/>
  <c r="J3667" i="23"/>
  <c r="J3668" i="23"/>
  <c r="J3669" i="23"/>
  <c r="J3670" i="23"/>
  <c r="J3671" i="23"/>
  <c r="J3672" i="23"/>
  <c r="J3673" i="23"/>
  <c r="J3674" i="23"/>
  <c r="J3675" i="23"/>
  <c r="J3676" i="23"/>
  <c r="J3677" i="23"/>
  <c r="J3678" i="23"/>
  <c r="J3679" i="23"/>
  <c r="J3680" i="23"/>
  <c r="J3681" i="23"/>
  <c r="J3682" i="23"/>
  <c r="J3683" i="23"/>
  <c r="J3684" i="23"/>
  <c r="J3685" i="23"/>
  <c r="J3686" i="23"/>
  <c r="J3687" i="23"/>
  <c r="J3688" i="23"/>
  <c r="J3689" i="23"/>
  <c r="J3690" i="23"/>
  <c r="J3691" i="23"/>
  <c r="J3692" i="23"/>
  <c r="J3693" i="23"/>
  <c r="J3694" i="23"/>
  <c r="J3695" i="23"/>
  <c r="J3696" i="23"/>
  <c r="J3697" i="23"/>
  <c r="J3698" i="23"/>
  <c r="J3699" i="23"/>
  <c r="J3700" i="23"/>
  <c r="J3701" i="23"/>
  <c r="J3702" i="23"/>
  <c r="J3703" i="23"/>
  <c r="J3704" i="23"/>
  <c r="J3705" i="23"/>
  <c r="J3706" i="23"/>
  <c r="J3707" i="23"/>
  <c r="J3708" i="23"/>
  <c r="J3709" i="23"/>
  <c r="J3710" i="23"/>
  <c r="J3711" i="23"/>
  <c r="J3712" i="23"/>
  <c r="J3713" i="23"/>
  <c r="J3714" i="23"/>
  <c r="J3715" i="23"/>
  <c r="J3716" i="23"/>
  <c r="J3717" i="23"/>
  <c r="J3718" i="23"/>
  <c r="J3719" i="23"/>
  <c r="J3720" i="23"/>
  <c r="J3721" i="23"/>
  <c r="J3722" i="23"/>
  <c r="J3723" i="23"/>
  <c r="J3724" i="23"/>
  <c r="J3725" i="23"/>
  <c r="J3726" i="23"/>
  <c r="J3727" i="23"/>
  <c r="J3728" i="23"/>
  <c r="J3729" i="23"/>
  <c r="J3730" i="23"/>
  <c r="J3731" i="23"/>
  <c r="J3732" i="23"/>
  <c r="J3733" i="23"/>
  <c r="J3734" i="23"/>
  <c r="J3735" i="23"/>
  <c r="J3736" i="23"/>
  <c r="J3737" i="23"/>
  <c r="J3738" i="23"/>
  <c r="J3739" i="23"/>
  <c r="J3740" i="23"/>
  <c r="J3741" i="23"/>
  <c r="J3742" i="23"/>
  <c r="J3743" i="23"/>
  <c r="J3744" i="23"/>
  <c r="J3745" i="23"/>
  <c r="J3746" i="23"/>
  <c r="J3747" i="23"/>
  <c r="J3748" i="23"/>
  <c r="J3749" i="23"/>
  <c r="J3750" i="23"/>
  <c r="J3751" i="23"/>
  <c r="J3752" i="23"/>
  <c r="J3753" i="23"/>
  <c r="J3754" i="23"/>
  <c r="J3755" i="23"/>
  <c r="J3756" i="23"/>
  <c r="J3757" i="23"/>
  <c r="J3758" i="23"/>
  <c r="J3759" i="23"/>
  <c r="J3760" i="23"/>
  <c r="J3761" i="23"/>
  <c r="J3762" i="23"/>
  <c r="J3763" i="23"/>
  <c r="J3764" i="23"/>
  <c r="J3765" i="23"/>
  <c r="J3766" i="23"/>
  <c r="J3767" i="23"/>
  <c r="J3768" i="23"/>
  <c r="J3769" i="23"/>
  <c r="J3770" i="23"/>
  <c r="J3771" i="23"/>
  <c r="J3772" i="23"/>
  <c r="J3773" i="23"/>
  <c r="J3774" i="23"/>
  <c r="J3775" i="23"/>
  <c r="J3776" i="23"/>
  <c r="J3777" i="23"/>
  <c r="J3778" i="23"/>
  <c r="J3779" i="23"/>
  <c r="J3780" i="23"/>
  <c r="J3781" i="23"/>
  <c r="J3782" i="23"/>
  <c r="J3783" i="23"/>
  <c r="J3784" i="23"/>
  <c r="J3785" i="23"/>
  <c r="J3786" i="23"/>
  <c r="J3787" i="23"/>
  <c r="J3788" i="23"/>
  <c r="J3789" i="23"/>
  <c r="J3790" i="23"/>
  <c r="J3791" i="23"/>
  <c r="J3792" i="23"/>
  <c r="J3793" i="23"/>
  <c r="J3794" i="23"/>
  <c r="J3795" i="23"/>
  <c r="J3796" i="23"/>
  <c r="J3797" i="23"/>
  <c r="J3798" i="23"/>
  <c r="J3799" i="23"/>
  <c r="J3800" i="23"/>
  <c r="J3801" i="23"/>
  <c r="J3802" i="23"/>
  <c r="J3803" i="23"/>
  <c r="J3804" i="23"/>
  <c r="J3805" i="23"/>
  <c r="J3806" i="23"/>
  <c r="J3807" i="23"/>
  <c r="J3808" i="23"/>
  <c r="J3809" i="23"/>
  <c r="J3810" i="23"/>
  <c r="J3811" i="23"/>
  <c r="J3812" i="23"/>
  <c r="J3813" i="23"/>
  <c r="J3814" i="23"/>
  <c r="J3815" i="23"/>
  <c r="J3816" i="23"/>
  <c r="J3817" i="23"/>
  <c r="J3818" i="23"/>
  <c r="J3819" i="23"/>
  <c r="J3820" i="23"/>
  <c r="J3821" i="23"/>
  <c r="J3822" i="23"/>
  <c r="J3823" i="23"/>
  <c r="J3824" i="23"/>
  <c r="J3825" i="23"/>
  <c r="J3826" i="23"/>
  <c r="J3827" i="23"/>
  <c r="J3828" i="23"/>
  <c r="J3829" i="23"/>
  <c r="J3830" i="23"/>
  <c r="J3831" i="23"/>
  <c r="J3832" i="23"/>
  <c r="J3833" i="23"/>
  <c r="J3834" i="23"/>
  <c r="J3835" i="23"/>
  <c r="J3836" i="23"/>
  <c r="J3837" i="23"/>
  <c r="J3838" i="23"/>
  <c r="J3839" i="23"/>
  <c r="J3840" i="23"/>
  <c r="J3841" i="23"/>
  <c r="J3842" i="23"/>
  <c r="J3843" i="23"/>
  <c r="J3844" i="23"/>
  <c r="J3845" i="23"/>
  <c r="J3846" i="23"/>
  <c r="J3847" i="23"/>
  <c r="J3848" i="23"/>
  <c r="J3849" i="23"/>
  <c r="J3850" i="23"/>
  <c r="J3851" i="23"/>
  <c r="J3852" i="23"/>
  <c r="J3853" i="23"/>
  <c r="J3854" i="23"/>
  <c r="J3855" i="23"/>
  <c r="J3856" i="23"/>
  <c r="J3857" i="23"/>
  <c r="J3858" i="23"/>
  <c r="J3859" i="23"/>
  <c r="J3860" i="23"/>
  <c r="J3861" i="23"/>
  <c r="J3862" i="23"/>
  <c r="J3863" i="23"/>
  <c r="J3864" i="23"/>
  <c r="J3865" i="23"/>
  <c r="J3866" i="23"/>
  <c r="J3867" i="23"/>
  <c r="J3868" i="23"/>
  <c r="J3869" i="23"/>
  <c r="J3870" i="23"/>
  <c r="J3871" i="23"/>
  <c r="J3872" i="23"/>
  <c r="J3873" i="23"/>
  <c r="J3874" i="23"/>
  <c r="J3875" i="23"/>
  <c r="J3876" i="23"/>
  <c r="J3877" i="23"/>
  <c r="J3878" i="23"/>
  <c r="J3879" i="23"/>
  <c r="J3880" i="23"/>
  <c r="J3881" i="23"/>
  <c r="J3882" i="23"/>
  <c r="J3883" i="23"/>
  <c r="J3884" i="23"/>
  <c r="J3885" i="23"/>
  <c r="J3886" i="23"/>
  <c r="J3887" i="23"/>
  <c r="J3888" i="23"/>
  <c r="J3889" i="23"/>
  <c r="J3890" i="23"/>
  <c r="J3891" i="23"/>
  <c r="J3892" i="23"/>
  <c r="J3893" i="23"/>
  <c r="J3894" i="23"/>
  <c r="J3895" i="23"/>
  <c r="J3896" i="23"/>
  <c r="J3897" i="23"/>
  <c r="J3898" i="23"/>
  <c r="J3899" i="23"/>
  <c r="J3900" i="23"/>
  <c r="J3901" i="23"/>
  <c r="J3902" i="23"/>
  <c r="J3903" i="23"/>
  <c r="J3904" i="23"/>
  <c r="J3905" i="23"/>
  <c r="J3906" i="23"/>
  <c r="J3907" i="23"/>
  <c r="J3908" i="23"/>
  <c r="J3909" i="23"/>
  <c r="J3910" i="23"/>
  <c r="J3911" i="23"/>
  <c r="J3912" i="23"/>
  <c r="J3913" i="23"/>
  <c r="J3914" i="23"/>
  <c r="J3915" i="23"/>
  <c r="J3916" i="23"/>
  <c r="J3917" i="23"/>
  <c r="J3918" i="23"/>
  <c r="J3919" i="23"/>
  <c r="J3920" i="23"/>
  <c r="J3921" i="23"/>
  <c r="J3922" i="23"/>
  <c r="J3923" i="23"/>
  <c r="J3924" i="23"/>
  <c r="J3925" i="23"/>
  <c r="J3926" i="23"/>
  <c r="J3927" i="23"/>
  <c r="J3928" i="23"/>
  <c r="J3929" i="23"/>
  <c r="J3930" i="23"/>
  <c r="J3931" i="23"/>
  <c r="J3932" i="23"/>
  <c r="J3933" i="23"/>
  <c r="J3934" i="23"/>
  <c r="J3935" i="23"/>
  <c r="J3936" i="23"/>
  <c r="J3937" i="23"/>
  <c r="J3938" i="23"/>
  <c r="J3939" i="23"/>
  <c r="J3940" i="23"/>
  <c r="J3941" i="23"/>
  <c r="J3942" i="23"/>
  <c r="J3943" i="23"/>
  <c r="J3944" i="23"/>
  <c r="J3945" i="23"/>
  <c r="J3946" i="23"/>
  <c r="J3947" i="23"/>
  <c r="J3948" i="23"/>
  <c r="J3949" i="23"/>
  <c r="J3950" i="23"/>
  <c r="J3951" i="23"/>
  <c r="J3952" i="23"/>
  <c r="J3953" i="23"/>
  <c r="J3954" i="23"/>
  <c r="J3955" i="23"/>
  <c r="J3956" i="23"/>
  <c r="J3957" i="23"/>
  <c r="J3958" i="23"/>
  <c r="J3959" i="23"/>
  <c r="J3960" i="23"/>
  <c r="J3961" i="23"/>
  <c r="J3962" i="23"/>
  <c r="J3963" i="23"/>
  <c r="J3964" i="23"/>
  <c r="J3965" i="23"/>
  <c r="J3966" i="23"/>
  <c r="J3967" i="23"/>
  <c r="J3968" i="23"/>
  <c r="J3969" i="23"/>
  <c r="J3970" i="23"/>
  <c r="J3971" i="23"/>
  <c r="J3972" i="23"/>
  <c r="J3973" i="23"/>
  <c r="J3974" i="23"/>
  <c r="J3975" i="23"/>
  <c r="J3976" i="23"/>
  <c r="J3977" i="23"/>
  <c r="J3978" i="23"/>
  <c r="J3979" i="23"/>
  <c r="J3980" i="23"/>
  <c r="J3981" i="23"/>
  <c r="J3982" i="23"/>
  <c r="J3983" i="23"/>
  <c r="J3984" i="23"/>
  <c r="J3985" i="23"/>
  <c r="J3986" i="23"/>
  <c r="J3987" i="23"/>
  <c r="J3988" i="23"/>
  <c r="J3989" i="23"/>
  <c r="J3990" i="23"/>
  <c r="J3991" i="23"/>
  <c r="J3992" i="23"/>
  <c r="J3993" i="23"/>
  <c r="J3994" i="23"/>
  <c r="J3995" i="23"/>
  <c r="J3996" i="23"/>
  <c r="J3997" i="23"/>
  <c r="J3998" i="23"/>
  <c r="J3999" i="23"/>
  <c r="J4000" i="23"/>
  <c r="J4001" i="23"/>
  <c r="J4002" i="23"/>
  <c r="J4003" i="23"/>
  <c r="J4004" i="23"/>
  <c r="J4005" i="23"/>
  <c r="J4006" i="23"/>
  <c r="J4007" i="23"/>
  <c r="J4008" i="23"/>
  <c r="J4009" i="23"/>
  <c r="J4010" i="23"/>
  <c r="J4011" i="23"/>
  <c r="J4012" i="23"/>
  <c r="J4013" i="23"/>
  <c r="J4014" i="23"/>
  <c r="J4015" i="23"/>
  <c r="J4016" i="23"/>
  <c r="J4017" i="23"/>
  <c r="J4018" i="23"/>
  <c r="J4019" i="23"/>
  <c r="J4020" i="23"/>
  <c r="J4021" i="23"/>
  <c r="J4022" i="23"/>
  <c r="J4023" i="23"/>
  <c r="J4024" i="23"/>
  <c r="J4025" i="23"/>
  <c r="J4026" i="23"/>
  <c r="J4027" i="23"/>
  <c r="J4028" i="23"/>
  <c r="J4029" i="23"/>
  <c r="J4030" i="23"/>
  <c r="J4031" i="23"/>
  <c r="J4032" i="23"/>
  <c r="J4033" i="23"/>
  <c r="J4034" i="23"/>
  <c r="J4035" i="23"/>
  <c r="J4036" i="23"/>
  <c r="J4037" i="23"/>
  <c r="J4038" i="23"/>
  <c r="J4039" i="23"/>
  <c r="J4040" i="23"/>
  <c r="J4041" i="23"/>
  <c r="J4042" i="23"/>
  <c r="J4043" i="23"/>
  <c r="J4044" i="23"/>
  <c r="J4045" i="23"/>
  <c r="J4046" i="23"/>
  <c r="J4047" i="23"/>
  <c r="J4048" i="23"/>
  <c r="J4049" i="23"/>
  <c r="J4050" i="23"/>
  <c r="J4051" i="23"/>
  <c r="J4052" i="23"/>
  <c r="J4053" i="23"/>
  <c r="J4054" i="23"/>
  <c r="J4055" i="23"/>
  <c r="J4056" i="23"/>
  <c r="J4057" i="23"/>
  <c r="J4058" i="23"/>
  <c r="J4059" i="23"/>
  <c r="J4060" i="23"/>
  <c r="J4061" i="23"/>
  <c r="J4062" i="23"/>
  <c r="J4063" i="23"/>
  <c r="J4064" i="23"/>
  <c r="J4065" i="23"/>
  <c r="J4066" i="23"/>
  <c r="J4067" i="23"/>
  <c r="J4068" i="23"/>
  <c r="J4069" i="23"/>
  <c r="J4070" i="23"/>
  <c r="J4071" i="23"/>
  <c r="J4072" i="23"/>
  <c r="J4073" i="23"/>
  <c r="J4074" i="23"/>
  <c r="J4075" i="23"/>
  <c r="J4076" i="23"/>
  <c r="J4077" i="23"/>
  <c r="J4078" i="23"/>
  <c r="J4079" i="23"/>
  <c r="J4080" i="23"/>
  <c r="J4081" i="23"/>
  <c r="J4082" i="23"/>
  <c r="J4083" i="23"/>
  <c r="J4084" i="23"/>
  <c r="J4085" i="23"/>
  <c r="J4086" i="23"/>
  <c r="J4087" i="23"/>
  <c r="J4088" i="23"/>
  <c r="J4089" i="23"/>
  <c r="J4090" i="23"/>
  <c r="J4091" i="23"/>
  <c r="J4092" i="23"/>
  <c r="J4093" i="23"/>
  <c r="J4094" i="23"/>
  <c r="J4095" i="23"/>
  <c r="J4096" i="23"/>
  <c r="J4097" i="23"/>
  <c r="J4098" i="23"/>
  <c r="J4099" i="23"/>
  <c r="J4100" i="23"/>
  <c r="J4101" i="23"/>
  <c r="J4102" i="23"/>
  <c r="J4103" i="23"/>
  <c r="J4104" i="23"/>
  <c r="J4105" i="23"/>
  <c r="J4106" i="23"/>
  <c r="J4107" i="23"/>
  <c r="J4108" i="23"/>
  <c r="J4109" i="23"/>
  <c r="J4110" i="23"/>
  <c r="J4111" i="23"/>
  <c r="J4112" i="23"/>
  <c r="J4113" i="23"/>
  <c r="J4114" i="23"/>
  <c r="J4115" i="23"/>
  <c r="J4116" i="23"/>
  <c r="J4117" i="23"/>
  <c r="J4118" i="23"/>
  <c r="J4119" i="23"/>
  <c r="J4120" i="23"/>
  <c r="J4121" i="23"/>
  <c r="J4122" i="23"/>
  <c r="J4123" i="23"/>
  <c r="J4124" i="23"/>
  <c r="J4125" i="23"/>
  <c r="J4126" i="23"/>
  <c r="K2" i="23"/>
  <c r="K3" i="23"/>
  <c r="K4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K43" i="23"/>
  <c r="K44" i="23"/>
  <c r="K45" i="23"/>
  <c r="K46" i="23"/>
  <c r="K47" i="23"/>
  <c r="K48" i="23"/>
  <c r="K49" i="23"/>
  <c r="K50" i="23"/>
  <c r="K51" i="23"/>
  <c r="K52" i="23"/>
  <c r="K53" i="23"/>
  <c r="K54" i="23"/>
  <c r="K55" i="23"/>
  <c r="K56" i="23"/>
  <c r="K57" i="23"/>
  <c r="K58" i="23"/>
  <c r="K59" i="23"/>
  <c r="K60" i="23"/>
  <c r="K61" i="23"/>
  <c r="K62" i="23"/>
  <c r="K63" i="23"/>
  <c r="K64" i="23"/>
  <c r="K65" i="23"/>
  <c r="K66" i="23"/>
  <c r="K67" i="23"/>
  <c r="K68" i="23"/>
  <c r="K69" i="23"/>
  <c r="K70" i="23"/>
  <c r="K71" i="23"/>
  <c r="K72" i="23"/>
  <c r="K73" i="23"/>
  <c r="K74" i="23"/>
  <c r="K75" i="23"/>
  <c r="K76" i="23"/>
  <c r="K77" i="23"/>
  <c r="K78" i="23"/>
  <c r="K79" i="23"/>
  <c r="K80" i="23"/>
  <c r="K81" i="23"/>
  <c r="K82" i="23"/>
  <c r="K83" i="23"/>
  <c r="K84" i="23"/>
  <c r="K85" i="23"/>
  <c r="K86" i="23"/>
  <c r="K87" i="23"/>
  <c r="K88" i="23"/>
  <c r="K89" i="23"/>
  <c r="K90" i="23"/>
  <c r="K91" i="23"/>
  <c r="K92" i="23"/>
  <c r="K93" i="23"/>
  <c r="K94" i="23"/>
  <c r="K95" i="23"/>
  <c r="K96" i="23"/>
  <c r="K97" i="23"/>
  <c r="K98" i="23"/>
  <c r="K99" i="23"/>
  <c r="K100" i="23"/>
  <c r="K101" i="23"/>
  <c r="K102" i="23"/>
  <c r="K103" i="23"/>
  <c r="K104" i="23"/>
  <c r="K105" i="23"/>
  <c r="K106" i="23"/>
  <c r="K107" i="23"/>
  <c r="K108" i="23"/>
  <c r="K109" i="23"/>
  <c r="K110" i="23"/>
  <c r="K111" i="23"/>
  <c r="K112" i="23"/>
  <c r="K113" i="23"/>
  <c r="K114" i="23"/>
  <c r="K115" i="23"/>
  <c r="K116" i="23"/>
  <c r="K117" i="23"/>
  <c r="K118" i="23"/>
  <c r="K119" i="23"/>
  <c r="K120" i="23"/>
  <c r="K121" i="23"/>
  <c r="K122" i="23"/>
  <c r="K123" i="23"/>
  <c r="K124" i="23"/>
  <c r="K125" i="23"/>
  <c r="K126" i="23"/>
  <c r="K127" i="23"/>
  <c r="K128" i="23"/>
  <c r="K129" i="23"/>
  <c r="K130" i="23"/>
  <c r="K131" i="23"/>
  <c r="K132" i="23"/>
  <c r="K133" i="23"/>
  <c r="K134" i="23"/>
  <c r="K135" i="23"/>
  <c r="K136" i="23"/>
  <c r="K137" i="23"/>
  <c r="K138" i="23"/>
  <c r="K139" i="23"/>
  <c r="K140" i="23"/>
  <c r="K141" i="23"/>
  <c r="K142" i="23"/>
  <c r="K143" i="23"/>
  <c r="K144" i="23"/>
  <c r="K145" i="23"/>
  <c r="K146" i="23"/>
  <c r="K147" i="23"/>
  <c r="K148" i="23"/>
  <c r="K149" i="23"/>
  <c r="K150" i="23"/>
  <c r="K151" i="23"/>
  <c r="K152" i="23"/>
  <c r="K153" i="23"/>
  <c r="K154" i="23"/>
  <c r="K155" i="23"/>
  <c r="K156" i="23"/>
  <c r="K157" i="23"/>
  <c r="K158" i="23"/>
  <c r="K159" i="23"/>
  <c r="K160" i="23"/>
  <c r="K161" i="23"/>
  <c r="K162" i="23"/>
  <c r="K163" i="23"/>
  <c r="K164" i="23"/>
  <c r="K165" i="23"/>
  <c r="K166" i="23"/>
  <c r="K167" i="23"/>
  <c r="K168" i="23"/>
  <c r="K169" i="23"/>
  <c r="K170" i="23"/>
  <c r="K171" i="23"/>
  <c r="K172" i="23"/>
  <c r="K173" i="23"/>
  <c r="K174" i="23"/>
  <c r="K175" i="23"/>
  <c r="K176" i="23"/>
  <c r="K177" i="23"/>
  <c r="K178" i="23"/>
  <c r="K179" i="23"/>
  <c r="K180" i="23"/>
  <c r="K181" i="23"/>
  <c r="K182" i="23"/>
  <c r="K183" i="23"/>
  <c r="K184" i="23"/>
  <c r="K185" i="23"/>
  <c r="K186" i="23"/>
  <c r="K187" i="23"/>
  <c r="K188" i="23"/>
  <c r="K189" i="23"/>
  <c r="K190" i="23"/>
  <c r="K191" i="23"/>
  <c r="K192" i="23"/>
  <c r="K193" i="23"/>
  <c r="K194" i="23"/>
  <c r="K195" i="23"/>
  <c r="K196" i="23"/>
  <c r="K197" i="23"/>
  <c r="K198" i="23"/>
  <c r="K199" i="23"/>
  <c r="K200" i="23"/>
  <c r="K201" i="23"/>
  <c r="K202" i="23"/>
  <c r="K203" i="23"/>
  <c r="K204" i="23"/>
  <c r="K205" i="23"/>
  <c r="K206" i="23"/>
  <c r="K207" i="23"/>
  <c r="K208" i="23"/>
  <c r="K209" i="23"/>
  <c r="K210" i="23"/>
  <c r="K211" i="23"/>
  <c r="K212" i="23"/>
  <c r="K213" i="23"/>
  <c r="K214" i="23"/>
  <c r="K215" i="23"/>
  <c r="K216" i="23"/>
  <c r="K217" i="23"/>
  <c r="K218" i="23"/>
  <c r="K219" i="23"/>
  <c r="K220" i="23"/>
  <c r="K221" i="23"/>
  <c r="K222" i="23"/>
  <c r="K223" i="23"/>
  <c r="K224" i="23"/>
  <c r="K225" i="23"/>
  <c r="K226" i="23"/>
  <c r="K227" i="23"/>
  <c r="K228" i="23"/>
  <c r="K229" i="23"/>
  <c r="K230" i="23"/>
  <c r="K231" i="23"/>
  <c r="K232" i="23"/>
  <c r="K233" i="23"/>
  <c r="K234" i="23"/>
  <c r="K235" i="23"/>
  <c r="K236" i="23"/>
  <c r="K237" i="23"/>
  <c r="K238" i="23"/>
  <c r="K239" i="23"/>
  <c r="K240" i="23"/>
  <c r="K241" i="23"/>
  <c r="K242" i="23"/>
  <c r="K243" i="23"/>
  <c r="K244" i="23"/>
  <c r="K245" i="23"/>
  <c r="K246" i="23"/>
  <c r="K247" i="23"/>
  <c r="K248" i="23"/>
  <c r="K249" i="23"/>
  <c r="K250" i="23"/>
  <c r="K251" i="23"/>
  <c r="K252" i="23"/>
  <c r="K253" i="23"/>
  <c r="K254" i="23"/>
  <c r="K255" i="23"/>
  <c r="K256" i="23"/>
  <c r="K257" i="23"/>
  <c r="K258" i="23"/>
  <c r="K259" i="23"/>
  <c r="K260" i="23"/>
  <c r="K261" i="23"/>
  <c r="K262" i="23"/>
  <c r="K263" i="23"/>
  <c r="K264" i="23"/>
  <c r="K265" i="23"/>
  <c r="K266" i="23"/>
  <c r="K267" i="23"/>
  <c r="K268" i="23"/>
  <c r="K269" i="23"/>
  <c r="K270" i="23"/>
  <c r="K271" i="23"/>
  <c r="K272" i="23"/>
  <c r="K273" i="23"/>
  <c r="K274" i="23"/>
  <c r="K275" i="23"/>
  <c r="K276" i="23"/>
  <c r="K277" i="23"/>
  <c r="K278" i="23"/>
  <c r="K279" i="23"/>
  <c r="K280" i="23"/>
  <c r="K281" i="23"/>
  <c r="K282" i="23"/>
  <c r="K283" i="23"/>
  <c r="K284" i="23"/>
  <c r="K285" i="23"/>
  <c r="K286" i="23"/>
  <c r="K287" i="23"/>
  <c r="K288" i="23"/>
  <c r="K289" i="23"/>
  <c r="K290" i="23"/>
  <c r="K291" i="23"/>
  <c r="K292" i="23"/>
  <c r="K293" i="23"/>
  <c r="K294" i="23"/>
  <c r="K295" i="23"/>
  <c r="K296" i="23"/>
  <c r="K297" i="23"/>
  <c r="K298" i="23"/>
  <c r="K299" i="23"/>
  <c r="K300" i="23"/>
  <c r="K301" i="23"/>
  <c r="K302" i="23"/>
  <c r="K303" i="23"/>
  <c r="K304" i="23"/>
  <c r="K305" i="23"/>
  <c r="K306" i="23"/>
  <c r="K307" i="23"/>
  <c r="K308" i="23"/>
  <c r="K309" i="23"/>
  <c r="K310" i="23"/>
  <c r="K311" i="23"/>
  <c r="K312" i="23"/>
  <c r="K313" i="23"/>
  <c r="K314" i="23"/>
  <c r="K315" i="23"/>
  <c r="K316" i="23"/>
  <c r="K317" i="23"/>
  <c r="K318" i="23"/>
  <c r="K319" i="23"/>
  <c r="K320" i="23"/>
  <c r="K321" i="23"/>
  <c r="K322" i="23"/>
  <c r="K323" i="23"/>
  <c r="K324" i="23"/>
  <c r="K325" i="23"/>
  <c r="K326" i="23"/>
  <c r="K327" i="23"/>
  <c r="K328" i="23"/>
  <c r="K329" i="23"/>
  <c r="K330" i="23"/>
  <c r="K331" i="23"/>
  <c r="K332" i="23"/>
  <c r="K333" i="23"/>
  <c r="K334" i="23"/>
  <c r="K335" i="23"/>
  <c r="K336" i="23"/>
  <c r="K337" i="23"/>
  <c r="K338" i="23"/>
  <c r="K339" i="23"/>
  <c r="K340" i="23"/>
  <c r="K341" i="23"/>
  <c r="K342" i="23"/>
  <c r="K343" i="23"/>
  <c r="K344" i="23"/>
  <c r="K345" i="23"/>
  <c r="K346" i="23"/>
  <c r="K347" i="23"/>
  <c r="K348" i="23"/>
  <c r="K349" i="23"/>
  <c r="K350" i="23"/>
  <c r="K351" i="23"/>
  <c r="K352" i="23"/>
  <c r="K353" i="23"/>
  <c r="K354" i="23"/>
  <c r="K355" i="23"/>
  <c r="K356" i="23"/>
  <c r="K357" i="23"/>
  <c r="K358" i="23"/>
  <c r="K359" i="23"/>
  <c r="K360" i="23"/>
  <c r="K361" i="23"/>
  <c r="K362" i="23"/>
  <c r="K363" i="23"/>
  <c r="K364" i="23"/>
  <c r="K365" i="23"/>
  <c r="K366" i="23"/>
  <c r="K367" i="23"/>
  <c r="K368" i="23"/>
  <c r="K369" i="23"/>
  <c r="K370" i="23"/>
  <c r="K371" i="23"/>
  <c r="K372" i="23"/>
  <c r="K373" i="23"/>
  <c r="K374" i="23"/>
  <c r="K375" i="23"/>
  <c r="K376" i="23"/>
  <c r="K377" i="23"/>
  <c r="K378" i="23"/>
  <c r="K379" i="23"/>
  <c r="K380" i="23"/>
  <c r="K381" i="23"/>
  <c r="K382" i="23"/>
  <c r="K383" i="23"/>
  <c r="K384" i="23"/>
  <c r="K385" i="23"/>
  <c r="K386" i="23"/>
  <c r="K387" i="23"/>
  <c r="K388" i="23"/>
  <c r="K389" i="23"/>
  <c r="K390" i="23"/>
  <c r="K391" i="23"/>
  <c r="K392" i="23"/>
  <c r="K393" i="23"/>
  <c r="K394" i="23"/>
  <c r="K395" i="23"/>
  <c r="K396" i="23"/>
  <c r="K397" i="23"/>
  <c r="K398" i="23"/>
  <c r="K399" i="23"/>
  <c r="K400" i="23"/>
  <c r="K401" i="23"/>
  <c r="K402" i="23"/>
  <c r="K403" i="23"/>
  <c r="K404" i="23"/>
  <c r="K405" i="23"/>
  <c r="K406" i="23"/>
  <c r="K407" i="23"/>
  <c r="K408" i="23"/>
  <c r="K409" i="23"/>
  <c r="K410" i="23"/>
  <c r="K411" i="23"/>
  <c r="K412" i="23"/>
  <c r="K413" i="23"/>
  <c r="K414" i="23"/>
  <c r="K415" i="23"/>
  <c r="K416" i="23"/>
  <c r="K417" i="23"/>
  <c r="K418" i="23"/>
  <c r="K419" i="23"/>
  <c r="K420" i="23"/>
  <c r="K421" i="23"/>
  <c r="K422" i="23"/>
  <c r="K423" i="23"/>
  <c r="K424" i="23"/>
  <c r="K425" i="23"/>
  <c r="K426" i="23"/>
  <c r="K427" i="23"/>
  <c r="K428" i="23"/>
  <c r="K429" i="23"/>
  <c r="K430" i="23"/>
  <c r="K431" i="23"/>
  <c r="K432" i="23"/>
  <c r="K433" i="23"/>
  <c r="K434" i="23"/>
  <c r="K435" i="23"/>
  <c r="K436" i="23"/>
  <c r="K437" i="23"/>
  <c r="K438" i="23"/>
  <c r="K439" i="23"/>
  <c r="K440" i="23"/>
  <c r="K441" i="23"/>
  <c r="K442" i="23"/>
  <c r="K443" i="23"/>
  <c r="K444" i="23"/>
  <c r="K445" i="23"/>
  <c r="K446" i="23"/>
  <c r="K447" i="23"/>
  <c r="K448" i="23"/>
  <c r="K449" i="23"/>
  <c r="K450" i="23"/>
  <c r="K451" i="23"/>
  <c r="K452" i="23"/>
  <c r="K453" i="23"/>
  <c r="K454" i="23"/>
  <c r="K455" i="23"/>
  <c r="K456" i="23"/>
  <c r="K457" i="23"/>
  <c r="K458" i="23"/>
  <c r="K459" i="23"/>
  <c r="K460" i="23"/>
  <c r="K461" i="23"/>
  <c r="K462" i="23"/>
  <c r="K463" i="23"/>
  <c r="K464" i="23"/>
  <c r="K465" i="23"/>
  <c r="K466" i="23"/>
  <c r="K467" i="23"/>
  <c r="K468" i="23"/>
  <c r="K469" i="23"/>
  <c r="K470" i="23"/>
  <c r="K471" i="23"/>
  <c r="K472" i="23"/>
  <c r="K473" i="23"/>
  <c r="K474" i="23"/>
  <c r="K475" i="23"/>
  <c r="K476" i="23"/>
  <c r="K477" i="23"/>
  <c r="K478" i="23"/>
  <c r="K479" i="23"/>
  <c r="K480" i="23"/>
  <c r="K481" i="23"/>
  <c r="K482" i="23"/>
  <c r="K483" i="23"/>
  <c r="K484" i="23"/>
  <c r="K485" i="23"/>
  <c r="K486" i="23"/>
  <c r="K487" i="23"/>
  <c r="K488" i="23"/>
  <c r="K489" i="23"/>
  <c r="K490" i="23"/>
  <c r="K491" i="23"/>
  <c r="K492" i="23"/>
  <c r="K493" i="23"/>
  <c r="K494" i="23"/>
  <c r="K495" i="23"/>
  <c r="K496" i="23"/>
  <c r="K497" i="23"/>
  <c r="K498" i="23"/>
  <c r="K499" i="23"/>
  <c r="K500" i="23"/>
  <c r="K501" i="23"/>
  <c r="K502" i="23"/>
  <c r="K503" i="23"/>
  <c r="K504" i="23"/>
  <c r="K505" i="23"/>
  <c r="K506" i="23"/>
  <c r="K507" i="23"/>
  <c r="K508" i="23"/>
  <c r="K509" i="23"/>
  <c r="K510" i="23"/>
  <c r="K511" i="23"/>
  <c r="K512" i="23"/>
  <c r="K513" i="23"/>
  <c r="K514" i="23"/>
  <c r="K515" i="23"/>
  <c r="K516" i="23"/>
  <c r="K517" i="23"/>
  <c r="K518" i="23"/>
  <c r="K519" i="23"/>
  <c r="K520" i="23"/>
  <c r="K521" i="23"/>
  <c r="K522" i="23"/>
  <c r="K523" i="23"/>
  <c r="K524" i="23"/>
  <c r="K525" i="23"/>
  <c r="K526" i="23"/>
  <c r="K527" i="23"/>
  <c r="K528" i="23"/>
  <c r="K529" i="23"/>
  <c r="K530" i="23"/>
  <c r="K531" i="23"/>
  <c r="K532" i="23"/>
  <c r="K533" i="23"/>
  <c r="K534" i="23"/>
  <c r="K535" i="23"/>
  <c r="K536" i="23"/>
  <c r="K537" i="23"/>
  <c r="K538" i="23"/>
  <c r="K539" i="23"/>
  <c r="K540" i="23"/>
  <c r="K541" i="23"/>
  <c r="K542" i="23"/>
  <c r="K543" i="23"/>
  <c r="K544" i="23"/>
  <c r="K545" i="23"/>
  <c r="K546" i="23"/>
  <c r="K547" i="23"/>
  <c r="K548" i="23"/>
  <c r="K549" i="23"/>
  <c r="K550" i="23"/>
  <c r="K551" i="23"/>
  <c r="K552" i="23"/>
  <c r="K553" i="23"/>
  <c r="K554" i="23"/>
  <c r="K555" i="23"/>
  <c r="K556" i="23"/>
  <c r="K557" i="23"/>
  <c r="K558" i="23"/>
  <c r="K559" i="23"/>
  <c r="K560" i="23"/>
  <c r="K561" i="23"/>
  <c r="K562" i="23"/>
  <c r="K563" i="23"/>
  <c r="K564" i="23"/>
  <c r="K565" i="23"/>
  <c r="K566" i="23"/>
  <c r="K567" i="23"/>
  <c r="K568" i="23"/>
  <c r="K569" i="23"/>
  <c r="K570" i="23"/>
  <c r="K571" i="23"/>
  <c r="K572" i="23"/>
  <c r="K573" i="23"/>
  <c r="K574" i="23"/>
  <c r="K575" i="23"/>
  <c r="K576" i="23"/>
  <c r="K577" i="23"/>
  <c r="K578" i="23"/>
  <c r="K579" i="23"/>
  <c r="K580" i="23"/>
  <c r="K581" i="23"/>
  <c r="K582" i="23"/>
  <c r="K583" i="23"/>
  <c r="K584" i="23"/>
  <c r="K585" i="23"/>
  <c r="K586" i="23"/>
  <c r="K587" i="23"/>
  <c r="K588" i="23"/>
  <c r="K589" i="23"/>
  <c r="K590" i="23"/>
  <c r="K591" i="23"/>
  <c r="K592" i="23"/>
  <c r="K593" i="23"/>
  <c r="K594" i="23"/>
  <c r="K595" i="23"/>
  <c r="K596" i="23"/>
  <c r="K597" i="23"/>
  <c r="K598" i="23"/>
  <c r="K599" i="23"/>
  <c r="K600" i="23"/>
  <c r="K601" i="23"/>
  <c r="K602" i="23"/>
  <c r="K603" i="23"/>
  <c r="K604" i="23"/>
  <c r="K605" i="23"/>
  <c r="K606" i="23"/>
  <c r="K607" i="23"/>
  <c r="K608" i="23"/>
  <c r="K609" i="23"/>
  <c r="K610" i="23"/>
  <c r="K611" i="23"/>
  <c r="K612" i="23"/>
  <c r="K613" i="23"/>
  <c r="K614" i="23"/>
  <c r="K615" i="23"/>
  <c r="K616" i="23"/>
  <c r="K617" i="23"/>
  <c r="K618" i="23"/>
  <c r="K619" i="23"/>
  <c r="K620" i="23"/>
  <c r="K621" i="23"/>
  <c r="K622" i="23"/>
  <c r="K623" i="23"/>
  <c r="K624" i="23"/>
  <c r="K625" i="23"/>
  <c r="K626" i="23"/>
  <c r="K627" i="23"/>
  <c r="K628" i="23"/>
  <c r="K629" i="23"/>
  <c r="K630" i="23"/>
  <c r="K631" i="23"/>
  <c r="K632" i="23"/>
  <c r="K633" i="23"/>
  <c r="K634" i="23"/>
  <c r="K635" i="23"/>
  <c r="K636" i="23"/>
  <c r="K637" i="23"/>
  <c r="K638" i="23"/>
  <c r="K639" i="23"/>
  <c r="K640" i="23"/>
  <c r="K641" i="23"/>
  <c r="K642" i="23"/>
  <c r="K643" i="23"/>
  <c r="K644" i="23"/>
  <c r="K645" i="23"/>
  <c r="K646" i="23"/>
  <c r="K647" i="23"/>
  <c r="K648" i="23"/>
  <c r="K649" i="23"/>
  <c r="K650" i="23"/>
  <c r="K651" i="23"/>
  <c r="K652" i="23"/>
  <c r="K653" i="23"/>
  <c r="K654" i="23"/>
  <c r="K655" i="23"/>
  <c r="K656" i="23"/>
  <c r="K657" i="23"/>
  <c r="K658" i="23"/>
  <c r="K659" i="23"/>
  <c r="K660" i="23"/>
  <c r="K661" i="23"/>
  <c r="K662" i="23"/>
  <c r="K663" i="23"/>
  <c r="K664" i="23"/>
  <c r="K665" i="23"/>
  <c r="K666" i="23"/>
  <c r="K667" i="23"/>
  <c r="K668" i="23"/>
  <c r="K669" i="23"/>
  <c r="K670" i="23"/>
  <c r="K671" i="23"/>
  <c r="K672" i="23"/>
  <c r="K673" i="23"/>
  <c r="K674" i="23"/>
  <c r="K675" i="23"/>
  <c r="K676" i="23"/>
  <c r="K677" i="23"/>
  <c r="K678" i="23"/>
  <c r="K679" i="23"/>
  <c r="K680" i="23"/>
  <c r="K681" i="23"/>
  <c r="K682" i="23"/>
  <c r="K683" i="23"/>
  <c r="K684" i="23"/>
  <c r="K685" i="23"/>
  <c r="K686" i="23"/>
  <c r="K687" i="23"/>
  <c r="K688" i="23"/>
  <c r="K689" i="23"/>
  <c r="K690" i="23"/>
  <c r="K691" i="23"/>
  <c r="K692" i="23"/>
  <c r="K693" i="23"/>
  <c r="K694" i="23"/>
  <c r="K695" i="23"/>
  <c r="K696" i="23"/>
  <c r="K697" i="23"/>
  <c r="K698" i="23"/>
  <c r="K699" i="23"/>
  <c r="K700" i="23"/>
  <c r="K701" i="23"/>
  <c r="K702" i="23"/>
  <c r="K703" i="23"/>
  <c r="K704" i="23"/>
  <c r="K705" i="23"/>
  <c r="K706" i="23"/>
  <c r="K707" i="23"/>
  <c r="K708" i="23"/>
  <c r="K709" i="23"/>
  <c r="K710" i="23"/>
  <c r="K711" i="23"/>
  <c r="K712" i="23"/>
  <c r="K713" i="23"/>
  <c r="K714" i="23"/>
  <c r="K715" i="23"/>
  <c r="K716" i="23"/>
  <c r="K717" i="23"/>
  <c r="K718" i="23"/>
  <c r="K719" i="23"/>
  <c r="K720" i="23"/>
  <c r="K721" i="23"/>
  <c r="K722" i="23"/>
  <c r="K723" i="23"/>
  <c r="K724" i="23"/>
  <c r="K725" i="23"/>
  <c r="K726" i="23"/>
  <c r="K727" i="23"/>
  <c r="K728" i="23"/>
  <c r="K729" i="23"/>
  <c r="K730" i="23"/>
  <c r="K731" i="23"/>
  <c r="K732" i="23"/>
  <c r="K733" i="23"/>
  <c r="K734" i="23"/>
  <c r="K735" i="23"/>
  <c r="K736" i="23"/>
  <c r="K737" i="23"/>
  <c r="K738" i="23"/>
  <c r="K739" i="23"/>
  <c r="K740" i="23"/>
  <c r="K741" i="23"/>
  <c r="K742" i="23"/>
  <c r="K743" i="23"/>
  <c r="K744" i="23"/>
  <c r="K745" i="23"/>
  <c r="K746" i="23"/>
  <c r="K747" i="23"/>
  <c r="K748" i="23"/>
  <c r="K749" i="23"/>
  <c r="K750" i="23"/>
  <c r="K751" i="23"/>
  <c r="K752" i="23"/>
  <c r="K753" i="23"/>
  <c r="K754" i="23"/>
  <c r="K755" i="23"/>
  <c r="K756" i="23"/>
  <c r="K757" i="23"/>
  <c r="K758" i="23"/>
  <c r="K759" i="23"/>
  <c r="K760" i="23"/>
  <c r="K761" i="23"/>
  <c r="K762" i="23"/>
  <c r="K763" i="23"/>
  <c r="K764" i="23"/>
  <c r="K765" i="23"/>
  <c r="K766" i="23"/>
  <c r="K767" i="23"/>
  <c r="K768" i="23"/>
  <c r="K769" i="23"/>
  <c r="K770" i="23"/>
  <c r="K771" i="23"/>
  <c r="K772" i="23"/>
  <c r="K773" i="23"/>
  <c r="K774" i="23"/>
  <c r="K775" i="23"/>
  <c r="K776" i="23"/>
  <c r="K777" i="23"/>
  <c r="K778" i="23"/>
  <c r="K779" i="23"/>
  <c r="K780" i="23"/>
  <c r="K781" i="23"/>
  <c r="K782" i="23"/>
  <c r="K783" i="23"/>
  <c r="K784" i="23"/>
  <c r="K785" i="23"/>
  <c r="K786" i="23"/>
  <c r="K787" i="23"/>
  <c r="K788" i="23"/>
  <c r="K789" i="23"/>
  <c r="K790" i="23"/>
  <c r="K791" i="23"/>
  <c r="K792" i="23"/>
  <c r="K793" i="23"/>
  <c r="K794" i="23"/>
  <c r="K795" i="23"/>
  <c r="K796" i="23"/>
  <c r="K797" i="23"/>
  <c r="K798" i="23"/>
  <c r="K799" i="23"/>
  <c r="K800" i="23"/>
  <c r="K801" i="23"/>
  <c r="K802" i="23"/>
  <c r="K803" i="23"/>
  <c r="K804" i="23"/>
  <c r="K805" i="23"/>
  <c r="K806" i="23"/>
  <c r="K807" i="23"/>
  <c r="K808" i="23"/>
  <c r="K809" i="23"/>
  <c r="K810" i="23"/>
  <c r="K811" i="23"/>
  <c r="K812" i="23"/>
  <c r="K813" i="23"/>
  <c r="K814" i="23"/>
  <c r="K815" i="23"/>
  <c r="K816" i="23"/>
  <c r="K817" i="23"/>
  <c r="K818" i="23"/>
  <c r="K819" i="23"/>
  <c r="K820" i="23"/>
  <c r="K821" i="23"/>
  <c r="K822" i="23"/>
  <c r="K823" i="23"/>
  <c r="K824" i="23"/>
  <c r="K825" i="23"/>
  <c r="K826" i="23"/>
  <c r="K827" i="23"/>
  <c r="K828" i="23"/>
  <c r="K829" i="23"/>
  <c r="K830" i="23"/>
  <c r="K831" i="23"/>
  <c r="K832" i="23"/>
  <c r="K833" i="23"/>
  <c r="K834" i="23"/>
  <c r="K835" i="23"/>
  <c r="K836" i="23"/>
  <c r="K837" i="23"/>
  <c r="K838" i="23"/>
  <c r="K839" i="23"/>
  <c r="K840" i="23"/>
  <c r="K841" i="23"/>
  <c r="K842" i="23"/>
  <c r="K843" i="23"/>
  <c r="K844" i="23"/>
  <c r="K845" i="23"/>
  <c r="K846" i="23"/>
  <c r="K847" i="23"/>
  <c r="K848" i="23"/>
  <c r="K849" i="23"/>
  <c r="K850" i="23"/>
  <c r="K851" i="23"/>
  <c r="K852" i="23"/>
  <c r="K853" i="23"/>
  <c r="K854" i="23"/>
  <c r="K855" i="23"/>
  <c r="K856" i="23"/>
  <c r="K857" i="23"/>
  <c r="K858" i="23"/>
  <c r="K859" i="23"/>
  <c r="K860" i="23"/>
  <c r="K861" i="23"/>
  <c r="K862" i="23"/>
  <c r="K863" i="23"/>
  <c r="K864" i="23"/>
  <c r="K865" i="23"/>
  <c r="K866" i="23"/>
  <c r="K867" i="23"/>
  <c r="K868" i="23"/>
  <c r="K869" i="23"/>
  <c r="K870" i="23"/>
  <c r="K871" i="23"/>
  <c r="K872" i="23"/>
  <c r="K873" i="23"/>
  <c r="K874" i="23"/>
  <c r="K875" i="23"/>
  <c r="K876" i="23"/>
  <c r="K877" i="23"/>
  <c r="K878" i="23"/>
  <c r="K879" i="23"/>
  <c r="K880" i="23"/>
  <c r="K881" i="23"/>
  <c r="K882" i="23"/>
  <c r="K883" i="23"/>
  <c r="K884" i="23"/>
  <c r="K885" i="23"/>
  <c r="K886" i="23"/>
  <c r="K887" i="23"/>
  <c r="K888" i="23"/>
  <c r="K889" i="23"/>
  <c r="K890" i="23"/>
  <c r="K891" i="23"/>
  <c r="K892" i="23"/>
  <c r="K893" i="23"/>
  <c r="K894" i="23"/>
  <c r="K895" i="23"/>
  <c r="K896" i="23"/>
  <c r="K897" i="23"/>
  <c r="K898" i="23"/>
  <c r="K899" i="23"/>
  <c r="K900" i="23"/>
  <c r="K901" i="23"/>
  <c r="K902" i="23"/>
  <c r="K903" i="23"/>
  <c r="K904" i="23"/>
  <c r="K905" i="23"/>
  <c r="K906" i="23"/>
  <c r="K907" i="23"/>
  <c r="K908" i="23"/>
  <c r="K909" i="23"/>
  <c r="K910" i="23"/>
  <c r="K911" i="23"/>
  <c r="K912" i="23"/>
  <c r="K913" i="23"/>
  <c r="K914" i="23"/>
  <c r="K915" i="23"/>
  <c r="K916" i="23"/>
  <c r="K917" i="23"/>
  <c r="K918" i="23"/>
  <c r="K919" i="23"/>
  <c r="K920" i="23"/>
  <c r="K921" i="23"/>
  <c r="K922" i="23"/>
  <c r="K923" i="23"/>
  <c r="K924" i="23"/>
  <c r="K925" i="23"/>
  <c r="K926" i="23"/>
  <c r="K927" i="23"/>
  <c r="K928" i="23"/>
  <c r="K929" i="23"/>
  <c r="K930" i="23"/>
  <c r="K931" i="23"/>
  <c r="K932" i="23"/>
  <c r="K933" i="23"/>
  <c r="K934" i="23"/>
  <c r="K935" i="23"/>
  <c r="K936" i="23"/>
  <c r="K937" i="23"/>
  <c r="K938" i="23"/>
  <c r="K939" i="23"/>
  <c r="K940" i="23"/>
  <c r="K941" i="23"/>
  <c r="K942" i="23"/>
  <c r="K943" i="23"/>
  <c r="K944" i="23"/>
  <c r="K945" i="23"/>
  <c r="K946" i="23"/>
  <c r="K947" i="23"/>
  <c r="K948" i="23"/>
  <c r="K949" i="23"/>
  <c r="K950" i="23"/>
  <c r="K951" i="23"/>
  <c r="K952" i="23"/>
  <c r="K953" i="23"/>
  <c r="K954" i="23"/>
  <c r="K955" i="23"/>
  <c r="K956" i="23"/>
  <c r="K957" i="23"/>
  <c r="K958" i="23"/>
  <c r="K959" i="23"/>
  <c r="K960" i="23"/>
  <c r="K961" i="23"/>
  <c r="K962" i="23"/>
  <c r="K963" i="23"/>
  <c r="K964" i="23"/>
  <c r="K965" i="23"/>
  <c r="K966" i="23"/>
  <c r="K967" i="23"/>
  <c r="K968" i="23"/>
  <c r="K969" i="23"/>
  <c r="K970" i="23"/>
  <c r="K971" i="23"/>
  <c r="K972" i="23"/>
  <c r="K973" i="23"/>
  <c r="K974" i="23"/>
  <c r="K975" i="23"/>
  <c r="K976" i="23"/>
  <c r="K977" i="23"/>
  <c r="K978" i="23"/>
  <c r="K979" i="23"/>
  <c r="K980" i="23"/>
  <c r="K981" i="23"/>
  <c r="K982" i="23"/>
  <c r="K983" i="23"/>
  <c r="K984" i="23"/>
  <c r="K985" i="23"/>
  <c r="K986" i="23"/>
  <c r="K987" i="23"/>
  <c r="K988" i="23"/>
  <c r="K989" i="23"/>
  <c r="K990" i="23"/>
  <c r="K991" i="23"/>
  <c r="K992" i="23"/>
  <c r="K993" i="23"/>
  <c r="K994" i="23"/>
  <c r="K995" i="23"/>
  <c r="K996" i="23"/>
  <c r="K997" i="23"/>
  <c r="K998" i="23"/>
  <c r="K999" i="23"/>
  <c r="K1000" i="23"/>
  <c r="K1001" i="23"/>
  <c r="K1002" i="23"/>
  <c r="K1003" i="23"/>
  <c r="K1004" i="23"/>
  <c r="K1005" i="23"/>
  <c r="K1006" i="23"/>
  <c r="K1007" i="23"/>
  <c r="K1008" i="23"/>
  <c r="K1009" i="23"/>
  <c r="K1010" i="23"/>
  <c r="K1011" i="23"/>
  <c r="K1012" i="23"/>
  <c r="K1013" i="23"/>
  <c r="K1014" i="23"/>
  <c r="K1015" i="23"/>
  <c r="K1016" i="23"/>
  <c r="K1017" i="23"/>
  <c r="K1018" i="23"/>
  <c r="K1019" i="23"/>
  <c r="K1020" i="23"/>
  <c r="K1021" i="23"/>
  <c r="K1022" i="23"/>
  <c r="K1023" i="23"/>
  <c r="K1024" i="23"/>
  <c r="K1025" i="23"/>
  <c r="K1026" i="23"/>
  <c r="K1027" i="23"/>
  <c r="K1028" i="23"/>
  <c r="K1029" i="23"/>
  <c r="K1030" i="23"/>
  <c r="K1031" i="23"/>
  <c r="K1032" i="23"/>
  <c r="K1033" i="23"/>
  <c r="K1034" i="23"/>
  <c r="K1035" i="23"/>
  <c r="K1036" i="23"/>
  <c r="K1037" i="23"/>
  <c r="K1038" i="23"/>
  <c r="K1039" i="23"/>
  <c r="K1040" i="23"/>
  <c r="K1041" i="23"/>
  <c r="K1042" i="23"/>
  <c r="K1043" i="23"/>
  <c r="K1044" i="23"/>
  <c r="K1045" i="23"/>
  <c r="K1046" i="23"/>
  <c r="K1047" i="23"/>
  <c r="K1048" i="23"/>
  <c r="K1049" i="23"/>
  <c r="K1050" i="23"/>
  <c r="K1051" i="23"/>
  <c r="K1052" i="23"/>
  <c r="K1053" i="23"/>
  <c r="K1054" i="23"/>
  <c r="K1055" i="23"/>
  <c r="K1056" i="23"/>
  <c r="K1057" i="23"/>
  <c r="K1058" i="23"/>
  <c r="K1059" i="23"/>
  <c r="K1060" i="23"/>
  <c r="K1061" i="23"/>
  <c r="K1062" i="23"/>
  <c r="K1063" i="23"/>
  <c r="K1064" i="23"/>
  <c r="K1065" i="23"/>
  <c r="K1066" i="23"/>
  <c r="K1067" i="23"/>
  <c r="K1068" i="23"/>
  <c r="K1069" i="23"/>
  <c r="K1070" i="23"/>
  <c r="K1071" i="23"/>
  <c r="K1072" i="23"/>
  <c r="K1073" i="23"/>
  <c r="K1074" i="23"/>
  <c r="K1075" i="23"/>
  <c r="K1076" i="23"/>
  <c r="K1077" i="23"/>
  <c r="K1078" i="23"/>
  <c r="K1079" i="23"/>
  <c r="K1080" i="23"/>
  <c r="K1081" i="23"/>
  <c r="K1082" i="23"/>
  <c r="K1083" i="23"/>
  <c r="K1084" i="23"/>
  <c r="K1085" i="23"/>
  <c r="K1086" i="23"/>
  <c r="K1087" i="23"/>
  <c r="K1088" i="23"/>
  <c r="K1089" i="23"/>
  <c r="K1090" i="23"/>
  <c r="K1091" i="23"/>
  <c r="K1092" i="23"/>
  <c r="K1093" i="23"/>
  <c r="K1094" i="23"/>
  <c r="K1095" i="23"/>
  <c r="K1096" i="23"/>
  <c r="K1097" i="23"/>
  <c r="K1098" i="23"/>
  <c r="K1099" i="23"/>
  <c r="K1100" i="23"/>
  <c r="K1101" i="23"/>
  <c r="K1102" i="23"/>
  <c r="K1103" i="23"/>
  <c r="K1104" i="23"/>
  <c r="K1105" i="23"/>
  <c r="K1106" i="23"/>
  <c r="K1107" i="23"/>
  <c r="K1108" i="23"/>
  <c r="K1109" i="23"/>
  <c r="K1110" i="23"/>
  <c r="K1111" i="23"/>
  <c r="K1112" i="23"/>
  <c r="K1113" i="23"/>
  <c r="K1114" i="23"/>
  <c r="K1115" i="23"/>
  <c r="K1116" i="23"/>
  <c r="K1117" i="23"/>
  <c r="K1118" i="23"/>
  <c r="K1119" i="23"/>
  <c r="K1120" i="23"/>
  <c r="K1121" i="23"/>
  <c r="K1122" i="23"/>
  <c r="K1123" i="23"/>
  <c r="K1124" i="23"/>
  <c r="K1125" i="23"/>
  <c r="K1126" i="23"/>
  <c r="K1127" i="23"/>
  <c r="K1128" i="23"/>
  <c r="K1129" i="23"/>
  <c r="K1130" i="23"/>
  <c r="K1131" i="23"/>
  <c r="K1132" i="23"/>
  <c r="K1133" i="23"/>
  <c r="K1134" i="23"/>
  <c r="K1135" i="23"/>
  <c r="K1136" i="23"/>
  <c r="K1137" i="23"/>
  <c r="K1138" i="23"/>
  <c r="K1139" i="23"/>
  <c r="K1140" i="23"/>
  <c r="K1141" i="23"/>
  <c r="K1142" i="23"/>
  <c r="K1143" i="23"/>
  <c r="K1144" i="23"/>
  <c r="K1145" i="23"/>
  <c r="K1146" i="23"/>
  <c r="K1147" i="23"/>
  <c r="K1148" i="23"/>
  <c r="K1149" i="23"/>
  <c r="K1150" i="23"/>
  <c r="K1151" i="23"/>
  <c r="K1152" i="23"/>
  <c r="K1153" i="23"/>
  <c r="K1154" i="23"/>
  <c r="K1155" i="23"/>
  <c r="K1156" i="23"/>
  <c r="K1157" i="23"/>
  <c r="K1158" i="23"/>
  <c r="K1159" i="23"/>
  <c r="K1160" i="23"/>
  <c r="K1161" i="23"/>
  <c r="K1162" i="23"/>
  <c r="K1163" i="23"/>
  <c r="K1164" i="23"/>
  <c r="K1165" i="23"/>
  <c r="K1166" i="23"/>
  <c r="K1167" i="23"/>
  <c r="K1168" i="23"/>
  <c r="K1169" i="23"/>
  <c r="K1170" i="23"/>
  <c r="K1171" i="23"/>
  <c r="K1172" i="23"/>
  <c r="K1173" i="23"/>
  <c r="K1174" i="23"/>
  <c r="K1175" i="23"/>
  <c r="K1176" i="23"/>
  <c r="K1177" i="23"/>
  <c r="K1178" i="23"/>
  <c r="K1179" i="23"/>
  <c r="K1180" i="23"/>
  <c r="K1181" i="23"/>
  <c r="K1182" i="23"/>
  <c r="K1183" i="23"/>
  <c r="K1184" i="23"/>
  <c r="K1185" i="23"/>
  <c r="K1186" i="23"/>
  <c r="K1187" i="23"/>
  <c r="K1188" i="23"/>
  <c r="K1189" i="23"/>
  <c r="K1190" i="23"/>
  <c r="K1191" i="23"/>
  <c r="K1192" i="23"/>
  <c r="K1193" i="23"/>
  <c r="K1194" i="23"/>
  <c r="K1195" i="23"/>
  <c r="K1196" i="23"/>
  <c r="K1197" i="23"/>
  <c r="K1198" i="23"/>
  <c r="K1199" i="23"/>
  <c r="K1200" i="23"/>
  <c r="K1201" i="23"/>
  <c r="K1202" i="23"/>
  <c r="K1203" i="23"/>
  <c r="K1204" i="23"/>
  <c r="K1205" i="23"/>
  <c r="K1206" i="23"/>
  <c r="K1207" i="23"/>
  <c r="K1208" i="23"/>
  <c r="K1209" i="23"/>
  <c r="K1210" i="23"/>
  <c r="K1211" i="23"/>
  <c r="K1212" i="23"/>
  <c r="K1213" i="23"/>
  <c r="K1214" i="23"/>
  <c r="K1215" i="23"/>
  <c r="K1216" i="23"/>
  <c r="K1217" i="23"/>
  <c r="K1218" i="23"/>
  <c r="K1219" i="23"/>
  <c r="K1220" i="23"/>
  <c r="K1221" i="23"/>
  <c r="K1222" i="23"/>
  <c r="K1223" i="23"/>
  <c r="K1224" i="23"/>
  <c r="K1225" i="23"/>
  <c r="K1226" i="23"/>
  <c r="K1227" i="23"/>
  <c r="K1228" i="23"/>
  <c r="K1229" i="23"/>
  <c r="K1230" i="23"/>
  <c r="K1231" i="23"/>
  <c r="K1232" i="23"/>
  <c r="K1233" i="23"/>
  <c r="K1234" i="23"/>
  <c r="K1235" i="23"/>
  <c r="K1236" i="23"/>
  <c r="K1237" i="23"/>
  <c r="K1238" i="23"/>
  <c r="K1239" i="23"/>
  <c r="K1240" i="23"/>
  <c r="K1241" i="23"/>
  <c r="K1242" i="23"/>
  <c r="K1243" i="23"/>
  <c r="K1244" i="23"/>
  <c r="K1245" i="23"/>
  <c r="K1246" i="23"/>
  <c r="K1247" i="23"/>
  <c r="K1248" i="23"/>
  <c r="K1249" i="23"/>
  <c r="K1250" i="23"/>
  <c r="K1251" i="23"/>
  <c r="K1252" i="23"/>
  <c r="K1253" i="23"/>
  <c r="K1254" i="23"/>
  <c r="K1255" i="23"/>
  <c r="K1256" i="23"/>
  <c r="K1257" i="23"/>
  <c r="K1258" i="23"/>
  <c r="K1259" i="23"/>
  <c r="K1260" i="23"/>
  <c r="K1261" i="23"/>
  <c r="K1262" i="23"/>
  <c r="K1263" i="23"/>
  <c r="K1264" i="23"/>
  <c r="K1265" i="23"/>
  <c r="K1266" i="23"/>
  <c r="K1267" i="23"/>
  <c r="K1268" i="23"/>
  <c r="K1269" i="23"/>
  <c r="K1270" i="23"/>
  <c r="K1271" i="23"/>
  <c r="K1272" i="23"/>
  <c r="K1273" i="23"/>
  <c r="K1274" i="23"/>
  <c r="K1275" i="23"/>
  <c r="K1276" i="23"/>
  <c r="K1277" i="23"/>
  <c r="K1278" i="23"/>
  <c r="K1279" i="23"/>
  <c r="K1280" i="23"/>
  <c r="K1281" i="23"/>
  <c r="K1282" i="23"/>
  <c r="K1283" i="23"/>
  <c r="K1284" i="23"/>
  <c r="K1285" i="23"/>
  <c r="K1286" i="23"/>
  <c r="K1287" i="23"/>
  <c r="K1288" i="23"/>
  <c r="K1289" i="23"/>
  <c r="K1290" i="23"/>
  <c r="K1291" i="23"/>
  <c r="K1292" i="23"/>
  <c r="K1293" i="23"/>
  <c r="K1294" i="23"/>
  <c r="K1295" i="23"/>
  <c r="K1296" i="23"/>
  <c r="K1297" i="23"/>
  <c r="K1298" i="23"/>
  <c r="K1299" i="23"/>
  <c r="K1300" i="23"/>
  <c r="K1301" i="23"/>
  <c r="K1302" i="23"/>
  <c r="K1303" i="23"/>
  <c r="K1304" i="23"/>
  <c r="K1305" i="23"/>
  <c r="K1306" i="23"/>
  <c r="K1307" i="23"/>
  <c r="K1308" i="23"/>
  <c r="K1309" i="23"/>
  <c r="K1310" i="23"/>
  <c r="K1311" i="23"/>
  <c r="K1312" i="23"/>
  <c r="K1313" i="23"/>
  <c r="K1314" i="23"/>
  <c r="K1315" i="23"/>
  <c r="K1316" i="23"/>
  <c r="K1317" i="23"/>
  <c r="K1318" i="23"/>
  <c r="K1319" i="23"/>
  <c r="K1320" i="23"/>
  <c r="K1321" i="23"/>
  <c r="K1322" i="23"/>
  <c r="K1323" i="23"/>
  <c r="K1324" i="23"/>
  <c r="K1325" i="23"/>
  <c r="K1326" i="23"/>
  <c r="K1327" i="23"/>
  <c r="K1328" i="23"/>
  <c r="K1329" i="23"/>
  <c r="K1330" i="23"/>
  <c r="K1331" i="23"/>
  <c r="K1332" i="23"/>
  <c r="K1333" i="23"/>
  <c r="K1334" i="23"/>
  <c r="K1335" i="23"/>
  <c r="K1336" i="23"/>
  <c r="K1337" i="23"/>
  <c r="K1338" i="23"/>
  <c r="K1339" i="23"/>
  <c r="K1340" i="23"/>
  <c r="K1341" i="23"/>
  <c r="K1342" i="23"/>
  <c r="K1343" i="23"/>
  <c r="K1344" i="23"/>
  <c r="K1345" i="23"/>
  <c r="K1346" i="23"/>
  <c r="K1347" i="23"/>
  <c r="K1348" i="23"/>
  <c r="K1349" i="23"/>
  <c r="K1350" i="23"/>
  <c r="K1351" i="23"/>
  <c r="K1352" i="23"/>
  <c r="K1353" i="23"/>
  <c r="K1354" i="23"/>
  <c r="K1355" i="23"/>
  <c r="K1356" i="23"/>
  <c r="K1357" i="23"/>
  <c r="K1358" i="23"/>
  <c r="K1359" i="23"/>
  <c r="K1360" i="23"/>
  <c r="K1361" i="23"/>
  <c r="K1362" i="23"/>
  <c r="K1363" i="23"/>
  <c r="K1364" i="23"/>
  <c r="K1365" i="23"/>
  <c r="K1366" i="23"/>
  <c r="K1367" i="23"/>
  <c r="K1368" i="23"/>
  <c r="K1369" i="23"/>
  <c r="K1370" i="23"/>
  <c r="K1371" i="23"/>
  <c r="K1372" i="23"/>
  <c r="K1373" i="23"/>
  <c r="K1374" i="23"/>
  <c r="K1375" i="23"/>
  <c r="K1376" i="23"/>
  <c r="K1377" i="23"/>
  <c r="K1378" i="23"/>
  <c r="K1379" i="23"/>
  <c r="K1380" i="23"/>
  <c r="K1381" i="23"/>
  <c r="K1382" i="23"/>
  <c r="K1383" i="23"/>
  <c r="K1384" i="23"/>
  <c r="K1385" i="23"/>
  <c r="K1386" i="23"/>
  <c r="K1387" i="23"/>
  <c r="K1388" i="23"/>
  <c r="K1389" i="23"/>
  <c r="K1390" i="23"/>
  <c r="K1391" i="23"/>
  <c r="K1392" i="23"/>
  <c r="K1393" i="23"/>
  <c r="K1394" i="23"/>
  <c r="K1395" i="23"/>
  <c r="K1396" i="23"/>
  <c r="K1397" i="23"/>
  <c r="K1398" i="23"/>
  <c r="K1399" i="23"/>
  <c r="K1400" i="23"/>
  <c r="K1401" i="23"/>
  <c r="K1402" i="23"/>
  <c r="K1403" i="23"/>
  <c r="K1404" i="23"/>
  <c r="K1405" i="23"/>
  <c r="K1406" i="23"/>
  <c r="K1407" i="23"/>
  <c r="K1408" i="23"/>
  <c r="K1409" i="23"/>
  <c r="K1410" i="23"/>
  <c r="K1411" i="23"/>
  <c r="K1412" i="23"/>
  <c r="K1413" i="23"/>
  <c r="K1414" i="23"/>
  <c r="K1415" i="23"/>
  <c r="K1416" i="23"/>
  <c r="K1417" i="23"/>
  <c r="K1418" i="23"/>
  <c r="K1419" i="23"/>
  <c r="K1420" i="23"/>
  <c r="K1421" i="23"/>
  <c r="K1422" i="23"/>
  <c r="K1423" i="23"/>
  <c r="K1424" i="23"/>
  <c r="K1425" i="23"/>
  <c r="K1426" i="23"/>
  <c r="K1427" i="23"/>
  <c r="K1428" i="23"/>
  <c r="K1429" i="23"/>
  <c r="K1430" i="23"/>
  <c r="K1431" i="23"/>
  <c r="K1432" i="23"/>
  <c r="K1433" i="23"/>
  <c r="K1434" i="23"/>
  <c r="K1435" i="23"/>
  <c r="K1436" i="23"/>
  <c r="K1437" i="23"/>
  <c r="K1438" i="23"/>
  <c r="K1439" i="23"/>
  <c r="K1440" i="23"/>
  <c r="K1441" i="23"/>
  <c r="K1442" i="23"/>
  <c r="K1443" i="23"/>
  <c r="K1444" i="23"/>
  <c r="K1445" i="23"/>
  <c r="K1446" i="23"/>
  <c r="K1447" i="23"/>
  <c r="K1448" i="23"/>
  <c r="K1449" i="23"/>
  <c r="K1450" i="23"/>
  <c r="K1451" i="23"/>
  <c r="K1452" i="23"/>
  <c r="K1453" i="23"/>
  <c r="K1454" i="23"/>
  <c r="K1455" i="23"/>
  <c r="K1456" i="23"/>
  <c r="K1457" i="23"/>
  <c r="K1458" i="23"/>
  <c r="K1459" i="23"/>
  <c r="K1460" i="23"/>
  <c r="K1461" i="23"/>
  <c r="K1462" i="23"/>
  <c r="K1463" i="23"/>
  <c r="K1464" i="23"/>
  <c r="K1465" i="23"/>
  <c r="K1466" i="23"/>
  <c r="K1467" i="23"/>
  <c r="K1468" i="23"/>
  <c r="K1469" i="23"/>
  <c r="K1470" i="23"/>
  <c r="K1471" i="23"/>
  <c r="K1472" i="23"/>
  <c r="K1473" i="23"/>
  <c r="K1474" i="23"/>
  <c r="K1475" i="23"/>
  <c r="K1476" i="23"/>
  <c r="K1477" i="23"/>
  <c r="K1478" i="23"/>
  <c r="K1479" i="23"/>
  <c r="K1480" i="23"/>
  <c r="K1481" i="23"/>
  <c r="K1482" i="23"/>
  <c r="K1483" i="23"/>
  <c r="K1484" i="23"/>
  <c r="K1485" i="23"/>
  <c r="K1486" i="23"/>
  <c r="K1487" i="23"/>
  <c r="K1488" i="23"/>
  <c r="K1489" i="23"/>
  <c r="K1490" i="23"/>
  <c r="K1491" i="23"/>
  <c r="K1492" i="23"/>
  <c r="K1493" i="23"/>
  <c r="K1494" i="23"/>
  <c r="K1495" i="23"/>
  <c r="K1496" i="23"/>
  <c r="K1497" i="23"/>
  <c r="K1498" i="23"/>
  <c r="K1499" i="23"/>
  <c r="K1500" i="23"/>
  <c r="K1501" i="23"/>
  <c r="K1502" i="23"/>
  <c r="K1503" i="23"/>
  <c r="K1504" i="23"/>
  <c r="K1505" i="23"/>
  <c r="K1506" i="23"/>
  <c r="K1507" i="23"/>
  <c r="K1508" i="23"/>
  <c r="K1509" i="23"/>
  <c r="K1510" i="23"/>
  <c r="K1511" i="23"/>
  <c r="K1512" i="23"/>
  <c r="K1513" i="23"/>
  <c r="K1514" i="23"/>
  <c r="K1515" i="23"/>
  <c r="K1516" i="23"/>
  <c r="K1517" i="23"/>
  <c r="K1518" i="23"/>
  <c r="K1519" i="23"/>
  <c r="K1520" i="23"/>
  <c r="K1521" i="23"/>
  <c r="K1522" i="23"/>
  <c r="K1523" i="23"/>
  <c r="K1524" i="23"/>
  <c r="K1525" i="23"/>
  <c r="K1526" i="23"/>
  <c r="K1527" i="23"/>
  <c r="K1528" i="23"/>
  <c r="K1529" i="23"/>
  <c r="K1530" i="23"/>
  <c r="K1531" i="23"/>
  <c r="K1532" i="23"/>
  <c r="K1533" i="23"/>
  <c r="K1534" i="23"/>
  <c r="K1535" i="23"/>
  <c r="K1536" i="23"/>
  <c r="K1537" i="23"/>
  <c r="K1538" i="23"/>
  <c r="K1539" i="23"/>
  <c r="K1540" i="23"/>
  <c r="K1541" i="23"/>
  <c r="K1542" i="23"/>
  <c r="K1543" i="23"/>
  <c r="K1544" i="23"/>
  <c r="K1545" i="23"/>
  <c r="K1546" i="23"/>
  <c r="K1547" i="23"/>
  <c r="K1548" i="23"/>
  <c r="K1549" i="23"/>
  <c r="K1550" i="23"/>
  <c r="K1551" i="23"/>
  <c r="K1552" i="23"/>
  <c r="K1553" i="23"/>
  <c r="K1554" i="23"/>
  <c r="K1555" i="23"/>
  <c r="K1556" i="23"/>
  <c r="K1557" i="23"/>
  <c r="K1558" i="23"/>
  <c r="K1559" i="23"/>
  <c r="K1560" i="23"/>
  <c r="K1561" i="23"/>
  <c r="K1562" i="23"/>
  <c r="K1563" i="23"/>
  <c r="K1564" i="23"/>
  <c r="K1565" i="23"/>
  <c r="K1566" i="23"/>
  <c r="K1567" i="23"/>
  <c r="K1568" i="23"/>
  <c r="K1569" i="23"/>
  <c r="K1570" i="23"/>
  <c r="K1571" i="23"/>
  <c r="K1572" i="23"/>
  <c r="K1573" i="23"/>
  <c r="K1574" i="23"/>
  <c r="K1575" i="23"/>
  <c r="K1576" i="23"/>
  <c r="K1577" i="23"/>
  <c r="K1578" i="23"/>
  <c r="K1579" i="23"/>
  <c r="K1580" i="23"/>
  <c r="K1581" i="23"/>
  <c r="K1582" i="23"/>
  <c r="K1583" i="23"/>
  <c r="K1584" i="23"/>
  <c r="K1585" i="23"/>
  <c r="K1586" i="23"/>
  <c r="K1587" i="23"/>
  <c r="K1588" i="23"/>
  <c r="K1589" i="23"/>
  <c r="K1590" i="23"/>
  <c r="K1591" i="23"/>
  <c r="K1592" i="23"/>
  <c r="K1593" i="23"/>
  <c r="K1594" i="23"/>
  <c r="K1595" i="23"/>
  <c r="K1596" i="23"/>
  <c r="K1597" i="23"/>
  <c r="K1598" i="23"/>
  <c r="K1599" i="23"/>
  <c r="K1600" i="23"/>
  <c r="K1601" i="23"/>
  <c r="K1602" i="23"/>
  <c r="K1603" i="23"/>
  <c r="K1604" i="23"/>
  <c r="K1605" i="23"/>
  <c r="K1606" i="23"/>
  <c r="K1607" i="23"/>
  <c r="K1608" i="23"/>
  <c r="K1609" i="23"/>
  <c r="K1610" i="23"/>
  <c r="K1611" i="23"/>
  <c r="K1612" i="23"/>
  <c r="K1613" i="23"/>
  <c r="K1614" i="23"/>
  <c r="K1615" i="23"/>
  <c r="K1616" i="23"/>
  <c r="K1617" i="23"/>
  <c r="K1618" i="23"/>
  <c r="K1619" i="23"/>
  <c r="K1620" i="23"/>
  <c r="K1621" i="23"/>
  <c r="K1622" i="23"/>
  <c r="K1623" i="23"/>
  <c r="K1624" i="23"/>
  <c r="K1625" i="23"/>
  <c r="K1626" i="23"/>
  <c r="K1627" i="23"/>
  <c r="K1628" i="23"/>
  <c r="K1629" i="23"/>
  <c r="K1630" i="23"/>
  <c r="K1631" i="23"/>
  <c r="K1632" i="23"/>
  <c r="K1633" i="23"/>
  <c r="K1634" i="23"/>
  <c r="K1635" i="23"/>
  <c r="K1636" i="23"/>
  <c r="K1637" i="23"/>
  <c r="K1638" i="23"/>
  <c r="K1639" i="23"/>
  <c r="K1640" i="23"/>
  <c r="K1641" i="23"/>
  <c r="K1642" i="23"/>
  <c r="K1643" i="23"/>
  <c r="K1644" i="23"/>
  <c r="K1645" i="23"/>
  <c r="K1646" i="23"/>
  <c r="K1647" i="23"/>
  <c r="K1648" i="23"/>
  <c r="K1649" i="23"/>
  <c r="K1650" i="23"/>
  <c r="K1651" i="23"/>
  <c r="K1652" i="23"/>
  <c r="K1653" i="23"/>
  <c r="K1654" i="23"/>
  <c r="K1655" i="23"/>
  <c r="K1656" i="23"/>
  <c r="K1657" i="23"/>
  <c r="K1658" i="23"/>
  <c r="K1659" i="23"/>
  <c r="K1660" i="23"/>
  <c r="K1661" i="23"/>
  <c r="K1662" i="23"/>
  <c r="K1663" i="23"/>
  <c r="K1664" i="23"/>
  <c r="K1665" i="23"/>
  <c r="K1666" i="23"/>
  <c r="K1667" i="23"/>
  <c r="K1668" i="23"/>
  <c r="K1669" i="23"/>
  <c r="K1670" i="23"/>
  <c r="K1671" i="23"/>
  <c r="K1672" i="23"/>
  <c r="K1673" i="23"/>
  <c r="K1674" i="23"/>
  <c r="K1675" i="23"/>
  <c r="K1676" i="23"/>
  <c r="K1677" i="23"/>
  <c r="K1678" i="23"/>
  <c r="K1679" i="23"/>
  <c r="K1680" i="23"/>
  <c r="K1681" i="23"/>
  <c r="K1682" i="23"/>
  <c r="K1683" i="23"/>
  <c r="K1684" i="23"/>
  <c r="K1685" i="23"/>
  <c r="K1686" i="23"/>
  <c r="K1687" i="23"/>
  <c r="K1688" i="23"/>
  <c r="K1689" i="23"/>
  <c r="K1690" i="23"/>
  <c r="K1691" i="23"/>
  <c r="K1692" i="23"/>
  <c r="K1693" i="23"/>
  <c r="K1694" i="23"/>
  <c r="K1695" i="23"/>
  <c r="K1696" i="23"/>
  <c r="K1697" i="23"/>
  <c r="K1698" i="23"/>
  <c r="K1699" i="23"/>
  <c r="K1700" i="23"/>
  <c r="K1701" i="23"/>
  <c r="K1702" i="23"/>
  <c r="K1703" i="23"/>
  <c r="K1704" i="23"/>
  <c r="K1705" i="23"/>
  <c r="K1706" i="23"/>
  <c r="K1707" i="23"/>
  <c r="K1708" i="23"/>
  <c r="K1709" i="23"/>
  <c r="K1710" i="23"/>
  <c r="K1711" i="23"/>
  <c r="K1712" i="23"/>
  <c r="K1713" i="23"/>
  <c r="K1714" i="23"/>
  <c r="K1715" i="23"/>
  <c r="K1716" i="23"/>
  <c r="K1717" i="23"/>
  <c r="K1718" i="23"/>
  <c r="K1719" i="23"/>
  <c r="K1720" i="23"/>
  <c r="K1721" i="23"/>
  <c r="K1722" i="23"/>
  <c r="K1723" i="23"/>
  <c r="K1724" i="23"/>
  <c r="K1725" i="23"/>
  <c r="K1726" i="23"/>
  <c r="K1727" i="23"/>
  <c r="K1728" i="23"/>
  <c r="K1729" i="23"/>
  <c r="K1730" i="23"/>
  <c r="K1731" i="23"/>
  <c r="K1732" i="23"/>
  <c r="K1733" i="23"/>
  <c r="K1734" i="23"/>
  <c r="K1735" i="23"/>
  <c r="K1736" i="23"/>
  <c r="K1737" i="23"/>
  <c r="K1738" i="23"/>
  <c r="K1739" i="23"/>
  <c r="K1740" i="23"/>
  <c r="K1741" i="23"/>
  <c r="K1742" i="23"/>
  <c r="K1743" i="23"/>
  <c r="K1744" i="23"/>
  <c r="K1745" i="23"/>
  <c r="K1746" i="23"/>
  <c r="K1747" i="23"/>
  <c r="K1748" i="23"/>
  <c r="K1749" i="23"/>
  <c r="K1750" i="23"/>
  <c r="K1751" i="23"/>
  <c r="K1752" i="23"/>
  <c r="K1753" i="23"/>
  <c r="K1754" i="23"/>
  <c r="K1755" i="23"/>
  <c r="K1756" i="23"/>
  <c r="K1757" i="23"/>
  <c r="K1758" i="23"/>
  <c r="K1759" i="23"/>
  <c r="K1760" i="23"/>
  <c r="K1761" i="23"/>
  <c r="K1762" i="23"/>
  <c r="K1763" i="23"/>
  <c r="K1764" i="23"/>
  <c r="K1765" i="23"/>
  <c r="K1766" i="23"/>
  <c r="K1767" i="23"/>
  <c r="K1768" i="23"/>
  <c r="K1769" i="23"/>
  <c r="K1770" i="23"/>
  <c r="K1771" i="23"/>
  <c r="K1772" i="23"/>
  <c r="K1773" i="23"/>
  <c r="K1774" i="23"/>
  <c r="K1775" i="23"/>
  <c r="K1776" i="23"/>
  <c r="K1777" i="23"/>
  <c r="K1778" i="23"/>
  <c r="K1779" i="23"/>
  <c r="K1780" i="23"/>
  <c r="K1781" i="23"/>
  <c r="K1782" i="23"/>
  <c r="K1783" i="23"/>
  <c r="K1784" i="23"/>
  <c r="K1785" i="23"/>
  <c r="K1786" i="23"/>
  <c r="K1787" i="23"/>
  <c r="K1788" i="23"/>
  <c r="K1789" i="23"/>
  <c r="K1790" i="23"/>
  <c r="K1791" i="23"/>
  <c r="K1792" i="23"/>
  <c r="K1793" i="23"/>
  <c r="K1794" i="23"/>
  <c r="K1795" i="23"/>
  <c r="K1796" i="23"/>
  <c r="K1797" i="23"/>
  <c r="K1798" i="23"/>
  <c r="K1799" i="23"/>
  <c r="K1800" i="23"/>
  <c r="K1801" i="23"/>
  <c r="K1802" i="23"/>
  <c r="K1803" i="23"/>
  <c r="K1804" i="23"/>
  <c r="K1805" i="23"/>
  <c r="K1806" i="23"/>
  <c r="K1807" i="23"/>
  <c r="K1808" i="23"/>
  <c r="K1809" i="23"/>
  <c r="K1810" i="23"/>
  <c r="K1811" i="23"/>
  <c r="K1812" i="23"/>
  <c r="K1813" i="23"/>
  <c r="K1814" i="23"/>
  <c r="K1815" i="23"/>
  <c r="K1816" i="23"/>
  <c r="K1817" i="23"/>
  <c r="K1818" i="23"/>
  <c r="K1819" i="23"/>
  <c r="K1820" i="23"/>
  <c r="K1821" i="23"/>
  <c r="K1822" i="23"/>
  <c r="K1823" i="23"/>
  <c r="K1824" i="23"/>
  <c r="K1825" i="23"/>
  <c r="K1826" i="23"/>
  <c r="K1827" i="23"/>
  <c r="K1828" i="23"/>
  <c r="K1829" i="23"/>
  <c r="K1830" i="23"/>
  <c r="K1831" i="23"/>
  <c r="K1832" i="23"/>
  <c r="K1833" i="23"/>
  <c r="K1834" i="23"/>
  <c r="K1835" i="23"/>
  <c r="K1836" i="23"/>
  <c r="K1837" i="23"/>
  <c r="K1838" i="23"/>
  <c r="K1839" i="23"/>
  <c r="K1840" i="23"/>
  <c r="K1841" i="23"/>
  <c r="K1842" i="23"/>
  <c r="K1843" i="23"/>
  <c r="K1844" i="23"/>
  <c r="K1845" i="23"/>
  <c r="K1846" i="23"/>
  <c r="K1847" i="23"/>
  <c r="K1848" i="23"/>
  <c r="K1849" i="23"/>
  <c r="K1850" i="23"/>
  <c r="K1851" i="23"/>
  <c r="K1852" i="23"/>
  <c r="K1853" i="23"/>
  <c r="K1854" i="23"/>
  <c r="K1855" i="23"/>
  <c r="K1856" i="23"/>
  <c r="K1857" i="23"/>
  <c r="K1858" i="23"/>
  <c r="K1859" i="23"/>
  <c r="K1860" i="23"/>
  <c r="K1861" i="23"/>
  <c r="K1862" i="23"/>
  <c r="K1863" i="23"/>
  <c r="K1864" i="23"/>
  <c r="K1865" i="23"/>
  <c r="K1866" i="23"/>
  <c r="K1867" i="23"/>
  <c r="K1868" i="23"/>
  <c r="K1869" i="23"/>
  <c r="K1870" i="23"/>
  <c r="K1871" i="23"/>
  <c r="K1872" i="23"/>
  <c r="K1873" i="23"/>
  <c r="K1874" i="23"/>
  <c r="K1875" i="23"/>
  <c r="K1876" i="23"/>
  <c r="K1877" i="23"/>
  <c r="K1878" i="23"/>
  <c r="K1879" i="23"/>
  <c r="K1880" i="23"/>
  <c r="K1881" i="23"/>
  <c r="K1882" i="23"/>
  <c r="K1883" i="23"/>
  <c r="K1884" i="23"/>
  <c r="K1885" i="23"/>
  <c r="K1886" i="23"/>
  <c r="K1887" i="23"/>
  <c r="K1888" i="23"/>
  <c r="K1889" i="23"/>
  <c r="K1890" i="23"/>
  <c r="K1891" i="23"/>
  <c r="K1892" i="23"/>
  <c r="K1893" i="23"/>
  <c r="K1894" i="23"/>
  <c r="K1895" i="23"/>
  <c r="K1896" i="23"/>
  <c r="K1897" i="23"/>
  <c r="K1898" i="23"/>
  <c r="K1899" i="23"/>
  <c r="K1900" i="23"/>
  <c r="K1901" i="23"/>
  <c r="K1902" i="23"/>
  <c r="K1903" i="23"/>
  <c r="K1904" i="23"/>
  <c r="K1905" i="23"/>
  <c r="K1906" i="23"/>
  <c r="K1907" i="23"/>
  <c r="K1908" i="23"/>
  <c r="K1909" i="23"/>
  <c r="K1910" i="23"/>
  <c r="K1911" i="23"/>
  <c r="K1912" i="23"/>
  <c r="K1913" i="23"/>
  <c r="K1914" i="23"/>
  <c r="K1915" i="23"/>
  <c r="K1916" i="23"/>
  <c r="K1917" i="23"/>
  <c r="K1918" i="23"/>
  <c r="K1919" i="23"/>
  <c r="K1920" i="23"/>
  <c r="K1921" i="23"/>
  <c r="K1922" i="23"/>
  <c r="K1923" i="23"/>
  <c r="K1924" i="23"/>
  <c r="K1925" i="23"/>
  <c r="K1926" i="23"/>
  <c r="K1927" i="23"/>
  <c r="K1928" i="23"/>
  <c r="K1929" i="23"/>
  <c r="K1930" i="23"/>
  <c r="K1931" i="23"/>
  <c r="K1932" i="23"/>
  <c r="K1933" i="23"/>
  <c r="K1934" i="23"/>
  <c r="K1935" i="23"/>
  <c r="K1936" i="23"/>
  <c r="K1937" i="23"/>
  <c r="K1938" i="23"/>
  <c r="K1939" i="23"/>
  <c r="K1940" i="23"/>
  <c r="K1941" i="23"/>
  <c r="K1942" i="23"/>
  <c r="K1943" i="23"/>
  <c r="K1944" i="23"/>
  <c r="K1945" i="23"/>
  <c r="K1946" i="23"/>
  <c r="K1947" i="23"/>
  <c r="K1948" i="23"/>
  <c r="K1949" i="23"/>
  <c r="K1950" i="23"/>
  <c r="K1951" i="23"/>
  <c r="K1952" i="23"/>
  <c r="K1953" i="23"/>
  <c r="K1954" i="23"/>
  <c r="K1955" i="23"/>
  <c r="K1956" i="23"/>
  <c r="K1957" i="23"/>
  <c r="K1958" i="23"/>
  <c r="K1959" i="23"/>
  <c r="K1960" i="23"/>
  <c r="K1961" i="23"/>
  <c r="K1962" i="23"/>
  <c r="K1963" i="23"/>
  <c r="K1964" i="23"/>
  <c r="K1965" i="23"/>
  <c r="K1966" i="23"/>
  <c r="K1967" i="23"/>
  <c r="K1968" i="23"/>
  <c r="K1969" i="23"/>
  <c r="K1970" i="23"/>
  <c r="K1971" i="23"/>
  <c r="K1972" i="23"/>
  <c r="K1973" i="23"/>
  <c r="K1974" i="23"/>
  <c r="K1975" i="23"/>
  <c r="K1976" i="23"/>
  <c r="K1977" i="23"/>
  <c r="K1978" i="23"/>
  <c r="K1979" i="23"/>
  <c r="K1980" i="23"/>
  <c r="K1981" i="23"/>
  <c r="K1982" i="23"/>
  <c r="K1983" i="23"/>
  <c r="K1984" i="23"/>
  <c r="K1985" i="23"/>
  <c r="K1986" i="23"/>
  <c r="K1987" i="23"/>
  <c r="K1988" i="23"/>
  <c r="K1989" i="23"/>
  <c r="K1990" i="23"/>
  <c r="K1991" i="23"/>
  <c r="K1992" i="23"/>
  <c r="K1993" i="23"/>
  <c r="K1994" i="23"/>
  <c r="K1995" i="23"/>
  <c r="K1996" i="23"/>
  <c r="K1997" i="23"/>
  <c r="K1998" i="23"/>
  <c r="K1999" i="23"/>
  <c r="K2000" i="23"/>
  <c r="K2001" i="23"/>
  <c r="K2002" i="23"/>
  <c r="K2003" i="23"/>
  <c r="K2004" i="23"/>
  <c r="K2005" i="23"/>
  <c r="K2006" i="23"/>
  <c r="K2007" i="23"/>
  <c r="K2008" i="23"/>
  <c r="K2009" i="23"/>
  <c r="K2010" i="23"/>
  <c r="K2011" i="23"/>
  <c r="K2012" i="23"/>
  <c r="K2013" i="23"/>
  <c r="K2014" i="23"/>
  <c r="K2015" i="23"/>
  <c r="K2016" i="23"/>
  <c r="K2017" i="23"/>
  <c r="K2018" i="23"/>
  <c r="K2019" i="23"/>
  <c r="K2020" i="23"/>
  <c r="K2021" i="23"/>
  <c r="K2022" i="23"/>
  <c r="K2023" i="23"/>
  <c r="K2024" i="23"/>
  <c r="K2025" i="23"/>
  <c r="K2026" i="23"/>
  <c r="K2027" i="23"/>
  <c r="K2028" i="23"/>
  <c r="K2029" i="23"/>
  <c r="K2030" i="23"/>
  <c r="K2031" i="23"/>
  <c r="K2032" i="23"/>
  <c r="K2033" i="23"/>
  <c r="K2034" i="23"/>
  <c r="K2035" i="23"/>
  <c r="K2036" i="23"/>
  <c r="K2037" i="23"/>
  <c r="K2038" i="23"/>
  <c r="K2039" i="23"/>
  <c r="K2040" i="23"/>
  <c r="K2041" i="23"/>
  <c r="K2042" i="23"/>
  <c r="K2043" i="23"/>
  <c r="K2044" i="23"/>
  <c r="K2045" i="23"/>
  <c r="K2046" i="23"/>
  <c r="K2047" i="23"/>
  <c r="K2048" i="23"/>
  <c r="K2049" i="23"/>
  <c r="K2050" i="23"/>
  <c r="K2051" i="23"/>
  <c r="K2052" i="23"/>
  <c r="K2053" i="23"/>
  <c r="K2054" i="23"/>
  <c r="K2055" i="23"/>
  <c r="K2056" i="23"/>
  <c r="K2057" i="23"/>
  <c r="K2058" i="23"/>
  <c r="K2059" i="23"/>
  <c r="K2060" i="23"/>
  <c r="K2061" i="23"/>
  <c r="K2062" i="23"/>
  <c r="K2063" i="23"/>
  <c r="K2064" i="23"/>
  <c r="K2065" i="23"/>
  <c r="K2066" i="23"/>
  <c r="K2067" i="23"/>
  <c r="K2068" i="23"/>
  <c r="K2069" i="23"/>
  <c r="K2070" i="23"/>
  <c r="K2071" i="23"/>
  <c r="K2072" i="23"/>
  <c r="K2073" i="23"/>
  <c r="K2074" i="23"/>
  <c r="K2075" i="23"/>
  <c r="K2076" i="23"/>
  <c r="K2077" i="23"/>
  <c r="K2078" i="23"/>
  <c r="K2079" i="23"/>
  <c r="K2080" i="23"/>
  <c r="K2081" i="23"/>
  <c r="K2082" i="23"/>
  <c r="K2083" i="23"/>
  <c r="K2084" i="23"/>
  <c r="K2085" i="23"/>
  <c r="K2086" i="23"/>
  <c r="K2087" i="23"/>
  <c r="K2088" i="23"/>
  <c r="K2089" i="23"/>
  <c r="K2090" i="23"/>
  <c r="K2091" i="23"/>
  <c r="K2092" i="23"/>
  <c r="K2093" i="23"/>
  <c r="K2094" i="23"/>
  <c r="K2095" i="23"/>
  <c r="K2096" i="23"/>
  <c r="K2097" i="23"/>
  <c r="K2098" i="23"/>
  <c r="K2099" i="23"/>
  <c r="K2100" i="23"/>
  <c r="K2101" i="23"/>
  <c r="K2102" i="23"/>
  <c r="K2103" i="23"/>
  <c r="K2104" i="23"/>
  <c r="K2105" i="23"/>
  <c r="K2106" i="23"/>
  <c r="K2107" i="23"/>
  <c r="K2108" i="23"/>
  <c r="K2109" i="23"/>
  <c r="K2110" i="23"/>
  <c r="K2111" i="23"/>
  <c r="K2112" i="23"/>
  <c r="K2113" i="23"/>
  <c r="K2114" i="23"/>
  <c r="K2115" i="23"/>
  <c r="K2116" i="23"/>
  <c r="K2117" i="23"/>
  <c r="K2118" i="23"/>
  <c r="K2119" i="23"/>
  <c r="K2120" i="23"/>
  <c r="K2121" i="23"/>
  <c r="K2122" i="23"/>
  <c r="K2123" i="23"/>
  <c r="K2124" i="23"/>
  <c r="K2125" i="23"/>
  <c r="K2126" i="23"/>
  <c r="K2127" i="23"/>
  <c r="K2128" i="23"/>
  <c r="K2129" i="23"/>
  <c r="K2130" i="23"/>
  <c r="K2131" i="23"/>
  <c r="K2132" i="23"/>
  <c r="K2133" i="23"/>
  <c r="K2134" i="23"/>
  <c r="K2135" i="23"/>
  <c r="K2136" i="23"/>
  <c r="K2137" i="23"/>
  <c r="K2138" i="23"/>
  <c r="K2139" i="23"/>
  <c r="K2140" i="23"/>
  <c r="K2141" i="23"/>
  <c r="K2142" i="23"/>
  <c r="K2143" i="23"/>
  <c r="K2144" i="23"/>
  <c r="K2145" i="23"/>
  <c r="K2146" i="23"/>
  <c r="K2147" i="23"/>
  <c r="K2148" i="23"/>
  <c r="K2149" i="23"/>
  <c r="K2150" i="23"/>
  <c r="K2151" i="23"/>
  <c r="K2152" i="23"/>
  <c r="K2153" i="23"/>
  <c r="K2154" i="23"/>
  <c r="K2155" i="23"/>
  <c r="K2156" i="23"/>
  <c r="K2157" i="23"/>
  <c r="K2158" i="23"/>
  <c r="K2159" i="23"/>
  <c r="K2160" i="23"/>
  <c r="K2161" i="23"/>
  <c r="K2162" i="23"/>
  <c r="K2163" i="23"/>
  <c r="K2164" i="23"/>
  <c r="K2165" i="23"/>
  <c r="K2166" i="23"/>
  <c r="K2167" i="23"/>
  <c r="K2168" i="23"/>
  <c r="K2169" i="23"/>
  <c r="K2170" i="23"/>
  <c r="K2171" i="23"/>
  <c r="K2172" i="23"/>
  <c r="K2173" i="23"/>
  <c r="K2174" i="23"/>
  <c r="K2175" i="23"/>
  <c r="K2176" i="23"/>
  <c r="K2177" i="23"/>
  <c r="K2178" i="23"/>
  <c r="K2179" i="23"/>
  <c r="K2180" i="23"/>
  <c r="K2181" i="23"/>
  <c r="K2182" i="23"/>
  <c r="K2183" i="23"/>
  <c r="K2184" i="23"/>
  <c r="K2185" i="23"/>
  <c r="K2186" i="23"/>
  <c r="K2187" i="23"/>
  <c r="K2188" i="23"/>
  <c r="K2189" i="23"/>
  <c r="K2190" i="23"/>
  <c r="K2191" i="23"/>
  <c r="K2192" i="23"/>
  <c r="K2193" i="23"/>
  <c r="K2194" i="23"/>
  <c r="K2195" i="23"/>
  <c r="K2196" i="23"/>
  <c r="K2197" i="23"/>
  <c r="K2198" i="23"/>
  <c r="K2199" i="23"/>
  <c r="K2200" i="23"/>
  <c r="K2201" i="23"/>
  <c r="K2202" i="23"/>
  <c r="K2203" i="23"/>
  <c r="K2204" i="23"/>
  <c r="K2205" i="23"/>
  <c r="K2206" i="23"/>
  <c r="K2207" i="23"/>
  <c r="K2208" i="23"/>
  <c r="K2209" i="23"/>
  <c r="K2210" i="23"/>
  <c r="K2211" i="23"/>
  <c r="K2212" i="23"/>
  <c r="K2213" i="23"/>
  <c r="K2214" i="23"/>
  <c r="K2215" i="23"/>
  <c r="K2216" i="23"/>
  <c r="K2217" i="23"/>
  <c r="K2218" i="23"/>
  <c r="K2219" i="23"/>
  <c r="K2220" i="23"/>
  <c r="K2221" i="23"/>
  <c r="K2222" i="23"/>
  <c r="K2223" i="23"/>
  <c r="K2224" i="23"/>
  <c r="K2225" i="23"/>
  <c r="K2226" i="23"/>
  <c r="K2227" i="23"/>
  <c r="K2228" i="23"/>
  <c r="K2229" i="23"/>
  <c r="K2230" i="23"/>
  <c r="K2231" i="23"/>
  <c r="K2232" i="23"/>
  <c r="K2233" i="23"/>
  <c r="K2234" i="23"/>
  <c r="K2235" i="23"/>
  <c r="K2236" i="23"/>
  <c r="K2237" i="23"/>
  <c r="K2238" i="23"/>
  <c r="K2239" i="23"/>
  <c r="K2240" i="23"/>
  <c r="K2241" i="23"/>
  <c r="K2242" i="23"/>
  <c r="K2243" i="23"/>
  <c r="K2244" i="23"/>
  <c r="K2245" i="23"/>
  <c r="K2246" i="23"/>
  <c r="K2247" i="23"/>
  <c r="K2248" i="23"/>
  <c r="K2249" i="23"/>
  <c r="K2250" i="23"/>
  <c r="K2251" i="23"/>
  <c r="K2252" i="23"/>
  <c r="K2253" i="23"/>
  <c r="K2254" i="23"/>
  <c r="K2255" i="23"/>
  <c r="K2256" i="23"/>
  <c r="K2257" i="23"/>
  <c r="K2258" i="23"/>
  <c r="K2259" i="23"/>
  <c r="K2260" i="23"/>
  <c r="K2261" i="23"/>
  <c r="K2262" i="23"/>
  <c r="K2263" i="23"/>
  <c r="K2264" i="23"/>
  <c r="K2265" i="23"/>
  <c r="K2266" i="23"/>
  <c r="K2267" i="23"/>
  <c r="K2268" i="23"/>
  <c r="K2269" i="23"/>
  <c r="K2270" i="23"/>
  <c r="K2271" i="23"/>
  <c r="K2272" i="23"/>
  <c r="K2273" i="23"/>
  <c r="K2274" i="23"/>
  <c r="K2275" i="23"/>
  <c r="K2276" i="23"/>
  <c r="K2277" i="23"/>
  <c r="K2278" i="23"/>
  <c r="K2279" i="23"/>
  <c r="K2280" i="23"/>
  <c r="K2281" i="23"/>
  <c r="K2282" i="23"/>
  <c r="K2283" i="23"/>
  <c r="K2284" i="23"/>
  <c r="K2285" i="23"/>
  <c r="K2286" i="23"/>
  <c r="K2287" i="23"/>
  <c r="K2288" i="23"/>
  <c r="K2289" i="23"/>
  <c r="K2290" i="23"/>
  <c r="K2291" i="23"/>
  <c r="K2292" i="23"/>
  <c r="K2293" i="23"/>
  <c r="K2294" i="23"/>
  <c r="K2295" i="23"/>
  <c r="K2296" i="23"/>
  <c r="K2297" i="23"/>
  <c r="K2298" i="23"/>
  <c r="K2299" i="23"/>
  <c r="K2300" i="23"/>
  <c r="K2301" i="23"/>
  <c r="K2302" i="23"/>
  <c r="K2303" i="23"/>
  <c r="K2304" i="23"/>
  <c r="K2305" i="23"/>
  <c r="K2306" i="23"/>
  <c r="K2307" i="23"/>
  <c r="K2308" i="23"/>
  <c r="K2309" i="23"/>
  <c r="K2310" i="23"/>
  <c r="K2311" i="23"/>
  <c r="K2312" i="23"/>
  <c r="K2313" i="23"/>
  <c r="K2314" i="23"/>
  <c r="K2315" i="23"/>
  <c r="K2316" i="23"/>
  <c r="K2317" i="23"/>
  <c r="K2318" i="23"/>
  <c r="K2319" i="23"/>
  <c r="K2320" i="23"/>
  <c r="K2321" i="23"/>
  <c r="K2322" i="23"/>
  <c r="K2323" i="23"/>
  <c r="K2324" i="23"/>
  <c r="K2325" i="23"/>
  <c r="K2326" i="23"/>
  <c r="K2327" i="23"/>
  <c r="K2328" i="23"/>
  <c r="K2329" i="23"/>
  <c r="K2330" i="23"/>
  <c r="K2331" i="23"/>
  <c r="K2332" i="23"/>
  <c r="K2333" i="23"/>
  <c r="K2334" i="23"/>
  <c r="K2335" i="23"/>
  <c r="K2336" i="23"/>
  <c r="K2337" i="23"/>
  <c r="K2338" i="23"/>
  <c r="K2339" i="23"/>
  <c r="K2340" i="23"/>
  <c r="K2341" i="23"/>
  <c r="K2342" i="23"/>
  <c r="K2343" i="23"/>
  <c r="K2344" i="23"/>
  <c r="K2345" i="23"/>
  <c r="K2346" i="23"/>
  <c r="K2347" i="23"/>
  <c r="K2348" i="23"/>
  <c r="K2349" i="23"/>
  <c r="K2350" i="23"/>
  <c r="K2351" i="23"/>
  <c r="K2352" i="23"/>
  <c r="K2353" i="23"/>
  <c r="K2354" i="23"/>
  <c r="K2355" i="23"/>
  <c r="K2356" i="23"/>
  <c r="K2357" i="23"/>
  <c r="K2358" i="23"/>
  <c r="K2359" i="23"/>
  <c r="K2360" i="23"/>
  <c r="K2361" i="23"/>
  <c r="K2362" i="23"/>
  <c r="K2363" i="23"/>
  <c r="K2364" i="23"/>
  <c r="K2365" i="23"/>
  <c r="K2366" i="23"/>
  <c r="K2367" i="23"/>
  <c r="K2368" i="23"/>
  <c r="K2369" i="23"/>
  <c r="K2370" i="23"/>
  <c r="K2371" i="23"/>
  <c r="K2372" i="23"/>
  <c r="K2373" i="23"/>
  <c r="K2374" i="23"/>
  <c r="K2375" i="23"/>
  <c r="K2376" i="23"/>
  <c r="K2377" i="23"/>
  <c r="K2378" i="23"/>
  <c r="K2379" i="23"/>
  <c r="K2380" i="23"/>
  <c r="K2381" i="23"/>
  <c r="K2382" i="23"/>
  <c r="K2383" i="23"/>
  <c r="K2384" i="23"/>
  <c r="K2385" i="23"/>
  <c r="K2386" i="23"/>
  <c r="K2387" i="23"/>
  <c r="K2388" i="23"/>
  <c r="K2389" i="23"/>
  <c r="K2390" i="23"/>
  <c r="K2391" i="23"/>
  <c r="K2392" i="23"/>
  <c r="K2393" i="23"/>
  <c r="K2394" i="23"/>
  <c r="K2395" i="23"/>
  <c r="K2396" i="23"/>
  <c r="K2397" i="23"/>
  <c r="K2398" i="23"/>
  <c r="K2399" i="23"/>
  <c r="K2400" i="23"/>
  <c r="K2401" i="23"/>
  <c r="K2402" i="23"/>
  <c r="K2403" i="23"/>
  <c r="K2404" i="23"/>
  <c r="K2405" i="23"/>
  <c r="K2406" i="23"/>
  <c r="K2407" i="23"/>
  <c r="K2408" i="23"/>
  <c r="K2409" i="23"/>
  <c r="K2410" i="23"/>
  <c r="K2411" i="23"/>
  <c r="K2412" i="23"/>
  <c r="K2413" i="23"/>
  <c r="K2414" i="23"/>
  <c r="K2415" i="23"/>
  <c r="K2416" i="23"/>
  <c r="K2417" i="23"/>
  <c r="K2418" i="23"/>
  <c r="K2419" i="23"/>
  <c r="K2420" i="23"/>
  <c r="K2421" i="23"/>
  <c r="K2422" i="23"/>
  <c r="K2423" i="23"/>
  <c r="K2424" i="23"/>
  <c r="K2425" i="23"/>
  <c r="K2426" i="23"/>
  <c r="K2427" i="23"/>
  <c r="K2428" i="23"/>
  <c r="K2429" i="23"/>
  <c r="K2430" i="23"/>
  <c r="K2431" i="23"/>
  <c r="K2432" i="23"/>
  <c r="K2433" i="23"/>
  <c r="K2434" i="23"/>
  <c r="K2435" i="23"/>
  <c r="K2436" i="23"/>
  <c r="K2437" i="23"/>
  <c r="K2438" i="23"/>
  <c r="K2439" i="23"/>
  <c r="K2440" i="23"/>
  <c r="K2441" i="23"/>
  <c r="K2442" i="23"/>
  <c r="K2443" i="23"/>
  <c r="K2444" i="23"/>
  <c r="K2445" i="23"/>
  <c r="K2446" i="23"/>
  <c r="K2447" i="23"/>
  <c r="K2448" i="23"/>
  <c r="K2449" i="23"/>
  <c r="K2450" i="23"/>
  <c r="K2451" i="23"/>
  <c r="K2452" i="23"/>
  <c r="K2453" i="23"/>
  <c r="K2454" i="23"/>
  <c r="K2455" i="23"/>
  <c r="K2456" i="23"/>
  <c r="K2457" i="23"/>
  <c r="K2458" i="23"/>
  <c r="K2459" i="23"/>
  <c r="K2460" i="23"/>
  <c r="K2461" i="23"/>
  <c r="K2462" i="23"/>
  <c r="K2463" i="23"/>
  <c r="K2464" i="23"/>
  <c r="K2465" i="23"/>
  <c r="K2466" i="23"/>
  <c r="K2467" i="23"/>
  <c r="K2468" i="23"/>
  <c r="K2469" i="23"/>
  <c r="K2470" i="23"/>
  <c r="K2471" i="23"/>
  <c r="K2472" i="23"/>
  <c r="K2473" i="23"/>
  <c r="K2474" i="23"/>
  <c r="K2475" i="23"/>
  <c r="K2476" i="23"/>
  <c r="K2477" i="23"/>
  <c r="K2478" i="23"/>
  <c r="K2479" i="23"/>
  <c r="K2480" i="23"/>
  <c r="K2481" i="23"/>
  <c r="K2482" i="23"/>
  <c r="K2483" i="23"/>
  <c r="K2484" i="23"/>
  <c r="K2485" i="23"/>
  <c r="K2486" i="23"/>
  <c r="K2487" i="23"/>
  <c r="K2488" i="23"/>
  <c r="K2489" i="23"/>
  <c r="K2490" i="23"/>
  <c r="K2491" i="23"/>
  <c r="K2492" i="23"/>
  <c r="K2493" i="23"/>
  <c r="K2494" i="23"/>
  <c r="K2495" i="23"/>
  <c r="K2496" i="23"/>
  <c r="K2497" i="23"/>
  <c r="K2498" i="23"/>
  <c r="K2499" i="23"/>
  <c r="K2500" i="23"/>
  <c r="K2501" i="23"/>
  <c r="K2502" i="23"/>
  <c r="K2503" i="23"/>
  <c r="K2504" i="23"/>
  <c r="K2505" i="23"/>
  <c r="K2506" i="23"/>
  <c r="K2507" i="23"/>
  <c r="K2508" i="23"/>
  <c r="K2509" i="23"/>
  <c r="K2510" i="23"/>
  <c r="K2511" i="23"/>
  <c r="K2512" i="23"/>
  <c r="K2513" i="23"/>
  <c r="K2514" i="23"/>
  <c r="K2515" i="23"/>
  <c r="K2516" i="23"/>
  <c r="K2517" i="23"/>
  <c r="K2518" i="23"/>
  <c r="K2519" i="23"/>
  <c r="K2520" i="23"/>
  <c r="K2521" i="23"/>
  <c r="K2522" i="23"/>
  <c r="K2523" i="23"/>
  <c r="K2524" i="23"/>
  <c r="K2525" i="23"/>
  <c r="K2526" i="23"/>
  <c r="K2527" i="23"/>
  <c r="K2528" i="23"/>
  <c r="K2529" i="23"/>
  <c r="K2530" i="23"/>
  <c r="K2531" i="23"/>
  <c r="K2532" i="23"/>
  <c r="K2533" i="23"/>
  <c r="K2534" i="23"/>
  <c r="K2535" i="23"/>
  <c r="K2536" i="23"/>
  <c r="K2537" i="23"/>
  <c r="K2538" i="23"/>
  <c r="K2539" i="23"/>
  <c r="K2540" i="23"/>
  <c r="K2541" i="23"/>
  <c r="K2542" i="23"/>
  <c r="K2543" i="23"/>
  <c r="K2544" i="23"/>
  <c r="K2545" i="23"/>
  <c r="K2546" i="23"/>
  <c r="K2547" i="23"/>
  <c r="K2548" i="23"/>
  <c r="K2549" i="23"/>
  <c r="K2550" i="23"/>
  <c r="K2551" i="23"/>
  <c r="K2552" i="23"/>
  <c r="K2553" i="23"/>
  <c r="K2554" i="23"/>
  <c r="K2555" i="23"/>
  <c r="K2556" i="23"/>
  <c r="K2557" i="23"/>
  <c r="K2558" i="23"/>
  <c r="K2559" i="23"/>
  <c r="K2560" i="23"/>
  <c r="K2561" i="23"/>
  <c r="K2562" i="23"/>
  <c r="K2563" i="23"/>
  <c r="K2564" i="23"/>
  <c r="K2565" i="23"/>
  <c r="K2566" i="23"/>
  <c r="K2567" i="23"/>
  <c r="K2568" i="23"/>
  <c r="K2569" i="23"/>
  <c r="K2570" i="23"/>
  <c r="K2571" i="23"/>
  <c r="K2572" i="23"/>
  <c r="K2573" i="23"/>
  <c r="K2574" i="23"/>
  <c r="K2575" i="23"/>
  <c r="K2576" i="23"/>
  <c r="K2577" i="23"/>
  <c r="K2578" i="23"/>
  <c r="K2579" i="23"/>
  <c r="K2580" i="23"/>
  <c r="K2581" i="23"/>
  <c r="K2582" i="23"/>
  <c r="K2583" i="23"/>
  <c r="K2584" i="23"/>
  <c r="K2585" i="23"/>
  <c r="K2586" i="23"/>
  <c r="K2587" i="23"/>
  <c r="K2588" i="23"/>
  <c r="K2589" i="23"/>
  <c r="K2590" i="23"/>
  <c r="K2591" i="23"/>
  <c r="K2592" i="23"/>
  <c r="K2593" i="23"/>
  <c r="K2594" i="23"/>
  <c r="K2595" i="23"/>
  <c r="K2596" i="23"/>
  <c r="K2597" i="23"/>
  <c r="K2598" i="23"/>
  <c r="K2599" i="23"/>
  <c r="K2600" i="23"/>
  <c r="K2601" i="23"/>
  <c r="K2602" i="23"/>
  <c r="K2603" i="23"/>
  <c r="K2604" i="23"/>
  <c r="K2605" i="23"/>
  <c r="K2606" i="23"/>
  <c r="K2607" i="23"/>
  <c r="K2608" i="23"/>
  <c r="K2609" i="23"/>
  <c r="K2610" i="23"/>
  <c r="K2611" i="23"/>
  <c r="K2612" i="23"/>
  <c r="K2613" i="23"/>
  <c r="K2614" i="23"/>
  <c r="K2615" i="23"/>
  <c r="K2616" i="23"/>
  <c r="K2617" i="23"/>
  <c r="K2618" i="23"/>
  <c r="K2619" i="23"/>
  <c r="K2620" i="23"/>
  <c r="K2621" i="23"/>
  <c r="K2622" i="23"/>
  <c r="K2623" i="23"/>
  <c r="K2624" i="23"/>
  <c r="K2625" i="23"/>
  <c r="K2626" i="23"/>
  <c r="K2627" i="23"/>
  <c r="K2628" i="23"/>
  <c r="K2629" i="23"/>
  <c r="K2630" i="23"/>
  <c r="K2631" i="23"/>
  <c r="K2632" i="23"/>
  <c r="K2633" i="23"/>
  <c r="K2634" i="23"/>
  <c r="K2635" i="23"/>
  <c r="K2636" i="23"/>
  <c r="K2637" i="23"/>
  <c r="K2638" i="23"/>
  <c r="K2639" i="23"/>
  <c r="K2640" i="23"/>
  <c r="K2641" i="23"/>
  <c r="K2642" i="23"/>
  <c r="K2643" i="23"/>
  <c r="K2644" i="23"/>
  <c r="K2645" i="23"/>
  <c r="K2646" i="23"/>
  <c r="K2647" i="23"/>
  <c r="K2648" i="23"/>
  <c r="K2649" i="23"/>
  <c r="K2650" i="23"/>
  <c r="K2651" i="23"/>
  <c r="K2652" i="23"/>
  <c r="K2653" i="23"/>
  <c r="K2654" i="23"/>
  <c r="K2655" i="23"/>
  <c r="K2656" i="23"/>
  <c r="K2657" i="23"/>
  <c r="K2658" i="23"/>
  <c r="K2659" i="23"/>
  <c r="K2660" i="23"/>
  <c r="K2661" i="23"/>
  <c r="K2662" i="23"/>
  <c r="K2663" i="23"/>
  <c r="K2664" i="23"/>
  <c r="K2665" i="23"/>
  <c r="K2666" i="23"/>
  <c r="K2667" i="23"/>
  <c r="K2668" i="23"/>
  <c r="K2669" i="23"/>
  <c r="K2670" i="23"/>
  <c r="K2671" i="23"/>
  <c r="K2672" i="23"/>
  <c r="K2673" i="23"/>
  <c r="K2674" i="23"/>
  <c r="K2675" i="23"/>
  <c r="K2676" i="23"/>
  <c r="K2677" i="23"/>
  <c r="K2678" i="23"/>
  <c r="K2679" i="23"/>
  <c r="K2680" i="23"/>
  <c r="K2681" i="23"/>
  <c r="K2682" i="23"/>
  <c r="K2683" i="23"/>
  <c r="K2684" i="23"/>
  <c r="K2685" i="23"/>
  <c r="K2686" i="23"/>
  <c r="K2687" i="23"/>
  <c r="K2688" i="23"/>
  <c r="K2689" i="23"/>
  <c r="K2690" i="23"/>
  <c r="K2691" i="23"/>
  <c r="K2692" i="23"/>
  <c r="K2693" i="23"/>
  <c r="K2694" i="23"/>
  <c r="K2695" i="23"/>
  <c r="K2696" i="23"/>
  <c r="K2697" i="23"/>
  <c r="K2698" i="23"/>
  <c r="K2699" i="23"/>
  <c r="K2700" i="23"/>
  <c r="K2701" i="23"/>
  <c r="K2702" i="23"/>
  <c r="K2703" i="23"/>
  <c r="K2704" i="23"/>
  <c r="K2705" i="23"/>
  <c r="K2706" i="23"/>
  <c r="K2707" i="23"/>
  <c r="K2708" i="23"/>
  <c r="K2709" i="23"/>
  <c r="K2710" i="23"/>
  <c r="K2711" i="23"/>
  <c r="K2712" i="23"/>
  <c r="K2713" i="23"/>
  <c r="K2714" i="23"/>
  <c r="K2715" i="23"/>
  <c r="K2716" i="23"/>
  <c r="K2717" i="23"/>
  <c r="K2718" i="23"/>
  <c r="K2719" i="23"/>
  <c r="K2720" i="23"/>
  <c r="K2721" i="23"/>
  <c r="K2722" i="23"/>
  <c r="K2723" i="23"/>
  <c r="K2724" i="23"/>
  <c r="K2725" i="23"/>
  <c r="K2726" i="23"/>
  <c r="K2727" i="23"/>
  <c r="K2728" i="23"/>
  <c r="K2729" i="23"/>
  <c r="K2730" i="23"/>
  <c r="K2731" i="23"/>
  <c r="K2732" i="23"/>
  <c r="K2733" i="23"/>
  <c r="K2734" i="23"/>
  <c r="K2735" i="23"/>
  <c r="K2736" i="23"/>
  <c r="K2737" i="23"/>
  <c r="K2738" i="23"/>
  <c r="K2739" i="23"/>
  <c r="K2740" i="23"/>
  <c r="K2741" i="23"/>
  <c r="K2742" i="23"/>
  <c r="K2743" i="23"/>
  <c r="K2744" i="23"/>
  <c r="K2745" i="23"/>
  <c r="K2746" i="23"/>
  <c r="K2747" i="23"/>
  <c r="K2748" i="23"/>
  <c r="K2749" i="23"/>
  <c r="K2750" i="23"/>
  <c r="K2751" i="23"/>
  <c r="K2752" i="23"/>
  <c r="K2753" i="23"/>
  <c r="K2754" i="23"/>
  <c r="K2755" i="23"/>
  <c r="K2756" i="23"/>
  <c r="K2757" i="23"/>
  <c r="K2758" i="23"/>
  <c r="K2759" i="23"/>
  <c r="K2760" i="23"/>
  <c r="K2761" i="23"/>
  <c r="K2762" i="23"/>
  <c r="K2763" i="23"/>
  <c r="K2764" i="23"/>
  <c r="K2765" i="23"/>
  <c r="K2766" i="23"/>
  <c r="K2767" i="23"/>
  <c r="K2768" i="23"/>
  <c r="K2769" i="23"/>
  <c r="K2770" i="23"/>
  <c r="K2771" i="23"/>
  <c r="K2772" i="23"/>
  <c r="K2773" i="23"/>
  <c r="K2774" i="23"/>
  <c r="K2775" i="23"/>
  <c r="K2776" i="23"/>
  <c r="K2777" i="23"/>
  <c r="K2778" i="23"/>
  <c r="K2779" i="23"/>
  <c r="K2780" i="23"/>
  <c r="K2781" i="23"/>
  <c r="K2782" i="23"/>
  <c r="K2783" i="23"/>
  <c r="K2784" i="23"/>
  <c r="K2785" i="23"/>
  <c r="K2786" i="23"/>
  <c r="K2787" i="23"/>
  <c r="K2788" i="23"/>
  <c r="K2789" i="23"/>
  <c r="K2790" i="23"/>
  <c r="K2791" i="23"/>
  <c r="K2792" i="23"/>
  <c r="K2793" i="23"/>
  <c r="K2794" i="23"/>
  <c r="K2795" i="23"/>
  <c r="K2796" i="23"/>
  <c r="K2797" i="23"/>
  <c r="K2798" i="23"/>
  <c r="K2799" i="23"/>
  <c r="K2800" i="23"/>
  <c r="K2801" i="23"/>
  <c r="K2802" i="23"/>
  <c r="K2803" i="23"/>
  <c r="K2804" i="23"/>
  <c r="K2805" i="23"/>
  <c r="K2806" i="23"/>
  <c r="K2807" i="23"/>
  <c r="K2808" i="23"/>
  <c r="K2809" i="23"/>
  <c r="K2810" i="23"/>
  <c r="K2811" i="23"/>
  <c r="K2812" i="23"/>
  <c r="K2813" i="23"/>
  <c r="K2814" i="23"/>
  <c r="K2815" i="23"/>
  <c r="K2816" i="23"/>
  <c r="K2817" i="23"/>
  <c r="K2818" i="23"/>
  <c r="K2819" i="23"/>
  <c r="K2820" i="23"/>
  <c r="K2821" i="23"/>
  <c r="K2822" i="23"/>
  <c r="K2823" i="23"/>
  <c r="K2824" i="23"/>
  <c r="K2825" i="23"/>
  <c r="K2826" i="23"/>
  <c r="K2827" i="23"/>
  <c r="K2828" i="23"/>
  <c r="K2829" i="23"/>
  <c r="K2830" i="23"/>
  <c r="K2831" i="23"/>
  <c r="K2832" i="23"/>
  <c r="K2833" i="23"/>
  <c r="K2834" i="23"/>
  <c r="K2835" i="23"/>
  <c r="K2836" i="23"/>
  <c r="K2837" i="23"/>
  <c r="K2838" i="23"/>
  <c r="K2839" i="23"/>
  <c r="K2840" i="23"/>
  <c r="K2841" i="23"/>
  <c r="K2842" i="23"/>
  <c r="K2843" i="23"/>
  <c r="K2844" i="23"/>
  <c r="K2845" i="23"/>
  <c r="K2846" i="23"/>
  <c r="K2847" i="23"/>
  <c r="K2848" i="23"/>
  <c r="K2849" i="23"/>
  <c r="K2850" i="23"/>
  <c r="K2851" i="23"/>
  <c r="K2852" i="23"/>
  <c r="K2853" i="23"/>
  <c r="K2854" i="23"/>
  <c r="K2855" i="23"/>
  <c r="K2856" i="23"/>
  <c r="K2857" i="23"/>
  <c r="K2858" i="23"/>
  <c r="K2859" i="23"/>
  <c r="K2860" i="23"/>
  <c r="K2861" i="23"/>
  <c r="K2862" i="23"/>
  <c r="K2863" i="23"/>
  <c r="K2864" i="23"/>
  <c r="K2865" i="23"/>
  <c r="K2866" i="23"/>
  <c r="K2867" i="23"/>
  <c r="K2868" i="23"/>
  <c r="K2869" i="23"/>
  <c r="K2870" i="23"/>
  <c r="K2871" i="23"/>
  <c r="K2872" i="23"/>
  <c r="K2873" i="23"/>
  <c r="K2874" i="23"/>
  <c r="K2875" i="23"/>
  <c r="K2876" i="23"/>
  <c r="K2877" i="23"/>
  <c r="K2878" i="23"/>
  <c r="K2879" i="23"/>
  <c r="K2880" i="23"/>
  <c r="K2881" i="23"/>
  <c r="K2882" i="23"/>
  <c r="K2883" i="23"/>
  <c r="K2884" i="23"/>
  <c r="K2885" i="23"/>
  <c r="K2886" i="23"/>
  <c r="K2887" i="23"/>
  <c r="K2888" i="23"/>
  <c r="K2889" i="23"/>
  <c r="K2890" i="23"/>
  <c r="K2891" i="23"/>
  <c r="K2892" i="23"/>
  <c r="K2893" i="23"/>
  <c r="K2894" i="23"/>
  <c r="K2895" i="23"/>
  <c r="K2896" i="23"/>
  <c r="K2897" i="23"/>
  <c r="K2898" i="23"/>
  <c r="K2899" i="23"/>
  <c r="K2900" i="23"/>
  <c r="K2901" i="23"/>
  <c r="K2902" i="23"/>
  <c r="K2903" i="23"/>
  <c r="K2904" i="23"/>
  <c r="K2905" i="23"/>
  <c r="K2906" i="23"/>
  <c r="K2907" i="23"/>
  <c r="K2908" i="23"/>
  <c r="K2909" i="23"/>
  <c r="K2910" i="23"/>
  <c r="K2911" i="23"/>
  <c r="K2912" i="23"/>
  <c r="K2913" i="23"/>
  <c r="K2914" i="23"/>
  <c r="K2915" i="23"/>
  <c r="K2916" i="23"/>
  <c r="K2917" i="23"/>
  <c r="K2918" i="23"/>
  <c r="K2919" i="23"/>
  <c r="K2920" i="23"/>
  <c r="K2921" i="23"/>
  <c r="K2922" i="23"/>
  <c r="K2923" i="23"/>
  <c r="K2924" i="23"/>
  <c r="K2925" i="23"/>
  <c r="K2926" i="23"/>
  <c r="K2927" i="23"/>
  <c r="K2928" i="23"/>
  <c r="K2929" i="23"/>
  <c r="K2930" i="23"/>
  <c r="K2931" i="23"/>
  <c r="K2932" i="23"/>
  <c r="K2933" i="23"/>
  <c r="K2934" i="23"/>
  <c r="K2935" i="23"/>
  <c r="K2936" i="23"/>
  <c r="K2937" i="23"/>
  <c r="K2938" i="23"/>
  <c r="K2939" i="23"/>
  <c r="K2940" i="23"/>
  <c r="K2941" i="23"/>
  <c r="K2942" i="23"/>
  <c r="K2943" i="23"/>
  <c r="K2944" i="23"/>
  <c r="K2945" i="23"/>
  <c r="K2946" i="23"/>
  <c r="K2947" i="23"/>
  <c r="K2948" i="23"/>
  <c r="K2949" i="23"/>
  <c r="K2950" i="23"/>
  <c r="K2951" i="23"/>
  <c r="K2952" i="23"/>
  <c r="K2953" i="23"/>
  <c r="K2954" i="23"/>
  <c r="K2955" i="23"/>
  <c r="K2956" i="23"/>
  <c r="K2957" i="23"/>
  <c r="K2958" i="23"/>
  <c r="K2959" i="23"/>
  <c r="K2960" i="23"/>
  <c r="K2961" i="23"/>
  <c r="K2962" i="23"/>
  <c r="K2963" i="23"/>
  <c r="K2964" i="23"/>
  <c r="K2965" i="23"/>
  <c r="K2966" i="23"/>
  <c r="K2967" i="23"/>
  <c r="K2968" i="23"/>
  <c r="K2969" i="23"/>
  <c r="K2970" i="23"/>
  <c r="K2971" i="23"/>
  <c r="K2972" i="23"/>
  <c r="K2973" i="23"/>
  <c r="K2974" i="23"/>
  <c r="K2975" i="23"/>
  <c r="K2976" i="23"/>
  <c r="K2977" i="23"/>
  <c r="K2978" i="23"/>
  <c r="K2979" i="23"/>
  <c r="K2980" i="23"/>
  <c r="K2981" i="23"/>
  <c r="K2982" i="23"/>
  <c r="K2983" i="23"/>
  <c r="K2984" i="23"/>
  <c r="K2985" i="23"/>
  <c r="K2986" i="23"/>
  <c r="K2987" i="23"/>
  <c r="K2988" i="23"/>
  <c r="K2989" i="23"/>
  <c r="K2990" i="23"/>
  <c r="K2991" i="23"/>
  <c r="K2992" i="23"/>
  <c r="K2993" i="23"/>
  <c r="K2994" i="23"/>
  <c r="K2995" i="23"/>
  <c r="K2996" i="23"/>
  <c r="K2997" i="23"/>
  <c r="K2998" i="23"/>
  <c r="K2999" i="23"/>
  <c r="K3000" i="23"/>
  <c r="K3001" i="23"/>
  <c r="K3002" i="23"/>
  <c r="K3003" i="23"/>
  <c r="K3004" i="23"/>
  <c r="K3005" i="23"/>
  <c r="K3006" i="23"/>
  <c r="K3007" i="23"/>
  <c r="K3008" i="23"/>
  <c r="K3009" i="23"/>
  <c r="K3010" i="23"/>
  <c r="K3011" i="23"/>
  <c r="K3012" i="23"/>
  <c r="K3013" i="23"/>
  <c r="K3014" i="23"/>
  <c r="K3015" i="23"/>
  <c r="K3016" i="23"/>
  <c r="K3017" i="23"/>
  <c r="K3018" i="23"/>
  <c r="K3019" i="23"/>
  <c r="K3020" i="23"/>
  <c r="K3021" i="23"/>
  <c r="K3022" i="23"/>
  <c r="K3023" i="23"/>
  <c r="K3024" i="23"/>
  <c r="K3025" i="23"/>
  <c r="K3026" i="23"/>
  <c r="K3027" i="23"/>
  <c r="K3028" i="23"/>
  <c r="K3029" i="23"/>
  <c r="K3030" i="23"/>
  <c r="K3031" i="23"/>
  <c r="K3032" i="23"/>
  <c r="K3033" i="23"/>
  <c r="K3034" i="23"/>
  <c r="K3035" i="23"/>
  <c r="K3036" i="23"/>
  <c r="K3037" i="23"/>
  <c r="K3038" i="23"/>
  <c r="K3039" i="23"/>
  <c r="K3040" i="23"/>
  <c r="K3041" i="23"/>
  <c r="K3042" i="23"/>
  <c r="K3043" i="23"/>
  <c r="K3044" i="23"/>
  <c r="K3045" i="23"/>
  <c r="K3046" i="23"/>
  <c r="K3047" i="23"/>
  <c r="K3048" i="23"/>
  <c r="K3049" i="23"/>
  <c r="K3050" i="23"/>
  <c r="K3051" i="23"/>
  <c r="K3052" i="23"/>
  <c r="K3053" i="23"/>
  <c r="K3054" i="23"/>
  <c r="K3055" i="23"/>
  <c r="K3056" i="23"/>
  <c r="K3057" i="23"/>
  <c r="K3058" i="23"/>
  <c r="K3059" i="23"/>
  <c r="K3060" i="23"/>
  <c r="K3061" i="23"/>
  <c r="K3062" i="23"/>
  <c r="K3063" i="23"/>
  <c r="K3064" i="23"/>
  <c r="K3065" i="23"/>
  <c r="K3066" i="23"/>
  <c r="K3067" i="23"/>
  <c r="K3068" i="23"/>
  <c r="K3069" i="23"/>
  <c r="K3070" i="23"/>
  <c r="K3071" i="23"/>
  <c r="K3072" i="23"/>
  <c r="K3073" i="23"/>
  <c r="K3074" i="23"/>
  <c r="K3075" i="23"/>
  <c r="K3076" i="23"/>
  <c r="K3077" i="23"/>
  <c r="K3078" i="23"/>
  <c r="K3079" i="23"/>
  <c r="K3080" i="23"/>
  <c r="K3081" i="23"/>
  <c r="K3082" i="23"/>
  <c r="K3083" i="23"/>
  <c r="K3084" i="23"/>
  <c r="K3085" i="23"/>
  <c r="K3086" i="23"/>
  <c r="K3087" i="23"/>
  <c r="K3088" i="23"/>
  <c r="K3089" i="23"/>
  <c r="K3090" i="23"/>
  <c r="K3091" i="23"/>
  <c r="K3092" i="23"/>
  <c r="K3093" i="23"/>
  <c r="K3094" i="23"/>
  <c r="K3095" i="23"/>
  <c r="K3096" i="23"/>
  <c r="K3097" i="23"/>
  <c r="K3098" i="23"/>
  <c r="K3099" i="23"/>
  <c r="K3100" i="23"/>
  <c r="K3101" i="23"/>
  <c r="K3102" i="23"/>
  <c r="K3103" i="23"/>
  <c r="K3104" i="23"/>
  <c r="K3105" i="23"/>
  <c r="K3106" i="23"/>
  <c r="K3107" i="23"/>
  <c r="K3108" i="23"/>
  <c r="K3109" i="23"/>
  <c r="K3110" i="23"/>
  <c r="K3111" i="23"/>
  <c r="K3112" i="23"/>
  <c r="K3113" i="23"/>
  <c r="K3114" i="23"/>
  <c r="K3115" i="23"/>
  <c r="K3116" i="23"/>
  <c r="K3117" i="23"/>
  <c r="K3118" i="23"/>
  <c r="K3119" i="23"/>
  <c r="K3120" i="23"/>
  <c r="K3121" i="23"/>
  <c r="K3122" i="23"/>
  <c r="K3123" i="23"/>
  <c r="K3124" i="23"/>
  <c r="K3125" i="23"/>
  <c r="K3126" i="23"/>
  <c r="K3127" i="23"/>
  <c r="K3128" i="23"/>
  <c r="K3129" i="23"/>
  <c r="K3130" i="23"/>
  <c r="K3131" i="23"/>
  <c r="K3132" i="23"/>
  <c r="K3133" i="23"/>
  <c r="K3134" i="23"/>
  <c r="K3135" i="23"/>
  <c r="K3136" i="23"/>
  <c r="K3137" i="23"/>
  <c r="K3138" i="23"/>
  <c r="K3139" i="23"/>
  <c r="K3140" i="23"/>
  <c r="K3141" i="23"/>
  <c r="K3142" i="23"/>
  <c r="K3143" i="23"/>
  <c r="K3144" i="23"/>
  <c r="K3145" i="23"/>
  <c r="K3146" i="23"/>
  <c r="K3147" i="23"/>
  <c r="K3148" i="23"/>
  <c r="K3149" i="23"/>
  <c r="K3150" i="23"/>
  <c r="K3151" i="23"/>
  <c r="K3152" i="23"/>
  <c r="K3153" i="23"/>
  <c r="K3154" i="23"/>
  <c r="K3155" i="23"/>
  <c r="K3156" i="23"/>
  <c r="K3157" i="23"/>
  <c r="K3158" i="23"/>
  <c r="K3159" i="23"/>
  <c r="K3160" i="23"/>
  <c r="K3161" i="23"/>
  <c r="K3162" i="23"/>
  <c r="K3163" i="23"/>
  <c r="K3164" i="23"/>
  <c r="K3165" i="23"/>
  <c r="K3166" i="23"/>
  <c r="K3167" i="23"/>
  <c r="K3168" i="23"/>
  <c r="K3169" i="23"/>
  <c r="K3170" i="23"/>
  <c r="K3171" i="23"/>
  <c r="K3172" i="23"/>
  <c r="K3173" i="23"/>
  <c r="K3174" i="23"/>
  <c r="K3175" i="23"/>
  <c r="K3176" i="23"/>
  <c r="K3177" i="23"/>
  <c r="K3178" i="23"/>
  <c r="K3179" i="23"/>
  <c r="K3180" i="23"/>
  <c r="K3181" i="23"/>
  <c r="K3182" i="23"/>
  <c r="K3183" i="23"/>
  <c r="K3184" i="23"/>
  <c r="K3185" i="23"/>
  <c r="K3186" i="23"/>
  <c r="K3187" i="23"/>
  <c r="K3188" i="23"/>
  <c r="K3189" i="23"/>
  <c r="K3190" i="23"/>
  <c r="K3191" i="23"/>
  <c r="K3192" i="23"/>
  <c r="K3193" i="23"/>
  <c r="K3194" i="23"/>
  <c r="K3195" i="23"/>
  <c r="K3196" i="23"/>
  <c r="K3197" i="23"/>
  <c r="K3198" i="23"/>
  <c r="K3199" i="23"/>
  <c r="K3200" i="23"/>
  <c r="K3201" i="23"/>
  <c r="K3202" i="23"/>
  <c r="K3203" i="23"/>
  <c r="K3204" i="23"/>
  <c r="K3205" i="23"/>
  <c r="K3206" i="23"/>
  <c r="K3207" i="23"/>
  <c r="K3208" i="23"/>
  <c r="K3209" i="23"/>
  <c r="K3210" i="23"/>
  <c r="K3211" i="23"/>
  <c r="K3212" i="23"/>
  <c r="K3213" i="23"/>
  <c r="K3214" i="23"/>
  <c r="K3215" i="23"/>
  <c r="K3216" i="23"/>
  <c r="K3217" i="23"/>
  <c r="K3218" i="23"/>
  <c r="K3219" i="23"/>
  <c r="K3220" i="23"/>
  <c r="K3221" i="23"/>
  <c r="K3222" i="23"/>
  <c r="K3223" i="23"/>
  <c r="K3224" i="23"/>
  <c r="K3225" i="23"/>
  <c r="K3226" i="23"/>
  <c r="K3227" i="23"/>
  <c r="K3228" i="23"/>
  <c r="K3229" i="23"/>
  <c r="K3230" i="23"/>
  <c r="K3231" i="23"/>
  <c r="K3232" i="23"/>
  <c r="K3233" i="23"/>
  <c r="K3234" i="23"/>
  <c r="K3235" i="23"/>
  <c r="K3236" i="23"/>
  <c r="K3237" i="23"/>
  <c r="K3238" i="23"/>
  <c r="K3239" i="23"/>
  <c r="K3240" i="23"/>
  <c r="K3241" i="23"/>
  <c r="K3242" i="23"/>
  <c r="K3243" i="23"/>
  <c r="K3244" i="23"/>
  <c r="K3245" i="23"/>
  <c r="K3246" i="23"/>
  <c r="K3247" i="23"/>
  <c r="K3248" i="23"/>
  <c r="K3249" i="23"/>
  <c r="K3250" i="23"/>
  <c r="K3251" i="23"/>
  <c r="K3252" i="23"/>
  <c r="K3253" i="23"/>
  <c r="K3254" i="23"/>
  <c r="K3255" i="23"/>
  <c r="K3256" i="23"/>
  <c r="K3257" i="23"/>
  <c r="K3258" i="23"/>
  <c r="K3259" i="23"/>
  <c r="K3260" i="23"/>
  <c r="K3261" i="23"/>
  <c r="K3262" i="23"/>
  <c r="K3263" i="23"/>
  <c r="K3264" i="23"/>
  <c r="K3265" i="23"/>
  <c r="K3266" i="23"/>
  <c r="K3267" i="23"/>
  <c r="K3268" i="23"/>
  <c r="K3269" i="23"/>
  <c r="K3270" i="23"/>
  <c r="K3271" i="23"/>
  <c r="K3272" i="23"/>
  <c r="K3273" i="23"/>
  <c r="K3274" i="23"/>
  <c r="K3275" i="23"/>
  <c r="K3276" i="23"/>
  <c r="K3277" i="23"/>
  <c r="K3278" i="23"/>
  <c r="K3279" i="23"/>
  <c r="K3280" i="23"/>
  <c r="K3281" i="23"/>
  <c r="K3282" i="23"/>
  <c r="K3283" i="23"/>
  <c r="K3284" i="23"/>
  <c r="K3285" i="23"/>
  <c r="K3286" i="23"/>
  <c r="K3287" i="23"/>
  <c r="K3288" i="23"/>
  <c r="K3289" i="23"/>
  <c r="K3290" i="23"/>
  <c r="K3291" i="23"/>
  <c r="K3292" i="23"/>
  <c r="K3293" i="23"/>
  <c r="K3294" i="23"/>
  <c r="K3295" i="23"/>
  <c r="K3296" i="23"/>
  <c r="K3297" i="23"/>
  <c r="K3298" i="23"/>
  <c r="K3299" i="23"/>
  <c r="K3300" i="23"/>
  <c r="K3301" i="23"/>
  <c r="K3302" i="23"/>
  <c r="K3303" i="23"/>
  <c r="K3304" i="23"/>
  <c r="K3305" i="23"/>
  <c r="K3306" i="23"/>
  <c r="K3307" i="23"/>
  <c r="K3308" i="23"/>
  <c r="K3309" i="23"/>
  <c r="K3310" i="23"/>
  <c r="K3311" i="23"/>
  <c r="K3312" i="23"/>
  <c r="K3313" i="23"/>
  <c r="K3314" i="23"/>
  <c r="K3315" i="23"/>
  <c r="K3316" i="23"/>
  <c r="K3317" i="23"/>
  <c r="K3318" i="23"/>
  <c r="K3319" i="23"/>
  <c r="K3320" i="23"/>
  <c r="K3321" i="23"/>
  <c r="K3322" i="23"/>
  <c r="K3323" i="23"/>
  <c r="K3324" i="23"/>
  <c r="K3325" i="23"/>
  <c r="K3326" i="23"/>
  <c r="K3327" i="23"/>
  <c r="K3328" i="23"/>
  <c r="K3329" i="23"/>
  <c r="K3330" i="23"/>
  <c r="K3331" i="23"/>
  <c r="K3332" i="23"/>
  <c r="K3333" i="23"/>
  <c r="K3334" i="23"/>
  <c r="K3335" i="23"/>
  <c r="K3336" i="23"/>
  <c r="K3337" i="23"/>
  <c r="K3338" i="23"/>
  <c r="K3339" i="23"/>
  <c r="K3340" i="23"/>
  <c r="K3341" i="23"/>
  <c r="K3342" i="23"/>
  <c r="K3343" i="23"/>
  <c r="K3344" i="23"/>
  <c r="K3345" i="23"/>
  <c r="K3346" i="23"/>
  <c r="K3347" i="23"/>
  <c r="K3348" i="23"/>
  <c r="K3349" i="23"/>
  <c r="K3350" i="23"/>
  <c r="K3351" i="23"/>
  <c r="K3352" i="23"/>
  <c r="K3353" i="23"/>
  <c r="K3354" i="23"/>
  <c r="K3355" i="23"/>
  <c r="K3356" i="23"/>
  <c r="K3357" i="23"/>
  <c r="K3358" i="23"/>
  <c r="K3359" i="23"/>
  <c r="K3360" i="23"/>
  <c r="K3361" i="23"/>
  <c r="K3362" i="23"/>
  <c r="K3363" i="23"/>
  <c r="K3364" i="23"/>
  <c r="K3365" i="23"/>
  <c r="K3366" i="23"/>
  <c r="K3367" i="23"/>
  <c r="K3368" i="23"/>
  <c r="K3369" i="23"/>
  <c r="K3370" i="23"/>
  <c r="K3371" i="23"/>
  <c r="K3372" i="23"/>
  <c r="K3373" i="23"/>
  <c r="K3374" i="23"/>
  <c r="K3375" i="23"/>
  <c r="K3376" i="23"/>
  <c r="K3377" i="23"/>
  <c r="K3378" i="23"/>
  <c r="K3379" i="23"/>
  <c r="K3380" i="23"/>
  <c r="K3381" i="23"/>
  <c r="K3382" i="23"/>
  <c r="K3383" i="23"/>
  <c r="K3384" i="23"/>
  <c r="K3385" i="23"/>
  <c r="K3386" i="23"/>
  <c r="K3387" i="23"/>
  <c r="K3388" i="23"/>
  <c r="K3389" i="23"/>
  <c r="K3390" i="23"/>
  <c r="K3391" i="23"/>
  <c r="K3392" i="23"/>
  <c r="K3393" i="23"/>
  <c r="K3394" i="23"/>
  <c r="K3395" i="23"/>
  <c r="K3396" i="23"/>
  <c r="K3397" i="23"/>
  <c r="K3398" i="23"/>
  <c r="K3399" i="23"/>
  <c r="K3400" i="23"/>
  <c r="K3401" i="23"/>
  <c r="K3402" i="23"/>
  <c r="K3403" i="23"/>
  <c r="K3404" i="23"/>
  <c r="K3405" i="23"/>
  <c r="K3406" i="23"/>
  <c r="K3407" i="23"/>
  <c r="K3408" i="23"/>
  <c r="K3409" i="23"/>
  <c r="K3410" i="23"/>
  <c r="K3411" i="23"/>
  <c r="K3412" i="23"/>
  <c r="K3413" i="23"/>
  <c r="K3414" i="23"/>
  <c r="K3415" i="23"/>
  <c r="K3416" i="23"/>
  <c r="K3417" i="23"/>
  <c r="K3418" i="23"/>
  <c r="K3419" i="23"/>
  <c r="K3420" i="23"/>
  <c r="K3421" i="23"/>
  <c r="K3422" i="23"/>
  <c r="K3423" i="23"/>
  <c r="K3424" i="23"/>
  <c r="K3425" i="23"/>
  <c r="K3426" i="23"/>
  <c r="K3427" i="23"/>
  <c r="K3428" i="23"/>
  <c r="K3429" i="23"/>
  <c r="K3430" i="23"/>
  <c r="K3431" i="23"/>
  <c r="K3432" i="23"/>
  <c r="K3433" i="23"/>
  <c r="K3434" i="23"/>
  <c r="K3435" i="23"/>
  <c r="K3436" i="23"/>
  <c r="K3437" i="23"/>
  <c r="K3438" i="23"/>
  <c r="K3439" i="23"/>
  <c r="K3440" i="23"/>
  <c r="K3441" i="23"/>
  <c r="K3442" i="23"/>
  <c r="K3443" i="23"/>
  <c r="K3444" i="23"/>
  <c r="K3445" i="23"/>
  <c r="K3446" i="23"/>
  <c r="K3447" i="23"/>
  <c r="K3448" i="23"/>
  <c r="K3449" i="23"/>
  <c r="K3450" i="23"/>
  <c r="K3451" i="23"/>
  <c r="K3452" i="23"/>
  <c r="K3453" i="23"/>
  <c r="K3454" i="23"/>
  <c r="K3455" i="23"/>
  <c r="K3456" i="23"/>
  <c r="K3457" i="23"/>
  <c r="K3458" i="23"/>
  <c r="K3459" i="23"/>
  <c r="K3460" i="23"/>
  <c r="K3461" i="23"/>
  <c r="K3462" i="23"/>
  <c r="K3463" i="23"/>
  <c r="K3464" i="23"/>
  <c r="K3465" i="23"/>
  <c r="K3466" i="23"/>
  <c r="K3467" i="23"/>
  <c r="K3468" i="23"/>
  <c r="K3469" i="23"/>
  <c r="K3470" i="23"/>
  <c r="K3471" i="23"/>
  <c r="K3472" i="23"/>
  <c r="K3473" i="23"/>
  <c r="K3474" i="23"/>
  <c r="K3475" i="23"/>
  <c r="K3476" i="23"/>
  <c r="K3477" i="23"/>
  <c r="K3478" i="23"/>
  <c r="K3479" i="23"/>
  <c r="K3480" i="23"/>
  <c r="K3481" i="23"/>
  <c r="K3482" i="23"/>
  <c r="K3483" i="23"/>
  <c r="K3484" i="23"/>
  <c r="K3485" i="23"/>
  <c r="K3486" i="23"/>
  <c r="K3487" i="23"/>
  <c r="K3488" i="23"/>
  <c r="K3489" i="23"/>
  <c r="K3490" i="23"/>
  <c r="K3491" i="23"/>
  <c r="K3492" i="23"/>
  <c r="K3493" i="23"/>
  <c r="K3494" i="23"/>
  <c r="K3495" i="23"/>
  <c r="K3496" i="23"/>
  <c r="K3497" i="23"/>
  <c r="K3498" i="23"/>
  <c r="K3499" i="23"/>
  <c r="K3500" i="23"/>
  <c r="K3501" i="23"/>
  <c r="K3502" i="23"/>
  <c r="K3503" i="23"/>
  <c r="K3504" i="23"/>
  <c r="K3505" i="23"/>
  <c r="K3506" i="23"/>
  <c r="K3507" i="23"/>
  <c r="K3508" i="23"/>
  <c r="K3509" i="23"/>
  <c r="K3510" i="23"/>
  <c r="K3511" i="23"/>
  <c r="K3512" i="23"/>
  <c r="K3513" i="23"/>
  <c r="K3514" i="23"/>
  <c r="K3515" i="23"/>
  <c r="K3516" i="23"/>
  <c r="K3517" i="23"/>
  <c r="K3518" i="23"/>
  <c r="K3519" i="23"/>
  <c r="K3520" i="23"/>
  <c r="K3521" i="23"/>
  <c r="K3522" i="23"/>
  <c r="K3523" i="23"/>
  <c r="K3524" i="23"/>
  <c r="K3525" i="23"/>
  <c r="K3526" i="23"/>
  <c r="K3527" i="23"/>
  <c r="K3528" i="23"/>
  <c r="K3529" i="23"/>
  <c r="K3530" i="23"/>
  <c r="K3531" i="23"/>
  <c r="K3532" i="23"/>
  <c r="K3533" i="23"/>
  <c r="K3534" i="23"/>
  <c r="K3535" i="23"/>
  <c r="K3536" i="23"/>
  <c r="K3537" i="23"/>
  <c r="K3538" i="23"/>
  <c r="K3539" i="23"/>
  <c r="K3540" i="23"/>
  <c r="K3541" i="23"/>
  <c r="K3542" i="23"/>
  <c r="K3543" i="23"/>
  <c r="K3544" i="23"/>
  <c r="K3545" i="23"/>
  <c r="K3546" i="23"/>
  <c r="K3547" i="23"/>
  <c r="K3548" i="23"/>
  <c r="K3549" i="23"/>
  <c r="K3550" i="23"/>
  <c r="K3551" i="23"/>
  <c r="K3552" i="23"/>
  <c r="K3553" i="23"/>
  <c r="K3554" i="23"/>
  <c r="K3555" i="23"/>
  <c r="K3556" i="23"/>
  <c r="K3557" i="23"/>
  <c r="K3558" i="23"/>
  <c r="K3559" i="23"/>
  <c r="K3560" i="23"/>
  <c r="K3561" i="23"/>
  <c r="K3562" i="23"/>
  <c r="K3563" i="23"/>
  <c r="K3564" i="23"/>
  <c r="K3565" i="23"/>
  <c r="K3566" i="23"/>
  <c r="K3567" i="23"/>
  <c r="K3568" i="23"/>
  <c r="K3569" i="23"/>
  <c r="K3570" i="23"/>
  <c r="K3571" i="23"/>
  <c r="K3572" i="23"/>
  <c r="K3573" i="23"/>
  <c r="K3574" i="23"/>
  <c r="K3575" i="23"/>
  <c r="K3576" i="23"/>
  <c r="K3577" i="23"/>
  <c r="K3578" i="23"/>
  <c r="K3579" i="23"/>
  <c r="K3580" i="23"/>
  <c r="K3581" i="23"/>
  <c r="K3582" i="23"/>
  <c r="K3583" i="23"/>
  <c r="K3584" i="23"/>
  <c r="K3585" i="23"/>
  <c r="K3586" i="23"/>
  <c r="K3587" i="23"/>
  <c r="K3588" i="23"/>
  <c r="K3589" i="23"/>
  <c r="K3590" i="23"/>
  <c r="K3591" i="23"/>
  <c r="K3592" i="23"/>
  <c r="K3593" i="23"/>
  <c r="K3594" i="23"/>
  <c r="K3595" i="23"/>
  <c r="K3596" i="23"/>
  <c r="K3597" i="23"/>
  <c r="K3598" i="23"/>
  <c r="K3599" i="23"/>
  <c r="K3600" i="23"/>
  <c r="K3601" i="23"/>
  <c r="K3602" i="23"/>
  <c r="K3603" i="23"/>
  <c r="K3604" i="23"/>
  <c r="K3605" i="23"/>
  <c r="K3606" i="23"/>
  <c r="K3607" i="23"/>
  <c r="K3608" i="23"/>
  <c r="K3609" i="23"/>
  <c r="K3610" i="23"/>
  <c r="K3611" i="23"/>
  <c r="K3612" i="23"/>
  <c r="K3613" i="23"/>
  <c r="K3614" i="23"/>
  <c r="K3615" i="23"/>
  <c r="K3616" i="23"/>
  <c r="K3617" i="23"/>
  <c r="K3618" i="23"/>
  <c r="K3619" i="23"/>
  <c r="K3620" i="23"/>
  <c r="K3621" i="23"/>
  <c r="K3622" i="23"/>
  <c r="K3623" i="23"/>
  <c r="K3624" i="23"/>
  <c r="K3625" i="23"/>
  <c r="K3626" i="23"/>
  <c r="K3627" i="23"/>
  <c r="K3628" i="23"/>
  <c r="K3629" i="23"/>
  <c r="K3630" i="23"/>
  <c r="K3631" i="23"/>
  <c r="K3632" i="23"/>
  <c r="K3633" i="23"/>
  <c r="K3634" i="23"/>
  <c r="K3635" i="23"/>
  <c r="K3636" i="23"/>
  <c r="K3637" i="23"/>
  <c r="K3638" i="23"/>
  <c r="K3639" i="23"/>
  <c r="K3640" i="23"/>
  <c r="K3641" i="23"/>
  <c r="K3642" i="23"/>
  <c r="K3643" i="23"/>
  <c r="K3644" i="23"/>
  <c r="K3645" i="23"/>
  <c r="K3646" i="23"/>
  <c r="K3647" i="23"/>
  <c r="K3648" i="23"/>
  <c r="K3649" i="23"/>
  <c r="K3650" i="23"/>
  <c r="K3651" i="23"/>
  <c r="K3652" i="23"/>
  <c r="K3653" i="23"/>
  <c r="K3654" i="23"/>
  <c r="K3655" i="23"/>
  <c r="K3656" i="23"/>
  <c r="K3657" i="23"/>
  <c r="K3658" i="23"/>
  <c r="K3659" i="23"/>
  <c r="K3660" i="23"/>
  <c r="K3661" i="23"/>
  <c r="K3662" i="23"/>
  <c r="K3663" i="23"/>
  <c r="K3664" i="23"/>
  <c r="K3665" i="23"/>
  <c r="K3666" i="23"/>
  <c r="K3667" i="23"/>
  <c r="K3668" i="23"/>
  <c r="K3669" i="23"/>
  <c r="K3670" i="23"/>
  <c r="K3671" i="23"/>
  <c r="K3672" i="23"/>
  <c r="K3673" i="23"/>
  <c r="K3674" i="23"/>
  <c r="K3675" i="23"/>
  <c r="K3676" i="23"/>
  <c r="K3677" i="23"/>
  <c r="K3678" i="23"/>
  <c r="K3679" i="23"/>
  <c r="K3680" i="23"/>
  <c r="K3681" i="23"/>
  <c r="K3682" i="23"/>
  <c r="K3683" i="23"/>
  <c r="K3684" i="23"/>
  <c r="K3685" i="23"/>
  <c r="K3686" i="23"/>
  <c r="K3687" i="23"/>
  <c r="K3688" i="23"/>
  <c r="K3689" i="23"/>
  <c r="K3690" i="23"/>
  <c r="K3691" i="23"/>
  <c r="K3692" i="23"/>
  <c r="K3693" i="23"/>
  <c r="K3694" i="23"/>
  <c r="K3695" i="23"/>
  <c r="K3696" i="23"/>
  <c r="K3697" i="23"/>
  <c r="K3698" i="23"/>
  <c r="K3699" i="23"/>
  <c r="K3700" i="23"/>
  <c r="K3701" i="23"/>
  <c r="K3702" i="23"/>
  <c r="K3703" i="23"/>
  <c r="K3704" i="23"/>
  <c r="K3705" i="23"/>
  <c r="K3706" i="23"/>
  <c r="K3707" i="23"/>
  <c r="K3708" i="23"/>
  <c r="K3709" i="23"/>
  <c r="K3710" i="23"/>
  <c r="K3711" i="23"/>
  <c r="K3712" i="23"/>
  <c r="K3713" i="23"/>
  <c r="K3714" i="23"/>
  <c r="K3715" i="23"/>
  <c r="K3716" i="23"/>
  <c r="K3717" i="23"/>
  <c r="K3718" i="23"/>
  <c r="K3719" i="23"/>
  <c r="K3720" i="23"/>
  <c r="K3721" i="23"/>
  <c r="K3722" i="23"/>
  <c r="K3723" i="23"/>
  <c r="K3724" i="23"/>
  <c r="K3725" i="23"/>
  <c r="K3726" i="23"/>
  <c r="K3727" i="23"/>
  <c r="K3728" i="23"/>
  <c r="K3729" i="23"/>
  <c r="K3730" i="23"/>
  <c r="K3731" i="23"/>
  <c r="K3732" i="23"/>
  <c r="K3733" i="23"/>
  <c r="K3734" i="23"/>
  <c r="K3735" i="23"/>
  <c r="K3736" i="23"/>
  <c r="K3737" i="23"/>
  <c r="K3738" i="23"/>
  <c r="K3739" i="23"/>
  <c r="K3740" i="23"/>
  <c r="K3741" i="23"/>
  <c r="K3742" i="23"/>
  <c r="K3743" i="23"/>
  <c r="K3744" i="23"/>
  <c r="K3745" i="23"/>
  <c r="K3746" i="23"/>
  <c r="K3747" i="23"/>
  <c r="K3748" i="23"/>
  <c r="K3749" i="23"/>
  <c r="K3750" i="23"/>
  <c r="K3751" i="23"/>
  <c r="K3752" i="23"/>
  <c r="K3753" i="23"/>
  <c r="K3754" i="23"/>
  <c r="K3755" i="23"/>
  <c r="K3756" i="23"/>
  <c r="K3757" i="23"/>
  <c r="K3758" i="23"/>
  <c r="K3759" i="23"/>
  <c r="K3760" i="23"/>
  <c r="K3761" i="23"/>
  <c r="K3762" i="23"/>
  <c r="K3763" i="23"/>
  <c r="K3764" i="23"/>
  <c r="K3765" i="23"/>
  <c r="K3766" i="23"/>
  <c r="K3767" i="23"/>
  <c r="K3768" i="23"/>
  <c r="K3769" i="23"/>
  <c r="K3770" i="23"/>
  <c r="K3771" i="23"/>
  <c r="K3772" i="23"/>
  <c r="K3773" i="23"/>
  <c r="K3774" i="23"/>
  <c r="K3775" i="23"/>
  <c r="K3776" i="23"/>
  <c r="K3777" i="23"/>
  <c r="K3778" i="23"/>
  <c r="K3779" i="23"/>
  <c r="K3780" i="23"/>
  <c r="K3781" i="23"/>
  <c r="K3782" i="23"/>
  <c r="K3783" i="23"/>
  <c r="K3784" i="23"/>
  <c r="K3785" i="23"/>
  <c r="K3786" i="23"/>
  <c r="K3787" i="23"/>
  <c r="K3788" i="23"/>
  <c r="K3789" i="23"/>
  <c r="K3790" i="23"/>
  <c r="K3791" i="23"/>
  <c r="K3792" i="23"/>
  <c r="K3793" i="23"/>
  <c r="K3794" i="23"/>
  <c r="K3795" i="23"/>
  <c r="K3796" i="23"/>
  <c r="K3797" i="23"/>
  <c r="K3798" i="23"/>
  <c r="K3799" i="23"/>
  <c r="K3800" i="23"/>
  <c r="K3801" i="23"/>
  <c r="K3802" i="23"/>
  <c r="K3803" i="23"/>
  <c r="K3804" i="23"/>
  <c r="K3805" i="23"/>
  <c r="K3806" i="23"/>
  <c r="K3807" i="23"/>
  <c r="K3808" i="23"/>
  <c r="K3809" i="23"/>
  <c r="K3810" i="23"/>
  <c r="K3811" i="23"/>
  <c r="K3812" i="23"/>
  <c r="K3813" i="23"/>
  <c r="K3814" i="23"/>
  <c r="K3815" i="23"/>
  <c r="K3816" i="23"/>
  <c r="K3817" i="23"/>
  <c r="K3818" i="23"/>
  <c r="K3819" i="23"/>
  <c r="K3820" i="23"/>
  <c r="K3821" i="23"/>
  <c r="K3822" i="23"/>
  <c r="K3823" i="23"/>
  <c r="K3824" i="23"/>
  <c r="K3825" i="23"/>
  <c r="K3826" i="23"/>
  <c r="K3827" i="23"/>
  <c r="K3828" i="23"/>
  <c r="K3829" i="23"/>
  <c r="K3830" i="23"/>
  <c r="K3831" i="23"/>
  <c r="K3832" i="23"/>
  <c r="K3833" i="23"/>
  <c r="K3834" i="23"/>
  <c r="K3835" i="23"/>
  <c r="K3836" i="23"/>
  <c r="K3837" i="23"/>
  <c r="K3838" i="23"/>
  <c r="K3839" i="23"/>
  <c r="K3840" i="23"/>
  <c r="K3841" i="23"/>
  <c r="K3842" i="23"/>
  <c r="K3843" i="23"/>
  <c r="K3844" i="23"/>
  <c r="K3845" i="23"/>
  <c r="K3846" i="23"/>
  <c r="K3847" i="23"/>
  <c r="K3848" i="23"/>
  <c r="K3849" i="23"/>
  <c r="K3850" i="23"/>
  <c r="K3851" i="23"/>
  <c r="K3852" i="23"/>
  <c r="K3853" i="23"/>
  <c r="K3854" i="23"/>
  <c r="K3855" i="23"/>
  <c r="K3856" i="23"/>
  <c r="K3857" i="23"/>
  <c r="K3858" i="23"/>
  <c r="K3859" i="23"/>
  <c r="K3860" i="23"/>
  <c r="K3861" i="23"/>
  <c r="K3862" i="23"/>
  <c r="K3863" i="23"/>
  <c r="K3864" i="23"/>
  <c r="K3865" i="23"/>
  <c r="K3866" i="23"/>
  <c r="K3867" i="23"/>
  <c r="K3868" i="23"/>
  <c r="K3869" i="23"/>
  <c r="K3870" i="23"/>
  <c r="K3871" i="23"/>
  <c r="K3872" i="23"/>
  <c r="K3873" i="23"/>
  <c r="K3874" i="23"/>
  <c r="K3875" i="23"/>
  <c r="K3876" i="23"/>
  <c r="K3877" i="23"/>
  <c r="K3878" i="23"/>
  <c r="K3879" i="23"/>
  <c r="K3880" i="23"/>
  <c r="K3881" i="23"/>
  <c r="K3882" i="23"/>
  <c r="K3883" i="23"/>
  <c r="K3884" i="23"/>
  <c r="K3885" i="23"/>
  <c r="K3886" i="23"/>
  <c r="K3887" i="23"/>
  <c r="K3888" i="23"/>
  <c r="K3889" i="23"/>
  <c r="K3890" i="23"/>
  <c r="K3891" i="23"/>
  <c r="K3892" i="23"/>
  <c r="K3893" i="23"/>
  <c r="K3894" i="23"/>
  <c r="K3895" i="23"/>
  <c r="K3896" i="23"/>
  <c r="K3897" i="23"/>
  <c r="K3898" i="23"/>
  <c r="K3899" i="23"/>
  <c r="K3900" i="23"/>
  <c r="K3901" i="23"/>
  <c r="K3902" i="23"/>
  <c r="K3903" i="23"/>
  <c r="K3904" i="23"/>
  <c r="K3905" i="23"/>
  <c r="K3906" i="23"/>
  <c r="K3907" i="23"/>
  <c r="K3908" i="23"/>
  <c r="K3909" i="23"/>
  <c r="K3910" i="23"/>
  <c r="K3911" i="23"/>
  <c r="K3912" i="23"/>
  <c r="K3913" i="23"/>
  <c r="K3914" i="23"/>
  <c r="K3915" i="23"/>
  <c r="K3916" i="23"/>
  <c r="K3917" i="23"/>
  <c r="K3918" i="23"/>
  <c r="K3919" i="23"/>
  <c r="K3920" i="23"/>
  <c r="K3921" i="23"/>
  <c r="K3922" i="23"/>
  <c r="K3923" i="23"/>
  <c r="K3924" i="23"/>
  <c r="K3925" i="23"/>
  <c r="K3926" i="23"/>
  <c r="K3927" i="23"/>
  <c r="K3928" i="23"/>
  <c r="K3929" i="23"/>
  <c r="K3930" i="23"/>
  <c r="K3931" i="23"/>
  <c r="K3932" i="23"/>
  <c r="K3933" i="23"/>
  <c r="K3934" i="23"/>
  <c r="K3935" i="23"/>
  <c r="K3936" i="23"/>
  <c r="K3937" i="23"/>
  <c r="K3938" i="23"/>
  <c r="K3939" i="23"/>
  <c r="K3940" i="23"/>
  <c r="K3941" i="23"/>
  <c r="K3942" i="23"/>
  <c r="K3943" i="23"/>
  <c r="K3944" i="23"/>
  <c r="K3945" i="23"/>
  <c r="K3946" i="23"/>
  <c r="K3947" i="23"/>
  <c r="K3948" i="23"/>
  <c r="K3949" i="23"/>
  <c r="K3950" i="23"/>
  <c r="K3951" i="23"/>
  <c r="K3952" i="23"/>
  <c r="K3953" i="23"/>
  <c r="K3954" i="23"/>
  <c r="K3955" i="23"/>
  <c r="K3956" i="23"/>
  <c r="K3957" i="23"/>
  <c r="K3958" i="23"/>
  <c r="K3959" i="23"/>
  <c r="K3960" i="23"/>
  <c r="K3961" i="23"/>
  <c r="K3962" i="23"/>
  <c r="K3963" i="23"/>
  <c r="K3964" i="23"/>
  <c r="K3965" i="23"/>
  <c r="K3966" i="23"/>
  <c r="K3967" i="23"/>
  <c r="K3968" i="23"/>
  <c r="K3969" i="23"/>
  <c r="K3970" i="23"/>
  <c r="K3971" i="23"/>
  <c r="K3972" i="23"/>
  <c r="K3973" i="23"/>
  <c r="K3974" i="23"/>
  <c r="K3975" i="23"/>
  <c r="K3976" i="23"/>
  <c r="K3977" i="23"/>
  <c r="K3978" i="23"/>
  <c r="K3979" i="23"/>
  <c r="K3980" i="23"/>
  <c r="K3981" i="23"/>
  <c r="K3982" i="23"/>
  <c r="K3983" i="23"/>
  <c r="K3984" i="23"/>
  <c r="K3985" i="23"/>
  <c r="K3986" i="23"/>
  <c r="K3987" i="23"/>
  <c r="K3988" i="23"/>
  <c r="K3989" i="23"/>
  <c r="K3990" i="23"/>
  <c r="K3991" i="23"/>
  <c r="K3992" i="23"/>
  <c r="K3993" i="23"/>
  <c r="K3994" i="23"/>
  <c r="K3995" i="23"/>
  <c r="K3996" i="23"/>
  <c r="K3997" i="23"/>
  <c r="K3998" i="23"/>
  <c r="K3999" i="23"/>
  <c r="K4000" i="23"/>
  <c r="K4001" i="23"/>
  <c r="K4002" i="23"/>
  <c r="K4003" i="23"/>
  <c r="K4004" i="23"/>
  <c r="K4005" i="23"/>
  <c r="K4006" i="23"/>
  <c r="K4007" i="23"/>
  <c r="K4008" i="23"/>
  <c r="K4009" i="23"/>
  <c r="K4010" i="23"/>
  <c r="K4011" i="23"/>
  <c r="K4012" i="23"/>
  <c r="K4013" i="23"/>
  <c r="K4014" i="23"/>
  <c r="K4015" i="23"/>
  <c r="K4016" i="23"/>
  <c r="K4017" i="23"/>
  <c r="K4018" i="23"/>
  <c r="K4019" i="23"/>
  <c r="K4020" i="23"/>
  <c r="K4021" i="23"/>
  <c r="K4022" i="23"/>
  <c r="K4023" i="23"/>
  <c r="K4024" i="23"/>
  <c r="K4025" i="23"/>
  <c r="K4026" i="23"/>
  <c r="K4027" i="23"/>
  <c r="K4028" i="23"/>
  <c r="K4029" i="23"/>
  <c r="K4030" i="23"/>
  <c r="K4031" i="23"/>
  <c r="K4032" i="23"/>
  <c r="K4033" i="23"/>
  <c r="K4034" i="23"/>
  <c r="K4035" i="23"/>
  <c r="K4036" i="23"/>
  <c r="K4037" i="23"/>
  <c r="K4038" i="23"/>
  <c r="K4039" i="23"/>
  <c r="K4040" i="23"/>
  <c r="K4041" i="23"/>
  <c r="K4042" i="23"/>
  <c r="K4043" i="23"/>
  <c r="K4044" i="23"/>
  <c r="K4045" i="23"/>
  <c r="K4046" i="23"/>
  <c r="K4047" i="23"/>
  <c r="K4048" i="23"/>
  <c r="K4049" i="23"/>
  <c r="K4050" i="23"/>
  <c r="K4051" i="23"/>
  <c r="K4052" i="23"/>
  <c r="K4053" i="23"/>
  <c r="K4054" i="23"/>
  <c r="K4055" i="23"/>
  <c r="K4056" i="23"/>
  <c r="K4057" i="23"/>
  <c r="K4058" i="23"/>
  <c r="K4059" i="23"/>
  <c r="K4060" i="23"/>
  <c r="K4061" i="23"/>
  <c r="K4062" i="23"/>
  <c r="K4063" i="23"/>
  <c r="K4064" i="23"/>
  <c r="K4065" i="23"/>
  <c r="K4066" i="23"/>
  <c r="K4067" i="23"/>
  <c r="K4068" i="23"/>
  <c r="K4069" i="23"/>
  <c r="K4070" i="23"/>
  <c r="K4071" i="23"/>
  <c r="K4072" i="23"/>
  <c r="K4073" i="23"/>
  <c r="K4074" i="23"/>
  <c r="K4075" i="23"/>
  <c r="K4076" i="23"/>
  <c r="K4077" i="23"/>
  <c r="K4078" i="23"/>
  <c r="K4079" i="23"/>
  <c r="K4080" i="23"/>
  <c r="K4081" i="23"/>
  <c r="K4082" i="23"/>
  <c r="K4083" i="23"/>
  <c r="K4084" i="23"/>
  <c r="K4085" i="23"/>
  <c r="K4086" i="23"/>
  <c r="K4087" i="23"/>
  <c r="K4088" i="23"/>
  <c r="K4089" i="23"/>
  <c r="K4090" i="23"/>
  <c r="K4091" i="23"/>
  <c r="K4092" i="23"/>
  <c r="K4093" i="23"/>
  <c r="K4094" i="23"/>
  <c r="K4095" i="23"/>
  <c r="K4096" i="23"/>
  <c r="K4097" i="23"/>
  <c r="K4098" i="23"/>
  <c r="K4099" i="23"/>
  <c r="K4100" i="23"/>
  <c r="K4101" i="23"/>
  <c r="K4102" i="23"/>
  <c r="K4103" i="23"/>
  <c r="K4104" i="23"/>
  <c r="K4105" i="23"/>
  <c r="K4106" i="23"/>
  <c r="K4107" i="23"/>
  <c r="K4108" i="23"/>
  <c r="K4109" i="23"/>
  <c r="K4110" i="23"/>
  <c r="K4111" i="23"/>
  <c r="K4112" i="23"/>
  <c r="K4113" i="23"/>
  <c r="K4114" i="23"/>
  <c r="K4115" i="23"/>
  <c r="K4116" i="23"/>
  <c r="K4117" i="23"/>
  <c r="K4118" i="23"/>
  <c r="K4119" i="23"/>
  <c r="K4120" i="23"/>
  <c r="K4121" i="23"/>
  <c r="K4122" i="23"/>
  <c r="K4123" i="23"/>
  <c r="K4124" i="23"/>
  <c r="K4125" i="23"/>
  <c r="K4126" i="23"/>
  <c r="L2" i="23"/>
  <c r="L3" i="23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77" i="23"/>
  <c r="L78" i="23"/>
  <c r="L79" i="23"/>
  <c r="L80" i="23"/>
  <c r="L81" i="23"/>
  <c r="L82" i="23"/>
  <c r="L83" i="23"/>
  <c r="L84" i="23"/>
  <c r="L85" i="23"/>
  <c r="L86" i="23"/>
  <c r="L87" i="23"/>
  <c r="L88" i="23"/>
  <c r="L89" i="23"/>
  <c r="L90" i="23"/>
  <c r="L91" i="23"/>
  <c r="L92" i="23"/>
  <c r="L93" i="23"/>
  <c r="L94" i="23"/>
  <c r="L95" i="23"/>
  <c r="L96" i="23"/>
  <c r="L97" i="23"/>
  <c r="L98" i="23"/>
  <c r="L99" i="23"/>
  <c r="L100" i="23"/>
  <c r="L101" i="23"/>
  <c r="L102" i="23"/>
  <c r="L103" i="23"/>
  <c r="L104" i="23"/>
  <c r="L105" i="23"/>
  <c r="L106" i="23"/>
  <c r="L107" i="23"/>
  <c r="L108" i="23"/>
  <c r="L109" i="23"/>
  <c r="L110" i="23"/>
  <c r="L111" i="23"/>
  <c r="L112" i="23"/>
  <c r="L113" i="23"/>
  <c r="L114" i="23"/>
  <c r="L115" i="23"/>
  <c r="L116" i="23"/>
  <c r="L117" i="23"/>
  <c r="L118" i="23"/>
  <c r="L119" i="23"/>
  <c r="L120" i="23"/>
  <c r="L121" i="23"/>
  <c r="L122" i="23"/>
  <c r="L123" i="23"/>
  <c r="L124" i="23"/>
  <c r="L125" i="23"/>
  <c r="L126" i="23"/>
  <c r="L127" i="23"/>
  <c r="L128" i="23"/>
  <c r="L129" i="23"/>
  <c r="L130" i="23"/>
  <c r="L131" i="23"/>
  <c r="L132" i="23"/>
  <c r="L133" i="23"/>
  <c r="L134" i="23"/>
  <c r="L135" i="23"/>
  <c r="L136" i="23"/>
  <c r="L137" i="23"/>
  <c r="L138" i="23"/>
  <c r="L139" i="23"/>
  <c r="L140" i="23"/>
  <c r="L141" i="23"/>
  <c r="L142" i="23"/>
  <c r="L143" i="23"/>
  <c r="L144" i="23"/>
  <c r="L145" i="23"/>
  <c r="L146" i="23"/>
  <c r="L147" i="23"/>
  <c r="L148" i="23"/>
  <c r="L149" i="23"/>
  <c r="L150" i="23"/>
  <c r="L151" i="23"/>
  <c r="L152" i="23"/>
  <c r="L153" i="23"/>
  <c r="L154" i="23"/>
  <c r="L155" i="23"/>
  <c r="L156" i="23"/>
  <c r="L157" i="23"/>
  <c r="L158" i="23"/>
  <c r="L159" i="23"/>
  <c r="L160" i="23"/>
  <c r="L161" i="23"/>
  <c r="L162" i="23"/>
  <c r="L163" i="23"/>
  <c r="L164" i="23"/>
  <c r="L165" i="23"/>
  <c r="L166" i="23"/>
  <c r="L167" i="23"/>
  <c r="L168" i="23"/>
  <c r="L169" i="23"/>
  <c r="L170" i="23"/>
  <c r="L171" i="23"/>
  <c r="L172" i="23"/>
  <c r="L173" i="23"/>
  <c r="L174" i="23"/>
  <c r="L175" i="23"/>
  <c r="L176" i="23"/>
  <c r="L177" i="23"/>
  <c r="L178" i="23"/>
  <c r="L179" i="23"/>
  <c r="L180" i="23"/>
  <c r="L181" i="23"/>
  <c r="L182" i="23"/>
  <c r="L183" i="23"/>
  <c r="L184" i="23"/>
  <c r="L185" i="23"/>
  <c r="L186" i="23"/>
  <c r="L187" i="23"/>
  <c r="L188" i="23"/>
  <c r="L189" i="23"/>
  <c r="L190" i="23"/>
  <c r="L191" i="23"/>
  <c r="L192" i="23"/>
  <c r="L193" i="23"/>
  <c r="L194" i="23"/>
  <c r="L195" i="23"/>
  <c r="L196" i="23"/>
  <c r="L197" i="23"/>
  <c r="L198" i="23"/>
  <c r="L199" i="23"/>
  <c r="L200" i="23"/>
  <c r="L201" i="23"/>
  <c r="L202" i="23"/>
  <c r="L203" i="23"/>
  <c r="L204" i="23"/>
  <c r="L205" i="23"/>
  <c r="L206" i="23"/>
  <c r="L207" i="23"/>
  <c r="L208" i="23"/>
  <c r="L209" i="23"/>
  <c r="L210" i="23"/>
  <c r="L211" i="23"/>
  <c r="L212" i="23"/>
  <c r="L213" i="23"/>
  <c r="L214" i="23"/>
  <c r="L215" i="23"/>
  <c r="L216" i="23"/>
  <c r="L217" i="23"/>
  <c r="L218" i="23"/>
  <c r="L219" i="23"/>
  <c r="L220" i="23"/>
  <c r="L221" i="23"/>
  <c r="L222" i="23"/>
  <c r="L223" i="23"/>
  <c r="L224" i="23"/>
  <c r="L225" i="23"/>
  <c r="L226" i="23"/>
  <c r="L227" i="23"/>
  <c r="L228" i="23"/>
  <c r="L229" i="23"/>
  <c r="L230" i="23"/>
  <c r="L231" i="23"/>
  <c r="L232" i="23"/>
  <c r="L233" i="23"/>
  <c r="L234" i="23"/>
  <c r="L235" i="23"/>
  <c r="L236" i="23"/>
  <c r="L237" i="23"/>
  <c r="L238" i="23"/>
  <c r="L239" i="23"/>
  <c r="L240" i="23"/>
  <c r="L241" i="23"/>
  <c r="L242" i="23"/>
  <c r="L243" i="23"/>
  <c r="L244" i="23"/>
  <c r="L245" i="23"/>
  <c r="L246" i="23"/>
  <c r="L247" i="23"/>
  <c r="L248" i="23"/>
  <c r="L249" i="23"/>
  <c r="L250" i="23"/>
  <c r="L251" i="23"/>
  <c r="L252" i="23"/>
  <c r="L253" i="23"/>
  <c r="L254" i="23"/>
  <c r="L255" i="23"/>
  <c r="L256" i="23"/>
  <c r="L257" i="23"/>
  <c r="L258" i="23"/>
  <c r="L259" i="23"/>
  <c r="L260" i="23"/>
  <c r="L261" i="23"/>
  <c r="L262" i="23"/>
  <c r="L263" i="23"/>
  <c r="L264" i="23"/>
  <c r="L265" i="23"/>
  <c r="L266" i="23"/>
  <c r="L267" i="23"/>
  <c r="L268" i="23"/>
  <c r="L269" i="23"/>
  <c r="L270" i="23"/>
  <c r="L271" i="23"/>
  <c r="L272" i="23"/>
  <c r="L273" i="23"/>
  <c r="L274" i="23"/>
  <c r="L275" i="23"/>
  <c r="L276" i="23"/>
  <c r="L277" i="23"/>
  <c r="L278" i="23"/>
  <c r="L279" i="23"/>
  <c r="L280" i="23"/>
  <c r="L281" i="23"/>
  <c r="L282" i="23"/>
  <c r="L283" i="23"/>
  <c r="L284" i="23"/>
  <c r="L285" i="23"/>
  <c r="L286" i="23"/>
  <c r="L287" i="23"/>
  <c r="L288" i="23"/>
  <c r="L289" i="23"/>
  <c r="L290" i="23"/>
  <c r="L291" i="23"/>
  <c r="L292" i="23"/>
  <c r="L293" i="23"/>
  <c r="L294" i="23"/>
  <c r="L295" i="23"/>
  <c r="L296" i="23"/>
  <c r="L297" i="23"/>
  <c r="L298" i="23"/>
  <c r="L299" i="23"/>
  <c r="L300" i="23"/>
  <c r="L301" i="23"/>
  <c r="L302" i="23"/>
  <c r="L303" i="23"/>
  <c r="L304" i="23"/>
  <c r="L305" i="23"/>
  <c r="L306" i="23"/>
  <c r="L307" i="23"/>
  <c r="L308" i="23"/>
  <c r="L309" i="23"/>
  <c r="L310" i="23"/>
  <c r="L311" i="23"/>
  <c r="L312" i="23"/>
  <c r="L313" i="23"/>
  <c r="L314" i="23"/>
  <c r="L315" i="23"/>
  <c r="L316" i="23"/>
  <c r="L317" i="23"/>
  <c r="L318" i="23"/>
  <c r="L319" i="23"/>
  <c r="L320" i="23"/>
  <c r="L321" i="23"/>
  <c r="L322" i="23"/>
  <c r="L323" i="23"/>
  <c r="L324" i="23"/>
  <c r="L325" i="23"/>
  <c r="L326" i="23"/>
  <c r="L327" i="23"/>
  <c r="L328" i="23"/>
  <c r="L329" i="23"/>
  <c r="L330" i="23"/>
  <c r="L331" i="23"/>
  <c r="L332" i="23"/>
  <c r="L333" i="23"/>
  <c r="L334" i="23"/>
  <c r="L335" i="23"/>
  <c r="L336" i="23"/>
  <c r="L337" i="23"/>
  <c r="L338" i="23"/>
  <c r="L339" i="23"/>
  <c r="L340" i="23"/>
  <c r="L341" i="23"/>
  <c r="L342" i="23"/>
  <c r="L343" i="23"/>
  <c r="L344" i="23"/>
  <c r="L345" i="23"/>
  <c r="L346" i="23"/>
  <c r="L347" i="23"/>
  <c r="L348" i="23"/>
  <c r="L349" i="23"/>
  <c r="L350" i="23"/>
  <c r="L351" i="23"/>
  <c r="L352" i="23"/>
  <c r="L353" i="23"/>
  <c r="L354" i="23"/>
  <c r="L355" i="23"/>
  <c r="L356" i="23"/>
  <c r="L357" i="23"/>
  <c r="L358" i="23"/>
  <c r="L359" i="23"/>
  <c r="L360" i="23"/>
  <c r="L361" i="23"/>
  <c r="L362" i="23"/>
  <c r="L363" i="23"/>
  <c r="L364" i="23"/>
  <c r="L365" i="23"/>
  <c r="L366" i="23"/>
  <c r="L367" i="23"/>
  <c r="L368" i="23"/>
  <c r="L369" i="23"/>
  <c r="L370" i="23"/>
  <c r="L371" i="23"/>
  <c r="L372" i="23"/>
  <c r="L373" i="23"/>
  <c r="L374" i="23"/>
  <c r="L375" i="23"/>
  <c r="L376" i="23"/>
  <c r="L377" i="23"/>
  <c r="L378" i="23"/>
  <c r="L379" i="23"/>
  <c r="L380" i="23"/>
  <c r="L381" i="23"/>
  <c r="L382" i="23"/>
  <c r="L383" i="23"/>
  <c r="L384" i="23"/>
  <c r="L385" i="23"/>
  <c r="L386" i="23"/>
  <c r="L387" i="23"/>
  <c r="L388" i="23"/>
  <c r="L389" i="23"/>
  <c r="L390" i="23"/>
  <c r="L391" i="23"/>
  <c r="L392" i="23"/>
  <c r="L393" i="23"/>
  <c r="L394" i="23"/>
  <c r="L395" i="23"/>
  <c r="L396" i="23"/>
  <c r="L397" i="23"/>
  <c r="L398" i="23"/>
  <c r="L399" i="23"/>
  <c r="L400" i="23"/>
  <c r="L401" i="23"/>
  <c r="L402" i="23"/>
  <c r="L403" i="23"/>
  <c r="L404" i="23"/>
  <c r="L405" i="23"/>
  <c r="L406" i="23"/>
  <c r="L407" i="23"/>
  <c r="L408" i="23"/>
  <c r="L409" i="23"/>
  <c r="L410" i="23"/>
  <c r="L411" i="23"/>
  <c r="L412" i="23"/>
  <c r="L413" i="23"/>
  <c r="L414" i="23"/>
  <c r="L415" i="23"/>
  <c r="L416" i="23"/>
  <c r="L417" i="23"/>
  <c r="L418" i="23"/>
  <c r="L419" i="23"/>
  <c r="L420" i="23"/>
  <c r="L421" i="23"/>
  <c r="L422" i="23"/>
  <c r="L423" i="23"/>
  <c r="L424" i="23"/>
  <c r="L425" i="23"/>
  <c r="L426" i="23"/>
  <c r="L427" i="23"/>
  <c r="L428" i="23"/>
  <c r="L429" i="23"/>
  <c r="L430" i="23"/>
  <c r="L431" i="23"/>
  <c r="L432" i="23"/>
  <c r="L433" i="23"/>
  <c r="L434" i="23"/>
  <c r="L435" i="23"/>
  <c r="L436" i="23"/>
  <c r="L437" i="23"/>
  <c r="L438" i="23"/>
  <c r="L439" i="23"/>
  <c r="L440" i="23"/>
  <c r="L441" i="23"/>
  <c r="L442" i="23"/>
  <c r="L443" i="23"/>
  <c r="L444" i="23"/>
  <c r="L445" i="23"/>
  <c r="L446" i="23"/>
  <c r="L447" i="23"/>
  <c r="L448" i="23"/>
  <c r="L449" i="23"/>
  <c r="L450" i="23"/>
  <c r="L451" i="23"/>
  <c r="L452" i="23"/>
  <c r="L453" i="23"/>
  <c r="L454" i="23"/>
  <c r="L455" i="23"/>
  <c r="L456" i="23"/>
  <c r="L457" i="23"/>
  <c r="L458" i="23"/>
  <c r="L459" i="23"/>
  <c r="L460" i="23"/>
  <c r="L461" i="23"/>
  <c r="L462" i="23"/>
  <c r="L463" i="23"/>
  <c r="L464" i="23"/>
  <c r="L465" i="23"/>
  <c r="L466" i="23"/>
  <c r="L467" i="23"/>
  <c r="L468" i="23"/>
  <c r="L469" i="23"/>
  <c r="L470" i="23"/>
  <c r="L471" i="23"/>
  <c r="L472" i="23"/>
  <c r="L473" i="23"/>
  <c r="L474" i="23"/>
  <c r="L475" i="23"/>
  <c r="L476" i="23"/>
  <c r="L477" i="23"/>
  <c r="L478" i="23"/>
  <c r="L479" i="23"/>
  <c r="L480" i="23"/>
  <c r="L481" i="23"/>
  <c r="L482" i="23"/>
  <c r="L483" i="23"/>
  <c r="L484" i="23"/>
  <c r="L485" i="23"/>
  <c r="L486" i="23"/>
  <c r="L487" i="23"/>
  <c r="L488" i="23"/>
  <c r="L489" i="23"/>
  <c r="L490" i="23"/>
  <c r="L491" i="23"/>
  <c r="L492" i="23"/>
  <c r="L493" i="23"/>
  <c r="L494" i="23"/>
  <c r="L495" i="23"/>
  <c r="L496" i="23"/>
  <c r="L497" i="23"/>
  <c r="L498" i="23"/>
  <c r="L499" i="23"/>
  <c r="L500" i="23"/>
  <c r="L501" i="23"/>
  <c r="L502" i="23"/>
  <c r="L503" i="23"/>
  <c r="L504" i="23"/>
  <c r="L505" i="23"/>
  <c r="L506" i="23"/>
  <c r="L507" i="23"/>
  <c r="L508" i="23"/>
  <c r="L509" i="23"/>
  <c r="L510" i="23"/>
  <c r="L511" i="23"/>
  <c r="L512" i="23"/>
  <c r="L513" i="23"/>
  <c r="L514" i="23"/>
  <c r="L515" i="23"/>
  <c r="L516" i="23"/>
  <c r="L517" i="23"/>
  <c r="L518" i="23"/>
  <c r="L519" i="23"/>
  <c r="L520" i="23"/>
  <c r="L521" i="23"/>
  <c r="L522" i="23"/>
  <c r="L523" i="23"/>
  <c r="L524" i="23"/>
  <c r="L525" i="23"/>
  <c r="L526" i="23"/>
  <c r="L527" i="23"/>
  <c r="L528" i="23"/>
  <c r="L529" i="23"/>
  <c r="L530" i="23"/>
  <c r="L531" i="23"/>
  <c r="L532" i="23"/>
  <c r="L533" i="23"/>
  <c r="L534" i="23"/>
  <c r="L535" i="23"/>
  <c r="L536" i="23"/>
  <c r="L537" i="23"/>
  <c r="L538" i="23"/>
  <c r="L539" i="23"/>
  <c r="L540" i="23"/>
  <c r="L541" i="23"/>
  <c r="L542" i="23"/>
  <c r="L543" i="23"/>
  <c r="L544" i="23"/>
  <c r="L545" i="23"/>
  <c r="L546" i="23"/>
  <c r="L547" i="23"/>
  <c r="L548" i="23"/>
  <c r="L549" i="23"/>
  <c r="L550" i="23"/>
  <c r="L551" i="23"/>
  <c r="L552" i="23"/>
  <c r="L553" i="23"/>
  <c r="L554" i="23"/>
  <c r="L555" i="23"/>
  <c r="L556" i="23"/>
  <c r="L557" i="23"/>
  <c r="L558" i="23"/>
  <c r="L559" i="23"/>
  <c r="L560" i="23"/>
  <c r="L561" i="23"/>
  <c r="L562" i="23"/>
  <c r="L563" i="23"/>
  <c r="L564" i="23"/>
  <c r="L565" i="23"/>
  <c r="L566" i="23"/>
  <c r="L567" i="23"/>
  <c r="L568" i="23"/>
  <c r="L569" i="23"/>
  <c r="L570" i="23"/>
  <c r="L571" i="23"/>
  <c r="L572" i="23"/>
  <c r="L573" i="23"/>
  <c r="L574" i="23"/>
  <c r="L575" i="23"/>
  <c r="L576" i="23"/>
  <c r="L577" i="23"/>
  <c r="L578" i="23"/>
  <c r="L579" i="23"/>
  <c r="L580" i="23"/>
  <c r="L581" i="23"/>
  <c r="L582" i="23"/>
  <c r="L583" i="23"/>
  <c r="L584" i="23"/>
  <c r="L585" i="23"/>
  <c r="L586" i="23"/>
  <c r="L587" i="23"/>
  <c r="L588" i="23"/>
  <c r="L589" i="23"/>
  <c r="L590" i="23"/>
  <c r="L591" i="23"/>
  <c r="L592" i="23"/>
  <c r="L593" i="23"/>
  <c r="L594" i="23"/>
  <c r="L595" i="23"/>
  <c r="L596" i="23"/>
  <c r="L597" i="23"/>
  <c r="L598" i="23"/>
  <c r="L599" i="23"/>
  <c r="L600" i="23"/>
  <c r="L601" i="23"/>
  <c r="L602" i="23"/>
  <c r="L603" i="23"/>
  <c r="L604" i="23"/>
  <c r="L605" i="23"/>
  <c r="L606" i="23"/>
  <c r="L607" i="23"/>
  <c r="L608" i="23"/>
  <c r="L609" i="23"/>
  <c r="L610" i="23"/>
  <c r="L611" i="23"/>
  <c r="L612" i="23"/>
  <c r="L613" i="23"/>
  <c r="L614" i="23"/>
  <c r="L615" i="23"/>
  <c r="L616" i="23"/>
  <c r="L617" i="23"/>
  <c r="L618" i="23"/>
  <c r="L619" i="23"/>
  <c r="L620" i="23"/>
  <c r="L621" i="23"/>
  <c r="L622" i="23"/>
  <c r="L623" i="23"/>
  <c r="L624" i="23"/>
  <c r="L625" i="23"/>
  <c r="L626" i="23"/>
  <c r="L627" i="23"/>
  <c r="L628" i="23"/>
  <c r="L629" i="23"/>
  <c r="L630" i="23"/>
  <c r="L631" i="23"/>
  <c r="L632" i="23"/>
  <c r="L633" i="23"/>
  <c r="L634" i="23"/>
  <c r="L635" i="23"/>
  <c r="L636" i="23"/>
  <c r="L637" i="23"/>
  <c r="L638" i="23"/>
  <c r="L639" i="23"/>
  <c r="L640" i="23"/>
  <c r="L641" i="23"/>
  <c r="L642" i="23"/>
  <c r="L643" i="23"/>
  <c r="L644" i="23"/>
  <c r="L645" i="23"/>
  <c r="L646" i="23"/>
  <c r="L647" i="23"/>
  <c r="L648" i="23"/>
  <c r="L649" i="23"/>
  <c r="L650" i="23"/>
  <c r="L651" i="23"/>
  <c r="L652" i="23"/>
  <c r="L653" i="23"/>
  <c r="L654" i="23"/>
  <c r="L655" i="23"/>
  <c r="L656" i="23"/>
  <c r="L657" i="23"/>
  <c r="L658" i="23"/>
  <c r="L659" i="23"/>
  <c r="L660" i="23"/>
  <c r="L661" i="23"/>
  <c r="L662" i="23"/>
  <c r="L663" i="23"/>
  <c r="L664" i="23"/>
  <c r="L665" i="23"/>
  <c r="L666" i="23"/>
  <c r="L667" i="23"/>
  <c r="L668" i="23"/>
  <c r="L669" i="23"/>
  <c r="L670" i="23"/>
  <c r="L671" i="23"/>
  <c r="L672" i="23"/>
  <c r="L673" i="23"/>
  <c r="L674" i="23"/>
  <c r="L675" i="23"/>
  <c r="L676" i="23"/>
  <c r="L677" i="23"/>
  <c r="L678" i="23"/>
  <c r="L679" i="23"/>
  <c r="L680" i="23"/>
  <c r="L681" i="23"/>
  <c r="L682" i="23"/>
  <c r="L683" i="23"/>
  <c r="L684" i="23"/>
  <c r="L685" i="23"/>
  <c r="L686" i="23"/>
  <c r="L687" i="23"/>
  <c r="L688" i="23"/>
  <c r="L689" i="23"/>
  <c r="L690" i="23"/>
  <c r="L691" i="23"/>
  <c r="L692" i="23"/>
  <c r="L693" i="23"/>
  <c r="L694" i="23"/>
  <c r="L695" i="23"/>
  <c r="L696" i="23"/>
  <c r="L697" i="23"/>
  <c r="L698" i="23"/>
  <c r="L699" i="23"/>
  <c r="L700" i="23"/>
  <c r="L701" i="23"/>
  <c r="L702" i="23"/>
  <c r="L703" i="23"/>
  <c r="L704" i="23"/>
  <c r="L705" i="23"/>
  <c r="L706" i="23"/>
  <c r="L707" i="23"/>
  <c r="L708" i="23"/>
  <c r="L709" i="23"/>
  <c r="L710" i="23"/>
  <c r="L711" i="23"/>
  <c r="L712" i="23"/>
  <c r="L713" i="23"/>
  <c r="L714" i="23"/>
  <c r="L715" i="23"/>
  <c r="L716" i="23"/>
  <c r="L717" i="23"/>
  <c r="L718" i="23"/>
  <c r="L719" i="23"/>
  <c r="L720" i="23"/>
  <c r="L721" i="23"/>
  <c r="L722" i="23"/>
  <c r="L723" i="23"/>
  <c r="L724" i="23"/>
  <c r="L725" i="23"/>
  <c r="L726" i="23"/>
  <c r="L727" i="23"/>
  <c r="L728" i="23"/>
  <c r="L729" i="23"/>
  <c r="L730" i="23"/>
  <c r="L731" i="23"/>
  <c r="L732" i="23"/>
  <c r="L733" i="23"/>
  <c r="L734" i="23"/>
  <c r="L735" i="23"/>
  <c r="L736" i="23"/>
  <c r="L737" i="23"/>
  <c r="L738" i="23"/>
  <c r="L739" i="23"/>
  <c r="L740" i="23"/>
  <c r="L741" i="23"/>
  <c r="L742" i="23"/>
  <c r="L743" i="23"/>
  <c r="L744" i="23"/>
  <c r="L745" i="23"/>
  <c r="L746" i="23"/>
  <c r="L747" i="23"/>
  <c r="L748" i="23"/>
  <c r="L749" i="23"/>
  <c r="L750" i="23"/>
  <c r="L751" i="23"/>
  <c r="L752" i="23"/>
  <c r="L753" i="23"/>
  <c r="L754" i="23"/>
  <c r="L755" i="23"/>
  <c r="L756" i="23"/>
  <c r="L757" i="23"/>
  <c r="L758" i="23"/>
  <c r="L759" i="23"/>
  <c r="L760" i="23"/>
  <c r="L761" i="23"/>
  <c r="L762" i="23"/>
  <c r="L763" i="23"/>
  <c r="L764" i="23"/>
  <c r="L765" i="23"/>
  <c r="L766" i="23"/>
  <c r="L767" i="23"/>
  <c r="L768" i="23"/>
  <c r="L769" i="23"/>
  <c r="L770" i="23"/>
  <c r="L771" i="23"/>
  <c r="L772" i="23"/>
  <c r="L773" i="23"/>
  <c r="L774" i="23"/>
  <c r="L775" i="23"/>
  <c r="L776" i="23"/>
  <c r="L777" i="23"/>
  <c r="L778" i="23"/>
  <c r="L779" i="23"/>
  <c r="L780" i="23"/>
  <c r="L781" i="23"/>
  <c r="L782" i="23"/>
  <c r="L783" i="23"/>
  <c r="L784" i="23"/>
  <c r="L785" i="23"/>
  <c r="L786" i="23"/>
  <c r="L787" i="23"/>
  <c r="L788" i="23"/>
  <c r="L789" i="23"/>
  <c r="L790" i="23"/>
  <c r="L791" i="23"/>
  <c r="L792" i="23"/>
  <c r="L793" i="23"/>
  <c r="L794" i="23"/>
  <c r="L795" i="23"/>
  <c r="L796" i="23"/>
  <c r="L797" i="23"/>
  <c r="L798" i="23"/>
  <c r="L799" i="23"/>
  <c r="L800" i="23"/>
  <c r="L801" i="23"/>
  <c r="L802" i="23"/>
  <c r="L803" i="23"/>
  <c r="L804" i="23"/>
  <c r="L805" i="23"/>
  <c r="L806" i="23"/>
  <c r="L807" i="23"/>
  <c r="L808" i="23"/>
  <c r="L809" i="23"/>
  <c r="L810" i="23"/>
  <c r="L811" i="23"/>
  <c r="L812" i="23"/>
  <c r="L813" i="23"/>
  <c r="L814" i="23"/>
  <c r="L815" i="23"/>
  <c r="L816" i="23"/>
  <c r="L817" i="23"/>
  <c r="L818" i="23"/>
  <c r="L819" i="23"/>
  <c r="L820" i="23"/>
  <c r="L821" i="23"/>
  <c r="L822" i="23"/>
  <c r="L823" i="23"/>
  <c r="L824" i="23"/>
  <c r="L825" i="23"/>
  <c r="L826" i="23"/>
  <c r="L827" i="23"/>
  <c r="L828" i="23"/>
  <c r="L829" i="23"/>
  <c r="L830" i="23"/>
  <c r="L831" i="23"/>
  <c r="L832" i="23"/>
  <c r="L833" i="23"/>
  <c r="L834" i="23"/>
  <c r="L835" i="23"/>
  <c r="L836" i="23"/>
  <c r="L837" i="23"/>
  <c r="L838" i="23"/>
  <c r="L839" i="23"/>
  <c r="L840" i="23"/>
  <c r="L841" i="23"/>
  <c r="L842" i="23"/>
  <c r="L843" i="23"/>
  <c r="L844" i="23"/>
  <c r="L845" i="23"/>
  <c r="L846" i="23"/>
  <c r="L847" i="23"/>
  <c r="L848" i="23"/>
  <c r="L849" i="23"/>
  <c r="L850" i="23"/>
  <c r="L851" i="23"/>
  <c r="L852" i="23"/>
  <c r="L853" i="23"/>
  <c r="L854" i="23"/>
  <c r="L855" i="23"/>
  <c r="L856" i="23"/>
  <c r="L857" i="23"/>
  <c r="L858" i="23"/>
  <c r="L859" i="23"/>
  <c r="L860" i="23"/>
  <c r="L861" i="23"/>
  <c r="L862" i="23"/>
  <c r="L863" i="23"/>
  <c r="L864" i="23"/>
  <c r="L865" i="23"/>
  <c r="L866" i="23"/>
  <c r="L867" i="23"/>
  <c r="L868" i="23"/>
  <c r="L869" i="23"/>
  <c r="L870" i="23"/>
  <c r="L871" i="23"/>
  <c r="L872" i="23"/>
  <c r="L873" i="23"/>
  <c r="L874" i="23"/>
  <c r="L875" i="23"/>
  <c r="L876" i="23"/>
  <c r="L877" i="23"/>
  <c r="L878" i="23"/>
  <c r="L879" i="23"/>
  <c r="L880" i="23"/>
  <c r="L881" i="23"/>
  <c r="L882" i="23"/>
  <c r="L883" i="23"/>
  <c r="L884" i="23"/>
  <c r="L885" i="23"/>
  <c r="L886" i="23"/>
  <c r="L887" i="23"/>
  <c r="L888" i="23"/>
  <c r="L889" i="23"/>
  <c r="L890" i="23"/>
  <c r="L891" i="23"/>
  <c r="L892" i="23"/>
  <c r="L893" i="23"/>
  <c r="L894" i="23"/>
  <c r="L895" i="23"/>
  <c r="L896" i="23"/>
  <c r="L897" i="23"/>
  <c r="L898" i="23"/>
  <c r="L899" i="23"/>
  <c r="L900" i="23"/>
  <c r="L901" i="23"/>
  <c r="L902" i="23"/>
  <c r="L903" i="23"/>
  <c r="L904" i="23"/>
  <c r="L905" i="23"/>
  <c r="L906" i="23"/>
  <c r="L907" i="23"/>
  <c r="L908" i="23"/>
  <c r="L909" i="23"/>
  <c r="L910" i="23"/>
  <c r="L911" i="23"/>
  <c r="L912" i="23"/>
  <c r="L913" i="23"/>
  <c r="L914" i="23"/>
  <c r="L915" i="23"/>
  <c r="L916" i="23"/>
  <c r="L917" i="23"/>
  <c r="L918" i="23"/>
  <c r="L919" i="23"/>
  <c r="L920" i="23"/>
  <c r="L921" i="23"/>
  <c r="L922" i="23"/>
  <c r="L923" i="23"/>
  <c r="L924" i="23"/>
  <c r="L925" i="23"/>
  <c r="L926" i="23"/>
  <c r="L927" i="23"/>
  <c r="L928" i="23"/>
  <c r="L929" i="23"/>
  <c r="L930" i="23"/>
  <c r="L931" i="23"/>
  <c r="L932" i="23"/>
  <c r="L933" i="23"/>
  <c r="L934" i="23"/>
  <c r="L935" i="23"/>
  <c r="L936" i="23"/>
  <c r="L937" i="23"/>
  <c r="L938" i="23"/>
  <c r="L939" i="23"/>
  <c r="L940" i="23"/>
  <c r="L941" i="23"/>
  <c r="L942" i="23"/>
  <c r="L943" i="23"/>
  <c r="L944" i="23"/>
  <c r="L945" i="23"/>
  <c r="L946" i="23"/>
  <c r="L947" i="23"/>
  <c r="L948" i="23"/>
  <c r="L949" i="23"/>
  <c r="L950" i="23"/>
  <c r="L951" i="23"/>
  <c r="L952" i="23"/>
  <c r="L953" i="23"/>
  <c r="L954" i="23"/>
  <c r="L955" i="23"/>
  <c r="L956" i="23"/>
  <c r="L957" i="23"/>
  <c r="L958" i="23"/>
  <c r="L959" i="23"/>
  <c r="L960" i="23"/>
  <c r="L961" i="23"/>
  <c r="L962" i="23"/>
  <c r="L963" i="23"/>
  <c r="L964" i="23"/>
  <c r="L965" i="23"/>
  <c r="L966" i="23"/>
  <c r="L967" i="23"/>
  <c r="L968" i="23"/>
  <c r="L969" i="23"/>
  <c r="L970" i="23"/>
  <c r="L971" i="23"/>
  <c r="L972" i="23"/>
  <c r="L973" i="23"/>
  <c r="L974" i="23"/>
  <c r="L975" i="23"/>
  <c r="L976" i="23"/>
  <c r="L977" i="23"/>
  <c r="L978" i="23"/>
  <c r="L979" i="23"/>
  <c r="L980" i="23"/>
  <c r="L981" i="23"/>
  <c r="L982" i="23"/>
  <c r="L983" i="23"/>
  <c r="L984" i="23"/>
  <c r="L985" i="23"/>
  <c r="L986" i="23"/>
  <c r="L987" i="23"/>
  <c r="L988" i="23"/>
  <c r="L989" i="23"/>
  <c r="L990" i="23"/>
  <c r="L991" i="23"/>
  <c r="L992" i="23"/>
  <c r="L993" i="23"/>
  <c r="L994" i="23"/>
  <c r="L995" i="23"/>
  <c r="L996" i="23"/>
  <c r="L997" i="23"/>
  <c r="L998" i="23"/>
  <c r="L999" i="23"/>
  <c r="L1000" i="23"/>
  <c r="L1001" i="23"/>
  <c r="L1002" i="23"/>
  <c r="L1003" i="23"/>
  <c r="L1004" i="23"/>
  <c r="L1005" i="23"/>
  <c r="L1006" i="23"/>
  <c r="L1007" i="23"/>
  <c r="L1008" i="23"/>
  <c r="L1009" i="23"/>
  <c r="L1010" i="23"/>
  <c r="L1011" i="23"/>
  <c r="L1012" i="23"/>
  <c r="L1013" i="23"/>
  <c r="L1014" i="23"/>
  <c r="L1015" i="23"/>
  <c r="L1016" i="23"/>
  <c r="L1017" i="23"/>
  <c r="L1018" i="23"/>
  <c r="L1019" i="23"/>
  <c r="L1020" i="23"/>
  <c r="L1021" i="23"/>
  <c r="L1022" i="23"/>
  <c r="L1023" i="23"/>
  <c r="L1024" i="23"/>
  <c r="L1025" i="23"/>
  <c r="L1026" i="23"/>
  <c r="L1027" i="23"/>
  <c r="L1028" i="23"/>
  <c r="L1029" i="23"/>
  <c r="L1030" i="23"/>
  <c r="L1031" i="23"/>
  <c r="L1032" i="23"/>
  <c r="L1033" i="23"/>
  <c r="L1034" i="23"/>
  <c r="L1035" i="23"/>
  <c r="L1036" i="23"/>
  <c r="L1037" i="23"/>
  <c r="L1038" i="23"/>
  <c r="L1039" i="23"/>
  <c r="L1040" i="23"/>
  <c r="L1041" i="23"/>
  <c r="L1042" i="23"/>
  <c r="L1043" i="23"/>
  <c r="L1044" i="23"/>
  <c r="L1045" i="23"/>
  <c r="L1046" i="23"/>
  <c r="L1047" i="23"/>
  <c r="L1048" i="23"/>
  <c r="L1049" i="23"/>
  <c r="L1050" i="23"/>
  <c r="L1051" i="23"/>
  <c r="L1052" i="23"/>
  <c r="L1053" i="23"/>
  <c r="L1054" i="23"/>
  <c r="L1055" i="23"/>
  <c r="L1056" i="23"/>
  <c r="L1057" i="23"/>
  <c r="L1058" i="23"/>
  <c r="L1059" i="23"/>
  <c r="L1060" i="23"/>
  <c r="L1061" i="23"/>
  <c r="L1062" i="23"/>
  <c r="L1063" i="23"/>
  <c r="L1064" i="23"/>
  <c r="L1065" i="23"/>
  <c r="L1066" i="23"/>
  <c r="L1067" i="23"/>
  <c r="L1068" i="23"/>
  <c r="L1069" i="23"/>
  <c r="L1070" i="23"/>
  <c r="L1071" i="23"/>
  <c r="L1072" i="23"/>
  <c r="L1073" i="23"/>
  <c r="L1074" i="23"/>
  <c r="L1075" i="23"/>
  <c r="L1076" i="23"/>
  <c r="L1077" i="23"/>
  <c r="L1078" i="23"/>
  <c r="L1079" i="23"/>
  <c r="L1080" i="23"/>
  <c r="L1081" i="23"/>
  <c r="L1082" i="23"/>
  <c r="L1083" i="23"/>
  <c r="L1084" i="23"/>
  <c r="L1085" i="23"/>
  <c r="L1086" i="23"/>
  <c r="L1087" i="23"/>
  <c r="L1088" i="23"/>
  <c r="L1089" i="23"/>
  <c r="L1090" i="23"/>
  <c r="L1091" i="23"/>
  <c r="L1092" i="23"/>
  <c r="L1093" i="23"/>
  <c r="L1094" i="23"/>
  <c r="L1095" i="23"/>
  <c r="L1096" i="23"/>
  <c r="L1097" i="23"/>
  <c r="L1098" i="23"/>
  <c r="L1099" i="23"/>
  <c r="L1100" i="23"/>
  <c r="L1101" i="23"/>
  <c r="L1102" i="23"/>
  <c r="L1103" i="23"/>
  <c r="L1104" i="23"/>
  <c r="L1105" i="23"/>
  <c r="L1106" i="23"/>
  <c r="L1107" i="23"/>
  <c r="L1108" i="23"/>
  <c r="L1109" i="23"/>
  <c r="L1110" i="23"/>
  <c r="L1111" i="23"/>
  <c r="L1112" i="23"/>
  <c r="L1113" i="23"/>
  <c r="L1114" i="23"/>
  <c r="L1115" i="23"/>
  <c r="L1116" i="23"/>
  <c r="L1117" i="23"/>
  <c r="L1118" i="23"/>
  <c r="L1119" i="23"/>
  <c r="L1120" i="23"/>
  <c r="L1121" i="23"/>
  <c r="L1122" i="23"/>
  <c r="L1123" i="23"/>
  <c r="L1124" i="23"/>
  <c r="L1125" i="23"/>
  <c r="L1126" i="23"/>
  <c r="L1127" i="23"/>
  <c r="L1128" i="23"/>
  <c r="L1129" i="23"/>
  <c r="L1130" i="23"/>
  <c r="L1131" i="23"/>
  <c r="L1132" i="23"/>
  <c r="L1133" i="23"/>
  <c r="L1134" i="23"/>
  <c r="L1135" i="23"/>
  <c r="L1136" i="23"/>
  <c r="L1137" i="23"/>
  <c r="L1138" i="23"/>
  <c r="L1139" i="23"/>
  <c r="L1140" i="23"/>
  <c r="L1141" i="23"/>
  <c r="L1142" i="23"/>
  <c r="L1143" i="23"/>
  <c r="L1144" i="23"/>
  <c r="L1145" i="23"/>
  <c r="L1146" i="23"/>
  <c r="L1147" i="23"/>
  <c r="L1148" i="23"/>
  <c r="L1149" i="23"/>
  <c r="L1150" i="23"/>
  <c r="L1151" i="23"/>
  <c r="L1152" i="23"/>
  <c r="L1153" i="23"/>
  <c r="L1154" i="23"/>
  <c r="L1155" i="23"/>
  <c r="L1156" i="23"/>
  <c r="L1157" i="23"/>
  <c r="L1158" i="23"/>
  <c r="L1159" i="23"/>
  <c r="L1160" i="23"/>
  <c r="L1161" i="23"/>
  <c r="L1162" i="23"/>
  <c r="L1163" i="23"/>
  <c r="L1164" i="23"/>
  <c r="L1165" i="23"/>
  <c r="L1166" i="23"/>
  <c r="L1167" i="23"/>
  <c r="L1168" i="23"/>
  <c r="L1169" i="23"/>
  <c r="L1170" i="23"/>
  <c r="L1171" i="23"/>
  <c r="L1172" i="23"/>
  <c r="L1173" i="23"/>
  <c r="L1174" i="23"/>
  <c r="L1175" i="23"/>
  <c r="L1176" i="23"/>
  <c r="L1177" i="23"/>
  <c r="L1178" i="23"/>
  <c r="L1179" i="23"/>
  <c r="L1180" i="23"/>
  <c r="L1181" i="23"/>
  <c r="L1182" i="23"/>
  <c r="L1183" i="23"/>
  <c r="L1184" i="23"/>
  <c r="L1185" i="23"/>
  <c r="L1186" i="23"/>
  <c r="L1187" i="23"/>
  <c r="L1188" i="23"/>
  <c r="L1189" i="23"/>
  <c r="L1190" i="23"/>
  <c r="L1191" i="23"/>
  <c r="L1192" i="23"/>
  <c r="L1193" i="23"/>
  <c r="L1194" i="23"/>
  <c r="L1195" i="23"/>
  <c r="L1196" i="23"/>
  <c r="L1197" i="23"/>
  <c r="L1198" i="23"/>
  <c r="L1199" i="23"/>
  <c r="L1200" i="23"/>
  <c r="L1201" i="23"/>
  <c r="L1202" i="23"/>
  <c r="L1203" i="23"/>
  <c r="L1204" i="23"/>
  <c r="L1205" i="23"/>
  <c r="L1206" i="23"/>
  <c r="L1207" i="23"/>
  <c r="L1208" i="23"/>
  <c r="L1209" i="23"/>
  <c r="L1210" i="23"/>
  <c r="L1211" i="23"/>
  <c r="L1212" i="23"/>
  <c r="L1213" i="23"/>
  <c r="L1214" i="23"/>
  <c r="L1215" i="23"/>
  <c r="L1216" i="23"/>
  <c r="L1217" i="23"/>
  <c r="L1218" i="23"/>
  <c r="L1219" i="23"/>
  <c r="L1220" i="23"/>
  <c r="L1221" i="23"/>
  <c r="L1222" i="23"/>
  <c r="L1223" i="23"/>
  <c r="L1224" i="23"/>
  <c r="L1225" i="23"/>
  <c r="L1226" i="23"/>
  <c r="L1227" i="23"/>
  <c r="L1228" i="23"/>
  <c r="L1229" i="23"/>
  <c r="L1230" i="23"/>
  <c r="L1231" i="23"/>
  <c r="L1232" i="23"/>
  <c r="L1233" i="23"/>
  <c r="L1234" i="23"/>
  <c r="L1235" i="23"/>
  <c r="L1236" i="23"/>
  <c r="L1237" i="23"/>
  <c r="L1238" i="23"/>
  <c r="L1239" i="23"/>
  <c r="L1240" i="23"/>
  <c r="L1241" i="23"/>
  <c r="L1242" i="23"/>
  <c r="L1243" i="23"/>
  <c r="L1244" i="23"/>
  <c r="L1245" i="23"/>
  <c r="L1246" i="23"/>
  <c r="L1247" i="23"/>
  <c r="L1248" i="23"/>
  <c r="L1249" i="23"/>
  <c r="L1250" i="23"/>
  <c r="L1251" i="23"/>
  <c r="L1252" i="23"/>
  <c r="L1253" i="23"/>
  <c r="L1254" i="23"/>
  <c r="L1255" i="23"/>
  <c r="L1256" i="23"/>
  <c r="L1257" i="23"/>
  <c r="L1258" i="23"/>
  <c r="L1259" i="23"/>
  <c r="L1260" i="23"/>
  <c r="L1261" i="23"/>
  <c r="L1262" i="23"/>
  <c r="L1263" i="23"/>
  <c r="L1264" i="23"/>
  <c r="L1265" i="23"/>
  <c r="L1266" i="23"/>
  <c r="L1267" i="23"/>
  <c r="L1268" i="23"/>
  <c r="L1269" i="23"/>
  <c r="L1270" i="23"/>
  <c r="L1271" i="23"/>
  <c r="L1272" i="23"/>
  <c r="L1273" i="23"/>
  <c r="L1274" i="23"/>
  <c r="L1275" i="23"/>
  <c r="L1276" i="23"/>
  <c r="L1277" i="23"/>
  <c r="L1278" i="23"/>
  <c r="L1279" i="23"/>
  <c r="L1280" i="23"/>
  <c r="L1281" i="23"/>
  <c r="L1282" i="23"/>
  <c r="L1283" i="23"/>
  <c r="L1284" i="23"/>
  <c r="L1285" i="23"/>
  <c r="L1286" i="23"/>
  <c r="L1287" i="23"/>
  <c r="L1288" i="23"/>
  <c r="L1289" i="23"/>
  <c r="L1290" i="23"/>
  <c r="L1291" i="23"/>
  <c r="L1292" i="23"/>
  <c r="L1293" i="23"/>
  <c r="L1294" i="23"/>
  <c r="L1295" i="23"/>
  <c r="L1296" i="23"/>
  <c r="L1297" i="23"/>
  <c r="L1298" i="23"/>
  <c r="L1299" i="23"/>
  <c r="L1300" i="23"/>
  <c r="L1301" i="23"/>
  <c r="L1302" i="23"/>
  <c r="L1303" i="23"/>
  <c r="L1304" i="23"/>
  <c r="L1305" i="23"/>
  <c r="L1306" i="23"/>
  <c r="L1307" i="23"/>
  <c r="L1308" i="23"/>
  <c r="L1309" i="23"/>
  <c r="L1310" i="23"/>
  <c r="L1311" i="23"/>
  <c r="L1312" i="23"/>
  <c r="L1313" i="23"/>
  <c r="L1314" i="23"/>
  <c r="L1315" i="23"/>
  <c r="L1316" i="23"/>
  <c r="L1317" i="23"/>
  <c r="L1318" i="23"/>
  <c r="L1319" i="23"/>
  <c r="L1320" i="23"/>
  <c r="L1321" i="23"/>
  <c r="L1322" i="23"/>
  <c r="L1323" i="23"/>
  <c r="L1324" i="23"/>
  <c r="L1325" i="23"/>
  <c r="L1326" i="23"/>
  <c r="L1327" i="23"/>
  <c r="L1328" i="23"/>
  <c r="L1329" i="23"/>
  <c r="L1330" i="23"/>
  <c r="L1331" i="23"/>
  <c r="L1332" i="23"/>
  <c r="L1333" i="23"/>
  <c r="L1334" i="23"/>
  <c r="L1335" i="23"/>
  <c r="L1336" i="23"/>
  <c r="L1337" i="23"/>
  <c r="L1338" i="23"/>
  <c r="L1339" i="23"/>
  <c r="L1340" i="23"/>
  <c r="L1341" i="23"/>
  <c r="L1342" i="23"/>
  <c r="L1343" i="23"/>
  <c r="L1344" i="23"/>
  <c r="L1345" i="23"/>
  <c r="L1346" i="23"/>
  <c r="L1347" i="23"/>
  <c r="L1348" i="23"/>
  <c r="L1349" i="23"/>
  <c r="L1350" i="23"/>
  <c r="L1351" i="23"/>
  <c r="L1352" i="23"/>
  <c r="L1353" i="23"/>
  <c r="L1354" i="23"/>
  <c r="L1355" i="23"/>
  <c r="L1356" i="23"/>
  <c r="L1357" i="23"/>
  <c r="L1358" i="23"/>
  <c r="L1359" i="23"/>
  <c r="L1360" i="23"/>
  <c r="L1361" i="23"/>
  <c r="L1362" i="23"/>
  <c r="L1363" i="23"/>
  <c r="L1364" i="23"/>
  <c r="L1365" i="23"/>
  <c r="L1366" i="23"/>
  <c r="L1367" i="23"/>
  <c r="L1368" i="23"/>
  <c r="L1369" i="23"/>
  <c r="L1370" i="23"/>
  <c r="L1371" i="23"/>
  <c r="L1372" i="23"/>
  <c r="L1373" i="23"/>
  <c r="L1374" i="23"/>
  <c r="L1375" i="23"/>
  <c r="L1376" i="23"/>
  <c r="L1377" i="23"/>
  <c r="L1378" i="23"/>
  <c r="L1379" i="23"/>
  <c r="L1380" i="23"/>
  <c r="L1381" i="23"/>
  <c r="L1382" i="23"/>
  <c r="L1383" i="23"/>
  <c r="L1384" i="23"/>
  <c r="L1385" i="23"/>
  <c r="L1386" i="23"/>
  <c r="L1387" i="23"/>
  <c r="L1388" i="23"/>
  <c r="L1389" i="23"/>
  <c r="L1390" i="23"/>
  <c r="L1391" i="23"/>
  <c r="L1392" i="23"/>
  <c r="L1393" i="23"/>
  <c r="L1394" i="23"/>
  <c r="L1395" i="23"/>
  <c r="L1396" i="23"/>
  <c r="L1397" i="23"/>
  <c r="L1398" i="23"/>
  <c r="L1399" i="23"/>
  <c r="L1400" i="23"/>
  <c r="L1401" i="23"/>
  <c r="L1402" i="23"/>
  <c r="L1403" i="23"/>
  <c r="L1404" i="23"/>
  <c r="L1405" i="23"/>
  <c r="L1406" i="23"/>
  <c r="L1407" i="23"/>
  <c r="L1408" i="23"/>
  <c r="L1409" i="23"/>
  <c r="L1410" i="23"/>
  <c r="L1411" i="23"/>
  <c r="L1412" i="23"/>
  <c r="L1413" i="23"/>
  <c r="L1414" i="23"/>
  <c r="L1415" i="23"/>
  <c r="L1416" i="23"/>
  <c r="L1417" i="23"/>
  <c r="L1418" i="23"/>
  <c r="L1419" i="23"/>
  <c r="L1420" i="23"/>
  <c r="L1421" i="23"/>
  <c r="L1422" i="23"/>
  <c r="L1423" i="23"/>
  <c r="L1424" i="23"/>
  <c r="L1425" i="23"/>
  <c r="L1426" i="23"/>
  <c r="L1427" i="23"/>
  <c r="L1428" i="23"/>
  <c r="L1429" i="23"/>
  <c r="L1430" i="23"/>
  <c r="L1431" i="23"/>
  <c r="L1432" i="23"/>
  <c r="L1433" i="23"/>
  <c r="L1434" i="23"/>
  <c r="L1435" i="23"/>
  <c r="L1436" i="23"/>
  <c r="L1437" i="23"/>
  <c r="L1438" i="23"/>
  <c r="L1439" i="23"/>
  <c r="L1440" i="23"/>
  <c r="L1441" i="23"/>
  <c r="L1442" i="23"/>
  <c r="L1443" i="23"/>
  <c r="L1444" i="23"/>
  <c r="L1445" i="23"/>
  <c r="L1446" i="23"/>
  <c r="L1447" i="23"/>
  <c r="L1448" i="23"/>
  <c r="L1449" i="23"/>
  <c r="L1450" i="23"/>
  <c r="L1451" i="23"/>
  <c r="L1452" i="23"/>
  <c r="L1453" i="23"/>
  <c r="L1454" i="23"/>
  <c r="L1455" i="23"/>
  <c r="L1456" i="23"/>
  <c r="L1457" i="23"/>
  <c r="L1458" i="23"/>
  <c r="L1459" i="23"/>
  <c r="L1460" i="23"/>
  <c r="L1461" i="23"/>
  <c r="L1462" i="23"/>
  <c r="L1463" i="23"/>
  <c r="L1464" i="23"/>
  <c r="L1465" i="23"/>
  <c r="L1466" i="23"/>
  <c r="L1467" i="23"/>
  <c r="L1468" i="23"/>
  <c r="L1469" i="23"/>
  <c r="L1470" i="23"/>
  <c r="L1471" i="23"/>
  <c r="L1472" i="23"/>
  <c r="L1473" i="23"/>
  <c r="L1474" i="23"/>
  <c r="L1475" i="23"/>
  <c r="L1476" i="23"/>
  <c r="L1477" i="23"/>
  <c r="L1478" i="23"/>
  <c r="L1479" i="23"/>
  <c r="L1480" i="23"/>
  <c r="L1481" i="23"/>
  <c r="L1482" i="23"/>
  <c r="L1483" i="23"/>
  <c r="L1484" i="23"/>
  <c r="L1485" i="23"/>
  <c r="L1486" i="23"/>
  <c r="L1487" i="23"/>
  <c r="L1488" i="23"/>
  <c r="L1489" i="23"/>
  <c r="L1490" i="23"/>
  <c r="L1491" i="23"/>
  <c r="L1492" i="23"/>
  <c r="L1493" i="23"/>
  <c r="L1494" i="23"/>
  <c r="L1495" i="23"/>
  <c r="L1496" i="23"/>
  <c r="L1497" i="23"/>
  <c r="L1498" i="23"/>
  <c r="L1499" i="23"/>
  <c r="L1500" i="23"/>
  <c r="L1501" i="23"/>
  <c r="L1502" i="23"/>
  <c r="L1503" i="23"/>
  <c r="L1504" i="23"/>
  <c r="L1505" i="23"/>
  <c r="L1506" i="23"/>
  <c r="L1507" i="23"/>
  <c r="L1508" i="23"/>
  <c r="L1509" i="23"/>
  <c r="L1510" i="23"/>
  <c r="L1511" i="23"/>
  <c r="L1512" i="23"/>
  <c r="L1513" i="23"/>
  <c r="L1514" i="23"/>
  <c r="L1515" i="23"/>
  <c r="L1516" i="23"/>
  <c r="L1517" i="23"/>
  <c r="L1518" i="23"/>
  <c r="L1519" i="23"/>
  <c r="L1520" i="23"/>
  <c r="L1521" i="23"/>
  <c r="L1522" i="23"/>
  <c r="L1523" i="23"/>
  <c r="L1524" i="23"/>
  <c r="L1525" i="23"/>
  <c r="L1526" i="23"/>
  <c r="L1527" i="23"/>
  <c r="L1528" i="23"/>
  <c r="L1529" i="23"/>
  <c r="L1530" i="23"/>
  <c r="L1531" i="23"/>
  <c r="L1532" i="23"/>
  <c r="L1533" i="23"/>
  <c r="L1534" i="23"/>
  <c r="L1535" i="23"/>
  <c r="L1536" i="23"/>
  <c r="L1537" i="23"/>
  <c r="L1538" i="23"/>
  <c r="L1539" i="23"/>
  <c r="L1540" i="23"/>
  <c r="L1541" i="23"/>
  <c r="L1542" i="23"/>
  <c r="L1543" i="23"/>
  <c r="L1544" i="23"/>
  <c r="L1545" i="23"/>
  <c r="L1546" i="23"/>
  <c r="L1547" i="23"/>
  <c r="L1548" i="23"/>
  <c r="L1549" i="23"/>
  <c r="L1550" i="23"/>
  <c r="L1551" i="23"/>
  <c r="L1552" i="23"/>
  <c r="L1553" i="23"/>
  <c r="L1554" i="23"/>
  <c r="L1555" i="23"/>
  <c r="L1556" i="23"/>
  <c r="L1557" i="23"/>
  <c r="L1558" i="23"/>
  <c r="L1559" i="23"/>
  <c r="L1560" i="23"/>
  <c r="L1561" i="23"/>
  <c r="L1562" i="23"/>
  <c r="L1563" i="23"/>
  <c r="L1564" i="23"/>
  <c r="L1565" i="23"/>
  <c r="L1566" i="23"/>
  <c r="L1567" i="23"/>
  <c r="L1568" i="23"/>
  <c r="L1569" i="23"/>
  <c r="L1570" i="23"/>
  <c r="L1571" i="23"/>
  <c r="L1572" i="23"/>
  <c r="L1573" i="23"/>
  <c r="L1574" i="23"/>
  <c r="L1575" i="23"/>
  <c r="L1576" i="23"/>
  <c r="L1577" i="23"/>
  <c r="L1578" i="23"/>
  <c r="L1579" i="23"/>
  <c r="L1580" i="23"/>
  <c r="L1581" i="23"/>
  <c r="L1582" i="23"/>
  <c r="L1583" i="23"/>
  <c r="L1584" i="23"/>
  <c r="L1585" i="23"/>
  <c r="L1586" i="23"/>
  <c r="L1587" i="23"/>
  <c r="L1588" i="23"/>
  <c r="L1589" i="23"/>
  <c r="L1590" i="23"/>
  <c r="L1591" i="23"/>
  <c r="L1592" i="23"/>
  <c r="L1593" i="23"/>
  <c r="L1594" i="23"/>
  <c r="L1595" i="23"/>
  <c r="L1596" i="23"/>
  <c r="L1597" i="23"/>
  <c r="L1598" i="23"/>
  <c r="L1599" i="23"/>
  <c r="L1600" i="23"/>
  <c r="L1601" i="23"/>
  <c r="L1602" i="23"/>
  <c r="L1603" i="23"/>
  <c r="L1604" i="23"/>
  <c r="L1605" i="23"/>
  <c r="L1606" i="23"/>
  <c r="L1607" i="23"/>
  <c r="L1608" i="23"/>
  <c r="L1609" i="23"/>
  <c r="L1610" i="23"/>
  <c r="L1611" i="23"/>
  <c r="L1612" i="23"/>
  <c r="L1613" i="23"/>
  <c r="L1614" i="23"/>
  <c r="L1615" i="23"/>
  <c r="L1616" i="23"/>
  <c r="L1617" i="23"/>
  <c r="L1618" i="23"/>
  <c r="L1619" i="23"/>
  <c r="L1620" i="23"/>
  <c r="L1621" i="23"/>
  <c r="L1622" i="23"/>
  <c r="L1623" i="23"/>
  <c r="L1624" i="23"/>
  <c r="L1625" i="23"/>
  <c r="L1626" i="23"/>
  <c r="L1627" i="23"/>
  <c r="L1628" i="23"/>
  <c r="L1629" i="23"/>
  <c r="L1630" i="23"/>
  <c r="L1631" i="23"/>
  <c r="L1632" i="23"/>
  <c r="L1633" i="23"/>
  <c r="L1634" i="23"/>
  <c r="L1635" i="23"/>
  <c r="L1636" i="23"/>
  <c r="L1637" i="23"/>
  <c r="L1638" i="23"/>
  <c r="L1639" i="23"/>
  <c r="L1640" i="23"/>
  <c r="L1641" i="23"/>
  <c r="L1642" i="23"/>
  <c r="L1643" i="23"/>
  <c r="L1644" i="23"/>
  <c r="L1645" i="23"/>
  <c r="L1646" i="23"/>
  <c r="L1647" i="23"/>
  <c r="L1648" i="23"/>
  <c r="L1649" i="23"/>
  <c r="L1650" i="23"/>
  <c r="L1651" i="23"/>
  <c r="L1652" i="23"/>
  <c r="L1653" i="23"/>
  <c r="L1654" i="23"/>
  <c r="L1655" i="23"/>
  <c r="L1656" i="23"/>
  <c r="L1657" i="23"/>
  <c r="L1658" i="23"/>
  <c r="L1659" i="23"/>
  <c r="L1660" i="23"/>
  <c r="L1661" i="23"/>
  <c r="L1662" i="23"/>
  <c r="L1663" i="23"/>
  <c r="L1664" i="23"/>
  <c r="L1665" i="23"/>
  <c r="L1666" i="23"/>
  <c r="L1667" i="23"/>
  <c r="L1668" i="23"/>
  <c r="L1669" i="23"/>
  <c r="L1670" i="23"/>
  <c r="L1671" i="23"/>
  <c r="L1672" i="23"/>
  <c r="L1673" i="23"/>
  <c r="L1674" i="23"/>
  <c r="L1675" i="23"/>
  <c r="L1676" i="23"/>
  <c r="L1677" i="23"/>
  <c r="L1678" i="23"/>
  <c r="L1679" i="23"/>
  <c r="L1680" i="23"/>
  <c r="L1681" i="23"/>
  <c r="L1682" i="23"/>
  <c r="L1683" i="23"/>
  <c r="L1684" i="23"/>
  <c r="L1685" i="23"/>
  <c r="L1686" i="23"/>
  <c r="L1687" i="23"/>
  <c r="L1688" i="23"/>
  <c r="L1689" i="23"/>
  <c r="L1690" i="23"/>
  <c r="L1691" i="23"/>
  <c r="L1692" i="23"/>
  <c r="L1693" i="23"/>
  <c r="L1694" i="23"/>
  <c r="L1695" i="23"/>
  <c r="L1696" i="23"/>
  <c r="L1697" i="23"/>
  <c r="L1698" i="23"/>
  <c r="L1699" i="23"/>
  <c r="L1700" i="23"/>
  <c r="L1701" i="23"/>
  <c r="L1702" i="23"/>
  <c r="L1703" i="23"/>
  <c r="L1704" i="23"/>
  <c r="L1705" i="23"/>
  <c r="L1706" i="23"/>
  <c r="L1707" i="23"/>
  <c r="L1708" i="23"/>
  <c r="L1709" i="23"/>
  <c r="L1710" i="23"/>
  <c r="L1711" i="23"/>
  <c r="L1712" i="23"/>
  <c r="L1713" i="23"/>
  <c r="L1714" i="23"/>
  <c r="L1715" i="23"/>
  <c r="L1716" i="23"/>
  <c r="L1717" i="23"/>
  <c r="L1718" i="23"/>
  <c r="L1719" i="23"/>
  <c r="L1720" i="23"/>
  <c r="L1721" i="23"/>
  <c r="L1722" i="23"/>
  <c r="L1723" i="23"/>
  <c r="L1724" i="23"/>
  <c r="L1725" i="23"/>
  <c r="L1726" i="23"/>
  <c r="L1727" i="23"/>
  <c r="L1728" i="23"/>
  <c r="L1729" i="23"/>
  <c r="L1730" i="23"/>
  <c r="L1731" i="23"/>
  <c r="L1732" i="23"/>
  <c r="L1733" i="23"/>
  <c r="L1734" i="23"/>
  <c r="L1735" i="23"/>
  <c r="L1736" i="23"/>
  <c r="L1737" i="23"/>
  <c r="L1738" i="23"/>
  <c r="L1739" i="23"/>
  <c r="L1740" i="23"/>
  <c r="L1741" i="23"/>
  <c r="L1742" i="23"/>
  <c r="L1743" i="23"/>
  <c r="L1744" i="23"/>
  <c r="L1745" i="23"/>
  <c r="L1746" i="23"/>
  <c r="L1747" i="23"/>
  <c r="L1748" i="23"/>
  <c r="L1749" i="23"/>
  <c r="L1750" i="23"/>
  <c r="L1751" i="23"/>
  <c r="L1752" i="23"/>
  <c r="L1753" i="23"/>
  <c r="L1754" i="23"/>
  <c r="L1755" i="23"/>
  <c r="L1756" i="23"/>
  <c r="L1757" i="23"/>
  <c r="L1758" i="23"/>
  <c r="L1759" i="23"/>
  <c r="L1760" i="23"/>
  <c r="L1761" i="23"/>
  <c r="L1762" i="23"/>
  <c r="L1763" i="23"/>
  <c r="L1764" i="23"/>
  <c r="L1765" i="23"/>
  <c r="L1766" i="23"/>
  <c r="L1767" i="23"/>
  <c r="L1768" i="23"/>
  <c r="L1769" i="23"/>
  <c r="L1770" i="23"/>
  <c r="L1771" i="23"/>
  <c r="L1772" i="23"/>
  <c r="L1773" i="23"/>
  <c r="L1774" i="23"/>
  <c r="L1775" i="23"/>
  <c r="L1776" i="23"/>
  <c r="L1777" i="23"/>
  <c r="L1778" i="23"/>
  <c r="L1779" i="23"/>
  <c r="L1780" i="23"/>
  <c r="L1781" i="23"/>
  <c r="L1782" i="23"/>
  <c r="L1783" i="23"/>
  <c r="L1784" i="23"/>
  <c r="L1785" i="23"/>
  <c r="L1786" i="23"/>
  <c r="L1787" i="23"/>
  <c r="L1788" i="23"/>
  <c r="L1789" i="23"/>
  <c r="L1790" i="23"/>
  <c r="L1791" i="23"/>
  <c r="L1792" i="23"/>
  <c r="L1793" i="23"/>
  <c r="L1794" i="23"/>
  <c r="L1795" i="23"/>
  <c r="L1796" i="23"/>
  <c r="L1797" i="23"/>
  <c r="L1798" i="23"/>
  <c r="L1799" i="23"/>
  <c r="L1800" i="23"/>
  <c r="L1801" i="23"/>
  <c r="L1802" i="23"/>
  <c r="L1803" i="23"/>
  <c r="L1804" i="23"/>
  <c r="L1805" i="23"/>
  <c r="L1806" i="23"/>
  <c r="L1807" i="23"/>
  <c r="L1808" i="23"/>
  <c r="L1809" i="23"/>
  <c r="L1810" i="23"/>
  <c r="L1811" i="23"/>
  <c r="L1812" i="23"/>
  <c r="L1813" i="23"/>
  <c r="L1814" i="23"/>
  <c r="L1815" i="23"/>
  <c r="L1816" i="23"/>
  <c r="L1817" i="23"/>
  <c r="L1818" i="23"/>
  <c r="L1819" i="23"/>
  <c r="L1820" i="23"/>
  <c r="L1821" i="23"/>
  <c r="L1822" i="23"/>
  <c r="L1823" i="23"/>
  <c r="L1824" i="23"/>
  <c r="L1825" i="23"/>
  <c r="L1826" i="23"/>
  <c r="L1827" i="23"/>
  <c r="L1828" i="23"/>
  <c r="L1829" i="23"/>
  <c r="L1830" i="23"/>
  <c r="L1831" i="23"/>
  <c r="L1832" i="23"/>
  <c r="L1833" i="23"/>
  <c r="L1834" i="23"/>
  <c r="L1835" i="23"/>
  <c r="L1836" i="23"/>
  <c r="L1837" i="23"/>
  <c r="L1838" i="23"/>
  <c r="L1839" i="23"/>
  <c r="L1840" i="23"/>
  <c r="L1841" i="23"/>
  <c r="L1842" i="23"/>
  <c r="L1843" i="23"/>
  <c r="L1844" i="23"/>
  <c r="L1845" i="23"/>
  <c r="L1846" i="23"/>
  <c r="L1847" i="23"/>
  <c r="L1848" i="23"/>
  <c r="L1849" i="23"/>
  <c r="L1850" i="23"/>
  <c r="L1851" i="23"/>
  <c r="L1852" i="23"/>
  <c r="L1853" i="23"/>
  <c r="L1854" i="23"/>
  <c r="L1855" i="23"/>
  <c r="L1856" i="23"/>
  <c r="L1857" i="23"/>
  <c r="L1858" i="23"/>
  <c r="L1859" i="23"/>
  <c r="L1860" i="23"/>
  <c r="L1861" i="23"/>
  <c r="L1862" i="23"/>
  <c r="L1863" i="23"/>
  <c r="L1864" i="23"/>
  <c r="L1865" i="23"/>
  <c r="L1866" i="23"/>
  <c r="L1867" i="23"/>
  <c r="L1868" i="23"/>
  <c r="L1869" i="23"/>
  <c r="L1870" i="23"/>
  <c r="L1871" i="23"/>
  <c r="L1872" i="23"/>
  <c r="L1873" i="23"/>
  <c r="L1874" i="23"/>
  <c r="L1875" i="23"/>
  <c r="L1876" i="23"/>
  <c r="L1877" i="23"/>
  <c r="L1878" i="23"/>
  <c r="L1879" i="23"/>
  <c r="L1880" i="23"/>
  <c r="L1881" i="23"/>
  <c r="L1882" i="23"/>
  <c r="L1883" i="23"/>
  <c r="L1884" i="23"/>
  <c r="L1885" i="23"/>
  <c r="L1886" i="23"/>
  <c r="L1887" i="23"/>
  <c r="L1888" i="23"/>
  <c r="L1889" i="23"/>
  <c r="L1890" i="23"/>
  <c r="L1891" i="23"/>
  <c r="L1892" i="23"/>
  <c r="L1893" i="23"/>
  <c r="L1894" i="23"/>
  <c r="L1895" i="23"/>
  <c r="L1896" i="23"/>
  <c r="L1897" i="23"/>
  <c r="L1898" i="23"/>
  <c r="L1899" i="23"/>
  <c r="L1900" i="23"/>
  <c r="L1901" i="23"/>
  <c r="L1902" i="23"/>
  <c r="L1903" i="23"/>
  <c r="L1904" i="23"/>
  <c r="L1905" i="23"/>
  <c r="L1906" i="23"/>
  <c r="L1907" i="23"/>
  <c r="L1908" i="23"/>
  <c r="L1909" i="23"/>
  <c r="L1910" i="23"/>
  <c r="L1911" i="23"/>
  <c r="L1912" i="23"/>
  <c r="L1913" i="23"/>
  <c r="L1914" i="23"/>
  <c r="L1915" i="23"/>
  <c r="L1916" i="23"/>
  <c r="L1917" i="23"/>
  <c r="L1918" i="23"/>
  <c r="L1919" i="23"/>
  <c r="L1920" i="23"/>
  <c r="L1921" i="23"/>
  <c r="L1922" i="23"/>
  <c r="L1923" i="23"/>
  <c r="L1924" i="23"/>
  <c r="L1925" i="23"/>
  <c r="L1926" i="23"/>
  <c r="L1927" i="23"/>
  <c r="L1928" i="23"/>
  <c r="L1929" i="23"/>
  <c r="L1930" i="23"/>
  <c r="L1931" i="23"/>
  <c r="L1932" i="23"/>
  <c r="L1933" i="23"/>
  <c r="L1934" i="23"/>
  <c r="L1935" i="23"/>
  <c r="L1936" i="23"/>
  <c r="L1937" i="23"/>
  <c r="L1938" i="23"/>
  <c r="L1939" i="23"/>
  <c r="L1940" i="23"/>
  <c r="L1941" i="23"/>
  <c r="L1942" i="23"/>
  <c r="L1943" i="23"/>
  <c r="L1944" i="23"/>
  <c r="L1945" i="23"/>
  <c r="L1946" i="23"/>
  <c r="L1947" i="23"/>
  <c r="L1948" i="23"/>
  <c r="L1949" i="23"/>
  <c r="L1950" i="23"/>
  <c r="L1951" i="23"/>
  <c r="L1952" i="23"/>
  <c r="L1953" i="23"/>
  <c r="L1954" i="23"/>
  <c r="L1955" i="23"/>
  <c r="L1956" i="23"/>
  <c r="L1957" i="23"/>
  <c r="L1958" i="23"/>
  <c r="L1959" i="23"/>
  <c r="L1960" i="23"/>
  <c r="L1961" i="23"/>
  <c r="L1962" i="23"/>
  <c r="L1963" i="23"/>
  <c r="L1964" i="23"/>
  <c r="L1965" i="23"/>
  <c r="L1966" i="23"/>
  <c r="L1967" i="23"/>
  <c r="L1968" i="23"/>
  <c r="L1969" i="23"/>
  <c r="L1970" i="23"/>
  <c r="L1971" i="23"/>
  <c r="L1972" i="23"/>
  <c r="L1973" i="23"/>
  <c r="L1974" i="23"/>
  <c r="L1975" i="23"/>
  <c r="L1976" i="23"/>
  <c r="L1977" i="23"/>
  <c r="L1978" i="23"/>
  <c r="L1979" i="23"/>
  <c r="L1980" i="23"/>
  <c r="L1981" i="23"/>
  <c r="L1982" i="23"/>
  <c r="L1983" i="23"/>
  <c r="L1984" i="23"/>
  <c r="L1985" i="23"/>
  <c r="L1986" i="23"/>
  <c r="L1987" i="23"/>
  <c r="L1988" i="23"/>
  <c r="L1989" i="23"/>
  <c r="L1990" i="23"/>
  <c r="L1991" i="23"/>
  <c r="L1992" i="23"/>
  <c r="L1993" i="23"/>
  <c r="L1994" i="23"/>
  <c r="L1995" i="23"/>
  <c r="L1996" i="23"/>
  <c r="L1997" i="23"/>
  <c r="L1998" i="23"/>
  <c r="L1999" i="23"/>
  <c r="L2000" i="23"/>
  <c r="L2001" i="23"/>
  <c r="L2002" i="23"/>
  <c r="L2003" i="23"/>
  <c r="L2004" i="23"/>
  <c r="L2005" i="23"/>
  <c r="L2006" i="23"/>
  <c r="L2007" i="23"/>
  <c r="L2008" i="23"/>
  <c r="L2009" i="23"/>
  <c r="L2010" i="23"/>
  <c r="L2011" i="23"/>
  <c r="L2012" i="23"/>
  <c r="L2013" i="23"/>
  <c r="L2014" i="23"/>
  <c r="L2015" i="23"/>
  <c r="L2016" i="23"/>
  <c r="L2017" i="23"/>
  <c r="L2018" i="23"/>
  <c r="L2019" i="23"/>
  <c r="L2020" i="23"/>
  <c r="L2021" i="23"/>
  <c r="L2022" i="23"/>
  <c r="L2023" i="23"/>
  <c r="L2024" i="23"/>
  <c r="L2025" i="23"/>
  <c r="L2026" i="23"/>
  <c r="L2027" i="23"/>
  <c r="L2028" i="23"/>
  <c r="L2029" i="23"/>
  <c r="L2030" i="23"/>
  <c r="L2031" i="23"/>
  <c r="L2032" i="23"/>
  <c r="L2033" i="23"/>
  <c r="L2034" i="23"/>
  <c r="L2035" i="23"/>
  <c r="L2036" i="23"/>
  <c r="L2037" i="23"/>
  <c r="L2038" i="23"/>
  <c r="L2039" i="23"/>
  <c r="L2040" i="23"/>
  <c r="L2041" i="23"/>
  <c r="L2042" i="23"/>
  <c r="L2043" i="23"/>
  <c r="L2044" i="23"/>
  <c r="L2045" i="23"/>
  <c r="L2046" i="23"/>
  <c r="L2047" i="23"/>
  <c r="L2048" i="23"/>
  <c r="L2049" i="23"/>
  <c r="L2050" i="23"/>
  <c r="L2051" i="23"/>
  <c r="L2052" i="23"/>
  <c r="L2053" i="23"/>
  <c r="L2054" i="23"/>
  <c r="L2055" i="23"/>
  <c r="L2056" i="23"/>
  <c r="L2057" i="23"/>
  <c r="L2058" i="23"/>
  <c r="L2059" i="23"/>
  <c r="L2060" i="23"/>
  <c r="L2061" i="23"/>
  <c r="L2062" i="23"/>
  <c r="L2063" i="23"/>
  <c r="L2064" i="23"/>
  <c r="L2065" i="23"/>
  <c r="L2066" i="23"/>
  <c r="L2067" i="23"/>
  <c r="L2068" i="23"/>
  <c r="L2069" i="23"/>
  <c r="L2070" i="23"/>
  <c r="L2071" i="23"/>
  <c r="L2072" i="23"/>
  <c r="L2073" i="23"/>
  <c r="L2074" i="23"/>
  <c r="L2075" i="23"/>
  <c r="L2076" i="23"/>
  <c r="L2077" i="23"/>
  <c r="L2078" i="23"/>
  <c r="L2079" i="23"/>
  <c r="L2080" i="23"/>
  <c r="L2081" i="23"/>
  <c r="L2082" i="23"/>
  <c r="L2083" i="23"/>
  <c r="L2084" i="23"/>
  <c r="L2085" i="23"/>
  <c r="L2086" i="23"/>
  <c r="L2087" i="23"/>
  <c r="L2088" i="23"/>
  <c r="L2089" i="23"/>
  <c r="L2090" i="23"/>
  <c r="L2091" i="23"/>
  <c r="L2092" i="23"/>
  <c r="L2093" i="23"/>
  <c r="L2094" i="23"/>
  <c r="L2095" i="23"/>
  <c r="L2096" i="23"/>
  <c r="L2097" i="23"/>
  <c r="L2098" i="23"/>
  <c r="L2099" i="23"/>
  <c r="L2100" i="23"/>
  <c r="L2101" i="23"/>
  <c r="L2102" i="23"/>
  <c r="L2103" i="23"/>
  <c r="L2104" i="23"/>
  <c r="L2105" i="23"/>
  <c r="L2106" i="23"/>
  <c r="L2107" i="23"/>
  <c r="L2108" i="23"/>
  <c r="L2109" i="23"/>
  <c r="L2110" i="23"/>
  <c r="L2111" i="23"/>
  <c r="L2112" i="23"/>
  <c r="L2113" i="23"/>
  <c r="L2114" i="23"/>
  <c r="L2115" i="23"/>
  <c r="L2116" i="23"/>
  <c r="L2117" i="23"/>
  <c r="L2118" i="23"/>
  <c r="L2119" i="23"/>
  <c r="L2120" i="23"/>
  <c r="L2121" i="23"/>
  <c r="L2122" i="23"/>
  <c r="L2123" i="23"/>
  <c r="L2124" i="23"/>
  <c r="L2125" i="23"/>
  <c r="L2126" i="23"/>
  <c r="L2127" i="23"/>
  <c r="L2128" i="23"/>
  <c r="L2129" i="23"/>
  <c r="L2130" i="23"/>
  <c r="L2131" i="23"/>
  <c r="L2132" i="23"/>
  <c r="L2133" i="23"/>
  <c r="L2134" i="23"/>
  <c r="L2135" i="23"/>
  <c r="L2136" i="23"/>
  <c r="L2137" i="23"/>
  <c r="L2138" i="23"/>
  <c r="L2139" i="23"/>
  <c r="L2140" i="23"/>
  <c r="L2141" i="23"/>
  <c r="L2142" i="23"/>
  <c r="L2143" i="23"/>
  <c r="L2144" i="23"/>
  <c r="L2145" i="23"/>
  <c r="L2146" i="23"/>
  <c r="L2147" i="23"/>
  <c r="L2148" i="23"/>
  <c r="L2149" i="23"/>
  <c r="L2150" i="23"/>
  <c r="L2151" i="23"/>
  <c r="L2152" i="23"/>
  <c r="L2153" i="23"/>
  <c r="L2154" i="23"/>
  <c r="L2155" i="23"/>
  <c r="L2156" i="23"/>
  <c r="L2157" i="23"/>
  <c r="L2158" i="23"/>
  <c r="L2159" i="23"/>
  <c r="L2160" i="23"/>
  <c r="L2161" i="23"/>
  <c r="L2162" i="23"/>
  <c r="L2163" i="23"/>
  <c r="L2164" i="23"/>
  <c r="L2165" i="23"/>
  <c r="L2166" i="23"/>
  <c r="L2167" i="23"/>
  <c r="L2168" i="23"/>
  <c r="L2169" i="23"/>
  <c r="L2170" i="23"/>
  <c r="L2171" i="23"/>
  <c r="L2172" i="23"/>
  <c r="L2173" i="23"/>
  <c r="L2174" i="23"/>
  <c r="L2175" i="23"/>
  <c r="L2176" i="23"/>
  <c r="L2177" i="23"/>
  <c r="L2178" i="23"/>
  <c r="L2179" i="23"/>
  <c r="L2180" i="23"/>
  <c r="L2181" i="23"/>
  <c r="L2182" i="23"/>
  <c r="L2183" i="23"/>
  <c r="L2184" i="23"/>
  <c r="L2185" i="23"/>
  <c r="L2186" i="23"/>
  <c r="L2187" i="23"/>
  <c r="L2188" i="23"/>
  <c r="L2189" i="23"/>
  <c r="L2190" i="23"/>
  <c r="L2191" i="23"/>
  <c r="L2192" i="23"/>
  <c r="L2193" i="23"/>
  <c r="L2194" i="23"/>
  <c r="L2195" i="23"/>
  <c r="L2196" i="23"/>
  <c r="L2197" i="23"/>
  <c r="L2198" i="23"/>
  <c r="L2199" i="23"/>
  <c r="L2200" i="23"/>
  <c r="L2201" i="23"/>
  <c r="L2202" i="23"/>
  <c r="L2203" i="23"/>
  <c r="L2204" i="23"/>
  <c r="L2205" i="23"/>
  <c r="L2206" i="23"/>
  <c r="L2207" i="23"/>
  <c r="L2208" i="23"/>
  <c r="L2209" i="23"/>
  <c r="L2210" i="23"/>
  <c r="L2211" i="23"/>
  <c r="L2212" i="23"/>
  <c r="L2213" i="23"/>
  <c r="L2214" i="23"/>
  <c r="L2215" i="23"/>
  <c r="L2216" i="23"/>
  <c r="L2217" i="23"/>
  <c r="L2218" i="23"/>
  <c r="L2219" i="23"/>
  <c r="L2220" i="23"/>
  <c r="L2221" i="23"/>
  <c r="L2222" i="23"/>
  <c r="L2223" i="23"/>
  <c r="L2224" i="23"/>
  <c r="L2225" i="23"/>
  <c r="L2226" i="23"/>
  <c r="L2227" i="23"/>
  <c r="L2228" i="23"/>
  <c r="L2229" i="23"/>
  <c r="L2230" i="23"/>
  <c r="L2231" i="23"/>
  <c r="L2232" i="23"/>
  <c r="L2233" i="23"/>
  <c r="L2234" i="23"/>
  <c r="L2235" i="23"/>
  <c r="L2236" i="23"/>
  <c r="L2237" i="23"/>
  <c r="L2238" i="23"/>
  <c r="L2239" i="23"/>
  <c r="L2240" i="23"/>
  <c r="L2241" i="23"/>
  <c r="L2242" i="23"/>
  <c r="L2243" i="23"/>
  <c r="L2244" i="23"/>
  <c r="L2245" i="23"/>
  <c r="L2246" i="23"/>
  <c r="L2247" i="23"/>
  <c r="L2248" i="23"/>
  <c r="L2249" i="23"/>
  <c r="L2250" i="23"/>
  <c r="L2251" i="23"/>
  <c r="L2252" i="23"/>
  <c r="L2253" i="23"/>
  <c r="L2254" i="23"/>
  <c r="L2255" i="23"/>
  <c r="L2256" i="23"/>
  <c r="L2257" i="23"/>
  <c r="L2258" i="23"/>
  <c r="L2259" i="23"/>
  <c r="L2260" i="23"/>
  <c r="L2261" i="23"/>
  <c r="L2262" i="23"/>
  <c r="L2263" i="23"/>
  <c r="L2264" i="23"/>
  <c r="L2265" i="23"/>
  <c r="L2266" i="23"/>
  <c r="L2267" i="23"/>
  <c r="L2268" i="23"/>
  <c r="L2269" i="23"/>
  <c r="L2270" i="23"/>
  <c r="L2271" i="23"/>
  <c r="L2272" i="23"/>
  <c r="L2273" i="23"/>
  <c r="L2274" i="23"/>
  <c r="L2275" i="23"/>
  <c r="L2276" i="23"/>
  <c r="L2277" i="23"/>
  <c r="L2278" i="23"/>
  <c r="L2279" i="23"/>
  <c r="L2280" i="23"/>
  <c r="L2281" i="23"/>
  <c r="L2282" i="23"/>
  <c r="L2283" i="23"/>
  <c r="L2284" i="23"/>
  <c r="L2285" i="23"/>
  <c r="L2286" i="23"/>
  <c r="L2287" i="23"/>
  <c r="L2288" i="23"/>
  <c r="L2289" i="23"/>
  <c r="L2290" i="23"/>
  <c r="L2291" i="23"/>
  <c r="L2292" i="23"/>
  <c r="L2293" i="23"/>
  <c r="L2294" i="23"/>
  <c r="L2295" i="23"/>
  <c r="L2296" i="23"/>
  <c r="L2297" i="23"/>
  <c r="L2298" i="23"/>
  <c r="L2299" i="23"/>
  <c r="L2300" i="23"/>
  <c r="L2301" i="23"/>
  <c r="L2302" i="23"/>
  <c r="L2303" i="23"/>
  <c r="L2304" i="23"/>
  <c r="L2305" i="23"/>
  <c r="L2306" i="23"/>
  <c r="L2307" i="23"/>
  <c r="L2308" i="23"/>
  <c r="L2309" i="23"/>
  <c r="L2310" i="23"/>
  <c r="L2311" i="23"/>
  <c r="L2312" i="23"/>
  <c r="L2313" i="23"/>
  <c r="L2314" i="23"/>
  <c r="L2315" i="23"/>
  <c r="L2316" i="23"/>
  <c r="L2317" i="23"/>
  <c r="L2318" i="23"/>
  <c r="L2319" i="23"/>
  <c r="L2320" i="23"/>
  <c r="L2321" i="23"/>
  <c r="L2322" i="23"/>
  <c r="L2323" i="23"/>
  <c r="L2324" i="23"/>
  <c r="L2325" i="23"/>
  <c r="L2326" i="23"/>
  <c r="L2327" i="23"/>
  <c r="L2328" i="23"/>
  <c r="L2329" i="23"/>
  <c r="L2330" i="23"/>
  <c r="L2331" i="23"/>
  <c r="L2332" i="23"/>
  <c r="L2333" i="23"/>
  <c r="L2334" i="23"/>
  <c r="L2335" i="23"/>
  <c r="L2336" i="23"/>
  <c r="L2337" i="23"/>
  <c r="L2338" i="23"/>
  <c r="L2339" i="23"/>
  <c r="L2340" i="23"/>
  <c r="L2341" i="23"/>
  <c r="L2342" i="23"/>
  <c r="L2343" i="23"/>
  <c r="L2344" i="23"/>
  <c r="L2345" i="23"/>
  <c r="L2346" i="23"/>
  <c r="L2347" i="23"/>
  <c r="L2348" i="23"/>
  <c r="L2349" i="23"/>
  <c r="L2350" i="23"/>
  <c r="L2351" i="23"/>
  <c r="L2352" i="23"/>
  <c r="L2353" i="23"/>
  <c r="L2354" i="23"/>
  <c r="L2355" i="23"/>
  <c r="L2356" i="23"/>
  <c r="L2357" i="23"/>
  <c r="L2358" i="23"/>
  <c r="L2359" i="23"/>
  <c r="L2360" i="23"/>
  <c r="L2361" i="23"/>
  <c r="L2362" i="23"/>
  <c r="L2363" i="23"/>
  <c r="L2364" i="23"/>
  <c r="L2365" i="23"/>
  <c r="L2366" i="23"/>
  <c r="L2367" i="23"/>
  <c r="L2368" i="23"/>
  <c r="L2369" i="23"/>
  <c r="L2370" i="23"/>
  <c r="L2371" i="23"/>
  <c r="L2372" i="23"/>
  <c r="L2373" i="23"/>
  <c r="L2374" i="23"/>
  <c r="L2375" i="23"/>
  <c r="L2376" i="23"/>
  <c r="L2377" i="23"/>
  <c r="L2378" i="23"/>
  <c r="L2379" i="23"/>
  <c r="L2380" i="23"/>
  <c r="L2381" i="23"/>
  <c r="L2382" i="23"/>
  <c r="L2383" i="23"/>
  <c r="L2384" i="23"/>
  <c r="L2385" i="23"/>
  <c r="L2386" i="23"/>
  <c r="L2387" i="23"/>
  <c r="L2388" i="23"/>
  <c r="L2389" i="23"/>
  <c r="L2390" i="23"/>
  <c r="L2391" i="23"/>
  <c r="L2392" i="23"/>
  <c r="L2393" i="23"/>
  <c r="L2394" i="23"/>
  <c r="L2395" i="23"/>
  <c r="L2396" i="23"/>
  <c r="L2397" i="23"/>
  <c r="L2398" i="23"/>
  <c r="L2399" i="23"/>
  <c r="L2400" i="23"/>
  <c r="L2401" i="23"/>
  <c r="L2402" i="23"/>
  <c r="L2403" i="23"/>
  <c r="L2404" i="23"/>
  <c r="L2405" i="23"/>
  <c r="L2406" i="23"/>
  <c r="L2407" i="23"/>
  <c r="L2408" i="23"/>
  <c r="L2409" i="23"/>
  <c r="L2410" i="23"/>
  <c r="L2411" i="23"/>
  <c r="L2412" i="23"/>
  <c r="L2413" i="23"/>
  <c r="L2414" i="23"/>
  <c r="L2415" i="23"/>
  <c r="L2416" i="23"/>
  <c r="L2417" i="23"/>
  <c r="L2418" i="23"/>
  <c r="L2419" i="23"/>
  <c r="L2420" i="23"/>
  <c r="L2421" i="23"/>
  <c r="L2422" i="23"/>
  <c r="L2423" i="23"/>
  <c r="L2424" i="23"/>
  <c r="L2425" i="23"/>
  <c r="L2426" i="23"/>
  <c r="L2427" i="23"/>
  <c r="L2428" i="23"/>
  <c r="L2429" i="23"/>
  <c r="L2430" i="23"/>
  <c r="L2431" i="23"/>
  <c r="L2432" i="23"/>
  <c r="L2433" i="23"/>
  <c r="L2434" i="23"/>
  <c r="L2435" i="23"/>
  <c r="L2436" i="23"/>
  <c r="L2437" i="23"/>
  <c r="L2438" i="23"/>
  <c r="L2439" i="23"/>
  <c r="L2440" i="23"/>
  <c r="L2441" i="23"/>
  <c r="L2442" i="23"/>
  <c r="L2443" i="23"/>
  <c r="L2444" i="23"/>
  <c r="L2445" i="23"/>
  <c r="L2446" i="23"/>
  <c r="L2447" i="23"/>
  <c r="L2448" i="23"/>
  <c r="L2449" i="23"/>
  <c r="L2450" i="23"/>
  <c r="L2451" i="23"/>
  <c r="L2452" i="23"/>
  <c r="L2453" i="23"/>
  <c r="L2454" i="23"/>
  <c r="L2455" i="23"/>
  <c r="L2456" i="23"/>
  <c r="L2457" i="23"/>
  <c r="L2458" i="23"/>
  <c r="L2459" i="23"/>
  <c r="L2460" i="23"/>
  <c r="L2461" i="23"/>
  <c r="L2462" i="23"/>
  <c r="L2463" i="23"/>
  <c r="L2464" i="23"/>
  <c r="L2465" i="23"/>
  <c r="L2466" i="23"/>
  <c r="L2467" i="23"/>
  <c r="L2468" i="23"/>
  <c r="L2469" i="23"/>
  <c r="L2470" i="23"/>
  <c r="L2471" i="23"/>
  <c r="L2472" i="23"/>
  <c r="L2473" i="23"/>
  <c r="L2474" i="23"/>
  <c r="L2475" i="23"/>
  <c r="L2476" i="23"/>
  <c r="L2477" i="23"/>
  <c r="L2478" i="23"/>
  <c r="L2479" i="23"/>
  <c r="L2480" i="23"/>
  <c r="L2481" i="23"/>
  <c r="L2482" i="23"/>
  <c r="L2483" i="23"/>
  <c r="L2484" i="23"/>
  <c r="L2485" i="23"/>
  <c r="L2486" i="23"/>
  <c r="L2487" i="23"/>
  <c r="L2488" i="23"/>
  <c r="L2489" i="23"/>
  <c r="L2490" i="23"/>
  <c r="L2491" i="23"/>
  <c r="L2492" i="23"/>
  <c r="L2493" i="23"/>
  <c r="L2494" i="23"/>
  <c r="L2495" i="23"/>
  <c r="L2496" i="23"/>
  <c r="L2497" i="23"/>
  <c r="L2498" i="23"/>
  <c r="L2499" i="23"/>
  <c r="L2500" i="23"/>
  <c r="L2501" i="23"/>
  <c r="L2502" i="23"/>
  <c r="L2503" i="23"/>
  <c r="L2504" i="23"/>
  <c r="L2505" i="23"/>
  <c r="L2506" i="23"/>
  <c r="L2507" i="23"/>
  <c r="L2508" i="23"/>
  <c r="L2509" i="23"/>
  <c r="L2510" i="23"/>
  <c r="L2511" i="23"/>
  <c r="L2512" i="23"/>
  <c r="L2513" i="23"/>
  <c r="L2514" i="23"/>
  <c r="L2515" i="23"/>
  <c r="L2516" i="23"/>
  <c r="L2517" i="23"/>
  <c r="L2518" i="23"/>
  <c r="L2519" i="23"/>
  <c r="L2520" i="23"/>
  <c r="L2521" i="23"/>
  <c r="L2522" i="23"/>
  <c r="L2523" i="23"/>
  <c r="L2524" i="23"/>
  <c r="L2525" i="23"/>
  <c r="L2526" i="23"/>
  <c r="L2527" i="23"/>
  <c r="L2528" i="23"/>
  <c r="L2529" i="23"/>
  <c r="L2530" i="23"/>
  <c r="L2531" i="23"/>
  <c r="L2532" i="23"/>
  <c r="L2533" i="23"/>
  <c r="L2534" i="23"/>
  <c r="L2535" i="23"/>
  <c r="L2536" i="23"/>
  <c r="L2537" i="23"/>
  <c r="L2538" i="23"/>
  <c r="L2539" i="23"/>
  <c r="L2540" i="23"/>
  <c r="L2541" i="23"/>
  <c r="L2542" i="23"/>
  <c r="L2543" i="23"/>
  <c r="L2544" i="23"/>
  <c r="L2545" i="23"/>
  <c r="L2546" i="23"/>
  <c r="L2547" i="23"/>
  <c r="L2548" i="23"/>
  <c r="L2549" i="23"/>
  <c r="L2550" i="23"/>
  <c r="L2551" i="23"/>
  <c r="L2552" i="23"/>
  <c r="L2553" i="23"/>
  <c r="L2554" i="23"/>
  <c r="L2555" i="23"/>
  <c r="L2556" i="23"/>
  <c r="L2557" i="23"/>
  <c r="L2558" i="23"/>
  <c r="L2559" i="23"/>
  <c r="L2560" i="23"/>
  <c r="L2561" i="23"/>
  <c r="L2562" i="23"/>
  <c r="L2563" i="23"/>
  <c r="L2564" i="23"/>
  <c r="L2565" i="23"/>
  <c r="L2566" i="23"/>
  <c r="L2567" i="23"/>
  <c r="L2568" i="23"/>
  <c r="L2569" i="23"/>
  <c r="L2570" i="23"/>
  <c r="L2571" i="23"/>
  <c r="L2572" i="23"/>
  <c r="L2573" i="23"/>
  <c r="L2574" i="23"/>
  <c r="L2575" i="23"/>
  <c r="L2576" i="23"/>
  <c r="L2577" i="23"/>
  <c r="L2578" i="23"/>
  <c r="L2579" i="23"/>
  <c r="L2580" i="23"/>
  <c r="L2581" i="23"/>
  <c r="L2582" i="23"/>
  <c r="L2583" i="23"/>
  <c r="L2584" i="23"/>
  <c r="L2585" i="23"/>
  <c r="L2586" i="23"/>
  <c r="L2587" i="23"/>
  <c r="L2588" i="23"/>
  <c r="L2589" i="23"/>
  <c r="L2590" i="23"/>
  <c r="L2591" i="23"/>
  <c r="L2592" i="23"/>
  <c r="L2593" i="23"/>
  <c r="L2594" i="23"/>
  <c r="L2595" i="23"/>
  <c r="L2596" i="23"/>
  <c r="L2597" i="23"/>
  <c r="L2598" i="23"/>
  <c r="L2599" i="23"/>
  <c r="L2600" i="23"/>
  <c r="L2601" i="23"/>
  <c r="L2602" i="23"/>
  <c r="L2603" i="23"/>
  <c r="L2604" i="23"/>
  <c r="L2605" i="23"/>
  <c r="L2606" i="23"/>
  <c r="L2607" i="23"/>
  <c r="L2608" i="23"/>
  <c r="L2609" i="23"/>
  <c r="L2610" i="23"/>
  <c r="L2611" i="23"/>
  <c r="L2612" i="23"/>
  <c r="L2613" i="23"/>
  <c r="L2614" i="23"/>
  <c r="L2615" i="23"/>
  <c r="L2616" i="23"/>
  <c r="L2617" i="23"/>
  <c r="L2618" i="23"/>
  <c r="L2619" i="23"/>
  <c r="L2620" i="23"/>
  <c r="L2621" i="23"/>
  <c r="L2622" i="23"/>
  <c r="L2623" i="23"/>
  <c r="L2624" i="23"/>
  <c r="L2625" i="23"/>
  <c r="L2626" i="23"/>
  <c r="L2627" i="23"/>
  <c r="L2628" i="23"/>
  <c r="L2629" i="23"/>
  <c r="L2630" i="23"/>
  <c r="L2631" i="23"/>
  <c r="L2632" i="23"/>
  <c r="L2633" i="23"/>
  <c r="L2634" i="23"/>
  <c r="L2635" i="23"/>
  <c r="L2636" i="23"/>
  <c r="L2637" i="23"/>
  <c r="L2638" i="23"/>
  <c r="L2639" i="23"/>
  <c r="L2640" i="23"/>
  <c r="L2641" i="23"/>
  <c r="L2642" i="23"/>
  <c r="L2643" i="23"/>
  <c r="L2644" i="23"/>
  <c r="L2645" i="23"/>
  <c r="L2646" i="23"/>
  <c r="L2647" i="23"/>
  <c r="L2648" i="23"/>
  <c r="L2649" i="23"/>
  <c r="L2650" i="23"/>
  <c r="L2651" i="23"/>
  <c r="L2652" i="23"/>
  <c r="L2653" i="23"/>
  <c r="L2654" i="23"/>
  <c r="L2655" i="23"/>
  <c r="L2656" i="23"/>
  <c r="L2657" i="23"/>
  <c r="L2658" i="23"/>
  <c r="L2659" i="23"/>
  <c r="L2660" i="23"/>
  <c r="L2661" i="23"/>
  <c r="L2662" i="23"/>
  <c r="L2663" i="23"/>
  <c r="L2664" i="23"/>
  <c r="L2665" i="23"/>
  <c r="L2666" i="23"/>
  <c r="L2667" i="23"/>
  <c r="L2668" i="23"/>
  <c r="L2669" i="23"/>
  <c r="L2670" i="23"/>
  <c r="L2671" i="23"/>
  <c r="L2672" i="23"/>
  <c r="L2673" i="23"/>
  <c r="L2674" i="23"/>
  <c r="L2675" i="23"/>
  <c r="L2676" i="23"/>
  <c r="L2677" i="23"/>
  <c r="L2678" i="23"/>
  <c r="L2679" i="23"/>
  <c r="L2680" i="23"/>
  <c r="L2681" i="23"/>
  <c r="L2682" i="23"/>
  <c r="L2683" i="23"/>
  <c r="L2684" i="23"/>
  <c r="L2685" i="23"/>
  <c r="L2686" i="23"/>
  <c r="L2687" i="23"/>
  <c r="L2688" i="23"/>
  <c r="L2689" i="23"/>
  <c r="L2690" i="23"/>
  <c r="L2691" i="23"/>
  <c r="L2692" i="23"/>
  <c r="L2693" i="23"/>
  <c r="L2694" i="23"/>
  <c r="L2695" i="23"/>
  <c r="L2696" i="23"/>
  <c r="L2697" i="23"/>
  <c r="L2698" i="23"/>
  <c r="L2699" i="23"/>
  <c r="L2700" i="23"/>
  <c r="L2701" i="23"/>
  <c r="L2702" i="23"/>
  <c r="L2703" i="23"/>
  <c r="L2704" i="23"/>
  <c r="L2705" i="23"/>
  <c r="L2706" i="23"/>
  <c r="L2707" i="23"/>
  <c r="L2708" i="23"/>
  <c r="L2709" i="23"/>
  <c r="L2710" i="23"/>
  <c r="L2711" i="23"/>
  <c r="L2712" i="23"/>
  <c r="L2713" i="23"/>
  <c r="L2714" i="23"/>
  <c r="L2715" i="23"/>
  <c r="L2716" i="23"/>
  <c r="L2717" i="23"/>
  <c r="L2718" i="23"/>
  <c r="L2719" i="23"/>
  <c r="L2720" i="23"/>
  <c r="L2721" i="23"/>
  <c r="L2722" i="23"/>
  <c r="L2723" i="23"/>
  <c r="L2724" i="23"/>
  <c r="L2725" i="23"/>
  <c r="L2726" i="23"/>
  <c r="L2727" i="23"/>
  <c r="L2728" i="23"/>
  <c r="L2729" i="23"/>
  <c r="L2730" i="23"/>
  <c r="L2731" i="23"/>
  <c r="L2732" i="23"/>
  <c r="L2733" i="23"/>
  <c r="L2734" i="23"/>
  <c r="L2735" i="23"/>
  <c r="L2736" i="23"/>
  <c r="L2737" i="23"/>
  <c r="L2738" i="23"/>
  <c r="L2739" i="23"/>
  <c r="L2740" i="23"/>
  <c r="L2741" i="23"/>
  <c r="L2742" i="23"/>
  <c r="L2743" i="23"/>
  <c r="L2744" i="23"/>
  <c r="L2745" i="23"/>
  <c r="L2746" i="23"/>
  <c r="L2747" i="23"/>
  <c r="L2748" i="23"/>
  <c r="L2749" i="23"/>
  <c r="L2750" i="23"/>
  <c r="L2751" i="23"/>
  <c r="L2752" i="23"/>
  <c r="L2753" i="23"/>
  <c r="L2754" i="23"/>
  <c r="L2755" i="23"/>
  <c r="L2756" i="23"/>
  <c r="L2757" i="23"/>
  <c r="L2758" i="23"/>
  <c r="L2759" i="23"/>
  <c r="L2760" i="23"/>
  <c r="L2761" i="23"/>
  <c r="L2762" i="23"/>
  <c r="L2763" i="23"/>
  <c r="L2764" i="23"/>
  <c r="L2765" i="23"/>
  <c r="L2766" i="23"/>
  <c r="L2767" i="23"/>
  <c r="L2768" i="23"/>
  <c r="L2769" i="23"/>
  <c r="L2770" i="23"/>
  <c r="L2771" i="23"/>
  <c r="L2772" i="23"/>
  <c r="L2773" i="23"/>
  <c r="L2774" i="23"/>
  <c r="L2775" i="23"/>
  <c r="L2776" i="23"/>
  <c r="L2777" i="23"/>
  <c r="L2778" i="23"/>
  <c r="L2779" i="23"/>
  <c r="L2780" i="23"/>
  <c r="L2781" i="23"/>
  <c r="L2782" i="23"/>
  <c r="L2783" i="23"/>
  <c r="L2784" i="23"/>
  <c r="L2785" i="23"/>
  <c r="L2786" i="23"/>
  <c r="L2787" i="23"/>
  <c r="L2788" i="23"/>
  <c r="L2789" i="23"/>
  <c r="L2790" i="23"/>
  <c r="L2791" i="23"/>
  <c r="L2792" i="23"/>
  <c r="L2793" i="23"/>
  <c r="L2794" i="23"/>
  <c r="L2795" i="23"/>
  <c r="L2796" i="23"/>
  <c r="L2797" i="23"/>
  <c r="L2798" i="23"/>
  <c r="L2799" i="23"/>
  <c r="L2800" i="23"/>
  <c r="L2801" i="23"/>
  <c r="L2802" i="23"/>
  <c r="L2803" i="23"/>
  <c r="L2804" i="23"/>
  <c r="L2805" i="23"/>
  <c r="L2806" i="23"/>
  <c r="L2807" i="23"/>
  <c r="L2808" i="23"/>
  <c r="L2809" i="23"/>
  <c r="L2810" i="23"/>
  <c r="L2811" i="23"/>
  <c r="L2812" i="23"/>
  <c r="L2813" i="23"/>
  <c r="L2814" i="23"/>
  <c r="L2815" i="23"/>
  <c r="L2816" i="23"/>
  <c r="L2817" i="23"/>
  <c r="L2818" i="23"/>
  <c r="L2819" i="23"/>
  <c r="L2820" i="23"/>
  <c r="L2821" i="23"/>
  <c r="L2822" i="23"/>
  <c r="L2823" i="23"/>
  <c r="L2824" i="23"/>
  <c r="L2825" i="23"/>
  <c r="L2826" i="23"/>
  <c r="L2827" i="23"/>
  <c r="L2828" i="23"/>
  <c r="L2829" i="23"/>
  <c r="L2830" i="23"/>
  <c r="L2831" i="23"/>
  <c r="L2832" i="23"/>
  <c r="L2833" i="23"/>
  <c r="L2834" i="23"/>
  <c r="L2835" i="23"/>
  <c r="L2836" i="23"/>
  <c r="L2837" i="23"/>
  <c r="L2838" i="23"/>
  <c r="L2839" i="23"/>
  <c r="L2840" i="23"/>
  <c r="L2841" i="23"/>
  <c r="L2842" i="23"/>
  <c r="L2843" i="23"/>
  <c r="L2844" i="23"/>
  <c r="L2845" i="23"/>
  <c r="L2846" i="23"/>
  <c r="L2847" i="23"/>
  <c r="L2848" i="23"/>
  <c r="L2849" i="23"/>
  <c r="L2850" i="23"/>
  <c r="L2851" i="23"/>
  <c r="L2852" i="23"/>
  <c r="L2853" i="23"/>
  <c r="L2854" i="23"/>
  <c r="L2855" i="23"/>
  <c r="L2856" i="23"/>
  <c r="L2857" i="23"/>
  <c r="L2858" i="23"/>
  <c r="L2859" i="23"/>
  <c r="L2860" i="23"/>
  <c r="L2861" i="23"/>
  <c r="L2862" i="23"/>
  <c r="L2863" i="23"/>
  <c r="L2864" i="23"/>
  <c r="L2865" i="23"/>
  <c r="L2866" i="23"/>
  <c r="L2867" i="23"/>
  <c r="L2868" i="23"/>
  <c r="L2869" i="23"/>
  <c r="L2870" i="23"/>
  <c r="L2871" i="23"/>
  <c r="L2872" i="23"/>
  <c r="L2873" i="23"/>
  <c r="L2874" i="23"/>
  <c r="L2875" i="23"/>
  <c r="L2876" i="23"/>
  <c r="L2877" i="23"/>
  <c r="L2878" i="23"/>
  <c r="L2879" i="23"/>
  <c r="L2880" i="23"/>
  <c r="L2881" i="23"/>
  <c r="L2882" i="23"/>
  <c r="L2883" i="23"/>
  <c r="L2884" i="23"/>
  <c r="L2885" i="23"/>
  <c r="L2886" i="23"/>
  <c r="L2887" i="23"/>
  <c r="L2888" i="23"/>
  <c r="L2889" i="23"/>
  <c r="L2890" i="23"/>
  <c r="L2891" i="23"/>
  <c r="L2892" i="23"/>
  <c r="L2893" i="23"/>
  <c r="L2894" i="23"/>
  <c r="L2895" i="23"/>
  <c r="L2896" i="23"/>
  <c r="L2897" i="23"/>
  <c r="L2898" i="23"/>
  <c r="L2899" i="23"/>
  <c r="L2900" i="23"/>
  <c r="L2901" i="23"/>
  <c r="L2902" i="23"/>
  <c r="L2903" i="23"/>
  <c r="L2904" i="23"/>
  <c r="L2905" i="23"/>
  <c r="L2906" i="23"/>
  <c r="L2907" i="23"/>
  <c r="L2908" i="23"/>
  <c r="L2909" i="23"/>
  <c r="L2910" i="23"/>
  <c r="L2911" i="23"/>
  <c r="L2912" i="23"/>
  <c r="L2913" i="23"/>
  <c r="L2914" i="23"/>
  <c r="L2915" i="23"/>
  <c r="L2916" i="23"/>
  <c r="L2917" i="23"/>
  <c r="L2918" i="23"/>
  <c r="L2919" i="23"/>
  <c r="L2920" i="23"/>
  <c r="L2921" i="23"/>
  <c r="L2922" i="23"/>
  <c r="L2923" i="23"/>
  <c r="L2924" i="23"/>
  <c r="L2925" i="23"/>
  <c r="L2926" i="23"/>
  <c r="L2927" i="23"/>
  <c r="L2928" i="23"/>
  <c r="L2929" i="23"/>
  <c r="L2930" i="23"/>
  <c r="L2931" i="23"/>
  <c r="L2932" i="23"/>
  <c r="L2933" i="23"/>
  <c r="L2934" i="23"/>
  <c r="L2935" i="23"/>
  <c r="L2936" i="23"/>
  <c r="L2937" i="23"/>
  <c r="L2938" i="23"/>
  <c r="L2939" i="23"/>
  <c r="L2940" i="23"/>
  <c r="L2941" i="23"/>
  <c r="L2942" i="23"/>
  <c r="L2943" i="23"/>
  <c r="L2944" i="23"/>
  <c r="L2945" i="23"/>
  <c r="L2946" i="23"/>
  <c r="L2947" i="23"/>
  <c r="L2948" i="23"/>
  <c r="L2949" i="23"/>
  <c r="L2950" i="23"/>
  <c r="L2951" i="23"/>
  <c r="L2952" i="23"/>
  <c r="L2953" i="23"/>
  <c r="L2954" i="23"/>
  <c r="L2955" i="23"/>
  <c r="L2956" i="23"/>
  <c r="L2957" i="23"/>
  <c r="L2958" i="23"/>
  <c r="L2959" i="23"/>
  <c r="L2960" i="23"/>
  <c r="L2961" i="23"/>
  <c r="L2962" i="23"/>
  <c r="L2963" i="23"/>
  <c r="L2964" i="23"/>
  <c r="L2965" i="23"/>
  <c r="L2966" i="23"/>
  <c r="L2967" i="23"/>
  <c r="L2968" i="23"/>
  <c r="L2969" i="23"/>
  <c r="L2970" i="23"/>
  <c r="L2971" i="23"/>
  <c r="L2972" i="23"/>
  <c r="L2973" i="23"/>
  <c r="L2974" i="23"/>
  <c r="L2975" i="23"/>
  <c r="L2976" i="23"/>
  <c r="L2977" i="23"/>
  <c r="L2978" i="23"/>
  <c r="L2979" i="23"/>
  <c r="L2980" i="23"/>
  <c r="L2981" i="23"/>
  <c r="L2982" i="23"/>
  <c r="L2983" i="23"/>
  <c r="L2984" i="23"/>
  <c r="L2985" i="23"/>
  <c r="L2986" i="23"/>
  <c r="L2987" i="23"/>
  <c r="L2988" i="23"/>
  <c r="L2989" i="23"/>
  <c r="L2990" i="23"/>
  <c r="L2991" i="23"/>
  <c r="L2992" i="23"/>
  <c r="L2993" i="23"/>
  <c r="L2994" i="23"/>
  <c r="L2995" i="23"/>
  <c r="L2996" i="23"/>
  <c r="L2997" i="23"/>
  <c r="L2998" i="23"/>
  <c r="L2999" i="23"/>
  <c r="L3000" i="23"/>
  <c r="L3001" i="23"/>
  <c r="L3002" i="23"/>
  <c r="L3003" i="23"/>
  <c r="L3004" i="23"/>
  <c r="L3005" i="23"/>
  <c r="L3006" i="23"/>
  <c r="L3007" i="23"/>
  <c r="L3008" i="23"/>
  <c r="L3009" i="23"/>
  <c r="L3010" i="23"/>
  <c r="L3011" i="23"/>
  <c r="L3012" i="23"/>
  <c r="L3013" i="23"/>
  <c r="L3014" i="23"/>
  <c r="L3015" i="23"/>
  <c r="L3016" i="23"/>
  <c r="L3017" i="23"/>
  <c r="L3018" i="23"/>
  <c r="L3019" i="23"/>
  <c r="L3020" i="23"/>
  <c r="L3021" i="23"/>
  <c r="L3022" i="23"/>
  <c r="L3023" i="23"/>
  <c r="L3024" i="23"/>
  <c r="L3025" i="23"/>
  <c r="L3026" i="23"/>
  <c r="L3027" i="23"/>
  <c r="L3028" i="23"/>
  <c r="L3029" i="23"/>
  <c r="L3030" i="23"/>
  <c r="L3031" i="23"/>
  <c r="L3032" i="23"/>
  <c r="L3033" i="23"/>
  <c r="L3034" i="23"/>
  <c r="L3035" i="23"/>
  <c r="L3036" i="23"/>
  <c r="L3037" i="23"/>
  <c r="L3038" i="23"/>
  <c r="L3039" i="23"/>
  <c r="L3040" i="23"/>
  <c r="L3041" i="23"/>
  <c r="L3042" i="23"/>
  <c r="L3043" i="23"/>
  <c r="L3044" i="23"/>
  <c r="L3045" i="23"/>
  <c r="L3046" i="23"/>
  <c r="L3047" i="23"/>
  <c r="L3048" i="23"/>
  <c r="L3049" i="23"/>
  <c r="L3050" i="23"/>
  <c r="L3051" i="23"/>
  <c r="L3052" i="23"/>
  <c r="L3053" i="23"/>
  <c r="L3054" i="23"/>
  <c r="L3055" i="23"/>
  <c r="L3056" i="23"/>
  <c r="L3057" i="23"/>
  <c r="L3058" i="23"/>
  <c r="L3059" i="23"/>
  <c r="L3060" i="23"/>
  <c r="L3061" i="23"/>
  <c r="L3062" i="23"/>
  <c r="L3063" i="23"/>
  <c r="L3064" i="23"/>
  <c r="L3065" i="23"/>
  <c r="L3066" i="23"/>
  <c r="L3067" i="23"/>
  <c r="L3068" i="23"/>
  <c r="L3069" i="23"/>
  <c r="L3070" i="23"/>
  <c r="L3071" i="23"/>
  <c r="L3072" i="23"/>
  <c r="L3073" i="23"/>
  <c r="L3074" i="23"/>
  <c r="L3075" i="23"/>
  <c r="L3076" i="23"/>
  <c r="L3077" i="23"/>
  <c r="L3078" i="23"/>
  <c r="L3079" i="23"/>
  <c r="L3080" i="23"/>
  <c r="L3081" i="23"/>
  <c r="L3082" i="23"/>
  <c r="L3083" i="23"/>
  <c r="L3084" i="23"/>
  <c r="L3085" i="23"/>
  <c r="L3086" i="23"/>
  <c r="L3087" i="23"/>
  <c r="L3088" i="23"/>
  <c r="L3089" i="23"/>
  <c r="L3090" i="23"/>
  <c r="L3091" i="23"/>
  <c r="L3092" i="23"/>
  <c r="L3093" i="23"/>
  <c r="L3094" i="23"/>
  <c r="L3095" i="23"/>
  <c r="L3096" i="23"/>
  <c r="L3097" i="23"/>
  <c r="L3098" i="23"/>
  <c r="L3099" i="23"/>
  <c r="L3100" i="23"/>
  <c r="L3101" i="23"/>
  <c r="L3102" i="23"/>
  <c r="L3103" i="23"/>
  <c r="L3104" i="23"/>
  <c r="L3105" i="23"/>
  <c r="L3106" i="23"/>
  <c r="L3107" i="23"/>
  <c r="L3108" i="23"/>
  <c r="L3109" i="23"/>
  <c r="L3110" i="23"/>
  <c r="L3111" i="23"/>
  <c r="L3112" i="23"/>
  <c r="L3113" i="23"/>
  <c r="L3114" i="23"/>
  <c r="L3115" i="23"/>
  <c r="L3116" i="23"/>
  <c r="L3117" i="23"/>
  <c r="L3118" i="23"/>
  <c r="L3119" i="23"/>
  <c r="L3120" i="23"/>
  <c r="L3121" i="23"/>
  <c r="L3122" i="23"/>
  <c r="L3123" i="23"/>
  <c r="L3124" i="23"/>
  <c r="L3125" i="23"/>
  <c r="L3126" i="23"/>
  <c r="L3127" i="23"/>
  <c r="L3128" i="23"/>
  <c r="L3129" i="23"/>
  <c r="L3130" i="23"/>
  <c r="L3131" i="23"/>
  <c r="L3132" i="23"/>
  <c r="L3133" i="23"/>
  <c r="L3134" i="23"/>
  <c r="L3135" i="23"/>
  <c r="L3136" i="23"/>
  <c r="L3137" i="23"/>
  <c r="L3138" i="23"/>
  <c r="L3139" i="23"/>
  <c r="L3140" i="23"/>
  <c r="L3141" i="23"/>
  <c r="L3142" i="23"/>
  <c r="L3143" i="23"/>
  <c r="L3144" i="23"/>
  <c r="L3145" i="23"/>
  <c r="L3146" i="23"/>
  <c r="L3147" i="23"/>
  <c r="L3148" i="23"/>
  <c r="L3149" i="23"/>
  <c r="L3150" i="23"/>
  <c r="L3151" i="23"/>
  <c r="L3152" i="23"/>
  <c r="L3153" i="23"/>
  <c r="L3154" i="23"/>
  <c r="L3155" i="23"/>
  <c r="L3156" i="23"/>
  <c r="L3157" i="23"/>
  <c r="L3158" i="23"/>
  <c r="L3159" i="23"/>
  <c r="L3160" i="23"/>
  <c r="L3161" i="23"/>
  <c r="L3162" i="23"/>
  <c r="L3163" i="23"/>
  <c r="L3164" i="23"/>
  <c r="L3165" i="23"/>
  <c r="L3166" i="23"/>
  <c r="L3167" i="23"/>
  <c r="L3168" i="23"/>
  <c r="L3169" i="23"/>
  <c r="L3170" i="23"/>
  <c r="L3171" i="23"/>
  <c r="L3172" i="23"/>
  <c r="L3173" i="23"/>
  <c r="L3174" i="23"/>
  <c r="L3175" i="23"/>
  <c r="L3176" i="23"/>
  <c r="L3177" i="23"/>
  <c r="L3178" i="23"/>
  <c r="L3179" i="23"/>
  <c r="L3180" i="23"/>
  <c r="L3181" i="23"/>
  <c r="L3182" i="23"/>
  <c r="L3183" i="23"/>
  <c r="L3184" i="23"/>
  <c r="L3185" i="23"/>
  <c r="L3186" i="23"/>
  <c r="L3187" i="23"/>
  <c r="L3188" i="23"/>
  <c r="L3189" i="23"/>
  <c r="L3190" i="23"/>
  <c r="L3191" i="23"/>
  <c r="L3192" i="23"/>
  <c r="L3193" i="23"/>
  <c r="L3194" i="23"/>
  <c r="L3195" i="23"/>
  <c r="L3196" i="23"/>
  <c r="L3197" i="23"/>
  <c r="L3198" i="23"/>
  <c r="L3199" i="23"/>
  <c r="L3200" i="23"/>
  <c r="L3201" i="23"/>
  <c r="L3202" i="23"/>
  <c r="L3203" i="23"/>
  <c r="L3204" i="23"/>
  <c r="L3205" i="23"/>
  <c r="L3206" i="23"/>
  <c r="L3207" i="23"/>
  <c r="L3208" i="23"/>
  <c r="L3209" i="23"/>
  <c r="L3210" i="23"/>
  <c r="L3211" i="23"/>
  <c r="L3212" i="23"/>
  <c r="L3213" i="23"/>
  <c r="L3214" i="23"/>
  <c r="L3215" i="23"/>
  <c r="L3216" i="23"/>
  <c r="L3217" i="23"/>
  <c r="L3218" i="23"/>
  <c r="L3219" i="23"/>
  <c r="L3220" i="23"/>
  <c r="L3221" i="23"/>
  <c r="L3222" i="23"/>
  <c r="L3223" i="23"/>
  <c r="L3224" i="23"/>
  <c r="L3225" i="23"/>
  <c r="L3226" i="23"/>
  <c r="L3227" i="23"/>
  <c r="L3228" i="23"/>
  <c r="L3229" i="23"/>
  <c r="L3230" i="23"/>
  <c r="L3231" i="23"/>
  <c r="L3232" i="23"/>
  <c r="L3233" i="23"/>
  <c r="L3234" i="23"/>
  <c r="L3235" i="23"/>
  <c r="L3236" i="23"/>
  <c r="L3237" i="23"/>
  <c r="L3238" i="23"/>
  <c r="L3239" i="23"/>
  <c r="L3240" i="23"/>
  <c r="L3241" i="23"/>
  <c r="L3242" i="23"/>
  <c r="L3243" i="23"/>
  <c r="L3244" i="23"/>
  <c r="L3245" i="23"/>
  <c r="L3246" i="23"/>
  <c r="L3247" i="23"/>
  <c r="L3248" i="23"/>
  <c r="L3249" i="23"/>
  <c r="L3250" i="23"/>
  <c r="L3251" i="23"/>
  <c r="L3252" i="23"/>
  <c r="L3253" i="23"/>
  <c r="L3254" i="23"/>
  <c r="L3255" i="23"/>
  <c r="L3256" i="23"/>
  <c r="L3257" i="23"/>
  <c r="L3258" i="23"/>
  <c r="L3259" i="23"/>
  <c r="L3260" i="23"/>
  <c r="L3261" i="23"/>
  <c r="L3262" i="23"/>
  <c r="L3263" i="23"/>
  <c r="L3264" i="23"/>
  <c r="L3265" i="23"/>
  <c r="L3266" i="23"/>
  <c r="L3267" i="23"/>
  <c r="L3268" i="23"/>
  <c r="L3269" i="23"/>
  <c r="L3270" i="23"/>
  <c r="L3271" i="23"/>
  <c r="L3272" i="23"/>
  <c r="L3273" i="23"/>
  <c r="L3274" i="23"/>
  <c r="L3275" i="23"/>
  <c r="L3276" i="23"/>
  <c r="L3277" i="23"/>
  <c r="L3278" i="23"/>
  <c r="L3279" i="23"/>
  <c r="L3280" i="23"/>
  <c r="L3281" i="23"/>
  <c r="L3282" i="23"/>
  <c r="L3283" i="23"/>
  <c r="L3284" i="23"/>
  <c r="L3285" i="23"/>
  <c r="L3286" i="23"/>
  <c r="L3287" i="23"/>
  <c r="L3288" i="23"/>
  <c r="L3289" i="23"/>
  <c r="L3290" i="23"/>
  <c r="L3291" i="23"/>
  <c r="L3292" i="23"/>
  <c r="L3293" i="23"/>
  <c r="L3294" i="23"/>
  <c r="L3295" i="23"/>
  <c r="L3296" i="23"/>
  <c r="L3297" i="23"/>
  <c r="L3298" i="23"/>
  <c r="L3299" i="23"/>
  <c r="L3300" i="23"/>
  <c r="L3301" i="23"/>
  <c r="L3302" i="23"/>
  <c r="L3303" i="23"/>
  <c r="L3304" i="23"/>
  <c r="L3305" i="23"/>
  <c r="L3306" i="23"/>
  <c r="L3307" i="23"/>
  <c r="L3308" i="23"/>
  <c r="L3309" i="23"/>
  <c r="L3310" i="23"/>
  <c r="L3311" i="23"/>
  <c r="L3312" i="23"/>
  <c r="L3313" i="23"/>
  <c r="L3314" i="23"/>
  <c r="L3315" i="23"/>
  <c r="L3316" i="23"/>
  <c r="L3317" i="23"/>
  <c r="L3318" i="23"/>
  <c r="L3319" i="23"/>
  <c r="L3320" i="23"/>
  <c r="L3321" i="23"/>
  <c r="L3322" i="23"/>
  <c r="L3323" i="23"/>
  <c r="L3324" i="23"/>
  <c r="L3325" i="23"/>
  <c r="L3326" i="23"/>
  <c r="L3327" i="23"/>
  <c r="L3328" i="23"/>
  <c r="L3329" i="23"/>
  <c r="L3330" i="23"/>
  <c r="L3331" i="23"/>
  <c r="L3332" i="23"/>
  <c r="L3333" i="23"/>
  <c r="L3334" i="23"/>
  <c r="L3335" i="23"/>
  <c r="L3336" i="23"/>
  <c r="L3337" i="23"/>
  <c r="L3338" i="23"/>
  <c r="L3339" i="23"/>
  <c r="L3340" i="23"/>
  <c r="L3341" i="23"/>
  <c r="L3342" i="23"/>
  <c r="L3343" i="23"/>
  <c r="L3344" i="23"/>
  <c r="L3345" i="23"/>
  <c r="L3346" i="23"/>
  <c r="L3347" i="23"/>
  <c r="L3348" i="23"/>
  <c r="L3349" i="23"/>
  <c r="L3350" i="23"/>
  <c r="L3351" i="23"/>
  <c r="L3352" i="23"/>
  <c r="L3353" i="23"/>
  <c r="L3354" i="23"/>
  <c r="L3355" i="23"/>
  <c r="L3356" i="23"/>
  <c r="L3357" i="23"/>
  <c r="L3358" i="23"/>
  <c r="L3359" i="23"/>
  <c r="L3360" i="23"/>
  <c r="L3361" i="23"/>
  <c r="L3362" i="23"/>
  <c r="L3363" i="23"/>
  <c r="L3364" i="23"/>
  <c r="L3365" i="23"/>
  <c r="L3366" i="23"/>
  <c r="L3367" i="23"/>
  <c r="L3368" i="23"/>
  <c r="L3369" i="23"/>
  <c r="L3370" i="23"/>
  <c r="L3371" i="23"/>
  <c r="L3372" i="23"/>
  <c r="L3373" i="23"/>
  <c r="L3374" i="23"/>
  <c r="L3375" i="23"/>
  <c r="L3376" i="23"/>
  <c r="L3377" i="23"/>
  <c r="L3378" i="23"/>
  <c r="L3379" i="23"/>
  <c r="L3380" i="23"/>
  <c r="L3381" i="23"/>
  <c r="L3382" i="23"/>
  <c r="L3383" i="23"/>
  <c r="L3384" i="23"/>
  <c r="L3385" i="23"/>
  <c r="L3386" i="23"/>
  <c r="L3387" i="23"/>
  <c r="L3388" i="23"/>
  <c r="L3389" i="23"/>
  <c r="L3390" i="23"/>
  <c r="L3391" i="23"/>
  <c r="L3392" i="23"/>
  <c r="L3393" i="23"/>
  <c r="L3394" i="23"/>
  <c r="L3395" i="23"/>
  <c r="L3396" i="23"/>
  <c r="L3397" i="23"/>
  <c r="L3398" i="23"/>
  <c r="L3399" i="23"/>
  <c r="L3400" i="23"/>
  <c r="L3401" i="23"/>
  <c r="L3402" i="23"/>
  <c r="L3403" i="23"/>
  <c r="L3404" i="23"/>
  <c r="L3405" i="23"/>
  <c r="L3406" i="23"/>
  <c r="L3407" i="23"/>
  <c r="L3408" i="23"/>
  <c r="L3409" i="23"/>
  <c r="L3410" i="23"/>
  <c r="L3411" i="23"/>
  <c r="L3412" i="23"/>
  <c r="L3413" i="23"/>
  <c r="L3414" i="23"/>
  <c r="L3415" i="23"/>
  <c r="L3416" i="23"/>
  <c r="L3417" i="23"/>
  <c r="L3418" i="23"/>
  <c r="L3419" i="23"/>
  <c r="L3420" i="23"/>
  <c r="L3421" i="23"/>
  <c r="L3422" i="23"/>
  <c r="L3423" i="23"/>
  <c r="L3424" i="23"/>
  <c r="L3425" i="23"/>
  <c r="L3426" i="23"/>
  <c r="L3427" i="23"/>
  <c r="L3428" i="23"/>
  <c r="L3429" i="23"/>
  <c r="L3430" i="23"/>
  <c r="L3431" i="23"/>
  <c r="L3432" i="23"/>
  <c r="L3433" i="23"/>
  <c r="L3434" i="23"/>
  <c r="L3435" i="23"/>
  <c r="L3436" i="23"/>
  <c r="L3437" i="23"/>
  <c r="L3438" i="23"/>
  <c r="L3439" i="23"/>
  <c r="L3440" i="23"/>
  <c r="L3441" i="23"/>
  <c r="L3442" i="23"/>
  <c r="L3443" i="23"/>
  <c r="L3444" i="23"/>
  <c r="L3445" i="23"/>
  <c r="L3446" i="23"/>
  <c r="L3447" i="23"/>
  <c r="L3448" i="23"/>
  <c r="L3449" i="23"/>
  <c r="L3450" i="23"/>
  <c r="L3451" i="23"/>
  <c r="L3452" i="23"/>
  <c r="L3453" i="23"/>
  <c r="L3454" i="23"/>
  <c r="L3455" i="23"/>
  <c r="L3456" i="23"/>
  <c r="L3457" i="23"/>
  <c r="L3458" i="23"/>
  <c r="L3459" i="23"/>
  <c r="L3460" i="23"/>
  <c r="L3461" i="23"/>
  <c r="L3462" i="23"/>
  <c r="L3463" i="23"/>
  <c r="L3464" i="23"/>
  <c r="L3465" i="23"/>
  <c r="L3466" i="23"/>
  <c r="L3467" i="23"/>
  <c r="L3468" i="23"/>
  <c r="L3469" i="23"/>
  <c r="L3470" i="23"/>
  <c r="L3471" i="23"/>
  <c r="L3472" i="23"/>
  <c r="L3473" i="23"/>
  <c r="L3474" i="23"/>
  <c r="L3475" i="23"/>
  <c r="L3476" i="23"/>
  <c r="L3477" i="23"/>
  <c r="L3478" i="23"/>
  <c r="L3479" i="23"/>
  <c r="L3480" i="23"/>
  <c r="L3481" i="23"/>
  <c r="L3482" i="23"/>
  <c r="L3483" i="23"/>
  <c r="L3484" i="23"/>
  <c r="L3485" i="23"/>
  <c r="L3486" i="23"/>
  <c r="L3487" i="23"/>
  <c r="L3488" i="23"/>
  <c r="L3489" i="23"/>
  <c r="L3490" i="23"/>
  <c r="L3491" i="23"/>
  <c r="L3492" i="23"/>
  <c r="L3493" i="23"/>
  <c r="L3494" i="23"/>
  <c r="L3495" i="23"/>
  <c r="L3496" i="23"/>
  <c r="L3497" i="23"/>
  <c r="L3498" i="23"/>
  <c r="L3499" i="23"/>
  <c r="L3500" i="23"/>
  <c r="L3501" i="23"/>
  <c r="L3502" i="23"/>
  <c r="L3503" i="23"/>
  <c r="L3504" i="23"/>
  <c r="L3505" i="23"/>
  <c r="L3506" i="23"/>
  <c r="L3507" i="23"/>
  <c r="L3508" i="23"/>
  <c r="L3509" i="23"/>
  <c r="L3510" i="23"/>
  <c r="L3511" i="23"/>
  <c r="L3512" i="23"/>
  <c r="L3513" i="23"/>
  <c r="L3514" i="23"/>
  <c r="L3515" i="23"/>
  <c r="L3516" i="23"/>
  <c r="L3517" i="23"/>
  <c r="L3518" i="23"/>
  <c r="L3519" i="23"/>
  <c r="L3520" i="23"/>
  <c r="L3521" i="23"/>
  <c r="L3522" i="23"/>
  <c r="L3523" i="23"/>
  <c r="L3524" i="23"/>
  <c r="L3525" i="23"/>
  <c r="L3526" i="23"/>
  <c r="L3527" i="23"/>
  <c r="L3528" i="23"/>
  <c r="L3529" i="23"/>
  <c r="L3530" i="23"/>
  <c r="L3531" i="23"/>
  <c r="L3532" i="23"/>
  <c r="L3533" i="23"/>
  <c r="L3534" i="23"/>
  <c r="L3535" i="23"/>
  <c r="L3536" i="23"/>
  <c r="L3537" i="23"/>
  <c r="L3538" i="23"/>
  <c r="L3539" i="23"/>
  <c r="L3540" i="23"/>
  <c r="L3541" i="23"/>
  <c r="L3542" i="23"/>
  <c r="L3543" i="23"/>
  <c r="L3544" i="23"/>
  <c r="L3545" i="23"/>
  <c r="L3546" i="23"/>
  <c r="L3547" i="23"/>
  <c r="L3548" i="23"/>
  <c r="L3549" i="23"/>
  <c r="L3550" i="23"/>
  <c r="L3551" i="23"/>
  <c r="L3552" i="23"/>
  <c r="L3553" i="23"/>
  <c r="L3554" i="23"/>
  <c r="L3555" i="23"/>
  <c r="L3556" i="23"/>
  <c r="L3557" i="23"/>
  <c r="L3558" i="23"/>
  <c r="L3559" i="23"/>
  <c r="L3560" i="23"/>
  <c r="L3561" i="23"/>
  <c r="L3562" i="23"/>
  <c r="L3563" i="23"/>
  <c r="L3564" i="23"/>
  <c r="L3565" i="23"/>
  <c r="L3566" i="23"/>
  <c r="L3567" i="23"/>
  <c r="L3568" i="23"/>
  <c r="L3569" i="23"/>
  <c r="L3570" i="23"/>
  <c r="L3571" i="23"/>
  <c r="L3572" i="23"/>
  <c r="L3573" i="23"/>
  <c r="L3574" i="23"/>
  <c r="L3575" i="23"/>
  <c r="L3576" i="23"/>
  <c r="L3577" i="23"/>
  <c r="L3578" i="23"/>
  <c r="L3579" i="23"/>
  <c r="L3580" i="23"/>
  <c r="L3581" i="23"/>
  <c r="L3582" i="23"/>
  <c r="L3583" i="23"/>
  <c r="L3584" i="23"/>
  <c r="L3585" i="23"/>
  <c r="L3586" i="23"/>
  <c r="L3587" i="23"/>
  <c r="L3588" i="23"/>
  <c r="L3589" i="23"/>
  <c r="L3590" i="23"/>
  <c r="L3591" i="23"/>
  <c r="L3592" i="23"/>
  <c r="L3593" i="23"/>
  <c r="L3594" i="23"/>
  <c r="L3595" i="23"/>
  <c r="L3596" i="23"/>
  <c r="L3597" i="23"/>
  <c r="L3598" i="23"/>
  <c r="L3599" i="23"/>
  <c r="L3600" i="23"/>
  <c r="L3601" i="23"/>
  <c r="L3602" i="23"/>
  <c r="L3603" i="23"/>
  <c r="L3604" i="23"/>
  <c r="L3605" i="23"/>
  <c r="L3606" i="23"/>
  <c r="L3607" i="23"/>
  <c r="L3608" i="23"/>
  <c r="L3609" i="23"/>
  <c r="L3610" i="23"/>
  <c r="L3611" i="23"/>
  <c r="L3612" i="23"/>
  <c r="L3613" i="23"/>
  <c r="L3614" i="23"/>
  <c r="L3615" i="23"/>
  <c r="L3616" i="23"/>
  <c r="L3617" i="23"/>
  <c r="L3618" i="23"/>
  <c r="L3619" i="23"/>
  <c r="L3620" i="23"/>
  <c r="L3621" i="23"/>
  <c r="L3622" i="23"/>
  <c r="L3623" i="23"/>
  <c r="L3624" i="23"/>
  <c r="L3625" i="23"/>
  <c r="L3626" i="23"/>
  <c r="L3627" i="23"/>
  <c r="L3628" i="23"/>
  <c r="L3629" i="23"/>
  <c r="L3630" i="23"/>
  <c r="L3631" i="23"/>
  <c r="L3632" i="23"/>
  <c r="L3633" i="23"/>
  <c r="L3634" i="23"/>
  <c r="L3635" i="23"/>
  <c r="L3636" i="23"/>
  <c r="L3637" i="23"/>
  <c r="L3638" i="23"/>
  <c r="L3639" i="23"/>
  <c r="L3640" i="23"/>
  <c r="L3641" i="23"/>
  <c r="L3642" i="23"/>
  <c r="L3643" i="23"/>
  <c r="L3644" i="23"/>
  <c r="L3645" i="23"/>
  <c r="L3646" i="23"/>
  <c r="L3647" i="23"/>
  <c r="L3648" i="23"/>
  <c r="L3649" i="23"/>
  <c r="L3650" i="23"/>
  <c r="L3651" i="23"/>
  <c r="L3652" i="23"/>
  <c r="L3653" i="23"/>
  <c r="L3654" i="23"/>
  <c r="L3655" i="23"/>
  <c r="L3656" i="23"/>
  <c r="L3657" i="23"/>
  <c r="L3658" i="23"/>
  <c r="L3659" i="23"/>
  <c r="L3660" i="23"/>
  <c r="L3661" i="23"/>
  <c r="L3662" i="23"/>
  <c r="L3663" i="23"/>
  <c r="L3664" i="23"/>
  <c r="L3665" i="23"/>
  <c r="L3666" i="23"/>
  <c r="L3667" i="23"/>
  <c r="L3668" i="23"/>
  <c r="L3669" i="23"/>
  <c r="L3670" i="23"/>
  <c r="L3671" i="23"/>
  <c r="L3672" i="23"/>
  <c r="L3673" i="23"/>
  <c r="L3674" i="23"/>
  <c r="L3675" i="23"/>
  <c r="L3676" i="23"/>
  <c r="L3677" i="23"/>
  <c r="L3678" i="23"/>
  <c r="L3679" i="23"/>
  <c r="L3680" i="23"/>
  <c r="L3681" i="23"/>
  <c r="L3682" i="23"/>
  <c r="L3683" i="23"/>
  <c r="L3684" i="23"/>
  <c r="L3685" i="23"/>
  <c r="L3686" i="23"/>
  <c r="L3687" i="23"/>
  <c r="L3688" i="23"/>
  <c r="L3689" i="23"/>
  <c r="L3690" i="23"/>
  <c r="L3691" i="23"/>
  <c r="L3692" i="23"/>
  <c r="L3693" i="23"/>
  <c r="L3694" i="23"/>
  <c r="L3695" i="23"/>
  <c r="L3696" i="23"/>
  <c r="L3697" i="23"/>
  <c r="L3698" i="23"/>
  <c r="L3699" i="23"/>
  <c r="L3700" i="23"/>
  <c r="L3701" i="23"/>
  <c r="L3702" i="23"/>
  <c r="L3703" i="23"/>
  <c r="L3704" i="23"/>
  <c r="L3705" i="23"/>
  <c r="L3706" i="23"/>
  <c r="L3707" i="23"/>
  <c r="L3708" i="23"/>
  <c r="L3709" i="23"/>
  <c r="L3710" i="23"/>
  <c r="L3711" i="23"/>
  <c r="L3712" i="23"/>
  <c r="L3713" i="23"/>
  <c r="L3714" i="23"/>
  <c r="L3715" i="23"/>
  <c r="L3716" i="23"/>
  <c r="L3717" i="23"/>
  <c r="L3718" i="23"/>
  <c r="L3719" i="23"/>
  <c r="L3720" i="23"/>
  <c r="L3721" i="23"/>
  <c r="L3722" i="23"/>
  <c r="L3723" i="23"/>
  <c r="L3724" i="23"/>
  <c r="L3725" i="23"/>
  <c r="L3726" i="23"/>
  <c r="L3727" i="23"/>
  <c r="L3728" i="23"/>
  <c r="L3729" i="23"/>
  <c r="L3730" i="23"/>
  <c r="L3731" i="23"/>
  <c r="L3732" i="23"/>
  <c r="L3733" i="23"/>
  <c r="L3734" i="23"/>
  <c r="L3735" i="23"/>
  <c r="L3736" i="23"/>
  <c r="L3737" i="23"/>
  <c r="L3738" i="23"/>
  <c r="L3739" i="23"/>
  <c r="L3740" i="23"/>
  <c r="L3741" i="23"/>
  <c r="L3742" i="23"/>
  <c r="L3743" i="23"/>
  <c r="L3744" i="23"/>
  <c r="L3745" i="23"/>
  <c r="L3746" i="23"/>
  <c r="L3747" i="23"/>
  <c r="L3748" i="23"/>
  <c r="L3749" i="23"/>
  <c r="L3750" i="23"/>
  <c r="L3751" i="23"/>
  <c r="L3752" i="23"/>
  <c r="L3753" i="23"/>
  <c r="L3754" i="23"/>
  <c r="L3755" i="23"/>
  <c r="L3756" i="23"/>
  <c r="L3757" i="23"/>
  <c r="L3758" i="23"/>
  <c r="L3759" i="23"/>
  <c r="L3760" i="23"/>
  <c r="L3761" i="23"/>
  <c r="L3762" i="23"/>
  <c r="L3763" i="23"/>
  <c r="L3764" i="23"/>
  <c r="L3765" i="23"/>
  <c r="L3766" i="23"/>
  <c r="L3767" i="23"/>
  <c r="L3768" i="23"/>
  <c r="L3769" i="23"/>
  <c r="L3770" i="23"/>
  <c r="L3771" i="23"/>
  <c r="L3772" i="23"/>
  <c r="L3773" i="23"/>
  <c r="L3774" i="23"/>
  <c r="L3775" i="23"/>
  <c r="L3776" i="23"/>
  <c r="L3777" i="23"/>
  <c r="L3778" i="23"/>
  <c r="L3779" i="23"/>
  <c r="L3780" i="23"/>
  <c r="L3781" i="23"/>
  <c r="L3782" i="23"/>
  <c r="L3783" i="23"/>
  <c r="L3784" i="23"/>
  <c r="L3785" i="23"/>
  <c r="L3786" i="23"/>
  <c r="L3787" i="23"/>
  <c r="L3788" i="23"/>
  <c r="L3789" i="23"/>
  <c r="L3790" i="23"/>
  <c r="L3791" i="23"/>
  <c r="L3792" i="23"/>
  <c r="L3793" i="23"/>
  <c r="L3794" i="23"/>
  <c r="L3795" i="23"/>
  <c r="L3796" i="23"/>
  <c r="L3797" i="23"/>
  <c r="L3798" i="23"/>
  <c r="L3799" i="23"/>
  <c r="L3800" i="23"/>
  <c r="L3801" i="23"/>
  <c r="L3802" i="23"/>
  <c r="L3803" i="23"/>
  <c r="L3804" i="23"/>
  <c r="L3805" i="23"/>
  <c r="L3806" i="23"/>
  <c r="L3807" i="23"/>
  <c r="L3808" i="23"/>
  <c r="L3809" i="23"/>
  <c r="L3810" i="23"/>
  <c r="L3811" i="23"/>
  <c r="L3812" i="23"/>
  <c r="L3813" i="23"/>
  <c r="L3814" i="23"/>
  <c r="L3815" i="23"/>
  <c r="L3816" i="23"/>
  <c r="L3817" i="23"/>
  <c r="L3818" i="23"/>
  <c r="L3819" i="23"/>
  <c r="L3820" i="23"/>
  <c r="L3821" i="23"/>
  <c r="L3822" i="23"/>
  <c r="L3823" i="23"/>
  <c r="L3824" i="23"/>
  <c r="L3825" i="23"/>
  <c r="L3826" i="23"/>
  <c r="L3827" i="23"/>
  <c r="L3828" i="23"/>
  <c r="L3829" i="23"/>
  <c r="L3830" i="23"/>
  <c r="L3831" i="23"/>
  <c r="L3832" i="23"/>
  <c r="L3833" i="23"/>
  <c r="L3834" i="23"/>
  <c r="L3835" i="23"/>
  <c r="L3836" i="23"/>
  <c r="L3837" i="23"/>
  <c r="L3838" i="23"/>
  <c r="L3839" i="23"/>
  <c r="L3840" i="23"/>
  <c r="L3841" i="23"/>
  <c r="L3842" i="23"/>
  <c r="L3843" i="23"/>
  <c r="L3844" i="23"/>
  <c r="L3845" i="23"/>
  <c r="L3846" i="23"/>
  <c r="L3847" i="23"/>
  <c r="L3848" i="23"/>
  <c r="L3849" i="23"/>
  <c r="L3850" i="23"/>
  <c r="L3851" i="23"/>
  <c r="L3852" i="23"/>
  <c r="L3853" i="23"/>
  <c r="L3854" i="23"/>
  <c r="L3855" i="23"/>
  <c r="L3856" i="23"/>
  <c r="L3857" i="23"/>
  <c r="L3858" i="23"/>
  <c r="L3859" i="23"/>
  <c r="L3860" i="23"/>
  <c r="L3861" i="23"/>
  <c r="L3862" i="23"/>
  <c r="L3863" i="23"/>
  <c r="L3864" i="23"/>
  <c r="L3865" i="23"/>
  <c r="L3866" i="23"/>
  <c r="L3867" i="23"/>
  <c r="L3868" i="23"/>
  <c r="L3869" i="23"/>
  <c r="L3870" i="23"/>
  <c r="L3871" i="23"/>
  <c r="L3872" i="23"/>
  <c r="L3873" i="23"/>
  <c r="L3874" i="23"/>
  <c r="L3875" i="23"/>
  <c r="L3876" i="23"/>
  <c r="L3877" i="23"/>
  <c r="L3878" i="23"/>
  <c r="L3879" i="23"/>
  <c r="L3880" i="23"/>
  <c r="L3881" i="23"/>
  <c r="L3882" i="23"/>
  <c r="L3883" i="23"/>
  <c r="L3884" i="23"/>
  <c r="L3885" i="23"/>
  <c r="L3886" i="23"/>
  <c r="L3887" i="23"/>
  <c r="L3888" i="23"/>
  <c r="L3889" i="23"/>
  <c r="L3890" i="23"/>
  <c r="L3891" i="23"/>
  <c r="L3892" i="23"/>
  <c r="L3893" i="23"/>
  <c r="L3894" i="23"/>
  <c r="L3895" i="23"/>
  <c r="L3896" i="23"/>
  <c r="L3897" i="23"/>
  <c r="L3898" i="23"/>
  <c r="L3899" i="23"/>
  <c r="L3900" i="23"/>
  <c r="L3901" i="23"/>
  <c r="L3902" i="23"/>
  <c r="L3903" i="23"/>
  <c r="L3904" i="23"/>
  <c r="L3905" i="23"/>
  <c r="L3906" i="23"/>
  <c r="L3907" i="23"/>
  <c r="L3908" i="23"/>
  <c r="L3909" i="23"/>
  <c r="L3910" i="23"/>
  <c r="L3911" i="23"/>
  <c r="L3912" i="23"/>
  <c r="L3913" i="23"/>
  <c r="L3914" i="23"/>
  <c r="L3915" i="23"/>
  <c r="L3916" i="23"/>
  <c r="L3917" i="23"/>
  <c r="L3918" i="23"/>
  <c r="L3919" i="23"/>
  <c r="L3920" i="23"/>
  <c r="L3921" i="23"/>
  <c r="L3922" i="23"/>
  <c r="L3923" i="23"/>
  <c r="L3924" i="23"/>
  <c r="L3925" i="23"/>
  <c r="L3926" i="23"/>
  <c r="L3927" i="23"/>
  <c r="L3928" i="23"/>
  <c r="L3929" i="23"/>
  <c r="L3930" i="23"/>
  <c r="L3931" i="23"/>
  <c r="L3932" i="23"/>
  <c r="L3933" i="23"/>
  <c r="L3934" i="23"/>
  <c r="L3935" i="23"/>
  <c r="L3936" i="23"/>
  <c r="L3937" i="23"/>
  <c r="L3938" i="23"/>
  <c r="L3939" i="23"/>
  <c r="L3940" i="23"/>
  <c r="L3941" i="23"/>
  <c r="L3942" i="23"/>
  <c r="L3943" i="23"/>
  <c r="L3944" i="23"/>
  <c r="L3945" i="23"/>
  <c r="L3946" i="23"/>
  <c r="L3947" i="23"/>
  <c r="L3948" i="23"/>
  <c r="L3949" i="23"/>
  <c r="L3950" i="23"/>
  <c r="L3951" i="23"/>
  <c r="L3952" i="23"/>
  <c r="L3953" i="23"/>
  <c r="L3954" i="23"/>
  <c r="L3955" i="23"/>
  <c r="L3956" i="23"/>
  <c r="L3957" i="23"/>
  <c r="L3958" i="23"/>
  <c r="L3959" i="23"/>
  <c r="L3960" i="23"/>
  <c r="L3961" i="23"/>
  <c r="L3962" i="23"/>
  <c r="L3963" i="23"/>
  <c r="L3964" i="23"/>
  <c r="L3965" i="23"/>
  <c r="L3966" i="23"/>
  <c r="L3967" i="23"/>
  <c r="L3968" i="23"/>
  <c r="L3969" i="23"/>
  <c r="L3970" i="23"/>
  <c r="L3971" i="23"/>
  <c r="L3972" i="23"/>
  <c r="L3973" i="23"/>
  <c r="L3974" i="23"/>
  <c r="L3975" i="23"/>
  <c r="L3976" i="23"/>
  <c r="L3977" i="23"/>
  <c r="L3978" i="23"/>
  <c r="L3979" i="23"/>
  <c r="L3980" i="23"/>
  <c r="L3981" i="23"/>
  <c r="L3982" i="23"/>
  <c r="L3983" i="23"/>
  <c r="L3984" i="23"/>
  <c r="L3985" i="23"/>
  <c r="L3986" i="23"/>
  <c r="L3987" i="23"/>
  <c r="L3988" i="23"/>
  <c r="L3989" i="23"/>
  <c r="L3990" i="23"/>
  <c r="L3991" i="23"/>
  <c r="L3992" i="23"/>
  <c r="L3993" i="23"/>
  <c r="L3994" i="23"/>
  <c r="L3995" i="23"/>
  <c r="L3996" i="23"/>
  <c r="L3997" i="23"/>
  <c r="L3998" i="23"/>
  <c r="L3999" i="23"/>
  <c r="L4000" i="23"/>
  <c r="L4001" i="23"/>
  <c r="L4002" i="23"/>
  <c r="L4003" i="23"/>
  <c r="L4004" i="23"/>
  <c r="L4005" i="23"/>
  <c r="L4006" i="23"/>
  <c r="L4007" i="23"/>
  <c r="L4008" i="23"/>
  <c r="L4009" i="23"/>
  <c r="L4010" i="23"/>
  <c r="L4011" i="23"/>
  <c r="L4012" i="23"/>
  <c r="L4013" i="23"/>
  <c r="L4014" i="23"/>
  <c r="L4015" i="23"/>
  <c r="L4016" i="23"/>
  <c r="L4017" i="23"/>
  <c r="L4018" i="23"/>
  <c r="L4019" i="23"/>
  <c r="L4020" i="23"/>
  <c r="L4021" i="23"/>
  <c r="L4022" i="23"/>
  <c r="L4023" i="23"/>
  <c r="L4024" i="23"/>
  <c r="L4025" i="23"/>
  <c r="L4026" i="23"/>
  <c r="L4027" i="23"/>
  <c r="L4028" i="23"/>
  <c r="L4029" i="23"/>
  <c r="L4030" i="23"/>
  <c r="L4031" i="23"/>
  <c r="L4032" i="23"/>
  <c r="L4033" i="23"/>
  <c r="L4034" i="23"/>
  <c r="L4035" i="23"/>
  <c r="L4036" i="23"/>
  <c r="L4037" i="23"/>
  <c r="L4038" i="23"/>
  <c r="L4039" i="23"/>
  <c r="L4040" i="23"/>
  <c r="L4041" i="23"/>
  <c r="L4042" i="23"/>
  <c r="L4043" i="23"/>
  <c r="L4044" i="23"/>
  <c r="L4045" i="23"/>
  <c r="L4046" i="23"/>
  <c r="L4047" i="23"/>
  <c r="L4048" i="23"/>
  <c r="L4049" i="23"/>
  <c r="L4050" i="23"/>
  <c r="L4051" i="23"/>
  <c r="L4052" i="23"/>
  <c r="L4053" i="23"/>
  <c r="L4054" i="23"/>
  <c r="L4055" i="23"/>
  <c r="L4056" i="23"/>
  <c r="L4057" i="23"/>
  <c r="L4058" i="23"/>
  <c r="L4059" i="23"/>
  <c r="L4060" i="23"/>
  <c r="L4061" i="23"/>
  <c r="L4062" i="23"/>
  <c r="L4063" i="23"/>
  <c r="L4064" i="23"/>
  <c r="L4065" i="23"/>
  <c r="L4066" i="23"/>
  <c r="L4067" i="23"/>
  <c r="L4068" i="23"/>
  <c r="L4069" i="23"/>
  <c r="L4070" i="23"/>
  <c r="L4071" i="23"/>
  <c r="L4072" i="23"/>
  <c r="L4073" i="23"/>
  <c r="L4074" i="23"/>
  <c r="L4075" i="23"/>
  <c r="L4076" i="23"/>
  <c r="L4077" i="23"/>
  <c r="L4078" i="23"/>
  <c r="L4079" i="23"/>
  <c r="L4080" i="23"/>
  <c r="L4081" i="23"/>
  <c r="L4082" i="23"/>
  <c r="L4083" i="23"/>
  <c r="L4084" i="23"/>
  <c r="L4085" i="23"/>
  <c r="L4086" i="23"/>
  <c r="L4087" i="23"/>
  <c r="L4088" i="23"/>
  <c r="L4089" i="23"/>
  <c r="L4090" i="23"/>
  <c r="L4091" i="23"/>
  <c r="L4092" i="23"/>
  <c r="L4093" i="23"/>
  <c r="L4094" i="23"/>
  <c r="L4095" i="23"/>
  <c r="L4096" i="23"/>
  <c r="L4097" i="23"/>
  <c r="L4098" i="23"/>
  <c r="L4099" i="23"/>
  <c r="L4100" i="23"/>
  <c r="L4101" i="23"/>
  <c r="L4102" i="23"/>
  <c r="L4103" i="23"/>
  <c r="L4104" i="23"/>
  <c r="L4105" i="23"/>
  <c r="L4106" i="23"/>
  <c r="L4107" i="23"/>
  <c r="L4108" i="23"/>
  <c r="L4109" i="23"/>
  <c r="L4110" i="23"/>
  <c r="L4111" i="23"/>
  <c r="L4112" i="23"/>
  <c r="L4113" i="23"/>
  <c r="L4114" i="23"/>
  <c r="L4115" i="23"/>
  <c r="L4116" i="23"/>
  <c r="L4117" i="23"/>
  <c r="L4118" i="23"/>
  <c r="L4119" i="23"/>
  <c r="L4120" i="23"/>
  <c r="L4121" i="23"/>
  <c r="L4122" i="23"/>
  <c r="L4123" i="23"/>
  <c r="L4124" i="23"/>
  <c r="L4125" i="23"/>
  <c r="L4126" i="23"/>
  <c r="M2" i="23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194" i="23"/>
  <c r="M195" i="23"/>
  <c r="M196" i="23"/>
  <c r="M197" i="23"/>
  <c r="M198" i="23"/>
  <c r="M199" i="23"/>
  <c r="M200" i="23"/>
  <c r="M201" i="23"/>
  <c r="M202" i="23"/>
  <c r="M203" i="23"/>
  <c r="M204" i="23"/>
  <c r="M205" i="23"/>
  <c r="M206" i="23"/>
  <c r="M207" i="23"/>
  <c r="M208" i="23"/>
  <c r="M209" i="23"/>
  <c r="M210" i="23"/>
  <c r="M211" i="23"/>
  <c r="M212" i="23"/>
  <c r="M213" i="23"/>
  <c r="M214" i="23"/>
  <c r="M215" i="23"/>
  <c r="M216" i="23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39" i="23"/>
  <c r="M240" i="23"/>
  <c r="M241" i="23"/>
  <c r="M242" i="23"/>
  <c r="M243" i="23"/>
  <c r="M244" i="23"/>
  <c r="M245" i="23"/>
  <c r="M246" i="23"/>
  <c r="M247" i="23"/>
  <c r="M248" i="23"/>
  <c r="M249" i="23"/>
  <c r="M250" i="23"/>
  <c r="M251" i="23"/>
  <c r="M252" i="23"/>
  <c r="M253" i="23"/>
  <c r="M254" i="23"/>
  <c r="M255" i="23"/>
  <c r="M256" i="23"/>
  <c r="M257" i="23"/>
  <c r="M258" i="23"/>
  <c r="M259" i="23"/>
  <c r="M260" i="23"/>
  <c r="M261" i="23"/>
  <c r="M262" i="23"/>
  <c r="M263" i="23"/>
  <c r="M264" i="23"/>
  <c r="M265" i="23"/>
  <c r="M266" i="23"/>
  <c r="M267" i="23"/>
  <c r="M268" i="23"/>
  <c r="M269" i="23"/>
  <c r="M270" i="23"/>
  <c r="M271" i="23"/>
  <c r="M272" i="23"/>
  <c r="M273" i="23"/>
  <c r="M274" i="23"/>
  <c r="M275" i="23"/>
  <c r="M276" i="23"/>
  <c r="M277" i="23"/>
  <c r="M278" i="23"/>
  <c r="M279" i="23"/>
  <c r="M280" i="23"/>
  <c r="M281" i="23"/>
  <c r="M282" i="23"/>
  <c r="M283" i="23"/>
  <c r="M284" i="23"/>
  <c r="M285" i="23"/>
  <c r="M286" i="23"/>
  <c r="M287" i="23"/>
  <c r="M288" i="23"/>
  <c r="M289" i="23"/>
  <c r="M290" i="23"/>
  <c r="M291" i="23"/>
  <c r="M292" i="23"/>
  <c r="M293" i="23"/>
  <c r="M294" i="23"/>
  <c r="M295" i="23"/>
  <c r="M296" i="23"/>
  <c r="M297" i="23"/>
  <c r="M298" i="23"/>
  <c r="M299" i="23"/>
  <c r="M300" i="23"/>
  <c r="M301" i="23"/>
  <c r="M302" i="23"/>
  <c r="M303" i="23"/>
  <c r="M304" i="23"/>
  <c r="M305" i="23"/>
  <c r="M306" i="23"/>
  <c r="M307" i="23"/>
  <c r="M308" i="23"/>
  <c r="M309" i="23"/>
  <c r="M310" i="23"/>
  <c r="M311" i="23"/>
  <c r="M312" i="23"/>
  <c r="M313" i="23"/>
  <c r="M314" i="23"/>
  <c r="M315" i="23"/>
  <c r="M316" i="23"/>
  <c r="M317" i="23"/>
  <c r="M318" i="23"/>
  <c r="M319" i="23"/>
  <c r="M320" i="23"/>
  <c r="M321" i="23"/>
  <c r="M322" i="23"/>
  <c r="M323" i="23"/>
  <c r="M324" i="23"/>
  <c r="M325" i="23"/>
  <c r="M326" i="23"/>
  <c r="M327" i="23"/>
  <c r="M328" i="23"/>
  <c r="M329" i="23"/>
  <c r="M330" i="23"/>
  <c r="M331" i="23"/>
  <c r="M332" i="23"/>
  <c r="M333" i="23"/>
  <c r="M334" i="23"/>
  <c r="M335" i="23"/>
  <c r="M336" i="23"/>
  <c r="M337" i="23"/>
  <c r="M338" i="23"/>
  <c r="M339" i="23"/>
  <c r="M340" i="23"/>
  <c r="M341" i="23"/>
  <c r="M342" i="23"/>
  <c r="M343" i="23"/>
  <c r="M344" i="23"/>
  <c r="M345" i="23"/>
  <c r="M346" i="23"/>
  <c r="M347" i="23"/>
  <c r="M348" i="23"/>
  <c r="M349" i="23"/>
  <c r="M350" i="23"/>
  <c r="M351" i="23"/>
  <c r="M352" i="23"/>
  <c r="M353" i="23"/>
  <c r="M354" i="23"/>
  <c r="M355" i="23"/>
  <c r="M356" i="23"/>
  <c r="M357" i="23"/>
  <c r="M358" i="23"/>
  <c r="M359" i="23"/>
  <c r="M360" i="23"/>
  <c r="M361" i="23"/>
  <c r="M362" i="23"/>
  <c r="M363" i="23"/>
  <c r="M364" i="23"/>
  <c r="M365" i="23"/>
  <c r="M366" i="23"/>
  <c r="M367" i="23"/>
  <c r="M368" i="23"/>
  <c r="M369" i="23"/>
  <c r="M370" i="23"/>
  <c r="M371" i="23"/>
  <c r="M372" i="23"/>
  <c r="M373" i="23"/>
  <c r="M374" i="23"/>
  <c r="M375" i="23"/>
  <c r="M376" i="23"/>
  <c r="M377" i="23"/>
  <c r="M378" i="23"/>
  <c r="M379" i="23"/>
  <c r="M380" i="23"/>
  <c r="M381" i="23"/>
  <c r="M382" i="23"/>
  <c r="M383" i="23"/>
  <c r="M384" i="23"/>
  <c r="M385" i="23"/>
  <c r="M386" i="23"/>
  <c r="M387" i="23"/>
  <c r="M388" i="23"/>
  <c r="M389" i="23"/>
  <c r="M390" i="23"/>
  <c r="M391" i="23"/>
  <c r="M392" i="23"/>
  <c r="M393" i="23"/>
  <c r="M394" i="23"/>
  <c r="M395" i="23"/>
  <c r="M396" i="23"/>
  <c r="M397" i="23"/>
  <c r="M398" i="23"/>
  <c r="M399" i="23"/>
  <c r="M400" i="23"/>
  <c r="M401" i="23"/>
  <c r="M402" i="23"/>
  <c r="M403" i="23"/>
  <c r="M404" i="23"/>
  <c r="M405" i="23"/>
  <c r="M406" i="23"/>
  <c r="M407" i="23"/>
  <c r="M408" i="23"/>
  <c r="M409" i="23"/>
  <c r="M410" i="23"/>
  <c r="M411" i="23"/>
  <c r="M412" i="23"/>
  <c r="M413" i="23"/>
  <c r="M414" i="23"/>
  <c r="M415" i="23"/>
  <c r="M416" i="23"/>
  <c r="M417" i="23"/>
  <c r="M418" i="23"/>
  <c r="M419" i="23"/>
  <c r="M420" i="23"/>
  <c r="M421" i="23"/>
  <c r="M422" i="23"/>
  <c r="M423" i="23"/>
  <c r="M424" i="23"/>
  <c r="M425" i="23"/>
  <c r="M426" i="23"/>
  <c r="M427" i="23"/>
  <c r="M428" i="23"/>
  <c r="M429" i="23"/>
  <c r="M430" i="23"/>
  <c r="M431" i="23"/>
  <c r="M432" i="23"/>
  <c r="M433" i="23"/>
  <c r="M434" i="23"/>
  <c r="M435" i="23"/>
  <c r="M436" i="23"/>
  <c r="M437" i="23"/>
  <c r="M438" i="23"/>
  <c r="M439" i="23"/>
  <c r="M440" i="23"/>
  <c r="M441" i="23"/>
  <c r="M442" i="23"/>
  <c r="M443" i="23"/>
  <c r="M444" i="23"/>
  <c r="M445" i="23"/>
  <c r="M446" i="23"/>
  <c r="M447" i="23"/>
  <c r="M448" i="23"/>
  <c r="M449" i="23"/>
  <c r="M450" i="23"/>
  <c r="M451" i="23"/>
  <c r="M452" i="23"/>
  <c r="M453" i="23"/>
  <c r="M454" i="23"/>
  <c r="M455" i="23"/>
  <c r="M456" i="23"/>
  <c r="M457" i="23"/>
  <c r="M458" i="23"/>
  <c r="M459" i="23"/>
  <c r="M460" i="23"/>
  <c r="M461" i="23"/>
  <c r="M462" i="23"/>
  <c r="M463" i="23"/>
  <c r="M464" i="23"/>
  <c r="M465" i="23"/>
  <c r="M466" i="23"/>
  <c r="M467" i="23"/>
  <c r="M468" i="23"/>
  <c r="M469" i="23"/>
  <c r="M470" i="23"/>
  <c r="M471" i="23"/>
  <c r="M472" i="23"/>
  <c r="M473" i="23"/>
  <c r="M474" i="23"/>
  <c r="M475" i="23"/>
  <c r="M476" i="23"/>
  <c r="M477" i="23"/>
  <c r="M478" i="23"/>
  <c r="M479" i="23"/>
  <c r="M480" i="23"/>
  <c r="M481" i="23"/>
  <c r="M482" i="23"/>
  <c r="M483" i="23"/>
  <c r="M484" i="23"/>
  <c r="M485" i="23"/>
  <c r="M486" i="23"/>
  <c r="M487" i="23"/>
  <c r="M488" i="23"/>
  <c r="M489" i="23"/>
  <c r="M490" i="23"/>
  <c r="M491" i="23"/>
  <c r="M492" i="23"/>
  <c r="M493" i="23"/>
  <c r="M494" i="23"/>
  <c r="M495" i="23"/>
  <c r="M496" i="23"/>
  <c r="M497" i="23"/>
  <c r="M498" i="23"/>
  <c r="M499" i="23"/>
  <c r="M500" i="23"/>
  <c r="M501" i="23"/>
  <c r="M502" i="23"/>
  <c r="M503" i="23"/>
  <c r="M504" i="23"/>
  <c r="M505" i="23"/>
  <c r="M506" i="23"/>
  <c r="M507" i="23"/>
  <c r="M508" i="23"/>
  <c r="M509" i="23"/>
  <c r="M510" i="23"/>
  <c r="M511" i="23"/>
  <c r="M512" i="23"/>
  <c r="M513" i="23"/>
  <c r="M514" i="23"/>
  <c r="M515" i="23"/>
  <c r="M516" i="23"/>
  <c r="M517" i="23"/>
  <c r="M518" i="23"/>
  <c r="M519" i="23"/>
  <c r="M520" i="23"/>
  <c r="M521" i="23"/>
  <c r="M522" i="23"/>
  <c r="M523" i="23"/>
  <c r="M524" i="23"/>
  <c r="M525" i="23"/>
  <c r="M526" i="23"/>
  <c r="M527" i="23"/>
  <c r="M528" i="23"/>
  <c r="M529" i="23"/>
  <c r="M530" i="23"/>
  <c r="M531" i="23"/>
  <c r="M532" i="23"/>
  <c r="M533" i="23"/>
  <c r="M534" i="23"/>
  <c r="M535" i="23"/>
  <c r="M536" i="23"/>
  <c r="M537" i="23"/>
  <c r="M538" i="23"/>
  <c r="M539" i="23"/>
  <c r="M540" i="23"/>
  <c r="M541" i="23"/>
  <c r="M542" i="23"/>
  <c r="M543" i="23"/>
  <c r="M544" i="23"/>
  <c r="M545" i="23"/>
  <c r="M546" i="23"/>
  <c r="M547" i="23"/>
  <c r="M548" i="23"/>
  <c r="M549" i="23"/>
  <c r="M550" i="23"/>
  <c r="M551" i="23"/>
  <c r="M552" i="23"/>
  <c r="M553" i="23"/>
  <c r="M554" i="23"/>
  <c r="M555" i="23"/>
  <c r="M556" i="23"/>
  <c r="M557" i="23"/>
  <c r="M558" i="23"/>
  <c r="M559" i="23"/>
  <c r="M560" i="23"/>
  <c r="M561" i="23"/>
  <c r="M562" i="23"/>
  <c r="M563" i="23"/>
  <c r="M564" i="23"/>
  <c r="M565" i="23"/>
  <c r="M566" i="23"/>
  <c r="M567" i="23"/>
  <c r="M568" i="23"/>
  <c r="M569" i="23"/>
  <c r="M570" i="23"/>
  <c r="M571" i="23"/>
  <c r="M572" i="23"/>
  <c r="M573" i="23"/>
  <c r="M574" i="23"/>
  <c r="M575" i="23"/>
  <c r="M576" i="23"/>
  <c r="M577" i="23"/>
  <c r="M578" i="23"/>
  <c r="M579" i="23"/>
  <c r="M580" i="23"/>
  <c r="M581" i="23"/>
  <c r="M582" i="23"/>
  <c r="M583" i="23"/>
  <c r="M584" i="23"/>
  <c r="M585" i="23"/>
  <c r="M586" i="23"/>
  <c r="M587" i="23"/>
  <c r="M588" i="23"/>
  <c r="M589" i="23"/>
  <c r="M590" i="23"/>
  <c r="M591" i="23"/>
  <c r="M592" i="23"/>
  <c r="M593" i="23"/>
  <c r="M594" i="23"/>
  <c r="M595" i="23"/>
  <c r="M596" i="23"/>
  <c r="M597" i="23"/>
  <c r="M598" i="23"/>
  <c r="M599" i="23"/>
  <c r="M600" i="23"/>
  <c r="M601" i="23"/>
  <c r="M602" i="23"/>
  <c r="M603" i="23"/>
  <c r="M604" i="23"/>
  <c r="M605" i="23"/>
  <c r="M606" i="23"/>
  <c r="M607" i="23"/>
  <c r="M608" i="23"/>
  <c r="M609" i="23"/>
  <c r="M610" i="23"/>
  <c r="M611" i="23"/>
  <c r="M612" i="23"/>
  <c r="M613" i="23"/>
  <c r="M614" i="23"/>
  <c r="M615" i="23"/>
  <c r="M616" i="23"/>
  <c r="M617" i="23"/>
  <c r="M618" i="23"/>
  <c r="M619" i="23"/>
  <c r="M620" i="23"/>
  <c r="M621" i="23"/>
  <c r="M622" i="23"/>
  <c r="M623" i="23"/>
  <c r="M624" i="23"/>
  <c r="M625" i="23"/>
  <c r="M626" i="23"/>
  <c r="M627" i="23"/>
  <c r="M628" i="23"/>
  <c r="M629" i="23"/>
  <c r="M630" i="23"/>
  <c r="M631" i="23"/>
  <c r="M632" i="23"/>
  <c r="M633" i="23"/>
  <c r="M634" i="23"/>
  <c r="M635" i="23"/>
  <c r="M636" i="23"/>
  <c r="M637" i="23"/>
  <c r="M638" i="23"/>
  <c r="M639" i="23"/>
  <c r="M640" i="23"/>
  <c r="M641" i="23"/>
  <c r="M642" i="23"/>
  <c r="M643" i="23"/>
  <c r="M644" i="23"/>
  <c r="M645" i="23"/>
  <c r="M646" i="23"/>
  <c r="M647" i="23"/>
  <c r="M648" i="23"/>
  <c r="M649" i="23"/>
  <c r="M650" i="23"/>
  <c r="M651" i="23"/>
  <c r="M652" i="23"/>
  <c r="M653" i="23"/>
  <c r="M654" i="23"/>
  <c r="M655" i="23"/>
  <c r="M656" i="23"/>
  <c r="M657" i="23"/>
  <c r="M658" i="23"/>
  <c r="M659" i="23"/>
  <c r="M660" i="23"/>
  <c r="M661" i="23"/>
  <c r="M662" i="23"/>
  <c r="M663" i="23"/>
  <c r="M664" i="23"/>
  <c r="M665" i="23"/>
  <c r="M666" i="23"/>
  <c r="M667" i="23"/>
  <c r="M668" i="23"/>
  <c r="M669" i="23"/>
  <c r="M670" i="23"/>
  <c r="M671" i="23"/>
  <c r="M672" i="23"/>
  <c r="M673" i="23"/>
  <c r="M674" i="23"/>
  <c r="M675" i="23"/>
  <c r="M676" i="23"/>
  <c r="M677" i="23"/>
  <c r="M678" i="23"/>
  <c r="M679" i="23"/>
  <c r="M680" i="23"/>
  <c r="M681" i="23"/>
  <c r="M682" i="23"/>
  <c r="M683" i="23"/>
  <c r="M684" i="23"/>
  <c r="M685" i="23"/>
  <c r="M686" i="23"/>
  <c r="M687" i="23"/>
  <c r="M688" i="23"/>
  <c r="M689" i="23"/>
  <c r="M690" i="23"/>
  <c r="M691" i="23"/>
  <c r="M692" i="23"/>
  <c r="M693" i="23"/>
  <c r="M694" i="23"/>
  <c r="M695" i="23"/>
  <c r="M696" i="23"/>
  <c r="M697" i="23"/>
  <c r="M698" i="23"/>
  <c r="M699" i="23"/>
  <c r="M700" i="23"/>
  <c r="M701" i="23"/>
  <c r="M702" i="23"/>
  <c r="M703" i="23"/>
  <c r="M704" i="23"/>
  <c r="M705" i="23"/>
  <c r="M706" i="23"/>
  <c r="M707" i="23"/>
  <c r="M708" i="23"/>
  <c r="M709" i="23"/>
  <c r="M710" i="23"/>
  <c r="M711" i="23"/>
  <c r="M712" i="23"/>
  <c r="M713" i="23"/>
  <c r="M714" i="23"/>
  <c r="M715" i="23"/>
  <c r="M716" i="23"/>
  <c r="M717" i="23"/>
  <c r="M718" i="23"/>
  <c r="M719" i="23"/>
  <c r="M720" i="23"/>
  <c r="M721" i="23"/>
  <c r="M722" i="23"/>
  <c r="M723" i="23"/>
  <c r="M724" i="23"/>
  <c r="M725" i="23"/>
  <c r="M726" i="23"/>
  <c r="M727" i="23"/>
  <c r="M728" i="23"/>
  <c r="M729" i="23"/>
  <c r="M730" i="23"/>
  <c r="M731" i="23"/>
  <c r="M732" i="23"/>
  <c r="M733" i="23"/>
  <c r="M734" i="23"/>
  <c r="M735" i="23"/>
  <c r="M736" i="23"/>
  <c r="M737" i="23"/>
  <c r="M738" i="23"/>
  <c r="M739" i="23"/>
  <c r="M740" i="23"/>
  <c r="M741" i="23"/>
  <c r="M742" i="23"/>
  <c r="M743" i="23"/>
  <c r="M744" i="23"/>
  <c r="M745" i="23"/>
  <c r="M746" i="23"/>
  <c r="M747" i="23"/>
  <c r="M748" i="23"/>
  <c r="M749" i="23"/>
  <c r="M750" i="23"/>
  <c r="M751" i="23"/>
  <c r="M752" i="23"/>
  <c r="M753" i="23"/>
  <c r="M754" i="23"/>
  <c r="M755" i="23"/>
  <c r="M756" i="23"/>
  <c r="M757" i="23"/>
  <c r="M758" i="23"/>
  <c r="M759" i="23"/>
  <c r="M760" i="23"/>
  <c r="M761" i="23"/>
  <c r="M762" i="23"/>
  <c r="M763" i="23"/>
  <c r="M764" i="23"/>
  <c r="M765" i="23"/>
  <c r="M766" i="23"/>
  <c r="M767" i="23"/>
  <c r="M768" i="23"/>
  <c r="M769" i="23"/>
  <c r="M770" i="23"/>
  <c r="M771" i="23"/>
  <c r="M772" i="23"/>
  <c r="M773" i="23"/>
  <c r="M774" i="23"/>
  <c r="M775" i="23"/>
  <c r="M776" i="23"/>
  <c r="M777" i="23"/>
  <c r="M778" i="23"/>
  <c r="M779" i="23"/>
  <c r="M780" i="23"/>
  <c r="M781" i="23"/>
  <c r="M782" i="23"/>
  <c r="M783" i="23"/>
  <c r="M784" i="23"/>
  <c r="M785" i="23"/>
  <c r="M786" i="23"/>
  <c r="M787" i="23"/>
  <c r="M788" i="23"/>
  <c r="M789" i="23"/>
  <c r="M790" i="23"/>
  <c r="M791" i="23"/>
  <c r="M792" i="23"/>
  <c r="M793" i="23"/>
  <c r="M794" i="23"/>
  <c r="M795" i="23"/>
  <c r="M796" i="23"/>
  <c r="M797" i="23"/>
  <c r="M798" i="23"/>
  <c r="M799" i="23"/>
  <c r="M800" i="23"/>
  <c r="M801" i="23"/>
  <c r="M802" i="23"/>
  <c r="M803" i="23"/>
  <c r="M804" i="23"/>
  <c r="M805" i="23"/>
  <c r="M806" i="23"/>
  <c r="M807" i="23"/>
  <c r="M808" i="23"/>
  <c r="M809" i="23"/>
  <c r="M810" i="23"/>
  <c r="M811" i="23"/>
  <c r="M812" i="23"/>
  <c r="M813" i="23"/>
  <c r="M814" i="23"/>
  <c r="M815" i="23"/>
  <c r="M816" i="23"/>
  <c r="M817" i="23"/>
  <c r="M818" i="23"/>
  <c r="M819" i="23"/>
  <c r="M820" i="23"/>
  <c r="M821" i="23"/>
  <c r="M822" i="23"/>
  <c r="M823" i="23"/>
  <c r="M824" i="23"/>
  <c r="M825" i="23"/>
  <c r="M826" i="23"/>
  <c r="M827" i="23"/>
  <c r="M828" i="23"/>
  <c r="M829" i="23"/>
  <c r="M830" i="23"/>
  <c r="M831" i="23"/>
  <c r="M832" i="23"/>
  <c r="M833" i="23"/>
  <c r="M834" i="23"/>
  <c r="M835" i="23"/>
  <c r="M836" i="23"/>
  <c r="M837" i="23"/>
  <c r="M838" i="23"/>
  <c r="M839" i="23"/>
  <c r="M840" i="23"/>
  <c r="M841" i="23"/>
  <c r="M842" i="23"/>
  <c r="M843" i="23"/>
  <c r="M844" i="23"/>
  <c r="M845" i="23"/>
  <c r="M846" i="23"/>
  <c r="M847" i="23"/>
  <c r="M848" i="23"/>
  <c r="M849" i="23"/>
  <c r="M850" i="23"/>
  <c r="M851" i="23"/>
  <c r="M852" i="23"/>
  <c r="M853" i="23"/>
  <c r="M854" i="23"/>
  <c r="M855" i="23"/>
  <c r="M856" i="23"/>
  <c r="M857" i="23"/>
  <c r="M858" i="23"/>
  <c r="M859" i="23"/>
  <c r="M860" i="23"/>
  <c r="M861" i="23"/>
  <c r="M862" i="23"/>
  <c r="M863" i="23"/>
  <c r="M864" i="23"/>
  <c r="M865" i="23"/>
  <c r="M866" i="23"/>
  <c r="M867" i="23"/>
  <c r="M868" i="23"/>
  <c r="M869" i="23"/>
  <c r="M870" i="23"/>
  <c r="M871" i="23"/>
  <c r="M872" i="23"/>
  <c r="M873" i="23"/>
  <c r="M874" i="23"/>
  <c r="M875" i="23"/>
  <c r="M876" i="23"/>
  <c r="M877" i="23"/>
  <c r="M878" i="23"/>
  <c r="M879" i="23"/>
  <c r="M880" i="23"/>
  <c r="M881" i="23"/>
  <c r="M882" i="23"/>
  <c r="M883" i="23"/>
  <c r="M884" i="23"/>
  <c r="M885" i="23"/>
  <c r="M886" i="23"/>
  <c r="M887" i="23"/>
  <c r="M888" i="23"/>
  <c r="M889" i="23"/>
  <c r="M890" i="23"/>
  <c r="M891" i="23"/>
  <c r="M892" i="23"/>
  <c r="M893" i="23"/>
  <c r="M894" i="23"/>
  <c r="M895" i="23"/>
  <c r="M896" i="23"/>
  <c r="M897" i="23"/>
  <c r="M898" i="23"/>
  <c r="M899" i="23"/>
  <c r="M900" i="23"/>
  <c r="M901" i="23"/>
  <c r="M902" i="23"/>
  <c r="M903" i="23"/>
  <c r="M904" i="23"/>
  <c r="M905" i="23"/>
  <c r="M906" i="23"/>
  <c r="M907" i="23"/>
  <c r="M908" i="23"/>
  <c r="M909" i="23"/>
  <c r="M910" i="23"/>
  <c r="M911" i="23"/>
  <c r="M912" i="23"/>
  <c r="M913" i="23"/>
  <c r="M914" i="23"/>
  <c r="M915" i="23"/>
  <c r="M916" i="23"/>
  <c r="M917" i="23"/>
  <c r="M918" i="23"/>
  <c r="M919" i="23"/>
  <c r="M920" i="23"/>
  <c r="M921" i="23"/>
  <c r="M922" i="23"/>
  <c r="M923" i="23"/>
  <c r="M924" i="23"/>
  <c r="M925" i="23"/>
  <c r="M926" i="23"/>
  <c r="M927" i="23"/>
  <c r="M928" i="23"/>
  <c r="M929" i="23"/>
  <c r="M930" i="23"/>
  <c r="M931" i="23"/>
  <c r="M932" i="23"/>
  <c r="M933" i="23"/>
  <c r="M934" i="23"/>
  <c r="M935" i="23"/>
  <c r="M936" i="23"/>
  <c r="M937" i="23"/>
  <c r="M938" i="23"/>
  <c r="M939" i="23"/>
  <c r="M940" i="23"/>
  <c r="M941" i="23"/>
  <c r="M942" i="23"/>
  <c r="M943" i="23"/>
  <c r="M944" i="23"/>
  <c r="M945" i="23"/>
  <c r="M946" i="23"/>
  <c r="M947" i="23"/>
  <c r="M948" i="23"/>
  <c r="M949" i="23"/>
  <c r="M950" i="23"/>
  <c r="M951" i="23"/>
  <c r="M952" i="23"/>
  <c r="M953" i="23"/>
  <c r="M954" i="23"/>
  <c r="M955" i="23"/>
  <c r="M956" i="23"/>
  <c r="M957" i="23"/>
  <c r="M958" i="23"/>
  <c r="M959" i="23"/>
  <c r="M960" i="23"/>
  <c r="M961" i="23"/>
  <c r="M962" i="23"/>
  <c r="M963" i="23"/>
  <c r="M964" i="23"/>
  <c r="M965" i="23"/>
  <c r="M966" i="23"/>
  <c r="M967" i="23"/>
  <c r="M968" i="23"/>
  <c r="M969" i="23"/>
  <c r="M970" i="23"/>
  <c r="M971" i="23"/>
  <c r="M972" i="23"/>
  <c r="M973" i="23"/>
  <c r="M974" i="23"/>
  <c r="M975" i="23"/>
  <c r="M976" i="23"/>
  <c r="M977" i="23"/>
  <c r="M978" i="23"/>
  <c r="M979" i="23"/>
  <c r="M980" i="23"/>
  <c r="M981" i="23"/>
  <c r="M982" i="23"/>
  <c r="M983" i="23"/>
  <c r="M984" i="23"/>
  <c r="M985" i="23"/>
  <c r="M986" i="23"/>
  <c r="M987" i="23"/>
  <c r="M988" i="23"/>
  <c r="M989" i="23"/>
  <c r="M990" i="23"/>
  <c r="M991" i="23"/>
  <c r="M992" i="23"/>
  <c r="M993" i="23"/>
  <c r="M994" i="23"/>
  <c r="M995" i="23"/>
  <c r="M996" i="23"/>
  <c r="M997" i="23"/>
  <c r="M998" i="23"/>
  <c r="M999" i="23"/>
  <c r="M1000" i="23"/>
  <c r="M1001" i="23"/>
  <c r="M1002" i="23"/>
  <c r="M1003" i="23"/>
  <c r="M1004" i="23"/>
  <c r="M1005" i="23"/>
  <c r="M1006" i="23"/>
  <c r="M1007" i="23"/>
  <c r="M1008" i="23"/>
  <c r="M1009" i="23"/>
  <c r="M1010" i="23"/>
  <c r="M1011" i="23"/>
  <c r="M1012" i="23"/>
  <c r="M1013" i="23"/>
  <c r="M1014" i="23"/>
  <c r="M1015" i="23"/>
  <c r="M1016" i="23"/>
  <c r="M1017" i="23"/>
  <c r="M1018" i="23"/>
  <c r="M1019" i="23"/>
  <c r="M1020" i="23"/>
  <c r="M1021" i="23"/>
  <c r="M1022" i="23"/>
  <c r="M1023" i="23"/>
  <c r="M1024" i="23"/>
  <c r="M1025" i="23"/>
  <c r="M1026" i="23"/>
  <c r="M1027" i="23"/>
  <c r="M1028" i="23"/>
  <c r="M1029" i="23"/>
  <c r="M1030" i="23"/>
  <c r="M1031" i="23"/>
  <c r="M1032" i="23"/>
  <c r="M1033" i="23"/>
  <c r="M1034" i="23"/>
  <c r="M1035" i="23"/>
  <c r="M1036" i="23"/>
  <c r="M1037" i="23"/>
  <c r="M1038" i="23"/>
  <c r="M1039" i="23"/>
  <c r="M1040" i="23"/>
  <c r="M1041" i="23"/>
  <c r="M1042" i="23"/>
  <c r="M1043" i="23"/>
  <c r="M1044" i="23"/>
  <c r="M1045" i="23"/>
  <c r="M1046" i="23"/>
  <c r="M1047" i="23"/>
  <c r="M1048" i="23"/>
  <c r="M1049" i="23"/>
  <c r="M1050" i="23"/>
  <c r="M1051" i="23"/>
  <c r="M1052" i="23"/>
  <c r="M1053" i="23"/>
  <c r="M1054" i="23"/>
  <c r="M1055" i="23"/>
  <c r="M1056" i="23"/>
  <c r="M1057" i="23"/>
  <c r="M1058" i="23"/>
  <c r="M1059" i="23"/>
  <c r="M1060" i="23"/>
  <c r="M1061" i="23"/>
  <c r="M1062" i="23"/>
  <c r="M1063" i="23"/>
  <c r="M1064" i="23"/>
  <c r="M1065" i="23"/>
  <c r="M1066" i="23"/>
  <c r="M1067" i="23"/>
  <c r="M1068" i="23"/>
  <c r="M1069" i="23"/>
  <c r="M1070" i="23"/>
  <c r="M1071" i="23"/>
  <c r="M1072" i="23"/>
  <c r="M1073" i="23"/>
  <c r="M1074" i="23"/>
  <c r="M1075" i="23"/>
  <c r="M1076" i="23"/>
  <c r="M1077" i="23"/>
  <c r="M1078" i="23"/>
  <c r="M1079" i="23"/>
  <c r="M1080" i="23"/>
  <c r="M1081" i="23"/>
  <c r="M1082" i="23"/>
  <c r="M1083" i="23"/>
  <c r="M1084" i="23"/>
  <c r="M1085" i="23"/>
  <c r="M1086" i="23"/>
  <c r="M1087" i="23"/>
  <c r="M1088" i="23"/>
  <c r="M1089" i="23"/>
  <c r="M1090" i="23"/>
  <c r="M1091" i="23"/>
  <c r="M1092" i="23"/>
  <c r="M1093" i="23"/>
  <c r="M1094" i="23"/>
  <c r="M1095" i="23"/>
  <c r="M1096" i="23"/>
  <c r="M1097" i="23"/>
  <c r="M1098" i="23"/>
  <c r="M1099" i="23"/>
  <c r="M1100" i="23"/>
  <c r="M1101" i="23"/>
  <c r="M1102" i="23"/>
  <c r="M1103" i="23"/>
  <c r="M1104" i="23"/>
  <c r="M1105" i="23"/>
  <c r="M1106" i="23"/>
  <c r="M1107" i="23"/>
  <c r="M1108" i="23"/>
  <c r="M1109" i="23"/>
  <c r="M1110" i="23"/>
  <c r="M1111" i="23"/>
  <c r="M1112" i="23"/>
  <c r="M1113" i="23"/>
  <c r="M1114" i="23"/>
  <c r="M1115" i="23"/>
  <c r="M1116" i="23"/>
  <c r="M1117" i="23"/>
  <c r="M1118" i="23"/>
  <c r="M1119" i="23"/>
  <c r="M1120" i="23"/>
  <c r="M1121" i="23"/>
  <c r="M1122" i="23"/>
  <c r="M1123" i="23"/>
  <c r="M1124" i="23"/>
  <c r="M1125" i="23"/>
  <c r="M1126" i="23"/>
  <c r="M1127" i="23"/>
  <c r="M1128" i="23"/>
  <c r="M1129" i="23"/>
  <c r="M1130" i="23"/>
  <c r="M1131" i="23"/>
  <c r="M1132" i="23"/>
  <c r="M1133" i="23"/>
  <c r="M1134" i="23"/>
  <c r="M1135" i="23"/>
  <c r="M1136" i="23"/>
  <c r="M1137" i="23"/>
  <c r="M1138" i="23"/>
  <c r="M1139" i="23"/>
  <c r="M1140" i="23"/>
  <c r="M1141" i="23"/>
  <c r="M1142" i="23"/>
  <c r="M1143" i="23"/>
  <c r="M1144" i="23"/>
  <c r="M1145" i="23"/>
  <c r="M1146" i="23"/>
  <c r="M1147" i="23"/>
  <c r="M1148" i="23"/>
  <c r="M1149" i="23"/>
  <c r="M1150" i="23"/>
  <c r="M1151" i="23"/>
  <c r="M1152" i="23"/>
  <c r="M1153" i="23"/>
  <c r="M1154" i="23"/>
  <c r="M1155" i="23"/>
  <c r="M1156" i="23"/>
  <c r="M1157" i="23"/>
  <c r="M1158" i="23"/>
  <c r="M1159" i="23"/>
  <c r="M1160" i="23"/>
  <c r="M1161" i="23"/>
  <c r="M1162" i="23"/>
  <c r="M1163" i="23"/>
  <c r="M1164" i="23"/>
  <c r="M1165" i="23"/>
  <c r="M1166" i="23"/>
  <c r="M1167" i="23"/>
  <c r="M1168" i="23"/>
  <c r="M1169" i="23"/>
  <c r="M1170" i="23"/>
  <c r="M1171" i="23"/>
  <c r="M1172" i="23"/>
  <c r="M1173" i="23"/>
  <c r="M1174" i="23"/>
  <c r="M1175" i="23"/>
  <c r="M1176" i="23"/>
  <c r="M1177" i="23"/>
  <c r="M1178" i="23"/>
  <c r="M1179" i="23"/>
  <c r="M1180" i="23"/>
  <c r="M1181" i="23"/>
  <c r="M1182" i="23"/>
  <c r="M1183" i="23"/>
  <c r="M1184" i="23"/>
  <c r="M1185" i="23"/>
  <c r="M1186" i="23"/>
  <c r="M1187" i="23"/>
  <c r="M1188" i="23"/>
  <c r="M1189" i="23"/>
  <c r="M1190" i="23"/>
  <c r="M1191" i="23"/>
  <c r="M1192" i="23"/>
  <c r="M1193" i="23"/>
  <c r="M1194" i="23"/>
  <c r="M1195" i="23"/>
  <c r="M1196" i="23"/>
  <c r="M1197" i="23"/>
  <c r="M1198" i="23"/>
  <c r="M1199" i="23"/>
  <c r="M1200" i="23"/>
  <c r="M1201" i="23"/>
  <c r="M1202" i="23"/>
  <c r="M1203" i="23"/>
  <c r="M1204" i="23"/>
  <c r="M1205" i="23"/>
  <c r="M1206" i="23"/>
  <c r="M1207" i="23"/>
  <c r="M1208" i="23"/>
  <c r="M1209" i="23"/>
  <c r="M1210" i="23"/>
  <c r="M1211" i="23"/>
  <c r="M1212" i="23"/>
  <c r="M1213" i="23"/>
  <c r="M1214" i="23"/>
  <c r="M1215" i="23"/>
  <c r="M1216" i="23"/>
  <c r="M1217" i="23"/>
  <c r="M1218" i="23"/>
  <c r="M1219" i="23"/>
  <c r="M1220" i="23"/>
  <c r="M1221" i="23"/>
  <c r="M1222" i="23"/>
  <c r="M1223" i="23"/>
  <c r="M1224" i="23"/>
  <c r="M1225" i="23"/>
  <c r="M1226" i="23"/>
  <c r="M1227" i="23"/>
  <c r="M1228" i="23"/>
  <c r="M1229" i="23"/>
  <c r="M1230" i="23"/>
  <c r="M1231" i="23"/>
  <c r="M1232" i="23"/>
  <c r="M1233" i="23"/>
  <c r="M1234" i="23"/>
  <c r="M1235" i="23"/>
  <c r="M1236" i="23"/>
  <c r="M1237" i="23"/>
  <c r="M1238" i="23"/>
  <c r="M1239" i="23"/>
  <c r="M1240" i="23"/>
  <c r="M1241" i="23"/>
  <c r="M1242" i="23"/>
  <c r="M1243" i="23"/>
  <c r="M1244" i="23"/>
  <c r="M1245" i="23"/>
  <c r="M1246" i="23"/>
  <c r="M1247" i="23"/>
  <c r="M1248" i="23"/>
  <c r="M1249" i="23"/>
  <c r="M1250" i="23"/>
  <c r="M1251" i="23"/>
  <c r="M1252" i="23"/>
  <c r="M1253" i="23"/>
  <c r="M1254" i="23"/>
  <c r="M1255" i="23"/>
  <c r="M1256" i="23"/>
  <c r="M1257" i="23"/>
  <c r="M1258" i="23"/>
  <c r="M1259" i="23"/>
  <c r="M1260" i="23"/>
  <c r="M1261" i="23"/>
  <c r="M1262" i="23"/>
  <c r="M1263" i="23"/>
  <c r="M1264" i="23"/>
  <c r="M1265" i="23"/>
  <c r="M1266" i="23"/>
  <c r="M1267" i="23"/>
  <c r="M1268" i="23"/>
  <c r="M1269" i="23"/>
  <c r="M1270" i="23"/>
  <c r="M1271" i="23"/>
  <c r="M1272" i="23"/>
  <c r="M1273" i="23"/>
  <c r="M1274" i="23"/>
  <c r="M1275" i="23"/>
  <c r="M1276" i="23"/>
  <c r="M1277" i="23"/>
  <c r="M1278" i="23"/>
  <c r="M1279" i="23"/>
  <c r="M1280" i="23"/>
  <c r="M1281" i="23"/>
  <c r="M1282" i="23"/>
  <c r="M1283" i="23"/>
  <c r="M1284" i="23"/>
  <c r="M1285" i="23"/>
  <c r="M1286" i="23"/>
  <c r="M1287" i="23"/>
  <c r="M1288" i="23"/>
  <c r="M1289" i="23"/>
  <c r="M1290" i="23"/>
  <c r="M1291" i="23"/>
  <c r="M1292" i="23"/>
  <c r="M1293" i="23"/>
  <c r="M1294" i="23"/>
  <c r="M1295" i="23"/>
  <c r="M1296" i="23"/>
  <c r="M1297" i="23"/>
  <c r="M1298" i="23"/>
  <c r="M1299" i="23"/>
  <c r="M1300" i="23"/>
  <c r="M1301" i="23"/>
  <c r="M1302" i="23"/>
  <c r="M1303" i="23"/>
  <c r="M1304" i="23"/>
  <c r="M1305" i="23"/>
  <c r="M1306" i="23"/>
  <c r="M1307" i="23"/>
  <c r="M1308" i="23"/>
  <c r="M1309" i="23"/>
  <c r="M1310" i="23"/>
  <c r="M1311" i="23"/>
  <c r="M1312" i="23"/>
  <c r="M1313" i="23"/>
  <c r="M1314" i="23"/>
  <c r="M1315" i="23"/>
  <c r="M1316" i="23"/>
  <c r="M1317" i="23"/>
  <c r="M1318" i="23"/>
  <c r="M1319" i="23"/>
  <c r="M1320" i="23"/>
  <c r="M1321" i="23"/>
  <c r="M1322" i="23"/>
  <c r="M1323" i="23"/>
  <c r="M1324" i="23"/>
  <c r="M1325" i="23"/>
  <c r="M1326" i="23"/>
  <c r="M1327" i="23"/>
  <c r="M1328" i="23"/>
  <c r="M1329" i="23"/>
  <c r="M1330" i="23"/>
  <c r="M1331" i="23"/>
  <c r="M1332" i="23"/>
  <c r="M1333" i="23"/>
  <c r="M1334" i="23"/>
  <c r="M1335" i="23"/>
  <c r="M1336" i="23"/>
  <c r="M1337" i="23"/>
  <c r="M1338" i="23"/>
  <c r="M1339" i="23"/>
  <c r="M1340" i="23"/>
  <c r="M1341" i="23"/>
  <c r="M1342" i="23"/>
  <c r="M1343" i="23"/>
  <c r="M1344" i="23"/>
  <c r="M1345" i="23"/>
  <c r="M1346" i="23"/>
  <c r="M1347" i="23"/>
  <c r="M1348" i="23"/>
  <c r="M1349" i="23"/>
  <c r="M1350" i="23"/>
  <c r="M1351" i="23"/>
  <c r="M1352" i="23"/>
  <c r="M1353" i="23"/>
  <c r="M1354" i="23"/>
  <c r="M1355" i="23"/>
  <c r="M1356" i="23"/>
  <c r="M1357" i="23"/>
  <c r="M1358" i="23"/>
  <c r="M1359" i="23"/>
  <c r="M1360" i="23"/>
  <c r="M1361" i="23"/>
  <c r="M1362" i="23"/>
  <c r="M1363" i="23"/>
  <c r="M1364" i="23"/>
  <c r="M1365" i="23"/>
  <c r="M1366" i="23"/>
  <c r="M1367" i="23"/>
  <c r="M1368" i="23"/>
  <c r="M1369" i="23"/>
  <c r="M1370" i="23"/>
  <c r="M1371" i="23"/>
  <c r="M1372" i="23"/>
  <c r="M1373" i="23"/>
  <c r="M1374" i="23"/>
  <c r="M1375" i="23"/>
  <c r="M1376" i="23"/>
  <c r="M1377" i="23"/>
  <c r="M1378" i="23"/>
  <c r="M1379" i="23"/>
  <c r="M1380" i="23"/>
  <c r="M1381" i="23"/>
  <c r="M1382" i="23"/>
  <c r="M1383" i="23"/>
  <c r="M1384" i="23"/>
  <c r="M1385" i="23"/>
  <c r="M1386" i="23"/>
  <c r="M1387" i="23"/>
  <c r="M1388" i="23"/>
  <c r="M1389" i="23"/>
  <c r="M1390" i="23"/>
  <c r="M1391" i="23"/>
  <c r="M1392" i="23"/>
  <c r="M1393" i="23"/>
  <c r="M1394" i="23"/>
  <c r="M1395" i="23"/>
  <c r="M1396" i="23"/>
  <c r="M1397" i="23"/>
  <c r="M1398" i="23"/>
  <c r="M1399" i="23"/>
  <c r="M1400" i="23"/>
  <c r="M1401" i="23"/>
  <c r="M1402" i="23"/>
  <c r="M1403" i="23"/>
  <c r="M1404" i="23"/>
  <c r="M1405" i="23"/>
  <c r="M1406" i="23"/>
  <c r="M1407" i="23"/>
  <c r="M1408" i="23"/>
  <c r="M1409" i="23"/>
  <c r="M1410" i="23"/>
  <c r="M1411" i="23"/>
  <c r="M1412" i="23"/>
  <c r="M1413" i="23"/>
  <c r="M1414" i="23"/>
  <c r="M1415" i="23"/>
  <c r="M1416" i="23"/>
  <c r="M1417" i="23"/>
  <c r="M1418" i="23"/>
  <c r="M1419" i="23"/>
  <c r="M1420" i="23"/>
  <c r="M1421" i="23"/>
  <c r="M1422" i="23"/>
  <c r="M1423" i="23"/>
  <c r="M1424" i="23"/>
  <c r="M1425" i="23"/>
  <c r="M1426" i="23"/>
  <c r="M1427" i="23"/>
  <c r="M1428" i="23"/>
  <c r="M1429" i="23"/>
  <c r="M1430" i="23"/>
  <c r="M1431" i="23"/>
  <c r="M1432" i="23"/>
  <c r="M1433" i="23"/>
  <c r="M1434" i="23"/>
  <c r="M1435" i="23"/>
  <c r="M1436" i="23"/>
  <c r="M1437" i="23"/>
  <c r="M1438" i="23"/>
  <c r="M1439" i="23"/>
  <c r="M1440" i="23"/>
  <c r="M1441" i="23"/>
  <c r="M1442" i="23"/>
  <c r="M1443" i="23"/>
  <c r="M1444" i="23"/>
  <c r="M1445" i="23"/>
  <c r="M1446" i="23"/>
  <c r="M1447" i="23"/>
  <c r="M1448" i="23"/>
  <c r="M1449" i="23"/>
  <c r="M1450" i="23"/>
  <c r="M1451" i="23"/>
  <c r="M1452" i="23"/>
  <c r="M1453" i="23"/>
  <c r="M1454" i="23"/>
  <c r="M1455" i="23"/>
  <c r="M1456" i="23"/>
  <c r="M1457" i="23"/>
  <c r="M1458" i="23"/>
  <c r="M1459" i="23"/>
  <c r="M1460" i="23"/>
  <c r="M1461" i="23"/>
  <c r="M1462" i="23"/>
  <c r="M1463" i="23"/>
  <c r="M1464" i="23"/>
  <c r="M1465" i="23"/>
  <c r="M1466" i="23"/>
  <c r="M1467" i="23"/>
  <c r="M1468" i="23"/>
  <c r="M1469" i="23"/>
  <c r="M1470" i="23"/>
  <c r="M1471" i="23"/>
  <c r="M1472" i="23"/>
  <c r="M1473" i="23"/>
  <c r="M1474" i="23"/>
  <c r="M1475" i="23"/>
  <c r="M1476" i="23"/>
  <c r="M1477" i="23"/>
  <c r="M1478" i="23"/>
  <c r="M1479" i="23"/>
  <c r="M1480" i="23"/>
  <c r="M1481" i="23"/>
  <c r="M1482" i="23"/>
  <c r="M1483" i="23"/>
  <c r="M1484" i="23"/>
  <c r="M1485" i="23"/>
  <c r="M1486" i="23"/>
  <c r="M1487" i="23"/>
  <c r="M1488" i="23"/>
  <c r="M1489" i="23"/>
  <c r="M1490" i="23"/>
  <c r="M1491" i="23"/>
  <c r="M1492" i="23"/>
  <c r="M1493" i="23"/>
  <c r="M1494" i="23"/>
  <c r="M1495" i="23"/>
  <c r="M1496" i="23"/>
  <c r="M1497" i="23"/>
  <c r="M1498" i="23"/>
  <c r="M1499" i="23"/>
  <c r="M1500" i="23"/>
  <c r="M1501" i="23"/>
  <c r="M1502" i="23"/>
  <c r="M1503" i="23"/>
  <c r="M1504" i="23"/>
  <c r="M1505" i="23"/>
  <c r="M1506" i="23"/>
  <c r="M1507" i="23"/>
  <c r="M1508" i="23"/>
  <c r="M1509" i="23"/>
  <c r="M1510" i="23"/>
  <c r="M1511" i="23"/>
  <c r="M1512" i="23"/>
  <c r="M1513" i="23"/>
  <c r="M1514" i="23"/>
  <c r="M1515" i="23"/>
  <c r="M1516" i="23"/>
  <c r="M1517" i="23"/>
  <c r="M1518" i="23"/>
  <c r="M1519" i="23"/>
  <c r="M1520" i="23"/>
  <c r="M1521" i="23"/>
  <c r="M1522" i="23"/>
  <c r="M1523" i="23"/>
  <c r="M1524" i="23"/>
  <c r="M1525" i="23"/>
  <c r="M1526" i="23"/>
  <c r="M1527" i="23"/>
  <c r="M1528" i="23"/>
  <c r="M1529" i="23"/>
  <c r="M1530" i="23"/>
  <c r="M1531" i="23"/>
  <c r="M1532" i="23"/>
  <c r="M1533" i="23"/>
  <c r="M1534" i="23"/>
  <c r="M1535" i="23"/>
  <c r="M1536" i="23"/>
  <c r="M1537" i="23"/>
  <c r="M1538" i="23"/>
  <c r="M1539" i="23"/>
  <c r="M1540" i="23"/>
  <c r="M1541" i="23"/>
  <c r="M1542" i="23"/>
  <c r="M1543" i="23"/>
  <c r="M1544" i="23"/>
  <c r="M1545" i="23"/>
  <c r="M1546" i="23"/>
  <c r="M1547" i="23"/>
  <c r="M1548" i="23"/>
  <c r="M1549" i="23"/>
  <c r="M1550" i="23"/>
  <c r="M1551" i="23"/>
  <c r="M1552" i="23"/>
  <c r="M1553" i="23"/>
  <c r="M1554" i="23"/>
  <c r="M1555" i="23"/>
  <c r="M1556" i="23"/>
  <c r="M1557" i="23"/>
  <c r="M1558" i="23"/>
  <c r="M1559" i="23"/>
  <c r="M1560" i="23"/>
  <c r="M1561" i="23"/>
  <c r="M1562" i="23"/>
  <c r="M1563" i="23"/>
  <c r="M1564" i="23"/>
  <c r="M1565" i="23"/>
  <c r="M1566" i="23"/>
  <c r="M1567" i="23"/>
  <c r="M1568" i="23"/>
  <c r="M1569" i="23"/>
  <c r="M1570" i="23"/>
  <c r="M1571" i="23"/>
  <c r="M1572" i="23"/>
  <c r="M1573" i="23"/>
  <c r="M1574" i="23"/>
  <c r="M1575" i="23"/>
  <c r="M1576" i="23"/>
  <c r="M1577" i="23"/>
  <c r="M1578" i="23"/>
  <c r="M1579" i="23"/>
  <c r="M1580" i="23"/>
  <c r="M1581" i="23"/>
  <c r="M1582" i="23"/>
  <c r="M1583" i="23"/>
  <c r="M1584" i="23"/>
  <c r="M1585" i="23"/>
  <c r="M1586" i="23"/>
  <c r="M1587" i="23"/>
  <c r="M1588" i="23"/>
  <c r="M1589" i="23"/>
  <c r="M1590" i="23"/>
  <c r="M1591" i="23"/>
  <c r="M1592" i="23"/>
  <c r="M1593" i="23"/>
  <c r="M1594" i="23"/>
  <c r="M1595" i="23"/>
  <c r="M1596" i="23"/>
  <c r="M1597" i="23"/>
  <c r="M1598" i="23"/>
  <c r="M1599" i="23"/>
  <c r="M1600" i="23"/>
  <c r="M1601" i="23"/>
  <c r="M1602" i="23"/>
  <c r="M1603" i="23"/>
  <c r="M1604" i="23"/>
  <c r="M1605" i="23"/>
  <c r="M1606" i="23"/>
  <c r="M1607" i="23"/>
  <c r="M1608" i="23"/>
  <c r="M1609" i="23"/>
  <c r="M1610" i="23"/>
  <c r="M1611" i="23"/>
  <c r="M1612" i="23"/>
  <c r="M1613" i="23"/>
  <c r="M1614" i="23"/>
  <c r="M1615" i="23"/>
  <c r="M1616" i="23"/>
  <c r="M1617" i="23"/>
  <c r="M1618" i="23"/>
  <c r="M1619" i="23"/>
  <c r="M1620" i="23"/>
  <c r="M1621" i="23"/>
  <c r="M1622" i="23"/>
  <c r="M1623" i="23"/>
  <c r="M1624" i="23"/>
  <c r="M1625" i="23"/>
  <c r="M1626" i="23"/>
  <c r="M1627" i="23"/>
  <c r="M1628" i="23"/>
  <c r="M1629" i="23"/>
  <c r="M1630" i="23"/>
  <c r="M1631" i="23"/>
  <c r="M1632" i="23"/>
  <c r="M1633" i="23"/>
  <c r="M1634" i="23"/>
  <c r="M1635" i="23"/>
  <c r="M1636" i="23"/>
  <c r="M1637" i="23"/>
  <c r="M1638" i="23"/>
  <c r="M1639" i="23"/>
  <c r="M1640" i="23"/>
  <c r="M1641" i="23"/>
  <c r="M1642" i="23"/>
  <c r="M1643" i="23"/>
  <c r="M1644" i="23"/>
  <c r="M1645" i="23"/>
  <c r="M1646" i="23"/>
  <c r="M1647" i="23"/>
  <c r="M1648" i="23"/>
  <c r="M1649" i="23"/>
  <c r="M1650" i="23"/>
  <c r="M1651" i="23"/>
  <c r="M1652" i="23"/>
  <c r="M1653" i="23"/>
  <c r="M1654" i="23"/>
  <c r="M1655" i="23"/>
  <c r="M1656" i="23"/>
  <c r="M1657" i="23"/>
  <c r="M1658" i="23"/>
  <c r="M1659" i="23"/>
  <c r="M1660" i="23"/>
  <c r="M1661" i="23"/>
  <c r="M1662" i="23"/>
  <c r="M1663" i="23"/>
  <c r="M1664" i="23"/>
  <c r="M1665" i="23"/>
  <c r="M1666" i="23"/>
  <c r="M1667" i="23"/>
  <c r="M1668" i="23"/>
  <c r="M1669" i="23"/>
  <c r="M1670" i="23"/>
  <c r="M1671" i="23"/>
  <c r="M1672" i="23"/>
  <c r="M1673" i="23"/>
  <c r="M1674" i="23"/>
  <c r="M1675" i="23"/>
  <c r="M1676" i="23"/>
  <c r="M1677" i="23"/>
  <c r="M1678" i="23"/>
  <c r="M1679" i="23"/>
  <c r="M1680" i="23"/>
  <c r="M1681" i="23"/>
  <c r="M1682" i="23"/>
  <c r="M1683" i="23"/>
  <c r="M1684" i="23"/>
  <c r="M1685" i="23"/>
  <c r="M1686" i="23"/>
  <c r="M1687" i="23"/>
  <c r="M1688" i="23"/>
  <c r="M1689" i="23"/>
  <c r="M1690" i="23"/>
  <c r="M1691" i="23"/>
  <c r="M1692" i="23"/>
  <c r="M1693" i="23"/>
  <c r="M1694" i="23"/>
  <c r="M1695" i="23"/>
  <c r="M1696" i="23"/>
  <c r="M1697" i="23"/>
  <c r="M1698" i="23"/>
  <c r="M1699" i="23"/>
  <c r="M1700" i="23"/>
  <c r="M1701" i="23"/>
  <c r="M1702" i="23"/>
  <c r="M1703" i="23"/>
  <c r="M1704" i="23"/>
  <c r="M1705" i="23"/>
  <c r="M1706" i="23"/>
  <c r="M1707" i="23"/>
  <c r="M1708" i="23"/>
  <c r="M1709" i="23"/>
  <c r="M1710" i="23"/>
  <c r="M1711" i="23"/>
  <c r="M1712" i="23"/>
  <c r="M1713" i="23"/>
  <c r="M1714" i="23"/>
  <c r="M1715" i="23"/>
  <c r="M1716" i="23"/>
  <c r="M1717" i="23"/>
  <c r="M1718" i="23"/>
  <c r="M1719" i="23"/>
  <c r="M1720" i="23"/>
  <c r="M1721" i="23"/>
  <c r="M1722" i="23"/>
  <c r="M1723" i="23"/>
  <c r="M1724" i="23"/>
  <c r="M1725" i="23"/>
  <c r="M1726" i="23"/>
  <c r="M1727" i="23"/>
  <c r="M1728" i="23"/>
  <c r="M1729" i="23"/>
  <c r="M1730" i="23"/>
  <c r="M1731" i="23"/>
  <c r="M1732" i="23"/>
  <c r="M1733" i="23"/>
  <c r="M1734" i="23"/>
  <c r="M1735" i="23"/>
  <c r="M1736" i="23"/>
  <c r="M1737" i="23"/>
  <c r="M1738" i="23"/>
  <c r="M1739" i="23"/>
  <c r="M1740" i="23"/>
  <c r="M1741" i="23"/>
  <c r="M1742" i="23"/>
  <c r="M1743" i="23"/>
  <c r="M1744" i="23"/>
  <c r="M1745" i="23"/>
  <c r="M1746" i="23"/>
  <c r="M1747" i="23"/>
  <c r="M1748" i="23"/>
  <c r="M1749" i="23"/>
  <c r="M1750" i="23"/>
  <c r="M1751" i="23"/>
  <c r="M1752" i="23"/>
  <c r="M1753" i="23"/>
  <c r="M1754" i="23"/>
  <c r="M1755" i="23"/>
  <c r="M1756" i="23"/>
  <c r="M1757" i="23"/>
  <c r="M1758" i="23"/>
  <c r="M1759" i="23"/>
  <c r="M1760" i="23"/>
  <c r="M1761" i="23"/>
  <c r="M1762" i="23"/>
  <c r="M1763" i="23"/>
  <c r="M1764" i="23"/>
  <c r="M1765" i="23"/>
  <c r="M1766" i="23"/>
  <c r="M1767" i="23"/>
  <c r="M1768" i="23"/>
  <c r="M1769" i="23"/>
  <c r="M1770" i="23"/>
  <c r="M1771" i="23"/>
  <c r="M1772" i="23"/>
  <c r="M1773" i="23"/>
  <c r="M1774" i="23"/>
  <c r="M1775" i="23"/>
  <c r="M1776" i="23"/>
  <c r="M1777" i="23"/>
  <c r="M1778" i="23"/>
  <c r="M1779" i="23"/>
  <c r="M1780" i="23"/>
  <c r="M1781" i="23"/>
  <c r="M1782" i="23"/>
  <c r="M1783" i="23"/>
  <c r="M1784" i="23"/>
  <c r="M1785" i="23"/>
  <c r="M1786" i="23"/>
  <c r="M1787" i="23"/>
  <c r="M1788" i="23"/>
  <c r="M1789" i="23"/>
  <c r="M1790" i="23"/>
  <c r="M1791" i="23"/>
  <c r="M1792" i="23"/>
  <c r="M1793" i="23"/>
  <c r="M1794" i="23"/>
  <c r="M1795" i="23"/>
  <c r="M1796" i="23"/>
  <c r="M1797" i="23"/>
  <c r="M1798" i="23"/>
  <c r="M1799" i="23"/>
  <c r="M1800" i="23"/>
  <c r="M1801" i="23"/>
  <c r="M1802" i="23"/>
  <c r="M1803" i="23"/>
  <c r="M1804" i="23"/>
  <c r="M1805" i="23"/>
  <c r="M1806" i="23"/>
  <c r="M1807" i="23"/>
  <c r="M1808" i="23"/>
  <c r="M1809" i="23"/>
  <c r="M1810" i="23"/>
  <c r="M1811" i="23"/>
  <c r="M1812" i="23"/>
  <c r="M1813" i="23"/>
  <c r="M1814" i="23"/>
  <c r="M1815" i="23"/>
  <c r="M1816" i="23"/>
  <c r="M1817" i="23"/>
  <c r="M1818" i="23"/>
  <c r="M1819" i="23"/>
  <c r="M1820" i="23"/>
  <c r="M1821" i="23"/>
  <c r="M1822" i="23"/>
  <c r="M1823" i="23"/>
  <c r="M1824" i="23"/>
  <c r="M1825" i="23"/>
  <c r="M1826" i="23"/>
  <c r="M1827" i="23"/>
  <c r="M1828" i="23"/>
  <c r="M1829" i="23"/>
  <c r="M1830" i="23"/>
  <c r="M1831" i="23"/>
  <c r="M1832" i="23"/>
  <c r="M1833" i="23"/>
  <c r="M1834" i="23"/>
  <c r="M1835" i="23"/>
  <c r="M1836" i="23"/>
  <c r="M1837" i="23"/>
  <c r="M1838" i="23"/>
  <c r="M1839" i="23"/>
  <c r="M1840" i="23"/>
  <c r="M1841" i="23"/>
  <c r="M1842" i="23"/>
  <c r="M1843" i="23"/>
  <c r="M1844" i="23"/>
  <c r="M1845" i="23"/>
  <c r="M1846" i="23"/>
  <c r="M1847" i="23"/>
  <c r="M1848" i="23"/>
  <c r="M1849" i="23"/>
  <c r="M1850" i="23"/>
  <c r="M1851" i="23"/>
  <c r="M1852" i="23"/>
  <c r="M1853" i="23"/>
  <c r="M1854" i="23"/>
  <c r="M1855" i="23"/>
  <c r="M1856" i="23"/>
  <c r="M1857" i="23"/>
  <c r="M1858" i="23"/>
  <c r="M1859" i="23"/>
  <c r="M1860" i="23"/>
  <c r="M1861" i="23"/>
  <c r="M1862" i="23"/>
  <c r="M1863" i="23"/>
  <c r="M1864" i="23"/>
  <c r="M1865" i="23"/>
  <c r="M1866" i="23"/>
  <c r="M1867" i="23"/>
  <c r="M1868" i="23"/>
  <c r="M1869" i="23"/>
  <c r="M1870" i="23"/>
  <c r="M1871" i="23"/>
  <c r="M1872" i="23"/>
  <c r="M1873" i="23"/>
  <c r="M1874" i="23"/>
  <c r="M1875" i="23"/>
  <c r="M1876" i="23"/>
  <c r="M1877" i="23"/>
  <c r="M1878" i="23"/>
  <c r="M1879" i="23"/>
  <c r="M1880" i="23"/>
  <c r="M1881" i="23"/>
  <c r="M1882" i="23"/>
  <c r="M1883" i="23"/>
  <c r="M1884" i="23"/>
  <c r="M1885" i="23"/>
  <c r="M1886" i="23"/>
  <c r="M1887" i="23"/>
  <c r="M1888" i="23"/>
  <c r="M1889" i="23"/>
  <c r="M1890" i="23"/>
  <c r="M1891" i="23"/>
  <c r="M1892" i="23"/>
  <c r="M1893" i="23"/>
  <c r="M1894" i="23"/>
  <c r="M1895" i="23"/>
  <c r="M1896" i="23"/>
  <c r="M1897" i="23"/>
  <c r="M1898" i="23"/>
  <c r="M1899" i="23"/>
  <c r="M1900" i="23"/>
  <c r="M1901" i="23"/>
  <c r="M1902" i="23"/>
  <c r="M1903" i="23"/>
  <c r="M1904" i="23"/>
  <c r="M1905" i="23"/>
  <c r="M1906" i="23"/>
  <c r="M1907" i="23"/>
  <c r="M1908" i="23"/>
  <c r="M1909" i="23"/>
  <c r="M1910" i="23"/>
  <c r="M1911" i="23"/>
  <c r="M1912" i="23"/>
  <c r="M1913" i="23"/>
  <c r="M1914" i="23"/>
  <c r="M1915" i="23"/>
  <c r="M1916" i="23"/>
  <c r="M1917" i="23"/>
  <c r="M1918" i="23"/>
  <c r="M1919" i="23"/>
  <c r="M1920" i="23"/>
  <c r="M1921" i="23"/>
  <c r="M1922" i="23"/>
  <c r="M1923" i="23"/>
  <c r="M1924" i="23"/>
  <c r="M1925" i="23"/>
  <c r="M1926" i="23"/>
  <c r="M1927" i="23"/>
  <c r="M1928" i="23"/>
  <c r="M1929" i="23"/>
  <c r="M1930" i="23"/>
  <c r="M1931" i="23"/>
  <c r="M1932" i="23"/>
  <c r="M1933" i="23"/>
  <c r="M1934" i="23"/>
  <c r="M1935" i="23"/>
  <c r="M1936" i="23"/>
  <c r="M1937" i="23"/>
  <c r="M1938" i="23"/>
  <c r="M1939" i="23"/>
  <c r="M1940" i="23"/>
  <c r="M1941" i="23"/>
  <c r="M1942" i="23"/>
  <c r="M1943" i="23"/>
  <c r="M1944" i="23"/>
  <c r="M1945" i="23"/>
  <c r="M1946" i="23"/>
  <c r="M1947" i="23"/>
  <c r="M1948" i="23"/>
  <c r="M1949" i="23"/>
  <c r="M1950" i="23"/>
  <c r="M1951" i="23"/>
  <c r="M1952" i="23"/>
  <c r="M1953" i="23"/>
  <c r="M1954" i="23"/>
  <c r="M1955" i="23"/>
  <c r="M1956" i="23"/>
  <c r="M1957" i="23"/>
  <c r="M1958" i="23"/>
  <c r="M1959" i="23"/>
  <c r="M1960" i="23"/>
  <c r="M1961" i="23"/>
  <c r="M1962" i="23"/>
  <c r="M1963" i="23"/>
  <c r="M1964" i="23"/>
  <c r="M1965" i="23"/>
  <c r="M1966" i="23"/>
  <c r="M1967" i="23"/>
  <c r="M1968" i="23"/>
  <c r="M1969" i="23"/>
  <c r="M1970" i="23"/>
  <c r="M1971" i="23"/>
  <c r="M1972" i="23"/>
  <c r="M1973" i="23"/>
  <c r="M1974" i="23"/>
  <c r="M1975" i="23"/>
  <c r="M1976" i="23"/>
  <c r="M1977" i="23"/>
  <c r="M1978" i="23"/>
  <c r="M1979" i="23"/>
  <c r="M1980" i="23"/>
  <c r="M1981" i="23"/>
  <c r="M1982" i="23"/>
  <c r="M1983" i="23"/>
  <c r="M1984" i="23"/>
  <c r="M1985" i="23"/>
  <c r="M1986" i="23"/>
  <c r="M1987" i="23"/>
  <c r="M1988" i="23"/>
  <c r="M1989" i="23"/>
  <c r="M1990" i="23"/>
  <c r="M1991" i="23"/>
  <c r="M1992" i="23"/>
  <c r="M1993" i="23"/>
  <c r="M1994" i="23"/>
  <c r="M1995" i="23"/>
  <c r="M1996" i="23"/>
  <c r="M1997" i="23"/>
  <c r="M1998" i="23"/>
  <c r="M1999" i="23"/>
  <c r="M2000" i="23"/>
  <c r="M2001" i="23"/>
  <c r="M2002" i="23"/>
  <c r="M2003" i="23"/>
  <c r="M2004" i="23"/>
  <c r="M2005" i="23"/>
  <c r="M2006" i="23"/>
  <c r="M2007" i="23"/>
  <c r="M2008" i="23"/>
  <c r="M2009" i="23"/>
  <c r="M2010" i="23"/>
  <c r="M2011" i="23"/>
  <c r="M2012" i="23"/>
  <c r="M2013" i="23"/>
  <c r="M2014" i="23"/>
  <c r="M2015" i="23"/>
  <c r="M2016" i="23"/>
  <c r="M2017" i="23"/>
  <c r="M2018" i="23"/>
  <c r="M2019" i="23"/>
  <c r="M2020" i="23"/>
  <c r="M2021" i="23"/>
  <c r="M2022" i="23"/>
  <c r="M2023" i="23"/>
  <c r="M2024" i="23"/>
  <c r="M2025" i="23"/>
  <c r="M2026" i="23"/>
  <c r="M2027" i="23"/>
  <c r="M2028" i="23"/>
  <c r="M2029" i="23"/>
  <c r="M2030" i="23"/>
  <c r="M2031" i="23"/>
  <c r="M2032" i="23"/>
  <c r="M2033" i="23"/>
  <c r="M2034" i="23"/>
  <c r="M2035" i="23"/>
  <c r="M2036" i="23"/>
  <c r="M2037" i="23"/>
  <c r="M2038" i="23"/>
  <c r="M2039" i="23"/>
  <c r="M2040" i="23"/>
  <c r="M2041" i="23"/>
  <c r="M2042" i="23"/>
  <c r="M2043" i="23"/>
  <c r="M2044" i="23"/>
  <c r="M2045" i="23"/>
  <c r="M2046" i="23"/>
  <c r="M2047" i="23"/>
  <c r="M2048" i="23"/>
  <c r="M2049" i="23"/>
  <c r="M2050" i="23"/>
  <c r="M2051" i="23"/>
  <c r="M2052" i="23"/>
  <c r="M2053" i="23"/>
  <c r="M2054" i="23"/>
  <c r="M2055" i="23"/>
  <c r="M2056" i="23"/>
  <c r="M2057" i="23"/>
  <c r="M2058" i="23"/>
  <c r="M2059" i="23"/>
  <c r="M2060" i="23"/>
  <c r="M2061" i="23"/>
  <c r="M2062" i="23"/>
  <c r="M2063" i="23"/>
  <c r="M2064" i="23"/>
  <c r="M2065" i="23"/>
  <c r="M2066" i="23"/>
  <c r="M2067" i="23"/>
  <c r="M2068" i="23"/>
  <c r="M2069" i="23"/>
  <c r="M2070" i="23"/>
  <c r="M2071" i="23"/>
  <c r="M2072" i="23"/>
  <c r="M2073" i="23"/>
  <c r="M2074" i="23"/>
  <c r="M2075" i="23"/>
  <c r="M2076" i="23"/>
  <c r="M2077" i="23"/>
  <c r="M2078" i="23"/>
  <c r="M2079" i="23"/>
  <c r="M2080" i="23"/>
  <c r="M2081" i="23"/>
  <c r="M2082" i="23"/>
  <c r="M2083" i="23"/>
  <c r="M2084" i="23"/>
  <c r="M2085" i="23"/>
  <c r="M2086" i="23"/>
  <c r="M2087" i="23"/>
  <c r="M2088" i="23"/>
  <c r="M2089" i="23"/>
  <c r="M2090" i="23"/>
  <c r="M2091" i="23"/>
  <c r="M2092" i="23"/>
  <c r="M2093" i="23"/>
  <c r="M2094" i="23"/>
  <c r="M2095" i="23"/>
  <c r="M2096" i="23"/>
  <c r="M2097" i="23"/>
  <c r="M2098" i="23"/>
  <c r="M2099" i="23"/>
  <c r="M2100" i="23"/>
  <c r="M2101" i="23"/>
  <c r="M2102" i="23"/>
  <c r="M2103" i="23"/>
  <c r="M2104" i="23"/>
  <c r="M2105" i="23"/>
  <c r="M2106" i="23"/>
  <c r="M2107" i="23"/>
  <c r="M2108" i="23"/>
  <c r="M2109" i="23"/>
  <c r="M2110" i="23"/>
  <c r="M2111" i="23"/>
  <c r="M2112" i="23"/>
  <c r="M2113" i="23"/>
  <c r="M2114" i="23"/>
  <c r="M2115" i="23"/>
  <c r="M2116" i="23"/>
  <c r="M2117" i="23"/>
  <c r="M2118" i="23"/>
  <c r="M2119" i="23"/>
  <c r="M2120" i="23"/>
  <c r="M2121" i="23"/>
  <c r="M2122" i="23"/>
  <c r="M2123" i="23"/>
  <c r="M2124" i="23"/>
  <c r="M2125" i="23"/>
  <c r="M2126" i="23"/>
  <c r="M2127" i="23"/>
  <c r="M2128" i="23"/>
  <c r="M2129" i="23"/>
  <c r="M2130" i="23"/>
  <c r="M2131" i="23"/>
  <c r="M2132" i="23"/>
  <c r="M2133" i="23"/>
  <c r="M2134" i="23"/>
  <c r="M2135" i="23"/>
  <c r="M2136" i="23"/>
  <c r="M2137" i="23"/>
  <c r="M2138" i="23"/>
  <c r="M2139" i="23"/>
  <c r="M2140" i="23"/>
  <c r="M2141" i="23"/>
  <c r="M2142" i="23"/>
  <c r="M2143" i="23"/>
  <c r="M2144" i="23"/>
  <c r="M2145" i="23"/>
  <c r="M2146" i="23"/>
  <c r="M2147" i="23"/>
  <c r="M2148" i="23"/>
  <c r="M2149" i="23"/>
  <c r="M2150" i="23"/>
  <c r="M2151" i="23"/>
  <c r="M2152" i="23"/>
  <c r="M2153" i="23"/>
  <c r="M2154" i="23"/>
  <c r="M2155" i="23"/>
  <c r="M2156" i="23"/>
  <c r="M2157" i="23"/>
  <c r="M2158" i="23"/>
  <c r="M2159" i="23"/>
  <c r="M2160" i="23"/>
  <c r="M2161" i="23"/>
  <c r="M2162" i="23"/>
  <c r="M2163" i="23"/>
  <c r="M2164" i="23"/>
  <c r="M2165" i="23"/>
  <c r="M2166" i="23"/>
  <c r="M2167" i="23"/>
  <c r="M2168" i="23"/>
  <c r="M2169" i="23"/>
  <c r="M2170" i="23"/>
  <c r="M2171" i="23"/>
  <c r="M2172" i="23"/>
  <c r="M2173" i="23"/>
  <c r="M2174" i="23"/>
  <c r="M2175" i="23"/>
  <c r="M2176" i="23"/>
  <c r="M2177" i="23"/>
  <c r="M2178" i="23"/>
  <c r="M2179" i="23"/>
  <c r="M2180" i="23"/>
  <c r="M2181" i="23"/>
  <c r="M2182" i="23"/>
  <c r="M2183" i="23"/>
  <c r="M2184" i="23"/>
  <c r="M2185" i="23"/>
  <c r="M2186" i="23"/>
  <c r="M2187" i="23"/>
  <c r="M2188" i="23"/>
  <c r="M2189" i="23"/>
  <c r="M2190" i="23"/>
  <c r="M2191" i="23"/>
  <c r="M2192" i="23"/>
  <c r="M2193" i="23"/>
  <c r="M2194" i="23"/>
  <c r="M2195" i="23"/>
  <c r="M2196" i="23"/>
  <c r="M2197" i="23"/>
  <c r="M2198" i="23"/>
  <c r="M2199" i="23"/>
  <c r="M2200" i="23"/>
  <c r="M2201" i="23"/>
  <c r="M2202" i="23"/>
  <c r="M2203" i="23"/>
  <c r="M2204" i="23"/>
  <c r="M2205" i="23"/>
  <c r="M2206" i="23"/>
  <c r="M2207" i="23"/>
  <c r="M2208" i="23"/>
  <c r="M2209" i="23"/>
  <c r="M2210" i="23"/>
  <c r="M2211" i="23"/>
  <c r="M2212" i="23"/>
  <c r="M2213" i="23"/>
  <c r="M2214" i="23"/>
  <c r="M2215" i="23"/>
  <c r="M2216" i="23"/>
  <c r="M2217" i="23"/>
  <c r="M2218" i="23"/>
  <c r="M2219" i="23"/>
  <c r="M2220" i="23"/>
  <c r="M2221" i="23"/>
  <c r="M2222" i="23"/>
  <c r="M2223" i="23"/>
  <c r="M2224" i="23"/>
  <c r="M2225" i="23"/>
  <c r="M2226" i="23"/>
  <c r="M2227" i="23"/>
  <c r="M2228" i="23"/>
  <c r="M2229" i="23"/>
  <c r="M2230" i="23"/>
  <c r="M2231" i="23"/>
  <c r="M2232" i="23"/>
  <c r="M2233" i="23"/>
  <c r="M2234" i="23"/>
  <c r="M2235" i="23"/>
  <c r="M2236" i="23"/>
  <c r="M2237" i="23"/>
  <c r="M2238" i="23"/>
  <c r="M2239" i="23"/>
  <c r="M2240" i="23"/>
  <c r="M2241" i="23"/>
  <c r="M2242" i="23"/>
  <c r="M2243" i="23"/>
  <c r="M2244" i="23"/>
  <c r="M2245" i="23"/>
  <c r="M2246" i="23"/>
  <c r="M2247" i="23"/>
  <c r="M2248" i="23"/>
  <c r="M2249" i="23"/>
  <c r="M2250" i="23"/>
  <c r="M2251" i="23"/>
  <c r="M2252" i="23"/>
  <c r="M2253" i="23"/>
  <c r="M2254" i="23"/>
  <c r="M2255" i="23"/>
  <c r="M2256" i="23"/>
  <c r="M2257" i="23"/>
  <c r="M2258" i="23"/>
  <c r="M2259" i="23"/>
  <c r="M2260" i="23"/>
  <c r="M2261" i="23"/>
  <c r="M2262" i="23"/>
  <c r="M2263" i="23"/>
  <c r="M2264" i="23"/>
  <c r="M2265" i="23"/>
  <c r="M2266" i="23"/>
  <c r="M2267" i="23"/>
  <c r="M2268" i="23"/>
  <c r="M2269" i="23"/>
  <c r="M2270" i="23"/>
  <c r="M2271" i="23"/>
  <c r="M2272" i="23"/>
  <c r="M2273" i="23"/>
  <c r="M2274" i="23"/>
  <c r="M2275" i="23"/>
  <c r="M2276" i="23"/>
  <c r="M2277" i="23"/>
  <c r="M2278" i="23"/>
  <c r="M2279" i="23"/>
  <c r="M2280" i="23"/>
  <c r="M2281" i="23"/>
  <c r="M2282" i="23"/>
  <c r="M2283" i="23"/>
  <c r="M2284" i="23"/>
  <c r="M2285" i="23"/>
  <c r="M2286" i="23"/>
  <c r="M2287" i="23"/>
  <c r="M2288" i="23"/>
  <c r="M2289" i="23"/>
  <c r="M2290" i="23"/>
  <c r="M2291" i="23"/>
  <c r="M2292" i="23"/>
  <c r="M2293" i="23"/>
  <c r="M2294" i="23"/>
  <c r="M2295" i="23"/>
  <c r="M2296" i="23"/>
  <c r="M2297" i="23"/>
  <c r="M2298" i="23"/>
  <c r="M2299" i="23"/>
  <c r="M2300" i="23"/>
  <c r="M2301" i="23"/>
  <c r="M2302" i="23"/>
  <c r="M2303" i="23"/>
  <c r="M2304" i="23"/>
  <c r="M2305" i="23"/>
  <c r="M2306" i="23"/>
  <c r="M2307" i="23"/>
  <c r="M2308" i="23"/>
  <c r="M2309" i="23"/>
  <c r="M2310" i="23"/>
  <c r="M2311" i="23"/>
  <c r="M2312" i="23"/>
  <c r="M2313" i="23"/>
  <c r="M2314" i="23"/>
  <c r="M2315" i="23"/>
  <c r="M2316" i="23"/>
  <c r="M2317" i="23"/>
  <c r="M2318" i="23"/>
  <c r="M2319" i="23"/>
  <c r="M2320" i="23"/>
  <c r="M2321" i="23"/>
  <c r="M2322" i="23"/>
  <c r="M2323" i="23"/>
  <c r="M2324" i="23"/>
  <c r="M2325" i="23"/>
  <c r="M2326" i="23"/>
  <c r="M2327" i="23"/>
  <c r="M2328" i="23"/>
  <c r="M2329" i="23"/>
  <c r="M2330" i="23"/>
  <c r="M2331" i="23"/>
  <c r="M2332" i="23"/>
  <c r="M2333" i="23"/>
  <c r="M2334" i="23"/>
  <c r="M2335" i="23"/>
  <c r="M2336" i="23"/>
  <c r="M2337" i="23"/>
  <c r="M2338" i="23"/>
  <c r="M2339" i="23"/>
  <c r="M2340" i="23"/>
  <c r="M2341" i="23"/>
  <c r="M2342" i="23"/>
  <c r="M2343" i="23"/>
  <c r="M2344" i="23"/>
  <c r="M2345" i="23"/>
  <c r="M2346" i="23"/>
  <c r="M2347" i="23"/>
  <c r="M2348" i="23"/>
  <c r="M2349" i="23"/>
  <c r="M2350" i="23"/>
  <c r="M2351" i="23"/>
  <c r="M2352" i="23"/>
  <c r="M2353" i="23"/>
  <c r="M2354" i="23"/>
  <c r="M2355" i="23"/>
  <c r="M2356" i="23"/>
  <c r="M2357" i="23"/>
  <c r="M2358" i="23"/>
  <c r="M2359" i="23"/>
  <c r="M2360" i="23"/>
  <c r="M2361" i="23"/>
  <c r="M2362" i="23"/>
  <c r="M2363" i="23"/>
  <c r="M2364" i="23"/>
  <c r="M2365" i="23"/>
  <c r="M2366" i="23"/>
  <c r="M2367" i="23"/>
  <c r="M2368" i="23"/>
  <c r="M2369" i="23"/>
  <c r="M2370" i="23"/>
  <c r="M2371" i="23"/>
  <c r="M2372" i="23"/>
  <c r="M2373" i="23"/>
  <c r="M2374" i="23"/>
  <c r="M2375" i="23"/>
  <c r="M2376" i="23"/>
  <c r="M2377" i="23"/>
  <c r="M2378" i="23"/>
  <c r="M2379" i="23"/>
  <c r="M2380" i="23"/>
  <c r="M2381" i="23"/>
  <c r="M2382" i="23"/>
  <c r="M2383" i="23"/>
  <c r="M2384" i="23"/>
  <c r="M2385" i="23"/>
  <c r="M2386" i="23"/>
  <c r="M2387" i="23"/>
  <c r="M2388" i="23"/>
  <c r="M2389" i="23"/>
  <c r="M2390" i="23"/>
  <c r="M2391" i="23"/>
  <c r="M2392" i="23"/>
  <c r="M2393" i="23"/>
  <c r="M2394" i="23"/>
  <c r="M2395" i="23"/>
  <c r="M2396" i="23"/>
  <c r="M2397" i="23"/>
  <c r="M2398" i="23"/>
  <c r="M2399" i="23"/>
  <c r="M2400" i="23"/>
  <c r="M2401" i="23"/>
  <c r="M2402" i="23"/>
  <c r="M2403" i="23"/>
  <c r="M2404" i="23"/>
  <c r="M2405" i="23"/>
  <c r="M2406" i="23"/>
  <c r="M2407" i="23"/>
  <c r="M2408" i="23"/>
  <c r="M2409" i="23"/>
  <c r="M2410" i="23"/>
  <c r="M2411" i="23"/>
  <c r="M2412" i="23"/>
  <c r="M2413" i="23"/>
  <c r="M2414" i="23"/>
  <c r="M2415" i="23"/>
  <c r="M2416" i="23"/>
  <c r="M2417" i="23"/>
  <c r="M2418" i="23"/>
  <c r="M2419" i="23"/>
  <c r="M2420" i="23"/>
  <c r="M2421" i="23"/>
  <c r="M2422" i="23"/>
  <c r="M2423" i="23"/>
  <c r="M2424" i="23"/>
  <c r="M2425" i="23"/>
  <c r="M2426" i="23"/>
  <c r="M2427" i="23"/>
  <c r="M2428" i="23"/>
  <c r="M2429" i="23"/>
  <c r="M2430" i="23"/>
  <c r="M2431" i="23"/>
  <c r="M2432" i="23"/>
  <c r="M2433" i="23"/>
  <c r="M2434" i="23"/>
  <c r="M2435" i="23"/>
  <c r="M2436" i="23"/>
  <c r="M2437" i="23"/>
  <c r="M2438" i="23"/>
  <c r="M2439" i="23"/>
  <c r="M2440" i="23"/>
  <c r="M2441" i="23"/>
  <c r="M2442" i="23"/>
  <c r="M2443" i="23"/>
  <c r="M2444" i="23"/>
  <c r="M2445" i="23"/>
  <c r="M2446" i="23"/>
  <c r="M2447" i="23"/>
  <c r="M2448" i="23"/>
  <c r="M2449" i="23"/>
  <c r="M2450" i="23"/>
  <c r="M2451" i="23"/>
  <c r="M2452" i="23"/>
  <c r="M2453" i="23"/>
  <c r="M2454" i="23"/>
  <c r="M2455" i="23"/>
  <c r="M2456" i="23"/>
  <c r="M2457" i="23"/>
  <c r="M2458" i="23"/>
  <c r="M2459" i="23"/>
  <c r="M2460" i="23"/>
  <c r="M2461" i="23"/>
  <c r="M2462" i="23"/>
  <c r="M2463" i="23"/>
  <c r="M2464" i="23"/>
  <c r="M2465" i="23"/>
  <c r="M2466" i="23"/>
  <c r="M2467" i="23"/>
  <c r="M2468" i="23"/>
  <c r="M2469" i="23"/>
  <c r="M2470" i="23"/>
  <c r="M2471" i="23"/>
  <c r="M2472" i="23"/>
  <c r="M2473" i="23"/>
  <c r="M2474" i="23"/>
  <c r="M2475" i="23"/>
  <c r="M2476" i="23"/>
  <c r="M2477" i="23"/>
  <c r="M2478" i="23"/>
  <c r="M2479" i="23"/>
  <c r="M2480" i="23"/>
  <c r="M2481" i="23"/>
  <c r="M2482" i="23"/>
  <c r="M2483" i="23"/>
  <c r="M2484" i="23"/>
  <c r="M2485" i="23"/>
  <c r="M2486" i="23"/>
  <c r="M2487" i="23"/>
  <c r="M2488" i="23"/>
  <c r="M2489" i="23"/>
  <c r="M2490" i="23"/>
  <c r="M2491" i="23"/>
  <c r="M2492" i="23"/>
  <c r="M2493" i="23"/>
  <c r="M2494" i="23"/>
  <c r="M2495" i="23"/>
  <c r="M2496" i="23"/>
  <c r="M2497" i="23"/>
  <c r="M2498" i="23"/>
  <c r="M2499" i="23"/>
  <c r="M2500" i="23"/>
  <c r="M2501" i="23"/>
  <c r="M2502" i="23"/>
  <c r="M2503" i="23"/>
  <c r="M2504" i="23"/>
  <c r="M2505" i="23"/>
  <c r="M2506" i="23"/>
  <c r="M2507" i="23"/>
  <c r="M2508" i="23"/>
  <c r="M2509" i="23"/>
  <c r="M2510" i="23"/>
  <c r="M2511" i="23"/>
  <c r="M2512" i="23"/>
  <c r="M2513" i="23"/>
  <c r="M2514" i="23"/>
  <c r="M2515" i="23"/>
  <c r="M2516" i="23"/>
  <c r="M2517" i="23"/>
  <c r="M2518" i="23"/>
  <c r="M2519" i="23"/>
  <c r="M2520" i="23"/>
  <c r="M2521" i="23"/>
  <c r="M2522" i="23"/>
  <c r="M2523" i="23"/>
  <c r="M2524" i="23"/>
  <c r="M2525" i="23"/>
  <c r="M2526" i="23"/>
  <c r="M2527" i="23"/>
  <c r="M2528" i="23"/>
  <c r="M2529" i="23"/>
  <c r="M2530" i="23"/>
  <c r="M2531" i="23"/>
  <c r="M2532" i="23"/>
  <c r="M2533" i="23"/>
  <c r="M2534" i="23"/>
  <c r="M2535" i="23"/>
  <c r="M2536" i="23"/>
  <c r="M2537" i="23"/>
  <c r="M2538" i="23"/>
  <c r="M2539" i="23"/>
  <c r="M2540" i="23"/>
  <c r="M2541" i="23"/>
  <c r="M2542" i="23"/>
  <c r="M2543" i="23"/>
  <c r="M2544" i="23"/>
  <c r="M2545" i="23"/>
  <c r="M2546" i="23"/>
  <c r="M2547" i="23"/>
  <c r="M2548" i="23"/>
  <c r="M2549" i="23"/>
  <c r="M2550" i="23"/>
  <c r="M2551" i="23"/>
  <c r="M2552" i="23"/>
  <c r="M2553" i="23"/>
  <c r="M2554" i="23"/>
  <c r="M2555" i="23"/>
  <c r="M2556" i="23"/>
  <c r="M2557" i="23"/>
  <c r="M2558" i="23"/>
  <c r="M2559" i="23"/>
  <c r="M2560" i="23"/>
  <c r="M2561" i="23"/>
  <c r="M2562" i="23"/>
  <c r="M2563" i="23"/>
  <c r="M2564" i="23"/>
  <c r="M2565" i="23"/>
  <c r="M2566" i="23"/>
  <c r="M2567" i="23"/>
  <c r="M2568" i="23"/>
  <c r="M2569" i="23"/>
  <c r="M2570" i="23"/>
  <c r="M2571" i="23"/>
  <c r="M2572" i="23"/>
  <c r="M2573" i="23"/>
  <c r="M2574" i="23"/>
  <c r="M2575" i="23"/>
  <c r="M2576" i="23"/>
  <c r="M2577" i="23"/>
  <c r="M2578" i="23"/>
  <c r="M2579" i="23"/>
  <c r="M2580" i="23"/>
  <c r="M2581" i="23"/>
  <c r="M2582" i="23"/>
  <c r="M2583" i="23"/>
  <c r="M2584" i="23"/>
  <c r="M2585" i="23"/>
  <c r="M2586" i="23"/>
  <c r="M2587" i="23"/>
  <c r="M2588" i="23"/>
  <c r="M2589" i="23"/>
  <c r="M2590" i="23"/>
  <c r="M2591" i="23"/>
  <c r="M2592" i="23"/>
  <c r="M2593" i="23"/>
  <c r="M2594" i="23"/>
  <c r="M2595" i="23"/>
  <c r="M2596" i="23"/>
  <c r="M2597" i="23"/>
  <c r="M2598" i="23"/>
  <c r="M2599" i="23"/>
  <c r="M2600" i="23"/>
  <c r="M2601" i="23"/>
  <c r="M2602" i="23"/>
  <c r="M2603" i="23"/>
  <c r="M2604" i="23"/>
  <c r="M2605" i="23"/>
  <c r="M2606" i="23"/>
  <c r="M2607" i="23"/>
  <c r="M2608" i="23"/>
  <c r="M2609" i="23"/>
  <c r="M2610" i="23"/>
  <c r="M2611" i="23"/>
  <c r="M2612" i="23"/>
  <c r="M2613" i="23"/>
  <c r="M2614" i="23"/>
  <c r="M2615" i="23"/>
  <c r="M2616" i="23"/>
  <c r="M2617" i="23"/>
  <c r="M2618" i="23"/>
  <c r="M2619" i="23"/>
  <c r="M2620" i="23"/>
  <c r="M2621" i="23"/>
  <c r="M2622" i="23"/>
  <c r="M2623" i="23"/>
  <c r="M2624" i="23"/>
  <c r="M2625" i="23"/>
  <c r="M2626" i="23"/>
  <c r="M2627" i="23"/>
  <c r="M2628" i="23"/>
  <c r="M2629" i="23"/>
  <c r="M2630" i="23"/>
  <c r="M2631" i="23"/>
  <c r="M2632" i="23"/>
  <c r="M2633" i="23"/>
  <c r="M2634" i="23"/>
  <c r="M2635" i="23"/>
  <c r="M2636" i="23"/>
  <c r="M2637" i="23"/>
  <c r="M2638" i="23"/>
  <c r="M2639" i="23"/>
  <c r="M2640" i="23"/>
  <c r="M2641" i="23"/>
  <c r="M2642" i="23"/>
  <c r="M2643" i="23"/>
  <c r="M2644" i="23"/>
  <c r="M2645" i="23"/>
  <c r="M2646" i="23"/>
  <c r="M2647" i="23"/>
  <c r="M2648" i="23"/>
  <c r="M2649" i="23"/>
  <c r="M2650" i="23"/>
  <c r="M2651" i="23"/>
  <c r="M2652" i="23"/>
  <c r="M2653" i="23"/>
  <c r="M2654" i="23"/>
  <c r="M2655" i="23"/>
  <c r="M2656" i="23"/>
  <c r="M2657" i="23"/>
  <c r="M2658" i="23"/>
  <c r="M2659" i="23"/>
  <c r="M2660" i="23"/>
  <c r="M2661" i="23"/>
  <c r="M2662" i="23"/>
  <c r="M2663" i="23"/>
  <c r="M2664" i="23"/>
  <c r="M2665" i="23"/>
  <c r="M2666" i="23"/>
  <c r="M2667" i="23"/>
  <c r="M2668" i="23"/>
  <c r="M2669" i="23"/>
  <c r="M2670" i="23"/>
  <c r="M2671" i="23"/>
  <c r="M2672" i="23"/>
  <c r="M2673" i="23"/>
  <c r="M2674" i="23"/>
  <c r="M2675" i="23"/>
  <c r="M2676" i="23"/>
  <c r="M2677" i="23"/>
  <c r="M2678" i="23"/>
  <c r="M2679" i="23"/>
  <c r="M2680" i="23"/>
  <c r="M2681" i="23"/>
  <c r="M2682" i="23"/>
  <c r="M2683" i="23"/>
  <c r="M2684" i="23"/>
  <c r="M2685" i="23"/>
  <c r="M2686" i="23"/>
  <c r="M2687" i="23"/>
  <c r="M2688" i="23"/>
  <c r="M2689" i="23"/>
  <c r="M2690" i="23"/>
  <c r="M2691" i="23"/>
  <c r="M2692" i="23"/>
  <c r="M2693" i="23"/>
  <c r="M2694" i="23"/>
  <c r="M2695" i="23"/>
  <c r="M2696" i="23"/>
  <c r="M2697" i="23"/>
  <c r="M2698" i="23"/>
  <c r="M2699" i="23"/>
  <c r="M2700" i="23"/>
  <c r="M2701" i="23"/>
  <c r="M2702" i="23"/>
  <c r="M2703" i="23"/>
  <c r="M2704" i="23"/>
  <c r="M2705" i="23"/>
  <c r="M2706" i="23"/>
  <c r="M2707" i="23"/>
  <c r="M2708" i="23"/>
  <c r="M2709" i="23"/>
  <c r="M2710" i="23"/>
  <c r="M2711" i="23"/>
  <c r="M2712" i="23"/>
  <c r="M2713" i="23"/>
  <c r="M2714" i="23"/>
  <c r="M2715" i="23"/>
  <c r="M2716" i="23"/>
  <c r="M2717" i="23"/>
  <c r="M2718" i="23"/>
  <c r="M2719" i="23"/>
  <c r="M2720" i="23"/>
  <c r="M2721" i="23"/>
  <c r="M2722" i="23"/>
  <c r="M2723" i="23"/>
  <c r="M2724" i="23"/>
  <c r="M2725" i="23"/>
  <c r="M2726" i="23"/>
  <c r="M2727" i="23"/>
  <c r="M2728" i="23"/>
  <c r="M2729" i="23"/>
  <c r="M2730" i="23"/>
  <c r="M2731" i="23"/>
  <c r="M2732" i="23"/>
  <c r="M2733" i="23"/>
  <c r="M2734" i="23"/>
  <c r="M2735" i="23"/>
  <c r="M2736" i="23"/>
  <c r="M2737" i="23"/>
  <c r="M2738" i="23"/>
  <c r="M2739" i="23"/>
  <c r="M2740" i="23"/>
  <c r="M2741" i="23"/>
  <c r="M2742" i="23"/>
  <c r="M2743" i="23"/>
  <c r="M2744" i="23"/>
  <c r="M2745" i="23"/>
  <c r="M2746" i="23"/>
  <c r="M2747" i="23"/>
  <c r="M2748" i="23"/>
  <c r="M2749" i="23"/>
  <c r="M2750" i="23"/>
  <c r="M2751" i="23"/>
  <c r="M2752" i="23"/>
  <c r="M2753" i="23"/>
  <c r="M2754" i="23"/>
  <c r="M2755" i="23"/>
  <c r="M2756" i="23"/>
  <c r="M2757" i="23"/>
  <c r="M2758" i="23"/>
  <c r="M2759" i="23"/>
  <c r="M2760" i="23"/>
  <c r="M2761" i="23"/>
  <c r="M2762" i="23"/>
  <c r="M2763" i="23"/>
  <c r="M2764" i="23"/>
  <c r="M2765" i="23"/>
  <c r="M2766" i="23"/>
  <c r="M2767" i="23"/>
  <c r="M2768" i="23"/>
  <c r="M2769" i="23"/>
  <c r="M2770" i="23"/>
  <c r="M2771" i="23"/>
  <c r="M2772" i="23"/>
  <c r="M2773" i="23"/>
  <c r="M2774" i="23"/>
  <c r="M2775" i="23"/>
  <c r="M2776" i="23"/>
  <c r="M2777" i="23"/>
  <c r="M2778" i="23"/>
  <c r="M2779" i="23"/>
  <c r="M2780" i="23"/>
  <c r="M2781" i="23"/>
  <c r="M2782" i="23"/>
  <c r="M2783" i="23"/>
  <c r="M2784" i="23"/>
  <c r="M2785" i="23"/>
  <c r="M2786" i="23"/>
  <c r="M2787" i="23"/>
  <c r="M2788" i="23"/>
  <c r="M2789" i="23"/>
  <c r="M2790" i="23"/>
  <c r="M2791" i="23"/>
  <c r="M2792" i="23"/>
  <c r="M2793" i="23"/>
  <c r="M2794" i="23"/>
  <c r="M2795" i="23"/>
  <c r="M2796" i="23"/>
  <c r="M2797" i="23"/>
  <c r="M2798" i="23"/>
  <c r="M2799" i="23"/>
  <c r="M2800" i="23"/>
  <c r="M2801" i="23"/>
  <c r="M2802" i="23"/>
  <c r="M2803" i="23"/>
  <c r="M2804" i="23"/>
  <c r="M2805" i="23"/>
  <c r="M2806" i="23"/>
  <c r="M2807" i="23"/>
  <c r="M2808" i="23"/>
  <c r="M2809" i="23"/>
  <c r="M2810" i="23"/>
  <c r="M2811" i="23"/>
  <c r="M2812" i="23"/>
  <c r="M2813" i="23"/>
  <c r="M2814" i="23"/>
  <c r="M2815" i="23"/>
  <c r="M2816" i="23"/>
  <c r="M2817" i="23"/>
  <c r="M2818" i="23"/>
  <c r="M2819" i="23"/>
  <c r="M2820" i="23"/>
  <c r="M2821" i="23"/>
  <c r="M2822" i="23"/>
  <c r="M2823" i="23"/>
  <c r="M2824" i="23"/>
  <c r="M2825" i="23"/>
  <c r="M2826" i="23"/>
  <c r="M2827" i="23"/>
  <c r="M2828" i="23"/>
  <c r="M2829" i="23"/>
  <c r="M2830" i="23"/>
  <c r="M2831" i="23"/>
  <c r="M2832" i="23"/>
  <c r="M2833" i="23"/>
  <c r="M2834" i="23"/>
  <c r="M2835" i="23"/>
  <c r="M2836" i="23"/>
  <c r="M2837" i="23"/>
  <c r="M2838" i="23"/>
  <c r="M2839" i="23"/>
  <c r="M2840" i="23"/>
  <c r="M2841" i="23"/>
  <c r="M2842" i="23"/>
  <c r="M2843" i="23"/>
  <c r="M2844" i="23"/>
  <c r="M2845" i="23"/>
  <c r="M2846" i="23"/>
  <c r="M2847" i="23"/>
  <c r="M2848" i="23"/>
  <c r="M2849" i="23"/>
  <c r="M2850" i="23"/>
  <c r="M2851" i="23"/>
  <c r="M2852" i="23"/>
  <c r="M2853" i="23"/>
  <c r="M2854" i="23"/>
  <c r="M2855" i="23"/>
  <c r="M2856" i="23"/>
  <c r="M2857" i="23"/>
  <c r="M2858" i="23"/>
  <c r="M2859" i="23"/>
  <c r="M2860" i="23"/>
  <c r="M2861" i="23"/>
  <c r="M2862" i="23"/>
  <c r="M2863" i="23"/>
  <c r="M2864" i="23"/>
  <c r="M2865" i="23"/>
  <c r="M2866" i="23"/>
  <c r="M2867" i="23"/>
  <c r="M2868" i="23"/>
  <c r="M2869" i="23"/>
  <c r="M2870" i="23"/>
  <c r="M2871" i="23"/>
  <c r="M2872" i="23"/>
  <c r="M2873" i="23"/>
  <c r="M2874" i="23"/>
  <c r="M2875" i="23"/>
  <c r="M2876" i="23"/>
  <c r="M2877" i="23"/>
  <c r="M2878" i="23"/>
  <c r="M2879" i="23"/>
  <c r="M2880" i="23"/>
  <c r="M2881" i="23"/>
  <c r="M2882" i="23"/>
  <c r="M2883" i="23"/>
  <c r="M2884" i="23"/>
  <c r="M2885" i="23"/>
  <c r="M2886" i="23"/>
  <c r="M2887" i="23"/>
  <c r="M2888" i="23"/>
  <c r="M2889" i="23"/>
  <c r="M2890" i="23"/>
  <c r="M2891" i="23"/>
  <c r="M2892" i="23"/>
  <c r="M2893" i="23"/>
  <c r="M2894" i="23"/>
  <c r="M2895" i="23"/>
  <c r="M2896" i="23"/>
  <c r="M2897" i="23"/>
  <c r="M2898" i="23"/>
  <c r="M2899" i="23"/>
  <c r="M2900" i="23"/>
  <c r="M2901" i="23"/>
  <c r="M2902" i="23"/>
  <c r="M2903" i="23"/>
  <c r="M2904" i="23"/>
  <c r="M2905" i="23"/>
  <c r="M2906" i="23"/>
  <c r="M2907" i="23"/>
  <c r="M2908" i="23"/>
  <c r="M2909" i="23"/>
  <c r="M2910" i="23"/>
  <c r="M2911" i="23"/>
  <c r="M2912" i="23"/>
  <c r="M2913" i="23"/>
  <c r="M2914" i="23"/>
  <c r="M2915" i="23"/>
  <c r="M2916" i="23"/>
  <c r="M2917" i="23"/>
  <c r="M2918" i="23"/>
  <c r="M2919" i="23"/>
  <c r="M2920" i="23"/>
  <c r="M2921" i="23"/>
  <c r="M2922" i="23"/>
  <c r="M2923" i="23"/>
  <c r="M2924" i="23"/>
  <c r="M2925" i="23"/>
  <c r="M2926" i="23"/>
  <c r="M2927" i="23"/>
  <c r="M2928" i="23"/>
  <c r="M2929" i="23"/>
  <c r="M2930" i="23"/>
  <c r="M2931" i="23"/>
  <c r="M2932" i="23"/>
  <c r="M2933" i="23"/>
  <c r="M2934" i="23"/>
  <c r="M2935" i="23"/>
  <c r="M2936" i="23"/>
  <c r="M2937" i="23"/>
  <c r="M2938" i="23"/>
  <c r="M2939" i="23"/>
  <c r="M2940" i="23"/>
  <c r="M2941" i="23"/>
  <c r="M2942" i="23"/>
  <c r="M2943" i="23"/>
  <c r="M2944" i="23"/>
  <c r="M2945" i="23"/>
  <c r="M2946" i="23"/>
  <c r="M2947" i="23"/>
  <c r="M2948" i="23"/>
  <c r="M2949" i="23"/>
  <c r="M2950" i="23"/>
  <c r="M2951" i="23"/>
  <c r="M2952" i="23"/>
  <c r="M2953" i="23"/>
  <c r="M2954" i="23"/>
  <c r="M2955" i="23"/>
  <c r="M2956" i="23"/>
  <c r="M2957" i="23"/>
  <c r="M2958" i="23"/>
  <c r="M2959" i="23"/>
  <c r="M2960" i="23"/>
  <c r="M2961" i="23"/>
  <c r="M2962" i="23"/>
  <c r="M2963" i="23"/>
  <c r="M2964" i="23"/>
  <c r="M2965" i="23"/>
  <c r="M2966" i="23"/>
  <c r="M2967" i="23"/>
  <c r="M2968" i="23"/>
  <c r="M2969" i="23"/>
  <c r="M2970" i="23"/>
  <c r="M2971" i="23"/>
  <c r="M2972" i="23"/>
  <c r="M2973" i="23"/>
  <c r="M2974" i="23"/>
  <c r="M2975" i="23"/>
  <c r="M2976" i="23"/>
  <c r="M2977" i="23"/>
  <c r="M2978" i="23"/>
  <c r="M2979" i="23"/>
  <c r="M2980" i="23"/>
  <c r="M2981" i="23"/>
  <c r="M2982" i="23"/>
  <c r="M2983" i="23"/>
  <c r="M2984" i="23"/>
  <c r="M2985" i="23"/>
  <c r="M2986" i="23"/>
  <c r="M2987" i="23"/>
  <c r="M2988" i="23"/>
  <c r="M2989" i="23"/>
  <c r="M2990" i="23"/>
  <c r="M2991" i="23"/>
  <c r="M2992" i="23"/>
  <c r="M2993" i="23"/>
  <c r="M2994" i="23"/>
  <c r="M2995" i="23"/>
  <c r="M2996" i="23"/>
  <c r="M2997" i="23"/>
  <c r="M2998" i="23"/>
  <c r="M2999" i="23"/>
  <c r="M3000" i="23"/>
  <c r="M3001" i="23"/>
  <c r="M3002" i="23"/>
  <c r="M3003" i="23"/>
  <c r="M3004" i="23"/>
  <c r="M3005" i="23"/>
  <c r="M3006" i="23"/>
  <c r="M3007" i="23"/>
  <c r="M3008" i="23"/>
  <c r="M3009" i="23"/>
  <c r="M3010" i="23"/>
  <c r="M3011" i="23"/>
  <c r="M3012" i="23"/>
  <c r="M3013" i="23"/>
  <c r="M3014" i="23"/>
  <c r="M3015" i="23"/>
  <c r="M3016" i="23"/>
  <c r="M3017" i="23"/>
  <c r="M3018" i="23"/>
  <c r="M3019" i="23"/>
  <c r="M3020" i="23"/>
  <c r="M3021" i="23"/>
  <c r="M3022" i="23"/>
  <c r="M3023" i="23"/>
  <c r="M3024" i="23"/>
  <c r="M3025" i="23"/>
  <c r="M3026" i="23"/>
  <c r="M3027" i="23"/>
  <c r="M3028" i="23"/>
  <c r="M3029" i="23"/>
  <c r="M3030" i="23"/>
  <c r="M3031" i="23"/>
  <c r="M3032" i="23"/>
  <c r="M3033" i="23"/>
  <c r="M3034" i="23"/>
  <c r="M3035" i="23"/>
  <c r="M3036" i="23"/>
  <c r="M3037" i="23"/>
  <c r="M3038" i="23"/>
  <c r="M3039" i="23"/>
  <c r="M3040" i="23"/>
  <c r="M3041" i="23"/>
  <c r="M3042" i="23"/>
  <c r="M3043" i="23"/>
  <c r="M3044" i="23"/>
  <c r="M3045" i="23"/>
  <c r="M3046" i="23"/>
  <c r="M3047" i="23"/>
  <c r="M3048" i="23"/>
  <c r="M3049" i="23"/>
  <c r="M3050" i="23"/>
  <c r="M3051" i="23"/>
  <c r="M3052" i="23"/>
  <c r="M3053" i="23"/>
  <c r="M3054" i="23"/>
  <c r="M3055" i="23"/>
  <c r="M3056" i="23"/>
  <c r="M3057" i="23"/>
  <c r="M3058" i="23"/>
  <c r="M3059" i="23"/>
  <c r="M3060" i="23"/>
  <c r="M3061" i="23"/>
  <c r="M3062" i="23"/>
  <c r="M3063" i="23"/>
  <c r="M3064" i="23"/>
  <c r="M3065" i="23"/>
  <c r="M3066" i="23"/>
  <c r="M3067" i="23"/>
  <c r="M3068" i="23"/>
  <c r="M3069" i="23"/>
  <c r="M3070" i="23"/>
  <c r="M3071" i="23"/>
  <c r="M3072" i="23"/>
  <c r="M3073" i="23"/>
  <c r="M3074" i="23"/>
  <c r="M3075" i="23"/>
  <c r="M3076" i="23"/>
  <c r="M3077" i="23"/>
  <c r="M3078" i="23"/>
  <c r="M3079" i="23"/>
  <c r="M3080" i="23"/>
  <c r="M3081" i="23"/>
  <c r="M3082" i="23"/>
  <c r="M3083" i="23"/>
  <c r="M3084" i="23"/>
  <c r="M3085" i="23"/>
  <c r="M3086" i="23"/>
  <c r="M3087" i="23"/>
  <c r="M3088" i="23"/>
  <c r="M3089" i="23"/>
  <c r="M3090" i="23"/>
  <c r="M3091" i="23"/>
  <c r="M3092" i="23"/>
  <c r="M3093" i="23"/>
  <c r="M3094" i="23"/>
  <c r="M3095" i="23"/>
  <c r="M3096" i="23"/>
  <c r="M3097" i="23"/>
  <c r="M3098" i="23"/>
  <c r="M3099" i="23"/>
  <c r="M3100" i="23"/>
  <c r="M3101" i="23"/>
  <c r="M3102" i="23"/>
  <c r="M3103" i="23"/>
  <c r="M3104" i="23"/>
  <c r="M3105" i="23"/>
  <c r="M3106" i="23"/>
  <c r="M3107" i="23"/>
  <c r="M3108" i="23"/>
  <c r="M3109" i="23"/>
  <c r="M3110" i="23"/>
  <c r="M3111" i="23"/>
  <c r="M3112" i="23"/>
  <c r="M3113" i="23"/>
  <c r="M3114" i="23"/>
  <c r="M3115" i="23"/>
  <c r="M3116" i="23"/>
  <c r="M3117" i="23"/>
  <c r="M3118" i="23"/>
  <c r="M3119" i="23"/>
  <c r="M3120" i="23"/>
  <c r="M3121" i="23"/>
  <c r="M3122" i="23"/>
  <c r="M3123" i="23"/>
  <c r="M3124" i="23"/>
  <c r="M3125" i="23"/>
  <c r="M3126" i="23"/>
  <c r="M3127" i="23"/>
  <c r="M3128" i="23"/>
  <c r="M3129" i="23"/>
  <c r="M3130" i="23"/>
  <c r="M3131" i="23"/>
  <c r="M3132" i="23"/>
  <c r="M3133" i="23"/>
  <c r="M3134" i="23"/>
  <c r="M3135" i="23"/>
  <c r="M3136" i="23"/>
  <c r="M3137" i="23"/>
  <c r="M3138" i="23"/>
  <c r="M3139" i="23"/>
  <c r="M3140" i="23"/>
  <c r="M3141" i="23"/>
  <c r="M3142" i="23"/>
  <c r="M3143" i="23"/>
  <c r="M3144" i="23"/>
  <c r="M3145" i="23"/>
  <c r="M3146" i="23"/>
  <c r="M3147" i="23"/>
  <c r="M3148" i="23"/>
  <c r="M3149" i="23"/>
  <c r="M3150" i="23"/>
  <c r="M3151" i="23"/>
  <c r="M3152" i="23"/>
  <c r="M3153" i="23"/>
  <c r="M3154" i="23"/>
  <c r="M3155" i="23"/>
  <c r="M3156" i="23"/>
  <c r="M3157" i="23"/>
  <c r="M3158" i="23"/>
  <c r="M3159" i="23"/>
  <c r="M3160" i="23"/>
  <c r="M3161" i="23"/>
  <c r="M3162" i="23"/>
  <c r="M3163" i="23"/>
  <c r="M3164" i="23"/>
  <c r="M3165" i="23"/>
  <c r="M3166" i="23"/>
  <c r="M3167" i="23"/>
  <c r="M3168" i="23"/>
  <c r="M3169" i="23"/>
  <c r="M3170" i="23"/>
  <c r="M3171" i="23"/>
  <c r="M3172" i="23"/>
  <c r="M3173" i="23"/>
  <c r="M3174" i="23"/>
  <c r="M3175" i="23"/>
  <c r="M3176" i="23"/>
  <c r="M3177" i="23"/>
  <c r="M3178" i="23"/>
  <c r="M3179" i="23"/>
  <c r="M3180" i="23"/>
  <c r="M3181" i="23"/>
  <c r="M3182" i="23"/>
  <c r="M3183" i="23"/>
  <c r="M3184" i="23"/>
  <c r="M3185" i="23"/>
  <c r="M3186" i="23"/>
  <c r="M3187" i="23"/>
  <c r="M3188" i="23"/>
  <c r="M3189" i="23"/>
  <c r="M3190" i="23"/>
  <c r="M3191" i="23"/>
  <c r="M3192" i="23"/>
  <c r="M3193" i="23"/>
  <c r="M3194" i="23"/>
  <c r="M3195" i="23"/>
  <c r="M3196" i="23"/>
  <c r="M3197" i="23"/>
  <c r="M3198" i="23"/>
  <c r="M3199" i="23"/>
  <c r="M3200" i="23"/>
  <c r="M3201" i="23"/>
  <c r="M3202" i="23"/>
  <c r="M3203" i="23"/>
  <c r="M3204" i="23"/>
  <c r="M3205" i="23"/>
  <c r="M3206" i="23"/>
  <c r="M3207" i="23"/>
  <c r="M3208" i="23"/>
  <c r="M3209" i="23"/>
  <c r="M3210" i="23"/>
  <c r="M3211" i="23"/>
  <c r="M3212" i="23"/>
  <c r="M3213" i="23"/>
  <c r="M3214" i="23"/>
  <c r="M3215" i="23"/>
  <c r="M3216" i="23"/>
  <c r="M3217" i="23"/>
  <c r="M3218" i="23"/>
  <c r="M3219" i="23"/>
  <c r="M3220" i="23"/>
  <c r="M3221" i="23"/>
  <c r="M3222" i="23"/>
  <c r="M3223" i="23"/>
  <c r="M3224" i="23"/>
  <c r="M3225" i="23"/>
  <c r="M3226" i="23"/>
  <c r="M3227" i="23"/>
  <c r="M3228" i="23"/>
  <c r="M3229" i="23"/>
  <c r="M3230" i="23"/>
  <c r="M3231" i="23"/>
  <c r="M3232" i="23"/>
  <c r="M3233" i="23"/>
  <c r="M3234" i="23"/>
  <c r="M3235" i="23"/>
  <c r="M3236" i="23"/>
  <c r="M3237" i="23"/>
  <c r="M3238" i="23"/>
  <c r="M3239" i="23"/>
  <c r="M3240" i="23"/>
  <c r="M3241" i="23"/>
  <c r="M3242" i="23"/>
  <c r="M3243" i="23"/>
  <c r="M3244" i="23"/>
  <c r="M3245" i="23"/>
  <c r="M3246" i="23"/>
  <c r="M3247" i="23"/>
  <c r="M3248" i="23"/>
  <c r="M3249" i="23"/>
  <c r="M3250" i="23"/>
  <c r="M3251" i="23"/>
  <c r="M3252" i="23"/>
  <c r="M3253" i="23"/>
  <c r="M3254" i="23"/>
  <c r="M3255" i="23"/>
  <c r="M3256" i="23"/>
  <c r="M3257" i="23"/>
  <c r="M3258" i="23"/>
  <c r="M3259" i="23"/>
  <c r="M3260" i="23"/>
  <c r="M3261" i="23"/>
  <c r="M3262" i="23"/>
  <c r="M3263" i="23"/>
  <c r="M3264" i="23"/>
  <c r="M3265" i="23"/>
  <c r="M3266" i="23"/>
  <c r="M3267" i="23"/>
  <c r="M3268" i="23"/>
  <c r="M3269" i="23"/>
  <c r="M3270" i="23"/>
  <c r="M3271" i="23"/>
  <c r="M3272" i="23"/>
  <c r="M3273" i="23"/>
  <c r="M3274" i="23"/>
  <c r="M3275" i="23"/>
  <c r="M3276" i="23"/>
  <c r="M3277" i="23"/>
  <c r="M3278" i="23"/>
  <c r="M3279" i="23"/>
  <c r="M3280" i="23"/>
  <c r="M3281" i="23"/>
  <c r="M3282" i="23"/>
  <c r="M3283" i="23"/>
  <c r="M3284" i="23"/>
  <c r="M3285" i="23"/>
  <c r="M3286" i="23"/>
  <c r="M3287" i="23"/>
  <c r="M3288" i="23"/>
  <c r="M3289" i="23"/>
  <c r="M3290" i="23"/>
  <c r="M3291" i="23"/>
  <c r="M3292" i="23"/>
  <c r="M3293" i="23"/>
  <c r="M3294" i="23"/>
  <c r="M3295" i="23"/>
  <c r="M3296" i="23"/>
  <c r="M3297" i="23"/>
  <c r="M3298" i="23"/>
  <c r="M3299" i="23"/>
  <c r="M3300" i="23"/>
  <c r="M3301" i="23"/>
  <c r="M3302" i="23"/>
  <c r="M3303" i="23"/>
  <c r="M3304" i="23"/>
  <c r="M3305" i="23"/>
  <c r="M3306" i="23"/>
  <c r="M3307" i="23"/>
  <c r="M3308" i="23"/>
  <c r="M3309" i="23"/>
  <c r="M3310" i="23"/>
  <c r="M3311" i="23"/>
  <c r="M3312" i="23"/>
  <c r="M3313" i="23"/>
  <c r="M3314" i="23"/>
  <c r="M3315" i="23"/>
  <c r="M3316" i="23"/>
  <c r="M3317" i="23"/>
  <c r="M3318" i="23"/>
  <c r="M3319" i="23"/>
  <c r="M3320" i="23"/>
  <c r="M3321" i="23"/>
  <c r="M3322" i="23"/>
  <c r="M3323" i="23"/>
  <c r="M3324" i="23"/>
  <c r="M3325" i="23"/>
  <c r="M3326" i="23"/>
  <c r="M3327" i="23"/>
  <c r="M3328" i="23"/>
  <c r="M3329" i="23"/>
  <c r="M3330" i="23"/>
  <c r="M3331" i="23"/>
  <c r="M3332" i="23"/>
  <c r="M3333" i="23"/>
  <c r="M3334" i="23"/>
  <c r="M3335" i="23"/>
  <c r="M3336" i="23"/>
  <c r="M3337" i="23"/>
  <c r="M3338" i="23"/>
  <c r="M3339" i="23"/>
  <c r="M3340" i="23"/>
  <c r="M3341" i="23"/>
  <c r="M3342" i="23"/>
  <c r="M3343" i="23"/>
  <c r="M3344" i="23"/>
  <c r="M3345" i="23"/>
  <c r="M3346" i="23"/>
  <c r="M3347" i="23"/>
  <c r="M3348" i="23"/>
  <c r="M3349" i="23"/>
  <c r="M3350" i="23"/>
  <c r="M3351" i="23"/>
  <c r="M3352" i="23"/>
  <c r="M3353" i="23"/>
  <c r="M3354" i="23"/>
  <c r="M3355" i="23"/>
  <c r="M3356" i="23"/>
  <c r="M3357" i="23"/>
  <c r="M3358" i="23"/>
  <c r="M3359" i="23"/>
  <c r="M3360" i="23"/>
  <c r="M3361" i="23"/>
  <c r="M3362" i="23"/>
  <c r="M3363" i="23"/>
  <c r="M3364" i="23"/>
  <c r="M3365" i="23"/>
  <c r="M3366" i="23"/>
  <c r="M3367" i="23"/>
  <c r="M3368" i="23"/>
  <c r="M3369" i="23"/>
  <c r="M3370" i="23"/>
  <c r="M3371" i="23"/>
  <c r="M3372" i="23"/>
  <c r="M3373" i="23"/>
  <c r="M3374" i="23"/>
  <c r="M3375" i="23"/>
  <c r="M3376" i="23"/>
  <c r="M3377" i="23"/>
  <c r="M3378" i="23"/>
  <c r="M3379" i="23"/>
  <c r="M3380" i="23"/>
  <c r="M3381" i="23"/>
  <c r="M3382" i="23"/>
  <c r="M3383" i="23"/>
  <c r="M3384" i="23"/>
  <c r="M3385" i="23"/>
  <c r="M3386" i="23"/>
  <c r="M3387" i="23"/>
  <c r="M3388" i="23"/>
  <c r="M3389" i="23"/>
  <c r="M3390" i="23"/>
  <c r="M3391" i="23"/>
  <c r="M3392" i="23"/>
  <c r="M3393" i="23"/>
  <c r="M3394" i="23"/>
  <c r="M3395" i="23"/>
  <c r="M3396" i="23"/>
  <c r="M3397" i="23"/>
  <c r="M3398" i="23"/>
  <c r="M3399" i="23"/>
  <c r="M3400" i="23"/>
  <c r="M3401" i="23"/>
  <c r="M3402" i="23"/>
  <c r="M3403" i="23"/>
  <c r="M3404" i="23"/>
  <c r="M3405" i="23"/>
  <c r="M3406" i="23"/>
  <c r="M3407" i="23"/>
  <c r="M3408" i="23"/>
  <c r="M3409" i="23"/>
  <c r="M3410" i="23"/>
  <c r="M3411" i="23"/>
  <c r="M3412" i="23"/>
  <c r="M3413" i="23"/>
  <c r="M3414" i="23"/>
  <c r="M3415" i="23"/>
  <c r="M3416" i="23"/>
  <c r="M3417" i="23"/>
  <c r="M3418" i="23"/>
  <c r="M3419" i="23"/>
  <c r="M3420" i="23"/>
  <c r="M3421" i="23"/>
  <c r="M3422" i="23"/>
  <c r="M3423" i="23"/>
  <c r="M3424" i="23"/>
  <c r="M3425" i="23"/>
  <c r="M3426" i="23"/>
  <c r="M3427" i="23"/>
  <c r="M3428" i="23"/>
  <c r="M3429" i="23"/>
  <c r="M3430" i="23"/>
  <c r="M3431" i="23"/>
  <c r="M3432" i="23"/>
  <c r="M3433" i="23"/>
  <c r="M3434" i="23"/>
  <c r="M3435" i="23"/>
  <c r="M3436" i="23"/>
  <c r="M3437" i="23"/>
  <c r="M3438" i="23"/>
  <c r="M3439" i="23"/>
  <c r="M3440" i="23"/>
  <c r="M3441" i="23"/>
  <c r="M3442" i="23"/>
  <c r="M3443" i="23"/>
  <c r="M3444" i="23"/>
  <c r="M3445" i="23"/>
  <c r="M3446" i="23"/>
  <c r="M3447" i="23"/>
  <c r="M3448" i="23"/>
  <c r="M3449" i="23"/>
  <c r="M3450" i="23"/>
  <c r="M3451" i="23"/>
  <c r="M3452" i="23"/>
  <c r="M3453" i="23"/>
  <c r="M3454" i="23"/>
  <c r="M3455" i="23"/>
  <c r="M3456" i="23"/>
  <c r="M3457" i="23"/>
  <c r="M3458" i="23"/>
  <c r="M3459" i="23"/>
  <c r="M3460" i="23"/>
  <c r="M3461" i="23"/>
  <c r="M3462" i="23"/>
  <c r="M3463" i="23"/>
  <c r="M3464" i="23"/>
  <c r="M3465" i="23"/>
  <c r="M3466" i="23"/>
  <c r="M3467" i="23"/>
  <c r="M3468" i="23"/>
  <c r="M3469" i="23"/>
  <c r="M3470" i="23"/>
  <c r="M3471" i="23"/>
  <c r="M3472" i="23"/>
  <c r="M3473" i="23"/>
  <c r="M3474" i="23"/>
  <c r="M3475" i="23"/>
  <c r="M3476" i="23"/>
  <c r="M3477" i="23"/>
  <c r="M3478" i="23"/>
  <c r="M3479" i="23"/>
  <c r="M3480" i="23"/>
  <c r="M3481" i="23"/>
  <c r="M3482" i="23"/>
  <c r="M3483" i="23"/>
  <c r="M3484" i="23"/>
  <c r="M3485" i="23"/>
  <c r="M3486" i="23"/>
  <c r="M3487" i="23"/>
  <c r="M3488" i="23"/>
  <c r="M3489" i="23"/>
  <c r="M3490" i="23"/>
  <c r="M3491" i="23"/>
  <c r="M3492" i="23"/>
  <c r="M3493" i="23"/>
  <c r="M3494" i="23"/>
  <c r="M3495" i="23"/>
  <c r="M3496" i="23"/>
  <c r="M3497" i="23"/>
  <c r="M3498" i="23"/>
  <c r="M3499" i="23"/>
  <c r="M3500" i="23"/>
  <c r="M3501" i="23"/>
  <c r="M3502" i="23"/>
  <c r="M3503" i="23"/>
  <c r="M3504" i="23"/>
  <c r="M3505" i="23"/>
  <c r="M3506" i="23"/>
  <c r="M3507" i="23"/>
  <c r="M3508" i="23"/>
  <c r="M3509" i="23"/>
  <c r="M3510" i="23"/>
  <c r="M3511" i="23"/>
  <c r="M3512" i="23"/>
  <c r="M3513" i="23"/>
  <c r="M3514" i="23"/>
  <c r="M3515" i="23"/>
  <c r="M3516" i="23"/>
  <c r="M3517" i="23"/>
  <c r="M3518" i="23"/>
  <c r="M3519" i="23"/>
  <c r="M3520" i="23"/>
  <c r="M3521" i="23"/>
  <c r="M3522" i="23"/>
  <c r="M3523" i="23"/>
  <c r="M3524" i="23"/>
  <c r="M3525" i="23"/>
  <c r="M3526" i="23"/>
  <c r="M3527" i="23"/>
  <c r="M3528" i="23"/>
  <c r="M3529" i="23"/>
  <c r="M3530" i="23"/>
  <c r="M3531" i="23"/>
  <c r="M3532" i="23"/>
  <c r="M3533" i="23"/>
  <c r="M3534" i="23"/>
  <c r="M3535" i="23"/>
  <c r="M3536" i="23"/>
  <c r="M3537" i="23"/>
  <c r="M3538" i="23"/>
  <c r="M3539" i="23"/>
  <c r="M3540" i="23"/>
  <c r="M3541" i="23"/>
  <c r="M3542" i="23"/>
  <c r="M3543" i="23"/>
  <c r="M3544" i="23"/>
  <c r="M3545" i="23"/>
  <c r="M3546" i="23"/>
  <c r="M3547" i="23"/>
  <c r="M3548" i="23"/>
  <c r="M3549" i="23"/>
  <c r="M3550" i="23"/>
  <c r="M3551" i="23"/>
  <c r="M3552" i="23"/>
  <c r="M3553" i="23"/>
  <c r="M3554" i="23"/>
  <c r="M3555" i="23"/>
  <c r="M3556" i="23"/>
  <c r="M3557" i="23"/>
  <c r="M3558" i="23"/>
  <c r="M3559" i="23"/>
  <c r="M3560" i="23"/>
  <c r="M3561" i="23"/>
  <c r="M3562" i="23"/>
  <c r="M3563" i="23"/>
  <c r="M3564" i="23"/>
  <c r="M3565" i="23"/>
  <c r="M3566" i="23"/>
  <c r="M3567" i="23"/>
  <c r="M3568" i="23"/>
  <c r="M3569" i="23"/>
  <c r="M3570" i="23"/>
  <c r="M3571" i="23"/>
  <c r="M3572" i="23"/>
  <c r="M3573" i="23"/>
  <c r="M3574" i="23"/>
  <c r="M3575" i="23"/>
  <c r="M3576" i="23"/>
  <c r="M3577" i="23"/>
  <c r="M3578" i="23"/>
  <c r="M3579" i="23"/>
  <c r="M3580" i="23"/>
  <c r="M3581" i="23"/>
  <c r="M3582" i="23"/>
  <c r="M3583" i="23"/>
  <c r="M3584" i="23"/>
  <c r="M3585" i="23"/>
  <c r="M3586" i="23"/>
  <c r="M3587" i="23"/>
  <c r="M3588" i="23"/>
  <c r="M3589" i="23"/>
  <c r="M3590" i="23"/>
  <c r="M3591" i="23"/>
  <c r="M3592" i="23"/>
  <c r="M3593" i="23"/>
  <c r="M3594" i="23"/>
  <c r="M3595" i="23"/>
  <c r="M3596" i="23"/>
  <c r="M3597" i="23"/>
  <c r="M3598" i="23"/>
  <c r="M3599" i="23"/>
  <c r="M3600" i="23"/>
  <c r="M3601" i="23"/>
  <c r="M3602" i="23"/>
  <c r="M3603" i="23"/>
  <c r="M3604" i="23"/>
  <c r="M3605" i="23"/>
  <c r="M3606" i="23"/>
  <c r="M3607" i="23"/>
  <c r="M3608" i="23"/>
  <c r="M3609" i="23"/>
  <c r="M3610" i="23"/>
  <c r="M3611" i="23"/>
  <c r="M3612" i="23"/>
  <c r="M3613" i="23"/>
  <c r="M3614" i="23"/>
  <c r="M3615" i="23"/>
  <c r="M3616" i="23"/>
  <c r="M3617" i="23"/>
  <c r="M3618" i="23"/>
  <c r="M3619" i="23"/>
  <c r="M3620" i="23"/>
  <c r="M3621" i="23"/>
  <c r="M3622" i="23"/>
  <c r="M3623" i="23"/>
  <c r="M3624" i="23"/>
  <c r="M3625" i="23"/>
  <c r="M3626" i="23"/>
  <c r="M3627" i="23"/>
  <c r="M3628" i="23"/>
  <c r="M3629" i="23"/>
  <c r="M3630" i="23"/>
  <c r="M3631" i="23"/>
  <c r="M3632" i="23"/>
  <c r="M3633" i="23"/>
  <c r="M3634" i="23"/>
  <c r="M3635" i="23"/>
  <c r="M3636" i="23"/>
  <c r="M3637" i="23"/>
  <c r="M3638" i="23"/>
  <c r="M3639" i="23"/>
  <c r="M3640" i="23"/>
  <c r="M3641" i="23"/>
  <c r="M3642" i="23"/>
  <c r="M3643" i="23"/>
  <c r="M3644" i="23"/>
  <c r="M3645" i="23"/>
  <c r="M3646" i="23"/>
  <c r="M3647" i="23"/>
  <c r="M3648" i="23"/>
  <c r="M3649" i="23"/>
  <c r="M3650" i="23"/>
  <c r="M3651" i="23"/>
  <c r="M3652" i="23"/>
  <c r="M3653" i="23"/>
  <c r="M3654" i="23"/>
  <c r="M3655" i="23"/>
  <c r="M3656" i="23"/>
  <c r="M3657" i="23"/>
  <c r="M3658" i="23"/>
  <c r="M3659" i="23"/>
  <c r="M3660" i="23"/>
  <c r="M3661" i="23"/>
  <c r="M3662" i="23"/>
  <c r="M3663" i="23"/>
  <c r="M3664" i="23"/>
  <c r="M3665" i="23"/>
  <c r="M3666" i="23"/>
  <c r="M3667" i="23"/>
  <c r="M3668" i="23"/>
  <c r="M3669" i="23"/>
  <c r="M3670" i="23"/>
  <c r="M3671" i="23"/>
  <c r="M3672" i="23"/>
  <c r="M3673" i="23"/>
  <c r="M3674" i="23"/>
  <c r="M3675" i="23"/>
  <c r="M3676" i="23"/>
  <c r="M3677" i="23"/>
  <c r="M3678" i="23"/>
  <c r="M3679" i="23"/>
  <c r="M3680" i="23"/>
  <c r="M3681" i="23"/>
  <c r="M3682" i="23"/>
  <c r="M3683" i="23"/>
  <c r="M3684" i="23"/>
  <c r="M3685" i="23"/>
  <c r="M3686" i="23"/>
  <c r="M3687" i="23"/>
  <c r="M3688" i="23"/>
  <c r="M3689" i="23"/>
  <c r="M3690" i="23"/>
  <c r="M3691" i="23"/>
  <c r="M3692" i="23"/>
  <c r="M3693" i="23"/>
  <c r="M3694" i="23"/>
  <c r="M3695" i="23"/>
  <c r="M3696" i="23"/>
  <c r="M3697" i="23"/>
  <c r="M3698" i="23"/>
  <c r="M3699" i="23"/>
  <c r="M3700" i="23"/>
  <c r="M3701" i="23"/>
  <c r="M3702" i="23"/>
  <c r="M3703" i="23"/>
  <c r="M3704" i="23"/>
  <c r="M3705" i="23"/>
  <c r="M3706" i="23"/>
  <c r="M3707" i="23"/>
  <c r="M3708" i="23"/>
  <c r="M3709" i="23"/>
  <c r="M3710" i="23"/>
  <c r="M3711" i="23"/>
  <c r="M3712" i="23"/>
  <c r="M3713" i="23"/>
  <c r="M3714" i="23"/>
  <c r="M3715" i="23"/>
  <c r="M3716" i="23"/>
  <c r="M3717" i="23"/>
  <c r="M3718" i="23"/>
  <c r="M3719" i="23"/>
  <c r="M3720" i="23"/>
  <c r="M3721" i="23"/>
  <c r="M3722" i="23"/>
  <c r="M3723" i="23"/>
  <c r="M3724" i="23"/>
  <c r="M3725" i="23"/>
  <c r="M3726" i="23"/>
  <c r="M3727" i="23"/>
  <c r="M3728" i="23"/>
  <c r="M3729" i="23"/>
  <c r="M3730" i="23"/>
  <c r="M3731" i="23"/>
  <c r="M3732" i="23"/>
  <c r="M3733" i="23"/>
  <c r="M3734" i="23"/>
  <c r="M3735" i="23"/>
  <c r="M3736" i="23"/>
  <c r="M3737" i="23"/>
  <c r="M3738" i="23"/>
  <c r="M3739" i="23"/>
  <c r="M3740" i="23"/>
  <c r="M3741" i="23"/>
  <c r="M3742" i="23"/>
  <c r="M3743" i="23"/>
  <c r="M3744" i="23"/>
  <c r="M3745" i="23"/>
  <c r="M3746" i="23"/>
  <c r="M3747" i="23"/>
  <c r="M3748" i="23"/>
  <c r="M3749" i="23"/>
  <c r="M3750" i="23"/>
  <c r="M3751" i="23"/>
  <c r="M3752" i="23"/>
  <c r="M3753" i="23"/>
  <c r="M3754" i="23"/>
  <c r="M3755" i="23"/>
  <c r="M3756" i="23"/>
  <c r="M3757" i="23"/>
  <c r="M3758" i="23"/>
  <c r="M3759" i="23"/>
  <c r="M3760" i="23"/>
  <c r="M3761" i="23"/>
  <c r="M3762" i="23"/>
  <c r="M3763" i="23"/>
  <c r="M3764" i="23"/>
  <c r="M3765" i="23"/>
  <c r="M3766" i="23"/>
  <c r="M3767" i="23"/>
  <c r="M3768" i="23"/>
  <c r="M3769" i="23"/>
  <c r="M3770" i="23"/>
  <c r="M3771" i="23"/>
  <c r="M3772" i="23"/>
  <c r="M3773" i="23"/>
  <c r="M3774" i="23"/>
  <c r="M3775" i="23"/>
  <c r="M3776" i="23"/>
  <c r="M3777" i="23"/>
  <c r="M3778" i="23"/>
  <c r="M3779" i="23"/>
  <c r="M3780" i="23"/>
  <c r="M3781" i="23"/>
  <c r="M3782" i="23"/>
  <c r="M3783" i="23"/>
  <c r="M3784" i="23"/>
  <c r="M3785" i="23"/>
  <c r="M3786" i="23"/>
  <c r="M3787" i="23"/>
  <c r="M3788" i="23"/>
  <c r="M3789" i="23"/>
  <c r="M3790" i="23"/>
  <c r="M3791" i="23"/>
  <c r="M3792" i="23"/>
  <c r="M3793" i="23"/>
  <c r="M3794" i="23"/>
  <c r="M3795" i="23"/>
  <c r="M3796" i="23"/>
  <c r="M3797" i="23"/>
  <c r="M3798" i="23"/>
  <c r="M3799" i="23"/>
  <c r="M3800" i="23"/>
  <c r="M3801" i="23"/>
  <c r="M3802" i="23"/>
  <c r="M3803" i="23"/>
  <c r="M3804" i="23"/>
  <c r="M3805" i="23"/>
  <c r="M3806" i="23"/>
  <c r="M3807" i="23"/>
  <c r="M3808" i="23"/>
  <c r="M3809" i="23"/>
  <c r="M3810" i="23"/>
  <c r="M3811" i="23"/>
  <c r="M3812" i="23"/>
  <c r="M3813" i="23"/>
  <c r="M3814" i="23"/>
  <c r="M3815" i="23"/>
  <c r="M3816" i="23"/>
  <c r="M3817" i="23"/>
  <c r="M3818" i="23"/>
  <c r="M3819" i="23"/>
  <c r="M3820" i="23"/>
  <c r="M3821" i="23"/>
  <c r="M3822" i="23"/>
  <c r="M3823" i="23"/>
  <c r="M3824" i="23"/>
  <c r="M3825" i="23"/>
  <c r="M3826" i="23"/>
  <c r="M3827" i="23"/>
  <c r="M3828" i="23"/>
  <c r="M3829" i="23"/>
  <c r="M3830" i="23"/>
  <c r="M3831" i="23"/>
  <c r="M3832" i="23"/>
  <c r="M3833" i="23"/>
  <c r="M3834" i="23"/>
  <c r="M3835" i="23"/>
  <c r="M3836" i="23"/>
  <c r="M3837" i="23"/>
  <c r="M3838" i="23"/>
  <c r="M3839" i="23"/>
  <c r="M3840" i="23"/>
  <c r="M3841" i="23"/>
  <c r="M3842" i="23"/>
  <c r="M3843" i="23"/>
  <c r="M3844" i="23"/>
  <c r="M3845" i="23"/>
  <c r="M3846" i="23"/>
  <c r="M3847" i="23"/>
  <c r="M3848" i="23"/>
  <c r="M3849" i="23"/>
  <c r="M3850" i="23"/>
  <c r="M3851" i="23"/>
  <c r="M3852" i="23"/>
  <c r="M3853" i="23"/>
  <c r="M3854" i="23"/>
  <c r="M3855" i="23"/>
  <c r="M3856" i="23"/>
  <c r="M3857" i="23"/>
  <c r="M3858" i="23"/>
  <c r="M3859" i="23"/>
  <c r="M3860" i="23"/>
  <c r="M3861" i="23"/>
  <c r="M3862" i="23"/>
  <c r="M3863" i="23"/>
  <c r="M3864" i="23"/>
  <c r="M3865" i="23"/>
  <c r="M3866" i="23"/>
  <c r="M3867" i="23"/>
  <c r="M3868" i="23"/>
  <c r="M3869" i="23"/>
  <c r="M3870" i="23"/>
  <c r="M3871" i="23"/>
  <c r="M3872" i="23"/>
  <c r="M3873" i="23"/>
  <c r="M3874" i="23"/>
  <c r="M3875" i="23"/>
  <c r="M3876" i="23"/>
  <c r="M3877" i="23"/>
  <c r="M3878" i="23"/>
  <c r="M3879" i="23"/>
  <c r="M3880" i="23"/>
  <c r="M3881" i="23"/>
  <c r="M3882" i="23"/>
  <c r="M3883" i="23"/>
  <c r="M3884" i="23"/>
  <c r="M3885" i="23"/>
  <c r="M3886" i="23"/>
  <c r="M3887" i="23"/>
  <c r="M3888" i="23"/>
  <c r="M3889" i="23"/>
  <c r="M3890" i="23"/>
  <c r="M3891" i="23"/>
  <c r="M3892" i="23"/>
  <c r="M3893" i="23"/>
  <c r="M3894" i="23"/>
  <c r="M3895" i="23"/>
  <c r="M3896" i="23"/>
  <c r="M3897" i="23"/>
  <c r="M3898" i="23"/>
  <c r="M3899" i="23"/>
  <c r="M3900" i="23"/>
  <c r="M3901" i="23"/>
  <c r="M3902" i="23"/>
  <c r="M3903" i="23"/>
  <c r="M3904" i="23"/>
  <c r="M3905" i="23"/>
  <c r="M3906" i="23"/>
  <c r="M3907" i="23"/>
  <c r="M3908" i="23"/>
  <c r="M3909" i="23"/>
  <c r="M3910" i="23"/>
  <c r="M3911" i="23"/>
  <c r="M3912" i="23"/>
  <c r="M3913" i="23"/>
  <c r="M3914" i="23"/>
  <c r="M3915" i="23"/>
  <c r="M3916" i="23"/>
  <c r="M3917" i="23"/>
  <c r="M3918" i="23"/>
  <c r="M3919" i="23"/>
  <c r="M3920" i="23"/>
  <c r="M3921" i="23"/>
  <c r="M3922" i="23"/>
  <c r="M3923" i="23"/>
  <c r="M3924" i="23"/>
  <c r="M3925" i="23"/>
  <c r="M3926" i="23"/>
  <c r="M3927" i="23"/>
  <c r="M3928" i="23"/>
  <c r="M3929" i="23"/>
  <c r="M3930" i="23"/>
  <c r="M3931" i="23"/>
  <c r="M3932" i="23"/>
  <c r="M3933" i="23"/>
  <c r="M3934" i="23"/>
  <c r="M3935" i="23"/>
  <c r="M3936" i="23"/>
  <c r="M3937" i="23"/>
  <c r="M3938" i="23"/>
  <c r="M3939" i="23"/>
  <c r="M3940" i="23"/>
  <c r="M3941" i="23"/>
  <c r="M3942" i="23"/>
  <c r="M3943" i="23"/>
  <c r="M3944" i="23"/>
  <c r="M3945" i="23"/>
  <c r="M3946" i="23"/>
  <c r="M3947" i="23"/>
  <c r="M3948" i="23"/>
  <c r="M3949" i="23"/>
  <c r="M3950" i="23"/>
  <c r="M3951" i="23"/>
  <c r="M3952" i="23"/>
  <c r="M3953" i="23"/>
  <c r="M3954" i="23"/>
  <c r="M3955" i="23"/>
  <c r="M3956" i="23"/>
  <c r="M3957" i="23"/>
  <c r="M3958" i="23"/>
  <c r="M3959" i="23"/>
  <c r="M3960" i="23"/>
  <c r="M3961" i="23"/>
  <c r="M3962" i="23"/>
  <c r="M3963" i="23"/>
  <c r="M3964" i="23"/>
  <c r="M3965" i="23"/>
  <c r="M3966" i="23"/>
  <c r="M3967" i="23"/>
  <c r="M3968" i="23"/>
  <c r="M3969" i="23"/>
  <c r="M3970" i="23"/>
  <c r="M3971" i="23"/>
  <c r="M3972" i="23"/>
  <c r="M3973" i="23"/>
  <c r="M3974" i="23"/>
  <c r="M3975" i="23"/>
  <c r="M3976" i="23"/>
  <c r="M3977" i="23"/>
  <c r="M3978" i="23"/>
  <c r="M3979" i="23"/>
  <c r="M3980" i="23"/>
  <c r="M3981" i="23"/>
  <c r="M3982" i="23"/>
  <c r="M3983" i="23"/>
  <c r="M3984" i="23"/>
  <c r="M3985" i="23"/>
  <c r="M3986" i="23"/>
  <c r="M3987" i="23"/>
  <c r="M3988" i="23"/>
  <c r="M3989" i="23"/>
  <c r="M3990" i="23"/>
  <c r="M3991" i="23"/>
  <c r="M3992" i="23"/>
  <c r="M3993" i="23"/>
  <c r="M3994" i="23"/>
  <c r="M3995" i="23"/>
  <c r="M3996" i="23"/>
  <c r="M3997" i="23"/>
  <c r="M3998" i="23"/>
  <c r="M3999" i="23"/>
  <c r="M4000" i="23"/>
  <c r="M4001" i="23"/>
  <c r="M4002" i="23"/>
  <c r="M4003" i="23"/>
  <c r="M4004" i="23"/>
  <c r="M4005" i="23"/>
  <c r="M4006" i="23"/>
  <c r="M4007" i="23"/>
  <c r="M4008" i="23"/>
  <c r="M4009" i="23"/>
  <c r="M4010" i="23"/>
  <c r="M4011" i="23"/>
  <c r="M4012" i="23"/>
  <c r="M4013" i="23"/>
  <c r="M4014" i="23"/>
  <c r="M4015" i="23"/>
  <c r="M4016" i="23"/>
  <c r="M4017" i="23"/>
  <c r="M4018" i="23"/>
  <c r="M4019" i="23"/>
  <c r="M4020" i="23"/>
  <c r="M4021" i="23"/>
  <c r="M4022" i="23"/>
  <c r="M4023" i="23"/>
  <c r="M4024" i="23"/>
  <c r="M4025" i="23"/>
  <c r="M4026" i="23"/>
  <c r="M4027" i="23"/>
  <c r="M4028" i="23"/>
  <c r="M4029" i="23"/>
  <c r="M4030" i="23"/>
  <c r="M4031" i="23"/>
  <c r="M4032" i="23"/>
  <c r="M4033" i="23"/>
  <c r="M4034" i="23"/>
  <c r="M4035" i="23"/>
  <c r="M4036" i="23"/>
  <c r="M4037" i="23"/>
  <c r="M4038" i="23"/>
  <c r="M4039" i="23"/>
  <c r="M4040" i="23"/>
  <c r="M4041" i="23"/>
  <c r="M4042" i="23"/>
  <c r="M4043" i="23"/>
  <c r="M4044" i="23"/>
  <c r="M4045" i="23"/>
  <c r="M4046" i="23"/>
  <c r="M4047" i="23"/>
  <c r="M4048" i="23"/>
  <c r="M4049" i="23"/>
  <c r="M4050" i="23"/>
  <c r="M4051" i="23"/>
  <c r="M4052" i="23"/>
  <c r="M4053" i="23"/>
  <c r="M4054" i="23"/>
  <c r="M4055" i="23"/>
  <c r="M4056" i="23"/>
  <c r="M4057" i="23"/>
  <c r="M4058" i="23"/>
  <c r="M4059" i="23"/>
  <c r="M4060" i="23"/>
  <c r="M4061" i="23"/>
  <c r="M4062" i="23"/>
  <c r="M4063" i="23"/>
  <c r="M4064" i="23"/>
  <c r="M4065" i="23"/>
  <c r="M4066" i="23"/>
  <c r="M4067" i="23"/>
  <c r="M4068" i="23"/>
  <c r="M4069" i="23"/>
  <c r="M4070" i="23"/>
  <c r="M4071" i="23"/>
  <c r="M4072" i="23"/>
  <c r="M4073" i="23"/>
  <c r="M4074" i="23"/>
  <c r="M4075" i="23"/>
  <c r="M4076" i="23"/>
  <c r="M4077" i="23"/>
  <c r="M4078" i="23"/>
  <c r="M4079" i="23"/>
  <c r="M4080" i="23"/>
  <c r="M4081" i="23"/>
  <c r="M4082" i="23"/>
  <c r="M4083" i="23"/>
  <c r="M4084" i="23"/>
  <c r="M4085" i="23"/>
  <c r="M4086" i="23"/>
  <c r="M4087" i="23"/>
  <c r="M4088" i="23"/>
  <c r="M4089" i="23"/>
  <c r="M4090" i="23"/>
  <c r="M4091" i="23"/>
  <c r="M4092" i="23"/>
  <c r="M4093" i="23"/>
  <c r="M4094" i="23"/>
  <c r="M4095" i="23"/>
  <c r="M4096" i="23"/>
  <c r="M4097" i="23"/>
  <c r="M4098" i="23"/>
  <c r="M4099" i="23"/>
  <c r="M4100" i="23"/>
  <c r="M4101" i="23"/>
  <c r="M4102" i="23"/>
  <c r="M4103" i="23"/>
  <c r="M4104" i="23"/>
  <c r="M4105" i="23"/>
  <c r="M4106" i="23"/>
  <c r="M4107" i="23"/>
  <c r="M4108" i="23"/>
  <c r="M4109" i="23"/>
  <c r="M4110" i="23"/>
  <c r="M4111" i="23"/>
  <c r="M4112" i="23"/>
  <c r="M4113" i="23"/>
  <c r="M4114" i="23"/>
  <c r="M4115" i="23"/>
  <c r="M4116" i="23"/>
  <c r="M4117" i="23"/>
  <c r="M4118" i="23"/>
  <c r="M4119" i="23"/>
  <c r="M4120" i="23"/>
  <c r="M4121" i="23"/>
  <c r="M4122" i="23"/>
  <c r="M4123" i="23"/>
  <c r="M4124" i="23"/>
  <c r="M4125" i="23"/>
  <c r="M4126" i="23"/>
  <c r="AB165" i="21"/>
  <c r="AB150" i="21"/>
  <c r="X150" i="21"/>
  <c r="AB131" i="21"/>
  <c r="X131" i="21"/>
  <c r="T13" i="21"/>
  <c r="T14" i="21"/>
  <c r="T15" i="21"/>
  <c r="T16" i="21"/>
  <c r="T17" i="21"/>
  <c r="T18" i="21"/>
  <c r="T19" i="21"/>
  <c r="T26" i="21"/>
  <c r="T27" i="21"/>
  <c r="T28" i="21"/>
  <c r="T29" i="21"/>
  <c r="T30" i="21"/>
  <c r="T31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100" i="21"/>
  <c r="T102" i="21"/>
  <c r="T103" i="21"/>
  <c r="T104" i="21"/>
  <c r="T105" i="21"/>
  <c r="T106" i="21"/>
  <c r="T107" i="21"/>
  <c r="T108" i="21"/>
  <c r="T109" i="21"/>
  <c r="T110" i="21"/>
  <c r="T111" i="21"/>
  <c r="T112" i="21"/>
  <c r="T113" i="21"/>
  <c r="T114" i="21"/>
  <c r="T115" i="21"/>
  <c r="T116" i="21"/>
  <c r="T117" i="21"/>
  <c r="T118" i="21"/>
  <c r="T119" i="21"/>
  <c r="T120" i="21"/>
  <c r="T121" i="21"/>
  <c r="T122" i="21"/>
  <c r="T124" i="21"/>
  <c r="T125" i="21"/>
  <c r="T126" i="21"/>
  <c r="T127" i="21"/>
  <c r="T128" i="21"/>
  <c r="T129" i="21"/>
  <c r="T130" i="21"/>
  <c r="T136" i="21"/>
  <c r="T137" i="21"/>
  <c r="T138" i="21"/>
  <c r="T139" i="21"/>
  <c r="T140" i="21"/>
  <c r="T141" i="21"/>
  <c r="T142" i="21"/>
  <c r="T144" i="21"/>
  <c r="T145" i="21"/>
  <c r="T146" i="21"/>
  <c r="T147" i="21"/>
  <c r="T148" i="21"/>
  <c r="T149" i="21"/>
  <c r="T150" i="21"/>
  <c r="T154" i="21"/>
  <c r="T155" i="21"/>
  <c r="T160" i="21"/>
  <c r="T161" i="21"/>
  <c r="T162" i="21"/>
  <c r="T163" i="21"/>
  <c r="T164" i="21"/>
  <c r="P13" i="21"/>
  <c r="P14" i="21"/>
  <c r="P15" i="21"/>
  <c r="P16" i="21"/>
  <c r="P17" i="21"/>
  <c r="P18" i="21"/>
  <c r="P19" i="21"/>
  <c r="P26" i="21"/>
  <c r="P27" i="21"/>
  <c r="P28" i="21"/>
  <c r="P29" i="21"/>
  <c r="P30" i="21"/>
  <c r="P31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4" i="21"/>
  <c r="P125" i="21"/>
  <c r="P126" i="21"/>
  <c r="P127" i="21"/>
  <c r="P128" i="21"/>
  <c r="P129" i="21"/>
  <c r="P130" i="21"/>
  <c r="P136" i="21"/>
  <c r="P137" i="21"/>
  <c r="P138" i="21"/>
  <c r="P139" i="21"/>
  <c r="P140" i="21"/>
  <c r="P141" i="21"/>
  <c r="P142" i="21"/>
  <c r="P144" i="21"/>
  <c r="P145" i="21"/>
  <c r="P146" i="21"/>
  <c r="P147" i="21"/>
  <c r="P148" i="21"/>
  <c r="P149" i="21"/>
  <c r="P150" i="21"/>
  <c r="P154" i="21"/>
  <c r="P155" i="21"/>
  <c r="P160" i="21"/>
  <c r="P161" i="21"/>
  <c r="P162" i="21"/>
  <c r="P163" i="21"/>
  <c r="P164" i="21"/>
  <c r="X164" i="21"/>
  <c r="X163" i="21"/>
  <c r="X162" i="21"/>
  <c r="X161" i="21"/>
  <c r="X160" i="21"/>
  <c r="X155" i="21"/>
  <c r="X154" i="21"/>
  <c r="X149" i="21"/>
  <c r="X148" i="21"/>
  <c r="X147" i="21"/>
  <c r="X146" i="21"/>
  <c r="X145" i="21"/>
  <c r="X144" i="21"/>
  <c r="X142" i="21"/>
  <c r="X141" i="21"/>
  <c r="X140" i="21"/>
  <c r="X139" i="21"/>
  <c r="X138" i="21"/>
  <c r="X137" i="21"/>
  <c r="X136" i="21"/>
  <c r="X130" i="21"/>
  <c r="X129" i="21"/>
  <c r="X128" i="21"/>
  <c r="X127" i="21"/>
  <c r="X126" i="21"/>
  <c r="X125" i="21"/>
  <c r="X124" i="21"/>
  <c r="X122" i="21"/>
  <c r="X121" i="21"/>
  <c r="X120" i="21"/>
  <c r="X119" i="21"/>
  <c r="X118" i="21"/>
  <c r="X117" i="21"/>
  <c r="X116" i="21"/>
  <c r="X115" i="21"/>
  <c r="X114" i="21"/>
  <c r="X113" i="21"/>
  <c r="X112" i="21"/>
  <c r="X111" i="21"/>
  <c r="X110" i="21"/>
  <c r="X109" i="21"/>
  <c r="X108" i="21"/>
  <c r="X107" i="21"/>
  <c r="X106" i="21"/>
  <c r="X105" i="21"/>
  <c r="X104" i="21"/>
  <c r="X103" i="21"/>
  <c r="X102" i="21"/>
  <c r="X100" i="21"/>
  <c r="X99" i="21"/>
  <c r="X98" i="21"/>
  <c r="X97" i="21"/>
  <c r="X96" i="21"/>
  <c r="X95" i="21"/>
  <c r="X94" i="21"/>
  <c r="X93" i="21"/>
  <c r="X92" i="21"/>
  <c r="X91" i="21"/>
  <c r="X90" i="21"/>
  <c r="X89" i="21"/>
  <c r="X88" i="21"/>
  <c r="X87" i="21"/>
  <c r="X86" i="21"/>
  <c r="X84" i="21"/>
  <c r="X83" i="21"/>
  <c r="X82" i="21"/>
  <c r="X81" i="21"/>
  <c r="X80" i="21"/>
  <c r="X79" i="21"/>
  <c r="X78" i="21"/>
  <c r="X77" i="21"/>
  <c r="X76" i="21"/>
  <c r="X75" i="21"/>
  <c r="X74" i="21"/>
  <c r="X73" i="21"/>
  <c r="X72" i="21"/>
  <c r="X71" i="21"/>
  <c r="X70" i="21"/>
  <c r="X69" i="21"/>
  <c r="X68" i="21"/>
  <c r="X62" i="21"/>
  <c r="X61" i="21"/>
  <c r="X60" i="21"/>
  <c r="X59" i="21"/>
  <c r="X58" i="21"/>
  <c r="X57" i="21"/>
  <c r="X56" i="21"/>
  <c r="X55" i="21"/>
  <c r="X54" i="21"/>
  <c r="X53" i="21"/>
  <c r="X52" i="21"/>
  <c r="X51" i="21"/>
  <c r="X50" i="21"/>
  <c r="X49" i="21"/>
  <c r="X48" i="21"/>
  <c r="X47" i="21"/>
  <c r="X45" i="21"/>
  <c r="X44" i="21"/>
  <c r="X43" i="21"/>
  <c r="X42" i="21"/>
  <c r="X41" i="21"/>
  <c r="X40" i="21"/>
  <c r="X39" i="21"/>
  <c r="X38" i="21"/>
  <c r="X37" i="21"/>
  <c r="X36" i="21"/>
  <c r="X35" i="21"/>
  <c r="X34" i="21"/>
  <c r="X33" i="21"/>
  <c r="X31" i="21"/>
  <c r="X30" i="21"/>
  <c r="X29" i="21"/>
  <c r="X28" i="21"/>
  <c r="X27" i="21"/>
  <c r="X26" i="21"/>
  <c r="X19" i="21"/>
  <c r="X18" i="21"/>
  <c r="X17" i="21"/>
  <c r="X16" i="21"/>
  <c r="X15" i="21"/>
  <c r="X14" i="21"/>
  <c r="X13" i="21"/>
  <c r="AB163" i="21"/>
  <c r="AB164" i="21"/>
  <c r="AB162" i="21"/>
  <c r="AB161" i="21"/>
  <c r="AB160" i="21"/>
  <c r="AB155" i="21"/>
  <c r="AB154" i="21"/>
  <c r="AB149" i="21"/>
  <c r="AB148" i="21"/>
  <c r="AB147" i="21"/>
  <c r="AB146" i="21"/>
  <c r="AB145" i="21"/>
  <c r="AB144" i="21"/>
  <c r="AB142" i="21"/>
  <c r="AB141" i="21"/>
  <c r="AB140" i="21"/>
  <c r="AB139" i="21"/>
  <c r="AB138" i="21"/>
  <c r="AB137" i="21"/>
  <c r="AB136" i="21"/>
  <c r="AB130" i="21"/>
  <c r="AB129" i="21"/>
  <c r="AB128" i="21"/>
  <c r="AB127" i="21"/>
  <c r="AB126" i="21"/>
  <c r="AB125" i="21"/>
  <c r="AB124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0" i="21"/>
  <c r="AB99" i="21"/>
  <c r="AB98" i="21"/>
  <c r="AB97" i="21"/>
  <c r="AB96" i="21"/>
  <c r="AB95" i="21"/>
  <c r="AB94" i="21"/>
  <c r="AB93" i="21"/>
  <c r="AB92" i="21"/>
  <c r="AB91" i="21"/>
  <c r="AB90" i="21"/>
  <c r="AB89" i="21"/>
  <c r="AB88" i="21"/>
  <c r="AB87" i="21"/>
  <c r="AB86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72" i="21"/>
  <c r="AB71" i="21"/>
  <c r="AB70" i="21"/>
  <c r="AB69" i="21"/>
  <c r="AB68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5" i="21"/>
  <c r="AB44" i="21"/>
  <c r="AB43" i="21"/>
  <c r="AB42" i="21"/>
  <c r="AB41" i="21"/>
  <c r="AB40" i="21"/>
  <c r="AB39" i="21"/>
  <c r="AB38" i="21"/>
  <c r="AB37" i="21"/>
  <c r="AB36" i="21"/>
  <c r="AB35" i="21"/>
  <c r="AB34" i="21"/>
  <c r="AB33" i="21"/>
  <c r="AB31" i="21"/>
  <c r="AB30" i="21"/>
  <c r="AB29" i="21"/>
  <c r="AB28" i="21"/>
  <c r="AB27" i="21"/>
  <c r="AB26" i="21"/>
  <c r="AB19" i="21"/>
  <c r="AB18" i="21"/>
  <c r="AB17" i="21"/>
  <c r="AB16" i="21"/>
  <c r="AB15" i="21"/>
  <c r="AB14" i="21"/>
  <c r="AB13" i="21"/>
  <c r="B120" i="25"/>
  <c r="AG102" i="21" l="1"/>
  <c r="AG33" i="21"/>
  <c r="AF24" i="21"/>
  <c r="AG24" i="21" s="1"/>
  <c r="AG34" i="21"/>
  <c r="AF123" i="21"/>
  <c r="AG123" i="21" s="1"/>
  <c r="AF67" i="21"/>
  <c r="AG103" i="21"/>
  <c r="AF12" i="21"/>
  <c r="AF46" i="21"/>
  <c r="AG46" i="21" s="1"/>
  <c r="AF85" i="21"/>
  <c r="AG85" i="21" s="1"/>
  <c r="T24" i="21"/>
  <c r="T159" i="21"/>
  <c r="T143" i="21"/>
  <c r="T134" i="21" s="1"/>
  <c r="P143" i="21"/>
  <c r="P134" i="21" s="1"/>
  <c r="P123" i="21"/>
  <c r="P24" i="21"/>
  <c r="P159" i="21"/>
  <c r="T12" i="21"/>
  <c r="T21" i="21" s="1"/>
  <c r="P32" i="21"/>
  <c r="P46" i="21"/>
  <c r="T101" i="21"/>
  <c r="T85" i="21"/>
  <c r="P101" i="21"/>
  <c r="P85" i="21"/>
  <c r="T67" i="21"/>
  <c r="T32" i="21"/>
  <c r="T46" i="21"/>
  <c r="P67" i="21"/>
  <c r="P12" i="21"/>
  <c r="P21" i="21" s="1"/>
  <c r="T123" i="21"/>
  <c r="Z18" i="21"/>
  <c r="AC18" i="21" s="1"/>
  <c r="Z17" i="21"/>
  <c r="AC17" i="21" s="1"/>
  <c r="Z16" i="21"/>
  <c r="AC16" i="21" s="1"/>
  <c r="Z15" i="21"/>
  <c r="AC15" i="21" s="1"/>
  <c r="Z14" i="21"/>
  <c r="AC14" i="21" s="1"/>
  <c r="Z13" i="21"/>
  <c r="AC13" i="21" s="1"/>
  <c r="Z31" i="21"/>
  <c r="AC31" i="21" s="1"/>
  <c r="Z30" i="21"/>
  <c r="AC30" i="21" s="1"/>
  <c r="Z29" i="21"/>
  <c r="Z28" i="21"/>
  <c r="AC28" i="21" s="1"/>
  <c r="Z27" i="21"/>
  <c r="AC27" i="21" s="1"/>
  <c r="Z26" i="21"/>
  <c r="AC26" i="21" s="1"/>
  <c r="Z25" i="21"/>
  <c r="AB159" i="21"/>
  <c r="AC128" i="21"/>
  <c r="AC126" i="21"/>
  <c r="AC125" i="21"/>
  <c r="AC124" i="21"/>
  <c r="AC122" i="21"/>
  <c r="AC121" i="21"/>
  <c r="AC120" i="21"/>
  <c r="AC118" i="21"/>
  <c r="AC117" i="21"/>
  <c r="AC114" i="21"/>
  <c r="AC113" i="21"/>
  <c r="AC111" i="21"/>
  <c r="AC110" i="21"/>
  <c r="AC109" i="21"/>
  <c r="AC108" i="21"/>
  <c r="AC107" i="21"/>
  <c r="AC106" i="21"/>
  <c r="AC105" i="21"/>
  <c r="AC104" i="21"/>
  <c r="AC103" i="21"/>
  <c r="AC102" i="21"/>
  <c r="AC100" i="21"/>
  <c r="AC99" i="21"/>
  <c r="AC98" i="21"/>
  <c r="AC97" i="21"/>
  <c r="AC96" i="21"/>
  <c r="AC95" i="21"/>
  <c r="AC94" i="21"/>
  <c r="AC93" i="21"/>
  <c r="AC92" i="21"/>
  <c r="AC91" i="21"/>
  <c r="AC90" i="21"/>
  <c r="AC88" i="21"/>
  <c r="AC87" i="21"/>
  <c r="AC84" i="21"/>
  <c r="AC83" i="21"/>
  <c r="AC82" i="21"/>
  <c r="AC81" i="21"/>
  <c r="AC80" i="21"/>
  <c r="AC79" i="21"/>
  <c r="AC78" i="21"/>
  <c r="AC77" i="21"/>
  <c r="AC76" i="21"/>
  <c r="AC75" i="21"/>
  <c r="AC74" i="21"/>
  <c r="AC72" i="21"/>
  <c r="AC71" i="21"/>
  <c r="AC62" i="21"/>
  <c r="AC61" i="21"/>
  <c r="AC60" i="21"/>
  <c r="AC59" i="21"/>
  <c r="AC58" i="21"/>
  <c r="AC57" i="21"/>
  <c r="AC56" i="21"/>
  <c r="AC130" i="21"/>
  <c r="AC129" i="21"/>
  <c r="AC127" i="21"/>
  <c r="AC119" i="21"/>
  <c r="AC116" i="21"/>
  <c r="AC115" i="21"/>
  <c r="AC112" i="21"/>
  <c r="AC89" i="21"/>
  <c r="AC73" i="21"/>
  <c r="AC70" i="21"/>
  <c r="AC69" i="21"/>
  <c r="AC68" i="21"/>
  <c r="AC55" i="21"/>
  <c r="AC54" i="21"/>
  <c r="AC53" i="21"/>
  <c r="AC52" i="21"/>
  <c r="AC51" i="21"/>
  <c r="AC50" i="21"/>
  <c r="AC48" i="21"/>
  <c r="AC47" i="21"/>
  <c r="AC45" i="21"/>
  <c r="AC44" i="21"/>
  <c r="AC43" i="21"/>
  <c r="AC42" i="21"/>
  <c r="AC41" i="21"/>
  <c r="AC40" i="21"/>
  <c r="AC39" i="21"/>
  <c r="AC38" i="21"/>
  <c r="AC37" i="21"/>
  <c r="AC36" i="21"/>
  <c r="AC34" i="21"/>
  <c r="AC33" i="21"/>
  <c r="AC29" i="21"/>
  <c r="AC19" i="21"/>
  <c r="AC10" i="21"/>
  <c r="AE159" i="21"/>
  <c r="AH166" i="21"/>
  <c r="AT159" i="21"/>
  <c r="AU159" i="21" s="1"/>
  <c r="AR159" i="21"/>
  <c r="AR166" i="21" s="1"/>
  <c r="AP159" i="21"/>
  <c r="AP166" i="21" s="1"/>
  <c r="AN159" i="21"/>
  <c r="AN166" i="21" s="1"/>
  <c r="AL159" i="21"/>
  <c r="AM159" i="21" s="1"/>
  <c r="AJ159" i="21"/>
  <c r="AK159" i="21" s="1"/>
  <c r="AH159" i="21"/>
  <c r="AI159" i="21" s="1"/>
  <c r="AD159" i="21"/>
  <c r="AD166" i="21" s="1"/>
  <c r="Z159" i="21"/>
  <c r="AA159" i="21" s="1"/>
  <c r="V159" i="21"/>
  <c r="W159" i="21" s="1"/>
  <c r="R159" i="21"/>
  <c r="S159" i="21" s="1"/>
  <c r="N159" i="21"/>
  <c r="O159" i="21" s="1"/>
  <c r="AW164" i="21"/>
  <c r="AW163" i="21"/>
  <c r="AW162" i="21"/>
  <c r="AW161" i="21"/>
  <c r="AW160" i="21"/>
  <c r="AF66" i="21" l="1"/>
  <c r="AG66" i="21" s="1"/>
  <c r="AG67" i="21"/>
  <c r="AF21" i="21"/>
  <c r="AG12" i="21"/>
  <c r="AF23" i="21"/>
  <c r="AG23" i="21" s="1"/>
  <c r="AJ166" i="21"/>
  <c r="AO159" i="21"/>
  <c r="AT166" i="21"/>
  <c r="T23" i="21"/>
  <c r="T64" i="21" s="1"/>
  <c r="P23" i="21"/>
  <c r="P64" i="21" s="1"/>
  <c r="T66" i="21"/>
  <c r="T132" i="21" s="1"/>
  <c r="T151" i="21" s="1"/>
  <c r="T157" i="21" s="1"/>
  <c r="T166" i="21" s="1"/>
  <c r="P66" i="21"/>
  <c r="Z24" i="21"/>
  <c r="AB12" i="21"/>
  <c r="AB21" i="21" s="1"/>
  <c r="AC21" i="21" s="1"/>
  <c r="AB143" i="21"/>
  <c r="AB134" i="21" s="1"/>
  <c r="AC134" i="21" s="1"/>
  <c r="AB32" i="21"/>
  <c r="AC32" i="21" s="1"/>
  <c r="AB24" i="21"/>
  <c r="AC24" i="21" s="1"/>
  <c r="AC25" i="21"/>
  <c r="AB85" i="21"/>
  <c r="AC85" i="21" s="1"/>
  <c r="AB46" i="21"/>
  <c r="AC46" i="21" s="1"/>
  <c r="AC35" i="21"/>
  <c r="AC86" i="21"/>
  <c r="AB101" i="21"/>
  <c r="AC101" i="21" s="1"/>
  <c r="AB67" i="21"/>
  <c r="AB123" i="21"/>
  <c r="AC123" i="21" s="1"/>
  <c r="AC49" i="21"/>
  <c r="X159" i="21"/>
  <c r="Z166" i="21"/>
  <c r="AL166" i="21"/>
  <c r="N166" i="21"/>
  <c r="O166" i="21" s="1"/>
  <c r="AQ159" i="21"/>
  <c r="V166" i="21"/>
  <c r="AS159" i="21"/>
  <c r="R166" i="21"/>
  <c r="AW159" i="21"/>
  <c r="AF64" i="21" l="1"/>
  <c r="AG21" i="21"/>
  <c r="P132" i="21"/>
  <c r="P151" i="21" s="1"/>
  <c r="P157" i="21" s="1"/>
  <c r="P166" i="21" s="1"/>
  <c r="AC12" i="21"/>
  <c r="AB23" i="21"/>
  <c r="AC67" i="21"/>
  <c r="AB66" i="21"/>
  <c r="AC66" i="21" s="1"/>
  <c r="AW166" i="21"/>
  <c r="V31" i="21"/>
  <c r="V30" i="21"/>
  <c r="V29" i="21"/>
  <c r="V28" i="21"/>
  <c r="V27" i="21"/>
  <c r="V26" i="21"/>
  <c r="Y26" i="21" s="1"/>
  <c r="V25" i="21"/>
  <c r="R31" i="21"/>
  <c r="R30" i="21"/>
  <c r="R29" i="21"/>
  <c r="R28" i="21"/>
  <c r="R27" i="21"/>
  <c r="R26" i="21"/>
  <c r="U26" i="21" s="1"/>
  <c r="R25" i="21"/>
  <c r="N31" i="21"/>
  <c r="N30" i="21"/>
  <c r="N29" i="21"/>
  <c r="N28" i="21"/>
  <c r="N27" i="21"/>
  <c r="N26" i="21"/>
  <c r="N25" i="21"/>
  <c r="N24" i="21" s="1"/>
  <c r="N23" i="21" s="1"/>
  <c r="V18" i="21"/>
  <c r="V17" i="21"/>
  <c r="V16" i="21"/>
  <c r="V15" i="21"/>
  <c r="V14" i="21"/>
  <c r="V13" i="21"/>
  <c r="R18" i="21"/>
  <c r="R17" i="21"/>
  <c r="R16" i="21"/>
  <c r="R15" i="21"/>
  <c r="R14" i="21"/>
  <c r="R13" i="21"/>
  <c r="N18" i="21"/>
  <c r="N17" i="21"/>
  <c r="N16" i="21"/>
  <c r="N15" i="21"/>
  <c r="N14" i="21"/>
  <c r="N13" i="21"/>
  <c r="AF132" i="21" l="1"/>
  <c r="AG64" i="21"/>
  <c r="AC23" i="21"/>
  <c r="AB64" i="21"/>
  <c r="AC64" i="21" s="1"/>
  <c r="R24" i="21"/>
  <c r="R23" i="21" s="1"/>
  <c r="V24" i="21"/>
  <c r="V23" i="21" s="1"/>
  <c r="U18" i="21"/>
  <c r="Y18" i="21"/>
  <c r="Q26" i="21"/>
  <c r="Q18" i="21"/>
  <c r="Y130" i="21"/>
  <c r="Y129" i="21"/>
  <c r="Y128" i="21"/>
  <c r="Y127" i="21"/>
  <c r="Y126" i="21"/>
  <c r="Y125" i="21"/>
  <c r="Y124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5" i="21"/>
  <c r="Y104" i="21"/>
  <c r="Y103" i="21"/>
  <c r="Y102" i="21"/>
  <c r="Y100" i="21"/>
  <c r="Y99" i="21"/>
  <c r="Y98" i="21"/>
  <c r="Y97" i="21"/>
  <c r="Y96" i="21"/>
  <c r="Y95" i="21"/>
  <c r="Y94" i="21"/>
  <c r="Y93" i="21"/>
  <c r="Y92" i="21"/>
  <c r="Y91" i="21"/>
  <c r="Y90" i="21"/>
  <c r="Y89" i="21"/>
  <c r="Y88" i="21"/>
  <c r="Y87" i="21"/>
  <c r="Y86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72" i="21"/>
  <c r="Y71" i="21"/>
  <c r="Y70" i="21"/>
  <c r="Y69" i="21"/>
  <c r="Y68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5" i="21"/>
  <c r="Y44" i="21"/>
  <c r="Y43" i="21"/>
  <c r="Y42" i="21"/>
  <c r="Y41" i="21"/>
  <c r="Y40" i="21"/>
  <c r="Y39" i="21"/>
  <c r="Y38" i="21"/>
  <c r="Y37" i="21"/>
  <c r="Y36" i="21"/>
  <c r="Y35" i="21"/>
  <c r="Y34" i="21"/>
  <c r="Y31" i="21"/>
  <c r="Y30" i="21"/>
  <c r="Y29" i="21"/>
  <c r="Y28" i="21"/>
  <c r="Y27" i="21"/>
  <c r="Y19" i="21"/>
  <c r="Y17" i="21"/>
  <c r="Y16" i="21"/>
  <c r="Y15" i="21"/>
  <c r="Y14" i="21"/>
  <c r="Y13" i="21"/>
  <c r="U130" i="21"/>
  <c r="U129" i="21"/>
  <c r="U128" i="21"/>
  <c r="U127" i="21"/>
  <c r="U126" i="21"/>
  <c r="U125" i="21"/>
  <c r="U124" i="21"/>
  <c r="U122" i="21"/>
  <c r="U121" i="21"/>
  <c r="U120" i="21"/>
  <c r="U119" i="21"/>
  <c r="U118" i="21"/>
  <c r="U117" i="21"/>
  <c r="U116" i="21"/>
  <c r="U115" i="21"/>
  <c r="U114" i="21"/>
  <c r="U113" i="21"/>
  <c r="U112" i="21"/>
  <c r="U111" i="21"/>
  <c r="U110" i="21"/>
  <c r="U109" i="21"/>
  <c r="U108" i="21"/>
  <c r="U107" i="21"/>
  <c r="U106" i="21"/>
  <c r="U105" i="21"/>
  <c r="U104" i="21"/>
  <c r="U103" i="21"/>
  <c r="U102" i="21"/>
  <c r="U100" i="21"/>
  <c r="U99" i="21"/>
  <c r="U98" i="21"/>
  <c r="U97" i="21"/>
  <c r="U96" i="21"/>
  <c r="U95" i="21"/>
  <c r="U94" i="21"/>
  <c r="U93" i="21"/>
  <c r="U92" i="21"/>
  <c r="U90" i="21"/>
  <c r="U88" i="21"/>
  <c r="U87" i="21"/>
  <c r="U86" i="21"/>
  <c r="U84" i="21"/>
  <c r="U83" i="21"/>
  <c r="U82" i="21"/>
  <c r="U81" i="21"/>
  <c r="U80" i="21"/>
  <c r="U79" i="21"/>
  <c r="U78" i="21"/>
  <c r="U77" i="21"/>
  <c r="U76" i="21"/>
  <c r="U75" i="21"/>
  <c r="U74" i="21"/>
  <c r="U72" i="21"/>
  <c r="U71" i="21"/>
  <c r="U70" i="21"/>
  <c r="U69" i="21"/>
  <c r="U68" i="21"/>
  <c r="U62" i="21"/>
  <c r="U61" i="21"/>
  <c r="U60" i="21"/>
  <c r="U59" i="21"/>
  <c r="U58" i="21"/>
  <c r="U57" i="21"/>
  <c r="U56" i="21"/>
  <c r="U55" i="21"/>
  <c r="U54" i="21"/>
  <c r="U53" i="21"/>
  <c r="U50" i="21"/>
  <c r="U49" i="21"/>
  <c r="U48" i="21"/>
  <c r="U47" i="21"/>
  <c r="U45" i="21"/>
  <c r="U44" i="21"/>
  <c r="U43" i="21"/>
  <c r="U42" i="21"/>
  <c r="U41" i="21"/>
  <c r="U40" i="21"/>
  <c r="U39" i="21"/>
  <c r="U38" i="21"/>
  <c r="U37" i="21"/>
  <c r="U36" i="21"/>
  <c r="U35" i="21"/>
  <c r="U34" i="21"/>
  <c r="U33" i="21"/>
  <c r="U31" i="21"/>
  <c r="U30" i="21"/>
  <c r="U29" i="21"/>
  <c r="U28" i="21"/>
  <c r="U27" i="21"/>
  <c r="U25" i="21"/>
  <c r="U19" i="21"/>
  <c r="U17" i="21"/>
  <c r="U16" i="21"/>
  <c r="U15" i="21"/>
  <c r="U14" i="21"/>
  <c r="U13" i="21"/>
  <c r="Q130" i="21"/>
  <c r="Q129" i="21"/>
  <c r="Q128" i="21"/>
  <c r="Q127" i="21"/>
  <c r="Q126" i="21"/>
  <c r="Q125" i="21"/>
  <c r="Q124" i="21"/>
  <c r="Q122" i="21"/>
  <c r="Q121" i="21"/>
  <c r="Q120" i="21"/>
  <c r="Q119" i="21"/>
  <c r="Q118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0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7" i="21"/>
  <c r="Q45" i="21"/>
  <c r="Q44" i="21"/>
  <c r="Q43" i="21"/>
  <c r="Q42" i="21"/>
  <c r="Q41" i="21"/>
  <c r="Q40" i="21"/>
  <c r="Q39" i="21"/>
  <c r="Q38" i="21"/>
  <c r="Q37" i="21"/>
  <c r="Q36" i="21"/>
  <c r="Q35" i="21"/>
  <c r="Q34" i="21"/>
  <c r="Q31" i="21"/>
  <c r="Q30" i="21"/>
  <c r="Q29" i="21"/>
  <c r="Q28" i="21"/>
  <c r="Q27" i="21"/>
  <c r="Q19" i="21"/>
  <c r="Q17" i="21"/>
  <c r="Q16" i="21"/>
  <c r="Q15" i="21"/>
  <c r="Q14" i="21"/>
  <c r="Q13" i="21"/>
  <c r="Y10" i="21"/>
  <c r="U10" i="21"/>
  <c r="Q10" i="21"/>
  <c r="AG132" i="21" l="1"/>
  <c r="AF151" i="21"/>
  <c r="AB132" i="21"/>
  <c r="AC132" i="21" s="1"/>
  <c r="U134" i="21"/>
  <c r="Q134" i="21"/>
  <c r="X143" i="21"/>
  <c r="X134" i="21" s="1"/>
  <c r="Y134" i="21" s="1"/>
  <c r="X24" i="21"/>
  <c r="Y24" i="21" s="1"/>
  <c r="X101" i="21"/>
  <c r="Y101" i="21" s="1"/>
  <c r="X32" i="21"/>
  <c r="Y32" i="21" s="1"/>
  <c r="X85" i="21"/>
  <c r="Y85" i="21" s="1"/>
  <c r="Y25" i="21"/>
  <c r="Y33" i="21"/>
  <c r="X12" i="21"/>
  <c r="X46" i="21"/>
  <c r="Y46" i="21" s="1"/>
  <c r="Y106" i="21"/>
  <c r="X123" i="21"/>
  <c r="Y123" i="21" s="1"/>
  <c r="X67" i="21"/>
  <c r="U24" i="21"/>
  <c r="U46" i="21"/>
  <c r="U67" i="21"/>
  <c r="U85" i="21"/>
  <c r="U89" i="21"/>
  <c r="U51" i="21"/>
  <c r="U32" i="21"/>
  <c r="U123" i="21"/>
  <c r="U73" i="21"/>
  <c r="U91" i="21"/>
  <c r="U101" i="21"/>
  <c r="U52" i="21"/>
  <c r="Q32" i="21"/>
  <c r="Q46" i="21"/>
  <c r="Q24" i="21"/>
  <c r="Q67" i="21"/>
  <c r="Q85" i="21"/>
  <c r="Q33" i="21"/>
  <c r="Q101" i="21"/>
  <c r="Q123" i="21"/>
  <c r="Q25" i="21"/>
  <c r="AF157" i="21" l="1"/>
  <c r="AG151" i="21"/>
  <c r="AB151" i="21"/>
  <c r="AB157" i="21" s="1"/>
  <c r="Y12" i="21"/>
  <c r="X21" i="21"/>
  <c r="U12" i="21"/>
  <c r="Q12" i="21"/>
  <c r="X23" i="21"/>
  <c r="Y23" i="21" s="1"/>
  <c r="Y67" i="21"/>
  <c r="X66" i="21"/>
  <c r="Y66" i="21" s="1"/>
  <c r="U23" i="21"/>
  <c r="U66" i="21"/>
  <c r="Q23" i="21"/>
  <c r="Q66" i="21"/>
  <c r="AF166" i="21" l="1"/>
  <c r="AG157" i="21"/>
  <c r="AC151" i="21"/>
  <c r="AB166" i="21"/>
  <c r="AC157" i="21"/>
  <c r="Q21" i="21"/>
  <c r="X64" i="21"/>
  <c r="Y21" i="21"/>
  <c r="U21" i="21"/>
  <c r="U64" i="21" l="1"/>
  <c r="U132" i="21"/>
  <c r="Y64" i="21"/>
  <c r="X132" i="21"/>
  <c r="Y132" i="21" s="1"/>
  <c r="Q64" i="21"/>
  <c r="Q132" i="21"/>
  <c r="X151" i="21" l="1"/>
  <c r="Q151" i="21" l="1"/>
  <c r="U151" i="21"/>
  <c r="Y151" i="21"/>
  <c r="X157" i="21"/>
  <c r="Y157" i="21" l="1"/>
  <c r="X166" i="21"/>
  <c r="U157" i="21"/>
  <c r="Q15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KATO</author>
  </authors>
  <commentList>
    <comment ref="P49" authorId="0" shapeId="0" xr:uid="{3A76DB5E-940A-4449-BCA8-9555E60FB04E}">
      <text>
        <r>
          <rPr>
            <b/>
            <sz val="9"/>
            <color indexed="81"/>
            <rFont val="Segoe UI"/>
            <family val="2"/>
          </rPr>
          <t>RAFAEL KATO:</t>
        </r>
        <r>
          <rPr>
            <sz val="9"/>
            <color indexed="81"/>
            <rFont val="Segoe UI"/>
            <family val="2"/>
          </rPr>
          <t xml:space="preserve">
Lanche para pessoal que ficou fazendo hora extra</t>
        </r>
      </text>
    </comment>
    <comment ref="P59" authorId="0" shapeId="0" xr:uid="{7818917A-3F7D-4FA0-A1AD-844F2D3C31AE}">
      <text>
        <r>
          <rPr>
            <b/>
            <sz val="9"/>
            <color indexed="81"/>
            <rFont val="Segoe UI"/>
            <family val="2"/>
          </rPr>
          <t>RAFAEL KATO:</t>
        </r>
        <r>
          <rPr>
            <sz val="9"/>
            <color indexed="81"/>
            <rFont val="Segoe UI"/>
            <family val="2"/>
          </rPr>
          <t xml:space="preserve">
Fichas CIS Assessment para realizar DNA empresarial;
Treinamento Matheus PWR
Treinamento Seven (Carregamento e etiquetas)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1F6DC7-46C6-4DDE-8A6A-0A8CDD884734}" keepAlive="1" interval="60" name="Consulta - DESPESAS" description="Conexão com a consulta 'DESPESAS' na pasta de trabalho." type="5" refreshedVersion="8" background="1" refreshOnLoad="1" saveData="1">
    <dbPr connection="Provider=Microsoft.Mashup.OleDb.1;Data Source=$Workbook$;Location=DESPESAS;Extended Properties=&quot;&quot;" command="SELECT * FROM [DESPESAS]"/>
  </connection>
</connections>
</file>

<file path=xl/sharedStrings.xml><?xml version="1.0" encoding="utf-8"?>
<sst xmlns="http://schemas.openxmlformats.org/spreadsheetml/2006/main" count="17965" uniqueCount="3973">
  <si>
    <t>Faturamento</t>
  </si>
  <si>
    <t>Deduções</t>
  </si>
  <si>
    <t>Simples Nacional</t>
  </si>
  <si>
    <t>ICMS</t>
  </si>
  <si>
    <t>PIS</t>
  </si>
  <si>
    <t>IPI</t>
  </si>
  <si>
    <t>COFINS</t>
  </si>
  <si>
    <t>Outros Impostos</t>
  </si>
  <si>
    <t>Receita Líquida</t>
  </si>
  <si>
    <t>CPV</t>
  </si>
  <si>
    <t>Compras</t>
  </si>
  <si>
    <t>Compras - Espuma</t>
  </si>
  <si>
    <t>Compras - Tecido</t>
  </si>
  <si>
    <t>Compras - Madeira</t>
  </si>
  <si>
    <t>Compras - Pés/Mecanismos/Bases</t>
  </si>
  <si>
    <t>Frete sobre compras</t>
  </si>
  <si>
    <t>Custos Diretos</t>
  </si>
  <si>
    <t>Energia Eletrica (Prod)</t>
  </si>
  <si>
    <t>Material de Expediente (Prod)</t>
  </si>
  <si>
    <t>EPIs/Uniformes (Prod)</t>
  </si>
  <si>
    <t>Salarios e Ordenados MOD</t>
  </si>
  <si>
    <t>Horas Extras MOD</t>
  </si>
  <si>
    <t>13° Salario MOD</t>
  </si>
  <si>
    <t>Gratificacoes MOD</t>
  </si>
  <si>
    <t>Rescisões MOD</t>
  </si>
  <si>
    <t>Assistência Médica MOD</t>
  </si>
  <si>
    <t>Seguro de Vida MOD</t>
  </si>
  <si>
    <t>FGTS MOD</t>
  </si>
  <si>
    <t>INSS MOD</t>
  </si>
  <si>
    <t>Férias MOD</t>
  </si>
  <si>
    <t>Custos Indiretos de Fabricação</t>
  </si>
  <si>
    <t>Manutenção de Equipamentos (Prod)</t>
  </si>
  <si>
    <t>Salarios e Ordenados CIF</t>
  </si>
  <si>
    <t>Horas Extras CIF</t>
  </si>
  <si>
    <t>13° Salario CIF</t>
  </si>
  <si>
    <t>Gratificações CIF</t>
  </si>
  <si>
    <t>Rescisões CIF</t>
  </si>
  <si>
    <t>Assistência Médica CIF</t>
  </si>
  <si>
    <t>Seguro de Vida CIF</t>
  </si>
  <si>
    <t>FGTS CIF</t>
  </si>
  <si>
    <t>INSS CIF</t>
  </si>
  <si>
    <t>Férias CIF</t>
  </si>
  <si>
    <t>Medicina e Seguranca do Trabalho CIF</t>
  </si>
  <si>
    <t>Cursos e Treinamentos CIF</t>
  </si>
  <si>
    <t>Material de Limpeza CIF</t>
  </si>
  <si>
    <t>Manutenção Predial CIF</t>
  </si>
  <si>
    <t>IPTU e Taxas Municipais CIF</t>
  </si>
  <si>
    <t xml:space="preserve"> </t>
  </si>
  <si>
    <t>Despesa com Pessoal</t>
  </si>
  <si>
    <t>Pró-Labore</t>
  </si>
  <si>
    <t>Salarios e Ordenados (Adm)</t>
  </si>
  <si>
    <t>Horas Extras (adm)</t>
  </si>
  <si>
    <t>13° Salario (Adm)</t>
  </si>
  <si>
    <t>Ferias (Adm)</t>
  </si>
  <si>
    <t>Gratificações (Adm)</t>
  </si>
  <si>
    <t>EPIs/Uniformes (Adm)</t>
  </si>
  <si>
    <t>Rescisões (Adm)</t>
  </si>
  <si>
    <t>Indenização Trabalhista</t>
  </si>
  <si>
    <t>Assistência Médica (Adm)</t>
  </si>
  <si>
    <t>Seguro de Vida (Adm)</t>
  </si>
  <si>
    <t>INSS (Adm)</t>
  </si>
  <si>
    <t>FGTS (Adm)</t>
  </si>
  <si>
    <t>Medicina e Seguranca do Trabalho (Adm)</t>
  </si>
  <si>
    <t>Manutenção Predial (Adm)</t>
  </si>
  <si>
    <t>Cursos e Treinamentos (Adm)</t>
  </si>
  <si>
    <t>Confraternização</t>
  </si>
  <si>
    <t>Despesas Administrativas</t>
  </si>
  <si>
    <t>Aluguel de Imóvel</t>
  </si>
  <si>
    <t>Água</t>
  </si>
  <si>
    <t>Energia Eletrica (Adm)</t>
  </si>
  <si>
    <t>Telefone e Internet</t>
  </si>
  <si>
    <t>Material de Expediente (Adm)</t>
  </si>
  <si>
    <t>Material de Limpeza (Adm)</t>
  </si>
  <si>
    <t>Copa</t>
  </si>
  <si>
    <t>SPC/Serasa/Associacao</t>
  </si>
  <si>
    <t>Despesas Cartorárias</t>
  </si>
  <si>
    <t>Seguros Veicular</t>
  </si>
  <si>
    <t>Combustíveis (Adm)</t>
  </si>
  <si>
    <t>Rastreamento de frota</t>
  </si>
  <si>
    <t>Correios</t>
  </si>
  <si>
    <t>Alimentação</t>
  </si>
  <si>
    <t>Doações</t>
  </si>
  <si>
    <t>Despesas Comerciais</t>
  </si>
  <si>
    <t>Carregamento</t>
  </si>
  <si>
    <t>Combustiveis Frota</t>
  </si>
  <si>
    <t>Pedágio Frota</t>
  </si>
  <si>
    <t>IPVA e Licenciamento</t>
  </si>
  <si>
    <t>Multas de Trânsito</t>
  </si>
  <si>
    <t>Manutenção com veiculos</t>
  </si>
  <si>
    <t>Fretes</t>
  </si>
  <si>
    <t>Fretes Karams</t>
  </si>
  <si>
    <t>Fretes Exportação</t>
  </si>
  <si>
    <t>Fretes Ass. Técnica</t>
  </si>
  <si>
    <t>Feiras e Eventos</t>
  </si>
  <si>
    <t>Brindes</t>
  </si>
  <si>
    <t>Viagens e Estadias c/ Vendas</t>
  </si>
  <si>
    <t>Consultoria Comercial</t>
  </si>
  <si>
    <t>Comissões sobre Vendas Interno</t>
  </si>
  <si>
    <t>Comissões sobre Vendas Externo</t>
  </si>
  <si>
    <t>Bonificações</t>
  </si>
  <si>
    <t>Royalties</t>
  </si>
  <si>
    <t>Mostruário de Tecido</t>
  </si>
  <si>
    <t>Publicidade e Propaganda</t>
  </si>
  <si>
    <t>Desenvolvimento de Novos Produtos</t>
  </si>
  <si>
    <t>Serviços de Terceiros</t>
  </si>
  <si>
    <t>Contabilidade</t>
  </si>
  <si>
    <t>Consultoria Empresarial</t>
  </si>
  <si>
    <t>Consultoria Juridica</t>
  </si>
  <si>
    <t>Curadoria</t>
  </si>
  <si>
    <t>Sistemas de Informação</t>
  </si>
  <si>
    <t>Vigilancia e Seguranca</t>
  </si>
  <si>
    <t>Outros Serviços de Terceiros</t>
  </si>
  <si>
    <t>Resultado Operacional (EBITDA)</t>
  </si>
  <si>
    <t xml:space="preserve">  </t>
  </si>
  <si>
    <t>Receitas Financeiras</t>
  </si>
  <si>
    <t>Juros Recebidos</t>
  </si>
  <si>
    <t>Rendimento de Aplicação Financeira</t>
  </si>
  <si>
    <t>Recuperação de Despesas</t>
  </si>
  <si>
    <t>Resgate de Aplicação Financeira</t>
  </si>
  <si>
    <t>Descontos Obtidos</t>
  </si>
  <si>
    <t>Recebimentos de Outras Receitas Não Operacionais</t>
  </si>
  <si>
    <t>Recebimentos de Vendas de Ativos</t>
  </si>
  <si>
    <t>Despesas Financeiras</t>
  </si>
  <si>
    <t>Despesas Bancarias</t>
  </si>
  <si>
    <t>Juros Pagos - Antecipação de Crédito</t>
  </si>
  <si>
    <t>Juros Pagos</t>
  </si>
  <si>
    <t>Despesas de Cobranca</t>
  </si>
  <si>
    <t>Desconto Concedido</t>
  </si>
  <si>
    <t>Despesas de Outros Gastos Não Operacionais</t>
  </si>
  <si>
    <t>Resultado antes de IR e CSLL</t>
  </si>
  <si>
    <t>Tributos</t>
  </si>
  <si>
    <t>IRPJ</t>
  </si>
  <si>
    <t>CSLL</t>
  </si>
  <si>
    <t>Lucro Líquido</t>
  </si>
  <si>
    <t>Lucro Bruto</t>
  </si>
  <si>
    <t>Despesas Gerais e Administrativas</t>
  </si>
  <si>
    <t>Custo</t>
  </si>
  <si>
    <t>Resultado Financeiro</t>
  </si>
  <si>
    <t>AV</t>
  </si>
  <si>
    <t>Premissa</t>
  </si>
  <si>
    <t>Valor</t>
  </si>
  <si>
    <t>Mês</t>
  </si>
  <si>
    <t>% Capacidade Ocupada</t>
  </si>
  <si>
    <t>Média</t>
  </si>
  <si>
    <t>Karams 2026</t>
  </si>
  <si>
    <t>%</t>
  </si>
  <si>
    <t>Min disponíveis</t>
  </si>
  <si>
    <t>Min ocupados</t>
  </si>
  <si>
    <t>Provisão</t>
  </si>
  <si>
    <t>Sem Histórico</t>
  </si>
  <si>
    <t>AUX</t>
  </si>
  <si>
    <t>Tipo</t>
  </si>
  <si>
    <t>$</t>
  </si>
  <si>
    <t>Ini</t>
  </si>
  <si>
    <t>Fin</t>
  </si>
  <si>
    <t>Diretoria - 25.11.25</t>
  </si>
  <si>
    <t>Média + IPCA</t>
  </si>
  <si>
    <t>Orçado</t>
  </si>
  <si>
    <t>Realizado</t>
  </si>
  <si>
    <t>Responsável</t>
  </si>
  <si>
    <t>Mylena</t>
  </si>
  <si>
    <t>Rafael</t>
  </si>
  <si>
    <t>Letícia</t>
  </si>
  <si>
    <t>Thaís</t>
  </si>
  <si>
    <t>DRE (2)</t>
  </si>
  <si>
    <t>112025</t>
  </si>
  <si>
    <t>122025</t>
  </si>
  <si>
    <t>12026</t>
  </si>
  <si>
    <t>22026</t>
  </si>
  <si>
    <t>32026</t>
  </si>
  <si>
    <t>42026</t>
  </si>
  <si>
    <t>52026</t>
  </si>
  <si>
    <t>62026</t>
  </si>
  <si>
    <t>72026</t>
  </si>
  <si>
    <t>82026</t>
  </si>
  <si>
    <t>92026</t>
  </si>
  <si>
    <t>102026</t>
  </si>
  <si>
    <t>112026</t>
  </si>
  <si>
    <t>122026</t>
  </si>
  <si>
    <t>% 8-9 de 2025</t>
  </si>
  <si>
    <t>% 2-9 de 2025</t>
  </si>
  <si>
    <t>$ 1-9 de 2025</t>
  </si>
  <si>
    <t>$ 5-9 de 2025</t>
  </si>
  <si>
    <t>$ 4-9 de 2025</t>
  </si>
  <si>
    <t>$ 7-9 de 2025</t>
  </si>
  <si>
    <t>% 1-7 de 2025</t>
  </si>
  <si>
    <t>$ 8-9 de 2025</t>
  </si>
  <si>
    <t>Impostos a recolher</t>
  </si>
  <si>
    <t>Entrada de Compras</t>
  </si>
  <si>
    <t>Investimentos</t>
  </si>
  <si>
    <t>Computadores e Periféricos</t>
  </si>
  <si>
    <t>Consórcios</t>
  </si>
  <si>
    <t>Construções e Reformas</t>
  </si>
  <si>
    <t>Maquinas e Equipamentos</t>
  </si>
  <si>
    <t>Moveis e Utensilios</t>
  </si>
  <si>
    <t>Lucro Líquido Depois dos Investimentos</t>
  </si>
  <si>
    <t>Total Geral</t>
  </si>
  <si>
    <t>9 - INVESTIMENTOS</t>
  </si>
  <si>
    <t>Insumos de Clientes</t>
  </si>
  <si>
    <t>8 - DESPESAS FINANCEIRAS</t>
  </si>
  <si>
    <t>Consultoria Tributaria</t>
  </si>
  <si>
    <t>7 - SERVIÇOS DE TERCEIROS</t>
  </si>
  <si>
    <t>6 - DESPESA COM VENDAS</t>
  </si>
  <si>
    <t>5 - DESPESAS ADMINISTRATIVAS</t>
  </si>
  <si>
    <t>4 - GASTOS COM PESSOAL</t>
  </si>
  <si>
    <t>Medicina e Segurança do Trabalho MOD</t>
  </si>
  <si>
    <t>3 - CUSTOS INDIRETOS</t>
  </si>
  <si>
    <t>2 - CUSTOS DIRETOS</t>
  </si>
  <si>
    <t>Frete sobre Compras</t>
  </si>
  <si>
    <t>1 - CPV</t>
  </si>
  <si>
    <t>0 - TRIBUTOS</t>
  </si>
  <si>
    <t>abr</t>
  </si>
  <si>
    <t>mar</t>
  </si>
  <si>
    <t>fev</t>
  </si>
  <si>
    <t>jan</t>
  </si>
  <si>
    <t>Rótulos de Linha</t>
  </si>
  <si>
    <t>Rótulos de Coluna</t>
  </si>
  <si>
    <t>Soma de Vlr Despesa</t>
  </si>
  <si>
    <t>3.4.4.1 - Manutenção de Equipamentos (Prod)</t>
  </si>
  <si>
    <t>MARCOS ACACIO VALERIO</t>
  </si>
  <si>
    <t>ACA1804</t>
  </si>
  <si>
    <t>FK</t>
  </si>
  <si>
    <t>3.5.3.14 - Alimentação</t>
  </si>
  <si>
    <t>CANTINHO DO PEIXE</t>
  </si>
  <si>
    <t>PEIXE2404</t>
  </si>
  <si>
    <t>3.7.2.1 - Despesas de Outros Gastos Não Operacionais</t>
  </si>
  <si>
    <t>DANIEL BRUNNER TAVARES</t>
  </si>
  <si>
    <t>TESTESIC</t>
  </si>
  <si>
    <t>TESTESICO</t>
  </si>
  <si>
    <t>3.6.2.1 - Despesas Bancarias</t>
  </si>
  <si>
    <t>BANCO SICREDI</t>
  </si>
  <si>
    <t>5752404</t>
  </si>
  <si>
    <t>KAR</t>
  </si>
  <si>
    <t>52704</t>
  </si>
  <si>
    <t>0792404</t>
  </si>
  <si>
    <t>5822704</t>
  </si>
  <si>
    <t>3.6.2.4 - Despesas de Cobranca</t>
  </si>
  <si>
    <t>7112404</t>
  </si>
  <si>
    <t>3.5.1.16 - Consultoria Comercial</t>
  </si>
  <si>
    <t>SILVIA COLLI JORDÃO PRESTES</t>
  </si>
  <si>
    <t>SILV2204</t>
  </si>
  <si>
    <t>3.5.1.2 - Combustiveis Frota</t>
  </si>
  <si>
    <t>COMERCIO DE COMBUSTIVEIS TBM LTDA.</t>
  </si>
  <si>
    <t>78981</t>
  </si>
  <si>
    <t>3.4.3.2 - Material de Expediente (Prod)</t>
  </si>
  <si>
    <t>CASA DE FERRAGEM NISHIMOTO</t>
  </si>
  <si>
    <t>NIS2404A</t>
  </si>
  <si>
    <t xml:space="preserve">3.5.1.6 - Manutenção com veiculos </t>
  </si>
  <si>
    <t>SEBASTIAO JOSE RIGONI</t>
  </si>
  <si>
    <t>TRANSGOL</t>
  </si>
  <si>
    <t>PLACA26</t>
  </si>
  <si>
    <t>3.6.2.2 - Juros Pagos - Antecipação de Crédito</t>
  </si>
  <si>
    <t>CET240426</t>
  </si>
  <si>
    <t>25716</t>
  </si>
  <si>
    <t>26387</t>
  </si>
  <si>
    <t>3.5.1.19 - Mostruário de Tecido</t>
  </si>
  <si>
    <t>MARIA ANDREIA BUENO DE ALMEIDA BATAER</t>
  </si>
  <si>
    <t>BATA2404A</t>
  </si>
  <si>
    <t>BATA2404</t>
  </si>
  <si>
    <t>3.4.4.16 - Manutenção Predial CIF</t>
  </si>
  <si>
    <t>VMD MAQUINAS E FERRAMENTAS LTDA</t>
  </si>
  <si>
    <t>470203</t>
  </si>
  <si>
    <t>3.5.1.8 - Fretes Karams</t>
  </si>
  <si>
    <t>10804</t>
  </si>
  <si>
    <t>10805</t>
  </si>
  <si>
    <t xml:space="preserve">CAMINHAO BEM-9J26 </t>
  </si>
  <si>
    <t>SODA2204</t>
  </si>
  <si>
    <t>10674</t>
  </si>
  <si>
    <t>CAMINHÃO / BEH-6E00</t>
  </si>
  <si>
    <t>SODA2004</t>
  </si>
  <si>
    <t>79812</t>
  </si>
  <si>
    <t>10406</t>
  </si>
  <si>
    <t>10407</t>
  </si>
  <si>
    <t>VANDE2004</t>
  </si>
  <si>
    <t>COMBUSTIVEIS CADIESEL</t>
  </si>
  <si>
    <t>58474</t>
  </si>
  <si>
    <t>3.4.3.13 - Férias MOD</t>
  </si>
  <si>
    <t>PEDRO HENRIQUE RODRIGUES DOS SANTOS</t>
  </si>
  <si>
    <t>8FER26</t>
  </si>
  <si>
    <t>LAY</t>
  </si>
  <si>
    <t>0792304</t>
  </si>
  <si>
    <t>KOY</t>
  </si>
  <si>
    <t>0812404</t>
  </si>
  <si>
    <t>8552304</t>
  </si>
  <si>
    <t>4252404</t>
  </si>
  <si>
    <t>0422404</t>
  </si>
  <si>
    <t>7902304</t>
  </si>
  <si>
    <t>SIDNEI PAULO MILANI</t>
  </si>
  <si>
    <t>GM1704</t>
  </si>
  <si>
    <t>3.5.3.3 - Energia Eletrica (Adm)</t>
  </si>
  <si>
    <t>COPEL DISTRIBUICAO S.A</t>
  </si>
  <si>
    <t>04/2026</t>
  </si>
  <si>
    <t>MARCELO SOLETTI &amp; CIA LTDA.</t>
  </si>
  <si>
    <t>SOLE1704A</t>
  </si>
  <si>
    <t>3.7.2.6 - Insumos de Clientes</t>
  </si>
  <si>
    <t>ARTEFORMA TECIDOS PARA DECORAÇÕES LTDA</t>
  </si>
  <si>
    <t>187364</t>
  </si>
  <si>
    <t>CET230426</t>
  </si>
  <si>
    <t>19757</t>
  </si>
  <si>
    <t>21825</t>
  </si>
  <si>
    <t>SOLE1704</t>
  </si>
  <si>
    <t>BORRACHARIA DO POLACO</t>
  </si>
  <si>
    <t>POL1404</t>
  </si>
  <si>
    <t>IDEAL COMERCIO DE AUTO PEÇAS EIRELI</t>
  </si>
  <si>
    <t>10052</t>
  </si>
  <si>
    <t>0442304</t>
  </si>
  <si>
    <t>1582204</t>
  </si>
  <si>
    <t>RODRIGUES &amp; LIMA FERRAGENS DE FERRAMENTAS LTDA - M</t>
  </si>
  <si>
    <t>FM2304B</t>
  </si>
  <si>
    <t>3828204</t>
  </si>
  <si>
    <t>079079</t>
  </si>
  <si>
    <t>52204</t>
  </si>
  <si>
    <t>53172304</t>
  </si>
  <si>
    <t>6132304</t>
  </si>
  <si>
    <t>17382204</t>
  </si>
  <si>
    <t>CET220426</t>
  </si>
  <si>
    <t>20314</t>
  </si>
  <si>
    <t>GILSON MATERIAIS DE CONSTRUÇÃO</t>
  </si>
  <si>
    <t>GIL2204A</t>
  </si>
  <si>
    <t>21364</t>
  </si>
  <si>
    <t>M.A. DOS SANTOS NASCIMENTO</t>
  </si>
  <si>
    <t>SIL220426</t>
  </si>
  <si>
    <t>R&amp;J EQUIPAMENTOS LTDA</t>
  </si>
  <si>
    <t>3956</t>
  </si>
  <si>
    <t>3.4.4.14 - Cursos e Treinamentos CIF</t>
  </si>
  <si>
    <t>KOYO IND E COMERCIO DE MOVEIS  LTDA</t>
  </si>
  <si>
    <t>3.4.2.2 - Frete sobre Compras</t>
  </si>
  <si>
    <t>EXPRESSO SAO MIGUEL LTDA</t>
  </si>
  <si>
    <t>3730845</t>
  </si>
  <si>
    <t>EXPRESSO SAO MIGUEL NAVEGANTES</t>
  </si>
  <si>
    <t>178583</t>
  </si>
  <si>
    <t>3.5.2.14 - Manutenção Predial (Adm)</t>
  </si>
  <si>
    <t>ARIEL TRANSPORTE E MINERAÇÃO LTDA</t>
  </si>
  <si>
    <t>FRETE ASF</t>
  </si>
  <si>
    <t>3.5.2.7 - EPIs/Uniformes (Adm)</t>
  </si>
  <si>
    <t>PRC CONFECÇÕES LTDA</t>
  </si>
  <si>
    <t>37099</t>
  </si>
  <si>
    <t>3.5.4.6 - Vigilancia e Seguranca</t>
  </si>
  <si>
    <t>ACT GUIRELLI</t>
  </si>
  <si>
    <t>PET2204B</t>
  </si>
  <si>
    <t xml:space="preserve">CACIO TRANSPORTE E COMERCIO DE MOTOSERRAS LTDA </t>
  </si>
  <si>
    <t>16998</t>
  </si>
  <si>
    <t>DONATO, MUCIO &amp; SOUZA LTDA</t>
  </si>
  <si>
    <t>94826</t>
  </si>
  <si>
    <t>3991629</t>
  </si>
  <si>
    <t>952908</t>
  </si>
  <si>
    <t>3656892</t>
  </si>
  <si>
    <t>KARAM'S IND.E COM.DE ESTOFADOS LTDA</t>
  </si>
  <si>
    <t>SHOPPE</t>
  </si>
  <si>
    <t>1332004</t>
  </si>
  <si>
    <t>3952004</t>
  </si>
  <si>
    <t>15002204</t>
  </si>
  <si>
    <t>1452204</t>
  </si>
  <si>
    <t>4742004</t>
  </si>
  <si>
    <t>7682204</t>
  </si>
  <si>
    <t>1282204</t>
  </si>
  <si>
    <t>3.5.3.9 - Despesas Cartorárias</t>
  </si>
  <si>
    <t>2462004</t>
  </si>
  <si>
    <t>22912004</t>
  </si>
  <si>
    <t>9192004</t>
  </si>
  <si>
    <t>3.5.1.20 - Publicidade e Propaganda</t>
  </si>
  <si>
    <t xml:space="preserve">MERCADO LIVRE </t>
  </si>
  <si>
    <t>MAR200426</t>
  </si>
  <si>
    <t>3.5.3.2 - Água</t>
  </si>
  <si>
    <t>SAMAE - SERVIÇO AUTONOMO MUNICIPAL DE AGUA E ESGOT</t>
  </si>
  <si>
    <t>3.5.2.1 - Pró-Labore</t>
  </si>
  <si>
    <t>SUELY KAY KATO</t>
  </si>
  <si>
    <t>ABR200426</t>
  </si>
  <si>
    <t>MYLENA NARIE KATO BRIGANTINI</t>
  </si>
  <si>
    <t>RAFAEL KOSSEI KATO</t>
  </si>
  <si>
    <t>3.4.4.7 - Rescisões CIF</t>
  </si>
  <si>
    <t>DANIELLA GOUVEIA OCCULATE</t>
  </si>
  <si>
    <t>MULTA</t>
  </si>
  <si>
    <t>RESCISÃO</t>
  </si>
  <si>
    <t>3.5.4.2 - Consultoria Empresarial</t>
  </si>
  <si>
    <t>PWR GESTAO E DESENVOLVIMENTO EMPRESARIAL LTDA</t>
  </si>
  <si>
    <t>MARÇO26</t>
  </si>
  <si>
    <t>CES200426</t>
  </si>
  <si>
    <t>BATA2004B</t>
  </si>
  <si>
    <t>BATA2004A</t>
  </si>
  <si>
    <t>ELAINE CRISTINA TAROCO SANTOS &amp; CIA LTDA</t>
  </si>
  <si>
    <t>UP25030</t>
  </si>
  <si>
    <t>CET2004</t>
  </si>
  <si>
    <t>52790</t>
  </si>
  <si>
    <t>52338</t>
  </si>
  <si>
    <t>CET200420</t>
  </si>
  <si>
    <t>32192</t>
  </si>
  <si>
    <t>24493</t>
  </si>
  <si>
    <t>DARF2004</t>
  </si>
  <si>
    <t>AUTO POSTO PRA FRENTE BRASIL LTDA 06</t>
  </si>
  <si>
    <t>76944</t>
  </si>
  <si>
    <t>AUTO POSTO SANTA TEREZINHA DE AVARE LTDA</t>
  </si>
  <si>
    <t>741638</t>
  </si>
  <si>
    <t>76943</t>
  </si>
  <si>
    <t>POSTO E SERVIÇO TIGRAO DA DUTRA</t>
  </si>
  <si>
    <t>339128</t>
  </si>
  <si>
    <t>339129</t>
  </si>
  <si>
    <t>741470</t>
  </si>
  <si>
    <t>741467</t>
  </si>
  <si>
    <t>DUARTE &amp; BALIONI LTDA.</t>
  </si>
  <si>
    <t>RAF160426</t>
  </si>
  <si>
    <t>10380</t>
  </si>
  <si>
    <t>CAMINHAO BEM-6E19</t>
  </si>
  <si>
    <t>VANDE1704</t>
  </si>
  <si>
    <t>7381704</t>
  </si>
  <si>
    <t>27571704</t>
  </si>
  <si>
    <t>4741704</t>
  </si>
  <si>
    <t>2461704</t>
  </si>
  <si>
    <t>9191704</t>
  </si>
  <si>
    <t>TRANS APUCARANA TRANSPORTES RODOVIARIOS LTDA</t>
  </si>
  <si>
    <t>61386</t>
  </si>
  <si>
    <t>0332004</t>
  </si>
  <si>
    <t>10271704</t>
  </si>
  <si>
    <t>CAMINHAO - AYL-5F59</t>
  </si>
  <si>
    <t>LEAND1704</t>
  </si>
  <si>
    <t>EXTINTORES ABC - EIRLI</t>
  </si>
  <si>
    <t>1567</t>
  </si>
  <si>
    <t>10150</t>
  </si>
  <si>
    <t>79430</t>
  </si>
  <si>
    <t>SODA1504</t>
  </si>
  <si>
    <t>3.5.3.5 - Material de Expediente (Adm)</t>
  </si>
  <si>
    <t>ADM94442</t>
  </si>
  <si>
    <t>PROD94442</t>
  </si>
  <si>
    <t>3.5.3.11 - Combustíveis (Adm)</t>
  </si>
  <si>
    <t>BC COMERCIO DE COMBUSTIVEIS LTDA</t>
  </si>
  <si>
    <t>12515</t>
  </si>
  <si>
    <t>9300</t>
  </si>
  <si>
    <t>79391</t>
  </si>
  <si>
    <t>POSTO 7 ARARAS LTDA.</t>
  </si>
  <si>
    <t>459115</t>
  </si>
  <si>
    <t>3.4.3.4 - Salarios e Ordenados MOD</t>
  </si>
  <si>
    <t>CLEITON PEREIRA SILVA</t>
  </si>
  <si>
    <t>VALE</t>
  </si>
  <si>
    <t>CET1704</t>
  </si>
  <si>
    <t>8635</t>
  </si>
  <si>
    <t>11423</t>
  </si>
  <si>
    <t>3.5.2.12 - FGTS (Adm)</t>
  </si>
  <si>
    <t>FUNDO DE GARANTIA POR TEMPO DE SERVIÇO</t>
  </si>
  <si>
    <t>FGTS0426A</t>
  </si>
  <si>
    <t>NIS1704A</t>
  </si>
  <si>
    <t>NIS1704</t>
  </si>
  <si>
    <t>79454</t>
  </si>
  <si>
    <t>CAMINHÃO - AYL-6E00</t>
  </si>
  <si>
    <t>ACESSORIO</t>
  </si>
  <si>
    <t>NETO1604</t>
  </si>
  <si>
    <t>MELIMAIS</t>
  </si>
  <si>
    <t>LUIZ MAYCON XAVIER DOS SANTOS</t>
  </si>
  <si>
    <t>PWR0903</t>
  </si>
  <si>
    <t>CALANDRA</t>
  </si>
  <si>
    <t>1518763</t>
  </si>
  <si>
    <t>79511</t>
  </si>
  <si>
    <t>951163</t>
  </si>
  <si>
    <t>BATA1704</t>
  </si>
  <si>
    <t>NIS1804A</t>
  </si>
  <si>
    <t>0791604</t>
  </si>
  <si>
    <t>51604</t>
  </si>
  <si>
    <t>13301604</t>
  </si>
  <si>
    <t>41821604</t>
  </si>
  <si>
    <t>15623</t>
  </si>
  <si>
    <t>0641704</t>
  </si>
  <si>
    <t>19751604</t>
  </si>
  <si>
    <t>ROTA PROMOVEL TRANSPORTES LTDA</t>
  </si>
  <si>
    <t>43382</t>
  </si>
  <si>
    <t>58516</t>
  </si>
  <si>
    <t>947607</t>
  </si>
  <si>
    <t>948763</t>
  </si>
  <si>
    <t>1518192</t>
  </si>
  <si>
    <t>AGROINDUSTRIA COM E TRANSP DE FARINHA RODERS</t>
  </si>
  <si>
    <t>27255</t>
  </si>
  <si>
    <t>GUSTAVO NOVAES DA SILVA CARLOS</t>
  </si>
  <si>
    <t>3.5.1.21 - Desenvolvimento de Novos Produtos</t>
  </si>
  <si>
    <t>KOFEMAR COMERCIO DE PRODUTOS PARA MARCENARIA LTDA</t>
  </si>
  <si>
    <t>675507</t>
  </si>
  <si>
    <t>3.5.2.8 - Rescisões (Adm)</t>
  </si>
  <si>
    <t>BRENDA GABRIELA MUNIS BECK</t>
  </si>
  <si>
    <t>REPRESER AFIAÇÕES E FERRAMENTA LTDA</t>
  </si>
  <si>
    <t>11755</t>
  </si>
  <si>
    <t>CET160426</t>
  </si>
  <si>
    <t>12032</t>
  </si>
  <si>
    <t>6403</t>
  </si>
  <si>
    <t>3.5.1.13 - Viagens e Estadias c/ Vendas</t>
  </si>
  <si>
    <t>KARAM´S - LEANDRO MIAZO</t>
  </si>
  <si>
    <t>LEAN SP</t>
  </si>
  <si>
    <t>3.5.2.5 - Ferias (Adm)</t>
  </si>
  <si>
    <t>ELENICE VIEIRA DOS SANTOS</t>
  </si>
  <si>
    <t>15 FER 26</t>
  </si>
  <si>
    <t>3.4.4.17 - IPTU e Taxas Municipais CIF</t>
  </si>
  <si>
    <t>PREFEITURA MUNICIPAL DE TERRA RICA</t>
  </si>
  <si>
    <t>ALVAR2026</t>
  </si>
  <si>
    <t>3.4.4.15 - Material de Limpeza CIF</t>
  </si>
  <si>
    <t>Tpl Produtos e Equipamentos de Limpeza LTDA</t>
  </si>
  <si>
    <t>21241</t>
  </si>
  <si>
    <t>JULIO CEZAR ZACHARIAS</t>
  </si>
  <si>
    <t>ZACA1604</t>
  </si>
  <si>
    <t>5001504</t>
  </si>
  <si>
    <t>1581504</t>
  </si>
  <si>
    <t>1031604</t>
  </si>
  <si>
    <t>2371504</t>
  </si>
  <si>
    <t>2851604</t>
  </si>
  <si>
    <t>EXPRESSO SAO MIGUEL S/A</t>
  </si>
  <si>
    <t>349509</t>
  </si>
  <si>
    <t>57192</t>
  </si>
  <si>
    <t>ALINE CIVILA FERREIRA</t>
  </si>
  <si>
    <t>GAS1604</t>
  </si>
  <si>
    <t>0141604</t>
  </si>
  <si>
    <t>14221504</t>
  </si>
  <si>
    <t>57876</t>
  </si>
  <si>
    <t>57877</t>
  </si>
  <si>
    <t>57897</t>
  </si>
  <si>
    <t>57569</t>
  </si>
  <si>
    <t>57262</t>
  </si>
  <si>
    <t>57363</t>
  </si>
  <si>
    <t>55736</t>
  </si>
  <si>
    <t>56137</t>
  </si>
  <si>
    <t>56206</t>
  </si>
  <si>
    <t>56060</t>
  </si>
  <si>
    <t>55616</t>
  </si>
  <si>
    <t>28654</t>
  </si>
  <si>
    <t>9451</t>
  </si>
  <si>
    <t>78960</t>
  </si>
  <si>
    <t>78959</t>
  </si>
  <si>
    <t>VANDE0804</t>
  </si>
  <si>
    <t>9585</t>
  </si>
  <si>
    <t>LEAN0904</t>
  </si>
  <si>
    <t>56910</t>
  </si>
  <si>
    <t>350815</t>
  </si>
  <si>
    <t>199651</t>
  </si>
  <si>
    <t>946467</t>
  </si>
  <si>
    <t>946460</t>
  </si>
  <si>
    <t>57309</t>
  </si>
  <si>
    <t>57901</t>
  </si>
  <si>
    <t>15827</t>
  </si>
  <si>
    <t>20597</t>
  </si>
  <si>
    <t>CET1504</t>
  </si>
  <si>
    <t>79389</t>
  </si>
  <si>
    <t>79390</t>
  </si>
  <si>
    <t>NIS1504B</t>
  </si>
  <si>
    <t>N. M. CODALE &amp; CIA LTDA.</t>
  </si>
  <si>
    <t>NORI2508</t>
  </si>
  <si>
    <t>3.5.1.18 - Royalties</t>
  </si>
  <si>
    <t>MOLLDE SERVIÇOS</t>
  </si>
  <si>
    <t>01-31MA26</t>
  </si>
  <si>
    <t>3.5.2.10 - Seguro de Vida (Adm)</t>
  </si>
  <si>
    <t>62781504</t>
  </si>
  <si>
    <t>3.4.4.9 - Seguro de Vida CIF</t>
  </si>
  <si>
    <t>6278</t>
  </si>
  <si>
    <t>3.4.3.10 - Seguro de Vida MOD</t>
  </si>
  <si>
    <t>43947</t>
  </si>
  <si>
    <t>33250</t>
  </si>
  <si>
    <t>11083</t>
  </si>
  <si>
    <t>110831</t>
  </si>
  <si>
    <t>604</t>
  </si>
  <si>
    <t>0591504</t>
  </si>
  <si>
    <t>20535</t>
  </si>
  <si>
    <t>10267</t>
  </si>
  <si>
    <t>49282</t>
  </si>
  <si>
    <t>35451504</t>
  </si>
  <si>
    <t>0951404</t>
  </si>
  <si>
    <t>3521504</t>
  </si>
  <si>
    <t>3951404</t>
  </si>
  <si>
    <t>NIS1404A</t>
  </si>
  <si>
    <t>3.5.4.5 - Sistemas de Informação</t>
  </si>
  <si>
    <t>BITRIX/1</t>
  </si>
  <si>
    <t>INGA VEICULOS LTDA</t>
  </si>
  <si>
    <t>5284</t>
  </si>
  <si>
    <t>LEAN-RS</t>
  </si>
  <si>
    <t>MISSLER SOFTWARE BRASIL COMERCIO DE SOFTWARES LTDA</t>
  </si>
  <si>
    <t>50621</t>
  </si>
  <si>
    <t>3.5.1.1 - Carregamento</t>
  </si>
  <si>
    <t>F5C2</t>
  </si>
  <si>
    <t>FABIO HIROMITSU KATO</t>
  </si>
  <si>
    <t>ABR140426</t>
  </si>
  <si>
    <t>3.5.1.15 - Comissões sobre Vendas Externo</t>
  </si>
  <si>
    <t>ANA VERA ANDRADE CUNHA</t>
  </si>
  <si>
    <t>16-31MA26</t>
  </si>
  <si>
    <t>SICOOB NOROESTE DO PARANA</t>
  </si>
  <si>
    <t>9501304</t>
  </si>
  <si>
    <t>1581304</t>
  </si>
  <si>
    <t>009</t>
  </si>
  <si>
    <t>0791404</t>
  </si>
  <si>
    <t>7111304</t>
  </si>
  <si>
    <t>26071304</t>
  </si>
  <si>
    <t>0791304</t>
  </si>
  <si>
    <t>3.5.1.5 - Multas de Trânsito</t>
  </si>
  <si>
    <t>M00347828</t>
  </si>
  <si>
    <t>1RA134343</t>
  </si>
  <si>
    <t>E00321163</t>
  </si>
  <si>
    <t>675010</t>
  </si>
  <si>
    <t>1.3.1 - Maquinas e Equipamentos</t>
  </si>
  <si>
    <t>PANIR EQUIPAMENTOS LTDA</t>
  </si>
  <si>
    <t>32059</t>
  </si>
  <si>
    <t>19845</t>
  </si>
  <si>
    <t>30264</t>
  </si>
  <si>
    <t>CET1304</t>
  </si>
  <si>
    <t>BATA1304A</t>
  </si>
  <si>
    <t>NIS1304B</t>
  </si>
  <si>
    <t>QUAKER TEXTIL DO BRASIL LTDA</t>
  </si>
  <si>
    <t>388780</t>
  </si>
  <si>
    <t>NIS1304A</t>
  </si>
  <si>
    <t>NIS1304</t>
  </si>
  <si>
    <t>1621</t>
  </si>
  <si>
    <t>APIBRASIL ASSESSORIA EMPRESARIAL LTDA ME</t>
  </si>
  <si>
    <t>ANUI2026</t>
  </si>
  <si>
    <t>22857</t>
  </si>
  <si>
    <t>30406</t>
  </si>
  <si>
    <t>2851004</t>
  </si>
  <si>
    <t>3.4.3.3 - EPIs/Uniformes (Prod)</t>
  </si>
  <si>
    <t>FERRAMENTAS GERAIS COMERCIO IMP DE FERRAM. E MAQUI</t>
  </si>
  <si>
    <t>1480033</t>
  </si>
  <si>
    <t>51004</t>
  </si>
  <si>
    <t>23967</t>
  </si>
  <si>
    <t>22711304</t>
  </si>
  <si>
    <t>2191304</t>
  </si>
  <si>
    <t>12641004</t>
  </si>
  <si>
    <t>32007</t>
  </si>
  <si>
    <t>EDSON JOSE DE OLIVEIRA - MARINGA</t>
  </si>
  <si>
    <t>13778</t>
  </si>
  <si>
    <t>41051</t>
  </si>
  <si>
    <t>58586</t>
  </si>
  <si>
    <t>CAVEMAC IND. COMERCIAL DE MAQUINAS IMP. E EXP. LTD</t>
  </si>
  <si>
    <t>667615</t>
  </si>
  <si>
    <t>667630</t>
  </si>
  <si>
    <t>SERGIO DE ALMEIDA RUIZ</t>
  </si>
  <si>
    <t>17504</t>
  </si>
  <si>
    <t>3536</t>
  </si>
  <si>
    <t>PERFISA IND. E COM. DE PERFILADOS LTDA</t>
  </si>
  <si>
    <t>21491</t>
  </si>
  <si>
    <t>3.5.2.2 - Salarios e Ordenados (Adm)</t>
  </si>
  <si>
    <t>CIEE-CENTRO DE INTEGRAÇÃO EMPRESA ESCOLA DO PARANÁ</t>
  </si>
  <si>
    <t>PGTO0326JA</t>
  </si>
  <si>
    <t>3.4.4.8 - Assistência Médica CIF</t>
  </si>
  <si>
    <t>DR° MARIO LUIZ LANZIANI</t>
  </si>
  <si>
    <t>EXAMES</t>
  </si>
  <si>
    <t>199395</t>
  </si>
  <si>
    <t>350143</t>
  </si>
  <si>
    <t>3702472</t>
  </si>
  <si>
    <t>1900904</t>
  </si>
  <si>
    <t>1580904</t>
  </si>
  <si>
    <t>0790904</t>
  </si>
  <si>
    <t>11850904</t>
  </si>
  <si>
    <t>UNIMED DE PARANAVAI COOPERATIVA DE TRABALHO MEDICO</t>
  </si>
  <si>
    <t>4665SADM</t>
  </si>
  <si>
    <t>3.4.3.7 - Gratificacoes MOD</t>
  </si>
  <si>
    <t>4665GMOD</t>
  </si>
  <si>
    <t>3.5.2.6 - Gratificações (Adm)</t>
  </si>
  <si>
    <t>4665GADM</t>
  </si>
  <si>
    <t>4665FMOD</t>
  </si>
  <si>
    <t>4665FADM</t>
  </si>
  <si>
    <t>4649gmod</t>
  </si>
  <si>
    <t>3.4.4.6 - Gratificações CIF</t>
  </si>
  <si>
    <t>4649gcif</t>
  </si>
  <si>
    <t>4649gadm</t>
  </si>
  <si>
    <t>4649fmod</t>
  </si>
  <si>
    <t>3.4.4.3 - Salarios e Ordenados CIF</t>
  </si>
  <si>
    <t>4649fcif</t>
  </si>
  <si>
    <t>4649fadm</t>
  </si>
  <si>
    <t>4674sadm</t>
  </si>
  <si>
    <t>4664GMOD</t>
  </si>
  <si>
    <t>4664GCIF</t>
  </si>
  <si>
    <t>4664GADM</t>
  </si>
  <si>
    <t>4664FMOD</t>
  </si>
  <si>
    <t>4664FCIF</t>
  </si>
  <si>
    <t>4664FADM</t>
  </si>
  <si>
    <t>4664AYLA</t>
  </si>
  <si>
    <t>4635SMOD</t>
  </si>
  <si>
    <t>4635SADM</t>
  </si>
  <si>
    <t>76832</t>
  </si>
  <si>
    <t>7622</t>
  </si>
  <si>
    <t>738826</t>
  </si>
  <si>
    <t>AUTO POSTO CRISTAL LEME LTDA PICA PAU I</t>
  </si>
  <si>
    <t>79135</t>
  </si>
  <si>
    <t>79133</t>
  </si>
  <si>
    <t>738824</t>
  </si>
  <si>
    <t>POL0904</t>
  </si>
  <si>
    <t>FRAN0904</t>
  </si>
  <si>
    <t>F.C. DE PAULA JOSE E CIA LTDA (puma gases)</t>
  </si>
  <si>
    <t>78</t>
  </si>
  <si>
    <t>LERMA INDUSTRIAL MOVELEIRA LTDA</t>
  </si>
  <si>
    <t>LER1903</t>
  </si>
  <si>
    <t>NIS0804</t>
  </si>
  <si>
    <t>14624</t>
  </si>
  <si>
    <t>4407</t>
  </si>
  <si>
    <t>CET0904</t>
  </si>
  <si>
    <t>GALILEU TECNOLOGIA LTDA</t>
  </si>
  <si>
    <t>32979</t>
  </si>
  <si>
    <t>IOFMIND</t>
  </si>
  <si>
    <t>KOX</t>
  </si>
  <si>
    <t>MINDSIGHT</t>
  </si>
  <si>
    <t>42102</t>
  </si>
  <si>
    <t>114981</t>
  </si>
  <si>
    <t>ALV2026</t>
  </si>
  <si>
    <t>PILLOWS e FABRICS COMERCIO DE PECAS DECORATIVAS LT</t>
  </si>
  <si>
    <t>39412</t>
  </si>
  <si>
    <t>1.3.3 - Computadores e Periféricos</t>
  </si>
  <si>
    <t>3130</t>
  </si>
  <si>
    <t>5476</t>
  </si>
  <si>
    <t>9305</t>
  </si>
  <si>
    <t>7845</t>
  </si>
  <si>
    <t>108403151</t>
  </si>
  <si>
    <t>18173</t>
  </si>
  <si>
    <t>21498</t>
  </si>
  <si>
    <t>15098</t>
  </si>
  <si>
    <t>23222</t>
  </si>
  <si>
    <t>CENTRO DE GESTAO DE MEIOS DE PAGTO S/A</t>
  </si>
  <si>
    <t>TARIFA</t>
  </si>
  <si>
    <t>337149</t>
  </si>
  <si>
    <t>78599</t>
  </si>
  <si>
    <t>SERGIO TRANSPORTES DE AREIA,PEDRA,CALCARIO E ADUBO</t>
  </si>
  <si>
    <t>SER0512A</t>
  </si>
  <si>
    <t>AUTO POSTO STEP WAY LTDA</t>
  </si>
  <si>
    <t>38342</t>
  </si>
  <si>
    <t>SER0512</t>
  </si>
  <si>
    <t>SER1607A</t>
  </si>
  <si>
    <t>LEAND0404</t>
  </si>
  <si>
    <t>78674</t>
  </si>
  <si>
    <t>SER1607</t>
  </si>
  <si>
    <t>SER0502A</t>
  </si>
  <si>
    <t>NETO0404</t>
  </si>
  <si>
    <t>GM0704A</t>
  </si>
  <si>
    <t>3.5.4.7 - Outros Serviços de Terceiros</t>
  </si>
  <si>
    <t>MARCOS LUKENCHUKE</t>
  </si>
  <si>
    <t>EST ARPEG</t>
  </si>
  <si>
    <t>SER1102</t>
  </si>
  <si>
    <t>GM0604</t>
  </si>
  <si>
    <t>0240804</t>
  </si>
  <si>
    <t>0790804</t>
  </si>
  <si>
    <t>16810904</t>
  </si>
  <si>
    <t>0950804</t>
  </si>
  <si>
    <t>1730904</t>
  </si>
  <si>
    <t>2370804</t>
  </si>
  <si>
    <t>78593</t>
  </si>
  <si>
    <t>VANDE0104</t>
  </si>
  <si>
    <t>8904</t>
  </si>
  <si>
    <t>SODA01042</t>
  </si>
  <si>
    <t>POSTO FAROL 48 DA CASTELO INTERIOR LTDA</t>
  </si>
  <si>
    <t>65110</t>
  </si>
  <si>
    <t>75130</t>
  </si>
  <si>
    <t>POSTO DE ABATECIMENTO SAMUARA LTDA</t>
  </si>
  <si>
    <t>12679</t>
  </si>
  <si>
    <t>SIM REDE DE POSTOS LTDA - ARAQUARI BR 101 SUL</t>
  </si>
  <si>
    <t>150178</t>
  </si>
  <si>
    <t>PRESIDENTE COMBUSTIVEIS E DERIVADOS DE PETROLEO LT</t>
  </si>
  <si>
    <t>150973</t>
  </si>
  <si>
    <t>737347</t>
  </si>
  <si>
    <t>737346</t>
  </si>
  <si>
    <t>MONTE CRISTO PNEUS LTDA</t>
  </si>
  <si>
    <t>4881</t>
  </si>
  <si>
    <t>3.5.2.15 - Cursos e Treinamentos (Adm)</t>
  </si>
  <si>
    <t>ASSOCIACAO COMERCIAL E INDUSTRIA DE TERRA RICA</t>
  </si>
  <si>
    <t>PALESTRA</t>
  </si>
  <si>
    <t>MAR/2026</t>
  </si>
  <si>
    <t>3.5.1.14 - Comissões sobre Vendas Interno</t>
  </si>
  <si>
    <t>LEANDRO APARECIDO MIAZO</t>
  </si>
  <si>
    <t>FABIANA DE QUEIROZ LOURO MORAES</t>
  </si>
  <si>
    <t>ANDRE FELIPE CARDOSO CANGUÇÚ</t>
  </si>
  <si>
    <t>ACC 7 CONSULTORIA E DESENVOLVIMENTO LTDA</t>
  </si>
  <si>
    <t>3550</t>
  </si>
  <si>
    <t>SILVI0704</t>
  </si>
  <si>
    <t>07REFEIÇO</t>
  </si>
  <si>
    <t>OSVALDO PEREIRA DA CUNHA E CIA</t>
  </si>
  <si>
    <t>LAMINADOR</t>
  </si>
  <si>
    <t>50414</t>
  </si>
  <si>
    <t>ERICO NATAN DA SILVA OLIVEIRA</t>
  </si>
  <si>
    <t>15FER26</t>
  </si>
  <si>
    <t>AURELIO HENRIQUE DE BORTOLI MOLLHOFF</t>
  </si>
  <si>
    <t>ANDREIA CARULINA DE MORAES</t>
  </si>
  <si>
    <t>JOSÉ PEDRO PANICIO SANTOS</t>
  </si>
  <si>
    <t>3.4.3.12 - INSS MOD</t>
  </si>
  <si>
    <t>GUIA DA PREVIDENCIA SOCIAL</t>
  </si>
  <si>
    <t>INSS0426M</t>
  </si>
  <si>
    <t>3.4.4.11 - INSS CIF</t>
  </si>
  <si>
    <t>INSS0426C</t>
  </si>
  <si>
    <t>3.5.2.11 - INSS (Adm)</t>
  </si>
  <si>
    <t>INSS0426A</t>
  </si>
  <si>
    <t>ELETROLUZ MATERIAIS ELETRICOS LTDA.</t>
  </si>
  <si>
    <t>557692</t>
  </si>
  <si>
    <t>PET0804</t>
  </si>
  <si>
    <t>5310804</t>
  </si>
  <si>
    <t>12640704</t>
  </si>
  <si>
    <t>3.4.3.11 - FGTS MOD</t>
  </si>
  <si>
    <t>FGTS0426M</t>
  </si>
  <si>
    <t>3.4.4.10 - FGTS CIF</t>
  </si>
  <si>
    <t>FGTS0426C</t>
  </si>
  <si>
    <t>4740704</t>
  </si>
  <si>
    <t>PVJ REPRESENTAÇÕES LTDA</t>
  </si>
  <si>
    <t>MARTINS REPRESENTAÇÕES E VENDAS EIRELLI</t>
  </si>
  <si>
    <t>LIGHT REPRESENTAÇÕES LTDA</t>
  </si>
  <si>
    <t>JUAN JOSE IGLESIAS CARBALLO</t>
  </si>
  <si>
    <t>ILHA BELLA COM E REPRESENTAÇOES LTDA</t>
  </si>
  <si>
    <t>ELAINE DE OLIVEIRA TESSARO</t>
  </si>
  <si>
    <t>BELA CASA REPRESENTAÇOES LTDA</t>
  </si>
  <si>
    <t>RICARDO CARVALHO DALANHOL</t>
  </si>
  <si>
    <t>PIETRO LUIGI VERONA DESIGN LTDA</t>
  </si>
  <si>
    <t>AMBOS ESTUDIO LTDA</t>
  </si>
  <si>
    <t>KLIVISSON DENNISON C. DOS SANTOS 06534931427</t>
  </si>
  <si>
    <t>SANTELLI COMERCIO DE ARTIGOS DE DECORACAO LTDA</t>
  </si>
  <si>
    <t>METTA WORKS DESING LTDA - ME</t>
  </si>
  <si>
    <t>CONTRAPONTO DESIGN- SERVIÇOS DE DESIGN DE PRODUTOS</t>
  </si>
  <si>
    <t>CARLOS ALEXANDRE ARRALDE ALVES</t>
  </si>
  <si>
    <t>ESTUDIO DE DESIGN TIAGO CURIONI</t>
  </si>
  <si>
    <t>GABRIEL ANTUNES HENKE CARRANO</t>
  </si>
  <si>
    <t>MARIA EMILIA RODRIGUES SILVA</t>
  </si>
  <si>
    <t>GABRIELA VALENTINA GIL ROJAS</t>
  </si>
  <si>
    <t>29</t>
  </si>
  <si>
    <t>17975</t>
  </si>
  <si>
    <t>23719</t>
  </si>
  <si>
    <t>CET0704</t>
  </si>
  <si>
    <t>ACA0804</t>
  </si>
  <si>
    <t>84597</t>
  </si>
  <si>
    <t>45098</t>
  </si>
  <si>
    <t>3800604</t>
  </si>
  <si>
    <t>5530604</t>
  </si>
  <si>
    <t>10270604</t>
  </si>
  <si>
    <t>27650604</t>
  </si>
  <si>
    <t>SILVI0104</t>
  </si>
  <si>
    <t>3.5.3.12 - Rastreamento de frota</t>
  </si>
  <si>
    <t>ROTAEXATA SOFTWARE LTDA</t>
  </si>
  <si>
    <t>RASTRADOR</t>
  </si>
  <si>
    <t>172219</t>
  </si>
  <si>
    <t>SILV0204</t>
  </si>
  <si>
    <t>53727</t>
  </si>
  <si>
    <t>70443</t>
  </si>
  <si>
    <t>CET0604</t>
  </si>
  <si>
    <t>3.4.3.1 - Energia Eletrica (Prod)</t>
  </si>
  <si>
    <t>3.3.8 - Outros Impostos</t>
  </si>
  <si>
    <t>DOCUMENTO DE ARRECADAÇAO DE RECEITA FEDERAL</t>
  </si>
  <si>
    <t>IRRF0426</t>
  </si>
  <si>
    <t>3.3.1 - Simples Nacional</t>
  </si>
  <si>
    <t>SIMPLES NACIONAL</t>
  </si>
  <si>
    <t>DAS0426</t>
  </si>
  <si>
    <t>3.3.2 - ICMS</t>
  </si>
  <si>
    <t>GUIA DE RECOLHIMENTO DO PARANA</t>
  </si>
  <si>
    <t>ICMSA0426</t>
  </si>
  <si>
    <t>ICMSD0426</t>
  </si>
  <si>
    <t>3.3.7 - IPI</t>
  </si>
  <si>
    <t>IPI 0426</t>
  </si>
  <si>
    <t>3.3.3 - PIS</t>
  </si>
  <si>
    <t>PIS 0426</t>
  </si>
  <si>
    <t>CES060426</t>
  </si>
  <si>
    <t>3.3.4 - COFINS</t>
  </si>
  <si>
    <t>COFI 0426</t>
  </si>
  <si>
    <t>ICMS0426</t>
  </si>
  <si>
    <t>RETEN0426</t>
  </si>
  <si>
    <t>VANDERLEI ALVES BATISTA</t>
  </si>
  <si>
    <t>9CG0326</t>
  </si>
  <si>
    <t>JANIO DIMAS CONRADO</t>
  </si>
  <si>
    <t>6CG0326</t>
  </si>
  <si>
    <t>ROBERTO NOGAROTTO JUNIOR</t>
  </si>
  <si>
    <t>4CG0326</t>
  </si>
  <si>
    <t>2CG0326</t>
  </si>
  <si>
    <t>MARCOS ADRIANO GARCIA</t>
  </si>
  <si>
    <t>1CG0326</t>
  </si>
  <si>
    <t>15CG0326</t>
  </si>
  <si>
    <t>321871</t>
  </si>
  <si>
    <t>3.5.2.16 - Confraternização</t>
  </si>
  <si>
    <t>DIAS &amp; LIU LTDA. - ME</t>
  </si>
  <si>
    <t>MIQ060426</t>
  </si>
  <si>
    <t>ITA020426</t>
  </si>
  <si>
    <t>PET0404A</t>
  </si>
  <si>
    <t>095020402</t>
  </si>
  <si>
    <t>0790204</t>
  </si>
  <si>
    <t>297</t>
  </si>
  <si>
    <t>2370204</t>
  </si>
  <si>
    <t>7110204</t>
  </si>
  <si>
    <t>VINICIUS CARVALHO DE SENA</t>
  </si>
  <si>
    <t>PGTO0426</t>
  </si>
  <si>
    <t>THAIS LOUZADA DA SILVA</t>
  </si>
  <si>
    <t>SUZIELE CRISTINA MARTINS CARDOSO</t>
  </si>
  <si>
    <t>SARAH NEVES DE OLIVEIRA BOLETE</t>
  </si>
  <si>
    <t>QUEREN FRANCISCA DA SILVA</t>
  </si>
  <si>
    <t>PRISCILA FERNANDES COSTA</t>
  </si>
  <si>
    <t>MURILO DE SOUSA CAETANO</t>
  </si>
  <si>
    <t>MATHEUS HENRIQUE FERVENÇA BRESCHI</t>
  </si>
  <si>
    <t>MARIA EDUARDA SANCHES DA SILVA</t>
  </si>
  <si>
    <t>MARIA EDUARDA GOMES MARTIN LOPES</t>
  </si>
  <si>
    <t>MARIA DA PAZ DE SOUSA</t>
  </si>
  <si>
    <t>MARIA APARECIDA FACCIO FERREIRA</t>
  </si>
  <si>
    <t>MARA LUCIA DE LIMA MEDEIROS</t>
  </si>
  <si>
    <t>LETICIA CRISTINA SA BARBOSA</t>
  </si>
  <si>
    <t>LEONARDO DE MATTOS PERIGO</t>
  </si>
  <si>
    <t>LEANDRO JOAO DOS SANTOS</t>
  </si>
  <si>
    <t>JOAO MATEUS DA SILVA SANTOS</t>
  </si>
  <si>
    <t>JOABE HENRIQUE DA SILVA DIAS</t>
  </si>
  <si>
    <t>ISAAC MIGUEL VIEIRA DA SILVA</t>
  </si>
  <si>
    <t>HERICA SOUSA VIEIRA</t>
  </si>
  <si>
    <t>GUSTAVO CORREA DA SILVA</t>
  </si>
  <si>
    <t>GERLAN GALDINO DE ARAUJO</t>
  </si>
  <si>
    <t>FERNANDO CLEISON PERES</t>
  </si>
  <si>
    <t>ERNESTO GONÇALO</t>
  </si>
  <si>
    <t>ELVIS CESCATE</t>
  </si>
  <si>
    <t>DEBORAH CRISTINA ARCANJO PRIETO</t>
  </si>
  <si>
    <t>DANIEL RODRIGUES GALÓCIO</t>
  </si>
  <si>
    <t>CELIO ROBERTO GARCIA</t>
  </si>
  <si>
    <t>CAMILA GALÓCIO OLIVETTI</t>
  </si>
  <si>
    <t>BRUNO RODA DOS SANTOS</t>
  </si>
  <si>
    <t>BRUNO CÉSAR RODRIGUES</t>
  </si>
  <si>
    <t xml:space="preserve">AYSLAN OLIVEIRA FREITAS					</t>
  </si>
  <si>
    <t>ANGELA MARIA GIANINI ARROZIO CANGUSSU</t>
  </si>
  <si>
    <t>ANDREY DE SOUZA LADISLAU</t>
  </si>
  <si>
    <t>ALISSON FACCIO FERREIRA</t>
  </si>
  <si>
    <t xml:space="preserve">LEANDRO OLIVEIRA DA SILVA PANICIO </t>
  </si>
  <si>
    <t>PENSÃ0426</t>
  </si>
  <si>
    <t>WILSON APARECIDO BOLETTE</t>
  </si>
  <si>
    <t>SILVANA DA SILVA RAFAEL GARUZI</t>
  </si>
  <si>
    <t>SIDNEI PEREIRA DA COSTA</t>
  </si>
  <si>
    <t>SAULO JOSE PINTO DE SANTANA</t>
  </si>
  <si>
    <t>RUTH FERNANDES FREITAS</t>
  </si>
  <si>
    <t>RODRIGO GONÇALVES BRIGANTINI</t>
  </si>
  <si>
    <t>RICARDO AUGUSTO PINTO DE SANTANA</t>
  </si>
  <si>
    <t>RENATA DE SOUZA FUMAGALLI TOMACHESKI</t>
  </si>
  <si>
    <t>RAIMUNDO GONZAGA DA SILVA NETO</t>
  </si>
  <si>
    <t>PATRICIA PEREIRA DOS SANTOS DE OLIVEIRA</t>
  </si>
  <si>
    <t>MATEUS CRUZ DE FREITAS</t>
  </si>
  <si>
    <t>MARCIO MARSOLA</t>
  </si>
  <si>
    <t>MAIELE APARECIDA CAMANHO</t>
  </si>
  <si>
    <t>LUIZ FERNANDO SANCHES FACCI</t>
  </si>
  <si>
    <t>LEANDRO JOSE BOSSO</t>
  </si>
  <si>
    <t>JULIANA DA SILVA NARCISO</t>
  </si>
  <si>
    <t>JOSE RAIMUNDO ISIDORO BUENO</t>
  </si>
  <si>
    <t>JORDANA DENARDI DOS SANTOS CAVALCANTE</t>
  </si>
  <si>
    <t>JOAO PAULO APARECIDO DONER MACEDO</t>
  </si>
  <si>
    <t>JOÃO OTAVIO NORONHA MARTINS</t>
  </si>
  <si>
    <t>JESSICA DA SILVA MONTEIRO FERREIRA</t>
  </si>
  <si>
    <t>GABRIEL CARLOS DA SILVA</t>
  </si>
  <si>
    <t>FLAVIO FERREIRA DOS SANTOS</t>
  </si>
  <si>
    <t>FAGNER DA SILVA TOMACHESKI</t>
  </si>
  <si>
    <t>EUDES ALVES DE BARROS</t>
  </si>
  <si>
    <t>ELLEN LETICIA  PORTELA GUSMÃO</t>
  </si>
  <si>
    <t>EDINEUZA DA SILVA</t>
  </si>
  <si>
    <t>DIOGO FERREIRA DOS SANTOS</t>
  </si>
  <si>
    <t>DIOGENES DE ARCANJO PRIETO</t>
  </si>
  <si>
    <t>DEVANIR LEITE MORAES</t>
  </si>
  <si>
    <t>CRISTIANE MARIANO MACHADO</t>
  </si>
  <si>
    <t>CLEIDE APARECIDA TRAZPADINI</t>
  </si>
  <si>
    <t>CLAUDIO PEREZ GARCIA</t>
  </si>
  <si>
    <t>CINTIA VALERIA DE OLIVEIRA E OLIVEIRA</t>
  </si>
  <si>
    <t>ANTONIA ROSANGELA DE OLIVEIRA</t>
  </si>
  <si>
    <t>ANGELO BENTO PANTAROTTO JUNIOR</t>
  </si>
  <si>
    <t>ANDREY ALMEIDA SILVA</t>
  </si>
  <si>
    <t>ANDREIA APARECIDA DE OLIVEIRA DUARTE</t>
  </si>
  <si>
    <t>ANDERSON DE OLIVEIRA MAFRA</t>
  </si>
  <si>
    <t>ALEXANDRE ROBERTO BRESCHI</t>
  </si>
  <si>
    <t>ALESSANDRO DE OLIVEIRA</t>
  </si>
  <si>
    <t>AILTON DA SILVA</t>
  </si>
  <si>
    <t>AGNIS CRISTINA MAUSSON</t>
  </si>
  <si>
    <t>24791</t>
  </si>
  <si>
    <t>53081</t>
  </si>
  <si>
    <t>CET0204</t>
  </si>
  <si>
    <t>G.C.TEXTIL IMPORTACAO E COMERCIO DE TAPETES LTDA</t>
  </si>
  <si>
    <t>207813</t>
  </si>
  <si>
    <t>TATIANE MARIA ARAUJO</t>
  </si>
  <si>
    <t>TATIANE DA SILVA DE OLIVEIRA</t>
  </si>
  <si>
    <t>MATEUS GUILHERME DE OLIVEIRA VALENCIANO</t>
  </si>
  <si>
    <t>LUIZ GABRIEL TORRES MAFE</t>
  </si>
  <si>
    <t>LUCAS SANTANA ROQUE DE OLIVEIRA</t>
  </si>
  <si>
    <t>KAYKY DA SILVA ZOCAL</t>
  </si>
  <si>
    <t>JESSICA NAIARA APARECIDA CALICCKIO</t>
  </si>
  <si>
    <t>HUGO CESAR CAMANHO ALVES</t>
  </si>
  <si>
    <t>HELEN PATRICIA ANDRE TORRES</t>
  </si>
  <si>
    <t>GABRIEL NOGUEIRA DIAS</t>
  </si>
  <si>
    <t>FERNANDO FIGUEIREDO</t>
  </si>
  <si>
    <t>EDUARDO RODIGHERO DOS SANTOS</t>
  </si>
  <si>
    <t>EDUARDO MORALES JACYNTHO</t>
  </si>
  <si>
    <t>ARTHUR SILVA DE DEUS CORREIA</t>
  </si>
  <si>
    <t>ARIAN SILVA OLIVEIRA</t>
  </si>
  <si>
    <t>ACA2803</t>
  </si>
  <si>
    <t>BATA0204</t>
  </si>
  <si>
    <t>ABR020426</t>
  </si>
  <si>
    <t>VR10 . VISCOVINI EIRELI</t>
  </si>
  <si>
    <t>BAL020426</t>
  </si>
  <si>
    <t>MARCIO RODRIGUES DA SILVA</t>
  </si>
  <si>
    <t>SILV0104</t>
  </si>
  <si>
    <t>7FER26</t>
  </si>
  <si>
    <t>600104</t>
  </si>
  <si>
    <t>190</t>
  </si>
  <si>
    <t>0790104</t>
  </si>
  <si>
    <t>0040104</t>
  </si>
  <si>
    <t>1900204</t>
  </si>
  <si>
    <t>12640104</t>
  </si>
  <si>
    <t>3.4.3.9 - Assistência Médica MOD</t>
  </si>
  <si>
    <t>REGINALDO DUARTE</t>
  </si>
  <si>
    <t>EXAME0326</t>
  </si>
  <si>
    <t>EXAM0326</t>
  </si>
  <si>
    <t>NIS0104C</t>
  </si>
  <si>
    <t>RAF010426</t>
  </si>
  <si>
    <t>MYL010426</t>
  </si>
  <si>
    <t>KAR010426</t>
  </si>
  <si>
    <t>SUE010426</t>
  </si>
  <si>
    <t>FAB010426</t>
  </si>
  <si>
    <t>9505</t>
  </si>
  <si>
    <t>175980104</t>
  </si>
  <si>
    <t>CET0104</t>
  </si>
  <si>
    <t>INNOVATIV IND. E COM. DE TECIDOS LTDA EPP</t>
  </si>
  <si>
    <t>156325</t>
  </si>
  <si>
    <t>SILV3103</t>
  </si>
  <si>
    <t>SILVA3103</t>
  </si>
  <si>
    <t>BICICLETARIA SANTO ANTONIO</t>
  </si>
  <si>
    <t>ST0104</t>
  </si>
  <si>
    <t>156103</t>
  </si>
  <si>
    <t>BLUTECH MANUTENÇÃO DE EQUIPAMENTOS LTDA</t>
  </si>
  <si>
    <t>4388</t>
  </si>
  <si>
    <t>ABRI2026</t>
  </si>
  <si>
    <t>NIS0104B</t>
  </si>
  <si>
    <t>NIS0104A</t>
  </si>
  <si>
    <t>MARCELO DE ANDRADE TERRA RICA - ME</t>
  </si>
  <si>
    <t>MAR0104</t>
  </si>
  <si>
    <t>3.5.3.6 - Material de Limpeza (Adm)</t>
  </si>
  <si>
    <t>LUKPAPER IND. E COM. DE PAPEIS EIRELI</t>
  </si>
  <si>
    <t>12036</t>
  </si>
  <si>
    <t>12035</t>
  </si>
  <si>
    <t>1583103</t>
  </si>
  <si>
    <t>1343103</t>
  </si>
  <si>
    <t>14283103</t>
  </si>
  <si>
    <t>2853103</t>
  </si>
  <si>
    <t>2373103</t>
  </si>
  <si>
    <t>0440104</t>
  </si>
  <si>
    <t>13433103</t>
  </si>
  <si>
    <t>4213103</t>
  </si>
  <si>
    <t>1283103</t>
  </si>
  <si>
    <t>467375</t>
  </si>
  <si>
    <t>21045</t>
  </si>
  <si>
    <t>21044</t>
  </si>
  <si>
    <t>TAM LINHAS AEREAS S/A.</t>
  </si>
  <si>
    <t>MAESTRIA 2</t>
  </si>
  <si>
    <t>MAESTRIA26</t>
  </si>
  <si>
    <t>GOL LINHAS AÉREAS INTELIGENTES</t>
  </si>
  <si>
    <t>78129</t>
  </si>
  <si>
    <t>3.4.4.12 - Férias CIF</t>
  </si>
  <si>
    <t>F. G. COM. DE PROD. DE HIG. PROF. LTDA.</t>
  </si>
  <si>
    <t>62477</t>
  </si>
  <si>
    <t>NIS0312A</t>
  </si>
  <si>
    <t>NIS0312</t>
  </si>
  <si>
    <t>NIS2001C</t>
  </si>
  <si>
    <t>NIS1501B</t>
  </si>
  <si>
    <t>120721235</t>
  </si>
  <si>
    <t>3530</t>
  </si>
  <si>
    <t>NIS1002A</t>
  </si>
  <si>
    <t>1.3.4 - Construções e Reformas</t>
  </si>
  <si>
    <t>GIL1401A</t>
  </si>
  <si>
    <t>53620</t>
  </si>
  <si>
    <t>53356</t>
  </si>
  <si>
    <t>51172</t>
  </si>
  <si>
    <t>942208</t>
  </si>
  <si>
    <t>1510541</t>
  </si>
  <si>
    <t>54602</t>
  </si>
  <si>
    <t>54825</t>
  </si>
  <si>
    <t>169754</t>
  </si>
  <si>
    <t>3695382</t>
  </si>
  <si>
    <t>3699628</t>
  </si>
  <si>
    <t>171774</t>
  </si>
  <si>
    <t>711</t>
  </si>
  <si>
    <t>3.4.4.19 - Remessa de Industrialização</t>
  </si>
  <si>
    <t>ALAY INDUSTRIA E COMERCIO DE MOVEIS LTDA</t>
  </si>
  <si>
    <t>5646</t>
  </si>
  <si>
    <t>5703003</t>
  </si>
  <si>
    <t>1613103</t>
  </si>
  <si>
    <t>5533003</t>
  </si>
  <si>
    <t>26863003</t>
  </si>
  <si>
    <t>194233003</t>
  </si>
  <si>
    <t>0883003</t>
  </si>
  <si>
    <t>21434</t>
  </si>
  <si>
    <t>78172</t>
  </si>
  <si>
    <t>LEAND2803</t>
  </si>
  <si>
    <t>AUTO POSTO ROTA SUL LTDA</t>
  </si>
  <si>
    <t>5347</t>
  </si>
  <si>
    <t>5346</t>
  </si>
  <si>
    <t>338217</t>
  </si>
  <si>
    <t>12593</t>
  </si>
  <si>
    <t>18016</t>
  </si>
  <si>
    <t>CET300326</t>
  </si>
  <si>
    <t>8504</t>
  </si>
  <si>
    <t>SILVIA250</t>
  </si>
  <si>
    <t>GPS 0426</t>
  </si>
  <si>
    <t>DIF MENSA</t>
  </si>
  <si>
    <t>1473822</t>
  </si>
  <si>
    <t>3.5.1.10 - Fretes Ass. Técnica</t>
  </si>
  <si>
    <t>VIPEX TRANSPORTES LTDA</t>
  </si>
  <si>
    <t>17171</t>
  </si>
  <si>
    <t>3.5.3.8 - SPC/Serasa/Associacao</t>
  </si>
  <si>
    <t>SERASA S/A</t>
  </si>
  <si>
    <t>454184</t>
  </si>
  <si>
    <t>PWR26/3</t>
  </si>
  <si>
    <t>PWR26/2</t>
  </si>
  <si>
    <t>PWR26/1</t>
  </si>
  <si>
    <t>3691</t>
  </si>
  <si>
    <t>NETO2803</t>
  </si>
  <si>
    <t>2302</t>
  </si>
  <si>
    <t>GOL220326</t>
  </si>
  <si>
    <t>11717</t>
  </si>
  <si>
    <t>LEJON COMERCIO ATACADISTA DE PRODUTOS ALIM EIRELI</t>
  </si>
  <si>
    <t>91419</t>
  </si>
  <si>
    <t>Codema Comercial e Importadora LTDA</t>
  </si>
  <si>
    <t>147760</t>
  </si>
  <si>
    <t>458577</t>
  </si>
  <si>
    <t>7416</t>
  </si>
  <si>
    <t>SODA2703</t>
  </si>
  <si>
    <t>0953003</t>
  </si>
  <si>
    <t>1582703</t>
  </si>
  <si>
    <t>0743003</t>
  </si>
  <si>
    <t>11</t>
  </si>
  <si>
    <t>7553003</t>
  </si>
  <si>
    <t>559</t>
  </si>
  <si>
    <t>0473003</t>
  </si>
  <si>
    <t>23702703</t>
  </si>
  <si>
    <t>58</t>
  </si>
  <si>
    <t>LIDIO RAMOS DE SOUZA</t>
  </si>
  <si>
    <t>22</t>
  </si>
  <si>
    <t>UNIXCOMEX - COMERCIO EXTERIOR</t>
  </si>
  <si>
    <t>CORUMBA2</t>
  </si>
  <si>
    <t>CET2703</t>
  </si>
  <si>
    <t>6483</t>
  </si>
  <si>
    <t>91662703</t>
  </si>
  <si>
    <t>ASP REPRESENTAÇÕES COMERCIAIS LTDA</t>
  </si>
  <si>
    <t>PLACA SOL</t>
  </si>
  <si>
    <t>78007</t>
  </si>
  <si>
    <t>LEAND2603</t>
  </si>
  <si>
    <t>POL2603A</t>
  </si>
  <si>
    <t>POL2603</t>
  </si>
  <si>
    <t>149278</t>
  </si>
  <si>
    <t>149277</t>
  </si>
  <si>
    <t>73987</t>
  </si>
  <si>
    <t>SIM REDE DE POSTOS LTDA</t>
  </si>
  <si>
    <t>40694</t>
  </si>
  <si>
    <t>466893</t>
  </si>
  <si>
    <t>BATA2703</t>
  </si>
  <si>
    <t>9830</t>
  </si>
  <si>
    <t>0792603</t>
  </si>
  <si>
    <t>0952603</t>
  </si>
  <si>
    <t>5622703</t>
  </si>
  <si>
    <t>0652703</t>
  </si>
  <si>
    <t>11062603</t>
  </si>
  <si>
    <t>2462603</t>
  </si>
  <si>
    <t>VEGAS CARD DO BRASIL CARTOES DE CREDITO LTDA</t>
  </si>
  <si>
    <t>PREM0326M</t>
  </si>
  <si>
    <t>PREM0326C</t>
  </si>
  <si>
    <t>VEG0326A</t>
  </si>
  <si>
    <t>VEG0326C</t>
  </si>
  <si>
    <t>VEG0326M</t>
  </si>
  <si>
    <t>JOSE MENDES DA SILVA</t>
  </si>
  <si>
    <t>CORTARARV</t>
  </si>
  <si>
    <t>15455</t>
  </si>
  <si>
    <t>2396</t>
  </si>
  <si>
    <t>CET2603</t>
  </si>
  <si>
    <t>LIN260326</t>
  </si>
  <si>
    <t>PEIXE2603</t>
  </si>
  <si>
    <t>JULIANA SILVA QUITÉRIO - ME</t>
  </si>
  <si>
    <t>PISW01254</t>
  </si>
  <si>
    <t>01-15MA26</t>
  </si>
  <si>
    <t>3.5.1.3 - Pedágio Frota</t>
  </si>
  <si>
    <t>BEM-9J26</t>
  </si>
  <si>
    <t>BEM-8409</t>
  </si>
  <si>
    <t>BEM-6E19</t>
  </si>
  <si>
    <t>BEH-6E00</t>
  </si>
  <si>
    <t>BDS-7E01</t>
  </si>
  <si>
    <t>BBH-6630</t>
  </si>
  <si>
    <t>AYL-6E00</t>
  </si>
  <si>
    <t>AYL-5F59</t>
  </si>
  <si>
    <t>AUTO POSTO MACEDAO LTDA.</t>
  </si>
  <si>
    <t>847344</t>
  </si>
  <si>
    <t>AUTO POSTO ESTORIL DE SERTAOZINHO LTDA</t>
  </si>
  <si>
    <t>8475</t>
  </si>
  <si>
    <t>8108</t>
  </si>
  <si>
    <t>77989</t>
  </si>
  <si>
    <t>8109</t>
  </si>
  <si>
    <t>SODA2503</t>
  </si>
  <si>
    <t>77721</t>
  </si>
  <si>
    <t>77722</t>
  </si>
  <si>
    <t>SODA 2403</t>
  </si>
  <si>
    <t>7757</t>
  </si>
  <si>
    <t>VIPEX TRANSPORTES LTDA - 017</t>
  </si>
  <si>
    <t>15118</t>
  </si>
  <si>
    <t>2852503</t>
  </si>
  <si>
    <t>3162503</t>
  </si>
  <si>
    <t>1582503</t>
  </si>
  <si>
    <t>422426</t>
  </si>
  <si>
    <t>4082603</t>
  </si>
  <si>
    <t>6322503</t>
  </si>
  <si>
    <t>EVANDRO CASSIO DOS SANTOS</t>
  </si>
  <si>
    <t>EVAN0903</t>
  </si>
  <si>
    <t>EVAN2403</t>
  </si>
  <si>
    <t>CET2503</t>
  </si>
  <si>
    <t>12812</t>
  </si>
  <si>
    <t>20983</t>
  </si>
  <si>
    <t>6259</t>
  </si>
  <si>
    <t>7921</t>
  </si>
  <si>
    <t>BATA2503</t>
  </si>
  <si>
    <t>LOCALIZA RENT A CAR S/A.</t>
  </si>
  <si>
    <t>196893</t>
  </si>
  <si>
    <t>16839</t>
  </si>
  <si>
    <t>NIS2503</t>
  </si>
  <si>
    <t>MAYCON ARIEL MAIOR &amp; CIA LTDA - ME</t>
  </si>
  <si>
    <t>MIL2503</t>
  </si>
  <si>
    <t>BLACK EAGLE MARKETING &amp; TREINAMENTO PROFISSIONAL L</t>
  </si>
  <si>
    <t>INTEL. ART</t>
  </si>
  <si>
    <t>POL2003</t>
  </si>
  <si>
    <t>PET2503</t>
  </si>
  <si>
    <t>MAR250326</t>
  </si>
  <si>
    <t>ACA2103</t>
  </si>
  <si>
    <t>NORI2503</t>
  </si>
  <si>
    <t>63254</t>
  </si>
  <si>
    <t>0792403</t>
  </si>
  <si>
    <t>13412503</t>
  </si>
  <si>
    <t>1322503</t>
  </si>
  <si>
    <t>3162403</t>
  </si>
  <si>
    <t>22142403</t>
  </si>
  <si>
    <t>82712403</t>
  </si>
  <si>
    <t>AUTO MECANICA BRASIL &amp; MENDES LTDA-ME</t>
  </si>
  <si>
    <t>3012</t>
  </si>
  <si>
    <t>14355</t>
  </si>
  <si>
    <t>13050</t>
  </si>
  <si>
    <t>755587</t>
  </si>
  <si>
    <t>50183</t>
  </si>
  <si>
    <t>SIL240326</t>
  </si>
  <si>
    <t>3686745</t>
  </si>
  <si>
    <t>197800</t>
  </si>
  <si>
    <t>50201</t>
  </si>
  <si>
    <t>196835</t>
  </si>
  <si>
    <t>3672157</t>
  </si>
  <si>
    <t>166020</t>
  </si>
  <si>
    <t>344498</t>
  </si>
  <si>
    <t>52142</t>
  </si>
  <si>
    <t>52147</t>
  </si>
  <si>
    <t>52300</t>
  </si>
  <si>
    <t>CET2403</t>
  </si>
  <si>
    <t>6463</t>
  </si>
  <si>
    <t>6531</t>
  </si>
  <si>
    <t>52141</t>
  </si>
  <si>
    <t>3957885</t>
  </si>
  <si>
    <t>939295</t>
  </si>
  <si>
    <t>VIAÇÃO GARCIA LTDA</t>
  </si>
  <si>
    <t>LEANDRO MI</t>
  </si>
  <si>
    <t>PWR240326</t>
  </si>
  <si>
    <t>TERRACAPI</t>
  </si>
  <si>
    <t>3510</t>
  </si>
  <si>
    <t>POSTO FAROL 48 DA CASTELO LTDA</t>
  </si>
  <si>
    <t>61587</t>
  </si>
  <si>
    <t>POSTO SESSENTA LTDA - EPP</t>
  </si>
  <si>
    <t>109495</t>
  </si>
  <si>
    <t>CANVA</t>
  </si>
  <si>
    <t>9792</t>
  </si>
  <si>
    <t>M.A. CONSULTORIA &amp; MANUTENÇAO INDUSTRIAL</t>
  </si>
  <si>
    <t>91</t>
  </si>
  <si>
    <t>7786</t>
  </si>
  <si>
    <t>7787</t>
  </si>
  <si>
    <t>77377</t>
  </si>
  <si>
    <t>77378</t>
  </si>
  <si>
    <t>7999</t>
  </si>
  <si>
    <t>8000</t>
  </si>
  <si>
    <t>27112</t>
  </si>
  <si>
    <t>VAND2303</t>
  </si>
  <si>
    <t>VAND2103</t>
  </si>
  <si>
    <t>APARECIDO DA SILVA NUNES</t>
  </si>
  <si>
    <t>VAS240325</t>
  </si>
  <si>
    <t>0792303</t>
  </si>
  <si>
    <t>9482303</t>
  </si>
  <si>
    <t>CET2303</t>
  </si>
  <si>
    <t>1472403</t>
  </si>
  <si>
    <t>25282303</t>
  </si>
  <si>
    <t>572303</t>
  </si>
  <si>
    <t>77475</t>
  </si>
  <si>
    <t>7457</t>
  </si>
  <si>
    <t>SODA1803</t>
  </si>
  <si>
    <t>AUTO POSTO VIAIS</t>
  </si>
  <si>
    <t>703689</t>
  </si>
  <si>
    <t>LEAND2003</t>
  </si>
  <si>
    <t>EMP2303</t>
  </si>
  <si>
    <t>77683</t>
  </si>
  <si>
    <t>FILTRO</t>
  </si>
  <si>
    <t>NETO2003</t>
  </si>
  <si>
    <t>POSTO E RESTAURANTE PIRAJU LTDA</t>
  </si>
  <si>
    <t>13168</t>
  </si>
  <si>
    <t>AUTO POSTO 3 CAVALOS LTDA</t>
  </si>
  <si>
    <t>117748</t>
  </si>
  <si>
    <t>35545</t>
  </si>
  <si>
    <t>28466</t>
  </si>
  <si>
    <t>109732</t>
  </si>
  <si>
    <t>PET2003A</t>
  </si>
  <si>
    <t>WORKS SEGURANÇA E MEDICINA DO TRABALHO LTDA</t>
  </si>
  <si>
    <t>POL ATHOS</t>
  </si>
  <si>
    <t>ESTCAMPRE</t>
  </si>
  <si>
    <t>EST CAMPI</t>
  </si>
  <si>
    <t>109202/1</t>
  </si>
  <si>
    <t>INTELIPOST CONSULTORIA E TECNOLOGIA DE LOGISTICA L</t>
  </si>
  <si>
    <t>INTELI26</t>
  </si>
  <si>
    <t>INTEL26</t>
  </si>
  <si>
    <t>1.3.2 - Moveis e Utensilios</t>
  </si>
  <si>
    <t>BANCO BRADESCO S/A</t>
  </si>
  <si>
    <t>MOV210326</t>
  </si>
  <si>
    <t>1902003</t>
  </si>
  <si>
    <t>790020</t>
  </si>
  <si>
    <t>2452303</t>
  </si>
  <si>
    <t>0792003</t>
  </si>
  <si>
    <t>68522303</t>
  </si>
  <si>
    <t>66023</t>
  </si>
  <si>
    <t>3692303</t>
  </si>
  <si>
    <t>1582003</t>
  </si>
  <si>
    <t>730942</t>
  </si>
  <si>
    <t>BATA2003C</t>
  </si>
  <si>
    <t>CET2003</t>
  </si>
  <si>
    <t>41744</t>
  </si>
  <si>
    <t>70471</t>
  </si>
  <si>
    <t>BATA2003B</t>
  </si>
  <si>
    <t>703523</t>
  </si>
  <si>
    <t>665190</t>
  </si>
  <si>
    <t>13332003</t>
  </si>
  <si>
    <t>1312003</t>
  </si>
  <si>
    <t>1581903</t>
  </si>
  <si>
    <t>1541903</t>
  </si>
  <si>
    <t>35312003</t>
  </si>
  <si>
    <t>3852003</t>
  </si>
  <si>
    <t>9481903</t>
  </si>
  <si>
    <t>IND. DE MAQUINAS MIRUNA LTDA</t>
  </si>
  <si>
    <t>166002</t>
  </si>
  <si>
    <t>170326</t>
  </si>
  <si>
    <t>1189234</t>
  </si>
  <si>
    <t>PASSAGEM C</t>
  </si>
  <si>
    <t>AIRBNB/2</t>
  </si>
  <si>
    <t>AIRBNB/1</t>
  </si>
  <si>
    <t>3.5.1.11 - Feiras e Eventos</t>
  </si>
  <si>
    <t>VAS93459</t>
  </si>
  <si>
    <t>PRO93456</t>
  </si>
  <si>
    <t>ADM93456</t>
  </si>
  <si>
    <t>NIS1903B</t>
  </si>
  <si>
    <t>TESTE KOY</t>
  </si>
  <si>
    <t>NIS1903A</t>
  </si>
  <si>
    <t>0651903</t>
  </si>
  <si>
    <t>3161803</t>
  </si>
  <si>
    <t>1235</t>
  </si>
  <si>
    <t>25171903</t>
  </si>
  <si>
    <t>0791803</t>
  </si>
  <si>
    <t>3491903</t>
  </si>
  <si>
    <t>9481803</t>
  </si>
  <si>
    <t>77449</t>
  </si>
  <si>
    <t>77450</t>
  </si>
  <si>
    <t>ATN LTDA</t>
  </si>
  <si>
    <t>1153564</t>
  </si>
  <si>
    <t>10311</t>
  </si>
  <si>
    <t>15916</t>
  </si>
  <si>
    <t>CET1803</t>
  </si>
  <si>
    <t>CLAUTEX TECIDOS E PLASTICO LTDA</t>
  </si>
  <si>
    <t>82644</t>
  </si>
  <si>
    <t>05REFEIÇO</t>
  </si>
  <si>
    <t>3.5.3.7 - Copa</t>
  </si>
  <si>
    <t>10CAFE/2</t>
  </si>
  <si>
    <t>10CAFE/1</t>
  </si>
  <si>
    <t>MARCOS ROGERIO TAROCO</t>
  </si>
  <si>
    <t>PWR090326</t>
  </si>
  <si>
    <t>2461703</t>
  </si>
  <si>
    <t>9191703</t>
  </si>
  <si>
    <t>19701803</t>
  </si>
  <si>
    <t>1921803</t>
  </si>
  <si>
    <t>0791703</t>
  </si>
  <si>
    <t>1291</t>
  </si>
  <si>
    <t>7381703</t>
  </si>
  <si>
    <t>381703</t>
  </si>
  <si>
    <t>1221803</t>
  </si>
  <si>
    <t>7901703</t>
  </si>
  <si>
    <t>27571703</t>
  </si>
  <si>
    <t>49680</t>
  </si>
  <si>
    <t>49956</t>
  </si>
  <si>
    <t>CET170326</t>
  </si>
  <si>
    <t>2465</t>
  </si>
  <si>
    <t>3032</t>
  </si>
  <si>
    <t>386919</t>
  </si>
  <si>
    <t>6886</t>
  </si>
  <si>
    <t>6887</t>
  </si>
  <si>
    <t>SODA 1103</t>
  </si>
  <si>
    <t>7082</t>
  </si>
  <si>
    <t>40241</t>
  </si>
  <si>
    <t>NETO1303</t>
  </si>
  <si>
    <t>7144</t>
  </si>
  <si>
    <t>SODA1403</t>
  </si>
  <si>
    <t>GVT REFORMAS E RECICLAGEM DE PNEUS LTDA</t>
  </si>
  <si>
    <t>39178</t>
  </si>
  <si>
    <t>SIL170326</t>
  </si>
  <si>
    <t>31822</t>
  </si>
  <si>
    <t>ASSOC.BRAS.DAS IND.DE MOV.DE ALTA DECORAÇÃO</t>
  </si>
  <si>
    <t>ABIMAD 42/</t>
  </si>
  <si>
    <t>3.4.3.8 - Rescisões MOD</t>
  </si>
  <si>
    <t>CRISTIANE LEITE DE MORAES</t>
  </si>
  <si>
    <t>9651603</t>
  </si>
  <si>
    <t>3161603</t>
  </si>
  <si>
    <t>18961603</t>
  </si>
  <si>
    <t>0621703</t>
  </si>
  <si>
    <t>671750</t>
  </si>
  <si>
    <t>671708</t>
  </si>
  <si>
    <t>684957</t>
  </si>
  <si>
    <t xml:space="preserve">MATHE130 </t>
  </si>
  <si>
    <t>3.5.1.7 - Fretes</t>
  </si>
  <si>
    <t>TRANSPORTES BIANO LTDA</t>
  </si>
  <si>
    <t>3700</t>
  </si>
  <si>
    <t>465082</t>
  </si>
  <si>
    <t>ACA1403</t>
  </si>
  <si>
    <t>31540</t>
  </si>
  <si>
    <t>COOPERATIVA DE CRED.DE LIVRE ADMISSÃO DO NOROESTE</t>
  </si>
  <si>
    <t>0951303</t>
  </si>
  <si>
    <t>755585</t>
  </si>
  <si>
    <t>936680</t>
  </si>
  <si>
    <t>1149016</t>
  </si>
  <si>
    <t>3446916</t>
  </si>
  <si>
    <t>1581303</t>
  </si>
  <si>
    <t>4053216</t>
  </si>
  <si>
    <t>62361603</t>
  </si>
  <si>
    <t>6236</t>
  </si>
  <si>
    <t>9478</t>
  </si>
  <si>
    <t>18957</t>
  </si>
  <si>
    <t>45496</t>
  </si>
  <si>
    <t>TELLAIO TEXTIL LTDA</t>
  </si>
  <si>
    <t>139924</t>
  </si>
  <si>
    <t>1161603</t>
  </si>
  <si>
    <t>5531303</t>
  </si>
  <si>
    <t>PET1303</t>
  </si>
  <si>
    <t>GM1203</t>
  </si>
  <si>
    <t>39115</t>
  </si>
  <si>
    <t>MAR130326</t>
  </si>
  <si>
    <t>108388036</t>
  </si>
  <si>
    <t>F0193387</t>
  </si>
  <si>
    <t>5V0040954</t>
  </si>
  <si>
    <t>NIC041605</t>
  </si>
  <si>
    <t>S04696480</t>
  </si>
  <si>
    <t>CET1303</t>
  </si>
  <si>
    <t>200601303</t>
  </si>
  <si>
    <t>380701303</t>
  </si>
  <si>
    <t>3FER26</t>
  </si>
  <si>
    <t>10451203</t>
  </si>
  <si>
    <t>0791203</t>
  </si>
  <si>
    <t>64681303</t>
  </si>
  <si>
    <t>6771303</t>
  </si>
  <si>
    <t>15801203</t>
  </si>
  <si>
    <t>13699</t>
  </si>
  <si>
    <t>40851</t>
  </si>
  <si>
    <t>14315</t>
  </si>
  <si>
    <t>2979</t>
  </si>
  <si>
    <t>1381887</t>
  </si>
  <si>
    <t>742134</t>
  </si>
  <si>
    <t>Topfres Ferramentas Industria e Comercio LTDA</t>
  </si>
  <si>
    <t>4806</t>
  </si>
  <si>
    <t>1614032</t>
  </si>
  <si>
    <t>PPO PNEUMATICA LTDA</t>
  </si>
  <si>
    <t>12595</t>
  </si>
  <si>
    <t>ACCION LTDA</t>
  </si>
  <si>
    <t>41895</t>
  </si>
  <si>
    <t>12594</t>
  </si>
  <si>
    <t>75606</t>
  </si>
  <si>
    <t>4635GMOD</t>
  </si>
  <si>
    <t>4635GADM</t>
  </si>
  <si>
    <t>4635FMOD</t>
  </si>
  <si>
    <t>4635FADM</t>
  </si>
  <si>
    <t>4612gmod</t>
  </si>
  <si>
    <t>4612gcif</t>
  </si>
  <si>
    <t>4612gadm</t>
  </si>
  <si>
    <t>4612fmod</t>
  </si>
  <si>
    <t>4612fcif</t>
  </si>
  <si>
    <t>4612fadm</t>
  </si>
  <si>
    <t>4634GCIF</t>
  </si>
  <si>
    <t>4634FCIF</t>
  </si>
  <si>
    <t>4634GMOD</t>
  </si>
  <si>
    <t>4634GADM</t>
  </si>
  <si>
    <t>4634FMOD</t>
  </si>
  <si>
    <t>4634FADM</t>
  </si>
  <si>
    <t>4634AYLA</t>
  </si>
  <si>
    <t>58855</t>
  </si>
  <si>
    <t>3.5.4.8 - Consultoria Tributaria</t>
  </si>
  <si>
    <t>L Y CONSULTORIA EMPRESARIAL LTDA</t>
  </si>
  <si>
    <t>3664558</t>
  </si>
  <si>
    <t>51</t>
  </si>
  <si>
    <t>PERES &amp; DANDOLINI LTDA. ME</t>
  </si>
  <si>
    <t>MATHEUS08</t>
  </si>
  <si>
    <t>NORI1203</t>
  </si>
  <si>
    <t>2851103</t>
  </si>
  <si>
    <t>0791103</t>
  </si>
  <si>
    <t>1001203</t>
  </si>
  <si>
    <t>4741103</t>
  </si>
  <si>
    <t>2081203</t>
  </si>
  <si>
    <t>11061103</t>
  </si>
  <si>
    <t>0991103</t>
  </si>
  <si>
    <t>CET1103</t>
  </si>
  <si>
    <t>37911103</t>
  </si>
  <si>
    <t>58451103</t>
  </si>
  <si>
    <t>VANDE1003</t>
  </si>
  <si>
    <t>76855</t>
  </si>
  <si>
    <t>LEAN1003</t>
  </si>
  <si>
    <t>FM1403</t>
  </si>
  <si>
    <t>GIL1103</t>
  </si>
  <si>
    <t>4578</t>
  </si>
  <si>
    <t>729192</t>
  </si>
  <si>
    <t>10032026</t>
  </si>
  <si>
    <t>RAFAELA BECK SIMOES SILVA</t>
  </si>
  <si>
    <t>PROPAGAND</t>
  </si>
  <si>
    <t>685035</t>
  </si>
  <si>
    <t>2973</t>
  </si>
  <si>
    <t>14302</t>
  </si>
  <si>
    <t>ADMA PAPEIS PARA CONFECCOES</t>
  </si>
  <si>
    <t>172661</t>
  </si>
  <si>
    <t>195594</t>
  </si>
  <si>
    <t>935123</t>
  </si>
  <si>
    <t>47888</t>
  </si>
  <si>
    <t>47202</t>
  </si>
  <si>
    <t>47204</t>
  </si>
  <si>
    <t>47830</t>
  </si>
  <si>
    <t>47837</t>
  </si>
  <si>
    <t>47936</t>
  </si>
  <si>
    <t>47344</t>
  </si>
  <si>
    <t>VALERIA DANTAS SILVA</t>
  </si>
  <si>
    <t>PWR1003</t>
  </si>
  <si>
    <t>SERGIO UTIYAMA</t>
  </si>
  <si>
    <t>MUNDIAL ACO COMERCIO DE FERRAGENS LTDA</t>
  </si>
  <si>
    <t>8073</t>
  </si>
  <si>
    <t>158100326</t>
  </si>
  <si>
    <t>1581003</t>
  </si>
  <si>
    <t>BATA1003B</t>
  </si>
  <si>
    <t>48161103</t>
  </si>
  <si>
    <t>4841103</t>
  </si>
  <si>
    <t>3951003</t>
  </si>
  <si>
    <t>AIRBNB</t>
  </si>
  <si>
    <t>6571</t>
  </si>
  <si>
    <t>5987</t>
  </si>
  <si>
    <t>SODA0303</t>
  </si>
  <si>
    <t>6661</t>
  </si>
  <si>
    <t>27053</t>
  </si>
  <si>
    <t>103854863</t>
  </si>
  <si>
    <t>43037</t>
  </si>
  <si>
    <t>10167</t>
  </si>
  <si>
    <t>893404</t>
  </si>
  <si>
    <t>292746</t>
  </si>
  <si>
    <t>1133787</t>
  </si>
  <si>
    <t>118479</t>
  </si>
  <si>
    <t>1084</t>
  </si>
  <si>
    <t>FM1003</t>
  </si>
  <si>
    <t>180559</t>
  </si>
  <si>
    <t>294682</t>
  </si>
  <si>
    <t>2713</t>
  </si>
  <si>
    <t>159039</t>
  </si>
  <si>
    <t>18263</t>
  </si>
  <si>
    <t>1859</t>
  </si>
  <si>
    <t>123247</t>
  </si>
  <si>
    <t>225100</t>
  </si>
  <si>
    <t>19444</t>
  </si>
  <si>
    <t>390068</t>
  </si>
  <si>
    <t>771167</t>
  </si>
  <si>
    <t>16145</t>
  </si>
  <si>
    <t>30696</t>
  </si>
  <si>
    <t>104977</t>
  </si>
  <si>
    <t>72879</t>
  </si>
  <si>
    <t>CAMELIA TECIDOS COMPLEMENTOS PARA DECORACOES LTDA</t>
  </si>
  <si>
    <t>6877</t>
  </si>
  <si>
    <t>6165</t>
  </si>
  <si>
    <t>76451</t>
  </si>
  <si>
    <t>LEAND0503</t>
  </si>
  <si>
    <t>PET1003</t>
  </si>
  <si>
    <t>7600903</t>
  </si>
  <si>
    <t>5530903</t>
  </si>
  <si>
    <t>8690903</t>
  </si>
  <si>
    <t>34760903</t>
  </si>
  <si>
    <t>ADOBE 26/1</t>
  </si>
  <si>
    <t>ADOBE 26/2</t>
  </si>
  <si>
    <t>20939</t>
  </si>
  <si>
    <t>24619</t>
  </si>
  <si>
    <t>CET0903</t>
  </si>
  <si>
    <t>MON090326</t>
  </si>
  <si>
    <t>INSS0326A</t>
  </si>
  <si>
    <t>INSS0326C</t>
  </si>
  <si>
    <t>INSS0326M</t>
  </si>
  <si>
    <t>FGTS0326A</t>
  </si>
  <si>
    <t>FGTS0326C</t>
  </si>
  <si>
    <t>FGTS0326M</t>
  </si>
  <si>
    <t>6274</t>
  </si>
  <si>
    <t>VANDE0603</t>
  </si>
  <si>
    <t>6317</t>
  </si>
  <si>
    <t>NETO0603</t>
  </si>
  <si>
    <t>LIV090326</t>
  </si>
  <si>
    <t>FISCHERTEC MAQUINAS E AUTOMAÇÃO IND. LTDA EPP</t>
  </si>
  <si>
    <t>3566</t>
  </si>
  <si>
    <t>TESTE 3</t>
  </si>
  <si>
    <t>LAZULI CONSULTORIA ESTRATEGICA LTDA</t>
  </si>
  <si>
    <t>CONSULT CO</t>
  </si>
  <si>
    <t>BATA0903B</t>
  </si>
  <si>
    <t>BATA0903A</t>
  </si>
  <si>
    <t>BATA0903</t>
  </si>
  <si>
    <t>DIFERE26</t>
  </si>
  <si>
    <t xml:space="preserve">DIFERENÇA </t>
  </si>
  <si>
    <t>CONS COMER</t>
  </si>
  <si>
    <t>3.5.4.1 - Contabilidade</t>
  </si>
  <si>
    <t>EXITUS ESCRITORIO DE CONTABILIDADE S/S - EPP</t>
  </si>
  <si>
    <t>DCTFWEB</t>
  </si>
  <si>
    <t>MARINGA FITAS DIST. FITAS E ABRAS INDS LTDA</t>
  </si>
  <si>
    <t>304509</t>
  </si>
  <si>
    <t>CASOCA MARKETPLACE LTDA</t>
  </si>
  <si>
    <t>CASOCA 26/</t>
  </si>
  <si>
    <t>219259212</t>
  </si>
  <si>
    <t>AUTO POSTO CACIQUE II LTDA</t>
  </si>
  <si>
    <t>388551</t>
  </si>
  <si>
    <t>728086</t>
  </si>
  <si>
    <t>728087</t>
  </si>
  <si>
    <t>60732</t>
  </si>
  <si>
    <t>POSTO 7 BARAO DE ARARAS LTDA.</t>
  </si>
  <si>
    <t>301339</t>
  </si>
  <si>
    <t>301341</t>
  </si>
  <si>
    <t>AUTO POSTO PRA FRENTE BRASIL</t>
  </si>
  <si>
    <t>60398</t>
  </si>
  <si>
    <t>POSTOS PELANDA OSORIO FIGUEIRA</t>
  </si>
  <si>
    <t>4209</t>
  </si>
  <si>
    <t>REDE DE POSTOS APOLO LTDA - FILIAL 08</t>
  </si>
  <si>
    <t>14345</t>
  </si>
  <si>
    <t>12274</t>
  </si>
  <si>
    <t>RETEN0326</t>
  </si>
  <si>
    <t>DAS 0326</t>
  </si>
  <si>
    <t>ICMSD0326</t>
  </si>
  <si>
    <t>COFI 0326</t>
  </si>
  <si>
    <t>PIS 0326</t>
  </si>
  <si>
    <t>IPI 0326</t>
  </si>
  <si>
    <t>ICMS0326</t>
  </si>
  <si>
    <t>45433</t>
  </si>
  <si>
    <t>45434</t>
  </si>
  <si>
    <t>45530</t>
  </si>
  <si>
    <t>FEV/26</t>
  </si>
  <si>
    <t>934013</t>
  </si>
  <si>
    <t>FEV/2026</t>
  </si>
  <si>
    <t>46738</t>
  </si>
  <si>
    <t>TRANS APUCARANA TRANSPORTES RODOVIARIOS</t>
  </si>
  <si>
    <t>3320</t>
  </si>
  <si>
    <t>45803</t>
  </si>
  <si>
    <t>46110</t>
  </si>
  <si>
    <t>46114</t>
  </si>
  <si>
    <t>0950603</t>
  </si>
  <si>
    <t xml:space="preserve">A DESIGN </t>
  </si>
  <si>
    <t>2241</t>
  </si>
  <si>
    <t>OG TRANSPORTES</t>
  </si>
  <si>
    <t>131872</t>
  </si>
  <si>
    <t>3720</t>
  </si>
  <si>
    <t>0950903</t>
  </si>
  <si>
    <t>0790603</t>
  </si>
  <si>
    <t>5530603</t>
  </si>
  <si>
    <t>10450903</t>
  </si>
  <si>
    <t>26610903</t>
  </si>
  <si>
    <t>12583</t>
  </si>
  <si>
    <t>A J M SHIHADEH - ME</t>
  </si>
  <si>
    <t>CAPP60326</t>
  </si>
  <si>
    <t>SALARIO2</t>
  </si>
  <si>
    <t>NIS0603B</t>
  </si>
  <si>
    <t>CET060326</t>
  </si>
  <si>
    <t>60287</t>
  </si>
  <si>
    <t>36193</t>
  </si>
  <si>
    <t>01-28FE26</t>
  </si>
  <si>
    <t>OQ DA CASADESIGN STUDIO LTDA</t>
  </si>
  <si>
    <t>01-28FE</t>
  </si>
  <si>
    <t>20719</t>
  </si>
  <si>
    <t>20725</t>
  </si>
  <si>
    <t>PULVERIZA</t>
  </si>
  <si>
    <t>REG040226</t>
  </si>
  <si>
    <t>KIT0402</t>
  </si>
  <si>
    <t>50881</t>
  </si>
  <si>
    <t>20718</t>
  </si>
  <si>
    <t>53907</t>
  </si>
  <si>
    <t>KIT040226</t>
  </si>
  <si>
    <t>TOM040226</t>
  </si>
  <si>
    <t>CA040226</t>
  </si>
  <si>
    <t>CAB030226</t>
  </si>
  <si>
    <t>0950503</t>
  </si>
  <si>
    <t>0790503</t>
  </si>
  <si>
    <t>4740503</t>
  </si>
  <si>
    <t>1580603</t>
  </si>
  <si>
    <t>9480603</t>
  </si>
  <si>
    <t>239670603</t>
  </si>
  <si>
    <t>13FER26</t>
  </si>
  <si>
    <t>PGTO0326</t>
  </si>
  <si>
    <t>16-28FE26</t>
  </si>
  <si>
    <t>MITRA DIOCESANA DE PARANAVAI</t>
  </si>
  <si>
    <t>ASILO2026</t>
  </si>
  <si>
    <t>CET0503</t>
  </si>
  <si>
    <t>41475</t>
  </si>
  <si>
    <t>63749</t>
  </si>
  <si>
    <t>54754</t>
  </si>
  <si>
    <t>549764</t>
  </si>
  <si>
    <t>7CG0226</t>
  </si>
  <si>
    <t>6CG0226</t>
  </si>
  <si>
    <t>2CG0226</t>
  </si>
  <si>
    <t>11CG0226</t>
  </si>
  <si>
    <t>664115</t>
  </si>
  <si>
    <t>50109</t>
  </si>
  <si>
    <t>EMILI LOPES DE SOUZA</t>
  </si>
  <si>
    <t>MULTARESC</t>
  </si>
  <si>
    <t>50015</t>
  </si>
  <si>
    <t>3160403</t>
  </si>
  <si>
    <t>2550503</t>
  </si>
  <si>
    <t>10270403</t>
  </si>
  <si>
    <t>3950503</t>
  </si>
  <si>
    <t>PISW01253</t>
  </si>
  <si>
    <t>RAF200326</t>
  </si>
  <si>
    <t>11420</t>
  </si>
  <si>
    <t>167210403</t>
  </si>
  <si>
    <t>MYL200326</t>
  </si>
  <si>
    <t>CET0402</t>
  </si>
  <si>
    <t>KAR200326</t>
  </si>
  <si>
    <t>SUE200326</t>
  </si>
  <si>
    <t>FAB200326</t>
  </si>
  <si>
    <t>NIS0403A</t>
  </si>
  <si>
    <t>CAR223743</t>
  </si>
  <si>
    <t>223743</t>
  </si>
  <si>
    <t>JANGADA</t>
  </si>
  <si>
    <t>GOL280226</t>
  </si>
  <si>
    <t>25007</t>
  </si>
  <si>
    <t>ALL VISION  INFORMATICA E ELETRONICA</t>
  </si>
  <si>
    <t>PLACA</t>
  </si>
  <si>
    <t>76378</t>
  </si>
  <si>
    <t>NIS0403</t>
  </si>
  <si>
    <t>ATRIANI</t>
  </si>
  <si>
    <t xml:space="preserve">ATRIANI  </t>
  </si>
  <si>
    <t>SIDMAR AZOIA JUNIOR</t>
  </si>
  <si>
    <t>02PNEU</t>
  </si>
  <si>
    <t>ROSELY DA SILVA</t>
  </si>
  <si>
    <t>MULHER26</t>
  </si>
  <si>
    <t>PENSÃO0326</t>
  </si>
  <si>
    <t>3617788</t>
  </si>
  <si>
    <t>0950303</t>
  </si>
  <si>
    <t>0790303</t>
  </si>
  <si>
    <t>0560403</t>
  </si>
  <si>
    <t>8690303</t>
  </si>
  <si>
    <t>11898</t>
  </si>
  <si>
    <t>11899</t>
  </si>
  <si>
    <t>TRIBUNAL DE JUSTIÇA DO ESTADO DO PARANA</t>
  </si>
  <si>
    <t>JARAGUA</t>
  </si>
  <si>
    <t>11780</t>
  </si>
  <si>
    <t>CET030326</t>
  </si>
  <si>
    <t>95110303</t>
  </si>
  <si>
    <t>165300303</t>
  </si>
  <si>
    <t>LEAN2802</t>
  </si>
  <si>
    <t>335948</t>
  </si>
  <si>
    <t>724862</t>
  </si>
  <si>
    <t>PET0303B</t>
  </si>
  <si>
    <t>AUTO POSTO LIMOEIRO</t>
  </si>
  <si>
    <t>333888</t>
  </si>
  <si>
    <t>J. P. DOS SANTOS VIAIS &amp; CIA LTDA.</t>
  </si>
  <si>
    <t>838335</t>
  </si>
  <si>
    <t>5103</t>
  </si>
  <si>
    <t>ERICA OLMOS BARBEIRO DECORACOES</t>
  </si>
  <si>
    <t>2229</t>
  </si>
  <si>
    <t>76215</t>
  </si>
  <si>
    <t>5580</t>
  </si>
  <si>
    <t>5579</t>
  </si>
  <si>
    <t>LAMPADA</t>
  </si>
  <si>
    <t>VANDER280</t>
  </si>
  <si>
    <t>538340</t>
  </si>
  <si>
    <t>NIS0303A</t>
  </si>
  <si>
    <t>62163</t>
  </si>
  <si>
    <t>63523</t>
  </si>
  <si>
    <t>BBH6630</t>
  </si>
  <si>
    <t>AYLF-5F59</t>
  </si>
  <si>
    <t>WAGNER SANVEZZO PEREIRINHA 04625378974</t>
  </si>
  <si>
    <t>ALARMEINC</t>
  </si>
  <si>
    <t>HEMILI</t>
  </si>
  <si>
    <t>0590303</t>
  </si>
  <si>
    <t>3950203</t>
  </si>
  <si>
    <t>9500203</t>
  </si>
  <si>
    <t>600203</t>
  </si>
  <si>
    <t>7110203</t>
  </si>
  <si>
    <t>33180203</t>
  </si>
  <si>
    <t>25870203</t>
  </si>
  <si>
    <t>GM0603B</t>
  </si>
  <si>
    <t>GM0203</t>
  </si>
  <si>
    <t>463303</t>
  </si>
  <si>
    <t>3.4.3.14 - Medicina e Segurança do Trabalho MOD</t>
  </si>
  <si>
    <t>EXAME0226</t>
  </si>
  <si>
    <t>BATA0203A</t>
  </si>
  <si>
    <t>76077</t>
  </si>
  <si>
    <t>76076</t>
  </si>
  <si>
    <t>SODA2702</t>
  </si>
  <si>
    <t>JUNTA COMERCIAL DO ESTADO DO PARANA</t>
  </si>
  <si>
    <t>ALTERAÇÃO</t>
  </si>
  <si>
    <t>691987</t>
  </si>
  <si>
    <t>NETO2702</t>
  </si>
  <si>
    <t>POSTO DOM PEDRO I 124 SUL EIRELI</t>
  </si>
  <si>
    <t>67136</t>
  </si>
  <si>
    <t>3456</t>
  </si>
  <si>
    <t>MAR2026</t>
  </si>
  <si>
    <t>CCLI LTDA EPP</t>
  </si>
  <si>
    <t>ESPANHOL/1</t>
  </si>
  <si>
    <t>ESPANHOL/2</t>
  </si>
  <si>
    <t>PEIXE2802</t>
  </si>
  <si>
    <t>MARCEL APARECIDO GONÇALVES  ANDRADE</t>
  </si>
  <si>
    <t>PLOTTER</t>
  </si>
  <si>
    <t>RNT DIAGNOSTICO MERCEDES LTDA</t>
  </si>
  <si>
    <t>234</t>
  </si>
  <si>
    <t>89</t>
  </si>
  <si>
    <t>03020203</t>
  </si>
  <si>
    <t>3162702</t>
  </si>
  <si>
    <t>553272</t>
  </si>
  <si>
    <t>0072702</t>
  </si>
  <si>
    <t>0752702</t>
  </si>
  <si>
    <t>DIAMANTEC IND. E COM. DE FERRAMENTAS</t>
  </si>
  <si>
    <t>38961</t>
  </si>
  <si>
    <t>PET2702</t>
  </si>
  <si>
    <t>3650640</t>
  </si>
  <si>
    <t>194294</t>
  </si>
  <si>
    <t>339759</t>
  </si>
  <si>
    <t>3648668</t>
  </si>
  <si>
    <t>3935189</t>
  </si>
  <si>
    <t>1498682</t>
  </si>
  <si>
    <t>4779</t>
  </si>
  <si>
    <t>1605879</t>
  </si>
  <si>
    <t>BATA0502</t>
  </si>
  <si>
    <t>TRANS APUCARANA TRANSPORTES RODOVIARIO EIRELI</t>
  </si>
  <si>
    <t>14480</t>
  </si>
  <si>
    <t>LUCAS VINICIUS DO CARMO</t>
  </si>
  <si>
    <t>ABIMAD 41</t>
  </si>
  <si>
    <t>CET2702</t>
  </si>
  <si>
    <t>4913</t>
  </si>
  <si>
    <t>8599</t>
  </si>
  <si>
    <t>11190</t>
  </si>
  <si>
    <t>15849</t>
  </si>
  <si>
    <t>44262</t>
  </si>
  <si>
    <t>193871</t>
  </si>
  <si>
    <t>275870</t>
  </si>
  <si>
    <t>STM REMOCOES LTDA</t>
  </si>
  <si>
    <t>564</t>
  </si>
  <si>
    <t>6652602</t>
  </si>
  <si>
    <t>0792602</t>
  </si>
  <si>
    <t>1582602</t>
  </si>
  <si>
    <t>6322602</t>
  </si>
  <si>
    <t>12642602</t>
  </si>
  <si>
    <t>PET2602</t>
  </si>
  <si>
    <t>TESTE</t>
  </si>
  <si>
    <t>CET2602</t>
  </si>
  <si>
    <t>11672</t>
  </si>
  <si>
    <t>19468</t>
  </si>
  <si>
    <t>GPS 0326</t>
  </si>
  <si>
    <t>NIS2602C</t>
  </si>
  <si>
    <t>U.T.I. DA CERVEJA</t>
  </si>
  <si>
    <t xml:space="preserve">CERVEJA </t>
  </si>
  <si>
    <t>NIS2602A</t>
  </si>
  <si>
    <t>FABRICIO APARECIDO DE SOUZA</t>
  </si>
  <si>
    <t>PROCESS30</t>
  </si>
  <si>
    <t>BRUNO GAMA BENEDITO</t>
  </si>
  <si>
    <t>FGTSRESCI</t>
  </si>
  <si>
    <t>OTAVIO REINOF LOPES</t>
  </si>
  <si>
    <t>16-25FE26</t>
  </si>
  <si>
    <t>5598</t>
  </si>
  <si>
    <t>0792502</t>
  </si>
  <si>
    <t>4922502</t>
  </si>
  <si>
    <t>23302502</t>
  </si>
  <si>
    <t>192602</t>
  </si>
  <si>
    <t>602502</t>
  </si>
  <si>
    <t>1172602</t>
  </si>
  <si>
    <t>26862502</t>
  </si>
  <si>
    <t>2462502</t>
  </si>
  <si>
    <t>9192502</t>
  </si>
  <si>
    <t>9569</t>
  </si>
  <si>
    <t>2232502</t>
  </si>
  <si>
    <t>2348</t>
  </si>
  <si>
    <t>1212502</t>
  </si>
  <si>
    <t>23722502</t>
  </si>
  <si>
    <t>176425</t>
  </si>
  <si>
    <t>1265</t>
  </si>
  <si>
    <t>CET 2502</t>
  </si>
  <si>
    <t>75052502</t>
  </si>
  <si>
    <t>142642502</t>
  </si>
  <si>
    <t>CET2502</t>
  </si>
  <si>
    <t>1753</t>
  </si>
  <si>
    <t>7572502</t>
  </si>
  <si>
    <t>40882</t>
  </si>
  <si>
    <t>12322502</t>
  </si>
  <si>
    <t>12760</t>
  </si>
  <si>
    <t>2832925</t>
  </si>
  <si>
    <t>171912502</t>
  </si>
  <si>
    <t>ARI PEREIRA RODRIGUES</t>
  </si>
  <si>
    <t>ENG2502</t>
  </si>
  <si>
    <t>336028</t>
  </si>
  <si>
    <t>5250</t>
  </si>
  <si>
    <t>3.5.4.3 - Consultoria Juridica</t>
  </si>
  <si>
    <t>SANTIAGO COSTA ADVOGADOS ASSOCIADOS</t>
  </si>
  <si>
    <t>ACG 0326</t>
  </si>
  <si>
    <t>NIS2402B</t>
  </si>
  <si>
    <t>JOAO LUIZ DE OLIVEIRA &amp; CIA LTDA - ME</t>
  </si>
  <si>
    <t>ELET2502</t>
  </si>
  <si>
    <t>SODA2402</t>
  </si>
  <si>
    <t>5212</t>
  </si>
  <si>
    <t>5213</t>
  </si>
  <si>
    <t>75651</t>
  </si>
  <si>
    <t>5183</t>
  </si>
  <si>
    <t>5182</t>
  </si>
  <si>
    <t>1450487</t>
  </si>
  <si>
    <t>W BRASIL ETIQUETAS LTDA</t>
  </si>
  <si>
    <t>60181</t>
  </si>
  <si>
    <t>SILV2103</t>
  </si>
  <si>
    <t>3.4.4.13 - Medicina e Seguranca do Trabalho CIF</t>
  </si>
  <si>
    <t>CONSULTORIA E ASSESSORIA EM SEGURANÇA DO TRABALHO</t>
  </si>
  <si>
    <t>MENSALIDAD</t>
  </si>
  <si>
    <t>0952402</t>
  </si>
  <si>
    <t>38592502</t>
  </si>
  <si>
    <t>4829</t>
  </si>
  <si>
    <t>4232502</t>
  </si>
  <si>
    <t>0792402</t>
  </si>
  <si>
    <t>5532402</t>
  </si>
  <si>
    <t>CET2402</t>
  </si>
  <si>
    <t>33562402</t>
  </si>
  <si>
    <t>50032402</t>
  </si>
  <si>
    <t>01-15FE26</t>
  </si>
  <si>
    <t>1455123</t>
  </si>
  <si>
    <t>JAN/2026</t>
  </si>
  <si>
    <t>FEV2026</t>
  </si>
  <si>
    <t>75753</t>
  </si>
  <si>
    <t>HOTELMAES</t>
  </si>
  <si>
    <t>3927872</t>
  </si>
  <si>
    <t>EVAN2302</t>
  </si>
  <si>
    <t>43647</t>
  </si>
  <si>
    <t>43024</t>
  </si>
  <si>
    <t>43020</t>
  </si>
  <si>
    <t>3644168</t>
  </si>
  <si>
    <t>42033</t>
  </si>
  <si>
    <t>42525</t>
  </si>
  <si>
    <t>EXAM0226</t>
  </si>
  <si>
    <t>PREM0226C</t>
  </si>
  <si>
    <t>4735</t>
  </si>
  <si>
    <t>VEG0226M</t>
  </si>
  <si>
    <t>SODA1902</t>
  </si>
  <si>
    <t>VEG0226C</t>
  </si>
  <si>
    <t>VEG0226A</t>
  </si>
  <si>
    <t>687800</t>
  </si>
  <si>
    <t>687799</t>
  </si>
  <si>
    <t>VEG0226</t>
  </si>
  <si>
    <t>PREM0226M</t>
  </si>
  <si>
    <t>SODA1802</t>
  </si>
  <si>
    <t>FM2402</t>
  </si>
  <si>
    <t>75597</t>
  </si>
  <si>
    <t>LEAND2002</t>
  </si>
  <si>
    <t>96491</t>
  </si>
  <si>
    <t>338470</t>
  </si>
  <si>
    <t>3802402</t>
  </si>
  <si>
    <t>0792302</t>
  </si>
  <si>
    <t>1752402</t>
  </si>
  <si>
    <t>19752302</t>
  </si>
  <si>
    <t>ACA2302</t>
  </si>
  <si>
    <t>FEV230226</t>
  </si>
  <si>
    <t>POLT BONS</t>
  </si>
  <si>
    <t>EST SENCI</t>
  </si>
  <si>
    <t>EST MATTE</t>
  </si>
  <si>
    <t>PAULO SERGIO DE SOUZA</t>
  </si>
  <si>
    <t>FOTOS</t>
  </si>
  <si>
    <t>SILV2002</t>
  </si>
  <si>
    <t>SILV2302</t>
  </si>
  <si>
    <t>SILVI2002</t>
  </si>
  <si>
    <t>MAESTRIA</t>
  </si>
  <si>
    <t>547682</t>
  </si>
  <si>
    <t>DESENVOLV</t>
  </si>
  <si>
    <t>229552302</t>
  </si>
  <si>
    <t>252072302</t>
  </si>
  <si>
    <t>CET2302</t>
  </si>
  <si>
    <t>40637</t>
  </si>
  <si>
    <t>13630</t>
  </si>
  <si>
    <t>FM2302</t>
  </si>
  <si>
    <t>NIS2302</t>
  </si>
  <si>
    <t>DELTA COMERCIO DE MAQUINAS DE COSTURA EIRELI - ME</t>
  </si>
  <si>
    <t>00699</t>
  </si>
  <si>
    <t>FM2102A</t>
  </si>
  <si>
    <t>NIS2102A</t>
  </si>
  <si>
    <t>NIS2002A</t>
  </si>
  <si>
    <t>GIL2302</t>
  </si>
  <si>
    <t>4752302</t>
  </si>
  <si>
    <t>22162306</t>
  </si>
  <si>
    <t>0792002</t>
  </si>
  <si>
    <t>406</t>
  </si>
  <si>
    <t>6422002</t>
  </si>
  <si>
    <t>NETO2002</t>
  </si>
  <si>
    <t>AUTO POSTO GARPELLI LTDA.</t>
  </si>
  <si>
    <t>25218</t>
  </si>
  <si>
    <t>79002002</t>
  </si>
  <si>
    <t>CET2002</t>
  </si>
  <si>
    <t>17572002</t>
  </si>
  <si>
    <t>24042002</t>
  </si>
  <si>
    <t>141822002</t>
  </si>
  <si>
    <t>122332002</t>
  </si>
  <si>
    <t>382622002</t>
  </si>
  <si>
    <t>821912002</t>
  </si>
  <si>
    <t>GM2002</t>
  </si>
  <si>
    <t>JAW TRANSPORTES</t>
  </si>
  <si>
    <t>43486</t>
  </si>
  <si>
    <t>43521</t>
  </si>
  <si>
    <t>43608</t>
  </si>
  <si>
    <t>724348</t>
  </si>
  <si>
    <t>724342</t>
  </si>
  <si>
    <t>1453357</t>
  </si>
  <si>
    <t>FM2002</t>
  </si>
  <si>
    <t>37460</t>
  </si>
  <si>
    <t>INGACO COMERCIO DE FERRO E ACO</t>
  </si>
  <si>
    <t>9863</t>
  </si>
  <si>
    <t>1441</t>
  </si>
  <si>
    <t>GM1702B</t>
  </si>
  <si>
    <t>PET1902</t>
  </si>
  <si>
    <t>461849</t>
  </si>
  <si>
    <t>1901902</t>
  </si>
  <si>
    <t>13322002</t>
  </si>
  <si>
    <t>1581902</t>
  </si>
  <si>
    <t>16152002</t>
  </si>
  <si>
    <t>8691902</t>
  </si>
  <si>
    <t>373202</t>
  </si>
  <si>
    <t>26071902</t>
  </si>
  <si>
    <t>SIMONETTI PIRES E SIMONETTI LTDA</t>
  </si>
  <si>
    <t>6909</t>
  </si>
  <si>
    <t>LEA270326</t>
  </si>
  <si>
    <t>FWAMJV</t>
  </si>
  <si>
    <t>043</t>
  </si>
  <si>
    <t>BATA1902B</t>
  </si>
  <si>
    <t>BATA1902A</t>
  </si>
  <si>
    <t>BATA1902</t>
  </si>
  <si>
    <t>384601</t>
  </si>
  <si>
    <t>WILER KAR COM. DE DECORACOES LTDA</t>
  </si>
  <si>
    <t>1046666</t>
  </si>
  <si>
    <t>205808</t>
  </si>
  <si>
    <t>TEMPLUM COMERCIO DE MOVEIS LTDA EPP</t>
  </si>
  <si>
    <t>1499</t>
  </si>
  <si>
    <t>155295</t>
  </si>
  <si>
    <t>FM1802A</t>
  </si>
  <si>
    <t>11529</t>
  </si>
  <si>
    <t>28403</t>
  </si>
  <si>
    <t>GIL1902</t>
  </si>
  <si>
    <t>18201802</t>
  </si>
  <si>
    <t>2371802</t>
  </si>
  <si>
    <t>2461802</t>
  </si>
  <si>
    <t>QUIBRAS QUIMICA BRASILEIRA LTDA</t>
  </si>
  <si>
    <t>77717</t>
  </si>
  <si>
    <t>9191802</t>
  </si>
  <si>
    <t>0791802</t>
  </si>
  <si>
    <t>24061902</t>
  </si>
  <si>
    <t>2361902</t>
  </si>
  <si>
    <t>4741802</t>
  </si>
  <si>
    <t>4266</t>
  </si>
  <si>
    <t>2937</t>
  </si>
  <si>
    <t>14249</t>
  </si>
  <si>
    <t>FM1802</t>
  </si>
  <si>
    <t>EMP1202</t>
  </si>
  <si>
    <t>C L PEREIRA TRANSPORTES LTDA</t>
  </si>
  <si>
    <t>32715</t>
  </si>
  <si>
    <t>ASUS2026</t>
  </si>
  <si>
    <t>MARCIO JOSE PACHECO</t>
  </si>
  <si>
    <t>MOSTRUARI</t>
  </si>
  <si>
    <t>IÇAR SERVIÇOS DE LANÇAMENTO LTDA</t>
  </si>
  <si>
    <t>IÇAMENTOD</t>
  </si>
  <si>
    <t>SAQ130226</t>
  </si>
  <si>
    <t>SILV2101</t>
  </si>
  <si>
    <t>120226</t>
  </si>
  <si>
    <t>62840</t>
  </si>
  <si>
    <t>120606132</t>
  </si>
  <si>
    <t>18991</t>
  </si>
  <si>
    <t>30865</t>
  </si>
  <si>
    <t>CET1802</t>
  </si>
  <si>
    <t>5v0038003</t>
  </si>
  <si>
    <t>192430180</t>
  </si>
  <si>
    <t>19243018</t>
  </si>
  <si>
    <t>192430</t>
  </si>
  <si>
    <t>12FER26</t>
  </si>
  <si>
    <t>309971802</t>
  </si>
  <si>
    <t>3099718</t>
  </si>
  <si>
    <t>30997</t>
  </si>
  <si>
    <t>0091802</t>
  </si>
  <si>
    <t>15011802</t>
  </si>
  <si>
    <t>ART MOVEIS DE ITU LTDA ME</t>
  </si>
  <si>
    <t>645293</t>
  </si>
  <si>
    <t>1637235</t>
  </si>
  <si>
    <t>37392</t>
  </si>
  <si>
    <t>1129304</t>
  </si>
  <si>
    <t>3.6.2.3 - Juros Pagos</t>
  </si>
  <si>
    <t>95751802</t>
  </si>
  <si>
    <t>3.5.3.4 - Telefone e Internet</t>
  </si>
  <si>
    <t>EMBRATEL</t>
  </si>
  <si>
    <t>EMBRATEL26</t>
  </si>
  <si>
    <t>30101802</t>
  </si>
  <si>
    <t>4291802</t>
  </si>
  <si>
    <t>40271</t>
  </si>
  <si>
    <t>192719</t>
  </si>
  <si>
    <t>336115</t>
  </si>
  <si>
    <t>927533</t>
  </si>
  <si>
    <t>1493497</t>
  </si>
  <si>
    <t>927536</t>
  </si>
  <si>
    <t>3635890</t>
  </si>
  <si>
    <t>JG SUL TRANSPORTES LTDA</t>
  </si>
  <si>
    <t>13277</t>
  </si>
  <si>
    <t>ACA1302</t>
  </si>
  <si>
    <t>ACA1402</t>
  </si>
  <si>
    <t>BATA1702A</t>
  </si>
  <si>
    <t>MADEIREIRA CORDILHEIRA LTDA</t>
  </si>
  <si>
    <t>CORD1602</t>
  </si>
  <si>
    <t>PEIXE1602</t>
  </si>
  <si>
    <t>ELE1602</t>
  </si>
  <si>
    <t>SODA1302</t>
  </si>
  <si>
    <t>26976</t>
  </si>
  <si>
    <t>BETY1602</t>
  </si>
  <si>
    <t>4148</t>
  </si>
  <si>
    <t>3941</t>
  </si>
  <si>
    <t>2851302</t>
  </si>
  <si>
    <t>2461302</t>
  </si>
  <si>
    <t>919</t>
  </si>
  <si>
    <t>0791302</t>
  </si>
  <si>
    <t>PET1402</t>
  </si>
  <si>
    <t>Puma Gases F J Oxigenio LTDA</t>
  </si>
  <si>
    <t>49</t>
  </si>
  <si>
    <t>734735</t>
  </si>
  <si>
    <t>6321302</t>
  </si>
  <si>
    <t>3619</t>
  </si>
  <si>
    <t>JOÃO CARLOS CORDEIRO RADIADORES</t>
  </si>
  <si>
    <t>1686</t>
  </si>
  <si>
    <t>TESTE CBR</t>
  </si>
  <si>
    <t>AUTO POSTO MARINER DE RIBEIRAO PRETO LTDA</t>
  </si>
  <si>
    <t>105181</t>
  </si>
  <si>
    <t>75149</t>
  </si>
  <si>
    <t>LEAND1302</t>
  </si>
  <si>
    <t>3707</t>
  </si>
  <si>
    <t>22563</t>
  </si>
  <si>
    <t>165501302</t>
  </si>
  <si>
    <t>CET1302</t>
  </si>
  <si>
    <t>722444</t>
  </si>
  <si>
    <t>74761</t>
  </si>
  <si>
    <t>NETO1202</t>
  </si>
  <si>
    <t>VANDE1202</t>
  </si>
  <si>
    <t>74850</t>
  </si>
  <si>
    <t>74851</t>
  </si>
  <si>
    <t>75000</t>
  </si>
  <si>
    <t>SODA1002</t>
  </si>
  <si>
    <t>39718</t>
  </si>
  <si>
    <t>3620693</t>
  </si>
  <si>
    <t>39079</t>
  </si>
  <si>
    <t>39298</t>
  </si>
  <si>
    <t>39460</t>
  </si>
  <si>
    <t>ALFA TRANSPORTES EIRELI</t>
  </si>
  <si>
    <t>12372151</t>
  </si>
  <si>
    <t>38833</t>
  </si>
  <si>
    <t>923586</t>
  </si>
  <si>
    <t>2774</t>
  </si>
  <si>
    <t>0791202</t>
  </si>
  <si>
    <t>1581202</t>
  </si>
  <si>
    <t>019130226</t>
  </si>
  <si>
    <t>7901202</t>
  </si>
  <si>
    <t>152374</t>
  </si>
  <si>
    <t>9202</t>
  </si>
  <si>
    <t>42781</t>
  </si>
  <si>
    <t>M. A. BARBADO &amp; BARBADO LTDA. - ME</t>
  </si>
  <si>
    <t>2 LINHAS</t>
  </si>
  <si>
    <t>CAR120226</t>
  </si>
  <si>
    <t>659814</t>
  </si>
  <si>
    <t>SOLIDES TECNOLOGIA S/A</t>
  </si>
  <si>
    <t>20061</t>
  </si>
  <si>
    <t>SILV1202A</t>
  </si>
  <si>
    <t>SILV1202</t>
  </si>
  <si>
    <t>FM1202</t>
  </si>
  <si>
    <t>11781</t>
  </si>
  <si>
    <t>CET120226</t>
  </si>
  <si>
    <t>231201202</t>
  </si>
  <si>
    <t>295201202</t>
  </si>
  <si>
    <t>191170</t>
  </si>
  <si>
    <t>191177</t>
  </si>
  <si>
    <t>37598</t>
  </si>
  <si>
    <t>31483</t>
  </si>
  <si>
    <t>38093</t>
  </si>
  <si>
    <t>38208</t>
  </si>
  <si>
    <t>38207</t>
  </si>
  <si>
    <t>SIMBERBIA TRANSPORTES E LOGISTICA LTDA</t>
  </si>
  <si>
    <t>FRETE MQ</t>
  </si>
  <si>
    <t>374</t>
  </si>
  <si>
    <t>2141202</t>
  </si>
  <si>
    <t>7111102</t>
  </si>
  <si>
    <t>4751102</t>
  </si>
  <si>
    <t>1581106</t>
  </si>
  <si>
    <t>00609</t>
  </si>
  <si>
    <t>3421202</t>
  </si>
  <si>
    <t>15011102</t>
  </si>
  <si>
    <t>545570</t>
  </si>
  <si>
    <t>TOP SYSTEM SOLUCOES EM TECNOLOGIA DE INFORMACAO LT</t>
  </si>
  <si>
    <t>128</t>
  </si>
  <si>
    <t>7137</t>
  </si>
  <si>
    <t>IOF040226</t>
  </si>
  <si>
    <t>CUR040226</t>
  </si>
  <si>
    <t>MAT130126</t>
  </si>
  <si>
    <t>CAR2302</t>
  </si>
  <si>
    <t>CAR230226</t>
  </si>
  <si>
    <t>58991102</t>
  </si>
  <si>
    <t>77821102</t>
  </si>
  <si>
    <t>CET110226</t>
  </si>
  <si>
    <t>REAL BIRIGUI COMERCIO DE MAQ E FERRAMENTAS LTDA</t>
  </si>
  <si>
    <t>336475</t>
  </si>
  <si>
    <t>GIL1102</t>
  </si>
  <si>
    <t>74507</t>
  </si>
  <si>
    <t>460718</t>
  </si>
  <si>
    <t>BATA1002C</t>
  </si>
  <si>
    <t>BATA1002B</t>
  </si>
  <si>
    <t>BATA1002A</t>
  </si>
  <si>
    <t>NIS1002B</t>
  </si>
  <si>
    <t>GM0902A</t>
  </si>
  <si>
    <t>GM0702</t>
  </si>
  <si>
    <t>239671002</t>
  </si>
  <si>
    <t>09512</t>
  </si>
  <si>
    <t>00607</t>
  </si>
  <si>
    <t>42661102</t>
  </si>
  <si>
    <t>158110211</t>
  </si>
  <si>
    <t>7701102</t>
  </si>
  <si>
    <t>18961002</t>
  </si>
  <si>
    <t>16510</t>
  </si>
  <si>
    <t>9285</t>
  </si>
  <si>
    <t>10032</t>
  </si>
  <si>
    <t>CET1002</t>
  </si>
  <si>
    <t>3.5.2.9 - Assistência Médica (Adm)</t>
  </si>
  <si>
    <t>EXA0226</t>
  </si>
  <si>
    <t>GIL1002</t>
  </si>
  <si>
    <t>ACA0902</t>
  </si>
  <si>
    <t>2481</t>
  </si>
  <si>
    <t>3.5.4.4 - Curadoria</t>
  </si>
  <si>
    <t xml:space="preserve">CURADORIA </t>
  </si>
  <si>
    <t>SIDNEI LUQUES NUNES BORRACHARIA</t>
  </si>
  <si>
    <t>XI1002</t>
  </si>
  <si>
    <t>570902</t>
  </si>
  <si>
    <t>3950902</t>
  </si>
  <si>
    <t>0951002</t>
  </si>
  <si>
    <t>5530902</t>
  </si>
  <si>
    <t>2901002</t>
  </si>
  <si>
    <t>20540902</t>
  </si>
  <si>
    <t>HELIO MARCEL GASPARETTO</t>
  </si>
  <si>
    <t>ETIQUETAS</t>
  </si>
  <si>
    <t>41516</t>
  </si>
  <si>
    <t>CET090226</t>
  </si>
  <si>
    <t>15938</t>
  </si>
  <si>
    <t>237150902</t>
  </si>
  <si>
    <t>678142</t>
  </si>
  <si>
    <t>HIDRAL QUIMICA INDUSTRIA E COMERCIO LTDA</t>
  </si>
  <si>
    <t>43224</t>
  </si>
  <si>
    <t>49506</t>
  </si>
  <si>
    <t>014217</t>
  </si>
  <si>
    <t>NETO07022</t>
  </si>
  <si>
    <t>12067</t>
  </si>
  <si>
    <t>131091</t>
  </si>
  <si>
    <t>LF TRANSPORTES LTDA</t>
  </si>
  <si>
    <t>35022</t>
  </si>
  <si>
    <t>ICMSA0226</t>
  </si>
  <si>
    <t>ICMSDA022</t>
  </si>
  <si>
    <t>DAS 0226</t>
  </si>
  <si>
    <t>ICMS0226</t>
  </si>
  <si>
    <t>RETEN0226</t>
  </si>
  <si>
    <t>IPI 0226</t>
  </si>
  <si>
    <t xml:space="preserve">MP POSTOS E LOGISTICA LTDA - REDE TRADIÇÃO </t>
  </si>
  <si>
    <t>16011</t>
  </si>
  <si>
    <t>3354</t>
  </si>
  <si>
    <t>LEAND0102</t>
  </si>
  <si>
    <t>3160</t>
  </si>
  <si>
    <t>74469</t>
  </si>
  <si>
    <t>SODA 0402</t>
  </si>
  <si>
    <t>74658</t>
  </si>
  <si>
    <t>74660</t>
  </si>
  <si>
    <t>SODA0602</t>
  </si>
  <si>
    <t>40486</t>
  </si>
  <si>
    <t>13578</t>
  </si>
  <si>
    <t>74849</t>
  </si>
  <si>
    <t>040226</t>
  </si>
  <si>
    <t>PA0511</t>
  </si>
  <si>
    <t>PA1501</t>
  </si>
  <si>
    <t>74616</t>
  </si>
  <si>
    <t>LIM060226</t>
  </si>
  <si>
    <t>PNEU</t>
  </si>
  <si>
    <t>28370502</t>
  </si>
  <si>
    <t>11500902</t>
  </si>
  <si>
    <t>079060206</t>
  </si>
  <si>
    <t>1740902</t>
  </si>
  <si>
    <t>12640602</t>
  </si>
  <si>
    <t>PA1401</t>
  </si>
  <si>
    <t>PA0602</t>
  </si>
  <si>
    <t>PA1301</t>
  </si>
  <si>
    <t>PA1601</t>
  </si>
  <si>
    <t>61896</t>
  </si>
  <si>
    <t>61894</t>
  </si>
  <si>
    <t>PET0702</t>
  </si>
  <si>
    <t>AUTO POSTO PR 323 LTDA</t>
  </si>
  <si>
    <t>141570</t>
  </si>
  <si>
    <t>38514</t>
  </si>
  <si>
    <t>38515</t>
  </si>
  <si>
    <t>CORREIO</t>
  </si>
  <si>
    <t>QN7793147</t>
  </si>
  <si>
    <t>ATACADÃO DISTRI. COM E IND LTDA</t>
  </si>
  <si>
    <t>CAR402098</t>
  </si>
  <si>
    <t>402098</t>
  </si>
  <si>
    <t>12467</t>
  </si>
  <si>
    <t>1446398</t>
  </si>
  <si>
    <t>CORD0902</t>
  </si>
  <si>
    <t>BATA0602A</t>
  </si>
  <si>
    <t>POL0602</t>
  </si>
  <si>
    <t>POL0302</t>
  </si>
  <si>
    <t>CET060226</t>
  </si>
  <si>
    <t>572890602</t>
  </si>
  <si>
    <t>497400602</t>
  </si>
  <si>
    <t>438290602</t>
  </si>
  <si>
    <t>409930602</t>
  </si>
  <si>
    <t>IMP. E EXP. DE ROLAMENTOS MARINGA LTDA</t>
  </si>
  <si>
    <t>182528</t>
  </si>
  <si>
    <t>662016</t>
  </si>
  <si>
    <t>4412</t>
  </si>
  <si>
    <t>0950502</t>
  </si>
  <si>
    <t>0790602</t>
  </si>
  <si>
    <t>1580502</t>
  </si>
  <si>
    <t>8690502</t>
  </si>
  <si>
    <t>17220502</t>
  </si>
  <si>
    <t>64330502</t>
  </si>
  <si>
    <t>239670502</t>
  </si>
  <si>
    <t>4605smod</t>
  </si>
  <si>
    <t>4605sadm</t>
  </si>
  <si>
    <t>4588GMOD</t>
  </si>
  <si>
    <t>4588GADM</t>
  </si>
  <si>
    <t>4588FMOD</t>
  </si>
  <si>
    <t>4588FADM</t>
  </si>
  <si>
    <t>4588AYLA</t>
  </si>
  <si>
    <t>4573gmod</t>
  </si>
  <si>
    <t>4573gadm</t>
  </si>
  <si>
    <t>4573fmod</t>
  </si>
  <si>
    <t>4573fadm</t>
  </si>
  <si>
    <t>4605SMOD</t>
  </si>
  <si>
    <t>4605SCIF</t>
  </si>
  <si>
    <t>4593scif</t>
  </si>
  <si>
    <t>4593sadm</t>
  </si>
  <si>
    <t>4589GMOD</t>
  </si>
  <si>
    <t>4589GCIF</t>
  </si>
  <si>
    <t>4589GADM</t>
  </si>
  <si>
    <t>4589FMOD</t>
  </si>
  <si>
    <t>4589FCIF</t>
  </si>
  <si>
    <t>4589FADM</t>
  </si>
  <si>
    <t>4573gcif</t>
  </si>
  <si>
    <t>4573fcif</t>
  </si>
  <si>
    <t>MOTOR</t>
  </si>
  <si>
    <t>CAMERAS</t>
  </si>
  <si>
    <t>CONTROLE</t>
  </si>
  <si>
    <t>PORTAO</t>
  </si>
  <si>
    <t>0402226</t>
  </si>
  <si>
    <t>49800</t>
  </si>
  <si>
    <t>CAR030226</t>
  </si>
  <si>
    <t>VANDER</t>
  </si>
  <si>
    <t>333733</t>
  </si>
  <si>
    <t>333734</t>
  </si>
  <si>
    <t>544446</t>
  </si>
  <si>
    <t>ELET0502</t>
  </si>
  <si>
    <t>TESTE 1/2</t>
  </si>
  <si>
    <t>TESTE02/2</t>
  </si>
  <si>
    <t>NIS0502A</t>
  </si>
  <si>
    <t>LEONARDO DE MATTOS</t>
  </si>
  <si>
    <t>DEBORA SI</t>
  </si>
  <si>
    <t>CET050226</t>
  </si>
  <si>
    <t>401330502</t>
  </si>
  <si>
    <t>424560502</t>
  </si>
  <si>
    <t>1039286</t>
  </si>
  <si>
    <t>1039288</t>
  </si>
  <si>
    <t>1039284</t>
  </si>
  <si>
    <t>1039280</t>
  </si>
  <si>
    <t>CAFEMANHA</t>
  </si>
  <si>
    <t>19655</t>
  </si>
  <si>
    <t>97862588</t>
  </si>
  <si>
    <t>8614</t>
  </si>
  <si>
    <t>INSS0226M</t>
  </si>
  <si>
    <t>INSS0226C</t>
  </si>
  <si>
    <t>INSS0226A</t>
  </si>
  <si>
    <t>574411</t>
  </si>
  <si>
    <t>1470771</t>
  </si>
  <si>
    <t>11463</t>
  </si>
  <si>
    <t>525325</t>
  </si>
  <si>
    <t>65359</t>
  </si>
  <si>
    <t>68779/3</t>
  </si>
  <si>
    <t>68779/2</t>
  </si>
  <si>
    <t>68779/1</t>
  </si>
  <si>
    <t>31773/3</t>
  </si>
  <si>
    <t>31773/2</t>
  </si>
  <si>
    <t>5FER26</t>
  </si>
  <si>
    <t>31439</t>
  </si>
  <si>
    <t>31773/1</t>
  </si>
  <si>
    <t>FGTS0226M</t>
  </si>
  <si>
    <t>FGTS0226C</t>
  </si>
  <si>
    <t>FGTS0226A</t>
  </si>
  <si>
    <t>F&amp;Q INDUSTRIA E COMERCIO DE FERRAMENTAS LTDA</t>
  </si>
  <si>
    <t>6824</t>
  </si>
  <si>
    <t xml:space="preserve">ATACADÃO DA INDÚSTRIA </t>
  </si>
  <si>
    <t>549107/1</t>
  </si>
  <si>
    <t>DIFERENÇA</t>
  </si>
  <si>
    <t>IVAN</t>
  </si>
  <si>
    <t xml:space="preserve">280126 </t>
  </si>
  <si>
    <t>GIL0502</t>
  </si>
  <si>
    <t>NEW COFFEE EXPRESS LTDA - ME</t>
  </si>
  <si>
    <t>MQ CAFE</t>
  </si>
  <si>
    <t>FELIPE CAMPOS</t>
  </si>
  <si>
    <t>DIARIA FE</t>
  </si>
  <si>
    <t xml:space="preserve">GOL </t>
  </si>
  <si>
    <t>260126</t>
  </si>
  <si>
    <t>ABIMAD41</t>
  </si>
  <si>
    <t>PIX300126</t>
  </si>
  <si>
    <t>270126</t>
  </si>
  <si>
    <t>5530405</t>
  </si>
  <si>
    <t>$280126</t>
  </si>
  <si>
    <t>$310126</t>
  </si>
  <si>
    <t>5530402</t>
  </si>
  <si>
    <t>$260126</t>
  </si>
  <si>
    <t>0740502</t>
  </si>
  <si>
    <t>$270126</t>
  </si>
  <si>
    <t>250126</t>
  </si>
  <si>
    <t>$220126</t>
  </si>
  <si>
    <t>$210126</t>
  </si>
  <si>
    <t>230126</t>
  </si>
  <si>
    <t>240126</t>
  </si>
  <si>
    <t>119510402</t>
  </si>
  <si>
    <t>138170402</t>
  </si>
  <si>
    <t>CET040226</t>
  </si>
  <si>
    <t>220126</t>
  </si>
  <si>
    <t>300126</t>
  </si>
  <si>
    <t>210126</t>
  </si>
  <si>
    <t>FM0402B</t>
  </si>
  <si>
    <t>310126</t>
  </si>
  <si>
    <t>290126</t>
  </si>
  <si>
    <t>280126</t>
  </si>
  <si>
    <t>EVAN0202</t>
  </si>
  <si>
    <t>AUTO PECAS CARRETAO LTDA</t>
  </si>
  <si>
    <t>157620</t>
  </si>
  <si>
    <t>TRINTI DESIGN E MÓVEIS LTDA</t>
  </si>
  <si>
    <t>2880</t>
  </si>
  <si>
    <t>LIV DECORA COMERCIO DE MOVEIS LTDA</t>
  </si>
  <si>
    <t>4817</t>
  </si>
  <si>
    <t>UBERRAFAE</t>
  </si>
  <si>
    <t>43392</t>
  </si>
  <si>
    <t>9CG0126</t>
  </si>
  <si>
    <t>7CG0126</t>
  </si>
  <si>
    <t>6CG0126</t>
  </si>
  <si>
    <t>2CG0126</t>
  </si>
  <si>
    <t>1CG0126</t>
  </si>
  <si>
    <t>11CG0126</t>
  </si>
  <si>
    <t>RAFAEL DOMINIQUE SANTOS LIMA</t>
  </si>
  <si>
    <t>UBER RAFA</t>
  </si>
  <si>
    <t>490732</t>
  </si>
  <si>
    <t>EDUARDO</t>
  </si>
  <si>
    <t>4750302</t>
  </si>
  <si>
    <t>0790302</t>
  </si>
  <si>
    <t>11060402</t>
  </si>
  <si>
    <t>23300302</t>
  </si>
  <si>
    <t>2992</t>
  </si>
  <si>
    <t>2993</t>
  </si>
  <si>
    <t>2994</t>
  </si>
  <si>
    <t>01-31JA26</t>
  </si>
  <si>
    <t>RAF200226</t>
  </si>
  <si>
    <t>MYL200226</t>
  </si>
  <si>
    <t>KAR200226</t>
  </si>
  <si>
    <t>SUE200226</t>
  </si>
  <si>
    <t>16-31JA26</t>
  </si>
  <si>
    <t>FAB200226</t>
  </si>
  <si>
    <t>PGTO0226</t>
  </si>
  <si>
    <t>PENSÃO0226</t>
  </si>
  <si>
    <t>VANDE3101</t>
  </si>
  <si>
    <t>213775031</t>
  </si>
  <si>
    <t>49617</t>
  </si>
  <si>
    <t>5FER25</t>
  </si>
  <si>
    <t>4750202</t>
  </si>
  <si>
    <t>600202</t>
  </si>
  <si>
    <t>7110202</t>
  </si>
  <si>
    <t>7900202</t>
  </si>
  <si>
    <t>4350202</t>
  </si>
  <si>
    <t>17220202</t>
  </si>
  <si>
    <t>64330202</t>
  </si>
  <si>
    <t>24490202</t>
  </si>
  <si>
    <t>NIS3101A</t>
  </si>
  <si>
    <t>38870202</t>
  </si>
  <si>
    <t>TEC040226</t>
  </si>
  <si>
    <t>MOU040226</t>
  </si>
  <si>
    <t>PLA040226</t>
  </si>
  <si>
    <t>FM0202</t>
  </si>
  <si>
    <t>MILTON BORGES VIDRAÇARIA-ME</t>
  </si>
  <si>
    <t>VIDROQUAD</t>
  </si>
  <si>
    <t>3.5.3.1 - Aluguel de Imóvel</t>
  </si>
  <si>
    <t>JOÃO BATISTA DE MATOS</t>
  </si>
  <si>
    <t>ALUGUELKOY</t>
  </si>
  <si>
    <t>IRMAOS TOMIYOSHI LTDA</t>
  </si>
  <si>
    <t>22061</t>
  </si>
  <si>
    <t>CARTORIO DE REGISTRO DE IMOVEIS DE TR</t>
  </si>
  <si>
    <t>217/2026</t>
  </si>
  <si>
    <t>216/2026</t>
  </si>
  <si>
    <t>ALMOÇO</t>
  </si>
  <si>
    <t>POL2001</t>
  </si>
  <si>
    <t>AGUA</t>
  </si>
  <si>
    <t>POL2901</t>
  </si>
  <si>
    <t>148493</t>
  </si>
  <si>
    <t>NETO3101</t>
  </si>
  <si>
    <t>1521</t>
  </si>
  <si>
    <t>NIS0202</t>
  </si>
  <si>
    <t>1648</t>
  </si>
  <si>
    <t>BARRACAO</t>
  </si>
  <si>
    <t>58692</t>
  </si>
  <si>
    <t>62194</t>
  </si>
  <si>
    <t>141326</t>
  </si>
  <si>
    <t>141325</t>
  </si>
  <si>
    <t>2687</t>
  </si>
  <si>
    <t>LEAND3101</t>
  </si>
  <si>
    <t>59854</t>
  </si>
  <si>
    <t>FM2301C</t>
  </si>
  <si>
    <t>JANTA</t>
  </si>
  <si>
    <t>2658</t>
  </si>
  <si>
    <t>PET0202</t>
  </si>
  <si>
    <t>2659</t>
  </si>
  <si>
    <t>SODA3001</t>
  </si>
  <si>
    <t>JANTARAFA</t>
  </si>
  <si>
    <t>ADM140132</t>
  </si>
  <si>
    <t>PANIFICADORA e CONFEITARIA J.L</t>
  </si>
  <si>
    <t>BEN020226</t>
  </si>
  <si>
    <t>0953001</t>
  </si>
  <si>
    <t>BOM140132</t>
  </si>
  <si>
    <t>0793001</t>
  </si>
  <si>
    <t>2373001</t>
  </si>
  <si>
    <t>5003001</t>
  </si>
  <si>
    <t>175587</t>
  </si>
  <si>
    <t>PRO91396</t>
  </si>
  <si>
    <t>EXAME0126</t>
  </si>
  <si>
    <t>0283001</t>
  </si>
  <si>
    <t>ADM91396</t>
  </si>
  <si>
    <t>1483001</t>
  </si>
  <si>
    <t>58309</t>
  </si>
  <si>
    <t>149868</t>
  </si>
  <si>
    <t>190277</t>
  </si>
  <si>
    <t>920488</t>
  </si>
  <si>
    <t>ELET2701</t>
  </si>
  <si>
    <t>ELET3001</t>
  </si>
  <si>
    <t>101325</t>
  </si>
  <si>
    <t>JANTA RAF</t>
  </si>
  <si>
    <t>RIZON IND. DE MAQUINAS E EQUIPAMENTOS</t>
  </si>
  <si>
    <t>11732</t>
  </si>
  <si>
    <t>NIS3001A</t>
  </si>
  <si>
    <t>NIS3001</t>
  </si>
  <si>
    <t>16563</t>
  </si>
  <si>
    <t>16598</t>
  </si>
  <si>
    <t>CRIATIVE MOVEIS PLANEJADOS LTDA</t>
  </si>
  <si>
    <t>3</t>
  </si>
  <si>
    <t>BEM9J26</t>
  </si>
  <si>
    <t>BEM8409</t>
  </si>
  <si>
    <t>BEM6E19</t>
  </si>
  <si>
    <t>BEH6E00</t>
  </si>
  <si>
    <t>BDS 7E01</t>
  </si>
  <si>
    <t>BBH 6630</t>
  </si>
  <si>
    <t>AYL6E00</t>
  </si>
  <si>
    <t>0273001</t>
  </si>
  <si>
    <t>3162901</t>
  </si>
  <si>
    <t>0792901</t>
  </si>
  <si>
    <t>9482901</t>
  </si>
  <si>
    <t>AYL5F59</t>
  </si>
  <si>
    <t>0492901</t>
  </si>
  <si>
    <t>5122901</t>
  </si>
  <si>
    <t>CARLOS AUGUSTO DA SILVA JUNIOR</t>
  </si>
  <si>
    <t>CAR2901</t>
  </si>
  <si>
    <t>41121</t>
  </si>
  <si>
    <t>BATA2901B</t>
  </si>
  <si>
    <t>FM2901</t>
  </si>
  <si>
    <t>NIS2901D</t>
  </si>
  <si>
    <t>533260</t>
  </si>
  <si>
    <t>ARTHUR CAMPOS DE SOUZA</t>
  </si>
  <si>
    <t>DIARIAABI</t>
  </si>
  <si>
    <t>442</t>
  </si>
  <si>
    <t>430</t>
  </si>
  <si>
    <t>VIVANO</t>
  </si>
  <si>
    <t>UBERJANTA</t>
  </si>
  <si>
    <t>ACG/2</t>
  </si>
  <si>
    <t>ACG/1</t>
  </si>
  <si>
    <t>189407</t>
  </si>
  <si>
    <t>3593855</t>
  </si>
  <si>
    <t>1420030</t>
  </si>
  <si>
    <t>34467</t>
  </si>
  <si>
    <t>42298</t>
  </si>
  <si>
    <t>33474</t>
  </si>
  <si>
    <t>33422</t>
  </si>
  <si>
    <t>43951</t>
  </si>
  <si>
    <t>BATA2901A</t>
  </si>
  <si>
    <t>BATA2801A</t>
  </si>
  <si>
    <t>33825</t>
  </si>
  <si>
    <t>237280126</t>
  </si>
  <si>
    <t>0142901</t>
  </si>
  <si>
    <t>52801</t>
  </si>
  <si>
    <t>10272801</t>
  </si>
  <si>
    <t>TELHA STEEL - INDUSTRIA E COMERCIO DE PRODUTOS SID</t>
  </si>
  <si>
    <t>3742</t>
  </si>
  <si>
    <t>005545</t>
  </si>
  <si>
    <t>42957</t>
  </si>
  <si>
    <t>6984</t>
  </si>
  <si>
    <t>6233</t>
  </si>
  <si>
    <t>ELET2801</t>
  </si>
  <si>
    <t>DICA LAVAGEM DE CARROS</t>
  </si>
  <si>
    <t>GOL201225</t>
  </si>
  <si>
    <t>VAN201225</t>
  </si>
  <si>
    <t>VAN220126</t>
  </si>
  <si>
    <t>DIARIAMON</t>
  </si>
  <si>
    <t>THIAGO HENRIQUE CAMPOS DE SOUZA</t>
  </si>
  <si>
    <t>203</t>
  </si>
  <si>
    <t>2113</t>
  </si>
  <si>
    <t>674</t>
  </si>
  <si>
    <t>3284</t>
  </si>
  <si>
    <t>JOSAFÁ DIAS DA SILVA</t>
  </si>
  <si>
    <t>DIARIA MO</t>
  </si>
  <si>
    <t>NILMAJANT</t>
  </si>
  <si>
    <t>ZACA2801</t>
  </si>
  <si>
    <t>1626</t>
  </si>
  <si>
    <t>FRANCISCO EDUARDO DE ALUQUERQUE OLIVEIRA</t>
  </si>
  <si>
    <t>ARTABIMAD</t>
  </si>
  <si>
    <t>2852701</t>
  </si>
  <si>
    <t>1582701</t>
  </si>
  <si>
    <t>2702801</t>
  </si>
  <si>
    <t>8072801</t>
  </si>
  <si>
    <t>14222701</t>
  </si>
  <si>
    <t>768</t>
  </si>
  <si>
    <t>55362801</t>
  </si>
  <si>
    <t>4742701</t>
  </si>
  <si>
    <t>1DIÁRIA</t>
  </si>
  <si>
    <t>73679</t>
  </si>
  <si>
    <t>73515</t>
  </si>
  <si>
    <t>1857</t>
  </si>
  <si>
    <t>1856</t>
  </si>
  <si>
    <t>VANDE2301</t>
  </si>
  <si>
    <t>73683</t>
  </si>
  <si>
    <t>LEAN2301</t>
  </si>
  <si>
    <t>1968</t>
  </si>
  <si>
    <t>CORTINA</t>
  </si>
  <si>
    <t>NETO2401</t>
  </si>
  <si>
    <t>HONORARIOS</t>
  </si>
  <si>
    <t>151970</t>
  </si>
  <si>
    <t>18411</t>
  </si>
  <si>
    <t>24814</t>
  </si>
  <si>
    <t>79711</t>
  </si>
  <si>
    <t>SILVI2101</t>
  </si>
  <si>
    <t>DENIS GOMES DE OLIVEIRA</t>
  </si>
  <si>
    <t>09EXTINTO</t>
  </si>
  <si>
    <t>125873</t>
  </si>
  <si>
    <t>11532701</t>
  </si>
  <si>
    <t>2562701</t>
  </si>
  <si>
    <t>29232601</t>
  </si>
  <si>
    <t>1902601</t>
  </si>
  <si>
    <t>NIS2601A</t>
  </si>
  <si>
    <t>079260126</t>
  </si>
  <si>
    <t>0792601</t>
  </si>
  <si>
    <t>158260126</t>
  </si>
  <si>
    <t>1582601</t>
  </si>
  <si>
    <t>2134</t>
  </si>
  <si>
    <t>SODA2601</t>
  </si>
  <si>
    <t>719086</t>
  </si>
  <si>
    <t>719085</t>
  </si>
  <si>
    <t>324221</t>
  </si>
  <si>
    <t>1588336</t>
  </si>
  <si>
    <t>4693</t>
  </si>
  <si>
    <t>FM2601A</t>
  </si>
  <si>
    <t>2016</t>
  </si>
  <si>
    <t>72707</t>
  </si>
  <si>
    <t>MISA COMERCIO E SEVIÇOS EM GERAL LTDA</t>
  </si>
  <si>
    <t>172</t>
  </si>
  <si>
    <t>660</t>
  </si>
  <si>
    <t>6421</t>
  </si>
  <si>
    <t>105752601</t>
  </si>
  <si>
    <t>FM2401A</t>
  </si>
  <si>
    <t>NIS2601</t>
  </si>
  <si>
    <t>ALMOÇORA</t>
  </si>
  <si>
    <t>494442601</t>
  </si>
  <si>
    <t>63392601</t>
  </si>
  <si>
    <t>79322601</t>
  </si>
  <si>
    <t>SILV2301</t>
  </si>
  <si>
    <t>PET2601A</t>
  </si>
  <si>
    <t>EBANX LTDA</t>
  </si>
  <si>
    <t>SITE KARA</t>
  </si>
  <si>
    <t>SAMAE26/1</t>
  </si>
  <si>
    <t>IGOR SILVA FERREIRA</t>
  </si>
  <si>
    <t>IGOR0601</t>
  </si>
  <si>
    <t>JAN260126</t>
  </si>
  <si>
    <t>IGOR0501</t>
  </si>
  <si>
    <t>IGOR1501</t>
  </si>
  <si>
    <t>IGOR0801</t>
  </si>
  <si>
    <t>718001</t>
  </si>
  <si>
    <t>MAXIMA COMISSARIA DE DESPACHOS ADUANEIROS LTDA</t>
  </si>
  <si>
    <t>12348</t>
  </si>
  <si>
    <t>GPS 0226</t>
  </si>
  <si>
    <t>BEBIDASVA</t>
  </si>
  <si>
    <t>RODOSERV STAR LTDA</t>
  </si>
  <si>
    <t>POSTO RODOSERV STAR LTDA.</t>
  </si>
  <si>
    <t>15273</t>
  </si>
  <si>
    <t>ELET2601</t>
  </si>
  <si>
    <t>458252</t>
  </si>
  <si>
    <t>0952301</t>
  </si>
  <si>
    <t>0792301</t>
  </si>
  <si>
    <t>9482301</t>
  </si>
  <si>
    <t>1332</t>
  </si>
  <si>
    <t>13002601</t>
  </si>
  <si>
    <t>DIMARKARA</t>
  </si>
  <si>
    <t>3008</t>
  </si>
  <si>
    <t>11707</t>
  </si>
  <si>
    <t>11706</t>
  </si>
  <si>
    <t>718464</t>
  </si>
  <si>
    <t>718461</t>
  </si>
  <si>
    <t>PISW01252</t>
  </si>
  <si>
    <t>3.4.4.4 - Horas Extras CIF</t>
  </si>
  <si>
    <t>PANIFICADORA E CONFEITARIA MOREIRA</t>
  </si>
  <si>
    <t>WA2301B</t>
  </si>
  <si>
    <t>FM2301B</t>
  </si>
  <si>
    <t>WILBRAZ IND E COM BRINDES LTDA</t>
  </si>
  <si>
    <t>19710</t>
  </si>
  <si>
    <t>01-15JA26</t>
  </si>
  <si>
    <t>I.N OLIVEIRA</t>
  </si>
  <si>
    <t>58905</t>
  </si>
  <si>
    <t>596005</t>
  </si>
  <si>
    <t>44085</t>
  </si>
  <si>
    <t>93269</t>
  </si>
  <si>
    <t>BATA2301A</t>
  </si>
  <si>
    <t>GABRIEL DE SOUZA REIS</t>
  </si>
  <si>
    <t>PINTURA</t>
  </si>
  <si>
    <t>01-15JA25</t>
  </si>
  <si>
    <t>SILV2201</t>
  </si>
  <si>
    <t>JANTA2101</t>
  </si>
  <si>
    <t>BUYSOFT DO BRASIL LTDA</t>
  </si>
  <si>
    <t>LICENÇA</t>
  </si>
  <si>
    <t>58752301</t>
  </si>
  <si>
    <t>GIL2301A</t>
  </si>
  <si>
    <t>GIL2201</t>
  </si>
  <si>
    <t>71068</t>
  </si>
  <si>
    <t>112102310</t>
  </si>
  <si>
    <t>458052</t>
  </si>
  <si>
    <t>0952217</t>
  </si>
  <si>
    <t>33148</t>
  </si>
  <si>
    <t>33141</t>
  </si>
  <si>
    <t>30086</t>
  </si>
  <si>
    <t>PIZZA</t>
  </si>
  <si>
    <t>0792201</t>
  </si>
  <si>
    <t>1582201</t>
  </si>
  <si>
    <t>30977</t>
  </si>
  <si>
    <t>0632301</t>
  </si>
  <si>
    <t>10272201</t>
  </si>
  <si>
    <t>FM2201B</t>
  </si>
  <si>
    <t>541686</t>
  </si>
  <si>
    <t>664991</t>
  </si>
  <si>
    <t>1438</t>
  </si>
  <si>
    <t>1584</t>
  </si>
  <si>
    <t>SODA2001</t>
  </si>
  <si>
    <t>EVAN2001</t>
  </si>
  <si>
    <t>NIS2201</t>
  </si>
  <si>
    <t>FM2201A</t>
  </si>
  <si>
    <t>9232</t>
  </si>
  <si>
    <t>GRAFICA CATUAI LTDA</t>
  </si>
  <si>
    <t>10265</t>
  </si>
  <si>
    <t>10266</t>
  </si>
  <si>
    <t>ZERO CIMA LTDA.</t>
  </si>
  <si>
    <t>CLIMATIZA</t>
  </si>
  <si>
    <t>079210126</t>
  </si>
  <si>
    <t>BATA2201A</t>
  </si>
  <si>
    <t>BATA2201</t>
  </si>
  <si>
    <t>20762201</t>
  </si>
  <si>
    <t>2402201</t>
  </si>
  <si>
    <t>9482101</t>
  </si>
  <si>
    <t>2462101</t>
  </si>
  <si>
    <t>9192101</t>
  </si>
  <si>
    <t>0522101</t>
  </si>
  <si>
    <t>1437392</t>
  </si>
  <si>
    <t>JAN210126</t>
  </si>
  <si>
    <t>JANEIRO26</t>
  </si>
  <si>
    <t>7880</t>
  </si>
  <si>
    <t>1171255</t>
  </si>
  <si>
    <t>30975</t>
  </si>
  <si>
    <t>KAT160126</t>
  </si>
  <si>
    <t>30631</t>
  </si>
  <si>
    <t>15FER25</t>
  </si>
  <si>
    <t>MAT140126</t>
  </si>
  <si>
    <t>30921</t>
  </si>
  <si>
    <t>41768</t>
  </si>
  <si>
    <t>915613</t>
  </si>
  <si>
    <t>VEG0126M</t>
  </si>
  <si>
    <t>BEN060126</t>
  </si>
  <si>
    <t>VEG0126C</t>
  </si>
  <si>
    <t>1481355</t>
  </si>
  <si>
    <t>VEG0126A</t>
  </si>
  <si>
    <t>CASA DE CARNES BIDEGA LTDA - ME</t>
  </si>
  <si>
    <t>CON061225</t>
  </si>
  <si>
    <t>GIL2101</t>
  </si>
  <si>
    <t>146284</t>
  </si>
  <si>
    <t>58960</t>
  </si>
  <si>
    <t>32213</t>
  </si>
  <si>
    <t>32212</t>
  </si>
  <si>
    <t>NIS2101B</t>
  </si>
  <si>
    <t>PET2101</t>
  </si>
  <si>
    <t>EMPORIO SANTA INES</t>
  </si>
  <si>
    <t>EST210126</t>
  </si>
  <si>
    <t>NIS2101A</t>
  </si>
  <si>
    <t>188662</t>
  </si>
  <si>
    <t>327802</t>
  </si>
  <si>
    <t>NIS2101</t>
  </si>
  <si>
    <t>REGINALDO MENEZES THEODORO</t>
  </si>
  <si>
    <t>6845</t>
  </si>
  <si>
    <t>ADMISRAUL</t>
  </si>
  <si>
    <t>77279</t>
  </si>
  <si>
    <t>0952101</t>
  </si>
  <si>
    <t>7822001</t>
  </si>
  <si>
    <t>2182101</t>
  </si>
  <si>
    <t>2372001</t>
  </si>
  <si>
    <t>22141420</t>
  </si>
  <si>
    <t>8271</t>
  </si>
  <si>
    <t>11852101</t>
  </si>
  <si>
    <t>3472101</t>
  </si>
  <si>
    <t>37142101</t>
  </si>
  <si>
    <t>7134</t>
  </si>
  <si>
    <t>266512001</t>
  </si>
  <si>
    <t>086200126</t>
  </si>
  <si>
    <t>ELET2001</t>
  </si>
  <si>
    <t>CNC</t>
  </si>
  <si>
    <t>258973</t>
  </si>
  <si>
    <t>425412001</t>
  </si>
  <si>
    <t>42530</t>
  </si>
  <si>
    <t>ALUGUEL</t>
  </si>
  <si>
    <t>332212</t>
  </si>
  <si>
    <t>48652</t>
  </si>
  <si>
    <t>54025</t>
  </si>
  <si>
    <t>GPS 1125</t>
  </si>
  <si>
    <t>GPS 1025</t>
  </si>
  <si>
    <t>GPS 0925</t>
  </si>
  <si>
    <t>GPS 0825</t>
  </si>
  <si>
    <t>GPS 0725</t>
  </si>
  <si>
    <t>FEBRACIS</t>
  </si>
  <si>
    <t>PERFIL CO</t>
  </si>
  <si>
    <t>0912001</t>
  </si>
  <si>
    <t>31601901</t>
  </si>
  <si>
    <t>161519012</t>
  </si>
  <si>
    <t>762001</t>
  </si>
  <si>
    <t>0791901</t>
  </si>
  <si>
    <t>235190126</t>
  </si>
  <si>
    <t>669690</t>
  </si>
  <si>
    <t>72852</t>
  </si>
  <si>
    <t>BORRAC</t>
  </si>
  <si>
    <t>NETO1501</t>
  </si>
  <si>
    <t>LEAND1601</t>
  </si>
  <si>
    <t>819791</t>
  </si>
  <si>
    <t>WA1901</t>
  </si>
  <si>
    <t>664482</t>
  </si>
  <si>
    <t>1427</t>
  </si>
  <si>
    <t>160126</t>
  </si>
  <si>
    <t>TORREZAN</t>
  </si>
  <si>
    <t>IÇAMENTO</t>
  </si>
  <si>
    <t>NIS1901C</t>
  </si>
  <si>
    <t>GIL1901</t>
  </si>
  <si>
    <t>POL1601B</t>
  </si>
  <si>
    <t>EVAN1601</t>
  </si>
  <si>
    <t>CIRO NISHIYAMA &amp; FILHO LTDA.</t>
  </si>
  <si>
    <t>CIRO1601</t>
  </si>
  <si>
    <t>147541</t>
  </si>
  <si>
    <t>3469</t>
  </si>
  <si>
    <t>3473</t>
  </si>
  <si>
    <t>322407</t>
  </si>
  <si>
    <t>322405</t>
  </si>
  <si>
    <t>NIS1901D</t>
  </si>
  <si>
    <t>FM1901D</t>
  </si>
  <si>
    <t>FM1901C</t>
  </si>
  <si>
    <t>1141901</t>
  </si>
  <si>
    <t>FM1901A</t>
  </si>
  <si>
    <t>2401901</t>
  </si>
  <si>
    <t>0361601</t>
  </si>
  <si>
    <t>8691601</t>
  </si>
  <si>
    <t>842641601</t>
  </si>
  <si>
    <t>133921601</t>
  </si>
  <si>
    <t>140991601</t>
  </si>
  <si>
    <t>NIS1901A</t>
  </si>
  <si>
    <t>PET1901</t>
  </si>
  <si>
    <t>540615</t>
  </si>
  <si>
    <t>0951601</t>
  </si>
  <si>
    <t>540394</t>
  </si>
  <si>
    <t>TINTAS DARKA</t>
  </si>
  <si>
    <t>76006</t>
  </si>
  <si>
    <t>CNC MADEI</t>
  </si>
  <si>
    <t>61341</t>
  </si>
  <si>
    <t>SIL150126</t>
  </si>
  <si>
    <t>PRAGMA</t>
  </si>
  <si>
    <t>FELIPE LIMA CORTEZ</t>
  </si>
  <si>
    <t>VAN160126</t>
  </si>
  <si>
    <t>PILLOW COMPANY IND COM TEXTIL E SERVICOS EMPRESARI</t>
  </si>
  <si>
    <t>9877</t>
  </si>
  <si>
    <t>70975</t>
  </si>
  <si>
    <t>3.5.1.12 - Brindes</t>
  </si>
  <si>
    <t>COLORPLAC ETIQUETAS METALICAS LTDA</t>
  </si>
  <si>
    <t>19182</t>
  </si>
  <si>
    <t>MATHEUS</t>
  </si>
  <si>
    <t>SILVI1501</t>
  </si>
  <si>
    <t>CORD1601</t>
  </si>
  <si>
    <t>ACA1612</t>
  </si>
  <si>
    <t>ACA1001</t>
  </si>
  <si>
    <t>ACA1401</t>
  </si>
  <si>
    <t>2371601</t>
  </si>
  <si>
    <t>9501601</t>
  </si>
  <si>
    <t>1581850</t>
  </si>
  <si>
    <t>17381501</t>
  </si>
  <si>
    <t>SO1601</t>
  </si>
  <si>
    <t>2311601</t>
  </si>
  <si>
    <t>2388</t>
  </si>
  <si>
    <t>CHIAPETTI COM DE CAMINHOES E ONIBUS LTDA</t>
  </si>
  <si>
    <t>55773</t>
  </si>
  <si>
    <t>KABUM COMERCIO ELETRONICO S.A</t>
  </si>
  <si>
    <t>3858197/4</t>
  </si>
  <si>
    <t>3858197/3</t>
  </si>
  <si>
    <t>3858197/2</t>
  </si>
  <si>
    <t>3858197/1</t>
  </si>
  <si>
    <t>EUD140126</t>
  </si>
  <si>
    <t>OY7063731</t>
  </si>
  <si>
    <t>49360</t>
  </si>
  <si>
    <t>CAIXA NAT</t>
  </si>
  <si>
    <t>MELIMAIS/1</t>
  </si>
  <si>
    <t>MELIMAIS/4</t>
  </si>
  <si>
    <t>MELIMAIS/3</t>
  </si>
  <si>
    <t>MELIMAIS/2</t>
  </si>
  <si>
    <t>ANUIDADE</t>
  </si>
  <si>
    <t>031225</t>
  </si>
  <si>
    <t>GELO</t>
  </si>
  <si>
    <t>832</t>
  </si>
  <si>
    <t>707</t>
  </si>
  <si>
    <t>708</t>
  </si>
  <si>
    <t>SODA1301</t>
  </si>
  <si>
    <t>SODA1201</t>
  </si>
  <si>
    <t>SILV1001</t>
  </si>
  <si>
    <t>LINHAS</t>
  </si>
  <si>
    <t>73135</t>
  </si>
  <si>
    <t>FERRAMENT</t>
  </si>
  <si>
    <t>92397538/4</t>
  </si>
  <si>
    <t>92397538/3</t>
  </si>
  <si>
    <t>92397538/2</t>
  </si>
  <si>
    <t>92397538/1</t>
  </si>
  <si>
    <t>26315/4</t>
  </si>
  <si>
    <t>26315/3</t>
  </si>
  <si>
    <t>26315/2</t>
  </si>
  <si>
    <t>26315/1</t>
  </si>
  <si>
    <t>2897681</t>
  </si>
  <si>
    <t>520638/4</t>
  </si>
  <si>
    <t>520638/3</t>
  </si>
  <si>
    <t>520638/2</t>
  </si>
  <si>
    <t>32822</t>
  </si>
  <si>
    <t>664088</t>
  </si>
  <si>
    <t>76211501</t>
  </si>
  <si>
    <t>520638/1</t>
  </si>
  <si>
    <t>5536</t>
  </si>
  <si>
    <t>30882</t>
  </si>
  <si>
    <t>30885</t>
  </si>
  <si>
    <t>4563GMOD</t>
  </si>
  <si>
    <t>4563GCIF</t>
  </si>
  <si>
    <t>4563GADM</t>
  </si>
  <si>
    <t>4563FMOD</t>
  </si>
  <si>
    <t>4563FCIF</t>
  </si>
  <si>
    <t>4563FADM</t>
  </si>
  <si>
    <t>4562SMOD</t>
  </si>
  <si>
    <t>4562SCIF</t>
  </si>
  <si>
    <t>4533gmod</t>
  </si>
  <si>
    <t>4533gcif</t>
  </si>
  <si>
    <t>4533gadm</t>
  </si>
  <si>
    <t>4533fmod</t>
  </si>
  <si>
    <t>4533fcif</t>
  </si>
  <si>
    <t>4533fadm</t>
  </si>
  <si>
    <t>194226</t>
  </si>
  <si>
    <t>1724</t>
  </si>
  <si>
    <t>86561/4</t>
  </si>
  <si>
    <t>86561/3</t>
  </si>
  <si>
    <t>86561/2</t>
  </si>
  <si>
    <t>4562GMOD</t>
  </si>
  <si>
    <t>4562GADM</t>
  </si>
  <si>
    <t>4562FMOD</t>
  </si>
  <si>
    <t>4562FADM</t>
  </si>
  <si>
    <t>4562AYLA</t>
  </si>
  <si>
    <t>4537smod</t>
  </si>
  <si>
    <t>4464SMOD</t>
  </si>
  <si>
    <t>86561/1</t>
  </si>
  <si>
    <t>17195/4</t>
  </si>
  <si>
    <t>17195/3</t>
  </si>
  <si>
    <t>17195/2</t>
  </si>
  <si>
    <t>17195/1</t>
  </si>
  <si>
    <t>37075</t>
  </si>
  <si>
    <t>98026/4</t>
  </si>
  <si>
    <t>98026/3</t>
  </si>
  <si>
    <t>98026/2</t>
  </si>
  <si>
    <t>98026/1</t>
  </si>
  <si>
    <t>12685</t>
  </si>
  <si>
    <t>6342</t>
  </si>
  <si>
    <t>31713</t>
  </si>
  <si>
    <t>1581501</t>
  </si>
  <si>
    <t>0471501</t>
  </si>
  <si>
    <t>4861501</t>
  </si>
  <si>
    <t>257361501</t>
  </si>
  <si>
    <t>22519</t>
  </si>
  <si>
    <t>125480</t>
  </si>
  <si>
    <t>17411</t>
  </si>
  <si>
    <t>37257</t>
  </si>
  <si>
    <t>11266</t>
  </si>
  <si>
    <t>1941501</t>
  </si>
  <si>
    <t>3951401</t>
  </si>
  <si>
    <t>55</t>
  </si>
  <si>
    <t>20031501</t>
  </si>
  <si>
    <t>GL EVENTS LIVELTDA</t>
  </si>
  <si>
    <t>CABO AÇO</t>
  </si>
  <si>
    <t>0951501</t>
  </si>
  <si>
    <t>456820</t>
  </si>
  <si>
    <t>PCZ3SKT93</t>
  </si>
  <si>
    <t>GAB120126</t>
  </si>
  <si>
    <t>6387</t>
  </si>
  <si>
    <t>14874</t>
  </si>
  <si>
    <t>10831</t>
  </si>
  <si>
    <t>PET1401A</t>
  </si>
  <si>
    <t>PET1401</t>
  </si>
  <si>
    <t>ELET1401</t>
  </si>
  <si>
    <t>164773</t>
  </si>
  <si>
    <t>LEDOAR JOSE BERTUCINI - ME</t>
  </si>
  <si>
    <t>REF140126</t>
  </si>
  <si>
    <t>FITA1401</t>
  </si>
  <si>
    <t>6820</t>
  </si>
  <si>
    <t>204517</t>
  </si>
  <si>
    <t>PWR140126</t>
  </si>
  <si>
    <t>CAR1812</t>
  </si>
  <si>
    <t>CAR181225</t>
  </si>
  <si>
    <t>PASSAGEM A</t>
  </si>
  <si>
    <t>3.5.3.10 - Seguros Veicular</t>
  </si>
  <si>
    <t>LIBERTY SEGUROS S/A</t>
  </si>
  <si>
    <t>SEGURO FRO</t>
  </si>
  <si>
    <t>SHOP1712</t>
  </si>
  <si>
    <t>PWR040126</t>
  </si>
  <si>
    <t>SILVI0801</t>
  </si>
  <si>
    <t>CLEIDE CAMPOS NORONHA</t>
  </si>
  <si>
    <t>BOLSAS</t>
  </si>
  <si>
    <t xml:space="preserve">MODELISTA </t>
  </si>
  <si>
    <t>DEZ/25</t>
  </si>
  <si>
    <t>0791401</t>
  </si>
  <si>
    <t>2211201</t>
  </si>
  <si>
    <t>1581301</t>
  </si>
  <si>
    <t>2231401</t>
  </si>
  <si>
    <t>2287</t>
  </si>
  <si>
    <t>10527</t>
  </si>
  <si>
    <t>5121401</t>
  </si>
  <si>
    <t>BET1401</t>
  </si>
  <si>
    <t>5243</t>
  </si>
  <si>
    <t>J00267037</t>
  </si>
  <si>
    <t>818039</t>
  </si>
  <si>
    <t>667860</t>
  </si>
  <si>
    <t>668387</t>
  </si>
  <si>
    <t>40203</t>
  </si>
  <si>
    <t>13483</t>
  </si>
  <si>
    <t>456444</t>
  </si>
  <si>
    <t>456443</t>
  </si>
  <si>
    <t>327130</t>
  </si>
  <si>
    <t>2651129</t>
  </si>
  <si>
    <t>POL1101A</t>
  </si>
  <si>
    <t>EMP1301</t>
  </si>
  <si>
    <t>539136</t>
  </si>
  <si>
    <t>TINTAS DARKA LTDA</t>
  </si>
  <si>
    <t>263526</t>
  </si>
  <si>
    <t>263192</t>
  </si>
  <si>
    <t>19694</t>
  </si>
  <si>
    <t>GOOGLEONE/</t>
  </si>
  <si>
    <t>APPLE/4</t>
  </si>
  <si>
    <t>APPLE/3</t>
  </si>
  <si>
    <t>APPLE/2</t>
  </si>
  <si>
    <t>APPLE/1</t>
  </si>
  <si>
    <t>BI/2026/4</t>
  </si>
  <si>
    <t>BI/2026/3</t>
  </si>
  <si>
    <t>BI/2026/2</t>
  </si>
  <si>
    <t>BI/2026/1</t>
  </si>
  <si>
    <t>ADOBE 2026</t>
  </si>
  <si>
    <t>11630</t>
  </si>
  <si>
    <t>11629</t>
  </si>
  <si>
    <t>30557</t>
  </si>
  <si>
    <t>PROMEX MAIS COMERCIO,IMPORTAÇÃO E EXPORTAÇÃO LTDA.</t>
  </si>
  <si>
    <t>116018</t>
  </si>
  <si>
    <t>EXP2026/4</t>
  </si>
  <si>
    <t>EXP2026/3</t>
  </si>
  <si>
    <t>EXP2026/2</t>
  </si>
  <si>
    <t>EXP2026/1</t>
  </si>
  <si>
    <t>ESTADO DO PARANA - SECRETARIA DE ESTADO DA FAZENDA</t>
  </si>
  <si>
    <t>BBH6630/4</t>
  </si>
  <si>
    <t>BBH6630/3</t>
  </si>
  <si>
    <t>BBH6630/2</t>
  </si>
  <si>
    <t>BBH6630/1</t>
  </si>
  <si>
    <t>3.5.1.4 - IPVA e Licenciamento</t>
  </si>
  <si>
    <t>BEM8409/4</t>
  </si>
  <si>
    <t>BEM8409/3</t>
  </si>
  <si>
    <t>BEM8409/2</t>
  </si>
  <si>
    <t>BEM8409/1</t>
  </si>
  <si>
    <t>AYL6E00/4</t>
  </si>
  <si>
    <t>AYL6E00/3</t>
  </si>
  <si>
    <t>AYL6E00/2</t>
  </si>
  <si>
    <t>AYL6E00/1</t>
  </si>
  <si>
    <t>BEM6E19/4</t>
  </si>
  <si>
    <t>BEM6E19/3</t>
  </si>
  <si>
    <t>BEM6E19/2</t>
  </si>
  <si>
    <t>BEM6E19/1</t>
  </si>
  <si>
    <t>BEH 6E00/4</t>
  </si>
  <si>
    <t>BEH 6E00/3</t>
  </si>
  <si>
    <t>BEH 6E00/2</t>
  </si>
  <si>
    <t>BEH 6E00/1</t>
  </si>
  <si>
    <t>BEM 9J26/4</t>
  </si>
  <si>
    <t>BEM 9J26/3</t>
  </si>
  <si>
    <t>BEM 9J26/2</t>
  </si>
  <si>
    <t>BEM 9J26/1</t>
  </si>
  <si>
    <t>1.3.6 - Investimento em Ativos</t>
  </si>
  <si>
    <t>HS ADM DE CONSORCIOS LTDA.</t>
  </si>
  <si>
    <t>HSCOT0749/</t>
  </si>
  <si>
    <t>1.3.5 - Consórcios</t>
  </si>
  <si>
    <t>PAP530031</t>
  </si>
  <si>
    <t>LIM530031</t>
  </si>
  <si>
    <t>530031</t>
  </si>
  <si>
    <t>553</t>
  </si>
  <si>
    <t>395232</t>
  </si>
  <si>
    <t>3951201</t>
  </si>
  <si>
    <t>24311301</t>
  </si>
  <si>
    <t>229881301</t>
  </si>
  <si>
    <t>CORRIMAO</t>
  </si>
  <si>
    <t>1516</t>
  </si>
  <si>
    <t>50561201</t>
  </si>
  <si>
    <t>12160</t>
  </si>
  <si>
    <t>JAN2026</t>
  </si>
  <si>
    <t>MILTON BATISTA</t>
  </si>
  <si>
    <t>DESCARGAR</t>
  </si>
  <si>
    <t>816723</t>
  </si>
  <si>
    <t>080126</t>
  </si>
  <si>
    <t>PET1201A</t>
  </si>
  <si>
    <t>090126</t>
  </si>
  <si>
    <t>OURO INGA ADMINISTRADORA DE BENS LTDA</t>
  </si>
  <si>
    <t>IMPRESSORA</t>
  </si>
  <si>
    <t>106714</t>
  </si>
  <si>
    <t>14710</t>
  </si>
  <si>
    <t>17390</t>
  </si>
  <si>
    <t>IUS SUPORTE</t>
  </si>
  <si>
    <t>I.A BOLETO</t>
  </si>
  <si>
    <t>49278</t>
  </si>
  <si>
    <t>JAN120126</t>
  </si>
  <si>
    <t>LERMA2910</t>
  </si>
  <si>
    <t>MRK26/4</t>
  </si>
  <si>
    <t>MRK26/3</t>
  </si>
  <si>
    <t>MRK26/2</t>
  </si>
  <si>
    <t>MRK26/1</t>
  </si>
  <si>
    <t>16-31DZ25</t>
  </si>
  <si>
    <t>JL CERTIFICADORA DIGITAL LTDA</t>
  </si>
  <si>
    <t>SUELY</t>
  </si>
  <si>
    <t>0951201</t>
  </si>
  <si>
    <t>0790</t>
  </si>
  <si>
    <t>010749</t>
  </si>
  <si>
    <t>0531201</t>
  </si>
  <si>
    <t>0120901</t>
  </si>
  <si>
    <t>4861201</t>
  </si>
  <si>
    <t>75428</t>
  </si>
  <si>
    <t>119081</t>
  </si>
  <si>
    <t>3226</t>
  </si>
  <si>
    <t>46393</t>
  </si>
  <si>
    <t>NIS0901B</t>
  </si>
  <si>
    <t>RAF200126</t>
  </si>
  <si>
    <t>MYL200126</t>
  </si>
  <si>
    <t>KAR200126</t>
  </si>
  <si>
    <t>SUE200126</t>
  </si>
  <si>
    <t>FAB200126</t>
  </si>
  <si>
    <t>FORRO PVC</t>
  </si>
  <si>
    <t>ATA DISTR</t>
  </si>
  <si>
    <t>116708</t>
  </si>
  <si>
    <t>246862</t>
  </si>
  <si>
    <t>GM0801A</t>
  </si>
  <si>
    <t>POL0901C</t>
  </si>
  <si>
    <t>JAN090126</t>
  </si>
  <si>
    <t>38986</t>
  </si>
  <si>
    <t>40308</t>
  </si>
  <si>
    <t>BDS 7E01/4</t>
  </si>
  <si>
    <t>BDS 7E01/3</t>
  </si>
  <si>
    <t>BDS 7E01/2</t>
  </si>
  <si>
    <t>BDS 7E01/1</t>
  </si>
  <si>
    <t>539028</t>
  </si>
  <si>
    <t>NIS0901A</t>
  </si>
  <si>
    <t>ELET0901</t>
  </si>
  <si>
    <t>AYL-5F59/4</t>
  </si>
  <si>
    <t>AYL-5F59/3</t>
  </si>
  <si>
    <t>AYL-5F59/2</t>
  </si>
  <si>
    <t>1431203</t>
  </si>
  <si>
    <t>AYL-5F59/1</t>
  </si>
  <si>
    <t>OLIVER MEDIA INFORMATICA LTDA</t>
  </si>
  <si>
    <t>MENSALIDAE</t>
  </si>
  <si>
    <t>MYL090126</t>
  </si>
  <si>
    <t>ATRASADOS</t>
  </si>
  <si>
    <t>29692</t>
  </si>
  <si>
    <t>29599</t>
  </si>
  <si>
    <t>PISW00125</t>
  </si>
  <si>
    <t>PISW00725</t>
  </si>
  <si>
    <t>CERTIFICA</t>
  </si>
  <si>
    <t>ELETRICA</t>
  </si>
  <si>
    <t>61564</t>
  </si>
  <si>
    <t>61565</t>
  </si>
  <si>
    <t>1900801</t>
  </si>
  <si>
    <t>079090109</t>
  </si>
  <si>
    <t>79</t>
  </si>
  <si>
    <t>0790901</t>
  </si>
  <si>
    <t>12640801</t>
  </si>
  <si>
    <t>ALFA TACOGRAFOS LTDA</t>
  </si>
  <si>
    <t>1963</t>
  </si>
  <si>
    <t>2516</t>
  </si>
  <si>
    <t>2515</t>
  </si>
  <si>
    <t>1962</t>
  </si>
  <si>
    <t>GIL0801</t>
  </si>
  <si>
    <t>NIS0801A</t>
  </si>
  <si>
    <t>31181</t>
  </si>
  <si>
    <t>231</t>
  </si>
  <si>
    <t>230</t>
  </si>
  <si>
    <t>265</t>
  </si>
  <si>
    <t>72662</t>
  </si>
  <si>
    <t>219547</t>
  </si>
  <si>
    <t>36377</t>
  </si>
  <si>
    <t>36671</t>
  </si>
  <si>
    <t>455981</t>
  </si>
  <si>
    <t>POL0801A</t>
  </si>
  <si>
    <t>663307</t>
  </si>
  <si>
    <t>GM0801</t>
  </si>
  <si>
    <t>NIS1212C</t>
  </si>
  <si>
    <t>THIAGO CR</t>
  </si>
  <si>
    <t>MALOTE ES</t>
  </si>
  <si>
    <t>56493</t>
  </si>
  <si>
    <t>56492</t>
  </si>
  <si>
    <t>NETO2012</t>
  </si>
  <si>
    <t>804761</t>
  </si>
  <si>
    <t>LEAND2012</t>
  </si>
  <si>
    <t>LEAND2312</t>
  </si>
  <si>
    <t>163632</t>
  </si>
  <si>
    <t>28789</t>
  </si>
  <si>
    <t>26966</t>
  </si>
  <si>
    <t>NIS0801</t>
  </si>
  <si>
    <t>BORRACHA</t>
  </si>
  <si>
    <t>VANDE2112</t>
  </si>
  <si>
    <t>712152</t>
  </si>
  <si>
    <t>712154</t>
  </si>
  <si>
    <t>712348</t>
  </si>
  <si>
    <t>ILHOS COR</t>
  </si>
  <si>
    <t>RODIZIOS</t>
  </si>
  <si>
    <t>FRETE</t>
  </si>
  <si>
    <t>ROQUE PAPELARIA</t>
  </si>
  <si>
    <t>46495</t>
  </si>
  <si>
    <t>158070107</t>
  </si>
  <si>
    <t>0790801</t>
  </si>
  <si>
    <t>1095</t>
  </si>
  <si>
    <t>10818</t>
  </si>
  <si>
    <t>1430025</t>
  </si>
  <si>
    <t>GIL0501</t>
  </si>
  <si>
    <t>J00214629</t>
  </si>
  <si>
    <t>22952</t>
  </si>
  <si>
    <t>25721</t>
  </si>
  <si>
    <t>36882</t>
  </si>
  <si>
    <t>JULIO0601</t>
  </si>
  <si>
    <t>CNC070126</t>
  </si>
  <si>
    <t>GESTAO PE</t>
  </si>
  <si>
    <t>455668</t>
  </si>
  <si>
    <t>298343</t>
  </si>
  <si>
    <t>GM0601</t>
  </si>
  <si>
    <t>POL2012</t>
  </si>
  <si>
    <t>000000005</t>
  </si>
  <si>
    <t>TELHACO MARINGA INDUSTRIA E COMERCIO DE TELHAS LTD</t>
  </si>
  <si>
    <t>89839</t>
  </si>
  <si>
    <t>139926</t>
  </si>
  <si>
    <t>760</t>
  </si>
  <si>
    <t>1900601</t>
  </si>
  <si>
    <t>139927</t>
  </si>
  <si>
    <t>4740501</t>
  </si>
  <si>
    <t>079060102</t>
  </si>
  <si>
    <t>MIL0701</t>
  </si>
  <si>
    <t>120701</t>
  </si>
  <si>
    <t>712514</t>
  </si>
  <si>
    <t>NORI0701</t>
  </si>
  <si>
    <t>711905</t>
  </si>
  <si>
    <t>712121</t>
  </si>
  <si>
    <t>711865</t>
  </si>
  <si>
    <t>0790601</t>
  </si>
  <si>
    <t>208819731</t>
  </si>
  <si>
    <t>1580701</t>
  </si>
  <si>
    <t>11850601</t>
  </si>
  <si>
    <t xml:space="preserve">CRIS / SALGADOS </t>
  </si>
  <si>
    <t>INICIO26</t>
  </si>
  <si>
    <t>3315</t>
  </si>
  <si>
    <t>BATA0601A</t>
  </si>
  <si>
    <t>1168175</t>
  </si>
  <si>
    <t>229880501</t>
  </si>
  <si>
    <t>33418</t>
  </si>
  <si>
    <t>1580501</t>
  </si>
  <si>
    <t>PET2012</t>
  </si>
  <si>
    <t>PET0301</t>
  </si>
  <si>
    <t>PET3112A</t>
  </si>
  <si>
    <t>NIS0501</t>
  </si>
  <si>
    <t>IOFCRE060</t>
  </si>
  <si>
    <t>0040601</t>
  </si>
  <si>
    <t>IOF060126</t>
  </si>
  <si>
    <t>COB0501</t>
  </si>
  <si>
    <t>1395</t>
  </si>
  <si>
    <t>NIS1812B</t>
  </si>
  <si>
    <t>IOF050126</t>
  </si>
  <si>
    <t>IOFDES05</t>
  </si>
  <si>
    <t>JUR050126</t>
  </si>
  <si>
    <t>COBLIQ22</t>
  </si>
  <si>
    <t>COBLIQ02</t>
  </si>
  <si>
    <t>NEG020126</t>
  </si>
  <si>
    <t>COB020126</t>
  </si>
  <si>
    <t>IOFAD0201</t>
  </si>
  <si>
    <t>IOF020126</t>
  </si>
  <si>
    <t>COB0201</t>
  </si>
  <si>
    <t>PCT020126</t>
  </si>
  <si>
    <t>LETICIA GIGLIO RODRIGUES</t>
  </si>
  <si>
    <t>DH 26/4</t>
  </si>
  <si>
    <t>DH 26/3</t>
  </si>
  <si>
    <t>DH 26/2</t>
  </si>
  <si>
    <t>DH 26/1</t>
  </si>
  <si>
    <t>ATLANTICA HOTELS INTERNATIONAL BRASIL LTDA</t>
  </si>
  <si>
    <t>HOTEL ABIM</t>
  </si>
  <si>
    <t>S A ZAGO DISTRIUIDORA EPP</t>
  </si>
  <si>
    <t>ENGEN4.10</t>
  </si>
  <si>
    <t>ENGEN3.10</t>
  </si>
  <si>
    <t>ENGEN2.10</t>
  </si>
  <si>
    <t>ENGEN1.10</t>
  </si>
  <si>
    <t>BRADESCO AUTO - ER CIA DE SEGUROS</t>
  </si>
  <si>
    <t>PLACAS5.8</t>
  </si>
  <si>
    <t>PLACAS4.8</t>
  </si>
  <si>
    <t>PLACAS3.8</t>
  </si>
  <si>
    <t>PLACAS2.8</t>
  </si>
  <si>
    <t>FOXIT26/5</t>
  </si>
  <si>
    <t>FOXIT26/4</t>
  </si>
  <si>
    <t>FOXIT26/3</t>
  </si>
  <si>
    <t>FOXIT26/2</t>
  </si>
  <si>
    <t>CONSULTORI</t>
  </si>
  <si>
    <t>26</t>
  </si>
  <si>
    <t>2025/2</t>
  </si>
  <si>
    <t>2025/1</t>
  </si>
  <si>
    <t>BPG/5/11</t>
  </si>
  <si>
    <t>BPG/4/11</t>
  </si>
  <si>
    <t>BPG/3/11</t>
  </si>
  <si>
    <t>BPG/2/11</t>
  </si>
  <si>
    <t>3.5.3.15 - Doações</t>
  </si>
  <si>
    <t>RADIO 87 FM</t>
  </si>
  <si>
    <t>MISSA 2026</t>
  </si>
  <si>
    <t>ESPANHOL26</t>
  </si>
  <si>
    <t>ESPANHOL /</t>
  </si>
  <si>
    <t>LICENÇAS/1</t>
  </si>
  <si>
    <t>LICENÇAS/3</t>
  </si>
  <si>
    <t>210097</t>
  </si>
  <si>
    <t>RASTREADOR</t>
  </si>
  <si>
    <t>210097-2</t>
  </si>
  <si>
    <t>PWRGESTÃO2</t>
  </si>
  <si>
    <t>PWRGESTAO1</t>
  </si>
  <si>
    <t>PWR GESTAO</t>
  </si>
  <si>
    <t>NELCI MARIA AMARAL DA SILVA</t>
  </si>
  <si>
    <t>LIMPEZA41</t>
  </si>
  <si>
    <t>ENERGIA41</t>
  </si>
  <si>
    <t>FERNANDO GOMES ROCHA</t>
  </si>
  <si>
    <t>ELETRIC41</t>
  </si>
  <si>
    <t>VONO TECNOLOGIA LTDA</t>
  </si>
  <si>
    <t>VONO/6</t>
  </si>
  <si>
    <t>VONO/5</t>
  </si>
  <si>
    <t>VONO/4</t>
  </si>
  <si>
    <t>VONO/3</t>
  </si>
  <si>
    <t>ALLIANZ AUTO</t>
  </si>
  <si>
    <t>AYL2526/7</t>
  </si>
  <si>
    <t>AYL2526/6</t>
  </si>
  <si>
    <t>AYL2526/5</t>
  </si>
  <si>
    <t>AYL2526/4</t>
  </si>
  <si>
    <t>INTERNET/6</t>
  </si>
  <si>
    <t>INTERNET/5</t>
  </si>
  <si>
    <t>INTERNET/4</t>
  </si>
  <si>
    <t>INTERNET/3</t>
  </si>
  <si>
    <t>ABIMAD41/7</t>
  </si>
  <si>
    <t>ABIMAD41/6</t>
  </si>
  <si>
    <t>ABIMAD41/5</t>
  </si>
  <si>
    <t>ABIMAD41/4</t>
  </si>
  <si>
    <t>PGTO0226JA</t>
  </si>
  <si>
    <t>PGTO0126JA</t>
  </si>
  <si>
    <t>PGTO1225JA</t>
  </si>
  <si>
    <t>CNC/8</t>
  </si>
  <si>
    <t>CNC/7</t>
  </si>
  <si>
    <t>CNC/6</t>
  </si>
  <si>
    <t>CNC/5</t>
  </si>
  <si>
    <t>CNC Router</t>
  </si>
  <si>
    <t>MODELIST/6</t>
  </si>
  <si>
    <t>FERRAM/9</t>
  </si>
  <si>
    <t>FERRAM/8</t>
  </si>
  <si>
    <t>FERRAM/7</t>
  </si>
  <si>
    <t>FERRAM/6</t>
  </si>
  <si>
    <t>CASA/9</t>
  </si>
  <si>
    <t>CASA/8</t>
  </si>
  <si>
    <t>CASA/7</t>
  </si>
  <si>
    <t>CASA/6</t>
  </si>
  <si>
    <t>GELADEI/09</t>
  </si>
  <si>
    <t>GELADEI/08</t>
  </si>
  <si>
    <t>GELADEI/07</t>
  </si>
  <si>
    <t>GELADEI/06</t>
  </si>
  <si>
    <t>FINANCEIRO</t>
  </si>
  <si>
    <t>F5 SOFTWARE LTDA</t>
  </si>
  <si>
    <t>ANY DESK/1</t>
  </si>
  <si>
    <t>ANY DESK/9</t>
  </si>
  <si>
    <t>ANY DESK/8</t>
  </si>
  <si>
    <t>ANY DESK/7</t>
  </si>
  <si>
    <t>BAZAM E PICHAU INFORMATICA LTDA</t>
  </si>
  <si>
    <t>MEMORIARAM</t>
  </si>
  <si>
    <t>CASOCA 25/</t>
  </si>
  <si>
    <t>FERRAMENTAS KENNEDY</t>
  </si>
  <si>
    <t>SERRA FITA</t>
  </si>
  <si>
    <t>OLIVER2025</t>
  </si>
  <si>
    <t>MODELI 03</t>
  </si>
  <si>
    <t>MODELI 02</t>
  </si>
  <si>
    <t>MODELI 01</t>
  </si>
  <si>
    <t>SAMAE25/10</t>
  </si>
  <si>
    <t>SAMAE25/9</t>
  </si>
  <si>
    <t>SAMAE25/8</t>
  </si>
  <si>
    <t>GURGELMIX MAQUINAS E FERRAMENTAS S.A.</t>
  </si>
  <si>
    <t>TUPIA/10</t>
  </si>
  <si>
    <t>TUPIA/9</t>
  </si>
  <si>
    <t>TUPIA/8</t>
  </si>
  <si>
    <t>EMBRATEL25</t>
  </si>
  <si>
    <t>PGTO 0526</t>
  </si>
  <si>
    <t>PGTO 0426</t>
  </si>
  <si>
    <t>PGTO 0326/</t>
  </si>
  <si>
    <t>PGTO 0226/</t>
  </si>
  <si>
    <t>PWRGESTÃO/</t>
  </si>
  <si>
    <t>KAITEKI25/</t>
  </si>
  <si>
    <t>GOL2025/12</t>
  </si>
  <si>
    <t>GOL2025/11</t>
  </si>
  <si>
    <t>GOL2025/10</t>
  </si>
  <si>
    <t>KOY/25/12</t>
  </si>
  <si>
    <t>SOLAR/69</t>
  </si>
  <si>
    <t>SOLAR/68</t>
  </si>
  <si>
    <t>SOLAR/67</t>
  </si>
  <si>
    <t>SOLAR/66</t>
  </si>
  <si>
    <t>2.9.6 - Impostos a recolher</t>
  </si>
  <si>
    <t>PERT/105</t>
  </si>
  <si>
    <t>PERT/104</t>
  </si>
  <si>
    <t>PERT/103</t>
  </si>
  <si>
    <t>PERT/102</t>
  </si>
  <si>
    <t>3.4.2.6 - Compras - Pés/Mecanismos/Bases</t>
  </si>
  <si>
    <t>EDIL3103</t>
  </si>
  <si>
    <t>3.4.2.1 - Compras</t>
  </si>
  <si>
    <t>000014</t>
  </si>
  <si>
    <t>000015</t>
  </si>
  <si>
    <t>GIROTEC MOVEIS E METALURGICA LTDA</t>
  </si>
  <si>
    <t>045593</t>
  </si>
  <si>
    <t>008036</t>
  </si>
  <si>
    <t>000010</t>
  </si>
  <si>
    <t>000008</t>
  </si>
  <si>
    <t>DIONIZIO PRIETO</t>
  </si>
  <si>
    <t>DIIH50</t>
  </si>
  <si>
    <t>MANUFATURA DE BOTOES CARDENAS LTDA</t>
  </si>
  <si>
    <t>130161</t>
  </si>
  <si>
    <t>BONACK E SANCHES LTDA ME</t>
  </si>
  <si>
    <t>002691</t>
  </si>
  <si>
    <t>LINE DO BRASIL COMERCIO DE ATUADORES LINEARES LTDA</t>
  </si>
  <si>
    <t>019042</t>
  </si>
  <si>
    <t>METALURGICA CELINO LTDA</t>
  </si>
  <si>
    <t>035688</t>
  </si>
  <si>
    <t>000005</t>
  </si>
  <si>
    <t>RESPONSÁVEL</t>
  </si>
  <si>
    <t>TAG</t>
  </si>
  <si>
    <t>SETOR</t>
  </si>
  <si>
    <t>CENTRO DE CUSTO</t>
  </si>
  <si>
    <t>MÁQUINA2</t>
  </si>
  <si>
    <t>Conta</t>
  </si>
  <si>
    <t>Plano de Contas</t>
  </si>
  <si>
    <t>Vlr Despesa</t>
  </si>
  <si>
    <t>Fornecedor</t>
  </si>
  <si>
    <t>Dt. Entrada</t>
  </si>
  <si>
    <t>Nro Doc.</t>
  </si>
  <si>
    <t>Emp</t>
  </si>
  <si>
    <t>Cód.</t>
  </si>
  <si>
    <t>SITE</t>
  </si>
  <si>
    <t>CERTIFICADO DIGITAL</t>
  </si>
  <si>
    <t>INFORMÁTICA</t>
  </si>
  <si>
    <t>MWS SOCIEDADE EMPRESARIAL LTDA</t>
  </si>
  <si>
    <t>RELÓGIO PONTO</t>
  </si>
  <si>
    <t>DIVINO DE OLIVEIRA RODRIGUES EQUIPAMENTOS</t>
  </si>
  <si>
    <t>E-MAILS</t>
  </si>
  <si>
    <t>NUNTIA IA FINANCEIRO</t>
  </si>
  <si>
    <t>SKETCHUP</t>
  </si>
  <si>
    <t>ACCION</t>
  </si>
  <si>
    <t>ANYDESK</t>
  </si>
  <si>
    <t>CASOCA</t>
  </si>
  <si>
    <t>TOPSOLID</t>
  </si>
  <si>
    <t>MAQUINAS DE COSTURA</t>
  </si>
  <si>
    <t>PEÇAS DE FERRAMENTAS</t>
  </si>
  <si>
    <t>ALTAIR GUILHERME DA SILVA</t>
  </si>
  <si>
    <t>FERRAGENS GERAIS</t>
  </si>
  <si>
    <t>COFERRAZE COMERCIO DE FERRAMENTAS</t>
  </si>
  <si>
    <t>TORNO MECANICO</t>
  </si>
  <si>
    <t>SERVIÇOS GERAIS</t>
  </si>
  <si>
    <t>ALEXSANDRO RAMOS DE OLIVEIRA</t>
  </si>
  <si>
    <t>SERVIÇOS FRETE</t>
  </si>
  <si>
    <t>SECCIONADORA</t>
  </si>
  <si>
    <t>GUIDINI &amp; MACHADO LTDA M.E</t>
  </si>
  <si>
    <t>REFLETORES</t>
  </si>
  <si>
    <t>SHOP STORE VARIEDADES LTDA</t>
  </si>
  <si>
    <t>PEÇAS GRAMPEADORES BEA</t>
  </si>
  <si>
    <t>PALETEIRAS</t>
  </si>
  <si>
    <t>PALETEC EMPILHADEIRAS E TRANSPALETES</t>
  </si>
  <si>
    <t>MOTORES ELETRICOS</t>
  </si>
  <si>
    <t>IVAI MOTORES ELETRICOS LTDA</t>
  </si>
  <si>
    <t>MATERIAIS PNEUMATICOS</t>
  </si>
  <si>
    <t>MATERIAIS ELETRICOS</t>
  </si>
  <si>
    <t>ELETRO PAINEL COM. MATERIAIS ELETRICOS LTDA.</t>
  </si>
  <si>
    <t>SUNLIGHT COMPANY LTDA</t>
  </si>
  <si>
    <t>MAQUINA DE LIMPEZA</t>
  </si>
  <si>
    <t>ANNAT EQUIPAMENTOS INDUSTRIAIS LTDA</t>
  </si>
  <si>
    <t>MANUTENÇÕES FERRAMENTAS</t>
  </si>
  <si>
    <t>ELETROTECNICA POSITIVO LTDA - ME</t>
  </si>
  <si>
    <t>LIONS ELETRONICOS COMERCIAL LTDA</t>
  </si>
  <si>
    <t xml:space="preserve">ELETROMORUMBI COMERCIO E DISTRIBUICAO DE PRODUTOS </t>
  </si>
  <si>
    <t>IMPRESSORAS</t>
  </si>
  <si>
    <t>G PRINT SERVIÇOS DE IMPRESSÕES LTDA</t>
  </si>
  <si>
    <t>GRAMPEADORES IMECO</t>
  </si>
  <si>
    <t>A D TIZO JUNIOR - FERRAMENTAS ME</t>
  </si>
  <si>
    <t>COMPRESSORES</t>
  </si>
  <si>
    <t>PPO COMPRESSORES LTDA</t>
  </si>
  <si>
    <t>COMPONENTES T.I</t>
  </si>
  <si>
    <t>CNC TECIDO</t>
  </si>
  <si>
    <t>CNC MADEIRAS</t>
  </si>
  <si>
    <t>ACRILICO</t>
  </si>
  <si>
    <t>NEW CORTS LTDA - ME</t>
  </si>
  <si>
    <t>MÁQUINA</t>
  </si>
  <si>
    <t>FORNECEDOR</t>
  </si>
  <si>
    <t>LETÍCIA</t>
  </si>
  <si>
    <t>3.5.4.8</t>
  </si>
  <si>
    <t>Pagamento de Financiamentos</t>
  </si>
  <si>
    <t>2.1.3</t>
  </si>
  <si>
    <t>2.1.3 - Pagamento de Financiamentos</t>
  </si>
  <si>
    <t>Pagamento de Empréstimo</t>
  </si>
  <si>
    <t>2.1.2</t>
  </si>
  <si>
    <t>2.1.2 - Pagamento de Empréstimo</t>
  </si>
  <si>
    <t>MYLENA</t>
  </si>
  <si>
    <t>COMPRAS</t>
  </si>
  <si>
    <t>3.4.2.5</t>
  </si>
  <si>
    <t>3.4.2.5 - Compras - Madeira</t>
  </si>
  <si>
    <t>COMERCIAL</t>
  </si>
  <si>
    <t>3.7.2.6</t>
  </si>
  <si>
    <t>3.7.2.1</t>
  </si>
  <si>
    <t>FÁBIO</t>
  </si>
  <si>
    <t>DIRETORIA</t>
  </si>
  <si>
    <t>Distribuição de Lucro</t>
  </si>
  <si>
    <t>3.6.2.5</t>
  </si>
  <si>
    <t>3.6.2.5 - Distribuição de Lucro</t>
  </si>
  <si>
    <t>3.6.2.4</t>
  </si>
  <si>
    <t>3.6.2.3</t>
  </si>
  <si>
    <t>3.6.2.2</t>
  </si>
  <si>
    <t>3.6.2.1</t>
  </si>
  <si>
    <t>3.5.4.7</t>
  </si>
  <si>
    <t>3.5.4.6</t>
  </si>
  <si>
    <t>MANUTENÇÃO / TI</t>
  </si>
  <si>
    <t>3.5.4.5</t>
  </si>
  <si>
    <t>3.5.4.4</t>
  </si>
  <si>
    <t>3.5.4.3</t>
  </si>
  <si>
    <t>3.5.4.2</t>
  </si>
  <si>
    <t>3.5.4.1</t>
  </si>
  <si>
    <t>3.5.3.9</t>
  </si>
  <si>
    <t>3.5.3.8</t>
  </si>
  <si>
    <t>ADMINISTRATIVO</t>
  </si>
  <si>
    <t>3.5.3.7</t>
  </si>
  <si>
    <t>3.5.3.6</t>
  </si>
  <si>
    <t>3.5.3.5</t>
  </si>
  <si>
    <t>3.5.3.4</t>
  </si>
  <si>
    <t>3.5.3.3</t>
  </si>
  <si>
    <t>3.5.3.2</t>
  </si>
  <si>
    <t>3.5.3.15</t>
  </si>
  <si>
    <t>3.5.3.14</t>
  </si>
  <si>
    <t>3.5.3.13</t>
  </si>
  <si>
    <t>3.5.3.13 - Correios</t>
  </si>
  <si>
    <t>LOGÍSTICA</t>
  </si>
  <si>
    <t>3.5.3.12</t>
  </si>
  <si>
    <t>3.5.3.11</t>
  </si>
  <si>
    <t>3.5.3.10</t>
  </si>
  <si>
    <t>3.5.3.1</t>
  </si>
  <si>
    <t>RAFAEL</t>
  </si>
  <si>
    <t>DH</t>
  </si>
  <si>
    <t>3.5.2.9</t>
  </si>
  <si>
    <t>3.5.2.8</t>
  </si>
  <si>
    <t>3.5.2.6</t>
  </si>
  <si>
    <t>3.5.2.5</t>
  </si>
  <si>
    <t>3.5.2.2</t>
  </si>
  <si>
    <t>3.5.2.16</t>
  </si>
  <si>
    <t>3.5.2.15</t>
  </si>
  <si>
    <t>3.5.2.14</t>
  </si>
  <si>
    <t>3.5.2.13</t>
  </si>
  <si>
    <t>3.5.2.13 - Medicina e Seguranca do Trabalho (Adm)</t>
  </si>
  <si>
    <t>3.5.2.12</t>
  </si>
  <si>
    <t>3.5.2.11</t>
  </si>
  <si>
    <t>3.5.2.10</t>
  </si>
  <si>
    <t>3.5.2.1</t>
  </si>
  <si>
    <t>3.5.1.9</t>
  </si>
  <si>
    <t>3.5.1.9 - Fretes Exportação</t>
  </si>
  <si>
    <t>3.5.1.8</t>
  </si>
  <si>
    <t>3.5.1.7</t>
  </si>
  <si>
    <t>3.5.1.6</t>
  </si>
  <si>
    <t>3.5.1.5</t>
  </si>
  <si>
    <t>3.5.1.4</t>
  </si>
  <si>
    <t>3.5.1.3</t>
  </si>
  <si>
    <t>DESENVOLVIMENTO</t>
  </si>
  <si>
    <t>3.5.1.21</t>
  </si>
  <si>
    <t>THAIS</t>
  </si>
  <si>
    <t>3.5.1.20</t>
  </si>
  <si>
    <t>3.5.1.2</t>
  </si>
  <si>
    <t>3.5.1.19</t>
  </si>
  <si>
    <t>3.5.1.18</t>
  </si>
  <si>
    <t>3.5.1.17</t>
  </si>
  <si>
    <t>3.5.1.17 - Bonificações</t>
  </si>
  <si>
    <t>3.5.1.16</t>
  </si>
  <si>
    <t>3.5.1.15</t>
  </si>
  <si>
    <t>3.5.1.14</t>
  </si>
  <si>
    <t>3.5.1.13</t>
  </si>
  <si>
    <t>3.5.1.12</t>
  </si>
  <si>
    <t>3.5.1.11</t>
  </si>
  <si>
    <t>3.5.1.10</t>
  </si>
  <si>
    <t>3.5.1.1</t>
  </si>
  <si>
    <t>CUSTO MÃO DE OBRA DIRETA</t>
  </si>
  <si>
    <t>3.4.4.9</t>
  </si>
  <si>
    <t>3.4.4.7</t>
  </si>
  <si>
    <t>3.4.4.6</t>
  </si>
  <si>
    <t>3.4.4.4</t>
  </si>
  <si>
    <t>3.4.4.3</t>
  </si>
  <si>
    <t>NINGUÉM</t>
  </si>
  <si>
    <t>Remessa de Industrialização</t>
  </si>
  <si>
    <t>3.4.4.19</t>
  </si>
  <si>
    <t>3.4.4.17</t>
  </si>
  <si>
    <t>3.4.4.16</t>
  </si>
  <si>
    <t>3.4.4.15</t>
  </si>
  <si>
    <t>3.4.4.5</t>
  </si>
  <si>
    <t>3.4.4.5 - 13° Salario CIF</t>
  </si>
  <si>
    <t>3.5.2.4</t>
  </si>
  <si>
    <t>3.5.2.4 - 13° Salario (Adm)</t>
  </si>
  <si>
    <t>3.4.3.6</t>
  </si>
  <si>
    <t>3.4.3.6 - 13° Salario MOD</t>
  </si>
  <si>
    <t>3.4.4.14</t>
  </si>
  <si>
    <t>3.4.4.13</t>
  </si>
  <si>
    <t>3.4.4.12</t>
  </si>
  <si>
    <t>3.4.4.11</t>
  </si>
  <si>
    <t>3.4.4.10</t>
  </si>
  <si>
    <t>3.4.4.8</t>
  </si>
  <si>
    <t>3.4.4.1</t>
  </si>
  <si>
    <t>3.4.3.9</t>
  </si>
  <si>
    <t>3.4.3.8</t>
  </si>
  <si>
    <t>3.4.3.7</t>
  </si>
  <si>
    <t>3.4.3.5</t>
  </si>
  <si>
    <t>3.4.3.5 - Horas Extras MOD</t>
  </si>
  <si>
    <t>3.4.3.4</t>
  </si>
  <si>
    <t>3.4.3.3</t>
  </si>
  <si>
    <t>PRODUÇÃO</t>
  </si>
  <si>
    <t>3.4.3.2</t>
  </si>
  <si>
    <t>3.4.3.14</t>
  </si>
  <si>
    <t>3.4.3.13</t>
  </si>
  <si>
    <t>3.4.3.12</t>
  </si>
  <si>
    <t>3.4.3.11</t>
  </si>
  <si>
    <t>3.4.3.10</t>
  </si>
  <si>
    <t>3.4.3.1</t>
  </si>
  <si>
    <t>3.4.2.6</t>
  </si>
  <si>
    <t>3.4.2.4</t>
  </si>
  <si>
    <t>3.4.2.4 - Compras - Tecido</t>
  </si>
  <si>
    <t>3.4.2.2</t>
  </si>
  <si>
    <t>3.4.2.1</t>
  </si>
  <si>
    <t>3.3.8</t>
  </si>
  <si>
    <t>3.3.7</t>
  </si>
  <si>
    <t>3.3.4</t>
  </si>
  <si>
    <t>3.3.3</t>
  </si>
  <si>
    <t>3.3.2</t>
  </si>
  <si>
    <t>3.3.1</t>
  </si>
  <si>
    <t>2.9.6</t>
  </si>
  <si>
    <t>Aquisição de Financiamento</t>
  </si>
  <si>
    <t>2.1.4</t>
  </si>
  <si>
    <t>2.1.4 - Aquisição de Financiamento</t>
  </si>
  <si>
    <t>Investimento em Ativos</t>
  </si>
  <si>
    <t>1.3.6</t>
  </si>
  <si>
    <t>1.3.5</t>
  </si>
  <si>
    <t>1.3.4</t>
  </si>
  <si>
    <t>1.3.3</t>
  </si>
  <si>
    <t>1.3.2</t>
  </si>
  <si>
    <t>1.3.1</t>
  </si>
  <si>
    <t>Descrição</t>
  </si>
  <si>
    <t>Código</t>
  </si>
  <si>
    <t>Turn #</t>
  </si>
  <si>
    <t>Date</t>
  </si>
  <si>
    <t>User Request</t>
  </si>
  <si>
    <t>Action Taken</t>
  </si>
  <si>
    <t>Details</t>
  </si>
  <si>
    <t>Outcome</t>
  </si>
  <si>
    <t>Atualizar fórmulas das colunas P e T para usar as mesmas fontes de busca de X e AB (RESUMO local em vez de arquivo externo Despesas 2026).</t>
  </si>
  <si>
    <t>Substituí todas as fórmulas VLOOKUP em P e T que apontavam para o arquivo externo '\\192.168.1.250\...\Despesas 2026 - Detalhado.xlsx' pela fonte local RESUMO!$A$3:$M$200.</t>
  </si>
  <si>
    <t>246 fórmulas atualizadas (123 em P col 2=jan; 123 em T col 3=fev). Padrão: =IFERROR(VLOOKUP($I&lt;row&gt;,RESUMO!$A$3:$M$200,&lt;col&gt;,FALSE),""). Linhas 154/155 também padronizadas para usar $I em vez de I/M.</t>
  </si>
  <si>
    <t>Valores recalculados conferem com originais (ex: P13=52.378,26; T13=71.719,76). P12 e T12 totalizadores OK.</t>
  </si>
  <si>
    <t>PWR270426</t>
  </si>
  <si>
    <t>CET2704</t>
  </si>
  <si>
    <t>16130</t>
  </si>
  <si>
    <t>105042704</t>
  </si>
  <si>
    <t>NIS2704</t>
  </si>
  <si>
    <t>DH270426</t>
  </si>
  <si>
    <t>01-15AB26</t>
  </si>
  <si>
    <t>676611</t>
  </si>
  <si>
    <t>676624</t>
  </si>
  <si>
    <t>394124</t>
  </si>
  <si>
    <t>3661272</t>
  </si>
  <si>
    <t>270427</t>
  </si>
  <si>
    <t>H00820853</t>
  </si>
  <si>
    <t>N43041626</t>
  </si>
  <si>
    <t>VICTO0704</t>
  </si>
  <si>
    <t>PWR280426</t>
  </si>
  <si>
    <t>458227</t>
  </si>
  <si>
    <t>62428</t>
  </si>
  <si>
    <t>9192704</t>
  </si>
  <si>
    <t>2462704</t>
  </si>
  <si>
    <t>46552805</t>
  </si>
  <si>
    <t>546842</t>
  </si>
  <si>
    <t>3952704</t>
  </si>
  <si>
    <t>7902704</t>
  </si>
  <si>
    <t>11402704</t>
  </si>
  <si>
    <t>ACTBF</t>
  </si>
  <si>
    <t>482</t>
  </si>
  <si>
    <t>49822804</t>
  </si>
  <si>
    <t>2622</t>
  </si>
  <si>
    <t>2542804</t>
  </si>
  <si>
    <t>33882</t>
  </si>
  <si>
    <t>30330</t>
  </si>
  <si>
    <t>CET2804</t>
  </si>
  <si>
    <t>145170</t>
  </si>
  <si>
    <t>743529</t>
  </si>
  <si>
    <t>11154</t>
  </si>
  <si>
    <t>LEAND2404</t>
  </si>
  <si>
    <t>80166</t>
  </si>
  <si>
    <t>120779306</t>
  </si>
  <si>
    <t>SILVI2804</t>
  </si>
  <si>
    <t>15012804</t>
  </si>
  <si>
    <t>3162804</t>
  </si>
  <si>
    <t>3952904</t>
  </si>
  <si>
    <t>52804</t>
  </si>
  <si>
    <t>1902804</t>
  </si>
  <si>
    <t>4241</t>
  </si>
  <si>
    <t>SILV2804</t>
  </si>
  <si>
    <t>PWR270420</t>
  </si>
  <si>
    <t>5V0041757</t>
  </si>
  <si>
    <t>CS0033674</t>
  </si>
  <si>
    <t>5552</t>
  </si>
  <si>
    <t>294</t>
  </si>
  <si>
    <t>2942904</t>
  </si>
  <si>
    <t>PWR260426</t>
  </si>
  <si>
    <t>1413</t>
  </si>
  <si>
    <t>6936</t>
  </si>
  <si>
    <t>142904</t>
  </si>
  <si>
    <t>034190</t>
  </si>
  <si>
    <t>OKE DO BRASIL MATERIAIS SINTETICOS LTDA</t>
  </si>
  <si>
    <t>8172701</t>
  </si>
  <si>
    <t>225500965</t>
  </si>
  <si>
    <t>PGTO0426JA</t>
  </si>
  <si>
    <t>INSS0526</t>
  </si>
  <si>
    <t>596408</t>
  </si>
  <si>
    <t>150192904</t>
  </si>
  <si>
    <t>23003</t>
  </si>
  <si>
    <t>CET2904</t>
  </si>
  <si>
    <t>08FER26</t>
  </si>
  <si>
    <t>676996</t>
  </si>
  <si>
    <t>15012904</t>
  </si>
  <si>
    <t>1582904</t>
  </si>
  <si>
    <t>535</t>
  </si>
  <si>
    <t>065725</t>
  </si>
  <si>
    <t>PROJETO CONCEPT MOVEIS PLANEJADOS EIRELI</t>
  </si>
  <si>
    <t>180567</t>
  </si>
  <si>
    <t>3740102</t>
  </si>
  <si>
    <t>63239</t>
  </si>
  <si>
    <t>512751</t>
  </si>
  <si>
    <t>SMAL3004</t>
  </si>
  <si>
    <t>471110</t>
  </si>
  <si>
    <t>NIS3004</t>
  </si>
  <si>
    <t>MODELISTA/</t>
  </si>
  <si>
    <t>4021</t>
  </si>
  <si>
    <t>07FER26</t>
  </si>
  <si>
    <t>094</t>
  </si>
  <si>
    <t>010230</t>
  </si>
  <si>
    <t>000022</t>
  </si>
  <si>
    <t>020123</t>
  </si>
  <si>
    <t>SOLAR/70</t>
  </si>
  <si>
    <t>PGTO 0626</t>
  </si>
  <si>
    <t>GELADEI/10</t>
  </si>
  <si>
    <t>CASA/10</t>
  </si>
  <si>
    <t>FERRAM/10</t>
  </si>
  <si>
    <t>INTERNET/7</t>
  </si>
  <si>
    <t>AYL2526/8</t>
  </si>
  <si>
    <t>DH 26/5</t>
  </si>
  <si>
    <t>BDS 7E01/5</t>
  </si>
  <si>
    <t>MRK26/5</t>
  </si>
  <si>
    <t>ACCION/1</t>
  </si>
  <si>
    <t>ALPHACAM/1</t>
  </si>
  <si>
    <t>SKA AUTOMAÇÃO DE ENGENHARIAS LTDA</t>
  </si>
  <si>
    <t>TREIN ALP</t>
  </si>
  <si>
    <t>PWR26/4</t>
  </si>
  <si>
    <t>26R436821</t>
  </si>
  <si>
    <t>MAIO2026/1</t>
  </si>
  <si>
    <t>2212</t>
  </si>
  <si>
    <t>62804</t>
  </si>
  <si>
    <t>62803</t>
  </si>
  <si>
    <t>4743004</t>
  </si>
  <si>
    <t>3163004</t>
  </si>
  <si>
    <t>1140</t>
  </si>
  <si>
    <t>LEAN0405</t>
  </si>
  <si>
    <t>LEANDRO GRASEL</t>
  </si>
  <si>
    <t>MER040526</t>
  </si>
  <si>
    <t>NEY040526</t>
  </si>
  <si>
    <t>ERICA ARAGÃO DE OLIVEIRA</t>
  </si>
  <si>
    <t>NETO0105</t>
  </si>
  <si>
    <t>LEAND3004</t>
  </si>
  <si>
    <t>FAB200526</t>
  </si>
  <si>
    <t>SUE200526</t>
  </si>
  <si>
    <t>KAR200526</t>
  </si>
  <si>
    <t>MYL200526</t>
  </si>
  <si>
    <t>80552</t>
  </si>
  <si>
    <t>80553</t>
  </si>
  <si>
    <t>RAF200526</t>
  </si>
  <si>
    <t>63812</t>
  </si>
  <si>
    <t>745532</t>
  </si>
  <si>
    <t>36409</t>
  </si>
  <si>
    <t>MAHLE HORIZONTE COMERCIO DE COMBUSTIVEIS LTDA</t>
  </si>
  <si>
    <t>33300</t>
  </si>
  <si>
    <t xml:space="preserve">POSTO SAPATAO COM DE COMBUSTIVEIS </t>
  </si>
  <si>
    <t>36408</t>
  </si>
  <si>
    <t>33299</t>
  </si>
  <si>
    <t>102218</t>
  </si>
  <si>
    <t>SIM REDE DE POSTOS LTDA - SANTA MARIA BR392</t>
  </si>
  <si>
    <t>11490</t>
  </si>
  <si>
    <t>BORRA3004</t>
  </si>
  <si>
    <t>SODA2904</t>
  </si>
  <si>
    <t>80439</t>
  </si>
  <si>
    <t>11297</t>
  </si>
  <si>
    <t>85642</t>
  </si>
  <si>
    <t>NF 6414</t>
  </si>
  <si>
    <t>BATA3004A</t>
  </si>
  <si>
    <t>BATA3004C</t>
  </si>
  <si>
    <t>30515</t>
  </si>
  <si>
    <t>26622</t>
  </si>
  <si>
    <t>CET0405</t>
  </si>
  <si>
    <t>20522</t>
  </si>
  <si>
    <t>3555</t>
  </si>
  <si>
    <t>02705056</t>
  </si>
  <si>
    <t>7900405</t>
  </si>
  <si>
    <t>1900</t>
  </si>
  <si>
    <t>60050</t>
  </si>
  <si>
    <t>2850405</t>
  </si>
  <si>
    <t>37305</t>
  </si>
  <si>
    <t>SIL040526</t>
  </si>
  <si>
    <t>955675</t>
  </si>
  <si>
    <t>NIS0505</t>
  </si>
  <si>
    <t>39839</t>
  </si>
  <si>
    <t>33325</t>
  </si>
  <si>
    <t>CET050526</t>
  </si>
  <si>
    <t>MAI2026</t>
  </si>
  <si>
    <t>MAIO2026</t>
  </si>
  <si>
    <t>23960505</t>
  </si>
  <si>
    <t>SANT0505</t>
  </si>
  <si>
    <t>8690505</t>
  </si>
  <si>
    <t>0790505</t>
  </si>
  <si>
    <t>SILV0605</t>
  </si>
  <si>
    <t>12194</t>
  </si>
  <si>
    <t>12195</t>
  </si>
  <si>
    <t>GES060526</t>
  </si>
  <si>
    <t>65381</t>
  </si>
  <si>
    <t>NIS0605A</t>
  </si>
  <si>
    <t>NIS0605B</t>
  </si>
  <si>
    <t>25099</t>
  </si>
  <si>
    <t>CET 06052</t>
  </si>
  <si>
    <t>12012</t>
  </si>
  <si>
    <t>PGTO0526</t>
  </si>
  <si>
    <t>8347</t>
  </si>
  <si>
    <t>3673088</t>
  </si>
  <si>
    <t>FRATELLI</t>
  </si>
  <si>
    <t>EDICLEIA HATSUE NAKAHARA TOMIOKA</t>
  </si>
  <si>
    <t>4966</t>
  </si>
  <si>
    <t>1643383</t>
  </si>
  <si>
    <t>TRABALHO</t>
  </si>
  <si>
    <t>CAR547676</t>
  </si>
  <si>
    <t>MAGDA SORAYA DE CAMPOS</t>
  </si>
  <si>
    <t>PGT0526</t>
  </si>
  <si>
    <t>ERICK KELLER RAMOS BECK</t>
  </si>
  <si>
    <t>PGTO05202</t>
  </si>
  <si>
    <t>1580605</t>
  </si>
  <si>
    <t>GLEYSON TRAVAGIM</t>
  </si>
  <si>
    <t>KAUAN VITOR DE OLIVEIRA JACYNTHO</t>
  </si>
  <si>
    <t>0790605</t>
  </si>
  <si>
    <t>PENSÃ0526</t>
  </si>
  <si>
    <t>43113</t>
  </si>
  <si>
    <t>FRETELLI</t>
  </si>
  <si>
    <t>REGINALDO PEREIRA PORTO</t>
  </si>
  <si>
    <t>REGIANE DE BRITO SILVA</t>
  </si>
  <si>
    <t>345329</t>
  </si>
  <si>
    <t>8303540</t>
  </si>
  <si>
    <t>PET0705</t>
  </si>
  <si>
    <t>958447</t>
  </si>
  <si>
    <t>SP010526</t>
  </si>
  <si>
    <t>BRASIL SUL ENCOMENDAS RAPIDAS LTDA - SCP</t>
  </si>
  <si>
    <t>CAR010526</t>
  </si>
  <si>
    <t>IRMAOS MUFFATO S.A</t>
  </si>
  <si>
    <t>8303538</t>
  </si>
  <si>
    <t>141256</t>
  </si>
  <si>
    <t>P.P.A INDUSTRIA E COMERCIO LTDA</t>
  </si>
  <si>
    <t>65867</t>
  </si>
  <si>
    <t>KATO51704</t>
  </si>
  <si>
    <t>LONAS BORIM</t>
  </si>
  <si>
    <t>8303539</t>
  </si>
  <si>
    <t>32209</t>
  </si>
  <si>
    <t>ENGENHARI</t>
  </si>
  <si>
    <t xml:space="preserve">GOOGLE PLAY </t>
  </si>
  <si>
    <t>12726</t>
  </si>
  <si>
    <t>EMP0605</t>
  </si>
  <si>
    <t>FM3004</t>
  </si>
  <si>
    <t>POL3004</t>
  </si>
  <si>
    <t>102493</t>
  </si>
  <si>
    <t>70084</t>
  </si>
  <si>
    <t>CET070526</t>
  </si>
  <si>
    <t>47541</t>
  </si>
  <si>
    <t>39952</t>
  </si>
  <si>
    <t>65975</t>
  </si>
  <si>
    <t>66612</t>
  </si>
  <si>
    <t>4867</t>
  </si>
  <si>
    <t>GAMA CONCEPT COM. DE MOVEIS E DECORAÇÕES LTDA</t>
  </si>
  <si>
    <t>203805</t>
  </si>
  <si>
    <t>SILV0405</t>
  </si>
  <si>
    <t>SILVI0505</t>
  </si>
  <si>
    <t>66426</t>
  </si>
  <si>
    <t>21516</t>
  </si>
  <si>
    <t>66427</t>
  </si>
  <si>
    <t>N00262650</t>
  </si>
  <si>
    <t>21515</t>
  </si>
  <si>
    <t>11955</t>
  </si>
  <si>
    <t>11956</t>
  </si>
  <si>
    <t>81012</t>
  </si>
  <si>
    <t>38299</t>
  </si>
  <si>
    <t>CHHILUX</t>
  </si>
  <si>
    <t>PRIM0326M</t>
  </si>
  <si>
    <t>18170705</t>
  </si>
  <si>
    <t>2730805</t>
  </si>
  <si>
    <t>2370705</t>
  </si>
  <si>
    <t>2850805</t>
  </si>
  <si>
    <t>0800805</t>
  </si>
  <si>
    <t>4740705</t>
  </si>
  <si>
    <t>16-30AB26</t>
  </si>
  <si>
    <t>SHOPPEE</t>
  </si>
  <si>
    <t>016-30AB2</t>
  </si>
  <si>
    <t xml:space="preserve">PISTÃO </t>
  </si>
  <si>
    <t>FABIO NUNES MACHADO</t>
  </si>
  <si>
    <t>DIFER0526</t>
  </si>
  <si>
    <t>ANDREIA</t>
  </si>
  <si>
    <t>DARCILIA GASPAROTTO 61522694900</t>
  </si>
  <si>
    <t>175226</t>
  </si>
  <si>
    <t>LICENC042</t>
  </si>
  <si>
    <t>115626</t>
  </si>
  <si>
    <t>BARREIRENSE PRODUTOS DE PETROLEO LTDA</t>
  </si>
  <si>
    <t>ICMS0526</t>
  </si>
  <si>
    <t>COFI 0526</t>
  </si>
  <si>
    <t>PIS 0526</t>
  </si>
  <si>
    <t>IPI 0526</t>
  </si>
  <si>
    <t>RETEN0526</t>
  </si>
  <si>
    <t>DAS 0526</t>
  </si>
  <si>
    <t>ICMS0526A</t>
  </si>
  <si>
    <t>ICMS0526D</t>
  </si>
  <si>
    <t>11377</t>
  </si>
  <si>
    <t>SODA0405</t>
  </si>
  <si>
    <t>80873</t>
  </si>
  <si>
    <t>80872</t>
  </si>
  <si>
    <t>SODA3004</t>
  </si>
  <si>
    <t>27331</t>
  </si>
  <si>
    <t>11580</t>
  </si>
  <si>
    <t>11581</t>
  </si>
  <si>
    <t>NIS3004A</t>
  </si>
  <si>
    <t>GIL0805</t>
  </si>
  <si>
    <t>GIL0805A</t>
  </si>
  <si>
    <t>BATA0805A</t>
  </si>
  <si>
    <t>BATA0805B</t>
  </si>
  <si>
    <t>2370805</t>
  </si>
  <si>
    <t>5481105</t>
  </si>
  <si>
    <t>FUN0405</t>
  </si>
  <si>
    <t>F. I FELIPE - ME</t>
  </si>
  <si>
    <t>38651105</t>
  </si>
  <si>
    <t>1494882</t>
  </si>
  <si>
    <t>680</t>
  </si>
  <si>
    <t>0950805</t>
  </si>
  <si>
    <t>ASSISTENC</t>
  </si>
  <si>
    <t>G M DA SILVA LTDA</t>
  </si>
  <si>
    <t>VANDE0605</t>
  </si>
  <si>
    <t>81055</t>
  </si>
  <si>
    <t>81056</t>
  </si>
  <si>
    <t>NETO0705</t>
  </si>
  <si>
    <t>81244</t>
  </si>
  <si>
    <t>LEAN0805</t>
  </si>
  <si>
    <t>81323</t>
  </si>
  <si>
    <t>745890</t>
  </si>
  <si>
    <t>340384</t>
  </si>
  <si>
    <t>745891</t>
  </si>
  <si>
    <t>01-30AB26</t>
  </si>
  <si>
    <t>CHOQUE ARQUITETURA E DESIGN LTDA</t>
  </si>
  <si>
    <t>RAMON FRANCISCO ZANCANARO ME</t>
  </si>
  <si>
    <t>01-30AB29</t>
  </si>
  <si>
    <t>876</t>
  </si>
  <si>
    <t>ALFZ COMERCIO DE BALANCAS ltda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</si>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</sst>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mmm\-yy"/>
    <numFmt numFmtId="165" formatCode="0.0%"/>
    <numFmt numFmtId="166" formatCode="_(* #,##0_);_(* \(#,##0\);_(* &quot;-&quot;_);_(@_)"/>
    <numFmt numFmtId="167" formatCode="0.0%;\-0.0%;\-"/>
    <numFmt numFmtId="168" formatCode="_-* #,##0_-;\-* #,##0_-;_-* &quot;-&quot;??_-;_-@_-"/>
    <numFmt numFmtId="169" formatCode="[$-416]mmm\-yy;@"/>
    <numFmt numFmtId="170" formatCode="0.00%;\-0.00%;\-"/>
    <numFmt numFmtId="171" formatCode="0%;\-0%;\-"/>
    <numFmt numFmtId="172" formatCode="&quot;R$&quot;\ 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" fillId="0" borderId="0">
      <alignment vertical="top"/>
    </xf>
  </cellStyleXfs>
  <cellXfs count="79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6" fontId="0" fillId="0" borderId="0" xfId="0" applyNumberFormat="1"/>
    <xf numFmtId="166" fontId="2" fillId="0" borderId="1" xfId="0" applyNumberFormat="1" applyFont="1" applyBorder="1"/>
    <xf numFmtId="166" fontId="2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167" fontId="2" fillId="0" borderId="1" xfId="1" applyNumberFormat="1" applyFont="1" applyBorder="1" applyAlignment="1">
      <alignment horizontal="center"/>
    </xf>
    <xf numFmtId="167" fontId="0" fillId="0" borderId="0" xfId="1" applyNumberFormat="1" applyFont="1" applyAlignment="1">
      <alignment horizontal="center"/>
    </xf>
    <xf numFmtId="167" fontId="2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Continuous"/>
    </xf>
    <xf numFmtId="169" fontId="5" fillId="0" borderId="0" xfId="0" applyNumberFormat="1" applyFont="1" applyAlignment="1">
      <alignment vertical="center"/>
    </xf>
    <xf numFmtId="43" fontId="2" fillId="0" borderId="0" xfId="2" applyFont="1" applyAlignment="1">
      <alignment horizontal="center"/>
    </xf>
    <xf numFmtId="10" fontId="2" fillId="0" borderId="0" xfId="1" applyNumberFormat="1" applyFont="1" applyAlignment="1">
      <alignment horizontal="center"/>
    </xf>
    <xf numFmtId="168" fontId="1" fillId="0" borderId="0" xfId="2" applyNumberFormat="1" applyFont="1" applyAlignment="1">
      <alignment horizontal="center"/>
    </xf>
    <xf numFmtId="43" fontId="1" fillId="0" borderId="0" xfId="2" applyFont="1" applyAlignment="1">
      <alignment horizontal="center"/>
    </xf>
    <xf numFmtId="167" fontId="1" fillId="0" borderId="0" xfId="1" applyNumberFormat="1" applyFont="1" applyAlignment="1">
      <alignment horizontal="center"/>
    </xf>
    <xf numFmtId="10" fontId="1" fillId="0" borderId="0" xfId="1" applyNumberFormat="1" applyFont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43" fontId="1" fillId="0" borderId="0" xfId="2" applyFont="1" applyBorder="1" applyAlignment="1">
      <alignment horizontal="center"/>
    </xf>
    <xf numFmtId="167" fontId="1" fillId="0" borderId="0" xfId="1" applyNumberFormat="1" applyFont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43" fontId="2" fillId="0" borderId="0" xfId="2" applyFont="1" applyAlignment="1">
      <alignment horizontal="right"/>
    </xf>
    <xf numFmtId="10" fontId="2" fillId="0" borderId="0" xfId="1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0" fontId="6" fillId="0" borderId="0" xfId="0" applyFont="1" applyAlignment="1">
      <alignment horizontal="center"/>
    </xf>
    <xf numFmtId="170" fontId="0" fillId="0" borderId="0" xfId="1" applyNumberFormat="1" applyFont="1" applyAlignment="1">
      <alignment horizontal="center"/>
    </xf>
    <xf numFmtId="170" fontId="2" fillId="0" borderId="0" xfId="1" applyNumberFormat="1" applyFont="1" applyAlignment="1">
      <alignment horizontal="center"/>
    </xf>
    <xf numFmtId="170" fontId="1" fillId="0" borderId="0" xfId="2" applyNumberFormat="1" applyFont="1" applyAlignment="1">
      <alignment horizontal="center"/>
    </xf>
    <xf numFmtId="170" fontId="1" fillId="0" borderId="0" xfId="1" applyNumberFormat="1" applyFont="1" applyAlignment="1">
      <alignment horizontal="center"/>
    </xf>
    <xf numFmtId="170" fontId="2" fillId="0" borderId="1" xfId="1" applyNumberFormat="1" applyFont="1" applyBorder="1" applyAlignment="1">
      <alignment horizontal="center"/>
    </xf>
    <xf numFmtId="10" fontId="0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centerContinuous"/>
    </xf>
    <xf numFmtId="169" fontId="2" fillId="0" borderId="0" xfId="0" applyNumberFormat="1" applyFont="1" applyAlignment="1">
      <alignment horizontal="centerContinuous" vertical="center"/>
    </xf>
    <xf numFmtId="9" fontId="2" fillId="0" borderId="0" xfId="1" applyFont="1" applyAlignment="1">
      <alignment horizontal="center"/>
    </xf>
    <xf numFmtId="9" fontId="1" fillId="0" borderId="0" xfId="1" applyFont="1" applyAlignment="1">
      <alignment horizontal="center"/>
    </xf>
    <xf numFmtId="166" fontId="0" fillId="2" borderId="0" xfId="0" applyNumberFormat="1" applyFill="1"/>
    <xf numFmtId="3" fontId="2" fillId="0" borderId="1" xfId="1" applyNumberFormat="1" applyFont="1" applyBorder="1" applyAlignment="1">
      <alignment horizontal="center"/>
    </xf>
    <xf numFmtId="3" fontId="2" fillId="0" borderId="0" xfId="1" applyNumberFormat="1" applyFont="1" applyAlignment="1">
      <alignment horizontal="center"/>
    </xf>
    <xf numFmtId="171" fontId="2" fillId="0" borderId="1" xfId="1" applyNumberFormat="1" applyFont="1" applyBorder="1" applyAlignment="1">
      <alignment horizontal="center"/>
    </xf>
    <xf numFmtId="166" fontId="0" fillId="4" borderId="0" xfId="0" applyNumberFormat="1" applyFill="1"/>
    <xf numFmtId="166" fontId="2" fillId="4" borderId="0" xfId="0" applyNumberFormat="1" applyFont="1" applyFill="1"/>
    <xf numFmtId="0" fontId="8" fillId="0" borderId="0" xfId="4" applyFont="1" applyProtection="1">
      <alignment vertical="top"/>
      <protection locked="0"/>
    </xf>
    <xf numFmtId="0" fontId="7" fillId="0" borderId="0" xfId="4" applyProtection="1">
      <alignment vertical="top"/>
      <protection locked="0"/>
    </xf>
    <xf numFmtId="0" fontId="10" fillId="0" borderId="0" xfId="4" applyFont="1" applyProtection="1">
      <alignment vertical="top"/>
      <protection locked="0"/>
    </xf>
    <xf numFmtId="0" fontId="8" fillId="6" borderId="0" xfId="4" applyFont="1" applyFill="1" applyProtection="1">
      <alignment vertical="top"/>
      <protection locked="0"/>
    </xf>
    <xf numFmtId="0" fontId="11" fillId="0" borderId="0" xfId="4" applyFont="1">
      <alignment vertical="top"/>
    </xf>
    <xf numFmtId="0" fontId="9" fillId="7" borderId="0" xfId="4" applyFont="1" applyFill="1" applyProtection="1">
      <alignment vertical="top"/>
      <protection locked="0"/>
    </xf>
    <xf numFmtId="0" fontId="12" fillId="0" borderId="0" xfId="4" applyFont="1" applyAlignment="1" applyProtection="1">
      <alignment horizontal="center" vertical="center"/>
      <protection locked="0"/>
    </xf>
    <xf numFmtId="0" fontId="7" fillId="0" borderId="3" xfId="4" applyBorder="1" applyProtection="1">
      <alignment vertical="top"/>
      <protection locked="0"/>
    </xf>
    <xf numFmtId="0" fontId="13" fillId="0" borderId="3" xfId="4" applyFont="1" applyBorder="1" applyProtection="1">
      <alignment vertical="top"/>
      <protection locked="0"/>
    </xf>
    <xf numFmtId="0" fontId="14" fillId="0" borderId="3" xfId="4" applyFont="1" applyBorder="1" applyAlignment="1">
      <alignment horizontal="left" vertical="top" indent="2"/>
    </xf>
    <xf numFmtId="0" fontId="12" fillId="0" borderId="3" xfId="4" applyFont="1" applyBorder="1" applyProtection="1">
      <alignment vertical="top"/>
      <protection locked="0"/>
    </xf>
    <xf numFmtId="14" fontId="0" fillId="0" borderId="0" xfId="0" applyNumberFormat="1"/>
    <xf numFmtId="0" fontId="8" fillId="0" borderId="0" xfId="0" applyFont="1" applyAlignment="1">
      <alignment horizontal="left"/>
    </xf>
    <xf numFmtId="172" fontId="8" fillId="0" borderId="0" xfId="0" applyNumberFormat="1" applyFont="1"/>
    <xf numFmtId="0" fontId="8" fillId="0" borderId="0" xfId="0" applyFont="1" applyAlignment="1">
      <alignment horizontal="left" indent="1"/>
    </xf>
    <xf numFmtId="0" fontId="15" fillId="0" borderId="0" xfId="0" pivotButton="1" applyFont="1"/>
    <xf numFmtId="0" fontId="15" fillId="0" borderId="0" xfId="0" applyFont="1"/>
    <xf numFmtId="0" fontId="15" fillId="0" borderId="0" xfId="0" applyFont="1" applyAlignment="1">
      <alignment horizontal="left"/>
    </xf>
    <xf numFmtId="172" fontId="15" fillId="0" borderId="0" xfId="0" applyNumberFormat="1" applyFont="1"/>
    <xf numFmtId="169" fontId="2" fillId="0" borderId="0" xfId="0" applyNumberFormat="1" applyFont="1" applyAlignment="1">
      <alignment horizontal="center" vertical="center"/>
    </xf>
    <xf numFmtId="169" fontId="2" fillId="3" borderId="0" xfId="0" applyNumberFormat="1" applyFont="1" applyFill="1" applyAlignment="1">
      <alignment horizontal="center" vertical="center"/>
    </xf>
    <xf numFmtId="0" fontId="7" fillId="0" borderId="0" xfId="4" applyFill="1" applyProtection="1">
      <alignment vertical="top"/>
      <protection locked="0"/>
    </xf>
    <xf numFmtId="0" fontId="7" fillId="0" borderId="0" xfId="4" applyNumberFormat="1" applyFill="1" applyProtection="1">
      <alignment vertical="top"/>
      <protection locked="0"/>
    </xf>
    <xf numFmtId="14" fontId="7" fillId="0" borderId="0" xfId="4" applyNumberFormat="1" applyFill="1" applyProtection="1">
      <alignment vertical="top"/>
      <protection locked="0"/>
    </xf>
    <xf numFmtId="0" fontId="8" fillId="5" borderId="0" xfId="4" applyNumberFormat="1" applyFont="1" applyFill="1" applyProtection="1">
      <alignment vertical="top"/>
      <protection locked="0"/>
    </xf>
    <xf numFmtId="0" fontId="8" fillId="0" borderId="0" xfId="0" applyFont="1"/>
  </cellXfs>
  <cellStyles count="5">
    <cellStyle name="Normal" xfId="0" builtinId="0"/>
    <cellStyle name="Normal 2" xfId="4" xr:uid="{F4B4FE1B-DB8B-44A8-8017-1E1BD151E9B5}"/>
    <cellStyle name="Normal 7" xfId="3" xr:uid="{FD4868E7-5440-4529-AF98-C94D08748BC4}"/>
    <cellStyle name="Porcentagem" xfId="1" builtinId="5"/>
    <cellStyle name="Vírgula" xfId="2" builtinId="3"/>
  </cellStyles>
  <dxfs count="83"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indexed="8"/>
        <family val="2"/>
      </font>
    </dxf>
    <dxf>
      <font>
        <color indexed="8"/>
        <family val="2"/>
      </font>
    </dxf>
    <dxf>
      <font>
        <color indexed="8"/>
        <family val="2"/>
      </font>
    </dxf>
    <dxf>
      <font>
        <color indexed="8"/>
        <family val="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sz val="10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protection locked="0" hidden="0"/>
    </dxf>
    <dxf>
      <font>
        <sz val="10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protection locked="0" hidden="0"/>
    </dxf>
    <dxf>
      <font>
        <sz val="10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protection locked="0" hidden="0"/>
    </dxf>
    <dxf>
      <font>
        <sz val="10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protection locked="0" hidden="0"/>
    </dxf>
    <dxf>
      <font>
        <sz val="10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protection locked="0" hidden="0"/>
    </dxf>
    <dxf>
      <font>
        <sz val="10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rgb="FF92D050"/>
        </patternFill>
      </fill>
      <protection locked="0" hidden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indexed="8"/>
        <family val="2"/>
      </font>
    </dxf>
    <dxf>
      <font>
        <color indexed="8"/>
        <family val="2"/>
      </font>
    </dxf>
    <dxf>
      <font>
        <color indexed="8"/>
        <family val="2"/>
      </font>
    </dxf>
    <dxf>
      <font>
        <color indexed="8"/>
        <family val="2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Kato" refreshedDate="46153.579187847223" createdVersion="8" refreshedVersion="8" minRefreshableVersion="3" recordCount="4125" xr:uid="{42938B67-1965-45F5-8EF7-DB19E9FABAEF}">
  <cacheSource type="worksheet">
    <worksheetSource name="DESPESAS"/>
  </cacheSource>
  <cacheFields count="15">
    <cacheField name="Cód." numFmtId="0">
      <sharedItems containsSemiMixedTypes="0" containsString="0" containsNumber="1" containsInteger="1" minValue="53592" maxValue="201601"/>
    </cacheField>
    <cacheField name="Emp" numFmtId="0">
      <sharedItems/>
    </cacheField>
    <cacheField name="Nro Doc." numFmtId="0">
      <sharedItems/>
    </cacheField>
    <cacheField name="Dt. Entrada" numFmtId="14">
      <sharedItems containsSemiMixedTypes="0" containsNonDate="0" containsDate="1" containsString="0" minDate="2026-01-01T00:00:00" maxDate="2026-05-12T00:00:00" count="120">
        <d v="2026-01-30T00:00:00"/>
        <d v="2026-01-31T00:00:00"/>
        <d v="2026-02-09T00:00:00"/>
        <d v="2026-02-12T00:00:00"/>
        <d v="2026-02-27T00:00:00"/>
        <d v="2026-03-06T00:00:00"/>
        <d v="2026-03-30T00:00:00"/>
        <d v="2026-03-31T00:00:00"/>
        <d v="2026-04-29T00:00:00"/>
        <d v="2026-04-30T00:00:00"/>
        <d v="2026-05-07T00:00:00"/>
        <d v="2026-01-23T00:00:00"/>
        <d v="2026-02-23T00:00:00"/>
        <d v="2026-03-23T00:00:00"/>
        <d v="2026-04-23T00:00:00"/>
        <d v="2026-01-10T00:00:00"/>
        <d v="2026-02-10T00:00:00"/>
        <d v="2026-03-10T00:00:00"/>
        <d v="2026-04-10T00:00:00"/>
        <d v="2026-05-10T00:00:00"/>
        <d v="2026-01-05T00:00:00"/>
        <d v="2026-01-15T00:00:00"/>
        <d v="2026-02-06T00:00:00"/>
        <d v="2026-03-07T00:00:00"/>
        <d v="2026-04-07T00:00:00"/>
        <d v="2026-05-05T00:00:00"/>
        <d v="2026-01-18T00:00:00"/>
        <d v="2026-01-25T00:00:00"/>
        <d v="2026-02-25T00:00:00"/>
        <d v="2026-03-25T00:00:00"/>
        <d v="2026-02-28T00:00:00"/>
        <d v="2026-01-13T00:00:00"/>
        <d v="2026-02-13T00:00:00"/>
        <d v="2026-03-13T00:00:00"/>
        <d v="2026-04-13T00:00:00"/>
        <d v="2026-01-03T00:00:00"/>
        <d v="2026-02-03T00:00:00"/>
        <d v="2026-03-03T00:00:00"/>
        <d v="2026-04-03T00:00:00"/>
        <d v="2026-05-03T00:00:00"/>
        <d v="2026-01-04T00:00:00"/>
        <d v="2026-02-04T00:00:00"/>
        <d v="2026-03-04T00:00:00"/>
        <d v="2026-04-04T00:00:00"/>
        <d v="2026-05-04T00:00:00"/>
        <d v="2026-02-15T00:00:00"/>
        <d v="2026-03-15T00:00:00"/>
        <d v="2026-04-15T00:00:00"/>
        <d v="2026-01-17T00:00:00"/>
        <d v="2026-02-17T00:00:00"/>
        <d v="2026-03-17T00:00:00"/>
        <d v="2026-04-17T00:00:00"/>
        <d v="2026-01-12T00:00:00"/>
        <d v="2026-03-12T00:00:00"/>
        <d v="2026-01-21T00:00:00"/>
        <d v="2026-02-21T00:00:00"/>
        <d v="2026-03-21T00:00:00"/>
        <d v="2026-04-21T00:00:00"/>
        <d v="2026-01-01T00:00:00"/>
        <d v="2026-02-05T00:00:00"/>
        <d v="2026-03-05T00:00:00"/>
        <d v="2026-01-08T00:00:00"/>
        <d v="2026-01-02T00:00:00"/>
        <d v="2026-01-06T00:00:00"/>
        <d v="2026-01-07T00:00:00"/>
        <d v="2026-01-14T00:00:00"/>
        <d v="2026-03-01T00:00:00"/>
        <d v="2026-04-01T00:00:00"/>
        <d v="2026-05-01T00:00:00"/>
        <d v="2026-01-09T00:00:00"/>
        <d v="2026-01-16T00:00:00"/>
        <d v="2026-03-09T00:00:00"/>
        <d v="2026-04-09T00:00:00"/>
        <d v="2026-05-11T00:00:00"/>
        <d v="2026-02-01T00:00:00"/>
        <d v="2026-01-26T00:00:00"/>
        <d v="2026-01-20T00:00:00"/>
        <d v="2026-02-20T00:00:00"/>
        <d v="2026-03-20T00:00:00"/>
        <d v="2026-04-20T00:00:00"/>
        <d v="2026-02-11T00:00:00"/>
        <d v="2026-03-11T00:00:00"/>
        <d v="2026-02-16T00:00:00"/>
        <d v="2026-03-16T00:00:00"/>
        <d v="2026-04-16T00:00:00"/>
        <d v="2026-02-08T00:00:00"/>
        <d v="2026-03-08T00:00:00"/>
        <d v="2026-04-08T00:00:00"/>
        <d v="2026-01-19T00:00:00"/>
        <d v="2026-01-27T00:00:00"/>
        <d v="2026-01-22T00:00:00"/>
        <d v="2026-04-25T00:00:00"/>
        <d v="2026-01-24T00:00:00"/>
        <d v="2026-04-05T00:00:00"/>
        <d v="2026-01-28T00:00:00"/>
        <d v="2026-01-29T00:00:00"/>
        <d v="2026-02-22T00:00:00"/>
        <d v="2026-02-02T00:00:00"/>
        <d v="2026-02-18T00:00:00"/>
        <d v="2026-02-19T00:00:00"/>
        <d v="2026-02-24T00:00:00"/>
        <d v="2026-02-26T00:00:00"/>
        <d v="2026-03-02T00:00:00"/>
        <d v="2026-04-12T00:00:00"/>
        <d v="2026-02-14T00:00:00"/>
        <d v="2026-03-18T00:00:00"/>
        <d v="2026-03-19T00:00:00"/>
        <d v="2026-03-24T00:00:00"/>
        <d v="2026-03-26T00:00:00"/>
        <d v="2026-03-27T00:00:00"/>
        <d v="2026-04-06T00:00:00"/>
        <d v="2026-03-28T00:00:00"/>
        <d v="2026-04-02T00:00:00"/>
        <d v="2026-04-14T00:00:00"/>
        <d v="2026-05-06T00:00:00"/>
        <d v="2026-04-22T00:00:00"/>
        <d v="2026-04-24T00:00:00"/>
        <d v="2026-04-27T00:00:00"/>
        <d v="2026-04-28T00:00:00"/>
        <d v="2026-05-08T00:00:00"/>
      </sharedItems>
      <fieldGroup par="14"/>
    </cacheField>
    <cacheField name="Fornecedor" numFmtId="0">
      <sharedItems/>
    </cacheField>
    <cacheField name="Vlr Despesa" numFmtId="0">
      <sharedItems containsSemiMixedTypes="0" containsString="0" containsNumber="1" minValue="0.04" maxValue="180754.29"/>
    </cacheField>
    <cacheField name="Plano de Contas" numFmtId="0">
      <sharedItems count="103">
        <s v="3.4.2.1 - Compras"/>
        <s v="3.4.2.6 - Compras - Pés/Mecanismos/Bases"/>
        <s v="2.9.6 - Impostos a recolher"/>
        <s v="1.3.5 - Consórcios"/>
        <s v="3.5.4.1 - Contabilidade"/>
        <s v="3.5.3.10 - Seguros Veicular"/>
        <s v="3.5.4.2 - Consultoria Empresarial"/>
        <s v="3.4.3.4 - Salarios e Ordenados MOD"/>
        <s v="3.5.3.4 - Telefone e Internet"/>
        <s v="1.3.1 - Maquinas e Equipamentos"/>
        <s v="3.5.3.2 - Água"/>
        <s v="3.5.1.21 - Desenvolvimento de Novos Produtos"/>
        <s v="3.5.4.5 - Sistemas de Informação"/>
        <s v="1.3.3 - Computadores e Periféricos"/>
        <s v="3.5.1.11 - Feiras e Eventos"/>
        <s v="3.5.2.1 - Pró-Labore"/>
        <s v="3.5.2.16 - Confraternização"/>
        <s v="3.7.2.1 - Despesas de Outros Gastos Não Operacionais"/>
        <s v="3.5.2.2 - Salarios e Ordenados (Adm)"/>
        <s v="3.5.3.12 - Rastreamento de frota"/>
        <s v="3.5.2.15 - Cursos e Treinamentos (Adm)"/>
        <s v="3.5.3.15 - Doações"/>
        <s v="3.5.4.4 - Curadoria"/>
        <s v="3.5.1.16 - Consultoria Comercial"/>
        <s v="3.5.2.14 - Manutenção Predial (Adm)"/>
        <s v="1.3.4 - Construções e Reformas"/>
        <s v="3.5.4.7 - Outros Serviços de Terceiros"/>
        <s v="3.6.2.1 - Despesas Bancarias"/>
        <s v="3.6.2.4 - Despesas de Cobranca"/>
        <s v="3.6.2.2 - Juros Pagos - Antecipação de Crédito"/>
        <s v="3.4.4.1 - Manutenção de Equipamentos (Prod)"/>
        <s v="3.5.1.6 - Manutenção com veiculos "/>
        <s v="3.5.4.6 - Vigilancia e Seguranca"/>
        <s v="3.5.3.3 - Energia Eletrica (Adm)"/>
        <s v="3.5.1.19 - Mostruário de Tecido"/>
        <s v="3.4.4.14 - Cursos e Treinamentos CIF"/>
        <s v="3.4.3.1 - Energia Eletrica (Prod)"/>
        <s v="3.5.1.2 - Combustiveis Frota"/>
        <s v="3.4.3.2 - Material de Expediente (Prod)"/>
        <s v="3.5.1.5 - Multas de Trânsito"/>
        <s v="3.4.3.3 - EPIs/Uniformes (Prod)"/>
        <s v="3.5.1.8 - Fretes Karams"/>
        <s v="3.5.1.3 - Pedágio Frota"/>
        <s v="3.5.3.11 - Combustíveis (Adm)"/>
        <s v="3.4.4.15 - Material de Limpeza CIF"/>
        <s v="3.5.3.6 - Material de Limpeza (Adm)"/>
        <s v="3.4.4.16 - Manutenção Predial CIF"/>
        <s v="3.5.1.15 - Comissões sobre Vendas Externo"/>
        <s v="3.4.2.2 - Frete sobre Compras"/>
        <s v="3.5.1.4 - IPVA e Licenciamento"/>
        <s v="3.5.1.20 - Publicidade e Propaganda"/>
        <s v="3.5.3.7 - Copa"/>
        <s v="3.5.3.5 - Material de Expediente (Adm)"/>
        <s v="3.5.1.14 - Comissões sobre Vendas Interno"/>
        <s v="3.5.1.13 - Viagens e Estadias c/ Vendas"/>
        <s v="3.7.2.6 - Insumos de Clientes"/>
        <s v="3.5.2.10 - Seguro de Vida (Adm)"/>
        <s v="3.4.4.9 - Seguro de Vida CIF"/>
        <s v="3.4.3.10 - Seguro de Vida MOD"/>
        <s v="3.5.2.6 - Gratificações (Adm)"/>
        <s v="3.4.3.7 - Gratificacoes MOD"/>
        <s v="3.4.4.3 - Salarios e Ordenados CIF"/>
        <s v="3.4.4.6 - Gratificações CIF"/>
        <s v="3.5.1.12 - Brindes"/>
        <s v="3.5.3.14 - Alimentação"/>
        <s v="3.5.1.10 - Fretes Ass. Técnica"/>
        <s v="3.4.4.4 - Horas Extras CIF"/>
        <s v="3.5.2.11 - INSS (Adm)"/>
        <s v="3.5.3.1 - Aluguel de Imóvel"/>
        <s v="3.5.3.9 - Despesas Cartorárias"/>
        <s v="3.4.4.13 - Medicina e Seguranca do Trabalho CIF"/>
        <s v="3.5.2.8 - Rescisões (Adm)"/>
        <s v="3.4.3.13 - Férias MOD"/>
        <s v="3.4.3.9 - Assistência Médica MOD"/>
        <s v="3.5.3.8 - SPC/Serasa/Associacao"/>
        <s v="3.4.4.19 - Remessa de Industrialização"/>
        <s v="3.5.4.3 - Consultoria Juridica"/>
        <s v="3.5.1.18 - Royalties"/>
        <s v="3.5.1.1 - Carregamento"/>
        <s v="3.5.2.12 - FGTS (Adm)"/>
        <s v="3.4.4.10 - FGTS CIF"/>
        <s v="3.4.3.11 - FGTS MOD"/>
        <s v="3.4.4.11 - INSS CIF"/>
        <s v="3.4.3.12 - INSS MOD"/>
        <s v="3.5.1.7 - Fretes"/>
        <s v="3.3.2 - ICMS"/>
        <s v="3.3.7 - IPI"/>
        <s v="3.3.8 - Outros Impostos"/>
        <s v="3.3.1 - Simples Nacional"/>
        <s v="3.5.2.9 - Assistência Médica (Adm)"/>
        <s v="3.6.2.3 - Juros Pagos"/>
        <s v="3.5.2.5 - Ferias (Adm)"/>
        <s v="3.4.3.8 - Rescisões MOD"/>
        <s v="3.4.3.14 - Medicina e Segurança do Trabalho MOD"/>
        <s v="3.3.3 - PIS"/>
        <s v="3.3.4 - COFINS"/>
        <s v="3.4.4.12 - Férias CIF"/>
        <s v="3.5.4.8 - Consultoria Tributaria"/>
        <s v="1.3.2 - Moveis e Utensilios"/>
        <s v="3.4.4.8 - Assistência Médica CIF"/>
        <s v="3.4.4.17 - IPTU e Taxas Municipais CIF"/>
        <s v="3.4.4.7 - Rescisões CIF"/>
        <s v="3.5.2.7 - EPIs/Uniformes (Adm)"/>
      </sharedItems>
    </cacheField>
    <cacheField name="Conta" numFmtId="0">
      <sharedItems count="103">
        <s v="Compras"/>
        <s v="Compras - Pés/Mecanismos/Bases"/>
        <s v="Impostos a recolher"/>
        <s v="Consórcios"/>
        <s v="Contabilidade"/>
        <s v="Seguros Veicular"/>
        <s v="Consultoria Empresarial"/>
        <s v="Salarios e Ordenados MOD"/>
        <s v="Telefone e Internet"/>
        <s v="Maquinas e Equipamentos"/>
        <s v="Água"/>
        <s v="Desenvolvimento de Novos Produtos"/>
        <s v="Sistemas de Informação"/>
        <s v="Computadores e Periféricos"/>
        <s v="Feiras e Eventos"/>
        <s v="Pró-Labore"/>
        <s v="Confraternização"/>
        <s v="Despesas de Outros Gastos Não Operacionais"/>
        <s v="Salarios e Ordenados (Adm)"/>
        <s v="Rastreamento de frota"/>
        <s v="Cursos e Treinamentos (Adm)"/>
        <s v="Doações"/>
        <s v="Curadoria"/>
        <s v="Consultoria Comercial"/>
        <s v="Manutenção Predial (Adm)"/>
        <s v="Construções e Reformas"/>
        <s v="Outros Serviços de Terceiros"/>
        <s v="Despesas Bancarias"/>
        <s v="Despesas de Cobranca"/>
        <s v="Juros Pagos - Antecipação de Crédito"/>
        <s v="Manutenção de Equipamentos (Prod)"/>
        <s v="Manutenção com veiculos"/>
        <s v="Vigilancia e Seguranca"/>
        <s v="Energia Eletrica (Adm)"/>
        <s v="Mostruário de Tecido"/>
        <s v="Cursos e Treinamentos CIF"/>
        <s v="Energia Eletrica (Prod)"/>
        <s v="Combustiveis Frota"/>
        <s v="Material de Expediente (Prod)"/>
        <s v="Multas de Trânsito"/>
        <s v="EPIs/Uniformes (Prod)"/>
        <s v="Fretes Karams"/>
        <s v="Pedágio Frota"/>
        <s v="Combustíveis (Adm)"/>
        <s v="Material de Limpeza CIF"/>
        <s v="Material de Limpeza (Adm)"/>
        <s v="Manutenção Predial CIF"/>
        <s v="Comissões sobre Vendas Externo"/>
        <s v="Frete sobre Compras"/>
        <s v="IPVA e Licenciamento"/>
        <s v="Publicidade e Propaganda"/>
        <s v="Copa"/>
        <s v="Material de Expediente (Adm)"/>
        <s v="Comissões sobre Vendas Interno"/>
        <s v="Viagens e Estadias c/ Vendas"/>
        <s v="Insumos de Clientes"/>
        <s v="Seguro de Vida (Adm)"/>
        <s v="Seguro de Vida CIF"/>
        <s v="Seguro de Vida MOD"/>
        <s v="Gratificações (Adm)"/>
        <s v="Gratificacoes MOD"/>
        <s v="Salarios e Ordenados CIF"/>
        <s v="Gratificações CIF"/>
        <s v="Brindes"/>
        <s v="Alimentação"/>
        <s v="Fretes Ass. Técnica"/>
        <s v="Horas Extras CIF"/>
        <s v="INSS (Adm)"/>
        <s v="Aluguel de Imóvel"/>
        <s v="Despesas Cartorárias"/>
        <s v="Medicina e Seguranca do Trabalho CIF"/>
        <s v="Rescisões (Adm)"/>
        <s v="Férias MOD"/>
        <s v="Assistência Médica MOD"/>
        <s v="SPC/Serasa/Associacao"/>
        <s v="Remessa de Industrialização"/>
        <s v="Consultoria Juridica"/>
        <s v="Royalties"/>
        <s v="Carregamento"/>
        <s v="FGTS (Adm)"/>
        <s v="FGTS CIF"/>
        <s v="FGTS MOD"/>
        <s v="INSS CIF"/>
        <s v="INSS MOD"/>
        <s v="Fretes"/>
        <s v="ICMS"/>
        <s v="IPI"/>
        <s v="Outros Impostos"/>
        <s v="Simples Nacional"/>
        <s v="Assistência Médica (Adm)"/>
        <s v="Juros Pagos"/>
        <s v="Ferias (Adm)"/>
        <s v="Rescisões MOD"/>
        <s v="Medicina e Segurança do Trabalho MOD"/>
        <s v="PIS"/>
        <s v="COFINS"/>
        <s v="Férias CIF"/>
        <s v="Consultoria Tributaria"/>
        <s v="Moveis e Utensilios"/>
        <s v="Assistência Médica CIF"/>
        <s v="IPTU e Taxas Municipais CIF"/>
        <s v="Rescisões CIF"/>
        <e v="#N/A"/>
      </sharedItems>
    </cacheField>
    <cacheField name="MÁQUINA2" numFmtId="0">
      <sharedItems/>
    </cacheField>
    <cacheField name="CENTRO DE CUSTO" numFmtId="0">
      <sharedItems containsMixedTypes="1" containsNumber="1" containsInteger="1" minValue="0" maxValue="0" count="12">
        <s v="1 - CPV"/>
        <s v="0 - TRIBUTOS"/>
        <s v="9 - INVESTIMENTOS"/>
        <s v="7 - SERVIÇOS DE TERCEIROS"/>
        <s v="5 - DESPESAS ADMINISTRATIVAS"/>
        <s v="2 - CUSTOS DIRETOS"/>
        <s v="6 - DESPESA COM VENDAS"/>
        <s v="4 - GASTOS COM PESSOAL"/>
        <s v="8 - DESPESAS FINANCEIRAS"/>
        <s v="3 - CUSTOS INDIRETOS"/>
        <n v="0"/>
        <s v=""/>
      </sharedItems>
    </cacheField>
    <cacheField name="SETOR" numFmtId="0">
      <sharedItems containsMixedTypes="1" containsNumber="1" containsInteger="1" minValue="0" maxValue="0"/>
    </cacheField>
    <cacheField name="TAG" numFmtId="0">
      <sharedItems containsMixedTypes="1" containsNumber="1" containsInteger="1" minValue="0" maxValue="0"/>
    </cacheField>
    <cacheField name="RESPONSÁVEL" numFmtId="0">
      <sharedItems/>
    </cacheField>
    <cacheField name="Dias (Dt. Entrada)" numFmtId="0" databaseField="0">
      <fieldGroup base="3">
        <rangePr groupBy="days" startDate="2026-01-01T00:00:00" endDate="2026-05-12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2/05/2026"/>
        </groupItems>
      </fieldGroup>
    </cacheField>
    <cacheField name="Meses (Dt. Entrada)" numFmtId="0" databaseField="0">
      <fieldGroup base="3">
        <rangePr groupBy="months" startDate="2026-01-01T00:00:00" endDate="2026-05-12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2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5">
  <r>
    <n v="53592"/>
    <s v="LAY"/>
    <s v="000005"/>
    <x v="0"/>
    <s v="CRIATIVE MOVEIS PLANEJADOS LTDA"/>
    <n v="564"/>
    <x v="0"/>
    <x v="0"/>
    <s v=""/>
    <x v="0"/>
    <s v="COMPRAS"/>
    <n v="0"/>
    <s v="MYLENA"/>
  </r>
  <r>
    <n v="53605"/>
    <s v="KAR"/>
    <s v="035688"/>
    <x v="1"/>
    <s v="METALURGICA CELINO LTDA"/>
    <n v="1"/>
    <x v="1"/>
    <x v="1"/>
    <s v=""/>
    <x v="0"/>
    <s v="COMPRAS"/>
    <n v="0"/>
    <s v="MYLENA"/>
  </r>
  <r>
    <n v="53632"/>
    <s v="KAR"/>
    <s v="019042"/>
    <x v="2"/>
    <s v="LINE DO BRASIL COMERCIO DE ATUADORES LINEARES LTDA"/>
    <n v="125.38"/>
    <x v="1"/>
    <x v="1"/>
    <s v=""/>
    <x v="0"/>
    <s v="COMPRAS"/>
    <n v="0"/>
    <s v="MYLENA"/>
  </r>
  <r>
    <n v="53685"/>
    <s v="LAY"/>
    <s v="002691"/>
    <x v="3"/>
    <s v="BONACK E SANCHES LTDA ME"/>
    <n v="1425.6"/>
    <x v="1"/>
    <x v="1"/>
    <s v=""/>
    <x v="0"/>
    <s v="COMPRAS"/>
    <n v="0"/>
    <s v="MYLENA"/>
  </r>
  <r>
    <n v="53687"/>
    <s v="KAR"/>
    <s v="130161"/>
    <x v="3"/>
    <s v="MANUFATURA DE BOTOES CARDENAS LTDA"/>
    <n v="967.68"/>
    <x v="0"/>
    <x v="0"/>
    <s v=""/>
    <x v="0"/>
    <s v="COMPRAS"/>
    <n v="0"/>
    <s v="MYLENA"/>
  </r>
  <r>
    <n v="53786"/>
    <s v="FK"/>
    <s v="DIIH50"/>
    <x v="4"/>
    <s v="DIONIZIO PRIETO"/>
    <n v="100"/>
    <x v="1"/>
    <x v="1"/>
    <s v=""/>
    <x v="0"/>
    <s v="COMPRAS"/>
    <n v="0"/>
    <s v="MYLENA"/>
  </r>
  <r>
    <n v="53801"/>
    <s v="KOY"/>
    <s v="000008"/>
    <x v="4"/>
    <s v="CRIATIVE MOVEIS PLANEJADOS LTDA"/>
    <n v="20"/>
    <x v="0"/>
    <x v="0"/>
    <s v=""/>
    <x v="0"/>
    <s v="COMPRAS"/>
    <n v="0"/>
    <s v="MYLENA"/>
  </r>
  <r>
    <n v="53812"/>
    <s v="KAR"/>
    <s v="000010"/>
    <x v="4"/>
    <s v="CRIATIVE MOVEIS PLANEJADOS LTDA"/>
    <n v="865.7"/>
    <x v="1"/>
    <x v="1"/>
    <s v=""/>
    <x v="0"/>
    <s v="COMPRAS"/>
    <n v="0"/>
    <s v="MYLENA"/>
  </r>
  <r>
    <n v="53839"/>
    <s v="KAR"/>
    <s v="008036"/>
    <x v="5"/>
    <s v="MUNDIAL ACO COMERCIO DE FERRAGENS LTDA"/>
    <n v="25"/>
    <x v="0"/>
    <x v="0"/>
    <s v=""/>
    <x v="0"/>
    <s v="COMPRAS"/>
    <n v="0"/>
    <s v="MYLENA"/>
  </r>
  <r>
    <n v="53989"/>
    <s v="KAR"/>
    <s v="045593"/>
    <x v="6"/>
    <s v="GIROTEC MOVEIS E METALURGICA LTDA"/>
    <n v="1221.6500000000001"/>
    <x v="1"/>
    <x v="1"/>
    <s v=""/>
    <x v="0"/>
    <s v="COMPRAS"/>
    <n v="0"/>
    <s v="MYLENA"/>
  </r>
  <r>
    <n v="54001"/>
    <s v="LAY"/>
    <s v="000015"/>
    <x v="7"/>
    <s v="CRIATIVE MOVEIS PLANEJADOS LTDA"/>
    <n v="1320.1"/>
    <x v="0"/>
    <x v="0"/>
    <s v=""/>
    <x v="0"/>
    <s v="COMPRAS"/>
    <n v="0"/>
    <s v="MYLENA"/>
  </r>
  <r>
    <n v="54003"/>
    <s v="KOY"/>
    <s v="000014"/>
    <x v="7"/>
    <s v="CRIATIVE MOVEIS PLANEJADOS LTDA"/>
    <n v="189.2"/>
    <x v="0"/>
    <x v="0"/>
    <s v=""/>
    <x v="0"/>
    <s v="COMPRAS"/>
    <n v="0"/>
    <s v="MYLENA"/>
  </r>
  <r>
    <n v="54016"/>
    <s v="FK"/>
    <s v="EDIL3103"/>
    <x v="7"/>
    <s v="CRIATIVE MOVEIS PLANEJADOS LTDA"/>
    <n v="10996.1"/>
    <x v="1"/>
    <x v="1"/>
    <s v=""/>
    <x v="0"/>
    <s v="COMPRAS"/>
    <n v="0"/>
    <s v="MYLENA"/>
  </r>
  <r>
    <n v="54208"/>
    <s v="KAR"/>
    <s v="034190"/>
    <x v="8"/>
    <s v="OKE DO BRASIL MATERIAIS SINTETICOS LTDA"/>
    <n v="9.5"/>
    <x v="0"/>
    <x v="0"/>
    <s v=""/>
    <x v="0"/>
    <s v="COMPRAS"/>
    <n v="0"/>
    <s v="MYLENA"/>
  </r>
  <r>
    <n v="54221"/>
    <s v="KAR"/>
    <s v="8172701"/>
    <x v="9"/>
    <s v="DIONIZIO PRIETO"/>
    <n v="58.58"/>
    <x v="1"/>
    <x v="1"/>
    <s v=""/>
    <x v="0"/>
    <s v="COMPRAS"/>
    <n v="0"/>
    <s v="MYLENA"/>
  </r>
  <r>
    <n v="54237"/>
    <s v="KAR"/>
    <s v="000022"/>
    <x v="9"/>
    <s v="CRIATIVE MOVEIS PLANEJADOS LTDA"/>
    <n v="903.8"/>
    <x v="1"/>
    <x v="1"/>
    <s v=""/>
    <x v="0"/>
    <s v="COMPRAS"/>
    <n v="0"/>
    <s v="MYLENA"/>
  </r>
  <r>
    <n v="54264"/>
    <s v="KAR"/>
    <s v="020123"/>
    <x v="10"/>
    <s v="LINE DO BRASIL COMERCIO DE ATUADORES LINEARES LTDA"/>
    <n v="67.11"/>
    <x v="1"/>
    <x v="1"/>
    <s v=""/>
    <x v="0"/>
    <s v="COMPRAS"/>
    <n v="0"/>
    <s v="MYLENA"/>
  </r>
  <r>
    <n v="98700"/>
    <s v="KAR"/>
    <s v="PERT/102"/>
    <x v="11"/>
    <s v="DOCUMENTO DE ARRECADAÇAO DE RECEITA FEDERAL"/>
    <n v="5659.96"/>
    <x v="2"/>
    <x v="2"/>
    <s v=""/>
    <x v="1"/>
    <s v="FINANCEIRO"/>
    <n v="0"/>
    <s v="LETÍCIA"/>
  </r>
  <r>
    <n v="98701"/>
    <s v="KAR"/>
    <s v="PERT/103"/>
    <x v="12"/>
    <s v="DOCUMENTO DE ARRECADAÇAO DE RECEITA FEDERAL"/>
    <n v="5659.96"/>
    <x v="2"/>
    <x v="2"/>
    <s v=""/>
    <x v="1"/>
    <s v="FINANCEIRO"/>
    <n v="0"/>
    <s v="LETÍCIA"/>
  </r>
  <r>
    <n v="98702"/>
    <s v="KAR"/>
    <s v="PERT/104"/>
    <x v="13"/>
    <s v="DOCUMENTO DE ARRECADAÇAO DE RECEITA FEDERAL"/>
    <n v="5659.96"/>
    <x v="2"/>
    <x v="2"/>
    <s v=""/>
    <x v="1"/>
    <s v="FINANCEIRO"/>
    <n v="0"/>
    <s v="LETÍCIA"/>
  </r>
  <r>
    <n v="98703"/>
    <s v="KAR"/>
    <s v="PERT/105"/>
    <x v="14"/>
    <s v="DOCUMENTO DE ARRECADAÇAO DE RECEITA FEDERAL"/>
    <n v="5659.96"/>
    <x v="2"/>
    <x v="2"/>
    <s v=""/>
    <x v="1"/>
    <s v="FINANCEIRO"/>
    <n v="0"/>
    <s v="LETÍCIA"/>
  </r>
  <r>
    <n v="129502"/>
    <s v="KAR"/>
    <s v="SOLAR/66"/>
    <x v="15"/>
    <s v="BANCO SICREDI"/>
    <n v="1451"/>
    <x v="3"/>
    <x v="3"/>
    <s v=""/>
    <x v="2"/>
    <s v="FINANCEIRO"/>
    <n v="0"/>
    <s v="FÁBIO"/>
  </r>
  <r>
    <n v="129503"/>
    <s v="KAR"/>
    <s v="SOLAR/67"/>
    <x v="16"/>
    <s v="BANCO SICREDI"/>
    <n v="1451"/>
    <x v="3"/>
    <x v="3"/>
    <s v=""/>
    <x v="2"/>
    <s v="FINANCEIRO"/>
    <n v="0"/>
    <s v="FÁBIO"/>
  </r>
  <r>
    <n v="129504"/>
    <s v="KAR"/>
    <s v="SOLAR/68"/>
    <x v="17"/>
    <s v="BANCO SICREDI"/>
    <n v="1451"/>
    <x v="3"/>
    <x v="3"/>
    <s v=""/>
    <x v="2"/>
    <s v="FINANCEIRO"/>
    <n v="0"/>
    <s v="FÁBIO"/>
  </r>
  <r>
    <n v="129505"/>
    <s v="KAR"/>
    <s v="SOLAR/69"/>
    <x v="18"/>
    <s v="BANCO SICREDI"/>
    <n v="1451"/>
    <x v="3"/>
    <x v="3"/>
    <s v=""/>
    <x v="2"/>
    <s v="FINANCEIRO"/>
    <n v="0"/>
    <s v="FÁBIO"/>
  </r>
  <r>
    <n v="129506"/>
    <s v="KAR"/>
    <s v="SOLAR/70"/>
    <x v="19"/>
    <s v="BANCO SICREDI"/>
    <n v="1451"/>
    <x v="3"/>
    <x v="3"/>
    <s v=""/>
    <x v="2"/>
    <s v="FINANCEIRO"/>
    <n v="0"/>
    <s v="FÁBIO"/>
  </r>
  <r>
    <n v="183175"/>
    <s v="KOY"/>
    <s v="KOY/25/12"/>
    <x v="20"/>
    <s v="EXITUS ESCRITORIO DE CONTABILIDADE S/S - EPP"/>
    <n v="669"/>
    <x v="4"/>
    <x v="4"/>
    <s v=""/>
    <x v="3"/>
    <s v="FINANCEIRO"/>
    <n v="0"/>
    <s v="LETÍCIA"/>
  </r>
  <r>
    <n v="185518"/>
    <s v="FK"/>
    <s v="GOL2025/10"/>
    <x v="15"/>
    <s v="LIBERTY SEGUROS S/A"/>
    <n v="314.31"/>
    <x v="5"/>
    <x v="5"/>
    <s v=""/>
    <x v="4"/>
    <s v="LOGÍSTICA"/>
    <n v="0"/>
    <s v="MYLENA"/>
  </r>
  <r>
    <n v="185519"/>
    <s v="FK"/>
    <s v="GOL2025/11"/>
    <x v="16"/>
    <s v="LIBERTY SEGUROS S/A"/>
    <n v="314.31"/>
    <x v="5"/>
    <x v="5"/>
    <s v=""/>
    <x v="4"/>
    <s v="LOGÍSTICA"/>
    <n v="0"/>
    <s v="MYLENA"/>
  </r>
  <r>
    <n v="185520"/>
    <s v="FK"/>
    <s v="GOL2025/12"/>
    <x v="17"/>
    <s v="LIBERTY SEGUROS S/A"/>
    <n v="314.31"/>
    <x v="5"/>
    <x v="5"/>
    <s v=""/>
    <x v="4"/>
    <s v="LOGÍSTICA"/>
    <n v="0"/>
    <s v="MYLENA"/>
  </r>
  <r>
    <n v="186322"/>
    <s v="FK"/>
    <s v="KAITEKI25/"/>
    <x v="15"/>
    <s v="EXITUS ESCRITORIO DE CONTABILIDADE S/S - EPP"/>
    <n v="152"/>
    <x v="4"/>
    <x v="4"/>
    <s v=""/>
    <x v="3"/>
    <s v="FINANCEIRO"/>
    <n v="0"/>
    <s v="LETÍCIA"/>
  </r>
  <r>
    <n v="186501"/>
    <s v="KAR"/>
    <s v="PWRGESTÃO/"/>
    <x v="21"/>
    <s v="PWR GESTAO E DESENVOLVIMENTO EMPRESARIAL LTDA"/>
    <n v="4778.72"/>
    <x v="6"/>
    <x v="6"/>
    <s v=""/>
    <x v="3"/>
    <s v="FINANCEIRO"/>
    <n v="0"/>
    <s v="LETÍCIA"/>
  </r>
  <r>
    <n v="186763"/>
    <s v="FK"/>
    <s v="PGTO 0226/"/>
    <x v="1"/>
    <s v="JOSE RAIMUNDO ISIDORO BUENO"/>
    <n v="3820.7"/>
    <x v="7"/>
    <x v="7"/>
    <s v=""/>
    <x v="5"/>
    <s v="DH"/>
    <s v="CUSTO MÃO DE OBRA DIRETA"/>
    <s v="RAFAEL"/>
  </r>
  <r>
    <n v="186764"/>
    <s v="FK"/>
    <s v="PGTO 0326/"/>
    <x v="22"/>
    <s v="JOSE RAIMUNDO ISIDORO BUENO"/>
    <n v="3820.7"/>
    <x v="7"/>
    <x v="7"/>
    <s v=""/>
    <x v="5"/>
    <s v="DH"/>
    <s v="CUSTO MÃO DE OBRA DIRETA"/>
    <s v="RAFAEL"/>
  </r>
  <r>
    <n v="186765"/>
    <s v="FK"/>
    <s v="PGTO 0426"/>
    <x v="23"/>
    <s v="JOSE RAIMUNDO ISIDORO BUENO"/>
    <n v="3820.7"/>
    <x v="7"/>
    <x v="7"/>
    <s v=""/>
    <x v="5"/>
    <s v="DH"/>
    <s v="CUSTO MÃO DE OBRA DIRETA"/>
    <s v="RAFAEL"/>
  </r>
  <r>
    <n v="186766"/>
    <s v="FK"/>
    <s v="PGTO 0526"/>
    <x v="24"/>
    <s v="JOSE RAIMUNDO ISIDORO BUENO"/>
    <n v="3820.7"/>
    <x v="7"/>
    <x v="7"/>
    <s v=""/>
    <x v="5"/>
    <s v="DH"/>
    <s v="CUSTO MÃO DE OBRA DIRETA"/>
    <s v="RAFAEL"/>
  </r>
  <r>
    <n v="186767"/>
    <s v="FK"/>
    <s v="PGTO 0626"/>
    <x v="25"/>
    <s v="JOSE RAIMUNDO ISIDORO BUENO"/>
    <n v="3820.7"/>
    <x v="7"/>
    <x v="7"/>
    <s v=""/>
    <x v="5"/>
    <s v="DH"/>
    <s v="CUSTO MÃO DE OBRA DIRETA"/>
    <s v="RAFAEL"/>
  </r>
  <r>
    <n v="187315"/>
    <s v="KAR"/>
    <s v="EMBRATEL25"/>
    <x v="26"/>
    <s v="EMBRATEL"/>
    <n v="1069.17"/>
    <x v="8"/>
    <x v="8"/>
    <s v=""/>
    <x v="4"/>
    <s v="MANUTENÇÃO / TI"/>
    <n v="0"/>
    <s v="LETÍCIA"/>
  </r>
  <r>
    <n v="187390"/>
    <s v="KAR"/>
    <s v="TUPIA/8"/>
    <x v="11"/>
    <s v="GURGELMIX MAQUINAS E FERRAMENTAS S.A."/>
    <n v="113.14"/>
    <x v="9"/>
    <x v="9"/>
    <s v=""/>
    <x v="2"/>
    <s v="MANUTENÇÃO / TI"/>
    <n v="0"/>
    <s v="RAFAEL"/>
  </r>
  <r>
    <n v="187391"/>
    <s v="KAR"/>
    <s v="TUPIA/9"/>
    <x v="12"/>
    <s v="GURGELMIX MAQUINAS E FERRAMENTAS S.A."/>
    <n v="113.14"/>
    <x v="9"/>
    <x v="9"/>
    <s v=""/>
    <x v="2"/>
    <s v="MANUTENÇÃO / TI"/>
    <n v="0"/>
    <s v="RAFAEL"/>
  </r>
  <r>
    <n v="187392"/>
    <s v="KAR"/>
    <s v="TUPIA/10"/>
    <x v="13"/>
    <s v="GURGELMIX MAQUINAS E FERRAMENTAS S.A."/>
    <n v="113.14"/>
    <x v="9"/>
    <x v="9"/>
    <s v=""/>
    <x v="2"/>
    <s v="MANUTENÇÃO / TI"/>
    <n v="0"/>
    <s v="RAFAEL"/>
  </r>
  <r>
    <n v="187476"/>
    <s v="KOY"/>
    <s v="SAMAE25/8"/>
    <x v="27"/>
    <s v="SAMAE - SERVIÇO AUTONOMO MUNICIPAL DE AGUA E ESGOT"/>
    <n v="32.229999999999997"/>
    <x v="10"/>
    <x v="10"/>
    <s v=""/>
    <x v="4"/>
    <s v="FINANCEIRO"/>
    <n v="0"/>
    <s v="LETÍCIA"/>
  </r>
  <r>
    <n v="187477"/>
    <s v="KOY"/>
    <s v="SAMAE25/9"/>
    <x v="28"/>
    <s v="SAMAE - SERVIÇO AUTONOMO MUNICIPAL DE AGUA E ESGOT"/>
    <n v="32.229999999999997"/>
    <x v="10"/>
    <x v="10"/>
    <s v=""/>
    <x v="4"/>
    <s v="FINANCEIRO"/>
    <n v="0"/>
    <s v="LETÍCIA"/>
  </r>
  <r>
    <n v="187478"/>
    <s v="KOY"/>
    <s v="SAMAE25/10"/>
    <x v="29"/>
    <s v="SAMAE - SERVIÇO AUTONOMO MUNICIPAL DE AGUA E ESGOT"/>
    <n v="32.229999999999997"/>
    <x v="10"/>
    <x v="10"/>
    <s v=""/>
    <x v="4"/>
    <s v="FINANCEIRO"/>
    <n v="0"/>
    <s v="LETÍCIA"/>
  </r>
  <r>
    <n v="187677"/>
    <s v="KAR"/>
    <s v="MODELI 01"/>
    <x v="1"/>
    <s v="RAFAEL DOMINIQUE SANTOS LIMA"/>
    <n v="12000"/>
    <x v="11"/>
    <x v="11"/>
    <s v=""/>
    <x v="6"/>
    <s v="DESENVOLVIMENTO"/>
    <n v="0"/>
    <s v="RAFAEL"/>
  </r>
  <r>
    <n v="187678"/>
    <s v="KAR"/>
    <s v="MODELI 02"/>
    <x v="30"/>
    <s v="RAFAEL DOMINIQUE SANTOS LIMA"/>
    <n v="12000"/>
    <x v="11"/>
    <x v="11"/>
    <s v=""/>
    <x v="6"/>
    <s v="DESENVOLVIMENTO"/>
    <n v="0"/>
    <s v="RAFAEL"/>
  </r>
  <r>
    <n v="187679"/>
    <s v="KAR"/>
    <s v="MODELI 03"/>
    <x v="7"/>
    <s v="RAFAEL DOMINIQUE SANTOS LIMA"/>
    <n v="12000"/>
    <x v="11"/>
    <x v="11"/>
    <s v=""/>
    <x v="6"/>
    <s v="DESENVOLVIMENTO"/>
    <n v="0"/>
    <s v="RAFAEL"/>
  </r>
  <r>
    <n v="187835"/>
    <s v="FK"/>
    <s v="OLIVER2025"/>
    <x v="15"/>
    <s v="OLIVER MEDIA INFORMATICA LTDA"/>
    <n v="89"/>
    <x v="12"/>
    <x v="12"/>
    <s v="E-MAILS"/>
    <x v="3"/>
    <s v="MANUTENÇÃO / TI"/>
    <n v="0"/>
    <s v="LETÍCIA"/>
  </r>
  <r>
    <n v="187836"/>
    <s v="FK"/>
    <s v="OLIVER2025"/>
    <x v="16"/>
    <s v="OLIVER MEDIA INFORMATICA LTDA"/>
    <n v="89"/>
    <x v="12"/>
    <x v="12"/>
    <s v="E-MAILS"/>
    <x v="3"/>
    <s v="MANUTENÇÃO / TI"/>
    <n v="0"/>
    <s v="LETÍCIA"/>
  </r>
  <r>
    <n v="187837"/>
    <s v="FK"/>
    <s v="OLIVER2025"/>
    <x v="17"/>
    <s v="OLIVER MEDIA INFORMATICA LTDA"/>
    <n v="89"/>
    <x v="12"/>
    <x v="12"/>
    <s v="E-MAILS"/>
    <x v="3"/>
    <s v="MANUTENÇÃO / TI"/>
    <n v="0"/>
    <s v="LETÍCIA"/>
  </r>
  <r>
    <n v="187838"/>
    <s v="FK"/>
    <s v="OLIVER2025"/>
    <x v="18"/>
    <s v="OLIVER MEDIA INFORMATICA LTDA"/>
    <n v="89"/>
    <x v="12"/>
    <x v="12"/>
    <s v="E-MAILS"/>
    <x v="3"/>
    <s v="MANUTENÇÃO / TI"/>
    <n v="0"/>
    <s v="LETÍCIA"/>
  </r>
  <r>
    <n v="187839"/>
    <s v="FK"/>
    <s v="OLIVER2025"/>
    <x v="19"/>
    <s v="OLIVER MEDIA INFORMATICA LTDA"/>
    <n v="89"/>
    <x v="12"/>
    <x v="12"/>
    <s v="E-MAILS"/>
    <x v="3"/>
    <s v="MANUTENÇÃO / TI"/>
    <n v="0"/>
    <s v="LETÍCIA"/>
  </r>
  <r>
    <n v="188021"/>
    <s v="KOY"/>
    <s v="SERRA FITA"/>
    <x v="31"/>
    <s v="FERRAMENTAS KENNEDY"/>
    <n v="177.88"/>
    <x v="9"/>
    <x v="9"/>
    <s v=""/>
    <x v="2"/>
    <s v="MANUTENÇÃO / TI"/>
    <n v="0"/>
    <s v="RAFAEL"/>
  </r>
  <r>
    <n v="188022"/>
    <s v="KOY"/>
    <s v="SERRA FITA"/>
    <x v="32"/>
    <s v="FERRAMENTAS KENNEDY"/>
    <n v="177.88"/>
    <x v="9"/>
    <x v="9"/>
    <s v=""/>
    <x v="2"/>
    <s v="MANUTENÇÃO / TI"/>
    <n v="0"/>
    <s v="RAFAEL"/>
  </r>
  <r>
    <n v="188023"/>
    <s v="KOY"/>
    <s v="SERRA FITA"/>
    <x v="33"/>
    <s v="FERRAMENTAS KENNEDY"/>
    <n v="177.88"/>
    <x v="9"/>
    <x v="9"/>
    <s v=""/>
    <x v="2"/>
    <s v="MANUTENÇÃO / TI"/>
    <n v="0"/>
    <s v="RAFAEL"/>
  </r>
  <r>
    <n v="188024"/>
    <s v="KOY"/>
    <s v="SERRA FITA"/>
    <x v="34"/>
    <s v="FERRAMENTAS KENNEDY"/>
    <n v="177.88"/>
    <x v="9"/>
    <x v="9"/>
    <s v=""/>
    <x v="2"/>
    <s v="MANUTENÇÃO / TI"/>
    <n v="0"/>
    <s v="RAFAEL"/>
  </r>
  <r>
    <n v="188072"/>
    <s v="KAR"/>
    <s v="CASOCA 25/"/>
    <x v="27"/>
    <s v="CASOCA MARKETPLACE LTDA"/>
    <n v="970"/>
    <x v="12"/>
    <x v="12"/>
    <s v="CASOCA"/>
    <x v="3"/>
    <s v="MANUTENÇÃO / TI"/>
    <n v="0"/>
    <s v="LETÍCIA"/>
  </r>
  <r>
    <n v="188073"/>
    <s v="KAR"/>
    <s v="CASOCA 25/"/>
    <x v="28"/>
    <s v="CASOCA MARKETPLACE LTDA"/>
    <n v="970"/>
    <x v="12"/>
    <x v="12"/>
    <s v="CASOCA"/>
    <x v="3"/>
    <s v="MANUTENÇÃO / TI"/>
    <n v="0"/>
    <s v="LETÍCIA"/>
  </r>
  <r>
    <n v="188074"/>
    <s v="KAR"/>
    <s v="CASOCA 25/"/>
    <x v="29"/>
    <s v="CASOCA MARKETPLACE LTDA"/>
    <n v="970"/>
    <x v="12"/>
    <x v="12"/>
    <s v="CASOCA"/>
    <x v="3"/>
    <s v="MANUTENÇÃO / TI"/>
    <n v="0"/>
    <s v="LETÍCIA"/>
  </r>
  <r>
    <n v="188225"/>
    <s v="KOY"/>
    <s v="MEMORIARAM"/>
    <x v="31"/>
    <s v="BAZAM E PICHAU INFORMATICA LTDA"/>
    <n v="89.4"/>
    <x v="13"/>
    <x v="13"/>
    <s v=""/>
    <x v="2"/>
    <s v="MANUTENÇÃO / TI"/>
    <n v="0"/>
    <s v="RAFAEL"/>
  </r>
  <r>
    <n v="188226"/>
    <s v="KOY"/>
    <s v="MEMORIARAM"/>
    <x v="32"/>
    <s v="BAZAM E PICHAU INFORMATICA LTDA"/>
    <n v="89.4"/>
    <x v="13"/>
    <x v="13"/>
    <s v=""/>
    <x v="2"/>
    <s v="MANUTENÇÃO / TI"/>
    <n v="0"/>
    <s v="RAFAEL"/>
  </r>
  <r>
    <n v="188227"/>
    <s v="KOY"/>
    <s v="MEMORIARAM"/>
    <x v="33"/>
    <s v="BAZAM E PICHAU INFORMATICA LTDA"/>
    <n v="89.4"/>
    <x v="13"/>
    <x v="13"/>
    <s v=""/>
    <x v="2"/>
    <s v="MANUTENÇÃO / TI"/>
    <n v="0"/>
    <s v="RAFAEL"/>
  </r>
  <r>
    <n v="188228"/>
    <s v="KOY"/>
    <s v="MEMORIARAM"/>
    <x v="34"/>
    <s v="BAZAM E PICHAU INFORMATICA LTDA"/>
    <n v="89.4"/>
    <x v="13"/>
    <x v="13"/>
    <s v=""/>
    <x v="2"/>
    <s v="MANUTENÇÃO / TI"/>
    <n v="0"/>
    <s v="RAFAEL"/>
  </r>
  <r>
    <n v="188382"/>
    <s v="FK"/>
    <s v="ANY DESK/7"/>
    <x v="11"/>
    <s v="F5 SOFTWARE LTDA"/>
    <n v="169.9"/>
    <x v="12"/>
    <x v="12"/>
    <s v="ANYDESK"/>
    <x v="3"/>
    <s v="MANUTENÇÃO / TI"/>
    <n v="0"/>
    <s v="LETÍCIA"/>
  </r>
  <r>
    <n v="188383"/>
    <s v="FK"/>
    <s v="ANY DESK/8"/>
    <x v="12"/>
    <s v="F5 SOFTWARE LTDA"/>
    <n v="169.9"/>
    <x v="12"/>
    <x v="12"/>
    <s v="ANYDESK"/>
    <x v="3"/>
    <s v="MANUTENÇÃO / TI"/>
    <n v="0"/>
    <s v="LETÍCIA"/>
  </r>
  <r>
    <n v="188384"/>
    <s v="FK"/>
    <s v="ANY DESK/9"/>
    <x v="13"/>
    <s v="F5 SOFTWARE LTDA"/>
    <n v="169.9"/>
    <x v="12"/>
    <x v="12"/>
    <s v="ANYDESK"/>
    <x v="3"/>
    <s v="MANUTENÇÃO / TI"/>
    <n v="0"/>
    <s v="LETÍCIA"/>
  </r>
  <r>
    <n v="188385"/>
    <s v="FK"/>
    <s v="ANY DESK/1"/>
    <x v="14"/>
    <s v="F5 SOFTWARE LTDA"/>
    <n v="169.9"/>
    <x v="12"/>
    <x v="12"/>
    <s v="ANYDESK"/>
    <x v="3"/>
    <s v="MANUTENÇÃO / TI"/>
    <n v="0"/>
    <s v="LETÍCIA"/>
  </r>
  <r>
    <n v="189166"/>
    <s v="FK"/>
    <s v="FINANCEIRO"/>
    <x v="35"/>
    <s v="MERCADO LIVRE "/>
    <n v="218.99"/>
    <x v="9"/>
    <x v="9"/>
    <s v=""/>
    <x v="2"/>
    <s v="MANUTENÇÃO / TI"/>
    <n v="0"/>
    <s v="RAFAEL"/>
  </r>
  <r>
    <n v="189167"/>
    <s v="FK"/>
    <s v="FINANCEIRO"/>
    <x v="36"/>
    <s v="MERCADO LIVRE "/>
    <n v="218.99"/>
    <x v="9"/>
    <x v="9"/>
    <s v=""/>
    <x v="2"/>
    <s v="MANUTENÇÃO / TI"/>
    <n v="0"/>
    <s v="RAFAEL"/>
  </r>
  <r>
    <n v="189168"/>
    <s v="FK"/>
    <s v="FINANCEIRO"/>
    <x v="37"/>
    <s v="MERCADO LIVRE "/>
    <n v="218.99"/>
    <x v="9"/>
    <x v="9"/>
    <s v=""/>
    <x v="2"/>
    <s v="MANUTENÇÃO / TI"/>
    <n v="0"/>
    <s v="RAFAEL"/>
  </r>
  <r>
    <n v="189169"/>
    <s v="FK"/>
    <s v="FINANCEIRO"/>
    <x v="38"/>
    <s v="MERCADO LIVRE "/>
    <n v="218.99"/>
    <x v="9"/>
    <x v="9"/>
    <s v=""/>
    <x v="2"/>
    <s v="MANUTENÇÃO / TI"/>
    <n v="0"/>
    <s v="RAFAEL"/>
  </r>
  <r>
    <n v="189170"/>
    <s v="FK"/>
    <s v="FINANCEIRO"/>
    <x v="39"/>
    <s v="MERCADO LIVRE "/>
    <n v="218.99"/>
    <x v="9"/>
    <x v="9"/>
    <s v=""/>
    <x v="2"/>
    <s v="MANUTENÇÃO / TI"/>
    <n v="0"/>
    <s v="RAFAEL"/>
  </r>
  <r>
    <n v="189378"/>
    <s v="FK"/>
    <s v="GELADEI/06"/>
    <x v="40"/>
    <s v="MERCADO LIVRE "/>
    <n v="77.13"/>
    <x v="14"/>
    <x v="14"/>
    <s v=""/>
    <x v="6"/>
    <s v="COMERCIAL"/>
    <n v="0"/>
    <s v="THAIS"/>
  </r>
  <r>
    <n v="189379"/>
    <s v="FK"/>
    <s v="GELADEI/07"/>
    <x v="41"/>
    <s v="MERCADO LIVRE "/>
    <n v="77.13"/>
    <x v="14"/>
    <x v="14"/>
    <s v=""/>
    <x v="6"/>
    <s v="COMERCIAL"/>
    <n v="0"/>
    <s v="THAIS"/>
  </r>
  <r>
    <n v="189380"/>
    <s v="FK"/>
    <s v="GELADEI/08"/>
    <x v="42"/>
    <s v="MERCADO LIVRE "/>
    <n v="77.13"/>
    <x v="14"/>
    <x v="14"/>
    <s v=""/>
    <x v="6"/>
    <s v="COMERCIAL"/>
    <n v="0"/>
    <s v="THAIS"/>
  </r>
  <r>
    <n v="189381"/>
    <s v="FK"/>
    <s v="GELADEI/09"/>
    <x v="43"/>
    <s v="MERCADO LIVRE "/>
    <n v="77.13"/>
    <x v="14"/>
    <x v="14"/>
    <s v=""/>
    <x v="6"/>
    <s v="COMERCIAL"/>
    <n v="0"/>
    <s v="THAIS"/>
  </r>
  <r>
    <n v="189382"/>
    <s v="FK"/>
    <s v="GELADEI/10"/>
    <x v="44"/>
    <s v="MERCADO LIVRE "/>
    <n v="77.13"/>
    <x v="14"/>
    <x v="14"/>
    <s v=""/>
    <x v="6"/>
    <s v="COMERCIAL"/>
    <n v="0"/>
    <s v="THAIS"/>
  </r>
  <r>
    <n v="189400"/>
    <s v="FK"/>
    <s v="CASA/6"/>
    <x v="40"/>
    <s v="MERCADO LIVRE "/>
    <n v="231.37"/>
    <x v="15"/>
    <x v="15"/>
    <s v=""/>
    <x v="7"/>
    <s v="DIRETORIA"/>
    <n v="0"/>
    <s v="FÁBIO"/>
  </r>
  <r>
    <n v="189401"/>
    <s v="FK"/>
    <s v="CASA/7"/>
    <x v="41"/>
    <s v="MERCADO LIVRE "/>
    <n v="231.37"/>
    <x v="15"/>
    <x v="15"/>
    <s v=""/>
    <x v="7"/>
    <s v="DIRETORIA"/>
    <n v="0"/>
    <s v="FÁBIO"/>
  </r>
  <r>
    <n v="189402"/>
    <s v="FK"/>
    <s v="CASA/8"/>
    <x v="42"/>
    <s v="MERCADO LIVRE "/>
    <n v="231.37"/>
    <x v="15"/>
    <x v="15"/>
    <s v=""/>
    <x v="7"/>
    <s v="DIRETORIA"/>
    <n v="0"/>
    <s v="FÁBIO"/>
  </r>
  <r>
    <n v="189403"/>
    <s v="FK"/>
    <s v="CASA/9"/>
    <x v="43"/>
    <s v="MERCADO LIVRE "/>
    <n v="231.37"/>
    <x v="15"/>
    <x v="15"/>
    <s v=""/>
    <x v="7"/>
    <s v="DIRETORIA"/>
    <n v="0"/>
    <s v="FÁBIO"/>
  </r>
  <r>
    <n v="189404"/>
    <s v="FK"/>
    <s v="CASA/10"/>
    <x v="44"/>
    <s v="MERCADO LIVRE "/>
    <n v="231.37"/>
    <x v="15"/>
    <x v="15"/>
    <s v=""/>
    <x v="7"/>
    <s v="DIRETORIA"/>
    <n v="0"/>
    <s v="FÁBIO"/>
  </r>
  <r>
    <n v="189422"/>
    <s v="FK"/>
    <s v="FERRAM/6"/>
    <x v="40"/>
    <s v="MERCADO LIVRE "/>
    <n v="85.15"/>
    <x v="16"/>
    <x v="16"/>
    <s v=""/>
    <x v="7"/>
    <s v="DH"/>
    <n v="0"/>
    <s v="MYLENA"/>
  </r>
  <r>
    <n v="189423"/>
    <s v="FK"/>
    <s v="FERRAM/7"/>
    <x v="41"/>
    <s v="MERCADO LIVRE "/>
    <n v="85.15"/>
    <x v="16"/>
    <x v="16"/>
    <s v=""/>
    <x v="7"/>
    <s v="DH"/>
    <n v="0"/>
    <s v="MYLENA"/>
  </r>
  <r>
    <n v="189424"/>
    <s v="FK"/>
    <s v="FERRAM/8"/>
    <x v="42"/>
    <s v="MERCADO LIVRE "/>
    <n v="85.15"/>
    <x v="16"/>
    <x v="16"/>
    <s v=""/>
    <x v="7"/>
    <s v="DH"/>
    <n v="0"/>
    <s v="MYLENA"/>
  </r>
  <r>
    <n v="189425"/>
    <s v="FK"/>
    <s v="FERRAM/9"/>
    <x v="43"/>
    <s v="MERCADO LIVRE "/>
    <n v="85.15"/>
    <x v="16"/>
    <x v="16"/>
    <s v=""/>
    <x v="7"/>
    <s v="DH"/>
    <n v="0"/>
    <s v="MYLENA"/>
  </r>
  <r>
    <n v="189426"/>
    <s v="FK"/>
    <s v="FERRAM/10"/>
    <x v="44"/>
    <s v="MERCADO LIVRE "/>
    <n v="85.15"/>
    <x v="16"/>
    <x v="16"/>
    <s v=""/>
    <x v="7"/>
    <s v="DH"/>
    <n v="0"/>
    <s v="MYLENA"/>
  </r>
  <r>
    <n v="189800"/>
    <s v="KAR"/>
    <s v="I.A BOLETO"/>
    <x v="21"/>
    <s v="IUS SUPORTE"/>
    <n v="350"/>
    <x v="12"/>
    <x v="12"/>
    <s v="NUNTIA IA FINANCEIRO"/>
    <x v="3"/>
    <s v="MANUTENÇÃO / TI"/>
    <n v="0"/>
    <s v="LETÍCIA"/>
  </r>
  <r>
    <n v="190095"/>
    <s v="FK"/>
    <s v="MODELIST/6"/>
    <x v="1"/>
    <s v="MARCOS LUKENCHUKE"/>
    <n v="12000"/>
    <x v="11"/>
    <x v="11"/>
    <s v=""/>
    <x v="6"/>
    <s v="DESENVOLVIMENTO"/>
    <n v="0"/>
    <s v="RAFAEL"/>
  </r>
  <r>
    <n v="190339"/>
    <s v="FK"/>
    <s v="CNC Router"/>
    <x v="45"/>
    <s v="FABIO HIROMITSU KATO"/>
    <n v="4833.34"/>
    <x v="17"/>
    <x v="17"/>
    <s v=""/>
    <x v="8"/>
    <s v="FINANCEIRO"/>
    <n v="0"/>
    <s v="LETÍCIA"/>
  </r>
  <r>
    <n v="190340"/>
    <s v="FK"/>
    <s v="CNC Router"/>
    <x v="30"/>
    <s v="FABIO HIROMITSU KATO"/>
    <n v="4833.34"/>
    <x v="17"/>
    <x v="17"/>
    <s v=""/>
    <x v="8"/>
    <s v="FINANCEIRO"/>
    <n v="0"/>
    <s v="LETÍCIA"/>
  </r>
  <r>
    <n v="190341"/>
    <s v="FK"/>
    <s v="CNC Router"/>
    <x v="46"/>
    <s v="FABIO HIROMITSU KATO"/>
    <n v="4833.34"/>
    <x v="17"/>
    <x v="17"/>
    <s v=""/>
    <x v="8"/>
    <s v="FINANCEIRO"/>
    <n v="0"/>
    <s v="LETÍCIA"/>
  </r>
  <r>
    <n v="190342"/>
    <s v="FK"/>
    <s v="CNC Router"/>
    <x v="6"/>
    <s v="FABIO HIROMITSU KATO"/>
    <n v="4833.34"/>
    <x v="17"/>
    <x v="17"/>
    <s v=""/>
    <x v="8"/>
    <s v="FINANCEIRO"/>
    <n v="0"/>
    <s v="LETÍCIA"/>
  </r>
  <r>
    <n v="190343"/>
    <s v="FK"/>
    <s v="CNC Router"/>
    <x v="47"/>
    <s v="FABIO HIROMITSU KATO"/>
    <n v="4833.34"/>
    <x v="17"/>
    <x v="17"/>
    <s v=""/>
    <x v="8"/>
    <s v="FINANCEIRO"/>
    <n v="0"/>
    <s v="LETÍCIA"/>
  </r>
  <r>
    <n v="190344"/>
    <s v="FK"/>
    <s v="CNC Router"/>
    <x v="9"/>
    <s v="FABIO HIROMITSU KATO"/>
    <n v="4833.34"/>
    <x v="17"/>
    <x v="17"/>
    <s v=""/>
    <x v="8"/>
    <s v="FINANCEIRO"/>
    <n v="0"/>
    <s v="LETÍCIA"/>
  </r>
  <r>
    <n v="190679"/>
    <s v="KAR"/>
    <s v="CNC/5"/>
    <x v="48"/>
    <s v="R&amp;J EQUIPAMENTOS LTDA"/>
    <n v="8900"/>
    <x v="9"/>
    <x v="9"/>
    <s v="CNC TECIDO"/>
    <x v="2"/>
    <s v="MANUTENÇÃO / TI"/>
    <n v="0"/>
    <s v="RAFAEL"/>
  </r>
  <r>
    <n v="190680"/>
    <s v="KAR"/>
    <s v="CNC/6"/>
    <x v="49"/>
    <s v="R&amp;J EQUIPAMENTOS LTDA"/>
    <n v="8900"/>
    <x v="9"/>
    <x v="9"/>
    <s v="CNC TECIDO"/>
    <x v="2"/>
    <s v="MANUTENÇÃO / TI"/>
    <n v="0"/>
    <s v="RAFAEL"/>
  </r>
  <r>
    <n v="190681"/>
    <s v="KAR"/>
    <s v="CNC/7"/>
    <x v="50"/>
    <s v="R&amp;J EQUIPAMENTOS LTDA"/>
    <n v="8900"/>
    <x v="9"/>
    <x v="9"/>
    <s v="CNC TECIDO"/>
    <x v="2"/>
    <s v="MANUTENÇÃO / TI"/>
    <n v="0"/>
    <s v="RAFAEL"/>
  </r>
  <r>
    <n v="190682"/>
    <s v="KAR"/>
    <s v="CNC/8"/>
    <x v="51"/>
    <s v="R&amp;J EQUIPAMENTOS LTDA"/>
    <n v="8900"/>
    <x v="9"/>
    <x v="9"/>
    <s v="CNC TECIDO"/>
    <x v="2"/>
    <s v="MANUTENÇÃO / TI"/>
    <n v="0"/>
    <s v="RAFAEL"/>
  </r>
  <r>
    <n v="191463"/>
    <s v="KAR"/>
    <s v="PGTO1225JA"/>
    <x v="52"/>
    <s v="CIEE-CENTRO DE INTEGRAÇÃO EMPRESA ESCOLA DO PARANÁ"/>
    <n v="605.44000000000005"/>
    <x v="18"/>
    <x v="18"/>
    <s v=""/>
    <x v="7"/>
    <s v="DH"/>
    <n v="0"/>
    <s v="RAFAEL"/>
  </r>
  <r>
    <n v="191464"/>
    <s v="KAR"/>
    <s v="PGTO0126JA"/>
    <x v="3"/>
    <s v="CIEE-CENTRO DE INTEGRAÇÃO EMPRESA ESCOLA DO PARANÁ"/>
    <n v="605.44000000000005"/>
    <x v="18"/>
    <x v="18"/>
    <s v=""/>
    <x v="7"/>
    <s v="DH"/>
    <n v="0"/>
    <s v="RAFAEL"/>
  </r>
  <r>
    <n v="191465"/>
    <s v="KAR"/>
    <s v="PGTO0226JA"/>
    <x v="53"/>
    <s v="CIEE-CENTRO DE INTEGRAÇÃO EMPRESA ESCOLA DO PARANÁ"/>
    <n v="605.44000000000005"/>
    <x v="18"/>
    <x v="18"/>
    <s v=""/>
    <x v="7"/>
    <s v="DH"/>
    <n v="0"/>
    <s v="RAFAEL"/>
  </r>
  <r>
    <n v="192889"/>
    <s v="KAR"/>
    <s v="ABIMAD41/4"/>
    <x v="21"/>
    <s v="ASSOC.BRAS.DAS IND.DE MOV.DE ALTA DECORAÇÃO"/>
    <n v="26583.33"/>
    <x v="14"/>
    <x v="14"/>
    <s v=""/>
    <x v="6"/>
    <s v="COMERCIAL"/>
    <n v="0"/>
    <s v="THAIS"/>
  </r>
  <r>
    <n v="192890"/>
    <s v="KAR"/>
    <s v="ABIMAD41/5"/>
    <x v="45"/>
    <s v="ASSOC.BRAS.DAS IND.DE MOV.DE ALTA DECORAÇÃO"/>
    <n v="26583.33"/>
    <x v="14"/>
    <x v="14"/>
    <s v=""/>
    <x v="6"/>
    <s v="COMERCIAL"/>
    <n v="0"/>
    <s v="THAIS"/>
  </r>
  <r>
    <n v="192891"/>
    <s v="KAR"/>
    <s v="ABIMAD41/6"/>
    <x v="46"/>
    <s v="ASSOC.BRAS.DAS IND.DE MOV.DE ALTA DECORAÇÃO"/>
    <n v="26583.33"/>
    <x v="14"/>
    <x v="14"/>
    <s v=""/>
    <x v="6"/>
    <s v="COMERCIAL"/>
    <n v="0"/>
    <s v="THAIS"/>
  </r>
  <r>
    <n v="192892"/>
    <s v="KAR"/>
    <s v="ABIMAD41/7"/>
    <x v="47"/>
    <s v="ASSOC.BRAS.DAS IND.DE MOV.DE ALTA DECORAÇÃO"/>
    <n v="26583.33"/>
    <x v="14"/>
    <x v="14"/>
    <s v=""/>
    <x v="6"/>
    <s v="COMERCIAL"/>
    <n v="0"/>
    <s v="THAIS"/>
  </r>
  <r>
    <n v="193208"/>
    <s v="FK"/>
    <s v="INTERNET/3"/>
    <x v="15"/>
    <s v="ELAINE CRISTINA TAROCO SANTOS &amp; CIA LTDA"/>
    <n v="464.9"/>
    <x v="8"/>
    <x v="8"/>
    <s v="COMPONENTES T.I"/>
    <x v="4"/>
    <s v="MANUTENÇÃO / TI"/>
    <n v="0"/>
    <s v="LETÍCIA"/>
  </r>
  <r>
    <n v="193209"/>
    <s v="FK"/>
    <s v="INTERNET/4"/>
    <x v="16"/>
    <s v="ELAINE CRISTINA TAROCO SANTOS &amp; CIA LTDA"/>
    <n v="464.9"/>
    <x v="8"/>
    <x v="8"/>
    <s v="COMPONENTES T.I"/>
    <x v="4"/>
    <s v="MANUTENÇÃO / TI"/>
    <n v="0"/>
    <s v="LETÍCIA"/>
  </r>
  <r>
    <n v="193210"/>
    <s v="FK"/>
    <s v="INTERNET/5"/>
    <x v="17"/>
    <s v="ELAINE CRISTINA TAROCO SANTOS &amp; CIA LTDA"/>
    <n v="464.9"/>
    <x v="8"/>
    <x v="8"/>
    <s v="COMPONENTES T.I"/>
    <x v="4"/>
    <s v="MANUTENÇÃO / TI"/>
    <n v="0"/>
    <s v="LETÍCIA"/>
  </r>
  <r>
    <n v="193211"/>
    <s v="FK"/>
    <s v="INTERNET/6"/>
    <x v="18"/>
    <s v="ELAINE CRISTINA TAROCO SANTOS &amp; CIA LTDA"/>
    <n v="464.9"/>
    <x v="8"/>
    <x v="8"/>
    <s v="COMPONENTES T.I"/>
    <x v="4"/>
    <s v="MANUTENÇÃO / TI"/>
    <n v="0"/>
    <s v="LETÍCIA"/>
  </r>
  <r>
    <n v="193212"/>
    <s v="FK"/>
    <s v="INTERNET/7"/>
    <x v="19"/>
    <s v="ELAINE CRISTINA TAROCO SANTOS &amp; CIA LTDA"/>
    <n v="464.9"/>
    <x v="8"/>
    <x v="8"/>
    <s v="COMPONENTES T.I"/>
    <x v="4"/>
    <s v="MANUTENÇÃO / TI"/>
    <n v="0"/>
    <s v="LETÍCIA"/>
  </r>
  <r>
    <n v="193256"/>
    <s v="FK"/>
    <s v="AYL2526/4"/>
    <x v="15"/>
    <s v="ALLIANZ AUTO"/>
    <n v="1697.48"/>
    <x v="5"/>
    <x v="5"/>
    <s v=""/>
    <x v="4"/>
    <s v="LOGÍSTICA"/>
    <n v="0"/>
    <s v="MYLENA"/>
  </r>
  <r>
    <n v="193257"/>
    <s v="FK"/>
    <s v="AYL2526/5"/>
    <x v="16"/>
    <s v="ALLIANZ AUTO"/>
    <n v="1697.48"/>
    <x v="5"/>
    <x v="5"/>
    <s v=""/>
    <x v="4"/>
    <s v="LOGÍSTICA"/>
    <n v="0"/>
    <s v="MYLENA"/>
  </r>
  <r>
    <n v="193258"/>
    <s v="FK"/>
    <s v="AYL2526/6"/>
    <x v="17"/>
    <s v="ALLIANZ AUTO"/>
    <n v="1697.48"/>
    <x v="5"/>
    <x v="5"/>
    <s v=""/>
    <x v="4"/>
    <s v="LOGÍSTICA"/>
    <n v="0"/>
    <s v="MYLENA"/>
  </r>
  <r>
    <n v="193259"/>
    <s v="FK"/>
    <s v="AYL2526/7"/>
    <x v="18"/>
    <s v="ALLIANZ AUTO"/>
    <n v="1697.48"/>
    <x v="5"/>
    <x v="5"/>
    <s v=""/>
    <x v="4"/>
    <s v="LOGÍSTICA"/>
    <n v="0"/>
    <s v="MYLENA"/>
  </r>
  <r>
    <n v="193260"/>
    <s v="FK"/>
    <s v="AYL2526/8"/>
    <x v="19"/>
    <s v="ALLIANZ AUTO"/>
    <n v="1697.48"/>
    <x v="5"/>
    <x v="5"/>
    <s v=""/>
    <x v="4"/>
    <s v="LOGÍSTICA"/>
    <n v="0"/>
    <s v="MYLENA"/>
  </r>
  <r>
    <n v="194116"/>
    <s v="FK"/>
    <s v="VONO/3"/>
    <x v="54"/>
    <s v="VONO TECNOLOGIA LTDA"/>
    <n v="461.98"/>
    <x v="8"/>
    <x v="8"/>
    <s v=""/>
    <x v="4"/>
    <s v="MANUTENÇÃO / TI"/>
    <n v="0"/>
    <s v="LETÍCIA"/>
  </r>
  <r>
    <n v="194117"/>
    <s v="FK"/>
    <s v="VONO/4"/>
    <x v="55"/>
    <s v="VONO TECNOLOGIA LTDA"/>
    <n v="461.98"/>
    <x v="8"/>
    <x v="8"/>
    <s v=""/>
    <x v="4"/>
    <s v="MANUTENÇÃO / TI"/>
    <n v="0"/>
    <s v="LETÍCIA"/>
  </r>
  <r>
    <n v="194118"/>
    <s v="FK"/>
    <s v="VONO/5"/>
    <x v="56"/>
    <s v="VONO TECNOLOGIA LTDA"/>
    <n v="461.98"/>
    <x v="8"/>
    <x v="8"/>
    <s v=""/>
    <x v="4"/>
    <s v="MANUTENÇÃO / TI"/>
    <n v="0"/>
    <s v="LETÍCIA"/>
  </r>
  <r>
    <n v="194119"/>
    <s v="FK"/>
    <s v="VONO/6"/>
    <x v="57"/>
    <s v="VONO TECNOLOGIA LTDA"/>
    <n v="461.98"/>
    <x v="8"/>
    <x v="8"/>
    <s v=""/>
    <x v="4"/>
    <s v="MANUTENÇÃO / TI"/>
    <n v="0"/>
    <s v="LETÍCIA"/>
  </r>
  <r>
    <n v="194191"/>
    <s v="FK"/>
    <s v="ELETRIC41"/>
    <x v="58"/>
    <s v="FERNANDO GOMES ROCHA"/>
    <n v="7938.75"/>
    <x v="14"/>
    <x v="14"/>
    <s v=""/>
    <x v="6"/>
    <s v="COMERCIAL"/>
    <n v="0"/>
    <s v="THAIS"/>
  </r>
  <r>
    <n v="194193"/>
    <s v="FK"/>
    <s v="ENERGIA41"/>
    <x v="58"/>
    <s v="ASSOC.BRAS.DAS IND.DE MOV.DE ALTA DECORAÇÃO"/>
    <n v="1773"/>
    <x v="14"/>
    <x v="14"/>
    <s v=""/>
    <x v="6"/>
    <s v="COMERCIAL"/>
    <n v="0"/>
    <s v="THAIS"/>
  </r>
  <r>
    <n v="194199"/>
    <s v="FK"/>
    <s v="LIMPEZA41"/>
    <x v="58"/>
    <s v="NELCI MARIA AMARAL DA SILVA"/>
    <n v="800"/>
    <x v="14"/>
    <x v="14"/>
    <s v=""/>
    <x v="6"/>
    <s v="COMERCIAL"/>
    <n v="0"/>
    <s v="THAIS"/>
  </r>
  <r>
    <n v="194787"/>
    <s v="KAR"/>
    <s v="PWR GESTAO"/>
    <x v="20"/>
    <s v="PWR GESTAO E DESENVOLVIMENTO EMPRESARIAL LTDA"/>
    <n v="4778.72"/>
    <x v="6"/>
    <x v="6"/>
    <s v=""/>
    <x v="3"/>
    <s v="FINANCEIRO"/>
    <n v="0"/>
    <s v="LETÍCIA"/>
  </r>
  <r>
    <n v="194788"/>
    <s v="KAR"/>
    <s v="PWR GESTAO"/>
    <x v="59"/>
    <s v="PWR GESTAO E DESENVOLVIMENTO EMPRESARIAL LTDA"/>
    <n v="4778.72"/>
    <x v="6"/>
    <x v="6"/>
    <s v=""/>
    <x v="3"/>
    <s v="FINANCEIRO"/>
    <n v="0"/>
    <s v="LETÍCIA"/>
  </r>
  <r>
    <n v="194789"/>
    <s v="KAR"/>
    <s v="PWR GESTAO"/>
    <x v="60"/>
    <s v="PWR GESTAO E DESENVOLVIMENTO EMPRESARIAL LTDA"/>
    <n v="4778.72"/>
    <x v="6"/>
    <x v="6"/>
    <s v=""/>
    <x v="3"/>
    <s v="FINANCEIRO"/>
    <n v="0"/>
    <s v="LETÍCIA"/>
  </r>
  <r>
    <n v="194800"/>
    <s v="KAR"/>
    <s v="PWRGESTAO1"/>
    <x v="45"/>
    <s v="PWR GESTAO E DESENVOLVIMENTO EMPRESARIAL LTDA"/>
    <n v="4778.72"/>
    <x v="6"/>
    <x v="6"/>
    <s v=""/>
    <x v="3"/>
    <s v="FINANCEIRO"/>
    <n v="0"/>
    <s v="LETÍCIA"/>
  </r>
  <r>
    <n v="194801"/>
    <s v="KAR"/>
    <s v="PWRGESTAO1"/>
    <x v="46"/>
    <s v="PWR GESTAO E DESENVOLVIMENTO EMPRESARIAL LTDA"/>
    <n v="4778.72"/>
    <x v="6"/>
    <x v="6"/>
    <s v=""/>
    <x v="3"/>
    <s v="FINANCEIRO"/>
    <n v="0"/>
    <s v="LETÍCIA"/>
  </r>
  <r>
    <n v="194825"/>
    <s v="KAR"/>
    <s v="PWRGESTÃO2"/>
    <x v="27"/>
    <s v="PWR GESTAO E DESENVOLVIMENTO EMPRESARIAL LTDA"/>
    <n v="4778.72"/>
    <x v="6"/>
    <x v="6"/>
    <s v=""/>
    <x v="3"/>
    <s v="FINANCEIRO"/>
    <n v="0"/>
    <s v="LETÍCIA"/>
  </r>
  <r>
    <n v="194826"/>
    <s v="KAR"/>
    <s v="PWRGESTÃO2"/>
    <x v="28"/>
    <s v="PWR GESTAO E DESENVOLVIMENTO EMPRESARIAL LTDA"/>
    <n v="4778.72"/>
    <x v="6"/>
    <x v="6"/>
    <s v=""/>
    <x v="3"/>
    <s v="FINANCEIRO"/>
    <n v="0"/>
    <s v="LETÍCIA"/>
  </r>
  <r>
    <n v="194847"/>
    <s v="FK"/>
    <s v="RASTREADOR"/>
    <x v="15"/>
    <s v="ROTAEXATA SOFTWARE LTDA"/>
    <n v="111"/>
    <x v="19"/>
    <x v="19"/>
    <s v=""/>
    <x v="4"/>
    <s v="LOGÍSTICA"/>
    <n v="0"/>
    <s v="MYLENA"/>
  </r>
  <r>
    <n v="194848"/>
    <s v="FK"/>
    <s v="210097-2"/>
    <x v="16"/>
    <s v="ROTAEXATA SOFTWARE LTDA"/>
    <n v="111"/>
    <x v="19"/>
    <x v="19"/>
    <s v=""/>
    <x v="4"/>
    <s v="LOGÍSTICA"/>
    <n v="0"/>
    <s v="MYLENA"/>
  </r>
  <r>
    <n v="194849"/>
    <s v="FK"/>
    <s v="RASTREADOR"/>
    <x v="17"/>
    <s v="ROTAEXATA SOFTWARE LTDA"/>
    <n v="111"/>
    <x v="19"/>
    <x v="19"/>
    <s v=""/>
    <x v="4"/>
    <s v="LOGÍSTICA"/>
    <n v="0"/>
    <s v="MYLENA"/>
  </r>
  <r>
    <n v="194860"/>
    <s v="KAR"/>
    <s v="LICENÇAS/1"/>
    <x v="15"/>
    <s v="ROTAEXATA SOFTWARE LTDA"/>
    <n v="259"/>
    <x v="19"/>
    <x v="19"/>
    <s v=""/>
    <x v="4"/>
    <s v="LOGÍSTICA"/>
    <n v="0"/>
    <s v="MYLENA"/>
  </r>
  <r>
    <n v="194861"/>
    <s v="KAR"/>
    <s v="210097"/>
    <x v="16"/>
    <s v="ROTAEXATA SOFTWARE LTDA"/>
    <n v="259"/>
    <x v="19"/>
    <x v="19"/>
    <s v=""/>
    <x v="4"/>
    <s v="LOGÍSTICA"/>
    <n v="0"/>
    <s v="MYLENA"/>
  </r>
  <r>
    <n v="194862"/>
    <s v="KAR"/>
    <s v="LICENÇAS/3"/>
    <x v="17"/>
    <s v="ROTAEXATA SOFTWARE LTDA"/>
    <n v="259"/>
    <x v="19"/>
    <x v="19"/>
    <s v=""/>
    <x v="4"/>
    <s v="LOGÍSTICA"/>
    <n v="0"/>
    <s v="MYLENA"/>
  </r>
  <r>
    <n v="194895"/>
    <s v="KAR"/>
    <s v="ESPANHOL /"/>
    <x v="31"/>
    <s v="CCLI LTDA EPP"/>
    <n v="592.5"/>
    <x v="20"/>
    <x v="20"/>
    <s v=""/>
    <x v="7"/>
    <s v="DIRETORIA"/>
    <n v="0"/>
    <s v="FÁBIO"/>
  </r>
  <r>
    <n v="194896"/>
    <s v="KAR"/>
    <s v="ESPANHOL /"/>
    <x v="32"/>
    <s v="CCLI LTDA EPP"/>
    <n v="592.5"/>
    <x v="20"/>
    <x v="20"/>
    <s v=""/>
    <x v="7"/>
    <s v="DIRETORIA"/>
    <n v="0"/>
    <s v="FÁBIO"/>
  </r>
  <r>
    <n v="194909"/>
    <s v="KAR"/>
    <s v="ESPANHOL26"/>
    <x v="31"/>
    <s v="CCLI LTDA EPP"/>
    <n v="592.5"/>
    <x v="18"/>
    <x v="18"/>
    <s v=""/>
    <x v="7"/>
    <s v="DH"/>
    <n v="0"/>
    <s v="RAFAEL"/>
  </r>
  <r>
    <n v="194910"/>
    <s v="KAR"/>
    <s v="ESPANHOL26"/>
    <x v="32"/>
    <s v="CCLI LTDA EPP"/>
    <n v="592.5"/>
    <x v="18"/>
    <x v="18"/>
    <s v=""/>
    <x v="7"/>
    <s v="DH"/>
    <n v="0"/>
    <s v="RAFAEL"/>
  </r>
  <r>
    <n v="194924"/>
    <s v="FK"/>
    <s v="MISSA 2026"/>
    <x v="21"/>
    <s v="RADIO 87 FM"/>
    <n v="100"/>
    <x v="21"/>
    <x v="21"/>
    <s v=""/>
    <x v="4"/>
    <s v="FINANCEIRO"/>
    <n v="0"/>
    <s v="LETÍCIA"/>
  </r>
  <r>
    <n v="194925"/>
    <s v="FK"/>
    <s v="MISSA 2026"/>
    <x v="45"/>
    <s v="RADIO 87 FM"/>
    <n v="100"/>
    <x v="21"/>
    <x v="21"/>
    <s v=""/>
    <x v="4"/>
    <s v="FINANCEIRO"/>
    <n v="0"/>
    <s v="LETÍCIA"/>
  </r>
  <r>
    <n v="194926"/>
    <s v="FK"/>
    <s v="MISSA 2026"/>
    <x v="46"/>
    <s v="RADIO 87 FM"/>
    <n v="100"/>
    <x v="21"/>
    <x v="21"/>
    <s v=""/>
    <x v="4"/>
    <s v="FINANCEIRO"/>
    <n v="0"/>
    <s v="LETÍCIA"/>
  </r>
  <r>
    <n v="194927"/>
    <s v="FK"/>
    <s v="MISSA 2026"/>
    <x v="47"/>
    <s v="RADIO 87 FM"/>
    <n v="100"/>
    <x v="21"/>
    <x v="21"/>
    <s v=""/>
    <x v="4"/>
    <s v="FINANCEIRO"/>
    <n v="0"/>
    <s v="LETÍCIA"/>
  </r>
  <r>
    <n v="195138"/>
    <s v="FK"/>
    <s v="BPG/2/11"/>
    <x v="11"/>
    <s v="FEBRACIS"/>
    <n v="999.73"/>
    <x v="20"/>
    <x v="20"/>
    <s v=""/>
    <x v="7"/>
    <s v="DIRETORIA"/>
    <n v="0"/>
    <s v="FÁBIO"/>
  </r>
  <r>
    <n v="195139"/>
    <s v="FK"/>
    <s v="BPG/3/11"/>
    <x v="12"/>
    <s v="FEBRACIS"/>
    <n v="999.73"/>
    <x v="20"/>
    <x v="20"/>
    <s v=""/>
    <x v="7"/>
    <s v="DIRETORIA"/>
    <n v="0"/>
    <s v="FÁBIO"/>
  </r>
  <r>
    <n v="195140"/>
    <s v="FK"/>
    <s v="BPG/4/11"/>
    <x v="13"/>
    <s v="FEBRACIS"/>
    <n v="999.73"/>
    <x v="20"/>
    <x v="20"/>
    <s v=""/>
    <x v="7"/>
    <s v="DIRETORIA"/>
    <n v="0"/>
    <s v="FÁBIO"/>
  </r>
  <r>
    <n v="195141"/>
    <s v="FK"/>
    <s v="BPG/5/11"/>
    <x v="14"/>
    <s v="FEBRACIS"/>
    <n v="999.73"/>
    <x v="20"/>
    <x v="20"/>
    <s v=""/>
    <x v="7"/>
    <s v="DIRETORIA"/>
    <n v="0"/>
    <s v="FÁBIO"/>
  </r>
  <r>
    <n v="195203"/>
    <s v="KAR"/>
    <s v="2025/1"/>
    <x v="15"/>
    <s v="MOLLDE SERVIÇOS"/>
    <n v="4483"/>
    <x v="22"/>
    <x v="22"/>
    <s v=""/>
    <x v="3"/>
    <s v="FINANCEIRO"/>
    <n v="0"/>
    <s v="LETÍCIA"/>
  </r>
  <r>
    <n v="195204"/>
    <s v="KAR"/>
    <s v="2025/2"/>
    <x v="27"/>
    <s v="MOLLDE SERVIÇOS"/>
    <n v="4483"/>
    <x v="22"/>
    <x v="22"/>
    <s v=""/>
    <x v="3"/>
    <s v="FINANCEIRO"/>
    <n v="0"/>
    <s v="LETÍCIA"/>
  </r>
  <r>
    <n v="195491"/>
    <s v="FK"/>
    <s v="CONSULTORI"/>
    <x v="15"/>
    <s v="SILVIA COLLI JORDÃO PRESTES"/>
    <n v="5000"/>
    <x v="23"/>
    <x v="23"/>
    <s v=""/>
    <x v="6"/>
    <s v="COMERCIAL"/>
    <n v="0"/>
    <s v="LETÍCIA"/>
  </r>
  <r>
    <n v="195492"/>
    <s v="FK"/>
    <s v="CONSULTORI"/>
    <x v="16"/>
    <s v="SILVIA COLLI JORDÃO PRESTES"/>
    <n v="5000"/>
    <x v="23"/>
    <x v="23"/>
    <s v=""/>
    <x v="6"/>
    <s v="COMERCIAL"/>
    <n v="0"/>
    <s v="LETÍCIA"/>
  </r>
  <r>
    <n v="195503"/>
    <s v="KAR"/>
    <s v="26"/>
    <x v="15"/>
    <s v="LAZULI CONSULTORIA ESTRATEGICA LTDA"/>
    <n v="5000"/>
    <x v="23"/>
    <x v="23"/>
    <s v=""/>
    <x v="6"/>
    <s v="COMERCIAL"/>
    <n v="0"/>
    <s v="LETÍCIA"/>
  </r>
  <r>
    <n v="195505"/>
    <s v="KAR"/>
    <s v="CONSULTORI"/>
    <x v="16"/>
    <s v="LAZULI CONSULTORIA ESTRATEGICA LTDA"/>
    <n v="5000"/>
    <x v="23"/>
    <x v="23"/>
    <s v=""/>
    <x v="6"/>
    <s v="COMERCIAL"/>
    <n v="0"/>
    <s v="LETÍCIA"/>
  </r>
  <r>
    <n v="195625"/>
    <s v="KOY"/>
    <s v="FOXIT26/2"/>
    <x v="31"/>
    <s v="KOYO IND E COMERCIO DE MOVEIS  LTDA"/>
    <n v="54.76"/>
    <x v="12"/>
    <x v="12"/>
    <s v=""/>
    <x v="3"/>
    <s v="MANUTENÇÃO / TI"/>
    <n v="0"/>
    <s v="LETÍCIA"/>
  </r>
  <r>
    <n v="195626"/>
    <s v="KOY"/>
    <s v="FOXIT26/3"/>
    <x v="32"/>
    <s v="KOYO IND E COMERCIO DE MOVEIS  LTDA"/>
    <n v="54.76"/>
    <x v="12"/>
    <x v="12"/>
    <s v=""/>
    <x v="3"/>
    <s v="MANUTENÇÃO / TI"/>
    <n v="0"/>
    <s v="LETÍCIA"/>
  </r>
  <r>
    <n v="195627"/>
    <s v="KOY"/>
    <s v="FOXIT26/4"/>
    <x v="33"/>
    <s v="KOYO IND E COMERCIO DE MOVEIS  LTDA"/>
    <n v="54.76"/>
    <x v="12"/>
    <x v="12"/>
    <s v=""/>
    <x v="3"/>
    <s v="MANUTENÇÃO / TI"/>
    <n v="0"/>
    <s v="LETÍCIA"/>
  </r>
  <r>
    <n v="195628"/>
    <s v="KOY"/>
    <s v="FOXIT26/5"/>
    <x v="34"/>
    <s v="KOYO IND E COMERCIO DE MOVEIS  LTDA"/>
    <n v="54.76"/>
    <x v="12"/>
    <x v="12"/>
    <s v=""/>
    <x v="3"/>
    <s v="MANUTENÇÃO / TI"/>
    <n v="0"/>
    <s v="LETÍCIA"/>
  </r>
  <r>
    <n v="195837"/>
    <s v="FK"/>
    <s v="PLACAS2.8"/>
    <x v="11"/>
    <s v="BRADESCO AUTO - ER CIA DE SEGUROS"/>
    <n v="585.96"/>
    <x v="24"/>
    <x v="24"/>
    <s v=""/>
    <x v="7"/>
    <s v="MANUTENÇÃO / TI"/>
    <n v="0"/>
    <s v="FÁBIO"/>
  </r>
  <r>
    <n v="195838"/>
    <s v="FK"/>
    <s v="PLACAS3.8"/>
    <x v="12"/>
    <s v="BRADESCO AUTO - ER CIA DE SEGUROS"/>
    <n v="585.96"/>
    <x v="24"/>
    <x v="24"/>
    <s v=""/>
    <x v="7"/>
    <s v="MANUTENÇÃO / TI"/>
    <n v="0"/>
    <s v="FÁBIO"/>
  </r>
  <r>
    <n v="195839"/>
    <s v="FK"/>
    <s v="PLACAS4.8"/>
    <x v="13"/>
    <s v="BRADESCO AUTO - ER CIA DE SEGUROS"/>
    <n v="585.96"/>
    <x v="24"/>
    <x v="24"/>
    <s v=""/>
    <x v="7"/>
    <s v="MANUTENÇÃO / TI"/>
    <n v="0"/>
    <s v="FÁBIO"/>
  </r>
  <r>
    <n v="195840"/>
    <s v="FK"/>
    <s v="PLACAS5.8"/>
    <x v="14"/>
    <s v="BRADESCO AUTO - ER CIA DE SEGUROS"/>
    <n v="585.96"/>
    <x v="24"/>
    <x v="24"/>
    <s v=""/>
    <x v="7"/>
    <s v="MANUTENÇÃO / TI"/>
    <n v="0"/>
    <s v="FÁBIO"/>
  </r>
  <r>
    <n v="195953"/>
    <s v="FK"/>
    <s v="ENGEN1.10"/>
    <x v="11"/>
    <s v="S A ZAGO DISTRIUIDORA EPP"/>
    <n v="900"/>
    <x v="25"/>
    <x v="25"/>
    <s v=""/>
    <x v="2"/>
    <s v="MANUTENÇÃO / TI"/>
    <n v="0"/>
    <s v="FÁBIO"/>
  </r>
  <r>
    <n v="195954"/>
    <s v="FK"/>
    <s v="ENGEN2.10"/>
    <x v="12"/>
    <s v="S A ZAGO DISTRIUIDORA EPP"/>
    <n v="900"/>
    <x v="25"/>
    <x v="25"/>
    <s v=""/>
    <x v="2"/>
    <s v="MANUTENÇÃO / TI"/>
    <n v="0"/>
    <s v="FÁBIO"/>
  </r>
  <r>
    <n v="195955"/>
    <s v="FK"/>
    <s v="ENGEN3.10"/>
    <x v="13"/>
    <s v="S A ZAGO DISTRIUIDORA EPP"/>
    <n v="900"/>
    <x v="25"/>
    <x v="25"/>
    <s v=""/>
    <x v="2"/>
    <s v="MANUTENÇÃO / TI"/>
    <n v="0"/>
    <s v="FÁBIO"/>
  </r>
  <r>
    <n v="195956"/>
    <s v="FK"/>
    <s v="ENGEN4.10"/>
    <x v="14"/>
    <s v="S A ZAGO DISTRIUIDORA EPP"/>
    <n v="900"/>
    <x v="25"/>
    <x v="25"/>
    <s v=""/>
    <x v="2"/>
    <s v="MANUTENÇÃO / TI"/>
    <n v="0"/>
    <s v="FÁBIO"/>
  </r>
  <r>
    <n v="196046"/>
    <s v="KAR"/>
    <s v="HOTEL ABIM"/>
    <x v="11"/>
    <s v="ATLANTICA HOTELS INTERNATIONAL BRASIL LTDA"/>
    <n v="1908.9"/>
    <x v="14"/>
    <x v="14"/>
    <s v=""/>
    <x v="6"/>
    <s v="COMERCIAL"/>
    <n v="0"/>
    <s v="THAIS"/>
  </r>
  <r>
    <n v="196047"/>
    <s v="KAR"/>
    <s v="HOTEL ABIM"/>
    <x v="12"/>
    <s v="ATLANTICA HOTELS INTERNATIONAL BRASIL LTDA"/>
    <n v="1908.9"/>
    <x v="14"/>
    <x v="14"/>
    <s v=""/>
    <x v="6"/>
    <s v="COMERCIAL"/>
    <n v="0"/>
    <s v="THAIS"/>
  </r>
  <r>
    <n v="196048"/>
    <s v="KAR"/>
    <s v="HOTEL ABIM"/>
    <x v="13"/>
    <s v="ATLANTICA HOTELS INTERNATIONAL BRASIL LTDA"/>
    <n v="1908.9"/>
    <x v="14"/>
    <x v="14"/>
    <s v=""/>
    <x v="6"/>
    <s v="COMERCIAL"/>
    <n v="0"/>
    <s v="THAIS"/>
  </r>
  <r>
    <n v="196049"/>
    <s v="KAR"/>
    <s v="HOTEL ABIM"/>
    <x v="14"/>
    <s v="ATLANTICA HOTELS INTERNATIONAL BRASIL LTDA"/>
    <n v="1908.9"/>
    <x v="14"/>
    <x v="14"/>
    <s v=""/>
    <x v="6"/>
    <s v="COMERCIAL"/>
    <n v="0"/>
    <s v="THAIS"/>
  </r>
  <r>
    <n v="196072"/>
    <s v="KAR"/>
    <s v="DH 26/1"/>
    <x v="61"/>
    <s v="LETICIA GIGLIO RODRIGUES"/>
    <n v="4400"/>
    <x v="26"/>
    <x v="26"/>
    <s v=""/>
    <x v="3"/>
    <s v="FINANCEIRO"/>
    <n v="0"/>
    <s v="LETÍCIA"/>
  </r>
  <r>
    <n v="196073"/>
    <s v="KAR"/>
    <s v="DH 26/2"/>
    <x v="22"/>
    <s v="LETICIA GIGLIO RODRIGUES"/>
    <n v="4400"/>
    <x v="26"/>
    <x v="26"/>
    <s v=""/>
    <x v="3"/>
    <s v="FINANCEIRO"/>
    <n v="0"/>
    <s v="LETÍCIA"/>
  </r>
  <r>
    <n v="196074"/>
    <s v="KAR"/>
    <s v="DH 26/3"/>
    <x v="5"/>
    <s v="LETICIA GIGLIO RODRIGUES"/>
    <n v="4400"/>
    <x v="26"/>
    <x v="26"/>
    <s v=""/>
    <x v="3"/>
    <s v="FINANCEIRO"/>
    <n v="0"/>
    <s v="LETÍCIA"/>
  </r>
  <r>
    <n v="196075"/>
    <s v="KAR"/>
    <s v="DH 26/4"/>
    <x v="24"/>
    <s v="LETICIA GIGLIO RODRIGUES"/>
    <n v="4400"/>
    <x v="26"/>
    <x v="26"/>
    <s v=""/>
    <x v="3"/>
    <s v="FINANCEIRO"/>
    <n v="0"/>
    <s v="LETÍCIA"/>
  </r>
  <r>
    <n v="196076"/>
    <s v="KAR"/>
    <s v="DH 26/5"/>
    <x v="10"/>
    <s v="LETICIA GIGLIO RODRIGUES"/>
    <n v="4400"/>
    <x v="26"/>
    <x v="26"/>
    <s v=""/>
    <x v="3"/>
    <s v="FINANCEIRO"/>
    <n v="0"/>
    <s v="LETÍCIA"/>
  </r>
  <r>
    <n v="196174"/>
    <s v="FK"/>
    <s v="PCT020126"/>
    <x v="20"/>
    <s v="COOPERATIVA DE CRED.DE LIVRE ADMISSÃO DO NOROESTE"/>
    <n v="60"/>
    <x v="27"/>
    <x v="27"/>
    <s v=""/>
    <x v="8"/>
    <s v="FINANCEIRO"/>
    <n v="0"/>
    <s v="LETÍCIA"/>
  </r>
  <r>
    <n v="196175"/>
    <s v="FK"/>
    <s v="COB020126"/>
    <x v="20"/>
    <s v="COOPERATIVA DE CRED.DE LIVRE ADMISSÃO DO NOROESTE"/>
    <n v="1.9"/>
    <x v="28"/>
    <x v="28"/>
    <s v=""/>
    <x v="8"/>
    <s v="FINANCEIRO"/>
    <n v="0"/>
    <s v="LETÍCIA"/>
  </r>
  <r>
    <n v="196177"/>
    <s v="LAY"/>
    <s v="IOF020126"/>
    <x v="62"/>
    <s v="BANCO SICREDI"/>
    <n v="0.05"/>
    <x v="27"/>
    <x v="27"/>
    <s v=""/>
    <x v="8"/>
    <s v="FINANCEIRO"/>
    <n v="0"/>
    <s v="LETÍCIA"/>
  </r>
  <r>
    <n v="196178"/>
    <s v="LAY"/>
    <s v="IOFAD0201"/>
    <x v="62"/>
    <s v="BANCO SICREDI"/>
    <n v="2.52"/>
    <x v="27"/>
    <x v="27"/>
    <s v=""/>
    <x v="8"/>
    <s v="FINANCEIRO"/>
    <n v="0"/>
    <s v="LETÍCIA"/>
  </r>
  <r>
    <n v="196179"/>
    <s v="LAY"/>
    <s v="COB0201"/>
    <x v="62"/>
    <s v="BANCO SICREDI"/>
    <n v="3.16"/>
    <x v="28"/>
    <x v="28"/>
    <s v=""/>
    <x v="8"/>
    <s v="FINANCEIRO"/>
    <n v="0"/>
    <s v="LETÍCIA"/>
  </r>
  <r>
    <n v="196180"/>
    <s v="KOY"/>
    <s v="IOF020126"/>
    <x v="62"/>
    <s v="BANCO SICREDI"/>
    <n v="0.16"/>
    <x v="27"/>
    <x v="27"/>
    <s v=""/>
    <x v="8"/>
    <s v="FINANCEIRO"/>
    <n v="0"/>
    <s v="LETÍCIA"/>
  </r>
  <r>
    <n v="196181"/>
    <s v="KOY"/>
    <s v="IOFAD0201"/>
    <x v="62"/>
    <s v="BANCO SICREDI"/>
    <n v="7.6"/>
    <x v="27"/>
    <x v="27"/>
    <s v=""/>
    <x v="8"/>
    <s v="FINANCEIRO"/>
    <n v="0"/>
    <s v="LETÍCIA"/>
  </r>
  <r>
    <n v="196182"/>
    <s v="KOY"/>
    <s v="COB020126"/>
    <x v="62"/>
    <s v="BANCO SICREDI"/>
    <n v="3.16"/>
    <x v="28"/>
    <x v="28"/>
    <s v=""/>
    <x v="8"/>
    <s v="FINANCEIRO"/>
    <n v="0"/>
    <s v="LETÍCIA"/>
  </r>
  <r>
    <n v="196183"/>
    <s v="KAR"/>
    <s v="COB020126"/>
    <x v="62"/>
    <s v="BANCO SICREDI"/>
    <n v="0.79"/>
    <x v="28"/>
    <x v="28"/>
    <s v=""/>
    <x v="8"/>
    <s v="FINANCEIRO"/>
    <n v="0"/>
    <s v="LETÍCIA"/>
  </r>
  <r>
    <n v="196184"/>
    <s v="KAR"/>
    <s v="NEG020126"/>
    <x v="62"/>
    <s v="BANCO SICREDI"/>
    <n v="10"/>
    <x v="27"/>
    <x v="27"/>
    <s v=""/>
    <x v="8"/>
    <s v="FINANCEIRO"/>
    <n v="0"/>
    <s v="LETÍCIA"/>
  </r>
  <r>
    <n v="196185"/>
    <s v="KAR"/>
    <s v="COBLIQ02"/>
    <x v="62"/>
    <s v="BANCO SICREDI"/>
    <n v="1.58"/>
    <x v="28"/>
    <x v="28"/>
    <s v=""/>
    <x v="8"/>
    <s v="FINANCEIRO"/>
    <n v="0"/>
    <s v="LETÍCIA"/>
  </r>
  <r>
    <n v="196186"/>
    <s v="KAR"/>
    <s v="COBLIQ22"/>
    <x v="62"/>
    <s v="BANCO SICREDI"/>
    <n v="17.38"/>
    <x v="28"/>
    <x v="28"/>
    <s v=""/>
    <x v="8"/>
    <s v="FINANCEIRO"/>
    <n v="0"/>
    <s v="LETÍCIA"/>
  </r>
  <r>
    <n v="196187"/>
    <s v="KAR"/>
    <s v="IOF050126"/>
    <x v="20"/>
    <s v="BANCO SICREDI"/>
    <n v="0.45"/>
    <x v="27"/>
    <x v="27"/>
    <s v=""/>
    <x v="8"/>
    <s v="FINANCEIRO"/>
    <n v="0"/>
    <s v="LETÍCIA"/>
  </r>
  <r>
    <n v="196190"/>
    <s v="KAR"/>
    <s v="JUR050126"/>
    <x v="20"/>
    <s v="BANCO SICREDI"/>
    <n v="670.05"/>
    <x v="29"/>
    <x v="29"/>
    <s v=""/>
    <x v="8"/>
    <s v="FINANCEIRO"/>
    <n v="0"/>
    <s v="LETÍCIA"/>
  </r>
  <r>
    <n v="196191"/>
    <s v="KAR"/>
    <s v="IOFDES05"/>
    <x v="20"/>
    <s v="BANCO SICREDI"/>
    <n v="87.09"/>
    <x v="27"/>
    <x v="27"/>
    <s v=""/>
    <x v="8"/>
    <s v="FINANCEIRO"/>
    <n v="0"/>
    <s v="LETÍCIA"/>
  </r>
  <r>
    <n v="196192"/>
    <s v="KAR"/>
    <s v="IOF050126"/>
    <x v="20"/>
    <s v="BANCO SICREDI"/>
    <n v="109.41"/>
    <x v="27"/>
    <x v="27"/>
    <s v=""/>
    <x v="8"/>
    <s v="FINANCEIRO"/>
    <n v="0"/>
    <s v="LETÍCIA"/>
  </r>
  <r>
    <n v="196193"/>
    <s v="FK"/>
    <s v="NIS1812B"/>
    <x v="63"/>
    <s v="CASA DE FERRAGEM NISHIMOTO"/>
    <n v="136"/>
    <x v="30"/>
    <x v="30"/>
    <s v="FERRAGENS GERAIS"/>
    <x v="9"/>
    <s v="MANUTENÇÃO / TI"/>
    <n v="0"/>
    <s v="RAFAEL"/>
  </r>
  <r>
    <n v="196194"/>
    <s v="FK"/>
    <s v="1395"/>
    <x v="63"/>
    <s v="ELAINE CRISTINA TAROCO SANTOS &amp; CIA LTDA"/>
    <n v="30"/>
    <x v="13"/>
    <x v="13"/>
    <s v="COMPONENTES T.I"/>
    <x v="2"/>
    <s v="MANUTENÇÃO / TI"/>
    <n v="0"/>
    <s v="RAFAEL"/>
  </r>
  <r>
    <n v="196195"/>
    <s v="LAY"/>
    <s v="COB0501"/>
    <x v="20"/>
    <s v="BANCO SICREDI"/>
    <n v="8.69"/>
    <x v="28"/>
    <x v="28"/>
    <s v=""/>
    <x v="8"/>
    <s v="FINANCEIRO"/>
    <n v="0"/>
    <s v="LETÍCIA"/>
  </r>
  <r>
    <n v="196196"/>
    <s v="LAY"/>
    <s v="IOF060126"/>
    <x v="63"/>
    <s v="BANCO SICREDI"/>
    <n v="2.4300000000000002"/>
    <x v="27"/>
    <x v="27"/>
    <s v=""/>
    <x v="8"/>
    <s v="FINANCEIRO"/>
    <n v="0"/>
    <s v="LETÍCIA"/>
  </r>
  <r>
    <n v="196197"/>
    <s v="KAR"/>
    <s v="0040601"/>
    <x v="63"/>
    <s v="BANCO SICREDI"/>
    <n v="0.04"/>
    <x v="27"/>
    <x v="27"/>
    <s v=""/>
    <x v="8"/>
    <s v="FINANCEIRO"/>
    <n v="0"/>
    <s v="LETÍCIA"/>
  </r>
  <r>
    <n v="196198"/>
    <s v="LAY"/>
    <s v="IOFCRE060"/>
    <x v="63"/>
    <s v="BANCO SICREDI"/>
    <n v="0.27"/>
    <x v="27"/>
    <x v="27"/>
    <s v=""/>
    <x v="8"/>
    <s v="FINANCEIRO"/>
    <n v="0"/>
    <s v="LETÍCIA"/>
  </r>
  <r>
    <n v="196199"/>
    <s v="FK"/>
    <s v="NIS0501"/>
    <x v="63"/>
    <s v="CASA DE FERRAGEM NISHIMOTO"/>
    <n v="33"/>
    <x v="31"/>
    <x v="31"/>
    <s v="FERRAGENS GERAIS"/>
    <x v="6"/>
    <s v="LOGÍSTICA"/>
    <n v="0"/>
    <s v="MYLENA"/>
  </r>
  <r>
    <n v="196200"/>
    <s v="FK"/>
    <s v="PET3112A"/>
    <x v="63"/>
    <s v="ACT GUIRELLI"/>
    <n v="264"/>
    <x v="32"/>
    <x v="32"/>
    <s v=""/>
    <x v="3"/>
    <s v="FINANCEIRO"/>
    <n v="0"/>
    <s v="LETÍCIA"/>
  </r>
  <r>
    <n v="196201"/>
    <s v="FK"/>
    <s v="PET0301"/>
    <x v="63"/>
    <s v="ACT GUIRELLI"/>
    <n v="18"/>
    <x v="32"/>
    <x v="32"/>
    <s v=""/>
    <x v="3"/>
    <s v="FINANCEIRO"/>
    <n v="0"/>
    <s v="LETÍCIA"/>
  </r>
  <r>
    <n v="196202"/>
    <s v="FK"/>
    <s v="PET2012"/>
    <x v="63"/>
    <s v="ACT GUIRELLI"/>
    <n v="40"/>
    <x v="32"/>
    <x v="32"/>
    <s v=""/>
    <x v="3"/>
    <s v="FINANCEIRO"/>
    <n v="0"/>
    <s v="LETÍCIA"/>
  </r>
  <r>
    <n v="196203"/>
    <s v="KAR"/>
    <s v="1580501"/>
    <x v="20"/>
    <s v="BANCO SICREDI"/>
    <n v="1.58"/>
    <x v="28"/>
    <x v="28"/>
    <s v=""/>
    <x v="8"/>
    <s v="FINANCEIRO"/>
    <n v="0"/>
    <s v="LETÍCIA"/>
  </r>
  <r>
    <n v="196204"/>
    <s v="KAR"/>
    <s v="33418"/>
    <x v="20"/>
    <s v="BANCO SICREDI"/>
    <n v="33.18"/>
    <x v="27"/>
    <x v="27"/>
    <s v=""/>
    <x v="8"/>
    <s v="FINANCEIRO"/>
    <n v="0"/>
    <s v="LETÍCIA"/>
  </r>
  <r>
    <n v="196205"/>
    <s v="KAR"/>
    <s v="229880501"/>
    <x v="20"/>
    <s v="BANCO SICREDI"/>
    <n v="229.88"/>
    <x v="27"/>
    <x v="27"/>
    <s v=""/>
    <x v="8"/>
    <s v="FINANCEIRO"/>
    <n v="0"/>
    <s v="LETÍCIA"/>
  </r>
  <r>
    <n v="196209"/>
    <s v="KOY"/>
    <s v="JAN2026"/>
    <x v="63"/>
    <s v="COPEL DISTRIBUICAO S.A"/>
    <n v="98.41"/>
    <x v="33"/>
    <x v="33"/>
    <s v=""/>
    <x v="4"/>
    <s v="FINANCEIRO"/>
    <n v="0"/>
    <s v="LETÍCIA"/>
  </r>
  <r>
    <n v="196219"/>
    <s v="FK"/>
    <s v="1168175"/>
    <x v="20"/>
    <s v="DUARTE &amp; BALIONI LTDA."/>
    <n v="215.88"/>
    <x v="16"/>
    <x v="16"/>
    <s v=""/>
    <x v="7"/>
    <s v="DH"/>
    <n v="0"/>
    <s v="MYLENA"/>
  </r>
  <r>
    <n v="196231"/>
    <s v="FK"/>
    <s v="BATA0601A"/>
    <x v="63"/>
    <s v="MARIA ANDREIA BUENO DE ALMEIDA BATAER"/>
    <n v="88.2"/>
    <x v="34"/>
    <x v="34"/>
    <s v=""/>
    <x v="6"/>
    <s v="COMERCIAL"/>
    <n v="0"/>
    <s v="LETÍCIA"/>
  </r>
  <r>
    <n v="196234"/>
    <s v="KAR"/>
    <s v="3315"/>
    <x v="63"/>
    <s v="ACC 7 CONSULTORIA E DESENVOLVIMENTO LTDA"/>
    <n v="150"/>
    <x v="35"/>
    <x v="35"/>
    <s v=""/>
    <x v="9"/>
    <s v="DH"/>
    <n v="0"/>
    <s v="FÁBIO"/>
  </r>
  <r>
    <n v="196239"/>
    <s v="FK"/>
    <s v="INICIO26"/>
    <x v="63"/>
    <s v="CRIS / SALGADOS "/>
    <n v="960"/>
    <x v="16"/>
    <x v="16"/>
    <s v=""/>
    <x v="7"/>
    <s v="DH"/>
    <n v="0"/>
    <s v="MYLENA"/>
  </r>
  <r>
    <n v="196241"/>
    <s v="KAR"/>
    <s v="11850601"/>
    <x v="63"/>
    <s v="BANCO SICREDI"/>
    <n v="11.85"/>
    <x v="27"/>
    <x v="27"/>
    <s v=""/>
    <x v="8"/>
    <s v="FINANCEIRO"/>
    <n v="0"/>
    <s v="LETÍCIA"/>
  </r>
  <r>
    <n v="196242"/>
    <s v="KAR"/>
    <s v="1580701"/>
    <x v="64"/>
    <s v="BANCO SICREDI"/>
    <n v="1.58"/>
    <x v="27"/>
    <x v="27"/>
    <s v=""/>
    <x v="8"/>
    <s v="FINANCEIRO"/>
    <n v="0"/>
    <s v="LETÍCIA"/>
  </r>
  <r>
    <n v="196243"/>
    <s v="KAR"/>
    <s v="208819731"/>
    <x v="1"/>
    <s v="COPEL DISTRIBUICAO S.A"/>
    <n v="4543.34"/>
    <x v="36"/>
    <x v="36"/>
    <s v=""/>
    <x v="5"/>
    <s v="PRODUÇÃO"/>
    <n v="0"/>
    <s v="RAFAEL"/>
  </r>
  <r>
    <n v="196260"/>
    <s v="KAR"/>
    <s v="0790601"/>
    <x v="63"/>
    <s v="BANCO SICREDI"/>
    <n v="0.79"/>
    <x v="28"/>
    <x v="28"/>
    <s v=""/>
    <x v="8"/>
    <s v="FINANCEIRO"/>
    <n v="0"/>
    <s v="LETÍCIA"/>
  </r>
  <r>
    <n v="196261"/>
    <s v="KAR"/>
    <s v="711865"/>
    <x v="64"/>
    <s v="AUTO POSTO SANTA TEREZINHA DE AVARE LTDA"/>
    <n v="78.790000000000006"/>
    <x v="37"/>
    <x v="37"/>
    <s v=""/>
    <x v="6"/>
    <s v="LOGÍSTICA"/>
    <n v="0"/>
    <s v="MYLENA"/>
  </r>
  <r>
    <n v="196262"/>
    <s v="KAR"/>
    <s v="712121"/>
    <x v="64"/>
    <s v="AUTO POSTO SANTA TEREZINHA DE AVARE LTDA"/>
    <n v="583"/>
    <x v="37"/>
    <x v="37"/>
    <s v=""/>
    <x v="6"/>
    <s v="LOGÍSTICA"/>
    <n v="0"/>
    <s v="MYLENA"/>
  </r>
  <r>
    <n v="196263"/>
    <s v="KAR"/>
    <s v="711905"/>
    <x v="64"/>
    <s v="AUTO POSTO SANTA TEREZINHA DE AVARE LTDA"/>
    <n v="743.32"/>
    <x v="37"/>
    <x v="37"/>
    <s v=""/>
    <x v="6"/>
    <s v="LOGÍSTICA"/>
    <n v="0"/>
    <s v="MYLENA"/>
  </r>
  <r>
    <n v="196319"/>
    <s v="FK"/>
    <s v="NORI0701"/>
    <x v="64"/>
    <s v="N. M. CODALE &amp; CIA LTDA."/>
    <n v="99"/>
    <x v="38"/>
    <x v="38"/>
    <s v=""/>
    <x v="5"/>
    <s v="PRODUÇÃO"/>
    <n v="0"/>
    <s v="RAFAEL"/>
  </r>
  <r>
    <n v="196320"/>
    <s v="KAR"/>
    <s v="712514"/>
    <x v="64"/>
    <s v="AUTO POSTO SANTA TEREZINHA DE AVARE LTDA"/>
    <n v="105.36"/>
    <x v="37"/>
    <x v="37"/>
    <s v=""/>
    <x v="6"/>
    <s v="LOGÍSTICA"/>
    <n v="0"/>
    <s v="MYLENA"/>
  </r>
  <r>
    <n v="196321"/>
    <s v="KAR"/>
    <s v="120701"/>
    <x v="64"/>
    <s v="BANCO SICREDI"/>
    <n v="1.2"/>
    <x v="28"/>
    <x v="28"/>
    <s v=""/>
    <x v="8"/>
    <s v="FINANCEIRO"/>
    <n v="0"/>
    <s v="LETÍCIA"/>
  </r>
  <r>
    <n v="196322"/>
    <s v="FK"/>
    <s v="MIL0701"/>
    <x v="64"/>
    <s v="MAYCON ARIEL MAIOR &amp; CIA LTDA - ME"/>
    <n v="112.5"/>
    <x v="38"/>
    <x v="38"/>
    <s v=""/>
    <x v="5"/>
    <s v="PRODUÇÃO"/>
    <n v="0"/>
    <s v="RAFAEL"/>
  </r>
  <r>
    <n v="196354"/>
    <s v="KAR"/>
    <s v="079060102"/>
    <x v="63"/>
    <s v="BANCO SICREDI"/>
    <n v="0.79"/>
    <x v="27"/>
    <x v="27"/>
    <s v=""/>
    <x v="8"/>
    <s v="FINANCEIRO"/>
    <n v="0"/>
    <s v="LETÍCIA"/>
  </r>
  <r>
    <n v="196355"/>
    <s v="KAR"/>
    <s v="4740501"/>
    <x v="20"/>
    <s v="BANCO SICREDI"/>
    <n v="4.74"/>
    <x v="28"/>
    <x v="28"/>
    <s v=""/>
    <x v="8"/>
    <s v="FINANCEIRO"/>
    <n v="0"/>
    <s v="LETÍCIA"/>
  </r>
  <r>
    <n v="196356"/>
    <s v="KAR"/>
    <s v="139927"/>
    <x v="64"/>
    <s v="AUTO POSTO PR 323 LTDA"/>
    <n v="67.03"/>
    <x v="37"/>
    <x v="37"/>
    <s v=""/>
    <x v="6"/>
    <s v="LOGÍSTICA"/>
    <n v="0"/>
    <s v="MYLENA"/>
  </r>
  <r>
    <n v="196357"/>
    <s v="KAR"/>
    <s v="1900601"/>
    <x v="63"/>
    <s v="BANCO SICREDI"/>
    <n v="1.9"/>
    <x v="27"/>
    <x v="27"/>
    <s v=""/>
    <x v="8"/>
    <s v="FINANCEIRO"/>
    <n v="0"/>
    <s v="LETÍCIA"/>
  </r>
  <r>
    <n v="196358"/>
    <s v="KAR"/>
    <s v="760"/>
    <x v="20"/>
    <s v="COOPERATIVA DE CRED.DE LIVRE ADMISSÃO DO NOROESTE"/>
    <n v="7.6"/>
    <x v="27"/>
    <x v="27"/>
    <s v=""/>
    <x v="8"/>
    <s v="FINANCEIRO"/>
    <n v="0"/>
    <s v="LETÍCIA"/>
  </r>
  <r>
    <n v="196359"/>
    <s v="KAR"/>
    <s v="139926"/>
    <x v="64"/>
    <s v="AUTO POSTO PR 323 LTDA"/>
    <n v="314.5"/>
    <x v="37"/>
    <x v="37"/>
    <s v=""/>
    <x v="6"/>
    <s v="LOGÍSTICA"/>
    <n v="0"/>
    <s v="MYLENA"/>
  </r>
  <r>
    <n v="196361"/>
    <s v="KAR"/>
    <s v="89839"/>
    <x v="64"/>
    <s v="TELHACO MARINGA INDUSTRIA E COMERCIO DE TELHAS LTD"/>
    <n v="1650"/>
    <x v="25"/>
    <x v="25"/>
    <s v=""/>
    <x v="2"/>
    <s v="MANUTENÇÃO / TI"/>
    <n v="0"/>
    <s v="FÁBIO"/>
  </r>
  <r>
    <n v="196362"/>
    <s v="KAR"/>
    <s v="000000005"/>
    <x v="64"/>
    <s v="Puma Gases F J Oxigenio LTDA"/>
    <n v="380"/>
    <x v="38"/>
    <x v="38"/>
    <s v=""/>
    <x v="5"/>
    <s v="PRODUÇÃO"/>
    <n v="0"/>
    <s v="RAFAEL"/>
  </r>
  <r>
    <n v="196364"/>
    <s v="FK"/>
    <s v="POL2012"/>
    <x v="64"/>
    <s v="BORRACHARIA DO POLACO"/>
    <n v="160"/>
    <x v="31"/>
    <x v="31"/>
    <s v=""/>
    <x v="6"/>
    <s v="LOGÍSTICA"/>
    <n v="0"/>
    <s v="MYLENA"/>
  </r>
  <r>
    <n v="196365"/>
    <s v="FK"/>
    <s v="GM0601"/>
    <x v="64"/>
    <s v="SIDNEI PAULO MILANI"/>
    <n v="1900"/>
    <x v="31"/>
    <x v="31"/>
    <s v=""/>
    <x v="6"/>
    <s v="LOGÍSTICA"/>
    <n v="0"/>
    <s v="MYLENA"/>
  </r>
  <r>
    <n v="196366"/>
    <s v="KAR"/>
    <s v="298343"/>
    <x v="65"/>
    <s v="MARINGA FITAS DIST. FITAS E ABRAS INDS LTDA"/>
    <n v="1033.96"/>
    <x v="38"/>
    <x v="38"/>
    <s v=""/>
    <x v="5"/>
    <s v="PRODUÇÃO"/>
    <n v="0"/>
    <s v="RAFAEL"/>
  </r>
  <r>
    <n v="196367"/>
    <s v="KAR"/>
    <s v="455668"/>
    <x v="65"/>
    <s v="VMD MAQUINAS E FERRAMENTAS LTDA"/>
    <n v="380"/>
    <x v="38"/>
    <x v="38"/>
    <s v="PEÇAS DE FERRAMENTAS"/>
    <x v="5"/>
    <s v="PRODUÇÃO"/>
    <n v="0"/>
    <s v="RAFAEL"/>
  </r>
  <r>
    <n v="196369"/>
    <s v="KAR"/>
    <s v="MENSALIDAD"/>
    <x v="15"/>
    <s v="ASSOC.BRAS.DAS IND.DE MOV.DE ALTA DECORAÇÃO"/>
    <n v="790"/>
    <x v="14"/>
    <x v="14"/>
    <s v=""/>
    <x v="6"/>
    <s v="COMERCIAL"/>
    <n v="0"/>
    <s v="THAIS"/>
  </r>
  <r>
    <n v="196370"/>
    <s v="KAR"/>
    <s v="MENSALIDAD"/>
    <x v="16"/>
    <s v="ASSOC.BRAS.DAS IND.DE MOV.DE ALTA DECORAÇÃO"/>
    <n v="790"/>
    <x v="14"/>
    <x v="14"/>
    <s v=""/>
    <x v="6"/>
    <s v="COMERCIAL"/>
    <n v="0"/>
    <s v="THAIS"/>
  </r>
  <r>
    <n v="196371"/>
    <s v="KAR"/>
    <s v="MENSALIDAD"/>
    <x v="17"/>
    <s v="ASSOC.BRAS.DAS IND.DE MOV.DE ALTA DECORAÇÃO"/>
    <n v="790"/>
    <x v="14"/>
    <x v="14"/>
    <s v=""/>
    <x v="6"/>
    <s v="COMERCIAL"/>
    <n v="0"/>
    <s v="THAIS"/>
  </r>
  <r>
    <n v="196372"/>
    <s v="KAR"/>
    <s v="MENSALIDAD"/>
    <x v="18"/>
    <s v="ASSOC.BRAS.DAS IND.DE MOV.DE ALTA DECORAÇÃO"/>
    <n v="790"/>
    <x v="14"/>
    <x v="14"/>
    <s v=""/>
    <x v="6"/>
    <s v="COMERCIAL"/>
    <n v="0"/>
    <s v="THAIS"/>
  </r>
  <r>
    <n v="196373"/>
    <s v="KAR"/>
    <s v="MENSALIDAD"/>
    <x v="19"/>
    <s v="ASSOC.BRAS.DAS IND.DE MOV.DE ALTA DECORAÇÃO"/>
    <n v="790"/>
    <x v="14"/>
    <x v="14"/>
    <s v=""/>
    <x v="6"/>
    <s v="COMERCIAL"/>
    <n v="0"/>
    <s v="THAIS"/>
  </r>
  <r>
    <n v="196377"/>
    <s v="KAR"/>
    <s v="GESTAO PE"/>
    <x v="66"/>
    <s v="SOLIDES TECNOLOGIA S/A"/>
    <n v="381.6"/>
    <x v="12"/>
    <x v="12"/>
    <s v=""/>
    <x v="3"/>
    <s v="MANUTENÇÃO / TI"/>
    <n v="0"/>
    <s v="LETÍCIA"/>
  </r>
  <r>
    <n v="196378"/>
    <s v="KAR"/>
    <s v="GESTAO PE"/>
    <x v="67"/>
    <s v="SOLIDES TECNOLOGIA S/A"/>
    <n v="381.6"/>
    <x v="12"/>
    <x v="12"/>
    <s v=""/>
    <x v="3"/>
    <s v="MANUTENÇÃO / TI"/>
    <n v="0"/>
    <s v="LETÍCIA"/>
  </r>
  <r>
    <n v="196381"/>
    <s v="KAR"/>
    <s v="GESTAO PE"/>
    <x v="68"/>
    <s v="SOLIDES TECNOLOGIA S/A"/>
    <n v="954"/>
    <x v="12"/>
    <x v="12"/>
    <s v=""/>
    <x v="3"/>
    <s v="MANUTENÇÃO / TI"/>
    <n v="0"/>
    <s v="LETÍCIA"/>
  </r>
  <r>
    <n v="196391"/>
    <s v="FK"/>
    <s v="CNC070126"/>
    <x v="64"/>
    <s v="KARAM'S IND.E COM.DE ESTOFADOS LTDA"/>
    <n v="650"/>
    <x v="26"/>
    <x v="26"/>
    <s v=""/>
    <x v="3"/>
    <s v="FINANCEIRO"/>
    <n v="0"/>
    <s v="LETÍCIA"/>
  </r>
  <r>
    <n v="196394"/>
    <s v="FK"/>
    <s v="JULIO0601"/>
    <x v="64"/>
    <s v="JULIO CEZAR ZACHARIAS"/>
    <n v="1648"/>
    <x v="24"/>
    <x v="24"/>
    <s v=""/>
    <x v="7"/>
    <s v="MANUTENÇÃO / TI"/>
    <n v="0"/>
    <s v="FÁBIO"/>
  </r>
  <r>
    <n v="196396"/>
    <s v="KAR"/>
    <s v="36882"/>
    <x v="64"/>
    <s v="BANCO SICREDI"/>
    <n v="368.82"/>
    <x v="27"/>
    <x v="27"/>
    <s v=""/>
    <x v="8"/>
    <s v="FINANCEIRO"/>
    <n v="0"/>
    <s v="LETÍCIA"/>
  </r>
  <r>
    <n v="196397"/>
    <s v="KAR"/>
    <s v="25721"/>
    <x v="64"/>
    <s v="BANCO SICREDI"/>
    <n v="257.20999999999998"/>
    <x v="27"/>
    <x v="27"/>
    <s v=""/>
    <x v="8"/>
    <s v="FINANCEIRO"/>
    <n v="0"/>
    <s v="LETÍCIA"/>
  </r>
  <r>
    <n v="196398"/>
    <s v="KAR"/>
    <s v="22952"/>
    <x v="64"/>
    <s v="BANCO SICREDI"/>
    <n v="2295.1999999999998"/>
    <x v="29"/>
    <x v="29"/>
    <s v=""/>
    <x v="8"/>
    <s v="FINANCEIRO"/>
    <n v="0"/>
    <s v="LETÍCIA"/>
  </r>
  <r>
    <n v="196399"/>
    <s v="KAR"/>
    <s v="J00214629"/>
    <x v="64"/>
    <s v="KARAM'S IND.E COM.DE ESTOFADOS LTDA"/>
    <n v="130.16"/>
    <x v="39"/>
    <x v="39"/>
    <s v=""/>
    <x v="6"/>
    <s v="LOGÍSTICA"/>
    <n v="0"/>
    <s v="MYLENA"/>
  </r>
  <r>
    <n v="196400"/>
    <s v="FK"/>
    <s v="GIL0501"/>
    <x v="61"/>
    <s v="GILSON MATERIAIS DE CONSTRUÇÃO"/>
    <n v="200"/>
    <x v="25"/>
    <x v="25"/>
    <s v=""/>
    <x v="2"/>
    <s v="MANUTENÇÃO / TI"/>
    <n v="0"/>
    <s v="FÁBIO"/>
  </r>
  <r>
    <n v="196401"/>
    <s v="KAR"/>
    <s v="1430025"/>
    <x v="65"/>
    <s v="FERRAMENTAS GERAIS COMERCIO IMP DE FERRAM. E MAQUI"/>
    <n v="1340.67"/>
    <x v="40"/>
    <x v="40"/>
    <s v="FERRAGENS GERAIS"/>
    <x v="5"/>
    <s v="COMPRAS"/>
    <n v="0"/>
    <s v="RAFAEL"/>
  </r>
  <r>
    <n v="196402"/>
    <s v="KAR"/>
    <s v="10818"/>
    <x v="61"/>
    <s v="BANCO SICREDI"/>
    <n v="108.18"/>
    <x v="29"/>
    <x v="29"/>
    <s v=""/>
    <x v="8"/>
    <s v="FINANCEIRO"/>
    <n v="0"/>
    <s v="LETÍCIA"/>
  </r>
  <r>
    <n v="196403"/>
    <s v="KAR"/>
    <s v="1095"/>
    <x v="61"/>
    <s v="BANCO SICREDI"/>
    <n v="10.95"/>
    <x v="27"/>
    <x v="27"/>
    <s v=""/>
    <x v="8"/>
    <s v="FINANCEIRO"/>
    <n v="0"/>
    <s v="LETÍCIA"/>
  </r>
  <r>
    <n v="196417"/>
    <s v="KAR"/>
    <s v="0790801"/>
    <x v="61"/>
    <s v="BANCO SICREDI"/>
    <n v="0.79"/>
    <x v="27"/>
    <x v="27"/>
    <s v=""/>
    <x v="8"/>
    <s v="FINANCEIRO"/>
    <n v="0"/>
    <s v="LETÍCIA"/>
  </r>
  <r>
    <n v="196419"/>
    <s v="KAR"/>
    <s v="158070107"/>
    <x v="64"/>
    <s v="BANCO SICREDI"/>
    <n v="1.58"/>
    <x v="27"/>
    <x v="27"/>
    <s v=""/>
    <x v="8"/>
    <s v="FINANCEIRO"/>
    <n v="0"/>
    <s v="LETÍCIA"/>
  </r>
  <r>
    <n v="196421"/>
    <s v="KAR"/>
    <s v="46495"/>
    <x v="61"/>
    <s v="ROQUE PAPELARIA"/>
    <n v="160"/>
    <x v="38"/>
    <x v="38"/>
    <s v=""/>
    <x v="5"/>
    <s v="PRODUÇÃO"/>
    <n v="0"/>
    <s v="RAFAEL"/>
  </r>
  <r>
    <n v="196422"/>
    <s v="KAR"/>
    <s v="FRETE"/>
    <x v="61"/>
    <s v="SIMBERBIA TRANSPORTES E LOGISTICA LTDA"/>
    <n v="6920"/>
    <x v="9"/>
    <x v="9"/>
    <s v=""/>
    <x v="2"/>
    <s v="MANUTENÇÃO / TI"/>
    <n v="0"/>
    <s v="RAFAEL"/>
  </r>
  <r>
    <n v="196423"/>
    <s v="KAR"/>
    <s v="RODIZIOS"/>
    <x v="61"/>
    <s v="KARAM'S IND.E COM.DE ESTOFADOS LTDA"/>
    <n v="782.66"/>
    <x v="38"/>
    <x v="38"/>
    <s v=""/>
    <x v="5"/>
    <s v="PRODUÇÃO"/>
    <n v="0"/>
    <s v="RAFAEL"/>
  </r>
  <r>
    <n v="196424"/>
    <s v="KAR"/>
    <s v="ILHOS COR"/>
    <x v="61"/>
    <s v="MERCADO LIVRE "/>
    <n v="306.88"/>
    <x v="14"/>
    <x v="14"/>
    <s v=""/>
    <x v="6"/>
    <s v="COMERCIAL"/>
    <n v="0"/>
    <s v="THAIS"/>
  </r>
  <r>
    <n v="196425"/>
    <s v="KAR"/>
    <s v="712348"/>
    <x v="61"/>
    <s v="AUTO POSTO SANTA TEREZINHA DE AVARE LTDA"/>
    <n v="717.09"/>
    <x v="37"/>
    <x v="37"/>
    <s v=""/>
    <x v="6"/>
    <s v="LOGÍSTICA"/>
    <n v="0"/>
    <s v="MYLENA"/>
  </r>
  <r>
    <n v="196426"/>
    <s v="KAR"/>
    <s v="712154"/>
    <x v="61"/>
    <s v="AUTO POSTO SANTA TEREZINHA DE AVARE LTDA"/>
    <n v="55.67"/>
    <x v="37"/>
    <x v="37"/>
    <s v=""/>
    <x v="6"/>
    <s v="LOGÍSTICA"/>
    <n v="0"/>
    <s v="MYLENA"/>
  </r>
  <r>
    <n v="196427"/>
    <s v="KAR"/>
    <s v="712152"/>
    <x v="61"/>
    <s v="AUTO POSTO SANTA TEREZINHA DE AVARE LTDA"/>
    <n v="647.47"/>
    <x v="37"/>
    <x v="37"/>
    <s v=""/>
    <x v="6"/>
    <s v="LOGÍSTICA"/>
    <n v="0"/>
    <s v="MYLENA"/>
  </r>
  <r>
    <n v="196428"/>
    <s v="FK"/>
    <s v="VANDE2112"/>
    <x v="61"/>
    <s v="CAMINHAO BEM-9J26 "/>
    <n v="760"/>
    <x v="41"/>
    <x v="41"/>
    <s v=""/>
    <x v="6"/>
    <s v="LOGÍSTICA"/>
    <n v="0"/>
    <s v="MYLENA"/>
  </r>
  <r>
    <n v="196429"/>
    <s v="FK"/>
    <s v="BORRACHA"/>
    <x v="61"/>
    <s v="CAMINHAO BEM-9J26 "/>
    <n v="50"/>
    <x v="31"/>
    <x v="31"/>
    <s v=""/>
    <x v="6"/>
    <s v="LOGÍSTICA"/>
    <n v="0"/>
    <s v="MYLENA"/>
  </r>
  <r>
    <n v="196431"/>
    <s v="FK"/>
    <s v="NIS0801"/>
    <x v="61"/>
    <s v="CASA DE FERRAGEM NISHIMOTO"/>
    <n v="88"/>
    <x v="38"/>
    <x v="38"/>
    <s v="FERRAGENS GERAIS"/>
    <x v="5"/>
    <s v="PRODUÇÃO"/>
    <n v="0"/>
    <s v="RAFAEL"/>
  </r>
  <r>
    <n v="196432"/>
    <s v="LAY"/>
    <s v="26966"/>
    <x v="61"/>
    <s v="BANCO SICREDI"/>
    <n v="269.66000000000003"/>
    <x v="27"/>
    <x v="27"/>
    <s v=""/>
    <x v="8"/>
    <s v="FINANCEIRO"/>
    <n v="0"/>
    <s v="LETÍCIA"/>
  </r>
  <r>
    <n v="196433"/>
    <s v="LAY"/>
    <s v="28789"/>
    <x v="61"/>
    <s v="BANCO SICREDI"/>
    <n v="287.89"/>
    <x v="27"/>
    <x v="27"/>
    <s v=""/>
    <x v="8"/>
    <s v="FINANCEIRO"/>
    <n v="0"/>
    <s v="LETÍCIA"/>
  </r>
  <r>
    <n v="196434"/>
    <s v="LAY"/>
    <s v="163632"/>
    <x v="61"/>
    <s v="BANCO SICREDI"/>
    <n v="1636.32"/>
    <x v="29"/>
    <x v="29"/>
    <s v=""/>
    <x v="8"/>
    <s v="FINANCEIRO"/>
    <n v="0"/>
    <s v="LETÍCIA"/>
  </r>
  <r>
    <n v="196435"/>
    <s v="FK"/>
    <s v="37598"/>
    <x v="61"/>
    <s v="AUTO POSTO VIAIS"/>
    <n v="698.44"/>
    <x v="37"/>
    <x v="37"/>
    <s v=""/>
    <x v="6"/>
    <s v="LOGÍSTICA"/>
    <n v="0"/>
    <s v="MYLENA"/>
  </r>
  <r>
    <n v="196436"/>
    <s v="FK"/>
    <s v="LEAND2312"/>
    <x v="61"/>
    <s v="CAMINHAO - AYL-5F59"/>
    <n v="1110"/>
    <x v="37"/>
    <x v="37"/>
    <s v=""/>
    <x v="6"/>
    <s v="LOGÍSTICA"/>
    <n v="0"/>
    <s v="MYLENA"/>
  </r>
  <r>
    <n v="196437"/>
    <s v="FK"/>
    <s v="LEAND2012"/>
    <x v="61"/>
    <s v="CAMINHAO - AYL-5F59"/>
    <n v="1050"/>
    <x v="41"/>
    <x v="41"/>
    <s v=""/>
    <x v="6"/>
    <s v="LOGÍSTICA"/>
    <n v="0"/>
    <s v="MYLENA"/>
  </r>
  <r>
    <n v="196438"/>
    <s v="FK"/>
    <s v="804761"/>
    <x v="61"/>
    <s v="J. P. DOS SANTOS VIAIS &amp; CIA LTDA."/>
    <n v="2242.1799999999998"/>
    <x v="37"/>
    <x v="37"/>
    <s v=""/>
    <x v="6"/>
    <s v="LOGÍSTICA"/>
    <n v="0"/>
    <s v="MYLENA"/>
  </r>
  <r>
    <n v="196439"/>
    <s v="FK"/>
    <s v="NETO2012"/>
    <x v="61"/>
    <s v="CAMINHÃO - AYL-6E00"/>
    <n v="910"/>
    <x v="41"/>
    <x v="41"/>
    <s v=""/>
    <x v="6"/>
    <s v="LOGÍSTICA"/>
    <n v="0"/>
    <s v="MYLENA"/>
  </r>
  <r>
    <n v="196440"/>
    <s v="KAR"/>
    <s v="56492"/>
    <x v="61"/>
    <s v="POSTO FAROL 48 DA CASTELO LTDA"/>
    <n v="732.57"/>
    <x v="37"/>
    <x v="37"/>
    <s v=""/>
    <x v="6"/>
    <s v="LOGÍSTICA"/>
    <n v="0"/>
    <s v="MYLENA"/>
  </r>
  <r>
    <n v="196441"/>
    <s v="KAR"/>
    <s v="56493"/>
    <x v="61"/>
    <s v="POSTO FAROL 48 DA CASTELO LTDA"/>
    <n v="92.08"/>
    <x v="37"/>
    <x v="37"/>
    <s v=""/>
    <x v="6"/>
    <s v="LOGÍSTICA"/>
    <n v="0"/>
    <s v="MYLENA"/>
  </r>
  <r>
    <n v="196444"/>
    <s v="FK"/>
    <s v="MALOTE ES"/>
    <x v="61"/>
    <s v="MARCIO RODRIGUES DA SILVA"/>
    <n v="30"/>
    <x v="26"/>
    <x v="26"/>
    <s v=""/>
    <x v="3"/>
    <s v="FINANCEIRO"/>
    <n v="0"/>
    <s v="LETÍCIA"/>
  </r>
  <r>
    <n v="196445"/>
    <s v="FK"/>
    <s v="THIAGO CR"/>
    <x v="61"/>
    <s v="PWR GESTAO E DESENVOLVIMENTO EMPRESARIAL LTDA"/>
    <n v="370.71"/>
    <x v="6"/>
    <x v="6"/>
    <s v=""/>
    <x v="3"/>
    <s v="FINANCEIRO"/>
    <n v="0"/>
    <s v="LETÍCIA"/>
  </r>
  <r>
    <n v="196446"/>
    <s v="FK"/>
    <s v="JAN2026"/>
    <x v="61"/>
    <s v="FABIO HIROMITSU KATO"/>
    <n v="16000"/>
    <x v="15"/>
    <x v="15"/>
    <s v=""/>
    <x v="7"/>
    <s v="DIRETORIA"/>
    <n v="0"/>
    <s v="FÁBIO"/>
  </r>
  <r>
    <n v="196447"/>
    <s v="FK"/>
    <s v="NIS1212C"/>
    <x v="61"/>
    <s v="CASA DE FERRAGEM NISHIMOTO"/>
    <n v="87.6"/>
    <x v="31"/>
    <x v="31"/>
    <s v="FERRAGENS GERAIS"/>
    <x v="6"/>
    <s v="LOGÍSTICA"/>
    <n v="0"/>
    <s v="MYLENA"/>
  </r>
  <r>
    <n v="196448"/>
    <s v="FK"/>
    <s v="GM0801"/>
    <x v="61"/>
    <s v="SIDNEI PAULO MILANI"/>
    <n v="131"/>
    <x v="31"/>
    <x v="31"/>
    <s v=""/>
    <x v="6"/>
    <s v="LOGÍSTICA"/>
    <n v="0"/>
    <s v="MYLENA"/>
  </r>
  <r>
    <n v="196449"/>
    <s v="KAR"/>
    <s v="663307"/>
    <x v="61"/>
    <s v="KOFEMAR COMERCIO DE PRODUTOS PARA MARCENARIA LTDA"/>
    <n v="250.26"/>
    <x v="38"/>
    <x v="38"/>
    <s v=""/>
    <x v="5"/>
    <s v="PRODUÇÃO"/>
    <n v="0"/>
    <s v="RAFAEL"/>
  </r>
  <r>
    <n v="196450"/>
    <s v="FK"/>
    <s v="POL0801A"/>
    <x v="61"/>
    <s v="BORRACHARIA DO POLACO"/>
    <n v="40"/>
    <x v="31"/>
    <x v="31"/>
    <s v=""/>
    <x v="6"/>
    <s v="LOGÍSTICA"/>
    <n v="0"/>
    <s v="MYLENA"/>
  </r>
  <r>
    <n v="196454"/>
    <s v="KAR"/>
    <s v="455981"/>
    <x v="61"/>
    <s v="VMD MAQUINAS E FERRAMENTAS LTDA"/>
    <n v="304"/>
    <x v="14"/>
    <x v="14"/>
    <s v="PEÇAS DE FERRAMENTAS"/>
    <x v="6"/>
    <s v="COMERCIAL"/>
    <n v="0"/>
    <s v="THAIS"/>
  </r>
  <r>
    <n v="196461"/>
    <s v="KAR"/>
    <s v="TARIFA"/>
    <x v="61"/>
    <s v="CENTRO DE GESTAO DE MEIOS DE PAGTO S/A"/>
    <n v="16.73"/>
    <x v="42"/>
    <x v="42"/>
    <s v=""/>
    <x v="6"/>
    <s v="LOGÍSTICA"/>
    <n v="0"/>
    <s v="MYLENA"/>
  </r>
  <r>
    <n v="196462"/>
    <s v="KAR"/>
    <s v="36671"/>
    <x v="61"/>
    <s v="BANCO SICREDI"/>
    <n v="366.71"/>
    <x v="27"/>
    <x v="27"/>
    <s v=""/>
    <x v="8"/>
    <s v="FINANCEIRO"/>
    <n v="0"/>
    <s v="LETÍCIA"/>
  </r>
  <r>
    <n v="196463"/>
    <s v="KAR"/>
    <s v="36377"/>
    <x v="61"/>
    <s v="BANCO SICREDI"/>
    <n v="363.77"/>
    <x v="27"/>
    <x v="27"/>
    <s v=""/>
    <x v="8"/>
    <s v="FINANCEIRO"/>
    <n v="0"/>
    <s v="LETÍCIA"/>
  </r>
  <r>
    <n v="196464"/>
    <s v="KAR"/>
    <s v="219547"/>
    <x v="61"/>
    <s v="BANCO SICREDI"/>
    <n v="2195.4699999999998"/>
    <x v="29"/>
    <x v="29"/>
    <s v=""/>
    <x v="8"/>
    <s v="FINANCEIRO"/>
    <n v="0"/>
    <s v="LETÍCIA"/>
  </r>
  <r>
    <n v="196465"/>
    <s v="FK"/>
    <s v="72662"/>
    <x v="61"/>
    <s v="COMERCIO DE COMBUSTIVEIS TBM LTDA."/>
    <n v="2466.0700000000002"/>
    <x v="37"/>
    <x v="37"/>
    <s v=""/>
    <x v="6"/>
    <s v="LOGÍSTICA"/>
    <n v="0"/>
    <s v="MYLENA"/>
  </r>
  <r>
    <n v="196466"/>
    <s v="FK"/>
    <s v="265"/>
    <x v="61"/>
    <s v="COMERCIO DE COMBUSTIVEIS TBM LTDA."/>
    <n v="1274.4000000000001"/>
    <x v="31"/>
    <x v="31"/>
    <s v=""/>
    <x v="6"/>
    <s v="LOGÍSTICA"/>
    <n v="0"/>
    <s v="MYLENA"/>
  </r>
  <r>
    <n v="196467"/>
    <s v="FK"/>
    <s v="230"/>
    <x v="61"/>
    <s v="COMERCIO DE COMBUSTIVEIS TBM LTDA."/>
    <n v="53.97"/>
    <x v="43"/>
    <x v="43"/>
    <s v=""/>
    <x v="4"/>
    <s v="LOGÍSTICA"/>
    <n v="0"/>
    <s v="LETÍCIA"/>
  </r>
  <r>
    <n v="196468"/>
    <s v="FK"/>
    <s v="231"/>
    <x v="61"/>
    <s v="COMERCIO DE COMBUSTIVEIS TBM LTDA."/>
    <n v="179.58"/>
    <x v="43"/>
    <x v="43"/>
    <s v=""/>
    <x v="4"/>
    <s v="LOGÍSTICA"/>
    <n v="0"/>
    <s v="LETÍCIA"/>
  </r>
  <r>
    <n v="196470"/>
    <s v="KAR"/>
    <s v="31181"/>
    <x v="65"/>
    <s v="PANIR EQUIPAMENTOS LTDA"/>
    <n v="366"/>
    <x v="9"/>
    <x v="9"/>
    <s v="COMPRESSORES"/>
    <x v="2"/>
    <s v="MANUTENÇÃO / TI"/>
    <n v="0"/>
    <s v="RAFAEL"/>
  </r>
  <r>
    <n v="196471"/>
    <s v="FK"/>
    <s v="NIS0801A"/>
    <x v="69"/>
    <s v="CASA DE FERRAGEM NISHIMOTO"/>
    <n v="30"/>
    <x v="25"/>
    <x v="25"/>
    <s v="FERRAGENS GERAIS"/>
    <x v="2"/>
    <s v="MANUTENÇÃO / TI"/>
    <n v="0"/>
    <s v="FÁBIO"/>
  </r>
  <r>
    <n v="196472"/>
    <s v="FK"/>
    <s v="GIL0801"/>
    <x v="69"/>
    <s v="GILSON MATERIAIS DE CONSTRUÇÃO"/>
    <n v="200"/>
    <x v="25"/>
    <x v="25"/>
    <s v=""/>
    <x v="2"/>
    <s v="MANUTENÇÃO / TI"/>
    <n v="0"/>
    <s v="FÁBIO"/>
  </r>
  <r>
    <n v="196473"/>
    <s v="KAR"/>
    <s v="1962"/>
    <x v="69"/>
    <s v="ALFA TACOGRAFOS LTDA"/>
    <n v="46"/>
    <x v="31"/>
    <x v="31"/>
    <s v=""/>
    <x v="6"/>
    <s v="LOGÍSTICA"/>
    <n v="0"/>
    <s v="MYLENA"/>
  </r>
  <r>
    <n v="196474"/>
    <s v="KAR"/>
    <s v="2515"/>
    <x v="69"/>
    <s v="ALFA TACOGRAFOS LTDA"/>
    <n v="450"/>
    <x v="31"/>
    <x v="31"/>
    <s v=""/>
    <x v="6"/>
    <s v="LOGÍSTICA"/>
    <n v="0"/>
    <s v="MYLENA"/>
  </r>
  <r>
    <n v="196475"/>
    <s v="KAR"/>
    <s v="2516"/>
    <x v="69"/>
    <s v="ALFA TACOGRAFOS LTDA"/>
    <n v="450"/>
    <x v="31"/>
    <x v="31"/>
    <s v=""/>
    <x v="6"/>
    <s v="LOGÍSTICA"/>
    <n v="0"/>
    <s v="MYLENA"/>
  </r>
  <r>
    <n v="196476"/>
    <s v="KAR"/>
    <s v="1963"/>
    <x v="69"/>
    <s v="ALFA TACOGRAFOS LTDA"/>
    <n v="46"/>
    <x v="31"/>
    <x v="31"/>
    <s v=""/>
    <x v="6"/>
    <s v="LOGÍSTICA"/>
    <n v="0"/>
    <s v="MYLENA"/>
  </r>
  <r>
    <n v="196478"/>
    <s v="KAR"/>
    <s v="12640801"/>
    <x v="61"/>
    <s v="BANCO SICREDI"/>
    <n v="12.64"/>
    <x v="28"/>
    <x v="28"/>
    <s v=""/>
    <x v="8"/>
    <s v="FINANCEIRO"/>
    <n v="0"/>
    <s v="LETÍCIA"/>
  </r>
  <r>
    <n v="196479"/>
    <s v="KAR"/>
    <s v="0790901"/>
    <x v="69"/>
    <s v="BANCO SICREDI"/>
    <n v="0.79"/>
    <x v="27"/>
    <x v="27"/>
    <s v=""/>
    <x v="8"/>
    <s v="FINANCEIRO"/>
    <n v="0"/>
    <s v="LETÍCIA"/>
  </r>
  <r>
    <n v="196480"/>
    <s v="KAR"/>
    <s v="79"/>
    <x v="61"/>
    <s v="BANCO SICREDI"/>
    <n v="0.79"/>
    <x v="27"/>
    <x v="27"/>
    <s v=""/>
    <x v="8"/>
    <s v="FINANCEIRO"/>
    <n v="0"/>
    <s v="LETÍCIA"/>
  </r>
  <r>
    <n v="196481"/>
    <s v="KAR"/>
    <s v="079090109"/>
    <x v="69"/>
    <s v="BANCO SICREDI"/>
    <n v="0.79"/>
    <x v="27"/>
    <x v="27"/>
    <s v=""/>
    <x v="8"/>
    <s v="FINANCEIRO"/>
    <n v="0"/>
    <s v="LETÍCIA"/>
  </r>
  <r>
    <n v="196482"/>
    <s v="KAR"/>
    <s v="1900801"/>
    <x v="61"/>
    <s v="BANCO SICREDI"/>
    <n v="1.9"/>
    <x v="27"/>
    <x v="27"/>
    <s v=""/>
    <x v="8"/>
    <s v="FINANCEIRO"/>
    <n v="0"/>
    <s v="LETÍCIA"/>
  </r>
  <r>
    <n v="196483"/>
    <s v="KAR"/>
    <s v="61565"/>
    <x v="65"/>
    <s v="F. G. COM. DE PROD. DE HIG. PROF. LTDA."/>
    <n v="514.29999999999995"/>
    <x v="44"/>
    <x v="44"/>
    <s v=""/>
    <x v="9"/>
    <s v="COMPRAS"/>
    <n v="0"/>
    <s v="MYLENA"/>
  </r>
  <r>
    <n v="196484"/>
    <s v="KAR"/>
    <s v="61564"/>
    <x v="65"/>
    <s v="F. G. COM. DE PROD. DE HIG. PROF. LTDA."/>
    <n v="52.9"/>
    <x v="45"/>
    <x v="45"/>
    <s v=""/>
    <x v="4"/>
    <s v="ADMINISTRATIVO"/>
    <n v="0"/>
    <s v="MYLENA"/>
  </r>
  <r>
    <n v="196485"/>
    <s v="FK"/>
    <s v="ELETRICA"/>
    <x v="69"/>
    <s v="CARLOS AUGUSTO DA SILVA JUNIOR"/>
    <n v="500"/>
    <x v="46"/>
    <x v="46"/>
    <s v=""/>
    <x v="9"/>
    <s v="MANUTENÇÃO / TI"/>
    <n v="0"/>
    <s v="FÁBIO"/>
  </r>
  <r>
    <n v="196487"/>
    <s v="KOY"/>
    <s v="CERTIFICA"/>
    <x v="69"/>
    <s v="JL CERTIFICADORA DIGITAL LTDA"/>
    <n v="189"/>
    <x v="12"/>
    <x v="12"/>
    <s v="CERTIFICADO DIGITAL"/>
    <x v="3"/>
    <s v="MANUTENÇÃO / TI"/>
    <n v="0"/>
    <s v="LETÍCIA"/>
  </r>
  <r>
    <n v="196488"/>
    <s v="LAY"/>
    <s v="CERTIFICA"/>
    <x v="69"/>
    <s v="JL CERTIFICADORA DIGITAL LTDA"/>
    <n v="189"/>
    <x v="12"/>
    <x v="12"/>
    <s v="CERTIFICADO DIGITAL"/>
    <x v="3"/>
    <s v="MANUTENÇÃO / TI"/>
    <n v="0"/>
    <s v="LETÍCIA"/>
  </r>
  <r>
    <n v="196489"/>
    <s v="FK"/>
    <s v="PISW00725"/>
    <x v="69"/>
    <s v="JULIANA SILVA QUITÉRIO - ME"/>
    <n v="864.4"/>
    <x v="47"/>
    <x v="47"/>
    <s v=""/>
    <x v="6"/>
    <s v="COMERCIAL"/>
    <n v="0"/>
    <s v="LETÍCIA"/>
  </r>
  <r>
    <n v="196490"/>
    <s v="FK"/>
    <s v="PISW00125"/>
    <x v="69"/>
    <s v="JULIANA SILVA QUITÉRIO - ME"/>
    <n v="503.4"/>
    <x v="47"/>
    <x v="47"/>
    <s v=""/>
    <x v="6"/>
    <s v="COMERCIAL"/>
    <n v="0"/>
    <s v="LETÍCIA"/>
  </r>
  <r>
    <n v="196491"/>
    <s v="KAR"/>
    <s v="29599"/>
    <x v="63"/>
    <s v="TRANS APUCARANA TRANSPORTES RODOVIARIOS LTDA"/>
    <n v="390.66"/>
    <x v="48"/>
    <x v="48"/>
    <s v="SERVIÇOS FRETE"/>
    <x v="0"/>
    <s v="COMPRAS"/>
    <n v="0"/>
    <s v="MYLENA"/>
  </r>
  <r>
    <n v="196492"/>
    <s v="KAR"/>
    <s v="29692"/>
    <x v="63"/>
    <s v="TRANS APUCARANA TRANSPORTES RODOVIARIOS LTDA"/>
    <n v="133.22"/>
    <x v="48"/>
    <x v="48"/>
    <s v="SERVIÇOS FRETE"/>
    <x v="0"/>
    <s v="COMPRAS"/>
    <n v="0"/>
    <s v="MYLENA"/>
  </r>
  <r>
    <n v="196493"/>
    <s v="KOY"/>
    <s v="JAN090126"/>
    <x v="69"/>
    <s v="RAFAEL KOSSEI KATO"/>
    <n v="6000"/>
    <x v="15"/>
    <x v="15"/>
    <s v=""/>
    <x v="7"/>
    <s v="DIRETORIA"/>
    <n v="0"/>
    <s v="FÁBIO"/>
  </r>
  <r>
    <n v="196508"/>
    <s v="KOY"/>
    <s v="ATRASADOS"/>
    <x v="69"/>
    <s v="OLIVER MEDIA INFORMATICA LTDA"/>
    <n v="135"/>
    <x v="12"/>
    <x v="12"/>
    <s v="E-MAILS"/>
    <x v="3"/>
    <s v="MANUTENÇÃO / TI"/>
    <n v="0"/>
    <s v="LETÍCIA"/>
  </r>
  <r>
    <n v="196509"/>
    <s v="LAY"/>
    <s v="MYL090126"/>
    <x v="69"/>
    <s v="MYLENA NARIE KATO BRIGANTINI"/>
    <n v="6000"/>
    <x v="15"/>
    <x v="15"/>
    <s v=""/>
    <x v="7"/>
    <s v="DIRETORIA"/>
    <n v="0"/>
    <s v="FÁBIO"/>
  </r>
  <r>
    <n v="196510"/>
    <s v="KOY"/>
    <s v="MENSALIDAE"/>
    <x v="70"/>
    <s v="OLIVER MEDIA INFORMATICA LTDA"/>
    <n v="45"/>
    <x v="12"/>
    <x v="12"/>
    <s v="E-MAILS"/>
    <x v="3"/>
    <s v="MANUTENÇÃO / TI"/>
    <n v="0"/>
    <s v="LETÍCIA"/>
  </r>
  <r>
    <n v="196511"/>
    <s v="KOY"/>
    <s v="MENSALIDAE"/>
    <x v="16"/>
    <s v="OLIVER MEDIA INFORMATICA LTDA"/>
    <n v="45"/>
    <x v="12"/>
    <x v="12"/>
    <s v="E-MAILS"/>
    <x v="3"/>
    <s v="MANUTENÇÃO / TI"/>
    <n v="0"/>
    <s v="LETÍCIA"/>
  </r>
  <r>
    <n v="196512"/>
    <s v="KOY"/>
    <s v="MENSALIDAE"/>
    <x v="17"/>
    <s v="OLIVER MEDIA INFORMATICA LTDA"/>
    <n v="45"/>
    <x v="12"/>
    <x v="12"/>
    <s v="E-MAILS"/>
    <x v="3"/>
    <s v="MANUTENÇÃO / TI"/>
    <n v="0"/>
    <s v="LETÍCIA"/>
  </r>
  <r>
    <n v="196513"/>
    <s v="KOY"/>
    <s v="MENSALIDAE"/>
    <x v="18"/>
    <s v="OLIVER MEDIA INFORMATICA LTDA"/>
    <n v="45"/>
    <x v="12"/>
    <x v="12"/>
    <s v="E-MAILS"/>
    <x v="3"/>
    <s v="MANUTENÇÃO / TI"/>
    <n v="0"/>
    <s v="LETÍCIA"/>
  </r>
  <r>
    <n v="196514"/>
    <s v="KOY"/>
    <s v="MENSALIDAE"/>
    <x v="19"/>
    <s v="OLIVER MEDIA INFORMATICA LTDA"/>
    <n v="45"/>
    <x v="12"/>
    <x v="12"/>
    <s v="E-MAILS"/>
    <x v="3"/>
    <s v="MANUTENÇÃO / TI"/>
    <n v="0"/>
    <s v="LETÍCIA"/>
  </r>
  <r>
    <n v="196531"/>
    <s v="KAR"/>
    <s v="AYL-5F59/1"/>
    <x v="21"/>
    <s v="ESTADO DO PARANA - SECRETARIA DE ESTADO DA FAZENDA"/>
    <n v="1381.83"/>
    <x v="49"/>
    <x v="49"/>
    <s v=""/>
    <x v="6"/>
    <s v="LOGÍSTICA"/>
    <n v="0"/>
    <s v="MYLENA"/>
  </r>
  <r>
    <n v="196532"/>
    <s v="KAR"/>
    <s v="1431203"/>
    <x v="65"/>
    <s v="FERRAMENTAS GERAIS COMERCIO IMP DE FERRAM. E MAQUI"/>
    <n v="1880.6"/>
    <x v="38"/>
    <x v="38"/>
    <s v="FERRAGENS GERAIS"/>
    <x v="5"/>
    <s v="PRODUÇÃO"/>
    <n v="0"/>
    <s v="RAFAEL"/>
  </r>
  <r>
    <n v="196533"/>
    <s v="KAR"/>
    <s v="AYL-5F59/2"/>
    <x v="32"/>
    <s v="ESTADO DO PARANA - SECRETARIA DE ESTADO DA FAZENDA"/>
    <n v="1381.83"/>
    <x v="49"/>
    <x v="49"/>
    <s v=""/>
    <x v="6"/>
    <s v="LOGÍSTICA"/>
    <n v="0"/>
    <s v="MYLENA"/>
  </r>
  <r>
    <n v="196534"/>
    <s v="KAR"/>
    <s v="AYL-5F59/3"/>
    <x v="33"/>
    <s v="ESTADO DO PARANA - SECRETARIA DE ESTADO DA FAZENDA"/>
    <n v="1381.83"/>
    <x v="49"/>
    <x v="49"/>
    <s v=""/>
    <x v="6"/>
    <s v="LOGÍSTICA"/>
    <n v="0"/>
    <s v="MYLENA"/>
  </r>
  <r>
    <n v="196535"/>
    <s v="KAR"/>
    <s v="AYL-5F59/4"/>
    <x v="47"/>
    <s v="ESTADO DO PARANA - SECRETARIA DE ESTADO DA FAZENDA"/>
    <n v="1381.83"/>
    <x v="49"/>
    <x v="49"/>
    <s v=""/>
    <x v="6"/>
    <s v="LOGÍSTICA"/>
    <n v="0"/>
    <s v="MYLENA"/>
  </r>
  <r>
    <n v="196556"/>
    <s v="FK"/>
    <s v="ELET0901"/>
    <x v="69"/>
    <s v="JOAO LUIZ DE OLIVEIRA &amp; CIA LTDA - ME"/>
    <n v="640"/>
    <x v="46"/>
    <x v="46"/>
    <s v="MATERIAIS ELETRICOS"/>
    <x v="9"/>
    <s v="MANUTENÇÃO / TI"/>
    <n v="0"/>
    <s v="FÁBIO"/>
  </r>
  <r>
    <n v="196562"/>
    <s v="FK"/>
    <s v="NIS0901A"/>
    <x v="69"/>
    <s v="CASA DE FERRAGEM NISHIMOTO"/>
    <n v="162"/>
    <x v="25"/>
    <x v="25"/>
    <s v="FERRAGENS GERAIS"/>
    <x v="2"/>
    <s v="MANUTENÇÃO / TI"/>
    <n v="0"/>
    <s v="FÁBIO"/>
  </r>
  <r>
    <n v="196563"/>
    <s v="KAR"/>
    <s v="539028"/>
    <x v="69"/>
    <s v="ELETROLUZ MATERIAIS ELETRICOS LTDA."/>
    <n v="2291.86"/>
    <x v="14"/>
    <x v="14"/>
    <s v=""/>
    <x v="6"/>
    <s v="COMERCIAL"/>
    <n v="0"/>
    <s v="THAIS"/>
  </r>
  <r>
    <n v="196573"/>
    <s v="FK"/>
    <s v="BDS 7E01/1"/>
    <x v="69"/>
    <s v="ESTADO DO PARANA - SECRETARIA DE ESTADO DA FAZENDA"/>
    <n v="194.45"/>
    <x v="49"/>
    <x v="49"/>
    <s v=""/>
    <x v="6"/>
    <s v="LOGÍSTICA"/>
    <n v="0"/>
    <s v="MYLENA"/>
  </r>
  <r>
    <n v="196574"/>
    <s v="FK"/>
    <s v="BDS 7E01/2"/>
    <x v="2"/>
    <s v="ESTADO DO PARANA - SECRETARIA DE ESTADO DA FAZENDA"/>
    <n v="194.45"/>
    <x v="49"/>
    <x v="49"/>
    <s v=""/>
    <x v="6"/>
    <s v="LOGÍSTICA"/>
    <n v="0"/>
    <s v="MYLENA"/>
  </r>
  <r>
    <n v="196575"/>
    <s v="FK"/>
    <s v="BDS 7E01/3"/>
    <x v="71"/>
    <s v="ESTADO DO PARANA - SECRETARIA DE ESTADO DA FAZENDA"/>
    <n v="194.45"/>
    <x v="49"/>
    <x v="49"/>
    <s v=""/>
    <x v="6"/>
    <s v="LOGÍSTICA"/>
    <n v="0"/>
    <s v="MYLENA"/>
  </r>
  <r>
    <n v="196576"/>
    <s v="FK"/>
    <s v="BDS 7E01/4"/>
    <x v="72"/>
    <s v="ESTADO DO PARANA - SECRETARIA DE ESTADO DA FAZENDA"/>
    <n v="194.45"/>
    <x v="49"/>
    <x v="49"/>
    <s v=""/>
    <x v="6"/>
    <s v="LOGÍSTICA"/>
    <n v="0"/>
    <s v="MYLENA"/>
  </r>
  <r>
    <n v="196577"/>
    <s v="FK"/>
    <s v="BDS 7E01/5"/>
    <x v="73"/>
    <s v="ESTADO DO PARANA - SECRETARIA DE ESTADO DA FAZENDA"/>
    <n v="194.45"/>
    <x v="49"/>
    <x v="49"/>
    <s v=""/>
    <x v="6"/>
    <s v="LOGÍSTICA"/>
    <n v="0"/>
    <s v="MYLENA"/>
  </r>
  <r>
    <n v="196578"/>
    <s v="KAR"/>
    <s v="40308"/>
    <x v="69"/>
    <s v="BANCO SICREDI"/>
    <n v="403.08"/>
    <x v="27"/>
    <x v="27"/>
    <s v=""/>
    <x v="8"/>
    <s v="FINANCEIRO"/>
    <n v="0"/>
    <s v="LETÍCIA"/>
  </r>
  <r>
    <n v="196579"/>
    <s v="KAR"/>
    <s v="38986"/>
    <x v="69"/>
    <s v="BANCO SICREDI"/>
    <n v="389.86"/>
    <x v="27"/>
    <x v="27"/>
    <s v=""/>
    <x v="8"/>
    <s v="FINANCEIRO"/>
    <n v="0"/>
    <s v="LETÍCIA"/>
  </r>
  <r>
    <n v="196581"/>
    <s v="KAR"/>
    <s v="JAN090126"/>
    <x v="69"/>
    <s v="SUELY KAY KATO"/>
    <n v="7000"/>
    <x v="15"/>
    <x v="15"/>
    <s v=""/>
    <x v="7"/>
    <s v="DIRETORIA"/>
    <n v="0"/>
    <s v="FÁBIO"/>
  </r>
  <r>
    <n v="196582"/>
    <s v="FK"/>
    <s v="POL0901C"/>
    <x v="69"/>
    <s v="BORRACHARIA DO POLACO"/>
    <n v="120"/>
    <x v="31"/>
    <x v="31"/>
    <s v=""/>
    <x v="6"/>
    <s v="LOGÍSTICA"/>
    <n v="0"/>
    <s v="MYLENA"/>
  </r>
  <r>
    <n v="196583"/>
    <s v="FK"/>
    <s v="GM0801A"/>
    <x v="69"/>
    <s v="SIDNEI PAULO MILANI"/>
    <n v="95"/>
    <x v="31"/>
    <x v="31"/>
    <s v=""/>
    <x v="6"/>
    <s v="LOGÍSTICA"/>
    <n v="0"/>
    <s v="MYLENA"/>
  </r>
  <r>
    <n v="196584"/>
    <s v="KAR"/>
    <s v="246862"/>
    <x v="69"/>
    <s v="BANCO SICREDI"/>
    <n v="2468.62"/>
    <x v="29"/>
    <x v="29"/>
    <s v=""/>
    <x v="8"/>
    <s v="FINANCEIRO"/>
    <n v="0"/>
    <s v="LETÍCIA"/>
  </r>
  <r>
    <n v="196585"/>
    <s v="FK"/>
    <s v="116708"/>
    <x v="69"/>
    <s v="CIRO NISHIYAMA &amp; FILHO LTDA."/>
    <n v="17.5"/>
    <x v="31"/>
    <x v="31"/>
    <s v="FERRAGENS GERAIS"/>
    <x v="6"/>
    <s v="LOGÍSTICA"/>
    <n v="0"/>
    <s v="MYLENA"/>
  </r>
  <r>
    <n v="196586"/>
    <s v="KOY"/>
    <s v="ATA DISTR"/>
    <x v="69"/>
    <s v="EXITUS ESCRITORIO DE CONTABILIDADE S/S - EPP"/>
    <n v="700"/>
    <x v="4"/>
    <x v="4"/>
    <s v=""/>
    <x v="3"/>
    <s v="FINANCEIRO"/>
    <n v="0"/>
    <s v="LETÍCIA"/>
  </r>
  <r>
    <n v="196588"/>
    <s v="FK"/>
    <s v="FORRO PVC"/>
    <x v="69"/>
    <s v="KARAM'S IND.E COM.DE ESTOFADOS LTDA"/>
    <n v="3000"/>
    <x v="46"/>
    <x v="46"/>
    <s v=""/>
    <x v="9"/>
    <s v="MANUTENÇÃO / TI"/>
    <n v="0"/>
    <s v="FÁBIO"/>
  </r>
  <r>
    <n v="196590"/>
    <s v="FK"/>
    <s v="FAB200126"/>
    <x v="69"/>
    <s v="UNIMED DE PARANAVAI COOPERATIVA DE TRABALHO MEDICO"/>
    <n v="1370.85"/>
    <x v="15"/>
    <x v="15"/>
    <s v=""/>
    <x v="7"/>
    <s v="DIRETORIA"/>
    <n v="0"/>
    <s v="FÁBIO"/>
  </r>
  <r>
    <n v="196591"/>
    <s v="FK"/>
    <s v="SUE200126"/>
    <x v="69"/>
    <s v="UNIMED DE PARANAVAI COOPERATIVA DE TRABALHO MEDICO"/>
    <n v="1998.57"/>
    <x v="15"/>
    <x v="15"/>
    <s v=""/>
    <x v="7"/>
    <s v="DIRETORIA"/>
    <n v="0"/>
    <s v="FÁBIO"/>
  </r>
  <r>
    <n v="196592"/>
    <s v="FK"/>
    <s v="KAR200126"/>
    <x v="69"/>
    <s v="UNIMED DE PARANAVAI COOPERATIVA DE TRABALHO MEDICO"/>
    <n v="808.51"/>
    <x v="15"/>
    <x v="15"/>
    <s v=""/>
    <x v="7"/>
    <s v="DIRETORIA"/>
    <n v="0"/>
    <s v="FÁBIO"/>
  </r>
  <r>
    <n v="196593"/>
    <s v="FK"/>
    <s v="MYL200126"/>
    <x v="69"/>
    <s v="UNIMED DE PARANAVAI COOPERATIVA DE TRABALHO MEDICO"/>
    <n v="846.01"/>
    <x v="15"/>
    <x v="15"/>
    <s v=""/>
    <x v="7"/>
    <s v="DIRETORIA"/>
    <n v="0"/>
    <s v="FÁBIO"/>
  </r>
  <r>
    <n v="196594"/>
    <s v="FK"/>
    <s v="RAF200126"/>
    <x v="69"/>
    <s v="UNIMED DE PARANAVAI COOPERATIVA DE TRABALHO MEDICO"/>
    <n v="1323.87"/>
    <x v="15"/>
    <x v="15"/>
    <s v=""/>
    <x v="7"/>
    <s v="DIRETORIA"/>
    <n v="0"/>
    <s v="FÁBIO"/>
  </r>
  <r>
    <n v="196596"/>
    <s v="FK"/>
    <s v="NIS0901B"/>
    <x v="52"/>
    <s v="CASA DE FERRAGEM NISHIMOTO"/>
    <n v="25"/>
    <x v="31"/>
    <x v="31"/>
    <s v="FERRAGENS GERAIS"/>
    <x v="6"/>
    <s v="LOGÍSTICA"/>
    <n v="0"/>
    <s v="MYLENA"/>
  </r>
  <r>
    <n v="196597"/>
    <s v="FK"/>
    <s v="46393"/>
    <x v="40"/>
    <s v="MERCADO LIVRE "/>
    <n v="2392"/>
    <x v="46"/>
    <x v="46"/>
    <s v=""/>
    <x v="9"/>
    <s v="MANUTENÇÃO / TI"/>
    <n v="0"/>
    <s v="FÁBIO"/>
  </r>
  <r>
    <n v="196598"/>
    <s v="FK"/>
    <s v="3226"/>
    <x v="40"/>
    <s v="MERCADO LIVRE "/>
    <n v="995"/>
    <x v="46"/>
    <x v="46"/>
    <s v=""/>
    <x v="9"/>
    <s v="MANUTENÇÃO / TI"/>
    <n v="0"/>
    <s v="FÁBIO"/>
  </r>
  <r>
    <n v="196599"/>
    <s v="FK"/>
    <s v="119081"/>
    <x v="40"/>
    <s v="MERCADO LIVRE "/>
    <n v="1133.07"/>
    <x v="46"/>
    <x v="46"/>
    <s v=""/>
    <x v="9"/>
    <s v="MANUTENÇÃO / TI"/>
    <n v="0"/>
    <s v="FÁBIO"/>
  </r>
  <r>
    <n v="196600"/>
    <s v="FK"/>
    <s v="75428"/>
    <x v="40"/>
    <s v="MERCADO LIVRE "/>
    <n v="258.97000000000003"/>
    <x v="46"/>
    <x v="46"/>
    <s v=""/>
    <x v="9"/>
    <s v="MANUTENÇÃO / TI"/>
    <n v="0"/>
    <s v="FÁBIO"/>
  </r>
  <r>
    <n v="196601"/>
    <s v="KAR"/>
    <s v="5183"/>
    <x v="52"/>
    <s v="BANCO SICREDI"/>
    <n v="52.83"/>
    <x v="29"/>
    <x v="29"/>
    <s v=""/>
    <x v="8"/>
    <s v="FINANCEIRO"/>
    <n v="0"/>
    <s v="LETÍCIA"/>
  </r>
  <r>
    <n v="196602"/>
    <s v="KAR"/>
    <s v="4861201"/>
    <x v="52"/>
    <s v="BANCO SICREDI"/>
    <n v="4.8600000000000003"/>
    <x v="27"/>
    <x v="27"/>
    <s v=""/>
    <x v="8"/>
    <s v="FINANCEIRO"/>
    <n v="0"/>
    <s v="LETÍCIA"/>
  </r>
  <r>
    <n v="196604"/>
    <s v="KAR"/>
    <s v="0120901"/>
    <x v="69"/>
    <s v="BANCO SICREDI"/>
    <n v="0.12"/>
    <x v="27"/>
    <x v="27"/>
    <s v=""/>
    <x v="8"/>
    <s v="FINANCEIRO"/>
    <n v="0"/>
    <s v="LETÍCIA"/>
  </r>
  <r>
    <n v="196605"/>
    <s v="KAR"/>
    <s v="0531201"/>
    <x v="52"/>
    <s v="BANCO SICREDI"/>
    <n v="0.53"/>
    <x v="27"/>
    <x v="27"/>
    <s v=""/>
    <x v="8"/>
    <s v="FINANCEIRO"/>
    <n v="0"/>
    <s v="LETÍCIA"/>
  </r>
  <r>
    <n v="196606"/>
    <s v="KAR"/>
    <s v="MENSALIDAD"/>
    <x v="15"/>
    <s v="EXITUS ESCRITORIO DE CONTABILIDADE S/S - EPP"/>
    <n v="4805.5"/>
    <x v="4"/>
    <x v="4"/>
    <s v=""/>
    <x v="3"/>
    <s v="FINANCEIRO"/>
    <n v="0"/>
    <s v="LETÍCIA"/>
  </r>
  <r>
    <n v="196607"/>
    <s v="KAR"/>
    <s v="MENSALIDAD"/>
    <x v="11"/>
    <s v="EXITUS ESCRITORIO DE CONTABILIDADE S/S - EPP"/>
    <n v="4805.5"/>
    <x v="4"/>
    <x v="4"/>
    <s v=""/>
    <x v="3"/>
    <s v="FINANCEIRO"/>
    <n v="0"/>
    <s v="LETÍCIA"/>
  </r>
  <r>
    <n v="196612"/>
    <s v="LAY"/>
    <s v="MENSALIDAD"/>
    <x v="15"/>
    <s v="EXITUS ESCRITORIO DE CONTABILIDADE S/S - EPP"/>
    <n v="691"/>
    <x v="4"/>
    <x v="4"/>
    <s v=""/>
    <x v="3"/>
    <s v="FINANCEIRO"/>
    <n v="0"/>
    <s v="LETÍCIA"/>
  </r>
  <r>
    <n v="196616"/>
    <s v="KAR"/>
    <s v="010749"/>
    <x v="69"/>
    <s v="BANCO SICREDI"/>
    <n v="0.79"/>
    <x v="27"/>
    <x v="27"/>
    <s v=""/>
    <x v="8"/>
    <s v="FINANCEIRO"/>
    <n v="0"/>
    <s v="LETÍCIA"/>
  </r>
  <r>
    <n v="196622"/>
    <s v="KAR"/>
    <s v="0790"/>
    <x v="69"/>
    <s v="BANCO SICREDI"/>
    <n v="0.79"/>
    <x v="27"/>
    <x v="27"/>
    <s v=""/>
    <x v="8"/>
    <s v="FINANCEIRO"/>
    <n v="0"/>
    <s v="LETÍCIA"/>
  </r>
  <r>
    <n v="196623"/>
    <s v="KAR"/>
    <s v="0951201"/>
    <x v="52"/>
    <s v="BANCO SICREDI"/>
    <n v="0.95"/>
    <x v="27"/>
    <x v="27"/>
    <s v=""/>
    <x v="8"/>
    <s v="FINANCEIRO"/>
    <n v="0"/>
    <s v="LETÍCIA"/>
  </r>
  <r>
    <n v="196624"/>
    <s v="FK"/>
    <s v="SUELY"/>
    <x v="52"/>
    <s v="JL CERTIFICADORA DIGITAL LTDA"/>
    <n v="140"/>
    <x v="12"/>
    <x v="12"/>
    <s v="CERTIFICADO DIGITAL"/>
    <x v="3"/>
    <s v="MANUTENÇÃO / TI"/>
    <n v="0"/>
    <s v="LETÍCIA"/>
  </r>
  <r>
    <n v="196630"/>
    <s v="KAR"/>
    <s v="16-31DZ25"/>
    <x v="52"/>
    <s v="ANA VERA ANDRADE CUNHA"/>
    <n v="3033.96"/>
    <x v="47"/>
    <x v="47"/>
    <s v=""/>
    <x v="6"/>
    <s v="COMERCIAL"/>
    <n v="0"/>
    <s v="LETÍCIA"/>
  </r>
  <r>
    <n v="196631"/>
    <s v="KAR"/>
    <s v="16-31DZ25"/>
    <x v="52"/>
    <s v="BELA CASA REPRESENTAÇOES LTDA"/>
    <n v="3714.31"/>
    <x v="47"/>
    <x v="47"/>
    <s v=""/>
    <x v="6"/>
    <s v="COMERCIAL"/>
    <n v="0"/>
    <s v="LETÍCIA"/>
  </r>
  <r>
    <n v="196635"/>
    <s v="KAR"/>
    <s v="16-31DZ25"/>
    <x v="52"/>
    <s v="ELAINE DE OLIVEIRA TESSARO"/>
    <n v="10234.219999999999"/>
    <x v="47"/>
    <x v="47"/>
    <s v=""/>
    <x v="6"/>
    <s v="COMERCIAL"/>
    <n v="0"/>
    <s v="LETÍCIA"/>
  </r>
  <r>
    <n v="196636"/>
    <s v="KAR"/>
    <s v="16-31DZ25"/>
    <x v="52"/>
    <s v="ILHA BELLA COM E REPRESENTAÇOES LTDA"/>
    <n v="6234.48"/>
    <x v="47"/>
    <x v="47"/>
    <s v=""/>
    <x v="6"/>
    <s v="COMERCIAL"/>
    <n v="0"/>
    <s v="LETÍCIA"/>
  </r>
  <r>
    <n v="196637"/>
    <s v="KAR"/>
    <s v="16-31DZ25"/>
    <x v="52"/>
    <s v="LIGHT REPRESENTAÇÕES LTDA"/>
    <n v="1280.55"/>
    <x v="47"/>
    <x v="47"/>
    <s v=""/>
    <x v="6"/>
    <s v="COMERCIAL"/>
    <n v="0"/>
    <s v="LETÍCIA"/>
  </r>
  <r>
    <n v="196638"/>
    <s v="FK"/>
    <s v="ABIMAD41"/>
    <x v="52"/>
    <s v="VIAÇÃO GARCIA LTDA"/>
    <n v="1539.96"/>
    <x v="14"/>
    <x v="14"/>
    <s v=""/>
    <x v="6"/>
    <s v="COMERCIAL"/>
    <n v="0"/>
    <s v="THAIS"/>
  </r>
  <r>
    <n v="196639"/>
    <s v="KAR"/>
    <s v="16-31DZ25"/>
    <x v="52"/>
    <s v="MARTINS REPRESENTAÇÕES E VENDAS EIRELLI"/>
    <n v="6596.38"/>
    <x v="47"/>
    <x v="47"/>
    <s v=""/>
    <x v="6"/>
    <s v="COMERCIAL"/>
    <n v="0"/>
    <s v="LETÍCIA"/>
  </r>
  <r>
    <n v="196640"/>
    <s v="KAR"/>
    <s v="16-31DZ25"/>
    <x v="52"/>
    <s v="PVJ REPRESENTAÇÕES LTDA"/>
    <n v="5327.44"/>
    <x v="47"/>
    <x v="47"/>
    <s v=""/>
    <x v="6"/>
    <s v="COMERCIAL"/>
    <n v="0"/>
    <s v="LETÍCIA"/>
  </r>
  <r>
    <n v="196641"/>
    <s v="KAR"/>
    <s v="16-31DZ25"/>
    <x v="52"/>
    <s v="RICARDO CARVALHO DALANHOL"/>
    <n v="3004.97"/>
    <x v="47"/>
    <x v="47"/>
    <s v=""/>
    <x v="6"/>
    <s v="COMERCIAL"/>
    <n v="0"/>
    <s v="LETÍCIA"/>
  </r>
  <r>
    <n v="196642"/>
    <s v="FK"/>
    <s v="16-31DZ25"/>
    <x v="52"/>
    <s v="ANA VERA ANDRADE CUNHA"/>
    <n v="385.86"/>
    <x v="47"/>
    <x v="47"/>
    <s v=""/>
    <x v="6"/>
    <s v="COMERCIAL"/>
    <n v="0"/>
    <s v="LETÍCIA"/>
  </r>
  <r>
    <n v="196643"/>
    <s v="FK"/>
    <s v="16-31DZ25"/>
    <x v="52"/>
    <s v="BELA CASA REPRESENTAÇOES LTDA"/>
    <n v="2235.9899999999998"/>
    <x v="47"/>
    <x v="47"/>
    <s v=""/>
    <x v="6"/>
    <s v="COMERCIAL"/>
    <n v="0"/>
    <s v="LETÍCIA"/>
  </r>
  <r>
    <n v="196644"/>
    <s v="FK"/>
    <s v="16-31DZ25"/>
    <x v="52"/>
    <s v="ELAINE DE OLIVEIRA TESSARO"/>
    <n v="1826.77"/>
    <x v="47"/>
    <x v="47"/>
    <s v=""/>
    <x v="6"/>
    <s v="COMERCIAL"/>
    <n v="0"/>
    <s v="LETÍCIA"/>
  </r>
  <r>
    <n v="196645"/>
    <s v="FK"/>
    <s v="16-31DZ25"/>
    <x v="52"/>
    <s v="ILHA BELLA COM E REPRESENTAÇOES LTDA"/>
    <n v="1059.23"/>
    <x v="47"/>
    <x v="47"/>
    <s v=""/>
    <x v="6"/>
    <s v="COMERCIAL"/>
    <n v="0"/>
    <s v="LETÍCIA"/>
  </r>
  <r>
    <n v="196646"/>
    <s v="FK"/>
    <s v="16-31DZ25"/>
    <x v="52"/>
    <s v="MARTINS REPRESENTAÇÕES E VENDAS EIRELLI"/>
    <n v="322.81"/>
    <x v="47"/>
    <x v="47"/>
    <s v=""/>
    <x v="6"/>
    <s v="COMERCIAL"/>
    <n v="0"/>
    <s v="LETÍCIA"/>
  </r>
  <r>
    <n v="196647"/>
    <s v="FK"/>
    <s v="16-31DZ25"/>
    <x v="52"/>
    <s v="PVJ REPRESENTAÇÕES LTDA"/>
    <n v="1178.44"/>
    <x v="47"/>
    <x v="47"/>
    <s v=""/>
    <x v="6"/>
    <s v="COMERCIAL"/>
    <n v="0"/>
    <s v="LETÍCIA"/>
  </r>
  <r>
    <n v="196648"/>
    <s v="FK"/>
    <s v="16-31DZ25"/>
    <x v="52"/>
    <s v="RICARDO CARVALHO DALANHOL"/>
    <n v="156.6"/>
    <x v="47"/>
    <x v="47"/>
    <s v=""/>
    <x v="6"/>
    <s v="COMERCIAL"/>
    <n v="0"/>
    <s v="LETÍCIA"/>
  </r>
  <r>
    <n v="196649"/>
    <s v="KOY"/>
    <s v="16-31DZ25"/>
    <x v="52"/>
    <s v="BELA CASA REPRESENTAÇOES LTDA"/>
    <n v="963.74"/>
    <x v="47"/>
    <x v="47"/>
    <s v=""/>
    <x v="6"/>
    <s v="COMERCIAL"/>
    <n v="0"/>
    <s v="LETÍCIA"/>
  </r>
  <r>
    <n v="196650"/>
    <s v="KOY"/>
    <s v="16-31DZ25"/>
    <x v="52"/>
    <s v="ELAINE DE OLIVEIRA TESSARO"/>
    <n v="3793"/>
    <x v="47"/>
    <x v="47"/>
    <s v=""/>
    <x v="6"/>
    <s v="COMERCIAL"/>
    <n v="0"/>
    <s v="LETÍCIA"/>
  </r>
  <r>
    <n v="196652"/>
    <s v="KOY"/>
    <s v="16-31DZ25"/>
    <x v="52"/>
    <s v="ILHA BELLA COM E REPRESENTAÇOES LTDA"/>
    <n v="2049.73"/>
    <x v="47"/>
    <x v="47"/>
    <s v=""/>
    <x v="6"/>
    <s v="COMERCIAL"/>
    <n v="0"/>
    <s v="LETÍCIA"/>
  </r>
  <r>
    <n v="196653"/>
    <s v="KOY"/>
    <s v="16-31DZ25"/>
    <x v="52"/>
    <s v="JUAN JOSE IGLESIAS CARBALLO"/>
    <n v="190.31"/>
    <x v="47"/>
    <x v="47"/>
    <s v=""/>
    <x v="6"/>
    <s v="COMERCIAL"/>
    <n v="0"/>
    <s v="LETÍCIA"/>
  </r>
  <r>
    <n v="196654"/>
    <s v="KOY"/>
    <s v="16-31DZ25"/>
    <x v="52"/>
    <s v="LIGHT REPRESENTAÇÕES LTDA"/>
    <n v="77.83"/>
    <x v="47"/>
    <x v="47"/>
    <s v=""/>
    <x v="6"/>
    <s v="COMERCIAL"/>
    <n v="0"/>
    <s v="LETÍCIA"/>
  </r>
  <r>
    <n v="196656"/>
    <s v="KOY"/>
    <s v="16-31DZ25"/>
    <x v="52"/>
    <s v="MARTINS REPRESENTAÇÕES E VENDAS EIRELLI"/>
    <n v="890"/>
    <x v="47"/>
    <x v="47"/>
    <s v=""/>
    <x v="6"/>
    <s v="COMERCIAL"/>
    <n v="0"/>
    <s v="LETÍCIA"/>
  </r>
  <r>
    <n v="196657"/>
    <s v="KOY"/>
    <s v="16-31DZ25"/>
    <x v="52"/>
    <s v="PVJ REPRESENTAÇÕES LTDA"/>
    <n v="723.09"/>
    <x v="47"/>
    <x v="47"/>
    <s v=""/>
    <x v="6"/>
    <s v="COMERCIAL"/>
    <n v="0"/>
    <s v="LETÍCIA"/>
  </r>
  <r>
    <n v="196659"/>
    <s v="KOY"/>
    <s v="16-31DZ25"/>
    <x v="52"/>
    <s v="RICARDO CARVALHO DALANHOL"/>
    <n v="966.07"/>
    <x v="47"/>
    <x v="47"/>
    <s v=""/>
    <x v="6"/>
    <s v="COMERCIAL"/>
    <n v="0"/>
    <s v="LETÍCIA"/>
  </r>
  <r>
    <n v="196661"/>
    <s v="LAY"/>
    <s v="16-31DZ25"/>
    <x v="52"/>
    <s v="ANA VERA ANDRADE CUNHA"/>
    <n v="612.22"/>
    <x v="47"/>
    <x v="47"/>
    <s v=""/>
    <x v="6"/>
    <s v="COMERCIAL"/>
    <n v="0"/>
    <s v="LETÍCIA"/>
  </r>
  <r>
    <n v="196662"/>
    <s v="LAY"/>
    <s v="16-31DZ25"/>
    <x v="52"/>
    <s v="BELA CASA REPRESENTAÇOES LTDA"/>
    <n v="767.38"/>
    <x v="47"/>
    <x v="47"/>
    <s v=""/>
    <x v="6"/>
    <s v="COMERCIAL"/>
    <n v="0"/>
    <s v="LETÍCIA"/>
  </r>
  <r>
    <n v="196664"/>
    <s v="LAY"/>
    <s v="16-31DZ25"/>
    <x v="52"/>
    <s v="ELAINE DE OLIVEIRA TESSARO"/>
    <n v="1325.18"/>
    <x v="47"/>
    <x v="47"/>
    <s v=""/>
    <x v="6"/>
    <s v="COMERCIAL"/>
    <n v="0"/>
    <s v="LETÍCIA"/>
  </r>
  <r>
    <n v="196665"/>
    <s v="LAY"/>
    <s v="16-31DZ25"/>
    <x v="52"/>
    <s v="ILHA BELLA COM E REPRESENTAÇOES LTDA"/>
    <n v="1699.63"/>
    <x v="47"/>
    <x v="47"/>
    <s v=""/>
    <x v="6"/>
    <s v="COMERCIAL"/>
    <n v="0"/>
    <s v="LETÍCIA"/>
  </r>
  <r>
    <n v="196667"/>
    <s v="LAY"/>
    <s v="16-31DZ25"/>
    <x v="52"/>
    <s v="JUAN JOSE IGLESIAS CARBALLO"/>
    <n v="764.03"/>
    <x v="47"/>
    <x v="47"/>
    <s v=""/>
    <x v="6"/>
    <s v="COMERCIAL"/>
    <n v="0"/>
    <s v="LETÍCIA"/>
  </r>
  <r>
    <n v="196668"/>
    <s v="LAY"/>
    <s v="16-31DZ25"/>
    <x v="52"/>
    <s v="LIGHT REPRESENTAÇÕES LTDA"/>
    <n v="453.22"/>
    <x v="47"/>
    <x v="47"/>
    <s v=""/>
    <x v="6"/>
    <s v="COMERCIAL"/>
    <n v="0"/>
    <s v="LETÍCIA"/>
  </r>
  <r>
    <n v="196669"/>
    <s v="LAY"/>
    <s v="16-31DZ25"/>
    <x v="52"/>
    <s v="MARTINS REPRESENTAÇÕES E VENDAS EIRELLI"/>
    <n v="358.74"/>
    <x v="47"/>
    <x v="47"/>
    <s v=""/>
    <x v="6"/>
    <s v="COMERCIAL"/>
    <n v="0"/>
    <s v="LETÍCIA"/>
  </r>
  <r>
    <n v="196670"/>
    <s v="LAY"/>
    <s v="16-31DZ25"/>
    <x v="52"/>
    <s v="PVJ REPRESENTAÇÕES LTDA"/>
    <n v="649.71"/>
    <x v="47"/>
    <x v="47"/>
    <s v=""/>
    <x v="6"/>
    <s v="COMERCIAL"/>
    <n v="0"/>
    <s v="LETÍCIA"/>
  </r>
  <r>
    <n v="196671"/>
    <s v="LAY"/>
    <s v="16-31DZ25"/>
    <x v="52"/>
    <s v="RICARDO CARVALHO DALANHOL"/>
    <n v="991.48"/>
    <x v="47"/>
    <x v="47"/>
    <s v=""/>
    <x v="6"/>
    <s v="COMERCIAL"/>
    <n v="0"/>
    <s v="LETÍCIA"/>
  </r>
  <r>
    <n v="196680"/>
    <s v="FK"/>
    <s v="MRK26/1"/>
    <x v="31"/>
    <s v="LUCAS VINICIUS DO CARMO"/>
    <n v="1800"/>
    <x v="50"/>
    <x v="50"/>
    <s v=""/>
    <x v="6"/>
    <s v="COMERCIAL"/>
    <n v="0"/>
    <s v="THAIS"/>
  </r>
  <r>
    <n v="196681"/>
    <s v="FK"/>
    <s v="MRK26/2"/>
    <x v="74"/>
    <s v="LUCAS VINICIUS DO CARMO"/>
    <n v="1800"/>
    <x v="50"/>
    <x v="50"/>
    <s v=""/>
    <x v="6"/>
    <s v="COMERCIAL"/>
    <n v="0"/>
    <s v="THAIS"/>
  </r>
  <r>
    <n v="196682"/>
    <s v="FK"/>
    <s v="MRK26/3"/>
    <x v="66"/>
    <s v="LUCAS VINICIUS DO CARMO"/>
    <n v="1800"/>
    <x v="50"/>
    <x v="50"/>
    <s v=""/>
    <x v="6"/>
    <s v="COMERCIAL"/>
    <n v="0"/>
    <s v="THAIS"/>
  </r>
  <r>
    <n v="196683"/>
    <s v="FK"/>
    <s v="MRK26/4"/>
    <x v="67"/>
    <s v="LUCAS VINICIUS DO CARMO"/>
    <n v="1800"/>
    <x v="50"/>
    <x v="50"/>
    <s v=""/>
    <x v="6"/>
    <s v="COMERCIAL"/>
    <n v="0"/>
    <s v="THAIS"/>
  </r>
  <r>
    <n v="196684"/>
    <s v="FK"/>
    <s v="MRK26/5"/>
    <x v="68"/>
    <s v="LUCAS VINICIUS DO CARMO"/>
    <n v="1800"/>
    <x v="50"/>
    <x v="50"/>
    <s v=""/>
    <x v="6"/>
    <s v="COMERCIAL"/>
    <n v="0"/>
    <s v="THAIS"/>
  </r>
  <r>
    <n v="196708"/>
    <s v="FK"/>
    <s v="LERMA2910"/>
    <x v="75"/>
    <s v="LERMA INDUSTRIAL MOVELEIRA LTDA"/>
    <n v="2951.93"/>
    <x v="38"/>
    <x v="38"/>
    <s v=""/>
    <x v="5"/>
    <s v="PRODUÇÃO"/>
    <n v="0"/>
    <s v="RAFAEL"/>
  </r>
  <r>
    <n v="196709"/>
    <s v="FK"/>
    <s v="JAN120126"/>
    <x v="52"/>
    <s v="SUELY KAY KATO"/>
    <n v="6000"/>
    <x v="15"/>
    <x v="15"/>
    <s v=""/>
    <x v="7"/>
    <s v="DIRETORIA"/>
    <n v="0"/>
    <s v="FÁBIO"/>
  </r>
  <r>
    <n v="196710"/>
    <s v="KAR"/>
    <s v="49278"/>
    <x v="52"/>
    <s v="MISSLER SOFTWARE BRASIL COMERCIO DE SOFTWARES LTDA"/>
    <n v="2830.41"/>
    <x v="12"/>
    <x v="12"/>
    <s v="TOPSOLID"/>
    <x v="3"/>
    <s v="MANUTENÇÃO / TI"/>
    <n v="0"/>
    <s v="LETÍCIA"/>
  </r>
  <r>
    <n v="196712"/>
    <s v="KAR"/>
    <s v="I.A BOLETO"/>
    <x v="45"/>
    <s v="IUS SUPORTE"/>
    <n v="350"/>
    <x v="12"/>
    <x v="12"/>
    <s v="NUNTIA IA FINANCEIRO"/>
    <x v="3"/>
    <s v="MANUTENÇÃO / TI"/>
    <n v="0"/>
    <s v="LETÍCIA"/>
  </r>
  <r>
    <n v="196714"/>
    <s v="KAR"/>
    <s v="I.A BOLETO"/>
    <x v="46"/>
    <s v="IUS SUPORTE"/>
    <n v="350"/>
    <x v="12"/>
    <x v="12"/>
    <s v="NUNTIA IA FINANCEIRO"/>
    <x v="3"/>
    <s v="MANUTENÇÃO / TI"/>
    <n v="0"/>
    <s v="LETÍCIA"/>
  </r>
  <r>
    <n v="196715"/>
    <s v="KAR"/>
    <s v="I.A BOLETO"/>
    <x v="47"/>
    <s v="IUS SUPORTE"/>
    <n v="350"/>
    <x v="12"/>
    <x v="12"/>
    <s v="NUNTIA IA FINANCEIRO"/>
    <x v="3"/>
    <s v="MANUTENÇÃO / TI"/>
    <n v="0"/>
    <s v="LETÍCIA"/>
  </r>
  <r>
    <n v="196725"/>
    <s v="KAR"/>
    <s v="17390"/>
    <x v="52"/>
    <s v="BANCO SICREDI"/>
    <n v="173.9"/>
    <x v="27"/>
    <x v="27"/>
    <s v=""/>
    <x v="8"/>
    <s v="FINANCEIRO"/>
    <n v="0"/>
    <s v="LETÍCIA"/>
  </r>
  <r>
    <n v="196726"/>
    <s v="KAR"/>
    <s v="14710"/>
    <x v="52"/>
    <s v="BANCO SICREDI"/>
    <n v="147.1"/>
    <x v="27"/>
    <x v="27"/>
    <s v=""/>
    <x v="8"/>
    <s v="FINANCEIRO"/>
    <n v="0"/>
    <s v="LETÍCIA"/>
  </r>
  <r>
    <n v="196727"/>
    <s v="KAR"/>
    <s v="106714"/>
    <x v="52"/>
    <s v="BANCO SICREDI"/>
    <n v="1067.1400000000001"/>
    <x v="29"/>
    <x v="29"/>
    <s v=""/>
    <x v="8"/>
    <s v="FINANCEIRO"/>
    <n v="0"/>
    <s v="LETÍCIA"/>
  </r>
  <r>
    <n v="196728"/>
    <s v="FK"/>
    <s v="IMPRESSORA"/>
    <x v="76"/>
    <s v="OURO INGA ADMINISTRADORA DE BENS LTDA"/>
    <n v="450"/>
    <x v="26"/>
    <x v="26"/>
    <s v=""/>
    <x v="3"/>
    <s v="FINANCEIRO"/>
    <n v="0"/>
    <s v="LETÍCIA"/>
  </r>
  <r>
    <n v="196729"/>
    <s v="FK"/>
    <s v="IMPRESSORA"/>
    <x v="77"/>
    <s v="OURO INGA ADMINISTRADORA DE BENS LTDA"/>
    <n v="450"/>
    <x v="26"/>
    <x v="26"/>
    <s v=""/>
    <x v="3"/>
    <s v="FINANCEIRO"/>
    <n v="0"/>
    <s v="LETÍCIA"/>
  </r>
  <r>
    <n v="196730"/>
    <s v="FK"/>
    <s v="IMPRESSORA"/>
    <x v="78"/>
    <s v="OURO INGA ADMINISTRADORA DE BENS LTDA"/>
    <n v="450"/>
    <x v="26"/>
    <x v="26"/>
    <s v=""/>
    <x v="3"/>
    <s v="FINANCEIRO"/>
    <n v="0"/>
    <s v="LETÍCIA"/>
  </r>
  <r>
    <n v="196731"/>
    <s v="FK"/>
    <s v="IMPRESSORA"/>
    <x v="79"/>
    <s v="OURO INGA ADMINISTRADORA DE BENS LTDA"/>
    <n v="450"/>
    <x v="26"/>
    <x v="26"/>
    <s v=""/>
    <x v="3"/>
    <s v="FINANCEIRO"/>
    <n v="0"/>
    <s v="LETÍCIA"/>
  </r>
  <r>
    <n v="196740"/>
    <s v="FK"/>
    <s v="090126"/>
    <x v="52"/>
    <s v="M.A. DOS SANTOS NASCIMENTO"/>
    <n v="75"/>
    <x v="23"/>
    <x v="23"/>
    <s v=""/>
    <x v="6"/>
    <s v="COMERCIAL"/>
    <n v="0"/>
    <s v="LETÍCIA"/>
  </r>
  <r>
    <n v="196741"/>
    <s v="FK"/>
    <s v="PET1201A"/>
    <x v="52"/>
    <s v="ACT GUIRELLI"/>
    <n v="70"/>
    <x v="32"/>
    <x v="32"/>
    <s v=""/>
    <x v="3"/>
    <s v="FINANCEIRO"/>
    <n v="0"/>
    <s v="LETÍCIA"/>
  </r>
  <r>
    <n v="196742"/>
    <s v="FK"/>
    <s v="080126"/>
    <x v="52"/>
    <s v="M.A. DOS SANTOS NASCIMENTO"/>
    <n v="69"/>
    <x v="23"/>
    <x v="23"/>
    <s v=""/>
    <x v="6"/>
    <s v="COMERCIAL"/>
    <n v="0"/>
    <s v="LETÍCIA"/>
  </r>
  <r>
    <n v="196743"/>
    <s v="FK"/>
    <s v="816723"/>
    <x v="69"/>
    <s v="J. P. DOS SANTOS VIAIS &amp; CIA LTDA."/>
    <n v="315"/>
    <x v="37"/>
    <x v="37"/>
    <s v=""/>
    <x v="6"/>
    <s v="LOGÍSTICA"/>
    <n v="0"/>
    <s v="MYLENA"/>
  </r>
  <r>
    <n v="196747"/>
    <s v="FK"/>
    <s v="DESCARGAR"/>
    <x v="52"/>
    <s v="MILTON BATISTA"/>
    <n v="1050"/>
    <x v="9"/>
    <x v="9"/>
    <s v=""/>
    <x v="2"/>
    <s v="MANUTENÇÃO / TI"/>
    <n v="0"/>
    <s v="RAFAEL"/>
  </r>
  <r>
    <n v="196750"/>
    <s v="KAR"/>
    <s v="JAN2026"/>
    <x v="52"/>
    <s v="HS ADM DE CONSORCIOS LTDA."/>
    <n v="1586.44"/>
    <x v="3"/>
    <x v="3"/>
    <s v=""/>
    <x v="2"/>
    <s v="FINANCEIRO"/>
    <n v="0"/>
    <s v="FÁBIO"/>
  </r>
  <r>
    <n v="196751"/>
    <s v="KAR"/>
    <s v="12160"/>
    <x v="31"/>
    <s v="BANCO SICREDI"/>
    <n v="121.6"/>
    <x v="29"/>
    <x v="29"/>
    <s v=""/>
    <x v="8"/>
    <s v="FINANCEIRO"/>
    <n v="0"/>
    <s v="LETÍCIA"/>
  </r>
  <r>
    <n v="196752"/>
    <s v="KAR"/>
    <s v="50561201"/>
    <x v="52"/>
    <s v="BANCO SICREDI"/>
    <n v="50.56"/>
    <x v="28"/>
    <x v="28"/>
    <s v=""/>
    <x v="8"/>
    <s v="FINANCEIRO"/>
    <n v="0"/>
    <s v="LETÍCIA"/>
  </r>
  <r>
    <n v="196754"/>
    <s v="KAR"/>
    <s v="1516"/>
    <x v="31"/>
    <s v="BANCO SICREDI"/>
    <n v="15.16"/>
    <x v="27"/>
    <x v="27"/>
    <s v=""/>
    <x v="8"/>
    <s v="FINANCEIRO"/>
    <n v="0"/>
    <s v="LETÍCIA"/>
  </r>
  <r>
    <n v="196756"/>
    <s v="KAR"/>
    <s v="TARIFA"/>
    <x v="31"/>
    <s v="CENTRO DE GESTAO DE MEIOS DE PAGTO S/A"/>
    <n v="66"/>
    <x v="37"/>
    <x v="37"/>
    <s v=""/>
    <x v="6"/>
    <s v="LOGÍSTICA"/>
    <n v="0"/>
    <s v="MYLENA"/>
  </r>
  <r>
    <n v="196758"/>
    <s v="FK"/>
    <s v="CORRIMAO"/>
    <x v="31"/>
    <s v="ALEXANDRE ROBERTO BRESCHI"/>
    <n v="500"/>
    <x v="46"/>
    <x v="46"/>
    <s v=""/>
    <x v="9"/>
    <s v="MANUTENÇÃO / TI"/>
    <n v="0"/>
    <s v="FÁBIO"/>
  </r>
  <r>
    <n v="196759"/>
    <s v="FK"/>
    <s v="CORRIMAO"/>
    <x v="31"/>
    <s v="ALISSON FACCIO FERREIRA"/>
    <n v="500"/>
    <x v="46"/>
    <x v="46"/>
    <s v=""/>
    <x v="9"/>
    <s v="MANUTENÇÃO / TI"/>
    <n v="0"/>
    <s v="FÁBIO"/>
  </r>
  <r>
    <n v="196761"/>
    <s v="KAR"/>
    <s v="229881301"/>
    <x v="31"/>
    <s v="BANCO SICREDI"/>
    <n v="229.88"/>
    <x v="27"/>
    <x v="27"/>
    <s v=""/>
    <x v="8"/>
    <s v="FINANCEIRO"/>
    <n v="0"/>
    <s v="LETÍCIA"/>
  </r>
  <r>
    <n v="196762"/>
    <s v="KAR"/>
    <s v="24311301"/>
    <x v="31"/>
    <s v="BANCO SICREDI"/>
    <n v="24.31"/>
    <x v="29"/>
    <x v="29"/>
    <s v=""/>
    <x v="8"/>
    <s v="FINANCEIRO"/>
    <n v="0"/>
    <s v="LETÍCIA"/>
  </r>
  <r>
    <n v="196763"/>
    <s v="KAR"/>
    <s v="3951201"/>
    <x v="52"/>
    <s v="BANCO SICREDI"/>
    <n v="3.95"/>
    <x v="27"/>
    <x v="27"/>
    <s v=""/>
    <x v="8"/>
    <s v="FINANCEIRO"/>
    <n v="0"/>
    <s v="LETÍCIA"/>
  </r>
  <r>
    <n v="196764"/>
    <s v="KAR"/>
    <s v="395232"/>
    <x v="31"/>
    <s v="BANCO SICREDI"/>
    <n v="2.3199999999999998"/>
    <x v="27"/>
    <x v="27"/>
    <s v=""/>
    <x v="8"/>
    <s v="FINANCEIRO"/>
    <n v="0"/>
    <s v="LETÍCIA"/>
  </r>
  <r>
    <n v="196765"/>
    <s v="KOY"/>
    <s v="553"/>
    <x v="52"/>
    <s v="BANCO SICREDI"/>
    <n v="5.53"/>
    <x v="27"/>
    <x v="27"/>
    <s v=""/>
    <x v="8"/>
    <s v="FINANCEIRO"/>
    <n v="0"/>
    <s v="LETÍCIA"/>
  </r>
  <r>
    <n v="196767"/>
    <s v="FK"/>
    <s v="530031"/>
    <x v="31"/>
    <s v="DUARTE &amp; BALIONI LTDA."/>
    <n v="15.99"/>
    <x v="51"/>
    <x v="51"/>
    <s v=""/>
    <x v="4"/>
    <s v="ADMINISTRATIVO"/>
    <n v="0"/>
    <s v="LETÍCIA"/>
  </r>
  <r>
    <n v="196768"/>
    <s v="FK"/>
    <s v="LIM530031"/>
    <x v="31"/>
    <s v="DUARTE &amp; BALIONI LTDA."/>
    <n v="14.47"/>
    <x v="45"/>
    <x v="45"/>
    <s v=""/>
    <x v="4"/>
    <s v="ADMINISTRATIVO"/>
    <n v="0"/>
    <s v="MYLENA"/>
  </r>
  <r>
    <n v="196769"/>
    <s v="KAR"/>
    <s v="HSCOT0749/"/>
    <x v="16"/>
    <s v="HS ADM DE CONSORCIOS LTDA."/>
    <n v="1586.44"/>
    <x v="3"/>
    <x v="3"/>
    <s v=""/>
    <x v="2"/>
    <s v="FINANCEIRO"/>
    <n v="0"/>
    <s v="FÁBIO"/>
  </r>
  <r>
    <n v="196770"/>
    <s v="FK"/>
    <s v="PAP530031"/>
    <x v="31"/>
    <s v="DUARTE &amp; BALIONI LTDA."/>
    <n v="41.89"/>
    <x v="52"/>
    <x v="52"/>
    <s v=""/>
    <x v="4"/>
    <s v="ADMINISTRATIVO"/>
    <n v="0"/>
    <s v="LETÍCIA"/>
  </r>
  <r>
    <n v="196771"/>
    <s v="KAR"/>
    <s v="HSCOT0749/"/>
    <x v="17"/>
    <s v="HS ADM DE CONSORCIOS LTDA."/>
    <n v="1586.44"/>
    <x v="3"/>
    <x v="3"/>
    <s v=""/>
    <x v="2"/>
    <s v="FINANCEIRO"/>
    <n v="0"/>
    <s v="FÁBIO"/>
  </r>
  <r>
    <n v="196772"/>
    <s v="KAR"/>
    <s v="HSCOT0749/"/>
    <x v="18"/>
    <s v="HS ADM DE CONSORCIOS LTDA."/>
    <n v="1586.44"/>
    <x v="3"/>
    <x v="3"/>
    <s v=""/>
    <x v="2"/>
    <s v="FINANCEIRO"/>
    <n v="0"/>
    <s v="FÁBIO"/>
  </r>
  <r>
    <n v="196773"/>
    <s v="KAR"/>
    <s v="HSCOT0749/"/>
    <x v="19"/>
    <s v="HS ADM DE CONSORCIOS LTDA."/>
    <n v="1586.44"/>
    <x v="3"/>
    <x v="3"/>
    <s v=""/>
    <x v="2"/>
    <s v="FINANCEIRO"/>
    <n v="0"/>
    <s v="FÁBIO"/>
  </r>
  <r>
    <n v="196783"/>
    <s v="KAR"/>
    <s v="BEM 9J26/1"/>
    <x v="31"/>
    <s v="ESTADO DO PARANA - SECRETARIA DE ESTADO DA FAZENDA"/>
    <n v="416.11"/>
    <x v="49"/>
    <x v="49"/>
    <s v=""/>
    <x v="6"/>
    <s v="LOGÍSTICA"/>
    <n v="0"/>
    <s v="MYLENA"/>
  </r>
  <r>
    <n v="196784"/>
    <s v="KAR"/>
    <s v="BEM 9J26/2"/>
    <x v="80"/>
    <s v="ESTADO DO PARANA - SECRETARIA DE ESTADO DA FAZENDA"/>
    <n v="416.11"/>
    <x v="49"/>
    <x v="49"/>
    <s v=""/>
    <x v="6"/>
    <s v="LOGÍSTICA"/>
    <n v="0"/>
    <s v="MYLENA"/>
  </r>
  <r>
    <n v="196785"/>
    <s v="KAR"/>
    <s v="BEM 9J26/3"/>
    <x v="81"/>
    <s v="ESTADO DO PARANA - SECRETARIA DE ESTADO DA FAZENDA"/>
    <n v="416.11"/>
    <x v="49"/>
    <x v="49"/>
    <s v=""/>
    <x v="6"/>
    <s v="LOGÍSTICA"/>
    <n v="0"/>
    <s v="MYLENA"/>
  </r>
  <r>
    <n v="196786"/>
    <s v="KAR"/>
    <s v="BEM 9J26/4"/>
    <x v="34"/>
    <s v="ESTADO DO PARANA - SECRETARIA DE ESTADO DA FAZENDA"/>
    <n v="416.11"/>
    <x v="49"/>
    <x v="49"/>
    <s v=""/>
    <x v="6"/>
    <s v="LOGÍSTICA"/>
    <n v="0"/>
    <s v="MYLENA"/>
  </r>
  <r>
    <n v="196789"/>
    <s v="KAR"/>
    <s v="BEH 6E00/1"/>
    <x v="21"/>
    <s v="ESTADO DO PARANA - SECRETARIA DE ESTADO DA FAZENDA"/>
    <n v="537.96"/>
    <x v="49"/>
    <x v="49"/>
    <s v=""/>
    <x v="6"/>
    <s v="LOGÍSTICA"/>
    <n v="0"/>
    <s v="MYLENA"/>
  </r>
  <r>
    <n v="196790"/>
    <s v="KAR"/>
    <s v="BEH 6E00/2"/>
    <x v="32"/>
    <s v="ESTADO DO PARANA - SECRETARIA DE ESTADO DA FAZENDA"/>
    <n v="537.96"/>
    <x v="49"/>
    <x v="49"/>
    <s v=""/>
    <x v="6"/>
    <s v="LOGÍSTICA"/>
    <n v="0"/>
    <s v="MYLENA"/>
  </r>
  <r>
    <n v="196791"/>
    <s v="KAR"/>
    <s v="BEH 6E00/3"/>
    <x v="33"/>
    <s v="ESTADO DO PARANA - SECRETARIA DE ESTADO DA FAZENDA"/>
    <n v="537.96"/>
    <x v="49"/>
    <x v="49"/>
    <s v=""/>
    <x v="6"/>
    <s v="LOGÍSTICA"/>
    <n v="0"/>
    <s v="MYLENA"/>
  </r>
  <r>
    <n v="196792"/>
    <s v="KAR"/>
    <s v="BEH 6E00/4"/>
    <x v="47"/>
    <s v="ESTADO DO PARANA - SECRETARIA DE ESTADO DA FAZENDA"/>
    <n v="537.96"/>
    <x v="49"/>
    <x v="49"/>
    <s v=""/>
    <x v="6"/>
    <s v="LOGÍSTICA"/>
    <n v="0"/>
    <s v="MYLENA"/>
  </r>
  <r>
    <n v="196794"/>
    <s v="KAR"/>
    <s v="BEM6E19/1"/>
    <x v="21"/>
    <s v="ESTADO DO PARANA - SECRETARIA DE ESTADO DA FAZENDA"/>
    <n v="703.66"/>
    <x v="49"/>
    <x v="49"/>
    <s v=""/>
    <x v="6"/>
    <s v="LOGÍSTICA"/>
    <n v="0"/>
    <s v="MYLENA"/>
  </r>
  <r>
    <n v="196795"/>
    <s v="KAR"/>
    <s v="BEM6E19/2"/>
    <x v="32"/>
    <s v="ESTADO DO PARANA - SECRETARIA DE ESTADO DA FAZENDA"/>
    <n v="703.66"/>
    <x v="49"/>
    <x v="49"/>
    <s v=""/>
    <x v="6"/>
    <s v="LOGÍSTICA"/>
    <n v="0"/>
    <s v="MYLENA"/>
  </r>
  <r>
    <n v="196796"/>
    <s v="KAR"/>
    <s v="BEM6E19/3"/>
    <x v="33"/>
    <s v="ESTADO DO PARANA - SECRETARIA DE ESTADO DA FAZENDA"/>
    <n v="703.66"/>
    <x v="49"/>
    <x v="49"/>
    <s v=""/>
    <x v="6"/>
    <s v="LOGÍSTICA"/>
    <n v="0"/>
    <s v="MYLENA"/>
  </r>
  <r>
    <n v="196797"/>
    <s v="KAR"/>
    <s v="BEM6E19/4"/>
    <x v="47"/>
    <s v="ESTADO DO PARANA - SECRETARIA DE ESTADO DA FAZENDA"/>
    <n v="703.66"/>
    <x v="49"/>
    <x v="49"/>
    <s v=""/>
    <x v="6"/>
    <s v="LOGÍSTICA"/>
    <n v="0"/>
    <s v="MYLENA"/>
  </r>
  <r>
    <n v="196799"/>
    <s v="KAR"/>
    <s v="AYL6E00/1"/>
    <x v="21"/>
    <s v="ESTADO DO PARANA - SECRETARIA DE ESTADO DA FAZENDA"/>
    <n v="784.92"/>
    <x v="49"/>
    <x v="49"/>
    <s v=""/>
    <x v="6"/>
    <s v="LOGÍSTICA"/>
    <n v="0"/>
    <s v="MYLENA"/>
  </r>
  <r>
    <n v="196800"/>
    <s v="KAR"/>
    <s v="AYL6E00/2"/>
    <x v="32"/>
    <s v="ESTADO DO PARANA - SECRETARIA DE ESTADO DA FAZENDA"/>
    <n v="784.92"/>
    <x v="49"/>
    <x v="49"/>
    <s v=""/>
    <x v="6"/>
    <s v="LOGÍSTICA"/>
    <n v="0"/>
    <s v="MYLENA"/>
  </r>
  <r>
    <n v="196801"/>
    <s v="KAR"/>
    <s v="AYL6E00/3"/>
    <x v="33"/>
    <s v="ESTADO DO PARANA - SECRETARIA DE ESTADO DA FAZENDA"/>
    <n v="784.92"/>
    <x v="49"/>
    <x v="49"/>
    <s v=""/>
    <x v="6"/>
    <s v="LOGÍSTICA"/>
    <n v="0"/>
    <s v="MYLENA"/>
  </r>
  <r>
    <n v="196802"/>
    <s v="KAR"/>
    <s v="AYL6E00/4"/>
    <x v="47"/>
    <s v="ESTADO DO PARANA - SECRETARIA DE ESTADO DA FAZENDA"/>
    <n v="784.92"/>
    <x v="49"/>
    <x v="49"/>
    <s v=""/>
    <x v="6"/>
    <s v="LOGÍSTICA"/>
    <n v="0"/>
    <s v="MYLENA"/>
  </r>
  <r>
    <n v="196804"/>
    <s v="KAR"/>
    <s v="BEM8409/1"/>
    <x v="21"/>
    <s v="ESTADO DO PARANA - SECRETARIA DE ESTADO DA FAZENDA"/>
    <n v="277.68"/>
    <x v="49"/>
    <x v="49"/>
    <s v=""/>
    <x v="6"/>
    <s v="LOGÍSTICA"/>
    <n v="0"/>
    <s v="MYLENA"/>
  </r>
  <r>
    <n v="196805"/>
    <s v="KAR"/>
    <s v="BEM8409/2"/>
    <x v="32"/>
    <s v="ESTADO DO PARANA - SECRETARIA DE ESTADO DA FAZENDA"/>
    <n v="277.68"/>
    <x v="49"/>
    <x v="49"/>
    <s v=""/>
    <x v="6"/>
    <s v="LOGÍSTICA"/>
    <n v="0"/>
    <s v="MYLENA"/>
  </r>
  <r>
    <n v="196806"/>
    <s v="KAR"/>
    <s v="BEM8409/3"/>
    <x v="33"/>
    <s v="ESTADO DO PARANA - SECRETARIA DE ESTADO DA FAZENDA"/>
    <n v="277.68"/>
    <x v="49"/>
    <x v="49"/>
    <s v=""/>
    <x v="6"/>
    <s v="LOGÍSTICA"/>
    <n v="0"/>
    <s v="MYLENA"/>
  </r>
  <r>
    <n v="196807"/>
    <s v="KAR"/>
    <s v="BEM8409/4"/>
    <x v="47"/>
    <s v="ESTADO DO PARANA - SECRETARIA DE ESTADO DA FAZENDA"/>
    <n v="277.68"/>
    <x v="49"/>
    <x v="49"/>
    <s v=""/>
    <x v="6"/>
    <s v="LOGÍSTICA"/>
    <n v="0"/>
    <s v="MYLENA"/>
  </r>
  <r>
    <n v="196809"/>
    <s v="KAR"/>
    <s v="BBH6630/1"/>
    <x v="21"/>
    <s v="ESTADO DO PARANA - SECRETARIA DE ESTADO DA FAZENDA"/>
    <n v="786.6"/>
    <x v="15"/>
    <x v="15"/>
    <s v=""/>
    <x v="7"/>
    <s v="DIRETORIA"/>
    <n v="0"/>
    <s v="FÁBIO"/>
  </r>
  <r>
    <n v="196810"/>
    <s v="KAR"/>
    <s v="BBH6630/2"/>
    <x v="32"/>
    <s v="ESTADO DO PARANA - SECRETARIA DE ESTADO DA FAZENDA"/>
    <n v="786.6"/>
    <x v="15"/>
    <x v="15"/>
    <s v=""/>
    <x v="7"/>
    <s v="DIRETORIA"/>
    <n v="0"/>
    <s v="FÁBIO"/>
  </r>
  <r>
    <n v="196811"/>
    <s v="KAR"/>
    <s v="BBH6630/3"/>
    <x v="33"/>
    <s v="ESTADO DO PARANA - SECRETARIA DE ESTADO DA FAZENDA"/>
    <n v="786.6"/>
    <x v="15"/>
    <x v="15"/>
    <s v=""/>
    <x v="7"/>
    <s v="DIRETORIA"/>
    <n v="0"/>
    <s v="FÁBIO"/>
  </r>
  <r>
    <n v="196812"/>
    <s v="KAR"/>
    <s v="BBH6630/4"/>
    <x v="47"/>
    <s v="ESTADO DO PARANA - SECRETARIA DE ESTADO DA FAZENDA"/>
    <n v="786.6"/>
    <x v="15"/>
    <x v="15"/>
    <s v=""/>
    <x v="7"/>
    <s v="DIRETORIA"/>
    <n v="0"/>
    <s v="FÁBIO"/>
  </r>
  <r>
    <n v="196814"/>
    <s v="KAR"/>
    <s v="EXP2026/1"/>
    <x v="21"/>
    <s v="ASSOC.BRAS.DAS IND.DE MOV.DE ALTA DECORAÇÃO"/>
    <n v="650"/>
    <x v="14"/>
    <x v="14"/>
    <s v=""/>
    <x v="6"/>
    <s v="COMERCIAL"/>
    <n v="0"/>
    <s v="THAIS"/>
  </r>
  <r>
    <n v="196815"/>
    <s v="KAR"/>
    <s v="EXP2026/2"/>
    <x v="45"/>
    <s v="ASSOC.BRAS.DAS IND.DE MOV.DE ALTA DECORAÇÃO"/>
    <n v="650"/>
    <x v="14"/>
    <x v="14"/>
    <s v=""/>
    <x v="6"/>
    <s v="COMERCIAL"/>
    <n v="0"/>
    <s v="THAIS"/>
  </r>
  <r>
    <n v="196816"/>
    <s v="KAR"/>
    <s v="EXP2026/3"/>
    <x v="46"/>
    <s v="ASSOC.BRAS.DAS IND.DE MOV.DE ALTA DECORAÇÃO"/>
    <n v="650"/>
    <x v="14"/>
    <x v="14"/>
    <s v=""/>
    <x v="6"/>
    <s v="COMERCIAL"/>
    <n v="0"/>
    <s v="THAIS"/>
  </r>
  <r>
    <n v="196817"/>
    <s v="KAR"/>
    <s v="EXP2026/4"/>
    <x v="47"/>
    <s v="ASSOC.BRAS.DAS IND.DE MOV.DE ALTA DECORAÇÃO"/>
    <n v="650"/>
    <x v="14"/>
    <x v="14"/>
    <s v=""/>
    <x v="6"/>
    <s v="COMERCIAL"/>
    <n v="0"/>
    <s v="THAIS"/>
  </r>
  <r>
    <n v="196820"/>
    <s v="KAR"/>
    <s v="116018"/>
    <x v="31"/>
    <s v="PROMEX MAIS COMERCIO,IMPORTAÇÃO E EXPORTAÇÃO LTDA."/>
    <n v="1159.2"/>
    <x v="14"/>
    <x v="14"/>
    <s v=""/>
    <x v="6"/>
    <s v="COMERCIAL"/>
    <n v="0"/>
    <s v="THAIS"/>
  </r>
  <r>
    <n v="196821"/>
    <s v="KAR"/>
    <s v="30557"/>
    <x v="31"/>
    <s v="TRANS APUCARANA TRANSPORTES RODOVIARIOS LTDA"/>
    <n v="93.39"/>
    <x v="14"/>
    <x v="14"/>
    <s v="SERVIÇOS FRETE"/>
    <x v="6"/>
    <s v="COMERCIAL"/>
    <n v="0"/>
    <s v="THAIS"/>
  </r>
  <r>
    <n v="196822"/>
    <s v="KOY"/>
    <s v="11629"/>
    <x v="31"/>
    <s v="LUKPAPER IND. E COM. DE PAPEIS EIRELI"/>
    <n v="300"/>
    <x v="45"/>
    <x v="45"/>
    <s v=""/>
    <x v="4"/>
    <s v="ADMINISTRATIVO"/>
    <n v="0"/>
    <s v="MYLENA"/>
  </r>
  <r>
    <n v="196823"/>
    <s v="FK"/>
    <s v="ADOBE 2026"/>
    <x v="70"/>
    <s v="KARAM'S IND.E COM.DE ESTOFADOS LTDA"/>
    <n v="165"/>
    <x v="50"/>
    <x v="50"/>
    <s v=""/>
    <x v="6"/>
    <s v="COMERCIAL"/>
    <n v="0"/>
    <s v="THAIS"/>
  </r>
  <r>
    <n v="196824"/>
    <s v="KOY"/>
    <s v="11630"/>
    <x v="31"/>
    <s v="LUKPAPER IND. E COM. DE PAPEIS EIRELI"/>
    <n v="1025"/>
    <x v="44"/>
    <x v="44"/>
    <s v=""/>
    <x v="9"/>
    <s v="COMPRAS"/>
    <n v="0"/>
    <s v="MYLENA"/>
  </r>
  <r>
    <n v="196825"/>
    <s v="FK"/>
    <s v="ADOBE 2026"/>
    <x v="82"/>
    <s v="KARAM'S IND.E COM.DE ESTOFADOS LTDA"/>
    <n v="165"/>
    <x v="50"/>
    <x v="50"/>
    <s v=""/>
    <x v="6"/>
    <s v="COMERCIAL"/>
    <n v="0"/>
    <s v="THAIS"/>
  </r>
  <r>
    <n v="196826"/>
    <s v="FK"/>
    <s v="ADOBE 2026"/>
    <x v="83"/>
    <s v="KARAM'S IND.E COM.DE ESTOFADOS LTDA"/>
    <n v="165"/>
    <x v="50"/>
    <x v="50"/>
    <s v=""/>
    <x v="6"/>
    <s v="COMERCIAL"/>
    <n v="0"/>
    <s v="THAIS"/>
  </r>
  <r>
    <n v="196836"/>
    <s v="FK"/>
    <s v="BI/2026/1"/>
    <x v="70"/>
    <s v="KARAM'S IND.E COM.DE ESTOFADOS LTDA"/>
    <n v="98.18"/>
    <x v="12"/>
    <x v="12"/>
    <s v=""/>
    <x v="3"/>
    <s v="MANUTENÇÃO / TI"/>
    <n v="0"/>
    <s v="LETÍCIA"/>
  </r>
  <r>
    <n v="196837"/>
    <s v="FK"/>
    <s v="BI/2026/2"/>
    <x v="82"/>
    <s v="KARAM'S IND.E COM.DE ESTOFADOS LTDA"/>
    <n v="98.18"/>
    <x v="12"/>
    <x v="12"/>
    <s v=""/>
    <x v="3"/>
    <s v="MANUTENÇÃO / TI"/>
    <n v="0"/>
    <s v="LETÍCIA"/>
  </r>
  <r>
    <n v="196838"/>
    <s v="FK"/>
    <s v="BI/2026/3"/>
    <x v="83"/>
    <s v="KARAM'S IND.E COM.DE ESTOFADOS LTDA"/>
    <n v="98.18"/>
    <x v="12"/>
    <x v="12"/>
    <s v=""/>
    <x v="3"/>
    <s v="MANUTENÇÃO / TI"/>
    <n v="0"/>
    <s v="LETÍCIA"/>
  </r>
  <r>
    <n v="196839"/>
    <s v="FK"/>
    <s v="BI/2026/4"/>
    <x v="84"/>
    <s v="KARAM'S IND.E COM.DE ESTOFADOS LTDA"/>
    <n v="98.18"/>
    <x v="12"/>
    <x v="12"/>
    <s v=""/>
    <x v="3"/>
    <s v="MANUTENÇÃO / TI"/>
    <n v="0"/>
    <s v="LETÍCIA"/>
  </r>
  <r>
    <n v="196848"/>
    <s v="FK"/>
    <s v="APPLE/1"/>
    <x v="70"/>
    <s v="KARAM'S IND.E COM.DE ESTOFADOS LTDA"/>
    <n v="19.899999999999999"/>
    <x v="13"/>
    <x v="13"/>
    <s v=""/>
    <x v="2"/>
    <s v="MANUTENÇÃO / TI"/>
    <n v="0"/>
    <s v="RAFAEL"/>
  </r>
  <r>
    <n v="196849"/>
    <s v="FK"/>
    <s v="APPLE/2"/>
    <x v="82"/>
    <s v="KARAM'S IND.E COM.DE ESTOFADOS LTDA"/>
    <n v="19.899999999999999"/>
    <x v="13"/>
    <x v="13"/>
    <s v=""/>
    <x v="2"/>
    <s v="MANUTENÇÃO / TI"/>
    <n v="0"/>
    <s v="RAFAEL"/>
  </r>
  <r>
    <n v="196850"/>
    <s v="FK"/>
    <s v="APPLE/3"/>
    <x v="83"/>
    <s v="KARAM'S IND.E COM.DE ESTOFADOS LTDA"/>
    <n v="19.899999999999999"/>
    <x v="13"/>
    <x v="13"/>
    <s v=""/>
    <x v="2"/>
    <s v="MANUTENÇÃO / TI"/>
    <n v="0"/>
    <s v="RAFAEL"/>
  </r>
  <r>
    <n v="196851"/>
    <s v="FK"/>
    <s v="APPLE/4"/>
    <x v="84"/>
    <s v="KARAM'S IND.E COM.DE ESTOFADOS LTDA"/>
    <n v="19.899999999999999"/>
    <x v="13"/>
    <x v="13"/>
    <s v=""/>
    <x v="2"/>
    <s v="MANUTENÇÃO / TI"/>
    <n v="0"/>
    <s v="RAFAEL"/>
  </r>
  <r>
    <n v="196860"/>
    <s v="FK"/>
    <s v="GOOGLEONE/"/>
    <x v="70"/>
    <s v="KARAM'S IND.E COM.DE ESTOFADOS LTDA"/>
    <n v="49.99"/>
    <x v="12"/>
    <x v="12"/>
    <s v=""/>
    <x v="3"/>
    <s v="MANUTENÇÃO / TI"/>
    <n v="0"/>
    <s v="LETÍCIA"/>
  </r>
  <r>
    <n v="196861"/>
    <s v="FK"/>
    <s v="GOOGLEONE/"/>
    <x v="82"/>
    <s v="KARAM'S IND.E COM.DE ESTOFADOS LTDA"/>
    <n v="49.99"/>
    <x v="12"/>
    <x v="12"/>
    <s v=""/>
    <x v="3"/>
    <s v="MANUTENÇÃO / TI"/>
    <n v="0"/>
    <s v="LETÍCIA"/>
  </r>
  <r>
    <n v="196862"/>
    <s v="FK"/>
    <s v="GOOGLEONE/"/>
    <x v="83"/>
    <s v="KARAM'S IND.E COM.DE ESTOFADOS LTDA"/>
    <n v="49.99"/>
    <x v="12"/>
    <x v="12"/>
    <s v=""/>
    <x v="3"/>
    <s v="MANUTENÇÃO / TI"/>
    <n v="0"/>
    <s v="LETÍCIA"/>
  </r>
  <r>
    <n v="196863"/>
    <s v="FK"/>
    <s v="GOOGLEONE/"/>
    <x v="84"/>
    <s v="KARAM'S IND.E COM.DE ESTOFADOS LTDA"/>
    <n v="49.99"/>
    <x v="12"/>
    <x v="12"/>
    <s v=""/>
    <x v="3"/>
    <s v="MANUTENÇÃO / TI"/>
    <n v="0"/>
    <s v="LETÍCIA"/>
  </r>
  <r>
    <n v="196872"/>
    <s v="KAR"/>
    <s v="19694"/>
    <x v="31"/>
    <s v="WILBRAZ IND E COM BRINDES LTDA"/>
    <n v="849.2"/>
    <x v="34"/>
    <x v="34"/>
    <s v=""/>
    <x v="6"/>
    <s v="COMERCIAL"/>
    <n v="0"/>
    <s v="LETÍCIA"/>
  </r>
  <r>
    <n v="196874"/>
    <s v="KAR"/>
    <s v="263192"/>
    <x v="31"/>
    <s v="TINTAS DARKA LTDA"/>
    <n v="200"/>
    <x v="14"/>
    <x v="14"/>
    <s v=""/>
    <x v="6"/>
    <s v="COMERCIAL"/>
    <n v="0"/>
    <s v="THAIS"/>
  </r>
  <r>
    <n v="196875"/>
    <s v="KAR"/>
    <s v="263526"/>
    <x v="31"/>
    <s v="TINTAS DARKA LTDA"/>
    <n v="200"/>
    <x v="14"/>
    <x v="14"/>
    <s v=""/>
    <x v="6"/>
    <s v="COMERCIAL"/>
    <n v="0"/>
    <s v="THAIS"/>
  </r>
  <r>
    <n v="196876"/>
    <s v="KAR"/>
    <s v="539136"/>
    <x v="31"/>
    <s v="ELETROLUZ MATERIAIS ELETRICOS LTDA."/>
    <n v="1164.27"/>
    <x v="46"/>
    <x v="46"/>
    <s v=""/>
    <x v="9"/>
    <s v="MANUTENÇÃO / TI"/>
    <n v="0"/>
    <s v="FÁBIO"/>
  </r>
  <r>
    <n v="196877"/>
    <s v="FK"/>
    <s v="EMP1301"/>
    <x v="31"/>
    <s v="ALINE CIVILA FERREIRA"/>
    <n v="220"/>
    <x v="31"/>
    <x v="31"/>
    <s v=""/>
    <x v="6"/>
    <s v="LOGÍSTICA"/>
    <n v="0"/>
    <s v="MYLENA"/>
  </r>
  <r>
    <n v="196878"/>
    <s v="FK"/>
    <s v="POL1101A"/>
    <x v="31"/>
    <s v="BORRACHARIA DO POLACO"/>
    <n v="40"/>
    <x v="31"/>
    <x v="31"/>
    <s v=""/>
    <x v="6"/>
    <s v="LOGÍSTICA"/>
    <n v="0"/>
    <s v="MYLENA"/>
  </r>
  <r>
    <n v="196879"/>
    <s v="KAR"/>
    <s v="2651129"/>
    <x v="64"/>
    <s v="EXPRESSO SAO MIGUEL LTDA"/>
    <n v="150.56"/>
    <x v="48"/>
    <x v="48"/>
    <s v="SERVIÇOS FRETE"/>
    <x v="0"/>
    <s v="COMPRAS"/>
    <n v="0"/>
    <s v="MYLENA"/>
  </r>
  <r>
    <n v="196880"/>
    <s v="KAR"/>
    <s v="327130"/>
    <x v="61"/>
    <s v="EXPRESSO SAO MIGUEL S/A"/>
    <n v="153.31"/>
    <x v="48"/>
    <x v="48"/>
    <s v=""/>
    <x v="0"/>
    <s v="COMPRAS"/>
    <n v="0"/>
    <s v="MYLENA"/>
  </r>
  <r>
    <n v="196881"/>
    <s v="KAR"/>
    <s v="456443"/>
    <x v="31"/>
    <s v="VMD MAQUINAS E FERRAMENTAS LTDA"/>
    <n v="697"/>
    <x v="14"/>
    <x v="14"/>
    <s v="PEÇAS DE FERRAMENTAS"/>
    <x v="6"/>
    <s v="COMERCIAL"/>
    <n v="0"/>
    <s v="THAIS"/>
  </r>
  <r>
    <n v="196882"/>
    <s v="KAR"/>
    <s v="456444"/>
    <x v="31"/>
    <s v="VMD MAQUINAS E FERRAMENTAS LTDA"/>
    <n v="1079"/>
    <x v="9"/>
    <x v="9"/>
    <s v="PEÇAS DE FERRAMENTAS"/>
    <x v="2"/>
    <s v="MANUTENÇÃO / TI"/>
    <n v="0"/>
    <s v="RAFAEL"/>
  </r>
  <r>
    <n v="196883"/>
    <s v="KAR"/>
    <s v="13483"/>
    <x v="31"/>
    <s v="EDSON JOSE DE OLIVEIRA - MARINGA"/>
    <n v="299.68"/>
    <x v="30"/>
    <x v="30"/>
    <s v="MANUTENÇÕES FERRAMENTAS"/>
    <x v="9"/>
    <s v="MANUTENÇÃO / TI"/>
    <n v="0"/>
    <s v="RAFAEL"/>
  </r>
  <r>
    <n v="196884"/>
    <s v="KAR"/>
    <s v="40203"/>
    <x v="31"/>
    <s v="EDSON JOSE DE OLIVEIRA - MARINGA"/>
    <n v="450.32"/>
    <x v="30"/>
    <x v="30"/>
    <s v="MANUTENÇÕES FERRAMENTAS"/>
    <x v="9"/>
    <s v="MANUTENÇÃO / TI"/>
    <n v="0"/>
    <s v="RAFAEL"/>
  </r>
  <r>
    <n v="196885"/>
    <s v="FK"/>
    <s v="668387"/>
    <x v="65"/>
    <s v="AUTO POSTO VIAIS"/>
    <n v="42.83"/>
    <x v="43"/>
    <x v="43"/>
    <s v=""/>
    <x v="4"/>
    <s v="LOGÍSTICA"/>
    <n v="0"/>
    <s v="LETÍCIA"/>
  </r>
  <r>
    <n v="196886"/>
    <s v="FK"/>
    <s v="667860"/>
    <x v="52"/>
    <s v="AUTO POSTO VIAIS"/>
    <n v="538.29999999999995"/>
    <x v="37"/>
    <x v="37"/>
    <s v=""/>
    <x v="6"/>
    <s v="LOGÍSTICA"/>
    <n v="0"/>
    <s v="MYLENA"/>
  </r>
  <r>
    <n v="196887"/>
    <s v="FK"/>
    <s v="818039"/>
    <x v="52"/>
    <s v="J. P. DOS SANTOS VIAIS &amp; CIA LTDA."/>
    <n v="3047.72"/>
    <x v="37"/>
    <x v="37"/>
    <s v=""/>
    <x v="6"/>
    <s v="LOGÍSTICA"/>
    <n v="0"/>
    <s v="MYLENA"/>
  </r>
  <r>
    <n v="196888"/>
    <s v="KAR"/>
    <s v="J00267037"/>
    <x v="65"/>
    <s v="KARAM'S IND.E COM.DE ESTOFADOS LTDA"/>
    <n v="130.16"/>
    <x v="39"/>
    <x v="39"/>
    <s v=""/>
    <x v="6"/>
    <s v="LOGÍSTICA"/>
    <n v="0"/>
    <s v="MYLENA"/>
  </r>
  <r>
    <n v="196889"/>
    <s v="KAR"/>
    <s v="5243"/>
    <x v="65"/>
    <s v="BANCO SICREDI"/>
    <n v="52.43"/>
    <x v="29"/>
    <x v="29"/>
    <s v=""/>
    <x v="8"/>
    <s v="FINANCEIRO"/>
    <n v="0"/>
    <s v="LETÍCIA"/>
  </r>
  <r>
    <n v="196890"/>
    <s v="FK"/>
    <s v="BET1401"/>
    <x v="65"/>
    <s v="A J M SHIHADEH - ME"/>
    <n v="49"/>
    <x v="20"/>
    <x v="20"/>
    <s v=""/>
    <x v="7"/>
    <s v="DIRETORIA"/>
    <n v="0"/>
    <s v="FÁBIO"/>
  </r>
  <r>
    <n v="196891"/>
    <s v="KAR"/>
    <s v="5121401"/>
    <x v="65"/>
    <s v="BANCO SICREDI"/>
    <n v="5.12"/>
    <x v="27"/>
    <x v="27"/>
    <s v=""/>
    <x v="8"/>
    <s v="FINANCEIRO"/>
    <n v="0"/>
    <s v="LETÍCIA"/>
  </r>
  <r>
    <n v="196892"/>
    <s v="KAR"/>
    <s v="10527"/>
    <x v="65"/>
    <s v="BANCO SICREDI"/>
    <n v="10.27"/>
    <x v="27"/>
    <x v="27"/>
    <s v=""/>
    <x v="8"/>
    <s v="FINANCEIRO"/>
    <n v="0"/>
    <s v="LETÍCIA"/>
  </r>
  <r>
    <n v="196893"/>
    <s v="KAR"/>
    <s v="2287"/>
    <x v="65"/>
    <s v="BANCO SICREDI"/>
    <n v="22.87"/>
    <x v="29"/>
    <x v="29"/>
    <s v=""/>
    <x v="8"/>
    <s v="FINANCEIRO"/>
    <n v="0"/>
    <s v="LETÍCIA"/>
  </r>
  <r>
    <n v="196894"/>
    <s v="KAR"/>
    <s v="2231401"/>
    <x v="65"/>
    <s v="BANCO SICREDI"/>
    <n v="2.23"/>
    <x v="27"/>
    <x v="27"/>
    <s v=""/>
    <x v="8"/>
    <s v="FINANCEIRO"/>
    <n v="0"/>
    <s v="LETÍCIA"/>
  </r>
  <r>
    <n v="196895"/>
    <s v="KAR"/>
    <s v="1581301"/>
    <x v="31"/>
    <s v="BANCO SICREDI"/>
    <n v="1.58"/>
    <x v="27"/>
    <x v="27"/>
    <s v=""/>
    <x v="8"/>
    <s v="FINANCEIRO"/>
    <n v="0"/>
    <s v="LETÍCIA"/>
  </r>
  <r>
    <n v="196896"/>
    <s v="KAR"/>
    <s v="2211201"/>
    <x v="52"/>
    <s v="BANCO SICREDI"/>
    <n v="2.21"/>
    <x v="27"/>
    <x v="27"/>
    <s v=""/>
    <x v="8"/>
    <s v="FINANCEIRO"/>
    <n v="0"/>
    <s v="LETÍCIA"/>
  </r>
  <r>
    <n v="196897"/>
    <s v="KAR"/>
    <s v="0791401"/>
    <x v="65"/>
    <s v="BANCO SICREDI"/>
    <n v="0.79"/>
    <x v="27"/>
    <x v="27"/>
    <s v=""/>
    <x v="8"/>
    <s v="FINANCEIRO"/>
    <n v="0"/>
    <s v="LETÍCIA"/>
  </r>
  <r>
    <n v="196900"/>
    <s v="FK"/>
    <s v="DEZ/25"/>
    <x v="65"/>
    <s v="SILVIA COLLI JORDÃO PRESTES"/>
    <n v="1950"/>
    <x v="23"/>
    <x v="23"/>
    <s v=""/>
    <x v="6"/>
    <s v="COMERCIAL"/>
    <n v="0"/>
    <s v="LETÍCIA"/>
  </r>
  <r>
    <n v="196901"/>
    <s v="FK"/>
    <s v="DEZ/25"/>
    <x v="65"/>
    <s v="ANDRE FELIPE CARDOSO CANGUÇÚ"/>
    <n v="187.29"/>
    <x v="53"/>
    <x v="53"/>
    <s v=""/>
    <x v="6"/>
    <s v="COMERCIAL"/>
    <n v="0"/>
    <s v="LETÍCIA"/>
  </r>
  <r>
    <n v="196902"/>
    <s v="FK"/>
    <s v="DEZ/25"/>
    <x v="65"/>
    <s v="FABIANA DE QUEIROZ LOURO MORAES"/>
    <n v="1058.6199999999999"/>
    <x v="53"/>
    <x v="53"/>
    <s v=""/>
    <x v="6"/>
    <s v="COMERCIAL"/>
    <n v="0"/>
    <s v="LETÍCIA"/>
  </r>
  <r>
    <n v="196903"/>
    <s v="FK"/>
    <s v="DEZ/25"/>
    <x v="65"/>
    <s v="LEANDRO APARECIDO MIAZO"/>
    <n v="5978.53"/>
    <x v="53"/>
    <x v="53"/>
    <s v=""/>
    <x v="6"/>
    <s v="COMERCIAL"/>
    <n v="0"/>
    <s v="LETÍCIA"/>
  </r>
  <r>
    <n v="196904"/>
    <s v="FK"/>
    <s v="MODELISTA "/>
    <x v="30"/>
    <s v="MARCOS LUKENCHUKE"/>
    <n v="6000"/>
    <x v="11"/>
    <x v="11"/>
    <s v=""/>
    <x v="6"/>
    <s v="DESENVOLVIMENTO"/>
    <n v="0"/>
    <s v="RAFAEL"/>
  </r>
  <r>
    <n v="196905"/>
    <s v="FK"/>
    <s v="MODELISTA "/>
    <x v="30"/>
    <s v="MARCOS LUKENCHUKE"/>
    <n v="6000"/>
    <x v="11"/>
    <x v="11"/>
    <s v=""/>
    <x v="6"/>
    <s v="DESENVOLVIMENTO"/>
    <n v="0"/>
    <s v="RAFAEL"/>
  </r>
  <r>
    <n v="196906"/>
    <s v="FK"/>
    <s v="MODELISTA "/>
    <x v="7"/>
    <s v="MARCOS LUKENCHUKE"/>
    <n v="6000"/>
    <x v="11"/>
    <x v="11"/>
    <s v=""/>
    <x v="6"/>
    <s v="DESENVOLVIMENTO"/>
    <n v="0"/>
    <s v="RAFAEL"/>
  </r>
  <r>
    <n v="196907"/>
    <s v="FK"/>
    <s v="MODELISTA "/>
    <x v="7"/>
    <s v="MARCOS LUKENCHUKE"/>
    <n v="6000"/>
    <x v="11"/>
    <x v="11"/>
    <s v=""/>
    <x v="6"/>
    <s v="DESENVOLVIMENTO"/>
    <n v="0"/>
    <s v="RAFAEL"/>
  </r>
  <r>
    <n v="196908"/>
    <s v="FK"/>
    <s v="MODELISTA "/>
    <x v="9"/>
    <s v="MARCOS LUKENCHUKE"/>
    <n v="6000"/>
    <x v="11"/>
    <x v="11"/>
    <s v=""/>
    <x v="6"/>
    <s v="DESENVOLVIMENTO"/>
    <n v="0"/>
    <s v="RAFAEL"/>
  </r>
  <r>
    <n v="196909"/>
    <s v="FK"/>
    <s v="MODELISTA "/>
    <x v="9"/>
    <s v="MARCOS LUKENCHUKE"/>
    <n v="6000"/>
    <x v="11"/>
    <x v="11"/>
    <s v=""/>
    <x v="6"/>
    <s v="DESENVOLVIMENTO"/>
    <n v="0"/>
    <s v="RAFAEL"/>
  </r>
  <r>
    <n v="196916"/>
    <s v="FK"/>
    <s v="BOLSAS"/>
    <x v="65"/>
    <s v="CLEIDE CAMPOS NORONHA"/>
    <n v="2000"/>
    <x v="14"/>
    <x v="14"/>
    <s v=""/>
    <x v="6"/>
    <s v="COMERCIAL"/>
    <n v="0"/>
    <s v="THAIS"/>
  </r>
  <r>
    <n v="196917"/>
    <s v="FK"/>
    <s v="SILVI0801"/>
    <x v="65"/>
    <s v="PERES &amp; DANDOLINI LTDA. ME"/>
    <n v="170"/>
    <x v="23"/>
    <x v="23"/>
    <s v=""/>
    <x v="6"/>
    <s v="COMERCIAL"/>
    <n v="0"/>
    <s v="LETÍCIA"/>
  </r>
  <r>
    <n v="196918"/>
    <s v="KAR"/>
    <s v="SEGURO FRO"/>
    <x v="11"/>
    <s v="LIBERTY SEGUROS S/A"/>
    <n v="9200.6299999999992"/>
    <x v="5"/>
    <x v="5"/>
    <s v=""/>
    <x v="4"/>
    <s v="LOGÍSTICA"/>
    <n v="0"/>
    <s v="MYLENA"/>
  </r>
  <r>
    <n v="196919"/>
    <s v="FK"/>
    <s v="PWR040126"/>
    <x v="40"/>
    <s v="TAM LINHAS AEREAS S/A."/>
    <n v="1326.56"/>
    <x v="6"/>
    <x v="6"/>
    <s v=""/>
    <x v="3"/>
    <s v="FINANCEIRO"/>
    <n v="0"/>
    <s v="LETÍCIA"/>
  </r>
  <r>
    <n v="196920"/>
    <s v="FK"/>
    <s v="SHOP1712"/>
    <x v="65"/>
    <s v="KARAM'S IND.E COM.DE ESTOFADOS LTDA"/>
    <n v="1487.7"/>
    <x v="14"/>
    <x v="14"/>
    <s v=""/>
    <x v="6"/>
    <s v="COMERCIAL"/>
    <n v="0"/>
    <s v="THAIS"/>
  </r>
  <r>
    <n v="196921"/>
    <s v="KAR"/>
    <s v="SEGURO FRO"/>
    <x v="12"/>
    <s v="LIBERTY SEGUROS S/A"/>
    <n v="9200.6299999999992"/>
    <x v="5"/>
    <x v="5"/>
    <s v=""/>
    <x v="4"/>
    <s v="LOGÍSTICA"/>
    <n v="0"/>
    <s v="MYLENA"/>
  </r>
  <r>
    <n v="196922"/>
    <s v="KAR"/>
    <s v="SEGURO FRO"/>
    <x v="13"/>
    <s v="LIBERTY SEGUROS S/A"/>
    <n v="9200.6299999999992"/>
    <x v="5"/>
    <x v="5"/>
    <s v=""/>
    <x v="4"/>
    <s v="LOGÍSTICA"/>
    <n v="0"/>
    <s v="MYLENA"/>
  </r>
  <r>
    <n v="196923"/>
    <s v="KAR"/>
    <s v="SEGURO FRO"/>
    <x v="14"/>
    <s v="LIBERTY SEGUROS S/A"/>
    <n v="9200.6299999999992"/>
    <x v="5"/>
    <x v="5"/>
    <s v=""/>
    <x v="4"/>
    <s v="LOGÍSTICA"/>
    <n v="0"/>
    <s v="MYLENA"/>
  </r>
  <r>
    <n v="196930"/>
    <s v="FK"/>
    <s v="PASSAGEM A"/>
    <x v="85"/>
    <s v="JULIANA SILVA QUITÉRIO - ME"/>
    <n v="466.64"/>
    <x v="14"/>
    <x v="14"/>
    <s v=""/>
    <x v="6"/>
    <s v="COMERCIAL"/>
    <n v="0"/>
    <s v="THAIS"/>
  </r>
  <r>
    <n v="196931"/>
    <s v="FK"/>
    <s v="PASSAGEM A"/>
    <x v="86"/>
    <s v="JULIANA SILVA QUITÉRIO - ME"/>
    <n v="466.64"/>
    <x v="14"/>
    <x v="14"/>
    <s v=""/>
    <x v="6"/>
    <s v="COMERCIAL"/>
    <n v="0"/>
    <s v="THAIS"/>
  </r>
  <r>
    <n v="196932"/>
    <s v="FK"/>
    <s v="PASSAGEM A"/>
    <x v="87"/>
    <s v="JULIANA SILVA QUITÉRIO - ME"/>
    <n v="466.64"/>
    <x v="14"/>
    <x v="14"/>
    <s v=""/>
    <x v="6"/>
    <s v="COMERCIAL"/>
    <n v="0"/>
    <s v="THAIS"/>
  </r>
  <r>
    <n v="196934"/>
    <s v="FK"/>
    <s v="CAR181225"/>
    <x v="65"/>
    <s v="GOL LINHAS AÉREAS INTELIGENTES"/>
    <n v="624"/>
    <x v="54"/>
    <x v="54"/>
    <s v=""/>
    <x v="6"/>
    <s v="COMERCIAL"/>
    <n v="0"/>
    <s v="LETÍCIA"/>
  </r>
  <r>
    <n v="196935"/>
    <s v="FK"/>
    <s v="CAR1812"/>
    <x v="65"/>
    <s v="GOL LINHAS AÉREAS INTELIGENTES"/>
    <n v="114.16"/>
    <x v="54"/>
    <x v="54"/>
    <s v=""/>
    <x v="6"/>
    <s v="COMERCIAL"/>
    <n v="0"/>
    <s v="LETÍCIA"/>
  </r>
  <r>
    <n v="196938"/>
    <s v="FK"/>
    <s v="PWR140126"/>
    <x v="65"/>
    <s v="M.A. DOS SANTOS NASCIMENTO"/>
    <n v="181"/>
    <x v="35"/>
    <x v="35"/>
    <s v=""/>
    <x v="9"/>
    <s v="DH"/>
    <n v="0"/>
    <s v="FÁBIO"/>
  </r>
  <r>
    <n v="196939"/>
    <s v="KAR"/>
    <s v="204517"/>
    <x v="65"/>
    <s v="G.C.TEXTIL IMPORTACAO E COMERCIO DE TAPETES LTDA"/>
    <n v="480"/>
    <x v="55"/>
    <x v="55"/>
    <s v=""/>
    <x v="8"/>
    <s v="COMERCIAL"/>
    <n v="0"/>
    <s v="LETÍCIA"/>
  </r>
  <r>
    <n v="196940"/>
    <s v="KAR"/>
    <s v="6820"/>
    <x v="65"/>
    <s v="CAMELIA TECIDOS COMPLEMENTOS PARA DECORACOES LTDA"/>
    <n v="480"/>
    <x v="55"/>
    <x v="55"/>
    <s v=""/>
    <x v="8"/>
    <s v="COMERCIAL"/>
    <n v="0"/>
    <s v="LETÍCIA"/>
  </r>
  <r>
    <n v="196941"/>
    <s v="FK"/>
    <s v="FITA1401"/>
    <x v="65"/>
    <s v="ELAINE CRISTINA TAROCO SANTOS &amp; CIA LTDA"/>
    <n v="24"/>
    <x v="52"/>
    <x v="52"/>
    <s v="COMPONENTES T.I"/>
    <x v="4"/>
    <s v="ADMINISTRATIVO"/>
    <n v="0"/>
    <s v="LETÍCIA"/>
  </r>
  <r>
    <n v="196942"/>
    <s v="FK"/>
    <s v="REF140126"/>
    <x v="65"/>
    <s v="LEDOAR JOSE BERTUCINI - ME"/>
    <n v="27"/>
    <x v="38"/>
    <x v="38"/>
    <s v=""/>
    <x v="5"/>
    <s v="PRODUÇÃO"/>
    <n v="0"/>
    <s v="RAFAEL"/>
  </r>
  <r>
    <n v="196943"/>
    <s v="KAR"/>
    <s v="164773"/>
    <x v="65"/>
    <s v="IND. DE MAQUINAS MIRUNA LTDA"/>
    <n v="522.42999999999995"/>
    <x v="30"/>
    <x v="30"/>
    <s v="PEÇAS GRAMPEADORES BEA"/>
    <x v="9"/>
    <s v="MANUTENÇÃO / TI"/>
    <n v="0"/>
    <s v="RAFAEL"/>
  </r>
  <r>
    <n v="196944"/>
    <s v="FK"/>
    <s v="ELET1401"/>
    <x v="65"/>
    <s v="JOAO LUIZ DE OLIVEIRA &amp; CIA LTDA - ME"/>
    <n v="305"/>
    <x v="25"/>
    <x v="25"/>
    <s v="MATERIAIS ELETRICOS"/>
    <x v="2"/>
    <s v="MANUTENÇÃO / TI"/>
    <n v="0"/>
    <s v="FÁBIO"/>
  </r>
  <r>
    <n v="196947"/>
    <s v="FK"/>
    <s v="PET1401"/>
    <x v="65"/>
    <s v="ACT GUIRELLI"/>
    <n v="264"/>
    <x v="32"/>
    <x v="32"/>
    <s v=""/>
    <x v="3"/>
    <s v="FINANCEIRO"/>
    <n v="0"/>
    <s v="LETÍCIA"/>
  </r>
  <r>
    <n v="196948"/>
    <s v="FK"/>
    <s v="GAB120126"/>
    <x v="52"/>
    <s v="TAM LINHAS AEREAS S/A."/>
    <n v="588.08000000000004"/>
    <x v="14"/>
    <x v="14"/>
    <s v=""/>
    <x v="6"/>
    <s v="COMERCIAL"/>
    <n v="0"/>
    <s v="THAIS"/>
  </r>
  <r>
    <n v="196949"/>
    <s v="FK"/>
    <s v="PET1401A"/>
    <x v="65"/>
    <s v="ACT GUIRELLI"/>
    <n v="40"/>
    <x v="15"/>
    <x v="15"/>
    <s v=""/>
    <x v="7"/>
    <s v="DIRETORIA"/>
    <n v="0"/>
    <s v="FÁBIO"/>
  </r>
  <r>
    <n v="196950"/>
    <s v="KAR"/>
    <s v="10831"/>
    <x v="65"/>
    <s v="BANCO SICREDI"/>
    <n v="108.31"/>
    <x v="27"/>
    <x v="27"/>
    <s v=""/>
    <x v="8"/>
    <s v="FINANCEIRO"/>
    <n v="0"/>
    <s v="LETÍCIA"/>
  </r>
  <r>
    <n v="196951"/>
    <s v="KAR"/>
    <s v="14874"/>
    <x v="65"/>
    <s v="BANCO SICREDI"/>
    <n v="148.74"/>
    <x v="27"/>
    <x v="27"/>
    <s v=""/>
    <x v="8"/>
    <s v="FINANCEIRO"/>
    <n v="0"/>
    <s v="LETÍCIA"/>
  </r>
  <r>
    <n v="196952"/>
    <s v="KAR"/>
    <s v="6387"/>
    <x v="65"/>
    <s v="BANCO SICREDI"/>
    <n v="638.70000000000005"/>
    <x v="29"/>
    <x v="29"/>
    <s v=""/>
    <x v="8"/>
    <s v="FINANCEIRO"/>
    <n v="0"/>
    <s v="LETÍCIA"/>
  </r>
  <r>
    <n v="196953"/>
    <s v="FK"/>
    <s v="GAB120126"/>
    <x v="52"/>
    <s v="GOL LINHAS AÉREAS INTELIGENTES"/>
    <n v="475.68"/>
    <x v="14"/>
    <x v="14"/>
    <s v=""/>
    <x v="6"/>
    <s v="COMERCIAL"/>
    <n v="0"/>
    <s v="THAIS"/>
  </r>
  <r>
    <n v="196954"/>
    <s v="FK"/>
    <s v="PCZ3SKT93"/>
    <x v="65"/>
    <s v="LOCALIZA RENT A CAR S/A."/>
    <n v="438.94"/>
    <x v="35"/>
    <x v="35"/>
    <s v=""/>
    <x v="9"/>
    <s v="DH"/>
    <n v="0"/>
    <s v="FÁBIO"/>
  </r>
  <r>
    <n v="196955"/>
    <s v="KAR"/>
    <s v="456820"/>
    <x v="65"/>
    <s v="VMD MAQUINAS E FERRAMENTAS LTDA"/>
    <n v="965"/>
    <x v="9"/>
    <x v="9"/>
    <s v="PEÇAS DE FERRAMENTAS"/>
    <x v="2"/>
    <s v="MANUTENÇÃO / TI"/>
    <n v="0"/>
    <s v="RAFAEL"/>
  </r>
  <r>
    <n v="196957"/>
    <s v="KAR"/>
    <s v="0951501"/>
    <x v="21"/>
    <s v="BANCO SICREDI"/>
    <n v="0.95"/>
    <x v="27"/>
    <x v="27"/>
    <s v=""/>
    <x v="8"/>
    <s v="FINANCEIRO"/>
    <n v="0"/>
    <s v="LETÍCIA"/>
  </r>
  <r>
    <n v="196958"/>
    <s v="FK"/>
    <s v="CABO AÇO"/>
    <x v="21"/>
    <s v="GL EVENTS LIVELTDA"/>
    <n v="1760"/>
    <x v="14"/>
    <x v="14"/>
    <s v=""/>
    <x v="6"/>
    <s v="COMERCIAL"/>
    <n v="0"/>
    <s v="THAIS"/>
  </r>
  <r>
    <n v="196959"/>
    <s v="KAR"/>
    <s v="20031501"/>
    <x v="21"/>
    <s v="BANCO SICREDI"/>
    <n v="20.03"/>
    <x v="29"/>
    <x v="29"/>
    <s v=""/>
    <x v="8"/>
    <s v="FINANCEIRO"/>
    <n v="0"/>
    <s v="LETÍCIA"/>
  </r>
  <r>
    <n v="196960"/>
    <s v="KAR"/>
    <s v="55"/>
    <x v="21"/>
    <s v="BANCO SICREDI"/>
    <n v="5.5"/>
    <x v="27"/>
    <x v="27"/>
    <s v=""/>
    <x v="8"/>
    <s v="FINANCEIRO"/>
    <n v="0"/>
    <s v="LETÍCIA"/>
  </r>
  <r>
    <n v="196961"/>
    <s v="KAR"/>
    <s v="3951401"/>
    <x v="65"/>
    <s v="BANCO SICREDI"/>
    <n v="3.95"/>
    <x v="27"/>
    <x v="27"/>
    <s v=""/>
    <x v="8"/>
    <s v="FINANCEIRO"/>
    <n v="0"/>
    <s v="LETÍCIA"/>
  </r>
  <r>
    <n v="196962"/>
    <s v="KAR"/>
    <s v="1941501"/>
    <x v="21"/>
    <s v="BANCO SICREDI"/>
    <n v="1.94"/>
    <x v="27"/>
    <x v="27"/>
    <s v=""/>
    <x v="8"/>
    <s v="FINANCEIRO"/>
    <n v="0"/>
    <s v="LETÍCIA"/>
  </r>
  <r>
    <n v="196963"/>
    <s v="KAR"/>
    <s v="11266"/>
    <x v="21"/>
    <s v="BANCO SICREDI"/>
    <n v="266.08999999999997"/>
    <x v="56"/>
    <x v="56"/>
    <s v=""/>
    <x v="7"/>
    <s v="DH"/>
    <n v="0"/>
    <s v="RAFAEL"/>
  </r>
  <r>
    <n v="196964"/>
    <s v="KAR"/>
    <s v="37257"/>
    <x v="21"/>
    <s v="BANCO SICREDI"/>
    <n v="72.569999999999993"/>
    <x v="57"/>
    <x v="57"/>
    <s v=""/>
    <x v="9"/>
    <s v="DH"/>
    <s v="CUSTO MÃO DE OBRA DIRETA"/>
    <s v="RAFAEL"/>
  </r>
  <r>
    <n v="196965"/>
    <s v="KAR"/>
    <s v="17411"/>
    <x v="21"/>
    <s v="BANCO SICREDI"/>
    <n v="411.26"/>
    <x v="58"/>
    <x v="58"/>
    <s v=""/>
    <x v="5"/>
    <s v="DH"/>
    <s v="CUSTO MÃO DE OBRA DIRETA"/>
    <s v="RAFAEL"/>
  </r>
  <r>
    <n v="196966"/>
    <s v="KAR"/>
    <s v="125480"/>
    <x v="21"/>
    <s v="BANCO SICREDI"/>
    <n v="1254.8"/>
    <x v="58"/>
    <x v="58"/>
    <s v=""/>
    <x v="5"/>
    <s v="DH"/>
    <s v="CUSTO MÃO DE OBRA DIRETA"/>
    <s v="RAFAEL"/>
  </r>
  <r>
    <n v="196967"/>
    <s v="KAR"/>
    <s v="22519"/>
    <x v="21"/>
    <s v="BANCO SICREDI"/>
    <n v="225.19"/>
    <x v="57"/>
    <x v="57"/>
    <s v=""/>
    <x v="9"/>
    <s v="DH"/>
    <s v="CUSTO MÃO DE OBRA DIRETA"/>
    <s v="RAFAEL"/>
  </r>
  <r>
    <n v="196968"/>
    <s v="KAR"/>
    <s v="257361501"/>
    <x v="21"/>
    <s v="BANCO SICREDI"/>
    <n v="257.36"/>
    <x v="56"/>
    <x v="56"/>
    <s v=""/>
    <x v="7"/>
    <s v="DH"/>
    <n v="0"/>
    <s v="RAFAEL"/>
  </r>
  <r>
    <n v="196969"/>
    <s v="KAR"/>
    <s v="4861501"/>
    <x v="21"/>
    <s v="BANCO SICREDI"/>
    <n v="4.8600000000000003"/>
    <x v="29"/>
    <x v="29"/>
    <s v=""/>
    <x v="8"/>
    <s v="FINANCEIRO"/>
    <n v="0"/>
    <s v="LETÍCIA"/>
  </r>
  <r>
    <n v="196970"/>
    <s v="KAR"/>
    <s v="0471501"/>
    <x v="21"/>
    <s v="BANCO SICREDI"/>
    <n v="0.47"/>
    <x v="27"/>
    <x v="27"/>
    <s v=""/>
    <x v="8"/>
    <s v="FINANCEIRO"/>
    <n v="0"/>
    <s v="LETÍCIA"/>
  </r>
  <r>
    <n v="196971"/>
    <s v="KAR"/>
    <s v="1581501"/>
    <x v="21"/>
    <s v="BANCO SICREDI"/>
    <n v="1.58"/>
    <x v="27"/>
    <x v="27"/>
    <s v=""/>
    <x v="8"/>
    <s v="FINANCEIRO"/>
    <n v="0"/>
    <s v="LETÍCIA"/>
  </r>
  <r>
    <n v="196972"/>
    <s v="KAR"/>
    <s v="31713"/>
    <x v="21"/>
    <s v="BANCO SICREDI"/>
    <n v="317.13"/>
    <x v="58"/>
    <x v="58"/>
    <s v=""/>
    <x v="5"/>
    <s v="DH"/>
    <s v="CUSTO MÃO DE OBRA DIRETA"/>
    <s v="RAFAEL"/>
  </r>
  <r>
    <n v="196973"/>
    <s v="KAR"/>
    <s v="6342"/>
    <x v="21"/>
    <s v="BANCO SICREDI"/>
    <n v="63.42"/>
    <x v="57"/>
    <x v="57"/>
    <s v=""/>
    <x v="9"/>
    <s v="DH"/>
    <s v="CUSTO MÃO DE OBRA DIRETA"/>
    <s v="RAFAEL"/>
  </r>
  <r>
    <n v="196974"/>
    <s v="KAR"/>
    <s v="12685"/>
    <x v="21"/>
    <s v="BANCO SICREDI"/>
    <n v="126.85"/>
    <x v="56"/>
    <x v="56"/>
    <s v=""/>
    <x v="7"/>
    <s v="DH"/>
    <n v="0"/>
    <s v="RAFAEL"/>
  </r>
  <r>
    <n v="196976"/>
    <s v="KOY"/>
    <s v="98026/1"/>
    <x v="31"/>
    <s v="MERCADO LIVRE "/>
    <n v="141.25"/>
    <x v="46"/>
    <x v="46"/>
    <s v=""/>
    <x v="9"/>
    <s v="MANUTENÇÃO / TI"/>
    <n v="0"/>
    <s v="FÁBIO"/>
  </r>
  <r>
    <n v="196977"/>
    <s v="KOY"/>
    <s v="98026/2"/>
    <x v="32"/>
    <s v="MERCADO LIVRE "/>
    <n v="141.25"/>
    <x v="46"/>
    <x v="46"/>
    <s v=""/>
    <x v="9"/>
    <s v="MANUTENÇÃO / TI"/>
    <n v="0"/>
    <s v="FÁBIO"/>
  </r>
  <r>
    <n v="196978"/>
    <s v="KOY"/>
    <s v="98026/3"/>
    <x v="33"/>
    <s v="MERCADO LIVRE "/>
    <n v="141.25"/>
    <x v="46"/>
    <x v="46"/>
    <s v=""/>
    <x v="9"/>
    <s v="MANUTENÇÃO / TI"/>
    <n v="0"/>
    <s v="FÁBIO"/>
  </r>
  <r>
    <n v="196979"/>
    <s v="KOY"/>
    <s v="98026/4"/>
    <x v="34"/>
    <s v="MERCADO LIVRE "/>
    <n v="141.25"/>
    <x v="46"/>
    <x v="46"/>
    <s v=""/>
    <x v="9"/>
    <s v="MANUTENÇÃO / TI"/>
    <n v="0"/>
    <s v="FÁBIO"/>
  </r>
  <r>
    <n v="196989"/>
    <s v="KOY"/>
    <s v="37075"/>
    <x v="31"/>
    <s v="MERCADO LIVRE "/>
    <n v="23.69"/>
    <x v="46"/>
    <x v="46"/>
    <s v=""/>
    <x v="9"/>
    <s v="MANUTENÇÃO / TI"/>
    <n v="0"/>
    <s v="FÁBIO"/>
  </r>
  <r>
    <n v="196991"/>
    <s v="KOY"/>
    <s v="17195/1"/>
    <x v="31"/>
    <s v="MERCADO LIVRE "/>
    <n v="51.46"/>
    <x v="46"/>
    <x v="46"/>
    <s v=""/>
    <x v="9"/>
    <s v="MANUTENÇÃO / TI"/>
    <n v="0"/>
    <s v="FÁBIO"/>
  </r>
  <r>
    <n v="196992"/>
    <s v="KOY"/>
    <s v="17195/2"/>
    <x v="32"/>
    <s v="MERCADO LIVRE "/>
    <n v="51.46"/>
    <x v="46"/>
    <x v="46"/>
    <s v=""/>
    <x v="9"/>
    <s v="MANUTENÇÃO / TI"/>
    <n v="0"/>
    <s v="FÁBIO"/>
  </r>
  <r>
    <n v="196993"/>
    <s v="KOY"/>
    <s v="17195/3"/>
    <x v="33"/>
    <s v="MERCADO LIVRE "/>
    <n v="51.46"/>
    <x v="46"/>
    <x v="46"/>
    <s v=""/>
    <x v="9"/>
    <s v="MANUTENÇÃO / TI"/>
    <n v="0"/>
    <s v="FÁBIO"/>
  </r>
  <r>
    <n v="196994"/>
    <s v="KOY"/>
    <s v="17195/4"/>
    <x v="34"/>
    <s v="MERCADO LIVRE "/>
    <n v="51.46"/>
    <x v="46"/>
    <x v="46"/>
    <s v=""/>
    <x v="9"/>
    <s v="MANUTENÇÃO / TI"/>
    <n v="0"/>
    <s v="FÁBIO"/>
  </r>
  <r>
    <n v="196998"/>
    <s v="KOY"/>
    <s v="86561/1"/>
    <x v="31"/>
    <s v="MERCADO LIVRE "/>
    <n v="31.45"/>
    <x v="46"/>
    <x v="46"/>
    <s v=""/>
    <x v="9"/>
    <s v="MANUTENÇÃO / TI"/>
    <n v="0"/>
    <s v="FÁBIO"/>
  </r>
  <r>
    <n v="196999"/>
    <s v="KAR"/>
    <s v="4464SMOD"/>
    <x v="58"/>
    <s v="UNIMED DE PARANAVAI COOPERATIVA DE TRABALHO MEDICO"/>
    <n v="479.04"/>
    <x v="7"/>
    <x v="7"/>
    <s v=""/>
    <x v="5"/>
    <s v="DH"/>
    <s v="CUSTO MÃO DE OBRA DIRETA"/>
    <s v="RAFAEL"/>
  </r>
  <r>
    <n v="197000"/>
    <s v="KAR"/>
    <s v="4533fadm"/>
    <x v="58"/>
    <s v="UNIMED DE PARANAVAI COOPERATIVA DE TRABALHO MEDICO"/>
    <n v="486.93"/>
    <x v="18"/>
    <x v="18"/>
    <s v=""/>
    <x v="7"/>
    <s v="DH"/>
    <n v="0"/>
    <s v="RAFAEL"/>
  </r>
  <r>
    <n v="197001"/>
    <s v="KAR"/>
    <s v="4533fmod"/>
    <x v="58"/>
    <s v="UNIMED DE PARANAVAI COOPERATIVA DE TRABALHO MEDICO"/>
    <n v="310.33"/>
    <x v="7"/>
    <x v="7"/>
    <s v=""/>
    <x v="5"/>
    <s v="DH"/>
    <s v="CUSTO MÃO DE OBRA DIRETA"/>
    <s v="RAFAEL"/>
  </r>
  <r>
    <n v="197002"/>
    <s v="KAR"/>
    <s v="4533gadm"/>
    <x v="58"/>
    <s v="UNIMED DE PARANAVAI COOPERATIVA DE TRABALHO MEDICO"/>
    <n v="321.14999999999998"/>
    <x v="59"/>
    <x v="59"/>
    <s v=""/>
    <x v="7"/>
    <s v="DH"/>
    <n v="0"/>
    <s v="RAFAEL"/>
  </r>
  <r>
    <n v="197003"/>
    <s v="KAR"/>
    <s v="4533gmod"/>
    <x v="58"/>
    <s v="UNIMED DE PARANAVAI COOPERATIVA DE TRABALHO MEDICO"/>
    <n v="170.8"/>
    <x v="60"/>
    <x v="60"/>
    <s v=""/>
    <x v="5"/>
    <s v="DH"/>
    <s v="CUSTO MÃO DE OBRA DIRETA"/>
    <s v="RAFAEL"/>
  </r>
  <r>
    <n v="197004"/>
    <s v="KAR"/>
    <s v="4537smod"/>
    <x v="58"/>
    <s v="UNIMED DE PARANAVAI COOPERATIVA DE TRABALHO MEDICO"/>
    <n v="187.53"/>
    <x v="7"/>
    <x v="7"/>
    <s v=""/>
    <x v="5"/>
    <s v="DH"/>
    <s v="CUSTO MÃO DE OBRA DIRETA"/>
    <s v="RAFAEL"/>
  </r>
  <r>
    <n v="197005"/>
    <s v="KAR"/>
    <s v="4562AYLA"/>
    <x v="58"/>
    <s v="UNIMED DE PARANAVAI COOPERATIVA DE TRABALHO MEDICO"/>
    <n v="322.89999999999998"/>
    <x v="15"/>
    <x v="15"/>
    <s v=""/>
    <x v="7"/>
    <s v="DIRETORIA"/>
    <n v="0"/>
    <s v="FÁBIO"/>
  </r>
  <r>
    <n v="197006"/>
    <s v="KAR"/>
    <s v="4562FADM"/>
    <x v="58"/>
    <s v="UNIMED DE PARANAVAI COOPERATIVA DE TRABALHO MEDICO"/>
    <n v="680.1"/>
    <x v="18"/>
    <x v="18"/>
    <s v=""/>
    <x v="7"/>
    <s v="DH"/>
    <n v="0"/>
    <s v="RAFAEL"/>
  </r>
  <r>
    <n v="197007"/>
    <s v="KAR"/>
    <s v="4562FMOD"/>
    <x v="58"/>
    <s v="UNIMED DE PARANAVAI COOPERATIVA DE TRABALHO MEDICO"/>
    <n v="1069.99"/>
    <x v="7"/>
    <x v="7"/>
    <s v=""/>
    <x v="5"/>
    <s v="DH"/>
    <s v="CUSTO MÃO DE OBRA DIRETA"/>
    <s v="RAFAEL"/>
  </r>
  <r>
    <n v="197008"/>
    <s v="KAR"/>
    <s v="4562GADM"/>
    <x v="58"/>
    <s v="UNIMED DE PARANAVAI COOPERATIVA DE TRABALHO MEDICO"/>
    <n v="463.91"/>
    <x v="59"/>
    <x v="59"/>
    <s v=""/>
    <x v="7"/>
    <s v="DH"/>
    <n v="0"/>
    <s v="RAFAEL"/>
  </r>
  <r>
    <n v="197009"/>
    <s v="KAR"/>
    <s v="4562GMOD"/>
    <x v="58"/>
    <s v="UNIMED DE PARANAVAI COOPERATIVA DE TRABALHO MEDICO"/>
    <n v="574"/>
    <x v="60"/>
    <x v="60"/>
    <s v=""/>
    <x v="5"/>
    <s v="DH"/>
    <s v="CUSTO MÃO DE OBRA DIRETA"/>
    <s v="RAFAEL"/>
  </r>
  <r>
    <n v="197010"/>
    <s v="KOY"/>
    <s v="86561/2"/>
    <x v="32"/>
    <s v="MERCADO LIVRE "/>
    <n v="31.45"/>
    <x v="46"/>
    <x v="46"/>
    <s v=""/>
    <x v="9"/>
    <s v="MANUTENÇÃO / TI"/>
    <n v="0"/>
    <s v="FÁBIO"/>
  </r>
  <r>
    <n v="197011"/>
    <s v="KOY"/>
    <s v="86561/3"/>
    <x v="33"/>
    <s v="MERCADO LIVRE "/>
    <n v="31.45"/>
    <x v="46"/>
    <x v="46"/>
    <s v=""/>
    <x v="9"/>
    <s v="MANUTENÇÃO / TI"/>
    <n v="0"/>
    <s v="FÁBIO"/>
  </r>
  <r>
    <n v="197012"/>
    <s v="KOY"/>
    <s v="86561/4"/>
    <x v="34"/>
    <s v="MERCADO LIVRE "/>
    <n v="31.45"/>
    <x v="46"/>
    <x v="46"/>
    <s v=""/>
    <x v="9"/>
    <s v="MANUTENÇÃO / TI"/>
    <n v="0"/>
    <s v="FÁBIO"/>
  </r>
  <r>
    <n v="197015"/>
    <s v="KOY"/>
    <s v="1724"/>
    <x v="31"/>
    <s v="MERCADO LIVRE "/>
    <n v="805.8"/>
    <x v="46"/>
    <x v="46"/>
    <s v=""/>
    <x v="9"/>
    <s v="MANUTENÇÃO / TI"/>
    <n v="0"/>
    <s v="FÁBIO"/>
  </r>
  <r>
    <n v="197016"/>
    <s v="KOY"/>
    <s v="194226"/>
    <x v="31"/>
    <s v="MERCADO LIVRE "/>
    <n v="97.27"/>
    <x v="30"/>
    <x v="30"/>
    <s v=""/>
    <x v="9"/>
    <s v="MANUTENÇÃO / TI"/>
    <n v="0"/>
    <s v="RAFAEL"/>
  </r>
  <r>
    <n v="197017"/>
    <s v="LAY"/>
    <s v="4533fadm"/>
    <x v="58"/>
    <s v="UNIMED DE PARANAVAI COOPERATIVA DE TRABALHO MEDICO"/>
    <n v="259.67"/>
    <x v="18"/>
    <x v="18"/>
    <s v=""/>
    <x v="7"/>
    <s v="DH"/>
    <n v="0"/>
    <s v="RAFAEL"/>
  </r>
  <r>
    <n v="197018"/>
    <s v="LAY"/>
    <s v="4533fcif"/>
    <x v="58"/>
    <s v="UNIMED DE PARANAVAI COOPERATIVA DE TRABALHO MEDICO"/>
    <n v="315.42"/>
    <x v="61"/>
    <x v="61"/>
    <s v=""/>
    <x v="9"/>
    <s v="DH"/>
    <s v="CUSTO MÃO DE OBRA DIRETA"/>
    <s v="RAFAEL"/>
  </r>
  <r>
    <n v="197019"/>
    <s v="LAY"/>
    <s v="4533fmod"/>
    <x v="58"/>
    <s v="UNIMED DE PARANAVAI COOPERATIVA DE TRABALHO MEDICO"/>
    <n v="205.86"/>
    <x v="7"/>
    <x v="7"/>
    <s v=""/>
    <x v="5"/>
    <s v="DH"/>
    <s v="CUSTO MÃO DE OBRA DIRETA"/>
    <s v="RAFAEL"/>
  </r>
  <r>
    <n v="197020"/>
    <s v="LAY"/>
    <s v="4533gadm"/>
    <x v="58"/>
    <s v="UNIMED DE PARANAVAI COOPERATIVA DE TRABALHO MEDICO"/>
    <n v="259.67"/>
    <x v="59"/>
    <x v="59"/>
    <s v=""/>
    <x v="7"/>
    <s v="DH"/>
    <n v="0"/>
    <s v="RAFAEL"/>
  </r>
  <r>
    <n v="197021"/>
    <s v="LAY"/>
    <s v="4533gcif"/>
    <x v="58"/>
    <s v="UNIMED DE PARANAVAI COOPERATIVA DE TRABALHO MEDICO"/>
    <n v="149.63999999999999"/>
    <x v="62"/>
    <x v="62"/>
    <s v=""/>
    <x v="9"/>
    <s v="DH"/>
    <s v="CUSTO MÃO DE OBRA DIRETA"/>
    <s v="RAFAEL"/>
  </r>
  <r>
    <n v="197022"/>
    <s v="LAY"/>
    <s v="4533gmod"/>
    <x v="58"/>
    <s v="UNIMED DE PARANAVAI COOPERATIVA DE TRABALHO MEDICO"/>
    <n v="205.86"/>
    <x v="60"/>
    <x v="60"/>
    <s v=""/>
    <x v="5"/>
    <s v="DH"/>
    <s v="CUSTO MÃO DE OBRA DIRETA"/>
    <s v="RAFAEL"/>
  </r>
  <r>
    <n v="197023"/>
    <s v="LAY"/>
    <s v="4562SCIF"/>
    <x v="58"/>
    <s v="UNIMED DE PARANAVAI COOPERATIVA DE TRABALHO MEDICO"/>
    <n v="676.13"/>
    <x v="61"/>
    <x v="61"/>
    <s v=""/>
    <x v="9"/>
    <s v="DH"/>
    <s v="CUSTO MÃO DE OBRA DIRETA"/>
    <s v="RAFAEL"/>
  </r>
  <r>
    <n v="197024"/>
    <s v="LAY"/>
    <s v="4562SMOD"/>
    <x v="58"/>
    <s v="UNIMED DE PARANAVAI COOPERATIVA DE TRABALHO MEDICO"/>
    <n v="407.75"/>
    <x v="7"/>
    <x v="7"/>
    <s v=""/>
    <x v="5"/>
    <s v="DH"/>
    <s v="CUSTO MÃO DE OBRA DIRETA"/>
    <s v="RAFAEL"/>
  </r>
  <r>
    <n v="197025"/>
    <s v="LAY"/>
    <s v="4563FADM"/>
    <x v="58"/>
    <s v="UNIMED DE PARANAVAI COOPERATIVA DE TRABALHO MEDICO"/>
    <n v="1579.68"/>
    <x v="18"/>
    <x v="18"/>
    <s v=""/>
    <x v="7"/>
    <s v="DH"/>
    <n v="0"/>
    <s v="RAFAEL"/>
  </r>
  <r>
    <n v="197026"/>
    <s v="LAY"/>
    <s v="4563FCIF"/>
    <x v="58"/>
    <s v="UNIMED DE PARANAVAI COOPERATIVA DE TRABALHO MEDICO"/>
    <n v="982.22"/>
    <x v="61"/>
    <x v="61"/>
    <s v=""/>
    <x v="9"/>
    <s v="DH"/>
    <s v="CUSTO MÃO DE OBRA DIRETA"/>
    <s v="RAFAEL"/>
  </r>
  <r>
    <n v="197027"/>
    <s v="LAY"/>
    <s v="4563FMOD"/>
    <x v="58"/>
    <s v="UNIMED DE PARANAVAI COOPERATIVA DE TRABALHO MEDICO"/>
    <n v="1066.93"/>
    <x v="7"/>
    <x v="7"/>
    <s v=""/>
    <x v="5"/>
    <s v="DH"/>
    <s v="CUSTO MÃO DE OBRA DIRETA"/>
    <s v="RAFAEL"/>
  </r>
  <r>
    <n v="197028"/>
    <s v="LAY"/>
    <s v="4563GADM"/>
    <x v="58"/>
    <s v="UNIMED DE PARANAVAI COOPERATIVA DE TRABALHO MEDICO"/>
    <n v="449.28"/>
    <x v="59"/>
    <x v="59"/>
    <s v=""/>
    <x v="7"/>
    <s v="DH"/>
    <n v="0"/>
    <s v="RAFAEL"/>
  </r>
  <r>
    <n v="197029"/>
    <s v="LAY"/>
    <s v="4563GCIF"/>
    <x v="58"/>
    <s v="UNIMED DE PARANAVAI COOPERATIVA DE TRABALHO MEDICO"/>
    <n v="766.05"/>
    <x v="62"/>
    <x v="62"/>
    <s v=""/>
    <x v="9"/>
    <s v="DH"/>
    <s v="CUSTO MÃO DE OBRA DIRETA"/>
    <s v="RAFAEL"/>
  </r>
  <r>
    <n v="197030"/>
    <s v="LAY"/>
    <s v="4563GMOD"/>
    <x v="58"/>
    <s v="UNIMED DE PARANAVAI COOPERATIVA DE TRABALHO MEDICO"/>
    <n v="634.59"/>
    <x v="60"/>
    <x v="60"/>
    <s v=""/>
    <x v="5"/>
    <s v="DH"/>
    <s v="CUSTO MÃO DE OBRA DIRETA"/>
    <s v="RAFAEL"/>
  </r>
  <r>
    <n v="197031"/>
    <s v="KAR"/>
    <s v="30885"/>
    <x v="52"/>
    <s v="TRANS APUCARANA TRANSPORTES RODOVIARIOS LTDA"/>
    <n v="90.39"/>
    <x v="48"/>
    <x v="48"/>
    <s v="SERVIÇOS FRETE"/>
    <x v="0"/>
    <s v="COMPRAS"/>
    <n v="0"/>
    <s v="MYLENA"/>
  </r>
  <r>
    <n v="197032"/>
    <s v="KAR"/>
    <s v="30882"/>
    <x v="52"/>
    <s v="TRANS APUCARANA TRANSPORTES RODOVIARIOS LTDA"/>
    <n v="99.89"/>
    <x v="48"/>
    <x v="48"/>
    <s v="SERVIÇOS FRETE"/>
    <x v="0"/>
    <s v="COMPRAS"/>
    <n v="0"/>
    <s v="MYLENA"/>
  </r>
  <r>
    <n v="197037"/>
    <s v="KAR"/>
    <s v="5536"/>
    <x v="21"/>
    <s v="BANCO SICREDI"/>
    <n v="55.36"/>
    <x v="27"/>
    <x v="27"/>
    <s v=""/>
    <x v="8"/>
    <s v="FINANCEIRO"/>
    <n v="0"/>
    <s v="LETÍCIA"/>
  </r>
  <r>
    <n v="197038"/>
    <s v="KOY"/>
    <s v="520638/1"/>
    <x v="31"/>
    <s v="MERCADO LIVRE "/>
    <n v="53.63"/>
    <x v="13"/>
    <x v="13"/>
    <s v=""/>
    <x v="2"/>
    <s v="MANUTENÇÃO / TI"/>
    <n v="0"/>
    <s v="RAFAEL"/>
  </r>
  <r>
    <n v="197039"/>
    <s v="KAR"/>
    <s v="76211501"/>
    <x v="21"/>
    <s v="BANCO SICREDI"/>
    <n v="76.209999999999994"/>
    <x v="27"/>
    <x v="27"/>
    <s v=""/>
    <x v="8"/>
    <s v="FINANCEIRO"/>
    <n v="0"/>
    <s v="LETÍCIA"/>
  </r>
  <r>
    <n v="197040"/>
    <s v="KAR"/>
    <s v="664088"/>
    <x v="21"/>
    <s v="KOFEMAR COMERCIO DE PRODUTOS PARA MARCENARIA LTDA"/>
    <n v="279.36"/>
    <x v="14"/>
    <x v="14"/>
    <s v=""/>
    <x v="6"/>
    <s v="COMERCIAL"/>
    <n v="0"/>
    <s v="THAIS"/>
  </r>
  <r>
    <n v="197041"/>
    <s v="KAR"/>
    <s v="32822"/>
    <x v="21"/>
    <s v="BANCO SICREDI"/>
    <n v="328.22"/>
    <x v="29"/>
    <x v="29"/>
    <s v=""/>
    <x v="8"/>
    <s v="FINANCEIRO"/>
    <n v="0"/>
    <s v="LETÍCIA"/>
  </r>
  <r>
    <n v="197042"/>
    <s v="KOY"/>
    <s v="520638/2"/>
    <x v="32"/>
    <s v="MERCADO LIVRE "/>
    <n v="53.63"/>
    <x v="13"/>
    <x v="13"/>
    <s v=""/>
    <x v="2"/>
    <s v="MANUTENÇÃO / TI"/>
    <n v="0"/>
    <s v="RAFAEL"/>
  </r>
  <r>
    <n v="197043"/>
    <s v="KOY"/>
    <s v="520638/3"/>
    <x v="33"/>
    <s v="MERCADO LIVRE "/>
    <n v="53.63"/>
    <x v="13"/>
    <x v="13"/>
    <s v=""/>
    <x v="2"/>
    <s v="MANUTENÇÃO / TI"/>
    <n v="0"/>
    <s v="RAFAEL"/>
  </r>
  <r>
    <n v="197044"/>
    <s v="KOY"/>
    <s v="520638/4"/>
    <x v="34"/>
    <s v="MERCADO LIVRE "/>
    <n v="53.63"/>
    <x v="13"/>
    <x v="13"/>
    <s v=""/>
    <x v="2"/>
    <s v="MANUTENÇÃO / TI"/>
    <n v="0"/>
    <s v="RAFAEL"/>
  </r>
  <r>
    <n v="197049"/>
    <s v="KOY"/>
    <s v="2897681"/>
    <x v="31"/>
    <s v="MERCADO LIVRE "/>
    <n v="110.12"/>
    <x v="38"/>
    <x v="38"/>
    <s v=""/>
    <x v="5"/>
    <s v="PRODUÇÃO"/>
    <n v="0"/>
    <s v="RAFAEL"/>
  </r>
  <r>
    <n v="197050"/>
    <s v="KOY"/>
    <s v="26315/1"/>
    <x v="31"/>
    <s v="MERCADO LIVRE "/>
    <n v="35.799999999999997"/>
    <x v="13"/>
    <x v="13"/>
    <s v=""/>
    <x v="2"/>
    <s v="MANUTENÇÃO / TI"/>
    <n v="0"/>
    <s v="RAFAEL"/>
  </r>
  <r>
    <n v="197051"/>
    <s v="KOY"/>
    <s v="26315/2"/>
    <x v="32"/>
    <s v="MERCADO LIVRE "/>
    <n v="35.799999999999997"/>
    <x v="13"/>
    <x v="13"/>
    <s v=""/>
    <x v="2"/>
    <s v="MANUTENÇÃO / TI"/>
    <n v="0"/>
    <s v="RAFAEL"/>
  </r>
  <r>
    <n v="197052"/>
    <s v="KOY"/>
    <s v="26315/3"/>
    <x v="33"/>
    <s v="MERCADO LIVRE "/>
    <n v="35.799999999999997"/>
    <x v="13"/>
    <x v="13"/>
    <s v=""/>
    <x v="2"/>
    <s v="MANUTENÇÃO / TI"/>
    <n v="0"/>
    <s v="RAFAEL"/>
  </r>
  <r>
    <n v="197053"/>
    <s v="KOY"/>
    <s v="26315/4"/>
    <x v="34"/>
    <s v="MERCADO LIVRE "/>
    <n v="35.799999999999997"/>
    <x v="13"/>
    <x v="13"/>
    <s v=""/>
    <x v="2"/>
    <s v="MANUTENÇÃO / TI"/>
    <n v="0"/>
    <s v="RAFAEL"/>
  </r>
  <r>
    <n v="197055"/>
    <s v="KOY"/>
    <s v="92397538/1"/>
    <x v="31"/>
    <s v="MERCADO LIVRE "/>
    <n v="33"/>
    <x v="13"/>
    <x v="13"/>
    <s v=""/>
    <x v="2"/>
    <s v="MANUTENÇÃO / TI"/>
    <n v="0"/>
    <s v="RAFAEL"/>
  </r>
  <r>
    <n v="197056"/>
    <s v="KOY"/>
    <s v="92397538/2"/>
    <x v="32"/>
    <s v="MERCADO LIVRE "/>
    <n v="33"/>
    <x v="13"/>
    <x v="13"/>
    <s v=""/>
    <x v="2"/>
    <s v="MANUTENÇÃO / TI"/>
    <n v="0"/>
    <s v="RAFAEL"/>
  </r>
  <r>
    <n v="197057"/>
    <s v="KOY"/>
    <s v="92397538/3"/>
    <x v="33"/>
    <s v="MERCADO LIVRE "/>
    <n v="33"/>
    <x v="13"/>
    <x v="13"/>
    <s v=""/>
    <x v="2"/>
    <s v="MANUTENÇÃO / TI"/>
    <n v="0"/>
    <s v="RAFAEL"/>
  </r>
  <r>
    <n v="197058"/>
    <s v="KOY"/>
    <s v="92397538/4"/>
    <x v="34"/>
    <s v="MERCADO LIVRE "/>
    <n v="33"/>
    <x v="13"/>
    <x v="13"/>
    <s v=""/>
    <x v="2"/>
    <s v="MANUTENÇÃO / TI"/>
    <n v="0"/>
    <s v="RAFAEL"/>
  </r>
  <r>
    <n v="197062"/>
    <s v="FK"/>
    <s v="FERRAMENT"/>
    <x v="21"/>
    <s v="MARCIO RODRIGUES DA SILVA"/>
    <n v="40"/>
    <x v="26"/>
    <x v="26"/>
    <s v=""/>
    <x v="3"/>
    <s v="FINANCEIRO"/>
    <n v="0"/>
    <s v="LETÍCIA"/>
  </r>
  <r>
    <n v="197063"/>
    <s v="FK"/>
    <s v="73135"/>
    <x v="21"/>
    <s v="COMERCIO DE COMBUSTIVEIS TBM LTDA."/>
    <n v="53.8"/>
    <x v="31"/>
    <x v="31"/>
    <s v=""/>
    <x v="6"/>
    <s v="LOGÍSTICA"/>
    <n v="0"/>
    <s v="MYLENA"/>
  </r>
  <r>
    <n v="197064"/>
    <s v="FK"/>
    <s v="LINHAS"/>
    <x v="21"/>
    <s v="SILVIA COLLI JORDÃO PRESTES"/>
    <n v="42.5"/>
    <x v="14"/>
    <x v="14"/>
    <s v=""/>
    <x v="6"/>
    <s v="COMERCIAL"/>
    <n v="0"/>
    <s v="THAIS"/>
  </r>
  <r>
    <n v="197065"/>
    <s v="FK"/>
    <s v="SILV1001"/>
    <x v="21"/>
    <s v="SILVIA COLLI JORDÃO PRESTES"/>
    <n v="159.72"/>
    <x v="23"/>
    <x v="23"/>
    <s v=""/>
    <x v="6"/>
    <s v="COMERCIAL"/>
    <n v="0"/>
    <s v="LETÍCIA"/>
  </r>
  <r>
    <n v="197066"/>
    <s v="FK"/>
    <s v="SODA1201"/>
    <x v="21"/>
    <s v="CAMINHAO BEM-9J26 "/>
    <n v="40"/>
    <x v="41"/>
    <x v="41"/>
    <s v=""/>
    <x v="6"/>
    <s v="LOGÍSTICA"/>
    <n v="0"/>
    <s v="MYLENA"/>
  </r>
  <r>
    <n v="197067"/>
    <s v="FK"/>
    <s v="SODA1301"/>
    <x v="21"/>
    <s v="CAMINHAO BEM-9J26 "/>
    <n v="55"/>
    <x v="41"/>
    <x v="41"/>
    <s v=""/>
    <x v="6"/>
    <s v="LOGÍSTICA"/>
    <n v="0"/>
    <s v="MYLENA"/>
  </r>
  <r>
    <n v="197068"/>
    <s v="FK"/>
    <s v="708"/>
    <x v="21"/>
    <s v="COMERCIO DE COMBUSTIVEIS TBM LTDA."/>
    <n v="566.38"/>
    <x v="37"/>
    <x v="37"/>
    <s v=""/>
    <x v="6"/>
    <s v="LOGÍSTICA"/>
    <n v="0"/>
    <s v="MYLENA"/>
  </r>
  <r>
    <n v="197069"/>
    <s v="FK"/>
    <s v="707"/>
    <x v="21"/>
    <s v="COMERCIO DE COMBUSTIVEIS TBM LTDA."/>
    <n v="54.57"/>
    <x v="37"/>
    <x v="37"/>
    <s v=""/>
    <x v="6"/>
    <s v="LOGÍSTICA"/>
    <n v="0"/>
    <s v="MYLENA"/>
  </r>
  <r>
    <n v="197070"/>
    <s v="FK"/>
    <s v="832"/>
    <x v="21"/>
    <s v="COMERCIO DE COMBUSTIVEIS TBM LTDA."/>
    <n v="712.05"/>
    <x v="37"/>
    <x v="37"/>
    <s v=""/>
    <x v="6"/>
    <s v="LOGÍSTICA"/>
    <n v="0"/>
    <s v="MYLENA"/>
  </r>
  <r>
    <n v="197072"/>
    <s v="KOX"/>
    <s v="GELO"/>
    <x v="21"/>
    <s v="COMERCIO DE COMBUSTIVEIS TBM LTDA."/>
    <n v="40"/>
    <x v="16"/>
    <x v="16"/>
    <s v=""/>
    <x v="7"/>
    <s v="DH"/>
    <n v="0"/>
    <s v="MYLENA"/>
  </r>
  <r>
    <n v="197073"/>
    <s v="KOX"/>
    <s v="031225"/>
    <x v="21"/>
    <s v="KOYO IND E COMERCIO DE MOVEIS  LTDA"/>
    <n v="522.01"/>
    <x v="20"/>
    <x v="20"/>
    <s v=""/>
    <x v="7"/>
    <s v="DIRETORIA"/>
    <n v="0"/>
    <s v="FÁBIO"/>
  </r>
  <r>
    <n v="197076"/>
    <s v="KOX"/>
    <s v="ANUIDADE"/>
    <x v="21"/>
    <s v="BANCO SICREDI"/>
    <n v="100"/>
    <x v="27"/>
    <x v="27"/>
    <s v=""/>
    <x v="8"/>
    <s v="FINANCEIRO"/>
    <n v="0"/>
    <s v="LETÍCIA"/>
  </r>
  <r>
    <n v="197077"/>
    <s v="KOX"/>
    <s v="MELIMAIS/1"/>
    <x v="31"/>
    <s v="KOYO IND E COMERCIO DE MOVEIS  LTDA"/>
    <n v="8.9"/>
    <x v="17"/>
    <x v="17"/>
    <s v=""/>
    <x v="8"/>
    <s v="FINANCEIRO"/>
    <n v="0"/>
    <s v="LETÍCIA"/>
  </r>
  <r>
    <n v="197078"/>
    <s v="KOX"/>
    <s v="MELIMAIS/2"/>
    <x v="32"/>
    <s v="KOYO IND E COMERCIO DE MOVEIS  LTDA"/>
    <n v="8.9"/>
    <x v="17"/>
    <x v="17"/>
    <s v=""/>
    <x v="8"/>
    <s v="FINANCEIRO"/>
    <n v="0"/>
    <s v="LETÍCIA"/>
  </r>
  <r>
    <n v="197079"/>
    <s v="KOX"/>
    <s v="MELIMAIS/3"/>
    <x v="33"/>
    <s v="KOYO IND E COMERCIO DE MOVEIS  LTDA"/>
    <n v="8.9"/>
    <x v="17"/>
    <x v="17"/>
    <s v=""/>
    <x v="8"/>
    <s v="FINANCEIRO"/>
    <n v="0"/>
    <s v="LETÍCIA"/>
  </r>
  <r>
    <n v="197080"/>
    <s v="KOX"/>
    <s v="MELIMAIS/4"/>
    <x v="34"/>
    <s v="KOYO IND E COMERCIO DE MOVEIS  LTDA"/>
    <n v="8.9"/>
    <x v="17"/>
    <x v="17"/>
    <s v=""/>
    <x v="8"/>
    <s v="FINANCEIRO"/>
    <n v="0"/>
    <s v="LETÍCIA"/>
  </r>
  <r>
    <n v="197089"/>
    <s v="KOX"/>
    <s v="CAIXA NAT"/>
    <x v="21"/>
    <s v="KOYO IND E COMERCIO DE MOVEIS  LTDA"/>
    <n v="604.49"/>
    <x v="16"/>
    <x v="16"/>
    <s v=""/>
    <x v="7"/>
    <s v="DH"/>
    <n v="0"/>
    <s v="MYLENA"/>
  </r>
  <r>
    <n v="197092"/>
    <s v="KAR"/>
    <s v="49360"/>
    <x v="21"/>
    <s v="MISSLER SOFTWARE BRASIL COMERCIO DE SOFTWARES LTDA"/>
    <n v="500.86"/>
    <x v="12"/>
    <x v="12"/>
    <s v="TOPSOLID"/>
    <x v="3"/>
    <s v="MANUTENÇÃO / TI"/>
    <n v="0"/>
    <s v="LETÍCIA"/>
  </r>
  <r>
    <n v="197093"/>
    <s v="FK"/>
    <s v="OY7063731"/>
    <x v="21"/>
    <s v="CORREIO"/>
    <n v="40.25"/>
    <x v="14"/>
    <x v="14"/>
    <s v="SERVIÇOS FRETE"/>
    <x v="6"/>
    <s v="COMERCIAL"/>
    <n v="0"/>
    <s v="THAIS"/>
  </r>
  <r>
    <n v="197094"/>
    <s v="FK"/>
    <s v="EUD140126"/>
    <x v="21"/>
    <s v="ACT GUIRELLI"/>
    <n v="40"/>
    <x v="38"/>
    <x v="38"/>
    <s v=""/>
    <x v="5"/>
    <s v="PRODUÇÃO"/>
    <n v="0"/>
    <s v="RAFAEL"/>
  </r>
  <r>
    <n v="197103"/>
    <s v="KOY"/>
    <s v="3858197/1"/>
    <x v="31"/>
    <s v="MERCADO LIVRE "/>
    <n v="53.89"/>
    <x v="46"/>
    <x v="46"/>
    <s v=""/>
    <x v="9"/>
    <s v="MANUTENÇÃO / TI"/>
    <n v="0"/>
    <s v="FÁBIO"/>
  </r>
  <r>
    <n v="197104"/>
    <s v="KOY"/>
    <s v="3858197/2"/>
    <x v="32"/>
    <s v="MERCADO LIVRE "/>
    <n v="53.89"/>
    <x v="46"/>
    <x v="46"/>
    <s v=""/>
    <x v="9"/>
    <s v="MANUTENÇÃO / TI"/>
    <n v="0"/>
    <s v="FÁBIO"/>
  </r>
  <r>
    <n v="197105"/>
    <s v="KOY"/>
    <s v="3858197/3"/>
    <x v="33"/>
    <s v="MERCADO LIVRE "/>
    <n v="53.89"/>
    <x v="46"/>
    <x v="46"/>
    <s v=""/>
    <x v="9"/>
    <s v="MANUTENÇÃO / TI"/>
    <n v="0"/>
    <s v="FÁBIO"/>
  </r>
  <r>
    <n v="197106"/>
    <s v="KOY"/>
    <s v="3858197/4"/>
    <x v="34"/>
    <s v="MERCADO LIVRE "/>
    <n v="53.89"/>
    <x v="46"/>
    <x v="46"/>
    <s v=""/>
    <x v="9"/>
    <s v="MANUTENÇÃO / TI"/>
    <n v="0"/>
    <s v="FÁBIO"/>
  </r>
  <r>
    <n v="197110"/>
    <s v="KAR"/>
    <s v="CAR230226"/>
    <x v="21"/>
    <s v="KABUM COMERCIO ELETRONICO S.A"/>
    <n v="6211.6"/>
    <x v="13"/>
    <x v="13"/>
    <s v=""/>
    <x v="2"/>
    <s v="MANUTENÇÃO / TI"/>
    <n v="0"/>
    <s v="RAFAEL"/>
  </r>
  <r>
    <n v="197111"/>
    <s v="KAR"/>
    <s v="55773"/>
    <x v="70"/>
    <s v="CHIAPETTI COM DE CAMINHOES E ONIBUS LTDA"/>
    <n v="700"/>
    <x v="31"/>
    <x v="31"/>
    <s v=""/>
    <x v="6"/>
    <s v="LOGÍSTICA"/>
    <n v="0"/>
    <s v="MYLENA"/>
  </r>
  <r>
    <n v="197112"/>
    <s v="KAR"/>
    <s v="2388"/>
    <x v="70"/>
    <s v="BANCO SICREDI"/>
    <n v="23.88"/>
    <x v="29"/>
    <x v="29"/>
    <s v=""/>
    <x v="8"/>
    <s v="FINANCEIRO"/>
    <n v="0"/>
    <s v="LETÍCIA"/>
  </r>
  <r>
    <n v="197113"/>
    <s v="KAR"/>
    <s v="2311601"/>
    <x v="70"/>
    <s v="BANCO SICREDI"/>
    <n v="2.31"/>
    <x v="29"/>
    <x v="29"/>
    <s v=""/>
    <x v="8"/>
    <s v="FINANCEIRO"/>
    <n v="0"/>
    <s v="LETÍCIA"/>
  </r>
  <r>
    <n v="197114"/>
    <s v="FK"/>
    <s v="SO1601"/>
    <x v="70"/>
    <s v="I.N OLIVEIRA"/>
    <n v="42"/>
    <x v="25"/>
    <x v="25"/>
    <s v=""/>
    <x v="2"/>
    <s v="MANUTENÇÃO / TI"/>
    <n v="0"/>
    <s v="FÁBIO"/>
  </r>
  <r>
    <n v="197115"/>
    <s v="KAR"/>
    <s v="17381501"/>
    <x v="21"/>
    <s v="BANCO SICREDI"/>
    <n v="17.38"/>
    <x v="29"/>
    <x v="29"/>
    <s v=""/>
    <x v="8"/>
    <s v="FINANCEIRO"/>
    <n v="0"/>
    <s v="LETÍCIA"/>
  </r>
  <r>
    <n v="197116"/>
    <s v="KAR"/>
    <s v="1581850"/>
    <x v="70"/>
    <s v="BANCO SICREDI"/>
    <n v="1.58"/>
    <x v="27"/>
    <x v="27"/>
    <s v=""/>
    <x v="8"/>
    <s v="FINANCEIRO"/>
    <n v="0"/>
    <s v="LETÍCIA"/>
  </r>
  <r>
    <n v="197117"/>
    <s v="FK"/>
    <s v="9501601"/>
    <x v="70"/>
    <s v="BANCO SICREDI"/>
    <n v="9.5"/>
    <x v="28"/>
    <x v="28"/>
    <s v=""/>
    <x v="8"/>
    <s v="FINANCEIRO"/>
    <n v="0"/>
    <s v="LETÍCIA"/>
  </r>
  <r>
    <n v="197118"/>
    <s v="LAY"/>
    <s v="2371601"/>
    <x v="70"/>
    <s v="BANCO SICREDI"/>
    <n v="2.37"/>
    <x v="27"/>
    <x v="27"/>
    <s v=""/>
    <x v="8"/>
    <s v="FINANCEIRO"/>
    <n v="0"/>
    <s v="LETÍCIA"/>
  </r>
  <r>
    <n v="197119"/>
    <s v="FK"/>
    <s v="ACA1401"/>
    <x v="70"/>
    <s v="MARCOS ACACIO VALERIO"/>
    <n v="380"/>
    <x v="30"/>
    <x v="30"/>
    <s v="MAQUINAS DE COSTURA"/>
    <x v="9"/>
    <s v="MANUTENÇÃO / TI"/>
    <n v="0"/>
    <s v="RAFAEL"/>
  </r>
  <r>
    <n v="197120"/>
    <s v="FK"/>
    <s v="ACA1001"/>
    <x v="70"/>
    <s v="MARCOS ACACIO VALERIO"/>
    <n v="110"/>
    <x v="30"/>
    <x v="30"/>
    <s v="MAQUINAS DE COSTURA"/>
    <x v="9"/>
    <s v="MANUTENÇÃO / TI"/>
    <n v="0"/>
    <s v="RAFAEL"/>
  </r>
  <r>
    <n v="197121"/>
    <s v="FK"/>
    <s v="ACA1612"/>
    <x v="70"/>
    <s v="MARCOS ACACIO VALERIO"/>
    <n v="120"/>
    <x v="30"/>
    <x v="30"/>
    <s v="MAQUINAS DE COSTURA"/>
    <x v="9"/>
    <s v="MANUTENÇÃO / TI"/>
    <n v="0"/>
    <s v="RAFAEL"/>
  </r>
  <r>
    <n v="197122"/>
    <s v="FK"/>
    <s v="CORD1601"/>
    <x v="88"/>
    <s v="MADEIREIRA CORDILHEIRA LTDA"/>
    <n v="4200"/>
    <x v="48"/>
    <x v="48"/>
    <s v=""/>
    <x v="0"/>
    <s v="COMPRAS"/>
    <n v="0"/>
    <s v="MYLENA"/>
  </r>
  <r>
    <n v="197123"/>
    <s v="FK"/>
    <s v="SILVI1501"/>
    <x v="70"/>
    <s v="PERES &amp; DANDOLINI LTDA. ME"/>
    <n v="175"/>
    <x v="23"/>
    <x v="23"/>
    <s v=""/>
    <x v="6"/>
    <s v="COMERCIAL"/>
    <n v="0"/>
    <s v="LETÍCIA"/>
  </r>
  <r>
    <n v="197124"/>
    <s v="FK"/>
    <s v="MATHEUS"/>
    <x v="70"/>
    <s v="PERES &amp; DANDOLINI LTDA. ME"/>
    <n v="170"/>
    <x v="35"/>
    <x v="35"/>
    <s v=""/>
    <x v="9"/>
    <s v="DH"/>
    <n v="0"/>
    <s v="FÁBIO"/>
  </r>
  <r>
    <n v="197126"/>
    <s v="KAR"/>
    <s v="19182"/>
    <x v="70"/>
    <s v="COLORPLAC ETIQUETAS METALICAS LTDA"/>
    <n v="1368"/>
    <x v="63"/>
    <x v="63"/>
    <s v=""/>
    <x v="6"/>
    <s v="COMERCIAL"/>
    <n v="0"/>
    <s v="THAIS"/>
  </r>
  <r>
    <n v="197127"/>
    <s v="FK"/>
    <s v="70975"/>
    <x v="70"/>
    <s v="COMERCIO DE COMBUSTIVEIS TBM LTDA."/>
    <n v="165.77"/>
    <x v="37"/>
    <x v="37"/>
    <s v=""/>
    <x v="6"/>
    <s v="LOGÍSTICA"/>
    <n v="0"/>
    <s v="MYLENA"/>
  </r>
  <r>
    <n v="197129"/>
    <s v="KAR"/>
    <s v="9877"/>
    <x v="70"/>
    <s v="PILLOW COMPANY IND COM TEXTIL E SERVICOS EMPRESARI"/>
    <n v="8556"/>
    <x v="55"/>
    <x v="55"/>
    <s v=""/>
    <x v="8"/>
    <s v="COMERCIAL"/>
    <n v="0"/>
    <s v="LETÍCIA"/>
  </r>
  <r>
    <n v="197130"/>
    <s v="FK"/>
    <s v="VAN160126"/>
    <x v="70"/>
    <s v="FELIPE LIMA CORTEZ"/>
    <n v="760"/>
    <x v="31"/>
    <x v="31"/>
    <s v=""/>
    <x v="6"/>
    <s v="LOGÍSTICA"/>
    <n v="0"/>
    <s v="MYLENA"/>
  </r>
  <r>
    <n v="197131"/>
    <s v="FK"/>
    <s v="PRAGMA"/>
    <x v="70"/>
    <s v="M.A. DOS SANTOS NASCIMENTO"/>
    <n v="110"/>
    <x v="64"/>
    <x v="64"/>
    <s v=""/>
    <x v="4"/>
    <s v="FINANCEIRO"/>
    <n v="0"/>
    <s v="MYLENA"/>
  </r>
  <r>
    <n v="197132"/>
    <s v="FK"/>
    <s v="SIL150126"/>
    <x v="21"/>
    <s v="M.A. DOS SANTOS NASCIMENTO"/>
    <n v="75"/>
    <x v="64"/>
    <x v="64"/>
    <s v=""/>
    <x v="4"/>
    <s v="FINANCEIRO"/>
    <n v="0"/>
    <s v="MYLENA"/>
  </r>
  <r>
    <n v="197135"/>
    <s v="KAR"/>
    <s v="61341"/>
    <x v="70"/>
    <s v="POSTO FAROL 48 DA CASTELO INTERIOR LTDA"/>
    <n v="1178"/>
    <x v="37"/>
    <x v="37"/>
    <s v=""/>
    <x v="6"/>
    <s v="LOGÍSTICA"/>
    <n v="0"/>
    <s v="MYLENA"/>
  </r>
  <r>
    <n v="197136"/>
    <s v="KAR"/>
    <s v="CNC MADEI"/>
    <x v="70"/>
    <s v="TOP SYSTEM SOLUCOES EM TECNOLOGIA DE INFORMACAO LT"/>
    <n v="12000"/>
    <x v="12"/>
    <x v="12"/>
    <s v=""/>
    <x v="3"/>
    <s v="MANUTENÇÃO / TI"/>
    <n v="0"/>
    <s v="LETÍCIA"/>
  </r>
  <r>
    <n v="197138"/>
    <s v="KAR"/>
    <s v="76006"/>
    <x v="70"/>
    <s v="TINTAS DARKA"/>
    <n v="233.93"/>
    <x v="14"/>
    <x v="14"/>
    <s v=""/>
    <x v="6"/>
    <s v="COMERCIAL"/>
    <n v="0"/>
    <s v="THAIS"/>
  </r>
  <r>
    <n v="197151"/>
    <s v="KAR"/>
    <s v="540394"/>
    <x v="88"/>
    <s v="ELETROLUZ MATERIAIS ELETRICOS LTDA."/>
    <n v="623.88"/>
    <x v="14"/>
    <x v="14"/>
    <s v=""/>
    <x v="6"/>
    <s v="COMERCIAL"/>
    <n v="0"/>
    <s v="THAIS"/>
  </r>
  <r>
    <n v="197152"/>
    <s v="FK"/>
    <s v="0951601"/>
    <x v="70"/>
    <s v="BANCO SICREDI"/>
    <n v="0.95"/>
    <x v="27"/>
    <x v="27"/>
    <s v=""/>
    <x v="8"/>
    <s v="FINANCEIRO"/>
    <n v="0"/>
    <s v="LETÍCIA"/>
  </r>
  <r>
    <n v="197153"/>
    <s v="KAR"/>
    <s v="540615"/>
    <x v="88"/>
    <s v="ELETROLUZ MATERIAIS ELETRICOS LTDA."/>
    <n v="300"/>
    <x v="14"/>
    <x v="14"/>
    <s v=""/>
    <x v="6"/>
    <s v="COMERCIAL"/>
    <n v="0"/>
    <s v="THAIS"/>
  </r>
  <r>
    <n v="197154"/>
    <s v="FK"/>
    <s v="PET1901"/>
    <x v="88"/>
    <s v="ACT GUIRELLI"/>
    <n v="11"/>
    <x v="32"/>
    <x v="32"/>
    <s v=""/>
    <x v="3"/>
    <s v="FINANCEIRO"/>
    <n v="0"/>
    <s v="LETÍCIA"/>
  </r>
  <r>
    <n v="197155"/>
    <s v="FK"/>
    <s v="NIS1901A"/>
    <x v="88"/>
    <s v="CASA DE FERRAGEM NISHIMOTO"/>
    <n v="35"/>
    <x v="14"/>
    <x v="14"/>
    <s v="FERRAGENS GERAIS"/>
    <x v="6"/>
    <s v="COMERCIAL"/>
    <n v="0"/>
    <s v="THAIS"/>
  </r>
  <r>
    <n v="197156"/>
    <s v="KAR"/>
    <s v="140991601"/>
    <x v="70"/>
    <s v="BANCO SICREDI"/>
    <n v="140.99"/>
    <x v="27"/>
    <x v="27"/>
    <s v=""/>
    <x v="8"/>
    <s v="FINANCEIRO"/>
    <n v="0"/>
    <s v="LETÍCIA"/>
  </r>
  <r>
    <n v="197157"/>
    <s v="KAR"/>
    <s v="133921601"/>
    <x v="70"/>
    <s v="BANCO SICREDI"/>
    <n v="133.91999999999999"/>
    <x v="27"/>
    <x v="27"/>
    <s v=""/>
    <x v="8"/>
    <s v="FINANCEIRO"/>
    <n v="0"/>
    <s v="LETÍCIA"/>
  </r>
  <r>
    <n v="197158"/>
    <s v="KAR"/>
    <s v="842641601"/>
    <x v="70"/>
    <s v="BANCO SICREDI"/>
    <n v="842.64"/>
    <x v="29"/>
    <x v="29"/>
    <s v=""/>
    <x v="8"/>
    <s v="FINANCEIRO"/>
    <n v="0"/>
    <s v="LETÍCIA"/>
  </r>
  <r>
    <n v="197159"/>
    <s v="KAR"/>
    <s v="8691601"/>
    <x v="70"/>
    <s v="BANCO SICREDI"/>
    <n v="8.69"/>
    <x v="27"/>
    <x v="27"/>
    <s v=""/>
    <x v="8"/>
    <s v="FINANCEIRO"/>
    <n v="0"/>
    <s v="LETÍCIA"/>
  </r>
  <r>
    <n v="197160"/>
    <s v="KAR"/>
    <s v="0361601"/>
    <x v="70"/>
    <s v="BANCO SICREDI"/>
    <n v="0.36"/>
    <x v="27"/>
    <x v="27"/>
    <s v=""/>
    <x v="8"/>
    <s v="FINANCEIRO"/>
    <n v="0"/>
    <s v="LETÍCIA"/>
  </r>
  <r>
    <n v="197161"/>
    <s v="KAR"/>
    <s v="2401901"/>
    <x v="88"/>
    <s v="BANCO SICREDI"/>
    <n v="2.4"/>
    <x v="27"/>
    <x v="27"/>
    <s v=""/>
    <x v="8"/>
    <s v="FINANCEIRO"/>
    <n v="0"/>
    <s v="LETÍCIA"/>
  </r>
  <r>
    <n v="197162"/>
    <s v="FK"/>
    <s v="FM1901A"/>
    <x v="88"/>
    <s v="RODRIGUES &amp; LIMA FERRAGENS DE FERRAMENTAS LTDA - M"/>
    <n v="40"/>
    <x v="14"/>
    <x v="14"/>
    <s v="FERRAGENS GERAIS"/>
    <x v="6"/>
    <s v="COMERCIAL"/>
    <n v="0"/>
    <s v="THAIS"/>
  </r>
  <r>
    <n v="197164"/>
    <s v="KAR"/>
    <s v="1141901"/>
    <x v="88"/>
    <s v="BANCO SICREDI"/>
    <n v="1.1399999999999999"/>
    <x v="27"/>
    <x v="27"/>
    <s v=""/>
    <x v="8"/>
    <s v="FINANCEIRO"/>
    <n v="0"/>
    <s v="LETÍCIA"/>
  </r>
  <r>
    <n v="197166"/>
    <s v="FK"/>
    <s v="FM1901C"/>
    <x v="88"/>
    <s v="RODRIGUES &amp; LIMA FERRAGENS DE FERRAMENTAS LTDA - M"/>
    <n v="70.5"/>
    <x v="30"/>
    <x v="30"/>
    <s v="FERRAGENS GERAIS"/>
    <x v="9"/>
    <s v="MANUTENÇÃO / TI"/>
    <n v="0"/>
    <s v="RAFAEL"/>
  </r>
  <r>
    <n v="197167"/>
    <s v="FK"/>
    <s v="FM1901D"/>
    <x v="88"/>
    <s v="RODRIGUES &amp; LIMA FERRAGENS DE FERRAMENTAS LTDA - M"/>
    <n v="42.5"/>
    <x v="30"/>
    <x v="30"/>
    <s v="FERRAGENS GERAIS"/>
    <x v="9"/>
    <s v="MANUTENÇÃO / TI"/>
    <n v="0"/>
    <s v="RAFAEL"/>
  </r>
  <r>
    <n v="197168"/>
    <s v="FK"/>
    <s v="NIS1901D"/>
    <x v="88"/>
    <s v="CASA DE FERRAGEM NISHIMOTO"/>
    <n v="32"/>
    <x v="30"/>
    <x v="30"/>
    <s v="FERRAGENS GERAIS"/>
    <x v="9"/>
    <s v="MANUTENÇÃO / TI"/>
    <n v="0"/>
    <s v="RAFAEL"/>
  </r>
  <r>
    <n v="197169"/>
    <s v="KAR"/>
    <s v="322405"/>
    <x v="88"/>
    <s v="AUTO POSTO LIMOEIRO"/>
    <n v="786.5"/>
    <x v="37"/>
    <x v="37"/>
    <s v=""/>
    <x v="6"/>
    <s v="LOGÍSTICA"/>
    <n v="0"/>
    <s v="MYLENA"/>
  </r>
  <r>
    <n v="197170"/>
    <s v="KAR"/>
    <s v="322407"/>
    <x v="88"/>
    <s v="AUTO POSTO LIMOEIRO"/>
    <n v="69.66"/>
    <x v="37"/>
    <x v="37"/>
    <s v=""/>
    <x v="6"/>
    <s v="LOGÍSTICA"/>
    <n v="0"/>
    <s v="MYLENA"/>
  </r>
  <r>
    <n v="197171"/>
    <s v="KAR"/>
    <s v="3473"/>
    <x v="88"/>
    <s v="R&amp;J EQUIPAMENTOS LTDA"/>
    <n v="250"/>
    <x v="9"/>
    <x v="9"/>
    <s v="CNC TECIDO"/>
    <x v="2"/>
    <s v="MANUTENÇÃO / TI"/>
    <n v="0"/>
    <s v="RAFAEL"/>
  </r>
  <r>
    <n v="197172"/>
    <s v="KAR"/>
    <s v="3469"/>
    <x v="88"/>
    <s v="R&amp;J EQUIPAMENTOS LTDA"/>
    <n v="5000"/>
    <x v="9"/>
    <x v="9"/>
    <s v="CNC TECIDO"/>
    <x v="2"/>
    <s v="MANUTENÇÃO / TI"/>
    <n v="0"/>
    <s v="RAFAEL"/>
  </r>
  <r>
    <n v="197173"/>
    <s v="KAR"/>
    <s v="147541"/>
    <x v="88"/>
    <s v="GVT REFORMAS E RECICLAGEM DE PNEUS LTDA"/>
    <n v="900"/>
    <x v="31"/>
    <x v="31"/>
    <s v=""/>
    <x v="6"/>
    <s v="LOGÍSTICA"/>
    <n v="0"/>
    <s v="MYLENA"/>
  </r>
  <r>
    <n v="197174"/>
    <s v="FK"/>
    <s v="CIRO1601"/>
    <x v="88"/>
    <s v="CIRO NISHIYAMA &amp; FILHO LTDA."/>
    <n v="23.75"/>
    <x v="31"/>
    <x v="31"/>
    <s v="FERRAGENS GERAIS"/>
    <x v="6"/>
    <s v="LOGÍSTICA"/>
    <n v="0"/>
    <s v="MYLENA"/>
  </r>
  <r>
    <n v="197175"/>
    <s v="FK"/>
    <s v="EVAN1601"/>
    <x v="88"/>
    <s v="EVANDRO CASSIO DOS SANTOS"/>
    <n v="180"/>
    <x v="31"/>
    <x v="31"/>
    <s v=""/>
    <x v="6"/>
    <s v="LOGÍSTICA"/>
    <n v="0"/>
    <s v="MYLENA"/>
  </r>
  <r>
    <n v="197177"/>
    <s v="FK"/>
    <s v="POL1601B"/>
    <x v="88"/>
    <s v="BORRACHARIA DO POLACO"/>
    <n v="80"/>
    <x v="31"/>
    <x v="31"/>
    <s v=""/>
    <x v="6"/>
    <s v="LOGÍSTICA"/>
    <n v="0"/>
    <s v="MYLENA"/>
  </r>
  <r>
    <n v="197178"/>
    <s v="FK"/>
    <s v="GIL1901"/>
    <x v="88"/>
    <s v="GILSON MATERIAIS DE CONSTRUÇÃO"/>
    <n v="20"/>
    <x v="25"/>
    <x v="25"/>
    <s v=""/>
    <x v="2"/>
    <s v="MANUTENÇÃO / TI"/>
    <n v="0"/>
    <s v="FÁBIO"/>
  </r>
  <r>
    <n v="197182"/>
    <s v="FK"/>
    <s v="NIS1901C"/>
    <x v="88"/>
    <s v="CASA DE FERRAGEM NISHIMOTO"/>
    <n v="258"/>
    <x v="14"/>
    <x v="14"/>
    <s v="FERRAGENS GERAIS"/>
    <x v="6"/>
    <s v="COMERCIAL"/>
    <n v="0"/>
    <s v="THAIS"/>
  </r>
  <r>
    <n v="197187"/>
    <s v="FK"/>
    <s v="IÇAMENTO"/>
    <x v="88"/>
    <s v="IÇAR SERVIÇOS DE LANÇAMENTO LTDA"/>
    <n v="450"/>
    <x v="65"/>
    <x v="65"/>
    <s v=""/>
    <x v="6"/>
    <s v="LOGÍSTICA"/>
    <n v="0"/>
    <s v="MYLENA"/>
  </r>
  <r>
    <n v="197188"/>
    <s v="FK"/>
    <s v="TORREZAN"/>
    <x v="88"/>
    <s v="SILVIA COLLI JORDÃO PRESTES"/>
    <n v="19.89"/>
    <x v="23"/>
    <x v="23"/>
    <s v=""/>
    <x v="6"/>
    <s v="COMERCIAL"/>
    <n v="0"/>
    <s v="LETÍCIA"/>
  </r>
  <r>
    <n v="197189"/>
    <s v="FK"/>
    <s v="160126"/>
    <x v="88"/>
    <s v="SILVIA COLLI JORDÃO PRESTES"/>
    <n v="111.48"/>
    <x v="23"/>
    <x v="23"/>
    <s v=""/>
    <x v="6"/>
    <s v="COMERCIAL"/>
    <n v="0"/>
    <s v="LETÍCIA"/>
  </r>
  <r>
    <n v="197190"/>
    <s v="FK"/>
    <s v="1427"/>
    <x v="88"/>
    <s v="COMERCIO DE COMBUSTIVEIS TBM LTDA."/>
    <n v="204.84"/>
    <x v="43"/>
    <x v="43"/>
    <s v=""/>
    <x v="4"/>
    <s v="LOGÍSTICA"/>
    <n v="0"/>
    <s v="LETÍCIA"/>
  </r>
  <r>
    <n v="197191"/>
    <s v="KAR"/>
    <s v="664482"/>
    <x v="88"/>
    <s v="KOFEMAR COMERCIO DE PRODUTOS PARA MARCENARIA LTDA"/>
    <n v="275.8"/>
    <x v="38"/>
    <x v="38"/>
    <s v=""/>
    <x v="5"/>
    <s v="PRODUÇÃO"/>
    <n v="0"/>
    <s v="RAFAEL"/>
  </r>
  <r>
    <n v="197192"/>
    <s v="FK"/>
    <s v="WA1901"/>
    <x v="88"/>
    <s v="PANIFICADORA E CONFEITARIA MOREIRA"/>
    <n v="120"/>
    <x v="66"/>
    <x v="66"/>
    <s v=""/>
    <x v="9"/>
    <s v="DH"/>
    <s v="CUSTO MÃO DE OBRA DIRETA"/>
    <s v="RAFAEL"/>
  </r>
  <r>
    <n v="197193"/>
    <s v="FK"/>
    <s v="819791"/>
    <x v="88"/>
    <s v="J. P. DOS SANTOS VIAIS &amp; CIA LTDA."/>
    <n v="2378.14"/>
    <x v="37"/>
    <x v="37"/>
    <s v=""/>
    <x v="6"/>
    <s v="LOGÍSTICA"/>
    <n v="0"/>
    <s v="MYLENA"/>
  </r>
  <r>
    <n v="197194"/>
    <s v="FK"/>
    <s v="LEAND1601"/>
    <x v="88"/>
    <s v="CAMINHAO - AYL-5F59"/>
    <n v="1280"/>
    <x v="41"/>
    <x v="41"/>
    <s v=""/>
    <x v="6"/>
    <s v="LOGÍSTICA"/>
    <n v="0"/>
    <s v="MYLENA"/>
  </r>
  <r>
    <n v="197195"/>
    <s v="FK"/>
    <s v="NETO1501"/>
    <x v="88"/>
    <s v="CAMINHÃO - AYL-6E00"/>
    <n v="2024"/>
    <x v="41"/>
    <x v="41"/>
    <s v=""/>
    <x v="6"/>
    <s v="LOGÍSTICA"/>
    <n v="0"/>
    <s v="MYLENA"/>
  </r>
  <r>
    <n v="197196"/>
    <s v="FK"/>
    <s v="BORRAC"/>
    <x v="88"/>
    <s v="CAMINHÃO - AYL-6E00"/>
    <n v="50"/>
    <x v="31"/>
    <x v="31"/>
    <s v=""/>
    <x v="6"/>
    <s v="LOGÍSTICA"/>
    <n v="0"/>
    <s v="MYLENA"/>
  </r>
  <r>
    <n v="197197"/>
    <s v="FK"/>
    <s v="72852"/>
    <x v="88"/>
    <s v="COMERCIO DE COMBUSTIVEIS TBM LTDA."/>
    <n v="3369.78"/>
    <x v="37"/>
    <x v="37"/>
    <s v=""/>
    <x v="6"/>
    <s v="LOGÍSTICA"/>
    <n v="0"/>
    <s v="MYLENA"/>
  </r>
  <r>
    <n v="197198"/>
    <s v="FK"/>
    <s v="669690"/>
    <x v="88"/>
    <s v="AUTO POSTO VIAIS"/>
    <n v="2879.58"/>
    <x v="37"/>
    <x v="37"/>
    <s v=""/>
    <x v="6"/>
    <s v="LOGÍSTICA"/>
    <n v="0"/>
    <s v="MYLENA"/>
  </r>
  <r>
    <n v="197199"/>
    <s v="LAY"/>
    <s v="235190126"/>
    <x v="88"/>
    <s v="BANCO SICREDI"/>
    <n v="2.37"/>
    <x v="27"/>
    <x v="27"/>
    <s v=""/>
    <x v="8"/>
    <s v="FINANCEIRO"/>
    <n v="0"/>
    <s v="LETÍCIA"/>
  </r>
  <r>
    <n v="197200"/>
    <s v="KOY"/>
    <s v="0791901"/>
    <x v="88"/>
    <s v="BANCO SICREDI"/>
    <n v="0.79"/>
    <x v="27"/>
    <x v="27"/>
    <s v=""/>
    <x v="8"/>
    <s v="FINANCEIRO"/>
    <n v="0"/>
    <s v="LETÍCIA"/>
  </r>
  <r>
    <n v="197201"/>
    <s v="KAR"/>
    <s v="762001"/>
    <x v="76"/>
    <s v="BANCO SICREDI"/>
    <n v="7.6"/>
    <x v="28"/>
    <x v="28"/>
    <s v=""/>
    <x v="8"/>
    <s v="FINANCEIRO"/>
    <n v="0"/>
    <s v="LETÍCIA"/>
  </r>
  <r>
    <n v="197202"/>
    <s v="KAR"/>
    <s v="161519012"/>
    <x v="88"/>
    <s v="BANCO SICREDI"/>
    <n v="16.149999999999999"/>
    <x v="29"/>
    <x v="29"/>
    <s v=""/>
    <x v="8"/>
    <s v="FINANCEIRO"/>
    <n v="0"/>
    <s v="LETÍCIA"/>
  </r>
  <r>
    <n v="197203"/>
    <s v="KAR"/>
    <s v="31601901"/>
    <x v="88"/>
    <s v="BANCO SICREDI"/>
    <n v="31.6"/>
    <x v="27"/>
    <x v="27"/>
    <s v=""/>
    <x v="8"/>
    <s v="FINANCEIRO"/>
    <n v="0"/>
    <s v="LETÍCIA"/>
  </r>
  <r>
    <n v="197204"/>
    <s v="KAR"/>
    <s v="0912001"/>
    <x v="76"/>
    <s v="BANCO SICREDI"/>
    <n v="0.91"/>
    <x v="27"/>
    <x v="27"/>
    <s v=""/>
    <x v="8"/>
    <s v="FINANCEIRO"/>
    <n v="0"/>
    <s v="LETÍCIA"/>
  </r>
  <r>
    <n v="197207"/>
    <s v="FK"/>
    <s v="PERFIL CO"/>
    <x v="76"/>
    <s v="FEBRACIS"/>
    <n v="1995"/>
    <x v="35"/>
    <x v="35"/>
    <s v=""/>
    <x v="9"/>
    <s v="DH"/>
    <n v="0"/>
    <s v="FÁBIO"/>
  </r>
  <r>
    <n v="197208"/>
    <s v="FK"/>
    <s v="GPS 0725"/>
    <x v="76"/>
    <s v="GUIA DA PREVIDENCIA SOCIAL"/>
    <n v="211.94"/>
    <x v="67"/>
    <x v="67"/>
    <s v=""/>
    <x v="7"/>
    <s v="DH"/>
    <n v="0"/>
    <s v="RAFAEL"/>
  </r>
  <r>
    <n v="197210"/>
    <s v="FK"/>
    <s v="GPS 0825"/>
    <x v="76"/>
    <s v="GUIA DA PREVIDENCIA SOCIAL"/>
    <n v="210"/>
    <x v="67"/>
    <x v="67"/>
    <s v=""/>
    <x v="7"/>
    <s v="DH"/>
    <n v="0"/>
    <s v="RAFAEL"/>
  </r>
  <r>
    <n v="197211"/>
    <s v="FK"/>
    <s v="GPS 0925"/>
    <x v="76"/>
    <s v="GUIA DA PREVIDENCIA SOCIAL"/>
    <n v="207.96"/>
    <x v="67"/>
    <x v="67"/>
    <s v=""/>
    <x v="7"/>
    <s v="DH"/>
    <n v="0"/>
    <s v="RAFAEL"/>
  </r>
  <r>
    <n v="197212"/>
    <s v="FK"/>
    <s v="GPS 1025"/>
    <x v="76"/>
    <s v="GUIA DA PREVIDENCIA SOCIAL"/>
    <n v="205.83"/>
    <x v="67"/>
    <x v="67"/>
    <s v=""/>
    <x v="7"/>
    <s v="DH"/>
    <n v="0"/>
    <s v="RAFAEL"/>
  </r>
  <r>
    <n v="197213"/>
    <s v="FK"/>
    <s v="GPS 1125"/>
    <x v="76"/>
    <s v="GUIA DA PREVIDENCIA SOCIAL"/>
    <n v="204.07"/>
    <x v="67"/>
    <x v="67"/>
    <s v=""/>
    <x v="7"/>
    <s v="DH"/>
    <n v="0"/>
    <s v="RAFAEL"/>
  </r>
  <r>
    <n v="197214"/>
    <s v="LAY"/>
    <s v="54025"/>
    <x v="76"/>
    <s v="BANCO SICREDI"/>
    <n v="540.25"/>
    <x v="27"/>
    <x v="27"/>
    <s v=""/>
    <x v="8"/>
    <s v="FINANCEIRO"/>
    <n v="0"/>
    <s v="LETÍCIA"/>
  </r>
  <r>
    <n v="197215"/>
    <s v="LAY"/>
    <s v="48652"/>
    <x v="76"/>
    <s v="BANCO SICREDI"/>
    <n v="486.52"/>
    <x v="27"/>
    <x v="27"/>
    <s v=""/>
    <x v="8"/>
    <s v="FINANCEIRO"/>
    <n v="0"/>
    <s v="LETÍCIA"/>
  </r>
  <r>
    <n v="197216"/>
    <s v="LAY"/>
    <s v="332212"/>
    <x v="76"/>
    <s v="BANCO SICREDI"/>
    <n v="3322.12"/>
    <x v="29"/>
    <x v="29"/>
    <s v=""/>
    <x v="8"/>
    <s v="FINANCEIRO"/>
    <n v="0"/>
    <s v="LETÍCIA"/>
  </r>
  <r>
    <n v="197229"/>
    <s v="KOY"/>
    <s v="ALUGUEL"/>
    <x v="76"/>
    <s v="JOÃO BATISTA DE MATOS"/>
    <n v="800"/>
    <x v="68"/>
    <x v="68"/>
    <s v=""/>
    <x v="4"/>
    <s v="FINANCEIRO"/>
    <n v="0"/>
    <s v="LETÍCIA"/>
  </r>
  <r>
    <n v="197230"/>
    <s v="KAR"/>
    <s v="42530"/>
    <x v="76"/>
    <s v="BANCO SICREDI"/>
    <n v="425.3"/>
    <x v="27"/>
    <x v="27"/>
    <s v=""/>
    <x v="8"/>
    <s v="FINANCEIRO"/>
    <n v="0"/>
    <s v="LETÍCIA"/>
  </r>
  <r>
    <n v="197231"/>
    <s v="KAR"/>
    <s v="425412001"/>
    <x v="76"/>
    <s v="BANCO SICREDI"/>
    <n v="425.41"/>
    <x v="27"/>
    <x v="27"/>
    <s v=""/>
    <x v="8"/>
    <s v="FINANCEIRO"/>
    <n v="0"/>
    <s v="LETÍCIA"/>
  </r>
  <r>
    <n v="197232"/>
    <s v="KAR"/>
    <s v="258973"/>
    <x v="76"/>
    <s v="BANCO SICREDI"/>
    <n v="2589.73"/>
    <x v="29"/>
    <x v="29"/>
    <s v=""/>
    <x v="8"/>
    <s v="FINANCEIRO"/>
    <n v="0"/>
    <s v="LETÍCIA"/>
  </r>
  <r>
    <n v="197234"/>
    <s v="FK"/>
    <s v="CNC"/>
    <x v="76"/>
    <s v="MARCIO RODRIGUES DA SILVA"/>
    <n v="30"/>
    <x v="26"/>
    <x v="26"/>
    <s v=""/>
    <x v="3"/>
    <s v="FINANCEIRO"/>
    <n v="0"/>
    <s v="LETÍCIA"/>
  </r>
  <r>
    <n v="197235"/>
    <s v="FK"/>
    <s v="ELET2001"/>
    <x v="76"/>
    <s v="JOAO LUIZ DE OLIVEIRA &amp; CIA LTDA - ME"/>
    <n v="156"/>
    <x v="46"/>
    <x v="46"/>
    <s v="MATERIAIS ELETRICOS"/>
    <x v="9"/>
    <s v="MANUTENÇÃO / TI"/>
    <n v="0"/>
    <s v="FÁBIO"/>
  </r>
  <r>
    <n v="197236"/>
    <s v="KAR"/>
    <s v="086200126"/>
    <x v="76"/>
    <s v="BANCO SICREDI"/>
    <n v="0.86"/>
    <x v="27"/>
    <x v="27"/>
    <s v=""/>
    <x v="8"/>
    <s v="FINANCEIRO"/>
    <n v="0"/>
    <s v="LETÍCIA"/>
  </r>
  <r>
    <n v="197237"/>
    <s v="KAR"/>
    <s v="266512001"/>
    <x v="76"/>
    <s v="BANCO SICREDI"/>
    <n v="266.51"/>
    <x v="69"/>
    <x v="69"/>
    <s v=""/>
    <x v="4"/>
    <s v="FINANCEIRO"/>
    <n v="0"/>
    <s v="LETÍCIA"/>
  </r>
  <r>
    <n v="197238"/>
    <s v="KAR"/>
    <s v="7134"/>
    <x v="76"/>
    <s v="BANCO SICREDI"/>
    <n v="71.34"/>
    <x v="69"/>
    <x v="69"/>
    <s v=""/>
    <x v="4"/>
    <s v="FINANCEIRO"/>
    <n v="0"/>
    <s v="LETÍCIA"/>
  </r>
  <r>
    <n v="197239"/>
    <s v="KAR"/>
    <s v="37142101"/>
    <x v="54"/>
    <s v="BANCO SICREDI"/>
    <n v="37.14"/>
    <x v="29"/>
    <x v="29"/>
    <s v=""/>
    <x v="8"/>
    <s v="FINANCEIRO"/>
    <n v="0"/>
    <s v="LETÍCIA"/>
  </r>
  <r>
    <n v="197240"/>
    <s v="KAR"/>
    <s v="3472101"/>
    <x v="54"/>
    <s v="BANCO SICREDI"/>
    <n v="3.47"/>
    <x v="27"/>
    <x v="27"/>
    <s v=""/>
    <x v="8"/>
    <s v="FINANCEIRO"/>
    <n v="0"/>
    <s v="LETÍCIA"/>
  </r>
  <r>
    <n v="197241"/>
    <s v="KAR"/>
    <s v="11852101"/>
    <x v="54"/>
    <s v="BANCO SICREDI"/>
    <n v="11.85"/>
    <x v="27"/>
    <x v="27"/>
    <s v=""/>
    <x v="8"/>
    <s v="FINANCEIRO"/>
    <n v="0"/>
    <s v="LETÍCIA"/>
  </r>
  <r>
    <n v="197242"/>
    <s v="KAR"/>
    <s v="8271"/>
    <x v="76"/>
    <s v="BANCO SICREDI"/>
    <n v="82.71"/>
    <x v="69"/>
    <x v="69"/>
    <s v=""/>
    <x v="4"/>
    <s v="FINANCEIRO"/>
    <n v="0"/>
    <s v="LETÍCIA"/>
  </r>
  <r>
    <n v="197244"/>
    <s v="KAR"/>
    <s v="22141420"/>
    <x v="76"/>
    <s v="BANCO SICREDI"/>
    <n v="22.14"/>
    <x v="27"/>
    <x v="27"/>
    <s v=""/>
    <x v="8"/>
    <s v="FINANCEIRO"/>
    <n v="0"/>
    <s v="LETÍCIA"/>
  </r>
  <r>
    <n v="197245"/>
    <s v="KAR"/>
    <s v="2372001"/>
    <x v="76"/>
    <s v="BANCO SICREDI"/>
    <n v="2.37"/>
    <x v="27"/>
    <x v="27"/>
    <s v=""/>
    <x v="8"/>
    <s v="FINANCEIRO"/>
    <n v="0"/>
    <s v="LETÍCIA"/>
  </r>
  <r>
    <n v="197246"/>
    <s v="KAR"/>
    <s v="2182101"/>
    <x v="54"/>
    <s v="BANCO SICREDI"/>
    <n v="2.1800000000000002"/>
    <x v="27"/>
    <x v="27"/>
    <s v=""/>
    <x v="8"/>
    <s v="FINANCEIRO"/>
    <n v="0"/>
    <s v="LETÍCIA"/>
  </r>
  <r>
    <n v="197247"/>
    <s v="KAR"/>
    <s v="7822001"/>
    <x v="76"/>
    <s v="BANCO SICREDI"/>
    <n v="78.2"/>
    <x v="27"/>
    <x v="27"/>
    <s v=""/>
    <x v="8"/>
    <s v="FINANCEIRO"/>
    <n v="0"/>
    <s v="LETÍCIA"/>
  </r>
  <r>
    <n v="197248"/>
    <s v="KAR"/>
    <s v="0952101"/>
    <x v="54"/>
    <s v="BANCO SICREDI"/>
    <n v="0.95"/>
    <x v="27"/>
    <x v="27"/>
    <s v=""/>
    <x v="8"/>
    <s v="FINANCEIRO"/>
    <n v="0"/>
    <s v="LETÍCIA"/>
  </r>
  <r>
    <n v="197251"/>
    <s v="KAR"/>
    <s v="77279"/>
    <x v="54"/>
    <s v="QUIBRAS QUIMICA BRASILEIRA LTDA"/>
    <n v="110"/>
    <x v="44"/>
    <x v="44"/>
    <s v=""/>
    <x v="9"/>
    <s v="COMPRAS"/>
    <n v="0"/>
    <s v="MYLENA"/>
  </r>
  <r>
    <n v="197252"/>
    <s v="KOY"/>
    <s v="ADMISRAUL"/>
    <x v="54"/>
    <s v="DR° MARIO LUIZ LANZIANI"/>
    <n v="75"/>
    <x v="70"/>
    <x v="70"/>
    <s v=""/>
    <x v="9"/>
    <s v="DH"/>
    <s v="CUSTO MÃO DE OBRA DIRETA"/>
    <s v="RAFAEL"/>
  </r>
  <r>
    <n v="197254"/>
    <s v="KAR"/>
    <s v="6845"/>
    <x v="54"/>
    <s v="SIMONETTI PIRES E SIMONETTI LTDA"/>
    <n v="280"/>
    <x v="14"/>
    <x v="14"/>
    <s v=""/>
    <x v="6"/>
    <s v="COMERCIAL"/>
    <n v="0"/>
    <s v="THAIS"/>
  </r>
  <r>
    <n v="197255"/>
    <s v="KOY"/>
    <s v="RESCISÃO"/>
    <x v="54"/>
    <s v="REGINALDO MENEZES THEODORO"/>
    <n v="879.73"/>
    <x v="71"/>
    <x v="71"/>
    <s v=""/>
    <x v="7"/>
    <s v="DH"/>
    <n v="0"/>
    <s v="RAFAEL"/>
  </r>
  <r>
    <n v="197256"/>
    <s v="FK"/>
    <s v="NIS2101"/>
    <x v="54"/>
    <s v="CASA DE FERRAGEM NISHIMOTO"/>
    <n v="396"/>
    <x v="14"/>
    <x v="14"/>
    <s v="FERRAGENS GERAIS"/>
    <x v="6"/>
    <s v="COMERCIAL"/>
    <n v="0"/>
    <s v="THAIS"/>
  </r>
  <r>
    <n v="197257"/>
    <s v="KAR"/>
    <s v="327802"/>
    <x v="31"/>
    <s v="EXPRESSO SAO MIGUEL S/A"/>
    <n v="164.32"/>
    <x v="48"/>
    <x v="48"/>
    <s v=""/>
    <x v="0"/>
    <s v="COMPRAS"/>
    <n v="0"/>
    <s v="MYLENA"/>
  </r>
  <r>
    <n v="197258"/>
    <s v="KAR"/>
    <s v="188662"/>
    <x v="31"/>
    <s v="EXPRESSO SAO MIGUEL LTDA"/>
    <n v="275.45"/>
    <x v="48"/>
    <x v="48"/>
    <s v="SERVIÇOS FRETE"/>
    <x v="0"/>
    <s v="COMPRAS"/>
    <n v="0"/>
    <s v="MYLENA"/>
  </r>
  <r>
    <n v="197259"/>
    <s v="FK"/>
    <s v="NIS2101A"/>
    <x v="54"/>
    <s v="CASA DE FERRAGEM NISHIMOTO"/>
    <n v="76"/>
    <x v="46"/>
    <x v="46"/>
    <s v="FERRAGENS GERAIS"/>
    <x v="9"/>
    <s v="MANUTENÇÃO / TI"/>
    <n v="0"/>
    <s v="FÁBIO"/>
  </r>
  <r>
    <n v="197263"/>
    <s v="FK"/>
    <s v="EST210126"/>
    <x v="54"/>
    <s v="EMPORIO SANTA INES"/>
    <n v="155.12"/>
    <x v="14"/>
    <x v="14"/>
    <s v=""/>
    <x v="6"/>
    <s v="COMERCIAL"/>
    <n v="0"/>
    <s v="THAIS"/>
  </r>
  <r>
    <n v="197264"/>
    <s v="FK"/>
    <s v="210126"/>
    <x v="54"/>
    <s v="EMPORIO SANTA INES"/>
    <n v="1344.88"/>
    <x v="14"/>
    <x v="14"/>
    <s v=""/>
    <x v="6"/>
    <s v="COMERCIAL"/>
    <n v="0"/>
    <s v="THAIS"/>
  </r>
  <r>
    <n v="197265"/>
    <s v="FK"/>
    <s v="PET2101"/>
    <x v="54"/>
    <s v="ACT GUIRELLI"/>
    <n v="320"/>
    <x v="32"/>
    <x v="32"/>
    <s v=""/>
    <x v="3"/>
    <s v="FINANCEIRO"/>
    <n v="0"/>
    <s v="LETÍCIA"/>
  </r>
  <r>
    <n v="197266"/>
    <s v="FK"/>
    <s v="NIS2101B"/>
    <x v="54"/>
    <s v="CASA DE FERRAGEM NISHIMOTO"/>
    <n v="79.5"/>
    <x v="38"/>
    <x v="38"/>
    <s v="FERRAGENS GERAIS"/>
    <x v="5"/>
    <s v="PRODUÇÃO"/>
    <n v="0"/>
    <s v="RAFAEL"/>
  </r>
  <r>
    <n v="197267"/>
    <s v="KAR"/>
    <s v="32212"/>
    <x v="21"/>
    <s v="TRANS APUCARANA TRANSPORTES RODOVIARIOS LTDA"/>
    <n v="120.22"/>
    <x v="48"/>
    <x v="48"/>
    <s v="SERVIÇOS FRETE"/>
    <x v="0"/>
    <s v="COMPRAS"/>
    <n v="0"/>
    <s v="MYLENA"/>
  </r>
  <r>
    <n v="197268"/>
    <s v="KAR"/>
    <s v="32213"/>
    <x v="21"/>
    <s v="TRANS APUCARANA TRANSPORTES RODOVIARIOS LTDA"/>
    <n v="97.19"/>
    <x v="48"/>
    <x v="48"/>
    <s v="SERVIÇOS FRETE"/>
    <x v="0"/>
    <s v="COMPRAS"/>
    <n v="0"/>
    <s v="MYLENA"/>
  </r>
  <r>
    <n v="197269"/>
    <s v="FK"/>
    <s v="58960"/>
    <x v="54"/>
    <s v="I.N OLIVEIRA"/>
    <n v="750"/>
    <x v="25"/>
    <x v="25"/>
    <s v=""/>
    <x v="2"/>
    <s v="MANUTENÇÃO / TI"/>
    <n v="0"/>
    <s v="FÁBIO"/>
  </r>
  <r>
    <n v="197272"/>
    <s v="KOY"/>
    <s v="VEG0126A"/>
    <x v="54"/>
    <s v="VEGAS CARD DO BRASIL CARTOES DE CREDITO LTDA"/>
    <n v="225"/>
    <x v="59"/>
    <x v="59"/>
    <s v=""/>
    <x v="7"/>
    <s v="DH"/>
    <n v="0"/>
    <s v="RAFAEL"/>
  </r>
  <r>
    <n v="197273"/>
    <s v="KAR"/>
    <s v="146284"/>
    <x v="65"/>
    <s v="EXPRESSO SAO MIGUEL NAVEGANTES"/>
    <n v="86.75"/>
    <x v="48"/>
    <x v="48"/>
    <s v=""/>
    <x v="0"/>
    <s v="COMPRAS"/>
    <n v="0"/>
    <s v="MYLENA"/>
  </r>
  <r>
    <n v="197274"/>
    <s v="FK"/>
    <s v="GIL2101"/>
    <x v="54"/>
    <s v="GILSON MATERIAIS DE CONSTRUÇÃO"/>
    <n v="200"/>
    <x v="25"/>
    <x v="25"/>
    <s v=""/>
    <x v="2"/>
    <s v="MANUTENÇÃO / TI"/>
    <n v="0"/>
    <s v="FÁBIO"/>
  </r>
  <r>
    <n v="197275"/>
    <s v="KOY"/>
    <s v="VEG0126C"/>
    <x v="54"/>
    <s v="VEGAS CARD DO BRASIL CARTOES DE CREDITO LTDA"/>
    <n v="225"/>
    <x v="62"/>
    <x v="62"/>
    <s v=""/>
    <x v="9"/>
    <s v="DH"/>
    <s v="CUSTO MÃO DE OBRA DIRETA"/>
    <s v="RAFAEL"/>
  </r>
  <r>
    <n v="197276"/>
    <s v="KOY"/>
    <s v="VEG0126M"/>
    <x v="54"/>
    <s v="VEGAS CARD DO BRASIL CARTOES DE CREDITO LTDA"/>
    <n v="375"/>
    <x v="60"/>
    <x v="60"/>
    <s v=""/>
    <x v="5"/>
    <s v="DH"/>
    <s v="CUSTO MÃO DE OBRA DIRETA"/>
    <s v="RAFAEL"/>
  </r>
  <r>
    <n v="197278"/>
    <s v="FK"/>
    <s v="CON061225"/>
    <x v="63"/>
    <s v="CASA DE CARNES BIDEGA LTDA - ME"/>
    <n v="1114.03"/>
    <x v="16"/>
    <x v="16"/>
    <s v=""/>
    <x v="7"/>
    <s v="DH"/>
    <n v="0"/>
    <s v="MYLENA"/>
  </r>
  <r>
    <n v="197281"/>
    <s v="KAR"/>
    <s v="VEG0126A"/>
    <x v="54"/>
    <s v="VEGAS CARD DO BRASIL CARTOES DE CREDITO LTDA"/>
    <n v="675"/>
    <x v="59"/>
    <x v="59"/>
    <s v=""/>
    <x v="7"/>
    <s v="DH"/>
    <n v="0"/>
    <s v="RAFAEL"/>
  </r>
  <r>
    <n v="197282"/>
    <s v="KAR"/>
    <s v="VEG0126C"/>
    <x v="54"/>
    <s v="VEGAS CARD DO BRASIL CARTOES DE CREDITO LTDA"/>
    <n v="225"/>
    <x v="62"/>
    <x v="62"/>
    <s v=""/>
    <x v="9"/>
    <s v="DH"/>
    <s v="CUSTO MÃO DE OBRA DIRETA"/>
    <s v="RAFAEL"/>
  </r>
  <r>
    <n v="197283"/>
    <s v="KAR"/>
    <s v="VEG0126M"/>
    <x v="54"/>
    <s v="VEGAS CARD DO BRASIL CARTOES DE CREDITO LTDA"/>
    <n v="1275"/>
    <x v="60"/>
    <x v="60"/>
    <s v=""/>
    <x v="5"/>
    <s v="DH"/>
    <s v="CUSTO MÃO DE OBRA DIRETA"/>
    <s v="RAFAEL"/>
  </r>
  <r>
    <n v="197285"/>
    <s v="LAY"/>
    <s v="VEG0126A"/>
    <x v="54"/>
    <s v="VEGAS CARD DO BRASIL CARTOES DE CREDITO LTDA"/>
    <n v="525"/>
    <x v="59"/>
    <x v="59"/>
    <s v=""/>
    <x v="7"/>
    <s v="DH"/>
    <n v="0"/>
    <s v="RAFAEL"/>
  </r>
  <r>
    <n v="197286"/>
    <s v="KAR"/>
    <s v="1481355"/>
    <x v="31"/>
    <s v="EXPRESSO SAO MIGUEL LTDA"/>
    <n v="105.98"/>
    <x v="48"/>
    <x v="48"/>
    <s v="SERVIÇOS FRETE"/>
    <x v="0"/>
    <s v="COMPRAS"/>
    <n v="0"/>
    <s v="MYLENA"/>
  </r>
  <r>
    <n v="197287"/>
    <s v="LAY"/>
    <s v="VEG0126C"/>
    <x v="54"/>
    <s v="VEGAS CARD DO BRASIL CARTOES DE CREDITO LTDA"/>
    <n v="525"/>
    <x v="62"/>
    <x v="62"/>
    <s v=""/>
    <x v="9"/>
    <s v="DH"/>
    <s v="CUSTO MÃO DE OBRA DIRETA"/>
    <s v="RAFAEL"/>
  </r>
  <r>
    <n v="197288"/>
    <s v="FK"/>
    <s v="BEN060126"/>
    <x v="63"/>
    <s v="DIAS &amp; LIU LTDA. - ME"/>
    <n v="311.31"/>
    <x v="16"/>
    <x v="16"/>
    <s v=""/>
    <x v="7"/>
    <s v="DH"/>
    <n v="0"/>
    <s v="MYLENA"/>
  </r>
  <r>
    <n v="197289"/>
    <s v="LAY"/>
    <s v="VEG0126M"/>
    <x v="54"/>
    <s v="VEGAS CARD DO BRASIL CARTOES DE CREDITO LTDA"/>
    <n v="1850"/>
    <x v="60"/>
    <x v="60"/>
    <s v=""/>
    <x v="5"/>
    <s v="DH"/>
    <s v="CUSTO MÃO DE OBRA DIRETA"/>
    <s v="RAFAEL"/>
  </r>
  <r>
    <n v="197291"/>
    <s v="KAR"/>
    <s v="915613"/>
    <x v="31"/>
    <s v="EXPRESSO SAO MIGUEL LTDA"/>
    <n v="1015.33"/>
    <x v="48"/>
    <x v="48"/>
    <s v="SERVIÇOS FRETE"/>
    <x v="0"/>
    <s v="COMPRAS"/>
    <n v="0"/>
    <s v="MYLENA"/>
  </r>
  <r>
    <n v="197293"/>
    <s v="KAR"/>
    <s v="41768"/>
    <x v="64"/>
    <s v="JAW TRANSPORTES"/>
    <n v="183.82"/>
    <x v="48"/>
    <x v="48"/>
    <s v=""/>
    <x v="0"/>
    <s v="COMPRAS"/>
    <n v="0"/>
    <s v="MYLENA"/>
  </r>
  <r>
    <n v="197294"/>
    <s v="KAR"/>
    <s v="30921"/>
    <x v="52"/>
    <s v="TRANS APUCARANA TRANSPORTES RODOVIARIOS LTDA"/>
    <n v="117.67"/>
    <x v="48"/>
    <x v="48"/>
    <s v="SERVIÇOS FRETE"/>
    <x v="0"/>
    <s v="COMPRAS"/>
    <n v="0"/>
    <s v="MYLENA"/>
  </r>
  <r>
    <n v="197295"/>
    <s v="FK"/>
    <s v="MAT140126"/>
    <x v="65"/>
    <s v="DIAS &amp; LIU LTDA. - ME"/>
    <n v="68.09"/>
    <x v="20"/>
    <x v="20"/>
    <s v=""/>
    <x v="7"/>
    <s v="DIRETORIA"/>
    <n v="0"/>
    <s v="FÁBIO"/>
  </r>
  <r>
    <n v="197296"/>
    <s v="LAY"/>
    <s v="15FER25"/>
    <x v="54"/>
    <s v="ALEXANDRE ROBERTO BRESCHI"/>
    <n v="2775.23"/>
    <x v="72"/>
    <x v="72"/>
    <s v=""/>
    <x v="5"/>
    <s v="DH"/>
    <s v="CUSTO MÃO DE OBRA DIRETA"/>
    <s v="RAFAEL"/>
  </r>
  <r>
    <n v="197297"/>
    <s v="KAR"/>
    <s v="30631"/>
    <x v="69"/>
    <s v="TRANS APUCARANA TRANSPORTES RODOVIARIOS LTDA"/>
    <n v="139.19999999999999"/>
    <x v="48"/>
    <x v="48"/>
    <s v="SERVIÇOS FRETE"/>
    <x v="0"/>
    <s v="COMPRAS"/>
    <n v="0"/>
    <s v="MYLENA"/>
  </r>
  <r>
    <n v="197298"/>
    <s v="FK"/>
    <s v="KAT160126"/>
    <x v="70"/>
    <s v="DIAS &amp; LIU LTDA. - ME"/>
    <n v="92.6"/>
    <x v="64"/>
    <x v="64"/>
    <s v=""/>
    <x v="4"/>
    <s v="FINANCEIRO"/>
    <n v="0"/>
    <s v="MYLENA"/>
  </r>
  <r>
    <n v="197299"/>
    <s v="KAR"/>
    <s v="30975"/>
    <x v="52"/>
    <s v="TRANS APUCARANA TRANSPORTES RODOVIARIOS LTDA"/>
    <n v="102.93"/>
    <x v="48"/>
    <x v="48"/>
    <s v="SERVIÇOS FRETE"/>
    <x v="0"/>
    <s v="COMPRAS"/>
    <n v="0"/>
    <s v="MYLENA"/>
  </r>
  <r>
    <n v="197300"/>
    <s v="FK"/>
    <s v="1171255"/>
    <x v="70"/>
    <s v="DUARTE &amp; BALIONI LTDA."/>
    <n v="18"/>
    <x v="64"/>
    <x v="64"/>
    <s v=""/>
    <x v="4"/>
    <s v="FINANCEIRO"/>
    <n v="0"/>
    <s v="MYLENA"/>
  </r>
  <r>
    <n v="197301"/>
    <s v="KAR"/>
    <s v="7880"/>
    <x v="54"/>
    <s v="MUNDIAL ACO COMERCIO DE FERRAGENS LTDA"/>
    <n v="675"/>
    <x v="25"/>
    <x v="25"/>
    <s v=""/>
    <x v="2"/>
    <s v="MANUTENÇÃO / TI"/>
    <n v="0"/>
    <s v="FÁBIO"/>
  </r>
  <r>
    <n v="197303"/>
    <s v="KAR"/>
    <s v="JANEIRO26"/>
    <x v="27"/>
    <s v="CONSULTORIA E ASSESSORIA EM SEGURANÇA DO TRABALHO"/>
    <n v="685.25"/>
    <x v="70"/>
    <x v="70"/>
    <s v=""/>
    <x v="9"/>
    <s v="DH"/>
    <s v="CUSTO MÃO DE OBRA DIRETA"/>
    <s v="RAFAEL"/>
  </r>
  <r>
    <n v="197304"/>
    <s v="LAY"/>
    <s v="JANEIRO26"/>
    <x v="27"/>
    <s v="CONSULTORIA E ASSESSORIA EM SEGURANÇA DO TRABALHO"/>
    <n v="1555.9"/>
    <x v="70"/>
    <x v="70"/>
    <s v=""/>
    <x v="9"/>
    <s v="DH"/>
    <s v="CUSTO MÃO DE OBRA DIRETA"/>
    <s v="RAFAEL"/>
  </r>
  <r>
    <n v="197305"/>
    <s v="KOY"/>
    <s v="JAN210126"/>
    <x v="54"/>
    <s v="RAFAEL KOSSEI KATO"/>
    <n v="4700"/>
    <x v="15"/>
    <x v="15"/>
    <s v=""/>
    <x v="7"/>
    <s v="DIRETORIA"/>
    <n v="0"/>
    <s v="FÁBIO"/>
  </r>
  <r>
    <n v="197306"/>
    <s v="LAY"/>
    <s v="JAN210126"/>
    <x v="54"/>
    <s v="MYLENA NARIE KATO BRIGANTINI"/>
    <n v="1850"/>
    <x v="15"/>
    <x v="15"/>
    <s v=""/>
    <x v="7"/>
    <s v="DIRETORIA"/>
    <n v="0"/>
    <s v="FÁBIO"/>
  </r>
  <r>
    <n v="197309"/>
    <s v="FK"/>
    <s v="JAN210126"/>
    <x v="54"/>
    <s v="SUELY KAY KATO"/>
    <n v="4720"/>
    <x v="15"/>
    <x v="15"/>
    <s v=""/>
    <x v="7"/>
    <s v="DIRETORIA"/>
    <n v="0"/>
    <s v="FÁBIO"/>
  </r>
  <r>
    <n v="197310"/>
    <s v="KAR"/>
    <s v="1437392"/>
    <x v="89"/>
    <s v="FERRAMENTAS GERAIS COMERCIO IMP DE FERRAM. E MAQUI"/>
    <n v="558.53"/>
    <x v="40"/>
    <x v="40"/>
    <s v="FERRAGENS GERAIS"/>
    <x v="5"/>
    <s v="COMPRAS"/>
    <n v="0"/>
    <s v="RAFAEL"/>
  </r>
  <r>
    <n v="197311"/>
    <s v="KAR"/>
    <s v="0522101"/>
    <x v="54"/>
    <s v="BANCO SICREDI"/>
    <n v="0.52"/>
    <x v="27"/>
    <x v="27"/>
    <s v=""/>
    <x v="8"/>
    <s v="FINANCEIRO"/>
    <n v="0"/>
    <s v="LETÍCIA"/>
  </r>
  <r>
    <n v="197312"/>
    <s v="KAR"/>
    <s v="9192101"/>
    <x v="54"/>
    <s v="BANCO SICREDI"/>
    <n v="9.19"/>
    <x v="69"/>
    <x v="69"/>
    <s v=""/>
    <x v="4"/>
    <s v="FINANCEIRO"/>
    <n v="0"/>
    <s v="LETÍCIA"/>
  </r>
  <r>
    <n v="197313"/>
    <s v="KAR"/>
    <s v="2462101"/>
    <x v="54"/>
    <s v="BANCO SICREDI"/>
    <n v="2.46"/>
    <x v="69"/>
    <x v="69"/>
    <s v=""/>
    <x v="4"/>
    <s v="FINANCEIRO"/>
    <n v="0"/>
    <s v="LETÍCIA"/>
  </r>
  <r>
    <n v="197314"/>
    <s v="KAR"/>
    <s v="9482101"/>
    <x v="54"/>
    <s v="BANCO SICREDI"/>
    <n v="9.48"/>
    <x v="27"/>
    <x v="27"/>
    <s v=""/>
    <x v="8"/>
    <s v="FINANCEIRO"/>
    <n v="0"/>
    <s v="LETÍCIA"/>
  </r>
  <r>
    <n v="197315"/>
    <s v="KAR"/>
    <s v="2402201"/>
    <x v="90"/>
    <s v="BANCO SICREDI"/>
    <n v="2.4"/>
    <x v="27"/>
    <x v="27"/>
    <s v=""/>
    <x v="8"/>
    <s v="FINANCEIRO"/>
    <n v="0"/>
    <s v="LETÍCIA"/>
  </r>
  <r>
    <n v="197316"/>
    <s v="KAR"/>
    <s v="20762201"/>
    <x v="90"/>
    <s v="BANCO SICREDI"/>
    <n v="20.76"/>
    <x v="29"/>
    <x v="29"/>
    <s v=""/>
    <x v="8"/>
    <s v="FINANCEIRO"/>
    <n v="0"/>
    <s v="LETÍCIA"/>
  </r>
  <r>
    <n v="197317"/>
    <s v="FK"/>
    <s v="BATA2201"/>
    <x v="90"/>
    <s v="MARIA ANDREIA BUENO DE ALMEIDA BATAER"/>
    <n v="1747.25"/>
    <x v="34"/>
    <x v="34"/>
    <s v=""/>
    <x v="6"/>
    <s v="COMERCIAL"/>
    <n v="0"/>
    <s v="LETÍCIA"/>
  </r>
  <r>
    <n v="197318"/>
    <s v="FK"/>
    <s v="BATA2201A"/>
    <x v="90"/>
    <s v="MARIA ANDREIA BUENO DE ALMEIDA BATAER"/>
    <n v="757.5"/>
    <x v="34"/>
    <x v="34"/>
    <s v=""/>
    <x v="6"/>
    <s v="COMERCIAL"/>
    <n v="0"/>
    <s v="LETÍCIA"/>
  </r>
  <r>
    <n v="197319"/>
    <s v="KOY"/>
    <s v="079210126"/>
    <x v="54"/>
    <s v="BANCO SICREDI"/>
    <n v="0.79"/>
    <x v="27"/>
    <x v="27"/>
    <s v=""/>
    <x v="8"/>
    <s v="FINANCEIRO"/>
    <n v="0"/>
    <s v="LETÍCIA"/>
  </r>
  <r>
    <n v="197320"/>
    <s v="FK"/>
    <s v="CLIMATIZA"/>
    <x v="90"/>
    <s v="ZERO CIMA LTDA."/>
    <n v="5000"/>
    <x v="46"/>
    <x v="46"/>
    <s v=""/>
    <x v="9"/>
    <s v="MANUTENÇÃO / TI"/>
    <n v="0"/>
    <s v="FÁBIO"/>
  </r>
  <r>
    <n v="197321"/>
    <s v="KAR"/>
    <s v="10266"/>
    <x v="90"/>
    <s v="GRAFICA CATUAI LTDA"/>
    <n v="1703.62"/>
    <x v="14"/>
    <x v="14"/>
    <s v=""/>
    <x v="6"/>
    <s v="COMERCIAL"/>
    <n v="0"/>
    <s v="THAIS"/>
  </r>
  <r>
    <n v="197322"/>
    <s v="KAR"/>
    <s v="10265"/>
    <x v="90"/>
    <s v="GRAFICA CATUAI LTDA"/>
    <n v="2625"/>
    <x v="14"/>
    <x v="14"/>
    <s v=""/>
    <x v="6"/>
    <s v="COMERCIAL"/>
    <n v="0"/>
    <s v="THAIS"/>
  </r>
  <r>
    <n v="197323"/>
    <s v="KAR"/>
    <s v="9232"/>
    <x v="90"/>
    <s v="IDEAL COMERCIO DE AUTO PEÇAS EIRELI"/>
    <n v="294.68"/>
    <x v="31"/>
    <x v="31"/>
    <s v=""/>
    <x v="6"/>
    <s v="LOGÍSTICA"/>
    <n v="0"/>
    <s v="MYLENA"/>
  </r>
  <r>
    <n v="197324"/>
    <s v="FK"/>
    <s v="FM2201A"/>
    <x v="90"/>
    <s v="RODRIGUES &amp; LIMA FERRAGENS DE FERRAMENTAS LTDA - M"/>
    <n v="195"/>
    <x v="38"/>
    <x v="38"/>
    <s v="FERRAGENS GERAIS"/>
    <x v="5"/>
    <s v="PRODUÇÃO"/>
    <n v="0"/>
    <s v="RAFAEL"/>
  </r>
  <r>
    <n v="197325"/>
    <s v="FK"/>
    <s v="NIS2201"/>
    <x v="90"/>
    <s v="CASA DE FERRAGEM NISHIMOTO"/>
    <n v="90"/>
    <x v="38"/>
    <x v="38"/>
    <s v="FERRAGENS GERAIS"/>
    <x v="5"/>
    <s v="PRODUÇÃO"/>
    <n v="0"/>
    <s v="RAFAEL"/>
  </r>
  <r>
    <n v="197327"/>
    <s v="FK"/>
    <s v="EVAN2001"/>
    <x v="90"/>
    <s v="EVANDRO CASSIO DOS SANTOS"/>
    <n v="170"/>
    <x v="31"/>
    <x v="31"/>
    <s v=""/>
    <x v="6"/>
    <s v="LOGÍSTICA"/>
    <n v="0"/>
    <s v="MYLENA"/>
  </r>
  <r>
    <n v="197328"/>
    <s v="FK"/>
    <s v="SODA2001"/>
    <x v="90"/>
    <s v="CAMINHAO BEM-9J26 "/>
    <n v="96"/>
    <x v="41"/>
    <x v="41"/>
    <s v=""/>
    <x v="6"/>
    <s v="LOGÍSTICA"/>
    <n v="0"/>
    <s v="MYLENA"/>
  </r>
  <r>
    <n v="197329"/>
    <s v="FK"/>
    <s v="1584"/>
    <x v="90"/>
    <s v="COMERCIO DE COMBUSTIVEIS TBM LTDA."/>
    <n v="656.01"/>
    <x v="37"/>
    <x v="37"/>
    <s v=""/>
    <x v="6"/>
    <s v="LOGÍSTICA"/>
    <n v="0"/>
    <s v="MYLENA"/>
  </r>
  <r>
    <n v="197330"/>
    <s v="FK"/>
    <s v="1438"/>
    <x v="90"/>
    <s v="COMERCIO DE COMBUSTIVEIS TBM LTDA."/>
    <n v="260.37"/>
    <x v="37"/>
    <x v="37"/>
    <s v=""/>
    <x v="6"/>
    <s v="LOGÍSTICA"/>
    <n v="0"/>
    <s v="MYLENA"/>
  </r>
  <r>
    <n v="197334"/>
    <s v="KAR"/>
    <s v="664991"/>
    <x v="90"/>
    <s v="KOFEMAR COMERCIO DE PRODUTOS PARA MARCENARIA LTDA"/>
    <n v="278"/>
    <x v="38"/>
    <x v="38"/>
    <s v=""/>
    <x v="5"/>
    <s v="PRODUÇÃO"/>
    <n v="0"/>
    <s v="RAFAEL"/>
  </r>
  <r>
    <n v="197335"/>
    <s v="KAR"/>
    <s v="541686"/>
    <x v="90"/>
    <s v="ELETROLUZ MATERIAIS ELETRICOS LTDA."/>
    <n v="2293.3000000000002"/>
    <x v="14"/>
    <x v="14"/>
    <s v=""/>
    <x v="6"/>
    <s v="COMERCIAL"/>
    <n v="0"/>
    <s v="THAIS"/>
  </r>
  <r>
    <n v="197336"/>
    <s v="FK"/>
    <s v="FM2201B"/>
    <x v="90"/>
    <s v="RODRIGUES &amp; LIMA FERRAGENS DE FERRAMENTAS LTDA - M"/>
    <n v="47"/>
    <x v="38"/>
    <x v="38"/>
    <s v="FERRAGENS GERAIS"/>
    <x v="5"/>
    <s v="PRODUÇÃO"/>
    <n v="0"/>
    <s v="RAFAEL"/>
  </r>
  <r>
    <n v="197337"/>
    <s v="KAR"/>
    <s v="10272201"/>
    <x v="90"/>
    <s v="BANCO SICREDI"/>
    <n v="10.27"/>
    <x v="27"/>
    <x v="27"/>
    <s v=""/>
    <x v="8"/>
    <s v="FINANCEIRO"/>
    <n v="0"/>
    <s v="LETÍCIA"/>
  </r>
  <r>
    <n v="197338"/>
    <s v="KAR"/>
    <s v="0632301"/>
    <x v="11"/>
    <s v="BANCO SICREDI"/>
    <n v="0.63"/>
    <x v="27"/>
    <x v="27"/>
    <s v=""/>
    <x v="8"/>
    <s v="FINANCEIRO"/>
    <n v="0"/>
    <s v="LETÍCIA"/>
  </r>
  <r>
    <n v="197339"/>
    <s v="KOY"/>
    <s v="30977"/>
    <x v="52"/>
    <s v="TRANS APUCARANA TRANSPORTES RODOVIARIOS LTDA"/>
    <n v="125.48"/>
    <x v="48"/>
    <x v="48"/>
    <s v="SERVIÇOS FRETE"/>
    <x v="0"/>
    <s v="COMPRAS"/>
    <n v="0"/>
    <s v="MYLENA"/>
  </r>
  <r>
    <n v="197340"/>
    <s v="KAR"/>
    <s v="0792301"/>
    <x v="11"/>
    <s v="BANCO SICREDI"/>
    <n v="0.79"/>
    <x v="27"/>
    <x v="27"/>
    <s v=""/>
    <x v="8"/>
    <s v="FINANCEIRO"/>
    <n v="0"/>
    <s v="LETÍCIA"/>
  </r>
  <r>
    <n v="197341"/>
    <s v="KAR"/>
    <s v="1582201"/>
    <x v="11"/>
    <s v="BANCO SICREDI"/>
    <n v="1.58"/>
    <x v="27"/>
    <x v="27"/>
    <s v=""/>
    <x v="8"/>
    <s v="FINANCEIRO"/>
    <n v="0"/>
    <s v="LETÍCIA"/>
  </r>
  <r>
    <n v="197342"/>
    <s v="KAR"/>
    <s v="0792201"/>
    <x v="90"/>
    <s v="BANCO SICREDI"/>
    <n v="0.79"/>
    <x v="28"/>
    <x v="28"/>
    <s v=""/>
    <x v="8"/>
    <s v="FINANCEIRO"/>
    <n v="0"/>
    <s v="LETÍCIA"/>
  </r>
  <r>
    <n v="197344"/>
    <s v="KOX"/>
    <s v="PIZZA"/>
    <x v="11"/>
    <s v="MARCOS ROGERIO TAROCO"/>
    <n v="186"/>
    <x v="14"/>
    <x v="14"/>
    <s v=""/>
    <x v="6"/>
    <s v="COMERCIAL"/>
    <n v="0"/>
    <s v="THAIS"/>
  </r>
  <r>
    <n v="197345"/>
    <s v="KAR"/>
    <s v="30086"/>
    <x v="61"/>
    <s v="TRANS APUCARANA TRANSPORTES RODOVIARIOS LTDA"/>
    <n v="208.43"/>
    <x v="48"/>
    <x v="48"/>
    <s v="SERVIÇOS FRETE"/>
    <x v="0"/>
    <s v="COMPRAS"/>
    <n v="0"/>
    <s v="MYLENA"/>
  </r>
  <r>
    <n v="197346"/>
    <s v="KAR"/>
    <s v="33141"/>
    <x v="88"/>
    <s v="TRANS APUCARANA TRANSPORTES RODOVIARIOS LTDA"/>
    <n v="98.44"/>
    <x v="48"/>
    <x v="48"/>
    <s v="SERVIÇOS FRETE"/>
    <x v="0"/>
    <s v="COMPRAS"/>
    <n v="0"/>
    <s v="MYLENA"/>
  </r>
  <r>
    <n v="197347"/>
    <s v="KAR"/>
    <s v="33148"/>
    <x v="88"/>
    <s v="TRANS APUCARANA TRANSPORTES RODOVIARIOS LTDA"/>
    <n v="99.03"/>
    <x v="48"/>
    <x v="48"/>
    <s v="SERVIÇOS FRETE"/>
    <x v="0"/>
    <s v="COMPRAS"/>
    <n v="0"/>
    <s v="MYLENA"/>
  </r>
  <r>
    <n v="197348"/>
    <s v="KAR"/>
    <s v="0952217"/>
    <x v="90"/>
    <s v="BANCO SICREDI"/>
    <n v="0.95"/>
    <x v="28"/>
    <x v="28"/>
    <s v=""/>
    <x v="8"/>
    <s v="FINANCEIRO"/>
    <n v="0"/>
    <s v="LETÍCIA"/>
  </r>
  <r>
    <n v="197349"/>
    <s v="KAR"/>
    <s v="458052"/>
    <x v="11"/>
    <s v="VMD MAQUINAS E FERRAMENTAS LTDA"/>
    <n v="440"/>
    <x v="38"/>
    <x v="38"/>
    <s v="PEÇAS DE FERRAMENTAS"/>
    <x v="5"/>
    <s v="PRODUÇÃO"/>
    <n v="0"/>
    <s v="RAFAEL"/>
  </r>
  <r>
    <n v="197350"/>
    <s v="KAR"/>
    <s v="112102310"/>
    <x v="11"/>
    <s v="BANCO SICREDI"/>
    <n v="112.1"/>
    <x v="27"/>
    <x v="27"/>
    <s v=""/>
    <x v="8"/>
    <s v="FINANCEIRO"/>
    <n v="0"/>
    <s v="LETÍCIA"/>
  </r>
  <r>
    <n v="197352"/>
    <s v="KAR"/>
    <s v="71068"/>
    <x v="11"/>
    <s v="BANCO SICREDI"/>
    <n v="710.68"/>
    <x v="29"/>
    <x v="29"/>
    <s v=""/>
    <x v="8"/>
    <s v="FINANCEIRO"/>
    <n v="0"/>
    <s v="LETÍCIA"/>
  </r>
  <r>
    <n v="197353"/>
    <s v="FK"/>
    <s v="GIL2201"/>
    <x v="11"/>
    <s v="GILSON MATERIAIS DE CONSTRUÇÃO"/>
    <n v="50"/>
    <x v="25"/>
    <x v="25"/>
    <s v=""/>
    <x v="2"/>
    <s v="MANUTENÇÃO / TI"/>
    <n v="0"/>
    <s v="FÁBIO"/>
  </r>
  <r>
    <n v="197354"/>
    <s v="FK"/>
    <s v="GIL2301A"/>
    <x v="11"/>
    <s v="GILSON MATERIAIS DE CONSTRUÇÃO"/>
    <n v="2016"/>
    <x v="25"/>
    <x v="25"/>
    <s v=""/>
    <x v="2"/>
    <s v="MANUTENÇÃO / TI"/>
    <n v="0"/>
    <s v="FÁBIO"/>
  </r>
  <r>
    <n v="197355"/>
    <s v="KAR"/>
    <s v="58752301"/>
    <x v="11"/>
    <s v="BANCO SICREDI"/>
    <n v="58.75"/>
    <x v="27"/>
    <x v="27"/>
    <s v=""/>
    <x v="8"/>
    <s v="FINANCEIRO"/>
    <n v="0"/>
    <s v="LETÍCIA"/>
  </r>
  <r>
    <n v="197356"/>
    <s v="KAR"/>
    <s v="LICENÇA"/>
    <x v="11"/>
    <s v="BUYSOFT DO BRASIL LTDA"/>
    <n v="1278.1600000000001"/>
    <x v="12"/>
    <x v="12"/>
    <s v="SKETCHUP"/>
    <x v="3"/>
    <s v="MANUTENÇÃO / TI"/>
    <n v="0"/>
    <s v="LETÍCIA"/>
  </r>
  <r>
    <n v="197357"/>
    <s v="FK"/>
    <s v="JANTA2101"/>
    <x v="11"/>
    <s v="SILVIA COLLI JORDÃO PRESTES"/>
    <n v="32"/>
    <x v="23"/>
    <x v="23"/>
    <s v=""/>
    <x v="6"/>
    <s v="COMERCIAL"/>
    <n v="0"/>
    <s v="LETÍCIA"/>
  </r>
  <r>
    <n v="197359"/>
    <s v="FK"/>
    <s v="SILV2201"/>
    <x v="11"/>
    <s v="M.A. DOS SANTOS NASCIMENTO"/>
    <n v="146"/>
    <x v="23"/>
    <x v="23"/>
    <s v=""/>
    <x v="6"/>
    <s v="COMERCIAL"/>
    <n v="0"/>
    <s v="LETÍCIA"/>
  </r>
  <r>
    <n v="197361"/>
    <s v="KAR"/>
    <s v="EXAME0126"/>
    <x v="11"/>
    <s v="WORKS SEGURANÇA E MEDICINA DO TRABALHO LTDA"/>
    <n v="200"/>
    <x v="73"/>
    <x v="73"/>
    <s v=""/>
    <x v="5"/>
    <s v="DH"/>
    <s v="CUSTO MÃO DE OBRA DIRETA"/>
    <s v="RAFAEL"/>
  </r>
  <r>
    <n v="197362"/>
    <s v="KOY"/>
    <s v="EXAME0126"/>
    <x v="11"/>
    <s v="WORKS SEGURANÇA E MEDICINA DO TRABALHO LTDA"/>
    <n v="578"/>
    <x v="73"/>
    <x v="73"/>
    <s v=""/>
    <x v="5"/>
    <s v="DH"/>
    <s v="CUSTO MÃO DE OBRA DIRETA"/>
    <s v="RAFAEL"/>
  </r>
  <r>
    <n v="197363"/>
    <s v="LAY"/>
    <s v="EXAME0126"/>
    <x v="11"/>
    <s v="WORKS SEGURANÇA E MEDICINA DO TRABALHO LTDA"/>
    <n v="30"/>
    <x v="73"/>
    <x v="73"/>
    <s v=""/>
    <x v="5"/>
    <s v="DH"/>
    <s v="CUSTO MÃO DE OBRA DIRETA"/>
    <s v="RAFAEL"/>
  </r>
  <r>
    <n v="197364"/>
    <s v="KAR"/>
    <s v="01-15JA26"/>
    <x v="11"/>
    <s v="ANA VERA ANDRADE CUNHA"/>
    <n v="977.9"/>
    <x v="47"/>
    <x v="47"/>
    <s v=""/>
    <x v="6"/>
    <s v="COMERCIAL"/>
    <n v="0"/>
    <s v="LETÍCIA"/>
  </r>
  <r>
    <n v="197365"/>
    <s v="KAR"/>
    <s v="01-15JA26"/>
    <x v="11"/>
    <s v="BELA CASA REPRESENTAÇOES LTDA"/>
    <n v="2254.2199999999998"/>
    <x v="47"/>
    <x v="47"/>
    <s v=""/>
    <x v="6"/>
    <s v="COMERCIAL"/>
    <n v="0"/>
    <s v="LETÍCIA"/>
  </r>
  <r>
    <n v="197366"/>
    <s v="KAR"/>
    <s v="01-15JA26"/>
    <x v="11"/>
    <s v="ELAINE DE OLIVEIRA TESSARO"/>
    <n v="8389.73"/>
    <x v="47"/>
    <x v="47"/>
    <s v=""/>
    <x v="6"/>
    <s v="COMERCIAL"/>
    <n v="0"/>
    <s v="LETÍCIA"/>
  </r>
  <r>
    <n v="197368"/>
    <s v="KAR"/>
    <s v="01-15JA26"/>
    <x v="11"/>
    <s v="ILHA BELLA COM E REPRESENTAÇOES LTDA"/>
    <n v="4569.3"/>
    <x v="47"/>
    <x v="47"/>
    <s v=""/>
    <x v="6"/>
    <s v="COMERCIAL"/>
    <n v="0"/>
    <s v="LETÍCIA"/>
  </r>
  <r>
    <n v="197369"/>
    <s v="KAR"/>
    <s v="01-15JA26"/>
    <x v="11"/>
    <s v="JUAN JOSE IGLESIAS CARBALLO"/>
    <n v="537.58000000000004"/>
    <x v="47"/>
    <x v="47"/>
    <s v=""/>
    <x v="6"/>
    <s v="COMERCIAL"/>
    <n v="0"/>
    <s v="LETÍCIA"/>
  </r>
  <r>
    <n v="197370"/>
    <s v="KAR"/>
    <s v="01-15JA26"/>
    <x v="11"/>
    <s v="LIGHT REPRESENTAÇÕES LTDA"/>
    <n v="768.68"/>
    <x v="47"/>
    <x v="47"/>
    <s v=""/>
    <x v="6"/>
    <s v="COMERCIAL"/>
    <n v="0"/>
    <s v="LETÍCIA"/>
  </r>
  <r>
    <n v="197371"/>
    <s v="KAR"/>
    <s v="01-15JA26"/>
    <x v="11"/>
    <s v="MARTINS REPRESENTAÇÕES E VENDAS EIRELLI"/>
    <n v="4817.28"/>
    <x v="47"/>
    <x v="47"/>
    <s v=""/>
    <x v="6"/>
    <s v="COMERCIAL"/>
    <n v="0"/>
    <s v="LETÍCIA"/>
  </r>
  <r>
    <n v="197372"/>
    <s v="KAR"/>
    <s v="01-15JA26"/>
    <x v="11"/>
    <s v="PVJ REPRESENTAÇÕES LTDA"/>
    <n v="4852.92"/>
    <x v="47"/>
    <x v="47"/>
    <s v=""/>
    <x v="6"/>
    <s v="COMERCIAL"/>
    <n v="0"/>
    <s v="LETÍCIA"/>
  </r>
  <r>
    <n v="197373"/>
    <s v="KAR"/>
    <s v="01-15JA26"/>
    <x v="11"/>
    <s v="RICARDO CARVALHO DALANHOL"/>
    <n v="2897.43"/>
    <x v="47"/>
    <x v="47"/>
    <s v=""/>
    <x v="6"/>
    <s v="COMERCIAL"/>
    <n v="0"/>
    <s v="LETÍCIA"/>
  </r>
  <r>
    <n v="197374"/>
    <s v="FK"/>
    <s v="01-15JA26"/>
    <x v="11"/>
    <s v="BELA CASA REPRESENTAÇOES LTDA"/>
    <n v="3585.2"/>
    <x v="47"/>
    <x v="47"/>
    <s v=""/>
    <x v="6"/>
    <s v="COMERCIAL"/>
    <n v="0"/>
    <s v="LETÍCIA"/>
  </r>
  <r>
    <n v="197375"/>
    <s v="FK"/>
    <s v="01-15JA26"/>
    <x v="11"/>
    <s v="ELAINE DE OLIVEIRA TESSARO"/>
    <n v="1171.08"/>
    <x v="47"/>
    <x v="47"/>
    <s v=""/>
    <x v="6"/>
    <s v="COMERCIAL"/>
    <n v="0"/>
    <s v="LETÍCIA"/>
  </r>
  <r>
    <n v="197376"/>
    <s v="FK"/>
    <s v="01-15JA26"/>
    <x v="11"/>
    <s v="ILHA BELLA COM E REPRESENTAÇOES LTDA"/>
    <n v="140.24"/>
    <x v="47"/>
    <x v="47"/>
    <s v=""/>
    <x v="6"/>
    <s v="COMERCIAL"/>
    <n v="0"/>
    <s v="LETÍCIA"/>
  </r>
  <r>
    <n v="197377"/>
    <s v="FK"/>
    <s v="01-15JA25"/>
    <x v="11"/>
    <s v="JUAN JOSE IGLESIAS CARBALLO"/>
    <n v="243.63"/>
    <x v="47"/>
    <x v="47"/>
    <s v=""/>
    <x v="6"/>
    <s v="COMERCIAL"/>
    <n v="0"/>
    <s v="LETÍCIA"/>
  </r>
  <r>
    <n v="197378"/>
    <s v="FK"/>
    <s v="01-15JA26"/>
    <x v="11"/>
    <s v="LIGHT REPRESENTAÇÕES LTDA"/>
    <n v="55.56"/>
    <x v="47"/>
    <x v="47"/>
    <s v=""/>
    <x v="6"/>
    <s v="COMERCIAL"/>
    <n v="0"/>
    <s v="LETÍCIA"/>
  </r>
  <r>
    <n v="197379"/>
    <s v="FK"/>
    <s v="01-15JA25"/>
    <x v="11"/>
    <s v="MARTINS REPRESENTAÇÕES E VENDAS EIRELLI"/>
    <n v="425.19"/>
    <x v="47"/>
    <x v="47"/>
    <s v=""/>
    <x v="6"/>
    <s v="COMERCIAL"/>
    <n v="0"/>
    <s v="LETÍCIA"/>
  </r>
  <r>
    <n v="197380"/>
    <s v="FK"/>
    <s v="01-15JA26"/>
    <x v="11"/>
    <s v="PVJ REPRESENTAÇÕES LTDA"/>
    <n v="851.13"/>
    <x v="47"/>
    <x v="47"/>
    <s v=""/>
    <x v="6"/>
    <s v="COMERCIAL"/>
    <n v="0"/>
    <s v="LETÍCIA"/>
  </r>
  <r>
    <n v="197381"/>
    <s v="FK"/>
    <s v="01-15JA26"/>
    <x v="11"/>
    <s v="RICARDO CARVALHO DALANHOL"/>
    <n v="298.04000000000002"/>
    <x v="47"/>
    <x v="47"/>
    <s v=""/>
    <x v="6"/>
    <s v="COMERCIAL"/>
    <n v="0"/>
    <s v="LETÍCIA"/>
  </r>
  <r>
    <n v="197382"/>
    <s v="FK"/>
    <s v="PINTURA"/>
    <x v="11"/>
    <s v="GABRIEL DE SOUZA REIS"/>
    <n v="400"/>
    <x v="26"/>
    <x v="26"/>
    <s v=""/>
    <x v="3"/>
    <s v="FINANCEIRO"/>
    <n v="0"/>
    <s v="LETÍCIA"/>
  </r>
  <r>
    <n v="197383"/>
    <s v="FK"/>
    <s v="BATA2301A"/>
    <x v="11"/>
    <s v="MARIA ANDREIA BUENO DE ALMEIDA BATAER"/>
    <n v="139.78"/>
    <x v="34"/>
    <x v="34"/>
    <s v=""/>
    <x v="6"/>
    <s v="COMERCIAL"/>
    <n v="0"/>
    <s v="LETÍCIA"/>
  </r>
  <r>
    <n v="197384"/>
    <s v="KAR"/>
    <s v="93269"/>
    <x v="11"/>
    <s v="BANCO SICREDI"/>
    <n v="932.69"/>
    <x v="27"/>
    <x v="27"/>
    <s v=""/>
    <x v="8"/>
    <s v="FINANCEIRO"/>
    <n v="0"/>
    <s v="LETÍCIA"/>
  </r>
  <r>
    <n v="197385"/>
    <s v="KAR"/>
    <s v="44085"/>
    <x v="11"/>
    <s v="BANCO SICREDI"/>
    <n v="440.85"/>
    <x v="27"/>
    <x v="27"/>
    <s v=""/>
    <x v="8"/>
    <s v="FINANCEIRO"/>
    <n v="0"/>
    <s v="LETÍCIA"/>
  </r>
  <r>
    <n v="197387"/>
    <s v="KAR"/>
    <s v="596005"/>
    <x v="11"/>
    <s v="BANCO SICREDI"/>
    <n v="5960.05"/>
    <x v="29"/>
    <x v="29"/>
    <s v=""/>
    <x v="8"/>
    <s v="FINANCEIRO"/>
    <n v="0"/>
    <s v="LETÍCIA"/>
  </r>
  <r>
    <n v="197388"/>
    <s v="FK"/>
    <s v="SILV2301"/>
    <x v="11"/>
    <s v="M.A. DOS SANTOS NASCIMENTO"/>
    <n v="107"/>
    <x v="23"/>
    <x v="23"/>
    <s v=""/>
    <x v="6"/>
    <s v="COMERCIAL"/>
    <n v="0"/>
    <s v="LETÍCIA"/>
  </r>
  <r>
    <n v="197389"/>
    <s v="KOY"/>
    <s v="01-15JA26"/>
    <x v="11"/>
    <s v="ANA VERA ANDRADE CUNHA"/>
    <n v="517.15"/>
    <x v="47"/>
    <x v="47"/>
    <s v=""/>
    <x v="6"/>
    <s v="COMERCIAL"/>
    <n v="0"/>
    <s v="LETÍCIA"/>
  </r>
  <r>
    <n v="197390"/>
    <s v="FK"/>
    <s v="58905"/>
    <x v="11"/>
    <s v="I.N OLIVEIRA"/>
    <n v="112"/>
    <x v="46"/>
    <x v="46"/>
    <s v=""/>
    <x v="9"/>
    <s v="MANUTENÇÃO / TI"/>
    <n v="0"/>
    <s v="FÁBIO"/>
  </r>
  <r>
    <n v="197391"/>
    <s v="KOY"/>
    <s v="01-15JA26"/>
    <x v="11"/>
    <s v="BELA CASA REPRESENTAÇOES LTDA"/>
    <n v="1821.76"/>
    <x v="47"/>
    <x v="47"/>
    <s v=""/>
    <x v="6"/>
    <s v="COMERCIAL"/>
    <n v="0"/>
    <s v="LETÍCIA"/>
  </r>
  <r>
    <n v="197392"/>
    <s v="KOY"/>
    <s v="01-15JA26"/>
    <x v="11"/>
    <s v="ELAINE DE OLIVEIRA TESSARO"/>
    <n v="1027.44"/>
    <x v="47"/>
    <x v="47"/>
    <s v=""/>
    <x v="6"/>
    <s v="COMERCIAL"/>
    <n v="0"/>
    <s v="LETÍCIA"/>
  </r>
  <r>
    <n v="197394"/>
    <s v="KOY"/>
    <s v="01-15JA26"/>
    <x v="11"/>
    <s v="ILHA BELLA COM E REPRESENTAÇOES LTDA"/>
    <n v="1348.91"/>
    <x v="47"/>
    <x v="47"/>
    <s v=""/>
    <x v="6"/>
    <s v="COMERCIAL"/>
    <n v="0"/>
    <s v="LETÍCIA"/>
  </r>
  <r>
    <n v="197395"/>
    <s v="KOY"/>
    <s v="01-15JA26"/>
    <x v="11"/>
    <s v="MARTINS REPRESENTAÇÕES E VENDAS EIRELLI"/>
    <n v="229.54"/>
    <x v="47"/>
    <x v="47"/>
    <s v=""/>
    <x v="6"/>
    <s v="COMERCIAL"/>
    <n v="0"/>
    <s v="LETÍCIA"/>
  </r>
  <r>
    <n v="197397"/>
    <s v="KOY"/>
    <s v="01-15JA26"/>
    <x v="11"/>
    <s v="RICARDO CARVALHO DALANHOL"/>
    <n v="1002.01"/>
    <x v="47"/>
    <x v="47"/>
    <s v=""/>
    <x v="6"/>
    <s v="COMERCIAL"/>
    <n v="0"/>
    <s v="LETÍCIA"/>
  </r>
  <r>
    <n v="197398"/>
    <s v="KOY"/>
    <s v="01-15JA26"/>
    <x v="11"/>
    <s v="PVJ REPRESENTAÇÕES LTDA"/>
    <n v="407.58"/>
    <x v="47"/>
    <x v="47"/>
    <s v=""/>
    <x v="6"/>
    <s v="COMERCIAL"/>
    <n v="0"/>
    <s v="LETÍCIA"/>
  </r>
  <r>
    <n v="197399"/>
    <s v="LAY"/>
    <s v="01-15JA26"/>
    <x v="11"/>
    <s v="ANA VERA ANDRADE CUNHA"/>
    <n v="305.25"/>
    <x v="47"/>
    <x v="47"/>
    <s v=""/>
    <x v="6"/>
    <s v="COMERCIAL"/>
    <n v="0"/>
    <s v="LETÍCIA"/>
  </r>
  <r>
    <n v="197400"/>
    <s v="LAY"/>
    <s v="01-15JA26"/>
    <x v="11"/>
    <s v="BELA CASA REPRESENTAÇOES LTDA"/>
    <n v="261.5"/>
    <x v="47"/>
    <x v="47"/>
    <s v=""/>
    <x v="6"/>
    <s v="COMERCIAL"/>
    <n v="0"/>
    <s v="LETÍCIA"/>
  </r>
  <r>
    <n v="197401"/>
    <s v="LAY"/>
    <s v="01-15JA26"/>
    <x v="11"/>
    <s v="ELAINE DE OLIVEIRA TESSARO"/>
    <n v="518.51"/>
    <x v="47"/>
    <x v="47"/>
    <s v=""/>
    <x v="6"/>
    <s v="COMERCIAL"/>
    <n v="0"/>
    <s v="LETÍCIA"/>
  </r>
  <r>
    <n v="197402"/>
    <s v="LAY"/>
    <s v="01-15JA26"/>
    <x v="11"/>
    <s v="ILHA BELLA COM E REPRESENTAÇOES LTDA"/>
    <n v="2519.3000000000002"/>
    <x v="47"/>
    <x v="47"/>
    <s v=""/>
    <x v="6"/>
    <s v="COMERCIAL"/>
    <n v="0"/>
    <s v="LETÍCIA"/>
  </r>
  <r>
    <n v="197403"/>
    <s v="LAY"/>
    <s v="01-15JA26"/>
    <x v="11"/>
    <s v="JUAN JOSE IGLESIAS CARBALLO"/>
    <n v="757.71"/>
    <x v="47"/>
    <x v="47"/>
    <s v=""/>
    <x v="6"/>
    <s v="COMERCIAL"/>
    <n v="0"/>
    <s v="LETÍCIA"/>
  </r>
  <r>
    <n v="197404"/>
    <s v="LAY"/>
    <s v="01-15JA26"/>
    <x v="11"/>
    <s v="LIGHT REPRESENTAÇÕES LTDA"/>
    <n v="89.28"/>
    <x v="47"/>
    <x v="47"/>
    <s v=""/>
    <x v="6"/>
    <s v="COMERCIAL"/>
    <n v="0"/>
    <s v="LETÍCIA"/>
  </r>
  <r>
    <n v="197405"/>
    <s v="LAY"/>
    <s v="01-15JA26"/>
    <x v="11"/>
    <s v="MARTINS REPRESENTAÇÕES E VENDAS EIRELLI"/>
    <n v="121.68"/>
    <x v="47"/>
    <x v="47"/>
    <s v=""/>
    <x v="6"/>
    <s v="COMERCIAL"/>
    <n v="0"/>
    <s v="LETÍCIA"/>
  </r>
  <r>
    <n v="197406"/>
    <s v="LAY"/>
    <s v="01-15JA26"/>
    <x v="11"/>
    <s v="PVJ REPRESENTAÇÕES LTDA"/>
    <n v="2434.9899999999998"/>
    <x v="47"/>
    <x v="47"/>
    <s v=""/>
    <x v="6"/>
    <s v="COMERCIAL"/>
    <n v="0"/>
    <s v="LETÍCIA"/>
  </r>
  <r>
    <n v="197407"/>
    <s v="LAY"/>
    <s v="01-15JA26"/>
    <x v="11"/>
    <s v="RICARDO CARVALHO DALANHOL"/>
    <n v="904.18"/>
    <x v="47"/>
    <x v="47"/>
    <s v=""/>
    <x v="6"/>
    <s v="COMERCIAL"/>
    <n v="0"/>
    <s v="LETÍCIA"/>
  </r>
  <r>
    <n v="197408"/>
    <s v="KAR"/>
    <s v="19710"/>
    <x v="11"/>
    <s v="WILBRAZ IND E COM BRINDES LTDA"/>
    <n v="1394.3"/>
    <x v="34"/>
    <x v="34"/>
    <s v=""/>
    <x v="6"/>
    <s v="COMERCIAL"/>
    <n v="0"/>
    <s v="LETÍCIA"/>
  </r>
  <r>
    <n v="197409"/>
    <s v="FK"/>
    <s v="FM2301B"/>
    <x v="11"/>
    <s v="RODRIGUES &amp; LIMA FERRAGENS DE FERRAMENTAS LTDA - M"/>
    <n v="70"/>
    <x v="38"/>
    <x v="38"/>
    <s v="FERRAGENS GERAIS"/>
    <x v="5"/>
    <s v="PRODUÇÃO"/>
    <n v="0"/>
    <s v="RAFAEL"/>
  </r>
  <r>
    <n v="197410"/>
    <s v="FK"/>
    <s v="WA2301B"/>
    <x v="11"/>
    <s v="PANIFICADORA E CONFEITARIA MOREIRA"/>
    <n v="110"/>
    <x v="66"/>
    <x v="66"/>
    <s v=""/>
    <x v="9"/>
    <s v="DH"/>
    <s v="CUSTO MÃO DE OBRA DIRETA"/>
    <s v="RAFAEL"/>
  </r>
  <r>
    <n v="197411"/>
    <s v="FK"/>
    <s v="PISW01252"/>
    <x v="11"/>
    <s v="JULIANA SILVA QUITÉRIO - ME"/>
    <n v="484.15"/>
    <x v="47"/>
    <x v="47"/>
    <s v=""/>
    <x v="6"/>
    <s v="COMERCIAL"/>
    <n v="0"/>
    <s v="LETÍCIA"/>
  </r>
  <r>
    <n v="197412"/>
    <s v="KAR"/>
    <s v="718461"/>
    <x v="11"/>
    <s v="AUTO POSTO SANTA TEREZINHA DE AVARE LTDA"/>
    <n v="575"/>
    <x v="14"/>
    <x v="14"/>
    <s v=""/>
    <x v="6"/>
    <s v="COMERCIAL"/>
    <n v="0"/>
    <s v="THAIS"/>
  </r>
  <r>
    <n v="197413"/>
    <s v="KAR"/>
    <s v="718464"/>
    <x v="11"/>
    <s v="AUTO POSTO SANTA TEREZINHA DE AVARE LTDA"/>
    <n v="91.26"/>
    <x v="14"/>
    <x v="14"/>
    <s v=""/>
    <x v="6"/>
    <s v="COMERCIAL"/>
    <n v="0"/>
    <s v="THAIS"/>
  </r>
  <r>
    <n v="197414"/>
    <s v="KAR"/>
    <s v="11706"/>
    <x v="11"/>
    <s v="POSTO E RESTAURANTE PIRAJU LTDA"/>
    <n v="701.4"/>
    <x v="37"/>
    <x v="37"/>
    <s v=""/>
    <x v="6"/>
    <s v="LOGÍSTICA"/>
    <n v="0"/>
    <s v="MYLENA"/>
  </r>
  <r>
    <n v="197415"/>
    <s v="KAR"/>
    <s v="11707"/>
    <x v="11"/>
    <s v="POSTO E RESTAURANTE PIRAJU LTDA"/>
    <n v="89.24"/>
    <x v="37"/>
    <x v="37"/>
    <s v=""/>
    <x v="6"/>
    <s v="LOGÍSTICA"/>
    <n v="0"/>
    <s v="MYLENA"/>
  </r>
  <r>
    <n v="197416"/>
    <s v="KAR"/>
    <s v="3008"/>
    <x v="11"/>
    <s v="AUTO POSTO ROTA SUL LTDA"/>
    <n v="68.53"/>
    <x v="37"/>
    <x v="37"/>
    <s v=""/>
    <x v="6"/>
    <s v="LOGÍSTICA"/>
    <n v="0"/>
    <s v="MYLENA"/>
  </r>
  <r>
    <n v="197417"/>
    <s v="FK"/>
    <s v="DIMARKARA"/>
    <x v="11"/>
    <s v="KARAM'S IND.E COM.DE ESTOFADOS LTDA"/>
    <n v="1100"/>
    <x v="14"/>
    <x v="14"/>
    <s v=""/>
    <x v="6"/>
    <s v="COMERCIAL"/>
    <n v="0"/>
    <s v="THAIS"/>
  </r>
  <r>
    <n v="197419"/>
    <s v="KAR"/>
    <s v="13002601"/>
    <x v="75"/>
    <s v="BANCO SICREDI"/>
    <n v="130.5"/>
    <x v="29"/>
    <x v="29"/>
    <s v=""/>
    <x v="8"/>
    <s v="FINANCEIRO"/>
    <n v="0"/>
    <s v="LETÍCIA"/>
  </r>
  <r>
    <n v="197420"/>
    <s v="KAR"/>
    <s v="1332"/>
    <x v="75"/>
    <s v="BANCO SICREDI"/>
    <n v="13.32"/>
    <x v="27"/>
    <x v="27"/>
    <s v=""/>
    <x v="8"/>
    <s v="FINANCEIRO"/>
    <n v="0"/>
    <s v="LETÍCIA"/>
  </r>
  <r>
    <n v="197421"/>
    <s v="KAR"/>
    <s v="9482301"/>
    <x v="11"/>
    <s v="BANCO SICREDI"/>
    <n v="9.48"/>
    <x v="27"/>
    <x v="27"/>
    <s v=""/>
    <x v="8"/>
    <s v="FINANCEIRO"/>
    <n v="0"/>
    <s v="LETÍCIA"/>
  </r>
  <r>
    <n v="197422"/>
    <s v="LAY"/>
    <s v="0792301"/>
    <x v="11"/>
    <s v="BANCO SICREDI"/>
    <n v="0.79"/>
    <x v="27"/>
    <x v="27"/>
    <s v=""/>
    <x v="8"/>
    <s v="FINANCEIRO"/>
    <n v="0"/>
    <s v="LETÍCIA"/>
  </r>
  <r>
    <n v="197423"/>
    <s v="FK"/>
    <s v="0952301"/>
    <x v="11"/>
    <s v="COOPERATIVA DE CRED.DE LIVRE ADMISSÃO DO NOROESTE"/>
    <n v="0.95"/>
    <x v="27"/>
    <x v="27"/>
    <s v=""/>
    <x v="8"/>
    <s v="FINANCEIRO"/>
    <n v="0"/>
    <s v="LETÍCIA"/>
  </r>
  <r>
    <n v="197424"/>
    <s v="KAR"/>
    <s v="458252"/>
    <x v="75"/>
    <s v="VMD MAQUINAS E FERRAMENTAS LTDA"/>
    <n v="543"/>
    <x v="38"/>
    <x v="38"/>
    <s v="PEÇAS DE FERRAMENTAS"/>
    <x v="5"/>
    <s v="PRODUÇÃO"/>
    <n v="0"/>
    <s v="RAFAEL"/>
  </r>
  <r>
    <n v="197425"/>
    <s v="FK"/>
    <s v="ELET2601"/>
    <x v="75"/>
    <s v="JOAO LUIZ DE OLIVEIRA &amp; CIA LTDA - ME"/>
    <n v="152"/>
    <x v="25"/>
    <x v="25"/>
    <s v="MATERIAIS ELETRICOS"/>
    <x v="2"/>
    <s v="MANUTENÇÃO / TI"/>
    <n v="0"/>
    <s v="FÁBIO"/>
  </r>
  <r>
    <n v="197426"/>
    <s v="KOY"/>
    <s v="15273"/>
    <x v="27"/>
    <s v="POSTO RODOSERV STAR LTDA."/>
    <n v="448.28"/>
    <x v="14"/>
    <x v="14"/>
    <s v=""/>
    <x v="6"/>
    <s v="COMERCIAL"/>
    <n v="0"/>
    <s v="THAIS"/>
  </r>
  <r>
    <n v="197427"/>
    <s v="KOX"/>
    <s v="ALMOÇO"/>
    <x v="75"/>
    <s v="RODOSERV STAR LTDA"/>
    <n v="406.65"/>
    <x v="14"/>
    <x v="14"/>
    <s v=""/>
    <x v="6"/>
    <s v="COMERCIAL"/>
    <n v="0"/>
    <s v="THAIS"/>
  </r>
  <r>
    <n v="197428"/>
    <s v="KOX"/>
    <s v="BEBIDASVA"/>
    <x v="75"/>
    <s v="AUTO POSTO VIAIS"/>
    <n v="145"/>
    <x v="14"/>
    <x v="14"/>
    <s v=""/>
    <x v="6"/>
    <s v="COMERCIAL"/>
    <n v="0"/>
    <s v="THAIS"/>
  </r>
  <r>
    <n v="197429"/>
    <s v="KOX"/>
    <s v="CAFEMANHA"/>
    <x v="75"/>
    <s v="KOYO IND E COMERCIO DE MOVEIS  LTDA"/>
    <n v="92"/>
    <x v="14"/>
    <x v="14"/>
    <s v=""/>
    <x v="6"/>
    <s v="COMERCIAL"/>
    <n v="0"/>
    <s v="THAIS"/>
  </r>
  <r>
    <n v="197430"/>
    <s v="FK"/>
    <s v="GPS 0226"/>
    <x v="1"/>
    <s v="GUIA DA PREVIDENCIA SOCIAL"/>
    <n v="178.31"/>
    <x v="67"/>
    <x v="67"/>
    <s v=""/>
    <x v="7"/>
    <s v="DH"/>
    <n v="0"/>
    <s v="RAFAEL"/>
  </r>
  <r>
    <n v="197432"/>
    <s v="KAR"/>
    <s v="12348"/>
    <x v="75"/>
    <s v="MAXIMA COMISSARIA DE DESPACHOS ADUANEIROS LTDA"/>
    <n v="656.95"/>
    <x v="26"/>
    <x v="26"/>
    <s v=""/>
    <x v="3"/>
    <s v="FINANCEIRO"/>
    <n v="0"/>
    <s v="LETÍCIA"/>
  </r>
  <r>
    <n v="197433"/>
    <s v="KAR"/>
    <s v="718001"/>
    <x v="75"/>
    <s v="AUTO POSTO SANTA TEREZINHA DE AVARE LTDA"/>
    <n v="862.67"/>
    <x v="37"/>
    <x v="37"/>
    <s v=""/>
    <x v="6"/>
    <s v="LOGÍSTICA"/>
    <n v="0"/>
    <s v="MYLENA"/>
  </r>
  <r>
    <n v="197435"/>
    <s v="FK"/>
    <s v="IGOR0801"/>
    <x v="61"/>
    <s v="IGOR SILVA FERREIRA"/>
    <n v="300"/>
    <x v="31"/>
    <x v="31"/>
    <s v=""/>
    <x v="6"/>
    <s v="LOGÍSTICA"/>
    <n v="0"/>
    <s v="MYLENA"/>
  </r>
  <r>
    <n v="197436"/>
    <s v="FK"/>
    <s v="IGOR1501"/>
    <x v="21"/>
    <s v="IGOR SILVA FERREIRA"/>
    <n v="800"/>
    <x v="31"/>
    <x v="31"/>
    <s v=""/>
    <x v="6"/>
    <s v="LOGÍSTICA"/>
    <n v="0"/>
    <s v="MYLENA"/>
  </r>
  <r>
    <n v="197437"/>
    <s v="FK"/>
    <s v="IGOR0501"/>
    <x v="20"/>
    <s v="IGOR SILVA FERREIRA"/>
    <n v="500"/>
    <x v="31"/>
    <x v="31"/>
    <s v=""/>
    <x v="6"/>
    <s v="LOGÍSTICA"/>
    <n v="0"/>
    <s v="MYLENA"/>
  </r>
  <r>
    <n v="197439"/>
    <s v="KAR"/>
    <s v="JAN260126"/>
    <x v="75"/>
    <s v="SUELY KAY KATO"/>
    <n v="4500"/>
    <x v="15"/>
    <x v="15"/>
    <s v=""/>
    <x v="7"/>
    <s v="DIRETORIA"/>
    <n v="0"/>
    <s v="FÁBIO"/>
  </r>
  <r>
    <n v="197440"/>
    <s v="FK"/>
    <s v="IGOR0601"/>
    <x v="63"/>
    <s v="IGOR SILVA FERREIRA"/>
    <n v="400"/>
    <x v="31"/>
    <x v="31"/>
    <s v=""/>
    <x v="6"/>
    <s v="LOGÍSTICA"/>
    <n v="0"/>
    <s v="MYLENA"/>
  </r>
  <r>
    <n v="197441"/>
    <s v="KOY"/>
    <s v="SAMAE26/1"/>
    <x v="91"/>
    <s v="SAMAE - SERVIÇO AUTONOMO MUNICIPAL DE AGUA E ESGOT"/>
    <n v="32.229999999999997"/>
    <x v="10"/>
    <x v="10"/>
    <s v=""/>
    <x v="4"/>
    <s v="FINANCEIRO"/>
    <n v="0"/>
    <s v="LETÍCIA"/>
  </r>
  <r>
    <n v="197453"/>
    <s v="FK"/>
    <s v="SITE KARA"/>
    <x v="75"/>
    <s v="EBANX LTDA"/>
    <n v="779.88"/>
    <x v="12"/>
    <x v="12"/>
    <s v="SITE"/>
    <x v="3"/>
    <s v="MANUTENÇÃO / TI"/>
    <n v="0"/>
    <s v="LETÍCIA"/>
  </r>
  <r>
    <n v="197454"/>
    <s v="FK"/>
    <s v="PET2601A"/>
    <x v="75"/>
    <s v="ACT GUIRELLI"/>
    <n v="208"/>
    <x v="32"/>
    <x v="32"/>
    <s v=""/>
    <x v="3"/>
    <s v="FINANCEIRO"/>
    <n v="0"/>
    <s v="LETÍCIA"/>
  </r>
  <r>
    <n v="197455"/>
    <s v="FK"/>
    <s v="SILV2301"/>
    <x v="11"/>
    <s v="SILVIA COLLI JORDÃO PRESTES"/>
    <n v="161.80000000000001"/>
    <x v="23"/>
    <x v="23"/>
    <s v=""/>
    <x v="6"/>
    <s v="COMERCIAL"/>
    <n v="0"/>
    <s v="LETÍCIA"/>
  </r>
  <r>
    <n v="197456"/>
    <s v="KAR"/>
    <s v="79322601"/>
    <x v="75"/>
    <s v="BANCO SICREDI"/>
    <n v="79.319999999999993"/>
    <x v="27"/>
    <x v="27"/>
    <s v=""/>
    <x v="8"/>
    <s v="FINANCEIRO"/>
    <n v="0"/>
    <s v="LETÍCIA"/>
  </r>
  <r>
    <n v="197457"/>
    <s v="KAR"/>
    <s v="63392601"/>
    <x v="75"/>
    <s v="BANCO SICREDI"/>
    <n v="63.39"/>
    <x v="27"/>
    <x v="27"/>
    <s v=""/>
    <x v="8"/>
    <s v="FINANCEIRO"/>
    <n v="0"/>
    <s v="LETÍCIA"/>
  </r>
  <r>
    <n v="197458"/>
    <s v="KAR"/>
    <s v="494442601"/>
    <x v="75"/>
    <s v="BANCO SICREDI"/>
    <n v="494.44"/>
    <x v="29"/>
    <x v="29"/>
    <s v=""/>
    <x v="8"/>
    <s v="FINANCEIRO"/>
    <n v="0"/>
    <s v="LETÍCIA"/>
  </r>
  <r>
    <n v="197459"/>
    <s v="KOX"/>
    <s v="ALMOÇORA"/>
    <x v="75"/>
    <s v="KOYO IND E COMERCIO DE MOVEIS  LTDA"/>
    <n v="78.680000000000007"/>
    <x v="14"/>
    <x v="14"/>
    <s v=""/>
    <x v="6"/>
    <s v="COMERCIAL"/>
    <n v="0"/>
    <s v="THAIS"/>
  </r>
  <r>
    <n v="197461"/>
    <s v="FK"/>
    <s v="NIS2601"/>
    <x v="75"/>
    <s v="CASA DE FERRAGEM NISHIMOTO"/>
    <n v="35"/>
    <x v="30"/>
    <x v="30"/>
    <s v="FERRAGENS GERAIS"/>
    <x v="9"/>
    <s v="MANUTENÇÃO / TI"/>
    <n v="0"/>
    <s v="RAFAEL"/>
  </r>
  <r>
    <n v="197462"/>
    <s v="FK"/>
    <s v="FM2401A"/>
    <x v="75"/>
    <s v="RODRIGUES &amp; LIMA FERRAGENS DE FERRAMENTAS LTDA - M"/>
    <n v="56"/>
    <x v="25"/>
    <x v="25"/>
    <s v="FERRAGENS GERAIS"/>
    <x v="2"/>
    <s v="MANUTENÇÃO / TI"/>
    <n v="0"/>
    <s v="FÁBIO"/>
  </r>
  <r>
    <n v="197463"/>
    <s v="LAY"/>
    <s v="105752601"/>
    <x v="75"/>
    <s v="BANCO SICREDI"/>
    <n v="105.75"/>
    <x v="27"/>
    <x v="27"/>
    <s v=""/>
    <x v="8"/>
    <s v="FINANCEIRO"/>
    <n v="0"/>
    <s v="LETÍCIA"/>
  </r>
  <r>
    <n v="197464"/>
    <s v="LAY"/>
    <s v="6421"/>
    <x v="75"/>
    <s v="BANCO SICREDI"/>
    <n v="64.209999999999994"/>
    <x v="27"/>
    <x v="27"/>
    <s v=""/>
    <x v="8"/>
    <s v="FINANCEIRO"/>
    <n v="0"/>
    <s v="LETÍCIA"/>
  </r>
  <r>
    <n v="197465"/>
    <s v="LAY"/>
    <s v="660"/>
    <x v="75"/>
    <s v="BANCO SICREDI"/>
    <n v="660"/>
    <x v="29"/>
    <x v="29"/>
    <s v=""/>
    <x v="8"/>
    <s v="FINANCEIRO"/>
    <n v="0"/>
    <s v="LETÍCIA"/>
  </r>
  <r>
    <n v="197466"/>
    <s v="KAR"/>
    <s v="172"/>
    <x v="75"/>
    <s v="MISA COMERCIO E SEVIÇOS EM GERAL LTDA"/>
    <n v="2955.95"/>
    <x v="38"/>
    <x v="38"/>
    <s v=""/>
    <x v="5"/>
    <s v="PRODUÇÃO"/>
    <n v="0"/>
    <s v="RAFAEL"/>
  </r>
  <r>
    <n v="197467"/>
    <s v="FK"/>
    <s v="72707"/>
    <x v="61"/>
    <s v="COMERCIO DE COMBUSTIVEIS TBM LTDA."/>
    <n v="376.41"/>
    <x v="37"/>
    <x v="37"/>
    <s v=""/>
    <x v="6"/>
    <s v="LOGÍSTICA"/>
    <n v="0"/>
    <s v="MYLENA"/>
  </r>
  <r>
    <n v="197468"/>
    <s v="FK"/>
    <s v="2016"/>
    <x v="92"/>
    <s v="COMERCIO DE COMBUSTIVEIS TBM LTDA."/>
    <n v="324.79000000000002"/>
    <x v="37"/>
    <x v="37"/>
    <s v=""/>
    <x v="6"/>
    <s v="LOGÍSTICA"/>
    <n v="0"/>
    <s v="MYLENA"/>
  </r>
  <r>
    <n v="197469"/>
    <s v="FK"/>
    <s v="FM2601A"/>
    <x v="75"/>
    <s v="RODRIGUES &amp; LIMA FERRAGENS DE FERRAMENTAS LTDA - M"/>
    <n v="10.5"/>
    <x v="25"/>
    <x v="25"/>
    <s v="FERRAGENS GERAIS"/>
    <x v="2"/>
    <s v="MANUTENÇÃO / TI"/>
    <n v="0"/>
    <s v="FÁBIO"/>
  </r>
  <r>
    <n v="197470"/>
    <s v="KAR"/>
    <s v="4693"/>
    <x v="75"/>
    <s v="Topfres Ferramentas Industria e Comercio LTDA"/>
    <n v="1120"/>
    <x v="38"/>
    <x v="38"/>
    <s v=""/>
    <x v="5"/>
    <s v="PRODUÇÃO"/>
    <n v="0"/>
    <s v="RAFAEL"/>
  </r>
  <r>
    <n v="197471"/>
    <s v="KAR"/>
    <s v="1588336"/>
    <x v="75"/>
    <s v="EXPRESSO SAO MIGUEL LTDA"/>
    <n v="80.260000000000005"/>
    <x v="38"/>
    <x v="38"/>
    <s v="SERVIÇOS FRETE"/>
    <x v="5"/>
    <s v="PRODUÇÃO"/>
    <n v="0"/>
    <s v="RAFAEL"/>
  </r>
  <r>
    <n v="197472"/>
    <s v="KAR"/>
    <s v="324221"/>
    <x v="75"/>
    <s v="AUTO POSTO LIMOEIRO"/>
    <n v="808.37"/>
    <x v="14"/>
    <x v="14"/>
    <s v=""/>
    <x v="6"/>
    <s v="COMERCIAL"/>
    <n v="0"/>
    <s v="THAIS"/>
  </r>
  <r>
    <n v="197473"/>
    <s v="KAR"/>
    <s v="719085"/>
    <x v="75"/>
    <s v="AUTO POSTO SANTA TEREZINHA DE AVARE LTDA"/>
    <n v="391.11"/>
    <x v="14"/>
    <x v="14"/>
    <s v=""/>
    <x v="6"/>
    <s v="COMERCIAL"/>
    <n v="0"/>
    <s v="THAIS"/>
  </r>
  <r>
    <n v="197474"/>
    <s v="KAR"/>
    <s v="719086"/>
    <x v="75"/>
    <s v="AUTO POSTO SANTA TEREZINHA DE AVARE LTDA"/>
    <n v="40.74"/>
    <x v="14"/>
    <x v="14"/>
    <s v=""/>
    <x v="6"/>
    <s v="COMERCIAL"/>
    <n v="0"/>
    <s v="THAIS"/>
  </r>
  <r>
    <n v="197475"/>
    <s v="FK"/>
    <s v="SODA2601"/>
    <x v="75"/>
    <s v="CAMINHÃO / BEH-6E00"/>
    <n v="700"/>
    <x v="14"/>
    <x v="14"/>
    <s v=""/>
    <x v="6"/>
    <s v="COMERCIAL"/>
    <n v="0"/>
    <s v="THAIS"/>
  </r>
  <r>
    <n v="197476"/>
    <s v="FK"/>
    <s v="2134"/>
    <x v="75"/>
    <s v="COMERCIO DE COMBUSTIVEIS TBM LTDA."/>
    <n v="617.65"/>
    <x v="37"/>
    <x v="37"/>
    <s v=""/>
    <x v="6"/>
    <s v="LOGÍSTICA"/>
    <n v="0"/>
    <s v="MYLENA"/>
  </r>
  <r>
    <n v="197477"/>
    <s v="KOY"/>
    <s v="1582601"/>
    <x v="75"/>
    <s v="BANCO SICREDI"/>
    <n v="1.58"/>
    <x v="27"/>
    <x v="27"/>
    <s v=""/>
    <x v="8"/>
    <s v="FINANCEIRO"/>
    <n v="0"/>
    <s v="LETÍCIA"/>
  </r>
  <r>
    <n v="197478"/>
    <s v="KOY"/>
    <s v="158260126"/>
    <x v="75"/>
    <s v="BANCO SICREDI"/>
    <n v="1.58"/>
    <x v="27"/>
    <x v="27"/>
    <s v=""/>
    <x v="8"/>
    <s v="FINANCEIRO"/>
    <n v="0"/>
    <s v="LETÍCIA"/>
  </r>
  <r>
    <n v="197479"/>
    <s v="LAY"/>
    <s v="0792601"/>
    <x v="75"/>
    <s v="BANCO SICREDI"/>
    <n v="0.79"/>
    <x v="27"/>
    <x v="27"/>
    <s v=""/>
    <x v="8"/>
    <s v="FINANCEIRO"/>
    <n v="0"/>
    <s v="LETÍCIA"/>
  </r>
  <r>
    <n v="197480"/>
    <s v="LAY"/>
    <s v="079260126"/>
    <x v="75"/>
    <s v="BANCO SICREDI"/>
    <n v="0.79"/>
    <x v="27"/>
    <x v="27"/>
    <s v=""/>
    <x v="8"/>
    <s v="FINANCEIRO"/>
    <n v="0"/>
    <s v="LETÍCIA"/>
  </r>
  <r>
    <n v="197481"/>
    <s v="FK"/>
    <s v="NIS2601A"/>
    <x v="89"/>
    <s v="CASA DE FERRAGEM NISHIMOTO"/>
    <n v="45"/>
    <x v="46"/>
    <x v="46"/>
    <s v="FERRAGENS GERAIS"/>
    <x v="9"/>
    <s v="MANUTENÇÃO / TI"/>
    <n v="0"/>
    <s v="FÁBIO"/>
  </r>
  <r>
    <n v="197482"/>
    <s v="FK"/>
    <s v="1902601"/>
    <x v="75"/>
    <s v="COOPERATIVA DE CRED.DE LIVRE ADMISSÃO DO NOROESTE"/>
    <n v="1.9"/>
    <x v="27"/>
    <x v="27"/>
    <s v=""/>
    <x v="8"/>
    <s v="FINANCEIRO"/>
    <n v="0"/>
    <s v="LETÍCIA"/>
  </r>
  <r>
    <n v="197484"/>
    <s v="KAR"/>
    <s v="29232601"/>
    <x v="75"/>
    <s v="BANCO SICREDI"/>
    <n v="29.23"/>
    <x v="27"/>
    <x v="27"/>
    <s v=""/>
    <x v="8"/>
    <s v="FINANCEIRO"/>
    <n v="0"/>
    <s v="LETÍCIA"/>
  </r>
  <r>
    <n v="197485"/>
    <s v="KAR"/>
    <s v="2562701"/>
    <x v="89"/>
    <s v="BANCO SICREDI"/>
    <n v="2.56"/>
    <x v="27"/>
    <x v="27"/>
    <s v=""/>
    <x v="8"/>
    <s v="FINANCEIRO"/>
    <n v="0"/>
    <s v="LETÍCIA"/>
  </r>
  <r>
    <n v="197486"/>
    <s v="KAR"/>
    <s v="11532701"/>
    <x v="89"/>
    <s v="BANCO SICREDI"/>
    <n v="11.53"/>
    <x v="27"/>
    <x v="27"/>
    <s v=""/>
    <x v="8"/>
    <s v="FINANCEIRO"/>
    <n v="0"/>
    <s v="LETÍCIA"/>
  </r>
  <r>
    <n v="197487"/>
    <s v="KAR"/>
    <s v="125873"/>
    <x v="1"/>
    <s v="SERASA S/A"/>
    <n v="351"/>
    <x v="74"/>
    <x v="74"/>
    <s v=""/>
    <x v="4"/>
    <s v="FINANCEIRO"/>
    <n v="0"/>
    <s v="LETÍCIA"/>
  </r>
  <r>
    <n v="197488"/>
    <s v="FK"/>
    <s v="09EXTINTO"/>
    <x v="89"/>
    <s v="DENIS GOMES DE OLIVEIRA"/>
    <n v="720"/>
    <x v="14"/>
    <x v="14"/>
    <s v=""/>
    <x v="6"/>
    <s v="COMERCIAL"/>
    <n v="0"/>
    <s v="THAIS"/>
  </r>
  <r>
    <n v="197489"/>
    <s v="FK"/>
    <s v="SILVI2101"/>
    <x v="89"/>
    <s v="PERES &amp; DANDOLINI LTDA. ME"/>
    <n v="345"/>
    <x v="23"/>
    <x v="23"/>
    <s v=""/>
    <x v="6"/>
    <s v="COMERCIAL"/>
    <n v="0"/>
    <s v="LETÍCIA"/>
  </r>
  <r>
    <n v="197490"/>
    <s v="KAR"/>
    <s v="79711"/>
    <x v="89"/>
    <s v="CLAUTEX TECIDOS E PLASTICO LTDA"/>
    <n v="947.53"/>
    <x v="55"/>
    <x v="55"/>
    <s v=""/>
    <x v="8"/>
    <s v="COMERCIAL"/>
    <n v="0"/>
    <s v="LETÍCIA"/>
  </r>
  <r>
    <n v="197491"/>
    <s v="KAR"/>
    <s v="24814"/>
    <x v="89"/>
    <s v="BANCO SICREDI"/>
    <n v="248.14"/>
    <x v="27"/>
    <x v="27"/>
    <s v=""/>
    <x v="8"/>
    <s v="FINANCEIRO"/>
    <n v="0"/>
    <s v="LETÍCIA"/>
  </r>
  <r>
    <n v="197492"/>
    <s v="KAR"/>
    <s v="18411"/>
    <x v="89"/>
    <s v="BANCO SICREDI"/>
    <n v="184.11"/>
    <x v="27"/>
    <x v="27"/>
    <s v=""/>
    <x v="8"/>
    <s v="FINANCEIRO"/>
    <n v="0"/>
    <s v="LETÍCIA"/>
  </r>
  <r>
    <n v="197493"/>
    <s v="KAR"/>
    <s v="151970"/>
    <x v="89"/>
    <s v="BANCO SICREDI"/>
    <n v="1519.7"/>
    <x v="29"/>
    <x v="29"/>
    <s v=""/>
    <x v="8"/>
    <s v="FINANCEIRO"/>
    <n v="0"/>
    <s v="LETÍCIA"/>
  </r>
  <r>
    <n v="197494"/>
    <s v="FK"/>
    <s v="HONORARIOS"/>
    <x v="16"/>
    <s v="EXITUS ESCRITORIO DE CONTABILIDADE S/S - EPP"/>
    <n v="163"/>
    <x v="4"/>
    <x v="4"/>
    <s v=""/>
    <x v="3"/>
    <s v="FINANCEIRO"/>
    <n v="0"/>
    <s v="LETÍCIA"/>
  </r>
  <r>
    <n v="197495"/>
    <s v="FK"/>
    <s v="HONORARIOS"/>
    <x v="17"/>
    <s v="EXITUS ESCRITORIO DE CONTABILIDADE S/S - EPP"/>
    <n v="163"/>
    <x v="4"/>
    <x v="4"/>
    <s v=""/>
    <x v="3"/>
    <s v="FINANCEIRO"/>
    <n v="0"/>
    <s v="LETÍCIA"/>
  </r>
  <r>
    <n v="197496"/>
    <s v="FK"/>
    <s v="HONORARIOS"/>
    <x v="18"/>
    <s v="EXITUS ESCRITORIO DE CONTABILIDADE S/S - EPP"/>
    <n v="163"/>
    <x v="4"/>
    <x v="4"/>
    <s v=""/>
    <x v="3"/>
    <s v="FINANCEIRO"/>
    <n v="0"/>
    <s v="LETÍCIA"/>
  </r>
  <r>
    <n v="197497"/>
    <s v="FK"/>
    <s v="HONORARIOS"/>
    <x v="19"/>
    <s v="EXITUS ESCRITORIO DE CONTABILIDADE S/S - EPP"/>
    <n v="163"/>
    <x v="4"/>
    <x v="4"/>
    <s v=""/>
    <x v="3"/>
    <s v="FINANCEIRO"/>
    <n v="0"/>
    <s v="LETÍCIA"/>
  </r>
  <r>
    <n v="197506"/>
    <s v="KAR"/>
    <s v="HONORARIOS"/>
    <x v="16"/>
    <s v="EXITUS ESCRITORIO DE CONTABILIDADE S/S - EPP"/>
    <n v="5132"/>
    <x v="4"/>
    <x v="4"/>
    <s v=""/>
    <x v="3"/>
    <s v="FINANCEIRO"/>
    <n v="0"/>
    <s v="LETÍCIA"/>
  </r>
  <r>
    <n v="197507"/>
    <s v="KAR"/>
    <s v="HONORARIOS"/>
    <x v="12"/>
    <s v="EXITUS ESCRITORIO DE CONTABILIDADE S/S - EPP"/>
    <n v="5132"/>
    <x v="4"/>
    <x v="4"/>
    <s v=""/>
    <x v="3"/>
    <s v="FINANCEIRO"/>
    <n v="0"/>
    <s v="LETÍCIA"/>
  </r>
  <r>
    <n v="197508"/>
    <s v="KAR"/>
    <s v="HONORARIOS"/>
    <x v="17"/>
    <s v="EXITUS ESCRITORIO DE CONTABILIDADE S/S - EPP"/>
    <n v="5132"/>
    <x v="4"/>
    <x v="4"/>
    <s v=""/>
    <x v="3"/>
    <s v="FINANCEIRO"/>
    <n v="0"/>
    <s v="LETÍCIA"/>
  </r>
  <r>
    <n v="197509"/>
    <s v="KAR"/>
    <s v="HONORARIOS"/>
    <x v="13"/>
    <s v="EXITUS ESCRITORIO DE CONTABILIDADE S/S - EPP"/>
    <n v="5132"/>
    <x v="4"/>
    <x v="4"/>
    <s v=""/>
    <x v="3"/>
    <s v="FINANCEIRO"/>
    <n v="0"/>
    <s v="LETÍCIA"/>
  </r>
  <r>
    <n v="197510"/>
    <s v="KAR"/>
    <s v="HONORARIOS"/>
    <x v="18"/>
    <s v="EXITUS ESCRITORIO DE CONTABILIDADE S/S - EPP"/>
    <n v="5132"/>
    <x v="4"/>
    <x v="4"/>
    <s v=""/>
    <x v="3"/>
    <s v="FINANCEIRO"/>
    <n v="0"/>
    <s v="LETÍCIA"/>
  </r>
  <r>
    <n v="197511"/>
    <s v="KAR"/>
    <s v="HONORARIOS"/>
    <x v="14"/>
    <s v="EXITUS ESCRITORIO DE CONTABILIDADE S/S - EPP"/>
    <n v="5132"/>
    <x v="4"/>
    <x v="4"/>
    <s v=""/>
    <x v="3"/>
    <s v="FINANCEIRO"/>
    <n v="0"/>
    <s v="LETÍCIA"/>
  </r>
  <r>
    <n v="197512"/>
    <s v="KAR"/>
    <s v="HONORARIOS"/>
    <x v="19"/>
    <s v="EXITUS ESCRITORIO DE CONTABILIDADE S/S - EPP"/>
    <n v="5132"/>
    <x v="4"/>
    <x v="4"/>
    <s v=""/>
    <x v="3"/>
    <s v="FINANCEIRO"/>
    <n v="0"/>
    <s v="LETÍCIA"/>
  </r>
  <r>
    <n v="197530"/>
    <s v="KOY"/>
    <s v="HONORARIOS"/>
    <x v="59"/>
    <s v="EXITUS ESCRITORIO DE CONTABILIDADE S/S - EPP"/>
    <n v="715"/>
    <x v="4"/>
    <x v="4"/>
    <s v=""/>
    <x v="3"/>
    <s v="FINANCEIRO"/>
    <n v="0"/>
    <s v="LETÍCIA"/>
  </r>
  <r>
    <n v="197531"/>
    <s v="KOY"/>
    <s v="HONORARIOS"/>
    <x v="60"/>
    <s v="EXITUS ESCRITORIO DE CONTABILIDADE S/S - EPP"/>
    <n v="715"/>
    <x v="4"/>
    <x v="4"/>
    <s v=""/>
    <x v="3"/>
    <s v="FINANCEIRO"/>
    <n v="0"/>
    <s v="LETÍCIA"/>
  </r>
  <r>
    <n v="197532"/>
    <s v="KOY"/>
    <s v="HONORARIOS"/>
    <x v="93"/>
    <s v="EXITUS ESCRITORIO DE CONTABILIDADE S/S - EPP"/>
    <n v="715"/>
    <x v="4"/>
    <x v="4"/>
    <s v=""/>
    <x v="3"/>
    <s v="FINANCEIRO"/>
    <n v="0"/>
    <s v="LETÍCIA"/>
  </r>
  <r>
    <n v="197533"/>
    <s v="KOY"/>
    <s v="HONORARIOS"/>
    <x v="25"/>
    <s v="EXITUS ESCRITORIO DE CONTABILIDADE S/S - EPP"/>
    <n v="715"/>
    <x v="4"/>
    <x v="4"/>
    <s v=""/>
    <x v="3"/>
    <s v="FINANCEIRO"/>
    <n v="0"/>
    <s v="LETÍCIA"/>
  </r>
  <r>
    <n v="197542"/>
    <s v="LAY"/>
    <s v="HONORARIOS"/>
    <x v="16"/>
    <s v="EXITUS ESCRITORIO DE CONTABILIDADE S/S - EPP"/>
    <n v="738"/>
    <x v="4"/>
    <x v="4"/>
    <s v=""/>
    <x v="3"/>
    <s v="FINANCEIRO"/>
    <n v="0"/>
    <s v="LETÍCIA"/>
  </r>
  <r>
    <n v="197543"/>
    <s v="LAY"/>
    <s v="HONORARIOS"/>
    <x v="17"/>
    <s v="EXITUS ESCRITORIO DE CONTABILIDADE S/S - EPP"/>
    <n v="738"/>
    <x v="4"/>
    <x v="4"/>
    <s v=""/>
    <x v="3"/>
    <s v="FINANCEIRO"/>
    <n v="0"/>
    <s v="LETÍCIA"/>
  </r>
  <r>
    <n v="197544"/>
    <s v="LAY"/>
    <s v="HONORARIOS"/>
    <x v="18"/>
    <s v="EXITUS ESCRITORIO DE CONTABILIDADE S/S - EPP"/>
    <n v="738"/>
    <x v="4"/>
    <x v="4"/>
    <s v=""/>
    <x v="3"/>
    <s v="FINANCEIRO"/>
    <n v="0"/>
    <s v="LETÍCIA"/>
  </r>
  <r>
    <n v="197545"/>
    <s v="LAY"/>
    <s v="HONORARIOS"/>
    <x v="19"/>
    <s v="EXITUS ESCRITORIO DE CONTABILIDADE S/S - EPP"/>
    <n v="738"/>
    <x v="4"/>
    <x v="4"/>
    <s v=""/>
    <x v="3"/>
    <s v="FINANCEIRO"/>
    <n v="0"/>
    <s v="LETÍCIA"/>
  </r>
  <r>
    <n v="197554"/>
    <s v="FK"/>
    <s v="NETO2401"/>
    <x v="89"/>
    <s v="CAMINHÃO - AYL-6E00"/>
    <n v="1798.5"/>
    <x v="41"/>
    <x v="41"/>
    <s v=""/>
    <x v="6"/>
    <s v="LOGÍSTICA"/>
    <n v="0"/>
    <s v="MYLENA"/>
  </r>
  <r>
    <n v="197555"/>
    <s v="FK"/>
    <s v="CORTINA"/>
    <x v="89"/>
    <s v="CAMINHÃO - AYL-6E00"/>
    <n v="15"/>
    <x v="31"/>
    <x v="31"/>
    <s v=""/>
    <x v="6"/>
    <s v="LOGÍSTICA"/>
    <n v="0"/>
    <s v="MYLENA"/>
  </r>
  <r>
    <n v="197556"/>
    <s v="FK"/>
    <s v="1968"/>
    <x v="92"/>
    <s v="COMERCIO DE COMBUSTIVEIS TBM LTDA."/>
    <n v="2662.81"/>
    <x v="37"/>
    <x v="37"/>
    <s v=""/>
    <x v="6"/>
    <s v="LOGÍSTICA"/>
    <n v="0"/>
    <s v="MYLENA"/>
  </r>
  <r>
    <n v="197558"/>
    <s v="FK"/>
    <s v="LEAN2301"/>
    <x v="89"/>
    <s v="CAMINHAO - AYL-5F59"/>
    <n v="1524"/>
    <x v="41"/>
    <x v="41"/>
    <s v=""/>
    <x v="6"/>
    <s v="LOGÍSTICA"/>
    <n v="0"/>
    <s v="MYLENA"/>
  </r>
  <r>
    <n v="197559"/>
    <s v="FK"/>
    <s v="73683"/>
    <x v="11"/>
    <s v="COMERCIO DE COMBUSTIVEIS TBM LTDA."/>
    <n v="2924.66"/>
    <x v="37"/>
    <x v="37"/>
    <s v=""/>
    <x v="6"/>
    <s v="LOGÍSTICA"/>
    <n v="0"/>
    <s v="MYLENA"/>
  </r>
  <r>
    <n v="197560"/>
    <s v="FK"/>
    <s v="VANDE2301"/>
    <x v="89"/>
    <s v="CAMINHAO BEM-6E19"/>
    <n v="720"/>
    <x v="14"/>
    <x v="14"/>
    <s v=""/>
    <x v="6"/>
    <s v="COMERCIAL"/>
    <n v="0"/>
    <s v="THAIS"/>
  </r>
  <r>
    <n v="197561"/>
    <s v="FK"/>
    <s v="1856"/>
    <x v="11"/>
    <s v="COMERCIO DE COMBUSTIVEIS TBM LTDA."/>
    <n v="2112.13"/>
    <x v="14"/>
    <x v="14"/>
    <s v=""/>
    <x v="6"/>
    <s v="COMERCIAL"/>
    <n v="0"/>
    <s v="THAIS"/>
  </r>
  <r>
    <n v="197562"/>
    <s v="FK"/>
    <s v="1857"/>
    <x v="11"/>
    <s v="COMERCIO DE COMBUSTIVEIS TBM LTDA."/>
    <n v="22.93"/>
    <x v="14"/>
    <x v="14"/>
    <s v=""/>
    <x v="6"/>
    <s v="COMERCIAL"/>
    <n v="0"/>
    <s v="THAIS"/>
  </r>
  <r>
    <n v="197563"/>
    <s v="FK"/>
    <s v="73515"/>
    <x v="54"/>
    <s v="COMERCIO DE COMBUSTIVEIS TBM LTDA."/>
    <n v="48.4"/>
    <x v="14"/>
    <x v="14"/>
    <s v=""/>
    <x v="6"/>
    <s v="COMERCIAL"/>
    <n v="0"/>
    <s v="THAIS"/>
  </r>
  <r>
    <n v="197564"/>
    <s v="FK"/>
    <s v="73679"/>
    <x v="11"/>
    <s v="COMERCIO DE COMBUSTIVEIS TBM LTDA."/>
    <n v="193.06"/>
    <x v="37"/>
    <x v="37"/>
    <s v=""/>
    <x v="6"/>
    <s v="LOGÍSTICA"/>
    <n v="0"/>
    <s v="MYLENA"/>
  </r>
  <r>
    <n v="197565"/>
    <s v="FK"/>
    <s v="1DIÁRIA"/>
    <x v="94"/>
    <s v="DEVANIR LEITE MORAES"/>
    <n v="130"/>
    <x v="7"/>
    <x v="7"/>
    <s v=""/>
    <x v="5"/>
    <s v="DH"/>
    <s v="CUSTO MÃO DE OBRA DIRETA"/>
    <s v="RAFAEL"/>
  </r>
  <r>
    <n v="197566"/>
    <s v="LAY"/>
    <s v="1582701"/>
    <x v="89"/>
    <s v="BANCO SICREDI"/>
    <n v="1.58"/>
    <x v="27"/>
    <x v="27"/>
    <s v=""/>
    <x v="8"/>
    <s v="FINANCEIRO"/>
    <n v="0"/>
    <s v="LETÍCIA"/>
  </r>
  <r>
    <n v="197567"/>
    <s v="LAY"/>
    <s v="4742701"/>
    <x v="89"/>
    <s v="BANCO SICREDI"/>
    <n v="4.74"/>
    <x v="27"/>
    <x v="27"/>
    <s v=""/>
    <x v="8"/>
    <s v="FINANCEIRO"/>
    <n v="0"/>
    <s v="LETÍCIA"/>
  </r>
  <r>
    <n v="197568"/>
    <s v="KAR"/>
    <s v="55362801"/>
    <x v="94"/>
    <s v="BANCO SICREDI"/>
    <n v="55.36"/>
    <x v="29"/>
    <x v="29"/>
    <s v=""/>
    <x v="8"/>
    <s v="FINANCEIRO"/>
    <n v="0"/>
    <s v="LETÍCIA"/>
  </r>
  <r>
    <n v="197569"/>
    <s v="KAR"/>
    <s v="768"/>
    <x v="94"/>
    <s v="BANCO SICREDI"/>
    <n v="7.68"/>
    <x v="27"/>
    <x v="27"/>
    <s v=""/>
    <x v="8"/>
    <s v="FINANCEIRO"/>
    <n v="0"/>
    <s v="LETÍCIA"/>
  </r>
  <r>
    <n v="197570"/>
    <s v="KAR"/>
    <s v="14222701"/>
    <x v="89"/>
    <s v="BANCO SICREDI"/>
    <n v="14.22"/>
    <x v="28"/>
    <x v="28"/>
    <s v=""/>
    <x v="8"/>
    <s v="FINANCEIRO"/>
    <n v="0"/>
    <s v="LETÍCIA"/>
  </r>
  <r>
    <n v="197571"/>
    <s v="LAY"/>
    <s v="8072801"/>
    <x v="94"/>
    <s v="BANCO SICREDI"/>
    <n v="8.07"/>
    <x v="29"/>
    <x v="29"/>
    <s v=""/>
    <x v="8"/>
    <s v="FINANCEIRO"/>
    <n v="0"/>
    <s v="LETÍCIA"/>
  </r>
  <r>
    <n v="197572"/>
    <s v="LAY"/>
    <s v="2702801"/>
    <x v="94"/>
    <s v="BANCO SICREDI"/>
    <n v="2.7"/>
    <x v="27"/>
    <x v="27"/>
    <s v=""/>
    <x v="8"/>
    <s v="FINANCEIRO"/>
    <n v="0"/>
    <s v="LETÍCIA"/>
  </r>
  <r>
    <n v="197573"/>
    <s v="KOY"/>
    <s v="1582701"/>
    <x v="89"/>
    <s v="BANCO SICREDI"/>
    <n v="1.58"/>
    <x v="27"/>
    <x v="27"/>
    <s v=""/>
    <x v="8"/>
    <s v="FINANCEIRO"/>
    <n v="0"/>
    <s v="LETÍCIA"/>
  </r>
  <r>
    <n v="197574"/>
    <s v="FK"/>
    <s v="2852701"/>
    <x v="89"/>
    <s v="COOPERATIVA DE CRED.DE LIVRE ADMISSÃO DO NOROESTE"/>
    <n v="2.85"/>
    <x v="27"/>
    <x v="27"/>
    <s v=""/>
    <x v="8"/>
    <s v="FINANCEIRO"/>
    <n v="0"/>
    <s v="LETÍCIA"/>
  </r>
  <r>
    <n v="197577"/>
    <s v="FK"/>
    <s v="ARTABIMAD"/>
    <x v="94"/>
    <s v="FRANCISCO EDUARDO DE ALUQUERQUE OLIVEIRA"/>
    <n v="1000"/>
    <x v="14"/>
    <x v="14"/>
    <s v=""/>
    <x v="6"/>
    <s v="COMERCIAL"/>
    <n v="0"/>
    <s v="THAIS"/>
  </r>
  <r>
    <n v="197578"/>
    <s v="FK"/>
    <s v="1626"/>
    <x v="94"/>
    <s v="COMERCIO DE COMBUSTIVEIS TBM LTDA."/>
    <n v="30.01"/>
    <x v="43"/>
    <x v="43"/>
    <s v=""/>
    <x v="4"/>
    <s v="LOGÍSTICA"/>
    <n v="0"/>
    <s v="LETÍCIA"/>
  </r>
  <r>
    <n v="197579"/>
    <s v="FK"/>
    <s v="ZACA2801"/>
    <x v="94"/>
    <s v="JULIO CEZAR ZACHARIAS"/>
    <n v="2550"/>
    <x v="46"/>
    <x v="46"/>
    <s v=""/>
    <x v="9"/>
    <s v="MANUTENÇÃO / TI"/>
    <n v="0"/>
    <s v="FÁBIO"/>
  </r>
  <r>
    <n v="197580"/>
    <s v="KOX"/>
    <s v="NILMAJANT"/>
    <x v="94"/>
    <s v="KOYO IND E COMERCIO DE MOVEIS  LTDA"/>
    <n v="820.49"/>
    <x v="14"/>
    <x v="14"/>
    <s v=""/>
    <x v="6"/>
    <s v="COMERCIAL"/>
    <n v="0"/>
    <s v="THAIS"/>
  </r>
  <r>
    <n v="197581"/>
    <s v="FK"/>
    <s v="DIARIA MO"/>
    <x v="94"/>
    <s v="JOSAFÁ DIAS DA SILVA"/>
    <n v="1300"/>
    <x v="14"/>
    <x v="14"/>
    <s v=""/>
    <x v="6"/>
    <s v="COMERCIAL"/>
    <n v="0"/>
    <s v="THAIS"/>
  </r>
  <r>
    <n v="197582"/>
    <s v="KAR"/>
    <s v="3284"/>
    <x v="94"/>
    <s v="BANCO SICREDI"/>
    <n v="32.840000000000003"/>
    <x v="29"/>
    <x v="29"/>
    <s v=""/>
    <x v="8"/>
    <s v="FINANCEIRO"/>
    <n v="0"/>
    <s v="LETÍCIA"/>
  </r>
  <r>
    <n v="197583"/>
    <s v="KAR"/>
    <s v="674"/>
    <x v="94"/>
    <s v="BANCO SICREDI"/>
    <n v="6.74"/>
    <x v="27"/>
    <x v="27"/>
    <s v=""/>
    <x v="8"/>
    <s v="FINANCEIRO"/>
    <n v="0"/>
    <s v="LETÍCIA"/>
  </r>
  <r>
    <n v="197584"/>
    <s v="KAR"/>
    <s v="2113"/>
    <x v="94"/>
    <s v="BANCO SICREDI"/>
    <n v="21.13"/>
    <x v="29"/>
    <x v="29"/>
    <s v=""/>
    <x v="8"/>
    <s v="FINANCEIRO"/>
    <n v="0"/>
    <s v="LETÍCIA"/>
  </r>
  <r>
    <n v="197585"/>
    <s v="KAR"/>
    <s v="203"/>
    <x v="94"/>
    <s v="BANCO SICREDI"/>
    <n v="2.0299999999999998"/>
    <x v="27"/>
    <x v="27"/>
    <s v=""/>
    <x v="8"/>
    <s v="FINANCEIRO"/>
    <n v="0"/>
    <s v="LETÍCIA"/>
  </r>
  <r>
    <n v="197586"/>
    <s v="FK"/>
    <s v="DIARIAMON"/>
    <x v="94"/>
    <s v="THIAGO HENRIQUE CAMPOS DE SOUZA"/>
    <n v="1550"/>
    <x v="14"/>
    <x v="14"/>
    <s v=""/>
    <x v="6"/>
    <s v="COMERCIAL"/>
    <n v="0"/>
    <s v="THAIS"/>
  </r>
  <r>
    <n v="197587"/>
    <s v="FK"/>
    <s v="DIARIAMON"/>
    <x v="94"/>
    <s v="FELIPE CAMPOS"/>
    <n v="1000"/>
    <x v="14"/>
    <x v="14"/>
    <s v=""/>
    <x v="6"/>
    <s v="COMERCIAL"/>
    <n v="0"/>
    <s v="THAIS"/>
  </r>
  <r>
    <n v="197588"/>
    <s v="FK"/>
    <s v="VAN220126"/>
    <x v="94"/>
    <s v="DICA LAVAGEM DE CARROS"/>
    <n v="170"/>
    <x v="31"/>
    <x v="31"/>
    <s v=""/>
    <x v="6"/>
    <s v="LOGÍSTICA"/>
    <n v="0"/>
    <s v="MYLENA"/>
  </r>
  <r>
    <n v="197589"/>
    <s v="FK"/>
    <s v="VAN201225"/>
    <x v="58"/>
    <s v="DICA LAVAGEM DE CARROS"/>
    <n v="170"/>
    <x v="31"/>
    <x v="31"/>
    <s v=""/>
    <x v="6"/>
    <s v="LOGÍSTICA"/>
    <n v="0"/>
    <s v="MYLENA"/>
  </r>
  <r>
    <n v="197590"/>
    <s v="FK"/>
    <s v="GOL201225"/>
    <x v="94"/>
    <s v="DICA LAVAGEM DE CARROS"/>
    <n v="80"/>
    <x v="31"/>
    <x v="31"/>
    <s v=""/>
    <x v="6"/>
    <s v="LOGÍSTICA"/>
    <n v="0"/>
    <s v="MYLENA"/>
  </r>
  <r>
    <n v="197591"/>
    <s v="FK"/>
    <s v="ELET2801"/>
    <x v="94"/>
    <s v="JOAO LUIZ DE OLIVEIRA &amp; CIA LTDA - ME"/>
    <n v="103.8"/>
    <x v="25"/>
    <x v="25"/>
    <s v="MATERIAIS ELETRICOS"/>
    <x v="2"/>
    <s v="MANUTENÇÃO / TI"/>
    <n v="0"/>
    <s v="FÁBIO"/>
  </r>
  <r>
    <n v="197592"/>
    <s v="KAR"/>
    <s v="6233"/>
    <x v="94"/>
    <s v="BANCO SICREDI"/>
    <n v="62.33"/>
    <x v="27"/>
    <x v="27"/>
    <s v=""/>
    <x v="8"/>
    <s v="FINANCEIRO"/>
    <n v="0"/>
    <s v="LETÍCIA"/>
  </r>
  <r>
    <n v="197593"/>
    <s v="KAR"/>
    <s v="6984"/>
    <x v="94"/>
    <s v="BANCO SICREDI"/>
    <n v="69.84"/>
    <x v="27"/>
    <x v="27"/>
    <s v=""/>
    <x v="8"/>
    <s v="FINANCEIRO"/>
    <n v="0"/>
    <s v="LETÍCIA"/>
  </r>
  <r>
    <n v="197594"/>
    <s v="KAR"/>
    <s v="42957"/>
    <x v="94"/>
    <s v="BANCO SICREDI"/>
    <n v="429.57"/>
    <x v="29"/>
    <x v="29"/>
    <s v=""/>
    <x v="8"/>
    <s v="FINANCEIRO"/>
    <n v="0"/>
    <s v="LETÍCIA"/>
  </r>
  <r>
    <n v="197595"/>
    <s v="KAR"/>
    <s v="005545"/>
    <x v="94"/>
    <s v="ALAY INDUSTRIA E COMERCIO DE MOVEIS LTDA"/>
    <n v="50000"/>
    <x v="75"/>
    <x v="75"/>
    <s v=""/>
    <x v="10"/>
    <n v="0"/>
    <n v="0"/>
    <s v="NINGUÉM"/>
  </r>
  <r>
    <n v="197596"/>
    <s v="KAR"/>
    <s v="3742"/>
    <x v="95"/>
    <s v="TELHA STEEL - INDUSTRIA E COMERCIO DE PRODUTOS SID"/>
    <n v="5157.16"/>
    <x v="25"/>
    <x v="25"/>
    <s v=""/>
    <x v="2"/>
    <s v="MANUTENÇÃO / TI"/>
    <n v="0"/>
    <s v="FÁBIO"/>
  </r>
  <r>
    <n v="197597"/>
    <s v="KAR"/>
    <s v="10272801"/>
    <x v="94"/>
    <s v="BANCO SICREDI"/>
    <n v="10.27"/>
    <x v="27"/>
    <x v="27"/>
    <s v=""/>
    <x v="8"/>
    <s v="FINANCEIRO"/>
    <n v="0"/>
    <s v="LETÍCIA"/>
  </r>
  <r>
    <n v="197598"/>
    <s v="KAR"/>
    <s v="52801"/>
    <x v="94"/>
    <s v="BANCO SICREDI"/>
    <n v="5"/>
    <x v="27"/>
    <x v="27"/>
    <s v=""/>
    <x v="8"/>
    <s v="FINANCEIRO"/>
    <n v="0"/>
    <s v="LETÍCIA"/>
  </r>
  <r>
    <n v="197599"/>
    <s v="KAR"/>
    <s v="0142901"/>
    <x v="95"/>
    <s v="BANCO SICREDI"/>
    <n v="0.14000000000000001"/>
    <x v="27"/>
    <x v="27"/>
    <s v=""/>
    <x v="8"/>
    <s v="FINANCEIRO"/>
    <n v="0"/>
    <s v="LETÍCIA"/>
  </r>
  <r>
    <n v="197600"/>
    <s v="LAY"/>
    <s v="237280126"/>
    <x v="94"/>
    <s v="BANCO SICREDI"/>
    <n v="2.37"/>
    <x v="27"/>
    <x v="27"/>
    <s v=""/>
    <x v="8"/>
    <s v="FINANCEIRO"/>
    <n v="0"/>
    <s v="LETÍCIA"/>
  </r>
  <r>
    <n v="197601"/>
    <s v="KAR"/>
    <s v="33825"/>
    <x v="54"/>
    <s v="TRANS APUCARANA TRANSPORTES RODOVIARIOS LTDA"/>
    <n v="93.66"/>
    <x v="48"/>
    <x v="48"/>
    <s v="SERVIÇOS FRETE"/>
    <x v="0"/>
    <s v="COMPRAS"/>
    <n v="0"/>
    <s v="MYLENA"/>
  </r>
  <r>
    <n v="197602"/>
    <s v="FK"/>
    <s v="BATA2801A"/>
    <x v="95"/>
    <s v="MARIA ANDREIA BUENO DE ALMEIDA BATAER"/>
    <n v="618.75"/>
    <x v="34"/>
    <x v="34"/>
    <s v=""/>
    <x v="6"/>
    <s v="COMERCIAL"/>
    <n v="0"/>
    <s v="LETÍCIA"/>
  </r>
  <r>
    <n v="197603"/>
    <s v="FK"/>
    <s v="BATA2901A"/>
    <x v="95"/>
    <s v="MARIA ANDREIA BUENO DE ALMEIDA BATAER"/>
    <n v="768.79"/>
    <x v="34"/>
    <x v="34"/>
    <s v=""/>
    <x v="6"/>
    <s v="COMERCIAL"/>
    <n v="0"/>
    <s v="LETÍCIA"/>
  </r>
  <r>
    <n v="197604"/>
    <s v="KAR"/>
    <s v="43951"/>
    <x v="75"/>
    <s v="TRANS APUCARANA TRANSPORTES RODOVIARIOS LTDA"/>
    <n v="602.05999999999995"/>
    <x v="48"/>
    <x v="48"/>
    <s v="SERVIÇOS FRETE"/>
    <x v="0"/>
    <s v="COMPRAS"/>
    <n v="0"/>
    <s v="MYLENA"/>
  </r>
  <r>
    <n v="197605"/>
    <s v="KAR"/>
    <s v="33422"/>
    <x v="76"/>
    <s v="TRANS APUCARANA TRANSPORTES RODOVIARIOS LTDA"/>
    <n v="206.48"/>
    <x v="48"/>
    <x v="48"/>
    <s v="SERVIÇOS FRETE"/>
    <x v="0"/>
    <s v="COMPRAS"/>
    <n v="0"/>
    <s v="MYLENA"/>
  </r>
  <r>
    <n v="197606"/>
    <s v="KAR"/>
    <s v="33474"/>
    <x v="76"/>
    <s v="TRANS APUCARANA TRANSPORTES RODOVIARIOS LTDA"/>
    <n v="97.61"/>
    <x v="48"/>
    <x v="48"/>
    <s v="SERVIÇOS FRETE"/>
    <x v="0"/>
    <s v="COMPRAS"/>
    <n v="0"/>
    <s v="MYLENA"/>
  </r>
  <r>
    <n v="197607"/>
    <s v="KAR"/>
    <s v="42298"/>
    <x v="76"/>
    <s v="JAW TRANSPORTES"/>
    <n v="107.92"/>
    <x v="48"/>
    <x v="48"/>
    <s v=""/>
    <x v="0"/>
    <s v="COMPRAS"/>
    <n v="0"/>
    <s v="MYLENA"/>
  </r>
  <r>
    <n v="197608"/>
    <s v="KAR"/>
    <s v="34467"/>
    <x v="90"/>
    <s v="TRANS APUCARANA TRANSPORTES RODOVIARIOS LTDA"/>
    <n v="94.6"/>
    <x v="48"/>
    <x v="48"/>
    <s v="SERVIÇOS FRETE"/>
    <x v="0"/>
    <s v="COMPRAS"/>
    <n v="0"/>
    <s v="MYLENA"/>
  </r>
  <r>
    <n v="197609"/>
    <s v="KAR"/>
    <s v="1420030"/>
    <x v="90"/>
    <s v="EXPRESSO SAO MIGUEL LTDA"/>
    <n v="129.52000000000001"/>
    <x v="48"/>
    <x v="48"/>
    <s v="SERVIÇOS FRETE"/>
    <x v="0"/>
    <s v="COMPRAS"/>
    <n v="0"/>
    <s v="MYLENA"/>
  </r>
  <r>
    <n v="197610"/>
    <s v="KAR"/>
    <s v="3593855"/>
    <x v="88"/>
    <s v="EXPRESSO SAO MIGUEL LTDA"/>
    <n v="337.23"/>
    <x v="48"/>
    <x v="48"/>
    <s v="SERVIÇOS FRETE"/>
    <x v="0"/>
    <s v="COMPRAS"/>
    <n v="0"/>
    <s v="MYLENA"/>
  </r>
  <r>
    <n v="197611"/>
    <s v="KAR"/>
    <s v="189407"/>
    <x v="88"/>
    <s v="EXPRESSO SAO MIGUEL LTDA"/>
    <n v="168.75"/>
    <x v="48"/>
    <x v="48"/>
    <s v="SERVIÇOS FRETE"/>
    <x v="0"/>
    <s v="COMPRAS"/>
    <n v="0"/>
    <s v="MYLENA"/>
  </r>
  <r>
    <n v="197612"/>
    <s v="KAR"/>
    <s v="ACG/1"/>
    <x v="94"/>
    <s v="SANTIAGO COSTA ADVOGADOS ASSOCIADOS"/>
    <n v="6035.41"/>
    <x v="76"/>
    <x v="76"/>
    <s v=""/>
    <x v="3"/>
    <s v="FINANCEIRO"/>
    <n v="0"/>
    <s v="LETÍCIA"/>
  </r>
  <r>
    <n v="197613"/>
    <s v="KAR"/>
    <s v="ACG/2"/>
    <x v="96"/>
    <s v="SANTIAGO COSTA ADVOGADOS ASSOCIADOS"/>
    <n v="6035.41"/>
    <x v="76"/>
    <x v="76"/>
    <s v=""/>
    <x v="3"/>
    <s v="FINANCEIRO"/>
    <n v="0"/>
    <s v="LETÍCIA"/>
  </r>
  <r>
    <n v="197625"/>
    <s v="FK"/>
    <s v="UBERJANTA"/>
    <x v="95"/>
    <s v="KARAM'S IND.E COM.DE ESTOFADOS LTDA"/>
    <n v="63.97"/>
    <x v="14"/>
    <x v="14"/>
    <s v=""/>
    <x v="6"/>
    <s v="COMERCIAL"/>
    <n v="0"/>
    <s v="THAIS"/>
  </r>
  <r>
    <n v="197626"/>
    <s v="KOX"/>
    <s v="VIVANO"/>
    <x v="95"/>
    <s v="KOYO IND E COMERCIO DE MOVEIS  LTDA"/>
    <n v="1617"/>
    <x v="14"/>
    <x v="14"/>
    <s v=""/>
    <x v="6"/>
    <s v="COMERCIAL"/>
    <n v="0"/>
    <s v="THAIS"/>
  </r>
  <r>
    <n v="197627"/>
    <s v="KAR"/>
    <s v="430"/>
    <x v="95"/>
    <s v="VIPEX TRANSPORTES LTDA - 017"/>
    <n v="223.07"/>
    <x v="65"/>
    <x v="65"/>
    <s v=""/>
    <x v="6"/>
    <s v="LOGÍSTICA"/>
    <n v="0"/>
    <s v="MYLENA"/>
  </r>
  <r>
    <n v="197628"/>
    <s v="KAR"/>
    <s v="442"/>
    <x v="95"/>
    <s v="VIPEX TRANSPORTES LTDA - 017"/>
    <n v="136.35"/>
    <x v="41"/>
    <x v="41"/>
    <s v=""/>
    <x v="6"/>
    <s v="LOGÍSTICA"/>
    <n v="0"/>
    <s v="MYLENA"/>
  </r>
  <r>
    <n v="197629"/>
    <s v="FK"/>
    <s v="DIARIAABI"/>
    <x v="95"/>
    <s v="ARTHUR CAMPOS DE SOUZA"/>
    <n v="1300"/>
    <x v="14"/>
    <x v="14"/>
    <s v=""/>
    <x v="6"/>
    <s v="COMERCIAL"/>
    <n v="0"/>
    <s v="THAIS"/>
  </r>
  <r>
    <n v="197630"/>
    <s v="FK"/>
    <s v="533260"/>
    <x v="95"/>
    <s v="DUARTE &amp; BALIONI LTDA."/>
    <n v="46"/>
    <x v="52"/>
    <x v="52"/>
    <s v=""/>
    <x v="4"/>
    <s v="ADMINISTRATIVO"/>
    <n v="0"/>
    <s v="LETÍCIA"/>
  </r>
  <r>
    <n v="197631"/>
    <s v="FK"/>
    <s v="NIS2901D"/>
    <x v="95"/>
    <s v="CASA DE FERRAGEM NISHIMOTO"/>
    <n v="120"/>
    <x v="25"/>
    <x v="25"/>
    <s v="FERRAGENS GERAIS"/>
    <x v="2"/>
    <s v="MANUTENÇÃO / TI"/>
    <n v="0"/>
    <s v="FÁBIO"/>
  </r>
  <r>
    <n v="197633"/>
    <s v="FK"/>
    <s v="FM2901"/>
    <x v="95"/>
    <s v="RODRIGUES &amp; LIMA FERRAGENS DE FERRAMENTAS LTDA - M"/>
    <n v="47"/>
    <x v="38"/>
    <x v="38"/>
    <s v="FERRAGENS GERAIS"/>
    <x v="5"/>
    <s v="PRODUÇÃO"/>
    <n v="0"/>
    <s v="RAFAEL"/>
  </r>
  <r>
    <n v="197634"/>
    <s v="FK"/>
    <s v="BATA2901B"/>
    <x v="95"/>
    <s v="MARIA ANDREIA BUENO DE ALMEIDA BATAER"/>
    <n v="758.56"/>
    <x v="34"/>
    <x v="34"/>
    <s v=""/>
    <x v="6"/>
    <s v="COMERCIAL"/>
    <n v="0"/>
    <s v="LETÍCIA"/>
  </r>
  <r>
    <n v="197636"/>
    <s v="KAR"/>
    <s v="41121"/>
    <x v="61"/>
    <s v="ACCION LTDA"/>
    <n v="3572.23"/>
    <x v="12"/>
    <x v="12"/>
    <s v="ACCION"/>
    <x v="3"/>
    <s v="MANUTENÇÃO / TI"/>
    <n v="0"/>
    <s v="LETÍCIA"/>
  </r>
  <r>
    <n v="197637"/>
    <s v="FK"/>
    <s v="CAR2901"/>
    <x v="95"/>
    <s v="CARLOS AUGUSTO DA SILVA JUNIOR"/>
    <n v="300"/>
    <x v="25"/>
    <x v="25"/>
    <s v=""/>
    <x v="2"/>
    <s v="MANUTENÇÃO / TI"/>
    <n v="0"/>
    <s v="FÁBIO"/>
  </r>
  <r>
    <n v="197638"/>
    <s v="KAR"/>
    <s v="5122901"/>
    <x v="95"/>
    <s v="BANCO SICREDI"/>
    <n v="5.12"/>
    <x v="29"/>
    <x v="29"/>
    <s v=""/>
    <x v="8"/>
    <s v="FINANCEIRO"/>
    <n v="0"/>
    <s v="LETÍCIA"/>
  </r>
  <r>
    <n v="197639"/>
    <s v="KAR"/>
    <s v="0492901"/>
    <x v="95"/>
    <s v="BANCO SICREDI"/>
    <n v="0.49"/>
    <x v="27"/>
    <x v="27"/>
    <s v=""/>
    <x v="8"/>
    <s v="FINANCEIRO"/>
    <n v="0"/>
    <s v="LETÍCIA"/>
  </r>
  <r>
    <n v="197641"/>
    <s v="KAR"/>
    <s v="AYL5F59"/>
    <x v="0"/>
    <s v="CENTRO DE GESTAO DE MEIOS DE PAGTO S/A"/>
    <n v="1639.76"/>
    <x v="42"/>
    <x v="42"/>
    <s v=""/>
    <x v="6"/>
    <s v="LOGÍSTICA"/>
    <n v="0"/>
    <s v="MYLENA"/>
  </r>
  <r>
    <n v="197642"/>
    <s v="KAR"/>
    <s v="9482901"/>
    <x v="95"/>
    <s v="BANCO SICREDI"/>
    <n v="9.48"/>
    <x v="27"/>
    <x v="27"/>
    <s v=""/>
    <x v="8"/>
    <s v="FINANCEIRO"/>
    <n v="0"/>
    <s v="LETÍCIA"/>
  </r>
  <r>
    <n v="197643"/>
    <s v="KOY"/>
    <s v="0792901"/>
    <x v="95"/>
    <s v="BANCO SICREDI"/>
    <n v="0.79"/>
    <x v="27"/>
    <x v="27"/>
    <s v=""/>
    <x v="8"/>
    <s v="FINANCEIRO"/>
    <n v="0"/>
    <s v="LETÍCIA"/>
  </r>
  <r>
    <n v="197644"/>
    <s v="LAY"/>
    <s v="3162901"/>
    <x v="95"/>
    <s v="BANCO SICREDI"/>
    <n v="3.16"/>
    <x v="27"/>
    <x v="27"/>
    <s v=""/>
    <x v="8"/>
    <s v="FINANCEIRO"/>
    <n v="0"/>
    <s v="LETÍCIA"/>
  </r>
  <r>
    <n v="197645"/>
    <s v="LAY"/>
    <s v="0273001"/>
    <x v="0"/>
    <s v="BANCO SICREDI"/>
    <n v="0.27"/>
    <x v="27"/>
    <x v="27"/>
    <s v=""/>
    <x v="8"/>
    <s v="FINANCEIRO"/>
    <n v="0"/>
    <s v="LETÍCIA"/>
  </r>
  <r>
    <n v="197646"/>
    <s v="KAR"/>
    <s v="AYL6E00"/>
    <x v="0"/>
    <s v="CENTRO DE GESTAO DE MEIOS DE PAGTO S/A"/>
    <n v="1230.3399999999999"/>
    <x v="42"/>
    <x v="42"/>
    <s v=""/>
    <x v="6"/>
    <s v="LOGÍSTICA"/>
    <n v="0"/>
    <s v="MYLENA"/>
  </r>
  <r>
    <n v="197647"/>
    <s v="KAR"/>
    <s v="BBH 6630"/>
    <x v="0"/>
    <s v="CENTRO DE GESTAO DE MEIOS DE PAGTO S/A"/>
    <n v="43.63"/>
    <x v="42"/>
    <x v="42"/>
    <s v=""/>
    <x v="6"/>
    <s v="LOGÍSTICA"/>
    <n v="0"/>
    <s v="MYLENA"/>
  </r>
  <r>
    <n v="197648"/>
    <s v="KAR"/>
    <s v="BDS 7E01"/>
    <x v="0"/>
    <s v="CENTRO DE GESTAO DE MEIOS DE PAGTO S/A"/>
    <n v="166.57"/>
    <x v="42"/>
    <x v="42"/>
    <s v=""/>
    <x v="6"/>
    <s v="LOGÍSTICA"/>
    <n v="0"/>
    <s v="MYLENA"/>
  </r>
  <r>
    <n v="197649"/>
    <s v="KAR"/>
    <s v="BEH6E00"/>
    <x v="0"/>
    <s v="CENTRO DE GESTAO DE MEIOS DE PAGTO S/A"/>
    <n v="423.64"/>
    <x v="42"/>
    <x v="42"/>
    <s v=""/>
    <x v="6"/>
    <s v="LOGÍSTICA"/>
    <n v="0"/>
    <s v="MYLENA"/>
  </r>
  <r>
    <n v="197650"/>
    <s v="KAR"/>
    <s v="BEM6E19"/>
    <x v="0"/>
    <s v="CENTRO DE GESTAO DE MEIOS DE PAGTO S/A"/>
    <n v="641.24"/>
    <x v="42"/>
    <x v="42"/>
    <s v=""/>
    <x v="6"/>
    <s v="LOGÍSTICA"/>
    <n v="0"/>
    <s v="MYLENA"/>
  </r>
  <r>
    <n v="197651"/>
    <s v="KAR"/>
    <s v="BEM8409"/>
    <x v="0"/>
    <s v="CENTRO DE GESTAO DE MEIOS DE PAGTO S/A"/>
    <n v="244.56"/>
    <x v="42"/>
    <x v="42"/>
    <s v=""/>
    <x v="6"/>
    <s v="LOGÍSTICA"/>
    <n v="0"/>
    <s v="MYLENA"/>
  </r>
  <r>
    <n v="197652"/>
    <s v="KAR"/>
    <s v="BEM9J26"/>
    <x v="0"/>
    <s v="CENTRO DE GESTAO DE MEIOS DE PAGTO S/A"/>
    <n v="43.63"/>
    <x v="42"/>
    <x v="42"/>
    <s v=""/>
    <x v="6"/>
    <s v="LOGÍSTICA"/>
    <n v="0"/>
    <s v="MYLENA"/>
  </r>
  <r>
    <n v="197653"/>
    <s v="KAR"/>
    <s v="3"/>
    <x v="0"/>
    <s v="CRIATIVE MOVEIS PLANEJADOS LTDA"/>
    <n v="8500"/>
    <x v="14"/>
    <x v="14"/>
    <s v=""/>
    <x v="6"/>
    <s v="COMERCIAL"/>
    <n v="0"/>
    <s v="THAIS"/>
  </r>
  <r>
    <n v="197654"/>
    <s v="KAR"/>
    <s v="16598"/>
    <x v="0"/>
    <s v="BANCO SICREDI"/>
    <n v="165.98"/>
    <x v="27"/>
    <x v="27"/>
    <s v=""/>
    <x v="8"/>
    <s v="FINANCEIRO"/>
    <n v="0"/>
    <s v="LETÍCIA"/>
  </r>
  <r>
    <n v="197655"/>
    <s v="KAR"/>
    <s v="16563"/>
    <x v="0"/>
    <s v="BANCO SICREDI"/>
    <n v="165.63"/>
    <x v="27"/>
    <x v="27"/>
    <s v=""/>
    <x v="8"/>
    <s v="FINANCEIRO"/>
    <n v="0"/>
    <s v="LETÍCIA"/>
  </r>
  <r>
    <n v="197657"/>
    <s v="FK"/>
    <s v="NIS3001"/>
    <x v="0"/>
    <s v="CASA DE FERRAGEM NISHIMOTO"/>
    <n v="352"/>
    <x v="25"/>
    <x v="25"/>
    <s v="FERRAGENS GERAIS"/>
    <x v="2"/>
    <s v="MANUTENÇÃO / TI"/>
    <n v="0"/>
    <s v="FÁBIO"/>
  </r>
  <r>
    <n v="197658"/>
    <s v="FK"/>
    <s v="NIS3001A"/>
    <x v="0"/>
    <s v="CASA DE FERRAGEM NISHIMOTO"/>
    <n v="45"/>
    <x v="25"/>
    <x v="25"/>
    <s v="FERRAGENS GERAIS"/>
    <x v="2"/>
    <s v="MANUTENÇÃO / TI"/>
    <n v="0"/>
    <s v="FÁBIO"/>
  </r>
  <r>
    <n v="197659"/>
    <s v="KAR"/>
    <s v="11732"/>
    <x v="0"/>
    <s v="RIZON IND. DE MAQUINAS E EQUIPAMENTOS"/>
    <n v="210"/>
    <x v="38"/>
    <x v="38"/>
    <s v="CNC MADEIRAS"/>
    <x v="5"/>
    <s v="PRODUÇÃO"/>
    <n v="0"/>
    <s v="RAFAEL"/>
  </r>
  <r>
    <n v="197661"/>
    <s v="KOX"/>
    <s v="JANTA RAF"/>
    <x v="0"/>
    <s v="KOYO IND E COMERCIO DE MOVEIS  LTDA"/>
    <n v="99.52"/>
    <x v="14"/>
    <x v="14"/>
    <s v=""/>
    <x v="6"/>
    <s v="COMERCIAL"/>
    <n v="0"/>
    <s v="THAIS"/>
  </r>
  <r>
    <n v="197662"/>
    <s v="KAR"/>
    <s v="101325"/>
    <x v="0"/>
    <s v="BANCO SICREDI"/>
    <n v="1013.25"/>
    <x v="29"/>
    <x v="29"/>
    <s v=""/>
    <x v="8"/>
    <s v="FINANCEIRO"/>
    <n v="0"/>
    <s v="LETÍCIA"/>
  </r>
  <r>
    <n v="197663"/>
    <s v="FK"/>
    <s v="ELET3001"/>
    <x v="0"/>
    <s v="JOAO LUIZ DE OLIVEIRA &amp; CIA LTDA - ME"/>
    <n v="49"/>
    <x v="25"/>
    <x v="25"/>
    <s v="MATERIAIS ELETRICOS"/>
    <x v="2"/>
    <s v="MANUTENÇÃO / TI"/>
    <n v="0"/>
    <s v="FÁBIO"/>
  </r>
  <r>
    <n v="197664"/>
    <s v="FK"/>
    <s v="ELET2701"/>
    <x v="0"/>
    <s v="JOAO LUIZ DE OLIVEIRA &amp; CIA LTDA - ME"/>
    <n v="399"/>
    <x v="25"/>
    <x v="25"/>
    <s v="MATERIAIS ELETRICOS"/>
    <x v="2"/>
    <s v="MANUTENÇÃO / TI"/>
    <n v="0"/>
    <s v="FÁBIO"/>
  </r>
  <r>
    <n v="197665"/>
    <s v="KAR"/>
    <s v="920488"/>
    <x v="11"/>
    <s v="EXPRESSO SAO MIGUEL LTDA"/>
    <n v="106.25"/>
    <x v="48"/>
    <x v="48"/>
    <s v="SERVIÇOS FRETE"/>
    <x v="0"/>
    <s v="COMPRAS"/>
    <n v="0"/>
    <s v="MYLENA"/>
  </r>
  <r>
    <n v="197666"/>
    <s v="KAR"/>
    <s v="190277"/>
    <x v="11"/>
    <s v="EXPRESSO SAO MIGUEL LTDA"/>
    <n v="169.34"/>
    <x v="48"/>
    <x v="48"/>
    <s v="SERVIÇOS FRETE"/>
    <x v="0"/>
    <s v="COMPRAS"/>
    <n v="0"/>
    <s v="MYLENA"/>
  </r>
  <r>
    <n v="197667"/>
    <s v="KAR"/>
    <s v="149868"/>
    <x v="11"/>
    <s v="EXPRESSO SAO MIGUEL NAVEGANTES"/>
    <n v="120.15"/>
    <x v="48"/>
    <x v="48"/>
    <s v=""/>
    <x v="0"/>
    <s v="COMPRAS"/>
    <n v="0"/>
    <s v="MYLENA"/>
  </r>
  <r>
    <n v="197668"/>
    <s v="KAR"/>
    <s v="58309"/>
    <x v="97"/>
    <s v="POSTO FAROL 48 DA CASTELO LTDA"/>
    <n v="425.79"/>
    <x v="14"/>
    <x v="14"/>
    <s v=""/>
    <x v="6"/>
    <s v="COMERCIAL"/>
    <n v="0"/>
    <s v="THAIS"/>
  </r>
  <r>
    <n v="197673"/>
    <s v="KAR"/>
    <s v="1483001"/>
    <x v="0"/>
    <s v="BANCO SICREDI"/>
    <n v="1.48"/>
    <x v="29"/>
    <x v="29"/>
    <s v=""/>
    <x v="8"/>
    <s v="FINANCEIRO"/>
    <n v="0"/>
    <s v="LETÍCIA"/>
  </r>
  <r>
    <n v="197674"/>
    <s v="FK"/>
    <s v="ADM91396"/>
    <x v="97"/>
    <s v="DONATO, MUCIO &amp; SOUZA LTDA"/>
    <n v="284.5"/>
    <x v="52"/>
    <x v="52"/>
    <s v=""/>
    <x v="4"/>
    <s v="ADMINISTRATIVO"/>
    <n v="0"/>
    <s v="LETÍCIA"/>
  </r>
  <r>
    <n v="197675"/>
    <s v="KAR"/>
    <s v="0283001"/>
    <x v="0"/>
    <s v="BANCO SICREDI"/>
    <n v="0.28000000000000003"/>
    <x v="27"/>
    <x v="27"/>
    <s v=""/>
    <x v="8"/>
    <s v="FINANCEIRO"/>
    <n v="0"/>
    <s v="LETÍCIA"/>
  </r>
  <r>
    <n v="197677"/>
    <s v="FK"/>
    <s v="EXAME0126"/>
    <x v="97"/>
    <s v="REGINALDO DUARTE"/>
    <n v="180"/>
    <x v="73"/>
    <x v="73"/>
    <s v=""/>
    <x v="5"/>
    <s v="DH"/>
    <s v="CUSTO MÃO DE OBRA DIRETA"/>
    <s v="RAFAEL"/>
  </r>
  <r>
    <n v="197680"/>
    <s v="FK"/>
    <s v="PRO91396"/>
    <x v="97"/>
    <s v="DONATO, MUCIO &amp; SOUZA LTDA"/>
    <n v="413.37"/>
    <x v="38"/>
    <x v="38"/>
    <s v=""/>
    <x v="5"/>
    <s v="PRODUÇÃO"/>
    <n v="0"/>
    <s v="RAFAEL"/>
  </r>
  <r>
    <n v="197681"/>
    <s v="KAR"/>
    <s v="175587"/>
    <x v="0"/>
    <s v="BANCO SICREDI"/>
    <n v="1755.87"/>
    <x v="17"/>
    <x v="17"/>
    <s v=""/>
    <x v="8"/>
    <s v="FINANCEIRO"/>
    <n v="0"/>
    <s v="LETÍCIA"/>
  </r>
  <r>
    <n v="197682"/>
    <s v="KOY"/>
    <s v="5003001"/>
    <x v="0"/>
    <s v="BANCO SICREDI"/>
    <n v="5"/>
    <x v="27"/>
    <x v="27"/>
    <s v=""/>
    <x v="8"/>
    <s v="FINANCEIRO"/>
    <n v="0"/>
    <s v="LETÍCIA"/>
  </r>
  <r>
    <n v="197683"/>
    <s v="KAR"/>
    <s v="2373001"/>
    <x v="0"/>
    <s v="BANCO SICREDI"/>
    <n v="2.37"/>
    <x v="28"/>
    <x v="28"/>
    <s v=""/>
    <x v="8"/>
    <s v="FINANCEIRO"/>
    <n v="0"/>
    <s v="LETÍCIA"/>
  </r>
  <r>
    <n v="197684"/>
    <s v="LAY"/>
    <s v="0793001"/>
    <x v="0"/>
    <s v="BANCO SICREDI"/>
    <n v="0.79"/>
    <x v="27"/>
    <x v="27"/>
    <s v=""/>
    <x v="8"/>
    <s v="FINANCEIRO"/>
    <n v="0"/>
    <s v="LETÍCIA"/>
  </r>
  <r>
    <n v="197685"/>
    <s v="FK"/>
    <s v="BOM140132"/>
    <x v="97"/>
    <s v="LEJON COMERCIO ATACADISTA DE PRODUTOS ALIM EIRELI"/>
    <n v="139.9"/>
    <x v="16"/>
    <x v="16"/>
    <s v=""/>
    <x v="7"/>
    <s v="DH"/>
    <n v="0"/>
    <s v="MYLENA"/>
  </r>
  <r>
    <n v="197687"/>
    <s v="FK"/>
    <s v="0953001"/>
    <x v="0"/>
    <s v="COOPERATIVA DE CRED.DE LIVRE ADMISSÃO DO NOROESTE"/>
    <n v="0.95"/>
    <x v="27"/>
    <x v="27"/>
    <s v=""/>
    <x v="8"/>
    <s v="FINANCEIRO"/>
    <n v="0"/>
    <s v="LETÍCIA"/>
  </r>
  <r>
    <n v="197688"/>
    <s v="FK"/>
    <s v="BEN020226"/>
    <x v="97"/>
    <s v="DIAS &amp; LIU LTDA. - ME"/>
    <n v="42.61"/>
    <x v="64"/>
    <x v="64"/>
    <s v=""/>
    <x v="4"/>
    <s v="FINANCEIRO"/>
    <n v="0"/>
    <s v="MYLENA"/>
  </r>
  <r>
    <n v="197689"/>
    <s v="FK"/>
    <s v="BEN020226"/>
    <x v="97"/>
    <s v="PANIFICADORA e CONFEITARIA J.L"/>
    <n v="15"/>
    <x v="64"/>
    <x v="64"/>
    <s v=""/>
    <x v="4"/>
    <s v="FINANCEIRO"/>
    <n v="0"/>
    <s v="MYLENA"/>
  </r>
  <r>
    <n v="197690"/>
    <s v="FK"/>
    <s v="ADM140132"/>
    <x v="97"/>
    <s v="LEJON COMERCIO ATACADISTA DE PRODUTOS ALIM EIRELI"/>
    <n v="88.77"/>
    <x v="52"/>
    <x v="52"/>
    <s v=""/>
    <x v="4"/>
    <s v="ADMINISTRATIVO"/>
    <n v="0"/>
    <s v="LETÍCIA"/>
  </r>
  <r>
    <n v="197692"/>
    <s v="KOX"/>
    <s v="JANTARAFA"/>
    <x v="97"/>
    <s v="KOYO IND E COMERCIO DE MOVEIS  LTDA"/>
    <n v="103.4"/>
    <x v="14"/>
    <x v="14"/>
    <s v=""/>
    <x v="6"/>
    <s v="COMERCIAL"/>
    <n v="0"/>
    <s v="THAIS"/>
  </r>
  <r>
    <n v="197693"/>
    <s v="FK"/>
    <s v="SODA3001"/>
    <x v="97"/>
    <s v="CAMINHÃO / BEH-6E00"/>
    <n v="39"/>
    <x v="41"/>
    <x v="41"/>
    <s v=""/>
    <x v="6"/>
    <s v="LOGÍSTICA"/>
    <n v="0"/>
    <s v="MYLENA"/>
  </r>
  <r>
    <n v="197694"/>
    <s v="FK"/>
    <s v="2659"/>
    <x v="97"/>
    <s v="COMERCIO DE COMBUSTIVEIS TBM LTDA."/>
    <n v="19.73"/>
    <x v="37"/>
    <x v="37"/>
    <s v=""/>
    <x v="6"/>
    <s v="LOGÍSTICA"/>
    <n v="0"/>
    <s v="MYLENA"/>
  </r>
  <r>
    <n v="197695"/>
    <s v="FK"/>
    <s v="PET0202"/>
    <x v="97"/>
    <s v="ACT GUIRELLI"/>
    <n v="264"/>
    <x v="32"/>
    <x v="32"/>
    <s v=""/>
    <x v="3"/>
    <s v="FINANCEIRO"/>
    <n v="0"/>
    <s v="LETÍCIA"/>
  </r>
  <r>
    <n v="197696"/>
    <s v="FK"/>
    <s v="2658"/>
    <x v="97"/>
    <s v="COMERCIO DE COMBUSTIVEIS TBM LTDA."/>
    <n v="779.47"/>
    <x v="37"/>
    <x v="37"/>
    <s v=""/>
    <x v="6"/>
    <s v="LOGÍSTICA"/>
    <n v="0"/>
    <s v="MYLENA"/>
  </r>
  <r>
    <n v="197697"/>
    <s v="FK"/>
    <s v="JANTA"/>
    <x v="89"/>
    <s v="KARAM´S - LEANDRO MIAZO"/>
    <n v="50"/>
    <x v="14"/>
    <x v="14"/>
    <s v=""/>
    <x v="6"/>
    <s v="COMERCIAL"/>
    <n v="0"/>
    <s v="THAIS"/>
  </r>
  <r>
    <n v="197698"/>
    <s v="FK"/>
    <s v="FM2301C"/>
    <x v="0"/>
    <s v="RODRIGUES &amp; LIMA FERRAGENS DE FERRAMENTAS LTDA - M"/>
    <n v="80"/>
    <x v="38"/>
    <x v="38"/>
    <s v="FERRAGENS GERAIS"/>
    <x v="5"/>
    <s v="PRODUÇÃO"/>
    <n v="0"/>
    <s v="RAFAEL"/>
  </r>
  <r>
    <n v="197699"/>
    <s v="KAR"/>
    <s v="59854"/>
    <x v="97"/>
    <s v="W BRASIL ETIQUETAS LTDA"/>
    <n v="2816.5"/>
    <x v="38"/>
    <x v="38"/>
    <s v=""/>
    <x v="5"/>
    <s v="PRODUÇÃO"/>
    <n v="0"/>
    <s v="RAFAEL"/>
  </r>
  <r>
    <n v="197702"/>
    <s v="FK"/>
    <s v="LEAND3101"/>
    <x v="97"/>
    <s v="CAMINHAO - AYL-5F59"/>
    <n v="1330"/>
    <x v="41"/>
    <x v="41"/>
    <s v=""/>
    <x v="6"/>
    <s v="LOGÍSTICA"/>
    <n v="0"/>
    <s v="MYLENA"/>
  </r>
  <r>
    <n v="197703"/>
    <s v="FK"/>
    <s v="2687"/>
    <x v="97"/>
    <s v="COMERCIO DE COMBUSTIVEIS TBM LTDA."/>
    <n v="2717.37"/>
    <x v="37"/>
    <x v="37"/>
    <s v=""/>
    <x v="6"/>
    <s v="LOGÍSTICA"/>
    <n v="0"/>
    <s v="MYLENA"/>
  </r>
  <r>
    <n v="197705"/>
    <s v="KAR"/>
    <s v="141325"/>
    <x v="1"/>
    <s v="AUTO POSTO PR 323 LTDA"/>
    <n v="314.5"/>
    <x v="37"/>
    <x v="37"/>
    <s v=""/>
    <x v="6"/>
    <s v="LOGÍSTICA"/>
    <n v="0"/>
    <s v="MYLENA"/>
  </r>
  <r>
    <n v="197707"/>
    <s v="KAR"/>
    <s v="141326"/>
    <x v="1"/>
    <s v="AUTO POSTO PR 323 LTDA"/>
    <n v="97.74"/>
    <x v="37"/>
    <x v="37"/>
    <s v=""/>
    <x v="6"/>
    <s v="LOGÍSTICA"/>
    <n v="0"/>
    <s v="MYLENA"/>
  </r>
  <r>
    <n v="197708"/>
    <s v="KAR"/>
    <s v="62194"/>
    <x v="1"/>
    <s v="POSTO FAROL 48 DA CASTELO INTERIOR LTDA"/>
    <n v="294.5"/>
    <x v="14"/>
    <x v="14"/>
    <s v=""/>
    <x v="6"/>
    <s v="COMERCIAL"/>
    <n v="0"/>
    <s v="THAIS"/>
  </r>
  <r>
    <n v="197709"/>
    <s v="KAR"/>
    <s v="58692"/>
    <x v="94"/>
    <s v="POSTO FAROL 48 DA CASTELO LTDA"/>
    <n v="1472.5"/>
    <x v="37"/>
    <x v="37"/>
    <s v=""/>
    <x v="6"/>
    <s v="LOGÍSTICA"/>
    <n v="0"/>
    <s v="MYLENA"/>
  </r>
  <r>
    <n v="197710"/>
    <s v="FK"/>
    <s v="BARRACAO"/>
    <x v="97"/>
    <s v="RAIMUNDO GONZAGA DA SILVA NETO"/>
    <n v="1000"/>
    <x v="25"/>
    <x v="25"/>
    <s v=""/>
    <x v="2"/>
    <s v="MANUTENÇÃO / TI"/>
    <n v="0"/>
    <s v="FÁBIO"/>
  </r>
  <r>
    <n v="197713"/>
    <s v="FK"/>
    <s v="1648"/>
    <x v="54"/>
    <s v="COMERCIO DE COMBUSTIVEIS TBM LTDA."/>
    <n v="93.82"/>
    <x v="14"/>
    <x v="14"/>
    <s v=""/>
    <x v="6"/>
    <s v="COMERCIAL"/>
    <n v="0"/>
    <s v="THAIS"/>
  </r>
  <r>
    <n v="197714"/>
    <s v="FK"/>
    <s v="NIS0202"/>
    <x v="97"/>
    <s v="CASA DE FERRAGEM NISHIMOTO"/>
    <n v="24"/>
    <x v="30"/>
    <x v="30"/>
    <s v="FERRAGENS GERAIS"/>
    <x v="9"/>
    <s v="MANUTENÇÃO / TI"/>
    <n v="0"/>
    <s v="RAFAEL"/>
  </r>
  <r>
    <n v="197716"/>
    <s v="FK"/>
    <s v="NETO3101"/>
    <x v="97"/>
    <s v="CAMINHÃO - AYL-6E00"/>
    <n v="1490"/>
    <x v="41"/>
    <x v="41"/>
    <s v=""/>
    <x v="6"/>
    <s v="LOGÍSTICA"/>
    <n v="0"/>
    <s v="MYLENA"/>
  </r>
  <r>
    <n v="197717"/>
    <s v="FK"/>
    <s v="1521"/>
    <x v="97"/>
    <s v="ELAINE CRISTINA TAROCO SANTOS &amp; CIA LTDA"/>
    <n v="50"/>
    <x v="13"/>
    <x v="13"/>
    <s v="COMPONENTES T.I"/>
    <x v="2"/>
    <s v="MANUTENÇÃO / TI"/>
    <n v="0"/>
    <s v="RAFAEL"/>
  </r>
  <r>
    <n v="197718"/>
    <s v="FK"/>
    <s v="NETO3101"/>
    <x v="97"/>
    <s v="CAMINHÃO - AYL-6E00"/>
    <n v="1385"/>
    <x v="14"/>
    <x v="14"/>
    <s v=""/>
    <x v="6"/>
    <s v="COMERCIAL"/>
    <n v="0"/>
    <s v="THAIS"/>
  </r>
  <r>
    <n v="197719"/>
    <s v="KAR"/>
    <s v="148493"/>
    <x v="97"/>
    <s v="GVT REFORMAS E RECICLAGEM DE PNEUS LTDA"/>
    <n v="560"/>
    <x v="31"/>
    <x v="31"/>
    <s v=""/>
    <x v="6"/>
    <s v="LOGÍSTICA"/>
    <n v="0"/>
    <s v="MYLENA"/>
  </r>
  <r>
    <n v="197721"/>
    <s v="FK"/>
    <s v="POL2901"/>
    <x v="0"/>
    <s v="BORRACHARIA DO POLACO"/>
    <n v="115"/>
    <x v="31"/>
    <x v="31"/>
    <s v=""/>
    <x v="6"/>
    <s v="LOGÍSTICA"/>
    <n v="0"/>
    <s v="MYLENA"/>
  </r>
  <r>
    <n v="197722"/>
    <s v="FK"/>
    <s v="AGUA"/>
    <x v="1"/>
    <s v="KARAM´S - LEANDRO MIAZO"/>
    <n v="576.9"/>
    <x v="14"/>
    <x v="14"/>
    <s v=""/>
    <x v="6"/>
    <s v="COMERCIAL"/>
    <n v="0"/>
    <s v="THAIS"/>
  </r>
  <r>
    <n v="197723"/>
    <s v="FK"/>
    <s v="POL2001"/>
    <x v="0"/>
    <s v="BORRACHARIA DO POLACO"/>
    <n v="240"/>
    <x v="31"/>
    <x v="31"/>
    <s v=""/>
    <x v="6"/>
    <s v="LOGÍSTICA"/>
    <n v="0"/>
    <s v="MYLENA"/>
  </r>
  <r>
    <n v="197725"/>
    <s v="FK"/>
    <s v="ALMOÇO"/>
    <x v="1"/>
    <s v="KARAM´S - LEANDRO MIAZO"/>
    <n v="100"/>
    <x v="14"/>
    <x v="14"/>
    <s v=""/>
    <x v="6"/>
    <s v="COMERCIAL"/>
    <n v="0"/>
    <s v="THAIS"/>
  </r>
  <r>
    <n v="197726"/>
    <s v="KAR"/>
    <s v="216/2026"/>
    <x v="97"/>
    <s v="CARTORIO DE REGISTRO DE IMOVEIS DE TR"/>
    <n v="23.43"/>
    <x v="69"/>
    <x v="69"/>
    <s v=""/>
    <x v="4"/>
    <s v="FINANCEIRO"/>
    <n v="0"/>
    <s v="LETÍCIA"/>
  </r>
  <r>
    <n v="197727"/>
    <s v="KAR"/>
    <s v="217/2026"/>
    <x v="97"/>
    <s v="CARTORIO DE REGISTRO DE IMOVEIS DE TR"/>
    <n v="243.59"/>
    <x v="69"/>
    <x v="69"/>
    <s v=""/>
    <x v="4"/>
    <s v="FINANCEIRO"/>
    <n v="0"/>
    <s v="LETÍCIA"/>
  </r>
  <r>
    <n v="197728"/>
    <s v="KAR"/>
    <s v="22061"/>
    <x v="97"/>
    <s v="IRMAOS TOMIYOSHI LTDA"/>
    <n v="444"/>
    <x v="38"/>
    <x v="38"/>
    <s v=""/>
    <x v="5"/>
    <s v="PRODUÇÃO"/>
    <n v="0"/>
    <s v="RAFAEL"/>
  </r>
  <r>
    <n v="197729"/>
    <s v="KOY"/>
    <s v="ALUGUELKOY"/>
    <x v="16"/>
    <s v="JOÃO BATISTA DE MATOS"/>
    <n v="900"/>
    <x v="68"/>
    <x v="68"/>
    <s v=""/>
    <x v="4"/>
    <s v="FINANCEIRO"/>
    <n v="0"/>
    <s v="LETÍCIA"/>
  </r>
  <r>
    <n v="197730"/>
    <s v="KOY"/>
    <s v="ALUGUELKOY"/>
    <x v="17"/>
    <s v="JOÃO BATISTA DE MATOS"/>
    <n v="900"/>
    <x v="68"/>
    <x v="68"/>
    <s v=""/>
    <x v="4"/>
    <s v="FINANCEIRO"/>
    <n v="0"/>
    <s v="LETÍCIA"/>
  </r>
  <r>
    <n v="197731"/>
    <s v="KOY"/>
    <s v="ALUGUELKOY"/>
    <x v="18"/>
    <s v="JOÃO BATISTA DE MATOS"/>
    <n v="900"/>
    <x v="68"/>
    <x v="68"/>
    <s v=""/>
    <x v="4"/>
    <s v="FINANCEIRO"/>
    <n v="0"/>
    <s v="LETÍCIA"/>
  </r>
  <r>
    <n v="197732"/>
    <s v="KOY"/>
    <s v="ALUGUELKOY"/>
    <x v="19"/>
    <s v="JOÃO BATISTA DE MATOS"/>
    <n v="900"/>
    <x v="68"/>
    <x v="68"/>
    <s v=""/>
    <x v="4"/>
    <s v="FINANCEIRO"/>
    <n v="0"/>
    <s v="LETÍCIA"/>
  </r>
  <r>
    <n v="197741"/>
    <s v="FK"/>
    <s v="VIDROQUAD"/>
    <x v="1"/>
    <s v="MILTON BORGES VIDRAÇARIA-ME"/>
    <n v="2000"/>
    <x v="14"/>
    <x v="14"/>
    <s v=""/>
    <x v="6"/>
    <s v="COMERCIAL"/>
    <n v="0"/>
    <s v="THAIS"/>
  </r>
  <r>
    <n v="197743"/>
    <s v="FK"/>
    <s v="FM0202"/>
    <x v="97"/>
    <s v="RODRIGUES &amp; LIMA FERRAGENS DE FERRAMENTAS LTDA - M"/>
    <n v="94"/>
    <x v="46"/>
    <x v="46"/>
    <s v="FERRAGENS GERAIS"/>
    <x v="9"/>
    <s v="MANUTENÇÃO / TI"/>
    <n v="0"/>
    <s v="FÁBIO"/>
  </r>
  <r>
    <n v="197744"/>
    <s v="FK"/>
    <s v="260126"/>
    <x v="1"/>
    <s v="KARAM'S IND.E COM.DE ESTOFADOS LTDA"/>
    <n v="30.4"/>
    <x v="14"/>
    <x v="14"/>
    <s v=""/>
    <x v="6"/>
    <s v="COMERCIAL"/>
    <n v="0"/>
    <s v="THAIS"/>
  </r>
  <r>
    <n v="197745"/>
    <s v="FK"/>
    <s v="260126"/>
    <x v="1"/>
    <s v="KARAM'S IND.E COM.DE ESTOFADOS LTDA"/>
    <n v="16.899999999999999"/>
    <x v="14"/>
    <x v="14"/>
    <s v=""/>
    <x v="6"/>
    <s v="COMERCIAL"/>
    <n v="0"/>
    <s v="THAIS"/>
  </r>
  <r>
    <n v="197746"/>
    <s v="FK"/>
    <s v="310126"/>
    <x v="1"/>
    <s v="KARAM'S IND.E COM.DE ESTOFADOS LTDA"/>
    <n v="320"/>
    <x v="14"/>
    <x v="14"/>
    <s v=""/>
    <x v="6"/>
    <s v="COMERCIAL"/>
    <n v="0"/>
    <s v="THAIS"/>
  </r>
  <r>
    <n v="197747"/>
    <s v="FK"/>
    <s v="310126"/>
    <x v="1"/>
    <s v="KARAM'S IND.E COM.DE ESTOFADOS LTDA"/>
    <n v="345.51"/>
    <x v="14"/>
    <x v="14"/>
    <s v=""/>
    <x v="6"/>
    <s v="COMERCIAL"/>
    <n v="0"/>
    <s v="THAIS"/>
  </r>
  <r>
    <n v="197749"/>
    <s v="FK"/>
    <s v="PLA040226"/>
    <x v="64"/>
    <s v="MERCADO LIVRE "/>
    <n v="2159.88"/>
    <x v="13"/>
    <x v="13"/>
    <s v=""/>
    <x v="2"/>
    <s v="MANUTENÇÃO / TI"/>
    <n v="0"/>
    <s v="RAFAEL"/>
  </r>
  <r>
    <n v="197750"/>
    <s v="FK"/>
    <s v="310126"/>
    <x v="1"/>
    <s v="KARAM'S IND.E COM.DE ESTOFADOS LTDA"/>
    <n v="73"/>
    <x v="14"/>
    <x v="14"/>
    <s v=""/>
    <x v="6"/>
    <s v="COMERCIAL"/>
    <n v="0"/>
    <s v="THAIS"/>
  </r>
  <r>
    <n v="197751"/>
    <s v="FK"/>
    <s v="MOU040226"/>
    <x v="64"/>
    <s v="MERCADO LIVRE "/>
    <n v="55"/>
    <x v="13"/>
    <x v="13"/>
    <s v=""/>
    <x v="2"/>
    <s v="MANUTENÇÃO / TI"/>
    <n v="0"/>
    <s v="RAFAEL"/>
  </r>
  <r>
    <n v="197752"/>
    <s v="FK"/>
    <s v="210126"/>
    <x v="1"/>
    <s v="KARAM'S IND.E COM.DE ESTOFADOS LTDA"/>
    <n v="300"/>
    <x v="14"/>
    <x v="14"/>
    <s v=""/>
    <x v="6"/>
    <s v="COMERCIAL"/>
    <n v="0"/>
    <s v="THAIS"/>
  </r>
  <r>
    <n v="197753"/>
    <s v="FK"/>
    <s v="TEC040226"/>
    <x v="64"/>
    <s v="MERCADO LIVRE "/>
    <n v="42.36"/>
    <x v="13"/>
    <x v="13"/>
    <s v=""/>
    <x v="2"/>
    <s v="MANUTENÇÃO / TI"/>
    <n v="0"/>
    <s v="RAFAEL"/>
  </r>
  <r>
    <n v="197754"/>
    <s v="FK"/>
    <s v="230126"/>
    <x v="1"/>
    <s v="KARAM'S IND.E COM.DE ESTOFADOS LTDA"/>
    <n v="153.87"/>
    <x v="14"/>
    <x v="14"/>
    <s v=""/>
    <x v="6"/>
    <s v="COMERCIAL"/>
    <n v="0"/>
    <s v="THAIS"/>
  </r>
  <r>
    <n v="197755"/>
    <s v="FK"/>
    <s v="230126"/>
    <x v="1"/>
    <s v="KARAM'S IND.E COM.DE ESTOFADOS LTDA"/>
    <n v="58.87"/>
    <x v="14"/>
    <x v="14"/>
    <s v=""/>
    <x v="6"/>
    <s v="COMERCIAL"/>
    <n v="0"/>
    <s v="THAIS"/>
  </r>
  <r>
    <n v="197757"/>
    <s v="FK"/>
    <s v="FEV2026"/>
    <x v="97"/>
    <s v="FABIO HIROMITSU KATO"/>
    <n v="16000"/>
    <x v="15"/>
    <x v="15"/>
    <s v=""/>
    <x v="7"/>
    <s v="DIRETORIA"/>
    <n v="0"/>
    <s v="FÁBIO"/>
  </r>
  <r>
    <n v="197758"/>
    <s v="KOY"/>
    <s v="FEV2026"/>
    <x v="97"/>
    <s v="RAFAEL KOSSEI KATO"/>
    <n v="5000"/>
    <x v="15"/>
    <x v="15"/>
    <s v=""/>
    <x v="7"/>
    <s v="DIRETORIA"/>
    <n v="0"/>
    <s v="FÁBIO"/>
  </r>
  <r>
    <n v="197759"/>
    <s v="LAY"/>
    <s v="FEV2026"/>
    <x v="97"/>
    <s v="MYLENA NARIE KATO BRIGANTINI"/>
    <n v="5000"/>
    <x v="15"/>
    <x v="15"/>
    <s v=""/>
    <x v="7"/>
    <s v="DIRETORIA"/>
    <n v="0"/>
    <s v="FÁBIO"/>
  </r>
  <r>
    <n v="197760"/>
    <s v="KAR"/>
    <s v="FEV2026"/>
    <x v="97"/>
    <s v="SUELY KAY KATO"/>
    <n v="6000"/>
    <x v="15"/>
    <x v="15"/>
    <s v=""/>
    <x v="7"/>
    <s v="DIRETORIA"/>
    <n v="0"/>
    <s v="FÁBIO"/>
  </r>
  <r>
    <n v="197761"/>
    <s v="KAR"/>
    <s v="38870202"/>
    <x v="97"/>
    <s v="BANCO SICREDI"/>
    <n v="38.869999999999997"/>
    <x v="27"/>
    <x v="27"/>
    <s v=""/>
    <x v="8"/>
    <s v="FINANCEIRO"/>
    <n v="0"/>
    <s v="LETÍCIA"/>
  </r>
  <r>
    <n v="197762"/>
    <s v="FK"/>
    <s v="NIS3101A"/>
    <x v="1"/>
    <s v="CASA DE FERRAGEM NISHIMOTO"/>
    <n v="150"/>
    <x v="25"/>
    <x v="25"/>
    <s v="FERRAGENS GERAIS"/>
    <x v="2"/>
    <s v="MANUTENÇÃO / TI"/>
    <n v="0"/>
    <s v="FÁBIO"/>
  </r>
  <r>
    <n v="197763"/>
    <s v="KAR"/>
    <s v="24490202"/>
    <x v="97"/>
    <s v="BANCO SICREDI"/>
    <n v="24.49"/>
    <x v="27"/>
    <x v="27"/>
    <s v=""/>
    <x v="8"/>
    <s v="FINANCEIRO"/>
    <n v="0"/>
    <s v="LETÍCIA"/>
  </r>
  <r>
    <n v="197764"/>
    <s v="KAR"/>
    <s v="64330202"/>
    <x v="97"/>
    <s v="BANCO SICREDI"/>
    <n v="64.33"/>
    <x v="69"/>
    <x v="69"/>
    <s v=""/>
    <x v="4"/>
    <s v="FINANCEIRO"/>
    <n v="0"/>
    <s v="LETÍCIA"/>
  </r>
  <r>
    <n v="197765"/>
    <s v="KAR"/>
    <s v="17220202"/>
    <x v="97"/>
    <s v="BANCO SICREDI"/>
    <n v="17.22"/>
    <x v="69"/>
    <x v="69"/>
    <s v=""/>
    <x v="4"/>
    <s v="FINANCEIRO"/>
    <n v="0"/>
    <s v="LETÍCIA"/>
  </r>
  <r>
    <n v="197766"/>
    <s v="LAY"/>
    <s v="4350202"/>
    <x v="97"/>
    <s v="BANCO SICREDI"/>
    <n v="4.3499999999999996"/>
    <x v="27"/>
    <x v="27"/>
    <s v=""/>
    <x v="8"/>
    <s v="FINANCEIRO"/>
    <n v="0"/>
    <s v="LETÍCIA"/>
  </r>
  <r>
    <n v="197767"/>
    <s v="LAY"/>
    <s v="7900202"/>
    <x v="97"/>
    <s v="BANCO SICREDI"/>
    <n v="7.9"/>
    <x v="27"/>
    <x v="27"/>
    <s v=""/>
    <x v="8"/>
    <s v="FINANCEIRO"/>
    <n v="0"/>
    <s v="LETÍCIA"/>
  </r>
  <r>
    <n v="197768"/>
    <s v="KAR"/>
    <s v="PGTO0226"/>
    <x v="1"/>
    <s v="ALISSON FACCIO FERREIRA"/>
    <n v="3209.2"/>
    <x v="7"/>
    <x v="7"/>
    <s v=""/>
    <x v="5"/>
    <s v="DH"/>
    <s v="CUSTO MÃO DE OBRA DIRETA"/>
    <s v="RAFAEL"/>
  </r>
  <r>
    <n v="197769"/>
    <s v="KAR"/>
    <s v="PGTO0226"/>
    <x v="1"/>
    <s v="ANDREY DE SOUZA LADISLAU"/>
    <n v="755.82"/>
    <x v="7"/>
    <x v="7"/>
    <s v=""/>
    <x v="5"/>
    <s v="DH"/>
    <s v="CUSTO MÃO DE OBRA DIRETA"/>
    <s v="RAFAEL"/>
  </r>
  <r>
    <n v="197770"/>
    <s v="KAR"/>
    <s v="PGTO0226"/>
    <x v="1"/>
    <s v="ANGELA MARIA GIANINI ARROZIO CANGUSSU"/>
    <n v="3381.8"/>
    <x v="7"/>
    <x v="7"/>
    <s v=""/>
    <x v="5"/>
    <s v="DH"/>
    <s v="CUSTO MÃO DE OBRA DIRETA"/>
    <s v="RAFAEL"/>
  </r>
  <r>
    <n v="197771"/>
    <s v="KAR"/>
    <s v="PGTO0226"/>
    <x v="1"/>
    <s v="AYSLAN OLIVEIRA FREITAS_x0009__x0009__x0009__x0009__x0009_"/>
    <n v="2059.17"/>
    <x v="7"/>
    <x v="7"/>
    <s v=""/>
    <x v="5"/>
    <s v="DH"/>
    <s v="CUSTO MÃO DE OBRA DIRETA"/>
    <s v="RAFAEL"/>
  </r>
  <r>
    <n v="197772"/>
    <s v="KAR"/>
    <s v="PGTO0226"/>
    <x v="1"/>
    <s v="BRENDA GABRIELA MUNIS BECK"/>
    <n v="2487.92"/>
    <x v="18"/>
    <x v="18"/>
    <s v=""/>
    <x v="7"/>
    <s v="DH"/>
    <n v="0"/>
    <s v="RAFAEL"/>
  </r>
  <r>
    <n v="197773"/>
    <s v="KAR"/>
    <s v="PGTO0226"/>
    <x v="1"/>
    <s v="BRUNO CÉSAR RODRIGUES"/>
    <n v="2876.4"/>
    <x v="7"/>
    <x v="7"/>
    <s v=""/>
    <x v="5"/>
    <s v="DH"/>
    <s v="CUSTO MÃO DE OBRA DIRETA"/>
    <s v="RAFAEL"/>
  </r>
  <r>
    <n v="197774"/>
    <s v="KAR"/>
    <s v="PGTO0226"/>
    <x v="1"/>
    <s v="BRUNO GAMA BENEDITO"/>
    <n v="1829.34"/>
    <x v="7"/>
    <x v="7"/>
    <s v=""/>
    <x v="5"/>
    <s v="DH"/>
    <s v="CUSTO MÃO DE OBRA DIRETA"/>
    <s v="RAFAEL"/>
  </r>
  <r>
    <n v="197775"/>
    <s v="KAR"/>
    <s v="PGTO0226"/>
    <x v="1"/>
    <s v="BRUNO RODA DOS SANTOS"/>
    <n v="3520.46"/>
    <x v="7"/>
    <x v="7"/>
    <s v=""/>
    <x v="5"/>
    <s v="DH"/>
    <s v="CUSTO MÃO DE OBRA DIRETA"/>
    <s v="RAFAEL"/>
  </r>
  <r>
    <n v="197776"/>
    <s v="KAR"/>
    <s v="PGTO0226"/>
    <x v="1"/>
    <s v="CAMILA GALÓCIO OLIVETTI"/>
    <n v="2070.46"/>
    <x v="18"/>
    <x v="18"/>
    <s v=""/>
    <x v="7"/>
    <s v="DH"/>
    <n v="0"/>
    <s v="RAFAEL"/>
  </r>
  <r>
    <n v="197778"/>
    <s v="KAR"/>
    <s v="PGTO0226"/>
    <x v="1"/>
    <s v="CRISTIANE LEITE DE MORAES"/>
    <n v="1988.49"/>
    <x v="7"/>
    <x v="7"/>
    <s v=""/>
    <x v="5"/>
    <s v="DH"/>
    <s v="CUSTO MÃO DE OBRA DIRETA"/>
    <s v="RAFAEL"/>
  </r>
  <r>
    <n v="197779"/>
    <s v="KAR"/>
    <s v="PGTO0226"/>
    <x v="1"/>
    <s v="DANIEL BRUNNER TAVARES"/>
    <n v="2647.95"/>
    <x v="61"/>
    <x v="61"/>
    <s v=""/>
    <x v="9"/>
    <s v="DH"/>
    <s v="CUSTO MÃO DE OBRA DIRETA"/>
    <s v="RAFAEL"/>
  </r>
  <r>
    <n v="197780"/>
    <s v="KAR"/>
    <s v="PGTO0226"/>
    <x v="1"/>
    <s v="DANIEL RODRIGUES GALÓCIO"/>
    <n v="1936.02"/>
    <x v="7"/>
    <x v="7"/>
    <s v=""/>
    <x v="5"/>
    <s v="DH"/>
    <s v="CUSTO MÃO DE OBRA DIRETA"/>
    <s v="RAFAEL"/>
  </r>
  <r>
    <n v="197781"/>
    <s v="KAR"/>
    <s v="PGTO0226"/>
    <x v="1"/>
    <s v="DANIELLA GOUVEIA OCCULATE"/>
    <n v="2046.36"/>
    <x v="18"/>
    <x v="18"/>
    <s v=""/>
    <x v="7"/>
    <s v="DH"/>
    <n v="0"/>
    <s v="RAFAEL"/>
  </r>
  <r>
    <n v="197782"/>
    <s v="KAR"/>
    <s v="PGTO0226"/>
    <x v="1"/>
    <s v="DEBORAH CRISTINA ARCANJO PRIETO"/>
    <n v="744.74"/>
    <x v="18"/>
    <x v="18"/>
    <s v=""/>
    <x v="7"/>
    <s v="DH"/>
    <n v="0"/>
    <s v="RAFAEL"/>
  </r>
  <r>
    <n v="197783"/>
    <s v="KAR"/>
    <s v="PGTO0226"/>
    <x v="1"/>
    <s v="ELVIS CESCATE"/>
    <n v="3126.78"/>
    <x v="7"/>
    <x v="7"/>
    <s v=""/>
    <x v="5"/>
    <s v="DH"/>
    <s v="CUSTO MÃO DE OBRA DIRETA"/>
    <s v="RAFAEL"/>
  </r>
  <r>
    <n v="197784"/>
    <s v="KAR"/>
    <s v="PGTO0226"/>
    <x v="1"/>
    <s v="ERNESTO GONÇALO"/>
    <n v="3361.49"/>
    <x v="61"/>
    <x v="61"/>
    <s v=""/>
    <x v="9"/>
    <s v="DH"/>
    <s v="CUSTO MÃO DE OBRA DIRETA"/>
    <s v="RAFAEL"/>
  </r>
  <r>
    <n v="197785"/>
    <s v="KAR"/>
    <s v="PGTO0226"/>
    <x v="1"/>
    <s v="FABIANA DE QUEIROZ LOURO MORAES"/>
    <n v="1791.31"/>
    <x v="18"/>
    <x v="18"/>
    <s v=""/>
    <x v="7"/>
    <s v="DH"/>
    <n v="0"/>
    <s v="RAFAEL"/>
  </r>
  <r>
    <n v="197786"/>
    <s v="KAR"/>
    <s v="PGTO0226"/>
    <x v="1"/>
    <s v="FERNANDO CLEISON PERES"/>
    <n v="3223.33"/>
    <x v="7"/>
    <x v="7"/>
    <s v=""/>
    <x v="5"/>
    <s v="DH"/>
    <s v="CUSTO MÃO DE OBRA DIRETA"/>
    <s v="RAFAEL"/>
  </r>
  <r>
    <n v="197787"/>
    <s v="KAR"/>
    <s v="PGTO0226"/>
    <x v="1"/>
    <s v="GERLAN GALDINO DE ARAUJO"/>
    <n v="1529.04"/>
    <x v="7"/>
    <x v="7"/>
    <s v=""/>
    <x v="5"/>
    <s v="DH"/>
    <s v="CUSTO MÃO DE OBRA DIRETA"/>
    <s v="RAFAEL"/>
  </r>
  <r>
    <n v="197788"/>
    <s v="KAR"/>
    <s v="PGTO0226"/>
    <x v="1"/>
    <s v="GUSTAVO CORREA DA SILVA"/>
    <n v="2244.7399999999998"/>
    <x v="7"/>
    <x v="7"/>
    <s v=""/>
    <x v="5"/>
    <s v="DH"/>
    <s v="CUSTO MÃO DE OBRA DIRETA"/>
    <s v="RAFAEL"/>
  </r>
  <r>
    <n v="197789"/>
    <s v="KAR"/>
    <s v="PGTO0226"/>
    <x v="1"/>
    <s v="ISAAC MIGUEL VIEIRA DA SILVA"/>
    <n v="744.74"/>
    <x v="18"/>
    <x v="18"/>
    <s v=""/>
    <x v="7"/>
    <s v="DH"/>
    <n v="0"/>
    <s v="RAFAEL"/>
  </r>
  <r>
    <n v="197790"/>
    <s v="KAR"/>
    <s v="PGTO0226"/>
    <x v="1"/>
    <s v="JOAO MATEUS DA SILVA SANTOS"/>
    <n v="1816.11"/>
    <x v="7"/>
    <x v="7"/>
    <s v=""/>
    <x v="5"/>
    <s v="DH"/>
    <s v="CUSTO MÃO DE OBRA DIRETA"/>
    <s v="RAFAEL"/>
  </r>
  <r>
    <n v="197791"/>
    <s v="KAR"/>
    <s v="PGTO0226"/>
    <x v="1"/>
    <s v="LEANDRO JOAO DOS SANTOS"/>
    <n v="2507.56"/>
    <x v="7"/>
    <x v="7"/>
    <s v=""/>
    <x v="5"/>
    <s v="DH"/>
    <s v="CUSTO MÃO DE OBRA DIRETA"/>
    <s v="RAFAEL"/>
  </r>
  <r>
    <n v="197792"/>
    <s v="KAR"/>
    <s v="PGTO0226"/>
    <x v="1"/>
    <s v="LEONARDO DE MATTOS PERIGO"/>
    <n v="3326.44"/>
    <x v="18"/>
    <x v="18"/>
    <s v=""/>
    <x v="7"/>
    <s v="DH"/>
    <n v="0"/>
    <s v="RAFAEL"/>
  </r>
  <r>
    <n v="197793"/>
    <s v="KAR"/>
    <s v="PGTO0226"/>
    <x v="1"/>
    <s v="LETICIA CRISTINA SA BARBOSA"/>
    <n v="3281.05"/>
    <x v="18"/>
    <x v="18"/>
    <s v=""/>
    <x v="7"/>
    <s v="DH"/>
    <n v="0"/>
    <s v="RAFAEL"/>
  </r>
  <r>
    <n v="197794"/>
    <s v="KAR"/>
    <s v="PGTO0226"/>
    <x v="1"/>
    <s v="MARA LUCIA DE LIMA MEDEIROS"/>
    <n v="1342.53"/>
    <x v="7"/>
    <x v="7"/>
    <s v=""/>
    <x v="5"/>
    <s v="DH"/>
    <s v="CUSTO MÃO DE OBRA DIRETA"/>
    <s v="RAFAEL"/>
  </r>
  <r>
    <n v="197795"/>
    <s v="KAR"/>
    <s v="PGTO0226"/>
    <x v="1"/>
    <s v="MARIA APARECIDA FACCIO FERREIRA"/>
    <n v="667.49"/>
    <x v="7"/>
    <x v="7"/>
    <s v=""/>
    <x v="5"/>
    <s v="DH"/>
    <s v="CUSTO MÃO DE OBRA DIRETA"/>
    <s v="RAFAEL"/>
  </r>
  <r>
    <n v="197796"/>
    <s v="KAR"/>
    <s v="PGTO0226"/>
    <x v="1"/>
    <s v="MARIA DA PAZ DE SOUSA"/>
    <n v="1977.69"/>
    <x v="7"/>
    <x v="7"/>
    <s v=""/>
    <x v="5"/>
    <s v="DH"/>
    <s v="CUSTO MÃO DE OBRA DIRETA"/>
    <s v="RAFAEL"/>
  </r>
  <r>
    <n v="197797"/>
    <s v="KAR"/>
    <s v="PGTO0226"/>
    <x v="1"/>
    <s v="MARIA EDUARDA SANCHES DA SILVA"/>
    <n v="2047.62"/>
    <x v="18"/>
    <x v="18"/>
    <s v=""/>
    <x v="7"/>
    <s v="DH"/>
    <n v="0"/>
    <s v="RAFAEL"/>
  </r>
  <r>
    <n v="197798"/>
    <s v="KAR"/>
    <s v="PGTO0226"/>
    <x v="1"/>
    <s v="MATHEUS HENRIQUE FERVENÇA BRESCHI"/>
    <n v="2367.11"/>
    <x v="7"/>
    <x v="7"/>
    <s v=""/>
    <x v="5"/>
    <s v="DH"/>
    <s v="CUSTO MÃO DE OBRA DIRETA"/>
    <s v="RAFAEL"/>
  </r>
  <r>
    <n v="197799"/>
    <s v="KAR"/>
    <s v="PGTO0226"/>
    <x v="1"/>
    <s v="MURILO DE SOUSA CAETANO"/>
    <n v="2266.98"/>
    <x v="7"/>
    <x v="7"/>
    <s v=""/>
    <x v="5"/>
    <s v="DH"/>
    <s v="CUSTO MÃO DE OBRA DIRETA"/>
    <s v="RAFAEL"/>
  </r>
  <r>
    <n v="197800"/>
    <s v="KAR"/>
    <s v="PGTO0226"/>
    <x v="1"/>
    <s v="PRISCILA FERNANDES COSTA"/>
    <n v="2518.5300000000002"/>
    <x v="18"/>
    <x v="18"/>
    <s v=""/>
    <x v="7"/>
    <s v="DH"/>
    <n v="0"/>
    <s v="RAFAEL"/>
  </r>
  <r>
    <n v="197801"/>
    <s v="KAR"/>
    <s v="PGTO0226"/>
    <x v="1"/>
    <s v="QUEREN FRANCISCA DA SILVA"/>
    <n v="2711.68"/>
    <x v="7"/>
    <x v="7"/>
    <s v=""/>
    <x v="5"/>
    <s v="DH"/>
    <s v="CUSTO MÃO DE OBRA DIRETA"/>
    <s v="RAFAEL"/>
  </r>
  <r>
    <n v="197802"/>
    <s v="KAR"/>
    <s v="PGTO0226"/>
    <x v="1"/>
    <s v="SARAH NEVES DE OLIVEIRA BOLETE"/>
    <n v="2236.19"/>
    <x v="61"/>
    <x v="61"/>
    <s v=""/>
    <x v="9"/>
    <s v="DH"/>
    <s v="CUSTO MÃO DE OBRA DIRETA"/>
    <s v="RAFAEL"/>
  </r>
  <r>
    <n v="197803"/>
    <s v="KAR"/>
    <s v="PGTO0226"/>
    <x v="1"/>
    <s v="THAIS LOUZADA DA SILVA"/>
    <n v="1773.87"/>
    <x v="18"/>
    <x v="18"/>
    <s v=""/>
    <x v="7"/>
    <s v="DH"/>
    <n v="0"/>
    <s v="RAFAEL"/>
  </r>
  <r>
    <n v="197804"/>
    <s v="KOY"/>
    <s v="7110202"/>
    <x v="97"/>
    <s v="BANCO SICREDI"/>
    <n v="7.11"/>
    <x v="27"/>
    <x v="27"/>
    <s v=""/>
    <x v="8"/>
    <s v="FINANCEIRO"/>
    <n v="0"/>
    <s v="LETÍCIA"/>
  </r>
  <r>
    <n v="197805"/>
    <s v="KAR"/>
    <s v="600202"/>
    <x v="97"/>
    <s v="BANCO SICREDI"/>
    <n v="60"/>
    <x v="27"/>
    <x v="27"/>
    <s v=""/>
    <x v="8"/>
    <s v="FINANCEIRO"/>
    <n v="0"/>
    <s v="LETÍCIA"/>
  </r>
  <r>
    <n v="197806"/>
    <s v="KAR"/>
    <s v="4750202"/>
    <x v="97"/>
    <s v="BANCO SICREDI"/>
    <n v="4.75"/>
    <x v="27"/>
    <x v="27"/>
    <s v=""/>
    <x v="8"/>
    <s v="FINANCEIRO"/>
    <n v="0"/>
    <s v="LETÍCIA"/>
  </r>
  <r>
    <n v="197808"/>
    <s v="KOY"/>
    <s v="PGTO0226"/>
    <x v="1"/>
    <s v="ARIAN SILVA OLIVEIRA"/>
    <n v="2107.92"/>
    <x v="7"/>
    <x v="7"/>
    <s v=""/>
    <x v="5"/>
    <s v="DH"/>
    <s v="CUSTO MÃO DE OBRA DIRETA"/>
    <s v="RAFAEL"/>
  </r>
  <r>
    <n v="197809"/>
    <s v="KOY"/>
    <s v="PGTO0226"/>
    <x v="1"/>
    <s v="ARTHUR SILVA DE DEUS CORREIA"/>
    <n v="3043.53"/>
    <x v="7"/>
    <x v="7"/>
    <s v=""/>
    <x v="5"/>
    <s v="DH"/>
    <s v="CUSTO MÃO DE OBRA DIRETA"/>
    <s v="RAFAEL"/>
  </r>
  <r>
    <n v="197810"/>
    <s v="KOY"/>
    <s v="PGTO0226"/>
    <x v="1"/>
    <s v="EDUARDO MORALES JACYNTHO"/>
    <n v="3401.48"/>
    <x v="61"/>
    <x v="61"/>
    <s v=""/>
    <x v="9"/>
    <s v="DH"/>
    <s v="CUSTO MÃO DE OBRA DIRETA"/>
    <s v="RAFAEL"/>
  </r>
  <r>
    <n v="197811"/>
    <s v="KOY"/>
    <s v="PGTO0226"/>
    <x v="1"/>
    <s v="EDUARDO RODIGHERO DOS SANTOS"/>
    <n v="2168.5300000000002"/>
    <x v="61"/>
    <x v="61"/>
    <s v=""/>
    <x v="9"/>
    <s v="DH"/>
    <s v="CUSTO MÃO DE OBRA DIRETA"/>
    <s v="RAFAEL"/>
  </r>
  <r>
    <n v="197812"/>
    <s v="KOY"/>
    <s v="PGTO0226"/>
    <x v="1"/>
    <s v="EMILI LOPES DE SOUZA"/>
    <n v="2488.48"/>
    <x v="18"/>
    <x v="18"/>
    <s v=""/>
    <x v="7"/>
    <s v="DH"/>
    <n v="0"/>
    <s v="RAFAEL"/>
  </r>
  <r>
    <n v="197813"/>
    <s v="KOY"/>
    <s v="PGTO0226"/>
    <x v="1"/>
    <s v="FERNANDO FIGUEIREDO"/>
    <n v="2391.0500000000002"/>
    <x v="7"/>
    <x v="7"/>
    <s v=""/>
    <x v="5"/>
    <s v="DH"/>
    <s v="CUSTO MÃO DE OBRA DIRETA"/>
    <s v="RAFAEL"/>
  </r>
  <r>
    <n v="197814"/>
    <s v="KOY"/>
    <s v="PGTO0226"/>
    <x v="1"/>
    <s v="GABRIEL NOGUEIRA DIAS"/>
    <n v="1986.28"/>
    <x v="18"/>
    <x v="18"/>
    <s v=""/>
    <x v="7"/>
    <s v="DH"/>
    <n v="0"/>
    <s v="RAFAEL"/>
  </r>
  <r>
    <n v="197815"/>
    <s v="KOY"/>
    <s v="PGTO0226"/>
    <x v="1"/>
    <s v="GUSTAVO NOVAES DA SILVA CARLOS"/>
    <n v="2244.16"/>
    <x v="7"/>
    <x v="7"/>
    <s v=""/>
    <x v="5"/>
    <s v="DH"/>
    <s v="CUSTO MÃO DE OBRA DIRETA"/>
    <s v="RAFAEL"/>
  </r>
  <r>
    <n v="197816"/>
    <s v="KOY"/>
    <s v="PGTO0226"/>
    <x v="1"/>
    <s v="HELEN PATRICIA ANDRE TORRES"/>
    <n v="2196.09"/>
    <x v="18"/>
    <x v="18"/>
    <s v=""/>
    <x v="7"/>
    <s v="DH"/>
    <n v="0"/>
    <s v="RAFAEL"/>
  </r>
  <r>
    <n v="197817"/>
    <s v="KOY"/>
    <s v="PGTO0226"/>
    <x v="1"/>
    <s v="HUGO CESAR CAMANHO ALVES"/>
    <n v="2643.57"/>
    <x v="7"/>
    <x v="7"/>
    <s v=""/>
    <x v="5"/>
    <s v="DH"/>
    <s v="CUSTO MÃO DE OBRA DIRETA"/>
    <s v="RAFAEL"/>
  </r>
  <r>
    <n v="197818"/>
    <s v="KOY"/>
    <s v="PGTO0226"/>
    <x v="1"/>
    <s v="JANIO DIMAS CONRADO"/>
    <n v="3041.3"/>
    <x v="7"/>
    <x v="7"/>
    <s v=""/>
    <x v="5"/>
    <s v="DH"/>
    <s v="CUSTO MÃO DE OBRA DIRETA"/>
    <s v="RAFAEL"/>
  </r>
  <r>
    <n v="197819"/>
    <s v="KOY"/>
    <s v="PGTO0226"/>
    <x v="1"/>
    <s v="JESSICA NAIARA APARECIDA CALICCKIO"/>
    <n v="664.77"/>
    <x v="7"/>
    <x v="7"/>
    <s v=""/>
    <x v="5"/>
    <s v="DH"/>
    <s v="CUSTO MÃO DE OBRA DIRETA"/>
    <s v="RAFAEL"/>
  </r>
  <r>
    <n v="197820"/>
    <s v="KOY"/>
    <s v="PGTO0226"/>
    <x v="1"/>
    <s v="JOSÉ PEDRO PANICIO SANTOS"/>
    <n v="1976.13"/>
    <x v="7"/>
    <x v="7"/>
    <s v=""/>
    <x v="5"/>
    <s v="DH"/>
    <s v="CUSTO MÃO DE OBRA DIRETA"/>
    <s v="RAFAEL"/>
  </r>
  <r>
    <n v="197821"/>
    <s v="KOY"/>
    <s v="PGTO0226"/>
    <x v="1"/>
    <s v="KAYKY DA SILVA ZOCAL"/>
    <n v="1785.72"/>
    <x v="7"/>
    <x v="7"/>
    <s v=""/>
    <x v="5"/>
    <s v="DH"/>
    <s v="CUSTO MÃO DE OBRA DIRETA"/>
    <s v="RAFAEL"/>
  </r>
  <r>
    <n v="197822"/>
    <s v="KOY"/>
    <s v="PGTO0226"/>
    <x v="1"/>
    <s v="LUCAS SANTANA ROQUE DE OLIVEIRA"/>
    <n v="1155.8599999999999"/>
    <x v="7"/>
    <x v="7"/>
    <s v=""/>
    <x v="5"/>
    <s v="DH"/>
    <s v="CUSTO MÃO DE OBRA DIRETA"/>
    <s v="RAFAEL"/>
  </r>
  <r>
    <n v="197823"/>
    <s v="KOY"/>
    <s v="PGTO0226"/>
    <x v="1"/>
    <s v="LUIZ GABRIEL TORRES MAFE"/>
    <n v="2338.0300000000002"/>
    <x v="7"/>
    <x v="7"/>
    <s v=""/>
    <x v="5"/>
    <s v="DH"/>
    <s v="CUSTO MÃO DE OBRA DIRETA"/>
    <s v="RAFAEL"/>
  </r>
  <r>
    <n v="197824"/>
    <s v="KOY"/>
    <s v="PGTO0226"/>
    <x v="1"/>
    <s v="MATEUS GUILHERME DE OLIVEIRA VALENCIANO"/>
    <n v="2216.75"/>
    <x v="61"/>
    <x v="61"/>
    <s v=""/>
    <x v="9"/>
    <s v="DH"/>
    <s v="CUSTO MÃO DE OBRA DIRETA"/>
    <s v="RAFAEL"/>
  </r>
  <r>
    <n v="197825"/>
    <s v="KOY"/>
    <s v="PGTO0226"/>
    <x v="1"/>
    <s v="TATIANE DA SILVA DE OLIVEIRA"/>
    <n v="664.77"/>
    <x v="7"/>
    <x v="7"/>
    <s v=""/>
    <x v="5"/>
    <s v="DH"/>
    <s v="CUSTO MÃO DE OBRA DIRETA"/>
    <s v="RAFAEL"/>
  </r>
  <r>
    <n v="197826"/>
    <s v="KOY"/>
    <s v="PGTO0226"/>
    <x v="1"/>
    <s v="TATIANE MARIA ARAUJO"/>
    <n v="2002.66"/>
    <x v="7"/>
    <x v="7"/>
    <s v=""/>
    <x v="5"/>
    <s v="DH"/>
    <s v="CUSTO MÃO DE OBRA DIRETA"/>
    <s v="RAFAEL"/>
  </r>
  <r>
    <n v="197828"/>
    <s v="FK"/>
    <s v="5FER25"/>
    <x v="1"/>
    <s v="ALEXANDRE ROBERTO BRESCHI"/>
    <n v="640.44000000000005"/>
    <x v="7"/>
    <x v="7"/>
    <s v=""/>
    <x v="5"/>
    <s v="DH"/>
    <s v="CUSTO MÃO DE OBRA DIRETA"/>
    <s v="RAFAEL"/>
  </r>
  <r>
    <n v="197830"/>
    <s v="KAR"/>
    <s v="49617"/>
    <x v="36"/>
    <s v="MISSLER SOFTWARE BRASIL COMERCIO DE SOFTWARES LTDA"/>
    <n v="2830.41"/>
    <x v="12"/>
    <x v="12"/>
    <s v="TOPSOLID"/>
    <x v="3"/>
    <s v="MANUTENÇÃO / TI"/>
    <n v="0"/>
    <s v="LETÍCIA"/>
  </r>
  <r>
    <n v="197831"/>
    <s v="KAR"/>
    <s v="213775031"/>
    <x v="30"/>
    <s v="COPEL DISTRIBUICAO S.A"/>
    <n v="6905.72"/>
    <x v="36"/>
    <x v="36"/>
    <s v=""/>
    <x v="5"/>
    <s v="PRODUÇÃO"/>
    <n v="0"/>
    <s v="RAFAEL"/>
  </r>
  <r>
    <n v="197832"/>
    <s v="FK"/>
    <s v="VANDE3101"/>
    <x v="1"/>
    <s v="CAMINHAO BEM-6E19"/>
    <n v="1245"/>
    <x v="14"/>
    <x v="14"/>
    <s v=""/>
    <x v="6"/>
    <s v="COMERCIAL"/>
    <n v="0"/>
    <s v="THAIS"/>
  </r>
  <r>
    <n v="197833"/>
    <s v="FK"/>
    <s v="ABIMAD 41"/>
    <x v="1"/>
    <s v="MARCOS LUKENCHUKE"/>
    <n v="145.29"/>
    <x v="14"/>
    <x v="14"/>
    <s v=""/>
    <x v="6"/>
    <s v="COMERCIAL"/>
    <n v="0"/>
    <s v="THAIS"/>
  </r>
  <r>
    <n v="197834"/>
    <s v="LAY"/>
    <s v="PENSÃO0226"/>
    <x v="1"/>
    <s v="LEANDRO OLIVEIRA DA SILVA PANICIO "/>
    <n v="1061.73"/>
    <x v="61"/>
    <x v="61"/>
    <s v=""/>
    <x v="9"/>
    <s v="DH"/>
    <s v="CUSTO MÃO DE OBRA DIRETA"/>
    <s v="RAFAEL"/>
  </r>
  <r>
    <n v="197835"/>
    <s v="LAY"/>
    <s v="PGTO0226"/>
    <x v="1"/>
    <s v="AGNIS CRISTINA MAUSSON"/>
    <n v="1485.24"/>
    <x v="7"/>
    <x v="7"/>
    <s v=""/>
    <x v="5"/>
    <s v="DH"/>
    <s v="CUSTO MÃO DE OBRA DIRETA"/>
    <s v="RAFAEL"/>
  </r>
  <r>
    <n v="197836"/>
    <s v="LAY"/>
    <s v="PGTO0226"/>
    <x v="1"/>
    <s v="AILTON DA SILVA"/>
    <n v="1819"/>
    <x v="61"/>
    <x v="61"/>
    <s v=""/>
    <x v="9"/>
    <s v="DH"/>
    <s v="CUSTO MÃO DE OBRA DIRETA"/>
    <s v="RAFAEL"/>
  </r>
  <r>
    <n v="197837"/>
    <s v="LAY"/>
    <s v="PGTO0226"/>
    <x v="1"/>
    <s v="ALESSANDRO DE OLIVEIRA"/>
    <n v="2825.37"/>
    <x v="7"/>
    <x v="7"/>
    <s v=""/>
    <x v="5"/>
    <s v="DH"/>
    <s v="CUSTO MÃO DE OBRA DIRETA"/>
    <s v="RAFAEL"/>
  </r>
  <r>
    <n v="197838"/>
    <s v="LAY"/>
    <s v="PGTO0226"/>
    <x v="1"/>
    <s v="ALEXANDRE ROBERTO BRESCHI"/>
    <n v="2065.14"/>
    <x v="7"/>
    <x v="7"/>
    <s v=""/>
    <x v="5"/>
    <s v="DH"/>
    <s v="CUSTO MÃO DE OBRA DIRETA"/>
    <s v="RAFAEL"/>
  </r>
  <r>
    <n v="197839"/>
    <s v="LAY"/>
    <s v="PGTO0226"/>
    <x v="1"/>
    <s v="ANDERSON DE OLIVEIRA MAFRA"/>
    <n v="3169.51"/>
    <x v="7"/>
    <x v="7"/>
    <s v=""/>
    <x v="5"/>
    <s v="DH"/>
    <s v="CUSTO MÃO DE OBRA DIRETA"/>
    <s v="RAFAEL"/>
  </r>
  <r>
    <n v="197840"/>
    <s v="LAY"/>
    <s v="PGTO0226"/>
    <x v="1"/>
    <s v="ANDRE FELIPE CARDOSO CANGUÇÚ"/>
    <n v="1721.12"/>
    <x v="18"/>
    <x v="18"/>
    <s v=""/>
    <x v="7"/>
    <s v="DH"/>
    <n v="0"/>
    <s v="RAFAEL"/>
  </r>
  <r>
    <n v="197841"/>
    <s v="LAY"/>
    <s v="PGTO0226"/>
    <x v="1"/>
    <s v="ANDREIA APARECIDA DE OLIVEIRA DUARTE"/>
    <n v="2387.38"/>
    <x v="7"/>
    <x v="7"/>
    <s v=""/>
    <x v="5"/>
    <s v="DH"/>
    <s v="CUSTO MÃO DE OBRA DIRETA"/>
    <s v="RAFAEL"/>
  </r>
  <r>
    <n v="197842"/>
    <s v="LAY"/>
    <s v="PGTO0226"/>
    <x v="1"/>
    <s v="ANDREIA CARULINA DE MORAES"/>
    <n v="2281.94"/>
    <x v="7"/>
    <x v="7"/>
    <s v=""/>
    <x v="5"/>
    <s v="DH"/>
    <s v="CUSTO MÃO DE OBRA DIRETA"/>
    <s v="RAFAEL"/>
  </r>
  <r>
    <n v="197843"/>
    <s v="LAY"/>
    <s v="PGTO0226"/>
    <x v="1"/>
    <s v="ANDREY ALMEIDA SILVA"/>
    <n v="3798.82"/>
    <x v="7"/>
    <x v="7"/>
    <s v=""/>
    <x v="5"/>
    <s v="DH"/>
    <s v="CUSTO MÃO DE OBRA DIRETA"/>
    <s v="RAFAEL"/>
  </r>
  <r>
    <n v="197844"/>
    <s v="LAY"/>
    <s v="PGTO0226"/>
    <x v="1"/>
    <s v="ANGELO BENTO PANTAROTTO JUNIOR"/>
    <n v="2457.3000000000002"/>
    <x v="7"/>
    <x v="7"/>
    <s v=""/>
    <x v="5"/>
    <s v="DH"/>
    <s v="CUSTO MÃO DE OBRA DIRETA"/>
    <s v="RAFAEL"/>
  </r>
  <r>
    <n v="197845"/>
    <s v="LAY"/>
    <s v="PGTO0226"/>
    <x v="1"/>
    <s v="ANTONIA ROSANGELA DE OLIVEIRA"/>
    <n v="3163.32"/>
    <x v="7"/>
    <x v="7"/>
    <s v=""/>
    <x v="5"/>
    <s v="DH"/>
    <s v="CUSTO MÃO DE OBRA DIRETA"/>
    <s v="RAFAEL"/>
  </r>
  <r>
    <n v="197846"/>
    <s v="LAY"/>
    <s v="PGTO0226"/>
    <x v="1"/>
    <s v="AURELIO HENRIQUE DE BORTOLI MOLLHOFF"/>
    <n v="2282.64"/>
    <x v="7"/>
    <x v="7"/>
    <s v=""/>
    <x v="5"/>
    <s v="DH"/>
    <s v="CUSTO MÃO DE OBRA DIRETA"/>
    <s v="RAFAEL"/>
  </r>
  <r>
    <n v="197847"/>
    <s v="LAY"/>
    <s v="PGTO0226"/>
    <x v="1"/>
    <s v="CINTIA VALERIA DE OLIVEIRA E OLIVEIRA"/>
    <n v="1818.87"/>
    <x v="7"/>
    <x v="7"/>
    <s v=""/>
    <x v="5"/>
    <s v="DH"/>
    <s v="CUSTO MÃO DE OBRA DIRETA"/>
    <s v="RAFAEL"/>
  </r>
  <r>
    <n v="197848"/>
    <s v="LAY"/>
    <s v="PGTO0226"/>
    <x v="1"/>
    <s v="CLAUDIO PEREZ GARCIA"/>
    <n v="1248.18"/>
    <x v="7"/>
    <x v="7"/>
    <s v=""/>
    <x v="5"/>
    <s v="DH"/>
    <s v="CUSTO MÃO DE OBRA DIRETA"/>
    <s v="RAFAEL"/>
  </r>
  <r>
    <n v="197849"/>
    <s v="LAY"/>
    <s v="PGTO0226"/>
    <x v="1"/>
    <s v="CLEIDE APARECIDA TRAZPADINI"/>
    <n v="1130.06"/>
    <x v="7"/>
    <x v="7"/>
    <s v=""/>
    <x v="5"/>
    <s v="DH"/>
    <s v="CUSTO MÃO DE OBRA DIRETA"/>
    <s v="RAFAEL"/>
  </r>
  <r>
    <n v="197850"/>
    <s v="LAY"/>
    <s v="PGTO0226"/>
    <x v="1"/>
    <s v="CRISTIANE MARIANO MACHADO"/>
    <n v="2481.0700000000002"/>
    <x v="7"/>
    <x v="7"/>
    <s v=""/>
    <x v="5"/>
    <s v="DH"/>
    <s v="CUSTO MÃO DE OBRA DIRETA"/>
    <s v="RAFAEL"/>
  </r>
  <r>
    <n v="197851"/>
    <s v="LAY"/>
    <s v="PGTO0226"/>
    <x v="1"/>
    <s v="DEVANIR LEITE MORAES"/>
    <n v="3571.58"/>
    <x v="7"/>
    <x v="7"/>
    <s v=""/>
    <x v="5"/>
    <s v="DH"/>
    <s v="CUSTO MÃO DE OBRA DIRETA"/>
    <s v="RAFAEL"/>
  </r>
  <r>
    <n v="197852"/>
    <s v="LAY"/>
    <s v="PGTO0226"/>
    <x v="1"/>
    <s v="DIOGENES DE ARCANJO PRIETO"/>
    <n v="2537.42"/>
    <x v="7"/>
    <x v="7"/>
    <s v=""/>
    <x v="5"/>
    <s v="DH"/>
    <s v="CUSTO MÃO DE OBRA DIRETA"/>
    <s v="RAFAEL"/>
  </r>
  <r>
    <n v="197853"/>
    <s v="LAY"/>
    <s v="PGTO0226"/>
    <x v="1"/>
    <s v="DIOGO FERREIRA DOS SANTOS"/>
    <n v="2995.55"/>
    <x v="7"/>
    <x v="7"/>
    <s v=""/>
    <x v="5"/>
    <s v="DH"/>
    <s v="CUSTO MÃO DE OBRA DIRETA"/>
    <s v="RAFAEL"/>
  </r>
  <r>
    <n v="197854"/>
    <s v="LAY"/>
    <s v="PGTO0226"/>
    <x v="1"/>
    <s v="EDINEUZA DA SILVA"/>
    <n v="2571.11"/>
    <x v="7"/>
    <x v="7"/>
    <s v=""/>
    <x v="5"/>
    <s v="DH"/>
    <s v="CUSTO MÃO DE OBRA DIRETA"/>
    <s v="RAFAEL"/>
  </r>
  <r>
    <n v="197855"/>
    <s v="LAY"/>
    <s v="PGTO0226"/>
    <x v="1"/>
    <s v="ELENICE VIEIRA DOS SANTOS"/>
    <n v="1683.89"/>
    <x v="18"/>
    <x v="18"/>
    <s v=""/>
    <x v="7"/>
    <s v="DH"/>
    <n v="0"/>
    <s v="RAFAEL"/>
  </r>
  <r>
    <n v="197856"/>
    <s v="LAY"/>
    <s v="PGTO0226"/>
    <x v="1"/>
    <s v="ELLEN LETICIA  PORTELA GUSMÃO"/>
    <n v="1934.89"/>
    <x v="7"/>
    <x v="7"/>
    <s v=""/>
    <x v="5"/>
    <s v="DH"/>
    <s v="CUSTO MÃO DE OBRA DIRETA"/>
    <s v="RAFAEL"/>
  </r>
  <r>
    <n v="197857"/>
    <s v="LAY"/>
    <s v="PGTO0226"/>
    <x v="1"/>
    <s v="ERICO NATAN DA SILVA OLIVEIRA"/>
    <n v="1708.96"/>
    <x v="7"/>
    <x v="7"/>
    <s v=""/>
    <x v="5"/>
    <s v="DH"/>
    <s v="CUSTO MÃO DE OBRA DIRETA"/>
    <s v="RAFAEL"/>
  </r>
  <r>
    <n v="197858"/>
    <s v="LAY"/>
    <s v="PGTO0226"/>
    <x v="1"/>
    <s v="EUDES ALVES DE BARROS"/>
    <n v="2991.17"/>
    <x v="18"/>
    <x v="18"/>
    <s v=""/>
    <x v="7"/>
    <s v="DH"/>
    <n v="0"/>
    <s v="RAFAEL"/>
  </r>
  <r>
    <n v="197859"/>
    <s v="LAY"/>
    <s v="PGTO0226"/>
    <x v="1"/>
    <s v="FAGNER DA SILVA TOMACHESKI"/>
    <n v="2774.65"/>
    <x v="7"/>
    <x v="7"/>
    <s v=""/>
    <x v="5"/>
    <s v="DH"/>
    <s v="CUSTO MÃO DE OBRA DIRETA"/>
    <s v="RAFAEL"/>
  </r>
  <r>
    <n v="197860"/>
    <s v="LAY"/>
    <s v="PGTO0226"/>
    <x v="1"/>
    <s v="FLAVIO FERREIRA DOS SANTOS"/>
    <n v="4057.19"/>
    <x v="18"/>
    <x v="18"/>
    <s v=""/>
    <x v="7"/>
    <s v="DH"/>
    <n v="0"/>
    <s v="RAFAEL"/>
  </r>
  <r>
    <n v="197861"/>
    <s v="LAY"/>
    <s v="PGTO0226"/>
    <x v="1"/>
    <s v="GABRIEL CARLOS DA SILVA"/>
    <n v="2585.13"/>
    <x v="7"/>
    <x v="7"/>
    <s v=""/>
    <x v="5"/>
    <s v="DH"/>
    <s v="CUSTO MÃO DE OBRA DIRETA"/>
    <s v="RAFAEL"/>
  </r>
  <r>
    <n v="197862"/>
    <s v="LAY"/>
    <s v="PGTO0226"/>
    <x v="1"/>
    <s v="JESSICA DA SILVA MONTEIRO FERREIRA"/>
    <n v="1785.41"/>
    <x v="7"/>
    <x v="7"/>
    <s v=""/>
    <x v="5"/>
    <s v="DH"/>
    <s v="CUSTO MÃO DE OBRA DIRETA"/>
    <s v="RAFAEL"/>
  </r>
  <r>
    <n v="197863"/>
    <s v="LAY"/>
    <s v="PGTO0226"/>
    <x v="1"/>
    <s v="JOÃO OTAVIO NORONHA MARTINS"/>
    <n v="1924.43"/>
    <x v="61"/>
    <x v="61"/>
    <s v=""/>
    <x v="9"/>
    <s v="DH"/>
    <s v="CUSTO MÃO DE OBRA DIRETA"/>
    <s v="RAFAEL"/>
  </r>
  <r>
    <n v="197864"/>
    <s v="LAY"/>
    <s v="PGTO0226"/>
    <x v="1"/>
    <s v="JOAO PAULO APARECIDO DONER MACEDO"/>
    <n v="2023.02"/>
    <x v="7"/>
    <x v="7"/>
    <s v=""/>
    <x v="5"/>
    <s v="DH"/>
    <s v="CUSTO MÃO DE OBRA DIRETA"/>
    <s v="RAFAEL"/>
  </r>
  <r>
    <n v="197865"/>
    <s v="LAY"/>
    <s v="PGTO0226"/>
    <x v="1"/>
    <s v="JORDANA DENARDI DOS SANTOS CAVALCANTE"/>
    <n v="1907.76"/>
    <x v="7"/>
    <x v="7"/>
    <s v=""/>
    <x v="5"/>
    <s v="DH"/>
    <s v="CUSTO MÃO DE OBRA DIRETA"/>
    <s v="RAFAEL"/>
  </r>
  <r>
    <n v="197866"/>
    <s v="LAY"/>
    <s v="PGTO0226"/>
    <x v="1"/>
    <s v="JOSE RAIMUNDO ISIDORO BUENO"/>
    <n v="3135"/>
    <x v="7"/>
    <x v="7"/>
    <s v=""/>
    <x v="5"/>
    <s v="DH"/>
    <s v="CUSTO MÃO DE OBRA DIRETA"/>
    <s v="RAFAEL"/>
  </r>
  <r>
    <n v="197867"/>
    <s v="LAY"/>
    <s v="PGTO0226"/>
    <x v="1"/>
    <s v="JULIANA DA SILVA NARCISO"/>
    <n v="1929.93"/>
    <x v="18"/>
    <x v="18"/>
    <s v=""/>
    <x v="7"/>
    <s v="DH"/>
    <n v="0"/>
    <s v="RAFAEL"/>
  </r>
  <r>
    <n v="197868"/>
    <s v="LAY"/>
    <s v="PGTO0226"/>
    <x v="1"/>
    <s v="LEANDRO APARECIDO MIAZO"/>
    <n v="3672.38"/>
    <x v="18"/>
    <x v="18"/>
    <s v=""/>
    <x v="7"/>
    <s v="DH"/>
    <n v="0"/>
    <s v="RAFAEL"/>
  </r>
  <r>
    <n v="197869"/>
    <s v="LAY"/>
    <s v="PGTO0226"/>
    <x v="1"/>
    <s v="LEANDRO JOSE BOSSO"/>
    <n v="3381.15"/>
    <x v="61"/>
    <x v="61"/>
    <s v=""/>
    <x v="9"/>
    <s v="DH"/>
    <s v="CUSTO MÃO DE OBRA DIRETA"/>
    <s v="RAFAEL"/>
  </r>
  <r>
    <n v="197870"/>
    <s v="LAY"/>
    <s v="PGTO0226"/>
    <x v="1"/>
    <s v="LEANDRO OLIVEIRA DA SILVA PANICIO "/>
    <n v="1852.48"/>
    <x v="61"/>
    <x v="61"/>
    <s v=""/>
    <x v="9"/>
    <s v="DH"/>
    <s v="CUSTO MÃO DE OBRA DIRETA"/>
    <s v="RAFAEL"/>
  </r>
  <r>
    <n v="197871"/>
    <s v="LAY"/>
    <s v="PGTO0226"/>
    <x v="1"/>
    <s v="LUIZ FERNANDO SANCHES FACCI"/>
    <n v="2694.86"/>
    <x v="7"/>
    <x v="7"/>
    <s v=""/>
    <x v="5"/>
    <s v="DH"/>
    <s v="CUSTO MÃO DE OBRA DIRETA"/>
    <s v="RAFAEL"/>
  </r>
  <r>
    <n v="197872"/>
    <s v="LAY"/>
    <s v="PGTO0226"/>
    <x v="1"/>
    <s v="MAIELE APARECIDA CAMANHO"/>
    <n v="3103.6"/>
    <x v="61"/>
    <x v="61"/>
    <s v=""/>
    <x v="9"/>
    <s v="DH"/>
    <s v="CUSTO MÃO DE OBRA DIRETA"/>
    <s v="RAFAEL"/>
  </r>
  <r>
    <n v="197873"/>
    <s v="LAY"/>
    <s v="PGTO0226"/>
    <x v="1"/>
    <s v="MARCIO MARSOLA"/>
    <n v="3663.13"/>
    <x v="7"/>
    <x v="7"/>
    <s v=""/>
    <x v="5"/>
    <s v="DH"/>
    <s v="CUSTO MÃO DE OBRA DIRETA"/>
    <s v="RAFAEL"/>
  </r>
  <r>
    <n v="197874"/>
    <s v="LAY"/>
    <s v="PGTO0226"/>
    <x v="1"/>
    <s v="MARCOS ADRIANO GARCIA"/>
    <n v="3228.61"/>
    <x v="7"/>
    <x v="7"/>
    <s v=""/>
    <x v="5"/>
    <s v="DH"/>
    <s v="CUSTO MÃO DE OBRA DIRETA"/>
    <s v="RAFAEL"/>
  </r>
  <r>
    <n v="197875"/>
    <s v="LAY"/>
    <s v="PGTO0226"/>
    <x v="1"/>
    <s v="MATEUS CRUZ DE FREITAS"/>
    <n v="2861.83"/>
    <x v="7"/>
    <x v="7"/>
    <s v=""/>
    <x v="5"/>
    <s v="DH"/>
    <s v="CUSTO MÃO DE OBRA DIRETA"/>
    <s v="RAFAEL"/>
  </r>
  <r>
    <n v="197876"/>
    <s v="LAY"/>
    <s v="PGTO0226"/>
    <x v="1"/>
    <s v="OTAVIO REINOF LOPES"/>
    <n v="2308.69"/>
    <x v="7"/>
    <x v="7"/>
    <s v=""/>
    <x v="5"/>
    <s v="DH"/>
    <s v="CUSTO MÃO DE OBRA DIRETA"/>
    <s v="RAFAEL"/>
  </r>
  <r>
    <n v="197877"/>
    <s v="LAY"/>
    <s v="PGTO0226"/>
    <x v="1"/>
    <s v="PATRICIA PEREIRA DOS SANTOS DE OLIVEIRA"/>
    <n v="2279.31"/>
    <x v="7"/>
    <x v="7"/>
    <s v=""/>
    <x v="5"/>
    <s v="DH"/>
    <s v="CUSTO MÃO DE OBRA DIRETA"/>
    <s v="RAFAEL"/>
  </r>
  <r>
    <n v="197878"/>
    <s v="LAY"/>
    <s v="PGTO0226"/>
    <x v="1"/>
    <s v="PEDRO HENRIQUE RODRIGUES DOS SANTOS"/>
    <n v="2559.8200000000002"/>
    <x v="7"/>
    <x v="7"/>
    <s v=""/>
    <x v="5"/>
    <s v="DH"/>
    <s v="CUSTO MÃO DE OBRA DIRETA"/>
    <s v="RAFAEL"/>
  </r>
  <r>
    <n v="197879"/>
    <s v="LAY"/>
    <s v="PGTO0226"/>
    <x v="1"/>
    <s v="RAIMUNDO GONZAGA DA SILVA NETO"/>
    <n v="2555.86"/>
    <x v="18"/>
    <x v="18"/>
    <s v=""/>
    <x v="7"/>
    <s v="DH"/>
    <n v="0"/>
    <s v="RAFAEL"/>
  </r>
  <r>
    <n v="197880"/>
    <s v="LAY"/>
    <s v="PGTO0226"/>
    <x v="1"/>
    <s v="RENATA DE SOUZA FUMAGALLI TOMACHESKI"/>
    <n v="3312.27"/>
    <x v="7"/>
    <x v="7"/>
    <s v=""/>
    <x v="5"/>
    <s v="DH"/>
    <s v="CUSTO MÃO DE OBRA DIRETA"/>
    <s v="RAFAEL"/>
  </r>
  <r>
    <n v="197881"/>
    <s v="LAY"/>
    <s v="PGTO0226"/>
    <x v="1"/>
    <s v="RICARDO AUGUSTO PINTO DE SANTANA"/>
    <n v="2472.1"/>
    <x v="7"/>
    <x v="7"/>
    <s v=""/>
    <x v="5"/>
    <s v="DH"/>
    <s v="CUSTO MÃO DE OBRA DIRETA"/>
    <s v="RAFAEL"/>
  </r>
  <r>
    <n v="197882"/>
    <s v="LAY"/>
    <s v="PGTO0226"/>
    <x v="1"/>
    <s v="ROBERTO NOGAROTTO JUNIOR"/>
    <n v="2841.52"/>
    <x v="7"/>
    <x v="7"/>
    <s v=""/>
    <x v="5"/>
    <s v="DH"/>
    <s v="CUSTO MÃO DE OBRA DIRETA"/>
    <s v="RAFAEL"/>
  </r>
  <r>
    <n v="197883"/>
    <s v="LAY"/>
    <s v="PGTO0226"/>
    <x v="1"/>
    <s v="RODRIGO GONÇALVES BRIGANTINI"/>
    <n v="3150.3"/>
    <x v="7"/>
    <x v="7"/>
    <s v=""/>
    <x v="5"/>
    <s v="DH"/>
    <s v="CUSTO MÃO DE OBRA DIRETA"/>
    <s v="RAFAEL"/>
  </r>
  <r>
    <n v="197884"/>
    <s v="LAY"/>
    <s v="PGTO0226"/>
    <x v="1"/>
    <s v="RUTH FERNANDES FREITAS"/>
    <n v="1670.26"/>
    <x v="18"/>
    <x v="18"/>
    <s v=""/>
    <x v="7"/>
    <s v="DH"/>
    <n v="0"/>
    <s v="RAFAEL"/>
  </r>
  <r>
    <n v="197885"/>
    <s v="LAY"/>
    <s v="PGTO0226"/>
    <x v="1"/>
    <s v="SAULO JOSE PINTO DE SANTANA"/>
    <n v="2938.26"/>
    <x v="7"/>
    <x v="7"/>
    <s v=""/>
    <x v="5"/>
    <s v="DH"/>
    <s v="CUSTO MÃO DE OBRA DIRETA"/>
    <s v="RAFAEL"/>
  </r>
  <r>
    <n v="197886"/>
    <s v="LAY"/>
    <s v="PGTO0226"/>
    <x v="1"/>
    <s v="SIDNEI PEREIRA DA COSTA"/>
    <n v="1919.65"/>
    <x v="61"/>
    <x v="61"/>
    <s v=""/>
    <x v="9"/>
    <s v="DH"/>
    <s v="CUSTO MÃO DE OBRA DIRETA"/>
    <s v="RAFAEL"/>
  </r>
  <r>
    <n v="197887"/>
    <s v="LAY"/>
    <s v="PGTO0226"/>
    <x v="1"/>
    <s v="SILVANA DA SILVA RAFAEL GARUZI"/>
    <n v="1906.83"/>
    <x v="7"/>
    <x v="7"/>
    <s v=""/>
    <x v="5"/>
    <s v="DH"/>
    <s v="CUSTO MÃO DE OBRA DIRETA"/>
    <s v="RAFAEL"/>
  </r>
  <r>
    <n v="197888"/>
    <s v="LAY"/>
    <s v="PGTO0226"/>
    <x v="1"/>
    <s v="VANDERLEI ALVES BATISTA"/>
    <n v="3894.38"/>
    <x v="61"/>
    <x v="61"/>
    <s v=""/>
    <x v="9"/>
    <s v="DH"/>
    <s v="CUSTO MÃO DE OBRA DIRETA"/>
    <s v="RAFAEL"/>
  </r>
  <r>
    <n v="197889"/>
    <s v="LAY"/>
    <s v="PGTO0226"/>
    <x v="1"/>
    <s v="WILSON APARECIDO BOLETTE"/>
    <n v="2995.44"/>
    <x v="7"/>
    <x v="7"/>
    <s v=""/>
    <x v="5"/>
    <s v="DH"/>
    <s v="CUSTO MÃO DE OBRA DIRETA"/>
    <s v="RAFAEL"/>
  </r>
  <r>
    <n v="197890"/>
    <s v="KAR"/>
    <s v="16-31JA26"/>
    <x v="36"/>
    <s v="ANA VERA ANDRADE CUNHA"/>
    <n v="2846.95"/>
    <x v="47"/>
    <x v="47"/>
    <s v=""/>
    <x v="6"/>
    <s v="COMERCIAL"/>
    <n v="0"/>
    <s v="LETÍCIA"/>
  </r>
  <r>
    <n v="197891"/>
    <s v="KAR"/>
    <s v="PGTO0226"/>
    <x v="1"/>
    <s v="CELIO ROBERTO GARCIA"/>
    <n v="2807.74"/>
    <x v="7"/>
    <x v="7"/>
    <s v=""/>
    <x v="5"/>
    <s v="DH"/>
    <s v="CUSTO MÃO DE OBRA DIRETA"/>
    <s v="RAFAEL"/>
  </r>
  <r>
    <n v="197892"/>
    <s v="KAR"/>
    <s v="16-31JA26"/>
    <x v="36"/>
    <s v="BELA CASA REPRESENTAÇOES LTDA"/>
    <n v="1070.74"/>
    <x v="47"/>
    <x v="47"/>
    <s v=""/>
    <x v="6"/>
    <s v="COMERCIAL"/>
    <n v="0"/>
    <s v="LETÍCIA"/>
  </r>
  <r>
    <n v="197893"/>
    <s v="KAR"/>
    <s v="16-31JA26"/>
    <x v="36"/>
    <s v="ELAINE DE OLIVEIRA TESSARO"/>
    <n v="6733.79"/>
    <x v="47"/>
    <x v="47"/>
    <s v=""/>
    <x v="6"/>
    <s v="COMERCIAL"/>
    <n v="0"/>
    <s v="LETÍCIA"/>
  </r>
  <r>
    <n v="197894"/>
    <s v="KAR"/>
    <s v="16-31JA26"/>
    <x v="36"/>
    <s v="ILHA BELLA COM E REPRESENTAÇOES LTDA"/>
    <n v="3479.3"/>
    <x v="47"/>
    <x v="47"/>
    <s v=""/>
    <x v="6"/>
    <s v="COMERCIAL"/>
    <n v="0"/>
    <s v="LETÍCIA"/>
  </r>
  <r>
    <n v="197895"/>
    <s v="KAR"/>
    <s v="16-31JA26"/>
    <x v="36"/>
    <s v="JUAN JOSE IGLESIAS CARBALLO"/>
    <n v="158.46"/>
    <x v="47"/>
    <x v="47"/>
    <s v=""/>
    <x v="6"/>
    <s v="COMERCIAL"/>
    <n v="0"/>
    <s v="LETÍCIA"/>
  </r>
  <r>
    <n v="197897"/>
    <s v="KAR"/>
    <s v="16-31JA26"/>
    <x v="36"/>
    <s v="LIGHT REPRESENTAÇÕES LTDA"/>
    <n v="442.3"/>
    <x v="47"/>
    <x v="47"/>
    <s v=""/>
    <x v="6"/>
    <s v="COMERCIAL"/>
    <n v="0"/>
    <s v="LETÍCIA"/>
  </r>
  <r>
    <n v="197898"/>
    <s v="KAR"/>
    <s v="16-31JA26"/>
    <x v="36"/>
    <s v="MARTINS REPRESENTAÇÕES E VENDAS EIRELLI"/>
    <n v="2352.5"/>
    <x v="47"/>
    <x v="47"/>
    <s v=""/>
    <x v="6"/>
    <s v="COMERCIAL"/>
    <n v="0"/>
    <s v="LETÍCIA"/>
  </r>
  <r>
    <n v="197899"/>
    <s v="KAR"/>
    <s v="16-31JA26"/>
    <x v="36"/>
    <s v="PVJ REPRESENTAÇÕES LTDA"/>
    <n v="4466.3"/>
    <x v="47"/>
    <x v="47"/>
    <s v=""/>
    <x v="6"/>
    <s v="COMERCIAL"/>
    <n v="0"/>
    <s v="LETÍCIA"/>
  </r>
  <r>
    <n v="197900"/>
    <s v="KAR"/>
    <s v="16-31JA26"/>
    <x v="36"/>
    <s v="RICARDO CARVALHO DALANHOL"/>
    <n v="542.51"/>
    <x v="47"/>
    <x v="47"/>
    <s v=""/>
    <x v="6"/>
    <s v="COMERCIAL"/>
    <n v="0"/>
    <s v="LETÍCIA"/>
  </r>
  <r>
    <n v="197901"/>
    <s v="FK"/>
    <s v="16-31JA26"/>
    <x v="36"/>
    <s v="ANA VERA ANDRADE CUNHA"/>
    <n v="385.86"/>
    <x v="47"/>
    <x v="47"/>
    <s v=""/>
    <x v="6"/>
    <s v="COMERCIAL"/>
    <n v="0"/>
    <s v="LETÍCIA"/>
  </r>
  <r>
    <n v="197902"/>
    <s v="FK"/>
    <s v="16-31JA26"/>
    <x v="36"/>
    <s v="BELA CASA REPRESENTAÇOES LTDA"/>
    <n v="113.37"/>
    <x v="47"/>
    <x v="47"/>
    <s v=""/>
    <x v="6"/>
    <s v="COMERCIAL"/>
    <n v="0"/>
    <s v="LETÍCIA"/>
  </r>
  <r>
    <n v="197903"/>
    <s v="FK"/>
    <s v="16-31JA26"/>
    <x v="36"/>
    <s v="ELAINE DE OLIVEIRA TESSARO"/>
    <n v="183.96"/>
    <x v="47"/>
    <x v="47"/>
    <s v=""/>
    <x v="6"/>
    <s v="COMERCIAL"/>
    <n v="0"/>
    <s v="LETÍCIA"/>
  </r>
  <r>
    <n v="197904"/>
    <s v="FK"/>
    <s v="16-31JA26"/>
    <x v="36"/>
    <s v="JUAN JOSE IGLESIAS CARBALLO"/>
    <n v="90.19"/>
    <x v="47"/>
    <x v="47"/>
    <s v=""/>
    <x v="6"/>
    <s v="COMERCIAL"/>
    <n v="0"/>
    <s v="LETÍCIA"/>
  </r>
  <r>
    <n v="197905"/>
    <s v="FK"/>
    <s v="16-31JA26"/>
    <x v="36"/>
    <s v="MARTINS REPRESENTAÇÕES E VENDAS EIRELLI"/>
    <n v="625.67999999999995"/>
    <x v="47"/>
    <x v="47"/>
    <s v=""/>
    <x v="6"/>
    <s v="COMERCIAL"/>
    <n v="0"/>
    <s v="LETÍCIA"/>
  </r>
  <r>
    <n v="197906"/>
    <s v="FK"/>
    <s v="16-31JA26"/>
    <x v="36"/>
    <s v="PVJ REPRESENTAÇÕES LTDA"/>
    <n v="650.89"/>
    <x v="47"/>
    <x v="47"/>
    <s v=""/>
    <x v="6"/>
    <s v="COMERCIAL"/>
    <n v="0"/>
    <s v="LETÍCIA"/>
  </r>
  <r>
    <n v="197908"/>
    <s v="KOY"/>
    <s v="16-31JA26"/>
    <x v="36"/>
    <s v="BELA CASA REPRESENTAÇOES LTDA"/>
    <n v="201"/>
    <x v="47"/>
    <x v="47"/>
    <s v=""/>
    <x v="6"/>
    <s v="COMERCIAL"/>
    <n v="0"/>
    <s v="LETÍCIA"/>
  </r>
  <r>
    <n v="197909"/>
    <s v="KOY"/>
    <s v="16-31JA26"/>
    <x v="36"/>
    <s v="ELAINE DE OLIVEIRA TESSARO"/>
    <n v="1062.9000000000001"/>
    <x v="47"/>
    <x v="47"/>
    <s v=""/>
    <x v="6"/>
    <s v="COMERCIAL"/>
    <n v="0"/>
    <s v="LETÍCIA"/>
  </r>
  <r>
    <n v="197910"/>
    <s v="KOY"/>
    <s v="16-31JA26"/>
    <x v="36"/>
    <s v="ILHA BELLA COM E REPRESENTAÇOES LTDA"/>
    <n v="898.8"/>
    <x v="47"/>
    <x v="47"/>
    <s v=""/>
    <x v="6"/>
    <s v="COMERCIAL"/>
    <n v="0"/>
    <s v="LETÍCIA"/>
  </r>
  <r>
    <n v="197911"/>
    <s v="KOY"/>
    <s v="16-31JA26"/>
    <x v="36"/>
    <s v="JUAN JOSE IGLESIAS CARBALLO"/>
    <n v="190.31"/>
    <x v="47"/>
    <x v="47"/>
    <s v=""/>
    <x v="6"/>
    <s v="COMERCIAL"/>
    <n v="0"/>
    <s v="LETÍCIA"/>
  </r>
  <r>
    <n v="197912"/>
    <s v="KOY"/>
    <s v="16-31JA26"/>
    <x v="36"/>
    <s v="LIGHT REPRESENTAÇÕES LTDA"/>
    <n v="77.83"/>
    <x v="47"/>
    <x v="47"/>
    <s v=""/>
    <x v="6"/>
    <s v="COMERCIAL"/>
    <n v="0"/>
    <s v="LETÍCIA"/>
  </r>
  <r>
    <n v="197913"/>
    <s v="KOY"/>
    <s v="16-31JA26"/>
    <x v="36"/>
    <s v="MARTINS REPRESENTAÇÕES E VENDAS EIRELLI"/>
    <n v="412.17"/>
    <x v="47"/>
    <x v="47"/>
    <s v=""/>
    <x v="6"/>
    <s v="COMERCIAL"/>
    <n v="0"/>
    <s v="LETÍCIA"/>
  </r>
  <r>
    <n v="197914"/>
    <s v="KOY"/>
    <s v="16-31JA26"/>
    <x v="36"/>
    <s v="PVJ REPRESENTAÇÕES LTDA"/>
    <n v="608.91"/>
    <x v="47"/>
    <x v="47"/>
    <s v=""/>
    <x v="6"/>
    <s v="COMERCIAL"/>
    <n v="0"/>
    <s v="LETÍCIA"/>
  </r>
  <r>
    <n v="197916"/>
    <s v="LAY"/>
    <s v="16-31JA26"/>
    <x v="36"/>
    <s v="ANA VERA ANDRADE CUNHA"/>
    <n v="612.22"/>
    <x v="47"/>
    <x v="47"/>
    <s v=""/>
    <x v="6"/>
    <s v="COMERCIAL"/>
    <n v="0"/>
    <s v="LETÍCIA"/>
  </r>
  <r>
    <n v="197918"/>
    <s v="LAY"/>
    <s v="16-31JA26"/>
    <x v="36"/>
    <s v="BELA CASA REPRESENTAÇOES LTDA"/>
    <n v="338.93"/>
    <x v="47"/>
    <x v="47"/>
    <s v=""/>
    <x v="6"/>
    <s v="COMERCIAL"/>
    <n v="0"/>
    <s v="LETÍCIA"/>
  </r>
  <r>
    <n v="197919"/>
    <s v="FK"/>
    <s v="FAB200226"/>
    <x v="36"/>
    <s v="UNIMED DE PARANAVAI COOPERATIVA DE TRABALHO MEDICO"/>
    <n v="1370.85"/>
    <x v="15"/>
    <x v="15"/>
    <s v=""/>
    <x v="7"/>
    <s v="DIRETORIA"/>
    <n v="0"/>
    <s v="FÁBIO"/>
  </r>
  <r>
    <n v="197920"/>
    <s v="LAY"/>
    <s v="16-31JA26"/>
    <x v="36"/>
    <s v="ELAINE DE OLIVEIRA TESSARO"/>
    <n v="95.4"/>
    <x v="47"/>
    <x v="47"/>
    <s v=""/>
    <x v="6"/>
    <s v="COMERCIAL"/>
    <n v="0"/>
    <s v="LETÍCIA"/>
  </r>
  <r>
    <n v="197921"/>
    <s v="LAY"/>
    <s v="16-31JA26"/>
    <x v="36"/>
    <s v="ILHA BELLA COM E REPRESENTAÇOES LTDA"/>
    <n v="273.32"/>
    <x v="47"/>
    <x v="47"/>
    <s v=""/>
    <x v="6"/>
    <s v="COMERCIAL"/>
    <n v="0"/>
    <s v="LETÍCIA"/>
  </r>
  <r>
    <n v="197922"/>
    <s v="LAY"/>
    <s v="16-31JA26"/>
    <x v="36"/>
    <s v="JUAN JOSE IGLESIAS CARBALLO"/>
    <n v="296.79000000000002"/>
    <x v="47"/>
    <x v="47"/>
    <s v=""/>
    <x v="6"/>
    <s v="COMERCIAL"/>
    <n v="0"/>
    <s v="LETÍCIA"/>
  </r>
  <r>
    <n v="197923"/>
    <s v="LAY"/>
    <s v="16-31JA26"/>
    <x v="36"/>
    <s v="LIGHT REPRESENTAÇÕES LTDA"/>
    <n v="542.51"/>
    <x v="47"/>
    <x v="47"/>
    <s v=""/>
    <x v="6"/>
    <s v="COMERCIAL"/>
    <n v="0"/>
    <s v="LETÍCIA"/>
  </r>
  <r>
    <n v="197924"/>
    <s v="LAY"/>
    <s v="16-31JA26"/>
    <x v="36"/>
    <s v="MARTINS REPRESENTAÇÕES E VENDAS EIRELLI"/>
    <n v="602.14"/>
    <x v="47"/>
    <x v="47"/>
    <s v=""/>
    <x v="6"/>
    <s v="COMERCIAL"/>
    <n v="0"/>
    <s v="LETÍCIA"/>
  </r>
  <r>
    <n v="197925"/>
    <s v="LAY"/>
    <s v="16-31JA26"/>
    <x v="36"/>
    <s v="PVJ REPRESENTAÇÕES LTDA"/>
    <n v="1377.34"/>
    <x v="47"/>
    <x v="47"/>
    <s v=""/>
    <x v="6"/>
    <s v="COMERCIAL"/>
    <n v="0"/>
    <s v="LETÍCIA"/>
  </r>
  <r>
    <n v="197926"/>
    <s v="LAY"/>
    <s v="16-31JA26"/>
    <x v="36"/>
    <s v="RICARDO CARVALHO DALANHOL"/>
    <n v="281.52999999999997"/>
    <x v="47"/>
    <x v="47"/>
    <s v=""/>
    <x v="6"/>
    <s v="COMERCIAL"/>
    <n v="0"/>
    <s v="LETÍCIA"/>
  </r>
  <r>
    <n v="197927"/>
    <s v="FK"/>
    <s v="SUE200226"/>
    <x v="36"/>
    <s v="UNIMED DE PARANAVAI COOPERATIVA DE TRABALHO MEDICO"/>
    <n v="1620.03"/>
    <x v="15"/>
    <x v="15"/>
    <s v=""/>
    <x v="7"/>
    <s v="DIRETORIA"/>
    <n v="0"/>
    <s v="FÁBIO"/>
  </r>
  <r>
    <n v="197928"/>
    <s v="FK"/>
    <s v="KAR200226"/>
    <x v="36"/>
    <s v="UNIMED DE PARANAVAI COOPERATIVA DE TRABALHO MEDICO"/>
    <n v="808.51"/>
    <x v="15"/>
    <x v="15"/>
    <s v=""/>
    <x v="7"/>
    <s v="DIRETORIA"/>
    <n v="0"/>
    <s v="FÁBIO"/>
  </r>
  <r>
    <n v="197929"/>
    <s v="FK"/>
    <s v="MYL200226"/>
    <x v="36"/>
    <s v="UNIMED DE PARANAVAI COOPERATIVA DE TRABALHO MEDICO"/>
    <n v="808.51"/>
    <x v="15"/>
    <x v="15"/>
    <s v=""/>
    <x v="7"/>
    <s v="DIRETORIA"/>
    <n v="0"/>
    <s v="FÁBIO"/>
  </r>
  <r>
    <n v="197930"/>
    <s v="FK"/>
    <s v="RAF200226"/>
    <x v="36"/>
    <s v="UNIMED DE PARANAVAI COOPERATIVA DE TRABALHO MEDICO"/>
    <n v="1409.41"/>
    <x v="15"/>
    <x v="15"/>
    <s v=""/>
    <x v="7"/>
    <s v="DIRETORIA"/>
    <n v="0"/>
    <s v="FÁBIO"/>
  </r>
  <r>
    <n v="197931"/>
    <s v="KAR"/>
    <s v="01-31JA26"/>
    <x v="1"/>
    <s v="METTA WORKS DESING LTDA - ME"/>
    <n v="1045.75"/>
    <x v="77"/>
    <x v="77"/>
    <s v=""/>
    <x v="6"/>
    <s v="COMERCIAL"/>
    <n v="0"/>
    <s v="LETÍCIA"/>
  </r>
  <r>
    <n v="197932"/>
    <s v="KAR"/>
    <s v="01-31JA26"/>
    <x v="1"/>
    <s v="MOLLDE SERVIÇOS"/>
    <n v="13976.29"/>
    <x v="77"/>
    <x v="77"/>
    <s v=""/>
    <x v="6"/>
    <s v="COMERCIAL"/>
    <n v="0"/>
    <s v="LETÍCIA"/>
  </r>
  <r>
    <n v="197933"/>
    <s v="KAR"/>
    <s v="01-31JA26"/>
    <x v="1"/>
    <s v="SANTELLI COMERCIO DE ARTIGOS DE DECORACAO LTDA"/>
    <n v="8043.36"/>
    <x v="77"/>
    <x v="77"/>
    <s v=""/>
    <x v="6"/>
    <s v="COMERCIAL"/>
    <n v="0"/>
    <s v="LETÍCIA"/>
  </r>
  <r>
    <n v="197934"/>
    <s v="KAR"/>
    <s v="01-31JA26"/>
    <x v="1"/>
    <s v="GABRIEL ANTUNES HENKE CARRANO"/>
    <n v="157"/>
    <x v="77"/>
    <x v="77"/>
    <s v=""/>
    <x v="6"/>
    <s v="COMERCIAL"/>
    <n v="0"/>
    <s v="LETÍCIA"/>
  </r>
  <r>
    <n v="197935"/>
    <s v="KAR"/>
    <s v="01-31JA26"/>
    <x v="1"/>
    <s v="CARLOS ALEXANDRE ARRALDE ALVES"/>
    <n v="961.45"/>
    <x v="77"/>
    <x v="77"/>
    <s v=""/>
    <x v="6"/>
    <s v="COMERCIAL"/>
    <n v="0"/>
    <s v="LETÍCIA"/>
  </r>
  <r>
    <n v="197936"/>
    <s v="KAR"/>
    <s v="01-31JA26"/>
    <x v="1"/>
    <s v="CONTRAPONTO DESIGN- SERVIÇOS DE DESIGN DE PRODUTOS"/>
    <n v="375.03"/>
    <x v="77"/>
    <x v="77"/>
    <s v=""/>
    <x v="6"/>
    <s v="COMERCIAL"/>
    <n v="0"/>
    <s v="LETÍCIA"/>
  </r>
  <r>
    <n v="197937"/>
    <s v="KAR"/>
    <s v="01-31JA26"/>
    <x v="1"/>
    <s v="KLIVISSON DENNISON C. DOS SANTOS 06534931427"/>
    <n v="1139.27"/>
    <x v="77"/>
    <x v="77"/>
    <s v=""/>
    <x v="6"/>
    <s v="COMERCIAL"/>
    <n v="0"/>
    <s v="LETÍCIA"/>
  </r>
  <r>
    <n v="197938"/>
    <s v="KOY"/>
    <s v="01-31JA26"/>
    <x v="1"/>
    <s v="MOLLDE SERVIÇOS"/>
    <n v="1756.14"/>
    <x v="77"/>
    <x v="77"/>
    <s v=""/>
    <x v="6"/>
    <s v="COMERCIAL"/>
    <n v="0"/>
    <s v="LETÍCIA"/>
  </r>
  <r>
    <n v="197939"/>
    <s v="KOY"/>
    <s v="01-31JA26"/>
    <x v="1"/>
    <s v="SANTELLI COMERCIO DE ARTIGOS DE DECORACAO LTDA"/>
    <n v="459.4"/>
    <x v="77"/>
    <x v="77"/>
    <s v=""/>
    <x v="6"/>
    <s v="COMERCIAL"/>
    <n v="0"/>
    <s v="LETÍCIA"/>
  </r>
  <r>
    <n v="197940"/>
    <s v="KOY"/>
    <s v="01-31JA26"/>
    <x v="1"/>
    <s v="CARLOS ALEXANDRE ARRALDE ALVES"/>
    <n v="166.25"/>
    <x v="77"/>
    <x v="77"/>
    <s v=""/>
    <x v="6"/>
    <s v="COMERCIAL"/>
    <n v="0"/>
    <s v="LETÍCIA"/>
  </r>
  <r>
    <n v="197941"/>
    <s v="KOY"/>
    <s v="01-31JA26"/>
    <x v="1"/>
    <s v="CONTRAPONTO DESIGN- SERVIÇOS DE DESIGN DE PRODUTOS"/>
    <n v="1581.76"/>
    <x v="77"/>
    <x v="77"/>
    <s v=""/>
    <x v="6"/>
    <s v="COMERCIAL"/>
    <n v="0"/>
    <s v="LETÍCIA"/>
  </r>
  <r>
    <n v="197942"/>
    <s v="KOY"/>
    <s v="01-31JA26"/>
    <x v="1"/>
    <s v="AMBOS ESTUDIO LTDA"/>
    <n v="583.48"/>
    <x v="77"/>
    <x v="77"/>
    <s v=""/>
    <x v="6"/>
    <s v="COMERCIAL"/>
    <n v="0"/>
    <s v="LETÍCIA"/>
  </r>
  <r>
    <n v="197943"/>
    <s v="LAY"/>
    <s v="01-31JA26"/>
    <x v="1"/>
    <s v="MOLLDE SERVIÇOS"/>
    <n v="3286.18"/>
    <x v="77"/>
    <x v="77"/>
    <s v=""/>
    <x v="6"/>
    <s v="COMERCIAL"/>
    <n v="0"/>
    <s v="LETÍCIA"/>
  </r>
  <r>
    <n v="197944"/>
    <s v="LAY"/>
    <s v="01-31JA26"/>
    <x v="1"/>
    <s v="SANTELLI COMERCIO DE ARTIGOS DE DECORACAO LTDA"/>
    <n v="205.95"/>
    <x v="77"/>
    <x v="77"/>
    <s v=""/>
    <x v="6"/>
    <s v="COMERCIAL"/>
    <n v="0"/>
    <s v="LETÍCIA"/>
  </r>
  <r>
    <n v="197945"/>
    <s v="LAY"/>
    <s v="01-31JA26"/>
    <x v="1"/>
    <s v="GABRIEL ANTUNES HENKE CARRANO"/>
    <n v="348.16"/>
    <x v="77"/>
    <x v="77"/>
    <s v=""/>
    <x v="6"/>
    <s v="COMERCIAL"/>
    <n v="0"/>
    <s v="LETÍCIA"/>
  </r>
  <r>
    <n v="197946"/>
    <s v="LAY"/>
    <s v="01-31JA26"/>
    <x v="1"/>
    <s v="CONTRAPONTO DESIGN- SERVIÇOS DE DESIGN DE PRODUTOS"/>
    <n v="1614.37"/>
    <x v="77"/>
    <x v="77"/>
    <s v=""/>
    <x v="6"/>
    <s v="COMERCIAL"/>
    <n v="0"/>
    <s v="LETÍCIA"/>
  </r>
  <r>
    <n v="197947"/>
    <s v="FK"/>
    <s v="2994"/>
    <x v="41"/>
    <s v="COMERCIO DE COMBUSTIVEIS TBM LTDA."/>
    <n v="29.35"/>
    <x v="31"/>
    <x v="31"/>
    <s v=""/>
    <x v="6"/>
    <s v="LOGÍSTICA"/>
    <n v="0"/>
    <s v="MYLENA"/>
  </r>
  <r>
    <n v="197948"/>
    <s v="FK"/>
    <s v="2993"/>
    <x v="41"/>
    <s v="COMERCIO DE COMBUSTIVEIS TBM LTDA."/>
    <n v="72.5"/>
    <x v="37"/>
    <x v="37"/>
    <s v=""/>
    <x v="6"/>
    <s v="LOGÍSTICA"/>
    <n v="0"/>
    <s v="MYLENA"/>
  </r>
  <r>
    <n v="197949"/>
    <s v="FK"/>
    <s v="2992"/>
    <x v="41"/>
    <s v="COMERCIO DE COMBUSTIVEIS TBM LTDA."/>
    <n v="2098.87"/>
    <x v="37"/>
    <x v="37"/>
    <s v=""/>
    <x v="6"/>
    <s v="LOGÍSTICA"/>
    <n v="0"/>
    <s v="MYLENA"/>
  </r>
  <r>
    <n v="197950"/>
    <s v="KAR"/>
    <s v="23300302"/>
    <x v="36"/>
    <s v="BANCO SICREDI"/>
    <n v="23.3"/>
    <x v="69"/>
    <x v="69"/>
    <s v=""/>
    <x v="4"/>
    <s v="FINANCEIRO"/>
    <n v="0"/>
    <s v="LETÍCIA"/>
  </r>
  <r>
    <n v="197951"/>
    <s v="LAY"/>
    <s v="0790302"/>
    <x v="36"/>
    <s v="BANCO SICREDI"/>
    <n v="0.79"/>
    <x v="27"/>
    <x v="27"/>
    <s v=""/>
    <x v="8"/>
    <s v="FINANCEIRO"/>
    <n v="0"/>
    <s v="LETÍCIA"/>
  </r>
  <r>
    <n v="197952"/>
    <s v="KAR"/>
    <s v="11060402"/>
    <x v="41"/>
    <s v="BANCO SICREDI"/>
    <n v="11.06"/>
    <x v="28"/>
    <x v="28"/>
    <s v=""/>
    <x v="8"/>
    <s v="FINANCEIRO"/>
    <n v="0"/>
    <s v="LETÍCIA"/>
  </r>
  <r>
    <n v="197953"/>
    <s v="KOY"/>
    <s v="0790302"/>
    <x v="36"/>
    <s v="BANCO SICREDI"/>
    <n v="0.79"/>
    <x v="27"/>
    <x v="27"/>
    <s v=""/>
    <x v="8"/>
    <s v="FINANCEIRO"/>
    <n v="0"/>
    <s v="LETÍCIA"/>
  </r>
  <r>
    <n v="197954"/>
    <s v="FK"/>
    <s v="4750302"/>
    <x v="36"/>
    <s v="COOPERATIVA DE CRED.DE LIVRE ADMISSÃO DO NOROESTE"/>
    <n v="4.75"/>
    <x v="27"/>
    <x v="27"/>
    <s v=""/>
    <x v="8"/>
    <s v="FINANCEIRO"/>
    <n v="0"/>
    <s v="LETÍCIA"/>
  </r>
  <r>
    <n v="197956"/>
    <s v="FK"/>
    <s v="EDUARDO"/>
    <x v="41"/>
    <s v="KARAM´S - LEANDRO MIAZO"/>
    <n v="280"/>
    <x v="14"/>
    <x v="14"/>
    <s v=""/>
    <x v="6"/>
    <s v="COMERCIAL"/>
    <n v="0"/>
    <s v="THAIS"/>
  </r>
  <r>
    <n v="197957"/>
    <s v="KAR"/>
    <s v="490732"/>
    <x v="0"/>
    <s v="BANCO SICREDI"/>
    <n v="4907.32"/>
    <x v="17"/>
    <x v="17"/>
    <s v=""/>
    <x v="8"/>
    <s v="FINANCEIRO"/>
    <n v="0"/>
    <s v="LETÍCIA"/>
  </r>
  <r>
    <n v="197958"/>
    <s v="FK"/>
    <s v="UBER RAFA"/>
    <x v="1"/>
    <s v="RAFAEL DOMINIQUE SANTOS LIMA"/>
    <n v="127"/>
    <x v="14"/>
    <x v="14"/>
    <s v=""/>
    <x v="6"/>
    <s v="COMERCIAL"/>
    <n v="0"/>
    <s v="THAIS"/>
  </r>
  <r>
    <n v="197959"/>
    <s v="FK"/>
    <s v="11CG0126"/>
    <x v="1"/>
    <s v="MARCOS ADRIANO GARCIA"/>
    <n v="495"/>
    <x v="78"/>
    <x v="78"/>
    <s v=""/>
    <x v="6"/>
    <s v="LOGÍSTICA"/>
    <n v="0"/>
    <s v="MYLENA"/>
  </r>
  <r>
    <n v="197960"/>
    <s v="FK"/>
    <s v="1CG0126"/>
    <x v="1"/>
    <s v="VANDERLEI ALVES BATISTA"/>
    <n v="20"/>
    <x v="78"/>
    <x v="78"/>
    <s v=""/>
    <x v="6"/>
    <s v="LOGÍSTICA"/>
    <n v="0"/>
    <s v="MYLENA"/>
  </r>
  <r>
    <n v="197961"/>
    <s v="FK"/>
    <s v="1CG0126"/>
    <x v="1"/>
    <s v="MARCIO MARSOLA"/>
    <n v="45"/>
    <x v="78"/>
    <x v="78"/>
    <s v=""/>
    <x v="6"/>
    <s v="LOGÍSTICA"/>
    <n v="0"/>
    <s v="MYLENA"/>
  </r>
  <r>
    <n v="197962"/>
    <s v="FK"/>
    <s v="2CG0126"/>
    <x v="1"/>
    <s v="RODRIGO GONÇALVES BRIGANTINI"/>
    <n v="90"/>
    <x v="78"/>
    <x v="78"/>
    <s v=""/>
    <x v="6"/>
    <s v="LOGÍSTICA"/>
    <n v="0"/>
    <s v="MYLENA"/>
  </r>
  <r>
    <n v="197963"/>
    <s v="FK"/>
    <s v="6CG0126"/>
    <x v="1"/>
    <s v="VANDERLEI ALVES BATISTA"/>
    <n v="270"/>
    <x v="78"/>
    <x v="78"/>
    <s v=""/>
    <x v="6"/>
    <s v="LOGÍSTICA"/>
    <n v="0"/>
    <s v="MYLENA"/>
  </r>
  <r>
    <n v="197964"/>
    <s v="FK"/>
    <s v="7CG0126"/>
    <x v="1"/>
    <s v="ROBERTO NOGAROTTO JUNIOR"/>
    <n v="315"/>
    <x v="78"/>
    <x v="78"/>
    <s v=""/>
    <x v="6"/>
    <s v="LOGÍSTICA"/>
    <n v="0"/>
    <s v="MYLENA"/>
  </r>
  <r>
    <n v="197965"/>
    <s v="FK"/>
    <s v="7CG0126"/>
    <x v="1"/>
    <s v="JANIO DIMAS CONRADO"/>
    <n v="315"/>
    <x v="78"/>
    <x v="78"/>
    <s v=""/>
    <x v="6"/>
    <s v="LOGÍSTICA"/>
    <n v="0"/>
    <s v="MYLENA"/>
  </r>
  <r>
    <n v="197966"/>
    <s v="FK"/>
    <s v="9CG0126"/>
    <x v="1"/>
    <s v="ERICO NATAN DA SILVA OLIVEIRA"/>
    <n v="405"/>
    <x v="78"/>
    <x v="78"/>
    <s v=""/>
    <x v="6"/>
    <s v="LOGÍSTICA"/>
    <n v="0"/>
    <s v="MYLENA"/>
  </r>
  <r>
    <n v="197967"/>
    <s v="FK"/>
    <s v="43392"/>
    <x v="41"/>
    <s v="DUARTE &amp; BALIONI LTDA."/>
    <n v="113.6"/>
    <x v="51"/>
    <x v="51"/>
    <s v=""/>
    <x v="4"/>
    <s v="ADMINISTRATIVO"/>
    <n v="0"/>
    <s v="LETÍCIA"/>
  </r>
  <r>
    <n v="197968"/>
    <s v="FK"/>
    <s v="UBERRAFAE"/>
    <x v="75"/>
    <s v="KARAM'S IND.E COM.DE ESTOFADOS LTDA"/>
    <n v="35.93"/>
    <x v="14"/>
    <x v="14"/>
    <s v=""/>
    <x v="6"/>
    <s v="COMERCIAL"/>
    <n v="0"/>
    <s v="THAIS"/>
  </r>
  <r>
    <n v="197981"/>
    <s v="FK"/>
    <s v="290126"/>
    <x v="1"/>
    <s v="KARAM'S IND.E COM.DE ESTOFADOS LTDA"/>
    <n v="176.8"/>
    <x v="14"/>
    <x v="14"/>
    <s v=""/>
    <x v="6"/>
    <s v="COMERCIAL"/>
    <n v="0"/>
    <s v="THAIS"/>
  </r>
  <r>
    <n v="197982"/>
    <s v="FK"/>
    <s v="210126"/>
    <x v="1"/>
    <s v="KARAM'S IND.E COM.DE ESTOFADOS LTDA"/>
    <n v="33.869999999999997"/>
    <x v="14"/>
    <x v="14"/>
    <s v=""/>
    <x v="6"/>
    <s v="COMERCIAL"/>
    <n v="0"/>
    <s v="THAIS"/>
  </r>
  <r>
    <n v="197983"/>
    <s v="FK"/>
    <s v="250126"/>
    <x v="1"/>
    <s v="KARAM'S IND.E COM.DE ESTOFADOS LTDA"/>
    <n v="442.8"/>
    <x v="14"/>
    <x v="14"/>
    <s v=""/>
    <x v="6"/>
    <s v="COMERCIAL"/>
    <n v="0"/>
    <s v="THAIS"/>
  </r>
  <r>
    <n v="197984"/>
    <s v="FK"/>
    <s v="250126"/>
    <x v="1"/>
    <s v="KARAM'S IND.E COM.DE ESTOFADOS LTDA"/>
    <n v="10.98"/>
    <x v="14"/>
    <x v="14"/>
    <s v=""/>
    <x v="6"/>
    <s v="COMERCIAL"/>
    <n v="0"/>
    <s v="THAIS"/>
  </r>
  <r>
    <n v="197985"/>
    <s v="FK"/>
    <s v="210126"/>
    <x v="1"/>
    <s v="KARAM'S IND.E COM.DE ESTOFADOS LTDA"/>
    <n v="81.78"/>
    <x v="14"/>
    <x v="14"/>
    <s v=""/>
    <x v="6"/>
    <s v="COMERCIAL"/>
    <n v="0"/>
    <s v="THAIS"/>
  </r>
  <r>
    <n v="197986"/>
    <s v="FK"/>
    <s v="220126"/>
    <x v="1"/>
    <s v="KARAM'S IND.E COM.DE ESTOFADOS LTDA"/>
    <n v="279"/>
    <x v="47"/>
    <x v="47"/>
    <s v=""/>
    <x v="6"/>
    <s v="COMERCIAL"/>
    <n v="0"/>
    <s v="LETÍCIA"/>
  </r>
  <r>
    <n v="197987"/>
    <s v="FK"/>
    <s v="310126"/>
    <x v="1"/>
    <s v="KARAM'S IND.E COM.DE ESTOFADOS LTDA"/>
    <n v="82.1"/>
    <x v="14"/>
    <x v="14"/>
    <s v=""/>
    <x v="6"/>
    <s v="COMERCIAL"/>
    <n v="0"/>
    <s v="THAIS"/>
  </r>
  <r>
    <n v="197988"/>
    <s v="FK"/>
    <s v="210126"/>
    <x v="1"/>
    <s v="KARAM'S IND.E COM.DE ESTOFADOS LTDA"/>
    <n v="51.06"/>
    <x v="14"/>
    <x v="14"/>
    <s v=""/>
    <x v="6"/>
    <s v="COMERCIAL"/>
    <n v="0"/>
    <s v="THAIS"/>
  </r>
  <r>
    <n v="197989"/>
    <s v="FK"/>
    <s v="290126"/>
    <x v="1"/>
    <s v="KARAM'S IND.E COM.DE ESTOFADOS LTDA"/>
    <n v="45.89"/>
    <x v="14"/>
    <x v="14"/>
    <s v=""/>
    <x v="6"/>
    <s v="COMERCIAL"/>
    <n v="0"/>
    <s v="THAIS"/>
  </r>
  <r>
    <n v="197990"/>
    <s v="FK"/>
    <s v="270126"/>
    <x v="1"/>
    <s v="KARAM'S IND.E COM.DE ESTOFADOS LTDA"/>
    <n v="228.28"/>
    <x v="14"/>
    <x v="14"/>
    <s v=""/>
    <x v="6"/>
    <s v="COMERCIAL"/>
    <n v="0"/>
    <s v="THAIS"/>
  </r>
  <r>
    <n v="197991"/>
    <s v="KAR"/>
    <s v="4817"/>
    <x v="41"/>
    <s v="LIV DECORA COMERCIO DE MOVEIS LTDA"/>
    <n v="800"/>
    <x v="55"/>
    <x v="55"/>
    <s v=""/>
    <x v="8"/>
    <s v="COMERCIAL"/>
    <n v="0"/>
    <s v="LETÍCIA"/>
  </r>
  <r>
    <n v="197992"/>
    <s v="FK"/>
    <s v="270126"/>
    <x v="1"/>
    <s v="KARAM'S IND.E COM.DE ESTOFADOS LTDA"/>
    <n v="47.8"/>
    <x v="14"/>
    <x v="14"/>
    <s v=""/>
    <x v="6"/>
    <s v="COMERCIAL"/>
    <n v="0"/>
    <s v="THAIS"/>
  </r>
  <r>
    <n v="197994"/>
    <s v="FK"/>
    <s v="270126"/>
    <x v="1"/>
    <s v="KARAM'S IND.E COM.DE ESTOFADOS LTDA"/>
    <n v="98.7"/>
    <x v="14"/>
    <x v="14"/>
    <s v=""/>
    <x v="6"/>
    <s v="COMERCIAL"/>
    <n v="0"/>
    <s v="THAIS"/>
  </r>
  <r>
    <n v="197995"/>
    <s v="KAR"/>
    <s v="2880"/>
    <x v="41"/>
    <s v="TRINTI DESIGN E MÓVEIS LTDA"/>
    <n v="1028.2"/>
    <x v="55"/>
    <x v="55"/>
    <s v=""/>
    <x v="8"/>
    <s v="COMERCIAL"/>
    <n v="0"/>
    <s v="LETÍCIA"/>
  </r>
  <r>
    <n v="197996"/>
    <s v="KAR"/>
    <s v="157620"/>
    <x v="41"/>
    <s v="AUTO PECAS CARRETAO LTDA"/>
    <n v="658.5"/>
    <x v="31"/>
    <x v="31"/>
    <s v=""/>
    <x v="6"/>
    <s v="LOGÍSTICA"/>
    <n v="0"/>
    <s v="MYLENA"/>
  </r>
  <r>
    <n v="197997"/>
    <s v="FK"/>
    <s v="EVAN0202"/>
    <x v="41"/>
    <s v="EVANDRO CASSIO DOS SANTOS"/>
    <n v="200"/>
    <x v="31"/>
    <x v="31"/>
    <s v=""/>
    <x v="6"/>
    <s v="LOGÍSTICA"/>
    <n v="0"/>
    <s v="MYLENA"/>
  </r>
  <r>
    <n v="197998"/>
    <s v="FK"/>
    <s v="230126"/>
    <x v="1"/>
    <s v="KARAM'S IND.E COM.DE ESTOFADOS LTDA"/>
    <n v="255.15"/>
    <x v="14"/>
    <x v="14"/>
    <s v=""/>
    <x v="6"/>
    <s v="COMERCIAL"/>
    <n v="0"/>
    <s v="THAIS"/>
  </r>
  <r>
    <n v="197999"/>
    <s v="FK"/>
    <s v="230126"/>
    <x v="1"/>
    <s v="KARAM'S IND.E COM.DE ESTOFADOS LTDA"/>
    <n v="85.05"/>
    <x v="14"/>
    <x v="14"/>
    <s v=""/>
    <x v="6"/>
    <s v="COMERCIAL"/>
    <n v="0"/>
    <s v="THAIS"/>
  </r>
  <r>
    <n v="198000"/>
    <s v="FK"/>
    <s v="240126"/>
    <x v="1"/>
    <s v="KARAM'S IND.E COM.DE ESTOFADOS LTDA"/>
    <n v="218.51"/>
    <x v="14"/>
    <x v="14"/>
    <s v=""/>
    <x v="6"/>
    <s v="COMERCIAL"/>
    <n v="0"/>
    <s v="THAIS"/>
  </r>
  <r>
    <n v="198001"/>
    <s v="FK"/>
    <s v="280126"/>
    <x v="1"/>
    <s v="KARAM'S IND.E COM.DE ESTOFADOS LTDA"/>
    <n v="2307.46"/>
    <x v="14"/>
    <x v="14"/>
    <s v=""/>
    <x v="6"/>
    <s v="COMERCIAL"/>
    <n v="0"/>
    <s v="THAIS"/>
  </r>
  <r>
    <n v="198002"/>
    <s v="FK"/>
    <s v="260126"/>
    <x v="1"/>
    <s v="KARAM'S IND.E COM.DE ESTOFADOS LTDA"/>
    <n v="1375.52"/>
    <x v="14"/>
    <x v="14"/>
    <s v=""/>
    <x v="6"/>
    <s v="COMERCIAL"/>
    <n v="0"/>
    <s v="THAIS"/>
  </r>
  <r>
    <n v="198004"/>
    <s v="FK"/>
    <s v="210126"/>
    <x v="1"/>
    <s v="KARAM'S IND.E COM.DE ESTOFADOS LTDA"/>
    <n v="177.18"/>
    <x v="14"/>
    <x v="14"/>
    <s v=""/>
    <x v="6"/>
    <s v="COMERCIAL"/>
    <n v="0"/>
    <s v="THAIS"/>
  </r>
  <r>
    <n v="198005"/>
    <s v="FK"/>
    <s v="290126"/>
    <x v="1"/>
    <s v="KARAM'S IND.E COM.DE ESTOFADOS LTDA"/>
    <n v="37.9"/>
    <x v="14"/>
    <x v="14"/>
    <s v=""/>
    <x v="6"/>
    <s v="COMERCIAL"/>
    <n v="0"/>
    <s v="THAIS"/>
  </r>
  <r>
    <n v="198006"/>
    <s v="FK"/>
    <s v="310126"/>
    <x v="1"/>
    <s v="KARAM'S IND.E COM.DE ESTOFADOS LTDA"/>
    <n v="367.25"/>
    <x v="14"/>
    <x v="14"/>
    <s v=""/>
    <x v="6"/>
    <s v="COMERCIAL"/>
    <n v="0"/>
    <s v="THAIS"/>
  </r>
  <r>
    <n v="198007"/>
    <s v="FK"/>
    <s v="310126"/>
    <x v="1"/>
    <s v="KARAM'S IND.E COM.DE ESTOFADOS LTDA"/>
    <n v="468.53"/>
    <x v="14"/>
    <x v="14"/>
    <s v=""/>
    <x v="6"/>
    <s v="COMERCIAL"/>
    <n v="0"/>
    <s v="THAIS"/>
  </r>
  <r>
    <n v="198008"/>
    <s v="FK"/>
    <s v="FM0402B"/>
    <x v="41"/>
    <s v="RODRIGUES &amp; LIMA FERRAGENS DE FERRAMENTAS LTDA - M"/>
    <n v="118"/>
    <x v="25"/>
    <x v="25"/>
    <s v="FERRAGENS GERAIS"/>
    <x v="2"/>
    <s v="MANUTENÇÃO / TI"/>
    <n v="0"/>
    <s v="FÁBIO"/>
  </r>
  <r>
    <n v="198009"/>
    <s v="FK"/>
    <s v="300126"/>
    <x v="1"/>
    <s v="KARAM'S IND.E COM.DE ESTOFADOS LTDA"/>
    <n v="49.8"/>
    <x v="14"/>
    <x v="14"/>
    <s v=""/>
    <x v="6"/>
    <s v="COMERCIAL"/>
    <n v="0"/>
    <s v="THAIS"/>
  </r>
  <r>
    <n v="198010"/>
    <s v="FK"/>
    <s v="210126"/>
    <x v="1"/>
    <s v="KARAM'S IND.E COM.DE ESTOFADOS LTDA"/>
    <n v="734.25"/>
    <x v="14"/>
    <x v="14"/>
    <s v=""/>
    <x v="6"/>
    <s v="COMERCIAL"/>
    <n v="0"/>
    <s v="THAIS"/>
  </r>
  <r>
    <n v="198011"/>
    <s v="FK"/>
    <s v="300126"/>
    <x v="1"/>
    <s v="KARAM'S IND.E COM.DE ESTOFADOS LTDA"/>
    <n v="4240"/>
    <x v="14"/>
    <x v="14"/>
    <s v=""/>
    <x v="6"/>
    <s v="COMERCIAL"/>
    <n v="0"/>
    <s v="THAIS"/>
  </r>
  <r>
    <n v="198012"/>
    <s v="FK"/>
    <s v="230126"/>
    <x v="1"/>
    <s v="KARAM'S IND.E COM.DE ESTOFADOS LTDA"/>
    <n v="130"/>
    <x v="14"/>
    <x v="14"/>
    <s v=""/>
    <x v="6"/>
    <s v="COMERCIAL"/>
    <n v="0"/>
    <s v="THAIS"/>
  </r>
  <r>
    <n v="198013"/>
    <s v="FK"/>
    <s v="220126"/>
    <x v="1"/>
    <s v="KARAM'S IND.E COM.DE ESTOFADOS LTDA"/>
    <n v="80"/>
    <x v="14"/>
    <x v="14"/>
    <s v=""/>
    <x v="6"/>
    <s v="COMERCIAL"/>
    <n v="0"/>
    <s v="THAIS"/>
  </r>
  <r>
    <n v="198016"/>
    <s v="KAR"/>
    <s v="CET040226"/>
    <x v="41"/>
    <s v="BANCO SICREDI"/>
    <n v="838.8"/>
    <x v="29"/>
    <x v="29"/>
    <s v=""/>
    <x v="8"/>
    <s v="FINANCEIRO"/>
    <n v="0"/>
    <s v="LETÍCIA"/>
  </r>
  <r>
    <n v="198017"/>
    <s v="KAR"/>
    <s v="138170402"/>
    <x v="41"/>
    <s v="BANCO SICREDI"/>
    <n v="138.16999999999999"/>
    <x v="27"/>
    <x v="27"/>
    <s v=""/>
    <x v="8"/>
    <s v="FINANCEIRO"/>
    <n v="0"/>
    <s v="LETÍCIA"/>
  </r>
  <r>
    <n v="198018"/>
    <s v="KAR"/>
    <s v="119510402"/>
    <x v="41"/>
    <s v="BANCO SICREDI"/>
    <n v="119.51"/>
    <x v="27"/>
    <x v="27"/>
    <s v=""/>
    <x v="8"/>
    <s v="FINANCEIRO"/>
    <n v="0"/>
    <s v="LETÍCIA"/>
  </r>
  <r>
    <n v="198019"/>
    <s v="FK"/>
    <s v="ABIMAD41"/>
    <x v="1"/>
    <s v="GABRIELA VALENTINA GIL ROJAS"/>
    <n v="1740.7"/>
    <x v="14"/>
    <x v="14"/>
    <s v=""/>
    <x v="6"/>
    <s v="COMERCIAL"/>
    <n v="0"/>
    <s v="THAIS"/>
  </r>
  <r>
    <n v="198020"/>
    <s v="FK"/>
    <s v="240126"/>
    <x v="1"/>
    <s v="KARAM'S IND.E COM.DE ESTOFADOS LTDA"/>
    <n v="351.8"/>
    <x v="14"/>
    <x v="14"/>
    <s v=""/>
    <x v="6"/>
    <s v="COMERCIAL"/>
    <n v="0"/>
    <s v="THAIS"/>
  </r>
  <r>
    <n v="198021"/>
    <s v="FK"/>
    <s v="230126"/>
    <x v="1"/>
    <s v="KARAM'S IND.E COM.DE ESTOFADOS LTDA"/>
    <n v="295.2"/>
    <x v="14"/>
    <x v="14"/>
    <s v=""/>
    <x v="6"/>
    <s v="COMERCIAL"/>
    <n v="0"/>
    <s v="THAIS"/>
  </r>
  <r>
    <n v="198022"/>
    <s v="FK"/>
    <s v="260126"/>
    <x v="1"/>
    <s v="KARAM'S IND.E COM.DE ESTOFADOS LTDA"/>
    <n v="390.6"/>
    <x v="14"/>
    <x v="14"/>
    <s v=""/>
    <x v="6"/>
    <s v="COMERCIAL"/>
    <n v="0"/>
    <s v="THAIS"/>
  </r>
  <r>
    <n v="198023"/>
    <s v="FK"/>
    <s v="$220126"/>
    <x v="1"/>
    <s v="KARAM'S IND.E COM.DE ESTOFADOS LTDA"/>
    <n v="21.96"/>
    <x v="14"/>
    <x v="14"/>
    <s v=""/>
    <x v="6"/>
    <s v="COMERCIAL"/>
    <n v="0"/>
    <s v="THAIS"/>
  </r>
  <r>
    <n v="198024"/>
    <s v="FK"/>
    <s v="$210126"/>
    <x v="1"/>
    <s v="COMERCIO DE COMBUSTIVEIS TBM LTDA."/>
    <n v="61.25"/>
    <x v="14"/>
    <x v="14"/>
    <s v=""/>
    <x v="6"/>
    <s v="COMERCIAL"/>
    <n v="0"/>
    <s v="THAIS"/>
  </r>
  <r>
    <n v="198025"/>
    <s v="FK"/>
    <s v="$220126"/>
    <x v="1"/>
    <s v="KARAM'S IND.E COM.DE ESTOFADOS LTDA"/>
    <n v="97.11"/>
    <x v="14"/>
    <x v="14"/>
    <s v=""/>
    <x v="6"/>
    <s v="COMERCIAL"/>
    <n v="0"/>
    <s v="THAIS"/>
  </r>
  <r>
    <n v="198026"/>
    <s v="FK"/>
    <s v="250126"/>
    <x v="1"/>
    <s v="KARAM'S IND.E COM.DE ESTOFADOS LTDA"/>
    <n v="219.75"/>
    <x v="14"/>
    <x v="14"/>
    <s v=""/>
    <x v="6"/>
    <s v="COMERCIAL"/>
    <n v="0"/>
    <s v="THAIS"/>
  </r>
  <r>
    <n v="198027"/>
    <s v="FK"/>
    <s v="$260126"/>
    <x v="1"/>
    <s v="KARAM'S IND.E COM.DE ESTOFADOS LTDA"/>
    <n v="26.97"/>
    <x v="14"/>
    <x v="14"/>
    <s v=""/>
    <x v="6"/>
    <s v="COMERCIAL"/>
    <n v="0"/>
    <s v="THAIS"/>
  </r>
  <r>
    <n v="198028"/>
    <s v="FK"/>
    <s v="$270126"/>
    <x v="1"/>
    <s v="KARAM'S IND.E COM.DE ESTOFADOS LTDA"/>
    <n v="21.96"/>
    <x v="14"/>
    <x v="14"/>
    <s v=""/>
    <x v="6"/>
    <s v="COMERCIAL"/>
    <n v="0"/>
    <s v="THAIS"/>
  </r>
  <r>
    <n v="198029"/>
    <s v="FK"/>
    <s v="$280126"/>
    <x v="1"/>
    <s v="KARAM'S IND.E COM.DE ESTOFADOS LTDA"/>
    <n v="13.66"/>
    <x v="14"/>
    <x v="14"/>
    <s v=""/>
    <x v="6"/>
    <s v="COMERCIAL"/>
    <n v="0"/>
    <s v="THAIS"/>
  </r>
  <r>
    <n v="198030"/>
    <s v="FK"/>
    <s v="$310126"/>
    <x v="1"/>
    <s v="KARAM'S IND.E COM.DE ESTOFADOS LTDA"/>
    <n v="193.2"/>
    <x v="14"/>
    <x v="14"/>
    <s v=""/>
    <x v="6"/>
    <s v="COMERCIAL"/>
    <n v="0"/>
    <s v="THAIS"/>
  </r>
  <r>
    <n v="198031"/>
    <s v="KAR"/>
    <s v="0740502"/>
    <x v="59"/>
    <s v="BANCO SICREDI"/>
    <n v="0.74"/>
    <x v="27"/>
    <x v="27"/>
    <s v=""/>
    <x v="8"/>
    <s v="FINANCEIRO"/>
    <n v="0"/>
    <s v="LETÍCIA"/>
  </r>
  <r>
    <n v="198032"/>
    <s v="FK"/>
    <s v="$260126"/>
    <x v="1"/>
    <s v="KARAM'S IND.E COM.DE ESTOFADOS LTDA"/>
    <n v="127"/>
    <x v="14"/>
    <x v="14"/>
    <s v=""/>
    <x v="6"/>
    <s v="COMERCIAL"/>
    <n v="0"/>
    <s v="THAIS"/>
  </r>
  <r>
    <n v="198033"/>
    <s v="FK"/>
    <s v="$280126"/>
    <x v="1"/>
    <s v="KARAM'S IND.E COM.DE ESTOFADOS LTDA"/>
    <n v="16.989999999999998"/>
    <x v="14"/>
    <x v="14"/>
    <s v=""/>
    <x v="6"/>
    <s v="COMERCIAL"/>
    <n v="0"/>
    <s v="THAIS"/>
  </r>
  <r>
    <n v="198034"/>
    <s v="KAR"/>
    <s v="5530402"/>
    <x v="41"/>
    <s v="BANCO SICREDI"/>
    <n v="5.53"/>
    <x v="28"/>
    <x v="28"/>
    <s v=""/>
    <x v="8"/>
    <s v="FINANCEIRO"/>
    <n v="0"/>
    <s v="LETÍCIA"/>
  </r>
  <r>
    <n v="198035"/>
    <s v="FK"/>
    <s v="$310126"/>
    <x v="1"/>
    <s v="KARAM'S IND.E COM.DE ESTOFADOS LTDA"/>
    <n v="184.04"/>
    <x v="14"/>
    <x v="14"/>
    <s v=""/>
    <x v="6"/>
    <s v="COMERCIAL"/>
    <n v="0"/>
    <s v="THAIS"/>
  </r>
  <r>
    <n v="198036"/>
    <s v="FK"/>
    <s v="$310126"/>
    <x v="1"/>
    <s v="KARAM'S IND.E COM.DE ESTOFADOS LTDA"/>
    <n v="161.69999999999999"/>
    <x v="14"/>
    <x v="14"/>
    <s v=""/>
    <x v="6"/>
    <s v="COMERCIAL"/>
    <n v="0"/>
    <s v="THAIS"/>
  </r>
  <r>
    <n v="198037"/>
    <s v="FK"/>
    <s v="$310126"/>
    <x v="1"/>
    <s v="KARAM'S IND.E COM.DE ESTOFADOS LTDA"/>
    <n v="37.9"/>
    <x v="14"/>
    <x v="14"/>
    <s v=""/>
    <x v="6"/>
    <s v="COMERCIAL"/>
    <n v="0"/>
    <s v="THAIS"/>
  </r>
  <r>
    <n v="198038"/>
    <s v="FK"/>
    <s v="$280126"/>
    <x v="1"/>
    <s v="KARAM'S IND.E COM.DE ESTOFADOS LTDA"/>
    <n v="60"/>
    <x v="14"/>
    <x v="14"/>
    <s v=""/>
    <x v="6"/>
    <s v="COMERCIAL"/>
    <n v="0"/>
    <s v="THAIS"/>
  </r>
  <r>
    <n v="198040"/>
    <s v="FK"/>
    <s v="ABIMAD41"/>
    <x v="1"/>
    <s v="FABIO HIROMITSU KATO"/>
    <n v="435.58"/>
    <x v="14"/>
    <x v="14"/>
    <s v=""/>
    <x v="6"/>
    <s v="COMERCIAL"/>
    <n v="0"/>
    <s v="THAIS"/>
  </r>
  <r>
    <n v="198041"/>
    <s v="KAR"/>
    <s v="5530405"/>
    <x v="41"/>
    <s v="BANCO SICREDI"/>
    <n v="5.53"/>
    <x v="28"/>
    <x v="28"/>
    <s v=""/>
    <x v="8"/>
    <s v="FINANCEIRO"/>
    <n v="0"/>
    <s v="LETÍCIA"/>
  </r>
  <r>
    <n v="198042"/>
    <s v="FK"/>
    <s v="270126"/>
    <x v="1"/>
    <s v="KARAM'S IND.E COM.DE ESTOFADOS LTDA"/>
    <n v="44.8"/>
    <x v="14"/>
    <x v="14"/>
    <s v=""/>
    <x v="6"/>
    <s v="COMERCIAL"/>
    <n v="0"/>
    <s v="THAIS"/>
  </r>
  <r>
    <n v="198043"/>
    <s v="FK"/>
    <s v="PIX300126"/>
    <x v="1"/>
    <s v="FELIPE CAMPOS"/>
    <n v="75"/>
    <x v="14"/>
    <x v="14"/>
    <s v=""/>
    <x v="6"/>
    <s v="COMERCIAL"/>
    <n v="0"/>
    <s v="THAIS"/>
  </r>
  <r>
    <n v="198045"/>
    <s v="FK"/>
    <s v="ABIMAD41"/>
    <x v="1"/>
    <s v="FABIO HIROMITSU KATO"/>
    <n v="114.19"/>
    <x v="14"/>
    <x v="14"/>
    <s v=""/>
    <x v="6"/>
    <s v="COMERCIAL"/>
    <n v="0"/>
    <s v="THAIS"/>
  </r>
  <r>
    <n v="198046"/>
    <s v="FK"/>
    <s v="ABIMAD41"/>
    <x v="1"/>
    <s v="FABIO HIROMITSU KATO"/>
    <n v="154.61000000000001"/>
    <x v="14"/>
    <x v="14"/>
    <s v=""/>
    <x v="6"/>
    <s v="COMERCIAL"/>
    <n v="0"/>
    <s v="THAIS"/>
  </r>
  <r>
    <n v="198047"/>
    <s v="FK"/>
    <s v="ABIMAD41"/>
    <x v="1"/>
    <s v="FABIO HIROMITSU KATO"/>
    <n v="88.07"/>
    <x v="14"/>
    <x v="14"/>
    <s v=""/>
    <x v="6"/>
    <s v="COMERCIAL"/>
    <n v="0"/>
    <s v="THAIS"/>
  </r>
  <r>
    <n v="198048"/>
    <s v="FK"/>
    <s v="260126"/>
    <x v="1"/>
    <s v="KARAM'S IND.E COM.DE ESTOFADOS LTDA"/>
    <n v="440"/>
    <x v="14"/>
    <x v="14"/>
    <s v=""/>
    <x v="6"/>
    <s v="COMERCIAL"/>
    <n v="0"/>
    <s v="THAIS"/>
  </r>
  <r>
    <n v="198049"/>
    <s v="FK"/>
    <s v="GOL "/>
    <x v="1"/>
    <s v="KARAM'S IND.E COM.DE ESTOFADOS LTDA"/>
    <n v="440"/>
    <x v="14"/>
    <x v="14"/>
    <s v=""/>
    <x v="6"/>
    <s v="COMERCIAL"/>
    <n v="0"/>
    <s v="THAIS"/>
  </r>
  <r>
    <n v="198050"/>
    <s v="FK"/>
    <s v="DIARIA FE"/>
    <x v="1"/>
    <s v="FELIPE CAMPOS"/>
    <n v="900"/>
    <x v="14"/>
    <x v="14"/>
    <s v=""/>
    <x v="6"/>
    <s v="COMERCIAL"/>
    <n v="0"/>
    <s v="THAIS"/>
  </r>
  <r>
    <n v="198051"/>
    <s v="FK"/>
    <s v="MQ CAFE"/>
    <x v="1"/>
    <s v="NEW COFFEE EXPRESS LTDA - ME"/>
    <n v="1320"/>
    <x v="14"/>
    <x v="14"/>
    <s v=""/>
    <x v="6"/>
    <s v="COMERCIAL"/>
    <n v="0"/>
    <s v="THAIS"/>
  </r>
  <r>
    <n v="198052"/>
    <s v="FK"/>
    <s v="GIL0502"/>
    <x v="59"/>
    <s v="GILSON MATERIAIS DE CONSTRUÇÃO"/>
    <n v="60"/>
    <x v="38"/>
    <x v="38"/>
    <s v=""/>
    <x v="5"/>
    <s v="PRODUÇÃO"/>
    <n v="0"/>
    <s v="RAFAEL"/>
  </r>
  <r>
    <n v="198054"/>
    <s v="FK"/>
    <s v="280126 "/>
    <x v="1"/>
    <s v="KARAM'S IND.E COM.DE ESTOFADOS LTDA"/>
    <n v="294"/>
    <x v="14"/>
    <x v="14"/>
    <s v=""/>
    <x v="6"/>
    <s v="COMERCIAL"/>
    <n v="0"/>
    <s v="THAIS"/>
  </r>
  <r>
    <n v="198055"/>
    <s v="FK"/>
    <s v="IVAN"/>
    <x v="59"/>
    <s v="PERES &amp; DANDOLINI LTDA. ME"/>
    <n v="500"/>
    <x v="54"/>
    <x v="54"/>
    <s v=""/>
    <x v="6"/>
    <s v="COMERCIAL"/>
    <n v="0"/>
    <s v="LETÍCIA"/>
  </r>
  <r>
    <n v="198056"/>
    <s v="FK"/>
    <s v="DIFERENÇA"/>
    <x v="1"/>
    <s v="FABIO HIROMITSU KATO"/>
    <n v="1076.26"/>
    <x v="14"/>
    <x v="14"/>
    <s v=""/>
    <x v="6"/>
    <s v="COMERCIAL"/>
    <n v="0"/>
    <s v="THAIS"/>
  </r>
  <r>
    <n v="198058"/>
    <s v="FK"/>
    <s v="549107/1"/>
    <x v="59"/>
    <s v="ATACADÃO DA INDÚSTRIA "/>
    <n v="387.4"/>
    <x v="40"/>
    <x v="40"/>
    <s v=""/>
    <x v="5"/>
    <s v="COMPRAS"/>
    <n v="0"/>
    <s v="RAFAEL"/>
  </r>
  <r>
    <n v="198059"/>
    <s v="KAR"/>
    <s v="6824"/>
    <x v="59"/>
    <s v="F&amp;Q INDUSTRIA E COMERCIO DE FERRAMENTAS LTDA"/>
    <n v="900"/>
    <x v="38"/>
    <x v="38"/>
    <s v=""/>
    <x v="5"/>
    <s v="PRODUÇÃO"/>
    <n v="0"/>
    <s v="RAFAEL"/>
  </r>
  <r>
    <n v="198061"/>
    <s v="LAY"/>
    <s v="FGTS0226A"/>
    <x v="1"/>
    <s v="FUNDO DE GARANTIA POR TEMPO DE SERVIÇO"/>
    <n v="4531.45"/>
    <x v="79"/>
    <x v="79"/>
    <s v=""/>
    <x v="7"/>
    <s v="DH"/>
    <n v="0"/>
    <s v="RAFAEL"/>
  </r>
  <r>
    <n v="198062"/>
    <s v="LAY"/>
    <s v="FGTS0226C"/>
    <x v="1"/>
    <s v="FUNDO DE GARANTIA POR TEMPO DE SERVIÇO"/>
    <n v="4786.76"/>
    <x v="80"/>
    <x v="80"/>
    <s v=""/>
    <x v="9"/>
    <s v="DH"/>
    <s v="CUSTO MÃO DE OBRA DIRETA"/>
    <s v="RAFAEL"/>
  </r>
  <r>
    <n v="198063"/>
    <s v="LAY"/>
    <s v="FGTS0226M"/>
    <x v="1"/>
    <s v="FUNDO DE GARANTIA POR TEMPO DE SERVIÇO"/>
    <n v="22864.37"/>
    <x v="81"/>
    <x v="81"/>
    <s v=""/>
    <x v="5"/>
    <s v="DH"/>
    <s v="CUSTO MÃO DE OBRA DIRETA"/>
    <s v="RAFAEL"/>
  </r>
  <r>
    <n v="198064"/>
    <s v="KAR"/>
    <s v="FGTS0226A"/>
    <x v="1"/>
    <s v="FUNDO DE GARANTIA POR TEMPO DE SERVIÇO"/>
    <n v="3541.54"/>
    <x v="79"/>
    <x v="79"/>
    <s v=""/>
    <x v="7"/>
    <s v="DH"/>
    <n v="0"/>
    <s v="RAFAEL"/>
  </r>
  <r>
    <n v="198065"/>
    <s v="KAR"/>
    <s v="FGTS0226C"/>
    <x v="1"/>
    <s v="FUNDO DE GARANTIA POR TEMPO DE SERVIÇO"/>
    <n v="911.4"/>
    <x v="80"/>
    <x v="80"/>
    <s v=""/>
    <x v="9"/>
    <s v="DH"/>
    <s v="CUSTO MÃO DE OBRA DIRETA"/>
    <s v="RAFAEL"/>
  </r>
  <r>
    <n v="198066"/>
    <s v="KAR"/>
    <s v="FGTS0226M"/>
    <x v="1"/>
    <s v="FUNDO DE GARANTIA POR TEMPO DE SERVIÇO"/>
    <n v="8466.2000000000007"/>
    <x v="81"/>
    <x v="81"/>
    <s v=""/>
    <x v="5"/>
    <s v="DH"/>
    <s v="CUSTO MÃO DE OBRA DIRETA"/>
    <s v="RAFAEL"/>
  </r>
  <r>
    <n v="198067"/>
    <s v="KOY"/>
    <s v="FGTS0226A"/>
    <x v="1"/>
    <s v="FUNDO DE GARANTIA POR TEMPO DE SERVIÇO"/>
    <n v="701.56"/>
    <x v="79"/>
    <x v="79"/>
    <s v=""/>
    <x v="7"/>
    <s v="DH"/>
    <n v="0"/>
    <s v="RAFAEL"/>
  </r>
  <r>
    <n v="198069"/>
    <s v="KOY"/>
    <s v="FGTS0226C"/>
    <x v="1"/>
    <s v="FUNDO DE GARANTIA POR TEMPO DE SERVIÇO"/>
    <n v="799.79"/>
    <x v="80"/>
    <x v="80"/>
    <s v=""/>
    <x v="9"/>
    <s v="DH"/>
    <s v="CUSTO MÃO DE OBRA DIRETA"/>
    <s v="RAFAEL"/>
  </r>
  <r>
    <n v="198070"/>
    <s v="KOY"/>
    <s v="FGTS0226M"/>
    <x v="1"/>
    <s v="FUNDO DE GARANTIA POR TEMPO DE SERVIÇO"/>
    <n v="3101.41"/>
    <x v="81"/>
    <x v="81"/>
    <s v=""/>
    <x v="5"/>
    <s v="DH"/>
    <s v="CUSTO MÃO DE OBRA DIRETA"/>
    <s v="RAFAEL"/>
  </r>
  <r>
    <n v="198072"/>
    <s v="KOY"/>
    <s v="31773/1"/>
    <x v="32"/>
    <s v="MERCADO LIVRE "/>
    <n v="31.8"/>
    <x v="30"/>
    <x v="30"/>
    <s v=""/>
    <x v="9"/>
    <s v="MANUTENÇÃO / TI"/>
    <n v="0"/>
    <s v="RAFAEL"/>
  </r>
  <r>
    <n v="198073"/>
    <s v="KAR"/>
    <s v="31439"/>
    <x v="59"/>
    <s v="PANIR EQUIPAMENTOS LTDA"/>
    <n v="3000"/>
    <x v="30"/>
    <x v="30"/>
    <s v="COMPRESSORES"/>
    <x v="9"/>
    <s v="MANUTENÇÃO / TI"/>
    <n v="0"/>
    <s v="RAFAEL"/>
  </r>
  <r>
    <n v="198074"/>
    <s v="KOY"/>
    <s v="5FER26"/>
    <x v="59"/>
    <s v="ARTHUR SILVA DE DEUS CORREIA"/>
    <n v="706.34"/>
    <x v="72"/>
    <x v="72"/>
    <s v=""/>
    <x v="5"/>
    <s v="DH"/>
    <s v="CUSTO MÃO DE OBRA DIRETA"/>
    <s v="RAFAEL"/>
  </r>
  <r>
    <n v="198075"/>
    <s v="KOY"/>
    <s v="31773/2"/>
    <x v="33"/>
    <s v="MERCADO LIVRE "/>
    <n v="31.8"/>
    <x v="30"/>
    <x v="30"/>
    <s v=""/>
    <x v="9"/>
    <s v="MANUTENÇÃO / TI"/>
    <n v="0"/>
    <s v="RAFAEL"/>
  </r>
  <r>
    <n v="198076"/>
    <s v="KOY"/>
    <s v="31773/3"/>
    <x v="34"/>
    <s v="MERCADO LIVRE "/>
    <n v="31.8"/>
    <x v="30"/>
    <x v="30"/>
    <s v=""/>
    <x v="9"/>
    <s v="MANUTENÇÃO / TI"/>
    <n v="0"/>
    <s v="RAFAEL"/>
  </r>
  <r>
    <n v="198079"/>
    <s v="KOY"/>
    <s v="3FER26"/>
    <x v="59"/>
    <s v="MATEUS GUILHERME DE OLIVEIRA VALENCIANO"/>
    <n v="263.04000000000002"/>
    <x v="72"/>
    <x v="72"/>
    <s v=""/>
    <x v="5"/>
    <s v="DH"/>
    <s v="CUSTO MÃO DE OBRA DIRETA"/>
    <s v="RAFAEL"/>
  </r>
  <r>
    <n v="198080"/>
    <s v="KOY"/>
    <s v="68779/1"/>
    <x v="32"/>
    <s v="MERCADO LIVRE "/>
    <n v="23"/>
    <x v="30"/>
    <x v="30"/>
    <s v=""/>
    <x v="9"/>
    <s v="MANUTENÇÃO / TI"/>
    <n v="0"/>
    <s v="RAFAEL"/>
  </r>
  <r>
    <n v="198081"/>
    <s v="KOY"/>
    <s v="68779/2"/>
    <x v="33"/>
    <s v="MERCADO LIVRE "/>
    <n v="23"/>
    <x v="30"/>
    <x v="30"/>
    <s v=""/>
    <x v="9"/>
    <s v="MANUTENÇÃO / TI"/>
    <n v="0"/>
    <s v="RAFAEL"/>
  </r>
  <r>
    <n v="198082"/>
    <s v="KOY"/>
    <s v="68779/3"/>
    <x v="34"/>
    <s v="MERCADO LIVRE "/>
    <n v="23"/>
    <x v="30"/>
    <x v="30"/>
    <s v=""/>
    <x v="9"/>
    <s v="MANUTENÇÃO / TI"/>
    <n v="0"/>
    <s v="RAFAEL"/>
  </r>
  <r>
    <n v="198083"/>
    <s v="KOY"/>
    <s v="65359"/>
    <x v="1"/>
    <s v="MERCADO LIVRE "/>
    <n v="167.94"/>
    <x v="13"/>
    <x v="13"/>
    <s v=""/>
    <x v="2"/>
    <s v="MANUTENÇÃO / TI"/>
    <n v="0"/>
    <s v="RAFAEL"/>
  </r>
  <r>
    <n v="198084"/>
    <s v="KOY"/>
    <s v="525325"/>
    <x v="88"/>
    <s v="MERCADO LIVRE "/>
    <n v="154.22"/>
    <x v="30"/>
    <x v="30"/>
    <s v=""/>
    <x v="9"/>
    <s v="MANUTENÇÃO / TI"/>
    <n v="0"/>
    <s v="RAFAEL"/>
  </r>
  <r>
    <n v="198086"/>
    <s v="KOY"/>
    <s v="11463"/>
    <x v="26"/>
    <s v="MERCADO LIVRE "/>
    <n v="119.94"/>
    <x v="38"/>
    <x v="38"/>
    <s v=""/>
    <x v="5"/>
    <s v="PRODUÇÃO"/>
    <n v="0"/>
    <s v="RAFAEL"/>
  </r>
  <r>
    <n v="198087"/>
    <s v="KOY"/>
    <s v="1470771"/>
    <x v="1"/>
    <s v="MERCADO LIVRE "/>
    <n v="24.12"/>
    <x v="13"/>
    <x v="13"/>
    <s v=""/>
    <x v="2"/>
    <s v="MANUTENÇÃO / TI"/>
    <n v="0"/>
    <s v="RAFAEL"/>
  </r>
  <r>
    <n v="198088"/>
    <s v="KOY"/>
    <s v="574411"/>
    <x v="1"/>
    <s v="MERCADO LIVRE "/>
    <n v="903.02"/>
    <x v="9"/>
    <x v="9"/>
    <s v=""/>
    <x v="2"/>
    <s v="MANUTENÇÃO / TI"/>
    <n v="0"/>
    <s v="RAFAEL"/>
  </r>
  <r>
    <n v="198089"/>
    <s v="KOY"/>
    <s v="INSS0226A"/>
    <x v="1"/>
    <s v="GUIA DA PREVIDENCIA SOCIAL"/>
    <n v="1108.1500000000001"/>
    <x v="67"/>
    <x v="67"/>
    <s v=""/>
    <x v="7"/>
    <s v="DH"/>
    <n v="0"/>
    <s v="RAFAEL"/>
  </r>
  <r>
    <n v="198090"/>
    <s v="KOY"/>
    <s v="INSS0226C"/>
    <x v="1"/>
    <s v="GUIA DA PREVIDENCIA SOCIAL"/>
    <n v="865.46"/>
    <x v="82"/>
    <x v="82"/>
    <s v=""/>
    <x v="9"/>
    <s v="DH"/>
    <s v="CUSTO MÃO DE OBRA DIRETA"/>
    <s v="RAFAEL"/>
  </r>
  <r>
    <n v="198091"/>
    <s v="KOY"/>
    <s v="INSS0226M"/>
    <x v="1"/>
    <s v="GUIA DA PREVIDENCIA SOCIAL"/>
    <n v="2759.75"/>
    <x v="83"/>
    <x v="83"/>
    <s v=""/>
    <x v="5"/>
    <s v="DH"/>
    <s v="CUSTO MÃO DE OBRA DIRETA"/>
    <s v="RAFAEL"/>
  </r>
  <r>
    <n v="198093"/>
    <s v="LAY"/>
    <s v="INSS0226A"/>
    <x v="1"/>
    <s v="GUIA DA PREVIDENCIA SOCIAL"/>
    <n v="4758.72"/>
    <x v="67"/>
    <x v="67"/>
    <s v=""/>
    <x v="7"/>
    <s v="DH"/>
    <n v="0"/>
    <s v="RAFAEL"/>
  </r>
  <r>
    <n v="198094"/>
    <s v="LAY"/>
    <s v="INSS0226C"/>
    <x v="1"/>
    <s v="GUIA DA PREVIDENCIA SOCIAL"/>
    <n v="3030.63"/>
    <x v="82"/>
    <x v="82"/>
    <s v=""/>
    <x v="9"/>
    <s v="DH"/>
    <s v="CUSTO MÃO DE OBRA DIRETA"/>
    <s v="RAFAEL"/>
  </r>
  <r>
    <n v="198095"/>
    <s v="LAY"/>
    <s v="INSS0226M"/>
    <x v="1"/>
    <s v="GUIA DA PREVIDENCIA SOCIAL"/>
    <n v="15241.02"/>
    <x v="83"/>
    <x v="83"/>
    <s v=""/>
    <x v="5"/>
    <s v="DH"/>
    <s v="CUSTO MÃO DE OBRA DIRETA"/>
    <s v="RAFAEL"/>
  </r>
  <r>
    <n v="198096"/>
    <s v="KAR"/>
    <s v="INSS0226A"/>
    <x v="1"/>
    <s v="GUIA DA PREVIDENCIA SOCIAL"/>
    <n v="15864.25"/>
    <x v="67"/>
    <x v="67"/>
    <s v=""/>
    <x v="7"/>
    <s v="DH"/>
    <n v="0"/>
    <s v="RAFAEL"/>
  </r>
  <r>
    <n v="198097"/>
    <s v="KAR"/>
    <s v="INSS0226C"/>
    <x v="1"/>
    <s v="GUIA DA PREVIDENCIA SOCIAL"/>
    <n v="4130.5200000000004"/>
    <x v="82"/>
    <x v="82"/>
    <s v=""/>
    <x v="9"/>
    <s v="DH"/>
    <s v="CUSTO MÃO DE OBRA DIRETA"/>
    <s v="RAFAEL"/>
  </r>
  <r>
    <n v="198098"/>
    <s v="KAR"/>
    <s v="INSS0226M"/>
    <x v="1"/>
    <s v="GUIA DA PREVIDENCIA SOCIAL"/>
    <n v="26368.31"/>
    <x v="83"/>
    <x v="83"/>
    <s v=""/>
    <x v="5"/>
    <s v="DH"/>
    <s v="CUSTO MÃO DE OBRA DIRETA"/>
    <s v="RAFAEL"/>
  </r>
  <r>
    <n v="198099"/>
    <s v="KOY"/>
    <s v="8614"/>
    <x v="1"/>
    <s v="MERCADO LIVRE "/>
    <n v="22.99"/>
    <x v="38"/>
    <x v="38"/>
    <s v=""/>
    <x v="5"/>
    <s v="PRODUÇÃO"/>
    <n v="0"/>
    <s v="RAFAEL"/>
  </r>
  <r>
    <n v="198100"/>
    <s v="KOY"/>
    <s v="97862588"/>
    <x v="1"/>
    <s v="MERCADO LIVRE "/>
    <n v="509.99"/>
    <x v="13"/>
    <x v="13"/>
    <s v=""/>
    <x v="2"/>
    <s v="MANUTENÇÃO / TI"/>
    <n v="0"/>
    <s v="RAFAEL"/>
  </r>
  <r>
    <n v="198101"/>
    <s v="KOY"/>
    <s v="19655"/>
    <x v="21"/>
    <s v="MERCADO LIVRE "/>
    <n v="350.07"/>
    <x v="46"/>
    <x v="46"/>
    <s v=""/>
    <x v="9"/>
    <s v="MANUTENÇÃO / TI"/>
    <n v="0"/>
    <s v="FÁBIO"/>
  </r>
  <r>
    <n v="198104"/>
    <s v="KOX"/>
    <s v="CAFEMANHA"/>
    <x v="20"/>
    <s v="DIAS &amp; LIU LTDA. - ME"/>
    <n v="28.9"/>
    <x v="26"/>
    <x v="26"/>
    <s v=""/>
    <x v="3"/>
    <s v="FINANCEIRO"/>
    <n v="0"/>
    <s v="LETÍCIA"/>
  </r>
  <r>
    <n v="198105"/>
    <s v="KOY"/>
    <s v="1039280"/>
    <x v="90"/>
    <s v="MERCADO LIVRE "/>
    <n v="29.72"/>
    <x v="13"/>
    <x v="13"/>
    <s v=""/>
    <x v="2"/>
    <s v="MANUTENÇÃO / TI"/>
    <n v="0"/>
    <s v="RAFAEL"/>
  </r>
  <r>
    <n v="198106"/>
    <s v="KOY"/>
    <s v="1039284"/>
    <x v="90"/>
    <s v="MERCADO LIVRE "/>
    <n v="29.72"/>
    <x v="13"/>
    <x v="13"/>
    <s v=""/>
    <x v="2"/>
    <s v="MANUTENÇÃO / TI"/>
    <n v="0"/>
    <s v="RAFAEL"/>
  </r>
  <r>
    <n v="198107"/>
    <s v="KOY"/>
    <s v="1039288"/>
    <x v="90"/>
    <s v="MERCADO LIVRE "/>
    <n v="29.72"/>
    <x v="13"/>
    <x v="13"/>
    <s v=""/>
    <x v="2"/>
    <s v="MANUTENÇÃO / TI"/>
    <n v="0"/>
    <s v="RAFAEL"/>
  </r>
  <r>
    <n v="198108"/>
    <s v="KOY"/>
    <s v="1039286"/>
    <x v="90"/>
    <s v="MERCADO LIVRE "/>
    <n v="29.72"/>
    <x v="13"/>
    <x v="13"/>
    <s v=""/>
    <x v="2"/>
    <s v="MANUTENÇÃO / TI"/>
    <n v="0"/>
    <s v="RAFAEL"/>
  </r>
  <r>
    <n v="198109"/>
    <s v="KAR"/>
    <s v="424560502"/>
    <x v="59"/>
    <s v="BANCO SICREDI"/>
    <n v="424.56"/>
    <x v="27"/>
    <x v="27"/>
    <s v=""/>
    <x v="8"/>
    <s v="FINANCEIRO"/>
    <n v="0"/>
    <s v="LETÍCIA"/>
  </r>
  <r>
    <n v="198110"/>
    <s v="KAR"/>
    <s v="401330502"/>
    <x v="59"/>
    <s v="BANCO SICREDI"/>
    <n v="401.33"/>
    <x v="27"/>
    <x v="27"/>
    <s v=""/>
    <x v="8"/>
    <s v="FINANCEIRO"/>
    <n v="0"/>
    <s v="LETÍCIA"/>
  </r>
  <r>
    <n v="198111"/>
    <s v="KAR"/>
    <s v="CET050226"/>
    <x v="59"/>
    <s v="BANCO SICREDI"/>
    <n v="2592.9899999999998"/>
    <x v="29"/>
    <x v="29"/>
    <s v=""/>
    <x v="8"/>
    <s v="FINANCEIRO"/>
    <n v="0"/>
    <s v="LETÍCIA"/>
  </r>
  <r>
    <n v="198112"/>
    <s v="FK"/>
    <s v="DEBORA SI"/>
    <x v="59"/>
    <s v="LEONARDO DE MATTOS"/>
    <n v="2000"/>
    <x v="84"/>
    <x v="84"/>
    <s v=""/>
    <x v="6"/>
    <s v="LOGÍSTICA"/>
    <n v="0"/>
    <s v="MYLENA"/>
  </r>
  <r>
    <n v="198113"/>
    <s v="FK"/>
    <s v="NIS0502A"/>
    <x v="59"/>
    <s v="CASA DE FERRAGEM NISHIMOTO"/>
    <n v="24"/>
    <x v="30"/>
    <x v="30"/>
    <s v="FERRAGENS GERAIS"/>
    <x v="9"/>
    <s v="MANUTENÇÃO / TI"/>
    <n v="0"/>
    <s v="RAFAEL"/>
  </r>
  <r>
    <n v="198114"/>
    <s v="LAY"/>
    <s v="TESTE02/2"/>
    <x v="59"/>
    <s v="DANIEL BRUNNER TAVARES"/>
    <n v="10"/>
    <x v="17"/>
    <x v="17"/>
    <s v=""/>
    <x v="8"/>
    <s v="FINANCEIRO"/>
    <n v="0"/>
    <s v="LETÍCIA"/>
  </r>
  <r>
    <n v="198115"/>
    <s v="LAY"/>
    <s v="TESTE 1/2"/>
    <x v="41"/>
    <s v="DANIEL BRUNNER TAVARES"/>
    <n v="15"/>
    <x v="17"/>
    <x v="17"/>
    <s v=""/>
    <x v="8"/>
    <s v="FINANCEIRO"/>
    <n v="0"/>
    <s v="LETÍCIA"/>
  </r>
  <r>
    <n v="198116"/>
    <s v="FK"/>
    <s v="ELET0502"/>
    <x v="59"/>
    <s v="JOAO LUIZ DE OLIVEIRA &amp; CIA LTDA - ME"/>
    <n v="25"/>
    <x v="30"/>
    <x v="30"/>
    <s v="MATERIAIS ELETRICOS"/>
    <x v="9"/>
    <s v="MANUTENÇÃO / TI"/>
    <n v="0"/>
    <s v="RAFAEL"/>
  </r>
  <r>
    <n v="198117"/>
    <s v="KAR"/>
    <s v="544446"/>
    <x v="59"/>
    <s v="ELETROLUZ MATERIAIS ELETRICOS LTDA."/>
    <n v="329.2"/>
    <x v="25"/>
    <x v="25"/>
    <s v=""/>
    <x v="2"/>
    <s v="MANUTENÇÃO / TI"/>
    <n v="0"/>
    <s v="FÁBIO"/>
  </r>
  <r>
    <n v="198118"/>
    <s v="KAR"/>
    <s v="333734"/>
    <x v="94"/>
    <s v="POSTO E SERVIÇO TIGRAO DA DUTRA"/>
    <n v="80.75"/>
    <x v="37"/>
    <x v="37"/>
    <s v=""/>
    <x v="6"/>
    <s v="LOGÍSTICA"/>
    <n v="0"/>
    <s v="MYLENA"/>
  </r>
  <r>
    <n v="198120"/>
    <s v="KAR"/>
    <s v="333733"/>
    <x v="94"/>
    <s v="POSTO E SERVIÇO TIGRAO DA DUTRA"/>
    <n v="2001.19"/>
    <x v="37"/>
    <x v="37"/>
    <s v=""/>
    <x v="6"/>
    <s v="LOGÍSTICA"/>
    <n v="0"/>
    <s v="MYLENA"/>
  </r>
  <r>
    <n v="198121"/>
    <s v="KAR"/>
    <s v="VANDER"/>
    <x v="1"/>
    <s v="POSTO FAROL 48 DA CASTELO INTERIOR LTDA"/>
    <n v="589"/>
    <x v="37"/>
    <x v="37"/>
    <s v=""/>
    <x v="6"/>
    <s v="LOGÍSTICA"/>
    <n v="0"/>
    <s v="MYLENA"/>
  </r>
  <r>
    <n v="198124"/>
    <s v="FK"/>
    <s v="CAR030226"/>
    <x v="36"/>
    <s v="M.A. DOS SANTOS NASCIMENTO"/>
    <n v="76"/>
    <x v="64"/>
    <x v="64"/>
    <s v=""/>
    <x v="4"/>
    <s v="FINANCEIRO"/>
    <n v="0"/>
    <s v="MYLENA"/>
  </r>
  <r>
    <n v="198125"/>
    <s v="FK"/>
    <s v="ABIMAD 41"/>
    <x v="1"/>
    <s v="JULIANA SILVA QUITÉRIO - ME"/>
    <n v="1370.25"/>
    <x v="14"/>
    <x v="14"/>
    <s v=""/>
    <x v="6"/>
    <s v="COMERCIAL"/>
    <n v="0"/>
    <s v="THAIS"/>
  </r>
  <r>
    <n v="198126"/>
    <s v="KAR"/>
    <s v="49800"/>
    <x v="59"/>
    <s v="MISSLER SOFTWARE BRASIL COMERCIO DE SOFTWARES LTDA"/>
    <n v="500.86"/>
    <x v="12"/>
    <x v="12"/>
    <s v="TOPSOLID"/>
    <x v="3"/>
    <s v="MANUTENÇÃO / TI"/>
    <n v="0"/>
    <s v="LETÍCIA"/>
  </r>
  <r>
    <n v="198127"/>
    <s v="FK"/>
    <s v="0402226"/>
    <x v="41"/>
    <s v="M.A. DOS SANTOS NASCIMENTO"/>
    <n v="116"/>
    <x v="54"/>
    <x v="54"/>
    <s v=""/>
    <x v="6"/>
    <s v="COMERCIAL"/>
    <n v="0"/>
    <s v="LETÍCIA"/>
  </r>
  <r>
    <n v="198128"/>
    <s v="FK"/>
    <s v="PORTAO"/>
    <x v="1"/>
    <s v="WAGNER SANVEZZO PEREIRINHA 04625378974"/>
    <n v="1350"/>
    <x v="46"/>
    <x v="46"/>
    <s v=""/>
    <x v="9"/>
    <s v="MANUTENÇÃO / TI"/>
    <n v="0"/>
    <s v="FÁBIO"/>
  </r>
  <r>
    <n v="198129"/>
    <s v="FK"/>
    <s v="CONTROLE"/>
    <x v="1"/>
    <s v="WAGNER SANVEZZO PEREIRINHA 04625378974"/>
    <n v="90"/>
    <x v="30"/>
    <x v="30"/>
    <s v=""/>
    <x v="9"/>
    <s v="MANUTENÇÃO / TI"/>
    <n v="0"/>
    <s v="RAFAEL"/>
  </r>
  <r>
    <n v="198130"/>
    <s v="FK"/>
    <s v="CAMERAS"/>
    <x v="1"/>
    <s v="WAGNER SANVEZZO PEREIRINHA 04625378974"/>
    <n v="140"/>
    <x v="30"/>
    <x v="30"/>
    <s v=""/>
    <x v="9"/>
    <s v="MANUTENÇÃO / TI"/>
    <n v="0"/>
    <s v="RAFAEL"/>
  </r>
  <r>
    <n v="198131"/>
    <s v="FK"/>
    <s v="MOTOR"/>
    <x v="1"/>
    <s v="WAGNER SANVEZZO PEREIRINHA 04625378974"/>
    <n v="900"/>
    <x v="46"/>
    <x v="46"/>
    <s v=""/>
    <x v="9"/>
    <s v="MANUTENÇÃO / TI"/>
    <n v="0"/>
    <s v="FÁBIO"/>
  </r>
  <r>
    <n v="198132"/>
    <s v="LAY"/>
    <s v="4573fadm"/>
    <x v="74"/>
    <s v="UNIMED DE PARANAVAI COOPERATIVA DE TRABALHO MEDICO"/>
    <n v="259.67"/>
    <x v="18"/>
    <x v="18"/>
    <s v=""/>
    <x v="7"/>
    <s v="DH"/>
    <n v="0"/>
    <s v="RAFAEL"/>
  </r>
  <r>
    <n v="198133"/>
    <s v="LAY"/>
    <s v="4573fcif"/>
    <x v="74"/>
    <s v="UNIMED DE PARANAVAI COOPERATIVA DE TRABALHO MEDICO"/>
    <n v="315.42"/>
    <x v="61"/>
    <x v="61"/>
    <s v=""/>
    <x v="9"/>
    <s v="DH"/>
    <s v="CUSTO MÃO DE OBRA DIRETA"/>
    <s v="RAFAEL"/>
  </r>
  <r>
    <n v="198134"/>
    <s v="LAY"/>
    <s v="4573fmod"/>
    <x v="74"/>
    <s v="UNIMED DE PARANAVAI COOPERATIVA DE TRABALHO MEDICO"/>
    <n v="490.62"/>
    <x v="7"/>
    <x v="7"/>
    <s v=""/>
    <x v="5"/>
    <s v="DH"/>
    <s v="CUSTO MÃO DE OBRA DIRETA"/>
    <s v="RAFAEL"/>
  </r>
  <r>
    <n v="198135"/>
    <s v="LAY"/>
    <s v="4573gadm"/>
    <x v="74"/>
    <s v="UNIMED DE PARANAVAI COOPERATIVA DE TRABALHO MEDICO"/>
    <n v="259.67"/>
    <x v="59"/>
    <x v="59"/>
    <s v=""/>
    <x v="7"/>
    <s v="DH"/>
    <n v="0"/>
    <s v="RAFAEL"/>
  </r>
  <r>
    <n v="198136"/>
    <s v="LAY"/>
    <s v="4573gcif"/>
    <x v="74"/>
    <s v="UNIMED DE PARANAVAI COOPERATIVA DE TRABALHO MEDICO"/>
    <n v="149.63999999999999"/>
    <x v="62"/>
    <x v="62"/>
    <s v=""/>
    <x v="9"/>
    <s v="DH"/>
    <s v="CUSTO MÃO DE OBRA DIRETA"/>
    <s v="RAFAEL"/>
  </r>
  <r>
    <n v="198137"/>
    <s v="LAY"/>
    <s v="4573gmod"/>
    <x v="74"/>
    <s v="UNIMED DE PARANAVAI COOPERATIVA DE TRABALHO MEDICO"/>
    <n v="211.56"/>
    <x v="60"/>
    <x v="60"/>
    <s v=""/>
    <x v="5"/>
    <s v="DH"/>
    <s v="CUSTO MÃO DE OBRA DIRETA"/>
    <s v="RAFAEL"/>
  </r>
  <r>
    <n v="198138"/>
    <s v="LAY"/>
    <s v="4589FADM"/>
    <x v="74"/>
    <s v="UNIMED DE PARANAVAI COOPERATIVA DE TRABALHO MEDICO"/>
    <n v="1579.68"/>
    <x v="18"/>
    <x v="18"/>
    <s v=""/>
    <x v="7"/>
    <s v="DH"/>
    <n v="0"/>
    <s v="RAFAEL"/>
  </r>
  <r>
    <n v="198139"/>
    <s v="LAY"/>
    <s v="4589FCIF"/>
    <x v="74"/>
    <s v="UNIMED DE PARANAVAI COOPERATIVA DE TRABALHO MEDICO"/>
    <n v="982.22"/>
    <x v="61"/>
    <x v="61"/>
    <s v=""/>
    <x v="9"/>
    <s v="DH"/>
    <s v="CUSTO MÃO DE OBRA DIRETA"/>
    <s v="RAFAEL"/>
  </r>
  <r>
    <n v="198140"/>
    <s v="LAY"/>
    <s v="4589FMOD"/>
    <x v="74"/>
    <s v="UNIMED DE PARANAVAI COOPERATIVA DE TRABALHO MEDICO"/>
    <n v="1066.93"/>
    <x v="7"/>
    <x v="7"/>
    <s v=""/>
    <x v="5"/>
    <s v="DH"/>
    <s v="CUSTO MÃO DE OBRA DIRETA"/>
    <s v="RAFAEL"/>
  </r>
  <r>
    <n v="198141"/>
    <s v="LAY"/>
    <s v="4589GADM"/>
    <x v="74"/>
    <s v="UNIMED DE PARANAVAI COOPERATIVA DE TRABALHO MEDICO"/>
    <n v="449.28"/>
    <x v="59"/>
    <x v="59"/>
    <s v=""/>
    <x v="7"/>
    <s v="DH"/>
    <n v="0"/>
    <s v="RAFAEL"/>
  </r>
  <r>
    <n v="198142"/>
    <s v="LAY"/>
    <s v="4589GCIF"/>
    <x v="74"/>
    <s v="UNIMED DE PARANAVAI COOPERATIVA DE TRABALHO MEDICO"/>
    <n v="766.05"/>
    <x v="62"/>
    <x v="62"/>
    <s v=""/>
    <x v="9"/>
    <s v="DH"/>
    <s v="CUSTO MÃO DE OBRA DIRETA"/>
    <s v="RAFAEL"/>
  </r>
  <r>
    <n v="198143"/>
    <s v="LAY"/>
    <s v="4589GMOD"/>
    <x v="74"/>
    <s v="UNIMED DE PARANAVAI COOPERATIVA DE TRABALHO MEDICO"/>
    <n v="634.59"/>
    <x v="60"/>
    <x v="60"/>
    <s v=""/>
    <x v="5"/>
    <s v="DH"/>
    <s v="CUSTO MÃO DE OBRA DIRETA"/>
    <s v="RAFAEL"/>
  </r>
  <r>
    <n v="198144"/>
    <s v="LAY"/>
    <s v="4593sadm"/>
    <x v="74"/>
    <s v="UNIMED DE PARANAVAI COOPERATIVA DE TRABALHO MEDICO"/>
    <n v="99.21"/>
    <x v="18"/>
    <x v="18"/>
    <s v=""/>
    <x v="7"/>
    <s v="DH"/>
    <n v="0"/>
    <s v="RAFAEL"/>
  </r>
  <r>
    <n v="198145"/>
    <s v="LAY"/>
    <s v="4593scif"/>
    <x v="74"/>
    <s v="UNIMED DE PARANAVAI COOPERATIVA DE TRABALHO MEDICO"/>
    <n v="99.49"/>
    <x v="61"/>
    <x v="61"/>
    <s v=""/>
    <x v="9"/>
    <s v="DH"/>
    <s v="CUSTO MÃO DE OBRA DIRETA"/>
    <s v="RAFAEL"/>
  </r>
  <r>
    <n v="198146"/>
    <s v="LAY"/>
    <s v="4605SCIF"/>
    <x v="74"/>
    <s v="UNIMED DE PARANAVAI COOPERATIVA DE TRABALHO MEDICO"/>
    <n v="370.88"/>
    <x v="61"/>
    <x v="61"/>
    <s v=""/>
    <x v="9"/>
    <s v="DH"/>
    <s v="CUSTO MÃO DE OBRA DIRETA"/>
    <s v="RAFAEL"/>
  </r>
  <r>
    <n v="198147"/>
    <s v="LAY"/>
    <s v="4605SMOD"/>
    <x v="74"/>
    <s v="UNIMED DE PARANAVAI COOPERATIVA DE TRABALHO MEDICO"/>
    <n v="265.64"/>
    <x v="7"/>
    <x v="7"/>
    <s v=""/>
    <x v="5"/>
    <s v="DH"/>
    <s v="CUSTO MÃO DE OBRA DIRETA"/>
    <s v="RAFAEL"/>
  </r>
  <r>
    <n v="198148"/>
    <s v="KAR"/>
    <s v="4573fadm"/>
    <x v="74"/>
    <s v="UNIMED DE PARANAVAI COOPERATIVA DE TRABALHO MEDICO"/>
    <n v="486.93"/>
    <x v="18"/>
    <x v="18"/>
    <s v=""/>
    <x v="7"/>
    <s v="DH"/>
    <n v="0"/>
    <s v="RAFAEL"/>
  </r>
  <r>
    <n v="198149"/>
    <s v="KAR"/>
    <s v="4573fmod"/>
    <x v="74"/>
    <s v="UNIMED DE PARANAVAI COOPERATIVA DE TRABALHO MEDICO"/>
    <n v="310.33"/>
    <x v="7"/>
    <x v="7"/>
    <s v=""/>
    <x v="5"/>
    <s v="DH"/>
    <s v="CUSTO MÃO DE OBRA DIRETA"/>
    <s v="RAFAEL"/>
  </r>
  <r>
    <n v="198150"/>
    <s v="KAR"/>
    <s v="4573gadm"/>
    <x v="74"/>
    <s v="UNIMED DE PARANAVAI COOPERATIVA DE TRABALHO MEDICO"/>
    <n v="321.14999999999998"/>
    <x v="59"/>
    <x v="59"/>
    <s v=""/>
    <x v="7"/>
    <s v="DH"/>
    <n v="0"/>
    <s v="RAFAEL"/>
  </r>
  <r>
    <n v="198151"/>
    <s v="KAR"/>
    <s v="4573gmod"/>
    <x v="74"/>
    <s v="UNIMED DE PARANAVAI COOPERATIVA DE TRABALHO MEDICO"/>
    <n v="170.8"/>
    <x v="60"/>
    <x v="60"/>
    <s v=""/>
    <x v="5"/>
    <s v="DH"/>
    <s v="CUSTO MÃO DE OBRA DIRETA"/>
    <s v="RAFAEL"/>
  </r>
  <r>
    <n v="198152"/>
    <s v="KAR"/>
    <s v="4588AYLA"/>
    <x v="74"/>
    <s v="UNIMED DE PARANAVAI COOPERATIVA DE TRABALHO MEDICO"/>
    <n v="322.89999999999998"/>
    <x v="15"/>
    <x v="15"/>
    <s v=""/>
    <x v="7"/>
    <s v="DIRETORIA"/>
    <n v="0"/>
    <s v="FÁBIO"/>
  </r>
  <r>
    <n v="198153"/>
    <s v="KAR"/>
    <s v="4588FADM"/>
    <x v="74"/>
    <s v="UNIMED DE PARANAVAI COOPERATIVA DE TRABALHO MEDICO"/>
    <n v="680.1"/>
    <x v="18"/>
    <x v="18"/>
    <s v=""/>
    <x v="7"/>
    <s v="DH"/>
    <n v="0"/>
    <s v="RAFAEL"/>
  </r>
  <r>
    <n v="198154"/>
    <s v="KAR"/>
    <s v="4588FMOD"/>
    <x v="74"/>
    <s v="UNIMED DE PARANAVAI COOPERATIVA DE TRABALHO MEDICO"/>
    <n v="1069.99"/>
    <x v="7"/>
    <x v="7"/>
    <s v=""/>
    <x v="5"/>
    <s v="DH"/>
    <s v="CUSTO MÃO DE OBRA DIRETA"/>
    <s v="RAFAEL"/>
  </r>
  <r>
    <n v="198155"/>
    <s v="KAR"/>
    <s v="4588GADM"/>
    <x v="74"/>
    <s v="UNIMED DE PARANAVAI COOPERATIVA DE TRABALHO MEDICO"/>
    <n v="463.91"/>
    <x v="59"/>
    <x v="59"/>
    <s v=""/>
    <x v="7"/>
    <s v="DH"/>
    <n v="0"/>
    <s v="RAFAEL"/>
  </r>
  <r>
    <n v="198156"/>
    <s v="KAR"/>
    <s v="4588GMOD"/>
    <x v="74"/>
    <s v="UNIMED DE PARANAVAI COOPERATIVA DE TRABALHO MEDICO"/>
    <n v="574"/>
    <x v="60"/>
    <x v="60"/>
    <s v=""/>
    <x v="5"/>
    <s v="DH"/>
    <s v="CUSTO MÃO DE OBRA DIRETA"/>
    <s v="RAFAEL"/>
  </r>
  <r>
    <n v="198157"/>
    <s v="KAR"/>
    <s v="4605sadm"/>
    <x v="74"/>
    <s v="UNIMED DE PARANAVAI COOPERATIVA DE TRABALHO MEDICO"/>
    <n v="107.64"/>
    <x v="18"/>
    <x v="18"/>
    <s v=""/>
    <x v="7"/>
    <s v="DH"/>
    <n v="0"/>
    <s v="RAFAEL"/>
  </r>
  <r>
    <n v="198158"/>
    <s v="KAR"/>
    <s v="4605smod"/>
    <x v="74"/>
    <s v="UNIMED DE PARANAVAI COOPERATIVA DE TRABALHO MEDICO"/>
    <n v="508.91"/>
    <x v="7"/>
    <x v="7"/>
    <s v=""/>
    <x v="5"/>
    <s v="DH"/>
    <s v="CUSTO MÃO DE OBRA DIRETA"/>
    <s v="RAFAEL"/>
  </r>
  <r>
    <n v="198159"/>
    <s v="KAR"/>
    <s v="239670502"/>
    <x v="59"/>
    <s v="BANCO SICREDI"/>
    <n v="239.67"/>
    <x v="27"/>
    <x v="27"/>
    <s v=""/>
    <x v="8"/>
    <s v="FINANCEIRO"/>
    <n v="0"/>
    <s v="LETÍCIA"/>
  </r>
  <r>
    <n v="198160"/>
    <s v="KAR"/>
    <s v="64330502"/>
    <x v="59"/>
    <s v="BANCO SICREDI"/>
    <n v="64.33"/>
    <x v="69"/>
    <x v="69"/>
    <s v=""/>
    <x v="4"/>
    <s v="FINANCEIRO"/>
    <n v="0"/>
    <s v="LETÍCIA"/>
  </r>
  <r>
    <n v="198161"/>
    <s v="KAR"/>
    <s v="17220502"/>
    <x v="59"/>
    <s v="BANCO SICREDI"/>
    <n v="17.22"/>
    <x v="69"/>
    <x v="69"/>
    <s v=""/>
    <x v="4"/>
    <s v="FINANCEIRO"/>
    <n v="0"/>
    <s v="LETÍCIA"/>
  </r>
  <r>
    <n v="198162"/>
    <s v="KAR"/>
    <s v="8690502"/>
    <x v="59"/>
    <s v="BANCO SICREDI"/>
    <n v="8.69"/>
    <x v="28"/>
    <x v="28"/>
    <s v=""/>
    <x v="8"/>
    <s v="FINANCEIRO"/>
    <n v="0"/>
    <s v="LETÍCIA"/>
  </r>
  <r>
    <n v="198163"/>
    <s v="LAY"/>
    <s v="1580502"/>
    <x v="59"/>
    <s v="BANCO SICREDI"/>
    <n v="1.58"/>
    <x v="27"/>
    <x v="27"/>
    <s v=""/>
    <x v="8"/>
    <s v="FINANCEIRO"/>
    <n v="0"/>
    <s v="LETÍCIA"/>
  </r>
  <r>
    <n v="198164"/>
    <s v="KAR"/>
    <s v="0790602"/>
    <x v="22"/>
    <s v="BANCO SICREDI"/>
    <n v="0.79"/>
    <x v="28"/>
    <x v="28"/>
    <s v=""/>
    <x v="8"/>
    <s v="FINANCEIRO"/>
    <n v="0"/>
    <s v="LETÍCIA"/>
  </r>
  <r>
    <n v="198165"/>
    <s v="KAR"/>
    <s v="0950502"/>
    <x v="59"/>
    <s v="BANCO SICREDI"/>
    <n v="0.95"/>
    <x v="27"/>
    <x v="27"/>
    <s v=""/>
    <x v="8"/>
    <s v="FINANCEIRO"/>
    <n v="0"/>
    <s v="LETÍCIA"/>
  </r>
  <r>
    <n v="198167"/>
    <s v="FK"/>
    <s v="4412"/>
    <x v="22"/>
    <s v="DIAS &amp; LIU LTDA. - ME"/>
    <n v="44.12"/>
    <x v="64"/>
    <x v="64"/>
    <s v=""/>
    <x v="4"/>
    <s v="FINANCEIRO"/>
    <n v="0"/>
    <s v="MYLENA"/>
  </r>
  <r>
    <n v="198168"/>
    <s v="KAR"/>
    <s v="662016"/>
    <x v="22"/>
    <s v="CAVEMAC IND. COMERCIAL DE MAQUINAS IMP. E EXP. LTD"/>
    <n v="367.03"/>
    <x v="38"/>
    <x v="38"/>
    <s v="MAQUINAS DE COSTURA"/>
    <x v="5"/>
    <s v="PRODUÇÃO"/>
    <n v="0"/>
    <s v="RAFAEL"/>
  </r>
  <r>
    <n v="198169"/>
    <s v="KAR"/>
    <s v="182528"/>
    <x v="22"/>
    <s v="IMP. E EXP. DE ROLAMENTOS MARINGA LTDA"/>
    <n v="227.97"/>
    <x v="38"/>
    <x v="38"/>
    <s v=""/>
    <x v="5"/>
    <s v="PRODUÇÃO"/>
    <n v="0"/>
    <s v="RAFAEL"/>
  </r>
  <r>
    <n v="198170"/>
    <s v="LAY"/>
    <s v="409930602"/>
    <x v="22"/>
    <s v="BANCO SICREDI"/>
    <n v="409.93"/>
    <x v="27"/>
    <x v="27"/>
    <s v=""/>
    <x v="8"/>
    <s v="FINANCEIRO"/>
    <n v="0"/>
    <s v="LETÍCIA"/>
  </r>
  <r>
    <n v="198171"/>
    <s v="LAY"/>
    <s v="438290602"/>
    <x v="22"/>
    <s v="BANCO SICREDI"/>
    <n v="438.29"/>
    <x v="27"/>
    <x v="27"/>
    <s v=""/>
    <x v="8"/>
    <s v="FINANCEIRO"/>
    <n v="0"/>
    <s v="LETÍCIA"/>
  </r>
  <r>
    <n v="198172"/>
    <s v="LAY"/>
    <s v="CET060226"/>
    <x v="22"/>
    <s v="BANCO SICREDI"/>
    <n v="2489.85"/>
    <x v="29"/>
    <x v="29"/>
    <s v=""/>
    <x v="8"/>
    <s v="FINANCEIRO"/>
    <n v="0"/>
    <s v="LETÍCIA"/>
  </r>
  <r>
    <n v="198173"/>
    <s v="KAR"/>
    <s v="497400602"/>
    <x v="22"/>
    <s v="BANCO SICREDI"/>
    <n v="497.4"/>
    <x v="27"/>
    <x v="27"/>
    <s v=""/>
    <x v="8"/>
    <s v="FINANCEIRO"/>
    <n v="0"/>
    <s v="LETÍCIA"/>
  </r>
  <r>
    <n v="198174"/>
    <s v="KAR"/>
    <s v="572890602"/>
    <x v="22"/>
    <s v="BANCO SICREDI"/>
    <n v="572.89"/>
    <x v="27"/>
    <x v="27"/>
    <s v=""/>
    <x v="8"/>
    <s v="FINANCEIRO"/>
    <n v="0"/>
    <s v="LETÍCIA"/>
  </r>
  <r>
    <n v="198175"/>
    <s v="KAR"/>
    <s v="CET060226"/>
    <x v="22"/>
    <s v="BANCO SICREDI"/>
    <n v="3008.98"/>
    <x v="29"/>
    <x v="29"/>
    <s v=""/>
    <x v="8"/>
    <s v="FINANCEIRO"/>
    <n v="0"/>
    <s v="LETÍCIA"/>
  </r>
  <r>
    <n v="198176"/>
    <s v="FK"/>
    <s v="POL0302"/>
    <x v="22"/>
    <s v="BORRACHARIA DO POLACO"/>
    <n v="210"/>
    <x v="31"/>
    <x v="31"/>
    <s v=""/>
    <x v="6"/>
    <s v="LOGÍSTICA"/>
    <n v="0"/>
    <s v="MYLENA"/>
  </r>
  <r>
    <n v="198177"/>
    <s v="FK"/>
    <s v="POL0602"/>
    <x v="22"/>
    <s v="BORRACHARIA DO POLACO"/>
    <n v="200"/>
    <x v="31"/>
    <x v="31"/>
    <s v=""/>
    <x v="6"/>
    <s v="LOGÍSTICA"/>
    <n v="0"/>
    <s v="MYLENA"/>
  </r>
  <r>
    <n v="198178"/>
    <s v="FK"/>
    <s v="BATA0602A"/>
    <x v="22"/>
    <s v="MARIA ANDREIA BUENO DE ALMEIDA BATAER"/>
    <n v="8.99"/>
    <x v="34"/>
    <x v="34"/>
    <s v=""/>
    <x v="6"/>
    <s v="COMERCIAL"/>
    <n v="0"/>
    <s v="LETÍCIA"/>
  </r>
  <r>
    <n v="198179"/>
    <s v="FK"/>
    <s v="CORD0902"/>
    <x v="2"/>
    <s v="MADEIREIRA CORDILHEIRA LTDA"/>
    <n v="4200"/>
    <x v="48"/>
    <x v="48"/>
    <s v=""/>
    <x v="0"/>
    <s v="COMPRAS"/>
    <n v="0"/>
    <s v="MYLENA"/>
  </r>
  <r>
    <n v="198180"/>
    <s v="KAR"/>
    <s v="1446398"/>
    <x v="22"/>
    <s v="FERRAMENTAS GERAIS COMERCIO IMP DE FERRAM. E MAQUI"/>
    <n v="1547"/>
    <x v="9"/>
    <x v="9"/>
    <s v="FERRAGENS GERAIS"/>
    <x v="2"/>
    <s v="MANUTENÇÃO / TI"/>
    <n v="0"/>
    <s v="RAFAEL"/>
  </r>
  <r>
    <n v="198181"/>
    <s v="KAR"/>
    <s v="12467"/>
    <x v="22"/>
    <s v="PPO PNEUMATICA LTDA"/>
    <n v="767.7"/>
    <x v="9"/>
    <x v="9"/>
    <s v="MATERIAIS PNEUMATICOS"/>
    <x v="2"/>
    <s v="MANUTENÇÃO / TI"/>
    <n v="0"/>
    <s v="RAFAEL"/>
  </r>
  <r>
    <n v="198182"/>
    <s v="FK"/>
    <s v="402098"/>
    <x v="22"/>
    <s v="ATACADÃO DISTRI. COM E IND LTDA"/>
    <n v="255"/>
    <x v="51"/>
    <x v="51"/>
    <s v=""/>
    <x v="4"/>
    <s v="ADMINISTRATIVO"/>
    <n v="0"/>
    <s v="LETÍCIA"/>
  </r>
  <r>
    <n v="198183"/>
    <s v="FK"/>
    <s v="CAR402098"/>
    <x v="22"/>
    <s v="ATACADÃO DISTRI. COM E IND LTDA"/>
    <n v="249"/>
    <x v="38"/>
    <x v="38"/>
    <s v=""/>
    <x v="5"/>
    <s v="PRODUÇÃO"/>
    <n v="0"/>
    <s v="RAFAEL"/>
  </r>
  <r>
    <n v="198184"/>
    <s v="FK"/>
    <s v="QN7793147"/>
    <x v="22"/>
    <s v="CORREIO"/>
    <n v="56"/>
    <x v="65"/>
    <x v="65"/>
    <s v="SERVIÇOS FRETE"/>
    <x v="6"/>
    <s v="LOGÍSTICA"/>
    <n v="0"/>
    <s v="MYLENA"/>
  </r>
  <r>
    <n v="198186"/>
    <s v="KAR"/>
    <s v="38515"/>
    <x v="36"/>
    <s v="SIM REDE DE POSTOS LTDA"/>
    <n v="85.06"/>
    <x v="37"/>
    <x v="37"/>
    <s v=""/>
    <x v="6"/>
    <s v="LOGÍSTICA"/>
    <n v="0"/>
    <s v="MYLENA"/>
  </r>
  <r>
    <n v="198187"/>
    <s v="KAR"/>
    <s v="38514"/>
    <x v="36"/>
    <s v="SIM REDE DE POSTOS LTDA"/>
    <n v="889.44"/>
    <x v="37"/>
    <x v="37"/>
    <s v=""/>
    <x v="6"/>
    <s v="LOGÍSTICA"/>
    <n v="0"/>
    <s v="MYLENA"/>
  </r>
  <r>
    <n v="198188"/>
    <s v="KAR"/>
    <s v="141570"/>
    <x v="59"/>
    <s v="AUTO POSTO PR 323 LTDA"/>
    <n v="23.75"/>
    <x v="37"/>
    <x v="37"/>
    <s v=""/>
    <x v="6"/>
    <s v="LOGÍSTICA"/>
    <n v="0"/>
    <s v="MYLENA"/>
  </r>
  <r>
    <n v="198189"/>
    <s v="FK"/>
    <s v="PET0702"/>
    <x v="2"/>
    <s v="ACT GUIRELLI"/>
    <n v="128"/>
    <x v="32"/>
    <x v="32"/>
    <s v=""/>
    <x v="3"/>
    <s v="FINANCEIRO"/>
    <n v="0"/>
    <s v="LETÍCIA"/>
  </r>
  <r>
    <n v="198190"/>
    <s v="KAR"/>
    <s v="61894"/>
    <x v="80"/>
    <s v="F. G. COM. DE PROD. DE HIG. PROF. LTDA."/>
    <n v="792.98"/>
    <x v="44"/>
    <x v="44"/>
    <s v=""/>
    <x v="9"/>
    <s v="COMPRAS"/>
    <n v="0"/>
    <s v="MYLENA"/>
  </r>
  <r>
    <n v="198191"/>
    <s v="KAR"/>
    <s v="61896"/>
    <x v="80"/>
    <s v="F. G. COM. DE PROD. DE HIG. PROF. LTDA."/>
    <n v="233.9"/>
    <x v="45"/>
    <x v="45"/>
    <s v=""/>
    <x v="4"/>
    <s v="ADMINISTRATIVO"/>
    <n v="0"/>
    <s v="MYLENA"/>
  </r>
  <r>
    <n v="198192"/>
    <s v="FK"/>
    <s v="PA1601"/>
    <x v="2"/>
    <s v="MARCIO JOSE PACHECO"/>
    <n v="35"/>
    <x v="14"/>
    <x v="14"/>
    <s v=""/>
    <x v="6"/>
    <s v="COMERCIAL"/>
    <n v="0"/>
    <s v="THAIS"/>
  </r>
  <r>
    <n v="198193"/>
    <s v="FK"/>
    <s v="PA1301"/>
    <x v="2"/>
    <s v="MARCIO JOSE PACHECO"/>
    <n v="35"/>
    <x v="30"/>
    <x v="30"/>
    <s v=""/>
    <x v="9"/>
    <s v="MANUTENÇÃO / TI"/>
    <n v="0"/>
    <s v="RAFAEL"/>
  </r>
  <r>
    <n v="198194"/>
    <s v="FK"/>
    <s v="PA0602"/>
    <x v="2"/>
    <s v="MARCIO JOSE PACHECO"/>
    <n v="35"/>
    <x v="30"/>
    <x v="30"/>
    <s v=""/>
    <x v="9"/>
    <s v="MANUTENÇÃO / TI"/>
    <n v="0"/>
    <s v="RAFAEL"/>
  </r>
  <r>
    <n v="198195"/>
    <s v="FK"/>
    <s v="PA1401"/>
    <x v="2"/>
    <s v="MARCIO JOSE PACHECO"/>
    <n v="35"/>
    <x v="30"/>
    <x v="30"/>
    <s v=""/>
    <x v="9"/>
    <s v="MANUTENÇÃO / TI"/>
    <n v="0"/>
    <s v="RAFAEL"/>
  </r>
  <r>
    <n v="198196"/>
    <s v="KAR"/>
    <s v="12640602"/>
    <x v="22"/>
    <s v="BANCO SICREDI"/>
    <n v="12.64"/>
    <x v="27"/>
    <x v="27"/>
    <s v=""/>
    <x v="8"/>
    <s v="FINANCEIRO"/>
    <n v="0"/>
    <s v="LETÍCIA"/>
  </r>
  <r>
    <n v="198197"/>
    <s v="KAR"/>
    <s v="1740902"/>
    <x v="2"/>
    <s v="BANCO SICREDI"/>
    <n v="1.74"/>
    <x v="27"/>
    <x v="27"/>
    <s v=""/>
    <x v="8"/>
    <s v="FINANCEIRO"/>
    <n v="0"/>
    <s v="LETÍCIA"/>
  </r>
  <r>
    <n v="198198"/>
    <s v="KAR"/>
    <s v="079060206"/>
    <x v="22"/>
    <s v="BANCO SICREDI"/>
    <n v="0.79"/>
    <x v="28"/>
    <x v="28"/>
    <s v=""/>
    <x v="8"/>
    <s v="FINANCEIRO"/>
    <n v="0"/>
    <s v="LETÍCIA"/>
  </r>
  <r>
    <n v="198199"/>
    <s v="KAR"/>
    <s v="11500902"/>
    <x v="2"/>
    <s v="BANCO SICREDI"/>
    <n v="11.5"/>
    <x v="27"/>
    <x v="27"/>
    <s v=""/>
    <x v="8"/>
    <s v="FINANCEIRO"/>
    <n v="0"/>
    <s v="LETÍCIA"/>
  </r>
  <r>
    <n v="198200"/>
    <s v="KAR"/>
    <s v="28370502"/>
    <x v="59"/>
    <s v="BANCO SICREDI"/>
    <n v="28.37"/>
    <x v="27"/>
    <x v="27"/>
    <s v=""/>
    <x v="8"/>
    <s v="FINANCEIRO"/>
    <n v="0"/>
    <s v="LETÍCIA"/>
  </r>
  <r>
    <n v="198203"/>
    <s v="FK"/>
    <s v="PNEU"/>
    <x v="2"/>
    <s v="SIDMAR AZOIA JUNIOR"/>
    <n v="2840"/>
    <x v="31"/>
    <x v="31"/>
    <s v=""/>
    <x v="6"/>
    <s v="LOGÍSTICA"/>
    <n v="0"/>
    <s v="MYLENA"/>
  </r>
  <r>
    <n v="198204"/>
    <s v="FK"/>
    <s v="LIM060226"/>
    <x v="2"/>
    <s v="KARAM'S IND.E COM.DE ESTOFADOS LTDA"/>
    <n v="150"/>
    <x v="14"/>
    <x v="14"/>
    <s v=""/>
    <x v="6"/>
    <s v="COMERCIAL"/>
    <n v="0"/>
    <s v="THAIS"/>
  </r>
  <r>
    <n v="198206"/>
    <s v="FK"/>
    <s v="74616"/>
    <x v="22"/>
    <s v="COMERCIO DE COMBUSTIVEIS TBM LTDA."/>
    <n v="191.86"/>
    <x v="43"/>
    <x v="43"/>
    <s v=""/>
    <x v="4"/>
    <s v="LOGÍSTICA"/>
    <n v="0"/>
    <s v="LETÍCIA"/>
  </r>
  <r>
    <n v="198207"/>
    <s v="FK"/>
    <s v="PA1501"/>
    <x v="2"/>
    <s v="MARCIO JOSE PACHECO"/>
    <n v="35"/>
    <x v="31"/>
    <x v="31"/>
    <s v=""/>
    <x v="6"/>
    <s v="LOGÍSTICA"/>
    <n v="0"/>
    <s v="MYLENA"/>
  </r>
  <r>
    <n v="198208"/>
    <s v="FK"/>
    <s v="PA0511"/>
    <x v="2"/>
    <s v="MARCIO JOSE PACHECO"/>
    <n v="25"/>
    <x v="31"/>
    <x v="31"/>
    <s v=""/>
    <x v="6"/>
    <s v="LOGÍSTICA"/>
    <n v="0"/>
    <s v="MYLENA"/>
  </r>
  <r>
    <n v="198209"/>
    <s v="FK"/>
    <s v="040226"/>
    <x v="41"/>
    <s v="SILVIA COLLI JORDÃO PRESTES"/>
    <n v="111.62"/>
    <x v="23"/>
    <x v="23"/>
    <s v=""/>
    <x v="6"/>
    <s v="COMERCIAL"/>
    <n v="0"/>
    <s v="LETÍCIA"/>
  </r>
  <r>
    <n v="198210"/>
    <s v="FK"/>
    <s v="74849"/>
    <x v="2"/>
    <s v="COMERCIO DE COMBUSTIVEIS TBM LTDA."/>
    <n v="30.55"/>
    <x v="43"/>
    <x v="43"/>
    <s v=""/>
    <x v="4"/>
    <s v="LOGÍSTICA"/>
    <n v="0"/>
    <s v="LETÍCIA"/>
  </r>
  <r>
    <n v="198211"/>
    <s v="KAR"/>
    <s v="13578"/>
    <x v="2"/>
    <s v="EDSON JOSE DE OLIVEIRA - MARINGA"/>
    <n v="65"/>
    <x v="30"/>
    <x v="30"/>
    <s v="MANUTENÇÕES FERRAMENTAS"/>
    <x v="9"/>
    <s v="MANUTENÇÃO / TI"/>
    <n v="0"/>
    <s v="RAFAEL"/>
  </r>
  <r>
    <n v="198212"/>
    <s v="KAR"/>
    <s v="40486"/>
    <x v="2"/>
    <s v="EDSON JOSE DE OLIVEIRA - MARINGA"/>
    <n v="150"/>
    <x v="30"/>
    <x v="30"/>
    <s v="MANUTENÇÕES FERRAMENTAS"/>
    <x v="9"/>
    <s v="MANUTENÇÃO / TI"/>
    <n v="0"/>
    <s v="RAFAEL"/>
  </r>
  <r>
    <n v="198213"/>
    <s v="FK"/>
    <s v="SODA0602"/>
    <x v="2"/>
    <s v="CAMINHAO BEM-9J26 "/>
    <n v="41"/>
    <x v="41"/>
    <x v="41"/>
    <s v=""/>
    <x v="6"/>
    <s v="LOGÍSTICA"/>
    <n v="0"/>
    <s v="MYLENA"/>
  </r>
  <r>
    <n v="198214"/>
    <s v="FK"/>
    <s v="74660"/>
    <x v="22"/>
    <s v="COMERCIO DE COMBUSTIVEIS TBM LTDA."/>
    <n v="2.99"/>
    <x v="37"/>
    <x v="37"/>
    <s v=""/>
    <x v="6"/>
    <s v="LOGÍSTICA"/>
    <n v="0"/>
    <s v="MYLENA"/>
  </r>
  <r>
    <n v="198215"/>
    <s v="FK"/>
    <s v="74658"/>
    <x v="22"/>
    <s v="COMERCIO DE COMBUSTIVEIS TBM LTDA."/>
    <n v="202.68"/>
    <x v="37"/>
    <x v="37"/>
    <s v=""/>
    <x v="6"/>
    <s v="LOGÍSTICA"/>
    <n v="0"/>
    <s v="MYLENA"/>
  </r>
  <r>
    <n v="198216"/>
    <s v="FK"/>
    <s v="SODA 0402"/>
    <x v="2"/>
    <s v="CAMINHAO BEM-9J26 "/>
    <n v="199"/>
    <x v="41"/>
    <x v="41"/>
    <s v=""/>
    <x v="6"/>
    <s v="LOGÍSTICA"/>
    <n v="0"/>
    <s v="MYLENA"/>
  </r>
  <r>
    <n v="198217"/>
    <s v="FK"/>
    <s v="74469"/>
    <x v="2"/>
    <s v="COMERCIO DE COMBUSTIVEIS TBM LTDA."/>
    <n v="293.60000000000002"/>
    <x v="37"/>
    <x v="37"/>
    <s v=""/>
    <x v="6"/>
    <s v="LOGÍSTICA"/>
    <n v="0"/>
    <s v="MYLENA"/>
  </r>
  <r>
    <n v="198218"/>
    <s v="FK"/>
    <s v="3160"/>
    <x v="41"/>
    <s v="COMERCIO DE COMBUSTIVEIS TBM LTDA."/>
    <n v="703.9"/>
    <x v="37"/>
    <x v="37"/>
    <s v=""/>
    <x v="6"/>
    <s v="LOGÍSTICA"/>
    <n v="0"/>
    <s v="MYLENA"/>
  </r>
  <r>
    <n v="198219"/>
    <s v="FK"/>
    <s v="LEAND0102"/>
    <x v="2"/>
    <s v="CAMINHAO - AYL-5F59"/>
    <n v="1490"/>
    <x v="41"/>
    <x v="41"/>
    <s v=""/>
    <x v="6"/>
    <s v="LOGÍSTICA"/>
    <n v="0"/>
    <s v="MYLENA"/>
  </r>
  <r>
    <n v="198220"/>
    <s v="FK"/>
    <s v="3354"/>
    <x v="22"/>
    <s v="COMERCIO DE COMBUSTIVEIS TBM LTDA."/>
    <n v="2630.54"/>
    <x v="37"/>
    <x v="37"/>
    <s v=""/>
    <x v="6"/>
    <s v="LOGÍSTICA"/>
    <n v="0"/>
    <s v="MYLENA"/>
  </r>
  <r>
    <n v="198222"/>
    <s v="KAR"/>
    <s v="16011"/>
    <x v="41"/>
    <s v="MP POSTOS E LOGISTICA LTDA - REDE TRADIÇÃO "/>
    <n v="794.14"/>
    <x v="37"/>
    <x v="37"/>
    <s v=""/>
    <x v="6"/>
    <s v="LOGÍSTICA"/>
    <n v="0"/>
    <s v="MYLENA"/>
  </r>
  <r>
    <n v="198223"/>
    <s v="KAR"/>
    <s v="ICMS0226"/>
    <x v="1"/>
    <s v="GUIA DE RECOLHIMENTO DO PARANA"/>
    <n v="59367.77"/>
    <x v="85"/>
    <x v="85"/>
    <s v=""/>
    <x v="1"/>
    <s v="FINANCEIRO"/>
    <n v="0"/>
    <s v="LETÍCIA"/>
  </r>
  <r>
    <n v="198224"/>
    <s v="KAR"/>
    <s v="IPI 0226"/>
    <x v="1"/>
    <s v="DOCUMENTO DE ARRECADAÇAO DE RECEITA FEDERAL"/>
    <n v="15874.39"/>
    <x v="86"/>
    <x v="86"/>
    <s v=""/>
    <x v="1"/>
    <s v="FINANCEIRO"/>
    <n v="0"/>
    <s v="LETÍCIA"/>
  </r>
  <r>
    <n v="198225"/>
    <s v="KAR"/>
    <s v="RETEN0226"/>
    <x v="1"/>
    <s v="DOCUMENTO DE ARRECADAÇAO DE RECEITA FEDERAL"/>
    <n v="1443.62"/>
    <x v="87"/>
    <x v="87"/>
    <s v=""/>
    <x v="1"/>
    <s v="FINANCEIRO"/>
    <n v="0"/>
    <s v="LETÍCIA"/>
  </r>
  <r>
    <n v="198226"/>
    <s v="LAY"/>
    <s v="DAS 0226"/>
    <x v="1"/>
    <s v="SIMPLES NACIONAL"/>
    <n v="32402.7"/>
    <x v="88"/>
    <x v="88"/>
    <s v=""/>
    <x v="1"/>
    <s v="FINANCEIRO"/>
    <n v="0"/>
    <s v="LETÍCIA"/>
  </r>
  <r>
    <n v="198227"/>
    <s v="LAY"/>
    <s v="ICMS0226"/>
    <x v="1"/>
    <s v="GUIA DE RECOLHIMENTO DO PARANA"/>
    <n v="680.4"/>
    <x v="85"/>
    <x v="85"/>
    <s v=""/>
    <x v="1"/>
    <s v="FINANCEIRO"/>
    <n v="0"/>
    <s v="LETÍCIA"/>
  </r>
  <r>
    <n v="198228"/>
    <s v="KOY"/>
    <s v="DAS 0226"/>
    <x v="1"/>
    <s v="SIMPLES NACIONAL"/>
    <n v="19975.560000000001"/>
    <x v="88"/>
    <x v="88"/>
    <s v=""/>
    <x v="1"/>
    <s v="FINANCEIRO"/>
    <n v="0"/>
    <s v="LETÍCIA"/>
  </r>
  <r>
    <n v="198229"/>
    <s v="KOY"/>
    <s v="ICMSDA022"/>
    <x v="1"/>
    <s v="GUIA DE RECOLHIMENTO DO PARANA"/>
    <n v="378.04"/>
    <x v="85"/>
    <x v="85"/>
    <s v=""/>
    <x v="1"/>
    <s v="FINANCEIRO"/>
    <n v="0"/>
    <s v="LETÍCIA"/>
  </r>
  <r>
    <n v="198230"/>
    <s v="KOY"/>
    <s v="ICMSA0226"/>
    <x v="1"/>
    <s v="GUIA DE RECOLHIMENTO DO PARANA"/>
    <n v="252.8"/>
    <x v="85"/>
    <x v="85"/>
    <s v=""/>
    <x v="1"/>
    <s v="FINANCEIRO"/>
    <n v="0"/>
    <s v="LETÍCIA"/>
  </r>
  <r>
    <n v="198231"/>
    <s v="KAR"/>
    <s v="35022"/>
    <x v="2"/>
    <s v="LF TRANSPORTES LTDA"/>
    <n v="240"/>
    <x v="65"/>
    <x v="65"/>
    <s v=""/>
    <x v="6"/>
    <s v="LOGÍSTICA"/>
    <n v="0"/>
    <s v="MYLENA"/>
  </r>
  <r>
    <n v="198232"/>
    <s v="KAR"/>
    <s v="131091"/>
    <x v="2"/>
    <s v="OG TRANSPORTES"/>
    <n v="334.16"/>
    <x v="84"/>
    <x v="84"/>
    <s v=""/>
    <x v="6"/>
    <s v="LOGÍSTICA"/>
    <n v="0"/>
    <s v="MYLENA"/>
  </r>
  <r>
    <n v="198233"/>
    <s v="KAR"/>
    <s v="12067"/>
    <x v="2"/>
    <s v="POSTO E RESTAURANTE PIRAJU LTDA"/>
    <n v="1737"/>
    <x v="37"/>
    <x v="37"/>
    <s v=""/>
    <x v="6"/>
    <s v="LOGÍSTICA"/>
    <n v="0"/>
    <s v="MYLENA"/>
  </r>
  <r>
    <n v="198235"/>
    <s v="FK"/>
    <s v="NETO07022"/>
    <x v="2"/>
    <s v="CAMINHÃO - AYL-6E00"/>
    <n v="2647"/>
    <x v="41"/>
    <x v="41"/>
    <s v=""/>
    <x v="6"/>
    <s v="LOGÍSTICA"/>
    <n v="0"/>
    <s v="MYLENA"/>
  </r>
  <r>
    <n v="198236"/>
    <s v="FK"/>
    <s v="014217"/>
    <x v="2"/>
    <s v="CAMINHÃO - AYL-6E00"/>
    <n v="421.5"/>
    <x v="31"/>
    <x v="31"/>
    <s v=""/>
    <x v="6"/>
    <s v="LOGÍSTICA"/>
    <n v="0"/>
    <s v="MYLENA"/>
  </r>
  <r>
    <n v="198237"/>
    <s v="KAR"/>
    <s v="49506"/>
    <x v="2"/>
    <s v="TRANS APUCARANA TRANSPORTES RODOVIARIOS LTDA"/>
    <n v="119.22"/>
    <x v="38"/>
    <x v="38"/>
    <s v="SERVIÇOS FRETE"/>
    <x v="5"/>
    <s v="PRODUÇÃO"/>
    <n v="0"/>
    <s v="RAFAEL"/>
  </r>
  <r>
    <n v="198238"/>
    <s v="KAR"/>
    <s v="43224"/>
    <x v="2"/>
    <s v="HIDRAL QUIMICA INDUSTRIA E COMERCIO LTDA"/>
    <n v="1865.75"/>
    <x v="38"/>
    <x v="38"/>
    <s v=""/>
    <x v="5"/>
    <s v="PRODUÇÃO"/>
    <n v="0"/>
    <s v="RAFAEL"/>
  </r>
  <r>
    <n v="198239"/>
    <s v="FK"/>
    <s v="678142"/>
    <x v="74"/>
    <s v="AUTO POSTO VIAIS"/>
    <n v="2609.89"/>
    <x v="37"/>
    <x v="37"/>
    <s v=""/>
    <x v="6"/>
    <s v="LOGÍSTICA"/>
    <n v="0"/>
    <s v="MYLENA"/>
  </r>
  <r>
    <n v="198240"/>
    <s v="KAR"/>
    <s v="237150902"/>
    <x v="2"/>
    <s v="BANCO SICREDI"/>
    <n v="237.15"/>
    <x v="27"/>
    <x v="27"/>
    <s v=""/>
    <x v="8"/>
    <s v="FINANCEIRO"/>
    <n v="0"/>
    <s v="LETÍCIA"/>
  </r>
  <r>
    <n v="198241"/>
    <s v="KAR"/>
    <s v="15938"/>
    <x v="2"/>
    <s v="BANCO SICREDI"/>
    <n v="159.38"/>
    <x v="27"/>
    <x v="27"/>
    <s v=""/>
    <x v="8"/>
    <s v="FINANCEIRO"/>
    <n v="0"/>
    <s v="LETÍCIA"/>
  </r>
  <r>
    <n v="198242"/>
    <s v="KAR"/>
    <s v="CET090226"/>
    <x v="2"/>
    <s v="BANCO SICREDI"/>
    <n v="1480.36"/>
    <x v="29"/>
    <x v="29"/>
    <s v=""/>
    <x v="8"/>
    <s v="FINANCEIRO"/>
    <n v="0"/>
    <s v="LETÍCIA"/>
  </r>
  <r>
    <n v="198243"/>
    <s v="KAR"/>
    <s v="41516"/>
    <x v="2"/>
    <s v="ACCION LTDA"/>
    <n v="3572.23"/>
    <x v="12"/>
    <x v="12"/>
    <s v="ACCION"/>
    <x v="3"/>
    <s v="MANUTENÇÃO / TI"/>
    <n v="0"/>
    <s v="LETÍCIA"/>
  </r>
  <r>
    <n v="198244"/>
    <s v="FK"/>
    <s v="ETIQUETAS"/>
    <x v="1"/>
    <s v="HELIO MARCEL GASPARETTO"/>
    <n v="498"/>
    <x v="14"/>
    <x v="14"/>
    <s v=""/>
    <x v="6"/>
    <s v="COMERCIAL"/>
    <n v="0"/>
    <s v="THAIS"/>
  </r>
  <r>
    <n v="198245"/>
    <s v="KAR"/>
    <s v="20540902"/>
    <x v="2"/>
    <s v="BANCO SICREDI"/>
    <n v="20.54"/>
    <x v="27"/>
    <x v="27"/>
    <s v=""/>
    <x v="8"/>
    <s v="FINANCEIRO"/>
    <n v="0"/>
    <s v="LETÍCIA"/>
  </r>
  <r>
    <n v="198246"/>
    <s v="KAR"/>
    <s v="2901002"/>
    <x v="16"/>
    <s v="BANCO SICREDI"/>
    <n v="2.9"/>
    <x v="27"/>
    <x v="27"/>
    <s v=""/>
    <x v="8"/>
    <s v="FINANCEIRO"/>
    <n v="0"/>
    <s v="LETÍCIA"/>
  </r>
  <r>
    <n v="198247"/>
    <s v="LAY"/>
    <s v="5530902"/>
    <x v="2"/>
    <s v="BANCO SICREDI"/>
    <n v="5.53"/>
    <x v="27"/>
    <x v="27"/>
    <s v=""/>
    <x v="8"/>
    <s v="FINANCEIRO"/>
    <n v="0"/>
    <s v="LETÍCIA"/>
  </r>
  <r>
    <n v="198248"/>
    <s v="LAY"/>
    <s v="0951002"/>
    <x v="16"/>
    <s v="BANCO SICREDI"/>
    <n v="0.95"/>
    <x v="27"/>
    <x v="27"/>
    <s v=""/>
    <x v="8"/>
    <s v="FINANCEIRO"/>
    <n v="0"/>
    <s v="LETÍCIA"/>
  </r>
  <r>
    <n v="198249"/>
    <s v="KOY"/>
    <s v="3950902"/>
    <x v="2"/>
    <s v="BANCO SICREDI"/>
    <n v="3.95"/>
    <x v="27"/>
    <x v="27"/>
    <s v=""/>
    <x v="8"/>
    <s v="FINANCEIRO"/>
    <n v="0"/>
    <s v="LETÍCIA"/>
  </r>
  <r>
    <n v="198250"/>
    <s v="FK"/>
    <s v="570902"/>
    <x v="2"/>
    <s v="BANCO SICREDI"/>
    <n v="5.7"/>
    <x v="27"/>
    <x v="27"/>
    <s v=""/>
    <x v="8"/>
    <s v="FINANCEIRO"/>
    <n v="0"/>
    <s v="LETÍCIA"/>
  </r>
  <r>
    <n v="198252"/>
    <s v="FK"/>
    <s v="XI1002"/>
    <x v="16"/>
    <s v="SIDNEI LUQUES NUNES BORRACHARIA"/>
    <n v="1300"/>
    <x v="31"/>
    <x v="31"/>
    <s v=""/>
    <x v="6"/>
    <s v="LOGÍSTICA"/>
    <n v="0"/>
    <s v="MYLENA"/>
  </r>
  <r>
    <n v="198253"/>
    <s v="KAR"/>
    <s v="CURADORIA "/>
    <x v="16"/>
    <s v="MOLLDE SERVIÇOS"/>
    <n v="4718"/>
    <x v="22"/>
    <x v="22"/>
    <s v=""/>
    <x v="3"/>
    <s v="FINANCEIRO"/>
    <n v="0"/>
    <s v="LETÍCIA"/>
  </r>
  <r>
    <n v="198254"/>
    <s v="KAR"/>
    <s v="CURADORIA "/>
    <x v="28"/>
    <s v="MOLLDE SERVIÇOS"/>
    <n v="4718"/>
    <x v="22"/>
    <x v="22"/>
    <s v=""/>
    <x v="3"/>
    <s v="FINANCEIRO"/>
    <n v="0"/>
    <s v="LETÍCIA"/>
  </r>
  <r>
    <n v="198255"/>
    <s v="KAR"/>
    <s v="CURADORIA "/>
    <x v="17"/>
    <s v="MOLLDE SERVIÇOS"/>
    <n v="4718"/>
    <x v="22"/>
    <x v="22"/>
    <s v=""/>
    <x v="3"/>
    <s v="FINANCEIRO"/>
    <n v="0"/>
    <s v="LETÍCIA"/>
  </r>
  <r>
    <n v="198256"/>
    <s v="KAR"/>
    <s v="CURADORIA "/>
    <x v="29"/>
    <s v="MOLLDE SERVIÇOS"/>
    <n v="4718"/>
    <x v="22"/>
    <x v="22"/>
    <s v=""/>
    <x v="3"/>
    <s v="FINANCEIRO"/>
    <n v="0"/>
    <s v="LETÍCIA"/>
  </r>
  <r>
    <n v="198257"/>
    <s v="KAR"/>
    <s v="CURADORIA "/>
    <x v="18"/>
    <s v="MOLLDE SERVIÇOS"/>
    <n v="4718"/>
    <x v="22"/>
    <x v="22"/>
    <s v=""/>
    <x v="3"/>
    <s v="FINANCEIRO"/>
    <n v="0"/>
    <s v="LETÍCIA"/>
  </r>
  <r>
    <n v="198258"/>
    <s v="KAR"/>
    <s v="CURADORIA "/>
    <x v="91"/>
    <s v="MOLLDE SERVIÇOS"/>
    <n v="4718"/>
    <x v="22"/>
    <x v="22"/>
    <s v=""/>
    <x v="3"/>
    <s v="FINANCEIRO"/>
    <n v="0"/>
    <s v="LETÍCIA"/>
  </r>
  <r>
    <n v="198259"/>
    <s v="KAR"/>
    <s v="CURADORIA "/>
    <x v="19"/>
    <s v="MOLLDE SERVIÇOS"/>
    <n v="4718"/>
    <x v="22"/>
    <x v="22"/>
    <s v=""/>
    <x v="3"/>
    <s v="FINANCEIRO"/>
    <n v="0"/>
    <s v="LETÍCIA"/>
  </r>
  <r>
    <n v="198277"/>
    <s v="FK"/>
    <s v="2481"/>
    <x v="16"/>
    <s v="COMERCIO DE COMBUSTIVEIS TBM LTDA."/>
    <n v="108.66"/>
    <x v="14"/>
    <x v="14"/>
    <s v=""/>
    <x v="6"/>
    <s v="COMERCIAL"/>
    <n v="0"/>
    <s v="THAIS"/>
  </r>
  <r>
    <n v="198280"/>
    <s v="FK"/>
    <s v="JAN/2026"/>
    <x v="16"/>
    <s v="FABIANA DE QUEIROZ LOURO MORAES"/>
    <n v="1117.25"/>
    <x v="53"/>
    <x v="53"/>
    <s v=""/>
    <x v="6"/>
    <s v="COMERCIAL"/>
    <n v="0"/>
    <s v="LETÍCIA"/>
  </r>
  <r>
    <n v="198281"/>
    <s v="FK"/>
    <s v="JAN/2026"/>
    <x v="16"/>
    <s v="LEANDRO APARECIDO MIAZO"/>
    <n v="3699.15"/>
    <x v="53"/>
    <x v="53"/>
    <s v=""/>
    <x v="6"/>
    <s v="COMERCIAL"/>
    <n v="0"/>
    <s v="LETÍCIA"/>
  </r>
  <r>
    <n v="198282"/>
    <s v="KAR"/>
    <s v="8FER26"/>
    <x v="16"/>
    <s v="BRUNO CÉSAR RODRIGUES"/>
    <n v="1115.8599999999999"/>
    <x v="72"/>
    <x v="72"/>
    <s v=""/>
    <x v="5"/>
    <s v="DH"/>
    <s v="CUSTO MÃO DE OBRA DIRETA"/>
    <s v="RAFAEL"/>
  </r>
  <r>
    <n v="198283"/>
    <s v="FK"/>
    <s v="ACA0902"/>
    <x v="16"/>
    <s v="MARCOS ACACIO VALERIO"/>
    <n v="210"/>
    <x v="30"/>
    <x v="30"/>
    <s v="MAQUINAS DE COSTURA"/>
    <x v="9"/>
    <s v="MANUTENÇÃO / TI"/>
    <n v="0"/>
    <s v="RAFAEL"/>
  </r>
  <r>
    <n v="198284"/>
    <s v="FK"/>
    <s v="GIL1002"/>
    <x v="16"/>
    <s v="GILSON MATERIAIS DE CONSTRUÇÃO"/>
    <n v="60"/>
    <x v="25"/>
    <x v="25"/>
    <s v=""/>
    <x v="2"/>
    <s v="MANUTENÇÃO / TI"/>
    <n v="0"/>
    <s v="FÁBIO"/>
  </r>
  <r>
    <n v="198287"/>
    <s v="FK"/>
    <s v="EXA0226"/>
    <x v="16"/>
    <s v="DR° MARIO LUIZ LANZIANI"/>
    <n v="75"/>
    <x v="89"/>
    <x v="89"/>
    <s v=""/>
    <x v="7"/>
    <s v="DH"/>
    <n v="0"/>
    <s v="RAFAEL"/>
  </r>
  <r>
    <n v="198288"/>
    <s v="KAR"/>
    <s v="CET1002"/>
    <x v="16"/>
    <s v="BANCO SICREDI"/>
    <n v="614.80999999999995"/>
    <x v="29"/>
    <x v="29"/>
    <s v=""/>
    <x v="8"/>
    <s v="FINANCEIRO"/>
    <n v="0"/>
    <s v="LETÍCIA"/>
  </r>
  <r>
    <n v="198289"/>
    <s v="KAR"/>
    <s v="10032"/>
    <x v="16"/>
    <s v="BANCO SICREDI"/>
    <n v="100.32"/>
    <x v="27"/>
    <x v="27"/>
    <s v=""/>
    <x v="8"/>
    <s v="FINANCEIRO"/>
    <n v="0"/>
    <s v="LETÍCIA"/>
  </r>
  <r>
    <n v="198290"/>
    <s v="KAR"/>
    <s v="9285"/>
    <x v="16"/>
    <s v="BANCO SICREDI"/>
    <n v="92.85"/>
    <x v="27"/>
    <x v="27"/>
    <s v=""/>
    <x v="8"/>
    <s v="FINANCEIRO"/>
    <n v="0"/>
    <s v="LETÍCIA"/>
  </r>
  <r>
    <n v="198291"/>
    <s v="KAR"/>
    <s v="16510"/>
    <x v="97"/>
    <s v="CACIO TRANSPORTE E COMERCIO DE MOTOSERRAS LTDA "/>
    <n v="2000"/>
    <x v="48"/>
    <x v="48"/>
    <s v=""/>
    <x v="0"/>
    <s v="COMPRAS"/>
    <n v="0"/>
    <s v="MYLENA"/>
  </r>
  <r>
    <n v="198292"/>
    <s v="KAR"/>
    <s v="18961002"/>
    <x v="16"/>
    <s v="BANCO SICREDI"/>
    <n v="18.96"/>
    <x v="27"/>
    <x v="27"/>
    <s v=""/>
    <x v="8"/>
    <s v="FINANCEIRO"/>
    <n v="0"/>
    <s v="LETÍCIA"/>
  </r>
  <r>
    <n v="198293"/>
    <s v="KAR"/>
    <s v="7701102"/>
    <x v="80"/>
    <s v="BANCO SICREDI"/>
    <n v="7.7"/>
    <x v="27"/>
    <x v="27"/>
    <s v=""/>
    <x v="8"/>
    <s v="FINANCEIRO"/>
    <n v="0"/>
    <s v="LETÍCIA"/>
  </r>
  <r>
    <n v="198294"/>
    <s v="KAR"/>
    <s v="158110211"/>
    <x v="80"/>
    <s v="BANCO SICREDI"/>
    <n v="1.58"/>
    <x v="28"/>
    <x v="28"/>
    <s v=""/>
    <x v="8"/>
    <s v="FINANCEIRO"/>
    <n v="0"/>
    <s v="LETÍCIA"/>
  </r>
  <r>
    <n v="198295"/>
    <s v="KAR"/>
    <s v="42661102"/>
    <x v="80"/>
    <s v="BANCO SICREDI"/>
    <n v="42.66"/>
    <x v="29"/>
    <x v="29"/>
    <s v=""/>
    <x v="8"/>
    <s v="FINANCEIRO"/>
    <n v="0"/>
    <s v="LETÍCIA"/>
  </r>
  <r>
    <n v="198296"/>
    <s v="FK"/>
    <s v="00607"/>
    <x v="80"/>
    <s v="DELTA COMERCIO DE MAQUINAS DE COSTURA EIRELI - ME"/>
    <n v="840"/>
    <x v="30"/>
    <x v="30"/>
    <s v="MAQUINAS DE COSTURA"/>
    <x v="9"/>
    <s v="MANUTENÇÃO / TI"/>
    <n v="0"/>
    <s v="RAFAEL"/>
  </r>
  <r>
    <n v="198297"/>
    <s v="KAR"/>
    <s v="09512"/>
    <x v="16"/>
    <s v="BANCO SICREDI"/>
    <n v="0.95"/>
    <x v="27"/>
    <x v="27"/>
    <s v=""/>
    <x v="8"/>
    <s v="FINANCEIRO"/>
    <n v="0"/>
    <s v="LETÍCIA"/>
  </r>
  <r>
    <n v="198299"/>
    <s v="KAR"/>
    <s v="239671002"/>
    <x v="16"/>
    <s v="BANCO SICREDI"/>
    <n v="239.67"/>
    <x v="27"/>
    <x v="27"/>
    <s v=""/>
    <x v="8"/>
    <s v="FINANCEIRO"/>
    <n v="0"/>
    <s v="LETÍCIA"/>
  </r>
  <r>
    <n v="198300"/>
    <s v="FK"/>
    <s v="GM0702"/>
    <x v="80"/>
    <s v="SIDNEI PAULO MILANI"/>
    <n v="205"/>
    <x v="31"/>
    <x v="31"/>
    <s v=""/>
    <x v="6"/>
    <s v="LOGÍSTICA"/>
    <n v="0"/>
    <s v="MYLENA"/>
  </r>
  <r>
    <n v="198301"/>
    <s v="FK"/>
    <s v="GM0902A"/>
    <x v="80"/>
    <s v="SIDNEI PAULO MILANI"/>
    <n v="475"/>
    <x v="31"/>
    <x v="31"/>
    <s v=""/>
    <x v="6"/>
    <s v="LOGÍSTICA"/>
    <n v="0"/>
    <s v="MYLENA"/>
  </r>
  <r>
    <n v="198302"/>
    <s v="FK"/>
    <s v="NIS1002B"/>
    <x v="80"/>
    <s v="CASA DE FERRAGEM NISHIMOTO"/>
    <n v="35"/>
    <x v="31"/>
    <x v="31"/>
    <s v="FERRAGENS GERAIS"/>
    <x v="6"/>
    <s v="LOGÍSTICA"/>
    <n v="0"/>
    <s v="MYLENA"/>
  </r>
  <r>
    <n v="198303"/>
    <s v="FK"/>
    <s v="BATA1002A"/>
    <x v="80"/>
    <s v="MARIA ANDREIA BUENO DE ALMEIDA BATAER"/>
    <n v="1586.08"/>
    <x v="34"/>
    <x v="34"/>
    <s v=""/>
    <x v="6"/>
    <s v="COMERCIAL"/>
    <n v="0"/>
    <s v="LETÍCIA"/>
  </r>
  <r>
    <n v="198304"/>
    <s v="FK"/>
    <s v="BATA1002B"/>
    <x v="80"/>
    <s v="MARIA ANDREIA BUENO DE ALMEIDA BATAER"/>
    <n v="8.99"/>
    <x v="34"/>
    <x v="34"/>
    <s v=""/>
    <x v="6"/>
    <s v="COMERCIAL"/>
    <n v="0"/>
    <s v="LETÍCIA"/>
  </r>
  <r>
    <n v="198305"/>
    <s v="FK"/>
    <s v="BATA1002C"/>
    <x v="80"/>
    <s v="MARIA ANDREIA BUENO DE ALMEIDA BATAER"/>
    <n v="1.6"/>
    <x v="34"/>
    <x v="34"/>
    <s v=""/>
    <x v="6"/>
    <s v="COMERCIAL"/>
    <n v="0"/>
    <s v="LETÍCIA"/>
  </r>
  <r>
    <n v="198306"/>
    <s v="KAR"/>
    <s v="460718"/>
    <x v="80"/>
    <s v="VMD MAQUINAS E FERRAMENTAS LTDA"/>
    <n v="452"/>
    <x v="9"/>
    <x v="9"/>
    <s v="PEÇAS DE FERRAMENTAS"/>
    <x v="2"/>
    <s v="MANUTENÇÃO / TI"/>
    <n v="0"/>
    <s v="RAFAEL"/>
  </r>
  <r>
    <n v="198307"/>
    <s v="FK"/>
    <s v="74507"/>
    <x v="41"/>
    <s v="COMERCIO DE COMBUSTIVEIS TBM LTDA."/>
    <n v="162.69"/>
    <x v="43"/>
    <x v="43"/>
    <s v=""/>
    <x v="4"/>
    <s v="LOGÍSTICA"/>
    <n v="0"/>
    <s v="LETÍCIA"/>
  </r>
  <r>
    <n v="198308"/>
    <s v="FK"/>
    <s v="GIL1102"/>
    <x v="80"/>
    <s v="GILSON MATERIAIS DE CONSTRUÇÃO"/>
    <n v="330"/>
    <x v="25"/>
    <x v="25"/>
    <s v=""/>
    <x v="2"/>
    <s v="MANUTENÇÃO / TI"/>
    <n v="0"/>
    <s v="FÁBIO"/>
  </r>
  <r>
    <n v="198309"/>
    <s v="KAR"/>
    <s v="336475"/>
    <x v="80"/>
    <s v="REAL BIRIGUI COMERCIO DE MAQ E FERRAMENTAS LTDA"/>
    <n v="687.19"/>
    <x v="38"/>
    <x v="38"/>
    <s v=""/>
    <x v="5"/>
    <s v="PRODUÇÃO"/>
    <n v="0"/>
    <s v="RAFAEL"/>
  </r>
  <r>
    <n v="198311"/>
    <s v="KAR"/>
    <s v="CET110226"/>
    <x v="80"/>
    <s v="BANCO SICREDI"/>
    <n v="466.98"/>
    <x v="29"/>
    <x v="29"/>
    <s v=""/>
    <x v="8"/>
    <s v="FINANCEIRO"/>
    <n v="0"/>
    <s v="LETÍCIA"/>
  </r>
  <r>
    <n v="198312"/>
    <s v="KAR"/>
    <s v="77821102"/>
    <x v="80"/>
    <s v="BANCO SICREDI"/>
    <n v="77.819999999999993"/>
    <x v="27"/>
    <x v="27"/>
    <s v=""/>
    <x v="8"/>
    <s v="FINANCEIRO"/>
    <n v="0"/>
    <s v="LETÍCIA"/>
  </r>
  <r>
    <n v="198313"/>
    <s v="KAR"/>
    <s v="58991102"/>
    <x v="80"/>
    <s v="BANCO SICREDI"/>
    <n v="58.99"/>
    <x v="27"/>
    <x v="27"/>
    <s v=""/>
    <x v="8"/>
    <s v="FINANCEIRO"/>
    <n v="0"/>
    <s v="LETÍCIA"/>
  </r>
  <r>
    <n v="198314"/>
    <s v="FK"/>
    <s v="CAR230226"/>
    <x v="80"/>
    <s v="MERCADO LIVRE "/>
    <n v="217.02"/>
    <x v="14"/>
    <x v="14"/>
    <s v=""/>
    <x v="6"/>
    <s v="COMERCIAL"/>
    <n v="0"/>
    <s v="THAIS"/>
  </r>
  <r>
    <n v="198315"/>
    <s v="FK"/>
    <s v="CAR2302"/>
    <x v="80"/>
    <s v="MERCADO LIVRE "/>
    <n v="307.08"/>
    <x v="14"/>
    <x v="14"/>
    <s v=""/>
    <x v="6"/>
    <s v="COMERCIAL"/>
    <n v="0"/>
    <s v="THAIS"/>
  </r>
  <r>
    <n v="198316"/>
    <s v="FK"/>
    <s v="MAT130126"/>
    <x v="80"/>
    <s v="M.A. DOS SANTOS NASCIMENTO"/>
    <n v="238"/>
    <x v="35"/>
    <x v="35"/>
    <s v=""/>
    <x v="9"/>
    <s v="DH"/>
    <n v="0"/>
    <s v="FÁBIO"/>
  </r>
  <r>
    <n v="198317"/>
    <s v="FK"/>
    <s v="CUR040226"/>
    <x v="41"/>
    <s v="KARAM'S IND.E COM.DE ESTOFADOS LTDA"/>
    <n v="215.17"/>
    <x v="54"/>
    <x v="54"/>
    <s v=""/>
    <x v="6"/>
    <s v="COMERCIAL"/>
    <n v="0"/>
    <s v="LETÍCIA"/>
  </r>
  <r>
    <n v="198318"/>
    <s v="FK"/>
    <s v="IOF040226"/>
    <x v="41"/>
    <s v="BANCO SICREDI"/>
    <n v="4.7300000000000004"/>
    <x v="27"/>
    <x v="27"/>
    <s v=""/>
    <x v="8"/>
    <s v="FINANCEIRO"/>
    <n v="0"/>
    <s v="LETÍCIA"/>
  </r>
  <r>
    <n v="198319"/>
    <s v="KAR"/>
    <s v="7137"/>
    <x v="80"/>
    <s v="VIPEX TRANSPORTES LTDA"/>
    <n v="462.5"/>
    <x v="65"/>
    <x v="65"/>
    <s v=""/>
    <x v="6"/>
    <s v="LOGÍSTICA"/>
    <n v="0"/>
    <s v="MYLENA"/>
  </r>
  <r>
    <n v="198320"/>
    <s v="KAR"/>
    <s v="128"/>
    <x v="80"/>
    <s v="TOP SYSTEM SOLUCOES EM TECNOLOGIA DE INFORMACAO LT"/>
    <n v="2379.39"/>
    <x v="12"/>
    <x v="12"/>
    <s v=""/>
    <x v="3"/>
    <s v="MANUTENÇÃO / TI"/>
    <n v="0"/>
    <s v="LETÍCIA"/>
  </r>
  <r>
    <n v="198322"/>
    <s v="KAR"/>
    <s v="545570"/>
    <x v="3"/>
    <s v="ELETROLUZ MATERIAIS ELETRICOS LTDA."/>
    <n v="345"/>
    <x v="46"/>
    <x v="46"/>
    <s v=""/>
    <x v="9"/>
    <s v="MANUTENÇÃO / TI"/>
    <n v="0"/>
    <s v="FÁBIO"/>
  </r>
  <r>
    <n v="198323"/>
    <s v="KAR"/>
    <s v="15011102"/>
    <x v="80"/>
    <s v="BANCO SICREDI"/>
    <n v="15.01"/>
    <x v="27"/>
    <x v="27"/>
    <s v=""/>
    <x v="8"/>
    <s v="FINANCEIRO"/>
    <n v="0"/>
    <s v="LETÍCIA"/>
  </r>
  <r>
    <n v="198324"/>
    <s v="KAR"/>
    <s v="3421202"/>
    <x v="3"/>
    <s v="BANCO SICREDI"/>
    <n v="3.42"/>
    <x v="27"/>
    <x v="27"/>
    <s v=""/>
    <x v="8"/>
    <s v="FINANCEIRO"/>
    <n v="0"/>
    <s v="LETÍCIA"/>
  </r>
  <r>
    <n v="198325"/>
    <s v="FK"/>
    <s v="00609"/>
    <x v="3"/>
    <s v="DELTA COMERCIO DE MAQUINAS DE COSTURA EIRELI - ME"/>
    <n v="900"/>
    <x v="30"/>
    <x v="30"/>
    <s v="MAQUINAS DE COSTURA"/>
    <x v="9"/>
    <s v="MANUTENÇÃO / TI"/>
    <n v="0"/>
    <s v="RAFAEL"/>
  </r>
  <r>
    <n v="198326"/>
    <s v="KOY"/>
    <s v="1581106"/>
    <x v="80"/>
    <s v="BANCO SICREDI"/>
    <n v="1.58"/>
    <x v="28"/>
    <x v="28"/>
    <s v=""/>
    <x v="8"/>
    <s v="FINANCEIRO"/>
    <n v="0"/>
    <s v="LETÍCIA"/>
  </r>
  <r>
    <n v="198327"/>
    <s v="FK"/>
    <s v="4751102"/>
    <x v="80"/>
    <s v="COOPERATIVA DE CRED.DE LIVRE ADMISSÃO DO NOROESTE"/>
    <n v="4.75"/>
    <x v="27"/>
    <x v="27"/>
    <s v=""/>
    <x v="8"/>
    <s v="FINANCEIRO"/>
    <n v="0"/>
    <s v="LETÍCIA"/>
  </r>
  <r>
    <n v="198328"/>
    <s v="LAY"/>
    <s v="7111102"/>
    <x v="80"/>
    <s v="BANCO SICREDI"/>
    <n v="7.11"/>
    <x v="27"/>
    <x v="27"/>
    <s v=""/>
    <x v="8"/>
    <s v="FINANCEIRO"/>
    <n v="0"/>
    <s v="LETÍCIA"/>
  </r>
  <r>
    <n v="198329"/>
    <s v="LAY"/>
    <s v="2141202"/>
    <x v="3"/>
    <s v="BANCO SICREDI"/>
    <n v="2.14"/>
    <x v="27"/>
    <x v="27"/>
    <s v=""/>
    <x v="8"/>
    <s v="FINANCEIRO"/>
    <n v="0"/>
    <s v="LETÍCIA"/>
  </r>
  <r>
    <n v="198330"/>
    <s v="LAY"/>
    <s v="374"/>
    <x v="16"/>
    <s v="BANCO SICREDI"/>
    <n v="3.74"/>
    <x v="27"/>
    <x v="27"/>
    <s v=""/>
    <x v="8"/>
    <s v="FINANCEIRO"/>
    <n v="0"/>
    <s v="LETÍCIA"/>
  </r>
  <r>
    <n v="198332"/>
    <s v="FK"/>
    <s v="FRETE MQ"/>
    <x v="59"/>
    <s v="SIMBERBIA TRANSPORTES E LOGISTICA LTDA"/>
    <n v="1050"/>
    <x v="9"/>
    <x v="9"/>
    <s v=""/>
    <x v="2"/>
    <s v="MANUTENÇÃO / TI"/>
    <n v="0"/>
    <s v="RAFAEL"/>
  </r>
  <r>
    <n v="198333"/>
    <s v="KAR"/>
    <s v="38207"/>
    <x v="36"/>
    <s v="TRANS APUCARANA TRANSPORTES RODOVIARIOS LTDA"/>
    <n v="110.25"/>
    <x v="48"/>
    <x v="48"/>
    <s v="SERVIÇOS FRETE"/>
    <x v="0"/>
    <s v="COMPRAS"/>
    <n v="0"/>
    <s v="MYLENA"/>
  </r>
  <r>
    <n v="198334"/>
    <s v="KAR"/>
    <s v="38208"/>
    <x v="3"/>
    <s v="TRANS APUCARANA TRANSPORTES RODOVIARIOS LTDA"/>
    <n v="109.25"/>
    <x v="48"/>
    <x v="48"/>
    <s v="SERVIÇOS FRETE"/>
    <x v="0"/>
    <s v="COMPRAS"/>
    <n v="0"/>
    <s v="MYLENA"/>
  </r>
  <r>
    <n v="198335"/>
    <s v="KAR"/>
    <s v="38093"/>
    <x v="3"/>
    <s v="TRANS APUCARANA TRANSPORTES RODOVIARIOS LTDA"/>
    <n v="111.67"/>
    <x v="48"/>
    <x v="48"/>
    <s v="SERVIÇOS FRETE"/>
    <x v="0"/>
    <s v="COMPRAS"/>
    <n v="0"/>
    <s v="MYLENA"/>
  </r>
  <r>
    <n v="198336"/>
    <s v="KAR"/>
    <s v="31483"/>
    <x v="3"/>
    <s v="PANIR EQUIPAMENTOS LTDA"/>
    <n v="592.5"/>
    <x v="30"/>
    <x v="30"/>
    <s v="COMPRESSORES"/>
    <x v="9"/>
    <s v="MANUTENÇÃO / TI"/>
    <n v="0"/>
    <s v="RAFAEL"/>
  </r>
  <r>
    <n v="198337"/>
    <s v="KAR"/>
    <s v="37598"/>
    <x v="3"/>
    <s v="TRANS APUCARANA TRANSPORTES RODOVIARIOS LTDA"/>
    <n v="121.7"/>
    <x v="48"/>
    <x v="48"/>
    <s v="SERVIÇOS FRETE"/>
    <x v="0"/>
    <s v="COMPRAS"/>
    <n v="0"/>
    <s v="MYLENA"/>
  </r>
  <r>
    <n v="198338"/>
    <s v="KAR"/>
    <s v="191177"/>
    <x v="3"/>
    <s v="EXPRESSO SAO MIGUEL LTDA"/>
    <n v="110.86"/>
    <x v="48"/>
    <x v="48"/>
    <s v="SERVIÇOS FRETE"/>
    <x v="0"/>
    <s v="COMPRAS"/>
    <n v="0"/>
    <s v="MYLENA"/>
  </r>
  <r>
    <n v="198339"/>
    <s v="KAR"/>
    <s v="191170"/>
    <x v="3"/>
    <s v="EXPRESSO SAO MIGUEL LTDA"/>
    <n v="96.89"/>
    <x v="48"/>
    <x v="48"/>
    <s v="SERVIÇOS FRETE"/>
    <x v="0"/>
    <s v="COMPRAS"/>
    <n v="0"/>
    <s v="MYLENA"/>
  </r>
  <r>
    <n v="198340"/>
    <s v="KAR"/>
    <s v="295201202"/>
    <x v="3"/>
    <s v="BANCO SICREDI"/>
    <n v="295.2"/>
    <x v="27"/>
    <x v="27"/>
    <s v=""/>
    <x v="8"/>
    <s v="FINANCEIRO"/>
    <n v="0"/>
    <s v="LETÍCIA"/>
  </r>
  <r>
    <n v="198341"/>
    <s v="KAR"/>
    <s v="231201202"/>
    <x v="3"/>
    <s v="BANCO SICREDI"/>
    <n v="231.2"/>
    <x v="27"/>
    <x v="27"/>
    <s v=""/>
    <x v="8"/>
    <s v="FINANCEIRO"/>
    <n v="0"/>
    <s v="LETÍCIA"/>
  </r>
  <r>
    <n v="198342"/>
    <s v="KAR"/>
    <s v="CET120226"/>
    <x v="3"/>
    <s v="BANCO SICREDI"/>
    <n v="1832.94"/>
    <x v="29"/>
    <x v="29"/>
    <s v=""/>
    <x v="8"/>
    <s v="FINANCEIRO"/>
    <n v="0"/>
    <s v="LETÍCIA"/>
  </r>
  <r>
    <n v="198344"/>
    <s v="KOY"/>
    <s v="11781"/>
    <x v="3"/>
    <s v="LUKPAPER IND. E COM. DE PAPEIS EIRELI"/>
    <n v="212.5"/>
    <x v="45"/>
    <x v="45"/>
    <s v=""/>
    <x v="4"/>
    <s v="ADMINISTRATIVO"/>
    <n v="0"/>
    <s v="MYLENA"/>
  </r>
  <r>
    <n v="198345"/>
    <s v="FK"/>
    <s v="FM1202"/>
    <x v="3"/>
    <s v="RODRIGUES &amp; LIMA FERRAGENS DE FERRAMENTAS LTDA - M"/>
    <n v="46.5"/>
    <x v="25"/>
    <x v="25"/>
    <s v="FERRAGENS GERAIS"/>
    <x v="2"/>
    <s v="MANUTENÇÃO / TI"/>
    <n v="0"/>
    <s v="FÁBIO"/>
  </r>
  <r>
    <n v="198346"/>
    <s v="FK"/>
    <s v="SILV1202"/>
    <x v="3"/>
    <s v="MARCIO RODRIGUES DA SILVA"/>
    <n v="110"/>
    <x v="30"/>
    <x v="30"/>
    <s v=""/>
    <x v="9"/>
    <s v="MANUTENÇÃO / TI"/>
    <n v="0"/>
    <s v="RAFAEL"/>
  </r>
  <r>
    <n v="198347"/>
    <s v="FK"/>
    <s v="SILV1202A"/>
    <x v="3"/>
    <s v="MARCIO RODRIGUES DA SILVA"/>
    <n v="70"/>
    <x v="44"/>
    <x v="44"/>
    <s v=""/>
    <x v="9"/>
    <s v="COMPRAS"/>
    <n v="0"/>
    <s v="MYLENA"/>
  </r>
  <r>
    <n v="198348"/>
    <s v="KAR"/>
    <s v="20061"/>
    <x v="3"/>
    <s v="SOLIDES TECNOLOGIA S/A"/>
    <n v="192"/>
    <x v="12"/>
    <x v="12"/>
    <s v=""/>
    <x v="3"/>
    <s v="MANUTENÇÃO / TI"/>
    <n v="0"/>
    <s v="LETÍCIA"/>
  </r>
  <r>
    <n v="198349"/>
    <s v="KAR"/>
    <s v="659814"/>
    <x v="3"/>
    <s v="CAVEMAC IND. COMERCIAL DE MAQUINAS IMP. E EXP. LTD"/>
    <n v="646.6"/>
    <x v="30"/>
    <x v="30"/>
    <s v="MAQUINAS DE COSTURA"/>
    <x v="9"/>
    <s v="MANUTENÇÃO / TI"/>
    <n v="0"/>
    <s v="RAFAEL"/>
  </r>
  <r>
    <n v="198350"/>
    <s v="FK"/>
    <s v="CAR120226"/>
    <x v="3"/>
    <s v="M.A. DOS SANTOS NASCIMENTO"/>
    <n v="75"/>
    <x v="64"/>
    <x v="64"/>
    <s v=""/>
    <x v="4"/>
    <s v="FINANCEIRO"/>
    <n v="0"/>
    <s v="MYLENA"/>
  </r>
  <r>
    <n v="198351"/>
    <s v="FK"/>
    <s v="2 LINHAS"/>
    <x v="3"/>
    <s v="M. A. BARBADO &amp; BARBADO LTDA. - ME"/>
    <n v="15"/>
    <x v="38"/>
    <x v="38"/>
    <s v=""/>
    <x v="5"/>
    <s v="PRODUÇÃO"/>
    <n v="0"/>
    <s v="RAFAEL"/>
  </r>
  <r>
    <n v="198352"/>
    <s v="KAR"/>
    <s v="42781"/>
    <x v="3"/>
    <s v="JAW TRANSPORTES"/>
    <n v="102.37"/>
    <x v="48"/>
    <x v="48"/>
    <s v=""/>
    <x v="0"/>
    <s v="COMPRAS"/>
    <n v="0"/>
    <s v="MYLENA"/>
  </r>
  <r>
    <n v="198353"/>
    <s v="KAR"/>
    <s v="9202"/>
    <x v="3"/>
    <s v="IDEAL COMERCIO DE AUTO PEÇAS EIRELI"/>
    <n v="341.6"/>
    <x v="31"/>
    <x v="31"/>
    <s v=""/>
    <x v="6"/>
    <s v="LOGÍSTICA"/>
    <n v="0"/>
    <s v="MYLENA"/>
  </r>
  <r>
    <n v="198354"/>
    <s v="KAR"/>
    <s v="152374"/>
    <x v="32"/>
    <s v="EXPRESSO SAO MIGUEL NAVEGANTES"/>
    <n v="144.80000000000001"/>
    <x v="48"/>
    <x v="48"/>
    <s v=""/>
    <x v="0"/>
    <s v="COMPRAS"/>
    <n v="0"/>
    <s v="MYLENA"/>
  </r>
  <r>
    <n v="198355"/>
    <s v="KAR"/>
    <s v="7901202"/>
    <x v="3"/>
    <s v="BANCO SICREDI"/>
    <n v="7.9"/>
    <x v="27"/>
    <x v="27"/>
    <s v=""/>
    <x v="8"/>
    <s v="FINANCEIRO"/>
    <n v="0"/>
    <s v="LETÍCIA"/>
  </r>
  <r>
    <n v="198356"/>
    <s v="KAR"/>
    <s v="019130226"/>
    <x v="32"/>
    <s v="BANCO SICREDI"/>
    <n v="0.19"/>
    <x v="27"/>
    <x v="27"/>
    <s v=""/>
    <x v="8"/>
    <s v="FINANCEIRO"/>
    <n v="0"/>
    <s v="LETÍCIA"/>
  </r>
  <r>
    <n v="198357"/>
    <s v="LAY"/>
    <s v="1581202"/>
    <x v="3"/>
    <s v="BANCO SICREDI"/>
    <n v="1.58"/>
    <x v="27"/>
    <x v="27"/>
    <s v=""/>
    <x v="8"/>
    <s v="FINANCEIRO"/>
    <n v="0"/>
    <s v="LETÍCIA"/>
  </r>
  <r>
    <n v="198358"/>
    <s v="KOY"/>
    <s v="0791202"/>
    <x v="3"/>
    <s v="BANCO SICREDI"/>
    <n v="0.79"/>
    <x v="27"/>
    <x v="27"/>
    <s v=""/>
    <x v="8"/>
    <s v="FINANCEIRO"/>
    <n v="0"/>
    <s v="LETÍCIA"/>
  </r>
  <r>
    <n v="198359"/>
    <s v="KAR"/>
    <s v="2774"/>
    <x v="59"/>
    <s v="TRANS APUCARANA TRANSPORTES RODOVIARIOS"/>
    <n v="78.73"/>
    <x v="48"/>
    <x v="48"/>
    <s v=""/>
    <x v="0"/>
    <s v="COMPRAS"/>
    <n v="0"/>
    <s v="MYLENA"/>
  </r>
  <r>
    <n v="198361"/>
    <s v="KAR"/>
    <s v="923586"/>
    <x v="32"/>
    <s v="EXPRESSO SAO MIGUEL LTDA"/>
    <n v="230"/>
    <x v="48"/>
    <x v="48"/>
    <s v="SERVIÇOS FRETE"/>
    <x v="0"/>
    <s v="COMPRAS"/>
    <n v="0"/>
    <s v="MYLENA"/>
  </r>
  <r>
    <n v="198362"/>
    <s v="KAR"/>
    <s v="38833"/>
    <x v="59"/>
    <s v="TRANS APUCARANA TRANSPORTES RODOVIARIOS LTDA"/>
    <n v="459.74"/>
    <x v="48"/>
    <x v="48"/>
    <s v="SERVIÇOS FRETE"/>
    <x v="0"/>
    <s v="COMPRAS"/>
    <n v="0"/>
    <s v="MYLENA"/>
  </r>
  <r>
    <n v="198363"/>
    <s v="KAR"/>
    <s v="12372151"/>
    <x v="32"/>
    <s v="ALFA TRANSPORTES EIRELI"/>
    <n v="861.48"/>
    <x v="48"/>
    <x v="48"/>
    <s v=""/>
    <x v="0"/>
    <s v="COMPRAS"/>
    <n v="0"/>
    <s v="MYLENA"/>
  </r>
  <r>
    <n v="198364"/>
    <s v="KAR"/>
    <s v="39460"/>
    <x v="32"/>
    <s v="TRANS APUCARANA TRANSPORTES RODOVIARIOS LTDA"/>
    <n v="308.32"/>
    <x v="48"/>
    <x v="48"/>
    <s v="SERVIÇOS FRETE"/>
    <x v="0"/>
    <s v="COMPRAS"/>
    <n v="0"/>
    <s v="MYLENA"/>
  </r>
  <r>
    <n v="198365"/>
    <s v="KAR"/>
    <s v="39298"/>
    <x v="32"/>
    <s v="TRANS APUCARANA TRANSPORTES RODOVIARIOS LTDA"/>
    <n v="111.33"/>
    <x v="48"/>
    <x v="48"/>
    <s v="SERVIÇOS FRETE"/>
    <x v="0"/>
    <s v="COMPRAS"/>
    <n v="0"/>
    <s v="MYLENA"/>
  </r>
  <r>
    <n v="198366"/>
    <s v="KAR"/>
    <s v="39079"/>
    <x v="32"/>
    <s v="TRANS APUCARANA TRANSPORTES RODOVIARIOS LTDA"/>
    <n v="386.42"/>
    <x v="48"/>
    <x v="48"/>
    <s v="SERVIÇOS FRETE"/>
    <x v="0"/>
    <s v="COMPRAS"/>
    <n v="0"/>
    <s v="MYLENA"/>
  </r>
  <r>
    <n v="198367"/>
    <s v="KAR"/>
    <s v="3620693"/>
    <x v="41"/>
    <s v="EXPRESSO SAO MIGUEL LTDA"/>
    <n v="359.86"/>
    <x v="48"/>
    <x v="48"/>
    <s v="SERVIÇOS FRETE"/>
    <x v="0"/>
    <s v="COMPRAS"/>
    <n v="0"/>
    <s v="MYLENA"/>
  </r>
  <r>
    <n v="198368"/>
    <s v="KAR"/>
    <s v="39718"/>
    <x v="2"/>
    <s v="TRANS APUCARANA TRANSPORTES RODOVIARIOS LTDA"/>
    <n v="111.7"/>
    <x v="48"/>
    <x v="48"/>
    <s v="SERVIÇOS FRETE"/>
    <x v="0"/>
    <s v="COMPRAS"/>
    <n v="0"/>
    <s v="MYLENA"/>
  </r>
  <r>
    <n v="198369"/>
    <s v="FK"/>
    <s v="SODA1002"/>
    <x v="32"/>
    <s v="CAMINHAO BEM-9J26 "/>
    <n v="67.75"/>
    <x v="41"/>
    <x v="41"/>
    <s v=""/>
    <x v="6"/>
    <s v="LOGÍSTICA"/>
    <n v="0"/>
    <s v="MYLENA"/>
  </r>
  <r>
    <n v="198370"/>
    <s v="FK"/>
    <s v="75000"/>
    <x v="80"/>
    <s v="COMERCIO DE COMBUSTIVEIS TBM LTDA."/>
    <n v="684.9"/>
    <x v="37"/>
    <x v="37"/>
    <s v=""/>
    <x v="6"/>
    <s v="LOGÍSTICA"/>
    <n v="0"/>
    <s v="MYLENA"/>
  </r>
  <r>
    <n v="198371"/>
    <s v="FK"/>
    <s v="74851"/>
    <x v="2"/>
    <s v="COMERCIO DE COMBUSTIVEIS TBM LTDA."/>
    <n v="61.25"/>
    <x v="37"/>
    <x v="37"/>
    <s v=""/>
    <x v="6"/>
    <s v="LOGÍSTICA"/>
    <n v="0"/>
    <s v="MYLENA"/>
  </r>
  <r>
    <n v="198372"/>
    <s v="FK"/>
    <s v="74850"/>
    <x v="2"/>
    <s v="COMERCIO DE COMBUSTIVEIS TBM LTDA."/>
    <n v="296.91000000000003"/>
    <x v="37"/>
    <x v="37"/>
    <s v=""/>
    <x v="6"/>
    <s v="LOGÍSTICA"/>
    <n v="0"/>
    <s v="MYLENA"/>
  </r>
  <r>
    <n v="198373"/>
    <s v="FK"/>
    <s v="VANDE1202"/>
    <x v="32"/>
    <s v="CAMINHAO BEM-6E19"/>
    <n v="970"/>
    <x v="37"/>
    <x v="37"/>
    <s v=""/>
    <x v="6"/>
    <s v="LOGÍSTICA"/>
    <n v="0"/>
    <s v="MYLENA"/>
  </r>
  <r>
    <n v="198374"/>
    <s v="FK"/>
    <s v="NETO1202"/>
    <x v="32"/>
    <s v="CAMINHÃO - AYL-6E00"/>
    <n v="1983"/>
    <x v="41"/>
    <x v="41"/>
    <s v=""/>
    <x v="6"/>
    <s v="LOGÍSTICA"/>
    <n v="0"/>
    <s v="MYLENA"/>
  </r>
  <r>
    <n v="198375"/>
    <s v="FK"/>
    <s v="74761"/>
    <x v="85"/>
    <s v="COMERCIO DE COMBUSTIVEIS TBM LTDA."/>
    <n v="2772.06"/>
    <x v="37"/>
    <x v="37"/>
    <s v=""/>
    <x v="6"/>
    <s v="LOGÍSTICA"/>
    <n v="0"/>
    <s v="MYLENA"/>
  </r>
  <r>
    <n v="198376"/>
    <s v="KAR"/>
    <s v="722444"/>
    <x v="85"/>
    <s v="AUTO POSTO SANTA TEREZINHA DE AVARE LTDA"/>
    <n v="575"/>
    <x v="37"/>
    <x v="37"/>
    <s v=""/>
    <x v="6"/>
    <s v="LOGÍSTICA"/>
    <n v="0"/>
    <s v="MYLENA"/>
  </r>
  <r>
    <n v="198377"/>
    <s v="KAR"/>
    <s v="CET1302"/>
    <x v="32"/>
    <s v="BANCO SICREDI"/>
    <n v="996.72"/>
    <x v="29"/>
    <x v="29"/>
    <s v=""/>
    <x v="8"/>
    <s v="FINANCEIRO"/>
    <n v="0"/>
    <s v="LETÍCIA"/>
  </r>
  <r>
    <n v="198378"/>
    <s v="KAR"/>
    <s v="165501302"/>
    <x v="32"/>
    <s v="BANCO SICREDI"/>
    <n v="165.5"/>
    <x v="27"/>
    <x v="27"/>
    <s v=""/>
    <x v="8"/>
    <s v="FINANCEIRO"/>
    <n v="0"/>
    <s v="LETÍCIA"/>
  </r>
  <r>
    <n v="198379"/>
    <s v="KAR"/>
    <s v="22563"/>
    <x v="32"/>
    <s v="BANCO SICREDI"/>
    <n v="225.63"/>
    <x v="27"/>
    <x v="27"/>
    <s v=""/>
    <x v="8"/>
    <s v="FINANCEIRO"/>
    <n v="0"/>
    <s v="LETÍCIA"/>
  </r>
  <r>
    <n v="198380"/>
    <s v="KAR"/>
    <s v="3707"/>
    <x v="32"/>
    <s v="AUTO POSTO ROTA SUL LTDA"/>
    <n v="112.77"/>
    <x v="37"/>
    <x v="37"/>
    <s v=""/>
    <x v="6"/>
    <s v="LOGÍSTICA"/>
    <n v="0"/>
    <s v="MYLENA"/>
  </r>
  <r>
    <n v="198381"/>
    <s v="FK"/>
    <s v="LEAND1302"/>
    <x v="32"/>
    <s v="CAMINHAO - AYL-5F59"/>
    <n v="1524"/>
    <x v="41"/>
    <x v="41"/>
    <s v=""/>
    <x v="6"/>
    <s v="LOGÍSTICA"/>
    <n v="0"/>
    <s v="MYLENA"/>
  </r>
  <r>
    <n v="198382"/>
    <s v="FK"/>
    <s v="75149"/>
    <x v="32"/>
    <s v="COMERCIO DE COMBUSTIVEIS TBM LTDA."/>
    <n v="2369.66"/>
    <x v="37"/>
    <x v="37"/>
    <s v=""/>
    <x v="6"/>
    <s v="LOGÍSTICA"/>
    <n v="0"/>
    <s v="MYLENA"/>
  </r>
  <r>
    <n v="198383"/>
    <s v="KAR"/>
    <s v="105181"/>
    <x v="32"/>
    <s v="AUTO POSTO MARINER DE RIBEIRAO PRETO LTDA"/>
    <n v="1655.14"/>
    <x v="37"/>
    <x v="37"/>
    <s v=""/>
    <x v="6"/>
    <s v="LOGÍSTICA"/>
    <n v="0"/>
    <s v="MYLENA"/>
  </r>
  <r>
    <n v="198384"/>
    <s v="FK"/>
    <s v="TESTE CBR"/>
    <x v="3"/>
    <s v="KARAM'S IND.E COM.DE ESTOFADOS LTDA"/>
    <n v="50"/>
    <x v="17"/>
    <x v="17"/>
    <s v=""/>
    <x v="8"/>
    <s v="FINANCEIRO"/>
    <n v="0"/>
    <s v="LETÍCIA"/>
  </r>
  <r>
    <n v="198385"/>
    <s v="KAR"/>
    <s v="1686"/>
    <x v="82"/>
    <s v="JOÃO CARLOS CORDEIRO RADIADORES"/>
    <n v="440"/>
    <x v="31"/>
    <x v="31"/>
    <s v=""/>
    <x v="6"/>
    <s v="LOGÍSTICA"/>
    <n v="0"/>
    <s v="MYLENA"/>
  </r>
  <r>
    <n v="198386"/>
    <s v="KAR"/>
    <s v="3619"/>
    <x v="82"/>
    <s v="R&amp;J EQUIPAMENTOS LTDA"/>
    <n v="1548.75"/>
    <x v="38"/>
    <x v="38"/>
    <s v="CNC TECIDO"/>
    <x v="5"/>
    <s v="PRODUÇÃO"/>
    <n v="0"/>
    <s v="RAFAEL"/>
  </r>
  <r>
    <n v="198387"/>
    <s v="KAR"/>
    <s v="6321302"/>
    <x v="32"/>
    <s v="BANCO SICREDI"/>
    <n v="6.32"/>
    <x v="27"/>
    <x v="27"/>
    <s v=""/>
    <x v="8"/>
    <s v="FINANCEIRO"/>
    <n v="0"/>
    <s v="LETÍCIA"/>
  </r>
  <r>
    <n v="198388"/>
    <s v="KAR"/>
    <s v="734735"/>
    <x v="82"/>
    <s v="EXPRESSO SAO MIGUEL LTDA"/>
    <n v="100.61"/>
    <x v="38"/>
    <x v="38"/>
    <s v="SERVIÇOS FRETE"/>
    <x v="5"/>
    <s v="PRODUÇÃO"/>
    <n v="0"/>
    <s v="RAFAEL"/>
  </r>
  <r>
    <n v="198389"/>
    <s v="KAR"/>
    <s v="49"/>
    <x v="82"/>
    <s v="Puma Gases F J Oxigenio LTDA"/>
    <n v="406"/>
    <x v="38"/>
    <x v="38"/>
    <s v=""/>
    <x v="5"/>
    <s v="PRODUÇÃO"/>
    <n v="0"/>
    <s v="RAFAEL"/>
  </r>
  <r>
    <n v="198390"/>
    <s v="FK"/>
    <s v="PET1402"/>
    <x v="82"/>
    <s v="ACT GUIRELLI"/>
    <n v="344"/>
    <x v="32"/>
    <x v="32"/>
    <s v=""/>
    <x v="3"/>
    <s v="FINANCEIRO"/>
    <n v="0"/>
    <s v="LETÍCIA"/>
  </r>
  <r>
    <n v="198391"/>
    <s v="LAY"/>
    <s v="0791302"/>
    <x v="32"/>
    <s v="BANCO SICREDI"/>
    <n v="0.79"/>
    <x v="27"/>
    <x v="27"/>
    <s v=""/>
    <x v="8"/>
    <s v="FINANCEIRO"/>
    <n v="0"/>
    <s v="LETÍCIA"/>
  </r>
  <r>
    <n v="198392"/>
    <s v="KOY"/>
    <s v="919"/>
    <x v="32"/>
    <s v="BANCO SICREDI"/>
    <n v="9.19"/>
    <x v="69"/>
    <x v="69"/>
    <s v=""/>
    <x v="4"/>
    <s v="FINANCEIRO"/>
    <n v="0"/>
    <s v="LETÍCIA"/>
  </r>
  <r>
    <n v="198393"/>
    <s v="KOY"/>
    <s v="2461302"/>
    <x v="32"/>
    <s v="BANCO SICREDI"/>
    <n v="2.46"/>
    <x v="69"/>
    <x v="69"/>
    <s v=""/>
    <x v="4"/>
    <s v="FINANCEIRO"/>
    <n v="0"/>
    <s v="LETÍCIA"/>
  </r>
  <r>
    <n v="198394"/>
    <s v="FK"/>
    <s v="2851302"/>
    <x v="32"/>
    <s v="COOPERATIVA DE CRED.DE LIVRE ADMISSÃO DO NOROESTE"/>
    <n v="2.85"/>
    <x v="27"/>
    <x v="27"/>
    <s v=""/>
    <x v="8"/>
    <s v="FINANCEIRO"/>
    <n v="0"/>
    <s v="LETÍCIA"/>
  </r>
  <r>
    <n v="198398"/>
    <s v="FK"/>
    <s v="3941"/>
    <x v="3"/>
    <s v="COMERCIO DE COMBUSTIVEIS TBM LTDA."/>
    <n v="182.09"/>
    <x v="43"/>
    <x v="43"/>
    <s v=""/>
    <x v="4"/>
    <s v="LOGÍSTICA"/>
    <n v="0"/>
    <s v="LETÍCIA"/>
  </r>
  <r>
    <n v="198402"/>
    <s v="FK"/>
    <s v="4148"/>
    <x v="32"/>
    <s v="COMERCIO DE COMBUSTIVEIS TBM LTDA."/>
    <n v="780.72"/>
    <x v="37"/>
    <x v="37"/>
    <s v=""/>
    <x v="6"/>
    <s v="LOGÍSTICA"/>
    <n v="0"/>
    <s v="MYLENA"/>
  </r>
  <r>
    <n v="198404"/>
    <s v="FK"/>
    <s v="26976"/>
    <x v="82"/>
    <s v="AGROINDUSTRIA COM E TRANSP DE FARINHA RODERS"/>
    <n v="30"/>
    <x v="17"/>
    <x v="17"/>
    <s v=""/>
    <x v="8"/>
    <s v="FINANCEIRO"/>
    <n v="0"/>
    <s v="LETÍCIA"/>
  </r>
  <r>
    <n v="198405"/>
    <s v="FK"/>
    <s v="SODA1302"/>
    <x v="82"/>
    <s v="CAMINHÃO / BEH-6E00"/>
    <n v="27.9"/>
    <x v="41"/>
    <x v="41"/>
    <s v=""/>
    <x v="6"/>
    <s v="LOGÍSTICA"/>
    <n v="0"/>
    <s v="MYLENA"/>
  </r>
  <r>
    <n v="198406"/>
    <s v="FK"/>
    <s v="ELE1602"/>
    <x v="82"/>
    <s v="JOAO LUIZ DE OLIVEIRA &amp; CIA LTDA - ME"/>
    <n v="388"/>
    <x v="25"/>
    <x v="25"/>
    <s v="MATERIAIS ELETRICOS"/>
    <x v="2"/>
    <s v="MANUTENÇÃO / TI"/>
    <n v="0"/>
    <s v="FÁBIO"/>
  </r>
  <r>
    <n v="198407"/>
    <s v="FK"/>
    <s v="PEIXE1602"/>
    <x v="82"/>
    <s v="CANTINHO DO PEIXE"/>
    <n v="130"/>
    <x v="78"/>
    <x v="78"/>
    <s v=""/>
    <x v="6"/>
    <s v="LOGÍSTICA"/>
    <n v="0"/>
    <s v="MYLENA"/>
  </r>
  <r>
    <n v="198408"/>
    <s v="FK"/>
    <s v="CORD1602"/>
    <x v="49"/>
    <s v="MADEIREIRA CORDILHEIRA LTDA"/>
    <n v="4200"/>
    <x v="48"/>
    <x v="48"/>
    <s v=""/>
    <x v="0"/>
    <s v="COMPRAS"/>
    <n v="0"/>
    <s v="MYLENA"/>
  </r>
  <r>
    <n v="198411"/>
    <s v="FK"/>
    <s v="BATA1702A"/>
    <x v="49"/>
    <s v="MARIA ANDREIA BUENO DE ALMEIDA BATAER"/>
    <n v="6.5"/>
    <x v="34"/>
    <x v="34"/>
    <s v=""/>
    <x v="6"/>
    <s v="COMERCIAL"/>
    <n v="0"/>
    <s v="LETÍCIA"/>
  </r>
  <r>
    <n v="198412"/>
    <s v="FK"/>
    <s v="ACA1402"/>
    <x v="49"/>
    <s v="MARCOS ACACIO VALERIO"/>
    <n v="110"/>
    <x v="30"/>
    <x v="30"/>
    <s v="MAQUINAS DE COSTURA"/>
    <x v="9"/>
    <s v="MANUTENÇÃO / TI"/>
    <n v="0"/>
    <s v="RAFAEL"/>
  </r>
  <r>
    <n v="198413"/>
    <s v="FK"/>
    <s v="ACA1302"/>
    <x v="49"/>
    <s v="MARCOS ACACIO VALERIO"/>
    <n v="100"/>
    <x v="30"/>
    <x v="30"/>
    <s v="MAQUINAS DE COSTURA"/>
    <x v="9"/>
    <s v="MANUTENÇÃO / TI"/>
    <n v="0"/>
    <s v="RAFAEL"/>
  </r>
  <r>
    <n v="198414"/>
    <s v="KAR"/>
    <s v="13277"/>
    <x v="49"/>
    <s v="JG SUL TRANSPORTES LTDA"/>
    <n v="180"/>
    <x v="65"/>
    <x v="65"/>
    <s v=""/>
    <x v="6"/>
    <s v="LOGÍSTICA"/>
    <n v="0"/>
    <s v="MYLENA"/>
  </r>
  <r>
    <n v="198415"/>
    <s v="KAR"/>
    <s v="3635890"/>
    <x v="32"/>
    <s v="EXPRESSO SAO MIGUEL LTDA"/>
    <n v="221.49"/>
    <x v="48"/>
    <x v="48"/>
    <s v="SERVIÇOS FRETE"/>
    <x v="0"/>
    <s v="COMPRAS"/>
    <n v="0"/>
    <s v="MYLENA"/>
  </r>
  <r>
    <n v="198416"/>
    <s v="KAR"/>
    <s v="927536"/>
    <x v="16"/>
    <s v="EXPRESSO SAO MIGUEL LTDA"/>
    <n v="184.5"/>
    <x v="48"/>
    <x v="48"/>
    <s v="SERVIÇOS FRETE"/>
    <x v="0"/>
    <s v="COMPRAS"/>
    <n v="0"/>
    <s v="MYLENA"/>
  </r>
  <r>
    <n v="198417"/>
    <s v="KAR"/>
    <s v="1493497"/>
    <x v="16"/>
    <s v="EXPRESSO SAO MIGUEL LTDA"/>
    <n v="129.19999999999999"/>
    <x v="48"/>
    <x v="48"/>
    <s v="SERVIÇOS FRETE"/>
    <x v="0"/>
    <s v="COMPRAS"/>
    <n v="0"/>
    <s v="MYLENA"/>
  </r>
  <r>
    <n v="198418"/>
    <s v="KAR"/>
    <s v="927533"/>
    <x v="16"/>
    <s v="EXPRESSO SAO MIGUEL LTDA"/>
    <n v="488.25"/>
    <x v="48"/>
    <x v="48"/>
    <s v="SERVIÇOS FRETE"/>
    <x v="0"/>
    <s v="COMPRAS"/>
    <n v="0"/>
    <s v="MYLENA"/>
  </r>
  <r>
    <n v="198419"/>
    <s v="KAR"/>
    <s v="336115"/>
    <x v="80"/>
    <s v="EXPRESSO SAO MIGUEL S/A"/>
    <n v="266.93"/>
    <x v="48"/>
    <x v="48"/>
    <s v=""/>
    <x v="0"/>
    <s v="COMPRAS"/>
    <n v="0"/>
    <s v="MYLENA"/>
  </r>
  <r>
    <n v="198420"/>
    <s v="KAR"/>
    <s v="192719"/>
    <x v="80"/>
    <s v="EXPRESSO SAO MIGUEL LTDA"/>
    <n v="124"/>
    <x v="48"/>
    <x v="48"/>
    <s v="SERVIÇOS FRETE"/>
    <x v="0"/>
    <s v="COMPRAS"/>
    <n v="0"/>
    <s v="MYLENA"/>
  </r>
  <r>
    <n v="198421"/>
    <s v="KAR"/>
    <s v="40271"/>
    <x v="16"/>
    <s v="TRANS APUCARANA TRANSPORTES RODOVIARIOS LTDA"/>
    <n v="115.24"/>
    <x v="48"/>
    <x v="48"/>
    <s v="SERVIÇOS FRETE"/>
    <x v="0"/>
    <s v="COMPRAS"/>
    <n v="0"/>
    <s v="MYLENA"/>
  </r>
  <r>
    <n v="198422"/>
    <s v="KAR"/>
    <s v="4291802"/>
    <x v="98"/>
    <s v="BANCO SICREDI"/>
    <n v="4.29"/>
    <x v="27"/>
    <x v="27"/>
    <s v=""/>
    <x v="8"/>
    <s v="FINANCEIRO"/>
    <n v="0"/>
    <s v="LETÍCIA"/>
  </r>
  <r>
    <n v="198423"/>
    <s v="KAR"/>
    <s v="30101802"/>
    <x v="98"/>
    <s v="BANCO SICREDI"/>
    <n v="30.1"/>
    <x v="27"/>
    <x v="27"/>
    <s v=""/>
    <x v="8"/>
    <s v="FINANCEIRO"/>
    <n v="0"/>
    <s v="LETÍCIA"/>
  </r>
  <r>
    <n v="198425"/>
    <s v="KAR"/>
    <s v="EMBRATEL26"/>
    <x v="49"/>
    <s v="EMBRATEL"/>
    <n v="1219.1400000000001"/>
    <x v="8"/>
    <x v="8"/>
    <s v=""/>
    <x v="4"/>
    <s v="MANUTENÇÃO / TI"/>
    <n v="0"/>
    <s v="LETÍCIA"/>
  </r>
  <r>
    <n v="198426"/>
    <s v="KAR"/>
    <s v="EMBRATEL26"/>
    <x v="50"/>
    <s v="EMBRATEL"/>
    <n v="1219.1400000000001"/>
    <x v="8"/>
    <x v="8"/>
    <s v=""/>
    <x v="4"/>
    <s v="MANUTENÇÃO / TI"/>
    <n v="0"/>
    <s v="LETÍCIA"/>
  </r>
  <r>
    <n v="198427"/>
    <s v="KAR"/>
    <s v="EMBRATEL26"/>
    <x v="51"/>
    <s v="EMBRATEL"/>
    <n v="1219.1400000000001"/>
    <x v="8"/>
    <x v="8"/>
    <s v=""/>
    <x v="4"/>
    <s v="MANUTENÇÃO / TI"/>
    <n v="0"/>
    <s v="LETÍCIA"/>
  </r>
  <r>
    <n v="198437"/>
    <s v="KAR"/>
    <s v="95751802"/>
    <x v="98"/>
    <s v="BANCO SICREDI"/>
    <n v="95.75"/>
    <x v="90"/>
    <x v="90"/>
    <s v=""/>
    <x v="8"/>
    <s v="FINANCEIRO"/>
    <n v="0"/>
    <s v="LETÍCIA"/>
  </r>
  <r>
    <n v="198438"/>
    <s v="KAR"/>
    <s v="1129304"/>
    <x v="98"/>
    <s v="BANCO SICREDI"/>
    <n v="293.04000000000002"/>
    <x v="56"/>
    <x v="56"/>
    <s v=""/>
    <x v="7"/>
    <s v="DH"/>
    <n v="0"/>
    <s v="RAFAEL"/>
  </r>
  <r>
    <n v="198439"/>
    <s v="KAR"/>
    <s v="37392"/>
    <x v="98"/>
    <s v="BANCO SICREDI"/>
    <n v="73.92"/>
    <x v="57"/>
    <x v="57"/>
    <s v=""/>
    <x v="9"/>
    <s v="DH"/>
    <s v="CUSTO MÃO DE OBRA DIRETA"/>
    <s v="RAFAEL"/>
  </r>
  <r>
    <n v="198440"/>
    <s v="KAR"/>
    <s v="1637235"/>
    <x v="98"/>
    <s v="BANCO SICREDI"/>
    <n v="372.35"/>
    <x v="58"/>
    <x v="58"/>
    <s v=""/>
    <x v="5"/>
    <s v="DH"/>
    <s v="CUSTO MÃO DE OBRA DIRETA"/>
    <s v="RAFAEL"/>
  </r>
  <r>
    <n v="198441"/>
    <s v="KAR"/>
    <s v="645293"/>
    <x v="98"/>
    <s v="ART MOVEIS DE ITU LTDA ME"/>
    <n v="1527.16"/>
    <x v="17"/>
    <x v="17"/>
    <s v=""/>
    <x v="8"/>
    <s v="FINANCEIRO"/>
    <n v="0"/>
    <s v="LETÍCIA"/>
  </r>
  <r>
    <n v="198442"/>
    <s v="KAR"/>
    <s v="15011802"/>
    <x v="98"/>
    <s v="BANCO SICREDI"/>
    <n v="15.01"/>
    <x v="29"/>
    <x v="29"/>
    <s v=""/>
    <x v="8"/>
    <s v="FINANCEIRO"/>
    <n v="0"/>
    <s v="LETÍCIA"/>
  </r>
  <r>
    <n v="198443"/>
    <s v="KAR"/>
    <s v="0091802"/>
    <x v="98"/>
    <s v="BANCO SICREDI"/>
    <n v="0.09"/>
    <x v="27"/>
    <x v="27"/>
    <s v=""/>
    <x v="8"/>
    <s v="FINANCEIRO"/>
    <n v="0"/>
    <s v="LETÍCIA"/>
  </r>
  <r>
    <n v="198444"/>
    <s v="KAR"/>
    <s v="8FER26"/>
    <x v="98"/>
    <s v="ISAAC MIGUEL VIEIRA DA SILVA"/>
    <n v="297.89999999999998"/>
    <x v="91"/>
    <x v="91"/>
    <s v=""/>
    <x v="7"/>
    <s v="DH"/>
    <n v="0"/>
    <s v="RAFAEL"/>
  </r>
  <r>
    <n v="198445"/>
    <s v="KOY"/>
    <s v="30997"/>
    <x v="98"/>
    <s v="BANCO SICREDI"/>
    <n v="83.69"/>
    <x v="57"/>
    <x v="57"/>
    <s v=""/>
    <x v="9"/>
    <s v="DH"/>
    <s v="CUSTO MÃO DE OBRA DIRETA"/>
    <s v="RAFAEL"/>
  </r>
  <r>
    <n v="198446"/>
    <s v="KOY"/>
    <s v="3099718"/>
    <x v="98"/>
    <s v="BANCO SICREDI"/>
    <n v="362.66"/>
    <x v="58"/>
    <x v="58"/>
    <s v=""/>
    <x v="5"/>
    <s v="DH"/>
    <s v="CUSTO MÃO DE OBRA DIRETA"/>
    <s v="RAFAEL"/>
  </r>
  <r>
    <n v="198447"/>
    <s v="KOY"/>
    <s v="309971802"/>
    <x v="98"/>
    <s v="BANCO SICREDI"/>
    <n v="83.69"/>
    <x v="56"/>
    <x v="56"/>
    <s v=""/>
    <x v="7"/>
    <s v="DH"/>
    <n v="0"/>
    <s v="RAFAEL"/>
  </r>
  <r>
    <n v="198448"/>
    <s v="LAY"/>
    <s v="12FER26"/>
    <x v="98"/>
    <s v="ANTONIA ROSANGELA DE OLIVEIRA"/>
    <n v="1550.06"/>
    <x v="72"/>
    <x v="72"/>
    <s v=""/>
    <x v="5"/>
    <s v="DH"/>
    <s v="CUSTO MÃO DE OBRA DIRETA"/>
    <s v="RAFAEL"/>
  </r>
  <r>
    <n v="198449"/>
    <s v="LAY"/>
    <s v="192430"/>
    <x v="98"/>
    <s v="BANCO SICREDI"/>
    <n v="344.69"/>
    <x v="56"/>
    <x v="56"/>
    <s v=""/>
    <x v="7"/>
    <s v="DH"/>
    <n v="0"/>
    <s v="RAFAEL"/>
  </r>
  <r>
    <n v="198450"/>
    <s v="LAY"/>
    <s v="19243018"/>
    <x v="98"/>
    <s v="BANCO SICREDI"/>
    <n v="1148.97"/>
    <x v="58"/>
    <x v="58"/>
    <s v=""/>
    <x v="5"/>
    <s v="DH"/>
    <s v="CUSTO MÃO DE OBRA DIRETA"/>
    <s v="RAFAEL"/>
  </r>
  <r>
    <n v="198451"/>
    <s v="LAY"/>
    <s v="192430180"/>
    <x v="98"/>
    <s v="BANCO SICREDI"/>
    <n v="86.17"/>
    <x v="57"/>
    <x v="57"/>
    <s v=""/>
    <x v="9"/>
    <s v="DH"/>
    <s v="CUSTO MÃO DE OBRA DIRETA"/>
    <s v="RAFAEL"/>
  </r>
  <r>
    <n v="198452"/>
    <s v="KAR"/>
    <s v="5v0038003"/>
    <x v="98"/>
    <s v="KARAM'S IND.E COM.DE ESTOFADOS LTDA"/>
    <n v="130.16"/>
    <x v="39"/>
    <x v="39"/>
    <s v=""/>
    <x v="6"/>
    <s v="LOGÍSTICA"/>
    <n v="0"/>
    <s v="MYLENA"/>
  </r>
  <r>
    <n v="198454"/>
    <s v="KAR"/>
    <s v="CET1802"/>
    <x v="98"/>
    <s v="BANCO SICREDI"/>
    <n v="1911.32"/>
    <x v="29"/>
    <x v="29"/>
    <s v=""/>
    <x v="8"/>
    <s v="FINANCEIRO"/>
    <n v="0"/>
    <s v="LETÍCIA"/>
  </r>
  <r>
    <n v="198455"/>
    <s v="KAR"/>
    <s v="30865"/>
    <x v="98"/>
    <s v="BANCO SICREDI"/>
    <n v="308.64999999999998"/>
    <x v="27"/>
    <x v="27"/>
    <s v=""/>
    <x v="8"/>
    <s v="FINANCEIRO"/>
    <n v="0"/>
    <s v="LETÍCIA"/>
  </r>
  <r>
    <n v="198456"/>
    <s v="KAR"/>
    <s v="18991"/>
    <x v="98"/>
    <s v="BANCO SICREDI"/>
    <n v="189.91"/>
    <x v="27"/>
    <x v="27"/>
    <s v=""/>
    <x v="8"/>
    <s v="FINANCEIRO"/>
    <n v="0"/>
    <s v="LETÍCIA"/>
  </r>
  <r>
    <n v="198457"/>
    <s v="KAR"/>
    <s v="120606132"/>
    <x v="98"/>
    <s v="KARAM'S IND.E COM.DE ESTOFADOS LTDA"/>
    <n v="130.16"/>
    <x v="39"/>
    <x v="39"/>
    <s v=""/>
    <x v="6"/>
    <s v="LOGÍSTICA"/>
    <n v="0"/>
    <s v="MYLENA"/>
  </r>
  <r>
    <n v="198458"/>
    <s v="KAR"/>
    <s v="62840"/>
    <x v="98"/>
    <s v="POSTO FAROL 48 DA CASTELO INTERIOR LTDA"/>
    <n v="589"/>
    <x v="37"/>
    <x v="37"/>
    <s v=""/>
    <x v="6"/>
    <s v="LOGÍSTICA"/>
    <n v="0"/>
    <s v="MYLENA"/>
  </r>
  <r>
    <n v="198459"/>
    <s v="FK"/>
    <s v="120226"/>
    <x v="98"/>
    <s v="SILVIA COLLI JORDÃO PRESTES"/>
    <n v="116.74"/>
    <x v="6"/>
    <x v="6"/>
    <s v=""/>
    <x v="3"/>
    <s v="FINANCEIRO"/>
    <n v="0"/>
    <s v="LETÍCIA"/>
  </r>
  <r>
    <n v="198460"/>
    <s v="FK"/>
    <s v="SILV2101"/>
    <x v="11"/>
    <s v="M.A. DOS SANTOS NASCIMENTO"/>
    <n v="156"/>
    <x v="23"/>
    <x v="23"/>
    <s v=""/>
    <x v="6"/>
    <s v="COMERCIAL"/>
    <n v="0"/>
    <s v="LETÍCIA"/>
  </r>
  <r>
    <n v="198462"/>
    <s v="FK"/>
    <s v="SAQ130226"/>
    <x v="32"/>
    <s v="MERCADO LIVRE "/>
    <n v="24.41"/>
    <x v="16"/>
    <x v="16"/>
    <s v=""/>
    <x v="7"/>
    <s v="DH"/>
    <n v="0"/>
    <s v="MYLENA"/>
  </r>
  <r>
    <n v="198463"/>
    <s v="FK"/>
    <s v="IÇAMENTOD"/>
    <x v="98"/>
    <s v="IÇAR SERVIÇOS DE LANÇAMENTO LTDA"/>
    <n v="450"/>
    <x v="65"/>
    <x v="65"/>
    <s v=""/>
    <x v="6"/>
    <s v="LOGÍSTICA"/>
    <n v="0"/>
    <s v="MYLENA"/>
  </r>
  <r>
    <n v="198464"/>
    <s v="FK"/>
    <s v="MOSTRUARI"/>
    <x v="98"/>
    <s v="MARCIO JOSE PACHECO"/>
    <n v="30"/>
    <x v="65"/>
    <x v="65"/>
    <s v=""/>
    <x v="6"/>
    <s v="LOGÍSTICA"/>
    <n v="0"/>
    <s v="MYLENA"/>
  </r>
  <r>
    <n v="198465"/>
    <s v="FK"/>
    <s v="ASUS2026"/>
    <x v="98"/>
    <s v="MERCADO LIVRE "/>
    <n v="4679"/>
    <x v="13"/>
    <x v="13"/>
    <s v=""/>
    <x v="2"/>
    <s v="MANUTENÇÃO / TI"/>
    <n v="0"/>
    <s v="RAFAEL"/>
  </r>
  <r>
    <n v="198466"/>
    <s v="KAR"/>
    <s v="32715"/>
    <x v="98"/>
    <s v="C L PEREIRA TRANSPORTES LTDA"/>
    <n v="225.52"/>
    <x v="65"/>
    <x v="65"/>
    <s v=""/>
    <x v="6"/>
    <s v="LOGÍSTICA"/>
    <n v="0"/>
    <s v="MYLENA"/>
  </r>
  <r>
    <n v="198467"/>
    <s v="FK"/>
    <s v="EMP1202"/>
    <x v="99"/>
    <s v="ALINE CIVILA FERREIRA"/>
    <n v="220"/>
    <x v="37"/>
    <x v="37"/>
    <s v=""/>
    <x v="6"/>
    <s v="LOGÍSTICA"/>
    <n v="0"/>
    <s v="MYLENA"/>
  </r>
  <r>
    <n v="198468"/>
    <s v="FK"/>
    <s v="FM1802"/>
    <x v="99"/>
    <s v="RODRIGUES &amp; LIMA FERRAGENS DE FERRAMENTAS LTDA - M"/>
    <n v="67.900000000000006"/>
    <x v="25"/>
    <x v="25"/>
    <s v="FERRAGENS GERAIS"/>
    <x v="2"/>
    <s v="MANUTENÇÃO / TI"/>
    <n v="0"/>
    <s v="FÁBIO"/>
  </r>
  <r>
    <n v="198469"/>
    <s v="KAR"/>
    <s v="14249"/>
    <x v="99"/>
    <s v="AUTO MECANICA BRASIL &amp; MENDES LTDA-ME"/>
    <n v="940"/>
    <x v="31"/>
    <x v="31"/>
    <s v=""/>
    <x v="6"/>
    <s v="LOGÍSTICA"/>
    <n v="0"/>
    <s v="MYLENA"/>
  </r>
  <r>
    <n v="198470"/>
    <s v="KAR"/>
    <s v="2937"/>
    <x v="99"/>
    <s v="AUTO MECANICA BRASIL &amp; MENDES LTDA-ME"/>
    <n v="410"/>
    <x v="31"/>
    <x v="31"/>
    <s v=""/>
    <x v="6"/>
    <s v="LOGÍSTICA"/>
    <n v="0"/>
    <s v="MYLENA"/>
  </r>
  <r>
    <n v="198471"/>
    <s v="KAR"/>
    <s v="4266"/>
    <x v="99"/>
    <s v="BANCO SICREDI"/>
    <n v="42.66"/>
    <x v="28"/>
    <x v="28"/>
    <s v=""/>
    <x v="8"/>
    <s v="FINANCEIRO"/>
    <n v="0"/>
    <s v="LETÍCIA"/>
  </r>
  <r>
    <n v="198472"/>
    <s v="LAY"/>
    <s v="4741802"/>
    <x v="98"/>
    <s v="BANCO SICREDI"/>
    <n v="4.74"/>
    <x v="27"/>
    <x v="27"/>
    <s v=""/>
    <x v="8"/>
    <s v="FINANCEIRO"/>
    <n v="0"/>
    <s v="LETÍCIA"/>
  </r>
  <r>
    <n v="198473"/>
    <s v="LAY"/>
    <s v="2361902"/>
    <x v="99"/>
    <s v="BANCO SICREDI"/>
    <n v="2.36"/>
    <x v="27"/>
    <x v="27"/>
    <s v=""/>
    <x v="8"/>
    <s v="FINANCEIRO"/>
    <n v="0"/>
    <s v="LETÍCIA"/>
  </r>
  <r>
    <n v="198474"/>
    <s v="LAY"/>
    <s v="24061902"/>
    <x v="99"/>
    <s v="BANCO SICREDI"/>
    <n v="24.06"/>
    <x v="27"/>
    <x v="27"/>
    <s v=""/>
    <x v="8"/>
    <s v="FINANCEIRO"/>
    <n v="0"/>
    <s v="LETÍCIA"/>
  </r>
  <r>
    <n v="198475"/>
    <s v="KOY"/>
    <s v="0791802"/>
    <x v="98"/>
    <s v="BANCO SICREDI"/>
    <n v="0.79"/>
    <x v="27"/>
    <x v="27"/>
    <s v=""/>
    <x v="8"/>
    <s v="FINANCEIRO"/>
    <n v="0"/>
    <s v="LETÍCIA"/>
  </r>
  <r>
    <n v="198476"/>
    <s v="KOY"/>
    <s v="9191802"/>
    <x v="98"/>
    <s v="BANCO SICREDI"/>
    <n v="9.19"/>
    <x v="69"/>
    <x v="69"/>
    <s v=""/>
    <x v="4"/>
    <s v="FINANCEIRO"/>
    <n v="0"/>
    <s v="LETÍCIA"/>
  </r>
  <r>
    <n v="198477"/>
    <s v="KAR"/>
    <s v="77717"/>
    <x v="99"/>
    <s v="QUIBRAS QUIMICA BRASILEIRA LTDA"/>
    <n v="131.5"/>
    <x v="45"/>
    <x v="45"/>
    <s v=""/>
    <x v="4"/>
    <s v="ADMINISTRATIVO"/>
    <n v="0"/>
    <s v="MYLENA"/>
  </r>
  <r>
    <n v="198478"/>
    <s v="KOY"/>
    <s v="2461802"/>
    <x v="98"/>
    <s v="BANCO SICREDI"/>
    <n v="2.46"/>
    <x v="69"/>
    <x v="69"/>
    <s v=""/>
    <x v="4"/>
    <s v="FINANCEIRO"/>
    <n v="0"/>
    <s v="LETÍCIA"/>
  </r>
  <r>
    <n v="198479"/>
    <s v="KOY"/>
    <s v="2371802"/>
    <x v="99"/>
    <s v="BANCO SICREDI"/>
    <n v="2.37"/>
    <x v="27"/>
    <x v="27"/>
    <s v=""/>
    <x v="8"/>
    <s v="FINANCEIRO"/>
    <n v="0"/>
    <s v="LETÍCIA"/>
  </r>
  <r>
    <n v="198480"/>
    <s v="FK"/>
    <s v="18201802"/>
    <x v="98"/>
    <s v="COOPERATIVA DE CRED.DE LIVRE ADMISSÃO DO NOROESTE"/>
    <n v="18.2"/>
    <x v="27"/>
    <x v="27"/>
    <s v=""/>
    <x v="8"/>
    <s v="FINANCEIRO"/>
    <n v="0"/>
    <s v="LETÍCIA"/>
  </r>
  <r>
    <n v="198481"/>
    <s v="FK"/>
    <s v="GIL1902"/>
    <x v="99"/>
    <s v="GILSON MATERIAIS DE CONSTRUÇÃO"/>
    <n v="160"/>
    <x v="25"/>
    <x v="25"/>
    <s v=""/>
    <x v="2"/>
    <s v="MANUTENÇÃO / TI"/>
    <n v="0"/>
    <s v="FÁBIO"/>
  </r>
  <r>
    <n v="198482"/>
    <s v="KAR"/>
    <s v="28403"/>
    <x v="99"/>
    <s v="REPRESER AFIAÇÕES E FERRAMENTA LTDA"/>
    <n v="830"/>
    <x v="38"/>
    <x v="38"/>
    <s v=""/>
    <x v="5"/>
    <s v="PRODUÇÃO"/>
    <n v="0"/>
    <s v="RAFAEL"/>
  </r>
  <r>
    <n v="198483"/>
    <s v="KAR"/>
    <s v="11529"/>
    <x v="99"/>
    <s v="REPRESER AFIAÇÕES E FERRAMENTA LTDA"/>
    <n v="1207.5"/>
    <x v="38"/>
    <x v="38"/>
    <s v=""/>
    <x v="5"/>
    <s v="PRODUÇÃO"/>
    <n v="0"/>
    <s v="RAFAEL"/>
  </r>
  <r>
    <n v="198484"/>
    <s v="FK"/>
    <s v="FM1802A"/>
    <x v="99"/>
    <s v="RODRIGUES &amp; LIMA FERRAGENS DE FERRAMENTAS LTDA - M"/>
    <n v="9"/>
    <x v="25"/>
    <x v="25"/>
    <s v="FERRAGENS GERAIS"/>
    <x v="2"/>
    <s v="MANUTENÇÃO / TI"/>
    <n v="0"/>
    <s v="FÁBIO"/>
  </r>
  <r>
    <n v="198485"/>
    <s v="KAR"/>
    <s v="155295"/>
    <x v="99"/>
    <s v="INNOVATIV IND. E COM. DE TECIDOS LTDA EPP"/>
    <n v="1740.96"/>
    <x v="55"/>
    <x v="55"/>
    <s v=""/>
    <x v="8"/>
    <s v="COMERCIAL"/>
    <n v="0"/>
    <s v="LETÍCIA"/>
  </r>
  <r>
    <n v="198486"/>
    <s v="KAR"/>
    <s v="1499"/>
    <x v="99"/>
    <s v="TEMPLUM COMERCIO DE MOVEIS LTDA EPP"/>
    <n v="100"/>
    <x v="55"/>
    <x v="55"/>
    <s v=""/>
    <x v="8"/>
    <s v="COMERCIAL"/>
    <n v="0"/>
    <s v="LETÍCIA"/>
  </r>
  <r>
    <n v="198487"/>
    <s v="KAR"/>
    <s v="205808"/>
    <x v="99"/>
    <s v="G.C.TEXTIL IMPORTACAO E COMERCIO DE TAPETES LTDA"/>
    <n v="2218.5"/>
    <x v="55"/>
    <x v="55"/>
    <s v=""/>
    <x v="8"/>
    <s v="COMERCIAL"/>
    <n v="0"/>
    <s v="LETÍCIA"/>
  </r>
  <r>
    <n v="198488"/>
    <s v="KAR"/>
    <s v="1046666"/>
    <x v="99"/>
    <s v="WILER KAR COM. DE DECORACOES LTDA"/>
    <n v="320.64999999999998"/>
    <x v="55"/>
    <x v="55"/>
    <s v=""/>
    <x v="8"/>
    <s v="COMERCIAL"/>
    <n v="0"/>
    <s v="LETÍCIA"/>
  </r>
  <r>
    <n v="198489"/>
    <s v="KAR"/>
    <s v="384601"/>
    <x v="99"/>
    <s v="QUAKER TEXTIL DO BRASIL LTDA"/>
    <n v="4611"/>
    <x v="55"/>
    <x v="55"/>
    <s v=""/>
    <x v="8"/>
    <s v="COMERCIAL"/>
    <n v="0"/>
    <s v="LETÍCIA"/>
  </r>
  <r>
    <n v="198490"/>
    <s v="FK"/>
    <s v="BATA1902"/>
    <x v="99"/>
    <s v="MARIA ANDREIA BUENO DE ALMEIDA BATAER"/>
    <n v="119.96"/>
    <x v="34"/>
    <x v="34"/>
    <s v=""/>
    <x v="6"/>
    <s v="COMERCIAL"/>
    <n v="0"/>
    <s v="LETÍCIA"/>
  </r>
  <r>
    <n v="198491"/>
    <s v="FK"/>
    <s v="BATA1902A"/>
    <x v="99"/>
    <s v="MARIA ANDREIA BUENO DE ALMEIDA BATAER"/>
    <n v="24"/>
    <x v="34"/>
    <x v="34"/>
    <s v=""/>
    <x v="6"/>
    <s v="COMERCIAL"/>
    <n v="0"/>
    <s v="LETÍCIA"/>
  </r>
  <r>
    <n v="198492"/>
    <s v="FK"/>
    <s v="BATA1902B"/>
    <x v="99"/>
    <s v="MARIA ANDREIA BUENO DE ALMEIDA BATAER"/>
    <n v="1655.04"/>
    <x v="34"/>
    <x v="34"/>
    <s v=""/>
    <x v="6"/>
    <s v="COMERCIAL"/>
    <n v="0"/>
    <s v="LETÍCIA"/>
  </r>
  <r>
    <n v="198493"/>
    <s v="FK"/>
    <s v="043"/>
    <x v="99"/>
    <s v="LIDIO RAMOS DE SOUZA"/>
    <n v="150"/>
    <x v="38"/>
    <x v="38"/>
    <s v=""/>
    <x v="5"/>
    <s v="PRODUÇÃO"/>
    <n v="0"/>
    <s v="RAFAEL"/>
  </r>
  <r>
    <n v="198494"/>
    <s v="FK"/>
    <s v="FWAMJV"/>
    <x v="99"/>
    <s v="TAM LINHAS AEREAS S/A."/>
    <n v="509.92"/>
    <x v="54"/>
    <x v="54"/>
    <s v=""/>
    <x v="6"/>
    <s v="COMERCIAL"/>
    <n v="0"/>
    <s v="LETÍCIA"/>
  </r>
  <r>
    <n v="198495"/>
    <s v="FK"/>
    <s v="LEA270326"/>
    <x v="99"/>
    <s v="GOL LINHAS AÉREAS INTELIGENTES"/>
    <n v="466.6"/>
    <x v="54"/>
    <x v="54"/>
    <s v=""/>
    <x v="6"/>
    <s v="COMERCIAL"/>
    <n v="0"/>
    <s v="LETÍCIA"/>
  </r>
  <r>
    <n v="198496"/>
    <s v="KAR"/>
    <s v="6909"/>
    <x v="77"/>
    <s v="SIMONETTI PIRES E SIMONETTI LTDA"/>
    <n v="540"/>
    <x v="46"/>
    <x v="46"/>
    <s v=""/>
    <x v="9"/>
    <s v="MANUTENÇÃO / TI"/>
    <n v="0"/>
    <s v="FÁBIO"/>
  </r>
  <r>
    <n v="198497"/>
    <s v="KAR"/>
    <s v="26071902"/>
    <x v="99"/>
    <s v="BANCO SICREDI"/>
    <n v="26.07"/>
    <x v="27"/>
    <x v="27"/>
    <s v=""/>
    <x v="8"/>
    <s v="FINANCEIRO"/>
    <n v="0"/>
    <s v="LETÍCIA"/>
  </r>
  <r>
    <n v="198498"/>
    <s v="KAR"/>
    <s v="373202"/>
    <x v="77"/>
    <s v="BANCO SICREDI"/>
    <n v="3.73"/>
    <x v="27"/>
    <x v="27"/>
    <s v=""/>
    <x v="8"/>
    <s v="FINANCEIRO"/>
    <n v="0"/>
    <s v="LETÍCIA"/>
  </r>
  <r>
    <n v="198499"/>
    <s v="KAR"/>
    <s v="8691902"/>
    <x v="99"/>
    <s v="BANCO SICREDI"/>
    <n v="8.69"/>
    <x v="29"/>
    <x v="29"/>
    <s v=""/>
    <x v="8"/>
    <s v="FINANCEIRO"/>
    <n v="0"/>
    <s v="LETÍCIA"/>
  </r>
  <r>
    <n v="198500"/>
    <s v="KAR"/>
    <s v="16152002"/>
    <x v="77"/>
    <s v="BANCO SICREDI"/>
    <n v="16.149999999999999"/>
    <x v="27"/>
    <x v="27"/>
    <s v=""/>
    <x v="8"/>
    <s v="FINANCEIRO"/>
    <n v="0"/>
    <s v="LETÍCIA"/>
  </r>
  <r>
    <n v="198501"/>
    <s v="KAR"/>
    <s v="1581902"/>
    <x v="99"/>
    <s v="BANCO SICREDI"/>
    <n v="1.58"/>
    <x v="27"/>
    <x v="27"/>
    <s v=""/>
    <x v="8"/>
    <s v="FINANCEIRO"/>
    <n v="0"/>
    <s v="LETÍCIA"/>
  </r>
  <r>
    <n v="198502"/>
    <s v="KAR"/>
    <s v="13322002"/>
    <x v="77"/>
    <s v="BANCO SICREDI"/>
    <n v="13.32"/>
    <x v="27"/>
    <x v="27"/>
    <s v=""/>
    <x v="8"/>
    <s v="FINANCEIRO"/>
    <n v="0"/>
    <s v="LETÍCIA"/>
  </r>
  <r>
    <n v="198503"/>
    <s v="FK"/>
    <s v="1901902"/>
    <x v="99"/>
    <s v="COOPERATIVA DE CRED.DE LIVRE ADMISSÃO DO NOROESTE"/>
    <n v="1.9"/>
    <x v="27"/>
    <x v="27"/>
    <s v=""/>
    <x v="8"/>
    <s v="FINANCEIRO"/>
    <n v="0"/>
    <s v="LETÍCIA"/>
  </r>
  <r>
    <n v="198536"/>
    <s v="KAR"/>
    <s v="461849"/>
    <x v="28"/>
    <s v="VMD MAQUINAS E FERRAMENTAS LTDA"/>
    <n v="440"/>
    <x v="38"/>
    <x v="38"/>
    <s v="PEÇAS DE FERRAMENTAS"/>
    <x v="5"/>
    <s v="PRODUÇÃO"/>
    <n v="0"/>
    <s v="RAFAEL"/>
  </r>
  <r>
    <n v="198537"/>
    <s v="FK"/>
    <s v="PET1902"/>
    <x v="77"/>
    <s v="ACT GUIRELLI"/>
    <n v="29"/>
    <x v="46"/>
    <x v="46"/>
    <s v=""/>
    <x v="9"/>
    <s v="MANUTENÇÃO / TI"/>
    <n v="0"/>
    <s v="FÁBIO"/>
  </r>
  <r>
    <n v="198538"/>
    <s v="FK"/>
    <s v="GM1702B"/>
    <x v="77"/>
    <s v="SIDNEI PAULO MILANI"/>
    <n v="444"/>
    <x v="31"/>
    <x v="31"/>
    <s v=""/>
    <x v="6"/>
    <s v="LOGÍSTICA"/>
    <n v="0"/>
    <s v="MYLENA"/>
  </r>
  <r>
    <n v="198543"/>
    <s v="KAR"/>
    <s v="1441"/>
    <x v="77"/>
    <s v="EXTINTORES ABC - EIRLI"/>
    <n v="900"/>
    <x v="46"/>
    <x v="46"/>
    <s v=""/>
    <x v="9"/>
    <s v="MANUTENÇÃO / TI"/>
    <n v="0"/>
    <s v="FÁBIO"/>
  </r>
  <r>
    <n v="198544"/>
    <s v="KAR"/>
    <s v="9863"/>
    <x v="77"/>
    <s v="INGACO COMERCIO DE FERRO E ACO"/>
    <n v="940"/>
    <x v="46"/>
    <x v="46"/>
    <s v=""/>
    <x v="9"/>
    <s v="MANUTENÇÃO / TI"/>
    <n v="0"/>
    <s v="FÁBIO"/>
  </r>
  <r>
    <n v="198545"/>
    <s v="KAR"/>
    <s v="37460"/>
    <x v="77"/>
    <s v="GVT REFORMAS E RECICLAGEM DE PNEUS LTDA"/>
    <n v="2100"/>
    <x v="31"/>
    <x v="31"/>
    <s v=""/>
    <x v="6"/>
    <s v="LOGÍSTICA"/>
    <n v="0"/>
    <s v="MYLENA"/>
  </r>
  <r>
    <n v="198546"/>
    <s v="FK"/>
    <s v="FM2002"/>
    <x v="77"/>
    <s v="RODRIGUES &amp; LIMA FERRAGENS DE FERRAMENTAS LTDA - M"/>
    <n v="22"/>
    <x v="30"/>
    <x v="30"/>
    <s v="FERRAGENS GERAIS"/>
    <x v="9"/>
    <s v="MANUTENÇÃO / TI"/>
    <n v="0"/>
    <s v="RAFAEL"/>
  </r>
  <r>
    <n v="198547"/>
    <s v="KAR"/>
    <s v="1453357"/>
    <x v="77"/>
    <s v="FERRAMENTAS GERAIS COMERCIO IMP DE FERRAM. E MAQUI"/>
    <n v="1036.76"/>
    <x v="38"/>
    <x v="38"/>
    <s v="FERRAGENS GERAIS"/>
    <x v="5"/>
    <s v="PRODUÇÃO"/>
    <n v="0"/>
    <s v="RAFAEL"/>
  </r>
  <r>
    <n v="198548"/>
    <s v="KAR"/>
    <s v="724342"/>
    <x v="49"/>
    <s v="AUTO POSTO SANTA TEREZINHA DE AVARE LTDA"/>
    <n v="793.5"/>
    <x v="37"/>
    <x v="37"/>
    <s v=""/>
    <x v="6"/>
    <s v="LOGÍSTICA"/>
    <n v="0"/>
    <s v="MYLENA"/>
  </r>
  <r>
    <n v="198549"/>
    <s v="KAR"/>
    <s v="724348"/>
    <x v="77"/>
    <s v="AUTO POSTO SANTA TEREZINHA DE AVARE LTDA"/>
    <n v="575"/>
    <x v="37"/>
    <x v="37"/>
    <s v=""/>
    <x v="6"/>
    <s v="LOGÍSTICA"/>
    <n v="0"/>
    <s v="MYLENA"/>
  </r>
  <r>
    <n v="198550"/>
    <s v="KAR"/>
    <s v="43608"/>
    <x v="77"/>
    <s v="JAW TRANSPORTES"/>
    <n v="127.37"/>
    <x v="48"/>
    <x v="48"/>
    <s v=""/>
    <x v="0"/>
    <s v="COMPRAS"/>
    <n v="0"/>
    <s v="MYLENA"/>
  </r>
  <r>
    <n v="198551"/>
    <s v="KAR"/>
    <s v="43521"/>
    <x v="3"/>
    <s v="JAW TRANSPORTES"/>
    <n v="110.53"/>
    <x v="48"/>
    <x v="48"/>
    <s v=""/>
    <x v="0"/>
    <s v="COMPRAS"/>
    <n v="0"/>
    <s v="MYLENA"/>
  </r>
  <r>
    <n v="198552"/>
    <s v="KAR"/>
    <s v="43486"/>
    <x v="3"/>
    <s v="JAW TRANSPORTES"/>
    <n v="116.65"/>
    <x v="48"/>
    <x v="48"/>
    <s v=""/>
    <x v="0"/>
    <s v="COMPRAS"/>
    <n v="0"/>
    <s v="MYLENA"/>
  </r>
  <r>
    <n v="198553"/>
    <s v="FK"/>
    <s v="GM2002"/>
    <x v="77"/>
    <s v="SIDNEI PAULO MILANI"/>
    <n v="91"/>
    <x v="31"/>
    <x v="31"/>
    <s v=""/>
    <x v="6"/>
    <s v="LOGÍSTICA"/>
    <n v="0"/>
    <s v="MYLENA"/>
  </r>
  <r>
    <n v="198554"/>
    <s v="KAR"/>
    <s v="821912002"/>
    <x v="77"/>
    <s v="BANCO SICREDI"/>
    <n v="821.91"/>
    <x v="27"/>
    <x v="27"/>
    <s v=""/>
    <x v="8"/>
    <s v="FINANCEIRO"/>
    <n v="0"/>
    <s v="LETÍCIA"/>
  </r>
  <r>
    <n v="198555"/>
    <s v="KAR"/>
    <s v="382622002"/>
    <x v="77"/>
    <s v="BANCO SICREDI"/>
    <n v="382.62"/>
    <x v="27"/>
    <x v="27"/>
    <s v=""/>
    <x v="8"/>
    <s v="FINANCEIRO"/>
    <n v="0"/>
    <s v="LETÍCIA"/>
  </r>
  <r>
    <n v="198556"/>
    <s v="KAR"/>
    <s v="CET2002"/>
    <x v="77"/>
    <s v="BANCO SICREDI"/>
    <n v="5246.38"/>
    <x v="29"/>
    <x v="29"/>
    <s v=""/>
    <x v="8"/>
    <s v="FINANCEIRO"/>
    <n v="0"/>
    <s v="LETÍCIA"/>
  </r>
  <r>
    <n v="198557"/>
    <s v="LAY"/>
    <s v="122332002"/>
    <x v="77"/>
    <s v="BANCO SICREDI"/>
    <n v="122.33"/>
    <x v="27"/>
    <x v="27"/>
    <s v=""/>
    <x v="8"/>
    <s v="FINANCEIRO"/>
    <n v="0"/>
    <s v="LETÍCIA"/>
  </r>
  <r>
    <n v="198558"/>
    <s v="LAY"/>
    <s v="141822002"/>
    <x v="77"/>
    <s v="BANCO SICREDI"/>
    <n v="141.82"/>
    <x v="27"/>
    <x v="27"/>
    <s v=""/>
    <x v="8"/>
    <s v="FINANCEIRO"/>
    <n v="0"/>
    <s v="LETÍCIA"/>
  </r>
  <r>
    <n v="198559"/>
    <s v="LAY"/>
    <s v="CET2002"/>
    <x v="77"/>
    <s v="BANCO SICREDI"/>
    <n v="732.4"/>
    <x v="29"/>
    <x v="29"/>
    <s v=""/>
    <x v="8"/>
    <s v="FINANCEIRO"/>
    <n v="0"/>
    <s v="LETÍCIA"/>
  </r>
  <r>
    <n v="198560"/>
    <s v="KAR"/>
    <s v="24042002"/>
    <x v="77"/>
    <s v="BANCO SICREDI"/>
    <n v="24.04"/>
    <x v="27"/>
    <x v="27"/>
    <s v=""/>
    <x v="8"/>
    <s v="FINANCEIRO"/>
    <n v="0"/>
    <s v="LETÍCIA"/>
  </r>
  <r>
    <n v="198561"/>
    <s v="KAR"/>
    <s v="17572002"/>
    <x v="77"/>
    <s v="BANCO SICREDI"/>
    <n v="17.57"/>
    <x v="27"/>
    <x v="27"/>
    <s v=""/>
    <x v="8"/>
    <s v="FINANCEIRO"/>
    <n v="0"/>
    <s v="LETÍCIA"/>
  </r>
  <r>
    <n v="198562"/>
    <s v="KAR"/>
    <s v="CET2002"/>
    <x v="77"/>
    <s v="BANCO SICREDI"/>
    <n v="147.26"/>
    <x v="29"/>
    <x v="29"/>
    <s v=""/>
    <x v="8"/>
    <s v="FINANCEIRO"/>
    <n v="0"/>
    <s v="LETÍCIA"/>
  </r>
  <r>
    <n v="198563"/>
    <s v="KOY"/>
    <s v="79002002"/>
    <x v="77"/>
    <s v="BANCO SICREDI"/>
    <n v="79"/>
    <x v="27"/>
    <x v="27"/>
    <s v=""/>
    <x v="8"/>
    <s v="FINANCEIRO"/>
    <n v="0"/>
    <s v="LETÍCIA"/>
  </r>
  <r>
    <n v="198565"/>
    <s v="FK"/>
    <s v="25218"/>
    <x v="77"/>
    <s v="AUTO POSTO GARPELLI LTDA."/>
    <n v="88.8"/>
    <x v="37"/>
    <x v="37"/>
    <s v=""/>
    <x v="6"/>
    <s v="LOGÍSTICA"/>
    <n v="0"/>
    <s v="MYLENA"/>
  </r>
  <r>
    <n v="198567"/>
    <s v="FK"/>
    <s v="NETO2002"/>
    <x v="77"/>
    <s v="CAMINHÃO - AYL-6E00"/>
    <n v="1684"/>
    <x v="41"/>
    <x v="41"/>
    <s v=""/>
    <x v="6"/>
    <s v="LOGÍSTICA"/>
    <n v="0"/>
    <s v="MYLENA"/>
  </r>
  <r>
    <n v="198568"/>
    <s v="KAR"/>
    <s v="6422002"/>
    <x v="77"/>
    <s v="BANCO SICREDI"/>
    <n v="6.42"/>
    <x v="27"/>
    <x v="27"/>
    <s v=""/>
    <x v="8"/>
    <s v="FINANCEIRO"/>
    <n v="0"/>
    <s v="LETÍCIA"/>
  </r>
  <r>
    <n v="198569"/>
    <s v="KAR"/>
    <s v="406"/>
    <x v="12"/>
    <s v="BANCO SICREDI"/>
    <n v="4.0599999999999996"/>
    <x v="27"/>
    <x v="27"/>
    <s v=""/>
    <x v="8"/>
    <s v="FINANCEIRO"/>
    <n v="0"/>
    <s v="LETÍCIA"/>
  </r>
  <r>
    <n v="198570"/>
    <s v="KAR"/>
    <s v="0792002"/>
    <x v="77"/>
    <s v="BANCO SICREDI"/>
    <n v="0.79"/>
    <x v="28"/>
    <x v="28"/>
    <s v=""/>
    <x v="8"/>
    <s v="FINANCEIRO"/>
    <n v="0"/>
    <s v="LETÍCIA"/>
  </r>
  <r>
    <n v="198571"/>
    <s v="KAR"/>
    <s v="22162306"/>
    <x v="12"/>
    <s v="BANCO SICREDI"/>
    <n v="22.16"/>
    <x v="29"/>
    <x v="29"/>
    <s v=""/>
    <x v="8"/>
    <s v="FINANCEIRO"/>
    <n v="0"/>
    <s v="LETÍCIA"/>
  </r>
  <r>
    <n v="198572"/>
    <s v="KAR"/>
    <s v="4752302"/>
    <x v="12"/>
    <s v="BANCO SICREDI"/>
    <n v="4.75"/>
    <x v="28"/>
    <x v="28"/>
    <s v=""/>
    <x v="8"/>
    <s v="FINANCEIRO"/>
    <n v="0"/>
    <s v="LETÍCIA"/>
  </r>
  <r>
    <n v="198573"/>
    <s v="FK"/>
    <s v="GIL2302"/>
    <x v="12"/>
    <s v="GILSON MATERIAIS DE CONSTRUÇÃO"/>
    <n v="470"/>
    <x v="25"/>
    <x v="25"/>
    <s v=""/>
    <x v="2"/>
    <s v="MANUTENÇÃO / TI"/>
    <n v="0"/>
    <s v="FÁBIO"/>
  </r>
  <r>
    <n v="198574"/>
    <s v="FK"/>
    <s v="NIS2002A"/>
    <x v="12"/>
    <s v="CASA DE FERRAGEM NISHIMOTO"/>
    <n v="32"/>
    <x v="31"/>
    <x v="31"/>
    <s v="FERRAGENS GERAIS"/>
    <x v="6"/>
    <s v="LOGÍSTICA"/>
    <n v="0"/>
    <s v="MYLENA"/>
  </r>
  <r>
    <n v="198575"/>
    <s v="FK"/>
    <s v="NIS2102A"/>
    <x v="12"/>
    <s v="CASA DE FERRAGEM NISHIMOTO"/>
    <n v="32"/>
    <x v="25"/>
    <x v="25"/>
    <s v="FERRAGENS GERAIS"/>
    <x v="2"/>
    <s v="MANUTENÇÃO / TI"/>
    <n v="0"/>
    <s v="FÁBIO"/>
  </r>
  <r>
    <n v="198576"/>
    <s v="FK"/>
    <s v="FM2102A"/>
    <x v="12"/>
    <s v="RODRIGUES &amp; LIMA FERRAGENS DE FERRAMENTAS LTDA - M"/>
    <n v="3.2"/>
    <x v="25"/>
    <x v="25"/>
    <s v="FERRAGENS GERAIS"/>
    <x v="2"/>
    <s v="MANUTENÇÃO / TI"/>
    <n v="0"/>
    <s v="FÁBIO"/>
  </r>
  <r>
    <n v="198577"/>
    <s v="FK"/>
    <s v="00699"/>
    <x v="80"/>
    <s v="DELTA COMERCIO DE MAQUINAS DE COSTURA EIRELI - ME"/>
    <n v="442"/>
    <x v="24"/>
    <x v="24"/>
    <s v="MAQUINAS DE COSTURA"/>
    <x v="7"/>
    <s v="MANUTENÇÃO / TI"/>
    <n v="0"/>
    <s v="FÁBIO"/>
  </r>
  <r>
    <n v="198578"/>
    <s v="FK"/>
    <s v="NIS2302"/>
    <x v="12"/>
    <s v="CASA DE FERRAGEM NISHIMOTO"/>
    <n v="89.8"/>
    <x v="25"/>
    <x v="25"/>
    <s v="FERRAGENS GERAIS"/>
    <x v="2"/>
    <s v="MANUTENÇÃO / TI"/>
    <n v="0"/>
    <s v="FÁBIO"/>
  </r>
  <r>
    <n v="198579"/>
    <s v="FK"/>
    <s v="FM2302"/>
    <x v="12"/>
    <s v="RODRIGUES &amp; LIMA FERRAGENS DE FERRAMENTAS LTDA - M"/>
    <n v="72.599999999999994"/>
    <x v="25"/>
    <x v="25"/>
    <s v="FERRAGENS GERAIS"/>
    <x v="2"/>
    <s v="MANUTENÇÃO / TI"/>
    <n v="0"/>
    <s v="FÁBIO"/>
  </r>
  <r>
    <n v="198581"/>
    <s v="KAR"/>
    <s v="13630"/>
    <x v="12"/>
    <s v="EDSON JOSE DE OLIVEIRA - MARINGA"/>
    <n v="214"/>
    <x v="30"/>
    <x v="30"/>
    <s v="MANUTENÇÕES FERRAMENTAS"/>
    <x v="9"/>
    <s v="MANUTENÇÃO / TI"/>
    <n v="0"/>
    <s v="RAFAEL"/>
  </r>
  <r>
    <n v="198582"/>
    <s v="KAR"/>
    <s v="40637"/>
    <x v="12"/>
    <s v="EDSON JOSE DE OLIVEIRA - MARINGA"/>
    <n v="821"/>
    <x v="30"/>
    <x v="30"/>
    <s v="MANUTENÇÕES FERRAMENTAS"/>
    <x v="9"/>
    <s v="MANUTENÇÃO / TI"/>
    <n v="0"/>
    <s v="RAFAEL"/>
  </r>
  <r>
    <n v="198583"/>
    <s v="KAR"/>
    <s v="CET2302"/>
    <x v="12"/>
    <s v="BANCO SICREDI"/>
    <n v="1540.11"/>
    <x v="29"/>
    <x v="29"/>
    <s v=""/>
    <x v="8"/>
    <s v="FINANCEIRO"/>
    <n v="0"/>
    <s v="LETÍCIA"/>
  </r>
  <r>
    <n v="198584"/>
    <s v="KAR"/>
    <s v="252072302"/>
    <x v="12"/>
    <s v="BANCO SICREDI"/>
    <n v="252.07"/>
    <x v="27"/>
    <x v="27"/>
    <s v=""/>
    <x v="8"/>
    <s v="FINANCEIRO"/>
    <n v="0"/>
    <s v="LETÍCIA"/>
  </r>
  <r>
    <n v="198585"/>
    <s v="KAR"/>
    <s v="229552302"/>
    <x v="12"/>
    <s v="BANCO SICREDI"/>
    <n v="229.55"/>
    <x v="27"/>
    <x v="27"/>
    <s v=""/>
    <x v="8"/>
    <s v="FINANCEIRO"/>
    <n v="0"/>
    <s v="LETÍCIA"/>
  </r>
  <r>
    <n v="198586"/>
    <s v="FK"/>
    <s v="DESENVOLV"/>
    <x v="12"/>
    <s v="EDUARDO MORALES JACYNTHO"/>
    <n v="4000"/>
    <x v="26"/>
    <x v="26"/>
    <s v=""/>
    <x v="3"/>
    <s v="FINANCEIRO"/>
    <n v="0"/>
    <s v="LETÍCIA"/>
  </r>
  <r>
    <n v="198587"/>
    <s v="KAR"/>
    <s v="547682"/>
    <x v="12"/>
    <s v="ELETROLUZ MATERIAIS ELETRICOS LTDA."/>
    <n v="310"/>
    <x v="25"/>
    <x v="25"/>
    <s v=""/>
    <x v="2"/>
    <s v="MANUTENÇÃO / TI"/>
    <n v="0"/>
    <s v="FÁBIO"/>
  </r>
  <r>
    <n v="198588"/>
    <s v="KOX"/>
    <s v="MAESTRIA"/>
    <x v="12"/>
    <s v="KOYO IND E COMERCIO DE MOVEIS  LTDA"/>
    <n v="1522.58"/>
    <x v="20"/>
    <x v="20"/>
    <s v=""/>
    <x v="7"/>
    <s v="DIRETORIA"/>
    <n v="0"/>
    <s v="FÁBIO"/>
  </r>
  <r>
    <n v="198590"/>
    <s v="FK"/>
    <s v="SILVI2002"/>
    <x v="12"/>
    <s v="SILVIA COLLI JORDÃO PRESTES"/>
    <n v="12.9"/>
    <x v="23"/>
    <x v="23"/>
    <s v=""/>
    <x v="6"/>
    <s v="COMERCIAL"/>
    <n v="0"/>
    <s v="LETÍCIA"/>
  </r>
  <r>
    <n v="198591"/>
    <s v="FK"/>
    <s v="SILV2302"/>
    <x v="12"/>
    <s v="SILVIA COLLI JORDÃO PRESTES"/>
    <n v="22"/>
    <x v="23"/>
    <x v="23"/>
    <s v=""/>
    <x v="6"/>
    <s v="COMERCIAL"/>
    <n v="0"/>
    <s v="LETÍCIA"/>
  </r>
  <r>
    <n v="198592"/>
    <s v="FK"/>
    <s v="SILV2002"/>
    <x v="12"/>
    <s v="SILVIA COLLI JORDÃO PRESTES"/>
    <n v="140"/>
    <x v="23"/>
    <x v="23"/>
    <s v=""/>
    <x v="6"/>
    <s v="COMERCIAL"/>
    <n v="0"/>
    <s v="LETÍCIA"/>
  </r>
  <r>
    <n v="198593"/>
    <s v="FK"/>
    <s v="FOTOS"/>
    <x v="12"/>
    <s v="PAULO SERGIO DE SOUZA"/>
    <n v="2913"/>
    <x v="14"/>
    <x v="14"/>
    <s v=""/>
    <x v="6"/>
    <s v="COMERCIAL"/>
    <n v="0"/>
    <s v="THAIS"/>
  </r>
  <r>
    <n v="198594"/>
    <s v="FK"/>
    <s v="EST MATTE"/>
    <x v="12"/>
    <s v="MARCOS LUKENCHUKE"/>
    <n v="200"/>
    <x v="26"/>
    <x v="26"/>
    <s v=""/>
    <x v="3"/>
    <s v="FINANCEIRO"/>
    <n v="0"/>
    <s v="LETÍCIA"/>
  </r>
  <r>
    <n v="198595"/>
    <s v="FK"/>
    <s v="EST SENCI"/>
    <x v="12"/>
    <s v="MARCOS LUKENCHUKE"/>
    <n v="200"/>
    <x v="26"/>
    <x v="26"/>
    <s v=""/>
    <x v="3"/>
    <s v="FINANCEIRO"/>
    <n v="0"/>
    <s v="LETÍCIA"/>
  </r>
  <r>
    <n v="198596"/>
    <s v="FK"/>
    <s v="POLT BONS"/>
    <x v="12"/>
    <s v="MARCOS LUKENCHUKE"/>
    <n v="100"/>
    <x v="26"/>
    <x v="26"/>
    <s v=""/>
    <x v="3"/>
    <s v="FINANCEIRO"/>
    <n v="0"/>
    <s v="LETÍCIA"/>
  </r>
  <r>
    <n v="198598"/>
    <s v="FK"/>
    <s v="FEV230226"/>
    <x v="12"/>
    <s v="SUELY KAY KATO"/>
    <n v="9160"/>
    <x v="15"/>
    <x v="15"/>
    <s v=""/>
    <x v="7"/>
    <s v="DIRETORIA"/>
    <n v="0"/>
    <s v="FÁBIO"/>
  </r>
  <r>
    <n v="198599"/>
    <s v="FK"/>
    <s v="FEV230226"/>
    <x v="12"/>
    <s v="FABIO HIROMITSU KATO"/>
    <n v="1000"/>
    <x v="15"/>
    <x v="15"/>
    <s v=""/>
    <x v="7"/>
    <s v="DIRETORIA"/>
    <n v="0"/>
    <s v="FÁBIO"/>
  </r>
  <r>
    <n v="198600"/>
    <s v="KOY"/>
    <s v="FEV230226"/>
    <x v="12"/>
    <s v="RAFAEL KOSSEI KATO"/>
    <n v="6600"/>
    <x v="15"/>
    <x v="15"/>
    <s v=""/>
    <x v="7"/>
    <s v="DIRETORIA"/>
    <n v="0"/>
    <s v="FÁBIO"/>
  </r>
  <r>
    <n v="198601"/>
    <s v="LAY"/>
    <s v="FEV230226"/>
    <x v="12"/>
    <s v="MYLENA NARIE KATO BRIGANTINI"/>
    <n v="4200"/>
    <x v="15"/>
    <x v="15"/>
    <s v=""/>
    <x v="7"/>
    <s v="DIRETORIA"/>
    <n v="0"/>
    <s v="FÁBIO"/>
  </r>
  <r>
    <n v="198602"/>
    <s v="FK"/>
    <s v="ACA2302"/>
    <x v="100"/>
    <s v="MARCOS ACACIO VALERIO"/>
    <n v="70"/>
    <x v="30"/>
    <x v="30"/>
    <s v="MAQUINAS DE COSTURA"/>
    <x v="9"/>
    <s v="MANUTENÇÃO / TI"/>
    <n v="0"/>
    <s v="RAFAEL"/>
  </r>
  <r>
    <n v="198603"/>
    <s v="KAR"/>
    <s v="19752302"/>
    <x v="12"/>
    <s v="BANCO SICREDI"/>
    <n v="19.75"/>
    <x v="27"/>
    <x v="27"/>
    <s v=""/>
    <x v="8"/>
    <s v="FINANCEIRO"/>
    <n v="0"/>
    <s v="LETÍCIA"/>
  </r>
  <r>
    <n v="198604"/>
    <s v="KAR"/>
    <s v="1752402"/>
    <x v="100"/>
    <s v="BANCO SICREDI"/>
    <n v="1.75"/>
    <x v="27"/>
    <x v="27"/>
    <s v=""/>
    <x v="8"/>
    <s v="FINANCEIRO"/>
    <n v="0"/>
    <s v="LETÍCIA"/>
  </r>
  <r>
    <n v="198605"/>
    <s v="LAY"/>
    <s v="0792302"/>
    <x v="12"/>
    <s v="BANCO SICREDI"/>
    <n v="0.79"/>
    <x v="27"/>
    <x v="27"/>
    <s v=""/>
    <x v="8"/>
    <s v="FINANCEIRO"/>
    <n v="0"/>
    <s v="LETÍCIA"/>
  </r>
  <r>
    <n v="198606"/>
    <s v="KOY"/>
    <s v="0792302"/>
    <x v="12"/>
    <s v="BANCO SICREDI"/>
    <n v="0.79"/>
    <x v="27"/>
    <x v="27"/>
    <s v=""/>
    <x v="8"/>
    <s v="FINANCEIRO"/>
    <n v="0"/>
    <s v="LETÍCIA"/>
  </r>
  <r>
    <n v="198607"/>
    <s v="FK"/>
    <s v="3802402"/>
    <x v="100"/>
    <s v="COOPERATIVA DE CRED.DE LIVRE ADMISSÃO DO NOROESTE"/>
    <n v="3.8"/>
    <x v="27"/>
    <x v="27"/>
    <s v=""/>
    <x v="8"/>
    <s v="FINANCEIRO"/>
    <n v="0"/>
    <s v="LETÍCIA"/>
  </r>
  <r>
    <n v="198608"/>
    <s v="KAR"/>
    <s v="338470"/>
    <x v="100"/>
    <s v="EXPRESSO SAO MIGUEL S/A"/>
    <n v="165.34"/>
    <x v="48"/>
    <x v="48"/>
    <s v=""/>
    <x v="0"/>
    <s v="COMPRAS"/>
    <n v="0"/>
    <s v="MYLENA"/>
  </r>
  <r>
    <n v="198611"/>
    <s v="KAR"/>
    <s v="96491"/>
    <x v="100"/>
    <s v="EXPRESSO SAO MIGUEL LTDA"/>
    <n v="289.64999999999998"/>
    <x v="30"/>
    <x v="30"/>
    <s v="SERVIÇOS FRETE"/>
    <x v="9"/>
    <s v="MANUTENÇÃO / TI"/>
    <n v="0"/>
    <s v="RAFAEL"/>
  </r>
  <r>
    <n v="198612"/>
    <s v="FK"/>
    <s v="LEAND2002"/>
    <x v="77"/>
    <s v="CAMINHAO - AYL-5F59"/>
    <n v="1190"/>
    <x v="41"/>
    <x v="41"/>
    <s v=""/>
    <x v="6"/>
    <s v="LOGÍSTICA"/>
    <n v="0"/>
    <s v="MYLENA"/>
  </r>
  <r>
    <n v="198613"/>
    <s v="FK"/>
    <s v="75597"/>
    <x v="77"/>
    <s v="COMERCIO DE COMBUSTIVEIS TBM LTDA."/>
    <n v="2344.2800000000002"/>
    <x v="37"/>
    <x v="37"/>
    <s v=""/>
    <x v="6"/>
    <s v="LOGÍSTICA"/>
    <n v="0"/>
    <s v="MYLENA"/>
  </r>
  <r>
    <n v="198615"/>
    <s v="FK"/>
    <s v="FM2402"/>
    <x v="100"/>
    <s v="RODRIGUES &amp; LIMA FERRAGENS DE FERRAMENTAS LTDA - M"/>
    <n v="74.75"/>
    <x v="25"/>
    <x v="25"/>
    <s v="FERRAGENS GERAIS"/>
    <x v="2"/>
    <s v="MANUTENÇÃO / TI"/>
    <n v="0"/>
    <s v="FÁBIO"/>
  </r>
  <r>
    <n v="198616"/>
    <s v="FK"/>
    <s v="SODA1802"/>
    <x v="98"/>
    <s v="CAMINHAO BEM-9J26 "/>
    <n v="42.9"/>
    <x v="41"/>
    <x v="41"/>
    <s v=""/>
    <x v="6"/>
    <s v="LOGÍSTICA"/>
    <n v="0"/>
    <s v="MYLENA"/>
  </r>
  <r>
    <n v="198617"/>
    <s v="KAR"/>
    <s v="VEG0226A"/>
    <x v="100"/>
    <s v="VEGAS CARD DO BRASIL CARTOES DE CREDITO LTDA"/>
    <n v="925"/>
    <x v="59"/>
    <x v="59"/>
    <s v=""/>
    <x v="7"/>
    <s v="DH"/>
    <n v="0"/>
    <s v="RAFAEL"/>
  </r>
  <r>
    <n v="198618"/>
    <s v="KAR"/>
    <s v="VEG0226C"/>
    <x v="100"/>
    <s v="VEGAS CARD DO BRASIL CARTOES DE CREDITO LTDA"/>
    <n v="750"/>
    <x v="62"/>
    <x v="62"/>
    <s v=""/>
    <x v="9"/>
    <s v="DH"/>
    <s v="CUSTO MÃO DE OBRA DIRETA"/>
    <s v="RAFAEL"/>
  </r>
  <r>
    <n v="198619"/>
    <s v="KAR"/>
    <s v="VEG0226M"/>
    <x v="100"/>
    <s v="VEGAS CARD DO BRASIL CARTOES DE CREDITO LTDA"/>
    <n v="2375"/>
    <x v="60"/>
    <x v="60"/>
    <s v=""/>
    <x v="5"/>
    <s v="DH"/>
    <s v="CUSTO MÃO DE OBRA DIRETA"/>
    <s v="RAFAEL"/>
  </r>
  <r>
    <n v="198620"/>
    <s v="KAR"/>
    <s v="PREM0226C"/>
    <x v="58"/>
    <s v="VEGAS CARD DO BRASIL CARTOES DE CREDITO LTDA"/>
    <n v="510"/>
    <x v="62"/>
    <x v="62"/>
    <s v=""/>
    <x v="9"/>
    <s v="DH"/>
    <s v="CUSTO MÃO DE OBRA DIRETA"/>
    <s v="RAFAEL"/>
  </r>
  <r>
    <n v="198621"/>
    <s v="KAR"/>
    <s v="PREM0226M"/>
    <x v="58"/>
    <s v="VEGAS CARD DO BRASIL CARTOES DE CREDITO LTDA"/>
    <n v="831.3"/>
    <x v="60"/>
    <x v="60"/>
    <s v=""/>
    <x v="5"/>
    <s v="DH"/>
    <s v="CUSTO MÃO DE OBRA DIRETA"/>
    <s v="RAFAEL"/>
  </r>
  <r>
    <n v="198622"/>
    <s v="LAY"/>
    <s v="PREM0226C"/>
    <x v="58"/>
    <s v="VEGAS CARD DO BRASIL CARTOES DE CREDITO LTDA"/>
    <n v="400"/>
    <x v="62"/>
    <x v="62"/>
    <s v=""/>
    <x v="9"/>
    <s v="DH"/>
    <s v="CUSTO MÃO DE OBRA DIRETA"/>
    <s v="RAFAEL"/>
  </r>
  <r>
    <n v="198623"/>
    <s v="LAY"/>
    <s v="PREM0226M"/>
    <x v="58"/>
    <s v="VEGAS CARD DO BRASIL CARTOES DE CREDITO LTDA"/>
    <n v="900"/>
    <x v="60"/>
    <x v="60"/>
    <s v=""/>
    <x v="5"/>
    <s v="DH"/>
    <s v="CUSTO MÃO DE OBRA DIRETA"/>
    <s v="RAFAEL"/>
  </r>
  <r>
    <n v="198624"/>
    <s v="LAY"/>
    <s v="VEG0226A"/>
    <x v="100"/>
    <s v="VEGAS CARD DO BRASIL CARTOES DE CREDITO LTDA"/>
    <n v="1650"/>
    <x v="59"/>
    <x v="59"/>
    <s v=""/>
    <x v="7"/>
    <s v="DH"/>
    <n v="0"/>
    <s v="RAFAEL"/>
  </r>
  <r>
    <n v="198625"/>
    <s v="LAY"/>
    <s v="VEG0226C"/>
    <x v="100"/>
    <s v="VEGAS CARD DO BRASIL CARTOES DE CREDITO LTDA"/>
    <n v="450"/>
    <x v="62"/>
    <x v="62"/>
    <s v=""/>
    <x v="9"/>
    <s v="DH"/>
    <s v="CUSTO MÃO DE OBRA DIRETA"/>
    <s v="RAFAEL"/>
  </r>
  <r>
    <n v="198626"/>
    <s v="LAY"/>
    <s v="VEG0226"/>
    <x v="100"/>
    <s v="VEGAS CARD DO BRASIL CARTOES DE CREDITO LTDA"/>
    <n v="3440"/>
    <x v="60"/>
    <x v="60"/>
    <s v=""/>
    <x v="5"/>
    <s v="DH"/>
    <s v="CUSTO MÃO DE OBRA DIRETA"/>
    <s v="RAFAEL"/>
  </r>
  <r>
    <n v="198627"/>
    <s v="FK"/>
    <s v="687799"/>
    <x v="99"/>
    <s v="AUTO POSTO VIAIS"/>
    <n v="44.28"/>
    <x v="43"/>
    <x v="43"/>
    <s v=""/>
    <x v="4"/>
    <s v="LOGÍSTICA"/>
    <n v="0"/>
    <s v="LETÍCIA"/>
  </r>
  <r>
    <n v="198628"/>
    <s v="FK"/>
    <s v="687800"/>
    <x v="99"/>
    <s v="AUTO POSTO VIAIS"/>
    <n v="636.61"/>
    <x v="37"/>
    <x v="37"/>
    <s v=""/>
    <x v="6"/>
    <s v="LOGÍSTICA"/>
    <n v="0"/>
    <s v="MYLENA"/>
  </r>
  <r>
    <n v="198629"/>
    <s v="KOY"/>
    <s v="VEG0226A"/>
    <x v="100"/>
    <s v="VEGAS CARD DO BRASIL CARTOES DE CREDITO LTDA"/>
    <n v="450"/>
    <x v="59"/>
    <x v="59"/>
    <s v=""/>
    <x v="7"/>
    <s v="DH"/>
    <n v="0"/>
    <s v="RAFAEL"/>
  </r>
  <r>
    <n v="198630"/>
    <s v="KOY"/>
    <s v="VEG0226C"/>
    <x v="100"/>
    <s v="VEGAS CARD DO BRASIL CARTOES DE CREDITO LTDA"/>
    <n v="150"/>
    <x v="62"/>
    <x v="62"/>
    <s v=""/>
    <x v="9"/>
    <s v="DH"/>
    <s v="CUSTO MÃO DE OBRA DIRETA"/>
    <s v="RAFAEL"/>
  </r>
  <r>
    <n v="198631"/>
    <s v="FK"/>
    <s v="SODA1902"/>
    <x v="99"/>
    <s v="CAMINHÃO / BEH-6E00"/>
    <n v="30"/>
    <x v="41"/>
    <x v="41"/>
    <s v=""/>
    <x v="6"/>
    <s v="LOGÍSTICA"/>
    <n v="0"/>
    <s v="MYLENA"/>
  </r>
  <r>
    <n v="198632"/>
    <s v="KOY"/>
    <s v="VEG0226M"/>
    <x v="100"/>
    <s v="VEGAS CARD DO BRASIL CARTOES DE CREDITO LTDA"/>
    <n v="1035"/>
    <x v="60"/>
    <x v="60"/>
    <s v=""/>
    <x v="5"/>
    <s v="DH"/>
    <s v="CUSTO MÃO DE OBRA DIRETA"/>
    <s v="RAFAEL"/>
  </r>
  <r>
    <n v="198633"/>
    <s v="FK"/>
    <s v="4735"/>
    <x v="100"/>
    <s v="COMERCIO DE COMBUSTIVEIS TBM LTDA."/>
    <n v="597.73"/>
    <x v="37"/>
    <x v="37"/>
    <s v=""/>
    <x v="6"/>
    <s v="LOGÍSTICA"/>
    <n v="0"/>
    <s v="MYLENA"/>
  </r>
  <r>
    <n v="198634"/>
    <s v="KOY"/>
    <s v="PREM0226C"/>
    <x v="58"/>
    <s v="VEGAS CARD DO BRASIL CARTOES DE CREDITO LTDA"/>
    <n v="200"/>
    <x v="62"/>
    <x v="62"/>
    <s v=""/>
    <x v="9"/>
    <s v="DH"/>
    <s v="CUSTO MÃO DE OBRA DIRETA"/>
    <s v="RAFAEL"/>
  </r>
  <r>
    <n v="198635"/>
    <s v="KAR"/>
    <s v="EXAM0226"/>
    <x v="100"/>
    <s v="WORKS SEGURANÇA E MEDICINA DO TRABALHO LTDA"/>
    <n v="390"/>
    <x v="73"/>
    <x v="73"/>
    <s v=""/>
    <x v="5"/>
    <s v="DH"/>
    <s v="CUSTO MÃO DE OBRA DIRETA"/>
    <s v="RAFAEL"/>
  </r>
  <r>
    <n v="198636"/>
    <s v="KAR"/>
    <s v="15FER26"/>
    <x v="100"/>
    <s v="QUEREN FRANCISCA DA SILVA"/>
    <n v="1694.44"/>
    <x v="72"/>
    <x v="72"/>
    <s v=""/>
    <x v="5"/>
    <s v="DH"/>
    <s v="CUSTO MÃO DE OBRA DIRETA"/>
    <s v="RAFAEL"/>
  </r>
  <r>
    <n v="198637"/>
    <s v="KAR"/>
    <s v="42525"/>
    <x v="99"/>
    <s v="TRANS APUCARANA TRANSPORTES RODOVIARIOS LTDA"/>
    <n v="105.95"/>
    <x v="48"/>
    <x v="48"/>
    <s v="SERVIÇOS FRETE"/>
    <x v="0"/>
    <s v="COMPRAS"/>
    <n v="0"/>
    <s v="MYLENA"/>
  </r>
  <r>
    <n v="198638"/>
    <s v="KAR"/>
    <s v="42033"/>
    <x v="98"/>
    <s v="TRANS APUCARANA TRANSPORTES RODOVIARIOS LTDA"/>
    <n v="130.47"/>
    <x v="48"/>
    <x v="48"/>
    <s v="SERVIÇOS FRETE"/>
    <x v="0"/>
    <s v="COMPRAS"/>
    <n v="0"/>
    <s v="MYLENA"/>
  </r>
  <r>
    <n v="198639"/>
    <s v="KAR"/>
    <s v="3644168"/>
    <x v="77"/>
    <s v="EXPRESSO SAO MIGUEL LTDA"/>
    <n v="167.73"/>
    <x v="48"/>
    <x v="48"/>
    <s v="SERVIÇOS FRETE"/>
    <x v="0"/>
    <s v="COMPRAS"/>
    <n v="0"/>
    <s v="MYLENA"/>
  </r>
  <r>
    <n v="198640"/>
    <s v="KAR"/>
    <s v="43020"/>
    <x v="77"/>
    <s v="TRANS APUCARANA TRANSPORTES RODOVIARIOS LTDA"/>
    <n v="110.15"/>
    <x v="48"/>
    <x v="48"/>
    <s v="SERVIÇOS FRETE"/>
    <x v="0"/>
    <s v="COMPRAS"/>
    <n v="0"/>
    <s v="MYLENA"/>
  </r>
  <r>
    <n v="198641"/>
    <s v="KAR"/>
    <s v="43024"/>
    <x v="77"/>
    <s v="TRANS APUCARANA TRANSPORTES RODOVIARIOS LTDA"/>
    <n v="102.11"/>
    <x v="48"/>
    <x v="48"/>
    <s v="SERVIÇOS FRETE"/>
    <x v="0"/>
    <s v="COMPRAS"/>
    <n v="0"/>
    <s v="MYLENA"/>
  </r>
  <r>
    <n v="198642"/>
    <s v="KAR"/>
    <s v="43647"/>
    <x v="99"/>
    <s v="EXPRESSO SAO MIGUEL LTDA"/>
    <n v="182.73"/>
    <x v="48"/>
    <x v="48"/>
    <s v="SERVIÇOS FRETE"/>
    <x v="0"/>
    <s v="COMPRAS"/>
    <n v="0"/>
    <s v="MYLENA"/>
  </r>
  <r>
    <n v="198643"/>
    <s v="FK"/>
    <s v="EVAN2302"/>
    <x v="100"/>
    <s v="EVANDRO CASSIO DOS SANTOS"/>
    <n v="250"/>
    <x v="31"/>
    <x v="31"/>
    <s v=""/>
    <x v="6"/>
    <s v="LOGÍSTICA"/>
    <n v="0"/>
    <s v="MYLENA"/>
  </r>
  <r>
    <n v="198644"/>
    <s v="KAR"/>
    <s v="3927872"/>
    <x v="100"/>
    <s v="EXPRESSO SAO MIGUEL LTDA"/>
    <n v="162.6"/>
    <x v="48"/>
    <x v="48"/>
    <s v="SERVIÇOS FRETE"/>
    <x v="0"/>
    <s v="COMPRAS"/>
    <n v="0"/>
    <s v="MYLENA"/>
  </r>
  <r>
    <n v="198645"/>
    <s v="KOY"/>
    <s v="HOTELMAES"/>
    <x v="100"/>
    <s v="KOYO IND E COMERCIO DE MOVEIS  LTDA"/>
    <n v="1309.68"/>
    <x v="20"/>
    <x v="20"/>
    <s v=""/>
    <x v="7"/>
    <s v="DIRETORIA"/>
    <n v="0"/>
    <s v="FÁBIO"/>
  </r>
  <r>
    <n v="198646"/>
    <s v="FK"/>
    <s v="75753"/>
    <x v="12"/>
    <s v="COMERCIO DE COMBUSTIVEIS TBM LTDA."/>
    <n v="90.91"/>
    <x v="43"/>
    <x v="43"/>
    <s v=""/>
    <x v="4"/>
    <s v="LOGÍSTICA"/>
    <n v="0"/>
    <s v="LETÍCIA"/>
  </r>
  <r>
    <n v="198648"/>
    <s v="KOY"/>
    <s v="FEV2026"/>
    <x v="30"/>
    <s v="COPEL DISTRIBUICAO S.A"/>
    <n v="91.95"/>
    <x v="33"/>
    <x v="33"/>
    <s v=""/>
    <x v="4"/>
    <s v="FINANCEIRO"/>
    <n v="0"/>
    <s v="LETÍCIA"/>
  </r>
  <r>
    <n v="198649"/>
    <s v="FK"/>
    <s v="JAN/2026"/>
    <x v="16"/>
    <s v="ANDRE FELIPE CARDOSO CANGUÇÚ"/>
    <n v="225"/>
    <x v="53"/>
    <x v="53"/>
    <s v=""/>
    <x v="6"/>
    <s v="COMERCIAL"/>
    <n v="0"/>
    <s v="LETÍCIA"/>
  </r>
  <r>
    <n v="198650"/>
    <s v="KAR"/>
    <s v="01-15FE26"/>
    <x v="100"/>
    <s v="ANA VERA ANDRADE CUNHA"/>
    <n v="593.64"/>
    <x v="47"/>
    <x v="47"/>
    <s v=""/>
    <x v="6"/>
    <s v="COMERCIAL"/>
    <n v="0"/>
    <s v="LETÍCIA"/>
  </r>
  <r>
    <n v="198651"/>
    <s v="KAR"/>
    <s v="1455123"/>
    <x v="100"/>
    <s v="FERRAMENTAS GERAIS COMERCIO IMP DE FERRAM. E MAQUI"/>
    <n v="1881.84"/>
    <x v="38"/>
    <x v="38"/>
    <s v="FERRAGENS GERAIS"/>
    <x v="5"/>
    <s v="PRODUÇÃO"/>
    <n v="0"/>
    <s v="RAFAEL"/>
  </r>
  <r>
    <n v="198652"/>
    <s v="KAR"/>
    <s v="01-15FE26"/>
    <x v="100"/>
    <s v="BELA CASA REPRESENTAÇOES LTDA"/>
    <n v="843.5"/>
    <x v="47"/>
    <x v="47"/>
    <s v=""/>
    <x v="6"/>
    <s v="COMERCIAL"/>
    <n v="0"/>
    <s v="LETÍCIA"/>
  </r>
  <r>
    <n v="198653"/>
    <s v="KAR"/>
    <s v="01-15FE26"/>
    <x v="100"/>
    <s v="ELAINE DE OLIVEIRA TESSARO"/>
    <n v="6541.19"/>
    <x v="47"/>
    <x v="47"/>
    <s v=""/>
    <x v="6"/>
    <s v="COMERCIAL"/>
    <n v="0"/>
    <s v="LETÍCIA"/>
  </r>
  <r>
    <n v="198654"/>
    <s v="KAR"/>
    <s v="01-15FE26"/>
    <x v="100"/>
    <s v="ILHA BELLA COM E REPRESENTAÇOES LTDA"/>
    <n v="4187.04"/>
    <x v="47"/>
    <x v="47"/>
    <s v=""/>
    <x v="6"/>
    <s v="COMERCIAL"/>
    <n v="0"/>
    <s v="LETÍCIA"/>
  </r>
  <r>
    <n v="198657"/>
    <s v="KAR"/>
    <s v="01-15FE26"/>
    <x v="100"/>
    <s v="MARTINS REPRESENTAÇÕES E VENDAS EIRELLI"/>
    <n v="3727.74"/>
    <x v="47"/>
    <x v="47"/>
    <s v=""/>
    <x v="6"/>
    <s v="COMERCIAL"/>
    <n v="0"/>
    <s v="LETÍCIA"/>
  </r>
  <r>
    <n v="198658"/>
    <s v="KAR"/>
    <s v="01-15FE26"/>
    <x v="100"/>
    <s v="PVJ REPRESENTAÇÕES LTDA"/>
    <n v="4221.3900000000003"/>
    <x v="47"/>
    <x v="47"/>
    <s v=""/>
    <x v="6"/>
    <s v="COMERCIAL"/>
    <n v="0"/>
    <s v="LETÍCIA"/>
  </r>
  <r>
    <n v="198659"/>
    <s v="KAR"/>
    <s v="01-15FE26"/>
    <x v="100"/>
    <s v="RICARDO CARVALHO DALANHOL"/>
    <n v="1099.28"/>
    <x v="47"/>
    <x v="47"/>
    <s v=""/>
    <x v="6"/>
    <s v="COMERCIAL"/>
    <n v="0"/>
    <s v="LETÍCIA"/>
  </r>
  <r>
    <n v="198660"/>
    <s v="KAR"/>
    <s v="01-15FE26"/>
    <x v="100"/>
    <s v="LIGHT REPRESENTAÇÕES LTDA"/>
    <n v="130.16999999999999"/>
    <x v="47"/>
    <x v="47"/>
    <s v=""/>
    <x v="6"/>
    <s v="COMERCIAL"/>
    <n v="0"/>
    <s v="LETÍCIA"/>
  </r>
  <r>
    <n v="198661"/>
    <s v="FK"/>
    <s v="01-15FE26"/>
    <x v="100"/>
    <s v="BELA CASA REPRESENTAÇOES LTDA"/>
    <n v="344.37"/>
    <x v="47"/>
    <x v="47"/>
    <s v=""/>
    <x v="6"/>
    <s v="COMERCIAL"/>
    <n v="0"/>
    <s v="LETÍCIA"/>
  </r>
  <r>
    <n v="198662"/>
    <s v="FK"/>
    <s v="01-15FE26"/>
    <x v="100"/>
    <s v="ELAINE DE OLIVEIRA TESSARO"/>
    <n v="843.93"/>
    <x v="47"/>
    <x v="47"/>
    <s v=""/>
    <x v="6"/>
    <s v="COMERCIAL"/>
    <n v="0"/>
    <s v="LETÍCIA"/>
  </r>
  <r>
    <n v="198663"/>
    <s v="FK"/>
    <s v="01-15FE26"/>
    <x v="100"/>
    <s v="JUAN JOSE IGLESIAS CARBALLO"/>
    <n v="122.86"/>
    <x v="47"/>
    <x v="47"/>
    <s v=""/>
    <x v="6"/>
    <s v="COMERCIAL"/>
    <n v="0"/>
    <s v="LETÍCIA"/>
  </r>
  <r>
    <n v="198664"/>
    <s v="FK"/>
    <s v="01-15FE26"/>
    <x v="100"/>
    <s v="MARTINS REPRESENTAÇÕES E VENDAS EIRELLI"/>
    <n v="583.75"/>
    <x v="47"/>
    <x v="47"/>
    <s v=""/>
    <x v="6"/>
    <s v="COMERCIAL"/>
    <n v="0"/>
    <s v="LETÍCIA"/>
  </r>
  <r>
    <n v="198665"/>
    <s v="FK"/>
    <s v="01-15FE26"/>
    <x v="100"/>
    <s v="PVJ REPRESENTAÇÕES LTDA"/>
    <n v="738.79"/>
    <x v="47"/>
    <x v="47"/>
    <s v=""/>
    <x v="6"/>
    <s v="COMERCIAL"/>
    <n v="0"/>
    <s v="LETÍCIA"/>
  </r>
  <r>
    <n v="198668"/>
    <s v="KOY"/>
    <s v="01-15FE26"/>
    <x v="100"/>
    <s v="ANA VERA ANDRADE CUNHA"/>
    <n v="309.75"/>
    <x v="47"/>
    <x v="47"/>
    <s v=""/>
    <x v="6"/>
    <s v="COMERCIAL"/>
    <n v="0"/>
    <s v="LETÍCIA"/>
  </r>
  <r>
    <n v="198669"/>
    <s v="KOY"/>
    <s v="01-15FE26"/>
    <x v="100"/>
    <s v="BELA CASA REPRESENTAÇOES LTDA"/>
    <n v="556.16999999999996"/>
    <x v="47"/>
    <x v="47"/>
    <s v=""/>
    <x v="6"/>
    <s v="COMERCIAL"/>
    <n v="0"/>
    <s v="LETÍCIA"/>
  </r>
  <r>
    <n v="198670"/>
    <s v="KOY"/>
    <s v="01-15FE26"/>
    <x v="100"/>
    <s v="ELAINE DE OLIVEIRA TESSARO"/>
    <n v="1412.68"/>
    <x v="47"/>
    <x v="47"/>
    <s v=""/>
    <x v="6"/>
    <s v="COMERCIAL"/>
    <n v="0"/>
    <s v="LETÍCIA"/>
  </r>
  <r>
    <n v="198671"/>
    <s v="KOY"/>
    <s v="01-15FE26"/>
    <x v="100"/>
    <s v="ILHA BELLA COM E REPRESENTAÇOES LTDA"/>
    <n v="1493.57"/>
    <x v="47"/>
    <x v="47"/>
    <s v=""/>
    <x v="6"/>
    <s v="COMERCIAL"/>
    <n v="0"/>
    <s v="LETÍCIA"/>
  </r>
  <r>
    <n v="198672"/>
    <s v="KOY"/>
    <s v="01-15FE26"/>
    <x v="100"/>
    <s v="PVJ REPRESENTAÇÕES LTDA"/>
    <n v="922.32"/>
    <x v="47"/>
    <x v="47"/>
    <s v=""/>
    <x v="6"/>
    <s v="COMERCIAL"/>
    <n v="0"/>
    <s v="LETÍCIA"/>
  </r>
  <r>
    <n v="198673"/>
    <s v="KOY"/>
    <s v="01-15FE26"/>
    <x v="100"/>
    <s v="RICARDO CARVALHO DALANHOL"/>
    <n v="661.54"/>
    <x v="47"/>
    <x v="47"/>
    <s v=""/>
    <x v="6"/>
    <s v="COMERCIAL"/>
    <n v="0"/>
    <s v="LETÍCIA"/>
  </r>
  <r>
    <n v="198675"/>
    <s v="LAY"/>
    <s v="01-15FE26"/>
    <x v="100"/>
    <s v="ANA VERA ANDRADE CUNHA"/>
    <n v="305.25"/>
    <x v="47"/>
    <x v="47"/>
    <s v=""/>
    <x v="6"/>
    <s v="COMERCIAL"/>
    <n v="0"/>
    <s v="LETÍCIA"/>
  </r>
  <r>
    <n v="198676"/>
    <s v="LAY"/>
    <s v="01-15FE26"/>
    <x v="100"/>
    <s v="ELAINE DE OLIVEIRA TESSARO"/>
    <n v="94.11"/>
    <x v="47"/>
    <x v="47"/>
    <s v=""/>
    <x v="6"/>
    <s v="COMERCIAL"/>
    <n v="0"/>
    <s v="LETÍCIA"/>
  </r>
  <r>
    <n v="198677"/>
    <s v="LAY"/>
    <s v="01-15FE26"/>
    <x v="100"/>
    <s v="ILHA BELLA COM E REPRESENTAÇOES LTDA"/>
    <n v="1643.21"/>
    <x v="47"/>
    <x v="47"/>
    <s v=""/>
    <x v="6"/>
    <s v="COMERCIAL"/>
    <n v="0"/>
    <s v="LETÍCIA"/>
  </r>
  <r>
    <n v="198678"/>
    <s v="LAY"/>
    <s v="01-15FE26"/>
    <x v="100"/>
    <s v="JUAN JOSE IGLESIAS CARBALLO"/>
    <n v="660.86"/>
    <x v="47"/>
    <x v="47"/>
    <s v=""/>
    <x v="6"/>
    <s v="COMERCIAL"/>
    <n v="0"/>
    <s v="LETÍCIA"/>
  </r>
  <r>
    <n v="198679"/>
    <s v="LAY"/>
    <s v="01-15FE26"/>
    <x v="100"/>
    <s v="MARTINS REPRESENTAÇÕES E VENDAS EIRELLI"/>
    <n v="365.08"/>
    <x v="47"/>
    <x v="47"/>
    <s v=""/>
    <x v="6"/>
    <s v="COMERCIAL"/>
    <n v="0"/>
    <s v="LETÍCIA"/>
  </r>
  <r>
    <n v="198680"/>
    <s v="LAY"/>
    <s v="01-15FE26"/>
    <x v="100"/>
    <s v="PVJ REPRESENTAÇÕES LTDA"/>
    <n v="2180.08"/>
    <x v="47"/>
    <x v="47"/>
    <s v=""/>
    <x v="6"/>
    <s v="COMERCIAL"/>
    <n v="0"/>
    <s v="LETÍCIA"/>
  </r>
  <r>
    <n v="198681"/>
    <s v="KAR"/>
    <s v="01-15FE26"/>
    <x v="100"/>
    <s v="JUAN JOSE IGLESIAS CARBALLO"/>
    <n v="1773.14"/>
    <x v="47"/>
    <x v="47"/>
    <s v=""/>
    <x v="6"/>
    <s v="COMERCIAL"/>
    <n v="0"/>
    <s v="LETÍCIA"/>
  </r>
  <r>
    <n v="198682"/>
    <s v="KAR"/>
    <s v="50032402"/>
    <x v="100"/>
    <s v="BANCO SICREDI"/>
    <n v="50.03"/>
    <x v="27"/>
    <x v="27"/>
    <s v=""/>
    <x v="8"/>
    <s v="FINANCEIRO"/>
    <n v="0"/>
    <s v="LETÍCIA"/>
  </r>
  <r>
    <n v="198683"/>
    <s v="KAR"/>
    <s v="33562402"/>
    <x v="100"/>
    <s v="BANCO SICREDI"/>
    <n v="33.56"/>
    <x v="27"/>
    <x v="27"/>
    <s v=""/>
    <x v="8"/>
    <s v="FINANCEIRO"/>
    <n v="0"/>
    <s v="LETÍCIA"/>
  </r>
  <r>
    <n v="198684"/>
    <s v="KAR"/>
    <s v="CET2402"/>
    <x v="100"/>
    <s v="BANCO SICREDI"/>
    <n v="303.60000000000002"/>
    <x v="29"/>
    <x v="29"/>
    <s v=""/>
    <x v="8"/>
    <s v="FINANCEIRO"/>
    <n v="0"/>
    <s v="LETÍCIA"/>
  </r>
  <r>
    <n v="198685"/>
    <s v="KAR"/>
    <s v="5532402"/>
    <x v="100"/>
    <s v="BANCO SICREDI"/>
    <n v="5.53"/>
    <x v="28"/>
    <x v="28"/>
    <s v=""/>
    <x v="8"/>
    <s v="FINANCEIRO"/>
    <n v="0"/>
    <s v="LETÍCIA"/>
  </r>
  <r>
    <n v="198686"/>
    <s v="LAY"/>
    <s v="0792402"/>
    <x v="100"/>
    <s v="BANCO SICREDI"/>
    <n v="0.79"/>
    <x v="27"/>
    <x v="27"/>
    <s v=""/>
    <x v="8"/>
    <s v="FINANCEIRO"/>
    <n v="0"/>
    <s v="LETÍCIA"/>
  </r>
  <r>
    <n v="198687"/>
    <s v="LAY"/>
    <s v="4232502"/>
    <x v="28"/>
    <s v="BANCO SICREDI"/>
    <n v="4.2300000000000004"/>
    <x v="27"/>
    <x v="27"/>
    <s v=""/>
    <x v="8"/>
    <s v="FINANCEIRO"/>
    <n v="0"/>
    <s v="LETÍCIA"/>
  </r>
  <r>
    <n v="198688"/>
    <s v="KAR"/>
    <s v="4829"/>
    <x v="28"/>
    <s v="BANCO SICREDI"/>
    <n v="3.97"/>
    <x v="27"/>
    <x v="27"/>
    <s v=""/>
    <x v="8"/>
    <s v="FINANCEIRO"/>
    <n v="0"/>
    <s v="LETÍCIA"/>
  </r>
  <r>
    <n v="198689"/>
    <s v="LAY"/>
    <s v="38592502"/>
    <x v="28"/>
    <s v="BANCO SICREDI"/>
    <n v="38.590000000000003"/>
    <x v="27"/>
    <x v="27"/>
    <s v=""/>
    <x v="8"/>
    <s v="FINANCEIRO"/>
    <n v="0"/>
    <s v="LETÍCIA"/>
  </r>
  <r>
    <n v="198690"/>
    <s v="FK"/>
    <s v="0952402"/>
    <x v="100"/>
    <s v="COOPERATIVA DE CRED.DE LIVRE ADMISSÃO DO NOROESTE"/>
    <n v="0.95"/>
    <x v="27"/>
    <x v="27"/>
    <s v=""/>
    <x v="8"/>
    <s v="FINANCEIRO"/>
    <n v="0"/>
    <s v="LETÍCIA"/>
  </r>
  <r>
    <n v="198698"/>
    <s v="KAR"/>
    <s v="MENSALIDAD"/>
    <x v="28"/>
    <s v="CONSULTORIA E ASSESSORIA EM SEGURANÇA DO TRABALHO"/>
    <n v="731.16"/>
    <x v="70"/>
    <x v="70"/>
    <s v=""/>
    <x v="9"/>
    <s v="DH"/>
    <s v="CUSTO MÃO DE OBRA DIRETA"/>
    <s v="RAFAEL"/>
  </r>
  <r>
    <n v="198699"/>
    <s v="KAR"/>
    <s v="MENSALIDAD"/>
    <x v="29"/>
    <s v="CONSULTORIA E ASSESSORIA EM SEGURANÇA DO TRABALHO"/>
    <n v="731.16"/>
    <x v="70"/>
    <x v="70"/>
    <s v=""/>
    <x v="9"/>
    <s v="DH"/>
    <s v="CUSTO MÃO DE OBRA DIRETA"/>
    <s v="RAFAEL"/>
  </r>
  <r>
    <n v="198700"/>
    <s v="KAR"/>
    <s v="MENSALIDAD"/>
    <x v="91"/>
    <s v="CONSULTORIA E ASSESSORIA EM SEGURANÇA DO TRABALHO"/>
    <n v="731.16"/>
    <x v="70"/>
    <x v="70"/>
    <s v=""/>
    <x v="9"/>
    <s v="DH"/>
    <s v="CUSTO MÃO DE OBRA DIRETA"/>
    <s v="RAFAEL"/>
  </r>
  <r>
    <n v="198710"/>
    <s v="LAY"/>
    <s v="MENSALIDAD"/>
    <x v="28"/>
    <s v="CONSULTORIA E ASSESSORIA EM SEGURANÇA DO TRABALHO"/>
    <n v="1674.15"/>
    <x v="70"/>
    <x v="70"/>
    <s v=""/>
    <x v="9"/>
    <s v="DH"/>
    <s v="CUSTO MÃO DE OBRA DIRETA"/>
    <s v="RAFAEL"/>
  </r>
  <r>
    <n v="198711"/>
    <s v="LAY"/>
    <s v="MENSALIDAD"/>
    <x v="29"/>
    <s v="CONSULTORIA E ASSESSORIA EM SEGURANÇA DO TRABALHO"/>
    <n v="1674.15"/>
    <x v="70"/>
    <x v="70"/>
    <s v=""/>
    <x v="9"/>
    <s v="DH"/>
    <s v="CUSTO MÃO DE OBRA DIRETA"/>
    <s v="RAFAEL"/>
  </r>
  <r>
    <n v="198712"/>
    <s v="LAY"/>
    <s v="MENSALIDAD"/>
    <x v="91"/>
    <s v="CONSULTORIA E ASSESSORIA EM SEGURANÇA DO TRABALHO"/>
    <n v="1674.15"/>
    <x v="70"/>
    <x v="70"/>
    <s v=""/>
    <x v="9"/>
    <s v="DH"/>
    <s v="CUSTO MÃO DE OBRA DIRETA"/>
    <s v="RAFAEL"/>
  </r>
  <r>
    <n v="198722"/>
    <s v="FK"/>
    <s v="SILV2103"/>
    <x v="28"/>
    <s v="SILVIA COLLI JORDÃO PRESTES"/>
    <n v="135.55000000000001"/>
    <x v="23"/>
    <x v="23"/>
    <s v=""/>
    <x v="6"/>
    <s v="COMERCIAL"/>
    <n v="0"/>
    <s v="LETÍCIA"/>
  </r>
  <r>
    <n v="198723"/>
    <s v="KAR"/>
    <s v="60181"/>
    <x v="28"/>
    <s v="W BRASIL ETIQUETAS LTDA"/>
    <n v="2966.85"/>
    <x v="38"/>
    <x v="38"/>
    <s v=""/>
    <x v="5"/>
    <s v="PRODUÇÃO"/>
    <n v="0"/>
    <s v="RAFAEL"/>
  </r>
  <r>
    <n v="198724"/>
    <s v="KAR"/>
    <s v="1450487"/>
    <x v="28"/>
    <s v="FERRAMENTAS GERAIS COMERCIO IMP DE FERRAM. E MAQUI"/>
    <n v="1306.76"/>
    <x v="40"/>
    <x v="40"/>
    <s v="FERRAGENS GERAIS"/>
    <x v="5"/>
    <s v="COMPRAS"/>
    <n v="0"/>
    <s v="RAFAEL"/>
  </r>
  <r>
    <n v="198725"/>
    <s v="FK"/>
    <s v="5182"/>
    <x v="100"/>
    <s v="COMERCIO DE COMBUSTIVEIS TBM LTDA."/>
    <n v="2417.9"/>
    <x v="37"/>
    <x v="37"/>
    <s v=""/>
    <x v="6"/>
    <s v="LOGÍSTICA"/>
    <n v="0"/>
    <s v="MYLENA"/>
  </r>
  <r>
    <n v="198726"/>
    <s v="FK"/>
    <s v="5183"/>
    <x v="100"/>
    <s v="COMERCIO DE COMBUSTIVEIS TBM LTDA."/>
    <n v="75.150000000000006"/>
    <x v="37"/>
    <x v="37"/>
    <s v=""/>
    <x v="6"/>
    <s v="LOGÍSTICA"/>
    <n v="0"/>
    <s v="MYLENA"/>
  </r>
  <r>
    <n v="198727"/>
    <s v="FK"/>
    <s v="75651"/>
    <x v="28"/>
    <s v="COMERCIO DE COMBUSTIVEIS TBM LTDA."/>
    <n v="141.57"/>
    <x v="37"/>
    <x v="37"/>
    <s v=""/>
    <x v="6"/>
    <s v="LOGÍSTICA"/>
    <n v="0"/>
    <s v="MYLENA"/>
  </r>
  <r>
    <n v="198728"/>
    <s v="FK"/>
    <s v="5213"/>
    <x v="28"/>
    <s v="COMERCIO DE COMBUSTIVEIS TBM LTDA."/>
    <n v="59.6"/>
    <x v="37"/>
    <x v="37"/>
    <s v=""/>
    <x v="6"/>
    <s v="LOGÍSTICA"/>
    <n v="0"/>
    <s v="MYLENA"/>
  </r>
  <r>
    <n v="198729"/>
    <s v="FK"/>
    <s v="5212"/>
    <x v="28"/>
    <s v="COMERCIO DE COMBUSTIVEIS TBM LTDA."/>
    <n v="643.25"/>
    <x v="37"/>
    <x v="37"/>
    <s v=""/>
    <x v="6"/>
    <s v="LOGÍSTICA"/>
    <n v="0"/>
    <s v="MYLENA"/>
  </r>
  <r>
    <n v="198730"/>
    <s v="FK"/>
    <s v="SODA2402"/>
    <x v="28"/>
    <s v="CAMINHAO BEM-9J26 "/>
    <n v="67.900000000000006"/>
    <x v="41"/>
    <x v="41"/>
    <s v=""/>
    <x v="6"/>
    <s v="LOGÍSTICA"/>
    <n v="0"/>
    <s v="MYLENA"/>
  </r>
  <r>
    <n v="198731"/>
    <s v="FK"/>
    <s v="ELET2502"/>
    <x v="28"/>
    <s v="JOAO LUIZ DE OLIVEIRA &amp; CIA LTDA - ME"/>
    <n v="60"/>
    <x v="30"/>
    <x v="30"/>
    <s v="MATERIAIS ELETRICOS"/>
    <x v="9"/>
    <s v="MANUTENÇÃO / TI"/>
    <n v="0"/>
    <s v="RAFAEL"/>
  </r>
  <r>
    <n v="198732"/>
    <s v="FK"/>
    <s v="NIS2402B"/>
    <x v="28"/>
    <s v="CASA DE FERRAGEM NISHIMOTO"/>
    <n v="9"/>
    <x v="25"/>
    <x v="25"/>
    <s v="FERRAGENS GERAIS"/>
    <x v="2"/>
    <s v="MANUTENÇÃO / TI"/>
    <n v="0"/>
    <s v="FÁBIO"/>
  </r>
  <r>
    <n v="198734"/>
    <s v="KAR"/>
    <s v="ACG 0326"/>
    <x v="66"/>
    <s v="SANTIAGO COSTA ADVOGADOS ASSOCIADOS"/>
    <n v="6035.41"/>
    <x v="76"/>
    <x v="76"/>
    <s v=""/>
    <x v="3"/>
    <s v="FINANCEIRO"/>
    <n v="0"/>
    <s v="LETÍCIA"/>
  </r>
  <r>
    <n v="198735"/>
    <s v="FK"/>
    <s v="5250"/>
    <x v="28"/>
    <s v="COMERCIO DE COMBUSTIVEIS TBM LTDA."/>
    <n v="97.5"/>
    <x v="30"/>
    <x v="30"/>
    <s v=""/>
    <x v="9"/>
    <s v="MANUTENÇÃO / TI"/>
    <n v="0"/>
    <s v="RAFAEL"/>
  </r>
  <r>
    <n v="198736"/>
    <s v="KAR"/>
    <s v="336028"/>
    <x v="28"/>
    <s v="POSTO E SERVIÇO TIGRAO DA DUTRA"/>
    <n v="92.51"/>
    <x v="37"/>
    <x v="37"/>
    <s v=""/>
    <x v="6"/>
    <s v="LOGÍSTICA"/>
    <n v="0"/>
    <s v="MYLENA"/>
  </r>
  <r>
    <n v="198737"/>
    <s v="FK"/>
    <s v="ENG2502"/>
    <x v="100"/>
    <s v="ARI PEREIRA RODRIGUES"/>
    <n v="580"/>
    <x v="25"/>
    <x v="25"/>
    <s v=""/>
    <x v="2"/>
    <s v="MANUTENÇÃO / TI"/>
    <n v="0"/>
    <s v="FÁBIO"/>
  </r>
  <r>
    <n v="198739"/>
    <s v="KAR"/>
    <s v="CET2502"/>
    <x v="28"/>
    <s v="BANCO SICREDI"/>
    <n v="1064.9100000000001"/>
    <x v="29"/>
    <x v="29"/>
    <s v=""/>
    <x v="8"/>
    <s v="FINANCEIRO"/>
    <n v="0"/>
    <s v="LETÍCIA"/>
  </r>
  <r>
    <n v="198740"/>
    <s v="KAR"/>
    <s v="171912502"/>
    <x v="28"/>
    <s v="BANCO SICREDI"/>
    <n v="171.91"/>
    <x v="27"/>
    <x v="27"/>
    <s v=""/>
    <x v="8"/>
    <s v="FINANCEIRO"/>
    <n v="0"/>
    <s v="LETÍCIA"/>
  </r>
  <r>
    <n v="198741"/>
    <s v="KAR"/>
    <s v="2832925"/>
    <x v="28"/>
    <s v="BANCO SICREDI"/>
    <n v="111.38"/>
    <x v="27"/>
    <x v="27"/>
    <s v=""/>
    <x v="8"/>
    <s v="FINANCEIRO"/>
    <n v="0"/>
    <s v="LETÍCIA"/>
  </r>
  <r>
    <n v="198742"/>
    <s v="KAR"/>
    <s v="12760"/>
    <x v="28"/>
    <s v="BANCO SICREDI"/>
    <n v="127.6"/>
    <x v="29"/>
    <x v="29"/>
    <s v=""/>
    <x v="8"/>
    <s v="FINANCEIRO"/>
    <n v="0"/>
    <s v="LETÍCIA"/>
  </r>
  <r>
    <n v="198743"/>
    <s v="KAR"/>
    <s v="12322502"/>
    <x v="28"/>
    <s v="BANCO SICREDI"/>
    <n v="12.32"/>
    <x v="27"/>
    <x v="27"/>
    <s v=""/>
    <x v="8"/>
    <s v="FINANCEIRO"/>
    <n v="0"/>
    <s v="LETÍCIA"/>
  </r>
  <r>
    <n v="198744"/>
    <s v="FK"/>
    <s v="40882"/>
    <x v="28"/>
    <s v="ELAINE CRISTINA TAROCO SANTOS &amp; CIA LTDA"/>
    <n v="630"/>
    <x v="24"/>
    <x v="24"/>
    <s v="COMPONENTES T.I"/>
    <x v="7"/>
    <s v="MANUTENÇÃO / TI"/>
    <n v="0"/>
    <s v="FÁBIO"/>
  </r>
  <r>
    <n v="198745"/>
    <s v="LAY"/>
    <s v="CET2502"/>
    <x v="28"/>
    <s v="BANCO SICREDI"/>
    <n v="43.83"/>
    <x v="29"/>
    <x v="29"/>
    <s v=""/>
    <x v="8"/>
    <s v="FINANCEIRO"/>
    <n v="0"/>
    <s v="LETÍCIA"/>
  </r>
  <r>
    <n v="198746"/>
    <s v="LAY"/>
    <s v="7572502"/>
    <x v="28"/>
    <s v="BANCO SICREDI"/>
    <n v="7.57"/>
    <x v="27"/>
    <x v="27"/>
    <s v=""/>
    <x v="8"/>
    <s v="FINANCEIRO"/>
    <n v="0"/>
    <s v="LETÍCIA"/>
  </r>
  <r>
    <n v="198747"/>
    <s v="LAY"/>
    <s v="1753"/>
    <x v="28"/>
    <s v="BANCO SICREDI"/>
    <n v="17.53"/>
    <x v="27"/>
    <x v="27"/>
    <s v=""/>
    <x v="8"/>
    <s v="FINANCEIRO"/>
    <n v="0"/>
    <s v="LETÍCIA"/>
  </r>
  <r>
    <n v="198748"/>
    <s v="KAR"/>
    <s v="CET2502"/>
    <x v="28"/>
    <s v="BANCO SICREDI"/>
    <n v="910.97"/>
    <x v="29"/>
    <x v="29"/>
    <s v=""/>
    <x v="8"/>
    <s v="FINANCEIRO"/>
    <n v="0"/>
    <s v="LETÍCIA"/>
  </r>
  <r>
    <n v="198749"/>
    <s v="KAR"/>
    <s v="142642502"/>
    <x v="28"/>
    <s v="BANCO SICREDI"/>
    <n v="142.63999999999999"/>
    <x v="27"/>
    <x v="27"/>
    <s v=""/>
    <x v="8"/>
    <s v="FINANCEIRO"/>
    <n v="0"/>
    <s v="LETÍCIA"/>
  </r>
  <r>
    <n v="198750"/>
    <s v="KAR"/>
    <s v="75052502"/>
    <x v="28"/>
    <s v="BANCO SICREDI"/>
    <n v="75.05"/>
    <x v="27"/>
    <x v="27"/>
    <s v=""/>
    <x v="8"/>
    <s v="FINANCEIRO"/>
    <n v="0"/>
    <s v="LETÍCIA"/>
  </r>
  <r>
    <n v="198751"/>
    <s v="LAY"/>
    <s v="CET 2502"/>
    <x v="28"/>
    <s v="BANCO SICREDI"/>
    <n v="106.03"/>
    <x v="29"/>
    <x v="29"/>
    <s v=""/>
    <x v="8"/>
    <s v="FINANCEIRO"/>
    <n v="0"/>
    <s v="LETÍCIA"/>
  </r>
  <r>
    <n v="198752"/>
    <s v="KAR"/>
    <s v="1265"/>
    <x v="28"/>
    <s v="BANCO SICREDI"/>
    <n v="12.65"/>
    <x v="29"/>
    <x v="29"/>
    <s v=""/>
    <x v="8"/>
    <s v="FINANCEIRO"/>
    <n v="0"/>
    <s v="LETÍCIA"/>
  </r>
  <r>
    <n v="198753"/>
    <s v="LAY"/>
    <s v="176425"/>
    <x v="28"/>
    <s v="BANCO SICREDI"/>
    <n v="17.64"/>
    <x v="27"/>
    <x v="27"/>
    <s v=""/>
    <x v="8"/>
    <s v="FINANCEIRO"/>
    <n v="0"/>
    <s v="LETÍCIA"/>
  </r>
  <r>
    <n v="198754"/>
    <s v="LAY"/>
    <s v="23722502"/>
    <x v="28"/>
    <s v="BANCO SICREDI"/>
    <n v="23.72"/>
    <x v="27"/>
    <x v="27"/>
    <s v=""/>
    <x v="8"/>
    <s v="FINANCEIRO"/>
    <n v="0"/>
    <s v="LETÍCIA"/>
  </r>
  <r>
    <n v="198755"/>
    <s v="KAR"/>
    <s v="1212502"/>
    <x v="28"/>
    <s v="BANCO SICREDI"/>
    <n v="1.21"/>
    <x v="27"/>
    <x v="27"/>
    <s v=""/>
    <x v="8"/>
    <s v="FINANCEIRO"/>
    <n v="0"/>
    <s v="LETÍCIA"/>
  </r>
  <r>
    <n v="198756"/>
    <s v="KAR"/>
    <s v="2348"/>
    <x v="28"/>
    <s v="BANCO SICREDI"/>
    <n v="23.48"/>
    <x v="29"/>
    <x v="29"/>
    <s v=""/>
    <x v="8"/>
    <s v="FINANCEIRO"/>
    <n v="0"/>
    <s v="LETÍCIA"/>
  </r>
  <r>
    <n v="198757"/>
    <s v="KAR"/>
    <s v="2232502"/>
    <x v="28"/>
    <s v="BANCO SICREDI"/>
    <n v="2.23"/>
    <x v="27"/>
    <x v="27"/>
    <s v=""/>
    <x v="8"/>
    <s v="FINANCEIRO"/>
    <n v="0"/>
    <s v="LETÍCIA"/>
  </r>
  <r>
    <n v="198758"/>
    <s v="KAR"/>
    <s v="9569"/>
    <x v="101"/>
    <s v="IDEAL COMERCIO DE AUTO PEÇAS EIRELI"/>
    <n v="974"/>
    <x v="31"/>
    <x v="31"/>
    <s v=""/>
    <x v="6"/>
    <s v="LOGÍSTICA"/>
    <n v="0"/>
    <s v="MYLENA"/>
  </r>
  <r>
    <n v="198760"/>
    <s v="KAR"/>
    <s v="9192502"/>
    <x v="28"/>
    <s v="BANCO SICREDI"/>
    <n v="9.19"/>
    <x v="69"/>
    <x v="69"/>
    <s v=""/>
    <x v="4"/>
    <s v="FINANCEIRO"/>
    <n v="0"/>
    <s v="LETÍCIA"/>
  </r>
  <r>
    <n v="198761"/>
    <s v="KAR"/>
    <s v="2462502"/>
    <x v="28"/>
    <s v="BANCO SICREDI"/>
    <n v="2.46"/>
    <x v="69"/>
    <x v="69"/>
    <s v=""/>
    <x v="4"/>
    <s v="FINANCEIRO"/>
    <n v="0"/>
    <s v="LETÍCIA"/>
  </r>
  <r>
    <n v="198762"/>
    <s v="KAR"/>
    <s v="26862502"/>
    <x v="28"/>
    <s v="BANCO SICREDI"/>
    <n v="26.86"/>
    <x v="27"/>
    <x v="27"/>
    <s v=""/>
    <x v="8"/>
    <s v="FINANCEIRO"/>
    <n v="0"/>
    <s v="LETÍCIA"/>
  </r>
  <r>
    <n v="198763"/>
    <s v="KAR"/>
    <s v="1172602"/>
    <x v="101"/>
    <s v="BANCO SICREDI"/>
    <n v="1.17"/>
    <x v="27"/>
    <x v="27"/>
    <s v=""/>
    <x v="8"/>
    <s v="FINANCEIRO"/>
    <n v="0"/>
    <s v="LETÍCIA"/>
  </r>
  <r>
    <n v="198764"/>
    <s v="KAR"/>
    <s v="602502"/>
    <x v="28"/>
    <s v="BANCO SICREDI"/>
    <n v="60"/>
    <x v="27"/>
    <x v="27"/>
    <s v=""/>
    <x v="8"/>
    <s v="FINANCEIRO"/>
    <n v="0"/>
    <s v="LETÍCIA"/>
  </r>
  <r>
    <n v="198765"/>
    <s v="KAR"/>
    <s v="192602"/>
    <x v="101"/>
    <s v="BANCO SICREDI"/>
    <n v="1.9"/>
    <x v="27"/>
    <x v="27"/>
    <s v=""/>
    <x v="8"/>
    <s v="FINANCEIRO"/>
    <n v="0"/>
    <s v="LETÍCIA"/>
  </r>
  <r>
    <n v="198766"/>
    <s v="LAY"/>
    <s v="23302502"/>
    <x v="28"/>
    <s v="BANCO SICREDI"/>
    <n v="18.38"/>
    <x v="69"/>
    <x v="69"/>
    <s v=""/>
    <x v="4"/>
    <s v="FINANCEIRO"/>
    <n v="0"/>
    <s v="LETÍCIA"/>
  </r>
  <r>
    <n v="198767"/>
    <s v="LAY"/>
    <s v="4922502"/>
    <x v="28"/>
    <s v="BANCO SICREDI"/>
    <n v="4.92"/>
    <x v="69"/>
    <x v="69"/>
    <s v=""/>
    <x v="4"/>
    <s v="FINANCEIRO"/>
    <n v="0"/>
    <s v="LETÍCIA"/>
  </r>
  <r>
    <n v="198768"/>
    <s v="KOY"/>
    <s v="0792502"/>
    <x v="28"/>
    <s v="BANCO SICREDI"/>
    <n v="0.79"/>
    <x v="27"/>
    <x v="27"/>
    <s v=""/>
    <x v="8"/>
    <s v="FINANCEIRO"/>
    <n v="0"/>
    <s v="LETÍCIA"/>
  </r>
  <r>
    <n v="198769"/>
    <s v="KAR"/>
    <s v="5598"/>
    <x v="101"/>
    <s v="ALAY INDUSTRIA E COMERCIO DE MOVEIS LTDA"/>
    <n v="50000"/>
    <x v="75"/>
    <x v="75"/>
    <s v=""/>
    <x v="10"/>
    <n v="0"/>
    <n v="0"/>
    <s v="NINGUÉM"/>
  </r>
  <r>
    <n v="198770"/>
    <s v="KAR"/>
    <s v="16-25FE26"/>
    <x v="101"/>
    <s v="ELAINE DE OLIVEIRA TESSARO"/>
    <n v="7673.65"/>
    <x v="47"/>
    <x v="47"/>
    <s v=""/>
    <x v="6"/>
    <s v="COMERCIAL"/>
    <n v="0"/>
    <s v="LETÍCIA"/>
  </r>
  <r>
    <n v="198771"/>
    <s v="FK"/>
    <s v="16-25FE26"/>
    <x v="101"/>
    <s v="ELAINE DE OLIVEIRA TESSARO"/>
    <n v="635.15"/>
    <x v="47"/>
    <x v="47"/>
    <s v=""/>
    <x v="6"/>
    <s v="COMERCIAL"/>
    <n v="0"/>
    <s v="LETÍCIA"/>
  </r>
  <r>
    <n v="198772"/>
    <s v="KOY"/>
    <s v="16-25FE26"/>
    <x v="101"/>
    <s v="ELAINE DE OLIVEIRA TESSARO"/>
    <n v="819.62"/>
    <x v="47"/>
    <x v="47"/>
    <s v=""/>
    <x v="6"/>
    <s v="COMERCIAL"/>
    <n v="0"/>
    <s v="LETÍCIA"/>
  </r>
  <r>
    <n v="198773"/>
    <s v="LAY"/>
    <s v="16-25FE26"/>
    <x v="101"/>
    <s v="ELAINE DE OLIVEIRA TESSARO"/>
    <n v="1227.47"/>
    <x v="47"/>
    <x v="47"/>
    <s v=""/>
    <x v="6"/>
    <s v="COMERCIAL"/>
    <n v="0"/>
    <s v="LETÍCIA"/>
  </r>
  <r>
    <n v="198774"/>
    <s v="KAR"/>
    <s v="RESCISÃO"/>
    <x v="101"/>
    <s v="BRUNO GAMA BENEDITO"/>
    <n v="1905.58"/>
    <x v="92"/>
    <x v="92"/>
    <s v=""/>
    <x v="5"/>
    <s v="DH"/>
    <n v="0"/>
    <s v="RAFAEL"/>
  </r>
  <r>
    <n v="198775"/>
    <s v="LAY"/>
    <s v="RESCISÃO"/>
    <x v="101"/>
    <s v="OTAVIO REINOF LOPES"/>
    <n v="10539.25"/>
    <x v="92"/>
    <x v="92"/>
    <s v=""/>
    <x v="5"/>
    <s v="DH"/>
    <n v="0"/>
    <s v="RAFAEL"/>
  </r>
  <r>
    <n v="198777"/>
    <s v="LAY"/>
    <s v="MULTARESC"/>
    <x v="101"/>
    <s v="OTAVIO REINOF LOPES"/>
    <n v="5911.07"/>
    <x v="92"/>
    <x v="92"/>
    <s v=""/>
    <x v="5"/>
    <s v="DH"/>
    <n v="0"/>
    <s v="RAFAEL"/>
  </r>
  <r>
    <n v="198778"/>
    <s v="KAR"/>
    <s v="FGTSRESCI"/>
    <x v="101"/>
    <s v="BRUNO GAMA BENEDITO"/>
    <n v="142.97"/>
    <x v="92"/>
    <x v="92"/>
    <s v=""/>
    <x v="5"/>
    <s v="DH"/>
    <n v="0"/>
    <s v="RAFAEL"/>
  </r>
  <r>
    <n v="198781"/>
    <s v="LAY"/>
    <s v="PROCESS30"/>
    <x v="101"/>
    <s v="FABRICIO APARECIDO DE SOUZA"/>
    <n v="12437.34"/>
    <x v="92"/>
    <x v="92"/>
    <s v=""/>
    <x v="5"/>
    <s v="DH"/>
    <n v="0"/>
    <s v="RAFAEL"/>
  </r>
  <r>
    <n v="198782"/>
    <s v="FK"/>
    <s v="NIS2602A"/>
    <x v="101"/>
    <s v="CASA DE FERRAGEM NISHIMOTO"/>
    <n v="97"/>
    <x v="9"/>
    <x v="9"/>
    <s v="FERRAGENS GERAIS"/>
    <x v="2"/>
    <s v="MANUTENÇÃO / TI"/>
    <n v="0"/>
    <s v="RAFAEL"/>
  </r>
  <r>
    <n v="198783"/>
    <s v="FK"/>
    <s v="CERVEJA "/>
    <x v="101"/>
    <s v="U.T.I. DA CERVEJA"/>
    <n v="120"/>
    <x v="16"/>
    <x v="16"/>
    <s v=""/>
    <x v="7"/>
    <s v="DH"/>
    <n v="0"/>
    <s v="MYLENA"/>
  </r>
  <r>
    <n v="198784"/>
    <s v="FK"/>
    <s v="NIS2602C"/>
    <x v="101"/>
    <s v="CASA DE FERRAGEM NISHIMOTO"/>
    <n v="40"/>
    <x v="25"/>
    <x v="25"/>
    <s v="FERRAGENS GERAIS"/>
    <x v="2"/>
    <s v="MANUTENÇÃO / TI"/>
    <n v="0"/>
    <s v="FÁBIO"/>
  </r>
  <r>
    <n v="198786"/>
    <s v="FK"/>
    <s v="GPS 0326"/>
    <x v="30"/>
    <s v="GUIA DA PREVIDENCIA SOCIAL"/>
    <n v="178.31"/>
    <x v="67"/>
    <x v="67"/>
    <s v=""/>
    <x v="7"/>
    <s v="DH"/>
    <n v="0"/>
    <s v="RAFAEL"/>
  </r>
  <r>
    <n v="198787"/>
    <s v="KAR"/>
    <s v="19468"/>
    <x v="101"/>
    <s v="BANCO SICREDI"/>
    <n v="194.68"/>
    <x v="27"/>
    <x v="27"/>
    <s v=""/>
    <x v="8"/>
    <s v="FINANCEIRO"/>
    <n v="0"/>
    <s v="LETÍCIA"/>
  </r>
  <r>
    <n v="198788"/>
    <s v="KAR"/>
    <s v="11672"/>
    <x v="101"/>
    <s v="BANCO SICREDI"/>
    <n v="116.72"/>
    <x v="27"/>
    <x v="27"/>
    <s v=""/>
    <x v="8"/>
    <s v="FINANCEIRO"/>
    <n v="0"/>
    <s v="LETÍCIA"/>
  </r>
  <r>
    <n v="198789"/>
    <s v="KAR"/>
    <s v="CET2602"/>
    <x v="101"/>
    <s v="BANCO SICREDI"/>
    <n v="1225.8399999999999"/>
    <x v="29"/>
    <x v="29"/>
    <s v=""/>
    <x v="8"/>
    <s v="FINANCEIRO"/>
    <n v="0"/>
    <s v="LETÍCIA"/>
  </r>
  <r>
    <n v="198790"/>
    <s v="FK"/>
    <s v="TESTE"/>
    <x v="100"/>
    <s v="DANIEL BRUNNER TAVARES"/>
    <n v="10"/>
    <x v="17"/>
    <x v="17"/>
    <s v=""/>
    <x v="8"/>
    <s v="FINANCEIRO"/>
    <n v="0"/>
    <s v="LETÍCIA"/>
  </r>
  <r>
    <n v="198791"/>
    <s v="FK"/>
    <s v="PET2602"/>
    <x v="101"/>
    <s v="ACT GUIRELLI"/>
    <n v="284"/>
    <x v="32"/>
    <x v="32"/>
    <s v=""/>
    <x v="3"/>
    <s v="FINANCEIRO"/>
    <n v="0"/>
    <s v="LETÍCIA"/>
  </r>
  <r>
    <n v="198792"/>
    <s v="KAR"/>
    <s v="12642602"/>
    <x v="101"/>
    <s v="BANCO SICREDI"/>
    <n v="12.64"/>
    <x v="27"/>
    <x v="27"/>
    <s v=""/>
    <x v="8"/>
    <s v="FINANCEIRO"/>
    <n v="0"/>
    <s v="LETÍCIA"/>
  </r>
  <r>
    <n v="198793"/>
    <s v="LAY"/>
    <s v="6322602"/>
    <x v="101"/>
    <s v="BANCO SICREDI"/>
    <n v="6.32"/>
    <x v="27"/>
    <x v="27"/>
    <s v=""/>
    <x v="8"/>
    <s v="FINANCEIRO"/>
    <n v="0"/>
    <s v="LETÍCIA"/>
  </r>
  <r>
    <n v="198794"/>
    <s v="KAR"/>
    <s v="1582602"/>
    <x v="101"/>
    <s v="BANCO SICREDI"/>
    <n v="1.58"/>
    <x v="27"/>
    <x v="27"/>
    <s v=""/>
    <x v="8"/>
    <s v="FINANCEIRO"/>
    <n v="0"/>
    <s v="LETÍCIA"/>
  </r>
  <r>
    <n v="198795"/>
    <s v="KAR"/>
    <s v="0792602"/>
    <x v="101"/>
    <s v="BANCO SICREDI"/>
    <n v="0.79"/>
    <x v="27"/>
    <x v="27"/>
    <s v=""/>
    <x v="8"/>
    <s v="FINANCEIRO"/>
    <n v="0"/>
    <s v="LETÍCIA"/>
  </r>
  <r>
    <n v="198796"/>
    <s v="KAR"/>
    <s v="6652602"/>
    <x v="101"/>
    <s v="BANCO SICREDI"/>
    <n v="6.65"/>
    <x v="28"/>
    <x v="28"/>
    <s v=""/>
    <x v="8"/>
    <s v="FINANCEIRO"/>
    <n v="0"/>
    <s v="LETÍCIA"/>
  </r>
  <r>
    <n v="198797"/>
    <s v="KAR"/>
    <s v="564"/>
    <x v="4"/>
    <s v="STM REMOCOES LTDA"/>
    <n v="2500"/>
    <x v="31"/>
    <x v="31"/>
    <s v=""/>
    <x v="6"/>
    <s v="LOGÍSTICA"/>
    <n v="0"/>
    <s v="MYLENA"/>
  </r>
  <r>
    <n v="198799"/>
    <s v="KAR"/>
    <s v="275870"/>
    <x v="30"/>
    <s v="SERASA S/A"/>
    <n v="617.44000000000005"/>
    <x v="74"/>
    <x v="74"/>
    <s v=""/>
    <x v="4"/>
    <s v="FINANCEIRO"/>
    <n v="0"/>
    <s v="LETÍCIA"/>
  </r>
  <r>
    <n v="198800"/>
    <s v="KAR"/>
    <s v="193871"/>
    <x v="77"/>
    <s v="EXPRESSO SAO MIGUEL LTDA"/>
    <n v="144.66"/>
    <x v="48"/>
    <x v="48"/>
    <s v="SERVIÇOS FRETE"/>
    <x v="0"/>
    <s v="COMPRAS"/>
    <n v="0"/>
    <s v="MYLENA"/>
  </r>
  <r>
    <n v="198801"/>
    <s v="KAR"/>
    <s v="44262"/>
    <x v="100"/>
    <s v="TRANS APUCARANA TRANSPORTES RODOVIARIOS LTDA"/>
    <n v="109.81"/>
    <x v="48"/>
    <x v="48"/>
    <s v="SERVIÇOS FRETE"/>
    <x v="0"/>
    <s v="COMPRAS"/>
    <n v="0"/>
    <s v="MYLENA"/>
  </r>
  <r>
    <n v="198802"/>
    <s v="KAR"/>
    <s v="15849"/>
    <x v="4"/>
    <s v="BANCO SICREDI"/>
    <n v="158.49"/>
    <x v="27"/>
    <x v="27"/>
    <s v=""/>
    <x v="8"/>
    <s v="FINANCEIRO"/>
    <n v="0"/>
    <s v="LETÍCIA"/>
  </r>
  <r>
    <n v="198803"/>
    <s v="KAR"/>
    <s v="11190"/>
    <x v="4"/>
    <s v="BANCO SICREDI"/>
    <n v="111.9"/>
    <x v="27"/>
    <x v="27"/>
    <s v=""/>
    <x v="8"/>
    <s v="FINANCEIRO"/>
    <n v="0"/>
    <s v="LETÍCIA"/>
  </r>
  <r>
    <n v="198804"/>
    <s v="KAR"/>
    <s v="CET2702"/>
    <x v="4"/>
    <s v="BANCO SICREDI"/>
    <n v="992.11"/>
    <x v="29"/>
    <x v="29"/>
    <s v=""/>
    <x v="8"/>
    <s v="FINANCEIRO"/>
    <n v="0"/>
    <s v="LETÍCIA"/>
  </r>
  <r>
    <n v="198805"/>
    <s v="LAY"/>
    <s v="8599"/>
    <x v="4"/>
    <s v="BANCO SICREDI"/>
    <n v="85.99"/>
    <x v="27"/>
    <x v="27"/>
    <s v=""/>
    <x v="8"/>
    <s v="FINANCEIRO"/>
    <n v="0"/>
    <s v="LETÍCIA"/>
  </r>
  <r>
    <n v="198806"/>
    <s v="LAY"/>
    <s v="4913"/>
    <x v="4"/>
    <s v="BANCO SICREDI"/>
    <n v="49.13"/>
    <x v="27"/>
    <x v="27"/>
    <s v=""/>
    <x v="8"/>
    <s v="FINANCEIRO"/>
    <n v="0"/>
    <s v="LETÍCIA"/>
  </r>
  <r>
    <n v="198807"/>
    <s v="LAY"/>
    <s v="CET2702"/>
    <x v="4"/>
    <s v="BANCO SICREDI"/>
    <n v="543.17999999999995"/>
    <x v="29"/>
    <x v="29"/>
    <s v=""/>
    <x v="8"/>
    <s v="FINANCEIRO"/>
    <n v="0"/>
    <s v="LETÍCIA"/>
  </r>
  <r>
    <n v="198808"/>
    <s v="FK"/>
    <s v="ABIMAD 41"/>
    <x v="4"/>
    <s v="LUCAS VINICIUS DO CARMO"/>
    <n v="2072"/>
    <x v="14"/>
    <x v="14"/>
    <s v=""/>
    <x v="6"/>
    <s v="COMERCIAL"/>
    <n v="0"/>
    <s v="THAIS"/>
  </r>
  <r>
    <n v="198809"/>
    <s v="KAR"/>
    <s v="14480"/>
    <x v="100"/>
    <s v="TRANS APUCARANA TRANSPORTES RODOVIARIO EIRELI"/>
    <n v="131.22"/>
    <x v="48"/>
    <x v="48"/>
    <s v=""/>
    <x v="0"/>
    <s v="COMPRAS"/>
    <n v="0"/>
    <s v="MYLENA"/>
  </r>
  <r>
    <n v="198810"/>
    <s v="FK"/>
    <s v="BATA0502"/>
    <x v="4"/>
    <s v="MARIA ANDREIA BUENO DE ALMEIDA BATAER"/>
    <n v="594"/>
    <x v="34"/>
    <x v="34"/>
    <s v=""/>
    <x v="6"/>
    <s v="COMERCIAL"/>
    <n v="0"/>
    <s v="LETÍCIA"/>
  </r>
  <r>
    <n v="198811"/>
    <s v="KAR"/>
    <s v="1605879"/>
    <x v="4"/>
    <s v="EXPRESSO SAO MIGUEL LTDA"/>
    <n v="92.25"/>
    <x v="38"/>
    <x v="38"/>
    <s v="SERVIÇOS FRETE"/>
    <x v="5"/>
    <s v="PRODUÇÃO"/>
    <n v="0"/>
    <s v="RAFAEL"/>
  </r>
  <r>
    <n v="198812"/>
    <s v="KAR"/>
    <s v="4779"/>
    <x v="4"/>
    <s v="Topfres Ferramentas Industria e Comercio LTDA"/>
    <n v="1680"/>
    <x v="38"/>
    <x v="38"/>
    <s v=""/>
    <x v="5"/>
    <s v="PRODUÇÃO"/>
    <n v="0"/>
    <s v="RAFAEL"/>
  </r>
  <r>
    <n v="198813"/>
    <s v="KAR"/>
    <s v="1498682"/>
    <x v="100"/>
    <s v="EXPRESSO SAO MIGUEL LTDA"/>
    <n v="246.09"/>
    <x v="48"/>
    <x v="48"/>
    <s v="SERVIÇOS FRETE"/>
    <x v="0"/>
    <s v="COMPRAS"/>
    <n v="0"/>
    <s v="MYLENA"/>
  </r>
  <r>
    <n v="198814"/>
    <s v="KAR"/>
    <s v="3935189"/>
    <x v="28"/>
    <s v="EXPRESSO SAO MIGUEL LTDA"/>
    <n v="215.99"/>
    <x v="48"/>
    <x v="48"/>
    <s v="SERVIÇOS FRETE"/>
    <x v="0"/>
    <s v="COMPRAS"/>
    <n v="0"/>
    <s v="MYLENA"/>
  </r>
  <r>
    <n v="198815"/>
    <s v="KAR"/>
    <s v="3648668"/>
    <x v="100"/>
    <s v="EXPRESSO SAO MIGUEL LTDA"/>
    <n v="102.91"/>
    <x v="48"/>
    <x v="48"/>
    <s v="SERVIÇOS FRETE"/>
    <x v="0"/>
    <s v="COMPRAS"/>
    <n v="0"/>
    <s v="MYLENA"/>
  </r>
  <r>
    <n v="198816"/>
    <s v="KAR"/>
    <s v="339759"/>
    <x v="28"/>
    <s v="EXPRESSO SAO MIGUEL S/A"/>
    <n v="170.89"/>
    <x v="48"/>
    <x v="48"/>
    <s v=""/>
    <x v="0"/>
    <s v="COMPRAS"/>
    <n v="0"/>
    <s v="MYLENA"/>
  </r>
  <r>
    <n v="198817"/>
    <s v="KAR"/>
    <s v="194294"/>
    <x v="100"/>
    <s v="EXPRESSO SAO MIGUEL LTDA"/>
    <n v="170.41"/>
    <x v="48"/>
    <x v="48"/>
    <s v="SERVIÇOS FRETE"/>
    <x v="0"/>
    <s v="COMPRAS"/>
    <n v="0"/>
    <s v="MYLENA"/>
  </r>
  <r>
    <n v="198818"/>
    <s v="KAR"/>
    <s v="3650640"/>
    <x v="28"/>
    <s v="EXPRESSO SAO MIGUEL LTDA"/>
    <n v="343.17"/>
    <x v="48"/>
    <x v="48"/>
    <s v="SERVIÇOS FRETE"/>
    <x v="0"/>
    <s v="COMPRAS"/>
    <n v="0"/>
    <s v="MYLENA"/>
  </r>
  <r>
    <n v="198819"/>
    <s v="FK"/>
    <s v="PET2702"/>
    <x v="4"/>
    <s v="ACT GUIRELLI"/>
    <n v="62"/>
    <x v="32"/>
    <x v="32"/>
    <s v=""/>
    <x v="3"/>
    <s v="FINANCEIRO"/>
    <n v="0"/>
    <s v="LETÍCIA"/>
  </r>
  <r>
    <n v="198820"/>
    <s v="KAR"/>
    <s v="38961"/>
    <x v="4"/>
    <s v="DIAMANTEC IND. E COM. DE FERRAMENTAS"/>
    <n v="600"/>
    <x v="38"/>
    <x v="38"/>
    <s v=""/>
    <x v="5"/>
    <s v="PRODUÇÃO"/>
    <n v="0"/>
    <s v="RAFAEL"/>
  </r>
  <r>
    <n v="198821"/>
    <s v="KAR"/>
    <s v="0752702"/>
    <x v="4"/>
    <s v="BANCO SICREDI"/>
    <n v="0.75"/>
    <x v="27"/>
    <x v="27"/>
    <s v=""/>
    <x v="8"/>
    <s v="FINANCEIRO"/>
    <n v="0"/>
    <s v="LETÍCIA"/>
  </r>
  <r>
    <n v="198822"/>
    <s v="KAR"/>
    <s v="0072702"/>
    <x v="4"/>
    <s v="BANCO SICREDI"/>
    <n v="7.0000000000000007E-2"/>
    <x v="27"/>
    <x v="27"/>
    <s v=""/>
    <x v="8"/>
    <s v="FINANCEIRO"/>
    <n v="0"/>
    <s v="LETÍCIA"/>
  </r>
  <r>
    <n v="198823"/>
    <s v="KAR"/>
    <s v="553272"/>
    <x v="4"/>
    <s v="BANCO SICREDI"/>
    <n v="5.53"/>
    <x v="27"/>
    <x v="27"/>
    <s v=""/>
    <x v="8"/>
    <s v="FINANCEIRO"/>
    <n v="0"/>
    <s v="LETÍCIA"/>
  </r>
  <r>
    <n v="198824"/>
    <s v="LAY"/>
    <s v="3162702"/>
    <x v="4"/>
    <s v="BANCO SICREDI"/>
    <n v="3.16"/>
    <x v="27"/>
    <x v="27"/>
    <s v=""/>
    <x v="8"/>
    <s v="FINANCEIRO"/>
    <n v="0"/>
    <s v="LETÍCIA"/>
  </r>
  <r>
    <n v="198825"/>
    <s v="LAY"/>
    <s v="03020203"/>
    <x v="102"/>
    <s v="BANCO SICREDI"/>
    <n v="0.3"/>
    <x v="27"/>
    <x v="27"/>
    <s v=""/>
    <x v="8"/>
    <s v="FINANCEIRO"/>
    <n v="0"/>
    <s v="LETÍCIA"/>
  </r>
  <r>
    <n v="198826"/>
    <s v="KAR"/>
    <s v="89"/>
    <x v="4"/>
    <s v="RNT DIAGNOSTICO MERCEDES LTDA"/>
    <n v="1250"/>
    <x v="31"/>
    <x v="31"/>
    <s v=""/>
    <x v="6"/>
    <s v="LOGÍSTICA"/>
    <n v="0"/>
    <s v="MYLENA"/>
  </r>
  <r>
    <n v="198827"/>
    <s v="KAR"/>
    <s v="234"/>
    <x v="4"/>
    <s v="RNT DIAGNOSTICO MERCEDES LTDA"/>
    <n v="630"/>
    <x v="31"/>
    <x v="31"/>
    <s v=""/>
    <x v="6"/>
    <s v="LOGÍSTICA"/>
    <n v="0"/>
    <s v="MYLENA"/>
  </r>
  <r>
    <n v="198828"/>
    <s v="FK"/>
    <s v="PLOTTER"/>
    <x v="102"/>
    <s v="MARCEL APARECIDO GONÇALVES  ANDRADE"/>
    <n v="900"/>
    <x v="30"/>
    <x v="30"/>
    <s v=""/>
    <x v="9"/>
    <s v="MANUTENÇÃO / TI"/>
    <n v="0"/>
    <s v="RAFAEL"/>
  </r>
  <r>
    <n v="198829"/>
    <s v="FK"/>
    <s v="PEIXE2802"/>
    <x v="30"/>
    <s v="CANTINHO DO PEIXE"/>
    <n v="105"/>
    <x v="78"/>
    <x v="78"/>
    <s v=""/>
    <x v="6"/>
    <s v="LOGÍSTICA"/>
    <n v="0"/>
    <s v="MYLENA"/>
  </r>
  <r>
    <n v="198831"/>
    <s v="KAR"/>
    <s v="ESPANHOL/1"/>
    <x v="33"/>
    <s v="CCLI LTDA EPP"/>
    <n v="296.25"/>
    <x v="20"/>
    <x v="20"/>
    <s v=""/>
    <x v="7"/>
    <s v="DIRETORIA"/>
    <n v="0"/>
    <s v="FÁBIO"/>
  </r>
  <r>
    <n v="198832"/>
    <s v="KAR"/>
    <s v="ESPANHOL/2"/>
    <x v="34"/>
    <s v="CCLI LTDA EPP"/>
    <n v="296.25"/>
    <x v="20"/>
    <x v="20"/>
    <s v=""/>
    <x v="7"/>
    <s v="DIRETORIA"/>
    <n v="0"/>
    <s v="FÁBIO"/>
  </r>
  <r>
    <n v="198842"/>
    <s v="KAR"/>
    <s v="ESPANHOL/1"/>
    <x v="33"/>
    <s v="CCLI LTDA EPP"/>
    <n v="296.25"/>
    <x v="18"/>
    <x v="18"/>
    <s v=""/>
    <x v="7"/>
    <s v="DH"/>
    <n v="0"/>
    <s v="RAFAEL"/>
  </r>
  <r>
    <n v="198843"/>
    <s v="KAR"/>
    <s v="ESPANHOL/2"/>
    <x v="34"/>
    <s v="CCLI LTDA EPP"/>
    <n v="296.25"/>
    <x v="18"/>
    <x v="18"/>
    <s v=""/>
    <x v="7"/>
    <s v="DH"/>
    <n v="0"/>
    <s v="RAFAEL"/>
  </r>
  <r>
    <n v="198853"/>
    <s v="FK"/>
    <s v="MAR2026"/>
    <x v="102"/>
    <s v="FABIO HIROMITSU KATO"/>
    <n v="6000"/>
    <x v="15"/>
    <x v="15"/>
    <s v=""/>
    <x v="7"/>
    <s v="DIRETORIA"/>
    <n v="0"/>
    <s v="FÁBIO"/>
  </r>
  <r>
    <n v="198854"/>
    <s v="KOY"/>
    <s v="MAR2026"/>
    <x v="102"/>
    <s v="RAFAEL KOSSEI KATO"/>
    <n v="6000"/>
    <x v="15"/>
    <x v="15"/>
    <s v=""/>
    <x v="7"/>
    <s v="DIRETORIA"/>
    <n v="0"/>
    <s v="FÁBIO"/>
  </r>
  <r>
    <n v="198855"/>
    <s v="LAY"/>
    <s v="MAR2026"/>
    <x v="102"/>
    <s v="MYLENA NARIE KATO BRIGANTINI"/>
    <n v="6000"/>
    <x v="15"/>
    <x v="15"/>
    <s v=""/>
    <x v="7"/>
    <s v="DIRETORIA"/>
    <n v="0"/>
    <s v="FÁBIO"/>
  </r>
  <r>
    <n v="198856"/>
    <s v="KAR"/>
    <s v="MAR2026"/>
    <x v="102"/>
    <s v="SUELY KAY KATO"/>
    <n v="6000"/>
    <x v="15"/>
    <x v="15"/>
    <s v=""/>
    <x v="7"/>
    <s v="DIRETORIA"/>
    <n v="0"/>
    <s v="FÁBIO"/>
  </r>
  <r>
    <n v="198858"/>
    <s v="KAR"/>
    <s v="3456"/>
    <x v="102"/>
    <s v="ACC 7 CONSULTORIA E DESENVOLVIMENTO LTDA"/>
    <n v="150"/>
    <x v="35"/>
    <x v="35"/>
    <s v=""/>
    <x v="9"/>
    <s v="DH"/>
    <n v="0"/>
    <s v="FÁBIO"/>
  </r>
  <r>
    <n v="198859"/>
    <s v="KAR"/>
    <s v="67136"/>
    <x v="102"/>
    <s v="POSTO DOM PEDRO I 124 SUL EIRELI"/>
    <n v="1767"/>
    <x v="37"/>
    <x v="37"/>
    <s v=""/>
    <x v="6"/>
    <s v="LOGÍSTICA"/>
    <n v="0"/>
    <s v="MYLENA"/>
  </r>
  <r>
    <n v="198860"/>
    <s v="FK"/>
    <s v="NETO2702"/>
    <x v="4"/>
    <s v="CAMINHÃO - AYL-6E00"/>
    <n v="2254"/>
    <x v="41"/>
    <x v="41"/>
    <s v=""/>
    <x v="6"/>
    <s v="LOGÍSTICA"/>
    <n v="0"/>
    <s v="MYLENA"/>
  </r>
  <r>
    <n v="198861"/>
    <s v="FK"/>
    <s v="691987"/>
    <x v="4"/>
    <s v="AUTO POSTO VIAIS"/>
    <n v="2762.72"/>
    <x v="37"/>
    <x v="37"/>
    <s v=""/>
    <x v="6"/>
    <s v="LOGÍSTICA"/>
    <n v="0"/>
    <s v="MYLENA"/>
  </r>
  <r>
    <n v="198862"/>
    <s v="KAR"/>
    <s v="ALTERAÇÃO"/>
    <x v="102"/>
    <s v="JUNTA COMERCIAL DO ESTADO DO PARANA"/>
    <n v="128.6"/>
    <x v="87"/>
    <x v="87"/>
    <s v=""/>
    <x v="1"/>
    <s v="FINANCEIRO"/>
    <n v="0"/>
    <s v="LETÍCIA"/>
  </r>
  <r>
    <n v="198863"/>
    <s v="FK"/>
    <s v="SODA2702"/>
    <x v="4"/>
    <s v="CAMINHAO BEM-9J26 "/>
    <n v="52.9"/>
    <x v="41"/>
    <x v="41"/>
    <s v=""/>
    <x v="6"/>
    <s v="LOGÍSTICA"/>
    <n v="0"/>
    <s v="MYLENA"/>
  </r>
  <r>
    <n v="198864"/>
    <s v="FK"/>
    <s v="76076"/>
    <x v="4"/>
    <s v="COMERCIO DE COMBUSTIVEIS TBM LTDA."/>
    <n v="149.80000000000001"/>
    <x v="31"/>
    <x v="31"/>
    <s v=""/>
    <x v="6"/>
    <s v="LOGÍSTICA"/>
    <n v="0"/>
    <s v="MYLENA"/>
  </r>
  <r>
    <n v="198865"/>
    <s v="FK"/>
    <s v="76077"/>
    <x v="4"/>
    <s v="COMERCIO DE COMBUSTIVEIS TBM LTDA."/>
    <n v="589.09"/>
    <x v="37"/>
    <x v="37"/>
    <s v=""/>
    <x v="6"/>
    <s v="LOGÍSTICA"/>
    <n v="0"/>
    <s v="MYLENA"/>
  </r>
  <r>
    <n v="198866"/>
    <s v="FK"/>
    <s v="BATA0203A"/>
    <x v="102"/>
    <s v="MARIA ANDREIA BUENO DE ALMEIDA BATAER"/>
    <n v="68.959999999999994"/>
    <x v="34"/>
    <x v="34"/>
    <s v=""/>
    <x v="6"/>
    <s v="COMERCIAL"/>
    <n v="0"/>
    <s v="LETÍCIA"/>
  </r>
  <r>
    <n v="198867"/>
    <s v="FK"/>
    <s v="EXAME0226"/>
    <x v="102"/>
    <s v="REGINALDO DUARTE"/>
    <n v="180"/>
    <x v="93"/>
    <x v="93"/>
    <s v=""/>
    <x v="9"/>
    <s v="DH"/>
    <s v="CUSTO MÃO DE OBRA DIRETA"/>
    <s v="RAFAEL"/>
  </r>
  <r>
    <n v="198868"/>
    <s v="KAR"/>
    <s v="463303"/>
    <x v="102"/>
    <s v="VMD MAQUINAS E FERRAMENTAS LTDA"/>
    <n v="661"/>
    <x v="46"/>
    <x v="46"/>
    <s v="PEÇAS DE FERRAMENTAS"/>
    <x v="9"/>
    <s v="MANUTENÇÃO / TI"/>
    <n v="0"/>
    <s v="FÁBIO"/>
  </r>
  <r>
    <n v="198869"/>
    <s v="FK"/>
    <s v="GM0203"/>
    <x v="102"/>
    <s v="SIDNEI PAULO MILANI"/>
    <n v="635"/>
    <x v="31"/>
    <x v="31"/>
    <s v=""/>
    <x v="6"/>
    <s v="LOGÍSTICA"/>
    <n v="0"/>
    <s v="MYLENA"/>
  </r>
  <r>
    <n v="198870"/>
    <s v="FK"/>
    <s v="GM0603B"/>
    <x v="102"/>
    <s v="SIDNEI PAULO MILANI"/>
    <n v="175"/>
    <x v="31"/>
    <x v="31"/>
    <s v=""/>
    <x v="6"/>
    <s v="LOGÍSTICA"/>
    <n v="0"/>
    <s v="MYLENA"/>
  </r>
  <r>
    <n v="198871"/>
    <s v="KAR"/>
    <s v="25870203"/>
    <x v="102"/>
    <s v="BANCO SICREDI"/>
    <n v="25.87"/>
    <x v="27"/>
    <x v="27"/>
    <s v=""/>
    <x v="8"/>
    <s v="FINANCEIRO"/>
    <n v="0"/>
    <s v="LETÍCIA"/>
  </r>
  <r>
    <n v="198872"/>
    <s v="KAR"/>
    <s v="33180203"/>
    <x v="102"/>
    <s v="BANCO SICREDI"/>
    <n v="33.18"/>
    <x v="27"/>
    <x v="27"/>
    <s v=""/>
    <x v="8"/>
    <s v="FINANCEIRO"/>
    <n v="0"/>
    <s v="LETÍCIA"/>
  </r>
  <r>
    <n v="198873"/>
    <s v="KAR"/>
    <s v="7110203"/>
    <x v="102"/>
    <s v="BANCO SICREDI"/>
    <n v="7.11"/>
    <x v="27"/>
    <x v="27"/>
    <s v=""/>
    <x v="8"/>
    <s v="FINANCEIRO"/>
    <n v="0"/>
    <s v="LETÍCIA"/>
  </r>
  <r>
    <n v="198874"/>
    <s v="KAR"/>
    <s v="600203"/>
    <x v="102"/>
    <s v="BANCO SICREDI"/>
    <n v="60"/>
    <x v="27"/>
    <x v="27"/>
    <s v=""/>
    <x v="8"/>
    <s v="FINANCEIRO"/>
    <n v="0"/>
    <s v="LETÍCIA"/>
  </r>
  <r>
    <n v="198875"/>
    <s v="KAR"/>
    <s v="9500203"/>
    <x v="102"/>
    <s v="BANCO SICREDI"/>
    <n v="9.5"/>
    <x v="29"/>
    <x v="29"/>
    <s v=""/>
    <x v="8"/>
    <s v="FINANCEIRO"/>
    <n v="0"/>
    <s v="LETÍCIA"/>
  </r>
  <r>
    <n v="198876"/>
    <s v="LAY"/>
    <s v="3950203"/>
    <x v="102"/>
    <s v="BANCO SICREDI"/>
    <n v="3.95"/>
    <x v="27"/>
    <x v="27"/>
    <s v=""/>
    <x v="8"/>
    <s v="FINANCEIRO"/>
    <n v="0"/>
    <s v="LETÍCIA"/>
  </r>
  <r>
    <n v="198877"/>
    <s v="LAY"/>
    <s v="0590303"/>
    <x v="37"/>
    <s v="BANCO SICREDI"/>
    <n v="0.59"/>
    <x v="27"/>
    <x v="27"/>
    <s v=""/>
    <x v="8"/>
    <s v="FINANCEIRO"/>
    <n v="0"/>
    <s v="LETÍCIA"/>
  </r>
  <r>
    <n v="198878"/>
    <s v="FK"/>
    <s v="HEMILI"/>
    <x v="37"/>
    <s v="VALERIA DANTAS SILVA"/>
    <n v="33"/>
    <x v="64"/>
    <x v="64"/>
    <s v=""/>
    <x v="4"/>
    <s v="FINANCEIRO"/>
    <n v="0"/>
    <s v="MYLENA"/>
  </r>
  <r>
    <n v="198879"/>
    <s v="FK"/>
    <s v="ALARMEINC"/>
    <x v="30"/>
    <s v="WAGNER SANVEZZO PEREIRINHA 04625378974"/>
    <n v="400"/>
    <x v="46"/>
    <x v="46"/>
    <s v=""/>
    <x v="9"/>
    <s v="MANUTENÇÃO / TI"/>
    <n v="0"/>
    <s v="FÁBIO"/>
  </r>
  <r>
    <n v="198880"/>
    <s v="KAR"/>
    <s v="AYLF-5F59"/>
    <x v="30"/>
    <s v="CENTRO DE GESTAO DE MEIOS DE PAGTO S/A"/>
    <n v="3889.02"/>
    <x v="42"/>
    <x v="42"/>
    <s v=""/>
    <x v="6"/>
    <s v="LOGÍSTICA"/>
    <n v="0"/>
    <s v="MYLENA"/>
  </r>
  <r>
    <n v="198881"/>
    <s v="KAR"/>
    <s v="AYL-6E00"/>
    <x v="30"/>
    <s v="CENTRO DE GESTAO DE MEIOS DE PAGTO S/A"/>
    <n v="3598.87"/>
    <x v="42"/>
    <x v="42"/>
    <s v=""/>
    <x v="6"/>
    <s v="LOGÍSTICA"/>
    <n v="0"/>
    <s v="MYLENA"/>
  </r>
  <r>
    <n v="198882"/>
    <s v="KAR"/>
    <s v="BBH6630"/>
    <x v="30"/>
    <s v="CENTRO DE GESTAO DE MEIOS DE PAGTO S/A"/>
    <n v="49.8"/>
    <x v="42"/>
    <x v="42"/>
    <s v=""/>
    <x v="6"/>
    <s v="LOGÍSTICA"/>
    <n v="0"/>
    <s v="MYLENA"/>
  </r>
  <r>
    <n v="198883"/>
    <s v="KAR"/>
    <s v="BDS-7E01"/>
    <x v="30"/>
    <s v="CENTRO DE GESTAO DE MEIOS DE PAGTO S/A"/>
    <n v="185.23"/>
    <x v="42"/>
    <x v="42"/>
    <s v=""/>
    <x v="6"/>
    <s v="LOGÍSTICA"/>
    <n v="0"/>
    <s v="MYLENA"/>
  </r>
  <r>
    <n v="198884"/>
    <s v="KAR"/>
    <s v="BEH-6E00"/>
    <x v="30"/>
    <s v="CENTRO DE GESTAO DE MEIOS DE PAGTO S/A"/>
    <n v="420.69"/>
    <x v="42"/>
    <x v="42"/>
    <s v=""/>
    <x v="6"/>
    <s v="LOGÍSTICA"/>
    <n v="0"/>
    <s v="MYLENA"/>
  </r>
  <r>
    <n v="198885"/>
    <s v="KAR"/>
    <s v="BEM-6E19"/>
    <x v="30"/>
    <s v="CENTRO DE GESTAO DE MEIOS DE PAGTO S/A"/>
    <n v="1409.03"/>
    <x v="42"/>
    <x v="42"/>
    <s v=""/>
    <x v="6"/>
    <s v="LOGÍSTICA"/>
    <n v="0"/>
    <s v="MYLENA"/>
  </r>
  <r>
    <n v="198886"/>
    <s v="KAR"/>
    <s v="BEM-8409"/>
    <x v="30"/>
    <s v="CENTRO DE GESTAO DE MEIOS DE PAGTO S/A"/>
    <n v="539.54"/>
    <x v="42"/>
    <x v="42"/>
    <s v=""/>
    <x v="6"/>
    <s v="LOGÍSTICA"/>
    <n v="0"/>
    <s v="MYLENA"/>
  </r>
  <r>
    <n v="198887"/>
    <s v="KAR"/>
    <s v="BEM-9J26"/>
    <x v="30"/>
    <s v="CENTRO DE GESTAO DE MEIOS DE PAGTO S/A"/>
    <n v="49.8"/>
    <x v="42"/>
    <x v="42"/>
    <s v=""/>
    <x v="6"/>
    <s v="LOGÍSTICA"/>
    <n v="0"/>
    <s v="MYLENA"/>
  </r>
  <r>
    <n v="198888"/>
    <s v="KAR"/>
    <s v="63523"/>
    <x v="4"/>
    <s v="POSTO FAROL 48 DA CASTELO INTERIOR LTDA"/>
    <n v="619.39"/>
    <x v="37"/>
    <x v="37"/>
    <s v=""/>
    <x v="6"/>
    <s v="LOGÍSTICA"/>
    <n v="0"/>
    <s v="MYLENA"/>
  </r>
  <r>
    <n v="198889"/>
    <s v="KAR"/>
    <s v="62163"/>
    <x v="37"/>
    <s v="F. G. COM. DE PROD. DE HIG. PROF. LTDA."/>
    <n v="628.79999999999995"/>
    <x v="44"/>
    <x v="44"/>
    <s v=""/>
    <x v="9"/>
    <s v="COMPRAS"/>
    <n v="0"/>
    <s v="MYLENA"/>
  </r>
  <r>
    <n v="198890"/>
    <s v="FK"/>
    <s v="NIS0303A"/>
    <x v="37"/>
    <s v="CASA DE FERRAGEM NISHIMOTO"/>
    <n v="90"/>
    <x v="25"/>
    <x v="25"/>
    <s v="FERRAGENS GERAIS"/>
    <x v="2"/>
    <s v="MANUTENÇÃO / TI"/>
    <n v="0"/>
    <s v="FÁBIO"/>
  </r>
  <r>
    <n v="198891"/>
    <s v="FK"/>
    <s v="538340"/>
    <x v="37"/>
    <s v="DUARTE &amp; BALIONI LTDA."/>
    <n v="75.48"/>
    <x v="78"/>
    <x v="78"/>
    <s v=""/>
    <x v="6"/>
    <s v="LOGÍSTICA"/>
    <n v="0"/>
    <s v="MYLENA"/>
  </r>
  <r>
    <n v="198892"/>
    <s v="FK"/>
    <s v="VANDER280"/>
    <x v="30"/>
    <s v="CAMINHAO BEM-6E19"/>
    <n v="1194"/>
    <x v="41"/>
    <x v="41"/>
    <s v=""/>
    <x v="6"/>
    <s v="LOGÍSTICA"/>
    <n v="0"/>
    <s v="MYLENA"/>
  </r>
  <r>
    <n v="198893"/>
    <s v="FK"/>
    <s v="LAMPADA"/>
    <x v="30"/>
    <s v="CAMINHAO BEM-6E19"/>
    <n v="90"/>
    <x v="31"/>
    <x v="31"/>
    <s v=""/>
    <x v="6"/>
    <s v="LOGÍSTICA"/>
    <n v="0"/>
    <s v="MYLENA"/>
  </r>
  <r>
    <n v="198894"/>
    <s v="FK"/>
    <s v="5579"/>
    <x v="30"/>
    <s v="COMERCIO DE COMBUSTIVEIS TBM LTDA."/>
    <n v="2660.42"/>
    <x v="37"/>
    <x v="37"/>
    <s v=""/>
    <x v="6"/>
    <s v="LOGÍSTICA"/>
    <n v="0"/>
    <s v="MYLENA"/>
  </r>
  <r>
    <n v="198895"/>
    <s v="FK"/>
    <s v="5580"/>
    <x v="30"/>
    <s v="COMERCIO DE COMBUSTIVEIS TBM LTDA."/>
    <n v="85.1"/>
    <x v="37"/>
    <x v="37"/>
    <s v=""/>
    <x v="6"/>
    <s v="LOGÍSTICA"/>
    <n v="0"/>
    <s v="MYLENA"/>
  </r>
  <r>
    <n v="198896"/>
    <s v="FK"/>
    <s v="76215"/>
    <x v="102"/>
    <s v="COMERCIO DE COMBUSTIVEIS TBM LTDA."/>
    <n v="50.93"/>
    <x v="37"/>
    <x v="37"/>
    <s v=""/>
    <x v="6"/>
    <s v="LOGÍSTICA"/>
    <n v="0"/>
    <s v="MYLENA"/>
  </r>
  <r>
    <n v="198897"/>
    <s v="KAR"/>
    <s v="2229"/>
    <x v="37"/>
    <s v="ERICA OLMOS BARBEIRO DECORACOES"/>
    <n v="576"/>
    <x v="55"/>
    <x v="55"/>
    <s v=""/>
    <x v="8"/>
    <s v="COMERCIAL"/>
    <n v="0"/>
    <s v="LETÍCIA"/>
  </r>
  <r>
    <n v="198898"/>
    <s v="FK"/>
    <s v="5103"/>
    <x v="12"/>
    <s v="COMERCIO DE COMBUSTIVEIS TBM LTDA."/>
    <n v="285.01"/>
    <x v="37"/>
    <x v="37"/>
    <s v=""/>
    <x v="6"/>
    <s v="LOGÍSTICA"/>
    <n v="0"/>
    <s v="MYLENA"/>
  </r>
  <r>
    <n v="198899"/>
    <s v="FK"/>
    <s v="838335"/>
    <x v="101"/>
    <s v="J. P. DOS SANTOS VIAIS &amp; CIA LTDA."/>
    <n v="185.69"/>
    <x v="37"/>
    <x v="37"/>
    <s v=""/>
    <x v="6"/>
    <s v="LOGÍSTICA"/>
    <n v="0"/>
    <s v="MYLENA"/>
  </r>
  <r>
    <n v="198900"/>
    <s v="KAR"/>
    <s v="333888"/>
    <x v="77"/>
    <s v="AUTO POSTO LIMOEIRO"/>
    <n v="297.8"/>
    <x v="35"/>
    <x v="35"/>
    <s v=""/>
    <x v="9"/>
    <s v="DH"/>
    <n v="0"/>
    <s v="FÁBIO"/>
  </r>
  <r>
    <n v="198901"/>
    <s v="FK"/>
    <s v="PET0303B"/>
    <x v="37"/>
    <s v="ACT GUIRELLI"/>
    <n v="408"/>
    <x v="32"/>
    <x v="32"/>
    <s v=""/>
    <x v="3"/>
    <s v="FINANCEIRO"/>
    <n v="0"/>
    <s v="LETÍCIA"/>
  </r>
  <r>
    <n v="198902"/>
    <s v="KAR"/>
    <s v="724862"/>
    <x v="77"/>
    <s v="AUTO POSTO SANTA TEREZINHA DE AVARE LTDA"/>
    <n v="330.17"/>
    <x v="37"/>
    <x v="37"/>
    <s v=""/>
    <x v="6"/>
    <s v="LOGÍSTICA"/>
    <n v="0"/>
    <s v="MYLENA"/>
  </r>
  <r>
    <n v="198903"/>
    <s v="KAR"/>
    <s v="335948"/>
    <x v="100"/>
    <s v="POSTO E SERVIÇO TIGRAO DA DUTRA"/>
    <n v="1868.49"/>
    <x v="37"/>
    <x v="37"/>
    <s v=""/>
    <x v="6"/>
    <s v="LOGÍSTICA"/>
    <n v="0"/>
    <s v="MYLENA"/>
  </r>
  <r>
    <n v="198904"/>
    <s v="FK"/>
    <s v="LEAN2802"/>
    <x v="30"/>
    <s v="CAMINHAO - AYL-5F59"/>
    <n v="1300"/>
    <x v="41"/>
    <x v="41"/>
    <s v=""/>
    <x v="6"/>
    <s v="LOGÍSTICA"/>
    <n v="0"/>
    <s v="MYLENA"/>
  </r>
  <r>
    <n v="198905"/>
    <s v="KAR"/>
    <s v="165300303"/>
    <x v="37"/>
    <s v="BANCO SICREDI"/>
    <n v="165.3"/>
    <x v="27"/>
    <x v="27"/>
    <s v=""/>
    <x v="8"/>
    <s v="FINANCEIRO"/>
    <n v="0"/>
    <s v="LETÍCIA"/>
  </r>
  <r>
    <n v="198906"/>
    <s v="KAR"/>
    <s v="95110303"/>
    <x v="37"/>
    <s v="BANCO SICREDI"/>
    <n v="95.11"/>
    <x v="27"/>
    <x v="27"/>
    <s v=""/>
    <x v="8"/>
    <s v="FINANCEIRO"/>
    <n v="0"/>
    <s v="LETÍCIA"/>
  </r>
  <r>
    <n v="198907"/>
    <s v="KAR"/>
    <s v="CET030326"/>
    <x v="37"/>
    <s v="BANCO SICREDI"/>
    <n v="1044.1199999999999"/>
    <x v="29"/>
    <x v="29"/>
    <s v=""/>
    <x v="8"/>
    <s v="FINANCEIRO"/>
    <n v="0"/>
    <s v="LETÍCIA"/>
  </r>
  <r>
    <n v="198908"/>
    <s v="KOY"/>
    <s v="11780"/>
    <x v="4"/>
    <s v="LUKPAPER IND. E COM. DE PAPEIS EIRELI"/>
    <n v="812.5"/>
    <x v="44"/>
    <x v="44"/>
    <s v=""/>
    <x v="9"/>
    <s v="COMPRAS"/>
    <n v="0"/>
    <s v="MYLENA"/>
  </r>
  <r>
    <n v="198909"/>
    <s v="KAR"/>
    <s v="JARAGUA"/>
    <x v="37"/>
    <s v="TRIBUNAL DE JUSTIÇA DO ESTADO DO PARANA"/>
    <n v="18.46"/>
    <x v="69"/>
    <x v="69"/>
    <s v=""/>
    <x v="4"/>
    <s v="FINANCEIRO"/>
    <n v="0"/>
    <s v="LETÍCIA"/>
  </r>
  <r>
    <n v="198910"/>
    <s v="KOY"/>
    <s v="11899"/>
    <x v="42"/>
    <s v="LUKPAPER IND. E COM. DE PAPEIS EIRELI"/>
    <n v="212.5"/>
    <x v="45"/>
    <x v="45"/>
    <s v=""/>
    <x v="4"/>
    <s v="ADMINISTRATIVO"/>
    <n v="0"/>
    <s v="MYLENA"/>
  </r>
  <r>
    <n v="198911"/>
    <s v="KOY"/>
    <s v="11898"/>
    <x v="42"/>
    <s v="LUKPAPER IND. E COM. DE PAPEIS EIRELI"/>
    <n v="1150"/>
    <x v="44"/>
    <x v="44"/>
    <s v=""/>
    <x v="9"/>
    <s v="COMPRAS"/>
    <n v="0"/>
    <s v="MYLENA"/>
  </r>
  <r>
    <n v="198912"/>
    <s v="KAR"/>
    <s v="8690303"/>
    <x v="37"/>
    <s v="BANCO SICREDI"/>
    <n v="8.69"/>
    <x v="27"/>
    <x v="27"/>
    <s v=""/>
    <x v="8"/>
    <s v="FINANCEIRO"/>
    <n v="0"/>
    <s v="LETÍCIA"/>
  </r>
  <r>
    <n v="198913"/>
    <s v="KAR"/>
    <s v="0560403"/>
    <x v="42"/>
    <s v="BANCO SICREDI"/>
    <n v="0.56000000000000005"/>
    <x v="27"/>
    <x v="27"/>
    <s v=""/>
    <x v="8"/>
    <s v="FINANCEIRO"/>
    <n v="0"/>
    <s v="LETÍCIA"/>
  </r>
  <r>
    <n v="198914"/>
    <s v="LAY"/>
    <s v="0790303"/>
    <x v="37"/>
    <s v="BANCO SICREDI"/>
    <n v="0.79"/>
    <x v="27"/>
    <x v="27"/>
    <s v=""/>
    <x v="8"/>
    <s v="FINANCEIRO"/>
    <n v="0"/>
    <s v="LETÍCIA"/>
  </r>
  <r>
    <n v="198915"/>
    <s v="KOY"/>
    <s v="0790303"/>
    <x v="37"/>
    <s v="BANCO SICREDI"/>
    <n v="0.79"/>
    <x v="27"/>
    <x v="27"/>
    <s v=""/>
    <x v="8"/>
    <s v="FINANCEIRO"/>
    <n v="0"/>
    <s v="LETÍCIA"/>
  </r>
  <r>
    <n v="198916"/>
    <s v="FK"/>
    <s v="0950303"/>
    <x v="37"/>
    <s v="COOPERATIVA DE CRED.DE LIVRE ADMISSÃO DO NOROESTE"/>
    <n v="0.95"/>
    <x v="27"/>
    <x v="27"/>
    <s v=""/>
    <x v="8"/>
    <s v="FINANCEIRO"/>
    <n v="0"/>
    <s v="LETÍCIA"/>
  </r>
  <r>
    <n v="198918"/>
    <s v="KOY"/>
    <s v="PGTO0326"/>
    <x v="30"/>
    <s v="ARIAN SILVA OLIVEIRA"/>
    <n v="2092.27"/>
    <x v="7"/>
    <x v="7"/>
    <s v=""/>
    <x v="5"/>
    <s v="DH"/>
    <s v="CUSTO MÃO DE OBRA DIRETA"/>
    <s v="RAFAEL"/>
  </r>
  <r>
    <n v="198919"/>
    <s v="KOY"/>
    <s v="PGTO0326"/>
    <x v="30"/>
    <s v="ARTHUR SILVA DE DEUS CORREIA"/>
    <n v="2468.59"/>
    <x v="7"/>
    <x v="7"/>
    <s v=""/>
    <x v="5"/>
    <s v="DH"/>
    <s v="CUSTO MÃO DE OBRA DIRETA"/>
    <s v="RAFAEL"/>
  </r>
  <r>
    <n v="198920"/>
    <s v="KOY"/>
    <s v="PGTO0326"/>
    <x v="30"/>
    <s v="EDUARDO MORALES JACYNTHO"/>
    <n v="3883.86"/>
    <x v="61"/>
    <x v="61"/>
    <s v=""/>
    <x v="9"/>
    <s v="DH"/>
    <s v="CUSTO MÃO DE OBRA DIRETA"/>
    <s v="RAFAEL"/>
  </r>
  <r>
    <n v="198921"/>
    <s v="KOY"/>
    <s v="PGTO0326"/>
    <x v="30"/>
    <s v="EDUARDO RODIGHERO DOS SANTOS"/>
    <n v="2300.9"/>
    <x v="61"/>
    <x v="61"/>
    <s v=""/>
    <x v="9"/>
    <s v="DH"/>
    <s v="CUSTO MÃO DE OBRA DIRETA"/>
    <s v="RAFAEL"/>
  </r>
  <r>
    <n v="198922"/>
    <s v="KOY"/>
    <s v="PGTO0326"/>
    <x v="30"/>
    <s v="FERNANDO FIGUEIREDO"/>
    <n v="2932.59"/>
    <x v="7"/>
    <x v="7"/>
    <s v=""/>
    <x v="5"/>
    <s v="DH"/>
    <s v="CUSTO MÃO DE OBRA DIRETA"/>
    <s v="RAFAEL"/>
  </r>
  <r>
    <n v="198923"/>
    <s v="KOY"/>
    <s v="PGTO0326"/>
    <x v="30"/>
    <s v="GABRIEL NOGUEIRA DIAS"/>
    <n v="1986.28"/>
    <x v="18"/>
    <x v="18"/>
    <s v=""/>
    <x v="7"/>
    <s v="DH"/>
    <n v="0"/>
    <s v="RAFAEL"/>
  </r>
  <r>
    <n v="198924"/>
    <s v="KOY"/>
    <s v="PGTO0326"/>
    <x v="30"/>
    <s v="GUSTAVO NOVAES DA SILVA CARLOS"/>
    <n v="2011.37"/>
    <x v="7"/>
    <x v="7"/>
    <s v=""/>
    <x v="5"/>
    <s v="DH"/>
    <s v="CUSTO MÃO DE OBRA DIRETA"/>
    <s v="RAFAEL"/>
  </r>
  <r>
    <n v="198925"/>
    <s v="KOY"/>
    <s v="PGTO0326"/>
    <x v="30"/>
    <s v="HELEN PATRICIA ANDRE TORRES"/>
    <n v="2394.5700000000002"/>
    <x v="18"/>
    <x v="18"/>
    <s v=""/>
    <x v="7"/>
    <s v="DH"/>
    <n v="0"/>
    <s v="RAFAEL"/>
  </r>
  <r>
    <n v="198926"/>
    <s v="KOY"/>
    <s v="PGTO0326"/>
    <x v="30"/>
    <s v="HUGO CESAR CAMANHO ALVES"/>
    <n v="2443.91"/>
    <x v="7"/>
    <x v="7"/>
    <s v=""/>
    <x v="5"/>
    <s v="DH"/>
    <s v="CUSTO MÃO DE OBRA DIRETA"/>
    <s v="RAFAEL"/>
  </r>
  <r>
    <n v="198927"/>
    <s v="KOY"/>
    <s v="PGTO0326"/>
    <x v="30"/>
    <s v="JANIO DIMAS CONRADO"/>
    <n v="3196"/>
    <x v="7"/>
    <x v="7"/>
    <s v=""/>
    <x v="5"/>
    <s v="DH"/>
    <s v="CUSTO MÃO DE OBRA DIRETA"/>
    <s v="RAFAEL"/>
  </r>
  <r>
    <n v="198928"/>
    <s v="KOY"/>
    <s v="PGTO0326"/>
    <x v="30"/>
    <s v="JESSICA NAIARA APARECIDA CALICCKIO"/>
    <n v="1986.28"/>
    <x v="7"/>
    <x v="7"/>
    <s v=""/>
    <x v="5"/>
    <s v="DH"/>
    <s v="CUSTO MÃO DE OBRA DIRETA"/>
    <s v="RAFAEL"/>
  </r>
  <r>
    <n v="198929"/>
    <s v="KOY"/>
    <s v="PGTO0326"/>
    <x v="30"/>
    <s v="JOSÉ PEDRO PANICIO SANTOS"/>
    <n v="2394.83"/>
    <x v="7"/>
    <x v="7"/>
    <s v=""/>
    <x v="5"/>
    <s v="DH"/>
    <s v="CUSTO MÃO DE OBRA DIRETA"/>
    <s v="RAFAEL"/>
  </r>
  <r>
    <n v="198930"/>
    <s v="KOY"/>
    <s v="PGTO0326"/>
    <x v="30"/>
    <s v="KAYKY DA SILVA ZOCAL"/>
    <n v="2426.59"/>
    <x v="7"/>
    <x v="7"/>
    <s v=""/>
    <x v="5"/>
    <s v="DH"/>
    <s v="CUSTO MÃO DE OBRA DIRETA"/>
    <s v="RAFAEL"/>
  </r>
  <r>
    <n v="198931"/>
    <s v="KOY"/>
    <s v="PGTO0326"/>
    <x v="30"/>
    <s v="LUIZ GABRIEL TORRES MAFE"/>
    <n v="2364.3200000000002"/>
    <x v="7"/>
    <x v="7"/>
    <s v=""/>
    <x v="5"/>
    <s v="DH"/>
    <s v="CUSTO MÃO DE OBRA DIRETA"/>
    <s v="RAFAEL"/>
  </r>
  <r>
    <n v="198932"/>
    <s v="KOY"/>
    <s v="PGTO0326"/>
    <x v="30"/>
    <s v="MATEUS GUILHERME DE OLIVEIRA VALENCIANO"/>
    <n v="2105.04"/>
    <x v="7"/>
    <x v="7"/>
    <s v=""/>
    <x v="5"/>
    <s v="DH"/>
    <s v="CUSTO MÃO DE OBRA DIRETA"/>
    <s v="RAFAEL"/>
  </r>
  <r>
    <n v="198933"/>
    <s v="KOY"/>
    <s v="PGTO0326"/>
    <x v="30"/>
    <s v="TATIANE DA SILVA DE OLIVEIRA"/>
    <n v="2041.21"/>
    <x v="7"/>
    <x v="7"/>
    <s v=""/>
    <x v="5"/>
    <s v="DH"/>
    <s v="CUSTO MÃO DE OBRA DIRETA"/>
    <s v="RAFAEL"/>
  </r>
  <r>
    <n v="198934"/>
    <s v="KOY"/>
    <s v="PGTO0326"/>
    <x v="30"/>
    <s v="TATIANE MARIA ARAUJO"/>
    <n v="2066.64"/>
    <x v="7"/>
    <x v="7"/>
    <s v=""/>
    <x v="5"/>
    <s v="DH"/>
    <s v="CUSTO MÃO DE OBRA DIRETA"/>
    <s v="RAFAEL"/>
  </r>
  <r>
    <n v="198935"/>
    <s v="KAR"/>
    <s v="PGTO0326"/>
    <x v="30"/>
    <s v="ALISSON FACCIO FERREIRA"/>
    <n v="3120.44"/>
    <x v="7"/>
    <x v="7"/>
    <s v=""/>
    <x v="5"/>
    <s v="DH"/>
    <s v="CUSTO MÃO DE OBRA DIRETA"/>
    <s v="RAFAEL"/>
  </r>
  <r>
    <n v="198936"/>
    <s v="KAR"/>
    <s v="PGTO0326"/>
    <x v="30"/>
    <s v="ANDREY DE SOUZA LADISLAU"/>
    <n v="2091.3200000000002"/>
    <x v="7"/>
    <x v="7"/>
    <s v=""/>
    <x v="5"/>
    <s v="DH"/>
    <s v="CUSTO MÃO DE OBRA DIRETA"/>
    <s v="RAFAEL"/>
  </r>
  <r>
    <n v="198937"/>
    <s v="KAR"/>
    <s v="PGTO0326"/>
    <x v="30"/>
    <s v="ANGELA MARIA GIANINI ARROZIO CANGUSSU"/>
    <n v="3298.44"/>
    <x v="7"/>
    <x v="7"/>
    <s v=""/>
    <x v="5"/>
    <s v="DH"/>
    <s v="CUSTO MÃO DE OBRA DIRETA"/>
    <s v="RAFAEL"/>
  </r>
  <r>
    <n v="198938"/>
    <s v="KAR"/>
    <s v="PGTO0326"/>
    <x v="30"/>
    <s v="AYSLAN OLIVEIRA FREITAS_x0009__x0009__x0009__x0009__x0009_"/>
    <n v="2033.34"/>
    <x v="61"/>
    <x v="61"/>
    <s v=""/>
    <x v="9"/>
    <s v="DH"/>
    <s v="CUSTO MÃO DE OBRA DIRETA"/>
    <s v="RAFAEL"/>
  </r>
  <r>
    <n v="198939"/>
    <s v="KAR"/>
    <s v="PGTO0326"/>
    <x v="30"/>
    <s v="BRENDA GABRIELA MUNIS BECK"/>
    <n v="2991.95"/>
    <x v="18"/>
    <x v="18"/>
    <s v=""/>
    <x v="7"/>
    <s v="DH"/>
    <n v="0"/>
    <s v="RAFAEL"/>
  </r>
  <r>
    <n v="198940"/>
    <s v="KAR"/>
    <s v="PGTO0326"/>
    <x v="30"/>
    <s v="BRUNO CÉSAR RODRIGUES"/>
    <n v="2482.9499999999998"/>
    <x v="7"/>
    <x v="7"/>
    <s v=""/>
    <x v="5"/>
    <s v="DH"/>
    <s v="CUSTO MÃO DE OBRA DIRETA"/>
    <s v="RAFAEL"/>
  </r>
  <r>
    <n v="198941"/>
    <s v="KAR"/>
    <s v="PGTO0326"/>
    <x v="30"/>
    <s v="BRUNO RODA DOS SANTOS"/>
    <n v="3949.5"/>
    <x v="7"/>
    <x v="7"/>
    <s v=""/>
    <x v="5"/>
    <s v="DH"/>
    <s v="CUSTO MÃO DE OBRA DIRETA"/>
    <s v="RAFAEL"/>
  </r>
  <r>
    <n v="198942"/>
    <s v="KAR"/>
    <s v="PGTO0326"/>
    <x v="30"/>
    <s v="CAMILA GALÓCIO OLIVETTI"/>
    <n v="2425.4299999999998"/>
    <x v="61"/>
    <x v="61"/>
    <s v=""/>
    <x v="9"/>
    <s v="DH"/>
    <s v="CUSTO MÃO DE OBRA DIRETA"/>
    <s v="RAFAEL"/>
  </r>
  <r>
    <n v="198943"/>
    <s v="KAR"/>
    <s v="PGTO0326"/>
    <x v="30"/>
    <s v="CELIO ROBERTO GARCIA"/>
    <n v="2987.71"/>
    <x v="7"/>
    <x v="7"/>
    <s v=""/>
    <x v="5"/>
    <s v="DH"/>
    <s v="CUSTO MÃO DE OBRA DIRETA"/>
    <s v="RAFAEL"/>
  </r>
  <r>
    <n v="198944"/>
    <s v="KAR"/>
    <s v="PGTO0326"/>
    <x v="30"/>
    <s v="CRISTIANE LEITE DE MORAES"/>
    <n v="2201.96"/>
    <x v="7"/>
    <x v="7"/>
    <s v=""/>
    <x v="5"/>
    <s v="DH"/>
    <s v="CUSTO MÃO DE OBRA DIRETA"/>
    <s v="RAFAEL"/>
  </r>
  <r>
    <n v="198945"/>
    <s v="KAR"/>
    <s v="PGTO0326"/>
    <x v="30"/>
    <s v="DANIEL BRUNNER TAVARES"/>
    <n v="3185.46"/>
    <x v="61"/>
    <x v="61"/>
    <s v=""/>
    <x v="9"/>
    <s v="DH"/>
    <s v="CUSTO MÃO DE OBRA DIRETA"/>
    <s v="RAFAEL"/>
  </r>
  <r>
    <n v="198946"/>
    <s v="KAR"/>
    <s v="PGTO0326"/>
    <x v="30"/>
    <s v="DANIEL RODRIGUES GALÓCIO"/>
    <n v="2347.46"/>
    <x v="7"/>
    <x v="7"/>
    <s v=""/>
    <x v="5"/>
    <s v="DH"/>
    <s v="CUSTO MÃO DE OBRA DIRETA"/>
    <s v="RAFAEL"/>
  </r>
  <r>
    <n v="198947"/>
    <s v="KAR"/>
    <s v="PGTO0326"/>
    <x v="30"/>
    <s v="DANIELLA GOUVEIA OCCULATE"/>
    <n v="2482.0500000000002"/>
    <x v="61"/>
    <x v="61"/>
    <s v=""/>
    <x v="9"/>
    <s v="DH"/>
    <s v="CUSTO MÃO DE OBRA DIRETA"/>
    <s v="RAFAEL"/>
  </r>
  <r>
    <n v="198948"/>
    <s v="KAR"/>
    <s v="PGTO0326"/>
    <x v="30"/>
    <s v="DEBORAH CRISTINA ARCANJO PRIETO"/>
    <n v="868.94"/>
    <x v="18"/>
    <x v="18"/>
    <s v=""/>
    <x v="7"/>
    <s v="DH"/>
    <n v="0"/>
    <s v="RAFAEL"/>
  </r>
  <r>
    <n v="198949"/>
    <s v="KAR"/>
    <s v="PGTO0326"/>
    <x v="30"/>
    <s v="ELVIS CESCATE"/>
    <n v="2885.65"/>
    <x v="7"/>
    <x v="7"/>
    <s v=""/>
    <x v="5"/>
    <s v="DH"/>
    <s v="CUSTO MÃO DE OBRA DIRETA"/>
    <s v="RAFAEL"/>
  </r>
  <r>
    <n v="198950"/>
    <s v="KAR"/>
    <s v="PGTO0326"/>
    <x v="30"/>
    <s v="ERNESTO GONÇALO"/>
    <n v="4408.75"/>
    <x v="18"/>
    <x v="18"/>
    <s v=""/>
    <x v="7"/>
    <s v="DH"/>
    <n v="0"/>
    <s v="RAFAEL"/>
  </r>
  <r>
    <n v="198951"/>
    <s v="KAR"/>
    <s v="PGTO0326"/>
    <x v="30"/>
    <s v="FABIANA DE QUEIROZ LOURO MORAES"/>
    <n v="2136.23"/>
    <x v="18"/>
    <x v="18"/>
    <s v=""/>
    <x v="7"/>
    <s v="DH"/>
    <n v="0"/>
    <s v="RAFAEL"/>
  </r>
  <r>
    <n v="198952"/>
    <s v="KAR"/>
    <s v="PGTO0326"/>
    <x v="30"/>
    <s v="FERNANDO CLEISON PERES"/>
    <n v="4045.07"/>
    <x v="7"/>
    <x v="7"/>
    <s v=""/>
    <x v="5"/>
    <s v="DH"/>
    <s v="CUSTO MÃO DE OBRA DIRETA"/>
    <s v="RAFAEL"/>
  </r>
  <r>
    <n v="198953"/>
    <s v="KAR"/>
    <s v="PGTO0326"/>
    <x v="30"/>
    <s v="GERLAN GALDINO DE ARAUJO"/>
    <n v="1680.04"/>
    <x v="7"/>
    <x v="7"/>
    <s v=""/>
    <x v="5"/>
    <s v="DH"/>
    <s v="CUSTO MÃO DE OBRA DIRETA"/>
    <s v="RAFAEL"/>
  </r>
  <r>
    <n v="198954"/>
    <s v="KAR"/>
    <s v="PGTO0326"/>
    <x v="30"/>
    <s v="GUSTAVO CORREA DA SILVA"/>
    <n v="2770.66"/>
    <x v="7"/>
    <x v="7"/>
    <s v=""/>
    <x v="5"/>
    <s v="DH"/>
    <s v="CUSTO MÃO DE OBRA DIRETA"/>
    <s v="RAFAEL"/>
  </r>
  <r>
    <n v="198955"/>
    <s v="KAR"/>
    <s v="PGTO0326"/>
    <x v="30"/>
    <s v="HERICA SOUSA VIEIRA"/>
    <n v="416.81"/>
    <x v="7"/>
    <x v="7"/>
    <s v=""/>
    <x v="5"/>
    <s v="DH"/>
    <s v="CUSTO MÃO DE OBRA DIRETA"/>
    <s v="RAFAEL"/>
  </r>
  <r>
    <n v="198956"/>
    <s v="KAR"/>
    <s v="PGTO0326"/>
    <x v="30"/>
    <s v="ISAAC MIGUEL VIEIRA DA SILVA"/>
    <n v="714.95"/>
    <x v="18"/>
    <x v="18"/>
    <s v=""/>
    <x v="7"/>
    <s v="DH"/>
    <n v="0"/>
    <s v="RAFAEL"/>
  </r>
  <r>
    <n v="198957"/>
    <s v="KAR"/>
    <s v="PGTO0326"/>
    <x v="30"/>
    <s v="JOABE HENRIQUE DA SILVA DIAS"/>
    <n v="404.3"/>
    <x v="7"/>
    <x v="7"/>
    <s v=""/>
    <x v="5"/>
    <s v="DH"/>
    <s v="CUSTO MÃO DE OBRA DIRETA"/>
    <s v="RAFAEL"/>
  </r>
  <r>
    <n v="198958"/>
    <s v="KAR"/>
    <s v="PGTO0326"/>
    <x v="30"/>
    <s v="JOAO MATEUS DA SILVA SANTOS"/>
    <n v="2001.47"/>
    <x v="7"/>
    <x v="7"/>
    <s v=""/>
    <x v="5"/>
    <s v="DH"/>
    <s v="CUSTO MÃO DE OBRA DIRETA"/>
    <s v="RAFAEL"/>
  </r>
  <r>
    <n v="198959"/>
    <s v="KAR"/>
    <s v="PGTO0326"/>
    <x v="30"/>
    <s v="LEANDRO JOAO DOS SANTOS"/>
    <n v="3416.51"/>
    <x v="7"/>
    <x v="7"/>
    <s v=""/>
    <x v="5"/>
    <s v="DH"/>
    <s v="CUSTO MÃO DE OBRA DIRETA"/>
    <s v="RAFAEL"/>
  </r>
  <r>
    <n v="198960"/>
    <s v="KAR"/>
    <s v="PGTO0326"/>
    <x v="30"/>
    <s v="LEONARDO DE MATTOS PERIGO"/>
    <n v="4011.49"/>
    <x v="61"/>
    <x v="61"/>
    <s v=""/>
    <x v="9"/>
    <s v="DH"/>
    <s v="CUSTO MÃO DE OBRA DIRETA"/>
    <s v="RAFAEL"/>
  </r>
  <r>
    <n v="198961"/>
    <s v="KAR"/>
    <s v="PGTO0326"/>
    <x v="30"/>
    <s v="LETICIA CRISTINA SA BARBOSA"/>
    <n v="4034.58"/>
    <x v="18"/>
    <x v="18"/>
    <s v=""/>
    <x v="7"/>
    <s v="DH"/>
    <n v="0"/>
    <s v="RAFAEL"/>
  </r>
  <r>
    <n v="198962"/>
    <s v="KAR"/>
    <s v="PGTO0326"/>
    <x v="30"/>
    <s v="MARA LUCIA DE LIMA MEDEIROS"/>
    <n v="1573.94"/>
    <x v="7"/>
    <x v="7"/>
    <s v=""/>
    <x v="5"/>
    <s v="DH"/>
    <s v="CUSTO MÃO DE OBRA DIRETA"/>
    <s v="RAFAEL"/>
  </r>
  <r>
    <n v="198963"/>
    <s v="KAR"/>
    <s v="PGTO0326"/>
    <x v="30"/>
    <s v="MARIA APARECIDA FACCIO FERREIRA"/>
    <n v="2051.56"/>
    <x v="7"/>
    <x v="7"/>
    <s v=""/>
    <x v="5"/>
    <s v="DH"/>
    <s v="CUSTO MÃO DE OBRA DIRETA"/>
    <s v="RAFAEL"/>
  </r>
  <r>
    <n v="198964"/>
    <s v="KAR"/>
    <s v="PGTO0326"/>
    <x v="30"/>
    <s v="MARIA DA PAZ DE SOUSA"/>
    <n v="2139.35"/>
    <x v="7"/>
    <x v="7"/>
    <s v=""/>
    <x v="5"/>
    <s v="DH"/>
    <s v="CUSTO MÃO DE OBRA DIRETA"/>
    <s v="RAFAEL"/>
  </r>
  <r>
    <n v="198965"/>
    <s v="KAR"/>
    <s v="PGTO0326"/>
    <x v="30"/>
    <s v="MARIA EDUARDA GOMES MARTIN LOPES"/>
    <n v="864.2"/>
    <x v="18"/>
    <x v="18"/>
    <s v=""/>
    <x v="7"/>
    <s v="DH"/>
    <n v="0"/>
    <s v="RAFAEL"/>
  </r>
  <r>
    <n v="198966"/>
    <s v="KAR"/>
    <s v="PGTO0326"/>
    <x v="30"/>
    <s v="MARIA EDUARDA SANCHES DA SILVA"/>
    <n v="2457.19"/>
    <x v="18"/>
    <x v="18"/>
    <s v=""/>
    <x v="7"/>
    <s v="DH"/>
    <n v="0"/>
    <s v="RAFAEL"/>
  </r>
  <r>
    <n v="198967"/>
    <s v="KAR"/>
    <s v="PGTO0326"/>
    <x v="30"/>
    <s v="MATHEUS HENRIQUE FERVENÇA BRESCHI"/>
    <n v="2328.19"/>
    <x v="7"/>
    <x v="7"/>
    <s v=""/>
    <x v="5"/>
    <s v="DH"/>
    <s v="CUSTO MÃO DE OBRA DIRETA"/>
    <s v="RAFAEL"/>
  </r>
  <r>
    <n v="198968"/>
    <s v="KAR"/>
    <s v="PGTO0326"/>
    <x v="30"/>
    <s v="MURILO DE SOUSA CAETANO"/>
    <n v="2233.0500000000002"/>
    <x v="7"/>
    <x v="7"/>
    <s v=""/>
    <x v="5"/>
    <s v="DH"/>
    <s v="CUSTO MÃO DE OBRA DIRETA"/>
    <s v="RAFAEL"/>
  </r>
  <r>
    <n v="198969"/>
    <s v="KAR"/>
    <s v="PGTO0326"/>
    <x v="30"/>
    <s v="PRISCILA FERNANDES COSTA"/>
    <n v="3006.73"/>
    <x v="18"/>
    <x v="18"/>
    <s v=""/>
    <x v="7"/>
    <s v="DH"/>
    <n v="0"/>
    <s v="RAFAEL"/>
  </r>
  <r>
    <n v="198970"/>
    <s v="KAR"/>
    <s v="PGTO0326"/>
    <x v="30"/>
    <s v="QUEREN FRANCISCA DA SILVA"/>
    <n v="2452.29"/>
    <x v="7"/>
    <x v="7"/>
    <s v=""/>
    <x v="5"/>
    <s v="DH"/>
    <s v="CUSTO MÃO DE OBRA DIRETA"/>
    <s v="RAFAEL"/>
  </r>
  <r>
    <n v="198971"/>
    <s v="KAR"/>
    <s v="PGTO0326"/>
    <x v="30"/>
    <s v="SARAH NEVES DE OLIVEIRA BOLETE"/>
    <n v="2124.41"/>
    <x v="7"/>
    <x v="7"/>
    <s v=""/>
    <x v="5"/>
    <s v="DH"/>
    <s v="CUSTO MÃO DE OBRA DIRETA"/>
    <s v="RAFAEL"/>
  </r>
  <r>
    <n v="198972"/>
    <s v="KAR"/>
    <s v="PGTO0326"/>
    <x v="30"/>
    <s v="SUZIELE CRISTINA MARTINS CARDOSO"/>
    <n v="404.04"/>
    <x v="7"/>
    <x v="7"/>
    <s v=""/>
    <x v="5"/>
    <s v="DH"/>
    <s v="CUSTO MÃO DE OBRA DIRETA"/>
    <s v="RAFAEL"/>
  </r>
  <r>
    <n v="198973"/>
    <s v="KAR"/>
    <s v="PGTO0326"/>
    <x v="30"/>
    <s v="THAIS LOUZADA DA SILVA"/>
    <n v="2696.14"/>
    <x v="18"/>
    <x v="18"/>
    <s v=""/>
    <x v="7"/>
    <s v="DH"/>
    <n v="0"/>
    <s v="RAFAEL"/>
  </r>
  <r>
    <n v="198974"/>
    <s v="KOY"/>
    <s v="8FER26"/>
    <x v="42"/>
    <s v="JANIO DIMAS CONRADO"/>
    <n v="1207.8"/>
    <x v="72"/>
    <x v="72"/>
    <s v=""/>
    <x v="5"/>
    <s v="DH"/>
    <s v="CUSTO MÃO DE OBRA DIRETA"/>
    <s v="RAFAEL"/>
  </r>
  <r>
    <n v="198975"/>
    <s v="KAR"/>
    <s v="3617788"/>
    <x v="36"/>
    <s v="EXPRESSO SAO MIGUEL LTDA"/>
    <n v="221.59"/>
    <x v="48"/>
    <x v="48"/>
    <s v="SERVIÇOS FRETE"/>
    <x v="0"/>
    <s v="COMPRAS"/>
    <n v="0"/>
    <s v="MYLENA"/>
  </r>
  <r>
    <n v="198977"/>
    <s v="LAY"/>
    <s v="PENSÃO0326"/>
    <x v="30"/>
    <s v="LEANDRO OLIVEIRA DA SILVA PANICIO "/>
    <n v="1061.73"/>
    <x v="61"/>
    <x v="61"/>
    <s v=""/>
    <x v="9"/>
    <s v="DH"/>
    <s v="CUSTO MÃO DE OBRA DIRETA"/>
    <s v="RAFAEL"/>
  </r>
  <r>
    <n v="198978"/>
    <s v="LAY"/>
    <s v="PGTO0326"/>
    <x v="30"/>
    <s v="AGNIS CRISTINA MAUSSON"/>
    <n v="1499.67"/>
    <x v="7"/>
    <x v="7"/>
    <s v=""/>
    <x v="5"/>
    <s v="DH"/>
    <s v="CUSTO MÃO DE OBRA DIRETA"/>
    <s v="RAFAEL"/>
  </r>
  <r>
    <n v="198979"/>
    <s v="LAY"/>
    <s v="PGTO0326"/>
    <x v="30"/>
    <s v="AILTON DA SILVA"/>
    <n v="2076.5100000000002"/>
    <x v="18"/>
    <x v="18"/>
    <s v=""/>
    <x v="7"/>
    <s v="DH"/>
    <n v="0"/>
    <s v="RAFAEL"/>
  </r>
  <r>
    <n v="198980"/>
    <s v="LAY"/>
    <s v="PGTO0326"/>
    <x v="30"/>
    <s v="ALESSANDRO DE OLIVEIRA"/>
    <n v="3300.44"/>
    <x v="7"/>
    <x v="7"/>
    <s v=""/>
    <x v="5"/>
    <s v="DH"/>
    <s v="CUSTO MÃO DE OBRA DIRETA"/>
    <s v="RAFAEL"/>
  </r>
  <r>
    <n v="198981"/>
    <s v="LAY"/>
    <s v="PGTO0326"/>
    <x v="30"/>
    <s v="ALEXANDRE ROBERTO BRESCHI"/>
    <n v="2605.89"/>
    <x v="7"/>
    <x v="7"/>
    <s v=""/>
    <x v="5"/>
    <s v="DH"/>
    <s v="CUSTO MÃO DE OBRA DIRETA"/>
    <s v="RAFAEL"/>
  </r>
  <r>
    <n v="198982"/>
    <s v="LAY"/>
    <s v="PGTO0326"/>
    <x v="30"/>
    <s v="ANDERSON DE OLIVEIRA MAFRA"/>
    <n v="4136.7299999999996"/>
    <x v="7"/>
    <x v="7"/>
    <s v=""/>
    <x v="5"/>
    <s v="DH"/>
    <s v="CUSTO MÃO DE OBRA DIRETA"/>
    <s v="RAFAEL"/>
  </r>
  <r>
    <n v="198983"/>
    <s v="LAY"/>
    <s v="PGTO0326"/>
    <x v="30"/>
    <s v="ANDRE FELIPE CARDOSO CANGUÇÚ"/>
    <n v="1937.48"/>
    <x v="18"/>
    <x v="18"/>
    <s v=""/>
    <x v="7"/>
    <s v="DH"/>
    <n v="0"/>
    <s v="RAFAEL"/>
  </r>
  <r>
    <n v="198985"/>
    <s v="LAY"/>
    <s v="PGTO0326"/>
    <x v="30"/>
    <s v="ANDREIA CARULINA DE MORAES"/>
    <n v="2708.15"/>
    <x v="7"/>
    <x v="7"/>
    <s v=""/>
    <x v="5"/>
    <s v="DH"/>
    <s v="CUSTO MÃO DE OBRA DIRETA"/>
    <s v="RAFAEL"/>
  </r>
  <r>
    <n v="198986"/>
    <s v="LAY"/>
    <s v="PGTO0326"/>
    <x v="30"/>
    <s v="ANDREY ALMEIDA SILVA"/>
    <n v="4276.3599999999997"/>
    <x v="7"/>
    <x v="7"/>
    <s v=""/>
    <x v="5"/>
    <s v="DH"/>
    <s v="CUSTO MÃO DE OBRA DIRETA"/>
    <s v="RAFAEL"/>
  </r>
  <r>
    <n v="198987"/>
    <s v="LAY"/>
    <s v="PGTO0326"/>
    <x v="30"/>
    <s v="ANGELO BENTO PANTAROTTO JUNIOR"/>
    <n v="3376.01"/>
    <x v="7"/>
    <x v="7"/>
    <s v=""/>
    <x v="5"/>
    <s v="DH"/>
    <s v="CUSTO MÃO DE OBRA DIRETA"/>
    <s v="RAFAEL"/>
  </r>
  <r>
    <n v="198988"/>
    <s v="LAY"/>
    <s v="PGTO0326"/>
    <x v="30"/>
    <s v="ANTONIA ROSANGELA DE OLIVEIRA"/>
    <n v="2534.13"/>
    <x v="7"/>
    <x v="7"/>
    <s v=""/>
    <x v="5"/>
    <s v="DH"/>
    <s v="CUSTO MÃO DE OBRA DIRETA"/>
    <s v="RAFAEL"/>
  </r>
  <r>
    <n v="198989"/>
    <s v="LAY"/>
    <s v="PGTO0326"/>
    <x v="30"/>
    <s v="AURELIO HENRIQUE DE BORTOLI MOLLHOFF"/>
    <n v="3103.74"/>
    <x v="7"/>
    <x v="7"/>
    <s v=""/>
    <x v="5"/>
    <s v="DH"/>
    <s v="CUSTO MÃO DE OBRA DIRETA"/>
    <s v="RAFAEL"/>
  </r>
  <r>
    <n v="198990"/>
    <s v="LAY"/>
    <s v="PGTO0326"/>
    <x v="30"/>
    <s v="CINTIA VALERIA DE OLIVEIRA E OLIVEIRA"/>
    <n v="2202.11"/>
    <x v="7"/>
    <x v="7"/>
    <s v=""/>
    <x v="5"/>
    <s v="DH"/>
    <s v="CUSTO MÃO DE OBRA DIRETA"/>
    <s v="RAFAEL"/>
  </r>
  <r>
    <n v="198991"/>
    <s v="LAY"/>
    <s v="PGTO0326"/>
    <x v="30"/>
    <s v="CLAUDIO PEREZ GARCIA"/>
    <n v="2646.9"/>
    <x v="7"/>
    <x v="7"/>
    <s v=""/>
    <x v="5"/>
    <s v="DH"/>
    <s v="CUSTO MÃO DE OBRA DIRETA"/>
    <s v="RAFAEL"/>
  </r>
  <r>
    <n v="198992"/>
    <s v="LAY"/>
    <s v="PGTO0326"/>
    <x v="30"/>
    <s v="CLEIDE APARECIDA TRAZPADINI"/>
    <n v="3741.57"/>
    <x v="7"/>
    <x v="7"/>
    <s v=""/>
    <x v="5"/>
    <s v="DH"/>
    <s v="CUSTO MÃO DE OBRA DIRETA"/>
    <s v="RAFAEL"/>
  </r>
  <r>
    <n v="198993"/>
    <s v="LAY"/>
    <s v="PGTO0326"/>
    <x v="30"/>
    <s v="CRISTIANE MARIANO MACHADO"/>
    <n v="2605.62"/>
    <x v="7"/>
    <x v="7"/>
    <s v=""/>
    <x v="5"/>
    <s v="DH"/>
    <s v="CUSTO MÃO DE OBRA DIRETA"/>
    <s v="RAFAEL"/>
  </r>
  <r>
    <n v="198994"/>
    <s v="LAY"/>
    <s v="PGTO0326"/>
    <x v="30"/>
    <s v="DEVANIR LEITE MORAES"/>
    <n v="3303.04"/>
    <x v="7"/>
    <x v="7"/>
    <s v=""/>
    <x v="5"/>
    <s v="DH"/>
    <s v="CUSTO MÃO DE OBRA DIRETA"/>
    <s v="RAFAEL"/>
  </r>
  <r>
    <n v="198995"/>
    <s v="LAY"/>
    <s v="PGTO0326"/>
    <x v="30"/>
    <s v="DIOGENES DE ARCANJO PRIETO"/>
    <n v="3004.64"/>
    <x v="7"/>
    <x v="7"/>
    <s v=""/>
    <x v="5"/>
    <s v="DH"/>
    <s v="CUSTO MÃO DE OBRA DIRETA"/>
    <s v="RAFAEL"/>
  </r>
  <r>
    <n v="198996"/>
    <s v="LAY"/>
    <s v="PGTO0326"/>
    <x v="30"/>
    <s v="DIOGO FERREIRA DOS SANTOS"/>
    <n v="3555.82"/>
    <x v="7"/>
    <x v="7"/>
    <s v=""/>
    <x v="5"/>
    <s v="DH"/>
    <s v="CUSTO MÃO DE OBRA DIRETA"/>
    <s v="RAFAEL"/>
  </r>
  <r>
    <n v="198997"/>
    <s v="LAY"/>
    <s v="PGTO0326"/>
    <x v="30"/>
    <s v="EDINEUZA DA SILVA"/>
    <n v="2985.64"/>
    <x v="7"/>
    <x v="7"/>
    <s v=""/>
    <x v="5"/>
    <s v="DH"/>
    <s v="CUSTO MÃO DE OBRA DIRETA"/>
    <s v="RAFAEL"/>
  </r>
  <r>
    <n v="198998"/>
    <s v="LAY"/>
    <s v="PGTO0326"/>
    <x v="30"/>
    <s v="ELENICE VIEIRA DOS SANTOS"/>
    <n v="1931.24"/>
    <x v="18"/>
    <x v="18"/>
    <s v=""/>
    <x v="7"/>
    <s v="DH"/>
    <n v="0"/>
    <s v="RAFAEL"/>
  </r>
  <r>
    <n v="198999"/>
    <s v="LAY"/>
    <s v="PGTO0326"/>
    <x v="30"/>
    <s v="ELLEN LETICIA  PORTELA GUSMÃO"/>
    <n v="2394.23"/>
    <x v="7"/>
    <x v="7"/>
    <s v=""/>
    <x v="5"/>
    <s v="DH"/>
    <s v="CUSTO MÃO DE OBRA DIRETA"/>
    <s v="RAFAEL"/>
  </r>
  <r>
    <n v="199000"/>
    <s v="LAY"/>
    <s v="PGTO0326"/>
    <x v="30"/>
    <s v="ERICO NATAN DA SILVA OLIVEIRA"/>
    <n v="1889.62"/>
    <x v="7"/>
    <x v="7"/>
    <s v=""/>
    <x v="5"/>
    <s v="DH"/>
    <s v="CUSTO MÃO DE OBRA DIRETA"/>
    <s v="RAFAEL"/>
  </r>
  <r>
    <n v="199001"/>
    <s v="LAY"/>
    <s v="PGTO0326"/>
    <x v="30"/>
    <s v="EUDES ALVES DE BARROS"/>
    <n v="3171.24"/>
    <x v="18"/>
    <x v="18"/>
    <s v=""/>
    <x v="7"/>
    <s v="DH"/>
    <n v="0"/>
    <s v="RAFAEL"/>
  </r>
  <r>
    <n v="199002"/>
    <s v="LAY"/>
    <s v="PGTO0326"/>
    <x v="30"/>
    <s v="FAGNER DA SILVA TOMACHESKI"/>
    <n v="2964.62"/>
    <x v="7"/>
    <x v="7"/>
    <s v=""/>
    <x v="5"/>
    <s v="DH"/>
    <s v="CUSTO MÃO DE OBRA DIRETA"/>
    <s v="RAFAEL"/>
  </r>
  <r>
    <n v="199003"/>
    <s v="LAY"/>
    <s v="PGTO0326"/>
    <x v="30"/>
    <s v="FLAVIO FERREIRA DOS SANTOS"/>
    <n v="4604.57"/>
    <x v="18"/>
    <x v="18"/>
    <s v=""/>
    <x v="7"/>
    <s v="DH"/>
    <n v="0"/>
    <s v="RAFAEL"/>
  </r>
  <r>
    <n v="199004"/>
    <s v="LAY"/>
    <s v="PGTO0326"/>
    <x v="30"/>
    <s v="GABRIEL CARLOS DA SILVA"/>
    <n v="2770.34"/>
    <x v="7"/>
    <x v="7"/>
    <s v=""/>
    <x v="5"/>
    <s v="DH"/>
    <s v="CUSTO MÃO DE OBRA DIRETA"/>
    <s v="RAFAEL"/>
  </r>
  <r>
    <n v="199005"/>
    <s v="LAY"/>
    <s v="PGTO0326"/>
    <x v="30"/>
    <s v="JESSICA DA SILVA MONTEIRO FERREIRA"/>
    <n v="1582.65"/>
    <x v="7"/>
    <x v="7"/>
    <s v=""/>
    <x v="5"/>
    <s v="DH"/>
    <s v="CUSTO MÃO DE OBRA DIRETA"/>
    <s v="RAFAEL"/>
  </r>
  <r>
    <n v="199006"/>
    <s v="LAY"/>
    <s v="PGTO0326"/>
    <x v="30"/>
    <s v="JOÃO OTAVIO NORONHA MARTINS"/>
    <n v="2151.3200000000002"/>
    <x v="61"/>
    <x v="61"/>
    <s v=""/>
    <x v="9"/>
    <s v="DH"/>
    <s v="CUSTO MÃO DE OBRA DIRETA"/>
    <s v="RAFAEL"/>
  </r>
  <r>
    <n v="199007"/>
    <s v="LAY"/>
    <s v="PGTO0326"/>
    <x v="30"/>
    <s v="JOAO PAULO APARECIDO DONER MACEDO"/>
    <n v="2364.16"/>
    <x v="7"/>
    <x v="7"/>
    <s v=""/>
    <x v="5"/>
    <s v="DH"/>
    <s v="CUSTO MÃO DE OBRA DIRETA"/>
    <s v="RAFAEL"/>
  </r>
  <r>
    <n v="199008"/>
    <s v="LAY"/>
    <s v="PGTO0326"/>
    <x v="30"/>
    <s v="JORDANA DENARDI DOS SANTOS CAVALCANTE"/>
    <n v="1790.11"/>
    <x v="7"/>
    <x v="7"/>
    <s v=""/>
    <x v="5"/>
    <s v="DH"/>
    <s v="CUSTO MÃO DE OBRA DIRETA"/>
    <s v="RAFAEL"/>
  </r>
  <r>
    <n v="199009"/>
    <s v="LAY"/>
    <s v="PGTO0326"/>
    <x v="30"/>
    <s v="JOSE RAIMUNDO ISIDORO BUENO"/>
    <n v="3079.5"/>
    <x v="7"/>
    <x v="7"/>
    <s v=""/>
    <x v="5"/>
    <s v="DH"/>
    <s v="CUSTO MÃO DE OBRA DIRETA"/>
    <s v="RAFAEL"/>
  </r>
  <r>
    <n v="199010"/>
    <s v="LAY"/>
    <s v="PGTO0326"/>
    <x v="30"/>
    <s v="JULIANA DA SILVA NARCISO"/>
    <n v="2313.86"/>
    <x v="18"/>
    <x v="18"/>
    <s v=""/>
    <x v="7"/>
    <s v="DH"/>
    <n v="0"/>
    <s v="RAFAEL"/>
  </r>
  <r>
    <n v="199011"/>
    <s v="LAY"/>
    <s v="PGTO0326"/>
    <x v="30"/>
    <s v="LEANDRO APARECIDO MIAZO"/>
    <n v="7284.86"/>
    <x v="18"/>
    <x v="18"/>
    <s v=""/>
    <x v="7"/>
    <s v="DH"/>
    <n v="0"/>
    <s v="RAFAEL"/>
  </r>
  <r>
    <n v="199012"/>
    <s v="LAY"/>
    <s v="PGTO0326"/>
    <x v="30"/>
    <s v="LEANDRO JOSE BOSSO"/>
    <n v="4133.32"/>
    <x v="18"/>
    <x v="18"/>
    <s v=""/>
    <x v="7"/>
    <s v="DH"/>
    <n v="0"/>
    <s v="RAFAEL"/>
  </r>
  <r>
    <n v="199013"/>
    <s v="LAY"/>
    <s v="PGTO0326"/>
    <x v="30"/>
    <s v="LEANDRO OLIVEIRA DA SILVA PANICIO "/>
    <n v="2514.44"/>
    <x v="61"/>
    <x v="61"/>
    <s v=""/>
    <x v="9"/>
    <s v="DH"/>
    <s v="CUSTO MÃO DE OBRA DIRETA"/>
    <s v="RAFAEL"/>
  </r>
  <r>
    <n v="199014"/>
    <s v="LAY"/>
    <s v="PGTO0326"/>
    <x v="30"/>
    <s v="LUIZ FERNANDO SANCHES FACCI"/>
    <n v="3337.38"/>
    <x v="7"/>
    <x v="7"/>
    <s v=""/>
    <x v="5"/>
    <s v="DH"/>
    <s v="CUSTO MÃO DE OBRA DIRETA"/>
    <s v="RAFAEL"/>
  </r>
  <r>
    <n v="199015"/>
    <s v="LAY"/>
    <s v="PGTO0326"/>
    <x v="30"/>
    <s v="MAIELE APARECIDA CAMANHO"/>
    <n v="3168.79"/>
    <x v="61"/>
    <x v="61"/>
    <s v=""/>
    <x v="9"/>
    <s v="DH"/>
    <s v="CUSTO MÃO DE OBRA DIRETA"/>
    <s v="RAFAEL"/>
  </r>
  <r>
    <n v="199016"/>
    <s v="LAY"/>
    <s v="PGTO0326"/>
    <x v="30"/>
    <s v="MARCIO MARSOLA"/>
    <n v="3428.33"/>
    <x v="7"/>
    <x v="7"/>
    <s v=""/>
    <x v="5"/>
    <s v="DH"/>
    <s v="CUSTO MÃO DE OBRA DIRETA"/>
    <s v="RAFAEL"/>
  </r>
  <r>
    <n v="199017"/>
    <s v="LAY"/>
    <s v="PGTO0326"/>
    <x v="30"/>
    <s v="MARCOS ADRIANO GARCIA"/>
    <n v="3405.12"/>
    <x v="7"/>
    <x v="7"/>
    <s v=""/>
    <x v="5"/>
    <s v="DH"/>
    <s v="CUSTO MÃO DE OBRA DIRETA"/>
    <s v="RAFAEL"/>
  </r>
  <r>
    <n v="199018"/>
    <s v="LAY"/>
    <s v="PGTO0326"/>
    <x v="30"/>
    <s v="MATEUS CRUZ DE FREITAS"/>
    <n v="3665.3"/>
    <x v="7"/>
    <x v="7"/>
    <s v=""/>
    <x v="5"/>
    <s v="DH"/>
    <s v="CUSTO MÃO DE OBRA DIRETA"/>
    <s v="RAFAEL"/>
  </r>
  <r>
    <n v="199019"/>
    <s v="LAY"/>
    <s v="PGTO0326"/>
    <x v="30"/>
    <s v="PATRICIA PEREIRA DOS SANTOS DE OLIVEIRA"/>
    <n v="1841.07"/>
    <x v="7"/>
    <x v="7"/>
    <s v=""/>
    <x v="5"/>
    <s v="DH"/>
    <s v="CUSTO MÃO DE OBRA DIRETA"/>
    <s v="RAFAEL"/>
  </r>
  <r>
    <n v="199020"/>
    <s v="LAY"/>
    <s v="PGTO0326"/>
    <x v="30"/>
    <s v="PEDRO HENRIQUE RODRIGUES DOS SANTOS"/>
    <n v="2460.7199999999998"/>
    <x v="7"/>
    <x v="7"/>
    <s v=""/>
    <x v="5"/>
    <s v="DH"/>
    <s v="CUSTO MÃO DE OBRA DIRETA"/>
    <s v="RAFAEL"/>
  </r>
  <r>
    <n v="199021"/>
    <s v="LAY"/>
    <s v="PGTO0326"/>
    <x v="30"/>
    <s v="RAIMUNDO GONZAGA DA SILVA NETO"/>
    <n v="2162.02"/>
    <x v="18"/>
    <x v="18"/>
    <s v=""/>
    <x v="7"/>
    <s v="DH"/>
    <n v="0"/>
    <s v="RAFAEL"/>
  </r>
  <r>
    <n v="199022"/>
    <s v="LAY"/>
    <s v="PGTO0326"/>
    <x v="30"/>
    <s v="RENATA DE SOUZA FUMAGALLI TOMACHESKI"/>
    <n v="3205.85"/>
    <x v="7"/>
    <x v="7"/>
    <s v=""/>
    <x v="5"/>
    <s v="DH"/>
    <s v="CUSTO MÃO DE OBRA DIRETA"/>
    <s v="RAFAEL"/>
  </r>
  <r>
    <n v="199023"/>
    <s v="LAY"/>
    <s v="PGTO0326"/>
    <x v="30"/>
    <s v="RICARDO AUGUSTO PINTO DE SANTANA"/>
    <n v="3101.17"/>
    <x v="7"/>
    <x v="7"/>
    <s v=""/>
    <x v="5"/>
    <s v="DH"/>
    <s v="CUSTO MÃO DE OBRA DIRETA"/>
    <s v="RAFAEL"/>
  </r>
  <r>
    <n v="199024"/>
    <s v="LAY"/>
    <s v="PGTO0326"/>
    <x v="30"/>
    <s v="ROBERTO NOGAROTTO JUNIOR"/>
    <n v="3542.88"/>
    <x v="7"/>
    <x v="7"/>
    <s v=""/>
    <x v="5"/>
    <s v="DH"/>
    <s v="CUSTO MÃO DE OBRA DIRETA"/>
    <s v="RAFAEL"/>
  </r>
  <r>
    <n v="199025"/>
    <s v="LAY"/>
    <s v="PGTO0326"/>
    <x v="30"/>
    <s v="RODRIGO GONÇALVES BRIGANTINI"/>
    <n v="3776.6"/>
    <x v="7"/>
    <x v="7"/>
    <s v=""/>
    <x v="5"/>
    <s v="DH"/>
    <s v="CUSTO MÃO DE OBRA DIRETA"/>
    <s v="RAFAEL"/>
  </r>
  <r>
    <n v="199026"/>
    <s v="LAY"/>
    <s v="PGTO0326"/>
    <x v="30"/>
    <s v="RUTH FERNANDES FREITAS"/>
    <n v="1954.7"/>
    <x v="18"/>
    <x v="18"/>
    <s v=""/>
    <x v="7"/>
    <s v="DH"/>
    <n v="0"/>
    <s v="RAFAEL"/>
  </r>
  <r>
    <n v="199027"/>
    <s v="LAY"/>
    <s v="PGTO0326"/>
    <x v="30"/>
    <s v="SAULO JOSE PINTO DE SANTANA"/>
    <n v="3721.86"/>
    <x v="7"/>
    <x v="7"/>
    <s v=""/>
    <x v="5"/>
    <s v="DH"/>
    <s v="CUSTO MÃO DE OBRA DIRETA"/>
    <s v="RAFAEL"/>
  </r>
  <r>
    <n v="199028"/>
    <s v="LAY"/>
    <s v="PGTO0326"/>
    <x v="30"/>
    <s v="SIDNEI PEREIRA DA COSTA"/>
    <n v="2575.67"/>
    <x v="18"/>
    <x v="18"/>
    <s v=""/>
    <x v="7"/>
    <s v="DH"/>
    <n v="0"/>
    <s v="RAFAEL"/>
  </r>
  <r>
    <n v="199029"/>
    <s v="LAY"/>
    <s v="PGTO0326"/>
    <x v="30"/>
    <s v="SILVANA DA SILVA RAFAEL GARUZI"/>
    <n v="2625.89"/>
    <x v="7"/>
    <x v="7"/>
    <s v=""/>
    <x v="5"/>
    <s v="DH"/>
    <s v="CUSTO MÃO DE OBRA DIRETA"/>
    <s v="RAFAEL"/>
  </r>
  <r>
    <n v="199030"/>
    <s v="LAY"/>
    <s v="PGTO0326"/>
    <x v="30"/>
    <s v="VANDERLEI ALVES BATISTA"/>
    <n v="4545.47"/>
    <x v="18"/>
    <x v="18"/>
    <s v=""/>
    <x v="7"/>
    <s v="DH"/>
    <n v="0"/>
    <s v="RAFAEL"/>
  </r>
  <r>
    <n v="199031"/>
    <s v="LAY"/>
    <s v="PGTO0326"/>
    <x v="30"/>
    <s v="WILSON APARECIDO BOLETTE"/>
    <n v="2804.81"/>
    <x v="7"/>
    <x v="7"/>
    <s v=""/>
    <x v="5"/>
    <s v="DH"/>
    <s v="CUSTO MÃO DE OBRA DIRETA"/>
    <s v="RAFAEL"/>
  </r>
  <r>
    <n v="199033"/>
    <s v="FK"/>
    <s v="MULHER26"/>
    <x v="42"/>
    <s v="ROSELY DA SILVA"/>
    <n v="670"/>
    <x v="16"/>
    <x v="16"/>
    <s v=""/>
    <x v="7"/>
    <s v="DH"/>
    <n v="0"/>
    <s v="MYLENA"/>
  </r>
  <r>
    <n v="199034"/>
    <s v="FK"/>
    <s v="02PNEU"/>
    <x v="42"/>
    <s v="SIDMAR AZOIA JUNIOR"/>
    <n v="2840"/>
    <x v="31"/>
    <x v="31"/>
    <s v=""/>
    <x v="6"/>
    <s v="LOGÍSTICA"/>
    <n v="0"/>
    <s v="MYLENA"/>
  </r>
  <r>
    <n v="199035"/>
    <s v="FK"/>
    <s v="ATRIANI  "/>
    <x v="77"/>
    <s v="KARAM'S IND.E COM.DE ESTOFADOS LTDA"/>
    <n v="169.3"/>
    <x v="35"/>
    <x v="35"/>
    <s v=""/>
    <x v="9"/>
    <s v="DH"/>
    <n v="0"/>
    <s v="FÁBIO"/>
  </r>
  <r>
    <n v="199036"/>
    <s v="FK"/>
    <s v="ATRIANI"/>
    <x v="77"/>
    <s v="KARAM'S IND.E COM.DE ESTOFADOS LTDA"/>
    <n v="499"/>
    <x v="35"/>
    <x v="35"/>
    <s v=""/>
    <x v="9"/>
    <s v="DH"/>
    <n v="0"/>
    <s v="FÁBIO"/>
  </r>
  <r>
    <n v="199037"/>
    <s v="FK"/>
    <s v="ATRIANI"/>
    <x v="77"/>
    <s v="KARAM'S IND.E COM.DE ESTOFADOS LTDA"/>
    <n v="183.6"/>
    <x v="35"/>
    <x v="35"/>
    <s v=""/>
    <x v="9"/>
    <s v="DH"/>
    <n v="0"/>
    <s v="FÁBIO"/>
  </r>
  <r>
    <n v="199038"/>
    <s v="FK"/>
    <s v="ATRIANI"/>
    <x v="42"/>
    <s v="KARAM'S IND.E COM.DE ESTOFADOS LTDA"/>
    <n v="47.4"/>
    <x v="35"/>
    <x v="35"/>
    <s v=""/>
    <x v="9"/>
    <s v="DH"/>
    <n v="0"/>
    <s v="FÁBIO"/>
  </r>
  <r>
    <n v="199039"/>
    <s v="FK"/>
    <s v="NIS0403"/>
    <x v="42"/>
    <s v="CASA DE FERRAGEM NISHIMOTO"/>
    <n v="44"/>
    <x v="30"/>
    <x v="30"/>
    <s v="FERRAGENS GERAIS"/>
    <x v="9"/>
    <s v="MANUTENÇÃO / TI"/>
    <n v="0"/>
    <s v="RAFAEL"/>
  </r>
  <r>
    <n v="199040"/>
    <s v="FK"/>
    <s v="76378"/>
    <x v="42"/>
    <s v="COMERCIO DE COMBUSTIVEIS TBM LTDA."/>
    <n v="31.51"/>
    <x v="46"/>
    <x v="46"/>
    <s v=""/>
    <x v="9"/>
    <s v="MANUTENÇÃO / TI"/>
    <n v="0"/>
    <s v="FÁBIO"/>
  </r>
  <r>
    <n v="199042"/>
    <s v="FK"/>
    <s v="PLACA"/>
    <x v="30"/>
    <s v="ALL VISION  INFORMATICA E ELETRONICA"/>
    <n v="285"/>
    <x v="30"/>
    <x v="30"/>
    <s v=""/>
    <x v="9"/>
    <s v="MANUTENÇÃO / TI"/>
    <n v="0"/>
    <s v="RAFAEL"/>
  </r>
  <r>
    <n v="199043"/>
    <s v="FK"/>
    <s v="25007"/>
    <x v="30"/>
    <s v="BC COMERCIO DE COMBUSTIVEIS LTDA"/>
    <n v="278.70999999999998"/>
    <x v="43"/>
    <x v="43"/>
    <s v=""/>
    <x v="4"/>
    <s v="LOGÍSTICA"/>
    <n v="0"/>
    <s v="LETÍCIA"/>
  </r>
  <r>
    <n v="199044"/>
    <s v="FK"/>
    <s v="GOL280226"/>
    <x v="30"/>
    <s v="KARAM'S IND.E COM.DE ESTOFADOS LTDA"/>
    <n v="250"/>
    <x v="31"/>
    <x v="31"/>
    <s v=""/>
    <x v="6"/>
    <s v="LOGÍSTICA"/>
    <n v="0"/>
    <s v="MYLENA"/>
  </r>
  <r>
    <n v="199046"/>
    <s v="FK"/>
    <s v="JANGADA"/>
    <x v="30"/>
    <s v="BC COMERCIO DE COMBUSTIVEIS LTDA"/>
    <n v="86"/>
    <x v="64"/>
    <x v="64"/>
    <s v=""/>
    <x v="4"/>
    <s v="FINANCEIRO"/>
    <n v="0"/>
    <s v="MYLENA"/>
  </r>
  <r>
    <n v="199047"/>
    <s v="FK"/>
    <s v="223743"/>
    <x v="66"/>
    <s v="LEJON COMERCIO ATACADISTA DE PRODUTOS ALIM EIRELI"/>
    <n v="155.88"/>
    <x v="16"/>
    <x v="16"/>
    <s v=""/>
    <x v="7"/>
    <s v="DH"/>
    <n v="0"/>
    <s v="MYLENA"/>
  </r>
  <r>
    <n v="199048"/>
    <s v="FK"/>
    <s v="CAR223743"/>
    <x v="66"/>
    <s v="LEJON COMERCIO ATACADISTA DE PRODUTOS ALIM EIRELI"/>
    <n v="13.38"/>
    <x v="45"/>
    <x v="45"/>
    <s v=""/>
    <x v="4"/>
    <s v="ADMINISTRATIVO"/>
    <n v="0"/>
    <s v="MYLENA"/>
  </r>
  <r>
    <n v="199049"/>
    <s v="FK"/>
    <s v="NIS0403A"/>
    <x v="42"/>
    <s v="CASA DE FERRAGEM NISHIMOTO"/>
    <n v="200"/>
    <x v="38"/>
    <x v="38"/>
    <s v="FERRAGENS GERAIS"/>
    <x v="5"/>
    <s v="PRODUÇÃO"/>
    <n v="0"/>
    <s v="RAFAEL"/>
  </r>
  <r>
    <n v="199050"/>
    <s v="FK"/>
    <s v="FAB200326"/>
    <x v="42"/>
    <s v="UNIMED DE PARANAVAI COOPERATIVA DE TRABALHO MEDICO"/>
    <n v="1370.85"/>
    <x v="15"/>
    <x v="15"/>
    <s v=""/>
    <x v="7"/>
    <s v="DIRETORIA"/>
    <n v="0"/>
    <s v="FÁBIO"/>
  </r>
  <r>
    <n v="199051"/>
    <s v="FK"/>
    <s v="SUE200326"/>
    <x v="42"/>
    <s v="UNIMED DE PARANAVAI COOPERATIVA DE TRABALHO MEDICO"/>
    <n v="1406.31"/>
    <x v="15"/>
    <x v="15"/>
    <s v=""/>
    <x v="7"/>
    <s v="DIRETORIA"/>
    <n v="0"/>
    <s v="FÁBIO"/>
  </r>
  <r>
    <n v="199052"/>
    <s v="FK"/>
    <s v="KAR200326"/>
    <x v="42"/>
    <s v="UNIMED DE PARANAVAI COOPERATIVA DE TRABALHO MEDICO"/>
    <n v="976.85"/>
    <x v="15"/>
    <x v="15"/>
    <s v=""/>
    <x v="7"/>
    <s v="DIRETORIA"/>
    <n v="0"/>
    <s v="FÁBIO"/>
  </r>
  <r>
    <n v="199053"/>
    <s v="KAR"/>
    <s v="CET0402"/>
    <x v="42"/>
    <s v="BANCO SICREDI"/>
    <n v="1029.81"/>
    <x v="29"/>
    <x v="29"/>
    <s v=""/>
    <x v="8"/>
    <s v="FINANCEIRO"/>
    <n v="0"/>
    <s v="LETÍCIA"/>
  </r>
  <r>
    <n v="199054"/>
    <s v="FK"/>
    <s v="MYL200326"/>
    <x v="42"/>
    <s v="UNIMED DE PARANAVAI COOPERATIVA DE TRABALHO MEDICO"/>
    <n v="808.51"/>
    <x v="15"/>
    <x v="15"/>
    <s v=""/>
    <x v="7"/>
    <s v="DIRETORIA"/>
    <n v="0"/>
    <s v="FÁBIO"/>
  </r>
  <r>
    <n v="199055"/>
    <s v="KAR"/>
    <s v="167210403"/>
    <x v="42"/>
    <s v="BANCO SICREDI"/>
    <n v="167.21"/>
    <x v="27"/>
    <x v="27"/>
    <s v=""/>
    <x v="8"/>
    <s v="FINANCEIRO"/>
    <n v="0"/>
    <s v="LETÍCIA"/>
  </r>
  <r>
    <n v="199056"/>
    <s v="KAR"/>
    <s v="11420"/>
    <x v="42"/>
    <s v="BANCO SICREDI"/>
    <n v="114.2"/>
    <x v="27"/>
    <x v="27"/>
    <s v=""/>
    <x v="8"/>
    <s v="FINANCEIRO"/>
    <n v="0"/>
    <s v="LETÍCIA"/>
  </r>
  <r>
    <n v="199057"/>
    <s v="FK"/>
    <s v="RAF200326"/>
    <x v="42"/>
    <s v="UNIMED DE PARANAVAI COOPERATIVA DE TRABALHO MEDICO"/>
    <n v="1286.3699999999999"/>
    <x v="15"/>
    <x v="15"/>
    <s v=""/>
    <x v="7"/>
    <s v="DIRETORIA"/>
    <n v="0"/>
    <s v="FÁBIO"/>
  </r>
  <r>
    <n v="199058"/>
    <s v="FK"/>
    <s v="PISW01253"/>
    <x v="42"/>
    <s v="JULIANA SILVA QUITÉRIO - ME"/>
    <n v="470.4"/>
    <x v="47"/>
    <x v="47"/>
    <s v=""/>
    <x v="6"/>
    <s v="COMERCIAL"/>
    <n v="0"/>
    <s v="LETÍCIA"/>
  </r>
  <r>
    <n v="199059"/>
    <s v="LAY"/>
    <s v="3950503"/>
    <x v="60"/>
    <s v="BANCO SICREDI"/>
    <n v="3.95"/>
    <x v="27"/>
    <x v="27"/>
    <s v=""/>
    <x v="8"/>
    <s v="FINANCEIRO"/>
    <n v="0"/>
    <s v="LETÍCIA"/>
  </r>
  <r>
    <n v="199060"/>
    <s v="KAR"/>
    <s v="10270403"/>
    <x v="42"/>
    <s v="BANCO SICREDI"/>
    <n v="10.27"/>
    <x v="27"/>
    <x v="27"/>
    <s v=""/>
    <x v="8"/>
    <s v="FINANCEIRO"/>
    <n v="0"/>
    <s v="LETÍCIA"/>
  </r>
  <r>
    <n v="199061"/>
    <s v="KAR"/>
    <s v="2550503"/>
    <x v="60"/>
    <s v="BANCO SICREDI"/>
    <n v="2.5499999999999998"/>
    <x v="27"/>
    <x v="27"/>
    <s v=""/>
    <x v="8"/>
    <s v="FINANCEIRO"/>
    <n v="0"/>
    <s v="LETÍCIA"/>
  </r>
  <r>
    <n v="199062"/>
    <s v="KOY"/>
    <s v="3160403"/>
    <x v="42"/>
    <s v="BANCO SICREDI"/>
    <n v="3.16"/>
    <x v="27"/>
    <x v="27"/>
    <s v=""/>
    <x v="8"/>
    <s v="FINANCEIRO"/>
    <n v="0"/>
    <s v="LETÍCIA"/>
  </r>
  <r>
    <n v="199063"/>
    <s v="KAR"/>
    <s v="50015"/>
    <x v="60"/>
    <s v="MISSLER SOFTWARE BRASIL COMERCIO DE SOFTWARES LTDA"/>
    <n v="2830.41"/>
    <x v="12"/>
    <x v="12"/>
    <s v="TOPSOLID"/>
    <x v="3"/>
    <s v="MANUTENÇÃO / TI"/>
    <n v="0"/>
    <s v="LETÍCIA"/>
  </r>
  <r>
    <n v="199064"/>
    <s v="KOY"/>
    <s v="MULTARESC"/>
    <x v="60"/>
    <s v="EMILI LOPES DE SOUZA"/>
    <n v="4483.63"/>
    <x v="71"/>
    <x v="71"/>
    <s v=""/>
    <x v="7"/>
    <s v="DH"/>
    <n v="0"/>
    <s v="RAFAEL"/>
  </r>
  <r>
    <n v="199065"/>
    <s v="KOY"/>
    <s v="RESCISÃO"/>
    <x v="60"/>
    <s v="EMILI LOPES DE SOUZA"/>
    <n v="7444.64"/>
    <x v="71"/>
    <x v="71"/>
    <s v=""/>
    <x v="7"/>
    <s v="DH"/>
    <n v="0"/>
    <s v="RAFAEL"/>
  </r>
  <r>
    <n v="199066"/>
    <s v="KAR"/>
    <s v="50109"/>
    <x v="60"/>
    <s v="MISSLER SOFTWARE BRASIL COMERCIO DE SOFTWARES LTDA"/>
    <n v="500.86"/>
    <x v="12"/>
    <x v="12"/>
    <s v="TOPSOLID"/>
    <x v="3"/>
    <s v="MANUTENÇÃO / TI"/>
    <n v="0"/>
    <s v="LETÍCIA"/>
  </r>
  <r>
    <n v="199067"/>
    <s v="KAR"/>
    <s v="664115"/>
    <x v="60"/>
    <s v="CAVEMAC IND. COMERCIAL DE MAQUINAS IMP. E EXP. LTD"/>
    <n v="480.95"/>
    <x v="30"/>
    <x v="30"/>
    <s v="MAQUINAS DE COSTURA"/>
    <x v="9"/>
    <s v="MANUTENÇÃO / TI"/>
    <n v="0"/>
    <s v="RAFAEL"/>
  </r>
  <r>
    <n v="199068"/>
    <s v="FK"/>
    <s v="11CG0226"/>
    <x v="30"/>
    <s v="ERICO NATAN DA SILVA OLIVEIRA"/>
    <n v="495"/>
    <x v="78"/>
    <x v="78"/>
    <s v=""/>
    <x v="6"/>
    <s v="LOGÍSTICA"/>
    <n v="0"/>
    <s v="MYLENA"/>
  </r>
  <r>
    <n v="199069"/>
    <s v="FK"/>
    <s v="11CG0226"/>
    <x v="30"/>
    <s v="MARCOS ADRIANO GARCIA"/>
    <n v="495"/>
    <x v="78"/>
    <x v="78"/>
    <s v=""/>
    <x v="6"/>
    <s v="LOGÍSTICA"/>
    <n v="0"/>
    <s v="MYLENA"/>
  </r>
  <r>
    <n v="199070"/>
    <s v="FK"/>
    <s v="11CG0226"/>
    <x v="30"/>
    <s v="ROBERTO NOGAROTTO JUNIOR"/>
    <n v="495"/>
    <x v="78"/>
    <x v="78"/>
    <s v=""/>
    <x v="6"/>
    <s v="LOGÍSTICA"/>
    <n v="0"/>
    <s v="MYLENA"/>
  </r>
  <r>
    <n v="199071"/>
    <s v="FK"/>
    <s v="2CG0226"/>
    <x v="30"/>
    <s v="MARCOS ADRIANO GARCIA"/>
    <n v="40"/>
    <x v="78"/>
    <x v="78"/>
    <s v=""/>
    <x v="6"/>
    <s v="LOGÍSTICA"/>
    <n v="0"/>
    <s v="MYLENA"/>
  </r>
  <r>
    <n v="199072"/>
    <s v="FK"/>
    <s v="2CG0226"/>
    <x v="30"/>
    <s v="VANDERLEI ALVES BATISTA"/>
    <n v="40"/>
    <x v="78"/>
    <x v="78"/>
    <s v=""/>
    <x v="6"/>
    <s v="LOGÍSTICA"/>
    <n v="0"/>
    <s v="MYLENA"/>
  </r>
  <r>
    <n v="199073"/>
    <s v="FK"/>
    <s v="2CG0226"/>
    <x v="30"/>
    <s v="JANIO DIMAS CONRADO"/>
    <n v="90"/>
    <x v="78"/>
    <x v="78"/>
    <s v=""/>
    <x v="6"/>
    <s v="LOGÍSTICA"/>
    <n v="0"/>
    <s v="MYLENA"/>
  </r>
  <r>
    <n v="199074"/>
    <s v="FK"/>
    <s v="2CG0226"/>
    <x v="30"/>
    <s v="ARIAN SILVA OLIVEIRA"/>
    <n v="90"/>
    <x v="78"/>
    <x v="78"/>
    <s v=""/>
    <x v="6"/>
    <s v="LOGÍSTICA"/>
    <n v="0"/>
    <s v="MYLENA"/>
  </r>
  <r>
    <n v="199075"/>
    <s v="FK"/>
    <s v="6CG0226"/>
    <x v="30"/>
    <s v="ROBERTO NOGAROTTO JUNIOR"/>
    <n v="120"/>
    <x v="78"/>
    <x v="78"/>
    <s v=""/>
    <x v="6"/>
    <s v="LOGÍSTICA"/>
    <n v="0"/>
    <s v="MYLENA"/>
  </r>
  <r>
    <n v="199076"/>
    <s v="FK"/>
    <s v="7CG0226"/>
    <x v="30"/>
    <s v="VANDERLEI ALVES BATISTA"/>
    <n v="315"/>
    <x v="78"/>
    <x v="78"/>
    <s v=""/>
    <x v="6"/>
    <s v="LOGÍSTICA"/>
    <n v="0"/>
    <s v="MYLENA"/>
  </r>
  <r>
    <n v="199077"/>
    <s v="KAR"/>
    <s v="549764"/>
    <x v="60"/>
    <s v="ELETROLUZ MATERIAIS ELETRICOS LTDA."/>
    <n v="146.33000000000001"/>
    <x v="46"/>
    <x v="46"/>
    <s v=""/>
    <x v="9"/>
    <s v="MANUTENÇÃO / TI"/>
    <n v="0"/>
    <s v="FÁBIO"/>
  </r>
  <r>
    <n v="199078"/>
    <s v="FK"/>
    <s v="54754"/>
    <x v="60"/>
    <s v="DUARTE &amp; BALIONI LTDA."/>
    <n v="52.08"/>
    <x v="51"/>
    <x v="51"/>
    <s v=""/>
    <x v="4"/>
    <s v="ADMINISTRATIVO"/>
    <n v="0"/>
    <s v="LETÍCIA"/>
  </r>
  <r>
    <n v="199080"/>
    <s v="KAR"/>
    <s v="63749"/>
    <x v="60"/>
    <s v="BANCO SICREDI"/>
    <n v="637.49"/>
    <x v="27"/>
    <x v="27"/>
    <s v=""/>
    <x v="8"/>
    <s v="FINANCEIRO"/>
    <n v="0"/>
    <s v="LETÍCIA"/>
  </r>
  <r>
    <n v="199081"/>
    <s v="KAR"/>
    <s v="41475"/>
    <x v="60"/>
    <s v="BANCO SICREDI"/>
    <n v="414.75"/>
    <x v="27"/>
    <x v="27"/>
    <s v=""/>
    <x v="8"/>
    <s v="FINANCEIRO"/>
    <n v="0"/>
    <s v="LETÍCIA"/>
  </r>
  <r>
    <n v="199082"/>
    <s v="KAR"/>
    <s v="CET0503"/>
    <x v="60"/>
    <s v="BANCO SICREDI"/>
    <n v="3995.08"/>
    <x v="29"/>
    <x v="29"/>
    <s v=""/>
    <x v="8"/>
    <s v="FINANCEIRO"/>
    <n v="0"/>
    <s v="LETÍCIA"/>
  </r>
  <r>
    <n v="199083"/>
    <s v="KAR"/>
    <s v="16-28FE26"/>
    <x v="60"/>
    <s v="ANA VERA ANDRADE CUNHA"/>
    <n v="3076.24"/>
    <x v="47"/>
    <x v="47"/>
    <s v=""/>
    <x v="6"/>
    <s v="COMERCIAL"/>
    <n v="0"/>
    <s v="LETÍCIA"/>
  </r>
  <r>
    <n v="199084"/>
    <s v="KAR"/>
    <s v="16-28FE26"/>
    <x v="60"/>
    <s v="BELA CASA REPRESENTAÇOES LTDA"/>
    <n v="852.77"/>
    <x v="47"/>
    <x v="47"/>
    <s v=""/>
    <x v="6"/>
    <s v="COMERCIAL"/>
    <n v="0"/>
    <s v="LETÍCIA"/>
  </r>
  <r>
    <n v="199086"/>
    <s v="KAR"/>
    <s v="16-28FE26"/>
    <x v="60"/>
    <s v="ELAINE DE OLIVEIRA TESSARO"/>
    <n v="2104.7800000000002"/>
    <x v="47"/>
    <x v="47"/>
    <s v=""/>
    <x v="6"/>
    <s v="COMERCIAL"/>
    <n v="0"/>
    <s v="LETÍCIA"/>
  </r>
  <r>
    <n v="199087"/>
    <s v="KAR"/>
    <s v="16-28FE26"/>
    <x v="60"/>
    <s v="ILHA BELLA COM E REPRESENTAÇOES LTDA"/>
    <n v="2018.96"/>
    <x v="47"/>
    <x v="47"/>
    <s v=""/>
    <x v="6"/>
    <s v="COMERCIAL"/>
    <n v="0"/>
    <s v="LETÍCIA"/>
  </r>
  <r>
    <n v="199088"/>
    <s v="KAR"/>
    <s v="16-28FE26"/>
    <x v="60"/>
    <s v="JUAN JOSE IGLESIAS CARBALLO"/>
    <n v="1119.24"/>
    <x v="47"/>
    <x v="47"/>
    <s v=""/>
    <x v="6"/>
    <s v="COMERCIAL"/>
    <n v="0"/>
    <s v="LETÍCIA"/>
  </r>
  <r>
    <n v="199089"/>
    <s v="KAR"/>
    <s v="16-28FE26"/>
    <x v="60"/>
    <s v="LIGHT REPRESENTAÇÕES LTDA"/>
    <n v="312.14"/>
    <x v="47"/>
    <x v="47"/>
    <s v=""/>
    <x v="6"/>
    <s v="COMERCIAL"/>
    <n v="0"/>
    <s v="LETÍCIA"/>
  </r>
  <r>
    <n v="199090"/>
    <s v="KAR"/>
    <s v="16-28FE26"/>
    <x v="60"/>
    <s v="MARTINS REPRESENTAÇÕES E VENDAS EIRELLI"/>
    <n v="3372.6"/>
    <x v="47"/>
    <x v="47"/>
    <s v=""/>
    <x v="6"/>
    <s v="COMERCIAL"/>
    <n v="0"/>
    <s v="LETÍCIA"/>
  </r>
  <r>
    <n v="199091"/>
    <s v="KAR"/>
    <s v="16-28FE26"/>
    <x v="60"/>
    <s v="PVJ REPRESENTAÇÕES LTDA"/>
    <n v="4801.1099999999997"/>
    <x v="47"/>
    <x v="47"/>
    <s v=""/>
    <x v="6"/>
    <s v="COMERCIAL"/>
    <n v="0"/>
    <s v="LETÍCIA"/>
  </r>
  <r>
    <n v="199092"/>
    <s v="KAR"/>
    <s v="16-28FE26"/>
    <x v="60"/>
    <s v="RICARDO CARVALHO DALANHOL"/>
    <n v="2270.5"/>
    <x v="47"/>
    <x v="47"/>
    <s v=""/>
    <x v="6"/>
    <s v="COMERCIAL"/>
    <n v="0"/>
    <s v="LETÍCIA"/>
  </r>
  <r>
    <n v="199093"/>
    <s v="FK"/>
    <s v="16-28FE26"/>
    <x v="60"/>
    <s v="ANA VERA ANDRADE CUNHA"/>
    <n v="385.86"/>
    <x v="47"/>
    <x v="47"/>
    <s v=""/>
    <x v="6"/>
    <s v="COMERCIAL"/>
    <n v="0"/>
    <s v="LETÍCIA"/>
  </r>
  <r>
    <n v="199094"/>
    <s v="FK"/>
    <s v="16-28FE26"/>
    <x v="60"/>
    <s v="ILHA BELLA COM E REPRESENTAÇOES LTDA"/>
    <n v="49.7"/>
    <x v="47"/>
    <x v="47"/>
    <s v=""/>
    <x v="6"/>
    <s v="COMERCIAL"/>
    <n v="0"/>
    <s v="LETÍCIA"/>
  </r>
  <r>
    <n v="199095"/>
    <s v="FK"/>
    <s v="16-28FE26"/>
    <x v="60"/>
    <s v="JUAN JOSE IGLESIAS CARBALLO"/>
    <n v="884.86"/>
    <x v="47"/>
    <x v="47"/>
    <s v=""/>
    <x v="6"/>
    <s v="COMERCIAL"/>
    <n v="0"/>
    <s v="LETÍCIA"/>
  </r>
  <r>
    <n v="199096"/>
    <s v="FK"/>
    <s v="16-28FE26"/>
    <x v="60"/>
    <s v="MARTINS REPRESENTAÇÕES E VENDAS EIRELLI"/>
    <n v="459.57"/>
    <x v="47"/>
    <x v="47"/>
    <s v=""/>
    <x v="6"/>
    <s v="COMERCIAL"/>
    <n v="0"/>
    <s v="LETÍCIA"/>
  </r>
  <r>
    <n v="199097"/>
    <s v="FK"/>
    <s v="16-28FE26"/>
    <x v="60"/>
    <s v="PVJ REPRESENTAÇÕES LTDA"/>
    <n v="1884.95"/>
    <x v="47"/>
    <x v="47"/>
    <s v=""/>
    <x v="6"/>
    <s v="COMERCIAL"/>
    <n v="0"/>
    <s v="LETÍCIA"/>
  </r>
  <r>
    <n v="199098"/>
    <s v="KOY"/>
    <s v="16-28FE26"/>
    <x v="60"/>
    <s v="BELA CASA REPRESENTAÇOES LTDA"/>
    <n v="577.75"/>
    <x v="47"/>
    <x v="47"/>
    <s v=""/>
    <x v="6"/>
    <s v="COMERCIAL"/>
    <n v="0"/>
    <s v="LETÍCIA"/>
  </r>
  <r>
    <n v="199099"/>
    <s v="KOY"/>
    <s v="16-28FE26"/>
    <x v="60"/>
    <s v="ILHA BELLA COM E REPRESENTAÇOES LTDA"/>
    <n v="1346.18"/>
    <x v="47"/>
    <x v="47"/>
    <s v=""/>
    <x v="6"/>
    <s v="COMERCIAL"/>
    <n v="0"/>
    <s v="LETÍCIA"/>
  </r>
  <r>
    <n v="199100"/>
    <s v="KOY"/>
    <s v="16-28FE26"/>
    <x v="60"/>
    <s v="JUAN JOSE IGLESIAS CARBALLO"/>
    <n v="175.5"/>
    <x v="47"/>
    <x v="47"/>
    <s v=""/>
    <x v="6"/>
    <s v="COMERCIAL"/>
    <n v="0"/>
    <s v="LETÍCIA"/>
  </r>
  <r>
    <n v="199101"/>
    <s v="FK"/>
    <s v="ASILO2026"/>
    <x v="60"/>
    <s v="MITRA DIOCESANA DE PARANAVAI"/>
    <n v="500"/>
    <x v="7"/>
    <x v="7"/>
    <s v=""/>
    <x v="5"/>
    <s v="DH"/>
    <s v="CUSTO MÃO DE OBRA DIRETA"/>
    <s v="RAFAEL"/>
  </r>
  <r>
    <n v="199102"/>
    <s v="KOY"/>
    <s v="16-28FE26"/>
    <x v="60"/>
    <s v="LIGHT REPRESENTAÇÕES LTDA"/>
    <n v="553.02"/>
    <x v="47"/>
    <x v="47"/>
    <s v=""/>
    <x v="6"/>
    <s v="COMERCIAL"/>
    <n v="0"/>
    <s v="LETÍCIA"/>
  </r>
  <r>
    <n v="199103"/>
    <s v="KOY"/>
    <s v="16-28FE26"/>
    <x v="60"/>
    <s v="PVJ REPRESENTAÇÕES LTDA"/>
    <n v="668.84"/>
    <x v="47"/>
    <x v="47"/>
    <s v=""/>
    <x v="6"/>
    <s v="COMERCIAL"/>
    <n v="0"/>
    <s v="LETÍCIA"/>
  </r>
  <r>
    <n v="199104"/>
    <s v="LAY"/>
    <s v="16-28FE26"/>
    <x v="60"/>
    <s v="ANA VERA ANDRADE CUNHA"/>
    <n v="608.47"/>
    <x v="47"/>
    <x v="47"/>
    <s v=""/>
    <x v="6"/>
    <s v="COMERCIAL"/>
    <n v="0"/>
    <s v="LETÍCIA"/>
  </r>
  <r>
    <n v="199105"/>
    <s v="LAY"/>
    <s v="16-28FE26"/>
    <x v="60"/>
    <s v="BELA CASA REPRESENTAÇOES LTDA"/>
    <n v="927.28"/>
    <x v="47"/>
    <x v="47"/>
    <s v=""/>
    <x v="6"/>
    <s v="COMERCIAL"/>
    <n v="0"/>
    <s v="LETÍCIA"/>
  </r>
  <r>
    <n v="199106"/>
    <s v="LAY"/>
    <s v="16-28FE26"/>
    <x v="60"/>
    <s v="ELAINE DE OLIVEIRA TESSARO"/>
    <n v="752.61"/>
    <x v="47"/>
    <x v="47"/>
    <s v=""/>
    <x v="6"/>
    <s v="COMERCIAL"/>
    <n v="0"/>
    <s v="LETÍCIA"/>
  </r>
  <r>
    <n v="199107"/>
    <s v="LAY"/>
    <s v="16-28FE26"/>
    <x v="60"/>
    <s v="ILHA BELLA COM E REPRESENTAÇOES LTDA"/>
    <n v="300"/>
    <x v="47"/>
    <x v="47"/>
    <s v=""/>
    <x v="6"/>
    <s v="COMERCIAL"/>
    <n v="0"/>
    <s v="LETÍCIA"/>
  </r>
  <r>
    <n v="199108"/>
    <s v="LAY"/>
    <s v="16-28FE26"/>
    <x v="60"/>
    <s v="JUAN JOSE IGLESIAS CARBALLO"/>
    <n v="1297.26"/>
    <x v="47"/>
    <x v="47"/>
    <s v=""/>
    <x v="6"/>
    <s v="COMERCIAL"/>
    <n v="0"/>
    <s v="LETÍCIA"/>
  </r>
  <r>
    <n v="199109"/>
    <s v="LAY"/>
    <s v="16-28FE26"/>
    <x v="60"/>
    <s v="LIGHT REPRESENTAÇÕES LTDA"/>
    <n v="174.16"/>
    <x v="47"/>
    <x v="47"/>
    <s v=""/>
    <x v="6"/>
    <s v="COMERCIAL"/>
    <n v="0"/>
    <s v="LETÍCIA"/>
  </r>
  <r>
    <n v="199110"/>
    <s v="LAY"/>
    <s v="16-28FE26"/>
    <x v="60"/>
    <s v="MARTINS REPRESENTAÇÕES E VENDAS EIRELLI"/>
    <n v="970.61"/>
    <x v="47"/>
    <x v="47"/>
    <s v=""/>
    <x v="6"/>
    <s v="COMERCIAL"/>
    <n v="0"/>
    <s v="LETÍCIA"/>
  </r>
  <r>
    <n v="199111"/>
    <s v="LAY"/>
    <s v="16-28FE26"/>
    <x v="60"/>
    <s v="PVJ REPRESENTAÇÕES LTDA"/>
    <n v="316.87"/>
    <x v="47"/>
    <x v="47"/>
    <s v=""/>
    <x v="6"/>
    <s v="COMERCIAL"/>
    <n v="0"/>
    <s v="LETÍCIA"/>
  </r>
  <r>
    <n v="199112"/>
    <s v="LAY"/>
    <s v="16-28FE26"/>
    <x v="60"/>
    <s v="RICARDO CARVALHO DALANHOL"/>
    <n v="603.14"/>
    <x v="47"/>
    <x v="47"/>
    <s v=""/>
    <x v="6"/>
    <s v="COMERCIAL"/>
    <n v="0"/>
    <s v="LETÍCIA"/>
  </r>
  <r>
    <n v="199113"/>
    <s v="LAY"/>
    <s v="PGTO0326"/>
    <x v="30"/>
    <s v="ANDREIA APARECIDA DE OLIVEIRA DUARTE"/>
    <n v="1087.78"/>
    <x v="7"/>
    <x v="7"/>
    <s v=""/>
    <x v="5"/>
    <s v="DH"/>
    <s v="CUSTO MÃO DE OBRA DIRETA"/>
    <s v="RAFAEL"/>
  </r>
  <r>
    <n v="199114"/>
    <s v="KOY"/>
    <s v="13FER26"/>
    <x v="60"/>
    <s v="LUCAS SANTANA ROQUE DE OLIVEIRA"/>
    <n v="1205.6400000000001"/>
    <x v="72"/>
    <x v="72"/>
    <s v=""/>
    <x v="5"/>
    <s v="DH"/>
    <s v="CUSTO MÃO DE OBRA DIRETA"/>
    <s v="RAFAEL"/>
  </r>
  <r>
    <n v="199115"/>
    <s v="KAR"/>
    <s v="01-28FE26"/>
    <x v="30"/>
    <s v="MOLLDE SERVIÇOS"/>
    <n v="19830.12"/>
    <x v="77"/>
    <x v="77"/>
    <s v=""/>
    <x v="6"/>
    <s v="COMERCIAL"/>
    <n v="0"/>
    <s v="LETÍCIA"/>
  </r>
  <r>
    <n v="199116"/>
    <s v="KAR"/>
    <s v="01-28FE26"/>
    <x v="30"/>
    <s v="METTA WORKS DESING LTDA - ME"/>
    <n v="2762.61"/>
    <x v="77"/>
    <x v="77"/>
    <s v=""/>
    <x v="6"/>
    <s v="COMERCIAL"/>
    <n v="0"/>
    <s v="LETÍCIA"/>
  </r>
  <r>
    <n v="199117"/>
    <s v="KAR"/>
    <s v="01-28FE26"/>
    <x v="30"/>
    <s v="SANTELLI COMERCIO DE ARTIGOS DE DECORACAO LTDA"/>
    <n v="7557.86"/>
    <x v="77"/>
    <x v="77"/>
    <s v=""/>
    <x v="6"/>
    <s v="COMERCIAL"/>
    <n v="0"/>
    <s v="LETÍCIA"/>
  </r>
  <r>
    <n v="199118"/>
    <s v="KAR"/>
    <s v="01-28FE26"/>
    <x v="30"/>
    <s v="GABRIEL ANTUNES HENKE CARRANO"/>
    <n v="800.45"/>
    <x v="77"/>
    <x v="77"/>
    <s v=""/>
    <x v="6"/>
    <s v="COMERCIAL"/>
    <n v="0"/>
    <s v="LETÍCIA"/>
  </r>
  <r>
    <n v="199119"/>
    <s v="KAR"/>
    <s v="01-28FE26"/>
    <x v="30"/>
    <s v="ESTUDIO DE DESIGN TIAGO CURIONI"/>
    <n v="325.57"/>
    <x v="77"/>
    <x v="77"/>
    <s v=""/>
    <x v="6"/>
    <s v="COMERCIAL"/>
    <n v="0"/>
    <s v="LETÍCIA"/>
  </r>
  <r>
    <n v="199120"/>
    <s v="KAR"/>
    <s v="01-28FE26"/>
    <x v="30"/>
    <s v="OQ DA CASADESIGN STUDIO LTDA"/>
    <n v="174.24"/>
    <x v="77"/>
    <x v="77"/>
    <s v=""/>
    <x v="6"/>
    <s v="COMERCIAL"/>
    <n v="0"/>
    <s v="LETÍCIA"/>
  </r>
  <r>
    <n v="199121"/>
    <s v="KAR"/>
    <s v="01-28FE26"/>
    <x v="30"/>
    <s v="CONTRAPONTO DESIGN- SERVIÇOS DE DESIGN DE PRODUTOS"/>
    <n v="308.85000000000002"/>
    <x v="77"/>
    <x v="77"/>
    <s v=""/>
    <x v="6"/>
    <s v="COMERCIAL"/>
    <n v="0"/>
    <s v="LETÍCIA"/>
  </r>
  <r>
    <n v="199122"/>
    <s v="KAR"/>
    <s v="01-28FE26"/>
    <x v="30"/>
    <s v="AMBOS ESTUDIO LTDA"/>
    <n v="449.23"/>
    <x v="77"/>
    <x v="77"/>
    <s v=""/>
    <x v="6"/>
    <s v="COMERCIAL"/>
    <n v="0"/>
    <s v="LETÍCIA"/>
  </r>
  <r>
    <n v="199123"/>
    <s v="KAR"/>
    <s v="01-28FE26"/>
    <x v="30"/>
    <s v="KLIVISSON DENNISON C. DOS SANTOS 06534931427"/>
    <n v="1376.5"/>
    <x v="77"/>
    <x v="77"/>
    <s v=""/>
    <x v="6"/>
    <s v="COMERCIAL"/>
    <n v="0"/>
    <s v="LETÍCIA"/>
  </r>
  <r>
    <n v="199124"/>
    <s v="KAR"/>
    <s v="239670603"/>
    <x v="5"/>
    <s v="BANCO SICREDI"/>
    <n v="239.67"/>
    <x v="27"/>
    <x v="27"/>
    <s v=""/>
    <x v="8"/>
    <s v="FINANCEIRO"/>
    <n v="0"/>
    <s v="LETÍCIA"/>
  </r>
  <r>
    <n v="199125"/>
    <s v="KAR"/>
    <s v="9480603"/>
    <x v="60"/>
    <s v="BANCO SICREDI"/>
    <n v="9.48"/>
    <x v="27"/>
    <x v="27"/>
    <s v=""/>
    <x v="8"/>
    <s v="FINANCEIRO"/>
    <n v="0"/>
    <s v="LETÍCIA"/>
  </r>
  <r>
    <n v="199126"/>
    <s v="KAR"/>
    <s v="1580603"/>
    <x v="5"/>
    <s v="BANCO SICREDI"/>
    <n v="1.58"/>
    <x v="27"/>
    <x v="27"/>
    <s v=""/>
    <x v="8"/>
    <s v="FINANCEIRO"/>
    <n v="0"/>
    <s v="LETÍCIA"/>
  </r>
  <r>
    <n v="199127"/>
    <s v="KAR"/>
    <s v="4740503"/>
    <x v="60"/>
    <s v="BANCO SICREDI"/>
    <n v="4.74"/>
    <x v="27"/>
    <x v="27"/>
    <s v=""/>
    <x v="8"/>
    <s v="FINANCEIRO"/>
    <n v="0"/>
    <s v="LETÍCIA"/>
  </r>
  <r>
    <n v="199128"/>
    <s v="KAR"/>
    <s v="0790503"/>
    <x v="60"/>
    <s v="BANCO SICREDI"/>
    <n v="0.79"/>
    <x v="27"/>
    <x v="27"/>
    <s v=""/>
    <x v="8"/>
    <s v="FINANCEIRO"/>
    <n v="0"/>
    <s v="LETÍCIA"/>
  </r>
  <r>
    <n v="199129"/>
    <s v="FK"/>
    <s v="0950503"/>
    <x v="60"/>
    <s v="COOPERATIVA DE CRED.DE LIVRE ADMISSÃO DO NOROESTE"/>
    <n v="0.95"/>
    <x v="27"/>
    <x v="27"/>
    <s v=""/>
    <x v="8"/>
    <s v="FINANCEIRO"/>
    <n v="0"/>
    <s v="LETÍCIA"/>
  </r>
  <r>
    <n v="199130"/>
    <s v="FK"/>
    <s v="CAB030226"/>
    <x v="36"/>
    <s v="MERCADO LIVRE "/>
    <n v="183.6"/>
    <x v="31"/>
    <x v="31"/>
    <s v=""/>
    <x v="6"/>
    <s v="LOGÍSTICA"/>
    <n v="0"/>
    <s v="MYLENA"/>
  </r>
  <r>
    <n v="199132"/>
    <s v="FK"/>
    <s v="CA040226"/>
    <x v="5"/>
    <s v="MERCADO LIVRE "/>
    <n v="398.16"/>
    <x v="24"/>
    <x v="24"/>
    <s v=""/>
    <x v="7"/>
    <s v="MANUTENÇÃO / TI"/>
    <n v="0"/>
    <s v="FÁBIO"/>
  </r>
  <r>
    <n v="199133"/>
    <s v="FK"/>
    <s v="TOM040226"/>
    <x v="41"/>
    <s v="MERCADO LIVRE "/>
    <n v="110.97"/>
    <x v="24"/>
    <x v="24"/>
    <s v=""/>
    <x v="7"/>
    <s v="MANUTENÇÃO / TI"/>
    <n v="0"/>
    <s v="FÁBIO"/>
  </r>
  <r>
    <n v="199136"/>
    <s v="FK"/>
    <s v="KIT040226"/>
    <x v="41"/>
    <s v="MERCADO LIVRE "/>
    <n v="161.91"/>
    <x v="24"/>
    <x v="24"/>
    <s v=""/>
    <x v="7"/>
    <s v="MANUTENÇÃO / TI"/>
    <n v="0"/>
    <s v="FÁBIO"/>
  </r>
  <r>
    <n v="199137"/>
    <s v="LAY"/>
    <s v="53907"/>
    <x v="5"/>
    <s v="BANCO SICREDI"/>
    <n v="539.07000000000005"/>
    <x v="27"/>
    <x v="27"/>
    <s v=""/>
    <x v="8"/>
    <s v="FINANCEIRO"/>
    <n v="0"/>
    <s v="LETÍCIA"/>
  </r>
  <r>
    <n v="199138"/>
    <s v="KAR"/>
    <s v="20718"/>
    <x v="5"/>
    <s v="Tpl Produtos e Equipamentos de Limpeza LTDA"/>
    <n v="516"/>
    <x v="31"/>
    <x v="31"/>
    <s v=""/>
    <x v="6"/>
    <s v="LOGÍSTICA"/>
    <n v="0"/>
    <s v="MYLENA"/>
  </r>
  <r>
    <n v="199139"/>
    <s v="LAY"/>
    <s v="50881"/>
    <x v="5"/>
    <s v="BANCO SICREDI"/>
    <n v="508.81"/>
    <x v="27"/>
    <x v="27"/>
    <s v=""/>
    <x v="8"/>
    <s v="FINANCEIRO"/>
    <n v="0"/>
    <s v="LETÍCIA"/>
  </r>
  <r>
    <n v="199140"/>
    <s v="LAY"/>
    <s v="CET060326"/>
    <x v="5"/>
    <s v="BANCO SICREDI"/>
    <n v="3317.88"/>
    <x v="29"/>
    <x v="29"/>
    <s v=""/>
    <x v="8"/>
    <s v="FINANCEIRO"/>
    <n v="0"/>
    <s v="LETÍCIA"/>
  </r>
  <r>
    <n v="199141"/>
    <s v="FK"/>
    <s v="KIT0402"/>
    <x v="5"/>
    <s v="MERCADO LIVRE "/>
    <n v="49.64"/>
    <x v="24"/>
    <x v="24"/>
    <s v=""/>
    <x v="7"/>
    <s v="MANUTENÇÃO / TI"/>
    <n v="0"/>
    <s v="FÁBIO"/>
  </r>
  <r>
    <n v="199142"/>
    <s v="FK"/>
    <s v="REG040226"/>
    <x v="41"/>
    <s v="MERCADO LIVRE "/>
    <n v="96.6"/>
    <x v="24"/>
    <x v="24"/>
    <s v=""/>
    <x v="7"/>
    <s v="MANUTENÇÃO / TI"/>
    <n v="0"/>
    <s v="FÁBIO"/>
  </r>
  <r>
    <n v="199143"/>
    <s v="FK"/>
    <s v="PULVERIZA"/>
    <x v="41"/>
    <s v="MERCADO LIVRE "/>
    <n v="430.2"/>
    <x v="24"/>
    <x v="24"/>
    <s v=""/>
    <x v="7"/>
    <s v="MANUTENÇÃO / TI"/>
    <n v="0"/>
    <s v="FÁBIO"/>
  </r>
  <r>
    <n v="199145"/>
    <s v="LAY"/>
    <s v="01-28FE26"/>
    <x v="30"/>
    <s v="MOLLDE SERVIÇOS"/>
    <n v="3802"/>
    <x v="77"/>
    <x v="77"/>
    <s v=""/>
    <x v="6"/>
    <s v="COMERCIAL"/>
    <n v="0"/>
    <s v="LETÍCIA"/>
  </r>
  <r>
    <n v="199147"/>
    <s v="KAR"/>
    <s v="20725"/>
    <x v="5"/>
    <s v="Tpl Produtos e Equipamentos de Limpeza LTDA"/>
    <n v="260.89999999999998"/>
    <x v="44"/>
    <x v="44"/>
    <s v=""/>
    <x v="9"/>
    <s v="COMPRAS"/>
    <n v="0"/>
    <s v="MYLENA"/>
  </r>
  <r>
    <n v="199148"/>
    <s v="KAR"/>
    <s v="20719"/>
    <x v="5"/>
    <s v="Tpl Produtos e Equipamentos de Limpeza LTDA"/>
    <n v="145.6"/>
    <x v="45"/>
    <x v="45"/>
    <s v=""/>
    <x v="4"/>
    <s v="ADMINISTRATIVO"/>
    <n v="0"/>
    <s v="MYLENA"/>
  </r>
  <r>
    <n v="199149"/>
    <s v="LAY"/>
    <s v="01-28FE26"/>
    <x v="30"/>
    <s v="SANTELLI COMERCIO DE ARTIGOS DE DECORACAO LTDA"/>
    <n v="1921.29"/>
    <x v="77"/>
    <x v="77"/>
    <s v=""/>
    <x v="6"/>
    <s v="COMERCIAL"/>
    <n v="0"/>
    <s v="LETÍCIA"/>
  </r>
  <r>
    <n v="199150"/>
    <s v="LAY"/>
    <s v="01-28FE26"/>
    <x v="30"/>
    <s v="GABRIEL ANTUNES HENKE CARRANO"/>
    <n v="152.47999999999999"/>
    <x v="77"/>
    <x v="77"/>
    <s v=""/>
    <x v="6"/>
    <s v="COMERCIAL"/>
    <n v="0"/>
    <s v="LETÍCIA"/>
  </r>
  <r>
    <n v="199151"/>
    <s v="KOY"/>
    <s v="01-28FE26"/>
    <x v="30"/>
    <s v="MOLLDE SERVIÇOS"/>
    <n v="1058.48"/>
    <x v="77"/>
    <x v="77"/>
    <s v=""/>
    <x v="6"/>
    <s v="COMERCIAL"/>
    <n v="0"/>
    <s v="LETÍCIA"/>
  </r>
  <r>
    <n v="199152"/>
    <s v="KOY"/>
    <s v="01-28FE"/>
    <x v="30"/>
    <s v="SANTELLI COMERCIO DE ARTIGOS DE DECORACAO LTDA"/>
    <n v="503.27"/>
    <x v="77"/>
    <x v="77"/>
    <s v=""/>
    <x v="6"/>
    <s v="COMERCIAL"/>
    <n v="0"/>
    <s v="LETÍCIA"/>
  </r>
  <r>
    <n v="199153"/>
    <s v="KOY"/>
    <s v="01-28FE26"/>
    <x v="30"/>
    <s v="OQ DA CASADESIGN STUDIO LTDA"/>
    <n v="269.11"/>
    <x v="77"/>
    <x v="77"/>
    <s v=""/>
    <x v="6"/>
    <s v="COMERCIAL"/>
    <n v="0"/>
    <s v="LETÍCIA"/>
  </r>
  <r>
    <n v="199154"/>
    <s v="KOY"/>
    <s v="01-28FE26"/>
    <x v="30"/>
    <s v="CONTRAPONTO DESIGN- SERVIÇOS DE DESIGN DE PRODUTOS"/>
    <n v="2615.06"/>
    <x v="77"/>
    <x v="77"/>
    <s v=""/>
    <x v="6"/>
    <s v="COMERCIAL"/>
    <n v="0"/>
    <s v="LETÍCIA"/>
  </r>
  <r>
    <n v="199155"/>
    <s v="KOY"/>
    <s v="01-28FE26"/>
    <x v="30"/>
    <s v="AMBOS ESTUDIO LTDA"/>
    <n v="1537.91"/>
    <x v="77"/>
    <x v="77"/>
    <s v=""/>
    <x v="6"/>
    <s v="COMERCIAL"/>
    <n v="0"/>
    <s v="LETÍCIA"/>
  </r>
  <r>
    <n v="199156"/>
    <s v="KAR"/>
    <s v="36193"/>
    <x v="5"/>
    <s v="BANCO SICREDI"/>
    <n v="361.93"/>
    <x v="27"/>
    <x v="27"/>
    <s v=""/>
    <x v="8"/>
    <s v="FINANCEIRO"/>
    <n v="0"/>
    <s v="LETÍCIA"/>
  </r>
  <r>
    <n v="199157"/>
    <s v="KAR"/>
    <s v="60287"/>
    <x v="5"/>
    <s v="BANCO SICREDI"/>
    <n v="602.87"/>
    <x v="27"/>
    <x v="27"/>
    <s v=""/>
    <x v="8"/>
    <s v="FINANCEIRO"/>
    <n v="0"/>
    <s v="LETÍCIA"/>
  </r>
  <r>
    <n v="199158"/>
    <s v="KAR"/>
    <s v="CET060326"/>
    <x v="5"/>
    <s v="BANCO SICREDI"/>
    <n v="2140.19"/>
    <x v="29"/>
    <x v="29"/>
    <s v=""/>
    <x v="8"/>
    <s v="FINANCEIRO"/>
    <n v="0"/>
    <s v="LETÍCIA"/>
  </r>
  <r>
    <n v="199160"/>
    <s v="FK"/>
    <s v="NIS0603B"/>
    <x v="5"/>
    <s v="CASA DE FERRAGEM NISHIMOTO"/>
    <n v="105"/>
    <x v="38"/>
    <x v="38"/>
    <s v="FERRAGENS GERAIS"/>
    <x v="5"/>
    <s v="PRODUÇÃO"/>
    <n v="0"/>
    <s v="RAFAEL"/>
  </r>
  <r>
    <n v="199161"/>
    <s v="KOY"/>
    <s v="SALARIO2"/>
    <x v="5"/>
    <s v="FERNANDO FIGUEIREDO"/>
    <n v="2933"/>
    <x v="7"/>
    <x v="7"/>
    <s v=""/>
    <x v="5"/>
    <s v="DH"/>
    <s v="CUSTO MÃO DE OBRA DIRETA"/>
    <s v="RAFAEL"/>
  </r>
  <r>
    <n v="199162"/>
    <s v="FK"/>
    <s v="CAPP60326"/>
    <x v="5"/>
    <s v="A J M SHIHADEH - ME"/>
    <n v="25"/>
    <x v="52"/>
    <x v="52"/>
    <s v=""/>
    <x v="4"/>
    <s v="ADMINISTRATIVO"/>
    <n v="0"/>
    <s v="LETÍCIA"/>
  </r>
  <r>
    <n v="199163"/>
    <s v="KAR"/>
    <s v="12583"/>
    <x v="71"/>
    <s v="PPO PNEUMATICA LTDA"/>
    <n v="168.3"/>
    <x v="30"/>
    <x v="30"/>
    <s v="MATERIAIS PNEUMATICOS"/>
    <x v="9"/>
    <s v="MANUTENÇÃO / TI"/>
    <n v="0"/>
    <s v="RAFAEL"/>
  </r>
  <r>
    <n v="199164"/>
    <s v="KAR"/>
    <s v="26610903"/>
    <x v="71"/>
    <s v="BANCO SICREDI"/>
    <n v="26.61"/>
    <x v="29"/>
    <x v="29"/>
    <s v=""/>
    <x v="8"/>
    <s v="FINANCEIRO"/>
    <n v="0"/>
    <s v="LETÍCIA"/>
  </r>
  <r>
    <n v="199165"/>
    <s v="KAR"/>
    <s v="10450903"/>
    <x v="71"/>
    <s v="BANCO SICREDI"/>
    <n v="10.46"/>
    <x v="29"/>
    <x v="29"/>
    <s v=""/>
    <x v="8"/>
    <s v="FINANCEIRO"/>
    <n v="0"/>
    <s v="LETÍCIA"/>
  </r>
  <r>
    <n v="199166"/>
    <s v="KAR"/>
    <s v="5530603"/>
    <x v="5"/>
    <s v="BANCO SICREDI"/>
    <n v="5.53"/>
    <x v="28"/>
    <x v="28"/>
    <s v=""/>
    <x v="8"/>
    <s v="FINANCEIRO"/>
    <n v="0"/>
    <s v="LETÍCIA"/>
  </r>
  <r>
    <n v="199167"/>
    <s v="LAY"/>
    <s v="0790603"/>
    <x v="5"/>
    <s v="BANCO SICREDI"/>
    <n v="0.79"/>
    <x v="27"/>
    <x v="27"/>
    <s v=""/>
    <x v="8"/>
    <s v="FINANCEIRO"/>
    <n v="0"/>
    <s v="LETÍCIA"/>
  </r>
  <r>
    <n v="199168"/>
    <s v="LAY"/>
    <s v="0950903"/>
    <x v="71"/>
    <s v="BANCO SICREDI"/>
    <n v="0.95"/>
    <x v="27"/>
    <x v="27"/>
    <s v=""/>
    <x v="8"/>
    <s v="FINANCEIRO"/>
    <n v="0"/>
    <s v="LETÍCIA"/>
  </r>
  <r>
    <n v="199169"/>
    <s v="KAR"/>
    <s v="3720"/>
    <x v="71"/>
    <s v="R&amp;J EQUIPAMENTOS LTDA"/>
    <n v="15908.45"/>
    <x v="30"/>
    <x v="30"/>
    <s v="CNC TECIDO"/>
    <x v="9"/>
    <s v="MANUTENÇÃO / TI"/>
    <n v="0"/>
    <s v="RAFAEL"/>
  </r>
  <r>
    <n v="199170"/>
    <s v="KAR"/>
    <s v="131872"/>
    <x v="71"/>
    <s v="OG TRANSPORTES"/>
    <n v="374"/>
    <x v="84"/>
    <x v="84"/>
    <s v=""/>
    <x v="6"/>
    <s v="LOGÍSTICA"/>
    <n v="0"/>
    <s v="MYLENA"/>
  </r>
  <r>
    <n v="199171"/>
    <s v="KAR"/>
    <s v="2241"/>
    <x v="60"/>
    <s v="BANCO SICREDI"/>
    <n v="22.41"/>
    <x v="28"/>
    <x v="28"/>
    <s v=""/>
    <x v="8"/>
    <s v="FINANCEIRO"/>
    <n v="0"/>
    <s v="LETÍCIA"/>
  </r>
  <r>
    <n v="199173"/>
    <s v="FK"/>
    <s v="A DESIGN "/>
    <x v="71"/>
    <s v="MOLLDE SERVIÇOS"/>
    <n v="5570.59"/>
    <x v="50"/>
    <x v="50"/>
    <s v=""/>
    <x v="6"/>
    <s v="COMERCIAL"/>
    <n v="0"/>
    <s v="THAIS"/>
  </r>
  <r>
    <n v="199174"/>
    <s v="KAR"/>
    <s v="0950603"/>
    <x v="5"/>
    <s v="BANCO SICREDI"/>
    <n v="0.95"/>
    <x v="27"/>
    <x v="27"/>
    <s v=""/>
    <x v="8"/>
    <s v="FINANCEIRO"/>
    <n v="0"/>
    <s v="LETÍCIA"/>
  </r>
  <r>
    <n v="199175"/>
    <s v="KAR"/>
    <s v="46114"/>
    <x v="102"/>
    <s v="TRANS APUCARANA TRANSPORTES RODOVIARIOS LTDA"/>
    <n v="268.61"/>
    <x v="48"/>
    <x v="48"/>
    <s v="SERVIÇOS FRETE"/>
    <x v="0"/>
    <s v="COMPRAS"/>
    <n v="0"/>
    <s v="MYLENA"/>
  </r>
  <r>
    <n v="199176"/>
    <s v="KAR"/>
    <s v="46110"/>
    <x v="102"/>
    <s v="TRANS APUCARANA TRANSPORTES RODOVIARIOS LTDA"/>
    <n v="146.77000000000001"/>
    <x v="48"/>
    <x v="48"/>
    <s v="SERVIÇOS FRETE"/>
    <x v="0"/>
    <s v="COMPRAS"/>
    <n v="0"/>
    <s v="MYLENA"/>
  </r>
  <r>
    <n v="199177"/>
    <s v="FK"/>
    <s v="FEV/2026"/>
    <x v="71"/>
    <s v="ANDRE FELIPE CARDOSO CANGUÇÚ"/>
    <n v="5464.21"/>
    <x v="53"/>
    <x v="53"/>
    <s v=""/>
    <x v="6"/>
    <s v="COMERCIAL"/>
    <n v="0"/>
    <s v="LETÍCIA"/>
  </r>
  <r>
    <n v="199178"/>
    <s v="KAR"/>
    <s v="45803"/>
    <x v="102"/>
    <s v="TRANS APUCARANA TRANSPORTES RODOVIARIOS LTDA"/>
    <n v="295.48"/>
    <x v="48"/>
    <x v="48"/>
    <s v="SERVIÇOS FRETE"/>
    <x v="0"/>
    <s v="COMPRAS"/>
    <n v="0"/>
    <s v="MYLENA"/>
  </r>
  <r>
    <n v="199179"/>
    <s v="KAR"/>
    <s v="3320"/>
    <x v="102"/>
    <s v="TRANS APUCARANA TRANSPORTES RODOVIARIOS"/>
    <n v="195.1"/>
    <x v="48"/>
    <x v="48"/>
    <s v=""/>
    <x v="0"/>
    <s v="COMPRAS"/>
    <n v="0"/>
    <s v="MYLENA"/>
  </r>
  <r>
    <n v="199180"/>
    <s v="KAR"/>
    <s v="46738"/>
    <x v="42"/>
    <s v="TRANS APUCARANA TRANSPORTES RODOVIARIOS LTDA"/>
    <n v="825.8"/>
    <x v="48"/>
    <x v="48"/>
    <s v="SERVIÇOS FRETE"/>
    <x v="0"/>
    <s v="COMPRAS"/>
    <n v="0"/>
    <s v="MYLENA"/>
  </r>
  <r>
    <n v="199181"/>
    <s v="FK"/>
    <s v="FEV/2026"/>
    <x v="71"/>
    <s v="LEANDRO APARECIDO MIAZO"/>
    <n v="5051.6000000000004"/>
    <x v="53"/>
    <x v="53"/>
    <s v=""/>
    <x v="6"/>
    <s v="COMERCIAL"/>
    <n v="0"/>
    <s v="LETÍCIA"/>
  </r>
  <r>
    <n v="199183"/>
    <s v="KAR"/>
    <s v="934013"/>
    <x v="71"/>
    <s v="EXPRESSO SAO MIGUEL LTDA"/>
    <n v="488.25"/>
    <x v="48"/>
    <x v="48"/>
    <s v="SERVIÇOS FRETE"/>
    <x v="0"/>
    <s v="COMPRAS"/>
    <n v="0"/>
    <s v="MYLENA"/>
  </r>
  <r>
    <n v="199185"/>
    <s v="FK"/>
    <s v="FEV/26"/>
    <x v="71"/>
    <s v="SILVIA COLLI JORDÃO PRESTES"/>
    <n v="2533.46"/>
    <x v="23"/>
    <x v="23"/>
    <s v=""/>
    <x v="6"/>
    <s v="COMERCIAL"/>
    <n v="0"/>
    <s v="LETÍCIA"/>
  </r>
  <r>
    <n v="199186"/>
    <s v="KAR"/>
    <s v="45530"/>
    <x v="71"/>
    <s v="TRANS APUCARANA TRANSPORTES RODOVIARIOS LTDA"/>
    <n v="110.34"/>
    <x v="48"/>
    <x v="48"/>
    <s v="SERVIÇOS FRETE"/>
    <x v="0"/>
    <s v="COMPRAS"/>
    <n v="0"/>
    <s v="MYLENA"/>
  </r>
  <r>
    <n v="199187"/>
    <s v="KAR"/>
    <s v="45434"/>
    <x v="71"/>
    <s v="TRANS APUCARANA TRANSPORTES RODOVIARIOS LTDA"/>
    <n v="115.06"/>
    <x v="48"/>
    <x v="48"/>
    <s v="SERVIÇOS FRETE"/>
    <x v="0"/>
    <s v="COMPRAS"/>
    <n v="0"/>
    <s v="MYLENA"/>
  </r>
  <r>
    <n v="199188"/>
    <s v="KAR"/>
    <s v="45433"/>
    <x v="71"/>
    <s v="TRANS APUCARANA TRANSPORTES RODOVIARIOS LTDA"/>
    <n v="143.63999999999999"/>
    <x v="48"/>
    <x v="48"/>
    <s v="SERVIÇOS FRETE"/>
    <x v="0"/>
    <s v="COMPRAS"/>
    <n v="0"/>
    <s v="MYLENA"/>
  </r>
  <r>
    <n v="199189"/>
    <s v="KAR"/>
    <s v="ICMS0326"/>
    <x v="30"/>
    <s v="GUIA DE RECOLHIMENTO DO PARANA"/>
    <n v="18493.240000000002"/>
    <x v="85"/>
    <x v="85"/>
    <s v=""/>
    <x v="1"/>
    <s v="FINANCEIRO"/>
    <n v="0"/>
    <s v="LETÍCIA"/>
  </r>
  <r>
    <n v="199190"/>
    <s v="KAR"/>
    <s v="IPI 0326"/>
    <x v="30"/>
    <s v="DOCUMENTO DE ARRECADAÇAO DE RECEITA FEDERAL"/>
    <n v="14761.73"/>
    <x v="86"/>
    <x v="86"/>
    <s v=""/>
    <x v="1"/>
    <s v="FINANCEIRO"/>
    <n v="0"/>
    <s v="LETÍCIA"/>
  </r>
  <r>
    <n v="199191"/>
    <s v="KAR"/>
    <s v="PIS 0326"/>
    <x v="30"/>
    <s v="DOCUMENTO DE ARRECADAÇAO DE RECEITA FEDERAL"/>
    <n v="496.96"/>
    <x v="94"/>
    <x v="94"/>
    <s v=""/>
    <x v="1"/>
    <s v="FINANCEIRO"/>
    <n v="0"/>
    <s v="LETÍCIA"/>
  </r>
  <r>
    <n v="199192"/>
    <s v="KAR"/>
    <s v="COFI 0326"/>
    <x v="30"/>
    <s v="DOCUMENTO DE ARRECADAÇAO DE RECEITA FEDERAL"/>
    <n v="2460.61"/>
    <x v="95"/>
    <x v="95"/>
    <s v=""/>
    <x v="1"/>
    <s v="FINANCEIRO"/>
    <n v="0"/>
    <s v="LETÍCIA"/>
  </r>
  <r>
    <n v="199193"/>
    <s v="KAR"/>
    <s v="RETEN0326"/>
    <x v="30"/>
    <s v="DOCUMENTO DE ARRECADAÇAO DE RECEITA FEDERAL"/>
    <n v="1480.09"/>
    <x v="87"/>
    <x v="87"/>
    <s v=""/>
    <x v="1"/>
    <s v="FINANCEIRO"/>
    <n v="0"/>
    <s v="LETÍCIA"/>
  </r>
  <r>
    <n v="199194"/>
    <s v="KOY"/>
    <s v="DAS 0326"/>
    <x v="30"/>
    <s v="SIMPLES NACIONAL"/>
    <n v="31013.35"/>
    <x v="88"/>
    <x v="88"/>
    <s v=""/>
    <x v="1"/>
    <s v="FINANCEIRO"/>
    <n v="0"/>
    <s v="LETÍCIA"/>
  </r>
  <r>
    <n v="199195"/>
    <s v="KOY"/>
    <s v="ICMSD0326"/>
    <x v="30"/>
    <s v="GUIA DE RECOLHIMENTO DO PARANA"/>
    <n v="482.08"/>
    <x v="85"/>
    <x v="85"/>
    <s v=""/>
    <x v="1"/>
    <s v="FINANCEIRO"/>
    <n v="0"/>
    <s v="LETÍCIA"/>
  </r>
  <r>
    <n v="199196"/>
    <s v="LAY"/>
    <s v="DAS 0326"/>
    <x v="30"/>
    <s v="SIMPLES NACIONAL"/>
    <n v="40706.410000000003"/>
    <x v="88"/>
    <x v="88"/>
    <s v=""/>
    <x v="1"/>
    <s v="FINANCEIRO"/>
    <n v="0"/>
    <s v="LETÍCIA"/>
  </r>
  <r>
    <n v="199197"/>
    <s v="LAY"/>
    <s v="RETEN0326"/>
    <x v="30"/>
    <s v="DOCUMENTO DE ARRECADAÇAO DE RECEITA FEDERAL"/>
    <n v="10"/>
    <x v="87"/>
    <x v="87"/>
    <s v=""/>
    <x v="1"/>
    <s v="FINANCEIRO"/>
    <n v="0"/>
    <s v="LETÍCIA"/>
  </r>
  <r>
    <n v="199198"/>
    <s v="KAR"/>
    <s v="12274"/>
    <x v="71"/>
    <s v="VIPEX TRANSPORTES LTDA"/>
    <n v="136.35"/>
    <x v="65"/>
    <x v="65"/>
    <s v=""/>
    <x v="6"/>
    <s v="LOGÍSTICA"/>
    <n v="0"/>
    <s v="MYLENA"/>
  </r>
  <r>
    <n v="199200"/>
    <s v="KAR"/>
    <s v="14345"/>
    <x v="102"/>
    <s v="REDE DE POSTOS APOLO LTDA - FILIAL 08"/>
    <n v="1198"/>
    <x v="37"/>
    <x v="37"/>
    <s v=""/>
    <x v="6"/>
    <s v="LOGÍSTICA"/>
    <n v="0"/>
    <s v="MYLENA"/>
  </r>
  <r>
    <n v="199201"/>
    <s v="KAR"/>
    <s v="4209"/>
    <x v="37"/>
    <s v="POSTOS PELANDA OSORIO FIGUEIRA"/>
    <n v="1152"/>
    <x v="37"/>
    <x v="37"/>
    <s v=""/>
    <x v="6"/>
    <s v="LOGÍSTICA"/>
    <n v="0"/>
    <s v="MYLENA"/>
  </r>
  <r>
    <n v="199202"/>
    <s v="FK"/>
    <s v="PWR090326"/>
    <x v="71"/>
    <s v="DIAS &amp; LIU LTDA. - ME"/>
    <n v="76"/>
    <x v="6"/>
    <x v="6"/>
    <s v=""/>
    <x v="3"/>
    <s v="FINANCEIRO"/>
    <n v="0"/>
    <s v="LETÍCIA"/>
  </r>
  <r>
    <n v="199203"/>
    <s v="KAR"/>
    <s v="60398"/>
    <x v="5"/>
    <s v="AUTO POSTO PRA FRENTE BRASIL"/>
    <n v="619"/>
    <x v="37"/>
    <x v="37"/>
    <s v=""/>
    <x v="6"/>
    <s v="LOGÍSTICA"/>
    <n v="0"/>
    <s v="MYLENA"/>
  </r>
  <r>
    <n v="199204"/>
    <s v="KAR"/>
    <s v="301341"/>
    <x v="102"/>
    <s v="POSTO 7 BARAO DE ARARAS LTDA."/>
    <n v="58.18"/>
    <x v="37"/>
    <x v="37"/>
    <s v=""/>
    <x v="6"/>
    <s v="LOGÍSTICA"/>
    <n v="0"/>
    <s v="MYLENA"/>
  </r>
  <r>
    <n v="199205"/>
    <s v="KAR"/>
    <s v="301339"/>
    <x v="102"/>
    <s v="POSTO 7 BARAO DE ARARAS LTDA."/>
    <n v="2124.8000000000002"/>
    <x v="37"/>
    <x v="37"/>
    <s v=""/>
    <x v="6"/>
    <s v="LOGÍSTICA"/>
    <n v="0"/>
    <s v="MYLENA"/>
  </r>
  <r>
    <n v="199206"/>
    <s v="KAR"/>
    <s v="60732"/>
    <x v="42"/>
    <s v="POSTO FAROL 48 DA CASTELO LTDA"/>
    <n v="741.32"/>
    <x v="37"/>
    <x v="37"/>
    <s v=""/>
    <x v="6"/>
    <s v="LOGÍSTICA"/>
    <n v="0"/>
    <s v="MYLENA"/>
  </r>
  <r>
    <n v="199207"/>
    <s v="KAR"/>
    <s v="728087"/>
    <x v="60"/>
    <s v="AUTO POSTO SANTA TEREZINHA DE AVARE LTDA"/>
    <n v="50.93"/>
    <x v="37"/>
    <x v="37"/>
    <s v=""/>
    <x v="6"/>
    <s v="LOGÍSTICA"/>
    <n v="0"/>
    <s v="MYLENA"/>
  </r>
  <r>
    <n v="199208"/>
    <s v="KAR"/>
    <s v="728086"/>
    <x v="60"/>
    <s v="AUTO POSTO SANTA TEREZINHA DE AVARE LTDA"/>
    <n v="645.99"/>
    <x v="37"/>
    <x v="37"/>
    <s v=""/>
    <x v="6"/>
    <s v="LOGÍSTICA"/>
    <n v="0"/>
    <s v="MYLENA"/>
  </r>
  <r>
    <n v="199209"/>
    <s v="KAR"/>
    <s v="388551"/>
    <x v="42"/>
    <s v="AUTO POSTO CACIQUE II LTDA"/>
    <n v="676.08"/>
    <x v="37"/>
    <x v="37"/>
    <s v=""/>
    <x v="6"/>
    <s v="LOGÍSTICA"/>
    <n v="0"/>
    <s v="MYLENA"/>
  </r>
  <r>
    <n v="199210"/>
    <s v="KAR"/>
    <s v="219259212"/>
    <x v="7"/>
    <s v="COPEL DISTRIBUICAO S.A"/>
    <n v="8155.15"/>
    <x v="36"/>
    <x v="36"/>
    <s v=""/>
    <x v="5"/>
    <s v="PRODUÇÃO"/>
    <n v="0"/>
    <s v="RAFAEL"/>
  </r>
  <r>
    <n v="199211"/>
    <s v="KAR"/>
    <s v="CASOCA 26/"/>
    <x v="91"/>
    <s v="CASOCA MARKETPLACE LTDA"/>
    <n v="970"/>
    <x v="12"/>
    <x v="12"/>
    <s v="CASOCA"/>
    <x v="3"/>
    <s v="MANUTENÇÃO / TI"/>
    <n v="0"/>
    <s v="LETÍCIA"/>
  </r>
  <r>
    <n v="199223"/>
    <s v="KAR"/>
    <s v="304509"/>
    <x v="71"/>
    <s v="MARINGA FITAS DIST. FITAS E ABRAS INDS LTDA"/>
    <n v="1710.88"/>
    <x v="38"/>
    <x v="38"/>
    <s v=""/>
    <x v="5"/>
    <s v="PRODUÇÃO"/>
    <n v="0"/>
    <s v="RAFAEL"/>
  </r>
  <r>
    <n v="199225"/>
    <s v="KOY"/>
    <s v="DCTFWEB"/>
    <x v="71"/>
    <s v="EXITUS ESCRITORIO DE CONTABILIDADE S/S - EPP"/>
    <n v="364"/>
    <x v="4"/>
    <x v="4"/>
    <s v=""/>
    <x v="3"/>
    <s v="FINANCEIRO"/>
    <n v="0"/>
    <s v="LETÍCIA"/>
  </r>
  <r>
    <n v="199226"/>
    <s v="FK"/>
    <s v="CONS COMER"/>
    <x v="17"/>
    <s v="SILVIA COLLI JORDÃO PRESTES"/>
    <n v="5230.5"/>
    <x v="23"/>
    <x v="23"/>
    <s v=""/>
    <x v="6"/>
    <s v="COMERCIAL"/>
    <n v="0"/>
    <s v="LETÍCIA"/>
  </r>
  <r>
    <n v="199227"/>
    <s v="FK"/>
    <s v="CONS COMER"/>
    <x v="18"/>
    <s v="SILVIA COLLI JORDÃO PRESTES"/>
    <n v="5230.5"/>
    <x v="23"/>
    <x v="23"/>
    <s v=""/>
    <x v="6"/>
    <s v="COMERCIAL"/>
    <n v="0"/>
    <s v="LETÍCIA"/>
  </r>
  <r>
    <n v="199228"/>
    <s v="FK"/>
    <s v="CONS COMER"/>
    <x v="19"/>
    <s v="SILVIA COLLI JORDÃO PRESTES"/>
    <n v="5230.5"/>
    <x v="23"/>
    <x v="23"/>
    <s v=""/>
    <x v="6"/>
    <s v="COMERCIAL"/>
    <n v="0"/>
    <s v="LETÍCIA"/>
  </r>
  <r>
    <n v="199238"/>
    <s v="FK"/>
    <s v="DIFERENÇA "/>
    <x v="17"/>
    <s v="SILVIA COLLI JORDÃO PRESTES"/>
    <n v="1106.4000000000001"/>
    <x v="23"/>
    <x v="23"/>
    <s v=""/>
    <x v="6"/>
    <s v="COMERCIAL"/>
    <n v="0"/>
    <s v="LETÍCIA"/>
  </r>
  <r>
    <n v="199239"/>
    <s v="FK"/>
    <s v="DIFERENÇA "/>
    <x v="18"/>
    <s v="SILVIA COLLI JORDÃO PRESTES"/>
    <n v="1106.4000000000001"/>
    <x v="23"/>
    <x v="23"/>
    <s v=""/>
    <x v="6"/>
    <s v="COMERCIAL"/>
    <n v="0"/>
    <s v="LETÍCIA"/>
  </r>
  <r>
    <n v="199240"/>
    <s v="FK"/>
    <s v="DIFERENÇA "/>
    <x v="19"/>
    <s v="SILVIA COLLI JORDÃO PRESTES"/>
    <n v="1106.4000000000001"/>
    <x v="23"/>
    <x v="23"/>
    <s v=""/>
    <x v="6"/>
    <s v="COMERCIAL"/>
    <n v="0"/>
    <s v="LETÍCIA"/>
  </r>
  <r>
    <n v="199243"/>
    <s v="FK"/>
    <s v="DIFERE26"/>
    <x v="71"/>
    <s v="SILVIA COLLI JORDÃO PRESTES"/>
    <n v="461"/>
    <x v="23"/>
    <x v="23"/>
    <s v=""/>
    <x v="6"/>
    <s v="COMERCIAL"/>
    <n v="0"/>
    <s v="LETÍCIA"/>
  </r>
  <r>
    <n v="199257"/>
    <s v="FK"/>
    <s v="BATA0903"/>
    <x v="71"/>
    <s v="MARIA ANDREIA BUENO DE ALMEIDA BATAER"/>
    <n v="36"/>
    <x v="34"/>
    <x v="34"/>
    <s v=""/>
    <x v="6"/>
    <s v="COMERCIAL"/>
    <n v="0"/>
    <s v="LETÍCIA"/>
  </r>
  <r>
    <n v="199258"/>
    <s v="FK"/>
    <s v="BATA0903A"/>
    <x v="71"/>
    <s v="MARIA ANDREIA BUENO DE ALMEIDA BATAER"/>
    <n v="413.76"/>
    <x v="34"/>
    <x v="34"/>
    <s v=""/>
    <x v="6"/>
    <s v="COMERCIAL"/>
    <n v="0"/>
    <s v="LETÍCIA"/>
  </r>
  <r>
    <n v="199259"/>
    <s v="FK"/>
    <s v="BATA0903B"/>
    <x v="71"/>
    <s v="MARIA ANDREIA BUENO DE ALMEIDA BATAER"/>
    <n v="49.5"/>
    <x v="34"/>
    <x v="34"/>
    <s v=""/>
    <x v="6"/>
    <s v="COMERCIAL"/>
    <n v="0"/>
    <s v="LETÍCIA"/>
  </r>
  <r>
    <n v="199261"/>
    <s v="KAR"/>
    <s v="CONSULT CO"/>
    <x v="17"/>
    <s v="LAZULI CONSULTORIA ESTRATEGICA LTDA"/>
    <n v="5230.5"/>
    <x v="23"/>
    <x v="23"/>
    <s v=""/>
    <x v="6"/>
    <s v="COMERCIAL"/>
    <n v="0"/>
    <s v="LETÍCIA"/>
  </r>
  <r>
    <n v="199262"/>
    <s v="KAR"/>
    <s v="CONSULT CO"/>
    <x v="18"/>
    <s v="LAZULI CONSULTORIA ESTRATEGICA LTDA"/>
    <n v="5230.5"/>
    <x v="23"/>
    <x v="23"/>
    <s v=""/>
    <x v="6"/>
    <s v="COMERCIAL"/>
    <n v="0"/>
    <s v="LETÍCIA"/>
  </r>
  <r>
    <n v="199263"/>
    <s v="KAR"/>
    <s v="CONSULT CO"/>
    <x v="19"/>
    <s v="LAZULI CONSULTORIA ESTRATEGICA LTDA"/>
    <n v="5230.5"/>
    <x v="23"/>
    <x v="23"/>
    <s v=""/>
    <x v="6"/>
    <s v="COMERCIAL"/>
    <n v="0"/>
    <s v="LETÍCIA"/>
  </r>
  <r>
    <n v="199273"/>
    <s v="FK"/>
    <s v="TESTE 3"/>
    <x v="42"/>
    <s v="DANIEL BRUNNER TAVARES"/>
    <n v="20"/>
    <x v="17"/>
    <x v="17"/>
    <s v=""/>
    <x v="8"/>
    <s v="FINANCEIRO"/>
    <n v="0"/>
    <s v="LETÍCIA"/>
  </r>
  <r>
    <n v="199274"/>
    <s v="KAR"/>
    <s v="3566"/>
    <x v="71"/>
    <s v="FISCHERTEC MAQUINAS E AUTOMAÇÃO IND. LTDA EPP"/>
    <n v="240"/>
    <x v="38"/>
    <x v="38"/>
    <s v=""/>
    <x v="5"/>
    <s v="PRODUÇÃO"/>
    <n v="0"/>
    <s v="RAFAEL"/>
  </r>
  <r>
    <n v="199275"/>
    <s v="FK"/>
    <s v="LIV090326"/>
    <x v="71"/>
    <s v="MERCADO LIVRE "/>
    <n v="34.9"/>
    <x v="35"/>
    <x v="35"/>
    <s v=""/>
    <x v="9"/>
    <s v="DH"/>
    <n v="0"/>
    <s v="FÁBIO"/>
  </r>
  <r>
    <n v="199276"/>
    <s v="FK"/>
    <s v="NETO0603"/>
    <x v="71"/>
    <s v="CAMINHÃO - AYL-6E00"/>
    <n v="2200"/>
    <x v="41"/>
    <x v="41"/>
    <s v=""/>
    <x v="6"/>
    <s v="LOGÍSTICA"/>
    <n v="0"/>
    <s v="MYLENA"/>
  </r>
  <r>
    <n v="199277"/>
    <s v="FK"/>
    <s v="6317"/>
    <x v="5"/>
    <s v="COMERCIO DE COMBUSTIVEIS TBM LTDA."/>
    <n v="2671.66"/>
    <x v="37"/>
    <x v="37"/>
    <s v=""/>
    <x v="6"/>
    <s v="LOGÍSTICA"/>
    <n v="0"/>
    <s v="MYLENA"/>
  </r>
  <r>
    <n v="199278"/>
    <s v="FK"/>
    <s v="VANDE0603"/>
    <x v="71"/>
    <s v="CAMINHÃO / BEH-6E00"/>
    <n v="1075"/>
    <x v="41"/>
    <x v="41"/>
    <s v=""/>
    <x v="6"/>
    <s v="LOGÍSTICA"/>
    <n v="0"/>
    <s v="MYLENA"/>
  </r>
  <r>
    <n v="199279"/>
    <s v="FK"/>
    <s v="6274"/>
    <x v="5"/>
    <s v="COMERCIO DE COMBUSTIVEIS TBM LTDA."/>
    <n v="602.23"/>
    <x v="37"/>
    <x v="37"/>
    <s v=""/>
    <x v="6"/>
    <s v="LOGÍSTICA"/>
    <n v="0"/>
    <s v="MYLENA"/>
  </r>
  <r>
    <n v="199280"/>
    <s v="KAR"/>
    <s v="FGTS0326M"/>
    <x v="30"/>
    <s v="FUNDO DE GARANTIA POR TEMPO DE SERVIÇO"/>
    <n v="8068.23"/>
    <x v="81"/>
    <x v="81"/>
    <s v=""/>
    <x v="5"/>
    <s v="DH"/>
    <s v="CUSTO MÃO DE OBRA DIRETA"/>
    <s v="RAFAEL"/>
  </r>
  <r>
    <n v="199281"/>
    <s v="KAR"/>
    <s v="FGTS0326C"/>
    <x v="30"/>
    <s v="FUNDO DE GARANTIA POR TEMPO DE SERVIÇO"/>
    <n v="2370.79"/>
    <x v="80"/>
    <x v="80"/>
    <s v=""/>
    <x v="9"/>
    <s v="DH"/>
    <s v="CUSTO MÃO DE OBRA DIRETA"/>
    <s v="RAFAEL"/>
  </r>
  <r>
    <n v="199282"/>
    <s v="KAR"/>
    <s v="FGTS0326A"/>
    <x v="30"/>
    <s v="FUNDO DE GARANTIA POR TEMPO DE SERVIÇO"/>
    <n v="2516.52"/>
    <x v="79"/>
    <x v="79"/>
    <s v=""/>
    <x v="7"/>
    <s v="DH"/>
    <n v="0"/>
    <s v="RAFAEL"/>
  </r>
  <r>
    <n v="199283"/>
    <s v="LAY"/>
    <s v="FGTS0326A"/>
    <x v="30"/>
    <s v="FUNDO DE GARANTIA POR TEMPO DE SERVIÇO"/>
    <n v="6599.04"/>
    <x v="79"/>
    <x v="79"/>
    <s v=""/>
    <x v="7"/>
    <s v="DH"/>
    <n v="0"/>
    <s v="RAFAEL"/>
  </r>
  <r>
    <n v="199284"/>
    <s v="LAY"/>
    <s v="FGTS0326C"/>
    <x v="30"/>
    <s v="FUNDO DE GARANTIA POR TEMPO DE SERVIÇO"/>
    <n v="2093.31"/>
    <x v="80"/>
    <x v="80"/>
    <s v=""/>
    <x v="9"/>
    <s v="DH"/>
    <s v="CUSTO MÃO DE OBRA DIRETA"/>
    <s v="RAFAEL"/>
  </r>
  <r>
    <n v="199285"/>
    <s v="LAY"/>
    <s v="FGTS0326M"/>
    <x v="30"/>
    <s v="FUNDO DE GARANTIA POR TEMPO DE SERVIÇO"/>
    <n v="21801.77"/>
    <x v="81"/>
    <x v="81"/>
    <s v=""/>
    <x v="5"/>
    <s v="DH"/>
    <s v="CUSTO MÃO DE OBRA DIRETA"/>
    <s v="RAFAEL"/>
  </r>
  <r>
    <n v="199286"/>
    <s v="LAY"/>
    <s v="INSS0326M"/>
    <x v="30"/>
    <s v="GUIA DA PREVIDENCIA SOCIAL"/>
    <n v="13156.05"/>
    <x v="83"/>
    <x v="83"/>
    <s v=""/>
    <x v="5"/>
    <s v="DH"/>
    <s v="CUSTO MÃO DE OBRA DIRETA"/>
    <s v="RAFAEL"/>
  </r>
  <r>
    <n v="199287"/>
    <s v="LAY"/>
    <s v="INSS0326C"/>
    <x v="30"/>
    <s v="GUIA DA PREVIDENCIA SOCIAL"/>
    <n v="1053.8699999999999"/>
    <x v="82"/>
    <x v="82"/>
    <s v=""/>
    <x v="9"/>
    <s v="DH"/>
    <s v="CUSTO MÃO DE OBRA DIRETA"/>
    <s v="RAFAEL"/>
  </r>
  <r>
    <n v="199288"/>
    <s v="LAY"/>
    <s v="INSS0326A"/>
    <x v="30"/>
    <s v="GUIA DA PREVIDENCIA SOCIAL"/>
    <n v="5187.68"/>
    <x v="67"/>
    <x v="67"/>
    <s v=""/>
    <x v="7"/>
    <s v="DH"/>
    <n v="0"/>
    <s v="RAFAEL"/>
  </r>
  <r>
    <n v="199289"/>
    <s v="KOY"/>
    <s v="INSS0326M"/>
    <x v="30"/>
    <s v="GUIA DA PREVIDENCIA SOCIAL"/>
    <n v="2863.59"/>
    <x v="83"/>
    <x v="83"/>
    <s v=""/>
    <x v="5"/>
    <s v="DH"/>
    <s v="CUSTO MÃO DE OBRA DIRETA"/>
    <s v="RAFAEL"/>
  </r>
  <r>
    <n v="199290"/>
    <s v="KOY"/>
    <s v="INSS0326C"/>
    <x v="30"/>
    <s v="GUIA DA PREVIDENCIA SOCIAL"/>
    <n v="877.25"/>
    <x v="82"/>
    <x v="82"/>
    <s v=""/>
    <x v="9"/>
    <s v="DH"/>
    <s v="CUSTO MÃO DE OBRA DIRETA"/>
    <s v="RAFAEL"/>
  </r>
  <r>
    <n v="199291"/>
    <s v="KOY"/>
    <s v="INSS0326A"/>
    <x v="30"/>
    <s v="GUIA DA PREVIDENCIA SOCIAL"/>
    <n v="842.66"/>
    <x v="67"/>
    <x v="67"/>
    <s v=""/>
    <x v="7"/>
    <s v="DH"/>
    <n v="0"/>
    <s v="RAFAEL"/>
  </r>
  <r>
    <n v="199292"/>
    <s v="KOY"/>
    <s v="FGTS0326M"/>
    <x v="30"/>
    <s v="FUNDO DE GARANTIA POR TEMPO DE SERVIÇO"/>
    <n v="2866.5"/>
    <x v="81"/>
    <x v="81"/>
    <s v=""/>
    <x v="5"/>
    <s v="DH"/>
    <s v="CUSTO MÃO DE OBRA DIRETA"/>
    <s v="RAFAEL"/>
  </r>
  <r>
    <n v="199293"/>
    <s v="KOY"/>
    <s v="FGTS0326C"/>
    <x v="30"/>
    <s v="FUNDO DE GARANTIA POR TEMPO DE SERVIÇO"/>
    <n v="787.56"/>
    <x v="80"/>
    <x v="80"/>
    <s v=""/>
    <x v="9"/>
    <s v="DH"/>
    <s v="CUSTO MÃO DE OBRA DIRETA"/>
    <s v="RAFAEL"/>
  </r>
  <r>
    <n v="199294"/>
    <s v="KOY"/>
    <s v="FGTS0326A"/>
    <x v="30"/>
    <s v="FUNDO DE GARANTIA POR TEMPO DE SERVIÇO"/>
    <n v="558.15"/>
    <x v="79"/>
    <x v="79"/>
    <s v=""/>
    <x v="7"/>
    <s v="DH"/>
    <n v="0"/>
    <s v="RAFAEL"/>
  </r>
  <r>
    <n v="199295"/>
    <s v="KAR"/>
    <s v="INSS0326M"/>
    <x v="30"/>
    <s v="GUIA DA PREVIDENCIA SOCIAL"/>
    <n v="26780.799999999999"/>
    <x v="83"/>
    <x v="83"/>
    <s v=""/>
    <x v="5"/>
    <s v="DH"/>
    <s v="CUSTO MÃO DE OBRA DIRETA"/>
    <s v="RAFAEL"/>
  </r>
  <r>
    <n v="199296"/>
    <s v="KAR"/>
    <s v="INSS0326C"/>
    <x v="30"/>
    <s v="GUIA DA PREVIDENCIA SOCIAL"/>
    <n v="6366.64"/>
    <x v="82"/>
    <x v="82"/>
    <s v=""/>
    <x v="9"/>
    <s v="DH"/>
    <s v="CUSTO MÃO DE OBRA DIRETA"/>
    <s v="RAFAEL"/>
  </r>
  <r>
    <n v="199297"/>
    <s v="KAR"/>
    <s v="INSS0326A"/>
    <x v="30"/>
    <s v="GUIA DA PREVIDENCIA SOCIAL"/>
    <n v="11554.44"/>
    <x v="67"/>
    <x v="67"/>
    <s v=""/>
    <x v="7"/>
    <s v="DH"/>
    <n v="0"/>
    <s v="RAFAEL"/>
  </r>
  <r>
    <n v="199299"/>
    <s v="FK"/>
    <s v="MON090326"/>
    <x v="71"/>
    <s v="KARAM'S IND.E COM.DE ESTOFADOS LTDA"/>
    <n v="8200"/>
    <x v="14"/>
    <x v="14"/>
    <s v=""/>
    <x v="6"/>
    <s v="COMERCIAL"/>
    <n v="0"/>
    <s v="THAIS"/>
  </r>
  <r>
    <n v="199300"/>
    <s v="KAR"/>
    <s v="CET0903"/>
    <x v="71"/>
    <s v="BANCO SICREDI"/>
    <n v="1501.45"/>
    <x v="29"/>
    <x v="29"/>
    <s v=""/>
    <x v="8"/>
    <s v="FINANCEIRO"/>
    <n v="0"/>
    <s v="LETÍCIA"/>
  </r>
  <r>
    <n v="199301"/>
    <s v="KAR"/>
    <s v="24619"/>
    <x v="71"/>
    <s v="BANCO SICREDI"/>
    <n v="246.19"/>
    <x v="27"/>
    <x v="27"/>
    <s v=""/>
    <x v="8"/>
    <s v="FINANCEIRO"/>
    <n v="0"/>
    <s v="LETÍCIA"/>
  </r>
  <r>
    <n v="199302"/>
    <s v="KAR"/>
    <s v="20939"/>
    <x v="71"/>
    <s v="BANCO SICREDI"/>
    <n v="209.39"/>
    <x v="27"/>
    <x v="27"/>
    <s v=""/>
    <x v="8"/>
    <s v="FINANCEIRO"/>
    <n v="0"/>
    <s v="LETÍCIA"/>
  </r>
  <r>
    <n v="199303"/>
    <s v="FK"/>
    <s v="ADOBE 26/1"/>
    <x v="83"/>
    <s v="KARAM'S IND.E COM.DE ESTOFADOS LTDA"/>
    <n v="189"/>
    <x v="50"/>
    <x v="50"/>
    <s v=""/>
    <x v="6"/>
    <s v="COMERCIAL"/>
    <n v="0"/>
    <s v="THAIS"/>
  </r>
  <r>
    <n v="199304"/>
    <s v="FK"/>
    <s v="ADOBE 26/2"/>
    <x v="84"/>
    <s v="KARAM'S IND.E COM.DE ESTOFADOS LTDA"/>
    <n v="189"/>
    <x v="50"/>
    <x v="50"/>
    <s v=""/>
    <x v="6"/>
    <s v="COMERCIAL"/>
    <n v="0"/>
    <s v="THAIS"/>
  </r>
  <r>
    <n v="199315"/>
    <s v="KAR"/>
    <s v="34760903"/>
    <x v="71"/>
    <s v="BANCO SICREDI"/>
    <n v="34.76"/>
    <x v="27"/>
    <x v="27"/>
    <s v=""/>
    <x v="8"/>
    <s v="FINANCEIRO"/>
    <n v="0"/>
    <s v="LETÍCIA"/>
  </r>
  <r>
    <n v="199316"/>
    <s v="LAY"/>
    <s v="8690903"/>
    <x v="71"/>
    <s v="BANCO SICREDI"/>
    <n v="8.69"/>
    <x v="27"/>
    <x v="27"/>
    <s v=""/>
    <x v="8"/>
    <s v="FINANCEIRO"/>
    <n v="0"/>
    <s v="LETÍCIA"/>
  </r>
  <r>
    <n v="199317"/>
    <s v="KOY"/>
    <s v="5530903"/>
    <x v="71"/>
    <s v="BANCO SICREDI"/>
    <n v="5.53"/>
    <x v="27"/>
    <x v="27"/>
    <s v=""/>
    <x v="8"/>
    <s v="FINANCEIRO"/>
    <n v="0"/>
    <s v="LETÍCIA"/>
  </r>
  <r>
    <n v="199318"/>
    <s v="FK"/>
    <s v="7600903"/>
    <x v="71"/>
    <s v="COOPERATIVA DE CRED.DE LIVRE ADMISSÃO DO NOROESTE"/>
    <n v="7.6"/>
    <x v="27"/>
    <x v="27"/>
    <s v=""/>
    <x v="8"/>
    <s v="FINANCEIRO"/>
    <n v="0"/>
    <s v="LETÍCIA"/>
  </r>
  <r>
    <n v="199319"/>
    <s v="FK"/>
    <s v="PET1003"/>
    <x v="17"/>
    <s v="ACT GUIRELLI"/>
    <n v="252"/>
    <x v="32"/>
    <x v="32"/>
    <s v=""/>
    <x v="3"/>
    <s v="FINANCEIRO"/>
    <n v="0"/>
    <s v="LETÍCIA"/>
  </r>
  <r>
    <n v="199321"/>
    <s v="FK"/>
    <s v="LEAND0503"/>
    <x v="17"/>
    <s v="CAMINHAO BEM-6E19"/>
    <n v="1364"/>
    <x v="41"/>
    <x v="41"/>
    <s v=""/>
    <x v="6"/>
    <s v="LOGÍSTICA"/>
    <n v="0"/>
    <s v="MYLENA"/>
  </r>
  <r>
    <n v="199322"/>
    <s v="FK"/>
    <s v="76451"/>
    <x v="60"/>
    <s v="COMERCIO DE COMBUSTIVEIS TBM LTDA."/>
    <n v="76.55"/>
    <x v="37"/>
    <x v="37"/>
    <s v=""/>
    <x v="6"/>
    <s v="LOGÍSTICA"/>
    <n v="0"/>
    <s v="MYLENA"/>
  </r>
  <r>
    <n v="199323"/>
    <s v="FK"/>
    <s v="6165"/>
    <x v="60"/>
    <s v="COMERCIO DE COMBUSTIVEIS TBM LTDA."/>
    <n v="2893.52"/>
    <x v="37"/>
    <x v="37"/>
    <s v=""/>
    <x v="6"/>
    <s v="LOGÍSTICA"/>
    <n v="0"/>
    <s v="MYLENA"/>
  </r>
  <r>
    <n v="199324"/>
    <s v="KAR"/>
    <s v="6877"/>
    <x v="17"/>
    <s v="CAMELIA TECIDOS COMPLEMENTOS PARA DECORACOES LTDA"/>
    <n v="400"/>
    <x v="55"/>
    <x v="55"/>
    <s v=""/>
    <x v="8"/>
    <s v="COMERCIAL"/>
    <n v="0"/>
    <s v="LETÍCIA"/>
  </r>
  <r>
    <n v="199326"/>
    <s v="KOY"/>
    <s v="72879"/>
    <x v="17"/>
    <s v="MERCADO LIVRE "/>
    <n v="43"/>
    <x v="46"/>
    <x v="46"/>
    <s v=""/>
    <x v="9"/>
    <s v="MANUTENÇÃO / TI"/>
    <n v="0"/>
    <s v="FÁBIO"/>
  </r>
  <r>
    <n v="199327"/>
    <s v="KOY"/>
    <s v="104977"/>
    <x v="17"/>
    <s v="MERCADO LIVRE "/>
    <n v="175.29"/>
    <x v="46"/>
    <x v="46"/>
    <s v=""/>
    <x v="9"/>
    <s v="MANUTENÇÃO / TI"/>
    <n v="0"/>
    <s v="FÁBIO"/>
  </r>
  <r>
    <n v="199328"/>
    <s v="KOY"/>
    <s v="30696"/>
    <x v="17"/>
    <s v="MERCADO LIVRE "/>
    <n v="346.54"/>
    <x v="13"/>
    <x v="13"/>
    <s v=""/>
    <x v="2"/>
    <s v="MANUTENÇÃO / TI"/>
    <n v="0"/>
    <s v="RAFAEL"/>
  </r>
  <r>
    <n v="199329"/>
    <s v="KOY"/>
    <s v="16145"/>
    <x v="17"/>
    <s v="MERCADO LIVRE "/>
    <n v="29.94"/>
    <x v="30"/>
    <x v="30"/>
    <s v=""/>
    <x v="9"/>
    <s v="MANUTENÇÃO / TI"/>
    <n v="0"/>
    <s v="RAFAEL"/>
  </r>
  <r>
    <n v="199332"/>
    <s v="KOY"/>
    <s v="771167"/>
    <x v="17"/>
    <s v="MERCADO LIVRE "/>
    <n v="332.4"/>
    <x v="9"/>
    <x v="9"/>
    <s v=""/>
    <x v="2"/>
    <s v="MANUTENÇÃO / TI"/>
    <n v="0"/>
    <s v="RAFAEL"/>
  </r>
  <r>
    <n v="199333"/>
    <s v="KOY"/>
    <s v="390068"/>
    <x v="17"/>
    <s v="MERCADO LIVRE "/>
    <n v="949.99"/>
    <x v="13"/>
    <x v="13"/>
    <s v=""/>
    <x v="2"/>
    <s v="MANUTENÇÃO / TI"/>
    <n v="0"/>
    <s v="RAFAEL"/>
  </r>
  <r>
    <n v="199334"/>
    <s v="KOY"/>
    <s v="19444"/>
    <x v="17"/>
    <s v="MERCADO LIVRE "/>
    <n v="156.24"/>
    <x v="38"/>
    <x v="38"/>
    <s v=""/>
    <x v="5"/>
    <s v="PRODUÇÃO"/>
    <n v="0"/>
    <s v="RAFAEL"/>
  </r>
  <r>
    <n v="199335"/>
    <s v="KOY"/>
    <s v="225100"/>
    <x v="17"/>
    <s v="MERCADO LIVRE "/>
    <n v="392.9"/>
    <x v="9"/>
    <x v="9"/>
    <s v=""/>
    <x v="2"/>
    <s v="MANUTENÇÃO / TI"/>
    <n v="0"/>
    <s v="RAFAEL"/>
  </r>
  <r>
    <n v="199336"/>
    <s v="KOY"/>
    <s v="123247"/>
    <x v="17"/>
    <s v="MERCADO LIVRE "/>
    <n v="71.069999999999993"/>
    <x v="52"/>
    <x v="52"/>
    <s v=""/>
    <x v="4"/>
    <s v="ADMINISTRATIVO"/>
    <n v="0"/>
    <s v="LETÍCIA"/>
  </r>
  <r>
    <n v="199337"/>
    <s v="KOY"/>
    <s v="1859"/>
    <x v="17"/>
    <s v="MERCADO LIVRE "/>
    <n v="39.9"/>
    <x v="38"/>
    <x v="38"/>
    <s v=""/>
    <x v="5"/>
    <s v="PRODUÇÃO"/>
    <n v="0"/>
    <s v="RAFAEL"/>
  </r>
  <r>
    <n v="199338"/>
    <s v="KOY"/>
    <s v="18263"/>
    <x v="17"/>
    <s v="MERCADO LIVRE "/>
    <n v="645.53"/>
    <x v="9"/>
    <x v="9"/>
    <s v=""/>
    <x v="2"/>
    <s v="MANUTENÇÃO / TI"/>
    <n v="0"/>
    <s v="RAFAEL"/>
  </r>
  <r>
    <n v="199339"/>
    <s v="KOY"/>
    <s v="159039"/>
    <x v="17"/>
    <s v="MERCADO LIVRE "/>
    <n v="193.4"/>
    <x v="30"/>
    <x v="30"/>
    <s v=""/>
    <x v="9"/>
    <s v="MANUTENÇÃO / TI"/>
    <n v="0"/>
    <s v="RAFAEL"/>
  </r>
  <r>
    <n v="199340"/>
    <s v="KOY"/>
    <s v="2713"/>
    <x v="17"/>
    <s v="MERCADO LIVRE "/>
    <n v="260"/>
    <x v="9"/>
    <x v="9"/>
    <s v=""/>
    <x v="2"/>
    <s v="MANUTENÇÃO / TI"/>
    <n v="0"/>
    <s v="RAFAEL"/>
  </r>
  <r>
    <n v="199341"/>
    <s v="KOY"/>
    <s v="294682"/>
    <x v="17"/>
    <s v="MERCADO LIVRE "/>
    <n v="96.31"/>
    <x v="9"/>
    <x v="9"/>
    <s v=""/>
    <x v="2"/>
    <s v="MANUTENÇÃO / TI"/>
    <n v="0"/>
    <s v="RAFAEL"/>
  </r>
  <r>
    <n v="199342"/>
    <s v="KOY"/>
    <s v="180559"/>
    <x v="17"/>
    <s v="MERCADO LIVRE "/>
    <n v="78.989999999999995"/>
    <x v="13"/>
    <x v="13"/>
    <s v=""/>
    <x v="2"/>
    <s v="MANUTENÇÃO / TI"/>
    <n v="0"/>
    <s v="RAFAEL"/>
  </r>
  <r>
    <n v="199344"/>
    <s v="FK"/>
    <s v="FM1003"/>
    <x v="17"/>
    <s v="RODRIGUES &amp; LIMA FERRAGENS DE FERRAMENTAS LTDA - M"/>
    <n v="695"/>
    <x v="9"/>
    <x v="9"/>
    <s v="FERRAGENS GERAIS"/>
    <x v="2"/>
    <s v="MANUTENÇÃO / TI"/>
    <n v="0"/>
    <s v="RAFAEL"/>
  </r>
  <r>
    <n v="199345"/>
    <s v="KOY"/>
    <s v="1084"/>
    <x v="17"/>
    <s v="MERCADO LIVRE "/>
    <n v="165"/>
    <x v="30"/>
    <x v="30"/>
    <s v=""/>
    <x v="9"/>
    <s v="MANUTENÇÃO / TI"/>
    <n v="0"/>
    <s v="RAFAEL"/>
  </r>
  <r>
    <n v="199346"/>
    <s v="KOY"/>
    <s v="118479"/>
    <x v="17"/>
    <s v="MERCADO LIVRE "/>
    <n v="111.24"/>
    <x v="38"/>
    <x v="38"/>
    <s v=""/>
    <x v="5"/>
    <s v="PRODUÇÃO"/>
    <n v="0"/>
    <s v="RAFAEL"/>
  </r>
  <r>
    <n v="199347"/>
    <s v="KOY"/>
    <s v="1133787"/>
    <x v="17"/>
    <s v="MERCADO LIVRE "/>
    <n v="219.96"/>
    <x v="13"/>
    <x v="13"/>
    <s v=""/>
    <x v="2"/>
    <s v="MANUTENÇÃO / TI"/>
    <n v="0"/>
    <s v="RAFAEL"/>
  </r>
  <r>
    <n v="199348"/>
    <s v="KOY"/>
    <s v="292746"/>
    <x v="17"/>
    <s v="MERCADO LIVRE "/>
    <n v="123.8"/>
    <x v="13"/>
    <x v="13"/>
    <s v=""/>
    <x v="2"/>
    <s v="MANUTENÇÃO / TI"/>
    <n v="0"/>
    <s v="RAFAEL"/>
  </r>
  <r>
    <n v="199349"/>
    <s v="KOY"/>
    <s v="893404"/>
    <x v="17"/>
    <s v="MERCADO LIVRE "/>
    <n v="188"/>
    <x v="13"/>
    <x v="13"/>
    <s v=""/>
    <x v="2"/>
    <s v="MANUTENÇÃO / TI"/>
    <n v="0"/>
    <s v="RAFAEL"/>
  </r>
  <r>
    <n v="199350"/>
    <s v="KOY"/>
    <s v="10167"/>
    <x v="17"/>
    <s v="MERCADO LIVRE "/>
    <n v="98.1"/>
    <x v="13"/>
    <x v="13"/>
    <s v=""/>
    <x v="2"/>
    <s v="MANUTENÇÃO / TI"/>
    <n v="0"/>
    <s v="RAFAEL"/>
  </r>
  <r>
    <n v="199351"/>
    <s v="KOY"/>
    <s v="43037"/>
    <x v="17"/>
    <s v="MERCADO LIVRE "/>
    <n v="114"/>
    <x v="13"/>
    <x v="13"/>
    <s v=""/>
    <x v="2"/>
    <s v="MANUTENÇÃO / TI"/>
    <n v="0"/>
    <s v="RAFAEL"/>
  </r>
  <r>
    <n v="199352"/>
    <s v="KOY"/>
    <s v="103854863"/>
    <x v="17"/>
    <s v="MERCADO LIVRE "/>
    <n v="56"/>
    <x v="13"/>
    <x v="13"/>
    <s v=""/>
    <x v="2"/>
    <s v="MANUTENÇÃO / TI"/>
    <n v="0"/>
    <s v="RAFAEL"/>
  </r>
  <r>
    <n v="199353"/>
    <s v="FK"/>
    <s v="27053"/>
    <x v="71"/>
    <s v="AGROINDUSTRIA COM E TRANSP DE FARINHA RODERS"/>
    <n v="30"/>
    <x v="17"/>
    <x v="17"/>
    <s v=""/>
    <x v="8"/>
    <s v="FINANCEIRO"/>
    <n v="0"/>
    <s v="LETÍCIA"/>
  </r>
  <r>
    <n v="199354"/>
    <s v="FK"/>
    <s v="6661"/>
    <x v="71"/>
    <s v="COMERCIO DE COMBUSTIVEIS TBM LTDA."/>
    <n v="704.06"/>
    <x v="37"/>
    <x v="37"/>
    <s v=""/>
    <x v="6"/>
    <s v="LOGÍSTICA"/>
    <n v="0"/>
    <s v="MYLENA"/>
  </r>
  <r>
    <n v="199355"/>
    <s v="FK"/>
    <s v="SODA0303"/>
    <x v="17"/>
    <s v="CAMINHAO BEM-9J26 "/>
    <n v="49.4"/>
    <x v="41"/>
    <x v="41"/>
    <s v=""/>
    <x v="6"/>
    <s v="LOGÍSTICA"/>
    <n v="0"/>
    <s v="MYLENA"/>
  </r>
  <r>
    <n v="199356"/>
    <s v="FK"/>
    <s v="5987"/>
    <x v="37"/>
    <s v="COMERCIO DE COMBUSTIVEIS TBM LTDA."/>
    <n v="570.39"/>
    <x v="37"/>
    <x v="37"/>
    <s v=""/>
    <x v="6"/>
    <s v="LOGÍSTICA"/>
    <n v="0"/>
    <s v="MYLENA"/>
  </r>
  <r>
    <n v="199357"/>
    <s v="FK"/>
    <s v="6571"/>
    <x v="71"/>
    <s v="COMERCIO DE COMBUSTIVEIS TBM LTDA."/>
    <n v="129.80000000000001"/>
    <x v="37"/>
    <x v="37"/>
    <s v=""/>
    <x v="6"/>
    <s v="LOGÍSTICA"/>
    <n v="0"/>
    <s v="MYLENA"/>
  </r>
  <r>
    <n v="199358"/>
    <s v="FK"/>
    <s v="PWR0903"/>
    <x v="71"/>
    <s v="LUIZ MAYCON XAVIER DOS SANTOS"/>
    <n v="143"/>
    <x v="6"/>
    <x v="6"/>
    <s v=""/>
    <x v="3"/>
    <s v="FINANCEIRO"/>
    <n v="0"/>
    <s v="LETÍCIA"/>
  </r>
  <r>
    <n v="199359"/>
    <s v="FK"/>
    <s v="PWR1003"/>
    <x v="17"/>
    <s v="CANTINHO DO PEIXE"/>
    <n v="191"/>
    <x v="6"/>
    <x v="6"/>
    <s v=""/>
    <x v="3"/>
    <s v="FINANCEIRO"/>
    <n v="0"/>
    <s v="LETÍCIA"/>
  </r>
  <r>
    <n v="199360"/>
    <s v="KOX"/>
    <s v="AIRBNB"/>
    <x v="17"/>
    <s v="KOYO IND E COMERCIO DE MOVEIS  LTDA"/>
    <n v="1280"/>
    <x v="17"/>
    <x v="17"/>
    <s v=""/>
    <x v="8"/>
    <s v="FINANCEIRO"/>
    <n v="0"/>
    <s v="LETÍCIA"/>
  </r>
  <r>
    <n v="199361"/>
    <s v="LAY"/>
    <s v="15FER26"/>
    <x v="81"/>
    <s v="JOÃO OTAVIO NORONHA MARTINS"/>
    <n v="1207.19"/>
    <x v="96"/>
    <x v="96"/>
    <s v=""/>
    <x v="9"/>
    <s v="DH"/>
    <s v="CUSTO MÃO DE OBRA DIRETA"/>
    <s v="RAFAEL"/>
  </r>
  <r>
    <n v="199362"/>
    <s v="KAR"/>
    <s v="3951003"/>
    <x v="17"/>
    <s v="BANCO SICREDI"/>
    <n v="3.95"/>
    <x v="27"/>
    <x v="27"/>
    <s v=""/>
    <x v="8"/>
    <s v="FINANCEIRO"/>
    <n v="0"/>
    <s v="LETÍCIA"/>
  </r>
  <r>
    <n v="199363"/>
    <s v="KAR"/>
    <s v="4841103"/>
    <x v="81"/>
    <s v="BANCO SICREDI"/>
    <n v="4.84"/>
    <x v="27"/>
    <x v="27"/>
    <s v=""/>
    <x v="8"/>
    <s v="FINANCEIRO"/>
    <n v="0"/>
    <s v="LETÍCIA"/>
  </r>
  <r>
    <n v="199364"/>
    <s v="KAR"/>
    <s v="48161103"/>
    <x v="81"/>
    <s v="BANCO SICREDI"/>
    <n v="48.16"/>
    <x v="29"/>
    <x v="29"/>
    <s v=""/>
    <x v="8"/>
    <s v="FINANCEIRO"/>
    <n v="0"/>
    <s v="LETÍCIA"/>
  </r>
  <r>
    <n v="199365"/>
    <s v="FK"/>
    <s v="BATA1003B"/>
    <x v="81"/>
    <s v="MARIA ANDREIA BUENO DE ALMEIDA BATAER"/>
    <n v="965.44"/>
    <x v="34"/>
    <x v="34"/>
    <s v=""/>
    <x v="6"/>
    <s v="COMERCIAL"/>
    <n v="0"/>
    <s v="LETÍCIA"/>
  </r>
  <r>
    <n v="199366"/>
    <s v="LAY"/>
    <s v="23967"/>
    <x v="17"/>
    <s v="BANCO SICREDI"/>
    <n v="239.67"/>
    <x v="27"/>
    <x v="27"/>
    <s v=""/>
    <x v="8"/>
    <s v="FINANCEIRO"/>
    <n v="0"/>
    <s v="LETÍCIA"/>
  </r>
  <r>
    <n v="199367"/>
    <s v="LAY"/>
    <s v="1581003"/>
    <x v="17"/>
    <s v="BANCO SICREDI"/>
    <n v="1.58"/>
    <x v="27"/>
    <x v="27"/>
    <s v=""/>
    <x v="8"/>
    <s v="FINANCEIRO"/>
    <n v="0"/>
    <s v="LETÍCIA"/>
  </r>
  <r>
    <n v="199368"/>
    <s v="KOY"/>
    <s v="158100326"/>
    <x v="17"/>
    <s v="BANCO SICREDI"/>
    <n v="1.58"/>
    <x v="27"/>
    <x v="27"/>
    <s v=""/>
    <x v="8"/>
    <s v="FINANCEIRO"/>
    <n v="0"/>
    <s v="LETÍCIA"/>
  </r>
  <r>
    <n v="199370"/>
    <s v="KAR"/>
    <s v="8073"/>
    <x v="81"/>
    <s v="MUNDIAL ACO COMERCIO DE FERRAGENS LTDA"/>
    <n v="1580"/>
    <x v="25"/>
    <x v="25"/>
    <s v=""/>
    <x v="2"/>
    <s v="MANUTENÇÃO / TI"/>
    <n v="0"/>
    <s v="FÁBIO"/>
  </r>
  <r>
    <n v="199371"/>
    <s v="FK"/>
    <s v="PWR1003"/>
    <x v="17"/>
    <s v="SERGIO UTIYAMA"/>
    <n v="93"/>
    <x v="6"/>
    <x v="6"/>
    <s v=""/>
    <x v="3"/>
    <s v="FINANCEIRO"/>
    <n v="0"/>
    <s v="LETÍCIA"/>
  </r>
  <r>
    <n v="199372"/>
    <s v="FK"/>
    <s v="PWR1003"/>
    <x v="17"/>
    <s v="VALERIA DANTAS SILVA"/>
    <n v="45"/>
    <x v="6"/>
    <x v="6"/>
    <s v=""/>
    <x v="3"/>
    <s v="FINANCEIRO"/>
    <n v="0"/>
    <s v="LETÍCIA"/>
  </r>
  <r>
    <n v="199373"/>
    <s v="KAR"/>
    <s v="47344"/>
    <x v="81"/>
    <s v="TRANS APUCARANA TRANSPORTES RODOVIARIOS LTDA"/>
    <n v="390.63"/>
    <x v="48"/>
    <x v="48"/>
    <s v="SERVIÇOS FRETE"/>
    <x v="0"/>
    <s v="COMPRAS"/>
    <n v="0"/>
    <s v="MYLENA"/>
  </r>
  <r>
    <n v="199374"/>
    <s v="KAR"/>
    <s v="47936"/>
    <x v="81"/>
    <s v="TRANS APUCARANA TRANSPORTES RODOVIARIOS LTDA"/>
    <n v="386.42"/>
    <x v="48"/>
    <x v="48"/>
    <s v="SERVIÇOS FRETE"/>
    <x v="0"/>
    <s v="COMPRAS"/>
    <n v="0"/>
    <s v="MYLENA"/>
  </r>
  <r>
    <n v="199375"/>
    <s v="KAR"/>
    <s v="47837"/>
    <x v="81"/>
    <s v="TRANS APUCARANA TRANSPORTES RODOVIARIOS LTDA"/>
    <n v="110.56"/>
    <x v="48"/>
    <x v="48"/>
    <s v="SERVIÇOS FRETE"/>
    <x v="0"/>
    <s v="COMPRAS"/>
    <n v="0"/>
    <s v="MYLENA"/>
  </r>
  <r>
    <n v="199376"/>
    <s v="KAR"/>
    <s v="47830"/>
    <x v="81"/>
    <s v="TRANS APUCARANA TRANSPORTES RODOVIARIOS LTDA"/>
    <n v="145.69999999999999"/>
    <x v="48"/>
    <x v="48"/>
    <s v="SERVIÇOS FRETE"/>
    <x v="0"/>
    <s v="COMPRAS"/>
    <n v="0"/>
    <s v="MYLENA"/>
  </r>
  <r>
    <n v="199377"/>
    <s v="KAR"/>
    <s v="47204"/>
    <x v="81"/>
    <s v="TRANS APUCARANA TRANSPORTES RODOVIARIOS LTDA"/>
    <n v="149.66999999999999"/>
    <x v="48"/>
    <x v="48"/>
    <s v="SERVIÇOS FRETE"/>
    <x v="0"/>
    <s v="COMPRAS"/>
    <n v="0"/>
    <s v="MYLENA"/>
  </r>
  <r>
    <n v="199378"/>
    <s v="KAR"/>
    <s v="47202"/>
    <x v="81"/>
    <s v="TRANS APUCARANA TRANSPORTES RODOVIARIOS LTDA"/>
    <n v="108.99"/>
    <x v="48"/>
    <x v="48"/>
    <s v="SERVIÇOS FRETE"/>
    <x v="0"/>
    <s v="COMPRAS"/>
    <n v="0"/>
    <s v="MYLENA"/>
  </r>
  <r>
    <n v="199379"/>
    <s v="KAR"/>
    <s v="47888"/>
    <x v="81"/>
    <s v="TRANS APUCARANA TRANSPORTES RODOVIARIOS LTDA"/>
    <n v="115.45"/>
    <x v="48"/>
    <x v="48"/>
    <s v="SERVIÇOS FRETE"/>
    <x v="0"/>
    <s v="COMPRAS"/>
    <n v="0"/>
    <s v="MYLENA"/>
  </r>
  <r>
    <n v="199380"/>
    <s v="KAR"/>
    <s v="935123"/>
    <x v="37"/>
    <s v="EXPRESSO SAO MIGUEL LTDA"/>
    <n v="185.05"/>
    <x v="48"/>
    <x v="48"/>
    <s v="SERVIÇOS FRETE"/>
    <x v="0"/>
    <s v="COMPRAS"/>
    <n v="0"/>
    <s v="MYLENA"/>
  </r>
  <r>
    <n v="199381"/>
    <s v="KAR"/>
    <s v="195594"/>
    <x v="81"/>
    <s v="EXPRESSO SAO MIGUEL LTDA"/>
    <n v="193.19"/>
    <x v="48"/>
    <x v="48"/>
    <s v="SERVIÇOS FRETE"/>
    <x v="0"/>
    <s v="COMPRAS"/>
    <n v="0"/>
    <s v="MYLENA"/>
  </r>
  <r>
    <n v="199383"/>
    <s v="KAR"/>
    <s v="172661"/>
    <x v="81"/>
    <s v="ADMA PAPEIS PARA CONFECCOES"/>
    <n v="2326.9499999999998"/>
    <x v="38"/>
    <x v="38"/>
    <s v=""/>
    <x v="5"/>
    <s v="PRODUÇÃO"/>
    <n v="0"/>
    <s v="RAFAEL"/>
  </r>
  <r>
    <n v="199384"/>
    <s v="KAR"/>
    <s v="14302"/>
    <x v="81"/>
    <s v="AUTO MECANICA BRASIL &amp; MENDES LTDA-ME"/>
    <n v="180"/>
    <x v="31"/>
    <x v="31"/>
    <s v=""/>
    <x v="6"/>
    <s v="LOGÍSTICA"/>
    <n v="0"/>
    <s v="MYLENA"/>
  </r>
  <r>
    <n v="199385"/>
    <s v="KAR"/>
    <s v="2973"/>
    <x v="81"/>
    <s v="AUTO MECANICA BRASIL &amp; MENDES LTDA-ME"/>
    <n v="100"/>
    <x v="31"/>
    <x v="31"/>
    <s v=""/>
    <x v="6"/>
    <s v="LOGÍSTICA"/>
    <n v="0"/>
    <s v="MYLENA"/>
  </r>
  <r>
    <n v="199386"/>
    <s v="FK"/>
    <s v="685035"/>
    <x v="81"/>
    <s v="AUTO POSTO VIAIS"/>
    <n v="40"/>
    <x v="31"/>
    <x v="31"/>
    <s v=""/>
    <x v="6"/>
    <s v="LOGÍSTICA"/>
    <n v="0"/>
    <s v="MYLENA"/>
  </r>
  <r>
    <n v="199387"/>
    <s v="KAR"/>
    <s v="15FER26"/>
    <x v="81"/>
    <s v="FABIANA DE QUEIROZ LOURO MORAES"/>
    <n v="1372.31"/>
    <x v="91"/>
    <x v="91"/>
    <s v=""/>
    <x v="7"/>
    <s v="DH"/>
    <n v="0"/>
    <s v="RAFAEL"/>
  </r>
  <r>
    <n v="199388"/>
    <s v="FK"/>
    <s v="PROPAGAND"/>
    <x v="81"/>
    <s v="RAFAELA BECK SIMOES SILVA"/>
    <n v="140"/>
    <x v="26"/>
    <x v="26"/>
    <s v=""/>
    <x v="3"/>
    <s v="FINANCEIRO"/>
    <n v="0"/>
    <s v="LETÍCIA"/>
  </r>
  <r>
    <n v="199389"/>
    <s v="FK"/>
    <s v="10032026"/>
    <x v="81"/>
    <s v="SILVIA COLLI JORDÃO PRESTES"/>
    <n v="133.19999999999999"/>
    <x v="23"/>
    <x v="23"/>
    <s v=""/>
    <x v="6"/>
    <s v="COMERCIAL"/>
    <n v="0"/>
    <s v="LETÍCIA"/>
  </r>
  <r>
    <n v="199391"/>
    <s v="KAR"/>
    <s v="729192"/>
    <x v="17"/>
    <s v="AUTO POSTO SANTA TEREZINHA DE AVARE LTDA"/>
    <n v="635"/>
    <x v="37"/>
    <x v="37"/>
    <s v=""/>
    <x v="6"/>
    <s v="LOGÍSTICA"/>
    <n v="0"/>
    <s v="MYLENA"/>
  </r>
  <r>
    <n v="199392"/>
    <s v="KAR"/>
    <s v="4578"/>
    <x v="71"/>
    <s v="AUTO POSTO ROTA SUL LTDA"/>
    <n v="67.400000000000006"/>
    <x v="37"/>
    <x v="37"/>
    <s v=""/>
    <x v="6"/>
    <s v="LOGÍSTICA"/>
    <n v="0"/>
    <s v="MYLENA"/>
  </r>
  <r>
    <n v="199393"/>
    <s v="FK"/>
    <s v="GIL1103"/>
    <x v="81"/>
    <s v="GILSON MATERIAIS DE CONSTRUÇÃO"/>
    <n v="120"/>
    <x v="38"/>
    <x v="38"/>
    <s v=""/>
    <x v="5"/>
    <s v="PRODUÇÃO"/>
    <n v="0"/>
    <s v="RAFAEL"/>
  </r>
  <r>
    <n v="199394"/>
    <s v="FK"/>
    <s v="FM1403"/>
    <x v="81"/>
    <s v="RODRIGUES &amp; LIMA FERRAGENS DE FERRAMENTAS LTDA - M"/>
    <n v="24"/>
    <x v="46"/>
    <x v="46"/>
    <s v="FERRAGENS GERAIS"/>
    <x v="9"/>
    <s v="MANUTENÇÃO / TI"/>
    <n v="0"/>
    <s v="FÁBIO"/>
  </r>
  <r>
    <n v="199395"/>
    <s v="FK"/>
    <s v="LEAN1003"/>
    <x v="81"/>
    <s v="CAMINHAO - AYL-5F59"/>
    <n v="524"/>
    <x v="41"/>
    <x v="41"/>
    <s v=""/>
    <x v="6"/>
    <s v="LOGÍSTICA"/>
    <n v="0"/>
    <s v="MYLENA"/>
  </r>
  <r>
    <n v="199396"/>
    <s v="FK"/>
    <s v="76855"/>
    <x v="81"/>
    <s v="COMERCIO DE COMBUSTIVEIS TBM LTDA."/>
    <n v="3468.33"/>
    <x v="37"/>
    <x v="37"/>
    <s v=""/>
    <x v="6"/>
    <s v="LOGÍSTICA"/>
    <n v="0"/>
    <s v="MYLENA"/>
  </r>
  <r>
    <n v="199397"/>
    <s v="FK"/>
    <s v="VANDE1003"/>
    <x v="81"/>
    <s v="CAMINHAO BEM-6E19"/>
    <n v="940"/>
    <x v="41"/>
    <x v="41"/>
    <s v=""/>
    <x v="6"/>
    <s v="LOGÍSTICA"/>
    <n v="0"/>
    <s v="MYLENA"/>
  </r>
  <r>
    <n v="199398"/>
    <s v="KAR"/>
    <s v="58451103"/>
    <x v="81"/>
    <s v="BANCO SICREDI"/>
    <n v="58.45"/>
    <x v="27"/>
    <x v="27"/>
    <s v=""/>
    <x v="8"/>
    <s v="FINANCEIRO"/>
    <n v="0"/>
    <s v="LETÍCIA"/>
  </r>
  <r>
    <n v="199399"/>
    <s v="KAR"/>
    <s v="37911103"/>
    <x v="81"/>
    <s v="BANCO SICREDI"/>
    <n v="37.909999999999997"/>
    <x v="27"/>
    <x v="27"/>
    <s v=""/>
    <x v="8"/>
    <s v="FINANCEIRO"/>
    <n v="0"/>
    <s v="LETÍCIA"/>
  </r>
  <r>
    <n v="199400"/>
    <s v="KAR"/>
    <s v="CET1103"/>
    <x v="81"/>
    <s v="BANCO SICREDI"/>
    <n v="366.3"/>
    <x v="29"/>
    <x v="29"/>
    <s v=""/>
    <x v="8"/>
    <s v="FINANCEIRO"/>
    <n v="0"/>
    <s v="LETÍCIA"/>
  </r>
  <r>
    <n v="199401"/>
    <s v="KAR"/>
    <s v="0991103"/>
    <x v="81"/>
    <s v="BANCO SICREDI"/>
    <n v="0.99"/>
    <x v="27"/>
    <x v="27"/>
    <s v=""/>
    <x v="8"/>
    <s v="FINANCEIRO"/>
    <n v="0"/>
    <s v="LETÍCIA"/>
  </r>
  <r>
    <n v="199402"/>
    <s v="KAR"/>
    <s v="11061103"/>
    <x v="81"/>
    <s v="BANCO SICREDI"/>
    <n v="11.06"/>
    <x v="27"/>
    <x v="27"/>
    <s v=""/>
    <x v="8"/>
    <s v="FINANCEIRO"/>
    <n v="0"/>
    <s v="LETÍCIA"/>
  </r>
  <r>
    <n v="199403"/>
    <s v="KAR"/>
    <s v="2081203"/>
    <x v="53"/>
    <s v="BANCO SICREDI"/>
    <n v="2.08"/>
    <x v="27"/>
    <x v="27"/>
    <s v=""/>
    <x v="8"/>
    <s v="FINANCEIRO"/>
    <n v="0"/>
    <s v="LETÍCIA"/>
  </r>
  <r>
    <n v="199404"/>
    <s v="LAY"/>
    <s v="4741103"/>
    <x v="81"/>
    <s v="BANCO SICREDI"/>
    <n v="4.74"/>
    <x v="27"/>
    <x v="27"/>
    <s v=""/>
    <x v="8"/>
    <s v="FINANCEIRO"/>
    <n v="0"/>
    <s v="LETÍCIA"/>
  </r>
  <r>
    <n v="199405"/>
    <s v="LAY"/>
    <s v="1001203"/>
    <x v="53"/>
    <s v="BANCO SICREDI"/>
    <n v="1"/>
    <x v="27"/>
    <x v="27"/>
    <s v=""/>
    <x v="8"/>
    <s v="FINANCEIRO"/>
    <n v="0"/>
    <s v="LETÍCIA"/>
  </r>
  <r>
    <n v="199406"/>
    <s v="KOY"/>
    <s v="0791103"/>
    <x v="81"/>
    <s v="BANCO SICREDI"/>
    <n v="0.79"/>
    <x v="27"/>
    <x v="27"/>
    <s v=""/>
    <x v="8"/>
    <s v="FINANCEIRO"/>
    <n v="0"/>
    <s v="LETÍCIA"/>
  </r>
  <r>
    <n v="199407"/>
    <s v="FK"/>
    <s v="2851103"/>
    <x v="81"/>
    <s v="COOPERATIVA DE CRED.DE LIVRE ADMISSÃO DO NOROESTE"/>
    <n v="2.85"/>
    <x v="27"/>
    <x v="27"/>
    <s v=""/>
    <x v="8"/>
    <s v="FINANCEIRO"/>
    <n v="0"/>
    <s v="LETÍCIA"/>
  </r>
  <r>
    <n v="199408"/>
    <s v="FK"/>
    <s v="NORI1203"/>
    <x v="53"/>
    <s v="N. M. CODALE &amp; CIA LTDA."/>
    <n v="148.5"/>
    <x v="38"/>
    <x v="38"/>
    <s v=""/>
    <x v="5"/>
    <s v="PRODUÇÃO"/>
    <n v="0"/>
    <s v="RAFAEL"/>
  </r>
  <r>
    <n v="199409"/>
    <s v="FK"/>
    <s v="MATHEUS08"/>
    <x v="53"/>
    <s v="PERES &amp; DANDOLINI LTDA. ME"/>
    <n v="500"/>
    <x v="6"/>
    <x v="6"/>
    <s v=""/>
    <x v="3"/>
    <s v="FINANCEIRO"/>
    <n v="0"/>
    <s v="LETÍCIA"/>
  </r>
  <r>
    <n v="199410"/>
    <s v="KAR"/>
    <s v="51"/>
    <x v="103"/>
    <s v="L Y CONSULTORIA EMPRESARIAL LTDA"/>
    <n v="7000"/>
    <x v="97"/>
    <x v="97"/>
    <s v=""/>
    <x v="3"/>
    <s v="FINANCEIRO"/>
    <n v="0"/>
    <s v="LETÍCIA"/>
  </r>
  <r>
    <n v="199415"/>
    <s v="KAR"/>
    <s v="3664558"/>
    <x v="60"/>
    <s v="EXPRESSO SAO MIGUEL LTDA"/>
    <n v="316.33"/>
    <x v="48"/>
    <x v="48"/>
    <s v="SERVIÇOS FRETE"/>
    <x v="0"/>
    <s v="COMPRAS"/>
    <n v="0"/>
    <s v="MYLENA"/>
  </r>
  <r>
    <n v="199423"/>
    <s v="KAR"/>
    <s v="58855"/>
    <x v="71"/>
    <s v="TRANS APUCARANA TRANSPORTES RODOVIARIOS LTDA"/>
    <n v="487.16"/>
    <x v="48"/>
    <x v="48"/>
    <s v="SERVIÇOS FRETE"/>
    <x v="0"/>
    <s v="COMPRAS"/>
    <n v="0"/>
    <s v="MYLENA"/>
  </r>
  <r>
    <n v="199424"/>
    <s v="KAR"/>
    <s v="4634AYLA"/>
    <x v="66"/>
    <s v="UNIMED DE PARANAVAI COOPERATIVA DE TRABALHO MEDICO"/>
    <n v="322.89999999999998"/>
    <x v="15"/>
    <x v="15"/>
    <s v=""/>
    <x v="7"/>
    <s v="DIRETORIA"/>
    <n v="0"/>
    <s v="FÁBIO"/>
  </r>
  <r>
    <n v="199425"/>
    <s v="KAR"/>
    <s v="4634FADM"/>
    <x v="66"/>
    <s v="UNIMED DE PARANAVAI COOPERATIVA DE TRABALHO MEDICO"/>
    <n v="400.26"/>
    <x v="18"/>
    <x v="18"/>
    <s v=""/>
    <x v="7"/>
    <s v="DH"/>
    <n v="0"/>
    <s v="RAFAEL"/>
  </r>
  <r>
    <n v="199426"/>
    <s v="KAR"/>
    <s v="4634FMOD"/>
    <x v="66"/>
    <s v="UNIMED DE PARANAVAI COOPERATIVA DE TRABALHO MEDICO"/>
    <n v="1069.99"/>
    <x v="7"/>
    <x v="7"/>
    <s v=""/>
    <x v="5"/>
    <s v="DH"/>
    <s v="CUSTO MÃO DE OBRA DIRETA"/>
    <s v="RAFAEL"/>
  </r>
  <r>
    <n v="199427"/>
    <s v="KAR"/>
    <s v="4634GADM"/>
    <x v="66"/>
    <s v="UNIMED DE PARANAVAI COOPERATIVA DE TRABALHO MEDICO"/>
    <n v="184.09"/>
    <x v="59"/>
    <x v="59"/>
    <s v=""/>
    <x v="7"/>
    <s v="DH"/>
    <n v="0"/>
    <s v="RAFAEL"/>
  </r>
  <r>
    <n v="199428"/>
    <s v="KAR"/>
    <s v="4634GMOD"/>
    <x v="66"/>
    <s v="UNIMED DE PARANAVAI COOPERATIVA DE TRABALHO MEDICO"/>
    <n v="574"/>
    <x v="60"/>
    <x v="60"/>
    <s v=""/>
    <x v="5"/>
    <s v="DH"/>
    <s v="CUSTO MÃO DE OBRA DIRETA"/>
    <s v="RAFAEL"/>
  </r>
  <r>
    <n v="199429"/>
    <s v="KAR"/>
    <s v="4612fadm"/>
    <x v="66"/>
    <s v="UNIMED DE PARANAVAI COOPERATIVA DE TRABALHO MEDICO"/>
    <n v="486.93"/>
    <x v="18"/>
    <x v="18"/>
    <s v=""/>
    <x v="7"/>
    <s v="DH"/>
    <n v="0"/>
    <s v="RAFAEL"/>
  </r>
  <r>
    <n v="199430"/>
    <s v="KAR"/>
    <s v="4612fmod"/>
    <x v="66"/>
    <s v="UNIMED DE PARANAVAI COOPERATIVA DE TRABALHO MEDICO"/>
    <n v="310.33"/>
    <x v="7"/>
    <x v="7"/>
    <s v=""/>
    <x v="5"/>
    <s v="DH"/>
    <s v="CUSTO MÃO DE OBRA DIRETA"/>
    <s v="RAFAEL"/>
  </r>
  <r>
    <n v="199431"/>
    <s v="KAR"/>
    <s v="4612gadm"/>
    <x v="66"/>
    <s v="UNIMED DE PARANAVAI COOPERATIVA DE TRABALHO MEDICO"/>
    <n v="321.14999999999998"/>
    <x v="59"/>
    <x v="59"/>
    <s v=""/>
    <x v="7"/>
    <s v="DH"/>
    <n v="0"/>
    <s v="RAFAEL"/>
  </r>
  <r>
    <n v="199432"/>
    <s v="KAR"/>
    <s v="4612gmod"/>
    <x v="66"/>
    <s v="UNIMED DE PARANAVAI COOPERATIVA DE TRABALHO MEDICO"/>
    <n v="170.8"/>
    <x v="60"/>
    <x v="60"/>
    <s v=""/>
    <x v="5"/>
    <s v="DH"/>
    <s v="CUSTO MÃO DE OBRA DIRETA"/>
    <s v="RAFAEL"/>
  </r>
  <r>
    <n v="199433"/>
    <s v="KAR"/>
    <s v="4634FCIF"/>
    <x v="66"/>
    <s v="UNIMED DE PARANAVAI COOPERATIVA DE TRABALHO MEDICO"/>
    <n v="279.83999999999997"/>
    <x v="61"/>
    <x v="61"/>
    <s v=""/>
    <x v="9"/>
    <s v="DH"/>
    <s v="CUSTO MÃO DE OBRA DIRETA"/>
    <s v="RAFAEL"/>
  </r>
  <r>
    <n v="199434"/>
    <s v="KAR"/>
    <s v="4634GCIF"/>
    <x v="66"/>
    <s v="UNIMED DE PARANAVAI COOPERATIVA DE TRABALHO MEDICO"/>
    <n v="279.82"/>
    <x v="62"/>
    <x v="62"/>
    <s v=""/>
    <x v="9"/>
    <s v="DH"/>
    <s v="CUSTO MÃO DE OBRA DIRETA"/>
    <s v="RAFAEL"/>
  </r>
  <r>
    <n v="199435"/>
    <s v="KAR"/>
    <s v="4635SADM"/>
    <x v="66"/>
    <s v="UNIMED DE PARANAVAI COOPERATIVA DE TRABALHO MEDICO"/>
    <n v="178.07"/>
    <x v="18"/>
    <x v="18"/>
    <s v=""/>
    <x v="7"/>
    <s v="DH"/>
    <n v="0"/>
    <s v="RAFAEL"/>
  </r>
  <r>
    <n v="199436"/>
    <s v="KAR"/>
    <s v="4635SMOD"/>
    <x v="66"/>
    <s v="UNIMED DE PARANAVAI COOPERATIVA DE TRABALHO MEDICO"/>
    <n v="62.5"/>
    <x v="7"/>
    <x v="7"/>
    <s v=""/>
    <x v="5"/>
    <s v="DH"/>
    <s v="CUSTO MÃO DE OBRA DIRETA"/>
    <s v="RAFAEL"/>
  </r>
  <r>
    <n v="199437"/>
    <s v="LAY"/>
    <s v="4612fadm"/>
    <x v="66"/>
    <s v="UNIMED DE PARANAVAI COOPERATIVA DE TRABALHO MEDICO"/>
    <n v="259.67"/>
    <x v="18"/>
    <x v="18"/>
    <s v=""/>
    <x v="7"/>
    <s v="DH"/>
    <n v="0"/>
    <s v="RAFAEL"/>
  </r>
  <r>
    <n v="199438"/>
    <s v="LAY"/>
    <s v="4612fcif"/>
    <x v="66"/>
    <s v="UNIMED DE PARANAVAI COOPERATIVA DE TRABALHO MEDICO"/>
    <n v="315.42"/>
    <x v="61"/>
    <x v="61"/>
    <s v=""/>
    <x v="9"/>
    <s v="DH"/>
    <s v="CUSTO MÃO DE OBRA DIRETA"/>
    <s v="RAFAEL"/>
  </r>
  <r>
    <n v="199439"/>
    <s v="LAY"/>
    <s v="4612fmod"/>
    <x v="66"/>
    <s v="UNIMED DE PARANAVAI COOPERATIVA DE TRABALHO MEDICO"/>
    <n v="348.24"/>
    <x v="7"/>
    <x v="7"/>
    <s v=""/>
    <x v="5"/>
    <s v="DH"/>
    <s v="CUSTO MÃO DE OBRA DIRETA"/>
    <s v="RAFAEL"/>
  </r>
  <r>
    <n v="199440"/>
    <s v="LAY"/>
    <s v="4612gadm"/>
    <x v="66"/>
    <s v="UNIMED DE PARANAVAI COOPERATIVA DE TRABALHO MEDICO"/>
    <n v="259.67"/>
    <x v="59"/>
    <x v="59"/>
    <s v=""/>
    <x v="7"/>
    <s v="DH"/>
    <n v="0"/>
    <s v="RAFAEL"/>
  </r>
  <r>
    <n v="199441"/>
    <s v="LAY"/>
    <s v="4612gcif"/>
    <x v="66"/>
    <s v="UNIMED DE PARANAVAI COOPERATIVA DE TRABALHO MEDICO"/>
    <n v="149.63999999999999"/>
    <x v="62"/>
    <x v="62"/>
    <s v=""/>
    <x v="9"/>
    <s v="DH"/>
    <s v="CUSTO MÃO DE OBRA DIRETA"/>
    <s v="RAFAEL"/>
  </r>
  <r>
    <n v="199442"/>
    <s v="LAY"/>
    <s v="4612gmod"/>
    <x v="66"/>
    <s v="UNIMED DE PARANAVAI COOPERATIVA DE TRABALHO MEDICO"/>
    <n v="208.71"/>
    <x v="60"/>
    <x v="60"/>
    <s v=""/>
    <x v="5"/>
    <s v="DH"/>
    <s v="CUSTO MÃO DE OBRA DIRETA"/>
    <s v="RAFAEL"/>
  </r>
  <r>
    <n v="199443"/>
    <s v="LAY"/>
    <s v="4635FADM"/>
    <x v="66"/>
    <s v="UNIMED DE PARANAVAI COOPERATIVA DE TRABALHO MEDICO"/>
    <n v="2561.9"/>
    <x v="18"/>
    <x v="18"/>
    <s v=""/>
    <x v="7"/>
    <s v="DH"/>
    <n v="0"/>
    <s v="RAFAEL"/>
  </r>
  <r>
    <n v="199444"/>
    <s v="LAY"/>
    <s v="4635FMOD"/>
    <x v="66"/>
    <s v="UNIMED DE PARANAVAI COOPERATIVA DE TRABALHO MEDICO"/>
    <n v="1066.93"/>
    <x v="7"/>
    <x v="7"/>
    <s v=""/>
    <x v="5"/>
    <s v="DH"/>
    <s v="CUSTO MÃO DE OBRA DIRETA"/>
    <s v="RAFAEL"/>
  </r>
  <r>
    <n v="199445"/>
    <s v="LAY"/>
    <s v="4635GADM"/>
    <x v="66"/>
    <s v="UNIMED DE PARANAVAI COOPERATIVA DE TRABALHO MEDICO"/>
    <n v="1215.33"/>
    <x v="59"/>
    <x v="59"/>
    <s v=""/>
    <x v="7"/>
    <s v="DH"/>
    <n v="0"/>
    <s v="RAFAEL"/>
  </r>
  <r>
    <n v="199446"/>
    <s v="LAY"/>
    <s v="4635GMOD"/>
    <x v="66"/>
    <s v="UNIMED DE PARANAVAI COOPERATIVA DE TRABALHO MEDICO"/>
    <n v="634.59"/>
    <x v="60"/>
    <x v="60"/>
    <s v=""/>
    <x v="5"/>
    <s v="DH"/>
    <s v="CUSTO MÃO DE OBRA DIRETA"/>
    <s v="RAFAEL"/>
  </r>
  <r>
    <n v="199447"/>
    <s v="LAY"/>
    <s v="4635SADM"/>
    <x v="66"/>
    <s v="UNIMED DE PARANAVAI COOPERATIVA DE TRABALHO MEDICO"/>
    <n v="1237.6099999999999"/>
    <x v="18"/>
    <x v="18"/>
    <s v=""/>
    <x v="7"/>
    <s v="DH"/>
    <n v="0"/>
    <s v="RAFAEL"/>
  </r>
  <r>
    <n v="199448"/>
    <s v="FK"/>
    <s v="75606"/>
    <x v="53"/>
    <s v="COMERCIO DE COMBUSTIVEIS TBM LTDA."/>
    <n v="2395.66"/>
    <x v="37"/>
    <x v="37"/>
    <s v=""/>
    <x v="6"/>
    <s v="LOGÍSTICA"/>
    <n v="0"/>
    <s v="MYLENA"/>
  </r>
  <r>
    <n v="199449"/>
    <s v="KAR"/>
    <s v="12594"/>
    <x v="53"/>
    <s v="PPO PNEUMATICA LTDA"/>
    <n v="1545"/>
    <x v="30"/>
    <x v="30"/>
    <s v="MATERIAIS PNEUMATICOS"/>
    <x v="9"/>
    <s v="MANUTENÇÃO / TI"/>
    <n v="0"/>
    <s v="RAFAEL"/>
  </r>
  <r>
    <n v="199450"/>
    <s v="KAR"/>
    <s v="41895"/>
    <x v="53"/>
    <s v="ACCION LTDA"/>
    <n v="3572.23"/>
    <x v="12"/>
    <x v="12"/>
    <s v="ACCION"/>
    <x v="3"/>
    <s v="MANUTENÇÃO / TI"/>
    <n v="0"/>
    <s v="LETÍCIA"/>
  </r>
  <r>
    <n v="199451"/>
    <s v="KAR"/>
    <s v="ACCION/1"/>
    <x v="25"/>
    <s v="ACCION LTDA"/>
    <n v="3572.23"/>
    <x v="12"/>
    <x v="12"/>
    <s v="ACCION"/>
    <x v="3"/>
    <s v="MANUTENÇÃO / TI"/>
    <n v="0"/>
    <s v="LETÍCIA"/>
  </r>
  <r>
    <n v="199461"/>
    <s v="KAR"/>
    <s v="12595"/>
    <x v="53"/>
    <s v="PPO PNEUMATICA LTDA"/>
    <n v="6558"/>
    <x v="30"/>
    <x v="30"/>
    <s v="MATERIAIS PNEUMATICOS"/>
    <x v="9"/>
    <s v="MANUTENÇÃO / TI"/>
    <n v="0"/>
    <s v="RAFAEL"/>
  </r>
  <r>
    <n v="199462"/>
    <s v="KAR"/>
    <s v="12593"/>
    <x v="53"/>
    <s v="PPO PNEUMATICA LTDA"/>
    <n v="3640"/>
    <x v="30"/>
    <x v="30"/>
    <s v="MATERIAIS PNEUMATICOS"/>
    <x v="9"/>
    <s v="MANUTENÇÃO / TI"/>
    <n v="0"/>
    <s v="RAFAEL"/>
  </r>
  <r>
    <n v="199463"/>
    <s v="KAR"/>
    <s v="1614032"/>
    <x v="53"/>
    <s v="EXPRESSO SAO MIGUEL LTDA"/>
    <n v="93.1"/>
    <x v="38"/>
    <x v="38"/>
    <s v="SERVIÇOS FRETE"/>
    <x v="5"/>
    <s v="PRODUÇÃO"/>
    <n v="0"/>
    <s v="RAFAEL"/>
  </r>
  <r>
    <n v="199464"/>
    <s v="KAR"/>
    <s v="4806"/>
    <x v="53"/>
    <s v="Topfres Ferramentas Industria e Comercio LTDA"/>
    <n v="1848"/>
    <x v="38"/>
    <x v="38"/>
    <s v=""/>
    <x v="5"/>
    <s v="PRODUÇÃO"/>
    <n v="0"/>
    <s v="RAFAEL"/>
  </r>
  <r>
    <n v="199465"/>
    <s v="KAR"/>
    <s v="742134"/>
    <x v="53"/>
    <s v="EXPRESSO SAO MIGUEL LTDA"/>
    <n v="93.8"/>
    <x v="38"/>
    <x v="38"/>
    <s v="SERVIÇOS FRETE"/>
    <x v="5"/>
    <s v="PRODUÇÃO"/>
    <n v="0"/>
    <s v="RAFAEL"/>
  </r>
  <r>
    <n v="199466"/>
    <s v="KAR"/>
    <s v="1381887"/>
    <x v="53"/>
    <s v="EXPRESSO SAO MIGUEL S/A"/>
    <n v="174.76"/>
    <x v="30"/>
    <x v="30"/>
    <s v=""/>
    <x v="9"/>
    <s v="MANUTENÇÃO / TI"/>
    <n v="0"/>
    <s v="RAFAEL"/>
  </r>
  <r>
    <n v="199467"/>
    <s v="KAR"/>
    <s v="2979"/>
    <x v="53"/>
    <s v="AUTO MECANICA BRASIL &amp; MENDES LTDA-ME"/>
    <n v="285"/>
    <x v="31"/>
    <x v="31"/>
    <s v=""/>
    <x v="6"/>
    <s v="LOGÍSTICA"/>
    <n v="0"/>
    <s v="MYLENA"/>
  </r>
  <r>
    <n v="199468"/>
    <s v="KAR"/>
    <s v="14315"/>
    <x v="53"/>
    <s v="AUTO MECANICA BRASIL &amp; MENDES LTDA-ME"/>
    <n v="315"/>
    <x v="31"/>
    <x v="31"/>
    <s v=""/>
    <x v="6"/>
    <s v="LOGÍSTICA"/>
    <n v="0"/>
    <s v="MYLENA"/>
  </r>
  <r>
    <n v="199469"/>
    <s v="KAR"/>
    <s v="40851"/>
    <x v="53"/>
    <s v="EDSON JOSE DE OLIVEIRA - MARINGA"/>
    <n v="181"/>
    <x v="30"/>
    <x v="30"/>
    <s v="MANUTENÇÕES FERRAMENTAS"/>
    <x v="9"/>
    <s v="MANUTENÇÃO / TI"/>
    <n v="0"/>
    <s v="RAFAEL"/>
  </r>
  <r>
    <n v="199470"/>
    <s v="KAR"/>
    <s v="13699"/>
    <x v="53"/>
    <s v="EDSON JOSE DE OLIVEIRA - MARINGA"/>
    <n v="64"/>
    <x v="30"/>
    <x v="30"/>
    <s v="MANUTENÇÕES FERRAMENTAS"/>
    <x v="9"/>
    <s v="MANUTENÇÃO / TI"/>
    <n v="0"/>
    <s v="RAFAEL"/>
  </r>
  <r>
    <n v="199471"/>
    <s v="KAR"/>
    <s v="15801203"/>
    <x v="53"/>
    <s v="BANCO SICREDI"/>
    <n v="15.8"/>
    <x v="27"/>
    <x v="27"/>
    <s v=""/>
    <x v="8"/>
    <s v="FINANCEIRO"/>
    <n v="0"/>
    <s v="LETÍCIA"/>
  </r>
  <r>
    <n v="199472"/>
    <s v="KAR"/>
    <s v="6771303"/>
    <x v="33"/>
    <s v="BANCO SICREDI"/>
    <n v="6.77"/>
    <x v="27"/>
    <x v="27"/>
    <s v=""/>
    <x v="8"/>
    <s v="FINANCEIRO"/>
    <n v="0"/>
    <s v="LETÍCIA"/>
  </r>
  <r>
    <n v="199473"/>
    <s v="KAR"/>
    <s v="64681303"/>
    <x v="33"/>
    <s v="BANCO SICREDI"/>
    <n v="64.680000000000007"/>
    <x v="29"/>
    <x v="29"/>
    <s v=""/>
    <x v="8"/>
    <s v="FINANCEIRO"/>
    <n v="0"/>
    <s v="LETÍCIA"/>
  </r>
  <r>
    <n v="199474"/>
    <s v="KOY"/>
    <s v="0791203"/>
    <x v="53"/>
    <s v="BANCO SICREDI"/>
    <n v="0.79"/>
    <x v="27"/>
    <x v="27"/>
    <s v=""/>
    <x v="8"/>
    <s v="FINANCEIRO"/>
    <n v="0"/>
    <s v="LETÍCIA"/>
  </r>
  <r>
    <n v="199475"/>
    <s v="FK"/>
    <s v="10451203"/>
    <x v="53"/>
    <s v="COOPERATIVA DE CRED.DE LIVRE ADMISSÃO DO NOROESTE"/>
    <n v="10.45"/>
    <x v="27"/>
    <x v="27"/>
    <s v=""/>
    <x v="8"/>
    <s v="FINANCEIRO"/>
    <n v="0"/>
    <s v="LETÍCIA"/>
  </r>
  <r>
    <n v="199476"/>
    <s v="KOY"/>
    <s v="3FER26"/>
    <x v="33"/>
    <s v="EDUARDO RODIGHERO DOS SANTOS"/>
    <n v="250.89"/>
    <x v="96"/>
    <x v="96"/>
    <s v=""/>
    <x v="9"/>
    <s v="DH"/>
    <s v="CUSTO MÃO DE OBRA DIRETA"/>
    <s v="RAFAEL"/>
  </r>
  <r>
    <n v="199477"/>
    <s v="KAR"/>
    <s v="380701303"/>
    <x v="33"/>
    <s v="BANCO SICREDI"/>
    <n v="380.7"/>
    <x v="27"/>
    <x v="27"/>
    <s v=""/>
    <x v="8"/>
    <s v="FINANCEIRO"/>
    <n v="0"/>
    <s v="LETÍCIA"/>
  </r>
  <r>
    <n v="199478"/>
    <s v="KAR"/>
    <s v="200601303"/>
    <x v="33"/>
    <s v="BANCO SICREDI"/>
    <n v="200.6"/>
    <x v="27"/>
    <x v="27"/>
    <s v=""/>
    <x v="8"/>
    <s v="FINANCEIRO"/>
    <n v="0"/>
    <s v="LETÍCIA"/>
  </r>
  <r>
    <n v="199479"/>
    <s v="KAR"/>
    <s v="CET1303"/>
    <x v="33"/>
    <s v="BANCO SICREDI"/>
    <n v="2426.8000000000002"/>
    <x v="29"/>
    <x v="29"/>
    <s v=""/>
    <x v="8"/>
    <s v="FINANCEIRO"/>
    <n v="0"/>
    <s v="LETÍCIA"/>
  </r>
  <r>
    <n v="199480"/>
    <s v="KAR"/>
    <s v="S04696480"/>
    <x v="33"/>
    <s v="KARAM'S IND.E COM.DE ESTOFADOS LTDA"/>
    <n v="104.13"/>
    <x v="39"/>
    <x v="39"/>
    <s v=""/>
    <x v="6"/>
    <s v="LOGÍSTICA"/>
    <n v="0"/>
    <s v="MYLENA"/>
  </r>
  <r>
    <n v="199481"/>
    <s v="KAR"/>
    <s v="NIC041605"/>
    <x v="33"/>
    <s v="KARAM'S IND.E COM.DE ESTOFADOS LTDA"/>
    <n v="586.92999999999995"/>
    <x v="39"/>
    <x v="39"/>
    <s v=""/>
    <x v="6"/>
    <s v="LOGÍSTICA"/>
    <n v="0"/>
    <s v="MYLENA"/>
  </r>
  <r>
    <n v="199482"/>
    <s v="KAR"/>
    <s v="5V0040954"/>
    <x v="33"/>
    <s v="KARAM'S IND.E COM.DE ESTOFADOS LTDA"/>
    <n v="130.16"/>
    <x v="39"/>
    <x v="39"/>
    <s v=""/>
    <x v="6"/>
    <s v="LOGÍSTICA"/>
    <n v="0"/>
    <s v="MYLENA"/>
  </r>
  <r>
    <n v="199483"/>
    <s v="KAR"/>
    <s v="F0193387"/>
    <x v="33"/>
    <s v="KARAM'S IND.E COM.DE ESTOFADOS LTDA"/>
    <n v="293.45999999999998"/>
    <x v="39"/>
    <x v="39"/>
    <s v=""/>
    <x v="6"/>
    <s v="LOGÍSTICA"/>
    <n v="0"/>
    <s v="MYLENA"/>
  </r>
  <r>
    <n v="199484"/>
    <s v="KAR"/>
    <s v="108388036"/>
    <x v="33"/>
    <s v="KARAM'S IND.E COM.DE ESTOFADOS LTDA"/>
    <n v="156.18"/>
    <x v="39"/>
    <x v="39"/>
    <s v=""/>
    <x v="6"/>
    <s v="LOGÍSTICA"/>
    <n v="0"/>
    <s v="MYLENA"/>
  </r>
  <r>
    <n v="199485"/>
    <s v="FK"/>
    <s v="MAR130326"/>
    <x v="33"/>
    <s v="FABIO HIROMITSU KATO"/>
    <n v="10000"/>
    <x v="15"/>
    <x v="15"/>
    <s v=""/>
    <x v="7"/>
    <s v="DIRETORIA"/>
    <n v="0"/>
    <s v="FÁBIO"/>
  </r>
  <r>
    <n v="199488"/>
    <s v="LAY"/>
    <s v="MAR130326"/>
    <x v="33"/>
    <s v="MYLENA NARIE KATO BRIGANTINI"/>
    <n v="2900"/>
    <x v="15"/>
    <x v="15"/>
    <s v=""/>
    <x v="7"/>
    <s v="DIRETORIA"/>
    <n v="0"/>
    <s v="FÁBIO"/>
  </r>
  <r>
    <n v="199489"/>
    <s v="FK"/>
    <s v="MAR130326"/>
    <x v="33"/>
    <s v="SUELY KAY KATO"/>
    <n v="10000"/>
    <x v="15"/>
    <x v="15"/>
    <s v=""/>
    <x v="7"/>
    <s v="DIRETORIA"/>
    <n v="0"/>
    <s v="FÁBIO"/>
  </r>
  <r>
    <n v="199490"/>
    <s v="KAR"/>
    <s v="39115"/>
    <x v="83"/>
    <s v="GVT REFORMAS E RECICLAGEM DE PNEUS LTDA"/>
    <n v="220"/>
    <x v="31"/>
    <x v="31"/>
    <s v=""/>
    <x v="6"/>
    <s v="LOGÍSTICA"/>
    <n v="0"/>
    <s v="MYLENA"/>
  </r>
  <r>
    <n v="199491"/>
    <s v="FK"/>
    <s v="GM1203"/>
    <x v="83"/>
    <s v="SIDNEI PAULO MILANI"/>
    <n v="800"/>
    <x v="31"/>
    <x v="31"/>
    <s v=""/>
    <x v="6"/>
    <s v="LOGÍSTICA"/>
    <n v="0"/>
    <s v="MYLENA"/>
  </r>
  <r>
    <n v="199492"/>
    <s v="FK"/>
    <s v="PET1303"/>
    <x v="83"/>
    <s v="ACT GUIRELLI"/>
    <n v="35"/>
    <x v="32"/>
    <x v="32"/>
    <s v=""/>
    <x v="3"/>
    <s v="FINANCEIRO"/>
    <n v="0"/>
    <s v="LETÍCIA"/>
  </r>
  <r>
    <n v="199493"/>
    <s v="KAR"/>
    <s v="5531303"/>
    <x v="33"/>
    <s v="BANCO SICREDI"/>
    <n v="5.53"/>
    <x v="27"/>
    <x v="27"/>
    <s v=""/>
    <x v="8"/>
    <s v="FINANCEIRO"/>
    <n v="0"/>
    <s v="LETÍCIA"/>
  </r>
  <r>
    <n v="199494"/>
    <s v="KAR"/>
    <s v="1161603"/>
    <x v="83"/>
    <s v="BANCO SICREDI"/>
    <n v="1.1599999999999999"/>
    <x v="27"/>
    <x v="27"/>
    <s v=""/>
    <x v="8"/>
    <s v="FINANCEIRO"/>
    <n v="0"/>
    <s v="LETÍCIA"/>
  </r>
  <r>
    <n v="199495"/>
    <s v="KAR"/>
    <s v="139924"/>
    <x v="83"/>
    <s v="TELLAIO TEXTIL LTDA"/>
    <n v="1814.6"/>
    <x v="14"/>
    <x v="14"/>
    <s v=""/>
    <x v="6"/>
    <s v="COMERCIAL"/>
    <n v="0"/>
    <s v="THAIS"/>
  </r>
  <r>
    <n v="199496"/>
    <s v="KAR"/>
    <s v="45496"/>
    <x v="83"/>
    <s v="BANCO SICREDI"/>
    <n v="454.96"/>
    <x v="58"/>
    <x v="58"/>
    <s v=""/>
    <x v="5"/>
    <s v="DH"/>
    <s v="CUSTO MÃO DE OBRA DIRETA"/>
    <s v="RAFAEL"/>
  </r>
  <r>
    <n v="199497"/>
    <s v="KAR"/>
    <s v="18957"/>
    <x v="83"/>
    <s v="BANCO SICREDI"/>
    <n v="189.57"/>
    <x v="56"/>
    <x v="56"/>
    <s v=""/>
    <x v="7"/>
    <s v="DH"/>
    <n v="0"/>
    <s v="RAFAEL"/>
  </r>
  <r>
    <n v="199498"/>
    <s v="KAR"/>
    <s v="9478"/>
    <x v="83"/>
    <s v="BANCO SICREDI"/>
    <n v="94.78"/>
    <x v="57"/>
    <x v="57"/>
    <s v=""/>
    <x v="9"/>
    <s v="DH"/>
    <s v="CUSTO MÃO DE OBRA DIRETA"/>
    <s v="RAFAEL"/>
  </r>
  <r>
    <n v="199500"/>
    <s v="KOY"/>
    <s v="1581303"/>
    <x v="33"/>
    <s v="BANCO SICREDI"/>
    <n v="1.58"/>
    <x v="27"/>
    <x v="27"/>
    <s v=""/>
    <x v="8"/>
    <s v="FINANCEIRO"/>
    <n v="0"/>
    <s v="LETÍCIA"/>
  </r>
  <r>
    <n v="199501"/>
    <s v="KOY"/>
    <s v="6236"/>
    <x v="83"/>
    <s v="BANCO SICREDI"/>
    <n v="62.36"/>
    <x v="56"/>
    <x v="56"/>
    <s v=""/>
    <x v="7"/>
    <s v="DH"/>
    <n v="0"/>
    <s v="RAFAEL"/>
  </r>
  <r>
    <n v="199502"/>
    <s v="KOY"/>
    <s v="62361603"/>
    <x v="83"/>
    <s v="BANCO SICREDI"/>
    <n v="62.36"/>
    <x v="57"/>
    <x v="57"/>
    <s v=""/>
    <x v="9"/>
    <s v="DH"/>
    <s v="CUSTO MÃO DE OBRA DIRETA"/>
    <s v="RAFAEL"/>
  </r>
  <r>
    <n v="199503"/>
    <s v="KOY"/>
    <s v="4053216"/>
    <x v="83"/>
    <s v="BANCO SICREDI"/>
    <n v="405.32"/>
    <x v="58"/>
    <x v="58"/>
    <s v=""/>
    <x v="5"/>
    <s v="DH"/>
    <s v="CUSTO MÃO DE OBRA DIRETA"/>
    <s v="RAFAEL"/>
  </r>
  <r>
    <n v="199504"/>
    <s v="LAY"/>
    <s v="1581303"/>
    <x v="33"/>
    <s v="BANCO SICREDI"/>
    <n v="1.58"/>
    <x v="27"/>
    <x v="27"/>
    <s v=""/>
    <x v="8"/>
    <s v="FINANCEIRO"/>
    <n v="0"/>
    <s v="LETÍCIA"/>
  </r>
  <r>
    <n v="199505"/>
    <s v="LAY"/>
    <s v="3446916"/>
    <x v="83"/>
    <s v="BANCO SICREDI"/>
    <n v="344.69"/>
    <x v="56"/>
    <x v="56"/>
    <s v=""/>
    <x v="7"/>
    <s v="DH"/>
    <n v="0"/>
    <s v="RAFAEL"/>
  </r>
  <r>
    <n v="199506"/>
    <s v="LAY"/>
    <s v="1149016"/>
    <x v="83"/>
    <s v="BANCO SICREDI"/>
    <n v="114.9"/>
    <x v="57"/>
    <x v="57"/>
    <s v=""/>
    <x v="9"/>
    <s v="DH"/>
    <s v="CUSTO MÃO DE OBRA DIRETA"/>
    <s v="RAFAEL"/>
  </r>
  <r>
    <n v="199507"/>
    <s v="LAY"/>
    <s v="112025"/>
    <x v="83"/>
    <s v="BANCO SICREDI"/>
    <n v="1120.25"/>
    <x v="58"/>
    <x v="58"/>
    <s v=""/>
    <x v="5"/>
    <s v="DH"/>
    <s v="CUSTO MÃO DE OBRA DIRETA"/>
    <s v="RAFAEL"/>
  </r>
  <r>
    <n v="199508"/>
    <s v="KAR"/>
    <s v="936680"/>
    <x v="83"/>
    <s v="EXPRESSO SAO MIGUEL LTDA"/>
    <n v="299.58"/>
    <x v="48"/>
    <x v="48"/>
    <s v="SERVIÇOS FRETE"/>
    <x v="0"/>
    <s v="COMPRAS"/>
    <n v="0"/>
    <s v="MYLENA"/>
  </r>
  <r>
    <n v="199509"/>
    <s v="KAR"/>
    <s v="755585"/>
    <x v="83"/>
    <s v="EXPRESSO SAO MIGUEL LTDA"/>
    <n v="404.51"/>
    <x v="48"/>
    <x v="48"/>
    <s v="SERVIÇOS FRETE"/>
    <x v="0"/>
    <s v="COMPRAS"/>
    <n v="0"/>
    <s v="MYLENA"/>
  </r>
  <r>
    <n v="199510"/>
    <s v="FK"/>
    <s v="0951303"/>
    <x v="33"/>
    <s v="COOPERATIVA DE CRED.DE LIVRE ADMISSÃO DO NOROESTE"/>
    <n v="0.95"/>
    <x v="27"/>
    <x v="27"/>
    <s v=""/>
    <x v="8"/>
    <s v="FINANCEIRO"/>
    <n v="0"/>
    <s v="LETÍCIA"/>
  </r>
  <r>
    <n v="199512"/>
    <s v="KAR"/>
    <s v="31540"/>
    <x v="83"/>
    <s v="PANIR EQUIPAMENTOS LTDA"/>
    <n v="2740"/>
    <x v="9"/>
    <x v="9"/>
    <s v="COMPRESSORES"/>
    <x v="2"/>
    <s v="MANUTENÇÃO / TI"/>
    <n v="0"/>
    <s v="RAFAEL"/>
  </r>
  <r>
    <n v="199513"/>
    <s v="FK"/>
    <s v="ACA1403"/>
    <x v="83"/>
    <s v="MARCOS ACACIO VALERIO"/>
    <n v="300"/>
    <x v="30"/>
    <x v="30"/>
    <s v="MAQUINAS DE COSTURA"/>
    <x v="9"/>
    <s v="MANUTENÇÃO / TI"/>
    <n v="0"/>
    <s v="RAFAEL"/>
  </r>
  <r>
    <n v="199514"/>
    <s v="KAR"/>
    <s v="465082"/>
    <x v="83"/>
    <s v="VMD MAQUINAS E FERRAMENTAS LTDA"/>
    <n v="528"/>
    <x v="38"/>
    <x v="38"/>
    <s v="PEÇAS DE FERRAMENTAS"/>
    <x v="5"/>
    <s v="PRODUÇÃO"/>
    <n v="0"/>
    <s v="RAFAEL"/>
  </r>
  <r>
    <n v="199515"/>
    <s v="KAR"/>
    <s v="3700"/>
    <x v="83"/>
    <s v="TRANSPORTES BIANO LTDA"/>
    <n v="335"/>
    <x v="84"/>
    <x v="84"/>
    <s v=""/>
    <x v="6"/>
    <s v="LOGÍSTICA"/>
    <n v="0"/>
    <s v="MYLENA"/>
  </r>
  <r>
    <n v="199516"/>
    <s v="FK"/>
    <s v="MATHE130 "/>
    <x v="83"/>
    <s v="PWR GESTAO E DESENVOLVIMENTO EMPRESARIAL LTDA"/>
    <n v="283.54000000000002"/>
    <x v="6"/>
    <x v="6"/>
    <s v=""/>
    <x v="3"/>
    <s v="FINANCEIRO"/>
    <n v="0"/>
    <s v="LETÍCIA"/>
  </r>
  <r>
    <n v="199517"/>
    <s v="FK"/>
    <s v="684957"/>
    <x v="104"/>
    <s v="AUTO POSTO VIAIS"/>
    <n v="2969.6"/>
    <x v="37"/>
    <x v="37"/>
    <s v=""/>
    <x v="6"/>
    <s v="LOGÍSTICA"/>
    <n v="0"/>
    <s v="MYLENA"/>
  </r>
  <r>
    <n v="199518"/>
    <s v="KAR"/>
    <s v="671708"/>
    <x v="83"/>
    <s v="KOFEMAR COMERCIO DE PRODUTOS PARA MARCENARIA LTDA"/>
    <n v="278"/>
    <x v="38"/>
    <x v="38"/>
    <s v=""/>
    <x v="5"/>
    <s v="PRODUÇÃO"/>
    <n v="0"/>
    <s v="RAFAEL"/>
  </r>
  <r>
    <n v="199519"/>
    <s v="KAR"/>
    <s v="671750"/>
    <x v="83"/>
    <s v="KOFEMAR COMERCIO DE PRODUTOS PARA MARCENARIA LTDA"/>
    <n v="1385"/>
    <x v="98"/>
    <x v="98"/>
    <s v=""/>
    <x v="2"/>
    <s v="ADMINISTRATIVO"/>
    <n v="0"/>
    <s v="RAFAEL"/>
  </r>
  <r>
    <n v="199521"/>
    <s v="KAR"/>
    <s v="0621703"/>
    <x v="50"/>
    <s v="BANCO SICREDI"/>
    <n v="0.62"/>
    <x v="27"/>
    <x v="27"/>
    <s v=""/>
    <x v="8"/>
    <s v="FINANCEIRO"/>
    <n v="0"/>
    <s v="LETÍCIA"/>
  </r>
  <r>
    <n v="199523"/>
    <s v="KAR"/>
    <s v="18961603"/>
    <x v="83"/>
    <s v="BANCO SICREDI"/>
    <n v="18.96"/>
    <x v="28"/>
    <x v="28"/>
    <s v=""/>
    <x v="8"/>
    <s v="FINANCEIRO"/>
    <n v="0"/>
    <s v="LETÍCIA"/>
  </r>
  <r>
    <n v="199524"/>
    <s v="KOY"/>
    <s v="3161603"/>
    <x v="83"/>
    <s v="BANCO SICREDI"/>
    <n v="3.16"/>
    <x v="28"/>
    <x v="28"/>
    <s v=""/>
    <x v="8"/>
    <s v="FINANCEIRO"/>
    <n v="0"/>
    <s v="LETÍCIA"/>
  </r>
  <r>
    <n v="199525"/>
    <s v="FK"/>
    <s v="9651603"/>
    <x v="83"/>
    <s v="SICOOB NOROESTE DO PARANA"/>
    <n v="9.65"/>
    <x v="27"/>
    <x v="27"/>
    <s v=""/>
    <x v="8"/>
    <s v="FINANCEIRO"/>
    <n v="0"/>
    <s v="LETÍCIA"/>
  </r>
  <r>
    <n v="199527"/>
    <s v="KAR"/>
    <s v="RESCISÃO"/>
    <x v="50"/>
    <s v="CRISTIANE LEITE DE MORAES"/>
    <n v="394.44"/>
    <x v="92"/>
    <x v="92"/>
    <s v=""/>
    <x v="5"/>
    <s v="DH"/>
    <n v="0"/>
    <s v="RAFAEL"/>
  </r>
  <r>
    <n v="199530"/>
    <s v="KAR"/>
    <s v="ABIMAD 42/"/>
    <x v="47"/>
    <s v="ASSOC.BRAS.DAS IND.DE MOV.DE ALTA DECORAÇÃO"/>
    <n v="10900"/>
    <x v="14"/>
    <x v="14"/>
    <s v=""/>
    <x v="6"/>
    <s v="COMERCIAL"/>
    <n v="0"/>
    <s v="THAIS"/>
  </r>
  <r>
    <n v="199531"/>
    <s v="KAR"/>
    <s v="ABIMAD 42/"/>
    <x v="9"/>
    <s v="ASSOC.BRAS.DAS IND.DE MOV.DE ALTA DECORAÇÃO"/>
    <n v="10900"/>
    <x v="14"/>
    <x v="14"/>
    <s v=""/>
    <x v="6"/>
    <s v="COMERCIAL"/>
    <n v="0"/>
    <s v="THAIS"/>
  </r>
  <r>
    <n v="199542"/>
    <s v="KAR"/>
    <s v="ALPHACAM/1"/>
    <x v="73"/>
    <s v="SKA AUTOMAÇÃO DE ENGENHARIAS LTDA"/>
    <n v="1371.67"/>
    <x v="12"/>
    <x v="12"/>
    <s v=""/>
    <x v="3"/>
    <s v="MANUTENÇÃO / TI"/>
    <n v="0"/>
    <s v="LETÍCIA"/>
  </r>
  <r>
    <n v="199566"/>
    <s v="KAR"/>
    <s v="31822"/>
    <x v="50"/>
    <s v="PANIR EQUIPAMENTOS LTDA"/>
    <n v="205.6"/>
    <x v="31"/>
    <x v="31"/>
    <s v="COMPRESSORES"/>
    <x v="6"/>
    <s v="LOGÍSTICA"/>
    <n v="0"/>
    <s v="MYLENA"/>
  </r>
  <r>
    <n v="199567"/>
    <s v="KAR"/>
    <s v="TREIN ALP"/>
    <x v="68"/>
    <s v="SKA AUTOMAÇÃO DE ENGENHARIAS LTDA"/>
    <n v="123.65"/>
    <x v="12"/>
    <x v="12"/>
    <s v=""/>
    <x v="3"/>
    <s v="MANUTENÇÃO / TI"/>
    <n v="0"/>
    <s v="LETÍCIA"/>
  </r>
  <r>
    <n v="199591"/>
    <s v="FK"/>
    <s v="SIL170326"/>
    <x v="50"/>
    <s v="M.A. DOS SANTOS NASCIMENTO"/>
    <n v="220"/>
    <x v="64"/>
    <x v="64"/>
    <s v=""/>
    <x v="4"/>
    <s v="FINANCEIRO"/>
    <n v="0"/>
    <s v="MYLENA"/>
  </r>
  <r>
    <n v="199592"/>
    <s v="KAR"/>
    <s v="39178"/>
    <x v="50"/>
    <s v="GVT REFORMAS E RECICLAGEM DE PNEUS LTDA"/>
    <n v="900"/>
    <x v="31"/>
    <x v="31"/>
    <s v=""/>
    <x v="6"/>
    <s v="LOGÍSTICA"/>
    <n v="0"/>
    <s v="MYLENA"/>
  </r>
  <r>
    <n v="199593"/>
    <s v="FK"/>
    <s v="SODA1403"/>
    <x v="50"/>
    <s v="CAMINHÃO / BEH-6E00"/>
    <n v="213.65"/>
    <x v="41"/>
    <x v="41"/>
    <s v=""/>
    <x v="6"/>
    <s v="LOGÍSTICA"/>
    <n v="0"/>
    <s v="MYLENA"/>
  </r>
  <r>
    <n v="199594"/>
    <s v="FK"/>
    <s v="7144"/>
    <x v="50"/>
    <s v="COMERCIO DE COMBUSTIVEIS TBM LTDA."/>
    <n v="997.74"/>
    <x v="37"/>
    <x v="37"/>
    <s v=""/>
    <x v="6"/>
    <s v="LOGÍSTICA"/>
    <n v="0"/>
    <s v="MYLENA"/>
  </r>
  <r>
    <n v="199595"/>
    <s v="FK"/>
    <s v="NETO1303"/>
    <x v="50"/>
    <s v="CAMINHÃO - AYL-6E00"/>
    <n v="2224"/>
    <x v="41"/>
    <x v="41"/>
    <s v=""/>
    <x v="6"/>
    <s v="LOGÍSTICA"/>
    <n v="0"/>
    <s v="MYLENA"/>
  </r>
  <r>
    <n v="199596"/>
    <s v="FK"/>
    <s v="40241"/>
    <x v="50"/>
    <s v="AUTO POSTO VIAIS"/>
    <n v="4144.6899999999996"/>
    <x v="37"/>
    <x v="37"/>
    <s v=""/>
    <x v="6"/>
    <s v="LOGÍSTICA"/>
    <n v="0"/>
    <s v="MYLENA"/>
  </r>
  <r>
    <n v="199597"/>
    <s v="FK"/>
    <s v="7082"/>
    <x v="50"/>
    <s v="CAMINHÃO - AYL-6E00"/>
    <n v="1479.83"/>
    <x v="31"/>
    <x v="31"/>
    <s v=""/>
    <x v="6"/>
    <s v="LOGÍSTICA"/>
    <n v="0"/>
    <s v="MYLENA"/>
  </r>
  <r>
    <n v="199599"/>
    <s v="FK"/>
    <s v="SODA 1103"/>
    <x v="50"/>
    <s v="CAMINHAO BEM-9J26 "/>
    <n v="97"/>
    <x v="41"/>
    <x v="41"/>
    <s v=""/>
    <x v="6"/>
    <s v="LOGÍSTICA"/>
    <n v="0"/>
    <s v="MYLENA"/>
  </r>
  <r>
    <n v="199600"/>
    <s v="FK"/>
    <s v="6887"/>
    <x v="50"/>
    <s v="COMERCIO DE COMBUSTIVEIS TBM LTDA."/>
    <n v="56.83"/>
    <x v="37"/>
    <x v="37"/>
    <s v=""/>
    <x v="6"/>
    <s v="LOGÍSTICA"/>
    <n v="0"/>
    <s v="MYLENA"/>
  </r>
  <r>
    <n v="199601"/>
    <s v="FK"/>
    <s v="6886"/>
    <x v="50"/>
    <s v="COMERCIO DE COMBUSTIVEIS TBM LTDA."/>
    <n v="801.43"/>
    <x v="37"/>
    <x v="37"/>
    <s v=""/>
    <x v="6"/>
    <s v="LOGÍSTICA"/>
    <n v="0"/>
    <s v="MYLENA"/>
  </r>
  <r>
    <n v="199602"/>
    <s v="KAR"/>
    <s v="386919"/>
    <x v="50"/>
    <s v="QUAKER TEXTIL DO BRASIL LTDA"/>
    <n v="561"/>
    <x v="55"/>
    <x v="55"/>
    <s v=""/>
    <x v="8"/>
    <s v="COMERCIAL"/>
    <n v="0"/>
    <s v="LETÍCIA"/>
  </r>
  <r>
    <n v="199603"/>
    <s v="KAR"/>
    <s v="3032"/>
    <x v="50"/>
    <s v="BANCO SICREDI"/>
    <n v="30.32"/>
    <x v="27"/>
    <x v="27"/>
    <s v=""/>
    <x v="8"/>
    <s v="FINANCEIRO"/>
    <n v="0"/>
    <s v="LETÍCIA"/>
  </r>
  <r>
    <n v="199604"/>
    <s v="KAR"/>
    <s v="2465"/>
    <x v="50"/>
    <s v="BANCO SICREDI"/>
    <n v="24.65"/>
    <x v="27"/>
    <x v="27"/>
    <s v=""/>
    <x v="8"/>
    <s v="FINANCEIRO"/>
    <n v="0"/>
    <s v="LETÍCIA"/>
  </r>
  <r>
    <n v="199605"/>
    <s v="KAR"/>
    <s v="CET170326"/>
    <x v="50"/>
    <s v="BANCO SICREDI"/>
    <n v="186.8"/>
    <x v="29"/>
    <x v="29"/>
    <s v=""/>
    <x v="8"/>
    <s v="FINANCEIRO"/>
    <n v="0"/>
    <s v="LETÍCIA"/>
  </r>
  <r>
    <n v="199606"/>
    <s v="KAR"/>
    <s v="49956"/>
    <x v="53"/>
    <s v="TRANS APUCARANA TRANSPORTES RODOVIARIOS LTDA"/>
    <n v="128.85"/>
    <x v="48"/>
    <x v="48"/>
    <s v="SERVIÇOS FRETE"/>
    <x v="0"/>
    <s v="COMPRAS"/>
    <n v="0"/>
    <s v="MYLENA"/>
  </r>
  <r>
    <n v="199607"/>
    <s v="KAR"/>
    <s v="49680"/>
    <x v="105"/>
    <s v="TRANS APUCARANA TRANSPORTES RODOVIARIOS LTDA"/>
    <n v="216.11"/>
    <x v="48"/>
    <x v="48"/>
    <s v="SERVIÇOS FRETE"/>
    <x v="0"/>
    <s v="COMPRAS"/>
    <n v="0"/>
    <s v="MYLENA"/>
  </r>
  <r>
    <n v="199608"/>
    <s v="KAR"/>
    <s v="27571703"/>
    <x v="50"/>
    <s v="BANCO SICREDI"/>
    <n v="27.57"/>
    <x v="27"/>
    <x v="27"/>
    <s v=""/>
    <x v="8"/>
    <s v="FINANCEIRO"/>
    <n v="0"/>
    <s v="LETÍCIA"/>
  </r>
  <r>
    <n v="199609"/>
    <s v="KAR"/>
    <s v="7901703"/>
    <x v="50"/>
    <s v="BANCO SICREDI"/>
    <n v="7.9"/>
    <x v="28"/>
    <x v="28"/>
    <s v=""/>
    <x v="8"/>
    <s v="FINANCEIRO"/>
    <n v="0"/>
    <s v="LETÍCIA"/>
  </r>
  <r>
    <n v="199610"/>
    <s v="KAR"/>
    <s v="1221803"/>
    <x v="105"/>
    <s v="BANCO SICREDI"/>
    <n v="1.22"/>
    <x v="27"/>
    <x v="27"/>
    <s v=""/>
    <x v="8"/>
    <s v="FINANCEIRO"/>
    <n v="0"/>
    <s v="LETÍCIA"/>
  </r>
  <r>
    <n v="199611"/>
    <s v="KAR"/>
    <s v="381703"/>
    <x v="50"/>
    <s v="BANCO SICREDI"/>
    <n v="3.8"/>
    <x v="27"/>
    <x v="27"/>
    <s v=""/>
    <x v="8"/>
    <s v="FINANCEIRO"/>
    <n v="0"/>
    <s v="LETÍCIA"/>
  </r>
  <r>
    <n v="199612"/>
    <s v="KAR"/>
    <s v="7381703"/>
    <x v="50"/>
    <s v="BANCO SICREDI"/>
    <n v="7.38"/>
    <x v="69"/>
    <x v="69"/>
    <s v=""/>
    <x v="4"/>
    <s v="FINANCEIRO"/>
    <n v="0"/>
    <s v="LETÍCIA"/>
  </r>
  <r>
    <n v="199613"/>
    <s v="KAR"/>
    <s v="1291"/>
    <x v="105"/>
    <s v="BANCO SICREDI"/>
    <n v="12.91"/>
    <x v="29"/>
    <x v="29"/>
    <s v=""/>
    <x v="8"/>
    <s v="FINANCEIRO"/>
    <n v="0"/>
    <s v="LETÍCIA"/>
  </r>
  <r>
    <n v="199614"/>
    <s v="LAY"/>
    <s v="0791703"/>
    <x v="50"/>
    <s v="BANCO SICREDI"/>
    <n v="0.79"/>
    <x v="28"/>
    <x v="28"/>
    <s v=""/>
    <x v="8"/>
    <s v="FINANCEIRO"/>
    <n v="0"/>
    <s v="LETÍCIA"/>
  </r>
  <r>
    <n v="199615"/>
    <s v="LAY"/>
    <s v="1921803"/>
    <x v="105"/>
    <s v="BANCO SICREDI"/>
    <n v="1.92"/>
    <x v="27"/>
    <x v="27"/>
    <s v=""/>
    <x v="8"/>
    <s v="FINANCEIRO"/>
    <n v="0"/>
    <s v="LETÍCIA"/>
  </r>
  <r>
    <n v="199616"/>
    <s v="LAY"/>
    <s v="19701803"/>
    <x v="105"/>
    <s v="BANCO SICREDI"/>
    <n v="19.7"/>
    <x v="29"/>
    <x v="29"/>
    <s v=""/>
    <x v="8"/>
    <s v="FINANCEIRO"/>
    <n v="0"/>
    <s v="LETÍCIA"/>
  </r>
  <r>
    <n v="199617"/>
    <s v="KOY"/>
    <s v="9191703"/>
    <x v="50"/>
    <s v="BANCO SICREDI"/>
    <n v="9.19"/>
    <x v="69"/>
    <x v="69"/>
    <s v=""/>
    <x v="4"/>
    <s v="FINANCEIRO"/>
    <n v="0"/>
    <s v="LETÍCIA"/>
  </r>
  <r>
    <n v="199618"/>
    <s v="KOY"/>
    <s v="2461703"/>
    <x v="50"/>
    <s v="BANCO SICREDI"/>
    <n v="2.46"/>
    <x v="69"/>
    <x v="69"/>
    <s v=""/>
    <x v="4"/>
    <s v="FINANCEIRO"/>
    <n v="0"/>
    <s v="LETÍCIA"/>
  </r>
  <r>
    <n v="199619"/>
    <s v="FK"/>
    <s v="PWR090326"/>
    <x v="71"/>
    <s v="MARCOS ROGERIO TAROCO"/>
    <n v="369"/>
    <x v="6"/>
    <x v="6"/>
    <s v=""/>
    <x v="3"/>
    <s v="FINANCEIRO"/>
    <n v="0"/>
    <s v="LETÍCIA"/>
  </r>
  <r>
    <n v="199621"/>
    <s v="FK"/>
    <s v="10CAFE/1"/>
    <x v="13"/>
    <s v="KARAM'S IND.E COM.DE ESTOFADOS LTDA"/>
    <n v="98.55"/>
    <x v="51"/>
    <x v="51"/>
    <s v=""/>
    <x v="4"/>
    <s v="ADMINISTRATIVO"/>
    <n v="0"/>
    <s v="LETÍCIA"/>
  </r>
  <r>
    <n v="199622"/>
    <s v="FK"/>
    <s v="10CAFE/2"/>
    <x v="14"/>
    <s v="KARAM'S IND.E COM.DE ESTOFADOS LTDA"/>
    <n v="98.55"/>
    <x v="51"/>
    <x v="51"/>
    <s v=""/>
    <x v="4"/>
    <s v="ADMINISTRATIVO"/>
    <n v="0"/>
    <s v="LETÍCIA"/>
  </r>
  <r>
    <n v="199625"/>
    <s v="FK"/>
    <s v="AIRBNB/1"/>
    <x v="13"/>
    <s v="KARAM'S IND.E COM.DE ESTOFADOS LTDA"/>
    <n v="1089.8699999999999"/>
    <x v="14"/>
    <x v="14"/>
    <s v=""/>
    <x v="6"/>
    <s v="COMERCIAL"/>
    <n v="0"/>
    <s v="THAIS"/>
  </r>
  <r>
    <n v="199626"/>
    <s v="FK"/>
    <s v="AIRBNB/2"/>
    <x v="14"/>
    <s v="KARAM'S IND.E COM.DE ESTOFADOS LTDA"/>
    <n v="1089.8699999999999"/>
    <x v="14"/>
    <x v="14"/>
    <s v=""/>
    <x v="6"/>
    <s v="COMERCIAL"/>
    <n v="0"/>
    <s v="THAIS"/>
  </r>
  <r>
    <n v="199631"/>
    <s v="FK"/>
    <s v="05REFEIÇO"/>
    <x v="105"/>
    <s v="M.A. DOS SANTOS NASCIMENTO"/>
    <n v="194"/>
    <x v="64"/>
    <x v="64"/>
    <s v=""/>
    <x v="4"/>
    <s v="FINANCEIRO"/>
    <n v="0"/>
    <s v="MYLENA"/>
  </r>
  <r>
    <n v="199633"/>
    <s v="FK"/>
    <s v="MELIMAIS"/>
    <x v="105"/>
    <s v="KARAM'S IND.E COM.DE ESTOFADOS LTDA"/>
    <n v="9.9"/>
    <x v="27"/>
    <x v="27"/>
    <s v=""/>
    <x v="8"/>
    <s v="FINANCEIRO"/>
    <n v="0"/>
    <s v="LETÍCIA"/>
  </r>
  <r>
    <n v="199634"/>
    <s v="KAR"/>
    <s v="82644"/>
    <x v="105"/>
    <s v="CLAUTEX TECIDOS E PLASTICO LTDA"/>
    <n v="182.87"/>
    <x v="55"/>
    <x v="55"/>
    <s v=""/>
    <x v="8"/>
    <s v="COMERCIAL"/>
    <n v="0"/>
    <s v="LETÍCIA"/>
  </r>
  <r>
    <n v="199635"/>
    <s v="KAR"/>
    <s v="CET1803"/>
    <x v="105"/>
    <s v="BANCO SICREDI"/>
    <n v="996.2"/>
    <x v="29"/>
    <x v="29"/>
    <s v=""/>
    <x v="8"/>
    <s v="FINANCEIRO"/>
    <n v="0"/>
    <s v="LETÍCIA"/>
  </r>
  <r>
    <n v="199636"/>
    <s v="KAR"/>
    <s v="15916"/>
    <x v="105"/>
    <s v="BANCO SICREDI"/>
    <n v="159.16"/>
    <x v="27"/>
    <x v="27"/>
    <s v=""/>
    <x v="8"/>
    <s v="FINANCEIRO"/>
    <n v="0"/>
    <s v="LETÍCIA"/>
  </r>
  <r>
    <n v="199637"/>
    <s v="KAR"/>
    <s v="10311"/>
    <x v="105"/>
    <s v="BANCO SICREDI"/>
    <n v="103.11"/>
    <x v="27"/>
    <x v="27"/>
    <s v=""/>
    <x v="8"/>
    <s v="FINANCEIRO"/>
    <n v="0"/>
    <s v="LETÍCIA"/>
  </r>
  <r>
    <n v="199638"/>
    <s v="KAR"/>
    <s v="1153564"/>
    <x v="105"/>
    <s v="ATN LTDA"/>
    <n v="1852.03"/>
    <x v="55"/>
    <x v="55"/>
    <s v=""/>
    <x v="8"/>
    <s v="COMERCIAL"/>
    <n v="0"/>
    <s v="LETÍCIA"/>
  </r>
  <r>
    <n v="199639"/>
    <s v="FK"/>
    <s v="77450"/>
    <x v="105"/>
    <s v="COMERCIO DE COMBUSTIVEIS TBM LTDA."/>
    <n v="45.12"/>
    <x v="38"/>
    <x v="38"/>
    <s v=""/>
    <x v="5"/>
    <s v="PRODUÇÃO"/>
    <n v="0"/>
    <s v="RAFAEL"/>
  </r>
  <r>
    <n v="199640"/>
    <s v="FK"/>
    <s v="77449"/>
    <x v="105"/>
    <s v="COMERCIO DE COMBUSTIVEIS TBM LTDA."/>
    <n v="44.41"/>
    <x v="46"/>
    <x v="46"/>
    <s v=""/>
    <x v="9"/>
    <s v="MANUTENÇÃO / TI"/>
    <n v="0"/>
    <s v="FÁBIO"/>
  </r>
  <r>
    <n v="199641"/>
    <s v="KAR"/>
    <s v="9481803"/>
    <x v="105"/>
    <s v="BANCO SICREDI"/>
    <n v="9.48"/>
    <x v="28"/>
    <x v="28"/>
    <s v=""/>
    <x v="8"/>
    <s v="FINANCEIRO"/>
    <n v="0"/>
    <s v="LETÍCIA"/>
  </r>
  <r>
    <n v="199642"/>
    <s v="KAR"/>
    <s v="3491903"/>
    <x v="106"/>
    <s v="BANCO SICREDI"/>
    <n v="3.49"/>
    <x v="27"/>
    <x v="27"/>
    <s v=""/>
    <x v="8"/>
    <s v="FINANCEIRO"/>
    <n v="0"/>
    <s v="LETÍCIA"/>
  </r>
  <r>
    <n v="199643"/>
    <s v="KOY"/>
    <s v="0791803"/>
    <x v="105"/>
    <s v="BANCO SICREDI"/>
    <n v="0.79"/>
    <x v="28"/>
    <x v="28"/>
    <s v=""/>
    <x v="8"/>
    <s v="FINANCEIRO"/>
    <n v="0"/>
    <s v="LETÍCIA"/>
  </r>
  <r>
    <n v="199644"/>
    <s v="KAR"/>
    <s v="25171903"/>
    <x v="106"/>
    <s v="BANCO SICREDI"/>
    <n v="25.17"/>
    <x v="27"/>
    <x v="27"/>
    <s v=""/>
    <x v="8"/>
    <s v="FINANCEIRO"/>
    <n v="0"/>
    <s v="LETÍCIA"/>
  </r>
  <r>
    <n v="199645"/>
    <s v="FK"/>
    <s v="1235"/>
    <x v="105"/>
    <s v="BANCO SICREDI"/>
    <n v="12.35"/>
    <x v="28"/>
    <x v="28"/>
    <s v=""/>
    <x v="8"/>
    <s v="FINANCEIRO"/>
    <n v="0"/>
    <s v="LETÍCIA"/>
  </r>
  <r>
    <n v="199646"/>
    <s v="LAY"/>
    <s v="3161803"/>
    <x v="105"/>
    <s v="BANCO SICREDI"/>
    <n v="3.16"/>
    <x v="28"/>
    <x v="28"/>
    <s v=""/>
    <x v="8"/>
    <s v="FINANCEIRO"/>
    <n v="0"/>
    <s v="LETÍCIA"/>
  </r>
  <r>
    <n v="199647"/>
    <s v="LAY"/>
    <s v="0651903"/>
    <x v="106"/>
    <s v="BANCO SICREDI"/>
    <n v="0.65"/>
    <x v="27"/>
    <x v="27"/>
    <s v=""/>
    <x v="8"/>
    <s v="FINANCEIRO"/>
    <n v="0"/>
    <s v="LETÍCIA"/>
  </r>
  <r>
    <n v="199648"/>
    <s v="FK"/>
    <s v="NIS1903A"/>
    <x v="106"/>
    <s v="CASA DE FERRAGEM NISHIMOTO"/>
    <n v="110"/>
    <x v="24"/>
    <x v="24"/>
    <s v="FERRAGENS GERAIS"/>
    <x v="7"/>
    <s v="MANUTENÇÃO / TI"/>
    <n v="0"/>
    <s v="FÁBIO"/>
  </r>
  <r>
    <n v="199649"/>
    <s v="FK"/>
    <s v="TESTE KOY"/>
    <x v="105"/>
    <s v="DANIEL BRUNNER TAVARES"/>
    <n v="15"/>
    <x v="17"/>
    <x v="17"/>
    <s v=""/>
    <x v="8"/>
    <s v="FINANCEIRO"/>
    <n v="0"/>
    <s v="LETÍCIA"/>
  </r>
  <r>
    <n v="199650"/>
    <s v="FK"/>
    <s v="TESTE KOY"/>
    <x v="106"/>
    <s v="DANIEL BRUNNER TAVARES"/>
    <n v="5"/>
    <x v="17"/>
    <x v="17"/>
    <s v=""/>
    <x v="8"/>
    <s v="FINANCEIRO"/>
    <n v="0"/>
    <s v="LETÍCIA"/>
  </r>
  <r>
    <n v="199651"/>
    <s v="FK"/>
    <s v="NIS1903B"/>
    <x v="106"/>
    <s v="CASA DE FERRAGEM NISHIMOTO"/>
    <n v="99.3"/>
    <x v="30"/>
    <x v="30"/>
    <s v="FERRAGENS GERAIS"/>
    <x v="9"/>
    <s v="MANUTENÇÃO / TI"/>
    <n v="0"/>
    <s v="RAFAEL"/>
  </r>
  <r>
    <n v="199653"/>
    <s v="FK"/>
    <s v="ADM93456"/>
    <x v="105"/>
    <s v="DONATO, MUCIO &amp; SOUZA LTDA"/>
    <n v="286.10000000000002"/>
    <x v="52"/>
    <x v="52"/>
    <s v=""/>
    <x v="4"/>
    <s v="ADMINISTRATIVO"/>
    <n v="0"/>
    <s v="LETÍCIA"/>
  </r>
  <r>
    <n v="199654"/>
    <s v="FK"/>
    <s v="PRO93456"/>
    <x v="105"/>
    <s v="DONATO, MUCIO &amp; SOUZA LTDA"/>
    <n v="249.9"/>
    <x v="38"/>
    <x v="38"/>
    <s v=""/>
    <x v="5"/>
    <s v="PRODUÇÃO"/>
    <n v="0"/>
    <s v="RAFAEL"/>
  </r>
  <r>
    <n v="199655"/>
    <s v="FK"/>
    <s v="VAS93459"/>
    <x v="105"/>
    <s v="DONATO, MUCIO &amp; SOUZA LTDA"/>
    <n v="148"/>
    <x v="14"/>
    <x v="14"/>
    <s v=""/>
    <x v="6"/>
    <s v="COMERCIAL"/>
    <n v="0"/>
    <s v="THAIS"/>
  </r>
  <r>
    <n v="199657"/>
    <s v="FK"/>
    <s v="AIRBNB/1"/>
    <x v="14"/>
    <s v="KARAM'S IND.E COM.DE ESTOFADOS LTDA"/>
    <n v="105.8"/>
    <x v="20"/>
    <x v="20"/>
    <s v=""/>
    <x v="7"/>
    <s v="DIRETORIA"/>
    <n v="0"/>
    <s v="FÁBIO"/>
  </r>
  <r>
    <n v="199663"/>
    <s v="FK"/>
    <s v="PASSAGEM C"/>
    <x v="14"/>
    <s v="KARAM'S IND.E COM.DE ESTOFADOS LTDA"/>
    <n v="482.95"/>
    <x v="20"/>
    <x v="20"/>
    <s v=""/>
    <x v="7"/>
    <s v="DIRETORIA"/>
    <n v="0"/>
    <s v="FÁBIO"/>
  </r>
  <r>
    <n v="199667"/>
    <s v="FK"/>
    <s v="1189234"/>
    <x v="106"/>
    <s v="DUARTE &amp; BALIONI LTDA."/>
    <n v="10.75"/>
    <x v="45"/>
    <x v="45"/>
    <s v=""/>
    <x v="4"/>
    <s v="ADMINISTRATIVO"/>
    <n v="0"/>
    <s v="MYLENA"/>
  </r>
  <r>
    <n v="199680"/>
    <s v="FK"/>
    <s v="170326"/>
    <x v="106"/>
    <s v="SILVIA COLLI JORDÃO PRESTES"/>
    <n v="131.66999999999999"/>
    <x v="23"/>
    <x v="23"/>
    <s v=""/>
    <x v="6"/>
    <s v="COMERCIAL"/>
    <n v="0"/>
    <s v="LETÍCIA"/>
  </r>
  <r>
    <n v="199681"/>
    <s v="KAR"/>
    <s v="166002"/>
    <x v="106"/>
    <s v="IND. DE MAQUINAS MIRUNA LTDA"/>
    <n v="5019.53"/>
    <x v="30"/>
    <x v="30"/>
    <s v="PEÇAS GRAMPEADORES BEA"/>
    <x v="9"/>
    <s v="MANUTENÇÃO / TI"/>
    <n v="0"/>
    <s v="RAFAEL"/>
  </r>
  <r>
    <n v="199682"/>
    <s v="KAR"/>
    <s v="9481903"/>
    <x v="106"/>
    <s v="BANCO SICREDI"/>
    <n v="9.48"/>
    <x v="28"/>
    <x v="28"/>
    <s v=""/>
    <x v="8"/>
    <s v="FINANCEIRO"/>
    <n v="0"/>
    <s v="LETÍCIA"/>
  </r>
  <r>
    <n v="199683"/>
    <s v="KAR"/>
    <s v="3852003"/>
    <x v="78"/>
    <s v="BANCO SICREDI"/>
    <n v="3.85"/>
    <x v="27"/>
    <x v="27"/>
    <s v=""/>
    <x v="8"/>
    <s v="FINANCEIRO"/>
    <n v="0"/>
    <s v="LETÍCIA"/>
  </r>
  <r>
    <n v="199684"/>
    <s v="KAR"/>
    <s v="35312003"/>
    <x v="78"/>
    <s v="BANCO SICREDI"/>
    <n v="35.31"/>
    <x v="29"/>
    <x v="29"/>
    <s v=""/>
    <x v="8"/>
    <s v="FINANCEIRO"/>
    <n v="0"/>
    <s v="LETÍCIA"/>
  </r>
  <r>
    <n v="199685"/>
    <s v="KAR"/>
    <s v="1541903"/>
    <x v="106"/>
    <s v="BANCO SICREDI"/>
    <n v="1.58"/>
    <x v="27"/>
    <x v="27"/>
    <s v=""/>
    <x v="8"/>
    <s v="FINANCEIRO"/>
    <n v="0"/>
    <s v="LETÍCIA"/>
  </r>
  <r>
    <n v="199686"/>
    <s v="KAR"/>
    <s v="1581903"/>
    <x v="106"/>
    <s v="BANCO SICREDI"/>
    <n v="11.65"/>
    <x v="69"/>
    <x v="69"/>
    <s v=""/>
    <x v="4"/>
    <s v="FINANCEIRO"/>
    <n v="0"/>
    <s v="LETÍCIA"/>
  </r>
  <r>
    <n v="199687"/>
    <s v="LAY"/>
    <s v="1581903"/>
    <x v="106"/>
    <s v="BANCO SICREDI"/>
    <n v="1.58"/>
    <x v="28"/>
    <x v="28"/>
    <s v=""/>
    <x v="8"/>
    <s v="FINANCEIRO"/>
    <n v="0"/>
    <s v="LETÍCIA"/>
  </r>
  <r>
    <n v="199688"/>
    <s v="LAY"/>
    <s v="1312003"/>
    <x v="78"/>
    <s v="BANCO SICREDI"/>
    <n v="1.31"/>
    <x v="27"/>
    <x v="27"/>
    <s v=""/>
    <x v="8"/>
    <s v="FINANCEIRO"/>
    <n v="0"/>
    <s v="LETÍCIA"/>
  </r>
  <r>
    <n v="199689"/>
    <s v="LAY"/>
    <s v="13332003"/>
    <x v="78"/>
    <s v="BANCO SICREDI"/>
    <n v="13.33"/>
    <x v="29"/>
    <x v="29"/>
    <s v=""/>
    <x v="8"/>
    <s v="FINANCEIRO"/>
    <n v="0"/>
    <s v="LETÍCIA"/>
  </r>
  <r>
    <n v="199690"/>
    <s v="KAR"/>
    <s v="665190"/>
    <x v="106"/>
    <s v="BANCO SICREDI"/>
    <n v="6.65"/>
    <x v="28"/>
    <x v="28"/>
    <s v=""/>
    <x v="8"/>
    <s v="FINANCEIRO"/>
    <n v="0"/>
    <s v="LETÍCIA"/>
  </r>
  <r>
    <n v="199691"/>
    <s v="FK"/>
    <s v="703523"/>
    <x v="78"/>
    <s v="AUTO POSTO VIAIS"/>
    <n v="156.93"/>
    <x v="20"/>
    <x v="20"/>
    <s v=""/>
    <x v="7"/>
    <s v="DIRETORIA"/>
    <n v="0"/>
    <s v="FÁBIO"/>
  </r>
  <r>
    <n v="199692"/>
    <s v="FK"/>
    <s v="BATA2003B"/>
    <x v="78"/>
    <s v="MARIA ANDREIA BUENO DE ALMEIDA BATAER"/>
    <n v="1792.96"/>
    <x v="34"/>
    <x v="34"/>
    <s v=""/>
    <x v="6"/>
    <s v="COMERCIAL"/>
    <n v="0"/>
    <s v="LETÍCIA"/>
  </r>
  <r>
    <n v="199693"/>
    <s v="KAR"/>
    <s v="70471"/>
    <x v="78"/>
    <s v="BANCO SICREDI"/>
    <n v="704.71"/>
    <x v="27"/>
    <x v="27"/>
    <s v=""/>
    <x v="8"/>
    <s v="FINANCEIRO"/>
    <n v="0"/>
    <s v="LETÍCIA"/>
  </r>
  <r>
    <n v="199694"/>
    <s v="KAR"/>
    <s v="41744"/>
    <x v="78"/>
    <s v="BANCO SICREDI"/>
    <n v="417.44"/>
    <x v="27"/>
    <x v="27"/>
    <s v=""/>
    <x v="8"/>
    <s v="FINANCEIRO"/>
    <n v="0"/>
    <s v="LETÍCIA"/>
  </r>
  <r>
    <n v="199695"/>
    <s v="KAR"/>
    <s v="CET2003"/>
    <x v="78"/>
    <s v="BANCO SICREDI"/>
    <n v="4452.37"/>
    <x v="29"/>
    <x v="29"/>
    <s v=""/>
    <x v="8"/>
    <s v="FINANCEIRO"/>
    <n v="0"/>
    <s v="LETÍCIA"/>
  </r>
  <r>
    <n v="199696"/>
    <s v="FK"/>
    <s v="BATA2003C"/>
    <x v="78"/>
    <s v="MARIA ANDREIA BUENO DE ALMEIDA BATAER"/>
    <n v="58"/>
    <x v="34"/>
    <x v="34"/>
    <s v=""/>
    <x v="6"/>
    <s v="COMERCIAL"/>
    <n v="0"/>
    <s v="LETÍCIA"/>
  </r>
  <r>
    <n v="199697"/>
    <s v="KAR"/>
    <s v="730942"/>
    <x v="78"/>
    <s v="AUTO POSTO SANTA TEREZINHA DE AVARE LTDA"/>
    <n v="906.84"/>
    <x v="37"/>
    <x v="37"/>
    <s v=""/>
    <x v="6"/>
    <s v="LOGÍSTICA"/>
    <n v="0"/>
    <s v="MYLENA"/>
  </r>
  <r>
    <n v="199698"/>
    <s v="KAR"/>
    <s v="1582003"/>
    <x v="78"/>
    <s v="BANCO SICREDI"/>
    <n v="1.58"/>
    <x v="28"/>
    <x v="28"/>
    <s v=""/>
    <x v="8"/>
    <s v="FINANCEIRO"/>
    <n v="0"/>
    <s v="LETÍCIA"/>
  </r>
  <r>
    <n v="199699"/>
    <s v="KAR"/>
    <s v="3692303"/>
    <x v="13"/>
    <s v="BANCO SICREDI"/>
    <n v="3.69"/>
    <x v="27"/>
    <x v="27"/>
    <s v=""/>
    <x v="8"/>
    <s v="FINANCEIRO"/>
    <n v="0"/>
    <s v="LETÍCIA"/>
  </r>
  <r>
    <n v="199700"/>
    <s v="KAR"/>
    <s v="66023"/>
    <x v="13"/>
    <s v="BANCO SICREDI"/>
    <n v="6.6"/>
    <x v="27"/>
    <x v="27"/>
    <s v=""/>
    <x v="8"/>
    <s v="FINANCEIRO"/>
    <n v="0"/>
    <s v="LETÍCIA"/>
  </r>
  <r>
    <n v="199701"/>
    <s v="KAR"/>
    <s v="68522303"/>
    <x v="13"/>
    <s v="BANCO SICREDI"/>
    <n v="68.52"/>
    <x v="29"/>
    <x v="29"/>
    <s v=""/>
    <x v="8"/>
    <s v="FINANCEIRO"/>
    <n v="0"/>
    <s v="LETÍCIA"/>
  </r>
  <r>
    <n v="199702"/>
    <s v="LAY"/>
    <s v="0792003"/>
    <x v="78"/>
    <s v="BANCO SICREDI"/>
    <n v="0.79"/>
    <x v="28"/>
    <x v="28"/>
    <s v=""/>
    <x v="8"/>
    <s v="FINANCEIRO"/>
    <n v="0"/>
    <s v="LETÍCIA"/>
  </r>
  <r>
    <n v="199703"/>
    <s v="LAY"/>
    <s v="2452303"/>
    <x v="13"/>
    <s v="BANCO SICREDI"/>
    <n v="2.4500000000000002"/>
    <x v="27"/>
    <x v="27"/>
    <s v=""/>
    <x v="8"/>
    <s v="FINANCEIRO"/>
    <n v="0"/>
    <s v="LETÍCIA"/>
  </r>
  <r>
    <n v="199704"/>
    <s v="KOY"/>
    <s v="790020"/>
    <x v="78"/>
    <s v="BANCO SICREDI"/>
    <n v="79"/>
    <x v="27"/>
    <x v="27"/>
    <s v=""/>
    <x v="8"/>
    <s v="FINANCEIRO"/>
    <n v="0"/>
    <s v="LETÍCIA"/>
  </r>
  <r>
    <n v="199705"/>
    <s v="FK"/>
    <s v="1902003"/>
    <x v="78"/>
    <s v="SICOOB NOROESTE DO PARANA"/>
    <n v="1.9"/>
    <x v="27"/>
    <x v="27"/>
    <s v=""/>
    <x v="8"/>
    <s v="FINANCEIRO"/>
    <n v="0"/>
    <s v="LETÍCIA"/>
  </r>
  <r>
    <n v="199706"/>
    <s v="FK"/>
    <s v="MOV210326"/>
    <x v="13"/>
    <s v="BANCO BRADESCO S/A"/>
    <n v="2700"/>
    <x v="98"/>
    <x v="98"/>
    <s v=""/>
    <x v="2"/>
    <s v="ADMINISTRATIVO"/>
    <n v="0"/>
    <s v="RAFAEL"/>
  </r>
  <r>
    <n v="199707"/>
    <s v="FK"/>
    <s v="INTEL26"/>
    <x v="13"/>
    <s v="INTELIPOST CONSULTORIA E TECNOLOGIA DE LOGISTICA L"/>
    <n v="2333.33"/>
    <x v="17"/>
    <x v="17"/>
    <s v=""/>
    <x v="8"/>
    <s v="FINANCEIRO"/>
    <n v="0"/>
    <s v="LETÍCIA"/>
  </r>
  <r>
    <n v="199708"/>
    <s v="FK"/>
    <s v="INTELI26"/>
    <x v="79"/>
    <s v="INTELIPOST CONSULTORIA E TECNOLOGIA DE LOGISTICA L"/>
    <n v="2333"/>
    <x v="17"/>
    <x v="17"/>
    <s v=""/>
    <x v="8"/>
    <s v="FINANCEIRO"/>
    <n v="0"/>
    <s v="LETÍCIA"/>
  </r>
  <r>
    <n v="199709"/>
    <s v="KAR"/>
    <s v="109202/1"/>
    <x v="14"/>
    <s v="VMD MAQUINAS E FERRAMENTAS LTDA"/>
    <n v="412"/>
    <x v="9"/>
    <x v="9"/>
    <s v="PEÇAS DE FERRAMENTAS"/>
    <x v="2"/>
    <s v="MANUTENÇÃO / TI"/>
    <n v="0"/>
    <s v="RAFAEL"/>
  </r>
  <r>
    <n v="199721"/>
    <s v="FK"/>
    <s v="EST CAMPI"/>
    <x v="13"/>
    <s v="MARCOS LUKENCHUKE"/>
    <n v="200"/>
    <x v="26"/>
    <x v="26"/>
    <s v=""/>
    <x v="3"/>
    <s v="FINANCEIRO"/>
    <n v="0"/>
    <s v="LETÍCIA"/>
  </r>
  <r>
    <n v="199722"/>
    <s v="FK"/>
    <s v="ESTCAMPRE"/>
    <x v="13"/>
    <s v="MARCOS LUKENCHUKE"/>
    <n v="200"/>
    <x v="26"/>
    <x v="26"/>
    <s v=""/>
    <x v="3"/>
    <s v="FINANCEIRO"/>
    <n v="0"/>
    <s v="LETÍCIA"/>
  </r>
  <r>
    <n v="199723"/>
    <s v="FK"/>
    <s v="POL ATHOS"/>
    <x v="13"/>
    <s v="MARCOS LUKENCHUKE"/>
    <n v="100"/>
    <x v="26"/>
    <x v="26"/>
    <s v=""/>
    <x v="3"/>
    <s v="FINANCEIRO"/>
    <n v="0"/>
    <s v="LETÍCIA"/>
  </r>
  <r>
    <n v="199726"/>
    <s v="KAR"/>
    <s v="EXAME0326"/>
    <x v="13"/>
    <s v="WORKS SEGURANÇA E MEDICINA DO TRABALHO LTDA"/>
    <n v="110"/>
    <x v="73"/>
    <x v="73"/>
    <s v=""/>
    <x v="5"/>
    <s v="DH"/>
    <s v="CUSTO MÃO DE OBRA DIRETA"/>
    <s v="RAFAEL"/>
  </r>
  <r>
    <n v="199727"/>
    <s v="KOY"/>
    <s v="EXAME0326"/>
    <x v="13"/>
    <s v="WORKS SEGURANÇA E MEDICINA DO TRABALHO LTDA"/>
    <n v="32"/>
    <x v="73"/>
    <x v="73"/>
    <s v=""/>
    <x v="5"/>
    <s v="DH"/>
    <s v="CUSTO MÃO DE OBRA DIRETA"/>
    <s v="RAFAEL"/>
  </r>
  <r>
    <n v="199729"/>
    <s v="LAY"/>
    <s v="EXAME0326"/>
    <x v="13"/>
    <s v="WORKS SEGURANÇA E MEDICINA DO TRABALHO LTDA"/>
    <n v="207.9"/>
    <x v="73"/>
    <x v="73"/>
    <s v=""/>
    <x v="5"/>
    <s v="DH"/>
    <s v="CUSTO MÃO DE OBRA DIRETA"/>
    <s v="RAFAEL"/>
  </r>
  <r>
    <n v="199730"/>
    <s v="FK"/>
    <s v="PET2003A"/>
    <x v="13"/>
    <s v="ACT GUIRELLI"/>
    <n v="31.5"/>
    <x v="32"/>
    <x v="32"/>
    <s v=""/>
    <x v="3"/>
    <s v="FINANCEIRO"/>
    <n v="0"/>
    <s v="LETÍCIA"/>
  </r>
  <r>
    <n v="199731"/>
    <s v="KAR"/>
    <s v="109732"/>
    <x v="13"/>
    <s v="VMD MAQUINAS E FERRAMENTAS LTDA"/>
    <n v="74"/>
    <x v="38"/>
    <x v="38"/>
    <s v="PEÇAS DE FERRAMENTAS"/>
    <x v="5"/>
    <s v="PRODUÇÃO"/>
    <n v="0"/>
    <s v="RAFAEL"/>
  </r>
  <r>
    <n v="199732"/>
    <s v="KAR"/>
    <s v="28466"/>
    <x v="13"/>
    <s v="BANCO SICREDI"/>
    <n v="284.66000000000003"/>
    <x v="27"/>
    <x v="27"/>
    <s v=""/>
    <x v="8"/>
    <s v="FINANCEIRO"/>
    <n v="0"/>
    <s v="LETÍCIA"/>
  </r>
  <r>
    <n v="199733"/>
    <s v="KAR"/>
    <s v="35545"/>
    <x v="13"/>
    <s v="BANCO SICREDI"/>
    <n v="355.45"/>
    <x v="27"/>
    <x v="27"/>
    <s v=""/>
    <x v="8"/>
    <s v="FINANCEIRO"/>
    <n v="0"/>
    <s v="LETÍCIA"/>
  </r>
  <r>
    <n v="199735"/>
    <s v="KAR"/>
    <s v="117748"/>
    <x v="13"/>
    <s v="AUTO POSTO 3 CAVALOS LTDA"/>
    <n v="778"/>
    <x v="37"/>
    <x v="37"/>
    <s v=""/>
    <x v="6"/>
    <s v="LOGÍSTICA"/>
    <n v="0"/>
    <s v="MYLENA"/>
  </r>
  <r>
    <n v="199736"/>
    <s v="KAR"/>
    <s v="13168"/>
    <x v="13"/>
    <s v="POSTO E RESTAURANTE PIRAJU LTDA"/>
    <n v="2157"/>
    <x v="37"/>
    <x v="37"/>
    <s v=""/>
    <x v="6"/>
    <s v="LOGÍSTICA"/>
    <n v="0"/>
    <s v="MYLENA"/>
  </r>
  <r>
    <n v="199737"/>
    <s v="FK"/>
    <s v="NETO2003"/>
    <x v="13"/>
    <s v="CAMINHÃO - AYL-6E00"/>
    <n v="2290"/>
    <x v="41"/>
    <x v="41"/>
    <s v=""/>
    <x v="6"/>
    <s v="LOGÍSTICA"/>
    <n v="0"/>
    <s v="MYLENA"/>
  </r>
  <r>
    <n v="199738"/>
    <s v="FK"/>
    <s v="FILTRO"/>
    <x v="13"/>
    <s v="CAMINHÃO - AYL-6E00"/>
    <n v="126"/>
    <x v="31"/>
    <x v="31"/>
    <s v=""/>
    <x v="6"/>
    <s v="LOGÍSTICA"/>
    <n v="0"/>
    <s v="MYLENA"/>
  </r>
  <r>
    <n v="199739"/>
    <s v="FK"/>
    <s v="77683"/>
    <x v="13"/>
    <s v="COMERCIO DE COMBUSTIVEIS TBM LTDA."/>
    <n v="3766.61"/>
    <x v="37"/>
    <x v="37"/>
    <s v=""/>
    <x v="6"/>
    <s v="LOGÍSTICA"/>
    <n v="0"/>
    <s v="MYLENA"/>
  </r>
  <r>
    <n v="199740"/>
    <s v="FK"/>
    <s v="EMP2303"/>
    <x v="13"/>
    <s v="ALINE CIVILA FERREIRA"/>
    <n v="220"/>
    <x v="37"/>
    <x v="37"/>
    <s v=""/>
    <x v="6"/>
    <s v="LOGÍSTICA"/>
    <n v="0"/>
    <s v="MYLENA"/>
  </r>
  <r>
    <n v="199741"/>
    <s v="FK"/>
    <s v="LEAND2003"/>
    <x v="13"/>
    <s v="CAMINHAO - AYL-5F59"/>
    <n v="1991.9"/>
    <x v="41"/>
    <x v="41"/>
    <s v=""/>
    <x v="6"/>
    <s v="LOGÍSTICA"/>
    <n v="0"/>
    <s v="MYLENA"/>
  </r>
  <r>
    <n v="199742"/>
    <s v="FK"/>
    <s v="703689"/>
    <x v="13"/>
    <s v="AUTO POSTO VIAIS"/>
    <n v="3638.72"/>
    <x v="37"/>
    <x v="37"/>
    <s v=""/>
    <x v="6"/>
    <s v="LOGÍSTICA"/>
    <n v="0"/>
    <s v="MYLENA"/>
  </r>
  <r>
    <n v="199743"/>
    <s v="FK"/>
    <s v="SODA1803"/>
    <x v="13"/>
    <s v="CAMINHAO BEM-9J26 "/>
    <n v="80.2"/>
    <x v="41"/>
    <x v="41"/>
    <s v=""/>
    <x v="6"/>
    <s v="LOGÍSTICA"/>
    <n v="0"/>
    <s v="MYLENA"/>
  </r>
  <r>
    <n v="199744"/>
    <s v="FK"/>
    <s v="7457"/>
    <x v="13"/>
    <s v="COMERCIO DE COMBUSTIVEIS TBM LTDA."/>
    <n v="161.59"/>
    <x v="37"/>
    <x v="37"/>
    <s v=""/>
    <x v="6"/>
    <s v="LOGÍSTICA"/>
    <n v="0"/>
    <s v="MYLENA"/>
  </r>
  <r>
    <n v="199745"/>
    <s v="FK"/>
    <s v="77475"/>
    <x v="13"/>
    <s v="COMERCIO DE COMBUSTIVEIS TBM LTDA."/>
    <n v="759.99"/>
    <x v="37"/>
    <x v="37"/>
    <s v=""/>
    <x v="6"/>
    <s v="LOGÍSTICA"/>
    <n v="0"/>
    <s v="MYLENA"/>
  </r>
  <r>
    <n v="199747"/>
    <s v="KAR"/>
    <s v="15FER26"/>
    <x v="107"/>
    <s v="BRUNO RODA DOS SANTOS"/>
    <n v="3206.88"/>
    <x v="72"/>
    <x v="72"/>
    <s v=""/>
    <x v="5"/>
    <s v="DH"/>
    <s v="CUSTO MÃO DE OBRA DIRETA"/>
    <s v="RAFAEL"/>
  </r>
  <r>
    <n v="199748"/>
    <s v="KAR"/>
    <s v="572303"/>
    <x v="13"/>
    <s v="BANCO SICREDI"/>
    <n v="5.7"/>
    <x v="27"/>
    <x v="27"/>
    <s v=""/>
    <x v="8"/>
    <s v="FINANCEIRO"/>
    <n v="0"/>
    <s v="LETÍCIA"/>
  </r>
  <r>
    <n v="199749"/>
    <s v="KAR"/>
    <s v="25282303"/>
    <x v="13"/>
    <s v="BANCO SICREDI"/>
    <n v="25.28"/>
    <x v="28"/>
    <x v="28"/>
    <s v=""/>
    <x v="8"/>
    <s v="FINANCEIRO"/>
    <n v="0"/>
    <s v="LETÍCIA"/>
  </r>
  <r>
    <n v="199750"/>
    <s v="KAR"/>
    <s v="1472403"/>
    <x v="107"/>
    <s v="BANCO SICREDI"/>
    <n v="1.47"/>
    <x v="27"/>
    <x v="27"/>
    <s v=""/>
    <x v="8"/>
    <s v="FINANCEIRO"/>
    <n v="0"/>
    <s v="LETÍCIA"/>
  </r>
  <r>
    <n v="199751"/>
    <s v="KAR"/>
    <s v="CET2303"/>
    <x v="13"/>
    <s v="BANCO SICREDI"/>
    <n v="1730.73"/>
    <x v="29"/>
    <x v="29"/>
    <s v=""/>
    <x v="8"/>
    <s v="FINANCEIRO"/>
    <n v="0"/>
    <s v="LETÍCIA"/>
  </r>
  <r>
    <n v="199752"/>
    <s v="LAY"/>
    <s v="9482303"/>
    <x v="13"/>
    <s v="BANCO SICREDI"/>
    <n v="9.48"/>
    <x v="28"/>
    <x v="28"/>
    <s v=""/>
    <x v="8"/>
    <s v="FINANCEIRO"/>
    <n v="0"/>
    <s v="LETÍCIA"/>
  </r>
  <r>
    <n v="199753"/>
    <s v="KOY"/>
    <s v="0792303"/>
    <x v="13"/>
    <s v="BANCO SICREDI"/>
    <n v="0.79"/>
    <x v="27"/>
    <x v="27"/>
    <s v=""/>
    <x v="8"/>
    <s v="FINANCEIRO"/>
    <n v="0"/>
    <s v="LETÍCIA"/>
  </r>
  <r>
    <n v="199754"/>
    <s v="FK"/>
    <s v="VAS240325"/>
    <x v="107"/>
    <s v="APARECIDO DA SILVA NUNES"/>
    <n v="250"/>
    <x v="38"/>
    <x v="38"/>
    <s v=""/>
    <x v="5"/>
    <s v="PRODUÇÃO"/>
    <n v="0"/>
    <s v="RAFAEL"/>
  </r>
  <r>
    <n v="199755"/>
    <s v="FK"/>
    <s v="VAND2103"/>
    <x v="107"/>
    <s v="CAMINHAO BEM-6E19"/>
    <n v="1455"/>
    <x v="41"/>
    <x v="41"/>
    <s v=""/>
    <x v="6"/>
    <s v="LOGÍSTICA"/>
    <n v="0"/>
    <s v="MYLENA"/>
  </r>
  <r>
    <n v="199756"/>
    <s v="FK"/>
    <s v="VAND2303"/>
    <x v="107"/>
    <s v="CAMINHÃO / BEH-6E00"/>
    <n v="57"/>
    <x v="41"/>
    <x v="41"/>
    <s v=""/>
    <x v="6"/>
    <s v="LOGÍSTICA"/>
    <n v="0"/>
    <s v="MYLENA"/>
  </r>
  <r>
    <n v="199757"/>
    <s v="FK"/>
    <s v="27112"/>
    <x v="107"/>
    <s v="AGROINDUSTRIA COM E TRANSP DE FARINHA RODERS"/>
    <n v="30"/>
    <x v="17"/>
    <x v="17"/>
    <s v=""/>
    <x v="8"/>
    <s v="FINANCEIRO"/>
    <n v="0"/>
    <s v="LETÍCIA"/>
  </r>
  <r>
    <n v="199758"/>
    <s v="FK"/>
    <s v="8000"/>
    <x v="13"/>
    <s v="COMERCIO DE COMBUSTIVEIS TBM LTDA."/>
    <n v="40.9"/>
    <x v="37"/>
    <x v="37"/>
    <s v=""/>
    <x v="6"/>
    <s v="LOGÍSTICA"/>
    <n v="0"/>
    <s v="MYLENA"/>
  </r>
  <r>
    <n v="199759"/>
    <s v="FK"/>
    <s v="7999"/>
    <x v="13"/>
    <s v="COMERCIO DE COMBUSTIVEIS TBM LTDA."/>
    <n v="574.11"/>
    <x v="37"/>
    <x v="37"/>
    <s v=""/>
    <x v="6"/>
    <s v="LOGÍSTICA"/>
    <n v="0"/>
    <s v="MYLENA"/>
  </r>
  <r>
    <n v="199760"/>
    <s v="FK"/>
    <s v="77378"/>
    <x v="50"/>
    <s v="COMERCIO DE COMBUSTIVEIS TBM LTDA."/>
    <n v="65.959999999999994"/>
    <x v="37"/>
    <x v="37"/>
    <s v=""/>
    <x v="6"/>
    <s v="LOGÍSTICA"/>
    <n v="0"/>
    <s v="MYLENA"/>
  </r>
  <r>
    <n v="199761"/>
    <s v="FK"/>
    <s v="77377"/>
    <x v="50"/>
    <s v="COMERCIO DE COMBUSTIVEIS TBM LTDA."/>
    <n v="3190.84"/>
    <x v="37"/>
    <x v="37"/>
    <s v=""/>
    <x v="6"/>
    <s v="LOGÍSTICA"/>
    <n v="0"/>
    <s v="MYLENA"/>
  </r>
  <r>
    <n v="199762"/>
    <s v="FK"/>
    <s v="7787"/>
    <x v="56"/>
    <s v="COMERCIO DE COMBUSTIVEIS TBM LTDA."/>
    <n v="22.68"/>
    <x v="37"/>
    <x v="37"/>
    <s v=""/>
    <x v="6"/>
    <s v="LOGÍSTICA"/>
    <n v="0"/>
    <s v="MYLENA"/>
  </r>
  <r>
    <n v="199763"/>
    <s v="FK"/>
    <s v="7786"/>
    <x v="56"/>
    <s v="COMERCIO DE COMBUSTIVEIS TBM LTDA."/>
    <n v="2742.57"/>
    <x v="37"/>
    <x v="37"/>
    <s v=""/>
    <x v="6"/>
    <s v="LOGÍSTICA"/>
    <n v="0"/>
    <s v="MYLENA"/>
  </r>
  <r>
    <n v="199764"/>
    <s v="FK"/>
    <s v="91"/>
    <x v="107"/>
    <s v="M.A. CONSULTORIA &amp; MANUTENÇAO INDUSTRIAL"/>
    <n v="600"/>
    <x v="30"/>
    <x v="30"/>
    <s v=""/>
    <x v="9"/>
    <s v="MANUTENÇÃO / TI"/>
    <n v="0"/>
    <s v="RAFAEL"/>
  </r>
  <r>
    <n v="199765"/>
    <s v="KAR"/>
    <s v="9792"/>
    <x v="107"/>
    <s v="IDEAL COMERCIO DE AUTO PEÇAS EIRELI"/>
    <n v="2664"/>
    <x v="31"/>
    <x v="31"/>
    <s v=""/>
    <x v="6"/>
    <s v="LOGÍSTICA"/>
    <n v="0"/>
    <s v="MYLENA"/>
  </r>
  <r>
    <n v="199766"/>
    <s v="FK"/>
    <s v="CANVA"/>
    <x v="107"/>
    <s v="DANIEL BRUNNER TAVARES"/>
    <n v="35"/>
    <x v="50"/>
    <x v="50"/>
    <s v=""/>
    <x v="6"/>
    <s v="COMERCIAL"/>
    <n v="0"/>
    <s v="THAIS"/>
  </r>
  <r>
    <n v="199767"/>
    <s v="KAR"/>
    <s v="109495"/>
    <x v="78"/>
    <s v="POSTO SESSENTA LTDA - EPP"/>
    <n v="57.05"/>
    <x v="37"/>
    <x v="37"/>
    <s v=""/>
    <x v="6"/>
    <s v="LOGÍSTICA"/>
    <n v="0"/>
    <s v="MYLENA"/>
  </r>
  <r>
    <n v="199768"/>
    <s v="KAR"/>
    <s v="61587"/>
    <x v="105"/>
    <s v="POSTO FAROL 48 DA CASTELO LTDA"/>
    <n v="1498"/>
    <x v="37"/>
    <x v="37"/>
    <s v=""/>
    <x v="6"/>
    <s v="LOGÍSTICA"/>
    <n v="0"/>
    <s v="MYLENA"/>
  </r>
  <r>
    <n v="199769"/>
    <s v="KAR"/>
    <s v="3510"/>
    <x v="107"/>
    <s v="ACC 7 CONSULTORIA E DESENVOLVIMENTO LTDA"/>
    <n v="450"/>
    <x v="12"/>
    <x v="12"/>
    <s v=""/>
    <x v="3"/>
    <s v="MANUTENÇÃO / TI"/>
    <n v="0"/>
    <s v="LETÍCIA"/>
  </r>
  <r>
    <n v="199771"/>
    <s v="FK"/>
    <s v="TERRACAPI"/>
    <x v="107"/>
    <s v="JULIANA SILVA QUITÉRIO - ME"/>
    <n v="7688.2"/>
    <x v="47"/>
    <x v="47"/>
    <s v=""/>
    <x v="6"/>
    <s v="COMERCIAL"/>
    <n v="0"/>
    <s v="LETÍCIA"/>
  </r>
  <r>
    <n v="199774"/>
    <s v="KOX"/>
    <s v="LEANDRO MI"/>
    <x v="34"/>
    <s v="VIAÇÃO GARCIA LTDA"/>
    <n v="118.65"/>
    <x v="54"/>
    <x v="54"/>
    <s v=""/>
    <x v="6"/>
    <s v="COMERCIAL"/>
    <n v="0"/>
    <s v="LETÍCIA"/>
  </r>
  <r>
    <n v="199775"/>
    <s v="FK"/>
    <s v="PWR240326"/>
    <x v="107"/>
    <s v="TAM LINHAS AEREAS S/A."/>
    <n v="3404.64"/>
    <x v="6"/>
    <x v="6"/>
    <s v=""/>
    <x v="3"/>
    <s v="FINANCEIRO"/>
    <n v="0"/>
    <s v="LETÍCIA"/>
  </r>
  <r>
    <n v="199781"/>
    <s v="KAR"/>
    <s v="939295"/>
    <x v="33"/>
    <s v="EXPRESSO SAO MIGUEL LTDA"/>
    <n v="488.25"/>
    <x v="48"/>
    <x v="48"/>
    <s v="SERVIÇOS FRETE"/>
    <x v="0"/>
    <s v="COMPRAS"/>
    <n v="0"/>
    <s v="MYLENA"/>
  </r>
  <r>
    <n v="199782"/>
    <s v="KAR"/>
    <s v="3957885"/>
    <x v="50"/>
    <s v="EXPRESSO SAO MIGUEL LTDA"/>
    <n v="211.85"/>
    <x v="48"/>
    <x v="48"/>
    <s v="SERVIÇOS FRETE"/>
    <x v="0"/>
    <s v="COMPRAS"/>
    <n v="0"/>
    <s v="MYLENA"/>
  </r>
  <r>
    <n v="199783"/>
    <s v="KAR"/>
    <s v="52141"/>
    <x v="106"/>
    <s v="TRANS APUCARANA TRANSPORTES RODOVIARIOS LTDA"/>
    <n v="117.8"/>
    <x v="48"/>
    <x v="48"/>
    <s v="SERVIÇOS FRETE"/>
    <x v="0"/>
    <s v="COMPRAS"/>
    <n v="0"/>
    <s v="MYLENA"/>
  </r>
  <r>
    <n v="199784"/>
    <s v="KAR"/>
    <s v="6531"/>
    <x v="107"/>
    <s v="BANCO SICREDI"/>
    <n v="65.31"/>
    <x v="27"/>
    <x v="27"/>
    <s v=""/>
    <x v="8"/>
    <s v="FINANCEIRO"/>
    <n v="0"/>
    <s v="LETÍCIA"/>
  </r>
  <r>
    <n v="199785"/>
    <s v="KAR"/>
    <s v="6463"/>
    <x v="107"/>
    <s v="BANCO SICREDI"/>
    <n v="64.63"/>
    <x v="27"/>
    <x v="27"/>
    <s v=""/>
    <x v="8"/>
    <s v="FINANCEIRO"/>
    <n v="0"/>
    <s v="LETÍCIA"/>
  </r>
  <r>
    <n v="199786"/>
    <s v="KAR"/>
    <s v="CET2403"/>
    <x v="107"/>
    <s v="BANCO SICREDI"/>
    <n v="402.62"/>
    <x v="29"/>
    <x v="29"/>
    <s v=""/>
    <x v="8"/>
    <s v="FINANCEIRO"/>
    <n v="0"/>
    <s v="LETÍCIA"/>
  </r>
  <r>
    <n v="199787"/>
    <s v="KAR"/>
    <s v="52300"/>
    <x v="106"/>
    <s v="TRANS APUCARANA TRANSPORTES RODOVIARIOS LTDA"/>
    <n v="109.69"/>
    <x v="48"/>
    <x v="48"/>
    <s v="SERVIÇOS FRETE"/>
    <x v="0"/>
    <s v="COMPRAS"/>
    <n v="0"/>
    <s v="MYLENA"/>
  </r>
  <r>
    <n v="199788"/>
    <s v="KAR"/>
    <s v="52147"/>
    <x v="106"/>
    <s v="TRANS APUCARANA TRANSPORTES RODOVIARIOS LTDA"/>
    <n v="111.23"/>
    <x v="48"/>
    <x v="48"/>
    <s v="SERVIÇOS FRETE"/>
    <x v="0"/>
    <s v="COMPRAS"/>
    <n v="0"/>
    <s v="MYLENA"/>
  </r>
  <r>
    <n v="199789"/>
    <s v="KAR"/>
    <s v="52142"/>
    <x v="107"/>
    <s v="TRANS APUCARANA TRANSPORTES RODOVIARIOS LTDA"/>
    <n v="434.24"/>
    <x v="48"/>
    <x v="48"/>
    <s v="SERVIÇOS FRETE"/>
    <x v="0"/>
    <s v="COMPRAS"/>
    <n v="0"/>
    <s v="MYLENA"/>
  </r>
  <r>
    <n v="199790"/>
    <s v="KAR"/>
    <s v="344498"/>
    <x v="53"/>
    <s v="EXPRESSO SAO MIGUEL S/A"/>
    <n v="168.31"/>
    <x v="48"/>
    <x v="48"/>
    <s v=""/>
    <x v="0"/>
    <s v="COMPRAS"/>
    <n v="0"/>
    <s v="MYLENA"/>
  </r>
  <r>
    <n v="199791"/>
    <s v="KAR"/>
    <s v="166020"/>
    <x v="81"/>
    <s v="EXPRESSO SAO MIGUEL NAVEGANTES"/>
    <n v="149.31"/>
    <x v="48"/>
    <x v="48"/>
    <s v=""/>
    <x v="0"/>
    <s v="COMPRAS"/>
    <n v="0"/>
    <s v="MYLENA"/>
  </r>
  <r>
    <n v="199792"/>
    <s v="KAR"/>
    <s v="3672157"/>
    <x v="81"/>
    <s v="EXPRESSO SAO MIGUEL LTDA"/>
    <n v="155.9"/>
    <x v="48"/>
    <x v="48"/>
    <s v="SERVIÇOS FRETE"/>
    <x v="0"/>
    <s v="COMPRAS"/>
    <n v="0"/>
    <s v="MYLENA"/>
  </r>
  <r>
    <n v="199793"/>
    <s v="KAR"/>
    <s v="196835"/>
    <x v="53"/>
    <s v="EXPRESSO SAO MIGUEL LTDA"/>
    <n v="202.31"/>
    <x v="48"/>
    <x v="48"/>
    <s v="SERVIÇOS FRETE"/>
    <x v="0"/>
    <s v="COMPRAS"/>
    <n v="0"/>
    <s v="MYLENA"/>
  </r>
  <r>
    <n v="199794"/>
    <s v="KAR"/>
    <s v="50201"/>
    <x v="33"/>
    <s v="TRANS APUCARANA TRANSPORTES RODOVIARIOS LTDA"/>
    <n v="103.06"/>
    <x v="48"/>
    <x v="48"/>
    <s v="SERVIÇOS FRETE"/>
    <x v="0"/>
    <s v="COMPRAS"/>
    <n v="0"/>
    <s v="MYLENA"/>
  </r>
  <r>
    <n v="199795"/>
    <s v="KAR"/>
    <s v="197800"/>
    <x v="107"/>
    <s v="EXPRESSO SAO MIGUEL LTDA"/>
    <n v="105.19"/>
    <x v="48"/>
    <x v="48"/>
    <s v="SERVIÇOS FRETE"/>
    <x v="0"/>
    <s v="COMPRAS"/>
    <n v="0"/>
    <s v="MYLENA"/>
  </r>
  <r>
    <n v="199796"/>
    <s v="KAR"/>
    <s v="3686745"/>
    <x v="106"/>
    <s v="EXPRESSO SAO MIGUEL LTDA"/>
    <n v="142.65"/>
    <x v="48"/>
    <x v="48"/>
    <s v="SERVIÇOS FRETE"/>
    <x v="0"/>
    <s v="COMPRAS"/>
    <n v="0"/>
    <s v="MYLENA"/>
  </r>
  <r>
    <n v="199797"/>
    <s v="FK"/>
    <s v="SIL240326"/>
    <x v="107"/>
    <s v="M.A. DOS SANTOS NASCIMENTO"/>
    <n v="117"/>
    <x v="64"/>
    <x v="64"/>
    <s v=""/>
    <x v="4"/>
    <s v="FINANCEIRO"/>
    <n v="0"/>
    <s v="MYLENA"/>
  </r>
  <r>
    <n v="199798"/>
    <s v="KOY"/>
    <s v="50183"/>
    <x v="33"/>
    <s v="TRANS APUCARANA TRANSPORTES RODOVIARIOS LTDA"/>
    <n v="131.94"/>
    <x v="48"/>
    <x v="48"/>
    <s v="SERVIÇOS FRETE"/>
    <x v="0"/>
    <s v="COMPRAS"/>
    <n v="0"/>
    <s v="MYLENA"/>
  </r>
  <r>
    <n v="199799"/>
    <s v="KOY"/>
    <s v="755587"/>
    <x v="5"/>
    <s v="EXPRESSO SAO MIGUEL LTDA"/>
    <n v="306"/>
    <x v="48"/>
    <x v="48"/>
    <s v="SERVIÇOS FRETE"/>
    <x v="0"/>
    <s v="COMPRAS"/>
    <n v="0"/>
    <s v="MYLENA"/>
  </r>
  <r>
    <n v="199800"/>
    <s v="FK"/>
    <s v="13050"/>
    <x v="107"/>
    <s v="KARAM'S IND.E COM.DE ESTOFADOS LTDA"/>
    <n v="130.5"/>
    <x v="17"/>
    <x v="17"/>
    <s v=""/>
    <x v="8"/>
    <s v="FINANCEIRO"/>
    <n v="0"/>
    <s v="LETÍCIA"/>
  </r>
  <r>
    <n v="199801"/>
    <s v="KAR"/>
    <s v="14355"/>
    <x v="29"/>
    <s v="AUTO MECANICA BRASIL &amp; MENDES LTDA-ME"/>
    <n v="140"/>
    <x v="31"/>
    <x v="31"/>
    <s v=""/>
    <x v="6"/>
    <s v="LOGÍSTICA"/>
    <n v="0"/>
    <s v="MYLENA"/>
  </r>
  <r>
    <n v="199803"/>
    <s v="KAR"/>
    <s v="3012"/>
    <x v="29"/>
    <s v="AUTO MECANICA BRASIL &amp; MENDES LTDA-ME"/>
    <n v="120"/>
    <x v="31"/>
    <x v="31"/>
    <s v=""/>
    <x v="6"/>
    <s v="LOGÍSTICA"/>
    <n v="0"/>
    <s v="MYLENA"/>
  </r>
  <r>
    <n v="199804"/>
    <s v="KAR"/>
    <s v="82712403"/>
    <x v="107"/>
    <s v="BANCO SICREDI"/>
    <n v="82.71"/>
    <x v="69"/>
    <x v="69"/>
    <s v=""/>
    <x v="4"/>
    <s v="FINANCEIRO"/>
    <n v="0"/>
    <s v="LETÍCIA"/>
  </r>
  <r>
    <n v="199805"/>
    <s v="KAR"/>
    <s v="22142403"/>
    <x v="107"/>
    <s v="BANCO SICREDI"/>
    <n v="22.14"/>
    <x v="69"/>
    <x v="69"/>
    <s v=""/>
    <x v="4"/>
    <s v="FINANCEIRO"/>
    <n v="0"/>
    <s v="LETÍCIA"/>
  </r>
  <r>
    <n v="199806"/>
    <s v="KAR"/>
    <s v="3162403"/>
    <x v="107"/>
    <s v="BANCO SICREDI"/>
    <n v="3.16"/>
    <x v="28"/>
    <x v="28"/>
    <s v=""/>
    <x v="8"/>
    <s v="FINANCEIRO"/>
    <n v="0"/>
    <s v="LETÍCIA"/>
  </r>
  <r>
    <n v="199807"/>
    <s v="KAR"/>
    <s v="1322503"/>
    <x v="29"/>
    <s v="BANCO SICREDI"/>
    <n v="1.32"/>
    <x v="27"/>
    <x v="27"/>
    <s v=""/>
    <x v="8"/>
    <s v="FINANCEIRO"/>
    <n v="0"/>
    <s v="LETÍCIA"/>
  </r>
  <r>
    <n v="199808"/>
    <s v="KAR"/>
    <s v="13412503"/>
    <x v="29"/>
    <s v="BANCO SICREDI"/>
    <n v="13.41"/>
    <x v="29"/>
    <x v="29"/>
    <s v=""/>
    <x v="8"/>
    <s v="FINANCEIRO"/>
    <n v="0"/>
    <s v="LETÍCIA"/>
  </r>
  <r>
    <n v="199809"/>
    <s v="KOY"/>
    <s v="0792403"/>
    <x v="107"/>
    <s v="BANCO SICREDI"/>
    <n v="0.79"/>
    <x v="28"/>
    <x v="28"/>
    <s v=""/>
    <x v="8"/>
    <s v="FINANCEIRO"/>
    <n v="0"/>
    <s v="LETÍCIA"/>
  </r>
  <r>
    <n v="199812"/>
    <s v="KAR"/>
    <s v="63254"/>
    <x v="29"/>
    <s v="INGA VEICULOS LTDA"/>
    <n v="1898"/>
    <x v="31"/>
    <x v="31"/>
    <s v=""/>
    <x v="6"/>
    <s v="LOGÍSTICA"/>
    <n v="0"/>
    <s v="MYLENA"/>
  </r>
  <r>
    <n v="199813"/>
    <s v="FK"/>
    <s v="NORI2503"/>
    <x v="29"/>
    <s v="N. M. CODALE &amp; CIA LTDA."/>
    <n v="45"/>
    <x v="45"/>
    <x v="45"/>
    <s v=""/>
    <x v="4"/>
    <s v="ADMINISTRATIVO"/>
    <n v="0"/>
    <s v="MYLENA"/>
  </r>
  <r>
    <n v="199814"/>
    <s v="FK"/>
    <s v="ACA2103"/>
    <x v="29"/>
    <s v="MARCOS ACACIO VALERIO"/>
    <n v="350"/>
    <x v="30"/>
    <x v="30"/>
    <s v="MAQUINAS DE COSTURA"/>
    <x v="9"/>
    <s v="MANUTENÇÃO / TI"/>
    <n v="0"/>
    <s v="RAFAEL"/>
  </r>
  <r>
    <n v="199815"/>
    <s v="KOY"/>
    <s v="MAR250326"/>
    <x v="29"/>
    <s v="RAFAEL KOSSEI KATO"/>
    <n v="5530"/>
    <x v="15"/>
    <x v="15"/>
    <s v=""/>
    <x v="7"/>
    <s v="DIRETORIA"/>
    <n v="0"/>
    <s v="FÁBIO"/>
  </r>
  <r>
    <n v="199816"/>
    <s v="KAR"/>
    <s v="INTEL. ART"/>
    <x v="91"/>
    <s v="BLACK EAGLE MARKETING &amp; TREINAMENTO PROFISSIONAL L"/>
    <n v="7000"/>
    <x v="6"/>
    <x v="6"/>
    <s v=""/>
    <x v="3"/>
    <s v="FINANCEIRO"/>
    <n v="0"/>
    <s v="LETÍCIA"/>
  </r>
  <r>
    <n v="199817"/>
    <s v="FK"/>
    <s v="PET2503"/>
    <x v="29"/>
    <s v="ACT GUIRELLI"/>
    <n v="252"/>
    <x v="32"/>
    <x v="32"/>
    <s v=""/>
    <x v="3"/>
    <s v="FINANCEIRO"/>
    <n v="0"/>
    <s v="LETÍCIA"/>
  </r>
  <r>
    <n v="199818"/>
    <s v="FK"/>
    <s v="POL2003"/>
    <x v="29"/>
    <s v="BORRACHARIA DO POLACO"/>
    <n v="160"/>
    <x v="31"/>
    <x v="31"/>
    <s v=""/>
    <x v="6"/>
    <s v="LOGÍSTICA"/>
    <n v="0"/>
    <s v="MYLENA"/>
  </r>
  <r>
    <n v="199830"/>
    <s v="FK"/>
    <s v="MIL2503"/>
    <x v="29"/>
    <s v="MAYCON ARIEL MAIOR &amp; CIA LTDA - ME"/>
    <n v="115"/>
    <x v="38"/>
    <x v="38"/>
    <s v=""/>
    <x v="5"/>
    <s v="PRODUÇÃO"/>
    <n v="0"/>
    <s v="RAFAEL"/>
  </r>
  <r>
    <n v="199831"/>
    <s v="FK"/>
    <s v="NIS2503"/>
    <x v="29"/>
    <s v="CASA DE FERRAGEM NISHIMOTO"/>
    <n v="53"/>
    <x v="30"/>
    <x v="30"/>
    <s v="FERRAGENS GERAIS"/>
    <x v="9"/>
    <s v="MANUTENÇÃO / TI"/>
    <n v="0"/>
    <s v="RAFAEL"/>
  </r>
  <r>
    <n v="199832"/>
    <s v="KAR"/>
    <s v="16839"/>
    <x v="29"/>
    <s v="CACIO TRANSPORTE E COMERCIO DE MOTOSERRAS LTDA "/>
    <n v="4000"/>
    <x v="48"/>
    <x v="48"/>
    <s v=""/>
    <x v="0"/>
    <s v="COMPRAS"/>
    <n v="0"/>
    <s v="MYLENA"/>
  </r>
  <r>
    <n v="199833"/>
    <s v="FK"/>
    <s v="196893"/>
    <x v="17"/>
    <s v="LOCALIZA RENT A CAR S/A."/>
    <n v="472.73"/>
    <x v="35"/>
    <x v="35"/>
    <s v=""/>
    <x v="9"/>
    <s v="DH"/>
    <n v="0"/>
    <s v="FÁBIO"/>
  </r>
  <r>
    <n v="199834"/>
    <s v="FK"/>
    <s v="BATA2503"/>
    <x v="29"/>
    <s v="MARIA ANDREIA BUENO DE ALMEIDA BATAER"/>
    <n v="800"/>
    <x v="34"/>
    <x v="34"/>
    <s v=""/>
    <x v="6"/>
    <s v="COMERCIAL"/>
    <n v="0"/>
    <s v="LETÍCIA"/>
  </r>
  <r>
    <n v="199837"/>
    <s v="LAY"/>
    <s v="7921"/>
    <x v="29"/>
    <s v="BANCO SICREDI"/>
    <n v="79.209999999999994"/>
    <x v="27"/>
    <x v="27"/>
    <s v=""/>
    <x v="8"/>
    <s v="FINANCEIRO"/>
    <n v="0"/>
    <s v="LETÍCIA"/>
  </r>
  <r>
    <n v="199838"/>
    <s v="LAY"/>
    <s v="6259"/>
    <x v="29"/>
    <s v="BANCO SICREDI"/>
    <n v="62.59"/>
    <x v="27"/>
    <x v="27"/>
    <s v=""/>
    <x v="8"/>
    <s v="FINANCEIRO"/>
    <n v="0"/>
    <s v="LETÍCIA"/>
  </r>
  <r>
    <n v="199839"/>
    <s v="LAY"/>
    <s v="CET2503"/>
    <x v="29"/>
    <s v="BANCO SICREDI"/>
    <n v="485.58"/>
    <x v="29"/>
    <x v="29"/>
    <s v=""/>
    <x v="8"/>
    <s v="FINANCEIRO"/>
    <n v="0"/>
    <s v="LETÍCIA"/>
  </r>
  <r>
    <n v="199840"/>
    <s v="KAR"/>
    <s v="20983"/>
    <x v="29"/>
    <s v="BANCO SICREDI"/>
    <n v="209.83"/>
    <x v="27"/>
    <x v="27"/>
    <s v=""/>
    <x v="8"/>
    <s v="FINANCEIRO"/>
    <n v="0"/>
    <s v="LETÍCIA"/>
  </r>
  <r>
    <n v="199841"/>
    <s v="KAR"/>
    <s v="12812"/>
    <x v="29"/>
    <s v="BANCO SICREDI"/>
    <n v="128.12"/>
    <x v="27"/>
    <x v="27"/>
    <s v=""/>
    <x v="8"/>
    <s v="FINANCEIRO"/>
    <n v="0"/>
    <s v="LETÍCIA"/>
  </r>
  <r>
    <n v="199842"/>
    <s v="KAR"/>
    <s v="CET2503"/>
    <x v="29"/>
    <s v="BANCO SICREDI"/>
    <n v="1320.55"/>
    <x v="29"/>
    <x v="29"/>
    <s v=""/>
    <x v="8"/>
    <s v="FINANCEIRO"/>
    <n v="0"/>
    <s v="LETÍCIA"/>
  </r>
  <r>
    <n v="199843"/>
    <s v="FK"/>
    <s v="EVAN2403"/>
    <x v="29"/>
    <s v="EVANDRO CASSIO DOS SANTOS"/>
    <n v="510"/>
    <x v="31"/>
    <x v="31"/>
    <s v=""/>
    <x v="6"/>
    <s v="LOGÍSTICA"/>
    <n v="0"/>
    <s v="MYLENA"/>
  </r>
  <r>
    <n v="199844"/>
    <s v="FK"/>
    <s v="EVAN0903"/>
    <x v="29"/>
    <s v="EVANDRO CASSIO DOS SANTOS"/>
    <n v="485"/>
    <x v="31"/>
    <x v="31"/>
    <s v=""/>
    <x v="6"/>
    <s v="LOGÍSTICA"/>
    <n v="0"/>
    <s v="MYLENA"/>
  </r>
  <r>
    <n v="199845"/>
    <s v="KAR"/>
    <s v="6322503"/>
    <x v="29"/>
    <s v="BANCO SICREDI"/>
    <n v="6.32"/>
    <x v="27"/>
    <x v="27"/>
    <s v=""/>
    <x v="8"/>
    <s v="FINANCEIRO"/>
    <n v="0"/>
    <s v="LETÍCIA"/>
  </r>
  <r>
    <n v="199846"/>
    <s v="KAR"/>
    <s v="4082603"/>
    <x v="108"/>
    <s v="BANCO SICREDI"/>
    <n v="4.08"/>
    <x v="27"/>
    <x v="27"/>
    <s v=""/>
    <x v="8"/>
    <s v="FINANCEIRO"/>
    <n v="0"/>
    <s v="LETÍCIA"/>
  </r>
  <r>
    <n v="199847"/>
    <s v="KAR"/>
    <s v="422426"/>
    <x v="108"/>
    <s v="BANCO SICREDI"/>
    <n v="42.24"/>
    <x v="29"/>
    <x v="29"/>
    <s v=""/>
    <x v="8"/>
    <s v="FINANCEIRO"/>
    <n v="0"/>
    <s v="LETÍCIA"/>
  </r>
  <r>
    <n v="199848"/>
    <s v="KOY"/>
    <s v="1582503"/>
    <x v="29"/>
    <s v="BANCO SICREDI"/>
    <n v="1.58"/>
    <x v="28"/>
    <x v="28"/>
    <s v=""/>
    <x v="8"/>
    <s v="FINANCEIRO"/>
    <n v="0"/>
    <s v="LETÍCIA"/>
  </r>
  <r>
    <n v="199849"/>
    <s v="LAY"/>
    <s v="3162503"/>
    <x v="29"/>
    <s v="BANCO SICREDI"/>
    <n v="3.16"/>
    <x v="28"/>
    <x v="28"/>
    <s v=""/>
    <x v="8"/>
    <s v="FINANCEIRO"/>
    <n v="0"/>
    <s v="LETÍCIA"/>
  </r>
  <r>
    <n v="199850"/>
    <s v="FK"/>
    <s v="2852503"/>
    <x v="29"/>
    <s v="SICOOB NOROESTE DO PARANA"/>
    <n v="2.85"/>
    <x v="27"/>
    <x v="27"/>
    <s v=""/>
    <x v="8"/>
    <s v="FINANCEIRO"/>
    <n v="0"/>
    <s v="LETÍCIA"/>
  </r>
  <r>
    <n v="199851"/>
    <s v="LAY"/>
    <s v="15118"/>
    <x v="108"/>
    <s v="VIPEX TRANSPORTES LTDA - 017"/>
    <n v="88.64"/>
    <x v="65"/>
    <x v="65"/>
    <s v=""/>
    <x v="6"/>
    <s v="LOGÍSTICA"/>
    <n v="0"/>
    <s v="MYLENA"/>
  </r>
  <r>
    <n v="199852"/>
    <s v="FK"/>
    <s v="7757"/>
    <x v="56"/>
    <s v="COMERCIO DE COMBUSTIVEIS TBM LTDA."/>
    <n v="295.79000000000002"/>
    <x v="43"/>
    <x v="43"/>
    <s v=""/>
    <x v="4"/>
    <s v="LOGÍSTICA"/>
    <n v="0"/>
    <s v="LETÍCIA"/>
  </r>
  <r>
    <n v="199854"/>
    <s v="FK"/>
    <s v="SODA 2403"/>
    <x v="108"/>
    <s v="CAMINHAO BEM-9J26 "/>
    <n v="500"/>
    <x v="41"/>
    <x v="41"/>
    <s v=""/>
    <x v="6"/>
    <s v="LOGÍSTICA"/>
    <n v="0"/>
    <s v="MYLENA"/>
  </r>
  <r>
    <n v="199855"/>
    <s v="FK"/>
    <s v="77722"/>
    <x v="56"/>
    <s v="COMERCIO DE COMBUSTIVEIS TBM LTDA."/>
    <n v="33.58"/>
    <x v="37"/>
    <x v="37"/>
    <s v=""/>
    <x v="6"/>
    <s v="LOGÍSTICA"/>
    <n v="0"/>
    <s v="MYLENA"/>
  </r>
  <r>
    <n v="199856"/>
    <s v="FK"/>
    <s v="77721"/>
    <x v="56"/>
    <s v="COMERCIO DE COMBUSTIVEIS TBM LTDA."/>
    <n v="161.44"/>
    <x v="37"/>
    <x v="37"/>
    <s v=""/>
    <x v="6"/>
    <s v="LOGÍSTICA"/>
    <n v="0"/>
    <s v="MYLENA"/>
  </r>
  <r>
    <n v="199857"/>
    <s v="FK"/>
    <s v="SODA2503"/>
    <x v="108"/>
    <s v="CAMINHAO BEM-9J26 "/>
    <n v="72.400000000000006"/>
    <x v="41"/>
    <x v="41"/>
    <s v=""/>
    <x v="6"/>
    <s v="LOGÍSTICA"/>
    <n v="0"/>
    <s v="MYLENA"/>
  </r>
  <r>
    <n v="199858"/>
    <s v="FK"/>
    <s v="8109"/>
    <x v="107"/>
    <s v="COMERCIO DE COMBUSTIVEIS TBM LTDA."/>
    <n v="52.12"/>
    <x v="37"/>
    <x v="37"/>
    <s v=""/>
    <x v="6"/>
    <s v="LOGÍSTICA"/>
    <n v="0"/>
    <s v="MYLENA"/>
  </r>
  <r>
    <n v="199859"/>
    <s v="FK"/>
    <s v="77989"/>
    <x v="29"/>
    <s v="COMERCIO DE COMBUSTIVEIS TBM LTDA."/>
    <n v="841.5"/>
    <x v="37"/>
    <x v="37"/>
    <s v=""/>
    <x v="6"/>
    <s v="LOGÍSTICA"/>
    <n v="0"/>
    <s v="MYLENA"/>
  </r>
  <r>
    <n v="199860"/>
    <s v="FK"/>
    <s v="8108"/>
    <x v="107"/>
    <s v="COMERCIO DE COMBUSTIVEIS TBM LTDA."/>
    <n v="712.39"/>
    <x v="37"/>
    <x v="37"/>
    <s v=""/>
    <x v="6"/>
    <s v="LOGÍSTICA"/>
    <n v="0"/>
    <s v="MYLENA"/>
  </r>
  <r>
    <n v="199861"/>
    <s v="KAR"/>
    <s v="8475"/>
    <x v="108"/>
    <s v="AUTO POSTO ESTORIL DE SERTAOZINHO LTDA"/>
    <n v="858.51"/>
    <x v="37"/>
    <x v="37"/>
    <s v=""/>
    <x v="6"/>
    <s v="LOGÍSTICA"/>
    <n v="0"/>
    <s v="MYLENA"/>
  </r>
  <r>
    <n v="199862"/>
    <s v="KAR"/>
    <s v="847344"/>
    <x v="108"/>
    <s v="AUTO POSTO MACEDAO LTDA."/>
    <n v="567.70000000000005"/>
    <x v="37"/>
    <x v="37"/>
    <s v=""/>
    <x v="6"/>
    <s v="LOGÍSTICA"/>
    <n v="0"/>
    <s v="MYLENA"/>
  </r>
  <r>
    <n v="199863"/>
    <s v="KAR"/>
    <s v="AYL-5F59"/>
    <x v="6"/>
    <s v="CENTRO DE GESTAO DE MEIOS DE PAGTO S/A"/>
    <n v="2443.09"/>
    <x v="42"/>
    <x v="42"/>
    <s v=""/>
    <x v="6"/>
    <s v="LOGÍSTICA"/>
    <n v="0"/>
    <s v="MYLENA"/>
  </r>
  <r>
    <n v="199864"/>
    <s v="KAR"/>
    <s v="AYL-6E00"/>
    <x v="6"/>
    <s v="CENTRO DE GESTAO DE MEIOS DE PAGTO S/A"/>
    <n v="3692.39"/>
    <x v="42"/>
    <x v="42"/>
    <s v=""/>
    <x v="6"/>
    <s v="LOGÍSTICA"/>
    <n v="0"/>
    <s v="MYLENA"/>
  </r>
  <r>
    <n v="199865"/>
    <s v="KAR"/>
    <s v="BBH-6630"/>
    <x v="6"/>
    <s v="CENTRO DE GESTAO DE MEIOS DE PAGTO S/A"/>
    <n v="49.8"/>
    <x v="42"/>
    <x v="42"/>
    <s v=""/>
    <x v="6"/>
    <s v="LOGÍSTICA"/>
    <n v="0"/>
    <s v="MYLENA"/>
  </r>
  <r>
    <n v="199866"/>
    <s v="KAR"/>
    <s v="BDS-7E01"/>
    <x v="6"/>
    <s v="CENTRO DE GESTAO DE MEIOS DE PAGTO S/A"/>
    <n v="87.9"/>
    <x v="42"/>
    <x v="42"/>
    <s v=""/>
    <x v="6"/>
    <s v="LOGÍSTICA"/>
    <n v="0"/>
    <s v="MYLENA"/>
  </r>
  <r>
    <n v="199867"/>
    <s v="KAR"/>
    <s v="BEH-6E00"/>
    <x v="6"/>
    <s v="CENTRO DE GESTAO DE MEIOS DE PAGTO S/A"/>
    <n v="621.99"/>
    <x v="42"/>
    <x v="42"/>
    <s v=""/>
    <x v="6"/>
    <s v="LOGÍSTICA"/>
    <n v="0"/>
    <s v="MYLENA"/>
  </r>
  <r>
    <n v="199868"/>
    <s v="KAR"/>
    <s v="BEM-6E19"/>
    <x v="6"/>
    <s v="CENTRO DE GESTAO DE MEIOS DE PAGTO S/A"/>
    <n v="2804.24"/>
    <x v="42"/>
    <x v="42"/>
    <s v=""/>
    <x v="6"/>
    <s v="LOGÍSTICA"/>
    <n v="0"/>
    <s v="MYLENA"/>
  </r>
  <r>
    <n v="199869"/>
    <s v="KAR"/>
    <s v="BEM-8409"/>
    <x v="6"/>
    <s v="CENTRO DE GESTAO DE MEIOS DE PAGTO S/A"/>
    <n v="49.8"/>
    <x v="42"/>
    <x v="42"/>
    <s v=""/>
    <x v="6"/>
    <s v="LOGÍSTICA"/>
    <n v="0"/>
    <s v="MYLENA"/>
  </r>
  <r>
    <n v="199870"/>
    <s v="KAR"/>
    <s v="BEM-9J26"/>
    <x v="6"/>
    <s v="CENTRO DE GESTAO DE MEIOS DE PAGTO S/A"/>
    <n v="192.71"/>
    <x v="42"/>
    <x v="42"/>
    <s v=""/>
    <x v="6"/>
    <s v="LOGÍSTICA"/>
    <n v="0"/>
    <s v="MYLENA"/>
  </r>
  <r>
    <n v="199871"/>
    <s v="KAR"/>
    <s v="TARIFA"/>
    <x v="6"/>
    <s v="CENTRO DE GESTAO DE MEIOS DE PAGTO S/A"/>
    <n v="16.73"/>
    <x v="42"/>
    <x v="42"/>
    <s v=""/>
    <x v="6"/>
    <s v="LOGÍSTICA"/>
    <n v="0"/>
    <s v="MYLENA"/>
  </r>
  <r>
    <n v="199872"/>
    <s v="KAR"/>
    <s v="01-15MA26"/>
    <x v="108"/>
    <s v="ANA VERA ANDRADE CUNHA"/>
    <n v="1096.2"/>
    <x v="47"/>
    <x v="47"/>
    <s v=""/>
    <x v="6"/>
    <s v="COMERCIAL"/>
    <n v="0"/>
    <s v="LETÍCIA"/>
  </r>
  <r>
    <n v="199873"/>
    <s v="KAR"/>
    <s v="01-15MA26"/>
    <x v="108"/>
    <s v="BELA CASA REPRESENTAÇOES LTDA"/>
    <n v="1469.98"/>
    <x v="47"/>
    <x v="47"/>
    <s v=""/>
    <x v="6"/>
    <s v="COMERCIAL"/>
    <n v="0"/>
    <s v="LETÍCIA"/>
  </r>
  <r>
    <n v="199874"/>
    <s v="KAR"/>
    <s v="01-15MA26"/>
    <x v="108"/>
    <s v="ELAINE DE OLIVEIRA TESSARO"/>
    <n v="9591.08"/>
    <x v="47"/>
    <x v="47"/>
    <s v=""/>
    <x v="6"/>
    <s v="COMERCIAL"/>
    <n v="0"/>
    <s v="LETÍCIA"/>
  </r>
  <r>
    <n v="199875"/>
    <s v="KAR"/>
    <s v="01-15MA26"/>
    <x v="108"/>
    <s v="ILHA BELLA COM E REPRESENTAÇOES LTDA"/>
    <n v="2354.7800000000002"/>
    <x v="47"/>
    <x v="47"/>
    <s v=""/>
    <x v="6"/>
    <s v="COMERCIAL"/>
    <n v="0"/>
    <s v="LETÍCIA"/>
  </r>
  <r>
    <n v="199876"/>
    <s v="KAR"/>
    <s v="01-15MA26"/>
    <x v="108"/>
    <s v="JUAN JOSE IGLESIAS CARBALLO"/>
    <n v="505.25"/>
    <x v="47"/>
    <x v="47"/>
    <s v=""/>
    <x v="6"/>
    <s v="COMERCIAL"/>
    <n v="0"/>
    <s v="LETÍCIA"/>
  </r>
  <r>
    <n v="199877"/>
    <s v="KAR"/>
    <s v="01-15MA26"/>
    <x v="108"/>
    <s v="LIGHT REPRESENTAÇÕES LTDA"/>
    <n v="421.67"/>
    <x v="47"/>
    <x v="47"/>
    <s v=""/>
    <x v="6"/>
    <s v="COMERCIAL"/>
    <n v="0"/>
    <s v="LETÍCIA"/>
  </r>
  <r>
    <n v="199878"/>
    <s v="KAR"/>
    <s v="01-15MA26"/>
    <x v="108"/>
    <s v="MARTINS REPRESENTAÇÕES E VENDAS EIRELLI"/>
    <n v="6073.86"/>
    <x v="47"/>
    <x v="47"/>
    <s v=""/>
    <x v="6"/>
    <s v="COMERCIAL"/>
    <n v="0"/>
    <s v="LETÍCIA"/>
  </r>
  <r>
    <n v="199879"/>
    <s v="KAR"/>
    <s v="01-15MA26"/>
    <x v="108"/>
    <s v="PVJ REPRESENTAÇÕES LTDA"/>
    <n v="3861.41"/>
    <x v="47"/>
    <x v="47"/>
    <s v=""/>
    <x v="6"/>
    <s v="COMERCIAL"/>
    <n v="0"/>
    <s v="LETÍCIA"/>
  </r>
  <r>
    <n v="199880"/>
    <s v="KAR"/>
    <s v="01-15MA26"/>
    <x v="108"/>
    <s v="RICARDO CARVALHO DALANHOL"/>
    <n v="2952.21"/>
    <x v="47"/>
    <x v="47"/>
    <s v=""/>
    <x v="6"/>
    <s v="COMERCIAL"/>
    <n v="0"/>
    <s v="LETÍCIA"/>
  </r>
  <r>
    <n v="199881"/>
    <s v="FK"/>
    <s v="01-15MA26"/>
    <x v="108"/>
    <s v="ANA VERA ANDRADE CUNHA"/>
    <n v="98.25"/>
    <x v="47"/>
    <x v="47"/>
    <s v=""/>
    <x v="6"/>
    <s v="COMERCIAL"/>
    <n v="0"/>
    <s v="LETÍCIA"/>
  </r>
  <r>
    <n v="199882"/>
    <s v="FK"/>
    <s v="01-15MA26"/>
    <x v="108"/>
    <s v="BELA CASA REPRESENTAÇOES LTDA"/>
    <n v="344.37"/>
    <x v="47"/>
    <x v="47"/>
    <s v=""/>
    <x v="6"/>
    <s v="COMERCIAL"/>
    <n v="0"/>
    <s v="LETÍCIA"/>
  </r>
  <r>
    <n v="199883"/>
    <s v="FK"/>
    <s v="01-15MA26"/>
    <x v="108"/>
    <s v="ELAINE DE OLIVEIRA TESSARO"/>
    <n v="2228.2199999999998"/>
    <x v="47"/>
    <x v="47"/>
    <s v=""/>
    <x v="6"/>
    <s v="COMERCIAL"/>
    <n v="0"/>
    <s v="LETÍCIA"/>
  </r>
  <r>
    <n v="199884"/>
    <s v="FK"/>
    <s v="01-15MA26"/>
    <x v="108"/>
    <s v="MARTINS REPRESENTAÇÕES E VENDAS EIRELLI"/>
    <n v="417.64"/>
    <x v="47"/>
    <x v="47"/>
    <s v=""/>
    <x v="6"/>
    <s v="COMERCIAL"/>
    <n v="0"/>
    <s v="LETÍCIA"/>
  </r>
  <r>
    <n v="199885"/>
    <s v="FK"/>
    <s v="01-15MA26"/>
    <x v="108"/>
    <s v="PVJ REPRESENTAÇÕES LTDA"/>
    <n v="2486.23"/>
    <x v="47"/>
    <x v="47"/>
    <s v=""/>
    <x v="6"/>
    <s v="COMERCIAL"/>
    <n v="0"/>
    <s v="LETÍCIA"/>
  </r>
  <r>
    <n v="199886"/>
    <s v="FK"/>
    <s v="01-15MA26"/>
    <x v="108"/>
    <s v="RICARDO CARVALHO DALANHOL"/>
    <n v="873.88"/>
    <x v="47"/>
    <x v="47"/>
    <s v=""/>
    <x v="6"/>
    <s v="COMERCIAL"/>
    <n v="0"/>
    <s v="LETÍCIA"/>
  </r>
  <r>
    <n v="199887"/>
    <s v="KOY"/>
    <s v="01-15MA26"/>
    <x v="108"/>
    <s v="ANA VERA ANDRADE CUNHA"/>
    <n v="617.5"/>
    <x v="47"/>
    <x v="47"/>
    <s v=""/>
    <x v="6"/>
    <s v="COMERCIAL"/>
    <n v="0"/>
    <s v="LETÍCIA"/>
  </r>
  <r>
    <n v="199888"/>
    <s v="KOY"/>
    <s v="01-15MA26"/>
    <x v="108"/>
    <s v="BELA CASA REPRESENTAÇOES LTDA"/>
    <n v="650.33000000000004"/>
    <x v="47"/>
    <x v="47"/>
    <s v=""/>
    <x v="6"/>
    <s v="COMERCIAL"/>
    <n v="0"/>
    <s v="LETÍCIA"/>
  </r>
  <r>
    <n v="199889"/>
    <s v="KOY"/>
    <s v="01-15MA26"/>
    <x v="108"/>
    <s v="ELAINE DE OLIVEIRA TESSARO"/>
    <n v="1452.65"/>
    <x v="47"/>
    <x v="47"/>
    <s v=""/>
    <x v="6"/>
    <s v="COMERCIAL"/>
    <n v="0"/>
    <s v="LETÍCIA"/>
  </r>
  <r>
    <n v="199890"/>
    <s v="KOY"/>
    <s v="01-15MA26"/>
    <x v="108"/>
    <s v="ILHA BELLA COM E REPRESENTAÇOES LTDA"/>
    <n v="1153.51"/>
    <x v="47"/>
    <x v="47"/>
    <s v=""/>
    <x v="6"/>
    <s v="COMERCIAL"/>
    <n v="0"/>
    <s v="LETÍCIA"/>
  </r>
  <r>
    <n v="199891"/>
    <s v="KOY"/>
    <s v="01-15MA26"/>
    <x v="108"/>
    <s v="JUAN JOSE IGLESIAS CARBALLO"/>
    <n v="190.31"/>
    <x v="47"/>
    <x v="47"/>
    <s v=""/>
    <x v="6"/>
    <s v="COMERCIAL"/>
    <n v="0"/>
    <s v="LETÍCIA"/>
  </r>
  <r>
    <n v="199892"/>
    <s v="KOY"/>
    <s v="01-15MA26"/>
    <x v="108"/>
    <s v="LIGHT REPRESENTAÇÕES LTDA"/>
    <n v="314.29000000000002"/>
    <x v="47"/>
    <x v="47"/>
    <s v=""/>
    <x v="6"/>
    <s v="COMERCIAL"/>
    <n v="0"/>
    <s v="LETÍCIA"/>
  </r>
  <r>
    <n v="199893"/>
    <s v="KOY"/>
    <s v="01-15MA26"/>
    <x v="108"/>
    <s v="PVJ REPRESENTAÇÕES LTDA"/>
    <n v="342.71"/>
    <x v="47"/>
    <x v="47"/>
    <s v=""/>
    <x v="6"/>
    <s v="COMERCIAL"/>
    <n v="0"/>
    <s v="LETÍCIA"/>
  </r>
  <r>
    <n v="199894"/>
    <s v="KOY"/>
    <s v="01-15MA26"/>
    <x v="108"/>
    <s v="RICARDO CARVALHO DALANHOL"/>
    <n v="661.54"/>
    <x v="47"/>
    <x v="47"/>
    <s v=""/>
    <x v="6"/>
    <s v="COMERCIAL"/>
    <n v="0"/>
    <s v="LETÍCIA"/>
  </r>
  <r>
    <n v="199895"/>
    <s v="LAY"/>
    <s v="01-15MA26"/>
    <x v="108"/>
    <s v="ANA VERA ANDRADE CUNHA"/>
    <n v="404.05"/>
    <x v="47"/>
    <x v="47"/>
    <s v=""/>
    <x v="6"/>
    <s v="COMERCIAL"/>
    <n v="0"/>
    <s v="LETÍCIA"/>
  </r>
  <r>
    <n v="199896"/>
    <s v="LAY"/>
    <s v="01-15MA26"/>
    <x v="108"/>
    <s v="ELAINE DE OLIVEIRA TESSARO"/>
    <n v="545.52"/>
    <x v="47"/>
    <x v="47"/>
    <s v=""/>
    <x v="6"/>
    <s v="COMERCIAL"/>
    <n v="0"/>
    <s v="LETÍCIA"/>
  </r>
  <r>
    <n v="199897"/>
    <s v="LAY"/>
    <s v="01-15MA26"/>
    <x v="108"/>
    <s v="ILHA BELLA COM E REPRESENTAÇOES LTDA"/>
    <n v="1734.52"/>
    <x v="47"/>
    <x v="47"/>
    <s v=""/>
    <x v="6"/>
    <s v="COMERCIAL"/>
    <n v="0"/>
    <s v="LETÍCIA"/>
  </r>
  <r>
    <n v="199898"/>
    <s v="LAY"/>
    <s v="01-15MA26"/>
    <x v="108"/>
    <s v="JUAN JOSE IGLESIAS CARBALLO"/>
    <n v="675.98"/>
    <x v="47"/>
    <x v="47"/>
    <s v=""/>
    <x v="6"/>
    <s v="COMERCIAL"/>
    <n v="0"/>
    <s v="LETÍCIA"/>
  </r>
  <r>
    <n v="199899"/>
    <s v="LAY"/>
    <s v="01-15MA26"/>
    <x v="108"/>
    <s v="LIGHT REPRESENTAÇÕES LTDA"/>
    <n v="89.28"/>
    <x v="47"/>
    <x v="47"/>
    <s v=""/>
    <x v="6"/>
    <s v="COMERCIAL"/>
    <n v="0"/>
    <s v="LETÍCIA"/>
  </r>
  <r>
    <n v="199900"/>
    <s v="LAY"/>
    <s v="01-15MA26"/>
    <x v="108"/>
    <s v="MARTINS REPRESENTAÇÕES E VENDAS EIRELLI"/>
    <n v="143.16"/>
    <x v="47"/>
    <x v="47"/>
    <s v=""/>
    <x v="6"/>
    <s v="COMERCIAL"/>
    <n v="0"/>
    <s v="LETÍCIA"/>
  </r>
  <r>
    <n v="199901"/>
    <s v="LAY"/>
    <s v="01-15MA26"/>
    <x v="108"/>
    <s v="PVJ REPRESENTAÇÕES LTDA"/>
    <n v="3083.7"/>
    <x v="47"/>
    <x v="47"/>
    <s v=""/>
    <x v="6"/>
    <s v="COMERCIAL"/>
    <n v="0"/>
    <s v="LETÍCIA"/>
  </r>
  <r>
    <n v="199903"/>
    <s v="FK"/>
    <s v="PISW01254"/>
    <x v="108"/>
    <s v="JULIANA SILVA QUITÉRIO - ME"/>
    <n v="481.4"/>
    <x v="47"/>
    <x v="47"/>
    <s v=""/>
    <x v="6"/>
    <s v="COMERCIAL"/>
    <n v="0"/>
    <s v="LETÍCIA"/>
  </r>
  <r>
    <n v="199905"/>
    <s v="FK"/>
    <s v="PEIXE2603"/>
    <x v="108"/>
    <s v="CANTINHO DO PEIXE"/>
    <n v="107"/>
    <x v="78"/>
    <x v="78"/>
    <s v=""/>
    <x v="6"/>
    <s v="LOGÍSTICA"/>
    <n v="0"/>
    <s v="MYLENA"/>
  </r>
  <r>
    <n v="199906"/>
    <s v="FK"/>
    <s v="LIN260326"/>
    <x v="108"/>
    <s v="M.A. DOS SANTOS NASCIMENTO"/>
    <n v="76"/>
    <x v="64"/>
    <x v="64"/>
    <s v=""/>
    <x v="4"/>
    <s v="FINANCEIRO"/>
    <n v="0"/>
    <s v="MYLENA"/>
  </r>
  <r>
    <n v="199907"/>
    <s v="KAR"/>
    <s v="CET2603"/>
    <x v="108"/>
    <s v="BANCO SICREDI"/>
    <n v="1502.16"/>
    <x v="29"/>
    <x v="29"/>
    <s v=""/>
    <x v="8"/>
    <s v="FINANCEIRO"/>
    <n v="0"/>
    <s v="LETÍCIA"/>
  </r>
  <r>
    <n v="199908"/>
    <s v="KAR"/>
    <s v="2396"/>
    <x v="108"/>
    <s v="BANCO SICREDI"/>
    <n v="239.6"/>
    <x v="27"/>
    <x v="27"/>
    <s v=""/>
    <x v="8"/>
    <s v="FINANCEIRO"/>
    <n v="0"/>
    <s v="LETÍCIA"/>
  </r>
  <r>
    <n v="199909"/>
    <s v="KAR"/>
    <s v="15455"/>
    <x v="108"/>
    <s v="BANCO SICREDI"/>
    <n v="154.55000000000001"/>
    <x v="27"/>
    <x v="27"/>
    <s v=""/>
    <x v="8"/>
    <s v="FINANCEIRO"/>
    <n v="0"/>
    <s v="LETÍCIA"/>
  </r>
  <r>
    <n v="199910"/>
    <s v="FK"/>
    <s v="CORTARARV"/>
    <x v="108"/>
    <s v="JOSE MENDES DA SILVA"/>
    <n v="400"/>
    <x v="26"/>
    <x v="26"/>
    <s v=""/>
    <x v="3"/>
    <s v="FINANCEIRO"/>
    <n v="0"/>
    <s v="LETÍCIA"/>
  </r>
  <r>
    <n v="199911"/>
    <s v="KAR"/>
    <s v="VEG0326A"/>
    <x v="109"/>
    <s v="VEGAS CARD DO BRASIL CARTOES DE CREDITO LTDA"/>
    <n v="1175"/>
    <x v="59"/>
    <x v="59"/>
    <s v=""/>
    <x v="7"/>
    <s v="DH"/>
    <n v="0"/>
    <s v="RAFAEL"/>
  </r>
  <r>
    <n v="199912"/>
    <s v="KAR"/>
    <s v="VEG0326C"/>
    <x v="109"/>
    <s v="VEGAS CARD DO BRASIL CARTOES DE CREDITO LTDA"/>
    <n v="600"/>
    <x v="62"/>
    <x v="62"/>
    <s v=""/>
    <x v="9"/>
    <s v="DH"/>
    <s v="CUSTO MÃO DE OBRA DIRETA"/>
    <s v="RAFAEL"/>
  </r>
  <r>
    <n v="199913"/>
    <s v="KAR"/>
    <s v="VEG0326M"/>
    <x v="109"/>
    <s v="VEGAS CARD DO BRASIL CARTOES DE CREDITO LTDA"/>
    <n v="2175"/>
    <x v="60"/>
    <x v="60"/>
    <s v=""/>
    <x v="5"/>
    <s v="DH"/>
    <s v="CUSTO MÃO DE OBRA DIRETA"/>
    <s v="RAFAEL"/>
  </r>
  <r>
    <n v="199915"/>
    <s v="KAR"/>
    <s v="PREM0326C"/>
    <x v="74"/>
    <s v="VEGAS CARD DO BRASIL CARTOES DE CREDITO LTDA"/>
    <n v="360"/>
    <x v="62"/>
    <x v="62"/>
    <s v=""/>
    <x v="9"/>
    <s v="DH"/>
    <s v="CUSTO MÃO DE OBRA DIRETA"/>
    <s v="RAFAEL"/>
  </r>
  <r>
    <n v="199916"/>
    <s v="KAR"/>
    <s v="PREM0326M"/>
    <x v="74"/>
    <s v="VEGAS CARD DO BRASIL CARTOES DE CREDITO LTDA"/>
    <n v="751.3"/>
    <x v="60"/>
    <x v="60"/>
    <s v=""/>
    <x v="5"/>
    <s v="DH"/>
    <s v="CUSTO MÃO DE OBRA DIRETA"/>
    <s v="RAFAEL"/>
  </r>
  <r>
    <n v="199917"/>
    <s v="KOY"/>
    <s v="PREM0326C"/>
    <x v="74"/>
    <s v="VEGAS CARD DO BRASIL CARTOES DE CREDITO LTDA"/>
    <n v="100"/>
    <x v="62"/>
    <x v="62"/>
    <s v=""/>
    <x v="9"/>
    <s v="DH"/>
    <s v="CUSTO MÃO DE OBRA DIRETA"/>
    <s v="RAFAEL"/>
  </r>
  <r>
    <n v="199918"/>
    <s v="KOY"/>
    <s v="VEG0326A"/>
    <x v="107"/>
    <s v="VEGAS CARD DO BRASIL CARTOES DE CREDITO LTDA"/>
    <n v="150"/>
    <x v="59"/>
    <x v="59"/>
    <s v=""/>
    <x v="7"/>
    <s v="DH"/>
    <n v="0"/>
    <s v="RAFAEL"/>
  </r>
  <r>
    <n v="199919"/>
    <s v="KOY"/>
    <s v="VEG0326C"/>
    <x v="107"/>
    <s v="VEGAS CARD DO BRASIL CARTOES DE CREDITO LTDA"/>
    <n v="135"/>
    <x v="62"/>
    <x v="62"/>
    <s v=""/>
    <x v="9"/>
    <s v="DH"/>
    <s v="CUSTO MÃO DE OBRA DIRETA"/>
    <s v="RAFAEL"/>
  </r>
  <r>
    <n v="199920"/>
    <s v="KOY"/>
    <s v="VEG0326M"/>
    <x v="107"/>
    <s v="VEGAS CARD DO BRASIL CARTOES DE CREDITO LTDA"/>
    <n v="860"/>
    <x v="60"/>
    <x v="60"/>
    <s v=""/>
    <x v="5"/>
    <s v="DH"/>
    <s v="CUSTO MÃO DE OBRA DIRETA"/>
    <s v="RAFAEL"/>
  </r>
  <r>
    <n v="199921"/>
    <s v="LAY"/>
    <s v="VEG0326M"/>
    <x v="107"/>
    <s v="VEGAS CARD DO BRASIL CARTOES DE CREDITO LTDA"/>
    <n v="3600"/>
    <x v="60"/>
    <x v="60"/>
    <s v=""/>
    <x v="5"/>
    <s v="DH"/>
    <s v="CUSTO MÃO DE OBRA DIRETA"/>
    <s v="RAFAEL"/>
  </r>
  <r>
    <n v="199922"/>
    <s v="LAY"/>
    <s v="VEG0326C"/>
    <x v="107"/>
    <s v="VEGAS CARD DO BRASIL CARTOES DE CREDITO LTDA"/>
    <n v="425"/>
    <x v="62"/>
    <x v="62"/>
    <s v=""/>
    <x v="9"/>
    <s v="DH"/>
    <s v="CUSTO MÃO DE OBRA DIRETA"/>
    <s v="RAFAEL"/>
  </r>
  <r>
    <n v="199923"/>
    <s v="LAY"/>
    <s v="VEG0326A"/>
    <x v="107"/>
    <s v="VEGAS CARD DO BRASIL CARTOES DE CREDITO LTDA"/>
    <n v="1650"/>
    <x v="59"/>
    <x v="59"/>
    <s v=""/>
    <x v="7"/>
    <s v="DH"/>
    <n v="0"/>
    <s v="RAFAEL"/>
  </r>
  <r>
    <n v="199924"/>
    <s v="LAY"/>
    <s v="PREM0326C"/>
    <x v="74"/>
    <s v="VEGAS CARD DO BRASIL CARTOES DE CREDITO LTDA"/>
    <n v="200"/>
    <x v="62"/>
    <x v="62"/>
    <s v=""/>
    <x v="9"/>
    <s v="DH"/>
    <s v="CUSTO MÃO DE OBRA DIRETA"/>
    <s v="RAFAEL"/>
  </r>
  <r>
    <n v="199925"/>
    <s v="LAY"/>
    <s v="PREM0326M"/>
    <x v="74"/>
    <s v="VEGAS CARD DO BRASIL CARTOES DE CREDITO LTDA"/>
    <n v="800"/>
    <x v="60"/>
    <x v="60"/>
    <s v=""/>
    <x v="5"/>
    <s v="DH"/>
    <s v="CUSTO MÃO DE OBRA DIRETA"/>
    <s v="RAFAEL"/>
  </r>
  <r>
    <n v="199926"/>
    <s v="KAR"/>
    <s v="2462603"/>
    <x v="108"/>
    <s v="BANCO SICREDI"/>
    <n v="2.46"/>
    <x v="69"/>
    <x v="69"/>
    <s v=""/>
    <x v="4"/>
    <s v="FINANCEIRO"/>
    <n v="0"/>
    <s v="LETÍCIA"/>
  </r>
  <r>
    <n v="199927"/>
    <s v="KAR"/>
    <s v="11062603"/>
    <x v="109"/>
    <s v="BANCO SICREDI"/>
    <n v="11.06"/>
    <x v="29"/>
    <x v="29"/>
    <s v=""/>
    <x v="8"/>
    <s v="FINANCEIRO"/>
    <n v="0"/>
    <s v="LETÍCIA"/>
  </r>
  <r>
    <n v="199928"/>
    <s v="KAR"/>
    <s v="0652703"/>
    <x v="109"/>
    <s v="BANCO SICREDI"/>
    <n v="0.65"/>
    <x v="27"/>
    <x v="27"/>
    <s v=""/>
    <x v="8"/>
    <s v="FINANCEIRO"/>
    <n v="0"/>
    <s v="LETÍCIA"/>
  </r>
  <r>
    <n v="199929"/>
    <s v="KAR"/>
    <s v="5622703"/>
    <x v="109"/>
    <s v="BANCO SICREDI"/>
    <n v="5.62"/>
    <x v="29"/>
    <x v="29"/>
    <s v=""/>
    <x v="8"/>
    <s v="FINANCEIRO"/>
    <n v="0"/>
    <s v="LETÍCIA"/>
  </r>
  <r>
    <n v="199930"/>
    <s v="KAR"/>
    <s v="0952603"/>
    <x v="108"/>
    <s v="BANCO SICREDI"/>
    <n v="0.95"/>
    <x v="28"/>
    <x v="28"/>
    <s v=""/>
    <x v="8"/>
    <s v="FINANCEIRO"/>
    <n v="0"/>
    <s v="LETÍCIA"/>
  </r>
  <r>
    <n v="199931"/>
    <s v="LAY"/>
    <s v="0792603"/>
    <x v="108"/>
    <s v="BANCO SICREDI"/>
    <n v="0.79"/>
    <x v="28"/>
    <x v="28"/>
    <s v=""/>
    <x v="8"/>
    <s v="FINANCEIRO"/>
    <n v="0"/>
    <s v="LETÍCIA"/>
  </r>
  <r>
    <n v="199932"/>
    <s v="KAR"/>
    <s v="9830"/>
    <x v="109"/>
    <s v="IDEAL COMERCIO DE AUTO PEÇAS EIRELI"/>
    <n v="327"/>
    <x v="31"/>
    <x v="31"/>
    <s v=""/>
    <x v="6"/>
    <s v="LOGÍSTICA"/>
    <n v="0"/>
    <s v="MYLENA"/>
  </r>
  <r>
    <n v="199934"/>
    <s v="FK"/>
    <s v="BATA2703"/>
    <x v="109"/>
    <s v="MARIA ANDREIA BUENO DE ALMEIDA BATAER"/>
    <n v="689.6"/>
    <x v="34"/>
    <x v="34"/>
    <s v=""/>
    <x v="6"/>
    <s v="COMERCIAL"/>
    <n v="0"/>
    <s v="LETÍCIA"/>
  </r>
  <r>
    <n v="199935"/>
    <s v="KAR"/>
    <s v="466893"/>
    <x v="109"/>
    <s v="VMD MAQUINAS E FERRAMENTAS LTDA"/>
    <n v="162"/>
    <x v="9"/>
    <x v="9"/>
    <s v="PEÇAS DE FERRAMENTAS"/>
    <x v="2"/>
    <s v="MANUTENÇÃO / TI"/>
    <n v="0"/>
    <s v="RAFAEL"/>
  </r>
  <r>
    <n v="199936"/>
    <s v="KAR"/>
    <s v="40694"/>
    <x v="109"/>
    <s v="SIM REDE DE POSTOS LTDA"/>
    <n v="1286.8399999999999"/>
    <x v="37"/>
    <x v="37"/>
    <s v=""/>
    <x v="6"/>
    <s v="LOGÍSTICA"/>
    <n v="0"/>
    <s v="MYLENA"/>
  </r>
  <r>
    <n v="199937"/>
    <s v="KAR"/>
    <s v="73987"/>
    <x v="109"/>
    <s v="AUTO POSTO PRA FRENTE BRASIL LTDA 06"/>
    <n v="127.04"/>
    <x v="37"/>
    <x v="37"/>
    <s v=""/>
    <x v="6"/>
    <s v="LOGÍSTICA"/>
    <n v="0"/>
    <s v="MYLENA"/>
  </r>
  <r>
    <n v="199938"/>
    <s v="KAR"/>
    <s v="149277"/>
    <x v="109"/>
    <s v="SIM REDE DE POSTOS LTDA - ARAQUARI BR 101 SUL"/>
    <n v="1482.86"/>
    <x v="37"/>
    <x v="37"/>
    <s v=""/>
    <x v="6"/>
    <s v="LOGÍSTICA"/>
    <n v="0"/>
    <s v="MYLENA"/>
  </r>
  <r>
    <n v="199939"/>
    <s v="KAR"/>
    <s v="149278"/>
    <x v="109"/>
    <s v="SIM REDE DE POSTOS LTDA - ARAQUARI BR 101 SUL"/>
    <n v="77.760000000000005"/>
    <x v="37"/>
    <x v="37"/>
    <s v=""/>
    <x v="6"/>
    <s v="LOGÍSTICA"/>
    <n v="0"/>
    <s v="MYLENA"/>
  </r>
  <r>
    <n v="199940"/>
    <s v="FK"/>
    <s v="POL2603"/>
    <x v="109"/>
    <s v="BORRACHARIA DO POLACO"/>
    <n v="160"/>
    <x v="31"/>
    <x v="31"/>
    <s v=""/>
    <x v="6"/>
    <s v="LOGÍSTICA"/>
    <n v="0"/>
    <s v="MYLENA"/>
  </r>
  <r>
    <n v="199941"/>
    <s v="FK"/>
    <s v="POL2603A"/>
    <x v="109"/>
    <s v="BORRACHARIA DO POLACO"/>
    <n v="40"/>
    <x v="31"/>
    <x v="31"/>
    <s v=""/>
    <x v="6"/>
    <s v="LOGÍSTICA"/>
    <n v="0"/>
    <s v="MYLENA"/>
  </r>
  <r>
    <n v="199942"/>
    <s v="FK"/>
    <s v="LEAND2603"/>
    <x v="109"/>
    <s v="CAMINHAO - AYL-5F59"/>
    <n v="1720"/>
    <x v="41"/>
    <x v="41"/>
    <s v=""/>
    <x v="6"/>
    <s v="LOGÍSTICA"/>
    <n v="0"/>
    <s v="MYLENA"/>
  </r>
  <r>
    <n v="199943"/>
    <s v="FK"/>
    <s v="78007"/>
    <x v="109"/>
    <s v="COMERCIO DE COMBUSTIVEIS TBM LTDA."/>
    <n v="2732.4"/>
    <x v="37"/>
    <x v="37"/>
    <s v=""/>
    <x v="6"/>
    <s v="LOGÍSTICA"/>
    <n v="0"/>
    <s v="MYLENA"/>
  </r>
  <r>
    <n v="199944"/>
    <s v="FK"/>
    <s v="PLACA SOL"/>
    <x v="109"/>
    <s v="ASP REPRESENTAÇÕES COMERCIAIS LTDA"/>
    <n v="5300"/>
    <x v="46"/>
    <x v="46"/>
    <s v=""/>
    <x v="9"/>
    <s v="MANUTENÇÃO / TI"/>
    <n v="0"/>
    <s v="FÁBIO"/>
  </r>
  <r>
    <n v="199945"/>
    <s v="KAR"/>
    <s v="91662703"/>
    <x v="109"/>
    <s v="BANCO SICREDI"/>
    <n v="91.66"/>
    <x v="27"/>
    <x v="27"/>
    <s v=""/>
    <x v="8"/>
    <s v="FINANCEIRO"/>
    <n v="0"/>
    <s v="LETÍCIA"/>
  </r>
  <r>
    <n v="199946"/>
    <s v="KAR"/>
    <s v="6483"/>
    <x v="109"/>
    <s v="BANCO SICREDI"/>
    <n v="64.83"/>
    <x v="27"/>
    <x v="27"/>
    <s v=""/>
    <x v="8"/>
    <s v="FINANCEIRO"/>
    <n v="0"/>
    <s v="LETÍCIA"/>
  </r>
  <r>
    <n v="199947"/>
    <s v="KAR"/>
    <s v="CET2703"/>
    <x v="109"/>
    <s v="BANCO SICREDI"/>
    <n v="570.73"/>
    <x v="29"/>
    <x v="29"/>
    <s v=""/>
    <x v="8"/>
    <s v="FINANCEIRO"/>
    <n v="0"/>
    <s v="LETÍCIA"/>
  </r>
  <r>
    <n v="199948"/>
    <s v="KAR"/>
    <s v="CORUMBA2"/>
    <x v="109"/>
    <s v="UNIXCOMEX - COMERCIO EXTERIOR"/>
    <n v="1879.93"/>
    <x v="26"/>
    <x v="26"/>
    <s v=""/>
    <x v="3"/>
    <s v="FINANCEIRO"/>
    <n v="0"/>
    <s v="LETÍCIA"/>
  </r>
  <r>
    <n v="199949"/>
    <s v="FK"/>
    <s v="22"/>
    <x v="6"/>
    <s v="LIDIO RAMOS DE SOUZA"/>
    <n v="80"/>
    <x v="38"/>
    <x v="38"/>
    <s v=""/>
    <x v="5"/>
    <s v="PRODUÇÃO"/>
    <n v="0"/>
    <s v="RAFAEL"/>
  </r>
  <r>
    <n v="199951"/>
    <s v="KAR"/>
    <s v="58"/>
    <x v="6"/>
    <s v="F.C. DE PAULA JOSE E CIA LTDA (puma gases)"/>
    <n v="406"/>
    <x v="38"/>
    <x v="38"/>
    <s v=""/>
    <x v="5"/>
    <s v="PRODUÇÃO"/>
    <n v="0"/>
    <s v="RAFAEL"/>
  </r>
  <r>
    <n v="199952"/>
    <s v="KAR"/>
    <s v="23702703"/>
    <x v="109"/>
    <s v="BANCO SICREDI"/>
    <n v="23.7"/>
    <x v="28"/>
    <x v="28"/>
    <s v=""/>
    <x v="8"/>
    <s v="FINANCEIRO"/>
    <n v="0"/>
    <s v="LETÍCIA"/>
  </r>
  <r>
    <n v="199953"/>
    <s v="KAR"/>
    <s v="0473003"/>
    <x v="6"/>
    <s v="BANCO SICREDI"/>
    <n v="0.47"/>
    <x v="27"/>
    <x v="27"/>
    <s v=""/>
    <x v="8"/>
    <s v="FINANCEIRO"/>
    <n v="0"/>
    <s v="LETÍCIA"/>
  </r>
  <r>
    <n v="199954"/>
    <s v="KOY"/>
    <s v="5533003"/>
    <x v="6"/>
    <s v="BANCO SICREDI"/>
    <n v="5.53"/>
    <x v="28"/>
    <x v="28"/>
    <s v=""/>
    <x v="8"/>
    <s v="FINANCEIRO"/>
    <n v="0"/>
    <s v="LETÍCIA"/>
  </r>
  <r>
    <n v="199955"/>
    <s v="FK"/>
    <s v="559"/>
    <x v="6"/>
    <s v="F.C. DE PAULA JOSE E CIA LTDA (puma gases)"/>
    <n v="100"/>
    <x v="38"/>
    <x v="38"/>
    <s v=""/>
    <x v="5"/>
    <s v="PRODUÇÃO"/>
    <n v="0"/>
    <s v="RAFAEL"/>
  </r>
  <r>
    <n v="199956"/>
    <s v="LAY"/>
    <s v="7553003"/>
    <x v="6"/>
    <s v="BANCO SICREDI"/>
    <n v="7.55"/>
    <x v="29"/>
    <x v="29"/>
    <s v=""/>
    <x v="8"/>
    <s v="FINANCEIRO"/>
    <n v="0"/>
    <s v="LETÍCIA"/>
  </r>
  <r>
    <n v="199957"/>
    <s v="KAR"/>
    <s v="11"/>
    <x v="109"/>
    <s v="KARAM'S IND.E COM.DE ESTOFADOS LTDA"/>
    <n v="11"/>
    <x v="17"/>
    <x v="17"/>
    <s v=""/>
    <x v="8"/>
    <s v="FINANCEIRO"/>
    <n v="0"/>
    <s v="LETÍCIA"/>
  </r>
  <r>
    <n v="199958"/>
    <s v="LAY"/>
    <s v="0743003"/>
    <x v="6"/>
    <s v="BANCO SICREDI"/>
    <n v="0.74"/>
    <x v="27"/>
    <x v="27"/>
    <s v=""/>
    <x v="8"/>
    <s v="FINANCEIRO"/>
    <n v="0"/>
    <s v="LETÍCIA"/>
  </r>
  <r>
    <n v="199959"/>
    <s v="LAY"/>
    <s v="1582703"/>
    <x v="109"/>
    <s v="BANCO SICREDI"/>
    <n v="1.58"/>
    <x v="28"/>
    <x v="28"/>
    <s v=""/>
    <x v="8"/>
    <s v="FINANCEIRO"/>
    <n v="0"/>
    <s v="LETÍCIA"/>
  </r>
  <r>
    <n v="199960"/>
    <s v="KAR"/>
    <s v="0953003"/>
    <x v="109"/>
    <s v="BANCO SICREDI"/>
    <n v="0.95"/>
    <x v="27"/>
    <x v="27"/>
    <s v=""/>
    <x v="8"/>
    <s v="FINANCEIRO"/>
    <n v="0"/>
    <s v="LETÍCIA"/>
  </r>
  <r>
    <n v="199961"/>
    <s v="FK"/>
    <s v="SODA2703"/>
    <x v="6"/>
    <s v="CAMINHAO BEM-9J26 "/>
    <n v="78"/>
    <x v="41"/>
    <x v="41"/>
    <s v=""/>
    <x v="6"/>
    <s v="LOGÍSTICA"/>
    <n v="0"/>
    <s v="MYLENA"/>
  </r>
  <r>
    <n v="199962"/>
    <s v="FK"/>
    <s v="7416"/>
    <x v="6"/>
    <s v="COMERCIO DE COMBUSTIVEIS TBM LTDA."/>
    <n v="953.28"/>
    <x v="31"/>
    <x v="31"/>
    <s v=""/>
    <x v="6"/>
    <s v="LOGÍSTICA"/>
    <n v="0"/>
    <s v="MYLENA"/>
  </r>
  <r>
    <n v="199963"/>
    <s v="KAR"/>
    <s v="458577"/>
    <x v="6"/>
    <s v="Codema Comercial e Importadora LTDA"/>
    <n v="3392.13"/>
    <x v="31"/>
    <x v="31"/>
    <s v=""/>
    <x v="6"/>
    <s v="LOGÍSTICA"/>
    <n v="0"/>
    <s v="MYLENA"/>
  </r>
  <r>
    <n v="199964"/>
    <s v="KAR"/>
    <s v="147760"/>
    <x v="6"/>
    <s v="Codema Comercial e Importadora LTDA"/>
    <n v="2257.87"/>
    <x v="31"/>
    <x v="31"/>
    <s v=""/>
    <x v="6"/>
    <s v="LOGÍSTICA"/>
    <n v="0"/>
    <s v="MYLENA"/>
  </r>
  <r>
    <n v="199965"/>
    <s v="FK"/>
    <s v="91419"/>
    <x v="6"/>
    <s v="LEJON COMERCIO ATACADISTA DE PRODUTOS ALIM EIRELI"/>
    <n v="154.47999999999999"/>
    <x v="16"/>
    <x v="16"/>
    <s v=""/>
    <x v="7"/>
    <s v="DH"/>
    <n v="0"/>
    <s v="MYLENA"/>
  </r>
  <r>
    <n v="199966"/>
    <s v="FK"/>
    <s v="11717"/>
    <x v="6"/>
    <s v="KARAM'S IND.E COM.DE ESTOFADOS LTDA"/>
    <n v="142.80000000000001"/>
    <x v="64"/>
    <x v="64"/>
    <s v=""/>
    <x v="4"/>
    <s v="FINANCEIRO"/>
    <n v="0"/>
    <s v="MYLENA"/>
  </r>
  <r>
    <n v="199967"/>
    <s v="FK"/>
    <s v="GOL220326"/>
    <x v="6"/>
    <s v="COMERCIO DE COMBUSTIVEIS TBM LTDA."/>
    <n v="165.64"/>
    <x v="43"/>
    <x v="43"/>
    <s v=""/>
    <x v="4"/>
    <s v="LOGÍSTICA"/>
    <n v="0"/>
    <s v="LETÍCIA"/>
  </r>
  <r>
    <n v="199968"/>
    <s v="KAR"/>
    <s v="2302"/>
    <x v="6"/>
    <s v="OSVALDO PEREIRA DA CUNHA E CIA"/>
    <n v="2500"/>
    <x v="30"/>
    <x v="30"/>
    <s v=""/>
    <x v="9"/>
    <s v="MANUTENÇÃO / TI"/>
    <n v="0"/>
    <s v="RAFAEL"/>
  </r>
  <r>
    <n v="199969"/>
    <s v="FK"/>
    <s v="NETO2803"/>
    <x v="6"/>
    <s v="CAMINHÃO - AYL-6E00"/>
    <n v="1841"/>
    <x v="41"/>
    <x v="41"/>
    <s v=""/>
    <x v="6"/>
    <s v="LOGÍSTICA"/>
    <n v="0"/>
    <s v="MYLENA"/>
  </r>
  <r>
    <n v="199970"/>
    <s v="KAR"/>
    <s v="3691"/>
    <x v="29"/>
    <s v="PWR GESTAO E DESENVOLVIMENTO EMPRESARIAL LTDA"/>
    <n v="5008.41"/>
    <x v="6"/>
    <x v="6"/>
    <s v=""/>
    <x v="3"/>
    <s v="FINANCEIRO"/>
    <n v="0"/>
    <s v="LETÍCIA"/>
  </r>
  <r>
    <n v="199971"/>
    <s v="KAR"/>
    <s v="PWR26/1"/>
    <x v="93"/>
    <s v="PWR GESTAO E DESENVOLVIMENTO EMPRESARIAL LTDA"/>
    <n v="5008.41"/>
    <x v="6"/>
    <x v="6"/>
    <s v=""/>
    <x v="3"/>
    <s v="FINANCEIRO"/>
    <n v="0"/>
    <s v="LETÍCIA"/>
  </r>
  <r>
    <n v="199972"/>
    <s v="KAR"/>
    <s v="PWR26/2"/>
    <x v="47"/>
    <s v="PWR GESTAO E DESENVOLVIMENTO EMPRESARIAL LTDA"/>
    <n v="5008.41"/>
    <x v="6"/>
    <x v="6"/>
    <s v=""/>
    <x v="3"/>
    <s v="FINANCEIRO"/>
    <n v="0"/>
    <s v="LETÍCIA"/>
  </r>
  <r>
    <n v="199973"/>
    <s v="KAR"/>
    <s v="PWR26/3"/>
    <x v="91"/>
    <s v="PWR GESTAO E DESENVOLVIMENTO EMPRESARIAL LTDA"/>
    <n v="5008.41"/>
    <x v="6"/>
    <x v="6"/>
    <s v=""/>
    <x v="3"/>
    <s v="FINANCEIRO"/>
    <n v="0"/>
    <s v="LETÍCIA"/>
  </r>
  <r>
    <n v="199974"/>
    <s v="KAR"/>
    <s v="PWR26/4"/>
    <x v="25"/>
    <s v="PWR GESTAO E DESENVOLVIMENTO EMPRESARIAL LTDA"/>
    <n v="5008.41"/>
    <x v="6"/>
    <x v="6"/>
    <s v=""/>
    <x v="3"/>
    <s v="FINANCEIRO"/>
    <n v="0"/>
    <s v="LETÍCIA"/>
  </r>
  <r>
    <n v="200002"/>
    <s v="KAR"/>
    <s v="454184"/>
    <x v="7"/>
    <s v="SERASA S/A"/>
    <n v="351"/>
    <x v="74"/>
    <x v="74"/>
    <s v=""/>
    <x v="4"/>
    <s v="FINANCEIRO"/>
    <n v="0"/>
    <s v="LETÍCIA"/>
  </r>
  <r>
    <n v="200003"/>
    <s v="KAR"/>
    <s v="17171"/>
    <x v="6"/>
    <s v="VIPEX TRANSPORTES LTDA"/>
    <n v="195.82"/>
    <x v="65"/>
    <x v="65"/>
    <s v=""/>
    <x v="6"/>
    <s v="LOGÍSTICA"/>
    <n v="0"/>
    <s v="MYLENA"/>
  </r>
  <r>
    <n v="200004"/>
    <s v="KAR"/>
    <s v="1473822"/>
    <x v="110"/>
    <s v="FERRAMENTAS GERAIS COMERCIO IMP DE FERRAM. E MAQUI"/>
    <n v="2197.0500000000002"/>
    <x v="38"/>
    <x v="38"/>
    <s v="FERRAGENS GERAIS"/>
    <x v="5"/>
    <s v="PRODUÇÃO"/>
    <n v="0"/>
    <s v="RAFAEL"/>
  </r>
  <r>
    <n v="200005"/>
    <s v="FK"/>
    <s v="DIF MENSA"/>
    <x v="6"/>
    <s v="PWR GESTAO E DESENVOLVIMENTO EMPRESARIAL LTDA"/>
    <n v="459.38"/>
    <x v="6"/>
    <x v="6"/>
    <s v=""/>
    <x v="3"/>
    <s v="FINANCEIRO"/>
    <n v="0"/>
    <s v="LETÍCIA"/>
  </r>
  <r>
    <n v="200006"/>
    <s v="FK"/>
    <s v="GPS 0426"/>
    <x v="7"/>
    <s v="GUIA DA PREVIDENCIA SOCIAL"/>
    <n v="178.31"/>
    <x v="67"/>
    <x v="67"/>
    <s v=""/>
    <x v="7"/>
    <s v="DH"/>
    <n v="0"/>
    <s v="RAFAEL"/>
  </r>
  <r>
    <n v="200007"/>
    <s v="FK"/>
    <s v="SILVIA250"/>
    <x v="6"/>
    <s v="SILVIA COLLI JORDÃO PRESTES"/>
    <n v="141.76"/>
    <x v="23"/>
    <x v="23"/>
    <s v=""/>
    <x v="6"/>
    <s v="COMERCIAL"/>
    <n v="0"/>
    <s v="LETÍCIA"/>
  </r>
  <r>
    <n v="200009"/>
    <s v="FK"/>
    <s v="8504"/>
    <x v="111"/>
    <s v="COMERCIO DE COMBUSTIVEIS TBM LTDA."/>
    <n v="3296.34"/>
    <x v="37"/>
    <x v="37"/>
    <s v=""/>
    <x v="6"/>
    <s v="LOGÍSTICA"/>
    <n v="0"/>
    <s v="MYLENA"/>
  </r>
  <r>
    <n v="200010"/>
    <s v="KAR"/>
    <s v="CET300326"/>
    <x v="6"/>
    <s v="BANCO SICREDI"/>
    <n v="1126.18"/>
    <x v="29"/>
    <x v="29"/>
    <s v=""/>
    <x v="8"/>
    <s v="FINANCEIRO"/>
    <n v="0"/>
    <s v="LETÍCIA"/>
  </r>
  <r>
    <n v="200011"/>
    <s v="KAR"/>
    <s v="18016"/>
    <x v="6"/>
    <s v="BANCO SICREDI"/>
    <n v="180.16"/>
    <x v="27"/>
    <x v="27"/>
    <s v=""/>
    <x v="8"/>
    <s v="FINANCEIRO"/>
    <n v="0"/>
    <s v="LETÍCIA"/>
  </r>
  <r>
    <n v="200012"/>
    <s v="KAR"/>
    <s v="12593"/>
    <x v="6"/>
    <s v="BANCO SICREDI"/>
    <n v="125.93"/>
    <x v="27"/>
    <x v="27"/>
    <s v=""/>
    <x v="8"/>
    <s v="FINANCEIRO"/>
    <n v="0"/>
    <s v="LETÍCIA"/>
  </r>
  <r>
    <n v="200013"/>
    <s v="KAR"/>
    <s v="338217"/>
    <x v="6"/>
    <s v="POSTO E SERVIÇO TIGRAO DA DUTRA"/>
    <n v="2796.5"/>
    <x v="37"/>
    <x v="37"/>
    <s v=""/>
    <x v="6"/>
    <s v="LOGÍSTICA"/>
    <n v="0"/>
    <s v="MYLENA"/>
  </r>
  <r>
    <n v="200014"/>
    <s v="KAR"/>
    <s v="5346"/>
    <x v="6"/>
    <s v="AUTO POSTO ROTA SUL LTDA"/>
    <n v="1153.5"/>
    <x v="37"/>
    <x v="37"/>
    <s v=""/>
    <x v="6"/>
    <s v="LOGÍSTICA"/>
    <n v="0"/>
    <s v="MYLENA"/>
  </r>
  <r>
    <n v="200015"/>
    <s v="KAR"/>
    <s v="5347"/>
    <x v="6"/>
    <s v="AUTO POSTO ROTA SUL LTDA"/>
    <n v="105.89"/>
    <x v="37"/>
    <x v="37"/>
    <s v=""/>
    <x v="6"/>
    <s v="LOGÍSTICA"/>
    <n v="0"/>
    <s v="MYLENA"/>
  </r>
  <r>
    <n v="200016"/>
    <s v="FK"/>
    <s v="LEAND2803"/>
    <x v="6"/>
    <s v="CAMINHAO - AYL-5F59"/>
    <n v="1036"/>
    <x v="41"/>
    <x v="41"/>
    <s v=""/>
    <x v="6"/>
    <s v="LOGÍSTICA"/>
    <n v="0"/>
    <s v="MYLENA"/>
  </r>
  <r>
    <n v="200017"/>
    <s v="FK"/>
    <s v="78172"/>
    <x v="6"/>
    <s v="COMERCIO DE COMBUSTIVEIS TBM LTDA."/>
    <n v="3064.23"/>
    <x v="37"/>
    <x v="37"/>
    <s v=""/>
    <x v="6"/>
    <s v="LOGÍSTICA"/>
    <n v="0"/>
    <s v="MYLENA"/>
  </r>
  <r>
    <n v="200018"/>
    <s v="KAR"/>
    <s v="21434"/>
    <x v="7"/>
    <s v="PERFISA IND. E COM. DE PERFILADOS LTDA"/>
    <n v="104"/>
    <x v="31"/>
    <x v="31"/>
    <s v=""/>
    <x v="6"/>
    <s v="LOGÍSTICA"/>
    <n v="0"/>
    <s v="MYLENA"/>
  </r>
  <r>
    <n v="200019"/>
    <s v="KAR"/>
    <s v="0883003"/>
    <x v="6"/>
    <s v="BANCO SICREDI"/>
    <n v="0.88"/>
    <x v="27"/>
    <x v="27"/>
    <s v=""/>
    <x v="8"/>
    <s v="FINANCEIRO"/>
    <n v="0"/>
    <s v="LETÍCIA"/>
  </r>
  <r>
    <n v="200020"/>
    <s v="KAR"/>
    <s v="5533003"/>
    <x v="6"/>
    <s v="BANCO SICREDI"/>
    <n v="5.53"/>
    <x v="28"/>
    <x v="28"/>
    <s v=""/>
    <x v="8"/>
    <s v="FINANCEIRO"/>
    <n v="0"/>
    <s v="LETÍCIA"/>
  </r>
  <r>
    <n v="200021"/>
    <s v="KAR"/>
    <s v="194233003"/>
    <x v="6"/>
    <s v="BANCO SICREDI"/>
    <n v="194.23"/>
    <x v="69"/>
    <x v="69"/>
    <s v=""/>
    <x v="4"/>
    <s v="FINANCEIRO"/>
    <n v="0"/>
    <s v="LETÍCIA"/>
  </r>
  <r>
    <n v="200022"/>
    <s v="KAR"/>
    <s v="26863003"/>
    <x v="6"/>
    <s v="BANCO SICREDI"/>
    <n v="26.86"/>
    <x v="28"/>
    <x v="28"/>
    <s v=""/>
    <x v="8"/>
    <s v="FINANCEIRO"/>
    <n v="0"/>
    <s v="LETÍCIA"/>
  </r>
  <r>
    <n v="200023"/>
    <s v="KAR"/>
    <s v="1343103"/>
    <x v="7"/>
    <s v="BANCO SICREDI"/>
    <n v="1.34"/>
    <x v="27"/>
    <x v="27"/>
    <s v=""/>
    <x v="8"/>
    <s v="FINANCEIRO"/>
    <n v="0"/>
    <s v="LETÍCIA"/>
  </r>
  <r>
    <n v="200024"/>
    <s v="LAY"/>
    <s v="5533003"/>
    <x v="6"/>
    <s v="BANCO SICREDI"/>
    <n v="5.53"/>
    <x v="28"/>
    <x v="28"/>
    <s v=""/>
    <x v="8"/>
    <s v="FINANCEIRO"/>
    <n v="0"/>
    <s v="LETÍCIA"/>
  </r>
  <r>
    <n v="200025"/>
    <s v="LAY"/>
    <s v="1613103"/>
    <x v="7"/>
    <s v="BANCO SICREDI"/>
    <n v="1.61"/>
    <x v="27"/>
    <x v="27"/>
    <s v=""/>
    <x v="8"/>
    <s v="FINANCEIRO"/>
    <n v="0"/>
    <s v="LETÍCIA"/>
  </r>
  <r>
    <n v="200026"/>
    <s v="KAR"/>
    <s v="5703003"/>
    <x v="6"/>
    <s v="BANCO SICREDI"/>
    <n v="5.7"/>
    <x v="28"/>
    <x v="28"/>
    <s v=""/>
    <x v="8"/>
    <s v="FINANCEIRO"/>
    <n v="0"/>
    <s v="LETÍCIA"/>
  </r>
  <r>
    <n v="200027"/>
    <s v="KAR"/>
    <s v="5646"/>
    <x v="7"/>
    <s v="ALAY INDUSTRIA E COMERCIO DE MOVEIS LTDA"/>
    <n v="40000"/>
    <x v="75"/>
    <x v="75"/>
    <s v=""/>
    <x v="10"/>
    <n v="0"/>
    <n v="0"/>
    <s v="NINGUÉM"/>
  </r>
  <r>
    <n v="200028"/>
    <s v="KOY"/>
    <s v="711"/>
    <x v="6"/>
    <s v="BANCO SICREDI"/>
    <n v="7.11"/>
    <x v="28"/>
    <x v="28"/>
    <s v=""/>
    <x v="8"/>
    <s v="FINANCEIRO"/>
    <n v="0"/>
    <s v="LETÍCIA"/>
  </r>
  <r>
    <n v="200029"/>
    <s v="KAR"/>
    <s v="171774"/>
    <x v="108"/>
    <s v="EXPRESSO SAO MIGUEL NAVEGANTES"/>
    <n v="144.6"/>
    <x v="48"/>
    <x v="48"/>
    <s v=""/>
    <x v="0"/>
    <s v="COMPRAS"/>
    <n v="0"/>
    <s v="MYLENA"/>
  </r>
  <r>
    <n v="200030"/>
    <s v="KAR"/>
    <s v="3699628"/>
    <x v="109"/>
    <s v="EXPRESSO SAO MIGUEL LTDA"/>
    <n v="515.98"/>
    <x v="48"/>
    <x v="48"/>
    <s v="SERVIÇOS FRETE"/>
    <x v="0"/>
    <s v="COMPRAS"/>
    <n v="0"/>
    <s v="MYLENA"/>
  </r>
  <r>
    <n v="200031"/>
    <s v="KAR"/>
    <s v="3695382"/>
    <x v="29"/>
    <s v="EXPRESSO SAO MIGUEL LTDA"/>
    <n v="113.38"/>
    <x v="48"/>
    <x v="48"/>
    <s v="SERVIÇOS FRETE"/>
    <x v="0"/>
    <s v="COMPRAS"/>
    <n v="0"/>
    <s v="MYLENA"/>
  </r>
  <r>
    <n v="200033"/>
    <s v="KAR"/>
    <s v="169754"/>
    <x v="78"/>
    <s v="EXPRESSO SAO MIGUEL NAVEGANTES"/>
    <n v="128.13"/>
    <x v="48"/>
    <x v="48"/>
    <s v=""/>
    <x v="0"/>
    <s v="COMPRAS"/>
    <n v="0"/>
    <s v="MYLENA"/>
  </r>
  <r>
    <n v="200034"/>
    <s v="KAR"/>
    <s v="54825"/>
    <x v="7"/>
    <s v="TRANS APUCARANA TRANSPORTES RODOVIARIOS LTDA"/>
    <n v="147.05000000000001"/>
    <x v="48"/>
    <x v="48"/>
    <s v="SERVIÇOS FRETE"/>
    <x v="0"/>
    <s v="COMPRAS"/>
    <n v="0"/>
    <s v="MYLENA"/>
  </r>
  <r>
    <n v="200035"/>
    <s v="KAR"/>
    <s v="54602"/>
    <x v="108"/>
    <s v="TRANS APUCARANA TRANSPORTES RODOVIARIOS LTDA"/>
    <n v="123.32"/>
    <x v="48"/>
    <x v="48"/>
    <s v="SERVIÇOS FRETE"/>
    <x v="0"/>
    <s v="COMPRAS"/>
    <n v="0"/>
    <s v="MYLENA"/>
  </r>
  <r>
    <n v="200036"/>
    <s v="KAR"/>
    <s v="1510541"/>
    <x v="78"/>
    <s v="EXPRESSO SAO MIGUEL LTDA"/>
    <n v="329.84"/>
    <x v="48"/>
    <x v="48"/>
    <s v="SERVIÇOS FRETE"/>
    <x v="0"/>
    <s v="COMPRAS"/>
    <n v="0"/>
    <s v="MYLENA"/>
  </r>
  <r>
    <n v="200037"/>
    <s v="KAR"/>
    <s v="942208"/>
    <x v="7"/>
    <s v="EXPRESSO SAO MIGUEL LTDA"/>
    <n v="520.38"/>
    <x v="48"/>
    <x v="48"/>
    <s v="SERVIÇOS FRETE"/>
    <x v="0"/>
    <s v="COMPRAS"/>
    <n v="0"/>
    <s v="MYLENA"/>
  </r>
  <r>
    <n v="200038"/>
    <s v="KAR"/>
    <s v="51172"/>
    <x v="7"/>
    <s v="TRANS APUCARANA TRANSPORTES RODOVIARIOS LTDA"/>
    <n v="299.23"/>
    <x v="48"/>
    <x v="48"/>
    <s v="SERVIÇOS FRETE"/>
    <x v="0"/>
    <s v="COMPRAS"/>
    <n v="0"/>
    <s v="MYLENA"/>
  </r>
  <r>
    <n v="200039"/>
    <s v="KAR"/>
    <s v="26R436821"/>
    <x v="68"/>
    <s v="KARAM'S IND.E COM.DE ESTOFADOS LTDA"/>
    <n v="104.12"/>
    <x v="39"/>
    <x v="39"/>
    <s v=""/>
    <x v="6"/>
    <s v="LOGÍSTICA"/>
    <n v="0"/>
    <s v="MYLENA"/>
  </r>
  <r>
    <n v="200040"/>
    <s v="KAR"/>
    <s v="53356"/>
    <x v="13"/>
    <s v="TRANS APUCARANA TRANSPORTES RODOVIARIOS LTDA"/>
    <n v="121.65"/>
    <x v="48"/>
    <x v="48"/>
    <s v="SERVIÇOS FRETE"/>
    <x v="0"/>
    <s v="COMPRAS"/>
    <n v="0"/>
    <s v="MYLENA"/>
  </r>
  <r>
    <n v="200041"/>
    <s v="KAR"/>
    <s v="53620"/>
    <x v="7"/>
    <s v="TRANS APUCARANA TRANSPORTES RODOVIARIOS LTDA"/>
    <n v="120.32"/>
    <x v="48"/>
    <x v="48"/>
    <s v="SERVIÇOS FRETE"/>
    <x v="0"/>
    <s v="COMPRAS"/>
    <n v="0"/>
    <s v="MYLENA"/>
  </r>
  <r>
    <n v="200043"/>
    <s v="FK"/>
    <s v="GIL1401A"/>
    <x v="65"/>
    <s v="GILSON MATERIAIS DE CONSTRUÇÃO"/>
    <n v="540"/>
    <x v="25"/>
    <x v="25"/>
    <s v=""/>
    <x v="2"/>
    <s v="MANUTENÇÃO / TI"/>
    <n v="0"/>
    <s v="FÁBIO"/>
  </r>
  <r>
    <n v="200044"/>
    <s v="FK"/>
    <s v="NIS1002A"/>
    <x v="16"/>
    <s v="CASA DE FERRAGEM NISHIMOTO"/>
    <n v="264"/>
    <x v="30"/>
    <x v="30"/>
    <s v="FERRAGENS GERAIS"/>
    <x v="9"/>
    <s v="MANUTENÇÃO / TI"/>
    <n v="0"/>
    <s v="RAFAEL"/>
  </r>
  <r>
    <n v="200045"/>
    <s v="FK"/>
    <s v="3530"/>
    <x v="7"/>
    <s v="ACC 7 CONSULTORIA E DESENVOLVIMENTO LTDA"/>
    <n v="150"/>
    <x v="12"/>
    <x v="12"/>
    <s v=""/>
    <x v="3"/>
    <s v="MANUTENÇÃO / TI"/>
    <n v="0"/>
    <s v="LETÍCIA"/>
  </r>
  <r>
    <n v="200046"/>
    <s v="KAR"/>
    <s v="120721235"/>
    <x v="7"/>
    <s v="KARAM'S IND.E COM.DE ESTOFADOS LTDA"/>
    <n v="293.47000000000003"/>
    <x v="39"/>
    <x v="39"/>
    <s v=""/>
    <x v="6"/>
    <s v="LOGÍSTICA"/>
    <n v="0"/>
    <s v="MYLENA"/>
  </r>
  <r>
    <n v="200047"/>
    <s v="FK"/>
    <s v="NIS1501B"/>
    <x v="7"/>
    <s v="CASA DE FERRAGEM NISHIMOTO"/>
    <n v="4.5"/>
    <x v="38"/>
    <x v="38"/>
    <s v="FERRAGENS GERAIS"/>
    <x v="5"/>
    <s v="PRODUÇÃO"/>
    <n v="0"/>
    <s v="RAFAEL"/>
  </r>
  <r>
    <n v="200048"/>
    <s v="FK"/>
    <s v="NIS2001C"/>
    <x v="7"/>
    <s v="CASA DE FERRAGEM NISHIMOTO"/>
    <n v="58"/>
    <x v="38"/>
    <x v="38"/>
    <s v="FERRAGENS GERAIS"/>
    <x v="5"/>
    <s v="PRODUÇÃO"/>
    <n v="0"/>
    <s v="RAFAEL"/>
  </r>
  <r>
    <n v="200049"/>
    <s v="FK"/>
    <s v="NIS0312"/>
    <x v="7"/>
    <s v="CASA DE FERRAGEM NISHIMOTO"/>
    <n v="16"/>
    <x v="30"/>
    <x v="30"/>
    <s v="FERRAGENS GERAIS"/>
    <x v="9"/>
    <s v="MANUTENÇÃO / TI"/>
    <n v="0"/>
    <s v="RAFAEL"/>
  </r>
  <r>
    <n v="200050"/>
    <s v="FK"/>
    <s v="NIS0312A"/>
    <x v="7"/>
    <s v="CASA DE FERRAGEM NISHIMOTO"/>
    <n v="18"/>
    <x v="30"/>
    <x v="30"/>
    <s v="FERRAGENS GERAIS"/>
    <x v="9"/>
    <s v="MANUTENÇÃO / TI"/>
    <n v="0"/>
    <s v="RAFAEL"/>
  </r>
  <r>
    <n v="200051"/>
    <s v="KAR"/>
    <s v="62477"/>
    <x v="67"/>
    <s v="F. G. COM. DE PROD. DE HIG. PROF. LTDA."/>
    <n v="99.8"/>
    <x v="44"/>
    <x v="44"/>
    <s v=""/>
    <x v="9"/>
    <s v="COMPRAS"/>
    <n v="0"/>
    <s v="MYLENA"/>
  </r>
  <r>
    <n v="200054"/>
    <s v="KAR"/>
    <s v="15FER26"/>
    <x v="67"/>
    <s v="AYSLAN OLIVEIRA FREITAS_x0009__x0009__x0009__x0009__x0009_"/>
    <n v="1316.22"/>
    <x v="96"/>
    <x v="96"/>
    <s v=""/>
    <x v="9"/>
    <s v="DH"/>
    <s v="CUSTO MÃO DE OBRA DIRETA"/>
    <s v="RAFAEL"/>
  </r>
  <r>
    <n v="200055"/>
    <s v="KOX"/>
    <s v="MAESTRIA26"/>
    <x v="33"/>
    <s v="GOL LINHAS AÉREAS INTELIGENTES"/>
    <n v="169.87"/>
    <x v="20"/>
    <x v="20"/>
    <s v=""/>
    <x v="7"/>
    <s v="DIRETORIA"/>
    <n v="0"/>
    <s v="FÁBIO"/>
  </r>
  <r>
    <n v="200056"/>
    <s v="FK"/>
    <s v="78129"/>
    <x v="7"/>
    <s v="COMERCIO DE COMBUSTIVEIS TBM LTDA."/>
    <n v="319.20999999999998"/>
    <x v="43"/>
    <x v="43"/>
    <s v=""/>
    <x v="4"/>
    <s v="LOGÍSTICA"/>
    <n v="0"/>
    <s v="LETÍCIA"/>
  </r>
  <r>
    <n v="200057"/>
    <s v="KAR"/>
    <s v="15FER26"/>
    <x v="112"/>
    <s v="GERLAN GALDINO DE ARAUJO"/>
    <n v="1260.3499999999999"/>
    <x v="72"/>
    <x v="72"/>
    <s v=""/>
    <x v="5"/>
    <s v="DH"/>
    <s v="CUSTO MÃO DE OBRA DIRETA"/>
    <s v="RAFAEL"/>
  </r>
  <r>
    <n v="200058"/>
    <s v="KOX"/>
    <s v="MAESTRIA26"/>
    <x v="34"/>
    <s v="GOL LINHAS AÉREAS INTELIGENTES"/>
    <n v="169.87"/>
    <x v="20"/>
    <x v="20"/>
    <s v=""/>
    <x v="7"/>
    <s v="DIRETORIA"/>
    <n v="0"/>
    <s v="FÁBIO"/>
  </r>
  <r>
    <n v="200062"/>
    <s v="KOX"/>
    <s v="MAESTRIA 2"/>
    <x v="33"/>
    <s v="GOL LINHAS AÉREAS INTELIGENTES"/>
    <n v="84.94"/>
    <x v="15"/>
    <x v="15"/>
    <s v=""/>
    <x v="7"/>
    <s v="DIRETORIA"/>
    <n v="0"/>
    <s v="FÁBIO"/>
  </r>
  <r>
    <n v="200064"/>
    <s v="KOX"/>
    <s v="MAESTRIA 2"/>
    <x v="34"/>
    <s v="GOL LINHAS AÉREAS INTELIGENTES"/>
    <n v="84.94"/>
    <x v="15"/>
    <x v="15"/>
    <s v=""/>
    <x v="7"/>
    <s v="DIRETORIA"/>
    <n v="0"/>
    <s v="FÁBIO"/>
  </r>
  <r>
    <n v="200069"/>
    <s v="KOX"/>
    <s v="MAESTRIA26"/>
    <x v="33"/>
    <s v="TAM LINHAS AEREAS S/A."/>
    <n v="250.98"/>
    <x v="20"/>
    <x v="20"/>
    <s v=""/>
    <x v="7"/>
    <s v="DIRETORIA"/>
    <n v="0"/>
    <s v="FÁBIO"/>
  </r>
  <r>
    <n v="200070"/>
    <s v="KOX"/>
    <s v="MAESTRIA26"/>
    <x v="34"/>
    <s v="TAM LINHAS AEREAS S/A."/>
    <n v="250.98"/>
    <x v="20"/>
    <x v="20"/>
    <s v=""/>
    <x v="7"/>
    <s v="DIRETORIA"/>
    <n v="0"/>
    <s v="FÁBIO"/>
  </r>
  <r>
    <n v="200074"/>
    <s v="KOX"/>
    <s v="MAESTRIA 2"/>
    <x v="33"/>
    <s v="TAM LINHAS AEREAS S/A."/>
    <n v="125.49"/>
    <x v="15"/>
    <x v="15"/>
    <s v=""/>
    <x v="7"/>
    <s v="DIRETORIA"/>
    <n v="0"/>
    <s v="FÁBIO"/>
  </r>
  <r>
    <n v="200075"/>
    <s v="KOX"/>
    <s v="MAESTRIA 2"/>
    <x v="34"/>
    <s v="TAM LINHAS AEREAS S/A."/>
    <n v="125.49"/>
    <x v="15"/>
    <x v="15"/>
    <s v=""/>
    <x v="7"/>
    <s v="DIRETORIA"/>
    <n v="0"/>
    <s v="FÁBIO"/>
  </r>
  <r>
    <n v="200078"/>
    <s v="KOY"/>
    <s v="21044"/>
    <x v="112"/>
    <s v="Tpl Produtos e Equipamentos de Limpeza LTDA"/>
    <n v="235.6"/>
    <x v="45"/>
    <x v="45"/>
    <s v=""/>
    <x v="4"/>
    <s v="ADMINISTRATIVO"/>
    <n v="0"/>
    <s v="MYLENA"/>
  </r>
  <r>
    <n v="200079"/>
    <s v="KOY"/>
    <s v="21045"/>
    <x v="112"/>
    <s v="Tpl Produtos e Equipamentos de Limpeza LTDA"/>
    <n v="376.8"/>
    <x v="44"/>
    <x v="44"/>
    <s v=""/>
    <x v="9"/>
    <s v="COMPRAS"/>
    <n v="0"/>
    <s v="MYLENA"/>
  </r>
  <r>
    <n v="200080"/>
    <s v="LAY"/>
    <s v="15FER26"/>
    <x v="67"/>
    <s v="AGNIS CRISTINA MAUSSON"/>
    <n v="1018.59"/>
    <x v="72"/>
    <x v="72"/>
    <s v=""/>
    <x v="5"/>
    <s v="DH"/>
    <s v="CUSTO MÃO DE OBRA DIRETA"/>
    <s v="RAFAEL"/>
  </r>
  <r>
    <n v="200081"/>
    <s v="LAY"/>
    <s v="15FER26"/>
    <x v="67"/>
    <s v="ALEXANDRE ROBERTO BRESCHI"/>
    <n v="2521.77"/>
    <x v="72"/>
    <x v="72"/>
    <s v=""/>
    <x v="5"/>
    <s v="DH"/>
    <s v="CUSTO MÃO DE OBRA DIRETA"/>
    <s v="RAFAEL"/>
  </r>
  <r>
    <n v="200082"/>
    <s v="LAY"/>
    <s v="8FER26"/>
    <x v="67"/>
    <s v="EDINEUZA DA SILVA"/>
    <n v="1050.3699999999999"/>
    <x v="72"/>
    <x v="72"/>
    <s v=""/>
    <x v="5"/>
    <s v="DH"/>
    <s v="CUSTO MÃO DE OBRA DIRETA"/>
    <s v="RAFAEL"/>
  </r>
  <r>
    <n v="200083"/>
    <s v="LAY"/>
    <s v="8FER26"/>
    <x v="67"/>
    <s v="MARCOS ADRIANO GARCIA"/>
    <n v="1346.54"/>
    <x v="72"/>
    <x v="72"/>
    <s v=""/>
    <x v="5"/>
    <s v="DH"/>
    <s v="CUSTO MÃO DE OBRA DIRETA"/>
    <s v="RAFAEL"/>
  </r>
  <r>
    <n v="200084"/>
    <s v="KAR"/>
    <s v="467375"/>
    <x v="67"/>
    <s v="VMD MAQUINAS E FERRAMENTAS LTDA"/>
    <n v="440"/>
    <x v="38"/>
    <x v="38"/>
    <s v="PEÇAS DE FERRAMENTAS"/>
    <x v="5"/>
    <s v="PRODUÇÃO"/>
    <n v="0"/>
    <s v="RAFAEL"/>
  </r>
  <r>
    <n v="200085"/>
    <s v="KAR"/>
    <s v="1283103"/>
    <x v="7"/>
    <s v="BANCO SICREDI"/>
    <n v="1.28"/>
    <x v="27"/>
    <x v="27"/>
    <s v=""/>
    <x v="8"/>
    <s v="FINANCEIRO"/>
    <n v="0"/>
    <s v="LETÍCIA"/>
  </r>
  <r>
    <n v="200086"/>
    <s v="KAR"/>
    <s v="4213103"/>
    <x v="7"/>
    <s v="BANCO SICREDI"/>
    <n v="4.21"/>
    <x v="29"/>
    <x v="29"/>
    <s v=""/>
    <x v="8"/>
    <s v="FINANCEIRO"/>
    <n v="0"/>
    <s v="LETÍCIA"/>
  </r>
  <r>
    <n v="200087"/>
    <s v="KAR"/>
    <s v="13433103"/>
    <x v="7"/>
    <s v="BANCO SICREDI"/>
    <n v="13.43"/>
    <x v="28"/>
    <x v="28"/>
    <s v=""/>
    <x v="8"/>
    <s v="FINANCEIRO"/>
    <n v="0"/>
    <s v="LETÍCIA"/>
  </r>
  <r>
    <n v="200088"/>
    <s v="KAR"/>
    <s v="0440104"/>
    <x v="67"/>
    <s v="BANCO SICREDI"/>
    <n v="0.44"/>
    <x v="27"/>
    <x v="27"/>
    <s v=""/>
    <x v="8"/>
    <s v="FINANCEIRO"/>
    <n v="0"/>
    <s v="LETÍCIA"/>
  </r>
  <r>
    <n v="200089"/>
    <s v="KOY"/>
    <s v="2373103"/>
    <x v="7"/>
    <s v="BANCO SICREDI"/>
    <n v="2.37"/>
    <x v="28"/>
    <x v="28"/>
    <s v=""/>
    <x v="8"/>
    <s v="FINANCEIRO"/>
    <n v="0"/>
    <s v="LETÍCIA"/>
  </r>
  <r>
    <n v="200090"/>
    <s v="KAR"/>
    <s v="2853103"/>
    <x v="7"/>
    <s v="BANCO SICREDI"/>
    <n v="2.85"/>
    <x v="28"/>
    <x v="28"/>
    <s v=""/>
    <x v="8"/>
    <s v="FINANCEIRO"/>
    <n v="0"/>
    <s v="LETÍCIA"/>
  </r>
  <r>
    <n v="200091"/>
    <s v="LAY"/>
    <s v="14283103"/>
    <x v="7"/>
    <s v="BANCO SICREDI"/>
    <n v="14.28"/>
    <x v="29"/>
    <x v="29"/>
    <s v=""/>
    <x v="8"/>
    <s v="FINANCEIRO"/>
    <n v="0"/>
    <s v="LETÍCIA"/>
  </r>
  <r>
    <n v="200092"/>
    <s v="LAY"/>
    <s v="1343103"/>
    <x v="7"/>
    <s v="BANCO SICREDI"/>
    <n v="1.34"/>
    <x v="27"/>
    <x v="27"/>
    <s v=""/>
    <x v="8"/>
    <s v="FINANCEIRO"/>
    <n v="0"/>
    <s v="LETÍCIA"/>
  </r>
  <r>
    <n v="200093"/>
    <s v="LAY"/>
    <s v="1583103"/>
    <x v="7"/>
    <s v="BANCO SICREDI"/>
    <n v="1.58"/>
    <x v="28"/>
    <x v="28"/>
    <s v=""/>
    <x v="8"/>
    <s v="FINANCEIRO"/>
    <n v="0"/>
    <s v="LETÍCIA"/>
  </r>
  <r>
    <n v="200094"/>
    <s v="LAY"/>
    <s v="009"/>
    <x v="67"/>
    <s v="BANCO SICREDI"/>
    <n v="0.09"/>
    <x v="27"/>
    <x v="27"/>
    <s v=""/>
    <x v="8"/>
    <s v="FINANCEIRO"/>
    <n v="0"/>
    <s v="LETÍCIA"/>
  </r>
  <r>
    <n v="200096"/>
    <s v="KOY"/>
    <s v="12035"/>
    <x v="67"/>
    <s v="LUKPAPER IND. E COM. DE PAPEIS EIRELI"/>
    <n v="762.5"/>
    <x v="44"/>
    <x v="44"/>
    <s v=""/>
    <x v="9"/>
    <s v="COMPRAS"/>
    <n v="0"/>
    <s v="MYLENA"/>
  </r>
  <r>
    <n v="200097"/>
    <s v="KOY"/>
    <s v="12036"/>
    <x v="67"/>
    <s v="LUKPAPER IND. E COM. DE PAPEIS EIRELI"/>
    <n v="212.5"/>
    <x v="45"/>
    <x v="45"/>
    <s v=""/>
    <x v="4"/>
    <s v="ADMINISTRATIVO"/>
    <n v="0"/>
    <s v="MYLENA"/>
  </r>
  <r>
    <n v="200098"/>
    <s v="FK"/>
    <s v="MAR0104"/>
    <x v="67"/>
    <s v="MARCELO DE ANDRADE TERRA RICA - ME"/>
    <n v="60"/>
    <x v="30"/>
    <x v="30"/>
    <s v=""/>
    <x v="9"/>
    <s v="MANUTENÇÃO / TI"/>
    <n v="0"/>
    <s v="RAFAEL"/>
  </r>
  <r>
    <n v="200099"/>
    <s v="FK"/>
    <s v="NIS0104A"/>
    <x v="67"/>
    <s v="CASA DE FERRAGEM NISHIMOTO"/>
    <n v="32.5"/>
    <x v="30"/>
    <x v="30"/>
    <s v="FERRAGENS GERAIS"/>
    <x v="9"/>
    <s v="MANUTENÇÃO / TI"/>
    <n v="0"/>
    <s v="RAFAEL"/>
  </r>
  <r>
    <n v="200100"/>
    <s v="FK"/>
    <s v="NIS0104B"/>
    <x v="67"/>
    <s v="CASA DE FERRAGEM NISHIMOTO"/>
    <n v="39"/>
    <x v="9"/>
    <x v="9"/>
    <s v="FERRAGENS GERAIS"/>
    <x v="2"/>
    <s v="MANUTENÇÃO / TI"/>
    <n v="0"/>
    <s v="RAFAEL"/>
  </r>
  <r>
    <n v="200101"/>
    <s v="KOY"/>
    <s v="ABRI2026"/>
    <x v="67"/>
    <s v="RAFAEL KOSSEI KATO"/>
    <n v="6000"/>
    <x v="15"/>
    <x v="15"/>
    <s v=""/>
    <x v="7"/>
    <s v="DIRETORIA"/>
    <n v="0"/>
    <s v="FÁBIO"/>
  </r>
  <r>
    <n v="200102"/>
    <s v="KAR"/>
    <s v="4388"/>
    <x v="7"/>
    <s v="BLUTECH MANUTENÇÃO DE EQUIPAMENTOS LTDA"/>
    <n v="11468.96"/>
    <x v="30"/>
    <x v="30"/>
    <s v="CNC TECIDO"/>
    <x v="9"/>
    <s v="MANUTENÇÃO / TI"/>
    <n v="0"/>
    <s v="RAFAEL"/>
  </r>
  <r>
    <n v="200103"/>
    <s v="KAR"/>
    <s v="15FER26"/>
    <x v="67"/>
    <s v="CELIO ROBERTO GARCIA"/>
    <n v="2134.1999999999998"/>
    <x v="72"/>
    <x v="72"/>
    <s v=""/>
    <x v="5"/>
    <s v="DH"/>
    <s v="CUSTO MÃO DE OBRA DIRETA"/>
    <s v="RAFAEL"/>
  </r>
  <r>
    <n v="200104"/>
    <s v="KAR"/>
    <s v="156103"/>
    <x v="67"/>
    <s v="INNOVATIV IND. E COM. DE TECIDOS LTDA EPP"/>
    <n v="4634.37"/>
    <x v="55"/>
    <x v="55"/>
    <s v=""/>
    <x v="8"/>
    <s v="COMERCIAL"/>
    <n v="0"/>
    <s v="LETÍCIA"/>
  </r>
  <r>
    <n v="200105"/>
    <s v="FK"/>
    <s v="ST0104"/>
    <x v="67"/>
    <s v="BICICLETARIA SANTO ANTONIO"/>
    <n v="60"/>
    <x v="38"/>
    <x v="38"/>
    <s v=""/>
    <x v="5"/>
    <s v="PRODUÇÃO"/>
    <n v="0"/>
    <s v="RAFAEL"/>
  </r>
  <r>
    <n v="200106"/>
    <s v="FK"/>
    <s v="SILVA3103"/>
    <x v="7"/>
    <s v="MARCIO RODRIGUES DA SILVA"/>
    <n v="70"/>
    <x v="44"/>
    <x v="44"/>
    <s v=""/>
    <x v="9"/>
    <s v="COMPRAS"/>
    <n v="0"/>
    <s v="MYLENA"/>
  </r>
  <r>
    <n v="200107"/>
    <s v="FK"/>
    <s v="SILV3103"/>
    <x v="7"/>
    <s v="MARCIO RODRIGUES DA SILVA"/>
    <n v="35"/>
    <x v="30"/>
    <x v="30"/>
    <s v=""/>
    <x v="9"/>
    <s v="MANUTENÇÃO / TI"/>
    <n v="0"/>
    <s v="RAFAEL"/>
  </r>
  <r>
    <n v="200108"/>
    <s v="KAR"/>
    <s v="156325"/>
    <x v="67"/>
    <s v="INNOVATIV IND. E COM. DE TECIDOS LTDA EPP"/>
    <n v="739.44"/>
    <x v="55"/>
    <x v="55"/>
    <s v=""/>
    <x v="8"/>
    <s v="COMERCIAL"/>
    <n v="0"/>
    <s v="LETÍCIA"/>
  </r>
  <r>
    <n v="200109"/>
    <s v="KAR"/>
    <s v="CET0104"/>
    <x v="67"/>
    <s v="BANCO SICREDI"/>
    <n v="1109.07"/>
    <x v="29"/>
    <x v="29"/>
    <s v=""/>
    <x v="8"/>
    <s v="FINANCEIRO"/>
    <n v="0"/>
    <s v="LETÍCIA"/>
  </r>
  <r>
    <n v="200110"/>
    <s v="KAR"/>
    <s v="175980104"/>
    <x v="67"/>
    <s v="BANCO SICREDI"/>
    <n v="175.98"/>
    <x v="27"/>
    <x v="27"/>
    <s v=""/>
    <x v="8"/>
    <s v="FINANCEIRO"/>
    <n v="0"/>
    <s v="LETÍCIA"/>
  </r>
  <r>
    <n v="200111"/>
    <s v="KAR"/>
    <s v="9505"/>
    <x v="67"/>
    <s v="BANCO SICREDI"/>
    <n v="95.05"/>
    <x v="27"/>
    <x v="27"/>
    <s v=""/>
    <x v="8"/>
    <s v="FINANCEIRO"/>
    <n v="0"/>
    <s v="LETÍCIA"/>
  </r>
  <r>
    <n v="200112"/>
    <s v="FK"/>
    <s v="FAB010426"/>
    <x v="67"/>
    <s v="UNIMED DE PARANAVAI COOPERATIVA DE TRABALHO MEDICO"/>
    <n v="1370.85"/>
    <x v="15"/>
    <x v="15"/>
    <s v=""/>
    <x v="7"/>
    <s v="DIRETORIA"/>
    <n v="0"/>
    <s v="FÁBIO"/>
  </r>
  <r>
    <n v="200113"/>
    <s v="FK"/>
    <s v="SUE010426"/>
    <x v="67"/>
    <s v="UNIMED DE PARANAVAI COOPERATIVA DE TRABALHO MEDICO"/>
    <n v="1408.35"/>
    <x v="15"/>
    <x v="15"/>
    <s v=""/>
    <x v="7"/>
    <s v="DIRETORIA"/>
    <n v="0"/>
    <s v="FÁBIO"/>
  </r>
  <r>
    <n v="200114"/>
    <s v="FK"/>
    <s v="KAR010426"/>
    <x v="67"/>
    <s v="UNIMED DE PARANAVAI COOPERATIVA DE TRABALHO MEDICO"/>
    <n v="1100.4000000000001"/>
    <x v="15"/>
    <x v="15"/>
    <s v=""/>
    <x v="7"/>
    <s v="DIRETORIA"/>
    <n v="0"/>
    <s v="FÁBIO"/>
  </r>
  <r>
    <n v="200115"/>
    <s v="FK"/>
    <s v="MYL010426"/>
    <x v="67"/>
    <s v="UNIMED DE PARANAVAI COOPERATIVA DE TRABALHO MEDICO"/>
    <n v="808.51"/>
    <x v="15"/>
    <x v="15"/>
    <s v=""/>
    <x v="7"/>
    <s v="DIRETORIA"/>
    <n v="0"/>
    <s v="FÁBIO"/>
  </r>
  <r>
    <n v="200116"/>
    <s v="FK"/>
    <s v="RAF010426"/>
    <x v="67"/>
    <s v="UNIMED DE PARANAVAI COOPERATIVA DE TRABALHO MEDICO"/>
    <n v="1477.83"/>
    <x v="15"/>
    <x v="15"/>
    <s v=""/>
    <x v="7"/>
    <s v="DIRETORIA"/>
    <n v="0"/>
    <s v="FÁBIO"/>
  </r>
  <r>
    <n v="200117"/>
    <s v="FK"/>
    <s v="NIS0104C"/>
    <x v="67"/>
    <s v="CASA DE FERRAGEM NISHIMOTO"/>
    <n v="44"/>
    <x v="32"/>
    <x v="32"/>
    <s v="FERRAGENS GERAIS"/>
    <x v="3"/>
    <s v="FINANCEIRO"/>
    <n v="0"/>
    <s v="LETÍCIA"/>
  </r>
  <r>
    <n v="200118"/>
    <s v="FK"/>
    <s v="EXAM0326"/>
    <x v="112"/>
    <s v="DR° MARIO LUIZ LANZIANI"/>
    <n v="75"/>
    <x v="99"/>
    <x v="99"/>
    <s v=""/>
    <x v="9"/>
    <s v="DH"/>
    <n v="0"/>
    <s v="RAFAEL"/>
  </r>
  <r>
    <n v="200119"/>
    <s v="FK"/>
    <s v="EXAME0326"/>
    <x v="112"/>
    <s v="REGINALDO DUARTE"/>
    <n v="420"/>
    <x v="73"/>
    <x v="73"/>
    <s v=""/>
    <x v="5"/>
    <s v="DH"/>
    <s v="CUSTO MÃO DE OBRA DIRETA"/>
    <s v="RAFAEL"/>
  </r>
  <r>
    <n v="200120"/>
    <s v="KAR"/>
    <s v="12640104"/>
    <x v="67"/>
    <s v="BANCO SICREDI"/>
    <n v="12.64"/>
    <x v="28"/>
    <x v="28"/>
    <s v=""/>
    <x v="8"/>
    <s v="FINANCEIRO"/>
    <n v="0"/>
    <s v="LETÍCIA"/>
  </r>
  <r>
    <n v="200121"/>
    <s v="KAR"/>
    <s v="1900204"/>
    <x v="112"/>
    <s v="BANCO SICREDI"/>
    <n v="1.9"/>
    <x v="27"/>
    <x v="27"/>
    <s v=""/>
    <x v="8"/>
    <s v="FINANCEIRO"/>
    <n v="0"/>
    <s v="LETÍCIA"/>
  </r>
  <r>
    <n v="200122"/>
    <s v="KOY"/>
    <s v="0040104"/>
    <x v="67"/>
    <s v="BANCO SICREDI"/>
    <n v="0.04"/>
    <x v="27"/>
    <x v="27"/>
    <s v=""/>
    <x v="8"/>
    <s v="FINANCEIRO"/>
    <n v="0"/>
    <s v="LETÍCIA"/>
  </r>
  <r>
    <n v="200123"/>
    <s v="KOY"/>
    <s v="0790104"/>
    <x v="67"/>
    <s v="BANCO SICREDI"/>
    <n v="0.79"/>
    <x v="28"/>
    <x v="28"/>
    <s v=""/>
    <x v="8"/>
    <s v="FINANCEIRO"/>
    <n v="0"/>
    <s v="LETÍCIA"/>
  </r>
  <r>
    <n v="200124"/>
    <s v="KAR"/>
    <s v="190"/>
    <x v="67"/>
    <s v="SICOOB NOROESTE DO PARANA"/>
    <n v="1.9"/>
    <x v="28"/>
    <x v="28"/>
    <s v=""/>
    <x v="8"/>
    <s v="FINANCEIRO"/>
    <n v="0"/>
    <s v="LETÍCIA"/>
  </r>
  <r>
    <n v="200125"/>
    <s v="KAR"/>
    <s v="600104"/>
    <x v="67"/>
    <s v="BANCO SICREDI"/>
    <n v="60"/>
    <x v="27"/>
    <x v="27"/>
    <s v=""/>
    <x v="8"/>
    <s v="FINANCEIRO"/>
    <n v="0"/>
    <s v="LETÍCIA"/>
  </r>
  <r>
    <n v="200126"/>
    <s v="LAY"/>
    <s v="7FER26"/>
    <x v="112"/>
    <s v="SIDNEI PEREIRA DA COSTA"/>
    <n v="795.7"/>
    <x v="72"/>
    <x v="72"/>
    <s v=""/>
    <x v="5"/>
    <s v="DH"/>
    <s v="CUSTO MÃO DE OBRA DIRETA"/>
    <s v="RAFAEL"/>
  </r>
  <r>
    <n v="200127"/>
    <s v="LAY"/>
    <s v="15FER26"/>
    <x v="112"/>
    <s v="JULIANA DA SILVA NARCISO"/>
    <n v="1529.83"/>
    <x v="91"/>
    <x v="91"/>
    <s v=""/>
    <x v="7"/>
    <s v="DH"/>
    <n v="0"/>
    <s v="RAFAEL"/>
  </r>
  <r>
    <n v="200128"/>
    <s v="FK"/>
    <s v="SILV0104"/>
    <x v="112"/>
    <s v="MARCIO RODRIGUES DA SILVA"/>
    <n v="50"/>
    <x v="38"/>
    <x v="38"/>
    <s v=""/>
    <x v="5"/>
    <s v="PRODUÇÃO"/>
    <n v="0"/>
    <s v="RAFAEL"/>
  </r>
  <r>
    <n v="200129"/>
    <s v="FK"/>
    <s v="BAL020426"/>
    <x v="112"/>
    <s v="VR10 . VISCOVINI EIRELI"/>
    <n v="76.8"/>
    <x v="64"/>
    <x v="64"/>
    <s v=""/>
    <x v="4"/>
    <s v="FINANCEIRO"/>
    <n v="0"/>
    <s v="MYLENA"/>
  </r>
  <r>
    <n v="200130"/>
    <s v="FK"/>
    <s v="ABR020426"/>
    <x v="112"/>
    <s v="FABIO HIROMITSU KATO"/>
    <n v="6000"/>
    <x v="15"/>
    <x v="15"/>
    <s v=""/>
    <x v="7"/>
    <s v="DIRETORIA"/>
    <n v="0"/>
    <s v="FÁBIO"/>
  </r>
  <r>
    <n v="200131"/>
    <s v="LAY"/>
    <s v="ABR020426"/>
    <x v="112"/>
    <s v="MYLENA NARIE KATO BRIGANTINI"/>
    <n v="6000"/>
    <x v="15"/>
    <x v="15"/>
    <s v=""/>
    <x v="7"/>
    <s v="DIRETORIA"/>
    <n v="0"/>
    <s v="FÁBIO"/>
  </r>
  <r>
    <n v="200132"/>
    <s v="FK"/>
    <s v="ABR020426"/>
    <x v="112"/>
    <s v="SUELY KAY KATO"/>
    <n v="6000"/>
    <x v="15"/>
    <x v="15"/>
    <s v=""/>
    <x v="7"/>
    <s v="DIRETORIA"/>
    <n v="0"/>
    <s v="FÁBIO"/>
  </r>
  <r>
    <n v="200133"/>
    <s v="FK"/>
    <s v="BATA0204"/>
    <x v="112"/>
    <s v="MARIA ANDREIA BUENO DE ALMEIDA BATAER"/>
    <n v="1441.65"/>
    <x v="34"/>
    <x v="34"/>
    <s v=""/>
    <x v="6"/>
    <s v="COMERCIAL"/>
    <n v="0"/>
    <s v="LETÍCIA"/>
  </r>
  <r>
    <n v="200134"/>
    <s v="FK"/>
    <s v="ACA2803"/>
    <x v="7"/>
    <s v="MARCOS ACACIO VALERIO"/>
    <n v="160"/>
    <x v="30"/>
    <x v="30"/>
    <s v="MAQUINAS DE COSTURA"/>
    <x v="9"/>
    <s v="MANUTENÇÃO / TI"/>
    <n v="0"/>
    <s v="RAFAEL"/>
  </r>
  <r>
    <n v="200135"/>
    <s v="KOY"/>
    <s v="PGTO0426"/>
    <x v="7"/>
    <s v="ARIAN SILVA OLIVEIRA"/>
    <n v="2174.35"/>
    <x v="7"/>
    <x v="7"/>
    <s v=""/>
    <x v="5"/>
    <s v="DH"/>
    <s v="CUSTO MÃO DE OBRA DIRETA"/>
    <s v="RAFAEL"/>
  </r>
  <r>
    <n v="200136"/>
    <s v="KOY"/>
    <s v="PGTO0426"/>
    <x v="7"/>
    <s v="ARTHUR SILVA DE DEUS CORREIA"/>
    <n v="2859.02"/>
    <x v="7"/>
    <x v="7"/>
    <s v=""/>
    <x v="5"/>
    <s v="DH"/>
    <s v="CUSTO MÃO DE OBRA DIRETA"/>
    <s v="RAFAEL"/>
  </r>
  <r>
    <n v="200137"/>
    <s v="KOY"/>
    <s v="PGTO0426"/>
    <x v="7"/>
    <s v="EDUARDO MORALES JACYNTHO"/>
    <n v="4014.36"/>
    <x v="61"/>
    <x v="61"/>
    <s v=""/>
    <x v="9"/>
    <s v="DH"/>
    <s v="CUSTO MÃO DE OBRA DIRETA"/>
    <s v="RAFAEL"/>
  </r>
  <r>
    <n v="200138"/>
    <s v="KOY"/>
    <s v="PGTO0426"/>
    <x v="7"/>
    <s v="EDUARDO RODIGHERO DOS SANTOS"/>
    <n v="2013.15"/>
    <x v="61"/>
    <x v="61"/>
    <s v=""/>
    <x v="9"/>
    <s v="DH"/>
    <s v="CUSTO MÃO DE OBRA DIRETA"/>
    <s v="RAFAEL"/>
  </r>
  <r>
    <n v="200139"/>
    <s v="KOY"/>
    <s v="PGTO0426"/>
    <x v="7"/>
    <s v="FERNANDO FIGUEIREDO"/>
    <n v="2799.31"/>
    <x v="7"/>
    <x v="7"/>
    <s v=""/>
    <x v="5"/>
    <s v="DH"/>
    <s v="CUSTO MÃO DE OBRA DIRETA"/>
    <s v="RAFAEL"/>
  </r>
  <r>
    <n v="200140"/>
    <s v="KOY"/>
    <s v="PGTO0426"/>
    <x v="7"/>
    <s v="GABRIEL NOGUEIRA DIAS"/>
    <n v="1986.28"/>
    <x v="18"/>
    <x v="18"/>
    <s v=""/>
    <x v="7"/>
    <s v="DH"/>
    <n v="0"/>
    <s v="RAFAEL"/>
  </r>
  <r>
    <n v="200141"/>
    <s v="KOY"/>
    <s v="PGTO0426"/>
    <x v="7"/>
    <s v="GUSTAVO NOVAES DA SILVA CARLOS"/>
    <n v="2241.56"/>
    <x v="7"/>
    <x v="7"/>
    <s v=""/>
    <x v="5"/>
    <s v="DH"/>
    <s v="CUSTO MÃO DE OBRA DIRETA"/>
    <s v="RAFAEL"/>
  </r>
  <r>
    <n v="200142"/>
    <s v="KOY"/>
    <s v="PGTO0426"/>
    <x v="7"/>
    <s v="HELEN PATRICIA ANDRE TORRES"/>
    <n v="2394.5700000000002"/>
    <x v="18"/>
    <x v="18"/>
    <s v=""/>
    <x v="7"/>
    <s v="DH"/>
    <n v="0"/>
    <s v="RAFAEL"/>
  </r>
  <r>
    <n v="200143"/>
    <s v="KOY"/>
    <s v="PGTO0426"/>
    <x v="7"/>
    <s v="HUGO CESAR CAMANHO ALVES"/>
    <n v="2440.2600000000002"/>
    <x v="7"/>
    <x v="7"/>
    <s v=""/>
    <x v="5"/>
    <s v="DH"/>
    <s v="CUSTO MÃO DE OBRA DIRETA"/>
    <s v="RAFAEL"/>
  </r>
  <r>
    <n v="200144"/>
    <s v="KOY"/>
    <s v="PGTO0426"/>
    <x v="7"/>
    <s v="JANIO DIMAS CONRADO"/>
    <n v="2323.7199999999998"/>
    <x v="7"/>
    <x v="7"/>
    <s v=""/>
    <x v="5"/>
    <s v="DH"/>
    <s v="CUSTO MÃO DE OBRA DIRETA"/>
    <s v="RAFAEL"/>
  </r>
  <r>
    <n v="200145"/>
    <s v="KOY"/>
    <s v="PGTO0426"/>
    <x v="7"/>
    <s v="JESSICA NAIARA APARECIDA CALICCKIO"/>
    <n v="1986.28"/>
    <x v="7"/>
    <x v="7"/>
    <s v=""/>
    <x v="5"/>
    <s v="DH"/>
    <s v="CUSTO MÃO DE OBRA DIRETA"/>
    <s v="RAFAEL"/>
  </r>
  <r>
    <n v="200146"/>
    <s v="KOY"/>
    <s v="PGTO0426"/>
    <x v="7"/>
    <s v="JOSÉ PEDRO PANICIO SANTOS"/>
    <n v="2464.73"/>
    <x v="7"/>
    <x v="7"/>
    <s v=""/>
    <x v="5"/>
    <s v="DH"/>
    <s v="CUSTO MÃO DE OBRA DIRETA"/>
    <s v="RAFAEL"/>
  </r>
  <r>
    <n v="200147"/>
    <s v="KOY"/>
    <s v="PGTO0426"/>
    <x v="7"/>
    <s v="KAYKY DA SILVA ZOCAL"/>
    <n v="2736.1"/>
    <x v="7"/>
    <x v="7"/>
    <s v=""/>
    <x v="5"/>
    <s v="DH"/>
    <s v="CUSTO MÃO DE OBRA DIRETA"/>
    <s v="RAFAEL"/>
  </r>
  <r>
    <n v="200148"/>
    <s v="KOY"/>
    <s v="PGTO0426"/>
    <x v="7"/>
    <s v="LUCAS SANTANA ROQUE DE OLIVEIRA"/>
    <n v="1068.01"/>
    <x v="7"/>
    <x v="7"/>
    <s v=""/>
    <x v="5"/>
    <s v="DH"/>
    <s v="CUSTO MÃO DE OBRA DIRETA"/>
    <s v="RAFAEL"/>
  </r>
  <r>
    <n v="200149"/>
    <s v="KOY"/>
    <s v="PGTO0426"/>
    <x v="7"/>
    <s v="LUIZ GABRIEL TORRES MAFE"/>
    <n v="2460.44"/>
    <x v="7"/>
    <x v="7"/>
    <s v=""/>
    <x v="5"/>
    <s v="DH"/>
    <s v="CUSTO MÃO DE OBRA DIRETA"/>
    <s v="RAFAEL"/>
  </r>
  <r>
    <n v="200150"/>
    <s v="KOY"/>
    <s v="PGTO0426"/>
    <x v="7"/>
    <s v="MATEUS GUILHERME DE OLIVEIRA VALENCIANO"/>
    <n v="2606.31"/>
    <x v="7"/>
    <x v="7"/>
    <s v=""/>
    <x v="5"/>
    <s v="DH"/>
    <s v="CUSTO MÃO DE OBRA DIRETA"/>
    <s v="RAFAEL"/>
  </r>
  <r>
    <n v="200151"/>
    <s v="KOY"/>
    <s v="PGTO0426"/>
    <x v="7"/>
    <s v="TATIANE DA SILVA DE OLIVEIRA"/>
    <n v="2002.55"/>
    <x v="7"/>
    <x v="7"/>
    <s v=""/>
    <x v="5"/>
    <s v="DH"/>
    <s v="CUSTO MÃO DE OBRA DIRETA"/>
    <s v="RAFAEL"/>
  </r>
  <r>
    <n v="200152"/>
    <s v="KOY"/>
    <s v="PGTO0426"/>
    <x v="7"/>
    <s v="TATIANE MARIA ARAUJO"/>
    <n v="2157.27"/>
    <x v="7"/>
    <x v="7"/>
    <s v=""/>
    <x v="5"/>
    <s v="DH"/>
    <s v="CUSTO MÃO DE OBRA DIRETA"/>
    <s v="RAFAEL"/>
  </r>
  <r>
    <n v="200153"/>
    <s v="KAR"/>
    <s v="207813"/>
    <x v="112"/>
    <s v="G.C.TEXTIL IMPORTACAO E COMERCIO DE TAPETES LTDA"/>
    <n v="2315.75"/>
    <x v="55"/>
    <x v="55"/>
    <s v=""/>
    <x v="8"/>
    <s v="COMERCIAL"/>
    <n v="0"/>
    <s v="LETÍCIA"/>
  </r>
  <r>
    <n v="200155"/>
    <s v="KAR"/>
    <s v="CET0204"/>
    <x v="112"/>
    <s v="BANCO SICREDI"/>
    <n v="3414.23"/>
    <x v="29"/>
    <x v="29"/>
    <s v=""/>
    <x v="8"/>
    <s v="FINANCEIRO"/>
    <n v="0"/>
    <s v="LETÍCIA"/>
  </r>
  <r>
    <n v="200156"/>
    <s v="KAR"/>
    <s v="53081"/>
    <x v="112"/>
    <s v="BANCO SICREDI"/>
    <n v="530.80999999999995"/>
    <x v="27"/>
    <x v="27"/>
    <s v=""/>
    <x v="8"/>
    <s v="FINANCEIRO"/>
    <n v="0"/>
    <s v="LETÍCIA"/>
  </r>
  <r>
    <n v="200157"/>
    <s v="KAR"/>
    <s v="24791"/>
    <x v="112"/>
    <s v="BANCO SICREDI"/>
    <n v="247.91"/>
    <x v="27"/>
    <x v="27"/>
    <s v=""/>
    <x v="8"/>
    <s v="FINANCEIRO"/>
    <n v="0"/>
    <s v="LETÍCIA"/>
  </r>
  <r>
    <n v="200158"/>
    <s v="LAY"/>
    <s v="PGTO0426"/>
    <x v="7"/>
    <s v="LEANDRO OLIVEIRA DA SILVA PANICIO "/>
    <n v="2514.44"/>
    <x v="61"/>
    <x v="61"/>
    <s v=""/>
    <x v="9"/>
    <s v="DH"/>
    <s v="CUSTO MÃO DE OBRA DIRETA"/>
    <s v="RAFAEL"/>
  </r>
  <r>
    <n v="200159"/>
    <s v="LAY"/>
    <s v="PGTO0426"/>
    <x v="7"/>
    <s v="AGNIS CRISTINA MAUSSON"/>
    <n v="1501.06"/>
    <x v="7"/>
    <x v="7"/>
    <s v=""/>
    <x v="5"/>
    <s v="DH"/>
    <s v="CUSTO MÃO DE OBRA DIRETA"/>
    <s v="RAFAEL"/>
  </r>
  <r>
    <n v="200160"/>
    <s v="LAY"/>
    <s v="PGTO0426"/>
    <x v="7"/>
    <s v="AILTON DA SILVA"/>
    <n v="2611.5700000000002"/>
    <x v="18"/>
    <x v="18"/>
    <s v=""/>
    <x v="7"/>
    <s v="DH"/>
    <n v="0"/>
    <s v="RAFAEL"/>
  </r>
  <r>
    <n v="200161"/>
    <s v="LAY"/>
    <s v="PGTO0426"/>
    <x v="7"/>
    <s v="ALESSANDRO DE OLIVEIRA"/>
    <n v="3694.39"/>
    <x v="7"/>
    <x v="7"/>
    <s v=""/>
    <x v="5"/>
    <s v="DH"/>
    <s v="CUSTO MÃO DE OBRA DIRETA"/>
    <s v="RAFAEL"/>
  </r>
  <r>
    <n v="200162"/>
    <s v="LAY"/>
    <s v="PGTO0426"/>
    <x v="7"/>
    <s v="ALEXANDRE ROBERTO BRESCHI"/>
    <n v="2791.8"/>
    <x v="7"/>
    <x v="7"/>
    <s v=""/>
    <x v="5"/>
    <s v="DH"/>
    <s v="CUSTO MÃO DE OBRA DIRETA"/>
    <s v="RAFAEL"/>
  </r>
  <r>
    <n v="200163"/>
    <s v="LAY"/>
    <s v="PGTO0426"/>
    <x v="7"/>
    <s v="ANDERSON DE OLIVEIRA MAFRA"/>
    <n v="4639.26"/>
    <x v="7"/>
    <x v="7"/>
    <s v=""/>
    <x v="5"/>
    <s v="DH"/>
    <s v="CUSTO MÃO DE OBRA DIRETA"/>
    <s v="RAFAEL"/>
  </r>
  <r>
    <n v="200164"/>
    <s v="LAY"/>
    <s v="PGTO0426"/>
    <x v="7"/>
    <s v="ANDRE FELIPE CARDOSO CANGUÇÚ"/>
    <n v="2282.58"/>
    <x v="18"/>
    <x v="18"/>
    <s v=""/>
    <x v="7"/>
    <s v="DH"/>
    <n v="0"/>
    <s v="RAFAEL"/>
  </r>
  <r>
    <n v="200165"/>
    <s v="LAY"/>
    <s v="PGTO0426"/>
    <x v="7"/>
    <s v="ANDREIA APARECIDA DE OLIVEIRA DUARTE"/>
    <n v="2321.3000000000002"/>
    <x v="7"/>
    <x v="7"/>
    <s v=""/>
    <x v="5"/>
    <s v="DH"/>
    <s v="CUSTO MÃO DE OBRA DIRETA"/>
    <s v="RAFAEL"/>
  </r>
  <r>
    <n v="200166"/>
    <s v="LAY"/>
    <s v="PGTO0426"/>
    <x v="7"/>
    <s v="ANDREIA CARULINA DE MORAES"/>
    <n v="2709.68"/>
    <x v="7"/>
    <x v="7"/>
    <s v=""/>
    <x v="5"/>
    <s v="DH"/>
    <s v="CUSTO MÃO DE OBRA DIRETA"/>
    <s v="RAFAEL"/>
  </r>
  <r>
    <n v="200167"/>
    <s v="LAY"/>
    <s v="PGTO0426"/>
    <x v="7"/>
    <s v="ANDREY ALMEIDA SILVA"/>
    <n v="4490.6099999999997"/>
    <x v="7"/>
    <x v="7"/>
    <s v=""/>
    <x v="5"/>
    <s v="DH"/>
    <s v="CUSTO MÃO DE OBRA DIRETA"/>
    <s v="RAFAEL"/>
  </r>
  <r>
    <n v="200168"/>
    <s v="LAY"/>
    <s v="PGTO0426"/>
    <x v="7"/>
    <s v="ANGELO BENTO PANTAROTTO JUNIOR"/>
    <n v="4031.14"/>
    <x v="7"/>
    <x v="7"/>
    <s v=""/>
    <x v="5"/>
    <s v="DH"/>
    <s v="CUSTO MÃO DE OBRA DIRETA"/>
    <s v="RAFAEL"/>
  </r>
  <r>
    <n v="200169"/>
    <s v="LAY"/>
    <s v="PGTO0426"/>
    <x v="7"/>
    <s v="ANTONIA ROSANGELA DE OLIVEIRA"/>
    <n v="2639.21"/>
    <x v="7"/>
    <x v="7"/>
    <s v=""/>
    <x v="5"/>
    <s v="DH"/>
    <s v="CUSTO MÃO DE OBRA DIRETA"/>
    <s v="RAFAEL"/>
  </r>
  <r>
    <n v="200170"/>
    <s v="LAY"/>
    <s v="PGTO0426"/>
    <x v="7"/>
    <s v="AURELIO HENRIQUE DE BORTOLI MOLLHOFF"/>
    <n v="2581.75"/>
    <x v="7"/>
    <x v="7"/>
    <s v=""/>
    <x v="5"/>
    <s v="DH"/>
    <s v="CUSTO MÃO DE OBRA DIRETA"/>
    <s v="RAFAEL"/>
  </r>
  <r>
    <n v="200171"/>
    <s v="LAY"/>
    <s v="PGTO0426"/>
    <x v="7"/>
    <s v="CINTIA VALERIA DE OLIVEIRA E OLIVEIRA"/>
    <n v="2051.96"/>
    <x v="7"/>
    <x v="7"/>
    <s v=""/>
    <x v="5"/>
    <s v="DH"/>
    <s v="CUSTO MÃO DE OBRA DIRETA"/>
    <s v="RAFAEL"/>
  </r>
  <r>
    <n v="200172"/>
    <s v="LAY"/>
    <s v="PGTO0426"/>
    <x v="7"/>
    <s v="CLAUDIO PEREZ GARCIA"/>
    <n v="2555.44"/>
    <x v="7"/>
    <x v="7"/>
    <s v=""/>
    <x v="5"/>
    <s v="DH"/>
    <s v="CUSTO MÃO DE OBRA DIRETA"/>
    <s v="RAFAEL"/>
  </r>
  <r>
    <n v="200173"/>
    <s v="LAY"/>
    <s v="PGTO0426"/>
    <x v="7"/>
    <s v="CLEIDE APARECIDA TRAZPADINI"/>
    <n v="3528.01"/>
    <x v="7"/>
    <x v="7"/>
    <s v=""/>
    <x v="5"/>
    <s v="DH"/>
    <s v="CUSTO MÃO DE OBRA DIRETA"/>
    <s v="RAFAEL"/>
  </r>
  <r>
    <n v="200174"/>
    <s v="LAY"/>
    <s v="PGTO0426"/>
    <x v="7"/>
    <s v="CLEITON PEREIRA SILVA"/>
    <n v="1402.67"/>
    <x v="7"/>
    <x v="7"/>
    <s v=""/>
    <x v="5"/>
    <s v="DH"/>
    <s v="CUSTO MÃO DE OBRA DIRETA"/>
    <s v="RAFAEL"/>
  </r>
  <r>
    <n v="200175"/>
    <s v="LAY"/>
    <s v="PGTO0426"/>
    <x v="7"/>
    <s v="CRISTIANE MARIANO MACHADO"/>
    <n v="2705.85"/>
    <x v="7"/>
    <x v="7"/>
    <s v=""/>
    <x v="5"/>
    <s v="DH"/>
    <s v="CUSTO MÃO DE OBRA DIRETA"/>
    <s v="RAFAEL"/>
  </r>
  <r>
    <n v="200176"/>
    <s v="LAY"/>
    <s v="PGTO0426"/>
    <x v="7"/>
    <s v="DEVANIR LEITE MORAES"/>
    <n v="3659.22"/>
    <x v="7"/>
    <x v="7"/>
    <s v=""/>
    <x v="5"/>
    <s v="DH"/>
    <s v="CUSTO MÃO DE OBRA DIRETA"/>
    <s v="RAFAEL"/>
  </r>
  <r>
    <n v="200177"/>
    <s v="LAY"/>
    <s v="PGTO0426"/>
    <x v="7"/>
    <s v="DIOGENES DE ARCANJO PRIETO"/>
    <n v="2947.99"/>
    <x v="7"/>
    <x v="7"/>
    <s v=""/>
    <x v="5"/>
    <s v="DH"/>
    <s v="CUSTO MÃO DE OBRA DIRETA"/>
    <s v="RAFAEL"/>
  </r>
  <r>
    <n v="200178"/>
    <s v="LAY"/>
    <s v="PGTO0426"/>
    <x v="7"/>
    <s v="DIOGO FERREIRA DOS SANTOS"/>
    <n v="3717.02"/>
    <x v="7"/>
    <x v="7"/>
    <s v=""/>
    <x v="5"/>
    <s v="DH"/>
    <s v="CUSTO MÃO DE OBRA DIRETA"/>
    <s v="RAFAEL"/>
  </r>
  <r>
    <n v="200179"/>
    <s v="LAY"/>
    <s v="PGTO0426"/>
    <x v="7"/>
    <s v="EDINEUZA DA SILVA"/>
    <n v="3123.53"/>
    <x v="7"/>
    <x v="7"/>
    <s v=""/>
    <x v="5"/>
    <s v="DH"/>
    <s v="CUSTO MÃO DE OBRA DIRETA"/>
    <s v="RAFAEL"/>
  </r>
  <r>
    <n v="200180"/>
    <s v="LAY"/>
    <s v="PGTO0426"/>
    <x v="7"/>
    <s v="ELENICE VIEIRA DOS SANTOS"/>
    <n v="1969.43"/>
    <x v="18"/>
    <x v="18"/>
    <s v=""/>
    <x v="7"/>
    <s v="DH"/>
    <n v="0"/>
    <s v="RAFAEL"/>
  </r>
  <r>
    <n v="200181"/>
    <s v="LAY"/>
    <s v="PGTO0426"/>
    <x v="7"/>
    <s v="ELLEN LETICIA  PORTELA GUSMÃO"/>
    <n v="2376.8200000000002"/>
    <x v="7"/>
    <x v="7"/>
    <s v=""/>
    <x v="5"/>
    <s v="DH"/>
    <s v="CUSTO MÃO DE OBRA DIRETA"/>
    <s v="RAFAEL"/>
  </r>
  <r>
    <n v="200182"/>
    <s v="LAY"/>
    <s v="PGTO0426"/>
    <x v="7"/>
    <s v="ERICO NATAN DA SILVA OLIVEIRA"/>
    <n v="1905.59"/>
    <x v="7"/>
    <x v="7"/>
    <s v=""/>
    <x v="5"/>
    <s v="DH"/>
    <s v="CUSTO MÃO DE OBRA DIRETA"/>
    <s v="RAFAEL"/>
  </r>
  <r>
    <n v="200183"/>
    <s v="LAY"/>
    <s v="PGTO0426"/>
    <x v="7"/>
    <s v="EUDES ALVES DE BARROS"/>
    <n v="3022.81"/>
    <x v="18"/>
    <x v="18"/>
    <s v=""/>
    <x v="7"/>
    <s v="DH"/>
    <n v="0"/>
    <s v="RAFAEL"/>
  </r>
  <r>
    <n v="200184"/>
    <s v="LAY"/>
    <s v="PGTO0426"/>
    <x v="7"/>
    <s v="FAGNER DA SILVA TOMACHESKI"/>
    <n v="3003.28"/>
    <x v="7"/>
    <x v="7"/>
    <s v=""/>
    <x v="5"/>
    <s v="DH"/>
    <s v="CUSTO MÃO DE OBRA DIRETA"/>
    <s v="RAFAEL"/>
  </r>
  <r>
    <n v="200185"/>
    <s v="LAY"/>
    <s v="PGTO0426"/>
    <x v="7"/>
    <s v="FLAVIO FERREIRA DOS SANTOS"/>
    <n v="4455.03"/>
    <x v="18"/>
    <x v="18"/>
    <s v=""/>
    <x v="7"/>
    <s v="DH"/>
    <n v="0"/>
    <s v="RAFAEL"/>
  </r>
  <r>
    <n v="200186"/>
    <s v="LAY"/>
    <s v="PGTO0426"/>
    <x v="7"/>
    <s v="GABRIEL CARLOS DA SILVA"/>
    <n v="2747.42"/>
    <x v="7"/>
    <x v="7"/>
    <s v=""/>
    <x v="5"/>
    <s v="DH"/>
    <s v="CUSTO MÃO DE OBRA DIRETA"/>
    <s v="RAFAEL"/>
  </r>
  <r>
    <n v="200187"/>
    <s v="LAY"/>
    <s v="PGTO0426"/>
    <x v="7"/>
    <s v="JESSICA DA SILVA MONTEIRO FERREIRA"/>
    <n v="1562.35"/>
    <x v="7"/>
    <x v="7"/>
    <s v=""/>
    <x v="5"/>
    <s v="DH"/>
    <s v="CUSTO MÃO DE OBRA DIRETA"/>
    <s v="RAFAEL"/>
  </r>
  <r>
    <n v="200188"/>
    <s v="LAY"/>
    <s v="PGTO0426"/>
    <x v="7"/>
    <s v="JOÃO OTAVIO NORONHA MARTINS"/>
    <n v="1384.37"/>
    <x v="61"/>
    <x v="61"/>
    <s v=""/>
    <x v="9"/>
    <s v="DH"/>
    <s v="CUSTO MÃO DE OBRA DIRETA"/>
    <s v="RAFAEL"/>
  </r>
  <r>
    <n v="200189"/>
    <s v="LAY"/>
    <s v="PGTO0426"/>
    <x v="7"/>
    <s v="JOAO PAULO APARECIDO DONER MACEDO"/>
    <n v="2866.45"/>
    <x v="7"/>
    <x v="7"/>
    <s v=""/>
    <x v="5"/>
    <s v="DH"/>
    <s v="CUSTO MÃO DE OBRA DIRETA"/>
    <s v="RAFAEL"/>
  </r>
  <r>
    <n v="200190"/>
    <s v="LAY"/>
    <s v="PGTO0426"/>
    <x v="7"/>
    <s v="JORDANA DENARDI DOS SANTOS CAVALCANTE"/>
    <n v="1793.23"/>
    <x v="7"/>
    <x v="7"/>
    <s v=""/>
    <x v="5"/>
    <s v="DH"/>
    <s v="CUSTO MÃO DE OBRA DIRETA"/>
    <s v="RAFAEL"/>
  </r>
  <r>
    <n v="200191"/>
    <s v="LAY"/>
    <s v="PGTO0426"/>
    <x v="7"/>
    <s v="JOSE RAIMUNDO ISIDORO BUENO"/>
    <n v="3382.62"/>
    <x v="7"/>
    <x v="7"/>
    <s v=""/>
    <x v="5"/>
    <s v="DH"/>
    <s v="CUSTO MÃO DE OBRA DIRETA"/>
    <s v="RAFAEL"/>
  </r>
  <r>
    <n v="200192"/>
    <s v="LAY"/>
    <s v="PGTO0426"/>
    <x v="7"/>
    <s v="JULIANA DA SILVA NARCISO"/>
    <n v="2313.86"/>
    <x v="18"/>
    <x v="18"/>
    <s v=""/>
    <x v="7"/>
    <s v="DH"/>
    <n v="0"/>
    <s v="RAFAEL"/>
  </r>
  <r>
    <n v="200193"/>
    <s v="LAY"/>
    <s v="PGTO0426"/>
    <x v="7"/>
    <s v="LEANDRO APARECIDO MIAZO"/>
    <n v="7140.76"/>
    <x v="18"/>
    <x v="18"/>
    <s v=""/>
    <x v="7"/>
    <s v="DH"/>
    <n v="0"/>
    <s v="RAFAEL"/>
  </r>
  <r>
    <n v="200194"/>
    <s v="LAY"/>
    <s v="PGTO0426"/>
    <x v="7"/>
    <s v="LEANDRO JOSE BOSSO"/>
    <n v="4133.32"/>
    <x v="18"/>
    <x v="18"/>
    <s v=""/>
    <x v="7"/>
    <s v="DH"/>
    <n v="0"/>
    <s v="RAFAEL"/>
  </r>
  <r>
    <n v="200195"/>
    <s v="LAY"/>
    <s v="PGTO0426"/>
    <x v="7"/>
    <s v="LUIZ FERNANDO SANCHES FACCI"/>
    <n v="3476.14"/>
    <x v="7"/>
    <x v="7"/>
    <s v=""/>
    <x v="5"/>
    <s v="DH"/>
    <s v="CUSTO MÃO DE OBRA DIRETA"/>
    <s v="RAFAEL"/>
  </r>
  <r>
    <n v="200196"/>
    <s v="LAY"/>
    <s v="PGTO0426"/>
    <x v="7"/>
    <s v="MAIELE APARECIDA CAMANHO"/>
    <n v="2951.55"/>
    <x v="61"/>
    <x v="61"/>
    <s v=""/>
    <x v="9"/>
    <s v="DH"/>
    <s v="CUSTO MÃO DE OBRA DIRETA"/>
    <s v="RAFAEL"/>
  </r>
  <r>
    <n v="200197"/>
    <s v="LAY"/>
    <s v="PGTO0426"/>
    <x v="7"/>
    <s v="MARCIO MARSOLA"/>
    <n v="3623.86"/>
    <x v="7"/>
    <x v="7"/>
    <s v=""/>
    <x v="5"/>
    <s v="DH"/>
    <s v="CUSTO MÃO DE OBRA DIRETA"/>
    <s v="RAFAEL"/>
  </r>
  <r>
    <n v="200198"/>
    <s v="LAY"/>
    <s v="PGTO0426"/>
    <x v="7"/>
    <s v="MARCOS ADRIANO GARCIA"/>
    <n v="3594.16"/>
    <x v="7"/>
    <x v="7"/>
    <s v=""/>
    <x v="5"/>
    <s v="DH"/>
    <s v="CUSTO MÃO DE OBRA DIRETA"/>
    <s v="RAFAEL"/>
  </r>
  <r>
    <n v="200199"/>
    <s v="LAY"/>
    <s v="PGTO0426"/>
    <x v="7"/>
    <s v="MATEUS CRUZ DE FREITAS"/>
    <n v="2944.73"/>
    <x v="7"/>
    <x v="7"/>
    <s v=""/>
    <x v="5"/>
    <s v="DH"/>
    <s v="CUSTO MÃO DE OBRA DIRETA"/>
    <s v="RAFAEL"/>
  </r>
  <r>
    <n v="200200"/>
    <s v="LAY"/>
    <s v="PGTO0426"/>
    <x v="7"/>
    <s v="PATRICIA PEREIRA DOS SANTOS DE OLIVEIRA"/>
    <n v="1671.37"/>
    <x v="7"/>
    <x v="7"/>
    <s v=""/>
    <x v="5"/>
    <s v="DH"/>
    <s v="CUSTO MÃO DE OBRA DIRETA"/>
    <s v="RAFAEL"/>
  </r>
  <r>
    <n v="200201"/>
    <s v="LAY"/>
    <s v="PGTO0426"/>
    <x v="7"/>
    <s v="PEDRO HENRIQUE RODRIGUES DOS SANTOS"/>
    <n v="2595.02"/>
    <x v="7"/>
    <x v="7"/>
    <s v=""/>
    <x v="5"/>
    <s v="DH"/>
    <s v="CUSTO MÃO DE OBRA DIRETA"/>
    <s v="RAFAEL"/>
  </r>
  <r>
    <n v="200202"/>
    <s v="LAY"/>
    <s v="PGTO0426"/>
    <x v="7"/>
    <s v="RAIMUNDO GONZAGA DA SILVA NETO"/>
    <n v="2278.17"/>
    <x v="18"/>
    <x v="18"/>
    <s v=""/>
    <x v="7"/>
    <s v="DH"/>
    <n v="0"/>
    <s v="RAFAEL"/>
  </r>
  <r>
    <n v="200203"/>
    <s v="LAY"/>
    <s v="PGTO0426"/>
    <x v="7"/>
    <s v="RENATA DE SOUZA FUMAGALLI TOMACHESKI"/>
    <n v="3020.03"/>
    <x v="7"/>
    <x v="7"/>
    <s v=""/>
    <x v="5"/>
    <s v="DH"/>
    <s v="CUSTO MÃO DE OBRA DIRETA"/>
    <s v="RAFAEL"/>
  </r>
  <r>
    <n v="200204"/>
    <s v="LAY"/>
    <s v="PGTO0426"/>
    <x v="7"/>
    <s v="RICARDO AUGUSTO PINTO DE SANTANA"/>
    <n v="3021.41"/>
    <x v="7"/>
    <x v="7"/>
    <s v=""/>
    <x v="5"/>
    <s v="DH"/>
    <s v="CUSTO MÃO DE OBRA DIRETA"/>
    <s v="RAFAEL"/>
  </r>
  <r>
    <n v="200205"/>
    <s v="LAY"/>
    <s v="PGTO0426"/>
    <x v="7"/>
    <s v="ROBERTO NOGAROTTO JUNIOR"/>
    <n v="3524.54"/>
    <x v="7"/>
    <x v="7"/>
    <s v=""/>
    <x v="5"/>
    <s v="DH"/>
    <s v="CUSTO MÃO DE OBRA DIRETA"/>
    <s v="RAFAEL"/>
  </r>
  <r>
    <n v="200206"/>
    <s v="LAY"/>
    <s v="PGTO0426"/>
    <x v="7"/>
    <s v="RODRIGO GONÇALVES BRIGANTINI"/>
    <n v="4056.65"/>
    <x v="7"/>
    <x v="7"/>
    <s v=""/>
    <x v="5"/>
    <s v="DH"/>
    <s v="CUSTO MÃO DE OBRA DIRETA"/>
    <s v="RAFAEL"/>
  </r>
  <r>
    <n v="200207"/>
    <s v="LAY"/>
    <s v="PGTO0426"/>
    <x v="7"/>
    <s v="RUTH FERNANDES FREITAS"/>
    <n v="2054.19"/>
    <x v="18"/>
    <x v="18"/>
    <s v=""/>
    <x v="7"/>
    <s v="DH"/>
    <n v="0"/>
    <s v="RAFAEL"/>
  </r>
  <r>
    <n v="200208"/>
    <s v="LAY"/>
    <s v="PGTO0426"/>
    <x v="7"/>
    <s v="SAULO JOSE PINTO DE SANTANA"/>
    <n v="3732.86"/>
    <x v="7"/>
    <x v="7"/>
    <s v=""/>
    <x v="5"/>
    <s v="DH"/>
    <s v="CUSTO MÃO DE OBRA DIRETA"/>
    <s v="RAFAEL"/>
  </r>
  <r>
    <n v="200209"/>
    <s v="LAY"/>
    <s v="PGTO0426"/>
    <x v="7"/>
    <s v="SIDNEI PEREIRA DA COSTA"/>
    <n v="1914.64"/>
    <x v="18"/>
    <x v="18"/>
    <s v=""/>
    <x v="7"/>
    <s v="DH"/>
    <n v="0"/>
    <s v="RAFAEL"/>
  </r>
  <r>
    <n v="200210"/>
    <s v="LAY"/>
    <s v="PGTO0426"/>
    <x v="7"/>
    <s v="SILVANA DA SILVA RAFAEL GARUZI"/>
    <n v="2447.44"/>
    <x v="7"/>
    <x v="7"/>
    <s v=""/>
    <x v="5"/>
    <s v="DH"/>
    <s v="CUSTO MÃO DE OBRA DIRETA"/>
    <s v="RAFAEL"/>
  </r>
  <r>
    <n v="200211"/>
    <s v="LAY"/>
    <s v="PGTO0426"/>
    <x v="7"/>
    <s v="VANDERLEI ALVES BATISTA"/>
    <n v="4633.41"/>
    <x v="18"/>
    <x v="18"/>
    <s v=""/>
    <x v="7"/>
    <s v="DH"/>
    <n v="0"/>
    <s v="RAFAEL"/>
  </r>
  <r>
    <n v="200212"/>
    <s v="LAY"/>
    <s v="PGTO0426"/>
    <x v="7"/>
    <s v="WILSON APARECIDO BOLETTE"/>
    <n v="2891.21"/>
    <x v="7"/>
    <x v="7"/>
    <s v=""/>
    <x v="5"/>
    <s v="DH"/>
    <s v="CUSTO MÃO DE OBRA DIRETA"/>
    <s v="RAFAEL"/>
  </r>
  <r>
    <n v="200213"/>
    <s v="LAY"/>
    <s v="PENSÃ0426"/>
    <x v="7"/>
    <s v="LEANDRO OLIVEIRA DA SILVA PANICIO "/>
    <n v="1061.73"/>
    <x v="61"/>
    <x v="61"/>
    <s v=""/>
    <x v="9"/>
    <s v="DH"/>
    <s v="CUSTO MÃO DE OBRA DIRETA"/>
    <s v="RAFAEL"/>
  </r>
  <r>
    <n v="200214"/>
    <s v="KAR"/>
    <s v="PGTO0426"/>
    <x v="7"/>
    <s v="ALISSON FACCIO FERREIRA"/>
    <n v="2395.33"/>
    <x v="7"/>
    <x v="7"/>
    <s v=""/>
    <x v="5"/>
    <s v="DH"/>
    <s v="CUSTO MÃO DE OBRA DIRETA"/>
    <s v="RAFAEL"/>
  </r>
  <r>
    <n v="200215"/>
    <s v="KAR"/>
    <s v="PGTO0426"/>
    <x v="7"/>
    <s v="ANDREY DE SOUZA LADISLAU"/>
    <n v="1263.06"/>
    <x v="7"/>
    <x v="7"/>
    <s v=""/>
    <x v="5"/>
    <s v="DH"/>
    <s v="CUSTO MÃO DE OBRA DIRETA"/>
    <s v="RAFAEL"/>
  </r>
  <r>
    <n v="200216"/>
    <s v="KAR"/>
    <s v="PGTO0426"/>
    <x v="7"/>
    <s v="ANGELA MARIA GIANINI ARROZIO CANGUSSU"/>
    <n v="3039.24"/>
    <x v="7"/>
    <x v="7"/>
    <s v=""/>
    <x v="5"/>
    <s v="DH"/>
    <s v="CUSTO MÃO DE OBRA DIRETA"/>
    <s v="RAFAEL"/>
  </r>
  <r>
    <n v="200217"/>
    <s v="KAR"/>
    <s v="PGTO0426"/>
    <x v="7"/>
    <s v="AYSLAN OLIVEIRA FREITAS_x0009__x0009__x0009__x0009__x0009_"/>
    <n v="1835.61"/>
    <x v="61"/>
    <x v="61"/>
    <s v=""/>
    <x v="9"/>
    <s v="DH"/>
    <s v="CUSTO MÃO DE OBRA DIRETA"/>
    <s v="RAFAEL"/>
  </r>
  <r>
    <n v="200218"/>
    <s v="KAR"/>
    <s v="PGTO0426"/>
    <x v="7"/>
    <s v="BRENDA GABRIELA MUNIS BECK"/>
    <n v="2991.95"/>
    <x v="18"/>
    <x v="18"/>
    <s v=""/>
    <x v="7"/>
    <s v="DH"/>
    <n v="0"/>
    <s v="RAFAEL"/>
  </r>
  <r>
    <n v="200219"/>
    <s v="KAR"/>
    <s v="PGTO0426"/>
    <x v="7"/>
    <s v="BRUNO CÉSAR RODRIGUES"/>
    <n v="3633.18"/>
    <x v="7"/>
    <x v="7"/>
    <s v=""/>
    <x v="5"/>
    <s v="DH"/>
    <s v="CUSTO MÃO DE OBRA DIRETA"/>
    <s v="RAFAEL"/>
  </r>
  <r>
    <n v="200220"/>
    <s v="KAR"/>
    <s v="PGTO0426"/>
    <x v="7"/>
    <s v="BRUNO RODA DOS SANTOS"/>
    <n v="4000.76"/>
    <x v="7"/>
    <x v="7"/>
    <s v=""/>
    <x v="5"/>
    <s v="DH"/>
    <s v="CUSTO MÃO DE OBRA DIRETA"/>
    <s v="RAFAEL"/>
  </r>
  <r>
    <n v="200221"/>
    <s v="KAR"/>
    <s v="PGTO0426"/>
    <x v="7"/>
    <s v="CAMILA GALÓCIO OLIVETTI"/>
    <n v="2425.4299999999998"/>
    <x v="61"/>
    <x v="61"/>
    <s v=""/>
    <x v="9"/>
    <s v="DH"/>
    <s v="CUSTO MÃO DE OBRA DIRETA"/>
    <s v="RAFAEL"/>
  </r>
  <r>
    <n v="200222"/>
    <s v="KAR"/>
    <s v="PGTO0426"/>
    <x v="7"/>
    <s v="CELIO ROBERTO GARCIA"/>
    <n v="3187.61"/>
    <x v="7"/>
    <x v="7"/>
    <s v=""/>
    <x v="5"/>
    <s v="DH"/>
    <s v="CUSTO MÃO DE OBRA DIRETA"/>
    <s v="RAFAEL"/>
  </r>
  <r>
    <n v="200223"/>
    <s v="KAR"/>
    <s v="PGTO0426"/>
    <x v="7"/>
    <s v="DANIEL BRUNNER TAVARES"/>
    <n v="3185.46"/>
    <x v="61"/>
    <x v="61"/>
    <s v=""/>
    <x v="9"/>
    <s v="DH"/>
    <s v="CUSTO MÃO DE OBRA DIRETA"/>
    <s v="RAFAEL"/>
  </r>
  <r>
    <n v="200224"/>
    <s v="KAR"/>
    <s v="PGTO0426"/>
    <x v="7"/>
    <s v="DANIEL RODRIGUES GALÓCIO"/>
    <n v="2563.88"/>
    <x v="7"/>
    <x v="7"/>
    <s v=""/>
    <x v="5"/>
    <s v="DH"/>
    <s v="CUSTO MÃO DE OBRA DIRETA"/>
    <s v="RAFAEL"/>
  </r>
  <r>
    <n v="200225"/>
    <s v="KAR"/>
    <s v="PGTO0426"/>
    <x v="7"/>
    <s v="DANIELLA GOUVEIA OCCULATE"/>
    <n v="2482.0500000000002"/>
    <x v="61"/>
    <x v="61"/>
    <s v=""/>
    <x v="9"/>
    <s v="DH"/>
    <s v="CUSTO MÃO DE OBRA DIRETA"/>
    <s v="RAFAEL"/>
  </r>
  <r>
    <n v="200226"/>
    <s v="KAR"/>
    <s v="PGTO0426"/>
    <x v="7"/>
    <s v="DEBORAH CRISTINA ARCANJO PRIETO"/>
    <n v="893.69"/>
    <x v="18"/>
    <x v="18"/>
    <s v=""/>
    <x v="7"/>
    <s v="DH"/>
    <n v="0"/>
    <s v="RAFAEL"/>
  </r>
  <r>
    <n v="200227"/>
    <s v="KAR"/>
    <s v="PGTO0426"/>
    <x v="7"/>
    <s v="ELVIS CESCATE"/>
    <n v="3307.79"/>
    <x v="7"/>
    <x v="7"/>
    <s v=""/>
    <x v="5"/>
    <s v="DH"/>
    <s v="CUSTO MÃO DE OBRA DIRETA"/>
    <s v="RAFAEL"/>
  </r>
  <r>
    <n v="200228"/>
    <s v="KAR"/>
    <s v="PGTO0426"/>
    <x v="7"/>
    <s v="ERNESTO GONÇALO"/>
    <n v="4408.75"/>
    <x v="18"/>
    <x v="18"/>
    <s v=""/>
    <x v="7"/>
    <s v="DH"/>
    <n v="0"/>
    <s v="RAFAEL"/>
  </r>
  <r>
    <n v="200229"/>
    <s v="KAR"/>
    <s v="PGTO0426"/>
    <x v="7"/>
    <s v="FABIANA DE QUEIROZ LOURO MORAES"/>
    <n v="1101.43"/>
    <x v="18"/>
    <x v="18"/>
    <s v=""/>
    <x v="7"/>
    <s v="DH"/>
    <n v="0"/>
    <s v="RAFAEL"/>
  </r>
  <r>
    <n v="200230"/>
    <s v="KAR"/>
    <s v="PGTO0426"/>
    <x v="7"/>
    <s v="FERNANDO CLEISON PERES"/>
    <n v="4326.3599999999997"/>
    <x v="7"/>
    <x v="7"/>
    <s v=""/>
    <x v="5"/>
    <s v="DH"/>
    <s v="CUSTO MÃO DE OBRA DIRETA"/>
    <s v="RAFAEL"/>
  </r>
  <r>
    <n v="200231"/>
    <s v="KAR"/>
    <s v="PGTO0426"/>
    <x v="7"/>
    <s v="GERLAN GALDINO DE ARAUJO"/>
    <n v="1851.14"/>
    <x v="7"/>
    <x v="7"/>
    <s v=""/>
    <x v="5"/>
    <s v="DH"/>
    <s v="CUSTO MÃO DE OBRA DIRETA"/>
    <s v="RAFAEL"/>
  </r>
  <r>
    <n v="200232"/>
    <s v="KAR"/>
    <s v="PGTO0426"/>
    <x v="7"/>
    <s v="GUSTAVO CORREA DA SILVA"/>
    <n v="2664.1"/>
    <x v="7"/>
    <x v="7"/>
    <s v=""/>
    <x v="5"/>
    <s v="DH"/>
    <s v="CUSTO MÃO DE OBRA DIRETA"/>
    <s v="RAFAEL"/>
  </r>
  <r>
    <n v="200233"/>
    <s v="KAR"/>
    <s v="PGTO0426"/>
    <x v="7"/>
    <s v="HERICA SOUSA VIEIRA"/>
    <n v="2042.86"/>
    <x v="7"/>
    <x v="7"/>
    <s v=""/>
    <x v="5"/>
    <s v="DH"/>
    <s v="CUSTO MÃO DE OBRA DIRETA"/>
    <s v="RAFAEL"/>
  </r>
  <r>
    <n v="200234"/>
    <s v="KAR"/>
    <s v="PGTO0426"/>
    <x v="7"/>
    <s v="ISAAC MIGUEL VIEIRA DA SILVA"/>
    <n v="849.01"/>
    <x v="18"/>
    <x v="18"/>
    <s v=""/>
    <x v="7"/>
    <s v="DH"/>
    <n v="0"/>
    <s v="RAFAEL"/>
  </r>
  <r>
    <n v="200235"/>
    <s v="KAR"/>
    <s v="PGTO0426"/>
    <x v="7"/>
    <s v="JOABE HENRIQUE DA SILVA DIAS"/>
    <n v="1990.48"/>
    <x v="7"/>
    <x v="7"/>
    <s v=""/>
    <x v="5"/>
    <s v="DH"/>
    <s v="CUSTO MÃO DE OBRA DIRETA"/>
    <s v="RAFAEL"/>
  </r>
  <r>
    <n v="200236"/>
    <s v="KAR"/>
    <s v="PGTO0426"/>
    <x v="7"/>
    <s v="JOAO MATEUS DA SILVA SANTOS"/>
    <n v="2069.06"/>
    <x v="7"/>
    <x v="7"/>
    <s v=""/>
    <x v="5"/>
    <s v="DH"/>
    <s v="CUSTO MÃO DE OBRA DIRETA"/>
    <s v="RAFAEL"/>
  </r>
  <r>
    <n v="200237"/>
    <s v="KAR"/>
    <s v="PGTO0426"/>
    <x v="7"/>
    <s v="LEANDRO JOAO DOS SANTOS"/>
    <n v="3425.67"/>
    <x v="7"/>
    <x v="7"/>
    <s v=""/>
    <x v="5"/>
    <s v="DH"/>
    <s v="CUSTO MÃO DE OBRA DIRETA"/>
    <s v="RAFAEL"/>
  </r>
  <r>
    <n v="200238"/>
    <s v="KAR"/>
    <s v="PGTO0426"/>
    <x v="7"/>
    <s v="LEONARDO DE MATTOS PERIGO"/>
    <n v="4011.49"/>
    <x v="61"/>
    <x v="61"/>
    <s v=""/>
    <x v="9"/>
    <s v="DH"/>
    <s v="CUSTO MÃO DE OBRA DIRETA"/>
    <s v="RAFAEL"/>
  </r>
  <r>
    <n v="200239"/>
    <s v="KAR"/>
    <s v="PGTO0426"/>
    <x v="7"/>
    <s v="LETICIA CRISTINA SA BARBOSA"/>
    <n v="4034.58"/>
    <x v="18"/>
    <x v="18"/>
    <s v=""/>
    <x v="7"/>
    <s v="DH"/>
    <n v="0"/>
    <s v="RAFAEL"/>
  </r>
  <r>
    <n v="200240"/>
    <s v="KAR"/>
    <s v="PGTO0426"/>
    <x v="7"/>
    <s v="MARA LUCIA DE LIMA MEDEIROS"/>
    <n v="1972.52"/>
    <x v="7"/>
    <x v="7"/>
    <s v=""/>
    <x v="5"/>
    <s v="DH"/>
    <s v="CUSTO MÃO DE OBRA DIRETA"/>
    <s v="RAFAEL"/>
  </r>
  <r>
    <n v="200241"/>
    <s v="KAR"/>
    <s v="PGTO0426"/>
    <x v="7"/>
    <s v="MARIA APARECIDA FACCIO FERREIRA"/>
    <n v="2021.85"/>
    <x v="7"/>
    <x v="7"/>
    <s v=""/>
    <x v="5"/>
    <s v="DH"/>
    <s v="CUSTO MÃO DE OBRA DIRETA"/>
    <s v="RAFAEL"/>
  </r>
  <r>
    <n v="200242"/>
    <s v="KAR"/>
    <s v="PGTO0426"/>
    <x v="7"/>
    <s v="MARIA DA PAZ DE SOUSA"/>
    <n v="411.69"/>
    <x v="7"/>
    <x v="7"/>
    <s v=""/>
    <x v="5"/>
    <s v="DH"/>
    <s v="CUSTO MÃO DE OBRA DIRETA"/>
    <s v="RAFAEL"/>
  </r>
  <r>
    <n v="200243"/>
    <s v="KAR"/>
    <s v="PGTO0426"/>
    <x v="7"/>
    <s v="MARIA EDUARDA GOMES MARTIN LOPES"/>
    <n v="1986.28"/>
    <x v="18"/>
    <x v="18"/>
    <s v=""/>
    <x v="7"/>
    <s v="DH"/>
    <n v="0"/>
    <s v="RAFAEL"/>
  </r>
  <r>
    <n v="200244"/>
    <s v="KAR"/>
    <s v="PGTO0426"/>
    <x v="7"/>
    <s v="MARIA EDUARDA SANCHES DA SILVA"/>
    <n v="2457.19"/>
    <x v="18"/>
    <x v="18"/>
    <s v=""/>
    <x v="7"/>
    <s v="DH"/>
    <n v="0"/>
    <s v="RAFAEL"/>
  </r>
  <r>
    <n v="200245"/>
    <s v="KAR"/>
    <s v="PGTO0426"/>
    <x v="7"/>
    <s v="MATHEUS HENRIQUE FERVENÇA BRESCHI"/>
    <n v="2372.0500000000002"/>
    <x v="7"/>
    <x v="7"/>
    <s v=""/>
    <x v="5"/>
    <s v="DH"/>
    <s v="CUSTO MÃO DE OBRA DIRETA"/>
    <s v="RAFAEL"/>
  </r>
  <r>
    <n v="200246"/>
    <s v="KAR"/>
    <s v="PGTO0426"/>
    <x v="7"/>
    <s v="MURILO DE SOUSA CAETANO"/>
    <n v="2462.81"/>
    <x v="7"/>
    <x v="7"/>
    <s v=""/>
    <x v="5"/>
    <s v="DH"/>
    <s v="CUSTO MÃO DE OBRA DIRETA"/>
    <s v="RAFAEL"/>
  </r>
  <r>
    <n v="200247"/>
    <s v="KAR"/>
    <s v="PGTO0426"/>
    <x v="7"/>
    <s v="PRISCILA FERNANDES COSTA"/>
    <n v="2936.3"/>
    <x v="18"/>
    <x v="18"/>
    <s v=""/>
    <x v="7"/>
    <s v="DH"/>
    <n v="0"/>
    <s v="RAFAEL"/>
  </r>
  <r>
    <n v="200248"/>
    <s v="KAR"/>
    <s v="PGTO0426"/>
    <x v="7"/>
    <s v="QUEREN FRANCISCA DA SILVA"/>
    <n v="1221.6300000000001"/>
    <x v="7"/>
    <x v="7"/>
    <s v=""/>
    <x v="5"/>
    <s v="DH"/>
    <s v="CUSTO MÃO DE OBRA DIRETA"/>
    <s v="RAFAEL"/>
  </r>
  <r>
    <n v="200249"/>
    <s v="KAR"/>
    <s v="PGTO0426"/>
    <x v="7"/>
    <s v="SARAH NEVES DE OLIVEIRA BOLETE"/>
    <n v="2161"/>
    <x v="7"/>
    <x v="7"/>
    <s v=""/>
    <x v="5"/>
    <s v="DH"/>
    <s v="CUSTO MÃO DE OBRA DIRETA"/>
    <s v="RAFAEL"/>
  </r>
  <r>
    <n v="200250"/>
    <s v="KAR"/>
    <s v="PGTO0426"/>
    <x v="7"/>
    <s v="SUZIELE CRISTINA MARTINS CARDOSO"/>
    <n v="2000.16"/>
    <x v="7"/>
    <x v="7"/>
    <s v=""/>
    <x v="5"/>
    <s v="DH"/>
    <s v="CUSTO MÃO DE OBRA DIRETA"/>
    <s v="RAFAEL"/>
  </r>
  <r>
    <n v="200251"/>
    <s v="KAR"/>
    <s v="PGTO0426"/>
    <x v="7"/>
    <s v="THAIS LOUZADA DA SILVA"/>
    <n v="2696.14"/>
    <x v="18"/>
    <x v="18"/>
    <s v=""/>
    <x v="7"/>
    <s v="DH"/>
    <n v="0"/>
    <s v="RAFAEL"/>
  </r>
  <r>
    <n v="200252"/>
    <s v="KAR"/>
    <s v="PGTO0426"/>
    <x v="7"/>
    <s v="VINICIUS CARVALHO DE SENA"/>
    <n v="2006.81"/>
    <x v="7"/>
    <x v="7"/>
    <s v=""/>
    <x v="5"/>
    <s v="DH"/>
    <s v="CUSTO MÃO DE OBRA DIRETA"/>
    <s v="RAFAEL"/>
  </r>
  <r>
    <n v="200253"/>
    <s v="KAR"/>
    <s v="7110204"/>
    <x v="112"/>
    <s v="BANCO SICREDI"/>
    <n v="7.11"/>
    <x v="28"/>
    <x v="28"/>
    <s v=""/>
    <x v="8"/>
    <s v="FINANCEIRO"/>
    <n v="0"/>
    <s v="LETÍCIA"/>
  </r>
  <r>
    <n v="200254"/>
    <s v="LAY"/>
    <s v="2370204"/>
    <x v="112"/>
    <s v="BANCO SICREDI"/>
    <n v="2.37"/>
    <x v="28"/>
    <x v="28"/>
    <s v=""/>
    <x v="8"/>
    <s v="FINANCEIRO"/>
    <n v="0"/>
    <s v="LETÍCIA"/>
  </r>
  <r>
    <n v="200255"/>
    <s v="LAY"/>
    <s v="297"/>
    <x v="110"/>
    <s v="BANCO SICREDI"/>
    <n v="2.97"/>
    <x v="27"/>
    <x v="27"/>
    <s v=""/>
    <x v="8"/>
    <s v="FINANCEIRO"/>
    <n v="0"/>
    <s v="LETÍCIA"/>
  </r>
  <r>
    <n v="200256"/>
    <s v="KOY"/>
    <s v="0790204"/>
    <x v="112"/>
    <s v="BANCO SICREDI"/>
    <n v="0.79"/>
    <x v="28"/>
    <x v="28"/>
    <s v=""/>
    <x v="8"/>
    <s v="FINANCEIRO"/>
    <n v="0"/>
    <s v="LETÍCIA"/>
  </r>
  <r>
    <n v="200257"/>
    <s v="KAR"/>
    <s v="095020402"/>
    <x v="112"/>
    <s v="BANCO SICREDI"/>
    <n v="0.95"/>
    <x v="28"/>
    <x v="28"/>
    <s v=""/>
    <x v="8"/>
    <s v="FINANCEIRO"/>
    <n v="0"/>
    <s v="LETÍCIA"/>
  </r>
  <r>
    <n v="200258"/>
    <s v="FK"/>
    <s v="PET0404A"/>
    <x v="110"/>
    <s v="ACT GUIRELLI"/>
    <n v="112"/>
    <x v="46"/>
    <x v="46"/>
    <s v=""/>
    <x v="9"/>
    <s v="MANUTENÇÃO / TI"/>
    <n v="0"/>
    <s v="FÁBIO"/>
  </r>
  <r>
    <n v="200259"/>
    <s v="FK"/>
    <s v="ITA020426"/>
    <x v="112"/>
    <s v="M.A. DOS SANTOS NASCIMENTO"/>
    <n v="120"/>
    <x v="64"/>
    <x v="64"/>
    <s v=""/>
    <x v="4"/>
    <s v="FINANCEIRO"/>
    <n v="0"/>
    <s v="MYLENA"/>
  </r>
  <r>
    <n v="200260"/>
    <s v="FK"/>
    <s v="MIQ060426"/>
    <x v="110"/>
    <s v="DIAS &amp; LIU LTDA. - ME"/>
    <n v="85"/>
    <x v="16"/>
    <x v="16"/>
    <s v=""/>
    <x v="7"/>
    <s v="DH"/>
    <n v="0"/>
    <s v="MYLENA"/>
  </r>
  <r>
    <n v="200262"/>
    <s v="FK"/>
    <s v="321871"/>
    <x v="112"/>
    <s v="DUARTE &amp; BALIONI LTDA."/>
    <n v="26.7"/>
    <x v="64"/>
    <x v="64"/>
    <s v=""/>
    <x v="4"/>
    <s v="FINANCEIRO"/>
    <n v="0"/>
    <s v="MYLENA"/>
  </r>
  <r>
    <n v="200263"/>
    <s v="FK"/>
    <s v="15CG0326"/>
    <x v="7"/>
    <s v="ERICO NATAN DA SILVA OLIVEIRA"/>
    <n v="675"/>
    <x v="78"/>
    <x v="78"/>
    <s v=""/>
    <x v="6"/>
    <s v="LOGÍSTICA"/>
    <n v="0"/>
    <s v="MYLENA"/>
  </r>
  <r>
    <n v="200264"/>
    <s v="FK"/>
    <s v="15CG0326"/>
    <x v="7"/>
    <s v="MARCOS ADRIANO GARCIA"/>
    <n v="675"/>
    <x v="78"/>
    <x v="78"/>
    <s v=""/>
    <x v="6"/>
    <s v="LOGÍSTICA"/>
    <n v="0"/>
    <s v="MYLENA"/>
  </r>
  <r>
    <n v="200265"/>
    <s v="FK"/>
    <s v="15CG0326"/>
    <x v="7"/>
    <s v="ROBERTO NOGAROTTO JUNIOR"/>
    <n v="675"/>
    <x v="78"/>
    <x v="78"/>
    <s v=""/>
    <x v="6"/>
    <s v="LOGÍSTICA"/>
    <n v="0"/>
    <s v="MYLENA"/>
  </r>
  <r>
    <n v="200266"/>
    <s v="FK"/>
    <s v="1CG0326"/>
    <x v="7"/>
    <s v="ERICO NATAN DA SILVA OLIVEIRA"/>
    <n v="20"/>
    <x v="78"/>
    <x v="78"/>
    <s v=""/>
    <x v="6"/>
    <s v="LOGÍSTICA"/>
    <n v="0"/>
    <s v="MYLENA"/>
  </r>
  <r>
    <n v="200267"/>
    <s v="FK"/>
    <s v="1CG0326"/>
    <x v="7"/>
    <s v="MARCOS ADRIANO GARCIA"/>
    <n v="20"/>
    <x v="78"/>
    <x v="78"/>
    <s v=""/>
    <x v="6"/>
    <s v="LOGÍSTICA"/>
    <n v="0"/>
    <s v="MYLENA"/>
  </r>
  <r>
    <n v="200268"/>
    <s v="FK"/>
    <s v="2CG0326"/>
    <x v="7"/>
    <s v="VANDERLEI ALVES BATISTA"/>
    <n v="40"/>
    <x v="78"/>
    <x v="78"/>
    <s v=""/>
    <x v="6"/>
    <s v="LOGÍSTICA"/>
    <n v="0"/>
    <s v="MYLENA"/>
  </r>
  <r>
    <n v="200269"/>
    <s v="FK"/>
    <s v="4CG0326"/>
    <x v="7"/>
    <s v="ROBERTO NOGAROTTO JUNIOR"/>
    <n v="80"/>
    <x v="78"/>
    <x v="78"/>
    <s v=""/>
    <x v="6"/>
    <s v="LOGÍSTICA"/>
    <n v="0"/>
    <s v="MYLENA"/>
  </r>
  <r>
    <n v="200270"/>
    <s v="FK"/>
    <s v="6CG0326"/>
    <x v="7"/>
    <s v="JANIO DIMAS CONRADO"/>
    <n v="270"/>
    <x v="78"/>
    <x v="78"/>
    <s v=""/>
    <x v="6"/>
    <s v="LOGÍSTICA"/>
    <n v="0"/>
    <s v="MYLENA"/>
  </r>
  <r>
    <n v="200271"/>
    <s v="FK"/>
    <s v="9CG0326"/>
    <x v="7"/>
    <s v="VANDERLEI ALVES BATISTA"/>
    <n v="405"/>
    <x v="78"/>
    <x v="78"/>
    <s v=""/>
    <x v="6"/>
    <s v="LOGÍSTICA"/>
    <n v="0"/>
    <s v="MYLENA"/>
  </r>
  <r>
    <n v="200272"/>
    <s v="KAR"/>
    <s v="IRRF0426"/>
    <x v="7"/>
    <s v="DOCUMENTO DE ARRECADAÇAO DE RECEITA FEDERAL"/>
    <n v="10.11"/>
    <x v="87"/>
    <x v="87"/>
    <s v=""/>
    <x v="1"/>
    <s v="FINANCEIRO"/>
    <n v="0"/>
    <s v="LETÍCIA"/>
  </r>
  <r>
    <n v="200273"/>
    <s v="KAR"/>
    <s v="RETEN0426"/>
    <x v="7"/>
    <s v="DOCUMENTO DE ARRECADAÇAO DE RECEITA FEDERAL"/>
    <n v="1772.42"/>
    <x v="87"/>
    <x v="87"/>
    <s v=""/>
    <x v="1"/>
    <s v="FINANCEIRO"/>
    <n v="0"/>
    <s v="LETÍCIA"/>
  </r>
  <r>
    <n v="200274"/>
    <s v="KAR"/>
    <s v="ICMS0426"/>
    <x v="7"/>
    <s v="GUIA DE RECOLHIMENTO DO PARANA"/>
    <n v="38738.720000000001"/>
    <x v="85"/>
    <x v="85"/>
    <s v=""/>
    <x v="1"/>
    <s v="FINANCEIRO"/>
    <n v="0"/>
    <s v="LETÍCIA"/>
  </r>
  <r>
    <n v="200275"/>
    <s v="KAR"/>
    <s v="COFI 0426"/>
    <x v="7"/>
    <s v="DOCUMENTO DE ARRECADAÇAO DE RECEITA FEDERAL"/>
    <n v="15906.25"/>
    <x v="95"/>
    <x v="95"/>
    <s v=""/>
    <x v="1"/>
    <s v="FINANCEIRO"/>
    <n v="0"/>
    <s v="LETÍCIA"/>
  </r>
  <r>
    <n v="200276"/>
    <s v="KAR"/>
    <s v="CES060426"/>
    <x v="110"/>
    <s v="BANCO SICREDI"/>
    <n v="239.67"/>
    <x v="27"/>
    <x v="27"/>
    <s v=""/>
    <x v="8"/>
    <s v="FINANCEIRO"/>
    <n v="0"/>
    <s v="LETÍCIA"/>
  </r>
  <r>
    <n v="200277"/>
    <s v="KAR"/>
    <s v="PIS 0426"/>
    <x v="7"/>
    <s v="DOCUMENTO DE ARRECADAÇAO DE RECEITA FEDERAL"/>
    <n v="3431.3"/>
    <x v="94"/>
    <x v="94"/>
    <s v=""/>
    <x v="1"/>
    <s v="FINANCEIRO"/>
    <n v="0"/>
    <s v="LETÍCIA"/>
  </r>
  <r>
    <n v="200278"/>
    <s v="KAR"/>
    <s v="IPI 0426"/>
    <x v="7"/>
    <s v="DOCUMENTO DE ARRECADAÇAO DE RECEITA FEDERAL"/>
    <n v="22197.7"/>
    <x v="86"/>
    <x v="86"/>
    <s v=""/>
    <x v="1"/>
    <s v="FINANCEIRO"/>
    <n v="0"/>
    <s v="LETÍCIA"/>
  </r>
  <r>
    <n v="200279"/>
    <s v="KOY"/>
    <s v="DAS0426"/>
    <x v="7"/>
    <s v="SIMPLES NACIONAL"/>
    <n v="40651.730000000003"/>
    <x v="88"/>
    <x v="88"/>
    <s v=""/>
    <x v="1"/>
    <s v="FINANCEIRO"/>
    <n v="0"/>
    <s v="LETÍCIA"/>
  </r>
  <r>
    <n v="200280"/>
    <s v="KOY"/>
    <s v="ICMSD0426"/>
    <x v="7"/>
    <s v="GUIA DE RECOLHIMENTO DO PARANA"/>
    <n v="138.68"/>
    <x v="85"/>
    <x v="85"/>
    <s v=""/>
    <x v="1"/>
    <s v="FINANCEIRO"/>
    <n v="0"/>
    <s v="LETÍCIA"/>
  </r>
  <r>
    <n v="200281"/>
    <s v="KOY"/>
    <s v="ICMSA0426"/>
    <x v="7"/>
    <s v="GUIA DE RECOLHIMENTO DO PARANA"/>
    <n v="179.66"/>
    <x v="85"/>
    <x v="85"/>
    <s v=""/>
    <x v="1"/>
    <s v="FINANCEIRO"/>
    <n v="0"/>
    <s v="LETÍCIA"/>
  </r>
  <r>
    <n v="200282"/>
    <s v="LAY"/>
    <s v="DAS0426"/>
    <x v="7"/>
    <s v="SIMPLES NACIONAL"/>
    <n v="40512.76"/>
    <x v="88"/>
    <x v="88"/>
    <s v=""/>
    <x v="1"/>
    <s v="FINANCEIRO"/>
    <n v="0"/>
    <s v="LETÍCIA"/>
  </r>
  <r>
    <n v="200283"/>
    <s v="LAY"/>
    <s v="IRRF0426"/>
    <x v="7"/>
    <s v="DOCUMENTO DE ARRECADAÇAO DE RECEITA FEDERAL"/>
    <n v="10.1"/>
    <x v="87"/>
    <x v="87"/>
    <s v=""/>
    <x v="1"/>
    <s v="FINANCEIRO"/>
    <n v="0"/>
    <s v="LETÍCIA"/>
  </r>
  <r>
    <n v="200284"/>
    <s v="KAR"/>
    <s v="225500965"/>
    <x v="9"/>
    <s v="COPEL DISTRIBUICAO S.A"/>
    <n v="8554.02"/>
    <x v="36"/>
    <x v="36"/>
    <s v=""/>
    <x v="5"/>
    <s v="PRODUÇÃO"/>
    <n v="0"/>
    <s v="RAFAEL"/>
  </r>
  <r>
    <n v="200285"/>
    <s v="KAR"/>
    <s v="CET0604"/>
    <x v="110"/>
    <s v="BANCO SICREDI"/>
    <n v="4351.7299999999996"/>
    <x v="29"/>
    <x v="29"/>
    <s v=""/>
    <x v="8"/>
    <s v="FINANCEIRO"/>
    <n v="0"/>
    <s v="LETÍCIA"/>
  </r>
  <r>
    <n v="200286"/>
    <s v="KAR"/>
    <s v="70443"/>
    <x v="110"/>
    <s v="BANCO SICREDI"/>
    <n v="704.43"/>
    <x v="27"/>
    <x v="27"/>
    <s v=""/>
    <x v="8"/>
    <s v="FINANCEIRO"/>
    <n v="0"/>
    <s v="LETÍCIA"/>
  </r>
  <r>
    <n v="200287"/>
    <s v="KAR"/>
    <s v="53727"/>
    <x v="110"/>
    <s v="BANCO SICREDI"/>
    <n v="537.27"/>
    <x v="27"/>
    <x v="27"/>
    <s v=""/>
    <x v="8"/>
    <s v="FINANCEIRO"/>
    <n v="0"/>
    <s v="LETÍCIA"/>
  </r>
  <r>
    <n v="200288"/>
    <s v="FK"/>
    <s v="SILV0204"/>
    <x v="110"/>
    <s v="SILVIA COLLI JORDÃO PRESTES"/>
    <n v="141.76"/>
    <x v="23"/>
    <x v="23"/>
    <s v=""/>
    <x v="6"/>
    <s v="COMERCIAL"/>
    <n v="0"/>
    <s v="LETÍCIA"/>
  </r>
  <r>
    <n v="200290"/>
    <s v="KAR"/>
    <s v="172219"/>
    <x v="18"/>
    <s v="ROTAEXATA SOFTWARE LTDA"/>
    <n v="111"/>
    <x v="19"/>
    <x v="19"/>
    <s v=""/>
    <x v="4"/>
    <s v="LOGÍSTICA"/>
    <n v="0"/>
    <s v="MYLENA"/>
  </r>
  <r>
    <n v="200291"/>
    <s v="FK"/>
    <s v="RASTRADOR"/>
    <x v="18"/>
    <s v="ROTAEXATA SOFTWARE LTDA"/>
    <n v="259"/>
    <x v="19"/>
    <x v="19"/>
    <s v=""/>
    <x v="4"/>
    <s v="LOGÍSTICA"/>
    <n v="0"/>
    <s v="MYLENA"/>
  </r>
  <r>
    <n v="200292"/>
    <s v="FK"/>
    <s v="SILVI0104"/>
    <x v="110"/>
    <s v="M.A. DOS SANTOS NASCIMENTO"/>
    <n v="79"/>
    <x v="23"/>
    <x v="23"/>
    <s v=""/>
    <x v="6"/>
    <s v="COMERCIAL"/>
    <n v="0"/>
    <s v="LETÍCIA"/>
  </r>
  <r>
    <n v="200293"/>
    <s v="KAR"/>
    <s v="27650604"/>
    <x v="110"/>
    <s v="BANCO SICREDI"/>
    <n v="27.65"/>
    <x v="28"/>
    <x v="28"/>
    <s v=""/>
    <x v="8"/>
    <s v="FINANCEIRO"/>
    <n v="0"/>
    <s v="LETÍCIA"/>
  </r>
  <r>
    <n v="200294"/>
    <s v="LAY"/>
    <s v="10270604"/>
    <x v="110"/>
    <s v="BANCO SICREDI"/>
    <n v="10.27"/>
    <x v="28"/>
    <x v="28"/>
    <s v=""/>
    <x v="8"/>
    <s v="FINANCEIRO"/>
    <n v="0"/>
    <s v="LETÍCIA"/>
  </r>
  <r>
    <n v="200295"/>
    <s v="KOY"/>
    <s v="5530604"/>
    <x v="110"/>
    <s v="BANCO SICREDI"/>
    <n v="5.53"/>
    <x v="28"/>
    <x v="28"/>
    <s v=""/>
    <x v="8"/>
    <s v="FINANCEIRO"/>
    <n v="0"/>
    <s v="LETÍCIA"/>
  </r>
  <r>
    <n v="200296"/>
    <s v="FK"/>
    <s v="3800604"/>
    <x v="110"/>
    <s v="BANCO SICREDI"/>
    <n v="3.8"/>
    <x v="28"/>
    <x v="28"/>
    <s v=""/>
    <x v="8"/>
    <s v="FINANCEIRO"/>
    <n v="0"/>
    <s v="LETÍCIA"/>
  </r>
  <r>
    <n v="200297"/>
    <s v="KAR"/>
    <s v="CET0704"/>
    <x v="24"/>
    <s v="BANCO SICREDI"/>
    <n v="2614.89"/>
    <x v="29"/>
    <x v="29"/>
    <s v=""/>
    <x v="8"/>
    <s v="FINANCEIRO"/>
    <n v="0"/>
    <s v="LETÍCIA"/>
  </r>
  <r>
    <n v="200298"/>
    <s v="KAR"/>
    <s v="45098"/>
    <x v="24"/>
    <s v="BANCO SICREDI"/>
    <n v="450.98"/>
    <x v="27"/>
    <x v="27"/>
    <s v=""/>
    <x v="8"/>
    <s v="FINANCEIRO"/>
    <n v="0"/>
    <s v="LETÍCIA"/>
  </r>
  <r>
    <n v="200299"/>
    <s v="KAR"/>
    <s v="84597"/>
    <x v="24"/>
    <s v="BANCO SICREDI"/>
    <n v="845.97"/>
    <x v="27"/>
    <x v="27"/>
    <s v=""/>
    <x v="8"/>
    <s v="FINANCEIRO"/>
    <n v="0"/>
    <s v="LETÍCIA"/>
  </r>
  <r>
    <n v="200300"/>
    <s v="FK"/>
    <s v="ACA0804"/>
    <x v="24"/>
    <s v="MARCOS ACACIO VALERIO"/>
    <n v="620"/>
    <x v="30"/>
    <x v="30"/>
    <s v="MAQUINAS DE COSTURA"/>
    <x v="9"/>
    <s v="MANUTENÇÃO / TI"/>
    <n v="0"/>
    <s v="RAFAEL"/>
  </r>
  <r>
    <n v="200301"/>
    <s v="LAY"/>
    <s v="CET0704"/>
    <x v="24"/>
    <s v="BANCO SICREDI"/>
    <n v="1484.53"/>
    <x v="29"/>
    <x v="29"/>
    <s v=""/>
    <x v="8"/>
    <s v="FINANCEIRO"/>
    <n v="0"/>
    <s v="LETÍCIA"/>
  </r>
  <r>
    <n v="200302"/>
    <s v="LAY"/>
    <s v="23719"/>
    <x v="24"/>
    <s v="BANCO SICREDI"/>
    <n v="237.19"/>
    <x v="27"/>
    <x v="27"/>
    <s v=""/>
    <x v="8"/>
    <s v="FINANCEIRO"/>
    <n v="0"/>
    <s v="LETÍCIA"/>
  </r>
  <r>
    <n v="200303"/>
    <s v="LAY"/>
    <s v="17975"/>
    <x v="24"/>
    <s v="BANCO SICREDI"/>
    <n v="179.75"/>
    <x v="27"/>
    <x v="27"/>
    <s v=""/>
    <x v="8"/>
    <s v="FINANCEIRO"/>
    <n v="0"/>
    <s v="LETÍCIA"/>
  </r>
  <r>
    <n v="200304"/>
    <s v="KAR"/>
    <s v="29"/>
    <x v="24"/>
    <s v="GABRIELA VALENTINA GIL ROJAS"/>
    <n v="6500"/>
    <x v="47"/>
    <x v="47"/>
    <s v=""/>
    <x v="6"/>
    <s v="COMERCIAL"/>
    <n v="0"/>
    <s v="LETÍCIA"/>
  </r>
  <r>
    <n v="200305"/>
    <s v="KAR"/>
    <s v="01-31MA26"/>
    <x v="7"/>
    <s v="MARIA EMILIA RODRIGUES SILVA"/>
    <n v="139.31"/>
    <x v="77"/>
    <x v="77"/>
    <s v=""/>
    <x v="6"/>
    <s v="COMERCIAL"/>
    <n v="0"/>
    <s v="LETÍCIA"/>
  </r>
  <r>
    <n v="200307"/>
    <s v="KAR"/>
    <s v="01-31MA26"/>
    <x v="7"/>
    <s v="METTA WORKS DESING LTDA - ME"/>
    <n v="611.17999999999995"/>
    <x v="77"/>
    <x v="77"/>
    <s v=""/>
    <x v="6"/>
    <s v="COMERCIAL"/>
    <n v="0"/>
    <s v="LETÍCIA"/>
  </r>
  <r>
    <n v="200308"/>
    <s v="KAR"/>
    <s v="01-31MA26"/>
    <x v="7"/>
    <s v="SANTELLI COMERCIO DE ARTIGOS DE DECORACAO LTDA"/>
    <n v="9025.76"/>
    <x v="77"/>
    <x v="77"/>
    <s v=""/>
    <x v="6"/>
    <s v="COMERCIAL"/>
    <n v="0"/>
    <s v="LETÍCIA"/>
  </r>
  <r>
    <n v="200309"/>
    <s v="KAR"/>
    <s v="01-31MA26"/>
    <x v="7"/>
    <s v="GABRIEL ANTUNES HENKE CARRANO"/>
    <n v="212.79"/>
    <x v="77"/>
    <x v="77"/>
    <s v=""/>
    <x v="6"/>
    <s v="COMERCIAL"/>
    <n v="0"/>
    <s v="LETÍCIA"/>
  </r>
  <r>
    <n v="200310"/>
    <s v="KAR"/>
    <s v="01-31MA26"/>
    <x v="7"/>
    <s v="ESTUDIO DE DESIGN TIAGO CURIONI"/>
    <n v="141.35"/>
    <x v="77"/>
    <x v="77"/>
    <s v=""/>
    <x v="6"/>
    <s v="COMERCIAL"/>
    <n v="0"/>
    <s v="LETÍCIA"/>
  </r>
  <r>
    <n v="200311"/>
    <s v="KAR"/>
    <s v="01-31MA26"/>
    <x v="7"/>
    <s v="CARLOS ALEXANDRE ARRALDE ALVES"/>
    <n v="318"/>
    <x v="77"/>
    <x v="77"/>
    <s v=""/>
    <x v="6"/>
    <s v="COMERCIAL"/>
    <n v="0"/>
    <s v="LETÍCIA"/>
  </r>
  <r>
    <n v="200313"/>
    <s v="KAR"/>
    <s v="01-31MA26"/>
    <x v="7"/>
    <s v="CONTRAPONTO DESIGN- SERVIÇOS DE DESIGN DE PRODUTOS"/>
    <n v="4269.93"/>
    <x v="77"/>
    <x v="77"/>
    <s v=""/>
    <x v="6"/>
    <s v="COMERCIAL"/>
    <n v="0"/>
    <s v="LETÍCIA"/>
  </r>
  <r>
    <n v="200315"/>
    <s v="KAR"/>
    <s v="01-31MA26"/>
    <x v="7"/>
    <s v="KLIVISSON DENNISON C. DOS SANTOS 06534931427"/>
    <n v="2388.11"/>
    <x v="77"/>
    <x v="77"/>
    <s v=""/>
    <x v="6"/>
    <s v="COMERCIAL"/>
    <n v="0"/>
    <s v="LETÍCIA"/>
  </r>
  <r>
    <n v="200317"/>
    <s v="KOY"/>
    <s v="01-31MA26"/>
    <x v="7"/>
    <s v="MOLLDE SERVIÇOS"/>
    <n v="2378.4299999999998"/>
    <x v="77"/>
    <x v="77"/>
    <s v=""/>
    <x v="6"/>
    <s v="COMERCIAL"/>
    <n v="0"/>
    <s v="LETÍCIA"/>
  </r>
  <r>
    <n v="200318"/>
    <s v="KOY"/>
    <s v="01-31MA26"/>
    <x v="7"/>
    <s v="SANTELLI COMERCIO DE ARTIGOS DE DECORACAO LTDA"/>
    <n v="776.09"/>
    <x v="77"/>
    <x v="77"/>
    <s v=""/>
    <x v="6"/>
    <s v="COMERCIAL"/>
    <n v="0"/>
    <s v="LETÍCIA"/>
  </r>
  <r>
    <n v="200319"/>
    <s v="KOY"/>
    <s v="01-31MA26"/>
    <x v="7"/>
    <s v="CONTRAPONTO DESIGN- SERVIÇOS DE DESIGN DE PRODUTOS"/>
    <n v="3663.34"/>
    <x v="77"/>
    <x v="77"/>
    <s v=""/>
    <x v="6"/>
    <s v="COMERCIAL"/>
    <n v="0"/>
    <s v="LETÍCIA"/>
  </r>
  <r>
    <n v="200320"/>
    <s v="KOY"/>
    <s v="01-31MA26"/>
    <x v="7"/>
    <s v="AMBOS ESTUDIO LTDA"/>
    <n v="3459.76"/>
    <x v="77"/>
    <x v="77"/>
    <s v=""/>
    <x v="6"/>
    <s v="COMERCIAL"/>
    <n v="0"/>
    <s v="LETÍCIA"/>
  </r>
  <r>
    <n v="200321"/>
    <s v="LAY"/>
    <s v="01-31MA26"/>
    <x v="7"/>
    <s v="MOLLDE SERVIÇOS"/>
    <n v="1737.36"/>
    <x v="77"/>
    <x v="77"/>
    <s v=""/>
    <x v="6"/>
    <s v="COMERCIAL"/>
    <n v="0"/>
    <s v="LETÍCIA"/>
  </r>
  <r>
    <n v="200322"/>
    <s v="LAY"/>
    <s v="01-31MA26"/>
    <x v="7"/>
    <s v="METTA WORKS DESING LTDA - ME"/>
    <n v="322.56"/>
    <x v="77"/>
    <x v="77"/>
    <s v=""/>
    <x v="6"/>
    <s v="COMERCIAL"/>
    <n v="0"/>
    <s v="LETÍCIA"/>
  </r>
  <r>
    <n v="200323"/>
    <s v="LAY"/>
    <s v="01-31MA26"/>
    <x v="7"/>
    <s v="SANTELLI COMERCIO DE ARTIGOS DE DECORACAO LTDA"/>
    <n v="1853.69"/>
    <x v="77"/>
    <x v="77"/>
    <s v=""/>
    <x v="6"/>
    <s v="COMERCIAL"/>
    <n v="0"/>
    <s v="LETÍCIA"/>
  </r>
  <r>
    <n v="200325"/>
    <s v="LAY"/>
    <s v="01-31MA26"/>
    <x v="7"/>
    <s v="KLIVISSON DENNISON C. DOS SANTOS 06534931427"/>
    <n v="207.4"/>
    <x v="77"/>
    <x v="77"/>
    <s v=""/>
    <x v="6"/>
    <s v="COMERCIAL"/>
    <n v="0"/>
    <s v="LETÍCIA"/>
  </r>
  <r>
    <n v="200327"/>
    <s v="LAY"/>
    <s v="01-31MA26"/>
    <x v="7"/>
    <s v="AMBOS ESTUDIO LTDA"/>
    <n v="195.27"/>
    <x v="77"/>
    <x v="77"/>
    <s v=""/>
    <x v="6"/>
    <s v="COMERCIAL"/>
    <n v="0"/>
    <s v="LETÍCIA"/>
  </r>
  <r>
    <n v="200328"/>
    <s v="KAR"/>
    <s v="01-31MA26"/>
    <x v="7"/>
    <s v="AMBOS ESTUDIO LTDA"/>
    <n v="777.57"/>
    <x v="77"/>
    <x v="77"/>
    <s v=""/>
    <x v="6"/>
    <s v="COMERCIAL"/>
    <n v="0"/>
    <s v="LETÍCIA"/>
  </r>
  <r>
    <n v="200329"/>
    <s v="KOY"/>
    <s v="01-31MA26"/>
    <x v="7"/>
    <s v="PIETRO LUIGI VERONA DESIGN LTDA"/>
    <n v="303.69"/>
    <x v="77"/>
    <x v="77"/>
    <s v=""/>
    <x v="6"/>
    <s v="COMERCIAL"/>
    <n v="0"/>
    <s v="LETÍCIA"/>
  </r>
  <r>
    <n v="200350"/>
    <s v="KAR"/>
    <s v="16-31MA26"/>
    <x v="24"/>
    <s v="ANA VERA ANDRADE CUNHA"/>
    <n v="1280.26"/>
    <x v="47"/>
    <x v="47"/>
    <s v=""/>
    <x v="6"/>
    <s v="COMERCIAL"/>
    <n v="0"/>
    <s v="LETÍCIA"/>
  </r>
  <r>
    <n v="200351"/>
    <s v="KAR"/>
    <s v="16-31MA26"/>
    <x v="24"/>
    <s v="BELA CASA REPRESENTAÇOES LTDA"/>
    <n v="1331.48"/>
    <x v="47"/>
    <x v="47"/>
    <s v=""/>
    <x v="6"/>
    <s v="COMERCIAL"/>
    <n v="0"/>
    <s v="LETÍCIA"/>
  </r>
  <r>
    <n v="200352"/>
    <s v="KAR"/>
    <s v="16-31MA26"/>
    <x v="24"/>
    <s v="ELAINE DE OLIVEIRA TESSARO"/>
    <n v="8715.49"/>
    <x v="47"/>
    <x v="47"/>
    <s v=""/>
    <x v="6"/>
    <s v="COMERCIAL"/>
    <n v="0"/>
    <s v="LETÍCIA"/>
  </r>
  <r>
    <n v="200353"/>
    <s v="KAR"/>
    <s v="16-31MA26"/>
    <x v="24"/>
    <s v="ILHA BELLA COM E REPRESENTAÇOES LTDA"/>
    <n v="2273.37"/>
    <x v="47"/>
    <x v="47"/>
    <s v=""/>
    <x v="6"/>
    <s v="COMERCIAL"/>
    <n v="0"/>
    <s v="LETÍCIA"/>
  </r>
  <r>
    <n v="200354"/>
    <s v="KAR"/>
    <s v="16-31MA26"/>
    <x v="24"/>
    <s v="JUAN JOSE IGLESIAS CARBALLO"/>
    <n v="492.21"/>
    <x v="47"/>
    <x v="47"/>
    <s v=""/>
    <x v="6"/>
    <s v="COMERCIAL"/>
    <n v="0"/>
    <s v="LETÍCIA"/>
  </r>
  <r>
    <n v="200355"/>
    <s v="KAR"/>
    <s v="16-31MA26"/>
    <x v="24"/>
    <s v="LIGHT REPRESENTAÇÕES LTDA"/>
    <n v="238.35"/>
    <x v="47"/>
    <x v="47"/>
    <s v=""/>
    <x v="6"/>
    <s v="COMERCIAL"/>
    <n v="0"/>
    <s v="LETÍCIA"/>
  </r>
  <r>
    <n v="200356"/>
    <s v="KAR"/>
    <s v="16-31MA26"/>
    <x v="24"/>
    <s v="MARTINS REPRESENTAÇÕES E VENDAS EIRELLI"/>
    <n v="3367.31"/>
    <x v="47"/>
    <x v="47"/>
    <s v=""/>
    <x v="6"/>
    <s v="COMERCIAL"/>
    <n v="0"/>
    <s v="LETÍCIA"/>
  </r>
  <r>
    <n v="200357"/>
    <s v="KAR"/>
    <s v="16-31MA26"/>
    <x v="24"/>
    <s v="PVJ REPRESENTAÇÕES LTDA"/>
    <n v="5352.09"/>
    <x v="47"/>
    <x v="47"/>
    <s v=""/>
    <x v="6"/>
    <s v="COMERCIAL"/>
    <n v="0"/>
    <s v="LETÍCIA"/>
  </r>
  <r>
    <n v="200358"/>
    <s v="KAR"/>
    <s v="16-31MA26"/>
    <x v="24"/>
    <s v="RICARDO CARVALHO DALANHOL"/>
    <n v="3686.34"/>
    <x v="47"/>
    <x v="47"/>
    <s v=""/>
    <x v="6"/>
    <s v="COMERCIAL"/>
    <n v="0"/>
    <s v="LETÍCIA"/>
  </r>
  <r>
    <n v="200359"/>
    <s v="FK"/>
    <s v="16-31MA26"/>
    <x v="24"/>
    <s v="ANA VERA ANDRADE CUNHA"/>
    <n v="220.98"/>
    <x v="47"/>
    <x v="47"/>
    <s v=""/>
    <x v="6"/>
    <s v="COMERCIAL"/>
    <n v="0"/>
    <s v="LETÍCIA"/>
  </r>
  <r>
    <n v="200360"/>
    <s v="FK"/>
    <s v="16-31MA26"/>
    <x v="24"/>
    <s v="ELAINE DE OLIVEIRA TESSARO"/>
    <n v="1314.91"/>
    <x v="47"/>
    <x v="47"/>
    <s v=""/>
    <x v="6"/>
    <s v="COMERCIAL"/>
    <n v="0"/>
    <s v="LETÍCIA"/>
  </r>
  <r>
    <n v="200361"/>
    <s v="FK"/>
    <s v="16-31MA26"/>
    <x v="24"/>
    <s v="ILHA BELLA COM E REPRESENTAÇOES LTDA"/>
    <n v="49.7"/>
    <x v="47"/>
    <x v="47"/>
    <s v=""/>
    <x v="6"/>
    <s v="COMERCIAL"/>
    <n v="0"/>
    <s v="LETÍCIA"/>
  </r>
  <r>
    <n v="200362"/>
    <s v="FK"/>
    <s v="16-31MA26"/>
    <x v="24"/>
    <s v="JUAN JOSE IGLESIAS CARBALLO"/>
    <n v="495.26"/>
    <x v="47"/>
    <x v="47"/>
    <s v=""/>
    <x v="6"/>
    <s v="COMERCIAL"/>
    <n v="0"/>
    <s v="LETÍCIA"/>
  </r>
  <r>
    <n v="200363"/>
    <s v="FK"/>
    <s v="16-31MA26"/>
    <x v="24"/>
    <s v="PVJ REPRESENTAÇÕES LTDA"/>
    <n v="872.49"/>
    <x v="47"/>
    <x v="47"/>
    <s v=""/>
    <x v="6"/>
    <s v="COMERCIAL"/>
    <n v="0"/>
    <s v="LETÍCIA"/>
  </r>
  <r>
    <n v="200364"/>
    <s v="FK"/>
    <s v="16-31MA26"/>
    <x v="24"/>
    <s v="RICARDO CARVALHO DALANHOL"/>
    <n v="916.08"/>
    <x v="47"/>
    <x v="47"/>
    <s v=""/>
    <x v="6"/>
    <s v="COMERCIAL"/>
    <n v="0"/>
    <s v="LETÍCIA"/>
  </r>
  <r>
    <n v="200365"/>
    <s v="KOY"/>
    <s v="16-31MA26"/>
    <x v="24"/>
    <s v="ANA VERA ANDRADE CUNHA"/>
    <n v="1045.27"/>
    <x v="47"/>
    <x v="47"/>
    <s v=""/>
    <x v="6"/>
    <s v="COMERCIAL"/>
    <n v="0"/>
    <s v="LETÍCIA"/>
  </r>
  <r>
    <n v="200366"/>
    <s v="KOY"/>
    <s v="16-31MA26"/>
    <x v="24"/>
    <s v="BELA CASA REPRESENTAÇOES LTDA"/>
    <n v="88.17"/>
    <x v="47"/>
    <x v="47"/>
    <s v=""/>
    <x v="6"/>
    <s v="COMERCIAL"/>
    <n v="0"/>
    <s v="LETÍCIA"/>
  </r>
  <r>
    <n v="200367"/>
    <s v="KOY"/>
    <s v="16-31MA26"/>
    <x v="24"/>
    <s v="ELAINE DE OLIVEIRA TESSARO"/>
    <n v="1838.11"/>
    <x v="47"/>
    <x v="47"/>
    <s v=""/>
    <x v="6"/>
    <s v="COMERCIAL"/>
    <n v="0"/>
    <s v="LETÍCIA"/>
  </r>
  <r>
    <n v="200368"/>
    <s v="KOY"/>
    <s v="16-31MA26"/>
    <x v="24"/>
    <s v="ILHA BELLA COM E REPRESENTAÇOES LTDA"/>
    <n v="1536.5"/>
    <x v="47"/>
    <x v="47"/>
    <s v=""/>
    <x v="6"/>
    <s v="COMERCIAL"/>
    <n v="0"/>
    <s v="LETÍCIA"/>
  </r>
  <r>
    <n v="200369"/>
    <s v="KOY"/>
    <s v="16-31MA26"/>
    <x v="24"/>
    <s v="JUAN JOSE IGLESIAS CARBALLO"/>
    <n v="850.38"/>
    <x v="47"/>
    <x v="47"/>
    <s v=""/>
    <x v="6"/>
    <s v="COMERCIAL"/>
    <n v="0"/>
    <s v="LETÍCIA"/>
  </r>
  <r>
    <n v="200370"/>
    <s v="KOY"/>
    <s v="16-31MA26"/>
    <x v="24"/>
    <s v="LIGHT REPRESENTAÇÕES LTDA"/>
    <n v="261.89999999999998"/>
    <x v="47"/>
    <x v="47"/>
    <s v=""/>
    <x v="6"/>
    <s v="COMERCIAL"/>
    <n v="0"/>
    <s v="LETÍCIA"/>
  </r>
  <r>
    <n v="200371"/>
    <s v="KOY"/>
    <s v="16-31MA26"/>
    <x v="24"/>
    <s v="PVJ REPRESENTAÇÕES LTDA"/>
    <n v="316.11"/>
    <x v="47"/>
    <x v="47"/>
    <s v=""/>
    <x v="6"/>
    <s v="COMERCIAL"/>
    <n v="0"/>
    <s v="LETÍCIA"/>
  </r>
  <r>
    <n v="200373"/>
    <s v="LAY"/>
    <s v="16-31MA26"/>
    <x v="24"/>
    <s v="BELA CASA REPRESENTAÇOES LTDA"/>
    <n v="769.75"/>
    <x v="47"/>
    <x v="47"/>
    <s v=""/>
    <x v="6"/>
    <s v="COMERCIAL"/>
    <n v="0"/>
    <s v="LETÍCIA"/>
  </r>
  <r>
    <n v="200374"/>
    <s v="LAY"/>
    <s v="16-31MA26"/>
    <x v="24"/>
    <s v="ELAINE DE OLIVEIRA TESSARO"/>
    <n v="1131.8900000000001"/>
    <x v="47"/>
    <x v="47"/>
    <s v=""/>
    <x v="6"/>
    <s v="COMERCIAL"/>
    <n v="0"/>
    <s v="LETÍCIA"/>
  </r>
  <r>
    <n v="200375"/>
    <s v="LAY"/>
    <s v="16-31MA26"/>
    <x v="24"/>
    <s v="ILHA BELLA COM E REPRESENTAÇOES LTDA"/>
    <n v="3261.27"/>
    <x v="47"/>
    <x v="47"/>
    <s v=""/>
    <x v="6"/>
    <s v="COMERCIAL"/>
    <n v="0"/>
    <s v="LETÍCIA"/>
  </r>
  <r>
    <n v="200376"/>
    <s v="LAY"/>
    <s v="16-31MA26"/>
    <x v="24"/>
    <s v="JUAN JOSE IGLESIAS CARBALLO"/>
    <n v="2649.49"/>
    <x v="47"/>
    <x v="47"/>
    <s v=""/>
    <x v="6"/>
    <s v="COMERCIAL"/>
    <n v="0"/>
    <s v="LETÍCIA"/>
  </r>
  <r>
    <n v="200377"/>
    <s v="LAY"/>
    <s v="16-31MA26"/>
    <x v="24"/>
    <s v="LIGHT REPRESENTAÇÕES LTDA"/>
    <n v="707.23"/>
    <x v="47"/>
    <x v="47"/>
    <s v=""/>
    <x v="6"/>
    <s v="COMERCIAL"/>
    <n v="0"/>
    <s v="LETÍCIA"/>
  </r>
  <r>
    <n v="200378"/>
    <s v="LAY"/>
    <s v="16-31MA26"/>
    <x v="24"/>
    <s v="MARTINS REPRESENTAÇÕES E VENDAS EIRELLI"/>
    <n v="304.01"/>
    <x v="47"/>
    <x v="47"/>
    <s v=""/>
    <x v="6"/>
    <s v="COMERCIAL"/>
    <n v="0"/>
    <s v="LETÍCIA"/>
  </r>
  <r>
    <n v="200379"/>
    <s v="LAY"/>
    <s v="16-31MA26"/>
    <x v="24"/>
    <s v="PVJ REPRESENTAÇÕES LTDA"/>
    <n v="1234.9000000000001"/>
    <x v="47"/>
    <x v="47"/>
    <s v=""/>
    <x v="6"/>
    <s v="COMERCIAL"/>
    <n v="0"/>
    <s v="LETÍCIA"/>
  </r>
  <r>
    <n v="200384"/>
    <s v="KAR"/>
    <s v="FGTS0426C"/>
    <x v="7"/>
    <s v="FUNDO DE GARANTIA POR TEMPO DE SERVIÇO"/>
    <n v="2353.4"/>
    <x v="80"/>
    <x v="80"/>
    <s v=""/>
    <x v="9"/>
    <s v="DH"/>
    <s v="CUSTO MÃO DE OBRA DIRETA"/>
    <s v="RAFAEL"/>
  </r>
  <r>
    <n v="200385"/>
    <s v="KAR"/>
    <s v="FGTS0426M"/>
    <x v="7"/>
    <s v="FUNDO DE GARANTIA POR TEMPO DE SERVIÇO"/>
    <n v="9106.11"/>
    <x v="81"/>
    <x v="81"/>
    <s v=""/>
    <x v="5"/>
    <s v="DH"/>
    <s v="CUSTO MÃO DE OBRA DIRETA"/>
    <s v="RAFAEL"/>
  </r>
  <r>
    <n v="200386"/>
    <s v="LAY"/>
    <s v="FGTS0426A"/>
    <x v="7"/>
    <s v="FUNDO DE GARANTIA POR TEMPO DE SERVIÇO"/>
    <n v="6064.41"/>
    <x v="79"/>
    <x v="79"/>
    <s v=""/>
    <x v="7"/>
    <s v="DH"/>
    <n v="0"/>
    <s v="RAFAEL"/>
  </r>
  <r>
    <n v="200387"/>
    <s v="LAY"/>
    <s v="FGTS0426C"/>
    <x v="7"/>
    <s v="FUNDO DE GARANTIA POR TEMPO DE SERVIÇO"/>
    <n v="2101.09"/>
    <x v="80"/>
    <x v="80"/>
    <s v=""/>
    <x v="9"/>
    <s v="DH"/>
    <s v="CUSTO MÃO DE OBRA DIRETA"/>
    <s v="RAFAEL"/>
  </r>
  <r>
    <n v="200388"/>
    <s v="LAY"/>
    <s v="FGTS0426M"/>
    <x v="7"/>
    <s v="FUNDO DE GARANTIA POR TEMPO DE SERVIÇO"/>
    <n v="22968.560000000001"/>
    <x v="81"/>
    <x v="81"/>
    <s v=""/>
    <x v="5"/>
    <s v="DH"/>
    <s v="CUSTO MÃO DE OBRA DIRETA"/>
    <s v="RAFAEL"/>
  </r>
  <r>
    <n v="200389"/>
    <s v="KOY"/>
    <s v="FGTS0426A"/>
    <x v="7"/>
    <s v="FUNDO DE GARANTIA POR TEMPO DE SERVIÇO"/>
    <n v="380.85"/>
    <x v="79"/>
    <x v="79"/>
    <s v=""/>
    <x v="7"/>
    <s v="DH"/>
    <n v="0"/>
    <s v="RAFAEL"/>
  </r>
  <r>
    <n v="200390"/>
    <s v="LAY"/>
    <s v="4740704"/>
    <x v="24"/>
    <s v="BANCO SICREDI"/>
    <n v="4.74"/>
    <x v="28"/>
    <x v="28"/>
    <s v=""/>
    <x v="8"/>
    <s v="FINANCEIRO"/>
    <n v="0"/>
    <s v="LETÍCIA"/>
  </r>
  <r>
    <n v="200392"/>
    <s v="KOY"/>
    <s v="FGTS0426C"/>
    <x v="7"/>
    <s v="FUNDO DE GARANTIA POR TEMPO DE SERVIÇO"/>
    <n v="581.19000000000005"/>
    <x v="80"/>
    <x v="80"/>
    <s v=""/>
    <x v="9"/>
    <s v="DH"/>
    <s v="CUSTO MÃO DE OBRA DIRETA"/>
    <s v="RAFAEL"/>
  </r>
  <r>
    <n v="200393"/>
    <s v="KOY"/>
    <s v="FGTS0426M"/>
    <x v="7"/>
    <s v="FUNDO DE GARANTIA POR TEMPO DE SERVIÇO"/>
    <n v="3794.97"/>
    <x v="81"/>
    <x v="81"/>
    <s v=""/>
    <x v="5"/>
    <s v="DH"/>
    <s v="CUSTO MÃO DE OBRA DIRETA"/>
    <s v="RAFAEL"/>
  </r>
  <r>
    <n v="200394"/>
    <s v="KOY"/>
    <s v="INSS0426A"/>
    <x v="7"/>
    <s v="GUIA DA PREVIDENCIA SOCIAL"/>
    <n v="736.43"/>
    <x v="67"/>
    <x v="67"/>
    <s v=""/>
    <x v="7"/>
    <s v="DH"/>
    <n v="0"/>
    <s v="RAFAEL"/>
  </r>
  <r>
    <n v="200395"/>
    <s v="KOY"/>
    <s v="INSS0426C"/>
    <x v="7"/>
    <s v="GUIA DA PREVIDENCIA SOCIAL"/>
    <n v="671.21"/>
    <x v="82"/>
    <x v="82"/>
    <s v=""/>
    <x v="9"/>
    <s v="DH"/>
    <s v="CUSTO MÃO DE OBRA DIRETA"/>
    <s v="RAFAEL"/>
  </r>
  <r>
    <n v="200396"/>
    <s v="KOY"/>
    <s v="INSS0426M"/>
    <x v="7"/>
    <s v="GUIA DA PREVIDENCIA SOCIAL"/>
    <n v="3188.43"/>
    <x v="83"/>
    <x v="83"/>
    <s v=""/>
    <x v="5"/>
    <s v="DH"/>
    <s v="CUSTO MÃO DE OBRA DIRETA"/>
    <s v="RAFAEL"/>
  </r>
  <r>
    <n v="200397"/>
    <s v="KAR"/>
    <s v="12640704"/>
    <x v="24"/>
    <s v="BANCO SICREDI"/>
    <n v="12.64"/>
    <x v="28"/>
    <x v="28"/>
    <s v=""/>
    <x v="8"/>
    <s v="FINANCEIRO"/>
    <n v="0"/>
    <s v="LETÍCIA"/>
  </r>
  <r>
    <n v="200398"/>
    <s v="KAR"/>
    <s v="5310804"/>
    <x v="87"/>
    <s v="BANCO SICREDI"/>
    <n v="5.31"/>
    <x v="27"/>
    <x v="27"/>
    <s v=""/>
    <x v="8"/>
    <s v="FINANCEIRO"/>
    <n v="0"/>
    <s v="LETÍCIA"/>
  </r>
  <r>
    <n v="200399"/>
    <s v="LAY"/>
    <s v="INSS0426A"/>
    <x v="7"/>
    <s v="GUIA DA PREVIDENCIA SOCIAL"/>
    <n v="7695.87"/>
    <x v="67"/>
    <x v="67"/>
    <s v=""/>
    <x v="7"/>
    <s v="DH"/>
    <n v="0"/>
    <s v="RAFAEL"/>
  </r>
  <r>
    <n v="200400"/>
    <s v="LAY"/>
    <s v="INSS0426C"/>
    <x v="7"/>
    <s v="GUIA DA PREVIDENCIA SOCIAL"/>
    <n v="1065.52"/>
    <x v="82"/>
    <x v="82"/>
    <s v=""/>
    <x v="9"/>
    <s v="DH"/>
    <s v="CUSTO MÃO DE OBRA DIRETA"/>
    <s v="RAFAEL"/>
  </r>
  <r>
    <n v="200401"/>
    <s v="LAY"/>
    <s v="INSS0426M"/>
    <x v="7"/>
    <s v="GUIA DA PREVIDENCIA SOCIAL"/>
    <n v="13555.57"/>
    <x v="83"/>
    <x v="83"/>
    <s v=""/>
    <x v="5"/>
    <s v="DH"/>
    <s v="CUSTO MÃO DE OBRA DIRETA"/>
    <s v="RAFAEL"/>
  </r>
  <r>
    <n v="200402"/>
    <s v="FK"/>
    <s v="PET0804"/>
    <x v="87"/>
    <s v="ACT GUIRELLI"/>
    <n v="374"/>
    <x v="32"/>
    <x v="32"/>
    <s v=""/>
    <x v="3"/>
    <s v="FINANCEIRO"/>
    <n v="0"/>
    <s v="LETÍCIA"/>
  </r>
  <r>
    <n v="200403"/>
    <s v="KAR"/>
    <s v="557692"/>
    <x v="87"/>
    <s v="ELETROLUZ MATERIAIS ELETRICOS LTDA."/>
    <n v="3364.2"/>
    <x v="46"/>
    <x v="46"/>
    <s v=""/>
    <x v="9"/>
    <s v="MANUTENÇÃO / TI"/>
    <n v="0"/>
    <s v="FÁBIO"/>
  </r>
  <r>
    <n v="200404"/>
    <s v="KAR"/>
    <s v="INSS0426A"/>
    <x v="7"/>
    <s v="GUIA DA PREVIDENCIA SOCIAL"/>
    <n v="12107.88"/>
    <x v="67"/>
    <x v="67"/>
    <s v=""/>
    <x v="7"/>
    <s v="DH"/>
    <n v="0"/>
    <s v="RAFAEL"/>
  </r>
  <r>
    <n v="200405"/>
    <s v="KAR"/>
    <s v="INSS0426C"/>
    <x v="7"/>
    <s v="GUIA DA PREVIDENCIA SOCIAL"/>
    <n v="6269.29"/>
    <x v="82"/>
    <x v="82"/>
    <s v=""/>
    <x v="9"/>
    <s v="DH"/>
    <s v="CUSTO MÃO DE OBRA DIRETA"/>
    <s v="RAFAEL"/>
  </r>
  <r>
    <n v="200406"/>
    <s v="KAR"/>
    <s v="INSS0426M"/>
    <x v="7"/>
    <s v="GUIA DA PREVIDENCIA SOCIAL"/>
    <n v="28174.66"/>
    <x v="83"/>
    <x v="83"/>
    <s v=""/>
    <x v="5"/>
    <s v="DH"/>
    <s v="CUSTO MÃO DE OBRA DIRETA"/>
    <s v="RAFAEL"/>
  </r>
  <r>
    <n v="200408"/>
    <s v="KOY"/>
    <s v="8FER26"/>
    <x v="87"/>
    <s v="JOSÉ PEDRO PANICIO SANTOS"/>
    <n v="757.66"/>
    <x v="72"/>
    <x v="72"/>
    <s v=""/>
    <x v="5"/>
    <s v="DH"/>
    <s v="CUSTO MÃO DE OBRA DIRETA"/>
    <s v="RAFAEL"/>
  </r>
  <r>
    <n v="200409"/>
    <s v="LAY"/>
    <s v="15FER26"/>
    <x v="87"/>
    <s v="ANDREIA CARULINA DE MORAES"/>
    <n v="1789.68"/>
    <x v="72"/>
    <x v="72"/>
    <s v=""/>
    <x v="5"/>
    <s v="DH"/>
    <s v="CUSTO MÃO DE OBRA DIRETA"/>
    <s v="RAFAEL"/>
  </r>
  <r>
    <n v="200410"/>
    <s v="LAY"/>
    <s v="15FER26"/>
    <x v="87"/>
    <s v="AURELIO HENRIQUE DE BORTOLI MOLLHOFF"/>
    <n v="1896.83"/>
    <x v="72"/>
    <x v="72"/>
    <s v=""/>
    <x v="5"/>
    <s v="DH"/>
    <s v="CUSTO MÃO DE OBRA DIRETA"/>
    <s v="RAFAEL"/>
  </r>
  <r>
    <n v="200411"/>
    <s v="LAY"/>
    <s v="15FER26"/>
    <x v="87"/>
    <s v="ERICO NATAN DA SILVA OLIVEIRA"/>
    <n v="1352.45"/>
    <x v="72"/>
    <x v="72"/>
    <s v=""/>
    <x v="5"/>
    <s v="DH"/>
    <s v="CUSTO MÃO DE OBRA DIRETA"/>
    <s v="RAFAEL"/>
  </r>
  <r>
    <n v="200412"/>
    <s v="KAR"/>
    <s v="50414"/>
    <x v="87"/>
    <s v="MISSLER SOFTWARE BRASIL COMERCIO DE SOFTWARES LTDA"/>
    <n v="2830.41"/>
    <x v="12"/>
    <x v="12"/>
    <s v="TOPSOLID"/>
    <x v="3"/>
    <s v="MANUTENÇÃO / TI"/>
    <n v="0"/>
    <s v="LETÍCIA"/>
  </r>
  <r>
    <n v="200413"/>
    <s v="KAR"/>
    <s v="LAMINADOR"/>
    <x v="87"/>
    <s v="OSVALDO PEREIRA DA CUNHA E CIA"/>
    <n v="1400"/>
    <x v="30"/>
    <x v="30"/>
    <s v=""/>
    <x v="9"/>
    <s v="MANUTENÇÃO / TI"/>
    <n v="0"/>
    <s v="RAFAEL"/>
  </r>
  <r>
    <n v="200415"/>
    <s v="KOX"/>
    <s v="07REFEIÇO"/>
    <x v="87"/>
    <s v="M.A. DOS SANTOS NASCIMENTO"/>
    <n v="277"/>
    <x v="64"/>
    <x v="64"/>
    <s v=""/>
    <x v="4"/>
    <s v="FINANCEIRO"/>
    <n v="0"/>
    <s v="MYLENA"/>
  </r>
  <r>
    <n v="200417"/>
    <s v="FK"/>
    <s v="SILVI0704"/>
    <x v="87"/>
    <s v="SILVIA COLLI JORDÃO PRESTES"/>
    <n v="142.55000000000001"/>
    <x v="23"/>
    <x v="23"/>
    <s v=""/>
    <x v="6"/>
    <s v="COMERCIAL"/>
    <n v="0"/>
    <s v="LETÍCIA"/>
  </r>
  <r>
    <n v="200418"/>
    <s v="KAR"/>
    <s v="3550"/>
    <x v="87"/>
    <s v="ACC 7 CONSULTORIA E DESENVOLVIMENTO LTDA"/>
    <n v="450"/>
    <x v="12"/>
    <x v="12"/>
    <s v=""/>
    <x v="3"/>
    <s v="MANUTENÇÃO / TI"/>
    <n v="0"/>
    <s v="LETÍCIA"/>
  </r>
  <r>
    <n v="200419"/>
    <s v="FK"/>
    <s v="MAR/2026"/>
    <x v="87"/>
    <s v="ANDRE FELIPE CARDOSO CANGUÇÚ"/>
    <n v="502.71"/>
    <x v="53"/>
    <x v="53"/>
    <s v=""/>
    <x v="6"/>
    <s v="COMERCIAL"/>
    <n v="0"/>
    <s v="LETÍCIA"/>
  </r>
  <r>
    <n v="200420"/>
    <s v="FK"/>
    <s v="MAR/2026"/>
    <x v="87"/>
    <s v="FABIANA DE QUEIROZ LOURO MORAES"/>
    <n v="283.94"/>
    <x v="53"/>
    <x v="53"/>
    <s v=""/>
    <x v="6"/>
    <s v="COMERCIAL"/>
    <n v="0"/>
    <s v="LETÍCIA"/>
  </r>
  <r>
    <n v="200422"/>
    <s v="FK"/>
    <s v="MAR/2026"/>
    <x v="87"/>
    <s v="LEANDRO APARECIDO MIAZO"/>
    <n v="7761.36"/>
    <x v="53"/>
    <x v="53"/>
    <s v=""/>
    <x v="6"/>
    <s v="COMERCIAL"/>
    <n v="0"/>
    <s v="LETÍCIA"/>
  </r>
  <r>
    <n v="200423"/>
    <s v="FK"/>
    <s v="MAR/2026"/>
    <x v="87"/>
    <s v="SILVIA COLLI JORDÃO PRESTES"/>
    <n v="14429.52"/>
    <x v="23"/>
    <x v="23"/>
    <s v=""/>
    <x v="6"/>
    <s v="COMERCIAL"/>
    <n v="0"/>
    <s v="LETÍCIA"/>
  </r>
  <r>
    <n v="200424"/>
    <s v="FK"/>
    <s v="PALESTRA"/>
    <x v="87"/>
    <s v="ASSOCIACAO COMERCIAL E INDUSTRIA DE TERRA RICA"/>
    <n v="480"/>
    <x v="20"/>
    <x v="20"/>
    <s v=""/>
    <x v="7"/>
    <s v="DIRETORIA"/>
    <n v="0"/>
    <s v="FÁBIO"/>
  </r>
  <r>
    <n v="200425"/>
    <s v="KAR"/>
    <s v="4881"/>
    <x v="87"/>
    <s v="MONTE CRISTO PNEUS LTDA"/>
    <n v="3000"/>
    <x v="31"/>
    <x v="31"/>
    <s v=""/>
    <x v="6"/>
    <s v="LOGÍSTICA"/>
    <n v="0"/>
    <s v="MYLENA"/>
  </r>
  <r>
    <n v="200426"/>
    <s v="KAR"/>
    <s v="737346"/>
    <x v="87"/>
    <s v="AUTO POSTO SANTA TEREZINHA DE AVARE LTDA"/>
    <n v="3041.42"/>
    <x v="37"/>
    <x v="37"/>
    <s v=""/>
    <x v="6"/>
    <s v="LOGÍSTICA"/>
    <n v="0"/>
    <s v="MYLENA"/>
  </r>
  <r>
    <n v="200427"/>
    <s v="KAR"/>
    <s v="737347"/>
    <x v="87"/>
    <s v="AUTO POSTO SANTA TEREZINHA DE AVARE LTDA"/>
    <n v="75.150000000000006"/>
    <x v="37"/>
    <x v="37"/>
    <s v=""/>
    <x v="6"/>
    <s v="LOGÍSTICA"/>
    <n v="0"/>
    <s v="MYLENA"/>
  </r>
  <r>
    <n v="200428"/>
    <s v="KAR"/>
    <s v="150973"/>
    <x v="87"/>
    <s v="PRESIDENTE COMBUSTIVEIS E DERIVADOS DE PETROLEO LT"/>
    <n v="1658.58"/>
    <x v="37"/>
    <x v="37"/>
    <s v=""/>
    <x v="6"/>
    <s v="LOGÍSTICA"/>
    <n v="0"/>
    <s v="MYLENA"/>
  </r>
  <r>
    <n v="200429"/>
    <s v="KAR"/>
    <s v="150178"/>
    <x v="87"/>
    <s v="SIM REDE DE POSTOS LTDA - ARAQUARI BR 101 SUL"/>
    <n v="1076.5999999999999"/>
    <x v="37"/>
    <x v="37"/>
    <s v=""/>
    <x v="6"/>
    <s v="LOGÍSTICA"/>
    <n v="0"/>
    <s v="MYLENA"/>
  </r>
  <r>
    <n v="200430"/>
    <s v="KAR"/>
    <s v="12679"/>
    <x v="72"/>
    <s v="POSTO DE ABATECIMENTO SAMUARA LTDA"/>
    <n v="1877.5"/>
    <x v="37"/>
    <x v="37"/>
    <s v=""/>
    <x v="6"/>
    <s v="LOGÍSTICA"/>
    <n v="0"/>
    <s v="MYLENA"/>
  </r>
  <r>
    <n v="200431"/>
    <s v="KAR"/>
    <s v="75130"/>
    <x v="87"/>
    <s v="AUTO POSTO PRA FRENTE BRASIL LTDA 06"/>
    <n v="113.7"/>
    <x v="37"/>
    <x v="37"/>
    <s v=""/>
    <x v="6"/>
    <s v="LOGÍSTICA"/>
    <n v="0"/>
    <s v="MYLENA"/>
  </r>
  <r>
    <n v="200432"/>
    <s v="KAR"/>
    <s v="65110"/>
    <x v="87"/>
    <s v="POSTO FAROL 48 DA CASTELO INTERIOR LTDA"/>
    <n v="1559.09"/>
    <x v="37"/>
    <x v="37"/>
    <s v=""/>
    <x v="6"/>
    <s v="LOGÍSTICA"/>
    <n v="0"/>
    <s v="MYLENA"/>
  </r>
  <r>
    <n v="200433"/>
    <s v="FK"/>
    <s v="SODA01042"/>
    <x v="87"/>
    <s v="CAMINHÃO / BEH-6E00"/>
    <n v="258.35000000000002"/>
    <x v="41"/>
    <x v="41"/>
    <s v=""/>
    <x v="6"/>
    <s v="LOGÍSTICA"/>
    <n v="0"/>
    <s v="MYLENA"/>
  </r>
  <r>
    <n v="200434"/>
    <s v="FK"/>
    <s v="8904"/>
    <x v="87"/>
    <s v="COMERCIO DE COMBUSTIVEIS TBM LTDA."/>
    <n v="1116.32"/>
    <x v="37"/>
    <x v="37"/>
    <s v=""/>
    <x v="6"/>
    <s v="LOGÍSTICA"/>
    <n v="0"/>
    <s v="MYLENA"/>
  </r>
  <r>
    <n v="200435"/>
    <s v="FK"/>
    <s v="VANDE0104"/>
    <x v="87"/>
    <s v="CAMINHAO BEM-6E19"/>
    <n v="1660"/>
    <x v="41"/>
    <x v="41"/>
    <s v=""/>
    <x v="6"/>
    <s v="LOGÍSTICA"/>
    <n v="0"/>
    <s v="MYLENA"/>
  </r>
  <r>
    <n v="200436"/>
    <s v="FK"/>
    <s v="78593"/>
    <x v="87"/>
    <s v="COMERCIO DE COMBUSTIVEIS TBM LTDA."/>
    <n v="1152.3399999999999"/>
    <x v="37"/>
    <x v="37"/>
    <s v=""/>
    <x v="6"/>
    <s v="LOGÍSTICA"/>
    <n v="0"/>
    <s v="MYLENA"/>
  </r>
  <r>
    <n v="200437"/>
    <s v="KAR"/>
    <s v="2370804"/>
    <x v="87"/>
    <s v="BANCO SICREDI"/>
    <n v="2.37"/>
    <x v="28"/>
    <x v="28"/>
    <s v=""/>
    <x v="8"/>
    <s v="FINANCEIRO"/>
    <n v="0"/>
    <s v="LETÍCIA"/>
  </r>
  <r>
    <n v="200438"/>
    <s v="KAR"/>
    <s v="1730904"/>
    <x v="72"/>
    <s v="BANCO SICREDI"/>
    <n v="1.73"/>
    <x v="27"/>
    <x v="27"/>
    <s v=""/>
    <x v="8"/>
    <s v="FINANCEIRO"/>
    <n v="0"/>
    <s v="LETÍCIA"/>
  </r>
  <r>
    <n v="200439"/>
    <s v="KAR"/>
    <s v="0950804"/>
    <x v="87"/>
    <s v="BANCO SICREDI"/>
    <n v="0.95"/>
    <x v="27"/>
    <x v="27"/>
    <s v=""/>
    <x v="8"/>
    <s v="FINANCEIRO"/>
    <n v="0"/>
    <s v="LETÍCIA"/>
  </r>
  <r>
    <n v="200440"/>
    <s v="KAR"/>
    <s v="16810904"/>
    <x v="72"/>
    <s v="BANCO SICREDI"/>
    <n v="16.809999999999999"/>
    <x v="29"/>
    <x v="29"/>
    <s v=""/>
    <x v="8"/>
    <s v="FINANCEIRO"/>
    <n v="0"/>
    <s v="LETÍCIA"/>
  </r>
  <r>
    <n v="200441"/>
    <s v="LAY"/>
    <s v="0790804"/>
    <x v="87"/>
    <s v="BANCO SICREDI"/>
    <n v="0.79"/>
    <x v="28"/>
    <x v="28"/>
    <s v=""/>
    <x v="8"/>
    <s v="FINANCEIRO"/>
    <n v="0"/>
    <s v="LETÍCIA"/>
  </r>
  <r>
    <n v="200442"/>
    <s v="LAY"/>
    <s v="0240804"/>
    <x v="87"/>
    <s v="BANCO SICREDI"/>
    <n v="0.24"/>
    <x v="27"/>
    <x v="27"/>
    <s v=""/>
    <x v="8"/>
    <s v="FINANCEIRO"/>
    <n v="0"/>
    <s v="LETÍCIA"/>
  </r>
  <r>
    <n v="200444"/>
    <s v="FK"/>
    <s v="GM0604"/>
    <x v="72"/>
    <s v="SIDNEI PAULO MILANI"/>
    <n v="1021"/>
    <x v="31"/>
    <x v="31"/>
    <s v=""/>
    <x v="6"/>
    <s v="LOGÍSTICA"/>
    <n v="0"/>
    <s v="MYLENA"/>
  </r>
  <r>
    <n v="200445"/>
    <s v="FK"/>
    <s v="SER1102"/>
    <x v="72"/>
    <s v="SERGIO TRANSPORTES DE AREIA,PEDRA,CALCARIO E ADUBO"/>
    <n v="750"/>
    <x v="46"/>
    <x v="46"/>
    <s v=""/>
    <x v="9"/>
    <s v="MANUTENÇÃO / TI"/>
    <n v="0"/>
    <s v="FÁBIO"/>
  </r>
  <r>
    <n v="200446"/>
    <s v="FK"/>
    <s v="EST ARPEG"/>
    <x v="72"/>
    <s v="MARCOS LUKENCHUKE"/>
    <n v="800"/>
    <x v="26"/>
    <x v="26"/>
    <s v=""/>
    <x v="3"/>
    <s v="FINANCEIRO"/>
    <n v="0"/>
    <s v="LETÍCIA"/>
  </r>
  <r>
    <n v="200448"/>
    <s v="FK"/>
    <s v="GM0704A"/>
    <x v="72"/>
    <s v="SIDNEI PAULO MILANI"/>
    <n v="67"/>
    <x v="31"/>
    <x v="31"/>
    <s v=""/>
    <x v="6"/>
    <s v="LOGÍSTICA"/>
    <n v="0"/>
    <s v="MYLENA"/>
  </r>
  <r>
    <n v="200449"/>
    <s v="FK"/>
    <s v="NETO0404"/>
    <x v="72"/>
    <s v="CAMINHÃO - AYL-6E00"/>
    <n v="2536.65"/>
    <x v="41"/>
    <x v="41"/>
    <s v=""/>
    <x v="6"/>
    <s v="LOGÍSTICA"/>
    <n v="0"/>
    <s v="MYLENA"/>
  </r>
  <r>
    <n v="200450"/>
    <s v="FK"/>
    <s v="SER0502A"/>
    <x v="72"/>
    <s v="SERGIO TRANSPORTES DE AREIA,PEDRA,CALCARIO E ADUBO"/>
    <n v="250"/>
    <x v="46"/>
    <x v="46"/>
    <s v=""/>
    <x v="9"/>
    <s v="MANUTENÇÃO / TI"/>
    <n v="0"/>
    <s v="FÁBIO"/>
  </r>
  <r>
    <n v="200451"/>
    <s v="FK"/>
    <s v="SER1607"/>
    <x v="72"/>
    <s v="SERGIO TRANSPORTES DE AREIA,PEDRA,CALCARIO E ADUBO"/>
    <n v="240"/>
    <x v="46"/>
    <x v="46"/>
    <s v=""/>
    <x v="9"/>
    <s v="MANUTENÇÃO / TI"/>
    <n v="0"/>
    <s v="FÁBIO"/>
  </r>
  <r>
    <n v="200452"/>
    <s v="FK"/>
    <s v="78674"/>
    <x v="72"/>
    <s v="COMERCIO DE COMBUSTIVEIS TBM LTDA."/>
    <n v="3588.98"/>
    <x v="37"/>
    <x v="37"/>
    <s v=""/>
    <x v="6"/>
    <s v="LOGÍSTICA"/>
    <n v="0"/>
    <s v="MYLENA"/>
  </r>
  <r>
    <n v="200453"/>
    <s v="FK"/>
    <s v="LEAND0404"/>
    <x v="72"/>
    <s v="CAMINHAO - AYL-5F59"/>
    <n v="1548"/>
    <x v="41"/>
    <x v="41"/>
    <s v=""/>
    <x v="6"/>
    <s v="LOGÍSTICA"/>
    <n v="0"/>
    <s v="MYLENA"/>
  </r>
  <r>
    <n v="200454"/>
    <s v="FK"/>
    <s v="SER1607A"/>
    <x v="72"/>
    <s v="SERGIO TRANSPORTES DE AREIA,PEDRA,CALCARIO E ADUBO"/>
    <n v="420"/>
    <x v="46"/>
    <x v="46"/>
    <s v=""/>
    <x v="9"/>
    <s v="MANUTENÇÃO / TI"/>
    <n v="0"/>
    <s v="FÁBIO"/>
  </r>
  <r>
    <n v="200455"/>
    <s v="FK"/>
    <s v="SER0512"/>
    <x v="72"/>
    <s v="SERGIO TRANSPORTES DE AREIA,PEDRA,CALCARIO E ADUBO"/>
    <n v="100"/>
    <x v="46"/>
    <x v="46"/>
    <s v=""/>
    <x v="9"/>
    <s v="MANUTENÇÃO / TI"/>
    <n v="0"/>
    <s v="FÁBIO"/>
  </r>
  <r>
    <n v="200456"/>
    <s v="FK"/>
    <s v="38342"/>
    <x v="72"/>
    <s v="AUTO POSTO STEP WAY LTDA"/>
    <n v="78.099999999999994"/>
    <x v="37"/>
    <x v="37"/>
    <s v=""/>
    <x v="6"/>
    <s v="LOGÍSTICA"/>
    <n v="0"/>
    <s v="MYLENA"/>
  </r>
  <r>
    <n v="200457"/>
    <s v="FK"/>
    <s v="SER0512A"/>
    <x v="72"/>
    <s v="SERGIO TRANSPORTES DE AREIA,PEDRA,CALCARIO E ADUBO"/>
    <n v="390"/>
    <x v="46"/>
    <x v="46"/>
    <s v=""/>
    <x v="9"/>
    <s v="MANUTENÇÃO / TI"/>
    <n v="0"/>
    <s v="FÁBIO"/>
  </r>
  <r>
    <n v="200458"/>
    <s v="FK"/>
    <s v="78599"/>
    <x v="72"/>
    <s v="COMERCIO DE COMBUSTIVEIS TBM LTDA."/>
    <n v="3857.42"/>
    <x v="37"/>
    <x v="37"/>
    <s v=""/>
    <x v="6"/>
    <s v="LOGÍSTICA"/>
    <n v="0"/>
    <s v="MYLENA"/>
  </r>
  <r>
    <n v="200460"/>
    <s v="KAR"/>
    <s v="337149"/>
    <x v="72"/>
    <s v="POSTO E SERVIÇO TIGRAO DA DUTRA"/>
    <n v="1685"/>
    <x v="37"/>
    <x v="37"/>
    <s v=""/>
    <x v="6"/>
    <s v="LOGÍSTICA"/>
    <n v="0"/>
    <s v="MYLENA"/>
  </r>
  <r>
    <n v="200461"/>
    <s v="KAR"/>
    <s v="TARIFA"/>
    <x v="72"/>
    <s v="CENTRO DE GESTAO DE MEIOS DE PAGTO S/A"/>
    <n v="66"/>
    <x v="37"/>
    <x v="37"/>
    <s v=""/>
    <x v="6"/>
    <s v="LOGÍSTICA"/>
    <n v="0"/>
    <s v="MYLENA"/>
  </r>
  <r>
    <n v="200462"/>
    <s v="KOY"/>
    <s v="23222"/>
    <x v="72"/>
    <s v="MERCADO LIVRE "/>
    <n v="34.909999999999997"/>
    <x v="38"/>
    <x v="38"/>
    <s v=""/>
    <x v="5"/>
    <s v="PRODUÇÃO"/>
    <n v="0"/>
    <s v="RAFAEL"/>
  </r>
  <r>
    <n v="200463"/>
    <s v="KOY"/>
    <s v="15098"/>
    <x v="72"/>
    <s v="MERCADO LIVRE "/>
    <n v="197.7"/>
    <x v="31"/>
    <x v="31"/>
    <s v=""/>
    <x v="6"/>
    <s v="LOGÍSTICA"/>
    <n v="0"/>
    <s v="MYLENA"/>
  </r>
  <r>
    <n v="200464"/>
    <s v="KOY"/>
    <s v="21498"/>
    <x v="72"/>
    <s v="MERCADO LIVRE "/>
    <n v="21"/>
    <x v="13"/>
    <x v="13"/>
    <s v=""/>
    <x v="2"/>
    <s v="MANUTENÇÃO / TI"/>
    <n v="0"/>
    <s v="RAFAEL"/>
  </r>
  <r>
    <n v="200465"/>
    <s v="KOY"/>
    <s v="18173"/>
    <x v="72"/>
    <s v="MERCADO LIVRE "/>
    <n v="35.35"/>
    <x v="13"/>
    <x v="13"/>
    <s v=""/>
    <x v="2"/>
    <s v="MANUTENÇÃO / TI"/>
    <n v="0"/>
    <s v="RAFAEL"/>
  </r>
  <r>
    <n v="200466"/>
    <s v="KOY"/>
    <s v="108403151"/>
    <x v="72"/>
    <s v="MERCADO LIVRE "/>
    <n v="447.16"/>
    <x v="13"/>
    <x v="13"/>
    <s v=""/>
    <x v="2"/>
    <s v="MANUTENÇÃO / TI"/>
    <n v="0"/>
    <s v="RAFAEL"/>
  </r>
  <r>
    <n v="200468"/>
    <s v="KAR"/>
    <s v="ALV2026"/>
    <x v="72"/>
    <s v="PREFEITURA MUNICIPAL DE TERRA RICA"/>
    <n v="838.16"/>
    <x v="100"/>
    <x v="100"/>
    <s v=""/>
    <x v="9"/>
    <s v="FINANCEIRO"/>
    <n v="0"/>
    <s v="LETÍCIA"/>
  </r>
  <r>
    <n v="200469"/>
    <s v="KOY"/>
    <s v="7845"/>
    <x v="72"/>
    <s v="MERCADO LIVRE "/>
    <n v="90.15"/>
    <x v="52"/>
    <x v="52"/>
    <s v=""/>
    <x v="4"/>
    <s v="ADMINISTRATIVO"/>
    <n v="0"/>
    <s v="LETÍCIA"/>
  </r>
  <r>
    <n v="200470"/>
    <s v="LAY"/>
    <s v="ALV2026"/>
    <x v="72"/>
    <s v="PREFEITURA MUNICIPAL DE TERRA RICA"/>
    <n v="838.16"/>
    <x v="100"/>
    <x v="100"/>
    <s v=""/>
    <x v="9"/>
    <s v="FINANCEIRO"/>
    <n v="0"/>
    <s v="LETÍCIA"/>
  </r>
  <r>
    <n v="200472"/>
    <s v="KOY"/>
    <s v="ALV2026"/>
    <x v="72"/>
    <s v="PREFEITURA MUNICIPAL DE TERRA RICA"/>
    <n v="419.08"/>
    <x v="100"/>
    <x v="100"/>
    <s v=""/>
    <x v="9"/>
    <s v="FINANCEIRO"/>
    <n v="0"/>
    <s v="LETÍCIA"/>
  </r>
  <r>
    <n v="200473"/>
    <s v="KOY"/>
    <s v="9305"/>
    <x v="72"/>
    <s v="MERCADO LIVRE "/>
    <n v="179.99"/>
    <x v="52"/>
    <x v="52"/>
    <s v=""/>
    <x v="4"/>
    <s v="ADMINISTRATIVO"/>
    <n v="0"/>
    <s v="LETÍCIA"/>
  </r>
  <r>
    <n v="200474"/>
    <s v="FK"/>
    <s v="ALV2026"/>
    <x v="72"/>
    <s v="PREFEITURA MUNICIPAL DE TERRA RICA"/>
    <n v="167.63"/>
    <x v="100"/>
    <x v="100"/>
    <s v=""/>
    <x v="9"/>
    <s v="FINANCEIRO"/>
    <n v="0"/>
    <s v="LETÍCIA"/>
  </r>
  <r>
    <n v="200477"/>
    <s v="KOY"/>
    <s v="5476"/>
    <x v="72"/>
    <s v="MERCADO LIVRE "/>
    <n v="138.72"/>
    <x v="13"/>
    <x v="13"/>
    <s v=""/>
    <x v="2"/>
    <s v="MANUTENÇÃO / TI"/>
    <n v="0"/>
    <s v="RAFAEL"/>
  </r>
  <r>
    <n v="200479"/>
    <s v="KOY"/>
    <s v="3130"/>
    <x v="72"/>
    <s v="MERCADO LIVRE "/>
    <n v="368"/>
    <x v="13"/>
    <x v="13"/>
    <s v=""/>
    <x v="2"/>
    <s v="MANUTENÇÃO / TI"/>
    <n v="0"/>
    <s v="RAFAEL"/>
  </r>
  <r>
    <n v="200480"/>
    <s v="KAR"/>
    <s v="39412"/>
    <x v="72"/>
    <s v="PILLOWS e FABRICS COMERCIO DE PECAS DECORATIVAS LT"/>
    <n v="3380"/>
    <x v="55"/>
    <x v="55"/>
    <s v=""/>
    <x v="8"/>
    <s v="COMERCIAL"/>
    <n v="0"/>
    <s v="LETÍCIA"/>
  </r>
  <r>
    <n v="200482"/>
    <s v="FK"/>
    <s v="ALV2026"/>
    <x v="72"/>
    <s v="PREFEITURA MUNICIPAL DE TERRA RICA"/>
    <n v="167.63"/>
    <x v="100"/>
    <x v="100"/>
    <s v=""/>
    <x v="9"/>
    <s v="FINANCEIRO"/>
    <n v="0"/>
    <s v="LETÍCIA"/>
  </r>
  <r>
    <n v="200483"/>
    <s v="KOY"/>
    <s v="114981"/>
    <x v="72"/>
    <s v="MERCADO LIVRE "/>
    <n v="267.8"/>
    <x v="46"/>
    <x v="46"/>
    <s v=""/>
    <x v="9"/>
    <s v="MANUTENÇÃO / TI"/>
    <n v="0"/>
    <s v="FÁBIO"/>
  </r>
  <r>
    <n v="200484"/>
    <s v="KOY"/>
    <s v="42102"/>
    <x v="72"/>
    <s v="MERCADO LIVRE "/>
    <n v="118.68"/>
    <x v="52"/>
    <x v="52"/>
    <s v=""/>
    <x v="4"/>
    <s v="ADMINISTRATIVO"/>
    <n v="0"/>
    <s v="LETÍCIA"/>
  </r>
  <r>
    <n v="200485"/>
    <s v="KOX"/>
    <s v="MINDSIGHT"/>
    <x v="72"/>
    <s v="KOYO IND E COMERCIO DE MOVEIS  LTDA"/>
    <n v="1576.06"/>
    <x v="12"/>
    <x v="12"/>
    <s v=""/>
    <x v="3"/>
    <s v="MANUTENÇÃO / TI"/>
    <n v="0"/>
    <s v="LETÍCIA"/>
  </r>
  <r>
    <n v="200486"/>
    <s v="KOX"/>
    <s v="IOFMIND"/>
    <x v="72"/>
    <s v="KOYO IND E COMERCIO DE MOVEIS  LTDA"/>
    <n v="55.16"/>
    <x v="12"/>
    <x v="12"/>
    <s v=""/>
    <x v="3"/>
    <s v="MANUTENÇÃO / TI"/>
    <n v="0"/>
    <s v="LETÍCIA"/>
  </r>
  <r>
    <n v="200487"/>
    <s v="KAR"/>
    <s v="32979"/>
    <x v="72"/>
    <s v="GALILEU TECNOLOGIA LTDA"/>
    <n v="220"/>
    <x v="9"/>
    <x v="9"/>
    <s v=""/>
    <x v="2"/>
    <s v="MANUTENÇÃO / TI"/>
    <n v="0"/>
    <s v="RAFAEL"/>
  </r>
  <r>
    <n v="200488"/>
    <s v="KAR"/>
    <s v="CET0904"/>
    <x v="72"/>
    <s v="BANCO SICREDI"/>
    <n v="233.92"/>
    <x v="29"/>
    <x v="29"/>
    <s v=""/>
    <x v="8"/>
    <s v="FINANCEIRO"/>
    <n v="0"/>
    <s v="LETÍCIA"/>
  </r>
  <r>
    <n v="200489"/>
    <s v="KAR"/>
    <s v="4407"/>
    <x v="72"/>
    <s v="BANCO SICREDI"/>
    <n v="44.07"/>
    <x v="27"/>
    <x v="27"/>
    <s v=""/>
    <x v="8"/>
    <s v="FINANCEIRO"/>
    <n v="0"/>
    <s v="LETÍCIA"/>
  </r>
  <r>
    <n v="200490"/>
    <s v="KAR"/>
    <s v="14624"/>
    <x v="72"/>
    <s v="BANCO SICREDI"/>
    <n v="146.24"/>
    <x v="27"/>
    <x v="27"/>
    <s v=""/>
    <x v="8"/>
    <s v="FINANCEIRO"/>
    <n v="0"/>
    <s v="LETÍCIA"/>
  </r>
  <r>
    <n v="200491"/>
    <s v="FK"/>
    <s v="NIS0804"/>
    <x v="72"/>
    <s v="CASA DE FERRAGEM NISHIMOTO"/>
    <n v="56"/>
    <x v="40"/>
    <x v="40"/>
    <s v="FERRAGENS GERAIS"/>
    <x v="5"/>
    <s v="COMPRAS"/>
    <n v="0"/>
    <s v="RAFAEL"/>
  </r>
  <r>
    <n v="200492"/>
    <s v="FK"/>
    <s v="LER1903"/>
    <x v="72"/>
    <s v="LERMA INDUSTRIAL MOVELEIRA LTDA"/>
    <n v="30"/>
    <x v="38"/>
    <x v="38"/>
    <s v=""/>
    <x v="5"/>
    <s v="PRODUÇÃO"/>
    <n v="0"/>
    <s v="RAFAEL"/>
  </r>
  <r>
    <n v="200493"/>
    <s v="KAR"/>
    <s v="78"/>
    <x v="72"/>
    <s v="F.C. DE PAULA JOSE E CIA LTDA (puma gases)"/>
    <n v="380"/>
    <x v="38"/>
    <x v="38"/>
    <s v=""/>
    <x v="5"/>
    <s v="PRODUÇÃO"/>
    <n v="0"/>
    <s v="RAFAEL"/>
  </r>
  <r>
    <n v="200494"/>
    <s v="FK"/>
    <s v="FRAN0904"/>
    <x v="72"/>
    <s v="M.A. DOS SANTOS NASCIMENTO"/>
    <n v="107"/>
    <x v="64"/>
    <x v="64"/>
    <s v=""/>
    <x v="4"/>
    <s v="FINANCEIRO"/>
    <n v="0"/>
    <s v="MYLENA"/>
  </r>
  <r>
    <n v="200495"/>
    <s v="FK"/>
    <s v="POL0904"/>
    <x v="72"/>
    <s v="BORRACHARIA DO POLACO"/>
    <n v="80"/>
    <x v="31"/>
    <x v="31"/>
    <s v=""/>
    <x v="6"/>
    <s v="LOGÍSTICA"/>
    <n v="0"/>
    <s v="MYLENA"/>
  </r>
  <r>
    <n v="200496"/>
    <s v="KAR"/>
    <s v="738824"/>
    <x v="72"/>
    <s v="AUTO POSTO SANTA TEREZINHA DE AVARE LTDA"/>
    <n v="1778.04"/>
    <x v="37"/>
    <x v="37"/>
    <s v=""/>
    <x v="6"/>
    <s v="LOGÍSTICA"/>
    <n v="0"/>
    <s v="MYLENA"/>
  </r>
  <r>
    <n v="200497"/>
    <s v="KAR"/>
    <s v="79133"/>
    <x v="72"/>
    <s v="AUTO POSTO CRISTAL LEME LTDA PICA PAU I"/>
    <n v="2313.23"/>
    <x v="37"/>
    <x v="37"/>
    <s v=""/>
    <x v="6"/>
    <s v="LOGÍSTICA"/>
    <n v="0"/>
    <s v="MYLENA"/>
  </r>
  <r>
    <n v="200498"/>
    <s v="KAR"/>
    <s v="79135"/>
    <x v="72"/>
    <s v="AUTO POSTO CRISTAL LEME LTDA PICA PAU I"/>
    <n v="48.61"/>
    <x v="37"/>
    <x v="37"/>
    <s v=""/>
    <x v="6"/>
    <s v="LOGÍSTICA"/>
    <n v="0"/>
    <s v="MYLENA"/>
  </r>
  <r>
    <n v="200499"/>
    <s v="KAR"/>
    <s v="738826"/>
    <x v="72"/>
    <s v="AUTO POSTO SANTA TEREZINHA DE AVARE LTDA"/>
    <n v="73"/>
    <x v="37"/>
    <x v="37"/>
    <s v=""/>
    <x v="6"/>
    <s v="LOGÍSTICA"/>
    <n v="0"/>
    <s v="MYLENA"/>
  </r>
  <r>
    <n v="200500"/>
    <s v="FK"/>
    <s v="7622"/>
    <x v="72"/>
    <s v="COMERCIO DE COMBUSTIVEIS TBM LTDA."/>
    <n v="364.32"/>
    <x v="37"/>
    <x v="37"/>
    <s v=""/>
    <x v="6"/>
    <s v="LOGÍSTICA"/>
    <n v="0"/>
    <s v="MYLENA"/>
  </r>
  <r>
    <n v="200501"/>
    <s v="FK"/>
    <s v="76832"/>
    <x v="72"/>
    <s v="COMERCIO DE COMBUSTIVEIS TBM LTDA."/>
    <n v="498.41"/>
    <x v="37"/>
    <x v="37"/>
    <s v=""/>
    <x v="6"/>
    <s v="LOGÍSTICA"/>
    <n v="0"/>
    <s v="MYLENA"/>
  </r>
  <r>
    <n v="200502"/>
    <s v="KAR"/>
    <s v="4635SADM"/>
    <x v="67"/>
    <s v="UNIMED DE PARANAVAI COOPERATIVA DE TRABALHO MEDICO"/>
    <n v="96.8"/>
    <x v="18"/>
    <x v="18"/>
    <s v=""/>
    <x v="7"/>
    <s v="DH"/>
    <n v="0"/>
    <s v="RAFAEL"/>
  </r>
  <r>
    <n v="200503"/>
    <s v="KAR"/>
    <s v="4635SMOD"/>
    <x v="67"/>
    <s v="UNIMED DE PARANAVAI COOPERATIVA DE TRABALHO MEDICO"/>
    <n v="150.24"/>
    <x v="7"/>
    <x v="7"/>
    <s v=""/>
    <x v="5"/>
    <s v="DH"/>
    <s v="CUSTO MÃO DE OBRA DIRETA"/>
    <s v="RAFAEL"/>
  </r>
  <r>
    <n v="200504"/>
    <s v="KAR"/>
    <s v="4649fadm"/>
    <x v="67"/>
    <s v="UNIMED DE PARANAVAI COOPERATIVA DE TRABALHO MEDICO"/>
    <n v="486.93"/>
    <x v="18"/>
    <x v="18"/>
    <s v=""/>
    <x v="7"/>
    <s v="DH"/>
    <n v="0"/>
    <s v="RAFAEL"/>
  </r>
  <r>
    <n v="200505"/>
    <s v="KAR"/>
    <s v="4649fmod"/>
    <x v="67"/>
    <s v="UNIMED DE PARANAVAI COOPERATIVA DE TRABALHO MEDICO"/>
    <n v="310.33"/>
    <x v="7"/>
    <x v="7"/>
    <s v=""/>
    <x v="5"/>
    <s v="DH"/>
    <s v="CUSTO MÃO DE OBRA DIRETA"/>
    <s v="RAFAEL"/>
  </r>
  <r>
    <n v="200506"/>
    <s v="KAR"/>
    <s v="4649gadm"/>
    <x v="67"/>
    <s v="UNIMED DE PARANAVAI COOPERATIVA DE TRABALHO MEDICO"/>
    <n v="321.14999999999998"/>
    <x v="59"/>
    <x v="59"/>
    <s v=""/>
    <x v="7"/>
    <s v="DH"/>
    <n v="0"/>
    <s v="RAFAEL"/>
  </r>
  <r>
    <n v="200507"/>
    <s v="KAR"/>
    <s v="4649gmod"/>
    <x v="67"/>
    <s v="UNIMED DE PARANAVAI COOPERATIVA DE TRABALHO MEDICO"/>
    <n v="170.8"/>
    <x v="60"/>
    <x v="60"/>
    <s v=""/>
    <x v="5"/>
    <s v="DH"/>
    <s v="CUSTO MÃO DE OBRA DIRETA"/>
    <s v="RAFAEL"/>
  </r>
  <r>
    <n v="200508"/>
    <s v="KAR"/>
    <s v="4664AYLA"/>
    <x v="67"/>
    <s v="UNIMED DE PARANAVAI COOPERATIVA DE TRABALHO MEDICO"/>
    <n v="322.89999999999998"/>
    <x v="15"/>
    <x v="15"/>
    <s v=""/>
    <x v="7"/>
    <s v="DIRETORIA"/>
    <n v="0"/>
    <s v="FÁBIO"/>
  </r>
  <r>
    <n v="200509"/>
    <s v="KAR"/>
    <s v="4664FADM"/>
    <x v="67"/>
    <s v="UNIMED DE PARANAVAI COOPERATIVA DE TRABALHO MEDICO"/>
    <n v="400.26"/>
    <x v="18"/>
    <x v="18"/>
    <s v=""/>
    <x v="7"/>
    <s v="DH"/>
    <n v="0"/>
    <s v="RAFAEL"/>
  </r>
  <r>
    <n v="200510"/>
    <s v="KAR"/>
    <s v="4664FCIF"/>
    <x v="67"/>
    <s v="UNIMED DE PARANAVAI COOPERATIVA DE TRABALHO MEDICO"/>
    <n v="279.83999999999997"/>
    <x v="61"/>
    <x v="61"/>
    <s v=""/>
    <x v="9"/>
    <s v="DH"/>
    <s v="CUSTO MÃO DE OBRA DIRETA"/>
    <s v="RAFAEL"/>
  </r>
  <r>
    <n v="200511"/>
    <s v="KAR"/>
    <s v="4664FMOD"/>
    <x v="67"/>
    <s v="UNIMED DE PARANAVAI COOPERATIVA DE TRABALHO MEDICO"/>
    <n v="1069.99"/>
    <x v="7"/>
    <x v="7"/>
    <s v=""/>
    <x v="5"/>
    <s v="DH"/>
    <s v="CUSTO MÃO DE OBRA DIRETA"/>
    <s v="RAFAEL"/>
  </r>
  <r>
    <n v="200512"/>
    <s v="KAR"/>
    <s v="4664GADM"/>
    <x v="67"/>
    <s v="UNIMED DE PARANAVAI COOPERATIVA DE TRABALHO MEDICO"/>
    <n v="184.09"/>
    <x v="59"/>
    <x v="59"/>
    <s v=""/>
    <x v="7"/>
    <s v="DH"/>
    <n v="0"/>
    <s v="RAFAEL"/>
  </r>
  <r>
    <n v="200513"/>
    <s v="KAR"/>
    <s v="4664GCIF"/>
    <x v="67"/>
    <s v="UNIMED DE PARANAVAI COOPERATIVA DE TRABALHO MEDICO"/>
    <n v="279.82"/>
    <x v="62"/>
    <x v="62"/>
    <s v=""/>
    <x v="9"/>
    <s v="DH"/>
    <s v="CUSTO MÃO DE OBRA DIRETA"/>
    <s v="RAFAEL"/>
  </r>
  <r>
    <n v="200514"/>
    <s v="KAR"/>
    <s v="4664GMOD"/>
    <x v="67"/>
    <s v="UNIMED DE PARANAVAI COOPERATIVA DE TRABALHO MEDICO"/>
    <n v="574"/>
    <x v="60"/>
    <x v="60"/>
    <s v=""/>
    <x v="5"/>
    <s v="DH"/>
    <s v="CUSTO MÃO DE OBRA DIRETA"/>
    <s v="RAFAEL"/>
  </r>
  <r>
    <n v="200515"/>
    <s v="KAR"/>
    <s v="4674sadm"/>
    <x v="67"/>
    <s v="UNIMED DE PARANAVAI COOPERATIVA DE TRABALHO MEDICO"/>
    <n v="476.9"/>
    <x v="18"/>
    <x v="18"/>
    <s v=""/>
    <x v="7"/>
    <s v="DH"/>
    <n v="0"/>
    <s v="RAFAEL"/>
  </r>
  <r>
    <n v="200516"/>
    <s v="LAY"/>
    <s v="4649fadm"/>
    <x v="67"/>
    <s v="UNIMED DE PARANAVAI COOPERATIVA DE TRABALHO MEDICO"/>
    <n v="259.67"/>
    <x v="18"/>
    <x v="18"/>
    <s v=""/>
    <x v="7"/>
    <s v="DH"/>
    <n v="0"/>
    <s v="RAFAEL"/>
  </r>
  <r>
    <n v="200517"/>
    <s v="LAY"/>
    <s v="4649fcif"/>
    <x v="67"/>
    <s v="UNIMED DE PARANAVAI COOPERATIVA DE TRABALHO MEDICO"/>
    <n v="315.42"/>
    <x v="61"/>
    <x v="61"/>
    <s v=""/>
    <x v="9"/>
    <s v="DH"/>
    <s v="CUSTO MÃO DE OBRA DIRETA"/>
    <s v="RAFAEL"/>
  </r>
  <r>
    <n v="200518"/>
    <s v="LAY"/>
    <s v="4649fmod"/>
    <x v="67"/>
    <s v="UNIMED DE PARANAVAI COOPERATIVA DE TRABALHO MEDICO"/>
    <n v="348.24"/>
    <x v="7"/>
    <x v="7"/>
    <s v=""/>
    <x v="5"/>
    <s v="DH"/>
    <s v="CUSTO MÃO DE OBRA DIRETA"/>
    <s v="RAFAEL"/>
  </r>
  <r>
    <n v="200519"/>
    <s v="LAY"/>
    <s v="4649gadm"/>
    <x v="67"/>
    <s v="UNIMED DE PARANAVAI COOPERATIVA DE TRABALHO MEDICO"/>
    <n v="259.67"/>
    <x v="59"/>
    <x v="59"/>
    <s v=""/>
    <x v="7"/>
    <s v="DH"/>
    <n v="0"/>
    <s v="RAFAEL"/>
  </r>
  <r>
    <n v="200520"/>
    <s v="LAY"/>
    <s v="4649gcif"/>
    <x v="67"/>
    <s v="UNIMED DE PARANAVAI COOPERATIVA DE TRABALHO MEDICO"/>
    <n v="149.63999999999999"/>
    <x v="62"/>
    <x v="62"/>
    <s v=""/>
    <x v="9"/>
    <s v="DH"/>
    <s v="CUSTO MÃO DE OBRA DIRETA"/>
    <s v="RAFAEL"/>
  </r>
  <r>
    <n v="200521"/>
    <s v="LAY"/>
    <s v="4649gmod"/>
    <x v="67"/>
    <s v="UNIMED DE PARANAVAI COOPERATIVA DE TRABALHO MEDICO"/>
    <n v="208.71"/>
    <x v="60"/>
    <x v="60"/>
    <s v=""/>
    <x v="5"/>
    <s v="DH"/>
    <s v="CUSTO MÃO DE OBRA DIRETA"/>
    <s v="RAFAEL"/>
  </r>
  <r>
    <n v="200522"/>
    <s v="LAY"/>
    <s v="4665FADM"/>
    <x v="67"/>
    <s v="UNIMED DE PARANAVAI COOPERATIVA DE TRABALHO MEDICO"/>
    <n v="2667.13"/>
    <x v="18"/>
    <x v="18"/>
    <s v=""/>
    <x v="7"/>
    <s v="DH"/>
    <n v="0"/>
    <s v="RAFAEL"/>
  </r>
  <r>
    <n v="200523"/>
    <s v="LAY"/>
    <s v="4665FMOD"/>
    <x v="67"/>
    <s v="UNIMED DE PARANAVAI COOPERATIVA DE TRABALHO MEDICO"/>
    <n v="1066.93"/>
    <x v="7"/>
    <x v="7"/>
    <s v=""/>
    <x v="5"/>
    <s v="DH"/>
    <s v="CUSTO MÃO DE OBRA DIRETA"/>
    <s v="RAFAEL"/>
  </r>
  <r>
    <n v="200524"/>
    <s v="LAY"/>
    <s v="4665GADM"/>
    <x v="67"/>
    <s v="UNIMED DE PARANAVAI COOPERATIVA DE TRABALHO MEDICO"/>
    <n v="1215.33"/>
    <x v="59"/>
    <x v="59"/>
    <s v=""/>
    <x v="7"/>
    <s v="DH"/>
    <n v="0"/>
    <s v="RAFAEL"/>
  </r>
  <r>
    <n v="200525"/>
    <s v="LAY"/>
    <s v="4665GMOD"/>
    <x v="67"/>
    <s v="UNIMED DE PARANAVAI COOPERATIVA DE TRABALHO MEDICO"/>
    <n v="634.59"/>
    <x v="60"/>
    <x v="60"/>
    <s v=""/>
    <x v="5"/>
    <s v="DH"/>
    <s v="CUSTO MÃO DE OBRA DIRETA"/>
    <s v="RAFAEL"/>
  </r>
  <r>
    <n v="200526"/>
    <s v="LAY"/>
    <s v="4665SADM"/>
    <x v="67"/>
    <s v="UNIMED DE PARANAVAI COOPERATIVA DE TRABALHO MEDICO"/>
    <n v="975.87"/>
    <x v="18"/>
    <x v="18"/>
    <s v=""/>
    <x v="7"/>
    <s v="DH"/>
    <n v="0"/>
    <s v="RAFAEL"/>
  </r>
  <r>
    <n v="200527"/>
    <s v="KAR"/>
    <s v="11850904"/>
    <x v="72"/>
    <s v="BANCO SICREDI"/>
    <n v="11.85"/>
    <x v="28"/>
    <x v="28"/>
    <s v=""/>
    <x v="8"/>
    <s v="FINANCEIRO"/>
    <n v="0"/>
    <s v="LETÍCIA"/>
  </r>
  <r>
    <n v="200528"/>
    <s v="LAY"/>
    <s v="0790904"/>
    <x v="72"/>
    <s v="BANCO SICREDI"/>
    <n v="0.79"/>
    <x v="28"/>
    <x v="28"/>
    <s v=""/>
    <x v="8"/>
    <s v="FINANCEIRO"/>
    <n v="0"/>
    <s v="LETÍCIA"/>
  </r>
  <r>
    <n v="200529"/>
    <s v="KOY"/>
    <s v="1580904"/>
    <x v="72"/>
    <s v="BANCO SICREDI"/>
    <n v="1.58"/>
    <x v="28"/>
    <x v="28"/>
    <s v=""/>
    <x v="8"/>
    <s v="FINANCEIRO"/>
    <n v="0"/>
    <s v="LETÍCIA"/>
  </r>
  <r>
    <n v="200530"/>
    <s v="FK"/>
    <s v="1900904"/>
    <x v="72"/>
    <s v="SICOOB NOROESTE DO PARANA"/>
    <n v="1.9"/>
    <x v="28"/>
    <x v="28"/>
    <s v=""/>
    <x v="8"/>
    <s v="FINANCEIRO"/>
    <n v="0"/>
    <s v="LETÍCIA"/>
  </r>
  <r>
    <n v="200531"/>
    <s v="KAR"/>
    <s v="3702472"/>
    <x v="18"/>
    <s v="EXPRESSO SAO MIGUEL LTDA"/>
    <n v="143.06"/>
    <x v="48"/>
    <x v="48"/>
    <s v="SERVIÇOS FRETE"/>
    <x v="0"/>
    <s v="COMPRAS"/>
    <n v="0"/>
    <s v="MYLENA"/>
  </r>
  <r>
    <n v="200532"/>
    <s v="KAR"/>
    <s v="350143"/>
    <x v="18"/>
    <s v="EXPRESSO SAO MIGUEL S/A"/>
    <n v="139.01"/>
    <x v="48"/>
    <x v="48"/>
    <s v=""/>
    <x v="0"/>
    <s v="COMPRAS"/>
    <n v="0"/>
    <s v="MYLENA"/>
  </r>
  <r>
    <n v="200533"/>
    <s v="KAR"/>
    <s v="199395"/>
    <x v="18"/>
    <s v="EXPRESSO SAO MIGUEL LTDA"/>
    <n v="310.52"/>
    <x v="48"/>
    <x v="48"/>
    <s v="SERVIÇOS FRETE"/>
    <x v="0"/>
    <s v="COMPRAS"/>
    <n v="0"/>
    <s v="MYLENA"/>
  </r>
  <r>
    <n v="200538"/>
    <s v="FK"/>
    <s v="EXAMES"/>
    <x v="18"/>
    <s v="DR° MARIO LUIZ LANZIANI"/>
    <n v="150"/>
    <x v="99"/>
    <x v="99"/>
    <s v=""/>
    <x v="9"/>
    <s v="DH"/>
    <n v="0"/>
    <s v="RAFAEL"/>
  </r>
  <r>
    <n v="200539"/>
    <s v="KAR"/>
    <s v="PGTO0326JA"/>
    <x v="7"/>
    <s v="CIEE-CENTRO DE INTEGRAÇÃO EMPRESA ESCOLA DO PARANÁ"/>
    <n v="628.5"/>
    <x v="18"/>
    <x v="18"/>
    <s v=""/>
    <x v="7"/>
    <s v="DH"/>
    <n v="0"/>
    <s v="RAFAEL"/>
  </r>
  <r>
    <n v="200540"/>
    <s v="KAR"/>
    <s v="PGTO0426JA"/>
    <x v="9"/>
    <s v="CIEE-CENTRO DE INTEGRAÇÃO EMPRESA ESCOLA DO PARANÁ"/>
    <n v="628.5"/>
    <x v="18"/>
    <x v="18"/>
    <s v=""/>
    <x v="7"/>
    <s v="DH"/>
    <n v="0"/>
    <s v="RAFAEL"/>
  </r>
  <r>
    <n v="200553"/>
    <s v="KAR"/>
    <s v="21491"/>
    <x v="34"/>
    <s v="PERFISA IND. E COM. DE PERFILADOS LTDA"/>
    <n v="100"/>
    <x v="31"/>
    <x v="31"/>
    <s v=""/>
    <x v="6"/>
    <s v="LOGÍSTICA"/>
    <n v="0"/>
    <s v="MYLENA"/>
  </r>
  <r>
    <n v="200554"/>
    <s v="KAR"/>
    <s v="3536"/>
    <x v="34"/>
    <s v="SERGIO DE ALMEIDA RUIZ"/>
    <n v="650"/>
    <x v="31"/>
    <x v="31"/>
    <s v=""/>
    <x v="6"/>
    <s v="LOGÍSTICA"/>
    <n v="0"/>
    <s v="MYLENA"/>
  </r>
  <r>
    <n v="200555"/>
    <s v="KAR"/>
    <s v="17504"/>
    <x v="34"/>
    <s v="SERGIO DE ALMEIDA RUIZ"/>
    <n v="42.15"/>
    <x v="31"/>
    <x v="31"/>
    <s v=""/>
    <x v="6"/>
    <s v="LOGÍSTICA"/>
    <n v="0"/>
    <s v="MYLENA"/>
  </r>
  <r>
    <n v="200556"/>
    <s v="KAR"/>
    <s v="667630"/>
    <x v="34"/>
    <s v="CAVEMAC IND. COMERCIAL DE MAQUINAS IMP. E EXP. LTD"/>
    <n v="345.22"/>
    <x v="30"/>
    <x v="30"/>
    <s v="MAQUINAS DE COSTURA"/>
    <x v="9"/>
    <s v="MANUTENÇÃO / TI"/>
    <n v="0"/>
    <s v="RAFAEL"/>
  </r>
  <r>
    <n v="200557"/>
    <s v="KAR"/>
    <s v="667615"/>
    <x v="34"/>
    <s v="CAVEMAC IND. COMERCIAL DE MAQUINAS IMP. E EXP. LTD"/>
    <n v="281.04000000000002"/>
    <x v="30"/>
    <x v="30"/>
    <s v="MAQUINAS DE COSTURA"/>
    <x v="9"/>
    <s v="MANUTENÇÃO / TI"/>
    <n v="0"/>
    <s v="RAFAEL"/>
  </r>
  <r>
    <n v="200558"/>
    <s v="KAR"/>
    <s v="58586"/>
    <x v="34"/>
    <s v="TRANS APUCARANA TRANSPORTES RODOVIARIOS LTDA"/>
    <n v="111.6"/>
    <x v="30"/>
    <x v="30"/>
    <s v="SERVIÇOS FRETE"/>
    <x v="9"/>
    <s v="MANUTENÇÃO / TI"/>
    <n v="0"/>
    <s v="RAFAEL"/>
  </r>
  <r>
    <n v="200559"/>
    <s v="KAR"/>
    <s v="41051"/>
    <x v="34"/>
    <s v="EDSON JOSE DE OLIVEIRA - MARINGA"/>
    <n v="720"/>
    <x v="30"/>
    <x v="30"/>
    <s v="MANUTENÇÕES FERRAMENTAS"/>
    <x v="9"/>
    <s v="MANUTENÇÃO / TI"/>
    <n v="0"/>
    <s v="RAFAEL"/>
  </r>
  <r>
    <n v="200560"/>
    <s v="KAR"/>
    <s v="13778"/>
    <x v="34"/>
    <s v="EDSON JOSE DE OLIVEIRA - MARINGA"/>
    <n v="205"/>
    <x v="30"/>
    <x v="30"/>
    <s v="MANUTENÇÕES FERRAMENTAS"/>
    <x v="9"/>
    <s v="MANUTENÇÃO / TI"/>
    <n v="0"/>
    <s v="RAFAEL"/>
  </r>
  <r>
    <n v="200561"/>
    <s v="KAR"/>
    <s v="32007"/>
    <x v="34"/>
    <s v="PANIR EQUIPAMENTOS LTDA"/>
    <n v="1869.1"/>
    <x v="30"/>
    <x v="30"/>
    <s v="COMPRESSORES"/>
    <x v="9"/>
    <s v="MANUTENÇÃO / TI"/>
    <n v="0"/>
    <s v="RAFAEL"/>
  </r>
  <r>
    <n v="200562"/>
    <s v="KAR"/>
    <s v="12641004"/>
    <x v="18"/>
    <s v="BANCO SICREDI"/>
    <n v="12.64"/>
    <x v="28"/>
    <x v="28"/>
    <s v=""/>
    <x v="8"/>
    <s v="FINANCEIRO"/>
    <n v="0"/>
    <s v="LETÍCIA"/>
  </r>
  <r>
    <n v="200563"/>
    <s v="KAR"/>
    <s v="2191304"/>
    <x v="34"/>
    <s v="BANCO SICREDI"/>
    <n v="2.19"/>
    <x v="27"/>
    <x v="27"/>
    <s v=""/>
    <x v="8"/>
    <s v="FINANCEIRO"/>
    <n v="0"/>
    <s v="LETÍCIA"/>
  </r>
  <r>
    <n v="200564"/>
    <s v="KAR"/>
    <s v="22711304"/>
    <x v="34"/>
    <s v="BANCO SICREDI"/>
    <n v="22.71"/>
    <x v="29"/>
    <x v="29"/>
    <s v=""/>
    <x v="8"/>
    <s v="FINANCEIRO"/>
    <n v="0"/>
    <s v="LETÍCIA"/>
  </r>
  <r>
    <n v="200565"/>
    <s v="KAR"/>
    <s v="23967"/>
    <x v="18"/>
    <s v="BANCO SICREDI"/>
    <n v="239.67"/>
    <x v="27"/>
    <x v="27"/>
    <s v=""/>
    <x v="8"/>
    <s v="FINANCEIRO"/>
    <n v="0"/>
    <s v="LETÍCIA"/>
  </r>
  <r>
    <n v="200566"/>
    <s v="KAR"/>
    <s v="51004"/>
    <x v="18"/>
    <s v="BANCO SICREDI"/>
    <n v="5"/>
    <x v="27"/>
    <x v="27"/>
    <s v=""/>
    <x v="8"/>
    <s v="FINANCEIRO"/>
    <n v="0"/>
    <s v="LETÍCIA"/>
  </r>
  <r>
    <n v="200567"/>
    <s v="KAR"/>
    <s v="1480033"/>
    <x v="34"/>
    <s v="FERRAMENTAS GERAIS COMERCIO IMP DE FERRAM. E MAQUI"/>
    <n v="1251.92"/>
    <x v="40"/>
    <x v="40"/>
    <s v="FERRAGENS GERAIS"/>
    <x v="5"/>
    <s v="COMPRAS"/>
    <n v="0"/>
    <s v="RAFAEL"/>
  </r>
  <r>
    <n v="200568"/>
    <s v="KAR"/>
    <s v="2851004"/>
    <x v="18"/>
    <s v="BANCO SICREDI"/>
    <n v="2.85"/>
    <x v="29"/>
    <x v="29"/>
    <s v=""/>
    <x v="8"/>
    <s v="FINANCEIRO"/>
    <n v="0"/>
    <s v="LETÍCIA"/>
  </r>
  <r>
    <n v="200569"/>
    <s v="KAR"/>
    <s v="CET1304"/>
    <x v="34"/>
    <s v="BANCO SICREDI"/>
    <n v="1890.41"/>
    <x v="29"/>
    <x v="29"/>
    <s v=""/>
    <x v="8"/>
    <s v="FINANCEIRO"/>
    <n v="0"/>
    <s v="LETÍCIA"/>
  </r>
  <r>
    <n v="200570"/>
    <s v="KAR"/>
    <s v="30406"/>
    <x v="34"/>
    <s v="BANCO SICREDI"/>
    <n v="304.06"/>
    <x v="27"/>
    <x v="27"/>
    <s v=""/>
    <x v="8"/>
    <s v="FINANCEIRO"/>
    <n v="0"/>
    <s v="LETÍCIA"/>
  </r>
  <r>
    <n v="200571"/>
    <s v="KAR"/>
    <s v="22857"/>
    <x v="34"/>
    <s v="BANCO SICREDI"/>
    <n v="228.57"/>
    <x v="27"/>
    <x v="27"/>
    <s v=""/>
    <x v="8"/>
    <s v="FINANCEIRO"/>
    <n v="0"/>
    <s v="LETÍCIA"/>
  </r>
  <r>
    <n v="200572"/>
    <s v="KAR"/>
    <s v="ANUI2026"/>
    <x v="34"/>
    <s v="APIBRASIL ASSESSORIA EMPRESARIAL LTDA ME"/>
    <n v="480.72"/>
    <x v="50"/>
    <x v="50"/>
    <s v=""/>
    <x v="6"/>
    <s v="COMERCIAL"/>
    <n v="0"/>
    <s v="THAIS"/>
  </r>
  <r>
    <n v="200573"/>
    <s v="FK"/>
    <s v="1621"/>
    <x v="34"/>
    <s v="ELAINE CRISTINA TAROCO SANTOS &amp; CIA LTDA"/>
    <n v="60"/>
    <x v="12"/>
    <x v="12"/>
    <s v="COMPONENTES T.I"/>
    <x v="3"/>
    <s v="MANUTENÇÃO / TI"/>
    <n v="0"/>
    <s v="LETÍCIA"/>
  </r>
  <r>
    <n v="200574"/>
    <s v="FK"/>
    <s v="NIS1304"/>
    <x v="34"/>
    <s v="CASA DE FERRAGEM NISHIMOTO"/>
    <n v="104"/>
    <x v="30"/>
    <x v="30"/>
    <s v="FERRAGENS GERAIS"/>
    <x v="9"/>
    <s v="MANUTENÇÃO / TI"/>
    <n v="0"/>
    <s v="RAFAEL"/>
  </r>
  <r>
    <n v="200575"/>
    <s v="FK"/>
    <s v="NIS1304A"/>
    <x v="34"/>
    <s v="CASA DE FERRAGEM NISHIMOTO"/>
    <n v="72"/>
    <x v="24"/>
    <x v="24"/>
    <s v="FERRAGENS GERAIS"/>
    <x v="7"/>
    <s v="MANUTENÇÃO / TI"/>
    <n v="0"/>
    <s v="FÁBIO"/>
  </r>
  <r>
    <n v="200576"/>
    <s v="KAR"/>
    <s v="388780"/>
    <x v="34"/>
    <s v="QUAKER TEXTIL DO BRASIL LTDA"/>
    <n v="4080"/>
    <x v="55"/>
    <x v="55"/>
    <s v=""/>
    <x v="8"/>
    <s v="COMERCIAL"/>
    <n v="0"/>
    <s v="LETÍCIA"/>
  </r>
  <r>
    <n v="200577"/>
    <s v="FK"/>
    <s v="NIS1304B"/>
    <x v="34"/>
    <s v="CASA DE FERRAGEM NISHIMOTO"/>
    <n v="26"/>
    <x v="24"/>
    <x v="24"/>
    <s v="FERRAGENS GERAIS"/>
    <x v="7"/>
    <s v="MANUTENÇÃO / TI"/>
    <n v="0"/>
    <s v="FÁBIO"/>
  </r>
  <r>
    <n v="200578"/>
    <s v="FK"/>
    <s v="BATA1304A"/>
    <x v="34"/>
    <s v="MARIA ANDREIA BUENO DE ALMEIDA BATAER"/>
    <n v="812.64"/>
    <x v="34"/>
    <x v="34"/>
    <s v=""/>
    <x v="6"/>
    <s v="COMERCIAL"/>
    <n v="0"/>
    <s v="LETÍCIA"/>
  </r>
  <r>
    <n v="200580"/>
    <s v="KAR"/>
    <s v="CET1304"/>
    <x v="34"/>
    <s v="BANCO SICREDI"/>
    <n v="1882.08"/>
    <x v="29"/>
    <x v="29"/>
    <s v=""/>
    <x v="8"/>
    <s v="FINANCEIRO"/>
    <n v="0"/>
    <s v="LETÍCIA"/>
  </r>
  <r>
    <n v="200581"/>
    <s v="KAR"/>
    <s v="30264"/>
    <x v="34"/>
    <s v="BANCO SICREDI"/>
    <n v="302.64"/>
    <x v="27"/>
    <x v="27"/>
    <s v=""/>
    <x v="8"/>
    <s v="FINANCEIRO"/>
    <n v="0"/>
    <s v="LETÍCIA"/>
  </r>
  <r>
    <n v="200582"/>
    <s v="KAR"/>
    <s v="19845"/>
    <x v="34"/>
    <s v="BANCO SICREDI"/>
    <n v="198.45"/>
    <x v="27"/>
    <x v="27"/>
    <s v=""/>
    <x v="8"/>
    <s v="FINANCEIRO"/>
    <n v="0"/>
    <s v="LETÍCIA"/>
  </r>
  <r>
    <n v="200584"/>
    <s v="KAR"/>
    <s v="32059"/>
    <x v="34"/>
    <s v="PANIR EQUIPAMENTOS LTDA"/>
    <n v="1301"/>
    <x v="9"/>
    <x v="9"/>
    <s v="COMPRESSORES"/>
    <x v="2"/>
    <s v="MANUTENÇÃO / TI"/>
    <n v="0"/>
    <s v="RAFAEL"/>
  </r>
  <r>
    <n v="200585"/>
    <s v="KAR"/>
    <s v="675010"/>
    <x v="34"/>
    <s v="KOFEMAR COMERCIO DE PRODUTOS PARA MARCENARIA LTDA"/>
    <n v="250"/>
    <x v="38"/>
    <x v="38"/>
    <s v=""/>
    <x v="5"/>
    <s v="PRODUÇÃO"/>
    <n v="0"/>
    <s v="RAFAEL"/>
  </r>
  <r>
    <n v="200586"/>
    <s v="KAR"/>
    <s v="E00321163"/>
    <x v="34"/>
    <s v="KARAM'S IND.E COM.DE ESTOFADOS LTDA"/>
    <n v="296.39999999999998"/>
    <x v="39"/>
    <x v="39"/>
    <s v=""/>
    <x v="6"/>
    <s v="LOGÍSTICA"/>
    <n v="0"/>
    <s v="MYLENA"/>
  </r>
  <r>
    <n v="200587"/>
    <s v="KAR"/>
    <s v="1RA134343"/>
    <x v="34"/>
    <s v="KARAM'S IND.E COM.DE ESTOFADOS LTDA"/>
    <n v="135.84"/>
    <x v="39"/>
    <x v="39"/>
    <s v=""/>
    <x v="6"/>
    <s v="LOGÍSTICA"/>
    <n v="0"/>
    <s v="MYLENA"/>
  </r>
  <r>
    <n v="200588"/>
    <s v="KAR"/>
    <s v="M00347828"/>
    <x v="34"/>
    <s v="KARAM'S IND.E COM.DE ESTOFADOS LTDA"/>
    <n v="234.78"/>
    <x v="39"/>
    <x v="39"/>
    <s v=""/>
    <x v="6"/>
    <s v="LOGÍSTICA"/>
    <n v="0"/>
    <s v="MYLENA"/>
  </r>
  <r>
    <n v="200589"/>
    <s v="KAR"/>
    <s v="0791304"/>
    <x v="34"/>
    <s v="BANCO SICREDI"/>
    <n v="0.79"/>
    <x v="28"/>
    <x v="28"/>
    <s v=""/>
    <x v="8"/>
    <s v="FINANCEIRO"/>
    <n v="0"/>
    <s v="LETÍCIA"/>
  </r>
  <r>
    <n v="200590"/>
    <s v="KAR"/>
    <s v="26071304"/>
    <x v="34"/>
    <s v="BANCO SICREDI"/>
    <n v="26.07"/>
    <x v="28"/>
    <x v="28"/>
    <s v=""/>
    <x v="8"/>
    <s v="FINANCEIRO"/>
    <n v="0"/>
    <s v="LETÍCIA"/>
  </r>
  <r>
    <n v="200591"/>
    <s v="KOY"/>
    <s v="7111304"/>
    <x v="34"/>
    <s v="BANCO SICREDI"/>
    <n v="7.11"/>
    <x v="27"/>
    <x v="27"/>
    <s v=""/>
    <x v="8"/>
    <s v="FINANCEIRO"/>
    <n v="0"/>
    <s v="LETÍCIA"/>
  </r>
  <r>
    <n v="200592"/>
    <s v="KOY"/>
    <s v="0791404"/>
    <x v="113"/>
    <s v="BANCO SICREDI"/>
    <n v="0.79"/>
    <x v="27"/>
    <x v="27"/>
    <s v=""/>
    <x v="8"/>
    <s v="FINANCEIRO"/>
    <n v="0"/>
    <s v="LETÍCIA"/>
  </r>
  <r>
    <n v="200593"/>
    <s v="KOY"/>
    <s v="009"/>
    <x v="34"/>
    <s v="BANCO SICREDI"/>
    <n v="0.09"/>
    <x v="27"/>
    <x v="27"/>
    <s v=""/>
    <x v="8"/>
    <s v="FINANCEIRO"/>
    <n v="0"/>
    <s v="LETÍCIA"/>
  </r>
  <r>
    <n v="200594"/>
    <s v="LAY"/>
    <s v="1581304"/>
    <x v="34"/>
    <s v="BANCO SICREDI"/>
    <n v="1.58"/>
    <x v="28"/>
    <x v="28"/>
    <s v=""/>
    <x v="8"/>
    <s v="FINANCEIRO"/>
    <n v="0"/>
    <s v="LETÍCIA"/>
  </r>
  <r>
    <n v="200595"/>
    <s v="FK"/>
    <s v="9501304"/>
    <x v="34"/>
    <s v="SICOOB NOROESTE DO PARANA"/>
    <n v="9.5"/>
    <x v="28"/>
    <x v="28"/>
    <s v=""/>
    <x v="8"/>
    <s v="FINANCEIRO"/>
    <n v="0"/>
    <s v="LETÍCIA"/>
  </r>
  <r>
    <n v="200596"/>
    <s v="LAY"/>
    <s v="16-31MA26"/>
    <x v="113"/>
    <s v="ANA VERA ANDRADE CUNHA"/>
    <n v="1378.5"/>
    <x v="47"/>
    <x v="47"/>
    <s v=""/>
    <x v="6"/>
    <s v="COMERCIAL"/>
    <n v="0"/>
    <s v="LETÍCIA"/>
  </r>
  <r>
    <n v="200597"/>
    <s v="FK"/>
    <s v="ABR140426"/>
    <x v="113"/>
    <s v="FABIO HIROMITSU KATO"/>
    <n v="10000"/>
    <x v="15"/>
    <x v="15"/>
    <s v=""/>
    <x v="7"/>
    <s v="DIRETORIA"/>
    <n v="0"/>
    <s v="FÁBIO"/>
  </r>
  <r>
    <n v="200599"/>
    <s v="FK"/>
    <s v="MAIO2026/1"/>
    <x v="114"/>
    <s v="FABIO HIROMITSU KATO"/>
    <n v="6000"/>
    <x v="15"/>
    <x v="15"/>
    <s v=""/>
    <x v="7"/>
    <s v="DIRETORIA"/>
    <n v="0"/>
    <s v="FÁBIO"/>
  </r>
  <r>
    <n v="200604"/>
    <s v="FK"/>
    <s v="F5C2"/>
    <x v="113"/>
    <s v="CANTINHO DO PEIXE"/>
    <n v="86"/>
    <x v="78"/>
    <x v="78"/>
    <s v=""/>
    <x v="6"/>
    <s v="LOGÍSTICA"/>
    <n v="0"/>
    <s v="MYLENA"/>
  </r>
  <r>
    <n v="200605"/>
    <s v="KAR"/>
    <s v="50621"/>
    <x v="79"/>
    <s v="MISSLER SOFTWARE BRASIL COMERCIO DE SOFTWARES LTDA"/>
    <n v="500.86"/>
    <x v="12"/>
    <x v="12"/>
    <s v="TOPSOLID"/>
    <x v="3"/>
    <s v="MANUTENÇÃO / TI"/>
    <n v="0"/>
    <s v="LETÍCIA"/>
  </r>
  <r>
    <n v="200608"/>
    <s v="FK"/>
    <s v="LEAN-RS"/>
    <x v="7"/>
    <s v="KARAM´S - LEANDRO MIAZO"/>
    <n v="2581.66"/>
    <x v="54"/>
    <x v="54"/>
    <s v=""/>
    <x v="6"/>
    <s v="COMERCIAL"/>
    <n v="0"/>
    <s v="LETÍCIA"/>
  </r>
  <r>
    <n v="200609"/>
    <s v="KAR"/>
    <s v="5284"/>
    <x v="113"/>
    <s v="INGA VEICULOS LTDA"/>
    <n v="252"/>
    <x v="31"/>
    <x v="31"/>
    <s v=""/>
    <x v="6"/>
    <s v="LOGÍSTICA"/>
    <n v="0"/>
    <s v="MYLENA"/>
  </r>
  <r>
    <n v="200612"/>
    <s v="FK"/>
    <s v="BITRIX/1"/>
    <x v="84"/>
    <s v="KARAM'S IND.E COM.DE ESTOFADOS LTDA"/>
    <n v="699"/>
    <x v="12"/>
    <x v="12"/>
    <s v=""/>
    <x v="3"/>
    <s v="MANUTENÇÃO / TI"/>
    <n v="0"/>
    <s v="LETÍCIA"/>
  </r>
  <r>
    <n v="200618"/>
    <s v="FK"/>
    <s v="NIS1404A"/>
    <x v="47"/>
    <s v="CASA DE FERRAGEM NISHIMOTO"/>
    <n v="18"/>
    <x v="24"/>
    <x v="24"/>
    <s v="FERRAGENS GERAIS"/>
    <x v="7"/>
    <s v="MANUTENÇÃO / TI"/>
    <n v="0"/>
    <s v="FÁBIO"/>
  </r>
  <r>
    <n v="200619"/>
    <s v="KAR"/>
    <s v="3951404"/>
    <x v="113"/>
    <s v="BANCO SICREDI"/>
    <n v="3.95"/>
    <x v="28"/>
    <x v="28"/>
    <s v=""/>
    <x v="8"/>
    <s v="FINANCEIRO"/>
    <n v="0"/>
    <s v="LETÍCIA"/>
  </r>
  <r>
    <n v="200620"/>
    <s v="KAR"/>
    <s v="3521504"/>
    <x v="47"/>
    <s v="BANCO SICREDI"/>
    <n v="3.52"/>
    <x v="27"/>
    <x v="27"/>
    <s v=""/>
    <x v="8"/>
    <s v="FINANCEIRO"/>
    <n v="0"/>
    <s v="LETÍCIA"/>
  </r>
  <r>
    <n v="200621"/>
    <s v="KAR"/>
    <s v="0951404"/>
    <x v="113"/>
    <s v="BANCO SICREDI"/>
    <n v="0.95"/>
    <x v="27"/>
    <x v="27"/>
    <s v=""/>
    <x v="8"/>
    <s v="FINANCEIRO"/>
    <n v="0"/>
    <s v="LETÍCIA"/>
  </r>
  <r>
    <n v="200622"/>
    <s v="KAR"/>
    <s v="35451504"/>
    <x v="47"/>
    <s v="BANCO SICREDI"/>
    <n v="35.450000000000003"/>
    <x v="29"/>
    <x v="29"/>
    <s v=""/>
    <x v="8"/>
    <s v="FINANCEIRO"/>
    <n v="0"/>
    <s v="LETÍCIA"/>
  </r>
  <r>
    <n v="200623"/>
    <s v="KAR"/>
    <s v="49282"/>
    <x v="47"/>
    <s v="BANCO SICREDI"/>
    <n v="492.82"/>
    <x v="58"/>
    <x v="58"/>
    <s v=""/>
    <x v="5"/>
    <s v="DH"/>
    <s v="CUSTO MÃO DE OBRA DIRETA"/>
    <s v="RAFAEL"/>
  </r>
  <r>
    <n v="200624"/>
    <s v="KAR"/>
    <s v="10267"/>
    <x v="47"/>
    <s v="BANCO SICREDI"/>
    <n v="102.67"/>
    <x v="57"/>
    <x v="57"/>
    <s v=""/>
    <x v="9"/>
    <s v="DH"/>
    <s v="CUSTO MÃO DE OBRA DIRETA"/>
    <s v="RAFAEL"/>
  </r>
  <r>
    <n v="200625"/>
    <s v="KAR"/>
    <s v="20535"/>
    <x v="47"/>
    <s v="BANCO SICREDI"/>
    <n v="205.35"/>
    <x v="56"/>
    <x v="56"/>
    <s v=""/>
    <x v="7"/>
    <s v="DH"/>
    <n v="0"/>
    <s v="RAFAEL"/>
  </r>
  <r>
    <n v="200626"/>
    <s v="LAY"/>
    <s v="0591504"/>
    <x v="47"/>
    <s v="BANCO SICREDI"/>
    <n v="0.59"/>
    <x v="27"/>
    <x v="27"/>
    <s v=""/>
    <x v="8"/>
    <s v="FINANCEIRO"/>
    <n v="0"/>
    <s v="LETÍCIA"/>
  </r>
  <r>
    <n v="200627"/>
    <s v="LAY"/>
    <s v="604"/>
    <x v="47"/>
    <s v="BANCO SICREDI"/>
    <n v="6.04"/>
    <x v="29"/>
    <x v="29"/>
    <s v=""/>
    <x v="8"/>
    <s v="FINANCEIRO"/>
    <n v="0"/>
    <s v="LETÍCIA"/>
  </r>
  <r>
    <n v="200628"/>
    <s v="LAY"/>
    <s v="110831"/>
    <x v="47"/>
    <s v="BANCO SICREDI"/>
    <n v="1108.31"/>
    <x v="58"/>
    <x v="58"/>
    <s v=""/>
    <x v="5"/>
    <s v="DH"/>
    <s v="CUSTO MÃO DE OBRA DIRETA"/>
    <s v="RAFAEL"/>
  </r>
  <r>
    <n v="200629"/>
    <s v="LAY"/>
    <s v="11083"/>
    <x v="47"/>
    <s v="BANCO SICREDI"/>
    <n v="110.83"/>
    <x v="57"/>
    <x v="57"/>
    <s v=""/>
    <x v="9"/>
    <s v="DH"/>
    <s v="CUSTO MÃO DE OBRA DIRETA"/>
    <s v="RAFAEL"/>
  </r>
  <r>
    <n v="200630"/>
    <s v="LAY"/>
    <s v="33250"/>
    <x v="47"/>
    <s v="BANCO SICREDI"/>
    <n v="332.5"/>
    <x v="56"/>
    <x v="56"/>
    <s v=""/>
    <x v="7"/>
    <s v="DH"/>
    <n v="0"/>
    <s v="RAFAEL"/>
  </r>
  <r>
    <n v="200631"/>
    <s v="KOY"/>
    <s v="43947"/>
    <x v="47"/>
    <s v="BANCO SICREDI"/>
    <n v="439.47"/>
    <x v="58"/>
    <x v="58"/>
    <s v=""/>
    <x v="5"/>
    <s v="DH"/>
    <s v="CUSTO MÃO DE OBRA DIRETA"/>
    <s v="RAFAEL"/>
  </r>
  <r>
    <n v="200632"/>
    <s v="KOY"/>
    <s v="6278"/>
    <x v="47"/>
    <s v="BANCO SICREDI"/>
    <n v="62.78"/>
    <x v="57"/>
    <x v="57"/>
    <s v=""/>
    <x v="9"/>
    <s v="DH"/>
    <s v="CUSTO MÃO DE OBRA DIRETA"/>
    <s v="RAFAEL"/>
  </r>
  <r>
    <n v="200633"/>
    <s v="KOY"/>
    <s v="62781504"/>
    <x v="47"/>
    <s v="BANCO SICREDI"/>
    <n v="62.78"/>
    <x v="56"/>
    <x v="56"/>
    <s v=""/>
    <x v="7"/>
    <s v="DH"/>
    <n v="0"/>
    <s v="RAFAEL"/>
  </r>
  <r>
    <n v="200634"/>
    <s v="KAR"/>
    <s v="01-31MA26"/>
    <x v="7"/>
    <s v="MOLLDE SERVIÇOS"/>
    <n v="28702.61"/>
    <x v="77"/>
    <x v="77"/>
    <s v=""/>
    <x v="6"/>
    <s v="COMERCIAL"/>
    <n v="0"/>
    <s v="LETÍCIA"/>
  </r>
  <r>
    <n v="200635"/>
    <s v="FK"/>
    <s v="NORI2508"/>
    <x v="47"/>
    <s v="N. M. CODALE &amp; CIA LTDA."/>
    <n v="23.2"/>
    <x v="50"/>
    <x v="50"/>
    <s v=""/>
    <x v="6"/>
    <s v="COMERCIAL"/>
    <n v="0"/>
    <s v="THAIS"/>
  </r>
  <r>
    <n v="200636"/>
    <s v="FK"/>
    <s v="NIS1504B"/>
    <x v="47"/>
    <s v="CASA DE FERRAGEM NISHIMOTO"/>
    <n v="28"/>
    <x v="38"/>
    <x v="38"/>
    <s v="FERRAGENS GERAIS"/>
    <x v="5"/>
    <s v="PRODUÇÃO"/>
    <n v="0"/>
    <s v="RAFAEL"/>
  </r>
  <r>
    <n v="200637"/>
    <s v="FK"/>
    <s v="79390"/>
    <x v="47"/>
    <s v="COMERCIO DE COMBUSTIVEIS TBM LTDA."/>
    <n v="48.91"/>
    <x v="38"/>
    <x v="38"/>
    <s v=""/>
    <x v="5"/>
    <s v="PRODUÇÃO"/>
    <n v="0"/>
    <s v="RAFAEL"/>
  </r>
  <r>
    <n v="200638"/>
    <s v="FK"/>
    <s v="79389"/>
    <x v="47"/>
    <s v="COMERCIO DE COMBUSTIVEIS TBM LTDA."/>
    <n v="33.520000000000003"/>
    <x v="46"/>
    <x v="46"/>
    <s v=""/>
    <x v="9"/>
    <s v="MANUTENÇÃO / TI"/>
    <n v="0"/>
    <s v="FÁBIO"/>
  </r>
  <r>
    <n v="200639"/>
    <s v="KAR"/>
    <s v="CET1504"/>
    <x v="47"/>
    <s v="BANCO SICREDI"/>
    <n v="1275.68"/>
    <x v="29"/>
    <x v="29"/>
    <s v=""/>
    <x v="8"/>
    <s v="FINANCEIRO"/>
    <n v="0"/>
    <s v="LETÍCIA"/>
  </r>
  <r>
    <n v="200640"/>
    <s v="KAR"/>
    <s v="20597"/>
    <x v="47"/>
    <s v="BANCO SICREDI"/>
    <n v="205.97"/>
    <x v="27"/>
    <x v="27"/>
    <s v=""/>
    <x v="8"/>
    <s v="FINANCEIRO"/>
    <n v="0"/>
    <s v="LETÍCIA"/>
  </r>
  <r>
    <n v="200641"/>
    <s v="KAR"/>
    <s v="15827"/>
    <x v="47"/>
    <s v="BANCO SICREDI"/>
    <n v="158.27000000000001"/>
    <x v="27"/>
    <x v="27"/>
    <s v=""/>
    <x v="8"/>
    <s v="FINANCEIRO"/>
    <n v="0"/>
    <s v="LETÍCIA"/>
  </r>
  <r>
    <n v="200643"/>
    <s v="KAR"/>
    <s v="57901"/>
    <x v="47"/>
    <s v="TRANS APUCARANA TRANSPORTES RODOVIARIOS LTDA"/>
    <n v="585.63"/>
    <x v="48"/>
    <x v="48"/>
    <s v="SERVIÇOS FRETE"/>
    <x v="0"/>
    <s v="COMPRAS"/>
    <n v="0"/>
    <s v="MYLENA"/>
  </r>
  <r>
    <n v="200644"/>
    <s v="KAR"/>
    <s v="57309"/>
    <x v="47"/>
    <s v="TRANS APUCARANA TRANSPORTES RODOVIARIOS LTDA"/>
    <n v="317.99"/>
    <x v="48"/>
    <x v="48"/>
    <s v="SERVIÇOS FRETE"/>
    <x v="0"/>
    <s v="COMPRAS"/>
    <n v="0"/>
    <s v="MYLENA"/>
  </r>
  <r>
    <n v="200645"/>
    <s v="KAR"/>
    <s v="946460"/>
    <x v="47"/>
    <s v="EXPRESSO SAO MIGUEL LTDA"/>
    <n v="518.47"/>
    <x v="48"/>
    <x v="48"/>
    <s v="SERVIÇOS FRETE"/>
    <x v="0"/>
    <s v="COMPRAS"/>
    <n v="0"/>
    <s v="MYLENA"/>
  </r>
  <r>
    <n v="200646"/>
    <s v="KAR"/>
    <s v="946467"/>
    <x v="47"/>
    <s v="EXPRESSO SAO MIGUEL LTDA"/>
    <n v="194.93"/>
    <x v="48"/>
    <x v="48"/>
    <s v="SERVIÇOS FRETE"/>
    <x v="0"/>
    <s v="COMPRAS"/>
    <n v="0"/>
    <s v="MYLENA"/>
  </r>
  <r>
    <n v="200647"/>
    <s v="KAR"/>
    <s v="199651"/>
    <x v="47"/>
    <s v="EXPRESSO SAO MIGUEL LTDA"/>
    <n v="159.78"/>
    <x v="48"/>
    <x v="48"/>
    <s v="SERVIÇOS FRETE"/>
    <x v="0"/>
    <s v="COMPRAS"/>
    <n v="0"/>
    <s v="MYLENA"/>
  </r>
  <r>
    <n v="200648"/>
    <s v="KAR"/>
    <s v="350815"/>
    <x v="47"/>
    <s v="EXPRESSO SAO MIGUEL S/A"/>
    <n v="187.61"/>
    <x v="48"/>
    <x v="48"/>
    <s v=""/>
    <x v="0"/>
    <s v="COMPRAS"/>
    <n v="0"/>
    <s v="MYLENA"/>
  </r>
  <r>
    <n v="200649"/>
    <s v="KAR"/>
    <s v="56910"/>
    <x v="47"/>
    <s v="TRANS APUCARANA TRANSPORTES RODOVIARIOS LTDA"/>
    <n v="149.34"/>
    <x v="48"/>
    <x v="48"/>
    <s v="SERVIÇOS FRETE"/>
    <x v="0"/>
    <s v="COMPRAS"/>
    <n v="0"/>
    <s v="MYLENA"/>
  </r>
  <r>
    <n v="200650"/>
    <s v="FK"/>
    <s v="LEAN0904"/>
    <x v="47"/>
    <s v="CAMINHAO - AYL-5F59"/>
    <n v="1230"/>
    <x v="41"/>
    <x v="41"/>
    <s v=""/>
    <x v="6"/>
    <s v="LOGÍSTICA"/>
    <n v="0"/>
    <s v="MYLENA"/>
  </r>
  <r>
    <n v="200651"/>
    <s v="FK"/>
    <s v="9585"/>
    <x v="72"/>
    <s v="COMERCIO DE COMBUSTIVEIS TBM LTDA."/>
    <n v="927.86"/>
    <x v="37"/>
    <x v="37"/>
    <s v=""/>
    <x v="6"/>
    <s v="LOGÍSTICA"/>
    <n v="0"/>
    <s v="MYLENA"/>
  </r>
  <r>
    <n v="200652"/>
    <s v="FK"/>
    <s v="VANDE0804"/>
    <x v="47"/>
    <s v="CAMINHAO BEM-9J26 "/>
    <n v="68"/>
    <x v="41"/>
    <x v="41"/>
    <s v=""/>
    <x v="6"/>
    <s v="LOGÍSTICA"/>
    <n v="0"/>
    <s v="MYLENA"/>
  </r>
  <r>
    <n v="200653"/>
    <s v="FK"/>
    <s v="78959"/>
    <x v="72"/>
    <s v="COMERCIO DE COMBUSTIVEIS TBM LTDA."/>
    <n v="574.4"/>
    <x v="37"/>
    <x v="37"/>
    <s v=""/>
    <x v="6"/>
    <s v="LOGÍSTICA"/>
    <n v="0"/>
    <s v="MYLENA"/>
  </r>
  <r>
    <n v="200654"/>
    <s v="FK"/>
    <s v="78960"/>
    <x v="72"/>
    <s v="COMERCIO DE COMBUSTIVEIS TBM LTDA."/>
    <n v="51.16"/>
    <x v="37"/>
    <x v="37"/>
    <s v=""/>
    <x v="6"/>
    <s v="LOGÍSTICA"/>
    <n v="0"/>
    <s v="MYLENA"/>
  </r>
  <r>
    <n v="200655"/>
    <s v="FK"/>
    <s v="9451"/>
    <x v="87"/>
    <s v="COMERCIO DE COMBUSTIVEIS TBM LTDA."/>
    <n v="570.96"/>
    <x v="37"/>
    <x v="37"/>
    <s v=""/>
    <x v="6"/>
    <s v="LOGÍSTICA"/>
    <n v="0"/>
    <s v="MYLENA"/>
  </r>
  <r>
    <n v="200656"/>
    <s v="KAR"/>
    <s v="28654"/>
    <x v="84"/>
    <s v="REPRESER AFIAÇÕES E FERRAMENTA LTDA"/>
    <n v="1780"/>
    <x v="38"/>
    <x v="38"/>
    <s v=""/>
    <x v="5"/>
    <s v="PRODUÇÃO"/>
    <n v="0"/>
    <s v="RAFAEL"/>
  </r>
  <r>
    <n v="200657"/>
    <s v="KAR"/>
    <s v="55616"/>
    <x v="84"/>
    <s v="TRANS APUCARANA TRANSPORTES RODOVIARIOS LTDA"/>
    <n v="242.43"/>
    <x v="48"/>
    <x v="48"/>
    <s v="SERVIÇOS FRETE"/>
    <x v="0"/>
    <s v="COMPRAS"/>
    <n v="0"/>
    <s v="MYLENA"/>
  </r>
  <r>
    <n v="200658"/>
    <s v="KAR"/>
    <s v="56060"/>
    <x v="84"/>
    <s v="TRANS APUCARANA TRANSPORTES RODOVIARIOS LTDA"/>
    <n v="117.16"/>
    <x v="48"/>
    <x v="48"/>
    <s v="SERVIÇOS FRETE"/>
    <x v="0"/>
    <s v="COMPRAS"/>
    <n v="0"/>
    <s v="MYLENA"/>
  </r>
  <r>
    <n v="200659"/>
    <s v="KAR"/>
    <s v="56206"/>
    <x v="84"/>
    <s v="TRANS APUCARANA TRANSPORTES RODOVIARIOS LTDA"/>
    <n v="131.15"/>
    <x v="48"/>
    <x v="48"/>
    <s v="SERVIÇOS FRETE"/>
    <x v="0"/>
    <s v="COMPRAS"/>
    <n v="0"/>
    <s v="MYLENA"/>
  </r>
  <r>
    <n v="200660"/>
    <s v="KAR"/>
    <s v="56137"/>
    <x v="84"/>
    <s v="TRANS APUCARANA TRANSPORTES RODOVIARIOS LTDA"/>
    <n v="142.34"/>
    <x v="48"/>
    <x v="48"/>
    <s v="SERVIÇOS FRETE"/>
    <x v="0"/>
    <s v="COMPRAS"/>
    <n v="0"/>
    <s v="MYLENA"/>
  </r>
  <r>
    <n v="200661"/>
    <s v="KAR"/>
    <s v="55736"/>
    <x v="84"/>
    <s v="TRANS APUCARANA TRANSPORTES RODOVIARIOS LTDA"/>
    <n v="121.7"/>
    <x v="48"/>
    <x v="48"/>
    <s v="SERVIÇOS FRETE"/>
    <x v="0"/>
    <s v="COMPRAS"/>
    <n v="0"/>
    <s v="MYLENA"/>
  </r>
  <r>
    <n v="200662"/>
    <s v="KAR"/>
    <s v="57363"/>
    <x v="84"/>
    <s v="TRANS APUCARANA TRANSPORTES RODOVIARIOS LTDA"/>
    <n v="230.23"/>
    <x v="48"/>
    <x v="48"/>
    <s v="SERVIÇOS FRETE"/>
    <x v="0"/>
    <s v="COMPRAS"/>
    <n v="0"/>
    <s v="MYLENA"/>
  </r>
  <r>
    <n v="200663"/>
    <s v="KAR"/>
    <s v="57262"/>
    <x v="84"/>
    <s v="TRANS APUCARANA TRANSPORTES RODOVIARIOS LTDA"/>
    <n v="116.1"/>
    <x v="48"/>
    <x v="48"/>
    <s v="SERVIÇOS FRETE"/>
    <x v="0"/>
    <s v="COMPRAS"/>
    <n v="0"/>
    <s v="MYLENA"/>
  </r>
  <r>
    <n v="200664"/>
    <s v="KAR"/>
    <s v="57569"/>
    <x v="84"/>
    <s v="TRANS APUCARANA TRANSPORTES RODOVIARIOS LTDA"/>
    <n v="286.39"/>
    <x v="48"/>
    <x v="48"/>
    <s v="SERVIÇOS FRETE"/>
    <x v="0"/>
    <s v="COMPRAS"/>
    <n v="0"/>
    <s v="MYLENA"/>
  </r>
  <r>
    <n v="200665"/>
    <s v="KAR"/>
    <s v="57897"/>
    <x v="84"/>
    <s v="TRANS APUCARANA TRANSPORTES RODOVIARIOS LTDA"/>
    <n v="126.5"/>
    <x v="48"/>
    <x v="48"/>
    <s v="SERVIÇOS FRETE"/>
    <x v="0"/>
    <s v="COMPRAS"/>
    <n v="0"/>
    <s v="MYLENA"/>
  </r>
  <r>
    <n v="200666"/>
    <s v="KAR"/>
    <s v="57877"/>
    <x v="84"/>
    <s v="TRANS APUCARANA TRANSPORTES RODOVIARIOS LTDA"/>
    <n v="139.69"/>
    <x v="48"/>
    <x v="48"/>
    <s v="SERVIÇOS FRETE"/>
    <x v="0"/>
    <s v="COMPRAS"/>
    <n v="0"/>
    <s v="MYLENA"/>
  </r>
  <r>
    <n v="200667"/>
    <s v="KAR"/>
    <s v="57876"/>
    <x v="84"/>
    <s v="TRANS APUCARANA TRANSPORTES RODOVIARIOS LTDA"/>
    <n v="113.63"/>
    <x v="48"/>
    <x v="48"/>
    <s v="SERVIÇOS FRETE"/>
    <x v="0"/>
    <s v="COMPRAS"/>
    <n v="0"/>
    <s v="MYLENA"/>
  </r>
  <r>
    <n v="200668"/>
    <s v="KAR"/>
    <s v="14221504"/>
    <x v="47"/>
    <s v="BANCO SICREDI"/>
    <n v="14.22"/>
    <x v="28"/>
    <x v="28"/>
    <s v=""/>
    <x v="8"/>
    <s v="FINANCEIRO"/>
    <n v="0"/>
    <s v="LETÍCIA"/>
  </r>
  <r>
    <n v="200669"/>
    <s v="KAR"/>
    <s v="0141604"/>
    <x v="84"/>
    <s v="BANCO SICREDI"/>
    <n v="0.14000000000000001"/>
    <x v="27"/>
    <x v="27"/>
    <s v=""/>
    <x v="8"/>
    <s v="FINANCEIRO"/>
    <n v="0"/>
    <s v="LETÍCIA"/>
  </r>
  <r>
    <n v="200670"/>
    <s v="FK"/>
    <s v="GAS1604"/>
    <x v="84"/>
    <s v="ALINE CIVILA FERREIRA"/>
    <n v="120"/>
    <x v="43"/>
    <x v="43"/>
    <s v=""/>
    <x v="4"/>
    <s v="LOGÍSTICA"/>
    <n v="0"/>
    <s v="LETÍCIA"/>
  </r>
  <r>
    <n v="200671"/>
    <s v="KAR"/>
    <s v="57192"/>
    <x v="84"/>
    <s v="TRANS APUCARANA TRANSPORTES RODOVIARIOS LTDA"/>
    <n v="146.22"/>
    <x v="48"/>
    <x v="48"/>
    <s v="SERVIÇOS FRETE"/>
    <x v="0"/>
    <s v="COMPRAS"/>
    <n v="0"/>
    <s v="MYLENA"/>
  </r>
  <r>
    <n v="200672"/>
    <s v="KAR"/>
    <s v="349509"/>
    <x v="84"/>
    <s v="EXPRESSO SAO MIGUEL S/A"/>
    <n v="387.78"/>
    <x v="48"/>
    <x v="48"/>
    <s v=""/>
    <x v="0"/>
    <s v="COMPRAS"/>
    <n v="0"/>
    <s v="MYLENA"/>
  </r>
  <r>
    <n v="200673"/>
    <s v="FK"/>
    <s v="2851604"/>
    <x v="84"/>
    <s v="BANCO SICREDI"/>
    <n v="2.85"/>
    <x v="27"/>
    <x v="27"/>
    <s v=""/>
    <x v="8"/>
    <s v="FINANCEIRO"/>
    <n v="0"/>
    <s v="LETÍCIA"/>
  </r>
  <r>
    <n v="200674"/>
    <s v="LAY"/>
    <s v="2371504"/>
    <x v="47"/>
    <s v="BANCO SICREDI"/>
    <n v="2.37"/>
    <x v="28"/>
    <x v="28"/>
    <s v=""/>
    <x v="8"/>
    <s v="FINANCEIRO"/>
    <n v="0"/>
    <s v="LETÍCIA"/>
  </r>
  <r>
    <n v="200675"/>
    <s v="LAY"/>
    <s v="1031604"/>
    <x v="84"/>
    <s v="BANCO SICREDI"/>
    <n v="1.03"/>
    <x v="27"/>
    <x v="27"/>
    <s v=""/>
    <x v="8"/>
    <s v="FINANCEIRO"/>
    <n v="0"/>
    <s v="LETÍCIA"/>
  </r>
  <r>
    <n v="200676"/>
    <s v="KOY"/>
    <s v="1581504"/>
    <x v="47"/>
    <s v="BANCO SICREDI"/>
    <n v="1.58"/>
    <x v="28"/>
    <x v="28"/>
    <s v=""/>
    <x v="8"/>
    <s v="FINANCEIRO"/>
    <n v="0"/>
    <s v="LETÍCIA"/>
  </r>
  <r>
    <n v="200677"/>
    <s v="KOY"/>
    <s v="5001504"/>
    <x v="47"/>
    <s v="BANCO SICREDI"/>
    <n v="5"/>
    <x v="27"/>
    <x v="27"/>
    <s v=""/>
    <x v="8"/>
    <s v="FINANCEIRO"/>
    <n v="0"/>
    <s v="LETÍCIA"/>
  </r>
  <r>
    <n v="200678"/>
    <s v="FK"/>
    <s v="ZACA1604"/>
    <x v="84"/>
    <s v="JULIO CEZAR ZACHARIAS"/>
    <n v="350"/>
    <x v="46"/>
    <x v="46"/>
    <s v=""/>
    <x v="9"/>
    <s v="MANUTENÇÃO / TI"/>
    <n v="0"/>
    <s v="FÁBIO"/>
  </r>
  <r>
    <n v="200679"/>
    <s v="KOY"/>
    <s v="21241"/>
    <x v="84"/>
    <s v="Tpl Produtos e Equipamentos de Limpeza LTDA"/>
    <n v="854.5"/>
    <x v="44"/>
    <x v="44"/>
    <s v=""/>
    <x v="9"/>
    <s v="COMPRAS"/>
    <n v="0"/>
    <s v="MYLENA"/>
  </r>
  <r>
    <n v="200680"/>
    <s v="FK"/>
    <s v="ALVAR2026"/>
    <x v="84"/>
    <s v="PREFEITURA MUNICIPAL DE TERRA RICA"/>
    <n v="419.08"/>
    <x v="100"/>
    <x v="100"/>
    <s v=""/>
    <x v="9"/>
    <s v="FINANCEIRO"/>
    <n v="0"/>
    <s v="LETÍCIA"/>
  </r>
  <r>
    <n v="200681"/>
    <s v="LAY"/>
    <s v="15 FER 26"/>
    <x v="84"/>
    <s v="ELENICE VIEIRA DOS SANTOS"/>
    <n v="1151.26"/>
    <x v="91"/>
    <x v="91"/>
    <s v=""/>
    <x v="7"/>
    <s v="DH"/>
    <n v="0"/>
    <s v="RAFAEL"/>
  </r>
  <r>
    <n v="200682"/>
    <s v="FK"/>
    <s v="LEAN SP"/>
    <x v="84"/>
    <s v="KARAM´S - LEANDRO MIAZO"/>
    <n v="2056.96"/>
    <x v="54"/>
    <x v="54"/>
    <s v=""/>
    <x v="6"/>
    <s v="COMERCIAL"/>
    <n v="0"/>
    <s v="LETÍCIA"/>
  </r>
  <r>
    <n v="200683"/>
    <s v="KAR"/>
    <s v="6403"/>
    <x v="84"/>
    <s v="BANCO SICREDI"/>
    <n v="64.03"/>
    <x v="27"/>
    <x v="27"/>
    <s v=""/>
    <x v="8"/>
    <s v="FINANCEIRO"/>
    <n v="0"/>
    <s v="LETÍCIA"/>
  </r>
  <r>
    <n v="200684"/>
    <s v="KAR"/>
    <s v="12032"/>
    <x v="84"/>
    <s v="BANCO SICREDI"/>
    <n v="120.32"/>
    <x v="27"/>
    <x v="27"/>
    <s v=""/>
    <x v="8"/>
    <s v="FINANCEIRO"/>
    <n v="0"/>
    <s v="LETÍCIA"/>
  </r>
  <r>
    <n v="200685"/>
    <s v="KAR"/>
    <s v="CET160426"/>
    <x v="84"/>
    <s v="BANCO SICREDI"/>
    <n v="376.01"/>
    <x v="29"/>
    <x v="29"/>
    <s v=""/>
    <x v="8"/>
    <s v="FINANCEIRO"/>
    <n v="0"/>
    <s v="LETÍCIA"/>
  </r>
  <r>
    <n v="200686"/>
    <s v="KAR"/>
    <s v="11755"/>
    <x v="84"/>
    <s v="REPRESER AFIAÇÕES E FERRAMENTA LTDA"/>
    <n v="1310.5"/>
    <x v="38"/>
    <x v="38"/>
    <s v=""/>
    <x v="5"/>
    <s v="PRODUÇÃO"/>
    <n v="0"/>
    <s v="RAFAEL"/>
  </r>
  <r>
    <n v="200688"/>
    <s v="KAR"/>
    <s v="RESCISÃO"/>
    <x v="84"/>
    <s v="BRENDA GABRIELA MUNIS BECK"/>
    <n v="9536.2800000000007"/>
    <x v="71"/>
    <x v="71"/>
    <s v=""/>
    <x v="7"/>
    <s v="DH"/>
    <n v="0"/>
    <s v="RAFAEL"/>
  </r>
  <r>
    <n v="200689"/>
    <s v="KAR"/>
    <s v="MULTA"/>
    <x v="84"/>
    <s v="BRENDA GABRIELA MUNIS BECK"/>
    <n v="2881.07"/>
    <x v="71"/>
    <x v="71"/>
    <s v=""/>
    <x v="7"/>
    <s v="DH"/>
    <n v="0"/>
    <s v="RAFAEL"/>
  </r>
  <r>
    <n v="200690"/>
    <s v="KAR"/>
    <s v="675507"/>
    <x v="84"/>
    <s v="KOFEMAR COMERCIO DE PRODUTOS PARA MARCENARIA LTDA"/>
    <n v="510"/>
    <x v="11"/>
    <x v="11"/>
    <s v=""/>
    <x v="6"/>
    <s v="DESENVOLVIMENTO"/>
    <n v="0"/>
    <s v="RAFAEL"/>
  </r>
  <r>
    <n v="200691"/>
    <s v="KOY"/>
    <s v="VALE"/>
    <x v="84"/>
    <s v="GUSTAVO NOVAES DA SILVA CARLOS"/>
    <n v="500"/>
    <x v="7"/>
    <x v="7"/>
    <s v=""/>
    <x v="5"/>
    <s v="DH"/>
    <s v="CUSTO MÃO DE OBRA DIRETA"/>
    <s v="RAFAEL"/>
  </r>
  <r>
    <n v="200694"/>
    <s v="FK"/>
    <s v="27255"/>
    <x v="84"/>
    <s v="AGROINDUSTRIA COM E TRANSP DE FARINHA RODERS"/>
    <n v="30"/>
    <x v="17"/>
    <x v="17"/>
    <s v=""/>
    <x v="8"/>
    <s v="FINANCEIRO"/>
    <n v="0"/>
    <s v="LETÍCIA"/>
  </r>
  <r>
    <n v="200696"/>
    <s v="KAR"/>
    <s v="1518192"/>
    <x v="51"/>
    <s v="EXPRESSO SAO MIGUEL LTDA"/>
    <n v="136.03"/>
    <x v="48"/>
    <x v="48"/>
    <s v="SERVIÇOS FRETE"/>
    <x v="0"/>
    <s v="COMPRAS"/>
    <n v="0"/>
    <s v="MYLENA"/>
  </r>
  <r>
    <n v="200697"/>
    <s v="KAR"/>
    <s v="948763"/>
    <x v="51"/>
    <s v="EXPRESSO SAO MIGUEL LTDA"/>
    <n v="124.92"/>
    <x v="48"/>
    <x v="48"/>
    <s v="SERVIÇOS FRETE"/>
    <x v="0"/>
    <s v="COMPRAS"/>
    <n v="0"/>
    <s v="MYLENA"/>
  </r>
  <r>
    <n v="200698"/>
    <s v="KAR"/>
    <s v="947607"/>
    <x v="51"/>
    <s v="EXPRESSO SAO MIGUEL LTDA"/>
    <n v="342.01"/>
    <x v="48"/>
    <x v="48"/>
    <s v="SERVIÇOS FRETE"/>
    <x v="0"/>
    <s v="COMPRAS"/>
    <n v="0"/>
    <s v="MYLENA"/>
  </r>
  <r>
    <n v="200699"/>
    <s v="KAR"/>
    <s v="58516"/>
    <x v="51"/>
    <s v="TRANS APUCARANA TRANSPORTES RODOVIARIOS LTDA"/>
    <n v="151.1"/>
    <x v="48"/>
    <x v="48"/>
    <s v="SERVIÇOS FRETE"/>
    <x v="0"/>
    <s v="COMPRAS"/>
    <n v="0"/>
    <s v="MYLENA"/>
  </r>
  <r>
    <n v="200700"/>
    <s v="KAR"/>
    <s v="43382"/>
    <x v="51"/>
    <s v="ROTA PROMOVEL TRANSPORTES LTDA"/>
    <n v="1"/>
    <x v="48"/>
    <x v="48"/>
    <s v=""/>
    <x v="0"/>
    <s v="COMPRAS"/>
    <n v="0"/>
    <s v="MYLENA"/>
  </r>
  <r>
    <n v="200701"/>
    <s v="KAR"/>
    <s v="19751604"/>
    <x v="84"/>
    <s v="BANCO SICREDI"/>
    <n v="19.75"/>
    <x v="28"/>
    <x v="28"/>
    <s v=""/>
    <x v="8"/>
    <s v="FINANCEIRO"/>
    <n v="0"/>
    <s v="LETÍCIA"/>
  </r>
  <r>
    <n v="200702"/>
    <s v="KAR"/>
    <s v="0641704"/>
    <x v="51"/>
    <s v="BANCO SICREDI"/>
    <n v="0.64"/>
    <x v="27"/>
    <x v="27"/>
    <s v=""/>
    <x v="8"/>
    <s v="FINANCEIRO"/>
    <n v="0"/>
    <s v="LETÍCIA"/>
  </r>
  <r>
    <n v="200703"/>
    <s v="KAR"/>
    <s v="15623"/>
    <x v="84"/>
    <s v="BANCO SICREDI"/>
    <n v="156.22999999999999"/>
    <x v="69"/>
    <x v="69"/>
    <s v=""/>
    <x v="4"/>
    <s v="FINANCEIRO"/>
    <n v="0"/>
    <s v="LETÍCIA"/>
  </r>
  <r>
    <n v="200704"/>
    <s v="KAR"/>
    <s v="41821604"/>
    <x v="84"/>
    <s v="BANCO SICREDI"/>
    <n v="41.82"/>
    <x v="69"/>
    <x v="69"/>
    <s v=""/>
    <x v="4"/>
    <s v="FINANCEIRO"/>
    <n v="0"/>
    <s v="LETÍCIA"/>
  </r>
  <r>
    <n v="200705"/>
    <s v="KAR"/>
    <s v="13301604"/>
    <x v="84"/>
    <s v="BANCO SICREDI"/>
    <n v="13.3"/>
    <x v="27"/>
    <x v="27"/>
    <s v=""/>
    <x v="8"/>
    <s v="FINANCEIRO"/>
    <n v="0"/>
    <s v="LETÍCIA"/>
  </r>
  <r>
    <n v="200706"/>
    <s v="KAR"/>
    <s v="51604"/>
    <x v="84"/>
    <s v="BANCO SICREDI"/>
    <n v="5"/>
    <x v="27"/>
    <x v="27"/>
    <s v=""/>
    <x v="8"/>
    <s v="FINANCEIRO"/>
    <n v="0"/>
    <s v="LETÍCIA"/>
  </r>
  <r>
    <n v="200707"/>
    <s v="KAR"/>
    <s v="0791604"/>
    <x v="84"/>
    <s v="BANCO SICREDI"/>
    <n v="0.79"/>
    <x v="27"/>
    <x v="27"/>
    <s v=""/>
    <x v="8"/>
    <s v="FINANCEIRO"/>
    <n v="0"/>
    <s v="LETÍCIA"/>
  </r>
  <r>
    <n v="200708"/>
    <s v="FK"/>
    <s v="NIS1804A"/>
    <x v="51"/>
    <s v="CASA DE FERRAGEM NISHIMOTO"/>
    <n v="160"/>
    <x v="38"/>
    <x v="38"/>
    <s v="FERRAGENS GERAIS"/>
    <x v="5"/>
    <s v="PRODUÇÃO"/>
    <n v="0"/>
    <s v="RAFAEL"/>
  </r>
  <r>
    <n v="200709"/>
    <s v="FK"/>
    <s v="BATA1704"/>
    <x v="51"/>
    <s v="MARIA ANDREIA BUENO DE ALMEIDA BATAER"/>
    <n v="1476.2"/>
    <x v="34"/>
    <x v="34"/>
    <s v=""/>
    <x v="6"/>
    <s v="COMERCIAL"/>
    <n v="0"/>
    <s v="LETÍCIA"/>
  </r>
  <r>
    <n v="200710"/>
    <s v="KAR"/>
    <s v="951163"/>
    <x v="51"/>
    <s v="EXPRESSO SAO MIGUEL LTDA"/>
    <n v="514.1"/>
    <x v="48"/>
    <x v="48"/>
    <s v="SERVIÇOS FRETE"/>
    <x v="0"/>
    <s v="COMPRAS"/>
    <n v="0"/>
    <s v="MYLENA"/>
  </r>
  <r>
    <n v="200711"/>
    <s v="FK"/>
    <s v="79511"/>
    <x v="51"/>
    <s v="COMERCIO DE COMBUSTIVEIS TBM LTDA."/>
    <n v="14.9"/>
    <x v="46"/>
    <x v="46"/>
    <s v=""/>
    <x v="9"/>
    <s v="MANUTENÇÃO / TI"/>
    <n v="0"/>
    <s v="FÁBIO"/>
  </r>
  <r>
    <n v="200712"/>
    <s v="KAR"/>
    <s v="1518763"/>
    <x v="51"/>
    <s v="EXPRESSO SAO MIGUEL LTDA"/>
    <n v="184.49"/>
    <x v="48"/>
    <x v="48"/>
    <s v="SERVIÇOS FRETE"/>
    <x v="0"/>
    <s v="COMPRAS"/>
    <n v="0"/>
    <s v="MYLENA"/>
  </r>
  <r>
    <n v="200713"/>
    <s v="FK"/>
    <s v="CALANDRA"/>
    <x v="51"/>
    <s v="MERCADO LIVRE "/>
    <n v="79.19"/>
    <x v="30"/>
    <x v="30"/>
    <s v=""/>
    <x v="9"/>
    <s v="MANUTENÇÃO / TI"/>
    <n v="0"/>
    <s v="RAFAEL"/>
  </r>
  <r>
    <n v="200714"/>
    <s v="FK"/>
    <s v="PWR0903"/>
    <x v="51"/>
    <s v="LUIZ MAYCON XAVIER DOS SANTOS"/>
    <n v="143"/>
    <x v="6"/>
    <x v="6"/>
    <s v=""/>
    <x v="3"/>
    <s v="FINANCEIRO"/>
    <n v="0"/>
    <s v="LETÍCIA"/>
  </r>
  <r>
    <n v="200716"/>
    <s v="FK"/>
    <s v="MELIMAIS"/>
    <x v="51"/>
    <s v="BANCO SICREDI"/>
    <n v="9.9"/>
    <x v="27"/>
    <x v="27"/>
    <s v=""/>
    <x v="8"/>
    <s v="FINANCEIRO"/>
    <n v="0"/>
    <s v="LETÍCIA"/>
  </r>
  <r>
    <n v="200717"/>
    <s v="FK"/>
    <s v="NETO1604"/>
    <x v="51"/>
    <s v="CAMINHÃO - AYL-6E00"/>
    <n v="1990"/>
    <x v="41"/>
    <x v="41"/>
    <s v=""/>
    <x v="6"/>
    <s v="LOGÍSTICA"/>
    <n v="0"/>
    <s v="MYLENA"/>
  </r>
  <r>
    <n v="200718"/>
    <s v="FK"/>
    <s v="ACESSORIO"/>
    <x v="51"/>
    <s v="CAMINHÃO - AYL-6E00"/>
    <n v="162.9"/>
    <x v="31"/>
    <x v="31"/>
    <s v=""/>
    <x v="6"/>
    <s v="LOGÍSTICA"/>
    <n v="0"/>
    <s v="MYLENA"/>
  </r>
  <r>
    <n v="200719"/>
    <s v="FK"/>
    <s v="79454"/>
    <x v="84"/>
    <s v="COMERCIO DE COMBUSTIVEIS TBM LTDA."/>
    <n v="3594.84"/>
    <x v="37"/>
    <x v="37"/>
    <s v=""/>
    <x v="6"/>
    <s v="LOGÍSTICA"/>
    <n v="0"/>
    <s v="MYLENA"/>
  </r>
  <r>
    <n v="200720"/>
    <s v="KAR"/>
    <s v="NIS1704"/>
    <x v="51"/>
    <s v="CASA DE FERRAGEM NISHIMOTO"/>
    <n v="23"/>
    <x v="46"/>
    <x v="46"/>
    <s v="FERRAGENS GERAIS"/>
    <x v="9"/>
    <s v="MANUTENÇÃO / TI"/>
    <n v="0"/>
    <s v="FÁBIO"/>
  </r>
  <r>
    <n v="200721"/>
    <s v="FK"/>
    <s v="NIS1704A"/>
    <x v="51"/>
    <s v="CASA DE FERRAGEM NISHIMOTO"/>
    <n v="73"/>
    <x v="24"/>
    <x v="24"/>
    <s v="FERRAGENS GERAIS"/>
    <x v="7"/>
    <s v="MANUTENÇÃO / TI"/>
    <n v="0"/>
    <s v="FÁBIO"/>
  </r>
  <r>
    <n v="200722"/>
    <s v="KAR"/>
    <s v="FGTS0426A"/>
    <x v="7"/>
    <s v="FUNDO DE GARANTIA POR TEMPO DE SERVIÇO"/>
    <n v="2381.64"/>
    <x v="79"/>
    <x v="79"/>
    <s v=""/>
    <x v="7"/>
    <s v="DH"/>
    <n v="0"/>
    <s v="RAFAEL"/>
  </r>
  <r>
    <n v="200723"/>
    <s v="KAR"/>
    <s v="11423"/>
    <x v="51"/>
    <s v="BANCO SICREDI"/>
    <n v="114.23"/>
    <x v="27"/>
    <x v="27"/>
    <s v=""/>
    <x v="8"/>
    <s v="FINANCEIRO"/>
    <n v="0"/>
    <s v="LETÍCIA"/>
  </r>
  <r>
    <n v="200724"/>
    <s v="KAR"/>
    <s v="8635"/>
    <x v="51"/>
    <s v="BANCO SICREDI"/>
    <n v="86.35"/>
    <x v="27"/>
    <x v="27"/>
    <s v=""/>
    <x v="8"/>
    <s v="FINANCEIRO"/>
    <n v="0"/>
    <s v="LETÍCIA"/>
  </r>
  <r>
    <n v="200725"/>
    <s v="KAR"/>
    <s v="CET1704"/>
    <x v="51"/>
    <s v="BANCO SICREDI"/>
    <n v="706.83"/>
    <x v="29"/>
    <x v="29"/>
    <s v=""/>
    <x v="8"/>
    <s v="FINANCEIRO"/>
    <n v="0"/>
    <s v="LETÍCIA"/>
  </r>
  <r>
    <n v="200726"/>
    <s v="LAY"/>
    <s v="VALE"/>
    <x v="51"/>
    <s v="CLEITON PEREIRA SILVA"/>
    <n v="800"/>
    <x v="7"/>
    <x v="7"/>
    <s v=""/>
    <x v="5"/>
    <s v="DH"/>
    <s v="CUSTO MÃO DE OBRA DIRETA"/>
    <s v="RAFAEL"/>
  </r>
  <r>
    <n v="200728"/>
    <s v="KAR"/>
    <s v="459115"/>
    <x v="34"/>
    <s v="POSTO 7 ARARAS LTDA."/>
    <n v="1560"/>
    <x v="37"/>
    <x v="37"/>
    <s v=""/>
    <x v="6"/>
    <s v="LOGÍSTICA"/>
    <n v="0"/>
    <s v="MYLENA"/>
  </r>
  <r>
    <n v="200729"/>
    <s v="FK"/>
    <s v="79391"/>
    <x v="47"/>
    <s v="COMERCIO DE COMBUSTIVEIS TBM LTDA."/>
    <n v="203.3"/>
    <x v="43"/>
    <x v="43"/>
    <s v=""/>
    <x v="4"/>
    <s v="LOGÍSTICA"/>
    <n v="0"/>
    <s v="LETÍCIA"/>
  </r>
  <r>
    <n v="200730"/>
    <s v="FK"/>
    <s v="9300"/>
    <x v="110"/>
    <s v="COMERCIO DE COMBUSTIVEIS TBM LTDA."/>
    <n v="238.66"/>
    <x v="43"/>
    <x v="43"/>
    <s v=""/>
    <x v="4"/>
    <s v="LOGÍSTICA"/>
    <n v="0"/>
    <s v="LETÍCIA"/>
  </r>
  <r>
    <n v="200731"/>
    <s v="FK"/>
    <s v="12515"/>
    <x v="18"/>
    <s v="BC COMERCIO DE COMBUSTIVEIS LTDA"/>
    <n v="301.16000000000003"/>
    <x v="43"/>
    <x v="43"/>
    <s v=""/>
    <x v="4"/>
    <s v="LOGÍSTICA"/>
    <n v="0"/>
    <s v="LETÍCIA"/>
  </r>
  <r>
    <n v="200732"/>
    <s v="FK"/>
    <s v="PROD94442"/>
    <x v="18"/>
    <s v="DONATO, MUCIO &amp; SOUZA LTDA"/>
    <n v="566.76"/>
    <x v="38"/>
    <x v="38"/>
    <s v=""/>
    <x v="5"/>
    <s v="PRODUÇÃO"/>
    <n v="0"/>
    <s v="RAFAEL"/>
  </r>
  <r>
    <n v="200733"/>
    <s v="FK"/>
    <s v="ADM94442"/>
    <x v="18"/>
    <s v="DONATO, MUCIO &amp; SOUZA LTDA"/>
    <n v="259"/>
    <x v="52"/>
    <x v="52"/>
    <s v=""/>
    <x v="4"/>
    <s v="ADMINISTRATIVO"/>
    <n v="0"/>
    <s v="LETÍCIA"/>
  </r>
  <r>
    <n v="200734"/>
    <s v="FK"/>
    <s v="SODA1504"/>
    <x v="79"/>
    <s v="CAMINHAO BEM-9J26 "/>
    <n v="95.9"/>
    <x v="41"/>
    <x v="41"/>
    <s v=""/>
    <x v="6"/>
    <s v="LOGÍSTICA"/>
    <n v="0"/>
    <s v="MYLENA"/>
  </r>
  <r>
    <n v="200735"/>
    <s v="FK"/>
    <s v="79430"/>
    <x v="47"/>
    <s v="COMERCIO DE COMBUSTIVEIS TBM LTDA."/>
    <n v="627.45000000000005"/>
    <x v="37"/>
    <x v="37"/>
    <s v=""/>
    <x v="6"/>
    <s v="LOGÍSTICA"/>
    <n v="0"/>
    <s v="MYLENA"/>
  </r>
  <r>
    <n v="200736"/>
    <s v="FK"/>
    <s v="10150"/>
    <x v="113"/>
    <s v="COMERCIO DE COMBUSTIVEIS TBM LTDA."/>
    <n v="238.97"/>
    <x v="37"/>
    <x v="37"/>
    <s v=""/>
    <x v="6"/>
    <s v="LOGÍSTICA"/>
    <n v="0"/>
    <s v="MYLENA"/>
  </r>
  <r>
    <n v="200737"/>
    <s v="KAR"/>
    <s v="1567"/>
    <x v="79"/>
    <s v="EXTINTORES ABC - EIRLI"/>
    <n v="100"/>
    <x v="46"/>
    <x v="46"/>
    <s v=""/>
    <x v="9"/>
    <s v="MANUTENÇÃO / TI"/>
    <n v="0"/>
    <s v="FÁBIO"/>
  </r>
  <r>
    <n v="200740"/>
    <s v="FK"/>
    <s v="LEAND1704"/>
    <x v="79"/>
    <s v="CAMINHAO - AYL-5F59"/>
    <n v="1573"/>
    <x v="41"/>
    <x v="41"/>
    <s v=""/>
    <x v="6"/>
    <s v="LOGÍSTICA"/>
    <n v="0"/>
    <s v="MYLENA"/>
  </r>
  <r>
    <n v="200741"/>
    <s v="KAR"/>
    <s v="9191704"/>
    <x v="51"/>
    <s v="BANCO SICREDI"/>
    <n v="9.19"/>
    <x v="69"/>
    <x v="69"/>
    <s v=""/>
    <x v="4"/>
    <s v="FINANCEIRO"/>
    <n v="0"/>
    <s v="LETÍCIA"/>
  </r>
  <r>
    <n v="200742"/>
    <s v="KAR"/>
    <s v="2461704"/>
    <x v="51"/>
    <s v="BANCO SICREDI"/>
    <n v="2.46"/>
    <x v="69"/>
    <x v="69"/>
    <s v=""/>
    <x v="4"/>
    <s v="FINANCEIRO"/>
    <n v="0"/>
    <s v="LETÍCIA"/>
  </r>
  <r>
    <n v="200743"/>
    <s v="KAR"/>
    <s v="10271704"/>
    <x v="51"/>
    <s v="BANCO SICREDI"/>
    <n v="10.27"/>
    <x v="28"/>
    <x v="28"/>
    <s v=""/>
    <x v="8"/>
    <s v="FINANCEIRO"/>
    <n v="0"/>
    <s v="LETÍCIA"/>
  </r>
  <r>
    <n v="200744"/>
    <s v="KAR"/>
    <s v="0332004"/>
    <x v="79"/>
    <s v="BANCO SICREDI"/>
    <n v="0.33"/>
    <x v="27"/>
    <x v="27"/>
    <s v=""/>
    <x v="8"/>
    <s v="FINANCEIRO"/>
    <n v="0"/>
    <s v="LETÍCIA"/>
  </r>
  <r>
    <n v="200745"/>
    <s v="KAR"/>
    <s v="61386"/>
    <x v="79"/>
    <s v="TRANS APUCARANA TRANSPORTES RODOVIARIOS LTDA"/>
    <n v="123.77"/>
    <x v="48"/>
    <x v="48"/>
    <s v="SERVIÇOS FRETE"/>
    <x v="0"/>
    <s v="COMPRAS"/>
    <n v="0"/>
    <s v="MYLENA"/>
  </r>
  <r>
    <n v="200746"/>
    <s v="KOY"/>
    <s v="9191704"/>
    <x v="51"/>
    <s v="BANCO SICREDI"/>
    <n v="9.19"/>
    <x v="69"/>
    <x v="69"/>
    <s v=""/>
    <x v="4"/>
    <s v="FINANCEIRO"/>
    <n v="0"/>
    <s v="LETÍCIA"/>
  </r>
  <r>
    <n v="200747"/>
    <s v="KOY"/>
    <s v="2461704"/>
    <x v="51"/>
    <s v="BANCO SICREDI"/>
    <n v="2.46"/>
    <x v="69"/>
    <x v="69"/>
    <s v=""/>
    <x v="4"/>
    <s v="FINANCEIRO"/>
    <n v="0"/>
    <s v="LETÍCIA"/>
  </r>
  <r>
    <n v="200748"/>
    <s v="KOY"/>
    <s v="4741704"/>
    <x v="51"/>
    <s v="BANCO SICREDI"/>
    <n v="4.74"/>
    <x v="28"/>
    <x v="28"/>
    <s v=""/>
    <x v="8"/>
    <s v="FINANCEIRO"/>
    <n v="0"/>
    <s v="LETÍCIA"/>
  </r>
  <r>
    <n v="200749"/>
    <s v="LAY"/>
    <s v="27571704"/>
    <x v="51"/>
    <s v="BANCO SICREDI"/>
    <n v="27.57"/>
    <x v="69"/>
    <x v="69"/>
    <s v=""/>
    <x v="4"/>
    <s v="FINANCEIRO"/>
    <n v="0"/>
    <s v="LETÍCIA"/>
  </r>
  <r>
    <n v="200750"/>
    <s v="LAY"/>
    <s v="7381704"/>
    <x v="51"/>
    <s v="BANCO SICREDI"/>
    <n v="7.38"/>
    <x v="69"/>
    <x v="69"/>
    <s v=""/>
    <x v="4"/>
    <s v="FINANCEIRO"/>
    <n v="0"/>
    <s v="LETÍCIA"/>
  </r>
  <r>
    <n v="200751"/>
    <s v="FK"/>
    <s v="VANDE1704"/>
    <x v="79"/>
    <s v="CAMINHAO BEM-6E19"/>
    <n v="1300"/>
    <x v="41"/>
    <x v="41"/>
    <s v=""/>
    <x v="6"/>
    <s v="LOGÍSTICA"/>
    <n v="0"/>
    <s v="MYLENA"/>
  </r>
  <r>
    <n v="200752"/>
    <s v="FK"/>
    <s v="10380"/>
    <x v="51"/>
    <s v="COMERCIO DE COMBUSTIVEIS TBM LTDA."/>
    <n v="1005.95"/>
    <x v="37"/>
    <x v="37"/>
    <s v=""/>
    <x v="6"/>
    <s v="LOGÍSTICA"/>
    <n v="0"/>
    <s v="MYLENA"/>
  </r>
  <r>
    <n v="200753"/>
    <s v="FK"/>
    <s v="RAF160426"/>
    <x v="84"/>
    <s v="DUARTE &amp; BALIONI LTDA."/>
    <n v="5"/>
    <x v="38"/>
    <x v="38"/>
    <s v=""/>
    <x v="5"/>
    <s v="PRODUÇÃO"/>
    <n v="0"/>
    <s v="RAFAEL"/>
  </r>
  <r>
    <n v="200754"/>
    <s v="KAR"/>
    <s v="741467"/>
    <x v="79"/>
    <s v="AUTO POSTO SANTA TEREZINHA DE AVARE LTDA"/>
    <n v="2590"/>
    <x v="37"/>
    <x v="37"/>
    <s v=""/>
    <x v="6"/>
    <s v="LOGÍSTICA"/>
    <n v="0"/>
    <s v="MYLENA"/>
  </r>
  <r>
    <n v="200755"/>
    <s v="KAR"/>
    <s v="741470"/>
    <x v="79"/>
    <s v="AUTO POSTO SANTA TEREZINHA DE AVARE LTDA"/>
    <n v="99.18"/>
    <x v="37"/>
    <x v="37"/>
    <s v=""/>
    <x v="6"/>
    <s v="LOGÍSTICA"/>
    <n v="0"/>
    <s v="MYLENA"/>
  </r>
  <r>
    <n v="200757"/>
    <s v="KAR"/>
    <s v="339129"/>
    <x v="79"/>
    <s v="POSTO E SERVIÇO TIGRAO DA DUTRA"/>
    <n v="94.95"/>
    <x v="37"/>
    <x v="37"/>
    <s v=""/>
    <x v="6"/>
    <s v="LOGÍSTICA"/>
    <n v="0"/>
    <s v="MYLENA"/>
  </r>
  <r>
    <n v="200758"/>
    <s v="KAR"/>
    <s v="339128"/>
    <x v="79"/>
    <s v="POSTO E SERVIÇO TIGRAO DA DUTRA"/>
    <n v="2398.9699999999998"/>
    <x v="37"/>
    <x v="37"/>
    <s v=""/>
    <x v="6"/>
    <s v="LOGÍSTICA"/>
    <n v="0"/>
    <s v="MYLENA"/>
  </r>
  <r>
    <n v="200759"/>
    <s v="KAR"/>
    <s v="76943"/>
    <x v="79"/>
    <s v="AUTO POSTO PRA FRENTE BRASIL LTDA 06"/>
    <n v="1232.24"/>
    <x v="37"/>
    <x v="37"/>
    <s v=""/>
    <x v="6"/>
    <s v="LOGÍSTICA"/>
    <n v="0"/>
    <s v="MYLENA"/>
  </r>
  <r>
    <n v="200760"/>
    <s v="KAR"/>
    <s v="741638"/>
    <x v="79"/>
    <s v="AUTO POSTO SANTA TEREZINHA DE AVARE LTDA"/>
    <n v="1900.01"/>
    <x v="37"/>
    <x v="37"/>
    <s v=""/>
    <x v="6"/>
    <s v="LOGÍSTICA"/>
    <n v="0"/>
    <s v="MYLENA"/>
  </r>
  <r>
    <n v="200761"/>
    <s v="KAR"/>
    <s v="76944"/>
    <x v="79"/>
    <s v="AUTO POSTO PRA FRENTE BRASIL LTDA 06"/>
    <n v="113.17"/>
    <x v="37"/>
    <x v="37"/>
    <s v=""/>
    <x v="6"/>
    <s v="LOGÍSTICA"/>
    <n v="0"/>
    <s v="MYLENA"/>
  </r>
  <r>
    <n v="200762"/>
    <s v="FK"/>
    <s v="DARF2004"/>
    <x v="79"/>
    <s v="SUELY KAY KATO"/>
    <n v="2572.1"/>
    <x v="15"/>
    <x v="15"/>
    <s v=""/>
    <x v="7"/>
    <s v="DIRETORIA"/>
    <n v="0"/>
    <s v="FÁBIO"/>
  </r>
  <r>
    <n v="200763"/>
    <s v="LAY"/>
    <s v="24493"/>
    <x v="79"/>
    <s v="BANCO SICREDI"/>
    <n v="244.93"/>
    <x v="27"/>
    <x v="27"/>
    <s v=""/>
    <x v="8"/>
    <s v="FINANCEIRO"/>
    <n v="0"/>
    <s v="LETÍCIA"/>
  </r>
  <r>
    <n v="200764"/>
    <s v="LAY"/>
    <s v="32192"/>
    <x v="79"/>
    <s v="BANCO SICREDI"/>
    <n v="312.92"/>
    <x v="27"/>
    <x v="27"/>
    <s v=""/>
    <x v="8"/>
    <s v="FINANCEIRO"/>
    <n v="0"/>
    <s v="LETÍCIA"/>
  </r>
  <r>
    <n v="200765"/>
    <s v="LAY"/>
    <s v="CET200420"/>
    <x v="79"/>
    <s v="BANCO SICREDI"/>
    <n v="1459.15"/>
    <x v="29"/>
    <x v="29"/>
    <s v=""/>
    <x v="8"/>
    <s v="FINANCEIRO"/>
    <n v="0"/>
    <s v="LETÍCIA"/>
  </r>
  <r>
    <n v="200766"/>
    <s v="KAR"/>
    <s v="52338"/>
    <x v="79"/>
    <s v="BANCO SICREDI"/>
    <n v="523.38"/>
    <x v="27"/>
    <x v="27"/>
    <s v=""/>
    <x v="8"/>
    <s v="FINANCEIRO"/>
    <n v="0"/>
    <s v="LETÍCIA"/>
  </r>
  <r>
    <n v="200767"/>
    <s v="KAR"/>
    <s v="52790"/>
    <x v="79"/>
    <s v="BANCO SICREDI"/>
    <n v="527.9"/>
    <x v="27"/>
    <x v="27"/>
    <s v=""/>
    <x v="8"/>
    <s v="FINANCEIRO"/>
    <n v="0"/>
    <s v="LETÍCIA"/>
  </r>
  <r>
    <n v="200768"/>
    <s v="KAR"/>
    <s v="CET2004"/>
    <x v="79"/>
    <s v="BANCO SICREDI"/>
    <n v="3226.85"/>
    <x v="29"/>
    <x v="29"/>
    <s v=""/>
    <x v="8"/>
    <s v="FINANCEIRO"/>
    <n v="0"/>
    <s v="LETÍCIA"/>
  </r>
  <r>
    <n v="200769"/>
    <s v="FK"/>
    <s v="UP25030"/>
    <x v="79"/>
    <s v="ELAINE CRISTINA TAROCO SANTOS &amp; CIA LTDA"/>
    <n v="24"/>
    <x v="50"/>
    <x v="50"/>
    <s v="COMPONENTES T.I"/>
    <x v="6"/>
    <s v="COMERCIAL"/>
    <n v="0"/>
    <s v="THAIS"/>
  </r>
  <r>
    <n v="200770"/>
    <s v="FK"/>
    <s v="BATA2004A"/>
    <x v="79"/>
    <s v="MARIA ANDREIA BUENO DE ALMEIDA BATAER"/>
    <n v="32"/>
    <x v="34"/>
    <x v="34"/>
    <s v=""/>
    <x v="6"/>
    <s v="COMERCIAL"/>
    <n v="0"/>
    <s v="LETÍCIA"/>
  </r>
  <r>
    <n v="200771"/>
    <s v="FK"/>
    <s v="BATA2004B"/>
    <x v="79"/>
    <s v="MARIA ANDREIA BUENO DE ALMEIDA BATAER"/>
    <n v="507.4"/>
    <x v="34"/>
    <x v="34"/>
    <s v=""/>
    <x v="6"/>
    <s v="COMERCIAL"/>
    <n v="0"/>
    <s v="LETÍCIA"/>
  </r>
  <r>
    <n v="200772"/>
    <s v="KOY"/>
    <s v="CES200426"/>
    <x v="79"/>
    <s v="BANCO SICREDI"/>
    <n v="79"/>
    <x v="27"/>
    <x v="27"/>
    <s v=""/>
    <x v="8"/>
    <s v="FINANCEIRO"/>
    <n v="0"/>
    <s v="LETÍCIA"/>
  </r>
  <r>
    <n v="200775"/>
    <s v="FK"/>
    <s v="MARÇO26"/>
    <x v="79"/>
    <s v="PWR GESTAO E DESENVOLVIMENTO EMPRESARIAL LTDA"/>
    <n v="659.41"/>
    <x v="6"/>
    <x v="6"/>
    <s v=""/>
    <x v="3"/>
    <s v="FINANCEIRO"/>
    <n v="0"/>
    <s v="LETÍCIA"/>
  </r>
  <r>
    <n v="200776"/>
    <s v="KAR"/>
    <s v="RESCISÃO"/>
    <x v="115"/>
    <s v="DANIELLA GOUVEIA OCCULATE"/>
    <n v="9236.7199999999993"/>
    <x v="101"/>
    <x v="101"/>
    <s v=""/>
    <x v="9"/>
    <s v="DH"/>
    <n v="0"/>
    <s v="RAFAEL"/>
  </r>
  <r>
    <n v="200777"/>
    <s v="KAR"/>
    <s v="MULTA"/>
    <x v="115"/>
    <s v="DANIELLA GOUVEIA OCCULATE"/>
    <n v="3922.79"/>
    <x v="101"/>
    <x v="101"/>
    <s v=""/>
    <x v="9"/>
    <s v="DH"/>
    <n v="0"/>
    <s v="RAFAEL"/>
  </r>
  <r>
    <n v="200778"/>
    <s v="KOY"/>
    <s v="ABR200426"/>
    <x v="79"/>
    <s v="RAFAEL KOSSEI KATO"/>
    <n v="5315"/>
    <x v="15"/>
    <x v="15"/>
    <s v=""/>
    <x v="7"/>
    <s v="DIRETORIA"/>
    <n v="0"/>
    <s v="FÁBIO"/>
  </r>
  <r>
    <n v="200779"/>
    <s v="LAY"/>
    <s v="ABR200426"/>
    <x v="79"/>
    <s v="MYLENA NARIE KATO BRIGANTINI"/>
    <n v="2870"/>
    <x v="15"/>
    <x v="15"/>
    <s v=""/>
    <x v="7"/>
    <s v="DIRETORIA"/>
    <n v="0"/>
    <s v="FÁBIO"/>
  </r>
  <r>
    <n v="200780"/>
    <s v="FK"/>
    <s v="ABR200426"/>
    <x v="79"/>
    <s v="SUELY KAY KATO"/>
    <n v="9500"/>
    <x v="15"/>
    <x v="15"/>
    <s v=""/>
    <x v="7"/>
    <s v="DIRETORIA"/>
    <n v="0"/>
    <s v="FÁBIO"/>
  </r>
  <r>
    <n v="200782"/>
    <s v="FK"/>
    <s v="MAR200426"/>
    <x v="79"/>
    <s v="MERCADO LIVRE "/>
    <n v="77.989999999999995"/>
    <x v="50"/>
    <x v="50"/>
    <s v=""/>
    <x v="6"/>
    <s v="COMERCIAL"/>
    <n v="0"/>
    <s v="THAIS"/>
  </r>
  <r>
    <n v="200784"/>
    <s v="KAR"/>
    <s v="9192004"/>
    <x v="79"/>
    <s v="BANCO SICREDI"/>
    <n v="9.19"/>
    <x v="69"/>
    <x v="69"/>
    <s v=""/>
    <x v="4"/>
    <s v="FINANCEIRO"/>
    <n v="0"/>
    <s v="LETÍCIA"/>
  </r>
  <r>
    <n v="200785"/>
    <s v="KAR"/>
    <s v="22912004"/>
    <x v="79"/>
    <s v="BANCO SICREDI"/>
    <n v="22.91"/>
    <x v="28"/>
    <x v="28"/>
    <s v=""/>
    <x v="8"/>
    <s v="FINANCEIRO"/>
    <n v="0"/>
    <s v="LETÍCIA"/>
  </r>
  <r>
    <n v="200786"/>
    <s v="KAR"/>
    <s v="2462004"/>
    <x v="79"/>
    <s v="BANCO SICREDI"/>
    <n v="2.46"/>
    <x v="69"/>
    <x v="69"/>
    <s v=""/>
    <x v="4"/>
    <s v="FINANCEIRO"/>
    <n v="0"/>
    <s v="LETÍCIA"/>
  </r>
  <r>
    <n v="200787"/>
    <s v="KAR"/>
    <s v="1282204"/>
    <x v="115"/>
    <s v="BANCO SICREDI"/>
    <n v="1.28"/>
    <x v="27"/>
    <x v="27"/>
    <s v=""/>
    <x v="8"/>
    <s v="FINANCEIRO"/>
    <n v="0"/>
    <s v="LETÍCIA"/>
  </r>
  <r>
    <n v="200788"/>
    <s v="KAR"/>
    <s v="7682204"/>
    <x v="115"/>
    <s v="BANCO SICREDI"/>
    <n v="7.68"/>
    <x v="29"/>
    <x v="29"/>
    <s v=""/>
    <x v="8"/>
    <s v="FINANCEIRO"/>
    <n v="0"/>
    <s v="LETÍCIA"/>
  </r>
  <r>
    <n v="200789"/>
    <s v="LAY"/>
    <s v="4742004"/>
    <x v="79"/>
    <s v="BANCO SICREDI"/>
    <n v="4.74"/>
    <x v="28"/>
    <x v="28"/>
    <s v=""/>
    <x v="8"/>
    <s v="FINANCEIRO"/>
    <n v="0"/>
    <s v="LETÍCIA"/>
  </r>
  <r>
    <n v="200790"/>
    <s v="LAY"/>
    <s v="1452204"/>
    <x v="115"/>
    <s v="BANCO SICREDI"/>
    <n v="1.45"/>
    <x v="27"/>
    <x v="27"/>
    <s v=""/>
    <x v="8"/>
    <s v="FINANCEIRO"/>
    <n v="0"/>
    <s v="LETÍCIA"/>
  </r>
  <r>
    <n v="200791"/>
    <s v="LAY"/>
    <s v="15002204"/>
    <x v="115"/>
    <s v="BANCO SICREDI"/>
    <n v="15"/>
    <x v="29"/>
    <x v="29"/>
    <s v=""/>
    <x v="8"/>
    <s v="FINANCEIRO"/>
    <n v="0"/>
    <s v="LETÍCIA"/>
  </r>
  <r>
    <n v="200792"/>
    <s v="KOY"/>
    <s v="3952004"/>
    <x v="79"/>
    <s v="BANCO SICREDI"/>
    <n v="3.95"/>
    <x v="28"/>
    <x v="28"/>
    <s v=""/>
    <x v="8"/>
    <s v="FINANCEIRO"/>
    <n v="0"/>
    <s v="LETÍCIA"/>
  </r>
  <r>
    <n v="200793"/>
    <s v="KAR"/>
    <s v="1332004"/>
    <x v="79"/>
    <s v="BANCO SICREDI"/>
    <n v="13.3"/>
    <x v="27"/>
    <x v="27"/>
    <s v=""/>
    <x v="8"/>
    <s v="FINANCEIRO"/>
    <n v="0"/>
    <s v="LETÍCIA"/>
  </r>
  <r>
    <n v="200794"/>
    <s v="FK"/>
    <s v="SHOPPE"/>
    <x v="79"/>
    <s v="KARAM'S IND.E COM.DE ESTOFADOS LTDA"/>
    <n v="227.01"/>
    <x v="38"/>
    <x v="38"/>
    <s v=""/>
    <x v="5"/>
    <s v="PRODUÇÃO"/>
    <n v="0"/>
    <s v="RAFAEL"/>
  </r>
  <r>
    <n v="200796"/>
    <s v="KAR"/>
    <s v="3656892"/>
    <x v="115"/>
    <s v="EXPRESSO SAO MIGUEL LTDA"/>
    <n v="155.31"/>
    <x v="48"/>
    <x v="48"/>
    <s v="SERVIÇOS FRETE"/>
    <x v="0"/>
    <s v="COMPRAS"/>
    <n v="0"/>
    <s v="MYLENA"/>
  </r>
  <r>
    <n v="200797"/>
    <s v="KAR"/>
    <s v="952908"/>
    <x v="115"/>
    <s v="EXPRESSO SAO MIGUEL LTDA"/>
    <n v="314.14"/>
    <x v="48"/>
    <x v="48"/>
    <s v="SERVIÇOS FRETE"/>
    <x v="0"/>
    <s v="COMPRAS"/>
    <n v="0"/>
    <s v="MYLENA"/>
  </r>
  <r>
    <n v="200798"/>
    <s v="KAR"/>
    <s v="3991629"/>
    <x v="115"/>
    <s v="EXPRESSO SAO MIGUEL LTDA"/>
    <n v="355.58"/>
    <x v="48"/>
    <x v="48"/>
    <s v="SERVIÇOS FRETE"/>
    <x v="0"/>
    <s v="COMPRAS"/>
    <n v="0"/>
    <s v="MYLENA"/>
  </r>
  <r>
    <n v="200799"/>
    <s v="FK"/>
    <s v="94826"/>
    <x v="115"/>
    <s v="DONATO, MUCIO &amp; SOUZA LTDA"/>
    <n v="36"/>
    <x v="38"/>
    <x v="38"/>
    <s v=""/>
    <x v="5"/>
    <s v="PRODUÇÃO"/>
    <n v="0"/>
    <s v="RAFAEL"/>
  </r>
  <r>
    <n v="200800"/>
    <s v="KAR"/>
    <s v="16998"/>
    <x v="115"/>
    <s v="CACIO TRANSPORTE E COMERCIO DE MOTOSERRAS LTDA "/>
    <n v="8000"/>
    <x v="48"/>
    <x v="48"/>
    <s v=""/>
    <x v="0"/>
    <s v="COMPRAS"/>
    <n v="0"/>
    <s v="MYLENA"/>
  </r>
  <r>
    <n v="200801"/>
    <s v="FK"/>
    <s v="PET2204B"/>
    <x v="115"/>
    <s v="ACT GUIRELLI"/>
    <n v="252"/>
    <x v="32"/>
    <x v="32"/>
    <s v=""/>
    <x v="3"/>
    <s v="FINANCEIRO"/>
    <n v="0"/>
    <s v="LETÍCIA"/>
  </r>
  <r>
    <n v="200802"/>
    <s v="KAR"/>
    <s v="37099"/>
    <x v="115"/>
    <s v="PRC CONFECÇÕES LTDA"/>
    <n v="7076.8"/>
    <x v="102"/>
    <x v="102"/>
    <s v=""/>
    <x v="11"/>
    <s v=""/>
    <s v=""/>
    <e v="#N/A"/>
  </r>
  <r>
    <n v="200815"/>
    <s v="FK"/>
    <s v="FRETE ASF"/>
    <x v="115"/>
    <s v="ARIEL TRANSPORTE E MINERAÇÃO LTDA"/>
    <n v="7251.3"/>
    <x v="24"/>
    <x v="24"/>
    <s v=""/>
    <x v="7"/>
    <s v="MANUTENÇÃO / TI"/>
    <n v="0"/>
    <s v="FÁBIO"/>
  </r>
  <r>
    <n v="200816"/>
    <s v="KAR"/>
    <s v="178583"/>
    <x v="115"/>
    <s v="EXPRESSO SAO MIGUEL NAVEGANTES"/>
    <n v="178.18"/>
    <x v="48"/>
    <x v="48"/>
    <s v=""/>
    <x v="0"/>
    <s v="COMPRAS"/>
    <n v="0"/>
    <s v="MYLENA"/>
  </r>
  <r>
    <n v="200817"/>
    <s v="KAR"/>
    <s v="3730845"/>
    <x v="115"/>
    <s v="EXPRESSO SAO MIGUEL LTDA"/>
    <n v="142.34"/>
    <x v="48"/>
    <x v="48"/>
    <s v="SERVIÇOS FRETE"/>
    <x v="0"/>
    <s v="COMPRAS"/>
    <n v="0"/>
    <s v="MYLENA"/>
  </r>
  <r>
    <n v="200831"/>
    <s v="KAR"/>
    <s v="3956"/>
    <x v="115"/>
    <s v="R&amp;J EQUIPAMENTOS LTDA"/>
    <n v="280.01"/>
    <x v="30"/>
    <x v="30"/>
    <s v="CNC TECIDO"/>
    <x v="9"/>
    <s v="MANUTENÇÃO / TI"/>
    <n v="0"/>
    <s v="RAFAEL"/>
  </r>
  <r>
    <n v="200832"/>
    <s v="FK"/>
    <s v="SIL220426"/>
    <x v="115"/>
    <s v="M.A. DOS SANTOS NASCIMENTO"/>
    <n v="69"/>
    <x v="64"/>
    <x v="64"/>
    <s v=""/>
    <x v="4"/>
    <s v="FINANCEIRO"/>
    <n v="0"/>
    <s v="MYLENA"/>
  </r>
  <r>
    <n v="200833"/>
    <s v="KAR"/>
    <s v="21364"/>
    <x v="115"/>
    <s v="BANCO SICREDI"/>
    <n v="213.64"/>
    <x v="27"/>
    <x v="27"/>
    <s v=""/>
    <x v="8"/>
    <s v="FINANCEIRO"/>
    <n v="0"/>
    <s v="LETÍCIA"/>
  </r>
  <r>
    <n v="200834"/>
    <s v="FK"/>
    <s v="GIL2204A"/>
    <x v="115"/>
    <s v="GILSON MATERIAIS DE CONSTRUÇÃO"/>
    <n v="155"/>
    <x v="46"/>
    <x v="46"/>
    <s v=""/>
    <x v="9"/>
    <s v="MANUTENÇÃO / TI"/>
    <n v="0"/>
    <s v="FÁBIO"/>
  </r>
  <r>
    <n v="200835"/>
    <s v="KAR"/>
    <s v="20314"/>
    <x v="115"/>
    <s v="BANCO SICREDI"/>
    <n v="203.14"/>
    <x v="27"/>
    <x v="27"/>
    <s v=""/>
    <x v="8"/>
    <s v="FINANCEIRO"/>
    <n v="0"/>
    <s v="LETÍCIA"/>
  </r>
  <r>
    <n v="200836"/>
    <s v="KAR"/>
    <s v="CET220426"/>
    <x v="115"/>
    <s v="BANCO SICREDI"/>
    <n v="1301"/>
    <x v="29"/>
    <x v="29"/>
    <s v=""/>
    <x v="8"/>
    <s v="FINANCEIRO"/>
    <n v="0"/>
    <s v="LETÍCIA"/>
  </r>
  <r>
    <n v="200837"/>
    <s v="KAR"/>
    <s v="17382204"/>
    <x v="115"/>
    <s v="BANCO SICREDI"/>
    <n v="17.38"/>
    <x v="28"/>
    <x v="28"/>
    <s v=""/>
    <x v="8"/>
    <s v="FINANCEIRO"/>
    <n v="0"/>
    <s v="LETÍCIA"/>
  </r>
  <r>
    <n v="200838"/>
    <s v="KAR"/>
    <s v="6132304"/>
    <x v="14"/>
    <s v="BANCO SICREDI"/>
    <n v="6.13"/>
    <x v="27"/>
    <x v="27"/>
    <s v=""/>
    <x v="8"/>
    <s v="FINANCEIRO"/>
    <n v="0"/>
    <s v="LETÍCIA"/>
  </r>
  <r>
    <n v="200839"/>
    <s v="KAR"/>
    <s v="53172304"/>
    <x v="14"/>
    <s v="BANCO SICREDI"/>
    <n v="53.17"/>
    <x v="29"/>
    <x v="29"/>
    <s v=""/>
    <x v="8"/>
    <s v="FINANCEIRO"/>
    <n v="0"/>
    <s v="LETÍCIA"/>
  </r>
  <r>
    <n v="200840"/>
    <s v="KAR"/>
    <s v="52204"/>
    <x v="115"/>
    <s v="BANCO SICREDI"/>
    <n v="5"/>
    <x v="27"/>
    <x v="27"/>
    <s v=""/>
    <x v="8"/>
    <s v="FINANCEIRO"/>
    <n v="0"/>
    <s v="LETÍCIA"/>
  </r>
  <r>
    <n v="200841"/>
    <s v="KAR"/>
    <s v="079079"/>
    <x v="115"/>
    <s v="BANCO SICREDI"/>
    <n v="0.79"/>
    <x v="27"/>
    <x v="27"/>
    <s v=""/>
    <x v="8"/>
    <s v="FINANCEIRO"/>
    <n v="0"/>
    <s v="LETÍCIA"/>
  </r>
  <r>
    <n v="200842"/>
    <s v="KAR"/>
    <s v="3828204"/>
    <x v="115"/>
    <s v="BANCO SICREDI"/>
    <n v="3.8"/>
    <x v="27"/>
    <x v="27"/>
    <s v=""/>
    <x v="8"/>
    <s v="FINANCEIRO"/>
    <n v="0"/>
    <s v="LETÍCIA"/>
  </r>
  <r>
    <n v="200843"/>
    <s v="FK"/>
    <s v="FM2304B"/>
    <x v="14"/>
    <s v="RODRIGUES &amp; LIMA FERRAGENS DE FERRAMENTAS LTDA - M"/>
    <n v="30"/>
    <x v="38"/>
    <x v="38"/>
    <s v="FERRAGENS GERAIS"/>
    <x v="5"/>
    <s v="PRODUÇÃO"/>
    <n v="0"/>
    <s v="RAFAEL"/>
  </r>
  <r>
    <n v="200844"/>
    <s v="LAY"/>
    <s v="1582204"/>
    <x v="115"/>
    <s v="BANCO SICREDI"/>
    <n v="1.58"/>
    <x v="28"/>
    <x v="28"/>
    <s v=""/>
    <x v="8"/>
    <s v="FINANCEIRO"/>
    <n v="0"/>
    <s v="LETÍCIA"/>
  </r>
  <r>
    <n v="200845"/>
    <s v="LAY"/>
    <s v="0442304"/>
    <x v="14"/>
    <s v="BANCO SICREDI"/>
    <n v="0.44"/>
    <x v="27"/>
    <x v="27"/>
    <s v=""/>
    <x v="8"/>
    <s v="FINANCEIRO"/>
    <n v="0"/>
    <s v="LETÍCIA"/>
  </r>
  <r>
    <n v="200846"/>
    <s v="KAR"/>
    <s v="10052"/>
    <x v="14"/>
    <s v="IDEAL COMERCIO DE AUTO PEÇAS EIRELI"/>
    <n v="2200"/>
    <x v="31"/>
    <x v="31"/>
    <s v=""/>
    <x v="6"/>
    <s v="LOGÍSTICA"/>
    <n v="0"/>
    <s v="MYLENA"/>
  </r>
  <r>
    <n v="200847"/>
    <s v="FK"/>
    <s v="POL1404"/>
    <x v="14"/>
    <s v="BORRACHARIA DO POLACO"/>
    <n v="80"/>
    <x v="31"/>
    <x v="31"/>
    <s v=""/>
    <x v="6"/>
    <s v="LOGÍSTICA"/>
    <n v="0"/>
    <s v="MYLENA"/>
  </r>
  <r>
    <n v="200849"/>
    <s v="FK"/>
    <s v="SOLE1704"/>
    <x v="14"/>
    <s v="MARCELO SOLETTI &amp; CIA LTDA."/>
    <n v="70"/>
    <x v="31"/>
    <x v="31"/>
    <s v="TORNO MECANICO"/>
    <x v="6"/>
    <s v="LOGÍSTICA"/>
    <n v="0"/>
    <s v="MYLENA"/>
  </r>
  <r>
    <n v="200850"/>
    <s v="KAR"/>
    <s v="21825"/>
    <x v="14"/>
    <s v="BANCO SICREDI"/>
    <n v="218.25"/>
    <x v="27"/>
    <x v="27"/>
    <s v=""/>
    <x v="8"/>
    <s v="FINANCEIRO"/>
    <n v="0"/>
    <s v="LETÍCIA"/>
  </r>
  <r>
    <n v="200851"/>
    <s v="KAR"/>
    <s v="19757"/>
    <x v="14"/>
    <s v="BANCO SICREDI"/>
    <n v="197.57"/>
    <x v="27"/>
    <x v="27"/>
    <s v=""/>
    <x v="8"/>
    <s v="FINANCEIRO"/>
    <n v="0"/>
    <s v="LETÍCIA"/>
  </r>
  <r>
    <n v="200852"/>
    <s v="KAR"/>
    <s v="CET230426"/>
    <x v="14"/>
    <s v="BANCO SICREDI"/>
    <n v="1325.42"/>
    <x v="29"/>
    <x v="29"/>
    <s v=""/>
    <x v="8"/>
    <s v="FINANCEIRO"/>
    <n v="0"/>
    <s v="LETÍCIA"/>
  </r>
  <r>
    <n v="200853"/>
    <s v="KAR"/>
    <s v="187364"/>
    <x v="14"/>
    <s v="ARTEFORMA TECIDOS PARA DECORAÇÕES LTDA"/>
    <n v="1922.4"/>
    <x v="55"/>
    <x v="55"/>
    <s v=""/>
    <x v="8"/>
    <s v="COMERCIAL"/>
    <n v="0"/>
    <s v="LETÍCIA"/>
  </r>
  <r>
    <n v="200854"/>
    <s v="FK"/>
    <s v="SOLE1704A"/>
    <x v="14"/>
    <s v="MARCELO SOLETTI &amp; CIA LTDA."/>
    <n v="15"/>
    <x v="31"/>
    <x v="31"/>
    <s v="TORNO MECANICO"/>
    <x v="6"/>
    <s v="LOGÍSTICA"/>
    <n v="0"/>
    <s v="MYLENA"/>
  </r>
  <r>
    <n v="200858"/>
    <s v="KOY"/>
    <s v="04/2026"/>
    <x v="14"/>
    <s v="COPEL DISTRIBUICAO S.A"/>
    <n v="91.72"/>
    <x v="33"/>
    <x v="33"/>
    <s v=""/>
    <x v="4"/>
    <s v="FINANCEIRO"/>
    <n v="0"/>
    <s v="LETÍCIA"/>
  </r>
  <r>
    <n v="200859"/>
    <s v="FK"/>
    <s v="GM1704"/>
    <x v="14"/>
    <s v="SIDNEI PAULO MILANI"/>
    <n v="140"/>
    <x v="31"/>
    <x v="31"/>
    <s v=""/>
    <x v="6"/>
    <s v="LOGÍSTICA"/>
    <n v="0"/>
    <s v="MYLENA"/>
  </r>
  <r>
    <n v="200861"/>
    <s v="KAR"/>
    <s v="7902304"/>
    <x v="14"/>
    <s v="BANCO SICREDI"/>
    <n v="7.9"/>
    <x v="28"/>
    <x v="28"/>
    <s v=""/>
    <x v="8"/>
    <s v="FINANCEIRO"/>
    <n v="0"/>
    <s v="LETÍCIA"/>
  </r>
  <r>
    <n v="200862"/>
    <s v="KAR"/>
    <s v="0422404"/>
    <x v="116"/>
    <s v="BANCO SICREDI"/>
    <n v="0.42"/>
    <x v="27"/>
    <x v="27"/>
    <s v=""/>
    <x v="8"/>
    <s v="FINANCEIRO"/>
    <n v="0"/>
    <s v="LETÍCIA"/>
  </r>
  <r>
    <n v="200863"/>
    <s v="KAR"/>
    <s v="4252404"/>
    <x v="116"/>
    <s v="BANCO SICREDI"/>
    <n v="4.25"/>
    <x v="29"/>
    <x v="29"/>
    <s v=""/>
    <x v="8"/>
    <s v="FINANCEIRO"/>
    <n v="0"/>
    <s v="LETÍCIA"/>
  </r>
  <r>
    <n v="200864"/>
    <s v="KAR"/>
    <s v="8552304"/>
    <x v="14"/>
    <s v="BANCO SICREDI"/>
    <n v="8.5500000000000007"/>
    <x v="28"/>
    <x v="28"/>
    <s v=""/>
    <x v="8"/>
    <s v="FINANCEIRO"/>
    <n v="0"/>
    <s v="LETÍCIA"/>
  </r>
  <r>
    <n v="200865"/>
    <s v="LAY"/>
    <s v="0792304"/>
    <x v="14"/>
    <s v="BANCO SICREDI"/>
    <n v="0.79"/>
    <x v="28"/>
    <x v="28"/>
    <s v=""/>
    <x v="8"/>
    <s v="FINANCEIRO"/>
    <n v="0"/>
    <s v="LETÍCIA"/>
  </r>
  <r>
    <n v="200866"/>
    <s v="LAY"/>
    <s v="0812404"/>
    <x v="116"/>
    <s v="BANCO SICREDI"/>
    <n v="0.81"/>
    <x v="27"/>
    <x v="27"/>
    <s v=""/>
    <x v="8"/>
    <s v="FINANCEIRO"/>
    <n v="0"/>
    <s v="LETÍCIA"/>
  </r>
  <r>
    <n v="200867"/>
    <s v="KOY"/>
    <s v="0792304"/>
    <x v="14"/>
    <s v="BANCO SICREDI"/>
    <n v="0.79"/>
    <x v="28"/>
    <x v="28"/>
    <s v=""/>
    <x v="8"/>
    <s v="FINANCEIRO"/>
    <n v="0"/>
    <s v="LETÍCIA"/>
  </r>
  <r>
    <n v="200868"/>
    <s v="LAY"/>
    <s v="8FER26"/>
    <x v="116"/>
    <s v="PEDRO HENRIQUE RODRIGUES DOS SANTOS"/>
    <n v="948.81"/>
    <x v="72"/>
    <x v="72"/>
    <s v=""/>
    <x v="5"/>
    <s v="DH"/>
    <s v="CUSTO MÃO DE OBRA DIRETA"/>
    <s v="RAFAEL"/>
  </r>
  <r>
    <n v="200869"/>
    <s v="KAR"/>
    <s v="58474"/>
    <x v="79"/>
    <s v="COMBUSTIVEIS CADIESEL"/>
    <n v="531.29999999999995"/>
    <x v="37"/>
    <x v="37"/>
    <s v=""/>
    <x v="6"/>
    <s v="LOGÍSTICA"/>
    <n v="0"/>
    <s v="MYLENA"/>
  </r>
  <r>
    <n v="200870"/>
    <s v="FK"/>
    <s v="VANDE2004"/>
    <x v="116"/>
    <s v="CAMINHAO BEM-9J26 "/>
    <n v="230"/>
    <x v="41"/>
    <x v="41"/>
    <s v=""/>
    <x v="6"/>
    <s v="LOGÍSTICA"/>
    <n v="0"/>
    <s v="MYLENA"/>
  </r>
  <r>
    <n v="200871"/>
    <s v="FK"/>
    <s v="10407"/>
    <x v="51"/>
    <s v="COMERCIO DE COMBUSTIVEIS TBM LTDA."/>
    <n v="41.32"/>
    <x v="37"/>
    <x v="37"/>
    <s v=""/>
    <x v="6"/>
    <s v="LOGÍSTICA"/>
    <n v="0"/>
    <s v="MYLENA"/>
  </r>
  <r>
    <n v="200872"/>
    <s v="FK"/>
    <s v="10406"/>
    <x v="51"/>
    <s v="COMERCIO DE COMBUSTIVEIS TBM LTDA."/>
    <n v="167.74"/>
    <x v="37"/>
    <x v="37"/>
    <s v=""/>
    <x v="6"/>
    <s v="LOGÍSTICA"/>
    <n v="0"/>
    <s v="MYLENA"/>
  </r>
  <r>
    <n v="200873"/>
    <s v="FK"/>
    <s v="79812"/>
    <x v="79"/>
    <s v="COMERCIO DE COMBUSTIVEIS TBM LTDA."/>
    <n v="756.34"/>
    <x v="41"/>
    <x v="41"/>
    <s v=""/>
    <x v="6"/>
    <s v="LOGÍSTICA"/>
    <n v="0"/>
    <s v="MYLENA"/>
  </r>
  <r>
    <n v="200874"/>
    <s v="FK"/>
    <s v="SODA2004"/>
    <x v="79"/>
    <s v="CAMINHÃO / BEH-6E00"/>
    <n v="43.9"/>
    <x v="41"/>
    <x v="41"/>
    <s v=""/>
    <x v="6"/>
    <s v="LOGÍSTICA"/>
    <n v="0"/>
    <s v="MYLENA"/>
  </r>
  <r>
    <n v="200875"/>
    <s v="FK"/>
    <s v="10674"/>
    <x v="79"/>
    <s v="COMERCIO DE COMBUSTIVEIS TBM LTDA."/>
    <n v="981.02"/>
    <x v="37"/>
    <x v="37"/>
    <s v=""/>
    <x v="6"/>
    <s v="LOGÍSTICA"/>
    <n v="0"/>
    <s v="MYLENA"/>
  </r>
  <r>
    <n v="200876"/>
    <s v="FK"/>
    <s v="SODA2204"/>
    <x v="116"/>
    <s v="CAMINHAO BEM-9J26 "/>
    <n v="87.8"/>
    <x v="41"/>
    <x v="41"/>
    <s v=""/>
    <x v="6"/>
    <s v="LOGÍSTICA"/>
    <n v="0"/>
    <s v="MYLENA"/>
  </r>
  <r>
    <n v="200877"/>
    <s v="FK"/>
    <s v="10805"/>
    <x v="115"/>
    <s v="COMERCIO DE COMBUSTIVEIS TBM LTDA."/>
    <n v="59.8"/>
    <x v="37"/>
    <x v="37"/>
    <s v=""/>
    <x v="6"/>
    <s v="LOGÍSTICA"/>
    <n v="0"/>
    <s v="MYLENA"/>
  </r>
  <r>
    <n v="200878"/>
    <s v="FK"/>
    <s v="10804"/>
    <x v="115"/>
    <s v="COMERCIO DE COMBUSTIVEIS TBM LTDA."/>
    <n v="726.96"/>
    <x v="41"/>
    <x v="41"/>
    <s v=""/>
    <x v="6"/>
    <s v="LOGÍSTICA"/>
    <n v="0"/>
    <s v="MYLENA"/>
  </r>
  <r>
    <n v="200879"/>
    <s v="KAR"/>
    <s v="470203"/>
    <x v="116"/>
    <s v="VMD MAQUINAS E FERRAMENTAS LTDA"/>
    <n v="608"/>
    <x v="46"/>
    <x v="46"/>
    <s v="PEÇAS DE FERRAMENTAS"/>
    <x v="9"/>
    <s v="MANUTENÇÃO / TI"/>
    <n v="0"/>
    <s v="FÁBIO"/>
  </r>
  <r>
    <n v="200880"/>
    <s v="FK"/>
    <s v="BATA2404"/>
    <x v="116"/>
    <s v="MARIA ANDREIA BUENO DE ALMEIDA BATAER"/>
    <n v="96.1"/>
    <x v="34"/>
    <x v="34"/>
    <s v=""/>
    <x v="6"/>
    <s v="COMERCIAL"/>
    <n v="0"/>
    <s v="LETÍCIA"/>
  </r>
  <r>
    <n v="200881"/>
    <s v="FK"/>
    <s v="BATA2404A"/>
    <x v="116"/>
    <s v="MARIA ANDREIA BUENO DE ALMEIDA BATAER"/>
    <n v="1135.43"/>
    <x v="34"/>
    <x v="34"/>
    <s v=""/>
    <x v="6"/>
    <s v="COMERCIAL"/>
    <n v="0"/>
    <s v="LETÍCIA"/>
  </r>
  <r>
    <n v="200883"/>
    <s v="KAR"/>
    <s v="26387"/>
    <x v="116"/>
    <s v="BANCO SICREDI"/>
    <n v="263.87"/>
    <x v="27"/>
    <x v="27"/>
    <s v=""/>
    <x v="8"/>
    <s v="FINANCEIRO"/>
    <n v="0"/>
    <s v="LETÍCIA"/>
  </r>
  <r>
    <n v="200884"/>
    <s v="KAR"/>
    <s v="25716"/>
    <x v="116"/>
    <s v="BANCO SICREDI"/>
    <n v="257.16000000000003"/>
    <x v="27"/>
    <x v="27"/>
    <s v=""/>
    <x v="8"/>
    <s v="FINANCEIRO"/>
    <n v="0"/>
    <s v="LETÍCIA"/>
  </r>
  <r>
    <n v="200885"/>
    <s v="KAR"/>
    <s v="CET240426"/>
    <x v="116"/>
    <s v="BANCO SICREDI"/>
    <n v="1619.58"/>
    <x v="29"/>
    <x v="29"/>
    <s v=""/>
    <x v="8"/>
    <s v="FINANCEIRO"/>
    <n v="0"/>
    <s v="LETÍCIA"/>
  </r>
  <r>
    <n v="200886"/>
    <s v="FK"/>
    <s v="PLACA26"/>
    <x v="116"/>
    <s v="SEBASTIAO JOSE RIGONI"/>
    <n v="255"/>
    <x v="31"/>
    <x v="31"/>
    <s v=""/>
    <x v="6"/>
    <s v="LOGÍSTICA"/>
    <n v="0"/>
    <s v="MYLENA"/>
  </r>
  <r>
    <n v="200887"/>
    <s v="FK"/>
    <s v="TRANSGOL"/>
    <x v="116"/>
    <s v="SEBASTIAO JOSE RIGONI"/>
    <n v="470"/>
    <x v="31"/>
    <x v="31"/>
    <s v=""/>
    <x v="6"/>
    <s v="LOGÍSTICA"/>
    <n v="0"/>
    <s v="MYLENA"/>
  </r>
  <r>
    <n v="200889"/>
    <s v="FK"/>
    <s v="NIS2404A"/>
    <x v="116"/>
    <s v="CASA DE FERRAGEM NISHIMOTO"/>
    <n v="110"/>
    <x v="38"/>
    <x v="38"/>
    <s v="FERRAGENS GERAIS"/>
    <x v="5"/>
    <s v="PRODUÇÃO"/>
    <n v="0"/>
    <s v="RAFAEL"/>
  </r>
  <r>
    <n v="200890"/>
    <s v="FK"/>
    <s v="78981"/>
    <x v="117"/>
    <s v="COMERCIO DE COMBUSTIVEIS TBM LTDA."/>
    <n v="49.8"/>
    <x v="37"/>
    <x v="37"/>
    <s v=""/>
    <x v="6"/>
    <s v="LOGÍSTICA"/>
    <n v="0"/>
    <s v="MYLENA"/>
  </r>
  <r>
    <n v="200894"/>
    <s v="KAR"/>
    <s v="7112404"/>
    <x v="116"/>
    <s v="BANCO SICREDI"/>
    <n v="7.11"/>
    <x v="28"/>
    <x v="28"/>
    <s v=""/>
    <x v="8"/>
    <s v="FINANCEIRO"/>
    <n v="0"/>
    <s v="LETÍCIA"/>
  </r>
  <r>
    <n v="200895"/>
    <s v="KAR"/>
    <s v="5822704"/>
    <x v="117"/>
    <s v="BANCO SICREDI"/>
    <n v="5.82"/>
    <x v="27"/>
    <x v="27"/>
    <s v=""/>
    <x v="8"/>
    <s v="FINANCEIRO"/>
    <n v="0"/>
    <s v="LETÍCIA"/>
  </r>
  <r>
    <n v="200896"/>
    <s v="KAR"/>
    <s v="0792404"/>
    <x v="116"/>
    <s v="BANCO SICREDI"/>
    <n v="0.79"/>
    <x v="27"/>
    <x v="27"/>
    <s v=""/>
    <x v="8"/>
    <s v="FINANCEIRO"/>
    <n v="0"/>
    <s v="LETÍCIA"/>
  </r>
  <r>
    <n v="200897"/>
    <s v="KAR"/>
    <s v="52704"/>
    <x v="117"/>
    <s v="BANCO SICREDI"/>
    <n v="5"/>
    <x v="27"/>
    <x v="27"/>
    <s v=""/>
    <x v="8"/>
    <s v="FINANCEIRO"/>
    <n v="0"/>
    <s v="LETÍCIA"/>
  </r>
  <r>
    <n v="200898"/>
    <s v="KAR"/>
    <s v="5752404"/>
    <x v="116"/>
    <s v="BANCO SICREDI"/>
    <n v="5.7"/>
    <x v="27"/>
    <x v="27"/>
    <s v=""/>
    <x v="8"/>
    <s v="FINANCEIRO"/>
    <n v="0"/>
    <s v="LETÍCIA"/>
  </r>
  <r>
    <n v="200899"/>
    <s v="FK"/>
    <s v="TESTESICO"/>
    <x v="115"/>
    <s v="DANIEL BRUNNER TAVARES"/>
    <n v="15"/>
    <x v="17"/>
    <x v="17"/>
    <s v=""/>
    <x v="8"/>
    <s v="FINANCEIRO"/>
    <n v="0"/>
    <s v="LETÍCIA"/>
  </r>
  <r>
    <n v="200900"/>
    <s v="FK"/>
    <s v="TESTESIC"/>
    <x v="117"/>
    <s v="DANIEL BRUNNER TAVARES"/>
    <n v="5"/>
    <x v="17"/>
    <x v="17"/>
    <s v=""/>
    <x v="8"/>
    <s v="FINANCEIRO"/>
    <n v="0"/>
    <s v="LETÍCIA"/>
  </r>
  <r>
    <n v="200901"/>
    <s v="FK"/>
    <s v="PEIXE2404"/>
    <x v="117"/>
    <s v="CANTINHO DO PEIXE"/>
    <n v="23"/>
    <x v="64"/>
    <x v="64"/>
    <s v=""/>
    <x v="4"/>
    <s v="FINANCEIRO"/>
    <n v="0"/>
    <s v="MYLENA"/>
  </r>
  <r>
    <n v="200902"/>
    <s v="FK"/>
    <s v="ACA1804"/>
    <x v="117"/>
    <s v="MARCOS ACACIO VALERIO"/>
    <n v="640"/>
    <x v="30"/>
    <x v="30"/>
    <s v="MAQUINAS DE COSTURA"/>
    <x v="9"/>
    <s v="MANUTENÇÃO / TI"/>
    <n v="0"/>
    <s v="RAFAEL"/>
  </r>
  <r>
    <n v="200903"/>
    <s v="FK"/>
    <s v="PWR270426"/>
    <x v="117"/>
    <s v="AUTO POSTO VIAIS"/>
    <n v="48"/>
    <x v="6"/>
    <x v="6"/>
    <s v=""/>
    <x v="3"/>
    <s v="FINANCEIRO"/>
    <n v="0"/>
    <s v="LETÍCIA"/>
  </r>
  <r>
    <n v="200904"/>
    <s v="KAR"/>
    <s v="CET2704"/>
    <x v="117"/>
    <s v="BANCO SICREDI"/>
    <n v="1010.66"/>
    <x v="29"/>
    <x v="29"/>
    <s v=""/>
    <x v="8"/>
    <s v="FINANCEIRO"/>
    <n v="0"/>
    <s v="LETÍCIA"/>
  </r>
  <r>
    <n v="200905"/>
    <s v="KAR"/>
    <s v="16130"/>
    <x v="117"/>
    <s v="BANCO SICREDI"/>
    <n v="161.30000000000001"/>
    <x v="27"/>
    <x v="27"/>
    <s v=""/>
    <x v="8"/>
    <s v="FINANCEIRO"/>
    <n v="0"/>
    <s v="LETÍCIA"/>
  </r>
  <r>
    <n v="200906"/>
    <s v="KAR"/>
    <s v="105042704"/>
    <x v="117"/>
    <s v="BANCO SICREDI"/>
    <n v="105.04"/>
    <x v="27"/>
    <x v="27"/>
    <s v=""/>
    <x v="8"/>
    <s v="FINANCEIRO"/>
    <n v="0"/>
    <s v="LETÍCIA"/>
  </r>
  <r>
    <n v="200907"/>
    <s v="FK"/>
    <s v="PWR270426"/>
    <x v="117"/>
    <s v="M.A. DOS SANTOS NASCIMENTO"/>
    <n v="240"/>
    <x v="6"/>
    <x v="6"/>
    <s v=""/>
    <x v="3"/>
    <s v="FINANCEIRO"/>
    <n v="0"/>
    <s v="LETÍCIA"/>
  </r>
  <r>
    <n v="200908"/>
    <s v="FK"/>
    <s v="NIS2704"/>
    <x v="117"/>
    <s v="CASA DE FERRAGEM NISHIMOTO"/>
    <n v="64"/>
    <x v="30"/>
    <x v="30"/>
    <s v="FERRAGENS GERAIS"/>
    <x v="9"/>
    <s v="MANUTENÇÃO / TI"/>
    <n v="0"/>
    <s v="RAFAEL"/>
  </r>
  <r>
    <n v="200910"/>
    <s v="FK"/>
    <s v="DH270426"/>
    <x v="117"/>
    <s v="MARCELO DE ANDRADE TERRA RICA - ME"/>
    <n v="24"/>
    <x v="52"/>
    <x v="52"/>
    <s v=""/>
    <x v="4"/>
    <s v="ADMINISTRATIVO"/>
    <n v="0"/>
    <s v="LETÍCIA"/>
  </r>
  <r>
    <n v="200911"/>
    <s v="KAR"/>
    <s v="01-15AB26"/>
    <x v="117"/>
    <s v="ANA VERA ANDRADE CUNHA"/>
    <n v="1533.34"/>
    <x v="47"/>
    <x v="47"/>
    <s v=""/>
    <x v="6"/>
    <s v="COMERCIAL"/>
    <n v="0"/>
    <s v="LETÍCIA"/>
  </r>
  <r>
    <n v="200912"/>
    <s v="KAR"/>
    <s v="01-15AB26"/>
    <x v="117"/>
    <s v="BELA CASA REPRESENTAÇOES LTDA"/>
    <n v="291.3"/>
    <x v="47"/>
    <x v="47"/>
    <s v=""/>
    <x v="6"/>
    <s v="COMERCIAL"/>
    <n v="0"/>
    <s v="LETÍCIA"/>
  </r>
  <r>
    <n v="200913"/>
    <s v="KAR"/>
    <s v="01-15AB26"/>
    <x v="117"/>
    <s v="ELAINE DE OLIVEIRA TESSARO"/>
    <n v="8976.36"/>
    <x v="47"/>
    <x v="47"/>
    <s v=""/>
    <x v="6"/>
    <s v="COMERCIAL"/>
    <n v="0"/>
    <s v="LETÍCIA"/>
  </r>
  <r>
    <n v="200914"/>
    <s v="KAR"/>
    <s v="01-15AB26"/>
    <x v="117"/>
    <s v="ILHA BELLA COM E REPRESENTAÇOES LTDA"/>
    <n v="635.35"/>
    <x v="47"/>
    <x v="47"/>
    <s v=""/>
    <x v="6"/>
    <s v="COMERCIAL"/>
    <n v="0"/>
    <s v="LETÍCIA"/>
  </r>
  <r>
    <n v="200915"/>
    <s v="KAR"/>
    <s v="01-15AB26"/>
    <x v="117"/>
    <s v="JUAN JOSE IGLESIAS CARBALLO"/>
    <n v="461.75"/>
    <x v="47"/>
    <x v="47"/>
    <s v=""/>
    <x v="6"/>
    <s v="COMERCIAL"/>
    <n v="0"/>
    <s v="LETÍCIA"/>
  </r>
  <r>
    <n v="200916"/>
    <s v="KAR"/>
    <s v="01-15AB26"/>
    <x v="117"/>
    <s v="LIGHT REPRESENTAÇÕES LTDA"/>
    <n v="1496.23"/>
    <x v="47"/>
    <x v="47"/>
    <s v=""/>
    <x v="6"/>
    <s v="COMERCIAL"/>
    <n v="0"/>
    <s v="LETÍCIA"/>
  </r>
  <r>
    <n v="200918"/>
    <s v="KAR"/>
    <s v="01-15AB26"/>
    <x v="117"/>
    <s v="MARTINS REPRESENTAÇÕES E VENDAS EIRELLI"/>
    <n v="3401.22"/>
    <x v="47"/>
    <x v="47"/>
    <s v=""/>
    <x v="6"/>
    <s v="COMERCIAL"/>
    <n v="0"/>
    <s v="LETÍCIA"/>
  </r>
  <r>
    <n v="200919"/>
    <s v="KAR"/>
    <s v="01-15AB26"/>
    <x v="117"/>
    <s v="PVJ REPRESENTAÇÕES LTDA"/>
    <n v="3559.5"/>
    <x v="47"/>
    <x v="47"/>
    <s v=""/>
    <x v="6"/>
    <s v="COMERCIAL"/>
    <n v="0"/>
    <s v="LETÍCIA"/>
  </r>
  <r>
    <n v="200920"/>
    <s v="KAR"/>
    <s v="01-15AB26"/>
    <x v="117"/>
    <s v="RICARDO CARVALHO DALANHOL"/>
    <n v="302.52999999999997"/>
    <x v="47"/>
    <x v="47"/>
    <s v=""/>
    <x v="6"/>
    <s v="COMERCIAL"/>
    <n v="0"/>
    <s v="LETÍCIA"/>
  </r>
  <r>
    <n v="200921"/>
    <s v="FK"/>
    <s v="01-15AB26"/>
    <x v="117"/>
    <s v="ANA VERA ANDRADE CUNHA"/>
    <n v="98.25"/>
    <x v="47"/>
    <x v="47"/>
    <s v=""/>
    <x v="6"/>
    <s v="COMERCIAL"/>
    <n v="0"/>
    <s v="LETÍCIA"/>
  </r>
  <r>
    <n v="200922"/>
    <s v="FK"/>
    <s v="01-15AB26"/>
    <x v="117"/>
    <s v="BELA CASA REPRESENTAÇOES LTDA"/>
    <n v="761.7"/>
    <x v="47"/>
    <x v="47"/>
    <s v=""/>
    <x v="6"/>
    <s v="COMERCIAL"/>
    <n v="0"/>
    <s v="LETÍCIA"/>
  </r>
  <r>
    <n v="200923"/>
    <s v="FK"/>
    <s v="01-15AB26"/>
    <x v="117"/>
    <s v="ELAINE DE OLIVEIRA TESSARO"/>
    <n v="1230.4100000000001"/>
    <x v="47"/>
    <x v="47"/>
    <s v=""/>
    <x v="6"/>
    <s v="COMERCIAL"/>
    <n v="0"/>
    <s v="LETÍCIA"/>
  </r>
  <r>
    <n v="200924"/>
    <s v="FK"/>
    <s v="01-15AB26"/>
    <x v="117"/>
    <s v="JUAN JOSE IGLESIAS CARBALLO"/>
    <n v="425.94"/>
    <x v="47"/>
    <x v="47"/>
    <s v=""/>
    <x v="6"/>
    <s v="COMERCIAL"/>
    <n v="0"/>
    <s v="LETÍCIA"/>
  </r>
  <r>
    <n v="200925"/>
    <s v="FK"/>
    <s v="01-15AB26"/>
    <x v="117"/>
    <s v="LIGHT REPRESENTAÇÕES LTDA"/>
    <n v="83.72"/>
    <x v="47"/>
    <x v="47"/>
    <s v=""/>
    <x v="6"/>
    <s v="COMERCIAL"/>
    <n v="0"/>
    <s v="LETÍCIA"/>
  </r>
  <r>
    <n v="200926"/>
    <s v="FK"/>
    <s v="01-15AB26"/>
    <x v="117"/>
    <s v="PVJ REPRESENTAÇÕES LTDA"/>
    <n v="968.52"/>
    <x v="47"/>
    <x v="47"/>
    <s v=""/>
    <x v="6"/>
    <s v="COMERCIAL"/>
    <n v="0"/>
    <s v="LETÍCIA"/>
  </r>
  <r>
    <n v="200927"/>
    <s v="FK"/>
    <s v="01-15AB26"/>
    <x v="117"/>
    <s v="RICARDO CARVALHO DALANHOL"/>
    <n v="71.08"/>
    <x v="47"/>
    <x v="47"/>
    <s v=""/>
    <x v="6"/>
    <s v="COMERCIAL"/>
    <n v="0"/>
    <s v="LETÍCIA"/>
  </r>
  <r>
    <n v="200929"/>
    <s v="KOY"/>
    <s v="01-15AB26"/>
    <x v="117"/>
    <s v="ANA VERA ANDRADE CUNHA"/>
    <n v="2043.39"/>
    <x v="47"/>
    <x v="47"/>
    <s v=""/>
    <x v="6"/>
    <s v="COMERCIAL"/>
    <n v="0"/>
    <s v="LETÍCIA"/>
  </r>
  <r>
    <n v="200930"/>
    <s v="KOY"/>
    <s v="01-15AB26"/>
    <x v="117"/>
    <s v="BELA CASA REPRESENTAÇOES LTDA"/>
    <n v="835.78"/>
    <x v="47"/>
    <x v="47"/>
    <s v=""/>
    <x v="6"/>
    <s v="COMERCIAL"/>
    <n v="0"/>
    <s v="LETÍCIA"/>
  </r>
  <r>
    <n v="200931"/>
    <s v="KOY"/>
    <s v="01-15AB26"/>
    <x v="117"/>
    <s v="ELAINE DE OLIVEIRA TESSARO"/>
    <n v="1057.69"/>
    <x v="47"/>
    <x v="47"/>
    <s v=""/>
    <x v="6"/>
    <s v="COMERCIAL"/>
    <n v="0"/>
    <s v="LETÍCIA"/>
  </r>
  <r>
    <n v="200932"/>
    <s v="KOY"/>
    <s v="01-15AB26"/>
    <x v="117"/>
    <s v="ILHA BELLA COM E REPRESENTAÇOES LTDA"/>
    <n v="346.93"/>
    <x v="47"/>
    <x v="47"/>
    <s v=""/>
    <x v="6"/>
    <s v="COMERCIAL"/>
    <n v="0"/>
    <s v="LETÍCIA"/>
  </r>
  <r>
    <n v="200933"/>
    <s v="KOY"/>
    <s v="01-15AB26"/>
    <x v="117"/>
    <s v="LIGHT REPRESENTAÇÕES LTDA"/>
    <n v="458.92"/>
    <x v="47"/>
    <x v="47"/>
    <s v=""/>
    <x v="6"/>
    <s v="COMERCIAL"/>
    <n v="0"/>
    <s v="LETÍCIA"/>
  </r>
  <r>
    <n v="200934"/>
    <s v="KOY"/>
    <s v="01-15AB26"/>
    <x v="117"/>
    <s v="PVJ REPRESENTAÇÕES LTDA"/>
    <n v="351.21"/>
    <x v="47"/>
    <x v="47"/>
    <s v=""/>
    <x v="6"/>
    <s v="COMERCIAL"/>
    <n v="0"/>
    <s v="LETÍCIA"/>
  </r>
  <r>
    <n v="200936"/>
    <s v="LAY"/>
    <s v="01-15AB26"/>
    <x v="117"/>
    <s v="BELA CASA REPRESENTAÇOES LTDA"/>
    <n v="188.55"/>
    <x v="47"/>
    <x v="47"/>
    <s v=""/>
    <x v="6"/>
    <s v="COMERCIAL"/>
    <n v="0"/>
    <s v="LETÍCIA"/>
  </r>
  <r>
    <n v="200937"/>
    <s v="LAY"/>
    <s v="01-15AB26"/>
    <x v="117"/>
    <s v="ELAINE DE OLIVEIRA TESSARO"/>
    <n v="1153.78"/>
    <x v="47"/>
    <x v="47"/>
    <s v=""/>
    <x v="6"/>
    <s v="COMERCIAL"/>
    <n v="0"/>
    <s v="LETÍCIA"/>
  </r>
  <r>
    <n v="200938"/>
    <s v="LAY"/>
    <s v="01-15AB26"/>
    <x v="117"/>
    <s v="ILHA BELLA COM E REPRESENTAÇOES LTDA"/>
    <n v="1527.15"/>
    <x v="47"/>
    <x v="47"/>
    <s v=""/>
    <x v="6"/>
    <s v="COMERCIAL"/>
    <n v="0"/>
    <s v="LETÍCIA"/>
  </r>
  <r>
    <n v="200939"/>
    <s v="LAY"/>
    <s v="01-15AB26"/>
    <x v="117"/>
    <s v="JUAN JOSE IGLESIAS CARBALLO"/>
    <n v="351.77"/>
    <x v="47"/>
    <x v="47"/>
    <s v=""/>
    <x v="6"/>
    <s v="COMERCIAL"/>
    <n v="0"/>
    <s v="LETÍCIA"/>
  </r>
  <r>
    <n v="200940"/>
    <s v="LAY"/>
    <s v="01-15AB26"/>
    <x v="117"/>
    <s v="PVJ REPRESENTAÇÕES LTDA"/>
    <n v="1991.59"/>
    <x v="47"/>
    <x v="47"/>
    <s v=""/>
    <x v="6"/>
    <s v="COMERCIAL"/>
    <n v="0"/>
    <s v="LETÍCIA"/>
  </r>
  <r>
    <n v="200942"/>
    <s v="KAR"/>
    <s v="676611"/>
    <x v="117"/>
    <s v="KOFEMAR COMERCIO DE PRODUTOS PARA MARCENARIA LTDA"/>
    <n v="278"/>
    <x v="38"/>
    <x v="38"/>
    <s v=""/>
    <x v="5"/>
    <s v="PRODUÇÃO"/>
    <n v="0"/>
    <s v="RAFAEL"/>
  </r>
  <r>
    <n v="200943"/>
    <s v="KAR"/>
    <s v="676624"/>
    <x v="117"/>
    <s v="KOFEMAR COMERCIO DE PRODUTOS PARA MARCENARIA LTDA"/>
    <n v="450"/>
    <x v="38"/>
    <x v="38"/>
    <s v=""/>
    <x v="5"/>
    <s v="PRODUÇÃO"/>
    <n v="0"/>
    <s v="RAFAEL"/>
  </r>
  <r>
    <n v="200944"/>
    <s v="FK"/>
    <s v="394124"/>
    <x v="117"/>
    <s v="VR10 . VISCOVINI EIRELI"/>
    <n v="119"/>
    <x v="51"/>
    <x v="51"/>
    <s v=""/>
    <x v="4"/>
    <s v="ADMINISTRATIVO"/>
    <n v="0"/>
    <s v="LETÍCIA"/>
  </r>
  <r>
    <n v="200945"/>
    <s v="KAR"/>
    <s v="3661272"/>
    <x v="117"/>
    <s v="EXPRESSO SAO MIGUEL LTDA"/>
    <n v="98.35"/>
    <x v="30"/>
    <x v="30"/>
    <s v="SERVIÇOS FRETE"/>
    <x v="9"/>
    <s v="MANUTENÇÃO / TI"/>
    <n v="0"/>
    <s v="RAFAEL"/>
  </r>
  <r>
    <n v="200946"/>
    <s v="FK"/>
    <s v="270427"/>
    <x v="117"/>
    <s v="SERGIO UTIYAMA"/>
    <n v="60"/>
    <x v="6"/>
    <x v="6"/>
    <s v=""/>
    <x v="3"/>
    <s v="FINANCEIRO"/>
    <n v="0"/>
    <s v="LETÍCIA"/>
  </r>
  <r>
    <n v="200947"/>
    <s v="FK"/>
    <s v="INSS0526"/>
    <x v="9"/>
    <s v="GUIA DA PREVIDENCIA SOCIAL"/>
    <n v="178.31"/>
    <x v="67"/>
    <x v="67"/>
    <s v=""/>
    <x v="7"/>
    <s v="DH"/>
    <n v="0"/>
    <s v="RAFAEL"/>
  </r>
  <r>
    <n v="200948"/>
    <s v="KAR"/>
    <s v="H00820853"/>
    <x v="118"/>
    <s v="KARAM'S IND.E COM.DE ESTOFADOS LTDA"/>
    <n v="396.96"/>
    <x v="39"/>
    <x v="39"/>
    <s v=""/>
    <x v="6"/>
    <s v="LOGÍSTICA"/>
    <n v="0"/>
    <s v="MYLENA"/>
  </r>
  <r>
    <n v="200949"/>
    <s v="KAR"/>
    <s v="N43041626"/>
    <x v="118"/>
    <s v="KARAM'S IND.E COM.DE ESTOFADOS LTDA"/>
    <n v="312.36"/>
    <x v="39"/>
    <x v="39"/>
    <s v=""/>
    <x v="6"/>
    <s v="LOGÍSTICA"/>
    <n v="0"/>
    <s v="MYLENA"/>
  </r>
  <r>
    <n v="200950"/>
    <s v="FK"/>
    <s v="VICTO0704"/>
    <x v="118"/>
    <s v="MOLLDE SERVIÇOS"/>
    <n v="1068.3699999999999"/>
    <x v="22"/>
    <x v="22"/>
    <s v=""/>
    <x v="3"/>
    <s v="FINANCEIRO"/>
    <n v="0"/>
    <s v="LETÍCIA"/>
  </r>
  <r>
    <n v="200951"/>
    <s v="FK"/>
    <s v="PWR280426"/>
    <x v="118"/>
    <s v="COMERCIO DE COMBUSTIVEIS TBM LTDA."/>
    <n v="44.91"/>
    <x v="6"/>
    <x v="6"/>
    <s v=""/>
    <x v="3"/>
    <s v="FINANCEIRO"/>
    <n v="0"/>
    <s v="LETÍCIA"/>
  </r>
  <r>
    <n v="200952"/>
    <s v="KAR"/>
    <s v="458227"/>
    <x v="117"/>
    <s v="BANCO SICREDI"/>
    <n v="45.82"/>
    <x v="28"/>
    <x v="28"/>
    <s v=""/>
    <x v="8"/>
    <s v="FINANCEIRO"/>
    <n v="0"/>
    <s v="LETÍCIA"/>
  </r>
  <r>
    <n v="200953"/>
    <s v="KAR"/>
    <s v="62428"/>
    <x v="118"/>
    <s v="BANCO SICREDI"/>
    <n v="6.24"/>
    <x v="27"/>
    <x v="27"/>
    <s v=""/>
    <x v="8"/>
    <s v="FINANCEIRO"/>
    <n v="0"/>
    <s v="LETÍCIA"/>
  </r>
  <r>
    <n v="200954"/>
    <s v="KAR"/>
    <s v="9192704"/>
    <x v="117"/>
    <s v="BANCO SICREDI"/>
    <n v="9.19"/>
    <x v="69"/>
    <x v="69"/>
    <s v=""/>
    <x v="4"/>
    <s v="FINANCEIRO"/>
    <n v="0"/>
    <s v="LETÍCIA"/>
  </r>
  <r>
    <n v="200955"/>
    <s v="KAR"/>
    <s v="2462704"/>
    <x v="117"/>
    <s v="BANCO SICREDI"/>
    <n v="2.46"/>
    <x v="69"/>
    <x v="69"/>
    <s v=""/>
    <x v="4"/>
    <s v="FINANCEIRO"/>
    <n v="0"/>
    <s v="LETÍCIA"/>
  </r>
  <r>
    <n v="200957"/>
    <s v="KAR"/>
    <s v="46552805"/>
    <x v="118"/>
    <s v="BANCO SICREDI"/>
    <n v="46.55"/>
    <x v="29"/>
    <x v="29"/>
    <s v=""/>
    <x v="8"/>
    <s v="FINANCEIRO"/>
    <n v="0"/>
    <s v="LETÍCIA"/>
  </r>
  <r>
    <n v="200958"/>
    <s v="FK"/>
    <s v="546842"/>
    <x v="118"/>
    <s v="DUARTE &amp; BALIONI LTDA."/>
    <n v="26.28"/>
    <x v="51"/>
    <x v="51"/>
    <s v=""/>
    <x v="4"/>
    <s v="ADMINISTRATIVO"/>
    <n v="0"/>
    <s v="LETÍCIA"/>
  </r>
  <r>
    <n v="200959"/>
    <s v="LAY"/>
    <s v="3952704"/>
    <x v="117"/>
    <s v="BANCO SICREDI"/>
    <n v="3.95"/>
    <x v="28"/>
    <x v="28"/>
    <s v=""/>
    <x v="8"/>
    <s v="FINANCEIRO"/>
    <n v="0"/>
    <s v="LETÍCIA"/>
  </r>
  <r>
    <n v="200960"/>
    <s v="KOY"/>
    <s v="7902704"/>
    <x v="117"/>
    <s v="BANCO SICREDI"/>
    <n v="7.9"/>
    <x v="28"/>
    <x v="28"/>
    <s v=""/>
    <x v="8"/>
    <s v="FINANCEIRO"/>
    <n v="0"/>
    <s v="LETÍCIA"/>
  </r>
  <r>
    <n v="200961"/>
    <s v="FK"/>
    <s v="11402704"/>
    <x v="117"/>
    <s v="SICOOB NOROESTE DO PARANA"/>
    <n v="11.4"/>
    <x v="28"/>
    <x v="28"/>
    <s v=""/>
    <x v="8"/>
    <s v="FINANCEIRO"/>
    <n v="0"/>
    <s v="LETÍCIA"/>
  </r>
  <r>
    <n v="200962"/>
    <s v="FK"/>
    <s v="ACTBF"/>
    <x v="117"/>
    <s v="LOCALIZA RENT A CAR S/A."/>
    <n v="734.29"/>
    <x v="54"/>
    <x v="54"/>
    <s v=""/>
    <x v="6"/>
    <s v="COMERCIAL"/>
    <n v="0"/>
    <s v="LETÍCIA"/>
  </r>
  <r>
    <n v="200963"/>
    <s v="KAR"/>
    <s v="482"/>
    <x v="118"/>
    <s v="BANCO SICREDI"/>
    <n v="4.82"/>
    <x v="29"/>
    <x v="29"/>
    <s v=""/>
    <x v="8"/>
    <s v="FINANCEIRO"/>
    <n v="0"/>
    <s v="LETÍCIA"/>
  </r>
  <r>
    <n v="200964"/>
    <s v="FK"/>
    <s v="PWR280426"/>
    <x v="118"/>
    <s v="VALERIA DANTAS SILVA"/>
    <n v="115"/>
    <x v="6"/>
    <x v="6"/>
    <s v=""/>
    <x v="3"/>
    <s v="FINANCEIRO"/>
    <n v="0"/>
    <s v="LETÍCIA"/>
  </r>
  <r>
    <n v="200966"/>
    <s v="KAR"/>
    <s v="AYL-5F59"/>
    <x v="9"/>
    <s v="CENTRO DE GESTAO DE MEIOS DE PAGTO S/A"/>
    <n v="5020.4399999999996"/>
    <x v="42"/>
    <x v="42"/>
    <s v=""/>
    <x v="6"/>
    <s v="LOGÍSTICA"/>
    <n v="0"/>
    <s v="MYLENA"/>
  </r>
  <r>
    <n v="200967"/>
    <s v="KAR"/>
    <s v="AYL-6E00"/>
    <x v="9"/>
    <s v="CENTRO DE GESTAO DE MEIOS DE PAGTO S/A"/>
    <n v="2739.1"/>
    <x v="42"/>
    <x v="42"/>
    <s v=""/>
    <x v="6"/>
    <s v="LOGÍSTICA"/>
    <n v="0"/>
    <s v="MYLENA"/>
  </r>
  <r>
    <n v="200968"/>
    <s v="KAR"/>
    <s v="49822804"/>
    <x v="118"/>
    <s v="BANCO SICREDI"/>
    <n v="49.82"/>
    <x v="29"/>
    <x v="29"/>
    <s v=""/>
    <x v="8"/>
    <s v="FINANCEIRO"/>
    <n v="0"/>
    <s v="LETÍCIA"/>
  </r>
  <r>
    <n v="200969"/>
    <s v="KAR"/>
    <s v="BBH-6630"/>
    <x v="9"/>
    <s v="CENTRO DE GESTAO DE MEIOS DE PAGTO S/A"/>
    <n v="49.8"/>
    <x v="42"/>
    <x v="42"/>
    <s v=""/>
    <x v="6"/>
    <s v="LOGÍSTICA"/>
    <n v="0"/>
    <s v="MYLENA"/>
  </r>
  <r>
    <n v="200970"/>
    <s v="KAR"/>
    <s v="2622"/>
    <x v="118"/>
    <s v="BANCO SICREDI"/>
    <n v="26.22"/>
    <x v="29"/>
    <x v="29"/>
    <s v=""/>
    <x v="8"/>
    <s v="FINANCEIRO"/>
    <n v="0"/>
    <s v="LETÍCIA"/>
  </r>
  <r>
    <n v="200971"/>
    <s v="KAR"/>
    <s v="BDS-7E01"/>
    <x v="9"/>
    <s v="CENTRO DE GESTAO DE MEIOS DE PAGTO S/A"/>
    <n v="56.9"/>
    <x v="42"/>
    <x v="42"/>
    <s v=""/>
    <x v="6"/>
    <s v="LOGÍSTICA"/>
    <n v="0"/>
    <s v="MYLENA"/>
  </r>
  <r>
    <n v="200972"/>
    <s v="KAR"/>
    <s v="BEH-6E00"/>
    <x v="9"/>
    <s v="CENTRO DE GESTAO DE MEIOS DE PAGTO S/A"/>
    <n v="49.8"/>
    <x v="42"/>
    <x v="42"/>
    <s v=""/>
    <x v="6"/>
    <s v="LOGÍSTICA"/>
    <n v="0"/>
    <s v="MYLENA"/>
  </r>
  <r>
    <n v="200973"/>
    <s v="KAR"/>
    <s v="BEM-6E19"/>
    <x v="9"/>
    <s v="CENTRO DE GESTAO DE MEIOS DE PAGTO S/A"/>
    <n v="1615.38"/>
    <x v="42"/>
    <x v="42"/>
    <s v=""/>
    <x v="6"/>
    <s v="LOGÍSTICA"/>
    <n v="0"/>
    <s v="MYLENA"/>
  </r>
  <r>
    <n v="200974"/>
    <s v="KAR"/>
    <s v="2542804"/>
    <x v="118"/>
    <s v="BANCO SICREDI"/>
    <n v="2.54"/>
    <x v="27"/>
    <x v="27"/>
    <s v=""/>
    <x v="8"/>
    <s v="FINANCEIRO"/>
    <n v="0"/>
    <s v="LETÍCIA"/>
  </r>
  <r>
    <n v="200975"/>
    <s v="KAR"/>
    <s v="BEM-8409"/>
    <x v="9"/>
    <s v="CENTRO DE GESTAO DE MEIOS DE PAGTO S/A"/>
    <n v="49.8"/>
    <x v="42"/>
    <x v="42"/>
    <s v=""/>
    <x v="6"/>
    <s v="LOGÍSTICA"/>
    <n v="0"/>
    <s v="MYLENA"/>
  </r>
  <r>
    <n v="200976"/>
    <s v="KAR"/>
    <s v="BEM-9J26"/>
    <x v="9"/>
    <s v="CENTRO DE GESTAO DE MEIOS DE PAGTO S/A"/>
    <n v="248.88"/>
    <x v="42"/>
    <x v="42"/>
    <s v=""/>
    <x v="6"/>
    <s v="LOGÍSTICA"/>
    <n v="0"/>
    <s v="MYLENA"/>
  </r>
  <r>
    <n v="200977"/>
    <s v="KAR"/>
    <s v="33882"/>
    <x v="118"/>
    <s v="BANCO SICREDI"/>
    <n v="338.82"/>
    <x v="27"/>
    <x v="27"/>
    <s v=""/>
    <x v="8"/>
    <s v="FINANCEIRO"/>
    <n v="0"/>
    <s v="LETÍCIA"/>
  </r>
  <r>
    <n v="200978"/>
    <s v="KAR"/>
    <s v="30330"/>
    <x v="118"/>
    <s v="BANCO SICREDI"/>
    <n v="303.3"/>
    <x v="27"/>
    <x v="27"/>
    <s v=""/>
    <x v="8"/>
    <s v="FINANCEIRO"/>
    <n v="0"/>
    <s v="LETÍCIA"/>
  </r>
  <r>
    <n v="200979"/>
    <s v="KAR"/>
    <s v="CET2804"/>
    <x v="118"/>
    <s v="BANCO SICREDI"/>
    <n v="2075.73"/>
    <x v="29"/>
    <x v="29"/>
    <s v=""/>
    <x v="8"/>
    <s v="FINANCEIRO"/>
    <n v="0"/>
    <s v="LETÍCIA"/>
  </r>
  <r>
    <n v="200980"/>
    <s v="KAR"/>
    <s v="596408"/>
    <x v="9"/>
    <s v="SERASA S/A"/>
    <n v="351"/>
    <x v="74"/>
    <x v="74"/>
    <s v=""/>
    <x v="4"/>
    <s v="FINANCEIRO"/>
    <n v="0"/>
    <s v="LETÍCIA"/>
  </r>
  <r>
    <n v="200993"/>
    <s v="KAR"/>
    <s v="145170"/>
    <x v="118"/>
    <s v="AUTO POSTO PR 323 LTDA"/>
    <n v="86.94"/>
    <x v="37"/>
    <x v="37"/>
    <s v=""/>
    <x v="6"/>
    <s v="LOGÍSTICA"/>
    <n v="0"/>
    <s v="MYLENA"/>
  </r>
  <r>
    <n v="200994"/>
    <s v="KAR"/>
    <s v="743529"/>
    <x v="118"/>
    <s v="AUTO POSTO SANTA TEREZINHA DE AVARE LTDA"/>
    <n v="3407.01"/>
    <x v="37"/>
    <x v="37"/>
    <s v=""/>
    <x v="6"/>
    <s v="LOGÍSTICA"/>
    <n v="0"/>
    <s v="MYLENA"/>
  </r>
  <r>
    <n v="200995"/>
    <s v="FK"/>
    <s v="11154"/>
    <x v="117"/>
    <s v="COMERCIO DE COMBUSTIVEIS TBM LTDA."/>
    <n v="215.06"/>
    <x v="43"/>
    <x v="43"/>
    <s v=""/>
    <x v="4"/>
    <s v="LOGÍSTICA"/>
    <n v="0"/>
    <s v="LETÍCIA"/>
  </r>
  <r>
    <n v="200996"/>
    <s v="FK"/>
    <s v="LEAND2404"/>
    <x v="118"/>
    <s v="CAMINHAO - AYL-5F59"/>
    <n v="1655.95"/>
    <x v="41"/>
    <x v="41"/>
    <s v=""/>
    <x v="6"/>
    <s v="LOGÍSTICA"/>
    <n v="0"/>
    <s v="MYLENA"/>
  </r>
  <r>
    <n v="200997"/>
    <s v="FK"/>
    <s v="80166"/>
    <x v="118"/>
    <s v="COMERCIO DE COMBUSTIVEIS TBM LTDA."/>
    <n v="1552.13"/>
    <x v="37"/>
    <x v="37"/>
    <s v=""/>
    <x v="6"/>
    <s v="LOGÍSTICA"/>
    <n v="0"/>
    <s v="MYLENA"/>
  </r>
  <r>
    <n v="200999"/>
    <s v="KAR"/>
    <s v="120779306"/>
    <x v="118"/>
    <s v="KARAM'S IND.E COM.DE ESTOFADOS LTDA"/>
    <n v="130.16"/>
    <x v="39"/>
    <x v="39"/>
    <s v=""/>
    <x v="6"/>
    <s v="LOGÍSTICA"/>
    <n v="0"/>
    <s v="MYLENA"/>
  </r>
  <r>
    <n v="201000"/>
    <s v="FK"/>
    <s v="SILVI2804"/>
    <x v="8"/>
    <s v="SILVIA COLLI JORDÃO PRESTES"/>
    <n v="37.5"/>
    <x v="23"/>
    <x v="23"/>
    <s v=""/>
    <x v="6"/>
    <s v="COMERCIAL"/>
    <n v="0"/>
    <s v="LETÍCIA"/>
  </r>
  <r>
    <n v="201001"/>
    <s v="KAR"/>
    <s v="15012804"/>
    <x v="118"/>
    <s v="BANCO SICREDI"/>
    <n v="15.01"/>
    <x v="28"/>
    <x v="28"/>
    <s v=""/>
    <x v="8"/>
    <s v="FINANCEIRO"/>
    <n v="0"/>
    <s v="LETÍCIA"/>
  </r>
  <r>
    <n v="201002"/>
    <s v="LAY"/>
    <s v="3162804"/>
    <x v="118"/>
    <s v="BANCO SICREDI"/>
    <n v="3.16"/>
    <x v="28"/>
    <x v="28"/>
    <s v=""/>
    <x v="8"/>
    <s v="FINANCEIRO"/>
    <n v="0"/>
    <s v="LETÍCIA"/>
  </r>
  <r>
    <n v="201003"/>
    <s v="KAR"/>
    <s v="3952904"/>
    <x v="8"/>
    <s v="BANCO SICREDI"/>
    <n v="3.95"/>
    <x v="27"/>
    <x v="27"/>
    <s v=""/>
    <x v="8"/>
    <s v="FINANCEIRO"/>
    <n v="0"/>
    <s v="LETÍCIA"/>
  </r>
  <r>
    <n v="201004"/>
    <s v="KAR"/>
    <s v="52804"/>
    <x v="118"/>
    <s v="BANCO SICREDI"/>
    <n v="5"/>
    <x v="27"/>
    <x v="27"/>
    <s v=""/>
    <x v="8"/>
    <s v="FINANCEIRO"/>
    <n v="0"/>
    <s v="LETÍCIA"/>
  </r>
  <r>
    <n v="201005"/>
    <s v="FK"/>
    <s v="1902804"/>
    <x v="118"/>
    <s v="SICOOB NOROESTE DO PARANA"/>
    <n v="1.9"/>
    <x v="28"/>
    <x v="28"/>
    <s v=""/>
    <x v="8"/>
    <s v="FINANCEIRO"/>
    <n v="0"/>
    <s v="LETÍCIA"/>
  </r>
  <r>
    <n v="201006"/>
    <s v="KAR"/>
    <s v="4241"/>
    <x v="8"/>
    <s v="TELHA STEEL - INDUSTRIA E COMERCIO DE PRODUTOS SID"/>
    <n v="3991.56"/>
    <x v="17"/>
    <x v="17"/>
    <s v=""/>
    <x v="8"/>
    <s v="FINANCEIRO"/>
    <n v="0"/>
    <s v="LETÍCIA"/>
  </r>
  <r>
    <n v="201007"/>
    <s v="FK"/>
    <s v="SILV2804"/>
    <x v="8"/>
    <s v="SILVIA COLLI JORDÃO PRESTES"/>
    <n v="161.55000000000001"/>
    <x v="23"/>
    <x v="23"/>
    <s v=""/>
    <x v="6"/>
    <s v="COMERCIAL"/>
    <n v="0"/>
    <s v="LETÍCIA"/>
  </r>
  <r>
    <n v="201008"/>
    <s v="KOX"/>
    <s v="PWR270420"/>
    <x v="8"/>
    <s v="MARCOS ROGERIO TAROCO"/>
    <n v="303"/>
    <x v="6"/>
    <x v="6"/>
    <s v=""/>
    <x v="3"/>
    <s v="FINANCEIRO"/>
    <n v="0"/>
    <s v="LETÍCIA"/>
  </r>
  <r>
    <n v="201010"/>
    <s v="KAR"/>
    <s v="5V0041757"/>
    <x v="8"/>
    <s v="KARAM'S IND.E COM.DE ESTOFADOS LTDA"/>
    <n v="130.16"/>
    <x v="39"/>
    <x v="39"/>
    <s v=""/>
    <x v="6"/>
    <s v="LOGÍSTICA"/>
    <n v="0"/>
    <s v="MYLENA"/>
  </r>
  <r>
    <n v="201011"/>
    <s v="KAR"/>
    <s v="CS0033674"/>
    <x v="8"/>
    <s v="KARAM'S IND.E COM.DE ESTOFADOS LTDA"/>
    <n v="130.16"/>
    <x v="39"/>
    <x v="39"/>
    <s v=""/>
    <x v="6"/>
    <s v="LOGÍSTICA"/>
    <n v="0"/>
    <s v="MYLENA"/>
  </r>
  <r>
    <n v="201012"/>
    <s v="KOY"/>
    <s v="5552"/>
    <x v="8"/>
    <s v="CAMELIA TECIDOS COMPLEMENTOS PARA DECORACOES LTDA"/>
    <n v="214.21"/>
    <x v="17"/>
    <x v="17"/>
    <s v=""/>
    <x v="8"/>
    <s v="FINANCEIRO"/>
    <n v="0"/>
    <s v="LETÍCIA"/>
  </r>
  <r>
    <n v="201013"/>
    <s v="FK"/>
    <s v="PWR280426"/>
    <x v="118"/>
    <s v="M.A. DOS SANTOS NASCIMENTO"/>
    <n v="284"/>
    <x v="64"/>
    <x v="64"/>
    <s v=""/>
    <x v="4"/>
    <s v="FINANCEIRO"/>
    <n v="0"/>
    <s v="MYLENA"/>
  </r>
  <r>
    <n v="201014"/>
    <s v="LAY"/>
    <s v="294"/>
    <x v="8"/>
    <s v="BANCO SICREDI"/>
    <n v="2.94"/>
    <x v="29"/>
    <x v="29"/>
    <s v=""/>
    <x v="8"/>
    <s v="FINANCEIRO"/>
    <n v="0"/>
    <s v="LETÍCIA"/>
  </r>
  <r>
    <n v="201015"/>
    <s v="LAY"/>
    <s v="2942904"/>
    <x v="8"/>
    <s v="BANCO SICREDI"/>
    <n v="0.28999999999999998"/>
    <x v="27"/>
    <x v="27"/>
    <s v=""/>
    <x v="8"/>
    <s v="FINANCEIRO"/>
    <n v="0"/>
    <s v="LETÍCIA"/>
  </r>
  <r>
    <n v="201016"/>
    <s v="FK"/>
    <s v="PWR260426"/>
    <x v="117"/>
    <s v="KARAM'S IND.E COM.DE ESTOFADOS LTDA"/>
    <n v="573"/>
    <x v="6"/>
    <x v="6"/>
    <s v=""/>
    <x v="3"/>
    <s v="FINANCEIRO"/>
    <n v="0"/>
    <s v="LETÍCIA"/>
  </r>
  <r>
    <n v="201017"/>
    <s v="KAR"/>
    <s v="1413"/>
    <x v="8"/>
    <s v="BANCO SICREDI"/>
    <n v="14.13"/>
    <x v="28"/>
    <x v="28"/>
    <s v=""/>
    <x v="8"/>
    <s v="FINANCEIRO"/>
    <n v="0"/>
    <s v="LETÍCIA"/>
  </r>
  <r>
    <n v="201018"/>
    <s v="KAR"/>
    <s v="6936"/>
    <x v="8"/>
    <s v="CAMELIA TECIDOS COMPLEMENTOS PARA DECORACOES LTDA"/>
    <n v="360"/>
    <x v="55"/>
    <x v="55"/>
    <s v=""/>
    <x v="8"/>
    <s v="COMERCIAL"/>
    <n v="0"/>
    <s v="LETÍCIA"/>
  </r>
  <r>
    <n v="201019"/>
    <s v="KAR"/>
    <s v="142904"/>
    <x v="8"/>
    <s v="BANCO SICREDI"/>
    <n v="1.4"/>
    <x v="27"/>
    <x v="27"/>
    <s v=""/>
    <x v="8"/>
    <s v="FINANCEIRO"/>
    <n v="0"/>
    <s v="LETÍCIA"/>
  </r>
  <r>
    <n v="201020"/>
    <s v="KAR"/>
    <s v="150192904"/>
    <x v="8"/>
    <s v="BANCO SICREDI"/>
    <n v="150.19"/>
    <x v="27"/>
    <x v="27"/>
    <s v=""/>
    <x v="8"/>
    <s v="FINANCEIRO"/>
    <n v="0"/>
    <s v="LETÍCIA"/>
  </r>
  <r>
    <n v="201021"/>
    <s v="KAR"/>
    <s v="23003"/>
    <x v="8"/>
    <s v="BANCO SICREDI"/>
    <n v="230.03"/>
    <x v="27"/>
    <x v="27"/>
    <s v=""/>
    <x v="8"/>
    <s v="FINANCEIRO"/>
    <n v="0"/>
    <s v="LETÍCIA"/>
  </r>
  <r>
    <n v="201022"/>
    <s v="KAR"/>
    <s v="CET2904"/>
    <x v="8"/>
    <s v="BANCO SICREDI"/>
    <n v="889.05"/>
    <x v="29"/>
    <x v="29"/>
    <s v=""/>
    <x v="8"/>
    <s v="FINANCEIRO"/>
    <n v="0"/>
    <s v="LETÍCIA"/>
  </r>
  <r>
    <n v="201026"/>
    <s v="KAR"/>
    <s v="08FER26"/>
    <x v="9"/>
    <s v="DANIEL RODRIGUES GALÓCIO"/>
    <n v="781.55"/>
    <x v="72"/>
    <x v="72"/>
    <s v=""/>
    <x v="5"/>
    <s v="DH"/>
    <s v="CUSTO MÃO DE OBRA DIRETA"/>
    <s v="RAFAEL"/>
  </r>
  <r>
    <n v="201032"/>
    <s v="LAY"/>
    <s v="08FER26"/>
    <x v="9"/>
    <s v="JOAO PAULO APARECIDO DONER MACEDO"/>
    <n v="733.86"/>
    <x v="72"/>
    <x v="72"/>
    <s v=""/>
    <x v="5"/>
    <s v="DH"/>
    <s v="CUSTO MÃO DE OBRA DIRETA"/>
    <s v="RAFAEL"/>
  </r>
  <r>
    <n v="201033"/>
    <s v="KAR"/>
    <s v="676996"/>
    <x v="8"/>
    <s v="KOFEMAR COMERCIO DE PRODUTOS PARA MARCENARIA LTDA"/>
    <n v="225"/>
    <x v="38"/>
    <x v="38"/>
    <s v=""/>
    <x v="5"/>
    <s v="PRODUÇÃO"/>
    <n v="0"/>
    <s v="RAFAEL"/>
  </r>
  <r>
    <n v="201034"/>
    <s v="LAY"/>
    <s v="15FER26"/>
    <x v="9"/>
    <s v="JORDANA DENARDI DOS SANTOS CAVALCANTE"/>
    <n v="1026.8399999999999"/>
    <x v="72"/>
    <x v="72"/>
    <s v=""/>
    <x v="5"/>
    <s v="DH"/>
    <s v="CUSTO MÃO DE OBRA DIRETA"/>
    <s v="RAFAEL"/>
  </r>
  <r>
    <n v="201035"/>
    <s v="LAY"/>
    <s v="08FER26"/>
    <x v="9"/>
    <s v="JOSE RAIMUNDO ISIDORO BUENO"/>
    <n v="840.08"/>
    <x v="72"/>
    <x v="72"/>
    <s v=""/>
    <x v="5"/>
    <s v="DH"/>
    <s v="CUSTO MÃO DE OBRA DIRETA"/>
    <s v="RAFAEL"/>
  </r>
  <r>
    <n v="201036"/>
    <s v="KAR"/>
    <s v="15012904"/>
    <x v="8"/>
    <s v="BANCO SICREDI"/>
    <n v="15.01"/>
    <x v="28"/>
    <x v="28"/>
    <s v=""/>
    <x v="8"/>
    <s v="FINANCEIRO"/>
    <n v="0"/>
    <s v="LETÍCIA"/>
  </r>
  <r>
    <n v="201037"/>
    <s v="LAY"/>
    <s v="1582904"/>
    <x v="8"/>
    <s v="BANCO SICREDI"/>
    <n v="1.58"/>
    <x v="28"/>
    <x v="28"/>
    <s v=""/>
    <x v="8"/>
    <s v="FINANCEIRO"/>
    <n v="0"/>
    <s v="LETÍCIA"/>
  </r>
  <r>
    <n v="201038"/>
    <s v="KOY"/>
    <s v="1582904"/>
    <x v="8"/>
    <s v="BANCO SICREDI"/>
    <n v="1.58"/>
    <x v="28"/>
    <x v="28"/>
    <s v=""/>
    <x v="8"/>
    <s v="FINANCEIRO"/>
    <n v="0"/>
    <s v="LETÍCIA"/>
  </r>
  <r>
    <n v="201039"/>
    <s v="KAR"/>
    <s v="535"/>
    <x v="9"/>
    <s v="BANCO SICREDI"/>
    <n v="5.35"/>
    <x v="28"/>
    <x v="28"/>
    <s v=""/>
    <x v="8"/>
    <s v="FINANCEIRO"/>
    <n v="0"/>
    <s v="LETÍCIA"/>
  </r>
  <r>
    <n v="201040"/>
    <s v="KAR"/>
    <s v="065725"/>
    <x v="9"/>
    <s v="PROJETO CONCEPT MOVEIS PLANEJADOS EIRELI"/>
    <n v="475.13"/>
    <x v="17"/>
    <x v="17"/>
    <s v=""/>
    <x v="8"/>
    <s v="FINANCEIRO"/>
    <n v="0"/>
    <s v="LETÍCIA"/>
  </r>
  <r>
    <n v="201041"/>
    <s v="KAR"/>
    <s v="180567"/>
    <x v="9"/>
    <s v="EXPRESSO SAO MIGUEL NAVEGANTES"/>
    <n v="149.07"/>
    <x v="48"/>
    <x v="48"/>
    <s v=""/>
    <x v="0"/>
    <s v="COMPRAS"/>
    <n v="0"/>
    <s v="MYLENA"/>
  </r>
  <r>
    <n v="201042"/>
    <s v="KAR"/>
    <s v="3740102"/>
    <x v="9"/>
    <s v="EXPRESSO SAO MIGUEL LTDA"/>
    <n v="117.3"/>
    <x v="48"/>
    <x v="48"/>
    <s v="SERVIÇOS FRETE"/>
    <x v="0"/>
    <s v="COMPRAS"/>
    <n v="0"/>
    <s v="MYLENA"/>
  </r>
  <r>
    <n v="201043"/>
    <s v="FK"/>
    <s v="SILV2204"/>
    <x v="115"/>
    <s v="SILVIA COLLI JORDÃO PRESTES"/>
    <n v="144.11000000000001"/>
    <x v="23"/>
    <x v="23"/>
    <s v=""/>
    <x v="6"/>
    <s v="COMERCIAL"/>
    <n v="0"/>
    <s v="LETÍCIA"/>
  </r>
  <r>
    <n v="201044"/>
    <s v="KAR"/>
    <s v="63239"/>
    <x v="9"/>
    <s v="TRANS APUCARANA TRANSPORTES RODOVIARIOS LTDA"/>
    <n v="127.05"/>
    <x v="48"/>
    <x v="48"/>
    <s v="SERVIÇOS FRETE"/>
    <x v="0"/>
    <s v="COMPRAS"/>
    <n v="0"/>
    <s v="MYLENA"/>
  </r>
  <r>
    <n v="201046"/>
    <s v="KAR"/>
    <s v="512751"/>
    <x v="9"/>
    <s v="EXPRESSO SAO MIGUEL S/A"/>
    <n v="76.59"/>
    <x v="48"/>
    <x v="48"/>
    <s v=""/>
    <x v="0"/>
    <s v="COMPRAS"/>
    <n v="0"/>
    <s v="MYLENA"/>
  </r>
  <r>
    <n v="201047"/>
    <s v="FK"/>
    <s v="SMAL3004"/>
    <x v="9"/>
    <s v="WAGNER SANVEZZO PEREIRINHA 04625378974"/>
    <n v="340"/>
    <x v="46"/>
    <x v="46"/>
    <s v=""/>
    <x v="9"/>
    <s v="MANUTENÇÃO / TI"/>
    <n v="0"/>
    <s v="FÁBIO"/>
  </r>
  <r>
    <n v="201051"/>
    <s v="KAR"/>
    <s v="471110"/>
    <x v="9"/>
    <s v="VMD MAQUINAS E FERRAMENTAS LTDA"/>
    <n v="2118.25"/>
    <x v="38"/>
    <x v="38"/>
    <s v="PEÇAS DE FERRAMENTAS"/>
    <x v="5"/>
    <s v="PRODUÇÃO"/>
    <n v="0"/>
    <s v="RAFAEL"/>
  </r>
  <r>
    <n v="201052"/>
    <s v="FK"/>
    <s v="NIS3004"/>
    <x v="9"/>
    <s v="CASA DE FERRAGEM NISHIMOTO"/>
    <n v="205"/>
    <x v="46"/>
    <x v="46"/>
    <s v="FERRAGENS GERAIS"/>
    <x v="9"/>
    <s v="MANUTENÇÃO / TI"/>
    <n v="0"/>
    <s v="FÁBIO"/>
  </r>
  <r>
    <n v="201077"/>
    <s v="KAR"/>
    <s v="MODELISTA/"/>
    <x v="9"/>
    <s v="RAFAEL DOMINIQUE SANTOS LIMA"/>
    <n v="6000"/>
    <x v="11"/>
    <x v="11"/>
    <s v=""/>
    <x v="6"/>
    <s v="DESENVOLVIMENTO"/>
    <n v="0"/>
    <s v="RAFAEL"/>
  </r>
  <r>
    <n v="201078"/>
    <s v="KAR"/>
    <s v="MODELISTA/"/>
    <x v="9"/>
    <s v="RAFAEL DOMINIQUE SANTOS LIMA"/>
    <n v="6000"/>
    <x v="11"/>
    <x v="11"/>
    <s v=""/>
    <x v="6"/>
    <s v="DESENVOLVIMENTO"/>
    <n v="0"/>
    <s v="RAFAEL"/>
  </r>
  <r>
    <n v="201101"/>
    <s v="KAR"/>
    <s v="4021"/>
    <x v="9"/>
    <s v="R&amp;J EQUIPAMENTOS LTDA"/>
    <n v="5788.1"/>
    <x v="38"/>
    <x v="38"/>
    <s v="CNC TECIDO"/>
    <x v="5"/>
    <s v="PRODUÇÃO"/>
    <n v="0"/>
    <s v="RAFAEL"/>
  </r>
  <r>
    <n v="201103"/>
    <s v="LAY"/>
    <s v="07FER26"/>
    <x v="118"/>
    <s v="MARCOS ADRIANO GARCIA"/>
    <n v="1291.02"/>
    <x v="72"/>
    <x v="72"/>
    <s v=""/>
    <x v="5"/>
    <s v="DH"/>
    <s v="CUSTO MÃO DE OBRA DIRETA"/>
    <s v="RAFAEL"/>
  </r>
  <r>
    <n v="201104"/>
    <s v="KAR"/>
    <s v="094"/>
    <x v="9"/>
    <s v="BANCO SICREDI"/>
    <n v="0.94"/>
    <x v="29"/>
    <x v="29"/>
    <s v=""/>
    <x v="8"/>
    <s v="FINANCEIRO"/>
    <n v="0"/>
    <s v="LETÍCIA"/>
  </r>
  <r>
    <n v="201105"/>
    <s v="KAR"/>
    <s v="010230"/>
    <x v="9"/>
    <s v="BANCO SICREDI"/>
    <n v="0.1"/>
    <x v="27"/>
    <x v="27"/>
    <s v=""/>
    <x v="8"/>
    <s v="FINANCEIRO"/>
    <n v="0"/>
    <s v="LETÍCIA"/>
  </r>
  <r>
    <n v="201107"/>
    <s v="KAR"/>
    <s v="2212"/>
    <x v="9"/>
    <s v="BANCO SICREDI"/>
    <n v="22.12"/>
    <x v="28"/>
    <x v="28"/>
    <s v=""/>
    <x v="8"/>
    <s v="FINANCEIRO"/>
    <n v="0"/>
    <s v="LETÍCIA"/>
  </r>
  <r>
    <n v="201108"/>
    <s v="KAR"/>
    <s v="62804"/>
    <x v="25"/>
    <s v="F. G. COM. DE PROD. DE HIG. PROF. LTDA."/>
    <n v="49.9"/>
    <x v="45"/>
    <x v="45"/>
    <s v=""/>
    <x v="4"/>
    <s v="ADMINISTRATIVO"/>
    <n v="0"/>
    <s v="MYLENA"/>
  </r>
  <r>
    <n v="201109"/>
    <s v="KAR"/>
    <s v="62803"/>
    <x v="25"/>
    <s v="F. G. COM. DE PROD. DE HIG. PROF. LTDA."/>
    <n v="149.69999999999999"/>
    <x v="44"/>
    <x v="44"/>
    <s v=""/>
    <x v="9"/>
    <s v="COMPRAS"/>
    <n v="0"/>
    <s v="MYLENA"/>
  </r>
  <r>
    <n v="201110"/>
    <s v="LAY"/>
    <s v="4743004"/>
    <x v="9"/>
    <s v="BANCO SICREDI"/>
    <n v="4.74"/>
    <x v="28"/>
    <x v="28"/>
    <s v=""/>
    <x v="8"/>
    <s v="FINANCEIRO"/>
    <n v="0"/>
    <s v="LETÍCIA"/>
  </r>
  <r>
    <n v="201111"/>
    <s v="KOY"/>
    <s v="3163004"/>
    <x v="9"/>
    <s v="BANCO SICREDI"/>
    <n v="3.16"/>
    <x v="28"/>
    <x v="28"/>
    <s v=""/>
    <x v="8"/>
    <s v="FINANCEIRO"/>
    <n v="0"/>
    <s v="LETÍCIA"/>
  </r>
  <r>
    <n v="201112"/>
    <s v="FK"/>
    <s v="1140"/>
    <x v="9"/>
    <s v="SICOOB NOROESTE DO PARANA"/>
    <n v="11.4"/>
    <x v="28"/>
    <x v="28"/>
    <s v=""/>
    <x v="8"/>
    <s v="FINANCEIRO"/>
    <n v="0"/>
    <s v="LETÍCIA"/>
  </r>
  <r>
    <n v="201113"/>
    <s v="FK"/>
    <s v="LEAN0405"/>
    <x v="44"/>
    <s v="LEANDRO GRASEL"/>
    <n v="378"/>
    <x v="48"/>
    <x v="48"/>
    <s v=""/>
    <x v="0"/>
    <s v="COMPRAS"/>
    <n v="0"/>
    <s v="MYLENA"/>
  </r>
  <r>
    <n v="201114"/>
    <s v="FK"/>
    <s v="MER040526"/>
    <x v="44"/>
    <s v="KARAM'S IND.E COM.DE ESTOFADOS LTDA"/>
    <n v="24.6"/>
    <x v="14"/>
    <x v="14"/>
    <s v=""/>
    <x v="6"/>
    <s v="COMERCIAL"/>
    <n v="0"/>
    <s v="THAIS"/>
  </r>
  <r>
    <n v="201115"/>
    <s v="FK"/>
    <s v="NEY040526"/>
    <x v="44"/>
    <s v="ERICA ARAGÃO DE OLIVEIRA"/>
    <n v="51"/>
    <x v="16"/>
    <x v="16"/>
    <s v=""/>
    <x v="7"/>
    <s v="DH"/>
    <n v="0"/>
    <s v="MYLENA"/>
  </r>
  <r>
    <n v="201116"/>
    <s v="FK"/>
    <s v="NETO0105"/>
    <x v="9"/>
    <s v="CAMINHÃO - AYL-6E00"/>
    <n v="2091"/>
    <x v="41"/>
    <x v="41"/>
    <s v=""/>
    <x v="6"/>
    <s v="LOGÍSTICA"/>
    <n v="0"/>
    <s v="MYLENA"/>
  </r>
  <r>
    <n v="201117"/>
    <s v="FK"/>
    <s v="LEAND3004"/>
    <x v="9"/>
    <s v="CAMINHAO - AYL-5F59"/>
    <n v="1516"/>
    <x v="41"/>
    <x v="41"/>
    <s v=""/>
    <x v="6"/>
    <s v="LOGÍSTICA"/>
    <n v="0"/>
    <s v="MYLENA"/>
  </r>
  <r>
    <n v="201118"/>
    <s v="FK"/>
    <s v="FAB200526"/>
    <x v="44"/>
    <s v="UNIMED DE PARANAVAI COOPERATIVA DE TRABALHO MEDICO"/>
    <n v="1370.85"/>
    <x v="15"/>
    <x v="15"/>
    <s v=""/>
    <x v="7"/>
    <s v="DIRETORIA"/>
    <n v="0"/>
    <s v="FÁBIO"/>
  </r>
  <r>
    <n v="201119"/>
    <s v="FK"/>
    <s v="SUE200526"/>
    <x v="44"/>
    <s v="UNIMED DE PARANAVAI COOPERATIVA DE TRABALHO MEDICO"/>
    <n v="1370.85"/>
    <x v="15"/>
    <x v="15"/>
    <s v=""/>
    <x v="7"/>
    <s v="DIRETORIA"/>
    <n v="0"/>
    <s v="FÁBIO"/>
  </r>
  <r>
    <n v="201120"/>
    <s v="FK"/>
    <s v="KAR200526"/>
    <x v="44"/>
    <s v="UNIMED DE PARANAVAI COOPERATIVA DE TRABALHO MEDICO"/>
    <n v="808.51"/>
    <x v="15"/>
    <x v="15"/>
    <s v=""/>
    <x v="7"/>
    <s v="DIRETORIA"/>
    <n v="0"/>
    <s v="FÁBIO"/>
  </r>
  <r>
    <n v="201121"/>
    <s v="FK"/>
    <s v="MYL200526"/>
    <x v="44"/>
    <s v="UNIMED DE PARANAVAI COOPERATIVA DE TRABALHO MEDICO"/>
    <n v="1138.4000000000001"/>
    <x v="15"/>
    <x v="15"/>
    <s v=""/>
    <x v="7"/>
    <s v="DIRETORIA"/>
    <n v="0"/>
    <s v="FÁBIO"/>
  </r>
  <r>
    <n v="201122"/>
    <s v="FK"/>
    <s v="80552"/>
    <x v="44"/>
    <s v="COMERCIO DE COMBUSTIVEIS TBM LTDA."/>
    <n v="2202.41"/>
    <x v="37"/>
    <x v="37"/>
    <s v=""/>
    <x v="6"/>
    <s v="LOGÍSTICA"/>
    <n v="0"/>
    <s v="MYLENA"/>
  </r>
  <r>
    <n v="201123"/>
    <s v="FK"/>
    <s v="80553"/>
    <x v="44"/>
    <s v="COMERCIO DE COMBUSTIVEIS TBM LTDA."/>
    <n v="119.9"/>
    <x v="31"/>
    <x v="31"/>
    <s v=""/>
    <x v="6"/>
    <s v="LOGÍSTICA"/>
    <n v="0"/>
    <s v="MYLENA"/>
  </r>
  <r>
    <n v="201124"/>
    <s v="FK"/>
    <s v="RAF200526"/>
    <x v="44"/>
    <s v="UNIMED DE PARANAVAI COOPERATIVA DE TRABALHO MEDICO"/>
    <n v="1326.87"/>
    <x v="15"/>
    <x v="15"/>
    <s v=""/>
    <x v="7"/>
    <s v="DIRETORIA"/>
    <n v="0"/>
    <s v="FÁBIO"/>
  </r>
  <r>
    <n v="201125"/>
    <s v="KAR"/>
    <s v="63812"/>
    <x v="118"/>
    <s v="POSTO FAROL 48 DA CASTELO LTDA"/>
    <n v="1478"/>
    <x v="37"/>
    <x v="37"/>
    <s v=""/>
    <x v="6"/>
    <s v="LOGÍSTICA"/>
    <n v="0"/>
    <s v="MYLENA"/>
  </r>
  <r>
    <n v="201126"/>
    <s v="KAR"/>
    <s v="745532"/>
    <x v="44"/>
    <s v="AUTO POSTO SANTA TEREZINHA DE AVARE LTDA"/>
    <n v="1098.8"/>
    <x v="37"/>
    <x v="37"/>
    <s v=""/>
    <x v="6"/>
    <s v="LOGÍSTICA"/>
    <n v="0"/>
    <s v="MYLENA"/>
  </r>
  <r>
    <n v="201127"/>
    <s v="KAR"/>
    <s v="36409"/>
    <x v="44"/>
    <s v="MAHLE HORIZONTE COMERCIO DE COMBUSTIVEIS LTDA"/>
    <n v="105.34"/>
    <x v="37"/>
    <x v="37"/>
    <s v=""/>
    <x v="6"/>
    <s v="LOGÍSTICA"/>
    <n v="0"/>
    <s v="MYLENA"/>
  </r>
  <r>
    <n v="201128"/>
    <s v="KAR"/>
    <s v="33300"/>
    <x v="44"/>
    <s v="POSTO SAPATAO COM DE COMBUSTIVEIS "/>
    <n v="99.61"/>
    <x v="37"/>
    <x v="37"/>
    <s v=""/>
    <x v="6"/>
    <s v="LOGÍSTICA"/>
    <n v="0"/>
    <s v="MYLENA"/>
  </r>
  <r>
    <n v="201129"/>
    <s v="KAR"/>
    <s v="36408"/>
    <x v="44"/>
    <s v="MAHLE HORIZONTE COMERCIO DE COMBUSTIVEIS LTDA"/>
    <n v="1181.54"/>
    <x v="37"/>
    <x v="37"/>
    <s v=""/>
    <x v="6"/>
    <s v="LOGÍSTICA"/>
    <n v="0"/>
    <s v="MYLENA"/>
  </r>
  <r>
    <n v="201130"/>
    <s v="KAR"/>
    <s v="33299"/>
    <x v="44"/>
    <s v="POSTO SAPATAO COM DE COMBUSTIVEIS "/>
    <n v="1001.49"/>
    <x v="37"/>
    <x v="37"/>
    <s v=""/>
    <x v="6"/>
    <s v="LOGÍSTICA"/>
    <n v="0"/>
    <s v="MYLENA"/>
  </r>
  <r>
    <n v="201131"/>
    <s v="KAR"/>
    <s v="102218"/>
    <x v="44"/>
    <s v="SIM REDE DE POSTOS LTDA - SANTA MARIA BR392"/>
    <n v="1287.9000000000001"/>
    <x v="37"/>
    <x v="37"/>
    <s v=""/>
    <x v="6"/>
    <s v="LOGÍSTICA"/>
    <n v="0"/>
    <s v="MYLENA"/>
  </r>
  <r>
    <n v="201132"/>
    <s v="FK"/>
    <s v="11490"/>
    <x v="9"/>
    <s v="COMERCIO DE COMBUSTIVEIS TBM LTDA."/>
    <n v="2681.69"/>
    <x v="37"/>
    <x v="37"/>
    <s v=""/>
    <x v="6"/>
    <s v="LOGÍSTICA"/>
    <n v="0"/>
    <s v="MYLENA"/>
  </r>
  <r>
    <n v="201134"/>
    <s v="FK"/>
    <s v="BORRA3004"/>
    <x v="9"/>
    <s v="CAMINHAO BEM-9J26 "/>
    <n v="40"/>
    <x v="31"/>
    <x v="31"/>
    <s v=""/>
    <x v="6"/>
    <s v="LOGÍSTICA"/>
    <n v="0"/>
    <s v="MYLENA"/>
  </r>
  <r>
    <n v="201135"/>
    <s v="FK"/>
    <s v="SODA2904"/>
    <x v="9"/>
    <s v="CAMINHAO BEM-9J26 "/>
    <n v="53.4"/>
    <x v="41"/>
    <x v="41"/>
    <s v=""/>
    <x v="6"/>
    <s v="LOGÍSTICA"/>
    <n v="0"/>
    <s v="MYLENA"/>
  </r>
  <r>
    <n v="201136"/>
    <s v="FK"/>
    <s v="80439"/>
    <x v="8"/>
    <s v="COMERCIO DE COMBUSTIVEIS TBM LTDA."/>
    <n v="714.49"/>
    <x v="37"/>
    <x v="37"/>
    <s v=""/>
    <x v="6"/>
    <s v="LOGÍSTICA"/>
    <n v="0"/>
    <s v="MYLENA"/>
  </r>
  <r>
    <n v="201137"/>
    <s v="FK"/>
    <s v="11297"/>
    <x v="118"/>
    <s v="COMERCIO DE COMBUSTIVEIS TBM LTDA."/>
    <n v="333.91"/>
    <x v="37"/>
    <x v="37"/>
    <s v=""/>
    <x v="6"/>
    <s v="LOGÍSTICA"/>
    <n v="0"/>
    <s v="MYLENA"/>
  </r>
  <r>
    <n v="201138"/>
    <s v="KAR"/>
    <s v="85642"/>
    <x v="9"/>
    <s v="BUYSOFT DO BRASIL LTDA"/>
    <n v="11003.55"/>
    <x v="12"/>
    <x v="12"/>
    <s v="SKETCHUP"/>
    <x v="3"/>
    <s v="MANUTENÇÃO / TI"/>
    <n v="0"/>
    <s v="LETÍCIA"/>
  </r>
  <r>
    <n v="201139"/>
    <s v="FK"/>
    <s v="NF 6414"/>
    <x v="44"/>
    <s v="MERCADO LIVRE "/>
    <n v="50"/>
    <x v="38"/>
    <x v="38"/>
    <s v=""/>
    <x v="5"/>
    <s v="PRODUÇÃO"/>
    <n v="0"/>
    <s v="RAFAEL"/>
  </r>
  <r>
    <n v="201141"/>
    <s v="FK"/>
    <s v="08FER26"/>
    <x v="25"/>
    <s v="JOSE RAIMUNDO ISIDORO BUENO"/>
    <n v="1358.46"/>
    <x v="72"/>
    <x v="72"/>
    <s v=""/>
    <x v="5"/>
    <s v="DH"/>
    <s v="CUSTO MÃO DE OBRA DIRETA"/>
    <s v="RAFAEL"/>
  </r>
  <r>
    <n v="201142"/>
    <s v="FK"/>
    <s v="BATA3004A"/>
    <x v="9"/>
    <s v="MARIA ANDREIA BUENO DE ALMEIDA BATAER"/>
    <n v="57.66"/>
    <x v="34"/>
    <x v="34"/>
    <s v=""/>
    <x v="6"/>
    <s v="COMERCIAL"/>
    <n v="0"/>
    <s v="LETÍCIA"/>
  </r>
  <r>
    <n v="201143"/>
    <s v="FK"/>
    <s v="BATA3004C"/>
    <x v="9"/>
    <s v="MARIA ANDREIA BUENO DE ALMEIDA BATAER"/>
    <n v="734.69"/>
    <x v="34"/>
    <x v="34"/>
    <s v=""/>
    <x v="6"/>
    <s v="COMERCIAL"/>
    <n v="0"/>
    <s v="LETÍCIA"/>
  </r>
  <r>
    <n v="201144"/>
    <s v="KAR"/>
    <s v="30515"/>
    <x v="44"/>
    <s v="BANCO SICREDI"/>
    <n v="305.14999999999998"/>
    <x v="27"/>
    <x v="27"/>
    <s v=""/>
    <x v="8"/>
    <s v="FINANCEIRO"/>
    <n v="0"/>
    <s v="LETÍCIA"/>
  </r>
  <r>
    <n v="201145"/>
    <s v="KAR"/>
    <s v="26622"/>
    <x v="44"/>
    <s v="BANCO SICREDI"/>
    <n v="266.22000000000003"/>
    <x v="27"/>
    <x v="27"/>
    <s v=""/>
    <x v="8"/>
    <s v="FINANCEIRO"/>
    <n v="0"/>
    <s v="LETÍCIA"/>
  </r>
  <r>
    <n v="201146"/>
    <s v="KAR"/>
    <s v="CET0405"/>
    <x v="44"/>
    <s v="BANCO SICREDI"/>
    <n v="1865.64"/>
    <x v="29"/>
    <x v="29"/>
    <s v=""/>
    <x v="8"/>
    <s v="FINANCEIRO"/>
    <n v="0"/>
    <s v="LETÍCIA"/>
  </r>
  <r>
    <n v="201147"/>
    <s v="KAR"/>
    <s v="20522"/>
    <x v="44"/>
    <s v="BANCO SICREDI"/>
    <n v="205.22"/>
    <x v="27"/>
    <x v="27"/>
    <s v=""/>
    <x v="8"/>
    <s v="FINANCEIRO"/>
    <n v="0"/>
    <s v="LETÍCIA"/>
  </r>
  <r>
    <n v="201148"/>
    <s v="KAR"/>
    <s v="3555"/>
    <x v="44"/>
    <s v="BANCO SICREDI"/>
    <n v="35.549999999999997"/>
    <x v="28"/>
    <x v="28"/>
    <s v=""/>
    <x v="8"/>
    <s v="FINANCEIRO"/>
    <n v="0"/>
    <s v="LETÍCIA"/>
  </r>
  <r>
    <n v="201149"/>
    <s v="KAR"/>
    <s v="02705056"/>
    <x v="25"/>
    <s v="BANCO SICREDI"/>
    <n v="0.27"/>
    <x v="27"/>
    <x v="27"/>
    <s v=""/>
    <x v="8"/>
    <s v="FINANCEIRO"/>
    <n v="0"/>
    <s v="LETÍCIA"/>
  </r>
  <r>
    <n v="201150"/>
    <s v="KAR"/>
    <s v="7900405"/>
    <x v="44"/>
    <s v="BANCO SICREDI"/>
    <n v="7.9"/>
    <x v="27"/>
    <x v="27"/>
    <s v=""/>
    <x v="8"/>
    <s v="FINANCEIRO"/>
    <n v="0"/>
    <s v="LETÍCIA"/>
  </r>
  <r>
    <n v="201151"/>
    <s v="KOY"/>
    <s v="1900"/>
    <x v="44"/>
    <s v="BANCO SICREDI"/>
    <n v="19"/>
    <x v="27"/>
    <x v="27"/>
    <s v=""/>
    <x v="8"/>
    <s v="FINANCEIRO"/>
    <n v="0"/>
    <s v="LETÍCIA"/>
  </r>
  <r>
    <n v="201152"/>
    <s v="KOY"/>
    <s v="5530405"/>
    <x v="44"/>
    <s v="BANCO SICREDI"/>
    <n v="5.53"/>
    <x v="28"/>
    <x v="28"/>
    <s v=""/>
    <x v="8"/>
    <s v="FINANCEIRO"/>
    <n v="0"/>
    <s v="LETÍCIA"/>
  </r>
  <r>
    <n v="201153"/>
    <s v="KAR"/>
    <s v="60050"/>
    <x v="25"/>
    <s v="BANCO SICREDI"/>
    <n v="60"/>
    <x v="27"/>
    <x v="27"/>
    <s v=""/>
    <x v="8"/>
    <s v="FINANCEIRO"/>
    <n v="0"/>
    <s v="LETÍCIA"/>
  </r>
  <r>
    <n v="201154"/>
    <s v="KAR"/>
    <s v="2850405"/>
    <x v="44"/>
    <s v="BANCO SICREDI"/>
    <n v="2.85"/>
    <x v="27"/>
    <x v="27"/>
    <s v=""/>
    <x v="8"/>
    <s v="FINANCEIRO"/>
    <n v="0"/>
    <s v="LETÍCIA"/>
  </r>
  <r>
    <n v="201156"/>
    <s v="KAR"/>
    <s v="37305"/>
    <x v="25"/>
    <s v="PRC CONFECÇÕES LTDA"/>
    <n v="9103.6"/>
    <x v="40"/>
    <x v="40"/>
    <s v=""/>
    <x v="5"/>
    <s v="COMPRAS"/>
    <n v="0"/>
    <s v="RAFAEL"/>
  </r>
  <r>
    <n v="201157"/>
    <s v="FK"/>
    <s v="SIL040526"/>
    <x v="44"/>
    <s v="M.A. DOS SANTOS NASCIMENTO"/>
    <n v="140"/>
    <x v="64"/>
    <x v="64"/>
    <s v=""/>
    <x v="4"/>
    <s v="FINANCEIRO"/>
    <n v="0"/>
    <s v="MYLENA"/>
  </r>
  <r>
    <n v="201158"/>
    <s v="KAR"/>
    <s v="955675"/>
    <x v="25"/>
    <s v="EXPRESSO SAO MIGUEL LTDA"/>
    <n v="247.49"/>
    <x v="48"/>
    <x v="48"/>
    <s v="SERVIÇOS FRETE"/>
    <x v="0"/>
    <s v="COMPRAS"/>
    <n v="0"/>
    <s v="MYLENA"/>
  </r>
  <r>
    <n v="201159"/>
    <s v="FK"/>
    <s v="NIS0505"/>
    <x v="25"/>
    <s v="CASA DE FERRAGEM NISHIMOTO"/>
    <n v="590"/>
    <x v="46"/>
    <x v="46"/>
    <s v="FERRAGENS GERAIS"/>
    <x v="9"/>
    <s v="MANUTENÇÃO / TI"/>
    <n v="0"/>
    <s v="FÁBIO"/>
  </r>
  <r>
    <n v="201160"/>
    <s v="KAR"/>
    <s v="39839"/>
    <x v="25"/>
    <s v="BANCO SICREDI"/>
    <n v="398.39"/>
    <x v="27"/>
    <x v="27"/>
    <s v=""/>
    <x v="8"/>
    <s v="FINANCEIRO"/>
    <n v="0"/>
    <s v="LETÍCIA"/>
  </r>
  <r>
    <n v="201161"/>
    <s v="KAR"/>
    <s v="33325"/>
    <x v="25"/>
    <s v="BANCO SICREDI"/>
    <n v="333.25"/>
    <x v="27"/>
    <x v="27"/>
    <s v=""/>
    <x v="8"/>
    <s v="FINANCEIRO"/>
    <n v="0"/>
    <s v="LETÍCIA"/>
  </r>
  <r>
    <n v="201162"/>
    <s v="KAR"/>
    <s v="CET050526"/>
    <x v="25"/>
    <s v="BANCO SICREDI"/>
    <n v="2468.65"/>
    <x v="29"/>
    <x v="29"/>
    <s v=""/>
    <x v="8"/>
    <s v="FINANCEIRO"/>
    <n v="0"/>
    <s v="LETÍCIA"/>
  </r>
  <r>
    <n v="201163"/>
    <s v="FK"/>
    <s v="MAI2026"/>
    <x v="25"/>
    <s v="FABIO HIROMITSU KATO"/>
    <n v="16000"/>
    <x v="15"/>
    <x v="15"/>
    <s v=""/>
    <x v="7"/>
    <s v="DIRETORIA"/>
    <n v="0"/>
    <s v="FÁBIO"/>
  </r>
  <r>
    <n v="201164"/>
    <s v="KOY"/>
    <s v="MAIO2026"/>
    <x v="25"/>
    <s v="RAFAEL KOSSEI KATO"/>
    <n v="10000"/>
    <x v="15"/>
    <x v="15"/>
    <s v=""/>
    <x v="7"/>
    <s v="DIRETORIA"/>
    <n v="0"/>
    <s v="FÁBIO"/>
  </r>
  <r>
    <n v="201165"/>
    <s v="LAY"/>
    <s v="MAIO2026"/>
    <x v="25"/>
    <s v="MYLENA NARIE KATO BRIGANTINI"/>
    <n v="9000"/>
    <x v="15"/>
    <x v="15"/>
    <s v=""/>
    <x v="7"/>
    <s v="DIRETORIA"/>
    <n v="0"/>
    <s v="FÁBIO"/>
  </r>
  <r>
    <n v="201166"/>
    <s v="FK"/>
    <s v="MAIO2026"/>
    <x v="25"/>
    <s v="SUELY KAY KATO"/>
    <n v="15000"/>
    <x v="15"/>
    <x v="15"/>
    <s v=""/>
    <x v="7"/>
    <s v="DIRETORIA"/>
    <n v="0"/>
    <s v="FÁBIO"/>
  </r>
  <r>
    <n v="201167"/>
    <s v="KAR"/>
    <s v="23960505"/>
    <x v="25"/>
    <s v="BANCO SICREDI"/>
    <n v="239.67"/>
    <x v="27"/>
    <x v="27"/>
    <s v=""/>
    <x v="8"/>
    <s v="FINANCEIRO"/>
    <n v="0"/>
    <s v="LETÍCIA"/>
  </r>
  <r>
    <n v="201168"/>
    <s v="FK"/>
    <s v="SANT0505"/>
    <x v="25"/>
    <s v="BICICLETARIA SANTO ANTONIO"/>
    <n v="65"/>
    <x v="11"/>
    <x v="11"/>
    <s v=""/>
    <x v="6"/>
    <s v="DESENVOLVIMENTO"/>
    <n v="0"/>
    <s v="RAFAEL"/>
  </r>
  <r>
    <n v="201169"/>
    <s v="KAR"/>
    <s v="8690505"/>
    <x v="25"/>
    <s v="BANCO SICREDI"/>
    <n v="8.69"/>
    <x v="28"/>
    <x v="28"/>
    <s v=""/>
    <x v="8"/>
    <s v="FINANCEIRO"/>
    <n v="0"/>
    <s v="LETÍCIA"/>
  </r>
  <r>
    <n v="201171"/>
    <s v="LAY"/>
    <s v="0790505"/>
    <x v="25"/>
    <s v="BANCO SICREDI"/>
    <n v="0.79"/>
    <x v="28"/>
    <x v="28"/>
    <s v=""/>
    <x v="8"/>
    <s v="FINANCEIRO"/>
    <n v="0"/>
    <s v="LETÍCIA"/>
  </r>
  <r>
    <n v="201173"/>
    <s v="FK"/>
    <s v="SILV0605"/>
    <x v="114"/>
    <s v="MARCIO RODRIGUES DA SILVA"/>
    <n v="70"/>
    <x v="44"/>
    <x v="44"/>
    <s v=""/>
    <x v="9"/>
    <s v="COMPRAS"/>
    <n v="0"/>
    <s v="MYLENA"/>
  </r>
  <r>
    <n v="201174"/>
    <s v="KOY"/>
    <s v="12194"/>
    <x v="114"/>
    <s v="LUKPAPER IND. E COM. DE PAPEIS EIRELI"/>
    <n v="1525"/>
    <x v="44"/>
    <x v="44"/>
    <s v=""/>
    <x v="9"/>
    <s v="COMPRAS"/>
    <n v="0"/>
    <s v="MYLENA"/>
  </r>
  <r>
    <n v="201175"/>
    <s v="KOY"/>
    <s v="12195"/>
    <x v="114"/>
    <s v="LUKPAPER IND. E COM. DE PAPEIS EIRELI"/>
    <n v="512.5"/>
    <x v="45"/>
    <x v="45"/>
    <s v=""/>
    <x v="4"/>
    <s v="ADMINISTRATIVO"/>
    <n v="0"/>
    <s v="MYLENA"/>
  </r>
  <r>
    <n v="201187"/>
    <s v="FK"/>
    <s v="GES060526"/>
    <x v="114"/>
    <s v="SUELY KAY KATO"/>
    <n v="500"/>
    <x v="15"/>
    <x v="15"/>
    <s v=""/>
    <x v="7"/>
    <s v="DIRETORIA"/>
    <n v="0"/>
    <s v="FÁBIO"/>
  </r>
  <r>
    <n v="201190"/>
    <s v="KAR"/>
    <s v="RESCISÃO"/>
    <x v="114"/>
    <s v="HERICA SOUSA VIEIRA"/>
    <n v="1694.75"/>
    <x v="92"/>
    <x v="92"/>
    <s v=""/>
    <x v="5"/>
    <s v="DH"/>
    <n v="0"/>
    <s v="RAFAEL"/>
  </r>
  <r>
    <n v="201191"/>
    <s v="KAR"/>
    <s v="65381"/>
    <x v="114"/>
    <s v="TRANS APUCARANA TRANSPORTES RODOVIARIOS LTDA"/>
    <n v="122.93"/>
    <x v="48"/>
    <x v="48"/>
    <s v="SERVIÇOS FRETE"/>
    <x v="0"/>
    <s v="COMPRAS"/>
    <n v="0"/>
    <s v="MYLENA"/>
  </r>
  <r>
    <n v="201192"/>
    <s v="FK"/>
    <s v="NIS0605A"/>
    <x v="114"/>
    <s v="CASA DE FERRAGEM NISHIMOTO"/>
    <n v="64"/>
    <x v="46"/>
    <x v="46"/>
    <s v="FERRAGENS GERAIS"/>
    <x v="9"/>
    <s v="MANUTENÇÃO / TI"/>
    <n v="0"/>
    <s v="FÁBIO"/>
  </r>
  <r>
    <n v="201193"/>
    <s v="FK"/>
    <s v="NIS0605B"/>
    <x v="114"/>
    <s v="CASA DE FERRAGEM NISHIMOTO"/>
    <n v="235"/>
    <x v="46"/>
    <x v="46"/>
    <s v="FERRAGENS GERAIS"/>
    <x v="9"/>
    <s v="MANUTENÇÃO / TI"/>
    <n v="0"/>
    <s v="FÁBIO"/>
  </r>
  <r>
    <n v="201194"/>
    <s v="KAR"/>
    <s v="40271"/>
    <x v="114"/>
    <s v="BANCO SICREDI"/>
    <n v="402.71"/>
    <x v="27"/>
    <x v="27"/>
    <s v=""/>
    <x v="8"/>
    <s v="FINANCEIRO"/>
    <n v="0"/>
    <s v="LETÍCIA"/>
  </r>
  <r>
    <n v="201195"/>
    <s v="KAR"/>
    <s v="25099"/>
    <x v="114"/>
    <s v="BANCO SICREDI"/>
    <n v="250.99"/>
    <x v="27"/>
    <x v="27"/>
    <s v=""/>
    <x v="8"/>
    <s v="FINANCEIRO"/>
    <n v="0"/>
    <s v="LETÍCIA"/>
  </r>
  <r>
    <n v="201196"/>
    <s v="KAR"/>
    <s v="CET 06052"/>
    <x v="114"/>
    <s v="BANCO SICREDI"/>
    <n v="2530.42"/>
    <x v="29"/>
    <x v="29"/>
    <s v=""/>
    <x v="8"/>
    <s v="FINANCEIRO"/>
    <n v="0"/>
    <s v="LETÍCIA"/>
  </r>
  <r>
    <n v="201197"/>
    <s v="FK"/>
    <s v="12012"/>
    <x v="114"/>
    <s v="COMERCIO DE COMBUSTIVEIS TBM LTDA."/>
    <n v="48.88"/>
    <x v="38"/>
    <x v="38"/>
    <s v=""/>
    <x v="5"/>
    <s v="PRODUÇÃO"/>
    <n v="0"/>
    <s v="RAFAEL"/>
  </r>
  <r>
    <n v="201198"/>
    <s v="KAR"/>
    <s v="PGTO0526"/>
    <x v="9"/>
    <s v="ALISSON FACCIO FERREIRA"/>
    <n v="2707.07"/>
    <x v="7"/>
    <x v="7"/>
    <s v=""/>
    <x v="5"/>
    <s v="DH"/>
    <s v="CUSTO MÃO DE OBRA DIRETA"/>
    <s v="RAFAEL"/>
  </r>
  <r>
    <n v="201199"/>
    <s v="KAR"/>
    <s v="8347"/>
    <x v="114"/>
    <s v="MUNDIAL ACO COMERCIO DE FERRAGENS LTDA"/>
    <n v="549"/>
    <x v="25"/>
    <x v="25"/>
    <s v=""/>
    <x v="2"/>
    <s v="MANUTENÇÃO / TI"/>
    <n v="0"/>
    <s v="FÁBIO"/>
  </r>
  <r>
    <n v="201202"/>
    <s v="KAR"/>
    <s v="PGTO0526"/>
    <x v="9"/>
    <s v="ANGELA MARIA GIANINI ARROZIO CANGUSSU"/>
    <n v="3015.86"/>
    <x v="7"/>
    <x v="7"/>
    <s v=""/>
    <x v="5"/>
    <s v="DH"/>
    <s v="CUSTO MÃO DE OBRA DIRETA"/>
    <s v="RAFAEL"/>
  </r>
  <r>
    <n v="201203"/>
    <s v="KAR"/>
    <s v="3673088"/>
    <x v="9"/>
    <s v="EXPRESSO SAO MIGUEL LTDA"/>
    <n v="137.18"/>
    <x v="38"/>
    <x v="38"/>
    <s v="SERVIÇOS FRETE"/>
    <x v="5"/>
    <s v="PRODUÇÃO"/>
    <n v="0"/>
    <s v="RAFAEL"/>
  </r>
  <r>
    <n v="201204"/>
    <s v="KAR"/>
    <s v="PGTO0526"/>
    <x v="9"/>
    <s v="BRUNO CÉSAR RODRIGUES"/>
    <n v="3126.08"/>
    <x v="7"/>
    <x v="7"/>
    <s v=""/>
    <x v="5"/>
    <s v="DH"/>
    <s v="CUSTO MÃO DE OBRA DIRETA"/>
    <s v="RAFAEL"/>
  </r>
  <r>
    <n v="201205"/>
    <s v="FK"/>
    <s v="FRATELLI"/>
    <x v="114"/>
    <s v="EDICLEIA HATSUE NAKAHARA TOMIOKA"/>
    <n v="125"/>
    <x v="14"/>
    <x v="14"/>
    <s v=""/>
    <x v="6"/>
    <s v="COMERCIAL"/>
    <n v="0"/>
    <s v="THAIS"/>
  </r>
  <r>
    <n v="201206"/>
    <s v="KAR"/>
    <s v="PGTO0526"/>
    <x v="9"/>
    <s v="BRUNO RODA DOS SANTOS"/>
    <n v="4056.73"/>
    <x v="7"/>
    <x v="7"/>
    <s v=""/>
    <x v="5"/>
    <s v="DH"/>
    <s v="CUSTO MÃO DE OBRA DIRETA"/>
    <s v="RAFAEL"/>
  </r>
  <r>
    <n v="201207"/>
    <s v="KAR"/>
    <s v="4966"/>
    <x v="114"/>
    <s v="Topfres Ferramentas Industria e Comercio LTDA"/>
    <n v="2166"/>
    <x v="38"/>
    <x v="38"/>
    <s v=""/>
    <x v="5"/>
    <s v="PRODUÇÃO"/>
    <n v="0"/>
    <s v="RAFAEL"/>
  </r>
  <r>
    <n v="201208"/>
    <s v="KAR"/>
    <s v="PGTO0526"/>
    <x v="9"/>
    <s v="CAMILA GALÓCIO OLIVETTI"/>
    <n v="2399.9299999999998"/>
    <x v="61"/>
    <x v="61"/>
    <s v=""/>
    <x v="9"/>
    <s v="DH"/>
    <s v="CUSTO MÃO DE OBRA DIRETA"/>
    <s v="RAFAEL"/>
  </r>
  <r>
    <n v="201209"/>
    <s v="FK"/>
    <s v="FRATELLI"/>
    <x v="114"/>
    <s v="VALERIA DANTAS SILVA"/>
    <n v="145"/>
    <x v="14"/>
    <x v="14"/>
    <s v=""/>
    <x v="6"/>
    <s v="COMERCIAL"/>
    <n v="0"/>
    <s v="THAIS"/>
  </r>
  <r>
    <n v="201210"/>
    <s v="KAR"/>
    <s v="PGTO0526"/>
    <x v="9"/>
    <s v="CELIO ROBERTO GARCIA"/>
    <n v="2768.59"/>
    <x v="7"/>
    <x v="7"/>
    <s v=""/>
    <x v="5"/>
    <s v="DH"/>
    <s v="CUSTO MÃO DE OBRA DIRETA"/>
    <s v="RAFAEL"/>
  </r>
  <r>
    <n v="201211"/>
    <s v="KAR"/>
    <s v="1643383"/>
    <x v="114"/>
    <s v="EXPRESSO SAO MIGUEL LTDA"/>
    <n v="99.28"/>
    <x v="38"/>
    <x v="38"/>
    <s v="SERVIÇOS FRETE"/>
    <x v="5"/>
    <s v="PRODUÇÃO"/>
    <n v="0"/>
    <s v="RAFAEL"/>
  </r>
  <r>
    <n v="201212"/>
    <s v="KAR"/>
    <s v="PGTO0526"/>
    <x v="9"/>
    <s v="DANIEL BRUNNER TAVARES"/>
    <n v="3151.7"/>
    <x v="61"/>
    <x v="61"/>
    <s v=""/>
    <x v="9"/>
    <s v="DH"/>
    <s v="CUSTO MÃO DE OBRA DIRETA"/>
    <s v="RAFAEL"/>
  </r>
  <r>
    <n v="201215"/>
    <s v="FK"/>
    <s v="TRABALHO"/>
    <x v="114"/>
    <s v="CRIS / SALGADOS "/>
    <n v="960"/>
    <x v="16"/>
    <x v="16"/>
    <s v=""/>
    <x v="7"/>
    <s v="DH"/>
    <n v="0"/>
    <s v="MYLENA"/>
  </r>
  <r>
    <n v="201216"/>
    <s v="FK"/>
    <s v="CAR547676"/>
    <x v="114"/>
    <s v="DUARTE &amp; BALIONI LTDA."/>
    <n v="297.33999999999997"/>
    <x v="14"/>
    <x v="14"/>
    <s v=""/>
    <x v="6"/>
    <s v="COMERCIAL"/>
    <n v="0"/>
    <s v="THAIS"/>
  </r>
  <r>
    <n v="201217"/>
    <s v="KAR"/>
    <s v="PGTO0526"/>
    <x v="9"/>
    <s v="DEBORAH CRISTINA ARCANJO PRIETO"/>
    <n v="948.18"/>
    <x v="18"/>
    <x v="18"/>
    <s v=""/>
    <x v="7"/>
    <s v="DH"/>
    <n v="0"/>
    <s v="RAFAEL"/>
  </r>
  <r>
    <n v="201218"/>
    <s v="KAR"/>
    <s v="PGTO0526"/>
    <x v="9"/>
    <s v="ELVIS CESCATE"/>
    <n v="2877.42"/>
    <x v="7"/>
    <x v="7"/>
    <s v=""/>
    <x v="5"/>
    <s v="DH"/>
    <s v="CUSTO MÃO DE OBRA DIRETA"/>
    <s v="RAFAEL"/>
  </r>
  <r>
    <n v="201219"/>
    <s v="FK"/>
    <s v="FRATELLI"/>
    <x v="114"/>
    <s v="MAGDA SORAYA DE CAMPOS"/>
    <n v="199"/>
    <x v="14"/>
    <x v="14"/>
    <s v=""/>
    <x v="6"/>
    <s v="COMERCIAL"/>
    <n v="0"/>
    <s v="THAIS"/>
  </r>
  <r>
    <n v="201220"/>
    <s v="KAR"/>
    <s v="PGTO0526"/>
    <x v="9"/>
    <s v="ERNESTO GONÇALO"/>
    <n v="4369.41"/>
    <x v="18"/>
    <x v="18"/>
    <s v=""/>
    <x v="7"/>
    <s v="DH"/>
    <n v="0"/>
    <s v="RAFAEL"/>
  </r>
  <r>
    <n v="201221"/>
    <s v="KAR"/>
    <s v="PGTO0526"/>
    <x v="9"/>
    <s v="FABIANA DE QUEIROZ LOURO MORAES"/>
    <n v="2049.4"/>
    <x v="18"/>
    <x v="18"/>
    <s v=""/>
    <x v="7"/>
    <s v="DH"/>
    <n v="0"/>
    <s v="RAFAEL"/>
  </r>
  <r>
    <n v="201222"/>
    <s v="KAR"/>
    <s v="PGTO0526"/>
    <x v="9"/>
    <s v="FERNANDO CLEISON PERES"/>
    <n v="3486.26"/>
    <x v="7"/>
    <x v="7"/>
    <s v=""/>
    <x v="5"/>
    <s v="DH"/>
    <s v="CUSTO MÃO DE OBRA DIRETA"/>
    <s v="RAFAEL"/>
  </r>
  <r>
    <n v="201223"/>
    <s v="KAR"/>
    <s v="PGTO0526"/>
    <x v="9"/>
    <s v="GERLAN GALDINO DE ARAUJO"/>
    <n v="1263.05"/>
    <x v="7"/>
    <x v="7"/>
    <s v=""/>
    <x v="5"/>
    <s v="DH"/>
    <s v="CUSTO MÃO DE OBRA DIRETA"/>
    <s v="RAFAEL"/>
  </r>
  <r>
    <n v="201224"/>
    <s v="KAR"/>
    <s v="PGTO0526"/>
    <x v="9"/>
    <s v="GUSTAVO CORREA DA SILVA"/>
    <n v="2751.42"/>
    <x v="61"/>
    <x v="61"/>
    <s v=""/>
    <x v="9"/>
    <s v="DH"/>
    <s v="CUSTO MÃO DE OBRA DIRETA"/>
    <s v="RAFAEL"/>
  </r>
  <r>
    <n v="201225"/>
    <s v="KAR"/>
    <s v="PGTO0526"/>
    <x v="9"/>
    <s v="DANIEL RODRIGUES GALÓCIO"/>
    <n v="2833.48"/>
    <x v="7"/>
    <x v="7"/>
    <s v=""/>
    <x v="5"/>
    <s v="DH"/>
    <s v="CUSTO MÃO DE OBRA DIRETA"/>
    <s v="RAFAEL"/>
  </r>
  <r>
    <n v="201227"/>
    <s v="KAR"/>
    <s v="PGTO0526"/>
    <x v="9"/>
    <s v="ISAAC MIGUEL VIEIRA DA SILVA"/>
    <n v="948.18"/>
    <x v="18"/>
    <x v="18"/>
    <s v=""/>
    <x v="7"/>
    <s v="DH"/>
    <n v="0"/>
    <s v="RAFAEL"/>
  </r>
  <r>
    <n v="201228"/>
    <s v="KAR"/>
    <s v="PGTO0526"/>
    <x v="9"/>
    <s v="JOABE HENRIQUE DA SILVA DIAS"/>
    <n v="1878.38"/>
    <x v="7"/>
    <x v="7"/>
    <s v=""/>
    <x v="5"/>
    <s v="DH"/>
    <s v="CUSTO MÃO DE OBRA DIRETA"/>
    <s v="RAFAEL"/>
  </r>
  <r>
    <n v="201234"/>
    <s v="KAR"/>
    <s v="PGTO0526"/>
    <x v="9"/>
    <s v="JOAO MATEUS DA SILVA SANTOS"/>
    <n v="1993.51"/>
    <x v="7"/>
    <x v="7"/>
    <s v=""/>
    <x v="5"/>
    <s v="DH"/>
    <s v="CUSTO MÃO DE OBRA DIRETA"/>
    <s v="RAFAEL"/>
  </r>
  <r>
    <n v="201235"/>
    <s v="KAR"/>
    <s v="PGTO0526"/>
    <x v="9"/>
    <s v="LEANDRO JOAO DOS SANTOS"/>
    <n v="3435.24"/>
    <x v="7"/>
    <x v="7"/>
    <s v=""/>
    <x v="5"/>
    <s v="DH"/>
    <s v="CUSTO MÃO DE OBRA DIRETA"/>
    <s v="RAFAEL"/>
  </r>
  <r>
    <n v="201237"/>
    <s v="KAR"/>
    <s v="PGTO0526"/>
    <x v="9"/>
    <s v="LEONARDO DE MATTOS PERIGO"/>
    <n v="3978.68"/>
    <x v="61"/>
    <x v="61"/>
    <s v=""/>
    <x v="9"/>
    <s v="DH"/>
    <s v="CUSTO MÃO DE OBRA DIRETA"/>
    <s v="RAFAEL"/>
  </r>
  <r>
    <n v="201241"/>
    <s v="KAR"/>
    <s v="PGTO0526"/>
    <x v="9"/>
    <s v="LETICIA CRISTINA SA BARBOSA"/>
    <n v="3518.02"/>
    <x v="18"/>
    <x v="18"/>
    <s v=""/>
    <x v="7"/>
    <s v="DH"/>
    <n v="0"/>
    <s v="RAFAEL"/>
  </r>
  <r>
    <n v="201244"/>
    <s v="KAR"/>
    <s v="PGTO0526"/>
    <x v="9"/>
    <s v="MARA LUCIA DE LIMA MEDEIROS"/>
    <n v="1949.82"/>
    <x v="7"/>
    <x v="7"/>
    <s v=""/>
    <x v="5"/>
    <s v="DH"/>
    <s v="CUSTO MÃO DE OBRA DIRETA"/>
    <s v="RAFAEL"/>
  </r>
  <r>
    <n v="201250"/>
    <s v="KAR"/>
    <s v="PGTO0526"/>
    <x v="9"/>
    <s v="MARIA EDUARDA GOMES MARTIN LOPES"/>
    <n v="1986.28"/>
    <x v="18"/>
    <x v="18"/>
    <s v=""/>
    <x v="7"/>
    <s v="DH"/>
    <n v="0"/>
    <s v="RAFAEL"/>
  </r>
  <r>
    <n v="201253"/>
    <s v="KAR"/>
    <s v="PGTO0526"/>
    <x v="9"/>
    <s v="MARIA EDUARDA SANCHES DA SILVA"/>
    <n v="2436.2600000000002"/>
    <x v="18"/>
    <x v="18"/>
    <s v=""/>
    <x v="7"/>
    <s v="DH"/>
    <n v="0"/>
    <s v="RAFAEL"/>
  </r>
  <r>
    <n v="201255"/>
    <s v="KAR"/>
    <s v="PGTO0526"/>
    <x v="9"/>
    <s v="MATHEUS HENRIQUE FERVENÇA BRESCHI"/>
    <n v="2389.37"/>
    <x v="7"/>
    <x v="7"/>
    <s v=""/>
    <x v="5"/>
    <s v="DH"/>
    <s v="CUSTO MÃO DE OBRA DIRETA"/>
    <s v="RAFAEL"/>
  </r>
  <r>
    <n v="201257"/>
    <s v="KAR"/>
    <s v="PGTO0526"/>
    <x v="9"/>
    <s v="MURILO DE SOUSA CAETANO"/>
    <n v="2157.35"/>
    <x v="7"/>
    <x v="7"/>
    <s v=""/>
    <x v="5"/>
    <s v="DH"/>
    <s v="CUSTO MÃO DE OBRA DIRETA"/>
    <s v="RAFAEL"/>
  </r>
  <r>
    <n v="201259"/>
    <s v="KAR"/>
    <s v="PGTO0526"/>
    <x v="9"/>
    <s v="PRISCILA FERNANDES COSTA"/>
    <n v="2985.17"/>
    <x v="18"/>
    <x v="18"/>
    <s v=""/>
    <x v="7"/>
    <s v="DH"/>
    <n v="0"/>
    <s v="RAFAEL"/>
  </r>
  <r>
    <n v="201260"/>
    <s v="KAR"/>
    <s v="PGTO0526"/>
    <x v="9"/>
    <s v="QUEREN FRANCISCA DA SILVA"/>
    <n v="2723.66"/>
    <x v="7"/>
    <x v="7"/>
    <s v=""/>
    <x v="5"/>
    <s v="DH"/>
    <s v="CUSTO MÃO DE OBRA DIRETA"/>
    <s v="RAFAEL"/>
  </r>
  <r>
    <n v="201261"/>
    <s v="KOY"/>
    <s v="PGTO0526"/>
    <x v="9"/>
    <s v="ARIAN SILVA OLIVEIRA"/>
    <n v="2246.65"/>
    <x v="7"/>
    <x v="7"/>
    <s v=""/>
    <x v="5"/>
    <s v="DH"/>
    <s v="CUSTO MÃO DE OBRA DIRETA"/>
    <s v="RAFAEL"/>
  </r>
  <r>
    <n v="201262"/>
    <s v="KAR"/>
    <s v="PGTO0526"/>
    <x v="9"/>
    <s v="SARAH NEVES DE OLIVEIRA BOLETE"/>
    <n v="2075.41"/>
    <x v="7"/>
    <x v="7"/>
    <s v=""/>
    <x v="5"/>
    <s v="DH"/>
    <s v="CUSTO MÃO DE OBRA DIRETA"/>
    <s v="RAFAEL"/>
  </r>
  <r>
    <n v="201264"/>
    <s v="KAR"/>
    <s v="PGTO0526"/>
    <x v="9"/>
    <s v="SUZIELE CRISTINA MARTINS CARDOSO"/>
    <n v="2002.17"/>
    <x v="7"/>
    <x v="7"/>
    <s v=""/>
    <x v="5"/>
    <s v="DH"/>
    <s v="CUSTO MÃO DE OBRA DIRETA"/>
    <s v="RAFAEL"/>
  </r>
  <r>
    <n v="201265"/>
    <s v="KOY"/>
    <s v="PGTO0526"/>
    <x v="9"/>
    <s v="EDUARDO MORALES JACYNTHO"/>
    <n v="3982.29"/>
    <x v="61"/>
    <x v="61"/>
    <s v=""/>
    <x v="9"/>
    <s v="DH"/>
    <s v="CUSTO MÃO DE OBRA DIRETA"/>
    <s v="RAFAEL"/>
  </r>
  <r>
    <n v="201266"/>
    <s v="KOY"/>
    <s v="PGTO0526"/>
    <x v="9"/>
    <s v="EDUARDO RODIGHERO DOS SANTOS"/>
    <n v="2343.5100000000002"/>
    <x v="61"/>
    <x v="61"/>
    <s v=""/>
    <x v="9"/>
    <s v="DH"/>
    <s v="CUSTO MÃO DE OBRA DIRETA"/>
    <s v="RAFAEL"/>
  </r>
  <r>
    <n v="201267"/>
    <s v="KAR"/>
    <s v="PGTO0526"/>
    <x v="9"/>
    <s v="THAIS LOUZADA DA SILVA"/>
    <n v="2669.75"/>
    <x v="18"/>
    <x v="18"/>
    <s v=""/>
    <x v="7"/>
    <s v="DH"/>
    <n v="0"/>
    <s v="RAFAEL"/>
  </r>
  <r>
    <n v="201268"/>
    <s v="KOY"/>
    <s v="PGT0526"/>
    <x v="9"/>
    <s v="ARTHUR SILVA DE DEUS CORREIA"/>
    <n v="2953.37"/>
    <x v="7"/>
    <x v="7"/>
    <s v=""/>
    <x v="5"/>
    <s v="DH"/>
    <s v="CUSTO MÃO DE OBRA DIRETA"/>
    <s v="RAFAEL"/>
  </r>
  <r>
    <n v="201269"/>
    <s v="KAR"/>
    <s v="PGTO0526"/>
    <x v="9"/>
    <s v="VINICIUS CARVALHO DE SENA"/>
    <n v="2215.4"/>
    <x v="7"/>
    <x v="7"/>
    <s v=""/>
    <x v="5"/>
    <s v="DH"/>
    <s v="CUSTO MÃO DE OBRA DIRETA"/>
    <s v="RAFAEL"/>
  </r>
  <r>
    <n v="201270"/>
    <s v="KOY"/>
    <s v="PGTO0526"/>
    <x v="9"/>
    <s v="ERICK KELLER RAMOS BECK"/>
    <n v="2240.89"/>
    <x v="7"/>
    <x v="7"/>
    <s v=""/>
    <x v="5"/>
    <s v="DH"/>
    <s v="CUSTO MÃO DE OBRA DIRETA"/>
    <s v="RAFAEL"/>
  </r>
  <r>
    <n v="201271"/>
    <s v="KOY"/>
    <s v="PGTO0526"/>
    <x v="9"/>
    <s v="FERNANDO FIGUEIREDO"/>
    <n v="3035.88"/>
    <x v="7"/>
    <x v="7"/>
    <s v=""/>
    <x v="5"/>
    <s v="DH"/>
    <s v="CUSTO MÃO DE OBRA DIRETA"/>
    <s v="RAFAEL"/>
  </r>
  <r>
    <n v="201272"/>
    <s v="KOY"/>
    <s v="PGTO0526"/>
    <x v="9"/>
    <s v="GABRIEL NOGUEIRA DIAS"/>
    <n v="1986.28"/>
    <x v="18"/>
    <x v="18"/>
    <s v=""/>
    <x v="7"/>
    <s v="DH"/>
    <n v="0"/>
    <s v="RAFAEL"/>
  </r>
  <r>
    <n v="201273"/>
    <s v="KOY"/>
    <s v="PGTO0526"/>
    <x v="9"/>
    <s v="GUSTAVO NOVAES DA SILVA CARLOS"/>
    <n v="1396.37"/>
    <x v="7"/>
    <x v="7"/>
    <s v=""/>
    <x v="5"/>
    <s v="DH"/>
    <s v="CUSTO MÃO DE OBRA DIRETA"/>
    <s v="RAFAEL"/>
  </r>
  <r>
    <n v="201274"/>
    <s v="KOY"/>
    <s v="PGTO0526"/>
    <x v="9"/>
    <s v="HELEN PATRICIA ANDRE TORRES"/>
    <n v="2354.6999999999998"/>
    <x v="18"/>
    <x v="18"/>
    <s v=""/>
    <x v="7"/>
    <s v="DH"/>
    <n v="0"/>
    <s v="RAFAEL"/>
  </r>
  <r>
    <n v="201275"/>
    <s v="KOY"/>
    <s v="PGTO05202"/>
    <x v="9"/>
    <s v="HUGO CESAR CAMANHO ALVES"/>
    <n v="2529.85"/>
    <x v="7"/>
    <x v="7"/>
    <s v=""/>
    <x v="5"/>
    <s v="DH"/>
    <s v="CUSTO MÃO DE OBRA DIRETA"/>
    <s v="RAFAEL"/>
  </r>
  <r>
    <n v="201276"/>
    <s v="KOY"/>
    <s v="PGTO0526"/>
    <x v="9"/>
    <s v="JANIO DIMAS CONRADO"/>
    <n v="3019.54"/>
    <x v="7"/>
    <x v="7"/>
    <s v=""/>
    <x v="5"/>
    <s v="DH"/>
    <s v="CUSTO MÃO DE OBRA DIRETA"/>
    <s v="RAFAEL"/>
  </r>
  <r>
    <n v="201277"/>
    <s v="KOY"/>
    <s v="PGTO0526"/>
    <x v="9"/>
    <s v="JESSICA NAIARA APARECIDA CALICCKIO"/>
    <n v="1976.21"/>
    <x v="7"/>
    <x v="7"/>
    <s v=""/>
    <x v="5"/>
    <s v="DH"/>
    <s v="CUSTO MÃO DE OBRA DIRETA"/>
    <s v="RAFAEL"/>
  </r>
  <r>
    <n v="201278"/>
    <s v="KOY"/>
    <s v="PGTO0526"/>
    <x v="9"/>
    <s v="JOSÉ PEDRO PANICIO SANTOS"/>
    <n v="1485.74"/>
    <x v="7"/>
    <x v="7"/>
    <s v=""/>
    <x v="5"/>
    <s v="DH"/>
    <s v="CUSTO MÃO DE OBRA DIRETA"/>
    <s v="RAFAEL"/>
  </r>
  <r>
    <n v="201279"/>
    <s v="KOY"/>
    <s v="PGTO0526"/>
    <x v="9"/>
    <s v="KAYKY DA SILVA ZOCAL"/>
    <n v="2018.32"/>
    <x v="7"/>
    <x v="7"/>
    <s v=""/>
    <x v="5"/>
    <s v="DH"/>
    <s v="CUSTO MÃO DE OBRA DIRETA"/>
    <s v="RAFAEL"/>
  </r>
  <r>
    <n v="201280"/>
    <s v="KOY"/>
    <s v="PGTO0526"/>
    <x v="9"/>
    <s v="LUCAS SANTANA ROQUE DE OLIVEIRA"/>
    <n v="2248.7800000000002"/>
    <x v="7"/>
    <x v="7"/>
    <s v=""/>
    <x v="5"/>
    <s v="DH"/>
    <s v="CUSTO MÃO DE OBRA DIRETA"/>
    <s v="RAFAEL"/>
  </r>
  <r>
    <n v="201281"/>
    <s v="KOY"/>
    <s v="PGTO0526"/>
    <x v="9"/>
    <s v="LUIZ GABRIEL TORRES MAFE"/>
    <n v="2171.0100000000002"/>
    <x v="7"/>
    <x v="7"/>
    <s v=""/>
    <x v="5"/>
    <s v="DH"/>
    <s v="CUSTO MÃO DE OBRA DIRETA"/>
    <s v="RAFAEL"/>
  </r>
  <r>
    <n v="201282"/>
    <s v="KOY"/>
    <s v="PGTO0526"/>
    <x v="9"/>
    <s v="MATEUS GUILHERME DE OLIVEIRA VALENCIANO"/>
    <n v="2454.75"/>
    <x v="7"/>
    <x v="7"/>
    <s v=""/>
    <x v="5"/>
    <s v="DH"/>
    <s v="CUSTO MÃO DE OBRA DIRETA"/>
    <s v="RAFAEL"/>
  </r>
  <r>
    <n v="201283"/>
    <s v="KOY"/>
    <s v="PGTO0526"/>
    <x v="9"/>
    <s v="TATIANE DA SILVA DE OLIVEIRA"/>
    <n v="2184.36"/>
    <x v="7"/>
    <x v="7"/>
    <s v=""/>
    <x v="5"/>
    <s v="DH"/>
    <s v="CUSTO MÃO DE OBRA DIRETA"/>
    <s v="RAFAEL"/>
  </r>
  <r>
    <n v="201284"/>
    <s v="KOY"/>
    <s v="PGTO0526"/>
    <x v="9"/>
    <s v="TATIANE MARIA ARAUJO"/>
    <n v="2204.2800000000002"/>
    <x v="7"/>
    <x v="7"/>
    <s v=""/>
    <x v="5"/>
    <s v="DH"/>
    <s v="CUSTO MÃO DE OBRA DIRETA"/>
    <s v="RAFAEL"/>
  </r>
  <r>
    <n v="201286"/>
    <s v="LAY"/>
    <s v="PGTO0526"/>
    <x v="9"/>
    <s v="AGNIS CRISTINA MAUSSON"/>
    <n v="873.94"/>
    <x v="7"/>
    <x v="7"/>
    <s v=""/>
    <x v="5"/>
    <s v="DH"/>
    <s v="CUSTO MÃO DE OBRA DIRETA"/>
    <s v="RAFAEL"/>
  </r>
  <r>
    <n v="201287"/>
    <s v="LAY"/>
    <s v="PGTO0526"/>
    <x v="9"/>
    <s v="AILTON DA SILVA"/>
    <n v="2576.87"/>
    <x v="7"/>
    <x v="7"/>
    <s v=""/>
    <x v="5"/>
    <s v="DH"/>
    <s v="CUSTO MÃO DE OBRA DIRETA"/>
    <s v="RAFAEL"/>
  </r>
  <r>
    <n v="201288"/>
    <s v="LAY"/>
    <s v="PGTO0526"/>
    <x v="9"/>
    <s v="ALESSANDRO DE OLIVEIRA"/>
    <n v="3209.65"/>
    <x v="7"/>
    <x v="7"/>
    <s v=""/>
    <x v="5"/>
    <s v="DH"/>
    <s v="CUSTO MÃO DE OBRA DIRETA"/>
    <s v="RAFAEL"/>
  </r>
  <r>
    <n v="201289"/>
    <s v="LAY"/>
    <s v="PGTO0526"/>
    <x v="9"/>
    <s v="ANDERSON DE OLIVEIRA MAFRA"/>
    <n v="3963.71"/>
    <x v="7"/>
    <x v="7"/>
    <s v=""/>
    <x v="5"/>
    <s v="DH"/>
    <s v="CUSTO MÃO DE OBRA DIRETA"/>
    <s v="RAFAEL"/>
  </r>
  <r>
    <n v="201290"/>
    <s v="LAY"/>
    <s v="PGTO0526"/>
    <x v="9"/>
    <s v="ANDRE FELIPE CARDOSO CANGUÇÚ"/>
    <n v="2282.58"/>
    <x v="18"/>
    <x v="18"/>
    <s v=""/>
    <x v="7"/>
    <s v="DH"/>
    <n v="0"/>
    <s v="RAFAEL"/>
  </r>
  <r>
    <n v="201291"/>
    <s v="LAY"/>
    <s v="PGTO0526"/>
    <x v="9"/>
    <s v="ANDREIA APARECIDA DE OLIVEIRA DUARTE"/>
    <n v="2380.91"/>
    <x v="7"/>
    <x v="7"/>
    <s v=""/>
    <x v="5"/>
    <s v="DH"/>
    <s v="CUSTO MÃO DE OBRA DIRETA"/>
    <s v="RAFAEL"/>
  </r>
  <r>
    <n v="201292"/>
    <s v="LAY"/>
    <s v="PGTO0526"/>
    <x v="9"/>
    <s v="ANDREIA CARULINA DE MORAES"/>
    <n v="1214.03"/>
    <x v="7"/>
    <x v="7"/>
    <s v=""/>
    <x v="5"/>
    <s v="DH"/>
    <s v="CUSTO MÃO DE OBRA DIRETA"/>
    <s v="RAFAEL"/>
  </r>
  <r>
    <n v="201293"/>
    <s v="LAY"/>
    <s v="PGTO0526"/>
    <x v="9"/>
    <s v="ANDREY ALMEIDA SILVA"/>
    <n v="3766.44"/>
    <x v="7"/>
    <x v="7"/>
    <s v=""/>
    <x v="5"/>
    <s v="DH"/>
    <s v="CUSTO MÃO DE OBRA DIRETA"/>
    <s v="RAFAEL"/>
  </r>
  <r>
    <n v="201294"/>
    <s v="LAY"/>
    <s v="PGTO0526"/>
    <x v="9"/>
    <s v="ANGELO BENTO PANTAROTTO JUNIOR"/>
    <n v="3926.17"/>
    <x v="7"/>
    <x v="7"/>
    <s v=""/>
    <x v="5"/>
    <s v="DH"/>
    <s v="CUSTO MÃO DE OBRA DIRETA"/>
    <s v="RAFAEL"/>
  </r>
  <r>
    <n v="201295"/>
    <s v="LAY"/>
    <s v="PGTO0526"/>
    <x v="9"/>
    <s v="ANTONIA ROSANGELA DE OLIVEIRA"/>
    <n v="2671.1"/>
    <x v="7"/>
    <x v="7"/>
    <s v=""/>
    <x v="5"/>
    <s v="DH"/>
    <s v="CUSTO MÃO DE OBRA DIRETA"/>
    <s v="RAFAEL"/>
  </r>
  <r>
    <n v="201296"/>
    <s v="LAY"/>
    <s v="PGTO0526"/>
    <x v="9"/>
    <s v="AURELIO HENRIQUE DE BORTOLI MOLLHOFF"/>
    <n v="1617.74"/>
    <x v="7"/>
    <x v="7"/>
    <s v=""/>
    <x v="5"/>
    <s v="DH"/>
    <s v="CUSTO MÃO DE OBRA DIRETA"/>
    <s v="RAFAEL"/>
  </r>
  <r>
    <n v="201297"/>
    <s v="LAY"/>
    <s v="PGTO0526"/>
    <x v="9"/>
    <s v="CINTIA VALERIA DE OLIVEIRA E OLIVEIRA"/>
    <n v="2026.51"/>
    <x v="7"/>
    <x v="7"/>
    <s v=""/>
    <x v="5"/>
    <s v="DH"/>
    <s v="CUSTO MÃO DE OBRA DIRETA"/>
    <s v="RAFAEL"/>
  </r>
  <r>
    <n v="201298"/>
    <s v="LAY"/>
    <s v="PGTO0526"/>
    <x v="9"/>
    <s v="CLAUDIO PEREZ GARCIA"/>
    <n v="2514.89"/>
    <x v="7"/>
    <x v="7"/>
    <s v=""/>
    <x v="5"/>
    <s v="DH"/>
    <s v="CUSTO MÃO DE OBRA DIRETA"/>
    <s v="RAFAEL"/>
  </r>
  <r>
    <n v="201299"/>
    <s v="LAY"/>
    <s v="PGTO0526"/>
    <x v="9"/>
    <s v="CLEIDE APARECIDA TRAZPADINI"/>
    <n v="4136.67"/>
    <x v="7"/>
    <x v="7"/>
    <s v=""/>
    <x v="5"/>
    <s v="DH"/>
    <s v="CUSTO MÃO DE OBRA DIRETA"/>
    <s v="RAFAEL"/>
  </r>
  <r>
    <n v="201300"/>
    <s v="LAY"/>
    <s v="PGTO0526"/>
    <x v="9"/>
    <s v="CLEITON PEREIRA SILVA"/>
    <n v="2536.25"/>
    <x v="7"/>
    <x v="7"/>
    <s v=""/>
    <x v="5"/>
    <s v="DH"/>
    <s v="CUSTO MÃO DE OBRA DIRETA"/>
    <s v="RAFAEL"/>
  </r>
  <r>
    <n v="201301"/>
    <s v="LAY"/>
    <s v="PGTO0526"/>
    <x v="9"/>
    <s v="CRISTIANE MARIANO MACHADO"/>
    <n v="2593.0300000000002"/>
    <x v="7"/>
    <x v="7"/>
    <s v=""/>
    <x v="5"/>
    <s v="DH"/>
    <s v="CUSTO MÃO DE OBRA DIRETA"/>
    <s v="RAFAEL"/>
  </r>
  <r>
    <n v="201302"/>
    <s v="LAY"/>
    <s v="PGTO0526"/>
    <x v="9"/>
    <s v="DEVANIR LEITE MORAES"/>
    <n v="3329.29"/>
    <x v="7"/>
    <x v="7"/>
    <s v=""/>
    <x v="5"/>
    <s v="DH"/>
    <s v="CUSTO MÃO DE OBRA DIRETA"/>
    <s v="RAFAEL"/>
  </r>
  <r>
    <n v="201303"/>
    <s v="LAY"/>
    <s v="PGTO0526"/>
    <x v="9"/>
    <s v="DIOGENES DE ARCANJO PRIETO"/>
    <n v="3055.62"/>
    <x v="7"/>
    <x v="7"/>
    <s v=""/>
    <x v="5"/>
    <s v="DH"/>
    <s v="CUSTO MÃO DE OBRA DIRETA"/>
    <s v="RAFAEL"/>
  </r>
  <r>
    <n v="201305"/>
    <s v="LAY"/>
    <s v="PGTO0526"/>
    <x v="9"/>
    <s v="EDINEUZA DA SILVA"/>
    <n v="2322.2399999999998"/>
    <x v="7"/>
    <x v="7"/>
    <s v=""/>
    <x v="5"/>
    <s v="DH"/>
    <s v="CUSTO MÃO DE OBRA DIRETA"/>
    <s v="RAFAEL"/>
  </r>
  <r>
    <n v="201306"/>
    <s v="LAY"/>
    <s v="PGTO0526"/>
    <x v="9"/>
    <s v="ELENICE VIEIRA DOS SANTOS"/>
    <n v="1484.69"/>
    <x v="18"/>
    <x v="18"/>
    <s v=""/>
    <x v="7"/>
    <s v="DH"/>
    <n v="0"/>
    <s v="RAFAEL"/>
  </r>
  <r>
    <n v="201307"/>
    <s v="LAY"/>
    <s v="PGTO0526"/>
    <x v="9"/>
    <s v="ELLEN LETICIA  PORTELA GUSMÃO"/>
    <n v="2321.23"/>
    <x v="7"/>
    <x v="7"/>
    <s v=""/>
    <x v="5"/>
    <s v="DH"/>
    <s v="CUSTO MÃO DE OBRA DIRETA"/>
    <s v="RAFAEL"/>
  </r>
  <r>
    <n v="201308"/>
    <s v="LAY"/>
    <s v="PGTO0526"/>
    <x v="9"/>
    <s v="ERICO NATAN DA SILVA OLIVEIRA"/>
    <n v="1079.54"/>
    <x v="7"/>
    <x v="7"/>
    <s v=""/>
    <x v="5"/>
    <s v="DH"/>
    <s v="CUSTO MÃO DE OBRA DIRETA"/>
    <s v="RAFAEL"/>
  </r>
  <r>
    <n v="201314"/>
    <s v="KAR"/>
    <s v="PGTO0526"/>
    <x v="9"/>
    <s v="MARIA APARECIDA FACCIO FERREIRA"/>
    <n v="2029.43"/>
    <x v="7"/>
    <x v="7"/>
    <s v=""/>
    <x v="5"/>
    <s v="DH"/>
    <s v="CUSTO MÃO DE OBRA DIRETA"/>
    <s v="RAFAEL"/>
  </r>
  <r>
    <n v="201317"/>
    <s v="LAY"/>
    <s v="PGTO0526"/>
    <x v="9"/>
    <s v="EUDES ALVES DE BARROS"/>
    <n v="2979.46"/>
    <x v="18"/>
    <x v="18"/>
    <s v=""/>
    <x v="7"/>
    <s v="DH"/>
    <n v="0"/>
    <s v="RAFAEL"/>
  </r>
  <r>
    <n v="201318"/>
    <s v="LAY"/>
    <s v="PGTO0526"/>
    <x v="9"/>
    <s v="FAGNER DA SILVA TOMACHESKI"/>
    <n v="3312.98"/>
    <x v="7"/>
    <x v="7"/>
    <s v=""/>
    <x v="5"/>
    <s v="DH"/>
    <s v="CUSTO MÃO DE OBRA DIRETA"/>
    <s v="RAFAEL"/>
  </r>
  <r>
    <n v="201319"/>
    <s v="LAY"/>
    <s v="PGTO0526"/>
    <x v="9"/>
    <s v="FLAVIO FERREIRA DOS SANTOS"/>
    <n v="4570.46"/>
    <x v="18"/>
    <x v="18"/>
    <s v=""/>
    <x v="7"/>
    <s v="DH"/>
    <n v="0"/>
    <s v="RAFAEL"/>
  </r>
  <r>
    <n v="201320"/>
    <s v="LAY"/>
    <s v="PGTO0526"/>
    <x v="9"/>
    <s v="GABRIEL CARLOS DA SILVA"/>
    <n v="2595.41"/>
    <x v="7"/>
    <x v="7"/>
    <s v=""/>
    <x v="5"/>
    <s v="DH"/>
    <s v="CUSTO MÃO DE OBRA DIRETA"/>
    <s v="RAFAEL"/>
  </r>
  <r>
    <n v="201321"/>
    <s v="KAR"/>
    <s v="1580605"/>
    <x v="114"/>
    <s v="BANCO SICREDI"/>
    <n v="1.58"/>
    <x v="27"/>
    <x v="27"/>
    <s v=""/>
    <x v="8"/>
    <s v="FINANCEIRO"/>
    <n v="0"/>
    <s v="LETÍCIA"/>
  </r>
  <r>
    <n v="201322"/>
    <s v="LAY"/>
    <s v="PGTO0526"/>
    <x v="9"/>
    <s v="GLEYSON TRAVAGIM"/>
    <n v="1662.32"/>
    <x v="18"/>
    <x v="18"/>
    <s v=""/>
    <x v="7"/>
    <s v="DH"/>
    <n v="0"/>
    <s v="RAFAEL"/>
  </r>
  <r>
    <n v="201323"/>
    <s v="LAY"/>
    <s v="PGTO0526"/>
    <x v="9"/>
    <s v="JESSICA DA SILVA MONTEIRO FERREIRA"/>
    <n v="1632.7"/>
    <x v="7"/>
    <x v="7"/>
    <s v=""/>
    <x v="5"/>
    <s v="DH"/>
    <s v="CUSTO MÃO DE OBRA DIRETA"/>
    <s v="RAFAEL"/>
  </r>
  <r>
    <n v="201324"/>
    <s v="LAY"/>
    <s v="PGTO0526"/>
    <x v="9"/>
    <s v="JOÃO OTAVIO NORONHA MARTINS"/>
    <n v="2114.04"/>
    <x v="61"/>
    <x v="61"/>
    <s v=""/>
    <x v="9"/>
    <s v="DH"/>
    <s v="CUSTO MÃO DE OBRA DIRETA"/>
    <s v="RAFAEL"/>
  </r>
  <r>
    <n v="201325"/>
    <s v="LAY"/>
    <s v="PGTO0526"/>
    <x v="9"/>
    <s v="JOAO PAULO APARECIDO DONER MACEDO"/>
    <n v="2186.85"/>
    <x v="7"/>
    <x v="7"/>
    <s v=""/>
    <x v="5"/>
    <s v="DH"/>
    <s v="CUSTO MÃO DE OBRA DIRETA"/>
    <s v="RAFAEL"/>
  </r>
  <r>
    <n v="201326"/>
    <s v="LAY"/>
    <s v="PGTO0526"/>
    <x v="9"/>
    <s v="JORDANA DENARDI DOS SANTOS CAVALCANTE"/>
    <n v="1751.56"/>
    <x v="7"/>
    <x v="7"/>
    <s v=""/>
    <x v="5"/>
    <s v="DH"/>
    <s v="CUSTO MÃO DE OBRA DIRETA"/>
    <s v="RAFAEL"/>
  </r>
  <r>
    <n v="201327"/>
    <s v="LAY"/>
    <s v="PGTO0526"/>
    <x v="9"/>
    <s v="JOSE RAIMUNDO ISIDORO BUENO"/>
    <n v="3382.99"/>
    <x v="7"/>
    <x v="7"/>
    <s v=""/>
    <x v="5"/>
    <s v="DH"/>
    <s v="CUSTO MÃO DE OBRA DIRETA"/>
    <s v="RAFAEL"/>
  </r>
  <r>
    <n v="201328"/>
    <s v="LAY"/>
    <s v="PGTO0526"/>
    <x v="9"/>
    <s v="JULIANA DA SILVA NARCISO"/>
    <n v="1129.1300000000001"/>
    <x v="18"/>
    <x v="18"/>
    <s v=""/>
    <x v="7"/>
    <s v="DH"/>
    <n v="0"/>
    <s v="RAFAEL"/>
  </r>
  <r>
    <n v="201329"/>
    <s v="LAY"/>
    <s v="PGTO0526"/>
    <x v="9"/>
    <s v="KAUAN VITOR DE OLIVEIRA JACYNTHO"/>
    <n v="1196.58"/>
    <x v="61"/>
    <x v="61"/>
    <s v=""/>
    <x v="9"/>
    <s v="DH"/>
    <s v="CUSTO MÃO DE OBRA DIRETA"/>
    <s v="RAFAEL"/>
  </r>
  <r>
    <n v="201330"/>
    <s v="LAY"/>
    <s v="PGTO0526"/>
    <x v="9"/>
    <s v="LEANDRO APARECIDO MIAZO"/>
    <n v="5416.61"/>
    <x v="18"/>
    <x v="18"/>
    <s v=""/>
    <x v="7"/>
    <s v="DH"/>
    <n v="0"/>
    <s v="RAFAEL"/>
  </r>
  <r>
    <n v="201331"/>
    <s v="LAY"/>
    <s v="PGTO0526"/>
    <x v="9"/>
    <s v="LEANDRO JOSE BOSSO"/>
    <n v="4092.15"/>
    <x v="18"/>
    <x v="18"/>
    <s v=""/>
    <x v="7"/>
    <s v="DH"/>
    <n v="0"/>
    <s v="RAFAEL"/>
  </r>
  <r>
    <n v="201332"/>
    <s v="KOY"/>
    <s v="0790605"/>
    <x v="114"/>
    <s v="BANCO SICREDI"/>
    <n v="0.79"/>
    <x v="28"/>
    <x v="28"/>
    <s v=""/>
    <x v="8"/>
    <s v="FINANCEIRO"/>
    <n v="0"/>
    <s v="LETÍCIA"/>
  </r>
  <r>
    <n v="201333"/>
    <s v="LAY"/>
    <s v="PGTO0526"/>
    <x v="9"/>
    <s v="LEANDRO OLIVEIRA DA SILVA PANICIO "/>
    <n v="2474.9699999999998"/>
    <x v="61"/>
    <x v="61"/>
    <s v=""/>
    <x v="9"/>
    <s v="DH"/>
    <s v="CUSTO MÃO DE OBRA DIRETA"/>
    <s v="RAFAEL"/>
  </r>
  <r>
    <n v="201334"/>
    <s v="LAY"/>
    <s v="PENSÃ0526"/>
    <x v="9"/>
    <s v="LEANDRO OLIVEIRA DA SILVA PANICIO "/>
    <n v="1061.73"/>
    <x v="61"/>
    <x v="61"/>
    <s v=""/>
    <x v="9"/>
    <s v="DH"/>
    <s v="CUSTO MÃO DE OBRA DIRETA"/>
    <s v="RAFAEL"/>
  </r>
  <r>
    <n v="201335"/>
    <s v="LAY"/>
    <s v="PGTO0526"/>
    <x v="9"/>
    <s v="LUIZ FERNANDO SANCHES FACCI"/>
    <n v="3393.47"/>
    <x v="7"/>
    <x v="7"/>
    <s v=""/>
    <x v="5"/>
    <s v="DH"/>
    <s v="CUSTO MÃO DE OBRA DIRETA"/>
    <s v="RAFAEL"/>
  </r>
  <r>
    <n v="201336"/>
    <s v="KAR"/>
    <s v="43113"/>
    <x v="25"/>
    <s v="BANCO SICREDI"/>
    <n v="431.13"/>
    <x v="27"/>
    <x v="27"/>
    <s v=""/>
    <x v="8"/>
    <s v="FINANCEIRO"/>
    <n v="0"/>
    <s v="LETÍCIA"/>
  </r>
  <r>
    <n v="201337"/>
    <s v="LAY"/>
    <s v="PGTO0526"/>
    <x v="9"/>
    <s v="MAIELE APARECIDA CAMANHO"/>
    <n v="3436"/>
    <x v="7"/>
    <x v="7"/>
    <s v=""/>
    <x v="5"/>
    <s v="DH"/>
    <s v="CUSTO MÃO DE OBRA DIRETA"/>
    <s v="RAFAEL"/>
  </r>
  <r>
    <n v="201338"/>
    <s v="LAY"/>
    <s v="PGTO0526"/>
    <x v="9"/>
    <s v="MARCIO MARSOLA"/>
    <n v="2815.46"/>
    <x v="61"/>
    <x v="61"/>
    <s v=""/>
    <x v="9"/>
    <s v="DH"/>
    <s v="CUSTO MÃO DE OBRA DIRETA"/>
    <s v="RAFAEL"/>
  </r>
  <r>
    <n v="201339"/>
    <s v="LAY"/>
    <s v="PGTO0526"/>
    <x v="9"/>
    <s v="MARCOS ADRIANO GARCIA"/>
    <n v="2617.7600000000002"/>
    <x v="7"/>
    <x v="7"/>
    <s v=""/>
    <x v="5"/>
    <s v="DH"/>
    <s v="CUSTO MÃO DE OBRA DIRETA"/>
    <s v="RAFAEL"/>
  </r>
  <r>
    <n v="201340"/>
    <s v="LAY"/>
    <s v="PGTO0526"/>
    <x v="9"/>
    <s v="MATEUS CRUZ DE FREITAS"/>
    <n v="2564.75"/>
    <x v="7"/>
    <x v="7"/>
    <s v=""/>
    <x v="5"/>
    <s v="DH"/>
    <s v="CUSTO MÃO DE OBRA DIRETA"/>
    <s v="RAFAEL"/>
  </r>
  <r>
    <n v="201342"/>
    <s v="LAY"/>
    <s v="PGTO0526"/>
    <x v="9"/>
    <s v="PATRICIA PEREIRA DOS SANTOS DE OLIVEIRA"/>
    <n v="1768.93"/>
    <x v="7"/>
    <x v="7"/>
    <s v=""/>
    <x v="5"/>
    <s v="DH"/>
    <s v="CUSTO MÃO DE OBRA DIRETA"/>
    <s v="RAFAEL"/>
  </r>
  <r>
    <n v="201343"/>
    <s v="FK"/>
    <s v="FRETELLI"/>
    <x v="114"/>
    <s v="KARAM'S IND.E COM.DE ESTOFADOS LTDA"/>
    <n v="246"/>
    <x v="14"/>
    <x v="14"/>
    <s v=""/>
    <x v="6"/>
    <s v="COMERCIAL"/>
    <n v="0"/>
    <s v="THAIS"/>
  </r>
  <r>
    <n v="201344"/>
    <s v="LAY"/>
    <s v="PGTO0526"/>
    <x v="9"/>
    <s v="PEDRO HENRIQUE RODRIGUES DOS SANTOS"/>
    <n v="1883.28"/>
    <x v="7"/>
    <x v="7"/>
    <s v=""/>
    <x v="5"/>
    <s v="DH"/>
    <s v="CUSTO MÃO DE OBRA DIRETA"/>
    <s v="RAFAEL"/>
  </r>
  <r>
    <n v="201345"/>
    <s v="LAY"/>
    <s v="PGTO0526"/>
    <x v="9"/>
    <s v="RAIMUNDO GONZAGA DA SILVA NETO"/>
    <n v="2224.73"/>
    <x v="18"/>
    <x v="18"/>
    <s v=""/>
    <x v="7"/>
    <s v="DH"/>
    <n v="0"/>
    <s v="RAFAEL"/>
  </r>
  <r>
    <n v="201346"/>
    <s v="LAY"/>
    <s v="PGTO0526"/>
    <x v="9"/>
    <s v="REGINALDO PEREIRA PORTO"/>
    <n v="102.93"/>
    <x v="7"/>
    <x v="7"/>
    <s v=""/>
    <x v="5"/>
    <s v="DH"/>
    <s v="CUSTO MÃO DE OBRA DIRETA"/>
    <s v="RAFAEL"/>
  </r>
  <r>
    <n v="201347"/>
    <s v="LAY"/>
    <s v="PGTO0526"/>
    <x v="9"/>
    <s v="RENATA DE SOUZA FUMAGALLI TOMACHESKI"/>
    <n v="4328.66"/>
    <x v="7"/>
    <x v="7"/>
    <s v=""/>
    <x v="5"/>
    <s v="DH"/>
    <s v="CUSTO MÃO DE OBRA DIRETA"/>
    <s v="RAFAEL"/>
  </r>
  <r>
    <n v="201349"/>
    <s v="LAY"/>
    <s v="PGTO0526"/>
    <x v="9"/>
    <s v="REGIANE DE BRITO SILVA"/>
    <n v="2261.69"/>
    <x v="7"/>
    <x v="7"/>
    <s v=""/>
    <x v="5"/>
    <s v="DH"/>
    <s v="CUSTO MÃO DE OBRA DIRETA"/>
    <s v="RAFAEL"/>
  </r>
  <r>
    <n v="201350"/>
    <s v="LAY"/>
    <s v="PGTO0526"/>
    <x v="9"/>
    <s v="RICARDO AUGUSTO PINTO DE SANTANA"/>
    <n v="2971.85"/>
    <x v="7"/>
    <x v="7"/>
    <s v=""/>
    <x v="5"/>
    <s v="DH"/>
    <s v="CUSTO MÃO DE OBRA DIRETA"/>
    <s v="RAFAEL"/>
  </r>
  <r>
    <n v="201351"/>
    <s v="LAY"/>
    <s v="PGTO0526"/>
    <x v="9"/>
    <s v="ROBERTO NOGAROTTO JUNIOR"/>
    <n v="3342.95"/>
    <x v="7"/>
    <x v="7"/>
    <s v=""/>
    <x v="5"/>
    <s v="DH"/>
    <s v="CUSTO MÃO DE OBRA DIRETA"/>
    <s v="RAFAEL"/>
  </r>
  <r>
    <n v="201352"/>
    <s v="LAY"/>
    <s v="PGTO0526"/>
    <x v="9"/>
    <s v="RODRIGO GONÇALVES BRIGANTINI"/>
    <n v="4158.92"/>
    <x v="7"/>
    <x v="7"/>
    <s v=""/>
    <x v="5"/>
    <s v="DH"/>
    <s v="CUSTO MÃO DE OBRA DIRETA"/>
    <s v="RAFAEL"/>
  </r>
  <r>
    <n v="201353"/>
    <s v="LAY"/>
    <s v="PGTO0526"/>
    <x v="9"/>
    <s v="RUTH FERNANDES FREITAS"/>
    <n v="2022.91"/>
    <x v="18"/>
    <x v="18"/>
    <s v=""/>
    <x v="7"/>
    <s v="DH"/>
    <n v="0"/>
    <s v="RAFAEL"/>
  </r>
  <r>
    <n v="201354"/>
    <s v="LAY"/>
    <s v="PGTO0526"/>
    <x v="9"/>
    <s v="SAULO JOSE PINTO DE SANTANA"/>
    <n v="3570.09"/>
    <x v="7"/>
    <x v="7"/>
    <s v=""/>
    <x v="5"/>
    <s v="DH"/>
    <s v="CUSTO MÃO DE OBRA DIRETA"/>
    <s v="RAFAEL"/>
  </r>
  <r>
    <n v="201355"/>
    <s v="LAY"/>
    <s v="PGTO0526"/>
    <x v="9"/>
    <s v="SIDNEI PEREIRA DA COSTA"/>
    <n v="2267.54"/>
    <x v="18"/>
    <x v="18"/>
    <s v=""/>
    <x v="7"/>
    <s v="DH"/>
    <n v="0"/>
    <s v="RAFAEL"/>
  </r>
  <r>
    <n v="201356"/>
    <s v="LAY"/>
    <s v="PGTO0526"/>
    <x v="9"/>
    <s v="SILVANA DA SILVA RAFAEL GARUZI"/>
    <n v="2408.9899999999998"/>
    <x v="7"/>
    <x v="7"/>
    <s v=""/>
    <x v="5"/>
    <s v="DH"/>
    <s v="CUSTO MÃO DE OBRA DIRETA"/>
    <s v="RAFAEL"/>
  </r>
  <r>
    <n v="201357"/>
    <s v="LAY"/>
    <s v="PGTO05202"/>
    <x v="9"/>
    <s v="VANDERLEI ALVES BATISTA"/>
    <n v="4678.8500000000004"/>
    <x v="18"/>
    <x v="18"/>
    <s v=""/>
    <x v="7"/>
    <s v="DH"/>
    <n v="0"/>
    <s v="RAFAEL"/>
  </r>
  <r>
    <n v="201358"/>
    <s v="LAY"/>
    <s v="PGTO0526"/>
    <x v="9"/>
    <s v="WILSON APARECIDO BOLETTE"/>
    <n v="2877.07"/>
    <x v="7"/>
    <x v="7"/>
    <s v=""/>
    <x v="5"/>
    <s v="DH"/>
    <s v="CUSTO MÃO DE OBRA DIRETA"/>
    <s v="RAFAEL"/>
  </r>
  <r>
    <n v="201360"/>
    <s v="KAR"/>
    <s v="MULTA"/>
    <x v="10"/>
    <s v="AYSLAN OLIVEIRA FREITAS_x0009__x0009__x0009__x0009__x0009_"/>
    <n v="4411.0200000000004"/>
    <x v="101"/>
    <x v="101"/>
    <s v=""/>
    <x v="9"/>
    <s v="DH"/>
    <n v="0"/>
    <s v="RAFAEL"/>
  </r>
  <r>
    <n v="201362"/>
    <s v="FK"/>
    <s v="345329"/>
    <x v="10"/>
    <s v="LEJON COMERCIO ATACADISTA DE PRODUTOS ALIM EIRELI"/>
    <n v="143.16999999999999"/>
    <x v="16"/>
    <x v="16"/>
    <s v=""/>
    <x v="7"/>
    <s v="DH"/>
    <n v="0"/>
    <s v="MYLENA"/>
  </r>
  <r>
    <n v="201363"/>
    <s v="KAR"/>
    <s v="RESCISÃO"/>
    <x v="10"/>
    <s v="AYSLAN OLIVEIRA FREITAS_x0009__x0009__x0009__x0009__x0009_"/>
    <n v="8365.43"/>
    <x v="101"/>
    <x v="101"/>
    <s v=""/>
    <x v="9"/>
    <s v="DH"/>
    <n v="0"/>
    <s v="RAFAEL"/>
  </r>
  <r>
    <n v="201364"/>
    <s v="LAY"/>
    <s v="PGTO0526"/>
    <x v="9"/>
    <s v="ALEXANDRE ROBERTO BRESCHI"/>
    <n v="833.38"/>
    <x v="7"/>
    <x v="7"/>
    <s v=""/>
    <x v="5"/>
    <s v="DH"/>
    <s v="CUSTO MÃO DE OBRA DIRETA"/>
    <s v="RAFAEL"/>
  </r>
  <r>
    <n v="201365"/>
    <s v="KAR"/>
    <s v="8303540"/>
    <x v="10"/>
    <s v="ALFA TRANSPORTES EIRELI"/>
    <n v="322.48"/>
    <x v="48"/>
    <x v="48"/>
    <s v=""/>
    <x v="0"/>
    <s v="COMPRAS"/>
    <n v="0"/>
    <s v="MYLENA"/>
  </r>
  <r>
    <n v="201366"/>
    <s v="FK"/>
    <s v="PET0705"/>
    <x v="10"/>
    <s v="ACT GUIRELLI"/>
    <n v="232"/>
    <x v="32"/>
    <x v="32"/>
    <s v=""/>
    <x v="3"/>
    <s v="FINANCEIRO"/>
    <n v="0"/>
    <s v="LETÍCIA"/>
  </r>
  <r>
    <n v="201367"/>
    <s v="KAR"/>
    <s v="958447"/>
    <x v="10"/>
    <s v="EXPRESSO SAO MIGUEL LTDA"/>
    <n v="926.68"/>
    <x v="48"/>
    <x v="48"/>
    <s v="SERVIÇOS FRETE"/>
    <x v="0"/>
    <s v="COMPRAS"/>
    <n v="0"/>
    <s v="MYLENA"/>
  </r>
  <r>
    <n v="201368"/>
    <s v="FK"/>
    <s v="SP010526"/>
    <x v="68"/>
    <s v="VIAÇÃO GARCIA LTDA"/>
    <n v="229.4"/>
    <x v="54"/>
    <x v="54"/>
    <s v=""/>
    <x v="6"/>
    <s v="COMERCIAL"/>
    <n v="0"/>
    <s v="LETÍCIA"/>
  </r>
  <r>
    <n v="201369"/>
    <s v="FK"/>
    <s v="SP010526"/>
    <x v="68"/>
    <s v="BRASIL SUL ENCOMENDAS RAPIDAS LTDA - SCP"/>
    <n v="355.96"/>
    <x v="54"/>
    <x v="54"/>
    <s v=""/>
    <x v="6"/>
    <s v="COMERCIAL"/>
    <n v="0"/>
    <s v="LETÍCIA"/>
  </r>
  <r>
    <n v="201370"/>
    <s v="FK"/>
    <s v="CAR010526"/>
    <x v="68"/>
    <s v="IRMAOS MUFFATO S.A"/>
    <n v="359.48"/>
    <x v="14"/>
    <x v="14"/>
    <s v=""/>
    <x v="6"/>
    <s v="COMERCIAL"/>
    <n v="0"/>
    <s v="THAIS"/>
  </r>
  <r>
    <n v="201371"/>
    <s v="KOY"/>
    <s v="8303538"/>
    <x v="10"/>
    <s v="ALFA TRANSPORTES EIRELI"/>
    <n v="228.88"/>
    <x v="48"/>
    <x v="48"/>
    <s v=""/>
    <x v="0"/>
    <s v="COMPRAS"/>
    <n v="0"/>
    <s v="MYLENA"/>
  </r>
  <r>
    <n v="201373"/>
    <s v="KAR"/>
    <s v="141256"/>
    <x v="10"/>
    <s v="P.P.A INDUSTRIA E COMERCIO LTDA"/>
    <n v="4543"/>
    <x v="34"/>
    <x v="34"/>
    <s v=""/>
    <x v="6"/>
    <s v="COMERCIAL"/>
    <n v="0"/>
    <s v="LETÍCIA"/>
  </r>
  <r>
    <n v="201374"/>
    <s v="FK"/>
    <s v="CAR010526"/>
    <x v="68"/>
    <s v="LEJON COMERCIO ATACADISTA DE PRODUTOS ALIM EIRELI"/>
    <n v="1184.6099999999999"/>
    <x v="14"/>
    <x v="14"/>
    <s v=""/>
    <x v="6"/>
    <s v="COMERCIAL"/>
    <n v="0"/>
    <s v="THAIS"/>
  </r>
  <r>
    <n v="201375"/>
    <s v="KAR"/>
    <s v="65867"/>
    <x v="10"/>
    <s v="TRANS APUCARANA TRANSPORTES RODOVIARIOS LTDA"/>
    <n v="241.75"/>
    <x v="34"/>
    <x v="34"/>
    <s v="SERVIÇOS FRETE"/>
    <x v="6"/>
    <s v="COMERCIAL"/>
    <n v="0"/>
    <s v="LETÍCIA"/>
  </r>
  <r>
    <n v="201376"/>
    <s v="FK"/>
    <s v="KATO51704"/>
    <x v="114"/>
    <s v="LONAS BORIM"/>
    <n v="650"/>
    <x v="17"/>
    <x v="17"/>
    <s v=""/>
    <x v="8"/>
    <s v="FINANCEIRO"/>
    <n v="0"/>
    <s v="LETÍCIA"/>
  </r>
  <r>
    <n v="201377"/>
    <s v="LAY"/>
    <s v="8303539"/>
    <x v="10"/>
    <s v="ALFA TRANSPORTES EIRELI"/>
    <n v="203.84"/>
    <x v="48"/>
    <x v="48"/>
    <s v=""/>
    <x v="0"/>
    <s v="COMPRAS"/>
    <n v="0"/>
    <s v="MYLENA"/>
  </r>
  <r>
    <n v="201379"/>
    <s v="KAR"/>
    <s v="32209"/>
    <x v="10"/>
    <s v="PANIR EQUIPAMENTOS LTDA"/>
    <n v="464"/>
    <x v="30"/>
    <x v="30"/>
    <s v="COMPRESSORES"/>
    <x v="9"/>
    <s v="MANUTENÇÃO / TI"/>
    <n v="0"/>
    <s v="RAFAEL"/>
  </r>
  <r>
    <n v="201380"/>
    <s v="FK"/>
    <s v="ENGENHARI"/>
    <x v="10"/>
    <s v="GOOGLE PLAY "/>
    <n v="20.55"/>
    <x v="12"/>
    <x v="12"/>
    <s v=""/>
    <x v="3"/>
    <s v="MANUTENÇÃO / TI"/>
    <n v="0"/>
    <s v="LETÍCIA"/>
  </r>
  <r>
    <n v="201381"/>
    <s v="KAR"/>
    <s v="12726"/>
    <x v="10"/>
    <s v="PPO PNEUMATICA LTDA"/>
    <n v="210"/>
    <x v="30"/>
    <x v="30"/>
    <s v="MATERIAIS PNEUMATICOS"/>
    <x v="9"/>
    <s v="MANUTENÇÃO / TI"/>
    <n v="0"/>
    <s v="RAFAEL"/>
  </r>
  <r>
    <n v="201382"/>
    <s v="FK"/>
    <s v="EMP0605"/>
    <x v="10"/>
    <s v="ALINE CIVILA FERREIRA"/>
    <n v="230"/>
    <x v="37"/>
    <x v="37"/>
    <s v=""/>
    <x v="6"/>
    <s v="LOGÍSTICA"/>
    <n v="0"/>
    <s v="MYLENA"/>
  </r>
  <r>
    <n v="201383"/>
    <s v="FK"/>
    <s v="FM3004"/>
    <x v="10"/>
    <s v="RODRIGUES &amp; LIMA FERRAGENS DE FERRAMENTAS LTDA - M"/>
    <n v="55.5"/>
    <x v="31"/>
    <x v="31"/>
    <s v="FERRAGENS GERAIS"/>
    <x v="6"/>
    <s v="LOGÍSTICA"/>
    <n v="0"/>
    <s v="MYLENA"/>
  </r>
  <r>
    <n v="201384"/>
    <s v="FK"/>
    <s v="POL3004"/>
    <x v="10"/>
    <s v="BORRACHARIA DO POLACO"/>
    <n v="40"/>
    <x v="31"/>
    <x v="31"/>
    <s v=""/>
    <x v="6"/>
    <s v="LOGÍSTICA"/>
    <n v="0"/>
    <s v="MYLENA"/>
  </r>
  <r>
    <n v="201385"/>
    <s v="KAR"/>
    <s v="102493"/>
    <x v="10"/>
    <s v="BANCO SICREDI"/>
    <n v="1024.93"/>
    <x v="27"/>
    <x v="27"/>
    <s v=""/>
    <x v="8"/>
    <s v="FINANCEIRO"/>
    <n v="0"/>
    <s v="LETÍCIA"/>
  </r>
  <r>
    <n v="201386"/>
    <s v="KAR"/>
    <s v="70084"/>
    <x v="10"/>
    <s v="BANCO SICREDI"/>
    <n v="700.84"/>
    <x v="27"/>
    <x v="27"/>
    <s v=""/>
    <x v="8"/>
    <s v="FINANCEIRO"/>
    <n v="0"/>
    <s v="LETÍCIA"/>
  </r>
  <r>
    <n v="201387"/>
    <s v="KAR"/>
    <s v="CET070526"/>
    <x v="10"/>
    <s v="BANCO SICREDI"/>
    <n v="6446.51"/>
    <x v="29"/>
    <x v="29"/>
    <s v=""/>
    <x v="8"/>
    <s v="FINANCEIRO"/>
    <n v="0"/>
    <s v="LETÍCIA"/>
  </r>
  <r>
    <n v="201389"/>
    <s v="LAY"/>
    <s v="47541"/>
    <x v="10"/>
    <s v="BANCO SICREDI"/>
    <n v="475.41"/>
    <x v="27"/>
    <x v="27"/>
    <s v=""/>
    <x v="8"/>
    <s v="FINANCEIRO"/>
    <n v="0"/>
    <s v="LETÍCIA"/>
  </r>
  <r>
    <n v="201390"/>
    <s v="LAY"/>
    <s v="39952"/>
    <x v="10"/>
    <s v="BANCO SICREDI"/>
    <n v="399.52"/>
    <x v="27"/>
    <x v="27"/>
    <s v=""/>
    <x v="8"/>
    <s v="FINANCEIRO"/>
    <n v="0"/>
    <s v="LETÍCIA"/>
  </r>
  <r>
    <n v="201391"/>
    <s v="LAY"/>
    <s v="CET070526"/>
    <x v="10"/>
    <s v="BANCO SICREDI"/>
    <n v="2923.52"/>
    <x v="29"/>
    <x v="29"/>
    <s v=""/>
    <x v="8"/>
    <s v="FINANCEIRO"/>
    <n v="0"/>
    <s v="LETÍCIA"/>
  </r>
  <r>
    <n v="201392"/>
    <s v="KAR"/>
    <s v="65975"/>
    <x v="10"/>
    <s v="TRANS APUCARANA TRANSPORTES RODOVIARIOS LTDA"/>
    <n v="125.07"/>
    <x v="48"/>
    <x v="48"/>
    <s v="SERVIÇOS FRETE"/>
    <x v="0"/>
    <s v="COMPRAS"/>
    <n v="0"/>
    <s v="MYLENA"/>
  </r>
  <r>
    <n v="201393"/>
    <s v="KAR"/>
    <s v="66612"/>
    <x v="10"/>
    <s v="TRANS APUCARANA TRANSPORTES RODOVIARIOS LTDA"/>
    <n v="126.8"/>
    <x v="48"/>
    <x v="48"/>
    <s v="SERVIÇOS FRETE"/>
    <x v="0"/>
    <s v="COMPRAS"/>
    <n v="0"/>
    <s v="MYLENA"/>
  </r>
  <r>
    <n v="201394"/>
    <s v="KAR"/>
    <s v="4867"/>
    <x v="10"/>
    <s v="GAMA CONCEPT COM. DE MOVEIS E DECORAÇÕES LTDA"/>
    <n v="270"/>
    <x v="55"/>
    <x v="55"/>
    <s v=""/>
    <x v="8"/>
    <s v="COMERCIAL"/>
    <n v="0"/>
    <s v="LETÍCIA"/>
  </r>
  <r>
    <n v="201395"/>
    <s v="FK"/>
    <s v="BETY1602"/>
    <x v="10"/>
    <s v="A J M SHIHADEH - ME"/>
    <n v="159"/>
    <x v="13"/>
    <x v="13"/>
    <s v=""/>
    <x v="2"/>
    <s v="MANUTENÇÃO / TI"/>
    <n v="0"/>
    <s v="RAFAEL"/>
  </r>
  <r>
    <n v="201396"/>
    <s v="KAR"/>
    <s v="203805"/>
    <x v="10"/>
    <s v="EXPRESSO SAO MIGUEL LTDA"/>
    <n v="227.85"/>
    <x v="48"/>
    <x v="48"/>
    <s v="SERVIÇOS FRETE"/>
    <x v="0"/>
    <s v="COMPRAS"/>
    <n v="0"/>
    <s v="MYLENA"/>
  </r>
  <r>
    <n v="201397"/>
    <s v="FK"/>
    <s v="SILV0405"/>
    <x v="10"/>
    <s v="M.A. DOS SANTOS NASCIMENTO"/>
    <n v="18"/>
    <x v="23"/>
    <x v="23"/>
    <s v=""/>
    <x v="6"/>
    <s v="COMERCIAL"/>
    <n v="0"/>
    <s v="LETÍCIA"/>
  </r>
  <r>
    <n v="201398"/>
    <s v="FK"/>
    <s v="SILVI0505"/>
    <x v="10"/>
    <s v="SILVIA COLLI JORDÃO PRESTES"/>
    <n v="177.78"/>
    <x v="23"/>
    <x v="23"/>
    <s v=""/>
    <x v="6"/>
    <s v="COMERCIAL"/>
    <n v="0"/>
    <s v="LETÍCIA"/>
  </r>
  <r>
    <n v="201399"/>
    <s v="FK"/>
    <s v="SILV0405"/>
    <x v="10"/>
    <s v="SILVIA COLLI JORDÃO PRESTES"/>
    <n v="31"/>
    <x v="23"/>
    <x v="23"/>
    <s v=""/>
    <x v="6"/>
    <s v="COMERCIAL"/>
    <n v="0"/>
    <s v="LETÍCIA"/>
  </r>
  <r>
    <n v="201400"/>
    <s v="KAR"/>
    <s v="66426"/>
    <x v="25"/>
    <s v="POSTO FAROL 48 DA CASTELO INTERIOR LTDA"/>
    <n v="591.20000000000005"/>
    <x v="37"/>
    <x v="37"/>
    <s v=""/>
    <x v="6"/>
    <s v="LOGÍSTICA"/>
    <n v="0"/>
    <s v="MYLENA"/>
  </r>
  <r>
    <n v="201401"/>
    <s v="KOY"/>
    <s v="21516"/>
    <x v="10"/>
    <s v="Tpl Produtos e Equipamentos de Limpeza LTDA"/>
    <n v="340.58"/>
    <x v="45"/>
    <x v="45"/>
    <s v=""/>
    <x v="4"/>
    <s v="ADMINISTRATIVO"/>
    <n v="0"/>
    <s v="MYLENA"/>
  </r>
  <r>
    <n v="201402"/>
    <s v="KAR"/>
    <s v="66427"/>
    <x v="25"/>
    <s v="POSTO FAROL 48 DA CASTELO INTERIOR LTDA"/>
    <n v="87.67"/>
    <x v="37"/>
    <x v="37"/>
    <s v=""/>
    <x v="6"/>
    <s v="LOGÍSTICA"/>
    <n v="0"/>
    <s v="MYLENA"/>
  </r>
  <r>
    <n v="201403"/>
    <s v="KAR"/>
    <s v="N00262650"/>
    <x v="10"/>
    <s v="KARAM'S IND.E COM.DE ESTOFADOS LTDA"/>
    <n v="208.26"/>
    <x v="39"/>
    <x v="39"/>
    <s v=""/>
    <x v="6"/>
    <s v="LOGÍSTICA"/>
    <n v="0"/>
    <s v="MYLENA"/>
  </r>
  <r>
    <n v="201404"/>
    <s v="KOY"/>
    <s v="21515"/>
    <x v="10"/>
    <s v="Tpl Produtos e Equipamentos de Limpeza LTDA"/>
    <n v="367.69"/>
    <x v="44"/>
    <x v="44"/>
    <s v=""/>
    <x v="9"/>
    <s v="COMPRAS"/>
    <n v="0"/>
    <s v="MYLENA"/>
  </r>
  <r>
    <n v="201406"/>
    <s v="KAR"/>
    <s v="ALTERAÇÃO"/>
    <x v="10"/>
    <s v="EXITUS ESCRITORIO DE CONTABILIDADE S/S - EPP"/>
    <n v="700"/>
    <x v="4"/>
    <x v="4"/>
    <s v=""/>
    <x v="3"/>
    <s v="FINANCEIRO"/>
    <n v="0"/>
    <s v="LETÍCIA"/>
  </r>
  <r>
    <n v="201455"/>
    <s v="FK"/>
    <s v="11955"/>
    <x v="25"/>
    <s v="COMERCIO DE COMBUSTIVEIS TBM LTDA."/>
    <n v="50.49"/>
    <x v="43"/>
    <x v="43"/>
    <s v=""/>
    <x v="4"/>
    <s v="LOGÍSTICA"/>
    <n v="0"/>
    <s v="LETÍCIA"/>
  </r>
  <r>
    <n v="201457"/>
    <s v="FK"/>
    <s v="11956"/>
    <x v="25"/>
    <s v="COMERCIO DE COMBUSTIVEIS TBM LTDA."/>
    <n v="158.82"/>
    <x v="14"/>
    <x v="14"/>
    <s v=""/>
    <x v="6"/>
    <s v="COMERCIAL"/>
    <n v="0"/>
    <s v="THAIS"/>
  </r>
  <r>
    <n v="201458"/>
    <s v="FK"/>
    <s v="81012"/>
    <x v="114"/>
    <s v="COMERCIO DE COMBUSTIVEIS TBM LTDA."/>
    <n v="210.33"/>
    <x v="14"/>
    <x v="14"/>
    <s v=""/>
    <x v="6"/>
    <s v="COMERCIAL"/>
    <n v="0"/>
    <s v="THAIS"/>
  </r>
  <r>
    <n v="201459"/>
    <s v="KAR"/>
    <s v="38299"/>
    <x v="10"/>
    <s v="VIPEX TRANSPORTES LTDA"/>
    <n v="1519.79"/>
    <x v="65"/>
    <x v="65"/>
    <s v=""/>
    <x v="6"/>
    <s v="LOGÍSTICA"/>
    <n v="0"/>
    <s v="MYLENA"/>
  </r>
  <r>
    <n v="201460"/>
    <s v="KAR"/>
    <s v="CHHILUX"/>
    <x v="10"/>
    <s v="SUELY KAY KATO"/>
    <n v="180754.29"/>
    <x v="17"/>
    <x v="17"/>
    <s v=""/>
    <x v="8"/>
    <s v="FINANCEIRO"/>
    <n v="0"/>
    <s v="LETÍCIA"/>
  </r>
  <r>
    <n v="201465"/>
    <s v="LAY"/>
    <s v="PRIM0326M"/>
    <x v="9"/>
    <s v="VEGAS CARD DO BRASIL CARTOES DE CREDITO LTDA"/>
    <n v="200"/>
    <x v="60"/>
    <x v="60"/>
    <s v=""/>
    <x v="5"/>
    <s v="DH"/>
    <s v="CUSTO MÃO DE OBRA DIRETA"/>
    <s v="RAFAEL"/>
  </r>
  <r>
    <n v="201466"/>
    <s v="LAY"/>
    <s v="PREM0326C"/>
    <x v="9"/>
    <s v="VEGAS CARD DO BRASIL CARTOES DE CREDITO LTDA"/>
    <n v="600"/>
    <x v="62"/>
    <x v="62"/>
    <s v=""/>
    <x v="9"/>
    <s v="DH"/>
    <s v="CUSTO MÃO DE OBRA DIRETA"/>
    <s v="RAFAEL"/>
  </r>
  <r>
    <n v="201467"/>
    <s v="KAR"/>
    <s v="PREM0326M"/>
    <x v="9"/>
    <s v="VEGAS CARD DO BRASIL CARTOES DE CREDITO LTDA"/>
    <n v="200"/>
    <x v="60"/>
    <x v="60"/>
    <s v=""/>
    <x v="5"/>
    <s v="DH"/>
    <s v="CUSTO MÃO DE OBRA DIRETA"/>
    <s v="RAFAEL"/>
  </r>
  <r>
    <n v="201468"/>
    <s v="KAR"/>
    <s v="PREM0326C"/>
    <x v="9"/>
    <s v="VEGAS CARD DO BRASIL CARTOES DE CREDITO LTDA"/>
    <n v="250"/>
    <x v="62"/>
    <x v="62"/>
    <s v=""/>
    <x v="9"/>
    <s v="DH"/>
    <s v="CUSTO MÃO DE OBRA DIRETA"/>
    <s v="RAFAEL"/>
  </r>
  <r>
    <n v="201472"/>
    <s v="KAR"/>
    <s v="18170705"/>
    <x v="10"/>
    <s v="BANCO SICREDI"/>
    <n v="18.170000000000002"/>
    <x v="28"/>
    <x v="28"/>
    <s v=""/>
    <x v="8"/>
    <s v="FINANCEIRO"/>
    <n v="0"/>
    <s v="LETÍCIA"/>
  </r>
  <r>
    <n v="201474"/>
    <s v="KAR"/>
    <s v="2730805"/>
    <x v="119"/>
    <s v="BANCO SICREDI"/>
    <n v="2.73"/>
    <x v="27"/>
    <x v="27"/>
    <s v=""/>
    <x v="8"/>
    <s v="FINANCEIRO"/>
    <n v="0"/>
    <s v="LETÍCIA"/>
  </r>
  <r>
    <n v="201475"/>
    <s v="KOY"/>
    <s v="2370705"/>
    <x v="10"/>
    <s v="BANCO SICREDI"/>
    <n v="2.37"/>
    <x v="28"/>
    <x v="28"/>
    <s v=""/>
    <x v="8"/>
    <s v="FINANCEIRO"/>
    <n v="0"/>
    <s v="LETÍCIA"/>
  </r>
  <r>
    <n v="201476"/>
    <s v="KAR"/>
    <s v="2850805"/>
    <x v="119"/>
    <s v="BANCO SICREDI"/>
    <n v="2.85"/>
    <x v="28"/>
    <x v="28"/>
    <s v=""/>
    <x v="8"/>
    <s v="FINANCEIRO"/>
    <n v="0"/>
    <s v="LETÍCIA"/>
  </r>
  <r>
    <n v="201477"/>
    <s v="FK"/>
    <s v="FRATELLI"/>
    <x v="119"/>
    <s v="KARAM'S IND.E COM.DE ESTOFADOS LTDA"/>
    <n v="80"/>
    <x v="14"/>
    <x v="14"/>
    <s v=""/>
    <x v="6"/>
    <s v="COMERCIAL"/>
    <n v="0"/>
    <s v="THAIS"/>
  </r>
  <r>
    <n v="201479"/>
    <s v="LAY"/>
    <s v="0800805"/>
    <x v="119"/>
    <s v="BANCO SICREDI"/>
    <n v="0.8"/>
    <x v="27"/>
    <x v="27"/>
    <s v=""/>
    <x v="8"/>
    <s v="FINANCEIRO"/>
    <n v="0"/>
    <s v="LETÍCIA"/>
  </r>
  <r>
    <n v="201480"/>
    <s v="LAY"/>
    <s v="4740705"/>
    <x v="10"/>
    <s v="BANCO SICREDI"/>
    <n v="4.74"/>
    <x v="28"/>
    <x v="28"/>
    <s v=""/>
    <x v="8"/>
    <s v="FINANCEIRO"/>
    <n v="0"/>
    <s v="LETÍCIA"/>
  </r>
  <r>
    <n v="201481"/>
    <s v="KOY"/>
    <s v="PREM0326C"/>
    <x v="9"/>
    <s v="VEGAS CARD DO BRASIL CARTOES DE CREDITO LTDA"/>
    <n v="200"/>
    <x v="62"/>
    <x v="62"/>
    <s v=""/>
    <x v="9"/>
    <s v="DH"/>
    <s v="CUSTO MÃO DE OBRA DIRETA"/>
    <s v="RAFAEL"/>
  </r>
  <r>
    <n v="201482"/>
    <s v="FK"/>
    <s v="16-30AB26"/>
    <x v="119"/>
    <s v="ANA VERA ANDRADE CUNHA"/>
    <n v="96.36"/>
    <x v="47"/>
    <x v="47"/>
    <s v=""/>
    <x v="6"/>
    <s v="COMERCIAL"/>
    <n v="0"/>
    <s v="LETÍCIA"/>
  </r>
  <r>
    <n v="201483"/>
    <s v="FK"/>
    <s v="16-30AB26"/>
    <x v="119"/>
    <s v="BELA CASA REPRESENTAÇOES LTDA"/>
    <n v="115.94"/>
    <x v="47"/>
    <x v="47"/>
    <s v=""/>
    <x v="6"/>
    <s v="COMERCIAL"/>
    <n v="0"/>
    <s v="LETÍCIA"/>
  </r>
  <r>
    <n v="201484"/>
    <s v="FK"/>
    <s v="16-30AB26"/>
    <x v="119"/>
    <s v="ELAINE DE OLIVEIRA TESSARO"/>
    <n v="2342.96"/>
    <x v="47"/>
    <x v="47"/>
    <s v=""/>
    <x v="6"/>
    <s v="COMERCIAL"/>
    <n v="0"/>
    <s v="LETÍCIA"/>
  </r>
  <r>
    <n v="201485"/>
    <s v="FK"/>
    <s v="16-30AB26"/>
    <x v="119"/>
    <s v="ILHA BELLA COM E REPRESENTAÇOES LTDA"/>
    <n v="469.02"/>
    <x v="47"/>
    <x v="47"/>
    <s v=""/>
    <x v="6"/>
    <s v="COMERCIAL"/>
    <n v="0"/>
    <s v="LETÍCIA"/>
  </r>
  <r>
    <n v="201486"/>
    <s v="FK"/>
    <s v="16-30AB26"/>
    <x v="119"/>
    <s v="JUAN JOSE IGLESIAS CARBALLO"/>
    <n v="2524.75"/>
    <x v="47"/>
    <x v="47"/>
    <s v=""/>
    <x v="6"/>
    <s v="COMERCIAL"/>
    <n v="0"/>
    <s v="LETÍCIA"/>
  </r>
  <r>
    <n v="201487"/>
    <s v="FK"/>
    <s v="SHOPPEE"/>
    <x v="10"/>
    <s v="KARAM'S IND.E COM.DE ESTOFADOS LTDA"/>
    <n v="170.03"/>
    <x v="38"/>
    <x v="38"/>
    <s v=""/>
    <x v="5"/>
    <s v="PRODUÇÃO"/>
    <n v="0"/>
    <s v="RAFAEL"/>
  </r>
  <r>
    <n v="201488"/>
    <s v="FK"/>
    <s v="016-30AB2"/>
    <x v="119"/>
    <s v="LIGHT REPRESENTAÇÕES LTDA"/>
    <n v="57.19"/>
    <x v="47"/>
    <x v="47"/>
    <s v=""/>
    <x v="6"/>
    <s v="COMERCIAL"/>
    <n v="0"/>
    <s v="LETÍCIA"/>
  </r>
  <r>
    <n v="201489"/>
    <s v="FK"/>
    <s v="16-30AB26"/>
    <x v="119"/>
    <s v="MARTINS REPRESENTAÇÕES E VENDAS EIRELLI"/>
    <n v="577.21"/>
    <x v="47"/>
    <x v="47"/>
    <s v=""/>
    <x v="6"/>
    <s v="COMERCIAL"/>
    <n v="0"/>
    <s v="LETÍCIA"/>
  </r>
  <r>
    <n v="201490"/>
    <s v="FK"/>
    <s v="16-30AB26"/>
    <x v="119"/>
    <s v="RICARDO CARVALHO DALANHOL"/>
    <n v="1013.36"/>
    <x v="47"/>
    <x v="47"/>
    <s v=""/>
    <x v="6"/>
    <s v="COMERCIAL"/>
    <n v="0"/>
    <s v="LETÍCIA"/>
  </r>
  <r>
    <n v="201491"/>
    <s v="FK"/>
    <s v="16-30AB26"/>
    <x v="119"/>
    <s v="PVJ REPRESENTAÇÕES LTDA"/>
    <n v="1750.11"/>
    <x v="47"/>
    <x v="47"/>
    <s v=""/>
    <x v="6"/>
    <s v="COMERCIAL"/>
    <n v="0"/>
    <s v="LETÍCIA"/>
  </r>
  <r>
    <n v="201492"/>
    <s v="KAR"/>
    <s v="16-30AB26"/>
    <x v="119"/>
    <s v="ANA VERA ANDRADE CUNHA"/>
    <n v="1513.93"/>
    <x v="47"/>
    <x v="47"/>
    <s v=""/>
    <x v="6"/>
    <s v="COMERCIAL"/>
    <n v="0"/>
    <s v="LETÍCIA"/>
  </r>
  <r>
    <n v="201493"/>
    <s v="KAR"/>
    <s v="16-30AB26"/>
    <x v="119"/>
    <s v="BELA CASA REPRESENTAÇOES LTDA"/>
    <n v="889.81"/>
    <x v="47"/>
    <x v="47"/>
    <s v=""/>
    <x v="6"/>
    <s v="COMERCIAL"/>
    <n v="0"/>
    <s v="LETÍCIA"/>
  </r>
  <r>
    <n v="201494"/>
    <s v="KAR"/>
    <s v="16-30AB26"/>
    <x v="119"/>
    <s v="ELAINE DE OLIVEIRA TESSARO"/>
    <n v="12105.69"/>
    <x v="47"/>
    <x v="47"/>
    <s v=""/>
    <x v="6"/>
    <s v="COMERCIAL"/>
    <n v="0"/>
    <s v="LETÍCIA"/>
  </r>
  <r>
    <n v="201495"/>
    <s v="KAR"/>
    <s v="16-30AB26"/>
    <x v="119"/>
    <s v="ILHA BELLA COM E REPRESENTAÇOES LTDA"/>
    <n v="4167.45"/>
    <x v="47"/>
    <x v="47"/>
    <s v=""/>
    <x v="6"/>
    <s v="COMERCIAL"/>
    <n v="0"/>
    <s v="LETÍCIA"/>
  </r>
  <r>
    <n v="201496"/>
    <s v="KAR"/>
    <s v="16-30AB26"/>
    <x v="119"/>
    <s v="JUAN JOSE IGLESIAS CARBALLO"/>
    <n v="2185.88"/>
    <x v="47"/>
    <x v="47"/>
    <s v=""/>
    <x v="6"/>
    <s v="COMERCIAL"/>
    <n v="0"/>
    <s v="LETÍCIA"/>
  </r>
  <r>
    <n v="201497"/>
    <s v="KAR"/>
    <s v="16-30AB26"/>
    <x v="119"/>
    <s v="LIGHT REPRESENTAÇÕES LTDA"/>
    <n v="380.24"/>
    <x v="47"/>
    <x v="47"/>
    <s v=""/>
    <x v="6"/>
    <s v="COMERCIAL"/>
    <n v="0"/>
    <s v="LETÍCIA"/>
  </r>
  <r>
    <n v="201498"/>
    <s v="KAR"/>
    <s v="16-30AB26"/>
    <x v="119"/>
    <s v="MARTINS REPRESENTAÇÕES E VENDAS EIRELLI"/>
    <n v="4851.71"/>
    <x v="47"/>
    <x v="47"/>
    <s v=""/>
    <x v="6"/>
    <s v="COMERCIAL"/>
    <n v="0"/>
    <s v="LETÍCIA"/>
  </r>
  <r>
    <n v="201499"/>
    <s v="KAR"/>
    <s v="16-30AB26"/>
    <x v="119"/>
    <s v="RICARDO CARVALHO DALANHOL"/>
    <n v="3014.66"/>
    <x v="47"/>
    <x v="47"/>
    <s v=""/>
    <x v="6"/>
    <s v="COMERCIAL"/>
    <n v="0"/>
    <s v="LETÍCIA"/>
  </r>
  <r>
    <n v="201500"/>
    <s v="KAR"/>
    <s v="16-30AB26"/>
    <x v="119"/>
    <s v="PVJ REPRESENTAÇÕES LTDA"/>
    <n v="5333.78"/>
    <x v="47"/>
    <x v="47"/>
    <s v=""/>
    <x v="6"/>
    <s v="COMERCIAL"/>
    <n v="0"/>
    <s v="LETÍCIA"/>
  </r>
  <r>
    <n v="201501"/>
    <s v="FK"/>
    <s v="PISTÃO "/>
    <x v="119"/>
    <s v="FABIO NUNES MACHADO"/>
    <n v="100"/>
    <x v="30"/>
    <x v="30"/>
    <s v=""/>
    <x v="9"/>
    <s v="MANUTENÇÃO / TI"/>
    <n v="0"/>
    <s v="RAFAEL"/>
  </r>
  <r>
    <n v="201502"/>
    <s v="KOY"/>
    <s v="16-30AB26"/>
    <x v="119"/>
    <s v="ANA VERA ANDRADE CUNHA"/>
    <n v="1612.38"/>
    <x v="47"/>
    <x v="47"/>
    <s v=""/>
    <x v="6"/>
    <s v="COMERCIAL"/>
    <n v="0"/>
    <s v="LETÍCIA"/>
  </r>
  <r>
    <n v="201503"/>
    <s v="KOY"/>
    <s v="16-30AB26"/>
    <x v="119"/>
    <s v="BELA CASA REPRESENTAÇOES LTDA"/>
    <n v="747.61"/>
    <x v="47"/>
    <x v="47"/>
    <s v=""/>
    <x v="6"/>
    <s v="COMERCIAL"/>
    <n v="0"/>
    <s v="LETÍCIA"/>
  </r>
  <r>
    <n v="201504"/>
    <s v="KOY"/>
    <s v="16-30AB26"/>
    <x v="119"/>
    <s v="ELAINE DE OLIVEIRA TESSARO"/>
    <n v="1468.74"/>
    <x v="47"/>
    <x v="47"/>
    <s v=""/>
    <x v="6"/>
    <s v="COMERCIAL"/>
    <n v="0"/>
    <s v="LETÍCIA"/>
  </r>
  <r>
    <n v="201505"/>
    <s v="KOY"/>
    <s v="16-30AB26"/>
    <x v="119"/>
    <s v="ILHA BELLA COM E REPRESENTAÇOES LTDA"/>
    <n v="1906.3"/>
    <x v="47"/>
    <x v="47"/>
    <s v=""/>
    <x v="6"/>
    <s v="COMERCIAL"/>
    <n v="0"/>
    <s v="LETÍCIA"/>
  </r>
  <r>
    <n v="201506"/>
    <s v="KOY"/>
    <s v="16-30AB26"/>
    <x v="119"/>
    <s v="JUAN JOSE IGLESIAS CARBALLO"/>
    <n v="242.09"/>
    <x v="47"/>
    <x v="47"/>
    <s v=""/>
    <x v="6"/>
    <s v="COMERCIAL"/>
    <n v="0"/>
    <s v="LETÍCIA"/>
  </r>
  <r>
    <n v="201507"/>
    <s v="KOY"/>
    <s v="16-30AB26"/>
    <x v="119"/>
    <s v="LIGHT REPRESENTAÇÕES LTDA"/>
    <n v="140.26"/>
    <x v="47"/>
    <x v="47"/>
    <s v=""/>
    <x v="6"/>
    <s v="COMERCIAL"/>
    <n v="0"/>
    <s v="LETÍCIA"/>
  </r>
  <r>
    <n v="201508"/>
    <s v="KOY"/>
    <s v="16-30AB26"/>
    <x v="119"/>
    <s v="RICARDO CARVALHO DALANHOL"/>
    <n v="400.29"/>
    <x v="47"/>
    <x v="47"/>
    <s v=""/>
    <x v="6"/>
    <s v="COMERCIAL"/>
    <n v="0"/>
    <s v="LETÍCIA"/>
  </r>
  <r>
    <n v="201509"/>
    <s v="KOY"/>
    <s v="16-30AB26"/>
    <x v="119"/>
    <s v="PVJ REPRESENTAÇÕES LTDA"/>
    <n v="734.25"/>
    <x v="47"/>
    <x v="47"/>
    <s v=""/>
    <x v="6"/>
    <s v="COMERCIAL"/>
    <n v="0"/>
    <s v="LETÍCIA"/>
  </r>
  <r>
    <n v="201510"/>
    <s v="LAY"/>
    <s v="16-30AB26"/>
    <x v="119"/>
    <s v="ANA VERA ANDRADE CUNHA"/>
    <n v="474.49"/>
    <x v="47"/>
    <x v="47"/>
    <s v=""/>
    <x v="6"/>
    <s v="COMERCIAL"/>
    <n v="0"/>
    <s v="LETÍCIA"/>
  </r>
  <r>
    <n v="201511"/>
    <s v="LAY"/>
    <s v="16-30AB26"/>
    <x v="119"/>
    <s v="ELAINE DE OLIVEIRA TESSARO"/>
    <n v="698.45"/>
    <x v="47"/>
    <x v="47"/>
    <s v=""/>
    <x v="6"/>
    <s v="COMERCIAL"/>
    <n v="0"/>
    <s v="LETÍCIA"/>
  </r>
  <r>
    <n v="201512"/>
    <s v="LAY"/>
    <s v="16-30AB26"/>
    <x v="119"/>
    <s v="ILHA BELLA COM E REPRESENTAÇOES LTDA"/>
    <n v="636.41999999999996"/>
    <x v="47"/>
    <x v="47"/>
    <s v=""/>
    <x v="6"/>
    <s v="COMERCIAL"/>
    <n v="0"/>
    <s v="LETÍCIA"/>
  </r>
  <r>
    <n v="201513"/>
    <s v="LAY"/>
    <s v="16-30AB26"/>
    <x v="119"/>
    <s v="JUAN JOSE IGLESIAS CARBALLO"/>
    <n v="1345.94"/>
    <x v="47"/>
    <x v="47"/>
    <s v=""/>
    <x v="6"/>
    <s v="COMERCIAL"/>
    <n v="0"/>
    <s v="LETÍCIA"/>
  </r>
  <r>
    <n v="201514"/>
    <s v="LAY"/>
    <s v="16-30AB26"/>
    <x v="119"/>
    <s v="LIGHT REPRESENTAÇÕES LTDA"/>
    <n v="707.23"/>
    <x v="47"/>
    <x v="47"/>
    <s v=""/>
    <x v="6"/>
    <s v="COMERCIAL"/>
    <n v="0"/>
    <s v="LETÍCIA"/>
  </r>
  <r>
    <n v="201515"/>
    <s v="LAY"/>
    <s v="16-30AB26"/>
    <x v="119"/>
    <s v="MARTINS REPRESENTAÇÕES E VENDAS EIRELLI"/>
    <n v="294.02999999999997"/>
    <x v="47"/>
    <x v="47"/>
    <s v=""/>
    <x v="6"/>
    <s v="COMERCIAL"/>
    <n v="0"/>
    <s v="LETÍCIA"/>
  </r>
  <r>
    <n v="201516"/>
    <s v="LAY"/>
    <s v="16-30AB26"/>
    <x v="119"/>
    <s v="RICARDO CARVALHO DALANHOL"/>
    <n v="408.67"/>
    <x v="47"/>
    <x v="47"/>
    <s v=""/>
    <x v="6"/>
    <s v="COMERCIAL"/>
    <n v="0"/>
    <s v="LETÍCIA"/>
  </r>
  <r>
    <n v="201517"/>
    <s v="LAY"/>
    <s v="16-30AB26"/>
    <x v="119"/>
    <s v="PVJ REPRESENTAÇÕES LTDA"/>
    <n v="661.99"/>
    <x v="47"/>
    <x v="47"/>
    <s v=""/>
    <x v="6"/>
    <s v="COMERCIAL"/>
    <n v="0"/>
    <s v="LETÍCIA"/>
  </r>
  <r>
    <n v="201519"/>
    <s v="KAR"/>
    <s v="DIFER0526"/>
    <x v="19"/>
    <s v="HS ADM DE CONSORCIOS LTDA."/>
    <n v="119.86"/>
    <x v="3"/>
    <x v="3"/>
    <s v=""/>
    <x v="2"/>
    <s v="FINANCEIRO"/>
    <n v="0"/>
    <s v="FÁBIO"/>
  </r>
  <r>
    <n v="201520"/>
    <s v="FK"/>
    <s v="ANDREIA"/>
    <x v="119"/>
    <s v="DARCILIA GASPAROTTO 61522694900"/>
    <n v="350"/>
    <x v="17"/>
    <x v="17"/>
    <s v=""/>
    <x v="8"/>
    <s v="FINANCEIRO"/>
    <n v="0"/>
    <s v="LETÍCIA"/>
  </r>
  <r>
    <n v="201521"/>
    <s v="KAR"/>
    <s v="175226"/>
    <x v="19"/>
    <s v="ROTAEXATA SOFTWARE LTDA"/>
    <n v="111"/>
    <x v="19"/>
    <x v="19"/>
    <s v=""/>
    <x v="4"/>
    <s v="LOGÍSTICA"/>
    <n v="0"/>
    <s v="MYLENA"/>
  </r>
  <r>
    <n v="201522"/>
    <s v="FK"/>
    <s v="LICENC042"/>
    <x v="19"/>
    <s v="ROTAEXATA SOFTWARE LTDA"/>
    <n v="259"/>
    <x v="19"/>
    <x v="19"/>
    <s v=""/>
    <x v="4"/>
    <s v="LOGÍSTICA"/>
    <n v="0"/>
    <s v="MYLENA"/>
  </r>
  <r>
    <n v="201523"/>
    <s v="KAR"/>
    <s v="115626"/>
    <x v="119"/>
    <s v="BARREIRENSE PRODUTOS DE PETROLEO LTDA"/>
    <n v="1063.5"/>
    <x v="37"/>
    <x v="37"/>
    <s v=""/>
    <x v="6"/>
    <s v="LOGÍSTICA"/>
    <n v="0"/>
    <s v="MYLENA"/>
  </r>
  <r>
    <n v="201525"/>
    <s v="KAR"/>
    <s v="ICMS0526"/>
    <x v="9"/>
    <s v="GUIA DE RECOLHIMENTO DO PARANA"/>
    <n v="22804.06"/>
    <x v="85"/>
    <x v="85"/>
    <s v=""/>
    <x v="1"/>
    <s v="FINANCEIRO"/>
    <n v="0"/>
    <s v="LETÍCIA"/>
  </r>
  <r>
    <n v="201526"/>
    <s v="KAR"/>
    <s v="COFI 0526"/>
    <x v="9"/>
    <s v="DOCUMENTO DE ARRECADAÇAO DE RECEITA FEDERAL"/>
    <n v="11442.92"/>
    <x v="95"/>
    <x v="95"/>
    <s v=""/>
    <x v="1"/>
    <s v="FINANCEIRO"/>
    <n v="0"/>
    <s v="LETÍCIA"/>
  </r>
  <r>
    <n v="201527"/>
    <s v="KAR"/>
    <s v="PIS 0526"/>
    <x v="9"/>
    <s v="DOCUMENTO DE ARRECADAÇAO DE RECEITA FEDERAL"/>
    <n v="2462.42"/>
    <x v="94"/>
    <x v="94"/>
    <s v=""/>
    <x v="1"/>
    <s v="FINANCEIRO"/>
    <n v="0"/>
    <s v="LETÍCIA"/>
  </r>
  <r>
    <n v="201528"/>
    <s v="KAR"/>
    <s v="IPI 0526"/>
    <x v="9"/>
    <s v="DOCUMENTO DE ARRECADAÇAO DE RECEITA FEDERAL"/>
    <n v="20723.310000000001"/>
    <x v="86"/>
    <x v="86"/>
    <s v=""/>
    <x v="1"/>
    <s v="FINANCEIRO"/>
    <n v="0"/>
    <s v="LETÍCIA"/>
  </r>
  <r>
    <n v="201529"/>
    <s v="KAR"/>
    <s v="RETEN0526"/>
    <x v="9"/>
    <s v="DOCUMENTO DE ARRECADAÇAO DE RECEITA FEDERAL"/>
    <n v="4716.6899999999996"/>
    <x v="87"/>
    <x v="87"/>
    <s v=""/>
    <x v="1"/>
    <s v="FINANCEIRO"/>
    <n v="0"/>
    <s v="LETÍCIA"/>
  </r>
  <r>
    <n v="201531"/>
    <s v="LAY"/>
    <s v="DAS 0526"/>
    <x v="9"/>
    <s v="SIMPLES NACIONAL"/>
    <n v="36694.550000000003"/>
    <x v="88"/>
    <x v="88"/>
    <s v=""/>
    <x v="1"/>
    <s v="FINANCEIRO"/>
    <n v="0"/>
    <s v="LETÍCIA"/>
  </r>
  <r>
    <n v="201532"/>
    <s v="LAY"/>
    <s v="ICMS0526A"/>
    <x v="9"/>
    <s v="GUIA DE RECOLHIMENTO DO PARANA"/>
    <n v="793.8"/>
    <x v="85"/>
    <x v="85"/>
    <s v=""/>
    <x v="1"/>
    <s v="FINANCEIRO"/>
    <n v="0"/>
    <s v="LETÍCIA"/>
  </r>
  <r>
    <n v="201533"/>
    <s v="KOY"/>
    <s v="ICMS0526A"/>
    <x v="9"/>
    <s v="GUIA DE RECOLHIMENTO DO PARANA"/>
    <n v="466.2"/>
    <x v="85"/>
    <x v="85"/>
    <s v=""/>
    <x v="1"/>
    <s v="FINANCEIRO"/>
    <n v="0"/>
    <s v="LETÍCIA"/>
  </r>
  <r>
    <n v="201534"/>
    <s v="KOY"/>
    <s v="ICMS0526D"/>
    <x v="9"/>
    <s v="GUIA DE RECOLHIMENTO DO PARANA"/>
    <n v="797.77"/>
    <x v="85"/>
    <x v="85"/>
    <s v=""/>
    <x v="1"/>
    <s v="FINANCEIRO"/>
    <n v="0"/>
    <s v="LETÍCIA"/>
  </r>
  <r>
    <n v="201536"/>
    <s v="KOY"/>
    <s v="DAS 0526"/>
    <x v="9"/>
    <s v="SIMPLES NACIONAL"/>
    <n v="33516.22"/>
    <x v="88"/>
    <x v="88"/>
    <s v=""/>
    <x v="1"/>
    <s v="FINANCEIRO"/>
    <n v="0"/>
    <s v="LETÍCIA"/>
  </r>
  <r>
    <n v="201537"/>
    <s v="FK"/>
    <s v="11377"/>
    <x v="8"/>
    <s v="COMERCIO DE COMBUSTIVEIS TBM LTDA."/>
    <n v="161.9"/>
    <x v="31"/>
    <x v="31"/>
    <s v=""/>
    <x v="6"/>
    <s v="LOGÍSTICA"/>
    <n v="0"/>
    <s v="MYLENA"/>
  </r>
  <r>
    <n v="201538"/>
    <s v="FK"/>
    <s v="SODA0405"/>
    <x v="119"/>
    <s v="CAMINHAO BEM-9J26 "/>
    <n v="74"/>
    <x v="41"/>
    <x v="41"/>
    <s v=""/>
    <x v="6"/>
    <s v="LOGÍSTICA"/>
    <n v="0"/>
    <s v="MYLENA"/>
  </r>
  <r>
    <n v="201539"/>
    <s v="FK"/>
    <s v="80873"/>
    <x v="119"/>
    <s v="COMERCIO DE COMBUSTIVEIS TBM LTDA."/>
    <n v="60.1"/>
    <x v="37"/>
    <x v="37"/>
    <s v=""/>
    <x v="6"/>
    <s v="LOGÍSTICA"/>
    <n v="0"/>
    <s v="MYLENA"/>
  </r>
  <r>
    <n v="201540"/>
    <s v="FK"/>
    <s v="80872"/>
    <x v="119"/>
    <s v="COMERCIO DE COMBUSTIVEIS TBM LTDA."/>
    <n v="743.65"/>
    <x v="37"/>
    <x v="37"/>
    <s v=""/>
    <x v="6"/>
    <s v="LOGÍSTICA"/>
    <n v="0"/>
    <s v="MYLENA"/>
  </r>
  <r>
    <n v="201541"/>
    <s v="FK"/>
    <s v="SODA3004"/>
    <x v="119"/>
    <s v="CAMINHÃO / BEH-6E00"/>
    <n v="90.25"/>
    <x v="41"/>
    <x v="41"/>
    <s v=""/>
    <x v="6"/>
    <s v="LOGÍSTICA"/>
    <n v="0"/>
    <s v="MYLENA"/>
  </r>
  <r>
    <n v="201542"/>
    <s v="FK"/>
    <s v="27331"/>
    <x v="119"/>
    <s v="AGROINDUSTRIA COM E TRANSP DE FARINHA RODERS"/>
    <n v="30"/>
    <x v="17"/>
    <x v="17"/>
    <s v=""/>
    <x v="8"/>
    <s v="FINANCEIRO"/>
    <n v="0"/>
    <s v="LETÍCIA"/>
  </r>
  <r>
    <n v="201543"/>
    <s v="FK"/>
    <s v="11580"/>
    <x v="119"/>
    <s v="COMERCIO DE COMBUSTIVEIS TBM LTDA."/>
    <n v="707.07"/>
    <x v="37"/>
    <x v="37"/>
    <s v=""/>
    <x v="6"/>
    <s v="LOGÍSTICA"/>
    <n v="0"/>
    <s v="MYLENA"/>
  </r>
  <r>
    <n v="201544"/>
    <s v="FK"/>
    <s v="11581"/>
    <x v="119"/>
    <s v="COMERCIO DE COMBUSTIVEIS TBM LTDA."/>
    <n v="49.45"/>
    <x v="37"/>
    <x v="37"/>
    <s v=""/>
    <x v="6"/>
    <s v="LOGÍSTICA"/>
    <n v="0"/>
    <s v="MYLENA"/>
  </r>
  <r>
    <n v="201546"/>
    <s v="FK"/>
    <s v="NIS3004A"/>
    <x v="73"/>
    <s v="CASA DE FERRAGEM NISHIMOTO"/>
    <n v="5.4"/>
    <x v="31"/>
    <x v="31"/>
    <s v="FERRAGENS GERAIS"/>
    <x v="6"/>
    <s v="LOGÍSTICA"/>
    <n v="0"/>
    <s v="MYLENA"/>
  </r>
  <r>
    <n v="201548"/>
    <s v="FK"/>
    <s v="GIL0805"/>
    <x v="73"/>
    <s v="GILSON MATERIAIS DE CONSTRUÇÃO"/>
    <n v="175"/>
    <x v="25"/>
    <x v="25"/>
    <s v=""/>
    <x v="2"/>
    <s v="MANUTENÇÃO / TI"/>
    <n v="0"/>
    <s v="FÁBIO"/>
  </r>
  <r>
    <n v="201549"/>
    <s v="FK"/>
    <s v="GIL0805A"/>
    <x v="73"/>
    <s v="GILSON MATERIAIS DE CONSTRUÇÃO"/>
    <n v="65"/>
    <x v="38"/>
    <x v="38"/>
    <s v=""/>
    <x v="5"/>
    <s v="PRODUÇÃO"/>
    <n v="0"/>
    <s v="RAFAEL"/>
  </r>
  <r>
    <n v="201550"/>
    <s v="FK"/>
    <s v="BATA0805A"/>
    <x v="73"/>
    <s v="MARIA ANDREIA BUENO DE ALMEIDA BATAER"/>
    <n v="488.16"/>
    <x v="34"/>
    <x v="34"/>
    <s v=""/>
    <x v="6"/>
    <s v="COMERCIAL"/>
    <n v="0"/>
    <s v="LETÍCIA"/>
  </r>
  <r>
    <n v="201551"/>
    <s v="FK"/>
    <s v="BATA0805B"/>
    <x v="73"/>
    <s v="MARIA ANDREIA BUENO DE ALMEIDA BATAER"/>
    <n v="1068.6400000000001"/>
    <x v="34"/>
    <x v="34"/>
    <s v=""/>
    <x v="6"/>
    <s v="COMERCIAL"/>
    <n v="0"/>
    <s v="LETÍCIA"/>
  </r>
  <r>
    <n v="201552"/>
    <s v="KAR"/>
    <s v="2370805"/>
    <x v="119"/>
    <s v="BANCO SICREDI"/>
    <n v="2.37"/>
    <x v="28"/>
    <x v="28"/>
    <s v=""/>
    <x v="8"/>
    <s v="FINANCEIRO"/>
    <n v="0"/>
    <s v="LETÍCIA"/>
  </r>
  <r>
    <n v="201553"/>
    <s v="KAR"/>
    <s v="5481105"/>
    <x v="73"/>
    <s v="BANCO SICREDI"/>
    <n v="5.48"/>
    <x v="27"/>
    <x v="27"/>
    <s v=""/>
    <x v="8"/>
    <s v="FINANCEIRO"/>
    <n v="0"/>
    <s v="LETÍCIA"/>
  </r>
  <r>
    <n v="201554"/>
    <s v="FK"/>
    <s v="FUN0405"/>
    <x v="73"/>
    <s v="F. I FELIPE - ME"/>
    <n v="350"/>
    <x v="31"/>
    <x v="31"/>
    <s v=""/>
    <x v="6"/>
    <s v="LOGÍSTICA"/>
    <n v="0"/>
    <s v="MYLENA"/>
  </r>
  <r>
    <n v="201555"/>
    <s v="KAR"/>
    <s v="38651105"/>
    <x v="73"/>
    <s v="BANCO SICREDI"/>
    <n v="38.65"/>
    <x v="29"/>
    <x v="29"/>
    <s v=""/>
    <x v="8"/>
    <s v="FINANCEIRO"/>
    <n v="0"/>
    <s v="LETÍCIA"/>
  </r>
  <r>
    <n v="201556"/>
    <s v="KAR"/>
    <s v="1494882"/>
    <x v="73"/>
    <s v="FERRAMENTAS GERAIS COMERCIO IMP DE FERRAM. E MAQUI"/>
    <n v="3050.98"/>
    <x v="38"/>
    <x v="38"/>
    <s v="FERRAGENS GERAIS"/>
    <x v="5"/>
    <s v="PRODUÇÃO"/>
    <n v="0"/>
    <s v="RAFAEL"/>
  </r>
  <r>
    <n v="201557"/>
    <s v="LAY"/>
    <s v="CERTIFICA"/>
    <x v="73"/>
    <s v="ASSOCIACAO COMERCIAL E INDUSTRIA DE TERRA RICA"/>
    <n v="339"/>
    <x v="17"/>
    <x v="17"/>
    <s v=""/>
    <x v="8"/>
    <s v="FINANCEIRO"/>
    <n v="0"/>
    <s v="LETÍCIA"/>
  </r>
  <r>
    <n v="201558"/>
    <s v="FK"/>
    <s v="680"/>
    <x v="73"/>
    <s v="F.C. DE PAULA JOSE E CIA LTDA (puma gases)"/>
    <n v="100"/>
    <x v="38"/>
    <x v="38"/>
    <s v=""/>
    <x v="5"/>
    <s v="PRODUÇÃO"/>
    <n v="0"/>
    <s v="RAFAEL"/>
  </r>
  <r>
    <n v="201559"/>
    <s v="FK"/>
    <s v="0950805"/>
    <x v="119"/>
    <s v="SICOOB NOROESTE DO PARANA"/>
    <n v="0.95"/>
    <x v="28"/>
    <x v="28"/>
    <s v=""/>
    <x v="8"/>
    <s v="FINANCEIRO"/>
    <n v="0"/>
    <s v="LETÍCIA"/>
  </r>
  <r>
    <n v="201563"/>
    <s v="FK"/>
    <s v="ASSISTENC"/>
    <x v="73"/>
    <s v="G M DA SILVA LTDA"/>
    <n v="250"/>
    <x v="65"/>
    <x v="65"/>
    <s v=""/>
    <x v="6"/>
    <s v="LOGÍSTICA"/>
    <n v="0"/>
    <s v="MYLENA"/>
  </r>
  <r>
    <n v="201564"/>
    <s v="FK"/>
    <s v="VANDE0605"/>
    <x v="73"/>
    <s v="CAMINHAO BEM-6E19"/>
    <n v="1337.5"/>
    <x v="41"/>
    <x v="41"/>
    <s v=""/>
    <x v="6"/>
    <s v="LOGÍSTICA"/>
    <n v="0"/>
    <s v="MYLENA"/>
  </r>
  <r>
    <n v="201565"/>
    <s v="FK"/>
    <s v="VANDER"/>
    <x v="73"/>
    <s v="CAMINHAO BEM-6E19"/>
    <n v="20"/>
    <x v="31"/>
    <x v="31"/>
    <s v=""/>
    <x v="6"/>
    <s v="LOGÍSTICA"/>
    <n v="0"/>
    <s v="MYLENA"/>
  </r>
  <r>
    <n v="201566"/>
    <s v="FK"/>
    <s v="81055"/>
    <x v="73"/>
    <s v="COMERCIO DE COMBUSTIVEIS TBM LTDA."/>
    <n v="25.42"/>
    <x v="37"/>
    <x v="37"/>
    <s v=""/>
    <x v="6"/>
    <s v="LOGÍSTICA"/>
    <n v="0"/>
    <s v="MYLENA"/>
  </r>
  <r>
    <n v="201567"/>
    <s v="FK"/>
    <s v="81056"/>
    <x v="73"/>
    <s v="COMERCIO DE COMBUSTIVEIS TBM LTDA."/>
    <n v="3201.63"/>
    <x v="37"/>
    <x v="37"/>
    <s v=""/>
    <x v="6"/>
    <s v="LOGÍSTICA"/>
    <n v="0"/>
    <s v="MYLENA"/>
  </r>
  <r>
    <n v="201568"/>
    <s v="FK"/>
    <s v="NETO0705"/>
    <x v="73"/>
    <s v="CAMINHÃO - AYL-6E00"/>
    <n v="2020"/>
    <x v="41"/>
    <x v="41"/>
    <s v=""/>
    <x v="6"/>
    <s v="LOGÍSTICA"/>
    <n v="0"/>
    <s v="MYLENA"/>
  </r>
  <r>
    <n v="201569"/>
    <s v="FK"/>
    <s v="81244"/>
    <x v="73"/>
    <s v="COMERCIO DE COMBUSTIVEIS TBM LTDA."/>
    <n v="3378.45"/>
    <x v="37"/>
    <x v="37"/>
    <s v=""/>
    <x v="6"/>
    <s v="LOGÍSTICA"/>
    <n v="0"/>
    <s v="MYLENA"/>
  </r>
  <r>
    <n v="201570"/>
    <s v="FK"/>
    <s v="LEAN0805"/>
    <x v="73"/>
    <s v="CAMINHAO - AYL-5F59"/>
    <n v="1743"/>
    <x v="41"/>
    <x v="41"/>
    <s v=""/>
    <x v="6"/>
    <s v="LOGÍSTICA"/>
    <n v="0"/>
    <s v="MYLENA"/>
  </r>
  <r>
    <n v="201571"/>
    <s v="FK"/>
    <s v="81323"/>
    <x v="73"/>
    <s v="COMERCIO DE COMBUSTIVEIS TBM LTDA."/>
    <n v="2932.7"/>
    <x v="37"/>
    <x v="37"/>
    <s v=""/>
    <x v="6"/>
    <s v="LOGÍSTICA"/>
    <n v="0"/>
    <s v="MYLENA"/>
  </r>
  <r>
    <n v="201572"/>
    <s v="KAR"/>
    <s v="745890"/>
    <x v="73"/>
    <s v="AUTO POSTO SANTA TEREZINHA DE AVARE LTDA"/>
    <n v="999.6"/>
    <x v="37"/>
    <x v="37"/>
    <s v=""/>
    <x v="6"/>
    <s v="LOGÍSTICA"/>
    <n v="0"/>
    <s v="MYLENA"/>
  </r>
  <r>
    <n v="201573"/>
    <s v="KAR"/>
    <s v="340384"/>
    <x v="73"/>
    <s v="POSTO E SERVIÇO TIGRAO DA DUTRA"/>
    <n v="1162.1300000000001"/>
    <x v="37"/>
    <x v="37"/>
    <s v=""/>
    <x v="6"/>
    <s v="LOGÍSTICA"/>
    <n v="0"/>
    <s v="MYLENA"/>
  </r>
  <r>
    <n v="201574"/>
    <s v="KAR"/>
    <s v="745891"/>
    <x v="73"/>
    <s v="AUTO POSTO SANTA TEREZINHA DE AVARE LTDA"/>
    <n v="71.28"/>
    <x v="37"/>
    <x v="37"/>
    <s v=""/>
    <x v="6"/>
    <s v="LOGÍSTICA"/>
    <n v="0"/>
    <s v="MYLENA"/>
  </r>
  <r>
    <n v="201575"/>
    <s v="KAR"/>
    <s v="6936"/>
    <x v="73"/>
    <s v="AUTO POSTO ROTA SUL LTDA"/>
    <n v="110.77"/>
    <x v="37"/>
    <x v="37"/>
    <s v=""/>
    <x v="6"/>
    <s v="LOGÍSTICA"/>
    <n v="0"/>
    <s v="MYLENA"/>
  </r>
  <r>
    <n v="201576"/>
    <s v="KAR"/>
    <s v="01-30AB26"/>
    <x v="9"/>
    <s v="MOLLDE SERVIÇOS"/>
    <n v="24283.41"/>
    <x v="77"/>
    <x v="77"/>
    <s v=""/>
    <x v="6"/>
    <s v="COMERCIAL"/>
    <n v="0"/>
    <s v="LETÍCIA"/>
  </r>
  <r>
    <n v="201578"/>
    <s v="KAR"/>
    <s v="01-30AB26"/>
    <x v="9"/>
    <s v="METTA WORKS DESING LTDA - ME"/>
    <n v="17.55"/>
    <x v="77"/>
    <x v="77"/>
    <s v=""/>
    <x v="6"/>
    <s v="COMERCIAL"/>
    <n v="0"/>
    <s v="LETÍCIA"/>
  </r>
  <r>
    <n v="201579"/>
    <s v="KAR"/>
    <s v="01-30AB26"/>
    <x v="9"/>
    <s v="SANTELLI COMERCIO DE ARTIGOS DE DECORACAO LTDA"/>
    <n v="10654.87"/>
    <x v="77"/>
    <x v="77"/>
    <s v=""/>
    <x v="6"/>
    <s v="COMERCIAL"/>
    <n v="0"/>
    <s v="LETÍCIA"/>
  </r>
  <r>
    <n v="201580"/>
    <s v="KAR"/>
    <s v="01-30AB26"/>
    <x v="9"/>
    <s v="GABRIEL ANTUNES HENKE CARRANO"/>
    <n v="176.85"/>
    <x v="77"/>
    <x v="77"/>
    <s v=""/>
    <x v="6"/>
    <s v="COMERCIAL"/>
    <n v="0"/>
    <s v="LETÍCIA"/>
  </r>
  <r>
    <n v="201581"/>
    <s v="KAR"/>
    <s v="01-30AB26"/>
    <x v="9"/>
    <s v="CARLOS ALEXANDRE ARRALDE ALVES"/>
    <n v="342.65"/>
    <x v="77"/>
    <x v="77"/>
    <s v=""/>
    <x v="6"/>
    <s v="COMERCIAL"/>
    <n v="0"/>
    <s v="LETÍCIA"/>
  </r>
  <r>
    <n v="201582"/>
    <s v="KAR"/>
    <s v="01-30AB26"/>
    <x v="9"/>
    <s v="CONTRAPONTO DESIGN- SERVIÇOS DE DESIGN DE PRODUTOS"/>
    <n v="3752.44"/>
    <x v="77"/>
    <x v="77"/>
    <s v=""/>
    <x v="6"/>
    <s v="COMERCIAL"/>
    <n v="0"/>
    <s v="LETÍCIA"/>
  </r>
  <r>
    <n v="201583"/>
    <s v="KAR"/>
    <s v="01-30AB26"/>
    <x v="9"/>
    <s v="OQ DA CASADESIGN STUDIO LTDA"/>
    <n v="418.09"/>
    <x v="77"/>
    <x v="77"/>
    <s v=""/>
    <x v="6"/>
    <s v="COMERCIAL"/>
    <n v="0"/>
    <s v="LETÍCIA"/>
  </r>
  <r>
    <n v="201584"/>
    <s v="KAR"/>
    <s v="01-30AB26"/>
    <x v="9"/>
    <s v="AMBOS ESTUDIO LTDA"/>
    <n v="1648.02"/>
    <x v="77"/>
    <x v="77"/>
    <s v=""/>
    <x v="6"/>
    <s v="COMERCIAL"/>
    <n v="0"/>
    <s v="LETÍCIA"/>
  </r>
  <r>
    <n v="201585"/>
    <s v="KAR"/>
    <s v="01-30AB26"/>
    <x v="9"/>
    <s v="KLIVISSON DENNISON C. DOS SANTOS 06534931427"/>
    <n v="3584.44"/>
    <x v="77"/>
    <x v="77"/>
    <s v=""/>
    <x v="6"/>
    <s v="COMERCIAL"/>
    <n v="0"/>
    <s v="LETÍCIA"/>
  </r>
  <r>
    <n v="201586"/>
    <s v="KAR"/>
    <s v="01-30AB26"/>
    <x v="9"/>
    <s v="PIETRO LUIGI VERONA DESIGN LTDA"/>
    <n v="691.81"/>
    <x v="77"/>
    <x v="77"/>
    <s v=""/>
    <x v="6"/>
    <s v="COMERCIAL"/>
    <n v="0"/>
    <s v="LETÍCIA"/>
  </r>
  <r>
    <n v="201587"/>
    <s v="LAY"/>
    <s v="01-30AB26"/>
    <x v="9"/>
    <s v="MOLLDE SERVIÇOS"/>
    <n v="1103.1400000000001"/>
    <x v="77"/>
    <x v="77"/>
    <s v=""/>
    <x v="6"/>
    <s v="COMERCIAL"/>
    <n v="0"/>
    <s v="LETÍCIA"/>
  </r>
  <r>
    <n v="201588"/>
    <s v="LAY"/>
    <s v="01-30AB26"/>
    <x v="9"/>
    <s v="METTA WORKS DESING LTDA - ME"/>
    <n v="720.55"/>
    <x v="77"/>
    <x v="77"/>
    <s v=""/>
    <x v="6"/>
    <s v="COMERCIAL"/>
    <n v="0"/>
    <s v="LETÍCIA"/>
  </r>
  <r>
    <n v="201589"/>
    <s v="LAY"/>
    <s v="01-30AB26"/>
    <x v="9"/>
    <s v="SANTELLI COMERCIO DE ARTIGOS DE DECORACAO LTDA"/>
    <n v="846.25"/>
    <x v="77"/>
    <x v="77"/>
    <s v=""/>
    <x v="6"/>
    <s v="COMERCIAL"/>
    <n v="0"/>
    <s v="LETÍCIA"/>
  </r>
  <r>
    <n v="201590"/>
    <s v="LAY"/>
    <s v="01-30AB26"/>
    <x v="9"/>
    <s v="KLIVISSON DENNISON C. DOS SANTOS 06534931427"/>
    <n v="117.9"/>
    <x v="77"/>
    <x v="77"/>
    <s v=""/>
    <x v="6"/>
    <s v="COMERCIAL"/>
    <n v="0"/>
    <s v="LETÍCIA"/>
  </r>
  <r>
    <n v="201592"/>
    <s v="KOY"/>
    <s v="01-30AB26"/>
    <x v="9"/>
    <s v="MOLLDE SERVIÇOS"/>
    <n v="1876.66"/>
    <x v="77"/>
    <x v="77"/>
    <s v=""/>
    <x v="6"/>
    <s v="COMERCIAL"/>
    <n v="0"/>
    <s v="LETÍCIA"/>
  </r>
  <r>
    <n v="201593"/>
    <s v="KOY"/>
    <s v="01-30AB26"/>
    <x v="9"/>
    <s v="SANTELLI COMERCIO DE ARTIGOS DE DECORACAO LTDA"/>
    <n v="427.01"/>
    <x v="77"/>
    <x v="77"/>
    <s v=""/>
    <x v="6"/>
    <s v="COMERCIAL"/>
    <n v="0"/>
    <s v="LETÍCIA"/>
  </r>
  <r>
    <n v="201594"/>
    <s v="KOY"/>
    <s v="01-30AB26"/>
    <x v="9"/>
    <s v="CHOQUE ARQUITETURA E DESIGN LTDA"/>
    <n v="1144.03"/>
    <x v="77"/>
    <x v="77"/>
    <s v=""/>
    <x v="6"/>
    <s v="COMERCIAL"/>
    <n v="0"/>
    <s v="LETÍCIA"/>
  </r>
  <r>
    <n v="201595"/>
    <s v="KOY"/>
    <s v="01-30AB26"/>
    <x v="9"/>
    <s v="CONTRAPONTO DESIGN- SERVIÇOS DE DESIGN DE PRODUTOS"/>
    <n v="4991.6000000000004"/>
    <x v="77"/>
    <x v="77"/>
    <s v=""/>
    <x v="6"/>
    <s v="COMERCIAL"/>
    <n v="0"/>
    <s v="LETÍCIA"/>
  </r>
  <r>
    <n v="201596"/>
    <s v="KOY"/>
    <s v="01-30AB26"/>
    <x v="9"/>
    <s v="RAMON FRANCISCO ZANCANARO ME"/>
    <n v="1036.8699999999999"/>
    <x v="77"/>
    <x v="77"/>
    <s v=""/>
    <x v="6"/>
    <s v="COMERCIAL"/>
    <n v="0"/>
    <s v="LETÍCIA"/>
  </r>
  <r>
    <n v="201598"/>
    <s v="KOY"/>
    <s v="01-30AB29"/>
    <x v="9"/>
    <s v="AMBOS ESTUDIO LTDA"/>
    <n v="2744.85"/>
    <x v="77"/>
    <x v="77"/>
    <s v=""/>
    <x v="6"/>
    <s v="COMERCIAL"/>
    <n v="0"/>
    <s v="LETÍCIA"/>
  </r>
  <r>
    <n v="201600"/>
    <s v="KOY"/>
    <s v="01-30AB26"/>
    <x v="9"/>
    <s v="PIETRO LUIGI VERONA DESIGN LTDA"/>
    <n v="648.87"/>
    <x v="77"/>
    <x v="77"/>
    <s v=""/>
    <x v="6"/>
    <s v="COMERCIAL"/>
    <n v="0"/>
    <s v="LETÍCIA"/>
  </r>
  <r>
    <n v="201601"/>
    <s v="KAR"/>
    <s v="876"/>
    <x v="73"/>
    <s v="ALFZ COMERCIO DE BALANCAS ltda"/>
    <n v="365.6"/>
    <x v="30"/>
    <x v="30"/>
    <s v=""/>
    <x v="9"/>
    <s v="MANUTENÇÃO / TI"/>
    <n v="0"/>
    <s v="RAFAE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E9F6E-F536-45FD-9199-BC71B2B27F1C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16" firstHeaderRow="1" firstDataRow="2" firstDataCol="1"/>
  <pivotFields count="15">
    <pivotField showAll="0"/>
    <pivotField showAll="0"/>
    <pivotField showAll="0"/>
    <pivotField numFmtId="14" showAll="0">
      <items count="121">
        <item x="15"/>
        <item x="20"/>
        <item x="31"/>
        <item x="35"/>
        <item x="40"/>
        <item x="52"/>
        <item x="58"/>
        <item x="61"/>
        <item x="62"/>
        <item x="63"/>
        <item x="64"/>
        <item x="65"/>
        <item x="69"/>
        <item x="11"/>
        <item x="21"/>
        <item x="26"/>
        <item x="48"/>
        <item x="54"/>
        <item x="90"/>
        <item x="70"/>
        <item x="76"/>
        <item x="88"/>
        <item x="0"/>
        <item x="1"/>
        <item x="27"/>
        <item x="36"/>
        <item x="41"/>
        <item x="74"/>
        <item x="75"/>
        <item x="89"/>
        <item x="92"/>
        <item x="94"/>
        <item x="95"/>
        <item x="97"/>
        <item x="2"/>
        <item x="16"/>
        <item x="22"/>
        <item x="59"/>
        <item x="85"/>
        <item x="3"/>
        <item x="80"/>
        <item x="32"/>
        <item x="45"/>
        <item x="49"/>
        <item x="82"/>
        <item x="104"/>
        <item x="12"/>
        <item x="28"/>
        <item x="55"/>
        <item x="77"/>
        <item x="96"/>
        <item x="98"/>
        <item x="99"/>
        <item x="100"/>
        <item x="4"/>
        <item x="5"/>
        <item x="23"/>
        <item x="30"/>
        <item x="37"/>
        <item x="42"/>
        <item x="60"/>
        <item x="66"/>
        <item x="71"/>
        <item x="86"/>
        <item x="101"/>
        <item x="102"/>
        <item x="17"/>
        <item x="33"/>
        <item x="46"/>
        <item x="53"/>
        <item x="81"/>
        <item x="83"/>
        <item x="13"/>
        <item x="50"/>
        <item x="56"/>
        <item x="78"/>
        <item x="105"/>
        <item x="106"/>
        <item x="107"/>
        <item x="29"/>
        <item x="6"/>
        <item x="108"/>
        <item x="109"/>
        <item x="7"/>
        <item x="67"/>
        <item x="111"/>
        <item x="38"/>
        <item x="43"/>
        <item x="112"/>
        <item x="93"/>
        <item x="110"/>
        <item x="24"/>
        <item x="87"/>
        <item x="18"/>
        <item x="34"/>
        <item x="72"/>
        <item x="103"/>
        <item x="47"/>
        <item x="84"/>
        <item x="113"/>
        <item x="51"/>
        <item x="57"/>
        <item x="79"/>
        <item x="115"/>
        <item x="14"/>
        <item x="91"/>
        <item x="116"/>
        <item x="117"/>
        <item x="118"/>
        <item x="8"/>
        <item x="9"/>
        <item x="10"/>
        <item x="19"/>
        <item x="25"/>
        <item x="39"/>
        <item x="44"/>
        <item x="68"/>
        <item x="73"/>
        <item x="114"/>
        <item x="119"/>
        <item t="default"/>
      </items>
    </pivotField>
    <pivotField showAll="0"/>
    <pivotField dataField="1" numFmtId="4" showAll="0"/>
    <pivotField showAll="0" sortType="ascending">
      <items count="104">
        <item x="9"/>
        <item x="98"/>
        <item x="13"/>
        <item x="25"/>
        <item x="3"/>
        <item x="2"/>
        <item x="88"/>
        <item x="85"/>
        <item x="94"/>
        <item x="95"/>
        <item x="86"/>
        <item x="87"/>
        <item x="0"/>
        <item x="48"/>
        <item x="1"/>
        <item x="36"/>
        <item x="58"/>
        <item x="81"/>
        <item x="83"/>
        <item x="72"/>
        <item x="93"/>
        <item x="38"/>
        <item x="40"/>
        <item x="7"/>
        <item x="60"/>
        <item x="92"/>
        <item x="73"/>
        <item x="30"/>
        <item x="80"/>
        <item x="82"/>
        <item x="96"/>
        <item x="70"/>
        <item x="35"/>
        <item x="44"/>
        <item x="46"/>
        <item x="100"/>
        <item x="75"/>
        <item x="61"/>
        <item x="66"/>
        <item x="62"/>
        <item x="101"/>
        <item x="99"/>
        <item x="57"/>
        <item x="78"/>
        <item x="65"/>
        <item x="14"/>
        <item x="63"/>
        <item x="54"/>
        <item x="53"/>
        <item x="47"/>
        <item x="23"/>
        <item x="77"/>
        <item x="34"/>
        <item x="37"/>
        <item x="50"/>
        <item x="11"/>
        <item x="42"/>
        <item x="49"/>
        <item x="39"/>
        <item x="31"/>
        <item x="84"/>
        <item x="41"/>
        <item x="15"/>
        <item x="56"/>
        <item x="67"/>
        <item x="79"/>
        <item x="24"/>
        <item x="20"/>
        <item x="16"/>
        <item x="18"/>
        <item x="91"/>
        <item x="59"/>
        <item x="102"/>
        <item x="71"/>
        <item x="89"/>
        <item x="68"/>
        <item x="5"/>
        <item x="43"/>
        <item x="19"/>
        <item x="64"/>
        <item x="21"/>
        <item x="10"/>
        <item x="33"/>
        <item x="8"/>
        <item x="52"/>
        <item x="45"/>
        <item x="51"/>
        <item x="74"/>
        <item x="69"/>
        <item x="4"/>
        <item x="6"/>
        <item x="76"/>
        <item x="22"/>
        <item x="12"/>
        <item x="32"/>
        <item x="26"/>
        <item x="97"/>
        <item x="27"/>
        <item x="29"/>
        <item x="90"/>
        <item x="28"/>
        <item x="17"/>
        <item x="55"/>
        <item t="default"/>
      </items>
    </pivotField>
    <pivotField axis="axisRow" showAll="0">
      <items count="104">
        <item x="10"/>
        <item x="64"/>
        <item x="68"/>
        <item x="89"/>
        <item x="99"/>
        <item x="73"/>
        <item x="63"/>
        <item x="78"/>
        <item x="95"/>
        <item x="43"/>
        <item x="37"/>
        <item x="47"/>
        <item x="53"/>
        <item x="0"/>
        <item x="1"/>
        <item x="13"/>
        <item x="16"/>
        <item x="3"/>
        <item x="25"/>
        <item x="23"/>
        <item x="6"/>
        <item x="76"/>
        <item x="4"/>
        <item x="51"/>
        <item x="22"/>
        <item x="20"/>
        <item x="35"/>
        <item x="11"/>
        <item x="27"/>
        <item x="69"/>
        <item x="28"/>
        <item x="17"/>
        <item x="21"/>
        <item x="33"/>
        <item x="36"/>
        <item x="40"/>
        <item x="14"/>
        <item x="91"/>
        <item x="96"/>
        <item x="72"/>
        <item x="79"/>
        <item x="80"/>
        <item x="81"/>
        <item x="48"/>
        <item x="84"/>
        <item x="65"/>
        <item x="41"/>
        <item x="59"/>
        <item x="62"/>
        <item x="60"/>
        <item x="66"/>
        <item x="85"/>
        <item x="2"/>
        <item x="67"/>
        <item x="82"/>
        <item x="83"/>
        <item x="55"/>
        <item x="86"/>
        <item x="100"/>
        <item x="49"/>
        <item x="90"/>
        <item x="29"/>
        <item x="30"/>
        <item x="24"/>
        <item x="46"/>
        <item x="9"/>
        <item x="52"/>
        <item x="38"/>
        <item x="45"/>
        <item x="44"/>
        <item x="70"/>
        <item x="93"/>
        <item x="34"/>
        <item x="98"/>
        <item x="39"/>
        <item x="87"/>
        <item x="26"/>
        <item x="42"/>
        <item x="94"/>
        <item x="15"/>
        <item x="50"/>
        <item x="19"/>
        <item x="75"/>
        <item x="71"/>
        <item x="101"/>
        <item x="92"/>
        <item x="77"/>
        <item x="18"/>
        <item x="61"/>
        <item x="7"/>
        <item x="56"/>
        <item x="57"/>
        <item x="58"/>
        <item x="5"/>
        <item x="88"/>
        <item x="12"/>
        <item x="74"/>
        <item x="8"/>
        <item x="54"/>
        <item x="32"/>
        <item x="102"/>
        <item x="97"/>
        <item x="31"/>
        <item t="default"/>
      </items>
    </pivotField>
    <pivotField showAll="0"/>
    <pivotField axis="axisRow" showAll="0" sortType="ascending">
      <items count="13">
        <item h="1" x="10"/>
        <item h="1" x="11"/>
        <item x="1"/>
        <item x="0"/>
        <item x="5"/>
        <item x="9"/>
        <item x="7"/>
        <item x="4"/>
        <item x="6"/>
        <item x="3"/>
        <item x="8"/>
        <item x="2"/>
        <item t="default"/>
      </items>
    </pivotField>
    <pivotField showAll="0"/>
    <pivotField showAll="0"/>
    <pivotField showAll="0"/>
    <pivotField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9"/>
    <field x="7"/>
  </rowFields>
  <rowItems count="112">
    <i>
      <x v="2"/>
    </i>
    <i r="1">
      <x v="8"/>
    </i>
    <i r="1">
      <x v="51"/>
    </i>
    <i r="1">
      <x v="52"/>
    </i>
    <i r="1">
      <x v="57"/>
    </i>
    <i r="1">
      <x v="75"/>
    </i>
    <i r="1">
      <x v="78"/>
    </i>
    <i r="1">
      <x v="94"/>
    </i>
    <i>
      <x v="3"/>
    </i>
    <i r="1">
      <x v="13"/>
    </i>
    <i r="1">
      <x v="14"/>
    </i>
    <i r="1">
      <x v="43"/>
    </i>
    <i>
      <x v="4"/>
    </i>
    <i r="1">
      <x v="5"/>
    </i>
    <i r="1">
      <x v="34"/>
    </i>
    <i r="1">
      <x v="35"/>
    </i>
    <i r="1">
      <x v="39"/>
    </i>
    <i r="1">
      <x v="42"/>
    </i>
    <i r="1">
      <x v="49"/>
    </i>
    <i r="1">
      <x v="55"/>
    </i>
    <i r="1">
      <x v="67"/>
    </i>
    <i r="1">
      <x v="85"/>
    </i>
    <i r="1">
      <x v="89"/>
    </i>
    <i r="1">
      <x v="92"/>
    </i>
    <i>
      <x v="5"/>
    </i>
    <i r="1">
      <x v="4"/>
    </i>
    <i r="1">
      <x v="26"/>
    </i>
    <i r="1">
      <x v="38"/>
    </i>
    <i r="1">
      <x v="41"/>
    </i>
    <i r="1">
      <x v="48"/>
    </i>
    <i r="1">
      <x v="50"/>
    </i>
    <i r="1">
      <x v="54"/>
    </i>
    <i r="1">
      <x v="58"/>
    </i>
    <i r="1">
      <x v="62"/>
    </i>
    <i r="1">
      <x v="64"/>
    </i>
    <i r="1">
      <x v="69"/>
    </i>
    <i r="1">
      <x v="70"/>
    </i>
    <i r="1">
      <x v="71"/>
    </i>
    <i r="1">
      <x v="84"/>
    </i>
    <i r="1">
      <x v="88"/>
    </i>
    <i r="1">
      <x v="91"/>
    </i>
    <i>
      <x v="6"/>
    </i>
    <i r="1">
      <x v="3"/>
    </i>
    <i r="1">
      <x v="16"/>
    </i>
    <i r="1">
      <x v="25"/>
    </i>
    <i r="1">
      <x v="37"/>
    </i>
    <i r="1">
      <x v="40"/>
    </i>
    <i r="1">
      <x v="47"/>
    </i>
    <i r="1">
      <x v="53"/>
    </i>
    <i r="1">
      <x v="63"/>
    </i>
    <i r="1">
      <x v="79"/>
    </i>
    <i r="1">
      <x v="83"/>
    </i>
    <i r="1">
      <x v="87"/>
    </i>
    <i r="1">
      <x v="90"/>
    </i>
    <i>
      <x v="7"/>
    </i>
    <i r="1">
      <x/>
    </i>
    <i r="1">
      <x v="1"/>
    </i>
    <i r="1">
      <x v="2"/>
    </i>
    <i r="1">
      <x v="9"/>
    </i>
    <i r="1">
      <x v="23"/>
    </i>
    <i r="1">
      <x v="29"/>
    </i>
    <i r="1">
      <x v="32"/>
    </i>
    <i r="1">
      <x v="33"/>
    </i>
    <i r="1">
      <x v="66"/>
    </i>
    <i r="1">
      <x v="68"/>
    </i>
    <i r="1">
      <x v="81"/>
    </i>
    <i r="1">
      <x v="93"/>
    </i>
    <i r="1">
      <x v="96"/>
    </i>
    <i r="1">
      <x v="97"/>
    </i>
    <i>
      <x v="8"/>
    </i>
    <i r="1">
      <x v="6"/>
    </i>
    <i r="1">
      <x v="7"/>
    </i>
    <i r="1">
      <x v="10"/>
    </i>
    <i r="1">
      <x v="11"/>
    </i>
    <i r="1">
      <x v="12"/>
    </i>
    <i r="1">
      <x v="19"/>
    </i>
    <i r="1">
      <x v="27"/>
    </i>
    <i r="1">
      <x v="36"/>
    </i>
    <i r="1">
      <x v="44"/>
    </i>
    <i r="1">
      <x v="45"/>
    </i>
    <i r="1">
      <x v="46"/>
    </i>
    <i r="1">
      <x v="59"/>
    </i>
    <i r="1">
      <x v="72"/>
    </i>
    <i r="1">
      <x v="74"/>
    </i>
    <i r="1">
      <x v="77"/>
    </i>
    <i r="1">
      <x v="80"/>
    </i>
    <i r="1">
      <x v="86"/>
    </i>
    <i r="1">
      <x v="98"/>
    </i>
    <i r="1">
      <x v="102"/>
    </i>
    <i>
      <x v="9"/>
    </i>
    <i r="1">
      <x v="20"/>
    </i>
    <i r="1">
      <x v="21"/>
    </i>
    <i r="1">
      <x v="22"/>
    </i>
    <i r="1">
      <x v="24"/>
    </i>
    <i r="1">
      <x v="76"/>
    </i>
    <i r="1">
      <x v="95"/>
    </i>
    <i r="1">
      <x v="99"/>
    </i>
    <i r="1">
      <x v="101"/>
    </i>
    <i>
      <x v="10"/>
    </i>
    <i r="1">
      <x v="28"/>
    </i>
    <i r="1">
      <x v="30"/>
    </i>
    <i r="1">
      <x v="31"/>
    </i>
    <i r="1">
      <x v="56"/>
    </i>
    <i r="1">
      <x v="60"/>
    </i>
    <i r="1">
      <x v="61"/>
    </i>
    <i>
      <x v="11"/>
    </i>
    <i r="1">
      <x v="15"/>
    </i>
    <i r="1">
      <x v="17"/>
    </i>
    <i r="1">
      <x v="18"/>
    </i>
    <i r="1">
      <x v="65"/>
    </i>
    <i r="1">
      <x v="73"/>
    </i>
    <i t="grand">
      <x/>
    </i>
  </rowItems>
  <colFields count="1">
    <field x="14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oma de Vlr Despesa" fld="5" baseField="6" baseItem="0" numFmtId="172"/>
  </dataFields>
  <formats count="30"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14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6" type="button" dataOnly="0" labelOnly="1" outline="0"/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14" count="7">
            <x v="1"/>
            <x v="2"/>
            <x v="3"/>
            <x v="4"/>
            <x v="5"/>
            <x v="6"/>
            <x v="7"/>
          </reference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14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6" type="button" dataOnly="0" labelOnly="1" outline="0"/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14" count="7">
            <x v="1"/>
            <x v="2"/>
            <x v="3"/>
            <x v="4"/>
            <x v="5"/>
            <x v="6"/>
            <x v="7"/>
          </reference>
        </references>
      </pivotArea>
    </format>
    <format dxfId="65">
      <pivotArea dataOnly="0" labelOnly="1" grandCol="1" outline="0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6" type="button" dataOnly="0" labelOnly="1" outline="0"/>
    </format>
    <format dxfId="61">
      <pivotArea dataOnly="0" labelOnly="1" fieldPosition="0">
        <references count="1">
          <reference field="14" count="7">
            <x v="1"/>
            <x v="2"/>
            <x v="3"/>
            <x v="4"/>
            <x v="5"/>
            <x v="6"/>
            <x v="7"/>
          </reference>
        </references>
      </pivotArea>
    </format>
    <format dxfId="60">
      <pivotArea type="origin" dataOnly="0" labelOnly="1" outline="0" fieldPosition="0"/>
    </format>
    <format dxfId="59">
      <pivotArea field="14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9" type="button" dataOnly="0" labelOnly="1" outline="0" axis="axisRow" fieldPosition="0"/>
    </format>
    <format dxfId="56">
      <pivotArea dataOnly="0" labelOnly="1" fieldPosition="0">
        <references count="1">
          <reference field="14" count="4">
            <x v="1"/>
            <x v="2"/>
            <x v="3"/>
            <x v="4"/>
          </reference>
        </references>
      </pivotArea>
    </format>
    <format dxfId="55">
      <pivotArea dataOnly="0" labelOnly="1" grandCol="1" outline="0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refreshOnLoad="1" connectionId="1" xr16:uid="{3C378AEC-28AC-4A21-BE7A-C174CA43CC7C}" autoFormatId="16" applyNumberFormats="0" applyBorderFormats="0" applyFontFormats="0" applyPatternFormats="0" applyAlignmentFormats="0" applyWidthHeightFormats="0">
  <queryTableRefresh nextId="17" unboundColumnsRight="6">
    <queryTableFields count="13">
      <queryTableField id="1" name="Cód." tableColumnId="1"/>
      <queryTableField id="2" name="Emp" tableColumnId="2"/>
      <queryTableField id="3" name="Nro Doc." tableColumnId="3"/>
      <queryTableField id="4" name="Dt. Entrada" tableColumnId="4"/>
      <queryTableField id="5" name="Fornecedor" tableColumnId="5"/>
      <queryTableField id="6" name="Vlr Despesa" tableColumnId="6"/>
      <queryTableField id="7" name="Plano de Contas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A1964-1A1E-4C4F-B053-AD76D790F2BC}" name="DESPESAS" displayName="DESPESAS" ref="A1:M4126" tableType="queryTable" totalsRowShown="0">
  <autoFilter ref="A1:M4126" xr:uid="{8A3E6948-5E4A-4037-B4A1-C2E368C64E19}"/>
  <tableColumns count="13">
    <tableColumn id="1" xr3:uid="{5558651C-AED3-4D21-A57B-A96B9CCA4848}" uniqueName="1" name="Cód." queryTableFieldId="1" dataDxfId="48" dataCellStyle="Normal 2"/>
    <tableColumn id="2" xr3:uid="{70719C12-030B-4ABD-BC6D-C651A7F50C1A}" uniqueName="2" name="Emp" queryTableFieldId="2" dataDxfId="47" dataCellStyle="Normal 2"/>
    <tableColumn id="3" xr3:uid="{C2F32031-8862-4EBE-83F4-C0D0A3C7307D}" uniqueName="3" name="Nro Doc." queryTableFieldId="3" dataDxfId="46" dataCellStyle="Normal 2"/>
    <tableColumn id="4" xr3:uid="{C03D644D-A548-402F-B870-20C35876A5D5}" uniqueName="4" name="Dt. Entrada" queryTableFieldId="4" dataDxfId="45" dataCellStyle="Normal 2"/>
    <tableColumn id="5" xr3:uid="{4D60CA2F-A180-401C-B323-4237259F754E}" uniqueName="5" name="Fornecedor" queryTableFieldId="5" dataDxfId="44" dataCellStyle="Normal 2"/>
    <tableColumn id="6" xr3:uid="{F6735CCE-86C3-4780-B207-8820679D8F64}" uniqueName="6" name="Vlr Despesa" queryTableFieldId="6" dataDxfId="43" dataCellStyle="Normal 2"/>
    <tableColumn id="7" xr3:uid="{63906597-1129-4DB6-A97F-B75D000B1DBE}" uniqueName="7" name="Plano de Contas" queryTableFieldId="7" dataDxfId="42" dataCellStyle="Normal 2"/>
    <tableColumn id="8" xr3:uid="{C03F07F6-54BF-4CCE-B94B-789C6815ABEA}" uniqueName="8" name="Conta" queryTableFieldId="8" dataDxfId="41" dataCellStyle="Normal 2">
      <calculatedColumnFormula>VLOOKUP(DESPESAS[[#This Row],[Plano de Contas]],BASE!$B$3:$D$119,3,FALSE)</calculatedColumnFormula>
    </tableColumn>
    <tableColumn id="9" xr3:uid="{88C44160-A533-4153-8FC7-E689FB6E6A07}" uniqueName="9" name="MÁQUINA2" queryTableFieldId="9" dataDxfId="40" dataCellStyle="Normal 2">
      <calculatedColumnFormula>IFERROR(VLOOKUP(DESPESAS[[#This Row],[Fornecedor]],Tabela2[],2,FALSE),"")</calculatedColumnFormula>
    </tableColumn>
    <tableColumn id="10" xr3:uid="{E886B38D-D28D-4416-9093-29AAFA23A416}" uniqueName="10" name="CENTRO DE CUSTO" queryTableFieldId="10" dataDxfId="39" dataCellStyle="Normal 2">
      <calculatedColumnFormula>IFERROR(VLOOKUP(DESPESAS[[#This Row],[Plano de Contas]],BASE!$B$3:$F$119,4,FALSE),"")</calculatedColumnFormula>
    </tableColumn>
    <tableColumn id="11" xr3:uid="{655F04C8-5CFC-41E2-9B67-C235288BB1EB}" uniqueName="11" name="SETOR" queryTableFieldId="11" dataDxfId="38" dataCellStyle="Normal 2">
      <calculatedColumnFormula>IFERROR(VLOOKUP(DESPESAS[[#This Row],[Plano de Contas]],BASE!$B$3:$H$119,5,FALSE),"")</calculatedColumnFormula>
    </tableColumn>
    <tableColumn id="12" xr3:uid="{8E8BA8AE-C8F1-429D-8884-7B8461721FE6}" uniqueName="12" name="TAG" queryTableFieldId="12" dataDxfId="37" dataCellStyle="Normal 2">
      <calculatedColumnFormula>IFERROR(VLOOKUP(DESPESAS[[#This Row],[Plano de Contas]],BASE!$B$3:$H$119,6,FALSE),"")</calculatedColumnFormula>
    </tableColumn>
    <tableColumn id="13" xr3:uid="{970921DB-D358-4070-B74B-7A9EF67FAC56}" uniqueName="13" name="RESPONSÁVEL" queryTableFieldId="13" dataDxfId="36" dataCellStyle="Normal 2">
      <calculatedColumnFormula>VLOOKUP(DESPESAS[[#This Row],[Plano de Contas]],BASE!$B$3:$H$119,7,FALSE)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13BC5-2607-4843-91CE-9967E972106D}" name="Tabela2" displayName="Tabela2" ref="A2:B51" totalsRowShown="0" headerRowDxfId="52" dataDxfId="51">
  <autoFilter ref="A2:B51" xr:uid="{0740C57F-2221-43AA-B0C3-07E8B475D85E}"/>
  <sortState xmlns:xlrd2="http://schemas.microsoft.com/office/spreadsheetml/2017/richdata2" ref="A3:B37">
    <sortCondition ref="B2:B37"/>
  </sortState>
  <tableColumns count="2">
    <tableColumn id="1" xr3:uid="{794789CA-108E-4161-BD54-1A976730031F}" name="FORNECEDOR" dataDxfId="50"/>
    <tableColumn id="2" xr3:uid="{59994729-2E89-49F8-B0A1-9801FB425726}" name="MÁQUINA" dataDxfId="49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32606B-92DD-4595-BB15-6B3BF7B8928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8aa524d-4dbd-46e3-a26f-e5157eb200d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83FE-FD9A-4366-AB3B-A6F3F0CDB123}">
  <dimension ref="A1:F2"/>
  <sheetViews>
    <sheetView workbookViewId="0"/>
  </sheetViews>
  <sheetFormatPr defaultRowHeight="15" x14ac:dyDescent="0.25"/>
  <cols>
    <col min="1" max="1" width="5.85546875" bestFit="1" customWidth="1"/>
    <col min="2" max="2" width="10.28515625" bestFit="1" customWidth="1"/>
    <col min="3" max="3" width="116.5703125" bestFit="1" customWidth="1"/>
    <col min="4" max="4" width="146.140625" bestFit="1" customWidth="1"/>
    <col min="5" max="5" width="173.7109375" bestFit="1" customWidth="1"/>
    <col min="6" max="6" width="90.7109375" bestFit="1" customWidth="1"/>
  </cols>
  <sheetData>
    <row r="1" spans="1:6" x14ac:dyDescent="0.25">
      <c r="A1" s="3" t="s">
        <v>3653</v>
      </c>
      <c r="B1" s="3" t="s">
        <v>3654</v>
      </c>
      <c r="C1" s="3" t="s">
        <v>3655</v>
      </c>
      <c r="D1" s="3" t="s">
        <v>3656</v>
      </c>
      <c r="E1" s="3" t="s">
        <v>3657</v>
      </c>
      <c r="F1" s="3" t="s">
        <v>3658</v>
      </c>
    </row>
    <row r="2" spans="1:6" x14ac:dyDescent="0.25">
      <c r="A2">
        <v>1</v>
      </c>
      <c r="B2" s="64">
        <v>46139</v>
      </c>
      <c r="C2" t="s">
        <v>3659</v>
      </c>
      <c r="D2" t="s">
        <v>3660</v>
      </c>
      <c r="E2" t="s">
        <v>3661</v>
      </c>
      <c r="F2" t="s">
        <v>3662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001F-DEBE-4485-B61A-2E77155FDFFC}">
  <sheetPr>
    <tabColor theme="9" tint="0.79998168889431442"/>
  </sheetPr>
  <dimension ref="B2:BA166"/>
  <sheetViews>
    <sheetView showGridLines="0" tabSelected="1" zoomScaleNormal="100" workbookViewId="0">
      <pane xSplit="9" ySplit="10" topLeftCell="W11" activePane="bottomRight" state="frozen"/>
      <selection pane="topRight" activeCell="F1" sqref="F1"/>
      <selection pane="bottomLeft" activeCell="A9" sqref="A9"/>
      <selection pane="bottomRight" activeCell="AB26" sqref="AB26"/>
    </sheetView>
  </sheetViews>
  <sheetFormatPr defaultRowHeight="15" outlineLevelRow="2" outlineLevelCol="1" x14ac:dyDescent="0.25"/>
  <cols>
    <col min="1" max="1" width="5.7109375" customWidth="1"/>
    <col min="2" max="2" width="4.28515625" style="17" hidden="1" customWidth="1" outlineLevel="1"/>
    <col min="3" max="3" width="3" hidden="1" customWidth="1" outlineLevel="1"/>
    <col min="4" max="4" width="3.28515625" hidden="1" customWidth="1" outlineLevel="1"/>
    <col min="5" max="5" width="16.85546875" style="17" hidden="1" customWidth="1" outlineLevel="1"/>
    <col min="6" max="6" width="11.28515625" style="31" hidden="1" customWidth="1" outlineLevel="1"/>
    <col min="7" max="7" width="8.85546875" hidden="1" customWidth="1" outlineLevel="1"/>
    <col min="8" max="8" width="11.7109375" bestFit="1" customWidth="1" outlineLevel="1"/>
    <col min="9" max="9" width="47" bestFit="1" customWidth="1"/>
    <col min="10" max="10" width="11.5703125" style="6" hidden="1" customWidth="1"/>
    <col min="11" max="11" width="8.28515625" style="37" hidden="1" customWidth="1"/>
    <col min="12" max="12" width="11.5703125" style="6" hidden="1" customWidth="1"/>
    <col min="13" max="13" width="7.42578125" style="15" hidden="1" customWidth="1"/>
    <col min="14" max="14" width="11.5703125" style="6" bestFit="1" customWidth="1"/>
    <col min="15" max="15" width="7.42578125" style="15" bestFit="1" customWidth="1"/>
    <col min="16" max="16" width="14.7109375" style="15" bestFit="1" customWidth="1"/>
    <col min="17" max="17" width="12.140625" style="15" bestFit="1" customWidth="1"/>
    <col min="18" max="18" width="11.5703125" style="6" bestFit="1" customWidth="1"/>
    <col min="19" max="19" width="7.42578125" style="15" bestFit="1" customWidth="1"/>
    <col min="20" max="20" width="12.5703125" style="15" bestFit="1" customWidth="1"/>
    <col min="21" max="21" width="12.140625" style="15" bestFit="1" customWidth="1"/>
    <col min="22" max="22" width="11.5703125" style="6" bestFit="1" customWidth="1"/>
    <col min="23" max="23" width="7.42578125" style="15" bestFit="1" customWidth="1"/>
    <col min="24" max="24" width="12.5703125" style="15" bestFit="1" customWidth="1"/>
    <col min="25" max="25" width="12.140625" style="15" bestFit="1" customWidth="1"/>
    <col min="26" max="26" width="11.5703125" style="6" customWidth="1"/>
    <col min="27" max="27" width="7.42578125" style="15" customWidth="1"/>
    <col min="28" max="28" width="12.5703125" style="15" bestFit="1" customWidth="1"/>
    <col min="29" max="29" width="12.140625" style="15" bestFit="1" customWidth="1"/>
    <col min="30" max="30" width="11.5703125" style="6" customWidth="1"/>
    <col min="31" max="31" width="7.42578125" style="15" customWidth="1"/>
    <col min="32" max="32" width="12.5703125" style="15" bestFit="1" customWidth="1"/>
    <col min="33" max="33" width="12.140625" style="15" bestFit="1" customWidth="1"/>
    <col min="34" max="34" width="11.5703125" style="6" customWidth="1"/>
    <col min="35" max="35" width="7.42578125" style="15" customWidth="1"/>
    <col min="36" max="36" width="11.5703125" style="6" customWidth="1"/>
    <col min="37" max="37" width="7.42578125" style="15" customWidth="1"/>
    <col min="38" max="38" width="11.5703125" style="6" customWidth="1"/>
    <col min="39" max="39" width="7.42578125" style="15" customWidth="1"/>
    <col min="40" max="40" width="11.5703125" style="6" customWidth="1"/>
    <col min="41" max="41" width="7.42578125" style="15" customWidth="1"/>
    <col min="42" max="42" width="11.5703125" style="6" customWidth="1"/>
    <col min="43" max="43" width="7.42578125" style="15" customWidth="1"/>
    <col min="44" max="44" width="11.5703125" style="6" customWidth="1"/>
    <col min="45" max="45" width="7.42578125" style="15" customWidth="1"/>
    <col min="46" max="46" width="11.5703125" style="6" customWidth="1"/>
    <col min="47" max="47" width="7.42578125" style="15" customWidth="1"/>
    <col min="48" max="48" width="3.7109375" style="27" customWidth="1"/>
    <col min="49" max="49" width="12.7109375" style="6" customWidth="1"/>
    <col min="50" max="50" width="7.42578125" style="15" customWidth="1"/>
    <col min="51" max="51" width="12.7109375" style="6" customWidth="1"/>
    <col min="52" max="52" width="11" bestFit="1" customWidth="1"/>
  </cols>
  <sheetData>
    <row r="2" spans="2:53" x14ac:dyDescent="0.25">
      <c r="I2" s="3" t="s">
        <v>144</v>
      </c>
    </row>
    <row r="3" spans="2:53" x14ac:dyDescent="0.25">
      <c r="I3" s="3" t="s">
        <v>164</v>
      </c>
      <c r="J3" s="20" t="s">
        <v>165</v>
      </c>
      <c r="L3" s="20" t="s">
        <v>166</v>
      </c>
      <c r="N3" s="20" t="s">
        <v>167</v>
      </c>
      <c r="R3" s="20" t="s">
        <v>168</v>
      </c>
      <c r="V3" s="20" t="s">
        <v>169</v>
      </c>
      <c r="Z3" s="20" t="s">
        <v>170</v>
      </c>
      <c r="AD3" s="20" t="s">
        <v>171</v>
      </c>
      <c r="AH3" s="20" t="s">
        <v>172</v>
      </c>
      <c r="AJ3" s="20" t="s">
        <v>173</v>
      </c>
      <c r="AL3" s="20" t="s">
        <v>174</v>
      </c>
      <c r="AN3" s="20" t="s">
        <v>175</v>
      </c>
      <c r="AP3" s="20" t="s">
        <v>176</v>
      </c>
      <c r="AR3" s="20" t="s">
        <v>177</v>
      </c>
      <c r="AT3" s="20" t="s">
        <v>178</v>
      </c>
      <c r="AW3" s="6">
        <v>-27948522.454770602</v>
      </c>
      <c r="AZ3" s="6"/>
    </row>
    <row r="4" spans="2:53" x14ac:dyDescent="0.25">
      <c r="I4" s="3"/>
      <c r="J4" s="44" t="s">
        <v>157</v>
      </c>
      <c r="K4" s="43"/>
      <c r="L4" s="44" t="s">
        <v>157</v>
      </c>
      <c r="M4" s="43"/>
      <c r="N4" s="72" t="s">
        <v>157</v>
      </c>
      <c r="O4" s="72"/>
      <c r="P4" s="73" t="s">
        <v>158</v>
      </c>
      <c r="Q4" s="73"/>
      <c r="R4" s="44" t="s">
        <v>157</v>
      </c>
      <c r="S4" s="43"/>
      <c r="T4" s="73" t="s">
        <v>158</v>
      </c>
      <c r="U4" s="73"/>
      <c r="V4" s="44" t="s">
        <v>157</v>
      </c>
      <c r="W4" s="43"/>
      <c r="X4" s="73" t="s">
        <v>158</v>
      </c>
      <c r="Y4" s="73"/>
      <c r="Z4" s="44" t="s">
        <v>157</v>
      </c>
      <c r="AA4" s="43"/>
      <c r="AB4" s="73" t="s">
        <v>158</v>
      </c>
      <c r="AC4" s="73"/>
      <c r="AD4" s="44" t="s">
        <v>157</v>
      </c>
      <c r="AE4" s="43"/>
      <c r="AF4" s="73" t="s">
        <v>158</v>
      </c>
      <c r="AG4" s="73"/>
      <c r="AH4" s="44" t="s">
        <v>157</v>
      </c>
      <c r="AI4" s="43"/>
      <c r="AJ4" s="44" t="s">
        <v>157</v>
      </c>
      <c r="AK4" s="43"/>
      <c r="AL4" s="44" t="s">
        <v>157</v>
      </c>
      <c r="AM4" s="43"/>
      <c r="AN4" s="44" t="s">
        <v>157</v>
      </c>
      <c r="AO4" s="43"/>
      <c r="AP4" s="44" t="s">
        <v>157</v>
      </c>
      <c r="AQ4" s="43"/>
      <c r="AR4" s="44" t="s">
        <v>157</v>
      </c>
      <c r="AS4" s="43"/>
      <c r="AT4" s="44" t="s">
        <v>157</v>
      </c>
      <c r="AU4" s="43"/>
    </row>
    <row r="5" spans="2:53" s="10" customFormat="1" x14ac:dyDescent="0.25">
      <c r="F5" s="32"/>
      <c r="J5" s="12">
        <v>45962</v>
      </c>
      <c r="K5" s="38" t="s">
        <v>138</v>
      </c>
      <c r="L5" s="12">
        <v>45992</v>
      </c>
      <c r="M5" s="13" t="s">
        <v>138</v>
      </c>
      <c r="N5" s="12">
        <v>46023</v>
      </c>
      <c r="O5" s="13" t="s">
        <v>138</v>
      </c>
      <c r="P5" s="12">
        <v>46023</v>
      </c>
      <c r="Q5" s="18" t="s">
        <v>138</v>
      </c>
      <c r="R5" s="12">
        <v>46054</v>
      </c>
      <c r="S5" s="13" t="s">
        <v>138</v>
      </c>
      <c r="T5" s="12">
        <v>46054</v>
      </c>
      <c r="U5" s="18" t="s">
        <v>138</v>
      </c>
      <c r="V5" s="12">
        <v>46082</v>
      </c>
      <c r="W5" s="13" t="s">
        <v>138</v>
      </c>
      <c r="X5" s="12">
        <v>46082</v>
      </c>
      <c r="Y5" s="18" t="s">
        <v>138</v>
      </c>
      <c r="Z5" s="12">
        <v>46113</v>
      </c>
      <c r="AA5" s="13" t="s">
        <v>138</v>
      </c>
      <c r="AB5" s="12">
        <v>46113</v>
      </c>
      <c r="AC5" s="18" t="s">
        <v>138</v>
      </c>
      <c r="AD5" s="12">
        <v>46143</v>
      </c>
      <c r="AE5" s="13" t="s">
        <v>138</v>
      </c>
      <c r="AF5" s="12">
        <v>46143</v>
      </c>
      <c r="AG5" s="18" t="s">
        <v>138</v>
      </c>
      <c r="AH5" s="12">
        <v>46174</v>
      </c>
      <c r="AI5" s="13" t="s">
        <v>138</v>
      </c>
      <c r="AJ5" s="12">
        <v>46204</v>
      </c>
      <c r="AK5" s="13" t="s">
        <v>138</v>
      </c>
      <c r="AL5" s="12">
        <v>46235</v>
      </c>
      <c r="AM5" s="13" t="s">
        <v>138</v>
      </c>
      <c r="AN5" s="12">
        <v>46266</v>
      </c>
      <c r="AO5" s="13" t="s">
        <v>138</v>
      </c>
      <c r="AP5" s="12">
        <v>46296</v>
      </c>
      <c r="AQ5" s="13" t="s">
        <v>138</v>
      </c>
      <c r="AR5" s="12">
        <v>46327</v>
      </c>
      <c r="AS5" s="13" t="s">
        <v>138</v>
      </c>
      <c r="AT5" s="12">
        <v>46357</v>
      </c>
      <c r="AU5" s="13" t="s">
        <v>138</v>
      </c>
      <c r="AV5" s="16"/>
      <c r="AW5" s="10">
        <v>2026</v>
      </c>
      <c r="AX5" s="13" t="s">
        <v>138</v>
      </c>
      <c r="AY5" s="10" t="s">
        <v>143</v>
      </c>
    </row>
    <row r="6" spans="2:53" s="21" customFormat="1" hidden="1" outlineLevel="1" x14ac:dyDescent="0.25">
      <c r="F6" s="33"/>
      <c r="I6" s="21" t="s">
        <v>146</v>
      </c>
      <c r="J6" s="23">
        <v>32793.329313600108</v>
      </c>
      <c r="K6" s="39"/>
      <c r="L6" s="23">
        <v>25993.761437967893</v>
      </c>
      <c r="M6" s="24"/>
      <c r="N6" s="23">
        <v>20560.30357022335</v>
      </c>
      <c r="O6" s="24"/>
      <c r="P6" s="24"/>
      <c r="Q6" s="24"/>
      <c r="R6" s="23">
        <v>28477.133944241967</v>
      </c>
      <c r="S6" s="24"/>
      <c r="T6" s="24"/>
      <c r="U6" s="24"/>
      <c r="V6" s="23">
        <v>36152.604875306264</v>
      </c>
      <c r="W6" s="24"/>
      <c r="X6" s="24"/>
      <c r="Y6" s="24"/>
      <c r="Z6" s="23">
        <v>32373.38862145631</v>
      </c>
      <c r="AA6" s="24"/>
      <c r="AB6" s="24"/>
      <c r="AC6" s="24"/>
      <c r="AD6" s="23">
        <v>34928.871875710502</v>
      </c>
      <c r="AE6" s="24"/>
      <c r="AF6" s="24"/>
      <c r="AG6" s="24"/>
      <c r="AH6" s="23">
        <v>28747.411518631685</v>
      </c>
      <c r="AI6" s="24"/>
      <c r="AJ6" s="23">
        <v>28861.681146507122</v>
      </c>
      <c r="AK6" s="24"/>
      <c r="AL6" s="23">
        <v>33440.248657756063</v>
      </c>
      <c r="AM6" s="24"/>
      <c r="AN6" s="23">
        <v>38093.594988976969</v>
      </c>
      <c r="AO6" s="24"/>
      <c r="AP6" s="23">
        <v>38900.537366207689</v>
      </c>
      <c r="AQ6" s="24"/>
      <c r="AR6" s="23">
        <v>33860.639172142328</v>
      </c>
      <c r="AS6" s="24"/>
      <c r="AT6" s="23">
        <v>30093.749736746126</v>
      </c>
      <c r="AU6" s="24"/>
      <c r="AV6" s="28"/>
      <c r="AW6" s="24"/>
      <c r="AX6" s="24"/>
      <c r="AY6" s="24"/>
    </row>
    <row r="7" spans="2:53" s="10" customFormat="1" hidden="1" outlineLevel="1" x14ac:dyDescent="0.25">
      <c r="F7" s="32"/>
      <c r="I7" s="10" t="s">
        <v>147</v>
      </c>
      <c r="J7" s="23">
        <v>52896.000000000007</v>
      </c>
      <c r="K7" s="40"/>
      <c r="L7" s="23">
        <v>33408.000000000007</v>
      </c>
      <c r="M7" s="25"/>
      <c r="N7" s="23">
        <v>58464.000000000007</v>
      </c>
      <c r="O7" s="25"/>
      <c r="P7" s="25"/>
      <c r="Q7" s="25"/>
      <c r="R7" s="23">
        <v>55680.000000000007</v>
      </c>
      <c r="S7" s="25"/>
      <c r="T7" s="25"/>
      <c r="U7" s="25"/>
      <c r="V7" s="23">
        <v>64032</v>
      </c>
      <c r="W7" s="25"/>
      <c r="X7" s="25"/>
      <c r="Y7" s="25"/>
      <c r="Z7" s="23">
        <v>55680.000000000007</v>
      </c>
      <c r="AA7" s="25"/>
      <c r="AB7" s="25"/>
      <c r="AC7" s="25"/>
      <c r="AD7" s="23">
        <v>58464.000000000007</v>
      </c>
      <c r="AE7" s="25"/>
      <c r="AF7" s="25"/>
      <c r="AG7" s="25"/>
      <c r="AH7" s="23">
        <v>61248.000000000015</v>
      </c>
      <c r="AI7" s="25"/>
      <c r="AJ7" s="23">
        <v>64032</v>
      </c>
      <c r="AK7" s="25"/>
      <c r="AL7" s="23">
        <v>61248.000000000015</v>
      </c>
      <c r="AM7" s="25"/>
      <c r="AN7" s="23">
        <v>61248.000000000015</v>
      </c>
      <c r="AO7" s="25"/>
      <c r="AP7" s="23">
        <v>58464.000000000007</v>
      </c>
      <c r="AQ7" s="25"/>
      <c r="AR7" s="23">
        <v>55680.000000000007</v>
      </c>
      <c r="AS7" s="25"/>
      <c r="AT7" s="23">
        <v>33408.000000000007</v>
      </c>
      <c r="AU7" s="25"/>
      <c r="AV7" s="29"/>
      <c r="AW7" s="17"/>
      <c r="AX7" s="25"/>
      <c r="AY7" s="17"/>
    </row>
    <row r="8" spans="2:53" s="22" customFormat="1" hidden="1" outlineLevel="1" x14ac:dyDescent="0.25">
      <c r="F8" s="34"/>
      <c r="I8" s="22" t="s">
        <v>142</v>
      </c>
      <c r="J8" s="26">
        <v>0.61995858502722523</v>
      </c>
      <c r="K8" s="40"/>
      <c r="L8" s="26">
        <v>0.77806996641426862</v>
      </c>
      <c r="M8" s="26"/>
      <c r="N8" s="26">
        <v>0.35167459582346994</v>
      </c>
      <c r="O8" s="26"/>
      <c r="P8" s="26"/>
      <c r="Q8" s="26"/>
      <c r="R8" s="26">
        <v>0.51144277917101222</v>
      </c>
      <c r="S8" s="26"/>
      <c r="T8" s="26"/>
      <c r="U8" s="26"/>
      <c r="V8" s="26">
        <v>0.56460215010160952</v>
      </c>
      <c r="W8" s="26"/>
      <c r="X8" s="26"/>
      <c r="Y8" s="26"/>
      <c r="Z8" s="26">
        <v>0.58141861748305146</v>
      </c>
      <c r="AA8" s="26"/>
      <c r="AB8" s="26"/>
      <c r="AC8" s="26"/>
      <c r="AD8" s="26">
        <v>0.59744238977337327</v>
      </c>
      <c r="AE8" s="26"/>
      <c r="AF8" s="26"/>
      <c r="AG8" s="26"/>
      <c r="AH8" s="26">
        <v>0.46936082024934167</v>
      </c>
      <c r="AI8" s="26"/>
      <c r="AJ8" s="26">
        <v>0.45073839871481636</v>
      </c>
      <c r="AK8" s="26"/>
      <c r="AL8" s="26">
        <v>0.54598107134528562</v>
      </c>
      <c r="AM8" s="26"/>
      <c r="AN8" s="26">
        <v>0.62195655350341172</v>
      </c>
      <c r="AO8" s="26"/>
      <c r="AP8" s="26">
        <v>0.6653759128045923</v>
      </c>
      <c r="AQ8" s="26"/>
      <c r="AR8" s="26">
        <v>0.60812929547669403</v>
      </c>
      <c r="AS8" s="26"/>
      <c r="AT8" s="26">
        <v>0.90079471194762095</v>
      </c>
      <c r="AU8" s="26"/>
      <c r="AV8" s="30"/>
      <c r="AW8" s="26"/>
      <c r="AX8" s="26"/>
      <c r="AY8" s="26"/>
    </row>
    <row r="9" spans="2:53" s="10" customFormat="1" collapsed="1" x14ac:dyDescent="0.25">
      <c r="C9" s="19" t="s">
        <v>141</v>
      </c>
      <c r="D9" s="19"/>
      <c r="F9" s="32"/>
      <c r="J9" s="12"/>
      <c r="K9" s="38"/>
      <c r="L9" s="12"/>
      <c r="M9" s="13"/>
      <c r="N9" s="12"/>
      <c r="O9" s="13"/>
      <c r="P9" s="13"/>
      <c r="Q9" s="13"/>
      <c r="R9" s="12"/>
      <c r="S9" s="13"/>
      <c r="T9" s="13"/>
      <c r="U9" s="13"/>
      <c r="V9" s="12"/>
      <c r="W9" s="13"/>
      <c r="X9" s="13"/>
      <c r="Y9" s="13"/>
      <c r="Z9" s="12"/>
      <c r="AA9" s="13"/>
      <c r="AB9" s="13"/>
      <c r="AC9" s="13"/>
      <c r="AD9" s="12"/>
      <c r="AE9" s="13"/>
      <c r="AF9" s="13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6"/>
      <c r="AX9" s="13"/>
    </row>
    <row r="10" spans="2:53" s="3" customFormat="1" x14ac:dyDescent="0.25">
      <c r="B10" s="36" t="s">
        <v>151</v>
      </c>
      <c r="C10" s="36" t="s">
        <v>153</v>
      </c>
      <c r="D10" s="36" t="s">
        <v>154</v>
      </c>
      <c r="E10" s="10" t="s">
        <v>139</v>
      </c>
      <c r="F10" s="11" t="s">
        <v>140</v>
      </c>
      <c r="H10" s="3" t="s">
        <v>159</v>
      </c>
      <c r="I10" s="4" t="s">
        <v>0</v>
      </c>
      <c r="J10" s="7">
        <v>2500000</v>
      </c>
      <c r="K10" s="41">
        <v>1</v>
      </c>
      <c r="L10" s="7">
        <v>2000000</v>
      </c>
      <c r="M10" s="14">
        <v>1</v>
      </c>
      <c r="N10" s="7">
        <v>1623446.9589411858</v>
      </c>
      <c r="O10" s="14">
        <v>1</v>
      </c>
      <c r="P10" s="7">
        <v>1505833.98</v>
      </c>
      <c r="Q10" s="14">
        <f>P10/N10-1</f>
        <v>-7.2446456161335382E-2</v>
      </c>
      <c r="R10" s="7">
        <v>2225988.0159514034</v>
      </c>
      <c r="S10" s="14">
        <v>1</v>
      </c>
      <c r="T10" s="7">
        <v>2046711.43</v>
      </c>
      <c r="U10" s="14">
        <f>T10/R10-1</f>
        <v>-8.0537983433293214E-2</v>
      </c>
      <c r="V10" s="7">
        <v>2800428.7200932074</v>
      </c>
      <c r="W10" s="14">
        <v>1</v>
      </c>
      <c r="X10" s="7">
        <v>2626243.3999999994</v>
      </c>
      <c r="Y10" s="14">
        <f>X10/V10-1</f>
        <v>-6.2199519253398616E-2</v>
      </c>
      <c r="Z10" s="7">
        <v>2446309.8331654198</v>
      </c>
      <c r="AA10" s="14">
        <v>1</v>
      </c>
      <c r="AB10" s="7">
        <v>2327111.83</v>
      </c>
      <c r="AC10" s="14">
        <f>AB10/Z10-1</f>
        <v>-4.8725636282621942E-2</v>
      </c>
      <c r="AD10" s="7">
        <v>2562865.1436107517</v>
      </c>
      <c r="AE10" s="14">
        <v>1</v>
      </c>
      <c r="AF10" s="7">
        <v>430572.21</v>
      </c>
      <c r="AG10" s="14">
        <f>AF10/AD10-1</f>
        <v>-0.83199576026330502</v>
      </c>
      <c r="AH10" s="7">
        <v>2217691.4687762</v>
      </c>
      <c r="AI10" s="14">
        <v>1</v>
      </c>
      <c r="AJ10" s="7">
        <v>2246169.4501190959</v>
      </c>
      <c r="AK10" s="14">
        <v>1</v>
      </c>
      <c r="AL10" s="7">
        <v>2691085.5778117538</v>
      </c>
      <c r="AM10" s="14">
        <v>1</v>
      </c>
      <c r="AN10" s="7">
        <v>2979407.8453187691</v>
      </c>
      <c r="AO10" s="14">
        <v>1</v>
      </c>
      <c r="AP10" s="7">
        <v>3011564.502699113</v>
      </c>
      <c r="AQ10" s="14">
        <v>1</v>
      </c>
      <c r="AR10" s="7">
        <v>2738571.5974580734</v>
      </c>
      <c r="AS10" s="14">
        <v>1</v>
      </c>
      <c r="AT10" s="7">
        <v>2456470.8860550248</v>
      </c>
      <c r="AU10" s="14">
        <v>1</v>
      </c>
      <c r="AV10" s="16"/>
      <c r="AW10" s="7">
        <v>30000000</v>
      </c>
      <c r="AX10" s="14">
        <v>1</v>
      </c>
      <c r="AY10" s="7">
        <v>2500000</v>
      </c>
      <c r="BA10" s="8"/>
    </row>
    <row r="12" spans="2:53" s="3" customFormat="1" x14ac:dyDescent="0.25">
      <c r="B12" s="10"/>
      <c r="E12" s="10"/>
      <c r="F12" s="32"/>
      <c r="I12" s="4" t="s">
        <v>1</v>
      </c>
      <c r="J12" s="7">
        <v>-194500</v>
      </c>
      <c r="K12" s="41">
        <v>-7.7799999999999994E-2</v>
      </c>
      <c r="L12" s="7">
        <v>-155600</v>
      </c>
      <c r="M12" s="14">
        <v>-7.7799999999999994E-2</v>
      </c>
      <c r="N12" s="7">
        <v>-126304.17340562426</v>
      </c>
      <c r="O12" s="14">
        <v>-7.7799999999999994E-2</v>
      </c>
      <c r="P12" s="7">
        <f>SUM(P13:P19)</f>
        <v>136035.24</v>
      </c>
      <c r="Q12" s="14">
        <f t="shared" ref="Q12:Q18" si="0">IFERROR((P12*-1)/N12-1,"")</f>
        <v>7.7044695610528624E-2</v>
      </c>
      <c r="R12" s="7">
        <v>-173181.8676410192</v>
      </c>
      <c r="S12" s="14">
        <v>-7.7800000000000008E-2</v>
      </c>
      <c r="T12" s="7">
        <f>SUM(T13:T19)</f>
        <v>115564.43000000002</v>
      </c>
      <c r="U12" s="14">
        <f t="shared" ref="U12:U19" si="1">IFERROR((T12*-1)/R12-1,"")</f>
        <v>-0.33269901997160434</v>
      </c>
      <c r="V12" s="7">
        <v>-217873.35442325153</v>
      </c>
      <c r="W12" s="14">
        <v>-7.7799999999999994E-2</v>
      </c>
      <c r="X12" s="7">
        <f>SUM(X13:X19)</f>
        <v>169337.99000000002</v>
      </c>
      <c r="Y12" s="14">
        <f t="shared" ref="Y12:Y19" si="2">IFERROR((X12*-1)/V12-1,"")</f>
        <v>-0.2227687022661996</v>
      </c>
      <c r="Z12" s="7">
        <v>-190322.90502026965</v>
      </c>
      <c r="AA12" s="14">
        <v>-7.7799999999999994E-2</v>
      </c>
      <c r="AB12" s="7">
        <f>SUM(AB13:AB19)</f>
        <v>140077.9</v>
      </c>
      <c r="AC12" s="14">
        <f t="shared" ref="AC12:AC19" si="3">IFERROR((AB12*-1)/Z12-1,"")</f>
        <v>-0.26399872897546672</v>
      </c>
      <c r="AD12" s="7">
        <v>-199390.90817291645</v>
      </c>
      <c r="AE12" s="14">
        <v>-7.779999999999998E-2</v>
      </c>
      <c r="AF12" s="7">
        <f>SUM(AF13:AF19)</f>
        <v>0</v>
      </c>
      <c r="AG12" s="14">
        <f t="shared" ref="AG12:AG19" si="4">IFERROR((AF12*-1)/AD12-1,"")</f>
        <v>-1</v>
      </c>
      <c r="AH12" s="7">
        <v>-172536.39627078836</v>
      </c>
      <c r="AI12" s="14">
        <v>-7.7800000000000008E-2</v>
      </c>
      <c r="AJ12" s="7">
        <v>-174751.98321926568</v>
      </c>
      <c r="AK12" s="14">
        <v>-7.7800000000000008E-2</v>
      </c>
      <c r="AL12" s="7">
        <v>-209366.45795375443</v>
      </c>
      <c r="AM12" s="14">
        <v>-7.7799999999999994E-2</v>
      </c>
      <c r="AN12" s="7">
        <v>-231797.93036580028</v>
      </c>
      <c r="AO12" s="14">
        <v>-7.7800000000000008E-2</v>
      </c>
      <c r="AP12" s="7">
        <v>-234299.71830999097</v>
      </c>
      <c r="AQ12" s="14">
        <v>-7.7799999999999994E-2</v>
      </c>
      <c r="AR12" s="7">
        <v>-213060.87028223812</v>
      </c>
      <c r="AS12" s="14">
        <v>-7.7800000000000008E-2</v>
      </c>
      <c r="AT12" s="7">
        <v>-191113.43493508094</v>
      </c>
      <c r="AU12" s="14">
        <v>-7.7800000000000008E-2</v>
      </c>
      <c r="AV12" s="16"/>
      <c r="AW12" s="7">
        <v>-2334000</v>
      </c>
      <c r="AX12" s="14">
        <v>-7.7799999999999994E-2</v>
      </c>
      <c r="AY12" s="7">
        <v>-194500</v>
      </c>
    </row>
    <row r="13" spans="2:53" outlineLevel="2" x14ac:dyDescent="0.25">
      <c r="B13" s="17" t="s">
        <v>145</v>
      </c>
      <c r="C13">
        <v>8</v>
      </c>
      <c r="D13">
        <v>9</v>
      </c>
      <c r="E13" s="17" t="s">
        <v>179</v>
      </c>
      <c r="F13" s="31">
        <v>-2.6200000000000001E-2</v>
      </c>
      <c r="H13" t="s">
        <v>162</v>
      </c>
      <c r="I13" s="2" t="s">
        <v>2</v>
      </c>
      <c r="J13" s="6">
        <v>-65500</v>
      </c>
      <c r="K13" s="37">
        <v>-2.6200000000000001E-2</v>
      </c>
      <c r="L13" s="6">
        <v>-52400</v>
      </c>
      <c r="M13" s="15">
        <v>-2.6200000000000001E-2</v>
      </c>
      <c r="N13" s="51">
        <f t="shared" ref="N13:N18" si="5">P$10*$F13</f>
        <v>-39452.850276000005</v>
      </c>
      <c r="O13" s="15">
        <v>-2.6200000000000001E-2</v>
      </c>
      <c r="P13" s="6">
        <f>IFERROR(VLOOKUP($I13,RESUMO!$A$3:$M$200,2,FALSE),"")</f>
        <v>52378.26</v>
      </c>
      <c r="Q13" s="46">
        <f t="shared" si="0"/>
        <v>0.32761662677291525</v>
      </c>
      <c r="R13" s="51">
        <f t="shared" ref="R13:R18" si="6">T$10*$F13</f>
        <v>-53623.839465999998</v>
      </c>
      <c r="S13" s="15">
        <v>-2.6200000000000001E-2</v>
      </c>
      <c r="T13" s="6">
        <f>IFERROR(VLOOKUP($I13,RESUMO!$A$3:$M$200,3,FALSE),"")</f>
        <v>71719.760000000009</v>
      </c>
      <c r="U13" s="46">
        <f t="shared" si="1"/>
        <v>0.33746036677350677</v>
      </c>
      <c r="V13" s="51">
        <f t="shared" ref="V13:V18" si="7">X$10*$F13</f>
        <v>-68807.577079999988</v>
      </c>
      <c r="W13" s="15">
        <v>-2.6200000000000005E-2</v>
      </c>
      <c r="X13" s="6">
        <f>IFERROR(VLOOKUP($I13,RESUMO!$A$3:$M$200,4,FALSE),"")</f>
        <v>81164.490000000005</v>
      </c>
      <c r="Y13" s="46">
        <f t="shared" si="2"/>
        <v>0.1795865142240527</v>
      </c>
      <c r="Z13" s="51">
        <f t="shared" ref="Z13:Z18" si="8">AB$10*$F13</f>
        <v>-60970.329946000005</v>
      </c>
      <c r="AA13" s="15">
        <v>-2.6200000000000001E-2</v>
      </c>
      <c r="AB13" s="6">
        <f>IFERROR(VLOOKUP($I13,RESUMO!$A$3:$M$200,5,FALSE),"")</f>
        <v>70210.77</v>
      </c>
      <c r="AC13" s="46">
        <f t="shared" si="3"/>
        <v>0.15155633998018447</v>
      </c>
      <c r="AD13" s="6">
        <v>-67147.066762601695</v>
      </c>
      <c r="AE13" s="15">
        <v>-2.6200000000000001E-2</v>
      </c>
      <c r="AF13" s="6">
        <f>IFERROR(VLOOKUP($I13,RESUMO!$A$3:$M$200,6,FALSE),"")</f>
        <v>0</v>
      </c>
      <c r="AG13" s="46">
        <f t="shared" si="4"/>
        <v>-1</v>
      </c>
      <c r="AH13" s="6">
        <v>-58103.516481936444</v>
      </c>
      <c r="AI13" s="15">
        <v>-2.6200000000000001E-2</v>
      </c>
      <c r="AJ13" s="6">
        <v>-58849.639593120315</v>
      </c>
      <c r="AK13" s="15">
        <v>-2.6200000000000001E-2</v>
      </c>
      <c r="AL13" s="6">
        <v>-70506.442138667961</v>
      </c>
      <c r="AM13" s="15">
        <v>-2.6200000000000005E-2</v>
      </c>
      <c r="AN13" s="6">
        <v>-78060.485547351753</v>
      </c>
      <c r="AO13" s="15">
        <v>-2.6200000000000001E-2</v>
      </c>
      <c r="AP13" s="6">
        <v>-78902.989970716764</v>
      </c>
      <c r="AQ13" s="15">
        <v>-2.6200000000000001E-2</v>
      </c>
      <c r="AR13" s="6">
        <v>-71750.575853401533</v>
      </c>
      <c r="AS13" s="15">
        <v>-2.6200000000000005E-2</v>
      </c>
      <c r="AT13" s="6">
        <v>-64359.537214641656</v>
      </c>
      <c r="AU13" s="15">
        <v>-2.6200000000000001E-2</v>
      </c>
      <c r="AW13" s="6">
        <v>-786000</v>
      </c>
      <c r="AX13" s="15">
        <v>-2.6200000000000001E-2</v>
      </c>
      <c r="AY13" s="6">
        <v>-65500</v>
      </c>
    </row>
    <row r="14" spans="2:53" outlineLevel="2" x14ac:dyDescent="0.25">
      <c r="B14" s="17" t="s">
        <v>145</v>
      </c>
      <c r="C14">
        <v>8</v>
      </c>
      <c r="D14">
        <v>9</v>
      </c>
      <c r="E14" s="17" t="s">
        <v>179</v>
      </c>
      <c r="F14" s="31">
        <v>-2.4649999999999998E-2</v>
      </c>
      <c r="H14" t="s">
        <v>162</v>
      </c>
      <c r="I14" s="2" t="s">
        <v>3</v>
      </c>
      <c r="J14" s="6">
        <v>-61624.999999999993</v>
      </c>
      <c r="K14" s="37">
        <v>-2.4649999999999998E-2</v>
      </c>
      <c r="L14" s="6">
        <v>-49300</v>
      </c>
      <c r="M14" s="15">
        <v>-2.4649999999999998E-2</v>
      </c>
      <c r="N14" s="51">
        <f t="shared" si="5"/>
        <v>-37118.807606999995</v>
      </c>
      <c r="O14" s="15">
        <v>-2.4649999999999998E-2</v>
      </c>
      <c r="P14" s="6">
        <f>IFERROR(VLOOKUP($I14,RESUMO!$A$3:$M$200,2,FALSE),"")</f>
        <v>60679.01</v>
      </c>
      <c r="Q14" s="46">
        <f t="shared" si="0"/>
        <v>0.63472411728433165</v>
      </c>
      <c r="R14" s="51">
        <f t="shared" si="6"/>
        <v>-50451.436749499997</v>
      </c>
      <c r="S14" s="15">
        <v>-2.4649999999999998E-2</v>
      </c>
      <c r="T14" s="6">
        <f>IFERROR(VLOOKUP($I14,RESUMO!$A$3:$M$200,3,FALSE),"")</f>
        <v>18975.320000000003</v>
      </c>
      <c r="U14" s="46">
        <f t="shared" si="1"/>
        <v>-0.6238894029080736</v>
      </c>
      <c r="V14" s="51">
        <f t="shared" si="7"/>
        <v>-64736.899809999981</v>
      </c>
      <c r="W14" s="15">
        <v>-2.4649999999999998E-2</v>
      </c>
      <c r="X14" s="6">
        <f>IFERROR(VLOOKUP($I14,RESUMO!$A$3:$M$200,4,FALSE),"")</f>
        <v>39057.060000000005</v>
      </c>
      <c r="Y14" s="46">
        <f t="shared" si="2"/>
        <v>-0.39668009875927335</v>
      </c>
      <c r="Z14" s="51">
        <f t="shared" si="8"/>
        <v>-57363.306609499996</v>
      </c>
      <c r="AA14" s="15">
        <v>-2.4649999999999998E-2</v>
      </c>
      <c r="AB14" s="6">
        <f>IFERROR(VLOOKUP($I14,RESUMO!$A$3:$M$200,5,FALSE),"")</f>
        <v>24861.83</v>
      </c>
      <c r="AC14" s="46">
        <f t="shared" si="3"/>
        <v>-0.56659001251014685</v>
      </c>
      <c r="AD14" s="6">
        <v>-63174.625790005026</v>
      </c>
      <c r="AE14" s="15">
        <v>-2.4649999999999998E-2</v>
      </c>
      <c r="AF14" s="6">
        <f>IFERROR(VLOOKUP($I14,RESUMO!$A$3:$M$200,6,FALSE),"")</f>
        <v>0</v>
      </c>
      <c r="AG14" s="46">
        <f t="shared" si="4"/>
        <v>-1</v>
      </c>
      <c r="AH14" s="6">
        <v>-54666.094705333322</v>
      </c>
      <c r="AI14" s="15">
        <v>-2.4649999999999998E-2</v>
      </c>
      <c r="AJ14" s="6">
        <v>-55368.076945435707</v>
      </c>
      <c r="AK14" s="15">
        <v>-2.4649999999999998E-2</v>
      </c>
      <c r="AL14" s="6">
        <v>-66335.259493059726</v>
      </c>
      <c r="AM14" s="15">
        <v>-2.4649999999999998E-2</v>
      </c>
      <c r="AN14" s="6">
        <v>-73442.403387107654</v>
      </c>
      <c r="AO14" s="15">
        <v>-2.4649999999999998E-2</v>
      </c>
      <c r="AP14" s="6">
        <v>-74235.064991533131</v>
      </c>
      <c r="AQ14" s="15">
        <v>-2.4649999999999998E-2</v>
      </c>
      <c r="AR14" s="6">
        <v>-67505.789877341507</v>
      </c>
      <c r="AS14" s="15">
        <v>-2.4649999999999998E-2</v>
      </c>
      <c r="AT14" s="6">
        <v>-60552.007341256358</v>
      </c>
      <c r="AU14" s="15">
        <v>-2.4649999999999998E-2</v>
      </c>
      <c r="AW14" s="6">
        <v>-739499.99999999988</v>
      </c>
      <c r="AX14" s="15">
        <v>-2.4649999999999995E-2</v>
      </c>
      <c r="AY14" s="6">
        <v>-61624.999999999993</v>
      </c>
    </row>
    <row r="15" spans="2:53" outlineLevel="2" x14ac:dyDescent="0.25">
      <c r="B15" s="17" t="s">
        <v>145</v>
      </c>
      <c r="C15">
        <v>8</v>
      </c>
      <c r="D15">
        <v>9</v>
      </c>
      <c r="E15" s="17" t="s">
        <v>179</v>
      </c>
      <c r="F15" s="31">
        <v>-2.7499999999999998E-3</v>
      </c>
      <c r="H15" t="s">
        <v>162</v>
      </c>
      <c r="I15" s="2" t="s">
        <v>4</v>
      </c>
      <c r="J15" s="6">
        <v>-6875</v>
      </c>
      <c r="K15" s="37">
        <v>-2.7499999999999998E-3</v>
      </c>
      <c r="L15" s="6">
        <v>-5500</v>
      </c>
      <c r="M15" s="15">
        <v>-2.7499999999999998E-3</v>
      </c>
      <c r="N15" s="51">
        <f t="shared" si="5"/>
        <v>-4141.0434449999993</v>
      </c>
      <c r="O15" s="15">
        <v>-2.7500000000000003E-3</v>
      </c>
      <c r="P15" s="6">
        <f>IFERROR(VLOOKUP($I15,RESUMO!$A$3:$M$200,2,FALSE),"")</f>
        <v>0</v>
      </c>
      <c r="Q15" s="46">
        <f t="shared" si="0"/>
        <v>-1</v>
      </c>
      <c r="R15" s="51">
        <f t="shared" si="6"/>
        <v>-5628.4564324999992</v>
      </c>
      <c r="S15" s="15">
        <v>-2.7499999999999998E-3</v>
      </c>
      <c r="T15" s="6">
        <f>IFERROR(VLOOKUP($I15,RESUMO!$A$3:$M$200,3,FALSE),"")</f>
        <v>496.96</v>
      </c>
      <c r="U15" s="46">
        <f t="shared" si="1"/>
        <v>-0.91170581029455278</v>
      </c>
      <c r="V15" s="51">
        <f t="shared" si="7"/>
        <v>-7222.1693499999983</v>
      </c>
      <c r="W15" s="15">
        <v>-2.7499999999999998E-3</v>
      </c>
      <c r="X15" s="6">
        <f>IFERROR(VLOOKUP($I15,RESUMO!$A$3:$M$200,4,FALSE),"")</f>
        <v>3431.3</v>
      </c>
      <c r="Y15" s="46">
        <f t="shared" si="2"/>
        <v>-0.52489344493147327</v>
      </c>
      <c r="Z15" s="51">
        <f t="shared" si="8"/>
        <v>-6399.5575325</v>
      </c>
      <c r="AA15" s="15">
        <v>-2.7499999999999998E-3</v>
      </c>
      <c r="AB15" s="6">
        <f>IFERROR(VLOOKUP($I15,RESUMO!$A$3:$M$200,5,FALSE),"")</f>
        <v>2462.42</v>
      </c>
      <c r="AC15" s="46">
        <f t="shared" si="3"/>
        <v>-0.61522027304315041</v>
      </c>
      <c r="AD15" s="6">
        <v>-7047.8791449295668</v>
      </c>
      <c r="AE15" s="15">
        <v>-2.7499999999999998E-3</v>
      </c>
      <c r="AF15" s="6">
        <f>IFERROR(VLOOKUP($I15,RESUMO!$A$3:$M$200,6,FALSE),"")</f>
        <v>0</v>
      </c>
      <c r="AG15" s="46">
        <f t="shared" si="4"/>
        <v>-1</v>
      </c>
      <c r="AH15" s="6">
        <v>-6098.6515391345492</v>
      </c>
      <c r="AI15" s="15">
        <v>-2.7499999999999998E-3</v>
      </c>
      <c r="AJ15" s="6">
        <v>-6176.9659878275133</v>
      </c>
      <c r="AK15" s="15">
        <v>-2.7499999999999998E-3</v>
      </c>
      <c r="AL15" s="6">
        <v>-7400.4853389823229</v>
      </c>
      <c r="AM15" s="15">
        <v>-2.7499999999999998E-3</v>
      </c>
      <c r="AN15" s="6">
        <v>-8193.3715746266153</v>
      </c>
      <c r="AO15" s="15">
        <v>-2.7500000000000003E-3</v>
      </c>
      <c r="AP15" s="6">
        <v>-8281.8023824225602</v>
      </c>
      <c r="AQ15" s="15">
        <v>-2.7499999999999998E-3</v>
      </c>
      <c r="AR15" s="6">
        <v>-7531.0718930097019</v>
      </c>
      <c r="AS15" s="15">
        <v>-2.7499999999999998E-3</v>
      </c>
      <c r="AT15" s="6">
        <v>-6755.2949366513176</v>
      </c>
      <c r="AU15" s="15">
        <v>-2.7499999999999998E-3</v>
      </c>
      <c r="AW15" s="6">
        <v>-82500</v>
      </c>
      <c r="AX15" s="15">
        <v>-2.7499999999999998E-3</v>
      </c>
      <c r="AY15" s="6">
        <v>-6875</v>
      </c>
    </row>
    <row r="16" spans="2:53" outlineLevel="2" x14ac:dyDescent="0.25">
      <c r="B16" s="17" t="s">
        <v>145</v>
      </c>
      <c r="C16">
        <v>8</v>
      </c>
      <c r="D16">
        <v>9</v>
      </c>
      <c r="E16" s="17" t="s">
        <v>179</v>
      </c>
      <c r="F16" s="31">
        <v>-1.06E-2</v>
      </c>
      <c r="H16" t="s">
        <v>162</v>
      </c>
      <c r="I16" s="2" t="s">
        <v>5</v>
      </c>
      <c r="J16" s="6">
        <v>-26500</v>
      </c>
      <c r="K16" s="37">
        <v>-1.06E-2</v>
      </c>
      <c r="L16" s="6">
        <v>-21200</v>
      </c>
      <c r="M16" s="15">
        <v>-1.06E-2</v>
      </c>
      <c r="N16" s="51">
        <f t="shared" si="5"/>
        <v>-15961.840188</v>
      </c>
      <c r="O16" s="15">
        <v>-1.06E-2</v>
      </c>
      <c r="P16" s="6">
        <f>IFERROR(VLOOKUP($I16,RESUMO!$A$3:$M$200,2,FALSE),"")</f>
        <v>15874.39</v>
      </c>
      <c r="Q16" s="46">
        <f t="shared" si="0"/>
        <v>-5.4787033932180984E-3</v>
      </c>
      <c r="R16" s="51">
        <f t="shared" si="6"/>
        <v>-21695.141157999999</v>
      </c>
      <c r="S16" s="15">
        <v>-1.06E-2</v>
      </c>
      <c r="T16" s="6">
        <f>IFERROR(VLOOKUP($I16,RESUMO!$A$3:$M$200,3,FALSE),"")</f>
        <v>14761.73</v>
      </c>
      <c r="U16" s="46">
        <f t="shared" si="1"/>
        <v>-0.31958359281950699</v>
      </c>
      <c r="V16" s="51">
        <f t="shared" si="7"/>
        <v>-27838.180039999996</v>
      </c>
      <c r="W16" s="15">
        <v>-1.06E-2</v>
      </c>
      <c r="X16" s="6">
        <f>IFERROR(VLOOKUP($I16,RESUMO!$A$3:$M$200,4,FALSE),"")</f>
        <v>22197.7</v>
      </c>
      <c r="Y16" s="46">
        <f t="shared" si="2"/>
        <v>-0.2026166951968601</v>
      </c>
      <c r="Z16" s="51">
        <f t="shared" si="8"/>
        <v>-24667.385398000002</v>
      </c>
      <c r="AA16" s="15">
        <v>-1.06E-2</v>
      </c>
      <c r="AB16" s="6">
        <f>IFERROR(VLOOKUP($I16,RESUMO!$A$3:$M$200,5,FALSE),"")</f>
        <v>20723.310000000001</v>
      </c>
      <c r="AC16" s="46">
        <f t="shared" si="3"/>
        <v>-0.15989028972319785</v>
      </c>
      <c r="AD16" s="6">
        <v>-27166.37052227397</v>
      </c>
      <c r="AE16" s="15">
        <v>-1.06E-2</v>
      </c>
      <c r="AF16" s="6">
        <f>IFERROR(VLOOKUP($I16,RESUMO!$A$3:$M$200,6,FALSE),"")</f>
        <v>0</v>
      </c>
      <c r="AG16" s="46">
        <f t="shared" si="4"/>
        <v>-1</v>
      </c>
      <c r="AH16" s="6">
        <v>-23507.52956902772</v>
      </c>
      <c r="AI16" s="15">
        <v>-1.06E-2</v>
      </c>
      <c r="AJ16" s="6">
        <v>-23809.396171262415</v>
      </c>
      <c r="AK16" s="15">
        <v>-1.06E-2</v>
      </c>
      <c r="AL16" s="6">
        <v>-28525.50712480459</v>
      </c>
      <c r="AM16" s="15">
        <v>-1.06E-2</v>
      </c>
      <c r="AN16" s="6">
        <v>-31581.723160378951</v>
      </c>
      <c r="AO16" s="15">
        <v>-1.06E-2</v>
      </c>
      <c r="AP16" s="6">
        <v>-31922.583728610596</v>
      </c>
      <c r="AQ16" s="15">
        <v>-1.06E-2</v>
      </c>
      <c r="AR16" s="6">
        <v>-29028.858933055577</v>
      </c>
      <c r="AS16" s="15">
        <v>-1.06E-2</v>
      </c>
      <c r="AT16" s="6">
        <v>-26038.591392183262</v>
      </c>
      <c r="AU16" s="15">
        <v>-1.06E-2</v>
      </c>
      <c r="AW16" s="6">
        <v>-318000</v>
      </c>
      <c r="AX16" s="15">
        <v>-1.06E-2</v>
      </c>
      <c r="AY16" s="6">
        <v>-26500</v>
      </c>
    </row>
    <row r="17" spans="2:51" outlineLevel="2" x14ac:dyDescent="0.25">
      <c r="B17" s="17" t="s">
        <v>145</v>
      </c>
      <c r="C17">
        <v>8</v>
      </c>
      <c r="D17">
        <v>9</v>
      </c>
      <c r="E17" s="17" t="s">
        <v>179</v>
      </c>
      <c r="F17" s="31">
        <v>-1.2750000000000001E-2</v>
      </c>
      <c r="H17" t="s">
        <v>162</v>
      </c>
      <c r="I17" s="2" t="s">
        <v>6</v>
      </c>
      <c r="J17" s="6">
        <v>-31875.000000000004</v>
      </c>
      <c r="K17" s="37">
        <v>-1.2750000000000001E-2</v>
      </c>
      <c r="L17" s="6">
        <v>-25500.000000000004</v>
      </c>
      <c r="M17" s="15">
        <v>-1.2750000000000003E-2</v>
      </c>
      <c r="N17" s="51">
        <f t="shared" si="5"/>
        <v>-19199.383245000001</v>
      </c>
      <c r="O17" s="15">
        <v>-1.2750000000000003E-2</v>
      </c>
      <c r="P17" s="6">
        <f>IFERROR(VLOOKUP($I17,RESUMO!$A$3:$M$200,2,FALSE),"")</f>
        <v>0</v>
      </c>
      <c r="Q17" s="46">
        <f t="shared" si="0"/>
        <v>-1</v>
      </c>
      <c r="R17" s="51">
        <f t="shared" si="6"/>
        <v>-26095.5707325</v>
      </c>
      <c r="S17" s="15">
        <v>-1.2750000000000001E-2</v>
      </c>
      <c r="T17" s="6">
        <f>IFERROR(VLOOKUP($I17,RESUMO!$A$3:$M$200,3,FALSE),"")</f>
        <v>2460.61</v>
      </c>
      <c r="U17" s="46">
        <f t="shared" si="1"/>
        <v>-0.90570775304272222</v>
      </c>
      <c r="V17" s="51">
        <f t="shared" si="7"/>
        <v>-33484.603349999998</v>
      </c>
      <c r="W17" s="15">
        <v>-1.2750000000000003E-2</v>
      </c>
      <c r="X17" s="6">
        <f>IFERROR(VLOOKUP($I17,RESUMO!$A$3:$M$200,4,FALSE),"")</f>
        <v>15906.25</v>
      </c>
      <c r="Y17" s="46">
        <f t="shared" si="2"/>
        <v>-0.52496824185913493</v>
      </c>
      <c r="Z17" s="51">
        <f t="shared" si="8"/>
        <v>-29670.675832500005</v>
      </c>
      <c r="AA17" s="15">
        <v>-1.2750000000000001E-2</v>
      </c>
      <c r="AB17" s="6">
        <f>IFERROR(VLOOKUP($I17,RESUMO!$A$3:$M$200,5,FALSE),"")</f>
        <v>11442.92</v>
      </c>
      <c r="AC17" s="46">
        <f t="shared" si="3"/>
        <v>-0.61433571433968115</v>
      </c>
      <c r="AD17" s="6">
        <v>-32676.530581037088</v>
      </c>
      <c r="AE17" s="15">
        <v>-1.2750000000000001E-2</v>
      </c>
      <c r="AF17" s="6">
        <f>IFERROR(VLOOKUP($I17,RESUMO!$A$3:$M$200,6,FALSE),"")</f>
        <v>0</v>
      </c>
      <c r="AG17" s="46">
        <f t="shared" si="4"/>
        <v>-1</v>
      </c>
      <c r="AH17" s="6">
        <v>-28275.566226896553</v>
      </c>
      <c r="AI17" s="15">
        <v>-1.2750000000000001E-2</v>
      </c>
      <c r="AJ17" s="6">
        <v>-28638.660489018475</v>
      </c>
      <c r="AK17" s="15">
        <v>-1.2750000000000001E-2</v>
      </c>
      <c r="AL17" s="6">
        <v>-34311.341117099866</v>
      </c>
      <c r="AM17" s="15">
        <v>-1.2750000000000001E-2</v>
      </c>
      <c r="AN17" s="6">
        <v>-37987.45002781431</v>
      </c>
      <c r="AO17" s="15">
        <v>-1.2750000000000001E-2</v>
      </c>
      <c r="AP17" s="6">
        <v>-38397.447409413697</v>
      </c>
      <c r="AQ17" s="15">
        <v>-1.2750000000000003E-2</v>
      </c>
      <c r="AR17" s="6">
        <v>-34916.787867590436</v>
      </c>
      <c r="AS17" s="15">
        <v>-1.2749999999999999E-2</v>
      </c>
      <c r="AT17" s="6">
        <v>-31320.003797201567</v>
      </c>
      <c r="AU17" s="15">
        <v>-1.2750000000000001E-2</v>
      </c>
      <c r="AW17" s="6">
        <v>-382500</v>
      </c>
      <c r="AX17" s="15">
        <v>-1.2749999999999999E-2</v>
      </c>
      <c r="AY17" s="6">
        <v>-31875</v>
      </c>
    </row>
    <row r="18" spans="2:51" outlineLevel="2" x14ac:dyDescent="0.25">
      <c r="B18" s="17" t="s">
        <v>145</v>
      </c>
      <c r="C18">
        <v>8</v>
      </c>
      <c r="D18">
        <v>9</v>
      </c>
      <c r="E18" s="17" t="s">
        <v>179</v>
      </c>
      <c r="F18" s="31">
        <v>-8.5000000000000006E-4</v>
      </c>
      <c r="H18" t="s">
        <v>162</v>
      </c>
      <c r="I18" s="2" t="s">
        <v>7</v>
      </c>
      <c r="J18" s="6">
        <v>-2125</v>
      </c>
      <c r="K18" s="37">
        <v>-8.4999999999999995E-4</v>
      </c>
      <c r="L18" s="6">
        <v>-1700.0000000000002</v>
      </c>
      <c r="M18" s="15">
        <v>-8.5000000000000006E-4</v>
      </c>
      <c r="N18" s="51">
        <f t="shared" si="5"/>
        <v>-1279.958883</v>
      </c>
      <c r="O18" s="15">
        <v>-8.4999999999999995E-4</v>
      </c>
      <c r="P18" s="6">
        <f>IFERROR(VLOOKUP($I18,RESUMO!$A$3:$M$200,2,FALSE),"")</f>
        <v>1443.62</v>
      </c>
      <c r="Q18" s="46">
        <f t="shared" si="0"/>
        <v>0.1278643549989722</v>
      </c>
      <c r="R18" s="51">
        <f t="shared" si="6"/>
        <v>-1739.7047155</v>
      </c>
      <c r="S18" s="15">
        <v>-8.5000000000000006E-4</v>
      </c>
      <c r="T18" s="6">
        <f>IFERROR(VLOOKUP($I18,RESUMO!$A$3:$M$200,3,FALSE),"")</f>
        <v>1490.09</v>
      </c>
      <c r="U18" s="46">
        <f t="shared" ref="U18" si="9">IFERROR((T18*-1)/R18-1,"")</f>
        <v>-0.14348108232163959</v>
      </c>
      <c r="V18" s="51">
        <f t="shared" si="7"/>
        <v>-2232.3068899999998</v>
      </c>
      <c r="W18" s="15">
        <v>-8.5000000000000006E-4</v>
      </c>
      <c r="X18" s="6">
        <f>IFERROR(VLOOKUP($I18,RESUMO!$A$3:$M$200,4,FALSE),"")</f>
        <v>1921.23</v>
      </c>
      <c r="Y18" s="46">
        <f t="shared" ref="Y18" si="10">IFERROR((X18*-1)/V18-1,"")</f>
        <v>-0.13935220618344279</v>
      </c>
      <c r="Z18" s="51">
        <f t="shared" si="8"/>
        <v>-1978.0450555000002</v>
      </c>
      <c r="AA18" s="15">
        <v>-8.5000000000000006E-4</v>
      </c>
      <c r="AB18" s="6">
        <f>IFERROR(VLOOKUP($I18,RESUMO!$A$3:$M$200,5,FALSE),"")</f>
        <v>4716.6899999999996</v>
      </c>
      <c r="AC18" s="46">
        <f t="shared" si="3"/>
        <v>1.3845210132525212</v>
      </c>
      <c r="AD18" s="6">
        <v>-2178.4353720691392</v>
      </c>
      <c r="AE18" s="15">
        <v>-8.5000000000000006E-4</v>
      </c>
      <c r="AF18" s="6">
        <f>IFERROR(VLOOKUP($I18,RESUMO!$A$3:$M$200,6,FALSE),"")</f>
        <v>0</v>
      </c>
      <c r="AG18" s="46">
        <f t="shared" si="4"/>
        <v>-1</v>
      </c>
      <c r="AH18" s="6">
        <v>-1885.03774845977</v>
      </c>
      <c r="AI18" s="15">
        <v>-8.5000000000000006E-4</v>
      </c>
      <c r="AJ18" s="6">
        <v>-1909.2440326012315</v>
      </c>
      <c r="AK18" s="15">
        <v>-8.5000000000000006E-4</v>
      </c>
      <c r="AL18" s="6">
        <v>-2287.4227411399911</v>
      </c>
      <c r="AM18" s="15">
        <v>-8.5000000000000017E-4</v>
      </c>
      <c r="AN18" s="6">
        <v>-2532.4966685209538</v>
      </c>
      <c r="AO18" s="15">
        <v>-8.5000000000000006E-4</v>
      </c>
      <c r="AP18" s="6">
        <v>-2559.8298272942461</v>
      </c>
      <c r="AQ18" s="15">
        <v>-8.5000000000000006E-4</v>
      </c>
      <c r="AR18" s="6">
        <v>-2327.7858578393625</v>
      </c>
      <c r="AS18" s="15">
        <v>-8.5000000000000006E-4</v>
      </c>
      <c r="AT18" s="6">
        <v>-2088.0002531467712</v>
      </c>
      <c r="AU18" s="15">
        <v>-8.5000000000000006E-4</v>
      </c>
      <c r="AW18" s="6">
        <v>-25500.000000000004</v>
      </c>
      <c r="AX18" s="15">
        <v>-8.5000000000000017E-4</v>
      </c>
      <c r="AY18" s="6">
        <v>-2125.0000000000005</v>
      </c>
    </row>
    <row r="19" spans="2:51" outlineLevel="2" x14ac:dyDescent="0.25">
      <c r="B19" s="17" t="s">
        <v>145</v>
      </c>
      <c r="C19">
        <v>8</v>
      </c>
      <c r="D19">
        <v>9</v>
      </c>
      <c r="E19" s="17" t="s">
        <v>179</v>
      </c>
      <c r="F19" s="31">
        <v>-8.5000000000000006E-4</v>
      </c>
      <c r="H19" t="s">
        <v>162</v>
      </c>
      <c r="I19" s="2" t="s">
        <v>187</v>
      </c>
      <c r="J19" s="6">
        <v>-2125</v>
      </c>
      <c r="K19" s="37">
        <v>-8.4999999999999995E-4</v>
      </c>
      <c r="L19" s="6">
        <v>-1700.0000000000002</v>
      </c>
      <c r="M19" s="15">
        <v>-8.5000000000000006E-4</v>
      </c>
      <c r="N19" s="51">
        <v>0</v>
      </c>
      <c r="O19" s="15">
        <v>0</v>
      </c>
      <c r="P19" s="6">
        <f>IFERROR(VLOOKUP($I19,RESUMO!$A$3:$M$200,2,FALSE),"")</f>
        <v>5659.96</v>
      </c>
      <c r="Q19" s="46" t="str">
        <f t="shared" ref="Q19" si="11">IFERROR((P19*-1)/N19-1,"")</f>
        <v/>
      </c>
      <c r="R19" s="51">
        <v>0</v>
      </c>
      <c r="S19" s="15">
        <v>-8.5000000000000006E-4</v>
      </c>
      <c r="T19" s="6">
        <f>IFERROR(VLOOKUP($I19,RESUMO!$A$3:$M$200,3,FALSE),"")</f>
        <v>5659.96</v>
      </c>
      <c r="U19" s="46" t="str">
        <f t="shared" si="1"/>
        <v/>
      </c>
      <c r="V19" s="51">
        <v>0</v>
      </c>
      <c r="W19" s="15">
        <v>-8.5000000000000006E-4</v>
      </c>
      <c r="X19" s="6">
        <f>IFERROR(VLOOKUP($I19,RESUMO!$A$3:$M$200,4,FALSE),"")</f>
        <v>5659.96</v>
      </c>
      <c r="Y19" s="46" t="str">
        <f t="shared" si="2"/>
        <v/>
      </c>
      <c r="Z19" s="51">
        <v>0</v>
      </c>
      <c r="AA19" s="15">
        <v>-8.5000000000000006E-4</v>
      </c>
      <c r="AB19" s="6">
        <f>IFERROR(VLOOKUP($I19,RESUMO!$A$3:$M$200,5,FALSE),"")</f>
        <v>5659.96</v>
      </c>
      <c r="AC19" s="46" t="str">
        <f t="shared" si="3"/>
        <v/>
      </c>
      <c r="AD19" s="6">
        <v>0</v>
      </c>
      <c r="AE19" s="15">
        <v>-8.5000000000000006E-4</v>
      </c>
      <c r="AF19" s="6">
        <f>IFERROR(VLOOKUP($I19,RESUMO!$A$3:$M$200,6,FALSE),"")</f>
        <v>0</v>
      </c>
      <c r="AG19" s="46" t="str">
        <f t="shared" si="4"/>
        <v/>
      </c>
      <c r="AH19" s="6">
        <v>-1885.03774845977</v>
      </c>
      <c r="AI19" s="15">
        <v>-8.5000000000000006E-4</v>
      </c>
      <c r="AJ19" s="6">
        <v>0</v>
      </c>
      <c r="AK19" s="15">
        <v>-8.5000000000000006E-4</v>
      </c>
      <c r="AL19" s="6">
        <v>0</v>
      </c>
      <c r="AM19" s="15">
        <v>-8.5000000000000017E-4</v>
      </c>
      <c r="AN19" s="6">
        <v>0</v>
      </c>
      <c r="AO19" s="15">
        <v>-8.5000000000000006E-4</v>
      </c>
      <c r="AP19" s="6">
        <v>0</v>
      </c>
      <c r="AQ19" s="15">
        <v>-8.5000000000000006E-4</v>
      </c>
      <c r="AR19" s="6">
        <v>0</v>
      </c>
      <c r="AS19" s="15">
        <v>-8.5000000000000006E-4</v>
      </c>
      <c r="AT19" s="6">
        <v>0</v>
      </c>
      <c r="AU19" s="15">
        <v>-8.5000000000000006E-4</v>
      </c>
      <c r="AW19" s="6">
        <v>0</v>
      </c>
      <c r="AX19" s="15">
        <v>-8.5000000000000017E-4</v>
      </c>
      <c r="AY19" s="6">
        <v>-2125.0000000000005</v>
      </c>
    </row>
    <row r="20" spans="2:51" x14ac:dyDescent="0.25">
      <c r="I20" s="1"/>
    </row>
    <row r="21" spans="2:51" s="3" customFormat="1" x14ac:dyDescent="0.25">
      <c r="B21" s="10"/>
      <c r="E21" s="10"/>
      <c r="F21" s="32"/>
      <c r="I21" s="4" t="s">
        <v>8</v>
      </c>
      <c r="J21" s="7">
        <v>2305500</v>
      </c>
      <c r="K21" s="41">
        <v>0.92220000000000002</v>
      </c>
      <c r="L21" s="7">
        <v>1844400</v>
      </c>
      <c r="M21" s="14">
        <v>0.92220000000000002</v>
      </c>
      <c r="N21" s="7">
        <v>1497142.7855355616</v>
      </c>
      <c r="O21" s="14">
        <v>0.92220000000000002</v>
      </c>
      <c r="P21" s="48">
        <f>P10-P12</f>
        <v>1369798.74</v>
      </c>
      <c r="Q21" s="14">
        <f>P21/N21-1</f>
        <v>-8.5058049750416975E-2</v>
      </c>
      <c r="R21" s="7">
        <v>2052806.1483103842</v>
      </c>
      <c r="S21" s="14">
        <v>0.92220000000000002</v>
      </c>
      <c r="T21" s="48">
        <f>T10-T12</f>
        <v>1931147</v>
      </c>
      <c r="U21" s="14">
        <f>T21/R21-1</f>
        <v>-5.9264801213947504E-2</v>
      </c>
      <c r="V21" s="7">
        <v>2582555.365669956</v>
      </c>
      <c r="W21" s="14">
        <v>0.92220000000000002</v>
      </c>
      <c r="X21" s="48">
        <f>X10-X12</f>
        <v>2456905.4099999992</v>
      </c>
      <c r="Y21" s="14">
        <f>X21/V21-1</f>
        <v>-4.8653344412370902E-2</v>
      </c>
      <c r="Z21" s="7">
        <v>2255986.9281451502</v>
      </c>
      <c r="AA21" s="14">
        <v>0.92220000000000002</v>
      </c>
      <c r="AB21" s="48">
        <f>AB10-AB12</f>
        <v>2187033.9300000002</v>
      </c>
      <c r="AC21" s="14">
        <f>AB21/Z21-1</f>
        <v>-3.0564449325884424E-2</v>
      </c>
      <c r="AD21" s="7">
        <v>2363474.2354378351</v>
      </c>
      <c r="AE21" s="14">
        <v>0.92219999999999991</v>
      </c>
      <c r="AF21" s="48">
        <f>AF10-AF12</f>
        <v>430572.21</v>
      </c>
      <c r="AG21" s="14">
        <f>AF21/AD21-1</f>
        <v>-0.81782233817317829</v>
      </c>
      <c r="AH21" s="7">
        <v>2045155.0725054117</v>
      </c>
      <c r="AI21" s="14">
        <v>0.92220000000000002</v>
      </c>
      <c r="AJ21" s="7">
        <v>2071417.4668998301</v>
      </c>
      <c r="AK21" s="14">
        <v>0.92220000000000002</v>
      </c>
      <c r="AL21" s="7">
        <v>2481719.1198579995</v>
      </c>
      <c r="AM21" s="14">
        <v>0.92220000000000002</v>
      </c>
      <c r="AN21" s="7">
        <v>2747609.9149529687</v>
      </c>
      <c r="AO21" s="14">
        <v>0.92219999999999991</v>
      </c>
      <c r="AP21" s="7">
        <v>2777264.7843891219</v>
      </c>
      <c r="AQ21" s="14">
        <v>0.92220000000000002</v>
      </c>
      <c r="AR21" s="7">
        <v>2525510.7271758355</v>
      </c>
      <c r="AS21" s="14">
        <v>0.92220000000000013</v>
      </c>
      <c r="AT21" s="7">
        <v>2265357.451119944</v>
      </c>
      <c r="AU21" s="14">
        <v>0.92220000000000002</v>
      </c>
      <c r="AV21" s="16"/>
      <c r="AW21" s="7">
        <v>27666000</v>
      </c>
      <c r="AX21" s="14">
        <v>0.92220000000000002</v>
      </c>
      <c r="AY21" s="7">
        <v>2305500</v>
      </c>
    </row>
    <row r="22" spans="2:51" x14ac:dyDescent="0.25">
      <c r="I22" s="1"/>
    </row>
    <row r="23" spans="2:51" s="3" customFormat="1" x14ac:dyDescent="0.25">
      <c r="B23" s="10"/>
      <c r="E23" s="10"/>
      <c r="F23" s="32"/>
      <c r="I23" s="4" t="s">
        <v>136</v>
      </c>
      <c r="J23" s="7">
        <v>-1407556.9812762223</v>
      </c>
      <c r="K23" s="41">
        <v>-0.56302279251048892</v>
      </c>
      <c r="L23" s="7">
        <v>-1214781.9812762223</v>
      </c>
      <c r="M23" s="14">
        <v>-0.60739099063811108</v>
      </c>
      <c r="N23" s="7">
        <f>N24+N32+N46</f>
        <v>-1024256.2722652224</v>
      </c>
      <c r="O23" s="14">
        <v>-0.65884625943898545</v>
      </c>
      <c r="P23" s="7">
        <f>P24+P32+P46</f>
        <v>958701.03999999992</v>
      </c>
      <c r="Q23" s="14">
        <f>IFERROR((P23*-1)/N23-1,"")</f>
        <v>-6.4002763800744877E-2</v>
      </c>
      <c r="R23" s="7">
        <f>R24+R32+R46</f>
        <v>-1232791.5731127223</v>
      </c>
      <c r="S23" s="14">
        <v>-0.58486912395610513</v>
      </c>
      <c r="T23" s="7">
        <f>T24+T32+T46</f>
        <v>1278370.55</v>
      </c>
      <c r="U23" s="14">
        <f>IFERROR((T23*-1)/R23-1,"")</f>
        <v>3.6972167786800902E-2</v>
      </c>
      <c r="V23" s="7">
        <f>V24+V32+V46</f>
        <v>-1456230.1241462221</v>
      </c>
      <c r="W23" s="14">
        <v>-0.54398359200424673</v>
      </c>
      <c r="X23" s="7">
        <f>X24+X32+X46</f>
        <v>1479833.5699999996</v>
      </c>
      <c r="Y23" s="14">
        <f>IFERROR((X23*-1)/V23-1,"")</f>
        <v>1.6208596060746983E-2</v>
      </c>
      <c r="Z23" s="7">
        <v>-1386856.7374531499</v>
      </c>
      <c r="AA23" s="14">
        <v>-0.56691786079223527</v>
      </c>
      <c r="AB23" s="7">
        <f>AB24+AB32+AB46</f>
        <v>1173956.8600000001</v>
      </c>
      <c r="AC23" s="14">
        <f>IFERROR((AB23*-1)/Z23-1,"")</f>
        <v>-0.15351252346664379</v>
      </c>
      <c r="AD23" s="7">
        <v>-1455440.7019585797</v>
      </c>
      <c r="AE23" s="14">
        <v>-0.5678959369309805</v>
      </c>
      <c r="AF23" s="7">
        <f>AF24+AF32+AF46</f>
        <v>41622.25</v>
      </c>
      <c r="AG23" s="14">
        <f>IFERROR((AF23*-1)/AD23-1,"")</f>
        <v>-0.97140230450887544</v>
      </c>
      <c r="AH23" s="7">
        <v>-1322358.9916261185</v>
      </c>
      <c r="AI23" s="14">
        <v>-0.59627725959366329</v>
      </c>
      <c r="AJ23" s="7">
        <v>-1333338.6773328718</v>
      </c>
      <c r="AK23" s="14">
        <v>-0.59360556135343034</v>
      </c>
      <c r="AL23" s="7">
        <v>-1504876.0903647763</v>
      </c>
      <c r="AM23" s="14">
        <v>-0.55920781664195929</v>
      </c>
      <c r="AN23" s="7">
        <v>-1616038.7406021059</v>
      </c>
      <c r="AO23" s="14">
        <v>-0.54240266002562154</v>
      </c>
      <c r="AP23" s="7">
        <v>-1628436.7398550974</v>
      </c>
      <c r="AQ23" s="14">
        <v>-0.54072783046672646</v>
      </c>
      <c r="AR23" s="7">
        <v>-1523184.3252394146</v>
      </c>
      <c r="AS23" s="14">
        <v>-0.55619664158250437</v>
      </c>
      <c r="AT23" s="7">
        <v>-1414420.3959579694</v>
      </c>
      <c r="AU23" s="14">
        <v>-0.575793673756688</v>
      </c>
      <c r="AV23" s="16"/>
      <c r="AW23" s="7">
        <v>-17079852.291820526</v>
      </c>
      <c r="AX23" s="14">
        <v>-0.56932840972735088</v>
      </c>
      <c r="AY23" s="7">
        <v>-1423321.0243183773</v>
      </c>
    </row>
    <row r="24" spans="2:51" s="3" customFormat="1" outlineLevel="1" x14ac:dyDescent="0.25">
      <c r="B24" s="10"/>
      <c r="E24" s="10"/>
      <c r="F24" s="32"/>
      <c r="I24" s="9" t="s">
        <v>9</v>
      </c>
      <c r="J24" s="8">
        <v>-963875</v>
      </c>
      <c r="K24" s="38">
        <v>-0.38555</v>
      </c>
      <c r="L24" s="8">
        <v>-771100</v>
      </c>
      <c r="M24" s="13">
        <v>-0.38555</v>
      </c>
      <c r="N24" s="52">
        <f>SUM(N25:N31)</f>
        <v>-580574.290989</v>
      </c>
      <c r="O24" s="13">
        <v>-0.38555</v>
      </c>
      <c r="P24" s="8">
        <f>SUM(P25:P31)</f>
        <v>572872.94999999995</v>
      </c>
      <c r="Q24" s="45">
        <f>IFERROR((P24*-1)/N24-1,"")</f>
        <v>-1.326503964872594E-2</v>
      </c>
      <c r="R24" s="52">
        <f>SUM(R25:R31)</f>
        <v>-789109.59183649987</v>
      </c>
      <c r="S24" s="13">
        <v>-0.38555</v>
      </c>
      <c r="T24" s="8">
        <f>SUM(T25:T31)</f>
        <v>852739.33000000007</v>
      </c>
      <c r="U24" s="45">
        <f>IFERROR((T24*-1)/R24-1,"")</f>
        <v>8.0634855819474049E-2</v>
      </c>
      <c r="V24" s="52">
        <f>SUM(V25:V31)</f>
        <v>-1012548.1428699999</v>
      </c>
      <c r="W24" s="13">
        <v>-0.38554999999999995</v>
      </c>
      <c r="X24" s="8">
        <f>SUM(X25:X31)</f>
        <v>1039300.7899999997</v>
      </c>
      <c r="Y24" s="45">
        <f>IFERROR((X24*-1)/V24-1,"")</f>
        <v>2.6421111251235141E-2</v>
      </c>
      <c r="Z24" s="52">
        <f>SUM(Z25:Z31)</f>
        <v>-897217.96605649998</v>
      </c>
      <c r="AA24" s="13">
        <v>-0.38554999999999995</v>
      </c>
      <c r="AB24" s="8">
        <f>SUM(AB25:AB31)</f>
        <v>851006.53</v>
      </c>
      <c r="AC24" s="45">
        <f>IFERROR((AB24*-1)/Z24-1,"")</f>
        <v>-5.1505250457267282E-2</v>
      </c>
      <c r="AD24" s="8">
        <v>-988112.6561191252</v>
      </c>
      <c r="AE24" s="13">
        <v>-0.38554999999999995</v>
      </c>
      <c r="AF24" s="8">
        <f>SUM(AF25:AF31)</f>
        <v>2977.1300000000006</v>
      </c>
      <c r="AG24" s="45">
        <f>IFERROR((AF24*-1)/AD24-1,"")</f>
        <v>-0.99698705407570343</v>
      </c>
      <c r="AH24" s="8">
        <v>-855030.94578666391</v>
      </c>
      <c r="AI24" s="13">
        <v>-0.38555</v>
      </c>
      <c r="AJ24" s="8">
        <v>-866010.63149341743</v>
      </c>
      <c r="AK24" s="13">
        <v>-0.38555</v>
      </c>
      <c r="AL24" s="8">
        <v>-1037548.0445253217</v>
      </c>
      <c r="AM24" s="13">
        <v>-0.38555</v>
      </c>
      <c r="AN24" s="8">
        <v>-1148710.6947626513</v>
      </c>
      <c r="AO24" s="13">
        <v>-0.38554999999999995</v>
      </c>
      <c r="AP24" s="8">
        <v>-1161108.6940156429</v>
      </c>
      <c r="AQ24" s="13">
        <v>-0.38554999999999995</v>
      </c>
      <c r="AR24" s="8">
        <v>-1055856.2793999601</v>
      </c>
      <c r="AS24" s="13">
        <v>-0.38554999999999995</v>
      </c>
      <c r="AT24" s="8">
        <v>-947092.35011851473</v>
      </c>
      <c r="AU24" s="13">
        <v>-0.38554999999999995</v>
      </c>
      <c r="AV24" s="16"/>
      <c r="AW24" s="8">
        <v>-11566500</v>
      </c>
      <c r="AX24" s="13">
        <v>-0.38555</v>
      </c>
      <c r="AY24" s="8">
        <v>-963874.99999999988</v>
      </c>
    </row>
    <row r="25" spans="2:51" outlineLevel="2" x14ac:dyDescent="0.25">
      <c r="B25" s="17" t="s">
        <v>145</v>
      </c>
      <c r="C25">
        <v>2</v>
      </c>
      <c r="D25">
        <v>9</v>
      </c>
      <c r="E25" s="17" t="s">
        <v>180</v>
      </c>
      <c r="F25" s="31">
        <v>-8.2750000000000004E-2</v>
      </c>
      <c r="H25" t="s">
        <v>160</v>
      </c>
      <c r="I25" s="2" t="s">
        <v>188</v>
      </c>
      <c r="J25" s="6">
        <v>-206875</v>
      </c>
      <c r="K25" s="37">
        <v>-8.2750000000000004E-2</v>
      </c>
      <c r="L25" s="6">
        <v>-165500</v>
      </c>
      <c r="M25" s="15">
        <v>-8.2750000000000004E-2</v>
      </c>
      <c r="N25" s="51">
        <f t="shared" ref="N25:N31" si="12">P$10*$F25</f>
        <v>-124607.761845</v>
      </c>
      <c r="O25" s="15">
        <v>-8.2750000000000004E-2</v>
      </c>
      <c r="P25" s="47">
        <v>561916.11</v>
      </c>
      <c r="Q25" s="46">
        <f t="shared" ref="Q25:Q62" si="13">IFERROR((P25*-1)/N25-1,"")</f>
        <v>3.5094791984063498</v>
      </c>
      <c r="R25" s="51">
        <f t="shared" ref="R25:R31" si="14">T$10*$F25</f>
        <v>-169365.37083249999</v>
      </c>
      <c r="S25" s="15">
        <v>-8.2750000000000004E-2</v>
      </c>
      <c r="T25" s="47">
        <v>830151.62</v>
      </c>
      <c r="U25" s="46">
        <f t="shared" ref="U25:U31" si="15">IFERROR((T25*-1)/R25-1,"")</f>
        <v>3.9015428355836006</v>
      </c>
      <c r="V25" s="51">
        <f t="shared" ref="V25:V31" si="16">X$10*$F25</f>
        <v>-217321.64134999996</v>
      </c>
      <c r="W25" s="15">
        <v>-8.2750000000000004E-2</v>
      </c>
      <c r="X25" s="47">
        <v>1009819.8799999997</v>
      </c>
      <c r="Y25" s="46">
        <f t="shared" ref="Y25:Y31" si="17">IFERROR((X25*-1)/V25-1,"")</f>
        <v>3.6466604693716107</v>
      </c>
      <c r="Z25" s="51">
        <f t="shared" ref="Z25:Z31" si="18">AB$10*$F25</f>
        <v>-192568.50393250003</v>
      </c>
      <c r="AA25" s="15">
        <v>-8.2750000000000004E-2</v>
      </c>
      <c r="AB25" s="47">
        <v>833834.01</v>
      </c>
      <c r="AC25" s="46">
        <f t="shared" ref="AC25:AC31" si="19">IFERROR((AB25*-1)/Z25-1,"")</f>
        <v>3.3300643302098836</v>
      </c>
      <c r="AD25" s="6">
        <v>-212077.09063378972</v>
      </c>
      <c r="AE25" s="15">
        <v>-8.2750000000000004E-2</v>
      </c>
      <c r="AF25" s="47" t="str">
        <f>IFERROR(VLOOKUP($I25,RESUMO!$A$3:$M$200,6,FALSE),"")</f>
        <v/>
      </c>
      <c r="AG25" s="46" t="str">
        <f t="shared" ref="AG25:AG31" si="20">IFERROR((AF25*-1)/AD25-1,"")</f>
        <v/>
      </c>
      <c r="AH25" s="6">
        <v>-183513.96904123056</v>
      </c>
      <c r="AI25" s="15">
        <v>-8.2750000000000004E-2</v>
      </c>
      <c r="AJ25" s="6">
        <v>-185870.52199735519</v>
      </c>
      <c r="AK25" s="15">
        <v>-8.2750000000000004E-2</v>
      </c>
      <c r="AL25" s="6">
        <v>-222687.33156392263</v>
      </c>
      <c r="AM25" s="15">
        <v>-8.2750000000000004E-2</v>
      </c>
      <c r="AN25" s="6">
        <v>-246545.99920012816</v>
      </c>
      <c r="AO25" s="15">
        <v>-8.2750000000000004E-2</v>
      </c>
      <c r="AP25" s="6">
        <v>-249206.96259835162</v>
      </c>
      <c r="AQ25" s="15">
        <v>-8.2750000000000004E-2</v>
      </c>
      <c r="AR25" s="6">
        <v>-226616.7996896556</v>
      </c>
      <c r="AS25" s="15">
        <v>-8.2750000000000004E-2</v>
      </c>
      <c r="AT25" s="6">
        <v>-203272.96582105331</v>
      </c>
      <c r="AU25" s="15">
        <v>-8.2750000000000004E-2</v>
      </c>
      <c r="AW25" s="6">
        <v>-2482500</v>
      </c>
      <c r="AX25" s="15">
        <v>-8.2750000000000004E-2</v>
      </c>
      <c r="AY25" s="6">
        <v>-206875</v>
      </c>
    </row>
    <row r="26" spans="2:51" outlineLevel="2" x14ac:dyDescent="0.25">
      <c r="B26" s="17" t="s">
        <v>145</v>
      </c>
      <c r="C26">
        <v>2</v>
      </c>
      <c r="D26">
        <v>9</v>
      </c>
      <c r="E26" s="17" t="s">
        <v>180</v>
      </c>
      <c r="F26" s="31">
        <v>0</v>
      </c>
      <c r="H26" t="s">
        <v>160</v>
      </c>
      <c r="I26" s="2" t="s">
        <v>10</v>
      </c>
      <c r="J26" s="6">
        <v>-206875</v>
      </c>
      <c r="K26" s="37">
        <v>-8.2750000000000004E-2</v>
      </c>
      <c r="L26" s="6">
        <v>-165500</v>
      </c>
      <c r="M26" s="15">
        <v>-8.2750000000000004E-2</v>
      </c>
      <c r="N26" s="51">
        <f t="shared" si="12"/>
        <v>0</v>
      </c>
      <c r="O26" s="15">
        <v>0</v>
      </c>
      <c r="P26" s="6">
        <f>IFERROR(VLOOKUP($I26,RESUMO!$A$3:$M$200,2,FALSE),"")</f>
        <v>564</v>
      </c>
      <c r="Q26" s="46" t="str">
        <f t="shared" ref="Q26" si="21">IFERROR((P26*-1)/N26-1,"")</f>
        <v/>
      </c>
      <c r="R26" s="51">
        <f t="shared" si="14"/>
        <v>0</v>
      </c>
      <c r="S26" s="15">
        <v>0</v>
      </c>
      <c r="T26" s="6">
        <f>IFERROR(VLOOKUP($I26,RESUMO!$A$3:$M$200,3,FALSE),"")</f>
        <v>987.68</v>
      </c>
      <c r="U26" s="46" t="str">
        <f t="shared" ref="U26" si="22">IFERROR((T26*-1)/R26-1,"")</f>
        <v/>
      </c>
      <c r="V26" s="51">
        <f t="shared" si="16"/>
        <v>0</v>
      </c>
      <c r="W26" s="15">
        <v>0</v>
      </c>
      <c r="X26" s="6">
        <f>IFERROR(VLOOKUP($I26,RESUMO!$A$3:$M$200,4,FALSE),"")</f>
        <v>1534.3</v>
      </c>
      <c r="Y26" s="46" t="str">
        <f t="shared" ref="Y26" si="23">IFERROR((X26*-1)/V26-1,"")</f>
        <v/>
      </c>
      <c r="Z26" s="51">
        <f t="shared" si="18"/>
        <v>0</v>
      </c>
      <c r="AA26" s="15">
        <v>0</v>
      </c>
      <c r="AB26" s="6">
        <f>IFERROR(VLOOKUP($I26,RESUMO!$A$3:$M$200,5,FALSE),"")</f>
        <v>9.5</v>
      </c>
      <c r="AC26" s="46" t="str">
        <f t="shared" si="19"/>
        <v/>
      </c>
      <c r="AD26" s="6">
        <v>0</v>
      </c>
      <c r="AE26" s="15">
        <v>0</v>
      </c>
      <c r="AF26" s="6">
        <f>IFERROR(VLOOKUP($I26,RESUMO!$A$3:$M$200,6,FALSE),"")</f>
        <v>0</v>
      </c>
      <c r="AG26" s="46" t="str">
        <f t="shared" si="20"/>
        <v/>
      </c>
      <c r="AH26" s="6">
        <v>0</v>
      </c>
      <c r="AI26" s="15">
        <v>0</v>
      </c>
      <c r="AJ26" s="6">
        <v>0</v>
      </c>
      <c r="AK26" s="15">
        <v>0</v>
      </c>
      <c r="AL26" s="6">
        <v>0</v>
      </c>
      <c r="AM26" s="15">
        <v>0</v>
      </c>
      <c r="AN26" s="6">
        <v>0</v>
      </c>
      <c r="AO26" s="15">
        <v>0</v>
      </c>
      <c r="AP26" s="6">
        <v>0</v>
      </c>
      <c r="AQ26" s="15">
        <v>0</v>
      </c>
      <c r="AR26" s="6">
        <v>0</v>
      </c>
      <c r="AS26" s="15">
        <v>0</v>
      </c>
      <c r="AT26" s="6">
        <v>0</v>
      </c>
      <c r="AU26" s="15">
        <v>0</v>
      </c>
      <c r="AW26" s="6">
        <v>-2482500</v>
      </c>
      <c r="AX26" s="15">
        <v>-8.2750000000000004E-2</v>
      </c>
      <c r="AY26" s="6">
        <v>-206875</v>
      </c>
    </row>
    <row r="27" spans="2:51" outlineLevel="2" x14ac:dyDescent="0.25">
      <c r="B27" s="17" t="s">
        <v>145</v>
      </c>
      <c r="C27">
        <v>2</v>
      </c>
      <c r="D27">
        <v>9</v>
      </c>
      <c r="E27" s="17" t="s">
        <v>180</v>
      </c>
      <c r="F27" s="31">
        <v>-0.10491250000000001</v>
      </c>
      <c r="H27" t="s">
        <v>160</v>
      </c>
      <c r="I27" s="2" t="s">
        <v>11</v>
      </c>
      <c r="J27" s="6">
        <v>-262281.25</v>
      </c>
      <c r="K27" s="37">
        <v>-0.10491250000000001</v>
      </c>
      <c r="L27" s="6">
        <v>-209825</v>
      </c>
      <c r="M27" s="15">
        <v>-0.10491250000000001</v>
      </c>
      <c r="N27" s="51">
        <f t="shared" si="12"/>
        <v>-157980.80742675002</v>
      </c>
      <c r="O27" s="15">
        <v>-0.10491250000000002</v>
      </c>
      <c r="P27" s="6" t="str">
        <f>IFERROR(VLOOKUP($I27,RESUMO!$A$3:$M$200,2,FALSE),"")</f>
        <v/>
      </c>
      <c r="Q27" s="46" t="str">
        <f t="shared" si="13"/>
        <v/>
      </c>
      <c r="R27" s="51">
        <f t="shared" si="14"/>
        <v>-214725.61289987501</v>
      </c>
      <c r="S27" s="15">
        <v>-0.10491250000000001</v>
      </c>
      <c r="T27" s="6" t="str">
        <f>IFERROR(VLOOKUP($I27,RESUMO!$A$3:$M$200,3,FALSE),"")</f>
        <v/>
      </c>
      <c r="U27" s="46" t="str">
        <f t="shared" si="15"/>
        <v/>
      </c>
      <c r="V27" s="51">
        <f t="shared" si="16"/>
        <v>-275525.76070249995</v>
      </c>
      <c r="W27" s="15">
        <v>-0.10491249999999999</v>
      </c>
      <c r="X27" s="6" t="str">
        <f>IFERROR(VLOOKUP($I27,RESUMO!$A$3:$M$200,4,FALSE),"")</f>
        <v/>
      </c>
      <c r="Y27" s="46" t="str">
        <f t="shared" si="17"/>
        <v/>
      </c>
      <c r="Z27" s="51">
        <f t="shared" si="18"/>
        <v>-244143.11986487501</v>
      </c>
      <c r="AA27" s="15">
        <v>-0.10491250000000001</v>
      </c>
      <c r="AB27" s="6" t="str">
        <f>IFERROR(VLOOKUP($I27,RESUMO!$A$3:$M$200,5,FALSE),"")</f>
        <v/>
      </c>
      <c r="AC27" s="46" t="str">
        <f t="shared" si="19"/>
        <v/>
      </c>
      <c r="AD27" s="6">
        <v>-268876.58937906299</v>
      </c>
      <c r="AE27" s="15">
        <v>-0.10491250000000001</v>
      </c>
      <c r="AF27" s="6" t="str">
        <f>IFERROR(VLOOKUP($I27,RESUMO!$A$3:$M$200,6,FALSE),"")</f>
        <v/>
      </c>
      <c r="AG27" s="46" t="str">
        <f t="shared" si="20"/>
        <v/>
      </c>
      <c r="AH27" s="6">
        <v>-232663.5562179831</v>
      </c>
      <c r="AI27" s="15">
        <v>-0.10491250000000001</v>
      </c>
      <c r="AJ27" s="6">
        <v>-235651.25243561965</v>
      </c>
      <c r="AK27" s="15">
        <v>-0.10491250000000001</v>
      </c>
      <c r="AL27" s="6">
        <v>-282328.51568217564</v>
      </c>
      <c r="AM27" s="15">
        <v>-0.10491250000000001</v>
      </c>
      <c r="AN27" s="6">
        <v>-312577.1255720054</v>
      </c>
      <c r="AO27" s="15">
        <v>-0.10491250000000002</v>
      </c>
      <c r="AP27" s="6">
        <v>-315950.76088942069</v>
      </c>
      <c r="AQ27" s="15">
        <v>-0.10491250000000001</v>
      </c>
      <c r="AR27" s="6">
        <v>-287310.39271832013</v>
      </c>
      <c r="AS27" s="15">
        <v>-0.10491250000000001</v>
      </c>
      <c r="AT27" s="6">
        <v>-257714.50183324781</v>
      </c>
      <c r="AU27" s="15">
        <v>-0.10491250000000001</v>
      </c>
      <c r="AW27" s="6">
        <v>-3147375.0000000005</v>
      </c>
      <c r="AX27" s="15">
        <v>-0.10491250000000002</v>
      </c>
      <c r="AY27" s="6">
        <v>-262281.25000000006</v>
      </c>
    </row>
    <row r="28" spans="2:51" outlineLevel="2" x14ac:dyDescent="0.25">
      <c r="B28" s="17" t="s">
        <v>145</v>
      </c>
      <c r="C28">
        <v>2</v>
      </c>
      <c r="D28">
        <v>9</v>
      </c>
      <c r="E28" s="17" t="s">
        <v>180</v>
      </c>
      <c r="F28" s="31">
        <v>-7.4374999999999983E-2</v>
      </c>
      <c r="H28" t="s">
        <v>160</v>
      </c>
      <c r="I28" s="2" t="s">
        <v>12</v>
      </c>
      <c r="J28" s="6">
        <v>-185937.49999999997</v>
      </c>
      <c r="K28" s="37">
        <v>-7.4374999999999983E-2</v>
      </c>
      <c r="L28" s="6">
        <v>-148749.99999999997</v>
      </c>
      <c r="M28" s="15">
        <v>-7.4374999999999983E-2</v>
      </c>
      <c r="N28" s="51">
        <f t="shared" si="12"/>
        <v>-111996.40226249998</v>
      </c>
      <c r="O28" s="15">
        <v>-7.4374999999999983E-2</v>
      </c>
      <c r="P28" s="6" t="str">
        <f>IFERROR(VLOOKUP($I28,RESUMO!$A$3:$M$200,2,FALSE),"")</f>
        <v/>
      </c>
      <c r="Q28" s="46" t="str">
        <f t="shared" si="13"/>
        <v/>
      </c>
      <c r="R28" s="51">
        <f t="shared" si="14"/>
        <v>-152224.16260624997</v>
      </c>
      <c r="S28" s="15">
        <v>-7.4374999999999983E-2</v>
      </c>
      <c r="T28" s="6" t="str">
        <f>IFERROR(VLOOKUP($I28,RESUMO!$A$3:$M$200,3,FALSE),"")</f>
        <v/>
      </c>
      <c r="U28" s="46" t="str">
        <f t="shared" si="15"/>
        <v/>
      </c>
      <c r="V28" s="51">
        <f t="shared" si="16"/>
        <v>-195326.85287499992</v>
      </c>
      <c r="W28" s="15">
        <v>-7.4374999999999983E-2</v>
      </c>
      <c r="X28" s="6" t="str">
        <f>IFERROR(VLOOKUP($I28,RESUMO!$A$3:$M$200,4,FALSE),"")</f>
        <v/>
      </c>
      <c r="Y28" s="46" t="str">
        <f t="shared" si="17"/>
        <v/>
      </c>
      <c r="Z28" s="51">
        <f t="shared" si="18"/>
        <v>-173078.94235624996</v>
      </c>
      <c r="AA28" s="15">
        <v>-7.4374999999999983E-2</v>
      </c>
      <c r="AB28" s="6" t="str">
        <f>IFERROR(VLOOKUP($I28,RESUMO!$A$3:$M$200,5,FALSE),"")</f>
        <v/>
      </c>
      <c r="AC28" s="46" t="str">
        <f t="shared" si="19"/>
        <v/>
      </c>
      <c r="AD28" s="6">
        <v>-190613.09505604961</v>
      </c>
      <c r="AE28" s="15">
        <v>-7.4374999999999983E-2</v>
      </c>
      <c r="AF28" s="6" t="str">
        <f>IFERROR(VLOOKUP($I28,RESUMO!$A$3:$M$200,6,FALSE),"")</f>
        <v/>
      </c>
      <c r="AG28" s="46" t="str">
        <f t="shared" si="20"/>
        <v/>
      </c>
      <c r="AH28" s="6">
        <v>-164940.80299022983</v>
      </c>
      <c r="AI28" s="15">
        <v>-7.4374999999999983E-2</v>
      </c>
      <c r="AJ28" s="6">
        <v>-167058.85285260773</v>
      </c>
      <c r="AK28" s="15">
        <v>-7.4374999999999983E-2</v>
      </c>
      <c r="AL28" s="6">
        <v>-200149.48984974914</v>
      </c>
      <c r="AM28" s="15">
        <v>-7.4374999999999983E-2</v>
      </c>
      <c r="AN28" s="6">
        <v>-221593.45849558341</v>
      </c>
      <c r="AO28" s="15">
        <v>-7.4374999999999983E-2</v>
      </c>
      <c r="AP28" s="6">
        <v>-223985.10988824649</v>
      </c>
      <c r="AQ28" s="15">
        <v>-7.4374999999999983E-2</v>
      </c>
      <c r="AR28" s="6">
        <v>-203681.26256094416</v>
      </c>
      <c r="AS28" s="15">
        <v>-7.4374999999999983E-2</v>
      </c>
      <c r="AT28" s="6">
        <v>-182700.02215034244</v>
      </c>
      <c r="AU28" s="15">
        <v>-7.4374999999999983E-2</v>
      </c>
      <c r="AW28" s="6">
        <v>-2231249.9999999995</v>
      </c>
      <c r="AX28" s="15">
        <v>-7.4374999999999983E-2</v>
      </c>
      <c r="AY28" s="6">
        <v>-185937.49999999997</v>
      </c>
    </row>
    <row r="29" spans="2:51" outlineLevel="2" x14ac:dyDescent="0.25">
      <c r="B29" s="17" t="s">
        <v>145</v>
      </c>
      <c r="C29">
        <v>2</v>
      </c>
      <c r="D29">
        <v>9</v>
      </c>
      <c r="E29" s="17" t="s">
        <v>180</v>
      </c>
      <c r="F29" s="31">
        <v>-5.6737499999999996E-2</v>
      </c>
      <c r="H29" t="s">
        <v>160</v>
      </c>
      <c r="I29" s="2" t="s">
        <v>13</v>
      </c>
      <c r="J29" s="6">
        <v>-141843.75</v>
      </c>
      <c r="K29" s="37">
        <v>-5.6737500000000003E-2</v>
      </c>
      <c r="L29" s="6">
        <v>-113474.99999999999</v>
      </c>
      <c r="M29" s="15">
        <v>-5.6737499999999989E-2</v>
      </c>
      <c r="N29" s="51">
        <f t="shared" si="12"/>
        <v>-85437.255440249995</v>
      </c>
      <c r="O29" s="15">
        <v>-5.6737500000000003E-2</v>
      </c>
      <c r="P29" s="6" t="str">
        <f>IFERROR(VLOOKUP($I29,RESUMO!$A$3:$M$200,2,FALSE),"")</f>
        <v/>
      </c>
      <c r="Q29" s="46" t="str">
        <f t="shared" si="13"/>
        <v/>
      </c>
      <c r="R29" s="51">
        <f t="shared" si="14"/>
        <v>-116125.28975962498</v>
      </c>
      <c r="S29" s="15">
        <v>-5.6737499999999996E-2</v>
      </c>
      <c r="T29" s="6" t="str">
        <f>IFERROR(VLOOKUP($I29,RESUMO!$A$3:$M$200,3,FALSE),"")</f>
        <v/>
      </c>
      <c r="U29" s="46" t="str">
        <f t="shared" si="15"/>
        <v/>
      </c>
      <c r="V29" s="51">
        <f t="shared" si="16"/>
        <v>-149006.48490749995</v>
      </c>
      <c r="W29" s="15">
        <v>-5.6737499999999989E-2</v>
      </c>
      <c r="X29" s="6" t="str">
        <f>IFERROR(VLOOKUP($I29,RESUMO!$A$3:$M$200,4,FALSE),"")</f>
        <v/>
      </c>
      <c r="Y29" s="46" t="str">
        <f t="shared" si="17"/>
        <v/>
      </c>
      <c r="Z29" s="51">
        <f t="shared" si="18"/>
        <v>-132034.50745462498</v>
      </c>
      <c r="AA29" s="15">
        <v>-5.6737499999999996E-2</v>
      </c>
      <c r="AB29" s="6" t="str">
        <f>IFERROR(VLOOKUP($I29,RESUMO!$A$3:$M$200,5,FALSE),"")</f>
        <v/>
      </c>
      <c r="AC29" s="46" t="str">
        <f t="shared" si="19"/>
        <v/>
      </c>
      <c r="AD29" s="6">
        <v>-145410.56108561502</v>
      </c>
      <c r="AE29" s="15">
        <v>-5.6737499999999996E-2</v>
      </c>
      <c r="AF29" s="6" t="str">
        <f>IFERROR(VLOOKUP($I29,RESUMO!$A$3:$M$200,6,FALSE),"")</f>
        <v/>
      </c>
      <c r="AG29" s="46" t="str">
        <f t="shared" si="20"/>
        <v/>
      </c>
      <c r="AH29" s="6">
        <v>-125826.26970968964</v>
      </c>
      <c r="AI29" s="15">
        <v>-5.6737499999999996E-2</v>
      </c>
      <c r="AJ29" s="6">
        <v>-127442.0391761322</v>
      </c>
      <c r="AK29" s="15">
        <v>-5.6737499999999996E-2</v>
      </c>
      <c r="AL29" s="6">
        <v>-152685.46797109436</v>
      </c>
      <c r="AM29" s="15">
        <v>-5.6737499999999989E-2</v>
      </c>
      <c r="AN29" s="6">
        <v>-169044.15262377364</v>
      </c>
      <c r="AO29" s="15">
        <v>-5.6737499999999989E-2</v>
      </c>
      <c r="AP29" s="6">
        <v>-170868.64097189091</v>
      </c>
      <c r="AQ29" s="15">
        <v>-5.6737499999999996E-2</v>
      </c>
      <c r="AR29" s="6">
        <v>-155379.70601077742</v>
      </c>
      <c r="AS29" s="15">
        <v>-5.6737499999999989E-2</v>
      </c>
      <c r="AT29" s="6">
        <v>-139374.01689754697</v>
      </c>
      <c r="AU29" s="15">
        <v>-5.6737500000000003E-2</v>
      </c>
      <c r="AW29" s="6">
        <v>-1702124.9999999998</v>
      </c>
      <c r="AX29" s="15">
        <v>-5.6737499999999989E-2</v>
      </c>
      <c r="AY29" s="6">
        <v>-141843.74999999997</v>
      </c>
    </row>
    <row r="30" spans="2:51" outlineLevel="2" x14ac:dyDescent="0.25">
      <c r="B30" s="17" t="s">
        <v>145</v>
      </c>
      <c r="C30">
        <v>2</v>
      </c>
      <c r="D30">
        <v>9</v>
      </c>
      <c r="E30" s="17" t="s">
        <v>180</v>
      </c>
      <c r="F30" s="31">
        <v>-6.1650000000000003E-2</v>
      </c>
      <c r="H30" t="s">
        <v>160</v>
      </c>
      <c r="I30" s="2" t="s">
        <v>14</v>
      </c>
      <c r="J30" s="6">
        <v>-154125</v>
      </c>
      <c r="K30" s="37">
        <v>-6.1650000000000003E-2</v>
      </c>
      <c r="L30" s="6">
        <v>-123300</v>
      </c>
      <c r="M30" s="15">
        <v>-6.1650000000000003E-2</v>
      </c>
      <c r="N30" s="51">
        <f t="shared" si="12"/>
        <v>-92834.664867</v>
      </c>
      <c r="O30" s="15">
        <v>-6.1650000000000003E-2</v>
      </c>
      <c r="P30" s="6">
        <f>IFERROR(VLOOKUP($I30,RESUMO!$A$3:$M$200,2,FALSE),"")</f>
        <v>1</v>
      </c>
      <c r="Q30" s="46">
        <f t="shared" si="13"/>
        <v>-0.99998922816168467</v>
      </c>
      <c r="R30" s="51">
        <f t="shared" si="14"/>
        <v>-126179.75965950001</v>
      </c>
      <c r="S30" s="15">
        <v>-6.165000000000001E-2</v>
      </c>
      <c r="T30" s="6">
        <f>IFERROR(VLOOKUP($I30,RESUMO!$A$3:$M$200,3,FALSE),"")</f>
        <v>2516.6800000000003</v>
      </c>
      <c r="U30" s="46">
        <f t="shared" si="15"/>
        <v>-0.98005480429831737</v>
      </c>
      <c r="V30" s="51">
        <f t="shared" si="16"/>
        <v>-161907.90560999999</v>
      </c>
      <c r="W30" s="15">
        <v>-6.1650000000000003E-2</v>
      </c>
      <c r="X30" s="6">
        <f>IFERROR(VLOOKUP($I30,RESUMO!$A$3:$M$200,4,FALSE),"")</f>
        <v>12217.75</v>
      </c>
      <c r="Y30" s="46">
        <f t="shared" si="17"/>
        <v>-0.92453889169915004</v>
      </c>
      <c r="Z30" s="51">
        <f t="shared" si="18"/>
        <v>-143466.44431950001</v>
      </c>
      <c r="AA30" s="15">
        <v>-6.1650000000000003E-2</v>
      </c>
      <c r="AB30" s="6">
        <f>IFERROR(VLOOKUP($I30,RESUMO!$A$3:$M$200,5,FALSE),"")</f>
        <v>962.38</v>
      </c>
      <c r="AC30" s="46">
        <f t="shared" si="19"/>
        <v>-0.99329195057028963</v>
      </c>
      <c r="AD30" s="6">
        <v>-158000.63610360285</v>
      </c>
      <c r="AE30" s="15">
        <v>-6.1650000000000003E-2</v>
      </c>
      <c r="AF30" s="6">
        <f>IFERROR(VLOOKUP($I30,RESUMO!$A$3:$M$200,6,FALSE),"")</f>
        <v>67.11</v>
      </c>
      <c r="AG30" s="46">
        <f t="shared" si="20"/>
        <v>-0.999575254874569</v>
      </c>
      <c r="AH30" s="6">
        <v>-136720.67905005274</v>
      </c>
      <c r="AI30" s="15">
        <v>-6.1650000000000003E-2</v>
      </c>
      <c r="AJ30" s="6">
        <v>-138476.34659984228</v>
      </c>
      <c r="AK30" s="15">
        <v>-6.165000000000001E-2</v>
      </c>
      <c r="AL30" s="6">
        <v>-165905.42587209464</v>
      </c>
      <c r="AM30" s="15">
        <v>-6.1650000000000003E-2</v>
      </c>
      <c r="AN30" s="6">
        <v>-183680.49366390213</v>
      </c>
      <c r="AO30" s="15">
        <v>-6.1650000000000003E-2</v>
      </c>
      <c r="AP30" s="6">
        <v>-185662.95159140031</v>
      </c>
      <c r="AQ30" s="15">
        <v>-6.1649999999999996E-2</v>
      </c>
      <c r="AR30" s="6">
        <v>-168832.93898329022</v>
      </c>
      <c r="AS30" s="15">
        <v>-6.1649999999999996E-2</v>
      </c>
      <c r="AT30" s="6">
        <v>-151441.43012529227</v>
      </c>
      <c r="AU30" s="15">
        <v>-6.1649999999999996E-2</v>
      </c>
      <c r="AW30" s="6">
        <v>-1849500</v>
      </c>
      <c r="AX30" s="15">
        <v>-6.1650000000000003E-2</v>
      </c>
      <c r="AY30" s="6">
        <v>-154125</v>
      </c>
    </row>
    <row r="31" spans="2:51" outlineLevel="2" x14ac:dyDescent="0.25">
      <c r="B31" s="17" t="s">
        <v>145</v>
      </c>
      <c r="C31">
        <v>2</v>
      </c>
      <c r="D31">
        <v>9</v>
      </c>
      <c r="E31" s="17" t="s">
        <v>180</v>
      </c>
      <c r="F31" s="31">
        <v>-5.1250000000000002E-3</v>
      </c>
      <c r="H31" t="s">
        <v>160</v>
      </c>
      <c r="I31" s="2" t="s">
        <v>15</v>
      </c>
      <c r="J31" s="6">
        <v>-12812.5</v>
      </c>
      <c r="K31" s="37">
        <v>-5.1250000000000002E-3</v>
      </c>
      <c r="L31" s="6">
        <v>-10250</v>
      </c>
      <c r="M31" s="15">
        <v>-5.1250000000000002E-3</v>
      </c>
      <c r="N31" s="51">
        <f t="shared" si="12"/>
        <v>-7717.3991475000003</v>
      </c>
      <c r="O31" s="15">
        <v>-5.1250000000000002E-3</v>
      </c>
      <c r="P31" s="6">
        <f>IFERROR(VLOOKUP($I31,RESUMO!$A$3:$M$200,2,FALSE),"")</f>
        <v>10391.839999999998</v>
      </c>
      <c r="Q31" s="46">
        <f t="shared" si="13"/>
        <v>0.34654691320020237</v>
      </c>
      <c r="R31" s="51">
        <f t="shared" si="14"/>
        <v>-10489.39607875</v>
      </c>
      <c r="S31" s="15">
        <v>-5.1250000000000002E-3</v>
      </c>
      <c r="T31" s="6">
        <f>IFERROR(VLOOKUP($I31,RESUMO!$A$3:$M$200,3,FALSE),"")</f>
        <v>19083.350000000006</v>
      </c>
      <c r="U31" s="46">
        <f t="shared" si="15"/>
        <v>0.81929921005272299</v>
      </c>
      <c r="V31" s="51">
        <f t="shared" si="16"/>
        <v>-13459.497424999998</v>
      </c>
      <c r="W31" s="15">
        <v>-5.1250000000000002E-3</v>
      </c>
      <c r="X31" s="6">
        <f>IFERROR(VLOOKUP($I31,RESUMO!$A$3:$M$200,4,FALSE),"")</f>
        <v>15728.859999999995</v>
      </c>
      <c r="Y31" s="46">
        <f t="shared" si="17"/>
        <v>0.16860678399364515</v>
      </c>
      <c r="Z31" s="51">
        <f t="shared" si="18"/>
        <v>-11926.44812875</v>
      </c>
      <c r="AA31" s="15">
        <v>-5.1250000000000002E-3</v>
      </c>
      <c r="AB31" s="6">
        <f>IFERROR(VLOOKUP($I31,RESUMO!$A$3:$M$200,5,FALSE),"")</f>
        <v>16200.64</v>
      </c>
      <c r="AC31" s="46">
        <f t="shared" si="19"/>
        <v>0.35837927814791692</v>
      </c>
      <c r="AD31" s="6">
        <v>-13134.683861005104</v>
      </c>
      <c r="AE31" s="15">
        <v>-5.1250000000000002E-3</v>
      </c>
      <c r="AF31" s="6">
        <f>IFERROR(VLOOKUP($I31,RESUMO!$A$3:$M$200,6,FALSE),"")</f>
        <v>2910.0200000000004</v>
      </c>
      <c r="AG31" s="46">
        <f t="shared" si="20"/>
        <v>-0.77844765577956454</v>
      </c>
      <c r="AH31" s="6">
        <v>-11365.668777478026</v>
      </c>
      <c r="AI31" s="15">
        <v>-5.1250000000000002E-3</v>
      </c>
      <c r="AJ31" s="6">
        <v>-11511.618431860366</v>
      </c>
      <c r="AK31" s="15">
        <v>-5.1250000000000002E-3</v>
      </c>
      <c r="AL31" s="6">
        <v>-13791.81358628524</v>
      </c>
      <c r="AM31" s="15">
        <v>-5.1250000000000002E-3</v>
      </c>
      <c r="AN31" s="6">
        <v>-15269.465207258692</v>
      </c>
      <c r="AO31" s="15">
        <v>-5.1250000000000002E-3</v>
      </c>
      <c r="AP31" s="6">
        <v>-15434.268076332955</v>
      </c>
      <c r="AQ31" s="15">
        <v>-5.1250000000000002E-3</v>
      </c>
      <c r="AR31" s="6">
        <v>-14035.179436972627</v>
      </c>
      <c r="AS31" s="15">
        <v>-5.1250000000000002E-3</v>
      </c>
      <c r="AT31" s="6">
        <v>-12589.413291032002</v>
      </c>
      <c r="AU31" s="15">
        <v>-5.1250000000000002E-3</v>
      </c>
      <c r="AW31" s="6">
        <v>-153749.99999999997</v>
      </c>
      <c r="AX31" s="15">
        <v>-5.1249999999999993E-3</v>
      </c>
      <c r="AY31" s="6">
        <v>-12812.499999999998</v>
      </c>
    </row>
    <row r="32" spans="2:51" s="3" customFormat="1" outlineLevel="1" x14ac:dyDescent="0.25">
      <c r="B32" s="10"/>
      <c r="E32" s="10"/>
      <c r="F32" s="32"/>
      <c r="I32" s="9" t="s">
        <v>16</v>
      </c>
      <c r="J32" s="8">
        <v>-349495.63098922232</v>
      </c>
      <c r="K32" s="38">
        <v>-0.13979825239568894</v>
      </c>
      <c r="L32" s="8">
        <v>-349495.63098922232</v>
      </c>
      <c r="M32" s="13">
        <v>-0.17474781549461116</v>
      </c>
      <c r="N32" s="8">
        <v>-349495.63098922232</v>
      </c>
      <c r="O32" s="13">
        <v>-0.21527998131652162</v>
      </c>
      <c r="P32" s="8">
        <f>SUM(P33:P45)</f>
        <v>298438.84999999998</v>
      </c>
      <c r="Q32" s="45">
        <f>(P32*-1)/N32-1</f>
        <v>-0.14608703646654975</v>
      </c>
      <c r="R32" s="8">
        <v>-349495.63098922232</v>
      </c>
      <c r="S32" s="13">
        <v>-0.15700696880879</v>
      </c>
      <c r="T32" s="8">
        <f>SUM(T33:T45)</f>
        <v>359850.92</v>
      </c>
      <c r="U32" s="45">
        <f>(T32*-1)/R32-1</f>
        <v>2.9629237371201933E-2</v>
      </c>
      <c r="V32" s="8">
        <v>-349495.63098922232</v>
      </c>
      <c r="W32" s="13">
        <v>-0.12480075942714584</v>
      </c>
      <c r="X32" s="8">
        <f>SUM(X33:X45)</f>
        <v>333045.58</v>
      </c>
      <c r="Y32" s="45">
        <f>(X32*-1)/V32-1</f>
        <v>-4.7067973189426238E-2</v>
      </c>
      <c r="Z32" s="8">
        <v>-349495.63098922232</v>
      </c>
      <c r="AA32" s="13">
        <v>-0.14286646206911166</v>
      </c>
      <c r="AB32" s="8">
        <f>SUM(AB33:AB45)</f>
        <v>255313.3600000001</v>
      </c>
      <c r="AC32" s="45">
        <f>(AB32*-1)/Z32-1</f>
        <v>-0.26948053892017487</v>
      </c>
      <c r="AD32" s="8">
        <v>-369175.10009796615</v>
      </c>
      <c r="AE32" s="13">
        <v>-0.14404780564374342</v>
      </c>
      <c r="AF32" s="8">
        <f>SUM(AF33:AF45)</f>
        <v>21727.68</v>
      </c>
      <c r="AG32" s="45">
        <f>(AF32*-1)/AD32-1</f>
        <v>-0.94114532644743853</v>
      </c>
      <c r="AH32" s="8">
        <v>-369175.10009796615</v>
      </c>
      <c r="AI32" s="13">
        <v>-0.16646819690463521</v>
      </c>
      <c r="AJ32" s="8">
        <v>-369175.10009796615</v>
      </c>
      <c r="AK32" s="13">
        <v>-0.16435763565317471</v>
      </c>
      <c r="AL32" s="8">
        <v>-369175.10009796615</v>
      </c>
      <c r="AM32" s="13">
        <v>-0.13718445193339393</v>
      </c>
      <c r="AN32" s="8">
        <v>-369175.10009796615</v>
      </c>
      <c r="AO32" s="13">
        <v>-0.12390888366559558</v>
      </c>
      <c r="AP32" s="8">
        <v>-369175.10009796615</v>
      </c>
      <c r="AQ32" s="13">
        <v>-0.12258581868895492</v>
      </c>
      <c r="AR32" s="8">
        <v>-369175.10009796615</v>
      </c>
      <c r="AS32" s="13">
        <v>-0.13480571420540269</v>
      </c>
      <c r="AT32" s="8">
        <v>-369175.10009796615</v>
      </c>
      <c r="AU32" s="13">
        <v>-0.1502867801909282</v>
      </c>
      <c r="AV32" s="16"/>
      <c r="AW32" s="8">
        <v>-4351383.3247406175</v>
      </c>
      <c r="AX32" s="13">
        <v>-0.14504611082468724</v>
      </c>
      <c r="AY32" s="8">
        <v>-362615.27706171828</v>
      </c>
    </row>
    <row r="33" spans="2:51" outlineLevel="2" x14ac:dyDescent="0.25">
      <c r="E33" s="17" t="s">
        <v>155</v>
      </c>
      <c r="F33" s="35">
        <v>-4320</v>
      </c>
      <c r="H33" t="s">
        <v>161</v>
      </c>
      <c r="I33" s="2" t="s">
        <v>17</v>
      </c>
      <c r="J33" s="6">
        <v>-4320</v>
      </c>
      <c r="K33" s="37">
        <v>-1.7279999999999999E-3</v>
      </c>
      <c r="L33" s="6">
        <v>-4320</v>
      </c>
      <c r="M33" s="15">
        <v>-2.16E-3</v>
      </c>
      <c r="N33" s="6">
        <v>-4320</v>
      </c>
      <c r="O33" s="15">
        <v>-2.6610047074266657E-3</v>
      </c>
      <c r="P33" s="6">
        <f>IFERROR(VLOOKUP($I33,RESUMO!$A$3:$M$200,2,FALSE),"")</f>
        <v>4543.34</v>
      </c>
      <c r="Q33" s="46">
        <f t="shared" si="13"/>
        <v>5.1699074074074147E-2</v>
      </c>
      <c r="R33" s="6">
        <v>-4320</v>
      </c>
      <c r="S33" s="15">
        <v>-1.9407112567735908E-3</v>
      </c>
      <c r="T33" s="6">
        <f>IFERROR(VLOOKUP($I33,RESUMO!$A$3:$M$200,3,FALSE),"")</f>
        <v>6905.72</v>
      </c>
      <c r="U33" s="46">
        <f t="shared" ref="U33:U45" si="24">IFERROR((T33*-1)/R33-1,"")</f>
        <v>0.59854629629629641</v>
      </c>
      <c r="V33" s="6">
        <v>-4320</v>
      </c>
      <c r="W33" s="15">
        <v>-1.5426209455015932E-3</v>
      </c>
      <c r="X33" s="6">
        <f>IFERROR(VLOOKUP($I33,RESUMO!$A$3:$M$200,4,FALSE),"")</f>
        <v>8155.15</v>
      </c>
      <c r="Y33" s="46">
        <f t="shared" ref="Y33:Y45" si="25">IFERROR((X33*-1)/V33-1,"")</f>
        <v>0.88776620370370352</v>
      </c>
      <c r="Z33" s="6">
        <v>-4320</v>
      </c>
      <c r="AA33" s="15">
        <v>-1.7659251258496989E-3</v>
      </c>
      <c r="AB33" s="6">
        <f>IFERROR(VLOOKUP($I33,RESUMO!$A$3:$M$200,5,FALSE),"")</f>
        <v>8554.02</v>
      </c>
      <c r="AC33" s="46">
        <f t="shared" ref="AC33:AC45" si="26">IFERROR((AB33*-1)/Z33-1,"")</f>
        <v>0.9800972222222224</v>
      </c>
      <c r="AD33" s="6">
        <v>-4320</v>
      </c>
      <c r="AE33" s="15">
        <v>-1.6856134669316499E-3</v>
      </c>
      <c r="AF33" s="6">
        <f>IFERROR(VLOOKUP($I33,RESUMO!$A$3:$M$200,6,FALSE),"")</f>
        <v>0</v>
      </c>
      <c r="AG33" s="46">
        <f t="shared" ref="AG33:AG45" si="27">IFERROR((AF33*-1)/AD33-1,"")</f>
        <v>-1</v>
      </c>
      <c r="AH33" s="6">
        <v>-4320</v>
      </c>
      <c r="AI33" s="15">
        <v>-1.947971600568914E-3</v>
      </c>
      <c r="AJ33" s="6">
        <v>-4320</v>
      </c>
      <c r="AK33" s="15">
        <v>-1.9232743103023444E-3</v>
      </c>
      <c r="AL33" s="6">
        <v>-4320</v>
      </c>
      <c r="AM33" s="15">
        <v>-1.6053001196315697E-3</v>
      </c>
      <c r="AN33" s="6">
        <v>-4320</v>
      </c>
      <c r="AO33" s="15">
        <v>-1.4499525490568746E-3</v>
      </c>
      <c r="AP33" s="6">
        <v>-4320</v>
      </c>
      <c r="AQ33" s="15">
        <v>-1.4344703545709223E-3</v>
      </c>
      <c r="AR33" s="6">
        <v>-4320</v>
      </c>
      <c r="AS33" s="15">
        <v>-1.5774646914507547E-3</v>
      </c>
      <c r="AT33" s="6">
        <v>-4320</v>
      </c>
      <c r="AU33" s="15">
        <v>-1.7586204764420041E-3</v>
      </c>
      <c r="AW33" s="6">
        <v>-51840</v>
      </c>
      <c r="AX33" s="15">
        <v>-1.7279999999999999E-3</v>
      </c>
      <c r="AY33" s="6">
        <v>-4320</v>
      </c>
    </row>
    <row r="34" spans="2:51" outlineLevel="2" x14ac:dyDescent="0.25">
      <c r="B34" s="17" t="s">
        <v>152</v>
      </c>
      <c r="C34">
        <v>1</v>
      </c>
      <c r="D34">
        <v>9</v>
      </c>
      <c r="E34" s="17" t="s">
        <v>181</v>
      </c>
      <c r="F34" s="35">
        <v>-19046.924444444445</v>
      </c>
      <c r="H34" t="s">
        <v>160</v>
      </c>
      <c r="I34" s="2" t="s">
        <v>18</v>
      </c>
      <c r="J34" s="6">
        <v>-19046.924444444445</v>
      </c>
      <c r="K34" s="37">
        <v>-7.618769777777778E-3</v>
      </c>
      <c r="L34" s="6">
        <v>-19046.924444444445</v>
      </c>
      <c r="M34" s="15">
        <v>-9.5234622222222232E-3</v>
      </c>
      <c r="N34" s="6">
        <v>-19046.924444444445</v>
      </c>
      <c r="O34" s="15">
        <v>-1.1732397131635808E-2</v>
      </c>
      <c r="P34" s="6">
        <f>IFERROR(VLOOKUP($I34,RESUMO!$A$3:$M$200,2,FALSE),"")</f>
        <v>14950.47</v>
      </c>
      <c r="Q34" s="46">
        <f t="shared" si="13"/>
        <v>-0.21507170128137343</v>
      </c>
      <c r="R34" s="6">
        <v>-19046.924444444445</v>
      </c>
      <c r="S34" s="15">
        <v>-8.5566158972799553E-3</v>
      </c>
      <c r="T34" s="6">
        <f>IFERROR(VLOOKUP($I34,RESUMO!$A$3:$M$200,3,FALSE),"")</f>
        <v>21105.59</v>
      </c>
      <c r="U34" s="46">
        <f t="shared" si="24"/>
        <v>0.10808388312560457</v>
      </c>
      <c r="V34" s="6">
        <v>-19046.924444444445</v>
      </c>
      <c r="W34" s="15">
        <v>-6.8014316193023838E-3</v>
      </c>
      <c r="X34" s="6">
        <f>IFERROR(VLOOKUP($I34,RESUMO!$A$3:$M$200,4,FALSE),"")</f>
        <v>9382.1299999999992</v>
      </c>
      <c r="Y34" s="46">
        <f t="shared" si="25"/>
        <v>-0.50742021225707368</v>
      </c>
      <c r="Z34" s="6">
        <v>-19046.924444444445</v>
      </c>
      <c r="AA34" s="15">
        <v>-7.7859820478252927E-3</v>
      </c>
      <c r="AB34" s="6">
        <f>IFERROR(VLOOKUP($I34,RESUMO!$A$3:$M$200,5,FALSE),"")</f>
        <v>16740.669999999998</v>
      </c>
      <c r="AC34" s="46">
        <f t="shared" si="26"/>
        <v>-0.12108277381848531</v>
      </c>
      <c r="AD34" s="6">
        <v>-19046.924444444445</v>
      </c>
      <c r="AE34" s="15">
        <v>-7.4318871174039796E-3</v>
      </c>
      <c r="AF34" s="6">
        <f>IFERROR(VLOOKUP($I34,RESUMO!$A$3:$M$200,6,FALSE),"")</f>
        <v>5750.17</v>
      </c>
      <c r="AG34" s="46">
        <f t="shared" si="27"/>
        <v>-0.69810506589806975</v>
      </c>
      <c r="AH34" s="6">
        <v>-19046.924444444445</v>
      </c>
      <c r="AI34" s="15">
        <v>-8.5886268277684304E-3</v>
      </c>
      <c r="AJ34" s="6">
        <v>-19046.924444444445</v>
      </c>
      <c r="AK34" s="15">
        <v>-8.4797362208957755E-3</v>
      </c>
      <c r="AL34" s="6">
        <v>-19046.924444444445</v>
      </c>
      <c r="AM34" s="15">
        <v>-7.0777847428889198E-3</v>
      </c>
      <c r="AN34" s="6">
        <v>-19046.924444444445</v>
      </c>
      <c r="AO34" s="15">
        <v>-6.3928557059990555E-3</v>
      </c>
      <c r="AP34" s="6">
        <v>-19046.924444444445</v>
      </c>
      <c r="AQ34" s="15">
        <v>-6.324594551228655E-3</v>
      </c>
      <c r="AR34" s="6">
        <v>-19046.924444444445</v>
      </c>
      <c r="AS34" s="15">
        <v>-6.9550580536669893E-3</v>
      </c>
      <c r="AT34" s="6">
        <v>-19046.924444444445</v>
      </c>
      <c r="AU34" s="15">
        <v>-7.7537757734360523E-3</v>
      </c>
      <c r="AW34" s="6">
        <v>-228563.09333333335</v>
      </c>
      <c r="AX34" s="15">
        <v>-7.618769777777778E-3</v>
      </c>
      <c r="AY34" s="6">
        <v>-19046.924444444445</v>
      </c>
    </row>
    <row r="35" spans="2:51" outlineLevel="2" x14ac:dyDescent="0.25">
      <c r="E35" s="17" t="s">
        <v>155</v>
      </c>
      <c r="F35" s="35">
        <v>-2194.0299999999997</v>
      </c>
      <c r="H35" t="s">
        <v>161</v>
      </c>
      <c r="I35" s="2" t="s">
        <v>19</v>
      </c>
      <c r="J35" s="6">
        <v>-2194.0299999999997</v>
      </c>
      <c r="K35" s="37">
        <v>-8.7761199999999995E-4</v>
      </c>
      <c r="L35" s="6">
        <v>-2194.0299999999997</v>
      </c>
      <c r="M35" s="15">
        <v>-1.0970149999999998E-3</v>
      </c>
      <c r="N35" s="6">
        <v>-2194.0299999999997</v>
      </c>
      <c r="O35" s="15">
        <v>-1.3514639255174366E-3</v>
      </c>
      <c r="P35" s="6">
        <f>IFERROR(VLOOKUP($I35,RESUMO!$A$3:$M$200,2,FALSE),"")</f>
        <v>1899.2</v>
      </c>
      <c r="Q35" s="46">
        <f t="shared" si="13"/>
        <v>-0.13437829017834746</v>
      </c>
      <c r="R35" s="6">
        <v>-2194.0299999999997</v>
      </c>
      <c r="S35" s="15">
        <v>-9.8564322192105577E-4</v>
      </c>
      <c r="T35" s="6">
        <f>IFERROR(VLOOKUP($I35,RESUMO!$A$3:$M$200,3,FALSE),"")</f>
        <v>1694.1599999999999</v>
      </c>
      <c r="U35" s="46">
        <f t="shared" si="24"/>
        <v>-0.2278318892631368</v>
      </c>
      <c r="V35" s="6">
        <v>-2194.0299999999997</v>
      </c>
      <c r="W35" s="15">
        <v>-7.8346218357843985E-4</v>
      </c>
      <c r="X35" s="6">
        <f>IFERROR(VLOOKUP($I35,RESUMO!$A$3:$M$200,4,FALSE),"")</f>
        <v>0</v>
      </c>
      <c r="Y35" s="46">
        <f t="shared" si="25"/>
        <v>-1</v>
      </c>
      <c r="Z35" s="6">
        <v>-2194.0299999999997</v>
      </c>
      <c r="AA35" s="15">
        <v>-8.9687331108055895E-4</v>
      </c>
      <c r="AB35" s="6">
        <f>IFERROR(VLOOKUP($I35,RESUMO!$A$3:$M$200,5,FALSE),"")</f>
        <v>1307.92</v>
      </c>
      <c r="AC35" s="46">
        <f t="shared" si="26"/>
        <v>-0.40387323783175244</v>
      </c>
      <c r="AD35" s="6">
        <v>-2194.0299999999997</v>
      </c>
      <c r="AE35" s="15">
        <v>-8.5608484140093689E-4</v>
      </c>
      <c r="AF35" s="6">
        <f>IFERROR(VLOOKUP($I35,RESUMO!$A$3:$M$200,6,FALSE),"")</f>
        <v>9103.6</v>
      </c>
      <c r="AG35" s="46">
        <f t="shared" si="27"/>
        <v>3.1492595816830224</v>
      </c>
      <c r="AH35" s="6">
        <v>-2194.0299999999997</v>
      </c>
      <c r="AI35" s="15">
        <v>-9.8933058583245683E-4</v>
      </c>
      <c r="AJ35" s="6">
        <v>-2194.0299999999997</v>
      </c>
      <c r="AK35" s="15">
        <v>-9.7678739236866947E-4</v>
      </c>
      <c r="AL35" s="6">
        <v>-2194.0299999999997</v>
      </c>
      <c r="AM35" s="15">
        <v>-8.152955142303824E-4</v>
      </c>
      <c r="AN35" s="6">
        <v>-2194.0299999999997</v>
      </c>
      <c r="AO35" s="15">
        <v>-7.3639800722390147E-4</v>
      </c>
      <c r="AP35" s="6">
        <v>-2194.0299999999997</v>
      </c>
      <c r="AQ35" s="15">
        <v>-7.2853495186093532E-4</v>
      </c>
      <c r="AR35" s="6">
        <v>-2194.0299999999997</v>
      </c>
      <c r="AS35" s="15">
        <v>-8.0115853170918954E-4</v>
      </c>
      <c r="AT35" s="6">
        <v>-2194.0299999999997</v>
      </c>
      <c r="AU35" s="15">
        <v>-8.9316344535371526E-4</v>
      </c>
      <c r="AW35" s="6">
        <v>-26328.35999999999</v>
      </c>
      <c r="AX35" s="15">
        <v>-8.7761199999999962E-4</v>
      </c>
      <c r="AY35" s="6">
        <v>-2194.0299999999993</v>
      </c>
    </row>
    <row r="36" spans="2:51" outlineLevel="2" x14ac:dyDescent="0.25">
      <c r="E36" s="17" t="s">
        <v>20</v>
      </c>
      <c r="F36" s="35" t="s">
        <v>150</v>
      </c>
      <c r="H36" t="s">
        <v>161</v>
      </c>
      <c r="I36" s="2" t="s">
        <v>20</v>
      </c>
      <c r="J36" s="6">
        <v>-208162.68670000002</v>
      </c>
      <c r="K36" s="37">
        <v>-8.3265074680000009E-2</v>
      </c>
      <c r="L36" s="6">
        <v>-208162.68670000002</v>
      </c>
      <c r="M36" s="15">
        <v>-0.10408134335000001</v>
      </c>
      <c r="N36" s="6">
        <v>-208162.68670000002</v>
      </c>
      <c r="O36" s="15">
        <v>-0.1282226595415005</v>
      </c>
      <c r="P36" s="6">
        <f>IFERROR(VLOOKUP($I36,RESUMO!$A$3:$M$200,2,FALSE),"")</f>
        <v>185861.81</v>
      </c>
      <c r="Q36" s="46">
        <f t="shared" si="13"/>
        <v>-0.10713196036011785</v>
      </c>
      <c r="R36" s="6">
        <v>-208162.68670000002</v>
      </c>
      <c r="S36" s="15">
        <v>-9.3514738268269504E-2</v>
      </c>
      <c r="T36" s="6">
        <f>IFERROR(VLOOKUP($I36,RESUMO!$A$3:$M$200,3,FALSE),"")</f>
        <v>205896.33000000002</v>
      </c>
      <c r="U36" s="46">
        <f t="shared" si="24"/>
        <v>-1.0887430095799178E-2</v>
      </c>
      <c r="V36" s="6">
        <v>-208162.68670000002</v>
      </c>
      <c r="W36" s="15">
        <v>-7.4332435318357856E-2</v>
      </c>
      <c r="X36" s="6">
        <f>IFERROR(VLOOKUP($I36,RESUMO!$A$3:$M$200,4,FALSE),"")</f>
        <v>218151.71</v>
      </c>
      <c r="Y36" s="46">
        <f t="shared" si="25"/>
        <v>4.798661786295999E-2</v>
      </c>
      <c r="Z36" s="6">
        <v>-208162.68670000002</v>
      </c>
      <c r="AA36" s="15">
        <v>-8.5092527478682636E-2</v>
      </c>
      <c r="AB36" s="6">
        <f>IFERROR(VLOOKUP($I36,RESUMO!$A$3:$M$200,5,FALSE),"")</f>
        <v>202715.75000000009</v>
      </c>
      <c r="AC36" s="46">
        <f t="shared" si="26"/>
        <v>-2.6166729428554802E-2</v>
      </c>
      <c r="AD36" s="6">
        <v>-221693.26133550002</v>
      </c>
      <c r="AE36" s="15">
        <v>-8.6502117322943634E-2</v>
      </c>
      <c r="AF36" s="6">
        <f>IFERROR(VLOOKUP($I36,RESUMO!$A$3:$M$200,6,FALSE),"")</f>
        <v>3820.7</v>
      </c>
      <c r="AG36" s="46">
        <f t="shared" si="27"/>
        <v>-0.98276582708475768</v>
      </c>
      <c r="AH36" s="6">
        <v>-221693.26133550002</v>
      </c>
      <c r="AI36" s="15">
        <v>-9.9965781740522341E-2</v>
      </c>
      <c r="AJ36" s="6">
        <v>-221693.26133550002</v>
      </c>
      <c r="AK36" s="15">
        <v>-9.8698369049470172E-2</v>
      </c>
      <c r="AL36" s="6">
        <v>-221693.26133550002</v>
      </c>
      <c r="AM36" s="15">
        <v>-8.2380606236896067E-2</v>
      </c>
      <c r="AN36" s="6">
        <v>-221693.26133550002</v>
      </c>
      <c r="AO36" s="15">
        <v>-7.4408497542162069E-2</v>
      </c>
      <c r="AP36" s="6">
        <v>-221693.26133550002</v>
      </c>
      <c r="AQ36" s="15">
        <v>-7.3613984072666408E-2</v>
      </c>
      <c r="AR36" s="6">
        <v>-221693.26133550002</v>
      </c>
      <c r="AS36" s="15">
        <v>-8.0952150946600937E-2</v>
      </c>
      <c r="AT36" s="6">
        <v>-221693.26133550002</v>
      </c>
      <c r="AU36" s="15">
        <v>-9.0248682609680275E-2</v>
      </c>
      <c r="AW36" s="6">
        <v>-2606196.8374840003</v>
      </c>
      <c r="AX36" s="15">
        <v>-8.6873227916133347E-2</v>
      </c>
      <c r="AY36" s="6">
        <v>-217183.06979033336</v>
      </c>
    </row>
    <row r="37" spans="2:51" outlineLevel="2" x14ac:dyDescent="0.25">
      <c r="B37" s="17" t="s">
        <v>152</v>
      </c>
      <c r="C37">
        <v>1</v>
      </c>
      <c r="D37">
        <v>9</v>
      </c>
      <c r="E37" s="17" t="s">
        <v>181</v>
      </c>
      <c r="F37" s="35">
        <v>-122.7</v>
      </c>
      <c r="H37" t="s">
        <v>161</v>
      </c>
      <c r="I37" s="2" t="s">
        <v>21</v>
      </c>
      <c r="J37" s="6">
        <v>-122.7</v>
      </c>
      <c r="K37" s="37">
        <v>-4.9080000000000004E-5</v>
      </c>
      <c r="L37" s="6">
        <v>-122.7</v>
      </c>
      <c r="M37" s="15">
        <v>-6.135E-5</v>
      </c>
      <c r="N37" s="6">
        <v>-122.7</v>
      </c>
      <c r="O37" s="15">
        <v>-7.5579925370660147E-5</v>
      </c>
      <c r="P37" s="6" t="str">
        <f>IFERROR(VLOOKUP($I37,RESUMO!$A$3:$M$200,2,FALSE),"")</f>
        <v/>
      </c>
      <c r="Q37" s="46" t="str">
        <f t="shared" si="13"/>
        <v/>
      </c>
      <c r="R37" s="6">
        <v>-122.7</v>
      </c>
      <c r="S37" s="15">
        <v>-5.5121590556972129E-5</v>
      </c>
      <c r="T37" s="6" t="str">
        <f>IFERROR(VLOOKUP($I37,RESUMO!$A$3:$M$200,3,FALSE),"")</f>
        <v/>
      </c>
      <c r="U37" s="46" t="str">
        <f t="shared" si="24"/>
        <v/>
      </c>
      <c r="V37" s="6">
        <v>-122.7</v>
      </c>
      <c r="W37" s="15">
        <v>-4.3814719910427195E-5</v>
      </c>
      <c r="X37" s="6" t="str">
        <f>IFERROR(VLOOKUP($I37,RESUMO!$A$3:$M$200,4,FALSE),"")</f>
        <v/>
      </c>
      <c r="Y37" s="46" t="str">
        <f t="shared" si="25"/>
        <v/>
      </c>
      <c r="Z37" s="6">
        <v>-122.7</v>
      </c>
      <c r="AA37" s="15">
        <v>-5.015717892170326E-5</v>
      </c>
      <c r="AB37" s="6" t="str">
        <f>IFERROR(VLOOKUP($I37,RESUMO!$A$3:$M$200,5,FALSE),"")</f>
        <v/>
      </c>
      <c r="AC37" s="46" t="str">
        <f t="shared" si="26"/>
        <v/>
      </c>
      <c r="AD37" s="6">
        <v>-122.7</v>
      </c>
      <c r="AE37" s="15">
        <v>-4.7876104720489225E-5</v>
      </c>
      <c r="AF37" s="6" t="str">
        <f>IFERROR(VLOOKUP($I37,RESUMO!$A$3:$M$200,6,FALSE),"")</f>
        <v/>
      </c>
      <c r="AG37" s="46" t="str">
        <f t="shared" si="27"/>
        <v/>
      </c>
      <c r="AH37" s="6">
        <v>-122.7</v>
      </c>
      <c r="AI37" s="15">
        <v>-5.5327804488380962E-5</v>
      </c>
      <c r="AJ37" s="6">
        <v>-122.7</v>
      </c>
      <c r="AK37" s="15">
        <v>-5.4626332841226309E-5</v>
      </c>
      <c r="AL37" s="6">
        <v>-122.7</v>
      </c>
      <c r="AM37" s="15">
        <v>-4.5594982564535551E-5</v>
      </c>
      <c r="AN37" s="6">
        <v>-122.7</v>
      </c>
      <c r="AO37" s="15">
        <v>-4.1182680039184849E-5</v>
      </c>
      <c r="AP37" s="6">
        <v>-122.7</v>
      </c>
      <c r="AQ37" s="15">
        <v>-4.0742942709688006E-5</v>
      </c>
      <c r="AR37" s="6">
        <v>-122.7</v>
      </c>
      <c r="AS37" s="15">
        <v>-4.4804379083566573E-5</v>
      </c>
      <c r="AT37" s="6">
        <v>-122.7</v>
      </c>
      <c r="AU37" s="15">
        <v>-4.9949706587831924E-5</v>
      </c>
      <c r="AW37" s="6">
        <v>-1472.4000000000003</v>
      </c>
      <c r="AX37" s="15">
        <v>-4.9080000000000011E-5</v>
      </c>
      <c r="AY37" s="6">
        <v>-122.70000000000003</v>
      </c>
    </row>
    <row r="38" spans="2:51" outlineLevel="2" x14ac:dyDescent="0.25">
      <c r="E38" s="17" t="s">
        <v>148</v>
      </c>
      <c r="F38" s="31">
        <v>8.3333333333333329E-2</v>
      </c>
      <c r="H38" t="s">
        <v>161</v>
      </c>
      <c r="I38" s="2" t="s">
        <v>22</v>
      </c>
      <c r="J38" s="6">
        <v>-17346.890558333333</v>
      </c>
      <c r="K38" s="37">
        <v>-6.9387562233333326E-3</v>
      </c>
      <c r="L38" s="6">
        <v>-17346.890558333333</v>
      </c>
      <c r="M38" s="15">
        <v>-8.6734452791666656E-3</v>
      </c>
      <c r="N38" s="6">
        <v>-17346.890558333333</v>
      </c>
      <c r="O38" s="15">
        <v>-1.0685221628458374E-2</v>
      </c>
      <c r="P38" s="6" t="str">
        <f>IFERROR(VLOOKUP($I38,RESUMO!$A$3:$M$200,2,FALSE),"")</f>
        <v/>
      </c>
      <c r="Q38" s="46" t="str">
        <f t="shared" si="13"/>
        <v/>
      </c>
      <c r="R38" s="6">
        <v>-17346.890558333333</v>
      </c>
      <c r="S38" s="15">
        <v>-7.7928948556891245E-3</v>
      </c>
      <c r="T38" s="6" t="str">
        <f>IFERROR(VLOOKUP($I38,RESUMO!$A$3:$M$200,3,FALSE),"")</f>
        <v/>
      </c>
      <c r="U38" s="46" t="str">
        <f t="shared" si="24"/>
        <v/>
      </c>
      <c r="V38" s="6">
        <v>-17346.890558333333</v>
      </c>
      <c r="W38" s="15">
        <v>-6.1943696098631538E-3</v>
      </c>
      <c r="X38" s="6" t="str">
        <f>IFERROR(VLOOKUP($I38,RESUMO!$A$3:$M$200,4,FALSE),"")</f>
        <v/>
      </c>
      <c r="Y38" s="46" t="str">
        <f t="shared" si="25"/>
        <v/>
      </c>
      <c r="Z38" s="6">
        <v>-17346.890558333333</v>
      </c>
      <c r="AA38" s="15">
        <v>-7.0910439565568858E-3</v>
      </c>
      <c r="AB38" s="6" t="str">
        <f>IFERROR(VLOOKUP($I38,RESUMO!$A$3:$M$200,5,FALSE),"")</f>
        <v/>
      </c>
      <c r="AC38" s="46" t="str">
        <f t="shared" si="26"/>
        <v/>
      </c>
      <c r="AD38" s="6">
        <v>-18474.438444625001</v>
      </c>
      <c r="AE38" s="15">
        <v>-7.2085097769119689E-3</v>
      </c>
      <c r="AF38" s="6" t="str">
        <f>IFERROR(VLOOKUP($I38,RESUMO!$A$3:$M$200,6,FALSE),"")</f>
        <v/>
      </c>
      <c r="AG38" s="46" t="str">
        <f t="shared" si="27"/>
        <v/>
      </c>
      <c r="AH38" s="6">
        <v>-18474.438444625001</v>
      </c>
      <c r="AI38" s="15">
        <v>-8.3304818117101945E-3</v>
      </c>
      <c r="AJ38" s="6">
        <v>-18474.438444625001</v>
      </c>
      <c r="AK38" s="15">
        <v>-8.2248640874558483E-3</v>
      </c>
      <c r="AL38" s="6">
        <v>-18474.438444625001</v>
      </c>
      <c r="AM38" s="15">
        <v>-6.8650505197413387E-3</v>
      </c>
      <c r="AN38" s="6">
        <v>-18474.438444625001</v>
      </c>
      <c r="AO38" s="15">
        <v>-6.2007081285135055E-3</v>
      </c>
      <c r="AP38" s="6">
        <v>-18474.438444625001</v>
      </c>
      <c r="AQ38" s="15">
        <v>-6.1344986727221995E-3</v>
      </c>
      <c r="AR38" s="6">
        <v>-18474.438444625001</v>
      </c>
      <c r="AS38" s="15">
        <v>-6.7460125788834108E-3</v>
      </c>
      <c r="AT38" s="6">
        <v>-18474.438444625001</v>
      </c>
      <c r="AU38" s="15">
        <v>-7.5207235508066893E-3</v>
      </c>
      <c r="AW38" s="6">
        <v>-217183.06979033336</v>
      </c>
      <c r="AX38" s="15">
        <v>-7.2394356596777792E-3</v>
      </c>
      <c r="AY38" s="6">
        <v>-18098.589149194446</v>
      </c>
    </row>
    <row r="39" spans="2:51" outlineLevel="2" x14ac:dyDescent="0.25">
      <c r="B39" s="17" t="s">
        <v>152</v>
      </c>
      <c r="C39">
        <v>1</v>
      </c>
      <c r="D39">
        <v>9</v>
      </c>
      <c r="E39" s="17" t="s">
        <v>181</v>
      </c>
      <c r="F39" s="35">
        <v>-7819.0999999999995</v>
      </c>
      <c r="H39" t="s">
        <v>161</v>
      </c>
      <c r="I39" s="2" t="s">
        <v>23</v>
      </c>
      <c r="J39" s="6">
        <v>-7819.0999999999995</v>
      </c>
      <c r="K39" s="37">
        <v>-3.1276399999999997E-3</v>
      </c>
      <c r="L39" s="6">
        <v>-7819.0999999999995</v>
      </c>
      <c r="M39" s="15">
        <v>-3.9095499999999995E-3</v>
      </c>
      <c r="N39" s="6">
        <v>-7819.0999999999995</v>
      </c>
      <c r="O39" s="15">
        <v>-4.8163569231110736E-3</v>
      </c>
      <c r="P39" s="6">
        <f>IFERROR(VLOOKUP($I39,RESUMO!$A$3:$M$200,2,FALSE),"")</f>
        <v>6816.55</v>
      </c>
      <c r="Q39" s="46">
        <f t="shared" si="13"/>
        <v>-0.1282180813648629</v>
      </c>
      <c r="R39" s="6">
        <v>-7819.0999999999995</v>
      </c>
      <c r="S39" s="15">
        <v>-3.5126424508885143E-3</v>
      </c>
      <c r="T39" s="6">
        <f>IFERROR(VLOOKUP($I39,RESUMO!$A$3:$M$200,3,FALSE),"")</f>
        <v>9992.25</v>
      </c>
      <c r="U39" s="46">
        <f t="shared" si="24"/>
        <v>0.27792840608254155</v>
      </c>
      <c r="V39" s="6">
        <v>-7819.0999999999995</v>
      </c>
      <c r="W39" s="15">
        <v>-2.7921082025397005E-3</v>
      </c>
      <c r="X39" s="6">
        <f>IFERROR(VLOOKUP($I39,RESUMO!$A$3:$M$200,4,FALSE),"")</f>
        <v>8223.1</v>
      </c>
      <c r="Y39" s="46">
        <f t="shared" si="25"/>
        <v>5.1668350577432243E-2</v>
      </c>
      <c r="Z39" s="6">
        <v>-7819.0999999999995</v>
      </c>
      <c r="AA39" s="15">
        <v>-3.196283599891523E-3</v>
      </c>
      <c r="AB39" s="6">
        <f>IFERROR(VLOOKUP($I39,RESUMO!$A$3:$M$200,5,FALSE),"")</f>
        <v>1988.1</v>
      </c>
      <c r="AC39" s="46">
        <f t="shared" si="26"/>
        <v>-0.74573800053714623</v>
      </c>
      <c r="AD39" s="6">
        <v>-7819.0999999999995</v>
      </c>
      <c r="AE39" s="15">
        <v>-3.0509213563160329E-3</v>
      </c>
      <c r="AF39" s="6">
        <f>IFERROR(VLOOKUP($I39,RESUMO!$A$3:$M$200,6,FALSE),"")</f>
        <v>0</v>
      </c>
      <c r="AG39" s="46">
        <f t="shared" si="27"/>
        <v>-1</v>
      </c>
      <c r="AH39" s="6">
        <v>-7819.0999999999995</v>
      </c>
      <c r="AI39" s="15">
        <v>-3.5257835050945359E-3</v>
      </c>
      <c r="AJ39" s="6">
        <v>-7819.0999999999995</v>
      </c>
      <c r="AK39" s="15">
        <v>-3.4810819814085786E-3</v>
      </c>
      <c r="AL39" s="6">
        <v>-7819.0999999999995</v>
      </c>
      <c r="AM39" s="15">
        <v>-2.9055560568081494E-3</v>
      </c>
      <c r="AN39" s="6">
        <v>-7819.0999999999995</v>
      </c>
      <c r="AO39" s="15">
        <v>-2.6243805500765298E-3</v>
      </c>
      <c r="AP39" s="6">
        <v>-7819.0999999999995</v>
      </c>
      <c r="AQ39" s="15">
        <v>-2.5963581364410876E-3</v>
      </c>
      <c r="AR39" s="6">
        <v>-7819.0999999999995</v>
      </c>
      <c r="AS39" s="15">
        <v>-2.8551745761394897E-3</v>
      </c>
      <c r="AT39" s="6">
        <v>-7819.0999999999995</v>
      </c>
      <c r="AU39" s="15">
        <v>-3.1830623535527023E-3</v>
      </c>
      <c r="AW39" s="6">
        <v>-93829.200000000012</v>
      </c>
      <c r="AX39" s="15">
        <v>-3.1276400000000005E-3</v>
      </c>
      <c r="AY39" s="6">
        <v>-7819.1000000000013</v>
      </c>
    </row>
    <row r="40" spans="2:51" outlineLevel="2" x14ac:dyDescent="0.25">
      <c r="E40" s="17" t="s">
        <v>155</v>
      </c>
      <c r="F40" s="35">
        <v>-10000</v>
      </c>
      <c r="H40" t="s">
        <v>161</v>
      </c>
      <c r="I40" s="2" t="s">
        <v>24</v>
      </c>
      <c r="J40" s="6">
        <v>-10000</v>
      </c>
      <c r="K40" s="37">
        <v>-4.0000000000000001E-3</v>
      </c>
      <c r="L40" s="6">
        <v>-10000</v>
      </c>
      <c r="M40" s="15">
        <v>-5.0000000000000001E-3</v>
      </c>
      <c r="N40" s="6">
        <v>-10000</v>
      </c>
      <c r="O40" s="15">
        <v>-6.1597331190432073E-3</v>
      </c>
      <c r="P40" s="6">
        <f>IFERROR(VLOOKUP($I40,RESUMO!$A$3:$M$200,2,FALSE),"")</f>
        <v>0</v>
      </c>
      <c r="Q40" s="46">
        <f t="shared" si="13"/>
        <v>-1</v>
      </c>
      <c r="R40" s="6">
        <v>-10000</v>
      </c>
      <c r="S40" s="15">
        <v>-4.4923871684573865E-3</v>
      </c>
      <c r="T40" s="6">
        <f>IFERROR(VLOOKUP($I40,RESUMO!$A$3:$M$200,3,FALSE),"")</f>
        <v>30936.210000000003</v>
      </c>
      <c r="U40" s="46">
        <f t="shared" si="24"/>
        <v>2.0936210000000002</v>
      </c>
      <c r="V40" s="6">
        <v>-10000</v>
      </c>
      <c r="W40" s="15">
        <v>-3.5708818182907248E-3</v>
      </c>
      <c r="X40" s="6">
        <f>IFERROR(VLOOKUP($I40,RESUMO!$A$3:$M$200,4,FALSE),"")</f>
        <v>394.44</v>
      </c>
      <c r="Y40" s="46">
        <f t="shared" si="25"/>
        <v>-0.96055599999999997</v>
      </c>
      <c r="Z40" s="6">
        <v>-10000</v>
      </c>
      <c r="AA40" s="15">
        <v>-4.0877896431705998E-3</v>
      </c>
      <c r="AB40" s="6">
        <f>IFERROR(VLOOKUP($I40,RESUMO!$A$3:$M$200,5,FALSE),"")</f>
        <v>0</v>
      </c>
      <c r="AC40" s="46">
        <f t="shared" si="26"/>
        <v>-1</v>
      </c>
      <c r="AD40" s="6">
        <v>-10000</v>
      </c>
      <c r="AE40" s="15">
        <v>-3.9018830253047449E-3</v>
      </c>
      <c r="AF40" s="6">
        <f>IFERROR(VLOOKUP($I40,RESUMO!$A$3:$M$200,6,FALSE),"")</f>
        <v>1694.75</v>
      </c>
      <c r="AG40" s="46">
        <f t="shared" si="27"/>
        <v>-0.83052499999999996</v>
      </c>
      <c r="AH40" s="6">
        <v>-10000</v>
      </c>
      <c r="AI40" s="15">
        <v>-4.5091935198354489E-3</v>
      </c>
      <c r="AJ40" s="6">
        <v>-10000</v>
      </c>
      <c r="AK40" s="15">
        <v>-4.4520238664406114E-3</v>
      </c>
      <c r="AL40" s="6">
        <v>-10000</v>
      </c>
      <c r="AM40" s="15">
        <v>-3.7159724991471517E-3</v>
      </c>
      <c r="AN40" s="6">
        <v>-10000</v>
      </c>
      <c r="AO40" s="15">
        <v>-3.356371641335358E-3</v>
      </c>
      <c r="AP40" s="6">
        <v>-10000</v>
      </c>
      <c r="AQ40" s="15">
        <v>-3.3205332281734312E-3</v>
      </c>
      <c r="AR40" s="6">
        <v>-10000</v>
      </c>
      <c r="AS40" s="15">
        <v>-3.6515386376174876E-3</v>
      </c>
      <c r="AT40" s="6">
        <v>-10000</v>
      </c>
      <c r="AU40" s="15">
        <v>-4.0708807325046392E-3</v>
      </c>
      <c r="AW40" s="6">
        <v>-120000</v>
      </c>
      <c r="AX40" s="15">
        <v>-4.0000000000000001E-3</v>
      </c>
      <c r="AY40" s="6">
        <v>-10000</v>
      </c>
    </row>
    <row r="41" spans="2:51" outlineLevel="2" x14ac:dyDescent="0.25">
      <c r="B41" s="17" t="s">
        <v>152</v>
      </c>
      <c r="C41">
        <v>1</v>
      </c>
      <c r="D41">
        <v>9</v>
      </c>
      <c r="E41" s="17" t="s">
        <v>181</v>
      </c>
      <c r="F41" s="35">
        <v>-1291.6116666666667</v>
      </c>
      <c r="H41" t="s">
        <v>161</v>
      </c>
      <c r="I41" s="2" t="s">
        <v>25</v>
      </c>
      <c r="J41" s="6">
        <v>-1291.6116666666667</v>
      </c>
      <c r="K41" s="37">
        <v>-5.1664466666666666E-4</v>
      </c>
      <c r="L41" s="6">
        <v>-1291.6116666666667</v>
      </c>
      <c r="M41" s="15">
        <v>-6.4580583333333338E-4</v>
      </c>
      <c r="N41" s="6">
        <v>-1291.6116666666667</v>
      </c>
      <c r="O41" s="15">
        <v>-7.955983160109262E-4</v>
      </c>
      <c r="P41" s="6">
        <f>IFERROR(VLOOKUP($I41,RESUMO!$A$3:$M$200,2,FALSE),"")</f>
        <v>808</v>
      </c>
      <c r="Q41" s="46">
        <f t="shared" si="13"/>
        <v>-0.37442497551508647</v>
      </c>
      <c r="R41" s="6">
        <v>-1291.6116666666667</v>
      </c>
      <c r="S41" s="15">
        <v>-5.8024196779631922E-4</v>
      </c>
      <c r="T41" s="6">
        <f>IFERROR(VLOOKUP($I41,RESUMO!$A$3:$M$200,3,FALSE),"")</f>
        <v>570</v>
      </c>
      <c r="U41" s="46">
        <f t="shared" si="24"/>
        <v>-0.55869088619257334</v>
      </c>
      <c r="V41" s="6">
        <v>-1291.6116666666667</v>
      </c>
      <c r="W41" s="15">
        <v>-4.6121926167921802E-4</v>
      </c>
      <c r="X41" s="6">
        <f>IFERROR(VLOOKUP($I41,RESUMO!$A$3:$M$200,4,FALSE),"")</f>
        <v>349.9</v>
      </c>
      <c r="Y41" s="46">
        <f t="shared" si="25"/>
        <v>-0.72909814224347613</v>
      </c>
      <c r="Z41" s="6">
        <v>-1291.6116666666667</v>
      </c>
      <c r="AA41" s="15">
        <v>-5.2798367939983163E-4</v>
      </c>
      <c r="AB41" s="6">
        <f>IFERROR(VLOOKUP($I41,RESUMO!$A$3:$M$200,5,FALSE),"")</f>
        <v>420</v>
      </c>
      <c r="AC41" s="46">
        <f t="shared" si="26"/>
        <v>-0.67482486351031723</v>
      </c>
      <c r="AD41" s="6">
        <v>-1291.6116666666667</v>
      </c>
      <c r="AE41" s="15">
        <v>-5.0397176374522372E-4</v>
      </c>
      <c r="AF41" s="6">
        <f>IFERROR(VLOOKUP($I41,RESUMO!$A$3:$M$200,6,FALSE),"")</f>
        <v>0</v>
      </c>
      <c r="AG41" s="46">
        <f t="shared" si="27"/>
        <v>-1</v>
      </c>
      <c r="AH41" s="6">
        <v>-1291.6116666666667</v>
      </c>
      <c r="AI41" s="15">
        <v>-5.8241269574771978E-4</v>
      </c>
      <c r="AJ41" s="6">
        <v>-1291.6116666666667</v>
      </c>
      <c r="AK41" s="15">
        <v>-5.750285966173136E-4</v>
      </c>
      <c r="AL41" s="6">
        <v>-1291.6116666666667</v>
      </c>
      <c r="AM41" s="15">
        <v>-4.7995934329109511E-4</v>
      </c>
      <c r="AN41" s="6">
        <v>-1291.6116666666667</v>
      </c>
      <c r="AO41" s="15">
        <v>-4.3351287696178975E-4</v>
      </c>
      <c r="AP41" s="6">
        <v>-1291.6116666666667</v>
      </c>
      <c r="AQ41" s="15">
        <v>-4.2888394570631325E-4</v>
      </c>
      <c r="AR41" s="6">
        <v>-1291.6116666666667</v>
      </c>
      <c r="AS41" s="15">
        <v>-4.7163699056308527E-4</v>
      </c>
      <c r="AT41" s="6">
        <v>-1291.6116666666667</v>
      </c>
      <c r="AU41" s="15">
        <v>-5.2579970477115384E-4</v>
      </c>
      <c r="AW41" s="6">
        <v>-15499.340000000004</v>
      </c>
      <c r="AX41" s="15">
        <v>-5.1664466666666677E-4</v>
      </c>
      <c r="AY41" s="6">
        <v>-1291.6116666666669</v>
      </c>
    </row>
    <row r="42" spans="2:51" outlineLevel="2" x14ac:dyDescent="0.25">
      <c r="E42" s="17" t="s">
        <v>156</v>
      </c>
      <c r="F42" s="35">
        <v>-1940.2016666666657</v>
      </c>
      <c r="H42" t="s">
        <v>161</v>
      </c>
      <c r="I42" s="2" t="s">
        <v>26</v>
      </c>
      <c r="J42" s="6">
        <v>-1940.2016666666657</v>
      </c>
      <c r="K42" s="37">
        <v>-7.7608066666666627E-4</v>
      </c>
      <c r="L42" s="6">
        <v>-1940.2016666666657</v>
      </c>
      <c r="M42" s="15">
        <v>-9.7010083333333289E-4</v>
      </c>
      <c r="N42" s="6">
        <v>-1940.2016666666657</v>
      </c>
      <c r="O42" s="15">
        <v>-1.1951124463789489E-3</v>
      </c>
      <c r="P42" s="6">
        <f>IFERROR(VLOOKUP($I42,RESUMO!$A$3:$M$200,2,FALSE),"")</f>
        <v>1983.19</v>
      </c>
      <c r="Q42" s="46">
        <f t="shared" si="13"/>
        <v>2.2156631484184786E-2</v>
      </c>
      <c r="R42" s="6">
        <v>-1940.2016666666657</v>
      </c>
      <c r="S42" s="15">
        <v>-8.7161370715529637E-4</v>
      </c>
      <c r="T42" s="6">
        <f>IFERROR(VLOOKUP($I42,RESUMO!$A$3:$M$200,3,FALSE),"")</f>
        <v>1883.98</v>
      </c>
      <c r="U42" s="46">
        <f t="shared" si="24"/>
        <v>-2.8977228312176639E-2</v>
      </c>
      <c r="V42" s="6">
        <v>-1940.2016666666657</v>
      </c>
      <c r="W42" s="15">
        <v>-6.9282308553173585E-4</v>
      </c>
      <c r="X42" s="6">
        <f>IFERROR(VLOOKUP($I42,RESUMO!$A$3:$M$200,4,FALSE),"")</f>
        <v>1980.53</v>
      </c>
      <c r="Y42" s="46">
        <f t="shared" si="25"/>
        <v>2.0785639980724246E-2</v>
      </c>
      <c r="Z42" s="6">
        <v>-1940.2016666666657</v>
      </c>
      <c r="AA42" s="15">
        <v>-7.931136278662332E-4</v>
      </c>
      <c r="AB42" s="6">
        <f>IFERROR(VLOOKUP($I42,RESUMO!$A$3:$M$200,5,FALSE),"")</f>
        <v>2040.6</v>
      </c>
      <c r="AC42" s="46">
        <f t="shared" si="26"/>
        <v>5.1746339083308834E-2</v>
      </c>
      <c r="AD42" s="6">
        <v>-1940.2016666666657</v>
      </c>
      <c r="AE42" s="15">
        <v>-7.570439948834638E-4</v>
      </c>
      <c r="AF42" s="6">
        <f>IFERROR(VLOOKUP($I42,RESUMO!$A$3:$M$200,6,FALSE),"")</f>
        <v>0</v>
      </c>
      <c r="AG42" s="46">
        <f t="shared" si="27"/>
        <v>-1</v>
      </c>
      <c r="AH42" s="6">
        <v>-1940.2016666666657</v>
      </c>
      <c r="AI42" s="15">
        <v>-8.7487447825072666E-4</v>
      </c>
      <c r="AJ42" s="6">
        <v>-1940.2016666666657</v>
      </c>
      <c r="AK42" s="15">
        <v>-8.6378241257078483E-4</v>
      </c>
      <c r="AL42" s="6">
        <v>-1940.2016666666657</v>
      </c>
      <c r="AM42" s="15">
        <v>-7.2097360361327988E-4</v>
      </c>
      <c r="AN42" s="6">
        <v>-1940.2016666666657</v>
      </c>
      <c r="AO42" s="15">
        <v>-6.5120378524715944E-4</v>
      </c>
      <c r="AP42" s="6">
        <v>-1940.2016666666657</v>
      </c>
      <c r="AQ42" s="15">
        <v>-6.4425041035241347E-4</v>
      </c>
      <c r="AR42" s="6">
        <v>-1940.2016666666657</v>
      </c>
      <c r="AS42" s="15">
        <v>-7.0847213506031756E-4</v>
      </c>
      <c r="AT42" s="6">
        <v>-1940.2016666666657</v>
      </c>
      <c r="AU42" s="15">
        <v>-7.8983295820067177E-4</v>
      </c>
      <c r="AW42" s="6">
        <v>-23282.419999999984</v>
      </c>
      <c r="AX42" s="15">
        <v>-7.7608066666666616E-4</v>
      </c>
      <c r="AY42" s="6">
        <v>-1940.2016666666652</v>
      </c>
    </row>
    <row r="43" spans="2:51" outlineLevel="2" x14ac:dyDescent="0.25">
      <c r="E43" s="17" t="s">
        <v>148</v>
      </c>
      <c r="F43" s="31">
        <v>0.08</v>
      </c>
      <c r="H43" t="s">
        <v>161</v>
      </c>
      <c r="I43" s="2" t="s">
        <v>27</v>
      </c>
      <c r="J43" s="6">
        <v>-16653.014936000003</v>
      </c>
      <c r="K43" s="37">
        <v>-6.6612059744000016E-3</v>
      </c>
      <c r="L43" s="6">
        <v>-16653.014936000003</v>
      </c>
      <c r="M43" s="15">
        <v>-8.326507468000002E-3</v>
      </c>
      <c r="N43" s="6">
        <v>-16653.014936000003</v>
      </c>
      <c r="O43" s="15">
        <v>-1.0257812763320041E-2</v>
      </c>
      <c r="P43" s="6">
        <f>IFERROR(VLOOKUP($I43,RESUMO!$A$3:$M$200,2,FALSE),"")</f>
        <v>34431.979999999996</v>
      </c>
      <c r="Q43" s="46">
        <f t="shared" si="13"/>
        <v>1.0676123892476639</v>
      </c>
      <c r="R43" s="6">
        <v>-16653.014936000003</v>
      </c>
      <c r="S43" s="15">
        <v>-7.4811790614615617E-3</v>
      </c>
      <c r="T43" s="6">
        <f>IFERROR(VLOOKUP($I43,RESUMO!$A$3:$M$200,3,FALSE),"")</f>
        <v>32736.5</v>
      </c>
      <c r="U43" s="46">
        <f t="shared" si="24"/>
        <v>0.96580019448797749</v>
      </c>
      <c r="V43" s="6">
        <v>-16653.014936000003</v>
      </c>
      <c r="W43" s="15">
        <v>-5.9465948254686287E-3</v>
      </c>
      <c r="X43" s="6">
        <f>IFERROR(VLOOKUP($I43,RESUMO!$A$3:$M$200,4,FALSE),"")</f>
        <v>35869.64</v>
      </c>
      <c r="Y43" s="46">
        <f t="shared" si="25"/>
        <v>1.1539427027389531</v>
      </c>
      <c r="Z43" s="6">
        <v>-16653.014936000003</v>
      </c>
      <c r="AA43" s="15">
        <v>-6.8074021982946114E-3</v>
      </c>
      <c r="AB43" s="6">
        <f>IFERROR(VLOOKUP($I43,RESUMO!$A$3:$M$200,5,FALSE),"")</f>
        <v>0</v>
      </c>
      <c r="AC43" s="46">
        <f t="shared" si="26"/>
        <v>-1</v>
      </c>
      <c r="AD43" s="6">
        <v>-17735.460906840002</v>
      </c>
      <c r="AE43" s="15">
        <v>-6.9201693858354906E-3</v>
      </c>
      <c r="AF43" s="6">
        <f>IFERROR(VLOOKUP($I43,RESUMO!$A$3:$M$200,6,FALSE),"")</f>
        <v>0</v>
      </c>
      <c r="AG43" s="46">
        <f t="shared" si="27"/>
        <v>-1</v>
      </c>
      <c r="AH43" s="6">
        <v>-17735.460906840002</v>
      </c>
      <c r="AI43" s="15">
        <v>-7.9972625392417881E-3</v>
      </c>
      <c r="AJ43" s="6">
        <v>-17735.460906840002</v>
      </c>
      <c r="AK43" s="15">
        <v>-7.8958695239576149E-3</v>
      </c>
      <c r="AL43" s="6">
        <v>-17735.460906840002</v>
      </c>
      <c r="AM43" s="15">
        <v>-6.5904484989516851E-3</v>
      </c>
      <c r="AN43" s="6">
        <v>-17735.460906840002</v>
      </c>
      <c r="AO43" s="15">
        <v>-5.952679803372966E-3</v>
      </c>
      <c r="AP43" s="6">
        <v>-17735.460906840002</v>
      </c>
      <c r="AQ43" s="15">
        <v>-5.8891187258133127E-3</v>
      </c>
      <c r="AR43" s="6">
        <v>-17735.460906840002</v>
      </c>
      <c r="AS43" s="15">
        <v>-6.4761720757280754E-3</v>
      </c>
      <c r="AT43" s="6">
        <v>-17735.460906840002</v>
      </c>
      <c r="AU43" s="15">
        <v>-7.2198946087744225E-3</v>
      </c>
      <c r="AW43" s="6">
        <v>-208495.74699871999</v>
      </c>
      <c r="AX43" s="15">
        <v>-6.949858233290666E-3</v>
      </c>
      <c r="AY43" s="6">
        <v>-17374.645583226666</v>
      </c>
    </row>
    <row r="44" spans="2:51" outlineLevel="2" x14ac:dyDescent="0.25">
      <c r="E44" s="17" t="s">
        <v>148</v>
      </c>
      <c r="F44" s="31">
        <v>0.18</v>
      </c>
      <c r="H44" t="s">
        <v>161</v>
      </c>
      <c r="I44" s="2" t="s">
        <v>28</v>
      </c>
      <c r="J44" s="6">
        <v>-37469.283606000005</v>
      </c>
      <c r="K44" s="37">
        <v>-1.4987713442400002E-2</v>
      </c>
      <c r="L44" s="6">
        <v>-37469.283606000005</v>
      </c>
      <c r="M44" s="15">
        <v>-1.8734641803000003E-2</v>
      </c>
      <c r="N44" s="6">
        <v>-37469.283606000005</v>
      </c>
      <c r="O44" s="15">
        <v>-2.3080078717470091E-2</v>
      </c>
      <c r="P44" s="6">
        <f>IFERROR(VLOOKUP($I44,RESUMO!$A$3:$M$200,2,FALSE),"")</f>
        <v>44369.08</v>
      </c>
      <c r="Q44" s="46">
        <f t="shared" si="13"/>
        <v>0.1841454047147868</v>
      </c>
      <c r="R44" s="6">
        <v>-37469.283606000005</v>
      </c>
      <c r="S44" s="15">
        <v>-1.6832652888288512E-2</v>
      </c>
      <c r="T44" s="6">
        <f>IFERROR(VLOOKUP($I44,RESUMO!$A$3:$M$200,3,FALSE),"")</f>
        <v>42800.44</v>
      </c>
      <c r="U44" s="46">
        <f t="shared" si="24"/>
        <v>0.14228071318519442</v>
      </c>
      <c r="V44" s="6">
        <v>-37469.283606000005</v>
      </c>
      <c r="W44" s="15">
        <v>-1.3379838357304415E-2</v>
      </c>
      <c r="X44" s="6">
        <f>IFERROR(VLOOKUP($I44,RESUMO!$A$3:$M$200,4,FALSE),"")</f>
        <v>44918.66</v>
      </c>
      <c r="Y44" s="46">
        <f t="shared" si="25"/>
        <v>0.19881288557134624</v>
      </c>
      <c r="Z44" s="6">
        <v>-37469.283606000005</v>
      </c>
      <c r="AA44" s="15">
        <v>-1.5316654946162874E-2</v>
      </c>
      <c r="AB44" s="6">
        <f>IFERROR(VLOOKUP($I44,RESUMO!$A$3:$M$200,5,FALSE),"")</f>
        <v>0</v>
      </c>
      <c r="AC44" s="46">
        <f t="shared" si="26"/>
        <v>-1</v>
      </c>
      <c r="AD44" s="6">
        <v>-39904.787040390001</v>
      </c>
      <c r="AE44" s="15">
        <v>-1.5570381118129853E-2</v>
      </c>
      <c r="AF44" s="6">
        <f>IFERROR(VLOOKUP($I44,RESUMO!$A$3:$M$200,6,FALSE),"")</f>
        <v>0</v>
      </c>
      <c r="AG44" s="46">
        <f t="shared" si="27"/>
        <v>-1</v>
      </c>
      <c r="AH44" s="6">
        <v>-39904.787040390001</v>
      </c>
      <c r="AI44" s="15">
        <v>-1.7993840713294022E-2</v>
      </c>
      <c r="AJ44" s="6">
        <v>-39904.787040390001</v>
      </c>
      <c r="AK44" s="15">
        <v>-1.776570642890463E-2</v>
      </c>
      <c r="AL44" s="6">
        <v>-39904.787040390001</v>
      </c>
      <c r="AM44" s="15">
        <v>-1.4828509122641291E-2</v>
      </c>
      <c r="AN44" s="6">
        <v>-39904.787040390001</v>
      </c>
      <c r="AO44" s="15">
        <v>-1.3393529557589172E-2</v>
      </c>
      <c r="AP44" s="6">
        <v>-39904.787040390001</v>
      </c>
      <c r="AQ44" s="15">
        <v>-1.3250517133079951E-2</v>
      </c>
      <c r="AR44" s="6">
        <v>-39904.787040390001</v>
      </c>
      <c r="AS44" s="15">
        <v>-1.4571387170388169E-2</v>
      </c>
      <c r="AT44" s="6">
        <v>-39904.787040390001</v>
      </c>
      <c r="AU44" s="15">
        <v>-1.6244762869742448E-2</v>
      </c>
      <c r="AW44" s="6">
        <v>-469115.43074712012</v>
      </c>
      <c r="AX44" s="15">
        <v>-1.5637181024904002E-2</v>
      </c>
      <c r="AY44" s="6">
        <v>-39092.952562260012</v>
      </c>
    </row>
    <row r="45" spans="2:51" outlineLevel="2" x14ac:dyDescent="0.25">
      <c r="E45" s="17" t="s">
        <v>148</v>
      </c>
      <c r="F45" s="31">
        <v>0.1111111111111111</v>
      </c>
      <c r="H45" t="s">
        <v>161</v>
      </c>
      <c r="I45" s="2" t="s">
        <v>29</v>
      </c>
      <c r="J45" s="6">
        <v>-23129.187411111114</v>
      </c>
      <c r="K45" s="37">
        <v>-9.2516749644444458E-3</v>
      </c>
      <c r="L45" s="6">
        <v>-23129.187411111114</v>
      </c>
      <c r="M45" s="15">
        <v>-1.1564593705555556E-2</v>
      </c>
      <c r="N45" s="6">
        <v>-23129.187411111114</v>
      </c>
      <c r="O45" s="15">
        <v>-1.4246962171277834E-2</v>
      </c>
      <c r="P45" s="6">
        <f>IFERROR(VLOOKUP($I45,RESUMO!$A$3:$M$200,2,FALSE),"")</f>
        <v>2775.23</v>
      </c>
      <c r="Q45" s="46">
        <f t="shared" si="13"/>
        <v>-0.8800117811892173</v>
      </c>
      <c r="R45" s="6">
        <v>-23129.187411111114</v>
      </c>
      <c r="S45" s="15">
        <v>-1.0390526474252168E-2</v>
      </c>
      <c r="T45" s="6">
        <f>IFERROR(VLOOKUP($I45,RESUMO!$A$3:$M$200,3,FALSE),"")</f>
        <v>5329.74</v>
      </c>
      <c r="U45" s="46">
        <f t="shared" si="24"/>
        <v>-0.7695664830213782</v>
      </c>
      <c r="V45" s="6">
        <v>-23129.187411111114</v>
      </c>
      <c r="W45" s="15">
        <v>-8.2591594798175402E-3</v>
      </c>
      <c r="X45" s="6">
        <f>IFERROR(VLOOKUP($I45,RESUMO!$A$3:$M$200,4,FALSE),"")</f>
        <v>5620.32</v>
      </c>
      <c r="Y45" s="46">
        <f t="shared" si="25"/>
        <v>-0.7570031363358648</v>
      </c>
      <c r="Z45" s="6">
        <v>-23129.187411111114</v>
      </c>
      <c r="AA45" s="15">
        <v>-9.4547252754091822E-3</v>
      </c>
      <c r="AB45" s="6">
        <f>IFERROR(VLOOKUP($I45,RESUMO!$A$3:$M$200,5,FALSE),"")</f>
        <v>21546.300000000003</v>
      </c>
      <c r="AC45" s="46">
        <f t="shared" si="26"/>
        <v>-6.8436792999943541E-2</v>
      </c>
      <c r="AD45" s="6">
        <v>-24632.584592833333</v>
      </c>
      <c r="AE45" s="15">
        <v>-9.6113463692159579E-3</v>
      </c>
      <c r="AF45" s="6">
        <f>IFERROR(VLOOKUP($I45,RESUMO!$A$3:$M$200,6,FALSE),"")</f>
        <v>1358.46</v>
      </c>
      <c r="AG45" s="46">
        <f t="shared" si="27"/>
        <v>-0.94485109774492626</v>
      </c>
      <c r="AH45" s="6">
        <v>-24632.584592833333</v>
      </c>
      <c r="AI45" s="15">
        <v>-1.1107309082280258E-2</v>
      </c>
      <c r="AJ45" s="6">
        <v>-24632.584592833333</v>
      </c>
      <c r="AK45" s="15">
        <v>-1.0966485449941129E-2</v>
      </c>
      <c r="AL45" s="6">
        <v>-24632.584592833333</v>
      </c>
      <c r="AM45" s="15">
        <v>-9.1534006929884504E-3</v>
      </c>
      <c r="AN45" s="6">
        <v>-24632.584592833333</v>
      </c>
      <c r="AO45" s="15">
        <v>-8.2676108380180073E-3</v>
      </c>
      <c r="AP45" s="6">
        <v>-24632.584592833333</v>
      </c>
      <c r="AQ45" s="15">
        <v>-8.1793315636295993E-3</v>
      </c>
      <c r="AR45" s="6">
        <v>-24632.584592833333</v>
      </c>
      <c r="AS45" s="15">
        <v>-8.994683438511215E-3</v>
      </c>
      <c r="AT45" s="6">
        <v>-24632.584592833333</v>
      </c>
      <c r="AU45" s="15">
        <v>-1.0027631401075585E-2</v>
      </c>
      <c r="AW45" s="6">
        <v>-289577.42638711113</v>
      </c>
      <c r="AX45" s="15">
        <v>-9.6525808795703705E-3</v>
      </c>
      <c r="AY45" s="6">
        <v>-24131.452198925926</v>
      </c>
    </row>
    <row r="46" spans="2:51" outlineLevel="1" x14ac:dyDescent="0.25">
      <c r="I46" s="9" t="s">
        <v>30</v>
      </c>
      <c r="J46" s="6">
        <v>-94186.350287000037</v>
      </c>
      <c r="K46" s="37">
        <v>-3.7674540114800016E-2</v>
      </c>
      <c r="L46" s="6">
        <v>-94186.350287000037</v>
      </c>
      <c r="M46" s="15">
        <v>-4.7093175143500018E-2</v>
      </c>
      <c r="N46" s="8">
        <v>-94186.350287000037</v>
      </c>
      <c r="O46" s="15">
        <v>-5.8016278122463877E-2</v>
      </c>
      <c r="P46" s="8">
        <f>SUM(P47:P62)</f>
        <v>87389.239999999991</v>
      </c>
      <c r="Q46" s="45">
        <f>(P46*-1)/N46-1</f>
        <v>-7.2166617203960337E-2</v>
      </c>
      <c r="R46" s="8">
        <v>-94186.350287000037</v>
      </c>
      <c r="S46" s="15">
        <v>-4.2312155147315164E-2</v>
      </c>
      <c r="T46" s="8">
        <f>SUM(T47:T62)</f>
        <v>65780.3</v>
      </c>
      <c r="U46" s="45">
        <f>(T46*-1)/R46-1</f>
        <v>-0.30159412909028227</v>
      </c>
      <c r="V46" s="8">
        <v>-94186.350287000037</v>
      </c>
      <c r="W46" s="15">
        <v>-3.3632832577100986E-2</v>
      </c>
      <c r="X46" s="8">
        <f>SUM(X47:X62)</f>
        <v>107487.2</v>
      </c>
      <c r="Y46" s="45">
        <f>(X46*-1)/V46-1</f>
        <v>0.14121844271988726</v>
      </c>
      <c r="Z46" s="6">
        <v>-94186.350287000037</v>
      </c>
      <c r="AA46" s="15">
        <v>-3.8501398723123699E-2</v>
      </c>
      <c r="AB46" s="8">
        <f>SUM(AB47:AB62)</f>
        <v>67636.97</v>
      </c>
      <c r="AC46" s="45">
        <f>(AB46*-1)/Z46-1</f>
        <v>-0.28188140007655105</v>
      </c>
      <c r="AD46" s="6">
        <v>-98152.945741488365</v>
      </c>
      <c r="AE46" s="15">
        <v>-3.8298131287237115E-2</v>
      </c>
      <c r="AF46" s="8">
        <f>SUM(AF47:AF62)</f>
        <v>16917.440000000002</v>
      </c>
      <c r="AG46" s="45">
        <f>(AF46*-1)/AD46-1</f>
        <v>-0.82764205524145407</v>
      </c>
      <c r="AH46" s="6">
        <v>-98152.945741488365</v>
      </c>
      <c r="AI46" s="15">
        <v>-4.4259062689027975E-2</v>
      </c>
      <c r="AJ46" s="6">
        <v>-98152.945741488365</v>
      </c>
      <c r="AK46" s="15">
        <v>-4.3697925700255665E-2</v>
      </c>
      <c r="AL46" s="6">
        <v>-98152.945741488365</v>
      </c>
      <c r="AM46" s="15">
        <v>-3.6473364708565333E-2</v>
      </c>
      <c r="AN46" s="6">
        <v>-98152.945741488365</v>
      </c>
      <c r="AO46" s="15">
        <v>-3.2943776360025968E-2</v>
      </c>
      <c r="AP46" s="6">
        <v>-98152.945741488365</v>
      </c>
      <c r="AQ46" s="15">
        <v>-3.2592011777771601E-2</v>
      </c>
      <c r="AR46" s="6">
        <v>-98152.945741488365</v>
      </c>
      <c r="AS46" s="15">
        <v>-3.5840927377101761E-2</v>
      </c>
      <c r="AT46" s="6">
        <v>-98152.945741488365</v>
      </c>
      <c r="AU46" s="15">
        <v>-3.9956893565759828E-2</v>
      </c>
      <c r="AW46" s="6">
        <v>-1161968.9670799072</v>
      </c>
      <c r="AX46" s="15">
        <v>-3.8732298902663574E-2</v>
      </c>
      <c r="AY46" s="6">
        <v>-96830.747256658913</v>
      </c>
    </row>
    <row r="47" spans="2:51" outlineLevel="2" x14ac:dyDescent="0.25">
      <c r="E47" s="17" t="s">
        <v>155</v>
      </c>
      <c r="F47" s="35">
        <v>-11666.666666666701</v>
      </c>
      <c r="H47" t="s">
        <v>161</v>
      </c>
      <c r="I47" s="2" t="s">
        <v>31</v>
      </c>
      <c r="J47" s="6">
        <v>-11666.666666666701</v>
      </c>
      <c r="K47" s="37">
        <v>-4.6666666666666801E-3</v>
      </c>
      <c r="L47" s="6">
        <v>-11666.666666666701</v>
      </c>
      <c r="M47" s="15">
        <v>-5.8333333333333501E-3</v>
      </c>
      <c r="N47" s="6">
        <v>-11666.666666666701</v>
      </c>
      <c r="O47" s="15">
        <v>-7.1863553055504289E-3</v>
      </c>
      <c r="P47" s="6">
        <f>IFERROR(VLOOKUP($I47,RESUMO!$A$3:$M$200,2,FALSE),"")</f>
        <v>2679.9199999999996</v>
      </c>
      <c r="Q47" s="46">
        <f t="shared" si="13"/>
        <v>-0.7702925714285721</v>
      </c>
      <c r="R47" s="6">
        <v>-11666.666666666701</v>
      </c>
      <c r="S47" s="15">
        <v>-5.2411183632002992E-3</v>
      </c>
      <c r="T47" s="6">
        <f>IFERROR(VLOOKUP($I47,RESUMO!$A$3:$M$200,3,FALSE),"")</f>
        <v>9080.0500000000011</v>
      </c>
      <c r="U47" s="46">
        <f t="shared" ref="U47:U62" si="28">IFERROR((T47*-1)/R47-1,"")</f>
        <v>-0.22171000000000218</v>
      </c>
      <c r="V47" s="6">
        <v>-11666.666666666701</v>
      </c>
      <c r="W47" s="15">
        <v>-4.1660287880058581E-3</v>
      </c>
      <c r="X47" s="6">
        <f>IFERROR(VLOOKUP($I47,RESUMO!$A$3:$M$200,4,FALSE),"")</f>
        <v>50727.39</v>
      </c>
      <c r="Y47" s="46">
        <f t="shared" ref="Y47:Y62" si="29">IFERROR((X47*-1)/V47-1,"")</f>
        <v>3.3480619999999872</v>
      </c>
      <c r="Z47" s="6">
        <v>-11666.666666666701</v>
      </c>
      <c r="AA47" s="15">
        <v>-4.7690879170323797E-3</v>
      </c>
      <c r="AB47" s="6">
        <f>IFERROR(VLOOKUP($I47,RESUMO!$A$3:$M$200,5,FALSE),"")</f>
        <v>6964.81</v>
      </c>
      <c r="AC47" s="46">
        <f t="shared" ref="AC47:AC62" si="30">IFERROR((AB47*-1)/Z47-1,"")</f>
        <v>-0.40301628571428738</v>
      </c>
      <c r="AD47" s="6">
        <v>-11666.666666666701</v>
      </c>
      <c r="AE47" s="15">
        <v>-4.5521968628555488E-3</v>
      </c>
      <c r="AF47" s="6">
        <f>IFERROR(VLOOKUP($I47,RESUMO!$A$3:$M$200,6,FALSE),"")</f>
        <v>1139.5999999999999</v>
      </c>
      <c r="AG47" s="46">
        <f t="shared" ref="AG47:AG62" si="31">IFERROR((AF47*-1)/AD47-1,"")</f>
        <v>-0.90232000000000023</v>
      </c>
      <c r="AH47" s="6">
        <v>-11666.666666666701</v>
      </c>
      <c r="AI47" s="15">
        <v>-5.2607257731413729E-3</v>
      </c>
      <c r="AJ47" s="6">
        <v>-11666.666666666701</v>
      </c>
      <c r="AK47" s="15">
        <v>-5.1940278441807292E-3</v>
      </c>
      <c r="AL47" s="6">
        <v>-11666.666666666701</v>
      </c>
      <c r="AM47" s="15">
        <v>-4.3353012490050229E-3</v>
      </c>
      <c r="AN47" s="6">
        <v>-11666.666666666701</v>
      </c>
      <c r="AO47" s="15">
        <v>-3.9157669148912628E-3</v>
      </c>
      <c r="AP47" s="6">
        <v>-11666.666666666701</v>
      </c>
      <c r="AQ47" s="15">
        <v>-3.8739554328690146E-3</v>
      </c>
      <c r="AR47" s="6">
        <v>-11666.666666666701</v>
      </c>
      <c r="AS47" s="15">
        <v>-4.2601284105537483E-3</v>
      </c>
      <c r="AT47" s="6">
        <v>-11666.666666666701</v>
      </c>
      <c r="AU47" s="15">
        <v>-4.7493608545887602E-3</v>
      </c>
      <c r="AW47" s="6">
        <v>-140000.00000000041</v>
      </c>
      <c r="AX47" s="15">
        <v>-4.6666666666666801E-3</v>
      </c>
      <c r="AY47" s="6">
        <v>-11666.666666666701</v>
      </c>
    </row>
    <row r="48" spans="2:51" outlineLevel="2" x14ac:dyDescent="0.25">
      <c r="E48" s="17" t="s">
        <v>32</v>
      </c>
      <c r="F48" s="35" t="s">
        <v>150</v>
      </c>
      <c r="H48" t="s">
        <v>161</v>
      </c>
      <c r="I48" s="2" t="s">
        <v>32</v>
      </c>
      <c r="J48" s="6">
        <v>-41957.288700000005</v>
      </c>
      <c r="K48" s="37">
        <v>-1.678291548E-2</v>
      </c>
      <c r="L48" s="6">
        <v>-41957.288700000005</v>
      </c>
      <c r="M48" s="15">
        <v>-2.0978644350000002E-2</v>
      </c>
      <c r="N48" s="6">
        <v>-41957.288700000005</v>
      </c>
      <c r="O48" s="15">
        <v>-2.5844570079064735E-2</v>
      </c>
      <c r="P48" s="6">
        <f>IFERROR(VLOOKUP($I48,RESUMO!$A$3:$M$200,2,FALSE),"")</f>
        <v>36962.579999999994</v>
      </c>
      <c r="Q48" s="46">
        <f t="shared" si="13"/>
        <v>-0.11904269448182936</v>
      </c>
      <c r="R48" s="6">
        <v>-41957.288700000005</v>
      </c>
      <c r="S48" s="15">
        <v>-1.8848838537914209E-2</v>
      </c>
      <c r="T48" s="6">
        <f>IFERROR(VLOOKUP($I48,RESUMO!$A$3:$M$200,3,FALSE),"")</f>
        <v>30986.82</v>
      </c>
      <c r="U48" s="46">
        <f t="shared" si="28"/>
        <v>-0.26146753138507739</v>
      </c>
      <c r="V48" s="6">
        <v>-41957.288700000005</v>
      </c>
      <c r="W48" s="15">
        <v>-1.498245193636049E-2</v>
      </c>
      <c r="X48" s="6">
        <f>IFERROR(VLOOKUP($I48,RESUMO!$A$3:$M$200,4,FALSE),"")</f>
        <v>28474.9</v>
      </c>
      <c r="Y48" s="46">
        <f t="shared" si="29"/>
        <v>-0.3213360328499969</v>
      </c>
      <c r="Z48" s="6">
        <v>-41957.288700000005</v>
      </c>
      <c r="AA48" s="15">
        <v>-1.7151257020337884E-2</v>
      </c>
      <c r="AB48" s="6">
        <f>IFERROR(VLOOKUP($I48,RESUMO!$A$3:$M$200,5,FALSE),"")</f>
        <v>28865.570000000003</v>
      </c>
      <c r="AC48" s="46">
        <f t="shared" si="30"/>
        <v>-0.31202489735710681</v>
      </c>
      <c r="AD48" s="6">
        <v>-44684.512465500004</v>
      </c>
      <c r="AE48" s="15">
        <v>-1.7435374068315274E-2</v>
      </c>
      <c r="AF48" s="6">
        <f>IFERROR(VLOOKUP($I48,RESUMO!$A$3:$M$200,6,FALSE),"")</f>
        <v>0</v>
      </c>
      <c r="AG48" s="46">
        <f t="shared" si="31"/>
        <v>-1</v>
      </c>
      <c r="AH48" s="6">
        <v>-44684.512465500004</v>
      </c>
      <c r="AI48" s="15">
        <v>-2.0149111404643896E-2</v>
      </c>
      <c r="AJ48" s="6">
        <v>-44684.512465500004</v>
      </c>
      <c r="AK48" s="15">
        <v>-1.9893651595666903E-2</v>
      </c>
      <c r="AL48" s="6">
        <v>-44684.512465500004</v>
      </c>
      <c r="AM48" s="15">
        <v>-1.6604641945959609E-2</v>
      </c>
      <c r="AN48" s="6">
        <v>-44684.512465500004</v>
      </c>
      <c r="AO48" s="15">
        <v>-1.4997783044610052E-2</v>
      </c>
      <c r="AP48" s="6">
        <v>-44684.512465500004</v>
      </c>
      <c r="AQ48" s="15">
        <v>-1.4837640842642266E-2</v>
      </c>
      <c r="AR48" s="6">
        <v>-44684.512465500004</v>
      </c>
      <c r="AS48" s="15">
        <v>-1.6316722377087353E-2</v>
      </c>
      <c r="AT48" s="6">
        <v>-44684.512465500004</v>
      </c>
      <c r="AU48" s="15">
        <v>-1.8190532083716734E-2</v>
      </c>
      <c r="AW48" s="6">
        <v>-525305.25452399999</v>
      </c>
      <c r="AX48" s="15">
        <v>-1.75101751508E-2</v>
      </c>
      <c r="AY48" s="6">
        <v>-43775.437876999997</v>
      </c>
    </row>
    <row r="49" spans="2:51" outlineLevel="2" x14ac:dyDescent="0.25">
      <c r="B49" s="17" t="s">
        <v>152</v>
      </c>
      <c r="C49">
        <v>1</v>
      </c>
      <c r="D49">
        <v>9</v>
      </c>
      <c r="E49" s="17" t="s">
        <v>181</v>
      </c>
      <c r="F49" s="35">
        <v>-28.333333333333332</v>
      </c>
      <c r="H49" t="s">
        <v>161</v>
      </c>
      <c r="I49" s="2" t="s">
        <v>33</v>
      </c>
      <c r="J49" s="6">
        <v>-28.333333333333332</v>
      </c>
      <c r="K49" s="37">
        <v>-1.1333333333333332E-5</v>
      </c>
      <c r="L49" s="6">
        <v>-28.333333333333332</v>
      </c>
      <c r="M49" s="15">
        <v>-1.4166666666666666E-5</v>
      </c>
      <c r="N49" s="6">
        <v>-28.333333333333332</v>
      </c>
      <c r="O49" s="15">
        <v>-1.7452577170622421E-5</v>
      </c>
      <c r="P49" s="6">
        <f>IFERROR(VLOOKUP($I49,RESUMO!$A$3:$M$200,2,FALSE),"")</f>
        <v>230</v>
      </c>
      <c r="Q49" s="46">
        <f t="shared" si="13"/>
        <v>7.117647058823529</v>
      </c>
      <c r="R49" s="6">
        <v>-28.333333333333332</v>
      </c>
      <c r="S49" s="15">
        <v>-1.2728430310629261E-5</v>
      </c>
      <c r="T49" s="6">
        <f>IFERROR(VLOOKUP($I49,RESUMO!$A$3:$M$200,3,FALSE),"")</f>
        <v>0</v>
      </c>
      <c r="U49" s="46">
        <f t="shared" si="28"/>
        <v>-1</v>
      </c>
      <c r="V49" s="6">
        <v>-28.333333333333332</v>
      </c>
      <c r="W49" s="15">
        <v>-1.0117498485157054E-5</v>
      </c>
      <c r="X49" s="6">
        <f>IFERROR(VLOOKUP($I49,RESUMO!$A$3:$M$200,4,FALSE),"")</f>
        <v>0</v>
      </c>
      <c r="Y49" s="46">
        <f t="shared" si="29"/>
        <v>-1</v>
      </c>
      <c r="Z49" s="6">
        <v>-28.333333333333332</v>
      </c>
      <c r="AA49" s="15">
        <v>-1.1582070655650032E-5</v>
      </c>
      <c r="AB49" s="6">
        <f>IFERROR(VLOOKUP($I49,RESUMO!$A$3:$M$200,5,FALSE),"")</f>
        <v>0</v>
      </c>
      <c r="AC49" s="46">
        <f t="shared" si="30"/>
        <v>-1</v>
      </c>
      <c r="AD49" s="6">
        <v>-28.333333333333332</v>
      </c>
      <c r="AE49" s="15">
        <v>-1.1055335238363445E-5</v>
      </c>
      <c r="AF49" s="6">
        <f>IFERROR(VLOOKUP($I49,RESUMO!$A$3:$M$200,6,FALSE),"")</f>
        <v>0</v>
      </c>
      <c r="AG49" s="46">
        <f t="shared" si="31"/>
        <v>-1</v>
      </c>
      <c r="AH49" s="6">
        <v>-28.333333333333332</v>
      </c>
      <c r="AI49" s="15">
        <v>-1.2776048306200439E-5</v>
      </c>
      <c r="AJ49" s="6">
        <v>-28.333333333333332</v>
      </c>
      <c r="AK49" s="15">
        <v>-1.2614067621581733E-5</v>
      </c>
      <c r="AL49" s="6">
        <v>-28.333333333333332</v>
      </c>
      <c r="AM49" s="15">
        <v>-1.0528588747583597E-5</v>
      </c>
      <c r="AN49" s="6">
        <v>-28.333333333333332</v>
      </c>
      <c r="AO49" s="15">
        <v>-9.5097196504501816E-6</v>
      </c>
      <c r="AP49" s="6">
        <v>-28.333333333333332</v>
      </c>
      <c r="AQ49" s="15">
        <v>-9.4081774798247214E-6</v>
      </c>
      <c r="AR49" s="6">
        <v>-28.333333333333332</v>
      </c>
      <c r="AS49" s="15">
        <v>-1.0346026139916214E-5</v>
      </c>
      <c r="AT49" s="6">
        <v>-28.333333333333332</v>
      </c>
      <c r="AU49" s="15">
        <v>-1.1534162075429812E-5</v>
      </c>
      <c r="AW49" s="6">
        <v>-340</v>
      </c>
      <c r="AX49" s="15">
        <v>-1.1333333333333334E-5</v>
      </c>
      <c r="AY49" s="6">
        <v>-28.333333333333332</v>
      </c>
    </row>
    <row r="50" spans="2:51" outlineLevel="2" x14ac:dyDescent="0.25">
      <c r="E50" s="17" t="s">
        <v>148</v>
      </c>
      <c r="F50" s="31">
        <v>8.3333333333333329E-2</v>
      </c>
      <c r="H50" t="s">
        <v>161</v>
      </c>
      <c r="I50" s="2" t="s">
        <v>34</v>
      </c>
      <c r="J50" s="6">
        <v>-3496.4407250000004</v>
      </c>
      <c r="K50" s="37">
        <v>-1.3985762900000003E-3</v>
      </c>
      <c r="L50" s="6">
        <v>-3496.4407250000004</v>
      </c>
      <c r="M50" s="15">
        <v>-1.7482203625000003E-3</v>
      </c>
      <c r="N50" s="6">
        <v>-3496.4407250000004</v>
      </c>
      <c r="O50" s="15">
        <v>-2.1537141732553946E-3</v>
      </c>
      <c r="P50" s="6" t="str">
        <f>IFERROR(VLOOKUP($I50,RESUMO!$A$3:$M$200,2,FALSE),"")</f>
        <v/>
      </c>
      <c r="Q50" s="46" t="str">
        <f t="shared" si="13"/>
        <v/>
      </c>
      <c r="R50" s="6">
        <v>-3496.4407250000004</v>
      </c>
      <c r="S50" s="15">
        <v>-1.5707365448261843E-3</v>
      </c>
      <c r="T50" s="6" t="str">
        <f>IFERROR(VLOOKUP($I50,RESUMO!$A$3:$M$200,3,FALSE),"")</f>
        <v/>
      </c>
      <c r="U50" s="46" t="str">
        <f t="shared" si="28"/>
        <v/>
      </c>
      <c r="V50" s="6">
        <v>-3496.4407250000004</v>
      </c>
      <c r="W50" s="15">
        <v>-1.2485376613633741E-3</v>
      </c>
      <c r="X50" s="6" t="str">
        <f>IFERROR(VLOOKUP($I50,RESUMO!$A$3:$M$200,4,FALSE),"")</f>
        <v/>
      </c>
      <c r="Y50" s="46" t="str">
        <f t="shared" si="29"/>
        <v/>
      </c>
      <c r="Z50" s="6">
        <v>-3496.4407250000004</v>
      </c>
      <c r="AA50" s="15">
        <v>-1.4292714183614904E-3</v>
      </c>
      <c r="AB50" s="6" t="str">
        <f>IFERROR(VLOOKUP($I50,RESUMO!$A$3:$M$200,5,FALSE),"")</f>
        <v/>
      </c>
      <c r="AC50" s="46" t="str">
        <f t="shared" si="30"/>
        <v/>
      </c>
      <c r="AD50" s="6">
        <v>-3723.7093721250003</v>
      </c>
      <c r="AE50" s="15">
        <v>-1.4529478390262729E-3</v>
      </c>
      <c r="AF50" s="6" t="str">
        <f>IFERROR(VLOOKUP($I50,RESUMO!$A$3:$M$200,6,FALSE),"")</f>
        <v/>
      </c>
      <c r="AG50" s="46" t="str">
        <f t="shared" si="31"/>
        <v/>
      </c>
      <c r="AH50" s="6">
        <v>-3723.7093721250003</v>
      </c>
      <c r="AI50" s="15">
        <v>-1.679092617053658E-3</v>
      </c>
      <c r="AJ50" s="6">
        <v>-3723.7093721250003</v>
      </c>
      <c r="AK50" s="15">
        <v>-1.6578042996389087E-3</v>
      </c>
      <c r="AL50" s="6">
        <v>-3723.7093721250003</v>
      </c>
      <c r="AM50" s="15">
        <v>-1.383720162163301E-3</v>
      </c>
      <c r="AN50" s="6">
        <v>-3723.7093721250003</v>
      </c>
      <c r="AO50" s="15">
        <v>-1.2498152537175043E-3</v>
      </c>
      <c r="AP50" s="6">
        <v>-3723.7093721250003</v>
      </c>
      <c r="AQ50" s="15">
        <v>-1.2364700702201888E-3</v>
      </c>
      <c r="AR50" s="6">
        <v>-3723.7093721250003</v>
      </c>
      <c r="AS50" s="15">
        <v>-1.3597268647572794E-3</v>
      </c>
      <c r="AT50" s="6">
        <v>-3723.7093721250003</v>
      </c>
      <c r="AU50" s="15">
        <v>-1.5158776736430611E-3</v>
      </c>
      <c r="AW50" s="6">
        <v>-43775.437876999989</v>
      </c>
      <c r="AX50" s="15">
        <v>-1.4591812625666663E-3</v>
      </c>
      <c r="AY50" s="6">
        <v>-3647.9531564166659</v>
      </c>
    </row>
    <row r="51" spans="2:51" outlineLevel="2" x14ac:dyDescent="0.25">
      <c r="B51" s="17" t="s">
        <v>152</v>
      </c>
      <c r="C51">
        <v>1</v>
      </c>
      <c r="D51">
        <v>9</v>
      </c>
      <c r="E51" s="17" t="s">
        <v>181</v>
      </c>
      <c r="F51" s="35">
        <v>-3484.8059999999996</v>
      </c>
      <c r="H51" t="s">
        <v>161</v>
      </c>
      <c r="I51" s="2" t="s">
        <v>35</v>
      </c>
      <c r="J51" s="6">
        <v>-3484.8059999999996</v>
      </c>
      <c r="K51" s="37">
        <v>-1.3939223999999998E-3</v>
      </c>
      <c r="L51" s="6">
        <v>-3484.8059999999996</v>
      </c>
      <c r="M51" s="15">
        <v>-1.7424029999999998E-3</v>
      </c>
      <c r="N51" s="6">
        <v>-3484.8059999999996</v>
      </c>
      <c r="O51" s="15">
        <v>-2.1465474931640482E-3</v>
      </c>
      <c r="P51" s="6">
        <f>IFERROR(VLOOKUP($I51,RESUMO!$A$3:$M$200,2,FALSE),"")</f>
        <v>3000.69</v>
      </c>
      <c r="Q51" s="46">
        <f t="shared" si="13"/>
        <v>-0.1389219371178767</v>
      </c>
      <c r="R51" s="6">
        <v>-3484.8059999999996</v>
      </c>
      <c r="S51" s="15">
        <v>-1.5655097758963308E-3</v>
      </c>
      <c r="T51" s="6">
        <f>IFERROR(VLOOKUP($I51,RESUMO!$A$3:$M$200,3,FALSE),"")</f>
        <v>2925.69</v>
      </c>
      <c r="U51" s="46">
        <f t="shared" si="28"/>
        <v>-0.16044393862958217</v>
      </c>
      <c r="V51" s="6">
        <v>-3484.8059999999996</v>
      </c>
      <c r="W51" s="15">
        <v>-1.2443830385670427E-3</v>
      </c>
      <c r="X51" s="6">
        <f>IFERROR(VLOOKUP($I51,RESUMO!$A$3:$M$200,4,FALSE),"")</f>
        <v>1589.46</v>
      </c>
      <c r="Y51" s="46">
        <f t="shared" si="29"/>
        <v>-0.54388852636273</v>
      </c>
      <c r="Z51" s="6">
        <v>-3484.8059999999996</v>
      </c>
      <c r="AA51" s="15">
        <v>-1.4245153875258763E-3</v>
      </c>
      <c r="AB51" s="6">
        <f>IFERROR(VLOOKUP($I51,RESUMO!$A$3:$M$200,5,FALSE),"")</f>
        <v>1479.46</v>
      </c>
      <c r="AC51" s="46">
        <f t="shared" si="30"/>
        <v>-0.57545412857989797</v>
      </c>
      <c r="AD51" s="6">
        <v>-3484.8059999999996</v>
      </c>
      <c r="AE51" s="15">
        <v>-1.3597305377880127E-3</v>
      </c>
      <c r="AF51" s="6">
        <f>IFERROR(VLOOKUP($I51,RESUMO!$A$3:$M$200,6,FALSE),"")</f>
        <v>0</v>
      </c>
      <c r="AG51" s="46">
        <f t="shared" si="31"/>
        <v>-1</v>
      </c>
      <c r="AH51" s="6">
        <v>-3484.8059999999996</v>
      </c>
      <c r="AI51" s="15">
        <v>-1.5713664633083689E-3</v>
      </c>
      <c r="AJ51" s="6">
        <v>-3484.8059999999996</v>
      </c>
      <c r="AK51" s="15">
        <v>-1.5514439481915442E-3</v>
      </c>
      <c r="AL51" s="6">
        <v>-3484.8059999999996</v>
      </c>
      <c r="AM51" s="15">
        <v>-1.2949443260862987E-3</v>
      </c>
      <c r="AN51" s="6">
        <v>-3484.8059999999996</v>
      </c>
      <c r="AO51" s="15">
        <v>-1.1696304033955304E-3</v>
      </c>
      <c r="AP51" s="6">
        <v>-3484.8059999999996</v>
      </c>
      <c r="AQ51" s="15">
        <v>-1.1571414116738142E-3</v>
      </c>
      <c r="AR51" s="6">
        <v>-3484.8059999999996</v>
      </c>
      <c r="AS51" s="15">
        <v>-1.2724903753601245E-3</v>
      </c>
      <c r="AT51" s="6">
        <v>-3484.8059999999996</v>
      </c>
      <c r="AU51" s="15">
        <v>-1.418622960191656E-3</v>
      </c>
      <c r="AW51" s="6">
        <v>-41817.671999999991</v>
      </c>
      <c r="AX51" s="15">
        <v>-1.3939223999999996E-3</v>
      </c>
      <c r="AY51" s="6">
        <v>-3484.8059999999991</v>
      </c>
    </row>
    <row r="52" spans="2:51" outlineLevel="2" x14ac:dyDescent="0.25">
      <c r="E52" s="17" t="s">
        <v>155</v>
      </c>
      <c r="F52" s="35">
        <v>-2841.8077777777767</v>
      </c>
      <c r="H52" t="s">
        <v>161</v>
      </c>
      <c r="I52" s="2" t="s">
        <v>36</v>
      </c>
      <c r="J52" s="6">
        <v>-2841.8077777777767</v>
      </c>
      <c r="K52" s="37">
        <v>-1.1367231111111106E-3</v>
      </c>
      <c r="L52" s="6">
        <v>-2841.8077777777767</v>
      </c>
      <c r="M52" s="15">
        <v>-1.4209038888888883E-3</v>
      </c>
      <c r="N52" s="6">
        <v>-2841.8077777777767</v>
      </c>
      <c r="O52" s="15">
        <v>-1.750477748673235E-3</v>
      </c>
      <c r="P52" s="6">
        <f>IFERROR(VLOOKUP($I52,RESUMO!$A$3:$M$200,2,FALSE),"")</f>
        <v>0</v>
      </c>
      <c r="Q52" s="46">
        <f t="shared" si="13"/>
        <v>-1</v>
      </c>
      <c r="R52" s="6">
        <v>-2841.8077777777767</v>
      </c>
      <c r="S52" s="15">
        <v>-1.2766500796111283E-3</v>
      </c>
      <c r="T52" s="6">
        <f>IFERROR(VLOOKUP($I52,RESUMO!$A$3:$M$200,3,FALSE),"")</f>
        <v>0</v>
      </c>
      <c r="U52" s="46">
        <f t="shared" si="28"/>
        <v>-1</v>
      </c>
      <c r="V52" s="6">
        <v>-2841.8077777777767</v>
      </c>
      <c r="W52" s="15">
        <v>-1.0147759724743832E-3</v>
      </c>
      <c r="X52" s="6">
        <f>IFERROR(VLOOKUP($I52,RESUMO!$A$3:$M$200,4,FALSE),"")</f>
        <v>0</v>
      </c>
      <c r="Y52" s="46">
        <f t="shared" si="29"/>
        <v>-1</v>
      </c>
      <c r="Z52" s="6">
        <v>-2841.8077777777767</v>
      </c>
      <c r="AA52" s="15">
        <v>-1.1616712401881651E-3</v>
      </c>
      <c r="AB52" s="6">
        <f>IFERROR(VLOOKUP($I52,RESUMO!$A$3:$M$200,5,FALSE),"")</f>
        <v>13159.509999999998</v>
      </c>
      <c r="AC52" s="46">
        <f t="shared" si="30"/>
        <v>3.6306826601376994</v>
      </c>
      <c r="AD52" s="6">
        <v>-2841.8077777777767</v>
      </c>
      <c r="AE52" s="15">
        <v>-1.1088401529290106E-3</v>
      </c>
      <c r="AF52" s="6">
        <f>IFERROR(VLOOKUP($I52,RESUMO!$A$3:$M$200,6,FALSE),"")</f>
        <v>12776.45</v>
      </c>
      <c r="AG52" s="46">
        <f t="shared" si="31"/>
        <v>3.4958881807237745</v>
      </c>
      <c r="AH52" s="6">
        <v>-2841.8077777777767</v>
      </c>
      <c r="AI52" s="15">
        <v>-1.2814261216173529E-3</v>
      </c>
      <c r="AJ52" s="6">
        <v>-2841.8077777777767</v>
      </c>
      <c r="AK52" s="15">
        <v>-1.2651796050503221E-3</v>
      </c>
      <c r="AL52" s="6">
        <v>-2841.8077777777767</v>
      </c>
      <c r="AM52" s="15">
        <v>-1.05600795500847E-3</v>
      </c>
      <c r="AN52" s="6">
        <v>-2841.8077777777767</v>
      </c>
      <c r="AO52" s="15">
        <v>-9.5381630354595835E-4</v>
      </c>
      <c r="AP52" s="6">
        <v>-2841.8077777777767</v>
      </c>
      <c r="AQ52" s="15">
        <v>-9.4363171541928057E-4</v>
      </c>
      <c r="AR52" s="6">
        <v>-2841.8077777777767</v>
      </c>
      <c r="AS52" s="15">
        <v>-1.0376970901237442E-3</v>
      </c>
      <c r="AT52" s="6">
        <v>-2841.8077777777767</v>
      </c>
      <c r="AU52" s="15">
        <v>-1.1568660528037376E-3</v>
      </c>
      <c r="AW52" s="6">
        <v>-34101.693333333322</v>
      </c>
      <c r="AX52" s="15">
        <v>-1.1367231111111106E-3</v>
      </c>
      <c r="AY52" s="6">
        <v>-2841.8077777777767</v>
      </c>
    </row>
    <row r="53" spans="2:51" outlineLevel="2" x14ac:dyDescent="0.25">
      <c r="E53" s="17" t="s">
        <v>155</v>
      </c>
      <c r="F53" s="35">
        <v>-97.555555555555557</v>
      </c>
      <c r="G53" s="6"/>
      <c r="H53" t="s">
        <v>161</v>
      </c>
      <c r="I53" s="2" t="s">
        <v>37</v>
      </c>
      <c r="J53" s="6">
        <v>-97.555555555555557</v>
      </c>
      <c r="K53" s="37">
        <v>-3.9022222222222225E-5</v>
      </c>
      <c r="L53" s="6">
        <v>-97.555555555555557</v>
      </c>
      <c r="M53" s="15">
        <v>-4.8777777777777781E-5</v>
      </c>
      <c r="N53" s="6">
        <v>-97.555555555555557</v>
      </c>
      <c r="O53" s="15">
        <v>-6.009161865022151E-5</v>
      </c>
      <c r="P53" s="6">
        <f>IFERROR(VLOOKUP($I53,RESUMO!$A$3:$M$200,2,FALSE),"")</f>
        <v>0</v>
      </c>
      <c r="Q53" s="46">
        <f t="shared" si="13"/>
        <v>-1</v>
      </c>
      <c r="R53" s="6">
        <v>-97.555555555555557</v>
      </c>
      <c r="S53" s="15">
        <v>-4.3825732598950946E-5</v>
      </c>
      <c r="T53" s="6">
        <f>IFERROR(VLOOKUP($I53,RESUMO!$A$3:$M$200,3,FALSE),"")</f>
        <v>0</v>
      </c>
      <c r="U53" s="46">
        <f t="shared" si="28"/>
        <v>-1</v>
      </c>
      <c r="V53" s="6">
        <v>-97.555555555555557</v>
      </c>
      <c r="W53" s="15">
        <v>-3.4835935960658404E-5</v>
      </c>
      <c r="X53" s="6">
        <f>IFERROR(VLOOKUP($I53,RESUMO!$A$3:$M$200,4,FALSE),"")</f>
        <v>0</v>
      </c>
      <c r="Y53" s="46">
        <f t="shared" si="29"/>
        <v>-1</v>
      </c>
      <c r="Z53" s="6">
        <v>-97.555555555555557</v>
      </c>
      <c r="AA53" s="15">
        <v>-3.9878658963375403E-5</v>
      </c>
      <c r="AB53" s="6">
        <f>IFERROR(VLOOKUP($I53,RESUMO!$A$3:$M$200,5,FALSE),"")</f>
        <v>225</v>
      </c>
      <c r="AC53" s="46">
        <f t="shared" si="30"/>
        <v>1.3063781321184509</v>
      </c>
      <c r="AD53" s="6">
        <v>-97.555555555555557</v>
      </c>
      <c r="AE53" s="15">
        <v>-3.8065036624639623E-5</v>
      </c>
      <c r="AF53" s="6">
        <f>IFERROR(VLOOKUP($I53,RESUMO!$A$3:$M$200,6,FALSE),"")</f>
        <v>0</v>
      </c>
      <c r="AG53" s="46">
        <f t="shared" si="31"/>
        <v>-1</v>
      </c>
      <c r="AH53" s="6">
        <v>-97.555555555555557</v>
      </c>
      <c r="AI53" s="15">
        <v>-4.3989687893505824E-5</v>
      </c>
      <c r="AJ53" s="6">
        <v>-97.555555555555557</v>
      </c>
      <c r="AK53" s="15">
        <v>-4.3431966163720634E-5</v>
      </c>
      <c r="AL53" s="6">
        <v>-97.555555555555557</v>
      </c>
      <c r="AM53" s="15">
        <v>-3.6251376158346661E-5</v>
      </c>
      <c r="AN53" s="6">
        <v>-97.555555555555557</v>
      </c>
      <c r="AO53" s="15">
        <v>-3.2743270012138274E-5</v>
      </c>
      <c r="AP53" s="6">
        <v>-97.555555555555557</v>
      </c>
      <c r="AQ53" s="15">
        <v>-3.2393646381514143E-5</v>
      </c>
      <c r="AR53" s="6">
        <v>-97.555555555555557</v>
      </c>
      <c r="AS53" s="15">
        <v>-3.5622788042535048E-5</v>
      </c>
      <c r="AT53" s="6">
        <v>-97.555555555555557</v>
      </c>
      <c r="AU53" s="15">
        <v>-3.9713703145989707E-5</v>
      </c>
      <c r="AW53" s="6">
        <v>-1170.6666666666667</v>
      </c>
      <c r="AX53" s="15">
        <v>-3.9022222222222225E-5</v>
      </c>
      <c r="AY53" s="6">
        <v>-97.555555555555557</v>
      </c>
    </row>
    <row r="54" spans="2:51" outlineLevel="2" x14ac:dyDescent="0.25">
      <c r="E54" s="17" t="s">
        <v>156</v>
      </c>
      <c r="F54" s="35">
        <v>-494.99449999999968</v>
      </c>
      <c r="H54" t="s">
        <v>161</v>
      </c>
      <c r="I54" s="2" t="s">
        <v>38</v>
      </c>
      <c r="J54" s="6">
        <v>-494.99449999999968</v>
      </c>
      <c r="K54" s="37">
        <v>-1.9799779999999986E-4</v>
      </c>
      <c r="L54" s="6">
        <v>-494.99449999999968</v>
      </c>
      <c r="M54" s="15">
        <v>-2.4749724999999982E-4</v>
      </c>
      <c r="N54" s="6">
        <v>-494.99449999999968</v>
      </c>
      <c r="O54" s="15">
        <v>-3.0490340153942305E-4</v>
      </c>
      <c r="P54" s="6">
        <f>IFERROR(VLOOKUP($I54,RESUMO!$A$3:$M$200,2,FALSE),"")</f>
        <v>361.18</v>
      </c>
      <c r="Q54" s="46">
        <f t="shared" si="13"/>
        <v>-0.27033532695817786</v>
      </c>
      <c r="R54" s="6">
        <v>-494.99449999999968</v>
      </c>
      <c r="S54" s="15">
        <v>-2.2237069402569781E-4</v>
      </c>
      <c r="T54" s="6">
        <f>IFERROR(VLOOKUP($I54,RESUMO!$A$3:$M$200,3,FALSE),"")</f>
        <v>243.78000000000003</v>
      </c>
      <c r="U54" s="46">
        <f t="shared" si="28"/>
        <v>-0.50750967940047786</v>
      </c>
      <c r="V54" s="6">
        <v>-494.99449999999968</v>
      </c>
      <c r="W54" s="15">
        <v>-1.7675668602039069E-4</v>
      </c>
      <c r="X54" s="6">
        <f>IFERROR(VLOOKUP($I54,RESUMO!$A$3:$M$200,4,FALSE),"")</f>
        <v>272.03999999999996</v>
      </c>
      <c r="Y54" s="46">
        <f t="shared" si="29"/>
        <v>-0.45041813595908609</v>
      </c>
      <c r="Z54" s="6">
        <v>-494.99449999999968</v>
      </c>
      <c r="AA54" s="15">
        <v>-2.0234333905264079E-4</v>
      </c>
      <c r="AB54" s="6">
        <f>IFERROR(VLOOKUP($I54,RESUMO!$A$3:$M$200,5,FALSE),"")</f>
        <v>276.27999999999997</v>
      </c>
      <c r="AC54" s="46">
        <f t="shared" si="30"/>
        <v>-0.44185238421841022</v>
      </c>
      <c r="AD54" s="6">
        <v>-494.99449999999968</v>
      </c>
      <c r="AE54" s="15">
        <v>-1.9314106371692084E-4</v>
      </c>
      <c r="AF54" s="6">
        <f>IFERROR(VLOOKUP($I54,RESUMO!$A$3:$M$200,6,FALSE),"")</f>
        <v>0</v>
      </c>
      <c r="AG54" s="46">
        <f t="shared" si="31"/>
        <v>-1</v>
      </c>
      <c r="AH54" s="6">
        <v>-494.99449999999968</v>
      </c>
      <c r="AI54" s="15">
        <v>-2.2320259917541868E-4</v>
      </c>
      <c r="AJ54" s="6">
        <v>-494.99449999999968</v>
      </c>
      <c r="AK54" s="15">
        <v>-2.2037273277568359E-4</v>
      </c>
      <c r="AL54" s="6">
        <v>-494.99449999999968</v>
      </c>
      <c r="AM54" s="15">
        <v>-1.8393859492290936E-4</v>
      </c>
      <c r="AN54" s="6">
        <v>-494.99449999999968</v>
      </c>
      <c r="AO54" s="15">
        <v>-1.6613855024169739E-4</v>
      </c>
      <c r="AP54" s="6">
        <v>-494.99449999999968</v>
      </c>
      <c r="AQ54" s="15">
        <v>-1.6436456850130925E-4</v>
      </c>
      <c r="AR54" s="6">
        <v>-494.99449999999968</v>
      </c>
      <c r="AS54" s="15">
        <v>-1.8074915421581483E-4</v>
      </c>
      <c r="AT54" s="6">
        <v>-494.99449999999968</v>
      </c>
      <c r="AU54" s="15">
        <v>-2.0150635727457665E-4</v>
      </c>
      <c r="AW54" s="6">
        <v>-5939.9339999999966</v>
      </c>
      <c r="AX54" s="15">
        <v>-1.9799779999999989E-4</v>
      </c>
      <c r="AY54" s="6">
        <v>-494.99449999999973</v>
      </c>
    </row>
    <row r="55" spans="2:51" outlineLevel="2" x14ac:dyDescent="0.25">
      <c r="E55" s="17" t="s">
        <v>148</v>
      </c>
      <c r="F55" s="31">
        <v>0.08</v>
      </c>
      <c r="H55" t="s">
        <v>161</v>
      </c>
      <c r="I55" s="2" t="s">
        <v>39</v>
      </c>
      <c r="J55" s="6">
        <v>-3356.5830960000003</v>
      </c>
      <c r="K55" s="37">
        <v>-1.3426332384E-3</v>
      </c>
      <c r="L55" s="6">
        <v>-3356.5830960000003</v>
      </c>
      <c r="M55" s="15">
        <v>-1.6782915480000001E-3</v>
      </c>
      <c r="N55" s="6">
        <v>-3356.5830960000003</v>
      </c>
      <c r="O55" s="15">
        <v>-2.0675656063251788E-3</v>
      </c>
      <c r="P55" s="6">
        <f>IFERROR(VLOOKUP($I55,RESUMO!$A$3:$M$200,2,FALSE),"")</f>
        <v>6497.95</v>
      </c>
      <c r="Q55" s="46">
        <f t="shared" si="13"/>
        <v>0.93588235838508771</v>
      </c>
      <c r="R55" s="6">
        <v>-3356.5830960000003</v>
      </c>
      <c r="S55" s="15">
        <v>-1.5079070830331367E-3</v>
      </c>
      <c r="T55" s="6">
        <f>IFERROR(VLOOKUP($I55,RESUMO!$A$3:$M$200,3,FALSE),"")</f>
        <v>5251.66</v>
      </c>
      <c r="U55" s="46">
        <f t="shared" si="28"/>
        <v>0.56458513011590261</v>
      </c>
      <c r="V55" s="6">
        <v>-3356.5830960000003</v>
      </c>
      <c r="W55" s="15">
        <v>-1.1985961549088391E-3</v>
      </c>
      <c r="X55" s="6">
        <f>IFERROR(VLOOKUP($I55,RESUMO!$A$3:$M$200,4,FALSE),"")</f>
        <v>5035.68</v>
      </c>
      <c r="Y55" s="46">
        <f t="shared" si="29"/>
        <v>0.5002399332824381</v>
      </c>
      <c r="Z55" s="6">
        <v>-3356.5830960000003</v>
      </c>
      <c r="AA55" s="15">
        <v>-1.3721005616270307E-3</v>
      </c>
      <c r="AB55" s="6">
        <f>IFERROR(VLOOKUP($I55,RESUMO!$A$3:$M$200,5,FALSE),"")</f>
        <v>0</v>
      </c>
      <c r="AC55" s="46">
        <f t="shared" si="30"/>
        <v>-1</v>
      </c>
      <c r="AD55" s="6">
        <v>-3574.7609972400005</v>
      </c>
      <c r="AE55" s="15">
        <v>-1.394829925465222E-3</v>
      </c>
      <c r="AF55" s="6">
        <f>IFERROR(VLOOKUP($I55,RESUMO!$A$3:$M$200,6,FALSE),"")</f>
        <v>0</v>
      </c>
      <c r="AG55" s="46">
        <f t="shared" si="31"/>
        <v>-1</v>
      </c>
      <c r="AH55" s="6">
        <v>-3574.7609972400005</v>
      </c>
      <c r="AI55" s="15">
        <v>-1.6119289123715118E-3</v>
      </c>
      <c r="AJ55" s="6">
        <v>-3574.7609972400005</v>
      </c>
      <c r="AK55" s="15">
        <v>-1.5914921276533524E-3</v>
      </c>
      <c r="AL55" s="6">
        <v>-3574.7609972400005</v>
      </c>
      <c r="AM55" s="15">
        <v>-1.3283713556767689E-3</v>
      </c>
      <c r="AN55" s="6">
        <v>-3574.7609972400005</v>
      </c>
      <c r="AO55" s="15">
        <v>-1.1998226435688043E-3</v>
      </c>
      <c r="AP55" s="6">
        <v>-3574.7609972400005</v>
      </c>
      <c r="AQ55" s="15">
        <v>-1.1870112674113814E-3</v>
      </c>
      <c r="AR55" s="6">
        <v>-3574.7609972400005</v>
      </c>
      <c r="AS55" s="15">
        <v>-1.3053377901669882E-3</v>
      </c>
      <c r="AT55" s="6">
        <v>-3574.7609972400005</v>
      </c>
      <c r="AU55" s="15">
        <v>-1.4552425666973388E-3</v>
      </c>
      <c r="AW55" s="6">
        <v>-42024.42036192002</v>
      </c>
      <c r="AX55" s="15">
        <v>-1.4008140120640006E-3</v>
      </c>
      <c r="AY55" s="6">
        <v>-3502.0350301600015</v>
      </c>
    </row>
    <row r="56" spans="2:51" outlineLevel="2" x14ac:dyDescent="0.25">
      <c r="E56" s="17" t="s">
        <v>148</v>
      </c>
      <c r="F56" s="31">
        <v>0.18</v>
      </c>
      <c r="H56" t="s">
        <v>161</v>
      </c>
      <c r="I56" s="2" t="s">
        <v>40</v>
      </c>
      <c r="J56" s="6">
        <v>-7552.3119660000002</v>
      </c>
      <c r="K56" s="37">
        <v>-3.0209247864000002E-3</v>
      </c>
      <c r="L56" s="6">
        <v>-7552.3119660000002</v>
      </c>
      <c r="M56" s="15">
        <v>-3.7761559830000002E-3</v>
      </c>
      <c r="N56" s="6">
        <v>-7552.3119660000002</v>
      </c>
      <c r="O56" s="15">
        <v>-4.6520226142316512E-3</v>
      </c>
      <c r="P56" s="6">
        <f>IFERROR(VLOOKUP($I56,RESUMO!$A$3:$M$200,2,FALSE),"")</f>
        <v>8026.6100000000006</v>
      </c>
      <c r="Q56" s="46">
        <f t="shared" si="13"/>
        <v>6.2801700477318478E-2</v>
      </c>
      <c r="R56" s="6">
        <v>-7552.3119660000002</v>
      </c>
      <c r="S56" s="15">
        <v>-3.3927909368245577E-3</v>
      </c>
      <c r="T56" s="6">
        <f>IFERROR(VLOOKUP($I56,RESUMO!$A$3:$M$200,3,FALSE),"")</f>
        <v>8297.76</v>
      </c>
      <c r="U56" s="46">
        <f t="shared" si="28"/>
        <v>9.8704613548269204E-2</v>
      </c>
      <c r="V56" s="6">
        <v>-7552.3119660000002</v>
      </c>
      <c r="W56" s="15">
        <v>-2.696841348544888E-3</v>
      </c>
      <c r="X56" s="6">
        <f>IFERROR(VLOOKUP($I56,RESUMO!$A$3:$M$200,4,FALSE),"")</f>
        <v>8006.02</v>
      </c>
      <c r="Y56" s="46">
        <f t="shared" si="29"/>
        <v>6.0075383014176698E-2</v>
      </c>
      <c r="Z56" s="6">
        <v>-7552.3119660000002</v>
      </c>
      <c r="AA56" s="15">
        <v>-3.0872262636608191E-3</v>
      </c>
      <c r="AB56" s="6">
        <f>IFERROR(VLOOKUP($I56,RESUMO!$A$3:$M$200,5,FALSE),"")</f>
        <v>0</v>
      </c>
      <c r="AC56" s="46">
        <f t="shared" si="30"/>
        <v>-1</v>
      </c>
      <c r="AD56" s="6">
        <v>-8043.2122437900007</v>
      </c>
      <c r="AE56" s="15">
        <v>-3.1383673322967496E-3</v>
      </c>
      <c r="AF56" s="6">
        <f>IFERROR(VLOOKUP($I56,RESUMO!$A$3:$M$200,6,FALSE),"")</f>
        <v>0</v>
      </c>
      <c r="AG56" s="46">
        <f t="shared" si="31"/>
        <v>-1</v>
      </c>
      <c r="AH56" s="6">
        <v>-8043.2122437900007</v>
      </c>
      <c r="AI56" s="15">
        <v>-3.6268400528359011E-3</v>
      </c>
      <c r="AJ56" s="6">
        <v>-8043.2122437900007</v>
      </c>
      <c r="AK56" s="15">
        <v>-3.5808572872200427E-3</v>
      </c>
      <c r="AL56" s="6">
        <v>-8043.2122437900007</v>
      </c>
      <c r="AM56" s="15">
        <v>-2.9888355502727297E-3</v>
      </c>
      <c r="AN56" s="6">
        <v>-8043.2122437900007</v>
      </c>
      <c r="AO56" s="15">
        <v>-2.6996009480298095E-3</v>
      </c>
      <c r="AP56" s="6">
        <v>-8043.2122437900007</v>
      </c>
      <c r="AQ56" s="15">
        <v>-2.6707753516756077E-3</v>
      </c>
      <c r="AR56" s="6">
        <v>-8043.2122437900007</v>
      </c>
      <c r="AS56" s="15">
        <v>-2.9370100278757233E-3</v>
      </c>
      <c r="AT56" s="6">
        <v>-8043.2122437900007</v>
      </c>
      <c r="AU56" s="15">
        <v>-3.2742957750690124E-3</v>
      </c>
      <c r="AW56" s="6">
        <v>-94554.945814320003</v>
      </c>
      <c r="AX56" s="15">
        <v>-3.1518315271440002E-3</v>
      </c>
      <c r="AY56" s="6">
        <v>-7879.5788178600005</v>
      </c>
    </row>
    <row r="57" spans="2:51" outlineLevel="2" x14ac:dyDescent="0.25">
      <c r="E57" s="17" t="s">
        <v>148</v>
      </c>
      <c r="F57" s="31">
        <v>0.1111111111111111</v>
      </c>
      <c r="H57" t="s">
        <v>161</v>
      </c>
      <c r="I57" s="2" t="s">
        <v>41</v>
      </c>
      <c r="J57" s="6">
        <v>-4661.9209666666666</v>
      </c>
      <c r="K57" s="37">
        <v>-1.8647683866666667E-3</v>
      </c>
      <c r="L57" s="6">
        <v>-4661.9209666666666</v>
      </c>
      <c r="M57" s="15">
        <v>-2.3309604833333334E-3</v>
      </c>
      <c r="N57" s="6">
        <v>-4661.9209666666666</v>
      </c>
      <c r="O57" s="15">
        <v>-2.8716188976738587E-3</v>
      </c>
      <c r="P57" s="6">
        <f>IFERROR(VLOOKUP($I57,RESUMO!$A$3:$M$200,2,FALSE),"")</f>
        <v>0</v>
      </c>
      <c r="Q57" s="46">
        <f t="shared" si="13"/>
        <v>-1</v>
      </c>
      <c r="R57" s="6">
        <v>-4661.9209666666666</v>
      </c>
      <c r="S57" s="15">
        <v>-2.0943153931015784E-3</v>
      </c>
      <c r="T57" s="6">
        <f>IFERROR(VLOOKUP($I57,RESUMO!$A$3:$M$200,3,FALSE),"")</f>
        <v>0</v>
      </c>
      <c r="U57" s="46">
        <f t="shared" si="28"/>
        <v>-1</v>
      </c>
      <c r="V57" s="6">
        <v>-4661.9209666666666</v>
      </c>
      <c r="W57" s="15">
        <v>-1.664716881817832E-3</v>
      </c>
      <c r="X57" s="6">
        <f>IFERROR(VLOOKUP($I57,RESUMO!$A$3:$M$200,4,FALSE),"")</f>
        <v>1458.08</v>
      </c>
      <c r="Y57" s="46">
        <f t="shared" si="29"/>
        <v>-0.68723622506141591</v>
      </c>
      <c r="Z57" s="6">
        <v>-4661.9209666666666</v>
      </c>
      <c r="AA57" s="15">
        <v>-1.9056952244819868E-3</v>
      </c>
      <c r="AB57" s="6">
        <f>IFERROR(VLOOKUP($I57,RESUMO!$A$3:$M$200,5,FALSE),"")</f>
        <v>1316.22</v>
      </c>
      <c r="AC57" s="46">
        <f t="shared" si="30"/>
        <v>-0.71766574135187144</v>
      </c>
      <c r="AD57" s="6">
        <v>-4964.9458295000004</v>
      </c>
      <c r="AE57" s="15">
        <v>-1.9372637853683639E-3</v>
      </c>
      <c r="AF57" s="6">
        <f>IFERROR(VLOOKUP($I57,RESUMO!$A$3:$M$200,6,FALSE),"")</f>
        <v>0</v>
      </c>
      <c r="AG57" s="46">
        <f t="shared" si="31"/>
        <v>-1</v>
      </c>
      <c r="AH57" s="6">
        <v>-4964.9458295000004</v>
      </c>
      <c r="AI57" s="15">
        <v>-2.2387901560715442E-3</v>
      </c>
      <c r="AJ57" s="6">
        <v>-4964.9458295000004</v>
      </c>
      <c r="AK57" s="15">
        <v>-2.2104057328518781E-3</v>
      </c>
      <c r="AL57" s="6">
        <v>-4964.9458295000004</v>
      </c>
      <c r="AM57" s="15">
        <v>-1.8449602162177346E-3</v>
      </c>
      <c r="AN57" s="6">
        <v>-4964.9458295000004</v>
      </c>
      <c r="AO57" s="15">
        <v>-1.6664203382900059E-3</v>
      </c>
      <c r="AP57" s="6">
        <v>-4964.9458295000004</v>
      </c>
      <c r="AQ57" s="15">
        <v>-1.6486267602935851E-3</v>
      </c>
      <c r="AR57" s="6">
        <v>-4964.9458295000004</v>
      </c>
      <c r="AS57" s="15">
        <v>-1.8129691530097058E-3</v>
      </c>
      <c r="AT57" s="6">
        <v>-4964.9458295000004</v>
      </c>
      <c r="AU57" s="15">
        <v>-2.0211702315240817E-3</v>
      </c>
      <c r="AW57" s="6">
        <v>-58367.250502666669</v>
      </c>
      <c r="AX57" s="15">
        <v>-1.9455750167555557E-3</v>
      </c>
      <c r="AY57" s="6">
        <v>-4863.9375418888894</v>
      </c>
    </row>
    <row r="58" spans="2:51" outlineLevel="2" x14ac:dyDescent="0.25">
      <c r="B58" s="17" t="s">
        <v>152</v>
      </c>
      <c r="C58">
        <v>5</v>
      </c>
      <c r="D58">
        <v>9</v>
      </c>
      <c r="E58" s="17" t="s">
        <v>182</v>
      </c>
      <c r="F58" s="35">
        <v>-2399.7460000000001</v>
      </c>
      <c r="H58" t="s">
        <v>161</v>
      </c>
      <c r="I58" s="2" t="s">
        <v>42</v>
      </c>
      <c r="J58" s="6">
        <v>-2399.7460000000001</v>
      </c>
      <c r="K58" s="37">
        <v>-9.5989840000000007E-4</v>
      </c>
      <c r="L58" s="6">
        <v>-2399.7460000000001</v>
      </c>
      <c r="M58" s="15">
        <v>-1.199873E-3</v>
      </c>
      <c r="N58" s="6">
        <v>-2399.7460000000001</v>
      </c>
      <c r="O58" s="15">
        <v>-1.4781794913491461E-3</v>
      </c>
      <c r="P58" s="6">
        <f>IFERROR(VLOOKUP($I58,RESUMO!$A$3:$M$200,2,FALSE),"")</f>
        <v>2316.15</v>
      </c>
      <c r="Q58" s="46">
        <f t="shared" si="13"/>
        <v>-3.4835353408235736E-2</v>
      </c>
      <c r="R58" s="6">
        <v>-2399.7460000000001</v>
      </c>
      <c r="S58" s="15">
        <v>-1.0780588137956938E-3</v>
      </c>
      <c r="T58" s="6">
        <f>IFERROR(VLOOKUP($I58,RESUMO!$A$3:$M$200,3,FALSE),"")</f>
        <v>2405.31</v>
      </c>
      <c r="U58" s="46">
        <f t="shared" si="28"/>
        <v>2.3185787162474103E-3</v>
      </c>
      <c r="V58" s="6">
        <v>-2399.7460000000001</v>
      </c>
      <c r="W58" s="15">
        <v>-8.5692093599158941E-4</v>
      </c>
      <c r="X58" s="6">
        <f>IFERROR(VLOOKUP($I58,RESUMO!$A$3:$M$200,4,FALSE),"")</f>
        <v>2405.31</v>
      </c>
      <c r="Y58" s="46">
        <f t="shared" si="29"/>
        <v>2.3185787162474103E-3</v>
      </c>
      <c r="Z58" s="6">
        <v>-2399.7460000000001</v>
      </c>
      <c r="AA58" s="15">
        <v>-9.8096568450400739E-4</v>
      </c>
      <c r="AB58" s="6">
        <f>IFERROR(VLOOKUP($I58,RESUMO!$A$3:$M$200,5,FALSE),"")</f>
        <v>2405.31</v>
      </c>
      <c r="AC58" s="46">
        <f t="shared" si="30"/>
        <v>2.3185787162474103E-3</v>
      </c>
      <c r="AD58" s="6">
        <v>-2399.7460000000001</v>
      </c>
      <c r="AE58" s="15">
        <v>-9.363528182442961E-4</v>
      </c>
      <c r="AF58" s="6">
        <f>IFERROR(VLOOKUP($I58,RESUMO!$A$3:$M$200,6,FALSE),"")</f>
        <v>0</v>
      </c>
      <c r="AG58" s="46">
        <f t="shared" si="31"/>
        <v>-1</v>
      </c>
      <c r="AH58" s="6">
        <v>-2399.7460000000001</v>
      </c>
      <c r="AI58" s="15">
        <v>-1.082091911245104E-3</v>
      </c>
      <c r="AJ58" s="6">
        <v>-2399.7460000000001</v>
      </c>
      <c r="AK58" s="15">
        <v>-1.0683726465395393E-3</v>
      </c>
      <c r="AL58" s="6">
        <v>-2399.7460000000001</v>
      </c>
      <c r="AM58" s="15">
        <v>-8.9173901409383808E-4</v>
      </c>
      <c r="AN58" s="6">
        <v>-2399.7460000000001</v>
      </c>
      <c r="AO58" s="15">
        <v>-8.0544394208079606E-4</v>
      </c>
      <c r="AP58" s="6">
        <v>-2399.7460000000001</v>
      </c>
      <c r="AQ58" s="15">
        <v>-7.9684363321762795E-4</v>
      </c>
      <c r="AR58" s="6">
        <v>-2399.7460000000001</v>
      </c>
      <c r="AS58" s="15">
        <v>-8.7627652394680158E-4</v>
      </c>
      <c r="AT58" s="6">
        <v>-2399.7460000000001</v>
      </c>
      <c r="AU58" s="15">
        <v>-9.769079754305078E-4</v>
      </c>
      <c r="AW58" s="6">
        <v>-28796.951999999994</v>
      </c>
      <c r="AX58" s="15">
        <v>-9.5989839999999975E-4</v>
      </c>
      <c r="AY58" s="6">
        <v>-2399.7459999999996</v>
      </c>
    </row>
    <row r="59" spans="2:51" outlineLevel="2" x14ac:dyDescent="0.25">
      <c r="E59" s="17" t="s">
        <v>155</v>
      </c>
      <c r="F59" s="35">
        <v>-2500</v>
      </c>
      <c r="H59" t="s">
        <v>161</v>
      </c>
      <c r="I59" s="2" t="s">
        <v>43</v>
      </c>
      <c r="J59" s="6">
        <v>-2500</v>
      </c>
      <c r="K59" s="37">
        <v>-1E-3</v>
      </c>
      <c r="L59" s="6">
        <v>-2500</v>
      </c>
      <c r="M59" s="15">
        <v>-1.25E-3</v>
      </c>
      <c r="N59" s="6">
        <v>-2500</v>
      </c>
      <c r="O59" s="15">
        <v>-1.5399332797608018E-3</v>
      </c>
      <c r="P59" s="6">
        <f>IFERROR(VLOOKUP($I59,RESUMO!$A$3:$M$200,2,FALSE),"")</f>
        <v>2934.94</v>
      </c>
      <c r="Q59" s="46">
        <f t="shared" si="13"/>
        <v>0.17397600000000013</v>
      </c>
      <c r="R59" s="6">
        <v>-2500</v>
      </c>
      <c r="S59" s="15">
        <v>-1.1230967921143466E-3</v>
      </c>
      <c r="T59" s="6">
        <f>IFERROR(VLOOKUP($I59,RESUMO!$A$3:$M$200,3,FALSE),"")</f>
        <v>1387.6999999999998</v>
      </c>
      <c r="U59" s="46">
        <f t="shared" si="28"/>
        <v>-0.44492000000000009</v>
      </c>
      <c r="V59" s="6">
        <v>-2500</v>
      </c>
      <c r="W59" s="15">
        <v>-8.927204545726812E-4</v>
      </c>
      <c r="X59" s="6">
        <f>IFERROR(VLOOKUP($I59,RESUMO!$A$3:$M$200,4,FALSE),"")</f>
        <v>705.03</v>
      </c>
      <c r="Y59" s="46">
        <f t="shared" si="29"/>
        <v>-0.71798800000000007</v>
      </c>
      <c r="Z59" s="6">
        <v>-2500</v>
      </c>
      <c r="AA59" s="15">
        <v>-1.0219474107926499E-3</v>
      </c>
      <c r="AB59" s="6">
        <f>IFERROR(VLOOKUP($I59,RESUMO!$A$3:$M$200,5,FALSE),"")</f>
        <v>0</v>
      </c>
      <c r="AC59" s="46">
        <f t="shared" si="30"/>
        <v>-1</v>
      </c>
      <c r="AD59" s="6">
        <v>-2500</v>
      </c>
      <c r="AE59" s="15">
        <v>-9.7547075632618623E-4</v>
      </c>
      <c r="AF59" s="6">
        <f>IFERROR(VLOOKUP($I59,RESUMO!$A$3:$M$200,6,FALSE),"")</f>
        <v>0</v>
      </c>
      <c r="AG59" s="46">
        <f t="shared" si="31"/>
        <v>-1</v>
      </c>
      <c r="AH59" s="6">
        <v>-2500</v>
      </c>
      <c r="AI59" s="15">
        <v>-1.1272983799588622E-3</v>
      </c>
      <c r="AJ59" s="6">
        <v>-2500</v>
      </c>
      <c r="AK59" s="15">
        <v>-1.1130059666101528E-3</v>
      </c>
      <c r="AL59" s="6">
        <v>-2500</v>
      </c>
      <c r="AM59" s="15">
        <v>-9.2899312478678792E-4</v>
      </c>
      <c r="AN59" s="6">
        <v>-2500</v>
      </c>
      <c r="AO59" s="15">
        <v>-8.390929103338395E-4</v>
      </c>
      <c r="AP59" s="6">
        <v>-2500</v>
      </c>
      <c r="AQ59" s="15">
        <v>-8.301333070433578E-4</v>
      </c>
      <c r="AR59" s="6">
        <v>-2500</v>
      </c>
      <c r="AS59" s="15">
        <v>-9.1288465940437191E-4</v>
      </c>
      <c r="AT59" s="6">
        <v>-2500</v>
      </c>
      <c r="AU59" s="15">
        <v>-1.0177201831261598E-3</v>
      </c>
      <c r="AW59" s="6">
        <v>-30000</v>
      </c>
      <c r="AX59" s="15">
        <v>-1E-3</v>
      </c>
      <c r="AY59" s="6">
        <v>-2500</v>
      </c>
    </row>
    <row r="60" spans="2:51" outlineLevel="2" x14ac:dyDescent="0.25">
      <c r="E60" s="17" t="s">
        <v>155</v>
      </c>
      <c r="F60" s="35">
        <v>-1950</v>
      </c>
      <c r="H60" t="s">
        <v>160</v>
      </c>
      <c r="I60" s="2" t="s">
        <v>44</v>
      </c>
      <c r="J60" s="6">
        <v>-1950</v>
      </c>
      <c r="K60" s="37">
        <v>-7.7999999999999999E-4</v>
      </c>
      <c r="L60" s="6">
        <v>-1950</v>
      </c>
      <c r="M60" s="15">
        <v>-9.7499999999999996E-4</v>
      </c>
      <c r="N60" s="6">
        <v>-1950</v>
      </c>
      <c r="O60" s="15">
        <v>-1.2011479582134253E-3</v>
      </c>
      <c r="P60" s="6">
        <f>IFERROR(VLOOKUP($I60,RESUMO!$A$3:$M$200,2,FALSE),"")</f>
        <v>1649.3</v>
      </c>
      <c r="Q60" s="46">
        <f t="shared" si="13"/>
        <v>-0.15420512820512822</v>
      </c>
      <c r="R60" s="6">
        <v>-1950</v>
      </c>
      <c r="S60" s="15">
        <v>-8.7601549784919032E-4</v>
      </c>
      <c r="T60" s="6">
        <f>IFERROR(VLOOKUP($I60,RESUMO!$A$3:$M$200,3,FALSE),"")</f>
        <v>1675.48</v>
      </c>
      <c r="U60" s="46">
        <f t="shared" si="28"/>
        <v>-0.14077948717948718</v>
      </c>
      <c r="V60" s="6">
        <v>-1950</v>
      </c>
      <c r="W60" s="15">
        <v>-6.9632195456669139E-4</v>
      </c>
      <c r="X60" s="6">
        <f>IFERROR(VLOOKUP($I60,RESUMO!$A$3:$M$200,4,FALSE),"")</f>
        <v>2109.6999999999998</v>
      </c>
      <c r="Y60" s="46">
        <f t="shared" si="29"/>
        <v>8.1897435897435811E-2</v>
      </c>
      <c r="Z60" s="6">
        <v>-1950</v>
      </c>
      <c r="AA60" s="15">
        <v>-7.9711898041826695E-4</v>
      </c>
      <c r="AB60" s="6">
        <f>IFERROR(VLOOKUP($I60,RESUMO!$A$3:$M$200,5,FALSE),"")</f>
        <v>2093.6</v>
      </c>
      <c r="AC60" s="46">
        <f t="shared" si="30"/>
        <v>7.3641025641025593E-2</v>
      </c>
      <c r="AD60" s="6">
        <v>-1950</v>
      </c>
      <c r="AE60" s="15">
        <v>-7.6086718993442532E-4</v>
      </c>
      <c r="AF60" s="6">
        <f>IFERROR(VLOOKUP($I60,RESUMO!$A$3:$M$200,6,FALSE),"")</f>
        <v>2112.39</v>
      </c>
      <c r="AG60" s="46">
        <f t="shared" si="31"/>
        <v>8.3276923076923026E-2</v>
      </c>
      <c r="AH60" s="6">
        <v>-1950</v>
      </c>
      <c r="AI60" s="15">
        <v>-8.7929273636791255E-4</v>
      </c>
      <c r="AJ60" s="6">
        <v>-1950</v>
      </c>
      <c r="AK60" s="15">
        <v>-8.6814465395591931E-4</v>
      </c>
      <c r="AL60" s="6">
        <v>-1950</v>
      </c>
      <c r="AM60" s="15">
        <v>-7.2461463733369455E-4</v>
      </c>
      <c r="AN60" s="6">
        <v>-1950</v>
      </c>
      <c r="AO60" s="15">
        <v>-6.544924700603948E-4</v>
      </c>
      <c r="AP60" s="6">
        <v>-1950</v>
      </c>
      <c r="AQ60" s="15">
        <v>-6.4750397949381907E-4</v>
      </c>
      <c r="AR60" s="6">
        <v>-1950</v>
      </c>
      <c r="AS60" s="15">
        <v>-7.1205003433541005E-4</v>
      </c>
      <c r="AT60" s="6">
        <v>-1950</v>
      </c>
      <c r="AU60" s="15">
        <v>-7.9382174283840472E-4</v>
      </c>
      <c r="AW60" s="6">
        <v>-23400</v>
      </c>
      <c r="AX60" s="15">
        <v>-7.7999999999999999E-4</v>
      </c>
      <c r="AY60" s="6">
        <v>-1950</v>
      </c>
    </row>
    <row r="61" spans="2:51" outlineLevel="2" x14ac:dyDescent="0.25">
      <c r="E61" s="17" t="s">
        <v>155</v>
      </c>
      <c r="F61" s="35">
        <v>-7000</v>
      </c>
      <c r="H61" t="s">
        <v>161</v>
      </c>
      <c r="I61" s="2" t="s">
        <v>45</v>
      </c>
      <c r="J61" s="6">
        <v>-7000</v>
      </c>
      <c r="K61" s="37">
        <v>-2.8E-3</v>
      </c>
      <c r="L61" s="6">
        <v>-7000</v>
      </c>
      <c r="M61" s="15">
        <v>-3.5000000000000001E-3</v>
      </c>
      <c r="N61" s="6">
        <v>-7000</v>
      </c>
      <c r="O61" s="15">
        <v>-4.3118131833302454E-3</v>
      </c>
      <c r="P61" s="6">
        <f>IFERROR(VLOOKUP($I61,RESUMO!$A$3:$M$200,2,FALSE),"")</f>
        <v>22729.919999999998</v>
      </c>
      <c r="Q61" s="46">
        <f t="shared" si="13"/>
        <v>2.2471314285714281</v>
      </c>
      <c r="R61" s="6">
        <v>-7000</v>
      </c>
      <c r="S61" s="15">
        <v>-3.1446710179201705E-3</v>
      </c>
      <c r="T61" s="6">
        <f>IFERROR(VLOOKUP($I61,RESUMO!$A$3:$M$200,3,FALSE),"")</f>
        <v>3526.05</v>
      </c>
      <c r="U61" s="46">
        <f t="shared" si="28"/>
        <v>-0.49627857142857146</v>
      </c>
      <c r="V61" s="6">
        <v>-7000</v>
      </c>
      <c r="W61" s="15">
        <v>-2.4996172728035076E-3</v>
      </c>
      <c r="X61" s="6">
        <f>IFERROR(VLOOKUP($I61,RESUMO!$A$3:$M$200,4,FALSE),"")</f>
        <v>6703.59</v>
      </c>
      <c r="Y61" s="46">
        <f t="shared" si="29"/>
        <v>-4.2344285714285723E-2</v>
      </c>
      <c r="Z61" s="6">
        <v>-7000</v>
      </c>
      <c r="AA61" s="15">
        <v>-2.8614527502194196E-3</v>
      </c>
      <c r="AB61" s="6">
        <f>IFERROR(VLOOKUP($I61,RESUMO!$A$3:$M$200,5,FALSE),"")</f>
        <v>8001.47</v>
      </c>
      <c r="AC61" s="46">
        <f t="shared" si="30"/>
        <v>0.14306714285714284</v>
      </c>
      <c r="AD61" s="6">
        <v>-7000</v>
      </c>
      <c r="AE61" s="15">
        <v>-2.7313181177133217E-3</v>
      </c>
      <c r="AF61" s="6">
        <f>IFERROR(VLOOKUP($I61,RESUMO!$A$3:$M$200,6,FALSE),"")</f>
        <v>889</v>
      </c>
      <c r="AG61" s="46">
        <f t="shared" si="31"/>
        <v>-0.873</v>
      </c>
      <c r="AH61" s="6">
        <v>-7000</v>
      </c>
      <c r="AI61" s="15">
        <v>-3.1564354638848142E-3</v>
      </c>
      <c r="AJ61" s="6">
        <v>-7000</v>
      </c>
      <c r="AK61" s="15">
        <v>-3.116416706508428E-3</v>
      </c>
      <c r="AL61" s="6">
        <v>-7000</v>
      </c>
      <c r="AM61" s="15">
        <v>-2.6011807494030065E-3</v>
      </c>
      <c r="AN61" s="6">
        <v>-7000</v>
      </c>
      <c r="AO61" s="15">
        <v>-2.3494601489347506E-3</v>
      </c>
      <c r="AP61" s="6">
        <v>-7000</v>
      </c>
      <c r="AQ61" s="15">
        <v>-2.3243732597214017E-3</v>
      </c>
      <c r="AR61" s="6">
        <v>-7000</v>
      </c>
      <c r="AS61" s="15">
        <v>-2.5560770463322413E-3</v>
      </c>
      <c r="AT61" s="6">
        <v>-7000</v>
      </c>
      <c r="AU61" s="15">
        <v>-2.8496165127532475E-3</v>
      </c>
      <c r="AW61" s="6">
        <v>-84000</v>
      </c>
      <c r="AX61" s="15">
        <v>-2.8E-3</v>
      </c>
      <c r="AY61" s="6">
        <v>-7000</v>
      </c>
    </row>
    <row r="62" spans="2:51" outlineLevel="2" x14ac:dyDescent="0.25">
      <c r="B62" s="17" t="s">
        <v>152</v>
      </c>
      <c r="C62">
        <v>1</v>
      </c>
      <c r="D62">
        <v>9</v>
      </c>
      <c r="E62" s="17" t="s">
        <v>181</v>
      </c>
      <c r="F62" s="35">
        <v>-697.8950000000001</v>
      </c>
      <c r="H62" t="s">
        <v>162</v>
      </c>
      <c r="I62" s="2" t="s">
        <v>46</v>
      </c>
      <c r="J62" s="6">
        <v>-697.8950000000001</v>
      </c>
      <c r="K62" s="37">
        <v>-2.7915800000000005E-4</v>
      </c>
      <c r="L62" s="6">
        <v>-697.8950000000001</v>
      </c>
      <c r="M62" s="15">
        <v>-3.4894750000000007E-4</v>
      </c>
      <c r="N62" s="6">
        <v>-697.8950000000001</v>
      </c>
      <c r="O62" s="15">
        <v>-4.2988469451146598E-4</v>
      </c>
      <c r="P62" s="6">
        <f>IFERROR(VLOOKUP($I62,RESUMO!$A$3:$M$200,2,FALSE),"")</f>
        <v>0</v>
      </c>
      <c r="Q62" s="46">
        <f t="shared" si="13"/>
        <v>-1</v>
      </c>
      <c r="R62" s="6">
        <v>-697.8950000000001</v>
      </c>
      <c r="S62" s="15">
        <v>-3.1352145429305677E-4</v>
      </c>
      <c r="T62" s="6">
        <f>IFERROR(VLOOKUP($I62,RESUMO!$A$3:$M$200,3,FALSE),"")</f>
        <v>0</v>
      </c>
      <c r="U62" s="46">
        <f t="shared" si="28"/>
        <v>-1</v>
      </c>
      <c r="V62" s="6">
        <v>-697.8950000000001</v>
      </c>
      <c r="W62" s="15">
        <v>-2.4921005665760058E-4</v>
      </c>
      <c r="X62" s="6">
        <f>IFERROR(VLOOKUP($I62,RESUMO!$A$3:$M$200,4,FALSE),"")</f>
        <v>0</v>
      </c>
      <c r="Y62" s="46">
        <f t="shared" si="29"/>
        <v>-1</v>
      </c>
      <c r="Z62" s="6">
        <v>-697.8950000000001</v>
      </c>
      <c r="AA62" s="15">
        <v>-2.8528479530205459E-4</v>
      </c>
      <c r="AB62" s="6">
        <f>IFERROR(VLOOKUP($I62,RESUMO!$A$3:$M$200,5,FALSE),"")</f>
        <v>2849.7400000000002</v>
      </c>
      <c r="AC62" s="46">
        <f t="shared" si="30"/>
        <v>3.0833363185006339</v>
      </c>
      <c r="AD62" s="6">
        <v>-697.8950000000001</v>
      </c>
      <c r="AE62" s="15">
        <v>-2.7231046539450554E-4</v>
      </c>
      <c r="AF62" s="6">
        <f>IFERROR(VLOOKUP($I62,RESUMO!$A$3:$M$200,6,FALSE),"")</f>
        <v>0</v>
      </c>
      <c r="AG62" s="46">
        <f t="shared" si="31"/>
        <v>-1</v>
      </c>
      <c r="AH62" s="6">
        <v>-697.8950000000001</v>
      </c>
      <c r="AI62" s="15">
        <v>-3.1469436115255612E-4</v>
      </c>
      <c r="AJ62" s="6">
        <v>-697.8950000000001</v>
      </c>
      <c r="AK62" s="15">
        <v>-3.107045196269571E-4</v>
      </c>
      <c r="AL62" s="6">
        <v>-697.8950000000001</v>
      </c>
      <c r="AM62" s="15">
        <v>-2.593358627292302E-4</v>
      </c>
      <c r="AN62" s="6">
        <v>-697.8950000000001</v>
      </c>
      <c r="AO62" s="15">
        <v>-2.3423949866297402E-4</v>
      </c>
      <c r="AP62" s="6">
        <v>-697.8950000000001</v>
      </c>
      <c r="AQ62" s="15">
        <v>-2.3173835372760973E-4</v>
      </c>
      <c r="AR62" s="6">
        <v>-697.8950000000001</v>
      </c>
      <c r="AS62" s="15">
        <v>-2.5483905575000566E-4</v>
      </c>
      <c r="AT62" s="6">
        <v>-697.8950000000001</v>
      </c>
      <c r="AU62" s="15">
        <v>-2.8410473088113256E-4</v>
      </c>
      <c r="AW62" s="6">
        <v>-8374.7400000000034</v>
      </c>
      <c r="AX62" s="15">
        <v>-2.7915800000000011E-4</v>
      </c>
      <c r="AY62" s="6">
        <v>-697.89500000000032</v>
      </c>
    </row>
    <row r="63" spans="2:51" x14ac:dyDescent="0.25">
      <c r="I63" s="1"/>
      <c r="AF63" s="15" t="str">
        <f>IFERROR(VLOOKUP($I63,RESUMO!$A$3:$M$200,6,FALSE),"")</f>
        <v/>
      </c>
    </row>
    <row r="64" spans="2:51" s="3" customFormat="1" x14ac:dyDescent="0.25">
      <c r="B64" s="10"/>
      <c r="E64" s="10"/>
      <c r="F64" s="32"/>
      <c r="I64" s="5" t="s">
        <v>134</v>
      </c>
      <c r="J64" s="7">
        <v>897943.01872377773</v>
      </c>
      <c r="K64" s="41">
        <v>0.3591772074895111</v>
      </c>
      <c r="L64" s="7">
        <v>629618.01872377773</v>
      </c>
      <c r="M64" s="14">
        <v>0.31480900936188888</v>
      </c>
      <c r="N64" s="7">
        <v>427540.82923956518</v>
      </c>
      <c r="O64" s="14">
        <v>0.26335374056101463</v>
      </c>
      <c r="P64" s="48">
        <f>P21-P23</f>
        <v>411097.70000000007</v>
      </c>
      <c r="Q64" s="14">
        <f>P64/N64-1</f>
        <v>-3.8459787030893144E-2</v>
      </c>
      <c r="R64" s="7">
        <v>750894.48748409841</v>
      </c>
      <c r="S64" s="14">
        <v>0.33733087604389489</v>
      </c>
      <c r="T64" s="48">
        <f>T21-T23</f>
        <v>652776.44999999995</v>
      </c>
      <c r="U64" s="14">
        <f>T64/R64-1</f>
        <v>-0.13066820854265004</v>
      </c>
      <c r="V64" s="7">
        <v>1059168.0913617976</v>
      </c>
      <c r="W64" s="14">
        <v>0.37821640799575323</v>
      </c>
      <c r="X64" s="48">
        <f>X21-X23</f>
        <v>977071.83999999962</v>
      </c>
      <c r="Y64" s="14">
        <f>X64/V64-1</f>
        <v>-7.7510125192918999E-2</v>
      </c>
      <c r="Z64" s="7">
        <v>869130.19069200032</v>
      </c>
      <c r="AA64" s="14">
        <v>0.35528213920776469</v>
      </c>
      <c r="AB64" s="48">
        <f>AB21-AB23</f>
        <v>1013077.0700000001</v>
      </c>
      <c r="AC64" s="14">
        <f>AB64/Z64-1</f>
        <v>0.1656217685792154</v>
      </c>
      <c r="AD64" s="7">
        <v>908033.53347925539</v>
      </c>
      <c r="AE64" s="14">
        <v>0.35430406306901946</v>
      </c>
      <c r="AF64" s="48">
        <f>AF21-AF23</f>
        <v>388949.96</v>
      </c>
      <c r="AG64" s="14">
        <f>AF64/AD64-1</f>
        <v>-0.57165683241929988</v>
      </c>
      <c r="AH64" s="7">
        <v>722796.08087929315</v>
      </c>
      <c r="AI64" s="14">
        <v>0.32592274040633679</v>
      </c>
      <c r="AJ64" s="7">
        <v>738078.78956695832</v>
      </c>
      <c r="AK64" s="14">
        <v>0.32859443864656962</v>
      </c>
      <c r="AL64" s="7">
        <v>976843.02949322318</v>
      </c>
      <c r="AM64" s="14">
        <v>0.36299218335804073</v>
      </c>
      <c r="AN64" s="7">
        <v>1131571.1743508629</v>
      </c>
      <c r="AO64" s="14">
        <v>0.37979733997437842</v>
      </c>
      <c r="AP64" s="7">
        <v>1148828.0445340245</v>
      </c>
      <c r="AQ64" s="14">
        <v>0.38147216953327351</v>
      </c>
      <c r="AR64" s="7">
        <v>1002326.4019364209</v>
      </c>
      <c r="AS64" s="14">
        <v>0.36600335841749571</v>
      </c>
      <c r="AT64" s="7">
        <v>850937.05516197463</v>
      </c>
      <c r="AU64" s="14">
        <v>0.34640632624331202</v>
      </c>
      <c r="AV64" s="16"/>
      <c r="AW64" s="7">
        <v>10586147.708179474</v>
      </c>
      <c r="AX64" s="14">
        <v>0.35287159027264914</v>
      </c>
      <c r="AY64" s="7">
        <v>882178.97568162298</v>
      </c>
    </row>
    <row r="65" spans="2:51" x14ac:dyDescent="0.25">
      <c r="I65" t="s">
        <v>47</v>
      </c>
    </row>
    <row r="66" spans="2:51" s="3" customFormat="1" x14ac:dyDescent="0.25">
      <c r="B66" s="10"/>
      <c r="E66" s="10"/>
      <c r="F66" s="32"/>
      <c r="I66" s="4" t="s">
        <v>135</v>
      </c>
      <c r="J66" s="7">
        <v>-707408.8097782291</v>
      </c>
      <c r="K66" s="41">
        <v>-0.28296352391129165</v>
      </c>
      <c r="L66" s="7">
        <v>-659214.0631228562</v>
      </c>
      <c r="M66" s="14">
        <v>-0.32960703156142812</v>
      </c>
      <c r="N66" s="7">
        <v>-622918.30629057682</v>
      </c>
      <c r="O66" s="14">
        <v>-0.38370105217163664</v>
      </c>
      <c r="P66" s="7">
        <f>SUM(P67+P85+P101+P123)</f>
        <v>655078.40999999992</v>
      </c>
      <c r="Q66" s="14">
        <f t="shared" ref="Q66:Q130" si="32">IFERROR((P66*-1)/N66-1,"")</f>
        <v>5.1628124241417161E-2</v>
      </c>
      <c r="R66" s="7">
        <v>-680996.93347471266</v>
      </c>
      <c r="S66" s="14">
        <v>-0.30593018857006271</v>
      </c>
      <c r="T66" s="7">
        <f>SUM(T67+T85+T101+T123)</f>
        <v>569914.07999999996</v>
      </c>
      <c r="U66" s="14">
        <f t="shared" ref="U66" si="33">IFERROR((T66*-1)/R66-1,"")</f>
        <v>-0.16311799365663004</v>
      </c>
      <c r="V66" s="7">
        <v>-736366.98188400897</v>
      </c>
      <c r="W66" s="14">
        <v>-0.26294794671992233</v>
      </c>
      <c r="X66" s="7">
        <f>SUM(X67+X85+X101+X123)</f>
        <v>658115.23</v>
      </c>
      <c r="Y66" s="14">
        <f t="shared" ref="Y66" si="34">IFERROR((X66*-1)/V66-1,"")</f>
        <v>-0.10626732839623032</v>
      </c>
      <c r="Z66" s="7">
        <v>-702233.64180127438</v>
      </c>
      <c r="AA66" s="14">
        <v>-0.28705834080412218</v>
      </c>
      <c r="AB66" s="7">
        <f>SUM(AB67+AB85+AB101+AB123)</f>
        <v>624388.78999999992</v>
      </c>
      <c r="AC66" s="14">
        <f t="shared" ref="AC66" si="35">IFERROR((AB66*-1)/Z66-1,"")</f>
        <v>-0.11085320777511798</v>
      </c>
      <c r="AD66" s="7">
        <v>-719188.9048191926</v>
      </c>
      <c r="AE66" s="14">
        <v>-0.28061909797015178</v>
      </c>
      <c r="AF66" s="7">
        <f>SUM(AF67+AF85+AF101+AF123)</f>
        <v>207371</v>
      </c>
      <c r="AG66" s="14">
        <f t="shared" ref="AG66" si="36">IFERROR((AF66*-1)/AD66-1,"")</f>
        <v>-0.71165990102122889</v>
      </c>
      <c r="AH66" s="7">
        <v>-685917.78919768217</v>
      </c>
      <c r="AI66" s="14">
        <v>-0.3092936050190046</v>
      </c>
      <c r="AJ66" s="7">
        <v>-688662.76738983684</v>
      </c>
      <c r="AK66" s="14">
        <v>-0.30659430763485929</v>
      </c>
      <c r="AL66" s="7">
        <v>-731548.00750391115</v>
      </c>
      <c r="AM66" s="14">
        <v>-0.27184122776904279</v>
      </c>
      <c r="AN66" s="7">
        <v>-759339.24477911752</v>
      </c>
      <c r="AO66" s="14">
        <v>-0.25486247073296381</v>
      </c>
      <c r="AP66" s="7">
        <v>-762438.80869057612</v>
      </c>
      <c r="AQ66" s="14">
        <v>-0.25317033987060239</v>
      </c>
      <c r="AR66" s="7">
        <v>-736125.16087696399</v>
      </c>
      <c r="AS66" s="14">
        <v>-0.26879894670646232</v>
      </c>
      <c r="AT66" s="7">
        <v>-708933.61624222319</v>
      </c>
      <c r="AU66" s="14">
        <v>-0.28859841989853047</v>
      </c>
      <c r="AV66" s="16"/>
      <c r="AW66" s="7">
        <v>-8534670.1629500762</v>
      </c>
      <c r="AX66" s="14">
        <v>-0.28448900543166922</v>
      </c>
      <c r="AY66" s="7">
        <v>-711222.51357917301</v>
      </c>
    </row>
    <row r="67" spans="2:51" s="3" customFormat="1" outlineLevel="1" x14ac:dyDescent="0.25">
      <c r="B67" s="10"/>
      <c r="E67" s="10"/>
      <c r="F67" s="32"/>
      <c r="I67" s="9" t="s">
        <v>48</v>
      </c>
      <c r="J67" s="8">
        <v>-174857.96303033334</v>
      </c>
      <c r="K67" s="38">
        <v>-6.994318521213333E-2</v>
      </c>
      <c r="L67" s="8">
        <v>-174857.96303033334</v>
      </c>
      <c r="M67" s="13">
        <v>-8.7428981515166676E-2</v>
      </c>
      <c r="N67" s="8">
        <v>-174857.96303033334</v>
      </c>
      <c r="O67" s="13">
        <v>-0.10770783860063769</v>
      </c>
      <c r="P67" s="8">
        <f>SUM(P68:P84)</f>
        <v>162457.65999999995</v>
      </c>
      <c r="Q67" s="45">
        <f>(P67*-1)/N67-1</f>
        <v>-7.0916433060485007E-2</v>
      </c>
      <c r="R67" s="8">
        <v>-174857.96303033334</v>
      </c>
      <c r="S67" s="13">
        <v>-7.8552966942006544E-2</v>
      </c>
      <c r="T67" s="8">
        <f>SUM(T68:T84)</f>
        <v>172282.52000000002</v>
      </c>
      <c r="U67" s="45">
        <f>(T67*-1)/R67-1</f>
        <v>-1.4728771773960037E-2</v>
      </c>
      <c r="V67" s="8">
        <v>-174857.96303033334</v>
      </c>
      <c r="W67" s="13">
        <v>-6.2439712096836908E-2</v>
      </c>
      <c r="X67" s="8">
        <f>SUM(X68:X84)</f>
        <v>186511.62</v>
      </c>
      <c r="Y67" s="45">
        <f>(X67*-1)/V67-1</f>
        <v>6.6646418428453646E-2</v>
      </c>
      <c r="Z67" s="8">
        <v>-174857.96303033334</v>
      </c>
      <c r="AA67" s="13">
        <v>-7.1478257030130415E-2</v>
      </c>
      <c r="AB67" s="8">
        <f>SUM(AB68:AB84)</f>
        <v>158165.32</v>
      </c>
      <c r="AC67" s="45">
        <f>(AB67*-1)/Z67-1</f>
        <v>-9.5464013997678787E-2</v>
      </c>
      <c r="AD67" s="8">
        <v>-180578.51873174944</v>
      </c>
      <c r="AE67" s="13">
        <v>-7.0459625697408809E-2</v>
      </c>
      <c r="AF67" s="8">
        <f>SUM(AF68:AF84)</f>
        <v>63986.17</v>
      </c>
      <c r="AG67" s="45">
        <f>(AF67*-1)/AD67-1</f>
        <v>-0.6456601236437659</v>
      </c>
      <c r="AH67" s="8">
        <v>-180578.51873174944</v>
      </c>
      <c r="AI67" s="13">
        <v>-8.1426348648668878E-2</v>
      </c>
      <c r="AJ67" s="8">
        <v>-180578.51873174944</v>
      </c>
      <c r="AK67" s="13">
        <v>-8.0393987516024154E-2</v>
      </c>
      <c r="AL67" s="8">
        <v>-180578.51873174944</v>
      </c>
      <c r="AM67" s="13">
        <v>-6.7102480954390975E-2</v>
      </c>
      <c r="AN67" s="8">
        <v>-180578.51873174944</v>
      </c>
      <c r="AO67" s="13">
        <v>-6.0608861930558956E-2</v>
      </c>
      <c r="AP67" s="8">
        <v>-180578.51873174944</v>
      </c>
      <c r="AQ67" s="13">
        <v>-5.996169717431124E-2</v>
      </c>
      <c r="AR67" s="8">
        <v>-180578.51873174944</v>
      </c>
      <c r="AS67" s="13">
        <v>-6.5938943827271626E-2</v>
      </c>
      <c r="AT67" s="8">
        <v>-180578.51873174944</v>
      </c>
      <c r="AU67" s="13">
        <v>-7.3511361260930691E-2</v>
      </c>
      <c r="AV67" s="16"/>
      <c r="AW67" s="8">
        <v>-2144060.0019753287</v>
      </c>
      <c r="AX67" s="13">
        <v>-7.1468666732510955E-2</v>
      </c>
      <c r="AY67" s="8">
        <v>-178671.6668312774</v>
      </c>
    </row>
    <row r="68" spans="2:51" outlineLevel="2" x14ac:dyDescent="0.25">
      <c r="E68" s="17" t="s">
        <v>155</v>
      </c>
      <c r="F68" s="35">
        <v>-63900</v>
      </c>
      <c r="H68" t="s">
        <v>160</v>
      </c>
      <c r="I68" s="2" t="s">
        <v>49</v>
      </c>
      <c r="J68" s="6">
        <v>-63900</v>
      </c>
      <c r="K68" s="37">
        <v>-2.5559999999999999E-2</v>
      </c>
      <c r="L68" s="6">
        <v>-63900</v>
      </c>
      <c r="M68" s="15">
        <v>-3.1949999999999999E-2</v>
      </c>
      <c r="N68" s="6">
        <v>-63900</v>
      </c>
      <c r="O68" s="15">
        <v>-3.9360694630686095E-2</v>
      </c>
      <c r="P68" s="6">
        <f>IFERROR(VLOOKUP($I68,RESUMO!$A$3:$M$200,2,FALSE),"")</f>
        <v>64498.680000000008</v>
      </c>
      <c r="Q68" s="46">
        <f t="shared" si="32"/>
        <v>9.3690140845070768E-3</v>
      </c>
      <c r="R68" s="6">
        <v>-63900</v>
      </c>
      <c r="S68" s="15">
        <v>-2.8706354006442697E-2</v>
      </c>
      <c r="T68" s="6">
        <f>IFERROR(VLOOKUP($I68,RESUMO!$A$3:$M$200,3,FALSE),"")</f>
        <v>60318.180000000008</v>
      </c>
      <c r="U68" s="46">
        <f t="shared" ref="U68:U84" si="37">IFERROR((T68*-1)/R68-1,"")</f>
        <v>-5.6053521126760431E-2</v>
      </c>
      <c r="V68" s="6">
        <v>-63900</v>
      </c>
      <c r="W68" s="15">
        <v>-2.2817934818877731E-2</v>
      </c>
      <c r="X68" s="6">
        <f>IFERROR(VLOOKUP($I68,RESUMO!$A$3:$M$200,4,FALSE),"")</f>
        <v>59830.189999999995</v>
      </c>
      <c r="Y68" s="46">
        <f t="shared" ref="Y68:Y84" si="38">IFERROR((X68*-1)/V68-1,"")</f>
        <v>-6.3690297339593194E-2</v>
      </c>
      <c r="Z68" s="6">
        <v>-63900</v>
      </c>
      <c r="AA68" s="15">
        <v>-2.6120975819860132E-2</v>
      </c>
      <c r="AB68" s="6">
        <f>IFERROR(VLOOKUP($I68,RESUMO!$A$3:$M$200,5,FALSE),"")</f>
        <v>61974.340000000004</v>
      </c>
      <c r="AC68" s="46">
        <f t="shared" ref="AC68:AC84" si="39">IFERROR((AB68*-1)/Z68-1,"")</f>
        <v>-3.0135524256651003E-2</v>
      </c>
      <c r="AD68" s="6">
        <v>-63900</v>
      </c>
      <c r="AE68" s="15">
        <v>-2.4933032531697322E-2</v>
      </c>
      <c r="AF68" s="6">
        <f>IFERROR(VLOOKUP($I68,RESUMO!$A$3:$M$200,6,FALSE),"")</f>
        <v>62746.85</v>
      </c>
      <c r="AG68" s="46">
        <f t="shared" ref="AG68:AG84" si="40">IFERROR((AF68*-1)/AD68-1,"")</f>
        <v>-1.8046165884194054E-2</v>
      </c>
      <c r="AH68" s="6">
        <v>-63900</v>
      </c>
      <c r="AI68" s="15">
        <v>-2.8813746591748519E-2</v>
      </c>
      <c r="AJ68" s="6">
        <v>-63900</v>
      </c>
      <c r="AK68" s="15">
        <v>-2.8448432506555509E-2</v>
      </c>
      <c r="AL68" s="6">
        <v>-63900</v>
      </c>
      <c r="AM68" s="15">
        <v>-2.3745064269550299E-2</v>
      </c>
      <c r="AN68" s="6">
        <v>-63900</v>
      </c>
      <c r="AO68" s="15">
        <v>-2.144721478813294E-2</v>
      </c>
      <c r="AP68" s="6">
        <v>-63900</v>
      </c>
      <c r="AQ68" s="15">
        <v>-2.1218207328028225E-2</v>
      </c>
      <c r="AR68" s="6">
        <v>-63900</v>
      </c>
      <c r="AS68" s="15">
        <v>-2.3333331894375746E-2</v>
      </c>
      <c r="AT68" s="6">
        <v>-63900</v>
      </c>
      <c r="AU68" s="15">
        <v>-2.6012927880704646E-2</v>
      </c>
      <c r="AW68" s="6">
        <v>-766800</v>
      </c>
      <c r="AX68" s="15">
        <v>-2.5559999999999999E-2</v>
      </c>
      <c r="AY68" s="6">
        <v>-63900</v>
      </c>
    </row>
    <row r="69" spans="2:51" outlineLevel="2" x14ac:dyDescent="0.25">
      <c r="E69" s="17" t="s">
        <v>50</v>
      </c>
      <c r="F69" s="35" t="s">
        <v>150</v>
      </c>
      <c r="H69" t="s">
        <v>161</v>
      </c>
      <c r="I69" s="2" t="s">
        <v>50</v>
      </c>
      <c r="J69" s="6">
        <v>-60510.079700000002</v>
      </c>
      <c r="K69" s="37">
        <v>-2.4204031880000001E-2</v>
      </c>
      <c r="L69" s="6">
        <v>-60510.079700000002</v>
      </c>
      <c r="M69" s="15">
        <v>-3.0255039850000002E-2</v>
      </c>
      <c r="N69" s="6">
        <v>-60510.079700000002</v>
      </c>
      <c r="O69" s="15">
        <v>-3.7272594196403407E-2</v>
      </c>
      <c r="P69" s="6">
        <f>IFERROR(VLOOKUP($I69,RESUMO!$A$3:$M$200,2,FALSE),"")</f>
        <v>53990.009999999995</v>
      </c>
      <c r="Q69" s="46">
        <f t="shared" si="32"/>
        <v>-0.10775179494599152</v>
      </c>
      <c r="R69" s="6">
        <v>-60510.079700000002</v>
      </c>
      <c r="S69" s="15">
        <v>-2.7183470560661376E-2</v>
      </c>
      <c r="T69" s="6">
        <f>IFERROR(VLOOKUP($I69,RESUMO!$A$3:$M$200,3,FALSE),"")</f>
        <v>71662.62000000001</v>
      </c>
      <c r="U69" s="46">
        <f t="shared" si="37"/>
        <v>0.18430880202592115</v>
      </c>
      <c r="V69" s="6">
        <v>-60510.079700000002</v>
      </c>
      <c r="W69" s="15">
        <v>-2.1607434342405269E-2</v>
      </c>
      <c r="X69" s="6">
        <f>IFERROR(VLOOKUP($I69,RESUMO!$A$3:$M$200,4,FALSE),"")</f>
        <v>74200.570000000007</v>
      </c>
      <c r="Y69" s="46">
        <f t="shared" si="38"/>
        <v>0.22625140088850371</v>
      </c>
      <c r="Z69" s="6">
        <v>-60510.079700000002</v>
      </c>
      <c r="AA69" s="15">
        <v>-2.4735247710508754E-2</v>
      </c>
      <c r="AB69" s="6">
        <f>IFERROR(VLOOKUP($I69,RESUMO!$A$3:$M$200,5,FALSE),"")</f>
        <v>67351.37000000001</v>
      </c>
      <c r="AC69" s="46">
        <f t="shared" si="39"/>
        <v>0.11306034191192782</v>
      </c>
      <c r="AD69" s="6">
        <v>-64443.2348805</v>
      </c>
      <c r="AE69" s="15">
        <v>-2.5144996427594962E-2</v>
      </c>
      <c r="AF69" s="6">
        <f>IFERROR(VLOOKUP($I69,RESUMO!$A$3:$M$200,6,FALSE),"")</f>
        <v>0</v>
      </c>
      <c r="AG69" s="46">
        <f t="shared" si="40"/>
        <v>-1</v>
      </c>
      <c r="AH69" s="6">
        <v>-64443.2348805</v>
      </c>
      <c r="AI69" s="15">
        <v>-2.9058701712038438E-2</v>
      </c>
      <c r="AJ69" s="6">
        <v>-64443.2348805</v>
      </c>
      <c r="AK69" s="15">
        <v>-2.8690281971862411E-2</v>
      </c>
      <c r="AL69" s="6">
        <v>-64443.2348805</v>
      </c>
      <c r="AM69" s="15">
        <v>-2.394692885720185E-2</v>
      </c>
      <c r="AN69" s="6">
        <v>-64443.2348805</v>
      </c>
      <c r="AO69" s="15">
        <v>-2.162954460288238E-2</v>
      </c>
      <c r="AP69" s="6">
        <v>-64443.2348805</v>
      </c>
      <c r="AQ69" s="15">
        <v>-2.1398590275168532E-2</v>
      </c>
      <c r="AR69" s="6">
        <v>-64443.2348805</v>
      </c>
      <c r="AS69" s="15">
        <v>-2.3531696209920471E-2</v>
      </c>
      <c r="AT69" s="6">
        <v>-64443.2348805</v>
      </c>
      <c r="AU69" s="15">
        <v>-2.6234072321529838E-2</v>
      </c>
      <c r="AW69" s="6">
        <v>-757586.19784400007</v>
      </c>
      <c r="AX69" s="15">
        <v>-2.525287326146667E-2</v>
      </c>
      <c r="AY69" s="6">
        <v>-63132.183153666672</v>
      </c>
    </row>
    <row r="70" spans="2:51" outlineLevel="2" x14ac:dyDescent="0.25">
      <c r="E70" s="17" t="s">
        <v>149</v>
      </c>
      <c r="F70" s="35"/>
      <c r="H70" t="s">
        <v>161</v>
      </c>
      <c r="I70" s="2" t="s">
        <v>51</v>
      </c>
      <c r="J70" s="6">
        <v>0</v>
      </c>
      <c r="K70" s="37">
        <v>0</v>
      </c>
      <c r="L70" s="6">
        <v>0</v>
      </c>
      <c r="M70" s="15">
        <v>0</v>
      </c>
      <c r="N70" s="6">
        <v>0</v>
      </c>
      <c r="O70" s="15">
        <v>0</v>
      </c>
      <c r="P70" s="6" t="str">
        <f>IFERROR(VLOOKUP($I70,RESUMO!$A$3:$M$200,2,FALSE),"")</f>
        <v/>
      </c>
      <c r="Q70" s="46" t="str">
        <f t="shared" si="32"/>
        <v/>
      </c>
      <c r="R70" s="6">
        <v>0</v>
      </c>
      <c r="S70" s="15">
        <v>0</v>
      </c>
      <c r="T70" s="6" t="str">
        <f>IFERROR(VLOOKUP($I70,RESUMO!$A$3:$M$200,3,FALSE),"")</f>
        <v/>
      </c>
      <c r="U70" s="46" t="str">
        <f t="shared" si="37"/>
        <v/>
      </c>
      <c r="V70" s="6">
        <v>0</v>
      </c>
      <c r="W70" s="15">
        <v>0</v>
      </c>
      <c r="X70" s="6" t="str">
        <f>IFERROR(VLOOKUP($I70,RESUMO!$A$3:$M$200,4,FALSE),"")</f>
        <v/>
      </c>
      <c r="Y70" s="46" t="str">
        <f t="shared" si="38"/>
        <v/>
      </c>
      <c r="Z70" s="6">
        <v>0</v>
      </c>
      <c r="AA70" s="15">
        <v>0</v>
      </c>
      <c r="AB70" s="6" t="str">
        <f>IFERROR(VLOOKUP($I70,RESUMO!$A$3:$M$200,5,FALSE),"")</f>
        <v/>
      </c>
      <c r="AC70" s="46" t="str">
        <f t="shared" si="39"/>
        <v/>
      </c>
      <c r="AD70" s="6">
        <v>0</v>
      </c>
      <c r="AE70" s="15">
        <v>0</v>
      </c>
      <c r="AF70" s="6" t="str">
        <f>IFERROR(VLOOKUP($I70,RESUMO!$A$3:$M$200,6,FALSE),"")</f>
        <v/>
      </c>
      <c r="AG70" s="46" t="str">
        <f t="shared" si="40"/>
        <v/>
      </c>
      <c r="AH70" s="6">
        <v>0</v>
      </c>
      <c r="AI70" s="15">
        <v>0</v>
      </c>
      <c r="AJ70" s="6">
        <v>0</v>
      </c>
      <c r="AK70" s="15">
        <v>0</v>
      </c>
      <c r="AL70" s="6">
        <v>0</v>
      </c>
      <c r="AM70" s="15">
        <v>0</v>
      </c>
      <c r="AN70" s="6">
        <v>0</v>
      </c>
      <c r="AO70" s="15">
        <v>0</v>
      </c>
      <c r="AP70" s="6">
        <v>0</v>
      </c>
      <c r="AQ70" s="15">
        <v>0</v>
      </c>
      <c r="AR70" s="6">
        <v>0</v>
      </c>
      <c r="AS70" s="15">
        <v>0</v>
      </c>
      <c r="AT70" s="6">
        <v>0</v>
      </c>
      <c r="AU70" s="15">
        <v>0</v>
      </c>
      <c r="AW70" s="6">
        <v>0</v>
      </c>
      <c r="AX70" s="15">
        <v>0</v>
      </c>
      <c r="AY70" s="6">
        <v>0</v>
      </c>
    </row>
    <row r="71" spans="2:51" outlineLevel="2" x14ac:dyDescent="0.25">
      <c r="E71" s="17" t="s">
        <v>148</v>
      </c>
      <c r="F71" s="31">
        <v>8.3333333333333329E-2</v>
      </c>
      <c r="H71" t="s">
        <v>161</v>
      </c>
      <c r="I71" s="2" t="s">
        <v>52</v>
      </c>
      <c r="J71" s="6">
        <v>-5042.5066416666668</v>
      </c>
      <c r="K71" s="37">
        <v>-2.0170026566666667E-3</v>
      </c>
      <c r="L71" s="6">
        <v>-5042.5066416666668</v>
      </c>
      <c r="M71" s="15">
        <v>-2.5212533208333336E-3</v>
      </c>
      <c r="N71" s="6">
        <v>-5042.5066416666668</v>
      </c>
      <c r="O71" s="15">
        <v>-3.1060495163669505E-3</v>
      </c>
      <c r="P71" s="6" t="str">
        <f>IFERROR(VLOOKUP($I71,RESUMO!$A$3:$M$200,2,FALSE),"")</f>
        <v/>
      </c>
      <c r="Q71" s="46" t="str">
        <f t="shared" si="32"/>
        <v/>
      </c>
      <c r="R71" s="6">
        <v>-5042.5066416666668</v>
      </c>
      <c r="S71" s="15">
        <v>-2.2652892133884482E-3</v>
      </c>
      <c r="T71" s="6" t="str">
        <f>IFERROR(VLOOKUP($I71,RESUMO!$A$3:$M$200,3,FALSE),"")</f>
        <v/>
      </c>
      <c r="U71" s="46" t="str">
        <f t="shared" si="37"/>
        <v/>
      </c>
      <c r="V71" s="6">
        <v>-5042.5066416666668</v>
      </c>
      <c r="W71" s="15">
        <v>-1.8006195285337724E-3</v>
      </c>
      <c r="X71" s="6" t="str">
        <f>IFERROR(VLOOKUP($I71,RESUMO!$A$3:$M$200,4,FALSE),"")</f>
        <v/>
      </c>
      <c r="Y71" s="46" t="str">
        <f t="shared" si="38"/>
        <v/>
      </c>
      <c r="Z71" s="6">
        <v>-5042.5066416666668</v>
      </c>
      <c r="AA71" s="15">
        <v>-2.0612706425423961E-3</v>
      </c>
      <c r="AB71" s="6" t="str">
        <f>IFERROR(VLOOKUP($I71,RESUMO!$A$3:$M$200,5,FALSE),"")</f>
        <v/>
      </c>
      <c r="AC71" s="46" t="str">
        <f t="shared" si="39"/>
        <v/>
      </c>
      <c r="AD71" s="6">
        <v>-5370.2695733749997</v>
      </c>
      <c r="AE71" s="15">
        <v>-2.0954163689662466E-3</v>
      </c>
      <c r="AF71" s="6" t="str">
        <f>IFERROR(VLOOKUP($I71,RESUMO!$A$3:$M$200,6,FALSE),"")</f>
        <v/>
      </c>
      <c r="AG71" s="46" t="str">
        <f t="shared" si="40"/>
        <v/>
      </c>
      <c r="AH71" s="6">
        <v>-5370.2695733749997</v>
      </c>
      <c r="AI71" s="15">
        <v>-2.4215584760032029E-3</v>
      </c>
      <c r="AJ71" s="6">
        <v>-5370.2695733749997</v>
      </c>
      <c r="AK71" s="15">
        <v>-2.3908568309885343E-3</v>
      </c>
      <c r="AL71" s="6">
        <v>-5370.2695733749997</v>
      </c>
      <c r="AM71" s="15">
        <v>-1.9955774047668204E-3</v>
      </c>
      <c r="AN71" s="6">
        <v>-5370.2695733749997</v>
      </c>
      <c r="AO71" s="15">
        <v>-1.8024620502401982E-3</v>
      </c>
      <c r="AP71" s="6">
        <v>-5370.2695733749997</v>
      </c>
      <c r="AQ71" s="15">
        <v>-1.7832158562640444E-3</v>
      </c>
      <c r="AR71" s="6">
        <v>-5370.2695733749997</v>
      </c>
      <c r="AS71" s="15">
        <v>-1.9609746841600393E-3</v>
      </c>
      <c r="AT71" s="6">
        <v>-5370.2695733749997</v>
      </c>
      <c r="AU71" s="15">
        <v>-2.1861726934608197E-3</v>
      </c>
      <c r="AW71" s="6">
        <v>-63132.183153666672</v>
      </c>
      <c r="AX71" s="15">
        <v>-2.1044061051222222E-3</v>
      </c>
      <c r="AY71" s="6">
        <v>-5261.0152628055557</v>
      </c>
    </row>
    <row r="72" spans="2:51" outlineLevel="2" x14ac:dyDescent="0.25">
      <c r="E72" s="17" t="s">
        <v>148</v>
      </c>
      <c r="F72" s="31">
        <v>0.1111111111111111</v>
      </c>
      <c r="H72" t="s">
        <v>161</v>
      </c>
      <c r="I72" s="2" t="s">
        <v>53</v>
      </c>
      <c r="J72" s="6">
        <v>-6723.3421888888888</v>
      </c>
      <c r="K72" s="37">
        <v>-2.6893368755555556E-3</v>
      </c>
      <c r="L72" s="6">
        <v>-6723.3421888888888</v>
      </c>
      <c r="M72" s="15">
        <v>-3.3616710944444446E-3</v>
      </c>
      <c r="N72" s="6">
        <v>-6723.3421888888888</v>
      </c>
      <c r="O72" s="15">
        <v>-4.1413993551559338E-3</v>
      </c>
      <c r="P72" s="6">
        <f>IFERROR(VLOOKUP($I72,RESUMO!$A$3:$M$200,2,FALSE),"")</f>
        <v>0</v>
      </c>
      <c r="Q72" s="46">
        <f t="shared" si="32"/>
        <v>-1</v>
      </c>
      <c r="R72" s="6">
        <v>-6723.3421888888888</v>
      </c>
      <c r="S72" s="15">
        <v>-3.0203856178512641E-3</v>
      </c>
      <c r="T72" s="6">
        <f>IFERROR(VLOOKUP($I72,RESUMO!$A$3:$M$200,3,FALSE),"")</f>
        <v>297.89999999999998</v>
      </c>
      <c r="U72" s="46">
        <f t="shared" si="37"/>
        <v>-0.95569167957979073</v>
      </c>
      <c r="V72" s="6">
        <v>-6723.3421888888888</v>
      </c>
      <c r="W72" s="15">
        <v>-2.4008260380450298E-3</v>
      </c>
      <c r="X72" s="6">
        <f>IFERROR(VLOOKUP($I72,RESUMO!$A$3:$M$200,4,FALSE),"")</f>
        <v>1372.31</v>
      </c>
      <c r="Y72" s="46">
        <f t="shared" si="38"/>
        <v>-0.79588871703303998</v>
      </c>
      <c r="Z72" s="6">
        <v>-6723.3421888888888</v>
      </c>
      <c r="AA72" s="15">
        <v>-2.748360856723195E-3</v>
      </c>
      <c r="AB72" s="6">
        <f>IFERROR(VLOOKUP($I72,RESUMO!$A$3:$M$200,5,FALSE),"")</f>
        <v>2681.09</v>
      </c>
      <c r="AC72" s="46">
        <f t="shared" si="39"/>
        <v>-0.60122660357361912</v>
      </c>
      <c r="AD72" s="6">
        <v>-7160.3594311666666</v>
      </c>
      <c r="AE72" s="15">
        <v>-2.7938884919549959E-3</v>
      </c>
      <c r="AF72" s="6">
        <f>IFERROR(VLOOKUP($I72,RESUMO!$A$3:$M$200,6,FALSE),"")</f>
        <v>0</v>
      </c>
      <c r="AG72" s="46">
        <f t="shared" si="40"/>
        <v>-1</v>
      </c>
      <c r="AH72" s="6">
        <v>-7160.3594311666666</v>
      </c>
      <c r="AI72" s="15">
        <v>-3.2287446346709373E-3</v>
      </c>
      <c r="AJ72" s="6">
        <v>-7160.3594311666666</v>
      </c>
      <c r="AK72" s="15">
        <v>-3.1878091079847121E-3</v>
      </c>
      <c r="AL72" s="6">
        <v>-7160.3594311666666</v>
      </c>
      <c r="AM72" s="15">
        <v>-2.6607698730224277E-3</v>
      </c>
      <c r="AN72" s="6">
        <v>-7160.3594311666666</v>
      </c>
      <c r="AO72" s="15">
        <v>-2.4032827336535976E-3</v>
      </c>
      <c r="AP72" s="6">
        <v>-7160.3594311666666</v>
      </c>
      <c r="AQ72" s="15">
        <v>-2.3776211416853925E-3</v>
      </c>
      <c r="AR72" s="6">
        <v>-7160.3594311666666</v>
      </c>
      <c r="AS72" s="15">
        <v>-2.614632912213386E-3</v>
      </c>
      <c r="AT72" s="6">
        <v>-7160.3594311666666</v>
      </c>
      <c r="AU72" s="15">
        <v>-2.9148969246144264E-3</v>
      </c>
      <c r="AW72" s="6">
        <v>-84176.244204888892</v>
      </c>
      <c r="AX72" s="15">
        <v>-2.8058748068296299E-3</v>
      </c>
      <c r="AY72" s="6">
        <v>-7014.687017074074</v>
      </c>
    </row>
    <row r="73" spans="2:51" outlineLevel="2" x14ac:dyDescent="0.25">
      <c r="B73" s="17" t="s">
        <v>152</v>
      </c>
      <c r="C73">
        <v>1</v>
      </c>
      <c r="D73">
        <v>9</v>
      </c>
      <c r="E73" s="17" t="s">
        <v>181</v>
      </c>
      <c r="F73" s="35">
        <v>-4585.0111111111119</v>
      </c>
      <c r="H73" t="s">
        <v>161</v>
      </c>
      <c r="I73" s="2" t="s">
        <v>54</v>
      </c>
      <c r="J73" s="6">
        <v>-4585.0111111111119</v>
      </c>
      <c r="K73" s="37">
        <v>-1.8340044444444448E-3</v>
      </c>
      <c r="L73" s="6">
        <v>-4585.0111111111119</v>
      </c>
      <c r="M73" s="15">
        <v>-2.2925055555555558E-3</v>
      </c>
      <c r="N73" s="6">
        <v>-4585.0111111111119</v>
      </c>
      <c r="O73" s="15">
        <v>-2.824244479229221E-3</v>
      </c>
      <c r="P73" s="6">
        <f>IFERROR(VLOOKUP($I73,RESUMO!$A$3:$M$200,2,FALSE),"")</f>
        <v>2919.01</v>
      </c>
      <c r="Q73" s="46">
        <f t="shared" si="32"/>
        <v>-0.36335814041405456</v>
      </c>
      <c r="R73" s="6">
        <v>-4585.0111111111119</v>
      </c>
      <c r="S73" s="15">
        <v>-2.05976450827901E-3</v>
      </c>
      <c r="T73" s="6">
        <f>IFERROR(VLOOKUP($I73,RESUMO!$A$3:$M$200,3,FALSE),"")</f>
        <v>4519.01</v>
      </c>
      <c r="U73" s="46">
        <f t="shared" si="37"/>
        <v>-1.4394972991705002E-2</v>
      </c>
      <c r="V73" s="6">
        <v>-4585.0111111111119</v>
      </c>
      <c r="W73" s="15">
        <v>-1.6372532813327624E-3</v>
      </c>
      <c r="X73" s="6">
        <f>IFERROR(VLOOKUP($I73,RESUMO!$A$3:$M$200,4,FALSE),"")</f>
        <v>4955.24</v>
      </c>
      <c r="Y73" s="46">
        <f t="shared" si="38"/>
        <v>8.0747653586202173E-2</v>
      </c>
      <c r="Z73" s="6">
        <v>-4585.0111111111119</v>
      </c>
      <c r="AA73" s="15">
        <v>-1.8742560933822125E-3</v>
      </c>
      <c r="AB73" s="6">
        <f>IFERROR(VLOOKUP($I73,RESUMO!$A$3:$M$200,5,FALSE),"")</f>
        <v>1980.24</v>
      </c>
      <c r="AC73" s="46">
        <f t="shared" si="39"/>
        <v>-0.56810573583972901</v>
      </c>
      <c r="AD73" s="6">
        <v>-4585.0111111111119</v>
      </c>
      <c r="AE73" s="15">
        <v>-1.7890177025278095E-3</v>
      </c>
      <c r="AF73" s="6">
        <f>IFERROR(VLOOKUP($I73,RESUMO!$A$3:$M$200,6,FALSE),"")</f>
        <v>0</v>
      </c>
      <c r="AG73" s="46">
        <f t="shared" si="40"/>
        <v>-1</v>
      </c>
      <c r="AH73" s="6">
        <v>-4585.0111111111119</v>
      </c>
      <c r="AI73" s="15">
        <v>-2.0674702390595756E-3</v>
      </c>
      <c r="AJ73" s="6">
        <v>-4585.0111111111119</v>
      </c>
      <c r="AK73" s="15">
        <v>-2.0412578894562056E-3</v>
      </c>
      <c r="AL73" s="6">
        <v>-4585.0111111111119</v>
      </c>
      <c r="AM73" s="15">
        <v>-1.7037775197173018E-3</v>
      </c>
      <c r="AN73" s="6">
        <v>-4585.0111111111119</v>
      </c>
      <c r="AO73" s="15">
        <v>-1.5389001268540858E-3</v>
      </c>
      <c r="AP73" s="6">
        <v>-4585.0111111111119</v>
      </c>
      <c r="AQ73" s="15">
        <v>-1.5224681745988832E-3</v>
      </c>
      <c r="AR73" s="6">
        <v>-4585.0111111111119</v>
      </c>
      <c r="AS73" s="15">
        <v>-1.6742345226127713E-3</v>
      </c>
      <c r="AT73" s="6">
        <v>-4585.0111111111119</v>
      </c>
      <c r="AU73" s="15">
        <v>-1.8665033390541914E-3</v>
      </c>
      <c r="AW73" s="6">
        <v>-55020.133333333339</v>
      </c>
      <c r="AX73" s="15">
        <v>-1.8340044444444445E-3</v>
      </c>
      <c r="AY73" s="6">
        <v>-4585.0111111111119</v>
      </c>
    </row>
    <row r="74" spans="2:51" outlineLevel="2" x14ac:dyDescent="0.25">
      <c r="E74" s="17" t="s">
        <v>155</v>
      </c>
      <c r="F74" s="35">
        <v>-333</v>
      </c>
      <c r="H74" t="s">
        <v>161</v>
      </c>
      <c r="I74" s="2" t="s">
        <v>55</v>
      </c>
      <c r="J74" s="6">
        <v>-333</v>
      </c>
      <c r="K74" s="37">
        <v>-1.3320000000000001E-4</v>
      </c>
      <c r="L74" s="6">
        <v>-333</v>
      </c>
      <c r="M74" s="15">
        <v>-1.6650000000000001E-4</v>
      </c>
      <c r="N74" s="6">
        <v>-333</v>
      </c>
      <c r="O74" s="15">
        <v>-2.051191128641388E-4</v>
      </c>
      <c r="P74" s="6" t="str">
        <f>IFERROR(VLOOKUP($I74,RESUMO!$A$3:$M$200,2,FALSE),"")</f>
        <v/>
      </c>
      <c r="Q74" s="46" t="str">
        <f t="shared" si="32"/>
        <v/>
      </c>
      <c r="R74" s="6">
        <v>-333</v>
      </c>
      <c r="S74" s="15">
        <v>-1.4959649270963096E-4</v>
      </c>
      <c r="T74" s="6" t="str">
        <f>IFERROR(VLOOKUP($I74,RESUMO!$A$3:$M$200,3,FALSE),"")</f>
        <v/>
      </c>
      <c r="U74" s="46" t="str">
        <f t="shared" si="37"/>
        <v/>
      </c>
      <c r="V74" s="6">
        <v>-333</v>
      </c>
      <c r="W74" s="15">
        <v>-1.1891036454908113E-4</v>
      </c>
      <c r="X74" s="6" t="str">
        <f>IFERROR(VLOOKUP($I74,RESUMO!$A$3:$M$200,4,FALSE),"")</f>
        <v/>
      </c>
      <c r="Y74" s="46" t="str">
        <f t="shared" si="38"/>
        <v/>
      </c>
      <c r="Z74" s="6">
        <v>-333</v>
      </c>
      <c r="AA74" s="15">
        <v>-1.3612339511758097E-4</v>
      </c>
      <c r="AB74" s="6" t="str">
        <f>IFERROR(VLOOKUP($I74,RESUMO!$A$3:$M$200,5,FALSE),"")</f>
        <v/>
      </c>
      <c r="AC74" s="46" t="str">
        <f t="shared" si="39"/>
        <v/>
      </c>
      <c r="AD74" s="6">
        <v>-333</v>
      </c>
      <c r="AE74" s="15">
        <v>-1.29932704742648E-4</v>
      </c>
      <c r="AF74" s="6" t="str">
        <f>IFERROR(VLOOKUP($I74,RESUMO!$A$3:$M$200,6,FALSE),"")</f>
        <v/>
      </c>
      <c r="AG74" s="46" t="str">
        <f t="shared" si="40"/>
        <v/>
      </c>
      <c r="AH74" s="6">
        <v>-333</v>
      </c>
      <c r="AI74" s="15">
        <v>-1.5015614421052045E-4</v>
      </c>
      <c r="AJ74" s="6">
        <v>-333</v>
      </c>
      <c r="AK74" s="15">
        <v>-1.4825239475247239E-4</v>
      </c>
      <c r="AL74" s="6">
        <v>-333</v>
      </c>
      <c r="AM74" s="15">
        <v>-1.2374188422160015E-4</v>
      </c>
      <c r="AN74" s="6">
        <v>-333</v>
      </c>
      <c r="AO74" s="15">
        <v>-1.1176717565646743E-4</v>
      </c>
      <c r="AP74" s="6">
        <v>-333</v>
      </c>
      <c r="AQ74" s="15">
        <v>-1.1057375649817526E-4</v>
      </c>
      <c r="AR74" s="6">
        <v>-333</v>
      </c>
      <c r="AS74" s="15">
        <v>-1.2159623663266234E-4</v>
      </c>
      <c r="AT74" s="6">
        <v>-333</v>
      </c>
      <c r="AU74" s="15">
        <v>-1.3556032839240448E-4</v>
      </c>
      <c r="AW74" s="6">
        <v>-3996</v>
      </c>
      <c r="AX74" s="15">
        <v>-1.3320000000000001E-4</v>
      </c>
      <c r="AY74" s="6">
        <v>-333</v>
      </c>
    </row>
    <row r="75" spans="2:51" outlineLevel="2" x14ac:dyDescent="0.25">
      <c r="B75"/>
      <c r="D75" s="17"/>
      <c r="E75" s="17" t="s">
        <v>155</v>
      </c>
      <c r="F75" s="35">
        <v>-6666.666666666667</v>
      </c>
      <c r="H75" t="s">
        <v>161</v>
      </c>
      <c r="I75" s="2" t="s">
        <v>56</v>
      </c>
      <c r="J75" s="6">
        <v>-6666.666666666667</v>
      </c>
      <c r="K75" s="37">
        <v>-2.6666666666666666E-3</v>
      </c>
      <c r="L75" s="6">
        <v>-6666.666666666667</v>
      </c>
      <c r="M75" s="15">
        <v>-3.3333333333333335E-3</v>
      </c>
      <c r="N75" s="6">
        <v>-6666.666666666667</v>
      </c>
      <c r="O75" s="15">
        <v>-4.1064887460288049E-3</v>
      </c>
      <c r="P75" s="6">
        <f>IFERROR(VLOOKUP($I75,RESUMO!$A$3:$M$200,2,FALSE),"")</f>
        <v>879.73</v>
      </c>
      <c r="Q75" s="46">
        <f t="shared" si="32"/>
        <v>-0.86804049999999999</v>
      </c>
      <c r="R75" s="6">
        <v>-6666.666666666667</v>
      </c>
      <c r="S75" s="15">
        <v>-2.9949247789715907E-3</v>
      </c>
      <c r="T75" s="6">
        <f>IFERROR(VLOOKUP($I75,RESUMO!$A$3:$M$200,3,FALSE),"")</f>
        <v>0</v>
      </c>
      <c r="U75" s="46">
        <f t="shared" si="37"/>
        <v>-1</v>
      </c>
      <c r="V75" s="6">
        <v>-6666.666666666667</v>
      </c>
      <c r="W75" s="15">
        <v>-2.3805878788604835E-3</v>
      </c>
      <c r="X75" s="6">
        <f>IFERROR(VLOOKUP($I75,RESUMO!$A$3:$M$200,4,FALSE),"")</f>
        <v>11928.27</v>
      </c>
      <c r="Y75" s="46">
        <f t="shared" si="38"/>
        <v>0.78924050000000001</v>
      </c>
      <c r="Z75" s="6">
        <v>-6666.666666666667</v>
      </c>
      <c r="AA75" s="15">
        <v>-2.7251930954470664E-3</v>
      </c>
      <c r="AB75" s="6">
        <f>IFERROR(VLOOKUP($I75,RESUMO!$A$3:$M$200,5,FALSE),"")</f>
        <v>12417.35</v>
      </c>
      <c r="AC75" s="46">
        <f t="shared" si="39"/>
        <v>0.86260249999999994</v>
      </c>
      <c r="AD75" s="6">
        <v>-6666.666666666667</v>
      </c>
      <c r="AE75" s="15">
        <v>-2.6012553502031636E-3</v>
      </c>
      <c r="AF75" s="6">
        <f>IFERROR(VLOOKUP($I75,RESUMO!$A$3:$M$200,6,FALSE),"")</f>
        <v>0</v>
      </c>
      <c r="AG75" s="46">
        <f t="shared" si="40"/>
        <v>-1</v>
      </c>
      <c r="AH75" s="6">
        <v>-6666.666666666667</v>
      </c>
      <c r="AI75" s="15">
        <v>-3.0061290132236329E-3</v>
      </c>
      <c r="AJ75" s="6">
        <v>-6666.666666666667</v>
      </c>
      <c r="AK75" s="15">
        <v>-2.9680159109604079E-3</v>
      </c>
      <c r="AL75" s="6">
        <v>-6666.666666666667</v>
      </c>
      <c r="AM75" s="15">
        <v>-2.4773149994314347E-3</v>
      </c>
      <c r="AN75" s="6">
        <v>-6666.666666666667</v>
      </c>
      <c r="AO75" s="15">
        <v>-2.2375810942235723E-3</v>
      </c>
      <c r="AP75" s="6">
        <v>-6666.666666666667</v>
      </c>
      <c r="AQ75" s="15">
        <v>-2.2136888187822877E-3</v>
      </c>
      <c r="AR75" s="6">
        <v>-6666.666666666667</v>
      </c>
      <c r="AS75" s="15">
        <v>-2.4343590917449919E-3</v>
      </c>
      <c r="AT75" s="6">
        <v>-6666.666666666667</v>
      </c>
      <c r="AU75" s="15">
        <v>-2.7139204883364263E-3</v>
      </c>
      <c r="AW75" s="6">
        <v>-80000</v>
      </c>
      <c r="AX75" s="15">
        <v>-2.6666666666666666E-3</v>
      </c>
      <c r="AY75" s="6">
        <v>-6666.666666666667</v>
      </c>
    </row>
    <row r="76" spans="2:51" outlineLevel="2" x14ac:dyDescent="0.25">
      <c r="E76" s="17" t="s">
        <v>149</v>
      </c>
      <c r="F76" s="35"/>
      <c r="H76" t="s">
        <v>161</v>
      </c>
      <c r="I76" s="2" t="s">
        <v>57</v>
      </c>
      <c r="J76" s="6">
        <v>0</v>
      </c>
      <c r="K76" s="37">
        <v>0</v>
      </c>
      <c r="L76" s="6">
        <v>0</v>
      </c>
      <c r="M76" s="15">
        <v>0</v>
      </c>
      <c r="N76" s="6">
        <v>0</v>
      </c>
      <c r="O76" s="15">
        <v>0</v>
      </c>
      <c r="P76" s="6" t="str">
        <f>IFERROR(VLOOKUP($I76,RESUMO!$A$3:$M$200,2,FALSE),"")</f>
        <v/>
      </c>
      <c r="Q76" s="46" t="str">
        <f t="shared" si="32"/>
        <v/>
      </c>
      <c r="R76" s="6">
        <v>0</v>
      </c>
      <c r="S76" s="15">
        <v>0</v>
      </c>
      <c r="T76" s="6" t="str">
        <f>IFERROR(VLOOKUP($I76,RESUMO!$A$3:$M$200,3,FALSE),"")</f>
        <v/>
      </c>
      <c r="U76" s="46" t="str">
        <f t="shared" si="37"/>
        <v/>
      </c>
      <c r="V76" s="6">
        <v>0</v>
      </c>
      <c r="W76" s="15">
        <v>0</v>
      </c>
      <c r="X76" s="6" t="str">
        <f>IFERROR(VLOOKUP($I76,RESUMO!$A$3:$M$200,4,FALSE),"")</f>
        <v/>
      </c>
      <c r="Y76" s="46" t="str">
        <f t="shared" si="38"/>
        <v/>
      </c>
      <c r="Z76" s="6">
        <v>0</v>
      </c>
      <c r="AA76" s="15">
        <v>0</v>
      </c>
      <c r="AB76" s="6" t="str">
        <f>IFERROR(VLOOKUP($I76,RESUMO!$A$3:$M$200,5,FALSE),"")</f>
        <v/>
      </c>
      <c r="AC76" s="46" t="str">
        <f t="shared" si="39"/>
        <v/>
      </c>
      <c r="AD76" s="6">
        <v>0</v>
      </c>
      <c r="AE76" s="15">
        <v>0</v>
      </c>
      <c r="AF76" s="6" t="str">
        <f>IFERROR(VLOOKUP($I76,RESUMO!$A$3:$M$200,6,FALSE),"")</f>
        <v/>
      </c>
      <c r="AG76" s="46" t="str">
        <f t="shared" si="40"/>
        <v/>
      </c>
      <c r="AH76" s="6">
        <v>0</v>
      </c>
      <c r="AI76" s="15">
        <v>0</v>
      </c>
      <c r="AJ76" s="6">
        <v>0</v>
      </c>
      <c r="AK76" s="15">
        <v>0</v>
      </c>
      <c r="AL76" s="6">
        <v>0</v>
      </c>
      <c r="AM76" s="15">
        <v>0</v>
      </c>
      <c r="AN76" s="6">
        <v>0</v>
      </c>
      <c r="AO76" s="15">
        <v>0</v>
      </c>
      <c r="AP76" s="6">
        <v>0</v>
      </c>
      <c r="AQ76" s="15">
        <v>0</v>
      </c>
      <c r="AR76" s="6">
        <v>0</v>
      </c>
      <c r="AS76" s="15">
        <v>0</v>
      </c>
      <c r="AT76" s="6">
        <v>0</v>
      </c>
      <c r="AU76" s="15">
        <v>0</v>
      </c>
      <c r="AW76" s="6">
        <v>0</v>
      </c>
      <c r="AX76" s="15">
        <v>0</v>
      </c>
      <c r="AY76" s="6">
        <v>0</v>
      </c>
    </row>
    <row r="77" spans="2:51" outlineLevel="2" x14ac:dyDescent="0.25">
      <c r="B77" s="17" t="s">
        <v>152</v>
      </c>
      <c r="C77">
        <v>1</v>
      </c>
      <c r="D77">
        <v>9</v>
      </c>
      <c r="E77" s="17" t="s">
        <v>181</v>
      </c>
      <c r="F77" s="35">
        <v>-305.81</v>
      </c>
      <c r="H77" t="s">
        <v>161</v>
      </c>
      <c r="I77" s="2" t="s">
        <v>58</v>
      </c>
      <c r="J77" s="6">
        <v>-305.81</v>
      </c>
      <c r="K77" s="37">
        <v>-1.2232399999999999E-4</v>
      </c>
      <c r="L77" s="6">
        <v>-305.81</v>
      </c>
      <c r="M77" s="15">
        <v>-1.52905E-4</v>
      </c>
      <c r="N77" s="6">
        <v>-305.81</v>
      </c>
      <c r="O77" s="15">
        <v>-1.8837079851346031E-4</v>
      </c>
      <c r="P77" s="6">
        <f>IFERROR(VLOOKUP($I77,RESUMO!$A$3:$M$200,2,FALSE),"")</f>
        <v>0</v>
      </c>
      <c r="Q77" s="46">
        <f t="shared" si="32"/>
        <v>-1</v>
      </c>
      <c r="R77" s="6">
        <v>-305.81</v>
      </c>
      <c r="S77" s="15">
        <v>-1.3738169199859531E-4</v>
      </c>
      <c r="T77" s="6">
        <f>IFERROR(VLOOKUP($I77,RESUMO!$A$3:$M$200,3,FALSE),"")</f>
        <v>75</v>
      </c>
      <c r="U77" s="46">
        <f t="shared" si="37"/>
        <v>-0.75474968117458552</v>
      </c>
      <c r="V77" s="6">
        <v>-305.81</v>
      </c>
      <c r="W77" s="15">
        <v>-1.0920113688514866E-4</v>
      </c>
      <c r="X77" s="6">
        <f>IFERROR(VLOOKUP($I77,RESUMO!$A$3:$M$200,4,FALSE),"")</f>
        <v>0</v>
      </c>
      <c r="Y77" s="46">
        <f t="shared" si="38"/>
        <v>-1</v>
      </c>
      <c r="Z77" s="6">
        <v>-305.81</v>
      </c>
      <c r="AA77" s="15">
        <v>-1.2500869507780011E-4</v>
      </c>
      <c r="AB77" s="6">
        <f>IFERROR(VLOOKUP($I77,RESUMO!$A$3:$M$200,5,FALSE),"")</f>
        <v>0</v>
      </c>
      <c r="AC77" s="46">
        <f t="shared" si="39"/>
        <v>-1</v>
      </c>
      <c r="AD77" s="6">
        <v>-305.81</v>
      </c>
      <c r="AE77" s="15">
        <v>-1.1932348479684442E-4</v>
      </c>
      <c r="AF77" s="6">
        <f>IFERROR(VLOOKUP($I77,RESUMO!$A$3:$M$200,6,FALSE),"")</f>
        <v>0</v>
      </c>
      <c r="AG77" s="46">
        <f t="shared" si="40"/>
        <v>-1</v>
      </c>
      <c r="AH77" s="6">
        <v>-305.81</v>
      </c>
      <c r="AI77" s="15">
        <v>-1.3789564703008787E-4</v>
      </c>
      <c r="AJ77" s="6">
        <v>-305.81</v>
      </c>
      <c r="AK77" s="15">
        <v>-1.3614734185962035E-4</v>
      </c>
      <c r="AL77" s="6">
        <v>-305.81</v>
      </c>
      <c r="AM77" s="15">
        <v>-1.1363815499641905E-4</v>
      </c>
      <c r="AN77" s="6">
        <v>-305.81</v>
      </c>
      <c r="AO77" s="15">
        <v>-1.0264120116367659E-4</v>
      </c>
      <c r="AP77" s="6">
        <v>-305.81</v>
      </c>
      <c r="AQ77" s="15">
        <v>-1.0154522665077171E-4</v>
      </c>
      <c r="AR77" s="6">
        <v>-305.81</v>
      </c>
      <c r="AS77" s="15">
        <v>-1.1166770307698038E-4</v>
      </c>
      <c r="AT77" s="6">
        <v>-305.81</v>
      </c>
      <c r="AU77" s="15">
        <v>-1.2449160368072437E-4</v>
      </c>
      <c r="AW77" s="6">
        <v>-3669.72</v>
      </c>
      <c r="AX77" s="15">
        <v>-1.2232399999999999E-4</v>
      </c>
      <c r="AY77" s="6">
        <v>-305.81</v>
      </c>
    </row>
    <row r="78" spans="2:51" outlineLevel="2" x14ac:dyDescent="0.25">
      <c r="E78" s="17" t="s">
        <v>156</v>
      </c>
      <c r="F78" s="35">
        <v>-608.86933333333388</v>
      </c>
      <c r="H78" t="s">
        <v>161</v>
      </c>
      <c r="I78" s="2" t="s">
        <v>59</v>
      </c>
      <c r="J78" s="6">
        <v>-608.86933333333388</v>
      </c>
      <c r="K78" s="37">
        <v>-2.4354773333333356E-4</v>
      </c>
      <c r="L78" s="6">
        <v>-608.86933333333388</v>
      </c>
      <c r="M78" s="15">
        <v>-3.0443466666666693E-4</v>
      </c>
      <c r="N78" s="6">
        <v>-608.86933333333388</v>
      </c>
      <c r="O78" s="15">
        <v>-3.7504725977030947E-4</v>
      </c>
      <c r="P78" s="6">
        <f>IFERROR(VLOOKUP($I78,RESUMO!$A$3:$M$200,2,FALSE),"")</f>
        <v>650.30000000000007</v>
      </c>
      <c r="Q78" s="46">
        <f t="shared" si="32"/>
        <v>6.8045251088355352E-2</v>
      </c>
      <c r="R78" s="6">
        <v>-608.86933333333388</v>
      </c>
      <c r="S78" s="15">
        <v>-2.7352767803338722E-4</v>
      </c>
      <c r="T78" s="6">
        <f>IFERROR(VLOOKUP($I78,RESUMO!$A$3:$M$200,3,FALSE),"")</f>
        <v>721.42000000000007</v>
      </c>
      <c r="U78" s="46">
        <f t="shared" si="37"/>
        <v>0.18485192225151659</v>
      </c>
      <c r="V78" s="6">
        <v>-608.86933333333388</v>
      </c>
      <c r="W78" s="15">
        <v>-2.1742004321147968E-4</v>
      </c>
      <c r="X78" s="6">
        <f>IFERROR(VLOOKUP($I78,RESUMO!$A$3:$M$200,4,FALSE),"")</f>
        <v>596.62</v>
      </c>
      <c r="Y78" s="46">
        <f t="shared" si="38"/>
        <v>-2.0118164379002823E-2</v>
      </c>
      <c r="Z78" s="6">
        <v>-608.86933333333388</v>
      </c>
      <c r="AA78" s="15">
        <v>-2.4889297548441895E-4</v>
      </c>
      <c r="AB78" s="6">
        <f>IFERROR(VLOOKUP($I78,RESUMO!$A$3:$M$200,5,FALSE),"")</f>
        <v>600.63</v>
      </c>
      <c r="AC78" s="46">
        <f t="shared" si="39"/>
        <v>-1.3532186435185722E-2</v>
      </c>
      <c r="AD78" s="6">
        <v>-608.86933333333388</v>
      </c>
      <c r="AE78" s="15">
        <v>-2.3757369163619521E-4</v>
      </c>
      <c r="AF78" s="6">
        <f>IFERROR(VLOOKUP($I78,RESUMO!$A$3:$M$200,6,FALSE),"")</f>
        <v>0</v>
      </c>
      <c r="AG78" s="46">
        <f t="shared" si="40"/>
        <v>-1</v>
      </c>
      <c r="AH78" s="6">
        <v>-608.86933333333388</v>
      </c>
      <c r="AI78" s="15">
        <v>-2.745509652293199E-4</v>
      </c>
      <c r="AJ78" s="6">
        <v>-608.86933333333388</v>
      </c>
      <c r="AK78" s="15">
        <v>-2.7107008035437869E-4</v>
      </c>
      <c r="AL78" s="6">
        <v>-608.86933333333388</v>
      </c>
      <c r="AM78" s="15">
        <v>-2.2625416982407289E-4</v>
      </c>
      <c r="AN78" s="6">
        <v>-608.86933333333388</v>
      </c>
      <c r="AO78" s="15">
        <v>-2.0435917636787672E-4</v>
      </c>
      <c r="AP78" s="6">
        <v>-608.86933333333388</v>
      </c>
      <c r="AQ78" s="15">
        <v>-2.0217708529491401E-4</v>
      </c>
      <c r="AR78" s="6">
        <v>-608.86933333333388</v>
      </c>
      <c r="AS78" s="15">
        <v>-2.2233098959270698E-4</v>
      </c>
      <c r="AT78" s="6">
        <v>-608.86933333333388</v>
      </c>
      <c r="AU78" s="15">
        <v>-2.4786344376796136E-4</v>
      </c>
      <c r="AW78" s="6">
        <v>-7306.4320000000071</v>
      </c>
      <c r="AX78" s="15">
        <v>-2.4354773333333356E-4</v>
      </c>
      <c r="AY78" s="6">
        <v>-608.86933333333388</v>
      </c>
    </row>
    <row r="79" spans="2:51" outlineLevel="2" x14ac:dyDescent="0.25">
      <c r="E79" s="17" t="s">
        <v>148</v>
      </c>
      <c r="F79" s="31">
        <v>0.18</v>
      </c>
      <c r="H79" t="s">
        <v>161</v>
      </c>
      <c r="I79" s="2" t="s">
        <v>60</v>
      </c>
      <c r="J79" s="6">
        <v>-10891.814345999999</v>
      </c>
      <c r="K79" s="37">
        <v>-4.3567257383999997E-3</v>
      </c>
      <c r="L79" s="6">
        <v>-10891.814345999999</v>
      </c>
      <c r="M79" s="15">
        <v>-5.4459071729999996E-3</v>
      </c>
      <c r="N79" s="6">
        <v>-10891.814345999999</v>
      </c>
      <c r="O79" s="15">
        <v>-6.7090669553526126E-3</v>
      </c>
      <c r="P79" s="6">
        <f>IFERROR(VLOOKUP($I79,RESUMO!$A$3:$M$200,2,FALSE),"")</f>
        <v>22949.23</v>
      </c>
      <c r="Q79" s="46">
        <f t="shared" si="32"/>
        <v>1.1070162666175141</v>
      </c>
      <c r="R79" s="6">
        <v>-10891.814345999999</v>
      </c>
      <c r="S79" s="15">
        <v>-4.8930247009190469E-3</v>
      </c>
      <c r="T79" s="6">
        <f>IFERROR(VLOOKUP($I79,RESUMO!$A$3:$M$200,3,FALSE),"")</f>
        <v>17763.09</v>
      </c>
      <c r="U79" s="46">
        <f t="shared" si="37"/>
        <v>0.63086602798398461</v>
      </c>
      <c r="V79" s="6">
        <v>-10891.814345999999</v>
      </c>
      <c r="W79" s="15">
        <v>-3.8893381816329478E-3</v>
      </c>
      <c r="X79" s="6">
        <f>IFERROR(VLOOKUP($I79,RESUMO!$A$3:$M$200,4,FALSE),"")</f>
        <v>20718.489999999998</v>
      </c>
      <c r="Y79" s="46">
        <f t="shared" si="38"/>
        <v>0.90220741391986992</v>
      </c>
      <c r="Z79" s="6">
        <v>-10891.814345999999</v>
      </c>
      <c r="AA79" s="15">
        <v>-4.4523445878915753E-3</v>
      </c>
      <c r="AB79" s="6">
        <f>IFERROR(VLOOKUP($I79,RESUMO!$A$3:$M$200,5,FALSE),"")</f>
        <v>178.31</v>
      </c>
      <c r="AC79" s="46">
        <f t="shared" si="39"/>
        <v>-0.98362899014474259</v>
      </c>
      <c r="AD79" s="6">
        <v>-11599.78227849</v>
      </c>
      <c r="AE79" s="15">
        <v>-4.5260993569670935E-3</v>
      </c>
      <c r="AF79" s="6">
        <f>IFERROR(VLOOKUP($I79,RESUMO!$A$3:$M$200,6,FALSE),"")</f>
        <v>0</v>
      </c>
      <c r="AG79" s="46">
        <f t="shared" si="40"/>
        <v>-1</v>
      </c>
      <c r="AH79" s="6">
        <v>-11599.78227849</v>
      </c>
      <c r="AI79" s="15">
        <v>-5.2305663081669189E-3</v>
      </c>
      <c r="AJ79" s="6">
        <v>-11599.78227849</v>
      </c>
      <c r="AK79" s="15">
        <v>-5.1642507549352337E-3</v>
      </c>
      <c r="AL79" s="6">
        <v>-11599.78227849</v>
      </c>
      <c r="AM79" s="15">
        <v>-4.3104471942963327E-3</v>
      </c>
      <c r="AN79" s="6">
        <v>-11599.78227849</v>
      </c>
      <c r="AO79" s="15">
        <v>-3.8933180285188281E-3</v>
      </c>
      <c r="AP79" s="6">
        <v>-11599.78227849</v>
      </c>
      <c r="AQ79" s="15">
        <v>-3.8517462495303361E-3</v>
      </c>
      <c r="AR79" s="6">
        <v>-11599.78227849</v>
      </c>
      <c r="AS79" s="15">
        <v>-4.2357053177856851E-3</v>
      </c>
      <c r="AT79" s="6">
        <v>-11599.78227849</v>
      </c>
      <c r="AU79" s="15">
        <v>-4.7221330178753703E-3</v>
      </c>
      <c r="AW79" s="6">
        <v>-136365.51561192001</v>
      </c>
      <c r="AX79" s="15">
        <v>-4.5455171870640004E-3</v>
      </c>
      <c r="AY79" s="6">
        <v>-11363.792967660002</v>
      </c>
    </row>
    <row r="80" spans="2:51" outlineLevel="2" x14ac:dyDescent="0.25">
      <c r="E80" s="17" t="s">
        <v>148</v>
      </c>
      <c r="F80" s="31">
        <v>0.08</v>
      </c>
      <c r="H80" t="s">
        <v>161</v>
      </c>
      <c r="I80" s="2" t="s">
        <v>61</v>
      </c>
      <c r="J80" s="6">
        <v>-4840.8063760000005</v>
      </c>
      <c r="K80" s="37">
        <v>-1.9363225504000002E-3</v>
      </c>
      <c r="L80" s="6">
        <v>-4840.8063760000005</v>
      </c>
      <c r="M80" s="15">
        <v>-2.4204031880000003E-3</v>
      </c>
      <c r="N80" s="6">
        <v>-4840.8063760000005</v>
      </c>
      <c r="O80" s="15">
        <v>-2.9818075357122727E-3</v>
      </c>
      <c r="P80" s="6">
        <f>IFERROR(VLOOKUP($I80,RESUMO!$A$3:$M$200,2,FALSE),"")</f>
        <v>8774.5499999999993</v>
      </c>
      <c r="Q80" s="46">
        <f t="shared" si="32"/>
        <v>0.81262155898300659</v>
      </c>
      <c r="R80" s="6">
        <v>-4840.8063760000005</v>
      </c>
      <c r="S80" s="15">
        <v>-2.1746776448529101E-3</v>
      </c>
      <c r="T80" s="6">
        <f>IFERROR(VLOOKUP($I80,RESUMO!$A$3:$M$200,3,FALSE),"")</f>
        <v>9673.7099999999991</v>
      </c>
      <c r="U80" s="46">
        <f t="shared" si="37"/>
        <v>0.99836747198995979</v>
      </c>
      <c r="V80" s="6">
        <v>-4840.8063760000005</v>
      </c>
      <c r="W80" s="15">
        <v>-1.7285947473924216E-3</v>
      </c>
      <c r="X80" s="6">
        <f>IFERROR(VLOOKUP($I80,RESUMO!$A$3:$M$200,4,FALSE),"")</f>
        <v>8826.9</v>
      </c>
      <c r="Y80" s="46">
        <f t="shared" si="38"/>
        <v>0.82343587294927967</v>
      </c>
      <c r="Z80" s="6">
        <v>-4840.8063760000005</v>
      </c>
      <c r="AA80" s="15">
        <v>-1.9788198168407003E-3</v>
      </c>
      <c r="AB80" s="6">
        <f>IFERROR(VLOOKUP($I80,RESUMO!$A$3:$M$200,5,FALSE),"")</f>
        <v>0</v>
      </c>
      <c r="AC80" s="46">
        <f t="shared" si="39"/>
        <v>-1</v>
      </c>
      <c r="AD80" s="6">
        <v>-5155.4587904400005</v>
      </c>
      <c r="AE80" s="15">
        <v>-2.0115997142075969E-3</v>
      </c>
      <c r="AF80" s="6">
        <f>IFERROR(VLOOKUP($I80,RESUMO!$A$3:$M$200,6,FALSE),"")</f>
        <v>0</v>
      </c>
      <c r="AG80" s="46">
        <f t="shared" si="40"/>
        <v>-1</v>
      </c>
      <c r="AH80" s="6">
        <v>-5155.4587904400005</v>
      </c>
      <c r="AI80" s="15">
        <v>-2.3246961369630752E-3</v>
      </c>
      <c r="AJ80" s="6">
        <v>-5155.4587904400005</v>
      </c>
      <c r="AK80" s="15">
        <v>-2.2952225577489932E-3</v>
      </c>
      <c r="AL80" s="6">
        <v>-5155.4587904400005</v>
      </c>
      <c r="AM80" s="15">
        <v>-1.9157543085761481E-3</v>
      </c>
      <c r="AN80" s="6">
        <v>-5155.4587904400005</v>
      </c>
      <c r="AO80" s="15">
        <v>-1.7303635682305906E-3</v>
      </c>
      <c r="AP80" s="6">
        <v>-5155.4587904400005</v>
      </c>
      <c r="AQ80" s="15">
        <v>-1.7118872220134829E-3</v>
      </c>
      <c r="AR80" s="6">
        <v>-5155.4587904400005</v>
      </c>
      <c r="AS80" s="15">
        <v>-1.882535696793638E-3</v>
      </c>
      <c r="AT80" s="6">
        <v>-5155.4587904400005</v>
      </c>
      <c r="AU80" s="15">
        <v>-2.098725785722387E-3</v>
      </c>
      <c r="AW80" s="6">
        <v>-60606.89582752002</v>
      </c>
      <c r="AX80" s="15">
        <v>-2.0202298609173341E-3</v>
      </c>
      <c r="AY80" s="6">
        <v>-5050.574652293335</v>
      </c>
    </row>
    <row r="81" spans="2:51" outlineLevel="2" x14ac:dyDescent="0.25">
      <c r="B81" s="17" t="s">
        <v>152</v>
      </c>
      <c r="C81">
        <v>1</v>
      </c>
      <c r="D81">
        <v>9</v>
      </c>
      <c r="E81" s="17" t="s">
        <v>181</v>
      </c>
      <c r="F81" s="35">
        <v>-30</v>
      </c>
      <c r="H81" t="s">
        <v>161</v>
      </c>
      <c r="I81" s="2" t="s">
        <v>62</v>
      </c>
      <c r="J81" s="6">
        <v>-30</v>
      </c>
      <c r="K81" s="37">
        <v>-1.2E-5</v>
      </c>
      <c r="L81" s="6">
        <v>-30</v>
      </c>
      <c r="M81" s="15">
        <v>-1.5E-5</v>
      </c>
      <c r="N81" s="6">
        <v>-30</v>
      </c>
      <c r="O81" s="15">
        <v>-1.8479199357129621E-5</v>
      </c>
      <c r="P81" s="6" t="str">
        <f>IFERROR(VLOOKUP($I81,RESUMO!$A$3:$M$200,2,FALSE),"")</f>
        <v/>
      </c>
      <c r="Q81" s="46" t="str">
        <f t="shared" si="32"/>
        <v/>
      </c>
      <c r="R81" s="6">
        <v>-30</v>
      </c>
      <c r="S81" s="15">
        <v>-1.3477161505372159E-5</v>
      </c>
      <c r="T81" s="6" t="str">
        <f>IFERROR(VLOOKUP($I81,RESUMO!$A$3:$M$200,3,FALSE),"")</f>
        <v/>
      </c>
      <c r="U81" s="46" t="str">
        <f t="shared" si="37"/>
        <v/>
      </c>
      <c r="V81" s="6">
        <v>-30</v>
      </c>
      <c r="W81" s="15">
        <v>-1.0712645454872174E-5</v>
      </c>
      <c r="X81" s="6" t="str">
        <f>IFERROR(VLOOKUP($I81,RESUMO!$A$3:$M$200,4,FALSE),"")</f>
        <v/>
      </c>
      <c r="Y81" s="46" t="str">
        <f t="shared" si="38"/>
        <v/>
      </c>
      <c r="Z81" s="6">
        <v>-30</v>
      </c>
      <c r="AA81" s="15">
        <v>-1.2263368929511799E-5</v>
      </c>
      <c r="AB81" s="6" t="str">
        <f>IFERROR(VLOOKUP($I81,RESUMO!$A$3:$M$200,5,FALSE),"")</f>
        <v/>
      </c>
      <c r="AC81" s="46" t="str">
        <f t="shared" si="39"/>
        <v/>
      </c>
      <c r="AD81" s="6">
        <v>-30</v>
      </c>
      <c r="AE81" s="15">
        <v>-1.1705649075914236E-5</v>
      </c>
      <c r="AF81" s="6" t="str">
        <f>IFERROR(VLOOKUP($I81,RESUMO!$A$3:$M$200,6,FALSE),"")</f>
        <v/>
      </c>
      <c r="AG81" s="46" t="str">
        <f t="shared" si="40"/>
        <v/>
      </c>
      <c r="AH81" s="6">
        <v>-30</v>
      </c>
      <c r="AI81" s="15">
        <v>-1.3527580559506347E-5</v>
      </c>
      <c r="AJ81" s="6">
        <v>-30</v>
      </c>
      <c r="AK81" s="15">
        <v>-1.3356071599321836E-5</v>
      </c>
      <c r="AL81" s="6">
        <v>-30</v>
      </c>
      <c r="AM81" s="15">
        <v>-1.1147917497441456E-5</v>
      </c>
      <c r="AN81" s="6">
        <v>-30</v>
      </c>
      <c r="AO81" s="15">
        <v>-1.0069114924006075E-5</v>
      </c>
      <c r="AP81" s="6">
        <v>-30</v>
      </c>
      <c r="AQ81" s="15">
        <v>-9.9615996845202948E-6</v>
      </c>
      <c r="AR81" s="6">
        <v>-30</v>
      </c>
      <c r="AS81" s="15">
        <v>-1.0954615912852464E-5</v>
      </c>
      <c r="AT81" s="6">
        <v>-30</v>
      </c>
      <c r="AU81" s="15">
        <v>-1.2212642197513918E-5</v>
      </c>
      <c r="AW81" s="6">
        <v>-360</v>
      </c>
      <c r="AX81" s="15">
        <v>-1.2E-5</v>
      </c>
      <c r="AY81" s="6">
        <v>-30</v>
      </c>
    </row>
    <row r="82" spans="2:51" outlineLevel="2" x14ac:dyDescent="0.25">
      <c r="B82" s="17" t="s">
        <v>152</v>
      </c>
      <c r="C82">
        <v>1</v>
      </c>
      <c r="D82">
        <v>9</v>
      </c>
      <c r="E82" s="17" t="s">
        <v>181</v>
      </c>
      <c r="F82" s="35">
        <v>-2086.7233333333334</v>
      </c>
      <c r="H82" t="s">
        <v>161</v>
      </c>
      <c r="I82" s="2" t="s">
        <v>63</v>
      </c>
      <c r="J82" s="6">
        <v>-2086.7233333333334</v>
      </c>
      <c r="K82" s="37">
        <v>-8.3468933333333338E-4</v>
      </c>
      <c r="L82" s="6">
        <v>-2086.7233333333334</v>
      </c>
      <c r="M82" s="15">
        <v>-1.0433616666666668E-3</v>
      </c>
      <c r="N82" s="6">
        <v>-2086.7233333333334</v>
      </c>
      <c r="O82" s="15">
        <v>-1.2853658826613571E-3</v>
      </c>
      <c r="P82" s="6">
        <f>IFERROR(VLOOKUP($I82,RESUMO!$A$3:$M$200,2,FALSE),"")</f>
        <v>2233.96</v>
      </c>
      <c r="Q82" s="46">
        <f t="shared" si="32"/>
        <v>7.0558786742213053E-2</v>
      </c>
      <c r="R82" s="6">
        <v>-2086.7233333333334</v>
      </c>
      <c r="S82" s="15">
        <v>-9.3743691267872918E-4</v>
      </c>
      <c r="T82" s="6">
        <f>IFERROR(VLOOKUP($I82,RESUMO!$A$3:$M$200,3,FALSE),"")</f>
        <v>2457.64</v>
      </c>
      <c r="U82" s="46">
        <f t="shared" si="37"/>
        <v>0.17775076395688938</v>
      </c>
      <c r="V82" s="6">
        <v>-2086.7233333333334</v>
      </c>
      <c r="W82" s="15">
        <v>-7.4514424108030155E-4</v>
      </c>
      <c r="X82" s="6">
        <f>IFERROR(VLOOKUP($I82,RESUMO!$A$3:$M$200,4,FALSE),"")</f>
        <v>1143.7600000000002</v>
      </c>
      <c r="Y82" s="46">
        <f t="shared" si="38"/>
        <v>-0.45188708932824495</v>
      </c>
      <c r="Z82" s="6">
        <v>-2086.7233333333334</v>
      </c>
      <c r="AA82" s="15">
        <v>-8.530086030162431E-4</v>
      </c>
      <c r="AB82" s="6">
        <f>IFERROR(VLOOKUP($I82,RESUMO!$A$3:$M$200,5,FALSE),"")</f>
        <v>8026.26</v>
      </c>
      <c r="AC82" s="46">
        <f t="shared" si="39"/>
        <v>2.8463460257469047</v>
      </c>
      <c r="AD82" s="6">
        <v>-2086.7233333333334</v>
      </c>
      <c r="AE82" s="15">
        <v>-8.1421503528406687E-4</v>
      </c>
      <c r="AF82" s="6">
        <f>IFERROR(VLOOKUP($I82,RESUMO!$A$3:$M$200,6,FALSE),"")</f>
        <v>0</v>
      </c>
      <c r="AG82" s="46">
        <f t="shared" si="40"/>
        <v>-1</v>
      </c>
      <c r="AH82" s="6">
        <v>-2086.7233333333334</v>
      </c>
      <c r="AI82" s="15">
        <v>-9.4094393323560942E-4</v>
      </c>
      <c r="AJ82" s="6">
        <v>-2086.7233333333334</v>
      </c>
      <c r="AK82" s="15">
        <v>-9.2901420826585078E-4</v>
      </c>
      <c r="AL82" s="6">
        <v>-2086.7233333333334</v>
      </c>
      <c r="AM82" s="15">
        <v>-7.754206519995342E-4</v>
      </c>
      <c r="AN82" s="6">
        <v>-2086.7233333333334</v>
      </c>
      <c r="AO82" s="15">
        <v>-7.0038190193127893E-4</v>
      </c>
      <c r="AP82" s="6">
        <v>-2086.7233333333334</v>
      </c>
      <c r="AQ82" s="15">
        <v>-6.9290341663381569E-4</v>
      </c>
      <c r="AR82" s="6">
        <v>-2086.7233333333334</v>
      </c>
      <c r="AS82" s="15">
        <v>-7.6197508776846222E-4</v>
      </c>
      <c r="AT82" s="6">
        <v>-2086.7233333333334</v>
      </c>
      <c r="AU82" s="15">
        <v>-8.4948018117345233E-4</v>
      </c>
      <c r="AW82" s="6">
        <v>-25040.680000000008</v>
      </c>
      <c r="AX82" s="15">
        <v>-8.346893333333336E-4</v>
      </c>
      <c r="AY82" s="6">
        <v>-2086.7233333333338</v>
      </c>
    </row>
    <row r="83" spans="2:51" outlineLevel="2" x14ac:dyDescent="0.25">
      <c r="E83" s="17" t="s">
        <v>155</v>
      </c>
      <c r="F83" s="35">
        <v>-5833.333333333333</v>
      </c>
      <c r="H83" t="s">
        <v>160</v>
      </c>
      <c r="I83" s="2" t="s">
        <v>64</v>
      </c>
      <c r="J83" s="6">
        <v>-5833.333333333333</v>
      </c>
      <c r="K83" s="37">
        <v>-2.3333333333333331E-3</v>
      </c>
      <c r="L83" s="6">
        <v>-5833.333333333333</v>
      </c>
      <c r="M83" s="15">
        <v>-2.9166666666666664E-3</v>
      </c>
      <c r="N83" s="6">
        <v>-5833.333333333333</v>
      </c>
      <c r="O83" s="15">
        <v>-3.593177652775204E-3</v>
      </c>
      <c r="P83" s="6">
        <f>IFERROR(VLOOKUP($I83,RESUMO!$A$3:$M$200,2,FALSE),"")</f>
        <v>2231.33</v>
      </c>
      <c r="Q83" s="46">
        <f t="shared" si="32"/>
        <v>-0.61748628571428577</v>
      </c>
      <c r="R83" s="6">
        <v>-5833.333333333333</v>
      </c>
      <c r="S83" s="15">
        <v>-2.6205591816001418E-3</v>
      </c>
      <c r="T83" s="6">
        <f>IFERROR(VLOOKUP($I83,RESUMO!$A$3:$M$200,3,FALSE),"")</f>
        <v>4424.49</v>
      </c>
      <c r="U83" s="46">
        <f t="shared" si="37"/>
        <v>-0.24151599999999995</v>
      </c>
      <c r="V83" s="6">
        <v>-5833.333333333333</v>
      </c>
      <c r="W83" s="15">
        <v>-2.083014394002923E-3</v>
      </c>
      <c r="X83" s="6">
        <f>IFERROR(VLOOKUP($I83,RESUMO!$A$3:$M$200,4,FALSE),"")</f>
        <v>1873.7600000000002</v>
      </c>
      <c r="Y83" s="46">
        <f t="shared" si="38"/>
        <v>-0.67878399999999994</v>
      </c>
      <c r="Z83" s="6">
        <v>-5833.333333333333</v>
      </c>
      <c r="AA83" s="15">
        <v>-2.3845439585161829E-3</v>
      </c>
      <c r="AB83" s="6">
        <f>IFERROR(VLOOKUP($I83,RESUMO!$A$3:$M$200,5,FALSE),"")</f>
        <v>2785.58</v>
      </c>
      <c r="AC83" s="46">
        <f t="shared" si="39"/>
        <v>-0.52247200000000005</v>
      </c>
      <c r="AD83" s="6">
        <v>-5833.333333333333</v>
      </c>
      <c r="AE83" s="15">
        <v>-2.2760984314277679E-3</v>
      </c>
      <c r="AF83" s="6">
        <f>IFERROR(VLOOKUP($I83,RESUMO!$A$3:$M$200,6,FALSE),"")</f>
        <v>0</v>
      </c>
      <c r="AG83" s="46">
        <f t="shared" si="40"/>
        <v>-1</v>
      </c>
      <c r="AH83" s="6">
        <v>-5833.333333333333</v>
      </c>
      <c r="AI83" s="15">
        <v>-2.6303628865706787E-3</v>
      </c>
      <c r="AJ83" s="6">
        <v>-5833.333333333333</v>
      </c>
      <c r="AK83" s="15">
        <v>-2.5970139220903568E-3</v>
      </c>
      <c r="AL83" s="6">
        <v>-5833.333333333333</v>
      </c>
      <c r="AM83" s="15">
        <v>-2.167650624502505E-3</v>
      </c>
      <c r="AN83" s="6">
        <v>-5833.333333333333</v>
      </c>
      <c r="AO83" s="15">
        <v>-1.9578834574456253E-3</v>
      </c>
      <c r="AP83" s="6">
        <v>-5833.333333333333</v>
      </c>
      <c r="AQ83" s="15">
        <v>-1.9369777164345015E-3</v>
      </c>
      <c r="AR83" s="6">
        <v>-5833.333333333333</v>
      </c>
      <c r="AS83" s="15">
        <v>-2.1300642052768676E-3</v>
      </c>
      <c r="AT83" s="6">
        <v>-5833.333333333333</v>
      </c>
      <c r="AU83" s="15">
        <v>-2.3746804272943727E-3</v>
      </c>
      <c r="AW83" s="6">
        <v>-70000.000000000015</v>
      </c>
      <c r="AX83" s="15">
        <v>-2.333333333333334E-3</v>
      </c>
      <c r="AY83" s="6">
        <v>-5833.3333333333348</v>
      </c>
    </row>
    <row r="84" spans="2:51" outlineLevel="2" x14ac:dyDescent="0.25">
      <c r="E84" s="17" t="s">
        <v>155</v>
      </c>
      <c r="F84" s="35">
        <v>-2500</v>
      </c>
      <c r="H84" t="s">
        <v>160</v>
      </c>
      <c r="I84" s="2" t="s">
        <v>65</v>
      </c>
      <c r="J84" s="6">
        <v>-2500</v>
      </c>
      <c r="K84" s="37">
        <v>-1E-3</v>
      </c>
      <c r="L84" s="6">
        <v>-2500</v>
      </c>
      <c r="M84" s="15">
        <v>-1.25E-3</v>
      </c>
      <c r="N84" s="6">
        <v>-2500</v>
      </c>
      <c r="O84" s="15">
        <v>-1.5399332797608018E-3</v>
      </c>
      <c r="P84" s="6">
        <f>IFERROR(VLOOKUP($I84,RESUMO!$A$3:$M$200,2,FALSE),"")</f>
        <v>3330.86</v>
      </c>
      <c r="Q84" s="46">
        <f t="shared" si="32"/>
        <v>0.33234399999999997</v>
      </c>
      <c r="R84" s="6">
        <v>-2500</v>
      </c>
      <c r="S84" s="15">
        <v>-1.1230967921143466E-3</v>
      </c>
      <c r="T84" s="6">
        <f>IFERROR(VLOOKUP($I84,RESUMO!$A$3:$M$200,3,FALSE),"")</f>
        <v>369.46000000000004</v>
      </c>
      <c r="U84" s="46">
        <f t="shared" si="37"/>
        <v>-0.85221599999999997</v>
      </c>
      <c r="V84" s="6">
        <v>-2500</v>
      </c>
      <c r="W84" s="15">
        <v>-8.927204545726812E-4</v>
      </c>
      <c r="X84" s="6">
        <f>IFERROR(VLOOKUP($I84,RESUMO!$A$3:$M$200,4,FALSE),"")</f>
        <v>1065.51</v>
      </c>
      <c r="Y84" s="46">
        <f t="shared" si="38"/>
        <v>-0.57379599999999997</v>
      </c>
      <c r="Z84" s="6">
        <v>-2500</v>
      </c>
      <c r="AA84" s="15">
        <v>-1.0219474107926499E-3</v>
      </c>
      <c r="AB84" s="6">
        <f>IFERROR(VLOOKUP($I84,RESUMO!$A$3:$M$200,5,FALSE),"")</f>
        <v>170.15</v>
      </c>
      <c r="AC84" s="46">
        <f t="shared" si="39"/>
        <v>-0.93193999999999999</v>
      </c>
      <c r="AD84" s="6">
        <v>-2500</v>
      </c>
      <c r="AE84" s="15">
        <v>-9.7547075632618623E-4</v>
      </c>
      <c r="AF84" s="6">
        <f>IFERROR(VLOOKUP($I84,RESUMO!$A$3:$M$200,6,FALSE),"")</f>
        <v>1239.3200000000002</v>
      </c>
      <c r="AG84" s="46">
        <f t="shared" si="40"/>
        <v>-0.50427199999999994</v>
      </c>
      <c r="AH84" s="6">
        <v>-2500</v>
      </c>
      <c r="AI84" s="15">
        <v>-1.1272983799588622E-3</v>
      </c>
      <c r="AJ84" s="6">
        <v>-2500</v>
      </c>
      <c r="AK84" s="15">
        <v>-1.1130059666101528E-3</v>
      </c>
      <c r="AL84" s="6">
        <v>-2500</v>
      </c>
      <c r="AM84" s="15">
        <v>-9.2899312478678792E-4</v>
      </c>
      <c r="AN84" s="6">
        <v>-2500</v>
      </c>
      <c r="AO84" s="15">
        <v>-8.390929103338395E-4</v>
      </c>
      <c r="AP84" s="6">
        <v>-2500</v>
      </c>
      <c r="AQ84" s="15">
        <v>-8.301333070433578E-4</v>
      </c>
      <c r="AR84" s="6">
        <v>-2500</v>
      </c>
      <c r="AS84" s="15">
        <v>-9.1288465940437191E-4</v>
      </c>
      <c r="AT84" s="6">
        <v>-2500</v>
      </c>
      <c r="AU84" s="15">
        <v>-1.0177201831261598E-3</v>
      </c>
      <c r="AW84" s="6">
        <v>-30000</v>
      </c>
      <c r="AX84" s="15">
        <v>-1E-3</v>
      </c>
      <c r="AY84" s="6">
        <v>-2500</v>
      </c>
    </row>
    <row r="85" spans="2:51" s="3" customFormat="1" outlineLevel="1" x14ac:dyDescent="0.25">
      <c r="B85" s="10"/>
      <c r="E85" s="10"/>
      <c r="F85" s="32"/>
      <c r="I85" s="9" t="s">
        <v>66</v>
      </c>
      <c r="J85" s="8">
        <v>-20355.613253968255</v>
      </c>
      <c r="K85" s="38">
        <v>-8.1422453015873014E-3</v>
      </c>
      <c r="L85" s="8">
        <v>-20355.613253968255</v>
      </c>
      <c r="M85" s="13">
        <v>-1.0177806626984127E-2</v>
      </c>
      <c r="N85" s="8">
        <v>-20355.613253968255</v>
      </c>
      <c r="O85" s="13">
        <v>-1.2538514511890312E-2</v>
      </c>
      <c r="P85" s="8">
        <f>SUM(P86:P100)</f>
        <v>16694.399999999998</v>
      </c>
      <c r="Q85" s="45">
        <f>(P85*-1)/N85-1</f>
        <v>-0.17986258671202238</v>
      </c>
      <c r="R85" s="8">
        <v>-20355.613253968255</v>
      </c>
      <c r="S85" s="13">
        <v>-9.1445295788208092E-3</v>
      </c>
      <c r="T85" s="8">
        <f>SUM(T86:T100)</f>
        <v>18621.32</v>
      </c>
      <c r="U85" s="45">
        <f>(T85*-1)/R85-1</f>
        <v>-8.5199754599884714E-2</v>
      </c>
      <c r="V85" s="8">
        <v>-20355.613253968255</v>
      </c>
      <c r="W85" s="13">
        <v>-7.2687489268752938E-3</v>
      </c>
      <c r="X85" s="8">
        <f>SUM(X86:X100)</f>
        <v>17985.82</v>
      </c>
      <c r="Y85" s="45">
        <f>(X85*-1)/V85-1</f>
        <v>-0.11641964427214058</v>
      </c>
      <c r="Z85" s="8">
        <v>-20355.613253968255</v>
      </c>
      <c r="AA85" s="13">
        <v>-8.320946503995761E-3</v>
      </c>
      <c r="AB85" s="8">
        <f>SUM(AB86:AB100)</f>
        <v>18594.11</v>
      </c>
      <c r="AC85" s="45">
        <f>(AB85*-1)/Z85-1</f>
        <v>-8.653648661873925E-2</v>
      </c>
      <c r="AD85" s="8">
        <v>-20355.613253968255</v>
      </c>
      <c r="AE85" s="13">
        <v>-7.942522182532703E-3</v>
      </c>
      <c r="AF85" s="8">
        <f>SUM(AF86:AF100)</f>
        <v>4525.8500000000004</v>
      </c>
      <c r="AG85" s="45">
        <f>(AF85*-1)/AD85-1</f>
        <v>-0.77766083765038607</v>
      </c>
      <c r="AH85" s="8">
        <v>-20355.613253968255</v>
      </c>
      <c r="AI85" s="13">
        <v>-9.1787399377070231E-3</v>
      </c>
      <c r="AJ85" s="8">
        <v>-20355.613253968255</v>
      </c>
      <c r="AK85" s="13">
        <v>-9.0623676022701521E-3</v>
      </c>
      <c r="AL85" s="8">
        <v>-20355.613253968255</v>
      </c>
      <c r="AM85" s="13">
        <v>-7.5640899055021303E-3</v>
      </c>
      <c r="AN85" s="8">
        <v>-20355.613253968255</v>
      </c>
      <c r="AO85" s="13">
        <v>-6.8321003067609203E-3</v>
      </c>
      <c r="AP85" s="8">
        <v>-20355.613253968255</v>
      </c>
      <c r="AQ85" s="13">
        <v>-6.7591490189649094E-3</v>
      </c>
      <c r="AR85" s="8">
        <v>-20355.613253968255</v>
      </c>
      <c r="AS85" s="13">
        <v>-7.4329308289263719E-3</v>
      </c>
      <c r="AT85" s="8">
        <v>-20355.613253968255</v>
      </c>
      <c r="AU85" s="13">
        <v>-8.2865273793895442E-3</v>
      </c>
      <c r="AV85" s="16"/>
      <c r="AW85" s="8">
        <v>-244267.35904761904</v>
      </c>
      <c r="AX85" s="13">
        <v>-8.1422453015873014E-3</v>
      </c>
      <c r="AY85" s="8">
        <v>-20355.613253968251</v>
      </c>
    </row>
    <row r="86" spans="2:51" outlineLevel="2" x14ac:dyDescent="0.25">
      <c r="E86" s="17" t="s">
        <v>155</v>
      </c>
      <c r="F86" s="35">
        <v>-850</v>
      </c>
      <c r="H86" t="s">
        <v>162</v>
      </c>
      <c r="I86" s="2" t="s">
        <v>67</v>
      </c>
      <c r="J86" s="6">
        <v>-850</v>
      </c>
      <c r="K86" s="37">
        <v>-3.4000000000000002E-4</v>
      </c>
      <c r="L86" s="6">
        <v>-850</v>
      </c>
      <c r="M86" s="15">
        <v>-4.2499999999999998E-4</v>
      </c>
      <c r="N86" s="6">
        <v>-850</v>
      </c>
      <c r="O86" s="15">
        <v>-5.2357731511867259E-4</v>
      </c>
      <c r="P86" s="6">
        <f>IFERROR(VLOOKUP($I86,RESUMO!$A$3:$M$200,2,FALSE),"")</f>
        <v>800</v>
      </c>
      <c r="Q86" s="46">
        <f t="shared" si="32"/>
        <v>-5.8823529411764719E-2</v>
      </c>
      <c r="R86" s="6">
        <v>-850</v>
      </c>
      <c r="S86" s="15">
        <v>-3.8185290931887781E-4</v>
      </c>
      <c r="T86" s="6">
        <f>IFERROR(VLOOKUP($I86,RESUMO!$A$3:$M$200,3,FALSE),"")</f>
        <v>900</v>
      </c>
      <c r="U86" s="46">
        <f t="shared" ref="U86:U100" si="41">IFERROR((T86*-1)/R86-1,"")</f>
        <v>5.8823529411764719E-2</v>
      </c>
      <c r="V86" s="6">
        <v>-850</v>
      </c>
      <c r="W86" s="15">
        <v>-3.0352495455471159E-4</v>
      </c>
      <c r="X86" s="6">
        <f>IFERROR(VLOOKUP($I86,RESUMO!$A$3:$M$200,4,FALSE),"")</f>
        <v>900</v>
      </c>
      <c r="Y86" s="46">
        <f t="shared" ref="Y86:Y100" si="42">IFERROR((X86*-1)/V86-1,"")</f>
        <v>5.8823529411764719E-2</v>
      </c>
      <c r="Z86" s="6">
        <v>-850</v>
      </c>
      <c r="AA86" s="15">
        <v>-3.4746211966950097E-4</v>
      </c>
      <c r="AB86" s="6">
        <f>IFERROR(VLOOKUP($I86,RESUMO!$A$3:$M$200,5,FALSE),"")</f>
        <v>900</v>
      </c>
      <c r="AC86" s="46">
        <f t="shared" ref="AC86:AC100" si="43">IFERROR((AB86*-1)/Z86-1,"")</f>
        <v>5.8823529411764719E-2</v>
      </c>
      <c r="AD86" s="6">
        <v>-850</v>
      </c>
      <c r="AE86" s="15">
        <v>-3.3166005715090332E-4</v>
      </c>
      <c r="AF86" s="6">
        <f>IFERROR(VLOOKUP($I86,RESUMO!$A$3:$M$200,6,FALSE),"")</f>
        <v>900</v>
      </c>
      <c r="AG86" s="46">
        <f t="shared" ref="AG86:AG100" si="44">IFERROR((AF86*-1)/AD86-1,"")</f>
        <v>5.8823529411764719E-2</v>
      </c>
      <c r="AH86" s="6">
        <v>-850</v>
      </c>
      <c r="AI86" s="15">
        <v>-3.8328144918601317E-4</v>
      </c>
      <c r="AJ86" s="6">
        <v>-850</v>
      </c>
      <c r="AK86" s="15">
        <v>-3.7842202864745198E-4</v>
      </c>
      <c r="AL86" s="6">
        <v>-850</v>
      </c>
      <c r="AM86" s="15">
        <v>-3.1585766242750793E-4</v>
      </c>
      <c r="AN86" s="6">
        <v>-850</v>
      </c>
      <c r="AO86" s="15">
        <v>-2.8529158951350547E-4</v>
      </c>
      <c r="AP86" s="6">
        <v>-850</v>
      </c>
      <c r="AQ86" s="15">
        <v>-2.8224532439474168E-4</v>
      </c>
      <c r="AR86" s="6">
        <v>-850</v>
      </c>
      <c r="AS86" s="15">
        <v>-3.1038078419748643E-4</v>
      </c>
      <c r="AT86" s="6">
        <v>-850</v>
      </c>
      <c r="AU86" s="15">
        <v>-3.4602486226289434E-4</v>
      </c>
      <c r="AW86" s="6">
        <v>-10200</v>
      </c>
      <c r="AX86" s="15">
        <v>-3.4000000000000002E-4</v>
      </c>
      <c r="AY86" s="6">
        <v>-850</v>
      </c>
    </row>
    <row r="87" spans="2:51" outlineLevel="2" x14ac:dyDescent="0.25">
      <c r="B87" s="17" t="s">
        <v>152</v>
      </c>
      <c r="C87">
        <v>1</v>
      </c>
      <c r="D87">
        <v>9</v>
      </c>
      <c r="E87" s="17" t="s">
        <v>181</v>
      </c>
      <c r="F87" s="35">
        <v>-30.98</v>
      </c>
      <c r="H87" t="s">
        <v>162</v>
      </c>
      <c r="I87" s="2" t="s">
        <v>68</v>
      </c>
      <c r="J87" s="6">
        <v>-30.98</v>
      </c>
      <c r="K87" s="37">
        <v>-1.2392000000000001E-5</v>
      </c>
      <c r="L87" s="6">
        <v>-30.98</v>
      </c>
      <c r="M87" s="15">
        <v>-1.5489999999999999E-5</v>
      </c>
      <c r="N87" s="6">
        <v>-30.98</v>
      </c>
      <c r="O87" s="15">
        <v>-1.9082853202795857E-5</v>
      </c>
      <c r="P87" s="6">
        <f>IFERROR(VLOOKUP($I87,RESUMO!$A$3:$M$200,2,FALSE),"")</f>
        <v>32.229999999999997</v>
      </c>
      <c r="Q87" s="46">
        <f t="shared" si="32"/>
        <v>4.0348612007746754E-2</v>
      </c>
      <c r="R87" s="6">
        <v>-30.98</v>
      </c>
      <c r="S87" s="15">
        <v>-1.3917415447880983E-5</v>
      </c>
      <c r="T87" s="6">
        <f>IFERROR(VLOOKUP($I87,RESUMO!$A$3:$M$200,3,FALSE),"")</f>
        <v>32.229999999999997</v>
      </c>
      <c r="U87" s="46">
        <f t="shared" si="41"/>
        <v>4.0348612007746754E-2</v>
      </c>
      <c r="V87" s="6">
        <v>-30.98</v>
      </c>
      <c r="W87" s="15">
        <v>-1.1062591873064665E-5</v>
      </c>
      <c r="X87" s="6">
        <f>IFERROR(VLOOKUP($I87,RESUMO!$A$3:$M$200,4,FALSE),"")</f>
        <v>32.229999999999997</v>
      </c>
      <c r="Y87" s="46">
        <f t="shared" si="42"/>
        <v>4.0348612007746754E-2</v>
      </c>
      <c r="Z87" s="6">
        <v>-30.98</v>
      </c>
      <c r="AA87" s="15">
        <v>-1.2663972314542518E-5</v>
      </c>
      <c r="AB87" s="6">
        <f>IFERROR(VLOOKUP($I87,RESUMO!$A$3:$M$200,5,FALSE),"")</f>
        <v>32.229999999999997</v>
      </c>
      <c r="AC87" s="46">
        <f t="shared" si="43"/>
        <v>4.0348612007746754E-2</v>
      </c>
      <c r="AD87" s="6">
        <v>-30.98</v>
      </c>
      <c r="AE87" s="15">
        <v>-1.2088033612394101E-5</v>
      </c>
      <c r="AF87" s="6">
        <f>IFERROR(VLOOKUP($I87,RESUMO!$A$3:$M$200,6,FALSE),"")</f>
        <v>0</v>
      </c>
      <c r="AG87" s="46">
        <f t="shared" si="44"/>
        <v>-1</v>
      </c>
      <c r="AH87" s="6">
        <v>-30.98</v>
      </c>
      <c r="AI87" s="15">
        <v>-1.3969481524450221E-5</v>
      </c>
      <c r="AJ87" s="6">
        <v>-30.98</v>
      </c>
      <c r="AK87" s="15">
        <v>-1.3792369938233016E-5</v>
      </c>
      <c r="AL87" s="6">
        <v>-30.98</v>
      </c>
      <c r="AM87" s="15">
        <v>-1.1512082802357877E-5</v>
      </c>
      <c r="AN87" s="6">
        <v>-30.98</v>
      </c>
      <c r="AO87" s="15">
        <v>-1.039803934485694E-5</v>
      </c>
      <c r="AP87" s="6">
        <v>-30.98</v>
      </c>
      <c r="AQ87" s="15">
        <v>-1.0287011940881291E-5</v>
      </c>
      <c r="AR87" s="6">
        <v>-30.98</v>
      </c>
      <c r="AS87" s="15">
        <v>-1.1312466699338976E-5</v>
      </c>
      <c r="AT87" s="6">
        <v>-30.98</v>
      </c>
      <c r="AU87" s="15">
        <v>-1.2611588509299373E-5</v>
      </c>
      <c r="AW87" s="6">
        <v>-371.76000000000005</v>
      </c>
      <c r="AX87" s="15">
        <v>-1.2392000000000001E-5</v>
      </c>
      <c r="AY87" s="6">
        <v>-30.980000000000004</v>
      </c>
    </row>
    <row r="88" spans="2:51" outlineLevel="2" x14ac:dyDescent="0.25">
      <c r="B88" s="17" t="s">
        <v>152</v>
      </c>
      <c r="C88">
        <v>1</v>
      </c>
      <c r="D88">
        <v>9</v>
      </c>
      <c r="E88" s="17" t="s">
        <v>181</v>
      </c>
      <c r="F88" s="35">
        <v>-59.852857142857147</v>
      </c>
      <c r="H88" t="s">
        <v>162</v>
      </c>
      <c r="I88" s="2" t="s">
        <v>69</v>
      </c>
      <c r="J88" s="6">
        <v>-59.852857142857147</v>
      </c>
      <c r="K88" s="37">
        <v>-2.394114285714286E-5</v>
      </c>
      <c r="L88" s="6">
        <v>-59.852857142857147</v>
      </c>
      <c r="M88" s="15">
        <v>-2.9926428571428574E-5</v>
      </c>
      <c r="N88" s="6">
        <v>-59.852857142857147</v>
      </c>
      <c r="O88" s="15">
        <v>-3.6867762641221894E-5</v>
      </c>
      <c r="P88" s="6">
        <f>IFERROR(VLOOKUP($I88,RESUMO!$A$3:$M$200,2,FALSE),"")</f>
        <v>98.41</v>
      </c>
      <c r="Q88" s="46">
        <f t="shared" si="32"/>
        <v>0.64419886865408005</v>
      </c>
      <c r="R88" s="6">
        <v>-59.852857142857147</v>
      </c>
      <c r="S88" s="15">
        <v>-2.6888220742408446E-5</v>
      </c>
      <c r="T88" s="6">
        <f>IFERROR(VLOOKUP($I88,RESUMO!$A$3:$M$200,3,FALSE),"")</f>
        <v>91.95</v>
      </c>
      <c r="U88" s="46">
        <f t="shared" si="41"/>
        <v>0.53626751318710175</v>
      </c>
      <c r="V88" s="6">
        <v>-59.852857142857147</v>
      </c>
      <c r="W88" s="15">
        <v>-2.1372747934418072E-5</v>
      </c>
      <c r="X88" s="6">
        <f>IFERROR(VLOOKUP($I88,RESUMO!$A$3:$M$200,4,FALSE),"")</f>
        <v>0</v>
      </c>
      <c r="Y88" s="46">
        <f t="shared" si="42"/>
        <v>-1</v>
      </c>
      <c r="Z88" s="6">
        <v>-59.852857142857147</v>
      </c>
      <c r="AA88" s="15">
        <v>-2.4466588954274089E-5</v>
      </c>
      <c r="AB88" s="6">
        <f>IFERROR(VLOOKUP($I88,RESUMO!$A$3:$M$200,5,FALSE),"")</f>
        <v>91.72</v>
      </c>
      <c r="AC88" s="46">
        <f t="shared" si="43"/>
        <v>0.53242475594911309</v>
      </c>
      <c r="AD88" s="6">
        <v>-59.852857142857147</v>
      </c>
      <c r="AE88" s="15">
        <v>-2.3353884730170417E-5</v>
      </c>
      <c r="AF88" s="6">
        <f>IFERROR(VLOOKUP($I88,RESUMO!$A$3:$M$200,6,FALSE),"")</f>
        <v>0</v>
      </c>
      <c r="AG88" s="46">
        <f t="shared" si="44"/>
        <v>-1</v>
      </c>
      <c r="AH88" s="6">
        <v>-59.852857142857147</v>
      </c>
      <c r="AI88" s="15">
        <v>-2.6988811557220833E-5</v>
      </c>
      <c r="AJ88" s="6">
        <v>-59.852857142857147</v>
      </c>
      <c r="AK88" s="15">
        <v>-2.6646634847466045E-5</v>
      </c>
      <c r="AL88" s="6">
        <v>-59.852857142857147</v>
      </c>
      <c r="AM88" s="15">
        <v>-2.2241157113824032E-5</v>
      </c>
      <c r="AN88" s="6">
        <v>-59.852857142857147</v>
      </c>
      <c r="AO88" s="15">
        <v>-2.0088843236718215E-5</v>
      </c>
      <c r="AP88" s="6">
        <v>-59.852857142857147</v>
      </c>
      <c r="AQ88" s="15">
        <v>-1.9874340094397465E-5</v>
      </c>
      <c r="AR88" s="6">
        <v>-59.852857142857147</v>
      </c>
      <c r="AS88" s="15">
        <v>-2.185550204289427E-5</v>
      </c>
      <c r="AT88" s="6">
        <v>-59.852857142857147</v>
      </c>
      <c r="AU88" s="15">
        <v>-2.4365384292820986E-5</v>
      </c>
      <c r="AW88" s="6">
        <v>-718.23428571428576</v>
      </c>
      <c r="AX88" s="15">
        <v>-2.394114285714286E-5</v>
      </c>
      <c r="AY88" s="6">
        <v>-59.852857142857147</v>
      </c>
    </row>
    <row r="89" spans="2:51" outlineLevel="2" x14ac:dyDescent="0.25">
      <c r="B89" s="17" t="s">
        <v>152</v>
      </c>
      <c r="C89">
        <v>1</v>
      </c>
      <c r="D89">
        <v>9</v>
      </c>
      <c r="E89" s="17" t="s">
        <v>181</v>
      </c>
      <c r="F89" s="35">
        <v>-2262.6266666666666</v>
      </c>
      <c r="H89" t="s">
        <v>162</v>
      </c>
      <c r="I89" s="2" t="s">
        <v>70</v>
      </c>
      <c r="J89" s="6">
        <v>-2262.6266666666666</v>
      </c>
      <c r="K89" s="37">
        <v>-9.0505066666666666E-4</v>
      </c>
      <c r="L89" s="6">
        <v>-2262.6266666666666</v>
      </c>
      <c r="M89" s="15">
        <v>-1.1313133333333333E-3</v>
      </c>
      <c r="N89" s="6">
        <v>-2262.6266666666666</v>
      </c>
      <c r="O89" s="15">
        <v>-1.3937176414697001E-3</v>
      </c>
      <c r="P89" s="6">
        <f>IFERROR(VLOOKUP($I89,RESUMO!$A$3:$M$200,2,FALSE),"")</f>
        <v>1996.0500000000002</v>
      </c>
      <c r="Q89" s="46">
        <f t="shared" si="32"/>
        <v>-0.11781734503261687</v>
      </c>
      <c r="R89" s="6">
        <v>-2262.6266666666666</v>
      </c>
      <c r="S89" s="15">
        <v>-1.016459500434284E-3</v>
      </c>
      <c r="T89" s="6">
        <f>IFERROR(VLOOKUP($I89,RESUMO!$A$3:$M$200,3,FALSE),"")</f>
        <v>2146.02</v>
      </c>
      <c r="U89" s="46">
        <f t="shared" si="41"/>
        <v>-5.1535972940004782E-2</v>
      </c>
      <c r="V89" s="6">
        <v>-2262.6266666666666</v>
      </c>
      <c r="W89" s="15">
        <v>-8.0795724255797478E-4</v>
      </c>
      <c r="X89" s="6">
        <f>IFERROR(VLOOKUP($I89,RESUMO!$A$3:$M$200,4,FALSE),"")</f>
        <v>2146.02</v>
      </c>
      <c r="Y89" s="46">
        <f t="shared" si="42"/>
        <v>-5.1535972940004782E-2</v>
      </c>
      <c r="Z89" s="6">
        <v>-2262.6266666666666</v>
      </c>
      <c r="AA89" s="15">
        <v>-9.2491418543616153E-4</v>
      </c>
      <c r="AB89" s="6">
        <f>IFERROR(VLOOKUP($I89,RESUMO!$A$3:$M$200,5,FALSE),"")</f>
        <v>2146.02</v>
      </c>
      <c r="AC89" s="46">
        <f t="shared" si="43"/>
        <v>-5.1535972940004782E-2</v>
      </c>
      <c r="AD89" s="6">
        <v>-2262.6266666666666</v>
      </c>
      <c r="AE89" s="15">
        <v>-8.828504583268524E-4</v>
      </c>
      <c r="AF89" s="6">
        <f>IFERROR(VLOOKUP($I89,RESUMO!$A$3:$M$200,6,FALSE),"")</f>
        <v>464.9</v>
      </c>
      <c r="AG89" s="46">
        <f t="shared" si="44"/>
        <v>-0.79453084026234999</v>
      </c>
      <c r="AH89" s="6">
        <v>-2262.6266666666666</v>
      </c>
      <c r="AI89" s="15">
        <v>-1.0202621503140215E-3</v>
      </c>
      <c r="AJ89" s="6">
        <v>-2262.6266666666666</v>
      </c>
      <c r="AK89" s="15">
        <v>-1.0073267920844965E-3</v>
      </c>
      <c r="AL89" s="6">
        <v>-2262.6266666666666</v>
      </c>
      <c r="AM89" s="15">
        <v>-8.407858469170322E-4</v>
      </c>
      <c r="AN89" s="6">
        <v>-2262.6266666666666</v>
      </c>
      <c r="AO89" s="15">
        <v>-7.5942159789291501E-4</v>
      </c>
      <c r="AP89" s="6">
        <v>-2262.6266666666666</v>
      </c>
      <c r="AQ89" s="15">
        <v>-7.5131270296179562E-4</v>
      </c>
      <c r="AR89" s="6">
        <v>-2262.6266666666666</v>
      </c>
      <c r="AS89" s="15">
        <v>-8.2620686958369965E-4</v>
      </c>
      <c r="AT89" s="6">
        <v>-2262.6266666666666</v>
      </c>
      <c r="AU89" s="15">
        <v>-9.2108833021845298E-4</v>
      </c>
      <c r="AW89" s="6">
        <v>-27151.52</v>
      </c>
      <c r="AX89" s="15">
        <v>-9.0505066666666666E-4</v>
      </c>
      <c r="AY89" s="6">
        <v>-2262.6266666666666</v>
      </c>
    </row>
    <row r="90" spans="2:51" outlineLevel="2" x14ac:dyDescent="0.25">
      <c r="B90" s="17" t="s">
        <v>152</v>
      </c>
      <c r="C90">
        <v>1</v>
      </c>
      <c r="D90">
        <v>9</v>
      </c>
      <c r="E90" s="17" t="s">
        <v>181</v>
      </c>
      <c r="F90" s="35">
        <v>-410.71500000000003</v>
      </c>
      <c r="H90" t="s">
        <v>162</v>
      </c>
      <c r="I90" s="2" t="s">
        <v>71</v>
      </c>
      <c r="J90" s="6">
        <v>-410.71500000000003</v>
      </c>
      <c r="K90" s="37">
        <v>-1.6428600000000001E-4</v>
      </c>
      <c r="L90" s="6">
        <v>-410.71500000000003</v>
      </c>
      <c r="M90" s="15">
        <v>-2.0535750000000001E-4</v>
      </c>
      <c r="N90" s="6">
        <v>-410.71500000000003</v>
      </c>
      <c r="O90" s="15">
        <v>-2.5298947879878308E-4</v>
      </c>
      <c r="P90" s="6">
        <f>IFERROR(VLOOKUP($I90,RESUMO!$A$3:$M$200,2,FALSE),"")</f>
        <v>111.89</v>
      </c>
      <c r="Q90" s="46">
        <f t="shared" si="32"/>
        <v>-0.72757264769974317</v>
      </c>
      <c r="R90" s="6">
        <v>-410.71500000000003</v>
      </c>
      <c r="S90" s="15">
        <v>-1.8450907958929755E-4</v>
      </c>
      <c r="T90" s="6">
        <f>IFERROR(VLOOKUP($I90,RESUMO!$A$3:$M$200,3,FALSE),"")</f>
        <v>373.27</v>
      </c>
      <c r="U90" s="46">
        <f t="shared" si="41"/>
        <v>-9.1170276225606695E-2</v>
      </c>
      <c r="V90" s="6">
        <v>-410.71500000000003</v>
      </c>
      <c r="W90" s="15">
        <v>-1.4666147259992751E-4</v>
      </c>
      <c r="X90" s="6">
        <f>IFERROR(VLOOKUP($I90,RESUMO!$A$3:$M$200,4,FALSE),"")</f>
        <v>382.17</v>
      </c>
      <c r="Y90" s="46">
        <f t="shared" si="42"/>
        <v>-6.9500748694350079E-2</v>
      </c>
      <c r="Z90" s="6">
        <v>-410.71500000000003</v>
      </c>
      <c r="AA90" s="15">
        <v>-1.6789165232948129E-4</v>
      </c>
      <c r="AB90" s="6">
        <f>IFERROR(VLOOKUP($I90,RESUMO!$A$3:$M$200,5,FALSE),"")</f>
        <v>671.81999999999994</v>
      </c>
      <c r="AC90" s="46">
        <f t="shared" si="43"/>
        <v>0.6357328074212043</v>
      </c>
      <c r="AD90" s="6">
        <v>-410.71500000000003</v>
      </c>
      <c r="AE90" s="15">
        <v>-1.6025618867380385E-4</v>
      </c>
      <c r="AF90" s="6">
        <f>IFERROR(VLOOKUP($I90,RESUMO!$A$3:$M$200,6,FALSE),"")</f>
        <v>0</v>
      </c>
      <c r="AG90" s="46">
        <f t="shared" si="44"/>
        <v>-1</v>
      </c>
      <c r="AH90" s="6">
        <v>-410.71500000000003</v>
      </c>
      <c r="AI90" s="15">
        <v>-1.8519934164992166E-4</v>
      </c>
      <c r="AJ90" s="6">
        <v>-410.71500000000003</v>
      </c>
      <c r="AK90" s="15">
        <v>-1.828512982305156E-4</v>
      </c>
      <c r="AL90" s="6">
        <v>-410.71500000000003</v>
      </c>
      <c r="AM90" s="15">
        <v>-1.5262056449872225E-4</v>
      </c>
      <c r="AN90" s="6">
        <v>-410.71500000000003</v>
      </c>
      <c r="AO90" s="15">
        <v>-1.3785121786710517E-4</v>
      </c>
      <c r="AP90" s="6">
        <v>-410.71500000000003</v>
      </c>
      <c r="AQ90" s="15">
        <v>-1.3637928048092508E-4</v>
      </c>
      <c r="AR90" s="6">
        <v>-410.71500000000003</v>
      </c>
      <c r="AS90" s="15">
        <v>-1.4997416915490665E-4</v>
      </c>
      <c r="AT90" s="6">
        <v>-410.71500000000003</v>
      </c>
      <c r="AU90" s="15">
        <v>-1.6719717800506431E-4</v>
      </c>
      <c r="AW90" s="6">
        <v>-4928.5800000000008</v>
      </c>
      <c r="AX90" s="15">
        <v>-1.6428600000000003E-4</v>
      </c>
      <c r="AY90" s="6">
        <v>-410.71500000000009</v>
      </c>
    </row>
    <row r="91" spans="2:51" outlineLevel="2" x14ac:dyDescent="0.25">
      <c r="B91" s="17" t="s">
        <v>152</v>
      </c>
      <c r="C91">
        <v>1</v>
      </c>
      <c r="D91">
        <v>9</v>
      </c>
      <c r="E91" s="17" t="s">
        <v>181</v>
      </c>
      <c r="F91" s="35">
        <v>-680.29428571428582</v>
      </c>
      <c r="H91" t="s">
        <v>160</v>
      </c>
      <c r="I91" s="2" t="s">
        <v>72</v>
      </c>
      <c r="J91" s="6">
        <v>-680.29428571428582</v>
      </c>
      <c r="K91" s="37">
        <v>-2.7211771428571434E-4</v>
      </c>
      <c r="L91" s="6">
        <v>-680.29428571428582</v>
      </c>
      <c r="M91" s="15">
        <v>-3.401471428571429E-4</v>
      </c>
      <c r="N91" s="6">
        <v>-680.29428571428582</v>
      </c>
      <c r="O91" s="15">
        <v>-4.1904312424101284E-4</v>
      </c>
      <c r="P91" s="6">
        <f>IFERROR(VLOOKUP($I91,RESUMO!$A$3:$M$200,2,FALSE),"")</f>
        <v>367.37</v>
      </c>
      <c r="Q91" s="46">
        <f t="shared" si="32"/>
        <v>-0.45998370453123238</v>
      </c>
      <c r="R91" s="6">
        <v>-680.29428571428582</v>
      </c>
      <c r="S91" s="15">
        <v>-3.0561453199177404E-4</v>
      </c>
      <c r="T91" s="6">
        <f>IFERROR(VLOOKUP($I91,RESUMO!$A$3:$M$200,3,FALSE),"")</f>
        <v>577.9</v>
      </c>
      <c r="U91" s="46">
        <f t="shared" si="41"/>
        <v>-0.15051469322100119</v>
      </c>
      <c r="V91" s="6">
        <v>-680.29428571428582</v>
      </c>
      <c r="W91" s="15">
        <v>-2.4292504959442189E-4</v>
      </c>
      <c r="X91" s="6">
        <f>IFERROR(VLOOKUP($I91,RESUMO!$A$3:$M$200,4,FALSE),"")</f>
        <v>427.23</v>
      </c>
      <c r="Y91" s="46">
        <f t="shared" si="42"/>
        <v>-0.37199237304863864</v>
      </c>
      <c r="Z91" s="6">
        <v>-680.29428571428582</v>
      </c>
      <c r="AA91" s="15">
        <v>-2.7808999354509984E-4</v>
      </c>
      <c r="AB91" s="6">
        <f>IFERROR(VLOOKUP($I91,RESUMO!$A$3:$M$200,5,FALSE),"")</f>
        <v>448.1</v>
      </c>
      <c r="AC91" s="46">
        <f t="shared" si="43"/>
        <v>-0.34131447314817542</v>
      </c>
      <c r="AD91" s="6">
        <v>-680.29428571428582</v>
      </c>
      <c r="AE91" s="15">
        <v>-2.6544287256403883E-4</v>
      </c>
      <c r="AF91" s="6">
        <f>IFERROR(VLOOKUP($I91,RESUMO!$A$3:$M$200,6,FALSE),"")</f>
        <v>902.98</v>
      </c>
      <c r="AG91" s="46">
        <f t="shared" si="44"/>
        <v>0.32733732880308075</v>
      </c>
      <c r="AH91" s="6">
        <v>-680.29428571428582</v>
      </c>
      <c r="AI91" s="15">
        <v>-3.067578584723943E-4</v>
      </c>
      <c r="AJ91" s="6">
        <v>-680.29428571428582</v>
      </c>
      <c r="AK91" s="15">
        <v>-3.0286863962031692E-4</v>
      </c>
      <c r="AL91" s="6">
        <v>-680.29428571428582</v>
      </c>
      <c r="AM91" s="15">
        <v>-2.527954857041241E-4</v>
      </c>
      <c r="AN91" s="6">
        <v>-680.29428571428582</v>
      </c>
      <c r="AO91" s="15">
        <v>-2.2833204483339227E-4</v>
      </c>
      <c r="AP91" s="6">
        <v>-680.29428571428582</v>
      </c>
      <c r="AQ91" s="15">
        <v>-2.2589397806507962E-4</v>
      </c>
      <c r="AR91" s="6">
        <v>-680.29428571428582</v>
      </c>
      <c r="AS91" s="15">
        <v>-2.484120869236105E-4</v>
      </c>
      <c r="AT91" s="6">
        <v>-680.29428571428582</v>
      </c>
      <c r="AU91" s="15">
        <v>-2.7693969001472925E-4</v>
      </c>
      <c r="AW91" s="6">
        <v>-8163.5314285714312</v>
      </c>
      <c r="AX91" s="15">
        <v>-2.7211771428571439E-4</v>
      </c>
      <c r="AY91" s="6">
        <v>-680.29428571428593</v>
      </c>
    </row>
    <row r="92" spans="2:51" outlineLevel="2" x14ac:dyDescent="0.25">
      <c r="B92" s="17" t="s">
        <v>152</v>
      </c>
      <c r="C92">
        <v>1</v>
      </c>
      <c r="D92">
        <v>9</v>
      </c>
      <c r="E92" s="17" t="s">
        <v>181</v>
      </c>
      <c r="F92" s="35">
        <v>-224.60666666666668</v>
      </c>
      <c r="H92" t="s">
        <v>162</v>
      </c>
      <c r="I92" s="2" t="s">
        <v>73</v>
      </c>
      <c r="J92" s="6">
        <v>-224.60666666666668</v>
      </c>
      <c r="K92" s="37">
        <v>-8.984266666666668E-5</v>
      </c>
      <c r="L92" s="6">
        <v>-224.60666666666668</v>
      </c>
      <c r="M92" s="15">
        <v>-1.1230333333333335E-4</v>
      </c>
      <c r="N92" s="6">
        <v>-224.60666666666668</v>
      </c>
      <c r="O92" s="15">
        <v>-1.3835171234245647E-4</v>
      </c>
      <c r="P92" s="6">
        <f>IFERROR(VLOOKUP($I92,RESUMO!$A$3:$M$200,2,FALSE),"")</f>
        <v>15.99</v>
      </c>
      <c r="Q92" s="46">
        <f t="shared" si="32"/>
        <v>-0.92880888070998191</v>
      </c>
      <c r="R92" s="6">
        <v>-224.60666666666668</v>
      </c>
      <c r="S92" s="15">
        <v>-1.0090201072833187E-4</v>
      </c>
      <c r="T92" s="6">
        <f>IFERROR(VLOOKUP($I92,RESUMO!$A$3:$M$200,3,FALSE),"")</f>
        <v>368.6</v>
      </c>
      <c r="U92" s="46">
        <f t="shared" si="41"/>
        <v>0.64109109257665242</v>
      </c>
      <c r="V92" s="6">
        <v>-224.60666666666668</v>
      </c>
      <c r="W92" s="15">
        <v>-8.020438622668855E-5</v>
      </c>
      <c r="X92" s="6">
        <f>IFERROR(VLOOKUP($I92,RESUMO!$A$3:$M$200,4,FALSE),"")</f>
        <v>150.63</v>
      </c>
      <c r="Y92" s="46">
        <f t="shared" si="42"/>
        <v>-0.32936095693211842</v>
      </c>
      <c r="Z92" s="6">
        <v>-224.60666666666668</v>
      </c>
      <c r="AA92" s="15">
        <v>-9.1814480578707118E-5</v>
      </c>
      <c r="AB92" s="6">
        <f>IFERROR(VLOOKUP($I92,RESUMO!$A$3:$M$200,5,FALSE),"")</f>
        <v>243.83</v>
      </c>
      <c r="AC92" s="46">
        <f t="shared" si="43"/>
        <v>8.5586655189813232E-2</v>
      </c>
      <c r="AD92" s="6">
        <v>-224.60666666666668</v>
      </c>
      <c r="AE92" s="15">
        <v>-8.763889400369478E-5</v>
      </c>
      <c r="AF92" s="6">
        <f>IFERROR(VLOOKUP($I92,RESUMO!$A$3:$M$200,6,FALSE),"")</f>
        <v>0</v>
      </c>
      <c r="AG92" s="46">
        <f t="shared" si="44"/>
        <v>-1</v>
      </c>
      <c r="AH92" s="6">
        <v>-224.60666666666668</v>
      </c>
      <c r="AI92" s="15">
        <v>-1.0127949258451742E-4</v>
      </c>
      <c r="AJ92" s="6">
        <v>-224.60666666666668</v>
      </c>
      <c r="AK92" s="15">
        <v>-9.9995424056167114E-5</v>
      </c>
      <c r="AL92" s="6">
        <v>-224.60666666666668</v>
      </c>
      <c r="AM92" s="15">
        <v>-8.3463219645844465E-5</v>
      </c>
      <c r="AN92" s="6">
        <v>-224.60666666666668</v>
      </c>
      <c r="AO92" s="15">
        <v>-7.5386344645486371E-5</v>
      </c>
      <c r="AP92" s="6">
        <v>-224.60666666666668</v>
      </c>
      <c r="AQ92" s="15">
        <v>-7.4581389993594056E-5</v>
      </c>
      <c r="AR92" s="6">
        <v>-224.60666666666668</v>
      </c>
      <c r="AS92" s="15">
        <v>-8.2015992159980522E-5</v>
      </c>
      <c r="AT92" s="6">
        <v>-224.60666666666668</v>
      </c>
      <c r="AU92" s="15">
        <v>-9.1434695172542543E-5</v>
      </c>
      <c r="AW92" s="6">
        <v>-2695.2799999999993</v>
      </c>
      <c r="AX92" s="15">
        <v>-8.9842666666666639E-5</v>
      </c>
      <c r="AY92" s="6">
        <v>-224.6066666666666</v>
      </c>
    </row>
    <row r="93" spans="2:51" outlineLevel="2" x14ac:dyDescent="0.25">
      <c r="E93" s="17" t="s">
        <v>155</v>
      </c>
      <c r="F93" s="35">
        <v>-550</v>
      </c>
      <c r="H93" t="s">
        <v>162</v>
      </c>
      <c r="I93" s="2" t="s">
        <v>74</v>
      </c>
      <c r="J93" s="6">
        <v>-550</v>
      </c>
      <c r="K93" s="37">
        <v>-2.2000000000000001E-4</v>
      </c>
      <c r="L93" s="6">
        <v>-550</v>
      </c>
      <c r="M93" s="15">
        <v>-2.7500000000000002E-4</v>
      </c>
      <c r="N93" s="6">
        <v>-550</v>
      </c>
      <c r="O93" s="15">
        <v>-3.3878532154737637E-4</v>
      </c>
      <c r="P93" s="6">
        <f>IFERROR(VLOOKUP($I93,RESUMO!$A$3:$M$200,2,FALSE),"")</f>
        <v>351</v>
      </c>
      <c r="Q93" s="46">
        <f t="shared" si="32"/>
        <v>-0.36181818181818182</v>
      </c>
      <c r="R93" s="6">
        <v>-550</v>
      </c>
      <c r="S93" s="15">
        <v>-2.4708129426515626E-4</v>
      </c>
      <c r="T93" s="6">
        <f>IFERROR(VLOOKUP($I93,RESUMO!$A$3:$M$200,3,FALSE),"")</f>
        <v>617.44000000000005</v>
      </c>
      <c r="U93" s="46">
        <f t="shared" si="41"/>
        <v>0.12261818181818196</v>
      </c>
      <c r="V93" s="6">
        <v>-550</v>
      </c>
      <c r="W93" s="15">
        <v>-1.9639850000598987E-4</v>
      </c>
      <c r="X93" s="6">
        <f>IFERROR(VLOOKUP($I93,RESUMO!$A$3:$M$200,4,FALSE),"")</f>
        <v>351</v>
      </c>
      <c r="Y93" s="46">
        <f t="shared" si="42"/>
        <v>-0.36181818181818182</v>
      </c>
      <c r="Z93" s="6">
        <v>-550</v>
      </c>
      <c r="AA93" s="15">
        <v>-2.2482843037438296E-4</v>
      </c>
      <c r="AB93" s="6">
        <f>IFERROR(VLOOKUP($I93,RESUMO!$A$3:$M$200,5,FALSE),"")</f>
        <v>351</v>
      </c>
      <c r="AC93" s="46">
        <f t="shared" si="43"/>
        <v>-0.36181818181818182</v>
      </c>
      <c r="AD93" s="6">
        <v>-550</v>
      </c>
      <c r="AE93" s="15">
        <v>-2.1460356639176097E-4</v>
      </c>
      <c r="AF93" s="6">
        <f>IFERROR(VLOOKUP($I93,RESUMO!$A$3:$M$200,6,FALSE),"")</f>
        <v>0</v>
      </c>
      <c r="AG93" s="46">
        <f t="shared" si="44"/>
        <v>-1</v>
      </c>
      <c r="AH93" s="6">
        <v>-550</v>
      </c>
      <c r="AI93" s="15">
        <v>-2.4800564359094972E-4</v>
      </c>
      <c r="AJ93" s="6">
        <v>-550</v>
      </c>
      <c r="AK93" s="15">
        <v>-2.4486131265423364E-4</v>
      </c>
      <c r="AL93" s="6">
        <v>-550</v>
      </c>
      <c r="AM93" s="15">
        <v>-2.0437848745309334E-4</v>
      </c>
      <c r="AN93" s="6">
        <v>-550</v>
      </c>
      <c r="AO93" s="15">
        <v>-1.846004402734447E-4</v>
      </c>
      <c r="AP93" s="6">
        <v>-550</v>
      </c>
      <c r="AQ93" s="15">
        <v>-1.8262932754953872E-4</v>
      </c>
      <c r="AR93" s="6">
        <v>-550</v>
      </c>
      <c r="AS93" s="15">
        <v>-2.0083462506896181E-4</v>
      </c>
      <c r="AT93" s="6">
        <v>-550</v>
      </c>
      <c r="AU93" s="15">
        <v>-2.2389844028775516E-4</v>
      </c>
      <c r="AW93" s="6">
        <v>-6600</v>
      </c>
      <c r="AX93" s="15">
        <v>-2.2000000000000001E-4</v>
      </c>
      <c r="AY93" s="6">
        <v>-550</v>
      </c>
    </row>
    <row r="94" spans="2:51" outlineLevel="2" x14ac:dyDescent="0.25">
      <c r="E94" s="17" t="s">
        <v>155</v>
      </c>
      <c r="F94" s="35">
        <v>-416.66666666666669</v>
      </c>
      <c r="H94" t="s">
        <v>162</v>
      </c>
      <c r="I94" s="2" t="s">
        <v>75</v>
      </c>
      <c r="J94" s="6">
        <v>-416.66666666666669</v>
      </c>
      <c r="K94" s="37">
        <v>-1.6666666666666666E-4</v>
      </c>
      <c r="L94" s="6">
        <v>-416.66666666666669</v>
      </c>
      <c r="M94" s="15">
        <v>-2.0833333333333335E-4</v>
      </c>
      <c r="N94" s="6">
        <v>-416.66666666666669</v>
      </c>
      <c r="O94" s="15">
        <v>-2.566555466268003E-4</v>
      </c>
      <c r="P94" s="6">
        <f>IFERROR(VLOOKUP($I94,RESUMO!$A$3:$M$200,2,FALSE),"")</f>
        <v>432.21</v>
      </c>
      <c r="Q94" s="46">
        <f t="shared" si="32"/>
        <v>3.7304000000000004E-2</v>
      </c>
      <c r="R94" s="6">
        <v>-416.66666666666669</v>
      </c>
      <c r="S94" s="15">
        <v>-1.8718279868572442E-4</v>
      </c>
      <c r="T94" s="6">
        <f>IFERROR(VLOOKUP($I94,RESUMO!$A$3:$M$200,3,FALSE),"")</f>
        <v>511.6699999999999</v>
      </c>
      <c r="U94" s="46">
        <f t="shared" si="41"/>
        <v>0.22800799999999977</v>
      </c>
      <c r="V94" s="6">
        <v>-416.66666666666669</v>
      </c>
      <c r="W94" s="15">
        <v>-1.4878674242878022E-4</v>
      </c>
      <c r="X94" s="6">
        <f>IFERROR(VLOOKUP($I94,RESUMO!$A$3:$M$200,4,FALSE),"")</f>
        <v>350.68</v>
      </c>
      <c r="Y94" s="46">
        <f t="shared" si="42"/>
        <v>-0.15836800000000006</v>
      </c>
      <c r="Z94" s="6">
        <v>-416.66666666666669</v>
      </c>
      <c r="AA94" s="15">
        <v>-1.7032456846544165E-4</v>
      </c>
      <c r="AB94" s="6">
        <f>IFERROR(VLOOKUP($I94,RESUMO!$A$3:$M$200,5,FALSE),"")</f>
        <v>279.59999999999997</v>
      </c>
      <c r="AC94" s="46">
        <f t="shared" si="43"/>
        <v>-0.32896000000000014</v>
      </c>
      <c r="AD94" s="6">
        <v>-416.66666666666669</v>
      </c>
      <c r="AE94" s="15">
        <v>-1.6257845938769772E-4</v>
      </c>
      <c r="AF94" s="6">
        <f>IFERROR(VLOOKUP($I94,RESUMO!$A$3:$M$200,6,FALSE),"")</f>
        <v>0</v>
      </c>
      <c r="AG94" s="46">
        <f t="shared" si="44"/>
        <v>-1</v>
      </c>
      <c r="AH94" s="6">
        <v>-416.66666666666669</v>
      </c>
      <c r="AI94" s="15">
        <v>-1.8788306332647705E-4</v>
      </c>
      <c r="AJ94" s="6">
        <v>-416.66666666666669</v>
      </c>
      <c r="AK94" s="15">
        <v>-1.8550099443502549E-4</v>
      </c>
      <c r="AL94" s="6">
        <v>-416.66666666666669</v>
      </c>
      <c r="AM94" s="15">
        <v>-1.5483218746446467E-4</v>
      </c>
      <c r="AN94" s="6">
        <v>-416.66666666666669</v>
      </c>
      <c r="AO94" s="15">
        <v>-1.3984881838897327E-4</v>
      </c>
      <c r="AP94" s="6">
        <v>-416.66666666666669</v>
      </c>
      <c r="AQ94" s="15">
        <v>-1.3835555117389298E-4</v>
      </c>
      <c r="AR94" s="6">
        <v>-416.66666666666669</v>
      </c>
      <c r="AS94" s="15">
        <v>-1.5214744323406199E-4</v>
      </c>
      <c r="AT94" s="6">
        <v>-416.66666666666669</v>
      </c>
      <c r="AU94" s="15">
        <v>-1.6962003052102664E-4</v>
      </c>
      <c r="AW94" s="6">
        <v>-5000</v>
      </c>
      <c r="AX94" s="15">
        <v>-1.6666666666666666E-4</v>
      </c>
      <c r="AY94" s="6">
        <v>-416.66666666666669</v>
      </c>
    </row>
    <row r="95" spans="2:51" outlineLevel="2" x14ac:dyDescent="0.25">
      <c r="B95" s="17" t="s">
        <v>152</v>
      </c>
      <c r="C95">
        <v>4</v>
      </c>
      <c r="D95">
        <v>9</v>
      </c>
      <c r="E95" s="17" t="s">
        <v>183</v>
      </c>
      <c r="F95" s="35">
        <v>-11709.43</v>
      </c>
      <c r="H95" t="s">
        <v>160</v>
      </c>
      <c r="I95" s="2" t="s">
        <v>76</v>
      </c>
      <c r="J95" s="6">
        <v>-11709.43</v>
      </c>
      <c r="K95" s="37">
        <v>-4.6837720000000001E-3</v>
      </c>
      <c r="L95" s="6">
        <v>-11709.43</v>
      </c>
      <c r="M95" s="15">
        <v>-5.8547149999999999E-3</v>
      </c>
      <c r="N95" s="6">
        <v>-11709.43</v>
      </c>
      <c r="O95" s="15">
        <v>-7.2126963776118101E-3</v>
      </c>
      <c r="P95" s="6">
        <f>IFERROR(VLOOKUP($I95,RESUMO!$A$3:$M$200,2,FALSE),"")</f>
        <v>11212.419999999998</v>
      </c>
      <c r="Q95" s="46">
        <f t="shared" si="32"/>
        <v>-4.2445277011776139E-2</v>
      </c>
      <c r="R95" s="6">
        <v>-11709.43</v>
      </c>
      <c r="S95" s="15">
        <v>-5.2603293081949975E-3</v>
      </c>
      <c r="T95" s="6">
        <f>IFERROR(VLOOKUP($I95,RESUMO!$A$3:$M$200,3,FALSE),"")</f>
        <v>11212.419999999998</v>
      </c>
      <c r="U95" s="46">
        <f t="shared" si="41"/>
        <v>-4.2445277011776139E-2</v>
      </c>
      <c r="V95" s="6">
        <v>-11709.43</v>
      </c>
      <c r="W95" s="15">
        <v>-4.1812990689547962E-3</v>
      </c>
      <c r="X95" s="6">
        <f>IFERROR(VLOOKUP($I95,RESUMO!$A$3:$M$200,4,FALSE),"")</f>
        <v>11212.419999999998</v>
      </c>
      <c r="Y95" s="46">
        <f t="shared" si="42"/>
        <v>-4.2445277011776139E-2</v>
      </c>
      <c r="Z95" s="6">
        <v>-11709.43</v>
      </c>
      <c r="AA95" s="15">
        <v>-4.7865686681431117E-3</v>
      </c>
      <c r="AB95" s="6">
        <f>IFERROR(VLOOKUP($I95,RESUMO!$A$3:$M$200,5,FALSE),"")</f>
        <v>10898.109999999999</v>
      </c>
      <c r="AC95" s="46">
        <f t="shared" si="43"/>
        <v>-6.9287745005521373E-2</v>
      </c>
      <c r="AD95" s="6">
        <v>-11709.43</v>
      </c>
      <c r="AE95" s="15">
        <v>-4.5688826152994145E-3</v>
      </c>
      <c r="AF95" s="6">
        <f>IFERROR(VLOOKUP($I95,RESUMO!$A$3:$M$200,6,FALSE),"")</f>
        <v>1697.48</v>
      </c>
      <c r="AG95" s="46">
        <f t="shared" si="44"/>
        <v>-0.8550330801755508</v>
      </c>
      <c r="AH95" s="6">
        <v>-11709.43</v>
      </c>
      <c r="AI95" s="15">
        <v>-5.2800085876966805E-3</v>
      </c>
      <c r="AJ95" s="6">
        <v>-11709.43</v>
      </c>
      <c r="AK95" s="15">
        <v>-5.2130661822415696E-3</v>
      </c>
      <c r="AL95" s="6">
        <v>-11709.43</v>
      </c>
      <c r="AM95" s="15">
        <v>-4.3511919860688636E-3</v>
      </c>
      <c r="AN95" s="6">
        <v>-11709.43</v>
      </c>
      <c r="AO95" s="15">
        <v>-3.9301198788201487E-3</v>
      </c>
      <c r="AP95" s="6">
        <v>-11709.43</v>
      </c>
      <c r="AQ95" s="15">
        <v>-3.8881551397970822E-3</v>
      </c>
      <c r="AR95" s="6">
        <v>-11709.43</v>
      </c>
      <c r="AS95" s="15">
        <v>-4.2757436069477336E-3</v>
      </c>
      <c r="AT95" s="6">
        <v>-11709.43</v>
      </c>
      <c r="AU95" s="15">
        <v>-4.7667692975611803E-3</v>
      </c>
      <c r="AW95" s="6">
        <v>-140513.15999999997</v>
      </c>
      <c r="AX95" s="15">
        <v>-4.6837719999999992E-3</v>
      </c>
      <c r="AY95" s="6">
        <v>-11709.429999999998</v>
      </c>
    </row>
    <row r="96" spans="2:51" outlineLevel="2" x14ac:dyDescent="0.25">
      <c r="B96" s="17" t="s">
        <v>152</v>
      </c>
      <c r="C96">
        <v>1</v>
      </c>
      <c r="D96">
        <v>9</v>
      </c>
      <c r="E96" s="17" t="s">
        <v>181</v>
      </c>
      <c r="F96" s="35">
        <v>-828.18</v>
      </c>
      <c r="H96" t="s">
        <v>162</v>
      </c>
      <c r="I96" s="2" t="s">
        <v>77</v>
      </c>
      <c r="J96" s="6">
        <v>-828.18</v>
      </c>
      <c r="K96" s="37">
        <v>-3.3127199999999997E-4</v>
      </c>
      <c r="L96" s="6">
        <v>-828.18</v>
      </c>
      <c r="M96" s="15">
        <v>-4.1408999999999999E-4</v>
      </c>
      <c r="N96" s="6">
        <v>-828.18</v>
      </c>
      <c r="O96" s="15">
        <v>-5.101367774529203E-4</v>
      </c>
      <c r="P96" s="6">
        <f>IFERROR(VLOOKUP($I96,RESUMO!$A$3:$M$200,2,FALSE),"")</f>
        <v>511.23</v>
      </c>
      <c r="Q96" s="46">
        <f t="shared" si="32"/>
        <v>-0.38270665797290437</v>
      </c>
      <c r="R96" s="6">
        <v>-828.18</v>
      </c>
      <c r="S96" s="15">
        <v>-3.7205052051730376E-4</v>
      </c>
      <c r="T96" s="6">
        <f>IFERROR(VLOOKUP($I96,RESUMO!$A$3:$M$200,3,FALSE),"")</f>
        <v>981.08999999999992</v>
      </c>
      <c r="U96" s="46">
        <f t="shared" si="41"/>
        <v>0.18463377526624636</v>
      </c>
      <c r="V96" s="6">
        <v>-828.18</v>
      </c>
      <c r="W96" s="15">
        <v>-2.9573329042720123E-4</v>
      </c>
      <c r="X96" s="6">
        <f>IFERROR(VLOOKUP($I96,RESUMO!$A$3:$M$200,4,FALSE),"")</f>
        <v>780.64</v>
      </c>
      <c r="Y96" s="46">
        <f t="shared" si="42"/>
        <v>-5.7402980028496198E-2</v>
      </c>
      <c r="Z96" s="6">
        <v>-828.18</v>
      </c>
      <c r="AA96" s="15">
        <v>-3.385425626681027E-4</v>
      </c>
      <c r="AB96" s="6">
        <f>IFERROR(VLOOKUP($I96,RESUMO!$A$3:$M$200,5,FALSE),"")</f>
        <v>1078.18</v>
      </c>
      <c r="AC96" s="46">
        <f t="shared" si="43"/>
        <v>0.30186674394455326</v>
      </c>
      <c r="AD96" s="6">
        <v>-828.18</v>
      </c>
      <c r="AE96" s="15">
        <v>-3.2314614838968835E-4</v>
      </c>
      <c r="AF96" s="6">
        <f>IFERROR(VLOOKUP($I96,RESUMO!$A$3:$M$200,6,FALSE),"")</f>
        <v>50.49</v>
      </c>
      <c r="AG96" s="46">
        <f t="shared" si="44"/>
        <v>-0.93903499239295807</v>
      </c>
      <c r="AH96" s="6">
        <v>-828.18</v>
      </c>
      <c r="AI96" s="15">
        <v>-3.734423889257322E-4</v>
      </c>
      <c r="AJ96" s="6">
        <v>-828.18</v>
      </c>
      <c r="AK96" s="15">
        <v>-3.6870771257087857E-4</v>
      </c>
      <c r="AL96" s="6">
        <v>-828.18</v>
      </c>
      <c r="AM96" s="15">
        <v>-3.0774941043436879E-4</v>
      </c>
      <c r="AN96" s="6">
        <v>-828.18</v>
      </c>
      <c r="AO96" s="15">
        <v>-2.7796798659211167E-4</v>
      </c>
      <c r="AP96" s="6">
        <v>-828.18</v>
      </c>
      <c r="AQ96" s="15">
        <v>-2.749999208908672E-4</v>
      </c>
      <c r="AR96" s="6">
        <v>-828.18</v>
      </c>
      <c r="AS96" s="15">
        <v>-3.0241312689020507E-4</v>
      </c>
      <c r="AT96" s="6">
        <v>-828.18</v>
      </c>
      <c r="AU96" s="15">
        <v>-3.3714220050456918E-4</v>
      </c>
      <c r="AW96" s="6">
        <v>-9938.1600000000017</v>
      </c>
      <c r="AX96" s="15">
        <v>-3.3127200000000008E-4</v>
      </c>
      <c r="AY96" s="6">
        <v>-828.18000000000018</v>
      </c>
    </row>
    <row r="97" spans="2:51" outlineLevel="2" x14ac:dyDescent="0.25">
      <c r="E97" s="17" t="s">
        <v>155</v>
      </c>
      <c r="F97" s="35">
        <v>-370</v>
      </c>
      <c r="H97" t="s">
        <v>160</v>
      </c>
      <c r="I97" s="2" t="s">
        <v>78</v>
      </c>
      <c r="J97" s="6">
        <v>-370</v>
      </c>
      <c r="K97" s="37">
        <v>-1.4799999999999999E-4</v>
      </c>
      <c r="L97" s="6">
        <v>-370</v>
      </c>
      <c r="M97" s="15">
        <v>-1.85E-4</v>
      </c>
      <c r="N97" s="6">
        <v>-370</v>
      </c>
      <c r="O97" s="15">
        <v>-2.2791012540459866E-4</v>
      </c>
      <c r="P97" s="6">
        <f>IFERROR(VLOOKUP($I97,RESUMO!$A$3:$M$200,2,FALSE),"")</f>
        <v>370</v>
      </c>
      <c r="Q97" s="46">
        <f t="shared" si="32"/>
        <v>0</v>
      </c>
      <c r="R97" s="6">
        <v>-370</v>
      </c>
      <c r="S97" s="15">
        <v>-1.6621832523292329E-4</v>
      </c>
      <c r="T97" s="6">
        <f>IFERROR(VLOOKUP($I97,RESUMO!$A$3:$M$200,3,FALSE),"")</f>
        <v>370</v>
      </c>
      <c r="U97" s="46">
        <f t="shared" si="41"/>
        <v>0</v>
      </c>
      <c r="V97" s="6">
        <v>-370</v>
      </c>
      <c r="W97" s="15">
        <v>-1.3212262727675683E-4</v>
      </c>
      <c r="X97" s="6">
        <f>IFERROR(VLOOKUP($I97,RESUMO!$A$3:$M$200,4,FALSE),"")</f>
        <v>370</v>
      </c>
      <c r="Y97" s="46">
        <f t="shared" si="42"/>
        <v>0</v>
      </c>
      <c r="Z97" s="6">
        <v>-370</v>
      </c>
      <c r="AA97" s="15">
        <v>-1.5124821679731218E-4</v>
      </c>
      <c r="AB97" s="6">
        <f>IFERROR(VLOOKUP($I97,RESUMO!$A$3:$M$200,5,FALSE),"")</f>
        <v>370</v>
      </c>
      <c r="AC97" s="46">
        <f t="shared" si="43"/>
        <v>0</v>
      </c>
      <c r="AD97" s="6">
        <v>-370</v>
      </c>
      <c r="AE97" s="15">
        <v>-1.4436967193627557E-4</v>
      </c>
      <c r="AF97" s="6">
        <f>IFERROR(VLOOKUP($I97,RESUMO!$A$3:$M$200,6,FALSE),"")</f>
        <v>370</v>
      </c>
      <c r="AG97" s="46">
        <f t="shared" si="44"/>
        <v>0</v>
      </c>
      <c r="AH97" s="6">
        <v>-370</v>
      </c>
      <c r="AI97" s="15">
        <v>-1.6684016023391161E-4</v>
      </c>
      <c r="AJ97" s="6">
        <v>-370</v>
      </c>
      <c r="AK97" s="15">
        <v>-1.6472488305830263E-4</v>
      </c>
      <c r="AL97" s="6">
        <v>-370</v>
      </c>
      <c r="AM97" s="15">
        <v>-1.3749098246844461E-4</v>
      </c>
      <c r="AN97" s="6">
        <v>-370</v>
      </c>
      <c r="AO97" s="15">
        <v>-1.2418575072940826E-4</v>
      </c>
      <c r="AP97" s="6">
        <v>-370</v>
      </c>
      <c r="AQ97" s="15">
        <v>-1.2285972944241696E-4</v>
      </c>
      <c r="AR97" s="6">
        <v>-370</v>
      </c>
      <c r="AS97" s="15">
        <v>-1.3510692959184704E-4</v>
      </c>
      <c r="AT97" s="6">
        <v>-370</v>
      </c>
      <c r="AU97" s="15">
        <v>-1.5062258710267165E-4</v>
      </c>
      <c r="AW97" s="6">
        <v>-4440</v>
      </c>
      <c r="AX97" s="15">
        <v>-1.4799999999999999E-4</v>
      </c>
      <c r="AY97" s="6">
        <v>-370</v>
      </c>
    </row>
    <row r="98" spans="2:51" outlineLevel="2" x14ac:dyDescent="0.25">
      <c r="B98" s="17" t="s">
        <v>152</v>
      </c>
      <c r="C98">
        <v>1</v>
      </c>
      <c r="D98">
        <v>9</v>
      </c>
      <c r="E98" s="17" t="s">
        <v>181</v>
      </c>
      <c r="F98" s="35">
        <v>-79.55</v>
      </c>
      <c r="H98" t="s">
        <v>162</v>
      </c>
      <c r="I98" s="2" t="s">
        <v>79</v>
      </c>
      <c r="J98" s="6">
        <v>-79.55</v>
      </c>
      <c r="K98" s="37">
        <v>-3.1819999999999997E-5</v>
      </c>
      <c r="L98" s="6">
        <v>-79.55</v>
      </c>
      <c r="M98" s="15">
        <v>-3.9774999999999998E-5</v>
      </c>
      <c r="N98" s="6">
        <v>-79.55</v>
      </c>
      <c r="O98" s="15">
        <v>-4.9000676961988709E-5</v>
      </c>
      <c r="P98" s="6" t="str">
        <f>IFERROR(VLOOKUP($I98,RESUMO!$A$3:$M$200,2,FALSE),"")</f>
        <v/>
      </c>
      <c r="Q98" s="46" t="str">
        <f t="shared" si="32"/>
        <v/>
      </c>
      <c r="R98" s="6">
        <v>-79.55</v>
      </c>
      <c r="S98" s="15">
        <v>-3.5736939925078502E-5</v>
      </c>
      <c r="T98" s="6" t="str">
        <f>IFERROR(VLOOKUP($I98,RESUMO!$A$3:$M$200,3,FALSE),"")</f>
        <v/>
      </c>
      <c r="U98" s="46" t="str">
        <f t="shared" si="41"/>
        <v/>
      </c>
      <c r="V98" s="6">
        <v>-79.55</v>
      </c>
      <c r="W98" s="15">
        <v>-2.8406364864502715E-5</v>
      </c>
      <c r="X98" s="6" t="str">
        <f>IFERROR(VLOOKUP($I98,RESUMO!$A$3:$M$200,4,FALSE),"")</f>
        <v/>
      </c>
      <c r="Y98" s="46" t="str">
        <f t="shared" si="42"/>
        <v/>
      </c>
      <c r="Z98" s="6">
        <v>-79.55</v>
      </c>
      <c r="AA98" s="15">
        <v>-3.2518366611422118E-5</v>
      </c>
      <c r="AB98" s="6" t="str">
        <f>IFERROR(VLOOKUP($I98,RESUMO!$A$3:$M$200,5,FALSE),"")</f>
        <v/>
      </c>
      <c r="AC98" s="46" t="str">
        <f t="shared" si="43"/>
        <v/>
      </c>
      <c r="AD98" s="6">
        <v>-79.55</v>
      </c>
      <c r="AE98" s="15">
        <v>-3.103947946629925E-5</v>
      </c>
      <c r="AF98" s="6" t="str">
        <f>IFERROR(VLOOKUP($I98,RESUMO!$A$3:$M$200,6,FALSE),"")</f>
        <v/>
      </c>
      <c r="AG98" s="46" t="str">
        <f t="shared" si="44"/>
        <v/>
      </c>
      <c r="AH98" s="6">
        <v>-79.55</v>
      </c>
      <c r="AI98" s="15">
        <v>-3.5870634450290997E-5</v>
      </c>
      <c r="AJ98" s="6">
        <v>-79.55</v>
      </c>
      <c r="AK98" s="15">
        <v>-3.5415849857535066E-5</v>
      </c>
      <c r="AL98" s="6">
        <v>-79.55</v>
      </c>
      <c r="AM98" s="15">
        <v>-2.9560561230715593E-5</v>
      </c>
      <c r="AN98" s="6">
        <v>-79.55</v>
      </c>
      <c r="AO98" s="15">
        <v>-2.6699936406822772E-5</v>
      </c>
      <c r="AP98" s="6">
        <v>-79.55</v>
      </c>
      <c r="AQ98" s="15">
        <v>-2.6414841830119646E-5</v>
      </c>
      <c r="AR98" s="6">
        <v>-79.55</v>
      </c>
      <c r="AS98" s="15">
        <v>-2.9047989862247113E-5</v>
      </c>
      <c r="AT98" s="6">
        <v>-79.55</v>
      </c>
      <c r="AU98" s="15">
        <v>-3.2383856227074408E-5</v>
      </c>
      <c r="AW98" s="6">
        <v>-954.5999999999998</v>
      </c>
      <c r="AX98" s="15">
        <v>-3.181999999999999E-5</v>
      </c>
      <c r="AY98" s="6">
        <v>-79.549999999999983</v>
      </c>
    </row>
    <row r="99" spans="2:51" outlineLevel="2" x14ac:dyDescent="0.25">
      <c r="B99" s="17" t="s">
        <v>152</v>
      </c>
      <c r="C99">
        <v>1</v>
      </c>
      <c r="D99">
        <v>9</v>
      </c>
      <c r="E99" s="17" t="s">
        <v>181</v>
      </c>
      <c r="F99" s="35">
        <v>-1466.0444444444445</v>
      </c>
      <c r="H99" t="s">
        <v>160</v>
      </c>
      <c r="I99" s="2" t="s">
        <v>80</v>
      </c>
      <c r="J99" s="6">
        <v>-1466.0444444444445</v>
      </c>
      <c r="K99" s="37">
        <v>-5.8641777777777783E-4</v>
      </c>
      <c r="L99" s="6">
        <v>-1466.0444444444445</v>
      </c>
      <c r="M99" s="15">
        <v>-7.3302222222222223E-4</v>
      </c>
      <c r="N99" s="6">
        <v>-1466.0444444444445</v>
      </c>
      <c r="O99" s="15">
        <v>-9.0304425184337437E-4</v>
      </c>
      <c r="P99" s="6">
        <f>IFERROR(VLOOKUP($I99,RESUMO!$A$3:$M$200,2,FALSE),"")</f>
        <v>295.60000000000002</v>
      </c>
      <c r="Q99" s="46">
        <f t="shared" si="32"/>
        <v>-0.79836900503243802</v>
      </c>
      <c r="R99" s="6">
        <v>-1466.0444444444445</v>
      </c>
      <c r="S99" s="15">
        <v>-6.58603925061046E-4</v>
      </c>
      <c r="T99" s="6">
        <f>IFERROR(VLOOKUP($I99,RESUMO!$A$3:$M$200,3,FALSE),"")</f>
        <v>338.73</v>
      </c>
      <c r="U99" s="46">
        <f t="shared" si="41"/>
        <v>-0.76894970593585155</v>
      </c>
      <c r="V99" s="6">
        <v>-1466.0444444444445</v>
      </c>
      <c r="W99" s="15">
        <v>-5.2350714514727938E-4</v>
      </c>
      <c r="X99" s="6">
        <f>IFERROR(VLOOKUP($I99,RESUMO!$A$3:$M$200,4,FALSE),"")</f>
        <v>782.8</v>
      </c>
      <c r="Y99" s="46">
        <f t="shared" si="42"/>
        <v>-0.46604620141878372</v>
      </c>
      <c r="Z99" s="6">
        <v>-1466.0444444444445</v>
      </c>
      <c r="AA99" s="15">
        <v>-5.992881296427796E-4</v>
      </c>
      <c r="AB99" s="6">
        <f>IFERROR(VLOOKUP($I99,RESUMO!$A$3:$M$200,5,FALSE),"")</f>
        <v>983.5</v>
      </c>
      <c r="AC99" s="46">
        <f t="shared" si="43"/>
        <v>-0.32914721396956281</v>
      </c>
      <c r="AD99" s="6">
        <v>-1466.0444444444445</v>
      </c>
      <c r="AE99" s="15">
        <v>-5.7203339321201037E-4</v>
      </c>
      <c r="AF99" s="6">
        <f>IFERROR(VLOOKUP($I99,RESUMO!$A$3:$M$200,6,FALSE),"")</f>
        <v>140</v>
      </c>
      <c r="AG99" s="46">
        <f t="shared" si="44"/>
        <v>-0.90450494149032923</v>
      </c>
      <c r="AH99" s="6">
        <v>-1466.0444444444445</v>
      </c>
      <c r="AI99" s="15">
        <v>-6.61067810867965E-4</v>
      </c>
      <c r="AJ99" s="6">
        <v>-1466.0444444444445</v>
      </c>
      <c r="AK99" s="15">
        <v>-6.5268648559293346E-4</v>
      </c>
      <c r="AL99" s="6">
        <v>-1466.0444444444445</v>
      </c>
      <c r="AM99" s="15">
        <v>-5.4477808380830198E-4</v>
      </c>
      <c r="AN99" s="6">
        <v>-1466.0444444444445</v>
      </c>
      <c r="AO99" s="15">
        <v>-4.9205899982705836E-4</v>
      </c>
      <c r="AP99" s="6">
        <v>-1466.0444444444445</v>
      </c>
      <c r="AQ99" s="15">
        <v>-4.8680492917568358E-4</v>
      </c>
      <c r="AR99" s="6">
        <v>-1466.0444444444445</v>
      </c>
      <c r="AS99" s="15">
        <v>-5.3533179333533536E-4</v>
      </c>
      <c r="AT99" s="6">
        <v>-1466.0444444444445</v>
      </c>
      <c r="AU99" s="15">
        <v>-5.9680920818843569E-4</v>
      </c>
      <c r="AW99" s="6">
        <v>-17592.533333333329</v>
      </c>
      <c r="AX99" s="15">
        <v>-5.8641777777777761E-4</v>
      </c>
      <c r="AY99" s="6">
        <v>-1466.044444444444</v>
      </c>
    </row>
    <row r="100" spans="2:51" outlineLevel="2" x14ac:dyDescent="0.25">
      <c r="E100" s="17" t="s">
        <v>155</v>
      </c>
      <c r="F100" s="35">
        <v>-416.66666666666669</v>
      </c>
      <c r="H100" t="s">
        <v>162</v>
      </c>
      <c r="I100" s="2" t="s">
        <v>81</v>
      </c>
      <c r="J100" s="6">
        <v>-416.66666666666669</v>
      </c>
      <c r="K100" s="37">
        <v>-1.6666666666666666E-4</v>
      </c>
      <c r="L100" s="6">
        <v>-416.66666666666669</v>
      </c>
      <c r="M100" s="15">
        <v>-2.0833333333333335E-4</v>
      </c>
      <c r="N100" s="6">
        <v>-416.66666666666669</v>
      </c>
      <c r="O100" s="15">
        <v>-2.566555466268003E-4</v>
      </c>
      <c r="P100" s="6">
        <f>IFERROR(VLOOKUP($I100,RESUMO!$A$3:$M$200,2,FALSE),"")</f>
        <v>100</v>
      </c>
      <c r="Q100" s="46">
        <f t="shared" si="32"/>
        <v>-0.76</v>
      </c>
      <c r="R100" s="6">
        <v>-416.66666666666669</v>
      </c>
      <c r="S100" s="15">
        <v>-1.8718279868572442E-4</v>
      </c>
      <c r="T100" s="6">
        <f>IFERROR(VLOOKUP($I100,RESUMO!$A$3:$M$200,3,FALSE),"")</f>
        <v>100</v>
      </c>
      <c r="U100" s="46">
        <f t="shared" si="41"/>
        <v>-0.76</v>
      </c>
      <c r="V100" s="6">
        <v>-416.66666666666669</v>
      </c>
      <c r="W100" s="15">
        <v>-1.4878674242878022E-4</v>
      </c>
      <c r="X100" s="6">
        <f>IFERROR(VLOOKUP($I100,RESUMO!$A$3:$M$200,4,FALSE),"")</f>
        <v>100</v>
      </c>
      <c r="Y100" s="46">
        <f t="shared" si="42"/>
        <v>-0.76</v>
      </c>
      <c r="Z100" s="6">
        <v>-416.66666666666669</v>
      </c>
      <c r="AA100" s="15">
        <v>-1.7032456846544165E-4</v>
      </c>
      <c r="AB100" s="6">
        <f>IFERROR(VLOOKUP($I100,RESUMO!$A$3:$M$200,5,FALSE),"")</f>
        <v>100</v>
      </c>
      <c r="AC100" s="46">
        <f t="shared" si="43"/>
        <v>-0.76</v>
      </c>
      <c r="AD100" s="6">
        <v>-416.66666666666669</v>
      </c>
      <c r="AE100" s="15">
        <v>-1.6257845938769772E-4</v>
      </c>
      <c r="AF100" s="6">
        <f>IFERROR(VLOOKUP($I100,RESUMO!$A$3:$M$200,6,FALSE),"")</f>
        <v>0</v>
      </c>
      <c r="AG100" s="46">
        <f t="shared" si="44"/>
        <v>-1</v>
      </c>
      <c r="AH100" s="6">
        <v>-416.66666666666669</v>
      </c>
      <c r="AI100" s="15">
        <v>-1.8788306332647705E-4</v>
      </c>
      <c r="AJ100" s="6">
        <v>-416.66666666666669</v>
      </c>
      <c r="AK100" s="15">
        <v>-1.8550099443502549E-4</v>
      </c>
      <c r="AL100" s="6">
        <v>-416.66666666666669</v>
      </c>
      <c r="AM100" s="15">
        <v>-1.5483218746446467E-4</v>
      </c>
      <c r="AN100" s="6">
        <v>-416.66666666666669</v>
      </c>
      <c r="AO100" s="15">
        <v>-1.3984881838897327E-4</v>
      </c>
      <c r="AP100" s="6">
        <v>-416.66666666666669</v>
      </c>
      <c r="AQ100" s="15">
        <v>-1.3835555117389298E-4</v>
      </c>
      <c r="AR100" s="6">
        <v>-416.66666666666669</v>
      </c>
      <c r="AS100" s="15">
        <v>-1.5214744323406199E-4</v>
      </c>
      <c r="AT100" s="6">
        <v>-416.66666666666669</v>
      </c>
      <c r="AU100" s="15">
        <v>-1.6962003052102664E-4</v>
      </c>
      <c r="AW100" s="6">
        <v>-5000</v>
      </c>
      <c r="AX100" s="15">
        <v>-1.6666666666666666E-4</v>
      </c>
      <c r="AY100" s="6">
        <v>-416.66666666666669</v>
      </c>
    </row>
    <row r="101" spans="2:51" s="3" customFormat="1" outlineLevel="1" x14ac:dyDescent="0.25">
      <c r="B101" s="10"/>
      <c r="E101" s="10"/>
      <c r="F101" s="32"/>
      <c r="I101" s="9" t="s">
        <v>82</v>
      </c>
      <c r="J101" s="8">
        <v>-441392.11876892747</v>
      </c>
      <c r="K101" s="38">
        <v>-0.17655684750757097</v>
      </c>
      <c r="L101" s="8">
        <v>-393197.37211355462</v>
      </c>
      <c r="M101" s="13">
        <v>-0.1965986860567773</v>
      </c>
      <c r="N101" s="8">
        <v>-356901.61528127524</v>
      </c>
      <c r="O101" s="13">
        <v>-0.21984186998880884</v>
      </c>
      <c r="P101" s="8">
        <f>SUM(P102:P122)</f>
        <v>401746.29</v>
      </c>
      <c r="Q101" s="45">
        <f>(P101*-1)/N101-1</f>
        <v>0.12564996289911012</v>
      </c>
      <c r="R101" s="8">
        <v>-414980.24246541108</v>
      </c>
      <c r="S101" s="13">
        <v>-0.18642519164149476</v>
      </c>
      <c r="T101" s="8">
        <f>SUM(T102:T122)</f>
        <v>315472.20999999996</v>
      </c>
      <c r="U101" s="45">
        <f>(T101*-1)/R101-1</f>
        <v>-0.23978980752006573</v>
      </c>
      <c r="V101" s="8">
        <v>-470350.29087470745</v>
      </c>
      <c r="W101" s="13">
        <v>-0.16795653019122467</v>
      </c>
      <c r="X101" s="8">
        <f>SUM(X102:X122)</f>
        <v>387311.61</v>
      </c>
      <c r="Y101" s="45">
        <f>(X101*-1)/V101-1</f>
        <v>-0.17654646438143151</v>
      </c>
      <c r="Z101" s="8">
        <v>-436216.95079197281</v>
      </c>
      <c r="AA101" s="13">
        <v>-0.17831631336228854</v>
      </c>
      <c r="AB101" s="8">
        <f>SUM(AB102:AB122)</f>
        <v>375329.97</v>
      </c>
      <c r="AC101" s="45">
        <f>(AB101*-1)/Z101-1</f>
        <v>-0.13957958461134901</v>
      </c>
      <c r="AD101" s="8">
        <v>-447451.65810847498</v>
      </c>
      <c r="AE101" s="13">
        <v>-0.17459040294179209</v>
      </c>
      <c r="AF101" s="8">
        <f>SUM(AF102:AF122)</f>
        <v>110876.47</v>
      </c>
      <c r="AG101" s="45">
        <f>(AF101*-1)/AD101-1</f>
        <v>-0.75220458346559438</v>
      </c>
      <c r="AH101" s="8">
        <v>-414180.54248696455</v>
      </c>
      <c r="AI101" s="13">
        <v>-0.18676202182241514</v>
      </c>
      <c r="AJ101" s="8">
        <v>-416925.52067911916</v>
      </c>
      <c r="AK101" s="13">
        <v>-0.18561623685916173</v>
      </c>
      <c r="AL101" s="8">
        <v>-459810.76079319342</v>
      </c>
      <c r="AM101" s="13">
        <v>-0.17086441419194362</v>
      </c>
      <c r="AN101" s="8">
        <v>-487601.99806839984</v>
      </c>
      <c r="AO101" s="13">
        <v>-0.16365735185752353</v>
      </c>
      <c r="AP101" s="8">
        <v>-490701.56197985844</v>
      </c>
      <c r="AQ101" s="13">
        <v>-0.16293908416707245</v>
      </c>
      <c r="AR101" s="8">
        <v>-464387.91416624631</v>
      </c>
      <c r="AS101" s="13">
        <v>-0.16957304114206417</v>
      </c>
      <c r="AT101" s="8">
        <v>-437196.36953150557</v>
      </c>
      <c r="AU101" s="13">
        <v>-0.17797742770467845</v>
      </c>
      <c r="AV101" s="16"/>
      <c r="AW101" s="8">
        <v>-5296705.4252271289</v>
      </c>
      <c r="AX101" s="13">
        <v>-0.17655684750757097</v>
      </c>
      <c r="AY101" s="8">
        <v>-441392.11876892741</v>
      </c>
    </row>
    <row r="102" spans="2:51" outlineLevel="2" x14ac:dyDescent="0.25">
      <c r="B102" s="17" t="s">
        <v>152</v>
      </c>
      <c r="C102">
        <v>7</v>
      </c>
      <c r="D102">
        <v>9</v>
      </c>
      <c r="E102" s="17" t="s">
        <v>184</v>
      </c>
      <c r="F102" s="35">
        <v>-3751.0733333333333</v>
      </c>
      <c r="H102" t="s">
        <v>160</v>
      </c>
      <c r="I102" s="2" t="s">
        <v>83</v>
      </c>
      <c r="J102" s="6">
        <v>-3751.0733333333333</v>
      </c>
      <c r="K102" s="37">
        <v>-1.5004293333333333E-3</v>
      </c>
      <c r="L102" s="6">
        <v>-3751.0733333333333</v>
      </c>
      <c r="M102" s="15">
        <v>-1.8755366666666667E-3</v>
      </c>
      <c r="N102" s="6">
        <v>-3751.0733333333333</v>
      </c>
      <c r="O102" s="15">
        <v>-2.3105610643293132E-3</v>
      </c>
      <c r="P102" s="6">
        <f>IFERROR(VLOOKUP($I102,RESUMO!$A$3:$M$200,2,FALSE),"")</f>
        <v>1955</v>
      </c>
      <c r="Q102" s="46">
        <f t="shared" si="32"/>
        <v>-0.47881584115479836</v>
      </c>
      <c r="R102" s="6">
        <v>-3751.0733333333333</v>
      </c>
      <c r="S102" s="15">
        <v>-1.6851273710609342E-3</v>
      </c>
      <c r="T102" s="6">
        <f>IFERROR(VLOOKUP($I102,RESUMO!$A$3:$M$200,3,FALSE),"")</f>
        <v>2415</v>
      </c>
      <c r="U102" s="46">
        <f t="shared" ref="U102:U122" si="45">IFERROR((T102*-1)/R102-1,"")</f>
        <v>-0.35618427436769207</v>
      </c>
      <c r="V102" s="6">
        <v>-3751.0733333333333</v>
      </c>
      <c r="W102" s="15">
        <v>-1.3394639565075183E-3</v>
      </c>
      <c r="X102" s="6">
        <f>IFERROR(VLOOKUP($I102,RESUMO!$A$3:$M$200,4,FALSE),"")</f>
        <v>3042.48</v>
      </c>
      <c r="Y102" s="46">
        <f t="shared" ref="Y102:Y122" si="46">IFERROR((X102*-1)/V102-1,"")</f>
        <v>-0.18890415365557589</v>
      </c>
      <c r="Z102" s="6">
        <v>-3751.0733333333333</v>
      </c>
      <c r="AA102" s="15">
        <v>-1.5333598722773417E-3</v>
      </c>
      <c r="AB102" s="6">
        <f>IFERROR(VLOOKUP($I102,RESUMO!$A$3:$M$200,5,FALSE),"")</f>
        <v>86</v>
      </c>
      <c r="AC102" s="46">
        <f t="shared" ref="AC102:AC122" si="47">IFERROR((AB102*-1)/Z102-1,"")</f>
        <v>-0.97707322881806269</v>
      </c>
      <c r="AD102" s="6">
        <v>-3751.0733333333333</v>
      </c>
      <c r="AE102" s="15">
        <v>-1.463624936600662E-3</v>
      </c>
      <c r="AF102" s="6">
        <f>IFERROR(VLOOKUP($I102,RESUMO!$A$3:$M$200,6,FALSE),"")</f>
        <v>0</v>
      </c>
      <c r="AG102" s="46">
        <f t="shared" ref="AG102:AG122" si="48">IFERROR((AF102*-1)/AD102-1,"")</f>
        <v>-1</v>
      </c>
      <c r="AH102" s="6">
        <v>-3751.0733333333333</v>
      </c>
      <c r="AI102" s="15">
        <v>-1.6914315567094225E-3</v>
      </c>
      <c r="AJ102" s="6">
        <v>-3751.0733333333333</v>
      </c>
      <c r="AK102" s="15">
        <v>-1.669986800476894E-3</v>
      </c>
      <c r="AL102" s="6">
        <v>-3751.0733333333333</v>
      </c>
      <c r="AM102" s="15">
        <v>-1.3938885348950903E-3</v>
      </c>
      <c r="AN102" s="6">
        <v>-3751.0733333333333</v>
      </c>
      <c r="AO102" s="15">
        <v>-1.2589996160569292E-3</v>
      </c>
      <c r="AP102" s="6">
        <v>-3751.0733333333333</v>
      </c>
      <c r="AQ102" s="15">
        <v>-1.2455563644648607E-3</v>
      </c>
      <c r="AR102" s="6">
        <v>-3751.0733333333333</v>
      </c>
      <c r="AS102" s="15">
        <v>-1.3697189209203287E-3</v>
      </c>
      <c r="AT102" s="6">
        <v>-3751.0733333333333</v>
      </c>
      <c r="AU102" s="15">
        <v>-1.5270172158878619E-3</v>
      </c>
      <c r="AW102" s="6">
        <v>-45012.88</v>
      </c>
      <c r="AX102" s="15">
        <v>-1.5004293333333333E-3</v>
      </c>
      <c r="AY102" s="6">
        <v>-3751.0733333333333</v>
      </c>
    </row>
    <row r="103" spans="2:51" outlineLevel="2" x14ac:dyDescent="0.25">
      <c r="E103" s="17" t="s">
        <v>155</v>
      </c>
      <c r="F103" s="42">
        <v>-2.5999999999999999E-2</v>
      </c>
      <c r="H103" t="s">
        <v>160</v>
      </c>
      <c r="I103" s="2" t="s">
        <v>84</v>
      </c>
      <c r="J103" s="6">
        <v>-65000</v>
      </c>
      <c r="K103" s="37">
        <v>-2.5999999999999999E-2</v>
      </c>
      <c r="L103" s="6">
        <v>-52000</v>
      </c>
      <c r="M103" s="15">
        <v>-2.5999999999999999E-2</v>
      </c>
      <c r="N103" s="6">
        <v>-42209.620932470832</v>
      </c>
      <c r="O103" s="15">
        <v>-2.5999999999999999E-2</v>
      </c>
      <c r="P103" s="6">
        <f>IFERROR(VLOOKUP($I103,RESUMO!$A$3:$M$200,2,FALSE),"")</f>
        <v>41074.299999999996</v>
      </c>
      <c r="Q103" s="46">
        <f t="shared" si="32"/>
        <v>-2.6897207494167796E-2</v>
      </c>
      <c r="R103" s="6">
        <v>-57875.688414736484</v>
      </c>
      <c r="S103" s="15">
        <v>-2.5999999999999999E-2</v>
      </c>
      <c r="T103" s="6">
        <f>IFERROR(VLOOKUP($I103,RESUMO!$A$3:$M$200,3,FALSE),"")</f>
        <v>47569.919999999998</v>
      </c>
      <c r="U103" s="46">
        <f t="shared" si="45"/>
        <v>-0.17806731456713698</v>
      </c>
      <c r="V103" s="6">
        <v>-72811.146722423393</v>
      </c>
      <c r="W103" s="15">
        <v>-2.5999999999999999E-2</v>
      </c>
      <c r="X103" s="6">
        <f>IFERROR(VLOOKUP($I103,RESUMO!$A$3:$M$200,4,FALSE),"")</f>
        <v>69230.98000000001</v>
      </c>
      <c r="Y103" s="46">
        <f t="shared" si="46"/>
        <v>-4.9170585598273697E-2</v>
      </c>
      <c r="Z103" s="6">
        <v>-63604.055662300911</v>
      </c>
      <c r="AA103" s="15">
        <v>-2.5999999999999999E-2</v>
      </c>
      <c r="AB103" s="6">
        <f>IFERROR(VLOOKUP($I103,RESUMO!$A$3:$M$200,5,FALSE),"")</f>
        <v>55687.07</v>
      </c>
      <c r="AC103" s="46">
        <f t="shared" si="47"/>
        <v>-0.12447296921339923</v>
      </c>
      <c r="AD103" s="6">
        <v>-66634.493733879543</v>
      </c>
      <c r="AE103" s="15">
        <v>-2.5999999999999999E-2</v>
      </c>
      <c r="AF103" s="6">
        <f>IFERROR(VLOOKUP($I103,RESUMO!$A$3:$M$200,6,FALSE),"")</f>
        <v>22391.71</v>
      </c>
      <c r="AG103" s="46">
        <f t="shared" si="48"/>
        <v>-0.66396218016712871</v>
      </c>
      <c r="AH103" s="6">
        <v>-57659.978188181194</v>
      </c>
      <c r="AI103" s="15">
        <v>-2.5999999999999999E-2</v>
      </c>
      <c r="AJ103" s="6">
        <v>-58400.40570309649</v>
      </c>
      <c r="AK103" s="15">
        <v>-2.5999999999999999E-2</v>
      </c>
      <c r="AL103" s="6">
        <v>-69968.225023105595</v>
      </c>
      <c r="AM103" s="15">
        <v>-2.5999999999999999E-2</v>
      </c>
      <c r="AN103" s="6">
        <v>-77464.603978287996</v>
      </c>
      <c r="AO103" s="15">
        <v>-2.5999999999999999E-2</v>
      </c>
      <c r="AP103" s="6">
        <v>-78300.677070176927</v>
      </c>
      <c r="AQ103" s="15">
        <v>-2.5999999999999995E-2</v>
      </c>
      <c r="AR103" s="6">
        <v>-71202.861533909905</v>
      </c>
      <c r="AS103" s="15">
        <v>-2.5999999999999999E-2</v>
      </c>
      <c r="AT103" s="6">
        <v>-63868.243037430642</v>
      </c>
      <c r="AU103" s="15">
        <v>-2.5999999999999999E-2</v>
      </c>
      <c r="AW103" s="6">
        <v>-779999.99999999988</v>
      </c>
      <c r="AX103" s="15">
        <v>-2.5999999999999995E-2</v>
      </c>
      <c r="AY103" s="6">
        <v>-64999.999999999993</v>
      </c>
    </row>
    <row r="104" spans="2:51" outlineLevel="2" x14ac:dyDescent="0.25">
      <c r="B104" s="17" t="s">
        <v>152</v>
      </c>
      <c r="C104">
        <v>7</v>
      </c>
      <c r="D104">
        <v>9</v>
      </c>
      <c r="E104" s="17" t="s">
        <v>184</v>
      </c>
      <c r="F104" s="35">
        <v>-10745.78</v>
      </c>
      <c r="H104" t="s">
        <v>160</v>
      </c>
      <c r="I104" s="2" t="s">
        <v>85</v>
      </c>
      <c r="J104" s="6">
        <v>-10745.78</v>
      </c>
      <c r="K104" s="37">
        <v>-4.2983120000000003E-3</v>
      </c>
      <c r="L104" s="6">
        <v>-10745.78</v>
      </c>
      <c r="M104" s="15">
        <v>-5.37289E-3</v>
      </c>
      <c r="N104" s="6">
        <v>-10745.78</v>
      </c>
      <c r="O104" s="15">
        <v>-6.6191136955952119E-3</v>
      </c>
      <c r="P104" s="6">
        <f>IFERROR(VLOOKUP($I104,RESUMO!$A$3:$M$200,2,FALSE),"")</f>
        <v>4450.1000000000004</v>
      </c>
      <c r="Q104" s="46">
        <f t="shared" si="32"/>
        <v>-0.58587464102187092</v>
      </c>
      <c r="R104" s="6">
        <v>-10745.78</v>
      </c>
      <c r="S104" s="15">
        <v>-4.8274204187066013E-3</v>
      </c>
      <c r="T104" s="6">
        <f>IFERROR(VLOOKUP($I104,RESUMO!$A$3:$M$200,3,FALSE),"")</f>
        <v>10141.98</v>
      </c>
      <c r="U104" s="46">
        <f t="shared" si="45"/>
        <v>-5.6189499505852614E-2</v>
      </c>
      <c r="V104" s="6">
        <v>-10745.78</v>
      </c>
      <c r="W104" s="15">
        <v>-3.8371910425352108E-3</v>
      </c>
      <c r="X104" s="6">
        <f>IFERROR(VLOOKUP($I104,RESUMO!$A$3:$M$200,4,FALSE),"")</f>
        <v>9958.6499999999978</v>
      </c>
      <c r="Y104" s="46">
        <f t="shared" si="46"/>
        <v>-7.3250150291556571E-2</v>
      </c>
      <c r="Z104" s="6">
        <v>-10745.78</v>
      </c>
      <c r="AA104" s="15">
        <v>-4.3926488191789771E-3</v>
      </c>
      <c r="AB104" s="6">
        <f>IFERROR(VLOOKUP($I104,RESUMO!$A$3:$M$200,5,FALSE),"")</f>
        <v>9830.0999999999967</v>
      </c>
      <c r="AC104" s="46">
        <f t="shared" si="47"/>
        <v>-8.5212985934944085E-2</v>
      </c>
      <c r="AD104" s="6">
        <v>-10745.78</v>
      </c>
      <c r="AE104" s="15">
        <v>-4.192877657565923E-3</v>
      </c>
      <c r="AF104" s="6">
        <f>IFERROR(VLOOKUP($I104,RESUMO!$A$3:$M$200,6,FALSE),"")</f>
        <v>0</v>
      </c>
      <c r="AG104" s="46">
        <f t="shared" si="48"/>
        <v>-1</v>
      </c>
      <c r="AH104" s="6">
        <v>-10745.78</v>
      </c>
      <c r="AI104" s="15">
        <v>-4.8454801541577379E-3</v>
      </c>
      <c r="AJ104" s="6">
        <v>-10745.78</v>
      </c>
      <c r="AK104" s="15">
        <v>-4.7840469023520196E-3</v>
      </c>
      <c r="AL104" s="6">
        <v>-10745.78</v>
      </c>
      <c r="AM104" s="15">
        <v>-3.9931022961885486E-3</v>
      </c>
      <c r="AN104" s="6">
        <v>-10745.78</v>
      </c>
      <c r="AO104" s="15">
        <v>-3.6066831256028669E-3</v>
      </c>
      <c r="AP104" s="6">
        <v>-10745.78</v>
      </c>
      <c r="AQ104" s="15">
        <v>-3.5681719552641497E-3</v>
      </c>
      <c r="AR104" s="6">
        <v>-10745.78</v>
      </c>
      <c r="AS104" s="15">
        <v>-3.9238630861337248E-3</v>
      </c>
      <c r="AT104" s="6">
        <v>-10745.78</v>
      </c>
      <c r="AU104" s="15">
        <v>-4.3744788757733707E-3</v>
      </c>
      <c r="AW104" s="6">
        <v>-128949.36</v>
      </c>
      <c r="AX104" s="15">
        <v>-4.2983120000000003E-3</v>
      </c>
      <c r="AY104" s="6">
        <v>-10745.78</v>
      </c>
    </row>
    <row r="105" spans="2:51" outlineLevel="2" x14ac:dyDescent="0.25">
      <c r="E105" s="17" t="s">
        <v>155</v>
      </c>
      <c r="F105" s="35">
        <v>-20000</v>
      </c>
      <c r="H105" t="s">
        <v>160</v>
      </c>
      <c r="I105" s="2" t="s">
        <v>86</v>
      </c>
      <c r="J105" s="6">
        <v>-20000</v>
      </c>
      <c r="K105" s="37">
        <v>-8.0000000000000002E-3</v>
      </c>
      <c r="L105" s="6">
        <v>-20000</v>
      </c>
      <c r="M105" s="15">
        <v>-0.01</v>
      </c>
      <c r="N105" s="6">
        <v>-20000</v>
      </c>
      <c r="O105" s="15">
        <v>-1.2319466238086415E-2</v>
      </c>
      <c r="P105" s="6">
        <f>IFERROR(VLOOKUP($I105,RESUMO!$A$3:$M$200,2,FALSE),"")</f>
        <v>4296.6099999999997</v>
      </c>
      <c r="Q105" s="46">
        <f t="shared" si="32"/>
        <v>-0.78516950000000008</v>
      </c>
      <c r="R105" s="6">
        <v>-20000</v>
      </c>
      <c r="S105" s="15">
        <v>-8.984774336914773E-3</v>
      </c>
      <c r="T105" s="6">
        <f>IFERROR(VLOOKUP($I105,RESUMO!$A$3:$M$200,3,FALSE),"")</f>
        <v>4296.6099999999997</v>
      </c>
      <c r="U105" s="46">
        <f t="shared" si="45"/>
        <v>-0.78516950000000008</v>
      </c>
      <c r="V105" s="6">
        <v>-20000</v>
      </c>
      <c r="W105" s="15">
        <v>-7.1417636365814496E-3</v>
      </c>
      <c r="X105" s="6">
        <f>IFERROR(VLOOKUP($I105,RESUMO!$A$3:$M$200,4,FALSE),"")</f>
        <v>4296.6099999999997</v>
      </c>
      <c r="Y105" s="46">
        <f t="shared" si="46"/>
        <v>-0.78516950000000008</v>
      </c>
      <c r="Z105" s="6">
        <v>-20000</v>
      </c>
      <c r="AA105" s="15">
        <v>-8.1755792863411995E-3</v>
      </c>
      <c r="AB105" s="6">
        <f>IFERROR(VLOOKUP($I105,RESUMO!$A$3:$M$200,5,FALSE),"")</f>
        <v>4296.6099999999997</v>
      </c>
      <c r="AC105" s="46">
        <f t="shared" si="47"/>
        <v>-0.78516950000000008</v>
      </c>
      <c r="AD105" s="6">
        <v>-20000</v>
      </c>
      <c r="AE105" s="15">
        <v>-7.8037660506094899E-3</v>
      </c>
      <c r="AF105" s="6">
        <f>IFERROR(VLOOKUP($I105,RESUMO!$A$3:$M$200,6,FALSE),"")</f>
        <v>194.45</v>
      </c>
      <c r="AG105" s="46">
        <f t="shared" si="48"/>
        <v>-0.99027750000000003</v>
      </c>
      <c r="AH105" s="6">
        <v>-20000</v>
      </c>
      <c r="AI105" s="15">
        <v>-9.0183870396708977E-3</v>
      </c>
      <c r="AJ105" s="6">
        <v>-20000</v>
      </c>
      <c r="AK105" s="15">
        <v>-8.9040477328812227E-3</v>
      </c>
      <c r="AL105" s="6">
        <v>-20000</v>
      </c>
      <c r="AM105" s="15">
        <v>-7.4319449982943033E-3</v>
      </c>
      <c r="AN105" s="6">
        <v>-20000</v>
      </c>
      <c r="AO105" s="15">
        <v>-6.712743282670716E-3</v>
      </c>
      <c r="AP105" s="6">
        <v>-20000</v>
      </c>
      <c r="AQ105" s="15">
        <v>-6.6410664563468624E-3</v>
      </c>
      <c r="AR105" s="6">
        <v>-20000</v>
      </c>
      <c r="AS105" s="15">
        <v>-7.3030772752349753E-3</v>
      </c>
      <c r="AT105" s="6">
        <v>-20000</v>
      </c>
      <c r="AU105" s="15">
        <v>-8.1417614650092784E-3</v>
      </c>
      <c r="AW105" s="6">
        <v>-240000</v>
      </c>
      <c r="AX105" s="15">
        <v>-8.0000000000000002E-3</v>
      </c>
      <c r="AY105" s="6">
        <v>-20000</v>
      </c>
    </row>
    <row r="106" spans="2:51" outlineLevel="2" x14ac:dyDescent="0.25">
      <c r="B106" s="17" t="s">
        <v>152</v>
      </c>
      <c r="C106">
        <v>1</v>
      </c>
      <c r="D106">
        <v>9</v>
      </c>
      <c r="E106" s="17" t="s">
        <v>181</v>
      </c>
      <c r="F106" s="35">
        <v>-671.85857142857151</v>
      </c>
      <c r="H106" t="s">
        <v>160</v>
      </c>
      <c r="I106" s="2" t="s">
        <v>87</v>
      </c>
      <c r="J106" s="6">
        <v>-671.85857142857151</v>
      </c>
      <c r="K106" s="37">
        <v>-2.6874342857142862E-4</v>
      </c>
      <c r="L106" s="6">
        <v>-671.85857142857151</v>
      </c>
      <c r="M106" s="15">
        <v>-3.3592928571428573E-4</v>
      </c>
      <c r="N106" s="6">
        <v>-671.85857142857151</v>
      </c>
      <c r="O106" s="15">
        <v>-4.1384694937416283E-4</v>
      </c>
      <c r="P106" s="6">
        <f>IFERROR(VLOOKUP($I106,RESUMO!$A$3:$M$200,2,FALSE),"")</f>
        <v>260.32</v>
      </c>
      <c r="Q106" s="46">
        <f t="shared" si="32"/>
        <v>-0.61253750257813611</v>
      </c>
      <c r="R106" s="6">
        <v>-671.85857142857151</v>
      </c>
      <c r="S106" s="15">
        <v>-3.018248825303825E-4</v>
      </c>
      <c r="T106" s="6">
        <f>IFERROR(VLOOKUP($I106,RESUMO!$A$3:$M$200,3,FALSE),"")</f>
        <v>260.32</v>
      </c>
      <c r="U106" s="46">
        <f t="shared" si="45"/>
        <v>-0.61253750257813611</v>
      </c>
      <c r="V106" s="6">
        <v>-671.85857142857151</v>
      </c>
      <c r="W106" s="15">
        <v>-2.3991275571770662E-4</v>
      </c>
      <c r="X106" s="6">
        <f>IFERROR(VLOOKUP($I106,RESUMO!$A$3:$M$200,4,FALSE),"")</f>
        <v>1564.33</v>
      </c>
      <c r="Y106" s="46">
        <f t="shared" si="46"/>
        <v>1.3283620489856491</v>
      </c>
      <c r="Z106" s="6">
        <v>-671.85857142857151</v>
      </c>
      <c r="AA106" s="15">
        <v>-2.7464165099611092E-4</v>
      </c>
      <c r="AB106" s="6">
        <f>IFERROR(VLOOKUP($I106,RESUMO!$A$3:$M$200,5,FALSE),"")</f>
        <v>1766.8200000000004</v>
      </c>
      <c r="AC106" s="46">
        <f t="shared" si="47"/>
        <v>1.6297498835851938</v>
      </c>
      <c r="AD106" s="6">
        <v>-671.85857142857151</v>
      </c>
      <c r="AE106" s="15">
        <v>-2.6215135552626388E-4</v>
      </c>
      <c r="AF106" s="6">
        <f>IFERROR(VLOOKUP($I106,RESUMO!$A$3:$M$200,6,FALSE),"")</f>
        <v>312.38</v>
      </c>
      <c r="AG106" s="46">
        <f t="shared" si="48"/>
        <v>-0.53505095672771275</v>
      </c>
      <c r="AH106" s="6">
        <v>-671.85857142857151</v>
      </c>
      <c r="AI106" s="15">
        <v>-3.0295403165316167E-4</v>
      </c>
      <c r="AJ106" s="6">
        <v>-671.85857142857151</v>
      </c>
      <c r="AK106" s="15">
        <v>-2.9911303948726951E-4</v>
      </c>
      <c r="AL106" s="6">
        <v>-671.85857142857151</v>
      </c>
      <c r="AM106" s="15">
        <v>-2.4966079747448642E-4</v>
      </c>
      <c r="AN106" s="6">
        <v>-671.85857142857151</v>
      </c>
      <c r="AO106" s="15">
        <v>-2.2550070561309435E-4</v>
      </c>
      <c r="AP106" s="6">
        <v>-671.85857142857151</v>
      </c>
      <c r="AQ106" s="15">
        <v>-2.2309287110617044E-4</v>
      </c>
      <c r="AR106" s="6">
        <v>-671.85857142857151</v>
      </c>
      <c r="AS106" s="15">
        <v>-2.4533175325859173E-4</v>
      </c>
      <c r="AT106" s="6">
        <v>-671.85857142857151</v>
      </c>
      <c r="AU106" s="15">
        <v>-2.7350561133966639E-4</v>
      </c>
      <c r="AW106" s="6">
        <v>-8062.3028571428595</v>
      </c>
      <c r="AX106" s="15">
        <v>-2.6874342857142867E-4</v>
      </c>
      <c r="AY106" s="6">
        <v>-671.85857142857162</v>
      </c>
    </row>
    <row r="107" spans="2:51" outlineLevel="2" x14ac:dyDescent="0.25">
      <c r="B107" s="17" t="s">
        <v>152</v>
      </c>
      <c r="C107">
        <v>1</v>
      </c>
      <c r="D107">
        <v>9</v>
      </c>
      <c r="E107" s="17" t="s">
        <v>181</v>
      </c>
      <c r="F107" s="35">
        <v>-15910.96777777778</v>
      </c>
      <c r="H107" t="s">
        <v>160</v>
      </c>
      <c r="I107" s="2" t="s">
        <v>88</v>
      </c>
      <c r="J107" s="6">
        <v>-15910.96777777778</v>
      </c>
      <c r="K107" s="37">
        <v>-6.3643871111111116E-3</v>
      </c>
      <c r="L107" s="6">
        <v>-15910.96777777778</v>
      </c>
      <c r="M107" s="15">
        <v>-7.9554838888888906E-3</v>
      </c>
      <c r="N107" s="6">
        <v>-15910.96777777778</v>
      </c>
      <c r="O107" s="15">
        <v>-9.8007315176807091E-3</v>
      </c>
      <c r="P107" s="6">
        <f>IFERROR(VLOOKUP($I107,RESUMO!$A$3:$M$200,2,FALSE),"")</f>
        <v>11187.73</v>
      </c>
      <c r="Q107" s="46">
        <f t="shared" si="32"/>
        <v>-0.29685421048834881</v>
      </c>
      <c r="R107" s="6">
        <v>-15910.96777777778</v>
      </c>
      <c r="S107" s="15">
        <v>-7.1478227482627832E-3</v>
      </c>
      <c r="T107" s="6">
        <f>IFERROR(VLOOKUP($I107,RESUMO!$A$3:$M$200,3,FALSE),"")</f>
        <v>18270.349999999999</v>
      </c>
      <c r="U107" s="46">
        <f t="shared" si="45"/>
        <v>0.14828653135213266</v>
      </c>
      <c r="V107" s="6">
        <v>-15910.96777777778</v>
      </c>
      <c r="W107" s="15">
        <v>-5.6816185549076253E-3</v>
      </c>
      <c r="X107" s="6">
        <f>IFERROR(VLOOKUP($I107,RESUMO!$A$3:$M$200,4,FALSE),"")</f>
        <v>22028.71</v>
      </c>
      <c r="Y107" s="46">
        <f t="shared" si="46"/>
        <v>0.38449843577501475</v>
      </c>
      <c r="Z107" s="6">
        <v>-15910.96777777778</v>
      </c>
      <c r="AA107" s="15">
        <v>-6.5040689294821137E-3</v>
      </c>
      <c r="AB107" s="6">
        <f>IFERROR(VLOOKUP($I107,RESUMO!$A$3:$M$200,5,FALSE),"")</f>
        <v>9004.65</v>
      </c>
      <c r="AC107" s="46">
        <f t="shared" si="47"/>
        <v>-0.434060195095333</v>
      </c>
      <c r="AD107" s="6">
        <v>-15910.96777777778</v>
      </c>
      <c r="AE107" s="15">
        <v>-6.2082735088281882E-3</v>
      </c>
      <c r="AF107" s="6">
        <f>IFERROR(VLOOKUP($I107,RESUMO!$A$3:$M$200,6,FALSE),"")</f>
        <v>590.79999999999995</v>
      </c>
      <c r="AG107" s="46">
        <f t="shared" si="48"/>
        <v>-0.96286838058806534</v>
      </c>
      <c r="AH107" s="6">
        <v>-15910.96777777778</v>
      </c>
      <c r="AI107" s="15">
        <v>-7.1745632797866202E-3</v>
      </c>
      <c r="AJ107" s="6">
        <v>-15910.96777777778</v>
      </c>
      <c r="AK107" s="15">
        <v>-7.0836008284834223E-3</v>
      </c>
      <c r="AL107" s="6">
        <v>-15910.96777777778</v>
      </c>
      <c r="AM107" s="15">
        <v>-5.9124718697038704E-3</v>
      </c>
      <c r="AN107" s="6">
        <v>-15910.96777777778</v>
      </c>
      <c r="AO107" s="15">
        <v>-5.3403121035534001E-3</v>
      </c>
      <c r="AP107" s="6">
        <v>-15910.96777777778</v>
      </c>
      <c r="AQ107" s="15">
        <v>-5.2832897198507901E-3</v>
      </c>
      <c r="AR107" s="6">
        <v>-15910.96777777778</v>
      </c>
      <c r="AS107" s="15">
        <v>-5.8099513602442414E-3</v>
      </c>
      <c r="AT107" s="6">
        <v>-15910.96777777778</v>
      </c>
      <c r="AU107" s="15">
        <v>-6.477165216205772E-3</v>
      </c>
      <c r="AW107" s="6">
        <v>-190931.61333333337</v>
      </c>
      <c r="AX107" s="15">
        <v>-6.3643871111111125E-3</v>
      </c>
      <c r="AY107" s="6">
        <v>-15910.967777777782</v>
      </c>
    </row>
    <row r="108" spans="2:51" outlineLevel="2" x14ac:dyDescent="0.25">
      <c r="B108" s="17" t="s">
        <v>152</v>
      </c>
      <c r="C108">
        <v>1</v>
      </c>
      <c r="D108">
        <v>9</v>
      </c>
      <c r="E108" s="17" t="s">
        <v>181</v>
      </c>
      <c r="F108" s="35">
        <v>-1603.1571428571428</v>
      </c>
      <c r="H108" t="s">
        <v>160</v>
      </c>
      <c r="I108" s="2" t="s">
        <v>89</v>
      </c>
      <c r="J108" s="6">
        <v>-1603.1571428571428</v>
      </c>
      <c r="K108" s="37">
        <v>-6.412628571428571E-4</v>
      </c>
      <c r="L108" s="6">
        <v>-1603.1571428571428</v>
      </c>
      <c r="M108" s="15">
        <v>-8.015785714285714E-4</v>
      </c>
      <c r="N108" s="6">
        <v>-1603.1571428571428</v>
      </c>
      <c r="O108" s="15">
        <v>-9.8750201478878252E-4</v>
      </c>
      <c r="P108" s="6">
        <f>IFERROR(VLOOKUP($I108,RESUMO!$A$3:$M$200,2,FALSE),"")</f>
        <v>0</v>
      </c>
      <c r="Q108" s="46">
        <f t="shared" si="32"/>
        <v>-1</v>
      </c>
      <c r="R108" s="6">
        <v>-1603.1571428571428</v>
      </c>
      <c r="S108" s="15">
        <v>-7.202002577592233E-4</v>
      </c>
      <c r="T108" s="6">
        <f>IFERROR(VLOOKUP($I108,RESUMO!$A$3:$M$200,3,FALSE),"")</f>
        <v>2334.16</v>
      </c>
      <c r="U108" s="46">
        <f t="shared" si="45"/>
        <v>0.45597704529455263</v>
      </c>
      <c r="V108" s="6">
        <v>-1603.1571428571428</v>
      </c>
      <c r="W108" s="15">
        <v>-5.7246846932914772E-4</v>
      </c>
      <c r="X108" s="6">
        <f>IFERROR(VLOOKUP($I108,RESUMO!$A$3:$M$200,4,FALSE),"")</f>
        <v>709</v>
      </c>
      <c r="Y108" s="46">
        <f t="shared" si="46"/>
        <v>-0.55774765863786635</v>
      </c>
      <c r="Z108" s="6">
        <v>-1603.1571428571428</v>
      </c>
      <c r="AA108" s="15">
        <v>-6.553369164946398E-4</v>
      </c>
      <c r="AB108" s="6">
        <f>IFERROR(VLOOKUP($I108,RESUMO!$A$3:$M$200,5,FALSE),"")</f>
        <v>0</v>
      </c>
      <c r="AC108" s="46">
        <f t="shared" si="47"/>
        <v>-1</v>
      </c>
      <c r="AD108" s="6">
        <v>-1603.1571428571428</v>
      </c>
      <c r="AE108" s="15">
        <v>-6.2553316426103398E-4</v>
      </c>
      <c r="AF108" s="6">
        <f>IFERROR(VLOOKUP($I108,RESUMO!$A$3:$M$200,6,FALSE),"")</f>
        <v>0</v>
      </c>
      <c r="AG108" s="46">
        <f t="shared" si="48"/>
        <v>-1</v>
      </c>
      <c r="AH108" s="6">
        <v>-1603.1571428571428</v>
      </c>
      <c r="AI108" s="15">
        <v>-7.2289457998493418E-4</v>
      </c>
      <c r="AJ108" s="6">
        <v>-1603.1571428571428</v>
      </c>
      <c r="AK108" s="15">
        <v>-7.1372938616547413E-4</v>
      </c>
      <c r="AL108" s="6">
        <v>-1603.1571428571428</v>
      </c>
      <c r="AM108" s="15">
        <v>-5.9572878546684642E-4</v>
      </c>
      <c r="AN108" s="6">
        <v>-1603.1571428571428</v>
      </c>
      <c r="AO108" s="15">
        <v>-5.3807911708899313E-4</v>
      </c>
      <c r="AP108" s="6">
        <v>-1603.1571428571428</v>
      </c>
      <c r="AQ108" s="15">
        <v>-5.3233365628407229E-4</v>
      </c>
      <c r="AR108" s="6">
        <v>-1603.1571428571428</v>
      </c>
      <c r="AS108" s="15">
        <v>-5.8539902493153157E-4</v>
      </c>
      <c r="AT108" s="6">
        <v>-1603.1571428571428</v>
      </c>
      <c r="AU108" s="15">
        <v>-6.5262615240343309E-4</v>
      </c>
      <c r="AW108" s="6">
        <v>-19237.885714285712</v>
      </c>
      <c r="AX108" s="15">
        <v>-6.412628571428571E-4</v>
      </c>
      <c r="AY108" s="6">
        <v>-1603.1571428571426</v>
      </c>
    </row>
    <row r="109" spans="2:51" outlineLevel="2" x14ac:dyDescent="0.25">
      <c r="B109" s="17" t="s">
        <v>152</v>
      </c>
      <c r="C109">
        <v>7</v>
      </c>
      <c r="D109">
        <v>9</v>
      </c>
      <c r="E109" s="17" t="s">
        <v>184</v>
      </c>
      <c r="F109" s="35">
        <v>-19011.833333333332</v>
      </c>
      <c r="H109" t="s">
        <v>160</v>
      </c>
      <c r="I109" s="2" t="s">
        <v>90</v>
      </c>
      <c r="J109" s="6">
        <v>-19011.833333333332</v>
      </c>
      <c r="K109" s="37">
        <v>-7.604733333333333E-3</v>
      </c>
      <c r="L109" s="6">
        <v>-19011.833333333332</v>
      </c>
      <c r="M109" s="15">
        <v>-9.505916666666666E-3</v>
      </c>
      <c r="N109" s="6">
        <v>-19011.833333333332</v>
      </c>
      <c r="O109" s="15">
        <v>-1.1710781943706294E-2</v>
      </c>
      <c r="P109" s="6">
        <f>IFERROR(VLOOKUP($I109,RESUMO!$A$3:$M$200,2,FALSE),"")</f>
        <v>9673.85</v>
      </c>
      <c r="Q109" s="46">
        <f t="shared" si="32"/>
        <v>-0.49116690482243508</v>
      </c>
      <c r="R109" s="6">
        <v>-19011.833333333332</v>
      </c>
      <c r="S109" s="15">
        <v>-8.5408516115517072E-3</v>
      </c>
      <c r="T109" s="6">
        <f>IFERROR(VLOOKUP($I109,RESUMO!$A$3:$M$200,3,FALSE),"")</f>
        <v>18654.349999999999</v>
      </c>
      <c r="U109" s="46">
        <f t="shared" si="45"/>
        <v>-1.8803201514846046E-2</v>
      </c>
      <c r="V109" s="6">
        <v>-19011.833333333332</v>
      </c>
      <c r="W109" s="15">
        <v>-6.7889009982373544E-3</v>
      </c>
      <c r="X109" s="6">
        <f>IFERROR(VLOOKUP($I109,RESUMO!$A$3:$M$200,4,FALSE),"")</f>
        <v>19808.55</v>
      </c>
      <c r="Y109" s="46">
        <f t="shared" si="46"/>
        <v>4.1906356567400938E-2</v>
      </c>
      <c r="Z109" s="6">
        <v>-19011.833333333332</v>
      </c>
      <c r="AA109" s="15">
        <v>-7.7716375397685568E-3</v>
      </c>
      <c r="AB109" s="6">
        <f>IFERROR(VLOOKUP($I109,RESUMO!$A$3:$M$200,5,FALSE),"")</f>
        <v>19421.25</v>
      </c>
      <c r="AC109" s="46">
        <f t="shared" si="47"/>
        <v>2.1534833568567002E-2</v>
      </c>
      <c r="AD109" s="6">
        <v>-19011.833333333332</v>
      </c>
      <c r="AE109" s="15">
        <v>-7.4181949763256257E-3</v>
      </c>
      <c r="AF109" s="6">
        <f>IFERROR(VLOOKUP($I109,RESUMO!$A$3:$M$200,6,FALSE),"")</f>
        <v>5264.75</v>
      </c>
      <c r="AG109" s="46">
        <f t="shared" si="48"/>
        <v>-0.72308036223054062</v>
      </c>
      <c r="AH109" s="6">
        <v>-19011.833333333332</v>
      </c>
      <c r="AI109" s="15">
        <v>-8.5728035666858254E-3</v>
      </c>
      <c r="AJ109" s="6">
        <v>-19011.833333333332</v>
      </c>
      <c r="AK109" s="15">
        <v>-8.4641135744791159E-3</v>
      </c>
      <c r="AL109" s="6">
        <v>-19011.833333333332</v>
      </c>
      <c r="AM109" s="15">
        <v>-7.0647449825035789E-3</v>
      </c>
      <c r="AN109" s="6">
        <v>-19011.833333333332</v>
      </c>
      <c r="AO109" s="15">
        <v>-6.3810778249794265E-3</v>
      </c>
      <c r="AP109" s="6">
        <v>-19011.833333333332</v>
      </c>
      <c r="AQ109" s="15">
        <v>-6.3129424311828579E-3</v>
      </c>
      <c r="AR109" s="6">
        <v>-19011.833333333332</v>
      </c>
      <c r="AS109" s="15">
        <v>-6.9422443988610737E-3</v>
      </c>
      <c r="AT109" s="6">
        <v>-19011.833333333332</v>
      </c>
      <c r="AU109" s="15">
        <v>-7.7394906006256117E-3</v>
      </c>
      <c r="AW109" s="6">
        <v>-228142.00000000003</v>
      </c>
      <c r="AX109" s="15">
        <v>-7.6047333333333347E-3</v>
      </c>
      <c r="AY109" s="6">
        <v>-19011.833333333336</v>
      </c>
    </row>
    <row r="110" spans="2:51" outlineLevel="2" x14ac:dyDescent="0.25">
      <c r="E110" s="17" t="s">
        <v>155</v>
      </c>
      <c r="F110" s="35">
        <v>-10000</v>
      </c>
      <c r="H110" t="s">
        <v>160</v>
      </c>
      <c r="I110" s="2" t="s">
        <v>91</v>
      </c>
      <c r="J110" s="6">
        <v>-10000</v>
      </c>
      <c r="K110" s="37">
        <v>-4.0000000000000001E-3</v>
      </c>
      <c r="L110" s="6">
        <v>-10000</v>
      </c>
      <c r="M110" s="15">
        <v>-5.0000000000000001E-3</v>
      </c>
      <c r="N110" s="6">
        <v>-10000</v>
      </c>
      <c r="O110" s="15">
        <v>-6.1597331190432073E-3</v>
      </c>
      <c r="P110" s="6" t="str">
        <f>IFERROR(VLOOKUP($I110,RESUMO!$A$3:$M$200,2,FALSE),"")</f>
        <v/>
      </c>
      <c r="Q110" s="46" t="str">
        <f t="shared" si="32"/>
        <v/>
      </c>
      <c r="R110" s="6">
        <v>-10000</v>
      </c>
      <c r="S110" s="15">
        <v>-4.4923871684573865E-3</v>
      </c>
      <c r="T110" s="6" t="str">
        <f>IFERROR(VLOOKUP($I110,RESUMO!$A$3:$M$200,3,FALSE),"")</f>
        <v/>
      </c>
      <c r="U110" s="46" t="str">
        <f t="shared" si="45"/>
        <v/>
      </c>
      <c r="V110" s="6">
        <v>-10000</v>
      </c>
      <c r="W110" s="15">
        <v>-3.5708818182907248E-3</v>
      </c>
      <c r="X110" s="6" t="str">
        <f>IFERROR(VLOOKUP($I110,RESUMO!$A$3:$M$200,4,FALSE),"")</f>
        <v/>
      </c>
      <c r="Y110" s="46" t="str">
        <f t="shared" si="46"/>
        <v/>
      </c>
      <c r="Z110" s="6">
        <v>-10000</v>
      </c>
      <c r="AA110" s="15">
        <v>-4.0877896431705998E-3</v>
      </c>
      <c r="AB110" s="6" t="str">
        <f>IFERROR(VLOOKUP($I110,RESUMO!$A$3:$M$200,5,FALSE),"")</f>
        <v/>
      </c>
      <c r="AC110" s="46" t="str">
        <f t="shared" si="47"/>
        <v/>
      </c>
      <c r="AD110" s="6">
        <v>-10000</v>
      </c>
      <c r="AE110" s="15">
        <v>-3.9018830253047449E-3</v>
      </c>
      <c r="AF110" s="6" t="str">
        <f>IFERROR(VLOOKUP($I110,RESUMO!$A$3:$M$200,6,FALSE),"")</f>
        <v/>
      </c>
      <c r="AG110" s="46" t="str">
        <f t="shared" si="48"/>
        <v/>
      </c>
      <c r="AH110" s="6">
        <v>-10000</v>
      </c>
      <c r="AI110" s="15">
        <v>-4.5091935198354489E-3</v>
      </c>
      <c r="AJ110" s="6">
        <v>-10000</v>
      </c>
      <c r="AK110" s="15">
        <v>-4.4520238664406114E-3</v>
      </c>
      <c r="AL110" s="6">
        <v>-10000</v>
      </c>
      <c r="AM110" s="15">
        <v>-3.7159724991471517E-3</v>
      </c>
      <c r="AN110" s="6">
        <v>-10000</v>
      </c>
      <c r="AO110" s="15">
        <v>-3.356371641335358E-3</v>
      </c>
      <c r="AP110" s="6">
        <v>-10000</v>
      </c>
      <c r="AQ110" s="15">
        <v>-3.3205332281734312E-3</v>
      </c>
      <c r="AR110" s="6">
        <v>-10000</v>
      </c>
      <c r="AS110" s="15">
        <v>-3.6515386376174876E-3</v>
      </c>
      <c r="AT110" s="6">
        <v>-10000</v>
      </c>
      <c r="AU110" s="15">
        <v>-4.0708807325046392E-3</v>
      </c>
      <c r="AW110" s="6">
        <v>-120000</v>
      </c>
      <c r="AX110" s="15">
        <v>-4.0000000000000001E-3</v>
      </c>
      <c r="AY110" s="6">
        <v>-10000</v>
      </c>
    </row>
    <row r="111" spans="2:51" outlineLevel="2" x14ac:dyDescent="0.25">
      <c r="B111" s="17" t="s">
        <v>152</v>
      </c>
      <c r="C111">
        <v>1</v>
      </c>
      <c r="D111">
        <v>9</v>
      </c>
      <c r="E111" s="17" t="s">
        <v>181</v>
      </c>
      <c r="F111" s="35">
        <v>-1077.2766666666666</v>
      </c>
      <c r="H111" t="s">
        <v>160</v>
      </c>
      <c r="I111" s="2" t="s">
        <v>92</v>
      </c>
      <c r="J111" s="6">
        <v>-1077.2766666666666</v>
      </c>
      <c r="K111" s="37">
        <v>-4.3091066666666665E-4</v>
      </c>
      <c r="L111" s="6">
        <v>-1077.2766666666666</v>
      </c>
      <c r="M111" s="15">
        <v>-5.386383333333333E-4</v>
      </c>
      <c r="N111" s="6">
        <v>-1077.2766666666666</v>
      </c>
      <c r="O111" s="15">
        <v>-6.6357367620391359E-4</v>
      </c>
      <c r="P111" s="6">
        <f>IFERROR(VLOOKUP($I111,RESUMO!$A$3:$M$200,2,FALSE),"")</f>
        <v>673.06999999999994</v>
      </c>
      <c r="Q111" s="46">
        <f t="shared" si="32"/>
        <v>-0.37521156744011908</v>
      </c>
      <c r="R111" s="6">
        <v>-1077.2766666666666</v>
      </c>
      <c r="S111" s="15">
        <v>-4.8395438742118778E-4</v>
      </c>
      <c r="T111" s="6">
        <f>IFERROR(VLOOKUP($I111,RESUMO!$A$3:$M$200,3,FALSE),"")</f>
        <v>1644.02</v>
      </c>
      <c r="U111" s="46">
        <f t="shared" si="45"/>
        <v>0.52608893413329283</v>
      </c>
      <c r="V111" s="6">
        <v>-1077.2766666666666</v>
      </c>
      <c r="W111" s="15">
        <v>-3.8468276622688377E-4</v>
      </c>
      <c r="X111" s="6">
        <f>IFERROR(VLOOKUP($I111,RESUMO!$A$3:$M$200,4,FALSE),"")</f>
        <v>420.81</v>
      </c>
      <c r="Y111" s="46">
        <f t="shared" si="46"/>
        <v>-0.60937611198608832</v>
      </c>
      <c r="Z111" s="6">
        <v>-1077.2766666666666</v>
      </c>
      <c r="AA111" s="15">
        <v>-4.4036804008293459E-4</v>
      </c>
      <c r="AB111" s="6">
        <f>IFERROR(VLOOKUP($I111,RESUMO!$A$3:$M$200,5,FALSE),"")</f>
        <v>0</v>
      </c>
      <c r="AC111" s="46">
        <f t="shared" si="47"/>
        <v>-1</v>
      </c>
      <c r="AD111" s="6">
        <v>-1077.2766666666666</v>
      </c>
      <c r="AE111" s="15">
        <v>-4.2034075392235445E-4</v>
      </c>
      <c r="AF111" s="6">
        <f>IFERROR(VLOOKUP($I111,RESUMO!$A$3:$M$200,6,FALSE),"")</f>
        <v>1769.79</v>
      </c>
      <c r="AG111" s="46">
        <f t="shared" si="48"/>
        <v>0.64283703041310969</v>
      </c>
      <c r="AH111" s="6">
        <v>-1077.2766666666666</v>
      </c>
      <c r="AI111" s="15">
        <v>-4.8576489644032661E-4</v>
      </c>
      <c r="AJ111" s="6">
        <v>-1077.2766666666666</v>
      </c>
      <c r="AK111" s="15">
        <v>-4.7960614307595873E-4</v>
      </c>
      <c r="AL111" s="6">
        <v>-1077.2766666666666</v>
      </c>
      <c r="AM111" s="15">
        <v>-4.0031304673062465E-4</v>
      </c>
      <c r="AN111" s="6">
        <v>-1077.2766666666666</v>
      </c>
      <c r="AO111" s="15">
        <v>-3.6157408538722835E-4</v>
      </c>
      <c r="AP111" s="6">
        <v>-1077.2766666666666</v>
      </c>
      <c r="AQ111" s="15">
        <v>-3.5771329676025803E-4</v>
      </c>
      <c r="AR111" s="6">
        <v>-1077.2766666666666</v>
      </c>
      <c r="AS111" s="15">
        <v>-3.933717371737108E-4</v>
      </c>
      <c r="AT111" s="6">
        <v>-1077.2766666666666</v>
      </c>
      <c r="AU111" s="15">
        <v>-4.385464825910156E-4</v>
      </c>
      <c r="AW111" s="6">
        <v>-12927.32</v>
      </c>
      <c r="AX111" s="15">
        <v>-4.3091066666666665E-4</v>
      </c>
      <c r="AY111" s="6">
        <v>-1077.2766666666666</v>
      </c>
    </row>
    <row r="112" spans="2:51" outlineLevel="2" x14ac:dyDescent="0.25">
      <c r="E112" s="17" t="s">
        <v>155</v>
      </c>
      <c r="F112" s="35">
        <v>-60000</v>
      </c>
      <c r="H112" t="s">
        <v>163</v>
      </c>
      <c r="I112" s="2" t="s">
        <v>93</v>
      </c>
      <c r="J112" s="6">
        <v>-60000</v>
      </c>
      <c r="K112" s="37">
        <v>-2.4E-2</v>
      </c>
      <c r="L112" s="6">
        <v>-60000</v>
      </c>
      <c r="M112" s="15">
        <v>-0.03</v>
      </c>
      <c r="N112" s="6">
        <v>-60000</v>
      </c>
      <c r="O112" s="15">
        <v>-3.6958398714259245E-2</v>
      </c>
      <c r="P112" s="6">
        <f>IFERROR(VLOOKUP($I112,RESUMO!$A$3:$M$200,2,FALSE),"")</f>
        <v>119279.42999999996</v>
      </c>
      <c r="Q112" s="46">
        <f t="shared" si="32"/>
        <v>0.98799049999999933</v>
      </c>
      <c r="R112" s="6">
        <v>-60000</v>
      </c>
      <c r="S112" s="15">
        <v>-2.6954323010744317E-2</v>
      </c>
      <c r="T112" s="6">
        <f>IFERROR(VLOOKUP($I112,RESUMO!$A$3:$M$200,3,FALSE),"")</f>
        <v>38472.950000000004</v>
      </c>
      <c r="U112" s="46">
        <f t="shared" si="45"/>
        <v>-0.35878416666666657</v>
      </c>
      <c r="V112" s="6">
        <v>-60000</v>
      </c>
      <c r="W112" s="15">
        <v>-2.1425290909744349E-2</v>
      </c>
      <c r="X112" s="6">
        <f>IFERROR(VLOOKUP($I112,RESUMO!$A$3:$M$200,4,FALSE),"")</f>
        <v>41728.47</v>
      </c>
      <c r="Y112" s="46">
        <f t="shared" si="46"/>
        <v>-0.3045255</v>
      </c>
      <c r="Z112" s="6">
        <v>-60000</v>
      </c>
      <c r="AA112" s="15">
        <v>-2.4526737859023599E-2</v>
      </c>
      <c r="AB112" s="6">
        <f>IFERROR(VLOOKUP($I112,RESUMO!$A$3:$M$200,5,FALSE),"")</f>
        <v>53365.87</v>
      </c>
      <c r="AC112" s="46">
        <f t="shared" si="47"/>
        <v>-0.11056883333333334</v>
      </c>
      <c r="AD112" s="6">
        <v>-60000</v>
      </c>
      <c r="AE112" s="15">
        <v>-2.341129815182847E-2</v>
      </c>
      <c r="AF112" s="6">
        <f>IFERROR(VLOOKUP($I112,RESUMO!$A$3:$M$200,6,FALSE),"")</f>
        <v>3897.31</v>
      </c>
      <c r="AG112" s="46">
        <f t="shared" si="48"/>
        <v>-0.93504483333333333</v>
      </c>
      <c r="AH112" s="6">
        <v>-60000</v>
      </c>
      <c r="AI112" s="15">
        <v>-2.7055161119012693E-2</v>
      </c>
      <c r="AJ112" s="6">
        <v>-60000</v>
      </c>
      <c r="AK112" s="15">
        <v>-2.6712143198643672E-2</v>
      </c>
      <c r="AL112" s="6">
        <v>-60000</v>
      </c>
      <c r="AM112" s="15">
        <v>-2.2295834994882909E-2</v>
      </c>
      <c r="AN112" s="6">
        <v>-60000</v>
      </c>
      <c r="AO112" s="15">
        <v>-2.0138229848012151E-2</v>
      </c>
      <c r="AP112" s="6">
        <v>-60000</v>
      </c>
      <c r="AQ112" s="15">
        <v>-1.9923199369040589E-2</v>
      </c>
      <c r="AR112" s="6">
        <v>-60000</v>
      </c>
      <c r="AS112" s="15">
        <v>-2.1909231825704926E-2</v>
      </c>
      <c r="AT112" s="6">
        <v>-60000</v>
      </c>
      <c r="AU112" s="15">
        <v>-2.4425284395027835E-2</v>
      </c>
      <c r="AW112" s="6">
        <v>-720000</v>
      </c>
      <c r="AX112" s="15">
        <v>-2.4E-2</v>
      </c>
      <c r="AY112" s="6">
        <v>-60000</v>
      </c>
    </row>
    <row r="113" spans="2:51" outlineLevel="2" x14ac:dyDescent="0.25">
      <c r="B113" s="17" t="s">
        <v>152</v>
      </c>
      <c r="C113">
        <v>1</v>
      </c>
      <c r="D113">
        <v>9</v>
      </c>
      <c r="E113" s="17" t="s">
        <v>181</v>
      </c>
      <c r="F113" s="35">
        <v>-2402.3599999999997</v>
      </c>
      <c r="H113" t="s">
        <v>163</v>
      </c>
      <c r="I113" s="2" t="s">
        <v>94</v>
      </c>
      <c r="J113" s="6">
        <v>-2402.3599999999997</v>
      </c>
      <c r="K113" s="37">
        <v>-9.6094399999999982E-4</v>
      </c>
      <c r="L113" s="6">
        <v>-2402.3599999999997</v>
      </c>
      <c r="M113" s="15">
        <v>-1.2011799999999998E-3</v>
      </c>
      <c r="N113" s="6">
        <v>-2402.3599999999997</v>
      </c>
      <c r="O113" s="15">
        <v>-1.4797896455864636E-3</v>
      </c>
      <c r="P113" s="6">
        <f>IFERROR(VLOOKUP($I113,RESUMO!$A$3:$M$200,2,FALSE),"")</f>
        <v>1368</v>
      </c>
      <c r="Q113" s="46">
        <f t="shared" si="32"/>
        <v>-0.43055994938310649</v>
      </c>
      <c r="R113" s="6">
        <v>-2402.3599999999997</v>
      </c>
      <c r="S113" s="15">
        <v>-1.0792331238015285E-3</v>
      </c>
      <c r="T113" s="6">
        <f>IFERROR(VLOOKUP($I113,RESUMO!$A$3:$M$200,3,FALSE),"")</f>
        <v>0</v>
      </c>
      <c r="U113" s="46">
        <f t="shared" si="45"/>
        <v>-1</v>
      </c>
      <c r="V113" s="6">
        <v>-2402.3599999999997</v>
      </c>
      <c r="W113" s="15">
        <v>-8.5785436449889051E-4</v>
      </c>
      <c r="X113" s="6">
        <f>IFERROR(VLOOKUP($I113,RESUMO!$A$3:$M$200,4,FALSE),"")</f>
        <v>0</v>
      </c>
      <c r="Y113" s="46">
        <f t="shared" si="46"/>
        <v>-1</v>
      </c>
      <c r="Z113" s="6">
        <v>-2402.3599999999997</v>
      </c>
      <c r="AA113" s="15">
        <v>-9.8203423271673207E-4</v>
      </c>
      <c r="AB113" s="6">
        <f>IFERROR(VLOOKUP($I113,RESUMO!$A$3:$M$200,5,FALSE),"")</f>
        <v>0</v>
      </c>
      <c r="AC113" s="46">
        <f t="shared" si="47"/>
        <v>-1</v>
      </c>
      <c r="AD113" s="6">
        <v>-2402.3599999999997</v>
      </c>
      <c r="AE113" s="15">
        <v>-9.3737277046711059E-4</v>
      </c>
      <c r="AF113" s="6">
        <f>IFERROR(VLOOKUP($I113,RESUMO!$A$3:$M$200,6,FALSE),"")</f>
        <v>0</v>
      </c>
      <c r="AG113" s="46">
        <f t="shared" si="48"/>
        <v>-1</v>
      </c>
      <c r="AH113" s="6">
        <v>-2402.3599999999997</v>
      </c>
      <c r="AI113" s="15">
        <v>-1.0832706144311888E-3</v>
      </c>
      <c r="AJ113" s="6">
        <v>-2402.3599999999997</v>
      </c>
      <c r="AK113" s="15">
        <v>-1.0695364055782267E-3</v>
      </c>
      <c r="AL113" s="6">
        <v>-2402.3599999999997</v>
      </c>
      <c r="AM113" s="15">
        <v>-8.9271036930511504E-4</v>
      </c>
      <c r="AN113" s="6">
        <v>-2402.3599999999997</v>
      </c>
      <c r="AO113" s="15">
        <v>-8.0632129762784103E-4</v>
      </c>
      <c r="AP113" s="6">
        <v>-2402.3599999999997</v>
      </c>
      <c r="AQ113" s="15">
        <v>-7.9771162060347236E-4</v>
      </c>
      <c r="AR113" s="6">
        <v>-2402.3599999999997</v>
      </c>
      <c r="AS113" s="15">
        <v>-8.7723103614667465E-4</v>
      </c>
      <c r="AT113" s="6">
        <v>-2402.3599999999997</v>
      </c>
      <c r="AU113" s="15">
        <v>-9.779721036539844E-4</v>
      </c>
      <c r="AW113" s="6">
        <v>-28828.320000000003</v>
      </c>
      <c r="AX113" s="15">
        <v>-9.6094400000000014E-4</v>
      </c>
      <c r="AY113" s="6">
        <v>-2402.36</v>
      </c>
    </row>
    <row r="114" spans="2:51" outlineLevel="2" x14ac:dyDescent="0.25">
      <c r="E114" s="17" t="s">
        <v>155</v>
      </c>
      <c r="F114" s="35">
        <v>-5000</v>
      </c>
      <c r="H114" t="s">
        <v>162</v>
      </c>
      <c r="I114" s="2" t="s">
        <v>95</v>
      </c>
      <c r="J114" s="6">
        <v>-5000</v>
      </c>
      <c r="K114" s="37">
        <v>-2E-3</v>
      </c>
      <c r="L114" s="6">
        <v>-5000</v>
      </c>
      <c r="M114" s="15">
        <v>-2.5000000000000001E-3</v>
      </c>
      <c r="N114" s="6">
        <v>-5000</v>
      </c>
      <c r="O114" s="15">
        <v>-3.0798665595216036E-3</v>
      </c>
      <c r="P114" s="6">
        <f>IFERROR(VLOOKUP($I114,RESUMO!$A$3:$M$200,2,FALSE),"")</f>
        <v>738.16</v>
      </c>
      <c r="Q114" s="46">
        <f t="shared" si="32"/>
        <v>-0.85236800000000001</v>
      </c>
      <c r="R114" s="6">
        <v>-5000</v>
      </c>
      <c r="S114" s="15">
        <v>-2.2461935842286933E-3</v>
      </c>
      <c r="T114" s="6">
        <f>IFERROR(VLOOKUP($I114,RESUMO!$A$3:$M$200,3,FALSE),"")</f>
        <v>1807.69</v>
      </c>
      <c r="U114" s="46">
        <f t="shared" si="45"/>
        <v>-0.63846199999999997</v>
      </c>
      <c r="V114" s="6">
        <v>-5000</v>
      </c>
      <c r="W114" s="15">
        <v>-1.7854409091453624E-3</v>
      </c>
      <c r="X114" s="6">
        <f>IFERROR(VLOOKUP($I114,RESUMO!$A$3:$M$200,4,FALSE),"")</f>
        <v>2581.66</v>
      </c>
      <c r="Y114" s="46">
        <f t="shared" si="46"/>
        <v>-0.48366799999999999</v>
      </c>
      <c r="Z114" s="6">
        <v>-5000</v>
      </c>
      <c r="AA114" s="15">
        <v>-2.0438948215852999E-3</v>
      </c>
      <c r="AB114" s="6">
        <f>IFERROR(VLOOKUP($I114,RESUMO!$A$3:$M$200,5,FALSE),"")</f>
        <v>2909.9</v>
      </c>
      <c r="AC114" s="46">
        <f t="shared" si="47"/>
        <v>-0.41801999999999995</v>
      </c>
      <c r="AD114" s="6">
        <v>-5000</v>
      </c>
      <c r="AE114" s="15">
        <v>-1.9509415126523725E-3</v>
      </c>
      <c r="AF114" s="6">
        <f>IFERROR(VLOOKUP($I114,RESUMO!$A$3:$M$200,6,FALSE),"")</f>
        <v>585.36</v>
      </c>
      <c r="AG114" s="46">
        <f t="shared" si="48"/>
        <v>-0.88292799999999994</v>
      </c>
      <c r="AH114" s="6">
        <v>-5000</v>
      </c>
      <c r="AI114" s="15">
        <v>-2.2545967599177244E-3</v>
      </c>
      <c r="AJ114" s="6">
        <v>-5000</v>
      </c>
      <c r="AK114" s="15">
        <v>-2.2260119332203057E-3</v>
      </c>
      <c r="AL114" s="6">
        <v>-5000</v>
      </c>
      <c r="AM114" s="15">
        <v>-1.8579862495735758E-3</v>
      </c>
      <c r="AN114" s="6">
        <v>-5000</v>
      </c>
      <c r="AO114" s="15">
        <v>-1.678185820667679E-3</v>
      </c>
      <c r="AP114" s="6">
        <v>-5000</v>
      </c>
      <c r="AQ114" s="15">
        <v>-1.6602666140867156E-3</v>
      </c>
      <c r="AR114" s="6">
        <v>-5000</v>
      </c>
      <c r="AS114" s="15">
        <v>-1.8257693188087438E-3</v>
      </c>
      <c r="AT114" s="6">
        <v>-5000</v>
      </c>
      <c r="AU114" s="15">
        <v>-2.0354403662523196E-3</v>
      </c>
      <c r="AW114" s="6">
        <v>-60000</v>
      </c>
      <c r="AX114" s="15">
        <v>-2E-3</v>
      </c>
      <c r="AY114" s="6">
        <v>-5000</v>
      </c>
    </row>
    <row r="115" spans="2:51" outlineLevel="2" x14ac:dyDescent="0.25">
      <c r="B115" s="17" t="s">
        <v>152</v>
      </c>
      <c r="C115">
        <v>5</v>
      </c>
      <c r="D115">
        <v>9</v>
      </c>
      <c r="E115" s="17" t="s">
        <v>182</v>
      </c>
      <c r="F115" s="35">
        <v>-17300.321999999996</v>
      </c>
      <c r="H115" t="s">
        <v>162</v>
      </c>
      <c r="I115" s="2" t="s">
        <v>96</v>
      </c>
      <c r="J115" s="6">
        <v>-17300.321999999996</v>
      </c>
      <c r="K115" s="37">
        <v>-6.9201287999999988E-3</v>
      </c>
      <c r="L115" s="6">
        <v>-17300.321999999996</v>
      </c>
      <c r="M115" s="15">
        <v>-8.6501609999999982E-3</v>
      </c>
      <c r="N115" s="6">
        <v>-17300.321999999996</v>
      </c>
      <c r="O115" s="15">
        <v>-1.0656536639351179E-2</v>
      </c>
      <c r="P115" s="6">
        <f>IFERROR(VLOOKUP($I115,RESUMO!$A$3:$M$200,2,FALSE),"")</f>
        <v>13677.889999999998</v>
      </c>
      <c r="Q115" s="46">
        <f t="shared" si="32"/>
        <v>-0.20938523571989009</v>
      </c>
      <c r="R115" s="6">
        <v>-17300.321999999996</v>
      </c>
      <c r="S115" s="15">
        <v>-7.7719744562981009E-3</v>
      </c>
      <c r="T115" s="6">
        <f>IFERROR(VLOOKUP($I115,RESUMO!$A$3:$M$200,3,FALSE),"")</f>
        <v>10422.07</v>
      </c>
      <c r="U115" s="46">
        <f t="shared" si="45"/>
        <v>-0.39757942077609876</v>
      </c>
      <c r="V115" s="6">
        <v>-17300.321999999996</v>
      </c>
      <c r="W115" s="15">
        <v>-6.1777405280375019E-3</v>
      </c>
      <c r="X115" s="6">
        <f>IFERROR(VLOOKUP($I115,RESUMO!$A$3:$M$200,4,FALSE),"")</f>
        <v>14968.490000000002</v>
      </c>
      <c r="Y115" s="46">
        <f t="shared" si="46"/>
        <v>-0.13478546815486991</v>
      </c>
      <c r="Z115" s="6">
        <v>-17300.321999999996</v>
      </c>
      <c r="AA115" s="15">
        <v>-7.0720077095116456E-3</v>
      </c>
      <c r="AB115" s="6">
        <f>IFERROR(VLOOKUP($I115,RESUMO!$A$3:$M$200,5,FALSE),"")</f>
        <v>26703.39</v>
      </c>
      <c r="AC115" s="46">
        <f t="shared" si="47"/>
        <v>0.54351982581595903</v>
      </c>
      <c r="AD115" s="6">
        <v>-17300.321999999996</v>
      </c>
      <c r="AE115" s="15">
        <v>-6.7503832744106223E-3</v>
      </c>
      <c r="AF115" s="6">
        <f>IFERROR(VLOOKUP($I115,RESUMO!$A$3:$M$200,6,FALSE),"")</f>
        <v>11794.18</v>
      </c>
      <c r="AG115" s="46">
        <f t="shared" si="48"/>
        <v>-0.31826818021074965</v>
      </c>
      <c r="AH115" s="6">
        <v>-17300.321999999996</v>
      </c>
      <c r="AI115" s="15">
        <v>-7.8010499853466636E-3</v>
      </c>
      <c r="AJ115" s="6">
        <v>-17300.321999999996</v>
      </c>
      <c r="AK115" s="15">
        <v>-7.7021446441107562E-3</v>
      </c>
      <c r="AL115" s="6">
        <v>-17300.321999999996</v>
      </c>
      <c r="AM115" s="15">
        <v>-6.4287520778390436E-3</v>
      </c>
      <c r="AN115" s="6">
        <v>-17300.321999999996</v>
      </c>
      <c r="AO115" s="15">
        <v>-5.8066310146770196E-3</v>
      </c>
      <c r="AP115" s="6">
        <v>-17300.321999999996</v>
      </c>
      <c r="AQ115" s="15">
        <v>-5.7446294059099821E-3</v>
      </c>
      <c r="AR115" s="6">
        <v>-17300.321999999996</v>
      </c>
      <c r="AS115" s="15">
        <v>-6.3172794226223836E-3</v>
      </c>
      <c r="AT115" s="6">
        <v>-17300.321999999996</v>
      </c>
      <c r="AU115" s="15">
        <v>-7.0427547495926111E-3</v>
      </c>
      <c r="AW115" s="6">
        <v>-207603.86399999991</v>
      </c>
      <c r="AX115" s="15">
        <v>-6.920128799999997E-3</v>
      </c>
      <c r="AY115" s="6">
        <v>-17300.321999999993</v>
      </c>
    </row>
    <row r="116" spans="2:51" outlineLevel="2" x14ac:dyDescent="0.25">
      <c r="E116" s="17" t="s">
        <v>155</v>
      </c>
      <c r="F116" s="42">
        <v>-4.5779128639645899E-3</v>
      </c>
      <c r="H116" t="s">
        <v>162</v>
      </c>
      <c r="I116" s="2" t="s">
        <v>97</v>
      </c>
      <c r="J116" s="6">
        <v>-11444.782159911474</v>
      </c>
      <c r="K116" s="37">
        <v>-4.5779128639645899E-3</v>
      </c>
      <c r="L116" s="6">
        <v>-9155.8257279291793</v>
      </c>
      <c r="M116" s="15">
        <v>-4.5779128639645899E-3</v>
      </c>
      <c r="N116" s="6">
        <v>-7431.9987173010477</v>
      </c>
      <c r="O116" s="15">
        <v>-4.5779128639645899E-3</v>
      </c>
      <c r="P116" s="6">
        <f>IFERROR(VLOOKUP($I116,RESUMO!$A$3:$M$200,2,FALSE),"")</f>
        <v>7224.44</v>
      </c>
      <c r="Q116" s="46">
        <f t="shared" si="32"/>
        <v>-2.7927711668984778E-2</v>
      </c>
      <c r="R116" s="6">
        <v>-10190.379173254945</v>
      </c>
      <c r="S116" s="15">
        <v>-4.5779128639645899E-3</v>
      </c>
      <c r="T116" s="6">
        <f>IFERROR(VLOOKUP($I116,RESUMO!$A$3:$M$200,3,FALSE),"")</f>
        <v>5041.3999999999996</v>
      </c>
      <c r="U116" s="46">
        <f t="shared" si="45"/>
        <v>-0.50527846763235718</v>
      </c>
      <c r="V116" s="6">
        <v>-12820.118662330586</v>
      </c>
      <c r="W116" s="15">
        <v>-4.5779128639645899E-3</v>
      </c>
      <c r="X116" s="6">
        <f>IFERROR(VLOOKUP($I116,RESUMO!$A$3:$M$200,4,FALSE),"")</f>
        <v>10515.810000000001</v>
      </c>
      <c r="Y116" s="46">
        <f t="shared" si="46"/>
        <v>-0.17974160169837938</v>
      </c>
      <c r="Z116" s="6">
        <v>-11198.993254491044</v>
      </c>
      <c r="AA116" s="15">
        <v>-4.5779128639645899E-3</v>
      </c>
      <c r="AB116" s="6">
        <f>IFERROR(VLOOKUP($I116,RESUMO!$A$3:$M$200,5,FALSE),"")</f>
        <v>8548.01</v>
      </c>
      <c r="AC116" s="46">
        <f t="shared" si="47"/>
        <v>-0.23671621138158483</v>
      </c>
      <c r="AD116" s="6">
        <v>-11732.573309542116</v>
      </c>
      <c r="AE116" s="15">
        <v>-4.5779128639645899E-3</v>
      </c>
      <c r="AF116" s="6">
        <f>IFERROR(VLOOKUP($I116,RESUMO!$A$3:$M$200,6,FALSE),"")</f>
        <v>0</v>
      </c>
      <c r="AG116" s="46">
        <f t="shared" si="48"/>
        <v>-1</v>
      </c>
      <c r="AH116" s="6">
        <v>-10152.398303215092</v>
      </c>
      <c r="AI116" s="15">
        <v>-4.5779128639645899E-3</v>
      </c>
      <c r="AJ116" s="6">
        <v>-10282.768020344478</v>
      </c>
      <c r="AK116" s="15">
        <v>-4.5779128639645899E-3</v>
      </c>
      <c r="AL116" s="6">
        <v>-12319.55528469401</v>
      </c>
      <c r="AM116" s="15">
        <v>-4.5779128639645899E-3</v>
      </c>
      <c r="AN116" s="6">
        <v>-13639.469502081814</v>
      </c>
      <c r="AO116" s="15">
        <v>-4.5779128639645899E-3</v>
      </c>
      <c r="AP116" s="6">
        <v>-13786.679877565392</v>
      </c>
      <c r="AQ116" s="15">
        <v>-4.5779128639645899E-3</v>
      </c>
      <c r="AR116" s="6">
        <v>-12536.942144891371</v>
      </c>
      <c r="AS116" s="15">
        <v>-4.5779128639645899E-3</v>
      </c>
      <c r="AT116" s="6">
        <v>-11245.509669225792</v>
      </c>
      <c r="AU116" s="15">
        <v>-4.5779128639645899E-3</v>
      </c>
      <c r="AW116" s="6">
        <v>-137337.38591893768</v>
      </c>
      <c r="AX116" s="15">
        <v>-4.5779128639645891E-3</v>
      </c>
      <c r="AY116" s="6">
        <v>-11444.782159911474</v>
      </c>
    </row>
    <row r="117" spans="2:51" outlineLevel="2" x14ac:dyDescent="0.25">
      <c r="E117" s="17" t="s">
        <v>155</v>
      </c>
      <c r="F117" s="42">
        <v>-4.0943100413712498E-2</v>
      </c>
      <c r="H117" t="s">
        <v>162</v>
      </c>
      <c r="I117" s="2" t="s">
        <v>98</v>
      </c>
      <c r="J117" s="6">
        <v>-102357.75103428125</v>
      </c>
      <c r="K117" s="37">
        <v>-4.0943100413712498E-2</v>
      </c>
      <c r="L117" s="6">
        <v>-81886.200827424997</v>
      </c>
      <c r="M117" s="15">
        <v>-4.0943100413712498E-2</v>
      </c>
      <c r="N117" s="6">
        <v>-66468.951856265165</v>
      </c>
      <c r="O117" s="15">
        <v>-4.0943100413712498E-2</v>
      </c>
      <c r="P117" s="6">
        <f>IFERROR(VLOOKUP($I117,RESUMO!$A$3:$M$200,2,FALSE),"")</f>
        <v>117100.21999999996</v>
      </c>
      <c r="Q117" s="46">
        <f t="shared" si="32"/>
        <v>0.76172809604733427</v>
      </c>
      <c r="R117" s="6">
        <v>-91138.850856818972</v>
      </c>
      <c r="S117" s="15">
        <v>-4.0943100413712498E-2</v>
      </c>
      <c r="T117" s="6">
        <f>IFERROR(VLOOKUP($I117,RESUMO!$A$3:$M$200,3,FALSE),"")</f>
        <v>78726.199999999983</v>
      </c>
      <c r="U117" s="46">
        <f t="shared" si="45"/>
        <v>-0.13619494584498903</v>
      </c>
      <c r="V117" s="6">
        <v>-114658.23428822056</v>
      </c>
      <c r="W117" s="15">
        <v>-4.0943100413712498E-2</v>
      </c>
      <c r="X117" s="6">
        <f>IFERROR(VLOOKUP($I117,RESUMO!$A$3:$M$200,4,FALSE),"")</f>
        <v>88339.049999999988</v>
      </c>
      <c r="Y117" s="46">
        <f t="shared" si="46"/>
        <v>-0.22954465025216664</v>
      </c>
      <c r="Z117" s="6">
        <v>-100159.50914234405</v>
      </c>
      <c r="AA117" s="15">
        <v>-4.0943100413712498E-2</v>
      </c>
      <c r="AB117" s="6">
        <f>IFERROR(VLOOKUP($I117,RESUMO!$A$3:$M$200,5,FALSE),"")</f>
        <v>89083.76</v>
      </c>
      <c r="AC117" s="46">
        <f t="shared" si="47"/>
        <v>-0.11058110445213432</v>
      </c>
      <c r="AD117" s="6">
        <v>-104931.64492165871</v>
      </c>
      <c r="AE117" s="15">
        <v>-4.0943100413712498E-2</v>
      </c>
      <c r="AF117" s="6">
        <f>IFERROR(VLOOKUP($I117,RESUMO!$A$3:$M$200,6,FALSE),"")</f>
        <v>55869.189999999995</v>
      </c>
      <c r="AG117" s="46">
        <f t="shared" si="48"/>
        <v>-0.46756586116884402</v>
      </c>
      <c r="AH117" s="6">
        <v>-90799.164492737516</v>
      </c>
      <c r="AI117" s="15">
        <v>-4.0943100413712498E-2</v>
      </c>
      <c r="AJ117" s="6">
        <v>-91965.141342439529</v>
      </c>
      <c r="AK117" s="15">
        <v>-4.0943100413712498E-2</v>
      </c>
      <c r="AL117" s="6">
        <v>-110181.38703424015</v>
      </c>
      <c r="AM117" s="15">
        <v>-4.0943100413712498E-2</v>
      </c>
      <c r="AN117" s="6">
        <v>-121986.19458428916</v>
      </c>
      <c r="AO117" s="15">
        <v>-4.0943100413712498E-2</v>
      </c>
      <c r="AP117" s="6">
        <v>-123302.78783638193</v>
      </c>
      <c r="AQ117" s="15">
        <v>-4.0943100413712498E-2</v>
      </c>
      <c r="AR117" s="6">
        <v>-112125.61190486694</v>
      </c>
      <c r="AS117" s="15">
        <v>-4.0943100413712498E-2</v>
      </c>
      <c r="AT117" s="6">
        <v>-100575.5341511122</v>
      </c>
      <c r="AU117" s="15">
        <v>-4.0943100413712498E-2</v>
      </c>
      <c r="AW117" s="6">
        <v>-1228293.0124113751</v>
      </c>
      <c r="AX117" s="15">
        <v>-4.0943100413712505E-2</v>
      </c>
      <c r="AY117" s="6">
        <v>-102357.75103428126</v>
      </c>
    </row>
    <row r="118" spans="2:51" outlineLevel="2" x14ac:dyDescent="0.25">
      <c r="B118" s="17" t="s">
        <v>152</v>
      </c>
      <c r="C118">
        <v>1</v>
      </c>
      <c r="D118">
        <v>9</v>
      </c>
      <c r="E118" s="17" t="s">
        <v>181</v>
      </c>
      <c r="F118" s="35">
        <v>-1619.6499999999999</v>
      </c>
      <c r="H118" t="s">
        <v>162</v>
      </c>
      <c r="I118" s="2" t="s">
        <v>99</v>
      </c>
      <c r="J118" s="6">
        <v>-1619.6499999999999</v>
      </c>
      <c r="K118" s="37">
        <v>-6.4785999999999999E-4</v>
      </c>
      <c r="L118" s="6">
        <v>-1619.6499999999999</v>
      </c>
      <c r="M118" s="15">
        <v>-8.0982499999999991E-4</v>
      </c>
      <c r="N118" s="6">
        <v>-1619.6499999999999</v>
      </c>
      <c r="O118" s="15">
        <v>-9.9766117462583306E-4</v>
      </c>
      <c r="P118" s="6" t="str">
        <f>IFERROR(VLOOKUP($I118,RESUMO!$A$3:$M$200,2,FALSE),"")</f>
        <v/>
      </c>
      <c r="Q118" s="46" t="str">
        <f t="shared" si="32"/>
        <v/>
      </c>
      <c r="R118" s="6">
        <v>-1619.6499999999999</v>
      </c>
      <c r="S118" s="15">
        <v>-7.2760948773920053E-4</v>
      </c>
      <c r="T118" s="6" t="str">
        <f>IFERROR(VLOOKUP($I118,RESUMO!$A$3:$M$200,3,FALSE),"")</f>
        <v/>
      </c>
      <c r="U118" s="46" t="str">
        <f t="shared" si="45"/>
        <v/>
      </c>
      <c r="V118" s="6">
        <v>-1619.6499999999999</v>
      </c>
      <c r="W118" s="15">
        <v>-5.7835787369945723E-4</v>
      </c>
      <c r="X118" s="6" t="str">
        <f>IFERROR(VLOOKUP($I118,RESUMO!$A$3:$M$200,4,FALSE),"")</f>
        <v/>
      </c>
      <c r="Y118" s="46" t="str">
        <f t="shared" si="46"/>
        <v/>
      </c>
      <c r="Z118" s="6">
        <v>-1619.6499999999999</v>
      </c>
      <c r="AA118" s="15">
        <v>-6.6207884955612605E-4</v>
      </c>
      <c r="AB118" s="6" t="str">
        <f>IFERROR(VLOOKUP($I118,RESUMO!$A$3:$M$200,5,FALSE),"")</f>
        <v/>
      </c>
      <c r="AC118" s="46" t="str">
        <f t="shared" si="47"/>
        <v/>
      </c>
      <c r="AD118" s="6">
        <v>-1619.6499999999999</v>
      </c>
      <c r="AE118" s="15">
        <v>-6.3196848419348295E-4</v>
      </c>
      <c r="AF118" s="6" t="str">
        <f>IFERROR(VLOOKUP($I118,RESUMO!$A$3:$M$200,6,FALSE),"")</f>
        <v/>
      </c>
      <c r="AG118" s="46" t="str">
        <f t="shared" si="48"/>
        <v/>
      </c>
      <c r="AH118" s="6">
        <v>-1619.6499999999999</v>
      </c>
      <c r="AI118" s="15">
        <v>-7.3033152844014849E-4</v>
      </c>
      <c r="AJ118" s="6">
        <v>-1619.6499999999999</v>
      </c>
      <c r="AK118" s="15">
        <v>-7.2107204552805367E-4</v>
      </c>
      <c r="AL118" s="6">
        <v>-1619.6499999999999</v>
      </c>
      <c r="AM118" s="15">
        <v>-6.0185748582436839E-4</v>
      </c>
      <c r="AN118" s="6">
        <v>-1619.6499999999999</v>
      </c>
      <c r="AO118" s="15">
        <v>-5.4361473288888119E-4</v>
      </c>
      <c r="AP118" s="6">
        <v>-1619.6499999999999</v>
      </c>
      <c r="AQ118" s="15">
        <v>-5.3781016430110972E-4</v>
      </c>
      <c r="AR118" s="6">
        <v>-1619.6499999999999</v>
      </c>
      <c r="AS118" s="15">
        <v>-5.9142145544171631E-4</v>
      </c>
      <c r="AT118" s="6">
        <v>-1619.6499999999999</v>
      </c>
      <c r="AU118" s="15">
        <v>-6.5934019784011388E-4</v>
      </c>
      <c r="AW118" s="6">
        <v>-19435.8</v>
      </c>
      <c r="AX118" s="15">
        <v>-6.4785999999999999E-4</v>
      </c>
      <c r="AY118" s="6">
        <v>-1619.6499999999999</v>
      </c>
    </row>
    <row r="119" spans="2:51" outlineLevel="2" x14ac:dyDescent="0.25">
      <c r="E119" s="17" t="s">
        <v>155</v>
      </c>
      <c r="F119" s="42">
        <v>-2.3051813366401799E-2</v>
      </c>
      <c r="H119" t="s">
        <v>162</v>
      </c>
      <c r="I119" s="2" t="s">
        <v>100</v>
      </c>
      <c r="J119" s="6">
        <v>-57629.533416004495</v>
      </c>
      <c r="K119" s="37">
        <v>-2.3051813366401799E-2</v>
      </c>
      <c r="L119" s="6">
        <v>-46103.626732803597</v>
      </c>
      <c r="M119" s="15">
        <v>-2.3051813366401799E-2</v>
      </c>
      <c r="N119" s="6">
        <v>-37423.396307764779</v>
      </c>
      <c r="O119" s="15">
        <v>-2.3051813366401799E-2</v>
      </c>
      <c r="P119" s="6">
        <f>IFERROR(VLOOKUP($I119,RESUMO!$A$3:$M$200,2,FALSE),"")</f>
        <v>35699.840000000004</v>
      </c>
      <c r="Q119" s="46">
        <f t="shared" si="32"/>
        <v>-4.6055582277741092E-2</v>
      </c>
      <c r="R119" s="6">
        <v>-51313.060299558783</v>
      </c>
      <c r="S119" s="15">
        <v>-2.3051813366401799E-2</v>
      </c>
      <c r="T119" s="6">
        <f>IFERROR(VLOOKUP($I119,RESUMO!$A$3:$M$200,3,FALSE),"")</f>
        <v>45445.030000000006</v>
      </c>
      <c r="U119" s="46">
        <f t="shared" si="45"/>
        <v>-0.11435744165914097</v>
      </c>
      <c r="V119" s="6">
        <v>-64554.960201500078</v>
      </c>
      <c r="W119" s="15">
        <v>-2.3051813366401799E-2</v>
      </c>
      <c r="X119" s="6">
        <f>IFERROR(VLOOKUP($I119,RESUMO!$A$3:$M$200,4,FALSE),"")</f>
        <v>61484.200000000004</v>
      </c>
      <c r="Y119" s="46">
        <f t="shared" si="46"/>
        <v>-4.7568152654963836E-2</v>
      </c>
      <c r="Z119" s="6">
        <v>-56391.877710522778</v>
      </c>
      <c r="AA119" s="15">
        <v>-2.3051813366401799E-2</v>
      </c>
      <c r="AB119" s="6">
        <f>IFERROR(VLOOKUP($I119,RESUMO!$A$3:$M$200,5,FALSE),"")</f>
        <v>61227.86</v>
      </c>
      <c r="AC119" s="46">
        <f t="shared" si="47"/>
        <v>8.5756716850285297E-2</v>
      </c>
      <c r="AD119" s="6">
        <v>-59078.68897377159</v>
      </c>
      <c r="AE119" s="15">
        <v>-2.3051813366401799E-2</v>
      </c>
      <c r="AF119" s="6">
        <f>IFERROR(VLOOKUP($I119,RESUMO!$A$3:$M$200,6,FALSE),"")</f>
        <v>0</v>
      </c>
      <c r="AG119" s="46">
        <f t="shared" si="48"/>
        <v>-1</v>
      </c>
      <c r="AH119" s="6">
        <v>-51121.809842490446</v>
      </c>
      <c r="AI119" s="15">
        <v>-2.3051813366401799E-2</v>
      </c>
      <c r="AJ119" s="6">
        <v>-51778.27895345875</v>
      </c>
      <c r="AK119" s="15">
        <v>-2.3051813366401799E-2</v>
      </c>
      <c r="AL119" s="6">
        <v>-62034.402492732093</v>
      </c>
      <c r="AM119" s="15">
        <v>-2.3051813366401799E-2</v>
      </c>
      <c r="AN119" s="6">
        <v>-68680.753592681591</v>
      </c>
      <c r="AO119" s="15">
        <v>-2.3051813366401802E-2</v>
      </c>
      <c r="AP119" s="6">
        <v>-69422.022857100601</v>
      </c>
      <c r="AQ119" s="15">
        <v>-2.3051813366401799E-2</v>
      </c>
      <c r="AR119" s="6">
        <v>-63129.041355132344</v>
      </c>
      <c r="AS119" s="15">
        <v>-2.3051813366401799E-2</v>
      </c>
      <c r="AT119" s="6">
        <v>-56626.108405340092</v>
      </c>
      <c r="AU119" s="15">
        <v>-2.3051813366401799E-2</v>
      </c>
      <c r="AW119" s="6">
        <v>-691554.40099205403</v>
      </c>
      <c r="AX119" s="15">
        <v>-2.3051813366401802E-2</v>
      </c>
      <c r="AY119" s="6">
        <v>-57629.533416004502</v>
      </c>
    </row>
    <row r="120" spans="2:51" outlineLevel="2" x14ac:dyDescent="0.25">
      <c r="B120" s="17" t="s">
        <v>152</v>
      </c>
      <c r="C120">
        <v>1</v>
      </c>
      <c r="D120">
        <v>9</v>
      </c>
      <c r="E120" s="17" t="s">
        <v>181</v>
      </c>
      <c r="F120" s="35">
        <v>-7324.1066666666675</v>
      </c>
      <c r="H120" t="s">
        <v>162</v>
      </c>
      <c r="I120" s="2" t="s">
        <v>101</v>
      </c>
      <c r="J120" s="6">
        <v>-7324.1066666666675</v>
      </c>
      <c r="K120" s="37">
        <v>-2.9296426666666668E-3</v>
      </c>
      <c r="L120" s="6">
        <v>-7324.1066666666675</v>
      </c>
      <c r="M120" s="15">
        <v>-3.6620533333333338E-3</v>
      </c>
      <c r="N120" s="6">
        <v>-7324.1066666666675</v>
      </c>
      <c r="O120" s="15">
        <v>-4.5114542402071821E-3</v>
      </c>
      <c r="P120" s="6">
        <f>IFERROR(VLOOKUP($I120,RESUMO!$A$3:$M$200,2,FALSE),"")</f>
        <v>7122.33</v>
      </c>
      <c r="Q120" s="46">
        <f t="shared" si="32"/>
        <v>-2.7549662484435133E-2</v>
      </c>
      <c r="R120" s="6">
        <v>-7324.1066666666675</v>
      </c>
      <c r="S120" s="15">
        <v>-3.2902722809746536E-3</v>
      </c>
      <c r="T120" s="6">
        <f>IFERROR(VLOOKUP($I120,RESUMO!$A$3:$M$200,3,FALSE),"")</f>
        <v>4005.16</v>
      </c>
      <c r="U120" s="46">
        <f t="shared" si="45"/>
        <v>-0.45315378621829661</v>
      </c>
      <c r="V120" s="6">
        <v>-7324.1066666666675</v>
      </c>
      <c r="W120" s="15">
        <v>-2.615351933122189E-3</v>
      </c>
      <c r="X120" s="6">
        <f>IFERROR(VLOOKUP($I120,RESUMO!$A$3:$M$200,4,FALSE),"")</f>
        <v>4874.22</v>
      </c>
      <c r="Y120" s="46">
        <f t="shared" si="46"/>
        <v>-0.33449631172311345</v>
      </c>
      <c r="Z120" s="6">
        <v>-7324.1066666666675</v>
      </c>
      <c r="AA120" s="15">
        <v>-2.9939407377476746E-3</v>
      </c>
      <c r="AB120" s="6">
        <f>IFERROR(VLOOKUP($I120,RESUMO!$A$3:$M$200,5,FALSE),"")</f>
        <v>6293.77</v>
      </c>
      <c r="AC120" s="46">
        <f t="shared" si="47"/>
        <v>-0.14067745235823981</v>
      </c>
      <c r="AD120" s="6">
        <v>-7324.1066666666675</v>
      </c>
      <c r="AE120" s="15">
        <v>-2.8577807478187989E-3</v>
      </c>
      <c r="AF120" s="6">
        <f>IFERROR(VLOOKUP($I120,RESUMO!$A$3:$M$200,6,FALSE),"")</f>
        <v>6341.55</v>
      </c>
      <c r="AG120" s="46">
        <f t="shared" si="48"/>
        <v>-0.1341537898592412</v>
      </c>
      <c r="AH120" s="6">
        <v>-7324.1066666666675</v>
      </c>
      <c r="AI120" s="15">
        <v>-3.3025814319916948E-3</v>
      </c>
      <c r="AJ120" s="6">
        <v>-7324.1066666666675</v>
      </c>
      <c r="AK120" s="15">
        <v>-3.2607097680356798E-3</v>
      </c>
      <c r="AL120" s="6">
        <v>-7324.1066666666675</v>
      </c>
      <c r="AM120" s="15">
        <v>-2.7216178954153651E-3</v>
      </c>
      <c r="AN120" s="6">
        <v>-7324.1066666666675</v>
      </c>
      <c r="AO120" s="15">
        <v>-2.4582423914115241E-3</v>
      </c>
      <c r="AP120" s="6">
        <v>-7324.1066666666675</v>
      </c>
      <c r="AQ120" s="15">
        <v>-2.4319939553353221E-3</v>
      </c>
      <c r="AR120" s="6">
        <v>-7324.1066666666675</v>
      </c>
      <c r="AS120" s="15">
        <v>-2.6744258479365159E-3</v>
      </c>
      <c r="AT120" s="6">
        <v>-7324.1066666666675</v>
      </c>
      <c r="AU120" s="15">
        <v>-2.9815564712142115E-3</v>
      </c>
      <c r="AW120" s="6">
        <v>-87889.280000000028</v>
      </c>
      <c r="AX120" s="15">
        <v>-2.9296426666666677E-3</v>
      </c>
      <c r="AY120" s="6">
        <v>-7324.1066666666693</v>
      </c>
    </row>
    <row r="121" spans="2:51" outlineLevel="2" x14ac:dyDescent="0.25">
      <c r="B121" s="17" t="s">
        <v>145</v>
      </c>
      <c r="C121">
        <v>1</v>
      </c>
      <c r="D121">
        <v>7</v>
      </c>
      <c r="E121" s="17" t="s">
        <v>185</v>
      </c>
      <c r="F121" s="42">
        <v>-1.816666666666667E-3</v>
      </c>
      <c r="H121" t="s">
        <v>163</v>
      </c>
      <c r="I121" s="2" t="s">
        <v>102</v>
      </c>
      <c r="J121" s="6">
        <v>-4541.666666666667</v>
      </c>
      <c r="K121" s="37">
        <v>-1.8166666666666667E-3</v>
      </c>
      <c r="L121" s="6">
        <v>-3633.3333333333339</v>
      </c>
      <c r="M121" s="15">
        <v>-1.816666666666667E-3</v>
      </c>
      <c r="N121" s="6">
        <v>-2949.2619754098214</v>
      </c>
      <c r="O121" s="15">
        <v>-1.816666666666667E-3</v>
      </c>
      <c r="P121" s="6">
        <f>IFERROR(VLOOKUP($I121,RESUMO!$A$3:$M$200,2,FALSE),"")</f>
        <v>1965</v>
      </c>
      <c r="Q121" s="46">
        <f t="shared" si="32"/>
        <v>-0.33373161950899632</v>
      </c>
      <c r="R121" s="6">
        <v>-4043.8782289783835</v>
      </c>
      <c r="S121" s="15">
        <v>-1.816666666666667E-3</v>
      </c>
      <c r="T121" s="6">
        <f>IFERROR(VLOOKUP($I121,RESUMO!$A$3:$M$200,3,FALSE),"")</f>
        <v>1965</v>
      </c>
      <c r="U121" s="46">
        <f t="shared" si="45"/>
        <v>-0.51408032370538925</v>
      </c>
      <c r="V121" s="6">
        <v>-5087.4455081693277</v>
      </c>
      <c r="W121" s="15">
        <v>-1.816666666666667E-3</v>
      </c>
      <c r="X121" s="6">
        <f>IFERROR(VLOOKUP($I121,RESUMO!$A$3:$M$200,4,FALSE),"")</f>
        <v>7759.59</v>
      </c>
      <c r="Y121" s="46">
        <f t="shared" si="46"/>
        <v>0.52524287238846901</v>
      </c>
      <c r="Z121" s="6">
        <v>-4444.1295302505132</v>
      </c>
      <c r="AA121" s="15">
        <v>-1.816666666666667E-3</v>
      </c>
      <c r="AB121" s="6">
        <f>IFERROR(VLOOKUP($I121,RESUMO!$A$3:$M$200,5,FALSE),"")</f>
        <v>2594.91</v>
      </c>
      <c r="AC121" s="46">
        <f t="shared" si="47"/>
        <v>-0.41610387763523937</v>
      </c>
      <c r="AD121" s="6">
        <v>-4655.8716775595331</v>
      </c>
      <c r="AE121" s="15">
        <v>-1.816666666666667E-3</v>
      </c>
      <c r="AF121" s="6">
        <f>IFERROR(VLOOKUP($I121,RESUMO!$A$3:$M$200,6,FALSE),"")</f>
        <v>1800</v>
      </c>
      <c r="AG121" s="46">
        <f t="shared" si="48"/>
        <v>-0.61339140666705283</v>
      </c>
      <c r="AH121" s="6">
        <v>-4028.8061682767639</v>
      </c>
      <c r="AI121" s="15">
        <v>-1.816666666666667E-3</v>
      </c>
      <c r="AJ121" s="6">
        <v>-4080.5411677163579</v>
      </c>
      <c r="AK121" s="15">
        <v>-1.816666666666667E-3</v>
      </c>
      <c r="AL121" s="6">
        <v>-4888.8054663580206</v>
      </c>
      <c r="AM121" s="15">
        <v>-1.8166666666666672E-3</v>
      </c>
      <c r="AN121" s="6">
        <v>-5412.5909189957647</v>
      </c>
      <c r="AO121" s="15">
        <v>-1.816666666666667E-3</v>
      </c>
      <c r="AP121" s="6">
        <v>-5471.0088465700564</v>
      </c>
      <c r="AQ121" s="15">
        <v>-1.8166666666666672E-3</v>
      </c>
      <c r="AR121" s="6">
        <v>-4975.0717353821674</v>
      </c>
      <c r="AS121" s="15">
        <v>-1.816666666666667E-3</v>
      </c>
      <c r="AT121" s="6">
        <v>-4462.5887763332958</v>
      </c>
      <c r="AU121" s="15">
        <v>-1.816666666666667E-3</v>
      </c>
      <c r="AW121" s="6">
        <v>-54500</v>
      </c>
      <c r="AX121" s="15">
        <v>-1.8166666666666667E-3</v>
      </c>
      <c r="AY121" s="6">
        <v>-4541.666666666667</v>
      </c>
    </row>
    <row r="122" spans="2:51" outlineLevel="2" x14ac:dyDescent="0.25">
      <c r="B122" s="17" t="s">
        <v>152</v>
      </c>
      <c r="C122">
        <v>8</v>
      </c>
      <c r="D122">
        <v>9</v>
      </c>
      <c r="E122" s="17" t="s">
        <v>186</v>
      </c>
      <c r="F122" s="35">
        <v>-24000</v>
      </c>
      <c r="H122" t="s">
        <v>161</v>
      </c>
      <c r="I122" s="2" t="s">
        <v>103</v>
      </c>
      <c r="J122" s="6">
        <v>-24000</v>
      </c>
      <c r="K122" s="37">
        <v>-9.5999999999999992E-3</v>
      </c>
      <c r="L122" s="6">
        <v>-24000</v>
      </c>
      <c r="M122" s="15">
        <v>-1.2E-2</v>
      </c>
      <c r="N122" s="6">
        <v>-24000</v>
      </c>
      <c r="O122" s="15">
        <v>-1.4783359485703697E-2</v>
      </c>
      <c r="P122" s="6">
        <f>IFERROR(VLOOKUP($I122,RESUMO!$A$3:$M$200,2,FALSE),"")</f>
        <v>24000</v>
      </c>
      <c r="Q122" s="46">
        <f t="shared" si="32"/>
        <v>0</v>
      </c>
      <c r="R122" s="6">
        <v>-24000</v>
      </c>
      <c r="S122" s="15">
        <v>-1.0781729204297727E-2</v>
      </c>
      <c r="T122" s="6">
        <f>IFERROR(VLOOKUP($I122,RESUMO!$A$3:$M$200,3,FALSE),"")</f>
        <v>24000</v>
      </c>
      <c r="U122" s="46">
        <f t="shared" si="45"/>
        <v>0</v>
      </c>
      <c r="V122" s="6">
        <v>-24000</v>
      </c>
      <c r="W122" s="15">
        <v>-8.5701163638977392E-3</v>
      </c>
      <c r="X122" s="6">
        <f>IFERROR(VLOOKUP($I122,RESUMO!$A$3:$M$200,4,FALSE),"")</f>
        <v>24000</v>
      </c>
      <c r="Y122" s="46">
        <f t="shared" si="46"/>
        <v>0</v>
      </c>
      <c r="Z122" s="6">
        <v>-24000</v>
      </c>
      <c r="AA122" s="15">
        <v>-9.8106951436094381E-3</v>
      </c>
      <c r="AB122" s="6">
        <f>IFERROR(VLOOKUP($I122,RESUMO!$A$3:$M$200,5,FALSE),"")</f>
        <v>24510</v>
      </c>
      <c r="AC122" s="46">
        <f t="shared" si="47"/>
        <v>2.1249999999999991E-2</v>
      </c>
      <c r="AD122" s="6">
        <v>-24000</v>
      </c>
      <c r="AE122" s="15">
        <v>-9.3645192607313878E-3</v>
      </c>
      <c r="AF122" s="6">
        <f>IFERROR(VLOOKUP($I122,RESUMO!$A$3:$M$200,6,FALSE),"")</f>
        <v>65</v>
      </c>
      <c r="AG122" s="46">
        <f t="shared" si="48"/>
        <v>-0.99729166666666669</v>
      </c>
      <c r="AH122" s="6">
        <v>-24000</v>
      </c>
      <c r="AI122" s="15">
        <v>-1.0822064447605077E-2</v>
      </c>
      <c r="AJ122" s="6">
        <v>-24000</v>
      </c>
      <c r="AK122" s="15">
        <v>-1.0684857279457468E-2</v>
      </c>
      <c r="AL122" s="6">
        <v>-24000</v>
      </c>
      <c r="AM122" s="15">
        <v>-8.9183339979531651E-3</v>
      </c>
      <c r="AN122" s="6">
        <v>-24000</v>
      </c>
      <c r="AO122" s="15">
        <v>-8.0552919392048589E-3</v>
      </c>
      <c r="AP122" s="6">
        <v>-24000</v>
      </c>
      <c r="AQ122" s="15">
        <v>-7.9692797476162355E-3</v>
      </c>
      <c r="AR122" s="6">
        <v>-24000</v>
      </c>
      <c r="AS122" s="15">
        <v>-8.7636927302819703E-3</v>
      </c>
      <c r="AT122" s="6">
        <v>-24000</v>
      </c>
      <c r="AU122" s="15">
        <v>-9.7701137580111352E-3</v>
      </c>
      <c r="AW122" s="6">
        <v>-288000</v>
      </c>
      <c r="AX122" s="15">
        <v>-9.5999999999999992E-3</v>
      </c>
      <c r="AY122" s="6">
        <v>-24000</v>
      </c>
    </row>
    <row r="123" spans="2:51" s="3" customFormat="1" outlineLevel="1" x14ac:dyDescent="0.25">
      <c r="B123" s="10"/>
      <c r="E123" s="10"/>
      <c r="F123" s="32"/>
      <c r="I123" s="9" t="s">
        <v>104</v>
      </c>
      <c r="J123" s="8">
        <v>-70803.114724999963</v>
      </c>
      <c r="K123" s="38">
        <v>-2.8321245889999985E-2</v>
      </c>
      <c r="L123" s="8">
        <v>-70803.114724999963</v>
      </c>
      <c r="M123" s="13">
        <v>-3.5401557362499982E-2</v>
      </c>
      <c r="N123" s="8">
        <v>-70803.114724999963</v>
      </c>
      <c r="O123" s="13">
        <v>-4.3612829070299806E-2</v>
      </c>
      <c r="P123" s="8">
        <f>SUM(P124:P130)</f>
        <v>74180.06</v>
      </c>
      <c r="Q123" s="45">
        <f>(P123*-1)/N123-1</f>
        <v>4.7694868906772436E-2</v>
      </c>
      <c r="R123" s="8">
        <v>-70803.114724999963</v>
      </c>
      <c r="S123" s="13">
        <v>-3.1807500407740608E-2</v>
      </c>
      <c r="T123" s="8">
        <f>SUM(T124:T130)</f>
        <v>63538.03</v>
      </c>
      <c r="U123" s="45">
        <f>(T123*-1)/R123-1</f>
        <v>-0.10260967689370204</v>
      </c>
      <c r="V123" s="8">
        <v>-70803.114724999963</v>
      </c>
      <c r="W123" s="13">
        <v>-2.5282955504985466E-2</v>
      </c>
      <c r="X123" s="8">
        <f>SUM(X124:X130)</f>
        <v>66306.179999999993</v>
      </c>
      <c r="Y123" s="45">
        <f>(X123*-1)/V123-1</f>
        <v>-6.3513233033124505E-2</v>
      </c>
      <c r="Z123" s="8">
        <v>-70803.114724999963</v>
      </c>
      <c r="AA123" s="13">
        <v>-2.8942823907707461E-2</v>
      </c>
      <c r="AB123" s="8">
        <f>SUM(AB124:AB130)</f>
        <v>72299.39</v>
      </c>
      <c r="AC123" s="45">
        <f>(AB123*-1)/Z123-1</f>
        <v>2.1132901861896647E-2</v>
      </c>
      <c r="AD123" s="8">
        <v>-70803.114724999963</v>
      </c>
      <c r="AE123" s="13">
        <v>-2.7626547148418182E-2</v>
      </c>
      <c r="AF123" s="8">
        <f>SUM(AF124:AF130)</f>
        <v>27982.51</v>
      </c>
      <c r="AG123" s="45">
        <f>(AF123*-1)/AD123-1</f>
        <v>-0.60478419475351664</v>
      </c>
      <c r="AH123" s="8">
        <v>-70803.114724999963</v>
      </c>
      <c r="AI123" s="13">
        <v>-3.1926494610213567E-2</v>
      </c>
      <c r="AJ123" s="8">
        <v>-70803.114724999963</v>
      </c>
      <c r="AK123" s="13">
        <v>-3.1521715657403256E-2</v>
      </c>
      <c r="AL123" s="8">
        <v>-70803.114724999963</v>
      </c>
      <c r="AM123" s="13">
        <v>-2.6310242717206063E-2</v>
      </c>
      <c r="AN123" s="8">
        <v>-70803.114724999963</v>
      </c>
      <c r="AO123" s="13">
        <v>-2.3764156638120381E-2</v>
      </c>
      <c r="AP123" s="8">
        <v>-70803.114724999963</v>
      </c>
      <c r="AQ123" s="13">
        <v>-2.3510409510253794E-2</v>
      </c>
      <c r="AR123" s="8">
        <v>-70803.114724999963</v>
      </c>
      <c r="AS123" s="13">
        <v>-2.5854030908200105E-2</v>
      </c>
      <c r="AT123" s="8">
        <v>-70803.114724999963</v>
      </c>
      <c r="AU123" s="13">
        <v>-2.8823103553531786E-2</v>
      </c>
      <c r="AV123" s="16"/>
      <c r="AW123" s="8">
        <v>-849637.37669999956</v>
      </c>
      <c r="AX123" s="13">
        <v>-2.8321245889999985E-2</v>
      </c>
      <c r="AY123" s="8">
        <v>-70803.114724999978</v>
      </c>
    </row>
    <row r="124" spans="2:51" outlineLevel="2" x14ac:dyDescent="0.25">
      <c r="E124" s="17" t="s">
        <v>156</v>
      </c>
      <c r="F124" s="35">
        <v>-12893.614999999965</v>
      </c>
      <c r="G124" s="6"/>
      <c r="H124" t="s">
        <v>162</v>
      </c>
      <c r="I124" s="2" t="s">
        <v>105</v>
      </c>
      <c r="J124" s="6">
        <v>-12893.614999999965</v>
      </c>
      <c r="K124" s="37">
        <v>-5.1574459999999857E-3</v>
      </c>
      <c r="L124" s="6">
        <v>-12893.614999999965</v>
      </c>
      <c r="M124" s="15">
        <v>-6.446807499999983E-3</v>
      </c>
      <c r="N124" s="6">
        <v>-12893.614999999965</v>
      </c>
      <c r="O124" s="15">
        <v>-7.942122733969206E-3</v>
      </c>
      <c r="P124" s="6">
        <f>IFERROR(VLOOKUP($I124,RESUMO!$A$3:$M$200,2,FALSE),"")</f>
        <v>11823</v>
      </c>
      <c r="Q124" s="46">
        <f t="shared" si="32"/>
        <v>-8.3034509716628624E-2</v>
      </c>
      <c r="R124" s="6">
        <v>-12893.614999999965</v>
      </c>
      <c r="S124" s="15">
        <v>-5.7923110581029526E-3</v>
      </c>
      <c r="T124" s="6">
        <f>IFERROR(VLOOKUP($I124,RESUMO!$A$3:$M$200,3,FALSE),"")</f>
        <v>11880</v>
      </c>
      <c r="U124" s="46">
        <f t="shared" ref="U124:U130" si="49">IFERROR((T124*-1)/R124-1,"")</f>
        <v>-7.861371694439212E-2</v>
      </c>
      <c r="V124" s="6">
        <v>-12893.614999999965</v>
      </c>
      <c r="W124" s="15">
        <v>-4.604157537554044E-3</v>
      </c>
      <c r="X124" s="6">
        <f>IFERROR(VLOOKUP($I124,RESUMO!$A$3:$M$200,4,FALSE),"")</f>
        <v>12244</v>
      </c>
      <c r="Y124" s="46">
        <f t="shared" ref="Y124:Y130" si="50">IFERROR((X124*-1)/V124-1,"")</f>
        <v>-5.0382689416425652E-2</v>
      </c>
      <c r="Z124" s="6">
        <v>-12893.614999999965</v>
      </c>
      <c r="AA124" s="15">
        <v>-5.2706385860028949E-3</v>
      </c>
      <c r="AB124" s="6">
        <f>IFERROR(VLOOKUP($I124,RESUMO!$A$3:$M$200,5,FALSE),"")</f>
        <v>11880</v>
      </c>
      <c r="AC124" s="46">
        <f t="shared" ref="AC124:AC130" si="51">IFERROR((AB124*-1)/Z124-1,"")</f>
        <v>-7.861371694439212E-2</v>
      </c>
      <c r="AD124" s="6">
        <v>-12893.614999999965</v>
      </c>
      <c r="AE124" s="15">
        <v>-5.0309377503314507E-3</v>
      </c>
      <c r="AF124" s="6">
        <f>IFERROR(VLOOKUP($I124,RESUMO!$A$3:$M$200,6,FALSE),"")</f>
        <v>7448</v>
      </c>
      <c r="AG124" s="46">
        <f t="shared" ref="AG124:AG130" si="52">IFERROR((AF124*-1)/AD124-1,"")</f>
        <v>-0.42234974442776363</v>
      </c>
      <c r="AH124" s="6">
        <v>-12893.614999999965</v>
      </c>
      <c r="AI124" s="15">
        <v>-5.8139805205252989E-3</v>
      </c>
      <c r="AJ124" s="6">
        <v>-12893.614999999965</v>
      </c>
      <c r="AK124" s="15">
        <v>-5.7402681704696512E-3</v>
      </c>
      <c r="AL124" s="6">
        <v>-12893.614999999965</v>
      </c>
      <c r="AM124" s="15">
        <v>-4.7912318754591071E-3</v>
      </c>
      <c r="AN124" s="6">
        <v>-12893.614999999965</v>
      </c>
      <c r="AO124" s="15">
        <v>-4.3275763740296081E-3</v>
      </c>
      <c r="AP124" s="6">
        <v>-12893.614999999965</v>
      </c>
      <c r="AQ124" s="15">
        <v>-4.281367703877526E-3</v>
      </c>
      <c r="AR124" s="6">
        <v>-12893.614999999965</v>
      </c>
      <c r="AS124" s="15">
        <v>-4.7081533351064275E-3</v>
      </c>
      <c r="AT124" s="6">
        <v>-12893.614999999965</v>
      </c>
      <c r="AU124" s="15">
        <v>-5.2488368875832662E-3</v>
      </c>
      <c r="AW124" s="6">
        <v>-154723.37999999957</v>
      </c>
      <c r="AX124" s="15">
        <v>-5.1574459999999857E-3</v>
      </c>
      <c r="AY124" s="6">
        <v>-12893.614999999963</v>
      </c>
    </row>
    <row r="125" spans="2:51" outlineLevel="2" x14ac:dyDescent="0.25">
      <c r="E125" s="17" t="s">
        <v>156</v>
      </c>
      <c r="F125" s="35">
        <v>-20796.908299999963</v>
      </c>
      <c r="G125" s="6"/>
      <c r="H125" t="s">
        <v>162</v>
      </c>
      <c r="I125" s="2" t="s">
        <v>106</v>
      </c>
      <c r="J125" s="6">
        <v>-20796.908299999963</v>
      </c>
      <c r="K125" s="37">
        <v>-8.3187633199999847E-3</v>
      </c>
      <c r="L125" s="6">
        <v>-20796.908299999963</v>
      </c>
      <c r="M125" s="15">
        <v>-1.0398454149999981E-2</v>
      </c>
      <c r="N125" s="6">
        <v>-20796.908299999963</v>
      </c>
      <c r="O125" s="15">
        <v>-1.2810340482921434E-2</v>
      </c>
      <c r="P125" s="6">
        <f>IFERROR(VLOOKUP($I125,RESUMO!$A$3:$M$200,2,FALSE),"")</f>
        <v>16033.429999999998</v>
      </c>
      <c r="Q125" s="46">
        <f t="shared" si="32"/>
        <v>-0.22904742528484257</v>
      </c>
      <c r="R125" s="6">
        <v>-20796.908299999963</v>
      </c>
      <c r="S125" s="15">
        <v>-9.3427763990504738E-3</v>
      </c>
      <c r="T125" s="6">
        <f>IFERROR(VLOOKUP($I125,RESUMO!$A$3:$M$200,3,FALSE),"")</f>
        <v>14452.9</v>
      </c>
      <c r="U125" s="46">
        <f t="shared" si="49"/>
        <v>-0.30504574086139402</v>
      </c>
      <c r="V125" s="6">
        <v>-20796.908299999963</v>
      </c>
      <c r="W125" s="15">
        <v>-7.4263301725129337E-3</v>
      </c>
      <c r="X125" s="6">
        <f>IFERROR(VLOOKUP($I125,RESUMO!$A$3:$M$200,4,FALSE),"")</f>
        <v>20130.41</v>
      </c>
      <c r="Y125" s="46">
        <f t="shared" si="50"/>
        <v>-3.204795108895897E-2</v>
      </c>
      <c r="Z125" s="6">
        <v>-20796.908299999963</v>
      </c>
      <c r="AA125" s="15">
        <v>-8.5013386358708531E-3</v>
      </c>
      <c r="AB125" s="6">
        <f>IFERROR(VLOOKUP($I125,RESUMO!$A$3:$M$200,5,FALSE),"")</f>
        <v>24211.55</v>
      </c>
      <c r="AC125" s="46">
        <f t="shared" si="51"/>
        <v>0.16418987143392094</v>
      </c>
      <c r="AD125" s="6">
        <v>-20796.908299999963</v>
      </c>
      <c r="AE125" s="15">
        <v>-8.1147103474589217E-3</v>
      </c>
      <c r="AF125" s="6">
        <f>IFERROR(VLOOKUP($I125,RESUMO!$A$3:$M$200,6,FALSE),"")</f>
        <v>5008.41</v>
      </c>
      <c r="AG125" s="46">
        <f t="shared" si="52"/>
        <v>-0.75917526164213511</v>
      </c>
      <c r="AH125" s="6">
        <v>-20796.908299999963</v>
      </c>
      <c r="AI125" s="15">
        <v>-9.3777284138971892E-3</v>
      </c>
      <c r="AJ125" s="6">
        <v>-20796.908299999963</v>
      </c>
      <c r="AK125" s="15">
        <v>-9.2588332099776682E-3</v>
      </c>
      <c r="AL125" s="6">
        <v>-20796.908299999963</v>
      </c>
      <c r="AM125" s="15">
        <v>-7.7280739310085006E-3</v>
      </c>
      <c r="AN125" s="6">
        <v>-20796.908299999963</v>
      </c>
      <c r="AO125" s="15">
        <v>-6.9802153245571812E-3</v>
      </c>
      <c r="AP125" s="6">
        <v>-20796.908299999963</v>
      </c>
      <c r="AQ125" s="15">
        <v>-6.9056825053425705E-3</v>
      </c>
      <c r="AR125" s="6">
        <v>-20796.908299999963</v>
      </c>
      <c r="AS125" s="15">
        <v>-7.594071420043768E-3</v>
      </c>
      <c r="AT125" s="6">
        <v>-20796.908299999963</v>
      </c>
      <c r="AU125" s="15">
        <v>-8.4661733294135663E-3</v>
      </c>
      <c r="AW125" s="6">
        <v>-249562.89959999951</v>
      </c>
      <c r="AX125" s="15">
        <v>-8.318763319999983E-3</v>
      </c>
      <c r="AY125" s="6">
        <v>-20796.908299999959</v>
      </c>
    </row>
    <row r="126" spans="2:51" outlineLevel="2" x14ac:dyDescent="0.25">
      <c r="E126" s="17" t="s">
        <v>156</v>
      </c>
      <c r="F126" s="35">
        <v>-5954.8560750000006</v>
      </c>
      <c r="G126" s="6"/>
      <c r="H126" t="s">
        <v>162</v>
      </c>
      <c r="I126" s="2" t="s">
        <v>107</v>
      </c>
      <c r="J126" s="6">
        <v>-5954.8560750000006</v>
      </c>
      <c r="K126" s="37">
        <v>-2.3819424300000002E-3</v>
      </c>
      <c r="L126" s="6">
        <v>-5954.8560750000006</v>
      </c>
      <c r="M126" s="15">
        <v>-2.9774280375000003E-3</v>
      </c>
      <c r="N126" s="6">
        <v>-5954.8560750000006</v>
      </c>
      <c r="O126" s="15">
        <v>-3.6680324184313142E-3</v>
      </c>
      <c r="P126" s="6">
        <f>IFERROR(VLOOKUP($I126,RESUMO!$A$3:$M$200,2,FALSE),"")</f>
        <v>6035.41</v>
      </c>
      <c r="Q126" s="46">
        <f t="shared" si="32"/>
        <v>1.3527434414105421E-2</v>
      </c>
      <c r="R126" s="6">
        <v>-5954.8560750000006</v>
      </c>
      <c r="S126" s="15">
        <v>-2.6751519021340517E-3</v>
      </c>
      <c r="T126" s="6">
        <f>IFERROR(VLOOKUP($I126,RESUMO!$A$3:$M$200,3,FALSE),"")</f>
        <v>6035.41</v>
      </c>
      <c r="U126" s="46">
        <f t="shared" si="49"/>
        <v>1.3527434414105421E-2</v>
      </c>
      <c r="V126" s="6">
        <v>-5954.8560750000006</v>
      </c>
      <c r="W126" s="15">
        <v>-2.1264087288755573E-3</v>
      </c>
      <c r="X126" s="6">
        <f>IFERROR(VLOOKUP($I126,RESUMO!$A$3:$M$200,4,FALSE),"")</f>
        <v>6035.41</v>
      </c>
      <c r="Y126" s="46">
        <f t="shared" si="50"/>
        <v>1.3527434414105421E-2</v>
      </c>
      <c r="Z126" s="6">
        <v>-5954.8560750000006</v>
      </c>
      <c r="AA126" s="15">
        <v>-2.4342198989956527E-3</v>
      </c>
      <c r="AB126" s="6">
        <f>IFERROR(VLOOKUP($I126,RESUMO!$A$3:$M$200,5,FALSE),"")</f>
        <v>0</v>
      </c>
      <c r="AC126" s="46">
        <f t="shared" si="51"/>
        <v>-1</v>
      </c>
      <c r="AD126" s="6">
        <v>-5954.8560750000006</v>
      </c>
      <c r="AE126" s="15">
        <v>-2.3235151837175342E-3</v>
      </c>
      <c r="AF126" s="6">
        <f>IFERROR(VLOOKUP($I126,RESUMO!$A$3:$M$200,6,FALSE),"")</f>
        <v>0</v>
      </c>
      <c r="AG126" s="46">
        <f t="shared" si="52"/>
        <v>-1</v>
      </c>
      <c r="AH126" s="6">
        <v>-5954.8560750000006</v>
      </c>
      <c r="AI126" s="15">
        <v>-2.6851598424942761E-3</v>
      </c>
      <c r="AJ126" s="6">
        <v>-5954.8560750000006</v>
      </c>
      <c r="AK126" s="15">
        <v>-2.6511161367118868E-3</v>
      </c>
      <c r="AL126" s="6">
        <v>-5954.8560750000006</v>
      </c>
      <c r="AM126" s="15">
        <v>-2.2128081411079354E-3</v>
      </c>
      <c r="AN126" s="6">
        <v>-5954.8560750000006</v>
      </c>
      <c r="AO126" s="15">
        <v>-1.9986710058363579E-3</v>
      </c>
      <c r="AP126" s="6">
        <v>-5954.8560750000006</v>
      </c>
      <c r="AQ126" s="15">
        <v>-1.9773297466027921E-3</v>
      </c>
      <c r="AR126" s="6">
        <v>-5954.8560750000006</v>
      </c>
      <c r="AS126" s="15">
        <v>-2.1744387039313723E-3</v>
      </c>
      <c r="AT126" s="6">
        <v>-5954.8560750000006</v>
      </c>
      <c r="AU126" s="15">
        <v>-2.4241508860555704E-3</v>
      </c>
      <c r="AW126" s="6">
        <v>-71458.272900000025</v>
      </c>
      <c r="AX126" s="15">
        <v>-2.3819424300000011E-3</v>
      </c>
      <c r="AY126" s="6">
        <v>-5954.8560750000024</v>
      </c>
    </row>
    <row r="127" spans="2:51" outlineLevel="2" x14ac:dyDescent="0.25">
      <c r="E127" s="17" t="s">
        <v>156</v>
      </c>
      <c r="F127" s="35">
        <v>-10254.909874999998</v>
      </c>
      <c r="G127" s="6"/>
      <c r="H127" t="s">
        <v>162</v>
      </c>
      <c r="I127" s="2" t="s">
        <v>108</v>
      </c>
      <c r="J127" s="6">
        <v>-10254.909874999998</v>
      </c>
      <c r="K127" s="37">
        <v>-4.1019639499999989E-3</v>
      </c>
      <c r="L127" s="6">
        <v>-10254.909874999998</v>
      </c>
      <c r="M127" s="15">
        <v>-5.1274549374999987E-3</v>
      </c>
      <c r="N127" s="6">
        <v>-10254.909874999998</v>
      </c>
      <c r="O127" s="15">
        <v>-6.3167507989840719E-3</v>
      </c>
      <c r="P127" s="6">
        <f>IFERROR(VLOOKUP($I127,RESUMO!$A$3:$M$200,2,FALSE),"")</f>
        <v>8966</v>
      </c>
      <c r="Q127" s="46">
        <f t="shared" si="32"/>
        <v>-0.12568709922475041</v>
      </c>
      <c r="R127" s="6">
        <v>-10254.909874999998</v>
      </c>
      <c r="S127" s="15">
        <v>-4.6069025536136926E-3</v>
      </c>
      <c r="T127" s="6">
        <f>IFERROR(VLOOKUP($I127,RESUMO!$A$3:$M$200,3,FALSE),"")</f>
        <v>9436</v>
      </c>
      <c r="U127" s="46">
        <f t="shared" si="49"/>
        <v>-7.9855394633587484E-2</v>
      </c>
      <c r="V127" s="6">
        <v>-10254.909874999998</v>
      </c>
      <c r="W127" s="15">
        <v>-3.6619071220847501E-3</v>
      </c>
      <c r="X127" s="6">
        <f>IFERROR(VLOOKUP($I127,RESUMO!$A$3:$M$200,4,FALSE),"")</f>
        <v>9436</v>
      </c>
      <c r="Y127" s="46">
        <f t="shared" si="50"/>
        <v>-7.9855394633587484E-2</v>
      </c>
      <c r="Z127" s="6">
        <v>-10254.909874999998</v>
      </c>
      <c r="AA127" s="15">
        <v>-4.1919914378672901E-3</v>
      </c>
      <c r="AB127" s="6">
        <f>IFERROR(VLOOKUP($I127,RESUMO!$A$3:$M$200,5,FALSE),"")</f>
        <v>10504.369999999999</v>
      </c>
      <c r="AC127" s="46">
        <f t="shared" si="51"/>
        <v>2.4325920758031083E-2</v>
      </c>
      <c r="AD127" s="6">
        <v>-10254.909874999998</v>
      </c>
      <c r="AE127" s="15">
        <v>-4.0013458767292499E-3</v>
      </c>
      <c r="AF127" s="6">
        <f>IFERROR(VLOOKUP($I127,RESUMO!$A$3:$M$200,6,FALSE),"")</f>
        <v>4718</v>
      </c>
      <c r="AG127" s="46">
        <f t="shared" si="52"/>
        <v>-0.53992769731679369</v>
      </c>
      <c r="AH127" s="6">
        <v>-10254.909874999998</v>
      </c>
      <c r="AI127" s="15">
        <v>-4.6241373154846544E-3</v>
      </c>
      <c r="AJ127" s="6">
        <v>-10254.909874999998</v>
      </c>
      <c r="AK127" s="15">
        <v>-4.5655103511697496E-3</v>
      </c>
      <c r="AL127" s="6">
        <v>-10254.909874999998</v>
      </c>
      <c r="AM127" s="15">
        <v>-3.8106963076732546E-3</v>
      </c>
      <c r="AN127" s="6">
        <v>-10254.909874999998</v>
      </c>
      <c r="AO127" s="15">
        <v>-3.4419288688899916E-3</v>
      </c>
      <c r="AP127" s="6">
        <v>-10254.909874999998</v>
      </c>
      <c r="AQ127" s="15">
        <v>-3.4051768991861342E-3</v>
      </c>
      <c r="AR127" s="6">
        <v>-10254.909874999998</v>
      </c>
      <c r="AS127" s="15">
        <v>-3.7446199633847611E-3</v>
      </c>
      <c r="AT127" s="6">
        <v>-10254.909874999998</v>
      </c>
      <c r="AU127" s="15">
        <v>-4.174651502370905E-3</v>
      </c>
      <c r="AW127" s="6">
        <v>-123058.91849999997</v>
      </c>
      <c r="AX127" s="15">
        <v>-4.1019639499999989E-3</v>
      </c>
      <c r="AY127" s="6">
        <v>-10254.909874999998</v>
      </c>
    </row>
    <row r="128" spans="2:51" outlineLevel="2" x14ac:dyDescent="0.25">
      <c r="E128" s="17" t="s">
        <v>156</v>
      </c>
      <c r="F128" s="35">
        <v>-11768.402275000035</v>
      </c>
      <c r="G128" s="6"/>
      <c r="H128" t="s">
        <v>162</v>
      </c>
      <c r="I128" s="2" t="s">
        <v>109</v>
      </c>
      <c r="J128" s="6">
        <v>-11768.402275000035</v>
      </c>
      <c r="K128" s="37">
        <v>-4.7073609100000136E-3</v>
      </c>
      <c r="L128" s="6">
        <v>-11768.402275000035</v>
      </c>
      <c r="M128" s="15">
        <v>-5.8842011375000178E-3</v>
      </c>
      <c r="N128" s="6">
        <v>-11768.402275000035</v>
      </c>
      <c r="O128" s="15">
        <v>-7.2490217251541143E-3</v>
      </c>
      <c r="P128" s="6">
        <f>IFERROR(VLOOKUP($I128,RESUMO!$A$3:$M$200,2,FALSE),"")</f>
        <v>23441.37</v>
      </c>
      <c r="Q128" s="46">
        <f t="shared" si="32"/>
        <v>0.99189061116624089</v>
      </c>
      <c r="R128" s="6">
        <v>-11768.402275000035</v>
      </c>
      <c r="S128" s="15">
        <v>-5.2868219373454865E-3</v>
      </c>
      <c r="T128" s="6">
        <f>IFERROR(VLOOKUP($I128,RESUMO!$A$3:$M$200,3,FALSE),"")</f>
        <v>11301.72</v>
      </c>
      <c r="U128" s="46">
        <f t="shared" si="49"/>
        <v>-3.9655533868979131E-2</v>
      </c>
      <c r="V128" s="6">
        <v>-11768.402275000035</v>
      </c>
      <c r="W128" s="15">
        <v>-4.2023573714128825E-3</v>
      </c>
      <c r="X128" s="6">
        <f>IFERROR(VLOOKUP($I128,RESUMO!$A$3:$M$200,4,FALSE),"")</f>
        <v>9711.93</v>
      </c>
      <c r="Y128" s="46">
        <f t="shared" si="50"/>
        <v>-0.17474523957841415</v>
      </c>
      <c r="Z128" s="6">
        <v>-11768.402275000035</v>
      </c>
      <c r="AA128" s="15">
        <v>-4.8106752936410467E-3</v>
      </c>
      <c r="AB128" s="6">
        <f>IFERROR(VLOOKUP($I128,RESUMO!$A$3:$M$200,5,FALSE),"")</f>
        <v>19383.469999999998</v>
      </c>
      <c r="AC128" s="46">
        <f t="shared" si="51"/>
        <v>0.64707744917735144</v>
      </c>
      <c r="AD128" s="6">
        <v>-11768.402275000035</v>
      </c>
      <c r="AE128" s="15">
        <v>-4.5918929071780377E-3</v>
      </c>
      <c r="AF128" s="6">
        <f>IFERROR(VLOOKUP($I128,RESUMO!$A$3:$M$200,6,FALSE),"")</f>
        <v>6176.0999999999995</v>
      </c>
      <c r="AG128" s="46">
        <f t="shared" si="52"/>
        <v>-0.47519638981749701</v>
      </c>
      <c r="AH128" s="6">
        <v>-11768.402275000035</v>
      </c>
      <c r="AI128" s="15">
        <v>-5.306600327724691E-3</v>
      </c>
      <c r="AJ128" s="6">
        <v>-11768.402275000035</v>
      </c>
      <c r="AK128" s="15">
        <v>-5.2393207798174151E-3</v>
      </c>
      <c r="AL128" s="6">
        <v>-11768.402275000035</v>
      </c>
      <c r="AM128" s="15">
        <v>-4.3731059212800908E-3</v>
      </c>
      <c r="AN128" s="6">
        <v>-11768.402275000035</v>
      </c>
      <c r="AO128" s="15">
        <v>-3.9499131659636632E-3</v>
      </c>
      <c r="AP128" s="6">
        <v>-11768.402275000035</v>
      </c>
      <c r="AQ128" s="15">
        <v>-3.9077370796649418E-3</v>
      </c>
      <c r="AR128" s="6">
        <v>-11768.402275000035</v>
      </c>
      <c r="AS128" s="15">
        <v>-4.2972775610188169E-3</v>
      </c>
      <c r="AT128" s="6">
        <v>-11768.402275000035</v>
      </c>
      <c r="AU128" s="15">
        <v>-4.7907762073661408E-3</v>
      </c>
      <c r="AW128" s="6">
        <v>-141220.82730000038</v>
      </c>
      <c r="AX128" s="15">
        <v>-4.7073609100000127E-3</v>
      </c>
      <c r="AY128" s="6">
        <v>-11768.402275000031</v>
      </c>
    </row>
    <row r="129" spans="2:51" outlineLevel="2" x14ac:dyDescent="0.25">
      <c r="E129" s="17" t="s">
        <v>156</v>
      </c>
      <c r="F129" s="35">
        <v>-1339.17</v>
      </c>
      <c r="G129" s="6"/>
      <c r="H129" t="s">
        <v>162</v>
      </c>
      <c r="I129" s="2" t="s">
        <v>110</v>
      </c>
      <c r="J129" s="6">
        <v>-1339.17</v>
      </c>
      <c r="K129" s="37">
        <v>-5.3566799999999999E-4</v>
      </c>
      <c r="L129" s="6">
        <v>-1339.17</v>
      </c>
      <c r="M129" s="15">
        <v>-6.6958499999999999E-4</v>
      </c>
      <c r="N129" s="6">
        <v>-1339.17</v>
      </c>
      <c r="O129" s="15">
        <v>-8.2489298010290923E-4</v>
      </c>
      <c r="P129" s="6">
        <f>IFERROR(VLOOKUP($I129,RESUMO!$A$3:$M$200,2,FALSE),"")</f>
        <v>1195</v>
      </c>
      <c r="Q129" s="46">
        <f t="shared" si="32"/>
        <v>-0.10765623483202291</v>
      </c>
      <c r="R129" s="6">
        <v>-1339.17</v>
      </c>
      <c r="S129" s="15">
        <v>-6.0160701243830786E-4</v>
      </c>
      <c r="T129" s="6">
        <f>IFERROR(VLOOKUP($I129,RESUMO!$A$3:$M$200,3,FALSE),"")</f>
        <v>1082</v>
      </c>
      <c r="U129" s="46">
        <f t="shared" si="49"/>
        <v>-0.19203685865125419</v>
      </c>
      <c r="V129" s="6">
        <v>-1339.17</v>
      </c>
      <c r="W129" s="15">
        <v>-4.7820178046003903E-4</v>
      </c>
      <c r="X129" s="6">
        <f>IFERROR(VLOOKUP($I129,RESUMO!$A$3:$M$200,4,FALSE),"")</f>
        <v>978.5</v>
      </c>
      <c r="Y129" s="46">
        <f t="shared" si="50"/>
        <v>-0.26932353622019611</v>
      </c>
      <c r="Z129" s="6">
        <v>-1339.17</v>
      </c>
      <c r="AA129" s="15">
        <v>-5.4742452564447719E-4</v>
      </c>
      <c r="AB129" s="6">
        <f>IFERROR(VLOOKUP($I129,RESUMO!$A$3:$M$200,5,FALSE),"")</f>
        <v>670</v>
      </c>
      <c r="AC129" s="46">
        <f t="shared" si="51"/>
        <v>-0.49969010655854007</v>
      </c>
      <c r="AD129" s="6">
        <v>-1339.17</v>
      </c>
      <c r="AE129" s="15">
        <v>-5.2252846909973559E-4</v>
      </c>
      <c r="AF129" s="6">
        <f>IFERROR(VLOOKUP($I129,RESUMO!$A$3:$M$200,6,FALSE),"")</f>
        <v>232</v>
      </c>
      <c r="AG129" s="46">
        <f t="shared" si="52"/>
        <v>-0.82675836525609148</v>
      </c>
      <c r="AH129" s="6">
        <v>-1339.17</v>
      </c>
      <c r="AI129" s="15">
        <v>-6.038576685958039E-4</v>
      </c>
      <c r="AJ129" s="6">
        <v>-1339.17</v>
      </c>
      <c r="AK129" s="15">
        <v>-5.9620168012212743E-4</v>
      </c>
      <c r="AL129" s="6">
        <v>-1339.17</v>
      </c>
      <c r="AM129" s="15">
        <v>-4.9763188916828913E-4</v>
      </c>
      <c r="AN129" s="6">
        <v>-1339.17</v>
      </c>
      <c r="AO129" s="15">
        <v>-4.494752210927072E-4</v>
      </c>
      <c r="AP129" s="6">
        <v>-1339.17</v>
      </c>
      <c r="AQ129" s="15">
        <v>-4.4467584831730145E-4</v>
      </c>
      <c r="AR129" s="6">
        <v>-1339.17</v>
      </c>
      <c r="AS129" s="15">
        <v>-4.8900309973382114E-4</v>
      </c>
      <c r="AT129" s="6">
        <v>-1339.17</v>
      </c>
      <c r="AU129" s="15">
        <v>-5.4516013505482382E-4</v>
      </c>
      <c r="AW129" s="6">
        <v>-16070.04</v>
      </c>
      <c r="AX129" s="15">
        <v>-5.3566799999999999E-4</v>
      </c>
      <c r="AY129" s="6">
        <v>-1339.17</v>
      </c>
    </row>
    <row r="130" spans="2:51" outlineLevel="2" x14ac:dyDescent="0.25">
      <c r="E130" s="17" t="s">
        <v>156</v>
      </c>
      <c r="F130" s="35">
        <v>-7795.2532000000037</v>
      </c>
      <c r="G130" s="6"/>
      <c r="H130" t="s">
        <v>162</v>
      </c>
      <c r="I130" s="2" t="s">
        <v>111</v>
      </c>
      <c r="J130" s="6">
        <v>-7795.2532000000037</v>
      </c>
      <c r="K130" s="37">
        <v>-3.1181012800000013E-3</v>
      </c>
      <c r="L130" s="6">
        <v>-7795.2532000000037</v>
      </c>
      <c r="M130" s="15">
        <v>-3.8976266000000019E-3</v>
      </c>
      <c r="N130" s="6">
        <v>-7795.2532000000037</v>
      </c>
      <c r="O130" s="15">
        <v>-4.8016679307367567E-3</v>
      </c>
      <c r="P130" s="6">
        <f>IFERROR(VLOOKUP($I130,RESUMO!$A$3:$M$200,2,FALSE),"")</f>
        <v>6685.8499999999995</v>
      </c>
      <c r="Q130" s="46">
        <f t="shared" si="32"/>
        <v>-0.14231778898471237</v>
      </c>
      <c r="R130" s="6">
        <v>-7795.2532000000037</v>
      </c>
      <c r="S130" s="15">
        <v>-3.5019295450556395E-3</v>
      </c>
      <c r="T130" s="6">
        <f>IFERROR(VLOOKUP($I130,RESUMO!$A$3:$M$200,3,FALSE),"")</f>
        <v>9350</v>
      </c>
      <c r="U130" s="46">
        <f t="shared" si="49"/>
        <v>0.1994478896464833</v>
      </c>
      <c r="V130" s="6">
        <v>-7795.2532000000037</v>
      </c>
      <c r="W130" s="15">
        <v>-2.7835927920852603E-3</v>
      </c>
      <c r="X130" s="6">
        <f>IFERROR(VLOOKUP($I130,RESUMO!$A$3:$M$200,4,FALSE),"")</f>
        <v>7769.93</v>
      </c>
      <c r="Y130" s="46">
        <f t="shared" si="50"/>
        <v>-3.248541048032072E-3</v>
      </c>
      <c r="Z130" s="6">
        <v>-7795.2532000000037</v>
      </c>
      <c r="AA130" s="15">
        <v>-3.1865355296852491E-3</v>
      </c>
      <c r="AB130" s="6">
        <f>IFERROR(VLOOKUP($I130,RESUMO!$A$3:$M$200,5,FALSE),"")</f>
        <v>5650</v>
      </c>
      <c r="AC130" s="46">
        <f t="shared" si="51"/>
        <v>-0.27519993834196466</v>
      </c>
      <c r="AD130" s="6">
        <v>-7795.2532000000037</v>
      </c>
      <c r="AE130" s="15">
        <v>-3.0416166139032512E-3</v>
      </c>
      <c r="AF130" s="6">
        <f>IFERROR(VLOOKUP($I130,RESUMO!$A$3:$M$200,6,FALSE),"")</f>
        <v>4400</v>
      </c>
      <c r="AG130" s="46">
        <f t="shared" si="52"/>
        <v>-0.4355539342840079</v>
      </c>
      <c r="AH130" s="6">
        <v>-7795.2532000000037</v>
      </c>
      <c r="AI130" s="15">
        <v>-3.5150305214916564E-3</v>
      </c>
      <c r="AJ130" s="6">
        <v>-7795.2532000000037</v>
      </c>
      <c r="AK130" s="15">
        <v>-3.4704653291347566E-3</v>
      </c>
      <c r="AL130" s="6">
        <v>-7795.2532000000037</v>
      </c>
      <c r="AM130" s="15">
        <v>-2.8966946515088846E-3</v>
      </c>
      <c r="AN130" s="6">
        <v>-7795.2532000000037</v>
      </c>
      <c r="AO130" s="15">
        <v>-2.6163766777508716E-3</v>
      </c>
      <c r="AP130" s="6">
        <v>-7795.2532000000037</v>
      </c>
      <c r="AQ130" s="15">
        <v>-2.5884397272625285E-3</v>
      </c>
      <c r="AR130" s="6">
        <v>-7795.2532000000037</v>
      </c>
      <c r="AS130" s="15">
        <v>-2.8464668249811374E-3</v>
      </c>
      <c r="AT130" s="6">
        <v>-7795.2532000000037</v>
      </c>
      <c r="AU130" s="15">
        <v>-3.1733546056875151E-3</v>
      </c>
      <c r="AW130" s="6">
        <v>-93543.038400000063</v>
      </c>
      <c r="AX130" s="15">
        <v>-3.1181012800000022E-3</v>
      </c>
      <c r="AY130" s="6">
        <v>-7795.2532000000056</v>
      </c>
    </row>
    <row r="131" spans="2:51" x14ac:dyDescent="0.25">
      <c r="I131" s="1"/>
      <c r="X131" s="6" t="str">
        <f>IFERROR(VLOOKUP($I131,RESUMO!$A$3:$M$200,4,FALSE),"")</f>
        <v/>
      </c>
      <c r="AB131" s="6" t="str">
        <f>IFERROR(VLOOKUP($I131,RESUMO!$A$3:$M$200,5,FALSE),"")</f>
        <v/>
      </c>
      <c r="AF131" s="6" t="str">
        <f>IFERROR(VLOOKUP($I131,RESUMO!$A$3:$M$200,6,FALSE),"")</f>
        <v/>
      </c>
    </row>
    <row r="132" spans="2:51" s="3" customFormat="1" x14ac:dyDescent="0.25">
      <c r="B132" s="10"/>
      <c r="E132" s="10"/>
      <c r="F132" s="32"/>
      <c r="I132" s="4" t="s">
        <v>112</v>
      </c>
      <c r="J132" s="7">
        <v>190534.20894554863</v>
      </c>
      <c r="K132" s="41">
        <v>7.6213683578219449E-2</v>
      </c>
      <c r="L132" s="7">
        <v>-29596.04439907847</v>
      </c>
      <c r="M132" s="14">
        <v>-1.4798022199539235E-2</v>
      </c>
      <c r="N132" s="7">
        <v>-195377.47705101164</v>
      </c>
      <c r="O132" s="14">
        <v>-0.12034731161062205</v>
      </c>
      <c r="P132" s="48">
        <f>P64-P66</f>
        <v>-243980.70999999985</v>
      </c>
      <c r="Q132" s="14">
        <f>P132/N132-1</f>
        <v>0.24876579267270538</v>
      </c>
      <c r="R132" s="7">
        <v>69897.554009385756</v>
      </c>
      <c r="S132" s="14">
        <v>3.1400687473832171E-2</v>
      </c>
      <c r="T132" s="48">
        <f>T64-T66</f>
        <v>82862.37</v>
      </c>
      <c r="U132" s="14">
        <f>T132/R132-1</f>
        <v>0.18548311417125318</v>
      </c>
      <c r="V132" s="7">
        <v>322801.10947778868</v>
      </c>
      <c r="W132" s="14">
        <v>0.11526846127583093</v>
      </c>
      <c r="X132" s="48">
        <f>X64-X66</f>
        <v>318956.60999999964</v>
      </c>
      <c r="Y132" s="14">
        <f>X132/V132-1</f>
        <v>-1.190980874882519E-2</v>
      </c>
      <c r="Z132" s="7">
        <v>166896.54889072594</v>
      </c>
      <c r="AA132" s="14">
        <v>6.822379840364251E-2</v>
      </c>
      <c r="AB132" s="48">
        <f>AB64-AB66</f>
        <v>388688.28000000014</v>
      </c>
      <c r="AC132" s="14">
        <f>AB132/Z132-1</f>
        <v>1.3289174197034499</v>
      </c>
      <c r="AD132" s="7">
        <v>188844.62866006279</v>
      </c>
      <c r="AE132" s="14">
        <v>7.3684965098867697E-2</v>
      </c>
      <c r="AF132" s="48">
        <f>AF64-AF66</f>
        <v>181578.96000000002</v>
      </c>
      <c r="AG132" s="14">
        <f>AF132/AD132-1</f>
        <v>-3.8474319929647671E-2</v>
      </c>
      <c r="AH132" s="7">
        <v>36878.291681610979</v>
      </c>
      <c r="AI132" s="14">
        <v>1.6629135387332176E-2</v>
      </c>
      <c r="AJ132" s="7">
        <v>49416.022177121486</v>
      </c>
      <c r="AK132" s="14">
        <v>2.200013101171034E-2</v>
      </c>
      <c r="AL132" s="7">
        <v>245295.02198931202</v>
      </c>
      <c r="AM132" s="14">
        <v>9.1150955588997939E-2</v>
      </c>
      <c r="AN132" s="7">
        <v>372231.92957174534</v>
      </c>
      <c r="AO132" s="14">
        <v>0.12493486924141463</v>
      </c>
      <c r="AP132" s="7">
        <v>386389.23584344843</v>
      </c>
      <c r="AQ132" s="14">
        <v>0.12830182966267112</v>
      </c>
      <c r="AR132" s="7">
        <v>266201.24105945695</v>
      </c>
      <c r="AS132" s="14">
        <v>9.7204411711033389E-2</v>
      </c>
      <c r="AT132" s="7">
        <v>142003.43891975144</v>
      </c>
      <c r="AU132" s="14">
        <v>5.7807906344781557E-2</v>
      </c>
      <c r="AV132" s="16"/>
      <c r="AW132" s="7">
        <v>2051477.5452293977</v>
      </c>
      <c r="AX132" s="14">
        <v>6.8382584840979921E-2</v>
      </c>
      <c r="AY132" s="7">
        <v>170956.46210244985</v>
      </c>
    </row>
    <row r="133" spans="2:51" x14ac:dyDescent="0.25">
      <c r="I133" t="s">
        <v>113</v>
      </c>
    </row>
    <row r="134" spans="2:51" s="3" customFormat="1" x14ac:dyDescent="0.25">
      <c r="B134" s="10"/>
      <c r="E134" s="10"/>
      <c r="F134" s="32"/>
      <c r="I134" s="4" t="s">
        <v>137</v>
      </c>
      <c r="J134" s="7">
        <v>-70298.945059523816</v>
      </c>
      <c r="K134" s="41">
        <v>-2.8119578023809527E-2</v>
      </c>
      <c r="L134" s="7">
        <v>-70298.945059523816</v>
      </c>
      <c r="M134" s="14">
        <v>-3.5149472529761909E-2</v>
      </c>
      <c r="N134" s="7">
        <v>-70298.945059523816</v>
      </c>
      <c r="O134" s="14">
        <v>-4.3302274011694772E-2</v>
      </c>
      <c r="P134" s="48">
        <f>P143</f>
        <v>46089.81</v>
      </c>
      <c r="Q134" s="14">
        <f t="shared" ref="Q134" si="53">IFERROR((P134*-1)/N134-1,"")</f>
        <v>-0.3443740875346758</v>
      </c>
      <c r="R134" s="7">
        <v>-70298.945059523816</v>
      </c>
      <c r="S134" s="14">
        <v>-3.1581007874149553E-2</v>
      </c>
      <c r="T134" s="48">
        <f>T143</f>
        <v>50627.689999999988</v>
      </c>
      <c r="U134" s="14">
        <f t="shared" ref="U134" si="54">IFERROR((T134*-1)/R134-1,"")</f>
        <v>-0.27982290549122324</v>
      </c>
      <c r="V134" s="7">
        <v>-70298.945059523816</v>
      </c>
      <c r="W134" s="14">
        <v>-2.5102922475807216E-2</v>
      </c>
      <c r="X134" s="48">
        <f>X143</f>
        <v>52086.069999999992</v>
      </c>
      <c r="Y134" s="14">
        <f t="shared" ref="Y134" si="55">IFERROR((X134*-1)/V134-1,"")</f>
        <v>-0.25907750171930088</v>
      </c>
      <c r="Z134" s="7">
        <v>-70298.945059523816</v>
      </c>
      <c r="AA134" s="14">
        <v>-2.8736729954014044E-2</v>
      </c>
      <c r="AB134" s="48">
        <f>AB143</f>
        <v>60734.84</v>
      </c>
      <c r="AC134" s="14">
        <f t="shared" ref="AC134" si="56">IFERROR((AB134*-1)/Z134-1,"")</f>
        <v>-0.13604905523725375</v>
      </c>
      <c r="AD134" s="7">
        <v>-70298.945059523816</v>
      </c>
      <c r="AE134" s="14">
        <v>-2.7429826042458687E-2</v>
      </c>
      <c r="AF134" s="48">
        <f>AF143</f>
        <v>204013.52000000002</v>
      </c>
      <c r="AG134" s="14">
        <f t="shared" ref="AG134" si="57">IFERROR((AF134*-1)/AD134-1,"")</f>
        <v>1.9020850857328919</v>
      </c>
      <c r="AH134" s="7">
        <v>-70298.945059523816</v>
      </c>
      <c r="AI134" s="14">
        <v>-3.1699154751367302E-2</v>
      </c>
      <c r="AJ134" s="7">
        <v>-70298.945059523816</v>
      </c>
      <c r="AK134" s="14">
        <v>-3.1297258119059736E-2</v>
      </c>
      <c r="AL134" s="7">
        <v>-70298.945059523816</v>
      </c>
      <c r="AM134" s="14">
        <v>-2.6122894656024704E-2</v>
      </c>
      <c r="AN134" s="7">
        <v>-70298.945059523816</v>
      </c>
      <c r="AO134" s="14">
        <v>-2.359493856135781E-2</v>
      </c>
      <c r="AP134" s="7">
        <v>-70298.945059523816</v>
      </c>
      <c r="AQ134" s="14">
        <v>-2.334299829756873E-2</v>
      </c>
      <c r="AR134" s="7">
        <v>-70298.945059523816</v>
      </c>
      <c r="AS134" s="14">
        <v>-2.5669931406860021E-2</v>
      </c>
      <c r="AT134" s="7">
        <v>-70298.945059523816</v>
      </c>
      <c r="AU134" s="14">
        <v>-2.8617862095821772E-2</v>
      </c>
      <c r="AV134" s="16"/>
      <c r="AW134" s="7">
        <v>-843587.34071428562</v>
      </c>
      <c r="AX134" s="14">
        <v>-2.811957802380952E-2</v>
      </c>
      <c r="AY134" s="7">
        <v>-70298.945059523816</v>
      </c>
    </row>
    <row r="135" spans="2:51" s="3" customFormat="1" outlineLevel="1" x14ac:dyDescent="0.25">
      <c r="B135" s="10"/>
      <c r="E135" s="10"/>
      <c r="F135" s="32"/>
      <c r="I135" s="9" t="s">
        <v>114</v>
      </c>
      <c r="J135" s="8">
        <v>0</v>
      </c>
      <c r="K135" s="38">
        <v>0</v>
      </c>
      <c r="L135" s="8">
        <v>0</v>
      </c>
      <c r="M135" s="13">
        <v>0</v>
      </c>
      <c r="N135" s="8">
        <v>0</v>
      </c>
      <c r="O135" s="13">
        <v>0</v>
      </c>
      <c r="P135" s="13"/>
      <c r="Q135" s="13"/>
      <c r="R135" s="8">
        <v>0</v>
      </c>
      <c r="S135" s="13">
        <v>0</v>
      </c>
      <c r="T135" s="13"/>
      <c r="U135" s="13"/>
      <c r="V135" s="8">
        <v>0</v>
      </c>
      <c r="W135" s="13">
        <v>0</v>
      </c>
      <c r="X135" s="13"/>
      <c r="Y135" s="13"/>
      <c r="Z135" s="8">
        <v>0</v>
      </c>
      <c r="AA135" s="13">
        <v>0</v>
      </c>
      <c r="AB135" s="13"/>
      <c r="AC135" s="13"/>
      <c r="AD135" s="8">
        <v>0</v>
      </c>
      <c r="AE135" s="13">
        <v>0</v>
      </c>
      <c r="AF135" s="13"/>
      <c r="AG135" s="13"/>
      <c r="AH135" s="8">
        <v>0</v>
      </c>
      <c r="AI135" s="13">
        <v>0</v>
      </c>
      <c r="AJ135" s="8">
        <v>0</v>
      </c>
      <c r="AK135" s="13">
        <v>0</v>
      </c>
      <c r="AL135" s="8">
        <v>0</v>
      </c>
      <c r="AM135" s="13">
        <v>0</v>
      </c>
      <c r="AN135" s="8">
        <v>0</v>
      </c>
      <c r="AO135" s="13">
        <v>0</v>
      </c>
      <c r="AP135" s="8">
        <v>0</v>
      </c>
      <c r="AQ135" s="13">
        <v>0</v>
      </c>
      <c r="AR135" s="8">
        <v>0</v>
      </c>
      <c r="AS135" s="13">
        <v>0</v>
      </c>
      <c r="AT135" s="8">
        <v>0</v>
      </c>
      <c r="AU135" s="13">
        <v>0</v>
      </c>
      <c r="AV135" s="16"/>
      <c r="AW135" s="8">
        <v>0</v>
      </c>
      <c r="AX135" s="13">
        <v>0</v>
      </c>
      <c r="AY135" s="8">
        <v>0</v>
      </c>
    </row>
    <row r="136" spans="2:51" outlineLevel="2" x14ac:dyDescent="0.25">
      <c r="E136" s="17" t="s">
        <v>149</v>
      </c>
      <c r="F136" s="35"/>
      <c r="I136" s="2" t="s">
        <v>115</v>
      </c>
      <c r="J136" s="6">
        <v>0</v>
      </c>
      <c r="K136" s="37">
        <v>0</v>
      </c>
      <c r="L136" s="6">
        <v>0</v>
      </c>
      <c r="M136" s="15">
        <v>0</v>
      </c>
      <c r="N136" s="6">
        <v>0</v>
      </c>
      <c r="O136" s="15">
        <v>0</v>
      </c>
      <c r="P136" s="6" t="str">
        <f>IFERROR(VLOOKUP($I136,RESUMO!$A$3:$M$200,2,FALSE),"")</f>
        <v/>
      </c>
      <c r="R136" s="6">
        <v>0</v>
      </c>
      <c r="S136" s="15">
        <v>0</v>
      </c>
      <c r="T136" s="6" t="str">
        <f>IFERROR(VLOOKUP($I136,RESUMO!$A$3:$M$200,3,FALSE),"")</f>
        <v/>
      </c>
      <c r="V136" s="6">
        <v>0</v>
      </c>
      <c r="W136" s="15">
        <v>0</v>
      </c>
      <c r="X136" s="6" t="str">
        <f>IFERROR(VLOOKUP($I136,RESUMO!$A$3:$M$200,4,FALSE),"")</f>
        <v/>
      </c>
      <c r="Z136" s="6">
        <v>0</v>
      </c>
      <c r="AA136" s="15">
        <v>0</v>
      </c>
      <c r="AB136" s="6" t="str">
        <f>IFERROR(VLOOKUP($I136,RESUMO!$A$3:$M$200,5,FALSE),"")</f>
        <v/>
      </c>
      <c r="AD136" s="6">
        <v>0</v>
      </c>
      <c r="AE136" s="15">
        <v>0</v>
      </c>
      <c r="AF136" s="6" t="str">
        <f>IFERROR(VLOOKUP($I136,RESUMO!$A$3:$M$200,6,FALSE),"")</f>
        <v/>
      </c>
      <c r="AH136" s="6">
        <v>0</v>
      </c>
      <c r="AI136" s="15">
        <v>0</v>
      </c>
      <c r="AJ136" s="6">
        <v>0</v>
      </c>
      <c r="AK136" s="15">
        <v>0</v>
      </c>
      <c r="AL136" s="6">
        <v>0</v>
      </c>
      <c r="AM136" s="15">
        <v>0</v>
      </c>
      <c r="AN136" s="6">
        <v>0</v>
      </c>
      <c r="AO136" s="15">
        <v>0</v>
      </c>
      <c r="AP136" s="6">
        <v>0</v>
      </c>
      <c r="AQ136" s="15">
        <v>0</v>
      </c>
      <c r="AR136" s="6">
        <v>0</v>
      </c>
      <c r="AS136" s="15">
        <v>0</v>
      </c>
      <c r="AT136" s="6">
        <v>0</v>
      </c>
      <c r="AU136" s="15">
        <v>0</v>
      </c>
      <c r="AW136" s="6">
        <v>0</v>
      </c>
      <c r="AX136" s="15">
        <v>0</v>
      </c>
      <c r="AY136" s="6">
        <v>0</v>
      </c>
    </row>
    <row r="137" spans="2:51" outlineLevel="2" x14ac:dyDescent="0.25">
      <c r="E137" s="17" t="s">
        <v>149</v>
      </c>
      <c r="F137" s="35"/>
      <c r="I137" s="2" t="s">
        <v>116</v>
      </c>
      <c r="J137" s="6">
        <v>0</v>
      </c>
      <c r="K137" s="37">
        <v>0</v>
      </c>
      <c r="L137" s="6">
        <v>0</v>
      </c>
      <c r="M137" s="15">
        <v>0</v>
      </c>
      <c r="N137" s="6">
        <v>0</v>
      </c>
      <c r="O137" s="15">
        <v>0</v>
      </c>
      <c r="P137" s="6" t="str">
        <f>IFERROR(VLOOKUP($I137,RESUMO!$A$3:$M$200,2,FALSE),"")</f>
        <v/>
      </c>
      <c r="R137" s="6">
        <v>0</v>
      </c>
      <c r="S137" s="15">
        <v>0</v>
      </c>
      <c r="T137" s="6" t="str">
        <f>IFERROR(VLOOKUP($I137,RESUMO!$A$3:$M$200,3,FALSE),"")</f>
        <v/>
      </c>
      <c r="V137" s="6">
        <v>0</v>
      </c>
      <c r="W137" s="15">
        <v>0</v>
      </c>
      <c r="X137" s="6" t="str">
        <f>IFERROR(VLOOKUP($I137,RESUMO!$A$3:$M$200,4,FALSE),"")</f>
        <v/>
      </c>
      <c r="Z137" s="6">
        <v>0</v>
      </c>
      <c r="AA137" s="15">
        <v>0</v>
      </c>
      <c r="AB137" s="6" t="str">
        <f>IFERROR(VLOOKUP($I137,RESUMO!$A$3:$M$200,5,FALSE),"")</f>
        <v/>
      </c>
      <c r="AD137" s="6">
        <v>0</v>
      </c>
      <c r="AE137" s="15">
        <v>0</v>
      </c>
      <c r="AF137" s="6" t="str">
        <f>IFERROR(VLOOKUP($I137,RESUMO!$A$3:$M$200,6,FALSE),"")</f>
        <v/>
      </c>
      <c r="AH137" s="6">
        <v>0</v>
      </c>
      <c r="AI137" s="15">
        <v>0</v>
      </c>
      <c r="AJ137" s="6">
        <v>0</v>
      </c>
      <c r="AK137" s="15">
        <v>0</v>
      </c>
      <c r="AL137" s="6">
        <v>0</v>
      </c>
      <c r="AM137" s="15">
        <v>0</v>
      </c>
      <c r="AN137" s="6">
        <v>0</v>
      </c>
      <c r="AO137" s="15">
        <v>0</v>
      </c>
      <c r="AP137" s="6">
        <v>0</v>
      </c>
      <c r="AQ137" s="15">
        <v>0</v>
      </c>
      <c r="AR137" s="6">
        <v>0</v>
      </c>
      <c r="AS137" s="15">
        <v>0</v>
      </c>
      <c r="AT137" s="6">
        <v>0</v>
      </c>
      <c r="AU137" s="15">
        <v>0</v>
      </c>
      <c r="AW137" s="6">
        <v>0</v>
      </c>
      <c r="AX137" s="15">
        <v>0</v>
      </c>
      <c r="AY137" s="6">
        <v>0</v>
      </c>
    </row>
    <row r="138" spans="2:51" outlineLevel="2" x14ac:dyDescent="0.25">
      <c r="E138" s="17" t="s">
        <v>149</v>
      </c>
      <c r="F138" s="35"/>
      <c r="I138" s="2" t="s">
        <v>117</v>
      </c>
      <c r="J138" s="6">
        <v>0</v>
      </c>
      <c r="K138" s="37">
        <v>0</v>
      </c>
      <c r="L138" s="6">
        <v>0</v>
      </c>
      <c r="M138" s="15">
        <v>0</v>
      </c>
      <c r="N138" s="6">
        <v>0</v>
      </c>
      <c r="O138" s="15">
        <v>0</v>
      </c>
      <c r="P138" s="6" t="str">
        <f>IFERROR(VLOOKUP($I138,RESUMO!$A$3:$M$200,2,FALSE),"")</f>
        <v/>
      </c>
      <c r="R138" s="6">
        <v>0</v>
      </c>
      <c r="S138" s="15">
        <v>0</v>
      </c>
      <c r="T138" s="6" t="str">
        <f>IFERROR(VLOOKUP($I138,RESUMO!$A$3:$M$200,3,FALSE),"")</f>
        <v/>
      </c>
      <c r="V138" s="6">
        <v>0</v>
      </c>
      <c r="W138" s="15">
        <v>0</v>
      </c>
      <c r="X138" s="6" t="str">
        <f>IFERROR(VLOOKUP($I138,RESUMO!$A$3:$M$200,4,FALSE),"")</f>
        <v/>
      </c>
      <c r="Z138" s="6">
        <v>0</v>
      </c>
      <c r="AA138" s="15">
        <v>0</v>
      </c>
      <c r="AB138" s="6" t="str">
        <f>IFERROR(VLOOKUP($I138,RESUMO!$A$3:$M$200,5,FALSE),"")</f>
        <v/>
      </c>
      <c r="AD138" s="6">
        <v>0</v>
      </c>
      <c r="AE138" s="15">
        <v>0</v>
      </c>
      <c r="AF138" s="6" t="str">
        <f>IFERROR(VLOOKUP($I138,RESUMO!$A$3:$M$200,6,FALSE),"")</f>
        <v/>
      </c>
      <c r="AH138" s="6">
        <v>0</v>
      </c>
      <c r="AI138" s="15">
        <v>0</v>
      </c>
      <c r="AJ138" s="6">
        <v>0</v>
      </c>
      <c r="AK138" s="15">
        <v>0</v>
      </c>
      <c r="AL138" s="6">
        <v>0</v>
      </c>
      <c r="AM138" s="15">
        <v>0</v>
      </c>
      <c r="AN138" s="6">
        <v>0</v>
      </c>
      <c r="AO138" s="15">
        <v>0</v>
      </c>
      <c r="AP138" s="6">
        <v>0</v>
      </c>
      <c r="AQ138" s="15">
        <v>0</v>
      </c>
      <c r="AR138" s="6">
        <v>0</v>
      </c>
      <c r="AS138" s="15">
        <v>0</v>
      </c>
      <c r="AT138" s="6">
        <v>0</v>
      </c>
      <c r="AU138" s="15">
        <v>0</v>
      </c>
      <c r="AW138" s="6">
        <v>0</v>
      </c>
      <c r="AX138" s="15">
        <v>0</v>
      </c>
      <c r="AY138" s="6">
        <v>0</v>
      </c>
    </row>
    <row r="139" spans="2:51" outlineLevel="2" x14ac:dyDescent="0.25">
      <c r="E139" s="17" t="s">
        <v>149</v>
      </c>
      <c r="F139" s="35"/>
      <c r="I139" s="2" t="s">
        <v>118</v>
      </c>
      <c r="J139" s="6">
        <v>0</v>
      </c>
      <c r="K139" s="37">
        <v>0</v>
      </c>
      <c r="L139" s="6">
        <v>0</v>
      </c>
      <c r="M139" s="15">
        <v>0</v>
      </c>
      <c r="N139" s="6">
        <v>0</v>
      </c>
      <c r="O139" s="15">
        <v>0</v>
      </c>
      <c r="P139" s="6" t="str">
        <f>IFERROR(VLOOKUP($I139,RESUMO!$A$3:$M$200,2,FALSE),"")</f>
        <v/>
      </c>
      <c r="R139" s="6">
        <v>0</v>
      </c>
      <c r="S139" s="15">
        <v>0</v>
      </c>
      <c r="T139" s="6" t="str">
        <f>IFERROR(VLOOKUP($I139,RESUMO!$A$3:$M$200,3,FALSE),"")</f>
        <v/>
      </c>
      <c r="V139" s="6">
        <v>0</v>
      </c>
      <c r="W139" s="15">
        <v>0</v>
      </c>
      <c r="X139" s="6" t="str">
        <f>IFERROR(VLOOKUP($I139,RESUMO!$A$3:$M$200,4,FALSE),"")</f>
        <v/>
      </c>
      <c r="Z139" s="6">
        <v>0</v>
      </c>
      <c r="AA139" s="15">
        <v>0</v>
      </c>
      <c r="AB139" s="6" t="str">
        <f>IFERROR(VLOOKUP($I139,RESUMO!$A$3:$M$200,5,FALSE),"")</f>
        <v/>
      </c>
      <c r="AD139" s="6">
        <v>0</v>
      </c>
      <c r="AE139" s="15">
        <v>0</v>
      </c>
      <c r="AF139" s="6" t="str">
        <f>IFERROR(VLOOKUP($I139,RESUMO!$A$3:$M$200,6,FALSE),"")</f>
        <v/>
      </c>
      <c r="AH139" s="6">
        <v>0</v>
      </c>
      <c r="AI139" s="15">
        <v>0</v>
      </c>
      <c r="AJ139" s="6">
        <v>0</v>
      </c>
      <c r="AK139" s="15">
        <v>0</v>
      </c>
      <c r="AL139" s="6">
        <v>0</v>
      </c>
      <c r="AM139" s="15">
        <v>0</v>
      </c>
      <c r="AN139" s="6">
        <v>0</v>
      </c>
      <c r="AO139" s="15">
        <v>0</v>
      </c>
      <c r="AP139" s="6">
        <v>0</v>
      </c>
      <c r="AQ139" s="15">
        <v>0</v>
      </c>
      <c r="AR139" s="6">
        <v>0</v>
      </c>
      <c r="AS139" s="15">
        <v>0</v>
      </c>
      <c r="AT139" s="6">
        <v>0</v>
      </c>
      <c r="AU139" s="15">
        <v>0</v>
      </c>
      <c r="AW139" s="6">
        <v>0</v>
      </c>
      <c r="AX139" s="15">
        <v>0</v>
      </c>
      <c r="AY139" s="6">
        <v>0</v>
      </c>
    </row>
    <row r="140" spans="2:51" outlineLevel="2" x14ac:dyDescent="0.25">
      <c r="E140" s="17" t="s">
        <v>149</v>
      </c>
      <c r="F140" s="35"/>
      <c r="I140" s="2" t="s">
        <v>119</v>
      </c>
      <c r="J140" s="6">
        <v>0</v>
      </c>
      <c r="K140" s="37">
        <v>0</v>
      </c>
      <c r="L140" s="6">
        <v>0</v>
      </c>
      <c r="M140" s="15">
        <v>0</v>
      </c>
      <c r="N140" s="6">
        <v>0</v>
      </c>
      <c r="O140" s="15">
        <v>0</v>
      </c>
      <c r="P140" s="6" t="str">
        <f>IFERROR(VLOOKUP($I140,RESUMO!$A$3:$M$200,2,FALSE),"")</f>
        <v/>
      </c>
      <c r="R140" s="6">
        <v>0</v>
      </c>
      <c r="S140" s="15">
        <v>0</v>
      </c>
      <c r="T140" s="6" t="str">
        <f>IFERROR(VLOOKUP($I140,RESUMO!$A$3:$M$200,3,FALSE),"")</f>
        <v/>
      </c>
      <c r="V140" s="6">
        <v>0</v>
      </c>
      <c r="W140" s="15">
        <v>0</v>
      </c>
      <c r="X140" s="6" t="str">
        <f>IFERROR(VLOOKUP($I140,RESUMO!$A$3:$M$200,4,FALSE),"")</f>
        <v/>
      </c>
      <c r="Z140" s="6">
        <v>0</v>
      </c>
      <c r="AA140" s="15">
        <v>0</v>
      </c>
      <c r="AB140" s="6" t="str">
        <f>IFERROR(VLOOKUP($I140,RESUMO!$A$3:$M$200,5,FALSE),"")</f>
        <v/>
      </c>
      <c r="AD140" s="6">
        <v>0</v>
      </c>
      <c r="AE140" s="15">
        <v>0</v>
      </c>
      <c r="AF140" s="6" t="str">
        <f>IFERROR(VLOOKUP($I140,RESUMO!$A$3:$M$200,6,FALSE),"")</f>
        <v/>
      </c>
      <c r="AH140" s="6">
        <v>0</v>
      </c>
      <c r="AI140" s="15">
        <v>0</v>
      </c>
      <c r="AJ140" s="6">
        <v>0</v>
      </c>
      <c r="AK140" s="15">
        <v>0</v>
      </c>
      <c r="AL140" s="6">
        <v>0</v>
      </c>
      <c r="AM140" s="15">
        <v>0</v>
      </c>
      <c r="AN140" s="6">
        <v>0</v>
      </c>
      <c r="AO140" s="15">
        <v>0</v>
      </c>
      <c r="AP140" s="6">
        <v>0</v>
      </c>
      <c r="AQ140" s="15">
        <v>0</v>
      </c>
      <c r="AR140" s="6">
        <v>0</v>
      </c>
      <c r="AS140" s="15">
        <v>0</v>
      </c>
      <c r="AT140" s="6">
        <v>0</v>
      </c>
      <c r="AU140" s="15">
        <v>0</v>
      </c>
      <c r="AW140" s="6">
        <v>0</v>
      </c>
      <c r="AX140" s="15">
        <v>0</v>
      </c>
      <c r="AY140" s="6">
        <v>0</v>
      </c>
    </row>
    <row r="141" spans="2:51" outlineLevel="2" x14ac:dyDescent="0.25">
      <c r="E141" s="17" t="s">
        <v>149</v>
      </c>
      <c r="F141" s="35"/>
      <c r="I141" s="2" t="s">
        <v>120</v>
      </c>
      <c r="J141" s="6">
        <v>0</v>
      </c>
      <c r="K141" s="37">
        <v>0</v>
      </c>
      <c r="L141" s="6">
        <v>0</v>
      </c>
      <c r="M141" s="15">
        <v>0</v>
      </c>
      <c r="N141" s="6">
        <v>0</v>
      </c>
      <c r="O141" s="15">
        <v>0</v>
      </c>
      <c r="P141" s="6" t="str">
        <f>IFERROR(VLOOKUP($I141,RESUMO!$A$3:$M$200,2,FALSE),"")</f>
        <v/>
      </c>
      <c r="R141" s="6">
        <v>0</v>
      </c>
      <c r="S141" s="15">
        <v>0</v>
      </c>
      <c r="T141" s="6" t="str">
        <f>IFERROR(VLOOKUP($I141,RESUMO!$A$3:$M$200,3,FALSE),"")</f>
        <v/>
      </c>
      <c r="V141" s="6">
        <v>0</v>
      </c>
      <c r="W141" s="15">
        <v>0</v>
      </c>
      <c r="X141" s="6" t="str">
        <f>IFERROR(VLOOKUP($I141,RESUMO!$A$3:$M$200,4,FALSE),"")</f>
        <v/>
      </c>
      <c r="Z141" s="6">
        <v>0</v>
      </c>
      <c r="AA141" s="15">
        <v>0</v>
      </c>
      <c r="AB141" s="6" t="str">
        <f>IFERROR(VLOOKUP($I141,RESUMO!$A$3:$M$200,5,FALSE),"")</f>
        <v/>
      </c>
      <c r="AD141" s="6">
        <v>0</v>
      </c>
      <c r="AE141" s="15">
        <v>0</v>
      </c>
      <c r="AF141" s="6" t="str">
        <f>IFERROR(VLOOKUP($I141,RESUMO!$A$3:$M$200,6,FALSE),"")</f>
        <v/>
      </c>
      <c r="AH141" s="6">
        <v>0</v>
      </c>
      <c r="AI141" s="15">
        <v>0</v>
      </c>
      <c r="AJ141" s="6">
        <v>0</v>
      </c>
      <c r="AK141" s="15">
        <v>0</v>
      </c>
      <c r="AL141" s="6">
        <v>0</v>
      </c>
      <c r="AM141" s="15">
        <v>0</v>
      </c>
      <c r="AN141" s="6">
        <v>0</v>
      </c>
      <c r="AO141" s="15">
        <v>0</v>
      </c>
      <c r="AP141" s="6">
        <v>0</v>
      </c>
      <c r="AQ141" s="15">
        <v>0</v>
      </c>
      <c r="AR141" s="6">
        <v>0</v>
      </c>
      <c r="AS141" s="15">
        <v>0</v>
      </c>
      <c r="AT141" s="6">
        <v>0</v>
      </c>
      <c r="AU141" s="15">
        <v>0</v>
      </c>
      <c r="AW141" s="6">
        <v>0</v>
      </c>
      <c r="AX141" s="15">
        <v>0</v>
      </c>
      <c r="AY141" s="6">
        <v>0</v>
      </c>
    </row>
    <row r="142" spans="2:51" outlineLevel="2" x14ac:dyDescent="0.25">
      <c r="E142" s="17" t="s">
        <v>149</v>
      </c>
      <c r="F142" s="35"/>
      <c r="I142" s="2" t="s">
        <v>121</v>
      </c>
      <c r="J142" s="6">
        <v>0</v>
      </c>
      <c r="K142" s="37">
        <v>0</v>
      </c>
      <c r="L142" s="6">
        <v>0</v>
      </c>
      <c r="M142" s="15">
        <v>0</v>
      </c>
      <c r="N142" s="6">
        <v>0</v>
      </c>
      <c r="O142" s="15">
        <v>0</v>
      </c>
      <c r="P142" s="6" t="str">
        <f>IFERROR(VLOOKUP($I142,RESUMO!$A$3:$M$200,2,FALSE),"")</f>
        <v/>
      </c>
      <c r="R142" s="6">
        <v>0</v>
      </c>
      <c r="S142" s="15">
        <v>0</v>
      </c>
      <c r="T142" s="6" t="str">
        <f>IFERROR(VLOOKUP($I142,RESUMO!$A$3:$M$200,3,FALSE),"")</f>
        <v/>
      </c>
      <c r="V142" s="6">
        <v>0</v>
      </c>
      <c r="W142" s="15">
        <v>0</v>
      </c>
      <c r="X142" s="6" t="str">
        <f>IFERROR(VLOOKUP($I142,RESUMO!$A$3:$M$200,4,FALSE),"")</f>
        <v/>
      </c>
      <c r="Z142" s="6">
        <v>0</v>
      </c>
      <c r="AA142" s="15">
        <v>0</v>
      </c>
      <c r="AB142" s="6" t="str">
        <f>IFERROR(VLOOKUP($I142,RESUMO!$A$3:$M$200,5,FALSE),"")</f>
        <v/>
      </c>
      <c r="AD142" s="6">
        <v>0</v>
      </c>
      <c r="AE142" s="15">
        <v>0</v>
      </c>
      <c r="AF142" s="6" t="str">
        <f>IFERROR(VLOOKUP($I142,RESUMO!$A$3:$M$200,6,FALSE),"")</f>
        <v/>
      </c>
      <c r="AH142" s="6">
        <v>0</v>
      </c>
      <c r="AI142" s="15">
        <v>0</v>
      </c>
      <c r="AJ142" s="6">
        <v>0</v>
      </c>
      <c r="AK142" s="15">
        <v>0</v>
      </c>
      <c r="AL142" s="6">
        <v>0</v>
      </c>
      <c r="AM142" s="15">
        <v>0</v>
      </c>
      <c r="AN142" s="6">
        <v>0</v>
      </c>
      <c r="AO142" s="15">
        <v>0</v>
      </c>
      <c r="AP142" s="6">
        <v>0</v>
      </c>
      <c r="AQ142" s="15">
        <v>0</v>
      </c>
      <c r="AR142" s="6">
        <v>0</v>
      </c>
      <c r="AS142" s="15">
        <v>0</v>
      </c>
      <c r="AT142" s="6">
        <v>0</v>
      </c>
      <c r="AU142" s="15">
        <v>0</v>
      </c>
      <c r="AW142" s="6">
        <v>0</v>
      </c>
      <c r="AX142" s="15">
        <v>0</v>
      </c>
      <c r="AY142" s="6">
        <v>0</v>
      </c>
    </row>
    <row r="143" spans="2:51" s="3" customFormat="1" outlineLevel="1" x14ac:dyDescent="0.25">
      <c r="B143" s="10"/>
      <c r="E143" s="10"/>
      <c r="F143" s="32"/>
      <c r="I143" s="9" t="s">
        <v>122</v>
      </c>
      <c r="J143" s="8">
        <v>-70298.945059523816</v>
      </c>
      <c r="K143" s="38">
        <v>-2.8119578023809527E-2</v>
      </c>
      <c r="L143" s="8">
        <v>-70298.945059523816</v>
      </c>
      <c r="M143" s="13">
        <v>-3.5149472529761909E-2</v>
      </c>
      <c r="N143" s="8">
        <v>-70298.945059523816</v>
      </c>
      <c r="O143" s="13">
        <v>-4.3302274011694772E-2</v>
      </c>
      <c r="P143" s="49">
        <f>SUM(P144:P149)</f>
        <v>46089.81</v>
      </c>
      <c r="Q143" s="13"/>
      <c r="R143" s="8">
        <v>-70298.945059523816</v>
      </c>
      <c r="S143" s="13">
        <v>-3.1581007874149553E-2</v>
      </c>
      <c r="T143" s="49">
        <f>SUM(T144:T149)</f>
        <v>50627.689999999988</v>
      </c>
      <c r="U143" s="13"/>
      <c r="V143" s="8">
        <v>-70298.945059523816</v>
      </c>
      <c r="W143" s="13">
        <v>-2.5102922475807216E-2</v>
      </c>
      <c r="X143" s="49">
        <f>SUM(X144:X149)</f>
        <v>52086.069999999992</v>
      </c>
      <c r="Y143" s="13"/>
      <c r="Z143" s="8">
        <v>-70298.945059523816</v>
      </c>
      <c r="AA143" s="13">
        <v>-2.8736729954014044E-2</v>
      </c>
      <c r="AB143" s="49">
        <f>SUM(AB144:AB149)</f>
        <v>60734.84</v>
      </c>
      <c r="AC143" s="13"/>
      <c r="AD143" s="8">
        <v>-70298.945059523816</v>
      </c>
      <c r="AE143" s="13">
        <v>-2.7429826042458687E-2</v>
      </c>
      <c r="AF143" s="49">
        <f>SUM(AF144:AF149)</f>
        <v>204013.52000000002</v>
      </c>
      <c r="AG143" s="13"/>
      <c r="AH143" s="8">
        <v>-70298.945059523816</v>
      </c>
      <c r="AI143" s="13">
        <v>-3.1699154751367302E-2</v>
      </c>
      <c r="AJ143" s="8">
        <v>-70298.945059523816</v>
      </c>
      <c r="AK143" s="13">
        <v>-3.1297258119059736E-2</v>
      </c>
      <c r="AL143" s="8">
        <v>-70298.945059523816</v>
      </c>
      <c r="AM143" s="13">
        <v>-2.6122894656024704E-2</v>
      </c>
      <c r="AN143" s="8">
        <v>-70298.945059523816</v>
      </c>
      <c r="AO143" s="13">
        <v>-2.359493856135781E-2</v>
      </c>
      <c r="AP143" s="8">
        <v>-70298.945059523816</v>
      </c>
      <c r="AQ143" s="13">
        <v>-2.334299829756873E-2</v>
      </c>
      <c r="AR143" s="8">
        <v>-70298.945059523816</v>
      </c>
      <c r="AS143" s="13">
        <v>-2.5669931406860021E-2</v>
      </c>
      <c r="AT143" s="8">
        <v>-70298.945059523816</v>
      </c>
      <c r="AU143" s="13">
        <v>-2.8617862095821772E-2</v>
      </c>
      <c r="AV143" s="16"/>
      <c r="AW143" s="8">
        <v>-843587.34071428562</v>
      </c>
      <c r="AX143" s="13">
        <v>-2.811957802380952E-2</v>
      </c>
      <c r="AY143" s="8">
        <v>-70298.945059523816</v>
      </c>
    </row>
    <row r="144" spans="2:51" outlineLevel="2" x14ac:dyDescent="0.25">
      <c r="B144" s="17" t="s">
        <v>152</v>
      </c>
      <c r="C144">
        <v>1</v>
      </c>
      <c r="D144">
        <v>9</v>
      </c>
      <c r="E144" s="17" t="s">
        <v>181</v>
      </c>
      <c r="F144" s="35">
        <v>-15075.204444444444</v>
      </c>
      <c r="H144" t="s">
        <v>162</v>
      </c>
      <c r="I144" s="2" t="s">
        <v>123</v>
      </c>
      <c r="J144" s="6">
        <v>-15075.204444444444</v>
      </c>
      <c r="K144" s="37">
        <v>-6.0300817777777776E-3</v>
      </c>
      <c r="L144" s="6">
        <v>-15075.204444444444</v>
      </c>
      <c r="M144" s="15">
        <v>-7.5376022222222215E-3</v>
      </c>
      <c r="N144" s="6">
        <v>-15075.204444444444</v>
      </c>
      <c r="O144" s="15">
        <v>-9.2859236092791789E-3</v>
      </c>
      <c r="P144" s="6">
        <f>IFERROR(VLOOKUP($I144,RESUMO!$A$3:$M$200,2,FALSE),"")</f>
        <v>9652.9900000000034</v>
      </c>
      <c r="R144" s="6">
        <v>-15075.204444444444</v>
      </c>
      <c r="S144" s="15">
        <v>-6.7723655008093972E-3</v>
      </c>
      <c r="T144" s="6">
        <f>IFERROR(VLOOKUP($I144,RESUMO!$A$3:$M$200,3,FALSE),"")</f>
        <v>9775.6499999999905</v>
      </c>
      <c r="V144" s="6">
        <v>-15075.204444444444</v>
      </c>
      <c r="W144" s="15">
        <v>-5.383177345768219E-3</v>
      </c>
      <c r="X144" s="6">
        <f>IFERROR(VLOOKUP($I144,RESUMO!$A$3:$M$200,4,FALSE),"")</f>
        <v>9300.989999999998</v>
      </c>
      <c r="Z144" s="6">
        <v>-15075.204444444444</v>
      </c>
      <c r="AA144" s="15">
        <v>-6.1624264596679386E-3</v>
      </c>
      <c r="AB144" s="6">
        <f>IFERROR(VLOOKUP($I144,RESUMO!$A$3:$M$200,5,FALSE),"")</f>
        <v>10991.460000000003</v>
      </c>
      <c r="AD144" s="6">
        <v>-15075.204444444444</v>
      </c>
      <c r="AE144" s="15">
        <v>-5.8821684324776424E-3</v>
      </c>
      <c r="AF144" s="6">
        <f>IFERROR(VLOOKUP($I144,RESUMO!$A$3:$M$200,6,FALSE),"")</f>
        <v>5534.04</v>
      </c>
      <c r="AH144" s="6">
        <v>-15075.204444444444</v>
      </c>
      <c r="AI144" s="15">
        <v>-6.797701419108345E-3</v>
      </c>
      <c r="AJ144" s="6">
        <v>-15075.204444444444</v>
      </c>
      <c r="AK144" s="15">
        <v>-6.7115169978138245E-3</v>
      </c>
      <c r="AL144" s="6">
        <v>-15075.204444444444</v>
      </c>
      <c r="AM144" s="15">
        <v>-5.6019045134576466E-3</v>
      </c>
      <c r="AN144" s="6">
        <v>-15075.204444444444</v>
      </c>
      <c r="AO144" s="15">
        <v>-5.0597988684666084E-3</v>
      </c>
      <c r="AP144" s="6">
        <v>-15075.204444444444</v>
      </c>
      <c r="AQ144" s="15">
        <v>-5.0057717279285568E-3</v>
      </c>
      <c r="AR144" s="6">
        <v>-15075.204444444444</v>
      </c>
      <c r="AS144" s="15">
        <v>-5.5047691498871761E-3</v>
      </c>
      <c r="AT144" s="6">
        <v>-15075.204444444444</v>
      </c>
      <c r="AU144" s="15">
        <v>-6.1369359311457192E-3</v>
      </c>
      <c r="AW144" s="6">
        <v>-180902.45333333334</v>
      </c>
      <c r="AX144" s="15">
        <v>-6.0300817777777776E-3</v>
      </c>
      <c r="AY144" s="6">
        <v>-15075.204444444445</v>
      </c>
    </row>
    <row r="145" spans="2:51" outlineLevel="2" x14ac:dyDescent="0.25">
      <c r="B145" s="17" t="s">
        <v>152</v>
      </c>
      <c r="C145">
        <v>1</v>
      </c>
      <c r="D145">
        <v>9</v>
      </c>
      <c r="E145" s="17" t="s">
        <v>181</v>
      </c>
      <c r="F145" s="35">
        <v>-40249.912222222221</v>
      </c>
      <c r="H145" t="s">
        <v>162</v>
      </c>
      <c r="I145" s="2" t="s">
        <v>124</v>
      </c>
      <c r="J145" s="6">
        <v>-40249.912222222221</v>
      </c>
      <c r="K145" s="37">
        <v>-1.6099964888888887E-2</v>
      </c>
      <c r="L145" s="6">
        <v>-40249.912222222221</v>
      </c>
      <c r="M145" s="15">
        <v>-2.0124956111111109E-2</v>
      </c>
      <c r="N145" s="6">
        <v>-40249.912222222221</v>
      </c>
      <c r="O145" s="15">
        <v>-2.4792871735380417E-2</v>
      </c>
      <c r="P145" s="6">
        <f>IFERROR(VLOOKUP($I145,RESUMO!$A$3:$M$200,2,FALSE),"")</f>
        <v>29621.129999999994</v>
      </c>
      <c r="R145" s="6">
        <v>-40249.912222222221</v>
      </c>
      <c r="S145" s="15">
        <v>-1.8081818919864722E-2</v>
      </c>
      <c r="T145" s="6">
        <f>IFERROR(VLOOKUP($I145,RESUMO!$A$3:$M$200,3,FALSE),"")</f>
        <v>29342.62</v>
      </c>
      <c r="V145" s="6">
        <v>-40249.912222222221</v>
      </c>
      <c r="W145" s="15">
        <v>-1.4372767974213095E-2</v>
      </c>
      <c r="X145" s="6">
        <f>IFERROR(VLOOKUP($I145,RESUMO!$A$3:$M$200,4,FALSE),"")</f>
        <v>29003.100000000002</v>
      </c>
      <c r="Z145" s="6">
        <v>-40249.912222222221</v>
      </c>
      <c r="AA145" s="15">
        <v>-1.6453317432052573E-2</v>
      </c>
      <c r="AB145" s="6">
        <f>IFERROR(VLOOKUP($I145,RESUMO!$A$3:$M$200,5,FALSE),"")</f>
        <v>32542.069999999992</v>
      </c>
      <c r="AD145" s="6">
        <v>-40249.912222222221</v>
      </c>
      <c r="AE145" s="15">
        <v>-1.5705044926989487E-2</v>
      </c>
      <c r="AF145" s="6">
        <f>IFERROR(VLOOKUP($I145,RESUMO!$A$3:$M$200,6,FALSE),"")</f>
        <v>16273.390000000001</v>
      </c>
      <c r="AH145" s="6">
        <v>-40249.912222222221</v>
      </c>
      <c r="AI145" s="15">
        <v>-1.8149464336639009E-2</v>
      </c>
      <c r="AJ145" s="6">
        <v>-40249.912222222221</v>
      </c>
      <c r="AK145" s="15">
        <v>-1.79193569835473E-2</v>
      </c>
      <c r="AL145" s="6">
        <v>-40249.912222222221</v>
      </c>
      <c r="AM145" s="15">
        <v>-1.495675669108646E-2</v>
      </c>
      <c r="AN145" s="6">
        <v>-40249.912222222221</v>
      </c>
      <c r="AO145" s="15">
        <v>-1.3509366394890409E-2</v>
      </c>
      <c r="AP145" s="6">
        <v>-40249.912222222221</v>
      </c>
      <c r="AQ145" s="15">
        <v>-1.336511709649528E-2</v>
      </c>
      <c r="AR145" s="6">
        <v>-40249.912222222221</v>
      </c>
      <c r="AS145" s="15">
        <v>-1.4697410964015679E-2</v>
      </c>
      <c r="AT145" s="6">
        <v>-40249.912222222221</v>
      </c>
      <c r="AU145" s="15">
        <v>-1.6385259215044745E-2</v>
      </c>
      <c r="AW145" s="6">
        <v>-482998.94666666654</v>
      </c>
      <c r="AX145" s="15">
        <v>-1.6099964888888884E-2</v>
      </c>
      <c r="AY145" s="6">
        <v>-40249.912222222214</v>
      </c>
    </row>
    <row r="146" spans="2:51" outlineLevel="2" x14ac:dyDescent="0.25">
      <c r="B146" s="17" t="s">
        <v>152</v>
      </c>
      <c r="C146">
        <v>1</v>
      </c>
      <c r="D146">
        <v>9</v>
      </c>
      <c r="E146" s="17" t="s">
        <v>181</v>
      </c>
      <c r="F146" s="35">
        <v>-163.9</v>
      </c>
      <c r="H146" t="s">
        <v>162</v>
      </c>
      <c r="I146" s="2" t="s">
        <v>125</v>
      </c>
      <c r="J146" s="6">
        <v>-163.9</v>
      </c>
      <c r="K146" s="37">
        <v>-6.5560000000000002E-5</v>
      </c>
      <c r="L146" s="6">
        <v>-163.9</v>
      </c>
      <c r="M146" s="15">
        <v>-8.195E-5</v>
      </c>
      <c r="N146" s="6">
        <v>-163.9</v>
      </c>
      <c r="O146" s="15">
        <v>-1.0095802582111817E-4</v>
      </c>
      <c r="P146" s="6">
        <f>IFERROR(VLOOKUP($I146,RESUMO!$A$3:$M$200,2,FALSE),"")</f>
        <v>0</v>
      </c>
      <c r="R146" s="6">
        <v>-163.9</v>
      </c>
      <c r="S146" s="15">
        <v>-7.363022569101656E-5</v>
      </c>
      <c r="T146" s="6">
        <f>IFERROR(VLOOKUP($I146,RESUMO!$A$3:$M$200,3,FALSE),"")</f>
        <v>95.75</v>
      </c>
      <c r="V146" s="6">
        <v>-163.9</v>
      </c>
      <c r="W146" s="15">
        <v>-5.8526753001784985E-5</v>
      </c>
      <c r="X146" s="6">
        <f>IFERROR(VLOOKUP($I146,RESUMO!$A$3:$M$200,4,FALSE),"")</f>
        <v>0</v>
      </c>
      <c r="Z146" s="6">
        <v>-163.9</v>
      </c>
      <c r="AA146" s="15">
        <v>-6.6998872251566126E-5</v>
      </c>
      <c r="AB146" s="6">
        <f>IFERROR(VLOOKUP($I146,RESUMO!$A$3:$M$200,5,FALSE),"")</f>
        <v>0</v>
      </c>
      <c r="AD146" s="6">
        <v>-163.9</v>
      </c>
      <c r="AE146" s="15">
        <v>-6.395186278474477E-5</v>
      </c>
      <c r="AF146" s="6">
        <f>IFERROR(VLOOKUP($I146,RESUMO!$A$3:$M$200,6,FALSE),"")</f>
        <v>0</v>
      </c>
      <c r="AH146" s="6">
        <v>-163.9</v>
      </c>
      <c r="AI146" s="15">
        <v>-7.3905681790103017E-5</v>
      </c>
      <c r="AJ146" s="6">
        <v>-163.9</v>
      </c>
      <c r="AK146" s="15">
        <v>-7.2968671170961632E-5</v>
      </c>
      <c r="AL146" s="6">
        <v>-163.9</v>
      </c>
      <c r="AM146" s="15">
        <v>-6.0904789261021819E-5</v>
      </c>
      <c r="AN146" s="6">
        <v>-163.9</v>
      </c>
      <c r="AO146" s="15">
        <v>-5.5010931201486523E-5</v>
      </c>
      <c r="AP146" s="6">
        <v>-163.9</v>
      </c>
      <c r="AQ146" s="15">
        <v>-5.4423539609762544E-5</v>
      </c>
      <c r="AR146" s="6">
        <v>-163.9</v>
      </c>
      <c r="AS146" s="15">
        <v>-5.9848718270550622E-5</v>
      </c>
      <c r="AT146" s="6">
        <v>-163.9</v>
      </c>
      <c r="AU146" s="15">
        <v>-6.6721735205751043E-5</v>
      </c>
      <c r="AW146" s="6">
        <v>-1966.8000000000004</v>
      </c>
      <c r="AX146" s="15">
        <v>-6.5560000000000016E-5</v>
      </c>
      <c r="AY146" s="6">
        <v>-163.90000000000003</v>
      </c>
    </row>
    <row r="147" spans="2:51" outlineLevel="2" x14ac:dyDescent="0.25">
      <c r="B147" s="17" t="s">
        <v>152</v>
      </c>
      <c r="C147">
        <v>1</v>
      </c>
      <c r="D147">
        <v>9</v>
      </c>
      <c r="E147" s="17" t="s">
        <v>181</v>
      </c>
      <c r="F147" s="35">
        <v>-5617.2871428571434</v>
      </c>
      <c r="H147" t="s">
        <v>162</v>
      </c>
      <c r="I147" s="2" t="s">
        <v>126</v>
      </c>
      <c r="J147" s="6">
        <v>-5617.2871428571434</v>
      </c>
      <c r="K147" s="37">
        <v>-2.2469148571428572E-3</v>
      </c>
      <c r="L147" s="6">
        <v>-5617.2871428571434</v>
      </c>
      <c r="M147" s="15">
        <v>-2.8086435714285716E-3</v>
      </c>
      <c r="N147" s="6">
        <v>-5617.2871428571434</v>
      </c>
      <c r="O147" s="15">
        <v>-3.4600989653032735E-3</v>
      </c>
      <c r="P147" s="6">
        <f>IFERROR(VLOOKUP($I147,RESUMO!$A$3:$M$200,2,FALSE),"")</f>
        <v>143.60000000000002</v>
      </c>
      <c r="R147" s="6">
        <v>-5617.2871428571434</v>
      </c>
      <c r="S147" s="15">
        <v>-2.5235028682112082E-3</v>
      </c>
      <c r="T147" s="6">
        <f>IFERROR(VLOOKUP($I147,RESUMO!$A$3:$M$200,3,FALSE),"")</f>
        <v>95.93</v>
      </c>
      <c r="V147" s="6">
        <v>-5617.2871428571434</v>
      </c>
      <c r="W147" s="15">
        <v>-2.0058668526546828E-3</v>
      </c>
      <c r="X147" s="6">
        <f>IFERROR(VLOOKUP($I147,RESUMO!$A$3:$M$200,4,FALSE),"")</f>
        <v>251.57000000000002</v>
      </c>
      <c r="Z147" s="6">
        <v>-5617.2871428571434</v>
      </c>
      <c r="AA147" s="15">
        <v>-2.2962288205286797E-3</v>
      </c>
      <c r="AB147" s="6">
        <f>IFERROR(VLOOKUP($I147,RESUMO!$A$3:$M$200,5,FALSE),"")</f>
        <v>461.83</v>
      </c>
      <c r="AD147" s="6">
        <v>-5617.2871428571434</v>
      </c>
      <c r="AE147" s="15">
        <v>-2.1917997350976879E-3</v>
      </c>
      <c r="AF147" s="6">
        <f>IFERROR(VLOOKUP($I147,RESUMO!$A$3:$M$200,6,FALSE),"")</f>
        <v>82.8</v>
      </c>
      <c r="AH147" s="6">
        <v>-5617.2871428571434</v>
      </c>
      <c r="AI147" s="15">
        <v>-2.5329434783626413E-3</v>
      </c>
      <c r="AJ147" s="6">
        <v>-5617.2871428571434</v>
      </c>
      <c r="AK147" s="15">
        <v>-2.5008296424649996E-3</v>
      </c>
      <c r="AL147" s="6">
        <v>-5617.2871428571434</v>
      </c>
      <c r="AM147" s="15">
        <v>-2.0873684542670025E-3</v>
      </c>
      <c r="AN147" s="6">
        <v>-5617.2871428571434</v>
      </c>
      <c r="AO147" s="15">
        <v>-1.8853703267523434E-3</v>
      </c>
      <c r="AP147" s="6">
        <v>-5617.2871428571434</v>
      </c>
      <c r="AQ147" s="15">
        <v>-1.8652388610048542E-3</v>
      </c>
      <c r="AR147" s="6">
        <v>-5617.2871428571434</v>
      </c>
      <c r="AS147" s="15">
        <v>-2.0511741040734801E-3</v>
      </c>
      <c r="AT147" s="6">
        <v>-5617.2871428571434</v>
      </c>
      <c r="AU147" s="15">
        <v>-2.286730599880318E-3</v>
      </c>
      <c r="AW147" s="6">
        <v>-67407.445714285728</v>
      </c>
      <c r="AX147" s="15">
        <v>-2.2469148571428576E-3</v>
      </c>
      <c r="AY147" s="6">
        <v>-5617.2871428571443</v>
      </c>
    </row>
    <row r="148" spans="2:51" outlineLevel="2" x14ac:dyDescent="0.25">
      <c r="E148" s="17" t="s">
        <v>149</v>
      </c>
      <c r="F148" s="35"/>
      <c r="H148" t="s">
        <v>162</v>
      </c>
      <c r="I148" s="2" t="s">
        <v>127</v>
      </c>
      <c r="J148" s="6">
        <v>0</v>
      </c>
      <c r="K148" s="37">
        <v>0</v>
      </c>
      <c r="L148" s="6">
        <v>0</v>
      </c>
      <c r="M148" s="15">
        <v>0</v>
      </c>
      <c r="N148" s="6">
        <v>0</v>
      </c>
      <c r="O148" s="15">
        <v>0</v>
      </c>
      <c r="P148" s="6" t="str">
        <f>IFERROR(VLOOKUP($I148,RESUMO!$A$3:$M$200,2,FALSE),"")</f>
        <v/>
      </c>
      <c r="R148" s="6">
        <v>0</v>
      </c>
      <c r="S148" s="15">
        <v>0</v>
      </c>
      <c r="T148" s="6" t="str">
        <f>IFERROR(VLOOKUP($I148,RESUMO!$A$3:$M$200,3,FALSE),"")</f>
        <v/>
      </c>
      <c r="V148" s="6">
        <v>0</v>
      </c>
      <c r="W148" s="15">
        <v>0</v>
      </c>
      <c r="X148" s="6" t="str">
        <f>IFERROR(VLOOKUP($I148,RESUMO!$A$3:$M$200,4,FALSE),"")</f>
        <v/>
      </c>
      <c r="Z148" s="6">
        <v>0</v>
      </c>
      <c r="AA148" s="15">
        <v>0</v>
      </c>
      <c r="AB148" s="6" t="str">
        <f>IFERROR(VLOOKUP($I148,RESUMO!$A$3:$M$200,5,FALSE),"")</f>
        <v/>
      </c>
      <c r="AD148" s="6">
        <v>0</v>
      </c>
      <c r="AE148" s="15">
        <v>0</v>
      </c>
      <c r="AF148" s="6" t="str">
        <f>IFERROR(VLOOKUP($I148,RESUMO!$A$3:$M$200,6,FALSE),"")</f>
        <v/>
      </c>
      <c r="AH148" s="6">
        <v>0</v>
      </c>
      <c r="AI148" s="15">
        <v>0</v>
      </c>
      <c r="AJ148" s="6">
        <v>0</v>
      </c>
      <c r="AK148" s="15">
        <v>0</v>
      </c>
      <c r="AL148" s="6">
        <v>0</v>
      </c>
      <c r="AM148" s="15">
        <v>0</v>
      </c>
      <c r="AN148" s="6">
        <v>0</v>
      </c>
      <c r="AO148" s="15">
        <v>0</v>
      </c>
      <c r="AP148" s="6">
        <v>0</v>
      </c>
      <c r="AQ148" s="15">
        <v>0</v>
      </c>
      <c r="AR148" s="6">
        <v>0</v>
      </c>
      <c r="AS148" s="15">
        <v>0</v>
      </c>
      <c r="AT148" s="6">
        <v>0</v>
      </c>
      <c r="AU148" s="15">
        <v>0</v>
      </c>
      <c r="AW148" s="6">
        <v>0</v>
      </c>
      <c r="AX148" s="15">
        <v>0</v>
      </c>
      <c r="AY148" s="6">
        <v>0</v>
      </c>
    </row>
    <row r="149" spans="2:51" outlineLevel="2" x14ac:dyDescent="0.25">
      <c r="B149" s="17" t="s">
        <v>152</v>
      </c>
      <c r="C149">
        <v>1</v>
      </c>
      <c r="D149">
        <v>9</v>
      </c>
      <c r="E149" s="17" t="s">
        <v>181</v>
      </c>
      <c r="F149" s="35">
        <v>-9192.6412500000006</v>
      </c>
      <c r="H149" t="s">
        <v>162</v>
      </c>
      <c r="I149" s="2" t="s">
        <v>128</v>
      </c>
      <c r="J149" s="6">
        <v>-9192.6412500000006</v>
      </c>
      <c r="K149" s="37">
        <v>-3.6770565000000003E-3</v>
      </c>
      <c r="L149" s="6">
        <v>-9192.6412500000006</v>
      </c>
      <c r="M149" s="15">
        <v>-4.5963206250000006E-3</v>
      </c>
      <c r="N149" s="6">
        <v>-9192.6412500000006</v>
      </c>
      <c r="O149" s="15">
        <v>-5.6624216759107752E-3</v>
      </c>
      <c r="P149" s="6">
        <f>IFERROR(VLOOKUP($I149,RESUMO!$A$3:$M$200,2,FALSE),"")</f>
        <v>6672.09</v>
      </c>
      <c r="R149" s="6">
        <v>-9192.6412500000006</v>
      </c>
      <c r="S149" s="15">
        <v>-4.1296903595732072E-3</v>
      </c>
      <c r="T149" s="6">
        <f>IFERROR(VLOOKUP($I149,RESUMO!$A$3:$M$200,3,FALSE),"")</f>
        <v>11317.74</v>
      </c>
      <c r="V149" s="6">
        <v>-9192.6412500000006</v>
      </c>
      <c r="W149" s="15">
        <v>-3.2825835501694325E-3</v>
      </c>
      <c r="X149" s="6">
        <f>IFERROR(VLOOKUP($I149,RESUMO!$A$3:$M$200,4,FALSE),"")</f>
        <v>13530.41</v>
      </c>
      <c r="Z149" s="6">
        <v>-9192.6412500000006</v>
      </c>
      <c r="AA149" s="15">
        <v>-3.7577583695132836E-3</v>
      </c>
      <c r="AB149" s="6">
        <f>IFERROR(VLOOKUP($I149,RESUMO!$A$3:$M$200,5,FALSE),"")</f>
        <v>16739.48</v>
      </c>
      <c r="AD149" s="6">
        <v>-9192.6412500000006</v>
      </c>
      <c r="AE149" s="15">
        <v>-3.5868610851091196E-3</v>
      </c>
      <c r="AF149" s="6">
        <f>IFERROR(VLOOKUP($I149,RESUMO!$A$3:$M$200,6,FALSE),"")</f>
        <v>182123.29</v>
      </c>
      <c r="AH149" s="6">
        <v>-9192.6412500000006</v>
      </c>
      <c r="AI149" s="15">
        <v>-4.1451398354672049E-3</v>
      </c>
      <c r="AJ149" s="6">
        <v>-9192.6412500000006</v>
      </c>
      <c r="AK149" s="15">
        <v>-4.0925858240626464E-3</v>
      </c>
      <c r="AL149" s="6">
        <v>-9192.6412500000006</v>
      </c>
      <c r="AM149" s="15">
        <v>-3.4159602079525701E-3</v>
      </c>
      <c r="AN149" s="6">
        <v>-9192.6412500000006</v>
      </c>
      <c r="AO149" s="15">
        <v>-3.085392040046962E-3</v>
      </c>
      <c r="AP149" s="6">
        <v>-9192.6412500000006</v>
      </c>
      <c r="AQ149" s="15">
        <v>-3.052447072530275E-3</v>
      </c>
      <c r="AR149" s="6">
        <v>-9192.6412500000006</v>
      </c>
      <c r="AS149" s="15">
        <v>-3.356728470613132E-3</v>
      </c>
      <c r="AT149" s="6">
        <v>-9192.6412500000006</v>
      </c>
      <c r="AU149" s="15">
        <v>-3.7422146145452365E-3</v>
      </c>
      <c r="AW149" s="6">
        <v>-110311.69500000001</v>
      </c>
      <c r="AX149" s="15">
        <v>-3.6770565000000003E-3</v>
      </c>
      <c r="AY149" s="6">
        <v>-9192.6412500000006</v>
      </c>
    </row>
    <row r="150" spans="2:51" x14ac:dyDescent="0.25">
      <c r="I150" s="1"/>
      <c r="P150" s="15" t="str">
        <f>IFERROR(VLOOKUP($I150,RESUMO!$A$3:$M$200,2,FALSE),"")</f>
        <v/>
      </c>
      <c r="T150" s="15" t="str">
        <f>IFERROR(VLOOKUP($I150,RESUMO!$A$3:$M$200,3,FALSE),"")</f>
        <v/>
      </c>
      <c r="X150" s="15" t="str">
        <f>IFERROR(VLOOKUP($I150,RESUMO!$A$3:$M$200,4,FALSE),"")</f>
        <v/>
      </c>
      <c r="AB150" s="15" t="str">
        <f>IFERROR(VLOOKUP($I150,RESUMO!$A$3:$M$200,5,FALSE),"")</f>
        <v/>
      </c>
      <c r="AF150" s="15" t="str">
        <f>IFERROR(VLOOKUP($I150,RESUMO!$A$3:$M$200,6,FALSE),"")</f>
        <v/>
      </c>
    </row>
    <row r="151" spans="2:51" s="3" customFormat="1" x14ac:dyDescent="0.25">
      <c r="B151" s="10"/>
      <c r="E151" s="10"/>
      <c r="F151" s="32"/>
      <c r="I151" s="4" t="s">
        <v>129</v>
      </c>
      <c r="J151" s="7">
        <v>120235.26388602481</v>
      </c>
      <c r="K151" s="41">
        <v>4.8094105554409926E-2</v>
      </c>
      <c r="L151" s="7">
        <v>-99894.989458602286</v>
      </c>
      <c r="M151" s="14">
        <v>-4.9947494729301142E-2</v>
      </c>
      <c r="N151" s="7">
        <v>-265676.42211053544</v>
      </c>
      <c r="O151" s="14">
        <v>-0.16364958562231682</v>
      </c>
      <c r="P151" s="48">
        <f>P132-P134</f>
        <v>-290070.51999999984</v>
      </c>
      <c r="Q151" s="14">
        <f t="shared" ref="Q151" si="58">IFERROR((P151*-1)/N151-1,"")</f>
        <v>-2.0918188286927291</v>
      </c>
      <c r="R151" s="7">
        <v>-401.39105013805965</v>
      </c>
      <c r="S151" s="14">
        <v>-1.8032040031738545E-4</v>
      </c>
      <c r="T151" s="48">
        <f>T132-T134</f>
        <v>32234.680000000008</v>
      </c>
      <c r="U151" s="50">
        <f>T151/R151</f>
        <v>-80.307420877751994</v>
      </c>
      <c r="V151" s="7">
        <v>252502.16441826487</v>
      </c>
      <c r="W151" s="14">
        <v>9.0165538800023731E-2</v>
      </c>
      <c r="X151" s="48">
        <f>X132-X134</f>
        <v>266870.53999999963</v>
      </c>
      <c r="Y151" s="14">
        <f t="shared" ref="Y151" si="59">IFERROR((X151*-1)/V151-1,"")</f>
        <v>-2.0569039699712586</v>
      </c>
      <c r="Z151" s="7">
        <v>96597.603831202126</v>
      </c>
      <c r="AA151" s="14">
        <v>3.9487068449628467E-2</v>
      </c>
      <c r="AB151" s="48">
        <f>AB132-AB134</f>
        <v>327953.44000000018</v>
      </c>
      <c r="AC151" s="14">
        <f t="shared" ref="AC151" si="60">IFERROR((AB151*-1)/Z151-1,"")</f>
        <v>-4.395047361351498</v>
      </c>
      <c r="AD151" s="7">
        <v>118545.68360053898</v>
      </c>
      <c r="AE151" s="14">
        <v>4.6255139056409017E-2</v>
      </c>
      <c r="AF151" s="48">
        <f>AF132-AF134</f>
        <v>-22434.559999999998</v>
      </c>
      <c r="AG151" s="14">
        <f t="shared" ref="AG151" si="61">IFERROR((AF151*-1)/AD151-1,"")</f>
        <v>-0.81075177671084775</v>
      </c>
      <c r="AH151" s="7">
        <v>-33420.653377912837</v>
      </c>
      <c r="AI151" s="14">
        <v>-1.5070019364035127E-2</v>
      </c>
      <c r="AJ151" s="7">
        <v>-20882.92288240233</v>
      </c>
      <c r="AK151" s="14">
        <v>-9.2971271073493955E-3</v>
      </c>
      <c r="AL151" s="7">
        <v>174996.07692978822</v>
      </c>
      <c r="AM151" s="14">
        <v>6.5028060932973239E-2</v>
      </c>
      <c r="AN151" s="7">
        <v>301932.98451222153</v>
      </c>
      <c r="AO151" s="14">
        <v>0.10133993068005683</v>
      </c>
      <c r="AP151" s="7">
        <v>316090.29078392463</v>
      </c>
      <c r="AQ151" s="14">
        <v>0.10495883136510238</v>
      </c>
      <c r="AR151" s="7">
        <v>195902.29599993315</v>
      </c>
      <c r="AS151" s="14">
        <v>7.1534480304173365E-2</v>
      </c>
      <c r="AT151" s="7">
        <v>71704.493860227623</v>
      </c>
      <c r="AU151" s="14">
        <v>2.9190044248959785E-2</v>
      </c>
      <c r="AV151" s="16"/>
      <c r="AW151" s="7">
        <v>1207890.2045151121</v>
      </c>
      <c r="AX151" s="14">
        <v>4.0263006817170405E-2</v>
      </c>
      <c r="AY151" s="7">
        <v>100657.51704292603</v>
      </c>
    </row>
    <row r="153" spans="2:51" s="3" customFormat="1" x14ac:dyDescent="0.25">
      <c r="B153" s="10"/>
      <c r="E153" s="10"/>
      <c r="F153" s="32"/>
      <c r="I153" s="4" t="s">
        <v>130</v>
      </c>
      <c r="J153" s="7">
        <v>0</v>
      </c>
      <c r="K153" s="41">
        <v>0</v>
      </c>
      <c r="L153" s="7">
        <v>0</v>
      </c>
      <c r="M153" s="14">
        <v>0</v>
      </c>
      <c r="N153" s="7">
        <v>0</v>
      </c>
      <c r="O153" s="14">
        <v>0</v>
      </c>
      <c r="P153" s="14"/>
      <c r="Q153" s="14"/>
      <c r="R153" s="7">
        <v>0</v>
      </c>
      <c r="S153" s="14">
        <v>0</v>
      </c>
      <c r="T153" s="14"/>
      <c r="U153" s="14"/>
      <c r="V153" s="7">
        <v>0</v>
      </c>
      <c r="W153" s="14">
        <v>0</v>
      </c>
      <c r="X153" s="14"/>
      <c r="Y153" s="14"/>
      <c r="Z153" s="7">
        <v>0</v>
      </c>
      <c r="AA153" s="14">
        <v>0</v>
      </c>
      <c r="AB153" s="14"/>
      <c r="AC153" s="14"/>
      <c r="AD153" s="7">
        <v>0</v>
      </c>
      <c r="AE153" s="14">
        <v>0</v>
      </c>
      <c r="AF153" s="14"/>
      <c r="AG153" s="14"/>
      <c r="AH153" s="7">
        <v>0</v>
      </c>
      <c r="AI153" s="14">
        <v>0</v>
      </c>
      <c r="AJ153" s="7">
        <v>0</v>
      </c>
      <c r="AK153" s="14">
        <v>0</v>
      </c>
      <c r="AL153" s="7">
        <v>0</v>
      </c>
      <c r="AM153" s="14">
        <v>0</v>
      </c>
      <c r="AN153" s="7">
        <v>0</v>
      </c>
      <c r="AO153" s="14">
        <v>0</v>
      </c>
      <c r="AP153" s="7">
        <v>0</v>
      </c>
      <c r="AQ153" s="14">
        <v>0</v>
      </c>
      <c r="AR153" s="7">
        <v>0</v>
      </c>
      <c r="AS153" s="14">
        <v>0</v>
      </c>
      <c r="AT153" s="7">
        <v>0</v>
      </c>
      <c r="AU153" s="14">
        <v>0</v>
      </c>
      <c r="AV153" s="16"/>
      <c r="AW153" s="7">
        <v>0</v>
      </c>
      <c r="AX153" s="14">
        <v>0</v>
      </c>
      <c r="AY153" s="7">
        <v>0</v>
      </c>
    </row>
    <row r="154" spans="2:51" outlineLevel="2" x14ac:dyDescent="0.25">
      <c r="E154" s="17" t="s">
        <v>149</v>
      </c>
      <c r="F154" s="35"/>
      <c r="I154" s="2" t="s">
        <v>131</v>
      </c>
      <c r="J154" s="6">
        <v>0</v>
      </c>
      <c r="K154" s="37">
        <v>0</v>
      </c>
      <c r="L154" s="6">
        <v>0</v>
      </c>
      <c r="M154" s="15">
        <v>0</v>
      </c>
      <c r="N154" s="6">
        <v>0</v>
      </c>
      <c r="O154" s="15">
        <v>0</v>
      </c>
      <c r="P154" s="6" t="str">
        <f>IFERROR(VLOOKUP($I154,RESUMO!$A$3:$M$200,2,FALSE),"")</f>
        <v/>
      </c>
      <c r="R154" s="6">
        <v>0</v>
      </c>
      <c r="S154" s="15">
        <v>0</v>
      </c>
      <c r="T154" s="6" t="str">
        <f>IFERROR(VLOOKUP($I154,RESUMO!$A$3:$M$200,3,FALSE),"")</f>
        <v/>
      </c>
      <c r="V154" s="6">
        <v>0</v>
      </c>
      <c r="W154" s="15">
        <v>0</v>
      </c>
      <c r="X154" s="6" t="str">
        <f>IFERROR(VLOOKUP($I154,RESUMO!$A$3:$M$200,4,FALSE),"")</f>
        <v/>
      </c>
      <c r="Z154" s="6">
        <v>0</v>
      </c>
      <c r="AA154" s="15">
        <v>0</v>
      </c>
      <c r="AB154" s="6" t="str">
        <f>IFERROR(VLOOKUP($I154,RESUMO!$A$3:$M$200,5,FALSE),"")</f>
        <v/>
      </c>
      <c r="AD154" s="6">
        <v>0</v>
      </c>
      <c r="AE154" s="15">
        <v>0</v>
      </c>
      <c r="AF154" s="6" t="str">
        <f>IFERROR(VLOOKUP($I154,RESUMO!$A$3:$M$200,6,FALSE),"")</f>
        <v/>
      </c>
      <c r="AH154" s="6">
        <v>0</v>
      </c>
      <c r="AI154" s="15">
        <v>0</v>
      </c>
      <c r="AJ154" s="6">
        <v>0</v>
      </c>
      <c r="AK154" s="15">
        <v>0</v>
      </c>
      <c r="AL154" s="6">
        <v>0</v>
      </c>
      <c r="AM154" s="15">
        <v>0</v>
      </c>
      <c r="AN154" s="6">
        <v>0</v>
      </c>
      <c r="AO154" s="15">
        <v>0</v>
      </c>
      <c r="AP154" s="6">
        <v>0</v>
      </c>
      <c r="AQ154" s="15">
        <v>0</v>
      </c>
      <c r="AR154" s="6">
        <v>0</v>
      </c>
      <c r="AS154" s="15">
        <v>0</v>
      </c>
      <c r="AT154" s="6">
        <v>0</v>
      </c>
      <c r="AU154" s="15">
        <v>0</v>
      </c>
      <c r="AW154" s="6">
        <v>0</v>
      </c>
      <c r="AX154" s="15">
        <v>0</v>
      </c>
      <c r="AY154" s="6">
        <v>0</v>
      </c>
    </row>
    <row r="155" spans="2:51" outlineLevel="2" x14ac:dyDescent="0.25">
      <c r="E155" s="17" t="s">
        <v>149</v>
      </c>
      <c r="F155" s="35"/>
      <c r="I155" s="2" t="s">
        <v>132</v>
      </c>
      <c r="J155" s="6">
        <v>0</v>
      </c>
      <c r="K155" s="37">
        <v>0</v>
      </c>
      <c r="L155" s="6">
        <v>0</v>
      </c>
      <c r="M155" s="15">
        <v>0</v>
      </c>
      <c r="N155" s="6">
        <v>0</v>
      </c>
      <c r="O155" s="15">
        <v>0</v>
      </c>
      <c r="P155" s="6" t="str">
        <f>IFERROR(VLOOKUP($I155,RESUMO!$A$3:$M$200,2,FALSE),"")</f>
        <v/>
      </c>
      <c r="R155" s="6">
        <v>0</v>
      </c>
      <c r="S155" s="15">
        <v>0</v>
      </c>
      <c r="T155" s="6" t="str">
        <f>IFERROR(VLOOKUP($I155,RESUMO!$A$3:$M$200,3,FALSE),"")</f>
        <v/>
      </c>
      <c r="V155" s="6">
        <v>0</v>
      </c>
      <c r="W155" s="15">
        <v>0</v>
      </c>
      <c r="X155" s="6" t="str">
        <f>IFERROR(VLOOKUP($I155,RESUMO!$A$3:$M$200,4,FALSE),"")</f>
        <v/>
      </c>
      <c r="Z155" s="6">
        <v>0</v>
      </c>
      <c r="AA155" s="15">
        <v>0</v>
      </c>
      <c r="AB155" s="6" t="str">
        <f>IFERROR(VLOOKUP($I155,RESUMO!$A$3:$M$200,5,FALSE),"")</f>
        <v/>
      </c>
      <c r="AD155" s="6">
        <v>0</v>
      </c>
      <c r="AE155" s="15">
        <v>0</v>
      </c>
      <c r="AF155" s="6" t="str">
        <f>IFERROR(VLOOKUP($I155,RESUMO!$A$3:$M$200,6,FALSE),"")</f>
        <v/>
      </c>
      <c r="AH155" s="6">
        <v>0</v>
      </c>
      <c r="AI155" s="15">
        <v>0</v>
      </c>
      <c r="AJ155" s="6">
        <v>0</v>
      </c>
      <c r="AK155" s="15">
        <v>0</v>
      </c>
      <c r="AL155" s="6">
        <v>0</v>
      </c>
      <c r="AM155" s="15">
        <v>0</v>
      </c>
      <c r="AN155" s="6">
        <v>0</v>
      </c>
      <c r="AO155" s="15">
        <v>0</v>
      </c>
      <c r="AP155" s="6">
        <v>0</v>
      </c>
      <c r="AQ155" s="15">
        <v>0</v>
      </c>
      <c r="AR155" s="6">
        <v>0</v>
      </c>
      <c r="AS155" s="15">
        <v>0</v>
      </c>
      <c r="AT155" s="6">
        <v>0</v>
      </c>
      <c r="AU155" s="15">
        <v>0</v>
      </c>
      <c r="AW155" s="6">
        <v>0</v>
      </c>
      <c r="AX155" s="15">
        <v>0</v>
      </c>
      <c r="AY155" s="6">
        <v>0</v>
      </c>
    </row>
    <row r="156" spans="2:51" x14ac:dyDescent="0.25">
      <c r="I156" s="1"/>
    </row>
    <row r="157" spans="2:51" s="3" customFormat="1" x14ac:dyDescent="0.25">
      <c r="B157" s="10"/>
      <c r="E157" s="10"/>
      <c r="F157" s="32"/>
      <c r="I157" s="4" t="s">
        <v>133</v>
      </c>
      <c r="J157" s="7">
        <v>120235.26388602481</v>
      </c>
      <c r="K157" s="41">
        <v>4.8094105554409926E-2</v>
      </c>
      <c r="L157" s="7">
        <v>-99894.989458602286</v>
      </c>
      <c r="M157" s="14">
        <v>-4.9947494729301142E-2</v>
      </c>
      <c r="N157" s="7">
        <v>-265676.42211053544</v>
      </c>
      <c r="O157" s="14">
        <v>-0.16364958562231682</v>
      </c>
      <c r="P157" s="48">
        <f>P151-P153</f>
        <v>-290070.51999999984</v>
      </c>
      <c r="Q157" s="14">
        <f>P157/N157-1</f>
        <v>9.181882869272906E-2</v>
      </c>
      <c r="R157" s="7">
        <v>-401.39105013805965</v>
      </c>
      <c r="S157" s="14">
        <v>-1.8032040031738545E-4</v>
      </c>
      <c r="T157" s="48">
        <f>T151-T153</f>
        <v>32234.680000000008</v>
      </c>
      <c r="U157" s="50">
        <f>T157/R157-1</f>
        <v>-81.307420877751994</v>
      </c>
      <c r="V157" s="7">
        <v>252502.16441826487</v>
      </c>
      <c r="W157" s="14">
        <v>9.0165538800023731E-2</v>
      </c>
      <c r="X157" s="48">
        <f>X151-X153</f>
        <v>266870.53999999963</v>
      </c>
      <c r="Y157" s="50">
        <f>X157/V157-1</f>
        <v>5.6903969971258572E-2</v>
      </c>
      <c r="Z157" s="7">
        <v>96597.603831202126</v>
      </c>
      <c r="AA157" s="14">
        <v>3.9487068449628467E-2</v>
      </c>
      <c r="AB157" s="48">
        <f>AB151-AB153</f>
        <v>327953.44000000018</v>
      </c>
      <c r="AC157" s="50">
        <f>AB157/Z157-1</f>
        <v>2.3950473613514984</v>
      </c>
      <c r="AD157" s="7">
        <v>118545.68360053898</v>
      </c>
      <c r="AE157" s="14">
        <v>4.6255139056409017E-2</v>
      </c>
      <c r="AF157" s="48">
        <f>AF151-AF153</f>
        <v>-22434.559999999998</v>
      </c>
      <c r="AG157" s="50">
        <f>AF157/AD157-1</f>
        <v>-1.1892482232891524</v>
      </c>
      <c r="AH157" s="7">
        <v>-33420.653377912837</v>
      </c>
      <c r="AI157" s="14">
        <v>-1.5070019364035127E-2</v>
      </c>
      <c r="AJ157" s="7">
        <v>-20882.92288240233</v>
      </c>
      <c r="AK157" s="14">
        <v>-9.2971271073493955E-3</v>
      </c>
      <c r="AL157" s="7">
        <v>174996.07692978822</v>
      </c>
      <c r="AM157" s="14">
        <v>6.5028060932973239E-2</v>
      </c>
      <c r="AN157" s="7">
        <v>301932.98451222153</v>
      </c>
      <c r="AO157" s="14">
        <v>0.10133993068005683</v>
      </c>
      <c r="AP157" s="7">
        <v>316090.29078392463</v>
      </c>
      <c r="AQ157" s="14">
        <v>0.10495883136510238</v>
      </c>
      <c r="AR157" s="7">
        <v>195902.29599993315</v>
      </c>
      <c r="AS157" s="14">
        <v>7.1534480304173365E-2</v>
      </c>
      <c r="AT157" s="7">
        <v>71704.493860227623</v>
      </c>
      <c r="AU157" s="14">
        <v>2.9190044248959785E-2</v>
      </c>
      <c r="AV157" s="16"/>
      <c r="AW157" s="7">
        <v>1207890.2045151121</v>
      </c>
      <c r="AX157" s="14">
        <v>4.0263006817170405E-2</v>
      </c>
      <c r="AY157" s="7">
        <v>100657.51704292603</v>
      </c>
    </row>
    <row r="159" spans="2:51" x14ac:dyDescent="0.25">
      <c r="I159" s="4" t="s">
        <v>189</v>
      </c>
      <c r="J159" s="7">
        <v>0</v>
      </c>
      <c r="K159" s="41">
        <v>0</v>
      </c>
      <c r="L159" s="7">
        <v>0</v>
      </c>
      <c r="M159" s="14">
        <v>0</v>
      </c>
      <c r="N159" s="7">
        <f>SUM(N160:N164)</f>
        <v>-49588</v>
      </c>
      <c r="O159" s="14">
        <f>N159/N10</f>
        <v>-3.0544884590711457E-2</v>
      </c>
      <c r="P159" s="48">
        <f>SUM(P160:P164)</f>
        <v>53166.43</v>
      </c>
      <c r="Q159" s="14"/>
      <c r="R159" s="7">
        <f>SUM(R160:R164)</f>
        <v>-49588</v>
      </c>
      <c r="S159" s="14">
        <f>R159/R10</f>
        <v>-2.2276849490946486E-2</v>
      </c>
      <c r="T159" s="48">
        <f>SUM(T160:T164)</f>
        <v>26411.83</v>
      </c>
      <c r="U159" s="14"/>
      <c r="V159" s="7">
        <f>SUM(V160:V164)</f>
        <v>-49588</v>
      </c>
      <c r="W159" s="14">
        <f>V159/V10</f>
        <v>-1.7707288760540046E-2</v>
      </c>
      <c r="X159" s="48">
        <f>SUM(X160:X164)</f>
        <v>26833.7</v>
      </c>
      <c r="Y159" s="14"/>
      <c r="Z159" s="7">
        <f>SUM(Z160:Z164)</f>
        <v>-40588</v>
      </c>
      <c r="AA159" s="14">
        <f>Z159/Z10</f>
        <v>-1.6591520603700831E-2</v>
      </c>
      <c r="AB159" s="48">
        <f>SUM(AB160:AB164)</f>
        <v>16448.27</v>
      </c>
      <c r="AC159" s="14"/>
      <c r="AD159" s="7">
        <f>SUM(AD160:AD164)</f>
        <v>-40588</v>
      </c>
      <c r="AE159" s="14">
        <f>AD159/AD10</f>
        <v>-1.5836962823106898E-2</v>
      </c>
      <c r="AF159" s="48">
        <f>SUM(AF160:AF164)</f>
        <v>4259.29</v>
      </c>
      <c r="AG159" s="14"/>
      <c r="AH159" s="7">
        <f>SUM(AH160:AH164)</f>
        <v>-40588</v>
      </c>
      <c r="AI159" s="14">
        <f>AH159/AH10</f>
        <v>-1.8301914658308122E-2</v>
      </c>
      <c r="AJ159" s="7">
        <f>SUM(AJ160:AJ164)</f>
        <v>-39509</v>
      </c>
      <c r="AK159" s="14">
        <f>AJ159/AJ10</f>
        <v>-1.7589501093920212E-2</v>
      </c>
      <c r="AL159" s="7">
        <f>SUM(AL160:AL164)</f>
        <v>-39509</v>
      </c>
      <c r="AM159" s="14">
        <f>AL159/AL10</f>
        <v>-1.4681435746880482E-2</v>
      </c>
      <c r="AN159" s="7">
        <f>SUM(AN160:AN164)</f>
        <v>-39509</v>
      </c>
      <c r="AO159" s="14">
        <f>AN159/AN10</f>
        <v>-1.3260688717751866E-2</v>
      </c>
      <c r="AP159" s="7">
        <f>SUM(AP160:AP164)</f>
        <v>-39509</v>
      </c>
      <c r="AQ159" s="14">
        <f>AP159/AP10</f>
        <v>-1.311909473119041E-2</v>
      </c>
      <c r="AR159" s="7">
        <f>SUM(AR160:AR164)</f>
        <v>-39509</v>
      </c>
      <c r="AS159" s="14">
        <f>AR159/AR10</f>
        <v>-1.4426864003362933E-2</v>
      </c>
      <c r="AT159" s="7">
        <f>SUM(AT160:AT164)</f>
        <v>-39509</v>
      </c>
      <c r="AU159" s="14">
        <f>AT159/AT10</f>
        <v>-1.6083642686052581E-2</v>
      </c>
      <c r="AV159" s="16"/>
      <c r="AW159" s="7">
        <f t="shared" ref="AW159:AW164" si="62">N159+R159+V159+Z159+AD159+AH159+AJ159+AL159+AN159+AP159+AR159+AT159</f>
        <v>-507582</v>
      </c>
      <c r="AX159" s="14">
        <v>0</v>
      </c>
      <c r="AY159" s="7">
        <v>0</v>
      </c>
    </row>
    <row r="160" spans="2:51" x14ac:dyDescent="0.25">
      <c r="I160" s="2" t="s">
        <v>190</v>
      </c>
      <c r="J160" s="6">
        <v>0</v>
      </c>
      <c r="K160" s="37">
        <v>0</v>
      </c>
      <c r="L160" s="6">
        <v>0</v>
      </c>
      <c r="M160" s="15">
        <v>0</v>
      </c>
      <c r="N160" s="6">
        <v>-2167</v>
      </c>
      <c r="O160" s="15">
        <v>0</v>
      </c>
      <c r="P160" s="6">
        <f>IFERROR(VLOOKUP($I160,RESUMO!$A$3:$M$200,2,FALSE),"")</f>
        <v>9551.4999999999982</v>
      </c>
      <c r="R160" s="6">
        <v>-2167</v>
      </c>
      <c r="S160" s="15">
        <v>0</v>
      </c>
      <c r="T160" s="6">
        <f>IFERROR(VLOOKUP($I160,RESUMO!$A$3:$M$200,3,FALSE),"")</f>
        <v>4960.7299999999996</v>
      </c>
      <c r="V160" s="6">
        <v>-2167</v>
      </c>
      <c r="W160" s="15">
        <v>0</v>
      </c>
      <c r="X160" s="6">
        <f>IFERROR(VLOOKUP($I160,RESUMO!$A$3:$M$200,4,FALSE),"")</f>
        <v>2407.11</v>
      </c>
      <c r="Z160" s="6">
        <v>-2167</v>
      </c>
      <c r="AA160" s="15">
        <v>0</v>
      </c>
      <c r="AB160" s="6">
        <f>IFERROR(VLOOKUP($I160,RESUMO!$A$3:$M$200,5,FALSE),"")</f>
        <v>1241.96</v>
      </c>
      <c r="AD160" s="6">
        <v>-2167</v>
      </c>
      <c r="AE160" s="15">
        <v>0</v>
      </c>
      <c r="AF160" s="6">
        <f>IFERROR(VLOOKUP($I160,RESUMO!$A$3:$M$200,6,FALSE),"")</f>
        <v>159</v>
      </c>
      <c r="AH160" s="6">
        <v>-2167</v>
      </c>
      <c r="AI160" s="15">
        <v>0</v>
      </c>
      <c r="AJ160" s="6">
        <v>-1088</v>
      </c>
      <c r="AK160" s="15">
        <v>0</v>
      </c>
      <c r="AL160" s="6">
        <v>-1088</v>
      </c>
      <c r="AM160" s="15">
        <v>0</v>
      </c>
      <c r="AN160" s="6">
        <v>-1088</v>
      </c>
      <c r="AO160" s="15">
        <v>0</v>
      </c>
      <c r="AP160" s="6">
        <v>-1088</v>
      </c>
      <c r="AQ160" s="15">
        <v>0</v>
      </c>
      <c r="AR160" s="6">
        <v>-1088</v>
      </c>
      <c r="AS160" s="15">
        <v>0</v>
      </c>
      <c r="AT160" s="6">
        <v>-1088</v>
      </c>
      <c r="AU160" s="15">
        <v>0</v>
      </c>
      <c r="AV160" s="6"/>
      <c r="AW160" s="6">
        <f t="shared" si="62"/>
        <v>-19530</v>
      </c>
      <c r="AX160" s="15">
        <v>0</v>
      </c>
      <c r="AY160" s="6">
        <v>0</v>
      </c>
    </row>
    <row r="161" spans="9:51" x14ac:dyDescent="0.25">
      <c r="I161" s="2" t="s">
        <v>191</v>
      </c>
      <c r="J161" s="6">
        <v>0</v>
      </c>
      <c r="K161" s="37">
        <v>0</v>
      </c>
      <c r="L161" s="6">
        <v>0</v>
      </c>
      <c r="M161" s="15">
        <v>0</v>
      </c>
      <c r="N161" s="6">
        <v>-1508</v>
      </c>
      <c r="O161" s="15">
        <v>0</v>
      </c>
      <c r="P161" s="6">
        <f>IFERROR(VLOOKUP($I161,RESUMO!$A$3:$M$200,2,FALSE),"")</f>
        <v>3037.44</v>
      </c>
      <c r="R161" s="6">
        <v>-1508</v>
      </c>
      <c r="S161" s="15">
        <v>0</v>
      </c>
      <c r="T161" s="6">
        <f>IFERROR(VLOOKUP($I161,RESUMO!$A$3:$M$200,3,FALSE),"")</f>
        <v>3037.44</v>
      </c>
      <c r="V161" s="6">
        <v>-1508</v>
      </c>
      <c r="W161" s="15">
        <v>0</v>
      </c>
      <c r="X161" s="6">
        <f>IFERROR(VLOOKUP($I161,RESUMO!$A$3:$M$200,4,FALSE),"")</f>
        <v>3037.44</v>
      </c>
      <c r="Z161" s="6">
        <v>-1508</v>
      </c>
      <c r="AA161" s="15">
        <v>0</v>
      </c>
      <c r="AB161" s="6">
        <f>IFERROR(VLOOKUP($I161,RESUMO!$A$3:$M$200,5,FALSE),"")</f>
        <v>3037.44</v>
      </c>
      <c r="AD161" s="6">
        <v>-1508</v>
      </c>
      <c r="AE161" s="15">
        <v>0</v>
      </c>
      <c r="AF161" s="6">
        <f>IFERROR(VLOOKUP($I161,RESUMO!$A$3:$M$200,6,FALSE),"")</f>
        <v>3157.3</v>
      </c>
      <c r="AH161" s="6">
        <v>-1508</v>
      </c>
      <c r="AI161" s="15">
        <v>0</v>
      </c>
      <c r="AJ161" s="6">
        <v>-1508</v>
      </c>
      <c r="AK161" s="15">
        <v>0</v>
      </c>
      <c r="AL161" s="6">
        <v>-1508</v>
      </c>
      <c r="AM161" s="15">
        <v>0</v>
      </c>
      <c r="AN161" s="6">
        <v>-1508</v>
      </c>
      <c r="AO161" s="15">
        <v>0</v>
      </c>
      <c r="AP161" s="6">
        <v>-1508</v>
      </c>
      <c r="AQ161" s="15">
        <v>0</v>
      </c>
      <c r="AR161" s="6">
        <v>-1508</v>
      </c>
      <c r="AS161" s="15">
        <v>0</v>
      </c>
      <c r="AT161" s="6">
        <v>-1508</v>
      </c>
      <c r="AU161" s="15">
        <v>0</v>
      </c>
      <c r="AV161" s="6"/>
      <c r="AW161" s="6">
        <f t="shared" si="62"/>
        <v>-18096</v>
      </c>
      <c r="AX161" s="15">
        <v>0</v>
      </c>
      <c r="AY161" s="6">
        <v>0</v>
      </c>
    </row>
    <row r="162" spans="9:51" x14ac:dyDescent="0.25">
      <c r="I162" s="2" t="s">
        <v>192</v>
      </c>
      <c r="N162" s="6">
        <v>-9000</v>
      </c>
      <c r="O162" s="15">
        <v>0</v>
      </c>
      <c r="P162" s="6">
        <f>IFERROR(VLOOKUP($I162,RESUMO!$A$3:$M$200,2,FALSE),"")</f>
        <v>14634.46</v>
      </c>
      <c r="R162" s="6">
        <v>-9000</v>
      </c>
      <c r="T162" s="6">
        <f>IFERROR(VLOOKUP($I162,RESUMO!$A$3:$M$200,3,FALSE),"")</f>
        <v>5089.95</v>
      </c>
      <c r="V162" s="6">
        <v>-9000</v>
      </c>
      <c r="X162" s="6">
        <f>IFERROR(VLOOKUP($I162,RESUMO!$A$3:$M$200,4,FALSE),"")</f>
        <v>2570</v>
      </c>
      <c r="Y162" s="6"/>
      <c r="AB162" s="6">
        <f>IFERROR(VLOOKUP($I162,RESUMO!$A$3:$M$200,5,FALSE),"")</f>
        <v>900</v>
      </c>
      <c r="AC162" s="6"/>
      <c r="AF162" s="6">
        <f>IFERROR(VLOOKUP($I162,RESUMO!$A$3:$M$200,6,FALSE),"")</f>
        <v>724</v>
      </c>
      <c r="AG162" s="6"/>
      <c r="AW162" s="6">
        <f t="shared" si="62"/>
        <v>-27000</v>
      </c>
    </row>
    <row r="163" spans="9:51" x14ac:dyDescent="0.25">
      <c r="I163" s="2" t="s">
        <v>193</v>
      </c>
      <c r="N163" s="6">
        <v>-36540</v>
      </c>
      <c r="O163" s="15">
        <v>0</v>
      </c>
      <c r="P163" s="6">
        <f>IFERROR(VLOOKUP($I163,RESUMO!$A$3:$M$200,2,FALSE),"")</f>
        <v>25943.030000000002</v>
      </c>
      <c r="R163" s="6">
        <v>-36540</v>
      </c>
      <c r="T163" s="6">
        <f>IFERROR(VLOOKUP($I163,RESUMO!$A$3:$M$200,3,FALSE),"")</f>
        <v>13323.710000000001</v>
      </c>
      <c r="V163" s="6">
        <v>-36540</v>
      </c>
      <c r="X163" s="6">
        <f>IFERROR(VLOOKUP($I163,RESUMO!$A$3:$M$200,4,FALSE),"")</f>
        <v>14734.15</v>
      </c>
      <c r="Z163" s="6">
        <v>-36540</v>
      </c>
      <c r="AB163" s="6">
        <f>IFERROR(VLOOKUP($I163,RESUMO!$A$3:$M$200,5,FALSE),"")</f>
        <v>11268.87</v>
      </c>
      <c r="AD163" s="6">
        <v>-36540</v>
      </c>
      <c r="AF163" s="6">
        <f>IFERROR(VLOOKUP($I163,RESUMO!$A$3:$M$200,6,FALSE),"")</f>
        <v>218.99</v>
      </c>
      <c r="AH163" s="6">
        <v>-36540</v>
      </c>
      <c r="AJ163" s="6">
        <v>-36540</v>
      </c>
      <c r="AL163" s="6">
        <v>-36540</v>
      </c>
      <c r="AN163" s="6">
        <v>-36540</v>
      </c>
      <c r="AP163" s="6">
        <v>-36540</v>
      </c>
      <c r="AR163" s="6">
        <v>-36540</v>
      </c>
      <c r="AT163" s="6">
        <v>-36540</v>
      </c>
      <c r="AW163" s="6">
        <f t="shared" si="62"/>
        <v>-438480</v>
      </c>
    </row>
    <row r="164" spans="9:51" x14ac:dyDescent="0.25">
      <c r="I164" s="2" t="s">
        <v>194</v>
      </c>
      <c r="N164" s="6">
        <v>-373</v>
      </c>
      <c r="O164" s="15">
        <v>0</v>
      </c>
      <c r="P164" s="6">
        <f>IFERROR(VLOOKUP($I164,RESUMO!$A$3:$M$200,2,FALSE),"")</f>
        <v>0</v>
      </c>
      <c r="R164" s="6">
        <v>-373</v>
      </c>
      <c r="T164" s="6">
        <f>IFERROR(VLOOKUP($I164,RESUMO!$A$3:$M$200,3,FALSE),"")</f>
        <v>0</v>
      </c>
      <c r="V164" s="6">
        <v>-373</v>
      </c>
      <c r="X164" s="6">
        <f>IFERROR(VLOOKUP($I164,RESUMO!$A$3:$M$200,4,FALSE),"")</f>
        <v>4085</v>
      </c>
      <c r="Z164" s="6">
        <v>-373</v>
      </c>
      <c r="AB164" s="6">
        <f>IFERROR(VLOOKUP($I164,RESUMO!$A$3:$M$200,5,FALSE),"")</f>
        <v>0</v>
      </c>
      <c r="AD164" s="6">
        <v>-373</v>
      </c>
      <c r="AF164" s="6">
        <f>IFERROR(VLOOKUP($I164,RESUMO!$A$3:$M$200,6,FALSE),"")</f>
        <v>0</v>
      </c>
      <c r="AH164" s="6">
        <v>-373</v>
      </c>
      <c r="AJ164" s="6">
        <v>-373</v>
      </c>
      <c r="AL164" s="6">
        <v>-373</v>
      </c>
      <c r="AN164" s="6">
        <v>-373</v>
      </c>
      <c r="AP164" s="6">
        <v>-373</v>
      </c>
      <c r="AR164" s="6">
        <v>-373</v>
      </c>
      <c r="AT164" s="6">
        <v>-373</v>
      </c>
      <c r="AW164" s="6">
        <f t="shared" si="62"/>
        <v>-4476</v>
      </c>
    </row>
    <row r="165" spans="9:51" x14ac:dyDescent="0.25">
      <c r="AB165" s="15" t="str">
        <f>IFERROR(VLOOKUP($I165,RESUMO!$A$3:$M$200,5,FALSE),"")</f>
        <v/>
      </c>
      <c r="AF165" s="15" t="str">
        <f>IFERROR(VLOOKUP($I165,RESUMO!$A$3:$M$200,6,FALSE),"")</f>
        <v/>
      </c>
    </row>
    <row r="166" spans="9:51" x14ac:dyDescent="0.25">
      <c r="I166" s="4" t="s">
        <v>195</v>
      </c>
      <c r="J166" s="7">
        <v>120235.26388602481</v>
      </c>
      <c r="K166" s="41">
        <v>4.8094105554409926E-2</v>
      </c>
      <c r="L166" s="7">
        <v>-99894.989458602286</v>
      </c>
      <c r="M166" s="14">
        <v>-4.9947494729301142E-2</v>
      </c>
      <c r="N166" s="7">
        <f>N157+N159</f>
        <v>-315264.42211053544</v>
      </c>
      <c r="O166" s="14">
        <f>N166/N10</f>
        <v>-0.19419447021302827</v>
      </c>
      <c r="P166" s="7">
        <f>P157+P159</f>
        <v>-236904.08999999985</v>
      </c>
      <c r="Q166" s="14"/>
      <c r="R166" s="7">
        <f>R157+R159</f>
        <v>-49989.39105013806</v>
      </c>
      <c r="S166" s="14"/>
      <c r="T166" s="7">
        <f>T157+T159</f>
        <v>58646.510000000009</v>
      </c>
      <c r="U166" s="50"/>
      <c r="V166" s="7">
        <f>V157+V159</f>
        <v>202914.16441826487</v>
      </c>
      <c r="W166" s="14"/>
      <c r="X166" s="7">
        <f>X157+X159</f>
        <v>293704.23999999964</v>
      </c>
      <c r="Y166" s="50"/>
      <c r="Z166" s="7">
        <f>Z157+Z159</f>
        <v>56009.603831202126</v>
      </c>
      <c r="AA166" s="14"/>
      <c r="AB166" s="7">
        <f>AB157+AB159</f>
        <v>344401.7100000002</v>
      </c>
      <c r="AC166" s="50"/>
      <c r="AD166" s="7">
        <f>AD157+AD159</f>
        <v>77957.683600538978</v>
      </c>
      <c r="AE166" s="14"/>
      <c r="AF166" s="7">
        <f>AF157+AF159</f>
        <v>-18175.269999999997</v>
      </c>
      <c r="AG166" s="50"/>
      <c r="AH166" s="7">
        <f>AH157+AH159</f>
        <v>-74008.653377912837</v>
      </c>
      <c r="AI166" s="14"/>
      <c r="AJ166" s="7">
        <f>AJ157+AJ159</f>
        <v>-60391.92288240233</v>
      </c>
      <c r="AK166" s="14"/>
      <c r="AL166" s="7">
        <f>AL157+AL159</f>
        <v>135487.07692978822</v>
      </c>
      <c r="AM166" s="14"/>
      <c r="AN166" s="7">
        <f>AN157+AN159</f>
        <v>262423.98451222153</v>
      </c>
      <c r="AO166" s="14"/>
      <c r="AP166" s="7">
        <f>AP157+AP159</f>
        <v>276581.29078392463</v>
      </c>
      <c r="AQ166" s="14"/>
      <c r="AR166" s="7">
        <f>AR157+AR159</f>
        <v>156393.29599993315</v>
      </c>
      <c r="AS166" s="14"/>
      <c r="AT166" s="7">
        <f>AT157+AT159</f>
        <v>32195.493860227623</v>
      </c>
      <c r="AU166" s="14"/>
      <c r="AV166" s="7"/>
      <c r="AW166" s="7">
        <f>N166+R166+V166+Z166+AD166+AH166+AJ166+AL166+AN166+AP166+AR166+AT166</f>
        <v>700308.20451511245</v>
      </c>
      <c r="AX166" s="14">
        <v>4.0263006817170405E-2</v>
      </c>
      <c r="AY166" s="7">
        <v>100657.51704292603</v>
      </c>
    </row>
  </sheetData>
  <mergeCells count="6">
    <mergeCell ref="AF4:AG4"/>
    <mergeCell ref="N4:O4"/>
    <mergeCell ref="P4:Q4"/>
    <mergeCell ref="T4:U4"/>
    <mergeCell ref="X4:Y4"/>
    <mergeCell ref="AB4:AC4"/>
  </mergeCells>
  <conditionalFormatting sqref="H1:H1048576">
    <cfRule type="cellIs" dxfId="35" priority="29" operator="equal">
      <formula>"rafael"</formula>
    </cfRule>
  </conditionalFormatting>
  <conditionalFormatting sqref="Q1:Q1048576">
    <cfRule type="cellIs" dxfId="34" priority="28" operator="greaterThan">
      <formula>0</formula>
    </cfRule>
  </conditionalFormatting>
  <conditionalFormatting sqref="U1:U1048576">
    <cfRule type="cellIs" dxfId="33" priority="5" operator="greaterThan">
      <formula>0</formula>
    </cfRule>
  </conditionalFormatting>
  <conditionalFormatting sqref="Y1:Y161 Y163:Y1048576">
    <cfRule type="cellIs" dxfId="32" priority="3" operator="greaterThan">
      <formula>0</formula>
    </cfRule>
  </conditionalFormatting>
  <conditionalFormatting sqref="AC1:AC161 AC163:AC1048576">
    <cfRule type="cellIs" dxfId="31" priority="2" operator="greaterThan">
      <formula>0</formula>
    </cfRule>
  </conditionalFormatting>
  <conditionalFormatting sqref="AG1:AG161 AG163:AG1048576">
    <cfRule type="cellIs" dxfId="30" priority="1" operator="greaterThan">
      <formula>0</formula>
    </cfRule>
  </conditionalFormatting>
  <dataValidations disablePrompts="1" count="3">
    <dataValidation type="list" allowBlank="1" showInputMessage="1" showErrorMessage="1" sqref="D13:D19" xr:uid="{4230BA04-8E9C-48B2-B263-2DB7BB391516}">
      <formula1>"1,2,3,4,5,6,7,8,9,10"</formula1>
    </dataValidation>
    <dataValidation type="list" allowBlank="1" showInputMessage="1" showErrorMessage="1" sqref="B75 D76:D155 C13:C155 D20:D74" xr:uid="{A0C90A37-1B38-46D5-ACA1-9C66CC6BBAC6}">
      <formula1>"1,2,3,4,5,6,7,8,9"</formula1>
    </dataValidation>
    <dataValidation type="list" allowBlank="1" showInputMessage="1" showErrorMessage="1" sqref="B76:B155 B13:B74" xr:uid="{ECD7161E-6069-4A41-9922-4DB69084118D}">
      <formula1>"%,$"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C4D0-DE1C-42A9-8F5A-555043D150BE}">
  <sheetPr>
    <tabColor theme="1"/>
  </sheetPr>
  <dimension ref="A3:N130"/>
  <sheetViews>
    <sheetView showGridLines="0" workbookViewId="0">
      <pane xSplit="1" ySplit="4" topLeftCell="B5" activePane="bottomRight" state="frozen"/>
      <selection activeCell="D96" sqref="D96"/>
      <selection pane="topRight" activeCell="D96" sqref="D96"/>
      <selection pane="bottomLeft" activeCell="D96" sqref="D96"/>
      <selection pane="bottomRight" activeCell="D16" sqref="D16"/>
    </sheetView>
  </sheetViews>
  <sheetFormatPr defaultColWidth="8.85546875" defaultRowHeight="12.75" x14ac:dyDescent="0.25"/>
  <cols>
    <col min="1" max="1" width="44.7109375" style="53" bestFit="1" customWidth="1"/>
    <col min="2" max="2" width="18.5703125" style="53" bestFit="1" customWidth="1"/>
    <col min="3" max="5" width="15" style="53" bestFit="1" customWidth="1"/>
    <col min="6" max="6" width="13.5703125" style="53" bestFit="1" customWidth="1"/>
    <col min="7" max="7" width="15.140625" style="53" bestFit="1" customWidth="1"/>
    <col min="8" max="13" width="14.7109375" style="53" bestFit="1" customWidth="1"/>
    <col min="14" max="14" width="15.7109375" style="53" bestFit="1" customWidth="1"/>
    <col min="15" max="16384" width="8.85546875" style="53"/>
  </cols>
  <sheetData>
    <row r="3" spans="1:14" ht="15" x14ac:dyDescent="0.2">
      <c r="A3" s="68" t="s">
        <v>217</v>
      </c>
      <c r="B3" s="68" t="s">
        <v>216</v>
      </c>
      <c r="C3" s="69"/>
      <c r="D3" s="69"/>
      <c r="E3" s="69"/>
      <c r="F3" s="69"/>
      <c r="G3" s="69"/>
      <c r="H3" s="54"/>
      <c r="I3" s="54"/>
      <c r="J3" s="54"/>
      <c r="K3" s="54"/>
      <c r="L3" s="54"/>
      <c r="M3" s="54"/>
      <c r="N3" s="54"/>
    </row>
    <row r="4" spans="1:14" ht="15" x14ac:dyDescent="0.2">
      <c r="A4" s="68" t="s">
        <v>215</v>
      </c>
      <c r="B4" s="69" t="s">
        <v>214</v>
      </c>
      <c r="C4" s="69" t="s">
        <v>213</v>
      </c>
      <c r="D4" s="69" t="s">
        <v>212</v>
      </c>
      <c r="E4" s="69" t="s">
        <v>211</v>
      </c>
      <c r="F4" s="78" t="s">
        <v>3972</v>
      </c>
      <c r="G4" s="69" t="s">
        <v>196</v>
      </c>
      <c r="H4" s="54"/>
      <c r="I4" s="54"/>
      <c r="J4" s="54"/>
      <c r="K4" s="54"/>
      <c r="L4" s="54"/>
      <c r="M4" s="54"/>
      <c r="N4" s="54"/>
    </row>
    <row r="5" spans="1:14" ht="15" x14ac:dyDescent="0.2">
      <c r="A5" s="65" t="s">
        <v>210</v>
      </c>
      <c r="B5" s="66">
        <v>136035.24</v>
      </c>
      <c r="C5" s="66">
        <v>115564.43000000001</v>
      </c>
      <c r="D5" s="66">
        <v>169337.99</v>
      </c>
      <c r="E5" s="66">
        <v>140077.90000000002</v>
      </c>
      <c r="F5" s="66"/>
      <c r="G5" s="66">
        <v>561015.56000000006</v>
      </c>
      <c r="H5" s="54"/>
      <c r="I5" s="54"/>
      <c r="J5" s="54"/>
      <c r="K5" s="54"/>
      <c r="L5" s="54"/>
      <c r="M5" s="54"/>
      <c r="N5" s="54"/>
    </row>
    <row r="6" spans="1:14" ht="15" x14ac:dyDescent="0.2">
      <c r="A6" s="67" t="s">
        <v>6</v>
      </c>
      <c r="B6" s="66"/>
      <c r="C6" s="66">
        <v>2460.61</v>
      </c>
      <c r="D6" s="66">
        <v>15906.25</v>
      </c>
      <c r="E6" s="66">
        <v>11442.92</v>
      </c>
      <c r="F6" s="66"/>
      <c r="G6" s="66">
        <v>29809.78</v>
      </c>
      <c r="H6" s="54"/>
      <c r="I6" s="54"/>
      <c r="J6" s="54"/>
      <c r="K6" s="54"/>
      <c r="L6" s="54"/>
      <c r="M6" s="54"/>
      <c r="N6" s="54"/>
    </row>
    <row r="7" spans="1:14" ht="15" x14ac:dyDescent="0.2">
      <c r="A7" s="67" t="s">
        <v>3</v>
      </c>
      <c r="B7" s="66">
        <v>60679.01</v>
      </c>
      <c r="C7" s="66">
        <v>18975.320000000003</v>
      </c>
      <c r="D7" s="66">
        <v>39057.060000000005</v>
      </c>
      <c r="E7" s="66">
        <v>24861.83</v>
      </c>
      <c r="F7" s="66"/>
      <c r="G7" s="66">
        <v>143573.22000000003</v>
      </c>
      <c r="H7" s="54"/>
      <c r="I7" s="54"/>
      <c r="J7" s="54"/>
      <c r="K7" s="54"/>
      <c r="L7" s="54"/>
      <c r="M7" s="54"/>
      <c r="N7" s="54"/>
    </row>
    <row r="8" spans="1:14" ht="15" x14ac:dyDescent="0.2">
      <c r="A8" s="67" t="s">
        <v>187</v>
      </c>
      <c r="B8" s="66">
        <v>5659.96</v>
      </c>
      <c r="C8" s="66">
        <v>5659.96</v>
      </c>
      <c r="D8" s="66">
        <v>5659.96</v>
      </c>
      <c r="E8" s="66">
        <v>5659.96</v>
      </c>
      <c r="F8" s="66"/>
      <c r="G8" s="66">
        <v>22639.84</v>
      </c>
      <c r="H8" s="54"/>
      <c r="I8" s="54"/>
      <c r="J8" s="54"/>
      <c r="K8" s="54"/>
      <c r="L8" s="54"/>
      <c r="M8" s="54"/>
      <c r="N8" s="54"/>
    </row>
    <row r="9" spans="1:14" ht="15" x14ac:dyDescent="0.2">
      <c r="A9" s="67" t="s">
        <v>5</v>
      </c>
      <c r="B9" s="66">
        <v>15874.39</v>
      </c>
      <c r="C9" s="66">
        <v>14761.73</v>
      </c>
      <c r="D9" s="66">
        <v>22197.7</v>
      </c>
      <c r="E9" s="66">
        <v>20723.310000000001</v>
      </c>
      <c r="F9" s="66"/>
      <c r="G9" s="66">
        <v>73557.13</v>
      </c>
      <c r="H9" s="54"/>
      <c r="I9" s="54"/>
      <c r="J9" s="54"/>
      <c r="K9" s="54"/>
      <c r="L9" s="54"/>
      <c r="M9" s="54"/>
      <c r="N9" s="54"/>
    </row>
    <row r="10" spans="1:14" ht="15" x14ac:dyDescent="0.2">
      <c r="A10" s="67" t="s">
        <v>7</v>
      </c>
      <c r="B10" s="66">
        <v>1443.62</v>
      </c>
      <c r="C10" s="66">
        <v>1490.09</v>
      </c>
      <c r="D10" s="66">
        <v>1921.23</v>
      </c>
      <c r="E10" s="66">
        <v>4716.6899999999996</v>
      </c>
      <c r="F10" s="66"/>
      <c r="G10" s="66">
        <v>9571.630000000001</v>
      </c>
      <c r="H10" s="54"/>
      <c r="I10" s="54"/>
      <c r="J10" s="54"/>
      <c r="K10" s="54"/>
      <c r="L10" s="54"/>
      <c r="M10" s="54"/>
      <c r="N10" s="54"/>
    </row>
    <row r="11" spans="1:14" ht="15" x14ac:dyDescent="0.2">
      <c r="A11" s="67" t="s">
        <v>4</v>
      </c>
      <c r="B11" s="66"/>
      <c r="C11" s="66">
        <v>496.96</v>
      </c>
      <c r="D11" s="66">
        <v>3431.3</v>
      </c>
      <c r="E11" s="66">
        <v>2462.42</v>
      </c>
      <c r="F11" s="66"/>
      <c r="G11" s="66">
        <v>6390.68</v>
      </c>
      <c r="H11" s="54"/>
      <c r="I11" s="54"/>
      <c r="J11" s="54"/>
      <c r="K11" s="54"/>
      <c r="L11" s="54"/>
      <c r="M11" s="54"/>
      <c r="N11" s="54"/>
    </row>
    <row r="12" spans="1:14" ht="15" x14ac:dyDescent="0.2">
      <c r="A12" s="67" t="s">
        <v>2</v>
      </c>
      <c r="B12" s="66">
        <v>52378.26</v>
      </c>
      <c r="C12" s="66">
        <v>71719.760000000009</v>
      </c>
      <c r="D12" s="66">
        <v>81164.490000000005</v>
      </c>
      <c r="E12" s="66">
        <v>70210.77</v>
      </c>
      <c r="F12" s="66"/>
      <c r="G12" s="66">
        <v>275473.28000000003</v>
      </c>
      <c r="H12" s="54"/>
      <c r="I12" s="54"/>
      <c r="J12" s="54"/>
      <c r="K12" s="54"/>
      <c r="L12" s="54"/>
      <c r="M12" s="54"/>
      <c r="N12" s="54"/>
    </row>
    <row r="13" spans="1:14" ht="15" x14ac:dyDescent="0.2">
      <c r="A13" s="65" t="s">
        <v>209</v>
      </c>
      <c r="B13" s="66">
        <v>10956.839999999998</v>
      </c>
      <c r="C13" s="66">
        <v>22587.710000000006</v>
      </c>
      <c r="D13" s="66">
        <v>29480.909999999996</v>
      </c>
      <c r="E13" s="66">
        <v>17172.52</v>
      </c>
      <c r="F13" s="66">
        <v>2977.1300000000006</v>
      </c>
      <c r="G13" s="66">
        <v>83175.109999999986</v>
      </c>
      <c r="H13" s="54"/>
      <c r="I13" s="54"/>
      <c r="J13" s="54"/>
      <c r="K13" s="54"/>
      <c r="L13" s="54"/>
      <c r="M13" s="54"/>
      <c r="N13" s="54"/>
    </row>
    <row r="14" spans="1:14" ht="15" x14ac:dyDescent="0.2">
      <c r="A14" s="67" t="s">
        <v>10</v>
      </c>
      <c r="B14" s="66">
        <v>564</v>
      </c>
      <c r="C14" s="66">
        <v>987.68</v>
      </c>
      <c r="D14" s="66">
        <v>1534.3</v>
      </c>
      <c r="E14" s="66">
        <v>9.5</v>
      </c>
      <c r="F14" s="66"/>
      <c r="G14" s="66">
        <v>3095.4799999999996</v>
      </c>
      <c r="H14" s="54"/>
      <c r="I14" s="54"/>
      <c r="J14" s="54"/>
      <c r="K14" s="54"/>
      <c r="L14" s="54"/>
      <c r="M14" s="54"/>
      <c r="N14" s="54"/>
    </row>
    <row r="15" spans="1:14" ht="15" x14ac:dyDescent="0.2">
      <c r="A15" s="67" t="s">
        <v>14</v>
      </c>
      <c r="B15" s="66">
        <v>1</v>
      </c>
      <c r="C15" s="66">
        <v>2516.6800000000003</v>
      </c>
      <c r="D15" s="66">
        <v>12217.75</v>
      </c>
      <c r="E15" s="66">
        <v>962.38</v>
      </c>
      <c r="F15" s="66">
        <v>67.11</v>
      </c>
      <c r="G15" s="66">
        <v>15764.92</v>
      </c>
      <c r="H15" s="54"/>
      <c r="I15" s="54"/>
      <c r="J15" s="54"/>
      <c r="K15" s="54"/>
      <c r="L15" s="54"/>
      <c r="M15" s="54"/>
      <c r="N15" s="54"/>
    </row>
    <row r="16" spans="1:14" ht="15" x14ac:dyDescent="0.2">
      <c r="A16" s="67" t="s">
        <v>208</v>
      </c>
      <c r="B16" s="66">
        <v>10391.839999999998</v>
      </c>
      <c r="C16" s="66">
        <v>19083.350000000006</v>
      </c>
      <c r="D16" s="66">
        <v>15728.859999999995</v>
      </c>
      <c r="E16" s="66">
        <v>16200.64</v>
      </c>
      <c r="F16" s="66">
        <v>2910.0200000000004</v>
      </c>
      <c r="G16" s="66">
        <v>64314.709999999992</v>
      </c>
      <c r="H16" s="54"/>
      <c r="I16" s="54"/>
      <c r="J16" s="54"/>
      <c r="K16" s="54"/>
      <c r="L16" s="54"/>
      <c r="M16" s="54"/>
      <c r="N16" s="54"/>
    </row>
    <row r="17" spans="1:14" ht="15" x14ac:dyDescent="0.2">
      <c r="A17" s="65" t="s">
        <v>207</v>
      </c>
      <c r="B17" s="66">
        <v>298438.85000000003</v>
      </c>
      <c r="C17" s="66">
        <v>359850.92</v>
      </c>
      <c r="D17" s="66">
        <v>333045.58</v>
      </c>
      <c r="E17" s="66">
        <v>255313.3600000001</v>
      </c>
      <c r="F17" s="66">
        <v>21727.680000000004</v>
      </c>
      <c r="G17" s="66">
        <v>1268376.3900000001</v>
      </c>
      <c r="H17" s="54"/>
      <c r="I17" s="54"/>
      <c r="J17" s="54"/>
      <c r="K17" s="54"/>
      <c r="L17" s="54"/>
      <c r="M17" s="54"/>
      <c r="N17" s="54"/>
    </row>
    <row r="18" spans="1:14" ht="15" x14ac:dyDescent="0.2">
      <c r="A18" s="67" t="s">
        <v>25</v>
      </c>
      <c r="B18" s="66">
        <v>808</v>
      </c>
      <c r="C18" s="66">
        <v>570</v>
      </c>
      <c r="D18" s="66">
        <v>349.9</v>
      </c>
      <c r="E18" s="66">
        <v>420</v>
      </c>
      <c r="F18" s="66"/>
      <c r="G18" s="66">
        <v>2147.9</v>
      </c>
      <c r="H18" s="54"/>
      <c r="I18" s="54"/>
      <c r="J18" s="54"/>
      <c r="K18" s="54"/>
      <c r="L18" s="54"/>
      <c r="M18" s="54"/>
      <c r="N18" s="54"/>
    </row>
    <row r="19" spans="1:14" ht="15" x14ac:dyDescent="0.2">
      <c r="A19" s="67" t="s">
        <v>17</v>
      </c>
      <c r="B19" s="66">
        <v>4543.34</v>
      </c>
      <c r="C19" s="66">
        <v>6905.72</v>
      </c>
      <c r="D19" s="66">
        <v>8155.15</v>
      </c>
      <c r="E19" s="66">
        <v>8554.02</v>
      </c>
      <c r="F19" s="66"/>
      <c r="G19" s="66">
        <v>28158.23</v>
      </c>
      <c r="H19" s="54"/>
      <c r="I19" s="54"/>
      <c r="J19" s="54"/>
      <c r="K19" s="54"/>
      <c r="L19" s="54"/>
      <c r="M19" s="54"/>
      <c r="N19" s="54"/>
    </row>
    <row r="20" spans="1:14" ht="15" x14ac:dyDescent="0.2">
      <c r="A20" s="67" t="s">
        <v>19</v>
      </c>
      <c r="B20" s="66">
        <v>1899.2</v>
      </c>
      <c r="C20" s="66">
        <v>1694.1599999999999</v>
      </c>
      <c r="D20" s="66"/>
      <c r="E20" s="66">
        <v>1307.92</v>
      </c>
      <c r="F20" s="66">
        <v>9103.6</v>
      </c>
      <c r="G20" s="66">
        <v>14004.880000000001</v>
      </c>
      <c r="H20" s="54"/>
      <c r="I20" s="54"/>
      <c r="J20" s="54"/>
      <c r="K20" s="54"/>
      <c r="L20" s="54"/>
      <c r="M20" s="54"/>
      <c r="N20" s="54"/>
    </row>
    <row r="21" spans="1:14" ht="15" x14ac:dyDescent="0.2">
      <c r="A21" s="67" t="s">
        <v>29</v>
      </c>
      <c r="B21" s="66">
        <v>2775.23</v>
      </c>
      <c r="C21" s="66">
        <v>5329.74</v>
      </c>
      <c r="D21" s="66">
        <v>5620.32</v>
      </c>
      <c r="E21" s="66">
        <v>21546.300000000003</v>
      </c>
      <c r="F21" s="66">
        <v>1358.46</v>
      </c>
      <c r="G21" s="66">
        <v>36630.050000000003</v>
      </c>
      <c r="H21" s="54"/>
      <c r="I21" s="54"/>
      <c r="J21" s="54"/>
      <c r="K21" s="54"/>
      <c r="L21" s="54"/>
      <c r="M21" s="54"/>
      <c r="N21" s="54"/>
    </row>
    <row r="22" spans="1:14" ht="15" x14ac:dyDescent="0.2">
      <c r="A22" s="67" t="s">
        <v>27</v>
      </c>
      <c r="B22" s="66">
        <v>34431.979999999996</v>
      </c>
      <c r="C22" s="66">
        <v>32736.5</v>
      </c>
      <c r="D22" s="66">
        <v>35869.64</v>
      </c>
      <c r="E22" s="66"/>
      <c r="F22" s="66"/>
      <c r="G22" s="66">
        <v>103038.12</v>
      </c>
      <c r="H22" s="54"/>
      <c r="I22" s="54"/>
      <c r="J22" s="54"/>
      <c r="K22" s="54"/>
      <c r="L22" s="54"/>
      <c r="M22" s="54"/>
      <c r="N22" s="54"/>
    </row>
    <row r="23" spans="1:14" ht="15" x14ac:dyDescent="0.2">
      <c r="A23" s="67" t="s">
        <v>23</v>
      </c>
      <c r="B23" s="66">
        <v>6816.55</v>
      </c>
      <c r="C23" s="66">
        <v>9992.25</v>
      </c>
      <c r="D23" s="66">
        <v>8223.1</v>
      </c>
      <c r="E23" s="66">
        <v>1988.1</v>
      </c>
      <c r="F23" s="66"/>
      <c r="G23" s="66">
        <v>27020</v>
      </c>
      <c r="H23" s="54"/>
      <c r="I23" s="54"/>
      <c r="J23" s="54"/>
      <c r="K23" s="54"/>
      <c r="L23" s="54"/>
      <c r="M23" s="54"/>
      <c r="N23" s="54"/>
    </row>
    <row r="24" spans="1:14" ht="15" x14ac:dyDescent="0.2">
      <c r="A24" s="67" t="s">
        <v>28</v>
      </c>
      <c r="B24" s="66">
        <v>44369.08</v>
      </c>
      <c r="C24" s="66">
        <v>42800.44</v>
      </c>
      <c r="D24" s="66">
        <v>44918.66</v>
      </c>
      <c r="E24" s="66"/>
      <c r="F24" s="66"/>
      <c r="G24" s="66">
        <v>132088.18</v>
      </c>
      <c r="H24" s="54"/>
      <c r="I24" s="54"/>
      <c r="J24" s="54"/>
      <c r="K24" s="54"/>
      <c r="L24" s="54"/>
      <c r="M24" s="54"/>
      <c r="N24" s="54"/>
    </row>
    <row r="25" spans="1:14" ht="15" x14ac:dyDescent="0.2">
      <c r="A25" s="67" t="s">
        <v>18</v>
      </c>
      <c r="B25" s="66">
        <v>14950.47</v>
      </c>
      <c r="C25" s="66">
        <v>21105.59</v>
      </c>
      <c r="D25" s="66">
        <v>9382.1299999999992</v>
      </c>
      <c r="E25" s="66">
        <v>16740.669999999998</v>
      </c>
      <c r="F25" s="66">
        <v>5750.17</v>
      </c>
      <c r="G25" s="66">
        <v>67929.03</v>
      </c>
      <c r="H25" s="54"/>
      <c r="I25" s="54"/>
      <c r="J25" s="54"/>
      <c r="K25" s="54"/>
      <c r="L25" s="54"/>
      <c r="M25" s="54"/>
      <c r="N25" s="54"/>
    </row>
    <row r="26" spans="1:14" ht="15" x14ac:dyDescent="0.2">
      <c r="A26" s="67" t="s">
        <v>24</v>
      </c>
      <c r="B26" s="66"/>
      <c r="C26" s="66">
        <v>30936.210000000003</v>
      </c>
      <c r="D26" s="66">
        <v>394.44</v>
      </c>
      <c r="E26" s="66"/>
      <c r="F26" s="66">
        <v>1694.75</v>
      </c>
      <c r="G26" s="66">
        <v>33025.4</v>
      </c>
      <c r="H26" s="54"/>
      <c r="I26" s="54"/>
      <c r="J26" s="54"/>
      <c r="K26" s="54"/>
      <c r="L26" s="54"/>
      <c r="M26" s="54"/>
      <c r="N26" s="54"/>
    </row>
    <row r="27" spans="1:14" ht="15" x14ac:dyDescent="0.2">
      <c r="A27" s="67" t="s">
        <v>20</v>
      </c>
      <c r="B27" s="66">
        <v>185861.81</v>
      </c>
      <c r="C27" s="66">
        <v>205896.33000000002</v>
      </c>
      <c r="D27" s="66">
        <v>218151.71</v>
      </c>
      <c r="E27" s="66">
        <v>202715.75000000009</v>
      </c>
      <c r="F27" s="66">
        <v>3820.7</v>
      </c>
      <c r="G27" s="66">
        <v>816446.3</v>
      </c>
      <c r="H27" s="54"/>
      <c r="I27" s="54"/>
      <c r="J27" s="54"/>
      <c r="K27" s="54"/>
      <c r="L27" s="54"/>
      <c r="M27" s="54"/>
      <c r="N27" s="54"/>
    </row>
    <row r="28" spans="1:14" ht="15" x14ac:dyDescent="0.2">
      <c r="A28" s="67" t="s">
        <v>26</v>
      </c>
      <c r="B28" s="66">
        <v>1983.19</v>
      </c>
      <c r="C28" s="66">
        <v>1883.98</v>
      </c>
      <c r="D28" s="66">
        <v>1980.53</v>
      </c>
      <c r="E28" s="66">
        <v>2040.6</v>
      </c>
      <c r="F28" s="66"/>
      <c r="G28" s="66">
        <v>7888.2999999999993</v>
      </c>
      <c r="H28" s="54"/>
      <c r="I28" s="54"/>
      <c r="J28" s="54"/>
      <c r="K28" s="54"/>
      <c r="L28" s="54"/>
      <c r="M28" s="54"/>
      <c r="N28" s="54"/>
    </row>
    <row r="29" spans="1:14" ht="15" x14ac:dyDescent="0.2">
      <c r="A29" s="65" t="s">
        <v>206</v>
      </c>
      <c r="B29" s="66">
        <v>87389.239999999991</v>
      </c>
      <c r="C29" s="66">
        <v>65780.299999999988</v>
      </c>
      <c r="D29" s="66">
        <v>107667.2</v>
      </c>
      <c r="E29" s="66">
        <v>67636.97</v>
      </c>
      <c r="F29" s="66">
        <v>16917.440000000002</v>
      </c>
      <c r="G29" s="66">
        <v>345391.15</v>
      </c>
      <c r="H29" s="54"/>
      <c r="I29" s="54"/>
      <c r="J29" s="54"/>
      <c r="K29" s="54"/>
      <c r="L29" s="54"/>
      <c r="M29" s="54"/>
      <c r="N29" s="54"/>
    </row>
    <row r="30" spans="1:14" ht="15" x14ac:dyDescent="0.2">
      <c r="A30" s="67" t="s">
        <v>37</v>
      </c>
      <c r="B30" s="66"/>
      <c r="C30" s="66"/>
      <c r="D30" s="66"/>
      <c r="E30" s="66">
        <v>225</v>
      </c>
      <c r="F30" s="66"/>
      <c r="G30" s="66">
        <v>225</v>
      </c>
      <c r="H30" s="54"/>
      <c r="I30" s="54"/>
      <c r="J30" s="54"/>
      <c r="K30" s="54"/>
      <c r="L30" s="54"/>
      <c r="M30" s="54"/>
      <c r="N30" s="54"/>
    </row>
    <row r="31" spans="1:14" ht="15" x14ac:dyDescent="0.2">
      <c r="A31" s="67" t="s">
        <v>43</v>
      </c>
      <c r="B31" s="66">
        <v>2934.94</v>
      </c>
      <c r="C31" s="66">
        <v>1387.6999999999998</v>
      </c>
      <c r="D31" s="66">
        <v>705.03</v>
      </c>
      <c r="E31" s="66"/>
      <c r="F31" s="66"/>
      <c r="G31" s="66">
        <v>5027.6699999999992</v>
      </c>
      <c r="H31" s="54"/>
      <c r="I31" s="54"/>
      <c r="J31" s="54"/>
      <c r="K31" s="54"/>
      <c r="L31" s="54"/>
      <c r="M31" s="54"/>
      <c r="N31" s="54"/>
    </row>
    <row r="32" spans="1:14" ht="15" x14ac:dyDescent="0.2">
      <c r="A32" s="67" t="s">
        <v>41</v>
      </c>
      <c r="B32" s="66"/>
      <c r="C32" s="66"/>
      <c r="D32" s="66">
        <v>1458.08</v>
      </c>
      <c r="E32" s="66">
        <v>1316.22</v>
      </c>
      <c r="F32" s="66"/>
      <c r="G32" s="66">
        <v>2774.3</v>
      </c>
      <c r="H32" s="54"/>
      <c r="I32" s="54"/>
      <c r="J32" s="54"/>
      <c r="K32" s="54"/>
      <c r="L32" s="54"/>
      <c r="M32" s="54"/>
      <c r="N32" s="54"/>
    </row>
    <row r="33" spans="1:14" ht="15" x14ac:dyDescent="0.2">
      <c r="A33" s="67" t="s">
        <v>39</v>
      </c>
      <c r="B33" s="66">
        <v>6497.95</v>
      </c>
      <c r="C33" s="66">
        <v>5251.66</v>
      </c>
      <c r="D33" s="66">
        <v>5035.68</v>
      </c>
      <c r="E33" s="66"/>
      <c r="F33" s="66"/>
      <c r="G33" s="66">
        <v>16785.29</v>
      </c>
      <c r="H33" s="54"/>
      <c r="I33" s="54"/>
      <c r="J33" s="54"/>
      <c r="K33" s="54"/>
      <c r="L33" s="54"/>
      <c r="M33" s="54"/>
      <c r="N33" s="54"/>
    </row>
    <row r="34" spans="1:14" ht="15" x14ac:dyDescent="0.2">
      <c r="A34" s="67" t="s">
        <v>35</v>
      </c>
      <c r="B34" s="66">
        <v>3000.69</v>
      </c>
      <c r="C34" s="66">
        <v>2925.69</v>
      </c>
      <c r="D34" s="66">
        <v>1589.46</v>
      </c>
      <c r="E34" s="66">
        <v>1479.46</v>
      </c>
      <c r="F34" s="66"/>
      <c r="G34" s="66">
        <v>8995.2999999999993</v>
      </c>
      <c r="H34" s="54"/>
      <c r="I34" s="54"/>
      <c r="J34" s="54"/>
      <c r="K34" s="54"/>
      <c r="L34" s="54"/>
      <c r="M34" s="54"/>
      <c r="N34" s="54"/>
    </row>
    <row r="35" spans="1:14" ht="15" x14ac:dyDescent="0.2">
      <c r="A35" s="67" t="s">
        <v>33</v>
      </c>
      <c r="B35" s="66">
        <v>230</v>
      </c>
      <c r="C35" s="66"/>
      <c r="D35" s="66"/>
      <c r="E35" s="66"/>
      <c r="F35" s="66"/>
      <c r="G35" s="66">
        <v>230</v>
      </c>
      <c r="H35" s="54"/>
      <c r="I35" s="54"/>
      <c r="J35" s="54"/>
      <c r="K35" s="54"/>
      <c r="L35" s="54"/>
      <c r="M35" s="54"/>
      <c r="N35" s="54"/>
    </row>
    <row r="36" spans="1:14" ht="15" x14ac:dyDescent="0.2">
      <c r="A36" s="67" t="s">
        <v>40</v>
      </c>
      <c r="B36" s="66">
        <v>8026.6100000000006</v>
      </c>
      <c r="C36" s="66">
        <v>8297.76</v>
      </c>
      <c r="D36" s="66">
        <v>8006.02</v>
      </c>
      <c r="E36" s="66"/>
      <c r="F36" s="66"/>
      <c r="G36" s="66">
        <v>24330.39</v>
      </c>
      <c r="H36" s="54"/>
      <c r="I36" s="54"/>
      <c r="J36" s="54"/>
      <c r="K36" s="54"/>
      <c r="L36" s="54"/>
      <c r="M36" s="54"/>
      <c r="N36" s="54"/>
    </row>
    <row r="37" spans="1:14" ht="15" x14ac:dyDescent="0.2">
      <c r="A37" s="67" t="s">
        <v>46</v>
      </c>
      <c r="B37" s="66"/>
      <c r="C37" s="66"/>
      <c r="D37" s="66"/>
      <c r="E37" s="66">
        <v>2849.7400000000002</v>
      </c>
      <c r="F37" s="66"/>
      <c r="G37" s="66">
        <v>2849.7400000000002</v>
      </c>
      <c r="H37" s="54"/>
      <c r="I37" s="54"/>
      <c r="J37" s="54"/>
      <c r="K37" s="54"/>
      <c r="L37" s="54"/>
      <c r="M37" s="54"/>
      <c r="N37" s="54"/>
    </row>
    <row r="38" spans="1:14" ht="15" x14ac:dyDescent="0.2">
      <c r="A38" s="67" t="s">
        <v>31</v>
      </c>
      <c r="B38" s="66">
        <v>2679.9199999999996</v>
      </c>
      <c r="C38" s="66">
        <v>9080.0500000000011</v>
      </c>
      <c r="D38" s="66">
        <v>50727.39</v>
      </c>
      <c r="E38" s="66">
        <v>6964.81</v>
      </c>
      <c r="F38" s="66">
        <v>1139.5999999999999</v>
      </c>
      <c r="G38" s="66">
        <v>70591.77</v>
      </c>
      <c r="H38" s="54"/>
      <c r="I38" s="54"/>
      <c r="J38" s="54"/>
      <c r="K38" s="54"/>
      <c r="L38" s="54"/>
      <c r="M38" s="54"/>
      <c r="N38" s="54"/>
    </row>
    <row r="39" spans="1:14" ht="15" x14ac:dyDescent="0.2">
      <c r="A39" s="67" t="s">
        <v>45</v>
      </c>
      <c r="B39" s="66">
        <v>22729.919999999998</v>
      </c>
      <c r="C39" s="66">
        <v>3526.05</v>
      </c>
      <c r="D39" s="66">
        <v>6703.59</v>
      </c>
      <c r="E39" s="66">
        <v>8001.47</v>
      </c>
      <c r="F39" s="66">
        <v>889</v>
      </c>
      <c r="G39" s="66">
        <v>41850.03</v>
      </c>
      <c r="H39" s="54"/>
      <c r="I39" s="54"/>
      <c r="J39" s="54"/>
      <c r="K39" s="54"/>
      <c r="L39" s="54"/>
      <c r="M39" s="54"/>
      <c r="N39" s="54"/>
    </row>
    <row r="40" spans="1:14" ht="15" x14ac:dyDescent="0.2">
      <c r="A40" s="67" t="s">
        <v>44</v>
      </c>
      <c r="B40" s="66">
        <v>1649.3</v>
      </c>
      <c r="C40" s="66">
        <v>1675.48</v>
      </c>
      <c r="D40" s="66">
        <v>2109.6999999999998</v>
      </c>
      <c r="E40" s="66">
        <v>2093.6</v>
      </c>
      <c r="F40" s="66">
        <v>2112.39</v>
      </c>
      <c r="G40" s="66">
        <v>9640.4699999999993</v>
      </c>
      <c r="H40" s="54"/>
      <c r="I40" s="54"/>
      <c r="J40" s="54"/>
      <c r="K40" s="54"/>
      <c r="L40" s="54"/>
      <c r="M40" s="54"/>
      <c r="N40" s="54"/>
    </row>
    <row r="41" spans="1:14" ht="15" x14ac:dyDescent="0.2">
      <c r="A41" s="67" t="s">
        <v>42</v>
      </c>
      <c r="B41" s="66">
        <v>2316.15</v>
      </c>
      <c r="C41" s="66">
        <v>2405.31</v>
      </c>
      <c r="D41" s="66">
        <v>2405.31</v>
      </c>
      <c r="E41" s="66">
        <v>2405.31</v>
      </c>
      <c r="F41" s="66"/>
      <c r="G41" s="66">
        <v>9532.08</v>
      </c>
      <c r="H41" s="54"/>
      <c r="I41" s="54"/>
      <c r="J41" s="54"/>
      <c r="K41" s="54"/>
      <c r="L41" s="54"/>
      <c r="M41" s="54"/>
      <c r="N41" s="54"/>
    </row>
    <row r="42" spans="1:14" ht="15" x14ac:dyDescent="0.2">
      <c r="A42" s="67" t="s">
        <v>205</v>
      </c>
      <c r="B42" s="66"/>
      <c r="C42" s="66"/>
      <c r="D42" s="66">
        <v>180</v>
      </c>
      <c r="E42" s="66"/>
      <c r="F42" s="66"/>
      <c r="G42" s="66">
        <v>180</v>
      </c>
      <c r="H42" s="54"/>
      <c r="I42" s="54"/>
      <c r="J42" s="54"/>
      <c r="K42" s="54"/>
      <c r="L42" s="54"/>
      <c r="M42" s="54"/>
      <c r="N42" s="54"/>
    </row>
    <row r="43" spans="1:14" ht="15" x14ac:dyDescent="0.2">
      <c r="A43" s="67" t="s">
        <v>36</v>
      </c>
      <c r="B43" s="66"/>
      <c r="C43" s="66"/>
      <c r="D43" s="66"/>
      <c r="E43" s="66">
        <v>13159.509999999998</v>
      </c>
      <c r="F43" s="66">
        <v>12776.45</v>
      </c>
      <c r="G43" s="66">
        <v>25935.96</v>
      </c>
      <c r="H43" s="54"/>
      <c r="I43" s="54"/>
      <c r="J43" s="54"/>
      <c r="K43" s="54"/>
      <c r="L43" s="54"/>
      <c r="M43" s="54"/>
      <c r="N43" s="54"/>
    </row>
    <row r="44" spans="1:14" ht="15" x14ac:dyDescent="0.2">
      <c r="A44" s="67" t="s">
        <v>32</v>
      </c>
      <c r="B44" s="66">
        <v>36962.579999999994</v>
      </c>
      <c r="C44" s="66">
        <v>30986.82</v>
      </c>
      <c r="D44" s="66">
        <v>28474.9</v>
      </c>
      <c r="E44" s="66">
        <v>28865.570000000003</v>
      </c>
      <c r="F44" s="66"/>
      <c r="G44" s="66">
        <v>125289.87</v>
      </c>
      <c r="H44" s="54"/>
      <c r="I44" s="54"/>
      <c r="J44" s="54"/>
      <c r="K44" s="54"/>
      <c r="L44" s="54"/>
      <c r="M44" s="54"/>
      <c r="N44" s="54"/>
    </row>
    <row r="45" spans="1:14" ht="15" x14ac:dyDescent="0.2">
      <c r="A45" s="67" t="s">
        <v>38</v>
      </c>
      <c r="B45" s="66">
        <v>361.18</v>
      </c>
      <c r="C45" s="66">
        <v>243.78000000000003</v>
      </c>
      <c r="D45" s="66">
        <v>272.03999999999996</v>
      </c>
      <c r="E45" s="66">
        <v>276.27999999999997</v>
      </c>
      <c r="F45" s="66"/>
      <c r="G45" s="66">
        <v>1153.28</v>
      </c>
      <c r="H45" s="54"/>
      <c r="I45" s="54"/>
      <c r="J45" s="54"/>
      <c r="K45" s="54"/>
      <c r="L45" s="54"/>
      <c r="M45" s="54"/>
      <c r="N45" s="54"/>
    </row>
    <row r="46" spans="1:14" ht="15" x14ac:dyDescent="0.2">
      <c r="A46" s="65" t="s">
        <v>204</v>
      </c>
      <c r="B46" s="66">
        <v>162457.65999999997</v>
      </c>
      <c r="C46" s="66">
        <v>172282.52000000005</v>
      </c>
      <c r="D46" s="66">
        <v>186511.62</v>
      </c>
      <c r="E46" s="66">
        <v>158165.32</v>
      </c>
      <c r="F46" s="66">
        <v>63986.17</v>
      </c>
      <c r="G46" s="66">
        <v>743403.29</v>
      </c>
      <c r="H46" s="54"/>
      <c r="I46" s="54"/>
      <c r="J46" s="54"/>
      <c r="K46" s="54"/>
      <c r="L46" s="54"/>
      <c r="M46" s="54"/>
      <c r="N46" s="54"/>
    </row>
    <row r="47" spans="1:14" ht="15" x14ac:dyDescent="0.2">
      <c r="A47" s="67" t="s">
        <v>58</v>
      </c>
      <c r="B47" s="66"/>
      <c r="C47" s="66">
        <v>75</v>
      </c>
      <c r="D47" s="66"/>
      <c r="E47" s="66"/>
      <c r="F47" s="66"/>
      <c r="G47" s="66">
        <v>75</v>
      </c>
      <c r="H47" s="54"/>
      <c r="I47" s="54"/>
      <c r="J47" s="54"/>
      <c r="K47" s="54"/>
      <c r="L47" s="54"/>
      <c r="M47" s="54"/>
      <c r="N47" s="54"/>
    </row>
    <row r="48" spans="1:14" ht="15" x14ac:dyDescent="0.2">
      <c r="A48" s="67" t="s">
        <v>65</v>
      </c>
      <c r="B48" s="66">
        <v>3330.86</v>
      </c>
      <c r="C48" s="66">
        <v>369.46000000000004</v>
      </c>
      <c r="D48" s="66">
        <v>1065.51</v>
      </c>
      <c r="E48" s="66">
        <v>170.15</v>
      </c>
      <c r="F48" s="66">
        <v>1239.3200000000002</v>
      </c>
      <c r="G48" s="66">
        <v>6175.2999999999993</v>
      </c>
      <c r="H48" s="54"/>
      <c r="I48" s="54"/>
      <c r="J48" s="54"/>
      <c r="K48" s="54"/>
      <c r="L48" s="54"/>
      <c r="M48" s="54"/>
      <c r="N48" s="54"/>
    </row>
    <row r="49" spans="1:14" ht="15" x14ac:dyDescent="0.2">
      <c r="A49" s="67" t="s">
        <v>64</v>
      </c>
      <c r="B49" s="66">
        <v>2231.33</v>
      </c>
      <c r="C49" s="66">
        <v>4424.49</v>
      </c>
      <c r="D49" s="66">
        <v>1873.7600000000002</v>
      </c>
      <c r="E49" s="66">
        <v>2785.58</v>
      </c>
      <c r="F49" s="66"/>
      <c r="G49" s="66">
        <v>11315.16</v>
      </c>
      <c r="H49" s="54"/>
      <c r="I49" s="54"/>
      <c r="J49" s="54"/>
      <c r="K49" s="54"/>
      <c r="L49" s="54"/>
      <c r="M49" s="54"/>
      <c r="N49" s="54"/>
    </row>
    <row r="50" spans="1:14" ht="15" x14ac:dyDescent="0.2">
      <c r="A50" s="67" t="s">
        <v>53</v>
      </c>
      <c r="B50" s="66"/>
      <c r="C50" s="66">
        <v>297.89999999999998</v>
      </c>
      <c r="D50" s="66">
        <v>1372.31</v>
      </c>
      <c r="E50" s="66">
        <v>2681.09</v>
      </c>
      <c r="F50" s="66"/>
      <c r="G50" s="66">
        <v>4351.3</v>
      </c>
      <c r="H50" s="54"/>
      <c r="I50" s="54"/>
      <c r="J50" s="54"/>
      <c r="K50" s="54"/>
      <c r="L50" s="54"/>
      <c r="M50" s="54"/>
      <c r="N50" s="54"/>
    </row>
    <row r="51" spans="1:14" ht="15" x14ac:dyDescent="0.2">
      <c r="A51" s="67" t="s">
        <v>61</v>
      </c>
      <c r="B51" s="66">
        <v>8774.5499999999993</v>
      </c>
      <c r="C51" s="66">
        <v>9673.7099999999991</v>
      </c>
      <c r="D51" s="66">
        <v>8826.9</v>
      </c>
      <c r="E51" s="66"/>
      <c r="F51" s="66"/>
      <c r="G51" s="66">
        <v>27275.159999999996</v>
      </c>
      <c r="H51" s="54"/>
      <c r="I51" s="54"/>
      <c r="J51" s="54"/>
      <c r="K51" s="54"/>
      <c r="L51" s="54"/>
      <c r="M51" s="54"/>
      <c r="N51" s="54"/>
    </row>
    <row r="52" spans="1:14" ht="15" x14ac:dyDescent="0.2">
      <c r="A52" s="67" t="s">
        <v>54</v>
      </c>
      <c r="B52" s="66">
        <v>2919.01</v>
      </c>
      <c r="C52" s="66">
        <v>4519.01</v>
      </c>
      <c r="D52" s="66">
        <v>4955.24</v>
      </c>
      <c r="E52" s="66">
        <v>1980.24</v>
      </c>
      <c r="F52" s="66"/>
      <c r="G52" s="66">
        <v>14373.5</v>
      </c>
      <c r="H52" s="54"/>
      <c r="I52" s="54"/>
      <c r="J52" s="54"/>
      <c r="K52" s="54"/>
      <c r="L52" s="54"/>
      <c r="M52" s="54"/>
      <c r="N52" s="54"/>
    </row>
    <row r="53" spans="1:14" ht="15" x14ac:dyDescent="0.2">
      <c r="A53" s="67" t="s">
        <v>60</v>
      </c>
      <c r="B53" s="66">
        <v>22949.23</v>
      </c>
      <c r="C53" s="66">
        <v>17763.09</v>
      </c>
      <c r="D53" s="66">
        <v>20718.489999999998</v>
      </c>
      <c r="E53" s="66">
        <v>178.31</v>
      </c>
      <c r="F53" s="66"/>
      <c r="G53" s="66">
        <v>61609.119999999995</v>
      </c>
      <c r="H53" s="54"/>
      <c r="I53" s="54"/>
      <c r="J53" s="54"/>
      <c r="K53" s="54"/>
      <c r="L53" s="54"/>
      <c r="M53" s="54"/>
      <c r="N53" s="54"/>
    </row>
    <row r="54" spans="1:14" ht="15" x14ac:dyDescent="0.2">
      <c r="A54" s="67" t="s">
        <v>63</v>
      </c>
      <c r="B54" s="66">
        <v>2233.96</v>
      </c>
      <c r="C54" s="66">
        <v>2457.64</v>
      </c>
      <c r="D54" s="66">
        <v>1143.7600000000002</v>
      </c>
      <c r="E54" s="66">
        <v>8026.26</v>
      </c>
      <c r="F54" s="66"/>
      <c r="G54" s="66">
        <v>13861.62</v>
      </c>
      <c r="H54" s="54"/>
      <c r="I54" s="54"/>
      <c r="J54" s="54"/>
      <c r="K54" s="54"/>
      <c r="L54" s="54"/>
      <c r="M54" s="54"/>
      <c r="N54" s="54"/>
    </row>
    <row r="55" spans="1:14" ht="15" x14ac:dyDescent="0.2">
      <c r="A55" s="67" t="s">
        <v>49</v>
      </c>
      <c r="B55" s="66">
        <v>64498.680000000008</v>
      </c>
      <c r="C55" s="66">
        <v>60318.180000000008</v>
      </c>
      <c r="D55" s="66">
        <v>59830.189999999995</v>
      </c>
      <c r="E55" s="66">
        <v>61974.340000000004</v>
      </c>
      <c r="F55" s="66">
        <v>62746.85</v>
      </c>
      <c r="G55" s="66">
        <v>309368.24</v>
      </c>
      <c r="H55" s="54"/>
      <c r="I55" s="54"/>
      <c r="J55" s="54"/>
      <c r="K55" s="54"/>
      <c r="L55" s="54"/>
      <c r="M55" s="54"/>
      <c r="N55" s="54"/>
    </row>
    <row r="56" spans="1:14" ht="15" x14ac:dyDescent="0.2">
      <c r="A56" s="67" t="s">
        <v>56</v>
      </c>
      <c r="B56" s="66">
        <v>879.73</v>
      </c>
      <c r="C56" s="66"/>
      <c r="D56" s="66">
        <v>11928.27</v>
      </c>
      <c r="E56" s="66">
        <v>12417.35</v>
      </c>
      <c r="F56" s="66"/>
      <c r="G56" s="66">
        <v>25225.35</v>
      </c>
      <c r="H56" s="54"/>
      <c r="I56" s="54"/>
      <c r="J56" s="54"/>
      <c r="K56" s="54"/>
      <c r="L56" s="54"/>
      <c r="M56" s="54"/>
      <c r="N56" s="54"/>
    </row>
    <row r="57" spans="1:14" ht="15" x14ac:dyDescent="0.2">
      <c r="A57" s="67" t="s">
        <v>50</v>
      </c>
      <c r="B57" s="66">
        <v>53990.009999999995</v>
      </c>
      <c r="C57" s="66">
        <v>71662.62000000001</v>
      </c>
      <c r="D57" s="66">
        <v>74200.570000000007</v>
      </c>
      <c r="E57" s="66">
        <v>67351.37000000001</v>
      </c>
      <c r="F57" s="66"/>
      <c r="G57" s="66">
        <v>267204.57</v>
      </c>
      <c r="H57" s="54"/>
      <c r="I57" s="54"/>
      <c r="J57" s="54"/>
      <c r="K57" s="54"/>
      <c r="L57" s="54"/>
      <c r="M57" s="54"/>
      <c r="N57" s="54"/>
    </row>
    <row r="58" spans="1:14" ht="15" x14ac:dyDescent="0.2">
      <c r="A58" s="67" t="s">
        <v>59</v>
      </c>
      <c r="B58" s="66">
        <v>650.30000000000007</v>
      </c>
      <c r="C58" s="66">
        <v>721.42000000000007</v>
      </c>
      <c r="D58" s="66">
        <v>596.62</v>
      </c>
      <c r="E58" s="66">
        <v>600.63</v>
      </c>
      <c r="F58" s="66"/>
      <c r="G58" s="66">
        <v>2568.9700000000003</v>
      </c>
      <c r="H58" s="54"/>
      <c r="I58" s="54"/>
      <c r="J58" s="54"/>
      <c r="K58" s="54"/>
      <c r="L58" s="54"/>
      <c r="M58" s="54"/>
      <c r="N58" s="54"/>
    </row>
    <row r="59" spans="1:14" ht="15" x14ac:dyDescent="0.2">
      <c r="A59" s="65" t="s">
        <v>203</v>
      </c>
      <c r="B59" s="66">
        <v>16694.399999999998</v>
      </c>
      <c r="C59" s="66">
        <v>18621.319999999996</v>
      </c>
      <c r="D59" s="66">
        <v>17985.82</v>
      </c>
      <c r="E59" s="66">
        <v>18594.109999999997</v>
      </c>
      <c r="F59" s="66">
        <v>4525.8500000000004</v>
      </c>
      <c r="G59" s="66">
        <v>76421.499999999985</v>
      </c>
      <c r="H59" s="54"/>
      <c r="I59" s="54"/>
      <c r="J59" s="54"/>
      <c r="K59" s="54"/>
      <c r="L59" s="54"/>
      <c r="M59" s="54"/>
      <c r="N59" s="54"/>
    </row>
    <row r="60" spans="1:14" ht="15" x14ac:dyDescent="0.2">
      <c r="A60" s="67" t="s">
        <v>68</v>
      </c>
      <c r="B60" s="66">
        <v>32.229999999999997</v>
      </c>
      <c r="C60" s="66">
        <v>32.229999999999997</v>
      </c>
      <c r="D60" s="66">
        <v>32.229999999999997</v>
      </c>
      <c r="E60" s="66">
        <v>32.229999999999997</v>
      </c>
      <c r="F60" s="66"/>
      <c r="G60" s="66">
        <v>128.91999999999999</v>
      </c>
      <c r="H60" s="54"/>
      <c r="I60" s="54"/>
      <c r="J60" s="54"/>
      <c r="K60" s="54"/>
      <c r="L60" s="54"/>
      <c r="M60" s="54"/>
      <c r="N60" s="54"/>
    </row>
    <row r="61" spans="1:14" ht="15" x14ac:dyDescent="0.2">
      <c r="A61" s="67" t="s">
        <v>80</v>
      </c>
      <c r="B61" s="66">
        <v>295.60000000000002</v>
      </c>
      <c r="C61" s="66">
        <v>338.73</v>
      </c>
      <c r="D61" s="66">
        <v>782.8</v>
      </c>
      <c r="E61" s="66">
        <v>983.5</v>
      </c>
      <c r="F61" s="66">
        <v>140</v>
      </c>
      <c r="G61" s="66">
        <v>2540.63</v>
      </c>
      <c r="H61" s="54"/>
      <c r="I61" s="54"/>
      <c r="J61" s="54"/>
      <c r="K61" s="54"/>
      <c r="L61" s="54"/>
      <c r="M61" s="54"/>
      <c r="N61" s="54"/>
    </row>
    <row r="62" spans="1:14" ht="15" x14ac:dyDescent="0.2">
      <c r="A62" s="67" t="s">
        <v>67</v>
      </c>
      <c r="B62" s="66">
        <v>800</v>
      </c>
      <c r="C62" s="66">
        <v>900</v>
      </c>
      <c r="D62" s="66">
        <v>900</v>
      </c>
      <c r="E62" s="66">
        <v>900</v>
      </c>
      <c r="F62" s="66">
        <v>900</v>
      </c>
      <c r="G62" s="66">
        <v>4400</v>
      </c>
      <c r="H62" s="54"/>
      <c r="I62" s="54"/>
      <c r="J62" s="54"/>
      <c r="K62" s="54"/>
      <c r="L62" s="54"/>
      <c r="M62" s="54"/>
      <c r="N62" s="54"/>
    </row>
    <row r="63" spans="1:14" ht="15" x14ac:dyDescent="0.2">
      <c r="A63" s="67" t="s">
        <v>77</v>
      </c>
      <c r="B63" s="66">
        <v>511.23</v>
      </c>
      <c r="C63" s="66">
        <v>981.08999999999992</v>
      </c>
      <c r="D63" s="66">
        <v>780.64</v>
      </c>
      <c r="E63" s="66">
        <v>1078.18</v>
      </c>
      <c r="F63" s="66">
        <v>50.49</v>
      </c>
      <c r="G63" s="66">
        <v>3401.63</v>
      </c>
      <c r="H63" s="54"/>
      <c r="I63" s="54"/>
      <c r="J63" s="54"/>
      <c r="K63" s="54"/>
      <c r="L63" s="54"/>
      <c r="M63" s="54"/>
      <c r="N63" s="54"/>
    </row>
    <row r="64" spans="1:14" ht="15" x14ac:dyDescent="0.2">
      <c r="A64" s="67" t="s">
        <v>73</v>
      </c>
      <c r="B64" s="66">
        <v>15.99</v>
      </c>
      <c r="C64" s="66">
        <v>368.6</v>
      </c>
      <c r="D64" s="66">
        <v>150.63</v>
      </c>
      <c r="E64" s="66">
        <v>243.83</v>
      </c>
      <c r="F64" s="66"/>
      <c r="G64" s="66">
        <v>779.05000000000007</v>
      </c>
      <c r="H64" s="54"/>
      <c r="I64" s="54"/>
      <c r="J64" s="54"/>
      <c r="K64" s="54"/>
      <c r="L64" s="54"/>
      <c r="M64" s="54"/>
      <c r="N64" s="54"/>
    </row>
    <row r="65" spans="1:14" ht="15" x14ac:dyDescent="0.2">
      <c r="A65" s="67" t="s">
        <v>75</v>
      </c>
      <c r="B65" s="66">
        <v>432.21</v>
      </c>
      <c r="C65" s="66">
        <v>511.6699999999999</v>
      </c>
      <c r="D65" s="66">
        <v>350.68</v>
      </c>
      <c r="E65" s="66">
        <v>279.59999999999997</v>
      </c>
      <c r="F65" s="66"/>
      <c r="G65" s="66">
        <v>1574.1599999999999</v>
      </c>
      <c r="H65" s="54"/>
      <c r="I65" s="54"/>
      <c r="J65" s="54"/>
      <c r="K65" s="54"/>
      <c r="L65" s="54"/>
      <c r="M65" s="54"/>
      <c r="N65" s="54"/>
    </row>
    <row r="66" spans="1:14" ht="15" x14ac:dyDescent="0.2">
      <c r="A66" s="67" t="s">
        <v>81</v>
      </c>
      <c r="B66" s="66">
        <v>100</v>
      </c>
      <c r="C66" s="66">
        <v>100</v>
      </c>
      <c r="D66" s="66">
        <v>100</v>
      </c>
      <c r="E66" s="66">
        <v>100</v>
      </c>
      <c r="F66" s="66"/>
      <c r="G66" s="66">
        <v>400</v>
      </c>
      <c r="H66" s="54"/>
      <c r="I66" s="54"/>
      <c r="J66" s="54"/>
      <c r="K66" s="54"/>
      <c r="L66" s="54"/>
      <c r="M66" s="54"/>
      <c r="N66" s="54"/>
    </row>
    <row r="67" spans="1:14" ht="15" x14ac:dyDescent="0.2">
      <c r="A67" s="67" t="s">
        <v>69</v>
      </c>
      <c r="B67" s="66">
        <v>98.41</v>
      </c>
      <c r="C67" s="66">
        <v>91.95</v>
      </c>
      <c r="D67" s="66"/>
      <c r="E67" s="66">
        <v>91.72</v>
      </c>
      <c r="F67" s="66"/>
      <c r="G67" s="66">
        <v>282.08000000000004</v>
      </c>
      <c r="H67" s="54"/>
      <c r="I67" s="54"/>
      <c r="J67" s="54"/>
      <c r="K67" s="54"/>
      <c r="L67" s="54"/>
      <c r="M67" s="54"/>
      <c r="N67" s="54"/>
    </row>
    <row r="68" spans="1:14" ht="15" x14ac:dyDescent="0.2">
      <c r="A68" s="67" t="s">
        <v>71</v>
      </c>
      <c r="B68" s="66">
        <v>111.89</v>
      </c>
      <c r="C68" s="66">
        <v>373.27</v>
      </c>
      <c r="D68" s="66">
        <v>382.17</v>
      </c>
      <c r="E68" s="66">
        <v>671.81999999999994</v>
      </c>
      <c r="F68" s="66"/>
      <c r="G68" s="66">
        <v>1539.1499999999999</v>
      </c>
      <c r="H68" s="54"/>
      <c r="I68" s="54"/>
      <c r="J68" s="54"/>
      <c r="K68" s="54"/>
      <c r="L68" s="54"/>
      <c r="M68" s="54"/>
      <c r="N68" s="54"/>
    </row>
    <row r="69" spans="1:14" ht="15" x14ac:dyDescent="0.2">
      <c r="A69" s="67" t="s">
        <v>72</v>
      </c>
      <c r="B69" s="66">
        <v>367.37</v>
      </c>
      <c r="C69" s="66">
        <v>577.9</v>
      </c>
      <c r="D69" s="66">
        <v>427.23</v>
      </c>
      <c r="E69" s="66">
        <v>448.1</v>
      </c>
      <c r="F69" s="66">
        <v>902.98</v>
      </c>
      <c r="G69" s="66">
        <v>2723.58</v>
      </c>
      <c r="H69" s="54"/>
      <c r="I69" s="54"/>
      <c r="J69" s="54"/>
      <c r="K69" s="54"/>
      <c r="L69" s="54"/>
      <c r="M69" s="54"/>
      <c r="N69" s="54"/>
    </row>
    <row r="70" spans="1:14" ht="15" x14ac:dyDescent="0.2">
      <c r="A70" s="67" t="s">
        <v>78</v>
      </c>
      <c r="B70" s="66">
        <v>370</v>
      </c>
      <c r="C70" s="66">
        <v>370</v>
      </c>
      <c r="D70" s="66">
        <v>370</v>
      </c>
      <c r="E70" s="66">
        <v>370</v>
      </c>
      <c r="F70" s="66">
        <v>370</v>
      </c>
      <c r="G70" s="66">
        <v>1850</v>
      </c>
      <c r="H70" s="54"/>
      <c r="I70" s="54"/>
      <c r="J70" s="54"/>
      <c r="K70" s="54"/>
      <c r="L70" s="54"/>
      <c r="M70" s="54"/>
      <c r="N70" s="54"/>
    </row>
    <row r="71" spans="1:14" ht="15" x14ac:dyDescent="0.2">
      <c r="A71" s="67" t="s">
        <v>76</v>
      </c>
      <c r="B71" s="66">
        <v>11212.419999999998</v>
      </c>
      <c r="C71" s="66">
        <v>11212.419999999998</v>
      </c>
      <c r="D71" s="66">
        <v>11212.419999999998</v>
      </c>
      <c r="E71" s="66">
        <v>10898.109999999999</v>
      </c>
      <c r="F71" s="66">
        <v>1697.48</v>
      </c>
      <c r="G71" s="66">
        <v>46232.85</v>
      </c>
      <c r="H71" s="54"/>
      <c r="I71" s="54"/>
      <c r="J71" s="54"/>
      <c r="K71" s="54"/>
      <c r="L71" s="54"/>
      <c r="M71" s="54"/>
      <c r="N71" s="54"/>
    </row>
    <row r="72" spans="1:14" ht="15" x14ac:dyDescent="0.2">
      <c r="A72" s="67" t="s">
        <v>74</v>
      </c>
      <c r="B72" s="66">
        <v>351</v>
      </c>
      <c r="C72" s="66">
        <v>617.44000000000005</v>
      </c>
      <c r="D72" s="66">
        <v>351</v>
      </c>
      <c r="E72" s="66">
        <v>351</v>
      </c>
      <c r="F72" s="66"/>
      <c r="G72" s="66">
        <v>1670.44</v>
      </c>
      <c r="H72" s="54"/>
      <c r="I72" s="54"/>
      <c r="J72" s="54"/>
      <c r="K72" s="54"/>
      <c r="L72" s="54"/>
      <c r="M72" s="54"/>
      <c r="N72" s="54"/>
    </row>
    <row r="73" spans="1:14" ht="15" x14ac:dyDescent="0.2">
      <c r="A73" s="67" t="s">
        <v>70</v>
      </c>
      <c r="B73" s="66">
        <v>1996.0500000000002</v>
      </c>
      <c r="C73" s="66">
        <v>2146.02</v>
      </c>
      <c r="D73" s="66">
        <v>2146.02</v>
      </c>
      <c r="E73" s="66">
        <v>2146.02</v>
      </c>
      <c r="F73" s="66">
        <v>464.9</v>
      </c>
      <c r="G73" s="66">
        <v>8899.01</v>
      </c>
      <c r="H73" s="54"/>
      <c r="I73" s="54"/>
      <c r="J73" s="54"/>
      <c r="K73" s="54"/>
      <c r="L73" s="54"/>
      <c r="M73" s="54"/>
      <c r="N73" s="54"/>
    </row>
    <row r="74" spans="1:14" ht="15" x14ac:dyDescent="0.2">
      <c r="A74" s="65" t="s">
        <v>202</v>
      </c>
      <c r="B74" s="66">
        <v>401746.28999999986</v>
      </c>
      <c r="C74" s="66">
        <v>315472.21000000002</v>
      </c>
      <c r="D74" s="66">
        <v>387311.61000000004</v>
      </c>
      <c r="E74" s="66">
        <v>375329.97</v>
      </c>
      <c r="F74" s="66">
        <v>110876.46999999999</v>
      </c>
      <c r="G74" s="66">
        <v>1590736.5499999996</v>
      </c>
      <c r="H74" s="54"/>
      <c r="I74" s="54"/>
      <c r="J74" s="54"/>
      <c r="K74" s="54"/>
      <c r="L74" s="54"/>
      <c r="M74" s="54"/>
      <c r="N74" s="54"/>
    </row>
    <row r="75" spans="1:14" ht="15" x14ac:dyDescent="0.2">
      <c r="A75" s="67" t="s">
        <v>94</v>
      </c>
      <c r="B75" s="66">
        <v>1368</v>
      </c>
      <c r="C75" s="66"/>
      <c r="D75" s="66"/>
      <c r="E75" s="66"/>
      <c r="F75" s="66"/>
      <c r="G75" s="66">
        <v>1368</v>
      </c>
      <c r="H75" s="54"/>
      <c r="I75" s="54"/>
      <c r="J75" s="54"/>
      <c r="K75" s="54"/>
      <c r="L75" s="54"/>
      <c r="M75" s="54"/>
      <c r="N75" s="54"/>
    </row>
    <row r="76" spans="1:14" ht="15" x14ac:dyDescent="0.2">
      <c r="A76" s="67" t="s">
        <v>83</v>
      </c>
      <c r="B76" s="66">
        <v>1955</v>
      </c>
      <c r="C76" s="66">
        <v>2415</v>
      </c>
      <c r="D76" s="66">
        <v>3042.48</v>
      </c>
      <c r="E76" s="66">
        <v>86</v>
      </c>
      <c r="F76" s="66"/>
      <c r="G76" s="66">
        <v>7498.48</v>
      </c>
      <c r="H76" s="54"/>
      <c r="I76" s="54"/>
      <c r="J76" s="54"/>
      <c r="K76" s="54"/>
      <c r="L76" s="54"/>
      <c r="M76" s="54"/>
      <c r="N76" s="54"/>
    </row>
    <row r="77" spans="1:14" ht="15" x14ac:dyDescent="0.2">
      <c r="A77" s="67" t="s">
        <v>84</v>
      </c>
      <c r="B77" s="66">
        <v>41074.299999999996</v>
      </c>
      <c r="C77" s="66">
        <v>47569.919999999998</v>
      </c>
      <c r="D77" s="66">
        <v>69230.98000000001</v>
      </c>
      <c r="E77" s="66">
        <v>55687.07</v>
      </c>
      <c r="F77" s="66">
        <v>22391.71</v>
      </c>
      <c r="G77" s="66">
        <v>235953.98</v>
      </c>
      <c r="H77" s="54"/>
      <c r="I77" s="54"/>
      <c r="J77" s="54"/>
      <c r="K77" s="54"/>
      <c r="L77" s="54"/>
      <c r="M77" s="54"/>
      <c r="N77" s="54"/>
    </row>
    <row r="78" spans="1:14" ht="15" x14ac:dyDescent="0.2">
      <c r="A78" s="67" t="s">
        <v>98</v>
      </c>
      <c r="B78" s="66">
        <v>117100.21999999996</v>
      </c>
      <c r="C78" s="66">
        <v>78726.199999999983</v>
      </c>
      <c r="D78" s="66">
        <v>88339.049999999988</v>
      </c>
      <c r="E78" s="66">
        <v>89083.76</v>
      </c>
      <c r="F78" s="66">
        <v>55869.189999999995</v>
      </c>
      <c r="G78" s="66">
        <v>429118.41999999993</v>
      </c>
      <c r="H78" s="54"/>
      <c r="I78" s="54"/>
      <c r="J78" s="54"/>
      <c r="K78" s="54"/>
      <c r="L78" s="54"/>
      <c r="M78" s="54"/>
      <c r="N78" s="54"/>
    </row>
    <row r="79" spans="1:14" ht="15" x14ac:dyDescent="0.2">
      <c r="A79" s="67" t="s">
        <v>97</v>
      </c>
      <c r="B79" s="66">
        <v>7224.44</v>
      </c>
      <c r="C79" s="66">
        <v>5041.3999999999996</v>
      </c>
      <c r="D79" s="66">
        <v>10515.810000000001</v>
      </c>
      <c r="E79" s="66">
        <v>8548.01</v>
      </c>
      <c r="F79" s="66"/>
      <c r="G79" s="66">
        <v>31329.660000000003</v>
      </c>
      <c r="H79" s="54"/>
      <c r="I79" s="54"/>
      <c r="J79" s="54"/>
      <c r="K79" s="54"/>
      <c r="L79" s="54"/>
      <c r="M79" s="54"/>
      <c r="N79" s="54"/>
    </row>
    <row r="80" spans="1:14" ht="15" x14ac:dyDescent="0.2">
      <c r="A80" s="67" t="s">
        <v>96</v>
      </c>
      <c r="B80" s="66">
        <v>13677.889999999998</v>
      </c>
      <c r="C80" s="66">
        <v>10422.07</v>
      </c>
      <c r="D80" s="66">
        <v>14968.490000000002</v>
      </c>
      <c r="E80" s="66">
        <v>26703.39</v>
      </c>
      <c r="F80" s="66">
        <v>11794.18</v>
      </c>
      <c r="G80" s="66">
        <v>77566.01999999999</v>
      </c>
      <c r="H80" s="54"/>
      <c r="I80" s="54"/>
      <c r="J80" s="54"/>
      <c r="K80" s="54"/>
      <c r="L80" s="54"/>
      <c r="M80" s="54"/>
      <c r="N80" s="54"/>
    </row>
    <row r="81" spans="1:14" ht="15" x14ac:dyDescent="0.2">
      <c r="A81" s="67" t="s">
        <v>103</v>
      </c>
      <c r="B81" s="66">
        <v>24000</v>
      </c>
      <c r="C81" s="66">
        <v>24000</v>
      </c>
      <c r="D81" s="66">
        <v>24000</v>
      </c>
      <c r="E81" s="66">
        <v>24510</v>
      </c>
      <c r="F81" s="66">
        <v>65</v>
      </c>
      <c r="G81" s="66">
        <v>96575</v>
      </c>
      <c r="H81" s="54"/>
      <c r="I81" s="54"/>
      <c r="J81" s="54"/>
      <c r="K81" s="54"/>
      <c r="L81" s="54"/>
      <c r="M81" s="54"/>
      <c r="N81" s="54"/>
    </row>
    <row r="82" spans="1:14" ht="15" x14ac:dyDescent="0.2">
      <c r="A82" s="67" t="s">
        <v>93</v>
      </c>
      <c r="B82" s="66">
        <v>119279.42999999996</v>
      </c>
      <c r="C82" s="66">
        <v>38472.950000000004</v>
      </c>
      <c r="D82" s="66">
        <v>41728.47</v>
      </c>
      <c r="E82" s="66">
        <v>53365.87</v>
      </c>
      <c r="F82" s="66">
        <v>3897.31</v>
      </c>
      <c r="G82" s="66">
        <v>256744.02999999997</v>
      </c>
      <c r="H82" s="54"/>
      <c r="I82" s="54"/>
      <c r="J82" s="54"/>
      <c r="K82" s="54"/>
      <c r="L82" s="54"/>
      <c r="M82" s="54"/>
      <c r="N82" s="54"/>
    </row>
    <row r="83" spans="1:14" ht="15" x14ac:dyDescent="0.2">
      <c r="A83" s="67" t="s">
        <v>89</v>
      </c>
      <c r="B83" s="66"/>
      <c r="C83" s="66">
        <v>2334.16</v>
      </c>
      <c r="D83" s="66">
        <v>709</v>
      </c>
      <c r="E83" s="66"/>
      <c r="F83" s="66"/>
      <c r="G83" s="66">
        <v>3043.16</v>
      </c>
      <c r="H83" s="54"/>
      <c r="I83" s="54"/>
      <c r="J83" s="54"/>
      <c r="K83" s="54"/>
      <c r="L83" s="54"/>
      <c r="M83" s="54"/>
      <c r="N83" s="54"/>
    </row>
    <row r="84" spans="1:14" ht="15" x14ac:dyDescent="0.2">
      <c r="A84" s="67" t="s">
        <v>92</v>
      </c>
      <c r="B84" s="66">
        <v>673.06999999999994</v>
      </c>
      <c r="C84" s="66">
        <v>1644.02</v>
      </c>
      <c r="D84" s="66">
        <v>420.81</v>
      </c>
      <c r="E84" s="66"/>
      <c r="F84" s="66">
        <v>1769.79</v>
      </c>
      <c r="G84" s="66">
        <v>4507.6900000000005</v>
      </c>
      <c r="H84" s="54"/>
      <c r="I84" s="54"/>
      <c r="J84" s="54"/>
      <c r="K84" s="54"/>
      <c r="L84" s="54"/>
      <c r="M84" s="54"/>
      <c r="N84" s="54"/>
    </row>
    <row r="85" spans="1:14" ht="15" x14ac:dyDescent="0.2">
      <c r="A85" s="67" t="s">
        <v>90</v>
      </c>
      <c r="B85" s="66">
        <v>9673.85</v>
      </c>
      <c r="C85" s="66">
        <v>18654.349999999999</v>
      </c>
      <c r="D85" s="66">
        <v>19808.55</v>
      </c>
      <c r="E85" s="66">
        <v>19421.25</v>
      </c>
      <c r="F85" s="66">
        <v>5264.75</v>
      </c>
      <c r="G85" s="66">
        <v>72822.75</v>
      </c>
      <c r="H85" s="54"/>
      <c r="I85" s="54"/>
      <c r="J85" s="54"/>
      <c r="K85" s="54"/>
      <c r="L85" s="54"/>
      <c r="M85" s="54"/>
      <c r="N85" s="54"/>
    </row>
    <row r="86" spans="1:14" ht="15" x14ac:dyDescent="0.2">
      <c r="A86" s="67" t="s">
        <v>86</v>
      </c>
      <c r="B86" s="66">
        <v>4296.6099999999997</v>
      </c>
      <c r="C86" s="66">
        <v>4296.6099999999997</v>
      </c>
      <c r="D86" s="66">
        <v>4296.6099999999997</v>
      </c>
      <c r="E86" s="66">
        <v>4296.6099999999997</v>
      </c>
      <c r="F86" s="66">
        <v>194.45</v>
      </c>
      <c r="G86" s="66">
        <v>17380.89</v>
      </c>
      <c r="H86" s="54"/>
      <c r="I86" s="54"/>
      <c r="J86" s="54"/>
      <c r="K86" s="54"/>
      <c r="L86" s="54"/>
      <c r="M86" s="54"/>
      <c r="N86" s="54"/>
    </row>
    <row r="87" spans="1:14" ht="15" x14ac:dyDescent="0.2">
      <c r="A87" s="67" t="s">
        <v>101</v>
      </c>
      <c r="B87" s="66">
        <v>7122.33</v>
      </c>
      <c r="C87" s="66">
        <v>4005.16</v>
      </c>
      <c r="D87" s="66">
        <v>4874.22</v>
      </c>
      <c r="E87" s="66">
        <v>6293.77</v>
      </c>
      <c r="F87" s="66">
        <v>6341.55</v>
      </c>
      <c r="G87" s="66">
        <v>28637.03</v>
      </c>
      <c r="H87" s="54"/>
      <c r="I87" s="54"/>
      <c r="J87" s="54"/>
      <c r="K87" s="54"/>
      <c r="L87" s="54"/>
      <c r="M87" s="54"/>
      <c r="N87" s="54"/>
    </row>
    <row r="88" spans="1:14" ht="15" x14ac:dyDescent="0.2">
      <c r="A88" s="67" t="s">
        <v>87</v>
      </c>
      <c r="B88" s="66">
        <v>260.32</v>
      </c>
      <c r="C88" s="66">
        <v>260.32</v>
      </c>
      <c r="D88" s="66">
        <v>1564.33</v>
      </c>
      <c r="E88" s="66">
        <v>1766.8200000000004</v>
      </c>
      <c r="F88" s="66">
        <v>312.38</v>
      </c>
      <c r="G88" s="66">
        <v>4164.17</v>
      </c>
      <c r="H88" s="54"/>
      <c r="I88" s="54"/>
      <c r="J88" s="54"/>
      <c r="K88" s="54"/>
      <c r="L88" s="54"/>
      <c r="M88" s="54"/>
      <c r="N88" s="54"/>
    </row>
    <row r="89" spans="1:14" ht="15" x14ac:dyDescent="0.2">
      <c r="A89" s="67" t="s">
        <v>85</v>
      </c>
      <c r="B89" s="66">
        <v>4450.1000000000004</v>
      </c>
      <c r="C89" s="66">
        <v>10141.98</v>
      </c>
      <c r="D89" s="66">
        <v>9958.6499999999978</v>
      </c>
      <c r="E89" s="66">
        <v>9830.0999999999967</v>
      </c>
      <c r="F89" s="66"/>
      <c r="G89" s="66">
        <v>34380.829999999994</v>
      </c>
      <c r="H89" s="54"/>
      <c r="I89" s="54"/>
      <c r="J89" s="54"/>
      <c r="K89" s="54"/>
      <c r="L89" s="54"/>
      <c r="M89" s="54"/>
      <c r="N89" s="54"/>
    </row>
    <row r="90" spans="1:14" ht="15" x14ac:dyDescent="0.2">
      <c r="A90" s="67" t="s">
        <v>102</v>
      </c>
      <c r="B90" s="66">
        <v>1965</v>
      </c>
      <c r="C90" s="66">
        <v>1965</v>
      </c>
      <c r="D90" s="66">
        <v>7759.59</v>
      </c>
      <c r="E90" s="66">
        <v>2594.91</v>
      </c>
      <c r="F90" s="66">
        <v>1800</v>
      </c>
      <c r="G90" s="66">
        <v>16084.5</v>
      </c>
      <c r="H90" s="54"/>
      <c r="I90" s="54"/>
      <c r="J90" s="54"/>
      <c r="K90" s="54"/>
      <c r="L90" s="54"/>
      <c r="M90" s="54"/>
      <c r="N90" s="54"/>
    </row>
    <row r="91" spans="1:14" ht="15" x14ac:dyDescent="0.2">
      <c r="A91" s="67" t="s">
        <v>100</v>
      </c>
      <c r="B91" s="66">
        <v>35699.840000000004</v>
      </c>
      <c r="C91" s="66">
        <v>45445.030000000006</v>
      </c>
      <c r="D91" s="66">
        <v>61484.200000000004</v>
      </c>
      <c r="E91" s="66">
        <v>61227.86</v>
      </c>
      <c r="F91" s="66"/>
      <c r="G91" s="66">
        <v>203856.93</v>
      </c>
      <c r="H91" s="54"/>
      <c r="I91" s="54"/>
      <c r="J91" s="54"/>
      <c r="K91" s="54"/>
      <c r="L91" s="54"/>
      <c r="M91" s="54"/>
      <c r="N91" s="54"/>
    </row>
    <row r="92" spans="1:14" ht="15" x14ac:dyDescent="0.2">
      <c r="A92" s="67" t="s">
        <v>95</v>
      </c>
      <c r="B92" s="66">
        <v>738.16</v>
      </c>
      <c r="C92" s="66">
        <v>1807.69</v>
      </c>
      <c r="D92" s="66">
        <v>2581.66</v>
      </c>
      <c r="E92" s="66">
        <v>2909.9</v>
      </c>
      <c r="F92" s="66">
        <v>585.36</v>
      </c>
      <c r="G92" s="66">
        <v>8622.77</v>
      </c>
      <c r="H92" s="54"/>
      <c r="I92" s="54"/>
      <c r="J92" s="54"/>
      <c r="K92" s="54"/>
      <c r="L92" s="54"/>
      <c r="M92" s="54"/>
      <c r="N92" s="54"/>
    </row>
    <row r="93" spans="1:14" ht="15" x14ac:dyDescent="0.2">
      <c r="A93" s="67" t="s">
        <v>88</v>
      </c>
      <c r="B93" s="66">
        <v>11187.73</v>
      </c>
      <c r="C93" s="66">
        <v>18270.349999999999</v>
      </c>
      <c r="D93" s="66">
        <v>22028.71</v>
      </c>
      <c r="E93" s="66">
        <v>9004.65</v>
      </c>
      <c r="F93" s="66">
        <v>590.79999999999995</v>
      </c>
      <c r="G93" s="66">
        <v>61082.239999999998</v>
      </c>
      <c r="H93" s="54"/>
      <c r="I93" s="54"/>
      <c r="J93" s="54"/>
      <c r="K93" s="54"/>
      <c r="L93" s="54"/>
      <c r="M93" s="54"/>
      <c r="N93" s="54"/>
    </row>
    <row r="94" spans="1:14" ht="15" x14ac:dyDescent="0.2">
      <c r="A94" s="65" t="s">
        <v>201</v>
      </c>
      <c r="B94" s="66">
        <v>74180.06</v>
      </c>
      <c r="C94" s="66">
        <v>63538.03</v>
      </c>
      <c r="D94" s="66">
        <v>66306.179999999993</v>
      </c>
      <c r="E94" s="66">
        <v>79299.39</v>
      </c>
      <c r="F94" s="66">
        <v>27982.51</v>
      </c>
      <c r="G94" s="66">
        <v>311306.17</v>
      </c>
      <c r="H94" s="54"/>
      <c r="I94" s="54"/>
      <c r="J94" s="54"/>
      <c r="K94" s="54"/>
      <c r="L94" s="54"/>
      <c r="M94" s="54"/>
      <c r="N94" s="54"/>
    </row>
    <row r="95" spans="1:14" ht="15" x14ac:dyDescent="0.2">
      <c r="A95" s="67" t="s">
        <v>106</v>
      </c>
      <c r="B95" s="66">
        <v>16033.429999999998</v>
      </c>
      <c r="C95" s="66">
        <v>14452.9</v>
      </c>
      <c r="D95" s="66">
        <v>20130.41</v>
      </c>
      <c r="E95" s="66">
        <v>24211.55</v>
      </c>
      <c r="F95" s="66">
        <v>5008.41</v>
      </c>
      <c r="G95" s="66">
        <v>79836.7</v>
      </c>
      <c r="H95" s="54"/>
      <c r="I95" s="54"/>
      <c r="J95" s="54"/>
      <c r="K95" s="54"/>
      <c r="L95" s="54"/>
      <c r="M95" s="54"/>
      <c r="N95" s="54"/>
    </row>
    <row r="96" spans="1:14" ht="15" x14ac:dyDescent="0.2">
      <c r="A96" s="67" t="s">
        <v>107</v>
      </c>
      <c r="B96" s="66">
        <v>6035.41</v>
      </c>
      <c r="C96" s="66">
        <v>6035.41</v>
      </c>
      <c r="D96" s="66">
        <v>6035.41</v>
      </c>
      <c r="E96" s="66"/>
      <c r="F96" s="66"/>
      <c r="G96" s="66">
        <v>18106.23</v>
      </c>
      <c r="H96" s="54"/>
      <c r="I96" s="54"/>
      <c r="J96" s="54"/>
      <c r="K96" s="54"/>
      <c r="L96" s="54"/>
      <c r="M96" s="54"/>
      <c r="N96" s="54"/>
    </row>
    <row r="97" spans="1:14" ht="15" x14ac:dyDescent="0.2">
      <c r="A97" s="67" t="s">
        <v>105</v>
      </c>
      <c r="B97" s="66">
        <v>11823</v>
      </c>
      <c r="C97" s="66">
        <v>11880</v>
      </c>
      <c r="D97" s="66">
        <v>12244</v>
      </c>
      <c r="E97" s="66">
        <v>11880</v>
      </c>
      <c r="F97" s="66">
        <v>7448</v>
      </c>
      <c r="G97" s="66">
        <v>55275</v>
      </c>
      <c r="H97" s="54"/>
      <c r="I97" s="54"/>
      <c r="J97" s="54"/>
      <c r="K97" s="54"/>
      <c r="L97" s="54"/>
      <c r="M97" s="54"/>
      <c r="N97" s="54"/>
    </row>
    <row r="98" spans="1:14" ht="15" x14ac:dyDescent="0.2">
      <c r="A98" s="67" t="s">
        <v>108</v>
      </c>
      <c r="B98" s="66">
        <v>8966</v>
      </c>
      <c r="C98" s="66">
        <v>9436</v>
      </c>
      <c r="D98" s="66">
        <v>9436</v>
      </c>
      <c r="E98" s="66">
        <v>10504.369999999999</v>
      </c>
      <c r="F98" s="66">
        <v>4718</v>
      </c>
      <c r="G98" s="66">
        <v>43060.369999999995</v>
      </c>
      <c r="H98" s="54"/>
      <c r="I98" s="54"/>
      <c r="J98" s="54"/>
      <c r="K98" s="54"/>
      <c r="L98" s="54"/>
      <c r="M98" s="54"/>
      <c r="N98" s="54"/>
    </row>
    <row r="99" spans="1:14" ht="15" x14ac:dyDescent="0.2">
      <c r="A99" s="67" t="s">
        <v>111</v>
      </c>
      <c r="B99" s="66">
        <v>6685.8499999999995</v>
      </c>
      <c r="C99" s="66">
        <v>9350</v>
      </c>
      <c r="D99" s="66">
        <v>7769.93</v>
      </c>
      <c r="E99" s="66">
        <v>5650</v>
      </c>
      <c r="F99" s="66">
        <v>4400</v>
      </c>
      <c r="G99" s="66">
        <v>33855.78</v>
      </c>
      <c r="H99" s="54"/>
      <c r="I99" s="54"/>
      <c r="J99" s="54"/>
      <c r="K99" s="54"/>
      <c r="L99" s="54"/>
      <c r="M99" s="54"/>
      <c r="N99" s="54"/>
    </row>
    <row r="100" spans="1:14" ht="15" x14ac:dyDescent="0.2">
      <c r="A100" s="67" t="s">
        <v>109</v>
      </c>
      <c r="B100" s="66">
        <v>23441.37</v>
      </c>
      <c r="C100" s="66">
        <v>11301.72</v>
      </c>
      <c r="D100" s="66">
        <v>9711.93</v>
      </c>
      <c r="E100" s="66">
        <v>19383.469999999998</v>
      </c>
      <c r="F100" s="66">
        <v>6176.0999999999995</v>
      </c>
      <c r="G100" s="66">
        <v>70014.59</v>
      </c>
      <c r="H100" s="54"/>
      <c r="I100" s="54"/>
      <c r="J100" s="54"/>
      <c r="K100" s="54"/>
      <c r="L100" s="54"/>
      <c r="M100" s="54"/>
      <c r="N100" s="54"/>
    </row>
    <row r="101" spans="1:14" ht="15" x14ac:dyDescent="0.2">
      <c r="A101" s="67" t="s">
        <v>110</v>
      </c>
      <c r="B101" s="66">
        <v>1195</v>
      </c>
      <c r="C101" s="66">
        <v>1082</v>
      </c>
      <c r="D101" s="66">
        <v>978.5</v>
      </c>
      <c r="E101" s="66">
        <v>670</v>
      </c>
      <c r="F101" s="66">
        <v>232</v>
      </c>
      <c r="G101" s="66">
        <v>4157.5</v>
      </c>
      <c r="H101" s="54"/>
      <c r="I101" s="54"/>
      <c r="J101" s="54"/>
      <c r="K101" s="54"/>
      <c r="L101" s="54"/>
      <c r="M101" s="54"/>
      <c r="N101" s="54"/>
    </row>
    <row r="102" spans="1:14" ht="15" x14ac:dyDescent="0.2">
      <c r="A102" s="67" t="s">
        <v>200</v>
      </c>
      <c r="B102" s="66"/>
      <c r="C102" s="66"/>
      <c r="D102" s="66"/>
      <c r="E102" s="66">
        <v>7000</v>
      </c>
      <c r="F102" s="66"/>
      <c r="G102" s="66">
        <v>7000</v>
      </c>
      <c r="H102" s="54"/>
      <c r="I102" s="54"/>
      <c r="J102" s="54"/>
      <c r="K102" s="54"/>
      <c r="L102" s="54"/>
      <c r="M102" s="54"/>
      <c r="N102" s="54"/>
    </row>
    <row r="103" spans="1:14" ht="15" x14ac:dyDescent="0.2">
      <c r="A103" s="65" t="s">
        <v>199</v>
      </c>
      <c r="B103" s="66">
        <v>56553.34</v>
      </c>
      <c r="C103" s="66">
        <v>61446.999999999985</v>
      </c>
      <c r="D103" s="66">
        <v>55657.97</v>
      </c>
      <c r="E103" s="66">
        <v>78166.799999999988</v>
      </c>
      <c r="F103" s="66">
        <v>204283.52000000002</v>
      </c>
      <c r="G103" s="66">
        <v>456108.63</v>
      </c>
      <c r="H103" s="54"/>
      <c r="I103" s="54"/>
      <c r="J103" s="54"/>
      <c r="K103" s="54"/>
      <c r="L103" s="54"/>
      <c r="M103" s="54"/>
      <c r="N103" s="54"/>
    </row>
    <row r="104" spans="1:14" ht="15" x14ac:dyDescent="0.2">
      <c r="A104" s="67" t="s">
        <v>123</v>
      </c>
      <c r="B104" s="66">
        <v>9652.9900000000034</v>
      </c>
      <c r="C104" s="66">
        <v>9775.6499999999905</v>
      </c>
      <c r="D104" s="66">
        <v>9300.989999999998</v>
      </c>
      <c r="E104" s="66">
        <v>10991.460000000003</v>
      </c>
      <c r="F104" s="66">
        <v>5534.04</v>
      </c>
      <c r="G104" s="66">
        <v>45255.13</v>
      </c>
      <c r="H104" s="54"/>
      <c r="I104" s="54"/>
      <c r="J104" s="54"/>
      <c r="K104" s="54"/>
      <c r="L104" s="54"/>
      <c r="M104" s="54"/>
      <c r="N104" s="54"/>
    </row>
    <row r="105" spans="1:14" ht="15" x14ac:dyDescent="0.2">
      <c r="A105" s="67" t="s">
        <v>126</v>
      </c>
      <c r="B105" s="66">
        <v>143.60000000000002</v>
      </c>
      <c r="C105" s="66">
        <v>95.93</v>
      </c>
      <c r="D105" s="66">
        <v>251.57000000000002</v>
      </c>
      <c r="E105" s="66">
        <v>461.83</v>
      </c>
      <c r="F105" s="66">
        <v>82.8</v>
      </c>
      <c r="G105" s="66">
        <v>1035.73</v>
      </c>
      <c r="H105" s="54"/>
      <c r="I105" s="54"/>
      <c r="J105" s="54"/>
      <c r="K105" s="54"/>
      <c r="L105" s="54"/>
      <c r="M105" s="54"/>
      <c r="N105" s="54"/>
    </row>
    <row r="106" spans="1:14" ht="15" x14ac:dyDescent="0.2">
      <c r="A106" s="67" t="s">
        <v>128</v>
      </c>
      <c r="B106" s="66">
        <v>6672.09</v>
      </c>
      <c r="C106" s="66">
        <v>11317.74</v>
      </c>
      <c r="D106" s="66">
        <v>13530.41</v>
      </c>
      <c r="E106" s="66">
        <v>16739.48</v>
      </c>
      <c r="F106" s="66">
        <v>182123.29</v>
      </c>
      <c r="G106" s="66">
        <v>230383.01</v>
      </c>
      <c r="H106" s="54"/>
      <c r="I106" s="54"/>
      <c r="J106" s="54"/>
      <c r="K106" s="54"/>
      <c r="L106" s="54"/>
      <c r="M106" s="54"/>
      <c r="N106" s="54"/>
    </row>
    <row r="107" spans="1:14" ht="15" x14ac:dyDescent="0.2">
      <c r="A107" s="67" t="s">
        <v>198</v>
      </c>
      <c r="B107" s="66">
        <v>10463.530000000001</v>
      </c>
      <c r="C107" s="66">
        <v>10819.31</v>
      </c>
      <c r="D107" s="66">
        <v>3571.8999999999996</v>
      </c>
      <c r="E107" s="66">
        <v>17431.96</v>
      </c>
      <c r="F107" s="66">
        <v>270</v>
      </c>
      <c r="G107" s="66">
        <v>42556.7</v>
      </c>
      <c r="H107" s="54"/>
      <c r="I107" s="54"/>
      <c r="J107" s="54"/>
      <c r="K107" s="54"/>
      <c r="L107" s="54"/>
      <c r="M107" s="54"/>
      <c r="N107" s="54"/>
    </row>
    <row r="108" spans="1:14" ht="15" x14ac:dyDescent="0.2">
      <c r="A108" s="67" t="s">
        <v>125</v>
      </c>
      <c r="B108" s="66"/>
      <c r="C108" s="66">
        <v>95.75</v>
      </c>
      <c r="D108" s="66"/>
      <c r="E108" s="66"/>
      <c r="F108" s="66"/>
      <c r="G108" s="66">
        <v>95.75</v>
      </c>
      <c r="H108" s="54"/>
      <c r="I108" s="54"/>
      <c r="J108" s="54"/>
      <c r="K108" s="54"/>
      <c r="L108" s="54"/>
      <c r="M108" s="54"/>
      <c r="N108" s="54"/>
    </row>
    <row r="109" spans="1:14" ht="15" x14ac:dyDescent="0.2">
      <c r="A109" s="67" t="s">
        <v>124</v>
      </c>
      <c r="B109" s="66">
        <v>29621.129999999994</v>
      </c>
      <c r="C109" s="66">
        <v>29342.62</v>
      </c>
      <c r="D109" s="66">
        <v>29003.100000000002</v>
      </c>
      <c r="E109" s="66">
        <v>32542.069999999992</v>
      </c>
      <c r="F109" s="66">
        <v>16273.390000000001</v>
      </c>
      <c r="G109" s="66">
        <v>136782.31</v>
      </c>
      <c r="H109" s="54"/>
      <c r="I109" s="54"/>
      <c r="J109" s="54"/>
      <c r="K109" s="54"/>
      <c r="L109" s="54"/>
      <c r="M109" s="54"/>
      <c r="N109" s="54"/>
    </row>
    <row r="110" spans="1:14" ht="15" x14ac:dyDescent="0.2">
      <c r="A110" s="65" t="s">
        <v>197</v>
      </c>
      <c r="B110" s="66">
        <v>53166.43</v>
      </c>
      <c r="C110" s="66">
        <v>26411.83</v>
      </c>
      <c r="D110" s="66">
        <v>26833.7</v>
      </c>
      <c r="E110" s="66">
        <v>16448.27</v>
      </c>
      <c r="F110" s="66">
        <v>4259.29</v>
      </c>
      <c r="G110" s="66">
        <v>127119.52000000002</v>
      </c>
      <c r="H110" s="54"/>
      <c r="I110" s="54"/>
      <c r="J110" s="54"/>
      <c r="K110" s="54"/>
      <c r="L110" s="54"/>
      <c r="M110" s="54"/>
      <c r="N110" s="54"/>
    </row>
    <row r="111" spans="1:14" ht="15" x14ac:dyDescent="0.2">
      <c r="A111" s="67" t="s">
        <v>190</v>
      </c>
      <c r="B111" s="66">
        <v>9551.4999999999982</v>
      </c>
      <c r="C111" s="66">
        <v>4960.7299999999996</v>
      </c>
      <c r="D111" s="66">
        <v>2407.11</v>
      </c>
      <c r="E111" s="66">
        <v>1241.96</v>
      </c>
      <c r="F111" s="66">
        <v>159</v>
      </c>
      <c r="G111" s="66">
        <v>18320.299999999996</v>
      </c>
      <c r="H111" s="54"/>
      <c r="I111" s="54"/>
      <c r="J111" s="54"/>
      <c r="K111" s="54"/>
      <c r="L111" s="54"/>
      <c r="M111" s="54"/>
      <c r="N111" s="54"/>
    </row>
    <row r="112" spans="1:14" ht="15" x14ac:dyDescent="0.2">
      <c r="A112" s="67" t="s">
        <v>191</v>
      </c>
      <c r="B112" s="66">
        <v>3037.44</v>
      </c>
      <c r="C112" s="66">
        <v>3037.44</v>
      </c>
      <c r="D112" s="66">
        <v>3037.44</v>
      </c>
      <c r="E112" s="66">
        <v>3037.44</v>
      </c>
      <c r="F112" s="66">
        <v>3157.3</v>
      </c>
      <c r="G112" s="66">
        <v>15307.060000000001</v>
      </c>
      <c r="H112" s="54"/>
      <c r="I112" s="54"/>
      <c r="J112" s="54"/>
      <c r="K112" s="54"/>
      <c r="L112" s="54"/>
      <c r="M112" s="54"/>
      <c r="N112" s="54"/>
    </row>
    <row r="113" spans="1:14" ht="15" x14ac:dyDescent="0.2">
      <c r="A113" s="67" t="s">
        <v>192</v>
      </c>
      <c r="B113" s="66">
        <v>14634.46</v>
      </c>
      <c r="C113" s="66">
        <v>5089.95</v>
      </c>
      <c r="D113" s="66">
        <v>2570</v>
      </c>
      <c r="E113" s="66">
        <v>900</v>
      </c>
      <c r="F113" s="66">
        <v>724</v>
      </c>
      <c r="G113" s="66">
        <v>23918.41</v>
      </c>
      <c r="H113" s="54"/>
      <c r="I113" s="54"/>
      <c r="J113" s="54"/>
      <c r="K113" s="54"/>
      <c r="L113" s="54"/>
      <c r="M113" s="54"/>
      <c r="N113" s="54"/>
    </row>
    <row r="114" spans="1:14" ht="15" x14ac:dyDescent="0.2">
      <c r="A114" s="67" t="s">
        <v>193</v>
      </c>
      <c r="B114" s="66">
        <v>25943.030000000002</v>
      </c>
      <c r="C114" s="66">
        <v>13323.710000000001</v>
      </c>
      <c r="D114" s="66">
        <v>14734.15</v>
      </c>
      <c r="E114" s="66">
        <v>11268.87</v>
      </c>
      <c r="F114" s="66">
        <v>218.99</v>
      </c>
      <c r="G114" s="66">
        <v>65488.750000000007</v>
      </c>
      <c r="H114" s="54"/>
      <c r="I114" s="54"/>
      <c r="J114" s="54"/>
      <c r="K114" s="54"/>
      <c r="L114" s="54"/>
      <c r="M114" s="54"/>
      <c r="N114" s="54"/>
    </row>
    <row r="115" spans="1:14" ht="15" x14ac:dyDescent="0.2">
      <c r="A115" s="67" t="s">
        <v>194</v>
      </c>
      <c r="B115" s="66"/>
      <c r="C115" s="66"/>
      <c r="D115" s="66">
        <v>4085</v>
      </c>
      <c r="E115" s="66"/>
      <c r="F115" s="66"/>
      <c r="G115" s="66">
        <v>4085</v>
      </c>
      <c r="H115" s="54"/>
      <c r="I115" s="54"/>
      <c r="J115" s="54"/>
      <c r="K115" s="54"/>
      <c r="L115" s="54"/>
      <c r="M115" s="54"/>
      <c r="N115" s="54"/>
    </row>
    <row r="116" spans="1:14" ht="15" x14ac:dyDescent="0.2">
      <c r="A116" s="70" t="s">
        <v>196</v>
      </c>
      <c r="B116" s="71">
        <v>1297618.3500000003</v>
      </c>
      <c r="C116" s="71">
        <v>1221556.2699999996</v>
      </c>
      <c r="D116" s="71">
        <v>1380138.58</v>
      </c>
      <c r="E116" s="71">
        <v>1206204.6100000001</v>
      </c>
      <c r="F116" s="71">
        <v>457536.06</v>
      </c>
      <c r="G116" s="71">
        <v>5563053.8700000001</v>
      </c>
      <c r="H116" s="54"/>
      <c r="I116" s="54"/>
      <c r="J116" s="54"/>
      <c r="K116" s="54"/>
      <c r="L116" s="54"/>
      <c r="M116" s="54"/>
      <c r="N116" s="54"/>
    </row>
    <row r="117" spans="1:14" ht="15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</row>
    <row r="118" spans="1:14" ht="15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</row>
    <row r="119" spans="1:14" ht="15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</row>
    <row r="120" spans="1:14" ht="15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</row>
    <row r="121" spans="1:14" ht="15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</row>
    <row r="122" spans="1:14" ht="15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</row>
    <row r="123" spans="1:14" ht="15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</row>
    <row r="124" spans="1:14" ht="15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</row>
    <row r="125" spans="1:14" ht="15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</row>
    <row r="126" spans="1:14" ht="15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</row>
    <row r="127" spans="1:14" ht="15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</row>
    <row r="128" spans="1:14" ht="15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</row>
    <row r="129" spans="1:14" ht="15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</row>
    <row r="130" spans="1:14" ht="15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6F2A-BCD6-4331-BF11-31011EABDCE6}">
  <sheetPr>
    <tabColor rgb="FFFF0000"/>
  </sheetPr>
  <dimension ref="A1:M4126"/>
  <sheetViews>
    <sheetView workbookViewId="0">
      <selection activeCell="D10" sqref="D10"/>
    </sheetView>
  </sheetViews>
  <sheetFormatPr defaultColWidth="8.85546875" defaultRowHeight="15" x14ac:dyDescent="0.25"/>
  <cols>
    <col min="1" max="1" width="7" style="54" bestFit="1" customWidth="1"/>
    <col min="2" max="2" width="6.85546875" style="54" bestFit="1" customWidth="1"/>
    <col min="3" max="3" width="14.140625" style="54" bestFit="1" customWidth="1"/>
    <col min="4" max="4" width="12.7109375" style="54" bestFit="1" customWidth="1"/>
    <col min="5" max="5" width="57.140625" style="54" bestFit="1" customWidth="1"/>
    <col min="6" max="6" width="13.42578125" style="54" bestFit="1" customWidth="1"/>
    <col min="7" max="7" width="49.28515625" style="54" bestFit="1" customWidth="1"/>
    <col min="8" max="8" width="40.85546875" style="54" bestFit="1" customWidth="1"/>
    <col min="9" max="9" width="30.5703125" style="54" bestFit="1" customWidth="1"/>
    <col min="10" max="10" width="31.7109375" style="54" bestFit="1" customWidth="1"/>
    <col min="11" max="11" width="19.7109375" style="54" bestFit="1" customWidth="1"/>
    <col min="12" max="12" width="28.85546875" style="54" bestFit="1" customWidth="1"/>
    <col min="13" max="13" width="17.5703125" style="54" bestFit="1" customWidth="1"/>
    <col min="14" max="14" width="28.85546875" style="54" bestFit="1" customWidth="1"/>
    <col min="15" max="16" width="18.140625" style="54" bestFit="1" customWidth="1"/>
    <col min="17" max="16384" width="8.85546875" style="54"/>
  </cols>
  <sheetData>
    <row r="1" spans="1:13" x14ac:dyDescent="0.25">
      <c r="A1" s="54" t="s">
        <v>3443</v>
      </c>
      <c r="B1" s="54" t="s">
        <v>3442</v>
      </c>
      <c r="C1" s="54" t="s">
        <v>3441</v>
      </c>
      <c r="D1" s="54" t="s">
        <v>3440</v>
      </c>
      <c r="E1" s="54" t="s">
        <v>3439</v>
      </c>
      <c r="F1" s="54" t="s">
        <v>3438</v>
      </c>
      <c r="G1" s="54" t="s">
        <v>3437</v>
      </c>
      <c r="H1" s="55" t="s">
        <v>3436</v>
      </c>
      <c r="I1" s="55" t="s">
        <v>3435</v>
      </c>
      <c r="J1" s="55" t="s">
        <v>3434</v>
      </c>
      <c r="K1" s="55" t="s">
        <v>3433</v>
      </c>
      <c r="L1" s="55" t="s">
        <v>3432</v>
      </c>
      <c r="M1" s="55" t="s">
        <v>3431</v>
      </c>
    </row>
    <row r="2" spans="1:13" x14ac:dyDescent="0.25">
      <c r="A2" s="74">
        <v>53592</v>
      </c>
      <c r="B2" s="75" t="s">
        <v>279</v>
      </c>
      <c r="C2" s="75" t="s">
        <v>3430</v>
      </c>
      <c r="D2" s="76">
        <v>46052</v>
      </c>
      <c r="E2" s="75" t="s">
        <v>2521</v>
      </c>
      <c r="F2" s="74">
        <v>564</v>
      </c>
      <c r="G2" s="75" t="s">
        <v>3412</v>
      </c>
      <c r="H2" s="77" t="str">
        <f>VLOOKUP(DESPESAS[[#This Row],[Plano de Contas]],BASE!$B$3:$D$119,3,FALSE)</f>
        <v>Compras</v>
      </c>
      <c r="I2" s="77" t="str">
        <f>IFERROR(VLOOKUP(DESPESAS[[#This Row],[Fornecedor]],Tabela2[],2,FALSE),"")</f>
        <v/>
      </c>
      <c r="J2" s="77" t="str">
        <f>IFERROR(VLOOKUP(DESPESAS[[#This Row],[Plano de Contas]],BASE!$B$3:$F$119,4,FALSE),"")</f>
        <v>1 - CPV</v>
      </c>
      <c r="K2" s="77" t="str">
        <f>IFERROR(VLOOKUP(DESPESAS[[#This Row],[Plano de Contas]],BASE!$B$3:$H$119,5,FALSE),"")</f>
        <v>COMPRAS</v>
      </c>
      <c r="L2" s="77">
        <f>IFERROR(VLOOKUP(DESPESAS[[#This Row],[Plano de Contas]],BASE!$B$3:$H$119,6,FALSE),"")</f>
        <v>0</v>
      </c>
      <c r="M2" s="77" t="str">
        <f>VLOOKUP(DESPESAS[[#This Row],[Plano de Contas]],BASE!$B$3:$H$119,7,FALSE)</f>
        <v>MYLENA</v>
      </c>
    </row>
    <row r="3" spans="1:13" x14ac:dyDescent="0.25">
      <c r="A3" s="74">
        <v>53605</v>
      </c>
      <c r="B3" s="75" t="s">
        <v>232</v>
      </c>
      <c r="C3" s="75" t="s">
        <v>3429</v>
      </c>
      <c r="D3" s="76">
        <v>46053</v>
      </c>
      <c r="E3" s="75" t="s">
        <v>3428</v>
      </c>
      <c r="F3" s="74">
        <v>1</v>
      </c>
      <c r="G3" s="75" t="s">
        <v>3410</v>
      </c>
      <c r="H3" s="77" t="str">
        <f>VLOOKUP(DESPESAS[[#This Row],[Plano de Contas]],BASE!$B$3:$D$119,3,FALSE)</f>
        <v>Compras - Pés/Mecanismos/Bases</v>
      </c>
      <c r="I3" s="77" t="str">
        <f>IFERROR(VLOOKUP(DESPESAS[[#This Row],[Fornecedor]],Tabela2[],2,FALSE),"")</f>
        <v/>
      </c>
      <c r="J3" s="77" t="str">
        <f>IFERROR(VLOOKUP(DESPESAS[[#This Row],[Plano de Contas]],BASE!$B$3:$F$119,4,FALSE),"")</f>
        <v>1 - CPV</v>
      </c>
      <c r="K3" s="77" t="str">
        <f>IFERROR(VLOOKUP(DESPESAS[[#This Row],[Plano de Contas]],BASE!$B$3:$H$119,5,FALSE),"")</f>
        <v>COMPRAS</v>
      </c>
      <c r="L3" s="77">
        <f>IFERROR(VLOOKUP(DESPESAS[[#This Row],[Plano de Contas]],BASE!$B$3:$H$119,6,FALSE),"")</f>
        <v>0</v>
      </c>
      <c r="M3" s="77" t="str">
        <f>VLOOKUP(DESPESAS[[#This Row],[Plano de Contas]],BASE!$B$3:$H$119,7,FALSE)</f>
        <v>MYLENA</v>
      </c>
    </row>
    <row r="4" spans="1:13" x14ac:dyDescent="0.25">
      <c r="A4" s="74">
        <v>53632</v>
      </c>
      <c r="B4" s="75" t="s">
        <v>232</v>
      </c>
      <c r="C4" s="75" t="s">
        <v>3427</v>
      </c>
      <c r="D4" s="76">
        <v>46062</v>
      </c>
      <c r="E4" s="75" t="s">
        <v>3426</v>
      </c>
      <c r="F4" s="74">
        <v>125.38</v>
      </c>
      <c r="G4" s="75" t="s">
        <v>3410</v>
      </c>
      <c r="H4" s="77" t="str">
        <f>VLOOKUP(DESPESAS[[#This Row],[Plano de Contas]],BASE!$B$3:$D$119,3,FALSE)</f>
        <v>Compras - Pés/Mecanismos/Bases</v>
      </c>
      <c r="I4" s="77" t="str">
        <f>IFERROR(VLOOKUP(DESPESAS[[#This Row],[Fornecedor]],Tabela2[],2,FALSE),"")</f>
        <v/>
      </c>
      <c r="J4" s="77" t="str">
        <f>IFERROR(VLOOKUP(DESPESAS[[#This Row],[Plano de Contas]],BASE!$B$3:$F$119,4,FALSE),"")</f>
        <v>1 - CPV</v>
      </c>
      <c r="K4" s="77" t="str">
        <f>IFERROR(VLOOKUP(DESPESAS[[#This Row],[Plano de Contas]],BASE!$B$3:$H$119,5,FALSE),"")</f>
        <v>COMPRAS</v>
      </c>
      <c r="L4" s="77">
        <f>IFERROR(VLOOKUP(DESPESAS[[#This Row],[Plano de Contas]],BASE!$B$3:$H$119,6,FALSE),"")</f>
        <v>0</v>
      </c>
      <c r="M4" s="77" t="str">
        <f>VLOOKUP(DESPESAS[[#This Row],[Plano de Contas]],BASE!$B$3:$H$119,7,FALSE)</f>
        <v>MYLENA</v>
      </c>
    </row>
    <row r="5" spans="1:13" x14ac:dyDescent="0.25">
      <c r="A5" s="74">
        <v>53685</v>
      </c>
      <c r="B5" s="75" t="s">
        <v>279</v>
      </c>
      <c r="C5" s="75" t="s">
        <v>3425</v>
      </c>
      <c r="D5" s="76">
        <v>46065</v>
      </c>
      <c r="E5" s="75" t="s">
        <v>3424</v>
      </c>
      <c r="F5" s="74">
        <v>1425.6</v>
      </c>
      <c r="G5" s="75" t="s">
        <v>3410</v>
      </c>
      <c r="H5" s="77" t="str">
        <f>VLOOKUP(DESPESAS[[#This Row],[Plano de Contas]],BASE!$B$3:$D$119,3,FALSE)</f>
        <v>Compras - Pés/Mecanismos/Bases</v>
      </c>
      <c r="I5" s="77" t="str">
        <f>IFERROR(VLOOKUP(DESPESAS[[#This Row],[Fornecedor]],Tabela2[],2,FALSE),"")</f>
        <v/>
      </c>
      <c r="J5" s="77" t="str">
        <f>IFERROR(VLOOKUP(DESPESAS[[#This Row],[Plano de Contas]],BASE!$B$3:$F$119,4,FALSE),"")</f>
        <v>1 - CPV</v>
      </c>
      <c r="K5" s="77" t="str">
        <f>IFERROR(VLOOKUP(DESPESAS[[#This Row],[Plano de Contas]],BASE!$B$3:$H$119,5,FALSE),"")</f>
        <v>COMPRAS</v>
      </c>
      <c r="L5" s="77">
        <f>IFERROR(VLOOKUP(DESPESAS[[#This Row],[Plano de Contas]],BASE!$B$3:$H$119,6,FALSE),"")</f>
        <v>0</v>
      </c>
      <c r="M5" s="77" t="str">
        <f>VLOOKUP(DESPESAS[[#This Row],[Plano de Contas]],BASE!$B$3:$H$119,7,FALSE)</f>
        <v>MYLENA</v>
      </c>
    </row>
    <row r="6" spans="1:13" x14ac:dyDescent="0.25">
      <c r="A6" s="74">
        <v>53687</v>
      </c>
      <c r="B6" s="75" t="s">
        <v>232</v>
      </c>
      <c r="C6" s="75" t="s">
        <v>3423</v>
      </c>
      <c r="D6" s="76">
        <v>46065</v>
      </c>
      <c r="E6" s="75" t="s">
        <v>3422</v>
      </c>
      <c r="F6" s="74">
        <v>967.68</v>
      </c>
      <c r="G6" s="75" t="s">
        <v>3412</v>
      </c>
      <c r="H6" s="77" t="str">
        <f>VLOOKUP(DESPESAS[[#This Row],[Plano de Contas]],BASE!$B$3:$D$119,3,FALSE)</f>
        <v>Compras</v>
      </c>
      <c r="I6" s="77" t="str">
        <f>IFERROR(VLOOKUP(DESPESAS[[#This Row],[Fornecedor]],Tabela2[],2,FALSE),"")</f>
        <v/>
      </c>
      <c r="J6" s="77" t="str">
        <f>IFERROR(VLOOKUP(DESPESAS[[#This Row],[Plano de Contas]],BASE!$B$3:$F$119,4,FALSE),"")</f>
        <v>1 - CPV</v>
      </c>
      <c r="K6" s="77" t="str">
        <f>IFERROR(VLOOKUP(DESPESAS[[#This Row],[Plano de Contas]],BASE!$B$3:$H$119,5,FALSE),"")</f>
        <v>COMPRAS</v>
      </c>
      <c r="L6" s="77">
        <f>IFERROR(VLOOKUP(DESPESAS[[#This Row],[Plano de Contas]],BASE!$B$3:$H$119,6,FALSE),"")</f>
        <v>0</v>
      </c>
      <c r="M6" s="77" t="str">
        <f>VLOOKUP(DESPESAS[[#This Row],[Plano de Contas]],BASE!$B$3:$H$119,7,FALSE)</f>
        <v>MYLENA</v>
      </c>
    </row>
    <row r="7" spans="1:13" x14ac:dyDescent="0.25">
      <c r="A7" s="74">
        <v>53786</v>
      </c>
      <c r="B7" s="75" t="s">
        <v>221</v>
      </c>
      <c r="C7" s="75" t="s">
        <v>3421</v>
      </c>
      <c r="D7" s="76">
        <v>46080</v>
      </c>
      <c r="E7" s="75" t="s">
        <v>3420</v>
      </c>
      <c r="F7" s="74">
        <v>100</v>
      </c>
      <c r="G7" s="75" t="s">
        <v>3410</v>
      </c>
      <c r="H7" s="77" t="str">
        <f>VLOOKUP(DESPESAS[[#This Row],[Plano de Contas]],BASE!$B$3:$D$119,3,FALSE)</f>
        <v>Compras - Pés/Mecanismos/Bases</v>
      </c>
      <c r="I7" s="77" t="str">
        <f>IFERROR(VLOOKUP(DESPESAS[[#This Row],[Fornecedor]],Tabela2[],2,FALSE),"")</f>
        <v/>
      </c>
      <c r="J7" s="77" t="str">
        <f>IFERROR(VLOOKUP(DESPESAS[[#This Row],[Plano de Contas]],BASE!$B$3:$F$119,4,FALSE),"")</f>
        <v>1 - CPV</v>
      </c>
      <c r="K7" s="77" t="str">
        <f>IFERROR(VLOOKUP(DESPESAS[[#This Row],[Plano de Contas]],BASE!$B$3:$H$119,5,FALSE),"")</f>
        <v>COMPRAS</v>
      </c>
      <c r="L7" s="77">
        <f>IFERROR(VLOOKUP(DESPESAS[[#This Row],[Plano de Contas]],BASE!$B$3:$H$119,6,FALSE),"")</f>
        <v>0</v>
      </c>
      <c r="M7" s="77" t="str">
        <f>VLOOKUP(DESPESAS[[#This Row],[Plano de Contas]],BASE!$B$3:$H$119,7,FALSE)</f>
        <v>MYLENA</v>
      </c>
    </row>
    <row r="8" spans="1:13" x14ac:dyDescent="0.25">
      <c r="A8" s="74">
        <v>53801</v>
      </c>
      <c r="B8" s="75" t="s">
        <v>281</v>
      </c>
      <c r="C8" s="75" t="s">
        <v>3419</v>
      </c>
      <c r="D8" s="76">
        <v>46080</v>
      </c>
      <c r="E8" s="75" t="s">
        <v>2521</v>
      </c>
      <c r="F8" s="74">
        <v>20</v>
      </c>
      <c r="G8" s="75" t="s">
        <v>3412</v>
      </c>
      <c r="H8" s="77" t="str">
        <f>VLOOKUP(DESPESAS[[#This Row],[Plano de Contas]],BASE!$B$3:$D$119,3,FALSE)</f>
        <v>Compras</v>
      </c>
      <c r="I8" s="77" t="str">
        <f>IFERROR(VLOOKUP(DESPESAS[[#This Row],[Fornecedor]],Tabela2[],2,FALSE),"")</f>
        <v/>
      </c>
      <c r="J8" s="77" t="str">
        <f>IFERROR(VLOOKUP(DESPESAS[[#This Row],[Plano de Contas]],BASE!$B$3:$F$119,4,FALSE),"")</f>
        <v>1 - CPV</v>
      </c>
      <c r="K8" s="77" t="str">
        <f>IFERROR(VLOOKUP(DESPESAS[[#This Row],[Plano de Contas]],BASE!$B$3:$H$119,5,FALSE),"")</f>
        <v>COMPRAS</v>
      </c>
      <c r="L8" s="77">
        <f>IFERROR(VLOOKUP(DESPESAS[[#This Row],[Plano de Contas]],BASE!$B$3:$H$119,6,FALSE),"")</f>
        <v>0</v>
      </c>
      <c r="M8" s="77" t="str">
        <f>VLOOKUP(DESPESAS[[#This Row],[Plano de Contas]],BASE!$B$3:$H$119,7,FALSE)</f>
        <v>MYLENA</v>
      </c>
    </row>
    <row r="9" spans="1:13" x14ac:dyDescent="0.25">
      <c r="A9" s="74">
        <v>53812</v>
      </c>
      <c r="B9" s="75" t="s">
        <v>232</v>
      </c>
      <c r="C9" s="75" t="s">
        <v>3418</v>
      </c>
      <c r="D9" s="76">
        <v>46080</v>
      </c>
      <c r="E9" s="75" t="s">
        <v>2521</v>
      </c>
      <c r="F9" s="74">
        <v>865.7</v>
      </c>
      <c r="G9" s="75" t="s">
        <v>3410</v>
      </c>
      <c r="H9" s="77" t="str">
        <f>VLOOKUP(DESPESAS[[#This Row],[Plano de Contas]],BASE!$B$3:$D$119,3,FALSE)</f>
        <v>Compras - Pés/Mecanismos/Bases</v>
      </c>
      <c r="I9" s="77" t="str">
        <f>IFERROR(VLOOKUP(DESPESAS[[#This Row],[Fornecedor]],Tabela2[],2,FALSE),"")</f>
        <v/>
      </c>
      <c r="J9" s="77" t="str">
        <f>IFERROR(VLOOKUP(DESPESAS[[#This Row],[Plano de Contas]],BASE!$B$3:$F$119,4,FALSE),"")</f>
        <v>1 - CPV</v>
      </c>
      <c r="K9" s="77" t="str">
        <f>IFERROR(VLOOKUP(DESPESAS[[#This Row],[Plano de Contas]],BASE!$B$3:$H$119,5,FALSE),"")</f>
        <v>COMPRAS</v>
      </c>
      <c r="L9" s="77">
        <f>IFERROR(VLOOKUP(DESPESAS[[#This Row],[Plano de Contas]],BASE!$B$3:$H$119,6,FALSE),"")</f>
        <v>0</v>
      </c>
      <c r="M9" s="77" t="str">
        <f>VLOOKUP(DESPESAS[[#This Row],[Plano de Contas]],BASE!$B$3:$H$119,7,FALSE)</f>
        <v>MYLENA</v>
      </c>
    </row>
    <row r="10" spans="1:13" x14ac:dyDescent="0.25">
      <c r="A10" s="74">
        <v>53839</v>
      </c>
      <c r="B10" s="75" t="s">
        <v>232</v>
      </c>
      <c r="C10" s="75" t="s">
        <v>3417</v>
      </c>
      <c r="D10" s="76">
        <v>46087</v>
      </c>
      <c r="E10" s="75" t="s">
        <v>1506</v>
      </c>
      <c r="F10" s="74">
        <v>25</v>
      </c>
      <c r="G10" s="75" t="s">
        <v>3412</v>
      </c>
      <c r="H10" s="77" t="str">
        <f>VLOOKUP(DESPESAS[[#This Row],[Plano de Contas]],BASE!$B$3:$D$119,3,FALSE)</f>
        <v>Compras</v>
      </c>
      <c r="I10" s="77" t="str">
        <f>IFERROR(VLOOKUP(DESPESAS[[#This Row],[Fornecedor]],Tabela2[],2,FALSE),"")</f>
        <v/>
      </c>
      <c r="J10" s="77" t="str">
        <f>IFERROR(VLOOKUP(DESPESAS[[#This Row],[Plano de Contas]],BASE!$B$3:$F$119,4,FALSE),"")</f>
        <v>1 - CPV</v>
      </c>
      <c r="K10" s="77" t="str">
        <f>IFERROR(VLOOKUP(DESPESAS[[#This Row],[Plano de Contas]],BASE!$B$3:$H$119,5,FALSE),"")</f>
        <v>COMPRAS</v>
      </c>
      <c r="L10" s="77">
        <f>IFERROR(VLOOKUP(DESPESAS[[#This Row],[Plano de Contas]],BASE!$B$3:$H$119,6,FALSE),"")</f>
        <v>0</v>
      </c>
      <c r="M10" s="77" t="str">
        <f>VLOOKUP(DESPESAS[[#This Row],[Plano de Contas]],BASE!$B$3:$H$119,7,FALSE)</f>
        <v>MYLENA</v>
      </c>
    </row>
    <row r="11" spans="1:13" x14ac:dyDescent="0.25">
      <c r="A11" s="74">
        <v>53989</v>
      </c>
      <c r="B11" s="75" t="s">
        <v>232</v>
      </c>
      <c r="C11" s="75" t="s">
        <v>3416</v>
      </c>
      <c r="D11" s="76">
        <v>46111</v>
      </c>
      <c r="E11" s="75" t="s">
        <v>3415</v>
      </c>
      <c r="F11" s="74">
        <v>1221.6500000000001</v>
      </c>
      <c r="G11" s="75" t="s">
        <v>3410</v>
      </c>
      <c r="H11" s="77" t="str">
        <f>VLOOKUP(DESPESAS[[#This Row],[Plano de Contas]],BASE!$B$3:$D$119,3,FALSE)</f>
        <v>Compras - Pés/Mecanismos/Bases</v>
      </c>
      <c r="I11" s="77" t="str">
        <f>IFERROR(VLOOKUP(DESPESAS[[#This Row],[Fornecedor]],Tabela2[],2,FALSE),"")</f>
        <v/>
      </c>
      <c r="J11" s="77" t="str">
        <f>IFERROR(VLOOKUP(DESPESAS[[#This Row],[Plano de Contas]],BASE!$B$3:$F$119,4,FALSE),"")</f>
        <v>1 - CPV</v>
      </c>
      <c r="K11" s="77" t="str">
        <f>IFERROR(VLOOKUP(DESPESAS[[#This Row],[Plano de Contas]],BASE!$B$3:$H$119,5,FALSE),"")</f>
        <v>COMPRAS</v>
      </c>
      <c r="L11" s="77">
        <f>IFERROR(VLOOKUP(DESPESAS[[#This Row],[Plano de Contas]],BASE!$B$3:$H$119,6,FALSE),"")</f>
        <v>0</v>
      </c>
      <c r="M11" s="77" t="str">
        <f>VLOOKUP(DESPESAS[[#This Row],[Plano de Contas]],BASE!$B$3:$H$119,7,FALSE)</f>
        <v>MYLENA</v>
      </c>
    </row>
    <row r="12" spans="1:13" x14ac:dyDescent="0.25">
      <c r="A12" s="74">
        <v>54001</v>
      </c>
      <c r="B12" s="75" t="s">
        <v>279</v>
      </c>
      <c r="C12" s="75" t="s">
        <v>3414</v>
      </c>
      <c r="D12" s="76">
        <v>46112</v>
      </c>
      <c r="E12" s="75" t="s">
        <v>2521</v>
      </c>
      <c r="F12" s="74">
        <v>1320.1</v>
      </c>
      <c r="G12" s="75" t="s">
        <v>3412</v>
      </c>
      <c r="H12" s="77" t="str">
        <f>VLOOKUP(DESPESAS[[#This Row],[Plano de Contas]],BASE!$B$3:$D$119,3,FALSE)</f>
        <v>Compras</v>
      </c>
      <c r="I12" s="77" t="str">
        <f>IFERROR(VLOOKUP(DESPESAS[[#This Row],[Fornecedor]],Tabela2[],2,FALSE),"")</f>
        <v/>
      </c>
      <c r="J12" s="77" t="str">
        <f>IFERROR(VLOOKUP(DESPESAS[[#This Row],[Plano de Contas]],BASE!$B$3:$F$119,4,FALSE),"")</f>
        <v>1 - CPV</v>
      </c>
      <c r="K12" s="77" t="str">
        <f>IFERROR(VLOOKUP(DESPESAS[[#This Row],[Plano de Contas]],BASE!$B$3:$H$119,5,FALSE),"")</f>
        <v>COMPRAS</v>
      </c>
      <c r="L12" s="77">
        <f>IFERROR(VLOOKUP(DESPESAS[[#This Row],[Plano de Contas]],BASE!$B$3:$H$119,6,FALSE),"")</f>
        <v>0</v>
      </c>
      <c r="M12" s="77" t="str">
        <f>VLOOKUP(DESPESAS[[#This Row],[Plano de Contas]],BASE!$B$3:$H$119,7,FALSE)</f>
        <v>MYLENA</v>
      </c>
    </row>
    <row r="13" spans="1:13" x14ac:dyDescent="0.25">
      <c r="A13" s="74">
        <v>54003</v>
      </c>
      <c r="B13" s="75" t="s">
        <v>281</v>
      </c>
      <c r="C13" s="75" t="s">
        <v>3413</v>
      </c>
      <c r="D13" s="76">
        <v>46112</v>
      </c>
      <c r="E13" s="75" t="s">
        <v>2521</v>
      </c>
      <c r="F13" s="74">
        <v>189.2</v>
      </c>
      <c r="G13" s="75" t="s">
        <v>3412</v>
      </c>
      <c r="H13" s="77" t="str">
        <f>VLOOKUP(DESPESAS[[#This Row],[Plano de Contas]],BASE!$B$3:$D$119,3,FALSE)</f>
        <v>Compras</v>
      </c>
      <c r="I13" s="77" t="str">
        <f>IFERROR(VLOOKUP(DESPESAS[[#This Row],[Fornecedor]],Tabela2[],2,FALSE),"")</f>
        <v/>
      </c>
      <c r="J13" s="77" t="str">
        <f>IFERROR(VLOOKUP(DESPESAS[[#This Row],[Plano de Contas]],BASE!$B$3:$F$119,4,FALSE),"")</f>
        <v>1 - CPV</v>
      </c>
      <c r="K13" s="77" t="str">
        <f>IFERROR(VLOOKUP(DESPESAS[[#This Row],[Plano de Contas]],BASE!$B$3:$H$119,5,FALSE),"")</f>
        <v>COMPRAS</v>
      </c>
      <c r="L13" s="77">
        <f>IFERROR(VLOOKUP(DESPESAS[[#This Row],[Plano de Contas]],BASE!$B$3:$H$119,6,FALSE),"")</f>
        <v>0</v>
      </c>
      <c r="M13" s="77" t="str">
        <f>VLOOKUP(DESPESAS[[#This Row],[Plano de Contas]],BASE!$B$3:$H$119,7,FALSE)</f>
        <v>MYLENA</v>
      </c>
    </row>
    <row r="14" spans="1:13" x14ac:dyDescent="0.25">
      <c r="A14" s="74">
        <v>54016</v>
      </c>
      <c r="B14" s="75" t="s">
        <v>221</v>
      </c>
      <c r="C14" s="75" t="s">
        <v>3411</v>
      </c>
      <c r="D14" s="76">
        <v>46112</v>
      </c>
      <c r="E14" s="75" t="s">
        <v>2521</v>
      </c>
      <c r="F14" s="74">
        <v>10996.1</v>
      </c>
      <c r="G14" s="75" t="s">
        <v>3410</v>
      </c>
      <c r="H14" s="77" t="str">
        <f>VLOOKUP(DESPESAS[[#This Row],[Plano de Contas]],BASE!$B$3:$D$119,3,FALSE)</f>
        <v>Compras - Pés/Mecanismos/Bases</v>
      </c>
      <c r="I14" s="77" t="str">
        <f>IFERROR(VLOOKUP(DESPESAS[[#This Row],[Fornecedor]],Tabela2[],2,FALSE),"")</f>
        <v/>
      </c>
      <c r="J14" s="77" t="str">
        <f>IFERROR(VLOOKUP(DESPESAS[[#This Row],[Plano de Contas]],BASE!$B$3:$F$119,4,FALSE),"")</f>
        <v>1 - CPV</v>
      </c>
      <c r="K14" s="77" t="str">
        <f>IFERROR(VLOOKUP(DESPESAS[[#This Row],[Plano de Contas]],BASE!$B$3:$H$119,5,FALSE),"")</f>
        <v>COMPRAS</v>
      </c>
      <c r="L14" s="77">
        <f>IFERROR(VLOOKUP(DESPESAS[[#This Row],[Plano de Contas]],BASE!$B$3:$H$119,6,FALSE),"")</f>
        <v>0</v>
      </c>
      <c r="M14" s="77" t="str">
        <f>VLOOKUP(DESPESAS[[#This Row],[Plano de Contas]],BASE!$B$3:$H$119,7,FALSE)</f>
        <v>MYLENA</v>
      </c>
    </row>
    <row r="15" spans="1:13" x14ac:dyDescent="0.25">
      <c r="A15" s="74">
        <v>54208</v>
      </c>
      <c r="B15" s="75" t="s">
        <v>232</v>
      </c>
      <c r="C15" s="75" t="s">
        <v>3720</v>
      </c>
      <c r="D15" s="76">
        <v>46141</v>
      </c>
      <c r="E15" s="75" t="s">
        <v>3721</v>
      </c>
      <c r="F15" s="74">
        <v>9.5</v>
      </c>
      <c r="G15" s="75" t="s">
        <v>3412</v>
      </c>
      <c r="H15" s="77" t="str">
        <f>VLOOKUP(DESPESAS[[#This Row],[Plano de Contas]],BASE!$B$3:$D$119,3,FALSE)</f>
        <v>Compras</v>
      </c>
      <c r="I15" s="77" t="str">
        <f>IFERROR(VLOOKUP(DESPESAS[[#This Row],[Fornecedor]],Tabela2[],2,FALSE),"")</f>
        <v/>
      </c>
      <c r="J15" s="77" t="str">
        <f>IFERROR(VLOOKUP(DESPESAS[[#This Row],[Plano de Contas]],BASE!$B$3:$F$119,4,FALSE),"")</f>
        <v>1 - CPV</v>
      </c>
      <c r="K15" s="77" t="str">
        <f>IFERROR(VLOOKUP(DESPESAS[[#This Row],[Plano de Contas]],BASE!$B$3:$H$119,5,FALSE),"")</f>
        <v>COMPRAS</v>
      </c>
      <c r="L15" s="77">
        <f>IFERROR(VLOOKUP(DESPESAS[[#This Row],[Plano de Contas]],BASE!$B$3:$H$119,6,FALSE),"")</f>
        <v>0</v>
      </c>
      <c r="M15" s="77" t="str">
        <f>VLOOKUP(DESPESAS[[#This Row],[Plano de Contas]],BASE!$B$3:$H$119,7,FALSE)</f>
        <v>MYLENA</v>
      </c>
    </row>
    <row r="16" spans="1:13" x14ac:dyDescent="0.25">
      <c r="A16" s="74">
        <v>54221</v>
      </c>
      <c r="B16" s="75" t="s">
        <v>232</v>
      </c>
      <c r="C16" s="75" t="s">
        <v>3722</v>
      </c>
      <c r="D16" s="76">
        <v>46142</v>
      </c>
      <c r="E16" s="75" t="s">
        <v>3420</v>
      </c>
      <c r="F16" s="74">
        <v>58.58</v>
      </c>
      <c r="G16" s="75" t="s">
        <v>3410</v>
      </c>
      <c r="H16" s="77" t="str">
        <f>VLOOKUP(DESPESAS[[#This Row],[Plano de Contas]],BASE!$B$3:$D$119,3,FALSE)</f>
        <v>Compras - Pés/Mecanismos/Bases</v>
      </c>
      <c r="I16" s="77" t="str">
        <f>IFERROR(VLOOKUP(DESPESAS[[#This Row],[Fornecedor]],Tabela2[],2,FALSE),"")</f>
        <v/>
      </c>
      <c r="J16" s="77" t="str">
        <f>IFERROR(VLOOKUP(DESPESAS[[#This Row],[Plano de Contas]],BASE!$B$3:$F$119,4,FALSE),"")</f>
        <v>1 - CPV</v>
      </c>
      <c r="K16" s="77" t="str">
        <f>IFERROR(VLOOKUP(DESPESAS[[#This Row],[Plano de Contas]],BASE!$B$3:$H$119,5,FALSE),"")</f>
        <v>COMPRAS</v>
      </c>
      <c r="L16" s="77">
        <f>IFERROR(VLOOKUP(DESPESAS[[#This Row],[Plano de Contas]],BASE!$B$3:$H$119,6,FALSE),"")</f>
        <v>0</v>
      </c>
      <c r="M16" s="77" t="str">
        <f>VLOOKUP(DESPESAS[[#This Row],[Plano de Contas]],BASE!$B$3:$H$119,7,FALSE)</f>
        <v>MYLENA</v>
      </c>
    </row>
    <row r="17" spans="1:13" x14ac:dyDescent="0.25">
      <c r="A17" s="74">
        <v>54237</v>
      </c>
      <c r="B17" s="75" t="s">
        <v>232</v>
      </c>
      <c r="C17" s="75" t="s">
        <v>3749</v>
      </c>
      <c r="D17" s="76">
        <v>46142</v>
      </c>
      <c r="E17" s="75" t="s">
        <v>2521</v>
      </c>
      <c r="F17" s="74">
        <v>903.8</v>
      </c>
      <c r="G17" s="75" t="s">
        <v>3410</v>
      </c>
      <c r="H17" s="77" t="str">
        <f>VLOOKUP(DESPESAS[[#This Row],[Plano de Contas]],BASE!$B$3:$D$119,3,FALSE)</f>
        <v>Compras - Pés/Mecanismos/Bases</v>
      </c>
      <c r="I17" s="77" t="str">
        <f>IFERROR(VLOOKUP(DESPESAS[[#This Row],[Fornecedor]],Tabela2[],2,FALSE),"")</f>
        <v/>
      </c>
      <c r="J17" s="77" t="str">
        <f>IFERROR(VLOOKUP(DESPESAS[[#This Row],[Plano de Contas]],BASE!$B$3:$F$119,4,FALSE),"")</f>
        <v>1 - CPV</v>
      </c>
      <c r="K17" s="77" t="str">
        <f>IFERROR(VLOOKUP(DESPESAS[[#This Row],[Plano de Contas]],BASE!$B$3:$H$119,5,FALSE),"")</f>
        <v>COMPRAS</v>
      </c>
      <c r="L17" s="77">
        <f>IFERROR(VLOOKUP(DESPESAS[[#This Row],[Plano de Contas]],BASE!$B$3:$H$119,6,FALSE),"")</f>
        <v>0</v>
      </c>
      <c r="M17" s="77" t="str">
        <f>VLOOKUP(DESPESAS[[#This Row],[Plano de Contas]],BASE!$B$3:$H$119,7,FALSE)</f>
        <v>MYLENA</v>
      </c>
    </row>
    <row r="18" spans="1:13" x14ac:dyDescent="0.25">
      <c r="A18" s="74">
        <v>54264</v>
      </c>
      <c r="B18" s="75" t="s">
        <v>232</v>
      </c>
      <c r="C18" s="75" t="s">
        <v>3750</v>
      </c>
      <c r="D18" s="76">
        <v>46149</v>
      </c>
      <c r="E18" s="75" t="s">
        <v>3426</v>
      </c>
      <c r="F18" s="74">
        <v>67.11</v>
      </c>
      <c r="G18" s="75" t="s">
        <v>3410</v>
      </c>
      <c r="H18" s="77" t="str">
        <f>VLOOKUP(DESPESAS[[#This Row],[Plano de Contas]],BASE!$B$3:$D$119,3,FALSE)</f>
        <v>Compras - Pés/Mecanismos/Bases</v>
      </c>
      <c r="I18" s="77" t="str">
        <f>IFERROR(VLOOKUP(DESPESAS[[#This Row],[Fornecedor]],Tabela2[],2,FALSE),"")</f>
        <v/>
      </c>
      <c r="J18" s="77" t="str">
        <f>IFERROR(VLOOKUP(DESPESAS[[#This Row],[Plano de Contas]],BASE!$B$3:$F$119,4,FALSE),"")</f>
        <v>1 - CPV</v>
      </c>
      <c r="K18" s="77" t="str">
        <f>IFERROR(VLOOKUP(DESPESAS[[#This Row],[Plano de Contas]],BASE!$B$3:$H$119,5,FALSE),"")</f>
        <v>COMPRAS</v>
      </c>
      <c r="L18" s="77">
        <f>IFERROR(VLOOKUP(DESPESAS[[#This Row],[Plano de Contas]],BASE!$B$3:$H$119,6,FALSE),"")</f>
        <v>0</v>
      </c>
      <c r="M18" s="77" t="str">
        <f>VLOOKUP(DESPESAS[[#This Row],[Plano de Contas]],BASE!$B$3:$H$119,7,FALSE)</f>
        <v>MYLENA</v>
      </c>
    </row>
    <row r="19" spans="1:13" x14ac:dyDescent="0.25">
      <c r="A19" s="74">
        <v>98700</v>
      </c>
      <c r="B19" s="75" t="s">
        <v>232</v>
      </c>
      <c r="C19" s="75" t="s">
        <v>3409</v>
      </c>
      <c r="D19" s="76">
        <v>46045</v>
      </c>
      <c r="E19" s="75" t="s">
        <v>825</v>
      </c>
      <c r="F19" s="74">
        <v>5659.96</v>
      </c>
      <c r="G19" s="75" t="s">
        <v>3405</v>
      </c>
      <c r="H19" s="77" t="str">
        <f>VLOOKUP(DESPESAS[[#This Row],[Plano de Contas]],BASE!$B$3:$D$119,3,FALSE)</f>
        <v>Impostos a recolher</v>
      </c>
      <c r="I19" s="77" t="str">
        <f>IFERROR(VLOOKUP(DESPESAS[[#This Row],[Fornecedor]],Tabela2[],2,FALSE),"")</f>
        <v/>
      </c>
      <c r="J19" s="77" t="str">
        <f>IFERROR(VLOOKUP(DESPESAS[[#This Row],[Plano de Contas]],BASE!$B$3:$F$119,4,FALSE),"")</f>
        <v>0 - TRIBUTOS</v>
      </c>
      <c r="K19" s="77" t="str">
        <f>IFERROR(VLOOKUP(DESPESAS[[#This Row],[Plano de Contas]],BASE!$B$3:$H$119,5,FALSE),"")</f>
        <v>FINANCEIRO</v>
      </c>
      <c r="L19" s="77">
        <f>IFERROR(VLOOKUP(DESPESAS[[#This Row],[Plano de Contas]],BASE!$B$3:$H$119,6,FALSE),"")</f>
        <v>0</v>
      </c>
      <c r="M19" s="77" t="str">
        <f>VLOOKUP(DESPESAS[[#This Row],[Plano de Contas]],BASE!$B$3:$H$119,7,FALSE)</f>
        <v>LETÍCIA</v>
      </c>
    </row>
    <row r="20" spans="1:13" x14ac:dyDescent="0.25">
      <c r="A20" s="74">
        <v>98701</v>
      </c>
      <c r="B20" s="75" t="s">
        <v>232</v>
      </c>
      <c r="C20" s="75" t="s">
        <v>3408</v>
      </c>
      <c r="D20" s="76">
        <v>46076</v>
      </c>
      <c r="E20" s="75" t="s">
        <v>825</v>
      </c>
      <c r="F20" s="74">
        <v>5659.96</v>
      </c>
      <c r="G20" s="75" t="s">
        <v>3405</v>
      </c>
      <c r="H20" s="77" t="str">
        <f>VLOOKUP(DESPESAS[[#This Row],[Plano de Contas]],BASE!$B$3:$D$119,3,FALSE)</f>
        <v>Impostos a recolher</v>
      </c>
      <c r="I20" s="77" t="str">
        <f>IFERROR(VLOOKUP(DESPESAS[[#This Row],[Fornecedor]],Tabela2[],2,FALSE),"")</f>
        <v/>
      </c>
      <c r="J20" s="77" t="str">
        <f>IFERROR(VLOOKUP(DESPESAS[[#This Row],[Plano de Contas]],BASE!$B$3:$F$119,4,FALSE),"")</f>
        <v>0 - TRIBUTOS</v>
      </c>
      <c r="K20" s="77" t="str">
        <f>IFERROR(VLOOKUP(DESPESAS[[#This Row],[Plano de Contas]],BASE!$B$3:$H$119,5,FALSE),"")</f>
        <v>FINANCEIRO</v>
      </c>
      <c r="L20" s="77">
        <f>IFERROR(VLOOKUP(DESPESAS[[#This Row],[Plano de Contas]],BASE!$B$3:$H$119,6,FALSE),"")</f>
        <v>0</v>
      </c>
      <c r="M20" s="77" t="str">
        <f>VLOOKUP(DESPESAS[[#This Row],[Plano de Contas]],BASE!$B$3:$H$119,7,FALSE)</f>
        <v>LETÍCIA</v>
      </c>
    </row>
    <row r="21" spans="1:13" x14ac:dyDescent="0.25">
      <c r="A21" s="74">
        <v>98702</v>
      </c>
      <c r="B21" s="75" t="s">
        <v>232</v>
      </c>
      <c r="C21" s="75" t="s">
        <v>3407</v>
      </c>
      <c r="D21" s="76">
        <v>46104</v>
      </c>
      <c r="E21" s="75" t="s">
        <v>825</v>
      </c>
      <c r="F21" s="74">
        <v>5659.96</v>
      </c>
      <c r="G21" s="75" t="s">
        <v>3405</v>
      </c>
      <c r="H21" s="77" t="str">
        <f>VLOOKUP(DESPESAS[[#This Row],[Plano de Contas]],BASE!$B$3:$D$119,3,FALSE)</f>
        <v>Impostos a recolher</v>
      </c>
      <c r="I21" s="77" t="str">
        <f>IFERROR(VLOOKUP(DESPESAS[[#This Row],[Fornecedor]],Tabela2[],2,FALSE),"")</f>
        <v/>
      </c>
      <c r="J21" s="77" t="str">
        <f>IFERROR(VLOOKUP(DESPESAS[[#This Row],[Plano de Contas]],BASE!$B$3:$F$119,4,FALSE),"")</f>
        <v>0 - TRIBUTOS</v>
      </c>
      <c r="K21" s="77" t="str">
        <f>IFERROR(VLOOKUP(DESPESAS[[#This Row],[Plano de Contas]],BASE!$B$3:$H$119,5,FALSE),"")</f>
        <v>FINANCEIRO</v>
      </c>
      <c r="L21" s="77">
        <f>IFERROR(VLOOKUP(DESPESAS[[#This Row],[Plano de Contas]],BASE!$B$3:$H$119,6,FALSE),"")</f>
        <v>0</v>
      </c>
      <c r="M21" s="77" t="str">
        <f>VLOOKUP(DESPESAS[[#This Row],[Plano de Contas]],BASE!$B$3:$H$119,7,FALSE)</f>
        <v>LETÍCIA</v>
      </c>
    </row>
    <row r="22" spans="1:13" x14ac:dyDescent="0.25">
      <c r="A22" s="74">
        <v>98703</v>
      </c>
      <c r="B22" s="75" t="s">
        <v>232</v>
      </c>
      <c r="C22" s="75" t="s">
        <v>3406</v>
      </c>
      <c r="D22" s="76">
        <v>46135</v>
      </c>
      <c r="E22" s="75" t="s">
        <v>825</v>
      </c>
      <c r="F22" s="74">
        <v>5659.96</v>
      </c>
      <c r="G22" s="75" t="s">
        <v>3405</v>
      </c>
      <c r="H22" s="77" t="str">
        <f>VLOOKUP(DESPESAS[[#This Row],[Plano de Contas]],BASE!$B$3:$D$119,3,FALSE)</f>
        <v>Impostos a recolher</v>
      </c>
      <c r="I22" s="77" t="str">
        <f>IFERROR(VLOOKUP(DESPESAS[[#This Row],[Fornecedor]],Tabela2[],2,FALSE),"")</f>
        <v/>
      </c>
      <c r="J22" s="77" t="str">
        <f>IFERROR(VLOOKUP(DESPESAS[[#This Row],[Plano de Contas]],BASE!$B$3:$F$119,4,FALSE),"")</f>
        <v>0 - TRIBUTOS</v>
      </c>
      <c r="K22" s="77" t="str">
        <f>IFERROR(VLOOKUP(DESPESAS[[#This Row],[Plano de Contas]],BASE!$B$3:$H$119,5,FALSE),"")</f>
        <v>FINANCEIRO</v>
      </c>
      <c r="L22" s="77">
        <f>IFERROR(VLOOKUP(DESPESAS[[#This Row],[Plano de Contas]],BASE!$B$3:$H$119,6,FALSE),"")</f>
        <v>0</v>
      </c>
      <c r="M22" s="77" t="str">
        <f>VLOOKUP(DESPESAS[[#This Row],[Plano de Contas]],BASE!$B$3:$H$119,7,FALSE)</f>
        <v>LETÍCIA</v>
      </c>
    </row>
    <row r="23" spans="1:13" x14ac:dyDescent="0.25">
      <c r="A23" s="74">
        <v>129502</v>
      </c>
      <c r="B23" s="75" t="s">
        <v>232</v>
      </c>
      <c r="C23" s="75" t="s">
        <v>3404</v>
      </c>
      <c r="D23" s="76">
        <v>46032</v>
      </c>
      <c r="E23" s="75" t="s">
        <v>230</v>
      </c>
      <c r="F23" s="74">
        <v>1451</v>
      </c>
      <c r="G23" s="75" t="s">
        <v>3083</v>
      </c>
      <c r="H23" s="77" t="str">
        <f>VLOOKUP(DESPESAS[[#This Row],[Plano de Contas]],BASE!$B$3:$D$119,3,FALSE)</f>
        <v>Consórcios</v>
      </c>
      <c r="I23" s="77" t="str">
        <f>IFERROR(VLOOKUP(DESPESAS[[#This Row],[Fornecedor]],Tabela2[],2,FALSE),"")</f>
        <v/>
      </c>
      <c r="J23" s="77" t="str">
        <f>IFERROR(VLOOKUP(DESPESAS[[#This Row],[Plano de Contas]],BASE!$B$3:$F$119,4,FALSE),"")</f>
        <v>9 - INVESTIMENTOS</v>
      </c>
      <c r="K23" s="77" t="str">
        <f>IFERROR(VLOOKUP(DESPESAS[[#This Row],[Plano de Contas]],BASE!$B$3:$H$119,5,FALSE),"")</f>
        <v>FINANCEIRO</v>
      </c>
      <c r="L23" s="77">
        <f>IFERROR(VLOOKUP(DESPESAS[[#This Row],[Plano de Contas]],BASE!$B$3:$H$119,6,FALSE),"")</f>
        <v>0</v>
      </c>
      <c r="M23" s="77" t="str">
        <f>VLOOKUP(DESPESAS[[#This Row],[Plano de Contas]],BASE!$B$3:$H$119,7,FALSE)</f>
        <v>FÁBIO</v>
      </c>
    </row>
    <row r="24" spans="1:13" x14ac:dyDescent="0.25">
      <c r="A24" s="74">
        <v>129503</v>
      </c>
      <c r="B24" s="75" t="s">
        <v>232</v>
      </c>
      <c r="C24" s="75" t="s">
        <v>3403</v>
      </c>
      <c r="D24" s="76">
        <v>46063</v>
      </c>
      <c r="E24" s="75" t="s">
        <v>230</v>
      </c>
      <c r="F24" s="74">
        <v>1451</v>
      </c>
      <c r="G24" s="75" t="s">
        <v>3083</v>
      </c>
      <c r="H24" s="77" t="str">
        <f>VLOOKUP(DESPESAS[[#This Row],[Plano de Contas]],BASE!$B$3:$D$119,3,FALSE)</f>
        <v>Consórcios</v>
      </c>
      <c r="I24" s="77" t="str">
        <f>IFERROR(VLOOKUP(DESPESAS[[#This Row],[Fornecedor]],Tabela2[],2,FALSE),"")</f>
        <v/>
      </c>
      <c r="J24" s="77" t="str">
        <f>IFERROR(VLOOKUP(DESPESAS[[#This Row],[Plano de Contas]],BASE!$B$3:$F$119,4,FALSE),"")</f>
        <v>9 - INVESTIMENTOS</v>
      </c>
      <c r="K24" s="77" t="str">
        <f>IFERROR(VLOOKUP(DESPESAS[[#This Row],[Plano de Contas]],BASE!$B$3:$H$119,5,FALSE),"")</f>
        <v>FINANCEIRO</v>
      </c>
      <c r="L24" s="77">
        <f>IFERROR(VLOOKUP(DESPESAS[[#This Row],[Plano de Contas]],BASE!$B$3:$H$119,6,FALSE),"")</f>
        <v>0</v>
      </c>
      <c r="M24" s="77" t="str">
        <f>VLOOKUP(DESPESAS[[#This Row],[Plano de Contas]],BASE!$B$3:$H$119,7,FALSE)</f>
        <v>FÁBIO</v>
      </c>
    </row>
    <row r="25" spans="1:13" x14ac:dyDescent="0.25">
      <c r="A25" s="74">
        <v>129504</v>
      </c>
      <c r="B25" s="75" t="s">
        <v>232</v>
      </c>
      <c r="C25" s="75" t="s">
        <v>3402</v>
      </c>
      <c r="D25" s="76">
        <v>46091</v>
      </c>
      <c r="E25" s="75" t="s">
        <v>230</v>
      </c>
      <c r="F25" s="74">
        <v>1451</v>
      </c>
      <c r="G25" s="75" t="s">
        <v>3083</v>
      </c>
      <c r="H25" s="77" t="str">
        <f>VLOOKUP(DESPESAS[[#This Row],[Plano de Contas]],BASE!$B$3:$D$119,3,FALSE)</f>
        <v>Consórcios</v>
      </c>
      <c r="I25" s="77" t="str">
        <f>IFERROR(VLOOKUP(DESPESAS[[#This Row],[Fornecedor]],Tabela2[],2,FALSE),"")</f>
        <v/>
      </c>
      <c r="J25" s="77" t="str">
        <f>IFERROR(VLOOKUP(DESPESAS[[#This Row],[Plano de Contas]],BASE!$B$3:$F$119,4,FALSE),"")</f>
        <v>9 - INVESTIMENTOS</v>
      </c>
      <c r="K25" s="77" t="str">
        <f>IFERROR(VLOOKUP(DESPESAS[[#This Row],[Plano de Contas]],BASE!$B$3:$H$119,5,FALSE),"")</f>
        <v>FINANCEIRO</v>
      </c>
      <c r="L25" s="77">
        <f>IFERROR(VLOOKUP(DESPESAS[[#This Row],[Plano de Contas]],BASE!$B$3:$H$119,6,FALSE),"")</f>
        <v>0</v>
      </c>
      <c r="M25" s="77" t="str">
        <f>VLOOKUP(DESPESAS[[#This Row],[Plano de Contas]],BASE!$B$3:$H$119,7,FALSE)</f>
        <v>FÁBIO</v>
      </c>
    </row>
    <row r="26" spans="1:13" x14ac:dyDescent="0.25">
      <c r="A26" s="74">
        <v>129505</v>
      </c>
      <c r="B26" s="75" t="s">
        <v>232</v>
      </c>
      <c r="C26" s="75" t="s">
        <v>3401</v>
      </c>
      <c r="D26" s="76">
        <v>46122</v>
      </c>
      <c r="E26" s="75" t="s">
        <v>230</v>
      </c>
      <c r="F26" s="74">
        <v>1451</v>
      </c>
      <c r="G26" s="75" t="s">
        <v>3083</v>
      </c>
      <c r="H26" s="77" t="str">
        <f>VLOOKUP(DESPESAS[[#This Row],[Plano de Contas]],BASE!$B$3:$D$119,3,FALSE)</f>
        <v>Consórcios</v>
      </c>
      <c r="I26" s="77" t="str">
        <f>IFERROR(VLOOKUP(DESPESAS[[#This Row],[Fornecedor]],Tabela2[],2,FALSE),"")</f>
        <v/>
      </c>
      <c r="J26" s="77" t="str">
        <f>IFERROR(VLOOKUP(DESPESAS[[#This Row],[Plano de Contas]],BASE!$B$3:$F$119,4,FALSE),"")</f>
        <v>9 - INVESTIMENTOS</v>
      </c>
      <c r="K26" s="77" t="str">
        <f>IFERROR(VLOOKUP(DESPESAS[[#This Row],[Plano de Contas]],BASE!$B$3:$H$119,5,FALSE),"")</f>
        <v>FINANCEIRO</v>
      </c>
      <c r="L26" s="77">
        <f>IFERROR(VLOOKUP(DESPESAS[[#This Row],[Plano de Contas]],BASE!$B$3:$H$119,6,FALSE),"")</f>
        <v>0</v>
      </c>
      <c r="M26" s="77" t="str">
        <f>VLOOKUP(DESPESAS[[#This Row],[Plano de Contas]],BASE!$B$3:$H$119,7,FALSE)</f>
        <v>FÁBIO</v>
      </c>
    </row>
    <row r="27" spans="1:13" x14ac:dyDescent="0.25">
      <c r="A27" s="74">
        <v>129506</v>
      </c>
      <c r="B27" s="75" t="s">
        <v>232</v>
      </c>
      <c r="C27" s="75" t="s">
        <v>3751</v>
      </c>
      <c r="D27" s="76">
        <v>46152</v>
      </c>
      <c r="E27" s="75" t="s">
        <v>230</v>
      </c>
      <c r="F27" s="74">
        <v>1451</v>
      </c>
      <c r="G27" s="75" t="s">
        <v>3083</v>
      </c>
      <c r="H27" s="77" t="str">
        <f>VLOOKUP(DESPESAS[[#This Row],[Plano de Contas]],BASE!$B$3:$D$119,3,FALSE)</f>
        <v>Consórcios</v>
      </c>
      <c r="I27" s="77" t="str">
        <f>IFERROR(VLOOKUP(DESPESAS[[#This Row],[Fornecedor]],Tabela2[],2,FALSE),"")</f>
        <v/>
      </c>
      <c r="J27" s="77" t="str">
        <f>IFERROR(VLOOKUP(DESPESAS[[#This Row],[Plano de Contas]],BASE!$B$3:$F$119,4,FALSE),"")</f>
        <v>9 - INVESTIMENTOS</v>
      </c>
      <c r="K27" s="77" t="str">
        <f>IFERROR(VLOOKUP(DESPESAS[[#This Row],[Plano de Contas]],BASE!$B$3:$H$119,5,FALSE),"")</f>
        <v>FINANCEIRO</v>
      </c>
      <c r="L27" s="77">
        <f>IFERROR(VLOOKUP(DESPESAS[[#This Row],[Plano de Contas]],BASE!$B$3:$H$119,6,FALSE),"")</f>
        <v>0</v>
      </c>
      <c r="M27" s="77" t="str">
        <f>VLOOKUP(DESPESAS[[#This Row],[Plano de Contas]],BASE!$B$3:$H$119,7,FALSE)</f>
        <v>FÁBIO</v>
      </c>
    </row>
    <row r="28" spans="1:13" x14ac:dyDescent="0.25">
      <c r="A28" s="74">
        <v>183175</v>
      </c>
      <c r="B28" s="75" t="s">
        <v>281</v>
      </c>
      <c r="C28" s="75" t="s">
        <v>3400</v>
      </c>
      <c r="D28" s="76">
        <v>46027</v>
      </c>
      <c r="E28" s="75" t="s">
        <v>1583</v>
      </c>
      <c r="F28" s="74">
        <v>669</v>
      </c>
      <c r="G28" s="75" t="s">
        <v>1582</v>
      </c>
      <c r="H28" s="77" t="str">
        <f>VLOOKUP(DESPESAS[[#This Row],[Plano de Contas]],BASE!$B$3:$D$119,3,FALSE)</f>
        <v>Contabilidade</v>
      </c>
      <c r="I28" s="77" t="str">
        <f>IFERROR(VLOOKUP(DESPESAS[[#This Row],[Fornecedor]],Tabela2[],2,FALSE),"")</f>
        <v/>
      </c>
      <c r="J28" s="77" t="str">
        <f>IFERROR(VLOOKUP(DESPESAS[[#This Row],[Plano de Contas]],BASE!$B$3:$F$119,4,FALSE),"")</f>
        <v>7 - SERVIÇOS DE TERCEIROS</v>
      </c>
      <c r="K28" s="77" t="str">
        <f>IFERROR(VLOOKUP(DESPESAS[[#This Row],[Plano de Contas]],BASE!$B$3:$H$119,5,FALSE),"")</f>
        <v>FINANCEIRO</v>
      </c>
      <c r="L28" s="77">
        <f>IFERROR(VLOOKUP(DESPESAS[[#This Row],[Plano de Contas]],BASE!$B$3:$H$119,6,FALSE),"")</f>
        <v>0</v>
      </c>
      <c r="M28" s="77" t="str">
        <f>VLOOKUP(DESPESAS[[#This Row],[Plano de Contas]],BASE!$B$3:$H$119,7,FALSE)</f>
        <v>LETÍCIA</v>
      </c>
    </row>
    <row r="29" spans="1:13" x14ac:dyDescent="0.25">
      <c r="A29" s="74">
        <v>185518</v>
      </c>
      <c r="B29" s="75" t="s">
        <v>221</v>
      </c>
      <c r="C29" s="75" t="s">
        <v>3399</v>
      </c>
      <c r="D29" s="76">
        <v>46032</v>
      </c>
      <c r="E29" s="75" t="s">
        <v>3000</v>
      </c>
      <c r="F29" s="74">
        <v>314.31</v>
      </c>
      <c r="G29" s="75" t="s">
        <v>2999</v>
      </c>
      <c r="H29" s="77" t="str">
        <f>VLOOKUP(DESPESAS[[#This Row],[Plano de Contas]],BASE!$B$3:$D$119,3,FALSE)</f>
        <v>Seguros Veicular</v>
      </c>
      <c r="I29" s="77" t="str">
        <f>IFERROR(VLOOKUP(DESPESAS[[#This Row],[Fornecedor]],Tabela2[],2,FALSE),"")</f>
        <v/>
      </c>
      <c r="J29" s="77" t="str">
        <f>IFERROR(VLOOKUP(DESPESAS[[#This Row],[Plano de Contas]],BASE!$B$3:$F$119,4,FALSE),"")</f>
        <v>5 - DESPESAS ADMINISTRATIVAS</v>
      </c>
      <c r="K29" s="77" t="str">
        <f>IFERROR(VLOOKUP(DESPESAS[[#This Row],[Plano de Contas]],BASE!$B$3:$H$119,5,FALSE),"")</f>
        <v>LOGÍSTICA</v>
      </c>
      <c r="L29" s="77">
        <f>IFERROR(VLOOKUP(DESPESAS[[#This Row],[Plano de Contas]],BASE!$B$3:$H$119,6,FALSE),"")</f>
        <v>0</v>
      </c>
      <c r="M29" s="77" t="str">
        <f>VLOOKUP(DESPESAS[[#This Row],[Plano de Contas]],BASE!$B$3:$H$119,7,FALSE)</f>
        <v>MYLENA</v>
      </c>
    </row>
    <row r="30" spans="1:13" x14ac:dyDescent="0.25">
      <c r="A30" s="74">
        <v>185519</v>
      </c>
      <c r="B30" s="75" t="s">
        <v>221</v>
      </c>
      <c r="C30" s="75" t="s">
        <v>3398</v>
      </c>
      <c r="D30" s="76">
        <v>46063</v>
      </c>
      <c r="E30" s="75" t="s">
        <v>3000</v>
      </c>
      <c r="F30" s="74">
        <v>314.31</v>
      </c>
      <c r="G30" s="75" t="s">
        <v>2999</v>
      </c>
      <c r="H30" s="77" t="str">
        <f>VLOOKUP(DESPESAS[[#This Row],[Plano de Contas]],BASE!$B$3:$D$119,3,FALSE)</f>
        <v>Seguros Veicular</v>
      </c>
      <c r="I30" s="77" t="str">
        <f>IFERROR(VLOOKUP(DESPESAS[[#This Row],[Fornecedor]],Tabela2[],2,FALSE),"")</f>
        <v/>
      </c>
      <c r="J30" s="77" t="str">
        <f>IFERROR(VLOOKUP(DESPESAS[[#This Row],[Plano de Contas]],BASE!$B$3:$F$119,4,FALSE),"")</f>
        <v>5 - DESPESAS ADMINISTRATIVAS</v>
      </c>
      <c r="K30" s="77" t="str">
        <f>IFERROR(VLOOKUP(DESPESAS[[#This Row],[Plano de Contas]],BASE!$B$3:$H$119,5,FALSE),"")</f>
        <v>LOGÍSTICA</v>
      </c>
      <c r="L30" s="77">
        <f>IFERROR(VLOOKUP(DESPESAS[[#This Row],[Plano de Contas]],BASE!$B$3:$H$119,6,FALSE),"")</f>
        <v>0</v>
      </c>
      <c r="M30" s="77" t="str">
        <f>VLOOKUP(DESPESAS[[#This Row],[Plano de Contas]],BASE!$B$3:$H$119,7,FALSE)</f>
        <v>MYLENA</v>
      </c>
    </row>
    <row r="31" spans="1:13" x14ac:dyDescent="0.25">
      <c r="A31" s="74">
        <v>185520</v>
      </c>
      <c r="B31" s="75" t="s">
        <v>221</v>
      </c>
      <c r="C31" s="75" t="s">
        <v>3397</v>
      </c>
      <c r="D31" s="76">
        <v>46091</v>
      </c>
      <c r="E31" s="75" t="s">
        <v>3000</v>
      </c>
      <c r="F31" s="74">
        <v>314.31</v>
      </c>
      <c r="G31" s="75" t="s">
        <v>2999</v>
      </c>
      <c r="H31" s="77" t="str">
        <f>VLOOKUP(DESPESAS[[#This Row],[Plano de Contas]],BASE!$B$3:$D$119,3,FALSE)</f>
        <v>Seguros Veicular</v>
      </c>
      <c r="I31" s="77" t="str">
        <f>IFERROR(VLOOKUP(DESPESAS[[#This Row],[Fornecedor]],Tabela2[],2,FALSE),"")</f>
        <v/>
      </c>
      <c r="J31" s="77" t="str">
        <f>IFERROR(VLOOKUP(DESPESAS[[#This Row],[Plano de Contas]],BASE!$B$3:$F$119,4,FALSE),"")</f>
        <v>5 - DESPESAS ADMINISTRATIVAS</v>
      </c>
      <c r="K31" s="77" t="str">
        <f>IFERROR(VLOOKUP(DESPESAS[[#This Row],[Plano de Contas]],BASE!$B$3:$H$119,5,FALSE),"")</f>
        <v>LOGÍSTICA</v>
      </c>
      <c r="L31" s="77">
        <f>IFERROR(VLOOKUP(DESPESAS[[#This Row],[Plano de Contas]],BASE!$B$3:$H$119,6,FALSE),"")</f>
        <v>0</v>
      </c>
      <c r="M31" s="77" t="str">
        <f>VLOOKUP(DESPESAS[[#This Row],[Plano de Contas]],BASE!$B$3:$H$119,7,FALSE)</f>
        <v>MYLENA</v>
      </c>
    </row>
    <row r="32" spans="1:13" x14ac:dyDescent="0.25">
      <c r="A32" s="74">
        <v>186322</v>
      </c>
      <c r="B32" s="75" t="s">
        <v>221</v>
      </c>
      <c r="C32" s="75" t="s">
        <v>3396</v>
      </c>
      <c r="D32" s="76">
        <v>46032</v>
      </c>
      <c r="E32" s="75" t="s">
        <v>1583</v>
      </c>
      <c r="F32" s="74">
        <v>152</v>
      </c>
      <c r="G32" s="75" t="s">
        <v>1582</v>
      </c>
      <c r="H32" s="77" t="str">
        <f>VLOOKUP(DESPESAS[[#This Row],[Plano de Contas]],BASE!$B$3:$D$119,3,FALSE)</f>
        <v>Contabilidade</v>
      </c>
      <c r="I32" s="77" t="str">
        <f>IFERROR(VLOOKUP(DESPESAS[[#This Row],[Fornecedor]],Tabela2[],2,FALSE),"")</f>
        <v/>
      </c>
      <c r="J32" s="77" t="str">
        <f>IFERROR(VLOOKUP(DESPESAS[[#This Row],[Plano de Contas]],BASE!$B$3:$F$119,4,FALSE),"")</f>
        <v>7 - SERVIÇOS DE TERCEIROS</v>
      </c>
      <c r="K32" s="77" t="str">
        <f>IFERROR(VLOOKUP(DESPESAS[[#This Row],[Plano de Contas]],BASE!$B$3:$H$119,5,FALSE),"")</f>
        <v>FINANCEIRO</v>
      </c>
      <c r="L32" s="77">
        <f>IFERROR(VLOOKUP(DESPESAS[[#This Row],[Plano de Contas]],BASE!$B$3:$H$119,6,FALSE),"")</f>
        <v>0</v>
      </c>
      <c r="M32" s="77" t="str">
        <f>VLOOKUP(DESPESAS[[#This Row],[Plano de Contas]],BASE!$B$3:$H$119,7,FALSE)</f>
        <v>LETÍCIA</v>
      </c>
    </row>
    <row r="33" spans="1:13" x14ac:dyDescent="0.25">
      <c r="A33" s="74">
        <v>186501</v>
      </c>
      <c r="B33" s="75" t="s">
        <v>232</v>
      </c>
      <c r="C33" s="75" t="s">
        <v>3395</v>
      </c>
      <c r="D33" s="76">
        <v>46037</v>
      </c>
      <c r="E33" s="75" t="s">
        <v>375</v>
      </c>
      <c r="F33" s="74">
        <v>4778.72</v>
      </c>
      <c r="G33" s="75" t="s">
        <v>374</v>
      </c>
      <c r="H33" s="77" t="str">
        <f>VLOOKUP(DESPESAS[[#This Row],[Plano de Contas]],BASE!$B$3:$D$119,3,FALSE)</f>
        <v>Consultoria Empresarial</v>
      </c>
      <c r="I33" s="77" t="str">
        <f>IFERROR(VLOOKUP(DESPESAS[[#This Row],[Fornecedor]],Tabela2[],2,FALSE),"")</f>
        <v/>
      </c>
      <c r="J33" s="77" t="str">
        <f>IFERROR(VLOOKUP(DESPESAS[[#This Row],[Plano de Contas]],BASE!$B$3:$F$119,4,FALSE),"")</f>
        <v>7 - SERVIÇOS DE TERCEIROS</v>
      </c>
      <c r="K33" s="77" t="str">
        <f>IFERROR(VLOOKUP(DESPESAS[[#This Row],[Plano de Contas]],BASE!$B$3:$H$119,5,FALSE),"")</f>
        <v>FINANCEIRO</v>
      </c>
      <c r="L33" s="77">
        <f>IFERROR(VLOOKUP(DESPESAS[[#This Row],[Plano de Contas]],BASE!$B$3:$H$119,6,FALSE),"")</f>
        <v>0</v>
      </c>
      <c r="M33" s="77" t="str">
        <f>VLOOKUP(DESPESAS[[#This Row],[Plano de Contas]],BASE!$B$3:$H$119,7,FALSE)</f>
        <v>LETÍCIA</v>
      </c>
    </row>
    <row r="34" spans="1:13" x14ac:dyDescent="0.25">
      <c r="A34" s="74">
        <v>186763</v>
      </c>
      <c r="B34" s="75" t="s">
        <v>221</v>
      </c>
      <c r="C34" s="75" t="s">
        <v>3394</v>
      </c>
      <c r="D34" s="76">
        <v>46053</v>
      </c>
      <c r="E34" s="75" t="s">
        <v>918</v>
      </c>
      <c r="F34" s="74">
        <v>3820.7</v>
      </c>
      <c r="G34" s="75" t="s">
        <v>430</v>
      </c>
      <c r="H34" s="77" t="str">
        <f>VLOOKUP(DESPESAS[[#This Row],[Plano de Contas]],BASE!$B$3:$D$119,3,FALSE)</f>
        <v>Salarios e Ordenados MOD</v>
      </c>
      <c r="I34" s="77" t="str">
        <f>IFERROR(VLOOKUP(DESPESAS[[#This Row],[Fornecedor]],Tabela2[],2,FALSE),"")</f>
        <v/>
      </c>
      <c r="J34" s="77" t="str">
        <f>IFERROR(VLOOKUP(DESPESAS[[#This Row],[Plano de Contas]],BASE!$B$3:$F$119,4,FALSE),"")</f>
        <v>2 - CUSTOS DIRETOS</v>
      </c>
      <c r="K34" s="77" t="str">
        <f>IFERROR(VLOOKUP(DESPESAS[[#This Row],[Plano de Contas]],BASE!$B$3:$H$119,5,FALSE),"")</f>
        <v>DH</v>
      </c>
      <c r="L34" s="77" t="str">
        <f>IFERROR(VLOOKUP(DESPESAS[[#This Row],[Plano de Contas]],BASE!$B$3:$H$119,6,FALSE),"")</f>
        <v>CUSTO MÃO DE OBRA DIRETA</v>
      </c>
      <c r="M34" s="77" t="str">
        <f>VLOOKUP(DESPESAS[[#This Row],[Plano de Contas]],BASE!$B$3:$H$119,7,FALSE)</f>
        <v>RAFAEL</v>
      </c>
    </row>
    <row r="35" spans="1:13" x14ac:dyDescent="0.25">
      <c r="A35" s="74">
        <v>186764</v>
      </c>
      <c r="B35" s="75" t="s">
        <v>221</v>
      </c>
      <c r="C35" s="75" t="s">
        <v>3393</v>
      </c>
      <c r="D35" s="76">
        <v>46059</v>
      </c>
      <c r="E35" s="75" t="s">
        <v>918</v>
      </c>
      <c r="F35" s="74">
        <v>3820.7</v>
      </c>
      <c r="G35" s="75" t="s">
        <v>430</v>
      </c>
      <c r="H35" s="77" t="str">
        <f>VLOOKUP(DESPESAS[[#This Row],[Plano de Contas]],BASE!$B$3:$D$119,3,FALSE)</f>
        <v>Salarios e Ordenados MOD</v>
      </c>
      <c r="I35" s="77" t="str">
        <f>IFERROR(VLOOKUP(DESPESAS[[#This Row],[Fornecedor]],Tabela2[],2,FALSE),"")</f>
        <v/>
      </c>
      <c r="J35" s="77" t="str">
        <f>IFERROR(VLOOKUP(DESPESAS[[#This Row],[Plano de Contas]],BASE!$B$3:$F$119,4,FALSE),"")</f>
        <v>2 - CUSTOS DIRETOS</v>
      </c>
      <c r="K35" s="77" t="str">
        <f>IFERROR(VLOOKUP(DESPESAS[[#This Row],[Plano de Contas]],BASE!$B$3:$H$119,5,FALSE),"")</f>
        <v>DH</v>
      </c>
      <c r="L35" s="77" t="str">
        <f>IFERROR(VLOOKUP(DESPESAS[[#This Row],[Plano de Contas]],BASE!$B$3:$H$119,6,FALSE),"")</f>
        <v>CUSTO MÃO DE OBRA DIRETA</v>
      </c>
      <c r="M35" s="77" t="str">
        <f>VLOOKUP(DESPESAS[[#This Row],[Plano de Contas]],BASE!$B$3:$H$119,7,FALSE)</f>
        <v>RAFAEL</v>
      </c>
    </row>
    <row r="36" spans="1:13" x14ac:dyDescent="0.25">
      <c r="A36" s="74">
        <v>186765</v>
      </c>
      <c r="B36" s="75" t="s">
        <v>221</v>
      </c>
      <c r="C36" s="75" t="s">
        <v>3392</v>
      </c>
      <c r="D36" s="76">
        <v>46088</v>
      </c>
      <c r="E36" s="75" t="s">
        <v>918</v>
      </c>
      <c r="F36" s="74">
        <v>3820.7</v>
      </c>
      <c r="G36" s="75" t="s">
        <v>430</v>
      </c>
      <c r="H36" s="77" t="str">
        <f>VLOOKUP(DESPESAS[[#This Row],[Plano de Contas]],BASE!$B$3:$D$119,3,FALSE)</f>
        <v>Salarios e Ordenados MOD</v>
      </c>
      <c r="I36" s="77" t="str">
        <f>IFERROR(VLOOKUP(DESPESAS[[#This Row],[Fornecedor]],Tabela2[],2,FALSE),"")</f>
        <v/>
      </c>
      <c r="J36" s="77" t="str">
        <f>IFERROR(VLOOKUP(DESPESAS[[#This Row],[Plano de Contas]],BASE!$B$3:$F$119,4,FALSE),"")</f>
        <v>2 - CUSTOS DIRETOS</v>
      </c>
      <c r="K36" s="77" t="str">
        <f>IFERROR(VLOOKUP(DESPESAS[[#This Row],[Plano de Contas]],BASE!$B$3:$H$119,5,FALSE),"")</f>
        <v>DH</v>
      </c>
      <c r="L36" s="77" t="str">
        <f>IFERROR(VLOOKUP(DESPESAS[[#This Row],[Plano de Contas]],BASE!$B$3:$H$119,6,FALSE),"")</f>
        <v>CUSTO MÃO DE OBRA DIRETA</v>
      </c>
      <c r="M36" s="77" t="str">
        <f>VLOOKUP(DESPESAS[[#This Row],[Plano de Contas]],BASE!$B$3:$H$119,7,FALSE)</f>
        <v>RAFAEL</v>
      </c>
    </row>
    <row r="37" spans="1:13" x14ac:dyDescent="0.25">
      <c r="A37" s="74">
        <v>186766</v>
      </c>
      <c r="B37" s="75" t="s">
        <v>221</v>
      </c>
      <c r="C37" s="75" t="s">
        <v>3391</v>
      </c>
      <c r="D37" s="76">
        <v>46119</v>
      </c>
      <c r="E37" s="75" t="s">
        <v>918</v>
      </c>
      <c r="F37" s="74">
        <v>3820.7</v>
      </c>
      <c r="G37" s="75" t="s">
        <v>430</v>
      </c>
      <c r="H37" s="77" t="str">
        <f>VLOOKUP(DESPESAS[[#This Row],[Plano de Contas]],BASE!$B$3:$D$119,3,FALSE)</f>
        <v>Salarios e Ordenados MOD</v>
      </c>
      <c r="I37" s="77" t="str">
        <f>IFERROR(VLOOKUP(DESPESAS[[#This Row],[Fornecedor]],Tabela2[],2,FALSE),"")</f>
        <v/>
      </c>
      <c r="J37" s="77" t="str">
        <f>IFERROR(VLOOKUP(DESPESAS[[#This Row],[Plano de Contas]],BASE!$B$3:$F$119,4,FALSE),"")</f>
        <v>2 - CUSTOS DIRETOS</v>
      </c>
      <c r="K37" s="77" t="str">
        <f>IFERROR(VLOOKUP(DESPESAS[[#This Row],[Plano de Contas]],BASE!$B$3:$H$119,5,FALSE),"")</f>
        <v>DH</v>
      </c>
      <c r="L37" s="77" t="str">
        <f>IFERROR(VLOOKUP(DESPESAS[[#This Row],[Plano de Contas]],BASE!$B$3:$H$119,6,FALSE),"")</f>
        <v>CUSTO MÃO DE OBRA DIRETA</v>
      </c>
      <c r="M37" s="77" t="str">
        <f>VLOOKUP(DESPESAS[[#This Row],[Plano de Contas]],BASE!$B$3:$H$119,7,FALSE)</f>
        <v>RAFAEL</v>
      </c>
    </row>
    <row r="38" spans="1:13" x14ac:dyDescent="0.25">
      <c r="A38" s="74">
        <v>186767</v>
      </c>
      <c r="B38" s="75" t="s">
        <v>221</v>
      </c>
      <c r="C38" s="75" t="s">
        <v>3752</v>
      </c>
      <c r="D38" s="76">
        <v>46147</v>
      </c>
      <c r="E38" s="75" t="s">
        <v>918</v>
      </c>
      <c r="F38" s="74">
        <v>3820.7</v>
      </c>
      <c r="G38" s="75" t="s">
        <v>430</v>
      </c>
      <c r="H38" s="77" t="str">
        <f>VLOOKUP(DESPESAS[[#This Row],[Plano de Contas]],BASE!$B$3:$D$119,3,FALSE)</f>
        <v>Salarios e Ordenados MOD</v>
      </c>
      <c r="I38" s="77" t="str">
        <f>IFERROR(VLOOKUP(DESPESAS[[#This Row],[Fornecedor]],Tabela2[],2,FALSE),"")</f>
        <v/>
      </c>
      <c r="J38" s="77" t="str">
        <f>IFERROR(VLOOKUP(DESPESAS[[#This Row],[Plano de Contas]],BASE!$B$3:$F$119,4,FALSE),"")</f>
        <v>2 - CUSTOS DIRETOS</v>
      </c>
      <c r="K38" s="77" t="str">
        <f>IFERROR(VLOOKUP(DESPESAS[[#This Row],[Plano de Contas]],BASE!$B$3:$H$119,5,FALSE),"")</f>
        <v>DH</v>
      </c>
      <c r="L38" s="77" t="str">
        <f>IFERROR(VLOOKUP(DESPESAS[[#This Row],[Plano de Contas]],BASE!$B$3:$H$119,6,FALSE),"")</f>
        <v>CUSTO MÃO DE OBRA DIRETA</v>
      </c>
      <c r="M38" s="77" t="str">
        <f>VLOOKUP(DESPESAS[[#This Row],[Plano de Contas]],BASE!$B$3:$H$119,7,FALSE)</f>
        <v>RAFAEL</v>
      </c>
    </row>
    <row r="39" spans="1:13" x14ac:dyDescent="0.25">
      <c r="A39" s="74">
        <v>187315</v>
      </c>
      <c r="B39" s="75" t="s">
        <v>232</v>
      </c>
      <c r="C39" s="75" t="s">
        <v>3390</v>
      </c>
      <c r="D39" s="76">
        <v>46040</v>
      </c>
      <c r="E39" s="75" t="s">
        <v>2063</v>
      </c>
      <c r="F39" s="74">
        <v>1069.17</v>
      </c>
      <c r="G39" s="75" t="s">
        <v>2062</v>
      </c>
      <c r="H39" s="77" t="str">
        <f>VLOOKUP(DESPESAS[[#This Row],[Plano de Contas]],BASE!$B$3:$D$119,3,FALSE)</f>
        <v>Telefone e Internet</v>
      </c>
      <c r="I39" s="77" t="str">
        <f>IFERROR(VLOOKUP(DESPESAS[[#This Row],[Fornecedor]],Tabela2[],2,FALSE),"")</f>
        <v/>
      </c>
      <c r="J39" s="77" t="str">
        <f>IFERROR(VLOOKUP(DESPESAS[[#This Row],[Plano de Contas]],BASE!$B$3:$F$119,4,FALSE),"")</f>
        <v>5 - DESPESAS ADMINISTRATIVAS</v>
      </c>
      <c r="K39" s="77" t="str">
        <f>IFERROR(VLOOKUP(DESPESAS[[#This Row],[Plano de Contas]],BASE!$B$3:$H$119,5,FALSE),"")</f>
        <v>MANUTENÇÃO / TI</v>
      </c>
      <c r="L39" s="77">
        <f>IFERROR(VLOOKUP(DESPESAS[[#This Row],[Plano de Contas]],BASE!$B$3:$H$119,6,FALSE),"")</f>
        <v>0</v>
      </c>
      <c r="M39" s="77" t="str">
        <f>VLOOKUP(DESPESAS[[#This Row],[Plano de Contas]],BASE!$B$3:$H$119,7,FALSE)</f>
        <v>LETÍCIA</v>
      </c>
    </row>
    <row r="40" spans="1:13" x14ac:dyDescent="0.25">
      <c r="A40" s="74">
        <v>187390</v>
      </c>
      <c r="B40" s="75" t="s">
        <v>232</v>
      </c>
      <c r="C40" s="75" t="s">
        <v>3389</v>
      </c>
      <c r="D40" s="76">
        <v>46045</v>
      </c>
      <c r="E40" s="75" t="s">
        <v>3386</v>
      </c>
      <c r="F40" s="74">
        <v>113.14</v>
      </c>
      <c r="G40" s="75" t="s">
        <v>588</v>
      </c>
      <c r="H40" s="77" t="str">
        <f>VLOOKUP(DESPESAS[[#This Row],[Plano de Contas]],BASE!$B$3:$D$119,3,FALSE)</f>
        <v>Maquinas e Equipamentos</v>
      </c>
      <c r="I40" s="77" t="str">
        <f>IFERROR(VLOOKUP(DESPESAS[[#This Row],[Fornecedor]],Tabela2[],2,FALSE),"")</f>
        <v/>
      </c>
      <c r="J40" s="77" t="str">
        <f>IFERROR(VLOOKUP(DESPESAS[[#This Row],[Plano de Contas]],BASE!$B$3:$F$119,4,FALSE),"")</f>
        <v>9 - INVESTIMENTOS</v>
      </c>
      <c r="K40" s="77" t="str">
        <f>IFERROR(VLOOKUP(DESPESAS[[#This Row],[Plano de Contas]],BASE!$B$3:$H$119,5,FALSE),"")</f>
        <v>MANUTENÇÃO / TI</v>
      </c>
      <c r="L40" s="77">
        <f>IFERROR(VLOOKUP(DESPESAS[[#This Row],[Plano de Contas]],BASE!$B$3:$H$119,6,FALSE),"")</f>
        <v>0</v>
      </c>
      <c r="M40" s="77" t="str">
        <f>VLOOKUP(DESPESAS[[#This Row],[Plano de Contas]],BASE!$B$3:$H$119,7,FALSE)</f>
        <v>RAFAEL</v>
      </c>
    </row>
    <row r="41" spans="1:13" x14ac:dyDescent="0.25">
      <c r="A41" s="74">
        <v>187391</v>
      </c>
      <c r="B41" s="75" t="s">
        <v>232</v>
      </c>
      <c r="C41" s="75" t="s">
        <v>3388</v>
      </c>
      <c r="D41" s="76">
        <v>46076</v>
      </c>
      <c r="E41" s="75" t="s">
        <v>3386</v>
      </c>
      <c r="F41" s="74">
        <v>113.14</v>
      </c>
      <c r="G41" s="75" t="s">
        <v>588</v>
      </c>
      <c r="H41" s="77" t="str">
        <f>VLOOKUP(DESPESAS[[#This Row],[Plano de Contas]],BASE!$B$3:$D$119,3,FALSE)</f>
        <v>Maquinas e Equipamentos</v>
      </c>
      <c r="I41" s="77" t="str">
        <f>IFERROR(VLOOKUP(DESPESAS[[#This Row],[Fornecedor]],Tabela2[],2,FALSE),"")</f>
        <v/>
      </c>
      <c r="J41" s="77" t="str">
        <f>IFERROR(VLOOKUP(DESPESAS[[#This Row],[Plano de Contas]],BASE!$B$3:$F$119,4,FALSE),"")</f>
        <v>9 - INVESTIMENTOS</v>
      </c>
      <c r="K41" s="77" t="str">
        <f>IFERROR(VLOOKUP(DESPESAS[[#This Row],[Plano de Contas]],BASE!$B$3:$H$119,5,FALSE),"")</f>
        <v>MANUTENÇÃO / TI</v>
      </c>
      <c r="L41" s="77">
        <f>IFERROR(VLOOKUP(DESPESAS[[#This Row],[Plano de Contas]],BASE!$B$3:$H$119,6,FALSE),"")</f>
        <v>0</v>
      </c>
      <c r="M41" s="77" t="str">
        <f>VLOOKUP(DESPESAS[[#This Row],[Plano de Contas]],BASE!$B$3:$H$119,7,FALSE)</f>
        <v>RAFAEL</v>
      </c>
    </row>
    <row r="42" spans="1:13" x14ac:dyDescent="0.25">
      <c r="A42" s="74">
        <v>187392</v>
      </c>
      <c r="B42" s="75" t="s">
        <v>232</v>
      </c>
      <c r="C42" s="75" t="s">
        <v>3387</v>
      </c>
      <c r="D42" s="76">
        <v>46104</v>
      </c>
      <c r="E42" s="75" t="s">
        <v>3386</v>
      </c>
      <c r="F42" s="74">
        <v>113.14</v>
      </c>
      <c r="G42" s="75" t="s">
        <v>588</v>
      </c>
      <c r="H42" s="77" t="str">
        <f>VLOOKUP(DESPESAS[[#This Row],[Plano de Contas]],BASE!$B$3:$D$119,3,FALSE)</f>
        <v>Maquinas e Equipamentos</v>
      </c>
      <c r="I42" s="77" t="str">
        <f>IFERROR(VLOOKUP(DESPESAS[[#This Row],[Fornecedor]],Tabela2[],2,FALSE),"")</f>
        <v/>
      </c>
      <c r="J42" s="77" t="str">
        <f>IFERROR(VLOOKUP(DESPESAS[[#This Row],[Plano de Contas]],BASE!$B$3:$F$119,4,FALSE),"")</f>
        <v>9 - INVESTIMENTOS</v>
      </c>
      <c r="K42" s="77" t="str">
        <f>IFERROR(VLOOKUP(DESPESAS[[#This Row],[Plano de Contas]],BASE!$B$3:$H$119,5,FALSE),"")</f>
        <v>MANUTENÇÃO / TI</v>
      </c>
      <c r="L42" s="77">
        <f>IFERROR(VLOOKUP(DESPESAS[[#This Row],[Plano de Contas]],BASE!$B$3:$H$119,6,FALSE),"")</f>
        <v>0</v>
      </c>
      <c r="M42" s="77" t="str">
        <f>VLOOKUP(DESPESAS[[#This Row],[Plano de Contas]],BASE!$B$3:$H$119,7,FALSE)</f>
        <v>RAFAEL</v>
      </c>
    </row>
    <row r="43" spans="1:13" x14ac:dyDescent="0.25">
      <c r="A43" s="74">
        <v>187476</v>
      </c>
      <c r="B43" s="75" t="s">
        <v>281</v>
      </c>
      <c r="C43" s="75" t="s">
        <v>3385</v>
      </c>
      <c r="D43" s="76">
        <v>46047</v>
      </c>
      <c r="E43" s="75" t="s">
        <v>364</v>
      </c>
      <c r="F43" s="74">
        <v>32.229999999999997</v>
      </c>
      <c r="G43" s="75" t="s">
        <v>363</v>
      </c>
      <c r="H43" s="77" t="str">
        <f>VLOOKUP(DESPESAS[[#This Row],[Plano de Contas]],BASE!$B$3:$D$119,3,FALSE)</f>
        <v>Água</v>
      </c>
      <c r="I43" s="77" t="str">
        <f>IFERROR(VLOOKUP(DESPESAS[[#This Row],[Fornecedor]],Tabela2[],2,FALSE),"")</f>
        <v/>
      </c>
      <c r="J43" s="77" t="str">
        <f>IFERROR(VLOOKUP(DESPESAS[[#This Row],[Plano de Contas]],BASE!$B$3:$F$119,4,FALSE),"")</f>
        <v>5 - DESPESAS ADMINISTRATIVAS</v>
      </c>
      <c r="K43" s="77" t="str">
        <f>IFERROR(VLOOKUP(DESPESAS[[#This Row],[Plano de Contas]],BASE!$B$3:$H$119,5,FALSE),"")</f>
        <v>FINANCEIRO</v>
      </c>
      <c r="L43" s="77">
        <f>IFERROR(VLOOKUP(DESPESAS[[#This Row],[Plano de Contas]],BASE!$B$3:$H$119,6,FALSE),"")</f>
        <v>0</v>
      </c>
      <c r="M43" s="77" t="str">
        <f>VLOOKUP(DESPESAS[[#This Row],[Plano de Contas]],BASE!$B$3:$H$119,7,FALSE)</f>
        <v>LETÍCIA</v>
      </c>
    </row>
    <row r="44" spans="1:13" x14ac:dyDescent="0.25">
      <c r="A44" s="74">
        <v>187477</v>
      </c>
      <c r="B44" s="75" t="s">
        <v>281</v>
      </c>
      <c r="C44" s="75" t="s">
        <v>3384</v>
      </c>
      <c r="D44" s="76">
        <v>46078</v>
      </c>
      <c r="E44" s="75" t="s">
        <v>364</v>
      </c>
      <c r="F44" s="74">
        <v>32.229999999999997</v>
      </c>
      <c r="G44" s="75" t="s">
        <v>363</v>
      </c>
      <c r="H44" s="77" t="str">
        <f>VLOOKUP(DESPESAS[[#This Row],[Plano de Contas]],BASE!$B$3:$D$119,3,FALSE)</f>
        <v>Água</v>
      </c>
      <c r="I44" s="77" t="str">
        <f>IFERROR(VLOOKUP(DESPESAS[[#This Row],[Fornecedor]],Tabela2[],2,FALSE),"")</f>
        <v/>
      </c>
      <c r="J44" s="77" t="str">
        <f>IFERROR(VLOOKUP(DESPESAS[[#This Row],[Plano de Contas]],BASE!$B$3:$F$119,4,FALSE),"")</f>
        <v>5 - DESPESAS ADMINISTRATIVAS</v>
      </c>
      <c r="K44" s="77" t="str">
        <f>IFERROR(VLOOKUP(DESPESAS[[#This Row],[Plano de Contas]],BASE!$B$3:$H$119,5,FALSE),"")</f>
        <v>FINANCEIRO</v>
      </c>
      <c r="L44" s="77">
        <f>IFERROR(VLOOKUP(DESPESAS[[#This Row],[Plano de Contas]],BASE!$B$3:$H$119,6,FALSE),"")</f>
        <v>0</v>
      </c>
      <c r="M44" s="77" t="str">
        <f>VLOOKUP(DESPESAS[[#This Row],[Plano de Contas]],BASE!$B$3:$H$119,7,FALSE)</f>
        <v>LETÍCIA</v>
      </c>
    </row>
    <row r="45" spans="1:13" x14ac:dyDescent="0.25">
      <c r="A45" s="74">
        <v>187478</v>
      </c>
      <c r="B45" s="75" t="s">
        <v>281</v>
      </c>
      <c r="C45" s="75" t="s">
        <v>3383</v>
      </c>
      <c r="D45" s="76">
        <v>46106</v>
      </c>
      <c r="E45" s="75" t="s">
        <v>364</v>
      </c>
      <c r="F45" s="74">
        <v>32.229999999999997</v>
      </c>
      <c r="G45" s="75" t="s">
        <v>363</v>
      </c>
      <c r="H45" s="77" t="str">
        <f>VLOOKUP(DESPESAS[[#This Row],[Plano de Contas]],BASE!$B$3:$D$119,3,FALSE)</f>
        <v>Água</v>
      </c>
      <c r="I45" s="77" t="str">
        <f>IFERROR(VLOOKUP(DESPESAS[[#This Row],[Fornecedor]],Tabela2[],2,FALSE),"")</f>
        <v/>
      </c>
      <c r="J45" s="77" t="str">
        <f>IFERROR(VLOOKUP(DESPESAS[[#This Row],[Plano de Contas]],BASE!$B$3:$F$119,4,FALSE),"")</f>
        <v>5 - DESPESAS ADMINISTRATIVAS</v>
      </c>
      <c r="K45" s="77" t="str">
        <f>IFERROR(VLOOKUP(DESPESAS[[#This Row],[Plano de Contas]],BASE!$B$3:$H$119,5,FALSE),"")</f>
        <v>FINANCEIRO</v>
      </c>
      <c r="L45" s="77">
        <f>IFERROR(VLOOKUP(DESPESAS[[#This Row],[Plano de Contas]],BASE!$B$3:$H$119,6,FALSE),"")</f>
        <v>0</v>
      </c>
      <c r="M45" s="77" t="str">
        <f>VLOOKUP(DESPESAS[[#This Row],[Plano de Contas]],BASE!$B$3:$H$119,7,FALSE)</f>
        <v>LETÍCIA</v>
      </c>
    </row>
    <row r="46" spans="1:13" x14ac:dyDescent="0.25">
      <c r="A46" s="74">
        <v>187677</v>
      </c>
      <c r="B46" s="75" t="s">
        <v>232</v>
      </c>
      <c r="C46" s="75" t="s">
        <v>3382</v>
      </c>
      <c r="D46" s="76">
        <v>46053</v>
      </c>
      <c r="E46" s="75" t="s">
        <v>2421</v>
      </c>
      <c r="F46" s="74">
        <v>12000</v>
      </c>
      <c r="G46" s="75" t="s">
        <v>470</v>
      </c>
      <c r="H46" s="77" t="str">
        <f>VLOOKUP(DESPESAS[[#This Row],[Plano de Contas]],BASE!$B$3:$D$119,3,FALSE)</f>
        <v>Desenvolvimento de Novos Produtos</v>
      </c>
      <c r="I46" s="77" t="str">
        <f>IFERROR(VLOOKUP(DESPESAS[[#This Row],[Fornecedor]],Tabela2[],2,FALSE),"")</f>
        <v/>
      </c>
      <c r="J46" s="77" t="str">
        <f>IFERROR(VLOOKUP(DESPESAS[[#This Row],[Plano de Contas]],BASE!$B$3:$F$119,4,FALSE),"")</f>
        <v>6 - DESPESA COM VENDAS</v>
      </c>
      <c r="K46" s="77" t="str">
        <f>IFERROR(VLOOKUP(DESPESAS[[#This Row],[Plano de Contas]],BASE!$B$3:$H$119,5,FALSE),"")</f>
        <v>DESENVOLVIMENTO</v>
      </c>
      <c r="L46" s="77">
        <f>IFERROR(VLOOKUP(DESPESAS[[#This Row],[Plano de Contas]],BASE!$B$3:$H$119,6,FALSE),"")</f>
        <v>0</v>
      </c>
      <c r="M46" s="77" t="str">
        <f>VLOOKUP(DESPESAS[[#This Row],[Plano de Contas]],BASE!$B$3:$H$119,7,FALSE)</f>
        <v>RAFAEL</v>
      </c>
    </row>
    <row r="47" spans="1:13" x14ac:dyDescent="0.25">
      <c r="A47" s="74">
        <v>187678</v>
      </c>
      <c r="B47" s="75" t="s">
        <v>232</v>
      </c>
      <c r="C47" s="75" t="s">
        <v>3381</v>
      </c>
      <c r="D47" s="76">
        <v>46081</v>
      </c>
      <c r="E47" s="75" t="s">
        <v>2421</v>
      </c>
      <c r="F47" s="74">
        <v>12000</v>
      </c>
      <c r="G47" s="75" t="s">
        <v>470</v>
      </c>
      <c r="H47" s="77" t="str">
        <f>VLOOKUP(DESPESAS[[#This Row],[Plano de Contas]],BASE!$B$3:$D$119,3,FALSE)</f>
        <v>Desenvolvimento de Novos Produtos</v>
      </c>
      <c r="I47" s="77" t="str">
        <f>IFERROR(VLOOKUP(DESPESAS[[#This Row],[Fornecedor]],Tabela2[],2,FALSE),"")</f>
        <v/>
      </c>
      <c r="J47" s="77" t="str">
        <f>IFERROR(VLOOKUP(DESPESAS[[#This Row],[Plano de Contas]],BASE!$B$3:$F$119,4,FALSE),"")</f>
        <v>6 - DESPESA COM VENDAS</v>
      </c>
      <c r="K47" s="77" t="str">
        <f>IFERROR(VLOOKUP(DESPESAS[[#This Row],[Plano de Contas]],BASE!$B$3:$H$119,5,FALSE),"")</f>
        <v>DESENVOLVIMENTO</v>
      </c>
      <c r="L47" s="77">
        <f>IFERROR(VLOOKUP(DESPESAS[[#This Row],[Plano de Contas]],BASE!$B$3:$H$119,6,FALSE),"")</f>
        <v>0</v>
      </c>
      <c r="M47" s="77" t="str">
        <f>VLOOKUP(DESPESAS[[#This Row],[Plano de Contas]],BASE!$B$3:$H$119,7,FALSE)</f>
        <v>RAFAEL</v>
      </c>
    </row>
    <row r="48" spans="1:13" x14ac:dyDescent="0.25">
      <c r="A48" s="74">
        <v>187679</v>
      </c>
      <c r="B48" s="75" t="s">
        <v>232</v>
      </c>
      <c r="C48" s="75" t="s">
        <v>3380</v>
      </c>
      <c r="D48" s="76">
        <v>46112</v>
      </c>
      <c r="E48" s="75" t="s">
        <v>2421</v>
      </c>
      <c r="F48" s="74">
        <v>12000</v>
      </c>
      <c r="G48" s="75" t="s">
        <v>470</v>
      </c>
      <c r="H48" s="77" t="str">
        <f>VLOOKUP(DESPESAS[[#This Row],[Plano de Contas]],BASE!$B$3:$D$119,3,FALSE)</f>
        <v>Desenvolvimento de Novos Produtos</v>
      </c>
      <c r="I48" s="77" t="str">
        <f>IFERROR(VLOOKUP(DESPESAS[[#This Row],[Fornecedor]],Tabela2[],2,FALSE),"")</f>
        <v/>
      </c>
      <c r="J48" s="77" t="str">
        <f>IFERROR(VLOOKUP(DESPESAS[[#This Row],[Plano de Contas]],BASE!$B$3:$F$119,4,FALSE),"")</f>
        <v>6 - DESPESA COM VENDAS</v>
      </c>
      <c r="K48" s="77" t="str">
        <f>IFERROR(VLOOKUP(DESPESAS[[#This Row],[Plano de Contas]],BASE!$B$3:$H$119,5,FALSE),"")</f>
        <v>DESENVOLVIMENTO</v>
      </c>
      <c r="L48" s="77">
        <f>IFERROR(VLOOKUP(DESPESAS[[#This Row],[Plano de Contas]],BASE!$B$3:$H$119,6,FALSE),"")</f>
        <v>0</v>
      </c>
      <c r="M48" s="77" t="str">
        <f>VLOOKUP(DESPESAS[[#This Row],[Plano de Contas]],BASE!$B$3:$H$119,7,FALSE)</f>
        <v>RAFAEL</v>
      </c>
    </row>
    <row r="49" spans="1:13" x14ac:dyDescent="0.25">
      <c r="A49" s="74">
        <v>187835</v>
      </c>
      <c r="B49" s="75" t="s">
        <v>221</v>
      </c>
      <c r="C49" s="75" t="s">
        <v>3379</v>
      </c>
      <c r="D49" s="76">
        <v>46032</v>
      </c>
      <c r="E49" s="75" t="s">
        <v>3157</v>
      </c>
      <c r="F49" s="74">
        <v>89</v>
      </c>
      <c r="G49" s="75" t="s">
        <v>561</v>
      </c>
      <c r="H49" s="77" t="str">
        <f>VLOOKUP(DESPESAS[[#This Row],[Plano de Contas]],BASE!$B$3:$D$119,3,FALSE)</f>
        <v>Sistemas de Informação</v>
      </c>
      <c r="I49" s="77" t="str">
        <f>IFERROR(VLOOKUP(DESPESAS[[#This Row],[Fornecedor]],Tabela2[],2,FALSE),"")</f>
        <v>E-MAILS</v>
      </c>
      <c r="J49" s="77" t="str">
        <f>IFERROR(VLOOKUP(DESPESAS[[#This Row],[Plano de Contas]],BASE!$B$3:$F$119,4,FALSE),"")</f>
        <v>7 - SERVIÇOS DE TERCEIROS</v>
      </c>
      <c r="K49" s="77" t="str">
        <f>IFERROR(VLOOKUP(DESPESAS[[#This Row],[Plano de Contas]],BASE!$B$3:$H$119,5,FALSE),"")</f>
        <v>MANUTENÇÃO / TI</v>
      </c>
      <c r="L49" s="77">
        <f>IFERROR(VLOOKUP(DESPESAS[[#This Row],[Plano de Contas]],BASE!$B$3:$H$119,6,FALSE),"")</f>
        <v>0</v>
      </c>
      <c r="M49" s="77" t="str">
        <f>VLOOKUP(DESPESAS[[#This Row],[Plano de Contas]],BASE!$B$3:$H$119,7,FALSE)</f>
        <v>LETÍCIA</v>
      </c>
    </row>
    <row r="50" spans="1:13" x14ac:dyDescent="0.25">
      <c r="A50" s="74">
        <v>187836</v>
      </c>
      <c r="B50" s="75" t="s">
        <v>221</v>
      </c>
      <c r="C50" s="75" t="s">
        <v>3379</v>
      </c>
      <c r="D50" s="76">
        <v>46063</v>
      </c>
      <c r="E50" s="75" t="s">
        <v>3157</v>
      </c>
      <c r="F50" s="74">
        <v>89</v>
      </c>
      <c r="G50" s="75" t="s">
        <v>561</v>
      </c>
      <c r="H50" s="77" t="str">
        <f>VLOOKUP(DESPESAS[[#This Row],[Plano de Contas]],BASE!$B$3:$D$119,3,FALSE)</f>
        <v>Sistemas de Informação</v>
      </c>
      <c r="I50" s="77" t="str">
        <f>IFERROR(VLOOKUP(DESPESAS[[#This Row],[Fornecedor]],Tabela2[],2,FALSE),"")</f>
        <v>E-MAILS</v>
      </c>
      <c r="J50" s="77" t="str">
        <f>IFERROR(VLOOKUP(DESPESAS[[#This Row],[Plano de Contas]],BASE!$B$3:$F$119,4,FALSE),"")</f>
        <v>7 - SERVIÇOS DE TERCEIROS</v>
      </c>
      <c r="K50" s="77" t="str">
        <f>IFERROR(VLOOKUP(DESPESAS[[#This Row],[Plano de Contas]],BASE!$B$3:$H$119,5,FALSE),"")</f>
        <v>MANUTENÇÃO / TI</v>
      </c>
      <c r="L50" s="77">
        <f>IFERROR(VLOOKUP(DESPESAS[[#This Row],[Plano de Contas]],BASE!$B$3:$H$119,6,FALSE),"")</f>
        <v>0</v>
      </c>
      <c r="M50" s="77" t="str">
        <f>VLOOKUP(DESPESAS[[#This Row],[Plano de Contas]],BASE!$B$3:$H$119,7,FALSE)</f>
        <v>LETÍCIA</v>
      </c>
    </row>
    <row r="51" spans="1:13" x14ac:dyDescent="0.25">
      <c r="A51" s="74">
        <v>187837</v>
      </c>
      <c r="B51" s="75" t="s">
        <v>221</v>
      </c>
      <c r="C51" s="75" t="s">
        <v>3379</v>
      </c>
      <c r="D51" s="76">
        <v>46091</v>
      </c>
      <c r="E51" s="75" t="s">
        <v>3157</v>
      </c>
      <c r="F51" s="74">
        <v>89</v>
      </c>
      <c r="G51" s="75" t="s">
        <v>561</v>
      </c>
      <c r="H51" s="77" t="str">
        <f>VLOOKUP(DESPESAS[[#This Row],[Plano de Contas]],BASE!$B$3:$D$119,3,FALSE)</f>
        <v>Sistemas de Informação</v>
      </c>
      <c r="I51" s="77" t="str">
        <f>IFERROR(VLOOKUP(DESPESAS[[#This Row],[Fornecedor]],Tabela2[],2,FALSE),"")</f>
        <v>E-MAILS</v>
      </c>
      <c r="J51" s="77" t="str">
        <f>IFERROR(VLOOKUP(DESPESAS[[#This Row],[Plano de Contas]],BASE!$B$3:$F$119,4,FALSE),"")</f>
        <v>7 - SERVIÇOS DE TERCEIROS</v>
      </c>
      <c r="K51" s="77" t="str">
        <f>IFERROR(VLOOKUP(DESPESAS[[#This Row],[Plano de Contas]],BASE!$B$3:$H$119,5,FALSE),"")</f>
        <v>MANUTENÇÃO / TI</v>
      </c>
      <c r="L51" s="77">
        <f>IFERROR(VLOOKUP(DESPESAS[[#This Row],[Plano de Contas]],BASE!$B$3:$H$119,6,FALSE),"")</f>
        <v>0</v>
      </c>
      <c r="M51" s="77" t="str">
        <f>VLOOKUP(DESPESAS[[#This Row],[Plano de Contas]],BASE!$B$3:$H$119,7,FALSE)</f>
        <v>LETÍCIA</v>
      </c>
    </row>
    <row r="52" spans="1:13" x14ac:dyDescent="0.25">
      <c r="A52" s="74">
        <v>187838</v>
      </c>
      <c r="B52" s="75" t="s">
        <v>221</v>
      </c>
      <c r="C52" s="75" t="s">
        <v>3379</v>
      </c>
      <c r="D52" s="76">
        <v>46122</v>
      </c>
      <c r="E52" s="75" t="s">
        <v>3157</v>
      </c>
      <c r="F52" s="74">
        <v>89</v>
      </c>
      <c r="G52" s="75" t="s">
        <v>561</v>
      </c>
      <c r="H52" s="77" t="str">
        <f>VLOOKUP(DESPESAS[[#This Row],[Plano de Contas]],BASE!$B$3:$D$119,3,FALSE)</f>
        <v>Sistemas de Informação</v>
      </c>
      <c r="I52" s="77" t="str">
        <f>IFERROR(VLOOKUP(DESPESAS[[#This Row],[Fornecedor]],Tabela2[],2,FALSE),"")</f>
        <v>E-MAILS</v>
      </c>
      <c r="J52" s="77" t="str">
        <f>IFERROR(VLOOKUP(DESPESAS[[#This Row],[Plano de Contas]],BASE!$B$3:$F$119,4,FALSE),"")</f>
        <v>7 - SERVIÇOS DE TERCEIROS</v>
      </c>
      <c r="K52" s="77" t="str">
        <f>IFERROR(VLOOKUP(DESPESAS[[#This Row],[Plano de Contas]],BASE!$B$3:$H$119,5,FALSE),"")</f>
        <v>MANUTENÇÃO / TI</v>
      </c>
      <c r="L52" s="77">
        <f>IFERROR(VLOOKUP(DESPESAS[[#This Row],[Plano de Contas]],BASE!$B$3:$H$119,6,FALSE),"")</f>
        <v>0</v>
      </c>
      <c r="M52" s="77" t="str">
        <f>VLOOKUP(DESPESAS[[#This Row],[Plano de Contas]],BASE!$B$3:$H$119,7,FALSE)</f>
        <v>LETÍCIA</v>
      </c>
    </row>
    <row r="53" spans="1:13" x14ac:dyDescent="0.25">
      <c r="A53" s="74">
        <v>187839</v>
      </c>
      <c r="B53" s="75" t="s">
        <v>221</v>
      </c>
      <c r="C53" s="75" t="s">
        <v>3379</v>
      </c>
      <c r="D53" s="76">
        <v>46152</v>
      </c>
      <c r="E53" s="75" t="s">
        <v>3157</v>
      </c>
      <c r="F53" s="74">
        <v>89</v>
      </c>
      <c r="G53" s="75" t="s">
        <v>561</v>
      </c>
      <c r="H53" s="77" t="str">
        <f>VLOOKUP(DESPESAS[[#This Row],[Plano de Contas]],BASE!$B$3:$D$119,3,FALSE)</f>
        <v>Sistemas de Informação</v>
      </c>
      <c r="I53" s="77" t="str">
        <f>IFERROR(VLOOKUP(DESPESAS[[#This Row],[Fornecedor]],Tabela2[],2,FALSE),"")</f>
        <v>E-MAILS</v>
      </c>
      <c r="J53" s="77" t="str">
        <f>IFERROR(VLOOKUP(DESPESAS[[#This Row],[Plano de Contas]],BASE!$B$3:$F$119,4,FALSE),"")</f>
        <v>7 - SERVIÇOS DE TERCEIROS</v>
      </c>
      <c r="K53" s="77" t="str">
        <f>IFERROR(VLOOKUP(DESPESAS[[#This Row],[Plano de Contas]],BASE!$B$3:$H$119,5,FALSE),"")</f>
        <v>MANUTENÇÃO / TI</v>
      </c>
      <c r="L53" s="77">
        <f>IFERROR(VLOOKUP(DESPESAS[[#This Row],[Plano de Contas]],BASE!$B$3:$H$119,6,FALSE),"")</f>
        <v>0</v>
      </c>
      <c r="M53" s="77" t="str">
        <f>VLOOKUP(DESPESAS[[#This Row],[Plano de Contas]],BASE!$B$3:$H$119,7,FALSE)</f>
        <v>LETÍCIA</v>
      </c>
    </row>
    <row r="54" spans="1:13" x14ac:dyDescent="0.25">
      <c r="A54" s="74">
        <v>188021</v>
      </c>
      <c r="B54" s="75" t="s">
        <v>281</v>
      </c>
      <c r="C54" s="75" t="s">
        <v>3378</v>
      </c>
      <c r="D54" s="76">
        <v>46035</v>
      </c>
      <c r="E54" s="75" t="s">
        <v>3377</v>
      </c>
      <c r="F54" s="74">
        <v>177.88</v>
      </c>
      <c r="G54" s="75" t="s">
        <v>588</v>
      </c>
      <c r="H54" s="77" t="str">
        <f>VLOOKUP(DESPESAS[[#This Row],[Plano de Contas]],BASE!$B$3:$D$119,3,FALSE)</f>
        <v>Maquinas e Equipamentos</v>
      </c>
      <c r="I54" s="77" t="str">
        <f>IFERROR(VLOOKUP(DESPESAS[[#This Row],[Fornecedor]],Tabela2[],2,FALSE),"")</f>
        <v/>
      </c>
      <c r="J54" s="77" t="str">
        <f>IFERROR(VLOOKUP(DESPESAS[[#This Row],[Plano de Contas]],BASE!$B$3:$F$119,4,FALSE),"")</f>
        <v>9 - INVESTIMENTOS</v>
      </c>
      <c r="K54" s="77" t="str">
        <f>IFERROR(VLOOKUP(DESPESAS[[#This Row],[Plano de Contas]],BASE!$B$3:$H$119,5,FALSE),"")</f>
        <v>MANUTENÇÃO / TI</v>
      </c>
      <c r="L54" s="77">
        <f>IFERROR(VLOOKUP(DESPESAS[[#This Row],[Plano de Contas]],BASE!$B$3:$H$119,6,FALSE),"")</f>
        <v>0</v>
      </c>
      <c r="M54" s="77" t="str">
        <f>VLOOKUP(DESPESAS[[#This Row],[Plano de Contas]],BASE!$B$3:$H$119,7,FALSE)</f>
        <v>RAFAEL</v>
      </c>
    </row>
    <row r="55" spans="1:13" x14ac:dyDescent="0.25">
      <c r="A55" s="74">
        <v>188022</v>
      </c>
      <c r="B55" s="75" t="s">
        <v>281</v>
      </c>
      <c r="C55" s="75" t="s">
        <v>3378</v>
      </c>
      <c r="D55" s="76">
        <v>46066</v>
      </c>
      <c r="E55" s="75" t="s">
        <v>3377</v>
      </c>
      <c r="F55" s="74">
        <v>177.88</v>
      </c>
      <c r="G55" s="75" t="s">
        <v>588</v>
      </c>
      <c r="H55" s="77" t="str">
        <f>VLOOKUP(DESPESAS[[#This Row],[Plano de Contas]],BASE!$B$3:$D$119,3,FALSE)</f>
        <v>Maquinas e Equipamentos</v>
      </c>
      <c r="I55" s="77" t="str">
        <f>IFERROR(VLOOKUP(DESPESAS[[#This Row],[Fornecedor]],Tabela2[],2,FALSE),"")</f>
        <v/>
      </c>
      <c r="J55" s="77" t="str">
        <f>IFERROR(VLOOKUP(DESPESAS[[#This Row],[Plano de Contas]],BASE!$B$3:$F$119,4,FALSE),"")</f>
        <v>9 - INVESTIMENTOS</v>
      </c>
      <c r="K55" s="77" t="str">
        <f>IFERROR(VLOOKUP(DESPESAS[[#This Row],[Plano de Contas]],BASE!$B$3:$H$119,5,FALSE),"")</f>
        <v>MANUTENÇÃO / TI</v>
      </c>
      <c r="L55" s="77">
        <f>IFERROR(VLOOKUP(DESPESAS[[#This Row],[Plano de Contas]],BASE!$B$3:$H$119,6,FALSE),"")</f>
        <v>0</v>
      </c>
      <c r="M55" s="77" t="str">
        <f>VLOOKUP(DESPESAS[[#This Row],[Plano de Contas]],BASE!$B$3:$H$119,7,FALSE)</f>
        <v>RAFAEL</v>
      </c>
    </row>
    <row r="56" spans="1:13" x14ac:dyDescent="0.25">
      <c r="A56" s="74">
        <v>188023</v>
      </c>
      <c r="B56" s="75" t="s">
        <v>281</v>
      </c>
      <c r="C56" s="75" t="s">
        <v>3378</v>
      </c>
      <c r="D56" s="76">
        <v>46094</v>
      </c>
      <c r="E56" s="75" t="s">
        <v>3377</v>
      </c>
      <c r="F56" s="74">
        <v>177.88</v>
      </c>
      <c r="G56" s="75" t="s">
        <v>588</v>
      </c>
      <c r="H56" s="77" t="str">
        <f>VLOOKUP(DESPESAS[[#This Row],[Plano de Contas]],BASE!$B$3:$D$119,3,FALSE)</f>
        <v>Maquinas e Equipamentos</v>
      </c>
      <c r="I56" s="77" t="str">
        <f>IFERROR(VLOOKUP(DESPESAS[[#This Row],[Fornecedor]],Tabela2[],2,FALSE),"")</f>
        <v/>
      </c>
      <c r="J56" s="77" t="str">
        <f>IFERROR(VLOOKUP(DESPESAS[[#This Row],[Plano de Contas]],BASE!$B$3:$F$119,4,FALSE),"")</f>
        <v>9 - INVESTIMENTOS</v>
      </c>
      <c r="K56" s="77" t="str">
        <f>IFERROR(VLOOKUP(DESPESAS[[#This Row],[Plano de Contas]],BASE!$B$3:$H$119,5,FALSE),"")</f>
        <v>MANUTENÇÃO / TI</v>
      </c>
      <c r="L56" s="77">
        <f>IFERROR(VLOOKUP(DESPESAS[[#This Row],[Plano de Contas]],BASE!$B$3:$H$119,6,FALSE),"")</f>
        <v>0</v>
      </c>
      <c r="M56" s="77" t="str">
        <f>VLOOKUP(DESPESAS[[#This Row],[Plano de Contas]],BASE!$B$3:$H$119,7,FALSE)</f>
        <v>RAFAEL</v>
      </c>
    </row>
    <row r="57" spans="1:13" x14ac:dyDescent="0.25">
      <c r="A57" s="74">
        <v>188024</v>
      </c>
      <c r="B57" s="75" t="s">
        <v>281</v>
      </c>
      <c r="C57" s="75" t="s">
        <v>3378</v>
      </c>
      <c r="D57" s="76">
        <v>46125</v>
      </c>
      <c r="E57" s="75" t="s">
        <v>3377</v>
      </c>
      <c r="F57" s="74">
        <v>177.88</v>
      </c>
      <c r="G57" s="75" t="s">
        <v>588</v>
      </c>
      <c r="H57" s="77" t="str">
        <f>VLOOKUP(DESPESAS[[#This Row],[Plano de Contas]],BASE!$B$3:$D$119,3,FALSE)</f>
        <v>Maquinas e Equipamentos</v>
      </c>
      <c r="I57" s="77" t="str">
        <f>IFERROR(VLOOKUP(DESPESAS[[#This Row],[Fornecedor]],Tabela2[],2,FALSE),"")</f>
        <v/>
      </c>
      <c r="J57" s="77" t="str">
        <f>IFERROR(VLOOKUP(DESPESAS[[#This Row],[Plano de Contas]],BASE!$B$3:$F$119,4,FALSE),"")</f>
        <v>9 - INVESTIMENTOS</v>
      </c>
      <c r="K57" s="77" t="str">
        <f>IFERROR(VLOOKUP(DESPESAS[[#This Row],[Plano de Contas]],BASE!$B$3:$H$119,5,FALSE),"")</f>
        <v>MANUTENÇÃO / TI</v>
      </c>
      <c r="L57" s="77">
        <f>IFERROR(VLOOKUP(DESPESAS[[#This Row],[Plano de Contas]],BASE!$B$3:$H$119,6,FALSE),"")</f>
        <v>0</v>
      </c>
      <c r="M57" s="77" t="str">
        <f>VLOOKUP(DESPESAS[[#This Row],[Plano de Contas]],BASE!$B$3:$H$119,7,FALSE)</f>
        <v>RAFAEL</v>
      </c>
    </row>
    <row r="58" spans="1:13" x14ac:dyDescent="0.25">
      <c r="A58" s="74">
        <v>188072</v>
      </c>
      <c r="B58" s="75" t="s">
        <v>232</v>
      </c>
      <c r="C58" s="75" t="s">
        <v>3376</v>
      </c>
      <c r="D58" s="76">
        <v>46047</v>
      </c>
      <c r="E58" s="75" t="s">
        <v>1587</v>
      </c>
      <c r="F58" s="74">
        <v>970</v>
      </c>
      <c r="G58" s="75" t="s">
        <v>561</v>
      </c>
      <c r="H58" s="77" t="str">
        <f>VLOOKUP(DESPESAS[[#This Row],[Plano de Contas]],BASE!$B$3:$D$119,3,FALSE)</f>
        <v>Sistemas de Informação</v>
      </c>
      <c r="I58" s="77" t="str">
        <f>IFERROR(VLOOKUP(DESPESAS[[#This Row],[Fornecedor]],Tabela2[],2,FALSE),"")</f>
        <v>CASOCA</v>
      </c>
      <c r="J58" s="77" t="str">
        <f>IFERROR(VLOOKUP(DESPESAS[[#This Row],[Plano de Contas]],BASE!$B$3:$F$119,4,FALSE),"")</f>
        <v>7 - SERVIÇOS DE TERCEIROS</v>
      </c>
      <c r="K58" s="77" t="str">
        <f>IFERROR(VLOOKUP(DESPESAS[[#This Row],[Plano de Contas]],BASE!$B$3:$H$119,5,FALSE),"")</f>
        <v>MANUTENÇÃO / TI</v>
      </c>
      <c r="L58" s="77">
        <f>IFERROR(VLOOKUP(DESPESAS[[#This Row],[Plano de Contas]],BASE!$B$3:$H$119,6,FALSE),"")</f>
        <v>0</v>
      </c>
      <c r="M58" s="77" t="str">
        <f>VLOOKUP(DESPESAS[[#This Row],[Plano de Contas]],BASE!$B$3:$H$119,7,FALSE)</f>
        <v>LETÍCIA</v>
      </c>
    </row>
    <row r="59" spans="1:13" x14ac:dyDescent="0.25">
      <c r="A59" s="74">
        <v>188073</v>
      </c>
      <c r="B59" s="75" t="s">
        <v>232</v>
      </c>
      <c r="C59" s="75" t="s">
        <v>3376</v>
      </c>
      <c r="D59" s="76">
        <v>46078</v>
      </c>
      <c r="E59" s="75" t="s">
        <v>1587</v>
      </c>
      <c r="F59" s="74">
        <v>970</v>
      </c>
      <c r="G59" s="75" t="s">
        <v>561</v>
      </c>
      <c r="H59" s="77" t="str">
        <f>VLOOKUP(DESPESAS[[#This Row],[Plano de Contas]],BASE!$B$3:$D$119,3,FALSE)</f>
        <v>Sistemas de Informação</v>
      </c>
      <c r="I59" s="77" t="str">
        <f>IFERROR(VLOOKUP(DESPESAS[[#This Row],[Fornecedor]],Tabela2[],2,FALSE),"")</f>
        <v>CASOCA</v>
      </c>
      <c r="J59" s="77" t="str">
        <f>IFERROR(VLOOKUP(DESPESAS[[#This Row],[Plano de Contas]],BASE!$B$3:$F$119,4,FALSE),"")</f>
        <v>7 - SERVIÇOS DE TERCEIROS</v>
      </c>
      <c r="K59" s="77" t="str">
        <f>IFERROR(VLOOKUP(DESPESAS[[#This Row],[Plano de Contas]],BASE!$B$3:$H$119,5,FALSE),"")</f>
        <v>MANUTENÇÃO / TI</v>
      </c>
      <c r="L59" s="77">
        <f>IFERROR(VLOOKUP(DESPESAS[[#This Row],[Plano de Contas]],BASE!$B$3:$H$119,6,FALSE),"")</f>
        <v>0</v>
      </c>
      <c r="M59" s="77" t="str">
        <f>VLOOKUP(DESPESAS[[#This Row],[Plano de Contas]],BASE!$B$3:$H$119,7,FALSE)</f>
        <v>LETÍCIA</v>
      </c>
    </row>
    <row r="60" spans="1:13" x14ac:dyDescent="0.25">
      <c r="A60" s="74">
        <v>188074</v>
      </c>
      <c r="B60" s="75" t="s">
        <v>232</v>
      </c>
      <c r="C60" s="75" t="s">
        <v>3376</v>
      </c>
      <c r="D60" s="76">
        <v>46106</v>
      </c>
      <c r="E60" s="75" t="s">
        <v>1587</v>
      </c>
      <c r="F60" s="74">
        <v>970</v>
      </c>
      <c r="G60" s="75" t="s">
        <v>561</v>
      </c>
      <c r="H60" s="77" t="str">
        <f>VLOOKUP(DESPESAS[[#This Row],[Plano de Contas]],BASE!$B$3:$D$119,3,FALSE)</f>
        <v>Sistemas de Informação</v>
      </c>
      <c r="I60" s="77" t="str">
        <f>IFERROR(VLOOKUP(DESPESAS[[#This Row],[Fornecedor]],Tabela2[],2,FALSE),"")</f>
        <v>CASOCA</v>
      </c>
      <c r="J60" s="77" t="str">
        <f>IFERROR(VLOOKUP(DESPESAS[[#This Row],[Plano de Contas]],BASE!$B$3:$F$119,4,FALSE),"")</f>
        <v>7 - SERVIÇOS DE TERCEIROS</v>
      </c>
      <c r="K60" s="77" t="str">
        <f>IFERROR(VLOOKUP(DESPESAS[[#This Row],[Plano de Contas]],BASE!$B$3:$H$119,5,FALSE),"")</f>
        <v>MANUTENÇÃO / TI</v>
      </c>
      <c r="L60" s="77">
        <f>IFERROR(VLOOKUP(DESPESAS[[#This Row],[Plano de Contas]],BASE!$B$3:$H$119,6,FALSE),"")</f>
        <v>0</v>
      </c>
      <c r="M60" s="77" t="str">
        <f>VLOOKUP(DESPESAS[[#This Row],[Plano de Contas]],BASE!$B$3:$H$119,7,FALSE)</f>
        <v>LETÍCIA</v>
      </c>
    </row>
    <row r="61" spans="1:13" x14ac:dyDescent="0.25">
      <c r="A61" s="74">
        <v>188225</v>
      </c>
      <c r="B61" s="75" t="s">
        <v>281</v>
      </c>
      <c r="C61" s="75" t="s">
        <v>3375</v>
      </c>
      <c r="D61" s="76">
        <v>46035</v>
      </c>
      <c r="E61" s="75" t="s">
        <v>3374</v>
      </c>
      <c r="F61" s="74">
        <v>89.4</v>
      </c>
      <c r="G61" s="75" t="s">
        <v>693</v>
      </c>
      <c r="H61" s="77" t="str">
        <f>VLOOKUP(DESPESAS[[#This Row],[Plano de Contas]],BASE!$B$3:$D$119,3,FALSE)</f>
        <v>Computadores e Periféricos</v>
      </c>
      <c r="I61" s="77" t="str">
        <f>IFERROR(VLOOKUP(DESPESAS[[#This Row],[Fornecedor]],Tabela2[],2,FALSE),"")</f>
        <v/>
      </c>
      <c r="J61" s="77" t="str">
        <f>IFERROR(VLOOKUP(DESPESAS[[#This Row],[Plano de Contas]],BASE!$B$3:$F$119,4,FALSE),"")</f>
        <v>9 - INVESTIMENTOS</v>
      </c>
      <c r="K61" s="77" t="str">
        <f>IFERROR(VLOOKUP(DESPESAS[[#This Row],[Plano de Contas]],BASE!$B$3:$H$119,5,FALSE),"")</f>
        <v>MANUTENÇÃO / TI</v>
      </c>
      <c r="L61" s="77">
        <f>IFERROR(VLOOKUP(DESPESAS[[#This Row],[Plano de Contas]],BASE!$B$3:$H$119,6,FALSE),"")</f>
        <v>0</v>
      </c>
      <c r="M61" s="77" t="str">
        <f>VLOOKUP(DESPESAS[[#This Row],[Plano de Contas]],BASE!$B$3:$H$119,7,FALSE)</f>
        <v>RAFAEL</v>
      </c>
    </row>
    <row r="62" spans="1:13" x14ac:dyDescent="0.25">
      <c r="A62" s="74">
        <v>188226</v>
      </c>
      <c r="B62" s="75" t="s">
        <v>281</v>
      </c>
      <c r="C62" s="75" t="s">
        <v>3375</v>
      </c>
      <c r="D62" s="76">
        <v>46066</v>
      </c>
      <c r="E62" s="75" t="s">
        <v>3374</v>
      </c>
      <c r="F62" s="74">
        <v>89.4</v>
      </c>
      <c r="G62" s="75" t="s">
        <v>693</v>
      </c>
      <c r="H62" s="77" t="str">
        <f>VLOOKUP(DESPESAS[[#This Row],[Plano de Contas]],BASE!$B$3:$D$119,3,FALSE)</f>
        <v>Computadores e Periféricos</v>
      </c>
      <c r="I62" s="77" t="str">
        <f>IFERROR(VLOOKUP(DESPESAS[[#This Row],[Fornecedor]],Tabela2[],2,FALSE),"")</f>
        <v/>
      </c>
      <c r="J62" s="77" t="str">
        <f>IFERROR(VLOOKUP(DESPESAS[[#This Row],[Plano de Contas]],BASE!$B$3:$F$119,4,FALSE),"")</f>
        <v>9 - INVESTIMENTOS</v>
      </c>
      <c r="K62" s="77" t="str">
        <f>IFERROR(VLOOKUP(DESPESAS[[#This Row],[Plano de Contas]],BASE!$B$3:$H$119,5,FALSE),"")</f>
        <v>MANUTENÇÃO / TI</v>
      </c>
      <c r="L62" s="77">
        <f>IFERROR(VLOOKUP(DESPESAS[[#This Row],[Plano de Contas]],BASE!$B$3:$H$119,6,FALSE),"")</f>
        <v>0</v>
      </c>
      <c r="M62" s="77" t="str">
        <f>VLOOKUP(DESPESAS[[#This Row],[Plano de Contas]],BASE!$B$3:$H$119,7,FALSE)</f>
        <v>RAFAEL</v>
      </c>
    </row>
    <row r="63" spans="1:13" x14ac:dyDescent="0.25">
      <c r="A63" s="74">
        <v>188227</v>
      </c>
      <c r="B63" s="75" t="s">
        <v>281</v>
      </c>
      <c r="C63" s="75" t="s">
        <v>3375</v>
      </c>
      <c r="D63" s="76">
        <v>46094</v>
      </c>
      <c r="E63" s="75" t="s">
        <v>3374</v>
      </c>
      <c r="F63" s="74">
        <v>89.4</v>
      </c>
      <c r="G63" s="75" t="s">
        <v>693</v>
      </c>
      <c r="H63" s="77" t="str">
        <f>VLOOKUP(DESPESAS[[#This Row],[Plano de Contas]],BASE!$B$3:$D$119,3,FALSE)</f>
        <v>Computadores e Periféricos</v>
      </c>
      <c r="I63" s="77" t="str">
        <f>IFERROR(VLOOKUP(DESPESAS[[#This Row],[Fornecedor]],Tabela2[],2,FALSE),"")</f>
        <v/>
      </c>
      <c r="J63" s="77" t="str">
        <f>IFERROR(VLOOKUP(DESPESAS[[#This Row],[Plano de Contas]],BASE!$B$3:$F$119,4,FALSE),"")</f>
        <v>9 - INVESTIMENTOS</v>
      </c>
      <c r="K63" s="77" t="str">
        <f>IFERROR(VLOOKUP(DESPESAS[[#This Row],[Plano de Contas]],BASE!$B$3:$H$119,5,FALSE),"")</f>
        <v>MANUTENÇÃO / TI</v>
      </c>
      <c r="L63" s="77">
        <f>IFERROR(VLOOKUP(DESPESAS[[#This Row],[Plano de Contas]],BASE!$B$3:$H$119,6,FALSE),"")</f>
        <v>0</v>
      </c>
      <c r="M63" s="77" t="str">
        <f>VLOOKUP(DESPESAS[[#This Row],[Plano de Contas]],BASE!$B$3:$H$119,7,FALSE)</f>
        <v>RAFAEL</v>
      </c>
    </row>
    <row r="64" spans="1:13" x14ac:dyDescent="0.25">
      <c r="A64" s="74">
        <v>188228</v>
      </c>
      <c r="B64" s="75" t="s">
        <v>281</v>
      </c>
      <c r="C64" s="75" t="s">
        <v>3375</v>
      </c>
      <c r="D64" s="76">
        <v>46125</v>
      </c>
      <c r="E64" s="75" t="s">
        <v>3374</v>
      </c>
      <c r="F64" s="74">
        <v>89.4</v>
      </c>
      <c r="G64" s="75" t="s">
        <v>693</v>
      </c>
      <c r="H64" s="77" t="str">
        <f>VLOOKUP(DESPESAS[[#This Row],[Plano de Contas]],BASE!$B$3:$D$119,3,FALSE)</f>
        <v>Computadores e Periféricos</v>
      </c>
      <c r="I64" s="77" t="str">
        <f>IFERROR(VLOOKUP(DESPESAS[[#This Row],[Fornecedor]],Tabela2[],2,FALSE),"")</f>
        <v/>
      </c>
      <c r="J64" s="77" t="str">
        <f>IFERROR(VLOOKUP(DESPESAS[[#This Row],[Plano de Contas]],BASE!$B$3:$F$119,4,FALSE),"")</f>
        <v>9 - INVESTIMENTOS</v>
      </c>
      <c r="K64" s="77" t="str">
        <f>IFERROR(VLOOKUP(DESPESAS[[#This Row],[Plano de Contas]],BASE!$B$3:$H$119,5,FALSE),"")</f>
        <v>MANUTENÇÃO / TI</v>
      </c>
      <c r="L64" s="77">
        <f>IFERROR(VLOOKUP(DESPESAS[[#This Row],[Plano de Contas]],BASE!$B$3:$H$119,6,FALSE),"")</f>
        <v>0</v>
      </c>
      <c r="M64" s="77" t="str">
        <f>VLOOKUP(DESPESAS[[#This Row],[Plano de Contas]],BASE!$B$3:$H$119,7,FALSE)</f>
        <v>RAFAEL</v>
      </c>
    </row>
    <row r="65" spans="1:13" x14ac:dyDescent="0.25">
      <c r="A65" s="74">
        <v>188382</v>
      </c>
      <c r="B65" s="75" t="s">
        <v>221</v>
      </c>
      <c r="C65" s="75" t="s">
        <v>3373</v>
      </c>
      <c r="D65" s="76">
        <v>46045</v>
      </c>
      <c r="E65" s="75" t="s">
        <v>3369</v>
      </c>
      <c r="F65" s="74">
        <v>169.9</v>
      </c>
      <c r="G65" s="75" t="s">
        <v>561</v>
      </c>
      <c r="H65" s="77" t="str">
        <f>VLOOKUP(DESPESAS[[#This Row],[Plano de Contas]],BASE!$B$3:$D$119,3,FALSE)</f>
        <v>Sistemas de Informação</v>
      </c>
      <c r="I65" s="77" t="str">
        <f>IFERROR(VLOOKUP(DESPESAS[[#This Row],[Fornecedor]],Tabela2[],2,FALSE),"")</f>
        <v>ANYDESK</v>
      </c>
      <c r="J65" s="77" t="str">
        <f>IFERROR(VLOOKUP(DESPESAS[[#This Row],[Plano de Contas]],BASE!$B$3:$F$119,4,FALSE),"")</f>
        <v>7 - SERVIÇOS DE TERCEIROS</v>
      </c>
      <c r="K65" s="77" t="str">
        <f>IFERROR(VLOOKUP(DESPESAS[[#This Row],[Plano de Contas]],BASE!$B$3:$H$119,5,FALSE),"")</f>
        <v>MANUTENÇÃO / TI</v>
      </c>
      <c r="L65" s="77">
        <f>IFERROR(VLOOKUP(DESPESAS[[#This Row],[Plano de Contas]],BASE!$B$3:$H$119,6,FALSE),"")</f>
        <v>0</v>
      </c>
      <c r="M65" s="77" t="str">
        <f>VLOOKUP(DESPESAS[[#This Row],[Plano de Contas]],BASE!$B$3:$H$119,7,FALSE)</f>
        <v>LETÍCIA</v>
      </c>
    </row>
    <row r="66" spans="1:13" x14ac:dyDescent="0.25">
      <c r="A66" s="74">
        <v>188383</v>
      </c>
      <c r="B66" s="75" t="s">
        <v>221</v>
      </c>
      <c r="C66" s="75" t="s">
        <v>3372</v>
      </c>
      <c r="D66" s="76">
        <v>46076</v>
      </c>
      <c r="E66" s="75" t="s">
        <v>3369</v>
      </c>
      <c r="F66" s="74">
        <v>169.9</v>
      </c>
      <c r="G66" s="75" t="s">
        <v>561</v>
      </c>
      <c r="H66" s="77" t="str">
        <f>VLOOKUP(DESPESAS[[#This Row],[Plano de Contas]],BASE!$B$3:$D$119,3,FALSE)</f>
        <v>Sistemas de Informação</v>
      </c>
      <c r="I66" s="77" t="str">
        <f>IFERROR(VLOOKUP(DESPESAS[[#This Row],[Fornecedor]],Tabela2[],2,FALSE),"")</f>
        <v>ANYDESK</v>
      </c>
      <c r="J66" s="77" t="str">
        <f>IFERROR(VLOOKUP(DESPESAS[[#This Row],[Plano de Contas]],BASE!$B$3:$F$119,4,FALSE),"")</f>
        <v>7 - SERVIÇOS DE TERCEIROS</v>
      </c>
      <c r="K66" s="77" t="str">
        <f>IFERROR(VLOOKUP(DESPESAS[[#This Row],[Plano de Contas]],BASE!$B$3:$H$119,5,FALSE),"")</f>
        <v>MANUTENÇÃO / TI</v>
      </c>
      <c r="L66" s="77">
        <f>IFERROR(VLOOKUP(DESPESAS[[#This Row],[Plano de Contas]],BASE!$B$3:$H$119,6,FALSE),"")</f>
        <v>0</v>
      </c>
      <c r="M66" s="77" t="str">
        <f>VLOOKUP(DESPESAS[[#This Row],[Plano de Contas]],BASE!$B$3:$H$119,7,FALSE)</f>
        <v>LETÍCIA</v>
      </c>
    </row>
    <row r="67" spans="1:13" x14ac:dyDescent="0.25">
      <c r="A67" s="74">
        <v>188384</v>
      </c>
      <c r="B67" s="75" t="s">
        <v>221</v>
      </c>
      <c r="C67" s="75" t="s">
        <v>3371</v>
      </c>
      <c r="D67" s="76">
        <v>46104</v>
      </c>
      <c r="E67" s="75" t="s">
        <v>3369</v>
      </c>
      <c r="F67" s="74">
        <v>169.9</v>
      </c>
      <c r="G67" s="75" t="s">
        <v>561</v>
      </c>
      <c r="H67" s="77" t="str">
        <f>VLOOKUP(DESPESAS[[#This Row],[Plano de Contas]],BASE!$B$3:$D$119,3,FALSE)</f>
        <v>Sistemas de Informação</v>
      </c>
      <c r="I67" s="77" t="str">
        <f>IFERROR(VLOOKUP(DESPESAS[[#This Row],[Fornecedor]],Tabela2[],2,FALSE),"")</f>
        <v>ANYDESK</v>
      </c>
      <c r="J67" s="77" t="str">
        <f>IFERROR(VLOOKUP(DESPESAS[[#This Row],[Plano de Contas]],BASE!$B$3:$F$119,4,FALSE),"")</f>
        <v>7 - SERVIÇOS DE TERCEIROS</v>
      </c>
      <c r="K67" s="77" t="str">
        <f>IFERROR(VLOOKUP(DESPESAS[[#This Row],[Plano de Contas]],BASE!$B$3:$H$119,5,FALSE),"")</f>
        <v>MANUTENÇÃO / TI</v>
      </c>
      <c r="L67" s="77">
        <f>IFERROR(VLOOKUP(DESPESAS[[#This Row],[Plano de Contas]],BASE!$B$3:$H$119,6,FALSE),"")</f>
        <v>0</v>
      </c>
      <c r="M67" s="77" t="str">
        <f>VLOOKUP(DESPESAS[[#This Row],[Plano de Contas]],BASE!$B$3:$H$119,7,FALSE)</f>
        <v>LETÍCIA</v>
      </c>
    </row>
    <row r="68" spans="1:13" x14ac:dyDescent="0.25">
      <c r="A68" s="74">
        <v>188385</v>
      </c>
      <c r="B68" s="75" t="s">
        <v>221</v>
      </c>
      <c r="C68" s="75" t="s">
        <v>3370</v>
      </c>
      <c r="D68" s="76">
        <v>46135</v>
      </c>
      <c r="E68" s="75" t="s">
        <v>3369</v>
      </c>
      <c r="F68" s="74">
        <v>169.9</v>
      </c>
      <c r="G68" s="75" t="s">
        <v>561</v>
      </c>
      <c r="H68" s="77" t="str">
        <f>VLOOKUP(DESPESAS[[#This Row],[Plano de Contas]],BASE!$B$3:$D$119,3,FALSE)</f>
        <v>Sistemas de Informação</v>
      </c>
      <c r="I68" s="77" t="str">
        <f>IFERROR(VLOOKUP(DESPESAS[[#This Row],[Fornecedor]],Tabela2[],2,FALSE),"")</f>
        <v>ANYDESK</v>
      </c>
      <c r="J68" s="77" t="str">
        <f>IFERROR(VLOOKUP(DESPESAS[[#This Row],[Plano de Contas]],BASE!$B$3:$F$119,4,FALSE),"")</f>
        <v>7 - SERVIÇOS DE TERCEIROS</v>
      </c>
      <c r="K68" s="77" t="str">
        <f>IFERROR(VLOOKUP(DESPESAS[[#This Row],[Plano de Contas]],BASE!$B$3:$H$119,5,FALSE),"")</f>
        <v>MANUTENÇÃO / TI</v>
      </c>
      <c r="L68" s="77">
        <f>IFERROR(VLOOKUP(DESPESAS[[#This Row],[Plano de Contas]],BASE!$B$3:$H$119,6,FALSE),"")</f>
        <v>0</v>
      </c>
      <c r="M68" s="77" t="str">
        <f>VLOOKUP(DESPESAS[[#This Row],[Plano de Contas]],BASE!$B$3:$H$119,7,FALSE)</f>
        <v>LETÍCIA</v>
      </c>
    </row>
    <row r="69" spans="1:13" x14ac:dyDescent="0.25">
      <c r="A69" s="74">
        <v>189166</v>
      </c>
      <c r="B69" s="75" t="s">
        <v>221</v>
      </c>
      <c r="C69" s="75" t="s">
        <v>3368</v>
      </c>
      <c r="D69" s="76">
        <v>46025</v>
      </c>
      <c r="E69" s="75" t="s">
        <v>361</v>
      </c>
      <c r="F69" s="74">
        <v>218.99</v>
      </c>
      <c r="G69" s="75" t="s">
        <v>588</v>
      </c>
      <c r="H69" s="77" t="str">
        <f>VLOOKUP(DESPESAS[[#This Row],[Plano de Contas]],BASE!$B$3:$D$119,3,FALSE)</f>
        <v>Maquinas e Equipamentos</v>
      </c>
      <c r="I69" s="77" t="str">
        <f>IFERROR(VLOOKUP(DESPESAS[[#This Row],[Fornecedor]],Tabela2[],2,FALSE),"")</f>
        <v/>
      </c>
      <c r="J69" s="77" t="str">
        <f>IFERROR(VLOOKUP(DESPESAS[[#This Row],[Plano de Contas]],BASE!$B$3:$F$119,4,FALSE),"")</f>
        <v>9 - INVESTIMENTOS</v>
      </c>
      <c r="K69" s="77" t="str">
        <f>IFERROR(VLOOKUP(DESPESAS[[#This Row],[Plano de Contas]],BASE!$B$3:$H$119,5,FALSE),"")</f>
        <v>MANUTENÇÃO / TI</v>
      </c>
      <c r="L69" s="77">
        <f>IFERROR(VLOOKUP(DESPESAS[[#This Row],[Plano de Contas]],BASE!$B$3:$H$119,6,FALSE),"")</f>
        <v>0</v>
      </c>
      <c r="M69" s="77" t="str">
        <f>VLOOKUP(DESPESAS[[#This Row],[Plano de Contas]],BASE!$B$3:$H$119,7,FALSE)</f>
        <v>RAFAEL</v>
      </c>
    </row>
    <row r="70" spans="1:13" x14ac:dyDescent="0.25">
      <c r="A70" s="74">
        <v>189167</v>
      </c>
      <c r="B70" s="75" t="s">
        <v>221</v>
      </c>
      <c r="C70" s="75" t="s">
        <v>3368</v>
      </c>
      <c r="D70" s="76">
        <v>46056</v>
      </c>
      <c r="E70" s="75" t="s">
        <v>361</v>
      </c>
      <c r="F70" s="74">
        <v>218.99</v>
      </c>
      <c r="G70" s="75" t="s">
        <v>588</v>
      </c>
      <c r="H70" s="77" t="str">
        <f>VLOOKUP(DESPESAS[[#This Row],[Plano de Contas]],BASE!$B$3:$D$119,3,FALSE)</f>
        <v>Maquinas e Equipamentos</v>
      </c>
      <c r="I70" s="77" t="str">
        <f>IFERROR(VLOOKUP(DESPESAS[[#This Row],[Fornecedor]],Tabela2[],2,FALSE),"")</f>
        <v/>
      </c>
      <c r="J70" s="77" t="str">
        <f>IFERROR(VLOOKUP(DESPESAS[[#This Row],[Plano de Contas]],BASE!$B$3:$F$119,4,FALSE),"")</f>
        <v>9 - INVESTIMENTOS</v>
      </c>
      <c r="K70" s="77" t="str">
        <f>IFERROR(VLOOKUP(DESPESAS[[#This Row],[Plano de Contas]],BASE!$B$3:$H$119,5,FALSE),"")</f>
        <v>MANUTENÇÃO / TI</v>
      </c>
      <c r="L70" s="77">
        <f>IFERROR(VLOOKUP(DESPESAS[[#This Row],[Plano de Contas]],BASE!$B$3:$H$119,6,FALSE),"")</f>
        <v>0</v>
      </c>
      <c r="M70" s="77" t="str">
        <f>VLOOKUP(DESPESAS[[#This Row],[Plano de Contas]],BASE!$B$3:$H$119,7,FALSE)</f>
        <v>RAFAEL</v>
      </c>
    </row>
    <row r="71" spans="1:13" x14ac:dyDescent="0.25">
      <c r="A71" s="74">
        <v>189168</v>
      </c>
      <c r="B71" s="75" t="s">
        <v>221</v>
      </c>
      <c r="C71" s="75" t="s">
        <v>3368</v>
      </c>
      <c r="D71" s="76">
        <v>46084</v>
      </c>
      <c r="E71" s="75" t="s">
        <v>361</v>
      </c>
      <c r="F71" s="74">
        <v>218.99</v>
      </c>
      <c r="G71" s="75" t="s">
        <v>588</v>
      </c>
      <c r="H71" s="77" t="str">
        <f>VLOOKUP(DESPESAS[[#This Row],[Plano de Contas]],BASE!$B$3:$D$119,3,FALSE)</f>
        <v>Maquinas e Equipamentos</v>
      </c>
      <c r="I71" s="77" t="str">
        <f>IFERROR(VLOOKUP(DESPESAS[[#This Row],[Fornecedor]],Tabela2[],2,FALSE),"")</f>
        <v/>
      </c>
      <c r="J71" s="77" t="str">
        <f>IFERROR(VLOOKUP(DESPESAS[[#This Row],[Plano de Contas]],BASE!$B$3:$F$119,4,FALSE),"")</f>
        <v>9 - INVESTIMENTOS</v>
      </c>
      <c r="K71" s="77" t="str">
        <f>IFERROR(VLOOKUP(DESPESAS[[#This Row],[Plano de Contas]],BASE!$B$3:$H$119,5,FALSE),"")</f>
        <v>MANUTENÇÃO / TI</v>
      </c>
      <c r="L71" s="77">
        <f>IFERROR(VLOOKUP(DESPESAS[[#This Row],[Plano de Contas]],BASE!$B$3:$H$119,6,FALSE),"")</f>
        <v>0</v>
      </c>
      <c r="M71" s="77" t="str">
        <f>VLOOKUP(DESPESAS[[#This Row],[Plano de Contas]],BASE!$B$3:$H$119,7,FALSE)</f>
        <v>RAFAEL</v>
      </c>
    </row>
    <row r="72" spans="1:13" x14ac:dyDescent="0.25">
      <c r="A72" s="74">
        <v>189169</v>
      </c>
      <c r="B72" s="75" t="s">
        <v>221</v>
      </c>
      <c r="C72" s="75" t="s">
        <v>3368</v>
      </c>
      <c r="D72" s="76">
        <v>46115</v>
      </c>
      <c r="E72" s="75" t="s">
        <v>361</v>
      </c>
      <c r="F72" s="74">
        <v>218.99</v>
      </c>
      <c r="G72" s="75" t="s">
        <v>588</v>
      </c>
      <c r="H72" s="77" t="str">
        <f>VLOOKUP(DESPESAS[[#This Row],[Plano de Contas]],BASE!$B$3:$D$119,3,FALSE)</f>
        <v>Maquinas e Equipamentos</v>
      </c>
      <c r="I72" s="77" t="str">
        <f>IFERROR(VLOOKUP(DESPESAS[[#This Row],[Fornecedor]],Tabela2[],2,FALSE),"")</f>
        <v/>
      </c>
      <c r="J72" s="77" t="str">
        <f>IFERROR(VLOOKUP(DESPESAS[[#This Row],[Plano de Contas]],BASE!$B$3:$F$119,4,FALSE),"")</f>
        <v>9 - INVESTIMENTOS</v>
      </c>
      <c r="K72" s="77" t="str">
        <f>IFERROR(VLOOKUP(DESPESAS[[#This Row],[Plano de Contas]],BASE!$B$3:$H$119,5,FALSE),"")</f>
        <v>MANUTENÇÃO / TI</v>
      </c>
      <c r="L72" s="77">
        <f>IFERROR(VLOOKUP(DESPESAS[[#This Row],[Plano de Contas]],BASE!$B$3:$H$119,6,FALSE),"")</f>
        <v>0</v>
      </c>
      <c r="M72" s="77" t="str">
        <f>VLOOKUP(DESPESAS[[#This Row],[Plano de Contas]],BASE!$B$3:$H$119,7,FALSE)</f>
        <v>RAFAEL</v>
      </c>
    </row>
    <row r="73" spans="1:13" x14ac:dyDescent="0.25">
      <c r="A73" s="74">
        <v>189170</v>
      </c>
      <c r="B73" s="75" t="s">
        <v>221</v>
      </c>
      <c r="C73" s="75" t="s">
        <v>3368</v>
      </c>
      <c r="D73" s="76">
        <v>46145</v>
      </c>
      <c r="E73" s="75" t="s">
        <v>361</v>
      </c>
      <c r="F73" s="74">
        <v>218.99</v>
      </c>
      <c r="G73" s="75" t="s">
        <v>588</v>
      </c>
      <c r="H73" s="77" t="str">
        <f>VLOOKUP(DESPESAS[[#This Row],[Plano de Contas]],BASE!$B$3:$D$119,3,FALSE)</f>
        <v>Maquinas e Equipamentos</v>
      </c>
      <c r="I73" s="77" t="str">
        <f>IFERROR(VLOOKUP(DESPESAS[[#This Row],[Fornecedor]],Tabela2[],2,FALSE),"")</f>
        <v/>
      </c>
      <c r="J73" s="77" t="str">
        <f>IFERROR(VLOOKUP(DESPESAS[[#This Row],[Plano de Contas]],BASE!$B$3:$F$119,4,FALSE),"")</f>
        <v>9 - INVESTIMENTOS</v>
      </c>
      <c r="K73" s="77" t="str">
        <f>IFERROR(VLOOKUP(DESPESAS[[#This Row],[Plano de Contas]],BASE!$B$3:$H$119,5,FALSE),"")</f>
        <v>MANUTENÇÃO / TI</v>
      </c>
      <c r="L73" s="77">
        <f>IFERROR(VLOOKUP(DESPESAS[[#This Row],[Plano de Contas]],BASE!$B$3:$H$119,6,FALSE),"")</f>
        <v>0</v>
      </c>
      <c r="M73" s="77" t="str">
        <f>VLOOKUP(DESPESAS[[#This Row],[Plano de Contas]],BASE!$B$3:$H$119,7,FALSE)</f>
        <v>RAFAEL</v>
      </c>
    </row>
    <row r="74" spans="1:13" x14ac:dyDescent="0.25">
      <c r="A74" s="74">
        <v>189378</v>
      </c>
      <c r="B74" s="75" t="s">
        <v>221</v>
      </c>
      <c r="C74" s="75" t="s">
        <v>3367</v>
      </c>
      <c r="D74" s="76">
        <v>46026</v>
      </c>
      <c r="E74" s="75" t="s">
        <v>361</v>
      </c>
      <c r="F74" s="74">
        <v>77.13</v>
      </c>
      <c r="G74" s="75" t="s">
        <v>1318</v>
      </c>
      <c r="H74" s="77" t="str">
        <f>VLOOKUP(DESPESAS[[#This Row],[Plano de Contas]],BASE!$B$3:$D$119,3,FALSE)</f>
        <v>Feiras e Eventos</v>
      </c>
      <c r="I74" s="77" t="str">
        <f>IFERROR(VLOOKUP(DESPESAS[[#This Row],[Fornecedor]],Tabela2[],2,FALSE),"")</f>
        <v/>
      </c>
      <c r="J74" s="77" t="str">
        <f>IFERROR(VLOOKUP(DESPESAS[[#This Row],[Plano de Contas]],BASE!$B$3:$F$119,4,FALSE),"")</f>
        <v>6 - DESPESA COM VENDAS</v>
      </c>
      <c r="K74" s="77" t="str">
        <f>IFERROR(VLOOKUP(DESPESAS[[#This Row],[Plano de Contas]],BASE!$B$3:$H$119,5,FALSE),"")</f>
        <v>COMERCIAL</v>
      </c>
      <c r="L74" s="77">
        <f>IFERROR(VLOOKUP(DESPESAS[[#This Row],[Plano de Contas]],BASE!$B$3:$H$119,6,FALSE),"")</f>
        <v>0</v>
      </c>
      <c r="M74" s="77" t="str">
        <f>VLOOKUP(DESPESAS[[#This Row],[Plano de Contas]],BASE!$B$3:$H$119,7,FALSE)</f>
        <v>THAIS</v>
      </c>
    </row>
    <row r="75" spans="1:13" x14ac:dyDescent="0.25">
      <c r="A75" s="74">
        <v>189379</v>
      </c>
      <c r="B75" s="75" t="s">
        <v>221</v>
      </c>
      <c r="C75" s="75" t="s">
        <v>3366</v>
      </c>
      <c r="D75" s="76">
        <v>46057</v>
      </c>
      <c r="E75" s="75" t="s">
        <v>361</v>
      </c>
      <c r="F75" s="74">
        <v>77.13</v>
      </c>
      <c r="G75" s="75" t="s">
        <v>1318</v>
      </c>
      <c r="H75" s="77" t="str">
        <f>VLOOKUP(DESPESAS[[#This Row],[Plano de Contas]],BASE!$B$3:$D$119,3,FALSE)</f>
        <v>Feiras e Eventos</v>
      </c>
      <c r="I75" s="77" t="str">
        <f>IFERROR(VLOOKUP(DESPESAS[[#This Row],[Fornecedor]],Tabela2[],2,FALSE),"")</f>
        <v/>
      </c>
      <c r="J75" s="77" t="str">
        <f>IFERROR(VLOOKUP(DESPESAS[[#This Row],[Plano de Contas]],BASE!$B$3:$F$119,4,FALSE),"")</f>
        <v>6 - DESPESA COM VENDAS</v>
      </c>
      <c r="K75" s="77" t="str">
        <f>IFERROR(VLOOKUP(DESPESAS[[#This Row],[Plano de Contas]],BASE!$B$3:$H$119,5,FALSE),"")</f>
        <v>COMERCIAL</v>
      </c>
      <c r="L75" s="77">
        <f>IFERROR(VLOOKUP(DESPESAS[[#This Row],[Plano de Contas]],BASE!$B$3:$H$119,6,FALSE),"")</f>
        <v>0</v>
      </c>
      <c r="M75" s="77" t="str">
        <f>VLOOKUP(DESPESAS[[#This Row],[Plano de Contas]],BASE!$B$3:$H$119,7,FALSE)</f>
        <v>THAIS</v>
      </c>
    </row>
    <row r="76" spans="1:13" x14ac:dyDescent="0.25">
      <c r="A76" s="74">
        <v>189380</v>
      </c>
      <c r="B76" s="75" t="s">
        <v>221</v>
      </c>
      <c r="C76" s="75" t="s">
        <v>3365</v>
      </c>
      <c r="D76" s="76">
        <v>46085</v>
      </c>
      <c r="E76" s="75" t="s">
        <v>361</v>
      </c>
      <c r="F76" s="74">
        <v>77.13</v>
      </c>
      <c r="G76" s="75" t="s">
        <v>1318</v>
      </c>
      <c r="H76" s="77" t="str">
        <f>VLOOKUP(DESPESAS[[#This Row],[Plano de Contas]],BASE!$B$3:$D$119,3,FALSE)</f>
        <v>Feiras e Eventos</v>
      </c>
      <c r="I76" s="77" t="str">
        <f>IFERROR(VLOOKUP(DESPESAS[[#This Row],[Fornecedor]],Tabela2[],2,FALSE),"")</f>
        <v/>
      </c>
      <c r="J76" s="77" t="str">
        <f>IFERROR(VLOOKUP(DESPESAS[[#This Row],[Plano de Contas]],BASE!$B$3:$F$119,4,FALSE),"")</f>
        <v>6 - DESPESA COM VENDAS</v>
      </c>
      <c r="K76" s="77" t="str">
        <f>IFERROR(VLOOKUP(DESPESAS[[#This Row],[Plano de Contas]],BASE!$B$3:$H$119,5,FALSE),"")</f>
        <v>COMERCIAL</v>
      </c>
      <c r="L76" s="77">
        <f>IFERROR(VLOOKUP(DESPESAS[[#This Row],[Plano de Contas]],BASE!$B$3:$H$119,6,FALSE),"")</f>
        <v>0</v>
      </c>
      <c r="M76" s="77" t="str">
        <f>VLOOKUP(DESPESAS[[#This Row],[Plano de Contas]],BASE!$B$3:$H$119,7,FALSE)</f>
        <v>THAIS</v>
      </c>
    </row>
    <row r="77" spans="1:13" x14ac:dyDescent="0.25">
      <c r="A77" s="74">
        <v>189381</v>
      </c>
      <c r="B77" s="75" t="s">
        <v>221</v>
      </c>
      <c r="C77" s="75" t="s">
        <v>3364</v>
      </c>
      <c r="D77" s="76">
        <v>46116</v>
      </c>
      <c r="E77" s="75" t="s">
        <v>361</v>
      </c>
      <c r="F77" s="74">
        <v>77.13</v>
      </c>
      <c r="G77" s="75" t="s">
        <v>1318</v>
      </c>
      <c r="H77" s="77" t="str">
        <f>VLOOKUP(DESPESAS[[#This Row],[Plano de Contas]],BASE!$B$3:$D$119,3,FALSE)</f>
        <v>Feiras e Eventos</v>
      </c>
      <c r="I77" s="77" t="str">
        <f>IFERROR(VLOOKUP(DESPESAS[[#This Row],[Fornecedor]],Tabela2[],2,FALSE),"")</f>
        <v/>
      </c>
      <c r="J77" s="77" t="str">
        <f>IFERROR(VLOOKUP(DESPESAS[[#This Row],[Plano de Contas]],BASE!$B$3:$F$119,4,FALSE),"")</f>
        <v>6 - DESPESA COM VENDAS</v>
      </c>
      <c r="K77" s="77" t="str">
        <f>IFERROR(VLOOKUP(DESPESAS[[#This Row],[Plano de Contas]],BASE!$B$3:$H$119,5,FALSE),"")</f>
        <v>COMERCIAL</v>
      </c>
      <c r="L77" s="77">
        <f>IFERROR(VLOOKUP(DESPESAS[[#This Row],[Plano de Contas]],BASE!$B$3:$H$119,6,FALSE),"")</f>
        <v>0</v>
      </c>
      <c r="M77" s="77" t="str">
        <f>VLOOKUP(DESPESAS[[#This Row],[Plano de Contas]],BASE!$B$3:$H$119,7,FALSE)</f>
        <v>THAIS</v>
      </c>
    </row>
    <row r="78" spans="1:13" x14ac:dyDescent="0.25">
      <c r="A78" s="74">
        <v>189382</v>
      </c>
      <c r="B78" s="75" t="s">
        <v>221</v>
      </c>
      <c r="C78" s="75" t="s">
        <v>3753</v>
      </c>
      <c r="D78" s="76">
        <v>46146</v>
      </c>
      <c r="E78" s="75" t="s">
        <v>361</v>
      </c>
      <c r="F78" s="74">
        <v>77.13</v>
      </c>
      <c r="G78" s="75" t="s">
        <v>1318</v>
      </c>
      <c r="H78" s="77" t="str">
        <f>VLOOKUP(DESPESAS[[#This Row],[Plano de Contas]],BASE!$B$3:$D$119,3,FALSE)</f>
        <v>Feiras e Eventos</v>
      </c>
      <c r="I78" s="77" t="str">
        <f>IFERROR(VLOOKUP(DESPESAS[[#This Row],[Fornecedor]],Tabela2[],2,FALSE),"")</f>
        <v/>
      </c>
      <c r="J78" s="77" t="str">
        <f>IFERROR(VLOOKUP(DESPESAS[[#This Row],[Plano de Contas]],BASE!$B$3:$F$119,4,FALSE),"")</f>
        <v>6 - DESPESA COM VENDAS</v>
      </c>
      <c r="K78" s="77" t="str">
        <f>IFERROR(VLOOKUP(DESPESAS[[#This Row],[Plano de Contas]],BASE!$B$3:$H$119,5,FALSE),"")</f>
        <v>COMERCIAL</v>
      </c>
      <c r="L78" s="77">
        <f>IFERROR(VLOOKUP(DESPESAS[[#This Row],[Plano de Contas]],BASE!$B$3:$H$119,6,FALSE),"")</f>
        <v>0</v>
      </c>
      <c r="M78" s="77" t="str">
        <f>VLOOKUP(DESPESAS[[#This Row],[Plano de Contas]],BASE!$B$3:$H$119,7,FALSE)</f>
        <v>THAIS</v>
      </c>
    </row>
    <row r="79" spans="1:13" x14ac:dyDescent="0.25">
      <c r="A79" s="74">
        <v>189400</v>
      </c>
      <c r="B79" s="75" t="s">
        <v>221</v>
      </c>
      <c r="C79" s="75" t="s">
        <v>3363</v>
      </c>
      <c r="D79" s="76">
        <v>46026</v>
      </c>
      <c r="E79" s="75" t="s">
        <v>361</v>
      </c>
      <c r="F79" s="74">
        <v>231.37</v>
      </c>
      <c r="G79" s="75" t="s">
        <v>365</v>
      </c>
      <c r="H79" s="77" t="str">
        <f>VLOOKUP(DESPESAS[[#This Row],[Plano de Contas]],BASE!$B$3:$D$119,3,FALSE)</f>
        <v>Pró-Labore</v>
      </c>
      <c r="I79" s="77" t="str">
        <f>IFERROR(VLOOKUP(DESPESAS[[#This Row],[Fornecedor]],Tabela2[],2,FALSE),"")</f>
        <v/>
      </c>
      <c r="J79" s="77" t="str">
        <f>IFERROR(VLOOKUP(DESPESAS[[#This Row],[Plano de Contas]],BASE!$B$3:$F$119,4,FALSE),"")</f>
        <v>4 - GASTOS COM PESSOAL</v>
      </c>
      <c r="K79" s="77" t="str">
        <f>IFERROR(VLOOKUP(DESPESAS[[#This Row],[Plano de Contas]],BASE!$B$3:$H$119,5,FALSE),"")</f>
        <v>DIRETORIA</v>
      </c>
      <c r="L79" s="77">
        <f>IFERROR(VLOOKUP(DESPESAS[[#This Row],[Plano de Contas]],BASE!$B$3:$H$119,6,FALSE),"")</f>
        <v>0</v>
      </c>
      <c r="M79" s="77" t="str">
        <f>VLOOKUP(DESPESAS[[#This Row],[Plano de Contas]],BASE!$B$3:$H$119,7,FALSE)</f>
        <v>FÁBIO</v>
      </c>
    </row>
    <row r="80" spans="1:13" x14ac:dyDescent="0.25">
      <c r="A80" s="74">
        <v>189401</v>
      </c>
      <c r="B80" s="75" t="s">
        <v>221</v>
      </c>
      <c r="C80" s="75" t="s">
        <v>3362</v>
      </c>
      <c r="D80" s="76">
        <v>46057</v>
      </c>
      <c r="E80" s="75" t="s">
        <v>361</v>
      </c>
      <c r="F80" s="74">
        <v>231.37</v>
      </c>
      <c r="G80" s="75" t="s">
        <v>365</v>
      </c>
      <c r="H80" s="77" t="str">
        <f>VLOOKUP(DESPESAS[[#This Row],[Plano de Contas]],BASE!$B$3:$D$119,3,FALSE)</f>
        <v>Pró-Labore</v>
      </c>
      <c r="I80" s="77" t="str">
        <f>IFERROR(VLOOKUP(DESPESAS[[#This Row],[Fornecedor]],Tabela2[],2,FALSE),"")</f>
        <v/>
      </c>
      <c r="J80" s="77" t="str">
        <f>IFERROR(VLOOKUP(DESPESAS[[#This Row],[Plano de Contas]],BASE!$B$3:$F$119,4,FALSE),"")</f>
        <v>4 - GASTOS COM PESSOAL</v>
      </c>
      <c r="K80" s="77" t="str">
        <f>IFERROR(VLOOKUP(DESPESAS[[#This Row],[Plano de Contas]],BASE!$B$3:$H$119,5,FALSE),"")</f>
        <v>DIRETORIA</v>
      </c>
      <c r="L80" s="77">
        <f>IFERROR(VLOOKUP(DESPESAS[[#This Row],[Plano de Contas]],BASE!$B$3:$H$119,6,FALSE),"")</f>
        <v>0</v>
      </c>
      <c r="M80" s="77" t="str">
        <f>VLOOKUP(DESPESAS[[#This Row],[Plano de Contas]],BASE!$B$3:$H$119,7,FALSE)</f>
        <v>FÁBIO</v>
      </c>
    </row>
    <row r="81" spans="1:13" x14ac:dyDescent="0.25">
      <c r="A81" s="74">
        <v>189402</v>
      </c>
      <c r="B81" s="75" t="s">
        <v>221</v>
      </c>
      <c r="C81" s="75" t="s">
        <v>3361</v>
      </c>
      <c r="D81" s="76">
        <v>46085</v>
      </c>
      <c r="E81" s="75" t="s">
        <v>361</v>
      </c>
      <c r="F81" s="74">
        <v>231.37</v>
      </c>
      <c r="G81" s="75" t="s">
        <v>365</v>
      </c>
      <c r="H81" s="77" t="str">
        <f>VLOOKUP(DESPESAS[[#This Row],[Plano de Contas]],BASE!$B$3:$D$119,3,FALSE)</f>
        <v>Pró-Labore</v>
      </c>
      <c r="I81" s="77" t="str">
        <f>IFERROR(VLOOKUP(DESPESAS[[#This Row],[Fornecedor]],Tabela2[],2,FALSE),"")</f>
        <v/>
      </c>
      <c r="J81" s="77" t="str">
        <f>IFERROR(VLOOKUP(DESPESAS[[#This Row],[Plano de Contas]],BASE!$B$3:$F$119,4,FALSE),"")</f>
        <v>4 - GASTOS COM PESSOAL</v>
      </c>
      <c r="K81" s="77" t="str">
        <f>IFERROR(VLOOKUP(DESPESAS[[#This Row],[Plano de Contas]],BASE!$B$3:$H$119,5,FALSE),"")</f>
        <v>DIRETORIA</v>
      </c>
      <c r="L81" s="77">
        <f>IFERROR(VLOOKUP(DESPESAS[[#This Row],[Plano de Contas]],BASE!$B$3:$H$119,6,FALSE),"")</f>
        <v>0</v>
      </c>
      <c r="M81" s="77" t="str">
        <f>VLOOKUP(DESPESAS[[#This Row],[Plano de Contas]],BASE!$B$3:$H$119,7,FALSE)</f>
        <v>FÁBIO</v>
      </c>
    </row>
    <row r="82" spans="1:13" x14ac:dyDescent="0.25">
      <c r="A82" s="74">
        <v>189403</v>
      </c>
      <c r="B82" s="75" t="s">
        <v>221</v>
      </c>
      <c r="C82" s="75" t="s">
        <v>3360</v>
      </c>
      <c r="D82" s="76">
        <v>46116</v>
      </c>
      <c r="E82" s="75" t="s">
        <v>361</v>
      </c>
      <c r="F82" s="74">
        <v>231.37</v>
      </c>
      <c r="G82" s="75" t="s">
        <v>365</v>
      </c>
      <c r="H82" s="77" t="str">
        <f>VLOOKUP(DESPESAS[[#This Row],[Plano de Contas]],BASE!$B$3:$D$119,3,FALSE)</f>
        <v>Pró-Labore</v>
      </c>
      <c r="I82" s="77" t="str">
        <f>IFERROR(VLOOKUP(DESPESAS[[#This Row],[Fornecedor]],Tabela2[],2,FALSE),"")</f>
        <v/>
      </c>
      <c r="J82" s="77" t="str">
        <f>IFERROR(VLOOKUP(DESPESAS[[#This Row],[Plano de Contas]],BASE!$B$3:$F$119,4,FALSE),"")</f>
        <v>4 - GASTOS COM PESSOAL</v>
      </c>
      <c r="K82" s="77" t="str">
        <f>IFERROR(VLOOKUP(DESPESAS[[#This Row],[Plano de Contas]],BASE!$B$3:$H$119,5,FALSE),"")</f>
        <v>DIRETORIA</v>
      </c>
      <c r="L82" s="77">
        <f>IFERROR(VLOOKUP(DESPESAS[[#This Row],[Plano de Contas]],BASE!$B$3:$H$119,6,FALSE),"")</f>
        <v>0</v>
      </c>
      <c r="M82" s="77" t="str">
        <f>VLOOKUP(DESPESAS[[#This Row],[Plano de Contas]],BASE!$B$3:$H$119,7,FALSE)</f>
        <v>FÁBIO</v>
      </c>
    </row>
    <row r="83" spans="1:13" x14ac:dyDescent="0.25">
      <c r="A83" s="74">
        <v>189404</v>
      </c>
      <c r="B83" s="75" t="s">
        <v>221</v>
      </c>
      <c r="C83" s="75" t="s">
        <v>3754</v>
      </c>
      <c r="D83" s="76">
        <v>46146</v>
      </c>
      <c r="E83" s="75" t="s">
        <v>361</v>
      </c>
      <c r="F83" s="74">
        <v>231.37</v>
      </c>
      <c r="G83" s="75" t="s">
        <v>365</v>
      </c>
      <c r="H83" s="77" t="str">
        <f>VLOOKUP(DESPESAS[[#This Row],[Plano de Contas]],BASE!$B$3:$D$119,3,FALSE)</f>
        <v>Pró-Labore</v>
      </c>
      <c r="I83" s="77" t="str">
        <f>IFERROR(VLOOKUP(DESPESAS[[#This Row],[Fornecedor]],Tabela2[],2,FALSE),"")</f>
        <v/>
      </c>
      <c r="J83" s="77" t="str">
        <f>IFERROR(VLOOKUP(DESPESAS[[#This Row],[Plano de Contas]],BASE!$B$3:$F$119,4,FALSE),"")</f>
        <v>4 - GASTOS COM PESSOAL</v>
      </c>
      <c r="K83" s="77" t="str">
        <f>IFERROR(VLOOKUP(DESPESAS[[#This Row],[Plano de Contas]],BASE!$B$3:$H$119,5,FALSE),"")</f>
        <v>DIRETORIA</v>
      </c>
      <c r="L83" s="77">
        <f>IFERROR(VLOOKUP(DESPESAS[[#This Row],[Plano de Contas]],BASE!$B$3:$H$119,6,FALSE),"")</f>
        <v>0</v>
      </c>
      <c r="M83" s="77" t="str">
        <f>VLOOKUP(DESPESAS[[#This Row],[Plano de Contas]],BASE!$B$3:$H$119,7,FALSE)</f>
        <v>FÁBIO</v>
      </c>
    </row>
    <row r="84" spans="1:13" x14ac:dyDescent="0.25">
      <c r="A84" s="74">
        <v>189422</v>
      </c>
      <c r="B84" s="75" t="s">
        <v>221</v>
      </c>
      <c r="C84" s="75" t="s">
        <v>3359</v>
      </c>
      <c r="D84" s="76">
        <v>46026</v>
      </c>
      <c r="E84" s="75" t="s">
        <v>361</v>
      </c>
      <c r="F84" s="74">
        <v>85.15</v>
      </c>
      <c r="G84" s="75" t="s">
        <v>854</v>
      </c>
      <c r="H84" s="77" t="str">
        <f>VLOOKUP(DESPESAS[[#This Row],[Plano de Contas]],BASE!$B$3:$D$119,3,FALSE)</f>
        <v>Confraternização</v>
      </c>
      <c r="I84" s="77" t="str">
        <f>IFERROR(VLOOKUP(DESPESAS[[#This Row],[Fornecedor]],Tabela2[],2,FALSE),"")</f>
        <v/>
      </c>
      <c r="J84" s="77" t="str">
        <f>IFERROR(VLOOKUP(DESPESAS[[#This Row],[Plano de Contas]],BASE!$B$3:$F$119,4,FALSE),"")</f>
        <v>4 - GASTOS COM PESSOAL</v>
      </c>
      <c r="K84" s="77" t="str">
        <f>IFERROR(VLOOKUP(DESPESAS[[#This Row],[Plano de Contas]],BASE!$B$3:$H$119,5,FALSE),"")</f>
        <v>DH</v>
      </c>
      <c r="L84" s="77">
        <f>IFERROR(VLOOKUP(DESPESAS[[#This Row],[Plano de Contas]],BASE!$B$3:$H$119,6,FALSE),"")</f>
        <v>0</v>
      </c>
      <c r="M84" s="77" t="str">
        <f>VLOOKUP(DESPESAS[[#This Row],[Plano de Contas]],BASE!$B$3:$H$119,7,FALSE)</f>
        <v>MYLENA</v>
      </c>
    </row>
    <row r="85" spans="1:13" x14ac:dyDescent="0.25">
      <c r="A85" s="74">
        <v>189423</v>
      </c>
      <c r="B85" s="75" t="s">
        <v>221</v>
      </c>
      <c r="C85" s="75" t="s">
        <v>3358</v>
      </c>
      <c r="D85" s="76">
        <v>46057</v>
      </c>
      <c r="E85" s="75" t="s">
        <v>361</v>
      </c>
      <c r="F85" s="74">
        <v>85.15</v>
      </c>
      <c r="G85" s="75" t="s">
        <v>854</v>
      </c>
      <c r="H85" s="77" t="str">
        <f>VLOOKUP(DESPESAS[[#This Row],[Plano de Contas]],BASE!$B$3:$D$119,3,FALSE)</f>
        <v>Confraternização</v>
      </c>
      <c r="I85" s="77" t="str">
        <f>IFERROR(VLOOKUP(DESPESAS[[#This Row],[Fornecedor]],Tabela2[],2,FALSE),"")</f>
        <v/>
      </c>
      <c r="J85" s="77" t="str">
        <f>IFERROR(VLOOKUP(DESPESAS[[#This Row],[Plano de Contas]],BASE!$B$3:$F$119,4,FALSE),"")</f>
        <v>4 - GASTOS COM PESSOAL</v>
      </c>
      <c r="K85" s="77" t="str">
        <f>IFERROR(VLOOKUP(DESPESAS[[#This Row],[Plano de Contas]],BASE!$B$3:$H$119,5,FALSE),"")</f>
        <v>DH</v>
      </c>
      <c r="L85" s="77">
        <f>IFERROR(VLOOKUP(DESPESAS[[#This Row],[Plano de Contas]],BASE!$B$3:$H$119,6,FALSE),"")</f>
        <v>0</v>
      </c>
      <c r="M85" s="77" t="str">
        <f>VLOOKUP(DESPESAS[[#This Row],[Plano de Contas]],BASE!$B$3:$H$119,7,FALSE)</f>
        <v>MYLENA</v>
      </c>
    </row>
    <row r="86" spans="1:13" x14ac:dyDescent="0.25">
      <c r="A86" s="74">
        <v>189424</v>
      </c>
      <c r="B86" s="75" t="s">
        <v>221</v>
      </c>
      <c r="C86" s="75" t="s">
        <v>3357</v>
      </c>
      <c r="D86" s="76">
        <v>46085</v>
      </c>
      <c r="E86" s="75" t="s">
        <v>361</v>
      </c>
      <c r="F86" s="74">
        <v>85.15</v>
      </c>
      <c r="G86" s="75" t="s">
        <v>854</v>
      </c>
      <c r="H86" s="77" t="str">
        <f>VLOOKUP(DESPESAS[[#This Row],[Plano de Contas]],BASE!$B$3:$D$119,3,FALSE)</f>
        <v>Confraternização</v>
      </c>
      <c r="I86" s="77" t="str">
        <f>IFERROR(VLOOKUP(DESPESAS[[#This Row],[Fornecedor]],Tabela2[],2,FALSE),"")</f>
        <v/>
      </c>
      <c r="J86" s="77" t="str">
        <f>IFERROR(VLOOKUP(DESPESAS[[#This Row],[Plano de Contas]],BASE!$B$3:$F$119,4,FALSE),"")</f>
        <v>4 - GASTOS COM PESSOAL</v>
      </c>
      <c r="K86" s="77" t="str">
        <f>IFERROR(VLOOKUP(DESPESAS[[#This Row],[Plano de Contas]],BASE!$B$3:$H$119,5,FALSE),"")</f>
        <v>DH</v>
      </c>
      <c r="L86" s="77">
        <f>IFERROR(VLOOKUP(DESPESAS[[#This Row],[Plano de Contas]],BASE!$B$3:$H$119,6,FALSE),"")</f>
        <v>0</v>
      </c>
      <c r="M86" s="77" t="str">
        <f>VLOOKUP(DESPESAS[[#This Row],[Plano de Contas]],BASE!$B$3:$H$119,7,FALSE)</f>
        <v>MYLENA</v>
      </c>
    </row>
    <row r="87" spans="1:13" x14ac:dyDescent="0.25">
      <c r="A87" s="74">
        <v>189425</v>
      </c>
      <c r="B87" s="75" t="s">
        <v>221</v>
      </c>
      <c r="C87" s="75" t="s">
        <v>3356</v>
      </c>
      <c r="D87" s="76">
        <v>46116</v>
      </c>
      <c r="E87" s="75" t="s">
        <v>361</v>
      </c>
      <c r="F87" s="74">
        <v>85.15</v>
      </c>
      <c r="G87" s="75" t="s">
        <v>854</v>
      </c>
      <c r="H87" s="77" t="str">
        <f>VLOOKUP(DESPESAS[[#This Row],[Plano de Contas]],BASE!$B$3:$D$119,3,FALSE)</f>
        <v>Confraternização</v>
      </c>
      <c r="I87" s="77" t="str">
        <f>IFERROR(VLOOKUP(DESPESAS[[#This Row],[Fornecedor]],Tabela2[],2,FALSE),"")</f>
        <v/>
      </c>
      <c r="J87" s="77" t="str">
        <f>IFERROR(VLOOKUP(DESPESAS[[#This Row],[Plano de Contas]],BASE!$B$3:$F$119,4,FALSE),"")</f>
        <v>4 - GASTOS COM PESSOAL</v>
      </c>
      <c r="K87" s="77" t="str">
        <f>IFERROR(VLOOKUP(DESPESAS[[#This Row],[Plano de Contas]],BASE!$B$3:$H$119,5,FALSE),"")</f>
        <v>DH</v>
      </c>
      <c r="L87" s="77">
        <f>IFERROR(VLOOKUP(DESPESAS[[#This Row],[Plano de Contas]],BASE!$B$3:$H$119,6,FALSE),"")</f>
        <v>0</v>
      </c>
      <c r="M87" s="77" t="str">
        <f>VLOOKUP(DESPESAS[[#This Row],[Plano de Contas]],BASE!$B$3:$H$119,7,FALSE)</f>
        <v>MYLENA</v>
      </c>
    </row>
    <row r="88" spans="1:13" x14ac:dyDescent="0.25">
      <c r="A88" s="74">
        <v>189426</v>
      </c>
      <c r="B88" s="75" t="s">
        <v>221</v>
      </c>
      <c r="C88" s="75" t="s">
        <v>3755</v>
      </c>
      <c r="D88" s="76">
        <v>46146</v>
      </c>
      <c r="E88" s="75" t="s">
        <v>361</v>
      </c>
      <c r="F88" s="74">
        <v>85.15</v>
      </c>
      <c r="G88" s="75" t="s">
        <v>854</v>
      </c>
      <c r="H88" s="77" t="str">
        <f>VLOOKUP(DESPESAS[[#This Row],[Plano de Contas]],BASE!$B$3:$D$119,3,FALSE)</f>
        <v>Confraternização</v>
      </c>
      <c r="I88" s="77" t="str">
        <f>IFERROR(VLOOKUP(DESPESAS[[#This Row],[Fornecedor]],Tabela2[],2,FALSE),"")</f>
        <v/>
      </c>
      <c r="J88" s="77" t="str">
        <f>IFERROR(VLOOKUP(DESPESAS[[#This Row],[Plano de Contas]],BASE!$B$3:$F$119,4,FALSE),"")</f>
        <v>4 - GASTOS COM PESSOAL</v>
      </c>
      <c r="K88" s="77" t="str">
        <f>IFERROR(VLOOKUP(DESPESAS[[#This Row],[Plano de Contas]],BASE!$B$3:$H$119,5,FALSE),"")</f>
        <v>DH</v>
      </c>
      <c r="L88" s="77">
        <f>IFERROR(VLOOKUP(DESPESAS[[#This Row],[Plano de Contas]],BASE!$B$3:$H$119,6,FALSE),"")</f>
        <v>0</v>
      </c>
      <c r="M88" s="77" t="str">
        <f>VLOOKUP(DESPESAS[[#This Row],[Plano de Contas]],BASE!$B$3:$H$119,7,FALSE)</f>
        <v>MYLENA</v>
      </c>
    </row>
    <row r="89" spans="1:13" x14ac:dyDescent="0.25">
      <c r="A89" s="74">
        <v>189800</v>
      </c>
      <c r="B89" s="75" t="s">
        <v>232</v>
      </c>
      <c r="C89" s="75" t="s">
        <v>3109</v>
      </c>
      <c r="D89" s="76">
        <v>46037</v>
      </c>
      <c r="E89" s="75" t="s">
        <v>3108</v>
      </c>
      <c r="F89" s="74">
        <v>350</v>
      </c>
      <c r="G89" s="75" t="s">
        <v>561</v>
      </c>
      <c r="H89" s="77" t="str">
        <f>VLOOKUP(DESPESAS[[#This Row],[Plano de Contas]],BASE!$B$3:$D$119,3,FALSE)</f>
        <v>Sistemas de Informação</v>
      </c>
      <c r="I89" s="77" t="str">
        <f>IFERROR(VLOOKUP(DESPESAS[[#This Row],[Fornecedor]],Tabela2[],2,FALSE),"")</f>
        <v>NUNTIA IA FINANCEIRO</v>
      </c>
      <c r="J89" s="77" t="str">
        <f>IFERROR(VLOOKUP(DESPESAS[[#This Row],[Plano de Contas]],BASE!$B$3:$F$119,4,FALSE),"")</f>
        <v>7 - SERVIÇOS DE TERCEIROS</v>
      </c>
      <c r="K89" s="77" t="str">
        <f>IFERROR(VLOOKUP(DESPESAS[[#This Row],[Plano de Contas]],BASE!$B$3:$H$119,5,FALSE),"")</f>
        <v>MANUTENÇÃO / TI</v>
      </c>
      <c r="L89" s="77">
        <f>IFERROR(VLOOKUP(DESPESAS[[#This Row],[Plano de Contas]],BASE!$B$3:$H$119,6,FALSE),"")</f>
        <v>0</v>
      </c>
      <c r="M89" s="77" t="str">
        <f>VLOOKUP(DESPESAS[[#This Row],[Plano de Contas]],BASE!$B$3:$H$119,7,FALSE)</f>
        <v>LETÍCIA</v>
      </c>
    </row>
    <row r="90" spans="1:13" x14ac:dyDescent="0.25">
      <c r="A90" s="74">
        <v>190095</v>
      </c>
      <c r="B90" s="75" t="s">
        <v>221</v>
      </c>
      <c r="C90" s="75" t="s">
        <v>3355</v>
      </c>
      <c r="D90" s="76">
        <v>46053</v>
      </c>
      <c r="E90" s="75" t="s">
        <v>720</v>
      </c>
      <c r="F90" s="74">
        <v>12000</v>
      </c>
      <c r="G90" s="75" t="s">
        <v>470</v>
      </c>
      <c r="H90" s="77" t="str">
        <f>VLOOKUP(DESPESAS[[#This Row],[Plano de Contas]],BASE!$B$3:$D$119,3,FALSE)</f>
        <v>Desenvolvimento de Novos Produtos</v>
      </c>
      <c r="I90" s="77" t="str">
        <f>IFERROR(VLOOKUP(DESPESAS[[#This Row],[Fornecedor]],Tabela2[],2,FALSE),"")</f>
        <v/>
      </c>
      <c r="J90" s="77" t="str">
        <f>IFERROR(VLOOKUP(DESPESAS[[#This Row],[Plano de Contas]],BASE!$B$3:$F$119,4,FALSE),"")</f>
        <v>6 - DESPESA COM VENDAS</v>
      </c>
      <c r="K90" s="77" t="str">
        <f>IFERROR(VLOOKUP(DESPESAS[[#This Row],[Plano de Contas]],BASE!$B$3:$H$119,5,FALSE),"")</f>
        <v>DESENVOLVIMENTO</v>
      </c>
      <c r="L90" s="77">
        <f>IFERROR(VLOOKUP(DESPESAS[[#This Row],[Plano de Contas]],BASE!$B$3:$H$119,6,FALSE),"")</f>
        <v>0</v>
      </c>
      <c r="M90" s="77" t="str">
        <f>VLOOKUP(DESPESAS[[#This Row],[Plano de Contas]],BASE!$B$3:$H$119,7,FALSE)</f>
        <v>RAFAEL</v>
      </c>
    </row>
    <row r="91" spans="1:13" x14ac:dyDescent="0.25">
      <c r="A91" s="74">
        <v>190339</v>
      </c>
      <c r="B91" s="75" t="s">
        <v>221</v>
      </c>
      <c r="C91" s="75" t="s">
        <v>3354</v>
      </c>
      <c r="D91" s="76">
        <v>46068</v>
      </c>
      <c r="E91" s="75" t="s">
        <v>570</v>
      </c>
      <c r="F91" s="74">
        <v>4833.34</v>
      </c>
      <c r="G91" s="75" t="s">
        <v>225</v>
      </c>
      <c r="H91" s="77" t="str">
        <f>VLOOKUP(DESPESAS[[#This Row],[Plano de Contas]],BASE!$B$3:$D$119,3,FALSE)</f>
        <v>Despesas de Outros Gastos Não Operacionais</v>
      </c>
      <c r="I91" s="77" t="str">
        <f>IFERROR(VLOOKUP(DESPESAS[[#This Row],[Fornecedor]],Tabela2[],2,FALSE),"")</f>
        <v/>
      </c>
      <c r="J91" s="77" t="str">
        <f>IFERROR(VLOOKUP(DESPESAS[[#This Row],[Plano de Contas]],BASE!$B$3:$F$119,4,FALSE),"")</f>
        <v>8 - DESPESAS FINANCEIRAS</v>
      </c>
      <c r="K91" s="77" t="str">
        <f>IFERROR(VLOOKUP(DESPESAS[[#This Row],[Plano de Contas]],BASE!$B$3:$H$119,5,FALSE),"")</f>
        <v>FINANCEIRO</v>
      </c>
      <c r="L91" s="77">
        <f>IFERROR(VLOOKUP(DESPESAS[[#This Row],[Plano de Contas]],BASE!$B$3:$H$119,6,FALSE),"")</f>
        <v>0</v>
      </c>
      <c r="M91" s="77" t="str">
        <f>VLOOKUP(DESPESAS[[#This Row],[Plano de Contas]],BASE!$B$3:$H$119,7,FALSE)</f>
        <v>LETÍCIA</v>
      </c>
    </row>
    <row r="92" spans="1:13" x14ac:dyDescent="0.25">
      <c r="A92" s="74">
        <v>190340</v>
      </c>
      <c r="B92" s="75" t="s">
        <v>221</v>
      </c>
      <c r="C92" s="75" t="s">
        <v>3354</v>
      </c>
      <c r="D92" s="76">
        <v>46081</v>
      </c>
      <c r="E92" s="75" t="s">
        <v>570</v>
      </c>
      <c r="F92" s="74">
        <v>4833.34</v>
      </c>
      <c r="G92" s="75" t="s">
        <v>225</v>
      </c>
      <c r="H92" s="77" t="str">
        <f>VLOOKUP(DESPESAS[[#This Row],[Plano de Contas]],BASE!$B$3:$D$119,3,FALSE)</f>
        <v>Despesas de Outros Gastos Não Operacionais</v>
      </c>
      <c r="I92" s="77" t="str">
        <f>IFERROR(VLOOKUP(DESPESAS[[#This Row],[Fornecedor]],Tabela2[],2,FALSE),"")</f>
        <v/>
      </c>
      <c r="J92" s="77" t="str">
        <f>IFERROR(VLOOKUP(DESPESAS[[#This Row],[Plano de Contas]],BASE!$B$3:$F$119,4,FALSE),"")</f>
        <v>8 - DESPESAS FINANCEIRAS</v>
      </c>
      <c r="K92" s="77" t="str">
        <f>IFERROR(VLOOKUP(DESPESAS[[#This Row],[Plano de Contas]],BASE!$B$3:$H$119,5,FALSE),"")</f>
        <v>FINANCEIRO</v>
      </c>
      <c r="L92" s="77">
        <f>IFERROR(VLOOKUP(DESPESAS[[#This Row],[Plano de Contas]],BASE!$B$3:$H$119,6,FALSE),"")</f>
        <v>0</v>
      </c>
      <c r="M92" s="77" t="str">
        <f>VLOOKUP(DESPESAS[[#This Row],[Plano de Contas]],BASE!$B$3:$H$119,7,FALSE)</f>
        <v>LETÍCIA</v>
      </c>
    </row>
    <row r="93" spans="1:13" x14ac:dyDescent="0.25">
      <c r="A93" s="74">
        <v>190341</v>
      </c>
      <c r="B93" s="75" t="s">
        <v>221</v>
      </c>
      <c r="C93" s="75" t="s">
        <v>3354</v>
      </c>
      <c r="D93" s="76">
        <v>46096</v>
      </c>
      <c r="E93" s="75" t="s">
        <v>570</v>
      </c>
      <c r="F93" s="74">
        <v>4833.34</v>
      </c>
      <c r="G93" s="75" t="s">
        <v>225</v>
      </c>
      <c r="H93" s="77" t="str">
        <f>VLOOKUP(DESPESAS[[#This Row],[Plano de Contas]],BASE!$B$3:$D$119,3,FALSE)</f>
        <v>Despesas de Outros Gastos Não Operacionais</v>
      </c>
      <c r="I93" s="77" t="str">
        <f>IFERROR(VLOOKUP(DESPESAS[[#This Row],[Fornecedor]],Tabela2[],2,FALSE),"")</f>
        <v/>
      </c>
      <c r="J93" s="77" t="str">
        <f>IFERROR(VLOOKUP(DESPESAS[[#This Row],[Plano de Contas]],BASE!$B$3:$F$119,4,FALSE),"")</f>
        <v>8 - DESPESAS FINANCEIRAS</v>
      </c>
      <c r="K93" s="77" t="str">
        <f>IFERROR(VLOOKUP(DESPESAS[[#This Row],[Plano de Contas]],BASE!$B$3:$H$119,5,FALSE),"")</f>
        <v>FINANCEIRO</v>
      </c>
      <c r="L93" s="77">
        <f>IFERROR(VLOOKUP(DESPESAS[[#This Row],[Plano de Contas]],BASE!$B$3:$H$119,6,FALSE),"")</f>
        <v>0</v>
      </c>
      <c r="M93" s="77" t="str">
        <f>VLOOKUP(DESPESAS[[#This Row],[Plano de Contas]],BASE!$B$3:$H$119,7,FALSE)</f>
        <v>LETÍCIA</v>
      </c>
    </row>
    <row r="94" spans="1:13" x14ac:dyDescent="0.25">
      <c r="A94" s="74">
        <v>190342</v>
      </c>
      <c r="B94" s="75" t="s">
        <v>221</v>
      </c>
      <c r="C94" s="75" t="s">
        <v>3354</v>
      </c>
      <c r="D94" s="76">
        <v>46111</v>
      </c>
      <c r="E94" s="75" t="s">
        <v>570</v>
      </c>
      <c r="F94" s="74">
        <v>4833.34</v>
      </c>
      <c r="G94" s="75" t="s">
        <v>225</v>
      </c>
      <c r="H94" s="77" t="str">
        <f>VLOOKUP(DESPESAS[[#This Row],[Plano de Contas]],BASE!$B$3:$D$119,3,FALSE)</f>
        <v>Despesas de Outros Gastos Não Operacionais</v>
      </c>
      <c r="I94" s="77" t="str">
        <f>IFERROR(VLOOKUP(DESPESAS[[#This Row],[Fornecedor]],Tabela2[],2,FALSE),"")</f>
        <v/>
      </c>
      <c r="J94" s="77" t="str">
        <f>IFERROR(VLOOKUP(DESPESAS[[#This Row],[Plano de Contas]],BASE!$B$3:$F$119,4,FALSE),"")</f>
        <v>8 - DESPESAS FINANCEIRAS</v>
      </c>
      <c r="K94" s="77" t="str">
        <f>IFERROR(VLOOKUP(DESPESAS[[#This Row],[Plano de Contas]],BASE!$B$3:$H$119,5,FALSE),"")</f>
        <v>FINANCEIRO</v>
      </c>
      <c r="L94" s="77">
        <f>IFERROR(VLOOKUP(DESPESAS[[#This Row],[Plano de Contas]],BASE!$B$3:$H$119,6,FALSE),"")</f>
        <v>0</v>
      </c>
      <c r="M94" s="77" t="str">
        <f>VLOOKUP(DESPESAS[[#This Row],[Plano de Contas]],BASE!$B$3:$H$119,7,FALSE)</f>
        <v>LETÍCIA</v>
      </c>
    </row>
    <row r="95" spans="1:13" x14ac:dyDescent="0.25">
      <c r="A95" s="74">
        <v>190343</v>
      </c>
      <c r="B95" s="75" t="s">
        <v>221</v>
      </c>
      <c r="C95" s="75" t="s">
        <v>3354</v>
      </c>
      <c r="D95" s="76">
        <v>46127</v>
      </c>
      <c r="E95" s="75" t="s">
        <v>570</v>
      </c>
      <c r="F95" s="74">
        <v>4833.34</v>
      </c>
      <c r="G95" s="75" t="s">
        <v>225</v>
      </c>
      <c r="H95" s="77" t="str">
        <f>VLOOKUP(DESPESAS[[#This Row],[Plano de Contas]],BASE!$B$3:$D$119,3,FALSE)</f>
        <v>Despesas de Outros Gastos Não Operacionais</v>
      </c>
      <c r="I95" s="77" t="str">
        <f>IFERROR(VLOOKUP(DESPESAS[[#This Row],[Fornecedor]],Tabela2[],2,FALSE),"")</f>
        <v/>
      </c>
      <c r="J95" s="77" t="str">
        <f>IFERROR(VLOOKUP(DESPESAS[[#This Row],[Plano de Contas]],BASE!$B$3:$F$119,4,FALSE),"")</f>
        <v>8 - DESPESAS FINANCEIRAS</v>
      </c>
      <c r="K95" s="77" t="str">
        <f>IFERROR(VLOOKUP(DESPESAS[[#This Row],[Plano de Contas]],BASE!$B$3:$H$119,5,FALSE),"")</f>
        <v>FINANCEIRO</v>
      </c>
      <c r="L95" s="77">
        <f>IFERROR(VLOOKUP(DESPESAS[[#This Row],[Plano de Contas]],BASE!$B$3:$H$119,6,FALSE),"")</f>
        <v>0</v>
      </c>
      <c r="M95" s="77" t="str">
        <f>VLOOKUP(DESPESAS[[#This Row],[Plano de Contas]],BASE!$B$3:$H$119,7,FALSE)</f>
        <v>LETÍCIA</v>
      </c>
    </row>
    <row r="96" spans="1:13" x14ac:dyDescent="0.25">
      <c r="A96" s="74">
        <v>190344</v>
      </c>
      <c r="B96" s="75" t="s">
        <v>221</v>
      </c>
      <c r="C96" s="75" t="s">
        <v>3354</v>
      </c>
      <c r="D96" s="76">
        <v>46142</v>
      </c>
      <c r="E96" s="75" t="s">
        <v>570</v>
      </c>
      <c r="F96" s="74">
        <v>4833.34</v>
      </c>
      <c r="G96" s="75" t="s">
        <v>225</v>
      </c>
      <c r="H96" s="77" t="str">
        <f>VLOOKUP(DESPESAS[[#This Row],[Plano de Contas]],BASE!$B$3:$D$119,3,FALSE)</f>
        <v>Despesas de Outros Gastos Não Operacionais</v>
      </c>
      <c r="I96" s="77" t="str">
        <f>IFERROR(VLOOKUP(DESPESAS[[#This Row],[Fornecedor]],Tabela2[],2,FALSE),"")</f>
        <v/>
      </c>
      <c r="J96" s="77" t="str">
        <f>IFERROR(VLOOKUP(DESPESAS[[#This Row],[Plano de Contas]],BASE!$B$3:$F$119,4,FALSE),"")</f>
        <v>8 - DESPESAS FINANCEIRAS</v>
      </c>
      <c r="K96" s="77" t="str">
        <f>IFERROR(VLOOKUP(DESPESAS[[#This Row],[Plano de Contas]],BASE!$B$3:$H$119,5,FALSE),"")</f>
        <v>FINANCEIRO</v>
      </c>
      <c r="L96" s="77">
        <f>IFERROR(VLOOKUP(DESPESAS[[#This Row],[Plano de Contas]],BASE!$B$3:$H$119,6,FALSE),"")</f>
        <v>0</v>
      </c>
      <c r="M96" s="77" t="str">
        <f>VLOOKUP(DESPESAS[[#This Row],[Plano de Contas]],BASE!$B$3:$H$119,7,FALSE)</f>
        <v>LETÍCIA</v>
      </c>
    </row>
    <row r="97" spans="1:13" x14ac:dyDescent="0.25">
      <c r="A97" s="74">
        <v>190679</v>
      </c>
      <c r="B97" s="75" t="s">
        <v>232</v>
      </c>
      <c r="C97" s="75" t="s">
        <v>3353</v>
      </c>
      <c r="D97" s="76">
        <v>46039</v>
      </c>
      <c r="E97" s="75" t="s">
        <v>322</v>
      </c>
      <c r="F97" s="74">
        <v>8900</v>
      </c>
      <c r="G97" s="75" t="s">
        <v>588</v>
      </c>
      <c r="H97" s="77" t="str">
        <f>VLOOKUP(DESPESAS[[#This Row],[Plano de Contas]],BASE!$B$3:$D$119,3,FALSE)</f>
        <v>Maquinas e Equipamentos</v>
      </c>
      <c r="I97" s="77" t="str">
        <f>IFERROR(VLOOKUP(DESPESAS[[#This Row],[Fornecedor]],Tabela2[],2,FALSE),"")</f>
        <v>CNC TECIDO</v>
      </c>
      <c r="J97" s="77" t="str">
        <f>IFERROR(VLOOKUP(DESPESAS[[#This Row],[Plano de Contas]],BASE!$B$3:$F$119,4,FALSE),"")</f>
        <v>9 - INVESTIMENTOS</v>
      </c>
      <c r="K97" s="77" t="str">
        <f>IFERROR(VLOOKUP(DESPESAS[[#This Row],[Plano de Contas]],BASE!$B$3:$H$119,5,FALSE),"")</f>
        <v>MANUTENÇÃO / TI</v>
      </c>
      <c r="L97" s="77">
        <f>IFERROR(VLOOKUP(DESPESAS[[#This Row],[Plano de Contas]],BASE!$B$3:$H$119,6,FALSE),"")</f>
        <v>0</v>
      </c>
      <c r="M97" s="77" t="str">
        <f>VLOOKUP(DESPESAS[[#This Row],[Plano de Contas]],BASE!$B$3:$H$119,7,FALSE)</f>
        <v>RAFAEL</v>
      </c>
    </row>
    <row r="98" spans="1:13" x14ac:dyDescent="0.25">
      <c r="A98" s="74">
        <v>190680</v>
      </c>
      <c r="B98" s="75" t="s">
        <v>232</v>
      </c>
      <c r="C98" s="75" t="s">
        <v>3352</v>
      </c>
      <c r="D98" s="76">
        <v>46070</v>
      </c>
      <c r="E98" s="75" t="s">
        <v>322</v>
      </c>
      <c r="F98" s="74">
        <v>8900</v>
      </c>
      <c r="G98" s="75" t="s">
        <v>588</v>
      </c>
      <c r="H98" s="77" t="str">
        <f>VLOOKUP(DESPESAS[[#This Row],[Plano de Contas]],BASE!$B$3:$D$119,3,FALSE)</f>
        <v>Maquinas e Equipamentos</v>
      </c>
      <c r="I98" s="77" t="str">
        <f>IFERROR(VLOOKUP(DESPESAS[[#This Row],[Fornecedor]],Tabela2[],2,FALSE),"")</f>
        <v>CNC TECIDO</v>
      </c>
      <c r="J98" s="77" t="str">
        <f>IFERROR(VLOOKUP(DESPESAS[[#This Row],[Plano de Contas]],BASE!$B$3:$F$119,4,FALSE),"")</f>
        <v>9 - INVESTIMENTOS</v>
      </c>
      <c r="K98" s="77" t="str">
        <f>IFERROR(VLOOKUP(DESPESAS[[#This Row],[Plano de Contas]],BASE!$B$3:$H$119,5,FALSE),"")</f>
        <v>MANUTENÇÃO / TI</v>
      </c>
      <c r="L98" s="77">
        <f>IFERROR(VLOOKUP(DESPESAS[[#This Row],[Plano de Contas]],BASE!$B$3:$H$119,6,FALSE),"")</f>
        <v>0</v>
      </c>
      <c r="M98" s="77" t="str">
        <f>VLOOKUP(DESPESAS[[#This Row],[Plano de Contas]],BASE!$B$3:$H$119,7,FALSE)</f>
        <v>RAFAEL</v>
      </c>
    </row>
    <row r="99" spans="1:13" x14ac:dyDescent="0.25">
      <c r="A99" s="74">
        <v>190681</v>
      </c>
      <c r="B99" s="75" t="s">
        <v>232</v>
      </c>
      <c r="C99" s="75" t="s">
        <v>3351</v>
      </c>
      <c r="D99" s="76">
        <v>46098</v>
      </c>
      <c r="E99" s="75" t="s">
        <v>322</v>
      </c>
      <c r="F99" s="74">
        <v>8900</v>
      </c>
      <c r="G99" s="75" t="s">
        <v>588</v>
      </c>
      <c r="H99" s="77" t="str">
        <f>VLOOKUP(DESPESAS[[#This Row],[Plano de Contas]],BASE!$B$3:$D$119,3,FALSE)</f>
        <v>Maquinas e Equipamentos</v>
      </c>
      <c r="I99" s="77" t="str">
        <f>IFERROR(VLOOKUP(DESPESAS[[#This Row],[Fornecedor]],Tabela2[],2,FALSE),"")</f>
        <v>CNC TECIDO</v>
      </c>
      <c r="J99" s="77" t="str">
        <f>IFERROR(VLOOKUP(DESPESAS[[#This Row],[Plano de Contas]],BASE!$B$3:$F$119,4,FALSE),"")</f>
        <v>9 - INVESTIMENTOS</v>
      </c>
      <c r="K99" s="77" t="str">
        <f>IFERROR(VLOOKUP(DESPESAS[[#This Row],[Plano de Contas]],BASE!$B$3:$H$119,5,FALSE),"")</f>
        <v>MANUTENÇÃO / TI</v>
      </c>
      <c r="L99" s="77">
        <f>IFERROR(VLOOKUP(DESPESAS[[#This Row],[Plano de Contas]],BASE!$B$3:$H$119,6,FALSE),"")</f>
        <v>0</v>
      </c>
      <c r="M99" s="77" t="str">
        <f>VLOOKUP(DESPESAS[[#This Row],[Plano de Contas]],BASE!$B$3:$H$119,7,FALSE)</f>
        <v>RAFAEL</v>
      </c>
    </row>
    <row r="100" spans="1:13" x14ac:dyDescent="0.25">
      <c r="A100" s="74">
        <v>190682</v>
      </c>
      <c r="B100" s="75" t="s">
        <v>232</v>
      </c>
      <c r="C100" s="75" t="s">
        <v>3350</v>
      </c>
      <c r="D100" s="76">
        <v>46129</v>
      </c>
      <c r="E100" s="75" t="s">
        <v>322</v>
      </c>
      <c r="F100" s="74">
        <v>8900</v>
      </c>
      <c r="G100" s="75" t="s">
        <v>588</v>
      </c>
      <c r="H100" s="77" t="str">
        <f>VLOOKUP(DESPESAS[[#This Row],[Plano de Contas]],BASE!$B$3:$D$119,3,FALSE)</f>
        <v>Maquinas e Equipamentos</v>
      </c>
      <c r="I100" s="77" t="str">
        <f>IFERROR(VLOOKUP(DESPESAS[[#This Row],[Fornecedor]],Tabela2[],2,FALSE),"")</f>
        <v>CNC TECIDO</v>
      </c>
      <c r="J100" s="77" t="str">
        <f>IFERROR(VLOOKUP(DESPESAS[[#This Row],[Plano de Contas]],BASE!$B$3:$F$119,4,FALSE),"")</f>
        <v>9 - INVESTIMENTOS</v>
      </c>
      <c r="K100" s="77" t="str">
        <f>IFERROR(VLOOKUP(DESPESAS[[#This Row],[Plano de Contas]],BASE!$B$3:$H$119,5,FALSE),"")</f>
        <v>MANUTENÇÃO / TI</v>
      </c>
      <c r="L100" s="77">
        <f>IFERROR(VLOOKUP(DESPESAS[[#This Row],[Plano de Contas]],BASE!$B$3:$H$119,6,FALSE),"")</f>
        <v>0</v>
      </c>
      <c r="M100" s="77" t="str">
        <f>VLOOKUP(DESPESAS[[#This Row],[Plano de Contas]],BASE!$B$3:$H$119,7,FALSE)</f>
        <v>RAFAEL</v>
      </c>
    </row>
    <row r="101" spans="1:13" x14ac:dyDescent="0.25">
      <c r="A101" s="74">
        <v>191463</v>
      </c>
      <c r="B101" s="75" t="s">
        <v>232</v>
      </c>
      <c r="C101" s="75" t="s">
        <v>3349</v>
      </c>
      <c r="D101" s="76">
        <v>46034</v>
      </c>
      <c r="E101" s="75" t="s">
        <v>628</v>
      </c>
      <c r="F101" s="74">
        <v>605.44000000000005</v>
      </c>
      <c r="G101" s="75" t="s">
        <v>627</v>
      </c>
      <c r="H101" s="77" t="str">
        <f>VLOOKUP(DESPESAS[[#This Row],[Plano de Contas]],BASE!$B$3:$D$119,3,FALSE)</f>
        <v>Salarios e Ordenados (Adm)</v>
      </c>
      <c r="I101" s="77" t="str">
        <f>IFERROR(VLOOKUP(DESPESAS[[#This Row],[Fornecedor]],Tabela2[],2,FALSE),"")</f>
        <v/>
      </c>
      <c r="J101" s="77" t="str">
        <f>IFERROR(VLOOKUP(DESPESAS[[#This Row],[Plano de Contas]],BASE!$B$3:$F$119,4,FALSE),"")</f>
        <v>4 - GASTOS COM PESSOAL</v>
      </c>
      <c r="K101" s="77" t="str">
        <f>IFERROR(VLOOKUP(DESPESAS[[#This Row],[Plano de Contas]],BASE!$B$3:$H$119,5,FALSE),"")</f>
        <v>DH</v>
      </c>
      <c r="L101" s="77">
        <f>IFERROR(VLOOKUP(DESPESAS[[#This Row],[Plano de Contas]],BASE!$B$3:$H$119,6,FALSE),"")</f>
        <v>0</v>
      </c>
      <c r="M101" s="77" t="str">
        <f>VLOOKUP(DESPESAS[[#This Row],[Plano de Contas]],BASE!$B$3:$H$119,7,FALSE)</f>
        <v>RAFAEL</v>
      </c>
    </row>
    <row r="102" spans="1:13" x14ac:dyDescent="0.25">
      <c r="A102" s="74">
        <v>191464</v>
      </c>
      <c r="B102" s="75" t="s">
        <v>232</v>
      </c>
      <c r="C102" s="75" t="s">
        <v>3348</v>
      </c>
      <c r="D102" s="76">
        <v>46065</v>
      </c>
      <c r="E102" s="75" t="s">
        <v>628</v>
      </c>
      <c r="F102" s="74">
        <v>605.44000000000005</v>
      </c>
      <c r="G102" s="75" t="s">
        <v>627</v>
      </c>
      <c r="H102" s="77" t="str">
        <f>VLOOKUP(DESPESAS[[#This Row],[Plano de Contas]],BASE!$B$3:$D$119,3,FALSE)</f>
        <v>Salarios e Ordenados (Adm)</v>
      </c>
      <c r="I102" s="77" t="str">
        <f>IFERROR(VLOOKUP(DESPESAS[[#This Row],[Fornecedor]],Tabela2[],2,FALSE),"")</f>
        <v/>
      </c>
      <c r="J102" s="77" t="str">
        <f>IFERROR(VLOOKUP(DESPESAS[[#This Row],[Plano de Contas]],BASE!$B$3:$F$119,4,FALSE),"")</f>
        <v>4 - GASTOS COM PESSOAL</v>
      </c>
      <c r="K102" s="77" t="str">
        <f>IFERROR(VLOOKUP(DESPESAS[[#This Row],[Plano de Contas]],BASE!$B$3:$H$119,5,FALSE),"")</f>
        <v>DH</v>
      </c>
      <c r="L102" s="77">
        <f>IFERROR(VLOOKUP(DESPESAS[[#This Row],[Plano de Contas]],BASE!$B$3:$H$119,6,FALSE),"")</f>
        <v>0</v>
      </c>
      <c r="M102" s="77" t="str">
        <f>VLOOKUP(DESPESAS[[#This Row],[Plano de Contas]],BASE!$B$3:$H$119,7,FALSE)</f>
        <v>RAFAEL</v>
      </c>
    </row>
    <row r="103" spans="1:13" x14ac:dyDescent="0.25">
      <c r="A103" s="74">
        <v>191465</v>
      </c>
      <c r="B103" s="75" t="s">
        <v>232</v>
      </c>
      <c r="C103" s="75" t="s">
        <v>3347</v>
      </c>
      <c r="D103" s="76">
        <v>46093</v>
      </c>
      <c r="E103" s="75" t="s">
        <v>628</v>
      </c>
      <c r="F103" s="74">
        <v>605.44000000000005</v>
      </c>
      <c r="G103" s="75" t="s">
        <v>627</v>
      </c>
      <c r="H103" s="77" t="str">
        <f>VLOOKUP(DESPESAS[[#This Row],[Plano de Contas]],BASE!$B$3:$D$119,3,FALSE)</f>
        <v>Salarios e Ordenados (Adm)</v>
      </c>
      <c r="I103" s="77" t="str">
        <f>IFERROR(VLOOKUP(DESPESAS[[#This Row],[Fornecedor]],Tabela2[],2,FALSE),"")</f>
        <v/>
      </c>
      <c r="J103" s="77" t="str">
        <f>IFERROR(VLOOKUP(DESPESAS[[#This Row],[Plano de Contas]],BASE!$B$3:$F$119,4,FALSE),"")</f>
        <v>4 - GASTOS COM PESSOAL</v>
      </c>
      <c r="K103" s="77" t="str">
        <f>IFERROR(VLOOKUP(DESPESAS[[#This Row],[Plano de Contas]],BASE!$B$3:$H$119,5,FALSE),"")</f>
        <v>DH</v>
      </c>
      <c r="L103" s="77">
        <f>IFERROR(VLOOKUP(DESPESAS[[#This Row],[Plano de Contas]],BASE!$B$3:$H$119,6,FALSE),"")</f>
        <v>0</v>
      </c>
      <c r="M103" s="77" t="str">
        <f>VLOOKUP(DESPESAS[[#This Row],[Plano de Contas]],BASE!$B$3:$H$119,7,FALSE)</f>
        <v>RAFAEL</v>
      </c>
    </row>
    <row r="104" spans="1:13" x14ac:dyDescent="0.25">
      <c r="A104" s="74">
        <v>192889</v>
      </c>
      <c r="B104" s="75" t="s">
        <v>232</v>
      </c>
      <c r="C104" s="75" t="s">
        <v>3346</v>
      </c>
      <c r="D104" s="76">
        <v>46037</v>
      </c>
      <c r="E104" s="75" t="s">
        <v>1376</v>
      </c>
      <c r="F104" s="74">
        <v>26583.33</v>
      </c>
      <c r="G104" s="75" t="s">
        <v>1318</v>
      </c>
      <c r="H104" s="77" t="str">
        <f>VLOOKUP(DESPESAS[[#This Row],[Plano de Contas]],BASE!$B$3:$D$119,3,FALSE)</f>
        <v>Feiras e Eventos</v>
      </c>
      <c r="I104" s="77" t="str">
        <f>IFERROR(VLOOKUP(DESPESAS[[#This Row],[Fornecedor]],Tabela2[],2,FALSE),"")</f>
        <v/>
      </c>
      <c r="J104" s="77" t="str">
        <f>IFERROR(VLOOKUP(DESPESAS[[#This Row],[Plano de Contas]],BASE!$B$3:$F$119,4,FALSE),"")</f>
        <v>6 - DESPESA COM VENDAS</v>
      </c>
      <c r="K104" s="77" t="str">
        <f>IFERROR(VLOOKUP(DESPESAS[[#This Row],[Plano de Contas]],BASE!$B$3:$H$119,5,FALSE),"")</f>
        <v>COMERCIAL</v>
      </c>
      <c r="L104" s="77">
        <f>IFERROR(VLOOKUP(DESPESAS[[#This Row],[Plano de Contas]],BASE!$B$3:$H$119,6,FALSE),"")</f>
        <v>0</v>
      </c>
      <c r="M104" s="77" t="str">
        <f>VLOOKUP(DESPESAS[[#This Row],[Plano de Contas]],BASE!$B$3:$H$119,7,FALSE)</f>
        <v>THAIS</v>
      </c>
    </row>
    <row r="105" spans="1:13" x14ac:dyDescent="0.25">
      <c r="A105" s="74">
        <v>192890</v>
      </c>
      <c r="B105" s="75" t="s">
        <v>232</v>
      </c>
      <c r="C105" s="75" t="s">
        <v>3345</v>
      </c>
      <c r="D105" s="76">
        <v>46068</v>
      </c>
      <c r="E105" s="75" t="s">
        <v>1376</v>
      </c>
      <c r="F105" s="74">
        <v>26583.33</v>
      </c>
      <c r="G105" s="75" t="s">
        <v>1318</v>
      </c>
      <c r="H105" s="77" t="str">
        <f>VLOOKUP(DESPESAS[[#This Row],[Plano de Contas]],BASE!$B$3:$D$119,3,FALSE)</f>
        <v>Feiras e Eventos</v>
      </c>
      <c r="I105" s="77" t="str">
        <f>IFERROR(VLOOKUP(DESPESAS[[#This Row],[Fornecedor]],Tabela2[],2,FALSE),"")</f>
        <v/>
      </c>
      <c r="J105" s="77" t="str">
        <f>IFERROR(VLOOKUP(DESPESAS[[#This Row],[Plano de Contas]],BASE!$B$3:$F$119,4,FALSE),"")</f>
        <v>6 - DESPESA COM VENDAS</v>
      </c>
      <c r="K105" s="77" t="str">
        <f>IFERROR(VLOOKUP(DESPESAS[[#This Row],[Plano de Contas]],BASE!$B$3:$H$119,5,FALSE),"")</f>
        <v>COMERCIAL</v>
      </c>
      <c r="L105" s="77">
        <f>IFERROR(VLOOKUP(DESPESAS[[#This Row],[Plano de Contas]],BASE!$B$3:$H$119,6,FALSE),"")</f>
        <v>0</v>
      </c>
      <c r="M105" s="77" t="str">
        <f>VLOOKUP(DESPESAS[[#This Row],[Plano de Contas]],BASE!$B$3:$H$119,7,FALSE)</f>
        <v>THAIS</v>
      </c>
    </row>
    <row r="106" spans="1:13" x14ac:dyDescent="0.25">
      <c r="A106" s="74">
        <v>192891</v>
      </c>
      <c r="B106" s="75" t="s">
        <v>232</v>
      </c>
      <c r="C106" s="75" t="s">
        <v>3344</v>
      </c>
      <c r="D106" s="76">
        <v>46096</v>
      </c>
      <c r="E106" s="75" t="s">
        <v>1376</v>
      </c>
      <c r="F106" s="74">
        <v>26583.33</v>
      </c>
      <c r="G106" s="75" t="s">
        <v>1318</v>
      </c>
      <c r="H106" s="77" t="str">
        <f>VLOOKUP(DESPESAS[[#This Row],[Plano de Contas]],BASE!$B$3:$D$119,3,FALSE)</f>
        <v>Feiras e Eventos</v>
      </c>
      <c r="I106" s="77" t="str">
        <f>IFERROR(VLOOKUP(DESPESAS[[#This Row],[Fornecedor]],Tabela2[],2,FALSE),"")</f>
        <v/>
      </c>
      <c r="J106" s="77" t="str">
        <f>IFERROR(VLOOKUP(DESPESAS[[#This Row],[Plano de Contas]],BASE!$B$3:$F$119,4,FALSE),"")</f>
        <v>6 - DESPESA COM VENDAS</v>
      </c>
      <c r="K106" s="77" t="str">
        <f>IFERROR(VLOOKUP(DESPESAS[[#This Row],[Plano de Contas]],BASE!$B$3:$H$119,5,FALSE),"")</f>
        <v>COMERCIAL</v>
      </c>
      <c r="L106" s="77">
        <f>IFERROR(VLOOKUP(DESPESAS[[#This Row],[Plano de Contas]],BASE!$B$3:$H$119,6,FALSE),"")</f>
        <v>0</v>
      </c>
      <c r="M106" s="77" t="str">
        <f>VLOOKUP(DESPESAS[[#This Row],[Plano de Contas]],BASE!$B$3:$H$119,7,FALSE)</f>
        <v>THAIS</v>
      </c>
    </row>
    <row r="107" spans="1:13" x14ac:dyDescent="0.25">
      <c r="A107" s="74">
        <v>192892</v>
      </c>
      <c r="B107" s="75" t="s">
        <v>232</v>
      </c>
      <c r="C107" s="75" t="s">
        <v>3343</v>
      </c>
      <c r="D107" s="76">
        <v>46127</v>
      </c>
      <c r="E107" s="75" t="s">
        <v>1376</v>
      </c>
      <c r="F107" s="74">
        <v>26583.33</v>
      </c>
      <c r="G107" s="75" t="s">
        <v>1318</v>
      </c>
      <c r="H107" s="77" t="str">
        <f>VLOOKUP(DESPESAS[[#This Row],[Plano de Contas]],BASE!$B$3:$D$119,3,FALSE)</f>
        <v>Feiras e Eventos</v>
      </c>
      <c r="I107" s="77" t="str">
        <f>IFERROR(VLOOKUP(DESPESAS[[#This Row],[Fornecedor]],Tabela2[],2,FALSE),"")</f>
        <v/>
      </c>
      <c r="J107" s="77" t="str">
        <f>IFERROR(VLOOKUP(DESPESAS[[#This Row],[Plano de Contas]],BASE!$B$3:$F$119,4,FALSE),"")</f>
        <v>6 - DESPESA COM VENDAS</v>
      </c>
      <c r="K107" s="77" t="str">
        <f>IFERROR(VLOOKUP(DESPESAS[[#This Row],[Plano de Contas]],BASE!$B$3:$H$119,5,FALSE),"")</f>
        <v>COMERCIAL</v>
      </c>
      <c r="L107" s="77">
        <f>IFERROR(VLOOKUP(DESPESAS[[#This Row],[Plano de Contas]],BASE!$B$3:$H$119,6,FALSE),"")</f>
        <v>0</v>
      </c>
      <c r="M107" s="77" t="str">
        <f>VLOOKUP(DESPESAS[[#This Row],[Plano de Contas]],BASE!$B$3:$H$119,7,FALSE)</f>
        <v>THAIS</v>
      </c>
    </row>
    <row r="108" spans="1:13" x14ac:dyDescent="0.25">
      <c r="A108" s="74">
        <v>193208</v>
      </c>
      <c r="B108" s="75" t="s">
        <v>221</v>
      </c>
      <c r="C108" s="75" t="s">
        <v>3342</v>
      </c>
      <c r="D108" s="76">
        <v>46032</v>
      </c>
      <c r="E108" s="75" t="s">
        <v>380</v>
      </c>
      <c r="F108" s="74">
        <v>464.9</v>
      </c>
      <c r="G108" s="75" t="s">
        <v>2062</v>
      </c>
      <c r="H108" s="77" t="str">
        <f>VLOOKUP(DESPESAS[[#This Row],[Plano de Contas]],BASE!$B$3:$D$119,3,FALSE)</f>
        <v>Telefone e Internet</v>
      </c>
      <c r="I108" s="77" t="str">
        <f>IFERROR(VLOOKUP(DESPESAS[[#This Row],[Fornecedor]],Tabela2[],2,FALSE),"")</f>
        <v>COMPONENTES T.I</v>
      </c>
      <c r="J108" s="77" t="str">
        <f>IFERROR(VLOOKUP(DESPESAS[[#This Row],[Plano de Contas]],BASE!$B$3:$F$119,4,FALSE),"")</f>
        <v>5 - DESPESAS ADMINISTRATIVAS</v>
      </c>
      <c r="K108" s="77" t="str">
        <f>IFERROR(VLOOKUP(DESPESAS[[#This Row],[Plano de Contas]],BASE!$B$3:$H$119,5,FALSE),"")</f>
        <v>MANUTENÇÃO / TI</v>
      </c>
      <c r="L108" s="77">
        <f>IFERROR(VLOOKUP(DESPESAS[[#This Row],[Plano de Contas]],BASE!$B$3:$H$119,6,FALSE),"")</f>
        <v>0</v>
      </c>
      <c r="M108" s="77" t="str">
        <f>VLOOKUP(DESPESAS[[#This Row],[Plano de Contas]],BASE!$B$3:$H$119,7,FALSE)</f>
        <v>LETÍCIA</v>
      </c>
    </row>
    <row r="109" spans="1:13" x14ac:dyDescent="0.25">
      <c r="A109" s="74">
        <v>193209</v>
      </c>
      <c r="B109" s="75" t="s">
        <v>221</v>
      </c>
      <c r="C109" s="75" t="s">
        <v>3341</v>
      </c>
      <c r="D109" s="76">
        <v>46063</v>
      </c>
      <c r="E109" s="75" t="s">
        <v>380</v>
      </c>
      <c r="F109" s="74">
        <v>464.9</v>
      </c>
      <c r="G109" s="75" t="s">
        <v>2062</v>
      </c>
      <c r="H109" s="77" t="str">
        <f>VLOOKUP(DESPESAS[[#This Row],[Plano de Contas]],BASE!$B$3:$D$119,3,FALSE)</f>
        <v>Telefone e Internet</v>
      </c>
      <c r="I109" s="77" t="str">
        <f>IFERROR(VLOOKUP(DESPESAS[[#This Row],[Fornecedor]],Tabela2[],2,FALSE),"")</f>
        <v>COMPONENTES T.I</v>
      </c>
      <c r="J109" s="77" t="str">
        <f>IFERROR(VLOOKUP(DESPESAS[[#This Row],[Plano de Contas]],BASE!$B$3:$F$119,4,FALSE),"")</f>
        <v>5 - DESPESAS ADMINISTRATIVAS</v>
      </c>
      <c r="K109" s="77" t="str">
        <f>IFERROR(VLOOKUP(DESPESAS[[#This Row],[Plano de Contas]],BASE!$B$3:$H$119,5,FALSE),"")</f>
        <v>MANUTENÇÃO / TI</v>
      </c>
      <c r="L109" s="77">
        <f>IFERROR(VLOOKUP(DESPESAS[[#This Row],[Plano de Contas]],BASE!$B$3:$H$119,6,FALSE),"")</f>
        <v>0</v>
      </c>
      <c r="M109" s="77" t="str">
        <f>VLOOKUP(DESPESAS[[#This Row],[Plano de Contas]],BASE!$B$3:$H$119,7,FALSE)</f>
        <v>LETÍCIA</v>
      </c>
    </row>
    <row r="110" spans="1:13" x14ac:dyDescent="0.25">
      <c r="A110" s="74">
        <v>193210</v>
      </c>
      <c r="B110" s="75" t="s">
        <v>221</v>
      </c>
      <c r="C110" s="75" t="s">
        <v>3340</v>
      </c>
      <c r="D110" s="76">
        <v>46091</v>
      </c>
      <c r="E110" s="75" t="s">
        <v>380</v>
      </c>
      <c r="F110" s="74">
        <v>464.9</v>
      </c>
      <c r="G110" s="75" t="s">
        <v>2062</v>
      </c>
      <c r="H110" s="77" t="str">
        <f>VLOOKUP(DESPESAS[[#This Row],[Plano de Contas]],BASE!$B$3:$D$119,3,FALSE)</f>
        <v>Telefone e Internet</v>
      </c>
      <c r="I110" s="77" t="str">
        <f>IFERROR(VLOOKUP(DESPESAS[[#This Row],[Fornecedor]],Tabela2[],2,FALSE),"")</f>
        <v>COMPONENTES T.I</v>
      </c>
      <c r="J110" s="77" t="str">
        <f>IFERROR(VLOOKUP(DESPESAS[[#This Row],[Plano de Contas]],BASE!$B$3:$F$119,4,FALSE),"")</f>
        <v>5 - DESPESAS ADMINISTRATIVAS</v>
      </c>
      <c r="K110" s="77" t="str">
        <f>IFERROR(VLOOKUP(DESPESAS[[#This Row],[Plano de Contas]],BASE!$B$3:$H$119,5,FALSE),"")</f>
        <v>MANUTENÇÃO / TI</v>
      </c>
      <c r="L110" s="77">
        <f>IFERROR(VLOOKUP(DESPESAS[[#This Row],[Plano de Contas]],BASE!$B$3:$H$119,6,FALSE),"")</f>
        <v>0</v>
      </c>
      <c r="M110" s="77" t="str">
        <f>VLOOKUP(DESPESAS[[#This Row],[Plano de Contas]],BASE!$B$3:$H$119,7,FALSE)</f>
        <v>LETÍCIA</v>
      </c>
    </row>
    <row r="111" spans="1:13" x14ac:dyDescent="0.25">
      <c r="A111" s="74">
        <v>193211</v>
      </c>
      <c r="B111" s="75" t="s">
        <v>221</v>
      </c>
      <c r="C111" s="75" t="s">
        <v>3339</v>
      </c>
      <c r="D111" s="76">
        <v>46122</v>
      </c>
      <c r="E111" s="75" t="s">
        <v>380</v>
      </c>
      <c r="F111" s="74">
        <v>464.9</v>
      </c>
      <c r="G111" s="75" t="s">
        <v>2062</v>
      </c>
      <c r="H111" s="77" t="str">
        <f>VLOOKUP(DESPESAS[[#This Row],[Plano de Contas]],BASE!$B$3:$D$119,3,FALSE)</f>
        <v>Telefone e Internet</v>
      </c>
      <c r="I111" s="77" t="str">
        <f>IFERROR(VLOOKUP(DESPESAS[[#This Row],[Fornecedor]],Tabela2[],2,FALSE),"")</f>
        <v>COMPONENTES T.I</v>
      </c>
      <c r="J111" s="77" t="str">
        <f>IFERROR(VLOOKUP(DESPESAS[[#This Row],[Plano de Contas]],BASE!$B$3:$F$119,4,FALSE),"")</f>
        <v>5 - DESPESAS ADMINISTRATIVAS</v>
      </c>
      <c r="K111" s="77" t="str">
        <f>IFERROR(VLOOKUP(DESPESAS[[#This Row],[Plano de Contas]],BASE!$B$3:$H$119,5,FALSE),"")</f>
        <v>MANUTENÇÃO / TI</v>
      </c>
      <c r="L111" s="77">
        <f>IFERROR(VLOOKUP(DESPESAS[[#This Row],[Plano de Contas]],BASE!$B$3:$H$119,6,FALSE),"")</f>
        <v>0</v>
      </c>
      <c r="M111" s="77" t="str">
        <f>VLOOKUP(DESPESAS[[#This Row],[Plano de Contas]],BASE!$B$3:$H$119,7,FALSE)</f>
        <v>LETÍCIA</v>
      </c>
    </row>
    <row r="112" spans="1:13" x14ac:dyDescent="0.25">
      <c r="A112" s="74">
        <v>193212</v>
      </c>
      <c r="B112" s="75" t="s">
        <v>221</v>
      </c>
      <c r="C112" s="75" t="s">
        <v>3756</v>
      </c>
      <c r="D112" s="76">
        <v>46152</v>
      </c>
      <c r="E112" s="75" t="s">
        <v>380</v>
      </c>
      <c r="F112" s="74">
        <v>464.9</v>
      </c>
      <c r="G112" s="75" t="s">
        <v>2062</v>
      </c>
      <c r="H112" s="77" t="str">
        <f>VLOOKUP(DESPESAS[[#This Row],[Plano de Contas]],BASE!$B$3:$D$119,3,FALSE)</f>
        <v>Telefone e Internet</v>
      </c>
      <c r="I112" s="77" t="str">
        <f>IFERROR(VLOOKUP(DESPESAS[[#This Row],[Fornecedor]],Tabela2[],2,FALSE),"")</f>
        <v>COMPONENTES T.I</v>
      </c>
      <c r="J112" s="77" t="str">
        <f>IFERROR(VLOOKUP(DESPESAS[[#This Row],[Plano de Contas]],BASE!$B$3:$F$119,4,FALSE),"")</f>
        <v>5 - DESPESAS ADMINISTRATIVAS</v>
      </c>
      <c r="K112" s="77" t="str">
        <f>IFERROR(VLOOKUP(DESPESAS[[#This Row],[Plano de Contas]],BASE!$B$3:$H$119,5,FALSE),"")</f>
        <v>MANUTENÇÃO / TI</v>
      </c>
      <c r="L112" s="77">
        <f>IFERROR(VLOOKUP(DESPESAS[[#This Row],[Plano de Contas]],BASE!$B$3:$H$119,6,FALSE),"")</f>
        <v>0</v>
      </c>
      <c r="M112" s="77" t="str">
        <f>VLOOKUP(DESPESAS[[#This Row],[Plano de Contas]],BASE!$B$3:$H$119,7,FALSE)</f>
        <v>LETÍCIA</v>
      </c>
    </row>
    <row r="113" spans="1:13" x14ac:dyDescent="0.25">
      <c r="A113" s="74">
        <v>193256</v>
      </c>
      <c r="B113" s="75" t="s">
        <v>221</v>
      </c>
      <c r="C113" s="75" t="s">
        <v>3338</v>
      </c>
      <c r="D113" s="76">
        <v>46032</v>
      </c>
      <c r="E113" s="75" t="s">
        <v>3334</v>
      </c>
      <c r="F113" s="74">
        <v>1697.48</v>
      </c>
      <c r="G113" s="75" t="s">
        <v>2999</v>
      </c>
      <c r="H113" s="77" t="str">
        <f>VLOOKUP(DESPESAS[[#This Row],[Plano de Contas]],BASE!$B$3:$D$119,3,FALSE)</f>
        <v>Seguros Veicular</v>
      </c>
      <c r="I113" s="77" t="str">
        <f>IFERROR(VLOOKUP(DESPESAS[[#This Row],[Fornecedor]],Tabela2[],2,FALSE),"")</f>
        <v/>
      </c>
      <c r="J113" s="77" t="str">
        <f>IFERROR(VLOOKUP(DESPESAS[[#This Row],[Plano de Contas]],BASE!$B$3:$F$119,4,FALSE),"")</f>
        <v>5 - DESPESAS ADMINISTRATIVAS</v>
      </c>
      <c r="K113" s="77" t="str">
        <f>IFERROR(VLOOKUP(DESPESAS[[#This Row],[Plano de Contas]],BASE!$B$3:$H$119,5,FALSE),"")</f>
        <v>LOGÍSTICA</v>
      </c>
      <c r="L113" s="77">
        <f>IFERROR(VLOOKUP(DESPESAS[[#This Row],[Plano de Contas]],BASE!$B$3:$H$119,6,FALSE),"")</f>
        <v>0</v>
      </c>
      <c r="M113" s="77" t="str">
        <f>VLOOKUP(DESPESAS[[#This Row],[Plano de Contas]],BASE!$B$3:$H$119,7,FALSE)</f>
        <v>MYLENA</v>
      </c>
    </row>
    <row r="114" spans="1:13" x14ac:dyDescent="0.25">
      <c r="A114" s="74">
        <v>193257</v>
      </c>
      <c r="B114" s="75" t="s">
        <v>221</v>
      </c>
      <c r="C114" s="75" t="s">
        <v>3337</v>
      </c>
      <c r="D114" s="76">
        <v>46063</v>
      </c>
      <c r="E114" s="75" t="s">
        <v>3334</v>
      </c>
      <c r="F114" s="74">
        <v>1697.48</v>
      </c>
      <c r="G114" s="75" t="s">
        <v>2999</v>
      </c>
      <c r="H114" s="77" t="str">
        <f>VLOOKUP(DESPESAS[[#This Row],[Plano de Contas]],BASE!$B$3:$D$119,3,FALSE)</f>
        <v>Seguros Veicular</v>
      </c>
      <c r="I114" s="77" t="str">
        <f>IFERROR(VLOOKUP(DESPESAS[[#This Row],[Fornecedor]],Tabela2[],2,FALSE),"")</f>
        <v/>
      </c>
      <c r="J114" s="77" t="str">
        <f>IFERROR(VLOOKUP(DESPESAS[[#This Row],[Plano de Contas]],BASE!$B$3:$F$119,4,FALSE),"")</f>
        <v>5 - DESPESAS ADMINISTRATIVAS</v>
      </c>
      <c r="K114" s="77" t="str">
        <f>IFERROR(VLOOKUP(DESPESAS[[#This Row],[Plano de Contas]],BASE!$B$3:$H$119,5,FALSE),"")</f>
        <v>LOGÍSTICA</v>
      </c>
      <c r="L114" s="77">
        <f>IFERROR(VLOOKUP(DESPESAS[[#This Row],[Plano de Contas]],BASE!$B$3:$H$119,6,FALSE),"")</f>
        <v>0</v>
      </c>
      <c r="M114" s="77" t="str">
        <f>VLOOKUP(DESPESAS[[#This Row],[Plano de Contas]],BASE!$B$3:$H$119,7,FALSE)</f>
        <v>MYLENA</v>
      </c>
    </row>
    <row r="115" spans="1:13" x14ac:dyDescent="0.25">
      <c r="A115" s="74">
        <v>193258</v>
      </c>
      <c r="B115" s="75" t="s">
        <v>221</v>
      </c>
      <c r="C115" s="75" t="s">
        <v>3336</v>
      </c>
      <c r="D115" s="76">
        <v>46091</v>
      </c>
      <c r="E115" s="75" t="s">
        <v>3334</v>
      </c>
      <c r="F115" s="74">
        <v>1697.48</v>
      </c>
      <c r="G115" s="75" t="s">
        <v>2999</v>
      </c>
      <c r="H115" s="77" t="str">
        <f>VLOOKUP(DESPESAS[[#This Row],[Plano de Contas]],BASE!$B$3:$D$119,3,FALSE)</f>
        <v>Seguros Veicular</v>
      </c>
      <c r="I115" s="77" t="str">
        <f>IFERROR(VLOOKUP(DESPESAS[[#This Row],[Fornecedor]],Tabela2[],2,FALSE),"")</f>
        <v/>
      </c>
      <c r="J115" s="77" t="str">
        <f>IFERROR(VLOOKUP(DESPESAS[[#This Row],[Plano de Contas]],BASE!$B$3:$F$119,4,FALSE),"")</f>
        <v>5 - DESPESAS ADMINISTRATIVAS</v>
      </c>
      <c r="K115" s="77" t="str">
        <f>IFERROR(VLOOKUP(DESPESAS[[#This Row],[Plano de Contas]],BASE!$B$3:$H$119,5,FALSE),"")</f>
        <v>LOGÍSTICA</v>
      </c>
      <c r="L115" s="77">
        <f>IFERROR(VLOOKUP(DESPESAS[[#This Row],[Plano de Contas]],BASE!$B$3:$H$119,6,FALSE),"")</f>
        <v>0</v>
      </c>
      <c r="M115" s="77" t="str">
        <f>VLOOKUP(DESPESAS[[#This Row],[Plano de Contas]],BASE!$B$3:$H$119,7,FALSE)</f>
        <v>MYLENA</v>
      </c>
    </row>
    <row r="116" spans="1:13" x14ac:dyDescent="0.25">
      <c r="A116" s="74">
        <v>193259</v>
      </c>
      <c r="B116" s="75" t="s">
        <v>221</v>
      </c>
      <c r="C116" s="75" t="s">
        <v>3335</v>
      </c>
      <c r="D116" s="76">
        <v>46122</v>
      </c>
      <c r="E116" s="75" t="s">
        <v>3334</v>
      </c>
      <c r="F116" s="74">
        <v>1697.48</v>
      </c>
      <c r="G116" s="75" t="s">
        <v>2999</v>
      </c>
      <c r="H116" s="77" t="str">
        <f>VLOOKUP(DESPESAS[[#This Row],[Plano de Contas]],BASE!$B$3:$D$119,3,FALSE)</f>
        <v>Seguros Veicular</v>
      </c>
      <c r="I116" s="77" t="str">
        <f>IFERROR(VLOOKUP(DESPESAS[[#This Row],[Fornecedor]],Tabela2[],2,FALSE),"")</f>
        <v/>
      </c>
      <c r="J116" s="77" t="str">
        <f>IFERROR(VLOOKUP(DESPESAS[[#This Row],[Plano de Contas]],BASE!$B$3:$F$119,4,FALSE),"")</f>
        <v>5 - DESPESAS ADMINISTRATIVAS</v>
      </c>
      <c r="K116" s="77" t="str">
        <f>IFERROR(VLOOKUP(DESPESAS[[#This Row],[Plano de Contas]],BASE!$B$3:$H$119,5,FALSE),"")</f>
        <v>LOGÍSTICA</v>
      </c>
      <c r="L116" s="77">
        <f>IFERROR(VLOOKUP(DESPESAS[[#This Row],[Plano de Contas]],BASE!$B$3:$H$119,6,FALSE),"")</f>
        <v>0</v>
      </c>
      <c r="M116" s="77" t="str">
        <f>VLOOKUP(DESPESAS[[#This Row],[Plano de Contas]],BASE!$B$3:$H$119,7,FALSE)</f>
        <v>MYLENA</v>
      </c>
    </row>
    <row r="117" spans="1:13" x14ac:dyDescent="0.25">
      <c r="A117" s="74">
        <v>193260</v>
      </c>
      <c r="B117" s="75" t="s">
        <v>221</v>
      </c>
      <c r="C117" s="75" t="s">
        <v>3757</v>
      </c>
      <c r="D117" s="76">
        <v>46152</v>
      </c>
      <c r="E117" s="75" t="s">
        <v>3334</v>
      </c>
      <c r="F117" s="74">
        <v>1697.48</v>
      </c>
      <c r="G117" s="75" t="s">
        <v>2999</v>
      </c>
      <c r="H117" s="77" t="str">
        <f>VLOOKUP(DESPESAS[[#This Row],[Plano de Contas]],BASE!$B$3:$D$119,3,FALSE)</f>
        <v>Seguros Veicular</v>
      </c>
      <c r="I117" s="77" t="str">
        <f>IFERROR(VLOOKUP(DESPESAS[[#This Row],[Fornecedor]],Tabela2[],2,FALSE),"")</f>
        <v/>
      </c>
      <c r="J117" s="77" t="str">
        <f>IFERROR(VLOOKUP(DESPESAS[[#This Row],[Plano de Contas]],BASE!$B$3:$F$119,4,FALSE),"")</f>
        <v>5 - DESPESAS ADMINISTRATIVAS</v>
      </c>
      <c r="K117" s="77" t="str">
        <f>IFERROR(VLOOKUP(DESPESAS[[#This Row],[Plano de Contas]],BASE!$B$3:$H$119,5,FALSE),"")</f>
        <v>LOGÍSTICA</v>
      </c>
      <c r="L117" s="77">
        <f>IFERROR(VLOOKUP(DESPESAS[[#This Row],[Plano de Contas]],BASE!$B$3:$H$119,6,FALSE),"")</f>
        <v>0</v>
      </c>
      <c r="M117" s="77" t="str">
        <f>VLOOKUP(DESPESAS[[#This Row],[Plano de Contas]],BASE!$B$3:$H$119,7,FALSE)</f>
        <v>MYLENA</v>
      </c>
    </row>
    <row r="118" spans="1:13" x14ac:dyDescent="0.25">
      <c r="A118" s="74">
        <v>194116</v>
      </c>
      <c r="B118" s="75" t="s">
        <v>221</v>
      </c>
      <c r="C118" s="75" t="s">
        <v>3333</v>
      </c>
      <c r="D118" s="76">
        <v>46043</v>
      </c>
      <c r="E118" s="75" t="s">
        <v>3329</v>
      </c>
      <c r="F118" s="74">
        <v>461.98</v>
      </c>
      <c r="G118" s="75" t="s">
        <v>2062</v>
      </c>
      <c r="H118" s="77" t="str">
        <f>VLOOKUP(DESPESAS[[#This Row],[Plano de Contas]],BASE!$B$3:$D$119,3,FALSE)</f>
        <v>Telefone e Internet</v>
      </c>
      <c r="I118" s="77" t="str">
        <f>IFERROR(VLOOKUP(DESPESAS[[#This Row],[Fornecedor]],Tabela2[],2,FALSE),"")</f>
        <v/>
      </c>
      <c r="J118" s="77" t="str">
        <f>IFERROR(VLOOKUP(DESPESAS[[#This Row],[Plano de Contas]],BASE!$B$3:$F$119,4,FALSE),"")</f>
        <v>5 - DESPESAS ADMINISTRATIVAS</v>
      </c>
      <c r="K118" s="77" t="str">
        <f>IFERROR(VLOOKUP(DESPESAS[[#This Row],[Plano de Contas]],BASE!$B$3:$H$119,5,FALSE),"")</f>
        <v>MANUTENÇÃO / TI</v>
      </c>
      <c r="L118" s="77">
        <f>IFERROR(VLOOKUP(DESPESAS[[#This Row],[Plano de Contas]],BASE!$B$3:$H$119,6,FALSE),"")</f>
        <v>0</v>
      </c>
      <c r="M118" s="77" t="str">
        <f>VLOOKUP(DESPESAS[[#This Row],[Plano de Contas]],BASE!$B$3:$H$119,7,FALSE)</f>
        <v>LETÍCIA</v>
      </c>
    </row>
    <row r="119" spans="1:13" x14ac:dyDescent="0.25">
      <c r="A119" s="74">
        <v>194117</v>
      </c>
      <c r="B119" s="75" t="s">
        <v>221</v>
      </c>
      <c r="C119" s="75" t="s">
        <v>3332</v>
      </c>
      <c r="D119" s="76">
        <v>46074</v>
      </c>
      <c r="E119" s="75" t="s">
        <v>3329</v>
      </c>
      <c r="F119" s="74">
        <v>461.98</v>
      </c>
      <c r="G119" s="75" t="s">
        <v>2062</v>
      </c>
      <c r="H119" s="77" t="str">
        <f>VLOOKUP(DESPESAS[[#This Row],[Plano de Contas]],BASE!$B$3:$D$119,3,FALSE)</f>
        <v>Telefone e Internet</v>
      </c>
      <c r="I119" s="77" t="str">
        <f>IFERROR(VLOOKUP(DESPESAS[[#This Row],[Fornecedor]],Tabela2[],2,FALSE),"")</f>
        <v/>
      </c>
      <c r="J119" s="77" t="str">
        <f>IFERROR(VLOOKUP(DESPESAS[[#This Row],[Plano de Contas]],BASE!$B$3:$F$119,4,FALSE),"")</f>
        <v>5 - DESPESAS ADMINISTRATIVAS</v>
      </c>
      <c r="K119" s="77" t="str">
        <f>IFERROR(VLOOKUP(DESPESAS[[#This Row],[Plano de Contas]],BASE!$B$3:$H$119,5,FALSE),"")</f>
        <v>MANUTENÇÃO / TI</v>
      </c>
      <c r="L119" s="77">
        <f>IFERROR(VLOOKUP(DESPESAS[[#This Row],[Plano de Contas]],BASE!$B$3:$H$119,6,FALSE),"")</f>
        <v>0</v>
      </c>
      <c r="M119" s="77" t="str">
        <f>VLOOKUP(DESPESAS[[#This Row],[Plano de Contas]],BASE!$B$3:$H$119,7,FALSE)</f>
        <v>LETÍCIA</v>
      </c>
    </row>
    <row r="120" spans="1:13" x14ac:dyDescent="0.25">
      <c r="A120" s="74">
        <v>194118</v>
      </c>
      <c r="B120" s="75" t="s">
        <v>221</v>
      </c>
      <c r="C120" s="75" t="s">
        <v>3331</v>
      </c>
      <c r="D120" s="76">
        <v>46102</v>
      </c>
      <c r="E120" s="75" t="s">
        <v>3329</v>
      </c>
      <c r="F120" s="74">
        <v>461.98</v>
      </c>
      <c r="G120" s="75" t="s">
        <v>2062</v>
      </c>
      <c r="H120" s="77" t="str">
        <f>VLOOKUP(DESPESAS[[#This Row],[Plano de Contas]],BASE!$B$3:$D$119,3,FALSE)</f>
        <v>Telefone e Internet</v>
      </c>
      <c r="I120" s="77" t="str">
        <f>IFERROR(VLOOKUP(DESPESAS[[#This Row],[Fornecedor]],Tabela2[],2,FALSE),"")</f>
        <v/>
      </c>
      <c r="J120" s="77" t="str">
        <f>IFERROR(VLOOKUP(DESPESAS[[#This Row],[Plano de Contas]],BASE!$B$3:$F$119,4,FALSE),"")</f>
        <v>5 - DESPESAS ADMINISTRATIVAS</v>
      </c>
      <c r="K120" s="77" t="str">
        <f>IFERROR(VLOOKUP(DESPESAS[[#This Row],[Plano de Contas]],BASE!$B$3:$H$119,5,FALSE),"")</f>
        <v>MANUTENÇÃO / TI</v>
      </c>
      <c r="L120" s="77">
        <f>IFERROR(VLOOKUP(DESPESAS[[#This Row],[Plano de Contas]],BASE!$B$3:$H$119,6,FALSE),"")</f>
        <v>0</v>
      </c>
      <c r="M120" s="77" t="str">
        <f>VLOOKUP(DESPESAS[[#This Row],[Plano de Contas]],BASE!$B$3:$H$119,7,FALSE)</f>
        <v>LETÍCIA</v>
      </c>
    </row>
    <row r="121" spans="1:13" x14ac:dyDescent="0.25">
      <c r="A121" s="74">
        <v>194119</v>
      </c>
      <c r="B121" s="75" t="s">
        <v>221</v>
      </c>
      <c r="C121" s="75" t="s">
        <v>3330</v>
      </c>
      <c r="D121" s="76">
        <v>46133</v>
      </c>
      <c r="E121" s="75" t="s">
        <v>3329</v>
      </c>
      <c r="F121" s="74">
        <v>461.98</v>
      </c>
      <c r="G121" s="75" t="s">
        <v>2062</v>
      </c>
      <c r="H121" s="77" t="str">
        <f>VLOOKUP(DESPESAS[[#This Row],[Plano de Contas]],BASE!$B$3:$D$119,3,FALSE)</f>
        <v>Telefone e Internet</v>
      </c>
      <c r="I121" s="77" t="str">
        <f>IFERROR(VLOOKUP(DESPESAS[[#This Row],[Fornecedor]],Tabela2[],2,FALSE),"")</f>
        <v/>
      </c>
      <c r="J121" s="77" t="str">
        <f>IFERROR(VLOOKUP(DESPESAS[[#This Row],[Plano de Contas]],BASE!$B$3:$F$119,4,FALSE),"")</f>
        <v>5 - DESPESAS ADMINISTRATIVAS</v>
      </c>
      <c r="K121" s="77" t="str">
        <f>IFERROR(VLOOKUP(DESPESAS[[#This Row],[Plano de Contas]],BASE!$B$3:$H$119,5,FALSE),"")</f>
        <v>MANUTENÇÃO / TI</v>
      </c>
      <c r="L121" s="77">
        <f>IFERROR(VLOOKUP(DESPESAS[[#This Row],[Plano de Contas]],BASE!$B$3:$H$119,6,FALSE),"")</f>
        <v>0</v>
      </c>
      <c r="M121" s="77" t="str">
        <f>VLOOKUP(DESPESAS[[#This Row],[Plano de Contas]],BASE!$B$3:$H$119,7,FALSE)</f>
        <v>LETÍCIA</v>
      </c>
    </row>
    <row r="122" spans="1:13" x14ac:dyDescent="0.25">
      <c r="A122" s="74">
        <v>194191</v>
      </c>
      <c r="B122" s="75" t="s">
        <v>221</v>
      </c>
      <c r="C122" s="75" t="s">
        <v>3328</v>
      </c>
      <c r="D122" s="76">
        <v>46023</v>
      </c>
      <c r="E122" s="75" t="s">
        <v>3327</v>
      </c>
      <c r="F122" s="74">
        <v>7938.75</v>
      </c>
      <c r="G122" s="75" t="s">
        <v>1318</v>
      </c>
      <c r="H122" s="77" t="str">
        <f>VLOOKUP(DESPESAS[[#This Row],[Plano de Contas]],BASE!$B$3:$D$119,3,FALSE)</f>
        <v>Feiras e Eventos</v>
      </c>
      <c r="I122" s="77" t="str">
        <f>IFERROR(VLOOKUP(DESPESAS[[#This Row],[Fornecedor]],Tabela2[],2,FALSE),"")</f>
        <v/>
      </c>
      <c r="J122" s="77" t="str">
        <f>IFERROR(VLOOKUP(DESPESAS[[#This Row],[Plano de Contas]],BASE!$B$3:$F$119,4,FALSE),"")</f>
        <v>6 - DESPESA COM VENDAS</v>
      </c>
      <c r="K122" s="77" t="str">
        <f>IFERROR(VLOOKUP(DESPESAS[[#This Row],[Plano de Contas]],BASE!$B$3:$H$119,5,FALSE),"")</f>
        <v>COMERCIAL</v>
      </c>
      <c r="L122" s="77">
        <f>IFERROR(VLOOKUP(DESPESAS[[#This Row],[Plano de Contas]],BASE!$B$3:$H$119,6,FALSE),"")</f>
        <v>0</v>
      </c>
      <c r="M122" s="77" t="str">
        <f>VLOOKUP(DESPESAS[[#This Row],[Plano de Contas]],BASE!$B$3:$H$119,7,FALSE)</f>
        <v>THAIS</v>
      </c>
    </row>
    <row r="123" spans="1:13" x14ac:dyDescent="0.25">
      <c r="A123" s="74">
        <v>194193</v>
      </c>
      <c r="B123" s="75" t="s">
        <v>221</v>
      </c>
      <c r="C123" s="75" t="s">
        <v>3326</v>
      </c>
      <c r="D123" s="76">
        <v>46023</v>
      </c>
      <c r="E123" s="75" t="s">
        <v>1376</v>
      </c>
      <c r="F123" s="74">
        <v>1773</v>
      </c>
      <c r="G123" s="75" t="s">
        <v>1318</v>
      </c>
      <c r="H123" s="77" t="str">
        <f>VLOOKUP(DESPESAS[[#This Row],[Plano de Contas]],BASE!$B$3:$D$119,3,FALSE)</f>
        <v>Feiras e Eventos</v>
      </c>
      <c r="I123" s="77" t="str">
        <f>IFERROR(VLOOKUP(DESPESAS[[#This Row],[Fornecedor]],Tabela2[],2,FALSE),"")</f>
        <v/>
      </c>
      <c r="J123" s="77" t="str">
        <f>IFERROR(VLOOKUP(DESPESAS[[#This Row],[Plano de Contas]],BASE!$B$3:$F$119,4,FALSE),"")</f>
        <v>6 - DESPESA COM VENDAS</v>
      </c>
      <c r="K123" s="77" t="str">
        <f>IFERROR(VLOOKUP(DESPESAS[[#This Row],[Plano de Contas]],BASE!$B$3:$H$119,5,FALSE),"")</f>
        <v>COMERCIAL</v>
      </c>
      <c r="L123" s="77">
        <f>IFERROR(VLOOKUP(DESPESAS[[#This Row],[Plano de Contas]],BASE!$B$3:$H$119,6,FALSE),"")</f>
        <v>0</v>
      </c>
      <c r="M123" s="77" t="str">
        <f>VLOOKUP(DESPESAS[[#This Row],[Plano de Contas]],BASE!$B$3:$H$119,7,FALSE)</f>
        <v>THAIS</v>
      </c>
    </row>
    <row r="124" spans="1:13" x14ac:dyDescent="0.25">
      <c r="A124" s="74">
        <v>194199</v>
      </c>
      <c r="B124" s="75" t="s">
        <v>221</v>
      </c>
      <c r="C124" s="75" t="s">
        <v>3325</v>
      </c>
      <c r="D124" s="76">
        <v>46023</v>
      </c>
      <c r="E124" s="75" t="s">
        <v>3324</v>
      </c>
      <c r="F124" s="74">
        <v>800</v>
      </c>
      <c r="G124" s="75" t="s">
        <v>1318</v>
      </c>
      <c r="H124" s="77" t="str">
        <f>VLOOKUP(DESPESAS[[#This Row],[Plano de Contas]],BASE!$B$3:$D$119,3,FALSE)</f>
        <v>Feiras e Eventos</v>
      </c>
      <c r="I124" s="77" t="str">
        <f>IFERROR(VLOOKUP(DESPESAS[[#This Row],[Fornecedor]],Tabela2[],2,FALSE),"")</f>
        <v/>
      </c>
      <c r="J124" s="77" t="str">
        <f>IFERROR(VLOOKUP(DESPESAS[[#This Row],[Plano de Contas]],BASE!$B$3:$F$119,4,FALSE),"")</f>
        <v>6 - DESPESA COM VENDAS</v>
      </c>
      <c r="K124" s="77" t="str">
        <f>IFERROR(VLOOKUP(DESPESAS[[#This Row],[Plano de Contas]],BASE!$B$3:$H$119,5,FALSE),"")</f>
        <v>COMERCIAL</v>
      </c>
      <c r="L124" s="77">
        <f>IFERROR(VLOOKUP(DESPESAS[[#This Row],[Plano de Contas]],BASE!$B$3:$H$119,6,FALSE),"")</f>
        <v>0</v>
      </c>
      <c r="M124" s="77" t="str">
        <f>VLOOKUP(DESPESAS[[#This Row],[Plano de Contas]],BASE!$B$3:$H$119,7,FALSE)</f>
        <v>THAIS</v>
      </c>
    </row>
    <row r="125" spans="1:13" x14ac:dyDescent="0.25">
      <c r="A125" s="74">
        <v>194787</v>
      </c>
      <c r="B125" s="75" t="s">
        <v>232</v>
      </c>
      <c r="C125" s="75" t="s">
        <v>3323</v>
      </c>
      <c r="D125" s="76">
        <v>46027</v>
      </c>
      <c r="E125" s="75" t="s">
        <v>375</v>
      </c>
      <c r="F125" s="74">
        <v>4778.72</v>
      </c>
      <c r="G125" s="75" t="s">
        <v>374</v>
      </c>
      <c r="H125" s="77" t="str">
        <f>VLOOKUP(DESPESAS[[#This Row],[Plano de Contas]],BASE!$B$3:$D$119,3,FALSE)</f>
        <v>Consultoria Empresarial</v>
      </c>
      <c r="I125" s="77" t="str">
        <f>IFERROR(VLOOKUP(DESPESAS[[#This Row],[Fornecedor]],Tabela2[],2,FALSE),"")</f>
        <v/>
      </c>
      <c r="J125" s="77" t="str">
        <f>IFERROR(VLOOKUP(DESPESAS[[#This Row],[Plano de Contas]],BASE!$B$3:$F$119,4,FALSE),"")</f>
        <v>7 - SERVIÇOS DE TERCEIROS</v>
      </c>
      <c r="K125" s="77" t="str">
        <f>IFERROR(VLOOKUP(DESPESAS[[#This Row],[Plano de Contas]],BASE!$B$3:$H$119,5,FALSE),"")</f>
        <v>FINANCEIRO</v>
      </c>
      <c r="L125" s="77">
        <f>IFERROR(VLOOKUP(DESPESAS[[#This Row],[Plano de Contas]],BASE!$B$3:$H$119,6,FALSE),"")</f>
        <v>0</v>
      </c>
      <c r="M125" s="77" t="str">
        <f>VLOOKUP(DESPESAS[[#This Row],[Plano de Contas]],BASE!$B$3:$H$119,7,FALSE)</f>
        <v>LETÍCIA</v>
      </c>
    </row>
    <row r="126" spans="1:13" x14ac:dyDescent="0.25">
      <c r="A126" s="74">
        <v>194788</v>
      </c>
      <c r="B126" s="75" t="s">
        <v>232</v>
      </c>
      <c r="C126" s="75" t="s">
        <v>3323</v>
      </c>
      <c r="D126" s="76">
        <v>46058</v>
      </c>
      <c r="E126" s="75" t="s">
        <v>375</v>
      </c>
      <c r="F126" s="74">
        <v>4778.72</v>
      </c>
      <c r="G126" s="75" t="s">
        <v>374</v>
      </c>
      <c r="H126" s="77" t="str">
        <f>VLOOKUP(DESPESAS[[#This Row],[Plano de Contas]],BASE!$B$3:$D$119,3,FALSE)</f>
        <v>Consultoria Empresarial</v>
      </c>
      <c r="I126" s="77" t="str">
        <f>IFERROR(VLOOKUP(DESPESAS[[#This Row],[Fornecedor]],Tabela2[],2,FALSE),"")</f>
        <v/>
      </c>
      <c r="J126" s="77" t="str">
        <f>IFERROR(VLOOKUP(DESPESAS[[#This Row],[Plano de Contas]],BASE!$B$3:$F$119,4,FALSE),"")</f>
        <v>7 - SERVIÇOS DE TERCEIROS</v>
      </c>
      <c r="K126" s="77" t="str">
        <f>IFERROR(VLOOKUP(DESPESAS[[#This Row],[Plano de Contas]],BASE!$B$3:$H$119,5,FALSE),"")</f>
        <v>FINANCEIRO</v>
      </c>
      <c r="L126" s="77">
        <f>IFERROR(VLOOKUP(DESPESAS[[#This Row],[Plano de Contas]],BASE!$B$3:$H$119,6,FALSE),"")</f>
        <v>0</v>
      </c>
      <c r="M126" s="77" t="str">
        <f>VLOOKUP(DESPESAS[[#This Row],[Plano de Contas]],BASE!$B$3:$H$119,7,FALSE)</f>
        <v>LETÍCIA</v>
      </c>
    </row>
    <row r="127" spans="1:13" x14ac:dyDescent="0.25">
      <c r="A127" s="74">
        <v>194789</v>
      </c>
      <c r="B127" s="75" t="s">
        <v>232</v>
      </c>
      <c r="C127" s="75" t="s">
        <v>3323</v>
      </c>
      <c r="D127" s="76">
        <v>46086</v>
      </c>
      <c r="E127" s="75" t="s">
        <v>375</v>
      </c>
      <c r="F127" s="74">
        <v>4778.72</v>
      </c>
      <c r="G127" s="75" t="s">
        <v>374</v>
      </c>
      <c r="H127" s="77" t="str">
        <f>VLOOKUP(DESPESAS[[#This Row],[Plano de Contas]],BASE!$B$3:$D$119,3,FALSE)</f>
        <v>Consultoria Empresarial</v>
      </c>
      <c r="I127" s="77" t="str">
        <f>IFERROR(VLOOKUP(DESPESAS[[#This Row],[Fornecedor]],Tabela2[],2,FALSE),"")</f>
        <v/>
      </c>
      <c r="J127" s="77" t="str">
        <f>IFERROR(VLOOKUP(DESPESAS[[#This Row],[Plano de Contas]],BASE!$B$3:$F$119,4,FALSE),"")</f>
        <v>7 - SERVIÇOS DE TERCEIROS</v>
      </c>
      <c r="K127" s="77" t="str">
        <f>IFERROR(VLOOKUP(DESPESAS[[#This Row],[Plano de Contas]],BASE!$B$3:$H$119,5,FALSE),"")</f>
        <v>FINANCEIRO</v>
      </c>
      <c r="L127" s="77">
        <f>IFERROR(VLOOKUP(DESPESAS[[#This Row],[Plano de Contas]],BASE!$B$3:$H$119,6,FALSE),"")</f>
        <v>0</v>
      </c>
      <c r="M127" s="77" t="str">
        <f>VLOOKUP(DESPESAS[[#This Row],[Plano de Contas]],BASE!$B$3:$H$119,7,FALSE)</f>
        <v>LETÍCIA</v>
      </c>
    </row>
    <row r="128" spans="1:13" x14ac:dyDescent="0.25">
      <c r="A128" s="74">
        <v>194800</v>
      </c>
      <c r="B128" s="75" t="s">
        <v>232</v>
      </c>
      <c r="C128" s="75" t="s">
        <v>3322</v>
      </c>
      <c r="D128" s="76">
        <v>46068</v>
      </c>
      <c r="E128" s="75" t="s">
        <v>375</v>
      </c>
      <c r="F128" s="74">
        <v>4778.72</v>
      </c>
      <c r="G128" s="75" t="s">
        <v>374</v>
      </c>
      <c r="H128" s="77" t="str">
        <f>VLOOKUP(DESPESAS[[#This Row],[Plano de Contas]],BASE!$B$3:$D$119,3,FALSE)</f>
        <v>Consultoria Empresarial</v>
      </c>
      <c r="I128" s="77" t="str">
        <f>IFERROR(VLOOKUP(DESPESAS[[#This Row],[Fornecedor]],Tabela2[],2,FALSE),"")</f>
        <v/>
      </c>
      <c r="J128" s="77" t="str">
        <f>IFERROR(VLOOKUP(DESPESAS[[#This Row],[Plano de Contas]],BASE!$B$3:$F$119,4,FALSE),"")</f>
        <v>7 - SERVIÇOS DE TERCEIROS</v>
      </c>
      <c r="K128" s="77" t="str">
        <f>IFERROR(VLOOKUP(DESPESAS[[#This Row],[Plano de Contas]],BASE!$B$3:$H$119,5,FALSE),"")</f>
        <v>FINANCEIRO</v>
      </c>
      <c r="L128" s="77">
        <f>IFERROR(VLOOKUP(DESPESAS[[#This Row],[Plano de Contas]],BASE!$B$3:$H$119,6,FALSE),"")</f>
        <v>0</v>
      </c>
      <c r="M128" s="77" t="str">
        <f>VLOOKUP(DESPESAS[[#This Row],[Plano de Contas]],BASE!$B$3:$H$119,7,FALSE)</f>
        <v>LETÍCIA</v>
      </c>
    </row>
    <row r="129" spans="1:13" x14ac:dyDescent="0.25">
      <c r="A129" s="74">
        <v>194801</v>
      </c>
      <c r="B129" s="75" t="s">
        <v>232</v>
      </c>
      <c r="C129" s="75" t="s">
        <v>3322</v>
      </c>
      <c r="D129" s="76">
        <v>46096</v>
      </c>
      <c r="E129" s="75" t="s">
        <v>375</v>
      </c>
      <c r="F129" s="74">
        <v>4778.72</v>
      </c>
      <c r="G129" s="75" t="s">
        <v>374</v>
      </c>
      <c r="H129" s="77" t="str">
        <f>VLOOKUP(DESPESAS[[#This Row],[Plano de Contas]],BASE!$B$3:$D$119,3,FALSE)</f>
        <v>Consultoria Empresarial</v>
      </c>
      <c r="I129" s="77" t="str">
        <f>IFERROR(VLOOKUP(DESPESAS[[#This Row],[Fornecedor]],Tabela2[],2,FALSE),"")</f>
        <v/>
      </c>
      <c r="J129" s="77" t="str">
        <f>IFERROR(VLOOKUP(DESPESAS[[#This Row],[Plano de Contas]],BASE!$B$3:$F$119,4,FALSE),"")</f>
        <v>7 - SERVIÇOS DE TERCEIROS</v>
      </c>
      <c r="K129" s="77" t="str">
        <f>IFERROR(VLOOKUP(DESPESAS[[#This Row],[Plano de Contas]],BASE!$B$3:$H$119,5,FALSE),"")</f>
        <v>FINANCEIRO</v>
      </c>
      <c r="L129" s="77">
        <f>IFERROR(VLOOKUP(DESPESAS[[#This Row],[Plano de Contas]],BASE!$B$3:$H$119,6,FALSE),"")</f>
        <v>0</v>
      </c>
      <c r="M129" s="77" t="str">
        <f>VLOOKUP(DESPESAS[[#This Row],[Plano de Contas]],BASE!$B$3:$H$119,7,FALSE)</f>
        <v>LETÍCIA</v>
      </c>
    </row>
    <row r="130" spans="1:13" x14ac:dyDescent="0.25">
      <c r="A130" s="74">
        <v>194825</v>
      </c>
      <c r="B130" s="75" t="s">
        <v>232</v>
      </c>
      <c r="C130" s="75" t="s">
        <v>3321</v>
      </c>
      <c r="D130" s="76">
        <v>46047</v>
      </c>
      <c r="E130" s="75" t="s">
        <v>375</v>
      </c>
      <c r="F130" s="74">
        <v>4778.72</v>
      </c>
      <c r="G130" s="75" t="s">
        <v>374</v>
      </c>
      <c r="H130" s="77" t="str">
        <f>VLOOKUP(DESPESAS[[#This Row],[Plano de Contas]],BASE!$B$3:$D$119,3,FALSE)</f>
        <v>Consultoria Empresarial</v>
      </c>
      <c r="I130" s="77" t="str">
        <f>IFERROR(VLOOKUP(DESPESAS[[#This Row],[Fornecedor]],Tabela2[],2,FALSE),"")</f>
        <v/>
      </c>
      <c r="J130" s="77" t="str">
        <f>IFERROR(VLOOKUP(DESPESAS[[#This Row],[Plano de Contas]],BASE!$B$3:$F$119,4,FALSE),"")</f>
        <v>7 - SERVIÇOS DE TERCEIROS</v>
      </c>
      <c r="K130" s="77" t="str">
        <f>IFERROR(VLOOKUP(DESPESAS[[#This Row],[Plano de Contas]],BASE!$B$3:$H$119,5,FALSE),"")</f>
        <v>FINANCEIRO</v>
      </c>
      <c r="L130" s="77">
        <f>IFERROR(VLOOKUP(DESPESAS[[#This Row],[Plano de Contas]],BASE!$B$3:$H$119,6,FALSE),"")</f>
        <v>0</v>
      </c>
      <c r="M130" s="77" t="str">
        <f>VLOOKUP(DESPESAS[[#This Row],[Plano de Contas]],BASE!$B$3:$H$119,7,FALSE)</f>
        <v>LETÍCIA</v>
      </c>
    </row>
    <row r="131" spans="1:13" x14ac:dyDescent="0.25">
      <c r="A131" s="74">
        <v>194826</v>
      </c>
      <c r="B131" s="75" t="s">
        <v>232</v>
      </c>
      <c r="C131" s="75" t="s">
        <v>3321</v>
      </c>
      <c r="D131" s="76">
        <v>46078</v>
      </c>
      <c r="E131" s="75" t="s">
        <v>375</v>
      </c>
      <c r="F131" s="74">
        <v>4778.72</v>
      </c>
      <c r="G131" s="75" t="s">
        <v>374</v>
      </c>
      <c r="H131" s="77" t="str">
        <f>VLOOKUP(DESPESAS[[#This Row],[Plano de Contas]],BASE!$B$3:$D$119,3,FALSE)</f>
        <v>Consultoria Empresarial</v>
      </c>
      <c r="I131" s="77" t="str">
        <f>IFERROR(VLOOKUP(DESPESAS[[#This Row],[Fornecedor]],Tabela2[],2,FALSE),"")</f>
        <v/>
      </c>
      <c r="J131" s="77" t="str">
        <f>IFERROR(VLOOKUP(DESPESAS[[#This Row],[Plano de Contas]],BASE!$B$3:$F$119,4,FALSE),"")</f>
        <v>7 - SERVIÇOS DE TERCEIROS</v>
      </c>
      <c r="K131" s="77" t="str">
        <f>IFERROR(VLOOKUP(DESPESAS[[#This Row],[Plano de Contas]],BASE!$B$3:$H$119,5,FALSE),"")</f>
        <v>FINANCEIRO</v>
      </c>
      <c r="L131" s="77">
        <f>IFERROR(VLOOKUP(DESPESAS[[#This Row],[Plano de Contas]],BASE!$B$3:$H$119,6,FALSE),"")</f>
        <v>0</v>
      </c>
      <c r="M131" s="77" t="str">
        <f>VLOOKUP(DESPESAS[[#This Row],[Plano de Contas]],BASE!$B$3:$H$119,7,FALSE)</f>
        <v>LETÍCIA</v>
      </c>
    </row>
    <row r="132" spans="1:13" x14ac:dyDescent="0.25">
      <c r="A132" s="74">
        <v>194847</v>
      </c>
      <c r="B132" s="75" t="s">
        <v>221</v>
      </c>
      <c r="C132" s="75" t="s">
        <v>3319</v>
      </c>
      <c r="D132" s="76">
        <v>46032</v>
      </c>
      <c r="E132" s="75" t="s">
        <v>816</v>
      </c>
      <c r="F132" s="74">
        <v>111</v>
      </c>
      <c r="G132" s="75" t="s">
        <v>815</v>
      </c>
      <c r="H132" s="77" t="str">
        <f>VLOOKUP(DESPESAS[[#This Row],[Plano de Contas]],BASE!$B$3:$D$119,3,FALSE)</f>
        <v>Rastreamento de frota</v>
      </c>
      <c r="I132" s="77" t="str">
        <f>IFERROR(VLOOKUP(DESPESAS[[#This Row],[Fornecedor]],Tabela2[],2,FALSE),"")</f>
        <v/>
      </c>
      <c r="J132" s="77" t="str">
        <f>IFERROR(VLOOKUP(DESPESAS[[#This Row],[Plano de Contas]],BASE!$B$3:$F$119,4,FALSE),"")</f>
        <v>5 - DESPESAS ADMINISTRATIVAS</v>
      </c>
      <c r="K132" s="77" t="str">
        <f>IFERROR(VLOOKUP(DESPESAS[[#This Row],[Plano de Contas]],BASE!$B$3:$H$119,5,FALSE),"")</f>
        <v>LOGÍSTICA</v>
      </c>
      <c r="L132" s="77">
        <f>IFERROR(VLOOKUP(DESPESAS[[#This Row],[Plano de Contas]],BASE!$B$3:$H$119,6,FALSE),"")</f>
        <v>0</v>
      </c>
      <c r="M132" s="77" t="str">
        <f>VLOOKUP(DESPESAS[[#This Row],[Plano de Contas]],BASE!$B$3:$H$119,7,FALSE)</f>
        <v>MYLENA</v>
      </c>
    </row>
    <row r="133" spans="1:13" x14ac:dyDescent="0.25">
      <c r="A133" s="74">
        <v>194848</v>
      </c>
      <c r="B133" s="75" t="s">
        <v>221</v>
      </c>
      <c r="C133" s="75" t="s">
        <v>3320</v>
      </c>
      <c r="D133" s="76">
        <v>46063</v>
      </c>
      <c r="E133" s="75" t="s">
        <v>816</v>
      </c>
      <c r="F133" s="74">
        <v>111</v>
      </c>
      <c r="G133" s="75" t="s">
        <v>815</v>
      </c>
      <c r="H133" s="77" t="str">
        <f>VLOOKUP(DESPESAS[[#This Row],[Plano de Contas]],BASE!$B$3:$D$119,3,FALSE)</f>
        <v>Rastreamento de frota</v>
      </c>
      <c r="I133" s="77" t="str">
        <f>IFERROR(VLOOKUP(DESPESAS[[#This Row],[Fornecedor]],Tabela2[],2,FALSE),"")</f>
        <v/>
      </c>
      <c r="J133" s="77" t="str">
        <f>IFERROR(VLOOKUP(DESPESAS[[#This Row],[Plano de Contas]],BASE!$B$3:$F$119,4,FALSE),"")</f>
        <v>5 - DESPESAS ADMINISTRATIVAS</v>
      </c>
      <c r="K133" s="77" t="str">
        <f>IFERROR(VLOOKUP(DESPESAS[[#This Row],[Plano de Contas]],BASE!$B$3:$H$119,5,FALSE),"")</f>
        <v>LOGÍSTICA</v>
      </c>
      <c r="L133" s="77">
        <f>IFERROR(VLOOKUP(DESPESAS[[#This Row],[Plano de Contas]],BASE!$B$3:$H$119,6,FALSE),"")</f>
        <v>0</v>
      </c>
      <c r="M133" s="77" t="str">
        <f>VLOOKUP(DESPESAS[[#This Row],[Plano de Contas]],BASE!$B$3:$H$119,7,FALSE)</f>
        <v>MYLENA</v>
      </c>
    </row>
    <row r="134" spans="1:13" x14ac:dyDescent="0.25">
      <c r="A134" s="74">
        <v>194849</v>
      </c>
      <c r="B134" s="75" t="s">
        <v>221</v>
      </c>
      <c r="C134" s="75" t="s">
        <v>3319</v>
      </c>
      <c r="D134" s="76">
        <v>46091</v>
      </c>
      <c r="E134" s="75" t="s">
        <v>816</v>
      </c>
      <c r="F134" s="74">
        <v>111</v>
      </c>
      <c r="G134" s="75" t="s">
        <v>815</v>
      </c>
      <c r="H134" s="77" t="str">
        <f>VLOOKUP(DESPESAS[[#This Row],[Plano de Contas]],BASE!$B$3:$D$119,3,FALSE)</f>
        <v>Rastreamento de frota</v>
      </c>
      <c r="I134" s="77" t="str">
        <f>IFERROR(VLOOKUP(DESPESAS[[#This Row],[Fornecedor]],Tabela2[],2,FALSE),"")</f>
        <v/>
      </c>
      <c r="J134" s="77" t="str">
        <f>IFERROR(VLOOKUP(DESPESAS[[#This Row],[Plano de Contas]],BASE!$B$3:$F$119,4,FALSE),"")</f>
        <v>5 - DESPESAS ADMINISTRATIVAS</v>
      </c>
      <c r="K134" s="77" t="str">
        <f>IFERROR(VLOOKUP(DESPESAS[[#This Row],[Plano de Contas]],BASE!$B$3:$H$119,5,FALSE),"")</f>
        <v>LOGÍSTICA</v>
      </c>
      <c r="L134" s="77">
        <f>IFERROR(VLOOKUP(DESPESAS[[#This Row],[Plano de Contas]],BASE!$B$3:$H$119,6,FALSE),"")</f>
        <v>0</v>
      </c>
      <c r="M134" s="77" t="str">
        <f>VLOOKUP(DESPESAS[[#This Row],[Plano de Contas]],BASE!$B$3:$H$119,7,FALSE)</f>
        <v>MYLENA</v>
      </c>
    </row>
    <row r="135" spans="1:13" x14ac:dyDescent="0.25">
      <c r="A135" s="74">
        <v>194860</v>
      </c>
      <c r="B135" s="75" t="s">
        <v>232</v>
      </c>
      <c r="C135" s="75" t="s">
        <v>3316</v>
      </c>
      <c r="D135" s="76">
        <v>46032</v>
      </c>
      <c r="E135" s="75" t="s">
        <v>816</v>
      </c>
      <c r="F135" s="74">
        <v>259</v>
      </c>
      <c r="G135" s="75" t="s">
        <v>815</v>
      </c>
      <c r="H135" s="77" t="str">
        <f>VLOOKUP(DESPESAS[[#This Row],[Plano de Contas]],BASE!$B$3:$D$119,3,FALSE)</f>
        <v>Rastreamento de frota</v>
      </c>
      <c r="I135" s="77" t="str">
        <f>IFERROR(VLOOKUP(DESPESAS[[#This Row],[Fornecedor]],Tabela2[],2,FALSE),"")</f>
        <v/>
      </c>
      <c r="J135" s="77" t="str">
        <f>IFERROR(VLOOKUP(DESPESAS[[#This Row],[Plano de Contas]],BASE!$B$3:$F$119,4,FALSE),"")</f>
        <v>5 - DESPESAS ADMINISTRATIVAS</v>
      </c>
      <c r="K135" s="77" t="str">
        <f>IFERROR(VLOOKUP(DESPESAS[[#This Row],[Plano de Contas]],BASE!$B$3:$H$119,5,FALSE),"")</f>
        <v>LOGÍSTICA</v>
      </c>
      <c r="L135" s="77">
        <f>IFERROR(VLOOKUP(DESPESAS[[#This Row],[Plano de Contas]],BASE!$B$3:$H$119,6,FALSE),"")</f>
        <v>0</v>
      </c>
      <c r="M135" s="77" t="str">
        <f>VLOOKUP(DESPESAS[[#This Row],[Plano de Contas]],BASE!$B$3:$H$119,7,FALSE)</f>
        <v>MYLENA</v>
      </c>
    </row>
    <row r="136" spans="1:13" x14ac:dyDescent="0.25">
      <c r="A136" s="74">
        <v>194861</v>
      </c>
      <c r="B136" s="75" t="s">
        <v>232</v>
      </c>
      <c r="C136" s="75" t="s">
        <v>3318</v>
      </c>
      <c r="D136" s="76">
        <v>46063</v>
      </c>
      <c r="E136" s="75" t="s">
        <v>816</v>
      </c>
      <c r="F136" s="74">
        <v>259</v>
      </c>
      <c r="G136" s="75" t="s">
        <v>815</v>
      </c>
      <c r="H136" s="77" t="str">
        <f>VLOOKUP(DESPESAS[[#This Row],[Plano de Contas]],BASE!$B$3:$D$119,3,FALSE)</f>
        <v>Rastreamento de frota</v>
      </c>
      <c r="I136" s="77" t="str">
        <f>IFERROR(VLOOKUP(DESPESAS[[#This Row],[Fornecedor]],Tabela2[],2,FALSE),"")</f>
        <v/>
      </c>
      <c r="J136" s="77" t="str">
        <f>IFERROR(VLOOKUP(DESPESAS[[#This Row],[Plano de Contas]],BASE!$B$3:$F$119,4,FALSE),"")</f>
        <v>5 - DESPESAS ADMINISTRATIVAS</v>
      </c>
      <c r="K136" s="77" t="str">
        <f>IFERROR(VLOOKUP(DESPESAS[[#This Row],[Plano de Contas]],BASE!$B$3:$H$119,5,FALSE),"")</f>
        <v>LOGÍSTICA</v>
      </c>
      <c r="L136" s="77">
        <f>IFERROR(VLOOKUP(DESPESAS[[#This Row],[Plano de Contas]],BASE!$B$3:$H$119,6,FALSE),"")</f>
        <v>0</v>
      </c>
      <c r="M136" s="77" t="str">
        <f>VLOOKUP(DESPESAS[[#This Row],[Plano de Contas]],BASE!$B$3:$H$119,7,FALSE)</f>
        <v>MYLENA</v>
      </c>
    </row>
    <row r="137" spans="1:13" x14ac:dyDescent="0.25">
      <c r="A137" s="74">
        <v>194862</v>
      </c>
      <c r="B137" s="75" t="s">
        <v>232</v>
      </c>
      <c r="C137" s="75" t="s">
        <v>3317</v>
      </c>
      <c r="D137" s="76">
        <v>46091</v>
      </c>
      <c r="E137" s="75" t="s">
        <v>816</v>
      </c>
      <c r="F137" s="74">
        <v>259</v>
      </c>
      <c r="G137" s="75" t="s">
        <v>815</v>
      </c>
      <c r="H137" s="77" t="str">
        <f>VLOOKUP(DESPESAS[[#This Row],[Plano de Contas]],BASE!$B$3:$D$119,3,FALSE)</f>
        <v>Rastreamento de frota</v>
      </c>
      <c r="I137" s="77" t="str">
        <f>IFERROR(VLOOKUP(DESPESAS[[#This Row],[Fornecedor]],Tabela2[],2,FALSE),"")</f>
        <v/>
      </c>
      <c r="J137" s="77" t="str">
        <f>IFERROR(VLOOKUP(DESPESAS[[#This Row],[Plano de Contas]],BASE!$B$3:$F$119,4,FALSE),"")</f>
        <v>5 - DESPESAS ADMINISTRATIVAS</v>
      </c>
      <c r="K137" s="77" t="str">
        <f>IFERROR(VLOOKUP(DESPESAS[[#This Row],[Plano de Contas]],BASE!$B$3:$H$119,5,FALSE),"")</f>
        <v>LOGÍSTICA</v>
      </c>
      <c r="L137" s="77">
        <f>IFERROR(VLOOKUP(DESPESAS[[#This Row],[Plano de Contas]],BASE!$B$3:$H$119,6,FALSE),"")</f>
        <v>0</v>
      </c>
      <c r="M137" s="77" t="str">
        <f>VLOOKUP(DESPESAS[[#This Row],[Plano de Contas]],BASE!$B$3:$H$119,7,FALSE)</f>
        <v>MYLENA</v>
      </c>
    </row>
    <row r="138" spans="1:13" x14ac:dyDescent="0.25">
      <c r="A138" s="74">
        <v>194895</v>
      </c>
      <c r="B138" s="75" t="s">
        <v>232</v>
      </c>
      <c r="C138" s="75" t="s">
        <v>3315</v>
      </c>
      <c r="D138" s="76">
        <v>46035</v>
      </c>
      <c r="E138" s="75" t="s">
        <v>1775</v>
      </c>
      <c r="F138" s="74">
        <v>592.5</v>
      </c>
      <c r="G138" s="75" t="s">
        <v>747</v>
      </c>
      <c r="H138" s="77" t="str">
        <f>VLOOKUP(DESPESAS[[#This Row],[Plano de Contas]],BASE!$B$3:$D$119,3,FALSE)</f>
        <v>Cursos e Treinamentos (Adm)</v>
      </c>
      <c r="I138" s="77" t="str">
        <f>IFERROR(VLOOKUP(DESPESAS[[#This Row],[Fornecedor]],Tabela2[],2,FALSE),"")</f>
        <v/>
      </c>
      <c r="J138" s="77" t="str">
        <f>IFERROR(VLOOKUP(DESPESAS[[#This Row],[Plano de Contas]],BASE!$B$3:$F$119,4,FALSE),"")</f>
        <v>4 - GASTOS COM PESSOAL</v>
      </c>
      <c r="K138" s="77" t="str">
        <f>IFERROR(VLOOKUP(DESPESAS[[#This Row],[Plano de Contas]],BASE!$B$3:$H$119,5,FALSE),"")</f>
        <v>DIRETORIA</v>
      </c>
      <c r="L138" s="77">
        <f>IFERROR(VLOOKUP(DESPESAS[[#This Row],[Plano de Contas]],BASE!$B$3:$H$119,6,FALSE),"")</f>
        <v>0</v>
      </c>
      <c r="M138" s="77" t="str">
        <f>VLOOKUP(DESPESAS[[#This Row],[Plano de Contas]],BASE!$B$3:$H$119,7,FALSE)</f>
        <v>FÁBIO</v>
      </c>
    </row>
    <row r="139" spans="1:13" x14ac:dyDescent="0.25">
      <c r="A139" s="74">
        <v>194896</v>
      </c>
      <c r="B139" s="75" t="s">
        <v>232</v>
      </c>
      <c r="C139" s="75" t="s">
        <v>3315</v>
      </c>
      <c r="D139" s="76">
        <v>46066</v>
      </c>
      <c r="E139" s="75" t="s">
        <v>1775</v>
      </c>
      <c r="F139" s="74">
        <v>592.5</v>
      </c>
      <c r="G139" s="75" t="s">
        <v>747</v>
      </c>
      <c r="H139" s="77" t="str">
        <f>VLOOKUP(DESPESAS[[#This Row],[Plano de Contas]],BASE!$B$3:$D$119,3,FALSE)</f>
        <v>Cursos e Treinamentos (Adm)</v>
      </c>
      <c r="I139" s="77" t="str">
        <f>IFERROR(VLOOKUP(DESPESAS[[#This Row],[Fornecedor]],Tabela2[],2,FALSE),"")</f>
        <v/>
      </c>
      <c r="J139" s="77" t="str">
        <f>IFERROR(VLOOKUP(DESPESAS[[#This Row],[Plano de Contas]],BASE!$B$3:$F$119,4,FALSE),"")</f>
        <v>4 - GASTOS COM PESSOAL</v>
      </c>
      <c r="K139" s="77" t="str">
        <f>IFERROR(VLOOKUP(DESPESAS[[#This Row],[Plano de Contas]],BASE!$B$3:$H$119,5,FALSE),"")</f>
        <v>DIRETORIA</v>
      </c>
      <c r="L139" s="77">
        <f>IFERROR(VLOOKUP(DESPESAS[[#This Row],[Plano de Contas]],BASE!$B$3:$H$119,6,FALSE),"")</f>
        <v>0</v>
      </c>
      <c r="M139" s="77" t="str">
        <f>VLOOKUP(DESPESAS[[#This Row],[Plano de Contas]],BASE!$B$3:$H$119,7,FALSE)</f>
        <v>FÁBIO</v>
      </c>
    </row>
    <row r="140" spans="1:13" x14ac:dyDescent="0.25">
      <c r="A140" s="74">
        <v>194909</v>
      </c>
      <c r="B140" s="75" t="s">
        <v>232</v>
      </c>
      <c r="C140" s="75" t="s">
        <v>3314</v>
      </c>
      <c r="D140" s="76">
        <v>46035</v>
      </c>
      <c r="E140" s="75" t="s">
        <v>1775</v>
      </c>
      <c r="F140" s="74">
        <v>592.5</v>
      </c>
      <c r="G140" s="75" t="s">
        <v>627</v>
      </c>
      <c r="H140" s="77" t="str">
        <f>VLOOKUP(DESPESAS[[#This Row],[Plano de Contas]],BASE!$B$3:$D$119,3,FALSE)</f>
        <v>Salarios e Ordenados (Adm)</v>
      </c>
      <c r="I140" s="77" t="str">
        <f>IFERROR(VLOOKUP(DESPESAS[[#This Row],[Fornecedor]],Tabela2[],2,FALSE),"")</f>
        <v/>
      </c>
      <c r="J140" s="77" t="str">
        <f>IFERROR(VLOOKUP(DESPESAS[[#This Row],[Plano de Contas]],BASE!$B$3:$F$119,4,FALSE),"")</f>
        <v>4 - GASTOS COM PESSOAL</v>
      </c>
      <c r="K140" s="77" t="str">
        <f>IFERROR(VLOOKUP(DESPESAS[[#This Row],[Plano de Contas]],BASE!$B$3:$H$119,5,FALSE),"")</f>
        <v>DH</v>
      </c>
      <c r="L140" s="77">
        <f>IFERROR(VLOOKUP(DESPESAS[[#This Row],[Plano de Contas]],BASE!$B$3:$H$119,6,FALSE),"")</f>
        <v>0</v>
      </c>
      <c r="M140" s="77" t="str">
        <f>VLOOKUP(DESPESAS[[#This Row],[Plano de Contas]],BASE!$B$3:$H$119,7,FALSE)</f>
        <v>RAFAEL</v>
      </c>
    </row>
    <row r="141" spans="1:13" x14ac:dyDescent="0.25">
      <c r="A141" s="74">
        <v>194910</v>
      </c>
      <c r="B141" s="75" t="s">
        <v>232</v>
      </c>
      <c r="C141" s="75" t="s">
        <v>3314</v>
      </c>
      <c r="D141" s="76">
        <v>46066</v>
      </c>
      <c r="E141" s="75" t="s">
        <v>1775</v>
      </c>
      <c r="F141" s="74">
        <v>592.5</v>
      </c>
      <c r="G141" s="75" t="s">
        <v>627</v>
      </c>
      <c r="H141" s="77" t="str">
        <f>VLOOKUP(DESPESAS[[#This Row],[Plano de Contas]],BASE!$B$3:$D$119,3,FALSE)</f>
        <v>Salarios e Ordenados (Adm)</v>
      </c>
      <c r="I141" s="77" t="str">
        <f>IFERROR(VLOOKUP(DESPESAS[[#This Row],[Fornecedor]],Tabela2[],2,FALSE),"")</f>
        <v/>
      </c>
      <c r="J141" s="77" t="str">
        <f>IFERROR(VLOOKUP(DESPESAS[[#This Row],[Plano de Contas]],BASE!$B$3:$F$119,4,FALSE),"")</f>
        <v>4 - GASTOS COM PESSOAL</v>
      </c>
      <c r="K141" s="77" t="str">
        <f>IFERROR(VLOOKUP(DESPESAS[[#This Row],[Plano de Contas]],BASE!$B$3:$H$119,5,FALSE),"")</f>
        <v>DH</v>
      </c>
      <c r="L141" s="77">
        <f>IFERROR(VLOOKUP(DESPESAS[[#This Row],[Plano de Contas]],BASE!$B$3:$H$119,6,FALSE),"")</f>
        <v>0</v>
      </c>
      <c r="M141" s="77" t="str">
        <f>VLOOKUP(DESPESAS[[#This Row],[Plano de Contas]],BASE!$B$3:$H$119,7,FALSE)</f>
        <v>RAFAEL</v>
      </c>
    </row>
    <row r="142" spans="1:13" x14ac:dyDescent="0.25">
      <c r="A142" s="74">
        <v>194924</v>
      </c>
      <c r="B142" s="75" t="s">
        <v>221</v>
      </c>
      <c r="C142" s="75" t="s">
        <v>3313</v>
      </c>
      <c r="D142" s="76">
        <v>46037</v>
      </c>
      <c r="E142" s="75" t="s">
        <v>3312</v>
      </c>
      <c r="F142" s="74">
        <v>100</v>
      </c>
      <c r="G142" s="75" t="s">
        <v>3311</v>
      </c>
      <c r="H142" s="77" t="str">
        <f>VLOOKUP(DESPESAS[[#This Row],[Plano de Contas]],BASE!$B$3:$D$119,3,FALSE)</f>
        <v>Doações</v>
      </c>
      <c r="I142" s="77" t="str">
        <f>IFERROR(VLOOKUP(DESPESAS[[#This Row],[Fornecedor]],Tabela2[],2,FALSE),"")</f>
        <v/>
      </c>
      <c r="J142" s="77" t="str">
        <f>IFERROR(VLOOKUP(DESPESAS[[#This Row],[Plano de Contas]],BASE!$B$3:$F$119,4,FALSE),"")</f>
        <v>5 - DESPESAS ADMINISTRATIVAS</v>
      </c>
      <c r="K142" s="77" t="str">
        <f>IFERROR(VLOOKUP(DESPESAS[[#This Row],[Plano de Contas]],BASE!$B$3:$H$119,5,FALSE),"")</f>
        <v>FINANCEIRO</v>
      </c>
      <c r="L142" s="77">
        <f>IFERROR(VLOOKUP(DESPESAS[[#This Row],[Plano de Contas]],BASE!$B$3:$H$119,6,FALSE),"")</f>
        <v>0</v>
      </c>
      <c r="M142" s="77" t="str">
        <f>VLOOKUP(DESPESAS[[#This Row],[Plano de Contas]],BASE!$B$3:$H$119,7,FALSE)</f>
        <v>LETÍCIA</v>
      </c>
    </row>
    <row r="143" spans="1:13" x14ac:dyDescent="0.25">
      <c r="A143" s="74">
        <v>194925</v>
      </c>
      <c r="B143" s="75" t="s">
        <v>221</v>
      </c>
      <c r="C143" s="75" t="s">
        <v>3313</v>
      </c>
      <c r="D143" s="76">
        <v>46068</v>
      </c>
      <c r="E143" s="75" t="s">
        <v>3312</v>
      </c>
      <c r="F143" s="74">
        <v>100</v>
      </c>
      <c r="G143" s="75" t="s">
        <v>3311</v>
      </c>
      <c r="H143" s="77" t="str">
        <f>VLOOKUP(DESPESAS[[#This Row],[Plano de Contas]],BASE!$B$3:$D$119,3,FALSE)</f>
        <v>Doações</v>
      </c>
      <c r="I143" s="77" t="str">
        <f>IFERROR(VLOOKUP(DESPESAS[[#This Row],[Fornecedor]],Tabela2[],2,FALSE),"")</f>
        <v/>
      </c>
      <c r="J143" s="77" t="str">
        <f>IFERROR(VLOOKUP(DESPESAS[[#This Row],[Plano de Contas]],BASE!$B$3:$F$119,4,FALSE),"")</f>
        <v>5 - DESPESAS ADMINISTRATIVAS</v>
      </c>
      <c r="K143" s="77" t="str">
        <f>IFERROR(VLOOKUP(DESPESAS[[#This Row],[Plano de Contas]],BASE!$B$3:$H$119,5,FALSE),"")</f>
        <v>FINANCEIRO</v>
      </c>
      <c r="L143" s="77">
        <f>IFERROR(VLOOKUP(DESPESAS[[#This Row],[Plano de Contas]],BASE!$B$3:$H$119,6,FALSE),"")</f>
        <v>0</v>
      </c>
      <c r="M143" s="77" t="str">
        <f>VLOOKUP(DESPESAS[[#This Row],[Plano de Contas]],BASE!$B$3:$H$119,7,FALSE)</f>
        <v>LETÍCIA</v>
      </c>
    </row>
    <row r="144" spans="1:13" x14ac:dyDescent="0.25">
      <c r="A144" s="74">
        <v>194926</v>
      </c>
      <c r="B144" s="75" t="s">
        <v>221</v>
      </c>
      <c r="C144" s="75" t="s">
        <v>3313</v>
      </c>
      <c r="D144" s="76">
        <v>46096</v>
      </c>
      <c r="E144" s="75" t="s">
        <v>3312</v>
      </c>
      <c r="F144" s="74">
        <v>100</v>
      </c>
      <c r="G144" s="75" t="s">
        <v>3311</v>
      </c>
      <c r="H144" s="77" t="str">
        <f>VLOOKUP(DESPESAS[[#This Row],[Plano de Contas]],BASE!$B$3:$D$119,3,FALSE)</f>
        <v>Doações</v>
      </c>
      <c r="I144" s="77" t="str">
        <f>IFERROR(VLOOKUP(DESPESAS[[#This Row],[Fornecedor]],Tabela2[],2,FALSE),"")</f>
        <v/>
      </c>
      <c r="J144" s="77" t="str">
        <f>IFERROR(VLOOKUP(DESPESAS[[#This Row],[Plano de Contas]],BASE!$B$3:$F$119,4,FALSE),"")</f>
        <v>5 - DESPESAS ADMINISTRATIVAS</v>
      </c>
      <c r="K144" s="77" t="str">
        <f>IFERROR(VLOOKUP(DESPESAS[[#This Row],[Plano de Contas]],BASE!$B$3:$H$119,5,FALSE),"")</f>
        <v>FINANCEIRO</v>
      </c>
      <c r="L144" s="77">
        <f>IFERROR(VLOOKUP(DESPESAS[[#This Row],[Plano de Contas]],BASE!$B$3:$H$119,6,FALSE),"")</f>
        <v>0</v>
      </c>
      <c r="M144" s="77" t="str">
        <f>VLOOKUP(DESPESAS[[#This Row],[Plano de Contas]],BASE!$B$3:$H$119,7,FALSE)</f>
        <v>LETÍCIA</v>
      </c>
    </row>
    <row r="145" spans="1:13" x14ac:dyDescent="0.25">
      <c r="A145" s="74">
        <v>194927</v>
      </c>
      <c r="B145" s="75" t="s">
        <v>221</v>
      </c>
      <c r="C145" s="75" t="s">
        <v>3313</v>
      </c>
      <c r="D145" s="76">
        <v>46127</v>
      </c>
      <c r="E145" s="75" t="s">
        <v>3312</v>
      </c>
      <c r="F145" s="74">
        <v>100</v>
      </c>
      <c r="G145" s="75" t="s">
        <v>3311</v>
      </c>
      <c r="H145" s="77" t="str">
        <f>VLOOKUP(DESPESAS[[#This Row],[Plano de Contas]],BASE!$B$3:$D$119,3,FALSE)</f>
        <v>Doações</v>
      </c>
      <c r="I145" s="77" t="str">
        <f>IFERROR(VLOOKUP(DESPESAS[[#This Row],[Fornecedor]],Tabela2[],2,FALSE),"")</f>
        <v/>
      </c>
      <c r="J145" s="77" t="str">
        <f>IFERROR(VLOOKUP(DESPESAS[[#This Row],[Plano de Contas]],BASE!$B$3:$F$119,4,FALSE),"")</f>
        <v>5 - DESPESAS ADMINISTRATIVAS</v>
      </c>
      <c r="K145" s="77" t="str">
        <f>IFERROR(VLOOKUP(DESPESAS[[#This Row],[Plano de Contas]],BASE!$B$3:$H$119,5,FALSE),"")</f>
        <v>FINANCEIRO</v>
      </c>
      <c r="L145" s="77">
        <f>IFERROR(VLOOKUP(DESPESAS[[#This Row],[Plano de Contas]],BASE!$B$3:$H$119,6,FALSE),"")</f>
        <v>0</v>
      </c>
      <c r="M145" s="77" t="str">
        <f>VLOOKUP(DESPESAS[[#This Row],[Plano de Contas]],BASE!$B$3:$H$119,7,FALSE)</f>
        <v>LETÍCIA</v>
      </c>
    </row>
    <row r="146" spans="1:13" x14ac:dyDescent="0.25">
      <c r="A146" s="74">
        <v>195138</v>
      </c>
      <c r="B146" s="75" t="s">
        <v>221</v>
      </c>
      <c r="C146" s="75" t="s">
        <v>3310</v>
      </c>
      <c r="D146" s="76">
        <v>46045</v>
      </c>
      <c r="E146" s="75" t="s">
        <v>2805</v>
      </c>
      <c r="F146" s="74">
        <v>999.73</v>
      </c>
      <c r="G146" s="75" t="s">
        <v>747</v>
      </c>
      <c r="H146" s="77" t="str">
        <f>VLOOKUP(DESPESAS[[#This Row],[Plano de Contas]],BASE!$B$3:$D$119,3,FALSE)</f>
        <v>Cursos e Treinamentos (Adm)</v>
      </c>
      <c r="I146" s="77" t="str">
        <f>IFERROR(VLOOKUP(DESPESAS[[#This Row],[Fornecedor]],Tabela2[],2,FALSE),"")</f>
        <v/>
      </c>
      <c r="J146" s="77" t="str">
        <f>IFERROR(VLOOKUP(DESPESAS[[#This Row],[Plano de Contas]],BASE!$B$3:$F$119,4,FALSE),"")</f>
        <v>4 - GASTOS COM PESSOAL</v>
      </c>
      <c r="K146" s="77" t="str">
        <f>IFERROR(VLOOKUP(DESPESAS[[#This Row],[Plano de Contas]],BASE!$B$3:$H$119,5,FALSE),"")</f>
        <v>DIRETORIA</v>
      </c>
      <c r="L146" s="77">
        <f>IFERROR(VLOOKUP(DESPESAS[[#This Row],[Plano de Contas]],BASE!$B$3:$H$119,6,FALSE),"")</f>
        <v>0</v>
      </c>
      <c r="M146" s="77" t="str">
        <f>VLOOKUP(DESPESAS[[#This Row],[Plano de Contas]],BASE!$B$3:$H$119,7,FALSE)</f>
        <v>FÁBIO</v>
      </c>
    </row>
    <row r="147" spans="1:13" x14ac:dyDescent="0.25">
      <c r="A147" s="74">
        <v>195139</v>
      </c>
      <c r="B147" s="75" t="s">
        <v>221</v>
      </c>
      <c r="C147" s="75" t="s">
        <v>3309</v>
      </c>
      <c r="D147" s="76">
        <v>46076</v>
      </c>
      <c r="E147" s="75" t="s">
        <v>2805</v>
      </c>
      <c r="F147" s="74">
        <v>999.73</v>
      </c>
      <c r="G147" s="75" t="s">
        <v>747</v>
      </c>
      <c r="H147" s="77" t="str">
        <f>VLOOKUP(DESPESAS[[#This Row],[Plano de Contas]],BASE!$B$3:$D$119,3,FALSE)</f>
        <v>Cursos e Treinamentos (Adm)</v>
      </c>
      <c r="I147" s="77" t="str">
        <f>IFERROR(VLOOKUP(DESPESAS[[#This Row],[Fornecedor]],Tabela2[],2,FALSE),"")</f>
        <v/>
      </c>
      <c r="J147" s="77" t="str">
        <f>IFERROR(VLOOKUP(DESPESAS[[#This Row],[Plano de Contas]],BASE!$B$3:$F$119,4,FALSE),"")</f>
        <v>4 - GASTOS COM PESSOAL</v>
      </c>
      <c r="K147" s="77" t="str">
        <f>IFERROR(VLOOKUP(DESPESAS[[#This Row],[Plano de Contas]],BASE!$B$3:$H$119,5,FALSE),"")</f>
        <v>DIRETORIA</v>
      </c>
      <c r="L147" s="77">
        <f>IFERROR(VLOOKUP(DESPESAS[[#This Row],[Plano de Contas]],BASE!$B$3:$H$119,6,FALSE),"")</f>
        <v>0</v>
      </c>
      <c r="M147" s="77" t="str">
        <f>VLOOKUP(DESPESAS[[#This Row],[Plano de Contas]],BASE!$B$3:$H$119,7,FALSE)</f>
        <v>FÁBIO</v>
      </c>
    </row>
    <row r="148" spans="1:13" x14ac:dyDescent="0.25">
      <c r="A148" s="74">
        <v>195140</v>
      </c>
      <c r="B148" s="75" t="s">
        <v>221</v>
      </c>
      <c r="C148" s="75" t="s">
        <v>3308</v>
      </c>
      <c r="D148" s="76">
        <v>46104</v>
      </c>
      <c r="E148" s="75" t="s">
        <v>2805</v>
      </c>
      <c r="F148" s="74">
        <v>999.73</v>
      </c>
      <c r="G148" s="75" t="s">
        <v>747</v>
      </c>
      <c r="H148" s="77" t="str">
        <f>VLOOKUP(DESPESAS[[#This Row],[Plano de Contas]],BASE!$B$3:$D$119,3,FALSE)</f>
        <v>Cursos e Treinamentos (Adm)</v>
      </c>
      <c r="I148" s="77" t="str">
        <f>IFERROR(VLOOKUP(DESPESAS[[#This Row],[Fornecedor]],Tabela2[],2,FALSE),"")</f>
        <v/>
      </c>
      <c r="J148" s="77" t="str">
        <f>IFERROR(VLOOKUP(DESPESAS[[#This Row],[Plano de Contas]],BASE!$B$3:$F$119,4,FALSE),"")</f>
        <v>4 - GASTOS COM PESSOAL</v>
      </c>
      <c r="K148" s="77" t="str">
        <f>IFERROR(VLOOKUP(DESPESAS[[#This Row],[Plano de Contas]],BASE!$B$3:$H$119,5,FALSE),"")</f>
        <v>DIRETORIA</v>
      </c>
      <c r="L148" s="77">
        <f>IFERROR(VLOOKUP(DESPESAS[[#This Row],[Plano de Contas]],BASE!$B$3:$H$119,6,FALSE),"")</f>
        <v>0</v>
      </c>
      <c r="M148" s="77" t="str">
        <f>VLOOKUP(DESPESAS[[#This Row],[Plano de Contas]],BASE!$B$3:$H$119,7,FALSE)</f>
        <v>FÁBIO</v>
      </c>
    </row>
    <row r="149" spans="1:13" x14ac:dyDescent="0.25">
      <c r="A149" s="74">
        <v>195141</v>
      </c>
      <c r="B149" s="75" t="s">
        <v>221</v>
      </c>
      <c r="C149" s="75" t="s">
        <v>3307</v>
      </c>
      <c r="D149" s="76">
        <v>46135</v>
      </c>
      <c r="E149" s="75" t="s">
        <v>2805</v>
      </c>
      <c r="F149" s="74">
        <v>999.73</v>
      </c>
      <c r="G149" s="75" t="s">
        <v>747</v>
      </c>
      <c r="H149" s="77" t="str">
        <f>VLOOKUP(DESPESAS[[#This Row],[Plano de Contas]],BASE!$B$3:$D$119,3,FALSE)</f>
        <v>Cursos e Treinamentos (Adm)</v>
      </c>
      <c r="I149" s="77" t="str">
        <f>IFERROR(VLOOKUP(DESPESAS[[#This Row],[Fornecedor]],Tabela2[],2,FALSE),"")</f>
        <v/>
      </c>
      <c r="J149" s="77" t="str">
        <f>IFERROR(VLOOKUP(DESPESAS[[#This Row],[Plano de Contas]],BASE!$B$3:$F$119,4,FALSE),"")</f>
        <v>4 - GASTOS COM PESSOAL</v>
      </c>
      <c r="K149" s="77" t="str">
        <f>IFERROR(VLOOKUP(DESPESAS[[#This Row],[Plano de Contas]],BASE!$B$3:$H$119,5,FALSE),"")</f>
        <v>DIRETORIA</v>
      </c>
      <c r="L149" s="77">
        <f>IFERROR(VLOOKUP(DESPESAS[[#This Row],[Plano de Contas]],BASE!$B$3:$H$119,6,FALSE),"")</f>
        <v>0</v>
      </c>
      <c r="M149" s="77" t="str">
        <f>VLOOKUP(DESPESAS[[#This Row],[Plano de Contas]],BASE!$B$3:$H$119,7,FALSE)</f>
        <v>FÁBIO</v>
      </c>
    </row>
    <row r="150" spans="1:13" x14ac:dyDescent="0.25">
      <c r="A150" s="74">
        <v>195203</v>
      </c>
      <c r="B150" s="75" t="s">
        <v>232</v>
      </c>
      <c r="C150" s="75" t="s">
        <v>3306</v>
      </c>
      <c r="D150" s="76">
        <v>46032</v>
      </c>
      <c r="E150" s="75" t="s">
        <v>540</v>
      </c>
      <c r="F150" s="74">
        <v>4483</v>
      </c>
      <c r="G150" s="75" t="s">
        <v>2203</v>
      </c>
      <c r="H150" s="77" t="str">
        <f>VLOOKUP(DESPESAS[[#This Row],[Plano de Contas]],BASE!$B$3:$D$119,3,FALSE)</f>
        <v>Curadoria</v>
      </c>
      <c r="I150" s="77" t="str">
        <f>IFERROR(VLOOKUP(DESPESAS[[#This Row],[Fornecedor]],Tabela2[],2,FALSE),"")</f>
        <v/>
      </c>
      <c r="J150" s="77" t="str">
        <f>IFERROR(VLOOKUP(DESPESAS[[#This Row],[Plano de Contas]],BASE!$B$3:$F$119,4,FALSE),"")</f>
        <v>7 - SERVIÇOS DE TERCEIROS</v>
      </c>
      <c r="K150" s="77" t="str">
        <f>IFERROR(VLOOKUP(DESPESAS[[#This Row],[Plano de Contas]],BASE!$B$3:$H$119,5,FALSE),"")</f>
        <v>FINANCEIRO</v>
      </c>
      <c r="L150" s="77">
        <f>IFERROR(VLOOKUP(DESPESAS[[#This Row],[Plano de Contas]],BASE!$B$3:$H$119,6,FALSE),"")</f>
        <v>0</v>
      </c>
      <c r="M150" s="77" t="str">
        <f>VLOOKUP(DESPESAS[[#This Row],[Plano de Contas]],BASE!$B$3:$H$119,7,FALSE)</f>
        <v>LETÍCIA</v>
      </c>
    </row>
    <row r="151" spans="1:13" x14ac:dyDescent="0.25">
      <c r="A151" s="74">
        <v>195204</v>
      </c>
      <c r="B151" s="75" t="s">
        <v>232</v>
      </c>
      <c r="C151" s="75" t="s">
        <v>3305</v>
      </c>
      <c r="D151" s="76">
        <v>46047</v>
      </c>
      <c r="E151" s="75" t="s">
        <v>540</v>
      </c>
      <c r="F151" s="74">
        <v>4483</v>
      </c>
      <c r="G151" s="75" t="s">
        <v>2203</v>
      </c>
      <c r="H151" s="77" t="str">
        <f>VLOOKUP(DESPESAS[[#This Row],[Plano de Contas]],BASE!$B$3:$D$119,3,FALSE)</f>
        <v>Curadoria</v>
      </c>
      <c r="I151" s="77" t="str">
        <f>IFERROR(VLOOKUP(DESPESAS[[#This Row],[Fornecedor]],Tabela2[],2,FALSE),"")</f>
        <v/>
      </c>
      <c r="J151" s="77" t="str">
        <f>IFERROR(VLOOKUP(DESPESAS[[#This Row],[Plano de Contas]],BASE!$B$3:$F$119,4,FALSE),"")</f>
        <v>7 - SERVIÇOS DE TERCEIROS</v>
      </c>
      <c r="K151" s="77" t="str">
        <f>IFERROR(VLOOKUP(DESPESAS[[#This Row],[Plano de Contas]],BASE!$B$3:$H$119,5,FALSE),"")</f>
        <v>FINANCEIRO</v>
      </c>
      <c r="L151" s="77">
        <f>IFERROR(VLOOKUP(DESPESAS[[#This Row],[Plano de Contas]],BASE!$B$3:$H$119,6,FALSE),"")</f>
        <v>0</v>
      </c>
      <c r="M151" s="77" t="str">
        <f>VLOOKUP(DESPESAS[[#This Row],[Plano de Contas]],BASE!$B$3:$H$119,7,FALSE)</f>
        <v>LETÍCIA</v>
      </c>
    </row>
    <row r="152" spans="1:13" x14ac:dyDescent="0.25">
      <c r="A152" s="74">
        <v>195491</v>
      </c>
      <c r="B152" s="75" t="s">
        <v>221</v>
      </c>
      <c r="C152" s="75" t="s">
        <v>3303</v>
      </c>
      <c r="D152" s="76">
        <v>46032</v>
      </c>
      <c r="E152" s="75" t="s">
        <v>239</v>
      </c>
      <c r="F152" s="74">
        <v>5000</v>
      </c>
      <c r="G152" s="75" t="s">
        <v>238</v>
      </c>
      <c r="H152" s="77" t="str">
        <f>VLOOKUP(DESPESAS[[#This Row],[Plano de Contas]],BASE!$B$3:$D$119,3,FALSE)</f>
        <v>Consultoria Comercial</v>
      </c>
      <c r="I152" s="77" t="str">
        <f>IFERROR(VLOOKUP(DESPESAS[[#This Row],[Fornecedor]],Tabela2[],2,FALSE),"")</f>
        <v/>
      </c>
      <c r="J152" s="77" t="str">
        <f>IFERROR(VLOOKUP(DESPESAS[[#This Row],[Plano de Contas]],BASE!$B$3:$F$119,4,FALSE),"")</f>
        <v>6 - DESPESA COM VENDAS</v>
      </c>
      <c r="K152" s="77" t="str">
        <f>IFERROR(VLOOKUP(DESPESAS[[#This Row],[Plano de Contas]],BASE!$B$3:$H$119,5,FALSE),"")</f>
        <v>COMERCIAL</v>
      </c>
      <c r="L152" s="77">
        <f>IFERROR(VLOOKUP(DESPESAS[[#This Row],[Plano de Contas]],BASE!$B$3:$H$119,6,FALSE),"")</f>
        <v>0</v>
      </c>
      <c r="M152" s="77" t="str">
        <f>VLOOKUP(DESPESAS[[#This Row],[Plano de Contas]],BASE!$B$3:$H$119,7,FALSE)</f>
        <v>LETÍCIA</v>
      </c>
    </row>
    <row r="153" spans="1:13" x14ac:dyDescent="0.25">
      <c r="A153" s="74">
        <v>195492</v>
      </c>
      <c r="B153" s="75" t="s">
        <v>221</v>
      </c>
      <c r="C153" s="75" t="s">
        <v>3303</v>
      </c>
      <c r="D153" s="76">
        <v>46063</v>
      </c>
      <c r="E153" s="75" t="s">
        <v>239</v>
      </c>
      <c r="F153" s="74">
        <v>5000</v>
      </c>
      <c r="G153" s="75" t="s">
        <v>238</v>
      </c>
      <c r="H153" s="77" t="str">
        <f>VLOOKUP(DESPESAS[[#This Row],[Plano de Contas]],BASE!$B$3:$D$119,3,FALSE)</f>
        <v>Consultoria Comercial</v>
      </c>
      <c r="I153" s="77" t="str">
        <f>IFERROR(VLOOKUP(DESPESAS[[#This Row],[Fornecedor]],Tabela2[],2,FALSE),"")</f>
        <v/>
      </c>
      <c r="J153" s="77" t="str">
        <f>IFERROR(VLOOKUP(DESPESAS[[#This Row],[Plano de Contas]],BASE!$B$3:$F$119,4,FALSE),"")</f>
        <v>6 - DESPESA COM VENDAS</v>
      </c>
      <c r="K153" s="77" t="str">
        <f>IFERROR(VLOOKUP(DESPESAS[[#This Row],[Plano de Contas]],BASE!$B$3:$H$119,5,FALSE),"")</f>
        <v>COMERCIAL</v>
      </c>
      <c r="L153" s="77">
        <f>IFERROR(VLOOKUP(DESPESAS[[#This Row],[Plano de Contas]],BASE!$B$3:$H$119,6,FALSE),"")</f>
        <v>0</v>
      </c>
      <c r="M153" s="77" t="str">
        <f>VLOOKUP(DESPESAS[[#This Row],[Plano de Contas]],BASE!$B$3:$H$119,7,FALSE)</f>
        <v>LETÍCIA</v>
      </c>
    </row>
    <row r="154" spans="1:13" x14ac:dyDescent="0.25">
      <c r="A154" s="74">
        <v>195503</v>
      </c>
      <c r="B154" s="75" t="s">
        <v>232</v>
      </c>
      <c r="C154" s="75" t="s">
        <v>3304</v>
      </c>
      <c r="D154" s="76">
        <v>46032</v>
      </c>
      <c r="E154" s="75" t="s">
        <v>1574</v>
      </c>
      <c r="F154" s="74">
        <v>5000</v>
      </c>
      <c r="G154" s="75" t="s">
        <v>238</v>
      </c>
      <c r="H154" s="77" t="str">
        <f>VLOOKUP(DESPESAS[[#This Row],[Plano de Contas]],BASE!$B$3:$D$119,3,FALSE)</f>
        <v>Consultoria Comercial</v>
      </c>
      <c r="I154" s="77" t="str">
        <f>IFERROR(VLOOKUP(DESPESAS[[#This Row],[Fornecedor]],Tabela2[],2,FALSE),"")</f>
        <v/>
      </c>
      <c r="J154" s="77" t="str">
        <f>IFERROR(VLOOKUP(DESPESAS[[#This Row],[Plano de Contas]],BASE!$B$3:$F$119,4,FALSE),"")</f>
        <v>6 - DESPESA COM VENDAS</v>
      </c>
      <c r="K154" s="77" t="str">
        <f>IFERROR(VLOOKUP(DESPESAS[[#This Row],[Plano de Contas]],BASE!$B$3:$H$119,5,FALSE),"")</f>
        <v>COMERCIAL</v>
      </c>
      <c r="L154" s="77">
        <f>IFERROR(VLOOKUP(DESPESAS[[#This Row],[Plano de Contas]],BASE!$B$3:$H$119,6,FALSE),"")</f>
        <v>0</v>
      </c>
      <c r="M154" s="77" t="str">
        <f>VLOOKUP(DESPESAS[[#This Row],[Plano de Contas]],BASE!$B$3:$H$119,7,FALSE)</f>
        <v>LETÍCIA</v>
      </c>
    </row>
    <row r="155" spans="1:13" x14ac:dyDescent="0.25">
      <c r="A155" s="74">
        <v>195505</v>
      </c>
      <c r="B155" s="75" t="s">
        <v>232</v>
      </c>
      <c r="C155" s="75" t="s">
        <v>3303</v>
      </c>
      <c r="D155" s="76">
        <v>46063</v>
      </c>
      <c r="E155" s="75" t="s">
        <v>1574</v>
      </c>
      <c r="F155" s="74">
        <v>5000</v>
      </c>
      <c r="G155" s="75" t="s">
        <v>238</v>
      </c>
      <c r="H155" s="77" t="str">
        <f>VLOOKUP(DESPESAS[[#This Row],[Plano de Contas]],BASE!$B$3:$D$119,3,FALSE)</f>
        <v>Consultoria Comercial</v>
      </c>
      <c r="I155" s="77" t="str">
        <f>IFERROR(VLOOKUP(DESPESAS[[#This Row],[Fornecedor]],Tabela2[],2,FALSE),"")</f>
        <v/>
      </c>
      <c r="J155" s="77" t="str">
        <f>IFERROR(VLOOKUP(DESPESAS[[#This Row],[Plano de Contas]],BASE!$B$3:$F$119,4,FALSE),"")</f>
        <v>6 - DESPESA COM VENDAS</v>
      </c>
      <c r="K155" s="77" t="str">
        <f>IFERROR(VLOOKUP(DESPESAS[[#This Row],[Plano de Contas]],BASE!$B$3:$H$119,5,FALSE),"")</f>
        <v>COMERCIAL</v>
      </c>
      <c r="L155" s="77">
        <f>IFERROR(VLOOKUP(DESPESAS[[#This Row],[Plano de Contas]],BASE!$B$3:$H$119,6,FALSE),"")</f>
        <v>0</v>
      </c>
      <c r="M155" s="77" t="str">
        <f>VLOOKUP(DESPESAS[[#This Row],[Plano de Contas]],BASE!$B$3:$H$119,7,FALSE)</f>
        <v>LETÍCIA</v>
      </c>
    </row>
    <row r="156" spans="1:13" x14ac:dyDescent="0.25">
      <c r="A156" s="74">
        <v>195625</v>
      </c>
      <c r="B156" s="75" t="s">
        <v>281</v>
      </c>
      <c r="C156" s="75" t="s">
        <v>3302</v>
      </c>
      <c r="D156" s="76">
        <v>46035</v>
      </c>
      <c r="E156" s="75" t="s">
        <v>325</v>
      </c>
      <c r="F156" s="74">
        <v>54.76</v>
      </c>
      <c r="G156" s="75" t="s">
        <v>561</v>
      </c>
      <c r="H156" s="77" t="str">
        <f>VLOOKUP(DESPESAS[[#This Row],[Plano de Contas]],BASE!$B$3:$D$119,3,FALSE)</f>
        <v>Sistemas de Informação</v>
      </c>
      <c r="I156" s="77" t="str">
        <f>IFERROR(VLOOKUP(DESPESAS[[#This Row],[Fornecedor]],Tabela2[],2,FALSE),"")</f>
        <v/>
      </c>
      <c r="J156" s="77" t="str">
        <f>IFERROR(VLOOKUP(DESPESAS[[#This Row],[Plano de Contas]],BASE!$B$3:$F$119,4,FALSE),"")</f>
        <v>7 - SERVIÇOS DE TERCEIROS</v>
      </c>
      <c r="K156" s="77" t="str">
        <f>IFERROR(VLOOKUP(DESPESAS[[#This Row],[Plano de Contas]],BASE!$B$3:$H$119,5,FALSE),"")</f>
        <v>MANUTENÇÃO / TI</v>
      </c>
      <c r="L156" s="77">
        <f>IFERROR(VLOOKUP(DESPESAS[[#This Row],[Plano de Contas]],BASE!$B$3:$H$119,6,FALSE),"")</f>
        <v>0</v>
      </c>
      <c r="M156" s="77" t="str">
        <f>VLOOKUP(DESPESAS[[#This Row],[Plano de Contas]],BASE!$B$3:$H$119,7,FALSE)</f>
        <v>LETÍCIA</v>
      </c>
    </row>
    <row r="157" spans="1:13" x14ac:dyDescent="0.25">
      <c r="A157" s="74">
        <v>195626</v>
      </c>
      <c r="B157" s="75" t="s">
        <v>281</v>
      </c>
      <c r="C157" s="75" t="s">
        <v>3301</v>
      </c>
      <c r="D157" s="76">
        <v>46066</v>
      </c>
      <c r="E157" s="75" t="s">
        <v>325</v>
      </c>
      <c r="F157" s="74">
        <v>54.76</v>
      </c>
      <c r="G157" s="75" t="s">
        <v>561</v>
      </c>
      <c r="H157" s="77" t="str">
        <f>VLOOKUP(DESPESAS[[#This Row],[Plano de Contas]],BASE!$B$3:$D$119,3,FALSE)</f>
        <v>Sistemas de Informação</v>
      </c>
      <c r="I157" s="77" t="str">
        <f>IFERROR(VLOOKUP(DESPESAS[[#This Row],[Fornecedor]],Tabela2[],2,FALSE),"")</f>
        <v/>
      </c>
      <c r="J157" s="77" t="str">
        <f>IFERROR(VLOOKUP(DESPESAS[[#This Row],[Plano de Contas]],BASE!$B$3:$F$119,4,FALSE),"")</f>
        <v>7 - SERVIÇOS DE TERCEIROS</v>
      </c>
      <c r="K157" s="77" t="str">
        <f>IFERROR(VLOOKUP(DESPESAS[[#This Row],[Plano de Contas]],BASE!$B$3:$H$119,5,FALSE),"")</f>
        <v>MANUTENÇÃO / TI</v>
      </c>
      <c r="L157" s="77">
        <f>IFERROR(VLOOKUP(DESPESAS[[#This Row],[Plano de Contas]],BASE!$B$3:$H$119,6,FALSE),"")</f>
        <v>0</v>
      </c>
      <c r="M157" s="77" t="str">
        <f>VLOOKUP(DESPESAS[[#This Row],[Plano de Contas]],BASE!$B$3:$H$119,7,FALSE)</f>
        <v>LETÍCIA</v>
      </c>
    </row>
    <row r="158" spans="1:13" x14ac:dyDescent="0.25">
      <c r="A158" s="74">
        <v>195627</v>
      </c>
      <c r="B158" s="75" t="s">
        <v>281</v>
      </c>
      <c r="C158" s="75" t="s">
        <v>3300</v>
      </c>
      <c r="D158" s="76">
        <v>46094</v>
      </c>
      <c r="E158" s="75" t="s">
        <v>325</v>
      </c>
      <c r="F158" s="74">
        <v>54.76</v>
      </c>
      <c r="G158" s="75" t="s">
        <v>561</v>
      </c>
      <c r="H158" s="77" t="str">
        <f>VLOOKUP(DESPESAS[[#This Row],[Plano de Contas]],BASE!$B$3:$D$119,3,FALSE)</f>
        <v>Sistemas de Informação</v>
      </c>
      <c r="I158" s="77" t="str">
        <f>IFERROR(VLOOKUP(DESPESAS[[#This Row],[Fornecedor]],Tabela2[],2,FALSE),"")</f>
        <v/>
      </c>
      <c r="J158" s="77" t="str">
        <f>IFERROR(VLOOKUP(DESPESAS[[#This Row],[Plano de Contas]],BASE!$B$3:$F$119,4,FALSE),"")</f>
        <v>7 - SERVIÇOS DE TERCEIROS</v>
      </c>
      <c r="K158" s="77" t="str">
        <f>IFERROR(VLOOKUP(DESPESAS[[#This Row],[Plano de Contas]],BASE!$B$3:$H$119,5,FALSE),"")</f>
        <v>MANUTENÇÃO / TI</v>
      </c>
      <c r="L158" s="77">
        <f>IFERROR(VLOOKUP(DESPESAS[[#This Row],[Plano de Contas]],BASE!$B$3:$H$119,6,FALSE),"")</f>
        <v>0</v>
      </c>
      <c r="M158" s="77" t="str">
        <f>VLOOKUP(DESPESAS[[#This Row],[Plano de Contas]],BASE!$B$3:$H$119,7,FALSE)</f>
        <v>LETÍCIA</v>
      </c>
    </row>
    <row r="159" spans="1:13" x14ac:dyDescent="0.25">
      <c r="A159" s="74">
        <v>195628</v>
      </c>
      <c r="B159" s="75" t="s">
        <v>281</v>
      </c>
      <c r="C159" s="75" t="s">
        <v>3299</v>
      </c>
      <c r="D159" s="76">
        <v>46125</v>
      </c>
      <c r="E159" s="75" t="s">
        <v>325</v>
      </c>
      <c r="F159" s="74">
        <v>54.76</v>
      </c>
      <c r="G159" s="75" t="s">
        <v>561</v>
      </c>
      <c r="H159" s="77" t="str">
        <f>VLOOKUP(DESPESAS[[#This Row],[Plano de Contas]],BASE!$B$3:$D$119,3,FALSE)</f>
        <v>Sistemas de Informação</v>
      </c>
      <c r="I159" s="77" t="str">
        <f>IFERROR(VLOOKUP(DESPESAS[[#This Row],[Fornecedor]],Tabela2[],2,FALSE),"")</f>
        <v/>
      </c>
      <c r="J159" s="77" t="str">
        <f>IFERROR(VLOOKUP(DESPESAS[[#This Row],[Plano de Contas]],BASE!$B$3:$F$119,4,FALSE),"")</f>
        <v>7 - SERVIÇOS DE TERCEIROS</v>
      </c>
      <c r="K159" s="77" t="str">
        <f>IFERROR(VLOOKUP(DESPESAS[[#This Row],[Plano de Contas]],BASE!$B$3:$H$119,5,FALSE),"")</f>
        <v>MANUTENÇÃO / TI</v>
      </c>
      <c r="L159" s="77">
        <f>IFERROR(VLOOKUP(DESPESAS[[#This Row],[Plano de Contas]],BASE!$B$3:$H$119,6,FALSE),"")</f>
        <v>0</v>
      </c>
      <c r="M159" s="77" t="str">
        <f>VLOOKUP(DESPESAS[[#This Row],[Plano de Contas]],BASE!$B$3:$H$119,7,FALSE)</f>
        <v>LETÍCIA</v>
      </c>
    </row>
    <row r="160" spans="1:13" x14ac:dyDescent="0.25">
      <c r="A160" s="74">
        <v>195837</v>
      </c>
      <c r="B160" s="75" t="s">
        <v>221</v>
      </c>
      <c r="C160" s="75" t="s">
        <v>3298</v>
      </c>
      <c r="D160" s="76">
        <v>46045</v>
      </c>
      <c r="E160" s="75" t="s">
        <v>3294</v>
      </c>
      <c r="F160" s="74">
        <v>585.96</v>
      </c>
      <c r="G160" s="75" t="s">
        <v>331</v>
      </c>
      <c r="H160" s="77" t="str">
        <f>VLOOKUP(DESPESAS[[#This Row],[Plano de Contas]],BASE!$B$3:$D$119,3,FALSE)</f>
        <v>Manutenção Predial (Adm)</v>
      </c>
      <c r="I160" s="77" t="str">
        <f>IFERROR(VLOOKUP(DESPESAS[[#This Row],[Fornecedor]],Tabela2[],2,FALSE),"")</f>
        <v/>
      </c>
      <c r="J160" s="77" t="str">
        <f>IFERROR(VLOOKUP(DESPESAS[[#This Row],[Plano de Contas]],BASE!$B$3:$F$119,4,FALSE),"")</f>
        <v>4 - GASTOS COM PESSOAL</v>
      </c>
      <c r="K160" s="77" t="str">
        <f>IFERROR(VLOOKUP(DESPESAS[[#This Row],[Plano de Contas]],BASE!$B$3:$H$119,5,FALSE),"")</f>
        <v>MANUTENÇÃO / TI</v>
      </c>
      <c r="L160" s="77">
        <f>IFERROR(VLOOKUP(DESPESAS[[#This Row],[Plano de Contas]],BASE!$B$3:$H$119,6,FALSE),"")</f>
        <v>0</v>
      </c>
      <c r="M160" s="77" t="str">
        <f>VLOOKUP(DESPESAS[[#This Row],[Plano de Contas]],BASE!$B$3:$H$119,7,FALSE)</f>
        <v>FÁBIO</v>
      </c>
    </row>
    <row r="161" spans="1:13" x14ac:dyDescent="0.25">
      <c r="A161" s="74">
        <v>195838</v>
      </c>
      <c r="B161" s="75" t="s">
        <v>221</v>
      </c>
      <c r="C161" s="75" t="s">
        <v>3297</v>
      </c>
      <c r="D161" s="76">
        <v>46076</v>
      </c>
      <c r="E161" s="75" t="s">
        <v>3294</v>
      </c>
      <c r="F161" s="74">
        <v>585.96</v>
      </c>
      <c r="G161" s="75" t="s">
        <v>331</v>
      </c>
      <c r="H161" s="77" t="str">
        <f>VLOOKUP(DESPESAS[[#This Row],[Plano de Contas]],BASE!$B$3:$D$119,3,FALSE)</f>
        <v>Manutenção Predial (Adm)</v>
      </c>
      <c r="I161" s="77" t="str">
        <f>IFERROR(VLOOKUP(DESPESAS[[#This Row],[Fornecedor]],Tabela2[],2,FALSE),"")</f>
        <v/>
      </c>
      <c r="J161" s="77" t="str">
        <f>IFERROR(VLOOKUP(DESPESAS[[#This Row],[Plano de Contas]],BASE!$B$3:$F$119,4,FALSE),"")</f>
        <v>4 - GASTOS COM PESSOAL</v>
      </c>
      <c r="K161" s="77" t="str">
        <f>IFERROR(VLOOKUP(DESPESAS[[#This Row],[Plano de Contas]],BASE!$B$3:$H$119,5,FALSE),"")</f>
        <v>MANUTENÇÃO / TI</v>
      </c>
      <c r="L161" s="77">
        <f>IFERROR(VLOOKUP(DESPESAS[[#This Row],[Plano de Contas]],BASE!$B$3:$H$119,6,FALSE),"")</f>
        <v>0</v>
      </c>
      <c r="M161" s="77" t="str">
        <f>VLOOKUP(DESPESAS[[#This Row],[Plano de Contas]],BASE!$B$3:$H$119,7,FALSE)</f>
        <v>FÁBIO</v>
      </c>
    </row>
    <row r="162" spans="1:13" x14ac:dyDescent="0.25">
      <c r="A162" s="74">
        <v>195839</v>
      </c>
      <c r="B162" s="75" t="s">
        <v>221</v>
      </c>
      <c r="C162" s="75" t="s">
        <v>3296</v>
      </c>
      <c r="D162" s="76">
        <v>46104</v>
      </c>
      <c r="E162" s="75" t="s">
        <v>3294</v>
      </c>
      <c r="F162" s="74">
        <v>585.96</v>
      </c>
      <c r="G162" s="75" t="s">
        <v>331</v>
      </c>
      <c r="H162" s="77" t="str">
        <f>VLOOKUP(DESPESAS[[#This Row],[Plano de Contas]],BASE!$B$3:$D$119,3,FALSE)</f>
        <v>Manutenção Predial (Adm)</v>
      </c>
      <c r="I162" s="77" t="str">
        <f>IFERROR(VLOOKUP(DESPESAS[[#This Row],[Fornecedor]],Tabela2[],2,FALSE),"")</f>
        <v/>
      </c>
      <c r="J162" s="77" t="str">
        <f>IFERROR(VLOOKUP(DESPESAS[[#This Row],[Plano de Contas]],BASE!$B$3:$F$119,4,FALSE),"")</f>
        <v>4 - GASTOS COM PESSOAL</v>
      </c>
      <c r="K162" s="77" t="str">
        <f>IFERROR(VLOOKUP(DESPESAS[[#This Row],[Plano de Contas]],BASE!$B$3:$H$119,5,FALSE),"")</f>
        <v>MANUTENÇÃO / TI</v>
      </c>
      <c r="L162" s="77">
        <f>IFERROR(VLOOKUP(DESPESAS[[#This Row],[Plano de Contas]],BASE!$B$3:$H$119,6,FALSE),"")</f>
        <v>0</v>
      </c>
      <c r="M162" s="77" t="str">
        <f>VLOOKUP(DESPESAS[[#This Row],[Plano de Contas]],BASE!$B$3:$H$119,7,FALSE)</f>
        <v>FÁBIO</v>
      </c>
    </row>
    <row r="163" spans="1:13" x14ac:dyDescent="0.25">
      <c r="A163" s="74">
        <v>195840</v>
      </c>
      <c r="B163" s="75" t="s">
        <v>221</v>
      </c>
      <c r="C163" s="75" t="s">
        <v>3295</v>
      </c>
      <c r="D163" s="76">
        <v>46135</v>
      </c>
      <c r="E163" s="75" t="s">
        <v>3294</v>
      </c>
      <c r="F163" s="74">
        <v>585.96</v>
      </c>
      <c r="G163" s="75" t="s">
        <v>331</v>
      </c>
      <c r="H163" s="77" t="str">
        <f>VLOOKUP(DESPESAS[[#This Row],[Plano de Contas]],BASE!$B$3:$D$119,3,FALSE)</f>
        <v>Manutenção Predial (Adm)</v>
      </c>
      <c r="I163" s="77" t="str">
        <f>IFERROR(VLOOKUP(DESPESAS[[#This Row],[Fornecedor]],Tabela2[],2,FALSE),"")</f>
        <v/>
      </c>
      <c r="J163" s="77" t="str">
        <f>IFERROR(VLOOKUP(DESPESAS[[#This Row],[Plano de Contas]],BASE!$B$3:$F$119,4,FALSE),"")</f>
        <v>4 - GASTOS COM PESSOAL</v>
      </c>
      <c r="K163" s="77" t="str">
        <f>IFERROR(VLOOKUP(DESPESAS[[#This Row],[Plano de Contas]],BASE!$B$3:$H$119,5,FALSE),"")</f>
        <v>MANUTENÇÃO / TI</v>
      </c>
      <c r="L163" s="77">
        <f>IFERROR(VLOOKUP(DESPESAS[[#This Row],[Plano de Contas]],BASE!$B$3:$H$119,6,FALSE),"")</f>
        <v>0</v>
      </c>
      <c r="M163" s="77" t="str">
        <f>VLOOKUP(DESPESAS[[#This Row],[Plano de Contas]],BASE!$B$3:$H$119,7,FALSE)</f>
        <v>FÁBIO</v>
      </c>
    </row>
    <row r="164" spans="1:13" x14ac:dyDescent="0.25">
      <c r="A164" s="74">
        <v>195953</v>
      </c>
      <c r="B164" s="75" t="s">
        <v>221</v>
      </c>
      <c r="C164" s="75" t="s">
        <v>3293</v>
      </c>
      <c r="D164" s="76">
        <v>46045</v>
      </c>
      <c r="E164" s="75" t="s">
        <v>3289</v>
      </c>
      <c r="F164" s="74">
        <v>900</v>
      </c>
      <c r="G164" s="75" t="s">
        <v>1037</v>
      </c>
      <c r="H164" s="77" t="str">
        <f>VLOOKUP(DESPESAS[[#This Row],[Plano de Contas]],BASE!$B$3:$D$119,3,FALSE)</f>
        <v>Construções e Reformas</v>
      </c>
      <c r="I164" s="77" t="str">
        <f>IFERROR(VLOOKUP(DESPESAS[[#This Row],[Fornecedor]],Tabela2[],2,FALSE),"")</f>
        <v/>
      </c>
      <c r="J164" s="77" t="str">
        <f>IFERROR(VLOOKUP(DESPESAS[[#This Row],[Plano de Contas]],BASE!$B$3:$F$119,4,FALSE),"")</f>
        <v>9 - INVESTIMENTOS</v>
      </c>
      <c r="K164" s="77" t="str">
        <f>IFERROR(VLOOKUP(DESPESAS[[#This Row],[Plano de Contas]],BASE!$B$3:$H$119,5,FALSE),"")</f>
        <v>MANUTENÇÃO / TI</v>
      </c>
      <c r="L164" s="77">
        <f>IFERROR(VLOOKUP(DESPESAS[[#This Row],[Plano de Contas]],BASE!$B$3:$H$119,6,FALSE),"")</f>
        <v>0</v>
      </c>
      <c r="M164" s="77" t="str">
        <f>VLOOKUP(DESPESAS[[#This Row],[Plano de Contas]],BASE!$B$3:$H$119,7,FALSE)</f>
        <v>FÁBIO</v>
      </c>
    </row>
    <row r="165" spans="1:13" x14ac:dyDescent="0.25">
      <c r="A165" s="74">
        <v>195954</v>
      </c>
      <c r="B165" s="75" t="s">
        <v>221</v>
      </c>
      <c r="C165" s="75" t="s">
        <v>3292</v>
      </c>
      <c r="D165" s="76">
        <v>46076</v>
      </c>
      <c r="E165" s="75" t="s">
        <v>3289</v>
      </c>
      <c r="F165" s="74">
        <v>900</v>
      </c>
      <c r="G165" s="75" t="s">
        <v>1037</v>
      </c>
      <c r="H165" s="77" t="str">
        <f>VLOOKUP(DESPESAS[[#This Row],[Plano de Contas]],BASE!$B$3:$D$119,3,FALSE)</f>
        <v>Construções e Reformas</v>
      </c>
      <c r="I165" s="77" t="str">
        <f>IFERROR(VLOOKUP(DESPESAS[[#This Row],[Fornecedor]],Tabela2[],2,FALSE),"")</f>
        <v/>
      </c>
      <c r="J165" s="77" t="str">
        <f>IFERROR(VLOOKUP(DESPESAS[[#This Row],[Plano de Contas]],BASE!$B$3:$F$119,4,FALSE),"")</f>
        <v>9 - INVESTIMENTOS</v>
      </c>
      <c r="K165" s="77" t="str">
        <f>IFERROR(VLOOKUP(DESPESAS[[#This Row],[Plano de Contas]],BASE!$B$3:$H$119,5,FALSE),"")</f>
        <v>MANUTENÇÃO / TI</v>
      </c>
      <c r="L165" s="77">
        <f>IFERROR(VLOOKUP(DESPESAS[[#This Row],[Plano de Contas]],BASE!$B$3:$H$119,6,FALSE),"")</f>
        <v>0</v>
      </c>
      <c r="M165" s="77" t="str">
        <f>VLOOKUP(DESPESAS[[#This Row],[Plano de Contas]],BASE!$B$3:$H$119,7,FALSE)</f>
        <v>FÁBIO</v>
      </c>
    </row>
    <row r="166" spans="1:13" x14ac:dyDescent="0.25">
      <c r="A166" s="74">
        <v>195955</v>
      </c>
      <c r="B166" s="75" t="s">
        <v>221</v>
      </c>
      <c r="C166" s="75" t="s">
        <v>3291</v>
      </c>
      <c r="D166" s="76">
        <v>46104</v>
      </c>
      <c r="E166" s="75" t="s">
        <v>3289</v>
      </c>
      <c r="F166" s="74">
        <v>900</v>
      </c>
      <c r="G166" s="75" t="s">
        <v>1037</v>
      </c>
      <c r="H166" s="77" t="str">
        <f>VLOOKUP(DESPESAS[[#This Row],[Plano de Contas]],BASE!$B$3:$D$119,3,FALSE)</f>
        <v>Construções e Reformas</v>
      </c>
      <c r="I166" s="77" t="str">
        <f>IFERROR(VLOOKUP(DESPESAS[[#This Row],[Fornecedor]],Tabela2[],2,FALSE),"")</f>
        <v/>
      </c>
      <c r="J166" s="77" t="str">
        <f>IFERROR(VLOOKUP(DESPESAS[[#This Row],[Plano de Contas]],BASE!$B$3:$F$119,4,FALSE),"")</f>
        <v>9 - INVESTIMENTOS</v>
      </c>
      <c r="K166" s="77" t="str">
        <f>IFERROR(VLOOKUP(DESPESAS[[#This Row],[Plano de Contas]],BASE!$B$3:$H$119,5,FALSE),"")</f>
        <v>MANUTENÇÃO / TI</v>
      </c>
      <c r="L166" s="77">
        <f>IFERROR(VLOOKUP(DESPESAS[[#This Row],[Plano de Contas]],BASE!$B$3:$H$119,6,FALSE),"")</f>
        <v>0</v>
      </c>
      <c r="M166" s="77" t="str">
        <f>VLOOKUP(DESPESAS[[#This Row],[Plano de Contas]],BASE!$B$3:$H$119,7,FALSE)</f>
        <v>FÁBIO</v>
      </c>
    </row>
    <row r="167" spans="1:13" x14ac:dyDescent="0.25">
      <c r="A167" s="74">
        <v>195956</v>
      </c>
      <c r="B167" s="75" t="s">
        <v>221</v>
      </c>
      <c r="C167" s="75" t="s">
        <v>3290</v>
      </c>
      <c r="D167" s="76">
        <v>46135</v>
      </c>
      <c r="E167" s="75" t="s">
        <v>3289</v>
      </c>
      <c r="F167" s="74">
        <v>900</v>
      </c>
      <c r="G167" s="75" t="s">
        <v>1037</v>
      </c>
      <c r="H167" s="77" t="str">
        <f>VLOOKUP(DESPESAS[[#This Row],[Plano de Contas]],BASE!$B$3:$D$119,3,FALSE)</f>
        <v>Construções e Reformas</v>
      </c>
      <c r="I167" s="77" t="str">
        <f>IFERROR(VLOOKUP(DESPESAS[[#This Row],[Fornecedor]],Tabela2[],2,FALSE),"")</f>
        <v/>
      </c>
      <c r="J167" s="77" t="str">
        <f>IFERROR(VLOOKUP(DESPESAS[[#This Row],[Plano de Contas]],BASE!$B$3:$F$119,4,FALSE),"")</f>
        <v>9 - INVESTIMENTOS</v>
      </c>
      <c r="K167" s="77" t="str">
        <f>IFERROR(VLOOKUP(DESPESAS[[#This Row],[Plano de Contas]],BASE!$B$3:$H$119,5,FALSE),"")</f>
        <v>MANUTENÇÃO / TI</v>
      </c>
      <c r="L167" s="77">
        <f>IFERROR(VLOOKUP(DESPESAS[[#This Row],[Plano de Contas]],BASE!$B$3:$H$119,6,FALSE),"")</f>
        <v>0</v>
      </c>
      <c r="M167" s="77" t="str">
        <f>VLOOKUP(DESPESAS[[#This Row],[Plano de Contas]],BASE!$B$3:$H$119,7,FALSE)</f>
        <v>FÁBIO</v>
      </c>
    </row>
    <row r="168" spans="1:13" x14ac:dyDescent="0.25">
      <c r="A168" s="74">
        <v>196046</v>
      </c>
      <c r="B168" s="75" t="s">
        <v>232</v>
      </c>
      <c r="C168" s="75" t="s">
        <v>3288</v>
      </c>
      <c r="D168" s="76">
        <v>46045</v>
      </c>
      <c r="E168" s="75" t="s">
        <v>3287</v>
      </c>
      <c r="F168" s="74">
        <v>1908.9</v>
      </c>
      <c r="G168" s="75" t="s">
        <v>1318</v>
      </c>
      <c r="H168" s="77" t="str">
        <f>VLOOKUP(DESPESAS[[#This Row],[Plano de Contas]],BASE!$B$3:$D$119,3,FALSE)</f>
        <v>Feiras e Eventos</v>
      </c>
      <c r="I168" s="77" t="str">
        <f>IFERROR(VLOOKUP(DESPESAS[[#This Row],[Fornecedor]],Tabela2[],2,FALSE),"")</f>
        <v/>
      </c>
      <c r="J168" s="77" t="str">
        <f>IFERROR(VLOOKUP(DESPESAS[[#This Row],[Plano de Contas]],BASE!$B$3:$F$119,4,FALSE),"")</f>
        <v>6 - DESPESA COM VENDAS</v>
      </c>
      <c r="K168" s="77" t="str">
        <f>IFERROR(VLOOKUP(DESPESAS[[#This Row],[Plano de Contas]],BASE!$B$3:$H$119,5,FALSE),"")</f>
        <v>COMERCIAL</v>
      </c>
      <c r="L168" s="77">
        <f>IFERROR(VLOOKUP(DESPESAS[[#This Row],[Plano de Contas]],BASE!$B$3:$H$119,6,FALSE),"")</f>
        <v>0</v>
      </c>
      <c r="M168" s="77" t="str">
        <f>VLOOKUP(DESPESAS[[#This Row],[Plano de Contas]],BASE!$B$3:$H$119,7,FALSE)</f>
        <v>THAIS</v>
      </c>
    </row>
    <row r="169" spans="1:13" x14ac:dyDescent="0.25">
      <c r="A169" s="74">
        <v>196047</v>
      </c>
      <c r="B169" s="75" t="s">
        <v>232</v>
      </c>
      <c r="C169" s="75" t="s">
        <v>3288</v>
      </c>
      <c r="D169" s="76">
        <v>46076</v>
      </c>
      <c r="E169" s="75" t="s">
        <v>3287</v>
      </c>
      <c r="F169" s="74">
        <v>1908.9</v>
      </c>
      <c r="G169" s="75" t="s">
        <v>1318</v>
      </c>
      <c r="H169" s="77" t="str">
        <f>VLOOKUP(DESPESAS[[#This Row],[Plano de Contas]],BASE!$B$3:$D$119,3,FALSE)</f>
        <v>Feiras e Eventos</v>
      </c>
      <c r="I169" s="77" t="str">
        <f>IFERROR(VLOOKUP(DESPESAS[[#This Row],[Fornecedor]],Tabela2[],2,FALSE),"")</f>
        <v/>
      </c>
      <c r="J169" s="77" t="str">
        <f>IFERROR(VLOOKUP(DESPESAS[[#This Row],[Plano de Contas]],BASE!$B$3:$F$119,4,FALSE),"")</f>
        <v>6 - DESPESA COM VENDAS</v>
      </c>
      <c r="K169" s="77" t="str">
        <f>IFERROR(VLOOKUP(DESPESAS[[#This Row],[Plano de Contas]],BASE!$B$3:$H$119,5,FALSE),"")</f>
        <v>COMERCIAL</v>
      </c>
      <c r="L169" s="77">
        <f>IFERROR(VLOOKUP(DESPESAS[[#This Row],[Plano de Contas]],BASE!$B$3:$H$119,6,FALSE),"")</f>
        <v>0</v>
      </c>
      <c r="M169" s="77" t="str">
        <f>VLOOKUP(DESPESAS[[#This Row],[Plano de Contas]],BASE!$B$3:$H$119,7,FALSE)</f>
        <v>THAIS</v>
      </c>
    </row>
    <row r="170" spans="1:13" x14ac:dyDescent="0.25">
      <c r="A170" s="74">
        <v>196048</v>
      </c>
      <c r="B170" s="75" t="s">
        <v>232</v>
      </c>
      <c r="C170" s="75" t="s">
        <v>3288</v>
      </c>
      <c r="D170" s="76">
        <v>46104</v>
      </c>
      <c r="E170" s="75" t="s">
        <v>3287</v>
      </c>
      <c r="F170" s="74">
        <v>1908.9</v>
      </c>
      <c r="G170" s="75" t="s">
        <v>1318</v>
      </c>
      <c r="H170" s="77" t="str">
        <f>VLOOKUP(DESPESAS[[#This Row],[Plano de Contas]],BASE!$B$3:$D$119,3,FALSE)</f>
        <v>Feiras e Eventos</v>
      </c>
      <c r="I170" s="77" t="str">
        <f>IFERROR(VLOOKUP(DESPESAS[[#This Row],[Fornecedor]],Tabela2[],2,FALSE),"")</f>
        <v/>
      </c>
      <c r="J170" s="77" t="str">
        <f>IFERROR(VLOOKUP(DESPESAS[[#This Row],[Plano de Contas]],BASE!$B$3:$F$119,4,FALSE),"")</f>
        <v>6 - DESPESA COM VENDAS</v>
      </c>
      <c r="K170" s="77" t="str">
        <f>IFERROR(VLOOKUP(DESPESAS[[#This Row],[Plano de Contas]],BASE!$B$3:$H$119,5,FALSE),"")</f>
        <v>COMERCIAL</v>
      </c>
      <c r="L170" s="77">
        <f>IFERROR(VLOOKUP(DESPESAS[[#This Row],[Plano de Contas]],BASE!$B$3:$H$119,6,FALSE),"")</f>
        <v>0</v>
      </c>
      <c r="M170" s="77" t="str">
        <f>VLOOKUP(DESPESAS[[#This Row],[Plano de Contas]],BASE!$B$3:$H$119,7,FALSE)</f>
        <v>THAIS</v>
      </c>
    </row>
    <row r="171" spans="1:13" x14ac:dyDescent="0.25">
      <c r="A171" s="74">
        <v>196049</v>
      </c>
      <c r="B171" s="75" t="s">
        <v>232</v>
      </c>
      <c r="C171" s="75" t="s">
        <v>3288</v>
      </c>
      <c r="D171" s="76">
        <v>46135</v>
      </c>
      <c r="E171" s="75" t="s">
        <v>3287</v>
      </c>
      <c r="F171" s="74">
        <v>1908.9</v>
      </c>
      <c r="G171" s="75" t="s">
        <v>1318</v>
      </c>
      <c r="H171" s="77" t="str">
        <f>VLOOKUP(DESPESAS[[#This Row],[Plano de Contas]],BASE!$B$3:$D$119,3,FALSE)</f>
        <v>Feiras e Eventos</v>
      </c>
      <c r="I171" s="77" t="str">
        <f>IFERROR(VLOOKUP(DESPESAS[[#This Row],[Fornecedor]],Tabela2[],2,FALSE),"")</f>
        <v/>
      </c>
      <c r="J171" s="77" t="str">
        <f>IFERROR(VLOOKUP(DESPESAS[[#This Row],[Plano de Contas]],BASE!$B$3:$F$119,4,FALSE),"")</f>
        <v>6 - DESPESA COM VENDAS</v>
      </c>
      <c r="K171" s="77" t="str">
        <f>IFERROR(VLOOKUP(DESPESAS[[#This Row],[Plano de Contas]],BASE!$B$3:$H$119,5,FALSE),"")</f>
        <v>COMERCIAL</v>
      </c>
      <c r="L171" s="77">
        <f>IFERROR(VLOOKUP(DESPESAS[[#This Row],[Plano de Contas]],BASE!$B$3:$H$119,6,FALSE),"")</f>
        <v>0</v>
      </c>
      <c r="M171" s="77" t="str">
        <f>VLOOKUP(DESPESAS[[#This Row],[Plano de Contas]],BASE!$B$3:$H$119,7,FALSE)</f>
        <v>THAIS</v>
      </c>
    </row>
    <row r="172" spans="1:13" x14ac:dyDescent="0.25">
      <c r="A172" s="74">
        <v>196072</v>
      </c>
      <c r="B172" s="75" t="s">
        <v>232</v>
      </c>
      <c r="C172" s="75" t="s">
        <v>3286</v>
      </c>
      <c r="D172" s="76">
        <v>46030</v>
      </c>
      <c r="E172" s="75" t="s">
        <v>3282</v>
      </c>
      <c r="F172" s="74">
        <v>4400</v>
      </c>
      <c r="G172" s="75" t="s">
        <v>719</v>
      </c>
      <c r="H172" s="77" t="str">
        <f>VLOOKUP(DESPESAS[[#This Row],[Plano de Contas]],BASE!$B$3:$D$119,3,FALSE)</f>
        <v>Outros Serviços de Terceiros</v>
      </c>
      <c r="I172" s="77" t="str">
        <f>IFERROR(VLOOKUP(DESPESAS[[#This Row],[Fornecedor]],Tabela2[],2,FALSE),"")</f>
        <v/>
      </c>
      <c r="J172" s="77" t="str">
        <f>IFERROR(VLOOKUP(DESPESAS[[#This Row],[Plano de Contas]],BASE!$B$3:$F$119,4,FALSE),"")</f>
        <v>7 - SERVIÇOS DE TERCEIROS</v>
      </c>
      <c r="K172" s="77" t="str">
        <f>IFERROR(VLOOKUP(DESPESAS[[#This Row],[Plano de Contas]],BASE!$B$3:$H$119,5,FALSE),"")</f>
        <v>FINANCEIRO</v>
      </c>
      <c r="L172" s="77">
        <f>IFERROR(VLOOKUP(DESPESAS[[#This Row],[Plano de Contas]],BASE!$B$3:$H$119,6,FALSE),"")</f>
        <v>0</v>
      </c>
      <c r="M172" s="77" t="str">
        <f>VLOOKUP(DESPESAS[[#This Row],[Plano de Contas]],BASE!$B$3:$H$119,7,FALSE)</f>
        <v>LETÍCIA</v>
      </c>
    </row>
    <row r="173" spans="1:13" x14ac:dyDescent="0.25">
      <c r="A173" s="74">
        <v>196073</v>
      </c>
      <c r="B173" s="75" t="s">
        <v>232</v>
      </c>
      <c r="C173" s="75" t="s">
        <v>3285</v>
      </c>
      <c r="D173" s="76">
        <v>46059</v>
      </c>
      <c r="E173" s="75" t="s">
        <v>3282</v>
      </c>
      <c r="F173" s="74">
        <v>4400</v>
      </c>
      <c r="G173" s="75" t="s">
        <v>719</v>
      </c>
      <c r="H173" s="77" t="str">
        <f>VLOOKUP(DESPESAS[[#This Row],[Plano de Contas]],BASE!$B$3:$D$119,3,FALSE)</f>
        <v>Outros Serviços de Terceiros</v>
      </c>
      <c r="I173" s="77" t="str">
        <f>IFERROR(VLOOKUP(DESPESAS[[#This Row],[Fornecedor]],Tabela2[],2,FALSE),"")</f>
        <v/>
      </c>
      <c r="J173" s="77" t="str">
        <f>IFERROR(VLOOKUP(DESPESAS[[#This Row],[Plano de Contas]],BASE!$B$3:$F$119,4,FALSE),"")</f>
        <v>7 - SERVIÇOS DE TERCEIROS</v>
      </c>
      <c r="K173" s="77" t="str">
        <f>IFERROR(VLOOKUP(DESPESAS[[#This Row],[Plano de Contas]],BASE!$B$3:$H$119,5,FALSE),"")</f>
        <v>FINANCEIRO</v>
      </c>
      <c r="L173" s="77">
        <f>IFERROR(VLOOKUP(DESPESAS[[#This Row],[Plano de Contas]],BASE!$B$3:$H$119,6,FALSE),"")</f>
        <v>0</v>
      </c>
      <c r="M173" s="77" t="str">
        <f>VLOOKUP(DESPESAS[[#This Row],[Plano de Contas]],BASE!$B$3:$H$119,7,FALSE)</f>
        <v>LETÍCIA</v>
      </c>
    </row>
    <row r="174" spans="1:13" x14ac:dyDescent="0.25">
      <c r="A174" s="74">
        <v>196074</v>
      </c>
      <c r="B174" s="75" t="s">
        <v>232</v>
      </c>
      <c r="C174" s="75" t="s">
        <v>3284</v>
      </c>
      <c r="D174" s="76">
        <v>46087</v>
      </c>
      <c r="E174" s="75" t="s">
        <v>3282</v>
      </c>
      <c r="F174" s="74">
        <v>4400</v>
      </c>
      <c r="G174" s="75" t="s">
        <v>719</v>
      </c>
      <c r="H174" s="77" t="str">
        <f>VLOOKUP(DESPESAS[[#This Row],[Plano de Contas]],BASE!$B$3:$D$119,3,FALSE)</f>
        <v>Outros Serviços de Terceiros</v>
      </c>
      <c r="I174" s="77" t="str">
        <f>IFERROR(VLOOKUP(DESPESAS[[#This Row],[Fornecedor]],Tabela2[],2,FALSE),"")</f>
        <v/>
      </c>
      <c r="J174" s="77" t="str">
        <f>IFERROR(VLOOKUP(DESPESAS[[#This Row],[Plano de Contas]],BASE!$B$3:$F$119,4,FALSE),"")</f>
        <v>7 - SERVIÇOS DE TERCEIROS</v>
      </c>
      <c r="K174" s="77" t="str">
        <f>IFERROR(VLOOKUP(DESPESAS[[#This Row],[Plano de Contas]],BASE!$B$3:$H$119,5,FALSE),"")</f>
        <v>FINANCEIRO</v>
      </c>
      <c r="L174" s="77">
        <f>IFERROR(VLOOKUP(DESPESAS[[#This Row],[Plano de Contas]],BASE!$B$3:$H$119,6,FALSE),"")</f>
        <v>0</v>
      </c>
      <c r="M174" s="77" t="str">
        <f>VLOOKUP(DESPESAS[[#This Row],[Plano de Contas]],BASE!$B$3:$H$119,7,FALSE)</f>
        <v>LETÍCIA</v>
      </c>
    </row>
    <row r="175" spans="1:13" x14ac:dyDescent="0.25">
      <c r="A175" s="74">
        <v>196075</v>
      </c>
      <c r="B175" s="75" t="s">
        <v>232</v>
      </c>
      <c r="C175" s="75" t="s">
        <v>3283</v>
      </c>
      <c r="D175" s="76">
        <v>46119</v>
      </c>
      <c r="E175" s="75" t="s">
        <v>3282</v>
      </c>
      <c r="F175" s="74">
        <v>4400</v>
      </c>
      <c r="G175" s="75" t="s">
        <v>719</v>
      </c>
      <c r="H175" s="77" t="str">
        <f>VLOOKUP(DESPESAS[[#This Row],[Plano de Contas]],BASE!$B$3:$D$119,3,FALSE)</f>
        <v>Outros Serviços de Terceiros</v>
      </c>
      <c r="I175" s="77" t="str">
        <f>IFERROR(VLOOKUP(DESPESAS[[#This Row],[Fornecedor]],Tabela2[],2,FALSE),"")</f>
        <v/>
      </c>
      <c r="J175" s="77" t="str">
        <f>IFERROR(VLOOKUP(DESPESAS[[#This Row],[Plano de Contas]],BASE!$B$3:$F$119,4,FALSE),"")</f>
        <v>7 - SERVIÇOS DE TERCEIROS</v>
      </c>
      <c r="K175" s="77" t="str">
        <f>IFERROR(VLOOKUP(DESPESAS[[#This Row],[Plano de Contas]],BASE!$B$3:$H$119,5,FALSE),"")</f>
        <v>FINANCEIRO</v>
      </c>
      <c r="L175" s="77">
        <f>IFERROR(VLOOKUP(DESPESAS[[#This Row],[Plano de Contas]],BASE!$B$3:$H$119,6,FALSE),"")</f>
        <v>0</v>
      </c>
      <c r="M175" s="77" t="str">
        <f>VLOOKUP(DESPESAS[[#This Row],[Plano de Contas]],BASE!$B$3:$H$119,7,FALSE)</f>
        <v>LETÍCIA</v>
      </c>
    </row>
    <row r="176" spans="1:13" x14ac:dyDescent="0.25">
      <c r="A176" s="74">
        <v>196076</v>
      </c>
      <c r="B176" s="75" t="s">
        <v>232</v>
      </c>
      <c r="C176" s="75" t="s">
        <v>3758</v>
      </c>
      <c r="D176" s="76">
        <v>46149</v>
      </c>
      <c r="E176" s="75" t="s">
        <v>3282</v>
      </c>
      <c r="F176" s="74">
        <v>4400</v>
      </c>
      <c r="G176" s="75" t="s">
        <v>719</v>
      </c>
      <c r="H176" s="77" t="str">
        <f>VLOOKUP(DESPESAS[[#This Row],[Plano de Contas]],BASE!$B$3:$D$119,3,FALSE)</f>
        <v>Outros Serviços de Terceiros</v>
      </c>
      <c r="I176" s="77" t="str">
        <f>IFERROR(VLOOKUP(DESPESAS[[#This Row],[Fornecedor]],Tabela2[],2,FALSE),"")</f>
        <v/>
      </c>
      <c r="J176" s="77" t="str">
        <f>IFERROR(VLOOKUP(DESPESAS[[#This Row],[Plano de Contas]],BASE!$B$3:$F$119,4,FALSE),"")</f>
        <v>7 - SERVIÇOS DE TERCEIROS</v>
      </c>
      <c r="K176" s="77" t="str">
        <f>IFERROR(VLOOKUP(DESPESAS[[#This Row],[Plano de Contas]],BASE!$B$3:$H$119,5,FALSE),"")</f>
        <v>FINANCEIRO</v>
      </c>
      <c r="L176" s="77">
        <f>IFERROR(VLOOKUP(DESPESAS[[#This Row],[Plano de Contas]],BASE!$B$3:$H$119,6,FALSE),"")</f>
        <v>0</v>
      </c>
      <c r="M176" s="77" t="str">
        <f>VLOOKUP(DESPESAS[[#This Row],[Plano de Contas]],BASE!$B$3:$H$119,7,FALSE)</f>
        <v>LETÍCIA</v>
      </c>
    </row>
    <row r="177" spans="1:13" x14ac:dyDescent="0.25">
      <c r="A177" s="74">
        <v>196174</v>
      </c>
      <c r="B177" s="75" t="s">
        <v>221</v>
      </c>
      <c r="C177" s="75" t="s">
        <v>3281</v>
      </c>
      <c r="D177" s="76">
        <v>46027</v>
      </c>
      <c r="E177" s="75" t="s">
        <v>1394</v>
      </c>
      <c r="F177" s="74">
        <v>60</v>
      </c>
      <c r="G177" s="75" t="s">
        <v>229</v>
      </c>
      <c r="H177" s="77" t="str">
        <f>VLOOKUP(DESPESAS[[#This Row],[Plano de Contas]],BASE!$B$3:$D$119,3,FALSE)</f>
        <v>Despesas Bancarias</v>
      </c>
      <c r="I177" s="77" t="str">
        <f>IFERROR(VLOOKUP(DESPESAS[[#This Row],[Fornecedor]],Tabela2[],2,FALSE),"")</f>
        <v/>
      </c>
      <c r="J177" s="77" t="str">
        <f>IFERROR(VLOOKUP(DESPESAS[[#This Row],[Plano de Contas]],BASE!$B$3:$F$119,4,FALSE),"")</f>
        <v>8 - DESPESAS FINANCEIRAS</v>
      </c>
      <c r="K177" s="77" t="str">
        <f>IFERROR(VLOOKUP(DESPESAS[[#This Row],[Plano de Contas]],BASE!$B$3:$H$119,5,FALSE),"")</f>
        <v>FINANCEIRO</v>
      </c>
      <c r="L177" s="77">
        <f>IFERROR(VLOOKUP(DESPESAS[[#This Row],[Plano de Contas]],BASE!$B$3:$H$119,6,FALSE),"")</f>
        <v>0</v>
      </c>
      <c r="M177" s="77" t="str">
        <f>VLOOKUP(DESPESAS[[#This Row],[Plano de Contas]],BASE!$B$3:$H$119,7,FALSE)</f>
        <v>LETÍCIA</v>
      </c>
    </row>
    <row r="178" spans="1:13" x14ac:dyDescent="0.25">
      <c r="A178" s="74">
        <v>196175</v>
      </c>
      <c r="B178" s="75" t="s">
        <v>221</v>
      </c>
      <c r="C178" s="75" t="s">
        <v>3277</v>
      </c>
      <c r="D178" s="76">
        <v>46027</v>
      </c>
      <c r="E178" s="75" t="s">
        <v>1394</v>
      </c>
      <c r="F178" s="74">
        <v>1.9</v>
      </c>
      <c r="G178" s="75" t="s">
        <v>236</v>
      </c>
      <c r="H178" s="77" t="str">
        <f>VLOOKUP(DESPESAS[[#This Row],[Plano de Contas]],BASE!$B$3:$D$119,3,FALSE)</f>
        <v>Despesas de Cobranca</v>
      </c>
      <c r="I178" s="77" t="str">
        <f>IFERROR(VLOOKUP(DESPESAS[[#This Row],[Fornecedor]],Tabela2[],2,FALSE),"")</f>
        <v/>
      </c>
      <c r="J178" s="77" t="str">
        <f>IFERROR(VLOOKUP(DESPESAS[[#This Row],[Plano de Contas]],BASE!$B$3:$F$119,4,FALSE),"")</f>
        <v>8 - DESPESAS FINANCEIRAS</v>
      </c>
      <c r="K178" s="77" t="str">
        <f>IFERROR(VLOOKUP(DESPESAS[[#This Row],[Plano de Contas]],BASE!$B$3:$H$119,5,FALSE),"")</f>
        <v>FINANCEIRO</v>
      </c>
      <c r="L178" s="77">
        <f>IFERROR(VLOOKUP(DESPESAS[[#This Row],[Plano de Contas]],BASE!$B$3:$H$119,6,FALSE),"")</f>
        <v>0</v>
      </c>
      <c r="M178" s="77" t="str">
        <f>VLOOKUP(DESPESAS[[#This Row],[Plano de Contas]],BASE!$B$3:$H$119,7,FALSE)</f>
        <v>LETÍCIA</v>
      </c>
    </row>
    <row r="179" spans="1:13" x14ac:dyDescent="0.25">
      <c r="A179" s="74">
        <v>196177</v>
      </c>
      <c r="B179" s="75" t="s">
        <v>279</v>
      </c>
      <c r="C179" s="75" t="s">
        <v>3279</v>
      </c>
      <c r="D179" s="76">
        <v>46024</v>
      </c>
      <c r="E179" s="75" t="s">
        <v>230</v>
      </c>
      <c r="F179" s="74">
        <v>0.05</v>
      </c>
      <c r="G179" s="75" t="s">
        <v>229</v>
      </c>
      <c r="H179" s="77" t="str">
        <f>VLOOKUP(DESPESAS[[#This Row],[Plano de Contas]],BASE!$B$3:$D$119,3,FALSE)</f>
        <v>Despesas Bancarias</v>
      </c>
      <c r="I179" s="77" t="str">
        <f>IFERROR(VLOOKUP(DESPESAS[[#This Row],[Fornecedor]],Tabela2[],2,FALSE),"")</f>
        <v/>
      </c>
      <c r="J179" s="77" t="str">
        <f>IFERROR(VLOOKUP(DESPESAS[[#This Row],[Plano de Contas]],BASE!$B$3:$F$119,4,FALSE),"")</f>
        <v>8 - DESPESAS FINANCEIRAS</v>
      </c>
      <c r="K179" s="77" t="str">
        <f>IFERROR(VLOOKUP(DESPESAS[[#This Row],[Plano de Contas]],BASE!$B$3:$H$119,5,FALSE),"")</f>
        <v>FINANCEIRO</v>
      </c>
      <c r="L179" s="77">
        <f>IFERROR(VLOOKUP(DESPESAS[[#This Row],[Plano de Contas]],BASE!$B$3:$H$119,6,FALSE),"")</f>
        <v>0</v>
      </c>
      <c r="M179" s="77" t="str">
        <f>VLOOKUP(DESPESAS[[#This Row],[Plano de Contas]],BASE!$B$3:$H$119,7,FALSE)</f>
        <v>LETÍCIA</v>
      </c>
    </row>
    <row r="180" spans="1:13" x14ac:dyDescent="0.25">
      <c r="A180" s="74">
        <v>196178</v>
      </c>
      <c r="B180" s="75" t="s">
        <v>279</v>
      </c>
      <c r="C180" s="75" t="s">
        <v>3278</v>
      </c>
      <c r="D180" s="76">
        <v>46024</v>
      </c>
      <c r="E180" s="75" t="s">
        <v>230</v>
      </c>
      <c r="F180" s="74">
        <v>2.52</v>
      </c>
      <c r="G180" s="75" t="s">
        <v>229</v>
      </c>
      <c r="H180" s="77" t="str">
        <f>VLOOKUP(DESPESAS[[#This Row],[Plano de Contas]],BASE!$B$3:$D$119,3,FALSE)</f>
        <v>Despesas Bancarias</v>
      </c>
      <c r="I180" s="77" t="str">
        <f>IFERROR(VLOOKUP(DESPESAS[[#This Row],[Fornecedor]],Tabela2[],2,FALSE),"")</f>
        <v/>
      </c>
      <c r="J180" s="77" t="str">
        <f>IFERROR(VLOOKUP(DESPESAS[[#This Row],[Plano de Contas]],BASE!$B$3:$F$119,4,FALSE),"")</f>
        <v>8 - DESPESAS FINANCEIRAS</v>
      </c>
      <c r="K180" s="77" t="str">
        <f>IFERROR(VLOOKUP(DESPESAS[[#This Row],[Plano de Contas]],BASE!$B$3:$H$119,5,FALSE),"")</f>
        <v>FINANCEIRO</v>
      </c>
      <c r="L180" s="77">
        <f>IFERROR(VLOOKUP(DESPESAS[[#This Row],[Plano de Contas]],BASE!$B$3:$H$119,6,FALSE),"")</f>
        <v>0</v>
      </c>
      <c r="M180" s="77" t="str">
        <f>VLOOKUP(DESPESAS[[#This Row],[Plano de Contas]],BASE!$B$3:$H$119,7,FALSE)</f>
        <v>LETÍCIA</v>
      </c>
    </row>
    <row r="181" spans="1:13" x14ac:dyDescent="0.25">
      <c r="A181" s="74">
        <v>196179</v>
      </c>
      <c r="B181" s="75" t="s">
        <v>279</v>
      </c>
      <c r="C181" s="75" t="s">
        <v>3280</v>
      </c>
      <c r="D181" s="76">
        <v>46024</v>
      </c>
      <c r="E181" s="75" t="s">
        <v>230</v>
      </c>
      <c r="F181" s="74">
        <v>3.16</v>
      </c>
      <c r="G181" s="75" t="s">
        <v>236</v>
      </c>
      <c r="H181" s="77" t="str">
        <f>VLOOKUP(DESPESAS[[#This Row],[Plano de Contas]],BASE!$B$3:$D$119,3,FALSE)</f>
        <v>Despesas de Cobranca</v>
      </c>
      <c r="I181" s="77" t="str">
        <f>IFERROR(VLOOKUP(DESPESAS[[#This Row],[Fornecedor]],Tabela2[],2,FALSE),"")</f>
        <v/>
      </c>
      <c r="J181" s="77" t="str">
        <f>IFERROR(VLOOKUP(DESPESAS[[#This Row],[Plano de Contas]],BASE!$B$3:$F$119,4,FALSE),"")</f>
        <v>8 - DESPESAS FINANCEIRAS</v>
      </c>
      <c r="K181" s="77" t="str">
        <f>IFERROR(VLOOKUP(DESPESAS[[#This Row],[Plano de Contas]],BASE!$B$3:$H$119,5,FALSE),"")</f>
        <v>FINANCEIRO</v>
      </c>
      <c r="L181" s="77">
        <f>IFERROR(VLOOKUP(DESPESAS[[#This Row],[Plano de Contas]],BASE!$B$3:$H$119,6,FALSE),"")</f>
        <v>0</v>
      </c>
      <c r="M181" s="77" t="str">
        <f>VLOOKUP(DESPESAS[[#This Row],[Plano de Contas]],BASE!$B$3:$H$119,7,FALSE)</f>
        <v>LETÍCIA</v>
      </c>
    </row>
    <row r="182" spans="1:13" x14ac:dyDescent="0.25">
      <c r="A182" s="74">
        <v>196180</v>
      </c>
      <c r="B182" s="75" t="s">
        <v>281</v>
      </c>
      <c r="C182" s="75" t="s">
        <v>3279</v>
      </c>
      <c r="D182" s="76">
        <v>46024</v>
      </c>
      <c r="E182" s="75" t="s">
        <v>230</v>
      </c>
      <c r="F182" s="74">
        <v>0.16</v>
      </c>
      <c r="G182" s="75" t="s">
        <v>229</v>
      </c>
      <c r="H182" s="77" t="str">
        <f>VLOOKUP(DESPESAS[[#This Row],[Plano de Contas]],BASE!$B$3:$D$119,3,FALSE)</f>
        <v>Despesas Bancarias</v>
      </c>
      <c r="I182" s="77" t="str">
        <f>IFERROR(VLOOKUP(DESPESAS[[#This Row],[Fornecedor]],Tabela2[],2,FALSE),"")</f>
        <v/>
      </c>
      <c r="J182" s="77" t="str">
        <f>IFERROR(VLOOKUP(DESPESAS[[#This Row],[Plano de Contas]],BASE!$B$3:$F$119,4,FALSE),"")</f>
        <v>8 - DESPESAS FINANCEIRAS</v>
      </c>
      <c r="K182" s="77" t="str">
        <f>IFERROR(VLOOKUP(DESPESAS[[#This Row],[Plano de Contas]],BASE!$B$3:$H$119,5,FALSE),"")</f>
        <v>FINANCEIRO</v>
      </c>
      <c r="L182" s="77">
        <f>IFERROR(VLOOKUP(DESPESAS[[#This Row],[Plano de Contas]],BASE!$B$3:$H$119,6,FALSE),"")</f>
        <v>0</v>
      </c>
      <c r="M182" s="77" t="str">
        <f>VLOOKUP(DESPESAS[[#This Row],[Plano de Contas]],BASE!$B$3:$H$119,7,FALSE)</f>
        <v>LETÍCIA</v>
      </c>
    </row>
    <row r="183" spans="1:13" x14ac:dyDescent="0.25">
      <c r="A183" s="74">
        <v>196181</v>
      </c>
      <c r="B183" s="75" t="s">
        <v>281</v>
      </c>
      <c r="C183" s="75" t="s">
        <v>3278</v>
      </c>
      <c r="D183" s="76">
        <v>46024</v>
      </c>
      <c r="E183" s="75" t="s">
        <v>230</v>
      </c>
      <c r="F183" s="74">
        <v>7.6</v>
      </c>
      <c r="G183" s="75" t="s">
        <v>229</v>
      </c>
      <c r="H183" s="77" t="str">
        <f>VLOOKUP(DESPESAS[[#This Row],[Plano de Contas]],BASE!$B$3:$D$119,3,FALSE)</f>
        <v>Despesas Bancarias</v>
      </c>
      <c r="I183" s="77" t="str">
        <f>IFERROR(VLOOKUP(DESPESAS[[#This Row],[Fornecedor]],Tabela2[],2,FALSE),"")</f>
        <v/>
      </c>
      <c r="J183" s="77" t="str">
        <f>IFERROR(VLOOKUP(DESPESAS[[#This Row],[Plano de Contas]],BASE!$B$3:$F$119,4,FALSE),"")</f>
        <v>8 - DESPESAS FINANCEIRAS</v>
      </c>
      <c r="K183" s="77" t="str">
        <f>IFERROR(VLOOKUP(DESPESAS[[#This Row],[Plano de Contas]],BASE!$B$3:$H$119,5,FALSE),"")</f>
        <v>FINANCEIRO</v>
      </c>
      <c r="L183" s="77">
        <f>IFERROR(VLOOKUP(DESPESAS[[#This Row],[Plano de Contas]],BASE!$B$3:$H$119,6,FALSE),"")</f>
        <v>0</v>
      </c>
      <c r="M183" s="77" t="str">
        <f>VLOOKUP(DESPESAS[[#This Row],[Plano de Contas]],BASE!$B$3:$H$119,7,FALSE)</f>
        <v>LETÍCIA</v>
      </c>
    </row>
    <row r="184" spans="1:13" x14ac:dyDescent="0.25">
      <c r="A184" s="74">
        <v>196182</v>
      </c>
      <c r="B184" s="75" t="s">
        <v>281</v>
      </c>
      <c r="C184" s="75" t="s">
        <v>3277</v>
      </c>
      <c r="D184" s="76">
        <v>46024</v>
      </c>
      <c r="E184" s="75" t="s">
        <v>230</v>
      </c>
      <c r="F184" s="74">
        <v>3.16</v>
      </c>
      <c r="G184" s="75" t="s">
        <v>236</v>
      </c>
      <c r="H184" s="77" t="str">
        <f>VLOOKUP(DESPESAS[[#This Row],[Plano de Contas]],BASE!$B$3:$D$119,3,FALSE)</f>
        <v>Despesas de Cobranca</v>
      </c>
      <c r="I184" s="77" t="str">
        <f>IFERROR(VLOOKUP(DESPESAS[[#This Row],[Fornecedor]],Tabela2[],2,FALSE),"")</f>
        <v/>
      </c>
      <c r="J184" s="77" t="str">
        <f>IFERROR(VLOOKUP(DESPESAS[[#This Row],[Plano de Contas]],BASE!$B$3:$F$119,4,FALSE),"")</f>
        <v>8 - DESPESAS FINANCEIRAS</v>
      </c>
      <c r="K184" s="77" t="str">
        <f>IFERROR(VLOOKUP(DESPESAS[[#This Row],[Plano de Contas]],BASE!$B$3:$H$119,5,FALSE),"")</f>
        <v>FINANCEIRO</v>
      </c>
      <c r="L184" s="77">
        <f>IFERROR(VLOOKUP(DESPESAS[[#This Row],[Plano de Contas]],BASE!$B$3:$H$119,6,FALSE),"")</f>
        <v>0</v>
      </c>
      <c r="M184" s="77" t="str">
        <f>VLOOKUP(DESPESAS[[#This Row],[Plano de Contas]],BASE!$B$3:$H$119,7,FALSE)</f>
        <v>LETÍCIA</v>
      </c>
    </row>
    <row r="185" spans="1:13" x14ac:dyDescent="0.25">
      <c r="A185" s="74">
        <v>196183</v>
      </c>
      <c r="B185" s="75" t="s">
        <v>232</v>
      </c>
      <c r="C185" s="75" t="s">
        <v>3277</v>
      </c>
      <c r="D185" s="76">
        <v>46024</v>
      </c>
      <c r="E185" s="75" t="s">
        <v>230</v>
      </c>
      <c r="F185" s="74">
        <v>0.79</v>
      </c>
      <c r="G185" s="75" t="s">
        <v>236</v>
      </c>
      <c r="H185" s="77" t="str">
        <f>VLOOKUP(DESPESAS[[#This Row],[Plano de Contas]],BASE!$B$3:$D$119,3,FALSE)</f>
        <v>Despesas de Cobranca</v>
      </c>
      <c r="I185" s="77" t="str">
        <f>IFERROR(VLOOKUP(DESPESAS[[#This Row],[Fornecedor]],Tabela2[],2,FALSE),"")</f>
        <v/>
      </c>
      <c r="J185" s="77" t="str">
        <f>IFERROR(VLOOKUP(DESPESAS[[#This Row],[Plano de Contas]],BASE!$B$3:$F$119,4,FALSE),"")</f>
        <v>8 - DESPESAS FINANCEIRAS</v>
      </c>
      <c r="K185" s="77" t="str">
        <f>IFERROR(VLOOKUP(DESPESAS[[#This Row],[Plano de Contas]],BASE!$B$3:$H$119,5,FALSE),"")</f>
        <v>FINANCEIRO</v>
      </c>
      <c r="L185" s="77">
        <f>IFERROR(VLOOKUP(DESPESAS[[#This Row],[Plano de Contas]],BASE!$B$3:$H$119,6,FALSE),"")</f>
        <v>0</v>
      </c>
      <c r="M185" s="77" t="str">
        <f>VLOOKUP(DESPESAS[[#This Row],[Plano de Contas]],BASE!$B$3:$H$119,7,FALSE)</f>
        <v>LETÍCIA</v>
      </c>
    </row>
    <row r="186" spans="1:13" x14ac:dyDescent="0.25">
      <c r="A186" s="74">
        <v>196184</v>
      </c>
      <c r="B186" s="75" t="s">
        <v>232</v>
      </c>
      <c r="C186" s="75" t="s">
        <v>3276</v>
      </c>
      <c r="D186" s="76">
        <v>46024</v>
      </c>
      <c r="E186" s="75" t="s">
        <v>230</v>
      </c>
      <c r="F186" s="74">
        <v>10</v>
      </c>
      <c r="G186" s="75" t="s">
        <v>229</v>
      </c>
      <c r="H186" s="77" t="str">
        <f>VLOOKUP(DESPESAS[[#This Row],[Plano de Contas]],BASE!$B$3:$D$119,3,FALSE)</f>
        <v>Despesas Bancarias</v>
      </c>
      <c r="I186" s="77" t="str">
        <f>IFERROR(VLOOKUP(DESPESAS[[#This Row],[Fornecedor]],Tabela2[],2,FALSE),"")</f>
        <v/>
      </c>
      <c r="J186" s="77" t="str">
        <f>IFERROR(VLOOKUP(DESPESAS[[#This Row],[Plano de Contas]],BASE!$B$3:$F$119,4,FALSE),"")</f>
        <v>8 - DESPESAS FINANCEIRAS</v>
      </c>
      <c r="K186" s="77" t="str">
        <f>IFERROR(VLOOKUP(DESPESAS[[#This Row],[Plano de Contas]],BASE!$B$3:$H$119,5,FALSE),"")</f>
        <v>FINANCEIRO</v>
      </c>
      <c r="L186" s="77">
        <f>IFERROR(VLOOKUP(DESPESAS[[#This Row],[Plano de Contas]],BASE!$B$3:$H$119,6,FALSE),"")</f>
        <v>0</v>
      </c>
      <c r="M186" s="77" t="str">
        <f>VLOOKUP(DESPESAS[[#This Row],[Plano de Contas]],BASE!$B$3:$H$119,7,FALSE)</f>
        <v>LETÍCIA</v>
      </c>
    </row>
    <row r="187" spans="1:13" x14ac:dyDescent="0.25">
      <c r="A187" s="74">
        <v>196185</v>
      </c>
      <c r="B187" s="75" t="s">
        <v>232</v>
      </c>
      <c r="C187" s="75" t="s">
        <v>3275</v>
      </c>
      <c r="D187" s="76">
        <v>46024</v>
      </c>
      <c r="E187" s="75" t="s">
        <v>230</v>
      </c>
      <c r="F187" s="74">
        <v>1.58</v>
      </c>
      <c r="G187" s="75" t="s">
        <v>236</v>
      </c>
      <c r="H187" s="77" t="str">
        <f>VLOOKUP(DESPESAS[[#This Row],[Plano de Contas]],BASE!$B$3:$D$119,3,FALSE)</f>
        <v>Despesas de Cobranca</v>
      </c>
      <c r="I187" s="77" t="str">
        <f>IFERROR(VLOOKUP(DESPESAS[[#This Row],[Fornecedor]],Tabela2[],2,FALSE),"")</f>
        <v/>
      </c>
      <c r="J187" s="77" t="str">
        <f>IFERROR(VLOOKUP(DESPESAS[[#This Row],[Plano de Contas]],BASE!$B$3:$F$119,4,FALSE),"")</f>
        <v>8 - DESPESAS FINANCEIRAS</v>
      </c>
      <c r="K187" s="77" t="str">
        <f>IFERROR(VLOOKUP(DESPESAS[[#This Row],[Plano de Contas]],BASE!$B$3:$H$119,5,FALSE),"")</f>
        <v>FINANCEIRO</v>
      </c>
      <c r="L187" s="77">
        <f>IFERROR(VLOOKUP(DESPESAS[[#This Row],[Plano de Contas]],BASE!$B$3:$H$119,6,FALSE),"")</f>
        <v>0</v>
      </c>
      <c r="M187" s="77" t="str">
        <f>VLOOKUP(DESPESAS[[#This Row],[Plano de Contas]],BASE!$B$3:$H$119,7,FALSE)</f>
        <v>LETÍCIA</v>
      </c>
    </row>
    <row r="188" spans="1:13" x14ac:dyDescent="0.25">
      <c r="A188" s="74">
        <v>196186</v>
      </c>
      <c r="B188" s="75" t="s">
        <v>232</v>
      </c>
      <c r="C188" s="75" t="s">
        <v>3274</v>
      </c>
      <c r="D188" s="76">
        <v>46024</v>
      </c>
      <c r="E188" s="75" t="s">
        <v>230</v>
      </c>
      <c r="F188" s="74">
        <v>17.38</v>
      </c>
      <c r="G188" s="75" t="s">
        <v>236</v>
      </c>
      <c r="H188" s="77" t="str">
        <f>VLOOKUP(DESPESAS[[#This Row],[Plano de Contas]],BASE!$B$3:$D$119,3,FALSE)</f>
        <v>Despesas de Cobranca</v>
      </c>
      <c r="I188" s="77" t="str">
        <f>IFERROR(VLOOKUP(DESPESAS[[#This Row],[Fornecedor]],Tabela2[],2,FALSE),"")</f>
        <v/>
      </c>
      <c r="J188" s="77" t="str">
        <f>IFERROR(VLOOKUP(DESPESAS[[#This Row],[Plano de Contas]],BASE!$B$3:$F$119,4,FALSE),"")</f>
        <v>8 - DESPESAS FINANCEIRAS</v>
      </c>
      <c r="K188" s="77" t="str">
        <f>IFERROR(VLOOKUP(DESPESAS[[#This Row],[Plano de Contas]],BASE!$B$3:$H$119,5,FALSE),"")</f>
        <v>FINANCEIRO</v>
      </c>
      <c r="L188" s="77">
        <f>IFERROR(VLOOKUP(DESPESAS[[#This Row],[Plano de Contas]],BASE!$B$3:$H$119,6,FALSE),"")</f>
        <v>0</v>
      </c>
      <c r="M188" s="77" t="str">
        <f>VLOOKUP(DESPESAS[[#This Row],[Plano de Contas]],BASE!$B$3:$H$119,7,FALSE)</f>
        <v>LETÍCIA</v>
      </c>
    </row>
    <row r="189" spans="1:13" x14ac:dyDescent="0.25">
      <c r="A189" s="74">
        <v>196187</v>
      </c>
      <c r="B189" s="75" t="s">
        <v>232</v>
      </c>
      <c r="C189" s="75" t="s">
        <v>3271</v>
      </c>
      <c r="D189" s="76">
        <v>46027</v>
      </c>
      <c r="E189" s="75" t="s">
        <v>230</v>
      </c>
      <c r="F189" s="74">
        <v>0.45</v>
      </c>
      <c r="G189" s="75" t="s">
        <v>229</v>
      </c>
      <c r="H189" s="77" t="str">
        <f>VLOOKUP(DESPESAS[[#This Row],[Plano de Contas]],BASE!$B$3:$D$119,3,FALSE)</f>
        <v>Despesas Bancarias</v>
      </c>
      <c r="I189" s="77" t="str">
        <f>IFERROR(VLOOKUP(DESPESAS[[#This Row],[Fornecedor]],Tabela2[],2,FALSE),"")</f>
        <v/>
      </c>
      <c r="J189" s="77" t="str">
        <f>IFERROR(VLOOKUP(DESPESAS[[#This Row],[Plano de Contas]],BASE!$B$3:$F$119,4,FALSE),"")</f>
        <v>8 - DESPESAS FINANCEIRAS</v>
      </c>
      <c r="K189" s="77" t="str">
        <f>IFERROR(VLOOKUP(DESPESAS[[#This Row],[Plano de Contas]],BASE!$B$3:$H$119,5,FALSE),"")</f>
        <v>FINANCEIRO</v>
      </c>
      <c r="L189" s="77">
        <f>IFERROR(VLOOKUP(DESPESAS[[#This Row],[Plano de Contas]],BASE!$B$3:$H$119,6,FALSE),"")</f>
        <v>0</v>
      </c>
      <c r="M189" s="77" t="str">
        <f>VLOOKUP(DESPESAS[[#This Row],[Plano de Contas]],BASE!$B$3:$H$119,7,FALSE)</f>
        <v>LETÍCIA</v>
      </c>
    </row>
    <row r="190" spans="1:13" x14ac:dyDescent="0.25">
      <c r="A190" s="74">
        <v>196190</v>
      </c>
      <c r="B190" s="75" t="s">
        <v>232</v>
      </c>
      <c r="C190" s="75" t="s">
        <v>3273</v>
      </c>
      <c r="D190" s="76">
        <v>46027</v>
      </c>
      <c r="E190" s="75" t="s">
        <v>230</v>
      </c>
      <c r="F190" s="74">
        <v>670.05</v>
      </c>
      <c r="G190" s="75" t="s">
        <v>251</v>
      </c>
      <c r="H190" s="77" t="str">
        <f>VLOOKUP(DESPESAS[[#This Row],[Plano de Contas]],BASE!$B$3:$D$119,3,FALSE)</f>
        <v>Juros Pagos - Antecipação de Crédito</v>
      </c>
      <c r="I190" s="77" t="str">
        <f>IFERROR(VLOOKUP(DESPESAS[[#This Row],[Fornecedor]],Tabela2[],2,FALSE),"")</f>
        <v/>
      </c>
      <c r="J190" s="77" t="str">
        <f>IFERROR(VLOOKUP(DESPESAS[[#This Row],[Plano de Contas]],BASE!$B$3:$F$119,4,FALSE),"")</f>
        <v>8 - DESPESAS FINANCEIRAS</v>
      </c>
      <c r="K190" s="77" t="str">
        <f>IFERROR(VLOOKUP(DESPESAS[[#This Row],[Plano de Contas]],BASE!$B$3:$H$119,5,FALSE),"")</f>
        <v>FINANCEIRO</v>
      </c>
      <c r="L190" s="77">
        <f>IFERROR(VLOOKUP(DESPESAS[[#This Row],[Plano de Contas]],BASE!$B$3:$H$119,6,FALSE),"")</f>
        <v>0</v>
      </c>
      <c r="M190" s="77" t="str">
        <f>VLOOKUP(DESPESAS[[#This Row],[Plano de Contas]],BASE!$B$3:$H$119,7,FALSE)</f>
        <v>LETÍCIA</v>
      </c>
    </row>
    <row r="191" spans="1:13" x14ac:dyDescent="0.25">
      <c r="A191" s="74">
        <v>196191</v>
      </c>
      <c r="B191" s="75" t="s">
        <v>232</v>
      </c>
      <c r="C191" s="75" t="s">
        <v>3272</v>
      </c>
      <c r="D191" s="76">
        <v>46027</v>
      </c>
      <c r="E191" s="75" t="s">
        <v>230</v>
      </c>
      <c r="F191" s="74">
        <v>87.09</v>
      </c>
      <c r="G191" s="75" t="s">
        <v>229</v>
      </c>
      <c r="H191" s="77" t="str">
        <f>VLOOKUP(DESPESAS[[#This Row],[Plano de Contas]],BASE!$B$3:$D$119,3,FALSE)</f>
        <v>Despesas Bancarias</v>
      </c>
      <c r="I191" s="77" t="str">
        <f>IFERROR(VLOOKUP(DESPESAS[[#This Row],[Fornecedor]],Tabela2[],2,FALSE),"")</f>
        <v/>
      </c>
      <c r="J191" s="77" t="str">
        <f>IFERROR(VLOOKUP(DESPESAS[[#This Row],[Plano de Contas]],BASE!$B$3:$F$119,4,FALSE),"")</f>
        <v>8 - DESPESAS FINANCEIRAS</v>
      </c>
      <c r="K191" s="77" t="str">
        <f>IFERROR(VLOOKUP(DESPESAS[[#This Row],[Plano de Contas]],BASE!$B$3:$H$119,5,FALSE),"")</f>
        <v>FINANCEIRO</v>
      </c>
      <c r="L191" s="77">
        <f>IFERROR(VLOOKUP(DESPESAS[[#This Row],[Plano de Contas]],BASE!$B$3:$H$119,6,FALSE),"")</f>
        <v>0</v>
      </c>
      <c r="M191" s="77" t="str">
        <f>VLOOKUP(DESPESAS[[#This Row],[Plano de Contas]],BASE!$B$3:$H$119,7,FALSE)</f>
        <v>LETÍCIA</v>
      </c>
    </row>
    <row r="192" spans="1:13" x14ac:dyDescent="0.25">
      <c r="A192" s="74">
        <v>196192</v>
      </c>
      <c r="B192" s="75" t="s">
        <v>232</v>
      </c>
      <c r="C192" s="75" t="s">
        <v>3271</v>
      </c>
      <c r="D192" s="76">
        <v>46027</v>
      </c>
      <c r="E192" s="75" t="s">
        <v>230</v>
      </c>
      <c r="F192" s="74">
        <v>109.41</v>
      </c>
      <c r="G192" s="75" t="s">
        <v>229</v>
      </c>
      <c r="H192" s="77" t="str">
        <f>VLOOKUP(DESPESAS[[#This Row],[Plano de Contas]],BASE!$B$3:$D$119,3,FALSE)</f>
        <v>Despesas Bancarias</v>
      </c>
      <c r="I192" s="77" t="str">
        <f>IFERROR(VLOOKUP(DESPESAS[[#This Row],[Fornecedor]],Tabela2[],2,FALSE),"")</f>
        <v/>
      </c>
      <c r="J192" s="77" t="str">
        <f>IFERROR(VLOOKUP(DESPESAS[[#This Row],[Plano de Contas]],BASE!$B$3:$F$119,4,FALSE),"")</f>
        <v>8 - DESPESAS FINANCEIRAS</v>
      </c>
      <c r="K192" s="77" t="str">
        <f>IFERROR(VLOOKUP(DESPESAS[[#This Row],[Plano de Contas]],BASE!$B$3:$H$119,5,FALSE),"")</f>
        <v>FINANCEIRO</v>
      </c>
      <c r="L192" s="77">
        <f>IFERROR(VLOOKUP(DESPESAS[[#This Row],[Plano de Contas]],BASE!$B$3:$H$119,6,FALSE),"")</f>
        <v>0</v>
      </c>
      <c r="M192" s="77" t="str">
        <f>VLOOKUP(DESPESAS[[#This Row],[Plano de Contas]],BASE!$B$3:$H$119,7,FALSE)</f>
        <v>LETÍCIA</v>
      </c>
    </row>
    <row r="193" spans="1:13" x14ac:dyDescent="0.25">
      <c r="A193" s="74">
        <v>196193</v>
      </c>
      <c r="B193" s="75" t="s">
        <v>221</v>
      </c>
      <c r="C193" s="75" t="s">
        <v>3270</v>
      </c>
      <c r="D193" s="76">
        <v>46028</v>
      </c>
      <c r="E193" s="75" t="s">
        <v>245</v>
      </c>
      <c r="F193" s="74">
        <v>136</v>
      </c>
      <c r="G193" s="75" t="s">
        <v>218</v>
      </c>
      <c r="H193" s="77" t="str">
        <f>VLOOKUP(DESPESAS[[#This Row],[Plano de Contas]],BASE!$B$3:$D$119,3,FALSE)</f>
        <v>Manutenção de Equipamentos (Prod)</v>
      </c>
      <c r="I193" s="77" t="str">
        <f>IFERROR(VLOOKUP(DESPESAS[[#This Row],[Fornecedor]],Tabela2[],2,FALSE),"")</f>
        <v>FERRAGENS GERAIS</v>
      </c>
      <c r="J193" s="77" t="str">
        <f>IFERROR(VLOOKUP(DESPESAS[[#This Row],[Plano de Contas]],BASE!$B$3:$F$119,4,FALSE),"")</f>
        <v>3 - CUSTOS INDIRETOS</v>
      </c>
      <c r="K193" s="77" t="str">
        <f>IFERROR(VLOOKUP(DESPESAS[[#This Row],[Plano de Contas]],BASE!$B$3:$H$119,5,FALSE),"")</f>
        <v>MANUTENÇÃO / TI</v>
      </c>
      <c r="L193" s="77">
        <f>IFERROR(VLOOKUP(DESPESAS[[#This Row],[Plano de Contas]],BASE!$B$3:$H$119,6,FALSE),"")</f>
        <v>0</v>
      </c>
      <c r="M193" s="77" t="str">
        <f>VLOOKUP(DESPESAS[[#This Row],[Plano de Contas]],BASE!$B$3:$H$119,7,FALSE)</f>
        <v>RAFAEL</v>
      </c>
    </row>
    <row r="194" spans="1:13" x14ac:dyDescent="0.25">
      <c r="A194" s="74">
        <v>196194</v>
      </c>
      <c r="B194" s="75" t="s">
        <v>221</v>
      </c>
      <c r="C194" s="75" t="s">
        <v>3269</v>
      </c>
      <c r="D194" s="76">
        <v>46028</v>
      </c>
      <c r="E194" s="75" t="s">
        <v>380</v>
      </c>
      <c r="F194" s="74">
        <v>30</v>
      </c>
      <c r="G194" s="75" t="s">
        <v>693</v>
      </c>
      <c r="H194" s="77" t="str">
        <f>VLOOKUP(DESPESAS[[#This Row],[Plano de Contas]],BASE!$B$3:$D$119,3,FALSE)</f>
        <v>Computadores e Periféricos</v>
      </c>
      <c r="I194" s="77" t="str">
        <f>IFERROR(VLOOKUP(DESPESAS[[#This Row],[Fornecedor]],Tabela2[],2,FALSE),"")</f>
        <v>COMPONENTES T.I</v>
      </c>
      <c r="J194" s="77" t="str">
        <f>IFERROR(VLOOKUP(DESPESAS[[#This Row],[Plano de Contas]],BASE!$B$3:$F$119,4,FALSE),"")</f>
        <v>9 - INVESTIMENTOS</v>
      </c>
      <c r="K194" s="77" t="str">
        <f>IFERROR(VLOOKUP(DESPESAS[[#This Row],[Plano de Contas]],BASE!$B$3:$H$119,5,FALSE),"")</f>
        <v>MANUTENÇÃO / TI</v>
      </c>
      <c r="L194" s="77">
        <f>IFERROR(VLOOKUP(DESPESAS[[#This Row],[Plano de Contas]],BASE!$B$3:$H$119,6,FALSE),"")</f>
        <v>0</v>
      </c>
      <c r="M194" s="77" t="str">
        <f>VLOOKUP(DESPESAS[[#This Row],[Plano de Contas]],BASE!$B$3:$H$119,7,FALSE)</f>
        <v>RAFAEL</v>
      </c>
    </row>
    <row r="195" spans="1:13" x14ac:dyDescent="0.25">
      <c r="A195" s="74">
        <v>196195</v>
      </c>
      <c r="B195" s="75" t="s">
        <v>279</v>
      </c>
      <c r="C195" s="75" t="s">
        <v>3268</v>
      </c>
      <c r="D195" s="76">
        <v>46027</v>
      </c>
      <c r="E195" s="75" t="s">
        <v>230</v>
      </c>
      <c r="F195" s="74">
        <v>8.69</v>
      </c>
      <c r="G195" s="75" t="s">
        <v>236</v>
      </c>
      <c r="H195" s="77" t="str">
        <f>VLOOKUP(DESPESAS[[#This Row],[Plano de Contas]],BASE!$B$3:$D$119,3,FALSE)</f>
        <v>Despesas de Cobranca</v>
      </c>
      <c r="I195" s="77" t="str">
        <f>IFERROR(VLOOKUP(DESPESAS[[#This Row],[Fornecedor]],Tabela2[],2,FALSE),"")</f>
        <v/>
      </c>
      <c r="J195" s="77" t="str">
        <f>IFERROR(VLOOKUP(DESPESAS[[#This Row],[Plano de Contas]],BASE!$B$3:$F$119,4,FALSE),"")</f>
        <v>8 - DESPESAS FINANCEIRAS</v>
      </c>
      <c r="K195" s="77" t="str">
        <f>IFERROR(VLOOKUP(DESPESAS[[#This Row],[Plano de Contas]],BASE!$B$3:$H$119,5,FALSE),"")</f>
        <v>FINANCEIRO</v>
      </c>
      <c r="L195" s="77">
        <f>IFERROR(VLOOKUP(DESPESAS[[#This Row],[Plano de Contas]],BASE!$B$3:$H$119,6,FALSE),"")</f>
        <v>0</v>
      </c>
      <c r="M195" s="77" t="str">
        <f>VLOOKUP(DESPESAS[[#This Row],[Plano de Contas]],BASE!$B$3:$H$119,7,FALSE)</f>
        <v>LETÍCIA</v>
      </c>
    </row>
    <row r="196" spans="1:13" x14ac:dyDescent="0.25">
      <c r="A196" s="74">
        <v>196196</v>
      </c>
      <c r="B196" s="75" t="s">
        <v>279</v>
      </c>
      <c r="C196" s="75" t="s">
        <v>3267</v>
      </c>
      <c r="D196" s="76">
        <v>46028</v>
      </c>
      <c r="E196" s="75" t="s">
        <v>230</v>
      </c>
      <c r="F196" s="74">
        <v>2.4300000000000002</v>
      </c>
      <c r="G196" s="75" t="s">
        <v>229</v>
      </c>
      <c r="H196" s="77" t="str">
        <f>VLOOKUP(DESPESAS[[#This Row],[Plano de Contas]],BASE!$B$3:$D$119,3,FALSE)</f>
        <v>Despesas Bancarias</v>
      </c>
      <c r="I196" s="77" t="str">
        <f>IFERROR(VLOOKUP(DESPESAS[[#This Row],[Fornecedor]],Tabela2[],2,FALSE),"")</f>
        <v/>
      </c>
      <c r="J196" s="77" t="str">
        <f>IFERROR(VLOOKUP(DESPESAS[[#This Row],[Plano de Contas]],BASE!$B$3:$F$119,4,FALSE),"")</f>
        <v>8 - DESPESAS FINANCEIRAS</v>
      </c>
      <c r="K196" s="77" t="str">
        <f>IFERROR(VLOOKUP(DESPESAS[[#This Row],[Plano de Contas]],BASE!$B$3:$H$119,5,FALSE),"")</f>
        <v>FINANCEIRO</v>
      </c>
      <c r="L196" s="77">
        <f>IFERROR(VLOOKUP(DESPESAS[[#This Row],[Plano de Contas]],BASE!$B$3:$H$119,6,FALSE),"")</f>
        <v>0</v>
      </c>
      <c r="M196" s="77" t="str">
        <f>VLOOKUP(DESPESAS[[#This Row],[Plano de Contas]],BASE!$B$3:$H$119,7,FALSE)</f>
        <v>LETÍCIA</v>
      </c>
    </row>
    <row r="197" spans="1:13" x14ac:dyDescent="0.25">
      <c r="A197" s="74">
        <v>196197</v>
      </c>
      <c r="B197" s="75" t="s">
        <v>232</v>
      </c>
      <c r="C197" s="75" t="s">
        <v>3266</v>
      </c>
      <c r="D197" s="76">
        <v>46028</v>
      </c>
      <c r="E197" s="75" t="s">
        <v>230</v>
      </c>
      <c r="F197" s="74">
        <v>0.04</v>
      </c>
      <c r="G197" s="75" t="s">
        <v>229</v>
      </c>
      <c r="H197" s="77" t="str">
        <f>VLOOKUP(DESPESAS[[#This Row],[Plano de Contas]],BASE!$B$3:$D$119,3,FALSE)</f>
        <v>Despesas Bancarias</v>
      </c>
      <c r="I197" s="77" t="str">
        <f>IFERROR(VLOOKUP(DESPESAS[[#This Row],[Fornecedor]],Tabela2[],2,FALSE),"")</f>
        <v/>
      </c>
      <c r="J197" s="77" t="str">
        <f>IFERROR(VLOOKUP(DESPESAS[[#This Row],[Plano de Contas]],BASE!$B$3:$F$119,4,FALSE),"")</f>
        <v>8 - DESPESAS FINANCEIRAS</v>
      </c>
      <c r="K197" s="77" t="str">
        <f>IFERROR(VLOOKUP(DESPESAS[[#This Row],[Plano de Contas]],BASE!$B$3:$H$119,5,FALSE),"")</f>
        <v>FINANCEIRO</v>
      </c>
      <c r="L197" s="77">
        <f>IFERROR(VLOOKUP(DESPESAS[[#This Row],[Plano de Contas]],BASE!$B$3:$H$119,6,FALSE),"")</f>
        <v>0</v>
      </c>
      <c r="M197" s="77" t="str">
        <f>VLOOKUP(DESPESAS[[#This Row],[Plano de Contas]],BASE!$B$3:$H$119,7,FALSE)</f>
        <v>LETÍCIA</v>
      </c>
    </row>
    <row r="198" spans="1:13" x14ac:dyDescent="0.25">
      <c r="A198" s="74">
        <v>196198</v>
      </c>
      <c r="B198" s="75" t="s">
        <v>279</v>
      </c>
      <c r="C198" s="75" t="s">
        <v>3265</v>
      </c>
      <c r="D198" s="76">
        <v>46028</v>
      </c>
      <c r="E198" s="75" t="s">
        <v>230</v>
      </c>
      <c r="F198" s="74">
        <v>0.27</v>
      </c>
      <c r="G198" s="75" t="s">
        <v>229</v>
      </c>
      <c r="H198" s="77" t="str">
        <f>VLOOKUP(DESPESAS[[#This Row],[Plano de Contas]],BASE!$B$3:$D$119,3,FALSE)</f>
        <v>Despesas Bancarias</v>
      </c>
      <c r="I198" s="77" t="str">
        <f>IFERROR(VLOOKUP(DESPESAS[[#This Row],[Fornecedor]],Tabela2[],2,FALSE),"")</f>
        <v/>
      </c>
      <c r="J198" s="77" t="str">
        <f>IFERROR(VLOOKUP(DESPESAS[[#This Row],[Plano de Contas]],BASE!$B$3:$F$119,4,FALSE),"")</f>
        <v>8 - DESPESAS FINANCEIRAS</v>
      </c>
      <c r="K198" s="77" t="str">
        <f>IFERROR(VLOOKUP(DESPESAS[[#This Row],[Plano de Contas]],BASE!$B$3:$H$119,5,FALSE),"")</f>
        <v>FINANCEIRO</v>
      </c>
      <c r="L198" s="77">
        <f>IFERROR(VLOOKUP(DESPESAS[[#This Row],[Plano de Contas]],BASE!$B$3:$H$119,6,FALSE),"")</f>
        <v>0</v>
      </c>
      <c r="M198" s="77" t="str">
        <f>VLOOKUP(DESPESAS[[#This Row],[Plano de Contas]],BASE!$B$3:$H$119,7,FALSE)</f>
        <v>LETÍCIA</v>
      </c>
    </row>
    <row r="199" spans="1:13" x14ac:dyDescent="0.25">
      <c r="A199" s="74">
        <v>196199</v>
      </c>
      <c r="B199" s="75" t="s">
        <v>221</v>
      </c>
      <c r="C199" s="75" t="s">
        <v>3264</v>
      </c>
      <c r="D199" s="76">
        <v>46028</v>
      </c>
      <c r="E199" s="75" t="s">
        <v>245</v>
      </c>
      <c r="F199" s="74">
        <v>33</v>
      </c>
      <c r="G199" s="75" t="s">
        <v>247</v>
      </c>
      <c r="H199" s="77" t="str">
        <f>VLOOKUP(DESPESAS[[#This Row],[Plano de Contas]],BASE!$B$3:$D$119,3,FALSE)</f>
        <v>Manutenção com veiculos</v>
      </c>
      <c r="I199" s="77" t="str">
        <f>IFERROR(VLOOKUP(DESPESAS[[#This Row],[Fornecedor]],Tabela2[],2,FALSE),"")</f>
        <v>FERRAGENS GERAIS</v>
      </c>
      <c r="J199" s="77" t="str">
        <f>IFERROR(VLOOKUP(DESPESAS[[#This Row],[Plano de Contas]],BASE!$B$3:$F$119,4,FALSE),"")</f>
        <v>6 - DESPESA COM VENDAS</v>
      </c>
      <c r="K199" s="77" t="str">
        <f>IFERROR(VLOOKUP(DESPESAS[[#This Row],[Plano de Contas]],BASE!$B$3:$H$119,5,FALSE),"")</f>
        <v>LOGÍSTICA</v>
      </c>
      <c r="L199" s="77">
        <f>IFERROR(VLOOKUP(DESPESAS[[#This Row],[Plano de Contas]],BASE!$B$3:$H$119,6,FALSE),"")</f>
        <v>0</v>
      </c>
      <c r="M199" s="77" t="str">
        <f>VLOOKUP(DESPESAS[[#This Row],[Plano de Contas]],BASE!$B$3:$H$119,7,FALSE)</f>
        <v>MYLENA</v>
      </c>
    </row>
    <row r="200" spans="1:13" x14ac:dyDescent="0.25">
      <c r="A200" s="74">
        <v>196200</v>
      </c>
      <c r="B200" s="75" t="s">
        <v>221</v>
      </c>
      <c r="C200" s="75" t="s">
        <v>3263</v>
      </c>
      <c r="D200" s="76">
        <v>46028</v>
      </c>
      <c r="E200" s="75" t="s">
        <v>338</v>
      </c>
      <c r="F200" s="74">
        <v>264</v>
      </c>
      <c r="G200" s="75" t="s">
        <v>337</v>
      </c>
      <c r="H200" s="77" t="str">
        <f>VLOOKUP(DESPESAS[[#This Row],[Plano de Contas]],BASE!$B$3:$D$119,3,FALSE)</f>
        <v>Vigilancia e Seguranca</v>
      </c>
      <c r="I200" s="77" t="str">
        <f>IFERROR(VLOOKUP(DESPESAS[[#This Row],[Fornecedor]],Tabela2[],2,FALSE),"")</f>
        <v/>
      </c>
      <c r="J200" s="77" t="str">
        <f>IFERROR(VLOOKUP(DESPESAS[[#This Row],[Plano de Contas]],BASE!$B$3:$F$119,4,FALSE),"")</f>
        <v>7 - SERVIÇOS DE TERCEIROS</v>
      </c>
      <c r="K200" s="77" t="str">
        <f>IFERROR(VLOOKUP(DESPESAS[[#This Row],[Plano de Contas]],BASE!$B$3:$H$119,5,FALSE),"")</f>
        <v>FINANCEIRO</v>
      </c>
      <c r="L200" s="77">
        <f>IFERROR(VLOOKUP(DESPESAS[[#This Row],[Plano de Contas]],BASE!$B$3:$H$119,6,FALSE),"")</f>
        <v>0</v>
      </c>
      <c r="M200" s="77" t="str">
        <f>VLOOKUP(DESPESAS[[#This Row],[Plano de Contas]],BASE!$B$3:$H$119,7,FALSE)</f>
        <v>LETÍCIA</v>
      </c>
    </row>
    <row r="201" spans="1:13" x14ac:dyDescent="0.25">
      <c r="A201" s="74">
        <v>196201</v>
      </c>
      <c r="B201" s="75" t="s">
        <v>221</v>
      </c>
      <c r="C201" s="75" t="s">
        <v>3262</v>
      </c>
      <c r="D201" s="76">
        <v>46028</v>
      </c>
      <c r="E201" s="75" t="s">
        <v>338</v>
      </c>
      <c r="F201" s="74">
        <v>18</v>
      </c>
      <c r="G201" s="75" t="s">
        <v>337</v>
      </c>
      <c r="H201" s="77" t="str">
        <f>VLOOKUP(DESPESAS[[#This Row],[Plano de Contas]],BASE!$B$3:$D$119,3,FALSE)</f>
        <v>Vigilancia e Seguranca</v>
      </c>
      <c r="I201" s="77" t="str">
        <f>IFERROR(VLOOKUP(DESPESAS[[#This Row],[Fornecedor]],Tabela2[],2,FALSE),"")</f>
        <v/>
      </c>
      <c r="J201" s="77" t="str">
        <f>IFERROR(VLOOKUP(DESPESAS[[#This Row],[Plano de Contas]],BASE!$B$3:$F$119,4,FALSE),"")</f>
        <v>7 - SERVIÇOS DE TERCEIROS</v>
      </c>
      <c r="K201" s="77" t="str">
        <f>IFERROR(VLOOKUP(DESPESAS[[#This Row],[Plano de Contas]],BASE!$B$3:$H$119,5,FALSE),"")</f>
        <v>FINANCEIRO</v>
      </c>
      <c r="L201" s="77">
        <f>IFERROR(VLOOKUP(DESPESAS[[#This Row],[Plano de Contas]],BASE!$B$3:$H$119,6,FALSE),"")</f>
        <v>0</v>
      </c>
      <c r="M201" s="77" t="str">
        <f>VLOOKUP(DESPESAS[[#This Row],[Plano de Contas]],BASE!$B$3:$H$119,7,FALSE)</f>
        <v>LETÍCIA</v>
      </c>
    </row>
    <row r="202" spans="1:13" x14ac:dyDescent="0.25">
      <c r="A202" s="74">
        <v>196202</v>
      </c>
      <c r="B202" s="75" t="s">
        <v>221</v>
      </c>
      <c r="C202" s="75" t="s">
        <v>3261</v>
      </c>
      <c r="D202" s="76">
        <v>46028</v>
      </c>
      <c r="E202" s="75" t="s">
        <v>338</v>
      </c>
      <c r="F202" s="74">
        <v>40</v>
      </c>
      <c r="G202" s="75" t="s">
        <v>337</v>
      </c>
      <c r="H202" s="77" t="str">
        <f>VLOOKUP(DESPESAS[[#This Row],[Plano de Contas]],BASE!$B$3:$D$119,3,FALSE)</f>
        <v>Vigilancia e Seguranca</v>
      </c>
      <c r="I202" s="77" t="str">
        <f>IFERROR(VLOOKUP(DESPESAS[[#This Row],[Fornecedor]],Tabela2[],2,FALSE),"")</f>
        <v/>
      </c>
      <c r="J202" s="77" t="str">
        <f>IFERROR(VLOOKUP(DESPESAS[[#This Row],[Plano de Contas]],BASE!$B$3:$F$119,4,FALSE),"")</f>
        <v>7 - SERVIÇOS DE TERCEIROS</v>
      </c>
      <c r="K202" s="77" t="str">
        <f>IFERROR(VLOOKUP(DESPESAS[[#This Row],[Plano de Contas]],BASE!$B$3:$H$119,5,FALSE),"")</f>
        <v>FINANCEIRO</v>
      </c>
      <c r="L202" s="77">
        <f>IFERROR(VLOOKUP(DESPESAS[[#This Row],[Plano de Contas]],BASE!$B$3:$H$119,6,FALSE),"")</f>
        <v>0</v>
      </c>
      <c r="M202" s="77" t="str">
        <f>VLOOKUP(DESPESAS[[#This Row],[Plano de Contas]],BASE!$B$3:$H$119,7,FALSE)</f>
        <v>LETÍCIA</v>
      </c>
    </row>
    <row r="203" spans="1:13" x14ac:dyDescent="0.25">
      <c r="A203" s="74">
        <v>196203</v>
      </c>
      <c r="B203" s="75" t="s">
        <v>232</v>
      </c>
      <c r="C203" s="75" t="s">
        <v>3260</v>
      </c>
      <c r="D203" s="76">
        <v>46027</v>
      </c>
      <c r="E203" s="75" t="s">
        <v>230</v>
      </c>
      <c r="F203" s="74">
        <v>1.58</v>
      </c>
      <c r="G203" s="75" t="s">
        <v>236</v>
      </c>
      <c r="H203" s="77" t="str">
        <f>VLOOKUP(DESPESAS[[#This Row],[Plano de Contas]],BASE!$B$3:$D$119,3,FALSE)</f>
        <v>Despesas de Cobranca</v>
      </c>
      <c r="I203" s="77" t="str">
        <f>IFERROR(VLOOKUP(DESPESAS[[#This Row],[Fornecedor]],Tabela2[],2,FALSE),"")</f>
        <v/>
      </c>
      <c r="J203" s="77" t="str">
        <f>IFERROR(VLOOKUP(DESPESAS[[#This Row],[Plano de Contas]],BASE!$B$3:$F$119,4,FALSE),"")</f>
        <v>8 - DESPESAS FINANCEIRAS</v>
      </c>
      <c r="K203" s="77" t="str">
        <f>IFERROR(VLOOKUP(DESPESAS[[#This Row],[Plano de Contas]],BASE!$B$3:$H$119,5,FALSE),"")</f>
        <v>FINANCEIRO</v>
      </c>
      <c r="L203" s="77">
        <f>IFERROR(VLOOKUP(DESPESAS[[#This Row],[Plano de Contas]],BASE!$B$3:$H$119,6,FALSE),"")</f>
        <v>0</v>
      </c>
      <c r="M203" s="77" t="str">
        <f>VLOOKUP(DESPESAS[[#This Row],[Plano de Contas]],BASE!$B$3:$H$119,7,FALSE)</f>
        <v>LETÍCIA</v>
      </c>
    </row>
    <row r="204" spans="1:13" x14ac:dyDescent="0.25">
      <c r="A204" s="74">
        <v>196204</v>
      </c>
      <c r="B204" s="75" t="s">
        <v>232</v>
      </c>
      <c r="C204" s="75" t="s">
        <v>3259</v>
      </c>
      <c r="D204" s="76">
        <v>46027</v>
      </c>
      <c r="E204" s="75" t="s">
        <v>230</v>
      </c>
      <c r="F204" s="74">
        <v>33.18</v>
      </c>
      <c r="G204" s="75" t="s">
        <v>229</v>
      </c>
      <c r="H204" s="77" t="str">
        <f>VLOOKUP(DESPESAS[[#This Row],[Plano de Contas]],BASE!$B$3:$D$119,3,FALSE)</f>
        <v>Despesas Bancarias</v>
      </c>
      <c r="I204" s="77" t="str">
        <f>IFERROR(VLOOKUP(DESPESAS[[#This Row],[Fornecedor]],Tabela2[],2,FALSE),"")</f>
        <v/>
      </c>
      <c r="J204" s="77" t="str">
        <f>IFERROR(VLOOKUP(DESPESAS[[#This Row],[Plano de Contas]],BASE!$B$3:$F$119,4,FALSE),"")</f>
        <v>8 - DESPESAS FINANCEIRAS</v>
      </c>
      <c r="K204" s="77" t="str">
        <f>IFERROR(VLOOKUP(DESPESAS[[#This Row],[Plano de Contas]],BASE!$B$3:$H$119,5,FALSE),"")</f>
        <v>FINANCEIRO</v>
      </c>
      <c r="L204" s="77">
        <f>IFERROR(VLOOKUP(DESPESAS[[#This Row],[Plano de Contas]],BASE!$B$3:$H$119,6,FALSE),"")</f>
        <v>0</v>
      </c>
      <c r="M204" s="77" t="str">
        <f>VLOOKUP(DESPESAS[[#This Row],[Plano de Contas]],BASE!$B$3:$H$119,7,FALSE)</f>
        <v>LETÍCIA</v>
      </c>
    </row>
    <row r="205" spans="1:13" x14ac:dyDescent="0.25">
      <c r="A205" s="74">
        <v>196205</v>
      </c>
      <c r="B205" s="75" t="s">
        <v>232</v>
      </c>
      <c r="C205" s="75" t="s">
        <v>3258</v>
      </c>
      <c r="D205" s="76">
        <v>46027</v>
      </c>
      <c r="E205" s="75" t="s">
        <v>230</v>
      </c>
      <c r="F205" s="74">
        <v>229.88</v>
      </c>
      <c r="G205" s="75" t="s">
        <v>229</v>
      </c>
      <c r="H205" s="77" t="str">
        <f>VLOOKUP(DESPESAS[[#This Row],[Plano de Contas]],BASE!$B$3:$D$119,3,FALSE)</f>
        <v>Despesas Bancarias</v>
      </c>
      <c r="I205" s="77" t="str">
        <f>IFERROR(VLOOKUP(DESPESAS[[#This Row],[Fornecedor]],Tabela2[],2,FALSE),"")</f>
        <v/>
      </c>
      <c r="J205" s="77" t="str">
        <f>IFERROR(VLOOKUP(DESPESAS[[#This Row],[Plano de Contas]],BASE!$B$3:$F$119,4,FALSE),"")</f>
        <v>8 - DESPESAS FINANCEIRAS</v>
      </c>
      <c r="K205" s="77" t="str">
        <f>IFERROR(VLOOKUP(DESPESAS[[#This Row],[Plano de Contas]],BASE!$B$3:$H$119,5,FALSE),"")</f>
        <v>FINANCEIRO</v>
      </c>
      <c r="L205" s="77">
        <f>IFERROR(VLOOKUP(DESPESAS[[#This Row],[Plano de Contas]],BASE!$B$3:$H$119,6,FALSE),"")</f>
        <v>0</v>
      </c>
      <c r="M205" s="77" t="str">
        <f>VLOOKUP(DESPESAS[[#This Row],[Plano de Contas]],BASE!$B$3:$H$119,7,FALSE)</f>
        <v>LETÍCIA</v>
      </c>
    </row>
    <row r="206" spans="1:13" x14ac:dyDescent="0.25">
      <c r="A206" s="74">
        <v>196209</v>
      </c>
      <c r="B206" s="75" t="s">
        <v>281</v>
      </c>
      <c r="C206" s="75" t="s">
        <v>3096</v>
      </c>
      <c r="D206" s="76">
        <v>46028</v>
      </c>
      <c r="E206" s="75" t="s">
        <v>290</v>
      </c>
      <c r="F206" s="74">
        <v>98.41</v>
      </c>
      <c r="G206" s="75" t="s">
        <v>289</v>
      </c>
      <c r="H206" s="77" t="str">
        <f>VLOOKUP(DESPESAS[[#This Row],[Plano de Contas]],BASE!$B$3:$D$119,3,FALSE)</f>
        <v>Energia Eletrica (Adm)</v>
      </c>
      <c r="I206" s="77" t="str">
        <f>IFERROR(VLOOKUP(DESPESAS[[#This Row],[Fornecedor]],Tabela2[],2,FALSE),"")</f>
        <v/>
      </c>
      <c r="J206" s="77" t="str">
        <f>IFERROR(VLOOKUP(DESPESAS[[#This Row],[Plano de Contas]],BASE!$B$3:$F$119,4,FALSE),"")</f>
        <v>5 - DESPESAS ADMINISTRATIVAS</v>
      </c>
      <c r="K206" s="77" t="str">
        <f>IFERROR(VLOOKUP(DESPESAS[[#This Row],[Plano de Contas]],BASE!$B$3:$H$119,5,FALSE),"")</f>
        <v>FINANCEIRO</v>
      </c>
      <c r="L206" s="77">
        <f>IFERROR(VLOOKUP(DESPESAS[[#This Row],[Plano de Contas]],BASE!$B$3:$H$119,6,FALSE),"")</f>
        <v>0</v>
      </c>
      <c r="M206" s="77" t="str">
        <f>VLOOKUP(DESPESAS[[#This Row],[Plano de Contas]],BASE!$B$3:$H$119,7,FALSE)</f>
        <v>LETÍCIA</v>
      </c>
    </row>
    <row r="207" spans="1:13" x14ac:dyDescent="0.25">
      <c r="A207" s="74">
        <v>196219</v>
      </c>
      <c r="B207" s="75" t="s">
        <v>221</v>
      </c>
      <c r="C207" s="75" t="s">
        <v>3257</v>
      </c>
      <c r="D207" s="76">
        <v>46027</v>
      </c>
      <c r="E207" s="75" t="s">
        <v>399</v>
      </c>
      <c r="F207" s="74">
        <v>215.88</v>
      </c>
      <c r="G207" s="75" t="s">
        <v>854</v>
      </c>
      <c r="H207" s="77" t="str">
        <f>VLOOKUP(DESPESAS[[#This Row],[Plano de Contas]],BASE!$B$3:$D$119,3,FALSE)</f>
        <v>Confraternização</v>
      </c>
      <c r="I207" s="77" t="str">
        <f>IFERROR(VLOOKUP(DESPESAS[[#This Row],[Fornecedor]],Tabela2[],2,FALSE),"")</f>
        <v/>
      </c>
      <c r="J207" s="77" t="str">
        <f>IFERROR(VLOOKUP(DESPESAS[[#This Row],[Plano de Contas]],BASE!$B$3:$F$119,4,FALSE),"")</f>
        <v>4 - GASTOS COM PESSOAL</v>
      </c>
      <c r="K207" s="77" t="str">
        <f>IFERROR(VLOOKUP(DESPESAS[[#This Row],[Plano de Contas]],BASE!$B$3:$H$119,5,FALSE),"")</f>
        <v>DH</v>
      </c>
      <c r="L207" s="77">
        <f>IFERROR(VLOOKUP(DESPESAS[[#This Row],[Plano de Contas]],BASE!$B$3:$H$119,6,FALSE),"")</f>
        <v>0</v>
      </c>
      <c r="M207" s="77" t="str">
        <f>VLOOKUP(DESPESAS[[#This Row],[Plano de Contas]],BASE!$B$3:$H$119,7,FALSE)</f>
        <v>MYLENA</v>
      </c>
    </row>
    <row r="208" spans="1:13" x14ac:dyDescent="0.25">
      <c r="A208" s="74">
        <v>196231</v>
      </c>
      <c r="B208" s="75" t="s">
        <v>221</v>
      </c>
      <c r="C208" s="75" t="s">
        <v>3256</v>
      </c>
      <c r="D208" s="76">
        <v>46028</v>
      </c>
      <c r="E208" s="75" t="s">
        <v>256</v>
      </c>
      <c r="F208" s="74">
        <v>88.2</v>
      </c>
      <c r="G208" s="75" t="s">
        <v>255</v>
      </c>
      <c r="H208" s="77" t="str">
        <f>VLOOKUP(DESPESAS[[#This Row],[Plano de Contas]],BASE!$B$3:$D$119,3,FALSE)</f>
        <v>Mostruário de Tecido</v>
      </c>
      <c r="I208" s="77" t="str">
        <f>IFERROR(VLOOKUP(DESPESAS[[#This Row],[Fornecedor]],Tabela2[],2,FALSE),"")</f>
        <v/>
      </c>
      <c r="J208" s="77" t="str">
        <f>IFERROR(VLOOKUP(DESPESAS[[#This Row],[Plano de Contas]],BASE!$B$3:$F$119,4,FALSE),"")</f>
        <v>6 - DESPESA COM VENDAS</v>
      </c>
      <c r="K208" s="77" t="str">
        <f>IFERROR(VLOOKUP(DESPESAS[[#This Row],[Plano de Contas]],BASE!$B$3:$H$119,5,FALSE),"")</f>
        <v>COMERCIAL</v>
      </c>
      <c r="L208" s="77">
        <f>IFERROR(VLOOKUP(DESPESAS[[#This Row],[Plano de Contas]],BASE!$B$3:$H$119,6,FALSE),"")</f>
        <v>0</v>
      </c>
      <c r="M208" s="77" t="str">
        <f>VLOOKUP(DESPESAS[[#This Row],[Plano de Contas]],BASE!$B$3:$H$119,7,FALSE)</f>
        <v>LETÍCIA</v>
      </c>
    </row>
    <row r="209" spans="1:13" x14ac:dyDescent="0.25">
      <c r="A209" s="74">
        <v>196234</v>
      </c>
      <c r="B209" s="75" t="s">
        <v>232</v>
      </c>
      <c r="C209" s="75" t="s">
        <v>3255</v>
      </c>
      <c r="D209" s="76">
        <v>46028</v>
      </c>
      <c r="E209" s="75" t="s">
        <v>755</v>
      </c>
      <c r="F209" s="74">
        <v>150</v>
      </c>
      <c r="G209" s="75" t="s">
        <v>324</v>
      </c>
      <c r="H209" s="77" t="str">
        <f>VLOOKUP(DESPESAS[[#This Row],[Plano de Contas]],BASE!$B$3:$D$119,3,FALSE)</f>
        <v>Cursos e Treinamentos CIF</v>
      </c>
      <c r="I209" s="77" t="str">
        <f>IFERROR(VLOOKUP(DESPESAS[[#This Row],[Fornecedor]],Tabela2[],2,FALSE),"")</f>
        <v/>
      </c>
      <c r="J209" s="77" t="str">
        <f>IFERROR(VLOOKUP(DESPESAS[[#This Row],[Plano de Contas]],BASE!$B$3:$F$119,4,FALSE),"")</f>
        <v>3 - CUSTOS INDIRETOS</v>
      </c>
      <c r="K209" s="77" t="str">
        <f>IFERROR(VLOOKUP(DESPESAS[[#This Row],[Plano de Contas]],BASE!$B$3:$H$119,5,FALSE),"")</f>
        <v>DH</v>
      </c>
      <c r="L209" s="77">
        <f>IFERROR(VLOOKUP(DESPESAS[[#This Row],[Plano de Contas]],BASE!$B$3:$H$119,6,FALSE),"")</f>
        <v>0</v>
      </c>
      <c r="M209" s="77" t="str">
        <f>VLOOKUP(DESPESAS[[#This Row],[Plano de Contas]],BASE!$B$3:$H$119,7,FALSE)</f>
        <v>FÁBIO</v>
      </c>
    </row>
    <row r="210" spans="1:13" x14ac:dyDescent="0.25">
      <c r="A210" s="74">
        <v>196239</v>
      </c>
      <c r="B210" s="75" t="s">
        <v>221</v>
      </c>
      <c r="C210" s="75" t="s">
        <v>3254</v>
      </c>
      <c r="D210" s="76">
        <v>46028</v>
      </c>
      <c r="E210" s="75" t="s">
        <v>3253</v>
      </c>
      <c r="F210" s="74">
        <v>960</v>
      </c>
      <c r="G210" s="75" t="s">
        <v>854</v>
      </c>
      <c r="H210" s="77" t="str">
        <f>VLOOKUP(DESPESAS[[#This Row],[Plano de Contas]],BASE!$B$3:$D$119,3,FALSE)</f>
        <v>Confraternização</v>
      </c>
      <c r="I210" s="77" t="str">
        <f>IFERROR(VLOOKUP(DESPESAS[[#This Row],[Fornecedor]],Tabela2[],2,FALSE),"")</f>
        <v/>
      </c>
      <c r="J210" s="77" t="str">
        <f>IFERROR(VLOOKUP(DESPESAS[[#This Row],[Plano de Contas]],BASE!$B$3:$F$119,4,FALSE),"")</f>
        <v>4 - GASTOS COM PESSOAL</v>
      </c>
      <c r="K210" s="77" t="str">
        <f>IFERROR(VLOOKUP(DESPESAS[[#This Row],[Plano de Contas]],BASE!$B$3:$H$119,5,FALSE),"")</f>
        <v>DH</v>
      </c>
      <c r="L210" s="77">
        <f>IFERROR(VLOOKUP(DESPESAS[[#This Row],[Plano de Contas]],BASE!$B$3:$H$119,6,FALSE),"")</f>
        <v>0</v>
      </c>
      <c r="M210" s="77" t="str">
        <f>VLOOKUP(DESPESAS[[#This Row],[Plano de Contas]],BASE!$B$3:$H$119,7,FALSE)</f>
        <v>MYLENA</v>
      </c>
    </row>
    <row r="211" spans="1:13" x14ac:dyDescent="0.25">
      <c r="A211" s="74">
        <v>196241</v>
      </c>
      <c r="B211" s="75" t="s">
        <v>232</v>
      </c>
      <c r="C211" s="75" t="s">
        <v>3252</v>
      </c>
      <c r="D211" s="76">
        <v>46028</v>
      </c>
      <c r="E211" s="75" t="s">
        <v>230</v>
      </c>
      <c r="F211" s="74">
        <v>11.85</v>
      </c>
      <c r="G211" s="75" t="s">
        <v>229</v>
      </c>
      <c r="H211" s="77" t="str">
        <f>VLOOKUP(DESPESAS[[#This Row],[Plano de Contas]],BASE!$B$3:$D$119,3,FALSE)</f>
        <v>Despesas Bancarias</v>
      </c>
      <c r="I211" s="77" t="str">
        <f>IFERROR(VLOOKUP(DESPESAS[[#This Row],[Fornecedor]],Tabela2[],2,FALSE),"")</f>
        <v/>
      </c>
      <c r="J211" s="77" t="str">
        <f>IFERROR(VLOOKUP(DESPESAS[[#This Row],[Plano de Contas]],BASE!$B$3:$F$119,4,FALSE),"")</f>
        <v>8 - DESPESAS FINANCEIRAS</v>
      </c>
      <c r="K211" s="77" t="str">
        <f>IFERROR(VLOOKUP(DESPESAS[[#This Row],[Plano de Contas]],BASE!$B$3:$H$119,5,FALSE),"")</f>
        <v>FINANCEIRO</v>
      </c>
      <c r="L211" s="77">
        <f>IFERROR(VLOOKUP(DESPESAS[[#This Row],[Plano de Contas]],BASE!$B$3:$H$119,6,FALSE),"")</f>
        <v>0</v>
      </c>
      <c r="M211" s="77" t="str">
        <f>VLOOKUP(DESPESAS[[#This Row],[Plano de Contas]],BASE!$B$3:$H$119,7,FALSE)</f>
        <v>LETÍCIA</v>
      </c>
    </row>
    <row r="212" spans="1:13" x14ac:dyDescent="0.25">
      <c r="A212" s="74">
        <v>196242</v>
      </c>
      <c r="B212" s="75" t="s">
        <v>232</v>
      </c>
      <c r="C212" s="75" t="s">
        <v>3251</v>
      </c>
      <c r="D212" s="76">
        <v>46029</v>
      </c>
      <c r="E212" s="75" t="s">
        <v>230</v>
      </c>
      <c r="F212" s="74">
        <v>1.58</v>
      </c>
      <c r="G212" s="75" t="s">
        <v>229</v>
      </c>
      <c r="H212" s="77" t="str">
        <f>VLOOKUP(DESPESAS[[#This Row],[Plano de Contas]],BASE!$B$3:$D$119,3,FALSE)</f>
        <v>Despesas Bancarias</v>
      </c>
      <c r="I212" s="77" t="str">
        <f>IFERROR(VLOOKUP(DESPESAS[[#This Row],[Fornecedor]],Tabela2[],2,FALSE),"")</f>
        <v/>
      </c>
      <c r="J212" s="77" t="str">
        <f>IFERROR(VLOOKUP(DESPESAS[[#This Row],[Plano de Contas]],BASE!$B$3:$F$119,4,FALSE),"")</f>
        <v>8 - DESPESAS FINANCEIRAS</v>
      </c>
      <c r="K212" s="77" t="str">
        <f>IFERROR(VLOOKUP(DESPESAS[[#This Row],[Plano de Contas]],BASE!$B$3:$H$119,5,FALSE),"")</f>
        <v>FINANCEIRO</v>
      </c>
      <c r="L212" s="77">
        <f>IFERROR(VLOOKUP(DESPESAS[[#This Row],[Plano de Contas]],BASE!$B$3:$H$119,6,FALSE),"")</f>
        <v>0</v>
      </c>
      <c r="M212" s="77" t="str">
        <f>VLOOKUP(DESPESAS[[#This Row],[Plano de Contas]],BASE!$B$3:$H$119,7,FALSE)</f>
        <v>LETÍCIA</v>
      </c>
    </row>
    <row r="213" spans="1:13" x14ac:dyDescent="0.25">
      <c r="A213" s="74">
        <v>196243</v>
      </c>
      <c r="B213" s="75" t="s">
        <v>232</v>
      </c>
      <c r="C213" s="75" t="s">
        <v>3250</v>
      </c>
      <c r="D213" s="76">
        <v>46053</v>
      </c>
      <c r="E213" s="75" t="s">
        <v>290</v>
      </c>
      <c r="F213" s="74">
        <v>4543.34</v>
      </c>
      <c r="G213" s="75" t="s">
        <v>823</v>
      </c>
      <c r="H213" s="77" t="str">
        <f>VLOOKUP(DESPESAS[[#This Row],[Plano de Contas]],BASE!$B$3:$D$119,3,FALSE)</f>
        <v>Energia Eletrica (Prod)</v>
      </c>
      <c r="I213" s="77" t="str">
        <f>IFERROR(VLOOKUP(DESPESAS[[#This Row],[Fornecedor]],Tabela2[],2,FALSE),"")</f>
        <v/>
      </c>
      <c r="J213" s="77" t="str">
        <f>IFERROR(VLOOKUP(DESPESAS[[#This Row],[Plano de Contas]],BASE!$B$3:$F$119,4,FALSE),"")</f>
        <v>2 - CUSTOS DIRETOS</v>
      </c>
      <c r="K213" s="77" t="str">
        <f>IFERROR(VLOOKUP(DESPESAS[[#This Row],[Plano de Contas]],BASE!$B$3:$H$119,5,FALSE),"")</f>
        <v>PRODUÇÃO</v>
      </c>
      <c r="L213" s="77">
        <f>IFERROR(VLOOKUP(DESPESAS[[#This Row],[Plano de Contas]],BASE!$B$3:$H$119,6,FALSE),"")</f>
        <v>0</v>
      </c>
      <c r="M213" s="77" t="str">
        <f>VLOOKUP(DESPESAS[[#This Row],[Plano de Contas]],BASE!$B$3:$H$119,7,FALSE)</f>
        <v>RAFAEL</v>
      </c>
    </row>
    <row r="214" spans="1:13" x14ac:dyDescent="0.25">
      <c r="A214" s="74">
        <v>196260</v>
      </c>
      <c r="B214" s="75" t="s">
        <v>232</v>
      </c>
      <c r="C214" s="75" t="s">
        <v>3249</v>
      </c>
      <c r="D214" s="76">
        <v>46028</v>
      </c>
      <c r="E214" s="75" t="s">
        <v>230</v>
      </c>
      <c r="F214" s="74">
        <v>0.79</v>
      </c>
      <c r="G214" s="75" t="s">
        <v>236</v>
      </c>
      <c r="H214" s="77" t="str">
        <f>VLOOKUP(DESPESAS[[#This Row],[Plano de Contas]],BASE!$B$3:$D$119,3,FALSE)</f>
        <v>Despesas de Cobranca</v>
      </c>
      <c r="I214" s="77" t="str">
        <f>IFERROR(VLOOKUP(DESPESAS[[#This Row],[Fornecedor]],Tabela2[],2,FALSE),"")</f>
        <v/>
      </c>
      <c r="J214" s="77" t="str">
        <f>IFERROR(VLOOKUP(DESPESAS[[#This Row],[Plano de Contas]],BASE!$B$3:$F$119,4,FALSE),"")</f>
        <v>8 - DESPESAS FINANCEIRAS</v>
      </c>
      <c r="K214" s="77" t="str">
        <f>IFERROR(VLOOKUP(DESPESAS[[#This Row],[Plano de Contas]],BASE!$B$3:$H$119,5,FALSE),"")</f>
        <v>FINANCEIRO</v>
      </c>
      <c r="L214" s="77">
        <f>IFERROR(VLOOKUP(DESPESAS[[#This Row],[Plano de Contas]],BASE!$B$3:$H$119,6,FALSE),"")</f>
        <v>0</v>
      </c>
      <c r="M214" s="77" t="str">
        <f>VLOOKUP(DESPESAS[[#This Row],[Plano de Contas]],BASE!$B$3:$H$119,7,FALSE)</f>
        <v>LETÍCIA</v>
      </c>
    </row>
    <row r="215" spans="1:13" x14ac:dyDescent="0.25">
      <c r="A215" s="74">
        <v>196261</v>
      </c>
      <c r="B215" s="75" t="s">
        <v>232</v>
      </c>
      <c r="C215" s="75" t="s">
        <v>3248</v>
      </c>
      <c r="D215" s="76">
        <v>46029</v>
      </c>
      <c r="E215" s="75" t="s">
        <v>391</v>
      </c>
      <c r="F215" s="74">
        <v>78.790000000000006</v>
      </c>
      <c r="G215" s="75" t="s">
        <v>241</v>
      </c>
      <c r="H215" s="77" t="str">
        <f>VLOOKUP(DESPESAS[[#This Row],[Plano de Contas]],BASE!$B$3:$D$119,3,FALSE)</f>
        <v>Combustiveis Frota</v>
      </c>
      <c r="I215" s="77" t="str">
        <f>IFERROR(VLOOKUP(DESPESAS[[#This Row],[Fornecedor]],Tabela2[],2,FALSE),"")</f>
        <v/>
      </c>
      <c r="J215" s="77" t="str">
        <f>IFERROR(VLOOKUP(DESPESAS[[#This Row],[Plano de Contas]],BASE!$B$3:$F$119,4,FALSE),"")</f>
        <v>6 - DESPESA COM VENDAS</v>
      </c>
      <c r="K215" s="77" t="str">
        <f>IFERROR(VLOOKUP(DESPESAS[[#This Row],[Plano de Contas]],BASE!$B$3:$H$119,5,FALSE),"")</f>
        <v>LOGÍSTICA</v>
      </c>
      <c r="L215" s="77">
        <f>IFERROR(VLOOKUP(DESPESAS[[#This Row],[Plano de Contas]],BASE!$B$3:$H$119,6,FALSE),"")</f>
        <v>0</v>
      </c>
      <c r="M215" s="77" t="str">
        <f>VLOOKUP(DESPESAS[[#This Row],[Plano de Contas]],BASE!$B$3:$H$119,7,FALSE)</f>
        <v>MYLENA</v>
      </c>
    </row>
    <row r="216" spans="1:13" x14ac:dyDescent="0.25">
      <c r="A216" s="74">
        <v>196262</v>
      </c>
      <c r="B216" s="75" t="s">
        <v>232</v>
      </c>
      <c r="C216" s="75" t="s">
        <v>3247</v>
      </c>
      <c r="D216" s="76">
        <v>46029</v>
      </c>
      <c r="E216" s="75" t="s">
        <v>391</v>
      </c>
      <c r="F216" s="74">
        <v>583</v>
      </c>
      <c r="G216" s="75" t="s">
        <v>241</v>
      </c>
      <c r="H216" s="77" t="str">
        <f>VLOOKUP(DESPESAS[[#This Row],[Plano de Contas]],BASE!$B$3:$D$119,3,FALSE)</f>
        <v>Combustiveis Frota</v>
      </c>
      <c r="I216" s="77" t="str">
        <f>IFERROR(VLOOKUP(DESPESAS[[#This Row],[Fornecedor]],Tabela2[],2,FALSE),"")</f>
        <v/>
      </c>
      <c r="J216" s="77" t="str">
        <f>IFERROR(VLOOKUP(DESPESAS[[#This Row],[Plano de Contas]],BASE!$B$3:$F$119,4,FALSE),"")</f>
        <v>6 - DESPESA COM VENDAS</v>
      </c>
      <c r="K216" s="77" t="str">
        <f>IFERROR(VLOOKUP(DESPESAS[[#This Row],[Plano de Contas]],BASE!$B$3:$H$119,5,FALSE),"")</f>
        <v>LOGÍSTICA</v>
      </c>
      <c r="L216" s="77">
        <f>IFERROR(VLOOKUP(DESPESAS[[#This Row],[Plano de Contas]],BASE!$B$3:$H$119,6,FALSE),"")</f>
        <v>0</v>
      </c>
      <c r="M216" s="77" t="str">
        <f>VLOOKUP(DESPESAS[[#This Row],[Plano de Contas]],BASE!$B$3:$H$119,7,FALSE)</f>
        <v>MYLENA</v>
      </c>
    </row>
    <row r="217" spans="1:13" x14ac:dyDescent="0.25">
      <c r="A217" s="74">
        <v>196263</v>
      </c>
      <c r="B217" s="75" t="s">
        <v>232</v>
      </c>
      <c r="C217" s="75" t="s">
        <v>3246</v>
      </c>
      <c r="D217" s="76">
        <v>46029</v>
      </c>
      <c r="E217" s="75" t="s">
        <v>391</v>
      </c>
      <c r="F217" s="74">
        <v>743.32</v>
      </c>
      <c r="G217" s="75" t="s">
        <v>241</v>
      </c>
      <c r="H217" s="77" t="str">
        <f>VLOOKUP(DESPESAS[[#This Row],[Plano de Contas]],BASE!$B$3:$D$119,3,FALSE)</f>
        <v>Combustiveis Frota</v>
      </c>
      <c r="I217" s="77" t="str">
        <f>IFERROR(VLOOKUP(DESPESAS[[#This Row],[Fornecedor]],Tabela2[],2,FALSE),"")</f>
        <v/>
      </c>
      <c r="J217" s="77" t="str">
        <f>IFERROR(VLOOKUP(DESPESAS[[#This Row],[Plano de Contas]],BASE!$B$3:$F$119,4,FALSE),"")</f>
        <v>6 - DESPESA COM VENDAS</v>
      </c>
      <c r="K217" s="77" t="str">
        <f>IFERROR(VLOOKUP(DESPESAS[[#This Row],[Plano de Contas]],BASE!$B$3:$H$119,5,FALSE),"")</f>
        <v>LOGÍSTICA</v>
      </c>
      <c r="L217" s="77">
        <f>IFERROR(VLOOKUP(DESPESAS[[#This Row],[Plano de Contas]],BASE!$B$3:$H$119,6,FALSE),"")</f>
        <v>0</v>
      </c>
      <c r="M217" s="77" t="str">
        <f>VLOOKUP(DESPESAS[[#This Row],[Plano de Contas]],BASE!$B$3:$H$119,7,FALSE)</f>
        <v>MYLENA</v>
      </c>
    </row>
    <row r="218" spans="1:13" x14ac:dyDescent="0.25">
      <c r="A218" s="74">
        <v>196319</v>
      </c>
      <c r="B218" s="75" t="s">
        <v>221</v>
      </c>
      <c r="C218" s="75" t="s">
        <v>3245</v>
      </c>
      <c r="D218" s="76">
        <v>46029</v>
      </c>
      <c r="E218" s="75" t="s">
        <v>537</v>
      </c>
      <c r="F218" s="74">
        <v>99</v>
      </c>
      <c r="G218" s="75" t="s">
        <v>244</v>
      </c>
      <c r="H218" s="77" t="str">
        <f>VLOOKUP(DESPESAS[[#This Row],[Plano de Contas]],BASE!$B$3:$D$119,3,FALSE)</f>
        <v>Material de Expediente (Prod)</v>
      </c>
      <c r="I218" s="77" t="str">
        <f>IFERROR(VLOOKUP(DESPESAS[[#This Row],[Fornecedor]],Tabela2[],2,FALSE),"")</f>
        <v/>
      </c>
      <c r="J218" s="77" t="str">
        <f>IFERROR(VLOOKUP(DESPESAS[[#This Row],[Plano de Contas]],BASE!$B$3:$F$119,4,FALSE),"")</f>
        <v>2 - CUSTOS DIRETOS</v>
      </c>
      <c r="K218" s="77" t="str">
        <f>IFERROR(VLOOKUP(DESPESAS[[#This Row],[Plano de Contas]],BASE!$B$3:$H$119,5,FALSE),"")</f>
        <v>PRODUÇÃO</v>
      </c>
      <c r="L218" s="77">
        <f>IFERROR(VLOOKUP(DESPESAS[[#This Row],[Plano de Contas]],BASE!$B$3:$H$119,6,FALSE),"")</f>
        <v>0</v>
      </c>
      <c r="M218" s="77" t="str">
        <f>VLOOKUP(DESPESAS[[#This Row],[Plano de Contas]],BASE!$B$3:$H$119,7,FALSE)</f>
        <v>RAFAEL</v>
      </c>
    </row>
    <row r="219" spans="1:13" x14ac:dyDescent="0.25">
      <c r="A219" s="74">
        <v>196320</v>
      </c>
      <c r="B219" s="75" t="s">
        <v>232</v>
      </c>
      <c r="C219" s="75" t="s">
        <v>3244</v>
      </c>
      <c r="D219" s="76">
        <v>46029</v>
      </c>
      <c r="E219" s="75" t="s">
        <v>391</v>
      </c>
      <c r="F219" s="74">
        <v>105.36</v>
      </c>
      <c r="G219" s="75" t="s">
        <v>241</v>
      </c>
      <c r="H219" s="77" t="str">
        <f>VLOOKUP(DESPESAS[[#This Row],[Plano de Contas]],BASE!$B$3:$D$119,3,FALSE)</f>
        <v>Combustiveis Frota</v>
      </c>
      <c r="I219" s="77" t="str">
        <f>IFERROR(VLOOKUP(DESPESAS[[#This Row],[Fornecedor]],Tabela2[],2,FALSE),"")</f>
        <v/>
      </c>
      <c r="J219" s="77" t="str">
        <f>IFERROR(VLOOKUP(DESPESAS[[#This Row],[Plano de Contas]],BASE!$B$3:$F$119,4,FALSE),"")</f>
        <v>6 - DESPESA COM VENDAS</v>
      </c>
      <c r="K219" s="77" t="str">
        <f>IFERROR(VLOOKUP(DESPESAS[[#This Row],[Plano de Contas]],BASE!$B$3:$H$119,5,FALSE),"")</f>
        <v>LOGÍSTICA</v>
      </c>
      <c r="L219" s="77">
        <f>IFERROR(VLOOKUP(DESPESAS[[#This Row],[Plano de Contas]],BASE!$B$3:$H$119,6,FALSE),"")</f>
        <v>0</v>
      </c>
      <c r="M219" s="77" t="str">
        <f>VLOOKUP(DESPESAS[[#This Row],[Plano de Contas]],BASE!$B$3:$H$119,7,FALSE)</f>
        <v>MYLENA</v>
      </c>
    </row>
    <row r="220" spans="1:13" x14ac:dyDescent="0.25">
      <c r="A220" s="74">
        <v>196321</v>
      </c>
      <c r="B220" s="75" t="s">
        <v>232</v>
      </c>
      <c r="C220" s="75" t="s">
        <v>3243</v>
      </c>
      <c r="D220" s="76">
        <v>46029</v>
      </c>
      <c r="E220" s="75" t="s">
        <v>230</v>
      </c>
      <c r="F220" s="74">
        <v>1.2</v>
      </c>
      <c r="G220" s="75" t="s">
        <v>236</v>
      </c>
      <c r="H220" s="77" t="str">
        <f>VLOOKUP(DESPESAS[[#This Row],[Plano de Contas]],BASE!$B$3:$D$119,3,FALSE)</f>
        <v>Despesas de Cobranca</v>
      </c>
      <c r="I220" s="77" t="str">
        <f>IFERROR(VLOOKUP(DESPESAS[[#This Row],[Fornecedor]],Tabela2[],2,FALSE),"")</f>
        <v/>
      </c>
      <c r="J220" s="77" t="str">
        <f>IFERROR(VLOOKUP(DESPESAS[[#This Row],[Plano de Contas]],BASE!$B$3:$F$119,4,FALSE),"")</f>
        <v>8 - DESPESAS FINANCEIRAS</v>
      </c>
      <c r="K220" s="77" t="str">
        <f>IFERROR(VLOOKUP(DESPESAS[[#This Row],[Plano de Contas]],BASE!$B$3:$H$119,5,FALSE),"")</f>
        <v>FINANCEIRO</v>
      </c>
      <c r="L220" s="77">
        <f>IFERROR(VLOOKUP(DESPESAS[[#This Row],[Plano de Contas]],BASE!$B$3:$H$119,6,FALSE),"")</f>
        <v>0</v>
      </c>
      <c r="M220" s="77" t="str">
        <f>VLOOKUP(DESPESAS[[#This Row],[Plano de Contas]],BASE!$B$3:$H$119,7,FALSE)</f>
        <v>LETÍCIA</v>
      </c>
    </row>
    <row r="221" spans="1:13" x14ac:dyDescent="0.25">
      <c r="A221" s="74">
        <v>196322</v>
      </c>
      <c r="B221" s="75" t="s">
        <v>221</v>
      </c>
      <c r="C221" s="75" t="s">
        <v>3242</v>
      </c>
      <c r="D221" s="76">
        <v>46029</v>
      </c>
      <c r="E221" s="75" t="s">
        <v>1190</v>
      </c>
      <c r="F221" s="74">
        <v>112.5</v>
      </c>
      <c r="G221" s="75" t="s">
        <v>244</v>
      </c>
      <c r="H221" s="77" t="str">
        <f>VLOOKUP(DESPESAS[[#This Row],[Plano de Contas]],BASE!$B$3:$D$119,3,FALSE)</f>
        <v>Material de Expediente (Prod)</v>
      </c>
      <c r="I221" s="77" t="str">
        <f>IFERROR(VLOOKUP(DESPESAS[[#This Row],[Fornecedor]],Tabela2[],2,FALSE),"")</f>
        <v/>
      </c>
      <c r="J221" s="77" t="str">
        <f>IFERROR(VLOOKUP(DESPESAS[[#This Row],[Plano de Contas]],BASE!$B$3:$F$119,4,FALSE),"")</f>
        <v>2 - CUSTOS DIRETOS</v>
      </c>
      <c r="K221" s="77" t="str">
        <f>IFERROR(VLOOKUP(DESPESAS[[#This Row],[Plano de Contas]],BASE!$B$3:$H$119,5,FALSE),"")</f>
        <v>PRODUÇÃO</v>
      </c>
      <c r="L221" s="77">
        <f>IFERROR(VLOOKUP(DESPESAS[[#This Row],[Plano de Contas]],BASE!$B$3:$H$119,6,FALSE),"")</f>
        <v>0</v>
      </c>
      <c r="M221" s="77" t="str">
        <f>VLOOKUP(DESPESAS[[#This Row],[Plano de Contas]],BASE!$B$3:$H$119,7,FALSE)</f>
        <v>RAFAEL</v>
      </c>
    </row>
    <row r="222" spans="1:13" x14ac:dyDescent="0.25">
      <c r="A222" s="74">
        <v>196354</v>
      </c>
      <c r="B222" s="75" t="s">
        <v>232</v>
      </c>
      <c r="C222" s="75" t="s">
        <v>3241</v>
      </c>
      <c r="D222" s="76">
        <v>46028</v>
      </c>
      <c r="E222" s="75" t="s">
        <v>230</v>
      </c>
      <c r="F222" s="74">
        <v>0.79</v>
      </c>
      <c r="G222" s="75" t="s">
        <v>229</v>
      </c>
      <c r="H222" s="77" t="str">
        <f>VLOOKUP(DESPESAS[[#This Row],[Plano de Contas]],BASE!$B$3:$D$119,3,FALSE)</f>
        <v>Despesas Bancarias</v>
      </c>
      <c r="I222" s="77" t="str">
        <f>IFERROR(VLOOKUP(DESPESAS[[#This Row],[Fornecedor]],Tabela2[],2,FALSE),"")</f>
        <v/>
      </c>
      <c r="J222" s="77" t="str">
        <f>IFERROR(VLOOKUP(DESPESAS[[#This Row],[Plano de Contas]],BASE!$B$3:$F$119,4,FALSE),"")</f>
        <v>8 - DESPESAS FINANCEIRAS</v>
      </c>
      <c r="K222" s="77" t="str">
        <f>IFERROR(VLOOKUP(DESPESAS[[#This Row],[Plano de Contas]],BASE!$B$3:$H$119,5,FALSE),"")</f>
        <v>FINANCEIRO</v>
      </c>
      <c r="L222" s="77">
        <f>IFERROR(VLOOKUP(DESPESAS[[#This Row],[Plano de Contas]],BASE!$B$3:$H$119,6,FALSE),"")</f>
        <v>0</v>
      </c>
      <c r="M222" s="77" t="str">
        <f>VLOOKUP(DESPESAS[[#This Row],[Plano de Contas]],BASE!$B$3:$H$119,7,FALSE)</f>
        <v>LETÍCIA</v>
      </c>
    </row>
    <row r="223" spans="1:13" x14ac:dyDescent="0.25">
      <c r="A223" s="74">
        <v>196355</v>
      </c>
      <c r="B223" s="75" t="s">
        <v>232</v>
      </c>
      <c r="C223" s="75" t="s">
        <v>3240</v>
      </c>
      <c r="D223" s="76">
        <v>46027</v>
      </c>
      <c r="E223" s="75" t="s">
        <v>230</v>
      </c>
      <c r="F223" s="74">
        <v>4.74</v>
      </c>
      <c r="G223" s="75" t="s">
        <v>236</v>
      </c>
      <c r="H223" s="77" t="str">
        <f>VLOOKUP(DESPESAS[[#This Row],[Plano de Contas]],BASE!$B$3:$D$119,3,FALSE)</f>
        <v>Despesas de Cobranca</v>
      </c>
      <c r="I223" s="77" t="str">
        <f>IFERROR(VLOOKUP(DESPESAS[[#This Row],[Fornecedor]],Tabela2[],2,FALSE),"")</f>
        <v/>
      </c>
      <c r="J223" s="77" t="str">
        <f>IFERROR(VLOOKUP(DESPESAS[[#This Row],[Plano de Contas]],BASE!$B$3:$F$119,4,FALSE),"")</f>
        <v>8 - DESPESAS FINANCEIRAS</v>
      </c>
      <c r="K223" s="77" t="str">
        <f>IFERROR(VLOOKUP(DESPESAS[[#This Row],[Plano de Contas]],BASE!$B$3:$H$119,5,FALSE),"")</f>
        <v>FINANCEIRO</v>
      </c>
      <c r="L223" s="77">
        <f>IFERROR(VLOOKUP(DESPESAS[[#This Row],[Plano de Contas]],BASE!$B$3:$H$119,6,FALSE),"")</f>
        <v>0</v>
      </c>
      <c r="M223" s="77" t="str">
        <f>VLOOKUP(DESPESAS[[#This Row],[Plano de Contas]],BASE!$B$3:$H$119,7,FALSE)</f>
        <v>LETÍCIA</v>
      </c>
    </row>
    <row r="224" spans="1:13" x14ac:dyDescent="0.25">
      <c r="A224" s="74">
        <v>196356</v>
      </c>
      <c r="B224" s="75" t="s">
        <v>232</v>
      </c>
      <c r="C224" s="75" t="s">
        <v>3239</v>
      </c>
      <c r="D224" s="76">
        <v>46029</v>
      </c>
      <c r="E224" s="75" t="s">
        <v>2266</v>
      </c>
      <c r="F224" s="74">
        <v>67.03</v>
      </c>
      <c r="G224" s="75" t="s">
        <v>241</v>
      </c>
      <c r="H224" s="77" t="str">
        <f>VLOOKUP(DESPESAS[[#This Row],[Plano de Contas]],BASE!$B$3:$D$119,3,FALSE)</f>
        <v>Combustiveis Frota</v>
      </c>
      <c r="I224" s="77" t="str">
        <f>IFERROR(VLOOKUP(DESPESAS[[#This Row],[Fornecedor]],Tabela2[],2,FALSE),"")</f>
        <v/>
      </c>
      <c r="J224" s="77" t="str">
        <f>IFERROR(VLOOKUP(DESPESAS[[#This Row],[Plano de Contas]],BASE!$B$3:$F$119,4,FALSE),"")</f>
        <v>6 - DESPESA COM VENDAS</v>
      </c>
      <c r="K224" s="77" t="str">
        <f>IFERROR(VLOOKUP(DESPESAS[[#This Row],[Plano de Contas]],BASE!$B$3:$H$119,5,FALSE),"")</f>
        <v>LOGÍSTICA</v>
      </c>
      <c r="L224" s="77">
        <f>IFERROR(VLOOKUP(DESPESAS[[#This Row],[Plano de Contas]],BASE!$B$3:$H$119,6,FALSE),"")</f>
        <v>0</v>
      </c>
      <c r="M224" s="77" t="str">
        <f>VLOOKUP(DESPESAS[[#This Row],[Plano de Contas]],BASE!$B$3:$H$119,7,FALSE)</f>
        <v>MYLENA</v>
      </c>
    </row>
    <row r="225" spans="1:13" x14ac:dyDescent="0.25">
      <c r="A225" s="74">
        <v>196357</v>
      </c>
      <c r="B225" s="75" t="s">
        <v>232</v>
      </c>
      <c r="C225" s="75" t="s">
        <v>3238</v>
      </c>
      <c r="D225" s="76">
        <v>46028</v>
      </c>
      <c r="E225" s="75" t="s">
        <v>230</v>
      </c>
      <c r="F225" s="74">
        <v>1.9</v>
      </c>
      <c r="G225" s="75" t="s">
        <v>229</v>
      </c>
      <c r="H225" s="77" t="str">
        <f>VLOOKUP(DESPESAS[[#This Row],[Plano de Contas]],BASE!$B$3:$D$119,3,FALSE)</f>
        <v>Despesas Bancarias</v>
      </c>
      <c r="I225" s="77" t="str">
        <f>IFERROR(VLOOKUP(DESPESAS[[#This Row],[Fornecedor]],Tabela2[],2,FALSE),"")</f>
        <v/>
      </c>
      <c r="J225" s="77" t="str">
        <f>IFERROR(VLOOKUP(DESPESAS[[#This Row],[Plano de Contas]],BASE!$B$3:$F$119,4,FALSE),"")</f>
        <v>8 - DESPESAS FINANCEIRAS</v>
      </c>
      <c r="K225" s="77" t="str">
        <f>IFERROR(VLOOKUP(DESPESAS[[#This Row],[Plano de Contas]],BASE!$B$3:$H$119,5,FALSE),"")</f>
        <v>FINANCEIRO</v>
      </c>
      <c r="L225" s="77">
        <f>IFERROR(VLOOKUP(DESPESAS[[#This Row],[Plano de Contas]],BASE!$B$3:$H$119,6,FALSE),"")</f>
        <v>0</v>
      </c>
      <c r="M225" s="77" t="str">
        <f>VLOOKUP(DESPESAS[[#This Row],[Plano de Contas]],BASE!$B$3:$H$119,7,FALSE)</f>
        <v>LETÍCIA</v>
      </c>
    </row>
    <row r="226" spans="1:13" x14ac:dyDescent="0.25">
      <c r="A226" s="74">
        <v>196358</v>
      </c>
      <c r="B226" s="75" t="s">
        <v>232</v>
      </c>
      <c r="C226" s="75" t="s">
        <v>3237</v>
      </c>
      <c r="D226" s="76">
        <v>46027</v>
      </c>
      <c r="E226" s="75" t="s">
        <v>1394</v>
      </c>
      <c r="F226" s="74">
        <v>7.6</v>
      </c>
      <c r="G226" s="75" t="s">
        <v>229</v>
      </c>
      <c r="H226" s="77" t="str">
        <f>VLOOKUP(DESPESAS[[#This Row],[Plano de Contas]],BASE!$B$3:$D$119,3,FALSE)</f>
        <v>Despesas Bancarias</v>
      </c>
      <c r="I226" s="77" t="str">
        <f>IFERROR(VLOOKUP(DESPESAS[[#This Row],[Fornecedor]],Tabela2[],2,FALSE),"")</f>
        <v/>
      </c>
      <c r="J226" s="77" t="str">
        <f>IFERROR(VLOOKUP(DESPESAS[[#This Row],[Plano de Contas]],BASE!$B$3:$F$119,4,FALSE),"")</f>
        <v>8 - DESPESAS FINANCEIRAS</v>
      </c>
      <c r="K226" s="77" t="str">
        <f>IFERROR(VLOOKUP(DESPESAS[[#This Row],[Plano de Contas]],BASE!$B$3:$H$119,5,FALSE),"")</f>
        <v>FINANCEIRO</v>
      </c>
      <c r="L226" s="77">
        <f>IFERROR(VLOOKUP(DESPESAS[[#This Row],[Plano de Contas]],BASE!$B$3:$H$119,6,FALSE),"")</f>
        <v>0</v>
      </c>
      <c r="M226" s="77" t="str">
        <f>VLOOKUP(DESPESAS[[#This Row],[Plano de Contas]],BASE!$B$3:$H$119,7,FALSE)</f>
        <v>LETÍCIA</v>
      </c>
    </row>
    <row r="227" spans="1:13" x14ac:dyDescent="0.25">
      <c r="A227" s="74">
        <v>196359</v>
      </c>
      <c r="B227" s="75" t="s">
        <v>232</v>
      </c>
      <c r="C227" s="75" t="s">
        <v>3236</v>
      </c>
      <c r="D227" s="76">
        <v>46029</v>
      </c>
      <c r="E227" s="75" t="s">
        <v>2266</v>
      </c>
      <c r="F227" s="74">
        <v>314.5</v>
      </c>
      <c r="G227" s="75" t="s">
        <v>241</v>
      </c>
      <c r="H227" s="77" t="str">
        <f>VLOOKUP(DESPESAS[[#This Row],[Plano de Contas]],BASE!$B$3:$D$119,3,FALSE)</f>
        <v>Combustiveis Frota</v>
      </c>
      <c r="I227" s="77" t="str">
        <f>IFERROR(VLOOKUP(DESPESAS[[#This Row],[Fornecedor]],Tabela2[],2,FALSE),"")</f>
        <v/>
      </c>
      <c r="J227" s="77" t="str">
        <f>IFERROR(VLOOKUP(DESPESAS[[#This Row],[Plano de Contas]],BASE!$B$3:$F$119,4,FALSE),"")</f>
        <v>6 - DESPESA COM VENDAS</v>
      </c>
      <c r="K227" s="77" t="str">
        <f>IFERROR(VLOOKUP(DESPESAS[[#This Row],[Plano de Contas]],BASE!$B$3:$H$119,5,FALSE),"")</f>
        <v>LOGÍSTICA</v>
      </c>
      <c r="L227" s="77">
        <f>IFERROR(VLOOKUP(DESPESAS[[#This Row],[Plano de Contas]],BASE!$B$3:$H$119,6,FALSE),"")</f>
        <v>0</v>
      </c>
      <c r="M227" s="77" t="str">
        <f>VLOOKUP(DESPESAS[[#This Row],[Plano de Contas]],BASE!$B$3:$H$119,7,FALSE)</f>
        <v>MYLENA</v>
      </c>
    </row>
    <row r="228" spans="1:13" x14ac:dyDescent="0.25">
      <c r="A228" s="74">
        <v>196361</v>
      </c>
      <c r="B228" s="75" t="s">
        <v>232</v>
      </c>
      <c r="C228" s="75" t="s">
        <v>3235</v>
      </c>
      <c r="D228" s="76">
        <v>46029</v>
      </c>
      <c r="E228" s="75" t="s">
        <v>3234</v>
      </c>
      <c r="F228" s="74">
        <v>1650</v>
      </c>
      <c r="G228" s="75" t="s">
        <v>1037</v>
      </c>
      <c r="H228" s="77" t="str">
        <f>VLOOKUP(DESPESAS[[#This Row],[Plano de Contas]],BASE!$B$3:$D$119,3,FALSE)</f>
        <v>Construções e Reformas</v>
      </c>
      <c r="I228" s="77" t="str">
        <f>IFERROR(VLOOKUP(DESPESAS[[#This Row],[Fornecedor]],Tabela2[],2,FALSE),"")</f>
        <v/>
      </c>
      <c r="J228" s="77" t="str">
        <f>IFERROR(VLOOKUP(DESPESAS[[#This Row],[Plano de Contas]],BASE!$B$3:$F$119,4,FALSE),"")</f>
        <v>9 - INVESTIMENTOS</v>
      </c>
      <c r="K228" s="77" t="str">
        <f>IFERROR(VLOOKUP(DESPESAS[[#This Row],[Plano de Contas]],BASE!$B$3:$H$119,5,FALSE),"")</f>
        <v>MANUTENÇÃO / TI</v>
      </c>
      <c r="L228" s="77">
        <f>IFERROR(VLOOKUP(DESPESAS[[#This Row],[Plano de Contas]],BASE!$B$3:$H$119,6,FALSE),"")</f>
        <v>0</v>
      </c>
      <c r="M228" s="77" t="str">
        <f>VLOOKUP(DESPESAS[[#This Row],[Plano de Contas]],BASE!$B$3:$H$119,7,FALSE)</f>
        <v>FÁBIO</v>
      </c>
    </row>
    <row r="229" spans="1:13" x14ac:dyDescent="0.25">
      <c r="A229" s="74">
        <v>196362</v>
      </c>
      <c r="B229" s="75" t="s">
        <v>232</v>
      </c>
      <c r="C229" s="75" t="s">
        <v>3233</v>
      </c>
      <c r="D229" s="76">
        <v>46029</v>
      </c>
      <c r="E229" s="75" t="s">
        <v>2093</v>
      </c>
      <c r="F229" s="74">
        <v>380</v>
      </c>
      <c r="G229" s="75" t="s">
        <v>244</v>
      </c>
      <c r="H229" s="77" t="str">
        <f>VLOOKUP(DESPESAS[[#This Row],[Plano de Contas]],BASE!$B$3:$D$119,3,FALSE)</f>
        <v>Material de Expediente (Prod)</v>
      </c>
      <c r="I229" s="77" t="str">
        <f>IFERROR(VLOOKUP(DESPESAS[[#This Row],[Fornecedor]],Tabela2[],2,FALSE),"")</f>
        <v/>
      </c>
      <c r="J229" s="77" t="str">
        <f>IFERROR(VLOOKUP(DESPESAS[[#This Row],[Plano de Contas]],BASE!$B$3:$F$119,4,FALSE),"")</f>
        <v>2 - CUSTOS DIRETOS</v>
      </c>
      <c r="K229" s="77" t="str">
        <f>IFERROR(VLOOKUP(DESPESAS[[#This Row],[Plano de Contas]],BASE!$B$3:$H$119,5,FALSE),"")</f>
        <v>PRODUÇÃO</v>
      </c>
      <c r="L229" s="77">
        <f>IFERROR(VLOOKUP(DESPESAS[[#This Row],[Plano de Contas]],BASE!$B$3:$H$119,6,FALSE),"")</f>
        <v>0</v>
      </c>
      <c r="M229" s="77" t="str">
        <f>VLOOKUP(DESPESAS[[#This Row],[Plano de Contas]],BASE!$B$3:$H$119,7,FALSE)</f>
        <v>RAFAEL</v>
      </c>
    </row>
    <row r="230" spans="1:13" x14ac:dyDescent="0.25">
      <c r="A230" s="74">
        <v>196364</v>
      </c>
      <c r="B230" s="75" t="s">
        <v>221</v>
      </c>
      <c r="C230" s="75" t="s">
        <v>3232</v>
      </c>
      <c r="D230" s="76">
        <v>46029</v>
      </c>
      <c r="E230" s="75" t="s">
        <v>301</v>
      </c>
      <c r="F230" s="74">
        <v>160</v>
      </c>
      <c r="G230" s="75" t="s">
        <v>247</v>
      </c>
      <c r="H230" s="77" t="str">
        <f>VLOOKUP(DESPESAS[[#This Row],[Plano de Contas]],BASE!$B$3:$D$119,3,FALSE)</f>
        <v>Manutenção com veiculos</v>
      </c>
      <c r="I230" s="77" t="str">
        <f>IFERROR(VLOOKUP(DESPESAS[[#This Row],[Fornecedor]],Tabela2[],2,FALSE),"")</f>
        <v/>
      </c>
      <c r="J230" s="77" t="str">
        <f>IFERROR(VLOOKUP(DESPESAS[[#This Row],[Plano de Contas]],BASE!$B$3:$F$119,4,FALSE),"")</f>
        <v>6 - DESPESA COM VENDAS</v>
      </c>
      <c r="K230" s="77" t="str">
        <f>IFERROR(VLOOKUP(DESPESAS[[#This Row],[Plano de Contas]],BASE!$B$3:$H$119,5,FALSE),"")</f>
        <v>LOGÍSTICA</v>
      </c>
      <c r="L230" s="77">
        <f>IFERROR(VLOOKUP(DESPESAS[[#This Row],[Plano de Contas]],BASE!$B$3:$H$119,6,FALSE),"")</f>
        <v>0</v>
      </c>
      <c r="M230" s="77" t="str">
        <f>VLOOKUP(DESPESAS[[#This Row],[Plano de Contas]],BASE!$B$3:$H$119,7,FALSE)</f>
        <v>MYLENA</v>
      </c>
    </row>
    <row r="231" spans="1:13" x14ac:dyDescent="0.25">
      <c r="A231" s="74">
        <v>196365</v>
      </c>
      <c r="B231" s="75" t="s">
        <v>221</v>
      </c>
      <c r="C231" s="75" t="s">
        <v>3231</v>
      </c>
      <c r="D231" s="76">
        <v>46029</v>
      </c>
      <c r="E231" s="75" t="s">
        <v>287</v>
      </c>
      <c r="F231" s="74">
        <v>1900</v>
      </c>
      <c r="G231" s="75" t="s">
        <v>247</v>
      </c>
      <c r="H231" s="77" t="str">
        <f>VLOOKUP(DESPESAS[[#This Row],[Plano de Contas]],BASE!$B$3:$D$119,3,FALSE)</f>
        <v>Manutenção com veiculos</v>
      </c>
      <c r="I231" s="77" t="str">
        <f>IFERROR(VLOOKUP(DESPESAS[[#This Row],[Fornecedor]],Tabela2[],2,FALSE),"")</f>
        <v/>
      </c>
      <c r="J231" s="77" t="str">
        <f>IFERROR(VLOOKUP(DESPESAS[[#This Row],[Plano de Contas]],BASE!$B$3:$F$119,4,FALSE),"")</f>
        <v>6 - DESPESA COM VENDAS</v>
      </c>
      <c r="K231" s="77" t="str">
        <f>IFERROR(VLOOKUP(DESPESAS[[#This Row],[Plano de Contas]],BASE!$B$3:$H$119,5,FALSE),"")</f>
        <v>LOGÍSTICA</v>
      </c>
      <c r="L231" s="77">
        <f>IFERROR(VLOOKUP(DESPESAS[[#This Row],[Plano de Contas]],BASE!$B$3:$H$119,6,FALSE),"")</f>
        <v>0</v>
      </c>
      <c r="M231" s="77" t="str">
        <f>VLOOKUP(DESPESAS[[#This Row],[Plano de Contas]],BASE!$B$3:$H$119,7,FALSE)</f>
        <v>MYLENA</v>
      </c>
    </row>
    <row r="232" spans="1:13" x14ac:dyDescent="0.25">
      <c r="A232" s="74">
        <v>196366</v>
      </c>
      <c r="B232" s="75" t="s">
        <v>232</v>
      </c>
      <c r="C232" s="75" t="s">
        <v>3230</v>
      </c>
      <c r="D232" s="76">
        <v>46036</v>
      </c>
      <c r="E232" s="75" t="s">
        <v>1585</v>
      </c>
      <c r="F232" s="74">
        <v>1033.96</v>
      </c>
      <c r="G232" s="75" t="s">
        <v>244</v>
      </c>
      <c r="H232" s="77" t="str">
        <f>VLOOKUP(DESPESAS[[#This Row],[Plano de Contas]],BASE!$B$3:$D$119,3,FALSE)</f>
        <v>Material de Expediente (Prod)</v>
      </c>
      <c r="I232" s="77" t="str">
        <f>IFERROR(VLOOKUP(DESPESAS[[#This Row],[Fornecedor]],Tabela2[],2,FALSE),"")</f>
        <v/>
      </c>
      <c r="J232" s="77" t="str">
        <f>IFERROR(VLOOKUP(DESPESAS[[#This Row],[Plano de Contas]],BASE!$B$3:$F$119,4,FALSE),"")</f>
        <v>2 - CUSTOS DIRETOS</v>
      </c>
      <c r="K232" s="77" t="str">
        <f>IFERROR(VLOOKUP(DESPESAS[[#This Row],[Plano de Contas]],BASE!$B$3:$H$119,5,FALSE),"")</f>
        <v>PRODUÇÃO</v>
      </c>
      <c r="L232" s="77">
        <f>IFERROR(VLOOKUP(DESPESAS[[#This Row],[Plano de Contas]],BASE!$B$3:$H$119,6,FALSE),"")</f>
        <v>0</v>
      </c>
      <c r="M232" s="77" t="str">
        <f>VLOOKUP(DESPESAS[[#This Row],[Plano de Contas]],BASE!$B$3:$H$119,7,FALSE)</f>
        <v>RAFAEL</v>
      </c>
    </row>
    <row r="233" spans="1:13" x14ac:dyDescent="0.25">
      <c r="A233" s="74">
        <v>196367</v>
      </c>
      <c r="B233" s="75" t="s">
        <v>232</v>
      </c>
      <c r="C233" s="75" t="s">
        <v>3229</v>
      </c>
      <c r="D233" s="76">
        <v>46036</v>
      </c>
      <c r="E233" s="75" t="s">
        <v>260</v>
      </c>
      <c r="F233" s="74">
        <v>380</v>
      </c>
      <c r="G233" s="75" t="s">
        <v>244</v>
      </c>
      <c r="H233" s="77" t="str">
        <f>VLOOKUP(DESPESAS[[#This Row],[Plano de Contas]],BASE!$B$3:$D$119,3,FALSE)</f>
        <v>Material de Expediente (Prod)</v>
      </c>
      <c r="I233" s="77" t="str">
        <f>IFERROR(VLOOKUP(DESPESAS[[#This Row],[Fornecedor]],Tabela2[],2,FALSE),"")</f>
        <v>PEÇAS DE FERRAMENTAS</v>
      </c>
      <c r="J233" s="77" t="str">
        <f>IFERROR(VLOOKUP(DESPESAS[[#This Row],[Plano de Contas]],BASE!$B$3:$F$119,4,FALSE),"")</f>
        <v>2 - CUSTOS DIRETOS</v>
      </c>
      <c r="K233" s="77" t="str">
        <f>IFERROR(VLOOKUP(DESPESAS[[#This Row],[Plano de Contas]],BASE!$B$3:$H$119,5,FALSE),"")</f>
        <v>PRODUÇÃO</v>
      </c>
      <c r="L233" s="77">
        <f>IFERROR(VLOOKUP(DESPESAS[[#This Row],[Plano de Contas]],BASE!$B$3:$H$119,6,FALSE),"")</f>
        <v>0</v>
      </c>
      <c r="M233" s="77" t="str">
        <f>VLOOKUP(DESPESAS[[#This Row],[Plano de Contas]],BASE!$B$3:$H$119,7,FALSE)</f>
        <v>RAFAEL</v>
      </c>
    </row>
    <row r="234" spans="1:13" x14ac:dyDescent="0.25">
      <c r="A234" s="74">
        <v>196369</v>
      </c>
      <c r="B234" s="75" t="s">
        <v>232</v>
      </c>
      <c r="C234" s="75" t="s">
        <v>1886</v>
      </c>
      <c r="D234" s="76">
        <v>46032</v>
      </c>
      <c r="E234" s="75" t="s">
        <v>1376</v>
      </c>
      <c r="F234" s="74">
        <v>790</v>
      </c>
      <c r="G234" s="75" t="s">
        <v>1318</v>
      </c>
      <c r="H234" s="77" t="str">
        <f>VLOOKUP(DESPESAS[[#This Row],[Plano de Contas]],BASE!$B$3:$D$119,3,FALSE)</f>
        <v>Feiras e Eventos</v>
      </c>
      <c r="I234" s="77" t="str">
        <f>IFERROR(VLOOKUP(DESPESAS[[#This Row],[Fornecedor]],Tabela2[],2,FALSE),"")</f>
        <v/>
      </c>
      <c r="J234" s="77" t="str">
        <f>IFERROR(VLOOKUP(DESPESAS[[#This Row],[Plano de Contas]],BASE!$B$3:$F$119,4,FALSE),"")</f>
        <v>6 - DESPESA COM VENDAS</v>
      </c>
      <c r="K234" s="77" t="str">
        <f>IFERROR(VLOOKUP(DESPESAS[[#This Row],[Plano de Contas]],BASE!$B$3:$H$119,5,FALSE),"")</f>
        <v>COMERCIAL</v>
      </c>
      <c r="L234" s="77">
        <f>IFERROR(VLOOKUP(DESPESAS[[#This Row],[Plano de Contas]],BASE!$B$3:$H$119,6,FALSE),"")</f>
        <v>0</v>
      </c>
      <c r="M234" s="77" t="str">
        <f>VLOOKUP(DESPESAS[[#This Row],[Plano de Contas]],BASE!$B$3:$H$119,7,FALSE)</f>
        <v>THAIS</v>
      </c>
    </row>
    <row r="235" spans="1:13" x14ac:dyDescent="0.25">
      <c r="A235" s="74">
        <v>196370</v>
      </c>
      <c r="B235" s="75" t="s">
        <v>232</v>
      </c>
      <c r="C235" s="75" t="s">
        <v>1886</v>
      </c>
      <c r="D235" s="76">
        <v>46063</v>
      </c>
      <c r="E235" s="75" t="s">
        <v>1376</v>
      </c>
      <c r="F235" s="74">
        <v>790</v>
      </c>
      <c r="G235" s="75" t="s">
        <v>1318</v>
      </c>
      <c r="H235" s="77" t="str">
        <f>VLOOKUP(DESPESAS[[#This Row],[Plano de Contas]],BASE!$B$3:$D$119,3,FALSE)</f>
        <v>Feiras e Eventos</v>
      </c>
      <c r="I235" s="77" t="str">
        <f>IFERROR(VLOOKUP(DESPESAS[[#This Row],[Fornecedor]],Tabela2[],2,FALSE),"")</f>
        <v/>
      </c>
      <c r="J235" s="77" t="str">
        <f>IFERROR(VLOOKUP(DESPESAS[[#This Row],[Plano de Contas]],BASE!$B$3:$F$119,4,FALSE),"")</f>
        <v>6 - DESPESA COM VENDAS</v>
      </c>
      <c r="K235" s="77" t="str">
        <f>IFERROR(VLOOKUP(DESPESAS[[#This Row],[Plano de Contas]],BASE!$B$3:$H$119,5,FALSE),"")</f>
        <v>COMERCIAL</v>
      </c>
      <c r="L235" s="77">
        <f>IFERROR(VLOOKUP(DESPESAS[[#This Row],[Plano de Contas]],BASE!$B$3:$H$119,6,FALSE),"")</f>
        <v>0</v>
      </c>
      <c r="M235" s="77" t="str">
        <f>VLOOKUP(DESPESAS[[#This Row],[Plano de Contas]],BASE!$B$3:$H$119,7,FALSE)</f>
        <v>THAIS</v>
      </c>
    </row>
    <row r="236" spans="1:13" x14ac:dyDescent="0.25">
      <c r="A236" s="74">
        <v>196371</v>
      </c>
      <c r="B236" s="75" t="s">
        <v>232</v>
      </c>
      <c r="C236" s="75" t="s">
        <v>1886</v>
      </c>
      <c r="D236" s="76">
        <v>46091</v>
      </c>
      <c r="E236" s="75" t="s">
        <v>1376</v>
      </c>
      <c r="F236" s="74">
        <v>790</v>
      </c>
      <c r="G236" s="75" t="s">
        <v>1318</v>
      </c>
      <c r="H236" s="77" t="str">
        <f>VLOOKUP(DESPESAS[[#This Row],[Plano de Contas]],BASE!$B$3:$D$119,3,FALSE)</f>
        <v>Feiras e Eventos</v>
      </c>
      <c r="I236" s="77" t="str">
        <f>IFERROR(VLOOKUP(DESPESAS[[#This Row],[Fornecedor]],Tabela2[],2,FALSE),"")</f>
        <v/>
      </c>
      <c r="J236" s="77" t="str">
        <f>IFERROR(VLOOKUP(DESPESAS[[#This Row],[Plano de Contas]],BASE!$B$3:$F$119,4,FALSE),"")</f>
        <v>6 - DESPESA COM VENDAS</v>
      </c>
      <c r="K236" s="77" t="str">
        <f>IFERROR(VLOOKUP(DESPESAS[[#This Row],[Plano de Contas]],BASE!$B$3:$H$119,5,FALSE),"")</f>
        <v>COMERCIAL</v>
      </c>
      <c r="L236" s="77">
        <f>IFERROR(VLOOKUP(DESPESAS[[#This Row],[Plano de Contas]],BASE!$B$3:$H$119,6,FALSE),"")</f>
        <v>0</v>
      </c>
      <c r="M236" s="77" t="str">
        <f>VLOOKUP(DESPESAS[[#This Row],[Plano de Contas]],BASE!$B$3:$H$119,7,FALSE)</f>
        <v>THAIS</v>
      </c>
    </row>
    <row r="237" spans="1:13" x14ac:dyDescent="0.25">
      <c r="A237" s="74">
        <v>196372</v>
      </c>
      <c r="B237" s="75" t="s">
        <v>232</v>
      </c>
      <c r="C237" s="75" t="s">
        <v>1886</v>
      </c>
      <c r="D237" s="76">
        <v>46122</v>
      </c>
      <c r="E237" s="75" t="s">
        <v>1376</v>
      </c>
      <c r="F237" s="74">
        <v>790</v>
      </c>
      <c r="G237" s="75" t="s">
        <v>1318</v>
      </c>
      <c r="H237" s="77" t="str">
        <f>VLOOKUP(DESPESAS[[#This Row],[Plano de Contas]],BASE!$B$3:$D$119,3,FALSE)</f>
        <v>Feiras e Eventos</v>
      </c>
      <c r="I237" s="77" t="str">
        <f>IFERROR(VLOOKUP(DESPESAS[[#This Row],[Fornecedor]],Tabela2[],2,FALSE),"")</f>
        <v/>
      </c>
      <c r="J237" s="77" t="str">
        <f>IFERROR(VLOOKUP(DESPESAS[[#This Row],[Plano de Contas]],BASE!$B$3:$F$119,4,FALSE),"")</f>
        <v>6 - DESPESA COM VENDAS</v>
      </c>
      <c r="K237" s="77" t="str">
        <f>IFERROR(VLOOKUP(DESPESAS[[#This Row],[Plano de Contas]],BASE!$B$3:$H$119,5,FALSE),"")</f>
        <v>COMERCIAL</v>
      </c>
      <c r="L237" s="77">
        <f>IFERROR(VLOOKUP(DESPESAS[[#This Row],[Plano de Contas]],BASE!$B$3:$H$119,6,FALSE),"")</f>
        <v>0</v>
      </c>
      <c r="M237" s="77" t="str">
        <f>VLOOKUP(DESPESAS[[#This Row],[Plano de Contas]],BASE!$B$3:$H$119,7,FALSE)</f>
        <v>THAIS</v>
      </c>
    </row>
    <row r="238" spans="1:13" x14ac:dyDescent="0.25">
      <c r="A238" s="74">
        <v>196373</v>
      </c>
      <c r="B238" s="75" t="s">
        <v>232</v>
      </c>
      <c r="C238" s="75" t="s">
        <v>1886</v>
      </c>
      <c r="D238" s="76">
        <v>46152</v>
      </c>
      <c r="E238" s="75" t="s">
        <v>1376</v>
      </c>
      <c r="F238" s="74">
        <v>790</v>
      </c>
      <c r="G238" s="75" t="s">
        <v>1318</v>
      </c>
      <c r="H238" s="77" t="str">
        <f>VLOOKUP(DESPESAS[[#This Row],[Plano de Contas]],BASE!$B$3:$D$119,3,FALSE)</f>
        <v>Feiras e Eventos</v>
      </c>
      <c r="I238" s="77" t="str">
        <f>IFERROR(VLOOKUP(DESPESAS[[#This Row],[Fornecedor]],Tabela2[],2,FALSE),"")</f>
        <v/>
      </c>
      <c r="J238" s="77" t="str">
        <f>IFERROR(VLOOKUP(DESPESAS[[#This Row],[Plano de Contas]],BASE!$B$3:$F$119,4,FALSE),"")</f>
        <v>6 - DESPESA COM VENDAS</v>
      </c>
      <c r="K238" s="77" t="str">
        <f>IFERROR(VLOOKUP(DESPESAS[[#This Row],[Plano de Contas]],BASE!$B$3:$H$119,5,FALSE),"")</f>
        <v>COMERCIAL</v>
      </c>
      <c r="L238" s="77">
        <f>IFERROR(VLOOKUP(DESPESAS[[#This Row],[Plano de Contas]],BASE!$B$3:$H$119,6,FALSE),"")</f>
        <v>0</v>
      </c>
      <c r="M238" s="77" t="str">
        <f>VLOOKUP(DESPESAS[[#This Row],[Plano de Contas]],BASE!$B$3:$H$119,7,FALSE)</f>
        <v>THAIS</v>
      </c>
    </row>
    <row r="239" spans="1:13" x14ac:dyDescent="0.25">
      <c r="A239" s="74">
        <v>196377</v>
      </c>
      <c r="B239" s="75" t="s">
        <v>232</v>
      </c>
      <c r="C239" s="75" t="s">
        <v>3228</v>
      </c>
      <c r="D239" s="76">
        <v>46082</v>
      </c>
      <c r="E239" s="75" t="s">
        <v>2138</v>
      </c>
      <c r="F239" s="74">
        <v>381.6</v>
      </c>
      <c r="G239" s="75" t="s">
        <v>561</v>
      </c>
      <c r="H239" s="77" t="str">
        <f>VLOOKUP(DESPESAS[[#This Row],[Plano de Contas]],BASE!$B$3:$D$119,3,FALSE)</f>
        <v>Sistemas de Informação</v>
      </c>
      <c r="I239" s="77" t="str">
        <f>IFERROR(VLOOKUP(DESPESAS[[#This Row],[Fornecedor]],Tabela2[],2,FALSE),"")</f>
        <v/>
      </c>
      <c r="J239" s="77" t="str">
        <f>IFERROR(VLOOKUP(DESPESAS[[#This Row],[Plano de Contas]],BASE!$B$3:$F$119,4,FALSE),"")</f>
        <v>7 - SERVIÇOS DE TERCEIROS</v>
      </c>
      <c r="K239" s="77" t="str">
        <f>IFERROR(VLOOKUP(DESPESAS[[#This Row],[Plano de Contas]],BASE!$B$3:$H$119,5,FALSE),"")</f>
        <v>MANUTENÇÃO / TI</v>
      </c>
      <c r="L239" s="77">
        <f>IFERROR(VLOOKUP(DESPESAS[[#This Row],[Plano de Contas]],BASE!$B$3:$H$119,6,FALSE),"")</f>
        <v>0</v>
      </c>
      <c r="M239" s="77" t="str">
        <f>VLOOKUP(DESPESAS[[#This Row],[Plano de Contas]],BASE!$B$3:$H$119,7,FALSE)</f>
        <v>LETÍCIA</v>
      </c>
    </row>
    <row r="240" spans="1:13" x14ac:dyDescent="0.25">
      <c r="A240" s="74">
        <v>196378</v>
      </c>
      <c r="B240" s="75" t="s">
        <v>232</v>
      </c>
      <c r="C240" s="75" t="s">
        <v>3228</v>
      </c>
      <c r="D240" s="76">
        <v>46113</v>
      </c>
      <c r="E240" s="75" t="s">
        <v>2138</v>
      </c>
      <c r="F240" s="74">
        <v>381.6</v>
      </c>
      <c r="G240" s="75" t="s">
        <v>561</v>
      </c>
      <c r="H240" s="77" t="str">
        <f>VLOOKUP(DESPESAS[[#This Row],[Plano de Contas]],BASE!$B$3:$D$119,3,FALSE)</f>
        <v>Sistemas de Informação</v>
      </c>
      <c r="I240" s="77" t="str">
        <f>IFERROR(VLOOKUP(DESPESAS[[#This Row],[Fornecedor]],Tabela2[],2,FALSE),"")</f>
        <v/>
      </c>
      <c r="J240" s="77" t="str">
        <f>IFERROR(VLOOKUP(DESPESAS[[#This Row],[Plano de Contas]],BASE!$B$3:$F$119,4,FALSE),"")</f>
        <v>7 - SERVIÇOS DE TERCEIROS</v>
      </c>
      <c r="K240" s="77" t="str">
        <f>IFERROR(VLOOKUP(DESPESAS[[#This Row],[Plano de Contas]],BASE!$B$3:$H$119,5,FALSE),"")</f>
        <v>MANUTENÇÃO / TI</v>
      </c>
      <c r="L240" s="77">
        <f>IFERROR(VLOOKUP(DESPESAS[[#This Row],[Plano de Contas]],BASE!$B$3:$H$119,6,FALSE),"")</f>
        <v>0</v>
      </c>
      <c r="M240" s="77" t="str">
        <f>VLOOKUP(DESPESAS[[#This Row],[Plano de Contas]],BASE!$B$3:$H$119,7,FALSE)</f>
        <v>LETÍCIA</v>
      </c>
    </row>
    <row r="241" spans="1:13" x14ac:dyDescent="0.25">
      <c r="A241" s="74">
        <v>196381</v>
      </c>
      <c r="B241" s="75" t="s">
        <v>232</v>
      </c>
      <c r="C241" s="75" t="s">
        <v>3228</v>
      </c>
      <c r="D241" s="76">
        <v>46143</v>
      </c>
      <c r="E241" s="75" t="s">
        <v>2138</v>
      </c>
      <c r="F241" s="74">
        <v>954</v>
      </c>
      <c r="G241" s="75" t="s">
        <v>561</v>
      </c>
      <c r="H241" s="77" t="str">
        <f>VLOOKUP(DESPESAS[[#This Row],[Plano de Contas]],BASE!$B$3:$D$119,3,FALSE)</f>
        <v>Sistemas de Informação</v>
      </c>
      <c r="I241" s="77" t="str">
        <f>IFERROR(VLOOKUP(DESPESAS[[#This Row],[Fornecedor]],Tabela2[],2,FALSE),"")</f>
        <v/>
      </c>
      <c r="J241" s="77" t="str">
        <f>IFERROR(VLOOKUP(DESPESAS[[#This Row],[Plano de Contas]],BASE!$B$3:$F$119,4,FALSE),"")</f>
        <v>7 - SERVIÇOS DE TERCEIROS</v>
      </c>
      <c r="K241" s="77" t="str">
        <f>IFERROR(VLOOKUP(DESPESAS[[#This Row],[Plano de Contas]],BASE!$B$3:$H$119,5,FALSE),"")</f>
        <v>MANUTENÇÃO / TI</v>
      </c>
      <c r="L241" s="77">
        <f>IFERROR(VLOOKUP(DESPESAS[[#This Row],[Plano de Contas]],BASE!$B$3:$H$119,6,FALSE),"")</f>
        <v>0</v>
      </c>
      <c r="M241" s="77" t="str">
        <f>VLOOKUP(DESPESAS[[#This Row],[Plano de Contas]],BASE!$B$3:$H$119,7,FALSE)</f>
        <v>LETÍCIA</v>
      </c>
    </row>
    <row r="242" spans="1:13" x14ac:dyDescent="0.25">
      <c r="A242" s="74">
        <v>196391</v>
      </c>
      <c r="B242" s="75" t="s">
        <v>221</v>
      </c>
      <c r="C242" s="75" t="s">
        <v>3227</v>
      </c>
      <c r="D242" s="76">
        <v>46029</v>
      </c>
      <c r="E242" s="75" t="s">
        <v>347</v>
      </c>
      <c r="F242" s="74">
        <v>650</v>
      </c>
      <c r="G242" s="75" t="s">
        <v>719</v>
      </c>
      <c r="H242" s="77" t="str">
        <f>VLOOKUP(DESPESAS[[#This Row],[Plano de Contas]],BASE!$B$3:$D$119,3,FALSE)</f>
        <v>Outros Serviços de Terceiros</v>
      </c>
      <c r="I242" s="77" t="str">
        <f>IFERROR(VLOOKUP(DESPESAS[[#This Row],[Fornecedor]],Tabela2[],2,FALSE),"")</f>
        <v/>
      </c>
      <c r="J242" s="77" t="str">
        <f>IFERROR(VLOOKUP(DESPESAS[[#This Row],[Plano de Contas]],BASE!$B$3:$F$119,4,FALSE),"")</f>
        <v>7 - SERVIÇOS DE TERCEIROS</v>
      </c>
      <c r="K242" s="77" t="str">
        <f>IFERROR(VLOOKUP(DESPESAS[[#This Row],[Plano de Contas]],BASE!$B$3:$H$119,5,FALSE),"")</f>
        <v>FINANCEIRO</v>
      </c>
      <c r="L242" s="77">
        <f>IFERROR(VLOOKUP(DESPESAS[[#This Row],[Plano de Contas]],BASE!$B$3:$H$119,6,FALSE),"")</f>
        <v>0</v>
      </c>
      <c r="M242" s="77" t="str">
        <f>VLOOKUP(DESPESAS[[#This Row],[Plano de Contas]],BASE!$B$3:$H$119,7,FALSE)</f>
        <v>LETÍCIA</v>
      </c>
    </row>
    <row r="243" spans="1:13" x14ac:dyDescent="0.25">
      <c r="A243" s="74">
        <v>196394</v>
      </c>
      <c r="B243" s="75" t="s">
        <v>221</v>
      </c>
      <c r="C243" s="75" t="s">
        <v>3226</v>
      </c>
      <c r="D243" s="76">
        <v>46029</v>
      </c>
      <c r="E243" s="75" t="s">
        <v>492</v>
      </c>
      <c r="F243" s="74">
        <v>1648</v>
      </c>
      <c r="G243" s="75" t="s">
        <v>331</v>
      </c>
      <c r="H243" s="77" t="str">
        <f>VLOOKUP(DESPESAS[[#This Row],[Plano de Contas]],BASE!$B$3:$D$119,3,FALSE)</f>
        <v>Manutenção Predial (Adm)</v>
      </c>
      <c r="I243" s="77" t="str">
        <f>IFERROR(VLOOKUP(DESPESAS[[#This Row],[Fornecedor]],Tabela2[],2,FALSE),"")</f>
        <v/>
      </c>
      <c r="J243" s="77" t="str">
        <f>IFERROR(VLOOKUP(DESPESAS[[#This Row],[Plano de Contas]],BASE!$B$3:$F$119,4,FALSE),"")</f>
        <v>4 - GASTOS COM PESSOAL</v>
      </c>
      <c r="K243" s="77" t="str">
        <f>IFERROR(VLOOKUP(DESPESAS[[#This Row],[Plano de Contas]],BASE!$B$3:$H$119,5,FALSE),"")</f>
        <v>MANUTENÇÃO / TI</v>
      </c>
      <c r="L243" s="77">
        <f>IFERROR(VLOOKUP(DESPESAS[[#This Row],[Plano de Contas]],BASE!$B$3:$H$119,6,FALSE),"")</f>
        <v>0</v>
      </c>
      <c r="M243" s="77" t="str">
        <f>VLOOKUP(DESPESAS[[#This Row],[Plano de Contas]],BASE!$B$3:$H$119,7,FALSE)</f>
        <v>FÁBIO</v>
      </c>
    </row>
    <row r="244" spans="1:13" x14ac:dyDescent="0.25">
      <c r="A244" s="74">
        <v>196396</v>
      </c>
      <c r="B244" s="75" t="s">
        <v>232</v>
      </c>
      <c r="C244" s="75" t="s">
        <v>3225</v>
      </c>
      <c r="D244" s="76">
        <v>46029</v>
      </c>
      <c r="E244" s="75" t="s">
        <v>230</v>
      </c>
      <c r="F244" s="74">
        <v>368.82</v>
      </c>
      <c r="G244" s="75" t="s">
        <v>229</v>
      </c>
      <c r="H244" s="77" t="str">
        <f>VLOOKUP(DESPESAS[[#This Row],[Plano de Contas]],BASE!$B$3:$D$119,3,FALSE)</f>
        <v>Despesas Bancarias</v>
      </c>
      <c r="I244" s="77" t="str">
        <f>IFERROR(VLOOKUP(DESPESAS[[#This Row],[Fornecedor]],Tabela2[],2,FALSE),"")</f>
        <v/>
      </c>
      <c r="J244" s="77" t="str">
        <f>IFERROR(VLOOKUP(DESPESAS[[#This Row],[Plano de Contas]],BASE!$B$3:$F$119,4,FALSE),"")</f>
        <v>8 - DESPESAS FINANCEIRAS</v>
      </c>
      <c r="K244" s="77" t="str">
        <f>IFERROR(VLOOKUP(DESPESAS[[#This Row],[Plano de Contas]],BASE!$B$3:$H$119,5,FALSE),"")</f>
        <v>FINANCEIRO</v>
      </c>
      <c r="L244" s="77">
        <f>IFERROR(VLOOKUP(DESPESAS[[#This Row],[Plano de Contas]],BASE!$B$3:$H$119,6,FALSE),"")</f>
        <v>0</v>
      </c>
      <c r="M244" s="77" t="str">
        <f>VLOOKUP(DESPESAS[[#This Row],[Plano de Contas]],BASE!$B$3:$H$119,7,FALSE)</f>
        <v>LETÍCIA</v>
      </c>
    </row>
    <row r="245" spans="1:13" x14ac:dyDescent="0.25">
      <c r="A245" s="74">
        <v>196397</v>
      </c>
      <c r="B245" s="75" t="s">
        <v>232</v>
      </c>
      <c r="C245" s="75" t="s">
        <v>3224</v>
      </c>
      <c r="D245" s="76">
        <v>46029</v>
      </c>
      <c r="E245" s="75" t="s">
        <v>230</v>
      </c>
      <c r="F245" s="74">
        <v>257.20999999999998</v>
      </c>
      <c r="G245" s="75" t="s">
        <v>229</v>
      </c>
      <c r="H245" s="77" t="str">
        <f>VLOOKUP(DESPESAS[[#This Row],[Plano de Contas]],BASE!$B$3:$D$119,3,FALSE)</f>
        <v>Despesas Bancarias</v>
      </c>
      <c r="I245" s="77" t="str">
        <f>IFERROR(VLOOKUP(DESPESAS[[#This Row],[Fornecedor]],Tabela2[],2,FALSE),"")</f>
        <v/>
      </c>
      <c r="J245" s="77" t="str">
        <f>IFERROR(VLOOKUP(DESPESAS[[#This Row],[Plano de Contas]],BASE!$B$3:$F$119,4,FALSE),"")</f>
        <v>8 - DESPESAS FINANCEIRAS</v>
      </c>
      <c r="K245" s="77" t="str">
        <f>IFERROR(VLOOKUP(DESPESAS[[#This Row],[Plano de Contas]],BASE!$B$3:$H$119,5,FALSE),"")</f>
        <v>FINANCEIRO</v>
      </c>
      <c r="L245" s="77">
        <f>IFERROR(VLOOKUP(DESPESAS[[#This Row],[Plano de Contas]],BASE!$B$3:$H$119,6,FALSE),"")</f>
        <v>0</v>
      </c>
      <c r="M245" s="77" t="str">
        <f>VLOOKUP(DESPESAS[[#This Row],[Plano de Contas]],BASE!$B$3:$H$119,7,FALSE)</f>
        <v>LETÍCIA</v>
      </c>
    </row>
    <row r="246" spans="1:13" x14ac:dyDescent="0.25">
      <c r="A246" s="74">
        <v>196398</v>
      </c>
      <c r="B246" s="75" t="s">
        <v>232</v>
      </c>
      <c r="C246" s="75" t="s">
        <v>3223</v>
      </c>
      <c r="D246" s="76">
        <v>46029</v>
      </c>
      <c r="E246" s="75" t="s">
        <v>230</v>
      </c>
      <c r="F246" s="74">
        <v>2295.1999999999998</v>
      </c>
      <c r="G246" s="75" t="s">
        <v>251</v>
      </c>
      <c r="H246" s="77" t="str">
        <f>VLOOKUP(DESPESAS[[#This Row],[Plano de Contas]],BASE!$B$3:$D$119,3,FALSE)</f>
        <v>Juros Pagos - Antecipação de Crédito</v>
      </c>
      <c r="I246" s="77" t="str">
        <f>IFERROR(VLOOKUP(DESPESAS[[#This Row],[Fornecedor]],Tabela2[],2,FALSE),"")</f>
        <v/>
      </c>
      <c r="J246" s="77" t="str">
        <f>IFERROR(VLOOKUP(DESPESAS[[#This Row],[Plano de Contas]],BASE!$B$3:$F$119,4,FALSE),"")</f>
        <v>8 - DESPESAS FINANCEIRAS</v>
      </c>
      <c r="K246" s="77" t="str">
        <f>IFERROR(VLOOKUP(DESPESAS[[#This Row],[Plano de Contas]],BASE!$B$3:$H$119,5,FALSE),"")</f>
        <v>FINANCEIRO</v>
      </c>
      <c r="L246" s="77">
        <f>IFERROR(VLOOKUP(DESPESAS[[#This Row],[Plano de Contas]],BASE!$B$3:$H$119,6,FALSE),"")</f>
        <v>0</v>
      </c>
      <c r="M246" s="77" t="str">
        <f>VLOOKUP(DESPESAS[[#This Row],[Plano de Contas]],BASE!$B$3:$H$119,7,FALSE)</f>
        <v>LETÍCIA</v>
      </c>
    </row>
    <row r="247" spans="1:13" x14ac:dyDescent="0.25">
      <c r="A247" s="74">
        <v>196399</v>
      </c>
      <c r="B247" s="75" t="s">
        <v>232</v>
      </c>
      <c r="C247" s="75" t="s">
        <v>3222</v>
      </c>
      <c r="D247" s="76">
        <v>46029</v>
      </c>
      <c r="E247" s="75" t="s">
        <v>347</v>
      </c>
      <c r="F247" s="74">
        <v>130.16</v>
      </c>
      <c r="G247" s="75" t="s">
        <v>583</v>
      </c>
      <c r="H247" s="77" t="str">
        <f>VLOOKUP(DESPESAS[[#This Row],[Plano de Contas]],BASE!$B$3:$D$119,3,FALSE)</f>
        <v>Multas de Trânsito</v>
      </c>
      <c r="I247" s="77" t="str">
        <f>IFERROR(VLOOKUP(DESPESAS[[#This Row],[Fornecedor]],Tabela2[],2,FALSE),"")</f>
        <v/>
      </c>
      <c r="J247" s="77" t="str">
        <f>IFERROR(VLOOKUP(DESPESAS[[#This Row],[Plano de Contas]],BASE!$B$3:$F$119,4,FALSE),"")</f>
        <v>6 - DESPESA COM VENDAS</v>
      </c>
      <c r="K247" s="77" t="str">
        <f>IFERROR(VLOOKUP(DESPESAS[[#This Row],[Plano de Contas]],BASE!$B$3:$H$119,5,FALSE),"")</f>
        <v>LOGÍSTICA</v>
      </c>
      <c r="L247" s="77">
        <f>IFERROR(VLOOKUP(DESPESAS[[#This Row],[Plano de Contas]],BASE!$B$3:$H$119,6,FALSE),"")</f>
        <v>0</v>
      </c>
      <c r="M247" s="77" t="str">
        <f>VLOOKUP(DESPESAS[[#This Row],[Plano de Contas]],BASE!$B$3:$H$119,7,FALSE)</f>
        <v>MYLENA</v>
      </c>
    </row>
    <row r="248" spans="1:13" x14ac:dyDescent="0.25">
      <c r="A248" s="74">
        <v>196400</v>
      </c>
      <c r="B248" s="75" t="s">
        <v>221</v>
      </c>
      <c r="C248" s="75" t="s">
        <v>3221</v>
      </c>
      <c r="D248" s="76">
        <v>46030</v>
      </c>
      <c r="E248" s="75" t="s">
        <v>317</v>
      </c>
      <c r="F248" s="74">
        <v>200</v>
      </c>
      <c r="G248" s="75" t="s">
        <v>1037</v>
      </c>
      <c r="H248" s="77" t="str">
        <f>VLOOKUP(DESPESAS[[#This Row],[Plano de Contas]],BASE!$B$3:$D$119,3,FALSE)</f>
        <v>Construções e Reformas</v>
      </c>
      <c r="I248" s="77" t="str">
        <f>IFERROR(VLOOKUP(DESPESAS[[#This Row],[Fornecedor]],Tabela2[],2,FALSE),"")</f>
        <v/>
      </c>
      <c r="J248" s="77" t="str">
        <f>IFERROR(VLOOKUP(DESPESAS[[#This Row],[Plano de Contas]],BASE!$B$3:$F$119,4,FALSE),"")</f>
        <v>9 - INVESTIMENTOS</v>
      </c>
      <c r="K248" s="77" t="str">
        <f>IFERROR(VLOOKUP(DESPESAS[[#This Row],[Plano de Contas]],BASE!$B$3:$H$119,5,FALSE),"")</f>
        <v>MANUTENÇÃO / TI</v>
      </c>
      <c r="L248" s="77">
        <f>IFERROR(VLOOKUP(DESPESAS[[#This Row],[Plano de Contas]],BASE!$B$3:$H$119,6,FALSE),"")</f>
        <v>0</v>
      </c>
      <c r="M248" s="77" t="str">
        <f>VLOOKUP(DESPESAS[[#This Row],[Plano de Contas]],BASE!$B$3:$H$119,7,FALSE)</f>
        <v>FÁBIO</v>
      </c>
    </row>
    <row r="249" spans="1:13" x14ac:dyDescent="0.25">
      <c r="A249" s="74">
        <v>196401</v>
      </c>
      <c r="B249" s="75" t="s">
        <v>232</v>
      </c>
      <c r="C249" s="75" t="s">
        <v>3220</v>
      </c>
      <c r="D249" s="76">
        <v>46036</v>
      </c>
      <c r="E249" s="75" t="s">
        <v>607</v>
      </c>
      <c r="F249" s="74">
        <v>1340.67</v>
      </c>
      <c r="G249" s="75" t="s">
        <v>606</v>
      </c>
      <c r="H249" s="77" t="str">
        <f>VLOOKUP(DESPESAS[[#This Row],[Plano de Contas]],BASE!$B$3:$D$119,3,FALSE)</f>
        <v>EPIs/Uniformes (Prod)</v>
      </c>
      <c r="I249" s="77" t="str">
        <f>IFERROR(VLOOKUP(DESPESAS[[#This Row],[Fornecedor]],Tabela2[],2,FALSE),"")</f>
        <v>FERRAGENS GERAIS</v>
      </c>
      <c r="J249" s="77" t="str">
        <f>IFERROR(VLOOKUP(DESPESAS[[#This Row],[Plano de Contas]],BASE!$B$3:$F$119,4,FALSE),"")</f>
        <v>2 - CUSTOS DIRETOS</v>
      </c>
      <c r="K249" s="77" t="str">
        <f>IFERROR(VLOOKUP(DESPESAS[[#This Row],[Plano de Contas]],BASE!$B$3:$H$119,5,FALSE),"")</f>
        <v>COMPRAS</v>
      </c>
      <c r="L249" s="77">
        <f>IFERROR(VLOOKUP(DESPESAS[[#This Row],[Plano de Contas]],BASE!$B$3:$H$119,6,FALSE),"")</f>
        <v>0</v>
      </c>
      <c r="M249" s="77" t="str">
        <f>VLOOKUP(DESPESAS[[#This Row],[Plano de Contas]],BASE!$B$3:$H$119,7,FALSE)</f>
        <v>RAFAEL</v>
      </c>
    </row>
    <row r="250" spans="1:13" x14ac:dyDescent="0.25">
      <c r="A250" s="74">
        <v>196402</v>
      </c>
      <c r="B250" s="75" t="s">
        <v>232</v>
      </c>
      <c r="C250" s="75" t="s">
        <v>3219</v>
      </c>
      <c r="D250" s="76">
        <v>46030</v>
      </c>
      <c r="E250" s="75" t="s">
        <v>230</v>
      </c>
      <c r="F250" s="74">
        <v>108.18</v>
      </c>
      <c r="G250" s="75" t="s">
        <v>251</v>
      </c>
      <c r="H250" s="77" t="str">
        <f>VLOOKUP(DESPESAS[[#This Row],[Plano de Contas]],BASE!$B$3:$D$119,3,FALSE)</f>
        <v>Juros Pagos - Antecipação de Crédito</v>
      </c>
      <c r="I250" s="77" t="str">
        <f>IFERROR(VLOOKUP(DESPESAS[[#This Row],[Fornecedor]],Tabela2[],2,FALSE),"")</f>
        <v/>
      </c>
      <c r="J250" s="77" t="str">
        <f>IFERROR(VLOOKUP(DESPESAS[[#This Row],[Plano de Contas]],BASE!$B$3:$F$119,4,FALSE),"")</f>
        <v>8 - DESPESAS FINANCEIRAS</v>
      </c>
      <c r="K250" s="77" t="str">
        <f>IFERROR(VLOOKUP(DESPESAS[[#This Row],[Plano de Contas]],BASE!$B$3:$H$119,5,FALSE),"")</f>
        <v>FINANCEIRO</v>
      </c>
      <c r="L250" s="77">
        <f>IFERROR(VLOOKUP(DESPESAS[[#This Row],[Plano de Contas]],BASE!$B$3:$H$119,6,FALSE),"")</f>
        <v>0</v>
      </c>
      <c r="M250" s="77" t="str">
        <f>VLOOKUP(DESPESAS[[#This Row],[Plano de Contas]],BASE!$B$3:$H$119,7,FALSE)</f>
        <v>LETÍCIA</v>
      </c>
    </row>
    <row r="251" spans="1:13" x14ac:dyDescent="0.25">
      <c r="A251" s="74">
        <v>196403</v>
      </c>
      <c r="B251" s="75" t="s">
        <v>232</v>
      </c>
      <c r="C251" s="75" t="s">
        <v>3218</v>
      </c>
      <c r="D251" s="76">
        <v>46030</v>
      </c>
      <c r="E251" s="75" t="s">
        <v>230</v>
      </c>
      <c r="F251" s="74">
        <v>10.95</v>
      </c>
      <c r="G251" s="75" t="s">
        <v>229</v>
      </c>
      <c r="H251" s="77" t="str">
        <f>VLOOKUP(DESPESAS[[#This Row],[Plano de Contas]],BASE!$B$3:$D$119,3,FALSE)</f>
        <v>Despesas Bancarias</v>
      </c>
      <c r="I251" s="77" t="str">
        <f>IFERROR(VLOOKUP(DESPESAS[[#This Row],[Fornecedor]],Tabela2[],2,FALSE),"")</f>
        <v/>
      </c>
      <c r="J251" s="77" t="str">
        <f>IFERROR(VLOOKUP(DESPESAS[[#This Row],[Plano de Contas]],BASE!$B$3:$F$119,4,FALSE),"")</f>
        <v>8 - DESPESAS FINANCEIRAS</v>
      </c>
      <c r="K251" s="77" t="str">
        <f>IFERROR(VLOOKUP(DESPESAS[[#This Row],[Plano de Contas]],BASE!$B$3:$H$119,5,FALSE),"")</f>
        <v>FINANCEIRO</v>
      </c>
      <c r="L251" s="77">
        <f>IFERROR(VLOOKUP(DESPESAS[[#This Row],[Plano de Contas]],BASE!$B$3:$H$119,6,FALSE),"")</f>
        <v>0</v>
      </c>
      <c r="M251" s="77" t="str">
        <f>VLOOKUP(DESPESAS[[#This Row],[Plano de Contas]],BASE!$B$3:$H$119,7,FALSE)</f>
        <v>LETÍCIA</v>
      </c>
    </row>
    <row r="252" spans="1:13" x14ac:dyDescent="0.25">
      <c r="A252" s="74">
        <v>196417</v>
      </c>
      <c r="B252" s="75" t="s">
        <v>232</v>
      </c>
      <c r="C252" s="75" t="s">
        <v>3217</v>
      </c>
      <c r="D252" s="76">
        <v>46030</v>
      </c>
      <c r="E252" s="75" t="s">
        <v>230</v>
      </c>
      <c r="F252" s="74">
        <v>0.79</v>
      </c>
      <c r="G252" s="75" t="s">
        <v>229</v>
      </c>
      <c r="H252" s="77" t="str">
        <f>VLOOKUP(DESPESAS[[#This Row],[Plano de Contas]],BASE!$B$3:$D$119,3,FALSE)</f>
        <v>Despesas Bancarias</v>
      </c>
      <c r="I252" s="77" t="str">
        <f>IFERROR(VLOOKUP(DESPESAS[[#This Row],[Fornecedor]],Tabela2[],2,FALSE),"")</f>
        <v/>
      </c>
      <c r="J252" s="77" t="str">
        <f>IFERROR(VLOOKUP(DESPESAS[[#This Row],[Plano de Contas]],BASE!$B$3:$F$119,4,FALSE),"")</f>
        <v>8 - DESPESAS FINANCEIRAS</v>
      </c>
      <c r="K252" s="77" t="str">
        <f>IFERROR(VLOOKUP(DESPESAS[[#This Row],[Plano de Contas]],BASE!$B$3:$H$119,5,FALSE),"")</f>
        <v>FINANCEIRO</v>
      </c>
      <c r="L252" s="77">
        <f>IFERROR(VLOOKUP(DESPESAS[[#This Row],[Plano de Contas]],BASE!$B$3:$H$119,6,FALSE),"")</f>
        <v>0</v>
      </c>
      <c r="M252" s="77" t="str">
        <f>VLOOKUP(DESPESAS[[#This Row],[Plano de Contas]],BASE!$B$3:$H$119,7,FALSE)</f>
        <v>LETÍCIA</v>
      </c>
    </row>
    <row r="253" spans="1:13" x14ac:dyDescent="0.25">
      <c r="A253" s="74">
        <v>196419</v>
      </c>
      <c r="B253" s="75" t="s">
        <v>232</v>
      </c>
      <c r="C253" s="75" t="s">
        <v>3216</v>
      </c>
      <c r="D253" s="76">
        <v>46029</v>
      </c>
      <c r="E253" s="75" t="s">
        <v>230</v>
      </c>
      <c r="F253" s="74">
        <v>1.58</v>
      </c>
      <c r="G253" s="75" t="s">
        <v>229</v>
      </c>
      <c r="H253" s="77" t="str">
        <f>VLOOKUP(DESPESAS[[#This Row],[Plano de Contas]],BASE!$B$3:$D$119,3,FALSE)</f>
        <v>Despesas Bancarias</v>
      </c>
      <c r="I253" s="77" t="str">
        <f>IFERROR(VLOOKUP(DESPESAS[[#This Row],[Fornecedor]],Tabela2[],2,FALSE),"")</f>
        <v/>
      </c>
      <c r="J253" s="77" t="str">
        <f>IFERROR(VLOOKUP(DESPESAS[[#This Row],[Plano de Contas]],BASE!$B$3:$F$119,4,FALSE),"")</f>
        <v>8 - DESPESAS FINANCEIRAS</v>
      </c>
      <c r="K253" s="77" t="str">
        <f>IFERROR(VLOOKUP(DESPESAS[[#This Row],[Plano de Contas]],BASE!$B$3:$H$119,5,FALSE),"")</f>
        <v>FINANCEIRO</v>
      </c>
      <c r="L253" s="77">
        <f>IFERROR(VLOOKUP(DESPESAS[[#This Row],[Plano de Contas]],BASE!$B$3:$H$119,6,FALSE),"")</f>
        <v>0</v>
      </c>
      <c r="M253" s="77" t="str">
        <f>VLOOKUP(DESPESAS[[#This Row],[Plano de Contas]],BASE!$B$3:$H$119,7,FALSE)</f>
        <v>LETÍCIA</v>
      </c>
    </row>
    <row r="254" spans="1:13" x14ac:dyDescent="0.25">
      <c r="A254" s="74">
        <v>196421</v>
      </c>
      <c r="B254" s="75" t="s">
        <v>232</v>
      </c>
      <c r="C254" s="75" t="s">
        <v>3215</v>
      </c>
      <c r="D254" s="76">
        <v>46030</v>
      </c>
      <c r="E254" s="75" t="s">
        <v>3214</v>
      </c>
      <c r="F254" s="74">
        <v>160</v>
      </c>
      <c r="G254" s="75" t="s">
        <v>244</v>
      </c>
      <c r="H254" s="77" t="str">
        <f>VLOOKUP(DESPESAS[[#This Row],[Plano de Contas]],BASE!$B$3:$D$119,3,FALSE)</f>
        <v>Material de Expediente (Prod)</v>
      </c>
      <c r="I254" s="77" t="str">
        <f>IFERROR(VLOOKUP(DESPESAS[[#This Row],[Fornecedor]],Tabela2[],2,FALSE),"")</f>
        <v/>
      </c>
      <c r="J254" s="77" t="str">
        <f>IFERROR(VLOOKUP(DESPESAS[[#This Row],[Plano de Contas]],BASE!$B$3:$F$119,4,FALSE),"")</f>
        <v>2 - CUSTOS DIRETOS</v>
      </c>
      <c r="K254" s="77" t="str">
        <f>IFERROR(VLOOKUP(DESPESAS[[#This Row],[Plano de Contas]],BASE!$B$3:$H$119,5,FALSE),"")</f>
        <v>PRODUÇÃO</v>
      </c>
      <c r="L254" s="77">
        <f>IFERROR(VLOOKUP(DESPESAS[[#This Row],[Plano de Contas]],BASE!$B$3:$H$119,6,FALSE),"")</f>
        <v>0</v>
      </c>
      <c r="M254" s="77" t="str">
        <f>VLOOKUP(DESPESAS[[#This Row],[Plano de Contas]],BASE!$B$3:$H$119,7,FALSE)</f>
        <v>RAFAEL</v>
      </c>
    </row>
    <row r="255" spans="1:13" x14ac:dyDescent="0.25">
      <c r="A255" s="74">
        <v>196422</v>
      </c>
      <c r="B255" s="75" t="s">
        <v>232</v>
      </c>
      <c r="C255" s="75" t="s">
        <v>3213</v>
      </c>
      <c r="D255" s="76">
        <v>46030</v>
      </c>
      <c r="E255" s="75" t="s">
        <v>2154</v>
      </c>
      <c r="F255" s="74">
        <v>6920</v>
      </c>
      <c r="G255" s="75" t="s">
        <v>588</v>
      </c>
      <c r="H255" s="77" t="str">
        <f>VLOOKUP(DESPESAS[[#This Row],[Plano de Contas]],BASE!$B$3:$D$119,3,FALSE)</f>
        <v>Maquinas e Equipamentos</v>
      </c>
      <c r="I255" s="77" t="str">
        <f>IFERROR(VLOOKUP(DESPESAS[[#This Row],[Fornecedor]],Tabela2[],2,FALSE),"")</f>
        <v/>
      </c>
      <c r="J255" s="77" t="str">
        <f>IFERROR(VLOOKUP(DESPESAS[[#This Row],[Plano de Contas]],BASE!$B$3:$F$119,4,FALSE),"")</f>
        <v>9 - INVESTIMENTOS</v>
      </c>
      <c r="K255" s="77" t="str">
        <f>IFERROR(VLOOKUP(DESPESAS[[#This Row],[Plano de Contas]],BASE!$B$3:$H$119,5,FALSE),"")</f>
        <v>MANUTENÇÃO / TI</v>
      </c>
      <c r="L255" s="77">
        <f>IFERROR(VLOOKUP(DESPESAS[[#This Row],[Plano de Contas]],BASE!$B$3:$H$119,6,FALSE),"")</f>
        <v>0</v>
      </c>
      <c r="M255" s="77" t="str">
        <f>VLOOKUP(DESPESAS[[#This Row],[Plano de Contas]],BASE!$B$3:$H$119,7,FALSE)</f>
        <v>RAFAEL</v>
      </c>
    </row>
    <row r="256" spans="1:13" x14ac:dyDescent="0.25">
      <c r="A256" s="74">
        <v>196423</v>
      </c>
      <c r="B256" s="75" t="s">
        <v>232</v>
      </c>
      <c r="C256" s="75" t="s">
        <v>3212</v>
      </c>
      <c r="D256" s="76">
        <v>46030</v>
      </c>
      <c r="E256" s="75" t="s">
        <v>347</v>
      </c>
      <c r="F256" s="74">
        <v>782.66</v>
      </c>
      <c r="G256" s="75" t="s">
        <v>244</v>
      </c>
      <c r="H256" s="77" t="str">
        <f>VLOOKUP(DESPESAS[[#This Row],[Plano de Contas]],BASE!$B$3:$D$119,3,FALSE)</f>
        <v>Material de Expediente (Prod)</v>
      </c>
      <c r="I256" s="77" t="str">
        <f>IFERROR(VLOOKUP(DESPESAS[[#This Row],[Fornecedor]],Tabela2[],2,FALSE),"")</f>
        <v/>
      </c>
      <c r="J256" s="77" t="str">
        <f>IFERROR(VLOOKUP(DESPESAS[[#This Row],[Plano de Contas]],BASE!$B$3:$F$119,4,FALSE),"")</f>
        <v>2 - CUSTOS DIRETOS</v>
      </c>
      <c r="K256" s="77" t="str">
        <f>IFERROR(VLOOKUP(DESPESAS[[#This Row],[Plano de Contas]],BASE!$B$3:$H$119,5,FALSE),"")</f>
        <v>PRODUÇÃO</v>
      </c>
      <c r="L256" s="77">
        <f>IFERROR(VLOOKUP(DESPESAS[[#This Row],[Plano de Contas]],BASE!$B$3:$H$119,6,FALSE),"")</f>
        <v>0</v>
      </c>
      <c r="M256" s="77" t="str">
        <f>VLOOKUP(DESPESAS[[#This Row],[Plano de Contas]],BASE!$B$3:$H$119,7,FALSE)</f>
        <v>RAFAEL</v>
      </c>
    </row>
    <row r="257" spans="1:13" x14ac:dyDescent="0.25">
      <c r="A257" s="74">
        <v>196424</v>
      </c>
      <c r="B257" s="75" t="s">
        <v>232</v>
      </c>
      <c r="C257" s="75" t="s">
        <v>3211</v>
      </c>
      <c r="D257" s="76">
        <v>46030</v>
      </c>
      <c r="E257" s="75" t="s">
        <v>361</v>
      </c>
      <c r="F257" s="74">
        <v>306.88</v>
      </c>
      <c r="G257" s="75" t="s">
        <v>1318</v>
      </c>
      <c r="H257" s="77" t="str">
        <f>VLOOKUP(DESPESAS[[#This Row],[Plano de Contas]],BASE!$B$3:$D$119,3,FALSE)</f>
        <v>Feiras e Eventos</v>
      </c>
      <c r="I257" s="77" t="str">
        <f>IFERROR(VLOOKUP(DESPESAS[[#This Row],[Fornecedor]],Tabela2[],2,FALSE),"")</f>
        <v/>
      </c>
      <c r="J257" s="77" t="str">
        <f>IFERROR(VLOOKUP(DESPESAS[[#This Row],[Plano de Contas]],BASE!$B$3:$F$119,4,FALSE),"")</f>
        <v>6 - DESPESA COM VENDAS</v>
      </c>
      <c r="K257" s="77" t="str">
        <f>IFERROR(VLOOKUP(DESPESAS[[#This Row],[Plano de Contas]],BASE!$B$3:$H$119,5,FALSE),"")</f>
        <v>COMERCIAL</v>
      </c>
      <c r="L257" s="77">
        <f>IFERROR(VLOOKUP(DESPESAS[[#This Row],[Plano de Contas]],BASE!$B$3:$H$119,6,FALSE),"")</f>
        <v>0</v>
      </c>
      <c r="M257" s="77" t="str">
        <f>VLOOKUP(DESPESAS[[#This Row],[Plano de Contas]],BASE!$B$3:$H$119,7,FALSE)</f>
        <v>THAIS</v>
      </c>
    </row>
    <row r="258" spans="1:13" x14ac:dyDescent="0.25">
      <c r="A258" s="74">
        <v>196425</v>
      </c>
      <c r="B258" s="75" t="s">
        <v>232</v>
      </c>
      <c r="C258" s="75" t="s">
        <v>3210</v>
      </c>
      <c r="D258" s="76">
        <v>46030</v>
      </c>
      <c r="E258" s="75" t="s">
        <v>391</v>
      </c>
      <c r="F258" s="74">
        <v>717.09</v>
      </c>
      <c r="G258" s="75" t="s">
        <v>241</v>
      </c>
      <c r="H258" s="77" t="str">
        <f>VLOOKUP(DESPESAS[[#This Row],[Plano de Contas]],BASE!$B$3:$D$119,3,FALSE)</f>
        <v>Combustiveis Frota</v>
      </c>
      <c r="I258" s="77" t="str">
        <f>IFERROR(VLOOKUP(DESPESAS[[#This Row],[Fornecedor]],Tabela2[],2,FALSE),"")</f>
        <v/>
      </c>
      <c r="J258" s="77" t="str">
        <f>IFERROR(VLOOKUP(DESPESAS[[#This Row],[Plano de Contas]],BASE!$B$3:$F$119,4,FALSE),"")</f>
        <v>6 - DESPESA COM VENDAS</v>
      </c>
      <c r="K258" s="77" t="str">
        <f>IFERROR(VLOOKUP(DESPESAS[[#This Row],[Plano de Contas]],BASE!$B$3:$H$119,5,FALSE),"")</f>
        <v>LOGÍSTICA</v>
      </c>
      <c r="L258" s="77">
        <f>IFERROR(VLOOKUP(DESPESAS[[#This Row],[Plano de Contas]],BASE!$B$3:$H$119,6,FALSE),"")</f>
        <v>0</v>
      </c>
      <c r="M258" s="77" t="str">
        <f>VLOOKUP(DESPESAS[[#This Row],[Plano de Contas]],BASE!$B$3:$H$119,7,FALSE)</f>
        <v>MYLENA</v>
      </c>
    </row>
    <row r="259" spans="1:13" x14ac:dyDescent="0.25">
      <c r="A259" s="74">
        <v>196426</v>
      </c>
      <c r="B259" s="75" t="s">
        <v>232</v>
      </c>
      <c r="C259" s="75" t="s">
        <v>3209</v>
      </c>
      <c r="D259" s="76">
        <v>46030</v>
      </c>
      <c r="E259" s="75" t="s">
        <v>391</v>
      </c>
      <c r="F259" s="74">
        <v>55.67</v>
      </c>
      <c r="G259" s="75" t="s">
        <v>241</v>
      </c>
      <c r="H259" s="77" t="str">
        <f>VLOOKUP(DESPESAS[[#This Row],[Plano de Contas]],BASE!$B$3:$D$119,3,FALSE)</f>
        <v>Combustiveis Frota</v>
      </c>
      <c r="I259" s="77" t="str">
        <f>IFERROR(VLOOKUP(DESPESAS[[#This Row],[Fornecedor]],Tabela2[],2,FALSE),"")</f>
        <v/>
      </c>
      <c r="J259" s="77" t="str">
        <f>IFERROR(VLOOKUP(DESPESAS[[#This Row],[Plano de Contas]],BASE!$B$3:$F$119,4,FALSE),"")</f>
        <v>6 - DESPESA COM VENDAS</v>
      </c>
      <c r="K259" s="77" t="str">
        <f>IFERROR(VLOOKUP(DESPESAS[[#This Row],[Plano de Contas]],BASE!$B$3:$H$119,5,FALSE),"")</f>
        <v>LOGÍSTICA</v>
      </c>
      <c r="L259" s="77">
        <f>IFERROR(VLOOKUP(DESPESAS[[#This Row],[Plano de Contas]],BASE!$B$3:$H$119,6,FALSE),"")</f>
        <v>0</v>
      </c>
      <c r="M259" s="77" t="str">
        <f>VLOOKUP(DESPESAS[[#This Row],[Plano de Contas]],BASE!$B$3:$H$119,7,FALSE)</f>
        <v>MYLENA</v>
      </c>
    </row>
    <row r="260" spans="1:13" x14ac:dyDescent="0.25">
      <c r="A260" s="74">
        <v>196427</v>
      </c>
      <c r="B260" s="75" t="s">
        <v>232</v>
      </c>
      <c r="C260" s="75" t="s">
        <v>3208</v>
      </c>
      <c r="D260" s="76">
        <v>46030</v>
      </c>
      <c r="E260" s="75" t="s">
        <v>391</v>
      </c>
      <c r="F260" s="74">
        <v>647.47</v>
      </c>
      <c r="G260" s="75" t="s">
        <v>241</v>
      </c>
      <c r="H260" s="77" t="str">
        <f>VLOOKUP(DESPESAS[[#This Row],[Plano de Contas]],BASE!$B$3:$D$119,3,FALSE)</f>
        <v>Combustiveis Frota</v>
      </c>
      <c r="I260" s="77" t="str">
        <f>IFERROR(VLOOKUP(DESPESAS[[#This Row],[Fornecedor]],Tabela2[],2,FALSE),"")</f>
        <v/>
      </c>
      <c r="J260" s="77" t="str">
        <f>IFERROR(VLOOKUP(DESPESAS[[#This Row],[Plano de Contas]],BASE!$B$3:$F$119,4,FALSE),"")</f>
        <v>6 - DESPESA COM VENDAS</v>
      </c>
      <c r="K260" s="77" t="str">
        <f>IFERROR(VLOOKUP(DESPESAS[[#This Row],[Plano de Contas]],BASE!$B$3:$H$119,5,FALSE),"")</f>
        <v>LOGÍSTICA</v>
      </c>
      <c r="L260" s="77">
        <f>IFERROR(VLOOKUP(DESPESAS[[#This Row],[Plano de Contas]],BASE!$B$3:$H$119,6,FALSE),"")</f>
        <v>0</v>
      </c>
      <c r="M260" s="77" t="str">
        <f>VLOOKUP(DESPESAS[[#This Row],[Plano de Contas]],BASE!$B$3:$H$119,7,FALSE)</f>
        <v>MYLENA</v>
      </c>
    </row>
    <row r="261" spans="1:13" x14ac:dyDescent="0.25">
      <c r="A261" s="74">
        <v>196428</v>
      </c>
      <c r="B261" s="75" t="s">
        <v>221</v>
      </c>
      <c r="C261" s="75" t="s">
        <v>3207</v>
      </c>
      <c r="D261" s="76">
        <v>46030</v>
      </c>
      <c r="E261" s="75" t="s">
        <v>265</v>
      </c>
      <c r="F261" s="74">
        <v>760</v>
      </c>
      <c r="G261" s="75" t="s">
        <v>262</v>
      </c>
      <c r="H261" s="77" t="str">
        <f>VLOOKUP(DESPESAS[[#This Row],[Plano de Contas]],BASE!$B$3:$D$119,3,FALSE)</f>
        <v>Fretes Karams</v>
      </c>
      <c r="I261" s="77" t="str">
        <f>IFERROR(VLOOKUP(DESPESAS[[#This Row],[Fornecedor]],Tabela2[],2,FALSE),"")</f>
        <v/>
      </c>
      <c r="J261" s="77" t="str">
        <f>IFERROR(VLOOKUP(DESPESAS[[#This Row],[Plano de Contas]],BASE!$B$3:$F$119,4,FALSE),"")</f>
        <v>6 - DESPESA COM VENDAS</v>
      </c>
      <c r="K261" s="77" t="str">
        <f>IFERROR(VLOOKUP(DESPESAS[[#This Row],[Plano de Contas]],BASE!$B$3:$H$119,5,FALSE),"")</f>
        <v>LOGÍSTICA</v>
      </c>
      <c r="L261" s="77">
        <f>IFERROR(VLOOKUP(DESPESAS[[#This Row],[Plano de Contas]],BASE!$B$3:$H$119,6,FALSE),"")</f>
        <v>0</v>
      </c>
      <c r="M261" s="77" t="str">
        <f>VLOOKUP(DESPESAS[[#This Row],[Plano de Contas]],BASE!$B$3:$H$119,7,FALSE)</f>
        <v>MYLENA</v>
      </c>
    </row>
    <row r="262" spans="1:13" x14ac:dyDescent="0.25">
      <c r="A262" s="74">
        <v>196429</v>
      </c>
      <c r="B262" s="75" t="s">
        <v>221</v>
      </c>
      <c r="C262" s="75" t="s">
        <v>3206</v>
      </c>
      <c r="D262" s="76">
        <v>46030</v>
      </c>
      <c r="E262" s="75" t="s">
        <v>265</v>
      </c>
      <c r="F262" s="74">
        <v>50</v>
      </c>
      <c r="G262" s="75" t="s">
        <v>247</v>
      </c>
      <c r="H262" s="77" t="str">
        <f>VLOOKUP(DESPESAS[[#This Row],[Plano de Contas]],BASE!$B$3:$D$119,3,FALSE)</f>
        <v>Manutenção com veiculos</v>
      </c>
      <c r="I262" s="77" t="str">
        <f>IFERROR(VLOOKUP(DESPESAS[[#This Row],[Fornecedor]],Tabela2[],2,FALSE),"")</f>
        <v/>
      </c>
      <c r="J262" s="77" t="str">
        <f>IFERROR(VLOOKUP(DESPESAS[[#This Row],[Plano de Contas]],BASE!$B$3:$F$119,4,FALSE),"")</f>
        <v>6 - DESPESA COM VENDAS</v>
      </c>
      <c r="K262" s="77" t="str">
        <f>IFERROR(VLOOKUP(DESPESAS[[#This Row],[Plano de Contas]],BASE!$B$3:$H$119,5,FALSE),"")</f>
        <v>LOGÍSTICA</v>
      </c>
      <c r="L262" s="77">
        <f>IFERROR(VLOOKUP(DESPESAS[[#This Row],[Plano de Contas]],BASE!$B$3:$H$119,6,FALSE),"")</f>
        <v>0</v>
      </c>
      <c r="M262" s="77" t="str">
        <f>VLOOKUP(DESPESAS[[#This Row],[Plano de Contas]],BASE!$B$3:$H$119,7,FALSE)</f>
        <v>MYLENA</v>
      </c>
    </row>
    <row r="263" spans="1:13" x14ac:dyDescent="0.25">
      <c r="A263" s="74">
        <v>196431</v>
      </c>
      <c r="B263" s="75" t="s">
        <v>221</v>
      </c>
      <c r="C263" s="75" t="s">
        <v>3205</v>
      </c>
      <c r="D263" s="76">
        <v>46030</v>
      </c>
      <c r="E263" s="75" t="s">
        <v>245</v>
      </c>
      <c r="F263" s="74">
        <v>88</v>
      </c>
      <c r="G263" s="75" t="s">
        <v>244</v>
      </c>
      <c r="H263" s="77" t="str">
        <f>VLOOKUP(DESPESAS[[#This Row],[Plano de Contas]],BASE!$B$3:$D$119,3,FALSE)</f>
        <v>Material de Expediente (Prod)</v>
      </c>
      <c r="I263" s="77" t="str">
        <f>IFERROR(VLOOKUP(DESPESAS[[#This Row],[Fornecedor]],Tabela2[],2,FALSE),"")</f>
        <v>FERRAGENS GERAIS</v>
      </c>
      <c r="J263" s="77" t="str">
        <f>IFERROR(VLOOKUP(DESPESAS[[#This Row],[Plano de Contas]],BASE!$B$3:$F$119,4,FALSE),"")</f>
        <v>2 - CUSTOS DIRETOS</v>
      </c>
      <c r="K263" s="77" t="str">
        <f>IFERROR(VLOOKUP(DESPESAS[[#This Row],[Plano de Contas]],BASE!$B$3:$H$119,5,FALSE),"")</f>
        <v>PRODUÇÃO</v>
      </c>
      <c r="L263" s="77">
        <f>IFERROR(VLOOKUP(DESPESAS[[#This Row],[Plano de Contas]],BASE!$B$3:$H$119,6,FALSE),"")</f>
        <v>0</v>
      </c>
      <c r="M263" s="77" t="str">
        <f>VLOOKUP(DESPESAS[[#This Row],[Plano de Contas]],BASE!$B$3:$H$119,7,FALSE)</f>
        <v>RAFAEL</v>
      </c>
    </row>
    <row r="264" spans="1:13" x14ac:dyDescent="0.25">
      <c r="A264" s="74">
        <v>196432</v>
      </c>
      <c r="B264" s="75" t="s">
        <v>279</v>
      </c>
      <c r="C264" s="75" t="s">
        <v>3204</v>
      </c>
      <c r="D264" s="76">
        <v>46030</v>
      </c>
      <c r="E264" s="75" t="s">
        <v>230</v>
      </c>
      <c r="F264" s="74">
        <v>269.66000000000003</v>
      </c>
      <c r="G264" s="75" t="s">
        <v>229</v>
      </c>
      <c r="H264" s="77" t="str">
        <f>VLOOKUP(DESPESAS[[#This Row],[Plano de Contas]],BASE!$B$3:$D$119,3,FALSE)</f>
        <v>Despesas Bancarias</v>
      </c>
      <c r="I264" s="77" t="str">
        <f>IFERROR(VLOOKUP(DESPESAS[[#This Row],[Fornecedor]],Tabela2[],2,FALSE),"")</f>
        <v/>
      </c>
      <c r="J264" s="77" t="str">
        <f>IFERROR(VLOOKUP(DESPESAS[[#This Row],[Plano de Contas]],BASE!$B$3:$F$119,4,FALSE),"")</f>
        <v>8 - DESPESAS FINANCEIRAS</v>
      </c>
      <c r="K264" s="77" t="str">
        <f>IFERROR(VLOOKUP(DESPESAS[[#This Row],[Plano de Contas]],BASE!$B$3:$H$119,5,FALSE),"")</f>
        <v>FINANCEIRO</v>
      </c>
      <c r="L264" s="77">
        <f>IFERROR(VLOOKUP(DESPESAS[[#This Row],[Plano de Contas]],BASE!$B$3:$H$119,6,FALSE),"")</f>
        <v>0</v>
      </c>
      <c r="M264" s="77" t="str">
        <f>VLOOKUP(DESPESAS[[#This Row],[Plano de Contas]],BASE!$B$3:$H$119,7,FALSE)</f>
        <v>LETÍCIA</v>
      </c>
    </row>
    <row r="265" spans="1:13" x14ac:dyDescent="0.25">
      <c r="A265" s="74">
        <v>196433</v>
      </c>
      <c r="B265" s="75" t="s">
        <v>279</v>
      </c>
      <c r="C265" s="75" t="s">
        <v>3203</v>
      </c>
      <c r="D265" s="76">
        <v>46030</v>
      </c>
      <c r="E265" s="75" t="s">
        <v>230</v>
      </c>
      <c r="F265" s="74">
        <v>287.89</v>
      </c>
      <c r="G265" s="75" t="s">
        <v>229</v>
      </c>
      <c r="H265" s="77" t="str">
        <f>VLOOKUP(DESPESAS[[#This Row],[Plano de Contas]],BASE!$B$3:$D$119,3,FALSE)</f>
        <v>Despesas Bancarias</v>
      </c>
      <c r="I265" s="77" t="str">
        <f>IFERROR(VLOOKUP(DESPESAS[[#This Row],[Fornecedor]],Tabela2[],2,FALSE),"")</f>
        <v/>
      </c>
      <c r="J265" s="77" t="str">
        <f>IFERROR(VLOOKUP(DESPESAS[[#This Row],[Plano de Contas]],BASE!$B$3:$F$119,4,FALSE),"")</f>
        <v>8 - DESPESAS FINANCEIRAS</v>
      </c>
      <c r="K265" s="77" t="str">
        <f>IFERROR(VLOOKUP(DESPESAS[[#This Row],[Plano de Contas]],BASE!$B$3:$H$119,5,FALSE),"")</f>
        <v>FINANCEIRO</v>
      </c>
      <c r="L265" s="77">
        <f>IFERROR(VLOOKUP(DESPESAS[[#This Row],[Plano de Contas]],BASE!$B$3:$H$119,6,FALSE),"")</f>
        <v>0</v>
      </c>
      <c r="M265" s="77" t="str">
        <f>VLOOKUP(DESPESAS[[#This Row],[Plano de Contas]],BASE!$B$3:$H$119,7,FALSE)</f>
        <v>LETÍCIA</v>
      </c>
    </row>
    <row r="266" spans="1:13" x14ac:dyDescent="0.25">
      <c r="A266" s="74">
        <v>196434</v>
      </c>
      <c r="B266" s="75" t="s">
        <v>279</v>
      </c>
      <c r="C266" s="75" t="s">
        <v>3202</v>
      </c>
      <c r="D266" s="76">
        <v>46030</v>
      </c>
      <c r="E266" s="75" t="s">
        <v>230</v>
      </c>
      <c r="F266" s="74">
        <v>1636.32</v>
      </c>
      <c r="G266" s="75" t="s">
        <v>251</v>
      </c>
      <c r="H266" s="77" t="str">
        <f>VLOOKUP(DESPESAS[[#This Row],[Plano de Contas]],BASE!$B$3:$D$119,3,FALSE)</f>
        <v>Juros Pagos - Antecipação de Crédito</v>
      </c>
      <c r="I266" s="77" t="str">
        <f>IFERROR(VLOOKUP(DESPESAS[[#This Row],[Fornecedor]],Tabela2[],2,FALSE),"")</f>
        <v/>
      </c>
      <c r="J266" s="77" t="str">
        <f>IFERROR(VLOOKUP(DESPESAS[[#This Row],[Plano de Contas]],BASE!$B$3:$F$119,4,FALSE),"")</f>
        <v>8 - DESPESAS FINANCEIRAS</v>
      </c>
      <c r="K266" s="77" t="str">
        <f>IFERROR(VLOOKUP(DESPESAS[[#This Row],[Plano de Contas]],BASE!$B$3:$H$119,5,FALSE),"")</f>
        <v>FINANCEIRO</v>
      </c>
      <c r="L266" s="77">
        <f>IFERROR(VLOOKUP(DESPESAS[[#This Row],[Plano de Contas]],BASE!$B$3:$H$119,6,FALSE),"")</f>
        <v>0</v>
      </c>
      <c r="M266" s="77" t="str">
        <f>VLOOKUP(DESPESAS[[#This Row],[Plano de Contas]],BASE!$B$3:$H$119,7,FALSE)</f>
        <v>LETÍCIA</v>
      </c>
    </row>
    <row r="267" spans="1:13" x14ac:dyDescent="0.25">
      <c r="A267" s="74">
        <v>196435</v>
      </c>
      <c r="B267" s="75" t="s">
        <v>221</v>
      </c>
      <c r="C267" s="75" t="s">
        <v>2149</v>
      </c>
      <c r="D267" s="76">
        <v>46030</v>
      </c>
      <c r="E267" s="75" t="s">
        <v>1262</v>
      </c>
      <c r="F267" s="74">
        <v>698.44</v>
      </c>
      <c r="G267" s="75" t="s">
        <v>241</v>
      </c>
      <c r="H267" s="77" t="str">
        <f>VLOOKUP(DESPESAS[[#This Row],[Plano de Contas]],BASE!$B$3:$D$119,3,FALSE)</f>
        <v>Combustiveis Frota</v>
      </c>
      <c r="I267" s="77" t="str">
        <f>IFERROR(VLOOKUP(DESPESAS[[#This Row],[Fornecedor]],Tabela2[],2,FALSE),"")</f>
        <v/>
      </c>
      <c r="J267" s="77" t="str">
        <f>IFERROR(VLOOKUP(DESPESAS[[#This Row],[Plano de Contas]],BASE!$B$3:$F$119,4,FALSE),"")</f>
        <v>6 - DESPESA COM VENDAS</v>
      </c>
      <c r="K267" s="77" t="str">
        <f>IFERROR(VLOOKUP(DESPESAS[[#This Row],[Plano de Contas]],BASE!$B$3:$H$119,5,FALSE),"")</f>
        <v>LOGÍSTICA</v>
      </c>
      <c r="L267" s="77">
        <f>IFERROR(VLOOKUP(DESPESAS[[#This Row],[Plano de Contas]],BASE!$B$3:$H$119,6,FALSE),"")</f>
        <v>0</v>
      </c>
      <c r="M267" s="77" t="str">
        <f>VLOOKUP(DESPESAS[[#This Row],[Plano de Contas]],BASE!$B$3:$H$119,7,FALSE)</f>
        <v>MYLENA</v>
      </c>
    </row>
    <row r="268" spans="1:13" x14ac:dyDescent="0.25">
      <c r="A268" s="74">
        <v>196436</v>
      </c>
      <c r="B268" s="75" t="s">
        <v>221</v>
      </c>
      <c r="C268" s="75" t="s">
        <v>3201</v>
      </c>
      <c r="D268" s="76">
        <v>46030</v>
      </c>
      <c r="E268" s="75" t="s">
        <v>413</v>
      </c>
      <c r="F268" s="74">
        <v>1110</v>
      </c>
      <c r="G268" s="75" t="s">
        <v>241</v>
      </c>
      <c r="H268" s="77" t="str">
        <f>VLOOKUP(DESPESAS[[#This Row],[Plano de Contas]],BASE!$B$3:$D$119,3,FALSE)</f>
        <v>Combustiveis Frota</v>
      </c>
      <c r="I268" s="77" t="str">
        <f>IFERROR(VLOOKUP(DESPESAS[[#This Row],[Fornecedor]],Tabela2[],2,FALSE),"")</f>
        <v/>
      </c>
      <c r="J268" s="77" t="str">
        <f>IFERROR(VLOOKUP(DESPESAS[[#This Row],[Plano de Contas]],BASE!$B$3:$F$119,4,FALSE),"")</f>
        <v>6 - DESPESA COM VENDAS</v>
      </c>
      <c r="K268" s="77" t="str">
        <f>IFERROR(VLOOKUP(DESPESAS[[#This Row],[Plano de Contas]],BASE!$B$3:$H$119,5,FALSE),"")</f>
        <v>LOGÍSTICA</v>
      </c>
      <c r="L268" s="77">
        <f>IFERROR(VLOOKUP(DESPESAS[[#This Row],[Plano de Contas]],BASE!$B$3:$H$119,6,FALSE),"")</f>
        <v>0</v>
      </c>
      <c r="M268" s="77" t="str">
        <f>VLOOKUP(DESPESAS[[#This Row],[Plano de Contas]],BASE!$B$3:$H$119,7,FALSE)</f>
        <v>MYLENA</v>
      </c>
    </row>
    <row r="269" spans="1:13" x14ac:dyDescent="0.25">
      <c r="A269" s="74">
        <v>196437</v>
      </c>
      <c r="B269" s="75" t="s">
        <v>221</v>
      </c>
      <c r="C269" s="75" t="s">
        <v>3200</v>
      </c>
      <c r="D269" s="76">
        <v>46030</v>
      </c>
      <c r="E269" s="75" t="s">
        <v>413</v>
      </c>
      <c r="F269" s="74">
        <v>1050</v>
      </c>
      <c r="G269" s="75" t="s">
        <v>262</v>
      </c>
      <c r="H269" s="77" t="str">
        <f>VLOOKUP(DESPESAS[[#This Row],[Plano de Contas]],BASE!$B$3:$D$119,3,FALSE)</f>
        <v>Fretes Karams</v>
      </c>
      <c r="I269" s="77" t="str">
        <f>IFERROR(VLOOKUP(DESPESAS[[#This Row],[Fornecedor]],Tabela2[],2,FALSE),"")</f>
        <v/>
      </c>
      <c r="J269" s="77" t="str">
        <f>IFERROR(VLOOKUP(DESPESAS[[#This Row],[Plano de Contas]],BASE!$B$3:$F$119,4,FALSE),"")</f>
        <v>6 - DESPESA COM VENDAS</v>
      </c>
      <c r="K269" s="77" t="str">
        <f>IFERROR(VLOOKUP(DESPESAS[[#This Row],[Plano de Contas]],BASE!$B$3:$H$119,5,FALSE),"")</f>
        <v>LOGÍSTICA</v>
      </c>
      <c r="L269" s="77">
        <f>IFERROR(VLOOKUP(DESPESAS[[#This Row],[Plano de Contas]],BASE!$B$3:$H$119,6,FALSE),"")</f>
        <v>0</v>
      </c>
      <c r="M269" s="77" t="str">
        <f>VLOOKUP(DESPESAS[[#This Row],[Plano de Contas]],BASE!$B$3:$H$119,7,FALSE)</f>
        <v>MYLENA</v>
      </c>
    </row>
    <row r="270" spans="1:13" x14ac:dyDescent="0.25">
      <c r="A270" s="74">
        <v>196438</v>
      </c>
      <c r="B270" s="75" t="s">
        <v>221</v>
      </c>
      <c r="C270" s="75" t="s">
        <v>3199</v>
      </c>
      <c r="D270" s="76">
        <v>46030</v>
      </c>
      <c r="E270" s="75" t="s">
        <v>1732</v>
      </c>
      <c r="F270" s="74">
        <v>2242.1799999999998</v>
      </c>
      <c r="G270" s="75" t="s">
        <v>241</v>
      </c>
      <c r="H270" s="77" t="str">
        <f>VLOOKUP(DESPESAS[[#This Row],[Plano de Contas]],BASE!$B$3:$D$119,3,FALSE)</f>
        <v>Combustiveis Frota</v>
      </c>
      <c r="I270" s="77" t="str">
        <f>IFERROR(VLOOKUP(DESPESAS[[#This Row],[Fornecedor]],Tabela2[],2,FALSE),"")</f>
        <v/>
      </c>
      <c r="J270" s="77" t="str">
        <f>IFERROR(VLOOKUP(DESPESAS[[#This Row],[Plano de Contas]],BASE!$B$3:$F$119,4,FALSE),"")</f>
        <v>6 - DESPESA COM VENDAS</v>
      </c>
      <c r="K270" s="77" t="str">
        <f>IFERROR(VLOOKUP(DESPESAS[[#This Row],[Plano de Contas]],BASE!$B$3:$H$119,5,FALSE),"")</f>
        <v>LOGÍSTICA</v>
      </c>
      <c r="L270" s="77">
        <f>IFERROR(VLOOKUP(DESPESAS[[#This Row],[Plano de Contas]],BASE!$B$3:$H$119,6,FALSE),"")</f>
        <v>0</v>
      </c>
      <c r="M270" s="77" t="str">
        <f>VLOOKUP(DESPESAS[[#This Row],[Plano de Contas]],BASE!$B$3:$H$119,7,FALSE)</f>
        <v>MYLENA</v>
      </c>
    </row>
    <row r="271" spans="1:13" x14ac:dyDescent="0.25">
      <c r="A271" s="74">
        <v>196439</v>
      </c>
      <c r="B271" s="75" t="s">
        <v>221</v>
      </c>
      <c r="C271" s="75" t="s">
        <v>3198</v>
      </c>
      <c r="D271" s="76">
        <v>46030</v>
      </c>
      <c r="E271" s="75" t="s">
        <v>442</v>
      </c>
      <c r="F271" s="74">
        <v>910</v>
      </c>
      <c r="G271" s="75" t="s">
        <v>262</v>
      </c>
      <c r="H271" s="77" t="str">
        <f>VLOOKUP(DESPESAS[[#This Row],[Plano de Contas]],BASE!$B$3:$D$119,3,FALSE)</f>
        <v>Fretes Karams</v>
      </c>
      <c r="I271" s="77" t="str">
        <f>IFERROR(VLOOKUP(DESPESAS[[#This Row],[Fornecedor]],Tabela2[],2,FALSE),"")</f>
        <v/>
      </c>
      <c r="J271" s="77" t="str">
        <f>IFERROR(VLOOKUP(DESPESAS[[#This Row],[Plano de Contas]],BASE!$B$3:$F$119,4,FALSE),"")</f>
        <v>6 - DESPESA COM VENDAS</v>
      </c>
      <c r="K271" s="77" t="str">
        <f>IFERROR(VLOOKUP(DESPESAS[[#This Row],[Plano de Contas]],BASE!$B$3:$H$119,5,FALSE),"")</f>
        <v>LOGÍSTICA</v>
      </c>
      <c r="L271" s="77">
        <f>IFERROR(VLOOKUP(DESPESAS[[#This Row],[Plano de Contas]],BASE!$B$3:$H$119,6,FALSE),"")</f>
        <v>0</v>
      </c>
      <c r="M271" s="77" t="str">
        <f>VLOOKUP(DESPESAS[[#This Row],[Plano de Contas]],BASE!$B$3:$H$119,7,FALSE)</f>
        <v>MYLENA</v>
      </c>
    </row>
    <row r="272" spans="1:13" x14ac:dyDescent="0.25">
      <c r="A272" s="74">
        <v>196440</v>
      </c>
      <c r="B272" s="75" t="s">
        <v>232</v>
      </c>
      <c r="C272" s="75" t="s">
        <v>3197</v>
      </c>
      <c r="D272" s="76">
        <v>46030</v>
      </c>
      <c r="E272" s="75" t="s">
        <v>1234</v>
      </c>
      <c r="F272" s="74">
        <v>732.57</v>
      </c>
      <c r="G272" s="75" t="s">
        <v>241</v>
      </c>
      <c r="H272" s="77" t="str">
        <f>VLOOKUP(DESPESAS[[#This Row],[Plano de Contas]],BASE!$B$3:$D$119,3,FALSE)</f>
        <v>Combustiveis Frota</v>
      </c>
      <c r="I272" s="77" t="str">
        <f>IFERROR(VLOOKUP(DESPESAS[[#This Row],[Fornecedor]],Tabela2[],2,FALSE),"")</f>
        <v/>
      </c>
      <c r="J272" s="77" t="str">
        <f>IFERROR(VLOOKUP(DESPESAS[[#This Row],[Plano de Contas]],BASE!$B$3:$F$119,4,FALSE),"")</f>
        <v>6 - DESPESA COM VENDAS</v>
      </c>
      <c r="K272" s="77" t="str">
        <f>IFERROR(VLOOKUP(DESPESAS[[#This Row],[Plano de Contas]],BASE!$B$3:$H$119,5,FALSE),"")</f>
        <v>LOGÍSTICA</v>
      </c>
      <c r="L272" s="77">
        <f>IFERROR(VLOOKUP(DESPESAS[[#This Row],[Plano de Contas]],BASE!$B$3:$H$119,6,FALSE),"")</f>
        <v>0</v>
      </c>
      <c r="M272" s="77" t="str">
        <f>VLOOKUP(DESPESAS[[#This Row],[Plano de Contas]],BASE!$B$3:$H$119,7,FALSE)</f>
        <v>MYLENA</v>
      </c>
    </row>
    <row r="273" spans="1:13" x14ac:dyDescent="0.25">
      <c r="A273" s="74">
        <v>196441</v>
      </c>
      <c r="B273" s="75" t="s">
        <v>232</v>
      </c>
      <c r="C273" s="75" t="s">
        <v>3196</v>
      </c>
      <c r="D273" s="76">
        <v>46030</v>
      </c>
      <c r="E273" s="75" t="s">
        <v>1234</v>
      </c>
      <c r="F273" s="74">
        <v>92.08</v>
      </c>
      <c r="G273" s="75" t="s">
        <v>241</v>
      </c>
      <c r="H273" s="77" t="str">
        <f>VLOOKUP(DESPESAS[[#This Row],[Plano de Contas]],BASE!$B$3:$D$119,3,FALSE)</f>
        <v>Combustiveis Frota</v>
      </c>
      <c r="I273" s="77" t="str">
        <f>IFERROR(VLOOKUP(DESPESAS[[#This Row],[Fornecedor]],Tabela2[],2,FALSE),"")</f>
        <v/>
      </c>
      <c r="J273" s="77" t="str">
        <f>IFERROR(VLOOKUP(DESPESAS[[#This Row],[Plano de Contas]],BASE!$B$3:$F$119,4,FALSE),"")</f>
        <v>6 - DESPESA COM VENDAS</v>
      </c>
      <c r="K273" s="77" t="str">
        <f>IFERROR(VLOOKUP(DESPESAS[[#This Row],[Plano de Contas]],BASE!$B$3:$H$119,5,FALSE),"")</f>
        <v>LOGÍSTICA</v>
      </c>
      <c r="L273" s="77">
        <f>IFERROR(VLOOKUP(DESPESAS[[#This Row],[Plano de Contas]],BASE!$B$3:$H$119,6,FALSE),"")</f>
        <v>0</v>
      </c>
      <c r="M273" s="77" t="str">
        <f>VLOOKUP(DESPESAS[[#This Row],[Plano de Contas]],BASE!$B$3:$H$119,7,FALSE)</f>
        <v>MYLENA</v>
      </c>
    </row>
    <row r="274" spans="1:13" x14ac:dyDescent="0.25">
      <c r="A274" s="74">
        <v>196444</v>
      </c>
      <c r="B274" s="75" t="s">
        <v>221</v>
      </c>
      <c r="C274" s="75" t="s">
        <v>3195</v>
      </c>
      <c r="D274" s="76">
        <v>46030</v>
      </c>
      <c r="E274" s="75" t="s">
        <v>970</v>
      </c>
      <c r="F274" s="74">
        <v>30</v>
      </c>
      <c r="G274" s="75" t="s">
        <v>719</v>
      </c>
      <c r="H274" s="77" t="str">
        <f>VLOOKUP(DESPESAS[[#This Row],[Plano de Contas]],BASE!$B$3:$D$119,3,FALSE)</f>
        <v>Outros Serviços de Terceiros</v>
      </c>
      <c r="I274" s="77" t="str">
        <f>IFERROR(VLOOKUP(DESPESAS[[#This Row],[Fornecedor]],Tabela2[],2,FALSE),"")</f>
        <v/>
      </c>
      <c r="J274" s="77" t="str">
        <f>IFERROR(VLOOKUP(DESPESAS[[#This Row],[Plano de Contas]],BASE!$B$3:$F$119,4,FALSE),"")</f>
        <v>7 - SERVIÇOS DE TERCEIROS</v>
      </c>
      <c r="K274" s="77" t="str">
        <f>IFERROR(VLOOKUP(DESPESAS[[#This Row],[Plano de Contas]],BASE!$B$3:$H$119,5,FALSE),"")</f>
        <v>FINANCEIRO</v>
      </c>
      <c r="L274" s="77">
        <f>IFERROR(VLOOKUP(DESPESAS[[#This Row],[Plano de Contas]],BASE!$B$3:$H$119,6,FALSE),"")</f>
        <v>0</v>
      </c>
      <c r="M274" s="77" t="str">
        <f>VLOOKUP(DESPESAS[[#This Row],[Plano de Contas]],BASE!$B$3:$H$119,7,FALSE)</f>
        <v>LETÍCIA</v>
      </c>
    </row>
    <row r="275" spans="1:13" x14ac:dyDescent="0.25">
      <c r="A275" s="74">
        <v>196445</v>
      </c>
      <c r="B275" s="75" t="s">
        <v>221</v>
      </c>
      <c r="C275" s="75" t="s">
        <v>3194</v>
      </c>
      <c r="D275" s="76">
        <v>46030</v>
      </c>
      <c r="E275" s="75" t="s">
        <v>375</v>
      </c>
      <c r="F275" s="74">
        <v>370.71</v>
      </c>
      <c r="G275" s="75" t="s">
        <v>374</v>
      </c>
      <c r="H275" s="77" t="str">
        <f>VLOOKUP(DESPESAS[[#This Row],[Plano de Contas]],BASE!$B$3:$D$119,3,FALSE)</f>
        <v>Consultoria Empresarial</v>
      </c>
      <c r="I275" s="77" t="str">
        <f>IFERROR(VLOOKUP(DESPESAS[[#This Row],[Fornecedor]],Tabela2[],2,FALSE),"")</f>
        <v/>
      </c>
      <c r="J275" s="77" t="str">
        <f>IFERROR(VLOOKUP(DESPESAS[[#This Row],[Plano de Contas]],BASE!$B$3:$F$119,4,FALSE),"")</f>
        <v>7 - SERVIÇOS DE TERCEIROS</v>
      </c>
      <c r="K275" s="77" t="str">
        <f>IFERROR(VLOOKUP(DESPESAS[[#This Row],[Plano de Contas]],BASE!$B$3:$H$119,5,FALSE),"")</f>
        <v>FINANCEIRO</v>
      </c>
      <c r="L275" s="77">
        <f>IFERROR(VLOOKUP(DESPESAS[[#This Row],[Plano de Contas]],BASE!$B$3:$H$119,6,FALSE),"")</f>
        <v>0</v>
      </c>
      <c r="M275" s="77" t="str">
        <f>VLOOKUP(DESPESAS[[#This Row],[Plano de Contas]],BASE!$B$3:$H$119,7,FALSE)</f>
        <v>LETÍCIA</v>
      </c>
    </row>
    <row r="276" spans="1:13" x14ac:dyDescent="0.25">
      <c r="A276" s="74">
        <v>196446</v>
      </c>
      <c r="B276" s="75" t="s">
        <v>221</v>
      </c>
      <c r="C276" s="75" t="s">
        <v>3096</v>
      </c>
      <c r="D276" s="76">
        <v>46030</v>
      </c>
      <c r="E276" s="75" t="s">
        <v>570</v>
      </c>
      <c r="F276" s="74">
        <v>16000</v>
      </c>
      <c r="G276" s="75" t="s">
        <v>365</v>
      </c>
      <c r="H276" s="77" t="str">
        <f>VLOOKUP(DESPESAS[[#This Row],[Plano de Contas]],BASE!$B$3:$D$119,3,FALSE)</f>
        <v>Pró-Labore</v>
      </c>
      <c r="I276" s="77" t="str">
        <f>IFERROR(VLOOKUP(DESPESAS[[#This Row],[Fornecedor]],Tabela2[],2,FALSE),"")</f>
        <v/>
      </c>
      <c r="J276" s="77" t="str">
        <f>IFERROR(VLOOKUP(DESPESAS[[#This Row],[Plano de Contas]],BASE!$B$3:$F$119,4,FALSE),"")</f>
        <v>4 - GASTOS COM PESSOAL</v>
      </c>
      <c r="K276" s="77" t="str">
        <f>IFERROR(VLOOKUP(DESPESAS[[#This Row],[Plano de Contas]],BASE!$B$3:$H$119,5,FALSE),"")</f>
        <v>DIRETORIA</v>
      </c>
      <c r="L276" s="77">
        <f>IFERROR(VLOOKUP(DESPESAS[[#This Row],[Plano de Contas]],BASE!$B$3:$H$119,6,FALSE),"")</f>
        <v>0</v>
      </c>
      <c r="M276" s="77" t="str">
        <f>VLOOKUP(DESPESAS[[#This Row],[Plano de Contas]],BASE!$B$3:$H$119,7,FALSE)</f>
        <v>FÁBIO</v>
      </c>
    </row>
    <row r="277" spans="1:13" x14ac:dyDescent="0.25">
      <c r="A277" s="74">
        <v>196447</v>
      </c>
      <c r="B277" s="75" t="s">
        <v>221</v>
      </c>
      <c r="C277" s="75" t="s">
        <v>3193</v>
      </c>
      <c r="D277" s="76">
        <v>46030</v>
      </c>
      <c r="E277" s="75" t="s">
        <v>245</v>
      </c>
      <c r="F277" s="74">
        <v>87.6</v>
      </c>
      <c r="G277" s="75" t="s">
        <v>247</v>
      </c>
      <c r="H277" s="77" t="str">
        <f>VLOOKUP(DESPESAS[[#This Row],[Plano de Contas]],BASE!$B$3:$D$119,3,FALSE)</f>
        <v>Manutenção com veiculos</v>
      </c>
      <c r="I277" s="77" t="str">
        <f>IFERROR(VLOOKUP(DESPESAS[[#This Row],[Fornecedor]],Tabela2[],2,FALSE),"")</f>
        <v>FERRAGENS GERAIS</v>
      </c>
      <c r="J277" s="77" t="str">
        <f>IFERROR(VLOOKUP(DESPESAS[[#This Row],[Plano de Contas]],BASE!$B$3:$F$119,4,FALSE),"")</f>
        <v>6 - DESPESA COM VENDAS</v>
      </c>
      <c r="K277" s="77" t="str">
        <f>IFERROR(VLOOKUP(DESPESAS[[#This Row],[Plano de Contas]],BASE!$B$3:$H$119,5,FALSE),"")</f>
        <v>LOGÍSTICA</v>
      </c>
      <c r="L277" s="77">
        <f>IFERROR(VLOOKUP(DESPESAS[[#This Row],[Plano de Contas]],BASE!$B$3:$H$119,6,FALSE),"")</f>
        <v>0</v>
      </c>
      <c r="M277" s="77" t="str">
        <f>VLOOKUP(DESPESAS[[#This Row],[Plano de Contas]],BASE!$B$3:$H$119,7,FALSE)</f>
        <v>MYLENA</v>
      </c>
    </row>
    <row r="278" spans="1:13" x14ac:dyDescent="0.25">
      <c r="A278" s="74">
        <v>196448</v>
      </c>
      <c r="B278" s="75" t="s">
        <v>221</v>
      </c>
      <c r="C278" s="75" t="s">
        <v>3192</v>
      </c>
      <c r="D278" s="76">
        <v>46030</v>
      </c>
      <c r="E278" s="75" t="s">
        <v>287</v>
      </c>
      <c r="F278" s="74">
        <v>131</v>
      </c>
      <c r="G278" s="75" t="s">
        <v>247</v>
      </c>
      <c r="H278" s="77" t="str">
        <f>VLOOKUP(DESPESAS[[#This Row],[Plano de Contas]],BASE!$B$3:$D$119,3,FALSE)</f>
        <v>Manutenção com veiculos</v>
      </c>
      <c r="I278" s="77" t="str">
        <f>IFERROR(VLOOKUP(DESPESAS[[#This Row],[Fornecedor]],Tabela2[],2,FALSE),"")</f>
        <v/>
      </c>
      <c r="J278" s="77" t="str">
        <f>IFERROR(VLOOKUP(DESPESAS[[#This Row],[Plano de Contas]],BASE!$B$3:$F$119,4,FALSE),"")</f>
        <v>6 - DESPESA COM VENDAS</v>
      </c>
      <c r="K278" s="77" t="str">
        <f>IFERROR(VLOOKUP(DESPESAS[[#This Row],[Plano de Contas]],BASE!$B$3:$H$119,5,FALSE),"")</f>
        <v>LOGÍSTICA</v>
      </c>
      <c r="L278" s="77">
        <f>IFERROR(VLOOKUP(DESPESAS[[#This Row],[Plano de Contas]],BASE!$B$3:$H$119,6,FALSE),"")</f>
        <v>0</v>
      </c>
      <c r="M278" s="77" t="str">
        <f>VLOOKUP(DESPESAS[[#This Row],[Plano de Contas]],BASE!$B$3:$H$119,7,FALSE)</f>
        <v>MYLENA</v>
      </c>
    </row>
    <row r="279" spans="1:13" x14ac:dyDescent="0.25">
      <c r="A279" s="74">
        <v>196449</v>
      </c>
      <c r="B279" s="75" t="s">
        <v>232</v>
      </c>
      <c r="C279" s="75" t="s">
        <v>3191</v>
      </c>
      <c r="D279" s="76">
        <v>46030</v>
      </c>
      <c r="E279" s="75" t="s">
        <v>471</v>
      </c>
      <c r="F279" s="74">
        <v>250.26</v>
      </c>
      <c r="G279" s="75" t="s">
        <v>244</v>
      </c>
      <c r="H279" s="77" t="str">
        <f>VLOOKUP(DESPESAS[[#This Row],[Plano de Contas]],BASE!$B$3:$D$119,3,FALSE)</f>
        <v>Material de Expediente (Prod)</v>
      </c>
      <c r="I279" s="77" t="str">
        <f>IFERROR(VLOOKUP(DESPESAS[[#This Row],[Fornecedor]],Tabela2[],2,FALSE),"")</f>
        <v/>
      </c>
      <c r="J279" s="77" t="str">
        <f>IFERROR(VLOOKUP(DESPESAS[[#This Row],[Plano de Contas]],BASE!$B$3:$F$119,4,FALSE),"")</f>
        <v>2 - CUSTOS DIRETOS</v>
      </c>
      <c r="K279" s="77" t="str">
        <f>IFERROR(VLOOKUP(DESPESAS[[#This Row],[Plano de Contas]],BASE!$B$3:$H$119,5,FALSE),"")</f>
        <v>PRODUÇÃO</v>
      </c>
      <c r="L279" s="77">
        <f>IFERROR(VLOOKUP(DESPESAS[[#This Row],[Plano de Contas]],BASE!$B$3:$H$119,6,FALSE),"")</f>
        <v>0</v>
      </c>
      <c r="M279" s="77" t="str">
        <f>VLOOKUP(DESPESAS[[#This Row],[Plano de Contas]],BASE!$B$3:$H$119,7,FALSE)</f>
        <v>RAFAEL</v>
      </c>
    </row>
    <row r="280" spans="1:13" x14ac:dyDescent="0.25">
      <c r="A280" s="74">
        <v>196450</v>
      </c>
      <c r="B280" s="75" t="s">
        <v>221</v>
      </c>
      <c r="C280" s="75" t="s">
        <v>3190</v>
      </c>
      <c r="D280" s="76">
        <v>46030</v>
      </c>
      <c r="E280" s="75" t="s">
        <v>301</v>
      </c>
      <c r="F280" s="74">
        <v>40</v>
      </c>
      <c r="G280" s="75" t="s">
        <v>247</v>
      </c>
      <c r="H280" s="77" t="str">
        <f>VLOOKUP(DESPESAS[[#This Row],[Plano de Contas]],BASE!$B$3:$D$119,3,FALSE)</f>
        <v>Manutenção com veiculos</v>
      </c>
      <c r="I280" s="77" t="str">
        <f>IFERROR(VLOOKUP(DESPESAS[[#This Row],[Fornecedor]],Tabela2[],2,FALSE),"")</f>
        <v/>
      </c>
      <c r="J280" s="77" t="str">
        <f>IFERROR(VLOOKUP(DESPESAS[[#This Row],[Plano de Contas]],BASE!$B$3:$F$119,4,FALSE),"")</f>
        <v>6 - DESPESA COM VENDAS</v>
      </c>
      <c r="K280" s="77" t="str">
        <f>IFERROR(VLOOKUP(DESPESAS[[#This Row],[Plano de Contas]],BASE!$B$3:$H$119,5,FALSE),"")</f>
        <v>LOGÍSTICA</v>
      </c>
      <c r="L280" s="77">
        <f>IFERROR(VLOOKUP(DESPESAS[[#This Row],[Plano de Contas]],BASE!$B$3:$H$119,6,FALSE),"")</f>
        <v>0</v>
      </c>
      <c r="M280" s="77" t="str">
        <f>VLOOKUP(DESPESAS[[#This Row],[Plano de Contas]],BASE!$B$3:$H$119,7,FALSE)</f>
        <v>MYLENA</v>
      </c>
    </row>
    <row r="281" spans="1:13" x14ac:dyDescent="0.25">
      <c r="A281" s="74">
        <v>196454</v>
      </c>
      <c r="B281" s="75" t="s">
        <v>232</v>
      </c>
      <c r="C281" s="75" t="s">
        <v>3189</v>
      </c>
      <c r="D281" s="76">
        <v>46030</v>
      </c>
      <c r="E281" s="75" t="s">
        <v>260</v>
      </c>
      <c r="F281" s="74">
        <v>304</v>
      </c>
      <c r="G281" s="75" t="s">
        <v>1318</v>
      </c>
      <c r="H281" s="77" t="str">
        <f>VLOOKUP(DESPESAS[[#This Row],[Plano de Contas]],BASE!$B$3:$D$119,3,FALSE)</f>
        <v>Feiras e Eventos</v>
      </c>
      <c r="I281" s="77" t="str">
        <f>IFERROR(VLOOKUP(DESPESAS[[#This Row],[Fornecedor]],Tabela2[],2,FALSE),"")</f>
        <v>PEÇAS DE FERRAMENTAS</v>
      </c>
      <c r="J281" s="77" t="str">
        <f>IFERROR(VLOOKUP(DESPESAS[[#This Row],[Plano de Contas]],BASE!$B$3:$F$119,4,FALSE),"")</f>
        <v>6 - DESPESA COM VENDAS</v>
      </c>
      <c r="K281" s="77" t="str">
        <f>IFERROR(VLOOKUP(DESPESAS[[#This Row],[Plano de Contas]],BASE!$B$3:$H$119,5,FALSE),"")</f>
        <v>COMERCIAL</v>
      </c>
      <c r="L281" s="77">
        <f>IFERROR(VLOOKUP(DESPESAS[[#This Row],[Plano de Contas]],BASE!$B$3:$H$119,6,FALSE),"")</f>
        <v>0</v>
      </c>
      <c r="M281" s="77" t="str">
        <f>VLOOKUP(DESPESAS[[#This Row],[Plano de Contas]],BASE!$B$3:$H$119,7,FALSE)</f>
        <v>THAIS</v>
      </c>
    </row>
    <row r="282" spans="1:13" x14ac:dyDescent="0.25">
      <c r="A282" s="74">
        <v>196461</v>
      </c>
      <c r="B282" s="75" t="s">
        <v>232</v>
      </c>
      <c r="C282" s="75" t="s">
        <v>704</v>
      </c>
      <c r="D282" s="76">
        <v>46030</v>
      </c>
      <c r="E282" s="75" t="s">
        <v>703</v>
      </c>
      <c r="F282" s="74">
        <v>16.73</v>
      </c>
      <c r="G282" s="75" t="s">
        <v>1148</v>
      </c>
      <c r="H282" s="77" t="str">
        <f>VLOOKUP(DESPESAS[[#This Row],[Plano de Contas]],BASE!$B$3:$D$119,3,FALSE)</f>
        <v>Pedágio Frota</v>
      </c>
      <c r="I282" s="77" t="str">
        <f>IFERROR(VLOOKUP(DESPESAS[[#This Row],[Fornecedor]],Tabela2[],2,FALSE),"")</f>
        <v/>
      </c>
      <c r="J282" s="77" t="str">
        <f>IFERROR(VLOOKUP(DESPESAS[[#This Row],[Plano de Contas]],BASE!$B$3:$F$119,4,FALSE),"")</f>
        <v>6 - DESPESA COM VENDAS</v>
      </c>
      <c r="K282" s="77" t="str">
        <f>IFERROR(VLOOKUP(DESPESAS[[#This Row],[Plano de Contas]],BASE!$B$3:$H$119,5,FALSE),"")</f>
        <v>LOGÍSTICA</v>
      </c>
      <c r="L282" s="77">
        <f>IFERROR(VLOOKUP(DESPESAS[[#This Row],[Plano de Contas]],BASE!$B$3:$H$119,6,FALSE),"")</f>
        <v>0</v>
      </c>
      <c r="M282" s="77" t="str">
        <f>VLOOKUP(DESPESAS[[#This Row],[Plano de Contas]],BASE!$B$3:$H$119,7,FALSE)</f>
        <v>MYLENA</v>
      </c>
    </row>
    <row r="283" spans="1:13" x14ac:dyDescent="0.25">
      <c r="A283" s="74">
        <v>196462</v>
      </c>
      <c r="B283" s="75" t="s">
        <v>232</v>
      </c>
      <c r="C283" s="75" t="s">
        <v>3188</v>
      </c>
      <c r="D283" s="76">
        <v>46030</v>
      </c>
      <c r="E283" s="75" t="s">
        <v>230</v>
      </c>
      <c r="F283" s="74">
        <v>366.71</v>
      </c>
      <c r="G283" s="75" t="s">
        <v>229</v>
      </c>
      <c r="H283" s="77" t="str">
        <f>VLOOKUP(DESPESAS[[#This Row],[Plano de Contas]],BASE!$B$3:$D$119,3,FALSE)</f>
        <v>Despesas Bancarias</v>
      </c>
      <c r="I283" s="77" t="str">
        <f>IFERROR(VLOOKUP(DESPESAS[[#This Row],[Fornecedor]],Tabela2[],2,FALSE),"")</f>
        <v/>
      </c>
      <c r="J283" s="77" t="str">
        <f>IFERROR(VLOOKUP(DESPESAS[[#This Row],[Plano de Contas]],BASE!$B$3:$F$119,4,FALSE),"")</f>
        <v>8 - DESPESAS FINANCEIRAS</v>
      </c>
      <c r="K283" s="77" t="str">
        <f>IFERROR(VLOOKUP(DESPESAS[[#This Row],[Plano de Contas]],BASE!$B$3:$H$119,5,FALSE),"")</f>
        <v>FINANCEIRO</v>
      </c>
      <c r="L283" s="77">
        <f>IFERROR(VLOOKUP(DESPESAS[[#This Row],[Plano de Contas]],BASE!$B$3:$H$119,6,FALSE),"")</f>
        <v>0</v>
      </c>
      <c r="M283" s="77" t="str">
        <f>VLOOKUP(DESPESAS[[#This Row],[Plano de Contas]],BASE!$B$3:$H$119,7,FALSE)</f>
        <v>LETÍCIA</v>
      </c>
    </row>
    <row r="284" spans="1:13" x14ac:dyDescent="0.25">
      <c r="A284" s="74">
        <v>196463</v>
      </c>
      <c r="B284" s="75" t="s">
        <v>232</v>
      </c>
      <c r="C284" s="75" t="s">
        <v>3187</v>
      </c>
      <c r="D284" s="76">
        <v>46030</v>
      </c>
      <c r="E284" s="75" t="s">
        <v>230</v>
      </c>
      <c r="F284" s="74">
        <v>363.77</v>
      </c>
      <c r="G284" s="75" t="s">
        <v>229</v>
      </c>
      <c r="H284" s="77" t="str">
        <f>VLOOKUP(DESPESAS[[#This Row],[Plano de Contas]],BASE!$B$3:$D$119,3,FALSE)</f>
        <v>Despesas Bancarias</v>
      </c>
      <c r="I284" s="77" t="str">
        <f>IFERROR(VLOOKUP(DESPESAS[[#This Row],[Fornecedor]],Tabela2[],2,FALSE),"")</f>
        <v/>
      </c>
      <c r="J284" s="77" t="str">
        <f>IFERROR(VLOOKUP(DESPESAS[[#This Row],[Plano de Contas]],BASE!$B$3:$F$119,4,FALSE),"")</f>
        <v>8 - DESPESAS FINANCEIRAS</v>
      </c>
      <c r="K284" s="77" t="str">
        <f>IFERROR(VLOOKUP(DESPESAS[[#This Row],[Plano de Contas]],BASE!$B$3:$H$119,5,FALSE),"")</f>
        <v>FINANCEIRO</v>
      </c>
      <c r="L284" s="77">
        <f>IFERROR(VLOOKUP(DESPESAS[[#This Row],[Plano de Contas]],BASE!$B$3:$H$119,6,FALSE),"")</f>
        <v>0</v>
      </c>
      <c r="M284" s="77" t="str">
        <f>VLOOKUP(DESPESAS[[#This Row],[Plano de Contas]],BASE!$B$3:$H$119,7,FALSE)</f>
        <v>LETÍCIA</v>
      </c>
    </row>
    <row r="285" spans="1:13" x14ac:dyDescent="0.25">
      <c r="A285" s="74">
        <v>196464</v>
      </c>
      <c r="B285" s="75" t="s">
        <v>232</v>
      </c>
      <c r="C285" s="75" t="s">
        <v>3186</v>
      </c>
      <c r="D285" s="76">
        <v>46030</v>
      </c>
      <c r="E285" s="75" t="s">
        <v>230</v>
      </c>
      <c r="F285" s="74">
        <v>2195.4699999999998</v>
      </c>
      <c r="G285" s="75" t="s">
        <v>251</v>
      </c>
      <c r="H285" s="77" t="str">
        <f>VLOOKUP(DESPESAS[[#This Row],[Plano de Contas]],BASE!$B$3:$D$119,3,FALSE)</f>
        <v>Juros Pagos - Antecipação de Crédito</v>
      </c>
      <c r="I285" s="77" t="str">
        <f>IFERROR(VLOOKUP(DESPESAS[[#This Row],[Fornecedor]],Tabela2[],2,FALSE),"")</f>
        <v/>
      </c>
      <c r="J285" s="77" t="str">
        <f>IFERROR(VLOOKUP(DESPESAS[[#This Row],[Plano de Contas]],BASE!$B$3:$F$119,4,FALSE),"")</f>
        <v>8 - DESPESAS FINANCEIRAS</v>
      </c>
      <c r="K285" s="77" t="str">
        <f>IFERROR(VLOOKUP(DESPESAS[[#This Row],[Plano de Contas]],BASE!$B$3:$H$119,5,FALSE),"")</f>
        <v>FINANCEIRO</v>
      </c>
      <c r="L285" s="77">
        <f>IFERROR(VLOOKUP(DESPESAS[[#This Row],[Plano de Contas]],BASE!$B$3:$H$119,6,FALSE),"")</f>
        <v>0</v>
      </c>
      <c r="M285" s="77" t="str">
        <f>VLOOKUP(DESPESAS[[#This Row],[Plano de Contas]],BASE!$B$3:$H$119,7,FALSE)</f>
        <v>LETÍCIA</v>
      </c>
    </row>
    <row r="286" spans="1:13" x14ac:dyDescent="0.25">
      <c r="A286" s="74">
        <v>196465</v>
      </c>
      <c r="B286" s="75" t="s">
        <v>221</v>
      </c>
      <c r="C286" s="75" t="s">
        <v>3185</v>
      </c>
      <c r="D286" s="76">
        <v>46030</v>
      </c>
      <c r="E286" s="75" t="s">
        <v>242</v>
      </c>
      <c r="F286" s="74">
        <v>2466.0700000000002</v>
      </c>
      <c r="G286" s="75" t="s">
        <v>241</v>
      </c>
      <c r="H286" s="77" t="str">
        <f>VLOOKUP(DESPESAS[[#This Row],[Plano de Contas]],BASE!$B$3:$D$119,3,FALSE)</f>
        <v>Combustiveis Frota</v>
      </c>
      <c r="I286" s="77" t="str">
        <f>IFERROR(VLOOKUP(DESPESAS[[#This Row],[Fornecedor]],Tabela2[],2,FALSE),"")</f>
        <v/>
      </c>
      <c r="J286" s="77" t="str">
        <f>IFERROR(VLOOKUP(DESPESAS[[#This Row],[Plano de Contas]],BASE!$B$3:$F$119,4,FALSE),"")</f>
        <v>6 - DESPESA COM VENDAS</v>
      </c>
      <c r="K286" s="77" t="str">
        <f>IFERROR(VLOOKUP(DESPESAS[[#This Row],[Plano de Contas]],BASE!$B$3:$H$119,5,FALSE),"")</f>
        <v>LOGÍSTICA</v>
      </c>
      <c r="L286" s="77">
        <f>IFERROR(VLOOKUP(DESPESAS[[#This Row],[Plano de Contas]],BASE!$B$3:$H$119,6,FALSE),"")</f>
        <v>0</v>
      </c>
      <c r="M286" s="77" t="str">
        <f>VLOOKUP(DESPESAS[[#This Row],[Plano de Contas]],BASE!$B$3:$H$119,7,FALSE)</f>
        <v>MYLENA</v>
      </c>
    </row>
    <row r="287" spans="1:13" x14ac:dyDescent="0.25">
      <c r="A287" s="74">
        <v>196466</v>
      </c>
      <c r="B287" s="75" t="s">
        <v>221</v>
      </c>
      <c r="C287" s="75" t="s">
        <v>3184</v>
      </c>
      <c r="D287" s="76">
        <v>46030</v>
      </c>
      <c r="E287" s="75" t="s">
        <v>242</v>
      </c>
      <c r="F287" s="74">
        <v>1274.4000000000001</v>
      </c>
      <c r="G287" s="75" t="s">
        <v>247</v>
      </c>
      <c r="H287" s="77" t="str">
        <f>VLOOKUP(DESPESAS[[#This Row],[Plano de Contas]],BASE!$B$3:$D$119,3,FALSE)</f>
        <v>Manutenção com veiculos</v>
      </c>
      <c r="I287" s="77" t="str">
        <f>IFERROR(VLOOKUP(DESPESAS[[#This Row],[Fornecedor]],Tabela2[],2,FALSE),"")</f>
        <v/>
      </c>
      <c r="J287" s="77" t="str">
        <f>IFERROR(VLOOKUP(DESPESAS[[#This Row],[Plano de Contas]],BASE!$B$3:$F$119,4,FALSE),"")</f>
        <v>6 - DESPESA COM VENDAS</v>
      </c>
      <c r="K287" s="77" t="str">
        <f>IFERROR(VLOOKUP(DESPESAS[[#This Row],[Plano de Contas]],BASE!$B$3:$H$119,5,FALSE),"")</f>
        <v>LOGÍSTICA</v>
      </c>
      <c r="L287" s="77">
        <f>IFERROR(VLOOKUP(DESPESAS[[#This Row],[Plano de Contas]],BASE!$B$3:$H$119,6,FALSE),"")</f>
        <v>0</v>
      </c>
      <c r="M287" s="77" t="str">
        <f>VLOOKUP(DESPESAS[[#This Row],[Plano de Contas]],BASE!$B$3:$H$119,7,FALSE)</f>
        <v>MYLENA</v>
      </c>
    </row>
    <row r="288" spans="1:13" x14ac:dyDescent="0.25">
      <c r="A288" s="74">
        <v>196467</v>
      </c>
      <c r="B288" s="75" t="s">
        <v>221</v>
      </c>
      <c r="C288" s="75" t="s">
        <v>3183</v>
      </c>
      <c r="D288" s="76">
        <v>46030</v>
      </c>
      <c r="E288" s="75" t="s">
        <v>242</v>
      </c>
      <c r="F288" s="74">
        <v>53.97</v>
      </c>
      <c r="G288" s="75" t="s">
        <v>423</v>
      </c>
      <c r="H288" s="77" t="str">
        <f>VLOOKUP(DESPESAS[[#This Row],[Plano de Contas]],BASE!$B$3:$D$119,3,FALSE)</f>
        <v>Combustíveis (Adm)</v>
      </c>
      <c r="I288" s="77" t="str">
        <f>IFERROR(VLOOKUP(DESPESAS[[#This Row],[Fornecedor]],Tabela2[],2,FALSE),"")</f>
        <v/>
      </c>
      <c r="J288" s="77" t="str">
        <f>IFERROR(VLOOKUP(DESPESAS[[#This Row],[Plano de Contas]],BASE!$B$3:$F$119,4,FALSE),"")</f>
        <v>5 - DESPESAS ADMINISTRATIVAS</v>
      </c>
      <c r="K288" s="77" t="str">
        <f>IFERROR(VLOOKUP(DESPESAS[[#This Row],[Plano de Contas]],BASE!$B$3:$H$119,5,FALSE),"")</f>
        <v>LOGÍSTICA</v>
      </c>
      <c r="L288" s="77">
        <f>IFERROR(VLOOKUP(DESPESAS[[#This Row],[Plano de Contas]],BASE!$B$3:$H$119,6,FALSE),"")</f>
        <v>0</v>
      </c>
      <c r="M288" s="77" t="str">
        <f>VLOOKUP(DESPESAS[[#This Row],[Plano de Contas]],BASE!$B$3:$H$119,7,FALSE)</f>
        <v>LETÍCIA</v>
      </c>
    </row>
    <row r="289" spans="1:13" x14ac:dyDescent="0.25">
      <c r="A289" s="74">
        <v>196468</v>
      </c>
      <c r="B289" s="75" t="s">
        <v>221</v>
      </c>
      <c r="C289" s="75" t="s">
        <v>3182</v>
      </c>
      <c r="D289" s="76">
        <v>46030</v>
      </c>
      <c r="E289" s="75" t="s">
        <v>242</v>
      </c>
      <c r="F289" s="74">
        <v>179.58</v>
      </c>
      <c r="G289" s="75" t="s">
        <v>423</v>
      </c>
      <c r="H289" s="77" t="str">
        <f>VLOOKUP(DESPESAS[[#This Row],[Plano de Contas]],BASE!$B$3:$D$119,3,FALSE)</f>
        <v>Combustíveis (Adm)</v>
      </c>
      <c r="I289" s="77" t="str">
        <f>IFERROR(VLOOKUP(DESPESAS[[#This Row],[Fornecedor]],Tabela2[],2,FALSE),"")</f>
        <v/>
      </c>
      <c r="J289" s="77" t="str">
        <f>IFERROR(VLOOKUP(DESPESAS[[#This Row],[Plano de Contas]],BASE!$B$3:$F$119,4,FALSE),"")</f>
        <v>5 - DESPESAS ADMINISTRATIVAS</v>
      </c>
      <c r="K289" s="77" t="str">
        <f>IFERROR(VLOOKUP(DESPESAS[[#This Row],[Plano de Contas]],BASE!$B$3:$H$119,5,FALSE),"")</f>
        <v>LOGÍSTICA</v>
      </c>
      <c r="L289" s="77">
        <f>IFERROR(VLOOKUP(DESPESAS[[#This Row],[Plano de Contas]],BASE!$B$3:$H$119,6,FALSE),"")</f>
        <v>0</v>
      </c>
      <c r="M289" s="77" t="str">
        <f>VLOOKUP(DESPESAS[[#This Row],[Plano de Contas]],BASE!$B$3:$H$119,7,FALSE)</f>
        <v>LETÍCIA</v>
      </c>
    </row>
    <row r="290" spans="1:13" x14ac:dyDescent="0.25">
      <c r="A290" s="74">
        <v>196470</v>
      </c>
      <c r="B290" s="75" t="s">
        <v>232</v>
      </c>
      <c r="C290" s="75" t="s">
        <v>3181</v>
      </c>
      <c r="D290" s="76">
        <v>46036</v>
      </c>
      <c r="E290" s="75" t="s">
        <v>589</v>
      </c>
      <c r="F290" s="74">
        <v>366</v>
      </c>
      <c r="G290" s="75" t="s">
        <v>588</v>
      </c>
      <c r="H290" s="77" t="str">
        <f>VLOOKUP(DESPESAS[[#This Row],[Plano de Contas]],BASE!$B$3:$D$119,3,FALSE)</f>
        <v>Maquinas e Equipamentos</v>
      </c>
      <c r="I290" s="77" t="str">
        <f>IFERROR(VLOOKUP(DESPESAS[[#This Row],[Fornecedor]],Tabela2[],2,FALSE),"")</f>
        <v>COMPRESSORES</v>
      </c>
      <c r="J290" s="77" t="str">
        <f>IFERROR(VLOOKUP(DESPESAS[[#This Row],[Plano de Contas]],BASE!$B$3:$F$119,4,FALSE),"")</f>
        <v>9 - INVESTIMENTOS</v>
      </c>
      <c r="K290" s="77" t="str">
        <f>IFERROR(VLOOKUP(DESPESAS[[#This Row],[Plano de Contas]],BASE!$B$3:$H$119,5,FALSE),"")</f>
        <v>MANUTENÇÃO / TI</v>
      </c>
      <c r="L290" s="77">
        <f>IFERROR(VLOOKUP(DESPESAS[[#This Row],[Plano de Contas]],BASE!$B$3:$H$119,6,FALSE),"")</f>
        <v>0</v>
      </c>
      <c r="M290" s="77" t="str">
        <f>VLOOKUP(DESPESAS[[#This Row],[Plano de Contas]],BASE!$B$3:$H$119,7,FALSE)</f>
        <v>RAFAEL</v>
      </c>
    </row>
    <row r="291" spans="1:13" x14ac:dyDescent="0.25">
      <c r="A291" s="74">
        <v>196471</v>
      </c>
      <c r="B291" s="75" t="s">
        <v>221</v>
      </c>
      <c r="C291" s="75" t="s">
        <v>3180</v>
      </c>
      <c r="D291" s="76">
        <v>46031</v>
      </c>
      <c r="E291" s="75" t="s">
        <v>245</v>
      </c>
      <c r="F291" s="74">
        <v>30</v>
      </c>
      <c r="G291" s="75" t="s">
        <v>1037</v>
      </c>
      <c r="H291" s="77" t="str">
        <f>VLOOKUP(DESPESAS[[#This Row],[Plano de Contas]],BASE!$B$3:$D$119,3,FALSE)</f>
        <v>Construções e Reformas</v>
      </c>
      <c r="I291" s="77" t="str">
        <f>IFERROR(VLOOKUP(DESPESAS[[#This Row],[Fornecedor]],Tabela2[],2,FALSE),"")</f>
        <v>FERRAGENS GERAIS</v>
      </c>
      <c r="J291" s="77" t="str">
        <f>IFERROR(VLOOKUP(DESPESAS[[#This Row],[Plano de Contas]],BASE!$B$3:$F$119,4,FALSE),"")</f>
        <v>9 - INVESTIMENTOS</v>
      </c>
      <c r="K291" s="77" t="str">
        <f>IFERROR(VLOOKUP(DESPESAS[[#This Row],[Plano de Contas]],BASE!$B$3:$H$119,5,FALSE),"")</f>
        <v>MANUTENÇÃO / TI</v>
      </c>
      <c r="L291" s="77">
        <f>IFERROR(VLOOKUP(DESPESAS[[#This Row],[Plano de Contas]],BASE!$B$3:$H$119,6,FALSE),"")</f>
        <v>0</v>
      </c>
      <c r="M291" s="77" t="str">
        <f>VLOOKUP(DESPESAS[[#This Row],[Plano de Contas]],BASE!$B$3:$H$119,7,FALSE)</f>
        <v>FÁBIO</v>
      </c>
    </row>
    <row r="292" spans="1:13" x14ac:dyDescent="0.25">
      <c r="A292" s="74">
        <v>196472</v>
      </c>
      <c r="B292" s="75" t="s">
        <v>221</v>
      </c>
      <c r="C292" s="75" t="s">
        <v>3179</v>
      </c>
      <c r="D292" s="76">
        <v>46031</v>
      </c>
      <c r="E292" s="75" t="s">
        <v>317</v>
      </c>
      <c r="F292" s="74">
        <v>200</v>
      </c>
      <c r="G292" s="75" t="s">
        <v>1037</v>
      </c>
      <c r="H292" s="77" t="str">
        <f>VLOOKUP(DESPESAS[[#This Row],[Plano de Contas]],BASE!$B$3:$D$119,3,FALSE)</f>
        <v>Construções e Reformas</v>
      </c>
      <c r="I292" s="77" t="str">
        <f>IFERROR(VLOOKUP(DESPESAS[[#This Row],[Fornecedor]],Tabela2[],2,FALSE),"")</f>
        <v/>
      </c>
      <c r="J292" s="77" t="str">
        <f>IFERROR(VLOOKUP(DESPESAS[[#This Row],[Plano de Contas]],BASE!$B$3:$F$119,4,FALSE),"")</f>
        <v>9 - INVESTIMENTOS</v>
      </c>
      <c r="K292" s="77" t="str">
        <f>IFERROR(VLOOKUP(DESPESAS[[#This Row],[Plano de Contas]],BASE!$B$3:$H$119,5,FALSE),"")</f>
        <v>MANUTENÇÃO / TI</v>
      </c>
      <c r="L292" s="77">
        <f>IFERROR(VLOOKUP(DESPESAS[[#This Row],[Plano de Contas]],BASE!$B$3:$H$119,6,FALSE),"")</f>
        <v>0</v>
      </c>
      <c r="M292" s="77" t="str">
        <f>VLOOKUP(DESPESAS[[#This Row],[Plano de Contas]],BASE!$B$3:$H$119,7,FALSE)</f>
        <v>FÁBIO</v>
      </c>
    </row>
    <row r="293" spans="1:13" x14ac:dyDescent="0.25">
      <c r="A293" s="74">
        <v>196473</v>
      </c>
      <c r="B293" s="75" t="s">
        <v>232</v>
      </c>
      <c r="C293" s="75" t="s">
        <v>3178</v>
      </c>
      <c r="D293" s="76">
        <v>46031</v>
      </c>
      <c r="E293" s="75" t="s">
        <v>3174</v>
      </c>
      <c r="F293" s="74">
        <v>46</v>
      </c>
      <c r="G293" s="75" t="s">
        <v>247</v>
      </c>
      <c r="H293" s="77" t="str">
        <f>VLOOKUP(DESPESAS[[#This Row],[Plano de Contas]],BASE!$B$3:$D$119,3,FALSE)</f>
        <v>Manutenção com veiculos</v>
      </c>
      <c r="I293" s="77" t="str">
        <f>IFERROR(VLOOKUP(DESPESAS[[#This Row],[Fornecedor]],Tabela2[],2,FALSE),"")</f>
        <v/>
      </c>
      <c r="J293" s="77" t="str">
        <f>IFERROR(VLOOKUP(DESPESAS[[#This Row],[Plano de Contas]],BASE!$B$3:$F$119,4,FALSE),"")</f>
        <v>6 - DESPESA COM VENDAS</v>
      </c>
      <c r="K293" s="77" t="str">
        <f>IFERROR(VLOOKUP(DESPESAS[[#This Row],[Plano de Contas]],BASE!$B$3:$H$119,5,FALSE),"")</f>
        <v>LOGÍSTICA</v>
      </c>
      <c r="L293" s="77">
        <f>IFERROR(VLOOKUP(DESPESAS[[#This Row],[Plano de Contas]],BASE!$B$3:$H$119,6,FALSE),"")</f>
        <v>0</v>
      </c>
      <c r="M293" s="77" t="str">
        <f>VLOOKUP(DESPESAS[[#This Row],[Plano de Contas]],BASE!$B$3:$H$119,7,FALSE)</f>
        <v>MYLENA</v>
      </c>
    </row>
    <row r="294" spans="1:13" x14ac:dyDescent="0.25">
      <c r="A294" s="74">
        <v>196474</v>
      </c>
      <c r="B294" s="75" t="s">
        <v>232</v>
      </c>
      <c r="C294" s="75" t="s">
        <v>3177</v>
      </c>
      <c r="D294" s="76">
        <v>46031</v>
      </c>
      <c r="E294" s="75" t="s">
        <v>3174</v>
      </c>
      <c r="F294" s="74">
        <v>450</v>
      </c>
      <c r="G294" s="75" t="s">
        <v>247</v>
      </c>
      <c r="H294" s="77" t="str">
        <f>VLOOKUP(DESPESAS[[#This Row],[Plano de Contas]],BASE!$B$3:$D$119,3,FALSE)</f>
        <v>Manutenção com veiculos</v>
      </c>
      <c r="I294" s="77" t="str">
        <f>IFERROR(VLOOKUP(DESPESAS[[#This Row],[Fornecedor]],Tabela2[],2,FALSE),"")</f>
        <v/>
      </c>
      <c r="J294" s="77" t="str">
        <f>IFERROR(VLOOKUP(DESPESAS[[#This Row],[Plano de Contas]],BASE!$B$3:$F$119,4,FALSE),"")</f>
        <v>6 - DESPESA COM VENDAS</v>
      </c>
      <c r="K294" s="77" t="str">
        <f>IFERROR(VLOOKUP(DESPESAS[[#This Row],[Plano de Contas]],BASE!$B$3:$H$119,5,FALSE),"")</f>
        <v>LOGÍSTICA</v>
      </c>
      <c r="L294" s="77">
        <f>IFERROR(VLOOKUP(DESPESAS[[#This Row],[Plano de Contas]],BASE!$B$3:$H$119,6,FALSE),"")</f>
        <v>0</v>
      </c>
      <c r="M294" s="77" t="str">
        <f>VLOOKUP(DESPESAS[[#This Row],[Plano de Contas]],BASE!$B$3:$H$119,7,FALSE)</f>
        <v>MYLENA</v>
      </c>
    </row>
    <row r="295" spans="1:13" x14ac:dyDescent="0.25">
      <c r="A295" s="74">
        <v>196475</v>
      </c>
      <c r="B295" s="75" t="s">
        <v>232</v>
      </c>
      <c r="C295" s="75" t="s">
        <v>3176</v>
      </c>
      <c r="D295" s="76">
        <v>46031</v>
      </c>
      <c r="E295" s="75" t="s">
        <v>3174</v>
      </c>
      <c r="F295" s="74">
        <v>450</v>
      </c>
      <c r="G295" s="75" t="s">
        <v>247</v>
      </c>
      <c r="H295" s="77" t="str">
        <f>VLOOKUP(DESPESAS[[#This Row],[Plano de Contas]],BASE!$B$3:$D$119,3,FALSE)</f>
        <v>Manutenção com veiculos</v>
      </c>
      <c r="I295" s="77" t="str">
        <f>IFERROR(VLOOKUP(DESPESAS[[#This Row],[Fornecedor]],Tabela2[],2,FALSE),"")</f>
        <v/>
      </c>
      <c r="J295" s="77" t="str">
        <f>IFERROR(VLOOKUP(DESPESAS[[#This Row],[Plano de Contas]],BASE!$B$3:$F$119,4,FALSE),"")</f>
        <v>6 - DESPESA COM VENDAS</v>
      </c>
      <c r="K295" s="77" t="str">
        <f>IFERROR(VLOOKUP(DESPESAS[[#This Row],[Plano de Contas]],BASE!$B$3:$H$119,5,FALSE),"")</f>
        <v>LOGÍSTICA</v>
      </c>
      <c r="L295" s="77">
        <f>IFERROR(VLOOKUP(DESPESAS[[#This Row],[Plano de Contas]],BASE!$B$3:$H$119,6,FALSE),"")</f>
        <v>0</v>
      </c>
      <c r="M295" s="77" t="str">
        <f>VLOOKUP(DESPESAS[[#This Row],[Plano de Contas]],BASE!$B$3:$H$119,7,FALSE)</f>
        <v>MYLENA</v>
      </c>
    </row>
    <row r="296" spans="1:13" x14ac:dyDescent="0.25">
      <c r="A296" s="74">
        <v>196476</v>
      </c>
      <c r="B296" s="75" t="s">
        <v>232</v>
      </c>
      <c r="C296" s="75" t="s">
        <v>3175</v>
      </c>
      <c r="D296" s="76">
        <v>46031</v>
      </c>
      <c r="E296" s="75" t="s">
        <v>3174</v>
      </c>
      <c r="F296" s="74">
        <v>46</v>
      </c>
      <c r="G296" s="75" t="s">
        <v>247</v>
      </c>
      <c r="H296" s="77" t="str">
        <f>VLOOKUP(DESPESAS[[#This Row],[Plano de Contas]],BASE!$B$3:$D$119,3,FALSE)</f>
        <v>Manutenção com veiculos</v>
      </c>
      <c r="I296" s="77" t="str">
        <f>IFERROR(VLOOKUP(DESPESAS[[#This Row],[Fornecedor]],Tabela2[],2,FALSE),"")</f>
        <v/>
      </c>
      <c r="J296" s="77" t="str">
        <f>IFERROR(VLOOKUP(DESPESAS[[#This Row],[Plano de Contas]],BASE!$B$3:$F$119,4,FALSE),"")</f>
        <v>6 - DESPESA COM VENDAS</v>
      </c>
      <c r="K296" s="77" t="str">
        <f>IFERROR(VLOOKUP(DESPESAS[[#This Row],[Plano de Contas]],BASE!$B$3:$H$119,5,FALSE),"")</f>
        <v>LOGÍSTICA</v>
      </c>
      <c r="L296" s="77">
        <f>IFERROR(VLOOKUP(DESPESAS[[#This Row],[Plano de Contas]],BASE!$B$3:$H$119,6,FALSE),"")</f>
        <v>0</v>
      </c>
      <c r="M296" s="77" t="str">
        <f>VLOOKUP(DESPESAS[[#This Row],[Plano de Contas]],BASE!$B$3:$H$119,7,FALSE)</f>
        <v>MYLENA</v>
      </c>
    </row>
    <row r="297" spans="1:13" x14ac:dyDescent="0.25">
      <c r="A297" s="74">
        <v>196478</v>
      </c>
      <c r="B297" s="75" t="s">
        <v>232</v>
      </c>
      <c r="C297" s="75" t="s">
        <v>3173</v>
      </c>
      <c r="D297" s="76">
        <v>46030</v>
      </c>
      <c r="E297" s="75" t="s">
        <v>230</v>
      </c>
      <c r="F297" s="74">
        <v>12.64</v>
      </c>
      <c r="G297" s="75" t="s">
        <v>236</v>
      </c>
      <c r="H297" s="77" t="str">
        <f>VLOOKUP(DESPESAS[[#This Row],[Plano de Contas]],BASE!$B$3:$D$119,3,FALSE)</f>
        <v>Despesas de Cobranca</v>
      </c>
      <c r="I297" s="77" t="str">
        <f>IFERROR(VLOOKUP(DESPESAS[[#This Row],[Fornecedor]],Tabela2[],2,FALSE),"")</f>
        <v/>
      </c>
      <c r="J297" s="77" t="str">
        <f>IFERROR(VLOOKUP(DESPESAS[[#This Row],[Plano de Contas]],BASE!$B$3:$F$119,4,FALSE),"")</f>
        <v>8 - DESPESAS FINANCEIRAS</v>
      </c>
      <c r="K297" s="77" t="str">
        <f>IFERROR(VLOOKUP(DESPESAS[[#This Row],[Plano de Contas]],BASE!$B$3:$H$119,5,FALSE),"")</f>
        <v>FINANCEIRO</v>
      </c>
      <c r="L297" s="77">
        <f>IFERROR(VLOOKUP(DESPESAS[[#This Row],[Plano de Contas]],BASE!$B$3:$H$119,6,FALSE),"")</f>
        <v>0</v>
      </c>
      <c r="M297" s="77" t="str">
        <f>VLOOKUP(DESPESAS[[#This Row],[Plano de Contas]],BASE!$B$3:$H$119,7,FALSE)</f>
        <v>LETÍCIA</v>
      </c>
    </row>
    <row r="298" spans="1:13" x14ac:dyDescent="0.25">
      <c r="A298" s="74">
        <v>196479</v>
      </c>
      <c r="B298" s="75" t="s">
        <v>232</v>
      </c>
      <c r="C298" s="75" t="s">
        <v>3172</v>
      </c>
      <c r="D298" s="76">
        <v>46031</v>
      </c>
      <c r="E298" s="75" t="s">
        <v>230</v>
      </c>
      <c r="F298" s="74">
        <v>0.79</v>
      </c>
      <c r="G298" s="75" t="s">
        <v>229</v>
      </c>
      <c r="H298" s="77" t="str">
        <f>VLOOKUP(DESPESAS[[#This Row],[Plano de Contas]],BASE!$B$3:$D$119,3,FALSE)</f>
        <v>Despesas Bancarias</v>
      </c>
      <c r="I298" s="77" t="str">
        <f>IFERROR(VLOOKUP(DESPESAS[[#This Row],[Fornecedor]],Tabela2[],2,FALSE),"")</f>
        <v/>
      </c>
      <c r="J298" s="77" t="str">
        <f>IFERROR(VLOOKUP(DESPESAS[[#This Row],[Plano de Contas]],BASE!$B$3:$F$119,4,FALSE),"")</f>
        <v>8 - DESPESAS FINANCEIRAS</v>
      </c>
      <c r="K298" s="77" t="str">
        <f>IFERROR(VLOOKUP(DESPESAS[[#This Row],[Plano de Contas]],BASE!$B$3:$H$119,5,FALSE),"")</f>
        <v>FINANCEIRO</v>
      </c>
      <c r="L298" s="77">
        <f>IFERROR(VLOOKUP(DESPESAS[[#This Row],[Plano de Contas]],BASE!$B$3:$H$119,6,FALSE),"")</f>
        <v>0</v>
      </c>
      <c r="M298" s="77" t="str">
        <f>VLOOKUP(DESPESAS[[#This Row],[Plano de Contas]],BASE!$B$3:$H$119,7,FALSE)</f>
        <v>LETÍCIA</v>
      </c>
    </row>
    <row r="299" spans="1:13" x14ac:dyDescent="0.25">
      <c r="A299" s="74">
        <v>196480</v>
      </c>
      <c r="B299" s="75" t="s">
        <v>232</v>
      </c>
      <c r="C299" s="75" t="s">
        <v>3171</v>
      </c>
      <c r="D299" s="76">
        <v>46030</v>
      </c>
      <c r="E299" s="75" t="s">
        <v>230</v>
      </c>
      <c r="F299" s="74">
        <v>0.79</v>
      </c>
      <c r="G299" s="75" t="s">
        <v>229</v>
      </c>
      <c r="H299" s="77" t="str">
        <f>VLOOKUP(DESPESAS[[#This Row],[Plano de Contas]],BASE!$B$3:$D$119,3,FALSE)</f>
        <v>Despesas Bancarias</v>
      </c>
      <c r="I299" s="77" t="str">
        <f>IFERROR(VLOOKUP(DESPESAS[[#This Row],[Fornecedor]],Tabela2[],2,FALSE),"")</f>
        <v/>
      </c>
      <c r="J299" s="77" t="str">
        <f>IFERROR(VLOOKUP(DESPESAS[[#This Row],[Plano de Contas]],BASE!$B$3:$F$119,4,FALSE),"")</f>
        <v>8 - DESPESAS FINANCEIRAS</v>
      </c>
      <c r="K299" s="77" t="str">
        <f>IFERROR(VLOOKUP(DESPESAS[[#This Row],[Plano de Contas]],BASE!$B$3:$H$119,5,FALSE),"")</f>
        <v>FINANCEIRO</v>
      </c>
      <c r="L299" s="77">
        <f>IFERROR(VLOOKUP(DESPESAS[[#This Row],[Plano de Contas]],BASE!$B$3:$H$119,6,FALSE),"")</f>
        <v>0</v>
      </c>
      <c r="M299" s="77" t="str">
        <f>VLOOKUP(DESPESAS[[#This Row],[Plano de Contas]],BASE!$B$3:$H$119,7,FALSE)</f>
        <v>LETÍCIA</v>
      </c>
    </row>
    <row r="300" spans="1:13" x14ac:dyDescent="0.25">
      <c r="A300" s="74">
        <v>196481</v>
      </c>
      <c r="B300" s="75" t="s">
        <v>232</v>
      </c>
      <c r="C300" s="75" t="s">
        <v>3170</v>
      </c>
      <c r="D300" s="76">
        <v>46031</v>
      </c>
      <c r="E300" s="75" t="s">
        <v>230</v>
      </c>
      <c r="F300" s="74">
        <v>0.79</v>
      </c>
      <c r="G300" s="75" t="s">
        <v>229</v>
      </c>
      <c r="H300" s="77" t="str">
        <f>VLOOKUP(DESPESAS[[#This Row],[Plano de Contas]],BASE!$B$3:$D$119,3,FALSE)</f>
        <v>Despesas Bancarias</v>
      </c>
      <c r="I300" s="77" t="str">
        <f>IFERROR(VLOOKUP(DESPESAS[[#This Row],[Fornecedor]],Tabela2[],2,FALSE),"")</f>
        <v/>
      </c>
      <c r="J300" s="77" t="str">
        <f>IFERROR(VLOOKUP(DESPESAS[[#This Row],[Plano de Contas]],BASE!$B$3:$F$119,4,FALSE),"")</f>
        <v>8 - DESPESAS FINANCEIRAS</v>
      </c>
      <c r="K300" s="77" t="str">
        <f>IFERROR(VLOOKUP(DESPESAS[[#This Row],[Plano de Contas]],BASE!$B$3:$H$119,5,FALSE),"")</f>
        <v>FINANCEIRO</v>
      </c>
      <c r="L300" s="77">
        <f>IFERROR(VLOOKUP(DESPESAS[[#This Row],[Plano de Contas]],BASE!$B$3:$H$119,6,FALSE),"")</f>
        <v>0</v>
      </c>
      <c r="M300" s="77" t="str">
        <f>VLOOKUP(DESPESAS[[#This Row],[Plano de Contas]],BASE!$B$3:$H$119,7,FALSE)</f>
        <v>LETÍCIA</v>
      </c>
    </row>
    <row r="301" spans="1:13" x14ac:dyDescent="0.25">
      <c r="A301" s="74">
        <v>196482</v>
      </c>
      <c r="B301" s="75" t="s">
        <v>232</v>
      </c>
      <c r="C301" s="75" t="s">
        <v>3169</v>
      </c>
      <c r="D301" s="76">
        <v>46030</v>
      </c>
      <c r="E301" s="75" t="s">
        <v>230</v>
      </c>
      <c r="F301" s="74">
        <v>1.9</v>
      </c>
      <c r="G301" s="75" t="s">
        <v>229</v>
      </c>
      <c r="H301" s="77" t="str">
        <f>VLOOKUP(DESPESAS[[#This Row],[Plano de Contas]],BASE!$B$3:$D$119,3,FALSE)</f>
        <v>Despesas Bancarias</v>
      </c>
      <c r="I301" s="77" t="str">
        <f>IFERROR(VLOOKUP(DESPESAS[[#This Row],[Fornecedor]],Tabela2[],2,FALSE),"")</f>
        <v/>
      </c>
      <c r="J301" s="77" t="str">
        <f>IFERROR(VLOOKUP(DESPESAS[[#This Row],[Plano de Contas]],BASE!$B$3:$F$119,4,FALSE),"")</f>
        <v>8 - DESPESAS FINANCEIRAS</v>
      </c>
      <c r="K301" s="77" t="str">
        <f>IFERROR(VLOOKUP(DESPESAS[[#This Row],[Plano de Contas]],BASE!$B$3:$H$119,5,FALSE),"")</f>
        <v>FINANCEIRO</v>
      </c>
      <c r="L301" s="77">
        <f>IFERROR(VLOOKUP(DESPESAS[[#This Row],[Plano de Contas]],BASE!$B$3:$H$119,6,FALSE),"")</f>
        <v>0</v>
      </c>
      <c r="M301" s="77" t="str">
        <f>VLOOKUP(DESPESAS[[#This Row],[Plano de Contas]],BASE!$B$3:$H$119,7,FALSE)</f>
        <v>LETÍCIA</v>
      </c>
    </row>
    <row r="302" spans="1:13" x14ac:dyDescent="0.25">
      <c r="A302" s="74">
        <v>196483</v>
      </c>
      <c r="B302" s="75" t="s">
        <v>232</v>
      </c>
      <c r="C302" s="75" t="s">
        <v>3168</v>
      </c>
      <c r="D302" s="76">
        <v>46036</v>
      </c>
      <c r="E302" s="75" t="s">
        <v>1028</v>
      </c>
      <c r="F302" s="74">
        <v>514.29999999999995</v>
      </c>
      <c r="G302" s="75" t="s">
        <v>489</v>
      </c>
      <c r="H302" s="77" t="str">
        <f>VLOOKUP(DESPESAS[[#This Row],[Plano de Contas]],BASE!$B$3:$D$119,3,FALSE)</f>
        <v>Material de Limpeza CIF</v>
      </c>
      <c r="I302" s="77" t="str">
        <f>IFERROR(VLOOKUP(DESPESAS[[#This Row],[Fornecedor]],Tabela2[],2,FALSE),"")</f>
        <v/>
      </c>
      <c r="J302" s="77" t="str">
        <f>IFERROR(VLOOKUP(DESPESAS[[#This Row],[Plano de Contas]],BASE!$B$3:$F$119,4,FALSE),"")</f>
        <v>3 - CUSTOS INDIRETOS</v>
      </c>
      <c r="K302" s="77" t="str">
        <f>IFERROR(VLOOKUP(DESPESAS[[#This Row],[Plano de Contas]],BASE!$B$3:$H$119,5,FALSE),"")</f>
        <v>COMPRAS</v>
      </c>
      <c r="L302" s="77">
        <f>IFERROR(VLOOKUP(DESPESAS[[#This Row],[Plano de Contas]],BASE!$B$3:$H$119,6,FALSE),"")</f>
        <v>0</v>
      </c>
      <c r="M302" s="77" t="str">
        <f>VLOOKUP(DESPESAS[[#This Row],[Plano de Contas]],BASE!$B$3:$H$119,7,FALSE)</f>
        <v>MYLENA</v>
      </c>
    </row>
    <row r="303" spans="1:13" x14ac:dyDescent="0.25">
      <c r="A303" s="74">
        <v>196484</v>
      </c>
      <c r="B303" s="75" t="s">
        <v>232</v>
      </c>
      <c r="C303" s="75" t="s">
        <v>3167</v>
      </c>
      <c r="D303" s="76">
        <v>46036</v>
      </c>
      <c r="E303" s="75" t="s">
        <v>1028</v>
      </c>
      <c r="F303" s="74">
        <v>52.9</v>
      </c>
      <c r="G303" s="75" t="s">
        <v>1006</v>
      </c>
      <c r="H303" s="77" t="str">
        <f>VLOOKUP(DESPESAS[[#This Row],[Plano de Contas]],BASE!$B$3:$D$119,3,FALSE)</f>
        <v>Material de Limpeza (Adm)</v>
      </c>
      <c r="I303" s="77" t="str">
        <f>IFERROR(VLOOKUP(DESPESAS[[#This Row],[Fornecedor]],Tabela2[],2,FALSE),"")</f>
        <v/>
      </c>
      <c r="J303" s="77" t="str">
        <f>IFERROR(VLOOKUP(DESPESAS[[#This Row],[Plano de Contas]],BASE!$B$3:$F$119,4,FALSE),"")</f>
        <v>5 - DESPESAS ADMINISTRATIVAS</v>
      </c>
      <c r="K303" s="77" t="str">
        <f>IFERROR(VLOOKUP(DESPESAS[[#This Row],[Plano de Contas]],BASE!$B$3:$H$119,5,FALSE),"")</f>
        <v>ADMINISTRATIVO</v>
      </c>
      <c r="L303" s="77">
        <f>IFERROR(VLOOKUP(DESPESAS[[#This Row],[Plano de Contas]],BASE!$B$3:$H$119,6,FALSE),"")</f>
        <v>0</v>
      </c>
      <c r="M303" s="77" t="str">
        <f>VLOOKUP(DESPESAS[[#This Row],[Plano de Contas]],BASE!$B$3:$H$119,7,FALSE)</f>
        <v>MYLENA</v>
      </c>
    </row>
    <row r="304" spans="1:13" x14ac:dyDescent="0.25">
      <c r="A304" s="74">
        <v>196485</v>
      </c>
      <c r="B304" s="75" t="s">
        <v>221</v>
      </c>
      <c r="C304" s="75" t="s">
        <v>3166</v>
      </c>
      <c r="D304" s="76">
        <v>46031</v>
      </c>
      <c r="E304" s="75" t="s">
        <v>2537</v>
      </c>
      <c r="F304" s="74">
        <v>500</v>
      </c>
      <c r="G304" s="75" t="s">
        <v>259</v>
      </c>
      <c r="H304" s="77" t="str">
        <f>VLOOKUP(DESPESAS[[#This Row],[Plano de Contas]],BASE!$B$3:$D$119,3,FALSE)</f>
        <v>Manutenção Predial CIF</v>
      </c>
      <c r="I304" s="77" t="str">
        <f>IFERROR(VLOOKUP(DESPESAS[[#This Row],[Fornecedor]],Tabela2[],2,FALSE),"")</f>
        <v/>
      </c>
      <c r="J304" s="77" t="str">
        <f>IFERROR(VLOOKUP(DESPESAS[[#This Row],[Plano de Contas]],BASE!$B$3:$F$119,4,FALSE),"")</f>
        <v>3 - CUSTOS INDIRETOS</v>
      </c>
      <c r="K304" s="77" t="str">
        <f>IFERROR(VLOOKUP(DESPESAS[[#This Row],[Plano de Contas]],BASE!$B$3:$H$119,5,FALSE),"")</f>
        <v>MANUTENÇÃO / TI</v>
      </c>
      <c r="L304" s="77">
        <f>IFERROR(VLOOKUP(DESPESAS[[#This Row],[Plano de Contas]],BASE!$B$3:$H$119,6,FALSE),"")</f>
        <v>0</v>
      </c>
      <c r="M304" s="77" t="str">
        <f>VLOOKUP(DESPESAS[[#This Row],[Plano de Contas]],BASE!$B$3:$H$119,7,FALSE)</f>
        <v>FÁBIO</v>
      </c>
    </row>
    <row r="305" spans="1:13" x14ac:dyDescent="0.25">
      <c r="A305" s="74">
        <v>196487</v>
      </c>
      <c r="B305" s="75" t="s">
        <v>281</v>
      </c>
      <c r="C305" s="75" t="s">
        <v>3165</v>
      </c>
      <c r="D305" s="76">
        <v>46031</v>
      </c>
      <c r="E305" s="75" t="s">
        <v>3118</v>
      </c>
      <c r="F305" s="74">
        <v>189</v>
      </c>
      <c r="G305" s="75" t="s">
        <v>561</v>
      </c>
      <c r="H305" s="77" t="str">
        <f>VLOOKUP(DESPESAS[[#This Row],[Plano de Contas]],BASE!$B$3:$D$119,3,FALSE)</f>
        <v>Sistemas de Informação</v>
      </c>
      <c r="I305" s="77" t="str">
        <f>IFERROR(VLOOKUP(DESPESAS[[#This Row],[Fornecedor]],Tabela2[],2,FALSE),"")</f>
        <v>CERTIFICADO DIGITAL</v>
      </c>
      <c r="J305" s="77" t="str">
        <f>IFERROR(VLOOKUP(DESPESAS[[#This Row],[Plano de Contas]],BASE!$B$3:$F$119,4,FALSE),"")</f>
        <v>7 - SERVIÇOS DE TERCEIROS</v>
      </c>
      <c r="K305" s="77" t="str">
        <f>IFERROR(VLOOKUP(DESPESAS[[#This Row],[Plano de Contas]],BASE!$B$3:$H$119,5,FALSE),"")</f>
        <v>MANUTENÇÃO / TI</v>
      </c>
      <c r="L305" s="77">
        <f>IFERROR(VLOOKUP(DESPESAS[[#This Row],[Plano de Contas]],BASE!$B$3:$H$119,6,FALSE),"")</f>
        <v>0</v>
      </c>
      <c r="M305" s="77" t="str">
        <f>VLOOKUP(DESPESAS[[#This Row],[Plano de Contas]],BASE!$B$3:$H$119,7,FALSE)</f>
        <v>LETÍCIA</v>
      </c>
    </row>
    <row r="306" spans="1:13" x14ac:dyDescent="0.25">
      <c r="A306" s="74">
        <v>196488</v>
      </c>
      <c r="B306" s="75" t="s">
        <v>279</v>
      </c>
      <c r="C306" s="75" t="s">
        <v>3165</v>
      </c>
      <c r="D306" s="76">
        <v>46031</v>
      </c>
      <c r="E306" s="75" t="s">
        <v>3118</v>
      </c>
      <c r="F306" s="74">
        <v>189</v>
      </c>
      <c r="G306" s="75" t="s">
        <v>561</v>
      </c>
      <c r="H306" s="77" t="str">
        <f>VLOOKUP(DESPESAS[[#This Row],[Plano de Contas]],BASE!$B$3:$D$119,3,FALSE)</f>
        <v>Sistemas de Informação</v>
      </c>
      <c r="I306" s="77" t="str">
        <f>IFERROR(VLOOKUP(DESPESAS[[#This Row],[Fornecedor]],Tabela2[],2,FALSE),"")</f>
        <v>CERTIFICADO DIGITAL</v>
      </c>
      <c r="J306" s="77" t="str">
        <f>IFERROR(VLOOKUP(DESPESAS[[#This Row],[Plano de Contas]],BASE!$B$3:$F$119,4,FALSE),"")</f>
        <v>7 - SERVIÇOS DE TERCEIROS</v>
      </c>
      <c r="K306" s="77" t="str">
        <f>IFERROR(VLOOKUP(DESPESAS[[#This Row],[Plano de Contas]],BASE!$B$3:$H$119,5,FALSE),"")</f>
        <v>MANUTENÇÃO / TI</v>
      </c>
      <c r="L306" s="77">
        <f>IFERROR(VLOOKUP(DESPESAS[[#This Row],[Plano de Contas]],BASE!$B$3:$H$119,6,FALSE),"")</f>
        <v>0</v>
      </c>
      <c r="M306" s="77" t="str">
        <f>VLOOKUP(DESPESAS[[#This Row],[Plano de Contas]],BASE!$B$3:$H$119,7,FALSE)</f>
        <v>LETÍCIA</v>
      </c>
    </row>
    <row r="307" spans="1:13" x14ac:dyDescent="0.25">
      <c r="A307" s="74">
        <v>196489</v>
      </c>
      <c r="B307" s="75" t="s">
        <v>221</v>
      </c>
      <c r="C307" s="75" t="s">
        <v>3164</v>
      </c>
      <c r="D307" s="76">
        <v>46031</v>
      </c>
      <c r="E307" s="75" t="s">
        <v>1145</v>
      </c>
      <c r="F307" s="74">
        <v>864.4</v>
      </c>
      <c r="G307" s="75" t="s">
        <v>572</v>
      </c>
      <c r="H307" s="77" t="str">
        <f>VLOOKUP(DESPESAS[[#This Row],[Plano de Contas]],BASE!$B$3:$D$119,3,FALSE)</f>
        <v>Comissões sobre Vendas Externo</v>
      </c>
      <c r="I307" s="77" t="str">
        <f>IFERROR(VLOOKUP(DESPESAS[[#This Row],[Fornecedor]],Tabela2[],2,FALSE),"")</f>
        <v/>
      </c>
      <c r="J307" s="77" t="str">
        <f>IFERROR(VLOOKUP(DESPESAS[[#This Row],[Plano de Contas]],BASE!$B$3:$F$119,4,FALSE),"")</f>
        <v>6 - DESPESA COM VENDAS</v>
      </c>
      <c r="K307" s="77" t="str">
        <f>IFERROR(VLOOKUP(DESPESAS[[#This Row],[Plano de Contas]],BASE!$B$3:$H$119,5,FALSE),"")</f>
        <v>COMERCIAL</v>
      </c>
      <c r="L307" s="77">
        <f>IFERROR(VLOOKUP(DESPESAS[[#This Row],[Plano de Contas]],BASE!$B$3:$H$119,6,FALSE),"")</f>
        <v>0</v>
      </c>
      <c r="M307" s="77" t="str">
        <f>VLOOKUP(DESPESAS[[#This Row],[Plano de Contas]],BASE!$B$3:$H$119,7,FALSE)</f>
        <v>LETÍCIA</v>
      </c>
    </row>
    <row r="308" spans="1:13" x14ac:dyDescent="0.25">
      <c r="A308" s="74">
        <v>196490</v>
      </c>
      <c r="B308" s="75" t="s">
        <v>221</v>
      </c>
      <c r="C308" s="75" t="s">
        <v>3163</v>
      </c>
      <c r="D308" s="76">
        <v>46031</v>
      </c>
      <c r="E308" s="75" t="s">
        <v>1145</v>
      </c>
      <c r="F308" s="74">
        <v>503.4</v>
      </c>
      <c r="G308" s="75" t="s">
        <v>572</v>
      </c>
      <c r="H308" s="77" t="str">
        <f>VLOOKUP(DESPESAS[[#This Row],[Plano de Contas]],BASE!$B$3:$D$119,3,FALSE)</f>
        <v>Comissões sobre Vendas Externo</v>
      </c>
      <c r="I308" s="77" t="str">
        <f>IFERROR(VLOOKUP(DESPESAS[[#This Row],[Fornecedor]],Tabela2[],2,FALSE),"")</f>
        <v/>
      </c>
      <c r="J308" s="77" t="str">
        <f>IFERROR(VLOOKUP(DESPESAS[[#This Row],[Plano de Contas]],BASE!$B$3:$F$119,4,FALSE),"")</f>
        <v>6 - DESPESA COM VENDAS</v>
      </c>
      <c r="K308" s="77" t="str">
        <f>IFERROR(VLOOKUP(DESPESAS[[#This Row],[Plano de Contas]],BASE!$B$3:$H$119,5,FALSE),"")</f>
        <v>COMERCIAL</v>
      </c>
      <c r="L308" s="77">
        <f>IFERROR(VLOOKUP(DESPESAS[[#This Row],[Plano de Contas]],BASE!$B$3:$H$119,6,FALSE),"")</f>
        <v>0</v>
      </c>
      <c r="M308" s="77" t="str">
        <f>VLOOKUP(DESPESAS[[#This Row],[Plano de Contas]],BASE!$B$3:$H$119,7,FALSE)</f>
        <v>LETÍCIA</v>
      </c>
    </row>
    <row r="309" spans="1:13" x14ac:dyDescent="0.25">
      <c r="A309" s="74">
        <v>196491</v>
      </c>
      <c r="B309" s="75" t="s">
        <v>232</v>
      </c>
      <c r="C309" s="75" t="s">
        <v>3162</v>
      </c>
      <c r="D309" s="76">
        <v>46028</v>
      </c>
      <c r="E309" s="75" t="s">
        <v>409</v>
      </c>
      <c r="F309" s="74">
        <v>390.66</v>
      </c>
      <c r="G309" s="75" t="s">
        <v>326</v>
      </c>
      <c r="H309" s="77" t="str">
        <f>VLOOKUP(DESPESAS[[#This Row],[Plano de Contas]],BASE!$B$3:$D$119,3,FALSE)</f>
        <v>Frete sobre Compras</v>
      </c>
      <c r="I309" s="77" t="str">
        <f>IFERROR(VLOOKUP(DESPESAS[[#This Row],[Fornecedor]],Tabela2[],2,FALSE),"")</f>
        <v>SERVIÇOS FRETE</v>
      </c>
      <c r="J309" s="77" t="str">
        <f>IFERROR(VLOOKUP(DESPESAS[[#This Row],[Plano de Contas]],BASE!$B$3:$F$119,4,FALSE),"")</f>
        <v>1 - CPV</v>
      </c>
      <c r="K309" s="77" t="str">
        <f>IFERROR(VLOOKUP(DESPESAS[[#This Row],[Plano de Contas]],BASE!$B$3:$H$119,5,FALSE),"")</f>
        <v>COMPRAS</v>
      </c>
      <c r="L309" s="77">
        <f>IFERROR(VLOOKUP(DESPESAS[[#This Row],[Plano de Contas]],BASE!$B$3:$H$119,6,FALSE),"")</f>
        <v>0</v>
      </c>
      <c r="M309" s="77" t="str">
        <f>VLOOKUP(DESPESAS[[#This Row],[Plano de Contas]],BASE!$B$3:$H$119,7,FALSE)</f>
        <v>MYLENA</v>
      </c>
    </row>
    <row r="310" spans="1:13" x14ac:dyDescent="0.25">
      <c r="A310" s="74">
        <v>196492</v>
      </c>
      <c r="B310" s="75" t="s">
        <v>232</v>
      </c>
      <c r="C310" s="75" t="s">
        <v>3161</v>
      </c>
      <c r="D310" s="76">
        <v>46028</v>
      </c>
      <c r="E310" s="75" t="s">
        <v>409</v>
      </c>
      <c r="F310" s="74">
        <v>133.22</v>
      </c>
      <c r="G310" s="75" t="s">
        <v>326</v>
      </c>
      <c r="H310" s="77" t="str">
        <f>VLOOKUP(DESPESAS[[#This Row],[Plano de Contas]],BASE!$B$3:$D$119,3,FALSE)</f>
        <v>Frete sobre Compras</v>
      </c>
      <c r="I310" s="77" t="str">
        <f>IFERROR(VLOOKUP(DESPESAS[[#This Row],[Fornecedor]],Tabela2[],2,FALSE),"")</f>
        <v>SERVIÇOS FRETE</v>
      </c>
      <c r="J310" s="77" t="str">
        <f>IFERROR(VLOOKUP(DESPESAS[[#This Row],[Plano de Contas]],BASE!$B$3:$F$119,4,FALSE),"")</f>
        <v>1 - CPV</v>
      </c>
      <c r="K310" s="77" t="str">
        <f>IFERROR(VLOOKUP(DESPESAS[[#This Row],[Plano de Contas]],BASE!$B$3:$H$119,5,FALSE),"")</f>
        <v>COMPRAS</v>
      </c>
      <c r="L310" s="77">
        <f>IFERROR(VLOOKUP(DESPESAS[[#This Row],[Plano de Contas]],BASE!$B$3:$H$119,6,FALSE),"")</f>
        <v>0</v>
      </c>
      <c r="M310" s="77" t="str">
        <f>VLOOKUP(DESPESAS[[#This Row],[Plano de Contas]],BASE!$B$3:$H$119,7,FALSE)</f>
        <v>MYLENA</v>
      </c>
    </row>
    <row r="311" spans="1:13" x14ac:dyDescent="0.25">
      <c r="A311" s="74">
        <v>196493</v>
      </c>
      <c r="B311" s="75" t="s">
        <v>281</v>
      </c>
      <c r="C311" s="75" t="s">
        <v>3142</v>
      </c>
      <c r="D311" s="76">
        <v>46031</v>
      </c>
      <c r="E311" s="75" t="s">
        <v>369</v>
      </c>
      <c r="F311" s="74">
        <v>6000</v>
      </c>
      <c r="G311" s="75" t="s">
        <v>365</v>
      </c>
      <c r="H311" s="77" t="str">
        <f>VLOOKUP(DESPESAS[[#This Row],[Plano de Contas]],BASE!$B$3:$D$119,3,FALSE)</f>
        <v>Pró-Labore</v>
      </c>
      <c r="I311" s="77" t="str">
        <f>IFERROR(VLOOKUP(DESPESAS[[#This Row],[Fornecedor]],Tabela2[],2,FALSE),"")</f>
        <v/>
      </c>
      <c r="J311" s="77" t="str">
        <f>IFERROR(VLOOKUP(DESPESAS[[#This Row],[Plano de Contas]],BASE!$B$3:$F$119,4,FALSE),"")</f>
        <v>4 - GASTOS COM PESSOAL</v>
      </c>
      <c r="K311" s="77" t="str">
        <f>IFERROR(VLOOKUP(DESPESAS[[#This Row],[Plano de Contas]],BASE!$B$3:$H$119,5,FALSE),"")</f>
        <v>DIRETORIA</v>
      </c>
      <c r="L311" s="77">
        <f>IFERROR(VLOOKUP(DESPESAS[[#This Row],[Plano de Contas]],BASE!$B$3:$H$119,6,FALSE),"")</f>
        <v>0</v>
      </c>
      <c r="M311" s="77" t="str">
        <f>VLOOKUP(DESPESAS[[#This Row],[Plano de Contas]],BASE!$B$3:$H$119,7,FALSE)</f>
        <v>FÁBIO</v>
      </c>
    </row>
    <row r="312" spans="1:13" x14ac:dyDescent="0.25">
      <c r="A312" s="74">
        <v>196508</v>
      </c>
      <c r="B312" s="75" t="s">
        <v>281</v>
      </c>
      <c r="C312" s="75" t="s">
        <v>3160</v>
      </c>
      <c r="D312" s="76">
        <v>46031</v>
      </c>
      <c r="E312" s="75" t="s">
        <v>3157</v>
      </c>
      <c r="F312" s="74">
        <v>135</v>
      </c>
      <c r="G312" s="75" t="s">
        <v>561</v>
      </c>
      <c r="H312" s="77" t="str">
        <f>VLOOKUP(DESPESAS[[#This Row],[Plano de Contas]],BASE!$B$3:$D$119,3,FALSE)</f>
        <v>Sistemas de Informação</v>
      </c>
      <c r="I312" s="77" t="str">
        <f>IFERROR(VLOOKUP(DESPESAS[[#This Row],[Fornecedor]],Tabela2[],2,FALSE),"")</f>
        <v>E-MAILS</v>
      </c>
      <c r="J312" s="77" t="str">
        <f>IFERROR(VLOOKUP(DESPESAS[[#This Row],[Plano de Contas]],BASE!$B$3:$F$119,4,FALSE),"")</f>
        <v>7 - SERVIÇOS DE TERCEIROS</v>
      </c>
      <c r="K312" s="77" t="str">
        <f>IFERROR(VLOOKUP(DESPESAS[[#This Row],[Plano de Contas]],BASE!$B$3:$H$119,5,FALSE),"")</f>
        <v>MANUTENÇÃO / TI</v>
      </c>
      <c r="L312" s="77">
        <f>IFERROR(VLOOKUP(DESPESAS[[#This Row],[Plano de Contas]],BASE!$B$3:$H$119,6,FALSE),"")</f>
        <v>0</v>
      </c>
      <c r="M312" s="77" t="str">
        <f>VLOOKUP(DESPESAS[[#This Row],[Plano de Contas]],BASE!$B$3:$H$119,7,FALSE)</f>
        <v>LETÍCIA</v>
      </c>
    </row>
    <row r="313" spans="1:13" x14ac:dyDescent="0.25">
      <c r="A313" s="74">
        <v>196509</v>
      </c>
      <c r="B313" s="75" t="s">
        <v>279</v>
      </c>
      <c r="C313" s="75" t="s">
        <v>3159</v>
      </c>
      <c r="D313" s="76">
        <v>46031</v>
      </c>
      <c r="E313" s="75" t="s">
        <v>368</v>
      </c>
      <c r="F313" s="74">
        <v>6000</v>
      </c>
      <c r="G313" s="75" t="s">
        <v>365</v>
      </c>
      <c r="H313" s="77" t="str">
        <f>VLOOKUP(DESPESAS[[#This Row],[Plano de Contas]],BASE!$B$3:$D$119,3,FALSE)</f>
        <v>Pró-Labore</v>
      </c>
      <c r="I313" s="77" t="str">
        <f>IFERROR(VLOOKUP(DESPESAS[[#This Row],[Fornecedor]],Tabela2[],2,FALSE),"")</f>
        <v/>
      </c>
      <c r="J313" s="77" t="str">
        <f>IFERROR(VLOOKUP(DESPESAS[[#This Row],[Plano de Contas]],BASE!$B$3:$F$119,4,FALSE),"")</f>
        <v>4 - GASTOS COM PESSOAL</v>
      </c>
      <c r="K313" s="77" t="str">
        <f>IFERROR(VLOOKUP(DESPESAS[[#This Row],[Plano de Contas]],BASE!$B$3:$H$119,5,FALSE),"")</f>
        <v>DIRETORIA</v>
      </c>
      <c r="L313" s="77">
        <f>IFERROR(VLOOKUP(DESPESAS[[#This Row],[Plano de Contas]],BASE!$B$3:$H$119,6,FALSE),"")</f>
        <v>0</v>
      </c>
      <c r="M313" s="77" t="str">
        <f>VLOOKUP(DESPESAS[[#This Row],[Plano de Contas]],BASE!$B$3:$H$119,7,FALSE)</f>
        <v>FÁBIO</v>
      </c>
    </row>
    <row r="314" spans="1:13" x14ac:dyDescent="0.25">
      <c r="A314" s="74">
        <v>196510</v>
      </c>
      <c r="B314" s="75" t="s">
        <v>281</v>
      </c>
      <c r="C314" s="75" t="s">
        <v>3158</v>
      </c>
      <c r="D314" s="76">
        <v>46038</v>
      </c>
      <c r="E314" s="75" t="s">
        <v>3157</v>
      </c>
      <c r="F314" s="74">
        <v>45</v>
      </c>
      <c r="G314" s="75" t="s">
        <v>561</v>
      </c>
      <c r="H314" s="77" t="str">
        <f>VLOOKUP(DESPESAS[[#This Row],[Plano de Contas]],BASE!$B$3:$D$119,3,FALSE)</f>
        <v>Sistemas de Informação</v>
      </c>
      <c r="I314" s="77" t="str">
        <f>IFERROR(VLOOKUP(DESPESAS[[#This Row],[Fornecedor]],Tabela2[],2,FALSE),"")</f>
        <v>E-MAILS</v>
      </c>
      <c r="J314" s="77" t="str">
        <f>IFERROR(VLOOKUP(DESPESAS[[#This Row],[Plano de Contas]],BASE!$B$3:$F$119,4,FALSE),"")</f>
        <v>7 - SERVIÇOS DE TERCEIROS</v>
      </c>
      <c r="K314" s="77" t="str">
        <f>IFERROR(VLOOKUP(DESPESAS[[#This Row],[Plano de Contas]],BASE!$B$3:$H$119,5,FALSE),"")</f>
        <v>MANUTENÇÃO / TI</v>
      </c>
      <c r="L314" s="77">
        <f>IFERROR(VLOOKUP(DESPESAS[[#This Row],[Plano de Contas]],BASE!$B$3:$H$119,6,FALSE),"")</f>
        <v>0</v>
      </c>
      <c r="M314" s="77" t="str">
        <f>VLOOKUP(DESPESAS[[#This Row],[Plano de Contas]],BASE!$B$3:$H$119,7,FALSE)</f>
        <v>LETÍCIA</v>
      </c>
    </row>
    <row r="315" spans="1:13" x14ac:dyDescent="0.25">
      <c r="A315" s="74">
        <v>196511</v>
      </c>
      <c r="B315" s="75" t="s">
        <v>281</v>
      </c>
      <c r="C315" s="75" t="s">
        <v>3158</v>
      </c>
      <c r="D315" s="76">
        <v>46063</v>
      </c>
      <c r="E315" s="75" t="s">
        <v>3157</v>
      </c>
      <c r="F315" s="74">
        <v>45</v>
      </c>
      <c r="G315" s="75" t="s">
        <v>561</v>
      </c>
      <c r="H315" s="77" t="str">
        <f>VLOOKUP(DESPESAS[[#This Row],[Plano de Contas]],BASE!$B$3:$D$119,3,FALSE)</f>
        <v>Sistemas de Informação</v>
      </c>
      <c r="I315" s="77" t="str">
        <f>IFERROR(VLOOKUP(DESPESAS[[#This Row],[Fornecedor]],Tabela2[],2,FALSE),"")</f>
        <v>E-MAILS</v>
      </c>
      <c r="J315" s="77" t="str">
        <f>IFERROR(VLOOKUP(DESPESAS[[#This Row],[Plano de Contas]],BASE!$B$3:$F$119,4,FALSE),"")</f>
        <v>7 - SERVIÇOS DE TERCEIROS</v>
      </c>
      <c r="K315" s="77" t="str">
        <f>IFERROR(VLOOKUP(DESPESAS[[#This Row],[Plano de Contas]],BASE!$B$3:$H$119,5,FALSE),"")</f>
        <v>MANUTENÇÃO / TI</v>
      </c>
      <c r="L315" s="77">
        <f>IFERROR(VLOOKUP(DESPESAS[[#This Row],[Plano de Contas]],BASE!$B$3:$H$119,6,FALSE),"")</f>
        <v>0</v>
      </c>
      <c r="M315" s="77" t="str">
        <f>VLOOKUP(DESPESAS[[#This Row],[Plano de Contas]],BASE!$B$3:$H$119,7,FALSE)</f>
        <v>LETÍCIA</v>
      </c>
    </row>
    <row r="316" spans="1:13" x14ac:dyDescent="0.25">
      <c r="A316" s="74">
        <v>196512</v>
      </c>
      <c r="B316" s="75" t="s">
        <v>281</v>
      </c>
      <c r="C316" s="75" t="s">
        <v>3158</v>
      </c>
      <c r="D316" s="76">
        <v>46091</v>
      </c>
      <c r="E316" s="75" t="s">
        <v>3157</v>
      </c>
      <c r="F316" s="74">
        <v>45</v>
      </c>
      <c r="G316" s="75" t="s">
        <v>561</v>
      </c>
      <c r="H316" s="77" t="str">
        <f>VLOOKUP(DESPESAS[[#This Row],[Plano de Contas]],BASE!$B$3:$D$119,3,FALSE)</f>
        <v>Sistemas de Informação</v>
      </c>
      <c r="I316" s="77" t="str">
        <f>IFERROR(VLOOKUP(DESPESAS[[#This Row],[Fornecedor]],Tabela2[],2,FALSE),"")</f>
        <v>E-MAILS</v>
      </c>
      <c r="J316" s="77" t="str">
        <f>IFERROR(VLOOKUP(DESPESAS[[#This Row],[Plano de Contas]],BASE!$B$3:$F$119,4,FALSE),"")</f>
        <v>7 - SERVIÇOS DE TERCEIROS</v>
      </c>
      <c r="K316" s="77" t="str">
        <f>IFERROR(VLOOKUP(DESPESAS[[#This Row],[Plano de Contas]],BASE!$B$3:$H$119,5,FALSE),"")</f>
        <v>MANUTENÇÃO / TI</v>
      </c>
      <c r="L316" s="77">
        <f>IFERROR(VLOOKUP(DESPESAS[[#This Row],[Plano de Contas]],BASE!$B$3:$H$119,6,FALSE),"")</f>
        <v>0</v>
      </c>
      <c r="M316" s="77" t="str">
        <f>VLOOKUP(DESPESAS[[#This Row],[Plano de Contas]],BASE!$B$3:$H$119,7,FALSE)</f>
        <v>LETÍCIA</v>
      </c>
    </row>
    <row r="317" spans="1:13" x14ac:dyDescent="0.25">
      <c r="A317" s="74">
        <v>196513</v>
      </c>
      <c r="B317" s="75" t="s">
        <v>281</v>
      </c>
      <c r="C317" s="75" t="s">
        <v>3158</v>
      </c>
      <c r="D317" s="76">
        <v>46122</v>
      </c>
      <c r="E317" s="75" t="s">
        <v>3157</v>
      </c>
      <c r="F317" s="74">
        <v>45</v>
      </c>
      <c r="G317" s="75" t="s">
        <v>561</v>
      </c>
      <c r="H317" s="77" t="str">
        <f>VLOOKUP(DESPESAS[[#This Row],[Plano de Contas]],BASE!$B$3:$D$119,3,FALSE)</f>
        <v>Sistemas de Informação</v>
      </c>
      <c r="I317" s="77" t="str">
        <f>IFERROR(VLOOKUP(DESPESAS[[#This Row],[Fornecedor]],Tabela2[],2,FALSE),"")</f>
        <v>E-MAILS</v>
      </c>
      <c r="J317" s="77" t="str">
        <f>IFERROR(VLOOKUP(DESPESAS[[#This Row],[Plano de Contas]],BASE!$B$3:$F$119,4,FALSE),"")</f>
        <v>7 - SERVIÇOS DE TERCEIROS</v>
      </c>
      <c r="K317" s="77" t="str">
        <f>IFERROR(VLOOKUP(DESPESAS[[#This Row],[Plano de Contas]],BASE!$B$3:$H$119,5,FALSE),"")</f>
        <v>MANUTENÇÃO / TI</v>
      </c>
      <c r="L317" s="77">
        <f>IFERROR(VLOOKUP(DESPESAS[[#This Row],[Plano de Contas]],BASE!$B$3:$H$119,6,FALSE),"")</f>
        <v>0</v>
      </c>
      <c r="M317" s="77" t="str">
        <f>VLOOKUP(DESPESAS[[#This Row],[Plano de Contas]],BASE!$B$3:$H$119,7,FALSE)</f>
        <v>LETÍCIA</v>
      </c>
    </row>
    <row r="318" spans="1:13" x14ac:dyDescent="0.25">
      <c r="A318" s="74">
        <v>196514</v>
      </c>
      <c r="B318" s="75" t="s">
        <v>281</v>
      </c>
      <c r="C318" s="75" t="s">
        <v>3158</v>
      </c>
      <c r="D318" s="76">
        <v>46152</v>
      </c>
      <c r="E318" s="75" t="s">
        <v>3157</v>
      </c>
      <c r="F318" s="74">
        <v>45</v>
      </c>
      <c r="G318" s="75" t="s">
        <v>561</v>
      </c>
      <c r="H318" s="77" t="str">
        <f>VLOOKUP(DESPESAS[[#This Row],[Plano de Contas]],BASE!$B$3:$D$119,3,FALSE)</f>
        <v>Sistemas de Informação</v>
      </c>
      <c r="I318" s="77" t="str">
        <f>IFERROR(VLOOKUP(DESPESAS[[#This Row],[Fornecedor]],Tabela2[],2,FALSE),"")</f>
        <v>E-MAILS</v>
      </c>
      <c r="J318" s="77" t="str">
        <f>IFERROR(VLOOKUP(DESPESAS[[#This Row],[Plano de Contas]],BASE!$B$3:$F$119,4,FALSE),"")</f>
        <v>7 - SERVIÇOS DE TERCEIROS</v>
      </c>
      <c r="K318" s="77" t="str">
        <f>IFERROR(VLOOKUP(DESPESAS[[#This Row],[Plano de Contas]],BASE!$B$3:$H$119,5,FALSE),"")</f>
        <v>MANUTENÇÃO / TI</v>
      </c>
      <c r="L318" s="77">
        <f>IFERROR(VLOOKUP(DESPESAS[[#This Row],[Plano de Contas]],BASE!$B$3:$H$119,6,FALSE),"")</f>
        <v>0</v>
      </c>
      <c r="M318" s="77" t="str">
        <f>VLOOKUP(DESPESAS[[#This Row],[Plano de Contas]],BASE!$B$3:$H$119,7,FALSE)</f>
        <v>LETÍCIA</v>
      </c>
    </row>
    <row r="319" spans="1:13" x14ac:dyDescent="0.25">
      <c r="A319" s="74">
        <v>196531</v>
      </c>
      <c r="B319" s="75" t="s">
        <v>232</v>
      </c>
      <c r="C319" s="75" t="s">
        <v>3156</v>
      </c>
      <c r="D319" s="76">
        <v>46037</v>
      </c>
      <c r="E319" s="75" t="s">
        <v>3054</v>
      </c>
      <c r="F319" s="74">
        <v>1381.83</v>
      </c>
      <c r="G319" s="75" t="s">
        <v>3059</v>
      </c>
      <c r="H319" s="77" t="str">
        <f>VLOOKUP(DESPESAS[[#This Row],[Plano de Contas]],BASE!$B$3:$D$119,3,FALSE)</f>
        <v>IPVA e Licenciamento</v>
      </c>
      <c r="I319" s="77" t="str">
        <f>IFERROR(VLOOKUP(DESPESAS[[#This Row],[Fornecedor]],Tabela2[],2,FALSE),"")</f>
        <v/>
      </c>
      <c r="J319" s="77" t="str">
        <f>IFERROR(VLOOKUP(DESPESAS[[#This Row],[Plano de Contas]],BASE!$B$3:$F$119,4,FALSE),"")</f>
        <v>6 - DESPESA COM VENDAS</v>
      </c>
      <c r="K319" s="77" t="str">
        <f>IFERROR(VLOOKUP(DESPESAS[[#This Row],[Plano de Contas]],BASE!$B$3:$H$119,5,FALSE),"")</f>
        <v>LOGÍSTICA</v>
      </c>
      <c r="L319" s="77">
        <f>IFERROR(VLOOKUP(DESPESAS[[#This Row],[Plano de Contas]],BASE!$B$3:$H$119,6,FALSE),"")</f>
        <v>0</v>
      </c>
      <c r="M319" s="77" t="str">
        <f>VLOOKUP(DESPESAS[[#This Row],[Plano de Contas]],BASE!$B$3:$H$119,7,FALSE)</f>
        <v>MYLENA</v>
      </c>
    </row>
    <row r="320" spans="1:13" x14ac:dyDescent="0.25">
      <c r="A320" s="74">
        <v>196532</v>
      </c>
      <c r="B320" s="75" t="s">
        <v>232</v>
      </c>
      <c r="C320" s="75" t="s">
        <v>3155</v>
      </c>
      <c r="D320" s="76">
        <v>46036</v>
      </c>
      <c r="E320" s="75" t="s">
        <v>607</v>
      </c>
      <c r="F320" s="74">
        <v>1880.6</v>
      </c>
      <c r="G320" s="75" t="s">
        <v>244</v>
      </c>
      <c r="H320" s="77" t="str">
        <f>VLOOKUP(DESPESAS[[#This Row],[Plano de Contas]],BASE!$B$3:$D$119,3,FALSE)</f>
        <v>Material de Expediente (Prod)</v>
      </c>
      <c r="I320" s="77" t="str">
        <f>IFERROR(VLOOKUP(DESPESAS[[#This Row],[Fornecedor]],Tabela2[],2,FALSE),"")</f>
        <v>FERRAGENS GERAIS</v>
      </c>
      <c r="J320" s="77" t="str">
        <f>IFERROR(VLOOKUP(DESPESAS[[#This Row],[Plano de Contas]],BASE!$B$3:$F$119,4,FALSE),"")</f>
        <v>2 - CUSTOS DIRETOS</v>
      </c>
      <c r="K320" s="77" t="str">
        <f>IFERROR(VLOOKUP(DESPESAS[[#This Row],[Plano de Contas]],BASE!$B$3:$H$119,5,FALSE),"")</f>
        <v>PRODUÇÃO</v>
      </c>
      <c r="L320" s="77">
        <f>IFERROR(VLOOKUP(DESPESAS[[#This Row],[Plano de Contas]],BASE!$B$3:$H$119,6,FALSE),"")</f>
        <v>0</v>
      </c>
      <c r="M320" s="77" t="str">
        <f>VLOOKUP(DESPESAS[[#This Row],[Plano de Contas]],BASE!$B$3:$H$119,7,FALSE)</f>
        <v>RAFAEL</v>
      </c>
    </row>
    <row r="321" spans="1:13" x14ac:dyDescent="0.25">
      <c r="A321" s="74">
        <v>196533</v>
      </c>
      <c r="B321" s="75" t="s">
        <v>232</v>
      </c>
      <c r="C321" s="75" t="s">
        <v>3154</v>
      </c>
      <c r="D321" s="76">
        <v>46066</v>
      </c>
      <c r="E321" s="75" t="s">
        <v>3054</v>
      </c>
      <c r="F321" s="74">
        <v>1381.83</v>
      </c>
      <c r="G321" s="75" t="s">
        <v>3059</v>
      </c>
      <c r="H321" s="77" t="str">
        <f>VLOOKUP(DESPESAS[[#This Row],[Plano de Contas]],BASE!$B$3:$D$119,3,FALSE)</f>
        <v>IPVA e Licenciamento</v>
      </c>
      <c r="I321" s="77" t="str">
        <f>IFERROR(VLOOKUP(DESPESAS[[#This Row],[Fornecedor]],Tabela2[],2,FALSE),"")</f>
        <v/>
      </c>
      <c r="J321" s="77" t="str">
        <f>IFERROR(VLOOKUP(DESPESAS[[#This Row],[Plano de Contas]],BASE!$B$3:$F$119,4,FALSE),"")</f>
        <v>6 - DESPESA COM VENDAS</v>
      </c>
      <c r="K321" s="77" t="str">
        <f>IFERROR(VLOOKUP(DESPESAS[[#This Row],[Plano de Contas]],BASE!$B$3:$H$119,5,FALSE),"")</f>
        <v>LOGÍSTICA</v>
      </c>
      <c r="L321" s="77">
        <f>IFERROR(VLOOKUP(DESPESAS[[#This Row],[Plano de Contas]],BASE!$B$3:$H$119,6,FALSE),"")</f>
        <v>0</v>
      </c>
      <c r="M321" s="77" t="str">
        <f>VLOOKUP(DESPESAS[[#This Row],[Plano de Contas]],BASE!$B$3:$H$119,7,FALSE)</f>
        <v>MYLENA</v>
      </c>
    </row>
    <row r="322" spans="1:13" x14ac:dyDescent="0.25">
      <c r="A322" s="74">
        <v>196534</v>
      </c>
      <c r="B322" s="75" t="s">
        <v>232</v>
      </c>
      <c r="C322" s="75" t="s">
        <v>3153</v>
      </c>
      <c r="D322" s="76">
        <v>46094</v>
      </c>
      <c r="E322" s="75" t="s">
        <v>3054</v>
      </c>
      <c r="F322" s="74">
        <v>1381.83</v>
      </c>
      <c r="G322" s="75" t="s">
        <v>3059</v>
      </c>
      <c r="H322" s="77" t="str">
        <f>VLOOKUP(DESPESAS[[#This Row],[Plano de Contas]],BASE!$B$3:$D$119,3,FALSE)</f>
        <v>IPVA e Licenciamento</v>
      </c>
      <c r="I322" s="77" t="str">
        <f>IFERROR(VLOOKUP(DESPESAS[[#This Row],[Fornecedor]],Tabela2[],2,FALSE),"")</f>
        <v/>
      </c>
      <c r="J322" s="77" t="str">
        <f>IFERROR(VLOOKUP(DESPESAS[[#This Row],[Plano de Contas]],BASE!$B$3:$F$119,4,FALSE),"")</f>
        <v>6 - DESPESA COM VENDAS</v>
      </c>
      <c r="K322" s="77" t="str">
        <f>IFERROR(VLOOKUP(DESPESAS[[#This Row],[Plano de Contas]],BASE!$B$3:$H$119,5,FALSE),"")</f>
        <v>LOGÍSTICA</v>
      </c>
      <c r="L322" s="77">
        <f>IFERROR(VLOOKUP(DESPESAS[[#This Row],[Plano de Contas]],BASE!$B$3:$H$119,6,FALSE),"")</f>
        <v>0</v>
      </c>
      <c r="M322" s="77" t="str">
        <f>VLOOKUP(DESPESAS[[#This Row],[Plano de Contas]],BASE!$B$3:$H$119,7,FALSE)</f>
        <v>MYLENA</v>
      </c>
    </row>
    <row r="323" spans="1:13" x14ac:dyDescent="0.25">
      <c r="A323" s="74">
        <v>196535</v>
      </c>
      <c r="B323" s="75" t="s">
        <v>232</v>
      </c>
      <c r="C323" s="75" t="s">
        <v>3152</v>
      </c>
      <c r="D323" s="76">
        <v>46127</v>
      </c>
      <c r="E323" s="75" t="s">
        <v>3054</v>
      </c>
      <c r="F323" s="74">
        <v>1381.83</v>
      </c>
      <c r="G323" s="75" t="s">
        <v>3059</v>
      </c>
      <c r="H323" s="77" t="str">
        <f>VLOOKUP(DESPESAS[[#This Row],[Plano de Contas]],BASE!$B$3:$D$119,3,FALSE)</f>
        <v>IPVA e Licenciamento</v>
      </c>
      <c r="I323" s="77" t="str">
        <f>IFERROR(VLOOKUP(DESPESAS[[#This Row],[Fornecedor]],Tabela2[],2,FALSE),"")</f>
        <v/>
      </c>
      <c r="J323" s="77" t="str">
        <f>IFERROR(VLOOKUP(DESPESAS[[#This Row],[Plano de Contas]],BASE!$B$3:$F$119,4,FALSE),"")</f>
        <v>6 - DESPESA COM VENDAS</v>
      </c>
      <c r="K323" s="77" t="str">
        <f>IFERROR(VLOOKUP(DESPESAS[[#This Row],[Plano de Contas]],BASE!$B$3:$H$119,5,FALSE),"")</f>
        <v>LOGÍSTICA</v>
      </c>
      <c r="L323" s="77">
        <f>IFERROR(VLOOKUP(DESPESAS[[#This Row],[Plano de Contas]],BASE!$B$3:$H$119,6,FALSE),"")</f>
        <v>0</v>
      </c>
      <c r="M323" s="77" t="str">
        <f>VLOOKUP(DESPESAS[[#This Row],[Plano de Contas]],BASE!$B$3:$H$119,7,FALSE)</f>
        <v>MYLENA</v>
      </c>
    </row>
    <row r="324" spans="1:13" x14ac:dyDescent="0.25">
      <c r="A324" s="74">
        <v>196556</v>
      </c>
      <c r="B324" s="75" t="s">
        <v>221</v>
      </c>
      <c r="C324" s="75" t="s">
        <v>3151</v>
      </c>
      <c r="D324" s="76">
        <v>46031</v>
      </c>
      <c r="E324" s="75" t="s">
        <v>1872</v>
      </c>
      <c r="F324" s="74">
        <v>640</v>
      </c>
      <c r="G324" s="75" t="s">
        <v>259</v>
      </c>
      <c r="H324" s="77" t="str">
        <f>VLOOKUP(DESPESAS[[#This Row],[Plano de Contas]],BASE!$B$3:$D$119,3,FALSE)</f>
        <v>Manutenção Predial CIF</v>
      </c>
      <c r="I324" s="77" t="str">
        <f>IFERROR(VLOOKUP(DESPESAS[[#This Row],[Fornecedor]],Tabela2[],2,FALSE),"")</f>
        <v>MATERIAIS ELETRICOS</v>
      </c>
      <c r="J324" s="77" t="str">
        <f>IFERROR(VLOOKUP(DESPESAS[[#This Row],[Plano de Contas]],BASE!$B$3:$F$119,4,FALSE),"")</f>
        <v>3 - CUSTOS INDIRETOS</v>
      </c>
      <c r="K324" s="77" t="str">
        <f>IFERROR(VLOOKUP(DESPESAS[[#This Row],[Plano de Contas]],BASE!$B$3:$H$119,5,FALSE),"")</f>
        <v>MANUTENÇÃO / TI</v>
      </c>
      <c r="L324" s="77">
        <f>IFERROR(VLOOKUP(DESPESAS[[#This Row],[Plano de Contas]],BASE!$B$3:$H$119,6,FALSE),"")</f>
        <v>0</v>
      </c>
      <c r="M324" s="77" t="str">
        <f>VLOOKUP(DESPESAS[[#This Row],[Plano de Contas]],BASE!$B$3:$H$119,7,FALSE)</f>
        <v>FÁBIO</v>
      </c>
    </row>
    <row r="325" spans="1:13" x14ac:dyDescent="0.25">
      <c r="A325" s="74">
        <v>196562</v>
      </c>
      <c r="B325" s="75" t="s">
        <v>221</v>
      </c>
      <c r="C325" s="75" t="s">
        <v>3150</v>
      </c>
      <c r="D325" s="76">
        <v>46031</v>
      </c>
      <c r="E325" s="75" t="s">
        <v>245</v>
      </c>
      <c r="F325" s="74">
        <v>162</v>
      </c>
      <c r="G325" s="75" t="s">
        <v>1037</v>
      </c>
      <c r="H325" s="77" t="str">
        <f>VLOOKUP(DESPESAS[[#This Row],[Plano de Contas]],BASE!$B$3:$D$119,3,FALSE)</f>
        <v>Construções e Reformas</v>
      </c>
      <c r="I325" s="77" t="str">
        <f>IFERROR(VLOOKUP(DESPESAS[[#This Row],[Fornecedor]],Tabela2[],2,FALSE),"")</f>
        <v>FERRAGENS GERAIS</v>
      </c>
      <c r="J325" s="77" t="str">
        <f>IFERROR(VLOOKUP(DESPESAS[[#This Row],[Plano de Contas]],BASE!$B$3:$F$119,4,FALSE),"")</f>
        <v>9 - INVESTIMENTOS</v>
      </c>
      <c r="K325" s="77" t="str">
        <f>IFERROR(VLOOKUP(DESPESAS[[#This Row],[Plano de Contas]],BASE!$B$3:$H$119,5,FALSE),"")</f>
        <v>MANUTENÇÃO / TI</v>
      </c>
      <c r="L325" s="77">
        <f>IFERROR(VLOOKUP(DESPESAS[[#This Row],[Plano de Contas]],BASE!$B$3:$H$119,6,FALSE),"")</f>
        <v>0</v>
      </c>
      <c r="M325" s="77" t="str">
        <f>VLOOKUP(DESPESAS[[#This Row],[Plano de Contas]],BASE!$B$3:$H$119,7,FALSE)</f>
        <v>FÁBIO</v>
      </c>
    </row>
    <row r="326" spans="1:13" x14ac:dyDescent="0.25">
      <c r="A326" s="74">
        <v>196563</v>
      </c>
      <c r="B326" s="75" t="s">
        <v>232</v>
      </c>
      <c r="C326" s="75" t="s">
        <v>3149</v>
      </c>
      <c r="D326" s="76">
        <v>46031</v>
      </c>
      <c r="E326" s="75" t="s">
        <v>774</v>
      </c>
      <c r="F326" s="74">
        <v>2291.86</v>
      </c>
      <c r="G326" s="75" t="s">
        <v>1318</v>
      </c>
      <c r="H326" s="77" t="str">
        <f>VLOOKUP(DESPESAS[[#This Row],[Plano de Contas]],BASE!$B$3:$D$119,3,FALSE)</f>
        <v>Feiras e Eventos</v>
      </c>
      <c r="I326" s="77" t="str">
        <f>IFERROR(VLOOKUP(DESPESAS[[#This Row],[Fornecedor]],Tabela2[],2,FALSE),"")</f>
        <v/>
      </c>
      <c r="J326" s="77" t="str">
        <f>IFERROR(VLOOKUP(DESPESAS[[#This Row],[Plano de Contas]],BASE!$B$3:$F$119,4,FALSE),"")</f>
        <v>6 - DESPESA COM VENDAS</v>
      </c>
      <c r="K326" s="77" t="str">
        <f>IFERROR(VLOOKUP(DESPESAS[[#This Row],[Plano de Contas]],BASE!$B$3:$H$119,5,FALSE),"")</f>
        <v>COMERCIAL</v>
      </c>
      <c r="L326" s="77">
        <f>IFERROR(VLOOKUP(DESPESAS[[#This Row],[Plano de Contas]],BASE!$B$3:$H$119,6,FALSE),"")</f>
        <v>0</v>
      </c>
      <c r="M326" s="77" t="str">
        <f>VLOOKUP(DESPESAS[[#This Row],[Plano de Contas]],BASE!$B$3:$H$119,7,FALSE)</f>
        <v>THAIS</v>
      </c>
    </row>
    <row r="327" spans="1:13" x14ac:dyDescent="0.25">
      <c r="A327" s="74">
        <v>196573</v>
      </c>
      <c r="B327" s="75" t="s">
        <v>221</v>
      </c>
      <c r="C327" s="75" t="s">
        <v>3148</v>
      </c>
      <c r="D327" s="76">
        <v>46031</v>
      </c>
      <c r="E327" s="75" t="s">
        <v>3054</v>
      </c>
      <c r="F327" s="74">
        <v>194.45</v>
      </c>
      <c r="G327" s="75" t="s">
        <v>3059</v>
      </c>
      <c r="H327" s="77" t="str">
        <f>VLOOKUP(DESPESAS[[#This Row],[Plano de Contas]],BASE!$B$3:$D$119,3,FALSE)</f>
        <v>IPVA e Licenciamento</v>
      </c>
      <c r="I327" s="77" t="str">
        <f>IFERROR(VLOOKUP(DESPESAS[[#This Row],[Fornecedor]],Tabela2[],2,FALSE),"")</f>
        <v/>
      </c>
      <c r="J327" s="77" t="str">
        <f>IFERROR(VLOOKUP(DESPESAS[[#This Row],[Plano de Contas]],BASE!$B$3:$F$119,4,FALSE),"")</f>
        <v>6 - DESPESA COM VENDAS</v>
      </c>
      <c r="K327" s="77" t="str">
        <f>IFERROR(VLOOKUP(DESPESAS[[#This Row],[Plano de Contas]],BASE!$B$3:$H$119,5,FALSE),"")</f>
        <v>LOGÍSTICA</v>
      </c>
      <c r="L327" s="77">
        <f>IFERROR(VLOOKUP(DESPESAS[[#This Row],[Plano de Contas]],BASE!$B$3:$H$119,6,FALSE),"")</f>
        <v>0</v>
      </c>
      <c r="M327" s="77" t="str">
        <f>VLOOKUP(DESPESAS[[#This Row],[Plano de Contas]],BASE!$B$3:$H$119,7,FALSE)</f>
        <v>MYLENA</v>
      </c>
    </row>
    <row r="328" spans="1:13" x14ac:dyDescent="0.25">
      <c r="A328" s="74">
        <v>196574</v>
      </c>
      <c r="B328" s="75" t="s">
        <v>221</v>
      </c>
      <c r="C328" s="75" t="s">
        <v>3147</v>
      </c>
      <c r="D328" s="76">
        <v>46062</v>
      </c>
      <c r="E328" s="75" t="s">
        <v>3054</v>
      </c>
      <c r="F328" s="74">
        <v>194.45</v>
      </c>
      <c r="G328" s="75" t="s">
        <v>3059</v>
      </c>
      <c r="H328" s="77" t="str">
        <f>VLOOKUP(DESPESAS[[#This Row],[Plano de Contas]],BASE!$B$3:$D$119,3,FALSE)</f>
        <v>IPVA e Licenciamento</v>
      </c>
      <c r="I328" s="77" t="str">
        <f>IFERROR(VLOOKUP(DESPESAS[[#This Row],[Fornecedor]],Tabela2[],2,FALSE),"")</f>
        <v/>
      </c>
      <c r="J328" s="77" t="str">
        <f>IFERROR(VLOOKUP(DESPESAS[[#This Row],[Plano de Contas]],BASE!$B$3:$F$119,4,FALSE),"")</f>
        <v>6 - DESPESA COM VENDAS</v>
      </c>
      <c r="K328" s="77" t="str">
        <f>IFERROR(VLOOKUP(DESPESAS[[#This Row],[Plano de Contas]],BASE!$B$3:$H$119,5,FALSE),"")</f>
        <v>LOGÍSTICA</v>
      </c>
      <c r="L328" s="77">
        <f>IFERROR(VLOOKUP(DESPESAS[[#This Row],[Plano de Contas]],BASE!$B$3:$H$119,6,FALSE),"")</f>
        <v>0</v>
      </c>
      <c r="M328" s="77" t="str">
        <f>VLOOKUP(DESPESAS[[#This Row],[Plano de Contas]],BASE!$B$3:$H$119,7,FALSE)</f>
        <v>MYLENA</v>
      </c>
    </row>
    <row r="329" spans="1:13" x14ac:dyDescent="0.25">
      <c r="A329" s="74">
        <v>196575</v>
      </c>
      <c r="B329" s="75" t="s">
        <v>221</v>
      </c>
      <c r="C329" s="75" t="s">
        <v>3146</v>
      </c>
      <c r="D329" s="76">
        <v>46090</v>
      </c>
      <c r="E329" s="75" t="s">
        <v>3054</v>
      </c>
      <c r="F329" s="74">
        <v>194.45</v>
      </c>
      <c r="G329" s="75" t="s">
        <v>3059</v>
      </c>
      <c r="H329" s="77" t="str">
        <f>VLOOKUP(DESPESAS[[#This Row],[Plano de Contas]],BASE!$B$3:$D$119,3,FALSE)</f>
        <v>IPVA e Licenciamento</v>
      </c>
      <c r="I329" s="77" t="str">
        <f>IFERROR(VLOOKUP(DESPESAS[[#This Row],[Fornecedor]],Tabela2[],2,FALSE),"")</f>
        <v/>
      </c>
      <c r="J329" s="77" t="str">
        <f>IFERROR(VLOOKUP(DESPESAS[[#This Row],[Plano de Contas]],BASE!$B$3:$F$119,4,FALSE),"")</f>
        <v>6 - DESPESA COM VENDAS</v>
      </c>
      <c r="K329" s="77" t="str">
        <f>IFERROR(VLOOKUP(DESPESAS[[#This Row],[Plano de Contas]],BASE!$B$3:$H$119,5,FALSE),"")</f>
        <v>LOGÍSTICA</v>
      </c>
      <c r="L329" s="77">
        <f>IFERROR(VLOOKUP(DESPESAS[[#This Row],[Plano de Contas]],BASE!$B$3:$H$119,6,FALSE),"")</f>
        <v>0</v>
      </c>
      <c r="M329" s="77" t="str">
        <f>VLOOKUP(DESPESAS[[#This Row],[Plano de Contas]],BASE!$B$3:$H$119,7,FALSE)</f>
        <v>MYLENA</v>
      </c>
    </row>
    <row r="330" spans="1:13" x14ac:dyDescent="0.25">
      <c r="A330" s="74">
        <v>196576</v>
      </c>
      <c r="B330" s="75" t="s">
        <v>221</v>
      </c>
      <c r="C330" s="75" t="s">
        <v>3145</v>
      </c>
      <c r="D330" s="76">
        <v>46121</v>
      </c>
      <c r="E330" s="75" t="s">
        <v>3054</v>
      </c>
      <c r="F330" s="74">
        <v>194.45</v>
      </c>
      <c r="G330" s="75" t="s">
        <v>3059</v>
      </c>
      <c r="H330" s="77" t="str">
        <f>VLOOKUP(DESPESAS[[#This Row],[Plano de Contas]],BASE!$B$3:$D$119,3,FALSE)</f>
        <v>IPVA e Licenciamento</v>
      </c>
      <c r="I330" s="77" t="str">
        <f>IFERROR(VLOOKUP(DESPESAS[[#This Row],[Fornecedor]],Tabela2[],2,FALSE),"")</f>
        <v/>
      </c>
      <c r="J330" s="77" t="str">
        <f>IFERROR(VLOOKUP(DESPESAS[[#This Row],[Plano de Contas]],BASE!$B$3:$F$119,4,FALSE),"")</f>
        <v>6 - DESPESA COM VENDAS</v>
      </c>
      <c r="K330" s="77" t="str">
        <f>IFERROR(VLOOKUP(DESPESAS[[#This Row],[Plano de Contas]],BASE!$B$3:$H$119,5,FALSE),"")</f>
        <v>LOGÍSTICA</v>
      </c>
      <c r="L330" s="77">
        <f>IFERROR(VLOOKUP(DESPESAS[[#This Row],[Plano de Contas]],BASE!$B$3:$H$119,6,FALSE),"")</f>
        <v>0</v>
      </c>
      <c r="M330" s="77" t="str">
        <f>VLOOKUP(DESPESAS[[#This Row],[Plano de Contas]],BASE!$B$3:$H$119,7,FALSE)</f>
        <v>MYLENA</v>
      </c>
    </row>
    <row r="331" spans="1:13" x14ac:dyDescent="0.25">
      <c r="A331" s="74">
        <v>196577</v>
      </c>
      <c r="B331" s="75" t="s">
        <v>221</v>
      </c>
      <c r="C331" s="75" t="s">
        <v>3759</v>
      </c>
      <c r="D331" s="76">
        <v>46153</v>
      </c>
      <c r="E331" s="75" t="s">
        <v>3054</v>
      </c>
      <c r="F331" s="74">
        <v>194.45</v>
      </c>
      <c r="G331" s="75" t="s">
        <v>3059</v>
      </c>
      <c r="H331" s="77" t="str">
        <f>VLOOKUP(DESPESAS[[#This Row],[Plano de Contas]],BASE!$B$3:$D$119,3,FALSE)</f>
        <v>IPVA e Licenciamento</v>
      </c>
      <c r="I331" s="77" t="str">
        <f>IFERROR(VLOOKUP(DESPESAS[[#This Row],[Fornecedor]],Tabela2[],2,FALSE),"")</f>
        <v/>
      </c>
      <c r="J331" s="77" t="str">
        <f>IFERROR(VLOOKUP(DESPESAS[[#This Row],[Plano de Contas]],BASE!$B$3:$F$119,4,FALSE),"")</f>
        <v>6 - DESPESA COM VENDAS</v>
      </c>
      <c r="K331" s="77" t="str">
        <f>IFERROR(VLOOKUP(DESPESAS[[#This Row],[Plano de Contas]],BASE!$B$3:$H$119,5,FALSE),"")</f>
        <v>LOGÍSTICA</v>
      </c>
      <c r="L331" s="77">
        <f>IFERROR(VLOOKUP(DESPESAS[[#This Row],[Plano de Contas]],BASE!$B$3:$H$119,6,FALSE),"")</f>
        <v>0</v>
      </c>
      <c r="M331" s="77" t="str">
        <f>VLOOKUP(DESPESAS[[#This Row],[Plano de Contas]],BASE!$B$3:$H$119,7,FALSE)</f>
        <v>MYLENA</v>
      </c>
    </row>
    <row r="332" spans="1:13" x14ac:dyDescent="0.25">
      <c r="A332" s="74">
        <v>196578</v>
      </c>
      <c r="B332" s="75" t="s">
        <v>232</v>
      </c>
      <c r="C332" s="75" t="s">
        <v>3144</v>
      </c>
      <c r="D332" s="76">
        <v>46031</v>
      </c>
      <c r="E332" s="75" t="s">
        <v>230</v>
      </c>
      <c r="F332" s="74">
        <v>403.08</v>
      </c>
      <c r="G332" s="75" t="s">
        <v>229</v>
      </c>
      <c r="H332" s="77" t="str">
        <f>VLOOKUP(DESPESAS[[#This Row],[Plano de Contas]],BASE!$B$3:$D$119,3,FALSE)</f>
        <v>Despesas Bancarias</v>
      </c>
      <c r="I332" s="77" t="str">
        <f>IFERROR(VLOOKUP(DESPESAS[[#This Row],[Fornecedor]],Tabela2[],2,FALSE),"")</f>
        <v/>
      </c>
      <c r="J332" s="77" t="str">
        <f>IFERROR(VLOOKUP(DESPESAS[[#This Row],[Plano de Contas]],BASE!$B$3:$F$119,4,FALSE),"")</f>
        <v>8 - DESPESAS FINANCEIRAS</v>
      </c>
      <c r="K332" s="77" t="str">
        <f>IFERROR(VLOOKUP(DESPESAS[[#This Row],[Plano de Contas]],BASE!$B$3:$H$119,5,FALSE),"")</f>
        <v>FINANCEIRO</v>
      </c>
      <c r="L332" s="77">
        <f>IFERROR(VLOOKUP(DESPESAS[[#This Row],[Plano de Contas]],BASE!$B$3:$H$119,6,FALSE),"")</f>
        <v>0</v>
      </c>
      <c r="M332" s="77" t="str">
        <f>VLOOKUP(DESPESAS[[#This Row],[Plano de Contas]],BASE!$B$3:$H$119,7,FALSE)</f>
        <v>LETÍCIA</v>
      </c>
    </row>
    <row r="333" spans="1:13" x14ac:dyDescent="0.25">
      <c r="A333" s="74">
        <v>196579</v>
      </c>
      <c r="B333" s="75" t="s">
        <v>232</v>
      </c>
      <c r="C333" s="75" t="s">
        <v>3143</v>
      </c>
      <c r="D333" s="76">
        <v>46031</v>
      </c>
      <c r="E333" s="75" t="s">
        <v>230</v>
      </c>
      <c r="F333" s="74">
        <v>389.86</v>
      </c>
      <c r="G333" s="75" t="s">
        <v>229</v>
      </c>
      <c r="H333" s="77" t="str">
        <f>VLOOKUP(DESPESAS[[#This Row],[Plano de Contas]],BASE!$B$3:$D$119,3,FALSE)</f>
        <v>Despesas Bancarias</v>
      </c>
      <c r="I333" s="77" t="str">
        <f>IFERROR(VLOOKUP(DESPESAS[[#This Row],[Fornecedor]],Tabela2[],2,FALSE),"")</f>
        <v/>
      </c>
      <c r="J333" s="77" t="str">
        <f>IFERROR(VLOOKUP(DESPESAS[[#This Row],[Plano de Contas]],BASE!$B$3:$F$119,4,FALSE),"")</f>
        <v>8 - DESPESAS FINANCEIRAS</v>
      </c>
      <c r="K333" s="77" t="str">
        <f>IFERROR(VLOOKUP(DESPESAS[[#This Row],[Plano de Contas]],BASE!$B$3:$H$119,5,FALSE),"")</f>
        <v>FINANCEIRO</v>
      </c>
      <c r="L333" s="77">
        <f>IFERROR(VLOOKUP(DESPESAS[[#This Row],[Plano de Contas]],BASE!$B$3:$H$119,6,FALSE),"")</f>
        <v>0</v>
      </c>
      <c r="M333" s="77" t="str">
        <f>VLOOKUP(DESPESAS[[#This Row],[Plano de Contas]],BASE!$B$3:$H$119,7,FALSE)</f>
        <v>LETÍCIA</v>
      </c>
    </row>
    <row r="334" spans="1:13" x14ac:dyDescent="0.25">
      <c r="A334" s="74">
        <v>196581</v>
      </c>
      <c r="B334" s="75" t="s">
        <v>232</v>
      </c>
      <c r="C334" s="75" t="s">
        <v>3142</v>
      </c>
      <c r="D334" s="76">
        <v>46031</v>
      </c>
      <c r="E334" s="75" t="s">
        <v>366</v>
      </c>
      <c r="F334" s="74">
        <v>7000</v>
      </c>
      <c r="G334" s="75" t="s">
        <v>365</v>
      </c>
      <c r="H334" s="77" t="str">
        <f>VLOOKUP(DESPESAS[[#This Row],[Plano de Contas]],BASE!$B$3:$D$119,3,FALSE)</f>
        <v>Pró-Labore</v>
      </c>
      <c r="I334" s="77" t="str">
        <f>IFERROR(VLOOKUP(DESPESAS[[#This Row],[Fornecedor]],Tabela2[],2,FALSE),"")</f>
        <v/>
      </c>
      <c r="J334" s="77" t="str">
        <f>IFERROR(VLOOKUP(DESPESAS[[#This Row],[Plano de Contas]],BASE!$B$3:$F$119,4,FALSE),"")</f>
        <v>4 - GASTOS COM PESSOAL</v>
      </c>
      <c r="K334" s="77" t="str">
        <f>IFERROR(VLOOKUP(DESPESAS[[#This Row],[Plano de Contas]],BASE!$B$3:$H$119,5,FALSE),"")</f>
        <v>DIRETORIA</v>
      </c>
      <c r="L334" s="77">
        <f>IFERROR(VLOOKUP(DESPESAS[[#This Row],[Plano de Contas]],BASE!$B$3:$H$119,6,FALSE),"")</f>
        <v>0</v>
      </c>
      <c r="M334" s="77" t="str">
        <f>VLOOKUP(DESPESAS[[#This Row],[Plano de Contas]],BASE!$B$3:$H$119,7,FALSE)</f>
        <v>FÁBIO</v>
      </c>
    </row>
    <row r="335" spans="1:13" x14ac:dyDescent="0.25">
      <c r="A335" s="74">
        <v>196582</v>
      </c>
      <c r="B335" s="75" t="s">
        <v>221</v>
      </c>
      <c r="C335" s="75" t="s">
        <v>3141</v>
      </c>
      <c r="D335" s="76">
        <v>46031</v>
      </c>
      <c r="E335" s="75" t="s">
        <v>301</v>
      </c>
      <c r="F335" s="74">
        <v>120</v>
      </c>
      <c r="G335" s="75" t="s">
        <v>247</v>
      </c>
      <c r="H335" s="77" t="str">
        <f>VLOOKUP(DESPESAS[[#This Row],[Plano de Contas]],BASE!$B$3:$D$119,3,FALSE)</f>
        <v>Manutenção com veiculos</v>
      </c>
      <c r="I335" s="77" t="str">
        <f>IFERROR(VLOOKUP(DESPESAS[[#This Row],[Fornecedor]],Tabela2[],2,FALSE),"")</f>
        <v/>
      </c>
      <c r="J335" s="77" t="str">
        <f>IFERROR(VLOOKUP(DESPESAS[[#This Row],[Plano de Contas]],BASE!$B$3:$F$119,4,FALSE),"")</f>
        <v>6 - DESPESA COM VENDAS</v>
      </c>
      <c r="K335" s="77" t="str">
        <f>IFERROR(VLOOKUP(DESPESAS[[#This Row],[Plano de Contas]],BASE!$B$3:$H$119,5,FALSE),"")</f>
        <v>LOGÍSTICA</v>
      </c>
      <c r="L335" s="77">
        <f>IFERROR(VLOOKUP(DESPESAS[[#This Row],[Plano de Contas]],BASE!$B$3:$H$119,6,FALSE),"")</f>
        <v>0</v>
      </c>
      <c r="M335" s="77" t="str">
        <f>VLOOKUP(DESPESAS[[#This Row],[Plano de Contas]],BASE!$B$3:$H$119,7,FALSE)</f>
        <v>MYLENA</v>
      </c>
    </row>
    <row r="336" spans="1:13" x14ac:dyDescent="0.25">
      <c r="A336" s="74">
        <v>196583</v>
      </c>
      <c r="B336" s="75" t="s">
        <v>221</v>
      </c>
      <c r="C336" s="75" t="s">
        <v>3140</v>
      </c>
      <c r="D336" s="76">
        <v>46031</v>
      </c>
      <c r="E336" s="75" t="s">
        <v>287</v>
      </c>
      <c r="F336" s="74">
        <v>95</v>
      </c>
      <c r="G336" s="75" t="s">
        <v>247</v>
      </c>
      <c r="H336" s="77" t="str">
        <f>VLOOKUP(DESPESAS[[#This Row],[Plano de Contas]],BASE!$B$3:$D$119,3,FALSE)</f>
        <v>Manutenção com veiculos</v>
      </c>
      <c r="I336" s="77" t="str">
        <f>IFERROR(VLOOKUP(DESPESAS[[#This Row],[Fornecedor]],Tabela2[],2,FALSE),"")</f>
        <v/>
      </c>
      <c r="J336" s="77" t="str">
        <f>IFERROR(VLOOKUP(DESPESAS[[#This Row],[Plano de Contas]],BASE!$B$3:$F$119,4,FALSE),"")</f>
        <v>6 - DESPESA COM VENDAS</v>
      </c>
      <c r="K336" s="77" t="str">
        <f>IFERROR(VLOOKUP(DESPESAS[[#This Row],[Plano de Contas]],BASE!$B$3:$H$119,5,FALSE),"")</f>
        <v>LOGÍSTICA</v>
      </c>
      <c r="L336" s="77">
        <f>IFERROR(VLOOKUP(DESPESAS[[#This Row],[Plano de Contas]],BASE!$B$3:$H$119,6,FALSE),"")</f>
        <v>0</v>
      </c>
      <c r="M336" s="77" t="str">
        <f>VLOOKUP(DESPESAS[[#This Row],[Plano de Contas]],BASE!$B$3:$H$119,7,FALSE)</f>
        <v>MYLENA</v>
      </c>
    </row>
    <row r="337" spans="1:13" x14ac:dyDescent="0.25">
      <c r="A337" s="74">
        <v>196584</v>
      </c>
      <c r="B337" s="75" t="s">
        <v>232</v>
      </c>
      <c r="C337" s="75" t="s">
        <v>3139</v>
      </c>
      <c r="D337" s="76">
        <v>46031</v>
      </c>
      <c r="E337" s="75" t="s">
        <v>230</v>
      </c>
      <c r="F337" s="74">
        <v>2468.62</v>
      </c>
      <c r="G337" s="75" t="s">
        <v>251</v>
      </c>
      <c r="H337" s="77" t="str">
        <f>VLOOKUP(DESPESAS[[#This Row],[Plano de Contas]],BASE!$B$3:$D$119,3,FALSE)</f>
        <v>Juros Pagos - Antecipação de Crédito</v>
      </c>
      <c r="I337" s="77" t="str">
        <f>IFERROR(VLOOKUP(DESPESAS[[#This Row],[Fornecedor]],Tabela2[],2,FALSE),"")</f>
        <v/>
      </c>
      <c r="J337" s="77" t="str">
        <f>IFERROR(VLOOKUP(DESPESAS[[#This Row],[Plano de Contas]],BASE!$B$3:$F$119,4,FALSE),"")</f>
        <v>8 - DESPESAS FINANCEIRAS</v>
      </c>
      <c r="K337" s="77" t="str">
        <f>IFERROR(VLOOKUP(DESPESAS[[#This Row],[Plano de Contas]],BASE!$B$3:$H$119,5,FALSE),"")</f>
        <v>FINANCEIRO</v>
      </c>
      <c r="L337" s="77">
        <f>IFERROR(VLOOKUP(DESPESAS[[#This Row],[Plano de Contas]],BASE!$B$3:$H$119,6,FALSE),"")</f>
        <v>0</v>
      </c>
      <c r="M337" s="77" t="str">
        <f>VLOOKUP(DESPESAS[[#This Row],[Plano de Contas]],BASE!$B$3:$H$119,7,FALSE)</f>
        <v>LETÍCIA</v>
      </c>
    </row>
    <row r="338" spans="1:13" x14ac:dyDescent="0.25">
      <c r="A338" s="74">
        <v>196585</v>
      </c>
      <c r="B338" s="75" t="s">
        <v>221</v>
      </c>
      <c r="C338" s="75" t="s">
        <v>3138</v>
      </c>
      <c r="D338" s="76">
        <v>46031</v>
      </c>
      <c r="E338" s="75" t="s">
        <v>2829</v>
      </c>
      <c r="F338" s="74">
        <v>17.5</v>
      </c>
      <c r="G338" s="75" t="s">
        <v>247</v>
      </c>
      <c r="H338" s="77" t="str">
        <f>VLOOKUP(DESPESAS[[#This Row],[Plano de Contas]],BASE!$B$3:$D$119,3,FALSE)</f>
        <v>Manutenção com veiculos</v>
      </c>
      <c r="I338" s="77" t="str">
        <f>IFERROR(VLOOKUP(DESPESAS[[#This Row],[Fornecedor]],Tabela2[],2,FALSE),"")</f>
        <v>FERRAGENS GERAIS</v>
      </c>
      <c r="J338" s="77" t="str">
        <f>IFERROR(VLOOKUP(DESPESAS[[#This Row],[Plano de Contas]],BASE!$B$3:$F$119,4,FALSE),"")</f>
        <v>6 - DESPESA COM VENDAS</v>
      </c>
      <c r="K338" s="77" t="str">
        <f>IFERROR(VLOOKUP(DESPESAS[[#This Row],[Plano de Contas]],BASE!$B$3:$H$119,5,FALSE),"")</f>
        <v>LOGÍSTICA</v>
      </c>
      <c r="L338" s="77">
        <f>IFERROR(VLOOKUP(DESPESAS[[#This Row],[Plano de Contas]],BASE!$B$3:$H$119,6,FALSE),"")</f>
        <v>0</v>
      </c>
      <c r="M338" s="77" t="str">
        <f>VLOOKUP(DESPESAS[[#This Row],[Plano de Contas]],BASE!$B$3:$H$119,7,FALSE)</f>
        <v>MYLENA</v>
      </c>
    </row>
    <row r="339" spans="1:13" x14ac:dyDescent="0.25">
      <c r="A339" s="74">
        <v>196586</v>
      </c>
      <c r="B339" s="75" t="s">
        <v>281</v>
      </c>
      <c r="C339" s="75" t="s">
        <v>3137</v>
      </c>
      <c r="D339" s="76">
        <v>46031</v>
      </c>
      <c r="E339" s="75" t="s">
        <v>1583</v>
      </c>
      <c r="F339" s="74">
        <v>700</v>
      </c>
      <c r="G339" s="75" t="s">
        <v>1582</v>
      </c>
      <c r="H339" s="77" t="str">
        <f>VLOOKUP(DESPESAS[[#This Row],[Plano de Contas]],BASE!$B$3:$D$119,3,FALSE)</f>
        <v>Contabilidade</v>
      </c>
      <c r="I339" s="77" t="str">
        <f>IFERROR(VLOOKUP(DESPESAS[[#This Row],[Fornecedor]],Tabela2[],2,FALSE),"")</f>
        <v/>
      </c>
      <c r="J339" s="77" t="str">
        <f>IFERROR(VLOOKUP(DESPESAS[[#This Row],[Plano de Contas]],BASE!$B$3:$F$119,4,FALSE),"")</f>
        <v>7 - SERVIÇOS DE TERCEIROS</v>
      </c>
      <c r="K339" s="77" t="str">
        <f>IFERROR(VLOOKUP(DESPESAS[[#This Row],[Plano de Contas]],BASE!$B$3:$H$119,5,FALSE),"")</f>
        <v>FINANCEIRO</v>
      </c>
      <c r="L339" s="77">
        <f>IFERROR(VLOOKUP(DESPESAS[[#This Row],[Plano de Contas]],BASE!$B$3:$H$119,6,FALSE),"")</f>
        <v>0</v>
      </c>
      <c r="M339" s="77" t="str">
        <f>VLOOKUP(DESPESAS[[#This Row],[Plano de Contas]],BASE!$B$3:$H$119,7,FALSE)</f>
        <v>LETÍCIA</v>
      </c>
    </row>
    <row r="340" spans="1:13" x14ac:dyDescent="0.25">
      <c r="A340" s="74">
        <v>196588</v>
      </c>
      <c r="B340" s="75" t="s">
        <v>221</v>
      </c>
      <c r="C340" s="75" t="s">
        <v>3136</v>
      </c>
      <c r="D340" s="76">
        <v>46031</v>
      </c>
      <c r="E340" s="75" t="s">
        <v>347</v>
      </c>
      <c r="F340" s="74">
        <v>3000</v>
      </c>
      <c r="G340" s="75" t="s">
        <v>259</v>
      </c>
      <c r="H340" s="77" t="str">
        <f>VLOOKUP(DESPESAS[[#This Row],[Plano de Contas]],BASE!$B$3:$D$119,3,FALSE)</f>
        <v>Manutenção Predial CIF</v>
      </c>
      <c r="I340" s="77" t="str">
        <f>IFERROR(VLOOKUP(DESPESAS[[#This Row],[Fornecedor]],Tabela2[],2,FALSE),"")</f>
        <v/>
      </c>
      <c r="J340" s="77" t="str">
        <f>IFERROR(VLOOKUP(DESPESAS[[#This Row],[Plano de Contas]],BASE!$B$3:$F$119,4,FALSE),"")</f>
        <v>3 - CUSTOS INDIRETOS</v>
      </c>
      <c r="K340" s="77" t="str">
        <f>IFERROR(VLOOKUP(DESPESAS[[#This Row],[Plano de Contas]],BASE!$B$3:$H$119,5,FALSE),"")</f>
        <v>MANUTENÇÃO / TI</v>
      </c>
      <c r="L340" s="77">
        <f>IFERROR(VLOOKUP(DESPESAS[[#This Row],[Plano de Contas]],BASE!$B$3:$H$119,6,FALSE),"")</f>
        <v>0</v>
      </c>
      <c r="M340" s="77" t="str">
        <f>VLOOKUP(DESPESAS[[#This Row],[Plano de Contas]],BASE!$B$3:$H$119,7,FALSE)</f>
        <v>FÁBIO</v>
      </c>
    </row>
    <row r="341" spans="1:13" x14ac:dyDescent="0.25">
      <c r="A341" s="74">
        <v>196590</v>
      </c>
      <c r="B341" s="75" t="s">
        <v>221</v>
      </c>
      <c r="C341" s="75" t="s">
        <v>3135</v>
      </c>
      <c r="D341" s="76">
        <v>46031</v>
      </c>
      <c r="E341" s="75" t="s">
        <v>640</v>
      </c>
      <c r="F341" s="74">
        <v>1370.85</v>
      </c>
      <c r="G341" s="75" t="s">
        <v>365</v>
      </c>
      <c r="H341" s="77" t="str">
        <f>VLOOKUP(DESPESAS[[#This Row],[Plano de Contas]],BASE!$B$3:$D$119,3,FALSE)</f>
        <v>Pró-Labore</v>
      </c>
      <c r="I341" s="77" t="str">
        <f>IFERROR(VLOOKUP(DESPESAS[[#This Row],[Fornecedor]],Tabela2[],2,FALSE),"")</f>
        <v/>
      </c>
      <c r="J341" s="77" t="str">
        <f>IFERROR(VLOOKUP(DESPESAS[[#This Row],[Plano de Contas]],BASE!$B$3:$F$119,4,FALSE),"")</f>
        <v>4 - GASTOS COM PESSOAL</v>
      </c>
      <c r="K341" s="77" t="str">
        <f>IFERROR(VLOOKUP(DESPESAS[[#This Row],[Plano de Contas]],BASE!$B$3:$H$119,5,FALSE),"")</f>
        <v>DIRETORIA</v>
      </c>
      <c r="L341" s="77">
        <f>IFERROR(VLOOKUP(DESPESAS[[#This Row],[Plano de Contas]],BASE!$B$3:$H$119,6,FALSE),"")</f>
        <v>0</v>
      </c>
      <c r="M341" s="77" t="str">
        <f>VLOOKUP(DESPESAS[[#This Row],[Plano de Contas]],BASE!$B$3:$H$119,7,FALSE)</f>
        <v>FÁBIO</v>
      </c>
    </row>
    <row r="342" spans="1:13" x14ac:dyDescent="0.25">
      <c r="A342" s="74">
        <v>196591</v>
      </c>
      <c r="B342" s="75" t="s">
        <v>221</v>
      </c>
      <c r="C342" s="75" t="s">
        <v>3134</v>
      </c>
      <c r="D342" s="76">
        <v>46031</v>
      </c>
      <c r="E342" s="75" t="s">
        <v>640</v>
      </c>
      <c r="F342" s="74">
        <v>1998.57</v>
      </c>
      <c r="G342" s="75" t="s">
        <v>365</v>
      </c>
      <c r="H342" s="77" t="str">
        <f>VLOOKUP(DESPESAS[[#This Row],[Plano de Contas]],BASE!$B$3:$D$119,3,FALSE)</f>
        <v>Pró-Labore</v>
      </c>
      <c r="I342" s="77" t="str">
        <f>IFERROR(VLOOKUP(DESPESAS[[#This Row],[Fornecedor]],Tabela2[],2,FALSE),"")</f>
        <v/>
      </c>
      <c r="J342" s="77" t="str">
        <f>IFERROR(VLOOKUP(DESPESAS[[#This Row],[Plano de Contas]],BASE!$B$3:$F$119,4,FALSE),"")</f>
        <v>4 - GASTOS COM PESSOAL</v>
      </c>
      <c r="K342" s="77" t="str">
        <f>IFERROR(VLOOKUP(DESPESAS[[#This Row],[Plano de Contas]],BASE!$B$3:$H$119,5,FALSE),"")</f>
        <v>DIRETORIA</v>
      </c>
      <c r="L342" s="77">
        <f>IFERROR(VLOOKUP(DESPESAS[[#This Row],[Plano de Contas]],BASE!$B$3:$H$119,6,FALSE),"")</f>
        <v>0</v>
      </c>
      <c r="M342" s="77" t="str">
        <f>VLOOKUP(DESPESAS[[#This Row],[Plano de Contas]],BASE!$B$3:$H$119,7,FALSE)</f>
        <v>FÁBIO</v>
      </c>
    </row>
    <row r="343" spans="1:13" x14ac:dyDescent="0.25">
      <c r="A343" s="74">
        <v>196592</v>
      </c>
      <c r="B343" s="75" t="s">
        <v>221</v>
      </c>
      <c r="C343" s="75" t="s">
        <v>3133</v>
      </c>
      <c r="D343" s="76">
        <v>46031</v>
      </c>
      <c r="E343" s="75" t="s">
        <v>640</v>
      </c>
      <c r="F343" s="74">
        <v>808.51</v>
      </c>
      <c r="G343" s="75" t="s">
        <v>365</v>
      </c>
      <c r="H343" s="77" t="str">
        <f>VLOOKUP(DESPESAS[[#This Row],[Plano de Contas]],BASE!$B$3:$D$119,3,FALSE)</f>
        <v>Pró-Labore</v>
      </c>
      <c r="I343" s="77" t="str">
        <f>IFERROR(VLOOKUP(DESPESAS[[#This Row],[Fornecedor]],Tabela2[],2,FALSE),"")</f>
        <v/>
      </c>
      <c r="J343" s="77" t="str">
        <f>IFERROR(VLOOKUP(DESPESAS[[#This Row],[Plano de Contas]],BASE!$B$3:$F$119,4,FALSE),"")</f>
        <v>4 - GASTOS COM PESSOAL</v>
      </c>
      <c r="K343" s="77" t="str">
        <f>IFERROR(VLOOKUP(DESPESAS[[#This Row],[Plano de Contas]],BASE!$B$3:$H$119,5,FALSE),"")</f>
        <v>DIRETORIA</v>
      </c>
      <c r="L343" s="77">
        <f>IFERROR(VLOOKUP(DESPESAS[[#This Row],[Plano de Contas]],BASE!$B$3:$H$119,6,FALSE),"")</f>
        <v>0</v>
      </c>
      <c r="M343" s="77" t="str">
        <f>VLOOKUP(DESPESAS[[#This Row],[Plano de Contas]],BASE!$B$3:$H$119,7,FALSE)</f>
        <v>FÁBIO</v>
      </c>
    </row>
    <row r="344" spans="1:13" x14ac:dyDescent="0.25">
      <c r="A344" s="74">
        <v>196593</v>
      </c>
      <c r="B344" s="75" t="s">
        <v>221</v>
      </c>
      <c r="C344" s="75" t="s">
        <v>3132</v>
      </c>
      <c r="D344" s="76">
        <v>46031</v>
      </c>
      <c r="E344" s="75" t="s">
        <v>640</v>
      </c>
      <c r="F344" s="74">
        <v>846.01</v>
      </c>
      <c r="G344" s="75" t="s">
        <v>365</v>
      </c>
      <c r="H344" s="77" t="str">
        <f>VLOOKUP(DESPESAS[[#This Row],[Plano de Contas]],BASE!$B$3:$D$119,3,FALSE)</f>
        <v>Pró-Labore</v>
      </c>
      <c r="I344" s="77" t="str">
        <f>IFERROR(VLOOKUP(DESPESAS[[#This Row],[Fornecedor]],Tabela2[],2,FALSE),"")</f>
        <v/>
      </c>
      <c r="J344" s="77" t="str">
        <f>IFERROR(VLOOKUP(DESPESAS[[#This Row],[Plano de Contas]],BASE!$B$3:$F$119,4,FALSE),"")</f>
        <v>4 - GASTOS COM PESSOAL</v>
      </c>
      <c r="K344" s="77" t="str">
        <f>IFERROR(VLOOKUP(DESPESAS[[#This Row],[Plano de Contas]],BASE!$B$3:$H$119,5,FALSE),"")</f>
        <v>DIRETORIA</v>
      </c>
      <c r="L344" s="77">
        <f>IFERROR(VLOOKUP(DESPESAS[[#This Row],[Plano de Contas]],BASE!$B$3:$H$119,6,FALSE),"")</f>
        <v>0</v>
      </c>
      <c r="M344" s="77" t="str">
        <f>VLOOKUP(DESPESAS[[#This Row],[Plano de Contas]],BASE!$B$3:$H$119,7,FALSE)</f>
        <v>FÁBIO</v>
      </c>
    </row>
    <row r="345" spans="1:13" x14ac:dyDescent="0.25">
      <c r="A345" s="74">
        <v>196594</v>
      </c>
      <c r="B345" s="75" t="s">
        <v>221</v>
      </c>
      <c r="C345" s="75" t="s">
        <v>3131</v>
      </c>
      <c r="D345" s="76">
        <v>46031</v>
      </c>
      <c r="E345" s="75" t="s">
        <v>640</v>
      </c>
      <c r="F345" s="74">
        <v>1323.87</v>
      </c>
      <c r="G345" s="75" t="s">
        <v>365</v>
      </c>
      <c r="H345" s="77" t="str">
        <f>VLOOKUP(DESPESAS[[#This Row],[Plano de Contas]],BASE!$B$3:$D$119,3,FALSE)</f>
        <v>Pró-Labore</v>
      </c>
      <c r="I345" s="77" t="str">
        <f>IFERROR(VLOOKUP(DESPESAS[[#This Row],[Fornecedor]],Tabela2[],2,FALSE),"")</f>
        <v/>
      </c>
      <c r="J345" s="77" t="str">
        <f>IFERROR(VLOOKUP(DESPESAS[[#This Row],[Plano de Contas]],BASE!$B$3:$F$119,4,FALSE),"")</f>
        <v>4 - GASTOS COM PESSOAL</v>
      </c>
      <c r="K345" s="77" t="str">
        <f>IFERROR(VLOOKUP(DESPESAS[[#This Row],[Plano de Contas]],BASE!$B$3:$H$119,5,FALSE),"")</f>
        <v>DIRETORIA</v>
      </c>
      <c r="L345" s="77">
        <f>IFERROR(VLOOKUP(DESPESAS[[#This Row],[Plano de Contas]],BASE!$B$3:$H$119,6,FALSE),"")</f>
        <v>0</v>
      </c>
      <c r="M345" s="77" t="str">
        <f>VLOOKUP(DESPESAS[[#This Row],[Plano de Contas]],BASE!$B$3:$H$119,7,FALSE)</f>
        <v>FÁBIO</v>
      </c>
    </row>
    <row r="346" spans="1:13" x14ac:dyDescent="0.25">
      <c r="A346" s="74">
        <v>196596</v>
      </c>
      <c r="B346" s="75" t="s">
        <v>221</v>
      </c>
      <c r="C346" s="75" t="s">
        <v>3130</v>
      </c>
      <c r="D346" s="76">
        <v>46034</v>
      </c>
      <c r="E346" s="75" t="s">
        <v>245</v>
      </c>
      <c r="F346" s="74">
        <v>25</v>
      </c>
      <c r="G346" s="75" t="s">
        <v>247</v>
      </c>
      <c r="H346" s="77" t="str">
        <f>VLOOKUP(DESPESAS[[#This Row],[Plano de Contas]],BASE!$B$3:$D$119,3,FALSE)</f>
        <v>Manutenção com veiculos</v>
      </c>
      <c r="I346" s="77" t="str">
        <f>IFERROR(VLOOKUP(DESPESAS[[#This Row],[Fornecedor]],Tabela2[],2,FALSE),"")</f>
        <v>FERRAGENS GERAIS</v>
      </c>
      <c r="J346" s="77" t="str">
        <f>IFERROR(VLOOKUP(DESPESAS[[#This Row],[Plano de Contas]],BASE!$B$3:$F$119,4,FALSE),"")</f>
        <v>6 - DESPESA COM VENDAS</v>
      </c>
      <c r="K346" s="77" t="str">
        <f>IFERROR(VLOOKUP(DESPESAS[[#This Row],[Plano de Contas]],BASE!$B$3:$H$119,5,FALSE),"")</f>
        <v>LOGÍSTICA</v>
      </c>
      <c r="L346" s="77">
        <f>IFERROR(VLOOKUP(DESPESAS[[#This Row],[Plano de Contas]],BASE!$B$3:$H$119,6,FALSE),"")</f>
        <v>0</v>
      </c>
      <c r="M346" s="77" t="str">
        <f>VLOOKUP(DESPESAS[[#This Row],[Plano de Contas]],BASE!$B$3:$H$119,7,FALSE)</f>
        <v>MYLENA</v>
      </c>
    </row>
    <row r="347" spans="1:13" x14ac:dyDescent="0.25">
      <c r="A347" s="74">
        <v>196597</v>
      </c>
      <c r="B347" s="75" t="s">
        <v>221</v>
      </c>
      <c r="C347" s="75" t="s">
        <v>3129</v>
      </c>
      <c r="D347" s="76">
        <v>46026</v>
      </c>
      <c r="E347" s="75" t="s">
        <v>361</v>
      </c>
      <c r="F347" s="74">
        <v>2392</v>
      </c>
      <c r="G347" s="75" t="s">
        <v>259</v>
      </c>
      <c r="H347" s="77" t="str">
        <f>VLOOKUP(DESPESAS[[#This Row],[Plano de Contas]],BASE!$B$3:$D$119,3,FALSE)</f>
        <v>Manutenção Predial CIF</v>
      </c>
      <c r="I347" s="77" t="str">
        <f>IFERROR(VLOOKUP(DESPESAS[[#This Row],[Fornecedor]],Tabela2[],2,FALSE),"")</f>
        <v/>
      </c>
      <c r="J347" s="77" t="str">
        <f>IFERROR(VLOOKUP(DESPESAS[[#This Row],[Plano de Contas]],BASE!$B$3:$F$119,4,FALSE),"")</f>
        <v>3 - CUSTOS INDIRETOS</v>
      </c>
      <c r="K347" s="77" t="str">
        <f>IFERROR(VLOOKUP(DESPESAS[[#This Row],[Plano de Contas]],BASE!$B$3:$H$119,5,FALSE),"")</f>
        <v>MANUTENÇÃO / TI</v>
      </c>
      <c r="L347" s="77">
        <f>IFERROR(VLOOKUP(DESPESAS[[#This Row],[Plano de Contas]],BASE!$B$3:$H$119,6,FALSE),"")</f>
        <v>0</v>
      </c>
      <c r="M347" s="77" t="str">
        <f>VLOOKUP(DESPESAS[[#This Row],[Plano de Contas]],BASE!$B$3:$H$119,7,FALSE)</f>
        <v>FÁBIO</v>
      </c>
    </row>
    <row r="348" spans="1:13" x14ac:dyDescent="0.25">
      <c r="A348" s="74">
        <v>196598</v>
      </c>
      <c r="B348" s="75" t="s">
        <v>221</v>
      </c>
      <c r="C348" s="75" t="s">
        <v>3128</v>
      </c>
      <c r="D348" s="76">
        <v>46026</v>
      </c>
      <c r="E348" s="75" t="s">
        <v>361</v>
      </c>
      <c r="F348" s="74">
        <v>995</v>
      </c>
      <c r="G348" s="75" t="s">
        <v>259</v>
      </c>
      <c r="H348" s="77" t="str">
        <f>VLOOKUP(DESPESAS[[#This Row],[Plano de Contas]],BASE!$B$3:$D$119,3,FALSE)</f>
        <v>Manutenção Predial CIF</v>
      </c>
      <c r="I348" s="77" t="str">
        <f>IFERROR(VLOOKUP(DESPESAS[[#This Row],[Fornecedor]],Tabela2[],2,FALSE),"")</f>
        <v/>
      </c>
      <c r="J348" s="77" t="str">
        <f>IFERROR(VLOOKUP(DESPESAS[[#This Row],[Plano de Contas]],BASE!$B$3:$F$119,4,FALSE),"")</f>
        <v>3 - CUSTOS INDIRETOS</v>
      </c>
      <c r="K348" s="77" t="str">
        <f>IFERROR(VLOOKUP(DESPESAS[[#This Row],[Plano de Contas]],BASE!$B$3:$H$119,5,FALSE),"")</f>
        <v>MANUTENÇÃO / TI</v>
      </c>
      <c r="L348" s="77">
        <f>IFERROR(VLOOKUP(DESPESAS[[#This Row],[Plano de Contas]],BASE!$B$3:$H$119,6,FALSE),"")</f>
        <v>0</v>
      </c>
      <c r="M348" s="77" t="str">
        <f>VLOOKUP(DESPESAS[[#This Row],[Plano de Contas]],BASE!$B$3:$H$119,7,FALSE)</f>
        <v>FÁBIO</v>
      </c>
    </row>
    <row r="349" spans="1:13" x14ac:dyDescent="0.25">
      <c r="A349" s="74">
        <v>196599</v>
      </c>
      <c r="B349" s="75" t="s">
        <v>221</v>
      </c>
      <c r="C349" s="75" t="s">
        <v>3127</v>
      </c>
      <c r="D349" s="76">
        <v>46026</v>
      </c>
      <c r="E349" s="75" t="s">
        <v>361</v>
      </c>
      <c r="F349" s="74">
        <v>1133.07</v>
      </c>
      <c r="G349" s="75" t="s">
        <v>259</v>
      </c>
      <c r="H349" s="77" t="str">
        <f>VLOOKUP(DESPESAS[[#This Row],[Plano de Contas]],BASE!$B$3:$D$119,3,FALSE)</f>
        <v>Manutenção Predial CIF</v>
      </c>
      <c r="I349" s="77" t="str">
        <f>IFERROR(VLOOKUP(DESPESAS[[#This Row],[Fornecedor]],Tabela2[],2,FALSE),"")</f>
        <v/>
      </c>
      <c r="J349" s="77" t="str">
        <f>IFERROR(VLOOKUP(DESPESAS[[#This Row],[Plano de Contas]],BASE!$B$3:$F$119,4,FALSE),"")</f>
        <v>3 - CUSTOS INDIRETOS</v>
      </c>
      <c r="K349" s="77" t="str">
        <f>IFERROR(VLOOKUP(DESPESAS[[#This Row],[Plano de Contas]],BASE!$B$3:$H$119,5,FALSE),"")</f>
        <v>MANUTENÇÃO / TI</v>
      </c>
      <c r="L349" s="77">
        <f>IFERROR(VLOOKUP(DESPESAS[[#This Row],[Plano de Contas]],BASE!$B$3:$H$119,6,FALSE),"")</f>
        <v>0</v>
      </c>
      <c r="M349" s="77" t="str">
        <f>VLOOKUP(DESPESAS[[#This Row],[Plano de Contas]],BASE!$B$3:$H$119,7,FALSE)</f>
        <v>FÁBIO</v>
      </c>
    </row>
    <row r="350" spans="1:13" x14ac:dyDescent="0.25">
      <c r="A350" s="74">
        <v>196600</v>
      </c>
      <c r="B350" s="75" t="s">
        <v>221</v>
      </c>
      <c r="C350" s="75" t="s">
        <v>3126</v>
      </c>
      <c r="D350" s="76">
        <v>46026</v>
      </c>
      <c r="E350" s="75" t="s">
        <v>361</v>
      </c>
      <c r="F350" s="74">
        <v>258.97000000000003</v>
      </c>
      <c r="G350" s="75" t="s">
        <v>259</v>
      </c>
      <c r="H350" s="77" t="str">
        <f>VLOOKUP(DESPESAS[[#This Row],[Plano de Contas]],BASE!$B$3:$D$119,3,FALSE)</f>
        <v>Manutenção Predial CIF</v>
      </c>
      <c r="I350" s="77" t="str">
        <f>IFERROR(VLOOKUP(DESPESAS[[#This Row],[Fornecedor]],Tabela2[],2,FALSE),"")</f>
        <v/>
      </c>
      <c r="J350" s="77" t="str">
        <f>IFERROR(VLOOKUP(DESPESAS[[#This Row],[Plano de Contas]],BASE!$B$3:$F$119,4,FALSE),"")</f>
        <v>3 - CUSTOS INDIRETOS</v>
      </c>
      <c r="K350" s="77" t="str">
        <f>IFERROR(VLOOKUP(DESPESAS[[#This Row],[Plano de Contas]],BASE!$B$3:$H$119,5,FALSE),"")</f>
        <v>MANUTENÇÃO / TI</v>
      </c>
      <c r="L350" s="77">
        <f>IFERROR(VLOOKUP(DESPESAS[[#This Row],[Plano de Contas]],BASE!$B$3:$H$119,6,FALSE),"")</f>
        <v>0</v>
      </c>
      <c r="M350" s="77" t="str">
        <f>VLOOKUP(DESPESAS[[#This Row],[Plano de Contas]],BASE!$B$3:$H$119,7,FALSE)</f>
        <v>FÁBIO</v>
      </c>
    </row>
    <row r="351" spans="1:13" x14ac:dyDescent="0.25">
      <c r="A351" s="74">
        <v>196601</v>
      </c>
      <c r="B351" s="75" t="s">
        <v>232</v>
      </c>
      <c r="C351" s="75" t="s">
        <v>1878</v>
      </c>
      <c r="D351" s="76">
        <v>46034</v>
      </c>
      <c r="E351" s="75" t="s">
        <v>230</v>
      </c>
      <c r="F351" s="74">
        <v>52.83</v>
      </c>
      <c r="G351" s="75" t="s">
        <v>251</v>
      </c>
      <c r="H351" s="77" t="str">
        <f>VLOOKUP(DESPESAS[[#This Row],[Plano de Contas]],BASE!$B$3:$D$119,3,FALSE)</f>
        <v>Juros Pagos - Antecipação de Crédito</v>
      </c>
      <c r="I351" s="77" t="str">
        <f>IFERROR(VLOOKUP(DESPESAS[[#This Row],[Fornecedor]],Tabela2[],2,FALSE),"")</f>
        <v/>
      </c>
      <c r="J351" s="77" t="str">
        <f>IFERROR(VLOOKUP(DESPESAS[[#This Row],[Plano de Contas]],BASE!$B$3:$F$119,4,FALSE),"")</f>
        <v>8 - DESPESAS FINANCEIRAS</v>
      </c>
      <c r="K351" s="77" t="str">
        <f>IFERROR(VLOOKUP(DESPESAS[[#This Row],[Plano de Contas]],BASE!$B$3:$H$119,5,FALSE),"")</f>
        <v>FINANCEIRO</v>
      </c>
      <c r="L351" s="77">
        <f>IFERROR(VLOOKUP(DESPESAS[[#This Row],[Plano de Contas]],BASE!$B$3:$H$119,6,FALSE),"")</f>
        <v>0</v>
      </c>
      <c r="M351" s="77" t="str">
        <f>VLOOKUP(DESPESAS[[#This Row],[Plano de Contas]],BASE!$B$3:$H$119,7,FALSE)</f>
        <v>LETÍCIA</v>
      </c>
    </row>
    <row r="352" spans="1:13" x14ac:dyDescent="0.25">
      <c r="A352" s="74">
        <v>196602</v>
      </c>
      <c r="B352" s="75" t="s">
        <v>232</v>
      </c>
      <c r="C352" s="75" t="s">
        <v>3125</v>
      </c>
      <c r="D352" s="76">
        <v>46034</v>
      </c>
      <c r="E352" s="75" t="s">
        <v>230</v>
      </c>
      <c r="F352" s="74">
        <v>4.8600000000000003</v>
      </c>
      <c r="G352" s="75" t="s">
        <v>229</v>
      </c>
      <c r="H352" s="77" t="str">
        <f>VLOOKUP(DESPESAS[[#This Row],[Plano de Contas]],BASE!$B$3:$D$119,3,FALSE)</f>
        <v>Despesas Bancarias</v>
      </c>
      <c r="I352" s="77" t="str">
        <f>IFERROR(VLOOKUP(DESPESAS[[#This Row],[Fornecedor]],Tabela2[],2,FALSE),"")</f>
        <v/>
      </c>
      <c r="J352" s="77" t="str">
        <f>IFERROR(VLOOKUP(DESPESAS[[#This Row],[Plano de Contas]],BASE!$B$3:$F$119,4,FALSE),"")</f>
        <v>8 - DESPESAS FINANCEIRAS</v>
      </c>
      <c r="K352" s="77" t="str">
        <f>IFERROR(VLOOKUP(DESPESAS[[#This Row],[Plano de Contas]],BASE!$B$3:$H$119,5,FALSE),"")</f>
        <v>FINANCEIRO</v>
      </c>
      <c r="L352" s="77">
        <f>IFERROR(VLOOKUP(DESPESAS[[#This Row],[Plano de Contas]],BASE!$B$3:$H$119,6,FALSE),"")</f>
        <v>0</v>
      </c>
      <c r="M352" s="77" t="str">
        <f>VLOOKUP(DESPESAS[[#This Row],[Plano de Contas]],BASE!$B$3:$H$119,7,FALSE)</f>
        <v>LETÍCIA</v>
      </c>
    </row>
    <row r="353" spans="1:13" x14ac:dyDescent="0.25">
      <c r="A353" s="74">
        <v>196604</v>
      </c>
      <c r="B353" s="75" t="s">
        <v>232</v>
      </c>
      <c r="C353" s="75" t="s">
        <v>3124</v>
      </c>
      <c r="D353" s="76">
        <v>46031</v>
      </c>
      <c r="E353" s="75" t="s">
        <v>230</v>
      </c>
      <c r="F353" s="74">
        <v>0.12</v>
      </c>
      <c r="G353" s="75" t="s">
        <v>229</v>
      </c>
      <c r="H353" s="77" t="str">
        <f>VLOOKUP(DESPESAS[[#This Row],[Plano de Contas]],BASE!$B$3:$D$119,3,FALSE)</f>
        <v>Despesas Bancarias</v>
      </c>
      <c r="I353" s="77" t="str">
        <f>IFERROR(VLOOKUP(DESPESAS[[#This Row],[Fornecedor]],Tabela2[],2,FALSE),"")</f>
        <v/>
      </c>
      <c r="J353" s="77" t="str">
        <f>IFERROR(VLOOKUP(DESPESAS[[#This Row],[Plano de Contas]],BASE!$B$3:$F$119,4,FALSE),"")</f>
        <v>8 - DESPESAS FINANCEIRAS</v>
      </c>
      <c r="K353" s="77" t="str">
        <f>IFERROR(VLOOKUP(DESPESAS[[#This Row],[Plano de Contas]],BASE!$B$3:$H$119,5,FALSE),"")</f>
        <v>FINANCEIRO</v>
      </c>
      <c r="L353" s="77">
        <f>IFERROR(VLOOKUP(DESPESAS[[#This Row],[Plano de Contas]],BASE!$B$3:$H$119,6,FALSE),"")</f>
        <v>0</v>
      </c>
      <c r="M353" s="77" t="str">
        <f>VLOOKUP(DESPESAS[[#This Row],[Plano de Contas]],BASE!$B$3:$H$119,7,FALSE)</f>
        <v>LETÍCIA</v>
      </c>
    </row>
    <row r="354" spans="1:13" x14ac:dyDescent="0.25">
      <c r="A354" s="74">
        <v>196605</v>
      </c>
      <c r="B354" s="75" t="s">
        <v>232</v>
      </c>
      <c r="C354" s="75" t="s">
        <v>3123</v>
      </c>
      <c r="D354" s="76">
        <v>46034</v>
      </c>
      <c r="E354" s="75" t="s">
        <v>230</v>
      </c>
      <c r="F354" s="74">
        <v>0.53</v>
      </c>
      <c r="G354" s="75" t="s">
        <v>229</v>
      </c>
      <c r="H354" s="77" t="str">
        <f>VLOOKUP(DESPESAS[[#This Row],[Plano de Contas]],BASE!$B$3:$D$119,3,FALSE)</f>
        <v>Despesas Bancarias</v>
      </c>
      <c r="I354" s="77" t="str">
        <f>IFERROR(VLOOKUP(DESPESAS[[#This Row],[Fornecedor]],Tabela2[],2,FALSE),"")</f>
        <v/>
      </c>
      <c r="J354" s="77" t="str">
        <f>IFERROR(VLOOKUP(DESPESAS[[#This Row],[Plano de Contas]],BASE!$B$3:$F$119,4,FALSE),"")</f>
        <v>8 - DESPESAS FINANCEIRAS</v>
      </c>
      <c r="K354" s="77" t="str">
        <f>IFERROR(VLOOKUP(DESPESAS[[#This Row],[Plano de Contas]],BASE!$B$3:$H$119,5,FALSE),"")</f>
        <v>FINANCEIRO</v>
      </c>
      <c r="L354" s="77">
        <f>IFERROR(VLOOKUP(DESPESAS[[#This Row],[Plano de Contas]],BASE!$B$3:$H$119,6,FALSE),"")</f>
        <v>0</v>
      </c>
      <c r="M354" s="77" t="str">
        <f>VLOOKUP(DESPESAS[[#This Row],[Plano de Contas]],BASE!$B$3:$H$119,7,FALSE)</f>
        <v>LETÍCIA</v>
      </c>
    </row>
    <row r="355" spans="1:13" x14ac:dyDescent="0.25">
      <c r="A355" s="74">
        <v>196606</v>
      </c>
      <c r="B355" s="75" t="s">
        <v>232</v>
      </c>
      <c r="C355" s="75" t="s">
        <v>1886</v>
      </c>
      <c r="D355" s="76">
        <v>46032</v>
      </c>
      <c r="E355" s="75" t="s">
        <v>1583</v>
      </c>
      <c r="F355" s="74">
        <v>4805.5</v>
      </c>
      <c r="G355" s="75" t="s">
        <v>1582</v>
      </c>
      <c r="H355" s="77" t="str">
        <f>VLOOKUP(DESPESAS[[#This Row],[Plano de Contas]],BASE!$B$3:$D$119,3,FALSE)</f>
        <v>Contabilidade</v>
      </c>
      <c r="I355" s="77" t="str">
        <f>IFERROR(VLOOKUP(DESPESAS[[#This Row],[Fornecedor]],Tabela2[],2,FALSE),"")</f>
        <v/>
      </c>
      <c r="J355" s="77" t="str">
        <f>IFERROR(VLOOKUP(DESPESAS[[#This Row],[Plano de Contas]],BASE!$B$3:$F$119,4,FALSE),"")</f>
        <v>7 - SERVIÇOS DE TERCEIROS</v>
      </c>
      <c r="K355" s="77" t="str">
        <f>IFERROR(VLOOKUP(DESPESAS[[#This Row],[Plano de Contas]],BASE!$B$3:$H$119,5,FALSE),"")</f>
        <v>FINANCEIRO</v>
      </c>
      <c r="L355" s="77">
        <f>IFERROR(VLOOKUP(DESPESAS[[#This Row],[Plano de Contas]],BASE!$B$3:$H$119,6,FALSE),"")</f>
        <v>0</v>
      </c>
      <c r="M355" s="77" t="str">
        <f>VLOOKUP(DESPESAS[[#This Row],[Plano de Contas]],BASE!$B$3:$H$119,7,FALSE)</f>
        <v>LETÍCIA</v>
      </c>
    </row>
    <row r="356" spans="1:13" x14ac:dyDescent="0.25">
      <c r="A356" s="74">
        <v>196607</v>
      </c>
      <c r="B356" s="75" t="s">
        <v>232</v>
      </c>
      <c r="C356" s="75" t="s">
        <v>1886</v>
      </c>
      <c r="D356" s="76">
        <v>46045</v>
      </c>
      <c r="E356" s="75" t="s">
        <v>1583</v>
      </c>
      <c r="F356" s="74">
        <v>4805.5</v>
      </c>
      <c r="G356" s="75" t="s">
        <v>1582</v>
      </c>
      <c r="H356" s="77" t="str">
        <f>VLOOKUP(DESPESAS[[#This Row],[Plano de Contas]],BASE!$B$3:$D$119,3,FALSE)</f>
        <v>Contabilidade</v>
      </c>
      <c r="I356" s="77" t="str">
        <f>IFERROR(VLOOKUP(DESPESAS[[#This Row],[Fornecedor]],Tabela2[],2,FALSE),"")</f>
        <v/>
      </c>
      <c r="J356" s="77" t="str">
        <f>IFERROR(VLOOKUP(DESPESAS[[#This Row],[Plano de Contas]],BASE!$B$3:$F$119,4,FALSE),"")</f>
        <v>7 - SERVIÇOS DE TERCEIROS</v>
      </c>
      <c r="K356" s="77" t="str">
        <f>IFERROR(VLOOKUP(DESPESAS[[#This Row],[Plano de Contas]],BASE!$B$3:$H$119,5,FALSE),"")</f>
        <v>FINANCEIRO</v>
      </c>
      <c r="L356" s="77">
        <f>IFERROR(VLOOKUP(DESPESAS[[#This Row],[Plano de Contas]],BASE!$B$3:$H$119,6,FALSE),"")</f>
        <v>0</v>
      </c>
      <c r="M356" s="77" t="str">
        <f>VLOOKUP(DESPESAS[[#This Row],[Plano de Contas]],BASE!$B$3:$H$119,7,FALSE)</f>
        <v>LETÍCIA</v>
      </c>
    </row>
    <row r="357" spans="1:13" x14ac:dyDescent="0.25">
      <c r="A357" s="74">
        <v>196612</v>
      </c>
      <c r="B357" s="75" t="s">
        <v>279</v>
      </c>
      <c r="C357" s="75" t="s">
        <v>1886</v>
      </c>
      <c r="D357" s="76">
        <v>46032</v>
      </c>
      <c r="E357" s="75" t="s">
        <v>1583</v>
      </c>
      <c r="F357" s="74">
        <v>691</v>
      </c>
      <c r="G357" s="75" t="s">
        <v>1582</v>
      </c>
      <c r="H357" s="77" t="str">
        <f>VLOOKUP(DESPESAS[[#This Row],[Plano de Contas]],BASE!$B$3:$D$119,3,FALSE)</f>
        <v>Contabilidade</v>
      </c>
      <c r="I357" s="77" t="str">
        <f>IFERROR(VLOOKUP(DESPESAS[[#This Row],[Fornecedor]],Tabela2[],2,FALSE),"")</f>
        <v/>
      </c>
      <c r="J357" s="77" t="str">
        <f>IFERROR(VLOOKUP(DESPESAS[[#This Row],[Plano de Contas]],BASE!$B$3:$F$119,4,FALSE),"")</f>
        <v>7 - SERVIÇOS DE TERCEIROS</v>
      </c>
      <c r="K357" s="77" t="str">
        <f>IFERROR(VLOOKUP(DESPESAS[[#This Row],[Plano de Contas]],BASE!$B$3:$H$119,5,FALSE),"")</f>
        <v>FINANCEIRO</v>
      </c>
      <c r="L357" s="77">
        <f>IFERROR(VLOOKUP(DESPESAS[[#This Row],[Plano de Contas]],BASE!$B$3:$H$119,6,FALSE),"")</f>
        <v>0</v>
      </c>
      <c r="M357" s="77" t="str">
        <f>VLOOKUP(DESPESAS[[#This Row],[Plano de Contas]],BASE!$B$3:$H$119,7,FALSE)</f>
        <v>LETÍCIA</v>
      </c>
    </row>
    <row r="358" spans="1:13" x14ac:dyDescent="0.25">
      <c r="A358" s="74">
        <v>196616</v>
      </c>
      <c r="B358" s="75" t="s">
        <v>232</v>
      </c>
      <c r="C358" s="75" t="s">
        <v>3122</v>
      </c>
      <c r="D358" s="76">
        <v>46031</v>
      </c>
      <c r="E358" s="75" t="s">
        <v>230</v>
      </c>
      <c r="F358" s="74">
        <v>0.79</v>
      </c>
      <c r="G358" s="75" t="s">
        <v>229</v>
      </c>
      <c r="H358" s="77" t="str">
        <f>VLOOKUP(DESPESAS[[#This Row],[Plano de Contas]],BASE!$B$3:$D$119,3,FALSE)</f>
        <v>Despesas Bancarias</v>
      </c>
      <c r="I358" s="77" t="str">
        <f>IFERROR(VLOOKUP(DESPESAS[[#This Row],[Fornecedor]],Tabela2[],2,FALSE),"")</f>
        <v/>
      </c>
      <c r="J358" s="77" t="str">
        <f>IFERROR(VLOOKUP(DESPESAS[[#This Row],[Plano de Contas]],BASE!$B$3:$F$119,4,FALSE),"")</f>
        <v>8 - DESPESAS FINANCEIRAS</v>
      </c>
      <c r="K358" s="77" t="str">
        <f>IFERROR(VLOOKUP(DESPESAS[[#This Row],[Plano de Contas]],BASE!$B$3:$H$119,5,FALSE),"")</f>
        <v>FINANCEIRO</v>
      </c>
      <c r="L358" s="77">
        <f>IFERROR(VLOOKUP(DESPESAS[[#This Row],[Plano de Contas]],BASE!$B$3:$H$119,6,FALSE),"")</f>
        <v>0</v>
      </c>
      <c r="M358" s="77" t="str">
        <f>VLOOKUP(DESPESAS[[#This Row],[Plano de Contas]],BASE!$B$3:$H$119,7,FALSE)</f>
        <v>LETÍCIA</v>
      </c>
    </row>
    <row r="359" spans="1:13" x14ac:dyDescent="0.25">
      <c r="A359" s="74">
        <v>196622</v>
      </c>
      <c r="B359" s="75" t="s">
        <v>232</v>
      </c>
      <c r="C359" s="75" t="s">
        <v>3121</v>
      </c>
      <c r="D359" s="76">
        <v>46031</v>
      </c>
      <c r="E359" s="75" t="s">
        <v>230</v>
      </c>
      <c r="F359" s="74">
        <v>0.79</v>
      </c>
      <c r="G359" s="75" t="s">
        <v>229</v>
      </c>
      <c r="H359" s="77" t="str">
        <f>VLOOKUP(DESPESAS[[#This Row],[Plano de Contas]],BASE!$B$3:$D$119,3,FALSE)</f>
        <v>Despesas Bancarias</v>
      </c>
      <c r="I359" s="77" t="str">
        <f>IFERROR(VLOOKUP(DESPESAS[[#This Row],[Fornecedor]],Tabela2[],2,FALSE),"")</f>
        <v/>
      </c>
      <c r="J359" s="77" t="str">
        <f>IFERROR(VLOOKUP(DESPESAS[[#This Row],[Plano de Contas]],BASE!$B$3:$F$119,4,FALSE),"")</f>
        <v>8 - DESPESAS FINANCEIRAS</v>
      </c>
      <c r="K359" s="77" t="str">
        <f>IFERROR(VLOOKUP(DESPESAS[[#This Row],[Plano de Contas]],BASE!$B$3:$H$119,5,FALSE),"")</f>
        <v>FINANCEIRO</v>
      </c>
      <c r="L359" s="77">
        <f>IFERROR(VLOOKUP(DESPESAS[[#This Row],[Plano de Contas]],BASE!$B$3:$H$119,6,FALSE),"")</f>
        <v>0</v>
      </c>
      <c r="M359" s="77" t="str">
        <f>VLOOKUP(DESPESAS[[#This Row],[Plano de Contas]],BASE!$B$3:$H$119,7,FALSE)</f>
        <v>LETÍCIA</v>
      </c>
    </row>
    <row r="360" spans="1:13" x14ac:dyDescent="0.25">
      <c r="A360" s="74">
        <v>196623</v>
      </c>
      <c r="B360" s="75" t="s">
        <v>232</v>
      </c>
      <c r="C360" s="75" t="s">
        <v>3120</v>
      </c>
      <c r="D360" s="76">
        <v>46034</v>
      </c>
      <c r="E360" s="75" t="s">
        <v>230</v>
      </c>
      <c r="F360" s="74">
        <v>0.95</v>
      </c>
      <c r="G360" s="75" t="s">
        <v>229</v>
      </c>
      <c r="H360" s="77" t="str">
        <f>VLOOKUP(DESPESAS[[#This Row],[Plano de Contas]],BASE!$B$3:$D$119,3,FALSE)</f>
        <v>Despesas Bancarias</v>
      </c>
      <c r="I360" s="77" t="str">
        <f>IFERROR(VLOOKUP(DESPESAS[[#This Row],[Fornecedor]],Tabela2[],2,FALSE),"")</f>
        <v/>
      </c>
      <c r="J360" s="77" t="str">
        <f>IFERROR(VLOOKUP(DESPESAS[[#This Row],[Plano de Contas]],BASE!$B$3:$F$119,4,FALSE),"")</f>
        <v>8 - DESPESAS FINANCEIRAS</v>
      </c>
      <c r="K360" s="77" t="str">
        <f>IFERROR(VLOOKUP(DESPESAS[[#This Row],[Plano de Contas]],BASE!$B$3:$H$119,5,FALSE),"")</f>
        <v>FINANCEIRO</v>
      </c>
      <c r="L360" s="77">
        <f>IFERROR(VLOOKUP(DESPESAS[[#This Row],[Plano de Contas]],BASE!$B$3:$H$119,6,FALSE),"")</f>
        <v>0</v>
      </c>
      <c r="M360" s="77" t="str">
        <f>VLOOKUP(DESPESAS[[#This Row],[Plano de Contas]],BASE!$B$3:$H$119,7,FALSE)</f>
        <v>LETÍCIA</v>
      </c>
    </row>
    <row r="361" spans="1:13" x14ac:dyDescent="0.25">
      <c r="A361" s="74">
        <v>196624</v>
      </c>
      <c r="B361" s="75" t="s">
        <v>221</v>
      </c>
      <c r="C361" s="75" t="s">
        <v>3119</v>
      </c>
      <c r="D361" s="76">
        <v>46034</v>
      </c>
      <c r="E361" s="75" t="s">
        <v>3118</v>
      </c>
      <c r="F361" s="74">
        <v>140</v>
      </c>
      <c r="G361" s="75" t="s">
        <v>561</v>
      </c>
      <c r="H361" s="77" t="str">
        <f>VLOOKUP(DESPESAS[[#This Row],[Plano de Contas]],BASE!$B$3:$D$119,3,FALSE)</f>
        <v>Sistemas de Informação</v>
      </c>
      <c r="I361" s="77" t="str">
        <f>IFERROR(VLOOKUP(DESPESAS[[#This Row],[Fornecedor]],Tabela2[],2,FALSE),"")</f>
        <v>CERTIFICADO DIGITAL</v>
      </c>
      <c r="J361" s="77" t="str">
        <f>IFERROR(VLOOKUP(DESPESAS[[#This Row],[Plano de Contas]],BASE!$B$3:$F$119,4,FALSE),"")</f>
        <v>7 - SERVIÇOS DE TERCEIROS</v>
      </c>
      <c r="K361" s="77" t="str">
        <f>IFERROR(VLOOKUP(DESPESAS[[#This Row],[Plano de Contas]],BASE!$B$3:$H$119,5,FALSE),"")</f>
        <v>MANUTENÇÃO / TI</v>
      </c>
      <c r="L361" s="77">
        <f>IFERROR(VLOOKUP(DESPESAS[[#This Row],[Plano de Contas]],BASE!$B$3:$H$119,6,FALSE),"")</f>
        <v>0</v>
      </c>
      <c r="M361" s="77" t="str">
        <f>VLOOKUP(DESPESAS[[#This Row],[Plano de Contas]],BASE!$B$3:$H$119,7,FALSE)</f>
        <v>LETÍCIA</v>
      </c>
    </row>
    <row r="362" spans="1:13" x14ac:dyDescent="0.25">
      <c r="A362" s="74">
        <v>196630</v>
      </c>
      <c r="B362" s="75" t="s">
        <v>232</v>
      </c>
      <c r="C362" s="75" t="s">
        <v>3117</v>
      </c>
      <c r="D362" s="76">
        <v>46034</v>
      </c>
      <c r="E362" s="75" t="s">
        <v>573</v>
      </c>
      <c r="F362" s="74">
        <v>3033.96</v>
      </c>
      <c r="G362" s="75" t="s">
        <v>572</v>
      </c>
      <c r="H362" s="77" t="str">
        <f>VLOOKUP(DESPESAS[[#This Row],[Plano de Contas]],BASE!$B$3:$D$119,3,FALSE)</f>
        <v>Comissões sobre Vendas Externo</v>
      </c>
      <c r="I362" s="77" t="str">
        <f>IFERROR(VLOOKUP(DESPESAS[[#This Row],[Fornecedor]],Tabela2[],2,FALSE),"")</f>
        <v/>
      </c>
      <c r="J362" s="77" t="str">
        <f>IFERROR(VLOOKUP(DESPESAS[[#This Row],[Plano de Contas]],BASE!$B$3:$F$119,4,FALSE),"")</f>
        <v>6 - DESPESA COM VENDAS</v>
      </c>
      <c r="K362" s="77" t="str">
        <f>IFERROR(VLOOKUP(DESPESAS[[#This Row],[Plano de Contas]],BASE!$B$3:$H$119,5,FALSE),"")</f>
        <v>COMERCIAL</v>
      </c>
      <c r="L362" s="77">
        <f>IFERROR(VLOOKUP(DESPESAS[[#This Row],[Plano de Contas]],BASE!$B$3:$H$119,6,FALSE),"")</f>
        <v>0</v>
      </c>
      <c r="M362" s="77" t="str">
        <f>VLOOKUP(DESPESAS[[#This Row],[Plano de Contas]],BASE!$B$3:$H$119,7,FALSE)</f>
        <v>LETÍCIA</v>
      </c>
    </row>
    <row r="363" spans="1:13" x14ac:dyDescent="0.25">
      <c r="A363" s="74">
        <v>196631</v>
      </c>
      <c r="B363" s="75" t="s">
        <v>232</v>
      </c>
      <c r="C363" s="75" t="s">
        <v>3117</v>
      </c>
      <c r="D363" s="76">
        <v>46034</v>
      </c>
      <c r="E363" s="75" t="s">
        <v>790</v>
      </c>
      <c r="F363" s="74">
        <v>3714.31</v>
      </c>
      <c r="G363" s="75" t="s">
        <v>572</v>
      </c>
      <c r="H363" s="77" t="str">
        <f>VLOOKUP(DESPESAS[[#This Row],[Plano de Contas]],BASE!$B$3:$D$119,3,FALSE)</f>
        <v>Comissões sobre Vendas Externo</v>
      </c>
      <c r="I363" s="77" t="str">
        <f>IFERROR(VLOOKUP(DESPESAS[[#This Row],[Fornecedor]],Tabela2[],2,FALSE),"")</f>
        <v/>
      </c>
      <c r="J363" s="77" t="str">
        <f>IFERROR(VLOOKUP(DESPESAS[[#This Row],[Plano de Contas]],BASE!$B$3:$F$119,4,FALSE),"")</f>
        <v>6 - DESPESA COM VENDAS</v>
      </c>
      <c r="K363" s="77" t="str">
        <f>IFERROR(VLOOKUP(DESPESAS[[#This Row],[Plano de Contas]],BASE!$B$3:$H$119,5,FALSE),"")</f>
        <v>COMERCIAL</v>
      </c>
      <c r="L363" s="77">
        <f>IFERROR(VLOOKUP(DESPESAS[[#This Row],[Plano de Contas]],BASE!$B$3:$H$119,6,FALSE),"")</f>
        <v>0</v>
      </c>
      <c r="M363" s="77" t="str">
        <f>VLOOKUP(DESPESAS[[#This Row],[Plano de Contas]],BASE!$B$3:$H$119,7,FALSE)</f>
        <v>LETÍCIA</v>
      </c>
    </row>
    <row r="364" spans="1:13" x14ac:dyDescent="0.25">
      <c r="A364" s="74">
        <v>196635</v>
      </c>
      <c r="B364" s="75" t="s">
        <v>232</v>
      </c>
      <c r="C364" s="75" t="s">
        <v>3117</v>
      </c>
      <c r="D364" s="76">
        <v>46034</v>
      </c>
      <c r="E364" s="75" t="s">
        <v>789</v>
      </c>
      <c r="F364" s="74">
        <v>10234.219999999999</v>
      </c>
      <c r="G364" s="75" t="s">
        <v>572</v>
      </c>
      <c r="H364" s="77" t="str">
        <f>VLOOKUP(DESPESAS[[#This Row],[Plano de Contas]],BASE!$B$3:$D$119,3,FALSE)</f>
        <v>Comissões sobre Vendas Externo</v>
      </c>
      <c r="I364" s="77" t="str">
        <f>IFERROR(VLOOKUP(DESPESAS[[#This Row],[Fornecedor]],Tabela2[],2,FALSE),"")</f>
        <v/>
      </c>
      <c r="J364" s="77" t="str">
        <f>IFERROR(VLOOKUP(DESPESAS[[#This Row],[Plano de Contas]],BASE!$B$3:$F$119,4,FALSE),"")</f>
        <v>6 - DESPESA COM VENDAS</v>
      </c>
      <c r="K364" s="77" t="str">
        <f>IFERROR(VLOOKUP(DESPESAS[[#This Row],[Plano de Contas]],BASE!$B$3:$H$119,5,FALSE),"")</f>
        <v>COMERCIAL</v>
      </c>
      <c r="L364" s="77">
        <f>IFERROR(VLOOKUP(DESPESAS[[#This Row],[Plano de Contas]],BASE!$B$3:$H$119,6,FALSE),"")</f>
        <v>0</v>
      </c>
      <c r="M364" s="77" t="str">
        <f>VLOOKUP(DESPESAS[[#This Row],[Plano de Contas]],BASE!$B$3:$H$119,7,FALSE)</f>
        <v>LETÍCIA</v>
      </c>
    </row>
    <row r="365" spans="1:13" x14ac:dyDescent="0.25">
      <c r="A365" s="74">
        <v>196636</v>
      </c>
      <c r="B365" s="75" t="s">
        <v>232</v>
      </c>
      <c r="C365" s="75" t="s">
        <v>3117</v>
      </c>
      <c r="D365" s="76">
        <v>46034</v>
      </c>
      <c r="E365" s="75" t="s">
        <v>788</v>
      </c>
      <c r="F365" s="74">
        <v>6234.48</v>
      </c>
      <c r="G365" s="75" t="s">
        <v>572</v>
      </c>
      <c r="H365" s="77" t="str">
        <f>VLOOKUP(DESPESAS[[#This Row],[Plano de Contas]],BASE!$B$3:$D$119,3,FALSE)</f>
        <v>Comissões sobre Vendas Externo</v>
      </c>
      <c r="I365" s="77" t="str">
        <f>IFERROR(VLOOKUP(DESPESAS[[#This Row],[Fornecedor]],Tabela2[],2,FALSE),"")</f>
        <v/>
      </c>
      <c r="J365" s="77" t="str">
        <f>IFERROR(VLOOKUP(DESPESAS[[#This Row],[Plano de Contas]],BASE!$B$3:$F$119,4,FALSE),"")</f>
        <v>6 - DESPESA COM VENDAS</v>
      </c>
      <c r="K365" s="77" t="str">
        <f>IFERROR(VLOOKUP(DESPESAS[[#This Row],[Plano de Contas]],BASE!$B$3:$H$119,5,FALSE),"")</f>
        <v>COMERCIAL</v>
      </c>
      <c r="L365" s="77">
        <f>IFERROR(VLOOKUP(DESPESAS[[#This Row],[Plano de Contas]],BASE!$B$3:$H$119,6,FALSE),"")</f>
        <v>0</v>
      </c>
      <c r="M365" s="77" t="str">
        <f>VLOOKUP(DESPESAS[[#This Row],[Plano de Contas]],BASE!$B$3:$H$119,7,FALSE)</f>
        <v>LETÍCIA</v>
      </c>
    </row>
    <row r="366" spans="1:13" x14ac:dyDescent="0.25">
      <c r="A366" s="74">
        <v>196637</v>
      </c>
      <c r="B366" s="75" t="s">
        <v>232</v>
      </c>
      <c r="C366" s="75" t="s">
        <v>3117</v>
      </c>
      <c r="D366" s="76">
        <v>46034</v>
      </c>
      <c r="E366" s="75" t="s">
        <v>786</v>
      </c>
      <c r="F366" s="74">
        <v>1280.55</v>
      </c>
      <c r="G366" s="75" t="s">
        <v>572</v>
      </c>
      <c r="H366" s="77" t="str">
        <f>VLOOKUP(DESPESAS[[#This Row],[Plano de Contas]],BASE!$B$3:$D$119,3,FALSE)</f>
        <v>Comissões sobre Vendas Externo</v>
      </c>
      <c r="I366" s="77" t="str">
        <f>IFERROR(VLOOKUP(DESPESAS[[#This Row],[Fornecedor]],Tabela2[],2,FALSE),"")</f>
        <v/>
      </c>
      <c r="J366" s="77" t="str">
        <f>IFERROR(VLOOKUP(DESPESAS[[#This Row],[Plano de Contas]],BASE!$B$3:$F$119,4,FALSE),"")</f>
        <v>6 - DESPESA COM VENDAS</v>
      </c>
      <c r="K366" s="77" t="str">
        <f>IFERROR(VLOOKUP(DESPESAS[[#This Row],[Plano de Contas]],BASE!$B$3:$H$119,5,FALSE),"")</f>
        <v>COMERCIAL</v>
      </c>
      <c r="L366" s="77">
        <f>IFERROR(VLOOKUP(DESPESAS[[#This Row],[Plano de Contas]],BASE!$B$3:$H$119,6,FALSE),"")</f>
        <v>0</v>
      </c>
      <c r="M366" s="77" t="str">
        <f>VLOOKUP(DESPESAS[[#This Row],[Plano de Contas]],BASE!$B$3:$H$119,7,FALSE)</f>
        <v>LETÍCIA</v>
      </c>
    </row>
    <row r="367" spans="1:13" x14ac:dyDescent="0.25">
      <c r="A367" s="74">
        <v>196638</v>
      </c>
      <c r="B367" s="75" t="s">
        <v>221</v>
      </c>
      <c r="C367" s="75" t="s">
        <v>2381</v>
      </c>
      <c r="D367" s="76">
        <v>46034</v>
      </c>
      <c r="E367" s="75" t="s">
        <v>1229</v>
      </c>
      <c r="F367" s="74">
        <v>1539.96</v>
      </c>
      <c r="G367" s="75" t="s">
        <v>1318</v>
      </c>
      <c r="H367" s="77" t="str">
        <f>VLOOKUP(DESPESAS[[#This Row],[Plano de Contas]],BASE!$B$3:$D$119,3,FALSE)</f>
        <v>Feiras e Eventos</v>
      </c>
      <c r="I367" s="77" t="str">
        <f>IFERROR(VLOOKUP(DESPESAS[[#This Row],[Fornecedor]],Tabela2[],2,FALSE),"")</f>
        <v/>
      </c>
      <c r="J367" s="77" t="str">
        <f>IFERROR(VLOOKUP(DESPESAS[[#This Row],[Plano de Contas]],BASE!$B$3:$F$119,4,FALSE),"")</f>
        <v>6 - DESPESA COM VENDAS</v>
      </c>
      <c r="K367" s="77" t="str">
        <f>IFERROR(VLOOKUP(DESPESAS[[#This Row],[Plano de Contas]],BASE!$B$3:$H$119,5,FALSE),"")</f>
        <v>COMERCIAL</v>
      </c>
      <c r="L367" s="77">
        <f>IFERROR(VLOOKUP(DESPESAS[[#This Row],[Plano de Contas]],BASE!$B$3:$H$119,6,FALSE),"")</f>
        <v>0</v>
      </c>
      <c r="M367" s="77" t="str">
        <f>VLOOKUP(DESPESAS[[#This Row],[Plano de Contas]],BASE!$B$3:$H$119,7,FALSE)</f>
        <v>THAIS</v>
      </c>
    </row>
    <row r="368" spans="1:13" x14ac:dyDescent="0.25">
      <c r="A368" s="74">
        <v>196639</v>
      </c>
      <c r="B368" s="75" t="s">
        <v>232</v>
      </c>
      <c r="C368" s="75" t="s">
        <v>3117</v>
      </c>
      <c r="D368" s="76">
        <v>46034</v>
      </c>
      <c r="E368" s="75" t="s">
        <v>785</v>
      </c>
      <c r="F368" s="74">
        <v>6596.38</v>
      </c>
      <c r="G368" s="75" t="s">
        <v>572</v>
      </c>
      <c r="H368" s="77" t="str">
        <f>VLOOKUP(DESPESAS[[#This Row],[Plano de Contas]],BASE!$B$3:$D$119,3,FALSE)</f>
        <v>Comissões sobre Vendas Externo</v>
      </c>
      <c r="I368" s="77" t="str">
        <f>IFERROR(VLOOKUP(DESPESAS[[#This Row],[Fornecedor]],Tabela2[],2,FALSE),"")</f>
        <v/>
      </c>
      <c r="J368" s="77" t="str">
        <f>IFERROR(VLOOKUP(DESPESAS[[#This Row],[Plano de Contas]],BASE!$B$3:$F$119,4,FALSE),"")</f>
        <v>6 - DESPESA COM VENDAS</v>
      </c>
      <c r="K368" s="77" t="str">
        <f>IFERROR(VLOOKUP(DESPESAS[[#This Row],[Plano de Contas]],BASE!$B$3:$H$119,5,FALSE),"")</f>
        <v>COMERCIAL</v>
      </c>
      <c r="L368" s="77">
        <f>IFERROR(VLOOKUP(DESPESAS[[#This Row],[Plano de Contas]],BASE!$B$3:$H$119,6,FALSE),"")</f>
        <v>0</v>
      </c>
      <c r="M368" s="77" t="str">
        <f>VLOOKUP(DESPESAS[[#This Row],[Plano de Contas]],BASE!$B$3:$H$119,7,FALSE)</f>
        <v>LETÍCIA</v>
      </c>
    </row>
    <row r="369" spans="1:13" x14ac:dyDescent="0.25">
      <c r="A369" s="74">
        <v>196640</v>
      </c>
      <c r="B369" s="75" t="s">
        <v>232</v>
      </c>
      <c r="C369" s="75" t="s">
        <v>3117</v>
      </c>
      <c r="D369" s="76">
        <v>46034</v>
      </c>
      <c r="E369" s="75" t="s">
        <v>784</v>
      </c>
      <c r="F369" s="74">
        <v>5327.44</v>
      </c>
      <c r="G369" s="75" t="s">
        <v>572</v>
      </c>
      <c r="H369" s="77" t="str">
        <f>VLOOKUP(DESPESAS[[#This Row],[Plano de Contas]],BASE!$B$3:$D$119,3,FALSE)</f>
        <v>Comissões sobre Vendas Externo</v>
      </c>
      <c r="I369" s="77" t="str">
        <f>IFERROR(VLOOKUP(DESPESAS[[#This Row],[Fornecedor]],Tabela2[],2,FALSE),"")</f>
        <v/>
      </c>
      <c r="J369" s="77" t="str">
        <f>IFERROR(VLOOKUP(DESPESAS[[#This Row],[Plano de Contas]],BASE!$B$3:$F$119,4,FALSE),"")</f>
        <v>6 - DESPESA COM VENDAS</v>
      </c>
      <c r="K369" s="77" t="str">
        <f>IFERROR(VLOOKUP(DESPESAS[[#This Row],[Plano de Contas]],BASE!$B$3:$H$119,5,FALSE),"")</f>
        <v>COMERCIAL</v>
      </c>
      <c r="L369" s="77">
        <f>IFERROR(VLOOKUP(DESPESAS[[#This Row],[Plano de Contas]],BASE!$B$3:$H$119,6,FALSE),"")</f>
        <v>0</v>
      </c>
      <c r="M369" s="77" t="str">
        <f>VLOOKUP(DESPESAS[[#This Row],[Plano de Contas]],BASE!$B$3:$H$119,7,FALSE)</f>
        <v>LETÍCIA</v>
      </c>
    </row>
    <row r="370" spans="1:13" x14ac:dyDescent="0.25">
      <c r="A370" s="74">
        <v>196641</v>
      </c>
      <c r="B370" s="75" t="s">
        <v>232</v>
      </c>
      <c r="C370" s="75" t="s">
        <v>3117</v>
      </c>
      <c r="D370" s="76">
        <v>46034</v>
      </c>
      <c r="E370" s="75" t="s">
        <v>791</v>
      </c>
      <c r="F370" s="74">
        <v>3004.97</v>
      </c>
      <c r="G370" s="75" t="s">
        <v>572</v>
      </c>
      <c r="H370" s="77" t="str">
        <f>VLOOKUP(DESPESAS[[#This Row],[Plano de Contas]],BASE!$B$3:$D$119,3,FALSE)</f>
        <v>Comissões sobre Vendas Externo</v>
      </c>
      <c r="I370" s="77" t="str">
        <f>IFERROR(VLOOKUP(DESPESAS[[#This Row],[Fornecedor]],Tabela2[],2,FALSE),"")</f>
        <v/>
      </c>
      <c r="J370" s="77" t="str">
        <f>IFERROR(VLOOKUP(DESPESAS[[#This Row],[Plano de Contas]],BASE!$B$3:$F$119,4,FALSE),"")</f>
        <v>6 - DESPESA COM VENDAS</v>
      </c>
      <c r="K370" s="77" t="str">
        <f>IFERROR(VLOOKUP(DESPESAS[[#This Row],[Plano de Contas]],BASE!$B$3:$H$119,5,FALSE),"")</f>
        <v>COMERCIAL</v>
      </c>
      <c r="L370" s="77">
        <f>IFERROR(VLOOKUP(DESPESAS[[#This Row],[Plano de Contas]],BASE!$B$3:$H$119,6,FALSE),"")</f>
        <v>0</v>
      </c>
      <c r="M370" s="77" t="str">
        <f>VLOOKUP(DESPESAS[[#This Row],[Plano de Contas]],BASE!$B$3:$H$119,7,FALSE)</f>
        <v>LETÍCIA</v>
      </c>
    </row>
    <row r="371" spans="1:13" x14ac:dyDescent="0.25">
      <c r="A371" s="74">
        <v>196642</v>
      </c>
      <c r="B371" s="75" t="s">
        <v>221</v>
      </c>
      <c r="C371" s="75" t="s">
        <v>3117</v>
      </c>
      <c r="D371" s="76">
        <v>46034</v>
      </c>
      <c r="E371" s="75" t="s">
        <v>573</v>
      </c>
      <c r="F371" s="74">
        <v>385.86</v>
      </c>
      <c r="G371" s="75" t="s">
        <v>572</v>
      </c>
      <c r="H371" s="77" t="str">
        <f>VLOOKUP(DESPESAS[[#This Row],[Plano de Contas]],BASE!$B$3:$D$119,3,FALSE)</f>
        <v>Comissões sobre Vendas Externo</v>
      </c>
      <c r="I371" s="77" t="str">
        <f>IFERROR(VLOOKUP(DESPESAS[[#This Row],[Fornecedor]],Tabela2[],2,FALSE),"")</f>
        <v/>
      </c>
      <c r="J371" s="77" t="str">
        <f>IFERROR(VLOOKUP(DESPESAS[[#This Row],[Plano de Contas]],BASE!$B$3:$F$119,4,FALSE),"")</f>
        <v>6 - DESPESA COM VENDAS</v>
      </c>
      <c r="K371" s="77" t="str">
        <f>IFERROR(VLOOKUP(DESPESAS[[#This Row],[Plano de Contas]],BASE!$B$3:$H$119,5,FALSE),"")</f>
        <v>COMERCIAL</v>
      </c>
      <c r="L371" s="77">
        <f>IFERROR(VLOOKUP(DESPESAS[[#This Row],[Plano de Contas]],BASE!$B$3:$H$119,6,FALSE),"")</f>
        <v>0</v>
      </c>
      <c r="M371" s="77" t="str">
        <f>VLOOKUP(DESPESAS[[#This Row],[Plano de Contas]],BASE!$B$3:$H$119,7,FALSE)</f>
        <v>LETÍCIA</v>
      </c>
    </row>
    <row r="372" spans="1:13" x14ac:dyDescent="0.25">
      <c r="A372" s="74">
        <v>196643</v>
      </c>
      <c r="B372" s="75" t="s">
        <v>221</v>
      </c>
      <c r="C372" s="75" t="s">
        <v>3117</v>
      </c>
      <c r="D372" s="76">
        <v>46034</v>
      </c>
      <c r="E372" s="75" t="s">
        <v>790</v>
      </c>
      <c r="F372" s="74">
        <v>2235.9899999999998</v>
      </c>
      <c r="G372" s="75" t="s">
        <v>572</v>
      </c>
      <c r="H372" s="77" t="str">
        <f>VLOOKUP(DESPESAS[[#This Row],[Plano de Contas]],BASE!$B$3:$D$119,3,FALSE)</f>
        <v>Comissões sobre Vendas Externo</v>
      </c>
      <c r="I372" s="77" t="str">
        <f>IFERROR(VLOOKUP(DESPESAS[[#This Row],[Fornecedor]],Tabela2[],2,FALSE),"")</f>
        <v/>
      </c>
      <c r="J372" s="77" t="str">
        <f>IFERROR(VLOOKUP(DESPESAS[[#This Row],[Plano de Contas]],BASE!$B$3:$F$119,4,FALSE),"")</f>
        <v>6 - DESPESA COM VENDAS</v>
      </c>
      <c r="K372" s="77" t="str">
        <f>IFERROR(VLOOKUP(DESPESAS[[#This Row],[Plano de Contas]],BASE!$B$3:$H$119,5,FALSE),"")</f>
        <v>COMERCIAL</v>
      </c>
      <c r="L372" s="77">
        <f>IFERROR(VLOOKUP(DESPESAS[[#This Row],[Plano de Contas]],BASE!$B$3:$H$119,6,FALSE),"")</f>
        <v>0</v>
      </c>
      <c r="M372" s="77" t="str">
        <f>VLOOKUP(DESPESAS[[#This Row],[Plano de Contas]],BASE!$B$3:$H$119,7,FALSE)</f>
        <v>LETÍCIA</v>
      </c>
    </row>
    <row r="373" spans="1:13" x14ac:dyDescent="0.25">
      <c r="A373" s="74">
        <v>196644</v>
      </c>
      <c r="B373" s="75" t="s">
        <v>221</v>
      </c>
      <c r="C373" s="75" t="s">
        <v>3117</v>
      </c>
      <c r="D373" s="76">
        <v>46034</v>
      </c>
      <c r="E373" s="75" t="s">
        <v>789</v>
      </c>
      <c r="F373" s="74">
        <v>1826.77</v>
      </c>
      <c r="G373" s="75" t="s">
        <v>572</v>
      </c>
      <c r="H373" s="77" t="str">
        <f>VLOOKUP(DESPESAS[[#This Row],[Plano de Contas]],BASE!$B$3:$D$119,3,FALSE)</f>
        <v>Comissões sobre Vendas Externo</v>
      </c>
      <c r="I373" s="77" t="str">
        <f>IFERROR(VLOOKUP(DESPESAS[[#This Row],[Fornecedor]],Tabela2[],2,FALSE),"")</f>
        <v/>
      </c>
      <c r="J373" s="77" t="str">
        <f>IFERROR(VLOOKUP(DESPESAS[[#This Row],[Plano de Contas]],BASE!$B$3:$F$119,4,FALSE),"")</f>
        <v>6 - DESPESA COM VENDAS</v>
      </c>
      <c r="K373" s="77" t="str">
        <f>IFERROR(VLOOKUP(DESPESAS[[#This Row],[Plano de Contas]],BASE!$B$3:$H$119,5,FALSE),"")</f>
        <v>COMERCIAL</v>
      </c>
      <c r="L373" s="77">
        <f>IFERROR(VLOOKUP(DESPESAS[[#This Row],[Plano de Contas]],BASE!$B$3:$H$119,6,FALSE),"")</f>
        <v>0</v>
      </c>
      <c r="M373" s="77" t="str">
        <f>VLOOKUP(DESPESAS[[#This Row],[Plano de Contas]],BASE!$B$3:$H$119,7,FALSE)</f>
        <v>LETÍCIA</v>
      </c>
    </row>
    <row r="374" spans="1:13" x14ac:dyDescent="0.25">
      <c r="A374" s="74">
        <v>196645</v>
      </c>
      <c r="B374" s="75" t="s">
        <v>221</v>
      </c>
      <c r="C374" s="75" t="s">
        <v>3117</v>
      </c>
      <c r="D374" s="76">
        <v>46034</v>
      </c>
      <c r="E374" s="75" t="s">
        <v>788</v>
      </c>
      <c r="F374" s="74">
        <v>1059.23</v>
      </c>
      <c r="G374" s="75" t="s">
        <v>572</v>
      </c>
      <c r="H374" s="77" t="str">
        <f>VLOOKUP(DESPESAS[[#This Row],[Plano de Contas]],BASE!$B$3:$D$119,3,FALSE)</f>
        <v>Comissões sobre Vendas Externo</v>
      </c>
      <c r="I374" s="77" t="str">
        <f>IFERROR(VLOOKUP(DESPESAS[[#This Row],[Fornecedor]],Tabela2[],2,FALSE),"")</f>
        <v/>
      </c>
      <c r="J374" s="77" t="str">
        <f>IFERROR(VLOOKUP(DESPESAS[[#This Row],[Plano de Contas]],BASE!$B$3:$F$119,4,FALSE),"")</f>
        <v>6 - DESPESA COM VENDAS</v>
      </c>
      <c r="K374" s="77" t="str">
        <f>IFERROR(VLOOKUP(DESPESAS[[#This Row],[Plano de Contas]],BASE!$B$3:$H$119,5,FALSE),"")</f>
        <v>COMERCIAL</v>
      </c>
      <c r="L374" s="77">
        <f>IFERROR(VLOOKUP(DESPESAS[[#This Row],[Plano de Contas]],BASE!$B$3:$H$119,6,FALSE),"")</f>
        <v>0</v>
      </c>
      <c r="M374" s="77" t="str">
        <f>VLOOKUP(DESPESAS[[#This Row],[Plano de Contas]],BASE!$B$3:$H$119,7,FALSE)</f>
        <v>LETÍCIA</v>
      </c>
    </row>
    <row r="375" spans="1:13" x14ac:dyDescent="0.25">
      <c r="A375" s="74">
        <v>196646</v>
      </c>
      <c r="B375" s="75" t="s">
        <v>221</v>
      </c>
      <c r="C375" s="75" t="s">
        <v>3117</v>
      </c>
      <c r="D375" s="76">
        <v>46034</v>
      </c>
      <c r="E375" s="75" t="s">
        <v>785</v>
      </c>
      <c r="F375" s="74">
        <v>322.81</v>
      </c>
      <c r="G375" s="75" t="s">
        <v>572</v>
      </c>
      <c r="H375" s="77" t="str">
        <f>VLOOKUP(DESPESAS[[#This Row],[Plano de Contas]],BASE!$B$3:$D$119,3,FALSE)</f>
        <v>Comissões sobre Vendas Externo</v>
      </c>
      <c r="I375" s="77" t="str">
        <f>IFERROR(VLOOKUP(DESPESAS[[#This Row],[Fornecedor]],Tabela2[],2,FALSE),"")</f>
        <v/>
      </c>
      <c r="J375" s="77" t="str">
        <f>IFERROR(VLOOKUP(DESPESAS[[#This Row],[Plano de Contas]],BASE!$B$3:$F$119,4,FALSE),"")</f>
        <v>6 - DESPESA COM VENDAS</v>
      </c>
      <c r="K375" s="77" t="str">
        <f>IFERROR(VLOOKUP(DESPESAS[[#This Row],[Plano de Contas]],BASE!$B$3:$H$119,5,FALSE),"")</f>
        <v>COMERCIAL</v>
      </c>
      <c r="L375" s="77">
        <f>IFERROR(VLOOKUP(DESPESAS[[#This Row],[Plano de Contas]],BASE!$B$3:$H$119,6,FALSE),"")</f>
        <v>0</v>
      </c>
      <c r="M375" s="77" t="str">
        <f>VLOOKUP(DESPESAS[[#This Row],[Plano de Contas]],BASE!$B$3:$H$119,7,FALSE)</f>
        <v>LETÍCIA</v>
      </c>
    </row>
    <row r="376" spans="1:13" x14ac:dyDescent="0.25">
      <c r="A376" s="74">
        <v>196647</v>
      </c>
      <c r="B376" s="75" t="s">
        <v>221</v>
      </c>
      <c r="C376" s="75" t="s">
        <v>3117</v>
      </c>
      <c r="D376" s="76">
        <v>46034</v>
      </c>
      <c r="E376" s="75" t="s">
        <v>784</v>
      </c>
      <c r="F376" s="74">
        <v>1178.44</v>
      </c>
      <c r="G376" s="75" t="s">
        <v>572</v>
      </c>
      <c r="H376" s="77" t="str">
        <f>VLOOKUP(DESPESAS[[#This Row],[Plano de Contas]],BASE!$B$3:$D$119,3,FALSE)</f>
        <v>Comissões sobre Vendas Externo</v>
      </c>
      <c r="I376" s="77" t="str">
        <f>IFERROR(VLOOKUP(DESPESAS[[#This Row],[Fornecedor]],Tabela2[],2,FALSE),"")</f>
        <v/>
      </c>
      <c r="J376" s="77" t="str">
        <f>IFERROR(VLOOKUP(DESPESAS[[#This Row],[Plano de Contas]],BASE!$B$3:$F$119,4,FALSE),"")</f>
        <v>6 - DESPESA COM VENDAS</v>
      </c>
      <c r="K376" s="77" t="str">
        <f>IFERROR(VLOOKUP(DESPESAS[[#This Row],[Plano de Contas]],BASE!$B$3:$H$119,5,FALSE),"")</f>
        <v>COMERCIAL</v>
      </c>
      <c r="L376" s="77">
        <f>IFERROR(VLOOKUP(DESPESAS[[#This Row],[Plano de Contas]],BASE!$B$3:$H$119,6,FALSE),"")</f>
        <v>0</v>
      </c>
      <c r="M376" s="77" t="str">
        <f>VLOOKUP(DESPESAS[[#This Row],[Plano de Contas]],BASE!$B$3:$H$119,7,FALSE)</f>
        <v>LETÍCIA</v>
      </c>
    </row>
    <row r="377" spans="1:13" x14ac:dyDescent="0.25">
      <c r="A377" s="74">
        <v>196648</v>
      </c>
      <c r="B377" s="75" t="s">
        <v>221</v>
      </c>
      <c r="C377" s="75" t="s">
        <v>3117</v>
      </c>
      <c r="D377" s="76">
        <v>46034</v>
      </c>
      <c r="E377" s="75" t="s">
        <v>791</v>
      </c>
      <c r="F377" s="74">
        <v>156.6</v>
      </c>
      <c r="G377" s="75" t="s">
        <v>572</v>
      </c>
      <c r="H377" s="77" t="str">
        <f>VLOOKUP(DESPESAS[[#This Row],[Plano de Contas]],BASE!$B$3:$D$119,3,FALSE)</f>
        <v>Comissões sobre Vendas Externo</v>
      </c>
      <c r="I377" s="77" t="str">
        <f>IFERROR(VLOOKUP(DESPESAS[[#This Row],[Fornecedor]],Tabela2[],2,FALSE),"")</f>
        <v/>
      </c>
      <c r="J377" s="77" t="str">
        <f>IFERROR(VLOOKUP(DESPESAS[[#This Row],[Plano de Contas]],BASE!$B$3:$F$119,4,FALSE),"")</f>
        <v>6 - DESPESA COM VENDAS</v>
      </c>
      <c r="K377" s="77" t="str">
        <f>IFERROR(VLOOKUP(DESPESAS[[#This Row],[Plano de Contas]],BASE!$B$3:$H$119,5,FALSE),"")</f>
        <v>COMERCIAL</v>
      </c>
      <c r="L377" s="77">
        <f>IFERROR(VLOOKUP(DESPESAS[[#This Row],[Plano de Contas]],BASE!$B$3:$H$119,6,FALSE),"")</f>
        <v>0</v>
      </c>
      <c r="M377" s="77" t="str">
        <f>VLOOKUP(DESPESAS[[#This Row],[Plano de Contas]],BASE!$B$3:$H$119,7,FALSE)</f>
        <v>LETÍCIA</v>
      </c>
    </row>
    <row r="378" spans="1:13" x14ac:dyDescent="0.25">
      <c r="A378" s="74">
        <v>196649</v>
      </c>
      <c r="B378" s="75" t="s">
        <v>281</v>
      </c>
      <c r="C378" s="75" t="s">
        <v>3117</v>
      </c>
      <c r="D378" s="76">
        <v>46034</v>
      </c>
      <c r="E378" s="75" t="s">
        <v>790</v>
      </c>
      <c r="F378" s="74">
        <v>963.74</v>
      </c>
      <c r="G378" s="75" t="s">
        <v>572</v>
      </c>
      <c r="H378" s="77" t="str">
        <f>VLOOKUP(DESPESAS[[#This Row],[Plano de Contas]],BASE!$B$3:$D$119,3,FALSE)</f>
        <v>Comissões sobre Vendas Externo</v>
      </c>
      <c r="I378" s="77" t="str">
        <f>IFERROR(VLOOKUP(DESPESAS[[#This Row],[Fornecedor]],Tabela2[],2,FALSE),"")</f>
        <v/>
      </c>
      <c r="J378" s="77" t="str">
        <f>IFERROR(VLOOKUP(DESPESAS[[#This Row],[Plano de Contas]],BASE!$B$3:$F$119,4,FALSE),"")</f>
        <v>6 - DESPESA COM VENDAS</v>
      </c>
      <c r="K378" s="77" t="str">
        <f>IFERROR(VLOOKUP(DESPESAS[[#This Row],[Plano de Contas]],BASE!$B$3:$H$119,5,FALSE),"")</f>
        <v>COMERCIAL</v>
      </c>
      <c r="L378" s="77">
        <f>IFERROR(VLOOKUP(DESPESAS[[#This Row],[Plano de Contas]],BASE!$B$3:$H$119,6,FALSE),"")</f>
        <v>0</v>
      </c>
      <c r="M378" s="77" t="str">
        <f>VLOOKUP(DESPESAS[[#This Row],[Plano de Contas]],BASE!$B$3:$H$119,7,FALSE)</f>
        <v>LETÍCIA</v>
      </c>
    </row>
    <row r="379" spans="1:13" x14ac:dyDescent="0.25">
      <c r="A379" s="74">
        <v>196650</v>
      </c>
      <c r="B379" s="75" t="s">
        <v>281</v>
      </c>
      <c r="C379" s="75" t="s">
        <v>3117</v>
      </c>
      <c r="D379" s="76">
        <v>46034</v>
      </c>
      <c r="E379" s="75" t="s">
        <v>789</v>
      </c>
      <c r="F379" s="74">
        <v>3793</v>
      </c>
      <c r="G379" s="75" t="s">
        <v>572</v>
      </c>
      <c r="H379" s="77" t="str">
        <f>VLOOKUP(DESPESAS[[#This Row],[Plano de Contas]],BASE!$B$3:$D$119,3,FALSE)</f>
        <v>Comissões sobre Vendas Externo</v>
      </c>
      <c r="I379" s="77" t="str">
        <f>IFERROR(VLOOKUP(DESPESAS[[#This Row],[Fornecedor]],Tabela2[],2,FALSE),"")</f>
        <v/>
      </c>
      <c r="J379" s="77" t="str">
        <f>IFERROR(VLOOKUP(DESPESAS[[#This Row],[Plano de Contas]],BASE!$B$3:$F$119,4,FALSE),"")</f>
        <v>6 - DESPESA COM VENDAS</v>
      </c>
      <c r="K379" s="77" t="str">
        <f>IFERROR(VLOOKUP(DESPESAS[[#This Row],[Plano de Contas]],BASE!$B$3:$H$119,5,FALSE),"")</f>
        <v>COMERCIAL</v>
      </c>
      <c r="L379" s="77">
        <f>IFERROR(VLOOKUP(DESPESAS[[#This Row],[Plano de Contas]],BASE!$B$3:$H$119,6,FALSE),"")</f>
        <v>0</v>
      </c>
      <c r="M379" s="77" t="str">
        <f>VLOOKUP(DESPESAS[[#This Row],[Plano de Contas]],BASE!$B$3:$H$119,7,FALSE)</f>
        <v>LETÍCIA</v>
      </c>
    </row>
    <row r="380" spans="1:13" x14ac:dyDescent="0.25">
      <c r="A380" s="74">
        <v>196652</v>
      </c>
      <c r="B380" s="75" t="s">
        <v>281</v>
      </c>
      <c r="C380" s="75" t="s">
        <v>3117</v>
      </c>
      <c r="D380" s="76">
        <v>46034</v>
      </c>
      <c r="E380" s="75" t="s">
        <v>788</v>
      </c>
      <c r="F380" s="74">
        <v>2049.73</v>
      </c>
      <c r="G380" s="75" t="s">
        <v>572</v>
      </c>
      <c r="H380" s="77" t="str">
        <f>VLOOKUP(DESPESAS[[#This Row],[Plano de Contas]],BASE!$B$3:$D$119,3,FALSE)</f>
        <v>Comissões sobre Vendas Externo</v>
      </c>
      <c r="I380" s="77" t="str">
        <f>IFERROR(VLOOKUP(DESPESAS[[#This Row],[Fornecedor]],Tabela2[],2,FALSE),"")</f>
        <v/>
      </c>
      <c r="J380" s="77" t="str">
        <f>IFERROR(VLOOKUP(DESPESAS[[#This Row],[Plano de Contas]],BASE!$B$3:$F$119,4,FALSE),"")</f>
        <v>6 - DESPESA COM VENDAS</v>
      </c>
      <c r="K380" s="77" t="str">
        <f>IFERROR(VLOOKUP(DESPESAS[[#This Row],[Plano de Contas]],BASE!$B$3:$H$119,5,FALSE),"")</f>
        <v>COMERCIAL</v>
      </c>
      <c r="L380" s="77">
        <f>IFERROR(VLOOKUP(DESPESAS[[#This Row],[Plano de Contas]],BASE!$B$3:$H$119,6,FALSE),"")</f>
        <v>0</v>
      </c>
      <c r="M380" s="77" t="str">
        <f>VLOOKUP(DESPESAS[[#This Row],[Plano de Contas]],BASE!$B$3:$H$119,7,FALSE)</f>
        <v>LETÍCIA</v>
      </c>
    </row>
    <row r="381" spans="1:13" x14ac:dyDescent="0.25">
      <c r="A381" s="74">
        <v>196653</v>
      </c>
      <c r="B381" s="75" t="s">
        <v>281</v>
      </c>
      <c r="C381" s="75" t="s">
        <v>3117</v>
      </c>
      <c r="D381" s="76">
        <v>46034</v>
      </c>
      <c r="E381" s="75" t="s">
        <v>787</v>
      </c>
      <c r="F381" s="74">
        <v>190.31</v>
      </c>
      <c r="G381" s="75" t="s">
        <v>572</v>
      </c>
      <c r="H381" s="77" t="str">
        <f>VLOOKUP(DESPESAS[[#This Row],[Plano de Contas]],BASE!$B$3:$D$119,3,FALSE)</f>
        <v>Comissões sobre Vendas Externo</v>
      </c>
      <c r="I381" s="77" t="str">
        <f>IFERROR(VLOOKUP(DESPESAS[[#This Row],[Fornecedor]],Tabela2[],2,FALSE),"")</f>
        <v/>
      </c>
      <c r="J381" s="77" t="str">
        <f>IFERROR(VLOOKUP(DESPESAS[[#This Row],[Plano de Contas]],BASE!$B$3:$F$119,4,FALSE),"")</f>
        <v>6 - DESPESA COM VENDAS</v>
      </c>
      <c r="K381" s="77" t="str">
        <f>IFERROR(VLOOKUP(DESPESAS[[#This Row],[Plano de Contas]],BASE!$B$3:$H$119,5,FALSE),"")</f>
        <v>COMERCIAL</v>
      </c>
      <c r="L381" s="77">
        <f>IFERROR(VLOOKUP(DESPESAS[[#This Row],[Plano de Contas]],BASE!$B$3:$H$119,6,FALSE),"")</f>
        <v>0</v>
      </c>
      <c r="M381" s="77" t="str">
        <f>VLOOKUP(DESPESAS[[#This Row],[Plano de Contas]],BASE!$B$3:$H$119,7,FALSE)</f>
        <v>LETÍCIA</v>
      </c>
    </row>
    <row r="382" spans="1:13" x14ac:dyDescent="0.25">
      <c r="A382" s="74">
        <v>196654</v>
      </c>
      <c r="B382" s="75" t="s">
        <v>281</v>
      </c>
      <c r="C382" s="75" t="s">
        <v>3117</v>
      </c>
      <c r="D382" s="76">
        <v>46034</v>
      </c>
      <c r="E382" s="75" t="s">
        <v>786</v>
      </c>
      <c r="F382" s="74">
        <v>77.83</v>
      </c>
      <c r="G382" s="75" t="s">
        <v>572</v>
      </c>
      <c r="H382" s="77" t="str">
        <f>VLOOKUP(DESPESAS[[#This Row],[Plano de Contas]],BASE!$B$3:$D$119,3,FALSE)</f>
        <v>Comissões sobre Vendas Externo</v>
      </c>
      <c r="I382" s="77" t="str">
        <f>IFERROR(VLOOKUP(DESPESAS[[#This Row],[Fornecedor]],Tabela2[],2,FALSE),"")</f>
        <v/>
      </c>
      <c r="J382" s="77" t="str">
        <f>IFERROR(VLOOKUP(DESPESAS[[#This Row],[Plano de Contas]],BASE!$B$3:$F$119,4,FALSE),"")</f>
        <v>6 - DESPESA COM VENDAS</v>
      </c>
      <c r="K382" s="77" t="str">
        <f>IFERROR(VLOOKUP(DESPESAS[[#This Row],[Plano de Contas]],BASE!$B$3:$H$119,5,FALSE),"")</f>
        <v>COMERCIAL</v>
      </c>
      <c r="L382" s="77">
        <f>IFERROR(VLOOKUP(DESPESAS[[#This Row],[Plano de Contas]],BASE!$B$3:$H$119,6,FALSE),"")</f>
        <v>0</v>
      </c>
      <c r="M382" s="77" t="str">
        <f>VLOOKUP(DESPESAS[[#This Row],[Plano de Contas]],BASE!$B$3:$H$119,7,FALSE)</f>
        <v>LETÍCIA</v>
      </c>
    </row>
    <row r="383" spans="1:13" x14ac:dyDescent="0.25">
      <c r="A383" s="74">
        <v>196656</v>
      </c>
      <c r="B383" s="75" t="s">
        <v>281</v>
      </c>
      <c r="C383" s="75" t="s">
        <v>3117</v>
      </c>
      <c r="D383" s="76">
        <v>46034</v>
      </c>
      <c r="E383" s="75" t="s">
        <v>785</v>
      </c>
      <c r="F383" s="74">
        <v>890</v>
      </c>
      <c r="G383" s="75" t="s">
        <v>572</v>
      </c>
      <c r="H383" s="77" t="str">
        <f>VLOOKUP(DESPESAS[[#This Row],[Plano de Contas]],BASE!$B$3:$D$119,3,FALSE)</f>
        <v>Comissões sobre Vendas Externo</v>
      </c>
      <c r="I383" s="77" t="str">
        <f>IFERROR(VLOOKUP(DESPESAS[[#This Row],[Fornecedor]],Tabela2[],2,FALSE),"")</f>
        <v/>
      </c>
      <c r="J383" s="77" t="str">
        <f>IFERROR(VLOOKUP(DESPESAS[[#This Row],[Plano de Contas]],BASE!$B$3:$F$119,4,FALSE),"")</f>
        <v>6 - DESPESA COM VENDAS</v>
      </c>
      <c r="K383" s="77" t="str">
        <f>IFERROR(VLOOKUP(DESPESAS[[#This Row],[Plano de Contas]],BASE!$B$3:$H$119,5,FALSE),"")</f>
        <v>COMERCIAL</v>
      </c>
      <c r="L383" s="77">
        <f>IFERROR(VLOOKUP(DESPESAS[[#This Row],[Plano de Contas]],BASE!$B$3:$H$119,6,FALSE),"")</f>
        <v>0</v>
      </c>
      <c r="M383" s="77" t="str">
        <f>VLOOKUP(DESPESAS[[#This Row],[Plano de Contas]],BASE!$B$3:$H$119,7,FALSE)</f>
        <v>LETÍCIA</v>
      </c>
    </row>
    <row r="384" spans="1:13" x14ac:dyDescent="0.25">
      <c r="A384" s="74">
        <v>196657</v>
      </c>
      <c r="B384" s="75" t="s">
        <v>281</v>
      </c>
      <c r="C384" s="75" t="s">
        <v>3117</v>
      </c>
      <c r="D384" s="76">
        <v>46034</v>
      </c>
      <c r="E384" s="75" t="s">
        <v>784</v>
      </c>
      <c r="F384" s="74">
        <v>723.09</v>
      </c>
      <c r="G384" s="75" t="s">
        <v>572</v>
      </c>
      <c r="H384" s="77" t="str">
        <f>VLOOKUP(DESPESAS[[#This Row],[Plano de Contas]],BASE!$B$3:$D$119,3,FALSE)</f>
        <v>Comissões sobre Vendas Externo</v>
      </c>
      <c r="I384" s="77" t="str">
        <f>IFERROR(VLOOKUP(DESPESAS[[#This Row],[Fornecedor]],Tabela2[],2,FALSE),"")</f>
        <v/>
      </c>
      <c r="J384" s="77" t="str">
        <f>IFERROR(VLOOKUP(DESPESAS[[#This Row],[Plano de Contas]],BASE!$B$3:$F$119,4,FALSE),"")</f>
        <v>6 - DESPESA COM VENDAS</v>
      </c>
      <c r="K384" s="77" t="str">
        <f>IFERROR(VLOOKUP(DESPESAS[[#This Row],[Plano de Contas]],BASE!$B$3:$H$119,5,FALSE),"")</f>
        <v>COMERCIAL</v>
      </c>
      <c r="L384" s="77">
        <f>IFERROR(VLOOKUP(DESPESAS[[#This Row],[Plano de Contas]],BASE!$B$3:$H$119,6,FALSE),"")</f>
        <v>0</v>
      </c>
      <c r="M384" s="77" t="str">
        <f>VLOOKUP(DESPESAS[[#This Row],[Plano de Contas]],BASE!$B$3:$H$119,7,FALSE)</f>
        <v>LETÍCIA</v>
      </c>
    </row>
    <row r="385" spans="1:13" x14ac:dyDescent="0.25">
      <c r="A385" s="74">
        <v>196659</v>
      </c>
      <c r="B385" s="75" t="s">
        <v>281</v>
      </c>
      <c r="C385" s="75" t="s">
        <v>3117</v>
      </c>
      <c r="D385" s="76">
        <v>46034</v>
      </c>
      <c r="E385" s="75" t="s">
        <v>791</v>
      </c>
      <c r="F385" s="74">
        <v>966.07</v>
      </c>
      <c r="G385" s="75" t="s">
        <v>572</v>
      </c>
      <c r="H385" s="77" t="str">
        <f>VLOOKUP(DESPESAS[[#This Row],[Plano de Contas]],BASE!$B$3:$D$119,3,FALSE)</f>
        <v>Comissões sobre Vendas Externo</v>
      </c>
      <c r="I385" s="77" t="str">
        <f>IFERROR(VLOOKUP(DESPESAS[[#This Row],[Fornecedor]],Tabela2[],2,FALSE),"")</f>
        <v/>
      </c>
      <c r="J385" s="77" t="str">
        <f>IFERROR(VLOOKUP(DESPESAS[[#This Row],[Plano de Contas]],BASE!$B$3:$F$119,4,FALSE),"")</f>
        <v>6 - DESPESA COM VENDAS</v>
      </c>
      <c r="K385" s="77" t="str">
        <f>IFERROR(VLOOKUP(DESPESAS[[#This Row],[Plano de Contas]],BASE!$B$3:$H$119,5,FALSE),"")</f>
        <v>COMERCIAL</v>
      </c>
      <c r="L385" s="77">
        <f>IFERROR(VLOOKUP(DESPESAS[[#This Row],[Plano de Contas]],BASE!$B$3:$H$119,6,FALSE),"")</f>
        <v>0</v>
      </c>
      <c r="M385" s="77" t="str">
        <f>VLOOKUP(DESPESAS[[#This Row],[Plano de Contas]],BASE!$B$3:$H$119,7,FALSE)</f>
        <v>LETÍCIA</v>
      </c>
    </row>
    <row r="386" spans="1:13" x14ac:dyDescent="0.25">
      <c r="A386" s="74">
        <v>196661</v>
      </c>
      <c r="B386" s="75" t="s">
        <v>279</v>
      </c>
      <c r="C386" s="75" t="s">
        <v>3117</v>
      </c>
      <c r="D386" s="76">
        <v>46034</v>
      </c>
      <c r="E386" s="75" t="s">
        <v>573</v>
      </c>
      <c r="F386" s="74">
        <v>612.22</v>
      </c>
      <c r="G386" s="75" t="s">
        <v>572</v>
      </c>
      <c r="H386" s="77" t="str">
        <f>VLOOKUP(DESPESAS[[#This Row],[Plano de Contas]],BASE!$B$3:$D$119,3,FALSE)</f>
        <v>Comissões sobre Vendas Externo</v>
      </c>
      <c r="I386" s="77" t="str">
        <f>IFERROR(VLOOKUP(DESPESAS[[#This Row],[Fornecedor]],Tabela2[],2,FALSE),"")</f>
        <v/>
      </c>
      <c r="J386" s="77" t="str">
        <f>IFERROR(VLOOKUP(DESPESAS[[#This Row],[Plano de Contas]],BASE!$B$3:$F$119,4,FALSE),"")</f>
        <v>6 - DESPESA COM VENDAS</v>
      </c>
      <c r="K386" s="77" t="str">
        <f>IFERROR(VLOOKUP(DESPESAS[[#This Row],[Plano de Contas]],BASE!$B$3:$H$119,5,FALSE),"")</f>
        <v>COMERCIAL</v>
      </c>
      <c r="L386" s="77">
        <f>IFERROR(VLOOKUP(DESPESAS[[#This Row],[Plano de Contas]],BASE!$B$3:$H$119,6,FALSE),"")</f>
        <v>0</v>
      </c>
      <c r="M386" s="77" t="str">
        <f>VLOOKUP(DESPESAS[[#This Row],[Plano de Contas]],BASE!$B$3:$H$119,7,FALSE)</f>
        <v>LETÍCIA</v>
      </c>
    </row>
    <row r="387" spans="1:13" x14ac:dyDescent="0.25">
      <c r="A387" s="74">
        <v>196662</v>
      </c>
      <c r="B387" s="75" t="s">
        <v>279</v>
      </c>
      <c r="C387" s="75" t="s">
        <v>3117</v>
      </c>
      <c r="D387" s="76">
        <v>46034</v>
      </c>
      <c r="E387" s="75" t="s">
        <v>790</v>
      </c>
      <c r="F387" s="74">
        <v>767.38</v>
      </c>
      <c r="G387" s="75" t="s">
        <v>572</v>
      </c>
      <c r="H387" s="77" t="str">
        <f>VLOOKUP(DESPESAS[[#This Row],[Plano de Contas]],BASE!$B$3:$D$119,3,FALSE)</f>
        <v>Comissões sobre Vendas Externo</v>
      </c>
      <c r="I387" s="77" t="str">
        <f>IFERROR(VLOOKUP(DESPESAS[[#This Row],[Fornecedor]],Tabela2[],2,FALSE),"")</f>
        <v/>
      </c>
      <c r="J387" s="77" t="str">
        <f>IFERROR(VLOOKUP(DESPESAS[[#This Row],[Plano de Contas]],BASE!$B$3:$F$119,4,FALSE),"")</f>
        <v>6 - DESPESA COM VENDAS</v>
      </c>
      <c r="K387" s="77" t="str">
        <f>IFERROR(VLOOKUP(DESPESAS[[#This Row],[Plano de Contas]],BASE!$B$3:$H$119,5,FALSE),"")</f>
        <v>COMERCIAL</v>
      </c>
      <c r="L387" s="77">
        <f>IFERROR(VLOOKUP(DESPESAS[[#This Row],[Plano de Contas]],BASE!$B$3:$H$119,6,FALSE),"")</f>
        <v>0</v>
      </c>
      <c r="M387" s="77" t="str">
        <f>VLOOKUP(DESPESAS[[#This Row],[Plano de Contas]],BASE!$B$3:$H$119,7,FALSE)</f>
        <v>LETÍCIA</v>
      </c>
    </row>
    <row r="388" spans="1:13" x14ac:dyDescent="0.25">
      <c r="A388" s="74">
        <v>196664</v>
      </c>
      <c r="B388" s="75" t="s">
        <v>279</v>
      </c>
      <c r="C388" s="75" t="s">
        <v>3117</v>
      </c>
      <c r="D388" s="76">
        <v>46034</v>
      </c>
      <c r="E388" s="75" t="s">
        <v>789</v>
      </c>
      <c r="F388" s="74">
        <v>1325.18</v>
      </c>
      <c r="G388" s="75" t="s">
        <v>572</v>
      </c>
      <c r="H388" s="77" t="str">
        <f>VLOOKUP(DESPESAS[[#This Row],[Plano de Contas]],BASE!$B$3:$D$119,3,FALSE)</f>
        <v>Comissões sobre Vendas Externo</v>
      </c>
      <c r="I388" s="77" t="str">
        <f>IFERROR(VLOOKUP(DESPESAS[[#This Row],[Fornecedor]],Tabela2[],2,FALSE),"")</f>
        <v/>
      </c>
      <c r="J388" s="77" t="str">
        <f>IFERROR(VLOOKUP(DESPESAS[[#This Row],[Plano de Contas]],BASE!$B$3:$F$119,4,FALSE),"")</f>
        <v>6 - DESPESA COM VENDAS</v>
      </c>
      <c r="K388" s="77" t="str">
        <f>IFERROR(VLOOKUP(DESPESAS[[#This Row],[Plano de Contas]],BASE!$B$3:$H$119,5,FALSE),"")</f>
        <v>COMERCIAL</v>
      </c>
      <c r="L388" s="77">
        <f>IFERROR(VLOOKUP(DESPESAS[[#This Row],[Plano de Contas]],BASE!$B$3:$H$119,6,FALSE),"")</f>
        <v>0</v>
      </c>
      <c r="M388" s="77" t="str">
        <f>VLOOKUP(DESPESAS[[#This Row],[Plano de Contas]],BASE!$B$3:$H$119,7,FALSE)</f>
        <v>LETÍCIA</v>
      </c>
    </row>
    <row r="389" spans="1:13" x14ac:dyDescent="0.25">
      <c r="A389" s="74">
        <v>196665</v>
      </c>
      <c r="B389" s="75" t="s">
        <v>279</v>
      </c>
      <c r="C389" s="75" t="s">
        <v>3117</v>
      </c>
      <c r="D389" s="76">
        <v>46034</v>
      </c>
      <c r="E389" s="75" t="s">
        <v>788</v>
      </c>
      <c r="F389" s="74">
        <v>1699.63</v>
      </c>
      <c r="G389" s="75" t="s">
        <v>572</v>
      </c>
      <c r="H389" s="77" t="str">
        <f>VLOOKUP(DESPESAS[[#This Row],[Plano de Contas]],BASE!$B$3:$D$119,3,FALSE)</f>
        <v>Comissões sobre Vendas Externo</v>
      </c>
      <c r="I389" s="77" t="str">
        <f>IFERROR(VLOOKUP(DESPESAS[[#This Row],[Fornecedor]],Tabela2[],2,FALSE),"")</f>
        <v/>
      </c>
      <c r="J389" s="77" t="str">
        <f>IFERROR(VLOOKUP(DESPESAS[[#This Row],[Plano de Contas]],BASE!$B$3:$F$119,4,FALSE),"")</f>
        <v>6 - DESPESA COM VENDAS</v>
      </c>
      <c r="K389" s="77" t="str">
        <f>IFERROR(VLOOKUP(DESPESAS[[#This Row],[Plano de Contas]],BASE!$B$3:$H$119,5,FALSE),"")</f>
        <v>COMERCIAL</v>
      </c>
      <c r="L389" s="77">
        <f>IFERROR(VLOOKUP(DESPESAS[[#This Row],[Plano de Contas]],BASE!$B$3:$H$119,6,FALSE),"")</f>
        <v>0</v>
      </c>
      <c r="M389" s="77" t="str">
        <f>VLOOKUP(DESPESAS[[#This Row],[Plano de Contas]],BASE!$B$3:$H$119,7,FALSE)</f>
        <v>LETÍCIA</v>
      </c>
    </row>
    <row r="390" spans="1:13" x14ac:dyDescent="0.25">
      <c r="A390" s="74">
        <v>196667</v>
      </c>
      <c r="B390" s="75" t="s">
        <v>279</v>
      </c>
      <c r="C390" s="75" t="s">
        <v>3117</v>
      </c>
      <c r="D390" s="76">
        <v>46034</v>
      </c>
      <c r="E390" s="75" t="s">
        <v>787</v>
      </c>
      <c r="F390" s="74">
        <v>764.03</v>
      </c>
      <c r="G390" s="75" t="s">
        <v>572</v>
      </c>
      <c r="H390" s="77" t="str">
        <f>VLOOKUP(DESPESAS[[#This Row],[Plano de Contas]],BASE!$B$3:$D$119,3,FALSE)</f>
        <v>Comissões sobre Vendas Externo</v>
      </c>
      <c r="I390" s="77" t="str">
        <f>IFERROR(VLOOKUP(DESPESAS[[#This Row],[Fornecedor]],Tabela2[],2,FALSE),"")</f>
        <v/>
      </c>
      <c r="J390" s="77" t="str">
        <f>IFERROR(VLOOKUP(DESPESAS[[#This Row],[Plano de Contas]],BASE!$B$3:$F$119,4,FALSE),"")</f>
        <v>6 - DESPESA COM VENDAS</v>
      </c>
      <c r="K390" s="77" t="str">
        <f>IFERROR(VLOOKUP(DESPESAS[[#This Row],[Plano de Contas]],BASE!$B$3:$H$119,5,FALSE),"")</f>
        <v>COMERCIAL</v>
      </c>
      <c r="L390" s="77">
        <f>IFERROR(VLOOKUP(DESPESAS[[#This Row],[Plano de Contas]],BASE!$B$3:$H$119,6,FALSE),"")</f>
        <v>0</v>
      </c>
      <c r="M390" s="77" t="str">
        <f>VLOOKUP(DESPESAS[[#This Row],[Plano de Contas]],BASE!$B$3:$H$119,7,FALSE)</f>
        <v>LETÍCIA</v>
      </c>
    </row>
    <row r="391" spans="1:13" x14ac:dyDescent="0.25">
      <c r="A391" s="74">
        <v>196668</v>
      </c>
      <c r="B391" s="75" t="s">
        <v>279</v>
      </c>
      <c r="C391" s="75" t="s">
        <v>3117</v>
      </c>
      <c r="D391" s="76">
        <v>46034</v>
      </c>
      <c r="E391" s="75" t="s">
        <v>786</v>
      </c>
      <c r="F391" s="74">
        <v>453.22</v>
      </c>
      <c r="G391" s="75" t="s">
        <v>572</v>
      </c>
      <c r="H391" s="77" t="str">
        <f>VLOOKUP(DESPESAS[[#This Row],[Plano de Contas]],BASE!$B$3:$D$119,3,FALSE)</f>
        <v>Comissões sobre Vendas Externo</v>
      </c>
      <c r="I391" s="77" t="str">
        <f>IFERROR(VLOOKUP(DESPESAS[[#This Row],[Fornecedor]],Tabela2[],2,FALSE),"")</f>
        <v/>
      </c>
      <c r="J391" s="77" t="str">
        <f>IFERROR(VLOOKUP(DESPESAS[[#This Row],[Plano de Contas]],BASE!$B$3:$F$119,4,FALSE),"")</f>
        <v>6 - DESPESA COM VENDAS</v>
      </c>
      <c r="K391" s="77" t="str">
        <f>IFERROR(VLOOKUP(DESPESAS[[#This Row],[Plano de Contas]],BASE!$B$3:$H$119,5,FALSE),"")</f>
        <v>COMERCIAL</v>
      </c>
      <c r="L391" s="77">
        <f>IFERROR(VLOOKUP(DESPESAS[[#This Row],[Plano de Contas]],BASE!$B$3:$H$119,6,FALSE),"")</f>
        <v>0</v>
      </c>
      <c r="M391" s="77" t="str">
        <f>VLOOKUP(DESPESAS[[#This Row],[Plano de Contas]],BASE!$B$3:$H$119,7,FALSE)</f>
        <v>LETÍCIA</v>
      </c>
    </row>
    <row r="392" spans="1:13" x14ac:dyDescent="0.25">
      <c r="A392" s="74">
        <v>196669</v>
      </c>
      <c r="B392" s="75" t="s">
        <v>279</v>
      </c>
      <c r="C392" s="75" t="s">
        <v>3117</v>
      </c>
      <c r="D392" s="76">
        <v>46034</v>
      </c>
      <c r="E392" s="75" t="s">
        <v>785</v>
      </c>
      <c r="F392" s="74">
        <v>358.74</v>
      </c>
      <c r="G392" s="75" t="s">
        <v>572</v>
      </c>
      <c r="H392" s="77" t="str">
        <f>VLOOKUP(DESPESAS[[#This Row],[Plano de Contas]],BASE!$B$3:$D$119,3,FALSE)</f>
        <v>Comissões sobre Vendas Externo</v>
      </c>
      <c r="I392" s="77" t="str">
        <f>IFERROR(VLOOKUP(DESPESAS[[#This Row],[Fornecedor]],Tabela2[],2,FALSE),"")</f>
        <v/>
      </c>
      <c r="J392" s="77" t="str">
        <f>IFERROR(VLOOKUP(DESPESAS[[#This Row],[Plano de Contas]],BASE!$B$3:$F$119,4,FALSE),"")</f>
        <v>6 - DESPESA COM VENDAS</v>
      </c>
      <c r="K392" s="77" t="str">
        <f>IFERROR(VLOOKUP(DESPESAS[[#This Row],[Plano de Contas]],BASE!$B$3:$H$119,5,FALSE),"")</f>
        <v>COMERCIAL</v>
      </c>
      <c r="L392" s="77">
        <f>IFERROR(VLOOKUP(DESPESAS[[#This Row],[Plano de Contas]],BASE!$B$3:$H$119,6,FALSE),"")</f>
        <v>0</v>
      </c>
      <c r="M392" s="77" t="str">
        <f>VLOOKUP(DESPESAS[[#This Row],[Plano de Contas]],BASE!$B$3:$H$119,7,FALSE)</f>
        <v>LETÍCIA</v>
      </c>
    </row>
    <row r="393" spans="1:13" x14ac:dyDescent="0.25">
      <c r="A393" s="74">
        <v>196670</v>
      </c>
      <c r="B393" s="75" t="s">
        <v>279</v>
      </c>
      <c r="C393" s="75" t="s">
        <v>3117</v>
      </c>
      <c r="D393" s="76">
        <v>46034</v>
      </c>
      <c r="E393" s="75" t="s">
        <v>784</v>
      </c>
      <c r="F393" s="74">
        <v>649.71</v>
      </c>
      <c r="G393" s="75" t="s">
        <v>572</v>
      </c>
      <c r="H393" s="77" t="str">
        <f>VLOOKUP(DESPESAS[[#This Row],[Plano de Contas]],BASE!$B$3:$D$119,3,FALSE)</f>
        <v>Comissões sobre Vendas Externo</v>
      </c>
      <c r="I393" s="77" t="str">
        <f>IFERROR(VLOOKUP(DESPESAS[[#This Row],[Fornecedor]],Tabela2[],2,FALSE),"")</f>
        <v/>
      </c>
      <c r="J393" s="77" t="str">
        <f>IFERROR(VLOOKUP(DESPESAS[[#This Row],[Plano de Contas]],BASE!$B$3:$F$119,4,FALSE),"")</f>
        <v>6 - DESPESA COM VENDAS</v>
      </c>
      <c r="K393" s="77" t="str">
        <f>IFERROR(VLOOKUP(DESPESAS[[#This Row],[Plano de Contas]],BASE!$B$3:$H$119,5,FALSE),"")</f>
        <v>COMERCIAL</v>
      </c>
      <c r="L393" s="77">
        <f>IFERROR(VLOOKUP(DESPESAS[[#This Row],[Plano de Contas]],BASE!$B$3:$H$119,6,FALSE),"")</f>
        <v>0</v>
      </c>
      <c r="M393" s="77" t="str">
        <f>VLOOKUP(DESPESAS[[#This Row],[Plano de Contas]],BASE!$B$3:$H$119,7,FALSE)</f>
        <v>LETÍCIA</v>
      </c>
    </row>
    <row r="394" spans="1:13" x14ac:dyDescent="0.25">
      <c r="A394" s="74">
        <v>196671</v>
      </c>
      <c r="B394" s="75" t="s">
        <v>279</v>
      </c>
      <c r="C394" s="75" t="s">
        <v>3117</v>
      </c>
      <c r="D394" s="76">
        <v>46034</v>
      </c>
      <c r="E394" s="75" t="s">
        <v>791</v>
      </c>
      <c r="F394" s="74">
        <v>991.48</v>
      </c>
      <c r="G394" s="75" t="s">
        <v>572</v>
      </c>
      <c r="H394" s="77" t="str">
        <f>VLOOKUP(DESPESAS[[#This Row],[Plano de Contas]],BASE!$B$3:$D$119,3,FALSE)</f>
        <v>Comissões sobre Vendas Externo</v>
      </c>
      <c r="I394" s="77" t="str">
        <f>IFERROR(VLOOKUP(DESPESAS[[#This Row],[Fornecedor]],Tabela2[],2,FALSE),"")</f>
        <v/>
      </c>
      <c r="J394" s="77" t="str">
        <f>IFERROR(VLOOKUP(DESPESAS[[#This Row],[Plano de Contas]],BASE!$B$3:$F$119,4,FALSE),"")</f>
        <v>6 - DESPESA COM VENDAS</v>
      </c>
      <c r="K394" s="77" t="str">
        <f>IFERROR(VLOOKUP(DESPESAS[[#This Row],[Plano de Contas]],BASE!$B$3:$H$119,5,FALSE),"")</f>
        <v>COMERCIAL</v>
      </c>
      <c r="L394" s="77">
        <f>IFERROR(VLOOKUP(DESPESAS[[#This Row],[Plano de Contas]],BASE!$B$3:$H$119,6,FALSE),"")</f>
        <v>0</v>
      </c>
      <c r="M394" s="77" t="str">
        <f>VLOOKUP(DESPESAS[[#This Row],[Plano de Contas]],BASE!$B$3:$H$119,7,FALSE)</f>
        <v>LETÍCIA</v>
      </c>
    </row>
    <row r="395" spans="1:13" x14ac:dyDescent="0.25">
      <c r="A395" s="74">
        <v>196680</v>
      </c>
      <c r="B395" s="75" t="s">
        <v>221</v>
      </c>
      <c r="C395" s="75" t="s">
        <v>3116</v>
      </c>
      <c r="D395" s="76">
        <v>46035</v>
      </c>
      <c r="E395" s="75" t="s">
        <v>1803</v>
      </c>
      <c r="F395" s="74">
        <v>1800</v>
      </c>
      <c r="G395" s="75" t="s">
        <v>360</v>
      </c>
      <c r="H395" s="77" t="str">
        <f>VLOOKUP(DESPESAS[[#This Row],[Plano de Contas]],BASE!$B$3:$D$119,3,FALSE)</f>
        <v>Publicidade e Propaganda</v>
      </c>
      <c r="I395" s="77" t="str">
        <f>IFERROR(VLOOKUP(DESPESAS[[#This Row],[Fornecedor]],Tabela2[],2,FALSE),"")</f>
        <v/>
      </c>
      <c r="J395" s="77" t="str">
        <f>IFERROR(VLOOKUP(DESPESAS[[#This Row],[Plano de Contas]],BASE!$B$3:$F$119,4,FALSE),"")</f>
        <v>6 - DESPESA COM VENDAS</v>
      </c>
      <c r="K395" s="77" t="str">
        <f>IFERROR(VLOOKUP(DESPESAS[[#This Row],[Plano de Contas]],BASE!$B$3:$H$119,5,FALSE),"")</f>
        <v>COMERCIAL</v>
      </c>
      <c r="L395" s="77">
        <f>IFERROR(VLOOKUP(DESPESAS[[#This Row],[Plano de Contas]],BASE!$B$3:$H$119,6,FALSE),"")</f>
        <v>0</v>
      </c>
      <c r="M395" s="77" t="str">
        <f>VLOOKUP(DESPESAS[[#This Row],[Plano de Contas]],BASE!$B$3:$H$119,7,FALSE)</f>
        <v>THAIS</v>
      </c>
    </row>
    <row r="396" spans="1:13" x14ac:dyDescent="0.25">
      <c r="A396" s="74">
        <v>196681</v>
      </c>
      <c r="B396" s="75" t="s">
        <v>221</v>
      </c>
      <c r="C396" s="75" t="s">
        <v>3115</v>
      </c>
      <c r="D396" s="76">
        <v>46054</v>
      </c>
      <c r="E396" s="75" t="s">
        <v>1803</v>
      </c>
      <c r="F396" s="74">
        <v>1800</v>
      </c>
      <c r="G396" s="75" t="s">
        <v>360</v>
      </c>
      <c r="H396" s="77" t="str">
        <f>VLOOKUP(DESPESAS[[#This Row],[Plano de Contas]],BASE!$B$3:$D$119,3,FALSE)</f>
        <v>Publicidade e Propaganda</v>
      </c>
      <c r="I396" s="77" t="str">
        <f>IFERROR(VLOOKUP(DESPESAS[[#This Row],[Fornecedor]],Tabela2[],2,FALSE),"")</f>
        <v/>
      </c>
      <c r="J396" s="77" t="str">
        <f>IFERROR(VLOOKUP(DESPESAS[[#This Row],[Plano de Contas]],BASE!$B$3:$F$119,4,FALSE),"")</f>
        <v>6 - DESPESA COM VENDAS</v>
      </c>
      <c r="K396" s="77" t="str">
        <f>IFERROR(VLOOKUP(DESPESAS[[#This Row],[Plano de Contas]],BASE!$B$3:$H$119,5,FALSE),"")</f>
        <v>COMERCIAL</v>
      </c>
      <c r="L396" s="77">
        <f>IFERROR(VLOOKUP(DESPESAS[[#This Row],[Plano de Contas]],BASE!$B$3:$H$119,6,FALSE),"")</f>
        <v>0</v>
      </c>
      <c r="M396" s="77" t="str">
        <f>VLOOKUP(DESPESAS[[#This Row],[Plano de Contas]],BASE!$B$3:$H$119,7,FALSE)</f>
        <v>THAIS</v>
      </c>
    </row>
    <row r="397" spans="1:13" x14ac:dyDescent="0.25">
      <c r="A397" s="74">
        <v>196682</v>
      </c>
      <c r="B397" s="75" t="s">
        <v>221</v>
      </c>
      <c r="C397" s="75" t="s">
        <v>3114</v>
      </c>
      <c r="D397" s="76">
        <v>46082</v>
      </c>
      <c r="E397" s="75" t="s">
        <v>1803</v>
      </c>
      <c r="F397" s="74">
        <v>1800</v>
      </c>
      <c r="G397" s="75" t="s">
        <v>360</v>
      </c>
      <c r="H397" s="77" t="str">
        <f>VLOOKUP(DESPESAS[[#This Row],[Plano de Contas]],BASE!$B$3:$D$119,3,FALSE)</f>
        <v>Publicidade e Propaganda</v>
      </c>
      <c r="I397" s="77" t="str">
        <f>IFERROR(VLOOKUP(DESPESAS[[#This Row],[Fornecedor]],Tabela2[],2,FALSE),"")</f>
        <v/>
      </c>
      <c r="J397" s="77" t="str">
        <f>IFERROR(VLOOKUP(DESPESAS[[#This Row],[Plano de Contas]],BASE!$B$3:$F$119,4,FALSE),"")</f>
        <v>6 - DESPESA COM VENDAS</v>
      </c>
      <c r="K397" s="77" t="str">
        <f>IFERROR(VLOOKUP(DESPESAS[[#This Row],[Plano de Contas]],BASE!$B$3:$H$119,5,FALSE),"")</f>
        <v>COMERCIAL</v>
      </c>
      <c r="L397" s="77">
        <f>IFERROR(VLOOKUP(DESPESAS[[#This Row],[Plano de Contas]],BASE!$B$3:$H$119,6,FALSE),"")</f>
        <v>0</v>
      </c>
      <c r="M397" s="77" t="str">
        <f>VLOOKUP(DESPESAS[[#This Row],[Plano de Contas]],BASE!$B$3:$H$119,7,FALSE)</f>
        <v>THAIS</v>
      </c>
    </row>
    <row r="398" spans="1:13" x14ac:dyDescent="0.25">
      <c r="A398" s="74">
        <v>196683</v>
      </c>
      <c r="B398" s="75" t="s">
        <v>221</v>
      </c>
      <c r="C398" s="75" t="s">
        <v>3113</v>
      </c>
      <c r="D398" s="76">
        <v>46113</v>
      </c>
      <c r="E398" s="75" t="s">
        <v>1803</v>
      </c>
      <c r="F398" s="74">
        <v>1800</v>
      </c>
      <c r="G398" s="75" t="s">
        <v>360</v>
      </c>
      <c r="H398" s="77" t="str">
        <f>VLOOKUP(DESPESAS[[#This Row],[Plano de Contas]],BASE!$B$3:$D$119,3,FALSE)</f>
        <v>Publicidade e Propaganda</v>
      </c>
      <c r="I398" s="77" t="str">
        <f>IFERROR(VLOOKUP(DESPESAS[[#This Row],[Fornecedor]],Tabela2[],2,FALSE),"")</f>
        <v/>
      </c>
      <c r="J398" s="77" t="str">
        <f>IFERROR(VLOOKUP(DESPESAS[[#This Row],[Plano de Contas]],BASE!$B$3:$F$119,4,FALSE),"")</f>
        <v>6 - DESPESA COM VENDAS</v>
      </c>
      <c r="K398" s="77" t="str">
        <f>IFERROR(VLOOKUP(DESPESAS[[#This Row],[Plano de Contas]],BASE!$B$3:$H$119,5,FALSE),"")</f>
        <v>COMERCIAL</v>
      </c>
      <c r="L398" s="77">
        <f>IFERROR(VLOOKUP(DESPESAS[[#This Row],[Plano de Contas]],BASE!$B$3:$H$119,6,FALSE),"")</f>
        <v>0</v>
      </c>
      <c r="M398" s="77" t="str">
        <f>VLOOKUP(DESPESAS[[#This Row],[Plano de Contas]],BASE!$B$3:$H$119,7,FALSE)</f>
        <v>THAIS</v>
      </c>
    </row>
    <row r="399" spans="1:13" x14ac:dyDescent="0.25">
      <c r="A399" s="74">
        <v>196684</v>
      </c>
      <c r="B399" s="75" t="s">
        <v>221</v>
      </c>
      <c r="C399" s="75" t="s">
        <v>3760</v>
      </c>
      <c r="D399" s="76">
        <v>46143</v>
      </c>
      <c r="E399" s="75" t="s">
        <v>1803</v>
      </c>
      <c r="F399" s="74">
        <v>1800</v>
      </c>
      <c r="G399" s="75" t="s">
        <v>360</v>
      </c>
      <c r="H399" s="77" t="str">
        <f>VLOOKUP(DESPESAS[[#This Row],[Plano de Contas]],BASE!$B$3:$D$119,3,FALSE)</f>
        <v>Publicidade e Propaganda</v>
      </c>
      <c r="I399" s="77" t="str">
        <f>IFERROR(VLOOKUP(DESPESAS[[#This Row],[Fornecedor]],Tabela2[],2,FALSE),"")</f>
        <v/>
      </c>
      <c r="J399" s="77" t="str">
        <f>IFERROR(VLOOKUP(DESPESAS[[#This Row],[Plano de Contas]],BASE!$B$3:$F$119,4,FALSE),"")</f>
        <v>6 - DESPESA COM VENDAS</v>
      </c>
      <c r="K399" s="77" t="str">
        <f>IFERROR(VLOOKUP(DESPESAS[[#This Row],[Plano de Contas]],BASE!$B$3:$H$119,5,FALSE),"")</f>
        <v>COMERCIAL</v>
      </c>
      <c r="L399" s="77">
        <f>IFERROR(VLOOKUP(DESPESAS[[#This Row],[Plano de Contas]],BASE!$B$3:$H$119,6,FALSE),"")</f>
        <v>0</v>
      </c>
      <c r="M399" s="77" t="str">
        <f>VLOOKUP(DESPESAS[[#This Row],[Plano de Contas]],BASE!$B$3:$H$119,7,FALSE)</f>
        <v>THAIS</v>
      </c>
    </row>
    <row r="400" spans="1:13" x14ac:dyDescent="0.25">
      <c r="A400" s="74">
        <v>196708</v>
      </c>
      <c r="B400" s="75" t="s">
        <v>221</v>
      </c>
      <c r="C400" s="75" t="s">
        <v>3112</v>
      </c>
      <c r="D400" s="76">
        <v>46048</v>
      </c>
      <c r="E400" s="75" t="s">
        <v>677</v>
      </c>
      <c r="F400" s="74">
        <v>2951.93</v>
      </c>
      <c r="G400" s="75" t="s">
        <v>244</v>
      </c>
      <c r="H400" s="77" t="str">
        <f>VLOOKUP(DESPESAS[[#This Row],[Plano de Contas]],BASE!$B$3:$D$119,3,FALSE)</f>
        <v>Material de Expediente (Prod)</v>
      </c>
      <c r="I400" s="77" t="str">
        <f>IFERROR(VLOOKUP(DESPESAS[[#This Row],[Fornecedor]],Tabela2[],2,FALSE),"")</f>
        <v/>
      </c>
      <c r="J400" s="77" t="str">
        <f>IFERROR(VLOOKUP(DESPESAS[[#This Row],[Plano de Contas]],BASE!$B$3:$F$119,4,FALSE),"")</f>
        <v>2 - CUSTOS DIRETOS</v>
      </c>
      <c r="K400" s="77" t="str">
        <f>IFERROR(VLOOKUP(DESPESAS[[#This Row],[Plano de Contas]],BASE!$B$3:$H$119,5,FALSE),"")</f>
        <v>PRODUÇÃO</v>
      </c>
      <c r="L400" s="77">
        <f>IFERROR(VLOOKUP(DESPESAS[[#This Row],[Plano de Contas]],BASE!$B$3:$H$119,6,FALSE),"")</f>
        <v>0</v>
      </c>
      <c r="M400" s="77" t="str">
        <f>VLOOKUP(DESPESAS[[#This Row],[Plano de Contas]],BASE!$B$3:$H$119,7,FALSE)</f>
        <v>RAFAEL</v>
      </c>
    </row>
    <row r="401" spans="1:13" x14ac:dyDescent="0.25">
      <c r="A401" s="74">
        <v>196709</v>
      </c>
      <c r="B401" s="75" t="s">
        <v>221</v>
      </c>
      <c r="C401" s="75" t="s">
        <v>3111</v>
      </c>
      <c r="D401" s="76">
        <v>46034</v>
      </c>
      <c r="E401" s="75" t="s">
        <v>366</v>
      </c>
      <c r="F401" s="74">
        <v>6000</v>
      </c>
      <c r="G401" s="75" t="s">
        <v>365</v>
      </c>
      <c r="H401" s="77" t="str">
        <f>VLOOKUP(DESPESAS[[#This Row],[Plano de Contas]],BASE!$B$3:$D$119,3,FALSE)</f>
        <v>Pró-Labore</v>
      </c>
      <c r="I401" s="77" t="str">
        <f>IFERROR(VLOOKUP(DESPESAS[[#This Row],[Fornecedor]],Tabela2[],2,FALSE),"")</f>
        <v/>
      </c>
      <c r="J401" s="77" t="str">
        <f>IFERROR(VLOOKUP(DESPESAS[[#This Row],[Plano de Contas]],BASE!$B$3:$F$119,4,FALSE),"")</f>
        <v>4 - GASTOS COM PESSOAL</v>
      </c>
      <c r="K401" s="77" t="str">
        <f>IFERROR(VLOOKUP(DESPESAS[[#This Row],[Plano de Contas]],BASE!$B$3:$H$119,5,FALSE),"")</f>
        <v>DIRETORIA</v>
      </c>
      <c r="L401" s="77">
        <f>IFERROR(VLOOKUP(DESPESAS[[#This Row],[Plano de Contas]],BASE!$B$3:$H$119,6,FALSE),"")</f>
        <v>0</v>
      </c>
      <c r="M401" s="77" t="str">
        <f>VLOOKUP(DESPESAS[[#This Row],[Plano de Contas]],BASE!$B$3:$H$119,7,FALSE)</f>
        <v>FÁBIO</v>
      </c>
    </row>
    <row r="402" spans="1:13" x14ac:dyDescent="0.25">
      <c r="A402" s="74">
        <v>196710</v>
      </c>
      <c r="B402" s="75" t="s">
        <v>232</v>
      </c>
      <c r="C402" s="75" t="s">
        <v>3110</v>
      </c>
      <c r="D402" s="76">
        <v>46034</v>
      </c>
      <c r="E402" s="75" t="s">
        <v>566</v>
      </c>
      <c r="F402" s="74">
        <v>2830.41</v>
      </c>
      <c r="G402" s="75" t="s">
        <v>561</v>
      </c>
      <c r="H402" s="77" t="str">
        <f>VLOOKUP(DESPESAS[[#This Row],[Plano de Contas]],BASE!$B$3:$D$119,3,FALSE)</f>
        <v>Sistemas de Informação</v>
      </c>
      <c r="I402" s="77" t="str">
        <f>IFERROR(VLOOKUP(DESPESAS[[#This Row],[Fornecedor]],Tabela2[],2,FALSE),"")</f>
        <v>TOPSOLID</v>
      </c>
      <c r="J402" s="77" t="str">
        <f>IFERROR(VLOOKUP(DESPESAS[[#This Row],[Plano de Contas]],BASE!$B$3:$F$119,4,FALSE),"")</f>
        <v>7 - SERVIÇOS DE TERCEIROS</v>
      </c>
      <c r="K402" s="77" t="str">
        <f>IFERROR(VLOOKUP(DESPESAS[[#This Row],[Plano de Contas]],BASE!$B$3:$H$119,5,FALSE),"")</f>
        <v>MANUTENÇÃO / TI</v>
      </c>
      <c r="L402" s="77">
        <f>IFERROR(VLOOKUP(DESPESAS[[#This Row],[Plano de Contas]],BASE!$B$3:$H$119,6,FALSE),"")</f>
        <v>0</v>
      </c>
      <c r="M402" s="77" t="str">
        <f>VLOOKUP(DESPESAS[[#This Row],[Plano de Contas]],BASE!$B$3:$H$119,7,FALSE)</f>
        <v>LETÍCIA</v>
      </c>
    </row>
    <row r="403" spans="1:13" x14ac:dyDescent="0.25">
      <c r="A403" s="74">
        <v>196712</v>
      </c>
      <c r="B403" s="75" t="s">
        <v>232</v>
      </c>
      <c r="C403" s="75" t="s">
        <v>3109</v>
      </c>
      <c r="D403" s="76">
        <v>46068</v>
      </c>
      <c r="E403" s="75" t="s">
        <v>3108</v>
      </c>
      <c r="F403" s="74">
        <v>350</v>
      </c>
      <c r="G403" s="75" t="s">
        <v>561</v>
      </c>
      <c r="H403" s="77" t="str">
        <f>VLOOKUP(DESPESAS[[#This Row],[Plano de Contas]],BASE!$B$3:$D$119,3,FALSE)</f>
        <v>Sistemas de Informação</v>
      </c>
      <c r="I403" s="77" t="str">
        <f>IFERROR(VLOOKUP(DESPESAS[[#This Row],[Fornecedor]],Tabela2[],2,FALSE),"")</f>
        <v>NUNTIA IA FINANCEIRO</v>
      </c>
      <c r="J403" s="77" t="str">
        <f>IFERROR(VLOOKUP(DESPESAS[[#This Row],[Plano de Contas]],BASE!$B$3:$F$119,4,FALSE),"")</f>
        <v>7 - SERVIÇOS DE TERCEIROS</v>
      </c>
      <c r="K403" s="77" t="str">
        <f>IFERROR(VLOOKUP(DESPESAS[[#This Row],[Plano de Contas]],BASE!$B$3:$H$119,5,FALSE),"")</f>
        <v>MANUTENÇÃO / TI</v>
      </c>
      <c r="L403" s="77">
        <f>IFERROR(VLOOKUP(DESPESAS[[#This Row],[Plano de Contas]],BASE!$B$3:$H$119,6,FALSE),"")</f>
        <v>0</v>
      </c>
      <c r="M403" s="77" t="str">
        <f>VLOOKUP(DESPESAS[[#This Row],[Plano de Contas]],BASE!$B$3:$H$119,7,FALSE)</f>
        <v>LETÍCIA</v>
      </c>
    </row>
    <row r="404" spans="1:13" x14ac:dyDescent="0.25">
      <c r="A404" s="74">
        <v>196714</v>
      </c>
      <c r="B404" s="75" t="s">
        <v>232</v>
      </c>
      <c r="C404" s="75" t="s">
        <v>3109</v>
      </c>
      <c r="D404" s="76">
        <v>46096</v>
      </c>
      <c r="E404" s="75" t="s">
        <v>3108</v>
      </c>
      <c r="F404" s="74">
        <v>350</v>
      </c>
      <c r="G404" s="75" t="s">
        <v>561</v>
      </c>
      <c r="H404" s="77" t="str">
        <f>VLOOKUP(DESPESAS[[#This Row],[Plano de Contas]],BASE!$B$3:$D$119,3,FALSE)</f>
        <v>Sistemas de Informação</v>
      </c>
      <c r="I404" s="77" t="str">
        <f>IFERROR(VLOOKUP(DESPESAS[[#This Row],[Fornecedor]],Tabela2[],2,FALSE),"")</f>
        <v>NUNTIA IA FINANCEIRO</v>
      </c>
      <c r="J404" s="77" t="str">
        <f>IFERROR(VLOOKUP(DESPESAS[[#This Row],[Plano de Contas]],BASE!$B$3:$F$119,4,FALSE),"")</f>
        <v>7 - SERVIÇOS DE TERCEIROS</v>
      </c>
      <c r="K404" s="77" t="str">
        <f>IFERROR(VLOOKUP(DESPESAS[[#This Row],[Plano de Contas]],BASE!$B$3:$H$119,5,FALSE),"")</f>
        <v>MANUTENÇÃO / TI</v>
      </c>
      <c r="L404" s="77">
        <f>IFERROR(VLOOKUP(DESPESAS[[#This Row],[Plano de Contas]],BASE!$B$3:$H$119,6,FALSE),"")</f>
        <v>0</v>
      </c>
      <c r="M404" s="77" t="str">
        <f>VLOOKUP(DESPESAS[[#This Row],[Plano de Contas]],BASE!$B$3:$H$119,7,FALSE)</f>
        <v>LETÍCIA</v>
      </c>
    </row>
    <row r="405" spans="1:13" x14ac:dyDescent="0.25">
      <c r="A405" s="74">
        <v>196715</v>
      </c>
      <c r="B405" s="75" t="s">
        <v>232</v>
      </c>
      <c r="C405" s="75" t="s">
        <v>3109</v>
      </c>
      <c r="D405" s="76">
        <v>46127</v>
      </c>
      <c r="E405" s="75" t="s">
        <v>3108</v>
      </c>
      <c r="F405" s="74">
        <v>350</v>
      </c>
      <c r="G405" s="75" t="s">
        <v>561</v>
      </c>
      <c r="H405" s="77" t="str">
        <f>VLOOKUP(DESPESAS[[#This Row],[Plano de Contas]],BASE!$B$3:$D$119,3,FALSE)</f>
        <v>Sistemas de Informação</v>
      </c>
      <c r="I405" s="77" t="str">
        <f>IFERROR(VLOOKUP(DESPESAS[[#This Row],[Fornecedor]],Tabela2[],2,FALSE),"")</f>
        <v>NUNTIA IA FINANCEIRO</v>
      </c>
      <c r="J405" s="77" t="str">
        <f>IFERROR(VLOOKUP(DESPESAS[[#This Row],[Plano de Contas]],BASE!$B$3:$F$119,4,FALSE),"")</f>
        <v>7 - SERVIÇOS DE TERCEIROS</v>
      </c>
      <c r="K405" s="77" t="str">
        <f>IFERROR(VLOOKUP(DESPESAS[[#This Row],[Plano de Contas]],BASE!$B$3:$H$119,5,FALSE),"")</f>
        <v>MANUTENÇÃO / TI</v>
      </c>
      <c r="L405" s="77">
        <f>IFERROR(VLOOKUP(DESPESAS[[#This Row],[Plano de Contas]],BASE!$B$3:$H$119,6,FALSE),"")</f>
        <v>0</v>
      </c>
      <c r="M405" s="77" t="str">
        <f>VLOOKUP(DESPESAS[[#This Row],[Plano de Contas]],BASE!$B$3:$H$119,7,FALSE)</f>
        <v>LETÍCIA</v>
      </c>
    </row>
    <row r="406" spans="1:13" x14ac:dyDescent="0.25">
      <c r="A406" s="74">
        <v>196725</v>
      </c>
      <c r="B406" s="75" t="s">
        <v>232</v>
      </c>
      <c r="C406" s="75" t="s">
        <v>3107</v>
      </c>
      <c r="D406" s="76">
        <v>46034</v>
      </c>
      <c r="E406" s="75" t="s">
        <v>230</v>
      </c>
      <c r="F406" s="74">
        <v>173.9</v>
      </c>
      <c r="G406" s="75" t="s">
        <v>229</v>
      </c>
      <c r="H406" s="77" t="str">
        <f>VLOOKUP(DESPESAS[[#This Row],[Plano de Contas]],BASE!$B$3:$D$119,3,FALSE)</f>
        <v>Despesas Bancarias</v>
      </c>
      <c r="I406" s="77" t="str">
        <f>IFERROR(VLOOKUP(DESPESAS[[#This Row],[Fornecedor]],Tabela2[],2,FALSE),"")</f>
        <v/>
      </c>
      <c r="J406" s="77" t="str">
        <f>IFERROR(VLOOKUP(DESPESAS[[#This Row],[Plano de Contas]],BASE!$B$3:$F$119,4,FALSE),"")</f>
        <v>8 - DESPESAS FINANCEIRAS</v>
      </c>
      <c r="K406" s="77" t="str">
        <f>IFERROR(VLOOKUP(DESPESAS[[#This Row],[Plano de Contas]],BASE!$B$3:$H$119,5,FALSE),"")</f>
        <v>FINANCEIRO</v>
      </c>
      <c r="L406" s="77">
        <f>IFERROR(VLOOKUP(DESPESAS[[#This Row],[Plano de Contas]],BASE!$B$3:$H$119,6,FALSE),"")</f>
        <v>0</v>
      </c>
      <c r="M406" s="77" t="str">
        <f>VLOOKUP(DESPESAS[[#This Row],[Plano de Contas]],BASE!$B$3:$H$119,7,FALSE)</f>
        <v>LETÍCIA</v>
      </c>
    </row>
    <row r="407" spans="1:13" x14ac:dyDescent="0.25">
      <c r="A407" s="74">
        <v>196726</v>
      </c>
      <c r="B407" s="75" t="s">
        <v>232</v>
      </c>
      <c r="C407" s="75" t="s">
        <v>3106</v>
      </c>
      <c r="D407" s="76">
        <v>46034</v>
      </c>
      <c r="E407" s="75" t="s">
        <v>230</v>
      </c>
      <c r="F407" s="74">
        <v>147.1</v>
      </c>
      <c r="G407" s="75" t="s">
        <v>229</v>
      </c>
      <c r="H407" s="77" t="str">
        <f>VLOOKUP(DESPESAS[[#This Row],[Plano de Contas]],BASE!$B$3:$D$119,3,FALSE)</f>
        <v>Despesas Bancarias</v>
      </c>
      <c r="I407" s="77" t="str">
        <f>IFERROR(VLOOKUP(DESPESAS[[#This Row],[Fornecedor]],Tabela2[],2,FALSE),"")</f>
        <v/>
      </c>
      <c r="J407" s="77" t="str">
        <f>IFERROR(VLOOKUP(DESPESAS[[#This Row],[Plano de Contas]],BASE!$B$3:$F$119,4,FALSE),"")</f>
        <v>8 - DESPESAS FINANCEIRAS</v>
      </c>
      <c r="K407" s="77" t="str">
        <f>IFERROR(VLOOKUP(DESPESAS[[#This Row],[Plano de Contas]],BASE!$B$3:$H$119,5,FALSE),"")</f>
        <v>FINANCEIRO</v>
      </c>
      <c r="L407" s="77">
        <f>IFERROR(VLOOKUP(DESPESAS[[#This Row],[Plano de Contas]],BASE!$B$3:$H$119,6,FALSE),"")</f>
        <v>0</v>
      </c>
      <c r="M407" s="77" t="str">
        <f>VLOOKUP(DESPESAS[[#This Row],[Plano de Contas]],BASE!$B$3:$H$119,7,FALSE)</f>
        <v>LETÍCIA</v>
      </c>
    </row>
    <row r="408" spans="1:13" x14ac:dyDescent="0.25">
      <c r="A408" s="74">
        <v>196727</v>
      </c>
      <c r="B408" s="75" t="s">
        <v>232</v>
      </c>
      <c r="C408" s="75" t="s">
        <v>3105</v>
      </c>
      <c r="D408" s="76">
        <v>46034</v>
      </c>
      <c r="E408" s="75" t="s">
        <v>230</v>
      </c>
      <c r="F408" s="74">
        <v>1067.1400000000001</v>
      </c>
      <c r="G408" s="75" t="s">
        <v>251</v>
      </c>
      <c r="H408" s="77" t="str">
        <f>VLOOKUP(DESPESAS[[#This Row],[Plano de Contas]],BASE!$B$3:$D$119,3,FALSE)</f>
        <v>Juros Pagos - Antecipação de Crédito</v>
      </c>
      <c r="I408" s="77" t="str">
        <f>IFERROR(VLOOKUP(DESPESAS[[#This Row],[Fornecedor]],Tabela2[],2,FALSE),"")</f>
        <v/>
      </c>
      <c r="J408" s="77" t="str">
        <f>IFERROR(VLOOKUP(DESPESAS[[#This Row],[Plano de Contas]],BASE!$B$3:$F$119,4,FALSE),"")</f>
        <v>8 - DESPESAS FINANCEIRAS</v>
      </c>
      <c r="K408" s="77" t="str">
        <f>IFERROR(VLOOKUP(DESPESAS[[#This Row],[Plano de Contas]],BASE!$B$3:$H$119,5,FALSE),"")</f>
        <v>FINANCEIRO</v>
      </c>
      <c r="L408" s="77">
        <f>IFERROR(VLOOKUP(DESPESAS[[#This Row],[Plano de Contas]],BASE!$B$3:$H$119,6,FALSE),"")</f>
        <v>0</v>
      </c>
      <c r="M408" s="77" t="str">
        <f>VLOOKUP(DESPESAS[[#This Row],[Plano de Contas]],BASE!$B$3:$H$119,7,FALSE)</f>
        <v>LETÍCIA</v>
      </c>
    </row>
    <row r="409" spans="1:13" x14ac:dyDescent="0.25">
      <c r="A409" s="74">
        <v>196728</v>
      </c>
      <c r="B409" s="75" t="s">
        <v>221</v>
      </c>
      <c r="C409" s="75" t="s">
        <v>3104</v>
      </c>
      <c r="D409" s="76">
        <v>46042</v>
      </c>
      <c r="E409" s="75" t="s">
        <v>3103</v>
      </c>
      <c r="F409" s="74">
        <v>450</v>
      </c>
      <c r="G409" s="75" t="s">
        <v>719</v>
      </c>
      <c r="H409" s="77" t="str">
        <f>VLOOKUP(DESPESAS[[#This Row],[Plano de Contas]],BASE!$B$3:$D$119,3,FALSE)</f>
        <v>Outros Serviços de Terceiros</v>
      </c>
      <c r="I409" s="77" t="str">
        <f>IFERROR(VLOOKUP(DESPESAS[[#This Row],[Fornecedor]],Tabela2[],2,FALSE),"")</f>
        <v/>
      </c>
      <c r="J409" s="77" t="str">
        <f>IFERROR(VLOOKUP(DESPESAS[[#This Row],[Plano de Contas]],BASE!$B$3:$F$119,4,FALSE),"")</f>
        <v>7 - SERVIÇOS DE TERCEIROS</v>
      </c>
      <c r="K409" s="77" t="str">
        <f>IFERROR(VLOOKUP(DESPESAS[[#This Row],[Plano de Contas]],BASE!$B$3:$H$119,5,FALSE),"")</f>
        <v>FINANCEIRO</v>
      </c>
      <c r="L409" s="77">
        <f>IFERROR(VLOOKUP(DESPESAS[[#This Row],[Plano de Contas]],BASE!$B$3:$H$119,6,FALSE),"")</f>
        <v>0</v>
      </c>
      <c r="M409" s="77" t="str">
        <f>VLOOKUP(DESPESAS[[#This Row],[Plano de Contas]],BASE!$B$3:$H$119,7,FALSE)</f>
        <v>LETÍCIA</v>
      </c>
    </row>
    <row r="410" spans="1:13" x14ac:dyDescent="0.25">
      <c r="A410" s="74">
        <v>196729</v>
      </c>
      <c r="B410" s="75" t="s">
        <v>221</v>
      </c>
      <c r="C410" s="75" t="s">
        <v>3104</v>
      </c>
      <c r="D410" s="76">
        <v>46073</v>
      </c>
      <c r="E410" s="75" t="s">
        <v>3103</v>
      </c>
      <c r="F410" s="74">
        <v>450</v>
      </c>
      <c r="G410" s="75" t="s">
        <v>719</v>
      </c>
      <c r="H410" s="77" t="str">
        <f>VLOOKUP(DESPESAS[[#This Row],[Plano de Contas]],BASE!$B$3:$D$119,3,FALSE)</f>
        <v>Outros Serviços de Terceiros</v>
      </c>
      <c r="I410" s="77" t="str">
        <f>IFERROR(VLOOKUP(DESPESAS[[#This Row],[Fornecedor]],Tabela2[],2,FALSE),"")</f>
        <v/>
      </c>
      <c r="J410" s="77" t="str">
        <f>IFERROR(VLOOKUP(DESPESAS[[#This Row],[Plano de Contas]],BASE!$B$3:$F$119,4,FALSE),"")</f>
        <v>7 - SERVIÇOS DE TERCEIROS</v>
      </c>
      <c r="K410" s="77" t="str">
        <f>IFERROR(VLOOKUP(DESPESAS[[#This Row],[Plano de Contas]],BASE!$B$3:$H$119,5,FALSE),"")</f>
        <v>FINANCEIRO</v>
      </c>
      <c r="L410" s="77">
        <f>IFERROR(VLOOKUP(DESPESAS[[#This Row],[Plano de Contas]],BASE!$B$3:$H$119,6,FALSE),"")</f>
        <v>0</v>
      </c>
      <c r="M410" s="77" t="str">
        <f>VLOOKUP(DESPESAS[[#This Row],[Plano de Contas]],BASE!$B$3:$H$119,7,FALSE)</f>
        <v>LETÍCIA</v>
      </c>
    </row>
    <row r="411" spans="1:13" x14ac:dyDescent="0.25">
      <c r="A411" s="74">
        <v>196730</v>
      </c>
      <c r="B411" s="75" t="s">
        <v>221</v>
      </c>
      <c r="C411" s="75" t="s">
        <v>3104</v>
      </c>
      <c r="D411" s="76">
        <v>46101</v>
      </c>
      <c r="E411" s="75" t="s">
        <v>3103</v>
      </c>
      <c r="F411" s="74">
        <v>450</v>
      </c>
      <c r="G411" s="75" t="s">
        <v>719</v>
      </c>
      <c r="H411" s="77" t="str">
        <f>VLOOKUP(DESPESAS[[#This Row],[Plano de Contas]],BASE!$B$3:$D$119,3,FALSE)</f>
        <v>Outros Serviços de Terceiros</v>
      </c>
      <c r="I411" s="77" t="str">
        <f>IFERROR(VLOOKUP(DESPESAS[[#This Row],[Fornecedor]],Tabela2[],2,FALSE),"")</f>
        <v/>
      </c>
      <c r="J411" s="77" t="str">
        <f>IFERROR(VLOOKUP(DESPESAS[[#This Row],[Plano de Contas]],BASE!$B$3:$F$119,4,FALSE),"")</f>
        <v>7 - SERVIÇOS DE TERCEIROS</v>
      </c>
      <c r="K411" s="77" t="str">
        <f>IFERROR(VLOOKUP(DESPESAS[[#This Row],[Plano de Contas]],BASE!$B$3:$H$119,5,FALSE),"")</f>
        <v>FINANCEIRO</v>
      </c>
      <c r="L411" s="77">
        <f>IFERROR(VLOOKUP(DESPESAS[[#This Row],[Plano de Contas]],BASE!$B$3:$H$119,6,FALSE),"")</f>
        <v>0</v>
      </c>
      <c r="M411" s="77" t="str">
        <f>VLOOKUP(DESPESAS[[#This Row],[Plano de Contas]],BASE!$B$3:$H$119,7,FALSE)</f>
        <v>LETÍCIA</v>
      </c>
    </row>
    <row r="412" spans="1:13" x14ac:dyDescent="0.25">
      <c r="A412" s="74">
        <v>196731</v>
      </c>
      <c r="B412" s="75" t="s">
        <v>221</v>
      </c>
      <c r="C412" s="75" t="s">
        <v>3104</v>
      </c>
      <c r="D412" s="76">
        <v>46132</v>
      </c>
      <c r="E412" s="75" t="s">
        <v>3103</v>
      </c>
      <c r="F412" s="74">
        <v>450</v>
      </c>
      <c r="G412" s="75" t="s">
        <v>719</v>
      </c>
      <c r="H412" s="77" t="str">
        <f>VLOOKUP(DESPESAS[[#This Row],[Plano de Contas]],BASE!$B$3:$D$119,3,FALSE)</f>
        <v>Outros Serviços de Terceiros</v>
      </c>
      <c r="I412" s="77" t="str">
        <f>IFERROR(VLOOKUP(DESPESAS[[#This Row],[Fornecedor]],Tabela2[],2,FALSE),"")</f>
        <v/>
      </c>
      <c r="J412" s="77" t="str">
        <f>IFERROR(VLOOKUP(DESPESAS[[#This Row],[Plano de Contas]],BASE!$B$3:$F$119,4,FALSE),"")</f>
        <v>7 - SERVIÇOS DE TERCEIROS</v>
      </c>
      <c r="K412" s="77" t="str">
        <f>IFERROR(VLOOKUP(DESPESAS[[#This Row],[Plano de Contas]],BASE!$B$3:$H$119,5,FALSE),"")</f>
        <v>FINANCEIRO</v>
      </c>
      <c r="L412" s="77">
        <f>IFERROR(VLOOKUP(DESPESAS[[#This Row],[Plano de Contas]],BASE!$B$3:$H$119,6,FALSE),"")</f>
        <v>0</v>
      </c>
      <c r="M412" s="77" t="str">
        <f>VLOOKUP(DESPESAS[[#This Row],[Plano de Contas]],BASE!$B$3:$H$119,7,FALSE)</f>
        <v>LETÍCIA</v>
      </c>
    </row>
    <row r="413" spans="1:13" x14ac:dyDescent="0.25">
      <c r="A413" s="74">
        <v>196740</v>
      </c>
      <c r="B413" s="75" t="s">
        <v>221</v>
      </c>
      <c r="C413" s="75" t="s">
        <v>3102</v>
      </c>
      <c r="D413" s="76">
        <v>46034</v>
      </c>
      <c r="E413" s="75" t="s">
        <v>320</v>
      </c>
      <c r="F413" s="74">
        <v>75</v>
      </c>
      <c r="G413" s="75" t="s">
        <v>238</v>
      </c>
      <c r="H413" s="77" t="str">
        <f>VLOOKUP(DESPESAS[[#This Row],[Plano de Contas]],BASE!$B$3:$D$119,3,FALSE)</f>
        <v>Consultoria Comercial</v>
      </c>
      <c r="I413" s="77" t="str">
        <f>IFERROR(VLOOKUP(DESPESAS[[#This Row],[Fornecedor]],Tabela2[],2,FALSE),"")</f>
        <v/>
      </c>
      <c r="J413" s="77" t="str">
        <f>IFERROR(VLOOKUP(DESPESAS[[#This Row],[Plano de Contas]],BASE!$B$3:$F$119,4,FALSE),"")</f>
        <v>6 - DESPESA COM VENDAS</v>
      </c>
      <c r="K413" s="77" t="str">
        <f>IFERROR(VLOOKUP(DESPESAS[[#This Row],[Plano de Contas]],BASE!$B$3:$H$119,5,FALSE),"")</f>
        <v>COMERCIAL</v>
      </c>
      <c r="L413" s="77">
        <f>IFERROR(VLOOKUP(DESPESAS[[#This Row],[Plano de Contas]],BASE!$B$3:$H$119,6,FALSE),"")</f>
        <v>0</v>
      </c>
      <c r="M413" s="77" t="str">
        <f>VLOOKUP(DESPESAS[[#This Row],[Plano de Contas]],BASE!$B$3:$H$119,7,FALSE)</f>
        <v>LETÍCIA</v>
      </c>
    </row>
    <row r="414" spans="1:13" x14ac:dyDescent="0.25">
      <c r="A414" s="74">
        <v>196741</v>
      </c>
      <c r="B414" s="75" t="s">
        <v>221</v>
      </c>
      <c r="C414" s="75" t="s">
        <v>3101</v>
      </c>
      <c r="D414" s="76">
        <v>46034</v>
      </c>
      <c r="E414" s="75" t="s">
        <v>338</v>
      </c>
      <c r="F414" s="74">
        <v>70</v>
      </c>
      <c r="G414" s="75" t="s">
        <v>337</v>
      </c>
      <c r="H414" s="77" t="str">
        <f>VLOOKUP(DESPESAS[[#This Row],[Plano de Contas]],BASE!$B$3:$D$119,3,FALSE)</f>
        <v>Vigilancia e Seguranca</v>
      </c>
      <c r="I414" s="77" t="str">
        <f>IFERROR(VLOOKUP(DESPESAS[[#This Row],[Fornecedor]],Tabela2[],2,FALSE),"")</f>
        <v/>
      </c>
      <c r="J414" s="77" t="str">
        <f>IFERROR(VLOOKUP(DESPESAS[[#This Row],[Plano de Contas]],BASE!$B$3:$F$119,4,FALSE),"")</f>
        <v>7 - SERVIÇOS DE TERCEIROS</v>
      </c>
      <c r="K414" s="77" t="str">
        <f>IFERROR(VLOOKUP(DESPESAS[[#This Row],[Plano de Contas]],BASE!$B$3:$H$119,5,FALSE),"")</f>
        <v>FINANCEIRO</v>
      </c>
      <c r="L414" s="77">
        <f>IFERROR(VLOOKUP(DESPESAS[[#This Row],[Plano de Contas]],BASE!$B$3:$H$119,6,FALSE),"")</f>
        <v>0</v>
      </c>
      <c r="M414" s="77" t="str">
        <f>VLOOKUP(DESPESAS[[#This Row],[Plano de Contas]],BASE!$B$3:$H$119,7,FALSE)</f>
        <v>LETÍCIA</v>
      </c>
    </row>
    <row r="415" spans="1:13" x14ac:dyDescent="0.25">
      <c r="A415" s="74">
        <v>196742</v>
      </c>
      <c r="B415" s="75" t="s">
        <v>221</v>
      </c>
      <c r="C415" s="75" t="s">
        <v>3100</v>
      </c>
      <c r="D415" s="76">
        <v>46034</v>
      </c>
      <c r="E415" s="75" t="s">
        <v>320</v>
      </c>
      <c r="F415" s="74">
        <v>69</v>
      </c>
      <c r="G415" s="75" t="s">
        <v>238</v>
      </c>
      <c r="H415" s="77" t="str">
        <f>VLOOKUP(DESPESAS[[#This Row],[Plano de Contas]],BASE!$B$3:$D$119,3,FALSE)</f>
        <v>Consultoria Comercial</v>
      </c>
      <c r="I415" s="77" t="str">
        <f>IFERROR(VLOOKUP(DESPESAS[[#This Row],[Fornecedor]],Tabela2[],2,FALSE),"")</f>
        <v/>
      </c>
      <c r="J415" s="77" t="str">
        <f>IFERROR(VLOOKUP(DESPESAS[[#This Row],[Plano de Contas]],BASE!$B$3:$F$119,4,FALSE),"")</f>
        <v>6 - DESPESA COM VENDAS</v>
      </c>
      <c r="K415" s="77" t="str">
        <f>IFERROR(VLOOKUP(DESPESAS[[#This Row],[Plano de Contas]],BASE!$B$3:$H$119,5,FALSE),"")</f>
        <v>COMERCIAL</v>
      </c>
      <c r="L415" s="77">
        <f>IFERROR(VLOOKUP(DESPESAS[[#This Row],[Plano de Contas]],BASE!$B$3:$H$119,6,FALSE),"")</f>
        <v>0</v>
      </c>
      <c r="M415" s="77" t="str">
        <f>VLOOKUP(DESPESAS[[#This Row],[Plano de Contas]],BASE!$B$3:$H$119,7,FALSE)</f>
        <v>LETÍCIA</v>
      </c>
    </row>
    <row r="416" spans="1:13" x14ac:dyDescent="0.25">
      <c r="A416" s="74">
        <v>196743</v>
      </c>
      <c r="B416" s="75" t="s">
        <v>221</v>
      </c>
      <c r="C416" s="75" t="s">
        <v>3099</v>
      </c>
      <c r="D416" s="76">
        <v>46031</v>
      </c>
      <c r="E416" s="75" t="s">
        <v>1732</v>
      </c>
      <c r="F416" s="74">
        <v>315</v>
      </c>
      <c r="G416" s="75" t="s">
        <v>241</v>
      </c>
      <c r="H416" s="77" t="str">
        <f>VLOOKUP(DESPESAS[[#This Row],[Plano de Contas]],BASE!$B$3:$D$119,3,FALSE)</f>
        <v>Combustiveis Frota</v>
      </c>
      <c r="I416" s="77" t="str">
        <f>IFERROR(VLOOKUP(DESPESAS[[#This Row],[Fornecedor]],Tabela2[],2,FALSE),"")</f>
        <v/>
      </c>
      <c r="J416" s="77" t="str">
        <f>IFERROR(VLOOKUP(DESPESAS[[#This Row],[Plano de Contas]],BASE!$B$3:$F$119,4,FALSE),"")</f>
        <v>6 - DESPESA COM VENDAS</v>
      </c>
      <c r="K416" s="77" t="str">
        <f>IFERROR(VLOOKUP(DESPESAS[[#This Row],[Plano de Contas]],BASE!$B$3:$H$119,5,FALSE),"")</f>
        <v>LOGÍSTICA</v>
      </c>
      <c r="L416" s="77">
        <f>IFERROR(VLOOKUP(DESPESAS[[#This Row],[Plano de Contas]],BASE!$B$3:$H$119,6,FALSE),"")</f>
        <v>0</v>
      </c>
      <c r="M416" s="77" t="str">
        <f>VLOOKUP(DESPESAS[[#This Row],[Plano de Contas]],BASE!$B$3:$H$119,7,FALSE)</f>
        <v>MYLENA</v>
      </c>
    </row>
    <row r="417" spans="1:13" x14ac:dyDescent="0.25">
      <c r="A417" s="74">
        <v>196747</v>
      </c>
      <c r="B417" s="75" t="s">
        <v>221</v>
      </c>
      <c r="C417" s="75" t="s">
        <v>3098</v>
      </c>
      <c r="D417" s="76">
        <v>46034</v>
      </c>
      <c r="E417" s="75" t="s">
        <v>3097</v>
      </c>
      <c r="F417" s="74">
        <v>1050</v>
      </c>
      <c r="G417" s="75" t="s">
        <v>588</v>
      </c>
      <c r="H417" s="77" t="str">
        <f>VLOOKUP(DESPESAS[[#This Row],[Plano de Contas]],BASE!$B$3:$D$119,3,FALSE)</f>
        <v>Maquinas e Equipamentos</v>
      </c>
      <c r="I417" s="77" t="str">
        <f>IFERROR(VLOOKUP(DESPESAS[[#This Row],[Fornecedor]],Tabela2[],2,FALSE),"")</f>
        <v/>
      </c>
      <c r="J417" s="77" t="str">
        <f>IFERROR(VLOOKUP(DESPESAS[[#This Row],[Plano de Contas]],BASE!$B$3:$F$119,4,FALSE),"")</f>
        <v>9 - INVESTIMENTOS</v>
      </c>
      <c r="K417" s="77" t="str">
        <f>IFERROR(VLOOKUP(DESPESAS[[#This Row],[Plano de Contas]],BASE!$B$3:$H$119,5,FALSE),"")</f>
        <v>MANUTENÇÃO / TI</v>
      </c>
      <c r="L417" s="77">
        <f>IFERROR(VLOOKUP(DESPESAS[[#This Row],[Plano de Contas]],BASE!$B$3:$H$119,6,FALSE),"")</f>
        <v>0</v>
      </c>
      <c r="M417" s="77" t="str">
        <f>VLOOKUP(DESPESAS[[#This Row],[Plano de Contas]],BASE!$B$3:$H$119,7,FALSE)</f>
        <v>RAFAEL</v>
      </c>
    </row>
    <row r="418" spans="1:13" x14ac:dyDescent="0.25">
      <c r="A418" s="74">
        <v>196750</v>
      </c>
      <c r="B418" s="75" t="s">
        <v>232</v>
      </c>
      <c r="C418" s="75" t="s">
        <v>3096</v>
      </c>
      <c r="D418" s="76">
        <v>46034</v>
      </c>
      <c r="E418" s="75" t="s">
        <v>3081</v>
      </c>
      <c r="F418" s="74">
        <v>1586.44</v>
      </c>
      <c r="G418" s="75" t="s">
        <v>3083</v>
      </c>
      <c r="H418" s="77" t="str">
        <f>VLOOKUP(DESPESAS[[#This Row],[Plano de Contas]],BASE!$B$3:$D$119,3,FALSE)</f>
        <v>Consórcios</v>
      </c>
      <c r="I418" s="77" t="str">
        <f>IFERROR(VLOOKUP(DESPESAS[[#This Row],[Fornecedor]],Tabela2[],2,FALSE),"")</f>
        <v/>
      </c>
      <c r="J418" s="77" t="str">
        <f>IFERROR(VLOOKUP(DESPESAS[[#This Row],[Plano de Contas]],BASE!$B$3:$F$119,4,FALSE),"")</f>
        <v>9 - INVESTIMENTOS</v>
      </c>
      <c r="K418" s="77" t="str">
        <f>IFERROR(VLOOKUP(DESPESAS[[#This Row],[Plano de Contas]],BASE!$B$3:$H$119,5,FALSE),"")</f>
        <v>FINANCEIRO</v>
      </c>
      <c r="L418" s="77">
        <f>IFERROR(VLOOKUP(DESPESAS[[#This Row],[Plano de Contas]],BASE!$B$3:$H$119,6,FALSE),"")</f>
        <v>0</v>
      </c>
      <c r="M418" s="77" t="str">
        <f>VLOOKUP(DESPESAS[[#This Row],[Plano de Contas]],BASE!$B$3:$H$119,7,FALSE)</f>
        <v>FÁBIO</v>
      </c>
    </row>
    <row r="419" spans="1:13" x14ac:dyDescent="0.25">
      <c r="A419" s="74">
        <v>196751</v>
      </c>
      <c r="B419" s="75" t="s">
        <v>232</v>
      </c>
      <c r="C419" s="75" t="s">
        <v>3095</v>
      </c>
      <c r="D419" s="76">
        <v>46035</v>
      </c>
      <c r="E419" s="75" t="s">
        <v>230</v>
      </c>
      <c r="F419" s="74">
        <v>121.6</v>
      </c>
      <c r="G419" s="75" t="s">
        <v>251</v>
      </c>
      <c r="H419" s="77" t="str">
        <f>VLOOKUP(DESPESAS[[#This Row],[Plano de Contas]],BASE!$B$3:$D$119,3,FALSE)</f>
        <v>Juros Pagos - Antecipação de Crédito</v>
      </c>
      <c r="I419" s="77" t="str">
        <f>IFERROR(VLOOKUP(DESPESAS[[#This Row],[Fornecedor]],Tabela2[],2,FALSE),"")</f>
        <v/>
      </c>
      <c r="J419" s="77" t="str">
        <f>IFERROR(VLOOKUP(DESPESAS[[#This Row],[Plano de Contas]],BASE!$B$3:$F$119,4,FALSE),"")</f>
        <v>8 - DESPESAS FINANCEIRAS</v>
      </c>
      <c r="K419" s="77" t="str">
        <f>IFERROR(VLOOKUP(DESPESAS[[#This Row],[Plano de Contas]],BASE!$B$3:$H$119,5,FALSE),"")</f>
        <v>FINANCEIRO</v>
      </c>
      <c r="L419" s="77">
        <f>IFERROR(VLOOKUP(DESPESAS[[#This Row],[Plano de Contas]],BASE!$B$3:$H$119,6,FALSE),"")</f>
        <v>0</v>
      </c>
      <c r="M419" s="77" t="str">
        <f>VLOOKUP(DESPESAS[[#This Row],[Plano de Contas]],BASE!$B$3:$H$119,7,FALSE)</f>
        <v>LETÍCIA</v>
      </c>
    </row>
    <row r="420" spans="1:13" x14ac:dyDescent="0.25">
      <c r="A420" s="74">
        <v>196752</v>
      </c>
      <c r="B420" s="75" t="s">
        <v>232</v>
      </c>
      <c r="C420" s="75" t="s">
        <v>3094</v>
      </c>
      <c r="D420" s="76">
        <v>46034</v>
      </c>
      <c r="E420" s="75" t="s">
        <v>230</v>
      </c>
      <c r="F420" s="74">
        <v>50.56</v>
      </c>
      <c r="G420" s="75" t="s">
        <v>236</v>
      </c>
      <c r="H420" s="77" t="str">
        <f>VLOOKUP(DESPESAS[[#This Row],[Plano de Contas]],BASE!$B$3:$D$119,3,FALSE)</f>
        <v>Despesas de Cobranca</v>
      </c>
      <c r="I420" s="77" t="str">
        <f>IFERROR(VLOOKUP(DESPESAS[[#This Row],[Fornecedor]],Tabela2[],2,FALSE),"")</f>
        <v/>
      </c>
      <c r="J420" s="77" t="str">
        <f>IFERROR(VLOOKUP(DESPESAS[[#This Row],[Plano de Contas]],BASE!$B$3:$F$119,4,FALSE),"")</f>
        <v>8 - DESPESAS FINANCEIRAS</v>
      </c>
      <c r="K420" s="77" t="str">
        <f>IFERROR(VLOOKUP(DESPESAS[[#This Row],[Plano de Contas]],BASE!$B$3:$H$119,5,FALSE),"")</f>
        <v>FINANCEIRO</v>
      </c>
      <c r="L420" s="77">
        <f>IFERROR(VLOOKUP(DESPESAS[[#This Row],[Plano de Contas]],BASE!$B$3:$H$119,6,FALSE),"")</f>
        <v>0</v>
      </c>
      <c r="M420" s="77" t="str">
        <f>VLOOKUP(DESPESAS[[#This Row],[Plano de Contas]],BASE!$B$3:$H$119,7,FALSE)</f>
        <v>LETÍCIA</v>
      </c>
    </row>
    <row r="421" spans="1:13" x14ac:dyDescent="0.25">
      <c r="A421" s="74">
        <v>196754</v>
      </c>
      <c r="B421" s="75" t="s">
        <v>232</v>
      </c>
      <c r="C421" s="75" t="s">
        <v>3093</v>
      </c>
      <c r="D421" s="76">
        <v>46035</v>
      </c>
      <c r="E421" s="75" t="s">
        <v>230</v>
      </c>
      <c r="F421" s="74">
        <v>15.16</v>
      </c>
      <c r="G421" s="75" t="s">
        <v>229</v>
      </c>
      <c r="H421" s="77" t="str">
        <f>VLOOKUP(DESPESAS[[#This Row],[Plano de Contas]],BASE!$B$3:$D$119,3,FALSE)</f>
        <v>Despesas Bancarias</v>
      </c>
      <c r="I421" s="77" t="str">
        <f>IFERROR(VLOOKUP(DESPESAS[[#This Row],[Fornecedor]],Tabela2[],2,FALSE),"")</f>
        <v/>
      </c>
      <c r="J421" s="77" t="str">
        <f>IFERROR(VLOOKUP(DESPESAS[[#This Row],[Plano de Contas]],BASE!$B$3:$F$119,4,FALSE),"")</f>
        <v>8 - DESPESAS FINANCEIRAS</v>
      </c>
      <c r="K421" s="77" t="str">
        <f>IFERROR(VLOOKUP(DESPESAS[[#This Row],[Plano de Contas]],BASE!$B$3:$H$119,5,FALSE),"")</f>
        <v>FINANCEIRO</v>
      </c>
      <c r="L421" s="77">
        <f>IFERROR(VLOOKUP(DESPESAS[[#This Row],[Plano de Contas]],BASE!$B$3:$H$119,6,FALSE),"")</f>
        <v>0</v>
      </c>
      <c r="M421" s="77" t="str">
        <f>VLOOKUP(DESPESAS[[#This Row],[Plano de Contas]],BASE!$B$3:$H$119,7,FALSE)</f>
        <v>LETÍCIA</v>
      </c>
    </row>
    <row r="422" spans="1:13" x14ac:dyDescent="0.25">
      <c r="A422" s="74">
        <v>196756</v>
      </c>
      <c r="B422" s="75" t="s">
        <v>232</v>
      </c>
      <c r="C422" s="75" t="s">
        <v>704</v>
      </c>
      <c r="D422" s="76">
        <v>46035</v>
      </c>
      <c r="E422" s="75" t="s">
        <v>703</v>
      </c>
      <c r="F422" s="74">
        <v>66</v>
      </c>
      <c r="G422" s="75" t="s">
        <v>241</v>
      </c>
      <c r="H422" s="77" t="str">
        <f>VLOOKUP(DESPESAS[[#This Row],[Plano de Contas]],BASE!$B$3:$D$119,3,FALSE)</f>
        <v>Combustiveis Frota</v>
      </c>
      <c r="I422" s="77" t="str">
        <f>IFERROR(VLOOKUP(DESPESAS[[#This Row],[Fornecedor]],Tabela2[],2,FALSE),"")</f>
        <v/>
      </c>
      <c r="J422" s="77" t="str">
        <f>IFERROR(VLOOKUP(DESPESAS[[#This Row],[Plano de Contas]],BASE!$B$3:$F$119,4,FALSE),"")</f>
        <v>6 - DESPESA COM VENDAS</v>
      </c>
      <c r="K422" s="77" t="str">
        <f>IFERROR(VLOOKUP(DESPESAS[[#This Row],[Plano de Contas]],BASE!$B$3:$H$119,5,FALSE),"")</f>
        <v>LOGÍSTICA</v>
      </c>
      <c r="L422" s="77">
        <f>IFERROR(VLOOKUP(DESPESAS[[#This Row],[Plano de Contas]],BASE!$B$3:$H$119,6,FALSE),"")</f>
        <v>0</v>
      </c>
      <c r="M422" s="77" t="str">
        <f>VLOOKUP(DESPESAS[[#This Row],[Plano de Contas]],BASE!$B$3:$H$119,7,FALSE)</f>
        <v>MYLENA</v>
      </c>
    </row>
    <row r="423" spans="1:13" x14ac:dyDescent="0.25">
      <c r="A423" s="74">
        <v>196758</v>
      </c>
      <c r="B423" s="75" t="s">
        <v>221</v>
      </c>
      <c r="C423" s="75" t="s">
        <v>3092</v>
      </c>
      <c r="D423" s="76">
        <v>46035</v>
      </c>
      <c r="E423" s="75" t="s">
        <v>941</v>
      </c>
      <c r="F423" s="74">
        <v>500</v>
      </c>
      <c r="G423" s="75" t="s">
        <v>259</v>
      </c>
      <c r="H423" s="77" t="str">
        <f>VLOOKUP(DESPESAS[[#This Row],[Plano de Contas]],BASE!$B$3:$D$119,3,FALSE)</f>
        <v>Manutenção Predial CIF</v>
      </c>
      <c r="I423" s="77" t="str">
        <f>IFERROR(VLOOKUP(DESPESAS[[#This Row],[Fornecedor]],Tabela2[],2,FALSE),"")</f>
        <v/>
      </c>
      <c r="J423" s="77" t="str">
        <f>IFERROR(VLOOKUP(DESPESAS[[#This Row],[Plano de Contas]],BASE!$B$3:$F$119,4,FALSE),"")</f>
        <v>3 - CUSTOS INDIRETOS</v>
      </c>
      <c r="K423" s="77" t="str">
        <f>IFERROR(VLOOKUP(DESPESAS[[#This Row],[Plano de Contas]],BASE!$B$3:$H$119,5,FALSE),"")</f>
        <v>MANUTENÇÃO / TI</v>
      </c>
      <c r="L423" s="77">
        <f>IFERROR(VLOOKUP(DESPESAS[[#This Row],[Plano de Contas]],BASE!$B$3:$H$119,6,FALSE),"")</f>
        <v>0</v>
      </c>
      <c r="M423" s="77" t="str">
        <f>VLOOKUP(DESPESAS[[#This Row],[Plano de Contas]],BASE!$B$3:$H$119,7,FALSE)</f>
        <v>FÁBIO</v>
      </c>
    </row>
    <row r="424" spans="1:13" x14ac:dyDescent="0.25">
      <c r="A424" s="74">
        <v>196759</v>
      </c>
      <c r="B424" s="75" t="s">
        <v>221</v>
      </c>
      <c r="C424" s="75" t="s">
        <v>3092</v>
      </c>
      <c r="D424" s="76">
        <v>46035</v>
      </c>
      <c r="E424" s="75" t="s">
        <v>899</v>
      </c>
      <c r="F424" s="74">
        <v>500</v>
      </c>
      <c r="G424" s="75" t="s">
        <v>259</v>
      </c>
      <c r="H424" s="77" t="str">
        <f>VLOOKUP(DESPESAS[[#This Row],[Plano de Contas]],BASE!$B$3:$D$119,3,FALSE)</f>
        <v>Manutenção Predial CIF</v>
      </c>
      <c r="I424" s="77" t="str">
        <f>IFERROR(VLOOKUP(DESPESAS[[#This Row],[Fornecedor]],Tabela2[],2,FALSE),"")</f>
        <v/>
      </c>
      <c r="J424" s="77" t="str">
        <f>IFERROR(VLOOKUP(DESPESAS[[#This Row],[Plano de Contas]],BASE!$B$3:$F$119,4,FALSE),"")</f>
        <v>3 - CUSTOS INDIRETOS</v>
      </c>
      <c r="K424" s="77" t="str">
        <f>IFERROR(VLOOKUP(DESPESAS[[#This Row],[Plano de Contas]],BASE!$B$3:$H$119,5,FALSE),"")</f>
        <v>MANUTENÇÃO / TI</v>
      </c>
      <c r="L424" s="77">
        <f>IFERROR(VLOOKUP(DESPESAS[[#This Row],[Plano de Contas]],BASE!$B$3:$H$119,6,FALSE),"")</f>
        <v>0</v>
      </c>
      <c r="M424" s="77" t="str">
        <f>VLOOKUP(DESPESAS[[#This Row],[Plano de Contas]],BASE!$B$3:$H$119,7,FALSE)</f>
        <v>FÁBIO</v>
      </c>
    </row>
    <row r="425" spans="1:13" x14ac:dyDescent="0.25">
      <c r="A425" s="74">
        <v>196761</v>
      </c>
      <c r="B425" s="75" t="s">
        <v>232</v>
      </c>
      <c r="C425" s="75" t="s">
        <v>3091</v>
      </c>
      <c r="D425" s="76">
        <v>46035</v>
      </c>
      <c r="E425" s="75" t="s">
        <v>230</v>
      </c>
      <c r="F425" s="74">
        <v>229.88</v>
      </c>
      <c r="G425" s="75" t="s">
        <v>229</v>
      </c>
      <c r="H425" s="77" t="str">
        <f>VLOOKUP(DESPESAS[[#This Row],[Plano de Contas]],BASE!$B$3:$D$119,3,FALSE)</f>
        <v>Despesas Bancarias</v>
      </c>
      <c r="I425" s="77" t="str">
        <f>IFERROR(VLOOKUP(DESPESAS[[#This Row],[Fornecedor]],Tabela2[],2,FALSE),"")</f>
        <v/>
      </c>
      <c r="J425" s="77" t="str">
        <f>IFERROR(VLOOKUP(DESPESAS[[#This Row],[Plano de Contas]],BASE!$B$3:$F$119,4,FALSE),"")</f>
        <v>8 - DESPESAS FINANCEIRAS</v>
      </c>
      <c r="K425" s="77" t="str">
        <f>IFERROR(VLOOKUP(DESPESAS[[#This Row],[Plano de Contas]],BASE!$B$3:$H$119,5,FALSE),"")</f>
        <v>FINANCEIRO</v>
      </c>
      <c r="L425" s="77">
        <f>IFERROR(VLOOKUP(DESPESAS[[#This Row],[Plano de Contas]],BASE!$B$3:$H$119,6,FALSE),"")</f>
        <v>0</v>
      </c>
      <c r="M425" s="77" t="str">
        <f>VLOOKUP(DESPESAS[[#This Row],[Plano de Contas]],BASE!$B$3:$H$119,7,FALSE)</f>
        <v>LETÍCIA</v>
      </c>
    </row>
    <row r="426" spans="1:13" x14ac:dyDescent="0.25">
      <c r="A426" s="74">
        <v>196762</v>
      </c>
      <c r="B426" s="75" t="s">
        <v>232</v>
      </c>
      <c r="C426" s="75" t="s">
        <v>3090</v>
      </c>
      <c r="D426" s="76">
        <v>46035</v>
      </c>
      <c r="E426" s="75" t="s">
        <v>230</v>
      </c>
      <c r="F426" s="74">
        <v>24.31</v>
      </c>
      <c r="G426" s="75" t="s">
        <v>251</v>
      </c>
      <c r="H426" s="77" t="str">
        <f>VLOOKUP(DESPESAS[[#This Row],[Plano de Contas]],BASE!$B$3:$D$119,3,FALSE)</f>
        <v>Juros Pagos - Antecipação de Crédito</v>
      </c>
      <c r="I426" s="77" t="str">
        <f>IFERROR(VLOOKUP(DESPESAS[[#This Row],[Fornecedor]],Tabela2[],2,FALSE),"")</f>
        <v/>
      </c>
      <c r="J426" s="77" t="str">
        <f>IFERROR(VLOOKUP(DESPESAS[[#This Row],[Plano de Contas]],BASE!$B$3:$F$119,4,FALSE),"")</f>
        <v>8 - DESPESAS FINANCEIRAS</v>
      </c>
      <c r="K426" s="77" t="str">
        <f>IFERROR(VLOOKUP(DESPESAS[[#This Row],[Plano de Contas]],BASE!$B$3:$H$119,5,FALSE),"")</f>
        <v>FINANCEIRO</v>
      </c>
      <c r="L426" s="77">
        <f>IFERROR(VLOOKUP(DESPESAS[[#This Row],[Plano de Contas]],BASE!$B$3:$H$119,6,FALSE),"")</f>
        <v>0</v>
      </c>
      <c r="M426" s="77" t="str">
        <f>VLOOKUP(DESPESAS[[#This Row],[Plano de Contas]],BASE!$B$3:$H$119,7,FALSE)</f>
        <v>LETÍCIA</v>
      </c>
    </row>
    <row r="427" spans="1:13" x14ac:dyDescent="0.25">
      <c r="A427" s="74">
        <v>196763</v>
      </c>
      <c r="B427" s="75" t="s">
        <v>232</v>
      </c>
      <c r="C427" s="75" t="s">
        <v>3089</v>
      </c>
      <c r="D427" s="76">
        <v>46034</v>
      </c>
      <c r="E427" s="75" t="s">
        <v>230</v>
      </c>
      <c r="F427" s="74">
        <v>3.95</v>
      </c>
      <c r="G427" s="75" t="s">
        <v>229</v>
      </c>
      <c r="H427" s="77" t="str">
        <f>VLOOKUP(DESPESAS[[#This Row],[Plano de Contas]],BASE!$B$3:$D$119,3,FALSE)</f>
        <v>Despesas Bancarias</v>
      </c>
      <c r="I427" s="77" t="str">
        <f>IFERROR(VLOOKUP(DESPESAS[[#This Row],[Fornecedor]],Tabela2[],2,FALSE),"")</f>
        <v/>
      </c>
      <c r="J427" s="77" t="str">
        <f>IFERROR(VLOOKUP(DESPESAS[[#This Row],[Plano de Contas]],BASE!$B$3:$F$119,4,FALSE),"")</f>
        <v>8 - DESPESAS FINANCEIRAS</v>
      </c>
      <c r="K427" s="77" t="str">
        <f>IFERROR(VLOOKUP(DESPESAS[[#This Row],[Plano de Contas]],BASE!$B$3:$H$119,5,FALSE),"")</f>
        <v>FINANCEIRO</v>
      </c>
      <c r="L427" s="77">
        <f>IFERROR(VLOOKUP(DESPESAS[[#This Row],[Plano de Contas]],BASE!$B$3:$H$119,6,FALSE),"")</f>
        <v>0</v>
      </c>
      <c r="M427" s="77" t="str">
        <f>VLOOKUP(DESPESAS[[#This Row],[Plano de Contas]],BASE!$B$3:$H$119,7,FALSE)</f>
        <v>LETÍCIA</v>
      </c>
    </row>
    <row r="428" spans="1:13" x14ac:dyDescent="0.25">
      <c r="A428" s="74">
        <v>196764</v>
      </c>
      <c r="B428" s="75" t="s">
        <v>232</v>
      </c>
      <c r="C428" s="75" t="s">
        <v>3088</v>
      </c>
      <c r="D428" s="76">
        <v>46035</v>
      </c>
      <c r="E428" s="75" t="s">
        <v>230</v>
      </c>
      <c r="F428" s="74">
        <v>2.3199999999999998</v>
      </c>
      <c r="G428" s="75" t="s">
        <v>229</v>
      </c>
      <c r="H428" s="77" t="str">
        <f>VLOOKUP(DESPESAS[[#This Row],[Plano de Contas]],BASE!$B$3:$D$119,3,FALSE)</f>
        <v>Despesas Bancarias</v>
      </c>
      <c r="I428" s="77" t="str">
        <f>IFERROR(VLOOKUP(DESPESAS[[#This Row],[Fornecedor]],Tabela2[],2,FALSE),"")</f>
        <v/>
      </c>
      <c r="J428" s="77" t="str">
        <f>IFERROR(VLOOKUP(DESPESAS[[#This Row],[Plano de Contas]],BASE!$B$3:$F$119,4,FALSE),"")</f>
        <v>8 - DESPESAS FINANCEIRAS</v>
      </c>
      <c r="K428" s="77" t="str">
        <f>IFERROR(VLOOKUP(DESPESAS[[#This Row],[Plano de Contas]],BASE!$B$3:$H$119,5,FALSE),"")</f>
        <v>FINANCEIRO</v>
      </c>
      <c r="L428" s="77">
        <f>IFERROR(VLOOKUP(DESPESAS[[#This Row],[Plano de Contas]],BASE!$B$3:$H$119,6,FALSE),"")</f>
        <v>0</v>
      </c>
      <c r="M428" s="77" t="str">
        <f>VLOOKUP(DESPESAS[[#This Row],[Plano de Contas]],BASE!$B$3:$H$119,7,FALSE)</f>
        <v>LETÍCIA</v>
      </c>
    </row>
    <row r="429" spans="1:13" x14ac:dyDescent="0.25">
      <c r="A429" s="74">
        <v>196765</v>
      </c>
      <c r="B429" s="75" t="s">
        <v>281</v>
      </c>
      <c r="C429" s="75" t="s">
        <v>3087</v>
      </c>
      <c r="D429" s="76">
        <v>46034</v>
      </c>
      <c r="E429" s="75" t="s">
        <v>230</v>
      </c>
      <c r="F429" s="74">
        <v>5.53</v>
      </c>
      <c r="G429" s="75" t="s">
        <v>229</v>
      </c>
      <c r="H429" s="77" t="str">
        <f>VLOOKUP(DESPESAS[[#This Row],[Plano de Contas]],BASE!$B$3:$D$119,3,FALSE)</f>
        <v>Despesas Bancarias</v>
      </c>
      <c r="I429" s="77" t="str">
        <f>IFERROR(VLOOKUP(DESPESAS[[#This Row],[Fornecedor]],Tabela2[],2,FALSE),"")</f>
        <v/>
      </c>
      <c r="J429" s="77" t="str">
        <f>IFERROR(VLOOKUP(DESPESAS[[#This Row],[Plano de Contas]],BASE!$B$3:$F$119,4,FALSE),"")</f>
        <v>8 - DESPESAS FINANCEIRAS</v>
      </c>
      <c r="K429" s="77" t="str">
        <f>IFERROR(VLOOKUP(DESPESAS[[#This Row],[Plano de Contas]],BASE!$B$3:$H$119,5,FALSE),"")</f>
        <v>FINANCEIRO</v>
      </c>
      <c r="L429" s="77">
        <f>IFERROR(VLOOKUP(DESPESAS[[#This Row],[Plano de Contas]],BASE!$B$3:$H$119,6,FALSE),"")</f>
        <v>0</v>
      </c>
      <c r="M429" s="77" t="str">
        <f>VLOOKUP(DESPESAS[[#This Row],[Plano de Contas]],BASE!$B$3:$H$119,7,FALSE)</f>
        <v>LETÍCIA</v>
      </c>
    </row>
    <row r="430" spans="1:13" x14ac:dyDescent="0.25">
      <c r="A430" s="74">
        <v>196767</v>
      </c>
      <c r="B430" s="75" t="s">
        <v>221</v>
      </c>
      <c r="C430" s="75" t="s">
        <v>3086</v>
      </c>
      <c r="D430" s="76">
        <v>46035</v>
      </c>
      <c r="E430" s="75" t="s">
        <v>399</v>
      </c>
      <c r="F430" s="74">
        <v>15.99</v>
      </c>
      <c r="G430" s="75" t="s">
        <v>1342</v>
      </c>
      <c r="H430" s="77" t="str">
        <f>VLOOKUP(DESPESAS[[#This Row],[Plano de Contas]],BASE!$B$3:$D$119,3,FALSE)</f>
        <v>Copa</v>
      </c>
      <c r="I430" s="77" t="str">
        <f>IFERROR(VLOOKUP(DESPESAS[[#This Row],[Fornecedor]],Tabela2[],2,FALSE),"")</f>
        <v/>
      </c>
      <c r="J430" s="77" t="str">
        <f>IFERROR(VLOOKUP(DESPESAS[[#This Row],[Plano de Contas]],BASE!$B$3:$F$119,4,FALSE),"")</f>
        <v>5 - DESPESAS ADMINISTRATIVAS</v>
      </c>
      <c r="K430" s="77" t="str">
        <f>IFERROR(VLOOKUP(DESPESAS[[#This Row],[Plano de Contas]],BASE!$B$3:$H$119,5,FALSE),"")</f>
        <v>ADMINISTRATIVO</v>
      </c>
      <c r="L430" s="77">
        <f>IFERROR(VLOOKUP(DESPESAS[[#This Row],[Plano de Contas]],BASE!$B$3:$H$119,6,FALSE),"")</f>
        <v>0</v>
      </c>
      <c r="M430" s="77" t="str">
        <f>VLOOKUP(DESPESAS[[#This Row],[Plano de Contas]],BASE!$B$3:$H$119,7,FALSE)</f>
        <v>LETÍCIA</v>
      </c>
    </row>
    <row r="431" spans="1:13" x14ac:dyDescent="0.25">
      <c r="A431" s="74">
        <v>196768</v>
      </c>
      <c r="B431" s="75" t="s">
        <v>221</v>
      </c>
      <c r="C431" s="75" t="s">
        <v>3085</v>
      </c>
      <c r="D431" s="76">
        <v>46035</v>
      </c>
      <c r="E431" s="75" t="s">
        <v>399</v>
      </c>
      <c r="F431" s="74">
        <v>14.47</v>
      </c>
      <c r="G431" s="75" t="s">
        <v>1006</v>
      </c>
      <c r="H431" s="77" t="str">
        <f>VLOOKUP(DESPESAS[[#This Row],[Plano de Contas]],BASE!$B$3:$D$119,3,FALSE)</f>
        <v>Material de Limpeza (Adm)</v>
      </c>
      <c r="I431" s="77" t="str">
        <f>IFERROR(VLOOKUP(DESPESAS[[#This Row],[Fornecedor]],Tabela2[],2,FALSE),"")</f>
        <v/>
      </c>
      <c r="J431" s="77" t="str">
        <f>IFERROR(VLOOKUP(DESPESAS[[#This Row],[Plano de Contas]],BASE!$B$3:$F$119,4,FALSE),"")</f>
        <v>5 - DESPESAS ADMINISTRATIVAS</v>
      </c>
      <c r="K431" s="77" t="str">
        <f>IFERROR(VLOOKUP(DESPESAS[[#This Row],[Plano de Contas]],BASE!$B$3:$H$119,5,FALSE),"")</f>
        <v>ADMINISTRATIVO</v>
      </c>
      <c r="L431" s="77">
        <f>IFERROR(VLOOKUP(DESPESAS[[#This Row],[Plano de Contas]],BASE!$B$3:$H$119,6,FALSE),"")</f>
        <v>0</v>
      </c>
      <c r="M431" s="77" t="str">
        <f>VLOOKUP(DESPESAS[[#This Row],[Plano de Contas]],BASE!$B$3:$H$119,7,FALSE)</f>
        <v>MYLENA</v>
      </c>
    </row>
    <row r="432" spans="1:13" x14ac:dyDescent="0.25">
      <c r="A432" s="74">
        <v>196769</v>
      </c>
      <c r="B432" s="75" t="s">
        <v>232</v>
      </c>
      <c r="C432" s="75" t="s">
        <v>3082</v>
      </c>
      <c r="D432" s="76">
        <v>46063</v>
      </c>
      <c r="E432" s="75" t="s">
        <v>3081</v>
      </c>
      <c r="F432" s="74">
        <v>1586.44</v>
      </c>
      <c r="G432" s="75" t="s">
        <v>3083</v>
      </c>
      <c r="H432" s="77" t="str">
        <f>VLOOKUP(DESPESAS[[#This Row],[Plano de Contas]],BASE!$B$3:$D$119,3,FALSE)</f>
        <v>Consórcios</v>
      </c>
      <c r="I432" s="77" t="str">
        <f>IFERROR(VLOOKUP(DESPESAS[[#This Row],[Fornecedor]],Tabela2[],2,FALSE),"")</f>
        <v/>
      </c>
      <c r="J432" s="77" t="str">
        <f>IFERROR(VLOOKUP(DESPESAS[[#This Row],[Plano de Contas]],BASE!$B$3:$F$119,4,FALSE),"")</f>
        <v>9 - INVESTIMENTOS</v>
      </c>
      <c r="K432" s="77" t="str">
        <f>IFERROR(VLOOKUP(DESPESAS[[#This Row],[Plano de Contas]],BASE!$B$3:$H$119,5,FALSE),"")</f>
        <v>FINANCEIRO</v>
      </c>
      <c r="L432" s="77">
        <f>IFERROR(VLOOKUP(DESPESAS[[#This Row],[Plano de Contas]],BASE!$B$3:$H$119,6,FALSE),"")</f>
        <v>0</v>
      </c>
      <c r="M432" s="77" t="str">
        <f>VLOOKUP(DESPESAS[[#This Row],[Plano de Contas]],BASE!$B$3:$H$119,7,FALSE)</f>
        <v>FÁBIO</v>
      </c>
    </row>
    <row r="433" spans="1:13" x14ac:dyDescent="0.25">
      <c r="A433" s="74">
        <v>196770</v>
      </c>
      <c r="B433" s="75" t="s">
        <v>221</v>
      </c>
      <c r="C433" s="75" t="s">
        <v>3084</v>
      </c>
      <c r="D433" s="76">
        <v>46035</v>
      </c>
      <c r="E433" s="75" t="s">
        <v>399</v>
      </c>
      <c r="F433" s="74">
        <v>41.89</v>
      </c>
      <c r="G433" s="75" t="s">
        <v>420</v>
      </c>
      <c r="H433" s="77" t="str">
        <f>VLOOKUP(DESPESAS[[#This Row],[Plano de Contas]],BASE!$B$3:$D$119,3,FALSE)</f>
        <v>Material de Expediente (Adm)</v>
      </c>
      <c r="I433" s="77" t="str">
        <f>IFERROR(VLOOKUP(DESPESAS[[#This Row],[Fornecedor]],Tabela2[],2,FALSE),"")</f>
        <v/>
      </c>
      <c r="J433" s="77" t="str">
        <f>IFERROR(VLOOKUP(DESPESAS[[#This Row],[Plano de Contas]],BASE!$B$3:$F$119,4,FALSE),"")</f>
        <v>5 - DESPESAS ADMINISTRATIVAS</v>
      </c>
      <c r="K433" s="77" t="str">
        <f>IFERROR(VLOOKUP(DESPESAS[[#This Row],[Plano de Contas]],BASE!$B$3:$H$119,5,FALSE),"")</f>
        <v>ADMINISTRATIVO</v>
      </c>
      <c r="L433" s="77">
        <f>IFERROR(VLOOKUP(DESPESAS[[#This Row],[Plano de Contas]],BASE!$B$3:$H$119,6,FALSE),"")</f>
        <v>0</v>
      </c>
      <c r="M433" s="77" t="str">
        <f>VLOOKUP(DESPESAS[[#This Row],[Plano de Contas]],BASE!$B$3:$H$119,7,FALSE)</f>
        <v>LETÍCIA</v>
      </c>
    </row>
    <row r="434" spans="1:13" x14ac:dyDescent="0.25">
      <c r="A434" s="74">
        <v>196771</v>
      </c>
      <c r="B434" s="75" t="s">
        <v>232</v>
      </c>
      <c r="C434" s="75" t="s">
        <v>3082</v>
      </c>
      <c r="D434" s="76">
        <v>46091</v>
      </c>
      <c r="E434" s="75" t="s">
        <v>3081</v>
      </c>
      <c r="F434" s="74">
        <v>1586.44</v>
      </c>
      <c r="G434" s="75" t="s">
        <v>3083</v>
      </c>
      <c r="H434" s="77" t="str">
        <f>VLOOKUP(DESPESAS[[#This Row],[Plano de Contas]],BASE!$B$3:$D$119,3,FALSE)</f>
        <v>Consórcios</v>
      </c>
      <c r="I434" s="77" t="str">
        <f>IFERROR(VLOOKUP(DESPESAS[[#This Row],[Fornecedor]],Tabela2[],2,FALSE),"")</f>
        <v/>
      </c>
      <c r="J434" s="77" t="str">
        <f>IFERROR(VLOOKUP(DESPESAS[[#This Row],[Plano de Contas]],BASE!$B$3:$F$119,4,FALSE),"")</f>
        <v>9 - INVESTIMENTOS</v>
      </c>
      <c r="K434" s="77" t="str">
        <f>IFERROR(VLOOKUP(DESPESAS[[#This Row],[Plano de Contas]],BASE!$B$3:$H$119,5,FALSE),"")</f>
        <v>FINANCEIRO</v>
      </c>
      <c r="L434" s="77">
        <f>IFERROR(VLOOKUP(DESPESAS[[#This Row],[Plano de Contas]],BASE!$B$3:$H$119,6,FALSE),"")</f>
        <v>0</v>
      </c>
      <c r="M434" s="77" t="str">
        <f>VLOOKUP(DESPESAS[[#This Row],[Plano de Contas]],BASE!$B$3:$H$119,7,FALSE)</f>
        <v>FÁBIO</v>
      </c>
    </row>
    <row r="435" spans="1:13" x14ac:dyDescent="0.25">
      <c r="A435" s="74">
        <v>196772</v>
      </c>
      <c r="B435" s="75" t="s">
        <v>232</v>
      </c>
      <c r="C435" s="75" t="s">
        <v>3082</v>
      </c>
      <c r="D435" s="76">
        <v>46122</v>
      </c>
      <c r="E435" s="75" t="s">
        <v>3081</v>
      </c>
      <c r="F435" s="74">
        <v>1586.44</v>
      </c>
      <c r="G435" s="75" t="s">
        <v>3083</v>
      </c>
      <c r="H435" s="77" t="str">
        <f>VLOOKUP(DESPESAS[[#This Row],[Plano de Contas]],BASE!$B$3:$D$119,3,FALSE)</f>
        <v>Consórcios</v>
      </c>
      <c r="I435" s="77" t="str">
        <f>IFERROR(VLOOKUP(DESPESAS[[#This Row],[Fornecedor]],Tabela2[],2,FALSE),"")</f>
        <v/>
      </c>
      <c r="J435" s="77" t="str">
        <f>IFERROR(VLOOKUP(DESPESAS[[#This Row],[Plano de Contas]],BASE!$B$3:$F$119,4,FALSE),"")</f>
        <v>9 - INVESTIMENTOS</v>
      </c>
      <c r="K435" s="77" t="str">
        <f>IFERROR(VLOOKUP(DESPESAS[[#This Row],[Plano de Contas]],BASE!$B$3:$H$119,5,FALSE),"")</f>
        <v>FINANCEIRO</v>
      </c>
      <c r="L435" s="77">
        <f>IFERROR(VLOOKUP(DESPESAS[[#This Row],[Plano de Contas]],BASE!$B$3:$H$119,6,FALSE),"")</f>
        <v>0</v>
      </c>
      <c r="M435" s="77" t="str">
        <f>VLOOKUP(DESPESAS[[#This Row],[Plano de Contas]],BASE!$B$3:$H$119,7,FALSE)</f>
        <v>FÁBIO</v>
      </c>
    </row>
    <row r="436" spans="1:13" x14ac:dyDescent="0.25">
      <c r="A436" s="74">
        <v>196773</v>
      </c>
      <c r="B436" s="75" t="s">
        <v>232</v>
      </c>
      <c r="C436" s="75" t="s">
        <v>3082</v>
      </c>
      <c r="D436" s="76">
        <v>46152</v>
      </c>
      <c r="E436" s="75" t="s">
        <v>3081</v>
      </c>
      <c r="F436" s="74">
        <v>1586.44</v>
      </c>
      <c r="G436" s="75" t="s">
        <v>3083</v>
      </c>
      <c r="H436" s="77" t="str">
        <f>VLOOKUP(DESPESAS[[#This Row],[Plano de Contas]],BASE!$B$3:$D$119,3,FALSE)</f>
        <v>Consórcios</v>
      </c>
      <c r="I436" s="77" t="str">
        <f>IFERROR(VLOOKUP(DESPESAS[[#This Row],[Fornecedor]],Tabela2[],2,FALSE),"")</f>
        <v/>
      </c>
      <c r="J436" s="77" t="str">
        <f>IFERROR(VLOOKUP(DESPESAS[[#This Row],[Plano de Contas]],BASE!$B$3:$F$119,4,FALSE),"")</f>
        <v>9 - INVESTIMENTOS</v>
      </c>
      <c r="K436" s="77" t="str">
        <f>IFERROR(VLOOKUP(DESPESAS[[#This Row],[Plano de Contas]],BASE!$B$3:$H$119,5,FALSE),"")</f>
        <v>FINANCEIRO</v>
      </c>
      <c r="L436" s="77">
        <f>IFERROR(VLOOKUP(DESPESAS[[#This Row],[Plano de Contas]],BASE!$B$3:$H$119,6,FALSE),"")</f>
        <v>0</v>
      </c>
      <c r="M436" s="77" t="str">
        <f>VLOOKUP(DESPESAS[[#This Row],[Plano de Contas]],BASE!$B$3:$H$119,7,FALSE)</f>
        <v>FÁBIO</v>
      </c>
    </row>
    <row r="437" spans="1:13" x14ac:dyDescent="0.25">
      <c r="A437" s="74">
        <v>196783</v>
      </c>
      <c r="B437" s="75" t="s">
        <v>232</v>
      </c>
      <c r="C437" s="75" t="s">
        <v>3079</v>
      </c>
      <c r="D437" s="76">
        <v>46035</v>
      </c>
      <c r="E437" s="75" t="s">
        <v>3054</v>
      </c>
      <c r="F437" s="74">
        <v>416.11</v>
      </c>
      <c r="G437" s="75" t="s">
        <v>3059</v>
      </c>
      <c r="H437" s="77" t="str">
        <f>VLOOKUP(DESPESAS[[#This Row],[Plano de Contas]],BASE!$B$3:$D$119,3,FALSE)</f>
        <v>IPVA e Licenciamento</v>
      </c>
      <c r="I437" s="77" t="str">
        <f>IFERROR(VLOOKUP(DESPESAS[[#This Row],[Fornecedor]],Tabela2[],2,FALSE),"")</f>
        <v/>
      </c>
      <c r="J437" s="77" t="str">
        <f>IFERROR(VLOOKUP(DESPESAS[[#This Row],[Plano de Contas]],BASE!$B$3:$F$119,4,FALSE),"")</f>
        <v>6 - DESPESA COM VENDAS</v>
      </c>
      <c r="K437" s="77" t="str">
        <f>IFERROR(VLOOKUP(DESPESAS[[#This Row],[Plano de Contas]],BASE!$B$3:$H$119,5,FALSE),"")</f>
        <v>LOGÍSTICA</v>
      </c>
      <c r="L437" s="77">
        <f>IFERROR(VLOOKUP(DESPESAS[[#This Row],[Plano de Contas]],BASE!$B$3:$H$119,6,FALSE),"")</f>
        <v>0</v>
      </c>
      <c r="M437" s="77" t="str">
        <f>VLOOKUP(DESPESAS[[#This Row],[Plano de Contas]],BASE!$B$3:$H$119,7,FALSE)</f>
        <v>MYLENA</v>
      </c>
    </row>
    <row r="438" spans="1:13" x14ac:dyDescent="0.25">
      <c r="A438" s="74">
        <v>196784</v>
      </c>
      <c r="B438" s="75" t="s">
        <v>232</v>
      </c>
      <c r="C438" s="75" t="s">
        <v>3078</v>
      </c>
      <c r="D438" s="76">
        <v>46064</v>
      </c>
      <c r="E438" s="75" t="s">
        <v>3054</v>
      </c>
      <c r="F438" s="74">
        <v>416.11</v>
      </c>
      <c r="G438" s="75" t="s">
        <v>3059</v>
      </c>
      <c r="H438" s="77" t="str">
        <f>VLOOKUP(DESPESAS[[#This Row],[Plano de Contas]],BASE!$B$3:$D$119,3,FALSE)</f>
        <v>IPVA e Licenciamento</v>
      </c>
      <c r="I438" s="77" t="str">
        <f>IFERROR(VLOOKUP(DESPESAS[[#This Row],[Fornecedor]],Tabela2[],2,FALSE),"")</f>
        <v/>
      </c>
      <c r="J438" s="77" t="str">
        <f>IFERROR(VLOOKUP(DESPESAS[[#This Row],[Plano de Contas]],BASE!$B$3:$F$119,4,FALSE),"")</f>
        <v>6 - DESPESA COM VENDAS</v>
      </c>
      <c r="K438" s="77" t="str">
        <f>IFERROR(VLOOKUP(DESPESAS[[#This Row],[Plano de Contas]],BASE!$B$3:$H$119,5,FALSE),"")</f>
        <v>LOGÍSTICA</v>
      </c>
      <c r="L438" s="77">
        <f>IFERROR(VLOOKUP(DESPESAS[[#This Row],[Plano de Contas]],BASE!$B$3:$H$119,6,FALSE),"")</f>
        <v>0</v>
      </c>
      <c r="M438" s="77" t="str">
        <f>VLOOKUP(DESPESAS[[#This Row],[Plano de Contas]],BASE!$B$3:$H$119,7,FALSE)</f>
        <v>MYLENA</v>
      </c>
    </row>
    <row r="439" spans="1:13" x14ac:dyDescent="0.25">
      <c r="A439" s="74">
        <v>196785</v>
      </c>
      <c r="B439" s="75" t="s">
        <v>232</v>
      </c>
      <c r="C439" s="75" t="s">
        <v>3077</v>
      </c>
      <c r="D439" s="76">
        <v>46092</v>
      </c>
      <c r="E439" s="75" t="s">
        <v>3054</v>
      </c>
      <c r="F439" s="74">
        <v>416.11</v>
      </c>
      <c r="G439" s="75" t="s">
        <v>3059</v>
      </c>
      <c r="H439" s="77" t="str">
        <f>VLOOKUP(DESPESAS[[#This Row],[Plano de Contas]],BASE!$B$3:$D$119,3,FALSE)</f>
        <v>IPVA e Licenciamento</v>
      </c>
      <c r="I439" s="77" t="str">
        <f>IFERROR(VLOOKUP(DESPESAS[[#This Row],[Fornecedor]],Tabela2[],2,FALSE),"")</f>
        <v/>
      </c>
      <c r="J439" s="77" t="str">
        <f>IFERROR(VLOOKUP(DESPESAS[[#This Row],[Plano de Contas]],BASE!$B$3:$F$119,4,FALSE),"")</f>
        <v>6 - DESPESA COM VENDAS</v>
      </c>
      <c r="K439" s="77" t="str">
        <f>IFERROR(VLOOKUP(DESPESAS[[#This Row],[Plano de Contas]],BASE!$B$3:$H$119,5,FALSE),"")</f>
        <v>LOGÍSTICA</v>
      </c>
      <c r="L439" s="77">
        <f>IFERROR(VLOOKUP(DESPESAS[[#This Row],[Plano de Contas]],BASE!$B$3:$H$119,6,FALSE),"")</f>
        <v>0</v>
      </c>
      <c r="M439" s="77" t="str">
        <f>VLOOKUP(DESPESAS[[#This Row],[Plano de Contas]],BASE!$B$3:$H$119,7,FALSE)</f>
        <v>MYLENA</v>
      </c>
    </row>
    <row r="440" spans="1:13" x14ac:dyDescent="0.25">
      <c r="A440" s="74">
        <v>196786</v>
      </c>
      <c r="B440" s="75" t="s">
        <v>232</v>
      </c>
      <c r="C440" s="75" t="s">
        <v>3076</v>
      </c>
      <c r="D440" s="76">
        <v>46125</v>
      </c>
      <c r="E440" s="75" t="s">
        <v>3054</v>
      </c>
      <c r="F440" s="74">
        <v>416.11</v>
      </c>
      <c r="G440" s="75" t="s">
        <v>3059</v>
      </c>
      <c r="H440" s="77" t="str">
        <f>VLOOKUP(DESPESAS[[#This Row],[Plano de Contas]],BASE!$B$3:$D$119,3,FALSE)</f>
        <v>IPVA e Licenciamento</v>
      </c>
      <c r="I440" s="77" t="str">
        <f>IFERROR(VLOOKUP(DESPESAS[[#This Row],[Fornecedor]],Tabela2[],2,FALSE),"")</f>
        <v/>
      </c>
      <c r="J440" s="77" t="str">
        <f>IFERROR(VLOOKUP(DESPESAS[[#This Row],[Plano de Contas]],BASE!$B$3:$F$119,4,FALSE),"")</f>
        <v>6 - DESPESA COM VENDAS</v>
      </c>
      <c r="K440" s="77" t="str">
        <f>IFERROR(VLOOKUP(DESPESAS[[#This Row],[Plano de Contas]],BASE!$B$3:$H$119,5,FALSE),"")</f>
        <v>LOGÍSTICA</v>
      </c>
      <c r="L440" s="77">
        <f>IFERROR(VLOOKUP(DESPESAS[[#This Row],[Plano de Contas]],BASE!$B$3:$H$119,6,FALSE),"")</f>
        <v>0</v>
      </c>
      <c r="M440" s="77" t="str">
        <f>VLOOKUP(DESPESAS[[#This Row],[Plano de Contas]],BASE!$B$3:$H$119,7,FALSE)</f>
        <v>MYLENA</v>
      </c>
    </row>
    <row r="441" spans="1:13" x14ac:dyDescent="0.25">
      <c r="A441" s="74">
        <v>196789</v>
      </c>
      <c r="B441" s="75" t="s">
        <v>232</v>
      </c>
      <c r="C441" s="75" t="s">
        <v>3075</v>
      </c>
      <c r="D441" s="76">
        <v>46037</v>
      </c>
      <c r="E441" s="75" t="s">
        <v>3054</v>
      </c>
      <c r="F441" s="74">
        <v>537.96</v>
      </c>
      <c r="G441" s="75" t="s">
        <v>3059</v>
      </c>
      <c r="H441" s="77" t="str">
        <f>VLOOKUP(DESPESAS[[#This Row],[Plano de Contas]],BASE!$B$3:$D$119,3,FALSE)</f>
        <v>IPVA e Licenciamento</v>
      </c>
      <c r="I441" s="77" t="str">
        <f>IFERROR(VLOOKUP(DESPESAS[[#This Row],[Fornecedor]],Tabela2[],2,FALSE),"")</f>
        <v/>
      </c>
      <c r="J441" s="77" t="str">
        <f>IFERROR(VLOOKUP(DESPESAS[[#This Row],[Plano de Contas]],BASE!$B$3:$F$119,4,FALSE),"")</f>
        <v>6 - DESPESA COM VENDAS</v>
      </c>
      <c r="K441" s="77" t="str">
        <f>IFERROR(VLOOKUP(DESPESAS[[#This Row],[Plano de Contas]],BASE!$B$3:$H$119,5,FALSE),"")</f>
        <v>LOGÍSTICA</v>
      </c>
      <c r="L441" s="77">
        <f>IFERROR(VLOOKUP(DESPESAS[[#This Row],[Plano de Contas]],BASE!$B$3:$H$119,6,FALSE),"")</f>
        <v>0</v>
      </c>
      <c r="M441" s="77" t="str">
        <f>VLOOKUP(DESPESAS[[#This Row],[Plano de Contas]],BASE!$B$3:$H$119,7,FALSE)</f>
        <v>MYLENA</v>
      </c>
    </row>
    <row r="442" spans="1:13" x14ac:dyDescent="0.25">
      <c r="A442" s="74">
        <v>196790</v>
      </c>
      <c r="B442" s="75" t="s">
        <v>232</v>
      </c>
      <c r="C442" s="75" t="s">
        <v>3074</v>
      </c>
      <c r="D442" s="76">
        <v>46066</v>
      </c>
      <c r="E442" s="75" t="s">
        <v>3054</v>
      </c>
      <c r="F442" s="74">
        <v>537.96</v>
      </c>
      <c r="G442" s="75" t="s">
        <v>3059</v>
      </c>
      <c r="H442" s="77" t="str">
        <f>VLOOKUP(DESPESAS[[#This Row],[Plano de Contas]],BASE!$B$3:$D$119,3,FALSE)</f>
        <v>IPVA e Licenciamento</v>
      </c>
      <c r="I442" s="77" t="str">
        <f>IFERROR(VLOOKUP(DESPESAS[[#This Row],[Fornecedor]],Tabela2[],2,FALSE),"")</f>
        <v/>
      </c>
      <c r="J442" s="77" t="str">
        <f>IFERROR(VLOOKUP(DESPESAS[[#This Row],[Plano de Contas]],BASE!$B$3:$F$119,4,FALSE),"")</f>
        <v>6 - DESPESA COM VENDAS</v>
      </c>
      <c r="K442" s="77" t="str">
        <f>IFERROR(VLOOKUP(DESPESAS[[#This Row],[Plano de Contas]],BASE!$B$3:$H$119,5,FALSE),"")</f>
        <v>LOGÍSTICA</v>
      </c>
      <c r="L442" s="77">
        <f>IFERROR(VLOOKUP(DESPESAS[[#This Row],[Plano de Contas]],BASE!$B$3:$H$119,6,FALSE),"")</f>
        <v>0</v>
      </c>
      <c r="M442" s="77" t="str">
        <f>VLOOKUP(DESPESAS[[#This Row],[Plano de Contas]],BASE!$B$3:$H$119,7,FALSE)</f>
        <v>MYLENA</v>
      </c>
    </row>
    <row r="443" spans="1:13" x14ac:dyDescent="0.25">
      <c r="A443" s="74">
        <v>196791</v>
      </c>
      <c r="B443" s="75" t="s">
        <v>232</v>
      </c>
      <c r="C443" s="75" t="s">
        <v>3073</v>
      </c>
      <c r="D443" s="76">
        <v>46094</v>
      </c>
      <c r="E443" s="75" t="s">
        <v>3054</v>
      </c>
      <c r="F443" s="74">
        <v>537.96</v>
      </c>
      <c r="G443" s="75" t="s">
        <v>3059</v>
      </c>
      <c r="H443" s="77" t="str">
        <f>VLOOKUP(DESPESAS[[#This Row],[Plano de Contas]],BASE!$B$3:$D$119,3,FALSE)</f>
        <v>IPVA e Licenciamento</v>
      </c>
      <c r="I443" s="77" t="str">
        <f>IFERROR(VLOOKUP(DESPESAS[[#This Row],[Fornecedor]],Tabela2[],2,FALSE),"")</f>
        <v/>
      </c>
      <c r="J443" s="77" t="str">
        <f>IFERROR(VLOOKUP(DESPESAS[[#This Row],[Plano de Contas]],BASE!$B$3:$F$119,4,FALSE),"")</f>
        <v>6 - DESPESA COM VENDAS</v>
      </c>
      <c r="K443" s="77" t="str">
        <f>IFERROR(VLOOKUP(DESPESAS[[#This Row],[Plano de Contas]],BASE!$B$3:$H$119,5,FALSE),"")</f>
        <v>LOGÍSTICA</v>
      </c>
      <c r="L443" s="77">
        <f>IFERROR(VLOOKUP(DESPESAS[[#This Row],[Plano de Contas]],BASE!$B$3:$H$119,6,FALSE),"")</f>
        <v>0</v>
      </c>
      <c r="M443" s="77" t="str">
        <f>VLOOKUP(DESPESAS[[#This Row],[Plano de Contas]],BASE!$B$3:$H$119,7,FALSE)</f>
        <v>MYLENA</v>
      </c>
    </row>
    <row r="444" spans="1:13" x14ac:dyDescent="0.25">
      <c r="A444" s="74">
        <v>196792</v>
      </c>
      <c r="B444" s="75" t="s">
        <v>232</v>
      </c>
      <c r="C444" s="75" t="s">
        <v>3072</v>
      </c>
      <c r="D444" s="76">
        <v>46127</v>
      </c>
      <c r="E444" s="75" t="s">
        <v>3054</v>
      </c>
      <c r="F444" s="74">
        <v>537.96</v>
      </c>
      <c r="G444" s="75" t="s">
        <v>3059</v>
      </c>
      <c r="H444" s="77" t="str">
        <f>VLOOKUP(DESPESAS[[#This Row],[Plano de Contas]],BASE!$B$3:$D$119,3,FALSE)</f>
        <v>IPVA e Licenciamento</v>
      </c>
      <c r="I444" s="77" t="str">
        <f>IFERROR(VLOOKUP(DESPESAS[[#This Row],[Fornecedor]],Tabela2[],2,FALSE),"")</f>
        <v/>
      </c>
      <c r="J444" s="77" t="str">
        <f>IFERROR(VLOOKUP(DESPESAS[[#This Row],[Plano de Contas]],BASE!$B$3:$F$119,4,FALSE),"")</f>
        <v>6 - DESPESA COM VENDAS</v>
      </c>
      <c r="K444" s="77" t="str">
        <f>IFERROR(VLOOKUP(DESPESAS[[#This Row],[Plano de Contas]],BASE!$B$3:$H$119,5,FALSE),"")</f>
        <v>LOGÍSTICA</v>
      </c>
      <c r="L444" s="77">
        <f>IFERROR(VLOOKUP(DESPESAS[[#This Row],[Plano de Contas]],BASE!$B$3:$H$119,6,FALSE),"")</f>
        <v>0</v>
      </c>
      <c r="M444" s="77" t="str">
        <f>VLOOKUP(DESPESAS[[#This Row],[Plano de Contas]],BASE!$B$3:$H$119,7,FALSE)</f>
        <v>MYLENA</v>
      </c>
    </row>
    <row r="445" spans="1:13" x14ac:dyDescent="0.25">
      <c r="A445" s="74">
        <v>196794</v>
      </c>
      <c r="B445" s="75" t="s">
        <v>232</v>
      </c>
      <c r="C445" s="75" t="s">
        <v>3071</v>
      </c>
      <c r="D445" s="76">
        <v>46037</v>
      </c>
      <c r="E445" s="75" t="s">
        <v>3054</v>
      </c>
      <c r="F445" s="74">
        <v>703.66</v>
      </c>
      <c r="G445" s="75" t="s">
        <v>3059</v>
      </c>
      <c r="H445" s="77" t="str">
        <f>VLOOKUP(DESPESAS[[#This Row],[Plano de Contas]],BASE!$B$3:$D$119,3,FALSE)</f>
        <v>IPVA e Licenciamento</v>
      </c>
      <c r="I445" s="77" t="str">
        <f>IFERROR(VLOOKUP(DESPESAS[[#This Row],[Fornecedor]],Tabela2[],2,FALSE),"")</f>
        <v/>
      </c>
      <c r="J445" s="77" t="str">
        <f>IFERROR(VLOOKUP(DESPESAS[[#This Row],[Plano de Contas]],BASE!$B$3:$F$119,4,FALSE),"")</f>
        <v>6 - DESPESA COM VENDAS</v>
      </c>
      <c r="K445" s="77" t="str">
        <f>IFERROR(VLOOKUP(DESPESAS[[#This Row],[Plano de Contas]],BASE!$B$3:$H$119,5,FALSE),"")</f>
        <v>LOGÍSTICA</v>
      </c>
      <c r="L445" s="77">
        <f>IFERROR(VLOOKUP(DESPESAS[[#This Row],[Plano de Contas]],BASE!$B$3:$H$119,6,FALSE),"")</f>
        <v>0</v>
      </c>
      <c r="M445" s="77" t="str">
        <f>VLOOKUP(DESPESAS[[#This Row],[Plano de Contas]],BASE!$B$3:$H$119,7,FALSE)</f>
        <v>MYLENA</v>
      </c>
    </row>
    <row r="446" spans="1:13" x14ac:dyDescent="0.25">
      <c r="A446" s="74">
        <v>196795</v>
      </c>
      <c r="B446" s="75" t="s">
        <v>232</v>
      </c>
      <c r="C446" s="75" t="s">
        <v>3070</v>
      </c>
      <c r="D446" s="76">
        <v>46066</v>
      </c>
      <c r="E446" s="75" t="s">
        <v>3054</v>
      </c>
      <c r="F446" s="74">
        <v>703.66</v>
      </c>
      <c r="G446" s="75" t="s">
        <v>3059</v>
      </c>
      <c r="H446" s="77" t="str">
        <f>VLOOKUP(DESPESAS[[#This Row],[Plano de Contas]],BASE!$B$3:$D$119,3,FALSE)</f>
        <v>IPVA e Licenciamento</v>
      </c>
      <c r="I446" s="77" t="str">
        <f>IFERROR(VLOOKUP(DESPESAS[[#This Row],[Fornecedor]],Tabela2[],2,FALSE),"")</f>
        <v/>
      </c>
      <c r="J446" s="77" t="str">
        <f>IFERROR(VLOOKUP(DESPESAS[[#This Row],[Plano de Contas]],BASE!$B$3:$F$119,4,FALSE),"")</f>
        <v>6 - DESPESA COM VENDAS</v>
      </c>
      <c r="K446" s="77" t="str">
        <f>IFERROR(VLOOKUP(DESPESAS[[#This Row],[Plano de Contas]],BASE!$B$3:$H$119,5,FALSE),"")</f>
        <v>LOGÍSTICA</v>
      </c>
      <c r="L446" s="77">
        <f>IFERROR(VLOOKUP(DESPESAS[[#This Row],[Plano de Contas]],BASE!$B$3:$H$119,6,FALSE),"")</f>
        <v>0</v>
      </c>
      <c r="M446" s="77" t="str">
        <f>VLOOKUP(DESPESAS[[#This Row],[Plano de Contas]],BASE!$B$3:$H$119,7,FALSE)</f>
        <v>MYLENA</v>
      </c>
    </row>
    <row r="447" spans="1:13" x14ac:dyDescent="0.25">
      <c r="A447" s="74">
        <v>196796</v>
      </c>
      <c r="B447" s="75" t="s">
        <v>232</v>
      </c>
      <c r="C447" s="75" t="s">
        <v>3069</v>
      </c>
      <c r="D447" s="76">
        <v>46094</v>
      </c>
      <c r="E447" s="75" t="s">
        <v>3054</v>
      </c>
      <c r="F447" s="74">
        <v>703.66</v>
      </c>
      <c r="G447" s="75" t="s">
        <v>3059</v>
      </c>
      <c r="H447" s="77" t="str">
        <f>VLOOKUP(DESPESAS[[#This Row],[Plano de Contas]],BASE!$B$3:$D$119,3,FALSE)</f>
        <v>IPVA e Licenciamento</v>
      </c>
      <c r="I447" s="77" t="str">
        <f>IFERROR(VLOOKUP(DESPESAS[[#This Row],[Fornecedor]],Tabela2[],2,FALSE),"")</f>
        <v/>
      </c>
      <c r="J447" s="77" t="str">
        <f>IFERROR(VLOOKUP(DESPESAS[[#This Row],[Plano de Contas]],BASE!$B$3:$F$119,4,FALSE),"")</f>
        <v>6 - DESPESA COM VENDAS</v>
      </c>
      <c r="K447" s="77" t="str">
        <f>IFERROR(VLOOKUP(DESPESAS[[#This Row],[Plano de Contas]],BASE!$B$3:$H$119,5,FALSE),"")</f>
        <v>LOGÍSTICA</v>
      </c>
      <c r="L447" s="77">
        <f>IFERROR(VLOOKUP(DESPESAS[[#This Row],[Plano de Contas]],BASE!$B$3:$H$119,6,FALSE),"")</f>
        <v>0</v>
      </c>
      <c r="M447" s="77" t="str">
        <f>VLOOKUP(DESPESAS[[#This Row],[Plano de Contas]],BASE!$B$3:$H$119,7,FALSE)</f>
        <v>MYLENA</v>
      </c>
    </row>
    <row r="448" spans="1:13" x14ac:dyDescent="0.25">
      <c r="A448" s="74">
        <v>196797</v>
      </c>
      <c r="B448" s="75" t="s">
        <v>232</v>
      </c>
      <c r="C448" s="75" t="s">
        <v>3068</v>
      </c>
      <c r="D448" s="76">
        <v>46127</v>
      </c>
      <c r="E448" s="75" t="s">
        <v>3054</v>
      </c>
      <c r="F448" s="74">
        <v>703.66</v>
      </c>
      <c r="G448" s="75" t="s">
        <v>3059</v>
      </c>
      <c r="H448" s="77" t="str">
        <f>VLOOKUP(DESPESAS[[#This Row],[Plano de Contas]],BASE!$B$3:$D$119,3,FALSE)</f>
        <v>IPVA e Licenciamento</v>
      </c>
      <c r="I448" s="77" t="str">
        <f>IFERROR(VLOOKUP(DESPESAS[[#This Row],[Fornecedor]],Tabela2[],2,FALSE),"")</f>
        <v/>
      </c>
      <c r="J448" s="77" t="str">
        <f>IFERROR(VLOOKUP(DESPESAS[[#This Row],[Plano de Contas]],BASE!$B$3:$F$119,4,FALSE),"")</f>
        <v>6 - DESPESA COM VENDAS</v>
      </c>
      <c r="K448" s="77" t="str">
        <f>IFERROR(VLOOKUP(DESPESAS[[#This Row],[Plano de Contas]],BASE!$B$3:$H$119,5,FALSE),"")</f>
        <v>LOGÍSTICA</v>
      </c>
      <c r="L448" s="77">
        <f>IFERROR(VLOOKUP(DESPESAS[[#This Row],[Plano de Contas]],BASE!$B$3:$H$119,6,FALSE),"")</f>
        <v>0</v>
      </c>
      <c r="M448" s="77" t="str">
        <f>VLOOKUP(DESPESAS[[#This Row],[Plano de Contas]],BASE!$B$3:$H$119,7,FALSE)</f>
        <v>MYLENA</v>
      </c>
    </row>
    <row r="449" spans="1:13" x14ac:dyDescent="0.25">
      <c r="A449" s="74">
        <v>196799</v>
      </c>
      <c r="B449" s="75" t="s">
        <v>232</v>
      </c>
      <c r="C449" s="75" t="s">
        <v>3067</v>
      </c>
      <c r="D449" s="76">
        <v>46037</v>
      </c>
      <c r="E449" s="75" t="s">
        <v>3054</v>
      </c>
      <c r="F449" s="74">
        <v>784.92</v>
      </c>
      <c r="G449" s="75" t="s">
        <v>3059</v>
      </c>
      <c r="H449" s="77" t="str">
        <f>VLOOKUP(DESPESAS[[#This Row],[Plano de Contas]],BASE!$B$3:$D$119,3,FALSE)</f>
        <v>IPVA e Licenciamento</v>
      </c>
      <c r="I449" s="77" t="str">
        <f>IFERROR(VLOOKUP(DESPESAS[[#This Row],[Fornecedor]],Tabela2[],2,FALSE),"")</f>
        <v/>
      </c>
      <c r="J449" s="77" t="str">
        <f>IFERROR(VLOOKUP(DESPESAS[[#This Row],[Plano de Contas]],BASE!$B$3:$F$119,4,FALSE),"")</f>
        <v>6 - DESPESA COM VENDAS</v>
      </c>
      <c r="K449" s="77" t="str">
        <f>IFERROR(VLOOKUP(DESPESAS[[#This Row],[Plano de Contas]],BASE!$B$3:$H$119,5,FALSE),"")</f>
        <v>LOGÍSTICA</v>
      </c>
      <c r="L449" s="77">
        <f>IFERROR(VLOOKUP(DESPESAS[[#This Row],[Plano de Contas]],BASE!$B$3:$H$119,6,FALSE),"")</f>
        <v>0</v>
      </c>
      <c r="M449" s="77" t="str">
        <f>VLOOKUP(DESPESAS[[#This Row],[Plano de Contas]],BASE!$B$3:$H$119,7,FALSE)</f>
        <v>MYLENA</v>
      </c>
    </row>
    <row r="450" spans="1:13" x14ac:dyDescent="0.25">
      <c r="A450" s="74">
        <v>196800</v>
      </c>
      <c r="B450" s="75" t="s">
        <v>232</v>
      </c>
      <c r="C450" s="75" t="s">
        <v>3066</v>
      </c>
      <c r="D450" s="76">
        <v>46066</v>
      </c>
      <c r="E450" s="75" t="s">
        <v>3054</v>
      </c>
      <c r="F450" s="74">
        <v>784.92</v>
      </c>
      <c r="G450" s="75" t="s">
        <v>3059</v>
      </c>
      <c r="H450" s="77" t="str">
        <f>VLOOKUP(DESPESAS[[#This Row],[Plano de Contas]],BASE!$B$3:$D$119,3,FALSE)</f>
        <v>IPVA e Licenciamento</v>
      </c>
      <c r="I450" s="77" t="str">
        <f>IFERROR(VLOOKUP(DESPESAS[[#This Row],[Fornecedor]],Tabela2[],2,FALSE),"")</f>
        <v/>
      </c>
      <c r="J450" s="77" t="str">
        <f>IFERROR(VLOOKUP(DESPESAS[[#This Row],[Plano de Contas]],BASE!$B$3:$F$119,4,FALSE),"")</f>
        <v>6 - DESPESA COM VENDAS</v>
      </c>
      <c r="K450" s="77" t="str">
        <f>IFERROR(VLOOKUP(DESPESAS[[#This Row],[Plano de Contas]],BASE!$B$3:$H$119,5,FALSE),"")</f>
        <v>LOGÍSTICA</v>
      </c>
      <c r="L450" s="77">
        <f>IFERROR(VLOOKUP(DESPESAS[[#This Row],[Plano de Contas]],BASE!$B$3:$H$119,6,FALSE),"")</f>
        <v>0</v>
      </c>
      <c r="M450" s="77" t="str">
        <f>VLOOKUP(DESPESAS[[#This Row],[Plano de Contas]],BASE!$B$3:$H$119,7,FALSE)</f>
        <v>MYLENA</v>
      </c>
    </row>
    <row r="451" spans="1:13" x14ac:dyDescent="0.25">
      <c r="A451" s="74">
        <v>196801</v>
      </c>
      <c r="B451" s="75" t="s">
        <v>232</v>
      </c>
      <c r="C451" s="75" t="s">
        <v>3065</v>
      </c>
      <c r="D451" s="76">
        <v>46094</v>
      </c>
      <c r="E451" s="75" t="s">
        <v>3054</v>
      </c>
      <c r="F451" s="74">
        <v>784.92</v>
      </c>
      <c r="G451" s="75" t="s">
        <v>3059</v>
      </c>
      <c r="H451" s="77" t="str">
        <f>VLOOKUP(DESPESAS[[#This Row],[Plano de Contas]],BASE!$B$3:$D$119,3,FALSE)</f>
        <v>IPVA e Licenciamento</v>
      </c>
      <c r="I451" s="77" t="str">
        <f>IFERROR(VLOOKUP(DESPESAS[[#This Row],[Fornecedor]],Tabela2[],2,FALSE),"")</f>
        <v/>
      </c>
      <c r="J451" s="77" t="str">
        <f>IFERROR(VLOOKUP(DESPESAS[[#This Row],[Plano de Contas]],BASE!$B$3:$F$119,4,FALSE),"")</f>
        <v>6 - DESPESA COM VENDAS</v>
      </c>
      <c r="K451" s="77" t="str">
        <f>IFERROR(VLOOKUP(DESPESAS[[#This Row],[Plano de Contas]],BASE!$B$3:$H$119,5,FALSE),"")</f>
        <v>LOGÍSTICA</v>
      </c>
      <c r="L451" s="77">
        <f>IFERROR(VLOOKUP(DESPESAS[[#This Row],[Plano de Contas]],BASE!$B$3:$H$119,6,FALSE),"")</f>
        <v>0</v>
      </c>
      <c r="M451" s="77" t="str">
        <f>VLOOKUP(DESPESAS[[#This Row],[Plano de Contas]],BASE!$B$3:$H$119,7,FALSE)</f>
        <v>MYLENA</v>
      </c>
    </row>
    <row r="452" spans="1:13" x14ac:dyDescent="0.25">
      <c r="A452" s="74">
        <v>196802</v>
      </c>
      <c r="B452" s="75" t="s">
        <v>232</v>
      </c>
      <c r="C452" s="75" t="s">
        <v>3064</v>
      </c>
      <c r="D452" s="76">
        <v>46127</v>
      </c>
      <c r="E452" s="75" t="s">
        <v>3054</v>
      </c>
      <c r="F452" s="74">
        <v>784.92</v>
      </c>
      <c r="G452" s="75" t="s">
        <v>3059</v>
      </c>
      <c r="H452" s="77" t="str">
        <f>VLOOKUP(DESPESAS[[#This Row],[Plano de Contas]],BASE!$B$3:$D$119,3,FALSE)</f>
        <v>IPVA e Licenciamento</v>
      </c>
      <c r="I452" s="77" t="str">
        <f>IFERROR(VLOOKUP(DESPESAS[[#This Row],[Fornecedor]],Tabela2[],2,FALSE),"")</f>
        <v/>
      </c>
      <c r="J452" s="77" t="str">
        <f>IFERROR(VLOOKUP(DESPESAS[[#This Row],[Plano de Contas]],BASE!$B$3:$F$119,4,FALSE),"")</f>
        <v>6 - DESPESA COM VENDAS</v>
      </c>
      <c r="K452" s="77" t="str">
        <f>IFERROR(VLOOKUP(DESPESAS[[#This Row],[Plano de Contas]],BASE!$B$3:$H$119,5,FALSE),"")</f>
        <v>LOGÍSTICA</v>
      </c>
      <c r="L452" s="77">
        <f>IFERROR(VLOOKUP(DESPESAS[[#This Row],[Plano de Contas]],BASE!$B$3:$H$119,6,FALSE),"")</f>
        <v>0</v>
      </c>
      <c r="M452" s="77" t="str">
        <f>VLOOKUP(DESPESAS[[#This Row],[Plano de Contas]],BASE!$B$3:$H$119,7,FALSE)</f>
        <v>MYLENA</v>
      </c>
    </row>
    <row r="453" spans="1:13" x14ac:dyDescent="0.25">
      <c r="A453" s="74">
        <v>196804</v>
      </c>
      <c r="B453" s="75" t="s">
        <v>232</v>
      </c>
      <c r="C453" s="75" t="s">
        <v>3063</v>
      </c>
      <c r="D453" s="76">
        <v>46037</v>
      </c>
      <c r="E453" s="75" t="s">
        <v>3054</v>
      </c>
      <c r="F453" s="74">
        <v>277.68</v>
      </c>
      <c r="G453" s="75" t="s">
        <v>3059</v>
      </c>
      <c r="H453" s="77" t="str">
        <f>VLOOKUP(DESPESAS[[#This Row],[Plano de Contas]],BASE!$B$3:$D$119,3,FALSE)</f>
        <v>IPVA e Licenciamento</v>
      </c>
      <c r="I453" s="77" t="str">
        <f>IFERROR(VLOOKUP(DESPESAS[[#This Row],[Fornecedor]],Tabela2[],2,FALSE),"")</f>
        <v/>
      </c>
      <c r="J453" s="77" t="str">
        <f>IFERROR(VLOOKUP(DESPESAS[[#This Row],[Plano de Contas]],BASE!$B$3:$F$119,4,FALSE),"")</f>
        <v>6 - DESPESA COM VENDAS</v>
      </c>
      <c r="K453" s="77" t="str">
        <f>IFERROR(VLOOKUP(DESPESAS[[#This Row],[Plano de Contas]],BASE!$B$3:$H$119,5,FALSE),"")</f>
        <v>LOGÍSTICA</v>
      </c>
      <c r="L453" s="77">
        <f>IFERROR(VLOOKUP(DESPESAS[[#This Row],[Plano de Contas]],BASE!$B$3:$H$119,6,FALSE),"")</f>
        <v>0</v>
      </c>
      <c r="M453" s="77" t="str">
        <f>VLOOKUP(DESPESAS[[#This Row],[Plano de Contas]],BASE!$B$3:$H$119,7,FALSE)</f>
        <v>MYLENA</v>
      </c>
    </row>
    <row r="454" spans="1:13" x14ac:dyDescent="0.25">
      <c r="A454" s="74">
        <v>196805</v>
      </c>
      <c r="B454" s="75" t="s">
        <v>232</v>
      </c>
      <c r="C454" s="75" t="s">
        <v>3062</v>
      </c>
      <c r="D454" s="76">
        <v>46066</v>
      </c>
      <c r="E454" s="75" t="s">
        <v>3054</v>
      </c>
      <c r="F454" s="74">
        <v>277.68</v>
      </c>
      <c r="G454" s="75" t="s">
        <v>3059</v>
      </c>
      <c r="H454" s="77" t="str">
        <f>VLOOKUP(DESPESAS[[#This Row],[Plano de Contas]],BASE!$B$3:$D$119,3,FALSE)</f>
        <v>IPVA e Licenciamento</v>
      </c>
      <c r="I454" s="77" t="str">
        <f>IFERROR(VLOOKUP(DESPESAS[[#This Row],[Fornecedor]],Tabela2[],2,FALSE),"")</f>
        <v/>
      </c>
      <c r="J454" s="77" t="str">
        <f>IFERROR(VLOOKUP(DESPESAS[[#This Row],[Plano de Contas]],BASE!$B$3:$F$119,4,FALSE),"")</f>
        <v>6 - DESPESA COM VENDAS</v>
      </c>
      <c r="K454" s="77" t="str">
        <f>IFERROR(VLOOKUP(DESPESAS[[#This Row],[Plano de Contas]],BASE!$B$3:$H$119,5,FALSE),"")</f>
        <v>LOGÍSTICA</v>
      </c>
      <c r="L454" s="77">
        <f>IFERROR(VLOOKUP(DESPESAS[[#This Row],[Plano de Contas]],BASE!$B$3:$H$119,6,FALSE),"")</f>
        <v>0</v>
      </c>
      <c r="M454" s="77" t="str">
        <f>VLOOKUP(DESPESAS[[#This Row],[Plano de Contas]],BASE!$B$3:$H$119,7,FALSE)</f>
        <v>MYLENA</v>
      </c>
    </row>
    <row r="455" spans="1:13" x14ac:dyDescent="0.25">
      <c r="A455" s="74">
        <v>196806</v>
      </c>
      <c r="B455" s="75" t="s">
        <v>232</v>
      </c>
      <c r="C455" s="75" t="s">
        <v>3061</v>
      </c>
      <c r="D455" s="76">
        <v>46094</v>
      </c>
      <c r="E455" s="75" t="s">
        <v>3054</v>
      </c>
      <c r="F455" s="74">
        <v>277.68</v>
      </c>
      <c r="G455" s="75" t="s">
        <v>3059</v>
      </c>
      <c r="H455" s="77" t="str">
        <f>VLOOKUP(DESPESAS[[#This Row],[Plano de Contas]],BASE!$B$3:$D$119,3,FALSE)</f>
        <v>IPVA e Licenciamento</v>
      </c>
      <c r="I455" s="77" t="str">
        <f>IFERROR(VLOOKUP(DESPESAS[[#This Row],[Fornecedor]],Tabela2[],2,FALSE),"")</f>
        <v/>
      </c>
      <c r="J455" s="77" t="str">
        <f>IFERROR(VLOOKUP(DESPESAS[[#This Row],[Plano de Contas]],BASE!$B$3:$F$119,4,FALSE),"")</f>
        <v>6 - DESPESA COM VENDAS</v>
      </c>
      <c r="K455" s="77" t="str">
        <f>IFERROR(VLOOKUP(DESPESAS[[#This Row],[Plano de Contas]],BASE!$B$3:$H$119,5,FALSE),"")</f>
        <v>LOGÍSTICA</v>
      </c>
      <c r="L455" s="77">
        <f>IFERROR(VLOOKUP(DESPESAS[[#This Row],[Plano de Contas]],BASE!$B$3:$H$119,6,FALSE),"")</f>
        <v>0</v>
      </c>
      <c r="M455" s="77" t="str">
        <f>VLOOKUP(DESPESAS[[#This Row],[Plano de Contas]],BASE!$B$3:$H$119,7,FALSE)</f>
        <v>MYLENA</v>
      </c>
    </row>
    <row r="456" spans="1:13" x14ac:dyDescent="0.25">
      <c r="A456" s="74">
        <v>196807</v>
      </c>
      <c r="B456" s="75" t="s">
        <v>232</v>
      </c>
      <c r="C456" s="75" t="s">
        <v>3060</v>
      </c>
      <c r="D456" s="76">
        <v>46127</v>
      </c>
      <c r="E456" s="75" t="s">
        <v>3054</v>
      </c>
      <c r="F456" s="74">
        <v>277.68</v>
      </c>
      <c r="G456" s="75" t="s">
        <v>3059</v>
      </c>
      <c r="H456" s="77" t="str">
        <f>VLOOKUP(DESPESAS[[#This Row],[Plano de Contas]],BASE!$B$3:$D$119,3,FALSE)</f>
        <v>IPVA e Licenciamento</v>
      </c>
      <c r="I456" s="77" t="str">
        <f>IFERROR(VLOOKUP(DESPESAS[[#This Row],[Fornecedor]],Tabela2[],2,FALSE),"")</f>
        <v/>
      </c>
      <c r="J456" s="77" t="str">
        <f>IFERROR(VLOOKUP(DESPESAS[[#This Row],[Plano de Contas]],BASE!$B$3:$F$119,4,FALSE),"")</f>
        <v>6 - DESPESA COM VENDAS</v>
      </c>
      <c r="K456" s="77" t="str">
        <f>IFERROR(VLOOKUP(DESPESAS[[#This Row],[Plano de Contas]],BASE!$B$3:$H$119,5,FALSE),"")</f>
        <v>LOGÍSTICA</v>
      </c>
      <c r="L456" s="77">
        <f>IFERROR(VLOOKUP(DESPESAS[[#This Row],[Plano de Contas]],BASE!$B$3:$H$119,6,FALSE),"")</f>
        <v>0</v>
      </c>
      <c r="M456" s="77" t="str">
        <f>VLOOKUP(DESPESAS[[#This Row],[Plano de Contas]],BASE!$B$3:$H$119,7,FALSE)</f>
        <v>MYLENA</v>
      </c>
    </row>
    <row r="457" spans="1:13" x14ac:dyDescent="0.25">
      <c r="A457" s="74">
        <v>196809</v>
      </c>
      <c r="B457" s="75" t="s">
        <v>232</v>
      </c>
      <c r="C457" s="75" t="s">
        <v>3058</v>
      </c>
      <c r="D457" s="76">
        <v>46037</v>
      </c>
      <c r="E457" s="75" t="s">
        <v>3054</v>
      </c>
      <c r="F457" s="74">
        <v>786.6</v>
      </c>
      <c r="G457" s="75" t="s">
        <v>365</v>
      </c>
      <c r="H457" s="77" t="str">
        <f>VLOOKUP(DESPESAS[[#This Row],[Plano de Contas]],BASE!$B$3:$D$119,3,FALSE)</f>
        <v>Pró-Labore</v>
      </c>
      <c r="I457" s="77" t="str">
        <f>IFERROR(VLOOKUP(DESPESAS[[#This Row],[Fornecedor]],Tabela2[],2,FALSE),"")</f>
        <v/>
      </c>
      <c r="J457" s="77" t="str">
        <f>IFERROR(VLOOKUP(DESPESAS[[#This Row],[Plano de Contas]],BASE!$B$3:$F$119,4,FALSE),"")</f>
        <v>4 - GASTOS COM PESSOAL</v>
      </c>
      <c r="K457" s="77" t="str">
        <f>IFERROR(VLOOKUP(DESPESAS[[#This Row],[Plano de Contas]],BASE!$B$3:$H$119,5,FALSE),"")</f>
        <v>DIRETORIA</v>
      </c>
      <c r="L457" s="77">
        <f>IFERROR(VLOOKUP(DESPESAS[[#This Row],[Plano de Contas]],BASE!$B$3:$H$119,6,FALSE),"")</f>
        <v>0</v>
      </c>
      <c r="M457" s="77" t="str">
        <f>VLOOKUP(DESPESAS[[#This Row],[Plano de Contas]],BASE!$B$3:$H$119,7,FALSE)</f>
        <v>FÁBIO</v>
      </c>
    </row>
    <row r="458" spans="1:13" x14ac:dyDescent="0.25">
      <c r="A458" s="74">
        <v>196810</v>
      </c>
      <c r="B458" s="75" t="s">
        <v>232</v>
      </c>
      <c r="C458" s="75" t="s">
        <v>3057</v>
      </c>
      <c r="D458" s="76">
        <v>46066</v>
      </c>
      <c r="E458" s="75" t="s">
        <v>3054</v>
      </c>
      <c r="F458" s="74">
        <v>786.6</v>
      </c>
      <c r="G458" s="75" t="s">
        <v>365</v>
      </c>
      <c r="H458" s="77" t="str">
        <f>VLOOKUP(DESPESAS[[#This Row],[Plano de Contas]],BASE!$B$3:$D$119,3,FALSE)</f>
        <v>Pró-Labore</v>
      </c>
      <c r="I458" s="77" t="str">
        <f>IFERROR(VLOOKUP(DESPESAS[[#This Row],[Fornecedor]],Tabela2[],2,FALSE),"")</f>
        <v/>
      </c>
      <c r="J458" s="77" t="str">
        <f>IFERROR(VLOOKUP(DESPESAS[[#This Row],[Plano de Contas]],BASE!$B$3:$F$119,4,FALSE),"")</f>
        <v>4 - GASTOS COM PESSOAL</v>
      </c>
      <c r="K458" s="77" t="str">
        <f>IFERROR(VLOOKUP(DESPESAS[[#This Row],[Plano de Contas]],BASE!$B$3:$H$119,5,FALSE),"")</f>
        <v>DIRETORIA</v>
      </c>
      <c r="L458" s="77">
        <f>IFERROR(VLOOKUP(DESPESAS[[#This Row],[Plano de Contas]],BASE!$B$3:$H$119,6,FALSE),"")</f>
        <v>0</v>
      </c>
      <c r="M458" s="77" t="str">
        <f>VLOOKUP(DESPESAS[[#This Row],[Plano de Contas]],BASE!$B$3:$H$119,7,FALSE)</f>
        <v>FÁBIO</v>
      </c>
    </row>
    <row r="459" spans="1:13" x14ac:dyDescent="0.25">
      <c r="A459" s="74">
        <v>196811</v>
      </c>
      <c r="B459" s="75" t="s">
        <v>232</v>
      </c>
      <c r="C459" s="75" t="s">
        <v>3056</v>
      </c>
      <c r="D459" s="76">
        <v>46094</v>
      </c>
      <c r="E459" s="75" t="s">
        <v>3054</v>
      </c>
      <c r="F459" s="74">
        <v>786.6</v>
      </c>
      <c r="G459" s="75" t="s">
        <v>365</v>
      </c>
      <c r="H459" s="77" t="str">
        <f>VLOOKUP(DESPESAS[[#This Row],[Plano de Contas]],BASE!$B$3:$D$119,3,FALSE)</f>
        <v>Pró-Labore</v>
      </c>
      <c r="I459" s="77" t="str">
        <f>IFERROR(VLOOKUP(DESPESAS[[#This Row],[Fornecedor]],Tabela2[],2,FALSE),"")</f>
        <v/>
      </c>
      <c r="J459" s="77" t="str">
        <f>IFERROR(VLOOKUP(DESPESAS[[#This Row],[Plano de Contas]],BASE!$B$3:$F$119,4,FALSE),"")</f>
        <v>4 - GASTOS COM PESSOAL</v>
      </c>
      <c r="K459" s="77" t="str">
        <f>IFERROR(VLOOKUP(DESPESAS[[#This Row],[Plano de Contas]],BASE!$B$3:$H$119,5,FALSE),"")</f>
        <v>DIRETORIA</v>
      </c>
      <c r="L459" s="77">
        <f>IFERROR(VLOOKUP(DESPESAS[[#This Row],[Plano de Contas]],BASE!$B$3:$H$119,6,FALSE),"")</f>
        <v>0</v>
      </c>
      <c r="M459" s="77" t="str">
        <f>VLOOKUP(DESPESAS[[#This Row],[Plano de Contas]],BASE!$B$3:$H$119,7,FALSE)</f>
        <v>FÁBIO</v>
      </c>
    </row>
    <row r="460" spans="1:13" x14ac:dyDescent="0.25">
      <c r="A460" s="74">
        <v>196812</v>
      </c>
      <c r="B460" s="75" t="s">
        <v>232</v>
      </c>
      <c r="C460" s="75" t="s">
        <v>3055</v>
      </c>
      <c r="D460" s="76">
        <v>46127</v>
      </c>
      <c r="E460" s="75" t="s">
        <v>3054</v>
      </c>
      <c r="F460" s="74">
        <v>786.6</v>
      </c>
      <c r="G460" s="75" t="s">
        <v>365</v>
      </c>
      <c r="H460" s="77" t="str">
        <f>VLOOKUP(DESPESAS[[#This Row],[Plano de Contas]],BASE!$B$3:$D$119,3,FALSE)</f>
        <v>Pró-Labore</v>
      </c>
      <c r="I460" s="77" t="str">
        <f>IFERROR(VLOOKUP(DESPESAS[[#This Row],[Fornecedor]],Tabela2[],2,FALSE),"")</f>
        <v/>
      </c>
      <c r="J460" s="77" t="str">
        <f>IFERROR(VLOOKUP(DESPESAS[[#This Row],[Plano de Contas]],BASE!$B$3:$F$119,4,FALSE),"")</f>
        <v>4 - GASTOS COM PESSOAL</v>
      </c>
      <c r="K460" s="77" t="str">
        <f>IFERROR(VLOOKUP(DESPESAS[[#This Row],[Plano de Contas]],BASE!$B$3:$H$119,5,FALSE),"")</f>
        <v>DIRETORIA</v>
      </c>
      <c r="L460" s="77">
        <f>IFERROR(VLOOKUP(DESPESAS[[#This Row],[Plano de Contas]],BASE!$B$3:$H$119,6,FALSE),"")</f>
        <v>0</v>
      </c>
      <c r="M460" s="77" t="str">
        <f>VLOOKUP(DESPESAS[[#This Row],[Plano de Contas]],BASE!$B$3:$H$119,7,FALSE)</f>
        <v>FÁBIO</v>
      </c>
    </row>
    <row r="461" spans="1:13" x14ac:dyDescent="0.25">
      <c r="A461" s="74">
        <v>196814</v>
      </c>
      <c r="B461" s="75" t="s">
        <v>232</v>
      </c>
      <c r="C461" s="75" t="s">
        <v>3053</v>
      </c>
      <c r="D461" s="76">
        <v>46037</v>
      </c>
      <c r="E461" s="75" t="s">
        <v>1376</v>
      </c>
      <c r="F461" s="74">
        <v>650</v>
      </c>
      <c r="G461" s="75" t="s">
        <v>1318</v>
      </c>
      <c r="H461" s="77" t="str">
        <f>VLOOKUP(DESPESAS[[#This Row],[Plano de Contas]],BASE!$B$3:$D$119,3,FALSE)</f>
        <v>Feiras e Eventos</v>
      </c>
      <c r="I461" s="77" t="str">
        <f>IFERROR(VLOOKUP(DESPESAS[[#This Row],[Fornecedor]],Tabela2[],2,FALSE),"")</f>
        <v/>
      </c>
      <c r="J461" s="77" t="str">
        <f>IFERROR(VLOOKUP(DESPESAS[[#This Row],[Plano de Contas]],BASE!$B$3:$F$119,4,FALSE),"")</f>
        <v>6 - DESPESA COM VENDAS</v>
      </c>
      <c r="K461" s="77" t="str">
        <f>IFERROR(VLOOKUP(DESPESAS[[#This Row],[Plano de Contas]],BASE!$B$3:$H$119,5,FALSE),"")</f>
        <v>COMERCIAL</v>
      </c>
      <c r="L461" s="77">
        <f>IFERROR(VLOOKUP(DESPESAS[[#This Row],[Plano de Contas]],BASE!$B$3:$H$119,6,FALSE),"")</f>
        <v>0</v>
      </c>
      <c r="M461" s="77" t="str">
        <f>VLOOKUP(DESPESAS[[#This Row],[Plano de Contas]],BASE!$B$3:$H$119,7,FALSE)</f>
        <v>THAIS</v>
      </c>
    </row>
    <row r="462" spans="1:13" x14ac:dyDescent="0.25">
      <c r="A462" s="74">
        <v>196815</v>
      </c>
      <c r="B462" s="75" t="s">
        <v>232</v>
      </c>
      <c r="C462" s="75" t="s">
        <v>3052</v>
      </c>
      <c r="D462" s="76">
        <v>46068</v>
      </c>
      <c r="E462" s="75" t="s">
        <v>1376</v>
      </c>
      <c r="F462" s="74">
        <v>650</v>
      </c>
      <c r="G462" s="75" t="s">
        <v>1318</v>
      </c>
      <c r="H462" s="77" t="str">
        <f>VLOOKUP(DESPESAS[[#This Row],[Plano de Contas]],BASE!$B$3:$D$119,3,FALSE)</f>
        <v>Feiras e Eventos</v>
      </c>
      <c r="I462" s="77" t="str">
        <f>IFERROR(VLOOKUP(DESPESAS[[#This Row],[Fornecedor]],Tabela2[],2,FALSE),"")</f>
        <v/>
      </c>
      <c r="J462" s="77" t="str">
        <f>IFERROR(VLOOKUP(DESPESAS[[#This Row],[Plano de Contas]],BASE!$B$3:$F$119,4,FALSE),"")</f>
        <v>6 - DESPESA COM VENDAS</v>
      </c>
      <c r="K462" s="77" t="str">
        <f>IFERROR(VLOOKUP(DESPESAS[[#This Row],[Plano de Contas]],BASE!$B$3:$H$119,5,FALSE),"")</f>
        <v>COMERCIAL</v>
      </c>
      <c r="L462" s="77">
        <f>IFERROR(VLOOKUP(DESPESAS[[#This Row],[Plano de Contas]],BASE!$B$3:$H$119,6,FALSE),"")</f>
        <v>0</v>
      </c>
      <c r="M462" s="77" t="str">
        <f>VLOOKUP(DESPESAS[[#This Row],[Plano de Contas]],BASE!$B$3:$H$119,7,FALSE)</f>
        <v>THAIS</v>
      </c>
    </row>
    <row r="463" spans="1:13" x14ac:dyDescent="0.25">
      <c r="A463" s="74">
        <v>196816</v>
      </c>
      <c r="B463" s="75" t="s">
        <v>232</v>
      </c>
      <c r="C463" s="75" t="s">
        <v>3051</v>
      </c>
      <c r="D463" s="76">
        <v>46096</v>
      </c>
      <c r="E463" s="75" t="s">
        <v>1376</v>
      </c>
      <c r="F463" s="74">
        <v>650</v>
      </c>
      <c r="G463" s="75" t="s">
        <v>1318</v>
      </c>
      <c r="H463" s="77" t="str">
        <f>VLOOKUP(DESPESAS[[#This Row],[Plano de Contas]],BASE!$B$3:$D$119,3,FALSE)</f>
        <v>Feiras e Eventos</v>
      </c>
      <c r="I463" s="77" t="str">
        <f>IFERROR(VLOOKUP(DESPESAS[[#This Row],[Fornecedor]],Tabela2[],2,FALSE),"")</f>
        <v/>
      </c>
      <c r="J463" s="77" t="str">
        <f>IFERROR(VLOOKUP(DESPESAS[[#This Row],[Plano de Contas]],BASE!$B$3:$F$119,4,FALSE),"")</f>
        <v>6 - DESPESA COM VENDAS</v>
      </c>
      <c r="K463" s="77" t="str">
        <f>IFERROR(VLOOKUP(DESPESAS[[#This Row],[Plano de Contas]],BASE!$B$3:$H$119,5,FALSE),"")</f>
        <v>COMERCIAL</v>
      </c>
      <c r="L463" s="77">
        <f>IFERROR(VLOOKUP(DESPESAS[[#This Row],[Plano de Contas]],BASE!$B$3:$H$119,6,FALSE),"")</f>
        <v>0</v>
      </c>
      <c r="M463" s="77" t="str">
        <f>VLOOKUP(DESPESAS[[#This Row],[Plano de Contas]],BASE!$B$3:$H$119,7,FALSE)</f>
        <v>THAIS</v>
      </c>
    </row>
    <row r="464" spans="1:13" x14ac:dyDescent="0.25">
      <c r="A464" s="74">
        <v>196817</v>
      </c>
      <c r="B464" s="75" t="s">
        <v>232</v>
      </c>
      <c r="C464" s="75" t="s">
        <v>3050</v>
      </c>
      <c r="D464" s="76">
        <v>46127</v>
      </c>
      <c r="E464" s="75" t="s">
        <v>1376</v>
      </c>
      <c r="F464" s="74">
        <v>650</v>
      </c>
      <c r="G464" s="75" t="s">
        <v>1318</v>
      </c>
      <c r="H464" s="77" t="str">
        <f>VLOOKUP(DESPESAS[[#This Row],[Plano de Contas]],BASE!$B$3:$D$119,3,FALSE)</f>
        <v>Feiras e Eventos</v>
      </c>
      <c r="I464" s="77" t="str">
        <f>IFERROR(VLOOKUP(DESPESAS[[#This Row],[Fornecedor]],Tabela2[],2,FALSE),"")</f>
        <v/>
      </c>
      <c r="J464" s="77" t="str">
        <f>IFERROR(VLOOKUP(DESPESAS[[#This Row],[Plano de Contas]],BASE!$B$3:$F$119,4,FALSE),"")</f>
        <v>6 - DESPESA COM VENDAS</v>
      </c>
      <c r="K464" s="77" t="str">
        <f>IFERROR(VLOOKUP(DESPESAS[[#This Row],[Plano de Contas]],BASE!$B$3:$H$119,5,FALSE),"")</f>
        <v>COMERCIAL</v>
      </c>
      <c r="L464" s="77">
        <f>IFERROR(VLOOKUP(DESPESAS[[#This Row],[Plano de Contas]],BASE!$B$3:$H$119,6,FALSE),"")</f>
        <v>0</v>
      </c>
      <c r="M464" s="77" t="str">
        <f>VLOOKUP(DESPESAS[[#This Row],[Plano de Contas]],BASE!$B$3:$H$119,7,FALSE)</f>
        <v>THAIS</v>
      </c>
    </row>
    <row r="465" spans="1:13" x14ac:dyDescent="0.25">
      <c r="A465" s="74">
        <v>196820</v>
      </c>
      <c r="B465" s="75" t="s">
        <v>232</v>
      </c>
      <c r="C465" s="75" t="s">
        <v>3049</v>
      </c>
      <c r="D465" s="76">
        <v>46035</v>
      </c>
      <c r="E465" s="75" t="s">
        <v>3048</v>
      </c>
      <c r="F465" s="74">
        <v>1159.2</v>
      </c>
      <c r="G465" s="75" t="s">
        <v>1318</v>
      </c>
      <c r="H465" s="77" t="str">
        <f>VLOOKUP(DESPESAS[[#This Row],[Plano de Contas]],BASE!$B$3:$D$119,3,FALSE)</f>
        <v>Feiras e Eventos</v>
      </c>
      <c r="I465" s="77" t="str">
        <f>IFERROR(VLOOKUP(DESPESAS[[#This Row],[Fornecedor]],Tabela2[],2,FALSE),"")</f>
        <v/>
      </c>
      <c r="J465" s="77" t="str">
        <f>IFERROR(VLOOKUP(DESPESAS[[#This Row],[Plano de Contas]],BASE!$B$3:$F$119,4,FALSE),"")</f>
        <v>6 - DESPESA COM VENDAS</v>
      </c>
      <c r="K465" s="77" t="str">
        <f>IFERROR(VLOOKUP(DESPESAS[[#This Row],[Plano de Contas]],BASE!$B$3:$H$119,5,FALSE),"")</f>
        <v>COMERCIAL</v>
      </c>
      <c r="L465" s="77">
        <f>IFERROR(VLOOKUP(DESPESAS[[#This Row],[Plano de Contas]],BASE!$B$3:$H$119,6,FALSE),"")</f>
        <v>0</v>
      </c>
      <c r="M465" s="77" t="str">
        <f>VLOOKUP(DESPESAS[[#This Row],[Plano de Contas]],BASE!$B$3:$H$119,7,FALSE)</f>
        <v>THAIS</v>
      </c>
    </row>
    <row r="466" spans="1:13" x14ac:dyDescent="0.25">
      <c r="A466" s="74">
        <v>196821</v>
      </c>
      <c r="B466" s="75" t="s">
        <v>232</v>
      </c>
      <c r="C466" s="75" t="s">
        <v>3047</v>
      </c>
      <c r="D466" s="76">
        <v>46035</v>
      </c>
      <c r="E466" s="75" t="s">
        <v>409</v>
      </c>
      <c r="F466" s="74">
        <v>93.39</v>
      </c>
      <c r="G466" s="75" t="s">
        <v>1318</v>
      </c>
      <c r="H466" s="77" t="str">
        <f>VLOOKUP(DESPESAS[[#This Row],[Plano de Contas]],BASE!$B$3:$D$119,3,FALSE)</f>
        <v>Feiras e Eventos</v>
      </c>
      <c r="I466" s="77" t="str">
        <f>IFERROR(VLOOKUP(DESPESAS[[#This Row],[Fornecedor]],Tabela2[],2,FALSE),"")</f>
        <v>SERVIÇOS FRETE</v>
      </c>
      <c r="J466" s="77" t="str">
        <f>IFERROR(VLOOKUP(DESPESAS[[#This Row],[Plano de Contas]],BASE!$B$3:$F$119,4,FALSE),"")</f>
        <v>6 - DESPESA COM VENDAS</v>
      </c>
      <c r="K466" s="77" t="str">
        <f>IFERROR(VLOOKUP(DESPESAS[[#This Row],[Plano de Contas]],BASE!$B$3:$H$119,5,FALSE),"")</f>
        <v>COMERCIAL</v>
      </c>
      <c r="L466" s="77">
        <f>IFERROR(VLOOKUP(DESPESAS[[#This Row],[Plano de Contas]],BASE!$B$3:$H$119,6,FALSE),"")</f>
        <v>0</v>
      </c>
      <c r="M466" s="77" t="str">
        <f>VLOOKUP(DESPESAS[[#This Row],[Plano de Contas]],BASE!$B$3:$H$119,7,FALSE)</f>
        <v>THAIS</v>
      </c>
    </row>
    <row r="467" spans="1:13" x14ac:dyDescent="0.25">
      <c r="A467" s="74">
        <v>196822</v>
      </c>
      <c r="B467" s="75" t="s">
        <v>281</v>
      </c>
      <c r="C467" s="75" t="s">
        <v>3046</v>
      </c>
      <c r="D467" s="76">
        <v>46035</v>
      </c>
      <c r="E467" s="75" t="s">
        <v>1007</v>
      </c>
      <c r="F467" s="74">
        <v>300</v>
      </c>
      <c r="G467" s="75" t="s">
        <v>1006</v>
      </c>
      <c r="H467" s="77" t="str">
        <f>VLOOKUP(DESPESAS[[#This Row],[Plano de Contas]],BASE!$B$3:$D$119,3,FALSE)</f>
        <v>Material de Limpeza (Adm)</v>
      </c>
      <c r="I467" s="77" t="str">
        <f>IFERROR(VLOOKUP(DESPESAS[[#This Row],[Fornecedor]],Tabela2[],2,FALSE),"")</f>
        <v/>
      </c>
      <c r="J467" s="77" t="str">
        <f>IFERROR(VLOOKUP(DESPESAS[[#This Row],[Plano de Contas]],BASE!$B$3:$F$119,4,FALSE),"")</f>
        <v>5 - DESPESAS ADMINISTRATIVAS</v>
      </c>
      <c r="K467" s="77" t="str">
        <f>IFERROR(VLOOKUP(DESPESAS[[#This Row],[Plano de Contas]],BASE!$B$3:$H$119,5,FALSE),"")</f>
        <v>ADMINISTRATIVO</v>
      </c>
      <c r="L467" s="77">
        <f>IFERROR(VLOOKUP(DESPESAS[[#This Row],[Plano de Contas]],BASE!$B$3:$H$119,6,FALSE),"")</f>
        <v>0</v>
      </c>
      <c r="M467" s="77" t="str">
        <f>VLOOKUP(DESPESAS[[#This Row],[Plano de Contas]],BASE!$B$3:$H$119,7,FALSE)</f>
        <v>MYLENA</v>
      </c>
    </row>
    <row r="468" spans="1:13" x14ac:dyDescent="0.25">
      <c r="A468" s="74">
        <v>196823</v>
      </c>
      <c r="B468" s="75" t="s">
        <v>221</v>
      </c>
      <c r="C468" s="75" t="s">
        <v>3044</v>
      </c>
      <c r="D468" s="76">
        <v>46038</v>
      </c>
      <c r="E468" s="75" t="s">
        <v>347</v>
      </c>
      <c r="F468" s="74">
        <v>165</v>
      </c>
      <c r="G468" s="75" t="s">
        <v>360</v>
      </c>
      <c r="H468" s="77" t="str">
        <f>VLOOKUP(DESPESAS[[#This Row],[Plano de Contas]],BASE!$B$3:$D$119,3,FALSE)</f>
        <v>Publicidade e Propaganda</v>
      </c>
      <c r="I468" s="77" t="str">
        <f>IFERROR(VLOOKUP(DESPESAS[[#This Row],[Fornecedor]],Tabela2[],2,FALSE),"")</f>
        <v/>
      </c>
      <c r="J468" s="77" t="str">
        <f>IFERROR(VLOOKUP(DESPESAS[[#This Row],[Plano de Contas]],BASE!$B$3:$F$119,4,FALSE),"")</f>
        <v>6 - DESPESA COM VENDAS</v>
      </c>
      <c r="K468" s="77" t="str">
        <f>IFERROR(VLOOKUP(DESPESAS[[#This Row],[Plano de Contas]],BASE!$B$3:$H$119,5,FALSE),"")</f>
        <v>COMERCIAL</v>
      </c>
      <c r="L468" s="77">
        <f>IFERROR(VLOOKUP(DESPESAS[[#This Row],[Plano de Contas]],BASE!$B$3:$H$119,6,FALSE),"")</f>
        <v>0</v>
      </c>
      <c r="M468" s="77" t="str">
        <f>VLOOKUP(DESPESAS[[#This Row],[Plano de Contas]],BASE!$B$3:$H$119,7,FALSE)</f>
        <v>THAIS</v>
      </c>
    </row>
    <row r="469" spans="1:13" x14ac:dyDescent="0.25">
      <c r="A469" s="74">
        <v>196824</v>
      </c>
      <c r="B469" s="75" t="s">
        <v>281</v>
      </c>
      <c r="C469" s="75" t="s">
        <v>3045</v>
      </c>
      <c r="D469" s="76">
        <v>46035</v>
      </c>
      <c r="E469" s="75" t="s">
        <v>1007</v>
      </c>
      <c r="F469" s="74">
        <v>1025</v>
      </c>
      <c r="G469" s="75" t="s">
        <v>489</v>
      </c>
      <c r="H469" s="77" t="str">
        <f>VLOOKUP(DESPESAS[[#This Row],[Plano de Contas]],BASE!$B$3:$D$119,3,FALSE)</f>
        <v>Material de Limpeza CIF</v>
      </c>
      <c r="I469" s="77" t="str">
        <f>IFERROR(VLOOKUP(DESPESAS[[#This Row],[Fornecedor]],Tabela2[],2,FALSE),"")</f>
        <v/>
      </c>
      <c r="J469" s="77" t="str">
        <f>IFERROR(VLOOKUP(DESPESAS[[#This Row],[Plano de Contas]],BASE!$B$3:$F$119,4,FALSE),"")</f>
        <v>3 - CUSTOS INDIRETOS</v>
      </c>
      <c r="K469" s="77" t="str">
        <f>IFERROR(VLOOKUP(DESPESAS[[#This Row],[Plano de Contas]],BASE!$B$3:$H$119,5,FALSE),"")</f>
        <v>COMPRAS</v>
      </c>
      <c r="L469" s="77">
        <f>IFERROR(VLOOKUP(DESPESAS[[#This Row],[Plano de Contas]],BASE!$B$3:$H$119,6,FALSE),"")</f>
        <v>0</v>
      </c>
      <c r="M469" s="77" t="str">
        <f>VLOOKUP(DESPESAS[[#This Row],[Plano de Contas]],BASE!$B$3:$H$119,7,FALSE)</f>
        <v>MYLENA</v>
      </c>
    </row>
    <row r="470" spans="1:13" x14ac:dyDescent="0.25">
      <c r="A470" s="74">
        <v>196825</v>
      </c>
      <c r="B470" s="75" t="s">
        <v>221</v>
      </c>
      <c r="C470" s="75" t="s">
        <v>3044</v>
      </c>
      <c r="D470" s="76">
        <v>46069</v>
      </c>
      <c r="E470" s="75" t="s">
        <v>347</v>
      </c>
      <c r="F470" s="74">
        <v>165</v>
      </c>
      <c r="G470" s="75" t="s">
        <v>360</v>
      </c>
      <c r="H470" s="77" t="str">
        <f>VLOOKUP(DESPESAS[[#This Row],[Plano de Contas]],BASE!$B$3:$D$119,3,FALSE)</f>
        <v>Publicidade e Propaganda</v>
      </c>
      <c r="I470" s="77" t="str">
        <f>IFERROR(VLOOKUP(DESPESAS[[#This Row],[Fornecedor]],Tabela2[],2,FALSE),"")</f>
        <v/>
      </c>
      <c r="J470" s="77" t="str">
        <f>IFERROR(VLOOKUP(DESPESAS[[#This Row],[Plano de Contas]],BASE!$B$3:$F$119,4,FALSE),"")</f>
        <v>6 - DESPESA COM VENDAS</v>
      </c>
      <c r="K470" s="77" t="str">
        <f>IFERROR(VLOOKUP(DESPESAS[[#This Row],[Plano de Contas]],BASE!$B$3:$H$119,5,FALSE),"")</f>
        <v>COMERCIAL</v>
      </c>
      <c r="L470" s="77">
        <f>IFERROR(VLOOKUP(DESPESAS[[#This Row],[Plano de Contas]],BASE!$B$3:$H$119,6,FALSE),"")</f>
        <v>0</v>
      </c>
      <c r="M470" s="77" t="str">
        <f>VLOOKUP(DESPESAS[[#This Row],[Plano de Contas]],BASE!$B$3:$H$119,7,FALSE)</f>
        <v>THAIS</v>
      </c>
    </row>
    <row r="471" spans="1:13" x14ac:dyDescent="0.25">
      <c r="A471" s="74">
        <v>196826</v>
      </c>
      <c r="B471" s="75" t="s">
        <v>221</v>
      </c>
      <c r="C471" s="75" t="s">
        <v>3044</v>
      </c>
      <c r="D471" s="76">
        <v>46097</v>
      </c>
      <c r="E471" s="75" t="s">
        <v>347</v>
      </c>
      <c r="F471" s="74">
        <v>165</v>
      </c>
      <c r="G471" s="75" t="s">
        <v>360</v>
      </c>
      <c r="H471" s="77" t="str">
        <f>VLOOKUP(DESPESAS[[#This Row],[Plano de Contas]],BASE!$B$3:$D$119,3,FALSE)</f>
        <v>Publicidade e Propaganda</v>
      </c>
      <c r="I471" s="77" t="str">
        <f>IFERROR(VLOOKUP(DESPESAS[[#This Row],[Fornecedor]],Tabela2[],2,FALSE),"")</f>
        <v/>
      </c>
      <c r="J471" s="77" t="str">
        <f>IFERROR(VLOOKUP(DESPESAS[[#This Row],[Plano de Contas]],BASE!$B$3:$F$119,4,FALSE),"")</f>
        <v>6 - DESPESA COM VENDAS</v>
      </c>
      <c r="K471" s="77" t="str">
        <f>IFERROR(VLOOKUP(DESPESAS[[#This Row],[Plano de Contas]],BASE!$B$3:$H$119,5,FALSE),"")</f>
        <v>COMERCIAL</v>
      </c>
      <c r="L471" s="77">
        <f>IFERROR(VLOOKUP(DESPESAS[[#This Row],[Plano de Contas]],BASE!$B$3:$H$119,6,FALSE),"")</f>
        <v>0</v>
      </c>
      <c r="M471" s="77" t="str">
        <f>VLOOKUP(DESPESAS[[#This Row],[Plano de Contas]],BASE!$B$3:$H$119,7,FALSE)</f>
        <v>THAIS</v>
      </c>
    </row>
    <row r="472" spans="1:13" x14ac:dyDescent="0.25">
      <c r="A472" s="74">
        <v>196836</v>
      </c>
      <c r="B472" s="75" t="s">
        <v>221</v>
      </c>
      <c r="C472" s="75" t="s">
        <v>3043</v>
      </c>
      <c r="D472" s="76">
        <v>46038</v>
      </c>
      <c r="E472" s="75" t="s">
        <v>347</v>
      </c>
      <c r="F472" s="74">
        <v>98.18</v>
      </c>
      <c r="G472" s="75" t="s">
        <v>561</v>
      </c>
      <c r="H472" s="77" t="str">
        <f>VLOOKUP(DESPESAS[[#This Row],[Plano de Contas]],BASE!$B$3:$D$119,3,FALSE)</f>
        <v>Sistemas de Informação</v>
      </c>
      <c r="I472" s="77" t="str">
        <f>IFERROR(VLOOKUP(DESPESAS[[#This Row],[Fornecedor]],Tabela2[],2,FALSE),"")</f>
        <v/>
      </c>
      <c r="J472" s="77" t="str">
        <f>IFERROR(VLOOKUP(DESPESAS[[#This Row],[Plano de Contas]],BASE!$B$3:$F$119,4,FALSE),"")</f>
        <v>7 - SERVIÇOS DE TERCEIROS</v>
      </c>
      <c r="K472" s="77" t="str">
        <f>IFERROR(VLOOKUP(DESPESAS[[#This Row],[Plano de Contas]],BASE!$B$3:$H$119,5,FALSE),"")</f>
        <v>MANUTENÇÃO / TI</v>
      </c>
      <c r="L472" s="77">
        <f>IFERROR(VLOOKUP(DESPESAS[[#This Row],[Plano de Contas]],BASE!$B$3:$H$119,6,FALSE),"")</f>
        <v>0</v>
      </c>
      <c r="M472" s="77" t="str">
        <f>VLOOKUP(DESPESAS[[#This Row],[Plano de Contas]],BASE!$B$3:$H$119,7,FALSE)</f>
        <v>LETÍCIA</v>
      </c>
    </row>
    <row r="473" spans="1:13" x14ac:dyDescent="0.25">
      <c r="A473" s="74">
        <v>196837</v>
      </c>
      <c r="B473" s="75" t="s">
        <v>221</v>
      </c>
      <c r="C473" s="75" t="s">
        <v>3042</v>
      </c>
      <c r="D473" s="76">
        <v>46069</v>
      </c>
      <c r="E473" s="75" t="s">
        <v>347</v>
      </c>
      <c r="F473" s="74">
        <v>98.18</v>
      </c>
      <c r="G473" s="75" t="s">
        <v>561</v>
      </c>
      <c r="H473" s="77" t="str">
        <f>VLOOKUP(DESPESAS[[#This Row],[Plano de Contas]],BASE!$B$3:$D$119,3,FALSE)</f>
        <v>Sistemas de Informação</v>
      </c>
      <c r="I473" s="77" t="str">
        <f>IFERROR(VLOOKUP(DESPESAS[[#This Row],[Fornecedor]],Tabela2[],2,FALSE),"")</f>
        <v/>
      </c>
      <c r="J473" s="77" t="str">
        <f>IFERROR(VLOOKUP(DESPESAS[[#This Row],[Plano de Contas]],BASE!$B$3:$F$119,4,FALSE),"")</f>
        <v>7 - SERVIÇOS DE TERCEIROS</v>
      </c>
      <c r="K473" s="77" t="str">
        <f>IFERROR(VLOOKUP(DESPESAS[[#This Row],[Plano de Contas]],BASE!$B$3:$H$119,5,FALSE),"")</f>
        <v>MANUTENÇÃO / TI</v>
      </c>
      <c r="L473" s="77">
        <f>IFERROR(VLOOKUP(DESPESAS[[#This Row],[Plano de Contas]],BASE!$B$3:$H$119,6,FALSE),"")</f>
        <v>0</v>
      </c>
      <c r="M473" s="77" t="str">
        <f>VLOOKUP(DESPESAS[[#This Row],[Plano de Contas]],BASE!$B$3:$H$119,7,FALSE)</f>
        <v>LETÍCIA</v>
      </c>
    </row>
    <row r="474" spans="1:13" x14ac:dyDescent="0.25">
      <c r="A474" s="74">
        <v>196838</v>
      </c>
      <c r="B474" s="75" t="s">
        <v>221</v>
      </c>
      <c r="C474" s="75" t="s">
        <v>3041</v>
      </c>
      <c r="D474" s="76">
        <v>46097</v>
      </c>
      <c r="E474" s="75" t="s">
        <v>347</v>
      </c>
      <c r="F474" s="74">
        <v>98.18</v>
      </c>
      <c r="G474" s="75" t="s">
        <v>561</v>
      </c>
      <c r="H474" s="77" t="str">
        <f>VLOOKUP(DESPESAS[[#This Row],[Plano de Contas]],BASE!$B$3:$D$119,3,FALSE)</f>
        <v>Sistemas de Informação</v>
      </c>
      <c r="I474" s="77" t="str">
        <f>IFERROR(VLOOKUP(DESPESAS[[#This Row],[Fornecedor]],Tabela2[],2,FALSE),"")</f>
        <v/>
      </c>
      <c r="J474" s="77" t="str">
        <f>IFERROR(VLOOKUP(DESPESAS[[#This Row],[Plano de Contas]],BASE!$B$3:$F$119,4,FALSE),"")</f>
        <v>7 - SERVIÇOS DE TERCEIROS</v>
      </c>
      <c r="K474" s="77" t="str">
        <f>IFERROR(VLOOKUP(DESPESAS[[#This Row],[Plano de Contas]],BASE!$B$3:$H$119,5,FALSE),"")</f>
        <v>MANUTENÇÃO / TI</v>
      </c>
      <c r="L474" s="77">
        <f>IFERROR(VLOOKUP(DESPESAS[[#This Row],[Plano de Contas]],BASE!$B$3:$H$119,6,FALSE),"")</f>
        <v>0</v>
      </c>
      <c r="M474" s="77" t="str">
        <f>VLOOKUP(DESPESAS[[#This Row],[Plano de Contas]],BASE!$B$3:$H$119,7,FALSE)</f>
        <v>LETÍCIA</v>
      </c>
    </row>
    <row r="475" spans="1:13" x14ac:dyDescent="0.25">
      <c r="A475" s="74">
        <v>196839</v>
      </c>
      <c r="B475" s="75" t="s">
        <v>221</v>
      </c>
      <c r="C475" s="75" t="s">
        <v>3040</v>
      </c>
      <c r="D475" s="76">
        <v>46128</v>
      </c>
      <c r="E475" s="75" t="s">
        <v>347</v>
      </c>
      <c r="F475" s="74">
        <v>98.18</v>
      </c>
      <c r="G475" s="75" t="s">
        <v>561</v>
      </c>
      <c r="H475" s="77" t="str">
        <f>VLOOKUP(DESPESAS[[#This Row],[Plano de Contas]],BASE!$B$3:$D$119,3,FALSE)</f>
        <v>Sistemas de Informação</v>
      </c>
      <c r="I475" s="77" t="str">
        <f>IFERROR(VLOOKUP(DESPESAS[[#This Row],[Fornecedor]],Tabela2[],2,FALSE),"")</f>
        <v/>
      </c>
      <c r="J475" s="77" t="str">
        <f>IFERROR(VLOOKUP(DESPESAS[[#This Row],[Plano de Contas]],BASE!$B$3:$F$119,4,FALSE),"")</f>
        <v>7 - SERVIÇOS DE TERCEIROS</v>
      </c>
      <c r="K475" s="77" t="str">
        <f>IFERROR(VLOOKUP(DESPESAS[[#This Row],[Plano de Contas]],BASE!$B$3:$H$119,5,FALSE),"")</f>
        <v>MANUTENÇÃO / TI</v>
      </c>
      <c r="L475" s="77">
        <f>IFERROR(VLOOKUP(DESPESAS[[#This Row],[Plano de Contas]],BASE!$B$3:$H$119,6,FALSE),"")</f>
        <v>0</v>
      </c>
      <c r="M475" s="77" t="str">
        <f>VLOOKUP(DESPESAS[[#This Row],[Plano de Contas]],BASE!$B$3:$H$119,7,FALSE)</f>
        <v>LETÍCIA</v>
      </c>
    </row>
    <row r="476" spans="1:13" x14ac:dyDescent="0.25">
      <c r="A476" s="74">
        <v>196848</v>
      </c>
      <c r="B476" s="75" t="s">
        <v>221</v>
      </c>
      <c r="C476" s="75" t="s">
        <v>3039</v>
      </c>
      <c r="D476" s="76">
        <v>46038</v>
      </c>
      <c r="E476" s="75" t="s">
        <v>347</v>
      </c>
      <c r="F476" s="74">
        <v>19.899999999999999</v>
      </c>
      <c r="G476" s="75" t="s">
        <v>693</v>
      </c>
      <c r="H476" s="77" t="str">
        <f>VLOOKUP(DESPESAS[[#This Row],[Plano de Contas]],BASE!$B$3:$D$119,3,FALSE)</f>
        <v>Computadores e Periféricos</v>
      </c>
      <c r="I476" s="77" t="str">
        <f>IFERROR(VLOOKUP(DESPESAS[[#This Row],[Fornecedor]],Tabela2[],2,FALSE),"")</f>
        <v/>
      </c>
      <c r="J476" s="77" t="str">
        <f>IFERROR(VLOOKUP(DESPESAS[[#This Row],[Plano de Contas]],BASE!$B$3:$F$119,4,FALSE),"")</f>
        <v>9 - INVESTIMENTOS</v>
      </c>
      <c r="K476" s="77" t="str">
        <f>IFERROR(VLOOKUP(DESPESAS[[#This Row],[Plano de Contas]],BASE!$B$3:$H$119,5,FALSE),"")</f>
        <v>MANUTENÇÃO / TI</v>
      </c>
      <c r="L476" s="77">
        <f>IFERROR(VLOOKUP(DESPESAS[[#This Row],[Plano de Contas]],BASE!$B$3:$H$119,6,FALSE),"")</f>
        <v>0</v>
      </c>
      <c r="M476" s="77" t="str">
        <f>VLOOKUP(DESPESAS[[#This Row],[Plano de Contas]],BASE!$B$3:$H$119,7,FALSE)</f>
        <v>RAFAEL</v>
      </c>
    </row>
    <row r="477" spans="1:13" x14ac:dyDescent="0.25">
      <c r="A477" s="74">
        <v>196849</v>
      </c>
      <c r="B477" s="75" t="s">
        <v>221</v>
      </c>
      <c r="C477" s="75" t="s">
        <v>3038</v>
      </c>
      <c r="D477" s="76">
        <v>46069</v>
      </c>
      <c r="E477" s="75" t="s">
        <v>347</v>
      </c>
      <c r="F477" s="74">
        <v>19.899999999999999</v>
      </c>
      <c r="G477" s="75" t="s">
        <v>693</v>
      </c>
      <c r="H477" s="77" t="str">
        <f>VLOOKUP(DESPESAS[[#This Row],[Plano de Contas]],BASE!$B$3:$D$119,3,FALSE)</f>
        <v>Computadores e Periféricos</v>
      </c>
      <c r="I477" s="77" t="str">
        <f>IFERROR(VLOOKUP(DESPESAS[[#This Row],[Fornecedor]],Tabela2[],2,FALSE),"")</f>
        <v/>
      </c>
      <c r="J477" s="77" t="str">
        <f>IFERROR(VLOOKUP(DESPESAS[[#This Row],[Plano de Contas]],BASE!$B$3:$F$119,4,FALSE),"")</f>
        <v>9 - INVESTIMENTOS</v>
      </c>
      <c r="K477" s="77" t="str">
        <f>IFERROR(VLOOKUP(DESPESAS[[#This Row],[Plano de Contas]],BASE!$B$3:$H$119,5,FALSE),"")</f>
        <v>MANUTENÇÃO / TI</v>
      </c>
      <c r="L477" s="77">
        <f>IFERROR(VLOOKUP(DESPESAS[[#This Row],[Plano de Contas]],BASE!$B$3:$H$119,6,FALSE),"")</f>
        <v>0</v>
      </c>
      <c r="M477" s="77" t="str">
        <f>VLOOKUP(DESPESAS[[#This Row],[Plano de Contas]],BASE!$B$3:$H$119,7,FALSE)</f>
        <v>RAFAEL</v>
      </c>
    </row>
    <row r="478" spans="1:13" x14ac:dyDescent="0.25">
      <c r="A478" s="74">
        <v>196850</v>
      </c>
      <c r="B478" s="75" t="s">
        <v>221</v>
      </c>
      <c r="C478" s="75" t="s">
        <v>3037</v>
      </c>
      <c r="D478" s="76">
        <v>46097</v>
      </c>
      <c r="E478" s="75" t="s">
        <v>347</v>
      </c>
      <c r="F478" s="74">
        <v>19.899999999999999</v>
      </c>
      <c r="G478" s="75" t="s">
        <v>693</v>
      </c>
      <c r="H478" s="77" t="str">
        <f>VLOOKUP(DESPESAS[[#This Row],[Plano de Contas]],BASE!$B$3:$D$119,3,FALSE)</f>
        <v>Computadores e Periféricos</v>
      </c>
      <c r="I478" s="77" t="str">
        <f>IFERROR(VLOOKUP(DESPESAS[[#This Row],[Fornecedor]],Tabela2[],2,FALSE),"")</f>
        <v/>
      </c>
      <c r="J478" s="77" t="str">
        <f>IFERROR(VLOOKUP(DESPESAS[[#This Row],[Plano de Contas]],BASE!$B$3:$F$119,4,FALSE),"")</f>
        <v>9 - INVESTIMENTOS</v>
      </c>
      <c r="K478" s="77" t="str">
        <f>IFERROR(VLOOKUP(DESPESAS[[#This Row],[Plano de Contas]],BASE!$B$3:$H$119,5,FALSE),"")</f>
        <v>MANUTENÇÃO / TI</v>
      </c>
      <c r="L478" s="77">
        <f>IFERROR(VLOOKUP(DESPESAS[[#This Row],[Plano de Contas]],BASE!$B$3:$H$119,6,FALSE),"")</f>
        <v>0</v>
      </c>
      <c r="M478" s="77" t="str">
        <f>VLOOKUP(DESPESAS[[#This Row],[Plano de Contas]],BASE!$B$3:$H$119,7,FALSE)</f>
        <v>RAFAEL</v>
      </c>
    </row>
    <row r="479" spans="1:13" x14ac:dyDescent="0.25">
      <c r="A479" s="74">
        <v>196851</v>
      </c>
      <c r="B479" s="75" t="s">
        <v>221</v>
      </c>
      <c r="C479" s="75" t="s">
        <v>3036</v>
      </c>
      <c r="D479" s="76">
        <v>46128</v>
      </c>
      <c r="E479" s="75" t="s">
        <v>347</v>
      </c>
      <c r="F479" s="74">
        <v>19.899999999999999</v>
      </c>
      <c r="G479" s="75" t="s">
        <v>693</v>
      </c>
      <c r="H479" s="77" t="str">
        <f>VLOOKUP(DESPESAS[[#This Row],[Plano de Contas]],BASE!$B$3:$D$119,3,FALSE)</f>
        <v>Computadores e Periféricos</v>
      </c>
      <c r="I479" s="77" t="str">
        <f>IFERROR(VLOOKUP(DESPESAS[[#This Row],[Fornecedor]],Tabela2[],2,FALSE),"")</f>
        <v/>
      </c>
      <c r="J479" s="77" t="str">
        <f>IFERROR(VLOOKUP(DESPESAS[[#This Row],[Plano de Contas]],BASE!$B$3:$F$119,4,FALSE),"")</f>
        <v>9 - INVESTIMENTOS</v>
      </c>
      <c r="K479" s="77" t="str">
        <f>IFERROR(VLOOKUP(DESPESAS[[#This Row],[Plano de Contas]],BASE!$B$3:$H$119,5,FALSE),"")</f>
        <v>MANUTENÇÃO / TI</v>
      </c>
      <c r="L479" s="77">
        <f>IFERROR(VLOOKUP(DESPESAS[[#This Row],[Plano de Contas]],BASE!$B$3:$H$119,6,FALSE),"")</f>
        <v>0</v>
      </c>
      <c r="M479" s="77" t="str">
        <f>VLOOKUP(DESPESAS[[#This Row],[Plano de Contas]],BASE!$B$3:$H$119,7,FALSE)</f>
        <v>RAFAEL</v>
      </c>
    </row>
    <row r="480" spans="1:13" x14ac:dyDescent="0.25">
      <c r="A480" s="74">
        <v>196860</v>
      </c>
      <c r="B480" s="75" t="s">
        <v>221</v>
      </c>
      <c r="C480" s="75" t="s">
        <v>3035</v>
      </c>
      <c r="D480" s="76">
        <v>46038</v>
      </c>
      <c r="E480" s="75" t="s">
        <v>347</v>
      </c>
      <c r="F480" s="74">
        <v>49.99</v>
      </c>
      <c r="G480" s="75" t="s">
        <v>561</v>
      </c>
      <c r="H480" s="77" t="str">
        <f>VLOOKUP(DESPESAS[[#This Row],[Plano de Contas]],BASE!$B$3:$D$119,3,FALSE)</f>
        <v>Sistemas de Informação</v>
      </c>
      <c r="I480" s="77" t="str">
        <f>IFERROR(VLOOKUP(DESPESAS[[#This Row],[Fornecedor]],Tabela2[],2,FALSE),"")</f>
        <v/>
      </c>
      <c r="J480" s="77" t="str">
        <f>IFERROR(VLOOKUP(DESPESAS[[#This Row],[Plano de Contas]],BASE!$B$3:$F$119,4,FALSE),"")</f>
        <v>7 - SERVIÇOS DE TERCEIROS</v>
      </c>
      <c r="K480" s="77" t="str">
        <f>IFERROR(VLOOKUP(DESPESAS[[#This Row],[Plano de Contas]],BASE!$B$3:$H$119,5,FALSE),"")</f>
        <v>MANUTENÇÃO / TI</v>
      </c>
      <c r="L480" s="77">
        <f>IFERROR(VLOOKUP(DESPESAS[[#This Row],[Plano de Contas]],BASE!$B$3:$H$119,6,FALSE),"")</f>
        <v>0</v>
      </c>
      <c r="M480" s="77" t="str">
        <f>VLOOKUP(DESPESAS[[#This Row],[Plano de Contas]],BASE!$B$3:$H$119,7,FALSE)</f>
        <v>LETÍCIA</v>
      </c>
    </row>
    <row r="481" spans="1:13" x14ac:dyDescent="0.25">
      <c r="A481" s="74">
        <v>196861</v>
      </c>
      <c r="B481" s="75" t="s">
        <v>221</v>
      </c>
      <c r="C481" s="75" t="s">
        <v>3035</v>
      </c>
      <c r="D481" s="76">
        <v>46069</v>
      </c>
      <c r="E481" s="75" t="s">
        <v>347</v>
      </c>
      <c r="F481" s="74">
        <v>49.99</v>
      </c>
      <c r="G481" s="75" t="s">
        <v>561</v>
      </c>
      <c r="H481" s="77" t="str">
        <f>VLOOKUP(DESPESAS[[#This Row],[Plano de Contas]],BASE!$B$3:$D$119,3,FALSE)</f>
        <v>Sistemas de Informação</v>
      </c>
      <c r="I481" s="77" t="str">
        <f>IFERROR(VLOOKUP(DESPESAS[[#This Row],[Fornecedor]],Tabela2[],2,FALSE),"")</f>
        <v/>
      </c>
      <c r="J481" s="77" t="str">
        <f>IFERROR(VLOOKUP(DESPESAS[[#This Row],[Plano de Contas]],BASE!$B$3:$F$119,4,FALSE),"")</f>
        <v>7 - SERVIÇOS DE TERCEIROS</v>
      </c>
      <c r="K481" s="77" t="str">
        <f>IFERROR(VLOOKUP(DESPESAS[[#This Row],[Plano de Contas]],BASE!$B$3:$H$119,5,FALSE),"")</f>
        <v>MANUTENÇÃO / TI</v>
      </c>
      <c r="L481" s="77">
        <f>IFERROR(VLOOKUP(DESPESAS[[#This Row],[Plano de Contas]],BASE!$B$3:$H$119,6,FALSE),"")</f>
        <v>0</v>
      </c>
      <c r="M481" s="77" t="str">
        <f>VLOOKUP(DESPESAS[[#This Row],[Plano de Contas]],BASE!$B$3:$H$119,7,FALSE)</f>
        <v>LETÍCIA</v>
      </c>
    </row>
    <row r="482" spans="1:13" x14ac:dyDescent="0.25">
      <c r="A482" s="74">
        <v>196862</v>
      </c>
      <c r="B482" s="75" t="s">
        <v>221</v>
      </c>
      <c r="C482" s="75" t="s">
        <v>3035</v>
      </c>
      <c r="D482" s="76">
        <v>46097</v>
      </c>
      <c r="E482" s="75" t="s">
        <v>347</v>
      </c>
      <c r="F482" s="74">
        <v>49.99</v>
      </c>
      <c r="G482" s="75" t="s">
        <v>561</v>
      </c>
      <c r="H482" s="77" t="str">
        <f>VLOOKUP(DESPESAS[[#This Row],[Plano de Contas]],BASE!$B$3:$D$119,3,FALSE)</f>
        <v>Sistemas de Informação</v>
      </c>
      <c r="I482" s="77" t="str">
        <f>IFERROR(VLOOKUP(DESPESAS[[#This Row],[Fornecedor]],Tabela2[],2,FALSE),"")</f>
        <v/>
      </c>
      <c r="J482" s="77" t="str">
        <f>IFERROR(VLOOKUP(DESPESAS[[#This Row],[Plano de Contas]],BASE!$B$3:$F$119,4,FALSE),"")</f>
        <v>7 - SERVIÇOS DE TERCEIROS</v>
      </c>
      <c r="K482" s="77" t="str">
        <f>IFERROR(VLOOKUP(DESPESAS[[#This Row],[Plano de Contas]],BASE!$B$3:$H$119,5,FALSE),"")</f>
        <v>MANUTENÇÃO / TI</v>
      </c>
      <c r="L482" s="77">
        <f>IFERROR(VLOOKUP(DESPESAS[[#This Row],[Plano de Contas]],BASE!$B$3:$H$119,6,FALSE),"")</f>
        <v>0</v>
      </c>
      <c r="M482" s="77" t="str">
        <f>VLOOKUP(DESPESAS[[#This Row],[Plano de Contas]],BASE!$B$3:$H$119,7,FALSE)</f>
        <v>LETÍCIA</v>
      </c>
    </row>
    <row r="483" spans="1:13" x14ac:dyDescent="0.25">
      <c r="A483" s="74">
        <v>196863</v>
      </c>
      <c r="B483" s="75" t="s">
        <v>221</v>
      </c>
      <c r="C483" s="75" t="s">
        <v>3035</v>
      </c>
      <c r="D483" s="76">
        <v>46128</v>
      </c>
      <c r="E483" s="75" t="s">
        <v>347</v>
      </c>
      <c r="F483" s="74">
        <v>49.99</v>
      </c>
      <c r="G483" s="75" t="s">
        <v>561</v>
      </c>
      <c r="H483" s="77" t="str">
        <f>VLOOKUP(DESPESAS[[#This Row],[Plano de Contas]],BASE!$B$3:$D$119,3,FALSE)</f>
        <v>Sistemas de Informação</v>
      </c>
      <c r="I483" s="77" t="str">
        <f>IFERROR(VLOOKUP(DESPESAS[[#This Row],[Fornecedor]],Tabela2[],2,FALSE),"")</f>
        <v/>
      </c>
      <c r="J483" s="77" t="str">
        <f>IFERROR(VLOOKUP(DESPESAS[[#This Row],[Plano de Contas]],BASE!$B$3:$F$119,4,FALSE),"")</f>
        <v>7 - SERVIÇOS DE TERCEIROS</v>
      </c>
      <c r="K483" s="77" t="str">
        <f>IFERROR(VLOOKUP(DESPESAS[[#This Row],[Plano de Contas]],BASE!$B$3:$H$119,5,FALSE),"")</f>
        <v>MANUTENÇÃO / TI</v>
      </c>
      <c r="L483" s="77">
        <f>IFERROR(VLOOKUP(DESPESAS[[#This Row],[Plano de Contas]],BASE!$B$3:$H$119,6,FALSE),"")</f>
        <v>0</v>
      </c>
      <c r="M483" s="77" t="str">
        <f>VLOOKUP(DESPESAS[[#This Row],[Plano de Contas]],BASE!$B$3:$H$119,7,FALSE)</f>
        <v>LETÍCIA</v>
      </c>
    </row>
    <row r="484" spans="1:13" x14ac:dyDescent="0.25">
      <c r="A484" s="74">
        <v>196872</v>
      </c>
      <c r="B484" s="75" t="s">
        <v>232</v>
      </c>
      <c r="C484" s="75" t="s">
        <v>3034</v>
      </c>
      <c r="D484" s="76">
        <v>46035</v>
      </c>
      <c r="E484" s="75" t="s">
        <v>2686</v>
      </c>
      <c r="F484" s="74">
        <v>849.2</v>
      </c>
      <c r="G484" s="75" t="s">
        <v>255</v>
      </c>
      <c r="H484" s="77" t="str">
        <f>VLOOKUP(DESPESAS[[#This Row],[Plano de Contas]],BASE!$B$3:$D$119,3,FALSE)</f>
        <v>Mostruário de Tecido</v>
      </c>
      <c r="I484" s="77" t="str">
        <f>IFERROR(VLOOKUP(DESPESAS[[#This Row],[Fornecedor]],Tabela2[],2,FALSE),"")</f>
        <v/>
      </c>
      <c r="J484" s="77" t="str">
        <f>IFERROR(VLOOKUP(DESPESAS[[#This Row],[Plano de Contas]],BASE!$B$3:$F$119,4,FALSE),"")</f>
        <v>6 - DESPESA COM VENDAS</v>
      </c>
      <c r="K484" s="77" t="str">
        <f>IFERROR(VLOOKUP(DESPESAS[[#This Row],[Plano de Contas]],BASE!$B$3:$H$119,5,FALSE),"")</f>
        <v>COMERCIAL</v>
      </c>
      <c r="L484" s="77">
        <f>IFERROR(VLOOKUP(DESPESAS[[#This Row],[Plano de Contas]],BASE!$B$3:$H$119,6,FALSE),"")</f>
        <v>0</v>
      </c>
      <c r="M484" s="77" t="str">
        <f>VLOOKUP(DESPESAS[[#This Row],[Plano de Contas]],BASE!$B$3:$H$119,7,FALSE)</f>
        <v>LETÍCIA</v>
      </c>
    </row>
    <row r="485" spans="1:13" x14ac:dyDescent="0.25">
      <c r="A485" s="74">
        <v>196874</v>
      </c>
      <c r="B485" s="75" t="s">
        <v>232</v>
      </c>
      <c r="C485" s="75" t="s">
        <v>3033</v>
      </c>
      <c r="D485" s="76">
        <v>46035</v>
      </c>
      <c r="E485" s="75" t="s">
        <v>3031</v>
      </c>
      <c r="F485" s="74">
        <v>200</v>
      </c>
      <c r="G485" s="75" t="s">
        <v>1318</v>
      </c>
      <c r="H485" s="77" t="str">
        <f>VLOOKUP(DESPESAS[[#This Row],[Plano de Contas]],BASE!$B$3:$D$119,3,FALSE)</f>
        <v>Feiras e Eventos</v>
      </c>
      <c r="I485" s="77" t="str">
        <f>IFERROR(VLOOKUP(DESPESAS[[#This Row],[Fornecedor]],Tabela2[],2,FALSE),"")</f>
        <v/>
      </c>
      <c r="J485" s="77" t="str">
        <f>IFERROR(VLOOKUP(DESPESAS[[#This Row],[Plano de Contas]],BASE!$B$3:$F$119,4,FALSE),"")</f>
        <v>6 - DESPESA COM VENDAS</v>
      </c>
      <c r="K485" s="77" t="str">
        <f>IFERROR(VLOOKUP(DESPESAS[[#This Row],[Plano de Contas]],BASE!$B$3:$H$119,5,FALSE),"")</f>
        <v>COMERCIAL</v>
      </c>
      <c r="L485" s="77">
        <f>IFERROR(VLOOKUP(DESPESAS[[#This Row],[Plano de Contas]],BASE!$B$3:$H$119,6,FALSE),"")</f>
        <v>0</v>
      </c>
      <c r="M485" s="77" t="str">
        <f>VLOOKUP(DESPESAS[[#This Row],[Plano de Contas]],BASE!$B$3:$H$119,7,FALSE)</f>
        <v>THAIS</v>
      </c>
    </row>
    <row r="486" spans="1:13" x14ac:dyDescent="0.25">
      <c r="A486" s="74">
        <v>196875</v>
      </c>
      <c r="B486" s="75" t="s">
        <v>232</v>
      </c>
      <c r="C486" s="75" t="s">
        <v>3032</v>
      </c>
      <c r="D486" s="76">
        <v>46035</v>
      </c>
      <c r="E486" s="75" t="s">
        <v>3031</v>
      </c>
      <c r="F486" s="74">
        <v>200</v>
      </c>
      <c r="G486" s="75" t="s">
        <v>1318</v>
      </c>
      <c r="H486" s="77" t="str">
        <f>VLOOKUP(DESPESAS[[#This Row],[Plano de Contas]],BASE!$B$3:$D$119,3,FALSE)</f>
        <v>Feiras e Eventos</v>
      </c>
      <c r="I486" s="77" t="str">
        <f>IFERROR(VLOOKUP(DESPESAS[[#This Row],[Fornecedor]],Tabela2[],2,FALSE),"")</f>
        <v/>
      </c>
      <c r="J486" s="77" t="str">
        <f>IFERROR(VLOOKUP(DESPESAS[[#This Row],[Plano de Contas]],BASE!$B$3:$F$119,4,FALSE),"")</f>
        <v>6 - DESPESA COM VENDAS</v>
      </c>
      <c r="K486" s="77" t="str">
        <f>IFERROR(VLOOKUP(DESPESAS[[#This Row],[Plano de Contas]],BASE!$B$3:$H$119,5,FALSE),"")</f>
        <v>COMERCIAL</v>
      </c>
      <c r="L486" s="77">
        <f>IFERROR(VLOOKUP(DESPESAS[[#This Row],[Plano de Contas]],BASE!$B$3:$H$119,6,FALSE),"")</f>
        <v>0</v>
      </c>
      <c r="M486" s="77" t="str">
        <f>VLOOKUP(DESPESAS[[#This Row],[Plano de Contas]],BASE!$B$3:$H$119,7,FALSE)</f>
        <v>THAIS</v>
      </c>
    </row>
    <row r="487" spans="1:13" x14ac:dyDescent="0.25">
      <c r="A487" s="74">
        <v>196876</v>
      </c>
      <c r="B487" s="75" t="s">
        <v>232</v>
      </c>
      <c r="C487" s="75" t="s">
        <v>3030</v>
      </c>
      <c r="D487" s="76">
        <v>46035</v>
      </c>
      <c r="E487" s="75" t="s">
        <v>774</v>
      </c>
      <c r="F487" s="74">
        <v>1164.27</v>
      </c>
      <c r="G487" s="75" t="s">
        <v>259</v>
      </c>
      <c r="H487" s="77" t="str">
        <f>VLOOKUP(DESPESAS[[#This Row],[Plano de Contas]],BASE!$B$3:$D$119,3,FALSE)</f>
        <v>Manutenção Predial CIF</v>
      </c>
      <c r="I487" s="77" t="str">
        <f>IFERROR(VLOOKUP(DESPESAS[[#This Row],[Fornecedor]],Tabela2[],2,FALSE),"")</f>
        <v/>
      </c>
      <c r="J487" s="77" t="str">
        <f>IFERROR(VLOOKUP(DESPESAS[[#This Row],[Plano de Contas]],BASE!$B$3:$F$119,4,FALSE),"")</f>
        <v>3 - CUSTOS INDIRETOS</v>
      </c>
      <c r="K487" s="77" t="str">
        <f>IFERROR(VLOOKUP(DESPESAS[[#This Row],[Plano de Contas]],BASE!$B$3:$H$119,5,FALSE),"")</f>
        <v>MANUTENÇÃO / TI</v>
      </c>
      <c r="L487" s="77">
        <f>IFERROR(VLOOKUP(DESPESAS[[#This Row],[Plano de Contas]],BASE!$B$3:$H$119,6,FALSE),"")</f>
        <v>0</v>
      </c>
      <c r="M487" s="77" t="str">
        <f>VLOOKUP(DESPESAS[[#This Row],[Plano de Contas]],BASE!$B$3:$H$119,7,FALSE)</f>
        <v>FÁBIO</v>
      </c>
    </row>
    <row r="488" spans="1:13" x14ac:dyDescent="0.25">
      <c r="A488" s="74">
        <v>196877</v>
      </c>
      <c r="B488" s="75" t="s">
        <v>221</v>
      </c>
      <c r="C488" s="75" t="s">
        <v>3029</v>
      </c>
      <c r="D488" s="76">
        <v>46035</v>
      </c>
      <c r="E488" s="75" t="s">
        <v>502</v>
      </c>
      <c r="F488" s="74">
        <v>220</v>
      </c>
      <c r="G488" s="75" t="s">
        <v>247</v>
      </c>
      <c r="H488" s="77" t="str">
        <f>VLOOKUP(DESPESAS[[#This Row],[Plano de Contas]],BASE!$B$3:$D$119,3,FALSE)</f>
        <v>Manutenção com veiculos</v>
      </c>
      <c r="I488" s="77" t="str">
        <f>IFERROR(VLOOKUP(DESPESAS[[#This Row],[Fornecedor]],Tabela2[],2,FALSE),"")</f>
        <v/>
      </c>
      <c r="J488" s="77" t="str">
        <f>IFERROR(VLOOKUP(DESPESAS[[#This Row],[Plano de Contas]],BASE!$B$3:$F$119,4,FALSE),"")</f>
        <v>6 - DESPESA COM VENDAS</v>
      </c>
      <c r="K488" s="77" t="str">
        <f>IFERROR(VLOOKUP(DESPESAS[[#This Row],[Plano de Contas]],BASE!$B$3:$H$119,5,FALSE),"")</f>
        <v>LOGÍSTICA</v>
      </c>
      <c r="L488" s="77">
        <f>IFERROR(VLOOKUP(DESPESAS[[#This Row],[Plano de Contas]],BASE!$B$3:$H$119,6,FALSE),"")</f>
        <v>0</v>
      </c>
      <c r="M488" s="77" t="str">
        <f>VLOOKUP(DESPESAS[[#This Row],[Plano de Contas]],BASE!$B$3:$H$119,7,FALSE)</f>
        <v>MYLENA</v>
      </c>
    </row>
    <row r="489" spans="1:13" x14ac:dyDescent="0.25">
      <c r="A489" s="74">
        <v>196878</v>
      </c>
      <c r="B489" s="75" t="s">
        <v>221</v>
      </c>
      <c r="C489" s="75" t="s">
        <v>3028</v>
      </c>
      <c r="D489" s="76">
        <v>46035</v>
      </c>
      <c r="E489" s="75" t="s">
        <v>301</v>
      </c>
      <c r="F489" s="74">
        <v>40</v>
      </c>
      <c r="G489" s="75" t="s">
        <v>247</v>
      </c>
      <c r="H489" s="77" t="str">
        <f>VLOOKUP(DESPESAS[[#This Row],[Plano de Contas]],BASE!$B$3:$D$119,3,FALSE)</f>
        <v>Manutenção com veiculos</v>
      </c>
      <c r="I489" s="77" t="str">
        <f>IFERROR(VLOOKUP(DESPESAS[[#This Row],[Fornecedor]],Tabela2[],2,FALSE),"")</f>
        <v/>
      </c>
      <c r="J489" s="77" t="str">
        <f>IFERROR(VLOOKUP(DESPESAS[[#This Row],[Plano de Contas]],BASE!$B$3:$F$119,4,FALSE),"")</f>
        <v>6 - DESPESA COM VENDAS</v>
      </c>
      <c r="K489" s="77" t="str">
        <f>IFERROR(VLOOKUP(DESPESAS[[#This Row],[Plano de Contas]],BASE!$B$3:$H$119,5,FALSE),"")</f>
        <v>LOGÍSTICA</v>
      </c>
      <c r="L489" s="77">
        <f>IFERROR(VLOOKUP(DESPESAS[[#This Row],[Plano de Contas]],BASE!$B$3:$H$119,6,FALSE),"")</f>
        <v>0</v>
      </c>
      <c r="M489" s="77" t="str">
        <f>VLOOKUP(DESPESAS[[#This Row],[Plano de Contas]],BASE!$B$3:$H$119,7,FALSE)</f>
        <v>MYLENA</v>
      </c>
    </row>
    <row r="490" spans="1:13" x14ac:dyDescent="0.25">
      <c r="A490" s="74">
        <v>196879</v>
      </c>
      <c r="B490" s="75" t="s">
        <v>232</v>
      </c>
      <c r="C490" s="75" t="s">
        <v>3027</v>
      </c>
      <c r="D490" s="76">
        <v>46029</v>
      </c>
      <c r="E490" s="75" t="s">
        <v>327</v>
      </c>
      <c r="F490" s="74">
        <v>150.56</v>
      </c>
      <c r="G490" s="75" t="s">
        <v>326</v>
      </c>
      <c r="H490" s="77" t="str">
        <f>VLOOKUP(DESPESAS[[#This Row],[Plano de Contas]],BASE!$B$3:$D$119,3,FALSE)</f>
        <v>Frete sobre Compras</v>
      </c>
      <c r="I490" s="77" t="str">
        <f>IFERROR(VLOOKUP(DESPESAS[[#This Row],[Fornecedor]],Tabela2[],2,FALSE),"")</f>
        <v>SERVIÇOS FRETE</v>
      </c>
      <c r="J490" s="77" t="str">
        <f>IFERROR(VLOOKUP(DESPESAS[[#This Row],[Plano de Contas]],BASE!$B$3:$F$119,4,FALSE),"")</f>
        <v>1 - CPV</v>
      </c>
      <c r="K490" s="77" t="str">
        <f>IFERROR(VLOOKUP(DESPESAS[[#This Row],[Plano de Contas]],BASE!$B$3:$H$119,5,FALSE),"")</f>
        <v>COMPRAS</v>
      </c>
      <c r="L490" s="77">
        <f>IFERROR(VLOOKUP(DESPESAS[[#This Row],[Plano de Contas]],BASE!$B$3:$H$119,6,FALSE),"")</f>
        <v>0</v>
      </c>
      <c r="M490" s="77" t="str">
        <f>VLOOKUP(DESPESAS[[#This Row],[Plano de Contas]],BASE!$B$3:$H$119,7,FALSE)</f>
        <v>MYLENA</v>
      </c>
    </row>
    <row r="491" spans="1:13" x14ac:dyDescent="0.25">
      <c r="A491" s="74">
        <v>196880</v>
      </c>
      <c r="B491" s="75" t="s">
        <v>232</v>
      </c>
      <c r="C491" s="75" t="s">
        <v>3026</v>
      </c>
      <c r="D491" s="76">
        <v>46030</v>
      </c>
      <c r="E491" s="75" t="s">
        <v>499</v>
      </c>
      <c r="F491" s="74">
        <v>153.31</v>
      </c>
      <c r="G491" s="75" t="s">
        <v>326</v>
      </c>
      <c r="H491" s="77" t="str">
        <f>VLOOKUP(DESPESAS[[#This Row],[Plano de Contas]],BASE!$B$3:$D$119,3,FALSE)</f>
        <v>Frete sobre Compras</v>
      </c>
      <c r="I491" s="77" t="str">
        <f>IFERROR(VLOOKUP(DESPESAS[[#This Row],[Fornecedor]],Tabela2[],2,FALSE),"")</f>
        <v/>
      </c>
      <c r="J491" s="77" t="str">
        <f>IFERROR(VLOOKUP(DESPESAS[[#This Row],[Plano de Contas]],BASE!$B$3:$F$119,4,FALSE),"")</f>
        <v>1 - CPV</v>
      </c>
      <c r="K491" s="77" t="str">
        <f>IFERROR(VLOOKUP(DESPESAS[[#This Row],[Plano de Contas]],BASE!$B$3:$H$119,5,FALSE),"")</f>
        <v>COMPRAS</v>
      </c>
      <c r="L491" s="77">
        <f>IFERROR(VLOOKUP(DESPESAS[[#This Row],[Plano de Contas]],BASE!$B$3:$H$119,6,FALSE),"")</f>
        <v>0</v>
      </c>
      <c r="M491" s="77" t="str">
        <f>VLOOKUP(DESPESAS[[#This Row],[Plano de Contas]],BASE!$B$3:$H$119,7,FALSE)</f>
        <v>MYLENA</v>
      </c>
    </row>
    <row r="492" spans="1:13" x14ac:dyDescent="0.25">
      <c r="A492" s="74">
        <v>196881</v>
      </c>
      <c r="B492" s="75" t="s">
        <v>232</v>
      </c>
      <c r="C492" s="75" t="s">
        <v>3025</v>
      </c>
      <c r="D492" s="76">
        <v>46035</v>
      </c>
      <c r="E492" s="75" t="s">
        <v>260</v>
      </c>
      <c r="F492" s="74">
        <v>697</v>
      </c>
      <c r="G492" s="75" t="s">
        <v>1318</v>
      </c>
      <c r="H492" s="77" t="str">
        <f>VLOOKUP(DESPESAS[[#This Row],[Plano de Contas]],BASE!$B$3:$D$119,3,FALSE)</f>
        <v>Feiras e Eventos</v>
      </c>
      <c r="I492" s="77" t="str">
        <f>IFERROR(VLOOKUP(DESPESAS[[#This Row],[Fornecedor]],Tabela2[],2,FALSE),"")</f>
        <v>PEÇAS DE FERRAMENTAS</v>
      </c>
      <c r="J492" s="77" t="str">
        <f>IFERROR(VLOOKUP(DESPESAS[[#This Row],[Plano de Contas]],BASE!$B$3:$F$119,4,FALSE),"")</f>
        <v>6 - DESPESA COM VENDAS</v>
      </c>
      <c r="K492" s="77" t="str">
        <f>IFERROR(VLOOKUP(DESPESAS[[#This Row],[Plano de Contas]],BASE!$B$3:$H$119,5,FALSE),"")</f>
        <v>COMERCIAL</v>
      </c>
      <c r="L492" s="77">
        <f>IFERROR(VLOOKUP(DESPESAS[[#This Row],[Plano de Contas]],BASE!$B$3:$H$119,6,FALSE),"")</f>
        <v>0</v>
      </c>
      <c r="M492" s="77" t="str">
        <f>VLOOKUP(DESPESAS[[#This Row],[Plano de Contas]],BASE!$B$3:$H$119,7,FALSE)</f>
        <v>THAIS</v>
      </c>
    </row>
    <row r="493" spans="1:13" x14ac:dyDescent="0.25">
      <c r="A493" s="74">
        <v>196882</v>
      </c>
      <c r="B493" s="75" t="s">
        <v>232</v>
      </c>
      <c r="C493" s="75" t="s">
        <v>3024</v>
      </c>
      <c r="D493" s="76">
        <v>46035</v>
      </c>
      <c r="E493" s="75" t="s">
        <v>260</v>
      </c>
      <c r="F493" s="74">
        <v>1079</v>
      </c>
      <c r="G493" s="75" t="s">
        <v>588</v>
      </c>
      <c r="H493" s="77" t="str">
        <f>VLOOKUP(DESPESAS[[#This Row],[Plano de Contas]],BASE!$B$3:$D$119,3,FALSE)</f>
        <v>Maquinas e Equipamentos</v>
      </c>
      <c r="I493" s="77" t="str">
        <f>IFERROR(VLOOKUP(DESPESAS[[#This Row],[Fornecedor]],Tabela2[],2,FALSE),"")</f>
        <v>PEÇAS DE FERRAMENTAS</v>
      </c>
      <c r="J493" s="77" t="str">
        <f>IFERROR(VLOOKUP(DESPESAS[[#This Row],[Plano de Contas]],BASE!$B$3:$F$119,4,FALSE),"")</f>
        <v>9 - INVESTIMENTOS</v>
      </c>
      <c r="K493" s="77" t="str">
        <f>IFERROR(VLOOKUP(DESPESAS[[#This Row],[Plano de Contas]],BASE!$B$3:$H$119,5,FALSE),"")</f>
        <v>MANUTENÇÃO / TI</v>
      </c>
      <c r="L493" s="77">
        <f>IFERROR(VLOOKUP(DESPESAS[[#This Row],[Plano de Contas]],BASE!$B$3:$H$119,6,FALSE),"")</f>
        <v>0</v>
      </c>
      <c r="M493" s="77" t="str">
        <f>VLOOKUP(DESPESAS[[#This Row],[Plano de Contas]],BASE!$B$3:$H$119,7,FALSE)</f>
        <v>RAFAEL</v>
      </c>
    </row>
    <row r="494" spans="1:13" x14ac:dyDescent="0.25">
      <c r="A494" s="74">
        <v>196883</v>
      </c>
      <c r="B494" s="75" t="s">
        <v>232</v>
      </c>
      <c r="C494" s="75" t="s">
        <v>3023</v>
      </c>
      <c r="D494" s="76">
        <v>46035</v>
      </c>
      <c r="E494" s="75" t="s">
        <v>615</v>
      </c>
      <c r="F494" s="74">
        <v>299.68</v>
      </c>
      <c r="G494" s="75" t="s">
        <v>218</v>
      </c>
      <c r="H494" s="77" t="str">
        <f>VLOOKUP(DESPESAS[[#This Row],[Plano de Contas]],BASE!$B$3:$D$119,3,FALSE)</f>
        <v>Manutenção de Equipamentos (Prod)</v>
      </c>
      <c r="I494" s="77" t="str">
        <f>IFERROR(VLOOKUP(DESPESAS[[#This Row],[Fornecedor]],Tabela2[],2,FALSE),"")</f>
        <v>MANUTENÇÕES FERRAMENTAS</v>
      </c>
      <c r="J494" s="77" t="str">
        <f>IFERROR(VLOOKUP(DESPESAS[[#This Row],[Plano de Contas]],BASE!$B$3:$F$119,4,FALSE),"")</f>
        <v>3 - CUSTOS INDIRETOS</v>
      </c>
      <c r="K494" s="77" t="str">
        <f>IFERROR(VLOOKUP(DESPESAS[[#This Row],[Plano de Contas]],BASE!$B$3:$H$119,5,FALSE),"")</f>
        <v>MANUTENÇÃO / TI</v>
      </c>
      <c r="L494" s="77">
        <f>IFERROR(VLOOKUP(DESPESAS[[#This Row],[Plano de Contas]],BASE!$B$3:$H$119,6,FALSE),"")</f>
        <v>0</v>
      </c>
      <c r="M494" s="77" t="str">
        <f>VLOOKUP(DESPESAS[[#This Row],[Plano de Contas]],BASE!$B$3:$H$119,7,FALSE)</f>
        <v>RAFAEL</v>
      </c>
    </row>
    <row r="495" spans="1:13" x14ac:dyDescent="0.25">
      <c r="A495" s="74">
        <v>196884</v>
      </c>
      <c r="B495" s="75" t="s">
        <v>232</v>
      </c>
      <c r="C495" s="75" t="s">
        <v>3022</v>
      </c>
      <c r="D495" s="76">
        <v>46035</v>
      </c>
      <c r="E495" s="75" t="s">
        <v>615</v>
      </c>
      <c r="F495" s="74">
        <v>450.32</v>
      </c>
      <c r="G495" s="75" t="s">
        <v>218</v>
      </c>
      <c r="H495" s="77" t="str">
        <f>VLOOKUP(DESPESAS[[#This Row],[Plano de Contas]],BASE!$B$3:$D$119,3,FALSE)</f>
        <v>Manutenção de Equipamentos (Prod)</v>
      </c>
      <c r="I495" s="77" t="str">
        <f>IFERROR(VLOOKUP(DESPESAS[[#This Row],[Fornecedor]],Tabela2[],2,FALSE),"")</f>
        <v>MANUTENÇÕES FERRAMENTAS</v>
      </c>
      <c r="J495" s="77" t="str">
        <f>IFERROR(VLOOKUP(DESPESAS[[#This Row],[Plano de Contas]],BASE!$B$3:$F$119,4,FALSE),"")</f>
        <v>3 - CUSTOS INDIRETOS</v>
      </c>
      <c r="K495" s="77" t="str">
        <f>IFERROR(VLOOKUP(DESPESAS[[#This Row],[Plano de Contas]],BASE!$B$3:$H$119,5,FALSE),"")</f>
        <v>MANUTENÇÃO / TI</v>
      </c>
      <c r="L495" s="77">
        <f>IFERROR(VLOOKUP(DESPESAS[[#This Row],[Plano de Contas]],BASE!$B$3:$H$119,6,FALSE),"")</f>
        <v>0</v>
      </c>
      <c r="M495" s="77" t="str">
        <f>VLOOKUP(DESPESAS[[#This Row],[Plano de Contas]],BASE!$B$3:$H$119,7,FALSE)</f>
        <v>RAFAEL</v>
      </c>
    </row>
    <row r="496" spans="1:13" x14ac:dyDescent="0.25">
      <c r="A496" s="74">
        <v>196885</v>
      </c>
      <c r="B496" s="75" t="s">
        <v>221</v>
      </c>
      <c r="C496" s="75" t="s">
        <v>3021</v>
      </c>
      <c r="D496" s="76">
        <v>46036</v>
      </c>
      <c r="E496" s="75" t="s">
        <v>1262</v>
      </c>
      <c r="F496" s="74">
        <v>42.83</v>
      </c>
      <c r="G496" s="75" t="s">
        <v>423</v>
      </c>
      <c r="H496" s="77" t="str">
        <f>VLOOKUP(DESPESAS[[#This Row],[Plano de Contas]],BASE!$B$3:$D$119,3,FALSE)</f>
        <v>Combustíveis (Adm)</v>
      </c>
      <c r="I496" s="77" t="str">
        <f>IFERROR(VLOOKUP(DESPESAS[[#This Row],[Fornecedor]],Tabela2[],2,FALSE),"")</f>
        <v/>
      </c>
      <c r="J496" s="77" t="str">
        <f>IFERROR(VLOOKUP(DESPESAS[[#This Row],[Plano de Contas]],BASE!$B$3:$F$119,4,FALSE),"")</f>
        <v>5 - DESPESAS ADMINISTRATIVAS</v>
      </c>
      <c r="K496" s="77" t="str">
        <f>IFERROR(VLOOKUP(DESPESAS[[#This Row],[Plano de Contas]],BASE!$B$3:$H$119,5,FALSE),"")</f>
        <v>LOGÍSTICA</v>
      </c>
      <c r="L496" s="77">
        <f>IFERROR(VLOOKUP(DESPESAS[[#This Row],[Plano de Contas]],BASE!$B$3:$H$119,6,FALSE),"")</f>
        <v>0</v>
      </c>
      <c r="M496" s="77" t="str">
        <f>VLOOKUP(DESPESAS[[#This Row],[Plano de Contas]],BASE!$B$3:$H$119,7,FALSE)</f>
        <v>LETÍCIA</v>
      </c>
    </row>
    <row r="497" spans="1:13" x14ac:dyDescent="0.25">
      <c r="A497" s="74">
        <v>196886</v>
      </c>
      <c r="B497" s="75" t="s">
        <v>221</v>
      </c>
      <c r="C497" s="75" t="s">
        <v>3020</v>
      </c>
      <c r="D497" s="76">
        <v>46034</v>
      </c>
      <c r="E497" s="75" t="s">
        <v>1262</v>
      </c>
      <c r="F497" s="74">
        <v>538.29999999999995</v>
      </c>
      <c r="G497" s="75" t="s">
        <v>241</v>
      </c>
      <c r="H497" s="77" t="str">
        <f>VLOOKUP(DESPESAS[[#This Row],[Plano de Contas]],BASE!$B$3:$D$119,3,FALSE)</f>
        <v>Combustiveis Frota</v>
      </c>
      <c r="I497" s="77" t="str">
        <f>IFERROR(VLOOKUP(DESPESAS[[#This Row],[Fornecedor]],Tabela2[],2,FALSE),"")</f>
        <v/>
      </c>
      <c r="J497" s="77" t="str">
        <f>IFERROR(VLOOKUP(DESPESAS[[#This Row],[Plano de Contas]],BASE!$B$3:$F$119,4,FALSE),"")</f>
        <v>6 - DESPESA COM VENDAS</v>
      </c>
      <c r="K497" s="77" t="str">
        <f>IFERROR(VLOOKUP(DESPESAS[[#This Row],[Plano de Contas]],BASE!$B$3:$H$119,5,FALSE),"")</f>
        <v>LOGÍSTICA</v>
      </c>
      <c r="L497" s="77">
        <f>IFERROR(VLOOKUP(DESPESAS[[#This Row],[Plano de Contas]],BASE!$B$3:$H$119,6,FALSE),"")</f>
        <v>0</v>
      </c>
      <c r="M497" s="77" t="str">
        <f>VLOOKUP(DESPESAS[[#This Row],[Plano de Contas]],BASE!$B$3:$H$119,7,FALSE)</f>
        <v>MYLENA</v>
      </c>
    </row>
    <row r="498" spans="1:13" x14ac:dyDescent="0.25">
      <c r="A498" s="74">
        <v>196887</v>
      </c>
      <c r="B498" s="75" t="s">
        <v>221</v>
      </c>
      <c r="C498" s="75" t="s">
        <v>3019</v>
      </c>
      <c r="D498" s="76">
        <v>46034</v>
      </c>
      <c r="E498" s="75" t="s">
        <v>1732</v>
      </c>
      <c r="F498" s="74">
        <v>3047.72</v>
      </c>
      <c r="G498" s="75" t="s">
        <v>241</v>
      </c>
      <c r="H498" s="77" t="str">
        <f>VLOOKUP(DESPESAS[[#This Row],[Plano de Contas]],BASE!$B$3:$D$119,3,FALSE)</f>
        <v>Combustiveis Frota</v>
      </c>
      <c r="I498" s="77" t="str">
        <f>IFERROR(VLOOKUP(DESPESAS[[#This Row],[Fornecedor]],Tabela2[],2,FALSE),"")</f>
        <v/>
      </c>
      <c r="J498" s="77" t="str">
        <f>IFERROR(VLOOKUP(DESPESAS[[#This Row],[Plano de Contas]],BASE!$B$3:$F$119,4,FALSE),"")</f>
        <v>6 - DESPESA COM VENDAS</v>
      </c>
      <c r="K498" s="77" t="str">
        <f>IFERROR(VLOOKUP(DESPESAS[[#This Row],[Plano de Contas]],BASE!$B$3:$H$119,5,FALSE),"")</f>
        <v>LOGÍSTICA</v>
      </c>
      <c r="L498" s="77">
        <f>IFERROR(VLOOKUP(DESPESAS[[#This Row],[Plano de Contas]],BASE!$B$3:$H$119,6,FALSE),"")</f>
        <v>0</v>
      </c>
      <c r="M498" s="77" t="str">
        <f>VLOOKUP(DESPESAS[[#This Row],[Plano de Contas]],BASE!$B$3:$H$119,7,FALSE)</f>
        <v>MYLENA</v>
      </c>
    </row>
    <row r="499" spans="1:13" x14ac:dyDescent="0.25">
      <c r="A499" s="74">
        <v>196888</v>
      </c>
      <c r="B499" s="75" t="s">
        <v>232</v>
      </c>
      <c r="C499" s="75" t="s">
        <v>3018</v>
      </c>
      <c r="D499" s="76">
        <v>46036</v>
      </c>
      <c r="E499" s="75" t="s">
        <v>347</v>
      </c>
      <c r="F499" s="74">
        <v>130.16</v>
      </c>
      <c r="G499" s="75" t="s">
        <v>583</v>
      </c>
      <c r="H499" s="77" t="str">
        <f>VLOOKUP(DESPESAS[[#This Row],[Plano de Contas]],BASE!$B$3:$D$119,3,FALSE)</f>
        <v>Multas de Trânsito</v>
      </c>
      <c r="I499" s="77" t="str">
        <f>IFERROR(VLOOKUP(DESPESAS[[#This Row],[Fornecedor]],Tabela2[],2,FALSE),"")</f>
        <v/>
      </c>
      <c r="J499" s="77" t="str">
        <f>IFERROR(VLOOKUP(DESPESAS[[#This Row],[Plano de Contas]],BASE!$B$3:$F$119,4,FALSE),"")</f>
        <v>6 - DESPESA COM VENDAS</v>
      </c>
      <c r="K499" s="77" t="str">
        <f>IFERROR(VLOOKUP(DESPESAS[[#This Row],[Plano de Contas]],BASE!$B$3:$H$119,5,FALSE),"")</f>
        <v>LOGÍSTICA</v>
      </c>
      <c r="L499" s="77">
        <f>IFERROR(VLOOKUP(DESPESAS[[#This Row],[Plano de Contas]],BASE!$B$3:$H$119,6,FALSE),"")</f>
        <v>0</v>
      </c>
      <c r="M499" s="77" t="str">
        <f>VLOOKUP(DESPESAS[[#This Row],[Plano de Contas]],BASE!$B$3:$H$119,7,FALSE)</f>
        <v>MYLENA</v>
      </c>
    </row>
    <row r="500" spans="1:13" x14ac:dyDescent="0.25">
      <c r="A500" s="74">
        <v>196889</v>
      </c>
      <c r="B500" s="75" t="s">
        <v>232</v>
      </c>
      <c r="C500" s="75" t="s">
        <v>3017</v>
      </c>
      <c r="D500" s="76">
        <v>46036</v>
      </c>
      <c r="E500" s="75" t="s">
        <v>230</v>
      </c>
      <c r="F500" s="74">
        <v>52.43</v>
      </c>
      <c r="G500" s="75" t="s">
        <v>251</v>
      </c>
      <c r="H500" s="77" t="str">
        <f>VLOOKUP(DESPESAS[[#This Row],[Plano de Contas]],BASE!$B$3:$D$119,3,FALSE)</f>
        <v>Juros Pagos - Antecipação de Crédito</v>
      </c>
      <c r="I500" s="77" t="str">
        <f>IFERROR(VLOOKUP(DESPESAS[[#This Row],[Fornecedor]],Tabela2[],2,FALSE),"")</f>
        <v/>
      </c>
      <c r="J500" s="77" t="str">
        <f>IFERROR(VLOOKUP(DESPESAS[[#This Row],[Plano de Contas]],BASE!$B$3:$F$119,4,FALSE),"")</f>
        <v>8 - DESPESAS FINANCEIRAS</v>
      </c>
      <c r="K500" s="77" t="str">
        <f>IFERROR(VLOOKUP(DESPESAS[[#This Row],[Plano de Contas]],BASE!$B$3:$H$119,5,FALSE),"")</f>
        <v>FINANCEIRO</v>
      </c>
      <c r="L500" s="77">
        <f>IFERROR(VLOOKUP(DESPESAS[[#This Row],[Plano de Contas]],BASE!$B$3:$H$119,6,FALSE),"")</f>
        <v>0</v>
      </c>
      <c r="M500" s="77" t="str">
        <f>VLOOKUP(DESPESAS[[#This Row],[Plano de Contas]],BASE!$B$3:$H$119,7,FALSE)</f>
        <v>LETÍCIA</v>
      </c>
    </row>
    <row r="501" spans="1:13" x14ac:dyDescent="0.25">
      <c r="A501" s="74">
        <v>196890</v>
      </c>
      <c r="B501" s="75" t="s">
        <v>221</v>
      </c>
      <c r="C501" s="75" t="s">
        <v>3016</v>
      </c>
      <c r="D501" s="76">
        <v>46036</v>
      </c>
      <c r="E501" s="75" t="s">
        <v>1636</v>
      </c>
      <c r="F501" s="74">
        <v>49</v>
      </c>
      <c r="G501" s="75" t="s">
        <v>747</v>
      </c>
      <c r="H501" s="77" t="str">
        <f>VLOOKUP(DESPESAS[[#This Row],[Plano de Contas]],BASE!$B$3:$D$119,3,FALSE)</f>
        <v>Cursos e Treinamentos (Adm)</v>
      </c>
      <c r="I501" s="77" t="str">
        <f>IFERROR(VLOOKUP(DESPESAS[[#This Row],[Fornecedor]],Tabela2[],2,FALSE),"")</f>
        <v/>
      </c>
      <c r="J501" s="77" t="str">
        <f>IFERROR(VLOOKUP(DESPESAS[[#This Row],[Plano de Contas]],BASE!$B$3:$F$119,4,FALSE),"")</f>
        <v>4 - GASTOS COM PESSOAL</v>
      </c>
      <c r="K501" s="77" t="str">
        <f>IFERROR(VLOOKUP(DESPESAS[[#This Row],[Plano de Contas]],BASE!$B$3:$H$119,5,FALSE),"")</f>
        <v>DIRETORIA</v>
      </c>
      <c r="L501" s="77">
        <f>IFERROR(VLOOKUP(DESPESAS[[#This Row],[Plano de Contas]],BASE!$B$3:$H$119,6,FALSE),"")</f>
        <v>0</v>
      </c>
      <c r="M501" s="77" t="str">
        <f>VLOOKUP(DESPESAS[[#This Row],[Plano de Contas]],BASE!$B$3:$H$119,7,FALSE)</f>
        <v>FÁBIO</v>
      </c>
    </row>
    <row r="502" spans="1:13" x14ac:dyDescent="0.25">
      <c r="A502" s="74">
        <v>196891</v>
      </c>
      <c r="B502" s="75" t="s">
        <v>232</v>
      </c>
      <c r="C502" s="75" t="s">
        <v>3015</v>
      </c>
      <c r="D502" s="76">
        <v>46036</v>
      </c>
      <c r="E502" s="75" t="s">
        <v>230</v>
      </c>
      <c r="F502" s="74">
        <v>5.12</v>
      </c>
      <c r="G502" s="75" t="s">
        <v>229</v>
      </c>
      <c r="H502" s="77" t="str">
        <f>VLOOKUP(DESPESAS[[#This Row],[Plano de Contas]],BASE!$B$3:$D$119,3,FALSE)</f>
        <v>Despesas Bancarias</v>
      </c>
      <c r="I502" s="77" t="str">
        <f>IFERROR(VLOOKUP(DESPESAS[[#This Row],[Fornecedor]],Tabela2[],2,FALSE),"")</f>
        <v/>
      </c>
      <c r="J502" s="77" t="str">
        <f>IFERROR(VLOOKUP(DESPESAS[[#This Row],[Plano de Contas]],BASE!$B$3:$F$119,4,FALSE),"")</f>
        <v>8 - DESPESAS FINANCEIRAS</v>
      </c>
      <c r="K502" s="77" t="str">
        <f>IFERROR(VLOOKUP(DESPESAS[[#This Row],[Plano de Contas]],BASE!$B$3:$H$119,5,FALSE),"")</f>
        <v>FINANCEIRO</v>
      </c>
      <c r="L502" s="77">
        <f>IFERROR(VLOOKUP(DESPESAS[[#This Row],[Plano de Contas]],BASE!$B$3:$H$119,6,FALSE),"")</f>
        <v>0</v>
      </c>
      <c r="M502" s="77" t="str">
        <f>VLOOKUP(DESPESAS[[#This Row],[Plano de Contas]],BASE!$B$3:$H$119,7,FALSE)</f>
        <v>LETÍCIA</v>
      </c>
    </row>
    <row r="503" spans="1:13" x14ac:dyDescent="0.25">
      <c r="A503" s="74">
        <v>196892</v>
      </c>
      <c r="B503" s="75" t="s">
        <v>232</v>
      </c>
      <c r="C503" s="75" t="s">
        <v>3014</v>
      </c>
      <c r="D503" s="76">
        <v>46036</v>
      </c>
      <c r="E503" s="75" t="s">
        <v>230</v>
      </c>
      <c r="F503" s="74">
        <v>10.27</v>
      </c>
      <c r="G503" s="75" t="s">
        <v>229</v>
      </c>
      <c r="H503" s="77" t="str">
        <f>VLOOKUP(DESPESAS[[#This Row],[Plano de Contas]],BASE!$B$3:$D$119,3,FALSE)</f>
        <v>Despesas Bancarias</v>
      </c>
      <c r="I503" s="77" t="str">
        <f>IFERROR(VLOOKUP(DESPESAS[[#This Row],[Fornecedor]],Tabela2[],2,FALSE),"")</f>
        <v/>
      </c>
      <c r="J503" s="77" t="str">
        <f>IFERROR(VLOOKUP(DESPESAS[[#This Row],[Plano de Contas]],BASE!$B$3:$F$119,4,FALSE),"")</f>
        <v>8 - DESPESAS FINANCEIRAS</v>
      </c>
      <c r="K503" s="77" t="str">
        <f>IFERROR(VLOOKUP(DESPESAS[[#This Row],[Plano de Contas]],BASE!$B$3:$H$119,5,FALSE),"")</f>
        <v>FINANCEIRO</v>
      </c>
      <c r="L503" s="77">
        <f>IFERROR(VLOOKUP(DESPESAS[[#This Row],[Plano de Contas]],BASE!$B$3:$H$119,6,FALSE),"")</f>
        <v>0</v>
      </c>
      <c r="M503" s="77" t="str">
        <f>VLOOKUP(DESPESAS[[#This Row],[Plano de Contas]],BASE!$B$3:$H$119,7,FALSE)</f>
        <v>LETÍCIA</v>
      </c>
    </row>
    <row r="504" spans="1:13" x14ac:dyDescent="0.25">
      <c r="A504" s="74">
        <v>196893</v>
      </c>
      <c r="B504" s="75" t="s">
        <v>232</v>
      </c>
      <c r="C504" s="75" t="s">
        <v>3013</v>
      </c>
      <c r="D504" s="76">
        <v>46036</v>
      </c>
      <c r="E504" s="75" t="s">
        <v>230</v>
      </c>
      <c r="F504" s="74">
        <v>22.87</v>
      </c>
      <c r="G504" s="75" t="s">
        <v>251</v>
      </c>
      <c r="H504" s="77" t="str">
        <f>VLOOKUP(DESPESAS[[#This Row],[Plano de Contas]],BASE!$B$3:$D$119,3,FALSE)</f>
        <v>Juros Pagos - Antecipação de Crédito</v>
      </c>
      <c r="I504" s="77" t="str">
        <f>IFERROR(VLOOKUP(DESPESAS[[#This Row],[Fornecedor]],Tabela2[],2,FALSE),"")</f>
        <v/>
      </c>
      <c r="J504" s="77" t="str">
        <f>IFERROR(VLOOKUP(DESPESAS[[#This Row],[Plano de Contas]],BASE!$B$3:$F$119,4,FALSE),"")</f>
        <v>8 - DESPESAS FINANCEIRAS</v>
      </c>
      <c r="K504" s="77" t="str">
        <f>IFERROR(VLOOKUP(DESPESAS[[#This Row],[Plano de Contas]],BASE!$B$3:$H$119,5,FALSE),"")</f>
        <v>FINANCEIRO</v>
      </c>
      <c r="L504" s="77">
        <f>IFERROR(VLOOKUP(DESPESAS[[#This Row],[Plano de Contas]],BASE!$B$3:$H$119,6,FALSE),"")</f>
        <v>0</v>
      </c>
      <c r="M504" s="77" t="str">
        <f>VLOOKUP(DESPESAS[[#This Row],[Plano de Contas]],BASE!$B$3:$H$119,7,FALSE)</f>
        <v>LETÍCIA</v>
      </c>
    </row>
    <row r="505" spans="1:13" x14ac:dyDescent="0.25">
      <c r="A505" s="74">
        <v>196894</v>
      </c>
      <c r="B505" s="75" t="s">
        <v>232</v>
      </c>
      <c r="C505" s="75" t="s">
        <v>3012</v>
      </c>
      <c r="D505" s="76">
        <v>46036</v>
      </c>
      <c r="E505" s="75" t="s">
        <v>230</v>
      </c>
      <c r="F505" s="74">
        <v>2.23</v>
      </c>
      <c r="G505" s="75" t="s">
        <v>229</v>
      </c>
      <c r="H505" s="77" t="str">
        <f>VLOOKUP(DESPESAS[[#This Row],[Plano de Contas]],BASE!$B$3:$D$119,3,FALSE)</f>
        <v>Despesas Bancarias</v>
      </c>
      <c r="I505" s="77" t="str">
        <f>IFERROR(VLOOKUP(DESPESAS[[#This Row],[Fornecedor]],Tabela2[],2,FALSE),"")</f>
        <v/>
      </c>
      <c r="J505" s="77" t="str">
        <f>IFERROR(VLOOKUP(DESPESAS[[#This Row],[Plano de Contas]],BASE!$B$3:$F$119,4,FALSE),"")</f>
        <v>8 - DESPESAS FINANCEIRAS</v>
      </c>
      <c r="K505" s="77" t="str">
        <f>IFERROR(VLOOKUP(DESPESAS[[#This Row],[Plano de Contas]],BASE!$B$3:$H$119,5,FALSE),"")</f>
        <v>FINANCEIRO</v>
      </c>
      <c r="L505" s="77">
        <f>IFERROR(VLOOKUP(DESPESAS[[#This Row],[Plano de Contas]],BASE!$B$3:$H$119,6,FALSE),"")</f>
        <v>0</v>
      </c>
      <c r="M505" s="77" t="str">
        <f>VLOOKUP(DESPESAS[[#This Row],[Plano de Contas]],BASE!$B$3:$H$119,7,FALSE)</f>
        <v>LETÍCIA</v>
      </c>
    </row>
    <row r="506" spans="1:13" x14ac:dyDescent="0.25">
      <c r="A506" s="74">
        <v>196895</v>
      </c>
      <c r="B506" s="75" t="s">
        <v>232</v>
      </c>
      <c r="C506" s="75" t="s">
        <v>3011</v>
      </c>
      <c r="D506" s="76">
        <v>46035</v>
      </c>
      <c r="E506" s="75" t="s">
        <v>230</v>
      </c>
      <c r="F506" s="74">
        <v>1.58</v>
      </c>
      <c r="G506" s="75" t="s">
        <v>229</v>
      </c>
      <c r="H506" s="77" t="str">
        <f>VLOOKUP(DESPESAS[[#This Row],[Plano de Contas]],BASE!$B$3:$D$119,3,FALSE)</f>
        <v>Despesas Bancarias</v>
      </c>
      <c r="I506" s="77" t="str">
        <f>IFERROR(VLOOKUP(DESPESAS[[#This Row],[Fornecedor]],Tabela2[],2,FALSE),"")</f>
        <v/>
      </c>
      <c r="J506" s="77" t="str">
        <f>IFERROR(VLOOKUP(DESPESAS[[#This Row],[Plano de Contas]],BASE!$B$3:$F$119,4,FALSE),"")</f>
        <v>8 - DESPESAS FINANCEIRAS</v>
      </c>
      <c r="K506" s="77" t="str">
        <f>IFERROR(VLOOKUP(DESPESAS[[#This Row],[Plano de Contas]],BASE!$B$3:$H$119,5,FALSE),"")</f>
        <v>FINANCEIRO</v>
      </c>
      <c r="L506" s="77">
        <f>IFERROR(VLOOKUP(DESPESAS[[#This Row],[Plano de Contas]],BASE!$B$3:$H$119,6,FALSE),"")</f>
        <v>0</v>
      </c>
      <c r="M506" s="77" t="str">
        <f>VLOOKUP(DESPESAS[[#This Row],[Plano de Contas]],BASE!$B$3:$H$119,7,FALSE)</f>
        <v>LETÍCIA</v>
      </c>
    </row>
    <row r="507" spans="1:13" x14ac:dyDescent="0.25">
      <c r="A507" s="74">
        <v>196896</v>
      </c>
      <c r="B507" s="75" t="s">
        <v>232</v>
      </c>
      <c r="C507" s="75" t="s">
        <v>3010</v>
      </c>
      <c r="D507" s="76">
        <v>46034</v>
      </c>
      <c r="E507" s="75" t="s">
        <v>230</v>
      </c>
      <c r="F507" s="74">
        <v>2.21</v>
      </c>
      <c r="G507" s="75" t="s">
        <v>229</v>
      </c>
      <c r="H507" s="77" t="str">
        <f>VLOOKUP(DESPESAS[[#This Row],[Plano de Contas]],BASE!$B$3:$D$119,3,FALSE)</f>
        <v>Despesas Bancarias</v>
      </c>
      <c r="I507" s="77" t="str">
        <f>IFERROR(VLOOKUP(DESPESAS[[#This Row],[Fornecedor]],Tabela2[],2,FALSE),"")</f>
        <v/>
      </c>
      <c r="J507" s="77" t="str">
        <f>IFERROR(VLOOKUP(DESPESAS[[#This Row],[Plano de Contas]],BASE!$B$3:$F$119,4,FALSE),"")</f>
        <v>8 - DESPESAS FINANCEIRAS</v>
      </c>
      <c r="K507" s="77" t="str">
        <f>IFERROR(VLOOKUP(DESPESAS[[#This Row],[Plano de Contas]],BASE!$B$3:$H$119,5,FALSE),"")</f>
        <v>FINANCEIRO</v>
      </c>
      <c r="L507" s="77">
        <f>IFERROR(VLOOKUP(DESPESAS[[#This Row],[Plano de Contas]],BASE!$B$3:$H$119,6,FALSE),"")</f>
        <v>0</v>
      </c>
      <c r="M507" s="77" t="str">
        <f>VLOOKUP(DESPESAS[[#This Row],[Plano de Contas]],BASE!$B$3:$H$119,7,FALSE)</f>
        <v>LETÍCIA</v>
      </c>
    </row>
    <row r="508" spans="1:13" x14ac:dyDescent="0.25">
      <c r="A508" s="74">
        <v>196897</v>
      </c>
      <c r="B508" s="75" t="s">
        <v>232</v>
      </c>
      <c r="C508" s="75" t="s">
        <v>3009</v>
      </c>
      <c r="D508" s="76">
        <v>46036</v>
      </c>
      <c r="E508" s="75" t="s">
        <v>230</v>
      </c>
      <c r="F508" s="74">
        <v>0.79</v>
      </c>
      <c r="G508" s="75" t="s">
        <v>229</v>
      </c>
      <c r="H508" s="77" t="str">
        <f>VLOOKUP(DESPESAS[[#This Row],[Plano de Contas]],BASE!$B$3:$D$119,3,FALSE)</f>
        <v>Despesas Bancarias</v>
      </c>
      <c r="I508" s="77" t="str">
        <f>IFERROR(VLOOKUP(DESPESAS[[#This Row],[Fornecedor]],Tabela2[],2,FALSE),"")</f>
        <v/>
      </c>
      <c r="J508" s="77" t="str">
        <f>IFERROR(VLOOKUP(DESPESAS[[#This Row],[Plano de Contas]],BASE!$B$3:$F$119,4,FALSE),"")</f>
        <v>8 - DESPESAS FINANCEIRAS</v>
      </c>
      <c r="K508" s="77" t="str">
        <f>IFERROR(VLOOKUP(DESPESAS[[#This Row],[Plano de Contas]],BASE!$B$3:$H$119,5,FALSE),"")</f>
        <v>FINANCEIRO</v>
      </c>
      <c r="L508" s="77">
        <f>IFERROR(VLOOKUP(DESPESAS[[#This Row],[Plano de Contas]],BASE!$B$3:$H$119,6,FALSE),"")</f>
        <v>0</v>
      </c>
      <c r="M508" s="77" t="str">
        <f>VLOOKUP(DESPESAS[[#This Row],[Plano de Contas]],BASE!$B$3:$H$119,7,FALSE)</f>
        <v>LETÍCIA</v>
      </c>
    </row>
    <row r="509" spans="1:13" x14ac:dyDescent="0.25">
      <c r="A509" s="74">
        <v>196900</v>
      </c>
      <c r="B509" s="75" t="s">
        <v>221</v>
      </c>
      <c r="C509" s="75" t="s">
        <v>3008</v>
      </c>
      <c r="D509" s="76">
        <v>46036</v>
      </c>
      <c r="E509" s="75" t="s">
        <v>239</v>
      </c>
      <c r="F509" s="74">
        <v>1950</v>
      </c>
      <c r="G509" s="75" t="s">
        <v>238</v>
      </c>
      <c r="H509" s="77" t="str">
        <f>VLOOKUP(DESPESAS[[#This Row],[Plano de Contas]],BASE!$B$3:$D$119,3,FALSE)</f>
        <v>Consultoria Comercial</v>
      </c>
      <c r="I509" s="77" t="str">
        <f>IFERROR(VLOOKUP(DESPESAS[[#This Row],[Fornecedor]],Tabela2[],2,FALSE),"")</f>
        <v/>
      </c>
      <c r="J509" s="77" t="str">
        <f>IFERROR(VLOOKUP(DESPESAS[[#This Row],[Plano de Contas]],BASE!$B$3:$F$119,4,FALSE),"")</f>
        <v>6 - DESPESA COM VENDAS</v>
      </c>
      <c r="K509" s="77" t="str">
        <f>IFERROR(VLOOKUP(DESPESAS[[#This Row],[Plano de Contas]],BASE!$B$3:$H$119,5,FALSE),"")</f>
        <v>COMERCIAL</v>
      </c>
      <c r="L509" s="77">
        <f>IFERROR(VLOOKUP(DESPESAS[[#This Row],[Plano de Contas]],BASE!$B$3:$H$119,6,FALSE),"")</f>
        <v>0</v>
      </c>
      <c r="M509" s="77" t="str">
        <f>VLOOKUP(DESPESAS[[#This Row],[Plano de Contas]],BASE!$B$3:$H$119,7,FALSE)</f>
        <v>LETÍCIA</v>
      </c>
    </row>
    <row r="510" spans="1:13" x14ac:dyDescent="0.25">
      <c r="A510" s="74">
        <v>196901</v>
      </c>
      <c r="B510" s="75" t="s">
        <v>221</v>
      </c>
      <c r="C510" s="75" t="s">
        <v>3008</v>
      </c>
      <c r="D510" s="76">
        <v>46036</v>
      </c>
      <c r="E510" s="75" t="s">
        <v>754</v>
      </c>
      <c r="F510" s="74">
        <v>187.29</v>
      </c>
      <c r="G510" s="75" t="s">
        <v>751</v>
      </c>
      <c r="H510" s="77" t="str">
        <f>VLOOKUP(DESPESAS[[#This Row],[Plano de Contas]],BASE!$B$3:$D$119,3,FALSE)</f>
        <v>Comissões sobre Vendas Interno</v>
      </c>
      <c r="I510" s="77" t="str">
        <f>IFERROR(VLOOKUP(DESPESAS[[#This Row],[Fornecedor]],Tabela2[],2,FALSE),"")</f>
        <v/>
      </c>
      <c r="J510" s="77" t="str">
        <f>IFERROR(VLOOKUP(DESPESAS[[#This Row],[Plano de Contas]],BASE!$B$3:$F$119,4,FALSE),"")</f>
        <v>6 - DESPESA COM VENDAS</v>
      </c>
      <c r="K510" s="77" t="str">
        <f>IFERROR(VLOOKUP(DESPESAS[[#This Row],[Plano de Contas]],BASE!$B$3:$H$119,5,FALSE),"")</f>
        <v>COMERCIAL</v>
      </c>
      <c r="L510" s="77">
        <f>IFERROR(VLOOKUP(DESPESAS[[#This Row],[Plano de Contas]],BASE!$B$3:$H$119,6,FALSE),"")</f>
        <v>0</v>
      </c>
      <c r="M510" s="77" t="str">
        <f>VLOOKUP(DESPESAS[[#This Row],[Plano de Contas]],BASE!$B$3:$H$119,7,FALSE)</f>
        <v>LETÍCIA</v>
      </c>
    </row>
    <row r="511" spans="1:13" x14ac:dyDescent="0.25">
      <c r="A511" s="74">
        <v>196902</v>
      </c>
      <c r="B511" s="75" t="s">
        <v>221</v>
      </c>
      <c r="C511" s="75" t="s">
        <v>3008</v>
      </c>
      <c r="D511" s="76">
        <v>46036</v>
      </c>
      <c r="E511" s="75" t="s">
        <v>753</v>
      </c>
      <c r="F511" s="74">
        <v>1058.6199999999999</v>
      </c>
      <c r="G511" s="75" t="s">
        <v>751</v>
      </c>
      <c r="H511" s="77" t="str">
        <f>VLOOKUP(DESPESAS[[#This Row],[Plano de Contas]],BASE!$B$3:$D$119,3,FALSE)</f>
        <v>Comissões sobre Vendas Interno</v>
      </c>
      <c r="I511" s="77" t="str">
        <f>IFERROR(VLOOKUP(DESPESAS[[#This Row],[Fornecedor]],Tabela2[],2,FALSE),"")</f>
        <v/>
      </c>
      <c r="J511" s="77" t="str">
        <f>IFERROR(VLOOKUP(DESPESAS[[#This Row],[Plano de Contas]],BASE!$B$3:$F$119,4,FALSE),"")</f>
        <v>6 - DESPESA COM VENDAS</v>
      </c>
      <c r="K511" s="77" t="str">
        <f>IFERROR(VLOOKUP(DESPESAS[[#This Row],[Plano de Contas]],BASE!$B$3:$H$119,5,FALSE),"")</f>
        <v>COMERCIAL</v>
      </c>
      <c r="L511" s="77">
        <f>IFERROR(VLOOKUP(DESPESAS[[#This Row],[Plano de Contas]],BASE!$B$3:$H$119,6,FALSE),"")</f>
        <v>0</v>
      </c>
      <c r="M511" s="77" t="str">
        <f>VLOOKUP(DESPESAS[[#This Row],[Plano de Contas]],BASE!$B$3:$H$119,7,FALSE)</f>
        <v>LETÍCIA</v>
      </c>
    </row>
    <row r="512" spans="1:13" x14ac:dyDescent="0.25">
      <c r="A512" s="74">
        <v>196903</v>
      </c>
      <c r="B512" s="75" t="s">
        <v>221</v>
      </c>
      <c r="C512" s="75" t="s">
        <v>3008</v>
      </c>
      <c r="D512" s="76">
        <v>46036</v>
      </c>
      <c r="E512" s="75" t="s">
        <v>752</v>
      </c>
      <c r="F512" s="74">
        <v>5978.53</v>
      </c>
      <c r="G512" s="75" t="s">
        <v>751</v>
      </c>
      <c r="H512" s="77" t="str">
        <f>VLOOKUP(DESPESAS[[#This Row],[Plano de Contas]],BASE!$B$3:$D$119,3,FALSE)</f>
        <v>Comissões sobre Vendas Interno</v>
      </c>
      <c r="I512" s="77" t="str">
        <f>IFERROR(VLOOKUP(DESPESAS[[#This Row],[Fornecedor]],Tabela2[],2,FALSE),"")</f>
        <v/>
      </c>
      <c r="J512" s="77" t="str">
        <f>IFERROR(VLOOKUP(DESPESAS[[#This Row],[Plano de Contas]],BASE!$B$3:$F$119,4,FALSE),"")</f>
        <v>6 - DESPESA COM VENDAS</v>
      </c>
      <c r="K512" s="77" t="str">
        <f>IFERROR(VLOOKUP(DESPESAS[[#This Row],[Plano de Contas]],BASE!$B$3:$H$119,5,FALSE),"")</f>
        <v>COMERCIAL</v>
      </c>
      <c r="L512" s="77">
        <f>IFERROR(VLOOKUP(DESPESAS[[#This Row],[Plano de Contas]],BASE!$B$3:$H$119,6,FALSE),"")</f>
        <v>0</v>
      </c>
      <c r="M512" s="77" t="str">
        <f>VLOOKUP(DESPESAS[[#This Row],[Plano de Contas]],BASE!$B$3:$H$119,7,FALSE)</f>
        <v>LETÍCIA</v>
      </c>
    </row>
    <row r="513" spans="1:13" x14ac:dyDescent="0.25">
      <c r="A513" s="74">
        <v>196904</v>
      </c>
      <c r="B513" s="75" t="s">
        <v>221</v>
      </c>
      <c r="C513" s="75" t="s">
        <v>3007</v>
      </c>
      <c r="D513" s="76">
        <v>46081</v>
      </c>
      <c r="E513" s="75" t="s">
        <v>720</v>
      </c>
      <c r="F513" s="74">
        <v>6000</v>
      </c>
      <c r="G513" s="75" t="s">
        <v>470</v>
      </c>
      <c r="H513" s="77" t="str">
        <f>VLOOKUP(DESPESAS[[#This Row],[Plano de Contas]],BASE!$B$3:$D$119,3,FALSE)</f>
        <v>Desenvolvimento de Novos Produtos</v>
      </c>
      <c r="I513" s="77" t="str">
        <f>IFERROR(VLOOKUP(DESPESAS[[#This Row],[Fornecedor]],Tabela2[],2,FALSE),"")</f>
        <v/>
      </c>
      <c r="J513" s="77" t="str">
        <f>IFERROR(VLOOKUP(DESPESAS[[#This Row],[Plano de Contas]],BASE!$B$3:$F$119,4,FALSE),"")</f>
        <v>6 - DESPESA COM VENDAS</v>
      </c>
      <c r="K513" s="77" t="str">
        <f>IFERROR(VLOOKUP(DESPESAS[[#This Row],[Plano de Contas]],BASE!$B$3:$H$119,5,FALSE),"")</f>
        <v>DESENVOLVIMENTO</v>
      </c>
      <c r="L513" s="77">
        <f>IFERROR(VLOOKUP(DESPESAS[[#This Row],[Plano de Contas]],BASE!$B$3:$H$119,6,FALSE),"")</f>
        <v>0</v>
      </c>
      <c r="M513" s="77" t="str">
        <f>VLOOKUP(DESPESAS[[#This Row],[Plano de Contas]],BASE!$B$3:$H$119,7,FALSE)</f>
        <v>RAFAEL</v>
      </c>
    </row>
    <row r="514" spans="1:13" x14ac:dyDescent="0.25">
      <c r="A514" s="74">
        <v>196905</v>
      </c>
      <c r="B514" s="75" t="s">
        <v>221</v>
      </c>
      <c r="C514" s="75" t="s">
        <v>3007</v>
      </c>
      <c r="D514" s="76">
        <v>46081</v>
      </c>
      <c r="E514" s="75" t="s">
        <v>720</v>
      </c>
      <c r="F514" s="74">
        <v>6000</v>
      </c>
      <c r="G514" s="75" t="s">
        <v>470</v>
      </c>
      <c r="H514" s="77" t="str">
        <f>VLOOKUP(DESPESAS[[#This Row],[Plano de Contas]],BASE!$B$3:$D$119,3,FALSE)</f>
        <v>Desenvolvimento de Novos Produtos</v>
      </c>
      <c r="I514" s="77" t="str">
        <f>IFERROR(VLOOKUP(DESPESAS[[#This Row],[Fornecedor]],Tabela2[],2,FALSE),"")</f>
        <v/>
      </c>
      <c r="J514" s="77" t="str">
        <f>IFERROR(VLOOKUP(DESPESAS[[#This Row],[Plano de Contas]],BASE!$B$3:$F$119,4,FALSE),"")</f>
        <v>6 - DESPESA COM VENDAS</v>
      </c>
      <c r="K514" s="77" t="str">
        <f>IFERROR(VLOOKUP(DESPESAS[[#This Row],[Plano de Contas]],BASE!$B$3:$H$119,5,FALSE),"")</f>
        <v>DESENVOLVIMENTO</v>
      </c>
      <c r="L514" s="77">
        <f>IFERROR(VLOOKUP(DESPESAS[[#This Row],[Plano de Contas]],BASE!$B$3:$H$119,6,FALSE),"")</f>
        <v>0</v>
      </c>
      <c r="M514" s="77" t="str">
        <f>VLOOKUP(DESPESAS[[#This Row],[Plano de Contas]],BASE!$B$3:$H$119,7,FALSE)</f>
        <v>RAFAEL</v>
      </c>
    </row>
    <row r="515" spans="1:13" x14ac:dyDescent="0.25">
      <c r="A515" s="74">
        <v>196906</v>
      </c>
      <c r="B515" s="75" t="s">
        <v>221</v>
      </c>
      <c r="C515" s="75" t="s">
        <v>3007</v>
      </c>
      <c r="D515" s="76">
        <v>46112</v>
      </c>
      <c r="E515" s="75" t="s">
        <v>720</v>
      </c>
      <c r="F515" s="74">
        <v>6000</v>
      </c>
      <c r="G515" s="75" t="s">
        <v>470</v>
      </c>
      <c r="H515" s="77" t="str">
        <f>VLOOKUP(DESPESAS[[#This Row],[Plano de Contas]],BASE!$B$3:$D$119,3,FALSE)</f>
        <v>Desenvolvimento de Novos Produtos</v>
      </c>
      <c r="I515" s="77" t="str">
        <f>IFERROR(VLOOKUP(DESPESAS[[#This Row],[Fornecedor]],Tabela2[],2,FALSE),"")</f>
        <v/>
      </c>
      <c r="J515" s="77" t="str">
        <f>IFERROR(VLOOKUP(DESPESAS[[#This Row],[Plano de Contas]],BASE!$B$3:$F$119,4,FALSE),"")</f>
        <v>6 - DESPESA COM VENDAS</v>
      </c>
      <c r="K515" s="77" t="str">
        <f>IFERROR(VLOOKUP(DESPESAS[[#This Row],[Plano de Contas]],BASE!$B$3:$H$119,5,FALSE),"")</f>
        <v>DESENVOLVIMENTO</v>
      </c>
      <c r="L515" s="77">
        <f>IFERROR(VLOOKUP(DESPESAS[[#This Row],[Plano de Contas]],BASE!$B$3:$H$119,6,FALSE),"")</f>
        <v>0</v>
      </c>
      <c r="M515" s="77" t="str">
        <f>VLOOKUP(DESPESAS[[#This Row],[Plano de Contas]],BASE!$B$3:$H$119,7,FALSE)</f>
        <v>RAFAEL</v>
      </c>
    </row>
    <row r="516" spans="1:13" x14ac:dyDescent="0.25">
      <c r="A516" s="74">
        <v>196907</v>
      </c>
      <c r="B516" s="75" t="s">
        <v>221</v>
      </c>
      <c r="C516" s="75" t="s">
        <v>3007</v>
      </c>
      <c r="D516" s="76">
        <v>46112</v>
      </c>
      <c r="E516" s="75" t="s">
        <v>720</v>
      </c>
      <c r="F516" s="74">
        <v>6000</v>
      </c>
      <c r="G516" s="75" t="s">
        <v>470</v>
      </c>
      <c r="H516" s="77" t="str">
        <f>VLOOKUP(DESPESAS[[#This Row],[Plano de Contas]],BASE!$B$3:$D$119,3,FALSE)</f>
        <v>Desenvolvimento de Novos Produtos</v>
      </c>
      <c r="I516" s="77" t="str">
        <f>IFERROR(VLOOKUP(DESPESAS[[#This Row],[Fornecedor]],Tabela2[],2,FALSE),"")</f>
        <v/>
      </c>
      <c r="J516" s="77" t="str">
        <f>IFERROR(VLOOKUP(DESPESAS[[#This Row],[Plano de Contas]],BASE!$B$3:$F$119,4,FALSE),"")</f>
        <v>6 - DESPESA COM VENDAS</v>
      </c>
      <c r="K516" s="77" t="str">
        <f>IFERROR(VLOOKUP(DESPESAS[[#This Row],[Plano de Contas]],BASE!$B$3:$H$119,5,FALSE),"")</f>
        <v>DESENVOLVIMENTO</v>
      </c>
      <c r="L516" s="77">
        <f>IFERROR(VLOOKUP(DESPESAS[[#This Row],[Plano de Contas]],BASE!$B$3:$H$119,6,FALSE),"")</f>
        <v>0</v>
      </c>
      <c r="M516" s="77" t="str">
        <f>VLOOKUP(DESPESAS[[#This Row],[Plano de Contas]],BASE!$B$3:$H$119,7,FALSE)</f>
        <v>RAFAEL</v>
      </c>
    </row>
    <row r="517" spans="1:13" x14ac:dyDescent="0.25">
      <c r="A517" s="74">
        <v>196908</v>
      </c>
      <c r="B517" s="75" t="s">
        <v>221</v>
      </c>
      <c r="C517" s="75" t="s">
        <v>3007</v>
      </c>
      <c r="D517" s="76">
        <v>46142</v>
      </c>
      <c r="E517" s="75" t="s">
        <v>720</v>
      </c>
      <c r="F517" s="74">
        <v>6000</v>
      </c>
      <c r="G517" s="75" t="s">
        <v>470</v>
      </c>
      <c r="H517" s="77" t="str">
        <f>VLOOKUP(DESPESAS[[#This Row],[Plano de Contas]],BASE!$B$3:$D$119,3,FALSE)</f>
        <v>Desenvolvimento de Novos Produtos</v>
      </c>
      <c r="I517" s="77" t="str">
        <f>IFERROR(VLOOKUP(DESPESAS[[#This Row],[Fornecedor]],Tabela2[],2,FALSE),"")</f>
        <v/>
      </c>
      <c r="J517" s="77" t="str">
        <f>IFERROR(VLOOKUP(DESPESAS[[#This Row],[Plano de Contas]],BASE!$B$3:$F$119,4,FALSE),"")</f>
        <v>6 - DESPESA COM VENDAS</v>
      </c>
      <c r="K517" s="77" t="str">
        <f>IFERROR(VLOOKUP(DESPESAS[[#This Row],[Plano de Contas]],BASE!$B$3:$H$119,5,FALSE),"")</f>
        <v>DESENVOLVIMENTO</v>
      </c>
      <c r="L517" s="77">
        <f>IFERROR(VLOOKUP(DESPESAS[[#This Row],[Plano de Contas]],BASE!$B$3:$H$119,6,FALSE),"")</f>
        <v>0</v>
      </c>
      <c r="M517" s="77" t="str">
        <f>VLOOKUP(DESPESAS[[#This Row],[Plano de Contas]],BASE!$B$3:$H$119,7,FALSE)</f>
        <v>RAFAEL</v>
      </c>
    </row>
    <row r="518" spans="1:13" x14ac:dyDescent="0.25">
      <c r="A518" s="74">
        <v>196909</v>
      </c>
      <c r="B518" s="75" t="s">
        <v>221</v>
      </c>
      <c r="C518" s="75" t="s">
        <v>3007</v>
      </c>
      <c r="D518" s="76">
        <v>46142</v>
      </c>
      <c r="E518" s="75" t="s">
        <v>720</v>
      </c>
      <c r="F518" s="74">
        <v>6000</v>
      </c>
      <c r="G518" s="75" t="s">
        <v>470</v>
      </c>
      <c r="H518" s="77" t="str">
        <f>VLOOKUP(DESPESAS[[#This Row],[Plano de Contas]],BASE!$B$3:$D$119,3,FALSE)</f>
        <v>Desenvolvimento de Novos Produtos</v>
      </c>
      <c r="I518" s="77" t="str">
        <f>IFERROR(VLOOKUP(DESPESAS[[#This Row],[Fornecedor]],Tabela2[],2,FALSE),"")</f>
        <v/>
      </c>
      <c r="J518" s="77" t="str">
        <f>IFERROR(VLOOKUP(DESPESAS[[#This Row],[Plano de Contas]],BASE!$B$3:$F$119,4,FALSE),"")</f>
        <v>6 - DESPESA COM VENDAS</v>
      </c>
      <c r="K518" s="77" t="str">
        <f>IFERROR(VLOOKUP(DESPESAS[[#This Row],[Plano de Contas]],BASE!$B$3:$H$119,5,FALSE),"")</f>
        <v>DESENVOLVIMENTO</v>
      </c>
      <c r="L518" s="77">
        <f>IFERROR(VLOOKUP(DESPESAS[[#This Row],[Plano de Contas]],BASE!$B$3:$H$119,6,FALSE),"")</f>
        <v>0</v>
      </c>
      <c r="M518" s="77" t="str">
        <f>VLOOKUP(DESPESAS[[#This Row],[Plano de Contas]],BASE!$B$3:$H$119,7,FALSE)</f>
        <v>RAFAEL</v>
      </c>
    </row>
    <row r="519" spans="1:13" x14ac:dyDescent="0.25">
      <c r="A519" s="74">
        <v>196916</v>
      </c>
      <c r="B519" s="75" t="s">
        <v>221</v>
      </c>
      <c r="C519" s="75" t="s">
        <v>3006</v>
      </c>
      <c r="D519" s="76">
        <v>46036</v>
      </c>
      <c r="E519" s="75" t="s">
        <v>3005</v>
      </c>
      <c r="F519" s="74">
        <v>2000</v>
      </c>
      <c r="G519" s="75" t="s">
        <v>1318</v>
      </c>
      <c r="H519" s="77" t="str">
        <f>VLOOKUP(DESPESAS[[#This Row],[Plano de Contas]],BASE!$B$3:$D$119,3,FALSE)</f>
        <v>Feiras e Eventos</v>
      </c>
      <c r="I519" s="77" t="str">
        <f>IFERROR(VLOOKUP(DESPESAS[[#This Row],[Fornecedor]],Tabela2[],2,FALSE),"")</f>
        <v/>
      </c>
      <c r="J519" s="77" t="str">
        <f>IFERROR(VLOOKUP(DESPESAS[[#This Row],[Plano de Contas]],BASE!$B$3:$F$119,4,FALSE),"")</f>
        <v>6 - DESPESA COM VENDAS</v>
      </c>
      <c r="K519" s="77" t="str">
        <f>IFERROR(VLOOKUP(DESPESAS[[#This Row],[Plano de Contas]],BASE!$B$3:$H$119,5,FALSE),"")</f>
        <v>COMERCIAL</v>
      </c>
      <c r="L519" s="77">
        <f>IFERROR(VLOOKUP(DESPESAS[[#This Row],[Plano de Contas]],BASE!$B$3:$H$119,6,FALSE),"")</f>
        <v>0</v>
      </c>
      <c r="M519" s="77" t="str">
        <f>VLOOKUP(DESPESAS[[#This Row],[Plano de Contas]],BASE!$B$3:$H$119,7,FALSE)</f>
        <v>THAIS</v>
      </c>
    </row>
    <row r="520" spans="1:13" x14ac:dyDescent="0.25">
      <c r="A520" s="74">
        <v>196917</v>
      </c>
      <c r="B520" s="75" t="s">
        <v>221</v>
      </c>
      <c r="C520" s="75" t="s">
        <v>3004</v>
      </c>
      <c r="D520" s="76">
        <v>46036</v>
      </c>
      <c r="E520" s="75" t="s">
        <v>1466</v>
      </c>
      <c r="F520" s="74">
        <v>170</v>
      </c>
      <c r="G520" s="75" t="s">
        <v>238</v>
      </c>
      <c r="H520" s="77" t="str">
        <f>VLOOKUP(DESPESAS[[#This Row],[Plano de Contas]],BASE!$B$3:$D$119,3,FALSE)</f>
        <v>Consultoria Comercial</v>
      </c>
      <c r="I520" s="77" t="str">
        <f>IFERROR(VLOOKUP(DESPESAS[[#This Row],[Fornecedor]],Tabela2[],2,FALSE),"")</f>
        <v/>
      </c>
      <c r="J520" s="77" t="str">
        <f>IFERROR(VLOOKUP(DESPESAS[[#This Row],[Plano de Contas]],BASE!$B$3:$F$119,4,FALSE),"")</f>
        <v>6 - DESPESA COM VENDAS</v>
      </c>
      <c r="K520" s="77" t="str">
        <f>IFERROR(VLOOKUP(DESPESAS[[#This Row],[Plano de Contas]],BASE!$B$3:$H$119,5,FALSE),"")</f>
        <v>COMERCIAL</v>
      </c>
      <c r="L520" s="77">
        <f>IFERROR(VLOOKUP(DESPESAS[[#This Row],[Plano de Contas]],BASE!$B$3:$H$119,6,FALSE),"")</f>
        <v>0</v>
      </c>
      <c r="M520" s="77" t="str">
        <f>VLOOKUP(DESPESAS[[#This Row],[Plano de Contas]],BASE!$B$3:$H$119,7,FALSE)</f>
        <v>LETÍCIA</v>
      </c>
    </row>
    <row r="521" spans="1:13" x14ac:dyDescent="0.25">
      <c r="A521" s="74">
        <v>196918</v>
      </c>
      <c r="B521" s="75" t="s">
        <v>232</v>
      </c>
      <c r="C521" s="75" t="s">
        <v>3001</v>
      </c>
      <c r="D521" s="76">
        <v>46045</v>
      </c>
      <c r="E521" s="75" t="s">
        <v>3000</v>
      </c>
      <c r="F521" s="74">
        <v>9200.6299999999992</v>
      </c>
      <c r="G521" s="75" t="s">
        <v>2999</v>
      </c>
      <c r="H521" s="77" t="str">
        <f>VLOOKUP(DESPESAS[[#This Row],[Plano de Contas]],BASE!$B$3:$D$119,3,FALSE)</f>
        <v>Seguros Veicular</v>
      </c>
      <c r="I521" s="77" t="str">
        <f>IFERROR(VLOOKUP(DESPESAS[[#This Row],[Fornecedor]],Tabela2[],2,FALSE),"")</f>
        <v/>
      </c>
      <c r="J521" s="77" t="str">
        <f>IFERROR(VLOOKUP(DESPESAS[[#This Row],[Plano de Contas]],BASE!$B$3:$F$119,4,FALSE),"")</f>
        <v>5 - DESPESAS ADMINISTRATIVAS</v>
      </c>
      <c r="K521" s="77" t="str">
        <f>IFERROR(VLOOKUP(DESPESAS[[#This Row],[Plano de Contas]],BASE!$B$3:$H$119,5,FALSE),"")</f>
        <v>LOGÍSTICA</v>
      </c>
      <c r="L521" s="77">
        <f>IFERROR(VLOOKUP(DESPESAS[[#This Row],[Plano de Contas]],BASE!$B$3:$H$119,6,FALSE),"")</f>
        <v>0</v>
      </c>
      <c r="M521" s="77" t="str">
        <f>VLOOKUP(DESPESAS[[#This Row],[Plano de Contas]],BASE!$B$3:$H$119,7,FALSE)</f>
        <v>MYLENA</v>
      </c>
    </row>
    <row r="522" spans="1:13" x14ac:dyDescent="0.25">
      <c r="A522" s="74">
        <v>196919</v>
      </c>
      <c r="B522" s="75" t="s">
        <v>221</v>
      </c>
      <c r="C522" s="75" t="s">
        <v>3003</v>
      </c>
      <c r="D522" s="76">
        <v>46026</v>
      </c>
      <c r="E522" s="75" t="s">
        <v>1022</v>
      </c>
      <c r="F522" s="74">
        <v>1326.56</v>
      </c>
      <c r="G522" s="75" t="s">
        <v>374</v>
      </c>
      <c r="H522" s="77" t="str">
        <f>VLOOKUP(DESPESAS[[#This Row],[Plano de Contas]],BASE!$B$3:$D$119,3,FALSE)</f>
        <v>Consultoria Empresarial</v>
      </c>
      <c r="I522" s="77" t="str">
        <f>IFERROR(VLOOKUP(DESPESAS[[#This Row],[Fornecedor]],Tabela2[],2,FALSE),"")</f>
        <v/>
      </c>
      <c r="J522" s="77" t="str">
        <f>IFERROR(VLOOKUP(DESPESAS[[#This Row],[Plano de Contas]],BASE!$B$3:$F$119,4,FALSE),"")</f>
        <v>7 - SERVIÇOS DE TERCEIROS</v>
      </c>
      <c r="K522" s="77" t="str">
        <f>IFERROR(VLOOKUP(DESPESAS[[#This Row],[Plano de Contas]],BASE!$B$3:$H$119,5,FALSE),"")</f>
        <v>FINANCEIRO</v>
      </c>
      <c r="L522" s="77">
        <f>IFERROR(VLOOKUP(DESPESAS[[#This Row],[Plano de Contas]],BASE!$B$3:$H$119,6,FALSE),"")</f>
        <v>0</v>
      </c>
      <c r="M522" s="77" t="str">
        <f>VLOOKUP(DESPESAS[[#This Row],[Plano de Contas]],BASE!$B$3:$H$119,7,FALSE)</f>
        <v>LETÍCIA</v>
      </c>
    </row>
    <row r="523" spans="1:13" x14ac:dyDescent="0.25">
      <c r="A523" s="74">
        <v>196920</v>
      </c>
      <c r="B523" s="75" t="s">
        <v>221</v>
      </c>
      <c r="C523" s="75" t="s">
        <v>3002</v>
      </c>
      <c r="D523" s="76">
        <v>46036</v>
      </c>
      <c r="E523" s="75" t="s">
        <v>347</v>
      </c>
      <c r="F523" s="74">
        <v>1487.7</v>
      </c>
      <c r="G523" s="75" t="s">
        <v>1318</v>
      </c>
      <c r="H523" s="77" t="str">
        <f>VLOOKUP(DESPESAS[[#This Row],[Plano de Contas]],BASE!$B$3:$D$119,3,FALSE)</f>
        <v>Feiras e Eventos</v>
      </c>
      <c r="I523" s="77" t="str">
        <f>IFERROR(VLOOKUP(DESPESAS[[#This Row],[Fornecedor]],Tabela2[],2,FALSE),"")</f>
        <v/>
      </c>
      <c r="J523" s="77" t="str">
        <f>IFERROR(VLOOKUP(DESPESAS[[#This Row],[Plano de Contas]],BASE!$B$3:$F$119,4,FALSE),"")</f>
        <v>6 - DESPESA COM VENDAS</v>
      </c>
      <c r="K523" s="77" t="str">
        <f>IFERROR(VLOOKUP(DESPESAS[[#This Row],[Plano de Contas]],BASE!$B$3:$H$119,5,FALSE),"")</f>
        <v>COMERCIAL</v>
      </c>
      <c r="L523" s="77">
        <f>IFERROR(VLOOKUP(DESPESAS[[#This Row],[Plano de Contas]],BASE!$B$3:$H$119,6,FALSE),"")</f>
        <v>0</v>
      </c>
      <c r="M523" s="77" t="str">
        <f>VLOOKUP(DESPESAS[[#This Row],[Plano de Contas]],BASE!$B$3:$H$119,7,FALSE)</f>
        <v>THAIS</v>
      </c>
    </row>
    <row r="524" spans="1:13" x14ac:dyDescent="0.25">
      <c r="A524" s="74">
        <v>196921</v>
      </c>
      <c r="B524" s="75" t="s">
        <v>232</v>
      </c>
      <c r="C524" s="75" t="s">
        <v>3001</v>
      </c>
      <c r="D524" s="76">
        <v>46076</v>
      </c>
      <c r="E524" s="75" t="s">
        <v>3000</v>
      </c>
      <c r="F524" s="74">
        <v>9200.6299999999992</v>
      </c>
      <c r="G524" s="75" t="s">
        <v>2999</v>
      </c>
      <c r="H524" s="77" t="str">
        <f>VLOOKUP(DESPESAS[[#This Row],[Plano de Contas]],BASE!$B$3:$D$119,3,FALSE)</f>
        <v>Seguros Veicular</v>
      </c>
      <c r="I524" s="77" t="str">
        <f>IFERROR(VLOOKUP(DESPESAS[[#This Row],[Fornecedor]],Tabela2[],2,FALSE),"")</f>
        <v/>
      </c>
      <c r="J524" s="77" t="str">
        <f>IFERROR(VLOOKUP(DESPESAS[[#This Row],[Plano de Contas]],BASE!$B$3:$F$119,4,FALSE),"")</f>
        <v>5 - DESPESAS ADMINISTRATIVAS</v>
      </c>
      <c r="K524" s="77" t="str">
        <f>IFERROR(VLOOKUP(DESPESAS[[#This Row],[Plano de Contas]],BASE!$B$3:$H$119,5,FALSE),"")</f>
        <v>LOGÍSTICA</v>
      </c>
      <c r="L524" s="77">
        <f>IFERROR(VLOOKUP(DESPESAS[[#This Row],[Plano de Contas]],BASE!$B$3:$H$119,6,FALSE),"")</f>
        <v>0</v>
      </c>
      <c r="M524" s="77" t="str">
        <f>VLOOKUP(DESPESAS[[#This Row],[Plano de Contas]],BASE!$B$3:$H$119,7,FALSE)</f>
        <v>MYLENA</v>
      </c>
    </row>
    <row r="525" spans="1:13" x14ac:dyDescent="0.25">
      <c r="A525" s="74">
        <v>196922</v>
      </c>
      <c r="B525" s="75" t="s">
        <v>232</v>
      </c>
      <c r="C525" s="75" t="s">
        <v>3001</v>
      </c>
      <c r="D525" s="76">
        <v>46104</v>
      </c>
      <c r="E525" s="75" t="s">
        <v>3000</v>
      </c>
      <c r="F525" s="74">
        <v>9200.6299999999992</v>
      </c>
      <c r="G525" s="75" t="s">
        <v>2999</v>
      </c>
      <c r="H525" s="77" t="str">
        <f>VLOOKUP(DESPESAS[[#This Row],[Plano de Contas]],BASE!$B$3:$D$119,3,FALSE)</f>
        <v>Seguros Veicular</v>
      </c>
      <c r="I525" s="77" t="str">
        <f>IFERROR(VLOOKUP(DESPESAS[[#This Row],[Fornecedor]],Tabela2[],2,FALSE),"")</f>
        <v/>
      </c>
      <c r="J525" s="77" t="str">
        <f>IFERROR(VLOOKUP(DESPESAS[[#This Row],[Plano de Contas]],BASE!$B$3:$F$119,4,FALSE),"")</f>
        <v>5 - DESPESAS ADMINISTRATIVAS</v>
      </c>
      <c r="K525" s="77" t="str">
        <f>IFERROR(VLOOKUP(DESPESAS[[#This Row],[Plano de Contas]],BASE!$B$3:$H$119,5,FALSE),"")</f>
        <v>LOGÍSTICA</v>
      </c>
      <c r="L525" s="77">
        <f>IFERROR(VLOOKUP(DESPESAS[[#This Row],[Plano de Contas]],BASE!$B$3:$H$119,6,FALSE),"")</f>
        <v>0</v>
      </c>
      <c r="M525" s="77" t="str">
        <f>VLOOKUP(DESPESAS[[#This Row],[Plano de Contas]],BASE!$B$3:$H$119,7,FALSE)</f>
        <v>MYLENA</v>
      </c>
    </row>
    <row r="526" spans="1:13" x14ac:dyDescent="0.25">
      <c r="A526" s="74">
        <v>196923</v>
      </c>
      <c r="B526" s="75" t="s">
        <v>232</v>
      </c>
      <c r="C526" s="75" t="s">
        <v>3001</v>
      </c>
      <c r="D526" s="76">
        <v>46135</v>
      </c>
      <c r="E526" s="75" t="s">
        <v>3000</v>
      </c>
      <c r="F526" s="74">
        <v>9200.6299999999992</v>
      </c>
      <c r="G526" s="75" t="s">
        <v>2999</v>
      </c>
      <c r="H526" s="77" t="str">
        <f>VLOOKUP(DESPESAS[[#This Row],[Plano de Contas]],BASE!$B$3:$D$119,3,FALSE)</f>
        <v>Seguros Veicular</v>
      </c>
      <c r="I526" s="77" t="str">
        <f>IFERROR(VLOOKUP(DESPESAS[[#This Row],[Fornecedor]],Tabela2[],2,FALSE),"")</f>
        <v/>
      </c>
      <c r="J526" s="77" t="str">
        <f>IFERROR(VLOOKUP(DESPESAS[[#This Row],[Plano de Contas]],BASE!$B$3:$F$119,4,FALSE),"")</f>
        <v>5 - DESPESAS ADMINISTRATIVAS</v>
      </c>
      <c r="K526" s="77" t="str">
        <f>IFERROR(VLOOKUP(DESPESAS[[#This Row],[Plano de Contas]],BASE!$B$3:$H$119,5,FALSE),"")</f>
        <v>LOGÍSTICA</v>
      </c>
      <c r="L526" s="77">
        <f>IFERROR(VLOOKUP(DESPESAS[[#This Row],[Plano de Contas]],BASE!$B$3:$H$119,6,FALSE),"")</f>
        <v>0</v>
      </c>
      <c r="M526" s="77" t="str">
        <f>VLOOKUP(DESPESAS[[#This Row],[Plano de Contas]],BASE!$B$3:$H$119,7,FALSE)</f>
        <v>MYLENA</v>
      </c>
    </row>
    <row r="527" spans="1:13" x14ac:dyDescent="0.25">
      <c r="A527" s="74">
        <v>196930</v>
      </c>
      <c r="B527" s="75" t="s">
        <v>221</v>
      </c>
      <c r="C527" s="75" t="s">
        <v>2998</v>
      </c>
      <c r="D527" s="76">
        <v>46061</v>
      </c>
      <c r="E527" s="75" t="s">
        <v>1145</v>
      </c>
      <c r="F527" s="74">
        <v>466.64</v>
      </c>
      <c r="G527" s="75" t="s">
        <v>1318</v>
      </c>
      <c r="H527" s="77" t="str">
        <f>VLOOKUP(DESPESAS[[#This Row],[Plano de Contas]],BASE!$B$3:$D$119,3,FALSE)</f>
        <v>Feiras e Eventos</v>
      </c>
      <c r="I527" s="77" t="str">
        <f>IFERROR(VLOOKUP(DESPESAS[[#This Row],[Fornecedor]],Tabela2[],2,FALSE),"")</f>
        <v/>
      </c>
      <c r="J527" s="77" t="str">
        <f>IFERROR(VLOOKUP(DESPESAS[[#This Row],[Plano de Contas]],BASE!$B$3:$F$119,4,FALSE),"")</f>
        <v>6 - DESPESA COM VENDAS</v>
      </c>
      <c r="K527" s="77" t="str">
        <f>IFERROR(VLOOKUP(DESPESAS[[#This Row],[Plano de Contas]],BASE!$B$3:$H$119,5,FALSE),"")</f>
        <v>COMERCIAL</v>
      </c>
      <c r="L527" s="77">
        <f>IFERROR(VLOOKUP(DESPESAS[[#This Row],[Plano de Contas]],BASE!$B$3:$H$119,6,FALSE),"")</f>
        <v>0</v>
      </c>
      <c r="M527" s="77" t="str">
        <f>VLOOKUP(DESPESAS[[#This Row],[Plano de Contas]],BASE!$B$3:$H$119,7,FALSE)</f>
        <v>THAIS</v>
      </c>
    </row>
    <row r="528" spans="1:13" x14ac:dyDescent="0.25">
      <c r="A528" s="74">
        <v>196931</v>
      </c>
      <c r="B528" s="75" t="s">
        <v>221</v>
      </c>
      <c r="C528" s="75" t="s">
        <v>2998</v>
      </c>
      <c r="D528" s="76">
        <v>46089</v>
      </c>
      <c r="E528" s="75" t="s">
        <v>1145</v>
      </c>
      <c r="F528" s="74">
        <v>466.64</v>
      </c>
      <c r="G528" s="75" t="s">
        <v>1318</v>
      </c>
      <c r="H528" s="77" t="str">
        <f>VLOOKUP(DESPESAS[[#This Row],[Plano de Contas]],BASE!$B$3:$D$119,3,FALSE)</f>
        <v>Feiras e Eventos</v>
      </c>
      <c r="I528" s="77" t="str">
        <f>IFERROR(VLOOKUP(DESPESAS[[#This Row],[Fornecedor]],Tabela2[],2,FALSE),"")</f>
        <v/>
      </c>
      <c r="J528" s="77" t="str">
        <f>IFERROR(VLOOKUP(DESPESAS[[#This Row],[Plano de Contas]],BASE!$B$3:$F$119,4,FALSE),"")</f>
        <v>6 - DESPESA COM VENDAS</v>
      </c>
      <c r="K528" s="77" t="str">
        <f>IFERROR(VLOOKUP(DESPESAS[[#This Row],[Plano de Contas]],BASE!$B$3:$H$119,5,FALSE),"")</f>
        <v>COMERCIAL</v>
      </c>
      <c r="L528" s="77">
        <f>IFERROR(VLOOKUP(DESPESAS[[#This Row],[Plano de Contas]],BASE!$B$3:$H$119,6,FALSE),"")</f>
        <v>0</v>
      </c>
      <c r="M528" s="77" t="str">
        <f>VLOOKUP(DESPESAS[[#This Row],[Plano de Contas]],BASE!$B$3:$H$119,7,FALSE)</f>
        <v>THAIS</v>
      </c>
    </row>
    <row r="529" spans="1:13" x14ac:dyDescent="0.25">
      <c r="A529" s="74">
        <v>196932</v>
      </c>
      <c r="B529" s="75" t="s">
        <v>221</v>
      </c>
      <c r="C529" s="75" t="s">
        <v>2998</v>
      </c>
      <c r="D529" s="76">
        <v>46120</v>
      </c>
      <c r="E529" s="75" t="s">
        <v>1145</v>
      </c>
      <c r="F529" s="74">
        <v>466.64</v>
      </c>
      <c r="G529" s="75" t="s">
        <v>1318</v>
      </c>
      <c r="H529" s="77" t="str">
        <f>VLOOKUP(DESPESAS[[#This Row],[Plano de Contas]],BASE!$B$3:$D$119,3,FALSE)</f>
        <v>Feiras e Eventos</v>
      </c>
      <c r="I529" s="77" t="str">
        <f>IFERROR(VLOOKUP(DESPESAS[[#This Row],[Fornecedor]],Tabela2[],2,FALSE),"")</f>
        <v/>
      </c>
      <c r="J529" s="77" t="str">
        <f>IFERROR(VLOOKUP(DESPESAS[[#This Row],[Plano de Contas]],BASE!$B$3:$F$119,4,FALSE),"")</f>
        <v>6 - DESPESA COM VENDAS</v>
      </c>
      <c r="K529" s="77" t="str">
        <f>IFERROR(VLOOKUP(DESPESAS[[#This Row],[Plano de Contas]],BASE!$B$3:$H$119,5,FALSE),"")</f>
        <v>COMERCIAL</v>
      </c>
      <c r="L529" s="77">
        <f>IFERROR(VLOOKUP(DESPESAS[[#This Row],[Plano de Contas]],BASE!$B$3:$H$119,6,FALSE),"")</f>
        <v>0</v>
      </c>
      <c r="M529" s="77" t="str">
        <f>VLOOKUP(DESPESAS[[#This Row],[Plano de Contas]],BASE!$B$3:$H$119,7,FALSE)</f>
        <v>THAIS</v>
      </c>
    </row>
    <row r="530" spans="1:13" x14ac:dyDescent="0.25">
      <c r="A530" s="74">
        <v>196934</v>
      </c>
      <c r="B530" s="75" t="s">
        <v>221</v>
      </c>
      <c r="C530" s="75" t="s">
        <v>2997</v>
      </c>
      <c r="D530" s="76">
        <v>46036</v>
      </c>
      <c r="E530" s="75" t="s">
        <v>1025</v>
      </c>
      <c r="F530" s="74">
        <v>624</v>
      </c>
      <c r="G530" s="75" t="s">
        <v>480</v>
      </c>
      <c r="H530" s="77" t="str">
        <f>VLOOKUP(DESPESAS[[#This Row],[Plano de Contas]],BASE!$B$3:$D$119,3,FALSE)</f>
        <v>Viagens e Estadias c/ Vendas</v>
      </c>
      <c r="I530" s="77" t="str">
        <f>IFERROR(VLOOKUP(DESPESAS[[#This Row],[Fornecedor]],Tabela2[],2,FALSE),"")</f>
        <v/>
      </c>
      <c r="J530" s="77" t="str">
        <f>IFERROR(VLOOKUP(DESPESAS[[#This Row],[Plano de Contas]],BASE!$B$3:$F$119,4,FALSE),"")</f>
        <v>6 - DESPESA COM VENDAS</v>
      </c>
      <c r="K530" s="77" t="str">
        <f>IFERROR(VLOOKUP(DESPESAS[[#This Row],[Plano de Contas]],BASE!$B$3:$H$119,5,FALSE),"")</f>
        <v>COMERCIAL</v>
      </c>
      <c r="L530" s="77">
        <f>IFERROR(VLOOKUP(DESPESAS[[#This Row],[Plano de Contas]],BASE!$B$3:$H$119,6,FALSE),"")</f>
        <v>0</v>
      </c>
      <c r="M530" s="77" t="str">
        <f>VLOOKUP(DESPESAS[[#This Row],[Plano de Contas]],BASE!$B$3:$H$119,7,FALSE)</f>
        <v>LETÍCIA</v>
      </c>
    </row>
    <row r="531" spans="1:13" x14ac:dyDescent="0.25">
      <c r="A531" s="74">
        <v>196935</v>
      </c>
      <c r="B531" s="75" t="s">
        <v>221</v>
      </c>
      <c r="C531" s="75" t="s">
        <v>2996</v>
      </c>
      <c r="D531" s="76">
        <v>46036</v>
      </c>
      <c r="E531" s="75" t="s">
        <v>1025</v>
      </c>
      <c r="F531" s="74">
        <v>114.16</v>
      </c>
      <c r="G531" s="75" t="s">
        <v>480</v>
      </c>
      <c r="H531" s="77" t="str">
        <f>VLOOKUP(DESPESAS[[#This Row],[Plano de Contas]],BASE!$B$3:$D$119,3,FALSE)</f>
        <v>Viagens e Estadias c/ Vendas</v>
      </c>
      <c r="I531" s="77" t="str">
        <f>IFERROR(VLOOKUP(DESPESAS[[#This Row],[Fornecedor]],Tabela2[],2,FALSE),"")</f>
        <v/>
      </c>
      <c r="J531" s="77" t="str">
        <f>IFERROR(VLOOKUP(DESPESAS[[#This Row],[Plano de Contas]],BASE!$B$3:$F$119,4,FALSE),"")</f>
        <v>6 - DESPESA COM VENDAS</v>
      </c>
      <c r="K531" s="77" t="str">
        <f>IFERROR(VLOOKUP(DESPESAS[[#This Row],[Plano de Contas]],BASE!$B$3:$H$119,5,FALSE),"")</f>
        <v>COMERCIAL</v>
      </c>
      <c r="L531" s="77">
        <f>IFERROR(VLOOKUP(DESPESAS[[#This Row],[Plano de Contas]],BASE!$B$3:$H$119,6,FALSE),"")</f>
        <v>0</v>
      </c>
      <c r="M531" s="77" t="str">
        <f>VLOOKUP(DESPESAS[[#This Row],[Plano de Contas]],BASE!$B$3:$H$119,7,FALSE)</f>
        <v>LETÍCIA</v>
      </c>
    </row>
    <row r="532" spans="1:13" x14ac:dyDescent="0.25">
      <c r="A532" s="74">
        <v>196938</v>
      </c>
      <c r="B532" s="75" t="s">
        <v>221</v>
      </c>
      <c r="C532" s="75" t="s">
        <v>2995</v>
      </c>
      <c r="D532" s="76">
        <v>46036</v>
      </c>
      <c r="E532" s="75" t="s">
        <v>320</v>
      </c>
      <c r="F532" s="74">
        <v>181</v>
      </c>
      <c r="G532" s="75" t="s">
        <v>324</v>
      </c>
      <c r="H532" s="77" t="str">
        <f>VLOOKUP(DESPESAS[[#This Row],[Plano de Contas]],BASE!$B$3:$D$119,3,FALSE)</f>
        <v>Cursos e Treinamentos CIF</v>
      </c>
      <c r="I532" s="77" t="str">
        <f>IFERROR(VLOOKUP(DESPESAS[[#This Row],[Fornecedor]],Tabela2[],2,FALSE),"")</f>
        <v/>
      </c>
      <c r="J532" s="77" t="str">
        <f>IFERROR(VLOOKUP(DESPESAS[[#This Row],[Plano de Contas]],BASE!$B$3:$F$119,4,FALSE),"")</f>
        <v>3 - CUSTOS INDIRETOS</v>
      </c>
      <c r="K532" s="77" t="str">
        <f>IFERROR(VLOOKUP(DESPESAS[[#This Row],[Plano de Contas]],BASE!$B$3:$H$119,5,FALSE),"")</f>
        <v>DH</v>
      </c>
      <c r="L532" s="77">
        <f>IFERROR(VLOOKUP(DESPESAS[[#This Row],[Plano de Contas]],BASE!$B$3:$H$119,6,FALSE),"")</f>
        <v>0</v>
      </c>
      <c r="M532" s="77" t="str">
        <f>VLOOKUP(DESPESAS[[#This Row],[Plano de Contas]],BASE!$B$3:$H$119,7,FALSE)</f>
        <v>FÁBIO</v>
      </c>
    </row>
    <row r="533" spans="1:13" x14ac:dyDescent="0.25">
      <c r="A533" s="74">
        <v>196939</v>
      </c>
      <c r="B533" s="75" t="s">
        <v>232</v>
      </c>
      <c r="C533" s="75" t="s">
        <v>2994</v>
      </c>
      <c r="D533" s="76">
        <v>46036</v>
      </c>
      <c r="E533" s="75" t="s">
        <v>948</v>
      </c>
      <c r="F533" s="74">
        <v>480</v>
      </c>
      <c r="G533" s="75" t="s">
        <v>294</v>
      </c>
      <c r="H533" s="77" t="str">
        <f>VLOOKUP(DESPESAS[[#This Row],[Plano de Contas]],BASE!$B$3:$D$119,3,FALSE)</f>
        <v>Insumos de Clientes</v>
      </c>
      <c r="I533" s="77" t="str">
        <f>IFERROR(VLOOKUP(DESPESAS[[#This Row],[Fornecedor]],Tabela2[],2,FALSE),"")</f>
        <v/>
      </c>
      <c r="J533" s="77" t="str">
        <f>IFERROR(VLOOKUP(DESPESAS[[#This Row],[Plano de Contas]],BASE!$B$3:$F$119,4,FALSE),"")</f>
        <v>8 - DESPESAS FINANCEIRAS</v>
      </c>
      <c r="K533" s="77" t="str">
        <f>IFERROR(VLOOKUP(DESPESAS[[#This Row],[Plano de Contas]],BASE!$B$3:$H$119,5,FALSE),"")</f>
        <v>COMERCIAL</v>
      </c>
      <c r="L533" s="77">
        <f>IFERROR(VLOOKUP(DESPESAS[[#This Row],[Plano de Contas]],BASE!$B$3:$H$119,6,FALSE),"")</f>
        <v>0</v>
      </c>
      <c r="M533" s="77" t="str">
        <f>VLOOKUP(DESPESAS[[#This Row],[Plano de Contas]],BASE!$B$3:$H$119,7,FALSE)</f>
        <v>LETÍCIA</v>
      </c>
    </row>
    <row r="534" spans="1:13" x14ac:dyDescent="0.25">
      <c r="A534" s="74">
        <v>196940</v>
      </c>
      <c r="B534" s="75" t="s">
        <v>232</v>
      </c>
      <c r="C534" s="75" t="s">
        <v>2993</v>
      </c>
      <c r="D534" s="76">
        <v>46036</v>
      </c>
      <c r="E534" s="75" t="s">
        <v>1544</v>
      </c>
      <c r="F534" s="74">
        <v>480</v>
      </c>
      <c r="G534" s="75" t="s">
        <v>294</v>
      </c>
      <c r="H534" s="77" t="str">
        <f>VLOOKUP(DESPESAS[[#This Row],[Plano de Contas]],BASE!$B$3:$D$119,3,FALSE)</f>
        <v>Insumos de Clientes</v>
      </c>
      <c r="I534" s="77" t="str">
        <f>IFERROR(VLOOKUP(DESPESAS[[#This Row],[Fornecedor]],Tabela2[],2,FALSE),"")</f>
        <v/>
      </c>
      <c r="J534" s="77" t="str">
        <f>IFERROR(VLOOKUP(DESPESAS[[#This Row],[Plano de Contas]],BASE!$B$3:$F$119,4,FALSE),"")</f>
        <v>8 - DESPESAS FINANCEIRAS</v>
      </c>
      <c r="K534" s="77" t="str">
        <f>IFERROR(VLOOKUP(DESPESAS[[#This Row],[Plano de Contas]],BASE!$B$3:$H$119,5,FALSE),"")</f>
        <v>COMERCIAL</v>
      </c>
      <c r="L534" s="77">
        <f>IFERROR(VLOOKUP(DESPESAS[[#This Row],[Plano de Contas]],BASE!$B$3:$H$119,6,FALSE),"")</f>
        <v>0</v>
      </c>
      <c r="M534" s="77" t="str">
        <f>VLOOKUP(DESPESAS[[#This Row],[Plano de Contas]],BASE!$B$3:$H$119,7,FALSE)</f>
        <v>LETÍCIA</v>
      </c>
    </row>
    <row r="535" spans="1:13" x14ac:dyDescent="0.25">
      <c r="A535" s="74">
        <v>196941</v>
      </c>
      <c r="B535" s="75" t="s">
        <v>221</v>
      </c>
      <c r="C535" s="75" t="s">
        <v>2992</v>
      </c>
      <c r="D535" s="76">
        <v>46036</v>
      </c>
      <c r="E535" s="75" t="s">
        <v>380</v>
      </c>
      <c r="F535" s="74">
        <v>24</v>
      </c>
      <c r="G535" s="75" t="s">
        <v>420</v>
      </c>
      <c r="H535" s="77" t="str">
        <f>VLOOKUP(DESPESAS[[#This Row],[Plano de Contas]],BASE!$B$3:$D$119,3,FALSE)</f>
        <v>Material de Expediente (Adm)</v>
      </c>
      <c r="I535" s="77" t="str">
        <f>IFERROR(VLOOKUP(DESPESAS[[#This Row],[Fornecedor]],Tabela2[],2,FALSE),"")</f>
        <v>COMPONENTES T.I</v>
      </c>
      <c r="J535" s="77" t="str">
        <f>IFERROR(VLOOKUP(DESPESAS[[#This Row],[Plano de Contas]],BASE!$B$3:$F$119,4,FALSE),"")</f>
        <v>5 - DESPESAS ADMINISTRATIVAS</v>
      </c>
      <c r="K535" s="77" t="str">
        <f>IFERROR(VLOOKUP(DESPESAS[[#This Row],[Plano de Contas]],BASE!$B$3:$H$119,5,FALSE),"")</f>
        <v>ADMINISTRATIVO</v>
      </c>
      <c r="L535" s="77">
        <f>IFERROR(VLOOKUP(DESPESAS[[#This Row],[Plano de Contas]],BASE!$B$3:$H$119,6,FALSE),"")</f>
        <v>0</v>
      </c>
      <c r="M535" s="77" t="str">
        <f>VLOOKUP(DESPESAS[[#This Row],[Plano de Contas]],BASE!$B$3:$H$119,7,FALSE)</f>
        <v>LETÍCIA</v>
      </c>
    </row>
    <row r="536" spans="1:13" x14ac:dyDescent="0.25">
      <c r="A536" s="74">
        <v>196942</v>
      </c>
      <c r="B536" s="75" t="s">
        <v>221</v>
      </c>
      <c r="C536" s="75" t="s">
        <v>2991</v>
      </c>
      <c r="D536" s="76">
        <v>46036</v>
      </c>
      <c r="E536" s="75" t="s">
        <v>2990</v>
      </c>
      <c r="F536" s="74">
        <v>27</v>
      </c>
      <c r="G536" s="75" t="s">
        <v>244</v>
      </c>
      <c r="H536" s="77" t="str">
        <f>VLOOKUP(DESPESAS[[#This Row],[Plano de Contas]],BASE!$B$3:$D$119,3,FALSE)</f>
        <v>Material de Expediente (Prod)</v>
      </c>
      <c r="I536" s="77" t="str">
        <f>IFERROR(VLOOKUP(DESPESAS[[#This Row],[Fornecedor]],Tabela2[],2,FALSE),"")</f>
        <v/>
      </c>
      <c r="J536" s="77" t="str">
        <f>IFERROR(VLOOKUP(DESPESAS[[#This Row],[Plano de Contas]],BASE!$B$3:$F$119,4,FALSE),"")</f>
        <v>2 - CUSTOS DIRETOS</v>
      </c>
      <c r="K536" s="77" t="str">
        <f>IFERROR(VLOOKUP(DESPESAS[[#This Row],[Plano de Contas]],BASE!$B$3:$H$119,5,FALSE),"")</f>
        <v>PRODUÇÃO</v>
      </c>
      <c r="L536" s="77">
        <f>IFERROR(VLOOKUP(DESPESAS[[#This Row],[Plano de Contas]],BASE!$B$3:$H$119,6,FALSE),"")</f>
        <v>0</v>
      </c>
      <c r="M536" s="77" t="str">
        <f>VLOOKUP(DESPESAS[[#This Row],[Plano de Contas]],BASE!$B$3:$H$119,7,FALSE)</f>
        <v>RAFAEL</v>
      </c>
    </row>
    <row r="537" spans="1:13" x14ac:dyDescent="0.25">
      <c r="A537" s="74">
        <v>196943</v>
      </c>
      <c r="B537" s="75" t="s">
        <v>232</v>
      </c>
      <c r="C537" s="75" t="s">
        <v>2989</v>
      </c>
      <c r="D537" s="76">
        <v>46036</v>
      </c>
      <c r="E537" s="75" t="s">
        <v>1311</v>
      </c>
      <c r="F537" s="74">
        <v>522.42999999999995</v>
      </c>
      <c r="G537" s="75" t="s">
        <v>218</v>
      </c>
      <c r="H537" s="77" t="str">
        <f>VLOOKUP(DESPESAS[[#This Row],[Plano de Contas]],BASE!$B$3:$D$119,3,FALSE)</f>
        <v>Manutenção de Equipamentos (Prod)</v>
      </c>
      <c r="I537" s="77" t="str">
        <f>IFERROR(VLOOKUP(DESPESAS[[#This Row],[Fornecedor]],Tabela2[],2,FALSE),"")</f>
        <v>PEÇAS GRAMPEADORES BEA</v>
      </c>
      <c r="J537" s="77" t="str">
        <f>IFERROR(VLOOKUP(DESPESAS[[#This Row],[Plano de Contas]],BASE!$B$3:$F$119,4,FALSE),"")</f>
        <v>3 - CUSTOS INDIRETOS</v>
      </c>
      <c r="K537" s="77" t="str">
        <f>IFERROR(VLOOKUP(DESPESAS[[#This Row],[Plano de Contas]],BASE!$B$3:$H$119,5,FALSE),"")</f>
        <v>MANUTENÇÃO / TI</v>
      </c>
      <c r="L537" s="77">
        <f>IFERROR(VLOOKUP(DESPESAS[[#This Row],[Plano de Contas]],BASE!$B$3:$H$119,6,FALSE),"")</f>
        <v>0</v>
      </c>
      <c r="M537" s="77" t="str">
        <f>VLOOKUP(DESPESAS[[#This Row],[Plano de Contas]],BASE!$B$3:$H$119,7,FALSE)</f>
        <v>RAFAEL</v>
      </c>
    </row>
    <row r="538" spans="1:13" x14ac:dyDescent="0.25">
      <c r="A538" s="74">
        <v>196944</v>
      </c>
      <c r="B538" s="75" t="s">
        <v>221</v>
      </c>
      <c r="C538" s="75" t="s">
        <v>2988</v>
      </c>
      <c r="D538" s="76">
        <v>46036</v>
      </c>
      <c r="E538" s="75" t="s">
        <v>1872</v>
      </c>
      <c r="F538" s="74">
        <v>305</v>
      </c>
      <c r="G538" s="75" t="s">
        <v>1037</v>
      </c>
      <c r="H538" s="77" t="str">
        <f>VLOOKUP(DESPESAS[[#This Row],[Plano de Contas]],BASE!$B$3:$D$119,3,FALSE)</f>
        <v>Construções e Reformas</v>
      </c>
      <c r="I538" s="77" t="str">
        <f>IFERROR(VLOOKUP(DESPESAS[[#This Row],[Fornecedor]],Tabela2[],2,FALSE),"")</f>
        <v>MATERIAIS ELETRICOS</v>
      </c>
      <c r="J538" s="77" t="str">
        <f>IFERROR(VLOOKUP(DESPESAS[[#This Row],[Plano de Contas]],BASE!$B$3:$F$119,4,FALSE),"")</f>
        <v>9 - INVESTIMENTOS</v>
      </c>
      <c r="K538" s="77" t="str">
        <f>IFERROR(VLOOKUP(DESPESAS[[#This Row],[Plano de Contas]],BASE!$B$3:$H$119,5,FALSE),"")</f>
        <v>MANUTENÇÃO / TI</v>
      </c>
      <c r="L538" s="77">
        <f>IFERROR(VLOOKUP(DESPESAS[[#This Row],[Plano de Contas]],BASE!$B$3:$H$119,6,FALSE),"")</f>
        <v>0</v>
      </c>
      <c r="M538" s="77" t="str">
        <f>VLOOKUP(DESPESAS[[#This Row],[Plano de Contas]],BASE!$B$3:$H$119,7,FALSE)</f>
        <v>FÁBIO</v>
      </c>
    </row>
    <row r="539" spans="1:13" x14ac:dyDescent="0.25">
      <c r="A539" s="74">
        <v>196947</v>
      </c>
      <c r="B539" s="75" t="s">
        <v>221</v>
      </c>
      <c r="C539" s="75" t="s">
        <v>2987</v>
      </c>
      <c r="D539" s="76">
        <v>46036</v>
      </c>
      <c r="E539" s="75" t="s">
        <v>338</v>
      </c>
      <c r="F539" s="74">
        <v>264</v>
      </c>
      <c r="G539" s="75" t="s">
        <v>337</v>
      </c>
      <c r="H539" s="77" t="str">
        <f>VLOOKUP(DESPESAS[[#This Row],[Plano de Contas]],BASE!$B$3:$D$119,3,FALSE)</f>
        <v>Vigilancia e Seguranca</v>
      </c>
      <c r="I539" s="77" t="str">
        <f>IFERROR(VLOOKUP(DESPESAS[[#This Row],[Fornecedor]],Tabela2[],2,FALSE),"")</f>
        <v/>
      </c>
      <c r="J539" s="77" t="str">
        <f>IFERROR(VLOOKUP(DESPESAS[[#This Row],[Plano de Contas]],BASE!$B$3:$F$119,4,FALSE),"")</f>
        <v>7 - SERVIÇOS DE TERCEIROS</v>
      </c>
      <c r="K539" s="77" t="str">
        <f>IFERROR(VLOOKUP(DESPESAS[[#This Row],[Plano de Contas]],BASE!$B$3:$H$119,5,FALSE),"")</f>
        <v>FINANCEIRO</v>
      </c>
      <c r="L539" s="77">
        <f>IFERROR(VLOOKUP(DESPESAS[[#This Row],[Plano de Contas]],BASE!$B$3:$H$119,6,FALSE),"")</f>
        <v>0</v>
      </c>
      <c r="M539" s="77" t="str">
        <f>VLOOKUP(DESPESAS[[#This Row],[Plano de Contas]],BASE!$B$3:$H$119,7,FALSE)</f>
        <v>LETÍCIA</v>
      </c>
    </row>
    <row r="540" spans="1:13" x14ac:dyDescent="0.25">
      <c r="A540" s="74">
        <v>196948</v>
      </c>
      <c r="B540" s="75" t="s">
        <v>221</v>
      </c>
      <c r="C540" s="75" t="s">
        <v>2982</v>
      </c>
      <c r="D540" s="76">
        <v>46034</v>
      </c>
      <c r="E540" s="75" t="s">
        <v>1022</v>
      </c>
      <c r="F540" s="74">
        <v>588.08000000000004</v>
      </c>
      <c r="G540" s="75" t="s">
        <v>1318</v>
      </c>
      <c r="H540" s="77" t="str">
        <f>VLOOKUP(DESPESAS[[#This Row],[Plano de Contas]],BASE!$B$3:$D$119,3,FALSE)</f>
        <v>Feiras e Eventos</v>
      </c>
      <c r="I540" s="77" t="str">
        <f>IFERROR(VLOOKUP(DESPESAS[[#This Row],[Fornecedor]],Tabela2[],2,FALSE),"")</f>
        <v/>
      </c>
      <c r="J540" s="77" t="str">
        <f>IFERROR(VLOOKUP(DESPESAS[[#This Row],[Plano de Contas]],BASE!$B$3:$F$119,4,FALSE),"")</f>
        <v>6 - DESPESA COM VENDAS</v>
      </c>
      <c r="K540" s="77" t="str">
        <f>IFERROR(VLOOKUP(DESPESAS[[#This Row],[Plano de Contas]],BASE!$B$3:$H$119,5,FALSE),"")</f>
        <v>COMERCIAL</v>
      </c>
      <c r="L540" s="77">
        <f>IFERROR(VLOOKUP(DESPESAS[[#This Row],[Plano de Contas]],BASE!$B$3:$H$119,6,FALSE),"")</f>
        <v>0</v>
      </c>
      <c r="M540" s="77" t="str">
        <f>VLOOKUP(DESPESAS[[#This Row],[Plano de Contas]],BASE!$B$3:$H$119,7,FALSE)</f>
        <v>THAIS</v>
      </c>
    </row>
    <row r="541" spans="1:13" x14ac:dyDescent="0.25">
      <c r="A541" s="74">
        <v>196949</v>
      </c>
      <c r="B541" s="75" t="s">
        <v>221</v>
      </c>
      <c r="C541" s="75" t="s">
        <v>2986</v>
      </c>
      <c r="D541" s="76">
        <v>46036</v>
      </c>
      <c r="E541" s="75" t="s">
        <v>338</v>
      </c>
      <c r="F541" s="74">
        <v>40</v>
      </c>
      <c r="G541" s="75" t="s">
        <v>365</v>
      </c>
      <c r="H541" s="77" t="str">
        <f>VLOOKUP(DESPESAS[[#This Row],[Plano de Contas]],BASE!$B$3:$D$119,3,FALSE)</f>
        <v>Pró-Labore</v>
      </c>
      <c r="I541" s="77" t="str">
        <f>IFERROR(VLOOKUP(DESPESAS[[#This Row],[Fornecedor]],Tabela2[],2,FALSE),"")</f>
        <v/>
      </c>
      <c r="J541" s="77" t="str">
        <f>IFERROR(VLOOKUP(DESPESAS[[#This Row],[Plano de Contas]],BASE!$B$3:$F$119,4,FALSE),"")</f>
        <v>4 - GASTOS COM PESSOAL</v>
      </c>
      <c r="K541" s="77" t="str">
        <f>IFERROR(VLOOKUP(DESPESAS[[#This Row],[Plano de Contas]],BASE!$B$3:$H$119,5,FALSE),"")</f>
        <v>DIRETORIA</v>
      </c>
      <c r="L541" s="77">
        <f>IFERROR(VLOOKUP(DESPESAS[[#This Row],[Plano de Contas]],BASE!$B$3:$H$119,6,FALSE),"")</f>
        <v>0</v>
      </c>
      <c r="M541" s="77" t="str">
        <f>VLOOKUP(DESPESAS[[#This Row],[Plano de Contas]],BASE!$B$3:$H$119,7,FALSE)</f>
        <v>FÁBIO</v>
      </c>
    </row>
    <row r="542" spans="1:13" x14ac:dyDescent="0.25">
      <c r="A542" s="74">
        <v>196950</v>
      </c>
      <c r="B542" s="75" t="s">
        <v>232</v>
      </c>
      <c r="C542" s="75" t="s">
        <v>2985</v>
      </c>
      <c r="D542" s="76">
        <v>46036</v>
      </c>
      <c r="E542" s="75" t="s">
        <v>230</v>
      </c>
      <c r="F542" s="74">
        <v>108.31</v>
      </c>
      <c r="G542" s="75" t="s">
        <v>229</v>
      </c>
      <c r="H542" s="77" t="str">
        <f>VLOOKUP(DESPESAS[[#This Row],[Plano de Contas]],BASE!$B$3:$D$119,3,FALSE)</f>
        <v>Despesas Bancarias</v>
      </c>
      <c r="I542" s="77" t="str">
        <f>IFERROR(VLOOKUP(DESPESAS[[#This Row],[Fornecedor]],Tabela2[],2,FALSE),"")</f>
        <v/>
      </c>
      <c r="J542" s="77" t="str">
        <f>IFERROR(VLOOKUP(DESPESAS[[#This Row],[Plano de Contas]],BASE!$B$3:$F$119,4,FALSE),"")</f>
        <v>8 - DESPESAS FINANCEIRAS</v>
      </c>
      <c r="K542" s="77" t="str">
        <f>IFERROR(VLOOKUP(DESPESAS[[#This Row],[Plano de Contas]],BASE!$B$3:$H$119,5,FALSE),"")</f>
        <v>FINANCEIRO</v>
      </c>
      <c r="L542" s="77">
        <f>IFERROR(VLOOKUP(DESPESAS[[#This Row],[Plano de Contas]],BASE!$B$3:$H$119,6,FALSE),"")</f>
        <v>0</v>
      </c>
      <c r="M542" s="77" t="str">
        <f>VLOOKUP(DESPESAS[[#This Row],[Plano de Contas]],BASE!$B$3:$H$119,7,FALSE)</f>
        <v>LETÍCIA</v>
      </c>
    </row>
    <row r="543" spans="1:13" x14ac:dyDescent="0.25">
      <c r="A543" s="74">
        <v>196951</v>
      </c>
      <c r="B543" s="75" t="s">
        <v>232</v>
      </c>
      <c r="C543" s="75" t="s">
        <v>2984</v>
      </c>
      <c r="D543" s="76">
        <v>46036</v>
      </c>
      <c r="E543" s="75" t="s">
        <v>230</v>
      </c>
      <c r="F543" s="74">
        <v>148.74</v>
      </c>
      <c r="G543" s="75" t="s">
        <v>229</v>
      </c>
      <c r="H543" s="77" t="str">
        <f>VLOOKUP(DESPESAS[[#This Row],[Plano de Contas]],BASE!$B$3:$D$119,3,FALSE)</f>
        <v>Despesas Bancarias</v>
      </c>
      <c r="I543" s="77" t="str">
        <f>IFERROR(VLOOKUP(DESPESAS[[#This Row],[Fornecedor]],Tabela2[],2,FALSE),"")</f>
        <v/>
      </c>
      <c r="J543" s="77" t="str">
        <f>IFERROR(VLOOKUP(DESPESAS[[#This Row],[Plano de Contas]],BASE!$B$3:$F$119,4,FALSE),"")</f>
        <v>8 - DESPESAS FINANCEIRAS</v>
      </c>
      <c r="K543" s="77" t="str">
        <f>IFERROR(VLOOKUP(DESPESAS[[#This Row],[Plano de Contas]],BASE!$B$3:$H$119,5,FALSE),"")</f>
        <v>FINANCEIRO</v>
      </c>
      <c r="L543" s="77">
        <f>IFERROR(VLOOKUP(DESPESAS[[#This Row],[Plano de Contas]],BASE!$B$3:$H$119,6,FALSE),"")</f>
        <v>0</v>
      </c>
      <c r="M543" s="77" t="str">
        <f>VLOOKUP(DESPESAS[[#This Row],[Plano de Contas]],BASE!$B$3:$H$119,7,FALSE)</f>
        <v>LETÍCIA</v>
      </c>
    </row>
    <row r="544" spans="1:13" x14ac:dyDescent="0.25">
      <c r="A544" s="74">
        <v>196952</v>
      </c>
      <c r="B544" s="75" t="s">
        <v>232</v>
      </c>
      <c r="C544" s="75" t="s">
        <v>2983</v>
      </c>
      <c r="D544" s="76">
        <v>46036</v>
      </c>
      <c r="E544" s="75" t="s">
        <v>230</v>
      </c>
      <c r="F544" s="74">
        <v>638.70000000000005</v>
      </c>
      <c r="G544" s="75" t="s">
        <v>251</v>
      </c>
      <c r="H544" s="77" t="str">
        <f>VLOOKUP(DESPESAS[[#This Row],[Plano de Contas]],BASE!$B$3:$D$119,3,FALSE)</f>
        <v>Juros Pagos - Antecipação de Crédito</v>
      </c>
      <c r="I544" s="77" t="str">
        <f>IFERROR(VLOOKUP(DESPESAS[[#This Row],[Fornecedor]],Tabela2[],2,FALSE),"")</f>
        <v/>
      </c>
      <c r="J544" s="77" t="str">
        <f>IFERROR(VLOOKUP(DESPESAS[[#This Row],[Plano de Contas]],BASE!$B$3:$F$119,4,FALSE),"")</f>
        <v>8 - DESPESAS FINANCEIRAS</v>
      </c>
      <c r="K544" s="77" t="str">
        <f>IFERROR(VLOOKUP(DESPESAS[[#This Row],[Plano de Contas]],BASE!$B$3:$H$119,5,FALSE),"")</f>
        <v>FINANCEIRO</v>
      </c>
      <c r="L544" s="77">
        <f>IFERROR(VLOOKUP(DESPESAS[[#This Row],[Plano de Contas]],BASE!$B$3:$H$119,6,FALSE),"")</f>
        <v>0</v>
      </c>
      <c r="M544" s="77" t="str">
        <f>VLOOKUP(DESPESAS[[#This Row],[Plano de Contas]],BASE!$B$3:$H$119,7,FALSE)</f>
        <v>LETÍCIA</v>
      </c>
    </row>
    <row r="545" spans="1:13" x14ac:dyDescent="0.25">
      <c r="A545" s="74">
        <v>196953</v>
      </c>
      <c r="B545" s="75" t="s">
        <v>221</v>
      </c>
      <c r="C545" s="75" t="s">
        <v>2982</v>
      </c>
      <c r="D545" s="76">
        <v>46034</v>
      </c>
      <c r="E545" s="75" t="s">
        <v>1025</v>
      </c>
      <c r="F545" s="74">
        <v>475.68</v>
      </c>
      <c r="G545" s="75" t="s">
        <v>1318</v>
      </c>
      <c r="H545" s="77" t="str">
        <f>VLOOKUP(DESPESAS[[#This Row],[Plano de Contas]],BASE!$B$3:$D$119,3,FALSE)</f>
        <v>Feiras e Eventos</v>
      </c>
      <c r="I545" s="77" t="str">
        <f>IFERROR(VLOOKUP(DESPESAS[[#This Row],[Fornecedor]],Tabela2[],2,FALSE),"")</f>
        <v/>
      </c>
      <c r="J545" s="77" t="str">
        <f>IFERROR(VLOOKUP(DESPESAS[[#This Row],[Plano de Contas]],BASE!$B$3:$F$119,4,FALSE),"")</f>
        <v>6 - DESPESA COM VENDAS</v>
      </c>
      <c r="K545" s="77" t="str">
        <f>IFERROR(VLOOKUP(DESPESAS[[#This Row],[Plano de Contas]],BASE!$B$3:$H$119,5,FALSE),"")</f>
        <v>COMERCIAL</v>
      </c>
      <c r="L545" s="77">
        <f>IFERROR(VLOOKUP(DESPESAS[[#This Row],[Plano de Contas]],BASE!$B$3:$H$119,6,FALSE),"")</f>
        <v>0</v>
      </c>
      <c r="M545" s="77" t="str">
        <f>VLOOKUP(DESPESAS[[#This Row],[Plano de Contas]],BASE!$B$3:$H$119,7,FALSE)</f>
        <v>THAIS</v>
      </c>
    </row>
    <row r="546" spans="1:13" x14ac:dyDescent="0.25">
      <c r="A546" s="74">
        <v>196954</v>
      </c>
      <c r="B546" s="75" t="s">
        <v>221</v>
      </c>
      <c r="C546" s="75" t="s">
        <v>2981</v>
      </c>
      <c r="D546" s="76">
        <v>46036</v>
      </c>
      <c r="E546" s="75" t="s">
        <v>1186</v>
      </c>
      <c r="F546" s="74">
        <v>438.94</v>
      </c>
      <c r="G546" s="75" t="s">
        <v>324</v>
      </c>
      <c r="H546" s="77" t="str">
        <f>VLOOKUP(DESPESAS[[#This Row],[Plano de Contas]],BASE!$B$3:$D$119,3,FALSE)</f>
        <v>Cursos e Treinamentos CIF</v>
      </c>
      <c r="I546" s="77" t="str">
        <f>IFERROR(VLOOKUP(DESPESAS[[#This Row],[Fornecedor]],Tabela2[],2,FALSE),"")</f>
        <v/>
      </c>
      <c r="J546" s="77" t="str">
        <f>IFERROR(VLOOKUP(DESPESAS[[#This Row],[Plano de Contas]],BASE!$B$3:$F$119,4,FALSE),"")</f>
        <v>3 - CUSTOS INDIRETOS</v>
      </c>
      <c r="K546" s="77" t="str">
        <f>IFERROR(VLOOKUP(DESPESAS[[#This Row],[Plano de Contas]],BASE!$B$3:$H$119,5,FALSE),"")</f>
        <v>DH</v>
      </c>
      <c r="L546" s="77">
        <f>IFERROR(VLOOKUP(DESPESAS[[#This Row],[Plano de Contas]],BASE!$B$3:$H$119,6,FALSE),"")</f>
        <v>0</v>
      </c>
      <c r="M546" s="77" t="str">
        <f>VLOOKUP(DESPESAS[[#This Row],[Plano de Contas]],BASE!$B$3:$H$119,7,FALSE)</f>
        <v>FÁBIO</v>
      </c>
    </row>
    <row r="547" spans="1:13" x14ac:dyDescent="0.25">
      <c r="A547" s="74">
        <v>196955</v>
      </c>
      <c r="B547" s="75" t="s">
        <v>232</v>
      </c>
      <c r="C547" s="75" t="s">
        <v>2980</v>
      </c>
      <c r="D547" s="76">
        <v>46036</v>
      </c>
      <c r="E547" s="75" t="s">
        <v>260</v>
      </c>
      <c r="F547" s="74">
        <v>965</v>
      </c>
      <c r="G547" s="75" t="s">
        <v>588</v>
      </c>
      <c r="H547" s="77" t="str">
        <f>VLOOKUP(DESPESAS[[#This Row],[Plano de Contas]],BASE!$B$3:$D$119,3,FALSE)</f>
        <v>Maquinas e Equipamentos</v>
      </c>
      <c r="I547" s="77" t="str">
        <f>IFERROR(VLOOKUP(DESPESAS[[#This Row],[Fornecedor]],Tabela2[],2,FALSE),"")</f>
        <v>PEÇAS DE FERRAMENTAS</v>
      </c>
      <c r="J547" s="77" t="str">
        <f>IFERROR(VLOOKUP(DESPESAS[[#This Row],[Plano de Contas]],BASE!$B$3:$F$119,4,FALSE),"")</f>
        <v>9 - INVESTIMENTOS</v>
      </c>
      <c r="K547" s="77" t="str">
        <f>IFERROR(VLOOKUP(DESPESAS[[#This Row],[Plano de Contas]],BASE!$B$3:$H$119,5,FALSE),"")</f>
        <v>MANUTENÇÃO / TI</v>
      </c>
      <c r="L547" s="77">
        <f>IFERROR(VLOOKUP(DESPESAS[[#This Row],[Plano de Contas]],BASE!$B$3:$H$119,6,FALSE),"")</f>
        <v>0</v>
      </c>
      <c r="M547" s="77" t="str">
        <f>VLOOKUP(DESPESAS[[#This Row],[Plano de Contas]],BASE!$B$3:$H$119,7,FALSE)</f>
        <v>RAFAEL</v>
      </c>
    </row>
    <row r="548" spans="1:13" x14ac:dyDescent="0.25">
      <c r="A548" s="74">
        <v>196957</v>
      </c>
      <c r="B548" s="75" t="s">
        <v>232</v>
      </c>
      <c r="C548" s="75" t="s">
        <v>2979</v>
      </c>
      <c r="D548" s="76">
        <v>46037</v>
      </c>
      <c r="E548" s="75" t="s">
        <v>230</v>
      </c>
      <c r="F548" s="74">
        <v>0.95</v>
      </c>
      <c r="G548" s="75" t="s">
        <v>229</v>
      </c>
      <c r="H548" s="77" t="str">
        <f>VLOOKUP(DESPESAS[[#This Row],[Plano de Contas]],BASE!$B$3:$D$119,3,FALSE)</f>
        <v>Despesas Bancarias</v>
      </c>
      <c r="I548" s="77" t="str">
        <f>IFERROR(VLOOKUP(DESPESAS[[#This Row],[Fornecedor]],Tabela2[],2,FALSE),"")</f>
        <v/>
      </c>
      <c r="J548" s="77" t="str">
        <f>IFERROR(VLOOKUP(DESPESAS[[#This Row],[Plano de Contas]],BASE!$B$3:$F$119,4,FALSE),"")</f>
        <v>8 - DESPESAS FINANCEIRAS</v>
      </c>
      <c r="K548" s="77" t="str">
        <f>IFERROR(VLOOKUP(DESPESAS[[#This Row],[Plano de Contas]],BASE!$B$3:$H$119,5,FALSE),"")</f>
        <v>FINANCEIRO</v>
      </c>
      <c r="L548" s="77">
        <f>IFERROR(VLOOKUP(DESPESAS[[#This Row],[Plano de Contas]],BASE!$B$3:$H$119,6,FALSE),"")</f>
        <v>0</v>
      </c>
      <c r="M548" s="77" t="str">
        <f>VLOOKUP(DESPESAS[[#This Row],[Plano de Contas]],BASE!$B$3:$H$119,7,FALSE)</f>
        <v>LETÍCIA</v>
      </c>
    </row>
    <row r="549" spans="1:13" x14ac:dyDescent="0.25">
      <c r="A549" s="74">
        <v>196958</v>
      </c>
      <c r="B549" s="75" t="s">
        <v>221</v>
      </c>
      <c r="C549" s="75" t="s">
        <v>2978</v>
      </c>
      <c r="D549" s="76">
        <v>46037</v>
      </c>
      <c r="E549" s="75" t="s">
        <v>2977</v>
      </c>
      <c r="F549" s="74">
        <v>1760</v>
      </c>
      <c r="G549" s="75" t="s">
        <v>1318</v>
      </c>
      <c r="H549" s="77" t="str">
        <f>VLOOKUP(DESPESAS[[#This Row],[Plano de Contas]],BASE!$B$3:$D$119,3,FALSE)</f>
        <v>Feiras e Eventos</v>
      </c>
      <c r="I549" s="77" t="str">
        <f>IFERROR(VLOOKUP(DESPESAS[[#This Row],[Fornecedor]],Tabela2[],2,FALSE),"")</f>
        <v/>
      </c>
      <c r="J549" s="77" t="str">
        <f>IFERROR(VLOOKUP(DESPESAS[[#This Row],[Plano de Contas]],BASE!$B$3:$F$119,4,FALSE),"")</f>
        <v>6 - DESPESA COM VENDAS</v>
      </c>
      <c r="K549" s="77" t="str">
        <f>IFERROR(VLOOKUP(DESPESAS[[#This Row],[Plano de Contas]],BASE!$B$3:$H$119,5,FALSE),"")</f>
        <v>COMERCIAL</v>
      </c>
      <c r="L549" s="77">
        <f>IFERROR(VLOOKUP(DESPESAS[[#This Row],[Plano de Contas]],BASE!$B$3:$H$119,6,FALSE),"")</f>
        <v>0</v>
      </c>
      <c r="M549" s="77" t="str">
        <f>VLOOKUP(DESPESAS[[#This Row],[Plano de Contas]],BASE!$B$3:$H$119,7,FALSE)</f>
        <v>THAIS</v>
      </c>
    </row>
    <row r="550" spans="1:13" x14ac:dyDescent="0.25">
      <c r="A550" s="74">
        <v>196959</v>
      </c>
      <c r="B550" s="75" t="s">
        <v>232</v>
      </c>
      <c r="C550" s="75" t="s">
        <v>2976</v>
      </c>
      <c r="D550" s="76">
        <v>46037</v>
      </c>
      <c r="E550" s="75" t="s">
        <v>230</v>
      </c>
      <c r="F550" s="74">
        <v>20.03</v>
      </c>
      <c r="G550" s="75" t="s">
        <v>251</v>
      </c>
      <c r="H550" s="77" t="str">
        <f>VLOOKUP(DESPESAS[[#This Row],[Plano de Contas]],BASE!$B$3:$D$119,3,FALSE)</f>
        <v>Juros Pagos - Antecipação de Crédito</v>
      </c>
      <c r="I550" s="77" t="str">
        <f>IFERROR(VLOOKUP(DESPESAS[[#This Row],[Fornecedor]],Tabela2[],2,FALSE),"")</f>
        <v/>
      </c>
      <c r="J550" s="77" t="str">
        <f>IFERROR(VLOOKUP(DESPESAS[[#This Row],[Plano de Contas]],BASE!$B$3:$F$119,4,FALSE),"")</f>
        <v>8 - DESPESAS FINANCEIRAS</v>
      </c>
      <c r="K550" s="77" t="str">
        <f>IFERROR(VLOOKUP(DESPESAS[[#This Row],[Plano de Contas]],BASE!$B$3:$H$119,5,FALSE),"")</f>
        <v>FINANCEIRO</v>
      </c>
      <c r="L550" s="77">
        <f>IFERROR(VLOOKUP(DESPESAS[[#This Row],[Plano de Contas]],BASE!$B$3:$H$119,6,FALSE),"")</f>
        <v>0</v>
      </c>
      <c r="M550" s="77" t="str">
        <f>VLOOKUP(DESPESAS[[#This Row],[Plano de Contas]],BASE!$B$3:$H$119,7,FALSE)</f>
        <v>LETÍCIA</v>
      </c>
    </row>
    <row r="551" spans="1:13" x14ac:dyDescent="0.25">
      <c r="A551" s="74">
        <v>196960</v>
      </c>
      <c r="B551" s="75" t="s">
        <v>232</v>
      </c>
      <c r="C551" s="75" t="s">
        <v>2975</v>
      </c>
      <c r="D551" s="76">
        <v>46037</v>
      </c>
      <c r="E551" s="75" t="s">
        <v>230</v>
      </c>
      <c r="F551" s="74">
        <v>5.5</v>
      </c>
      <c r="G551" s="75" t="s">
        <v>229</v>
      </c>
      <c r="H551" s="77" t="str">
        <f>VLOOKUP(DESPESAS[[#This Row],[Plano de Contas]],BASE!$B$3:$D$119,3,FALSE)</f>
        <v>Despesas Bancarias</v>
      </c>
      <c r="I551" s="77" t="str">
        <f>IFERROR(VLOOKUP(DESPESAS[[#This Row],[Fornecedor]],Tabela2[],2,FALSE),"")</f>
        <v/>
      </c>
      <c r="J551" s="77" t="str">
        <f>IFERROR(VLOOKUP(DESPESAS[[#This Row],[Plano de Contas]],BASE!$B$3:$F$119,4,FALSE),"")</f>
        <v>8 - DESPESAS FINANCEIRAS</v>
      </c>
      <c r="K551" s="77" t="str">
        <f>IFERROR(VLOOKUP(DESPESAS[[#This Row],[Plano de Contas]],BASE!$B$3:$H$119,5,FALSE),"")</f>
        <v>FINANCEIRO</v>
      </c>
      <c r="L551" s="77">
        <f>IFERROR(VLOOKUP(DESPESAS[[#This Row],[Plano de Contas]],BASE!$B$3:$H$119,6,FALSE),"")</f>
        <v>0</v>
      </c>
      <c r="M551" s="77" t="str">
        <f>VLOOKUP(DESPESAS[[#This Row],[Plano de Contas]],BASE!$B$3:$H$119,7,FALSE)</f>
        <v>LETÍCIA</v>
      </c>
    </row>
    <row r="552" spans="1:13" x14ac:dyDescent="0.25">
      <c r="A552" s="74">
        <v>196961</v>
      </c>
      <c r="B552" s="75" t="s">
        <v>232</v>
      </c>
      <c r="C552" s="75" t="s">
        <v>2974</v>
      </c>
      <c r="D552" s="76">
        <v>46036</v>
      </c>
      <c r="E552" s="75" t="s">
        <v>230</v>
      </c>
      <c r="F552" s="74">
        <v>3.95</v>
      </c>
      <c r="G552" s="75" t="s">
        <v>229</v>
      </c>
      <c r="H552" s="77" t="str">
        <f>VLOOKUP(DESPESAS[[#This Row],[Plano de Contas]],BASE!$B$3:$D$119,3,FALSE)</f>
        <v>Despesas Bancarias</v>
      </c>
      <c r="I552" s="77" t="str">
        <f>IFERROR(VLOOKUP(DESPESAS[[#This Row],[Fornecedor]],Tabela2[],2,FALSE),"")</f>
        <v/>
      </c>
      <c r="J552" s="77" t="str">
        <f>IFERROR(VLOOKUP(DESPESAS[[#This Row],[Plano de Contas]],BASE!$B$3:$F$119,4,FALSE),"")</f>
        <v>8 - DESPESAS FINANCEIRAS</v>
      </c>
      <c r="K552" s="77" t="str">
        <f>IFERROR(VLOOKUP(DESPESAS[[#This Row],[Plano de Contas]],BASE!$B$3:$H$119,5,FALSE),"")</f>
        <v>FINANCEIRO</v>
      </c>
      <c r="L552" s="77">
        <f>IFERROR(VLOOKUP(DESPESAS[[#This Row],[Plano de Contas]],BASE!$B$3:$H$119,6,FALSE),"")</f>
        <v>0</v>
      </c>
      <c r="M552" s="77" t="str">
        <f>VLOOKUP(DESPESAS[[#This Row],[Plano de Contas]],BASE!$B$3:$H$119,7,FALSE)</f>
        <v>LETÍCIA</v>
      </c>
    </row>
    <row r="553" spans="1:13" x14ac:dyDescent="0.25">
      <c r="A553" s="74">
        <v>196962</v>
      </c>
      <c r="B553" s="75" t="s">
        <v>232</v>
      </c>
      <c r="C553" s="75" t="s">
        <v>2973</v>
      </c>
      <c r="D553" s="76">
        <v>46037</v>
      </c>
      <c r="E553" s="75" t="s">
        <v>230</v>
      </c>
      <c r="F553" s="74">
        <v>1.94</v>
      </c>
      <c r="G553" s="75" t="s">
        <v>229</v>
      </c>
      <c r="H553" s="77" t="str">
        <f>VLOOKUP(DESPESAS[[#This Row],[Plano de Contas]],BASE!$B$3:$D$119,3,FALSE)</f>
        <v>Despesas Bancarias</v>
      </c>
      <c r="I553" s="77" t="str">
        <f>IFERROR(VLOOKUP(DESPESAS[[#This Row],[Fornecedor]],Tabela2[],2,FALSE),"")</f>
        <v/>
      </c>
      <c r="J553" s="77" t="str">
        <f>IFERROR(VLOOKUP(DESPESAS[[#This Row],[Plano de Contas]],BASE!$B$3:$F$119,4,FALSE),"")</f>
        <v>8 - DESPESAS FINANCEIRAS</v>
      </c>
      <c r="K553" s="77" t="str">
        <f>IFERROR(VLOOKUP(DESPESAS[[#This Row],[Plano de Contas]],BASE!$B$3:$H$119,5,FALSE),"")</f>
        <v>FINANCEIRO</v>
      </c>
      <c r="L553" s="77">
        <f>IFERROR(VLOOKUP(DESPESAS[[#This Row],[Plano de Contas]],BASE!$B$3:$H$119,6,FALSE),"")</f>
        <v>0</v>
      </c>
      <c r="M553" s="77" t="str">
        <f>VLOOKUP(DESPESAS[[#This Row],[Plano de Contas]],BASE!$B$3:$H$119,7,FALSE)</f>
        <v>LETÍCIA</v>
      </c>
    </row>
    <row r="554" spans="1:13" x14ac:dyDescent="0.25">
      <c r="A554" s="74">
        <v>196963</v>
      </c>
      <c r="B554" s="75" t="s">
        <v>232</v>
      </c>
      <c r="C554" s="75" t="s">
        <v>2972</v>
      </c>
      <c r="D554" s="76">
        <v>46037</v>
      </c>
      <c r="E554" s="75" t="s">
        <v>230</v>
      </c>
      <c r="F554" s="74">
        <v>266.08999999999997</v>
      </c>
      <c r="G554" s="75" t="s">
        <v>542</v>
      </c>
      <c r="H554" s="77" t="str">
        <f>VLOOKUP(DESPESAS[[#This Row],[Plano de Contas]],BASE!$B$3:$D$119,3,FALSE)</f>
        <v>Seguro de Vida (Adm)</v>
      </c>
      <c r="I554" s="77" t="str">
        <f>IFERROR(VLOOKUP(DESPESAS[[#This Row],[Fornecedor]],Tabela2[],2,FALSE),"")</f>
        <v/>
      </c>
      <c r="J554" s="77" t="str">
        <f>IFERROR(VLOOKUP(DESPESAS[[#This Row],[Plano de Contas]],BASE!$B$3:$F$119,4,FALSE),"")</f>
        <v>4 - GASTOS COM PESSOAL</v>
      </c>
      <c r="K554" s="77" t="str">
        <f>IFERROR(VLOOKUP(DESPESAS[[#This Row],[Plano de Contas]],BASE!$B$3:$H$119,5,FALSE),"")</f>
        <v>DH</v>
      </c>
      <c r="L554" s="77">
        <f>IFERROR(VLOOKUP(DESPESAS[[#This Row],[Plano de Contas]],BASE!$B$3:$H$119,6,FALSE),"")</f>
        <v>0</v>
      </c>
      <c r="M554" s="77" t="str">
        <f>VLOOKUP(DESPESAS[[#This Row],[Plano de Contas]],BASE!$B$3:$H$119,7,FALSE)</f>
        <v>RAFAEL</v>
      </c>
    </row>
    <row r="555" spans="1:13" x14ac:dyDescent="0.25">
      <c r="A555" s="74">
        <v>196964</v>
      </c>
      <c r="B555" s="75" t="s">
        <v>232</v>
      </c>
      <c r="C555" s="75" t="s">
        <v>2971</v>
      </c>
      <c r="D555" s="76">
        <v>46037</v>
      </c>
      <c r="E555" s="75" t="s">
        <v>230</v>
      </c>
      <c r="F555" s="74">
        <v>72.569999999999993</v>
      </c>
      <c r="G555" s="75" t="s">
        <v>544</v>
      </c>
      <c r="H555" s="77" t="str">
        <f>VLOOKUP(DESPESAS[[#This Row],[Plano de Contas]],BASE!$B$3:$D$119,3,FALSE)</f>
        <v>Seguro de Vida CIF</v>
      </c>
      <c r="I555" s="77" t="str">
        <f>IFERROR(VLOOKUP(DESPESAS[[#This Row],[Fornecedor]],Tabela2[],2,FALSE),"")</f>
        <v/>
      </c>
      <c r="J555" s="77" t="str">
        <f>IFERROR(VLOOKUP(DESPESAS[[#This Row],[Plano de Contas]],BASE!$B$3:$F$119,4,FALSE),"")</f>
        <v>3 - CUSTOS INDIRETOS</v>
      </c>
      <c r="K555" s="77" t="str">
        <f>IFERROR(VLOOKUP(DESPESAS[[#This Row],[Plano de Contas]],BASE!$B$3:$H$119,5,FALSE),"")</f>
        <v>DH</v>
      </c>
      <c r="L555" s="77" t="str">
        <f>IFERROR(VLOOKUP(DESPESAS[[#This Row],[Plano de Contas]],BASE!$B$3:$H$119,6,FALSE),"")</f>
        <v>CUSTO MÃO DE OBRA DIRETA</v>
      </c>
      <c r="M555" s="77" t="str">
        <f>VLOOKUP(DESPESAS[[#This Row],[Plano de Contas]],BASE!$B$3:$H$119,7,FALSE)</f>
        <v>RAFAEL</v>
      </c>
    </row>
    <row r="556" spans="1:13" x14ac:dyDescent="0.25">
      <c r="A556" s="74">
        <v>196965</v>
      </c>
      <c r="B556" s="75" t="s">
        <v>232</v>
      </c>
      <c r="C556" s="75" t="s">
        <v>2970</v>
      </c>
      <c r="D556" s="76">
        <v>46037</v>
      </c>
      <c r="E556" s="75" t="s">
        <v>230</v>
      </c>
      <c r="F556" s="74">
        <v>411.26</v>
      </c>
      <c r="G556" s="75" t="s">
        <v>546</v>
      </c>
      <c r="H556" s="77" t="str">
        <f>VLOOKUP(DESPESAS[[#This Row],[Plano de Contas]],BASE!$B$3:$D$119,3,FALSE)</f>
        <v>Seguro de Vida MOD</v>
      </c>
      <c r="I556" s="77" t="str">
        <f>IFERROR(VLOOKUP(DESPESAS[[#This Row],[Fornecedor]],Tabela2[],2,FALSE),"")</f>
        <v/>
      </c>
      <c r="J556" s="77" t="str">
        <f>IFERROR(VLOOKUP(DESPESAS[[#This Row],[Plano de Contas]],BASE!$B$3:$F$119,4,FALSE),"")</f>
        <v>2 - CUSTOS DIRETOS</v>
      </c>
      <c r="K556" s="77" t="str">
        <f>IFERROR(VLOOKUP(DESPESAS[[#This Row],[Plano de Contas]],BASE!$B$3:$H$119,5,FALSE),"")</f>
        <v>DH</v>
      </c>
      <c r="L556" s="77" t="str">
        <f>IFERROR(VLOOKUP(DESPESAS[[#This Row],[Plano de Contas]],BASE!$B$3:$H$119,6,FALSE),"")</f>
        <v>CUSTO MÃO DE OBRA DIRETA</v>
      </c>
      <c r="M556" s="77" t="str">
        <f>VLOOKUP(DESPESAS[[#This Row],[Plano de Contas]],BASE!$B$3:$H$119,7,FALSE)</f>
        <v>RAFAEL</v>
      </c>
    </row>
    <row r="557" spans="1:13" x14ac:dyDescent="0.25">
      <c r="A557" s="74">
        <v>196966</v>
      </c>
      <c r="B557" s="75" t="s">
        <v>232</v>
      </c>
      <c r="C557" s="75" t="s">
        <v>2969</v>
      </c>
      <c r="D557" s="76">
        <v>46037</v>
      </c>
      <c r="E557" s="75" t="s">
        <v>230</v>
      </c>
      <c r="F557" s="74">
        <v>1254.8</v>
      </c>
      <c r="G557" s="75" t="s">
        <v>546</v>
      </c>
      <c r="H557" s="77" t="str">
        <f>VLOOKUP(DESPESAS[[#This Row],[Plano de Contas]],BASE!$B$3:$D$119,3,FALSE)</f>
        <v>Seguro de Vida MOD</v>
      </c>
      <c r="I557" s="77" t="str">
        <f>IFERROR(VLOOKUP(DESPESAS[[#This Row],[Fornecedor]],Tabela2[],2,FALSE),"")</f>
        <v/>
      </c>
      <c r="J557" s="77" t="str">
        <f>IFERROR(VLOOKUP(DESPESAS[[#This Row],[Plano de Contas]],BASE!$B$3:$F$119,4,FALSE),"")</f>
        <v>2 - CUSTOS DIRETOS</v>
      </c>
      <c r="K557" s="77" t="str">
        <f>IFERROR(VLOOKUP(DESPESAS[[#This Row],[Plano de Contas]],BASE!$B$3:$H$119,5,FALSE),"")</f>
        <v>DH</v>
      </c>
      <c r="L557" s="77" t="str">
        <f>IFERROR(VLOOKUP(DESPESAS[[#This Row],[Plano de Contas]],BASE!$B$3:$H$119,6,FALSE),"")</f>
        <v>CUSTO MÃO DE OBRA DIRETA</v>
      </c>
      <c r="M557" s="77" t="str">
        <f>VLOOKUP(DESPESAS[[#This Row],[Plano de Contas]],BASE!$B$3:$H$119,7,FALSE)</f>
        <v>RAFAEL</v>
      </c>
    </row>
    <row r="558" spans="1:13" x14ac:dyDescent="0.25">
      <c r="A558" s="74">
        <v>196967</v>
      </c>
      <c r="B558" s="75" t="s">
        <v>232</v>
      </c>
      <c r="C558" s="75" t="s">
        <v>2968</v>
      </c>
      <c r="D558" s="76">
        <v>46037</v>
      </c>
      <c r="E558" s="75" t="s">
        <v>230</v>
      </c>
      <c r="F558" s="74">
        <v>225.19</v>
      </c>
      <c r="G558" s="75" t="s">
        <v>544</v>
      </c>
      <c r="H558" s="77" t="str">
        <f>VLOOKUP(DESPESAS[[#This Row],[Plano de Contas]],BASE!$B$3:$D$119,3,FALSE)</f>
        <v>Seguro de Vida CIF</v>
      </c>
      <c r="I558" s="77" t="str">
        <f>IFERROR(VLOOKUP(DESPESAS[[#This Row],[Fornecedor]],Tabela2[],2,FALSE),"")</f>
        <v/>
      </c>
      <c r="J558" s="77" t="str">
        <f>IFERROR(VLOOKUP(DESPESAS[[#This Row],[Plano de Contas]],BASE!$B$3:$F$119,4,FALSE),"")</f>
        <v>3 - CUSTOS INDIRETOS</v>
      </c>
      <c r="K558" s="77" t="str">
        <f>IFERROR(VLOOKUP(DESPESAS[[#This Row],[Plano de Contas]],BASE!$B$3:$H$119,5,FALSE),"")</f>
        <v>DH</v>
      </c>
      <c r="L558" s="77" t="str">
        <f>IFERROR(VLOOKUP(DESPESAS[[#This Row],[Plano de Contas]],BASE!$B$3:$H$119,6,FALSE),"")</f>
        <v>CUSTO MÃO DE OBRA DIRETA</v>
      </c>
      <c r="M558" s="77" t="str">
        <f>VLOOKUP(DESPESAS[[#This Row],[Plano de Contas]],BASE!$B$3:$H$119,7,FALSE)</f>
        <v>RAFAEL</v>
      </c>
    </row>
    <row r="559" spans="1:13" x14ac:dyDescent="0.25">
      <c r="A559" s="74">
        <v>196968</v>
      </c>
      <c r="B559" s="75" t="s">
        <v>232</v>
      </c>
      <c r="C559" s="75" t="s">
        <v>2967</v>
      </c>
      <c r="D559" s="76">
        <v>46037</v>
      </c>
      <c r="E559" s="75" t="s">
        <v>230</v>
      </c>
      <c r="F559" s="74">
        <v>257.36</v>
      </c>
      <c r="G559" s="75" t="s">
        <v>542</v>
      </c>
      <c r="H559" s="77" t="str">
        <f>VLOOKUP(DESPESAS[[#This Row],[Plano de Contas]],BASE!$B$3:$D$119,3,FALSE)</f>
        <v>Seguro de Vida (Adm)</v>
      </c>
      <c r="I559" s="77" t="str">
        <f>IFERROR(VLOOKUP(DESPESAS[[#This Row],[Fornecedor]],Tabela2[],2,FALSE),"")</f>
        <v/>
      </c>
      <c r="J559" s="77" t="str">
        <f>IFERROR(VLOOKUP(DESPESAS[[#This Row],[Plano de Contas]],BASE!$B$3:$F$119,4,FALSE),"")</f>
        <v>4 - GASTOS COM PESSOAL</v>
      </c>
      <c r="K559" s="77" t="str">
        <f>IFERROR(VLOOKUP(DESPESAS[[#This Row],[Plano de Contas]],BASE!$B$3:$H$119,5,FALSE),"")</f>
        <v>DH</v>
      </c>
      <c r="L559" s="77">
        <f>IFERROR(VLOOKUP(DESPESAS[[#This Row],[Plano de Contas]],BASE!$B$3:$H$119,6,FALSE),"")</f>
        <v>0</v>
      </c>
      <c r="M559" s="77" t="str">
        <f>VLOOKUP(DESPESAS[[#This Row],[Plano de Contas]],BASE!$B$3:$H$119,7,FALSE)</f>
        <v>RAFAEL</v>
      </c>
    </row>
    <row r="560" spans="1:13" x14ac:dyDescent="0.25">
      <c r="A560" s="74">
        <v>196969</v>
      </c>
      <c r="B560" s="75" t="s">
        <v>232</v>
      </c>
      <c r="C560" s="75" t="s">
        <v>2966</v>
      </c>
      <c r="D560" s="76">
        <v>46037</v>
      </c>
      <c r="E560" s="75" t="s">
        <v>230</v>
      </c>
      <c r="F560" s="74">
        <v>4.8600000000000003</v>
      </c>
      <c r="G560" s="75" t="s">
        <v>251</v>
      </c>
      <c r="H560" s="77" t="str">
        <f>VLOOKUP(DESPESAS[[#This Row],[Plano de Contas]],BASE!$B$3:$D$119,3,FALSE)</f>
        <v>Juros Pagos - Antecipação de Crédito</v>
      </c>
      <c r="I560" s="77" t="str">
        <f>IFERROR(VLOOKUP(DESPESAS[[#This Row],[Fornecedor]],Tabela2[],2,FALSE),"")</f>
        <v/>
      </c>
      <c r="J560" s="77" t="str">
        <f>IFERROR(VLOOKUP(DESPESAS[[#This Row],[Plano de Contas]],BASE!$B$3:$F$119,4,FALSE),"")</f>
        <v>8 - DESPESAS FINANCEIRAS</v>
      </c>
      <c r="K560" s="77" t="str">
        <f>IFERROR(VLOOKUP(DESPESAS[[#This Row],[Plano de Contas]],BASE!$B$3:$H$119,5,FALSE),"")</f>
        <v>FINANCEIRO</v>
      </c>
      <c r="L560" s="77">
        <f>IFERROR(VLOOKUP(DESPESAS[[#This Row],[Plano de Contas]],BASE!$B$3:$H$119,6,FALSE),"")</f>
        <v>0</v>
      </c>
      <c r="M560" s="77" t="str">
        <f>VLOOKUP(DESPESAS[[#This Row],[Plano de Contas]],BASE!$B$3:$H$119,7,FALSE)</f>
        <v>LETÍCIA</v>
      </c>
    </row>
    <row r="561" spans="1:13" x14ac:dyDescent="0.25">
      <c r="A561" s="74">
        <v>196970</v>
      </c>
      <c r="B561" s="75" t="s">
        <v>232</v>
      </c>
      <c r="C561" s="75" t="s">
        <v>2965</v>
      </c>
      <c r="D561" s="76">
        <v>46037</v>
      </c>
      <c r="E561" s="75" t="s">
        <v>230</v>
      </c>
      <c r="F561" s="74">
        <v>0.47</v>
      </c>
      <c r="G561" s="75" t="s">
        <v>229</v>
      </c>
      <c r="H561" s="77" t="str">
        <f>VLOOKUP(DESPESAS[[#This Row],[Plano de Contas]],BASE!$B$3:$D$119,3,FALSE)</f>
        <v>Despesas Bancarias</v>
      </c>
      <c r="I561" s="77" t="str">
        <f>IFERROR(VLOOKUP(DESPESAS[[#This Row],[Fornecedor]],Tabela2[],2,FALSE),"")</f>
        <v/>
      </c>
      <c r="J561" s="77" t="str">
        <f>IFERROR(VLOOKUP(DESPESAS[[#This Row],[Plano de Contas]],BASE!$B$3:$F$119,4,FALSE),"")</f>
        <v>8 - DESPESAS FINANCEIRAS</v>
      </c>
      <c r="K561" s="77" t="str">
        <f>IFERROR(VLOOKUP(DESPESAS[[#This Row],[Plano de Contas]],BASE!$B$3:$H$119,5,FALSE),"")</f>
        <v>FINANCEIRO</v>
      </c>
      <c r="L561" s="77">
        <f>IFERROR(VLOOKUP(DESPESAS[[#This Row],[Plano de Contas]],BASE!$B$3:$H$119,6,FALSE),"")</f>
        <v>0</v>
      </c>
      <c r="M561" s="77" t="str">
        <f>VLOOKUP(DESPESAS[[#This Row],[Plano de Contas]],BASE!$B$3:$H$119,7,FALSE)</f>
        <v>LETÍCIA</v>
      </c>
    </row>
    <row r="562" spans="1:13" x14ac:dyDescent="0.25">
      <c r="A562" s="74">
        <v>196971</v>
      </c>
      <c r="B562" s="75" t="s">
        <v>232</v>
      </c>
      <c r="C562" s="75" t="s">
        <v>2964</v>
      </c>
      <c r="D562" s="76">
        <v>46037</v>
      </c>
      <c r="E562" s="75" t="s">
        <v>230</v>
      </c>
      <c r="F562" s="74">
        <v>1.58</v>
      </c>
      <c r="G562" s="75" t="s">
        <v>229</v>
      </c>
      <c r="H562" s="77" t="str">
        <f>VLOOKUP(DESPESAS[[#This Row],[Plano de Contas]],BASE!$B$3:$D$119,3,FALSE)</f>
        <v>Despesas Bancarias</v>
      </c>
      <c r="I562" s="77" t="str">
        <f>IFERROR(VLOOKUP(DESPESAS[[#This Row],[Fornecedor]],Tabela2[],2,FALSE),"")</f>
        <v/>
      </c>
      <c r="J562" s="77" t="str">
        <f>IFERROR(VLOOKUP(DESPESAS[[#This Row],[Plano de Contas]],BASE!$B$3:$F$119,4,FALSE),"")</f>
        <v>8 - DESPESAS FINANCEIRAS</v>
      </c>
      <c r="K562" s="77" t="str">
        <f>IFERROR(VLOOKUP(DESPESAS[[#This Row],[Plano de Contas]],BASE!$B$3:$H$119,5,FALSE),"")</f>
        <v>FINANCEIRO</v>
      </c>
      <c r="L562" s="77">
        <f>IFERROR(VLOOKUP(DESPESAS[[#This Row],[Plano de Contas]],BASE!$B$3:$H$119,6,FALSE),"")</f>
        <v>0</v>
      </c>
      <c r="M562" s="77" t="str">
        <f>VLOOKUP(DESPESAS[[#This Row],[Plano de Contas]],BASE!$B$3:$H$119,7,FALSE)</f>
        <v>LETÍCIA</v>
      </c>
    </row>
    <row r="563" spans="1:13" x14ac:dyDescent="0.25">
      <c r="A563" s="74">
        <v>196972</v>
      </c>
      <c r="B563" s="75" t="s">
        <v>232</v>
      </c>
      <c r="C563" s="75" t="s">
        <v>2963</v>
      </c>
      <c r="D563" s="76">
        <v>46037</v>
      </c>
      <c r="E563" s="75" t="s">
        <v>230</v>
      </c>
      <c r="F563" s="74">
        <v>317.13</v>
      </c>
      <c r="G563" s="75" t="s">
        <v>546</v>
      </c>
      <c r="H563" s="77" t="str">
        <f>VLOOKUP(DESPESAS[[#This Row],[Plano de Contas]],BASE!$B$3:$D$119,3,FALSE)</f>
        <v>Seguro de Vida MOD</v>
      </c>
      <c r="I563" s="77" t="str">
        <f>IFERROR(VLOOKUP(DESPESAS[[#This Row],[Fornecedor]],Tabela2[],2,FALSE),"")</f>
        <v/>
      </c>
      <c r="J563" s="77" t="str">
        <f>IFERROR(VLOOKUP(DESPESAS[[#This Row],[Plano de Contas]],BASE!$B$3:$F$119,4,FALSE),"")</f>
        <v>2 - CUSTOS DIRETOS</v>
      </c>
      <c r="K563" s="77" t="str">
        <f>IFERROR(VLOOKUP(DESPESAS[[#This Row],[Plano de Contas]],BASE!$B$3:$H$119,5,FALSE),"")</f>
        <v>DH</v>
      </c>
      <c r="L563" s="77" t="str">
        <f>IFERROR(VLOOKUP(DESPESAS[[#This Row],[Plano de Contas]],BASE!$B$3:$H$119,6,FALSE),"")</f>
        <v>CUSTO MÃO DE OBRA DIRETA</v>
      </c>
      <c r="M563" s="77" t="str">
        <f>VLOOKUP(DESPESAS[[#This Row],[Plano de Contas]],BASE!$B$3:$H$119,7,FALSE)</f>
        <v>RAFAEL</v>
      </c>
    </row>
    <row r="564" spans="1:13" x14ac:dyDescent="0.25">
      <c r="A564" s="74">
        <v>196973</v>
      </c>
      <c r="B564" s="75" t="s">
        <v>232</v>
      </c>
      <c r="C564" s="75" t="s">
        <v>2962</v>
      </c>
      <c r="D564" s="76">
        <v>46037</v>
      </c>
      <c r="E564" s="75" t="s">
        <v>230</v>
      </c>
      <c r="F564" s="74">
        <v>63.42</v>
      </c>
      <c r="G564" s="75" t="s">
        <v>544</v>
      </c>
      <c r="H564" s="77" t="str">
        <f>VLOOKUP(DESPESAS[[#This Row],[Plano de Contas]],BASE!$B$3:$D$119,3,FALSE)</f>
        <v>Seguro de Vida CIF</v>
      </c>
      <c r="I564" s="77" t="str">
        <f>IFERROR(VLOOKUP(DESPESAS[[#This Row],[Fornecedor]],Tabela2[],2,FALSE),"")</f>
        <v/>
      </c>
      <c r="J564" s="77" t="str">
        <f>IFERROR(VLOOKUP(DESPESAS[[#This Row],[Plano de Contas]],BASE!$B$3:$F$119,4,FALSE),"")</f>
        <v>3 - CUSTOS INDIRETOS</v>
      </c>
      <c r="K564" s="77" t="str">
        <f>IFERROR(VLOOKUP(DESPESAS[[#This Row],[Plano de Contas]],BASE!$B$3:$H$119,5,FALSE),"")</f>
        <v>DH</v>
      </c>
      <c r="L564" s="77" t="str">
        <f>IFERROR(VLOOKUP(DESPESAS[[#This Row],[Plano de Contas]],BASE!$B$3:$H$119,6,FALSE),"")</f>
        <v>CUSTO MÃO DE OBRA DIRETA</v>
      </c>
      <c r="M564" s="77" t="str">
        <f>VLOOKUP(DESPESAS[[#This Row],[Plano de Contas]],BASE!$B$3:$H$119,7,FALSE)</f>
        <v>RAFAEL</v>
      </c>
    </row>
    <row r="565" spans="1:13" x14ac:dyDescent="0.25">
      <c r="A565" s="74">
        <v>196974</v>
      </c>
      <c r="B565" s="75" t="s">
        <v>232</v>
      </c>
      <c r="C565" s="75" t="s">
        <v>2961</v>
      </c>
      <c r="D565" s="76">
        <v>46037</v>
      </c>
      <c r="E565" s="75" t="s">
        <v>230</v>
      </c>
      <c r="F565" s="74">
        <v>126.85</v>
      </c>
      <c r="G565" s="75" t="s">
        <v>542</v>
      </c>
      <c r="H565" s="77" t="str">
        <f>VLOOKUP(DESPESAS[[#This Row],[Plano de Contas]],BASE!$B$3:$D$119,3,FALSE)</f>
        <v>Seguro de Vida (Adm)</v>
      </c>
      <c r="I565" s="77" t="str">
        <f>IFERROR(VLOOKUP(DESPESAS[[#This Row],[Fornecedor]],Tabela2[],2,FALSE),"")</f>
        <v/>
      </c>
      <c r="J565" s="77" t="str">
        <f>IFERROR(VLOOKUP(DESPESAS[[#This Row],[Plano de Contas]],BASE!$B$3:$F$119,4,FALSE),"")</f>
        <v>4 - GASTOS COM PESSOAL</v>
      </c>
      <c r="K565" s="77" t="str">
        <f>IFERROR(VLOOKUP(DESPESAS[[#This Row],[Plano de Contas]],BASE!$B$3:$H$119,5,FALSE),"")</f>
        <v>DH</v>
      </c>
      <c r="L565" s="77">
        <f>IFERROR(VLOOKUP(DESPESAS[[#This Row],[Plano de Contas]],BASE!$B$3:$H$119,6,FALSE),"")</f>
        <v>0</v>
      </c>
      <c r="M565" s="77" t="str">
        <f>VLOOKUP(DESPESAS[[#This Row],[Plano de Contas]],BASE!$B$3:$H$119,7,FALSE)</f>
        <v>RAFAEL</v>
      </c>
    </row>
    <row r="566" spans="1:13" x14ac:dyDescent="0.25">
      <c r="A566" s="74">
        <v>196976</v>
      </c>
      <c r="B566" s="75" t="s">
        <v>281</v>
      </c>
      <c r="C566" s="75" t="s">
        <v>2960</v>
      </c>
      <c r="D566" s="76">
        <v>46035</v>
      </c>
      <c r="E566" s="75" t="s">
        <v>361</v>
      </c>
      <c r="F566" s="74">
        <v>141.25</v>
      </c>
      <c r="G566" s="75" t="s">
        <v>259</v>
      </c>
      <c r="H566" s="77" t="str">
        <f>VLOOKUP(DESPESAS[[#This Row],[Plano de Contas]],BASE!$B$3:$D$119,3,FALSE)</f>
        <v>Manutenção Predial CIF</v>
      </c>
      <c r="I566" s="77" t="str">
        <f>IFERROR(VLOOKUP(DESPESAS[[#This Row],[Fornecedor]],Tabela2[],2,FALSE),"")</f>
        <v/>
      </c>
      <c r="J566" s="77" t="str">
        <f>IFERROR(VLOOKUP(DESPESAS[[#This Row],[Plano de Contas]],BASE!$B$3:$F$119,4,FALSE),"")</f>
        <v>3 - CUSTOS INDIRETOS</v>
      </c>
      <c r="K566" s="77" t="str">
        <f>IFERROR(VLOOKUP(DESPESAS[[#This Row],[Plano de Contas]],BASE!$B$3:$H$119,5,FALSE),"")</f>
        <v>MANUTENÇÃO / TI</v>
      </c>
      <c r="L566" s="77">
        <f>IFERROR(VLOOKUP(DESPESAS[[#This Row],[Plano de Contas]],BASE!$B$3:$H$119,6,FALSE),"")</f>
        <v>0</v>
      </c>
      <c r="M566" s="77" t="str">
        <f>VLOOKUP(DESPESAS[[#This Row],[Plano de Contas]],BASE!$B$3:$H$119,7,FALSE)</f>
        <v>FÁBIO</v>
      </c>
    </row>
    <row r="567" spans="1:13" x14ac:dyDescent="0.25">
      <c r="A567" s="74">
        <v>196977</v>
      </c>
      <c r="B567" s="75" t="s">
        <v>281</v>
      </c>
      <c r="C567" s="75" t="s">
        <v>2959</v>
      </c>
      <c r="D567" s="76">
        <v>46066</v>
      </c>
      <c r="E567" s="75" t="s">
        <v>361</v>
      </c>
      <c r="F567" s="74">
        <v>141.25</v>
      </c>
      <c r="G567" s="75" t="s">
        <v>259</v>
      </c>
      <c r="H567" s="77" t="str">
        <f>VLOOKUP(DESPESAS[[#This Row],[Plano de Contas]],BASE!$B$3:$D$119,3,FALSE)</f>
        <v>Manutenção Predial CIF</v>
      </c>
      <c r="I567" s="77" t="str">
        <f>IFERROR(VLOOKUP(DESPESAS[[#This Row],[Fornecedor]],Tabela2[],2,FALSE),"")</f>
        <v/>
      </c>
      <c r="J567" s="77" t="str">
        <f>IFERROR(VLOOKUP(DESPESAS[[#This Row],[Plano de Contas]],BASE!$B$3:$F$119,4,FALSE),"")</f>
        <v>3 - CUSTOS INDIRETOS</v>
      </c>
      <c r="K567" s="77" t="str">
        <f>IFERROR(VLOOKUP(DESPESAS[[#This Row],[Plano de Contas]],BASE!$B$3:$H$119,5,FALSE),"")</f>
        <v>MANUTENÇÃO / TI</v>
      </c>
      <c r="L567" s="77">
        <f>IFERROR(VLOOKUP(DESPESAS[[#This Row],[Plano de Contas]],BASE!$B$3:$H$119,6,FALSE),"")</f>
        <v>0</v>
      </c>
      <c r="M567" s="77" t="str">
        <f>VLOOKUP(DESPESAS[[#This Row],[Plano de Contas]],BASE!$B$3:$H$119,7,FALSE)</f>
        <v>FÁBIO</v>
      </c>
    </row>
    <row r="568" spans="1:13" x14ac:dyDescent="0.25">
      <c r="A568" s="74">
        <v>196978</v>
      </c>
      <c r="B568" s="75" t="s">
        <v>281</v>
      </c>
      <c r="C568" s="75" t="s">
        <v>2958</v>
      </c>
      <c r="D568" s="76">
        <v>46094</v>
      </c>
      <c r="E568" s="75" t="s">
        <v>361</v>
      </c>
      <c r="F568" s="74">
        <v>141.25</v>
      </c>
      <c r="G568" s="75" t="s">
        <v>259</v>
      </c>
      <c r="H568" s="77" t="str">
        <f>VLOOKUP(DESPESAS[[#This Row],[Plano de Contas]],BASE!$B$3:$D$119,3,FALSE)</f>
        <v>Manutenção Predial CIF</v>
      </c>
      <c r="I568" s="77" t="str">
        <f>IFERROR(VLOOKUP(DESPESAS[[#This Row],[Fornecedor]],Tabela2[],2,FALSE),"")</f>
        <v/>
      </c>
      <c r="J568" s="77" t="str">
        <f>IFERROR(VLOOKUP(DESPESAS[[#This Row],[Plano de Contas]],BASE!$B$3:$F$119,4,FALSE),"")</f>
        <v>3 - CUSTOS INDIRETOS</v>
      </c>
      <c r="K568" s="77" t="str">
        <f>IFERROR(VLOOKUP(DESPESAS[[#This Row],[Plano de Contas]],BASE!$B$3:$H$119,5,FALSE),"")</f>
        <v>MANUTENÇÃO / TI</v>
      </c>
      <c r="L568" s="77">
        <f>IFERROR(VLOOKUP(DESPESAS[[#This Row],[Plano de Contas]],BASE!$B$3:$H$119,6,FALSE),"")</f>
        <v>0</v>
      </c>
      <c r="M568" s="77" t="str">
        <f>VLOOKUP(DESPESAS[[#This Row],[Plano de Contas]],BASE!$B$3:$H$119,7,FALSE)</f>
        <v>FÁBIO</v>
      </c>
    </row>
    <row r="569" spans="1:13" x14ac:dyDescent="0.25">
      <c r="A569" s="74">
        <v>196979</v>
      </c>
      <c r="B569" s="75" t="s">
        <v>281</v>
      </c>
      <c r="C569" s="75" t="s">
        <v>2957</v>
      </c>
      <c r="D569" s="76">
        <v>46125</v>
      </c>
      <c r="E569" s="75" t="s">
        <v>361</v>
      </c>
      <c r="F569" s="74">
        <v>141.25</v>
      </c>
      <c r="G569" s="75" t="s">
        <v>259</v>
      </c>
      <c r="H569" s="77" t="str">
        <f>VLOOKUP(DESPESAS[[#This Row],[Plano de Contas]],BASE!$B$3:$D$119,3,FALSE)</f>
        <v>Manutenção Predial CIF</v>
      </c>
      <c r="I569" s="77" t="str">
        <f>IFERROR(VLOOKUP(DESPESAS[[#This Row],[Fornecedor]],Tabela2[],2,FALSE),"")</f>
        <v/>
      </c>
      <c r="J569" s="77" t="str">
        <f>IFERROR(VLOOKUP(DESPESAS[[#This Row],[Plano de Contas]],BASE!$B$3:$F$119,4,FALSE),"")</f>
        <v>3 - CUSTOS INDIRETOS</v>
      </c>
      <c r="K569" s="77" t="str">
        <f>IFERROR(VLOOKUP(DESPESAS[[#This Row],[Plano de Contas]],BASE!$B$3:$H$119,5,FALSE),"")</f>
        <v>MANUTENÇÃO / TI</v>
      </c>
      <c r="L569" s="77">
        <f>IFERROR(VLOOKUP(DESPESAS[[#This Row],[Plano de Contas]],BASE!$B$3:$H$119,6,FALSE),"")</f>
        <v>0</v>
      </c>
      <c r="M569" s="77" t="str">
        <f>VLOOKUP(DESPESAS[[#This Row],[Plano de Contas]],BASE!$B$3:$H$119,7,FALSE)</f>
        <v>FÁBIO</v>
      </c>
    </row>
    <row r="570" spans="1:13" x14ac:dyDescent="0.25">
      <c r="A570" s="74">
        <v>196989</v>
      </c>
      <c r="B570" s="75" t="s">
        <v>281</v>
      </c>
      <c r="C570" s="75" t="s">
        <v>2956</v>
      </c>
      <c r="D570" s="76">
        <v>46035</v>
      </c>
      <c r="E570" s="75" t="s">
        <v>361</v>
      </c>
      <c r="F570" s="74">
        <v>23.69</v>
      </c>
      <c r="G570" s="75" t="s">
        <v>259</v>
      </c>
      <c r="H570" s="77" t="str">
        <f>VLOOKUP(DESPESAS[[#This Row],[Plano de Contas]],BASE!$B$3:$D$119,3,FALSE)</f>
        <v>Manutenção Predial CIF</v>
      </c>
      <c r="I570" s="77" t="str">
        <f>IFERROR(VLOOKUP(DESPESAS[[#This Row],[Fornecedor]],Tabela2[],2,FALSE),"")</f>
        <v/>
      </c>
      <c r="J570" s="77" t="str">
        <f>IFERROR(VLOOKUP(DESPESAS[[#This Row],[Plano de Contas]],BASE!$B$3:$F$119,4,FALSE),"")</f>
        <v>3 - CUSTOS INDIRETOS</v>
      </c>
      <c r="K570" s="77" t="str">
        <f>IFERROR(VLOOKUP(DESPESAS[[#This Row],[Plano de Contas]],BASE!$B$3:$H$119,5,FALSE),"")</f>
        <v>MANUTENÇÃO / TI</v>
      </c>
      <c r="L570" s="77">
        <f>IFERROR(VLOOKUP(DESPESAS[[#This Row],[Plano de Contas]],BASE!$B$3:$H$119,6,FALSE),"")</f>
        <v>0</v>
      </c>
      <c r="M570" s="77" t="str">
        <f>VLOOKUP(DESPESAS[[#This Row],[Plano de Contas]],BASE!$B$3:$H$119,7,FALSE)</f>
        <v>FÁBIO</v>
      </c>
    </row>
    <row r="571" spans="1:13" x14ac:dyDescent="0.25">
      <c r="A571" s="74">
        <v>196991</v>
      </c>
      <c r="B571" s="75" t="s">
        <v>281</v>
      </c>
      <c r="C571" s="75" t="s">
        <v>2955</v>
      </c>
      <c r="D571" s="76">
        <v>46035</v>
      </c>
      <c r="E571" s="75" t="s">
        <v>361</v>
      </c>
      <c r="F571" s="74">
        <v>51.46</v>
      </c>
      <c r="G571" s="75" t="s">
        <v>259</v>
      </c>
      <c r="H571" s="77" t="str">
        <f>VLOOKUP(DESPESAS[[#This Row],[Plano de Contas]],BASE!$B$3:$D$119,3,FALSE)</f>
        <v>Manutenção Predial CIF</v>
      </c>
      <c r="I571" s="77" t="str">
        <f>IFERROR(VLOOKUP(DESPESAS[[#This Row],[Fornecedor]],Tabela2[],2,FALSE),"")</f>
        <v/>
      </c>
      <c r="J571" s="77" t="str">
        <f>IFERROR(VLOOKUP(DESPESAS[[#This Row],[Plano de Contas]],BASE!$B$3:$F$119,4,FALSE),"")</f>
        <v>3 - CUSTOS INDIRETOS</v>
      </c>
      <c r="K571" s="77" t="str">
        <f>IFERROR(VLOOKUP(DESPESAS[[#This Row],[Plano de Contas]],BASE!$B$3:$H$119,5,FALSE),"")</f>
        <v>MANUTENÇÃO / TI</v>
      </c>
      <c r="L571" s="77">
        <f>IFERROR(VLOOKUP(DESPESAS[[#This Row],[Plano de Contas]],BASE!$B$3:$H$119,6,FALSE),"")</f>
        <v>0</v>
      </c>
      <c r="M571" s="77" t="str">
        <f>VLOOKUP(DESPESAS[[#This Row],[Plano de Contas]],BASE!$B$3:$H$119,7,FALSE)</f>
        <v>FÁBIO</v>
      </c>
    </row>
    <row r="572" spans="1:13" x14ac:dyDescent="0.25">
      <c r="A572" s="74">
        <v>196992</v>
      </c>
      <c r="B572" s="75" t="s">
        <v>281</v>
      </c>
      <c r="C572" s="75" t="s">
        <v>2954</v>
      </c>
      <c r="D572" s="76">
        <v>46066</v>
      </c>
      <c r="E572" s="75" t="s">
        <v>361</v>
      </c>
      <c r="F572" s="74">
        <v>51.46</v>
      </c>
      <c r="G572" s="75" t="s">
        <v>259</v>
      </c>
      <c r="H572" s="77" t="str">
        <f>VLOOKUP(DESPESAS[[#This Row],[Plano de Contas]],BASE!$B$3:$D$119,3,FALSE)</f>
        <v>Manutenção Predial CIF</v>
      </c>
      <c r="I572" s="77" t="str">
        <f>IFERROR(VLOOKUP(DESPESAS[[#This Row],[Fornecedor]],Tabela2[],2,FALSE),"")</f>
        <v/>
      </c>
      <c r="J572" s="77" t="str">
        <f>IFERROR(VLOOKUP(DESPESAS[[#This Row],[Plano de Contas]],BASE!$B$3:$F$119,4,FALSE),"")</f>
        <v>3 - CUSTOS INDIRETOS</v>
      </c>
      <c r="K572" s="77" t="str">
        <f>IFERROR(VLOOKUP(DESPESAS[[#This Row],[Plano de Contas]],BASE!$B$3:$H$119,5,FALSE),"")</f>
        <v>MANUTENÇÃO / TI</v>
      </c>
      <c r="L572" s="77">
        <f>IFERROR(VLOOKUP(DESPESAS[[#This Row],[Plano de Contas]],BASE!$B$3:$H$119,6,FALSE),"")</f>
        <v>0</v>
      </c>
      <c r="M572" s="77" t="str">
        <f>VLOOKUP(DESPESAS[[#This Row],[Plano de Contas]],BASE!$B$3:$H$119,7,FALSE)</f>
        <v>FÁBIO</v>
      </c>
    </row>
    <row r="573" spans="1:13" x14ac:dyDescent="0.25">
      <c r="A573" s="74">
        <v>196993</v>
      </c>
      <c r="B573" s="75" t="s">
        <v>281</v>
      </c>
      <c r="C573" s="75" t="s">
        <v>2953</v>
      </c>
      <c r="D573" s="76">
        <v>46094</v>
      </c>
      <c r="E573" s="75" t="s">
        <v>361</v>
      </c>
      <c r="F573" s="74">
        <v>51.46</v>
      </c>
      <c r="G573" s="75" t="s">
        <v>259</v>
      </c>
      <c r="H573" s="77" t="str">
        <f>VLOOKUP(DESPESAS[[#This Row],[Plano de Contas]],BASE!$B$3:$D$119,3,FALSE)</f>
        <v>Manutenção Predial CIF</v>
      </c>
      <c r="I573" s="77" t="str">
        <f>IFERROR(VLOOKUP(DESPESAS[[#This Row],[Fornecedor]],Tabela2[],2,FALSE),"")</f>
        <v/>
      </c>
      <c r="J573" s="77" t="str">
        <f>IFERROR(VLOOKUP(DESPESAS[[#This Row],[Plano de Contas]],BASE!$B$3:$F$119,4,FALSE),"")</f>
        <v>3 - CUSTOS INDIRETOS</v>
      </c>
      <c r="K573" s="77" t="str">
        <f>IFERROR(VLOOKUP(DESPESAS[[#This Row],[Plano de Contas]],BASE!$B$3:$H$119,5,FALSE),"")</f>
        <v>MANUTENÇÃO / TI</v>
      </c>
      <c r="L573" s="77">
        <f>IFERROR(VLOOKUP(DESPESAS[[#This Row],[Plano de Contas]],BASE!$B$3:$H$119,6,FALSE),"")</f>
        <v>0</v>
      </c>
      <c r="M573" s="77" t="str">
        <f>VLOOKUP(DESPESAS[[#This Row],[Plano de Contas]],BASE!$B$3:$H$119,7,FALSE)</f>
        <v>FÁBIO</v>
      </c>
    </row>
    <row r="574" spans="1:13" x14ac:dyDescent="0.25">
      <c r="A574" s="74">
        <v>196994</v>
      </c>
      <c r="B574" s="75" t="s">
        <v>281</v>
      </c>
      <c r="C574" s="75" t="s">
        <v>2952</v>
      </c>
      <c r="D574" s="76">
        <v>46125</v>
      </c>
      <c r="E574" s="75" t="s">
        <v>361</v>
      </c>
      <c r="F574" s="74">
        <v>51.46</v>
      </c>
      <c r="G574" s="75" t="s">
        <v>259</v>
      </c>
      <c r="H574" s="77" t="str">
        <f>VLOOKUP(DESPESAS[[#This Row],[Plano de Contas]],BASE!$B$3:$D$119,3,FALSE)</f>
        <v>Manutenção Predial CIF</v>
      </c>
      <c r="I574" s="77" t="str">
        <f>IFERROR(VLOOKUP(DESPESAS[[#This Row],[Fornecedor]],Tabela2[],2,FALSE),"")</f>
        <v/>
      </c>
      <c r="J574" s="77" t="str">
        <f>IFERROR(VLOOKUP(DESPESAS[[#This Row],[Plano de Contas]],BASE!$B$3:$F$119,4,FALSE),"")</f>
        <v>3 - CUSTOS INDIRETOS</v>
      </c>
      <c r="K574" s="77" t="str">
        <f>IFERROR(VLOOKUP(DESPESAS[[#This Row],[Plano de Contas]],BASE!$B$3:$H$119,5,FALSE),"")</f>
        <v>MANUTENÇÃO / TI</v>
      </c>
      <c r="L574" s="77">
        <f>IFERROR(VLOOKUP(DESPESAS[[#This Row],[Plano de Contas]],BASE!$B$3:$H$119,6,FALSE),"")</f>
        <v>0</v>
      </c>
      <c r="M574" s="77" t="str">
        <f>VLOOKUP(DESPESAS[[#This Row],[Plano de Contas]],BASE!$B$3:$H$119,7,FALSE)</f>
        <v>FÁBIO</v>
      </c>
    </row>
    <row r="575" spans="1:13" x14ac:dyDescent="0.25">
      <c r="A575" s="74">
        <v>196998</v>
      </c>
      <c r="B575" s="75" t="s">
        <v>281</v>
      </c>
      <c r="C575" s="75" t="s">
        <v>2951</v>
      </c>
      <c r="D575" s="76">
        <v>46035</v>
      </c>
      <c r="E575" s="75" t="s">
        <v>361</v>
      </c>
      <c r="F575" s="74">
        <v>31.45</v>
      </c>
      <c r="G575" s="75" t="s">
        <v>259</v>
      </c>
      <c r="H575" s="77" t="str">
        <f>VLOOKUP(DESPESAS[[#This Row],[Plano de Contas]],BASE!$B$3:$D$119,3,FALSE)</f>
        <v>Manutenção Predial CIF</v>
      </c>
      <c r="I575" s="77" t="str">
        <f>IFERROR(VLOOKUP(DESPESAS[[#This Row],[Fornecedor]],Tabela2[],2,FALSE),"")</f>
        <v/>
      </c>
      <c r="J575" s="77" t="str">
        <f>IFERROR(VLOOKUP(DESPESAS[[#This Row],[Plano de Contas]],BASE!$B$3:$F$119,4,FALSE),"")</f>
        <v>3 - CUSTOS INDIRETOS</v>
      </c>
      <c r="K575" s="77" t="str">
        <f>IFERROR(VLOOKUP(DESPESAS[[#This Row],[Plano de Contas]],BASE!$B$3:$H$119,5,FALSE),"")</f>
        <v>MANUTENÇÃO / TI</v>
      </c>
      <c r="L575" s="77">
        <f>IFERROR(VLOOKUP(DESPESAS[[#This Row],[Plano de Contas]],BASE!$B$3:$H$119,6,FALSE),"")</f>
        <v>0</v>
      </c>
      <c r="M575" s="77" t="str">
        <f>VLOOKUP(DESPESAS[[#This Row],[Plano de Contas]],BASE!$B$3:$H$119,7,FALSE)</f>
        <v>FÁBIO</v>
      </c>
    </row>
    <row r="576" spans="1:13" x14ac:dyDescent="0.25">
      <c r="A576" s="74">
        <v>196999</v>
      </c>
      <c r="B576" s="75" t="s">
        <v>232</v>
      </c>
      <c r="C576" s="75" t="s">
        <v>2950</v>
      </c>
      <c r="D576" s="76">
        <v>46023</v>
      </c>
      <c r="E576" s="75" t="s">
        <v>640</v>
      </c>
      <c r="F576" s="74">
        <v>479.04</v>
      </c>
      <c r="G576" s="75" t="s">
        <v>430</v>
      </c>
      <c r="H576" s="77" t="str">
        <f>VLOOKUP(DESPESAS[[#This Row],[Plano de Contas]],BASE!$B$3:$D$119,3,FALSE)</f>
        <v>Salarios e Ordenados MOD</v>
      </c>
      <c r="I576" s="77" t="str">
        <f>IFERROR(VLOOKUP(DESPESAS[[#This Row],[Fornecedor]],Tabela2[],2,FALSE),"")</f>
        <v/>
      </c>
      <c r="J576" s="77" t="str">
        <f>IFERROR(VLOOKUP(DESPESAS[[#This Row],[Plano de Contas]],BASE!$B$3:$F$119,4,FALSE),"")</f>
        <v>2 - CUSTOS DIRETOS</v>
      </c>
      <c r="K576" s="77" t="str">
        <f>IFERROR(VLOOKUP(DESPESAS[[#This Row],[Plano de Contas]],BASE!$B$3:$H$119,5,FALSE),"")</f>
        <v>DH</v>
      </c>
      <c r="L576" s="77" t="str">
        <f>IFERROR(VLOOKUP(DESPESAS[[#This Row],[Plano de Contas]],BASE!$B$3:$H$119,6,FALSE),"")</f>
        <v>CUSTO MÃO DE OBRA DIRETA</v>
      </c>
      <c r="M576" s="77" t="str">
        <f>VLOOKUP(DESPESAS[[#This Row],[Plano de Contas]],BASE!$B$3:$H$119,7,FALSE)</f>
        <v>RAFAEL</v>
      </c>
    </row>
    <row r="577" spans="1:13" x14ac:dyDescent="0.25">
      <c r="A577" s="74">
        <v>197000</v>
      </c>
      <c r="B577" s="75" t="s">
        <v>232</v>
      </c>
      <c r="C577" s="75" t="s">
        <v>2938</v>
      </c>
      <c r="D577" s="76">
        <v>46023</v>
      </c>
      <c r="E577" s="75" t="s">
        <v>640</v>
      </c>
      <c r="F577" s="74">
        <v>486.93</v>
      </c>
      <c r="G577" s="75" t="s">
        <v>627</v>
      </c>
      <c r="H577" s="77" t="str">
        <f>VLOOKUP(DESPESAS[[#This Row],[Plano de Contas]],BASE!$B$3:$D$119,3,FALSE)</f>
        <v>Salarios e Ordenados (Adm)</v>
      </c>
      <c r="I577" s="77" t="str">
        <f>IFERROR(VLOOKUP(DESPESAS[[#This Row],[Fornecedor]],Tabela2[],2,FALSE),"")</f>
        <v/>
      </c>
      <c r="J577" s="77" t="str">
        <f>IFERROR(VLOOKUP(DESPESAS[[#This Row],[Plano de Contas]],BASE!$B$3:$F$119,4,FALSE),"")</f>
        <v>4 - GASTOS COM PESSOAL</v>
      </c>
      <c r="K577" s="77" t="str">
        <f>IFERROR(VLOOKUP(DESPESAS[[#This Row],[Plano de Contas]],BASE!$B$3:$H$119,5,FALSE),"")</f>
        <v>DH</v>
      </c>
      <c r="L577" s="77">
        <f>IFERROR(VLOOKUP(DESPESAS[[#This Row],[Plano de Contas]],BASE!$B$3:$H$119,6,FALSE),"")</f>
        <v>0</v>
      </c>
      <c r="M577" s="77" t="str">
        <f>VLOOKUP(DESPESAS[[#This Row],[Plano de Contas]],BASE!$B$3:$H$119,7,FALSE)</f>
        <v>RAFAEL</v>
      </c>
    </row>
    <row r="578" spans="1:13" x14ac:dyDescent="0.25">
      <c r="A578" s="74">
        <v>197001</v>
      </c>
      <c r="B578" s="75" t="s">
        <v>232</v>
      </c>
      <c r="C578" s="75" t="s">
        <v>2936</v>
      </c>
      <c r="D578" s="76">
        <v>46023</v>
      </c>
      <c r="E578" s="75" t="s">
        <v>640</v>
      </c>
      <c r="F578" s="74">
        <v>310.33</v>
      </c>
      <c r="G578" s="75" t="s">
        <v>430</v>
      </c>
      <c r="H578" s="77" t="str">
        <f>VLOOKUP(DESPESAS[[#This Row],[Plano de Contas]],BASE!$B$3:$D$119,3,FALSE)</f>
        <v>Salarios e Ordenados MOD</v>
      </c>
      <c r="I578" s="77" t="str">
        <f>IFERROR(VLOOKUP(DESPESAS[[#This Row],[Fornecedor]],Tabela2[],2,FALSE),"")</f>
        <v/>
      </c>
      <c r="J578" s="77" t="str">
        <f>IFERROR(VLOOKUP(DESPESAS[[#This Row],[Plano de Contas]],BASE!$B$3:$F$119,4,FALSE),"")</f>
        <v>2 - CUSTOS DIRETOS</v>
      </c>
      <c r="K578" s="77" t="str">
        <f>IFERROR(VLOOKUP(DESPESAS[[#This Row],[Plano de Contas]],BASE!$B$3:$H$119,5,FALSE),"")</f>
        <v>DH</v>
      </c>
      <c r="L578" s="77" t="str">
        <f>IFERROR(VLOOKUP(DESPESAS[[#This Row],[Plano de Contas]],BASE!$B$3:$H$119,6,FALSE),"")</f>
        <v>CUSTO MÃO DE OBRA DIRETA</v>
      </c>
      <c r="M578" s="77" t="str">
        <f>VLOOKUP(DESPESAS[[#This Row],[Plano de Contas]],BASE!$B$3:$H$119,7,FALSE)</f>
        <v>RAFAEL</v>
      </c>
    </row>
    <row r="579" spans="1:13" x14ac:dyDescent="0.25">
      <c r="A579" s="74">
        <v>197002</v>
      </c>
      <c r="B579" s="75" t="s">
        <v>232</v>
      </c>
      <c r="C579" s="75" t="s">
        <v>2935</v>
      </c>
      <c r="D579" s="76">
        <v>46023</v>
      </c>
      <c r="E579" s="75" t="s">
        <v>640</v>
      </c>
      <c r="F579" s="74">
        <v>321.14999999999998</v>
      </c>
      <c r="G579" s="75" t="s">
        <v>644</v>
      </c>
      <c r="H579" s="77" t="str">
        <f>VLOOKUP(DESPESAS[[#This Row],[Plano de Contas]],BASE!$B$3:$D$119,3,FALSE)</f>
        <v>Gratificações (Adm)</v>
      </c>
      <c r="I579" s="77" t="str">
        <f>IFERROR(VLOOKUP(DESPESAS[[#This Row],[Fornecedor]],Tabela2[],2,FALSE),"")</f>
        <v/>
      </c>
      <c r="J579" s="77" t="str">
        <f>IFERROR(VLOOKUP(DESPESAS[[#This Row],[Plano de Contas]],BASE!$B$3:$F$119,4,FALSE),"")</f>
        <v>4 - GASTOS COM PESSOAL</v>
      </c>
      <c r="K579" s="77" t="str">
        <f>IFERROR(VLOOKUP(DESPESAS[[#This Row],[Plano de Contas]],BASE!$B$3:$H$119,5,FALSE),"")</f>
        <v>DH</v>
      </c>
      <c r="L579" s="77">
        <f>IFERROR(VLOOKUP(DESPESAS[[#This Row],[Plano de Contas]],BASE!$B$3:$H$119,6,FALSE),"")</f>
        <v>0</v>
      </c>
      <c r="M579" s="77" t="str">
        <f>VLOOKUP(DESPESAS[[#This Row],[Plano de Contas]],BASE!$B$3:$H$119,7,FALSE)</f>
        <v>RAFAEL</v>
      </c>
    </row>
    <row r="580" spans="1:13" x14ac:dyDescent="0.25">
      <c r="A580" s="74">
        <v>197003</v>
      </c>
      <c r="B580" s="75" t="s">
        <v>232</v>
      </c>
      <c r="C580" s="75" t="s">
        <v>2933</v>
      </c>
      <c r="D580" s="76">
        <v>46023</v>
      </c>
      <c r="E580" s="75" t="s">
        <v>640</v>
      </c>
      <c r="F580" s="74">
        <v>170.8</v>
      </c>
      <c r="G580" s="75" t="s">
        <v>642</v>
      </c>
      <c r="H580" s="77" t="str">
        <f>VLOOKUP(DESPESAS[[#This Row],[Plano de Contas]],BASE!$B$3:$D$119,3,FALSE)</f>
        <v>Gratificacoes MOD</v>
      </c>
      <c r="I580" s="77" t="str">
        <f>IFERROR(VLOOKUP(DESPESAS[[#This Row],[Fornecedor]],Tabela2[],2,FALSE),"")</f>
        <v/>
      </c>
      <c r="J580" s="77" t="str">
        <f>IFERROR(VLOOKUP(DESPESAS[[#This Row],[Plano de Contas]],BASE!$B$3:$F$119,4,FALSE),"")</f>
        <v>2 - CUSTOS DIRETOS</v>
      </c>
      <c r="K580" s="77" t="str">
        <f>IFERROR(VLOOKUP(DESPESAS[[#This Row],[Plano de Contas]],BASE!$B$3:$H$119,5,FALSE),"")</f>
        <v>DH</v>
      </c>
      <c r="L580" s="77" t="str">
        <f>IFERROR(VLOOKUP(DESPESAS[[#This Row],[Plano de Contas]],BASE!$B$3:$H$119,6,FALSE),"")</f>
        <v>CUSTO MÃO DE OBRA DIRETA</v>
      </c>
      <c r="M580" s="77" t="str">
        <f>VLOOKUP(DESPESAS[[#This Row],[Plano de Contas]],BASE!$B$3:$H$119,7,FALSE)</f>
        <v>RAFAEL</v>
      </c>
    </row>
    <row r="581" spans="1:13" x14ac:dyDescent="0.25">
      <c r="A581" s="74">
        <v>197004</v>
      </c>
      <c r="B581" s="75" t="s">
        <v>232</v>
      </c>
      <c r="C581" s="75" t="s">
        <v>2949</v>
      </c>
      <c r="D581" s="76">
        <v>46023</v>
      </c>
      <c r="E581" s="75" t="s">
        <v>640</v>
      </c>
      <c r="F581" s="74">
        <v>187.53</v>
      </c>
      <c r="G581" s="75" t="s">
        <v>430</v>
      </c>
      <c r="H581" s="77" t="str">
        <f>VLOOKUP(DESPESAS[[#This Row],[Plano de Contas]],BASE!$B$3:$D$119,3,FALSE)</f>
        <v>Salarios e Ordenados MOD</v>
      </c>
      <c r="I581" s="77" t="str">
        <f>IFERROR(VLOOKUP(DESPESAS[[#This Row],[Fornecedor]],Tabela2[],2,FALSE),"")</f>
        <v/>
      </c>
      <c r="J581" s="77" t="str">
        <f>IFERROR(VLOOKUP(DESPESAS[[#This Row],[Plano de Contas]],BASE!$B$3:$F$119,4,FALSE),"")</f>
        <v>2 - CUSTOS DIRETOS</v>
      </c>
      <c r="K581" s="77" t="str">
        <f>IFERROR(VLOOKUP(DESPESAS[[#This Row],[Plano de Contas]],BASE!$B$3:$H$119,5,FALSE),"")</f>
        <v>DH</v>
      </c>
      <c r="L581" s="77" t="str">
        <f>IFERROR(VLOOKUP(DESPESAS[[#This Row],[Plano de Contas]],BASE!$B$3:$H$119,6,FALSE),"")</f>
        <v>CUSTO MÃO DE OBRA DIRETA</v>
      </c>
      <c r="M581" s="77" t="str">
        <f>VLOOKUP(DESPESAS[[#This Row],[Plano de Contas]],BASE!$B$3:$H$119,7,FALSE)</f>
        <v>RAFAEL</v>
      </c>
    </row>
    <row r="582" spans="1:13" x14ac:dyDescent="0.25">
      <c r="A582" s="74">
        <v>197005</v>
      </c>
      <c r="B582" s="75" t="s">
        <v>232</v>
      </c>
      <c r="C582" s="75" t="s">
        <v>2948</v>
      </c>
      <c r="D582" s="76">
        <v>46023</v>
      </c>
      <c r="E582" s="75" t="s">
        <v>640</v>
      </c>
      <c r="F582" s="74">
        <v>322.89999999999998</v>
      </c>
      <c r="G582" s="75" t="s">
        <v>365</v>
      </c>
      <c r="H582" s="77" t="str">
        <f>VLOOKUP(DESPESAS[[#This Row],[Plano de Contas]],BASE!$B$3:$D$119,3,FALSE)</f>
        <v>Pró-Labore</v>
      </c>
      <c r="I582" s="77" t="str">
        <f>IFERROR(VLOOKUP(DESPESAS[[#This Row],[Fornecedor]],Tabela2[],2,FALSE),"")</f>
        <v/>
      </c>
      <c r="J582" s="77" t="str">
        <f>IFERROR(VLOOKUP(DESPESAS[[#This Row],[Plano de Contas]],BASE!$B$3:$F$119,4,FALSE),"")</f>
        <v>4 - GASTOS COM PESSOAL</v>
      </c>
      <c r="K582" s="77" t="str">
        <f>IFERROR(VLOOKUP(DESPESAS[[#This Row],[Plano de Contas]],BASE!$B$3:$H$119,5,FALSE),"")</f>
        <v>DIRETORIA</v>
      </c>
      <c r="L582" s="77">
        <f>IFERROR(VLOOKUP(DESPESAS[[#This Row],[Plano de Contas]],BASE!$B$3:$H$119,6,FALSE),"")</f>
        <v>0</v>
      </c>
      <c r="M582" s="77" t="str">
        <f>VLOOKUP(DESPESAS[[#This Row],[Plano de Contas]],BASE!$B$3:$H$119,7,FALSE)</f>
        <v>FÁBIO</v>
      </c>
    </row>
    <row r="583" spans="1:13" x14ac:dyDescent="0.25">
      <c r="A583" s="74">
        <v>197006</v>
      </c>
      <c r="B583" s="75" t="s">
        <v>232</v>
      </c>
      <c r="C583" s="75" t="s">
        <v>2947</v>
      </c>
      <c r="D583" s="76">
        <v>46023</v>
      </c>
      <c r="E583" s="75" t="s">
        <v>640</v>
      </c>
      <c r="F583" s="74">
        <v>680.1</v>
      </c>
      <c r="G583" s="75" t="s">
        <v>627</v>
      </c>
      <c r="H583" s="77" t="str">
        <f>VLOOKUP(DESPESAS[[#This Row],[Plano de Contas]],BASE!$B$3:$D$119,3,FALSE)</f>
        <v>Salarios e Ordenados (Adm)</v>
      </c>
      <c r="I583" s="77" t="str">
        <f>IFERROR(VLOOKUP(DESPESAS[[#This Row],[Fornecedor]],Tabela2[],2,FALSE),"")</f>
        <v/>
      </c>
      <c r="J583" s="77" t="str">
        <f>IFERROR(VLOOKUP(DESPESAS[[#This Row],[Plano de Contas]],BASE!$B$3:$F$119,4,FALSE),"")</f>
        <v>4 - GASTOS COM PESSOAL</v>
      </c>
      <c r="K583" s="77" t="str">
        <f>IFERROR(VLOOKUP(DESPESAS[[#This Row],[Plano de Contas]],BASE!$B$3:$H$119,5,FALSE),"")</f>
        <v>DH</v>
      </c>
      <c r="L583" s="77">
        <f>IFERROR(VLOOKUP(DESPESAS[[#This Row],[Plano de Contas]],BASE!$B$3:$H$119,6,FALSE),"")</f>
        <v>0</v>
      </c>
      <c r="M583" s="77" t="str">
        <f>VLOOKUP(DESPESAS[[#This Row],[Plano de Contas]],BASE!$B$3:$H$119,7,FALSE)</f>
        <v>RAFAEL</v>
      </c>
    </row>
    <row r="584" spans="1:13" x14ac:dyDescent="0.25">
      <c r="A584" s="74">
        <v>197007</v>
      </c>
      <c r="B584" s="75" t="s">
        <v>232</v>
      </c>
      <c r="C584" s="75" t="s">
        <v>2946</v>
      </c>
      <c r="D584" s="76">
        <v>46023</v>
      </c>
      <c r="E584" s="75" t="s">
        <v>640</v>
      </c>
      <c r="F584" s="74">
        <v>1069.99</v>
      </c>
      <c r="G584" s="75" t="s">
        <v>430</v>
      </c>
      <c r="H584" s="77" t="str">
        <f>VLOOKUP(DESPESAS[[#This Row],[Plano de Contas]],BASE!$B$3:$D$119,3,FALSE)</f>
        <v>Salarios e Ordenados MOD</v>
      </c>
      <c r="I584" s="77" t="str">
        <f>IFERROR(VLOOKUP(DESPESAS[[#This Row],[Fornecedor]],Tabela2[],2,FALSE),"")</f>
        <v/>
      </c>
      <c r="J584" s="77" t="str">
        <f>IFERROR(VLOOKUP(DESPESAS[[#This Row],[Plano de Contas]],BASE!$B$3:$F$119,4,FALSE),"")</f>
        <v>2 - CUSTOS DIRETOS</v>
      </c>
      <c r="K584" s="77" t="str">
        <f>IFERROR(VLOOKUP(DESPESAS[[#This Row],[Plano de Contas]],BASE!$B$3:$H$119,5,FALSE),"")</f>
        <v>DH</v>
      </c>
      <c r="L584" s="77" t="str">
        <f>IFERROR(VLOOKUP(DESPESAS[[#This Row],[Plano de Contas]],BASE!$B$3:$H$119,6,FALSE),"")</f>
        <v>CUSTO MÃO DE OBRA DIRETA</v>
      </c>
      <c r="M584" s="77" t="str">
        <f>VLOOKUP(DESPESAS[[#This Row],[Plano de Contas]],BASE!$B$3:$H$119,7,FALSE)</f>
        <v>RAFAEL</v>
      </c>
    </row>
    <row r="585" spans="1:13" x14ac:dyDescent="0.25">
      <c r="A585" s="74">
        <v>197008</v>
      </c>
      <c r="B585" s="75" t="s">
        <v>232</v>
      </c>
      <c r="C585" s="75" t="s">
        <v>2945</v>
      </c>
      <c r="D585" s="76">
        <v>46023</v>
      </c>
      <c r="E585" s="75" t="s">
        <v>640</v>
      </c>
      <c r="F585" s="74">
        <v>463.91</v>
      </c>
      <c r="G585" s="75" t="s">
        <v>644</v>
      </c>
      <c r="H585" s="77" t="str">
        <f>VLOOKUP(DESPESAS[[#This Row],[Plano de Contas]],BASE!$B$3:$D$119,3,FALSE)</f>
        <v>Gratificações (Adm)</v>
      </c>
      <c r="I585" s="77" t="str">
        <f>IFERROR(VLOOKUP(DESPESAS[[#This Row],[Fornecedor]],Tabela2[],2,FALSE),"")</f>
        <v/>
      </c>
      <c r="J585" s="77" t="str">
        <f>IFERROR(VLOOKUP(DESPESAS[[#This Row],[Plano de Contas]],BASE!$B$3:$F$119,4,FALSE),"")</f>
        <v>4 - GASTOS COM PESSOAL</v>
      </c>
      <c r="K585" s="77" t="str">
        <f>IFERROR(VLOOKUP(DESPESAS[[#This Row],[Plano de Contas]],BASE!$B$3:$H$119,5,FALSE),"")</f>
        <v>DH</v>
      </c>
      <c r="L585" s="77">
        <f>IFERROR(VLOOKUP(DESPESAS[[#This Row],[Plano de Contas]],BASE!$B$3:$H$119,6,FALSE),"")</f>
        <v>0</v>
      </c>
      <c r="M585" s="77" t="str">
        <f>VLOOKUP(DESPESAS[[#This Row],[Plano de Contas]],BASE!$B$3:$H$119,7,FALSE)</f>
        <v>RAFAEL</v>
      </c>
    </row>
    <row r="586" spans="1:13" x14ac:dyDescent="0.25">
      <c r="A586" s="74">
        <v>197009</v>
      </c>
      <c r="B586" s="75" t="s">
        <v>232</v>
      </c>
      <c r="C586" s="75" t="s">
        <v>2944</v>
      </c>
      <c r="D586" s="76">
        <v>46023</v>
      </c>
      <c r="E586" s="75" t="s">
        <v>640</v>
      </c>
      <c r="F586" s="74">
        <v>574</v>
      </c>
      <c r="G586" s="75" t="s">
        <v>642</v>
      </c>
      <c r="H586" s="77" t="str">
        <f>VLOOKUP(DESPESAS[[#This Row],[Plano de Contas]],BASE!$B$3:$D$119,3,FALSE)</f>
        <v>Gratificacoes MOD</v>
      </c>
      <c r="I586" s="77" t="str">
        <f>IFERROR(VLOOKUP(DESPESAS[[#This Row],[Fornecedor]],Tabela2[],2,FALSE),"")</f>
        <v/>
      </c>
      <c r="J586" s="77" t="str">
        <f>IFERROR(VLOOKUP(DESPESAS[[#This Row],[Plano de Contas]],BASE!$B$3:$F$119,4,FALSE),"")</f>
        <v>2 - CUSTOS DIRETOS</v>
      </c>
      <c r="K586" s="77" t="str">
        <f>IFERROR(VLOOKUP(DESPESAS[[#This Row],[Plano de Contas]],BASE!$B$3:$H$119,5,FALSE),"")</f>
        <v>DH</v>
      </c>
      <c r="L586" s="77" t="str">
        <f>IFERROR(VLOOKUP(DESPESAS[[#This Row],[Plano de Contas]],BASE!$B$3:$H$119,6,FALSE),"")</f>
        <v>CUSTO MÃO DE OBRA DIRETA</v>
      </c>
      <c r="M586" s="77" t="str">
        <f>VLOOKUP(DESPESAS[[#This Row],[Plano de Contas]],BASE!$B$3:$H$119,7,FALSE)</f>
        <v>RAFAEL</v>
      </c>
    </row>
    <row r="587" spans="1:13" x14ac:dyDescent="0.25">
      <c r="A587" s="74">
        <v>197010</v>
      </c>
      <c r="B587" s="75" t="s">
        <v>281</v>
      </c>
      <c r="C587" s="75" t="s">
        <v>2943</v>
      </c>
      <c r="D587" s="76">
        <v>46066</v>
      </c>
      <c r="E587" s="75" t="s">
        <v>361</v>
      </c>
      <c r="F587" s="74">
        <v>31.45</v>
      </c>
      <c r="G587" s="75" t="s">
        <v>259</v>
      </c>
      <c r="H587" s="77" t="str">
        <f>VLOOKUP(DESPESAS[[#This Row],[Plano de Contas]],BASE!$B$3:$D$119,3,FALSE)</f>
        <v>Manutenção Predial CIF</v>
      </c>
      <c r="I587" s="77" t="str">
        <f>IFERROR(VLOOKUP(DESPESAS[[#This Row],[Fornecedor]],Tabela2[],2,FALSE),"")</f>
        <v/>
      </c>
      <c r="J587" s="77" t="str">
        <f>IFERROR(VLOOKUP(DESPESAS[[#This Row],[Plano de Contas]],BASE!$B$3:$F$119,4,FALSE),"")</f>
        <v>3 - CUSTOS INDIRETOS</v>
      </c>
      <c r="K587" s="77" t="str">
        <f>IFERROR(VLOOKUP(DESPESAS[[#This Row],[Plano de Contas]],BASE!$B$3:$H$119,5,FALSE),"")</f>
        <v>MANUTENÇÃO / TI</v>
      </c>
      <c r="L587" s="77">
        <f>IFERROR(VLOOKUP(DESPESAS[[#This Row],[Plano de Contas]],BASE!$B$3:$H$119,6,FALSE),"")</f>
        <v>0</v>
      </c>
      <c r="M587" s="77" t="str">
        <f>VLOOKUP(DESPESAS[[#This Row],[Plano de Contas]],BASE!$B$3:$H$119,7,FALSE)</f>
        <v>FÁBIO</v>
      </c>
    </row>
    <row r="588" spans="1:13" x14ac:dyDescent="0.25">
      <c r="A588" s="74">
        <v>197011</v>
      </c>
      <c r="B588" s="75" t="s">
        <v>281</v>
      </c>
      <c r="C588" s="75" t="s">
        <v>2942</v>
      </c>
      <c r="D588" s="76">
        <v>46094</v>
      </c>
      <c r="E588" s="75" t="s">
        <v>361</v>
      </c>
      <c r="F588" s="74">
        <v>31.45</v>
      </c>
      <c r="G588" s="75" t="s">
        <v>259</v>
      </c>
      <c r="H588" s="77" t="str">
        <f>VLOOKUP(DESPESAS[[#This Row],[Plano de Contas]],BASE!$B$3:$D$119,3,FALSE)</f>
        <v>Manutenção Predial CIF</v>
      </c>
      <c r="I588" s="77" t="str">
        <f>IFERROR(VLOOKUP(DESPESAS[[#This Row],[Fornecedor]],Tabela2[],2,FALSE),"")</f>
        <v/>
      </c>
      <c r="J588" s="77" t="str">
        <f>IFERROR(VLOOKUP(DESPESAS[[#This Row],[Plano de Contas]],BASE!$B$3:$F$119,4,FALSE),"")</f>
        <v>3 - CUSTOS INDIRETOS</v>
      </c>
      <c r="K588" s="77" t="str">
        <f>IFERROR(VLOOKUP(DESPESAS[[#This Row],[Plano de Contas]],BASE!$B$3:$H$119,5,FALSE),"")</f>
        <v>MANUTENÇÃO / TI</v>
      </c>
      <c r="L588" s="77">
        <f>IFERROR(VLOOKUP(DESPESAS[[#This Row],[Plano de Contas]],BASE!$B$3:$H$119,6,FALSE),"")</f>
        <v>0</v>
      </c>
      <c r="M588" s="77" t="str">
        <f>VLOOKUP(DESPESAS[[#This Row],[Plano de Contas]],BASE!$B$3:$H$119,7,FALSE)</f>
        <v>FÁBIO</v>
      </c>
    </row>
    <row r="589" spans="1:13" x14ac:dyDescent="0.25">
      <c r="A589" s="74">
        <v>197012</v>
      </c>
      <c r="B589" s="75" t="s">
        <v>281</v>
      </c>
      <c r="C589" s="75" t="s">
        <v>2941</v>
      </c>
      <c r="D589" s="76">
        <v>46125</v>
      </c>
      <c r="E589" s="75" t="s">
        <v>361</v>
      </c>
      <c r="F589" s="74">
        <v>31.45</v>
      </c>
      <c r="G589" s="75" t="s">
        <v>259</v>
      </c>
      <c r="H589" s="77" t="str">
        <f>VLOOKUP(DESPESAS[[#This Row],[Plano de Contas]],BASE!$B$3:$D$119,3,FALSE)</f>
        <v>Manutenção Predial CIF</v>
      </c>
      <c r="I589" s="77" t="str">
        <f>IFERROR(VLOOKUP(DESPESAS[[#This Row],[Fornecedor]],Tabela2[],2,FALSE),"")</f>
        <v/>
      </c>
      <c r="J589" s="77" t="str">
        <f>IFERROR(VLOOKUP(DESPESAS[[#This Row],[Plano de Contas]],BASE!$B$3:$F$119,4,FALSE),"")</f>
        <v>3 - CUSTOS INDIRETOS</v>
      </c>
      <c r="K589" s="77" t="str">
        <f>IFERROR(VLOOKUP(DESPESAS[[#This Row],[Plano de Contas]],BASE!$B$3:$H$119,5,FALSE),"")</f>
        <v>MANUTENÇÃO / TI</v>
      </c>
      <c r="L589" s="77">
        <f>IFERROR(VLOOKUP(DESPESAS[[#This Row],[Plano de Contas]],BASE!$B$3:$H$119,6,FALSE),"")</f>
        <v>0</v>
      </c>
      <c r="M589" s="77" t="str">
        <f>VLOOKUP(DESPESAS[[#This Row],[Plano de Contas]],BASE!$B$3:$H$119,7,FALSE)</f>
        <v>FÁBIO</v>
      </c>
    </row>
    <row r="590" spans="1:13" x14ac:dyDescent="0.25">
      <c r="A590" s="74">
        <v>197015</v>
      </c>
      <c r="B590" s="75" t="s">
        <v>281</v>
      </c>
      <c r="C590" s="75" t="s">
        <v>2940</v>
      </c>
      <c r="D590" s="76">
        <v>46035</v>
      </c>
      <c r="E590" s="75" t="s">
        <v>361</v>
      </c>
      <c r="F590" s="74">
        <v>805.8</v>
      </c>
      <c r="G590" s="75" t="s">
        <v>259</v>
      </c>
      <c r="H590" s="77" t="str">
        <f>VLOOKUP(DESPESAS[[#This Row],[Plano de Contas]],BASE!$B$3:$D$119,3,FALSE)</f>
        <v>Manutenção Predial CIF</v>
      </c>
      <c r="I590" s="77" t="str">
        <f>IFERROR(VLOOKUP(DESPESAS[[#This Row],[Fornecedor]],Tabela2[],2,FALSE),"")</f>
        <v/>
      </c>
      <c r="J590" s="77" t="str">
        <f>IFERROR(VLOOKUP(DESPESAS[[#This Row],[Plano de Contas]],BASE!$B$3:$F$119,4,FALSE),"")</f>
        <v>3 - CUSTOS INDIRETOS</v>
      </c>
      <c r="K590" s="77" t="str">
        <f>IFERROR(VLOOKUP(DESPESAS[[#This Row],[Plano de Contas]],BASE!$B$3:$H$119,5,FALSE),"")</f>
        <v>MANUTENÇÃO / TI</v>
      </c>
      <c r="L590" s="77">
        <f>IFERROR(VLOOKUP(DESPESAS[[#This Row],[Plano de Contas]],BASE!$B$3:$H$119,6,FALSE),"")</f>
        <v>0</v>
      </c>
      <c r="M590" s="77" t="str">
        <f>VLOOKUP(DESPESAS[[#This Row],[Plano de Contas]],BASE!$B$3:$H$119,7,FALSE)</f>
        <v>FÁBIO</v>
      </c>
    </row>
    <row r="591" spans="1:13" x14ac:dyDescent="0.25">
      <c r="A591" s="74">
        <v>197016</v>
      </c>
      <c r="B591" s="75" t="s">
        <v>281</v>
      </c>
      <c r="C591" s="75" t="s">
        <v>2939</v>
      </c>
      <c r="D591" s="76">
        <v>46035</v>
      </c>
      <c r="E591" s="75" t="s">
        <v>361</v>
      </c>
      <c r="F591" s="74">
        <v>97.27</v>
      </c>
      <c r="G591" s="75" t="s">
        <v>218</v>
      </c>
      <c r="H591" s="77" t="str">
        <f>VLOOKUP(DESPESAS[[#This Row],[Plano de Contas]],BASE!$B$3:$D$119,3,FALSE)</f>
        <v>Manutenção de Equipamentos (Prod)</v>
      </c>
      <c r="I591" s="77" t="str">
        <f>IFERROR(VLOOKUP(DESPESAS[[#This Row],[Fornecedor]],Tabela2[],2,FALSE),"")</f>
        <v/>
      </c>
      <c r="J591" s="77" t="str">
        <f>IFERROR(VLOOKUP(DESPESAS[[#This Row],[Plano de Contas]],BASE!$B$3:$F$119,4,FALSE),"")</f>
        <v>3 - CUSTOS INDIRETOS</v>
      </c>
      <c r="K591" s="77" t="str">
        <f>IFERROR(VLOOKUP(DESPESAS[[#This Row],[Plano de Contas]],BASE!$B$3:$H$119,5,FALSE),"")</f>
        <v>MANUTENÇÃO / TI</v>
      </c>
      <c r="L591" s="77">
        <f>IFERROR(VLOOKUP(DESPESAS[[#This Row],[Plano de Contas]],BASE!$B$3:$H$119,6,FALSE),"")</f>
        <v>0</v>
      </c>
      <c r="M591" s="77" t="str">
        <f>VLOOKUP(DESPESAS[[#This Row],[Plano de Contas]],BASE!$B$3:$H$119,7,FALSE)</f>
        <v>RAFAEL</v>
      </c>
    </row>
    <row r="592" spans="1:13" x14ac:dyDescent="0.25">
      <c r="A592" s="74">
        <v>197017</v>
      </c>
      <c r="B592" s="75" t="s">
        <v>279</v>
      </c>
      <c r="C592" s="75" t="s">
        <v>2938</v>
      </c>
      <c r="D592" s="76">
        <v>46023</v>
      </c>
      <c r="E592" s="75" t="s">
        <v>640</v>
      </c>
      <c r="F592" s="74">
        <v>259.67</v>
      </c>
      <c r="G592" s="75" t="s">
        <v>627</v>
      </c>
      <c r="H592" s="77" t="str">
        <f>VLOOKUP(DESPESAS[[#This Row],[Plano de Contas]],BASE!$B$3:$D$119,3,FALSE)</f>
        <v>Salarios e Ordenados (Adm)</v>
      </c>
      <c r="I592" s="77" t="str">
        <f>IFERROR(VLOOKUP(DESPESAS[[#This Row],[Fornecedor]],Tabela2[],2,FALSE),"")</f>
        <v/>
      </c>
      <c r="J592" s="77" t="str">
        <f>IFERROR(VLOOKUP(DESPESAS[[#This Row],[Plano de Contas]],BASE!$B$3:$F$119,4,FALSE),"")</f>
        <v>4 - GASTOS COM PESSOAL</v>
      </c>
      <c r="K592" s="77" t="str">
        <f>IFERROR(VLOOKUP(DESPESAS[[#This Row],[Plano de Contas]],BASE!$B$3:$H$119,5,FALSE),"")</f>
        <v>DH</v>
      </c>
      <c r="L592" s="77">
        <f>IFERROR(VLOOKUP(DESPESAS[[#This Row],[Plano de Contas]],BASE!$B$3:$H$119,6,FALSE),"")</f>
        <v>0</v>
      </c>
      <c r="M592" s="77" t="str">
        <f>VLOOKUP(DESPESAS[[#This Row],[Plano de Contas]],BASE!$B$3:$H$119,7,FALSE)</f>
        <v>RAFAEL</v>
      </c>
    </row>
    <row r="593" spans="1:13" x14ac:dyDescent="0.25">
      <c r="A593" s="74">
        <v>197018</v>
      </c>
      <c r="B593" s="75" t="s">
        <v>279</v>
      </c>
      <c r="C593" s="75" t="s">
        <v>2937</v>
      </c>
      <c r="D593" s="76">
        <v>46023</v>
      </c>
      <c r="E593" s="75" t="s">
        <v>640</v>
      </c>
      <c r="F593" s="74">
        <v>315.42</v>
      </c>
      <c r="G593" s="75" t="s">
        <v>653</v>
      </c>
      <c r="H593" s="77" t="str">
        <f>VLOOKUP(DESPESAS[[#This Row],[Plano de Contas]],BASE!$B$3:$D$119,3,FALSE)</f>
        <v>Salarios e Ordenados CIF</v>
      </c>
      <c r="I593" s="77" t="str">
        <f>IFERROR(VLOOKUP(DESPESAS[[#This Row],[Fornecedor]],Tabela2[],2,FALSE),"")</f>
        <v/>
      </c>
      <c r="J593" s="77" t="str">
        <f>IFERROR(VLOOKUP(DESPESAS[[#This Row],[Plano de Contas]],BASE!$B$3:$F$119,4,FALSE),"")</f>
        <v>3 - CUSTOS INDIRETOS</v>
      </c>
      <c r="K593" s="77" t="str">
        <f>IFERROR(VLOOKUP(DESPESAS[[#This Row],[Plano de Contas]],BASE!$B$3:$H$119,5,FALSE),"")</f>
        <v>DH</v>
      </c>
      <c r="L593" s="77" t="str">
        <f>IFERROR(VLOOKUP(DESPESAS[[#This Row],[Plano de Contas]],BASE!$B$3:$H$119,6,FALSE),"")</f>
        <v>CUSTO MÃO DE OBRA DIRETA</v>
      </c>
      <c r="M593" s="77" t="str">
        <f>VLOOKUP(DESPESAS[[#This Row],[Plano de Contas]],BASE!$B$3:$H$119,7,FALSE)</f>
        <v>RAFAEL</v>
      </c>
    </row>
    <row r="594" spans="1:13" x14ac:dyDescent="0.25">
      <c r="A594" s="74">
        <v>197019</v>
      </c>
      <c r="B594" s="75" t="s">
        <v>279</v>
      </c>
      <c r="C594" s="75" t="s">
        <v>2936</v>
      </c>
      <c r="D594" s="76">
        <v>46023</v>
      </c>
      <c r="E594" s="75" t="s">
        <v>640</v>
      </c>
      <c r="F594" s="74">
        <v>205.86</v>
      </c>
      <c r="G594" s="75" t="s">
        <v>430</v>
      </c>
      <c r="H594" s="77" t="str">
        <f>VLOOKUP(DESPESAS[[#This Row],[Plano de Contas]],BASE!$B$3:$D$119,3,FALSE)</f>
        <v>Salarios e Ordenados MOD</v>
      </c>
      <c r="I594" s="77" t="str">
        <f>IFERROR(VLOOKUP(DESPESAS[[#This Row],[Fornecedor]],Tabela2[],2,FALSE),"")</f>
        <v/>
      </c>
      <c r="J594" s="77" t="str">
        <f>IFERROR(VLOOKUP(DESPESAS[[#This Row],[Plano de Contas]],BASE!$B$3:$F$119,4,FALSE),"")</f>
        <v>2 - CUSTOS DIRETOS</v>
      </c>
      <c r="K594" s="77" t="str">
        <f>IFERROR(VLOOKUP(DESPESAS[[#This Row],[Plano de Contas]],BASE!$B$3:$H$119,5,FALSE),"")</f>
        <v>DH</v>
      </c>
      <c r="L594" s="77" t="str">
        <f>IFERROR(VLOOKUP(DESPESAS[[#This Row],[Plano de Contas]],BASE!$B$3:$H$119,6,FALSE),"")</f>
        <v>CUSTO MÃO DE OBRA DIRETA</v>
      </c>
      <c r="M594" s="77" t="str">
        <f>VLOOKUP(DESPESAS[[#This Row],[Plano de Contas]],BASE!$B$3:$H$119,7,FALSE)</f>
        <v>RAFAEL</v>
      </c>
    </row>
    <row r="595" spans="1:13" x14ac:dyDescent="0.25">
      <c r="A595" s="74">
        <v>197020</v>
      </c>
      <c r="B595" s="75" t="s">
        <v>279</v>
      </c>
      <c r="C595" s="75" t="s">
        <v>2935</v>
      </c>
      <c r="D595" s="76">
        <v>46023</v>
      </c>
      <c r="E595" s="75" t="s">
        <v>640</v>
      </c>
      <c r="F595" s="74">
        <v>259.67</v>
      </c>
      <c r="G595" s="75" t="s">
        <v>644</v>
      </c>
      <c r="H595" s="77" t="str">
        <f>VLOOKUP(DESPESAS[[#This Row],[Plano de Contas]],BASE!$B$3:$D$119,3,FALSE)</f>
        <v>Gratificações (Adm)</v>
      </c>
      <c r="I595" s="77" t="str">
        <f>IFERROR(VLOOKUP(DESPESAS[[#This Row],[Fornecedor]],Tabela2[],2,FALSE),"")</f>
        <v/>
      </c>
      <c r="J595" s="77" t="str">
        <f>IFERROR(VLOOKUP(DESPESAS[[#This Row],[Plano de Contas]],BASE!$B$3:$F$119,4,FALSE),"")</f>
        <v>4 - GASTOS COM PESSOAL</v>
      </c>
      <c r="K595" s="77" t="str">
        <f>IFERROR(VLOOKUP(DESPESAS[[#This Row],[Plano de Contas]],BASE!$B$3:$H$119,5,FALSE),"")</f>
        <v>DH</v>
      </c>
      <c r="L595" s="77">
        <f>IFERROR(VLOOKUP(DESPESAS[[#This Row],[Plano de Contas]],BASE!$B$3:$H$119,6,FALSE),"")</f>
        <v>0</v>
      </c>
      <c r="M595" s="77" t="str">
        <f>VLOOKUP(DESPESAS[[#This Row],[Plano de Contas]],BASE!$B$3:$H$119,7,FALSE)</f>
        <v>RAFAEL</v>
      </c>
    </row>
    <row r="596" spans="1:13" x14ac:dyDescent="0.25">
      <c r="A596" s="74">
        <v>197021</v>
      </c>
      <c r="B596" s="75" t="s">
        <v>279</v>
      </c>
      <c r="C596" s="75" t="s">
        <v>2934</v>
      </c>
      <c r="D596" s="76">
        <v>46023</v>
      </c>
      <c r="E596" s="75" t="s">
        <v>640</v>
      </c>
      <c r="F596" s="74">
        <v>149.63999999999999</v>
      </c>
      <c r="G596" s="75" t="s">
        <v>649</v>
      </c>
      <c r="H596" s="77" t="str">
        <f>VLOOKUP(DESPESAS[[#This Row],[Plano de Contas]],BASE!$B$3:$D$119,3,FALSE)</f>
        <v>Gratificações CIF</v>
      </c>
      <c r="I596" s="77" t="str">
        <f>IFERROR(VLOOKUP(DESPESAS[[#This Row],[Fornecedor]],Tabela2[],2,FALSE),"")</f>
        <v/>
      </c>
      <c r="J596" s="77" t="str">
        <f>IFERROR(VLOOKUP(DESPESAS[[#This Row],[Plano de Contas]],BASE!$B$3:$F$119,4,FALSE),"")</f>
        <v>3 - CUSTOS INDIRETOS</v>
      </c>
      <c r="K596" s="77" t="str">
        <f>IFERROR(VLOOKUP(DESPESAS[[#This Row],[Plano de Contas]],BASE!$B$3:$H$119,5,FALSE),"")</f>
        <v>DH</v>
      </c>
      <c r="L596" s="77" t="str">
        <f>IFERROR(VLOOKUP(DESPESAS[[#This Row],[Plano de Contas]],BASE!$B$3:$H$119,6,FALSE),"")</f>
        <v>CUSTO MÃO DE OBRA DIRETA</v>
      </c>
      <c r="M596" s="77" t="str">
        <f>VLOOKUP(DESPESAS[[#This Row],[Plano de Contas]],BASE!$B$3:$H$119,7,FALSE)</f>
        <v>RAFAEL</v>
      </c>
    </row>
    <row r="597" spans="1:13" x14ac:dyDescent="0.25">
      <c r="A597" s="74">
        <v>197022</v>
      </c>
      <c r="B597" s="75" t="s">
        <v>279</v>
      </c>
      <c r="C597" s="75" t="s">
        <v>2933</v>
      </c>
      <c r="D597" s="76">
        <v>46023</v>
      </c>
      <c r="E597" s="75" t="s">
        <v>640</v>
      </c>
      <c r="F597" s="74">
        <v>205.86</v>
      </c>
      <c r="G597" s="75" t="s">
        <v>642</v>
      </c>
      <c r="H597" s="77" t="str">
        <f>VLOOKUP(DESPESAS[[#This Row],[Plano de Contas]],BASE!$B$3:$D$119,3,FALSE)</f>
        <v>Gratificacoes MOD</v>
      </c>
      <c r="I597" s="77" t="str">
        <f>IFERROR(VLOOKUP(DESPESAS[[#This Row],[Fornecedor]],Tabela2[],2,FALSE),"")</f>
        <v/>
      </c>
      <c r="J597" s="77" t="str">
        <f>IFERROR(VLOOKUP(DESPESAS[[#This Row],[Plano de Contas]],BASE!$B$3:$F$119,4,FALSE),"")</f>
        <v>2 - CUSTOS DIRETOS</v>
      </c>
      <c r="K597" s="77" t="str">
        <f>IFERROR(VLOOKUP(DESPESAS[[#This Row],[Plano de Contas]],BASE!$B$3:$H$119,5,FALSE),"")</f>
        <v>DH</v>
      </c>
      <c r="L597" s="77" t="str">
        <f>IFERROR(VLOOKUP(DESPESAS[[#This Row],[Plano de Contas]],BASE!$B$3:$H$119,6,FALSE),"")</f>
        <v>CUSTO MÃO DE OBRA DIRETA</v>
      </c>
      <c r="M597" s="77" t="str">
        <f>VLOOKUP(DESPESAS[[#This Row],[Plano de Contas]],BASE!$B$3:$H$119,7,FALSE)</f>
        <v>RAFAEL</v>
      </c>
    </row>
    <row r="598" spans="1:13" x14ac:dyDescent="0.25">
      <c r="A598" s="74">
        <v>197023</v>
      </c>
      <c r="B598" s="75" t="s">
        <v>279</v>
      </c>
      <c r="C598" s="75" t="s">
        <v>2932</v>
      </c>
      <c r="D598" s="76">
        <v>46023</v>
      </c>
      <c r="E598" s="75" t="s">
        <v>640</v>
      </c>
      <c r="F598" s="74">
        <v>676.13</v>
      </c>
      <c r="G598" s="75" t="s">
        <v>653</v>
      </c>
      <c r="H598" s="77" t="str">
        <f>VLOOKUP(DESPESAS[[#This Row],[Plano de Contas]],BASE!$B$3:$D$119,3,FALSE)</f>
        <v>Salarios e Ordenados CIF</v>
      </c>
      <c r="I598" s="77" t="str">
        <f>IFERROR(VLOOKUP(DESPESAS[[#This Row],[Fornecedor]],Tabela2[],2,FALSE),"")</f>
        <v/>
      </c>
      <c r="J598" s="77" t="str">
        <f>IFERROR(VLOOKUP(DESPESAS[[#This Row],[Plano de Contas]],BASE!$B$3:$F$119,4,FALSE),"")</f>
        <v>3 - CUSTOS INDIRETOS</v>
      </c>
      <c r="K598" s="77" t="str">
        <f>IFERROR(VLOOKUP(DESPESAS[[#This Row],[Plano de Contas]],BASE!$B$3:$H$119,5,FALSE),"")</f>
        <v>DH</v>
      </c>
      <c r="L598" s="77" t="str">
        <f>IFERROR(VLOOKUP(DESPESAS[[#This Row],[Plano de Contas]],BASE!$B$3:$H$119,6,FALSE),"")</f>
        <v>CUSTO MÃO DE OBRA DIRETA</v>
      </c>
      <c r="M598" s="77" t="str">
        <f>VLOOKUP(DESPESAS[[#This Row],[Plano de Contas]],BASE!$B$3:$H$119,7,FALSE)</f>
        <v>RAFAEL</v>
      </c>
    </row>
    <row r="599" spans="1:13" x14ac:dyDescent="0.25">
      <c r="A599" s="74">
        <v>197024</v>
      </c>
      <c r="B599" s="75" t="s">
        <v>279</v>
      </c>
      <c r="C599" s="75" t="s">
        <v>2931</v>
      </c>
      <c r="D599" s="76">
        <v>46023</v>
      </c>
      <c r="E599" s="75" t="s">
        <v>640</v>
      </c>
      <c r="F599" s="74">
        <v>407.75</v>
      </c>
      <c r="G599" s="75" t="s">
        <v>430</v>
      </c>
      <c r="H599" s="77" t="str">
        <f>VLOOKUP(DESPESAS[[#This Row],[Plano de Contas]],BASE!$B$3:$D$119,3,FALSE)</f>
        <v>Salarios e Ordenados MOD</v>
      </c>
      <c r="I599" s="77" t="str">
        <f>IFERROR(VLOOKUP(DESPESAS[[#This Row],[Fornecedor]],Tabela2[],2,FALSE),"")</f>
        <v/>
      </c>
      <c r="J599" s="77" t="str">
        <f>IFERROR(VLOOKUP(DESPESAS[[#This Row],[Plano de Contas]],BASE!$B$3:$F$119,4,FALSE),"")</f>
        <v>2 - CUSTOS DIRETOS</v>
      </c>
      <c r="K599" s="77" t="str">
        <f>IFERROR(VLOOKUP(DESPESAS[[#This Row],[Plano de Contas]],BASE!$B$3:$H$119,5,FALSE),"")</f>
        <v>DH</v>
      </c>
      <c r="L599" s="77" t="str">
        <f>IFERROR(VLOOKUP(DESPESAS[[#This Row],[Plano de Contas]],BASE!$B$3:$H$119,6,FALSE),"")</f>
        <v>CUSTO MÃO DE OBRA DIRETA</v>
      </c>
      <c r="M599" s="77" t="str">
        <f>VLOOKUP(DESPESAS[[#This Row],[Plano de Contas]],BASE!$B$3:$H$119,7,FALSE)</f>
        <v>RAFAEL</v>
      </c>
    </row>
    <row r="600" spans="1:13" x14ac:dyDescent="0.25">
      <c r="A600" s="74">
        <v>197025</v>
      </c>
      <c r="B600" s="75" t="s">
        <v>279</v>
      </c>
      <c r="C600" s="75" t="s">
        <v>2930</v>
      </c>
      <c r="D600" s="76">
        <v>46023</v>
      </c>
      <c r="E600" s="75" t="s">
        <v>640</v>
      </c>
      <c r="F600" s="74">
        <v>1579.68</v>
      </c>
      <c r="G600" s="75" t="s">
        <v>627</v>
      </c>
      <c r="H600" s="77" t="str">
        <f>VLOOKUP(DESPESAS[[#This Row],[Plano de Contas]],BASE!$B$3:$D$119,3,FALSE)</f>
        <v>Salarios e Ordenados (Adm)</v>
      </c>
      <c r="I600" s="77" t="str">
        <f>IFERROR(VLOOKUP(DESPESAS[[#This Row],[Fornecedor]],Tabela2[],2,FALSE),"")</f>
        <v/>
      </c>
      <c r="J600" s="77" t="str">
        <f>IFERROR(VLOOKUP(DESPESAS[[#This Row],[Plano de Contas]],BASE!$B$3:$F$119,4,FALSE),"")</f>
        <v>4 - GASTOS COM PESSOAL</v>
      </c>
      <c r="K600" s="77" t="str">
        <f>IFERROR(VLOOKUP(DESPESAS[[#This Row],[Plano de Contas]],BASE!$B$3:$H$119,5,FALSE),"")</f>
        <v>DH</v>
      </c>
      <c r="L600" s="77">
        <f>IFERROR(VLOOKUP(DESPESAS[[#This Row],[Plano de Contas]],BASE!$B$3:$H$119,6,FALSE),"")</f>
        <v>0</v>
      </c>
      <c r="M600" s="77" t="str">
        <f>VLOOKUP(DESPESAS[[#This Row],[Plano de Contas]],BASE!$B$3:$H$119,7,FALSE)</f>
        <v>RAFAEL</v>
      </c>
    </row>
    <row r="601" spans="1:13" x14ac:dyDescent="0.25">
      <c r="A601" s="74">
        <v>197026</v>
      </c>
      <c r="B601" s="75" t="s">
        <v>279</v>
      </c>
      <c r="C601" s="75" t="s">
        <v>2929</v>
      </c>
      <c r="D601" s="76">
        <v>46023</v>
      </c>
      <c r="E601" s="75" t="s">
        <v>640</v>
      </c>
      <c r="F601" s="74">
        <v>982.22</v>
      </c>
      <c r="G601" s="75" t="s">
        <v>653</v>
      </c>
      <c r="H601" s="77" t="str">
        <f>VLOOKUP(DESPESAS[[#This Row],[Plano de Contas]],BASE!$B$3:$D$119,3,FALSE)</f>
        <v>Salarios e Ordenados CIF</v>
      </c>
      <c r="I601" s="77" t="str">
        <f>IFERROR(VLOOKUP(DESPESAS[[#This Row],[Fornecedor]],Tabela2[],2,FALSE),"")</f>
        <v/>
      </c>
      <c r="J601" s="77" t="str">
        <f>IFERROR(VLOOKUP(DESPESAS[[#This Row],[Plano de Contas]],BASE!$B$3:$F$119,4,FALSE),"")</f>
        <v>3 - CUSTOS INDIRETOS</v>
      </c>
      <c r="K601" s="77" t="str">
        <f>IFERROR(VLOOKUP(DESPESAS[[#This Row],[Plano de Contas]],BASE!$B$3:$H$119,5,FALSE),"")</f>
        <v>DH</v>
      </c>
      <c r="L601" s="77" t="str">
        <f>IFERROR(VLOOKUP(DESPESAS[[#This Row],[Plano de Contas]],BASE!$B$3:$H$119,6,FALSE),"")</f>
        <v>CUSTO MÃO DE OBRA DIRETA</v>
      </c>
      <c r="M601" s="77" t="str">
        <f>VLOOKUP(DESPESAS[[#This Row],[Plano de Contas]],BASE!$B$3:$H$119,7,FALSE)</f>
        <v>RAFAEL</v>
      </c>
    </row>
    <row r="602" spans="1:13" x14ac:dyDescent="0.25">
      <c r="A602" s="74">
        <v>197027</v>
      </c>
      <c r="B602" s="75" t="s">
        <v>279</v>
      </c>
      <c r="C602" s="75" t="s">
        <v>2928</v>
      </c>
      <c r="D602" s="76">
        <v>46023</v>
      </c>
      <c r="E602" s="75" t="s">
        <v>640</v>
      </c>
      <c r="F602" s="74">
        <v>1066.93</v>
      </c>
      <c r="G602" s="75" t="s">
        <v>430</v>
      </c>
      <c r="H602" s="77" t="str">
        <f>VLOOKUP(DESPESAS[[#This Row],[Plano de Contas]],BASE!$B$3:$D$119,3,FALSE)</f>
        <v>Salarios e Ordenados MOD</v>
      </c>
      <c r="I602" s="77" t="str">
        <f>IFERROR(VLOOKUP(DESPESAS[[#This Row],[Fornecedor]],Tabela2[],2,FALSE),"")</f>
        <v/>
      </c>
      <c r="J602" s="77" t="str">
        <f>IFERROR(VLOOKUP(DESPESAS[[#This Row],[Plano de Contas]],BASE!$B$3:$F$119,4,FALSE),"")</f>
        <v>2 - CUSTOS DIRETOS</v>
      </c>
      <c r="K602" s="77" t="str">
        <f>IFERROR(VLOOKUP(DESPESAS[[#This Row],[Plano de Contas]],BASE!$B$3:$H$119,5,FALSE),"")</f>
        <v>DH</v>
      </c>
      <c r="L602" s="77" t="str">
        <f>IFERROR(VLOOKUP(DESPESAS[[#This Row],[Plano de Contas]],BASE!$B$3:$H$119,6,FALSE),"")</f>
        <v>CUSTO MÃO DE OBRA DIRETA</v>
      </c>
      <c r="M602" s="77" t="str">
        <f>VLOOKUP(DESPESAS[[#This Row],[Plano de Contas]],BASE!$B$3:$H$119,7,FALSE)</f>
        <v>RAFAEL</v>
      </c>
    </row>
    <row r="603" spans="1:13" x14ac:dyDescent="0.25">
      <c r="A603" s="74">
        <v>197028</v>
      </c>
      <c r="B603" s="75" t="s">
        <v>279</v>
      </c>
      <c r="C603" s="75" t="s">
        <v>2927</v>
      </c>
      <c r="D603" s="76">
        <v>46023</v>
      </c>
      <c r="E603" s="75" t="s">
        <v>640</v>
      </c>
      <c r="F603" s="74">
        <v>449.28</v>
      </c>
      <c r="G603" s="75" t="s">
        <v>644</v>
      </c>
      <c r="H603" s="77" t="str">
        <f>VLOOKUP(DESPESAS[[#This Row],[Plano de Contas]],BASE!$B$3:$D$119,3,FALSE)</f>
        <v>Gratificações (Adm)</v>
      </c>
      <c r="I603" s="77" t="str">
        <f>IFERROR(VLOOKUP(DESPESAS[[#This Row],[Fornecedor]],Tabela2[],2,FALSE),"")</f>
        <v/>
      </c>
      <c r="J603" s="77" t="str">
        <f>IFERROR(VLOOKUP(DESPESAS[[#This Row],[Plano de Contas]],BASE!$B$3:$F$119,4,FALSE),"")</f>
        <v>4 - GASTOS COM PESSOAL</v>
      </c>
      <c r="K603" s="77" t="str">
        <f>IFERROR(VLOOKUP(DESPESAS[[#This Row],[Plano de Contas]],BASE!$B$3:$H$119,5,FALSE),"")</f>
        <v>DH</v>
      </c>
      <c r="L603" s="77">
        <f>IFERROR(VLOOKUP(DESPESAS[[#This Row],[Plano de Contas]],BASE!$B$3:$H$119,6,FALSE),"")</f>
        <v>0</v>
      </c>
      <c r="M603" s="77" t="str">
        <f>VLOOKUP(DESPESAS[[#This Row],[Plano de Contas]],BASE!$B$3:$H$119,7,FALSE)</f>
        <v>RAFAEL</v>
      </c>
    </row>
    <row r="604" spans="1:13" x14ac:dyDescent="0.25">
      <c r="A604" s="74">
        <v>197029</v>
      </c>
      <c r="B604" s="75" t="s">
        <v>279</v>
      </c>
      <c r="C604" s="75" t="s">
        <v>2926</v>
      </c>
      <c r="D604" s="76">
        <v>46023</v>
      </c>
      <c r="E604" s="75" t="s">
        <v>640</v>
      </c>
      <c r="F604" s="74">
        <v>766.05</v>
      </c>
      <c r="G604" s="75" t="s">
        <v>649</v>
      </c>
      <c r="H604" s="77" t="str">
        <f>VLOOKUP(DESPESAS[[#This Row],[Plano de Contas]],BASE!$B$3:$D$119,3,FALSE)</f>
        <v>Gratificações CIF</v>
      </c>
      <c r="I604" s="77" t="str">
        <f>IFERROR(VLOOKUP(DESPESAS[[#This Row],[Fornecedor]],Tabela2[],2,FALSE),"")</f>
        <v/>
      </c>
      <c r="J604" s="77" t="str">
        <f>IFERROR(VLOOKUP(DESPESAS[[#This Row],[Plano de Contas]],BASE!$B$3:$F$119,4,FALSE),"")</f>
        <v>3 - CUSTOS INDIRETOS</v>
      </c>
      <c r="K604" s="77" t="str">
        <f>IFERROR(VLOOKUP(DESPESAS[[#This Row],[Plano de Contas]],BASE!$B$3:$H$119,5,FALSE),"")</f>
        <v>DH</v>
      </c>
      <c r="L604" s="77" t="str">
        <f>IFERROR(VLOOKUP(DESPESAS[[#This Row],[Plano de Contas]],BASE!$B$3:$H$119,6,FALSE),"")</f>
        <v>CUSTO MÃO DE OBRA DIRETA</v>
      </c>
      <c r="M604" s="77" t="str">
        <f>VLOOKUP(DESPESAS[[#This Row],[Plano de Contas]],BASE!$B$3:$H$119,7,FALSE)</f>
        <v>RAFAEL</v>
      </c>
    </row>
    <row r="605" spans="1:13" x14ac:dyDescent="0.25">
      <c r="A605" s="74">
        <v>197030</v>
      </c>
      <c r="B605" s="75" t="s">
        <v>279</v>
      </c>
      <c r="C605" s="75" t="s">
        <v>2925</v>
      </c>
      <c r="D605" s="76">
        <v>46023</v>
      </c>
      <c r="E605" s="75" t="s">
        <v>640</v>
      </c>
      <c r="F605" s="74">
        <v>634.59</v>
      </c>
      <c r="G605" s="75" t="s">
        <v>642</v>
      </c>
      <c r="H605" s="77" t="str">
        <f>VLOOKUP(DESPESAS[[#This Row],[Plano de Contas]],BASE!$B$3:$D$119,3,FALSE)</f>
        <v>Gratificacoes MOD</v>
      </c>
      <c r="I605" s="77" t="str">
        <f>IFERROR(VLOOKUP(DESPESAS[[#This Row],[Fornecedor]],Tabela2[],2,FALSE),"")</f>
        <v/>
      </c>
      <c r="J605" s="77" t="str">
        <f>IFERROR(VLOOKUP(DESPESAS[[#This Row],[Plano de Contas]],BASE!$B$3:$F$119,4,FALSE),"")</f>
        <v>2 - CUSTOS DIRETOS</v>
      </c>
      <c r="K605" s="77" t="str">
        <f>IFERROR(VLOOKUP(DESPESAS[[#This Row],[Plano de Contas]],BASE!$B$3:$H$119,5,FALSE),"")</f>
        <v>DH</v>
      </c>
      <c r="L605" s="77" t="str">
        <f>IFERROR(VLOOKUP(DESPESAS[[#This Row],[Plano de Contas]],BASE!$B$3:$H$119,6,FALSE),"")</f>
        <v>CUSTO MÃO DE OBRA DIRETA</v>
      </c>
      <c r="M605" s="77" t="str">
        <f>VLOOKUP(DESPESAS[[#This Row],[Plano de Contas]],BASE!$B$3:$H$119,7,FALSE)</f>
        <v>RAFAEL</v>
      </c>
    </row>
    <row r="606" spans="1:13" x14ac:dyDescent="0.25">
      <c r="A606" s="74">
        <v>197031</v>
      </c>
      <c r="B606" s="75" t="s">
        <v>232</v>
      </c>
      <c r="C606" s="75" t="s">
        <v>2924</v>
      </c>
      <c r="D606" s="76">
        <v>46034</v>
      </c>
      <c r="E606" s="75" t="s">
        <v>409</v>
      </c>
      <c r="F606" s="74">
        <v>90.39</v>
      </c>
      <c r="G606" s="75" t="s">
        <v>326</v>
      </c>
      <c r="H606" s="77" t="str">
        <f>VLOOKUP(DESPESAS[[#This Row],[Plano de Contas]],BASE!$B$3:$D$119,3,FALSE)</f>
        <v>Frete sobre Compras</v>
      </c>
      <c r="I606" s="77" t="str">
        <f>IFERROR(VLOOKUP(DESPESAS[[#This Row],[Fornecedor]],Tabela2[],2,FALSE),"")</f>
        <v>SERVIÇOS FRETE</v>
      </c>
      <c r="J606" s="77" t="str">
        <f>IFERROR(VLOOKUP(DESPESAS[[#This Row],[Plano de Contas]],BASE!$B$3:$F$119,4,FALSE),"")</f>
        <v>1 - CPV</v>
      </c>
      <c r="K606" s="77" t="str">
        <f>IFERROR(VLOOKUP(DESPESAS[[#This Row],[Plano de Contas]],BASE!$B$3:$H$119,5,FALSE),"")</f>
        <v>COMPRAS</v>
      </c>
      <c r="L606" s="77">
        <f>IFERROR(VLOOKUP(DESPESAS[[#This Row],[Plano de Contas]],BASE!$B$3:$H$119,6,FALSE),"")</f>
        <v>0</v>
      </c>
      <c r="M606" s="77" t="str">
        <f>VLOOKUP(DESPESAS[[#This Row],[Plano de Contas]],BASE!$B$3:$H$119,7,FALSE)</f>
        <v>MYLENA</v>
      </c>
    </row>
    <row r="607" spans="1:13" x14ac:dyDescent="0.25">
      <c r="A607" s="74">
        <v>197032</v>
      </c>
      <c r="B607" s="75" t="s">
        <v>232</v>
      </c>
      <c r="C607" s="75" t="s">
        <v>2923</v>
      </c>
      <c r="D607" s="76">
        <v>46034</v>
      </c>
      <c r="E607" s="75" t="s">
        <v>409</v>
      </c>
      <c r="F607" s="74">
        <v>99.89</v>
      </c>
      <c r="G607" s="75" t="s">
        <v>326</v>
      </c>
      <c r="H607" s="77" t="str">
        <f>VLOOKUP(DESPESAS[[#This Row],[Plano de Contas]],BASE!$B$3:$D$119,3,FALSE)</f>
        <v>Frete sobre Compras</v>
      </c>
      <c r="I607" s="77" t="str">
        <f>IFERROR(VLOOKUP(DESPESAS[[#This Row],[Fornecedor]],Tabela2[],2,FALSE),"")</f>
        <v>SERVIÇOS FRETE</v>
      </c>
      <c r="J607" s="77" t="str">
        <f>IFERROR(VLOOKUP(DESPESAS[[#This Row],[Plano de Contas]],BASE!$B$3:$F$119,4,FALSE),"")</f>
        <v>1 - CPV</v>
      </c>
      <c r="K607" s="77" t="str">
        <f>IFERROR(VLOOKUP(DESPESAS[[#This Row],[Plano de Contas]],BASE!$B$3:$H$119,5,FALSE),"")</f>
        <v>COMPRAS</v>
      </c>
      <c r="L607" s="77">
        <f>IFERROR(VLOOKUP(DESPESAS[[#This Row],[Plano de Contas]],BASE!$B$3:$H$119,6,FALSE),"")</f>
        <v>0</v>
      </c>
      <c r="M607" s="77" t="str">
        <f>VLOOKUP(DESPESAS[[#This Row],[Plano de Contas]],BASE!$B$3:$H$119,7,FALSE)</f>
        <v>MYLENA</v>
      </c>
    </row>
    <row r="608" spans="1:13" x14ac:dyDescent="0.25">
      <c r="A608" s="74">
        <v>197037</v>
      </c>
      <c r="B608" s="75" t="s">
        <v>232</v>
      </c>
      <c r="C608" s="75" t="s">
        <v>2922</v>
      </c>
      <c r="D608" s="76">
        <v>46037</v>
      </c>
      <c r="E608" s="75" t="s">
        <v>230</v>
      </c>
      <c r="F608" s="74">
        <v>55.36</v>
      </c>
      <c r="G608" s="75" t="s">
        <v>229</v>
      </c>
      <c r="H608" s="77" t="str">
        <f>VLOOKUP(DESPESAS[[#This Row],[Plano de Contas]],BASE!$B$3:$D$119,3,FALSE)</f>
        <v>Despesas Bancarias</v>
      </c>
      <c r="I608" s="77" t="str">
        <f>IFERROR(VLOOKUP(DESPESAS[[#This Row],[Fornecedor]],Tabela2[],2,FALSE),"")</f>
        <v/>
      </c>
      <c r="J608" s="77" t="str">
        <f>IFERROR(VLOOKUP(DESPESAS[[#This Row],[Plano de Contas]],BASE!$B$3:$F$119,4,FALSE),"")</f>
        <v>8 - DESPESAS FINANCEIRAS</v>
      </c>
      <c r="K608" s="77" t="str">
        <f>IFERROR(VLOOKUP(DESPESAS[[#This Row],[Plano de Contas]],BASE!$B$3:$H$119,5,FALSE),"")</f>
        <v>FINANCEIRO</v>
      </c>
      <c r="L608" s="77">
        <f>IFERROR(VLOOKUP(DESPESAS[[#This Row],[Plano de Contas]],BASE!$B$3:$H$119,6,FALSE),"")</f>
        <v>0</v>
      </c>
      <c r="M608" s="77" t="str">
        <f>VLOOKUP(DESPESAS[[#This Row],[Plano de Contas]],BASE!$B$3:$H$119,7,FALSE)</f>
        <v>LETÍCIA</v>
      </c>
    </row>
    <row r="609" spans="1:13" x14ac:dyDescent="0.25">
      <c r="A609" s="74">
        <v>197038</v>
      </c>
      <c r="B609" s="75" t="s">
        <v>281</v>
      </c>
      <c r="C609" s="75" t="s">
        <v>2921</v>
      </c>
      <c r="D609" s="76">
        <v>46035</v>
      </c>
      <c r="E609" s="75" t="s">
        <v>361</v>
      </c>
      <c r="F609" s="74">
        <v>53.63</v>
      </c>
      <c r="G609" s="75" t="s">
        <v>693</v>
      </c>
      <c r="H609" s="77" t="str">
        <f>VLOOKUP(DESPESAS[[#This Row],[Plano de Contas]],BASE!$B$3:$D$119,3,FALSE)</f>
        <v>Computadores e Periféricos</v>
      </c>
      <c r="I609" s="77" t="str">
        <f>IFERROR(VLOOKUP(DESPESAS[[#This Row],[Fornecedor]],Tabela2[],2,FALSE),"")</f>
        <v/>
      </c>
      <c r="J609" s="77" t="str">
        <f>IFERROR(VLOOKUP(DESPESAS[[#This Row],[Plano de Contas]],BASE!$B$3:$F$119,4,FALSE),"")</f>
        <v>9 - INVESTIMENTOS</v>
      </c>
      <c r="K609" s="77" t="str">
        <f>IFERROR(VLOOKUP(DESPESAS[[#This Row],[Plano de Contas]],BASE!$B$3:$H$119,5,FALSE),"")</f>
        <v>MANUTENÇÃO / TI</v>
      </c>
      <c r="L609" s="77">
        <f>IFERROR(VLOOKUP(DESPESAS[[#This Row],[Plano de Contas]],BASE!$B$3:$H$119,6,FALSE),"")</f>
        <v>0</v>
      </c>
      <c r="M609" s="77" t="str">
        <f>VLOOKUP(DESPESAS[[#This Row],[Plano de Contas]],BASE!$B$3:$H$119,7,FALSE)</f>
        <v>RAFAEL</v>
      </c>
    </row>
    <row r="610" spans="1:13" x14ac:dyDescent="0.25">
      <c r="A610" s="74">
        <v>197039</v>
      </c>
      <c r="B610" s="75" t="s">
        <v>232</v>
      </c>
      <c r="C610" s="75" t="s">
        <v>2920</v>
      </c>
      <c r="D610" s="76">
        <v>46037</v>
      </c>
      <c r="E610" s="75" t="s">
        <v>230</v>
      </c>
      <c r="F610" s="74">
        <v>76.209999999999994</v>
      </c>
      <c r="G610" s="75" t="s">
        <v>229</v>
      </c>
      <c r="H610" s="77" t="str">
        <f>VLOOKUP(DESPESAS[[#This Row],[Plano de Contas]],BASE!$B$3:$D$119,3,FALSE)</f>
        <v>Despesas Bancarias</v>
      </c>
      <c r="I610" s="77" t="str">
        <f>IFERROR(VLOOKUP(DESPESAS[[#This Row],[Fornecedor]],Tabela2[],2,FALSE),"")</f>
        <v/>
      </c>
      <c r="J610" s="77" t="str">
        <f>IFERROR(VLOOKUP(DESPESAS[[#This Row],[Plano de Contas]],BASE!$B$3:$F$119,4,FALSE),"")</f>
        <v>8 - DESPESAS FINANCEIRAS</v>
      </c>
      <c r="K610" s="77" t="str">
        <f>IFERROR(VLOOKUP(DESPESAS[[#This Row],[Plano de Contas]],BASE!$B$3:$H$119,5,FALSE),"")</f>
        <v>FINANCEIRO</v>
      </c>
      <c r="L610" s="77">
        <f>IFERROR(VLOOKUP(DESPESAS[[#This Row],[Plano de Contas]],BASE!$B$3:$H$119,6,FALSE),"")</f>
        <v>0</v>
      </c>
      <c r="M610" s="77" t="str">
        <f>VLOOKUP(DESPESAS[[#This Row],[Plano de Contas]],BASE!$B$3:$H$119,7,FALSE)</f>
        <v>LETÍCIA</v>
      </c>
    </row>
    <row r="611" spans="1:13" x14ac:dyDescent="0.25">
      <c r="A611" s="74">
        <v>197040</v>
      </c>
      <c r="B611" s="75" t="s">
        <v>232</v>
      </c>
      <c r="C611" s="75" t="s">
        <v>2919</v>
      </c>
      <c r="D611" s="76">
        <v>46037</v>
      </c>
      <c r="E611" s="75" t="s">
        <v>471</v>
      </c>
      <c r="F611" s="74">
        <v>279.36</v>
      </c>
      <c r="G611" s="75" t="s">
        <v>1318</v>
      </c>
      <c r="H611" s="77" t="str">
        <f>VLOOKUP(DESPESAS[[#This Row],[Plano de Contas]],BASE!$B$3:$D$119,3,FALSE)</f>
        <v>Feiras e Eventos</v>
      </c>
      <c r="I611" s="77" t="str">
        <f>IFERROR(VLOOKUP(DESPESAS[[#This Row],[Fornecedor]],Tabela2[],2,FALSE),"")</f>
        <v/>
      </c>
      <c r="J611" s="77" t="str">
        <f>IFERROR(VLOOKUP(DESPESAS[[#This Row],[Plano de Contas]],BASE!$B$3:$F$119,4,FALSE),"")</f>
        <v>6 - DESPESA COM VENDAS</v>
      </c>
      <c r="K611" s="77" t="str">
        <f>IFERROR(VLOOKUP(DESPESAS[[#This Row],[Plano de Contas]],BASE!$B$3:$H$119,5,FALSE),"")</f>
        <v>COMERCIAL</v>
      </c>
      <c r="L611" s="77">
        <f>IFERROR(VLOOKUP(DESPESAS[[#This Row],[Plano de Contas]],BASE!$B$3:$H$119,6,FALSE),"")</f>
        <v>0</v>
      </c>
      <c r="M611" s="77" t="str">
        <f>VLOOKUP(DESPESAS[[#This Row],[Plano de Contas]],BASE!$B$3:$H$119,7,FALSE)</f>
        <v>THAIS</v>
      </c>
    </row>
    <row r="612" spans="1:13" x14ac:dyDescent="0.25">
      <c r="A612" s="74">
        <v>197041</v>
      </c>
      <c r="B612" s="75" t="s">
        <v>232</v>
      </c>
      <c r="C612" s="75" t="s">
        <v>2918</v>
      </c>
      <c r="D612" s="76">
        <v>46037</v>
      </c>
      <c r="E612" s="75" t="s">
        <v>230</v>
      </c>
      <c r="F612" s="74">
        <v>328.22</v>
      </c>
      <c r="G612" s="75" t="s">
        <v>251</v>
      </c>
      <c r="H612" s="77" t="str">
        <f>VLOOKUP(DESPESAS[[#This Row],[Plano de Contas]],BASE!$B$3:$D$119,3,FALSE)</f>
        <v>Juros Pagos - Antecipação de Crédito</v>
      </c>
      <c r="I612" s="77" t="str">
        <f>IFERROR(VLOOKUP(DESPESAS[[#This Row],[Fornecedor]],Tabela2[],2,FALSE),"")</f>
        <v/>
      </c>
      <c r="J612" s="77" t="str">
        <f>IFERROR(VLOOKUP(DESPESAS[[#This Row],[Plano de Contas]],BASE!$B$3:$F$119,4,FALSE),"")</f>
        <v>8 - DESPESAS FINANCEIRAS</v>
      </c>
      <c r="K612" s="77" t="str">
        <f>IFERROR(VLOOKUP(DESPESAS[[#This Row],[Plano de Contas]],BASE!$B$3:$H$119,5,FALSE),"")</f>
        <v>FINANCEIRO</v>
      </c>
      <c r="L612" s="77">
        <f>IFERROR(VLOOKUP(DESPESAS[[#This Row],[Plano de Contas]],BASE!$B$3:$H$119,6,FALSE),"")</f>
        <v>0</v>
      </c>
      <c r="M612" s="77" t="str">
        <f>VLOOKUP(DESPESAS[[#This Row],[Plano de Contas]],BASE!$B$3:$H$119,7,FALSE)</f>
        <v>LETÍCIA</v>
      </c>
    </row>
    <row r="613" spans="1:13" x14ac:dyDescent="0.25">
      <c r="A613" s="74">
        <v>197042</v>
      </c>
      <c r="B613" s="75" t="s">
        <v>281</v>
      </c>
      <c r="C613" s="75" t="s">
        <v>2917</v>
      </c>
      <c r="D613" s="76">
        <v>46066</v>
      </c>
      <c r="E613" s="75" t="s">
        <v>361</v>
      </c>
      <c r="F613" s="74">
        <v>53.63</v>
      </c>
      <c r="G613" s="75" t="s">
        <v>693</v>
      </c>
      <c r="H613" s="77" t="str">
        <f>VLOOKUP(DESPESAS[[#This Row],[Plano de Contas]],BASE!$B$3:$D$119,3,FALSE)</f>
        <v>Computadores e Periféricos</v>
      </c>
      <c r="I613" s="77" t="str">
        <f>IFERROR(VLOOKUP(DESPESAS[[#This Row],[Fornecedor]],Tabela2[],2,FALSE),"")</f>
        <v/>
      </c>
      <c r="J613" s="77" t="str">
        <f>IFERROR(VLOOKUP(DESPESAS[[#This Row],[Plano de Contas]],BASE!$B$3:$F$119,4,FALSE),"")</f>
        <v>9 - INVESTIMENTOS</v>
      </c>
      <c r="K613" s="77" t="str">
        <f>IFERROR(VLOOKUP(DESPESAS[[#This Row],[Plano de Contas]],BASE!$B$3:$H$119,5,FALSE),"")</f>
        <v>MANUTENÇÃO / TI</v>
      </c>
      <c r="L613" s="77">
        <f>IFERROR(VLOOKUP(DESPESAS[[#This Row],[Plano de Contas]],BASE!$B$3:$H$119,6,FALSE),"")</f>
        <v>0</v>
      </c>
      <c r="M613" s="77" t="str">
        <f>VLOOKUP(DESPESAS[[#This Row],[Plano de Contas]],BASE!$B$3:$H$119,7,FALSE)</f>
        <v>RAFAEL</v>
      </c>
    </row>
    <row r="614" spans="1:13" x14ac:dyDescent="0.25">
      <c r="A614" s="74">
        <v>197043</v>
      </c>
      <c r="B614" s="75" t="s">
        <v>281</v>
      </c>
      <c r="C614" s="75" t="s">
        <v>2916</v>
      </c>
      <c r="D614" s="76">
        <v>46094</v>
      </c>
      <c r="E614" s="75" t="s">
        <v>361</v>
      </c>
      <c r="F614" s="74">
        <v>53.63</v>
      </c>
      <c r="G614" s="75" t="s">
        <v>693</v>
      </c>
      <c r="H614" s="77" t="str">
        <f>VLOOKUP(DESPESAS[[#This Row],[Plano de Contas]],BASE!$B$3:$D$119,3,FALSE)</f>
        <v>Computadores e Periféricos</v>
      </c>
      <c r="I614" s="77" t="str">
        <f>IFERROR(VLOOKUP(DESPESAS[[#This Row],[Fornecedor]],Tabela2[],2,FALSE),"")</f>
        <v/>
      </c>
      <c r="J614" s="77" t="str">
        <f>IFERROR(VLOOKUP(DESPESAS[[#This Row],[Plano de Contas]],BASE!$B$3:$F$119,4,FALSE),"")</f>
        <v>9 - INVESTIMENTOS</v>
      </c>
      <c r="K614" s="77" t="str">
        <f>IFERROR(VLOOKUP(DESPESAS[[#This Row],[Plano de Contas]],BASE!$B$3:$H$119,5,FALSE),"")</f>
        <v>MANUTENÇÃO / TI</v>
      </c>
      <c r="L614" s="77">
        <f>IFERROR(VLOOKUP(DESPESAS[[#This Row],[Plano de Contas]],BASE!$B$3:$H$119,6,FALSE),"")</f>
        <v>0</v>
      </c>
      <c r="M614" s="77" t="str">
        <f>VLOOKUP(DESPESAS[[#This Row],[Plano de Contas]],BASE!$B$3:$H$119,7,FALSE)</f>
        <v>RAFAEL</v>
      </c>
    </row>
    <row r="615" spans="1:13" x14ac:dyDescent="0.25">
      <c r="A615" s="74">
        <v>197044</v>
      </c>
      <c r="B615" s="75" t="s">
        <v>281</v>
      </c>
      <c r="C615" s="75" t="s">
        <v>2915</v>
      </c>
      <c r="D615" s="76">
        <v>46125</v>
      </c>
      <c r="E615" s="75" t="s">
        <v>361</v>
      </c>
      <c r="F615" s="74">
        <v>53.63</v>
      </c>
      <c r="G615" s="75" t="s">
        <v>693</v>
      </c>
      <c r="H615" s="77" t="str">
        <f>VLOOKUP(DESPESAS[[#This Row],[Plano de Contas]],BASE!$B$3:$D$119,3,FALSE)</f>
        <v>Computadores e Periféricos</v>
      </c>
      <c r="I615" s="77" t="str">
        <f>IFERROR(VLOOKUP(DESPESAS[[#This Row],[Fornecedor]],Tabela2[],2,FALSE),"")</f>
        <v/>
      </c>
      <c r="J615" s="77" t="str">
        <f>IFERROR(VLOOKUP(DESPESAS[[#This Row],[Plano de Contas]],BASE!$B$3:$F$119,4,FALSE),"")</f>
        <v>9 - INVESTIMENTOS</v>
      </c>
      <c r="K615" s="77" t="str">
        <f>IFERROR(VLOOKUP(DESPESAS[[#This Row],[Plano de Contas]],BASE!$B$3:$H$119,5,FALSE),"")</f>
        <v>MANUTENÇÃO / TI</v>
      </c>
      <c r="L615" s="77">
        <f>IFERROR(VLOOKUP(DESPESAS[[#This Row],[Plano de Contas]],BASE!$B$3:$H$119,6,FALSE),"")</f>
        <v>0</v>
      </c>
      <c r="M615" s="77" t="str">
        <f>VLOOKUP(DESPESAS[[#This Row],[Plano de Contas]],BASE!$B$3:$H$119,7,FALSE)</f>
        <v>RAFAEL</v>
      </c>
    </row>
    <row r="616" spans="1:13" x14ac:dyDescent="0.25">
      <c r="A616" s="74">
        <v>197049</v>
      </c>
      <c r="B616" s="75" t="s">
        <v>281</v>
      </c>
      <c r="C616" s="75" t="s">
        <v>2914</v>
      </c>
      <c r="D616" s="76">
        <v>46035</v>
      </c>
      <c r="E616" s="75" t="s">
        <v>361</v>
      </c>
      <c r="F616" s="74">
        <v>110.12</v>
      </c>
      <c r="G616" s="75" t="s">
        <v>244</v>
      </c>
      <c r="H616" s="77" t="str">
        <f>VLOOKUP(DESPESAS[[#This Row],[Plano de Contas]],BASE!$B$3:$D$119,3,FALSE)</f>
        <v>Material de Expediente (Prod)</v>
      </c>
      <c r="I616" s="77" t="str">
        <f>IFERROR(VLOOKUP(DESPESAS[[#This Row],[Fornecedor]],Tabela2[],2,FALSE),"")</f>
        <v/>
      </c>
      <c r="J616" s="77" t="str">
        <f>IFERROR(VLOOKUP(DESPESAS[[#This Row],[Plano de Contas]],BASE!$B$3:$F$119,4,FALSE),"")</f>
        <v>2 - CUSTOS DIRETOS</v>
      </c>
      <c r="K616" s="77" t="str">
        <f>IFERROR(VLOOKUP(DESPESAS[[#This Row],[Plano de Contas]],BASE!$B$3:$H$119,5,FALSE),"")</f>
        <v>PRODUÇÃO</v>
      </c>
      <c r="L616" s="77">
        <f>IFERROR(VLOOKUP(DESPESAS[[#This Row],[Plano de Contas]],BASE!$B$3:$H$119,6,FALSE),"")</f>
        <v>0</v>
      </c>
      <c r="M616" s="77" t="str">
        <f>VLOOKUP(DESPESAS[[#This Row],[Plano de Contas]],BASE!$B$3:$H$119,7,FALSE)</f>
        <v>RAFAEL</v>
      </c>
    </row>
    <row r="617" spans="1:13" x14ac:dyDescent="0.25">
      <c r="A617" s="74">
        <v>197050</v>
      </c>
      <c r="B617" s="75" t="s">
        <v>281</v>
      </c>
      <c r="C617" s="75" t="s">
        <v>2913</v>
      </c>
      <c r="D617" s="76">
        <v>46035</v>
      </c>
      <c r="E617" s="75" t="s">
        <v>361</v>
      </c>
      <c r="F617" s="74">
        <v>35.799999999999997</v>
      </c>
      <c r="G617" s="75" t="s">
        <v>693</v>
      </c>
      <c r="H617" s="77" t="str">
        <f>VLOOKUP(DESPESAS[[#This Row],[Plano de Contas]],BASE!$B$3:$D$119,3,FALSE)</f>
        <v>Computadores e Periféricos</v>
      </c>
      <c r="I617" s="77" t="str">
        <f>IFERROR(VLOOKUP(DESPESAS[[#This Row],[Fornecedor]],Tabela2[],2,FALSE),"")</f>
        <v/>
      </c>
      <c r="J617" s="77" t="str">
        <f>IFERROR(VLOOKUP(DESPESAS[[#This Row],[Plano de Contas]],BASE!$B$3:$F$119,4,FALSE),"")</f>
        <v>9 - INVESTIMENTOS</v>
      </c>
      <c r="K617" s="77" t="str">
        <f>IFERROR(VLOOKUP(DESPESAS[[#This Row],[Plano de Contas]],BASE!$B$3:$H$119,5,FALSE),"")</f>
        <v>MANUTENÇÃO / TI</v>
      </c>
      <c r="L617" s="77">
        <f>IFERROR(VLOOKUP(DESPESAS[[#This Row],[Plano de Contas]],BASE!$B$3:$H$119,6,FALSE),"")</f>
        <v>0</v>
      </c>
      <c r="M617" s="77" t="str">
        <f>VLOOKUP(DESPESAS[[#This Row],[Plano de Contas]],BASE!$B$3:$H$119,7,FALSE)</f>
        <v>RAFAEL</v>
      </c>
    </row>
    <row r="618" spans="1:13" x14ac:dyDescent="0.25">
      <c r="A618" s="74">
        <v>197051</v>
      </c>
      <c r="B618" s="75" t="s">
        <v>281</v>
      </c>
      <c r="C618" s="75" t="s">
        <v>2912</v>
      </c>
      <c r="D618" s="76">
        <v>46066</v>
      </c>
      <c r="E618" s="75" t="s">
        <v>361</v>
      </c>
      <c r="F618" s="74">
        <v>35.799999999999997</v>
      </c>
      <c r="G618" s="75" t="s">
        <v>693</v>
      </c>
      <c r="H618" s="77" t="str">
        <f>VLOOKUP(DESPESAS[[#This Row],[Plano de Contas]],BASE!$B$3:$D$119,3,FALSE)</f>
        <v>Computadores e Periféricos</v>
      </c>
      <c r="I618" s="77" t="str">
        <f>IFERROR(VLOOKUP(DESPESAS[[#This Row],[Fornecedor]],Tabela2[],2,FALSE),"")</f>
        <v/>
      </c>
      <c r="J618" s="77" t="str">
        <f>IFERROR(VLOOKUP(DESPESAS[[#This Row],[Plano de Contas]],BASE!$B$3:$F$119,4,FALSE),"")</f>
        <v>9 - INVESTIMENTOS</v>
      </c>
      <c r="K618" s="77" t="str">
        <f>IFERROR(VLOOKUP(DESPESAS[[#This Row],[Plano de Contas]],BASE!$B$3:$H$119,5,FALSE),"")</f>
        <v>MANUTENÇÃO / TI</v>
      </c>
      <c r="L618" s="77">
        <f>IFERROR(VLOOKUP(DESPESAS[[#This Row],[Plano de Contas]],BASE!$B$3:$H$119,6,FALSE),"")</f>
        <v>0</v>
      </c>
      <c r="M618" s="77" t="str">
        <f>VLOOKUP(DESPESAS[[#This Row],[Plano de Contas]],BASE!$B$3:$H$119,7,FALSE)</f>
        <v>RAFAEL</v>
      </c>
    </row>
    <row r="619" spans="1:13" x14ac:dyDescent="0.25">
      <c r="A619" s="74">
        <v>197052</v>
      </c>
      <c r="B619" s="75" t="s">
        <v>281</v>
      </c>
      <c r="C619" s="75" t="s">
        <v>2911</v>
      </c>
      <c r="D619" s="76">
        <v>46094</v>
      </c>
      <c r="E619" s="75" t="s">
        <v>361</v>
      </c>
      <c r="F619" s="74">
        <v>35.799999999999997</v>
      </c>
      <c r="G619" s="75" t="s">
        <v>693</v>
      </c>
      <c r="H619" s="77" t="str">
        <f>VLOOKUP(DESPESAS[[#This Row],[Plano de Contas]],BASE!$B$3:$D$119,3,FALSE)</f>
        <v>Computadores e Periféricos</v>
      </c>
      <c r="I619" s="77" t="str">
        <f>IFERROR(VLOOKUP(DESPESAS[[#This Row],[Fornecedor]],Tabela2[],2,FALSE),"")</f>
        <v/>
      </c>
      <c r="J619" s="77" t="str">
        <f>IFERROR(VLOOKUP(DESPESAS[[#This Row],[Plano de Contas]],BASE!$B$3:$F$119,4,FALSE),"")</f>
        <v>9 - INVESTIMENTOS</v>
      </c>
      <c r="K619" s="77" t="str">
        <f>IFERROR(VLOOKUP(DESPESAS[[#This Row],[Plano de Contas]],BASE!$B$3:$H$119,5,FALSE),"")</f>
        <v>MANUTENÇÃO / TI</v>
      </c>
      <c r="L619" s="77">
        <f>IFERROR(VLOOKUP(DESPESAS[[#This Row],[Plano de Contas]],BASE!$B$3:$H$119,6,FALSE),"")</f>
        <v>0</v>
      </c>
      <c r="M619" s="77" t="str">
        <f>VLOOKUP(DESPESAS[[#This Row],[Plano de Contas]],BASE!$B$3:$H$119,7,FALSE)</f>
        <v>RAFAEL</v>
      </c>
    </row>
    <row r="620" spans="1:13" x14ac:dyDescent="0.25">
      <c r="A620" s="74">
        <v>197053</v>
      </c>
      <c r="B620" s="75" t="s">
        <v>281</v>
      </c>
      <c r="C620" s="75" t="s">
        <v>2910</v>
      </c>
      <c r="D620" s="76">
        <v>46125</v>
      </c>
      <c r="E620" s="75" t="s">
        <v>361</v>
      </c>
      <c r="F620" s="74">
        <v>35.799999999999997</v>
      </c>
      <c r="G620" s="75" t="s">
        <v>693</v>
      </c>
      <c r="H620" s="77" t="str">
        <f>VLOOKUP(DESPESAS[[#This Row],[Plano de Contas]],BASE!$B$3:$D$119,3,FALSE)</f>
        <v>Computadores e Periféricos</v>
      </c>
      <c r="I620" s="77" t="str">
        <f>IFERROR(VLOOKUP(DESPESAS[[#This Row],[Fornecedor]],Tabela2[],2,FALSE),"")</f>
        <v/>
      </c>
      <c r="J620" s="77" t="str">
        <f>IFERROR(VLOOKUP(DESPESAS[[#This Row],[Plano de Contas]],BASE!$B$3:$F$119,4,FALSE),"")</f>
        <v>9 - INVESTIMENTOS</v>
      </c>
      <c r="K620" s="77" t="str">
        <f>IFERROR(VLOOKUP(DESPESAS[[#This Row],[Plano de Contas]],BASE!$B$3:$H$119,5,FALSE),"")</f>
        <v>MANUTENÇÃO / TI</v>
      </c>
      <c r="L620" s="77">
        <f>IFERROR(VLOOKUP(DESPESAS[[#This Row],[Plano de Contas]],BASE!$B$3:$H$119,6,FALSE),"")</f>
        <v>0</v>
      </c>
      <c r="M620" s="77" t="str">
        <f>VLOOKUP(DESPESAS[[#This Row],[Plano de Contas]],BASE!$B$3:$H$119,7,FALSE)</f>
        <v>RAFAEL</v>
      </c>
    </row>
    <row r="621" spans="1:13" x14ac:dyDescent="0.25">
      <c r="A621" s="74">
        <v>197055</v>
      </c>
      <c r="B621" s="75" t="s">
        <v>281</v>
      </c>
      <c r="C621" s="75" t="s">
        <v>2909</v>
      </c>
      <c r="D621" s="76">
        <v>46035</v>
      </c>
      <c r="E621" s="75" t="s">
        <v>361</v>
      </c>
      <c r="F621" s="74">
        <v>33</v>
      </c>
      <c r="G621" s="75" t="s">
        <v>693</v>
      </c>
      <c r="H621" s="77" t="str">
        <f>VLOOKUP(DESPESAS[[#This Row],[Plano de Contas]],BASE!$B$3:$D$119,3,FALSE)</f>
        <v>Computadores e Periféricos</v>
      </c>
      <c r="I621" s="77" t="str">
        <f>IFERROR(VLOOKUP(DESPESAS[[#This Row],[Fornecedor]],Tabela2[],2,FALSE),"")</f>
        <v/>
      </c>
      <c r="J621" s="77" t="str">
        <f>IFERROR(VLOOKUP(DESPESAS[[#This Row],[Plano de Contas]],BASE!$B$3:$F$119,4,FALSE),"")</f>
        <v>9 - INVESTIMENTOS</v>
      </c>
      <c r="K621" s="77" t="str">
        <f>IFERROR(VLOOKUP(DESPESAS[[#This Row],[Plano de Contas]],BASE!$B$3:$H$119,5,FALSE),"")</f>
        <v>MANUTENÇÃO / TI</v>
      </c>
      <c r="L621" s="77">
        <f>IFERROR(VLOOKUP(DESPESAS[[#This Row],[Plano de Contas]],BASE!$B$3:$H$119,6,FALSE),"")</f>
        <v>0</v>
      </c>
      <c r="M621" s="77" t="str">
        <f>VLOOKUP(DESPESAS[[#This Row],[Plano de Contas]],BASE!$B$3:$H$119,7,FALSE)</f>
        <v>RAFAEL</v>
      </c>
    </row>
    <row r="622" spans="1:13" x14ac:dyDescent="0.25">
      <c r="A622" s="74">
        <v>197056</v>
      </c>
      <c r="B622" s="75" t="s">
        <v>281</v>
      </c>
      <c r="C622" s="75" t="s">
        <v>2908</v>
      </c>
      <c r="D622" s="76">
        <v>46066</v>
      </c>
      <c r="E622" s="75" t="s">
        <v>361</v>
      </c>
      <c r="F622" s="74">
        <v>33</v>
      </c>
      <c r="G622" s="75" t="s">
        <v>693</v>
      </c>
      <c r="H622" s="77" t="str">
        <f>VLOOKUP(DESPESAS[[#This Row],[Plano de Contas]],BASE!$B$3:$D$119,3,FALSE)</f>
        <v>Computadores e Periféricos</v>
      </c>
      <c r="I622" s="77" t="str">
        <f>IFERROR(VLOOKUP(DESPESAS[[#This Row],[Fornecedor]],Tabela2[],2,FALSE),"")</f>
        <v/>
      </c>
      <c r="J622" s="77" t="str">
        <f>IFERROR(VLOOKUP(DESPESAS[[#This Row],[Plano de Contas]],BASE!$B$3:$F$119,4,FALSE),"")</f>
        <v>9 - INVESTIMENTOS</v>
      </c>
      <c r="K622" s="77" t="str">
        <f>IFERROR(VLOOKUP(DESPESAS[[#This Row],[Plano de Contas]],BASE!$B$3:$H$119,5,FALSE),"")</f>
        <v>MANUTENÇÃO / TI</v>
      </c>
      <c r="L622" s="77">
        <f>IFERROR(VLOOKUP(DESPESAS[[#This Row],[Plano de Contas]],BASE!$B$3:$H$119,6,FALSE),"")</f>
        <v>0</v>
      </c>
      <c r="M622" s="77" t="str">
        <f>VLOOKUP(DESPESAS[[#This Row],[Plano de Contas]],BASE!$B$3:$H$119,7,FALSE)</f>
        <v>RAFAEL</v>
      </c>
    </row>
    <row r="623" spans="1:13" x14ac:dyDescent="0.25">
      <c r="A623" s="74">
        <v>197057</v>
      </c>
      <c r="B623" s="75" t="s">
        <v>281</v>
      </c>
      <c r="C623" s="75" t="s">
        <v>2907</v>
      </c>
      <c r="D623" s="76">
        <v>46094</v>
      </c>
      <c r="E623" s="75" t="s">
        <v>361</v>
      </c>
      <c r="F623" s="74">
        <v>33</v>
      </c>
      <c r="G623" s="75" t="s">
        <v>693</v>
      </c>
      <c r="H623" s="77" t="str">
        <f>VLOOKUP(DESPESAS[[#This Row],[Plano de Contas]],BASE!$B$3:$D$119,3,FALSE)</f>
        <v>Computadores e Periféricos</v>
      </c>
      <c r="I623" s="77" t="str">
        <f>IFERROR(VLOOKUP(DESPESAS[[#This Row],[Fornecedor]],Tabela2[],2,FALSE),"")</f>
        <v/>
      </c>
      <c r="J623" s="77" t="str">
        <f>IFERROR(VLOOKUP(DESPESAS[[#This Row],[Plano de Contas]],BASE!$B$3:$F$119,4,FALSE),"")</f>
        <v>9 - INVESTIMENTOS</v>
      </c>
      <c r="K623" s="77" t="str">
        <f>IFERROR(VLOOKUP(DESPESAS[[#This Row],[Plano de Contas]],BASE!$B$3:$H$119,5,FALSE),"")</f>
        <v>MANUTENÇÃO / TI</v>
      </c>
      <c r="L623" s="77">
        <f>IFERROR(VLOOKUP(DESPESAS[[#This Row],[Plano de Contas]],BASE!$B$3:$H$119,6,FALSE),"")</f>
        <v>0</v>
      </c>
      <c r="M623" s="77" t="str">
        <f>VLOOKUP(DESPESAS[[#This Row],[Plano de Contas]],BASE!$B$3:$H$119,7,FALSE)</f>
        <v>RAFAEL</v>
      </c>
    </row>
    <row r="624" spans="1:13" x14ac:dyDescent="0.25">
      <c r="A624" s="74">
        <v>197058</v>
      </c>
      <c r="B624" s="75" t="s">
        <v>281</v>
      </c>
      <c r="C624" s="75" t="s">
        <v>2906</v>
      </c>
      <c r="D624" s="76">
        <v>46125</v>
      </c>
      <c r="E624" s="75" t="s">
        <v>361</v>
      </c>
      <c r="F624" s="74">
        <v>33</v>
      </c>
      <c r="G624" s="75" t="s">
        <v>693</v>
      </c>
      <c r="H624" s="77" t="str">
        <f>VLOOKUP(DESPESAS[[#This Row],[Plano de Contas]],BASE!$B$3:$D$119,3,FALSE)</f>
        <v>Computadores e Periféricos</v>
      </c>
      <c r="I624" s="77" t="str">
        <f>IFERROR(VLOOKUP(DESPESAS[[#This Row],[Fornecedor]],Tabela2[],2,FALSE),"")</f>
        <v/>
      </c>
      <c r="J624" s="77" t="str">
        <f>IFERROR(VLOOKUP(DESPESAS[[#This Row],[Plano de Contas]],BASE!$B$3:$F$119,4,FALSE),"")</f>
        <v>9 - INVESTIMENTOS</v>
      </c>
      <c r="K624" s="77" t="str">
        <f>IFERROR(VLOOKUP(DESPESAS[[#This Row],[Plano de Contas]],BASE!$B$3:$H$119,5,FALSE),"")</f>
        <v>MANUTENÇÃO / TI</v>
      </c>
      <c r="L624" s="77">
        <f>IFERROR(VLOOKUP(DESPESAS[[#This Row],[Plano de Contas]],BASE!$B$3:$H$119,6,FALSE),"")</f>
        <v>0</v>
      </c>
      <c r="M624" s="77" t="str">
        <f>VLOOKUP(DESPESAS[[#This Row],[Plano de Contas]],BASE!$B$3:$H$119,7,FALSE)</f>
        <v>RAFAEL</v>
      </c>
    </row>
    <row r="625" spans="1:13" x14ac:dyDescent="0.25">
      <c r="A625" s="74">
        <v>197062</v>
      </c>
      <c r="B625" s="75" t="s">
        <v>221</v>
      </c>
      <c r="C625" s="75" t="s">
        <v>2905</v>
      </c>
      <c r="D625" s="76">
        <v>46037</v>
      </c>
      <c r="E625" s="75" t="s">
        <v>970</v>
      </c>
      <c r="F625" s="74">
        <v>40</v>
      </c>
      <c r="G625" s="75" t="s">
        <v>719</v>
      </c>
      <c r="H625" s="77" t="str">
        <f>VLOOKUP(DESPESAS[[#This Row],[Plano de Contas]],BASE!$B$3:$D$119,3,FALSE)</f>
        <v>Outros Serviços de Terceiros</v>
      </c>
      <c r="I625" s="77" t="str">
        <f>IFERROR(VLOOKUP(DESPESAS[[#This Row],[Fornecedor]],Tabela2[],2,FALSE),"")</f>
        <v/>
      </c>
      <c r="J625" s="77" t="str">
        <f>IFERROR(VLOOKUP(DESPESAS[[#This Row],[Plano de Contas]],BASE!$B$3:$F$119,4,FALSE),"")</f>
        <v>7 - SERVIÇOS DE TERCEIROS</v>
      </c>
      <c r="K625" s="77" t="str">
        <f>IFERROR(VLOOKUP(DESPESAS[[#This Row],[Plano de Contas]],BASE!$B$3:$H$119,5,FALSE),"")</f>
        <v>FINANCEIRO</v>
      </c>
      <c r="L625" s="77">
        <f>IFERROR(VLOOKUP(DESPESAS[[#This Row],[Plano de Contas]],BASE!$B$3:$H$119,6,FALSE),"")</f>
        <v>0</v>
      </c>
      <c r="M625" s="77" t="str">
        <f>VLOOKUP(DESPESAS[[#This Row],[Plano de Contas]],BASE!$B$3:$H$119,7,FALSE)</f>
        <v>LETÍCIA</v>
      </c>
    </row>
    <row r="626" spans="1:13" x14ac:dyDescent="0.25">
      <c r="A626" s="74">
        <v>197063</v>
      </c>
      <c r="B626" s="75" t="s">
        <v>221</v>
      </c>
      <c r="C626" s="75" t="s">
        <v>2904</v>
      </c>
      <c r="D626" s="76">
        <v>46037</v>
      </c>
      <c r="E626" s="75" t="s">
        <v>242</v>
      </c>
      <c r="F626" s="74">
        <v>53.8</v>
      </c>
      <c r="G626" s="75" t="s">
        <v>247</v>
      </c>
      <c r="H626" s="77" t="str">
        <f>VLOOKUP(DESPESAS[[#This Row],[Plano de Contas]],BASE!$B$3:$D$119,3,FALSE)</f>
        <v>Manutenção com veiculos</v>
      </c>
      <c r="I626" s="77" t="str">
        <f>IFERROR(VLOOKUP(DESPESAS[[#This Row],[Fornecedor]],Tabela2[],2,FALSE),"")</f>
        <v/>
      </c>
      <c r="J626" s="77" t="str">
        <f>IFERROR(VLOOKUP(DESPESAS[[#This Row],[Plano de Contas]],BASE!$B$3:$F$119,4,FALSE),"")</f>
        <v>6 - DESPESA COM VENDAS</v>
      </c>
      <c r="K626" s="77" t="str">
        <f>IFERROR(VLOOKUP(DESPESAS[[#This Row],[Plano de Contas]],BASE!$B$3:$H$119,5,FALSE),"")</f>
        <v>LOGÍSTICA</v>
      </c>
      <c r="L626" s="77">
        <f>IFERROR(VLOOKUP(DESPESAS[[#This Row],[Plano de Contas]],BASE!$B$3:$H$119,6,FALSE),"")</f>
        <v>0</v>
      </c>
      <c r="M626" s="77" t="str">
        <f>VLOOKUP(DESPESAS[[#This Row],[Plano de Contas]],BASE!$B$3:$H$119,7,FALSE)</f>
        <v>MYLENA</v>
      </c>
    </row>
    <row r="627" spans="1:13" x14ac:dyDescent="0.25">
      <c r="A627" s="74">
        <v>197064</v>
      </c>
      <c r="B627" s="75" t="s">
        <v>221</v>
      </c>
      <c r="C627" s="75" t="s">
        <v>2903</v>
      </c>
      <c r="D627" s="76">
        <v>46037</v>
      </c>
      <c r="E627" s="75" t="s">
        <v>239</v>
      </c>
      <c r="F627" s="74">
        <v>42.5</v>
      </c>
      <c r="G627" s="75" t="s">
        <v>1318</v>
      </c>
      <c r="H627" s="77" t="str">
        <f>VLOOKUP(DESPESAS[[#This Row],[Plano de Contas]],BASE!$B$3:$D$119,3,FALSE)</f>
        <v>Feiras e Eventos</v>
      </c>
      <c r="I627" s="77" t="str">
        <f>IFERROR(VLOOKUP(DESPESAS[[#This Row],[Fornecedor]],Tabela2[],2,FALSE),"")</f>
        <v/>
      </c>
      <c r="J627" s="77" t="str">
        <f>IFERROR(VLOOKUP(DESPESAS[[#This Row],[Plano de Contas]],BASE!$B$3:$F$119,4,FALSE),"")</f>
        <v>6 - DESPESA COM VENDAS</v>
      </c>
      <c r="K627" s="77" t="str">
        <f>IFERROR(VLOOKUP(DESPESAS[[#This Row],[Plano de Contas]],BASE!$B$3:$H$119,5,FALSE),"")</f>
        <v>COMERCIAL</v>
      </c>
      <c r="L627" s="77">
        <f>IFERROR(VLOOKUP(DESPESAS[[#This Row],[Plano de Contas]],BASE!$B$3:$H$119,6,FALSE),"")</f>
        <v>0</v>
      </c>
      <c r="M627" s="77" t="str">
        <f>VLOOKUP(DESPESAS[[#This Row],[Plano de Contas]],BASE!$B$3:$H$119,7,FALSE)</f>
        <v>THAIS</v>
      </c>
    </row>
    <row r="628" spans="1:13" x14ac:dyDescent="0.25">
      <c r="A628" s="74">
        <v>197065</v>
      </c>
      <c r="B628" s="75" t="s">
        <v>221</v>
      </c>
      <c r="C628" s="75" t="s">
        <v>2902</v>
      </c>
      <c r="D628" s="76">
        <v>46037</v>
      </c>
      <c r="E628" s="75" t="s">
        <v>239</v>
      </c>
      <c r="F628" s="74">
        <v>159.72</v>
      </c>
      <c r="G628" s="75" t="s">
        <v>238</v>
      </c>
      <c r="H628" s="77" t="str">
        <f>VLOOKUP(DESPESAS[[#This Row],[Plano de Contas]],BASE!$B$3:$D$119,3,FALSE)</f>
        <v>Consultoria Comercial</v>
      </c>
      <c r="I628" s="77" t="str">
        <f>IFERROR(VLOOKUP(DESPESAS[[#This Row],[Fornecedor]],Tabela2[],2,FALSE),"")</f>
        <v/>
      </c>
      <c r="J628" s="77" t="str">
        <f>IFERROR(VLOOKUP(DESPESAS[[#This Row],[Plano de Contas]],BASE!$B$3:$F$119,4,FALSE),"")</f>
        <v>6 - DESPESA COM VENDAS</v>
      </c>
      <c r="K628" s="77" t="str">
        <f>IFERROR(VLOOKUP(DESPESAS[[#This Row],[Plano de Contas]],BASE!$B$3:$H$119,5,FALSE),"")</f>
        <v>COMERCIAL</v>
      </c>
      <c r="L628" s="77">
        <f>IFERROR(VLOOKUP(DESPESAS[[#This Row],[Plano de Contas]],BASE!$B$3:$H$119,6,FALSE),"")</f>
        <v>0</v>
      </c>
      <c r="M628" s="77" t="str">
        <f>VLOOKUP(DESPESAS[[#This Row],[Plano de Contas]],BASE!$B$3:$H$119,7,FALSE)</f>
        <v>LETÍCIA</v>
      </c>
    </row>
    <row r="629" spans="1:13" x14ac:dyDescent="0.25">
      <c r="A629" s="74">
        <v>197066</v>
      </c>
      <c r="B629" s="75" t="s">
        <v>221</v>
      </c>
      <c r="C629" s="75" t="s">
        <v>2901</v>
      </c>
      <c r="D629" s="76">
        <v>46037</v>
      </c>
      <c r="E629" s="75" t="s">
        <v>265</v>
      </c>
      <c r="F629" s="74">
        <v>40</v>
      </c>
      <c r="G629" s="75" t="s">
        <v>262</v>
      </c>
      <c r="H629" s="77" t="str">
        <f>VLOOKUP(DESPESAS[[#This Row],[Plano de Contas]],BASE!$B$3:$D$119,3,FALSE)</f>
        <v>Fretes Karams</v>
      </c>
      <c r="I629" s="77" t="str">
        <f>IFERROR(VLOOKUP(DESPESAS[[#This Row],[Fornecedor]],Tabela2[],2,FALSE),"")</f>
        <v/>
      </c>
      <c r="J629" s="77" t="str">
        <f>IFERROR(VLOOKUP(DESPESAS[[#This Row],[Plano de Contas]],BASE!$B$3:$F$119,4,FALSE),"")</f>
        <v>6 - DESPESA COM VENDAS</v>
      </c>
      <c r="K629" s="77" t="str">
        <f>IFERROR(VLOOKUP(DESPESAS[[#This Row],[Plano de Contas]],BASE!$B$3:$H$119,5,FALSE),"")</f>
        <v>LOGÍSTICA</v>
      </c>
      <c r="L629" s="77">
        <f>IFERROR(VLOOKUP(DESPESAS[[#This Row],[Plano de Contas]],BASE!$B$3:$H$119,6,FALSE),"")</f>
        <v>0</v>
      </c>
      <c r="M629" s="77" t="str">
        <f>VLOOKUP(DESPESAS[[#This Row],[Plano de Contas]],BASE!$B$3:$H$119,7,FALSE)</f>
        <v>MYLENA</v>
      </c>
    </row>
    <row r="630" spans="1:13" x14ac:dyDescent="0.25">
      <c r="A630" s="74">
        <v>197067</v>
      </c>
      <c r="B630" s="75" t="s">
        <v>221</v>
      </c>
      <c r="C630" s="75" t="s">
        <v>2900</v>
      </c>
      <c r="D630" s="76">
        <v>46037</v>
      </c>
      <c r="E630" s="75" t="s">
        <v>265</v>
      </c>
      <c r="F630" s="74">
        <v>55</v>
      </c>
      <c r="G630" s="75" t="s">
        <v>262</v>
      </c>
      <c r="H630" s="77" t="str">
        <f>VLOOKUP(DESPESAS[[#This Row],[Plano de Contas]],BASE!$B$3:$D$119,3,FALSE)</f>
        <v>Fretes Karams</v>
      </c>
      <c r="I630" s="77" t="str">
        <f>IFERROR(VLOOKUP(DESPESAS[[#This Row],[Fornecedor]],Tabela2[],2,FALSE),"")</f>
        <v/>
      </c>
      <c r="J630" s="77" t="str">
        <f>IFERROR(VLOOKUP(DESPESAS[[#This Row],[Plano de Contas]],BASE!$B$3:$F$119,4,FALSE),"")</f>
        <v>6 - DESPESA COM VENDAS</v>
      </c>
      <c r="K630" s="77" t="str">
        <f>IFERROR(VLOOKUP(DESPESAS[[#This Row],[Plano de Contas]],BASE!$B$3:$H$119,5,FALSE),"")</f>
        <v>LOGÍSTICA</v>
      </c>
      <c r="L630" s="77">
        <f>IFERROR(VLOOKUP(DESPESAS[[#This Row],[Plano de Contas]],BASE!$B$3:$H$119,6,FALSE),"")</f>
        <v>0</v>
      </c>
      <c r="M630" s="77" t="str">
        <f>VLOOKUP(DESPESAS[[#This Row],[Plano de Contas]],BASE!$B$3:$H$119,7,FALSE)</f>
        <v>MYLENA</v>
      </c>
    </row>
    <row r="631" spans="1:13" x14ac:dyDescent="0.25">
      <c r="A631" s="74">
        <v>197068</v>
      </c>
      <c r="B631" s="75" t="s">
        <v>221</v>
      </c>
      <c r="C631" s="75" t="s">
        <v>2899</v>
      </c>
      <c r="D631" s="76">
        <v>46037</v>
      </c>
      <c r="E631" s="75" t="s">
        <v>242</v>
      </c>
      <c r="F631" s="74">
        <v>566.38</v>
      </c>
      <c r="G631" s="75" t="s">
        <v>241</v>
      </c>
      <c r="H631" s="77" t="str">
        <f>VLOOKUP(DESPESAS[[#This Row],[Plano de Contas]],BASE!$B$3:$D$119,3,FALSE)</f>
        <v>Combustiveis Frota</v>
      </c>
      <c r="I631" s="77" t="str">
        <f>IFERROR(VLOOKUP(DESPESAS[[#This Row],[Fornecedor]],Tabela2[],2,FALSE),"")</f>
        <v/>
      </c>
      <c r="J631" s="77" t="str">
        <f>IFERROR(VLOOKUP(DESPESAS[[#This Row],[Plano de Contas]],BASE!$B$3:$F$119,4,FALSE),"")</f>
        <v>6 - DESPESA COM VENDAS</v>
      </c>
      <c r="K631" s="77" t="str">
        <f>IFERROR(VLOOKUP(DESPESAS[[#This Row],[Plano de Contas]],BASE!$B$3:$H$119,5,FALSE),"")</f>
        <v>LOGÍSTICA</v>
      </c>
      <c r="L631" s="77">
        <f>IFERROR(VLOOKUP(DESPESAS[[#This Row],[Plano de Contas]],BASE!$B$3:$H$119,6,FALSE),"")</f>
        <v>0</v>
      </c>
      <c r="M631" s="77" t="str">
        <f>VLOOKUP(DESPESAS[[#This Row],[Plano de Contas]],BASE!$B$3:$H$119,7,FALSE)</f>
        <v>MYLENA</v>
      </c>
    </row>
    <row r="632" spans="1:13" x14ac:dyDescent="0.25">
      <c r="A632" s="74">
        <v>197069</v>
      </c>
      <c r="B632" s="75" t="s">
        <v>221</v>
      </c>
      <c r="C632" s="75" t="s">
        <v>2898</v>
      </c>
      <c r="D632" s="76">
        <v>46037</v>
      </c>
      <c r="E632" s="75" t="s">
        <v>242</v>
      </c>
      <c r="F632" s="74">
        <v>54.57</v>
      </c>
      <c r="G632" s="75" t="s">
        <v>241</v>
      </c>
      <c r="H632" s="77" t="str">
        <f>VLOOKUP(DESPESAS[[#This Row],[Plano de Contas]],BASE!$B$3:$D$119,3,FALSE)</f>
        <v>Combustiveis Frota</v>
      </c>
      <c r="I632" s="77" t="str">
        <f>IFERROR(VLOOKUP(DESPESAS[[#This Row],[Fornecedor]],Tabela2[],2,FALSE),"")</f>
        <v/>
      </c>
      <c r="J632" s="77" t="str">
        <f>IFERROR(VLOOKUP(DESPESAS[[#This Row],[Plano de Contas]],BASE!$B$3:$F$119,4,FALSE),"")</f>
        <v>6 - DESPESA COM VENDAS</v>
      </c>
      <c r="K632" s="77" t="str">
        <f>IFERROR(VLOOKUP(DESPESAS[[#This Row],[Plano de Contas]],BASE!$B$3:$H$119,5,FALSE),"")</f>
        <v>LOGÍSTICA</v>
      </c>
      <c r="L632" s="77">
        <f>IFERROR(VLOOKUP(DESPESAS[[#This Row],[Plano de Contas]],BASE!$B$3:$H$119,6,FALSE),"")</f>
        <v>0</v>
      </c>
      <c r="M632" s="77" t="str">
        <f>VLOOKUP(DESPESAS[[#This Row],[Plano de Contas]],BASE!$B$3:$H$119,7,FALSE)</f>
        <v>MYLENA</v>
      </c>
    </row>
    <row r="633" spans="1:13" x14ac:dyDescent="0.25">
      <c r="A633" s="74">
        <v>197070</v>
      </c>
      <c r="B633" s="75" t="s">
        <v>221</v>
      </c>
      <c r="C633" s="75" t="s">
        <v>2897</v>
      </c>
      <c r="D633" s="76">
        <v>46037</v>
      </c>
      <c r="E633" s="75" t="s">
        <v>242</v>
      </c>
      <c r="F633" s="74">
        <v>712.05</v>
      </c>
      <c r="G633" s="75" t="s">
        <v>241</v>
      </c>
      <c r="H633" s="77" t="str">
        <f>VLOOKUP(DESPESAS[[#This Row],[Plano de Contas]],BASE!$B$3:$D$119,3,FALSE)</f>
        <v>Combustiveis Frota</v>
      </c>
      <c r="I633" s="77" t="str">
        <f>IFERROR(VLOOKUP(DESPESAS[[#This Row],[Fornecedor]],Tabela2[],2,FALSE),"")</f>
        <v/>
      </c>
      <c r="J633" s="77" t="str">
        <f>IFERROR(VLOOKUP(DESPESAS[[#This Row],[Plano de Contas]],BASE!$B$3:$F$119,4,FALSE),"")</f>
        <v>6 - DESPESA COM VENDAS</v>
      </c>
      <c r="K633" s="77" t="str">
        <f>IFERROR(VLOOKUP(DESPESAS[[#This Row],[Plano de Contas]],BASE!$B$3:$H$119,5,FALSE),"")</f>
        <v>LOGÍSTICA</v>
      </c>
      <c r="L633" s="77">
        <f>IFERROR(VLOOKUP(DESPESAS[[#This Row],[Plano de Contas]],BASE!$B$3:$H$119,6,FALSE),"")</f>
        <v>0</v>
      </c>
      <c r="M633" s="77" t="str">
        <f>VLOOKUP(DESPESAS[[#This Row],[Plano de Contas]],BASE!$B$3:$H$119,7,FALSE)</f>
        <v>MYLENA</v>
      </c>
    </row>
    <row r="634" spans="1:13" x14ac:dyDescent="0.25">
      <c r="A634" s="74">
        <v>197072</v>
      </c>
      <c r="B634" s="75" t="s">
        <v>686</v>
      </c>
      <c r="C634" s="75" t="s">
        <v>2896</v>
      </c>
      <c r="D634" s="76">
        <v>46037</v>
      </c>
      <c r="E634" s="75" t="s">
        <v>242</v>
      </c>
      <c r="F634" s="74">
        <v>40</v>
      </c>
      <c r="G634" s="75" t="s">
        <v>854</v>
      </c>
      <c r="H634" s="77" t="str">
        <f>VLOOKUP(DESPESAS[[#This Row],[Plano de Contas]],BASE!$B$3:$D$119,3,FALSE)</f>
        <v>Confraternização</v>
      </c>
      <c r="I634" s="77" t="str">
        <f>IFERROR(VLOOKUP(DESPESAS[[#This Row],[Fornecedor]],Tabela2[],2,FALSE),"")</f>
        <v/>
      </c>
      <c r="J634" s="77" t="str">
        <f>IFERROR(VLOOKUP(DESPESAS[[#This Row],[Plano de Contas]],BASE!$B$3:$F$119,4,FALSE),"")</f>
        <v>4 - GASTOS COM PESSOAL</v>
      </c>
      <c r="K634" s="77" t="str">
        <f>IFERROR(VLOOKUP(DESPESAS[[#This Row],[Plano de Contas]],BASE!$B$3:$H$119,5,FALSE),"")</f>
        <v>DH</v>
      </c>
      <c r="L634" s="77">
        <f>IFERROR(VLOOKUP(DESPESAS[[#This Row],[Plano de Contas]],BASE!$B$3:$H$119,6,FALSE),"")</f>
        <v>0</v>
      </c>
      <c r="M634" s="77" t="str">
        <f>VLOOKUP(DESPESAS[[#This Row],[Plano de Contas]],BASE!$B$3:$H$119,7,FALSE)</f>
        <v>MYLENA</v>
      </c>
    </row>
    <row r="635" spans="1:13" x14ac:dyDescent="0.25">
      <c r="A635" s="74">
        <v>197073</v>
      </c>
      <c r="B635" s="75" t="s">
        <v>686</v>
      </c>
      <c r="C635" s="75" t="s">
        <v>2895</v>
      </c>
      <c r="D635" s="76">
        <v>46037</v>
      </c>
      <c r="E635" s="75" t="s">
        <v>325</v>
      </c>
      <c r="F635" s="74">
        <v>522.01</v>
      </c>
      <c r="G635" s="75" t="s">
        <v>747</v>
      </c>
      <c r="H635" s="77" t="str">
        <f>VLOOKUP(DESPESAS[[#This Row],[Plano de Contas]],BASE!$B$3:$D$119,3,FALSE)</f>
        <v>Cursos e Treinamentos (Adm)</v>
      </c>
      <c r="I635" s="77" t="str">
        <f>IFERROR(VLOOKUP(DESPESAS[[#This Row],[Fornecedor]],Tabela2[],2,FALSE),"")</f>
        <v/>
      </c>
      <c r="J635" s="77" t="str">
        <f>IFERROR(VLOOKUP(DESPESAS[[#This Row],[Plano de Contas]],BASE!$B$3:$F$119,4,FALSE),"")</f>
        <v>4 - GASTOS COM PESSOAL</v>
      </c>
      <c r="K635" s="77" t="str">
        <f>IFERROR(VLOOKUP(DESPESAS[[#This Row],[Plano de Contas]],BASE!$B$3:$H$119,5,FALSE),"")</f>
        <v>DIRETORIA</v>
      </c>
      <c r="L635" s="77">
        <f>IFERROR(VLOOKUP(DESPESAS[[#This Row],[Plano de Contas]],BASE!$B$3:$H$119,6,FALSE),"")</f>
        <v>0</v>
      </c>
      <c r="M635" s="77" t="str">
        <f>VLOOKUP(DESPESAS[[#This Row],[Plano de Contas]],BASE!$B$3:$H$119,7,FALSE)</f>
        <v>FÁBIO</v>
      </c>
    </row>
    <row r="636" spans="1:13" x14ac:dyDescent="0.25">
      <c r="A636" s="74">
        <v>197076</v>
      </c>
      <c r="B636" s="75" t="s">
        <v>686</v>
      </c>
      <c r="C636" s="75" t="s">
        <v>2894</v>
      </c>
      <c r="D636" s="76">
        <v>46037</v>
      </c>
      <c r="E636" s="75" t="s">
        <v>230</v>
      </c>
      <c r="F636" s="74">
        <v>100</v>
      </c>
      <c r="G636" s="75" t="s">
        <v>229</v>
      </c>
      <c r="H636" s="77" t="str">
        <f>VLOOKUP(DESPESAS[[#This Row],[Plano de Contas]],BASE!$B$3:$D$119,3,FALSE)</f>
        <v>Despesas Bancarias</v>
      </c>
      <c r="I636" s="77" t="str">
        <f>IFERROR(VLOOKUP(DESPESAS[[#This Row],[Fornecedor]],Tabela2[],2,FALSE),"")</f>
        <v/>
      </c>
      <c r="J636" s="77" t="str">
        <f>IFERROR(VLOOKUP(DESPESAS[[#This Row],[Plano de Contas]],BASE!$B$3:$F$119,4,FALSE),"")</f>
        <v>8 - DESPESAS FINANCEIRAS</v>
      </c>
      <c r="K636" s="77" t="str">
        <f>IFERROR(VLOOKUP(DESPESAS[[#This Row],[Plano de Contas]],BASE!$B$3:$H$119,5,FALSE),"")</f>
        <v>FINANCEIRO</v>
      </c>
      <c r="L636" s="77">
        <f>IFERROR(VLOOKUP(DESPESAS[[#This Row],[Plano de Contas]],BASE!$B$3:$H$119,6,FALSE),"")</f>
        <v>0</v>
      </c>
      <c r="M636" s="77" t="str">
        <f>VLOOKUP(DESPESAS[[#This Row],[Plano de Contas]],BASE!$B$3:$H$119,7,FALSE)</f>
        <v>LETÍCIA</v>
      </c>
    </row>
    <row r="637" spans="1:13" x14ac:dyDescent="0.25">
      <c r="A637" s="74">
        <v>197077</v>
      </c>
      <c r="B637" s="75" t="s">
        <v>686</v>
      </c>
      <c r="C637" s="75" t="s">
        <v>2890</v>
      </c>
      <c r="D637" s="76">
        <v>46035</v>
      </c>
      <c r="E637" s="75" t="s">
        <v>325</v>
      </c>
      <c r="F637" s="74">
        <v>8.9</v>
      </c>
      <c r="G637" s="75" t="s">
        <v>225</v>
      </c>
      <c r="H637" s="77" t="str">
        <f>VLOOKUP(DESPESAS[[#This Row],[Plano de Contas]],BASE!$B$3:$D$119,3,FALSE)</f>
        <v>Despesas de Outros Gastos Não Operacionais</v>
      </c>
      <c r="I637" s="77" t="str">
        <f>IFERROR(VLOOKUP(DESPESAS[[#This Row],[Fornecedor]],Tabela2[],2,FALSE),"")</f>
        <v/>
      </c>
      <c r="J637" s="77" t="str">
        <f>IFERROR(VLOOKUP(DESPESAS[[#This Row],[Plano de Contas]],BASE!$B$3:$F$119,4,FALSE),"")</f>
        <v>8 - DESPESAS FINANCEIRAS</v>
      </c>
      <c r="K637" s="77" t="str">
        <f>IFERROR(VLOOKUP(DESPESAS[[#This Row],[Plano de Contas]],BASE!$B$3:$H$119,5,FALSE),"")</f>
        <v>FINANCEIRO</v>
      </c>
      <c r="L637" s="77">
        <f>IFERROR(VLOOKUP(DESPESAS[[#This Row],[Plano de Contas]],BASE!$B$3:$H$119,6,FALSE),"")</f>
        <v>0</v>
      </c>
      <c r="M637" s="77" t="str">
        <f>VLOOKUP(DESPESAS[[#This Row],[Plano de Contas]],BASE!$B$3:$H$119,7,FALSE)</f>
        <v>LETÍCIA</v>
      </c>
    </row>
    <row r="638" spans="1:13" x14ac:dyDescent="0.25">
      <c r="A638" s="74">
        <v>197078</v>
      </c>
      <c r="B638" s="75" t="s">
        <v>686</v>
      </c>
      <c r="C638" s="75" t="s">
        <v>2893</v>
      </c>
      <c r="D638" s="76">
        <v>46066</v>
      </c>
      <c r="E638" s="75" t="s">
        <v>325</v>
      </c>
      <c r="F638" s="74">
        <v>8.9</v>
      </c>
      <c r="G638" s="75" t="s">
        <v>225</v>
      </c>
      <c r="H638" s="77" t="str">
        <f>VLOOKUP(DESPESAS[[#This Row],[Plano de Contas]],BASE!$B$3:$D$119,3,FALSE)</f>
        <v>Despesas de Outros Gastos Não Operacionais</v>
      </c>
      <c r="I638" s="77" t="str">
        <f>IFERROR(VLOOKUP(DESPESAS[[#This Row],[Fornecedor]],Tabela2[],2,FALSE),"")</f>
        <v/>
      </c>
      <c r="J638" s="77" t="str">
        <f>IFERROR(VLOOKUP(DESPESAS[[#This Row],[Plano de Contas]],BASE!$B$3:$F$119,4,FALSE),"")</f>
        <v>8 - DESPESAS FINANCEIRAS</v>
      </c>
      <c r="K638" s="77" t="str">
        <f>IFERROR(VLOOKUP(DESPESAS[[#This Row],[Plano de Contas]],BASE!$B$3:$H$119,5,FALSE),"")</f>
        <v>FINANCEIRO</v>
      </c>
      <c r="L638" s="77">
        <f>IFERROR(VLOOKUP(DESPESAS[[#This Row],[Plano de Contas]],BASE!$B$3:$H$119,6,FALSE),"")</f>
        <v>0</v>
      </c>
      <c r="M638" s="77" t="str">
        <f>VLOOKUP(DESPESAS[[#This Row],[Plano de Contas]],BASE!$B$3:$H$119,7,FALSE)</f>
        <v>LETÍCIA</v>
      </c>
    </row>
    <row r="639" spans="1:13" x14ac:dyDescent="0.25">
      <c r="A639" s="74">
        <v>197079</v>
      </c>
      <c r="B639" s="75" t="s">
        <v>686</v>
      </c>
      <c r="C639" s="75" t="s">
        <v>2892</v>
      </c>
      <c r="D639" s="76">
        <v>46094</v>
      </c>
      <c r="E639" s="75" t="s">
        <v>325</v>
      </c>
      <c r="F639" s="74">
        <v>8.9</v>
      </c>
      <c r="G639" s="75" t="s">
        <v>225</v>
      </c>
      <c r="H639" s="77" t="str">
        <f>VLOOKUP(DESPESAS[[#This Row],[Plano de Contas]],BASE!$B$3:$D$119,3,FALSE)</f>
        <v>Despesas de Outros Gastos Não Operacionais</v>
      </c>
      <c r="I639" s="77" t="str">
        <f>IFERROR(VLOOKUP(DESPESAS[[#This Row],[Fornecedor]],Tabela2[],2,FALSE),"")</f>
        <v/>
      </c>
      <c r="J639" s="77" t="str">
        <f>IFERROR(VLOOKUP(DESPESAS[[#This Row],[Plano de Contas]],BASE!$B$3:$F$119,4,FALSE),"")</f>
        <v>8 - DESPESAS FINANCEIRAS</v>
      </c>
      <c r="K639" s="77" t="str">
        <f>IFERROR(VLOOKUP(DESPESAS[[#This Row],[Plano de Contas]],BASE!$B$3:$H$119,5,FALSE),"")</f>
        <v>FINANCEIRO</v>
      </c>
      <c r="L639" s="77">
        <f>IFERROR(VLOOKUP(DESPESAS[[#This Row],[Plano de Contas]],BASE!$B$3:$H$119,6,FALSE),"")</f>
        <v>0</v>
      </c>
      <c r="M639" s="77" t="str">
        <f>VLOOKUP(DESPESAS[[#This Row],[Plano de Contas]],BASE!$B$3:$H$119,7,FALSE)</f>
        <v>LETÍCIA</v>
      </c>
    </row>
    <row r="640" spans="1:13" x14ac:dyDescent="0.25">
      <c r="A640" s="74">
        <v>197080</v>
      </c>
      <c r="B640" s="75" t="s">
        <v>686</v>
      </c>
      <c r="C640" s="75" t="s">
        <v>2891</v>
      </c>
      <c r="D640" s="76">
        <v>46125</v>
      </c>
      <c r="E640" s="75" t="s">
        <v>325</v>
      </c>
      <c r="F640" s="74">
        <v>8.9</v>
      </c>
      <c r="G640" s="75" t="s">
        <v>225</v>
      </c>
      <c r="H640" s="77" t="str">
        <f>VLOOKUP(DESPESAS[[#This Row],[Plano de Contas]],BASE!$B$3:$D$119,3,FALSE)</f>
        <v>Despesas de Outros Gastos Não Operacionais</v>
      </c>
      <c r="I640" s="77" t="str">
        <f>IFERROR(VLOOKUP(DESPESAS[[#This Row],[Fornecedor]],Tabela2[],2,FALSE),"")</f>
        <v/>
      </c>
      <c r="J640" s="77" t="str">
        <f>IFERROR(VLOOKUP(DESPESAS[[#This Row],[Plano de Contas]],BASE!$B$3:$F$119,4,FALSE),"")</f>
        <v>8 - DESPESAS FINANCEIRAS</v>
      </c>
      <c r="K640" s="77" t="str">
        <f>IFERROR(VLOOKUP(DESPESAS[[#This Row],[Plano de Contas]],BASE!$B$3:$H$119,5,FALSE),"")</f>
        <v>FINANCEIRO</v>
      </c>
      <c r="L640" s="77">
        <f>IFERROR(VLOOKUP(DESPESAS[[#This Row],[Plano de Contas]],BASE!$B$3:$H$119,6,FALSE),"")</f>
        <v>0</v>
      </c>
      <c r="M640" s="77" t="str">
        <f>VLOOKUP(DESPESAS[[#This Row],[Plano de Contas]],BASE!$B$3:$H$119,7,FALSE)</f>
        <v>LETÍCIA</v>
      </c>
    </row>
    <row r="641" spans="1:13" x14ac:dyDescent="0.25">
      <c r="A641" s="74">
        <v>197089</v>
      </c>
      <c r="B641" s="75" t="s">
        <v>686</v>
      </c>
      <c r="C641" s="75" t="s">
        <v>2889</v>
      </c>
      <c r="D641" s="76">
        <v>46037</v>
      </c>
      <c r="E641" s="75" t="s">
        <v>325</v>
      </c>
      <c r="F641" s="74">
        <v>604.49</v>
      </c>
      <c r="G641" s="75" t="s">
        <v>854</v>
      </c>
      <c r="H641" s="77" t="str">
        <f>VLOOKUP(DESPESAS[[#This Row],[Plano de Contas]],BASE!$B$3:$D$119,3,FALSE)</f>
        <v>Confraternização</v>
      </c>
      <c r="I641" s="77" t="str">
        <f>IFERROR(VLOOKUP(DESPESAS[[#This Row],[Fornecedor]],Tabela2[],2,FALSE),"")</f>
        <v/>
      </c>
      <c r="J641" s="77" t="str">
        <f>IFERROR(VLOOKUP(DESPESAS[[#This Row],[Plano de Contas]],BASE!$B$3:$F$119,4,FALSE),"")</f>
        <v>4 - GASTOS COM PESSOAL</v>
      </c>
      <c r="K641" s="77" t="str">
        <f>IFERROR(VLOOKUP(DESPESAS[[#This Row],[Plano de Contas]],BASE!$B$3:$H$119,5,FALSE),"")</f>
        <v>DH</v>
      </c>
      <c r="L641" s="77">
        <f>IFERROR(VLOOKUP(DESPESAS[[#This Row],[Plano de Contas]],BASE!$B$3:$H$119,6,FALSE),"")</f>
        <v>0</v>
      </c>
      <c r="M641" s="77" t="str">
        <f>VLOOKUP(DESPESAS[[#This Row],[Plano de Contas]],BASE!$B$3:$H$119,7,FALSE)</f>
        <v>MYLENA</v>
      </c>
    </row>
    <row r="642" spans="1:13" x14ac:dyDescent="0.25">
      <c r="A642" s="74">
        <v>197092</v>
      </c>
      <c r="B642" s="75" t="s">
        <v>232</v>
      </c>
      <c r="C642" s="75" t="s">
        <v>2888</v>
      </c>
      <c r="D642" s="76">
        <v>46037</v>
      </c>
      <c r="E642" s="75" t="s">
        <v>566</v>
      </c>
      <c r="F642" s="74">
        <v>500.86</v>
      </c>
      <c r="G642" s="75" t="s">
        <v>561</v>
      </c>
      <c r="H642" s="77" t="str">
        <f>VLOOKUP(DESPESAS[[#This Row],[Plano de Contas]],BASE!$B$3:$D$119,3,FALSE)</f>
        <v>Sistemas de Informação</v>
      </c>
      <c r="I642" s="77" t="str">
        <f>IFERROR(VLOOKUP(DESPESAS[[#This Row],[Fornecedor]],Tabela2[],2,FALSE),"")</f>
        <v>TOPSOLID</v>
      </c>
      <c r="J642" s="77" t="str">
        <f>IFERROR(VLOOKUP(DESPESAS[[#This Row],[Plano de Contas]],BASE!$B$3:$F$119,4,FALSE),"")</f>
        <v>7 - SERVIÇOS DE TERCEIROS</v>
      </c>
      <c r="K642" s="77" t="str">
        <f>IFERROR(VLOOKUP(DESPESAS[[#This Row],[Plano de Contas]],BASE!$B$3:$H$119,5,FALSE),"")</f>
        <v>MANUTENÇÃO / TI</v>
      </c>
      <c r="L642" s="77">
        <f>IFERROR(VLOOKUP(DESPESAS[[#This Row],[Plano de Contas]],BASE!$B$3:$H$119,6,FALSE),"")</f>
        <v>0</v>
      </c>
      <c r="M642" s="77" t="str">
        <f>VLOOKUP(DESPESAS[[#This Row],[Plano de Contas]],BASE!$B$3:$H$119,7,FALSE)</f>
        <v>LETÍCIA</v>
      </c>
    </row>
    <row r="643" spans="1:13" x14ac:dyDescent="0.25">
      <c r="A643" s="74">
        <v>197093</v>
      </c>
      <c r="B643" s="75" t="s">
        <v>221</v>
      </c>
      <c r="C643" s="75" t="s">
        <v>2887</v>
      </c>
      <c r="D643" s="76">
        <v>46037</v>
      </c>
      <c r="E643" s="75" t="s">
        <v>2270</v>
      </c>
      <c r="F643" s="74">
        <v>40.25</v>
      </c>
      <c r="G643" s="75" t="s">
        <v>1318</v>
      </c>
      <c r="H643" s="77" t="str">
        <f>VLOOKUP(DESPESAS[[#This Row],[Plano de Contas]],BASE!$B$3:$D$119,3,FALSE)</f>
        <v>Feiras e Eventos</v>
      </c>
      <c r="I643" s="77" t="str">
        <f>IFERROR(VLOOKUP(DESPESAS[[#This Row],[Fornecedor]],Tabela2[],2,FALSE),"")</f>
        <v>SERVIÇOS FRETE</v>
      </c>
      <c r="J643" s="77" t="str">
        <f>IFERROR(VLOOKUP(DESPESAS[[#This Row],[Plano de Contas]],BASE!$B$3:$F$119,4,FALSE),"")</f>
        <v>6 - DESPESA COM VENDAS</v>
      </c>
      <c r="K643" s="77" t="str">
        <f>IFERROR(VLOOKUP(DESPESAS[[#This Row],[Plano de Contas]],BASE!$B$3:$H$119,5,FALSE),"")</f>
        <v>COMERCIAL</v>
      </c>
      <c r="L643" s="77">
        <f>IFERROR(VLOOKUP(DESPESAS[[#This Row],[Plano de Contas]],BASE!$B$3:$H$119,6,FALSE),"")</f>
        <v>0</v>
      </c>
      <c r="M643" s="77" t="str">
        <f>VLOOKUP(DESPESAS[[#This Row],[Plano de Contas]],BASE!$B$3:$H$119,7,FALSE)</f>
        <v>THAIS</v>
      </c>
    </row>
    <row r="644" spans="1:13" x14ac:dyDescent="0.25">
      <c r="A644" s="74">
        <v>197094</v>
      </c>
      <c r="B644" s="75" t="s">
        <v>221</v>
      </c>
      <c r="C644" s="75" t="s">
        <v>2886</v>
      </c>
      <c r="D644" s="76">
        <v>46037</v>
      </c>
      <c r="E644" s="75" t="s">
        <v>338</v>
      </c>
      <c r="F644" s="74">
        <v>40</v>
      </c>
      <c r="G644" s="75" t="s">
        <v>244</v>
      </c>
      <c r="H644" s="77" t="str">
        <f>VLOOKUP(DESPESAS[[#This Row],[Plano de Contas]],BASE!$B$3:$D$119,3,FALSE)</f>
        <v>Material de Expediente (Prod)</v>
      </c>
      <c r="I644" s="77" t="str">
        <f>IFERROR(VLOOKUP(DESPESAS[[#This Row],[Fornecedor]],Tabela2[],2,FALSE),"")</f>
        <v/>
      </c>
      <c r="J644" s="77" t="str">
        <f>IFERROR(VLOOKUP(DESPESAS[[#This Row],[Plano de Contas]],BASE!$B$3:$F$119,4,FALSE),"")</f>
        <v>2 - CUSTOS DIRETOS</v>
      </c>
      <c r="K644" s="77" t="str">
        <f>IFERROR(VLOOKUP(DESPESAS[[#This Row],[Plano de Contas]],BASE!$B$3:$H$119,5,FALSE),"")</f>
        <v>PRODUÇÃO</v>
      </c>
      <c r="L644" s="77">
        <f>IFERROR(VLOOKUP(DESPESAS[[#This Row],[Plano de Contas]],BASE!$B$3:$H$119,6,FALSE),"")</f>
        <v>0</v>
      </c>
      <c r="M644" s="77" t="str">
        <f>VLOOKUP(DESPESAS[[#This Row],[Plano de Contas]],BASE!$B$3:$H$119,7,FALSE)</f>
        <v>RAFAEL</v>
      </c>
    </row>
    <row r="645" spans="1:13" x14ac:dyDescent="0.25">
      <c r="A645" s="74">
        <v>197103</v>
      </c>
      <c r="B645" s="75" t="s">
        <v>281</v>
      </c>
      <c r="C645" s="75" t="s">
        <v>2885</v>
      </c>
      <c r="D645" s="76">
        <v>46035</v>
      </c>
      <c r="E645" s="75" t="s">
        <v>361</v>
      </c>
      <c r="F645" s="74">
        <v>53.89</v>
      </c>
      <c r="G645" s="75" t="s">
        <v>259</v>
      </c>
      <c r="H645" s="77" t="str">
        <f>VLOOKUP(DESPESAS[[#This Row],[Plano de Contas]],BASE!$B$3:$D$119,3,FALSE)</f>
        <v>Manutenção Predial CIF</v>
      </c>
      <c r="I645" s="77" t="str">
        <f>IFERROR(VLOOKUP(DESPESAS[[#This Row],[Fornecedor]],Tabela2[],2,FALSE),"")</f>
        <v/>
      </c>
      <c r="J645" s="77" t="str">
        <f>IFERROR(VLOOKUP(DESPESAS[[#This Row],[Plano de Contas]],BASE!$B$3:$F$119,4,FALSE),"")</f>
        <v>3 - CUSTOS INDIRETOS</v>
      </c>
      <c r="K645" s="77" t="str">
        <f>IFERROR(VLOOKUP(DESPESAS[[#This Row],[Plano de Contas]],BASE!$B$3:$H$119,5,FALSE),"")</f>
        <v>MANUTENÇÃO / TI</v>
      </c>
      <c r="L645" s="77">
        <f>IFERROR(VLOOKUP(DESPESAS[[#This Row],[Plano de Contas]],BASE!$B$3:$H$119,6,FALSE),"")</f>
        <v>0</v>
      </c>
      <c r="M645" s="77" t="str">
        <f>VLOOKUP(DESPESAS[[#This Row],[Plano de Contas]],BASE!$B$3:$H$119,7,FALSE)</f>
        <v>FÁBIO</v>
      </c>
    </row>
    <row r="646" spans="1:13" x14ac:dyDescent="0.25">
      <c r="A646" s="74">
        <v>197104</v>
      </c>
      <c r="B646" s="75" t="s">
        <v>281</v>
      </c>
      <c r="C646" s="75" t="s">
        <v>2884</v>
      </c>
      <c r="D646" s="76">
        <v>46066</v>
      </c>
      <c r="E646" s="75" t="s">
        <v>361</v>
      </c>
      <c r="F646" s="74">
        <v>53.89</v>
      </c>
      <c r="G646" s="75" t="s">
        <v>259</v>
      </c>
      <c r="H646" s="77" t="str">
        <f>VLOOKUP(DESPESAS[[#This Row],[Plano de Contas]],BASE!$B$3:$D$119,3,FALSE)</f>
        <v>Manutenção Predial CIF</v>
      </c>
      <c r="I646" s="77" t="str">
        <f>IFERROR(VLOOKUP(DESPESAS[[#This Row],[Fornecedor]],Tabela2[],2,FALSE),"")</f>
        <v/>
      </c>
      <c r="J646" s="77" t="str">
        <f>IFERROR(VLOOKUP(DESPESAS[[#This Row],[Plano de Contas]],BASE!$B$3:$F$119,4,FALSE),"")</f>
        <v>3 - CUSTOS INDIRETOS</v>
      </c>
      <c r="K646" s="77" t="str">
        <f>IFERROR(VLOOKUP(DESPESAS[[#This Row],[Plano de Contas]],BASE!$B$3:$H$119,5,FALSE),"")</f>
        <v>MANUTENÇÃO / TI</v>
      </c>
      <c r="L646" s="77">
        <f>IFERROR(VLOOKUP(DESPESAS[[#This Row],[Plano de Contas]],BASE!$B$3:$H$119,6,FALSE),"")</f>
        <v>0</v>
      </c>
      <c r="M646" s="77" t="str">
        <f>VLOOKUP(DESPESAS[[#This Row],[Plano de Contas]],BASE!$B$3:$H$119,7,FALSE)</f>
        <v>FÁBIO</v>
      </c>
    </row>
    <row r="647" spans="1:13" x14ac:dyDescent="0.25">
      <c r="A647" s="74">
        <v>197105</v>
      </c>
      <c r="B647" s="75" t="s">
        <v>281</v>
      </c>
      <c r="C647" s="75" t="s">
        <v>2883</v>
      </c>
      <c r="D647" s="76">
        <v>46094</v>
      </c>
      <c r="E647" s="75" t="s">
        <v>361</v>
      </c>
      <c r="F647" s="74">
        <v>53.89</v>
      </c>
      <c r="G647" s="75" t="s">
        <v>259</v>
      </c>
      <c r="H647" s="77" t="str">
        <f>VLOOKUP(DESPESAS[[#This Row],[Plano de Contas]],BASE!$B$3:$D$119,3,FALSE)</f>
        <v>Manutenção Predial CIF</v>
      </c>
      <c r="I647" s="77" t="str">
        <f>IFERROR(VLOOKUP(DESPESAS[[#This Row],[Fornecedor]],Tabela2[],2,FALSE),"")</f>
        <v/>
      </c>
      <c r="J647" s="77" t="str">
        <f>IFERROR(VLOOKUP(DESPESAS[[#This Row],[Plano de Contas]],BASE!$B$3:$F$119,4,FALSE),"")</f>
        <v>3 - CUSTOS INDIRETOS</v>
      </c>
      <c r="K647" s="77" t="str">
        <f>IFERROR(VLOOKUP(DESPESAS[[#This Row],[Plano de Contas]],BASE!$B$3:$H$119,5,FALSE),"")</f>
        <v>MANUTENÇÃO / TI</v>
      </c>
      <c r="L647" s="77">
        <f>IFERROR(VLOOKUP(DESPESAS[[#This Row],[Plano de Contas]],BASE!$B$3:$H$119,6,FALSE),"")</f>
        <v>0</v>
      </c>
      <c r="M647" s="77" t="str">
        <f>VLOOKUP(DESPESAS[[#This Row],[Plano de Contas]],BASE!$B$3:$H$119,7,FALSE)</f>
        <v>FÁBIO</v>
      </c>
    </row>
    <row r="648" spans="1:13" x14ac:dyDescent="0.25">
      <c r="A648" s="74">
        <v>197106</v>
      </c>
      <c r="B648" s="75" t="s">
        <v>281</v>
      </c>
      <c r="C648" s="75" t="s">
        <v>2882</v>
      </c>
      <c r="D648" s="76">
        <v>46125</v>
      </c>
      <c r="E648" s="75" t="s">
        <v>361</v>
      </c>
      <c r="F648" s="74">
        <v>53.89</v>
      </c>
      <c r="G648" s="75" t="s">
        <v>259</v>
      </c>
      <c r="H648" s="77" t="str">
        <f>VLOOKUP(DESPESAS[[#This Row],[Plano de Contas]],BASE!$B$3:$D$119,3,FALSE)</f>
        <v>Manutenção Predial CIF</v>
      </c>
      <c r="I648" s="77" t="str">
        <f>IFERROR(VLOOKUP(DESPESAS[[#This Row],[Fornecedor]],Tabela2[],2,FALSE),"")</f>
        <v/>
      </c>
      <c r="J648" s="77" t="str">
        <f>IFERROR(VLOOKUP(DESPESAS[[#This Row],[Plano de Contas]],BASE!$B$3:$F$119,4,FALSE),"")</f>
        <v>3 - CUSTOS INDIRETOS</v>
      </c>
      <c r="K648" s="77" t="str">
        <f>IFERROR(VLOOKUP(DESPESAS[[#This Row],[Plano de Contas]],BASE!$B$3:$H$119,5,FALSE),"")</f>
        <v>MANUTENÇÃO / TI</v>
      </c>
      <c r="L648" s="77">
        <f>IFERROR(VLOOKUP(DESPESAS[[#This Row],[Plano de Contas]],BASE!$B$3:$H$119,6,FALSE),"")</f>
        <v>0</v>
      </c>
      <c r="M648" s="77" t="str">
        <f>VLOOKUP(DESPESAS[[#This Row],[Plano de Contas]],BASE!$B$3:$H$119,7,FALSE)</f>
        <v>FÁBIO</v>
      </c>
    </row>
    <row r="649" spans="1:13" x14ac:dyDescent="0.25">
      <c r="A649" s="74">
        <v>197110</v>
      </c>
      <c r="B649" s="75" t="s">
        <v>232</v>
      </c>
      <c r="C649" s="75" t="s">
        <v>2172</v>
      </c>
      <c r="D649" s="76">
        <v>46037</v>
      </c>
      <c r="E649" s="75" t="s">
        <v>2881</v>
      </c>
      <c r="F649" s="74">
        <v>6211.6</v>
      </c>
      <c r="G649" s="75" t="s">
        <v>693</v>
      </c>
      <c r="H649" s="77" t="str">
        <f>VLOOKUP(DESPESAS[[#This Row],[Plano de Contas]],BASE!$B$3:$D$119,3,FALSE)</f>
        <v>Computadores e Periféricos</v>
      </c>
      <c r="I649" s="77" t="str">
        <f>IFERROR(VLOOKUP(DESPESAS[[#This Row],[Fornecedor]],Tabela2[],2,FALSE),"")</f>
        <v/>
      </c>
      <c r="J649" s="77" t="str">
        <f>IFERROR(VLOOKUP(DESPESAS[[#This Row],[Plano de Contas]],BASE!$B$3:$F$119,4,FALSE),"")</f>
        <v>9 - INVESTIMENTOS</v>
      </c>
      <c r="K649" s="77" t="str">
        <f>IFERROR(VLOOKUP(DESPESAS[[#This Row],[Plano de Contas]],BASE!$B$3:$H$119,5,FALSE),"")</f>
        <v>MANUTENÇÃO / TI</v>
      </c>
      <c r="L649" s="77">
        <f>IFERROR(VLOOKUP(DESPESAS[[#This Row],[Plano de Contas]],BASE!$B$3:$H$119,6,FALSE),"")</f>
        <v>0</v>
      </c>
      <c r="M649" s="77" t="str">
        <f>VLOOKUP(DESPESAS[[#This Row],[Plano de Contas]],BASE!$B$3:$H$119,7,FALSE)</f>
        <v>RAFAEL</v>
      </c>
    </row>
    <row r="650" spans="1:13" x14ac:dyDescent="0.25">
      <c r="A650" s="74">
        <v>197111</v>
      </c>
      <c r="B650" s="75" t="s">
        <v>232</v>
      </c>
      <c r="C650" s="75" t="s">
        <v>2880</v>
      </c>
      <c r="D650" s="76">
        <v>46038</v>
      </c>
      <c r="E650" s="75" t="s">
        <v>2879</v>
      </c>
      <c r="F650" s="74">
        <v>700</v>
      </c>
      <c r="G650" s="75" t="s">
        <v>247</v>
      </c>
      <c r="H650" s="77" t="str">
        <f>VLOOKUP(DESPESAS[[#This Row],[Plano de Contas]],BASE!$B$3:$D$119,3,FALSE)</f>
        <v>Manutenção com veiculos</v>
      </c>
      <c r="I650" s="77" t="str">
        <f>IFERROR(VLOOKUP(DESPESAS[[#This Row],[Fornecedor]],Tabela2[],2,FALSE),"")</f>
        <v/>
      </c>
      <c r="J650" s="77" t="str">
        <f>IFERROR(VLOOKUP(DESPESAS[[#This Row],[Plano de Contas]],BASE!$B$3:$F$119,4,FALSE),"")</f>
        <v>6 - DESPESA COM VENDAS</v>
      </c>
      <c r="K650" s="77" t="str">
        <f>IFERROR(VLOOKUP(DESPESAS[[#This Row],[Plano de Contas]],BASE!$B$3:$H$119,5,FALSE),"")</f>
        <v>LOGÍSTICA</v>
      </c>
      <c r="L650" s="77">
        <f>IFERROR(VLOOKUP(DESPESAS[[#This Row],[Plano de Contas]],BASE!$B$3:$H$119,6,FALSE),"")</f>
        <v>0</v>
      </c>
      <c r="M650" s="77" t="str">
        <f>VLOOKUP(DESPESAS[[#This Row],[Plano de Contas]],BASE!$B$3:$H$119,7,FALSE)</f>
        <v>MYLENA</v>
      </c>
    </row>
    <row r="651" spans="1:13" x14ac:dyDescent="0.25">
      <c r="A651" s="74">
        <v>197112</v>
      </c>
      <c r="B651" s="75" t="s">
        <v>232</v>
      </c>
      <c r="C651" s="75" t="s">
        <v>2878</v>
      </c>
      <c r="D651" s="76">
        <v>46038</v>
      </c>
      <c r="E651" s="75" t="s">
        <v>230</v>
      </c>
      <c r="F651" s="74">
        <v>23.88</v>
      </c>
      <c r="G651" s="75" t="s">
        <v>251</v>
      </c>
      <c r="H651" s="77" t="str">
        <f>VLOOKUP(DESPESAS[[#This Row],[Plano de Contas]],BASE!$B$3:$D$119,3,FALSE)</f>
        <v>Juros Pagos - Antecipação de Crédito</v>
      </c>
      <c r="I651" s="77" t="str">
        <f>IFERROR(VLOOKUP(DESPESAS[[#This Row],[Fornecedor]],Tabela2[],2,FALSE),"")</f>
        <v/>
      </c>
      <c r="J651" s="77" t="str">
        <f>IFERROR(VLOOKUP(DESPESAS[[#This Row],[Plano de Contas]],BASE!$B$3:$F$119,4,FALSE),"")</f>
        <v>8 - DESPESAS FINANCEIRAS</v>
      </c>
      <c r="K651" s="77" t="str">
        <f>IFERROR(VLOOKUP(DESPESAS[[#This Row],[Plano de Contas]],BASE!$B$3:$H$119,5,FALSE),"")</f>
        <v>FINANCEIRO</v>
      </c>
      <c r="L651" s="77">
        <f>IFERROR(VLOOKUP(DESPESAS[[#This Row],[Plano de Contas]],BASE!$B$3:$H$119,6,FALSE),"")</f>
        <v>0</v>
      </c>
      <c r="M651" s="77" t="str">
        <f>VLOOKUP(DESPESAS[[#This Row],[Plano de Contas]],BASE!$B$3:$H$119,7,FALSE)</f>
        <v>LETÍCIA</v>
      </c>
    </row>
    <row r="652" spans="1:13" x14ac:dyDescent="0.25">
      <c r="A652" s="74">
        <v>197113</v>
      </c>
      <c r="B652" s="75" t="s">
        <v>232</v>
      </c>
      <c r="C652" s="75" t="s">
        <v>2877</v>
      </c>
      <c r="D652" s="76">
        <v>46038</v>
      </c>
      <c r="E652" s="75" t="s">
        <v>230</v>
      </c>
      <c r="F652" s="74">
        <v>2.31</v>
      </c>
      <c r="G652" s="75" t="s">
        <v>251</v>
      </c>
      <c r="H652" s="77" t="str">
        <f>VLOOKUP(DESPESAS[[#This Row],[Plano de Contas]],BASE!$B$3:$D$119,3,FALSE)</f>
        <v>Juros Pagos - Antecipação de Crédito</v>
      </c>
      <c r="I652" s="77" t="str">
        <f>IFERROR(VLOOKUP(DESPESAS[[#This Row],[Fornecedor]],Tabela2[],2,FALSE),"")</f>
        <v/>
      </c>
      <c r="J652" s="77" t="str">
        <f>IFERROR(VLOOKUP(DESPESAS[[#This Row],[Plano de Contas]],BASE!$B$3:$F$119,4,FALSE),"")</f>
        <v>8 - DESPESAS FINANCEIRAS</v>
      </c>
      <c r="K652" s="77" t="str">
        <f>IFERROR(VLOOKUP(DESPESAS[[#This Row],[Plano de Contas]],BASE!$B$3:$H$119,5,FALSE),"")</f>
        <v>FINANCEIRO</v>
      </c>
      <c r="L652" s="77">
        <f>IFERROR(VLOOKUP(DESPESAS[[#This Row],[Plano de Contas]],BASE!$B$3:$H$119,6,FALSE),"")</f>
        <v>0</v>
      </c>
      <c r="M652" s="77" t="str">
        <f>VLOOKUP(DESPESAS[[#This Row],[Plano de Contas]],BASE!$B$3:$H$119,7,FALSE)</f>
        <v>LETÍCIA</v>
      </c>
    </row>
    <row r="653" spans="1:13" x14ac:dyDescent="0.25">
      <c r="A653" s="74">
        <v>197114</v>
      </c>
      <c r="B653" s="75" t="s">
        <v>221</v>
      </c>
      <c r="C653" s="75" t="s">
        <v>2876</v>
      </c>
      <c r="D653" s="76">
        <v>46038</v>
      </c>
      <c r="E653" s="75" t="s">
        <v>2689</v>
      </c>
      <c r="F653" s="74">
        <v>42</v>
      </c>
      <c r="G653" s="75" t="s">
        <v>1037</v>
      </c>
      <c r="H653" s="77" t="str">
        <f>VLOOKUP(DESPESAS[[#This Row],[Plano de Contas]],BASE!$B$3:$D$119,3,FALSE)</f>
        <v>Construções e Reformas</v>
      </c>
      <c r="I653" s="77" t="str">
        <f>IFERROR(VLOOKUP(DESPESAS[[#This Row],[Fornecedor]],Tabela2[],2,FALSE),"")</f>
        <v/>
      </c>
      <c r="J653" s="77" t="str">
        <f>IFERROR(VLOOKUP(DESPESAS[[#This Row],[Plano de Contas]],BASE!$B$3:$F$119,4,FALSE),"")</f>
        <v>9 - INVESTIMENTOS</v>
      </c>
      <c r="K653" s="77" t="str">
        <f>IFERROR(VLOOKUP(DESPESAS[[#This Row],[Plano de Contas]],BASE!$B$3:$H$119,5,FALSE),"")</f>
        <v>MANUTENÇÃO / TI</v>
      </c>
      <c r="L653" s="77">
        <f>IFERROR(VLOOKUP(DESPESAS[[#This Row],[Plano de Contas]],BASE!$B$3:$H$119,6,FALSE),"")</f>
        <v>0</v>
      </c>
      <c r="M653" s="77" t="str">
        <f>VLOOKUP(DESPESAS[[#This Row],[Plano de Contas]],BASE!$B$3:$H$119,7,FALSE)</f>
        <v>FÁBIO</v>
      </c>
    </row>
    <row r="654" spans="1:13" x14ac:dyDescent="0.25">
      <c r="A654" s="74">
        <v>197115</v>
      </c>
      <c r="B654" s="75" t="s">
        <v>232</v>
      </c>
      <c r="C654" s="75" t="s">
        <v>2875</v>
      </c>
      <c r="D654" s="76">
        <v>46037</v>
      </c>
      <c r="E654" s="75" t="s">
        <v>230</v>
      </c>
      <c r="F654" s="74">
        <v>17.38</v>
      </c>
      <c r="G654" s="75" t="s">
        <v>251</v>
      </c>
      <c r="H654" s="77" t="str">
        <f>VLOOKUP(DESPESAS[[#This Row],[Plano de Contas]],BASE!$B$3:$D$119,3,FALSE)</f>
        <v>Juros Pagos - Antecipação de Crédito</v>
      </c>
      <c r="I654" s="77" t="str">
        <f>IFERROR(VLOOKUP(DESPESAS[[#This Row],[Fornecedor]],Tabela2[],2,FALSE),"")</f>
        <v/>
      </c>
      <c r="J654" s="77" t="str">
        <f>IFERROR(VLOOKUP(DESPESAS[[#This Row],[Plano de Contas]],BASE!$B$3:$F$119,4,FALSE),"")</f>
        <v>8 - DESPESAS FINANCEIRAS</v>
      </c>
      <c r="K654" s="77" t="str">
        <f>IFERROR(VLOOKUP(DESPESAS[[#This Row],[Plano de Contas]],BASE!$B$3:$H$119,5,FALSE),"")</f>
        <v>FINANCEIRO</v>
      </c>
      <c r="L654" s="77">
        <f>IFERROR(VLOOKUP(DESPESAS[[#This Row],[Plano de Contas]],BASE!$B$3:$H$119,6,FALSE),"")</f>
        <v>0</v>
      </c>
      <c r="M654" s="77" t="str">
        <f>VLOOKUP(DESPESAS[[#This Row],[Plano de Contas]],BASE!$B$3:$H$119,7,FALSE)</f>
        <v>LETÍCIA</v>
      </c>
    </row>
    <row r="655" spans="1:13" x14ac:dyDescent="0.25">
      <c r="A655" s="74">
        <v>197116</v>
      </c>
      <c r="B655" s="75" t="s">
        <v>232</v>
      </c>
      <c r="C655" s="75" t="s">
        <v>2874</v>
      </c>
      <c r="D655" s="76">
        <v>46038</v>
      </c>
      <c r="E655" s="75" t="s">
        <v>230</v>
      </c>
      <c r="F655" s="74">
        <v>1.58</v>
      </c>
      <c r="G655" s="75" t="s">
        <v>229</v>
      </c>
      <c r="H655" s="77" t="str">
        <f>VLOOKUP(DESPESAS[[#This Row],[Plano de Contas]],BASE!$B$3:$D$119,3,FALSE)</f>
        <v>Despesas Bancarias</v>
      </c>
      <c r="I655" s="77" t="str">
        <f>IFERROR(VLOOKUP(DESPESAS[[#This Row],[Fornecedor]],Tabela2[],2,FALSE),"")</f>
        <v/>
      </c>
      <c r="J655" s="77" t="str">
        <f>IFERROR(VLOOKUP(DESPESAS[[#This Row],[Plano de Contas]],BASE!$B$3:$F$119,4,FALSE),"")</f>
        <v>8 - DESPESAS FINANCEIRAS</v>
      </c>
      <c r="K655" s="77" t="str">
        <f>IFERROR(VLOOKUP(DESPESAS[[#This Row],[Plano de Contas]],BASE!$B$3:$H$119,5,FALSE),"")</f>
        <v>FINANCEIRO</v>
      </c>
      <c r="L655" s="77">
        <f>IFERROR(VLOOKUP(DESPESAS[[#This Row],[Plano de Contas]],BASE!$B$3:$H$119,6,FALSE),"")</f>
        <v>0</v>
      </c>
      <c r="M655" s="77" t="str">
        <f>VLOOKUP(DESPESAS[[#This Row],[Plano de Contas]],BASE!$B$3:$H$119,7,FALSE)</f>
        <v>LETÍCIA</v>
      </c>
    </row>
    <row r="656" spans="1:13" x14ac:dyDescent="0.25">
      <c r="A656" s="74">
        <v>197117</v>
      </c>
      <c r="B656" s="75" t="s">
        <v>221</v>
      </c>
      <c r="C656" s="75" t="s">
        <v>2873</v>
      </c>
      <c r="D656" s="76">
        <v>46038</v>
      </c>
      <c r="E656" s="75" t="s">
        <v>230</v>
      </c>
      <c r="F656" s="74">
        <v>9.5</v>
      </c>
      <c r="G656" s="75" t="s">
        <v>236</v>
      </c>
      <c r="H656" s="77" t="str">
        <f>VLOOKUP(DESPESAS[[#This Row],[Plano de Contas]],BASE!$B$3:$D$119,3,FALSE)</f>
        <v>Despesas de Cobranca</v>
      </c>
      <c r="I656" s="77" t="str">
        <f>IFERROR(VLOOKUP(DESPESAS[[#This Row],[Fornecedor]],Tabela2[],2,FALSE),"")</f>
        <v/>
      </c>
      <c r="J656" s="77" t="str">
        <f>IFERROR(VLOOKUP(DESPESAS[[#This Row],[Plano de Contas]],BASE!$B$3:$F$119,4,FALSE),"")</f>
        <v>8 - DESPESAS FINANCEIRAS</v>
      </c>
      <c r="K656" s="77" t="str">
        <f>IFERROR(VLOOKUP(DESPESAS[[#This Row],[Plano de Contas]],BASE!$B$3:$H$119,5,FALSE),"")</f>
        <v>FINANCEIRO</v>
      </c>
      <c r="L656" s="77">
        <f>IFERROR(VLOOKUP(DESPESAS[[#This Row],[Plano de Contas]],BASE!$B$3:$H$119,6,FALSE),"")</f>
        <v>0</v>
      </c>
      <c r="M656" s="77" t="str">
        <f>VLOOKUP(DESPESAS[[#This Row],[Plano de Contas]],BASE!$B$3:$H$119,7,FALSE)</f>
        <v>LETÍCIA</v>
      </c>
    </row>
    <row r="657" spans="1:13" x14ac:dyDescent="0.25">
      <c r="A657" s="74">
        <v>197118</v>
      </c>
      <c r="B657" s="75" t="s">
        <v>279</v>
      </c>
      <c r="C657" s="75" t="s">
        <v>2872</v>
      </c>
      <c r="D657" s="76">
        <v>46038</v>
      </c>
      <c r="E657" s="75" t="s">
        <v>230</v>
      </c>
      <c r="F657" s="74">
        <v>2.37</v>
      </c>
      <c r="G657" s="75" t="s">
        <v>229</v>
      </c>
      <c r="H657" s="77" t="str">
        <f>VLOOKUP(DESPESAS[[#This Row],[Plano de Contas]],BASE!$B$3:$D$119,3,FALSE)</f>
        <v>Despesas Bancarias</v>
      </c>
      <c r="I657" s="77" t="str">
        <f>IFERROR(VLOOKUP(DESPESAS[[#This Row],[Fornecedor]],Tabela2[],2,FALSE),"")</f>
        <v/>
      </c>
      <c r="J657" s="77" t="str">
        <f>IFERROR(VLOOKUP(DESPESAS[[#This Row],[Plano de Contas]],BASE!$B$3:$F$119,4,FALSE),"")</f>
        <v>8 - DESPESAS FINANCEIRAS</v>
      </c>
      <c r="K657" s="77" t="str">
        <f>IFERROR(VLOOKUP(DESPESAS[[#This Row],[Plano de Contas]],BASE!$B$3:$H$119,5,FALSE),"")</f>
        <v>FINANCEIRO</v>
      </c>
      <c r="L657" s="77">
        <f>IFERROR(VLOOKUP(DESPESAS[[#This Row],[Plano de Contas]],BASE!$B$3:$H$119,6,FALSE),"")</f>
        <v>0</v>
      </c>
      <c r="M657" s="77" t="str">
        <f>VLOOKUP(DESPESAS[[#This Row],[Plano de Contas]],BASE!$B$3:$H$119,7,FALSE)</f>
        <v>LETÍCIA</v>
      </c>
    </row>
    <row r="658" spans="1:13" x14ac:dyDescent="0.25">
      <c r="A658" s="74">
        <v>197119</v>
      </c>
      <c r="B658" s="75" t="s">
        <v>221</v>
      </c>
      <c r="C658" s="75" t="s">
        <v>2871</v>
      </c>
      <c r="D658" s="76">
        <v>46038</v>
      </c>
      <c r="E658" s="75" t="s">
        <v>219</v>
      </c>
      <c r="F658" s="74">
        <v>380</v>
      </c>
      <c r="G658" s="75" t="s">
        <v>218</v>
      </c>
      <c r="H658" s="77" t="str">
        <f>VLOOKUP(DESPESAS[[#This Row],[Plano de Contas]],BASE!$B$3:$D$119,3,FALSE)</f>
        <v>Manutenção de Equipamentos (Prod)</v>
      </c>
      <c r="I658" s="77" t="str">
        <f>IFERROR(VLOOKUP(DESPESAS[[#This Row],[Fornecedor]],Tabela2[],2,FALSE),"")</f>
        <v>MAQUINAS DE COSTURA</v>
      </c>
      <c r="J658" s="77" t="str">
        <f>IFERROR(VLOOKUP(DESPESAS[[#This Row],[Plano de Contas]],BASE!$B$3:$F$119,4,FALSE),"")</f>
        <v>3 - CUSTOS INDIRETOS</v>
      </c>
      <c r="K658" s="77" t="str">
        <f>IFERROR(VLOOKUP(DESPESAS[[#This Row],[Plano de Contas]],BASE!$B$3:$H$119,5,FALSE),"")</f>
        <v>MANUTENÇÃO / TI</v>
      </c>
      <c r="L658" s="77">
        <f>IFERROR(VLOOKUP(DESPESAS[[#This Row],[Plano de Contas]],BASE!$B$3:$H$119,6,FALSE),"")</f>
        <v>0</v>
      </c>
      <c r="M658" s="77" t="str">
        <f>VLOOKUP(DESPESAS[[#This Row],[Plano de Contas]],BASE!$B$3:$H$119,7,FALSE)</f>
        <v>RAFAEL</v>
      </c>
    </row>
    <row r="659" spans="1:13" x14ac:dyDescent="0.25">
      <c r="A659" s="74">
        <v>197120</v>
      </c>
      <c r="B659" s="75" t="s">
        <v>221</v>
      </c>
      <c r="C659" s="75" t="s">
        <v>2870</v>
      </c>
      <c r="D659" s="76">
        <v>46038</v>
      </c>
      <c r="E659" s="75" t="s">
        <v>219</v>
      </c>
      <c r="F659" s="74">
        <v>110</v>
      </c>
      <c r="G659" s="75" t="s">
        <v>218</v>
      </c>
      <c r="H659" s="77" t="str">
        <f>VLOOKUP(DESPESAS[[#This Row],[Plano de Contas]],BASE!$B$3:$D$119,3,FALSE)</f>
        <v>Manutenção de Equipamentos (Prod)</v>
      </c>
      <c r="I659" s="77" t="str">
        <f>IFERROR(VLOOKUP(DESPESAS[[#This Row],[Fornecedor]],Tabela2[],2,FALSE),"")</f>
        <v>MAQUINAS DE COSTURA</v>
      </c>
      <c r="J659" s="77" t="str">
        <f>IFERROR(VLOOKUP(DESPESAS[[#This Row],[Plano de Contas]],BASE!$B$3:$F$119,4,FALSE),"")</f>
        <v>3 - CUSTOS INDIRETOS</v>
      </c>
      <c r="K659" s="77" t="str">
        <f>IFERROR(VLOOKUP(DESPESAS[[#This Row],[Plano de Contas]],BASE!$B$3:$H$119,5,FALSE),"")</f>
        <v>MANUTENÇÃO / TI</v>
      </c>
      <c r="L659" s="77">
        <f>IFERROR(VLOOKUP(DESPESAS[[#This Row],[Plano de Contas]],BASE!$B$3:$H$119,6,FALSE),"")</f>
        <v>0</v>
      </c>
      <c r="M659" s="77" t="str">
        <f>VLOOKUP(DESPESAS[[#This Row],[Plano de Contas]],BASE!$B$3:$H$119,7,FALSE)</f>
        <v>RAFAEL</v>
      </c>
    </row>
    <row r="660" spans="1:13" x14ac:dyDescent="0.25">
      <c r="A660" s="74">
        <v>197121</v>
      </c>
      <c r="B660" s="75" t="s">
        <v>221</v>
      </c>
      <c r="C660" s="75" t="s">
        <v>2869</v>
      </c>
      <c r="D660" s="76">
        <v>46038</v>
      </c>
      <c r="E660" s="75" t="s">
        <v>219</v>
      </c>
      <c r="F660" s="74">
        <v>120</v>
      </c>
      <c r="G660" s="75" t="s">
        <v>218</v>
      </c>
      <c r="H660" s="77" t="str">
        <f>VLOOKUP(DESPESAS[[#This Row],[Plano de Contas]],BASE!$B$3:$D$119,3,FALSE)</f>
        <v>Manutenção de Equipamentos (Prod)</v>
      </c>
      <c r="I660" s="77" t="str">
        <f>IFERROR(VLOOKUP(DESPESAS[[#This Row],[Fornecedor]],Tabela2[],2,FALSE),"")</f>
        <v>MAQUINAS DE COSTURA</v>
      </c>
      <c r="J660" s="77" t="str">
        <f>IFERROR(VLOOKUP(DESPESAS[[#This Row],[Plano de Contas]],BASE!$B$3:$F$119,4,FALSE),"")</f>
        <v>3 - CUSTOS INDIRETOS</v>
      </c>
      <c r="K660" s="77" t="str">
        <f>IFERROR(VLOOKUP(DESPESAS[[#This Row],[Plano de Contas]],BASE!$B$3:$H$119,5,FALSE),"")</f>
        <v>MANUTENÇÃO / TI</v>
      </c>
      <c r="L660" s="77">
        <f>IFERROR(VLOOKUP(DESPESAS[[#This Row],[Plano de Contas]],BASE!$B$3:$H$119,6,FALSE),"")</f>
        <v>0</v>
      </c>
      <c r="M660" s="77" t="str">
        <f>VLOOKUP(DESPESAS[[#This Row],[Plano de Contas]],BASE!$B$3:$H$119,7,FALSE)</f>
        <v>RAFAEL</v>
      </c>
    </row>
    <row r="661" spans="1:13" x14ac:dyDescent="0.25">
      <c r="A661" s="74">
        <v>197122</v>
      </c>
      <c r="B661" s="75" t="s">
        <v>221</v>
      </c>
      <c r="C661" s="75" t="s">
        <v>2868</v>
      </c>
      <c r="D661" s="76">
        <v>46041</v>
      </c>
      <c r="E661" s="75" t="s">
        <v>2079</v>
      </c>
      <c r="F661" s="74">
        <v>4200</v>
      </c>
      <c r="G661" s="75" t="s">
        <v>326</v>
      </c>
      <c r="H661" s="77" t="str">
        <f>VLOOKUP(DESPESAS[[#This Row],[Plano de Contas]],BASE!$B$3:$D$119,3,FALSE)</f>
        <v>Frete sobre Compras</v>
      </c>
      <c r="I661" s="77" t="str">
        <f>IFERROR(VLOOKUP(DESPESAS[[#This Row],[Fornecedor]],Tabela2[],2,FALSE),"")</f>
        <v/>
      </c>
      <c r="J661" s="77" t="str">
        <f>IFERROR(VLOOKUP(DESPESAS[[#This Row],[Plano de Contas]],BASE!$B$3:$F$119,4,FALSE),"")</f>
        <v>1 - CPV</v>
      </c>
      <c r="K661" s="77" t="str">
        <f>IFERROR(VLOOKUP(DESPESAS[[#This Row],[Plano de Contas]],BASE!$B$3:$H$119,5,FALSE),"")</f>
        <v>COMPRAS</v>
      </c>
      <c r="L661" s="77">
        <f>IFERROR(VLOOKUP(DESPESAS[[#This Row],[Plano de Contas]],BASE!$B$3:$H$119,6,FALSE),"")</f>
        <v>0</v>
      </c>
      <c r="M661" s="77" t="str">
        <f>VLOOKUP(DESPESAS[[#This Row],[Plano de Contas]],BASE!$B$3:$H$119,7,FALSE)</f>
        <v>MYLENA</v>
      </c>
    </row>
    <row r="662" spans="1:13" x14ac:dyDescent="0.25">
      <c r="A662" s="74">
        <v>197123</v>
      </c>
      <c r="B662" s="75" t="s">
        <v>221</v>
      </c>
      <c r="C662" s="75" t="s">
        <v>2867</v>
      </c>
      <c r="D662" s="76">
        <v>46038</v>
      </c>
      <c r="E662" s="75" t="s">
        <v>1466</v>
      </c>
      <c r="F662" s="74">
        <v>175</v>
      </c>
      <c r="G662" s="75" t="s">
        <v>238</v>
      </c>
      <c r="H662" s="77" t="str">
        <f>VLOOKUP(DESPESAS[[#This Row],[Plano de Contas]],BASE!$B$3:$D$119,3,FALSE)</f>
        <v>Consultoria Comercial</v>
      </c>
      <c r="I662" s="77" t="str">
        <f>IFERROR(VLOOKUP(DESPESAS[[#This Row],[Fornecedor]],Tabela2[],2,FALSE),"")</f>
        <v/>
      </c>
      <c r="J662" s="77" t="str">
        <f>IFERROR(VLOOKUP(DESPESAS[[#This Row],[Plano de Contas]],BASE!$B$3:$F$119,4,FALSE),"")</f>
        <v>6 - DESPESA COM VENDAS</v>
      </c>
      <c r="K662" s="77" t="str">
        <f>IFERROR(VLOOKUP(DESPESAS[[#This Row],[Plano de Contas]],BASE!$B$3:$H$119,5,FALSE),"")</f>
        <v>COMERCIAL</v>
      </c>
      <c r="L662" s="77">
        <f>IFERROR(VLOOKUP(DESPESAS[[#This Row],[Plano de Contas]],BASE!$B$3:$H$119,6,FALSE),"")</f>
        <v>0</v>
      </c>
      <c r="M662" s="77" t="str">
        <f>VLOOKUP(DESPESAS[[#This Row],[Plano de Contas]],BASE!$B$3:$H$119,7,FALSE)</f>
        <v>LETÍCIA</v>
      </c>
    </row>
    <row r="663" spans="1:13" x14ac:dyDescent="0.25">
      <c r="A663" s="74">
        <v>197124</v>
      </c>
      <c r="B663" s="75" t="s">
        <v>221</v>
      </c>
      <c r="C663" s="75" t="s">
        <v>2866</v>
      </c>
      <c r="D663" s="76">
        <v>46038</v>
      </c>
      <c r="E663" s="75" t="s">
        <v>1466</v>
      </c>
      <c r="F663" s="74">
        <v>170</v>
      </c>
      <c r="G663" s="75" t="s">
        <v>324</v>
      </c>
      <c r="H663" s="77" t="str">
        <f>VLOOKUP(DESPESAS[[#This Row],[Plano de Contas]],BASE!$B$3:$D$119,3,FALSE)</f>
        <v>Cursos e Treinamentos CIF</v>
      </c>
      <c r="I663" s="77" t="str">
        <f>IFERROR(VLOOKUP(DESPESAS[[#This Row],[Fornecedor]],Tabela2[],2,FALSE),"")</f>
        <v/>
      </c>
      <c r="J663" s="77" t="str">
        <f>IFERROR(VLOOKUP(DESPESAS[[#This Row],[Plano de Contas]],BASE!$B$3:$F$119,4,FALSE),"")</f>
        <v>3 - CUSTOS INDIRETOS</v>
      </c>
      <c r="K663" s="77" t="str">
        <f>IFERROR(VLOOKUP(DESPESAS[[#This Row],[Plano de Contas]],BASE!$B$3:$H$119,5,FALSE),"")</f>
        <v>DH</v>
      </c>
      <c r="L663" s="77">
        <f>IFERROR(VLOOKUP(DESPESAS[[#This Row],[Plano de Contas]],BASE!$B$3:$H$119,6,FALSE),"")</f>
        <v>0</v>
      </c>
      <c r="M663" s="77" t="str">
        <f>VLOOKUP(DESPESAS[[#This Row],[Plano de Contas]],BASE!$B$3:$H$119,7,FALSE)</f>
        <v>FÁBIO</v>
      </c>
    </row>
    <row r="664" spans="1:13" x14ac:dyDescent="0.25">
      <c r="A664" s="74">
        <v>197126</v>
      </c>
      <c r="B664" s="75" t="s">
        <v>232</v>
      </c>
      <c r="C664" s="75" t="s">
        <v>2865</v>
      </c>
      <c r="D664" s="76">
        <v>46038</v>
      </c>
      <c r="E664" s="75" t="s">
        <v>2864</v>
      </c>
      <c r="F664" s="74">
        <v>1368</v>
      </c>
      <c r="G664" s="75" t="s">
        <v>2863</v>
      </c>
      <c r="H664" s="77" t="str">
        <f>VLOOKUP(DESPESAS[[#This Row],[Plano de Contas]],BASE!$B$3:$D$119,3,FALSE)</f>
        <v>Brindes</v>
      </c>
      <c r="I664" s="77" t="str">
        <f>IFERROR(VLOOKUP(DESPESAS[[#This Row],[Fornecedor]],Tabela2[],2,FALSE),"")</f>
        <v/>
      </c>
      <c r="J664" s="77" t="str">
        <f>IFERROR(VLOOKUP(DESPESAS[[#This Row],[Plano de Contas]],BASE!$B$3:$F$119,4,FALSE),"")</f>
        <v>6 - DESPESA COM VENDAS</v>
      </c>
      <c r="K664" s="77" t="str">
        <f>IFERROR(VLOOKUP(DESPESAS[[#This Row],[Plano de Contas]],BASE!$B$3:$H$119,5,FALSE),"")</f>
        <v>COMERCIAL</v>
      </c>
      <c r="L664" s="77">
        <f>IFERROR(VLOOKUP(DESPESAS[[#This Row],[Plano de Contas]],BASE!$B$3:$H$119,6,FALSE),"")</f>
        <v>0</v>
      </c>
      <c r="M664" s="77" t="str">
        <f>VLOOKUP(DESPESAS[[#This Row],[Plano de Contas]],BASE!$B$3:$H$119,7,FALSE)</f>
        <v>THAIS</v>
      </c>
    </row>
    <row r="665" spans="1:13" x14ac:dyDescent="0.25">
      <c r="A665" s="74">
        <v>197127</v>
      </c>
      <c r="B665" s="75" t="s">
        <v>221</v>
      </c>
      <c r="C665" s="75" t="s">
        <v>2862</v>
      </c>
      <c r="D665" s="76">
        <v>46038</v>
      </c>
      <c r="E665" s="75" t="s">
        <v>242</v>
      </c>
      <c r="F665" s="74">
        <v>165.77</v>
      </c>
      <c r="G665" s="75" t="s">
        <v>241</v>
      </c>
      <c r="H665" s="77" t="str">
        <f>VLOOKUP(DESPESAS[[#This Row],[Plano de Contas]],BASE!$B$3:$D$119,3,FALSE)</f>
        <v>Combustiveis Frota</v>
      </c>
      <c r="I665" s="77" t="str">
        <f>IFERROR(VLOOKUP(DESPESAS[[#This Row],[Fornecedor]],Tabela2[],2,FALSE),"")</f>
        <v/>
      </c>
      <c r="J665" s="77" t="str">
        <f>IFERROR(VLOOKUP(DESPESAS[[#This Row],[Plano de Contas]],BASE!$B$3:$F$119,4,FALSE),"")</f>
        <v>6 - DESPESA COM VENDAS</v>
      </c>
      <c r="K665" s="77" t="str">
        <f>IFERROR(VLOOKUP(DESPESAS[[#This Row],[Plano de Contas]],BASE!$B$3:$H$119,5,FALSE),"")</f>
        <v>LOGÍSTICA</v>
      </c>
      <c r="L665" s="77">
        <f>IFERROR(VLOOKUP(DESPESAS[[#This Row],[Plano de Contas]],BASE!$B$3:$H$119,6,FALSE),"")</f>
        <v>0</v>
      </c>
      <c r="M665" s="77" t="str">
        <f>VLOOKUP(DESPESAS[[#This Row],[Plano de Contas]],BASE!$B$3:$H$119,7,FALSE)</f>
        <v>MYLENA</v>
      </c>
    </row>
    <row r="666" spans="1:13" x14ac:dyDescent="0.25">
      <c r="A666" s="74">
        <v>197129</v>
      </c>
      <c r="B666" s="75" t="s">
        <v>232</v>
      </c>
      <c r="C666" s="75" t="s">
        <v>2861</v>
      </c>
      <c r="D666" s="76">
        <v>46038</v>
      </c>
      <c r="E666" s="75" t="s">
        <v>2860</v>
      </c>
      <c r="F666" s="74">
        <v>8556</v>
      </c>
      <c r="G666" s="75" t="s">
        <v>294</v>
      </c>
      <c r="H666" s="77" t="str">
        <f>VLOOKUP(DESPESAS[[#This Row],[Plano de Contas]],BASE!$B$3:$D$119,3,FALSE)</f>
        <v>Insumos de Clientes</v>
      </c>
      <c r="I666" s="77" t="str">
        <f>IFERROR(VLOOKUP(DESPESAS[[#This Row],[Fornecedor]],Tabela2[],2,FALSE),"")</f>
        <v/>
      </c>
      <c r="J666" s="77" t="str">
        <f>IFERROR(VLOOKUP(DESPESAS[[#This Row],[Plano de Contas]],BASE!$B$3:$F$119,4,FALSE),"")</f>
        <v>8 - DESPESAS FINANCEIRAS</v>
      </c>
      <c r="K666" s="77" t="str">
        <f>IFERROR(VLOOKUP(DESPESAS[[#This Row],[Plano de Contas]],BASE!$B$3:$H$119,5,FALSE),"")</f>
        <v>COMERCIAL</v>
      </c>
      <c r="L666" s="77">
        <f>IFERROR(VLOOKUP(DESPESAS[[#This Row],[Plano de Contas]],BASE!$B$3:$H$119,6,FALSE),"")</f>
        <v>0</v>
      </c>
      <c r="M666" s="77" t="str">
        <f>VLOOKUP(DESPESAS[[#This Row],[Plano de Contas]],BASE!$B$3:$H$119,7,FALSE)</f>
        <v>LETÍCIA</v>
      </c>
    </row>
    <row r="667" spans="1:13" x14ac:dyDescent="0.25">
      <c r="A667" s="74">
        <v>197130</v>
      </c>
      <c r="B667" s="75" t="s">
        <v>221</v>
      </c>
      <c r="C667" s="75" t="s">
        <v>2859</v>
      </c>
      <c r="D667" s="76">
        <v>46038</v>
      </c>
      <c r="E667" s="75" t="s">
        <v>2858</v>
      </c>
      <c r="F667" s="74">
        <v>760</v>
      </c>
      <c r="G667" s="75" t="s">
        <v>247</v>
      </c>
      <c r="H667" s="77" t="str">
        <f>VLOOKUP(DESPESAS[[#This Row],[Plano de Contas]],BASE!$B$3:$D$119,3,FALSE)</f>
        <v>Manutenção com veiculos</v>
      </c>
      <c r="I667" s="77" t="str">
        <f>IFERROR(VLOOKUP(DESPESAS[[#This Row],[Fornecedor]],Tabela2[],2,FALSE),"")</f>
        <v/>
      </c>
      <c r="J667" s="77" t="str">
        <f>IFERROR(VLOOKUP(DESPESAS[[#This Row],[Plano de Contas]],BASE!$B$3:$F$119,4,FALSE),"")</f>
        <v>6 - DESPESA COM VENDAS</v>
      </c>
      <c r="K667" s="77" t="str">
        <f>IFERROR(VLOOKUP(DESPESAS[[#This Row],[Plano de Contas]],BASE!$B$3:$H$119,5,FALSE),"")</f>
        <v>LOGÍSTICA</v>
      </c>
      <c r="L667" s="77">
        <f>IFERROR(VLOOKUP(DESPESAS[[#This Row],[Plano de Contas]],BASE!$B$3:$H$119,6,FALSE),"")</f>
        <v>0</v>
      </c>
      <c r="M667" s="77" t="str">
        <f>VLOOKUP(DESPESAS[[#This Row],[Plano de Contas]],BASE!$B$3:$H$119,7,FALSE)</f>
        <v>MYLENA</v>
      </c>
    </row>
    <row r="668" spans="1:13" x14ac:dyDescent="0.25">
      <c r="A668" s="74">
        <v>197131</v>
      </c>
      <c r="B668" s="75" t="s">
        <v>221</v>
      </c>
      <c r="C668" s="75" t="s">
        <v>2857</v>
      </c>
      <c r="D668" s="76">
        <v>46038</v>
      </c>
      <c r="E668" s="75" t="s">
        <v>320</v>
      </c>
      <c r="F668" s="74">
        <v>110</v>
      </c>
      <c r="G668" s="75" t="s">
        <v>222</v>
      </c>
      <c r="H668" s="77" t="str">
        <f>VLOOKUP(DESPESAS[[#This Row],[Plano de Contas]],BASE!$B$3:$D$119,3,FALSE)</f>
        <v>Alimentação</v>
      </c>
      <c r="I668" s="77" t="str">
        <f>IFERROR(VLOOKUP(DESPESAS[[#This Row],[Fornecedor]],Tabela2[],2,FALSE),"")</f>
        <v/>
      </c>
      <c r="J668" s="77" t="str">
        <f>IFERROR(VLOOKUP(DESPESAS[[#This Row],[Plano de Contas]],BASE!$B$3:$F$119,4,FALSE),"")</f>
        <v>5 - DESPESAS ADMINISTRATIVAS</v>
      </c>
      <c r="K668" s="77" t="str">
        <f>IFERROR(VLOOKUP(DESPESAS[[#This Row],[Plano de Contas]],BASE!$B$3:$H$119,5,FALSE),"")</f>
        <v>FINANCEIRO</v>
      </c>
      <c r="L668" s="77">
        <f>IFERROR(VLOOKUP(DESPESAS[[#This Row],[Plano de Contas]],BASE!$B$3:$H$119,6,FALSE),"")</f>
        <v>0</v>
      </c>
      <c r="M668" s="77" t="str">
        <f>VLOOKUP(DESPESAS[[#This Row],[Plano de Contas]],BASE!$B$3:$H$119,7,FALSE)</f>
        <v>MYLENA</v>
      </c>
    </row>
    <row r="669" spans="1:13" x14ac:dyDescent="0.25">
      <c r="A669" s="74">
        <v>197132</v>
      </c>
      <c r="B669" s="75" t="s">
        <v>221</v>
      </c>
      <c r="C669" s="75" t="s">
        <v>2856</v>
      </c>
      <c r="D669" s="76">
        <v>46037</v>
      </c>
      <c r="E669" s="75" t="s">
        <v>320</v>
      </c>
      <c r="F669" s="74">
        <v>75</v>
      </c>
      <c r="G669" s="75" t="s">
        <v>222</v>
      </c>
      <c r="H669" s="77" t="str">
        <f>VLOOKUP(DESPESAS[[#This Row],[Plano de Contas]],BASE!$B$3:$D$119,3,FALSE)</f>
        <v>Alimentação</v>
      </c>
      <c r="I669" s="77" t="str">
        <f>IFERROR(VLOOKUP(DESPESAS[[#This Row],[Fornecedor]],Tabela2[],2,FALSE),"")</f>
        <v/>
      </c>
      <c r="J669" s="77" t="str">
        <f>IFERROR(VLOOKUP(DESPESAS[[#This Row],[Plano de Contas]],BASE!$B$3:$F$119,4,FALSE),"")</f>
        <v>5 - DESPESAS ADMINISTRATIVAS</v>
      </c>
      <c r="K669" s="77" t="str">
        <f>IFERROR(VLOOKUP(DESPESAS[[#This Row],[Plano de Contas]],BASE!$B$3:$H$119,5,FALSE),"")</f>
        <v>FINANCEIRO</v>
      </c>
      <c r="L669" s="77">
        <f>IFERROR(VLOOKUP(DESPESAS[[#This Row],[Plano de Contas]],BASE!$B$3:$H$119,6,FALSE),"")</f>
        <v>0</v>
      </c>
      <c r="M669" s="77" t="str">
        <f>VLOOKUP(DESPESAS[[#This Row],[Plano de Contas]],BASE!$B$3:$H$119,7,FALSE)</f>
        <v>MYLENA</v>
      </c>
    </row>
    <row r="670" spans="1:13" x14ac:dyDescent="0.25">
      <c r="A670" s="74">
        <v>197135</v>
      </c>
      <c r="B670" s="75" t="s">
        <v>232</v>
      </c>
      <c r="C670" s="75" t="s">
        <v>2855</v>
      </c>
      <c r="D670" s="76">
        <v>46038</v>
      </c>
      <c r="E670" s="75" t="s">
        <v>734</v>
      </c>
      <c r="F670" s="74">
        <v>1178</v>
      </c>
      <c r="G670" s="75" t="s">
        <v>241</v>
      </c>
      <c r="H670" s="77" t="str">
        <f>VLOOKUP(DESPESAS[[#This Row],[Plano de Contas]],BASE!$B$3:$D$119,3,FALSE)</f>
        <v>Combustiveis Frota</v>
      </c>
      <c r="I670" s="77" t="str">
        <f>IFERROR(VLOOKUP(DESPESAS[[#This Row],[Fornecedor]],Tabela2[],2,FALSE),"")</f>
        <v/>
      </c>
      <c r="J670" s="77" t="str">
        <f>IFERROR(VLOOKUP(DESPESAS[[#This Row],[Plano de Contas]],BASE!$B$3:$F$119,4,FALSE),"")</f>
        <v>6 - DESPESA COM VENDAS</v>
      </c>
      <c r="K670" s="77" t="str">
        <f>IFERROR(VLOOKUP(DESPESAS[[#This Row],[Plano de Contas]],BASE!$B$3:$H$119,5,FALSE),"")</f>
        <v>LOGÍSTICA</v>
      </c>
      <c r="L670" s="77">
        <f>IFERROR(VLOOKUP(DESPESAS[[#This Row],[Plano de Contas]],BASE!$B$3:$H$119,6,FALSE),"")</f>
        <v>0</v>
      </c>
      <c r="M670" s="77" t="str">
        <f>VLOOKUP(DESPESAS[[#This Row],[Plano de Contas]],BASE!$B$3:$H$119,7,FALSE)</f>
        <v>MYLENA</v>
      </c>
    </row>
    <row r="671" spans="1:13" x14ac:dyDescent="0.25">
      <c r="A671" s="74">
        <v>197136</v>
      </c>
      <c r="B671" s="75" t="s">
        <v>232</v>
      </c>
      <c r="C671" s="75" t="s">
        <v>2854</v>
      </c>
      <c r="D671" s="76">
        <v>46038</v>
      </c>
      <c r="E671" s="75" t="s">
        <v>2165</v>
      </c>
      <c r="F671" s="74">
        <v>12000</v>
      </c>
      <c r="G671" s="75" t="s">
        <v>561</v>
      </c>
      <c r="H671" s="77" t="str">
        <f>VLOOKUP(DESPESAS[[#This Row],[Plano de Contas]],BASE!$B$3:$D$119,3,FALSE)</f>
        <v>Sistemas de Informação</v>
      </c>
      <c r="I671" s="77" t="str">
        <f>IFERROR(VLOOKUP(DESPESAS[[#This Row],[Fornecedor]],Tabela2[],2,FALSE),"")</f>
        <v/>
      </c>
      <c r="J671" s="77" t="str">
        <f>IFERROR(VLOOKUP(DESPESAS[[#This Row],[Plano de Contas]],BASE!$B$3:$F$119,4,FALSE),"")</f>
        <v>7 - SERVIÇOS DE TERCEIROS</v>
      </c>
      <c r="K671" s="77" t="str">
        <f>IFERROR(VLOOKUP(DESPESAS[[#This Row],[Plano de Contas]],BASE!$B$3:$H$119,5,FALSE),"")</f>
        <v>MANUTENÇÃO / TI</v>
      </c>
      <c r="L671" s="77">
        <f>IFERROR(VLOOKUP(DESPESAS[[#This Row],[Plano de Contas]],BASE!$B$3:$H$119,6,FALSE),"")</f>
        <v>0</v>
      </c>
      <c r="M671" s="77" t="str">
        <f>VLOOKUP(DESPESAS[[#This Row],[Plano de Contas]],BASE!$B$3:$H$119,7,FALSE)</f>
        <v>LETÍCIA</v>
      </c>
    </row>
    <row r="672" spans="1:13" x14ac:dyDescent="0.25">
      <c r="A672" s="74">
        <v>197138</v>
      </c>
      <c r="B672" s="75" t="s">
        <v>232</v>
      </c>
      <c r="C672" s="75" t="s">
        <v>2853</v>
      </c>
      <c r="D672" s="76">
        <v>46038</v>
      </c>
      <c r="E672" s="75" t="s">
        <v>2852</v>
      </c>
      <c r="F672" s="74">
        <v>233.93</v>
      </c>
      <c r="G672" s="75" t="s">
        <v>1318</v>
      </c>
      <c r="H672" s="77" t="str">
        <f>VLOOKUP(DESPESAS[[#This Row],[Plano de Contas]],BASE!$B$3:$D$119,3,FALSE)</f>
        <v>Feiras e Eventos</v>
      </c>
      <c r="I672" s="77" t="str">
        <f>IFERROR(VLOOKUP(DESPESAS[[#This Row],[Fornecedor]],Tabela2[],2,FALSE),"")</f>
        <v/>
      </c>
      <c r="J672" s="77" t="str">
        <f>IFERROR(VLOOKUP(DESPESAS[[#This Row],[Plano de Contas]],BASE!$B$3:$F$119,4,FALSE),"")</f>
        <v>6 - DESPESA COM VENDAS</v>
      </c>
      <c r="K672" s="77" t="str">
        <f>IFERROR(VLOOKUP(DESPESAS[[#This Row],[Plano de Contas]],BASE!$B$3:$H$119,5,FALSE),"")</f>
        <v>COMERCIAL</v>
      </c>
      <c r="L672" s="77">
        <f>IFERROR(VLOOKUP(DESPESAS[[#This Row],[Plano de Contas]],BASE!$B$3:$H$119,6,FALSE),"")</f>
        <v>0</v>
      </c>
      <c r="M672" s="77" t="str">
        <f>VLOOKUP(DESPESAS[[#This Row],[Plano de Contas]],BASE!$B$3:$H$119,7,FALSE)</f>
        <v>THAIS</v>
      </c>
    </row>
    <row r="673" spans="1:13" x14ac:dyDescent="0.25">
      <c r="A673" s="74">
        <v>197151</v>
      </c>
      <c r="B673" s="75" t="s">
        <v>232</v>
      </c>
      <c r="C673" s="75" t="s">
        <v>2851</v>
      </c>
      <c r="D673" s="76">
        <v>46041</v>
      </c>
      <c r="E673" s="75" t="s">
        <v>774</v>
      </c>
      <c r="F673" s="74">
        <v>623.88</v>
      </c>
      <c r="G673" s="75" t="s">
        <v>1318</v>
      </c>
      <c r="H673" s="77" t="str">
        <f>VLOOKUP(DESPESAS[[#This Row],[Plano de Contas]],BASE!$B$3:$D$119,3,FALSE)</f>
        <v>Feiras e Eventos</v>
      </c>
      <c r="I673" s="77" t="str">
        <f>IFERROR(VLOOKUP(DESPESAS[[#This Row],[Fornecedor]],Tabela2[],2,FALSE),"")</f>
        <v/>
      </c>
      <c r="J673" s="77" t="str">
        <f>IFERROR(VLOOKUP(DESPESAS[[#This Row],[Plano de Contas]],BASE!$B$3:$F$119,4,FALSE),"")</f>
        <v>6 - DESPESA COM VENDAS</v>
      </c>
      <c r="K673" s="77" t="str">
        <f>IFERROR(VLOOKUP(DESPESAS[[#This Row],[Plano de Contas]],BASE!$B$3:$H$119,5,FALSE),"")</f>
        <v>COMERCIAL</v>
      </c>
      <c r="L673" s="77">
        <f>IFERROR(VLOOKUP(DESPESAS[[#This Row],[Plano de Contas]],BASE!$B$3:$H$119,6,FALSE),"")</f>
        <v>0</v>
      </c>
      <c r="M673" s="77" t="str">
        <f>VLOOKUP(DESPESAS[[#This Row],[Plano de Contas]],BASE!$B$3:$H$119,7,FALSE)</f>
        <v>THAIS</v>
      </c>
    </row>
    <row r="674" spans="1:13" x14ac:dyDescent="0.25">
      <c r="A674" s="74">
        <v>197152</v>
      </c>
      <c r="B674" s="75" t="s">
        <v>221</v>
      </c>
      <c r="C674" s="75" t="s">
        <v>2850</v>
      </c>
      <c r="D674" s="76">
        <v>46038</v>
      </c>
      <c r="E674" s="75" t="s">
        <v>230</v>
      </c>
      <c r="F674" s="74">
        <v>0.95</v>
      </c>
      <c r="G674" s="75" t="s">
        <v>229</v>
      </c>
      <c r="H674" s="77" t="str">
        <f>VLOOKUP(DESPESAS[[#This Row],[Plano de Contas]],BASE!$B$3:$D$119,3,FALSE)</f>
        <v>Despesas Bancarias</v>
      </c>
      <c r="I674" s="77" t="str">
        <f>IFERROR(VLOOKUP(DESPESAS[[#This Row],[Fornecedor]],Tabela2[],2,FALSE),"")</f>
        <v/>
      </c>
      <c r="J674" s="77" t="str">
        <f>IFERROR(VLOOKUP(DESPESAS[[#This Row],[Plano de Contas]],BASE!$B$3:$F$119,4,FALSE),"")</f>
        <v>8 - DESPESAS FINANCEIRAS</v>
      </c>
      <c r="K674" s="77" t="str">
        <f>IFERROR(VLOOKUP(DESPESAS[[#This Row],[Plano de Contas]],BASE!$B$3:$H$119,5,FALSE),"")</f>
        <v>FINANCEIRO</v>
      </c>
      <c r="L674" s="77">
        <f>IFERROR(VLOOKUP(DESPESAS[[#This Row],[Plano de Contas]],BASE!$B$3:$H$119,6,FALSE),"")</f>
        <v>0</v>
      </c>
      <c r="M674" s="77" t="str">
        <f>VLOOKUP(DESPESAS[[#This Row],[Plano de Contas]],BASE!$B$3:$H$119,7,FALSE)</f>
        <v>LETÍCIA</v>
      </c>
    </row>
    <row r="675" spans="1:13" x14ac:dyDescent="0.25">
      <c r="A675" s="74">
        <v>197153</v>
      </c>
      <c r="B675" s="75" t="s">
        <v>232</v>
      </c>
      <c r="C675" s="75" t="s">
        <v>2849</v>
      </c>
      <c r="D675" s="76">
        <v>46041</v>
      </c>
      <c r="E675" s="75" t="s">
        <v>774</v>
      </c>
      <c r="F675" s="74">
        <v>300</v>
      </c>
      <c r="G675" s="75" t="s">
        <v>1318</v>
      </c>
      <c r="H675" s="77" t="str">
        <f>VLOOKUP(DESPESAS[[#This Row],[Plano de Contas]],BASE!$B$3:$D$119,3,FALSE)</f>
        <v>Feiras e Eventos</v>
      </c>
      <c r="I675" s="77" t="str">
        <f>IFERROR(VLOOKUP(DESPESAS[[#This Row],[Fornecedor]],Tabela2[],2,FALSE),"")</f>
        <v/>
      </c>
      <c r="J675" s="77" t="str">
        <f>IFERROR(VLOOKUP(DESPESAS[[#This Row],[Plano de Contas]],BASE!$B$3:$F$119,4,FALSE),"")</f>
        <v>6 - DESPESA COM VENDAS</v>
      </c>
      <c r="K675" s="77" t="str">
        <f>IFERROR(VLOOKUP(DESPESAS[[#This Row],[Plano de Contas]],BASE!$B$3:$H$119,5,FALSE),"")</f>
        <v>COMERCIAL</v>
      </c>
      <c r="L675" s="77">
        <f>IFERROR(VLOOKUP(DESPESAS[[#This Row],[Plano de Contas]],BASE!$B$3:$H$119,6,FALSE),"")</f>
        <v>0</v>
      </c>
      <c r="M675" s="77" t="str">
        <f>VLOOKUP(DESPESAS[[#This Row],[Plano de Contas]],BASE!$B$3:$H$119,7,FALSE)</f>
        <v>THAIS</v>
      </c>
    </row>
    <row r="676" spans="1:13" x14ac:dyDescent="0.25">
      <c r="A676" s="74">
        <v>197154</v>
      </c>
      <c r="B676" s="75" t="s">
        <v>221</v>
      </c>
      <c r="C676" s="75" t="s">
        <v>2848</v>
      </c>
      <c r="D676" s="76">
        <v>46041</v>
      </c>
      <c r="E676" s="75" t="s">
        <v>338</v>
      </c>
      <c r="F676" s="74">
        <v>11</v>
      </c>
      <c r="G676" s="75" t="s">
        <v>337</v>
      </c>
      <c r="H676" s="77" t="str">
        <f>VLOOKUP(DESPESAS[[#This Row],[Plano de Contas]],BASE!$B$3:$D$119,3,FALSE)</f>
        <v>Vigilancia e Seguranca</v>
      </c>
      <c r="I676" s="77" t="str">
        <f>IFERROR(VLOOKUP(DESPESAS[[#This Row],[Fornecedor]],Tabela2[],2,FALSE),"")</f>
        <v/>
      </c>
      <c r="J676" s="77" t="str">
        <f>IFERROR(VLOOKUP(DESPESAS[[#This Row],[Plano de Contas]],BASE!$B$3:$F$119,4,FALSE),"")</f>
        <v>7 - SERVIÇOS DE TERCEIROS</v>
      </c>
      <c r="K676" s="77" t="str">
        <f>IFERROR(VLOOKUP(DESPESAS[[#This Row],[Plano de Contas]],BASE!$B$3:$H$119,5,FALSE),"")</f>
        <v>FINANCEIRO</v>
      </c>
      <c r="L676" s="77">
        <f>IFERROR(VLOOKUP(DESPESAS[[#This Row],[Plano de Contas]],BASE!$B$3:$H$119,6,FALSE),"")</f>
        <v>0</v>
      </c>
      <c r="M676" s="77" t="str">
        <f>VLOOKUP(DESPESAS[[#This Row],[Plano de Contas]],BASE!$B$3:$H$119,7,FALSE)</f>
        <v>LETÍCIA</v>
      </c>
    </row>
    <row r="677" spans="1:13" x14ac:dyDescent="0.25">
      <c r="A677" s="74">
        <v>197155</v>
      </c>
      <c r="B677" s="75" t="s">
        <v>221</v>
      </c>
      <c r="C677" s="75" t="s">
        <v>2847</v>
      </c>
      <c r="D677" s="76">
        <v>46041</v>
      </c>
      <c r="E677" s="75" t="s">
        <v>245</v>
      </c>
      <c r="F677" s="74">
        <v>35</v>
      </c>
      <c r="G677" s="75" t="s">
        <v>1318</v>
      </c>
      <c r="H677" s="77" t="str">
        <f>VLOOKUP(DESPESAS[[#This Row],[Plano de Contas]],BASE!$B$3:$D$119,3,FALSE)</f>
        <v>Feiras e Eventos</v>
      </c>
      <c r="I677" s="77" t="str">
        <f>IFERROR(VLOOKUP(DESPESAS[[#This Row],[Fornecedor]],Tabela2[],2,FALSE),"")</f>
        <v>FERRAGENS GERAIS</v>
      </c>
      <c r="J677" s="77" t="str">
        <f>IFERROR(VLOOKUP(DESPESAS[[#This Row],[Plano de Contas]],BASE!$B$3:$F$119,4,FALSE),"")</f>
        <v>6 - DESPESA COM VENDAS</v>
      </c>
      <c r="K677" s="77" t="str">
        <f>IFERROR(VLOOKUP(DESPESAS[[#This Row],[Plano de Contas]],BASE!$B$3:$H$119,5,FALSE),"")</f>
        <v>COMERCIAL</v>
      </c>
      <c r="L677" s="77">
        <f>IFERROR(VLOOKUP(DESPESAS[[#This Row],[Plano de Contas]],BASE!$B$3:$H$119,6,FALSE),"")</f>
        <v>0</v>
      </c>
      <c r="M677" s="77" t="str">
        <f>VLOOKUP(DESPESAS[[#This Row],[Plano de Contas]],BASE!$B$3:$H$119,7,FALSE)</f>
        <v>THAIS</v>
      </c>
    </row>
    <row r="678" spans="1:13" x14ac:dyDescent="0.25">
      <c r="A678" s="74">
        <v>197156</v>
      </c>
      <c r="B678" s="75" t="s">
        <v>232</v>
      </c>
      <c r="C678" s="75" t="s">
        <v>2846</v>
      </c>
      <c r="D678" s="76">
        <v>46038</v>
      </c>
      <c r="E678" s="75" t="s">
        <v>230</v>
      </c>
      <c r="F678" s="74">
        <v>140.99</v>
      </c>
      <c r="G678" s="75" t="s">
        <v>229</v>
      </c>
      <c r="H678" s="77" t="str">
        <f>VLOOKUP(DESPESAS[[#This Row],[Plano de Contas]],BASE!$B$3:$D$119,3,FALSE)</f>
        <v>Despesas Bancarias</v>
      </c>
      <c r="I678" s="77" t="str">
        <f>IFERROR(VLOOKUP(DESPESAS[[#This Row],[Fornecedor]],Tabela2[],2,FALSE),"")</f>
        <v/>
      </c>
      <c r="J678" s="77" t="str">
        <f>IFERROR(VLOOKUP(DESPESAS[[#This Row],[Plano de Contas]],BASE!$B$3:$F$119,4,FALSE),"")</f>
        <v>8 - DESPESAS FINANCEIRAS</v>
      </c>
      <c r="K678" s="77" t="str">
        <f>IFERROR(VLOOKUP(DESPESAS[[#This Row],[Plano de Contas]],BASE!$B$3:$H$119,5,FALSE),"")</f>
        <v>FINANCEIRO</v>
      </c>
      <c r="L678" s="77">
        <f>IFERROR(VLOOKUP(DESPESAS[[#This Row],[Plano de Contas]],BASE!$B$3:$H$119,6,FALSE),"")</f>
        <v>0</v>
      </c>
      <c r="M678" s="77" t="str">
        <f>VLOOKUP(DESPESAS[[#This Row],[Plano de Contas]],BASE!$B$3:$H$119,7,FALSE)</f>
        <v>LETÍCIA</v>
      </c>
    </row>
    <row r="679" spans="1:13" x14ac:dyDescent="0.25">
      <c r="A679" s="74">
        <v>197157</v>
      </c>
      <c r="B679" s="75" t="s">
        <v>232</v>
      </c>
      <c r="C679" s="75" t="s">
        <v>2845</v>
      </c>
      <c r="D679" s="76">
        <v>46038</v>
      </c>
      <c r="E679" s="75" t="s">
        <v>230</v>
      </c>
      <c r="F679" s="74">
        <v>133.91999999999999</v>
      </c>
      <c r="G679" s="75" t="s">
        <v>229</v>
      </c>
      <c r="H679" s="77" t="str">
        <f>VLOOKUP(DESPESAS[[#This Row],[Plano de Contas]],BASE!$B$3:$D$119,3,FALSE)</f>
        <v>Despesas Bancarias</v>
      </c>
      <c r="I679" s="77" t="str">
        <f>IFERROR(VLOOKUP(DESPESAS[[#This Row],[Fornecedor]],Tabela2[],2,FALSE),"")</f>
        <v/>
      </c>
      <c r="J679" s="77" t="str">
        <f>IFERROR(VLOOKUP(DESPESAS[[#This Row],[Plano de Contas]],BASE!$B$3:$F$119,4,FALSE),"")</f>
        <v>8 - DESPESAS FINANCEIRAS</v>
      </c>
      <c r="K679" s="77" t="str">
        <f>IFERROR(VLOOKUP(DESPESAS[[#This Row],[Plano de Contas]],BASE!$B$3:$H$119,5,FALSE),"")</f>
        <v>FINANCEIRO</v>
      </c>
      <c r="L679" s="77">
        <f>IFERROR(VLOOKUP(DESPESAS[[#This Row],[Plano de Contas]],BASE!$B$3:$H$119,6,FALSE),"")</f>
        <v>0</v>
      </c>
      <c r="M679" s="77" t="str">
        <f>VLOOKUP(DESPESAS[[#This Row],[Plano de Contas]],BASE!$B$3:$H$119,7,FALSE)</f>
        <v>LETÍCIA</v>
      </c>
    </row>
    <row r="680" spans="1:13" x14ac:dyDescent="0.25">
      <c r="A680" s="74">
        <v>197158</v>
      </c>
      <c r="B680" s="75" t="s">
        <v>232</v>
      </c>
      <c r="C680" s="75" t="s">
        <v>2844</v>
      </c>
      <c r="D680" s="76">
        <v>46038</v>
      </c>
      <c r="E680" s="75" t="s">
        <v>230</v>
      </c>
      <c r="F680" s="74">
        <v>842.64</v>
      </c>
      <c r="G680" s="75" t="s">
        <v>251</v>
      </c>
      <c r="H680" s="77" t="str">
        <f>VLOOKUP(DESPESAS[[#This Row],[Plano de Contas]],BASE!$B$3:$D$119,3,FALSE)</f>
        <v>Juros Pagos - Antecipação de Crédito</v>
      </c>
      <c r="I680" s="77" t="str">
        <f>IFERROR(VLOOKUP(DESPESAS[[#This Row],[Fornecedor]],Tabela2[],2,FALSE),"")</f>
        <v/>
      </c>
      <c r="J680" s="77" t="str">
        <f>IFERROR(VLOOKUP(DESPESAS[[#This Row],[Plano de Contas]],BASE!$B$3:$F$119,4,FALSE),"")</f>
        <v>8 - DESPESAS FINANCEIRAS</v>
      </c>
      <c r="K680" s="77" t="str">
        <f>IFERROR(VLOOKUP(DESPESAS[[#This Row],[Plano de Contas]],BASE!$B$3:$H$119,5,FALSE),"")</f>
        <v>FINANCEIRO</v>
      </c>
      <c r="L680" s="77">
        <f>IFERROR(VLOOKUP(DESPESAS[[#This Row],[Plano de Contas]],BASE!$B$3:$H$119,6,FALSE),"")</f>
        <v>0</v>
      </c>
      <c r="M680" s="77" t="str">
        <f>VLOOKUP(DESPESAS[[#This Row],[Plano de Contas]],BASE!$B$3:$H$119,7,FALSE)</f>
        <v>LETÍCIA</v>
      </c>
    </row>
    <row r="681" spans="1:13" x14ac:dyDescent="0.25">
      <c r="A681" s="74">
        <v>197159</v>
      </c>
      <c r="B681" s="75" t="s">
        <v>232</v>
      </c>
      <c r="C681" s="75" t="s">
        <v>2843</v>
      </c>
      <c r="D681" s="76">
        <v>46038</v>
      </c>
      <c r="E681" s="75" t="s">
        <v>230</v>
      </c>
      <c r="F681" s="74">
        <v>8.69</v>
      </c>
      <c r="G681" s="75" t="s">
        <v>229</v>
      </c>
      <c r="H681" s="77" t="str">
        <f>VLOOKUP(DESPESAS[[#This Row],[Plano de Contas]],BASE!$B$3:$D$119,3,FALSE)</f>
        <v>Despesas Bancarias</v>
      </c>
      <c r="I681" s="77" t="str">
        <f>IFERROR(VLOOKUP(DESPESAS[[#This Row],[Fornecedor]],Tabela2[],2,FALSE),"")</f>
        <v/>
      </c>
      <c r="J681" s="77" t="str">
        <f>IFERROR(VLOOKUP(DESPESAS[[#This Row],[Plano de Contas]],BASE!$B$3:$F$119,4,FALSE),"")</f>
        <v>8 - DESPESAS FINANCEIRAS</v>
      </c>
      <c r="K681" s="77" t="str">
        <f>IFERROR(VLOOKUP(DESPESAS[[#This Row],[Plano de Contas]],BASE!$B$3:$H$119,5,FALSE),"")</f>
        <v>FINANCEIRO</v>
      </c>
      <c r="L681" s="77">
        <f>IFERROR(VLOOKUP(DESPESAS[[#This Row],[Plano de Contas]],BASE!$B$3:$H$119,6,FALSE),"")</f>
        <v>0</v>
      </c>
      <c r="M681" s="77" t="str">
        <f>VLOOKUP(DESPESAS[[#This Row],[Plano de Contas]],BASE!$B$3:$H$119,7,FALSE)</f>
        <v>LETÍCIA</v>
      </c>
    </row>
    <row r="682" spans="1:13" x14ac:dyDescent="0.25">
      <c r="A682" s="74">
        <v>197160</v>
      </c>
      <c r="B682" s="75" t="s">
        <v>232</v>
      </c>
      <c r="C682" s="75" t="s">
        <v>2842</v>
      </c>
      <c r="D682" s="76">
        <v>46038</v>
      </c>
      <c r="E682" s="75" t="s">
        <v>230</v>
      </c>
      <c r="F682" s="74">
        <v>0.36</v>
      </c>
      <c r="G682" s="75" t="s">
        <v>229</v>
      </c>
      <c r="H682" s="77" t="str">
        <f>VLOOKUP(DESPESAS[[#This Row],[Plano de Contas]],BASE!$B$3:$D$119,3,FALSE)</f>
        <v>Despesas Bancarias</v>
      </c>
      <c r="I682" s="77" t="str">
        <f>IFERROR(VLOOKUP(DESPESAS[[#This Row],[Fornecedor]],Tabela2[],2,FALSE),"")</f>
        <v/>
      </c>
      <c r="J682" s="77" t="str">
        <f>IFERROR(VLOOKUP(DESPESAS[[#This Row],[Plano de Contas]],BASE!$B$3:$F$119,4,FALSE),"")</f>
        <v>8 - DESPESAS FINANCEIRAS</v>
      </c>
      <c r="K682" s="77" t="str">
        <f>IFERROR(VLOOKUP(DESPESAS[[#This Row],[Plano de Contas]],BASE!$B$3:$H$119,5,FALSE),"")</f>
        <v>FINANCEIRO</v>
      </c>
      <c r="L682" s="77">
        <f>IFERROR(VLOOKUP(DESPESAS[[#This Row],[Plano de Contas]],BASE!$B$3:$H$119,6,FALSE),"")</f>
        <v>0</v>
      </c>
      <c r="M682" s="77" t="str">
        <f>VLOOKUP(DESPESAS[[#This Row],[Plano de Contas]],BASE!$B$3:$H$119,7,FALSE)</f>
        <v>LETÍCIA</v>
      </c>
    </row>
    <row r="683" spans="1:13" x14ac:dyDescent="0.25">
      <c r="A683" s="74">
        <v>197161</v>
      </c>
      <c r="B683" s="75" t="s">
        <v>232</v>
      </c>
      <c r="C683" s="75" t="s">
        <v>2841</v>
      </c>
      <c r="D683" s="76">
        <v>46041</v>
      </c>
      <c r="E683" s="75" t="s">
        <v>230</v>
      </c>
      <c r="F683" s="74">
        <v>2.4</v>
      </c>
      <c r="G683" s="75" t="s">
        <v>229</v>
      </c>
      <c r="H683" s="77" t="str">
        <f>VLOOKUP(DESPESAS[[#This Row],[Plano de Contas]],BASE!$B$3:$D$119,3,FALSE)</f>
        <v>Despesas Bancarias</v>
      </c>
      <c r="I683" s="77" t="str">
        <f>IFERROR(VLOOKUP(DESPESAS[[#This Row],[Fornecedor]],Tabela2[],2,FALSE),"")</f>
        <v/>
      </c>
      <c r="J683" s="77" t="str">
        <f>IFERROR(VLOOKUP(DESPESAS[[#This Row],[Plano de Contas]],BASE!$B$3:$F$119,4,FALSE),"")</f>
        <v>8 - DESPESAS FINANCEIRAS</v>
      </c>
      <c r="K683" s="77" t="str">
        <f>IFERROR(VLOOKUP(DESPESAS[[#This Row],[Plano de Contas]],BASE!$B$3:$H$119,5,FALSE),"")</f>
        <v>FINANCEIRO</v>
      </c>
      <c r="L683" s="77">
        <f>IFERROR(VLOOKUP(DESPESAS[[#This Row],[Plano de Contas]],BASE!$B$3:$H$119,6,FALSE),"")</f>
        <v>0</v>
      </c>
      <c r="M683" s="77" t="str">
        <f>VLOOKUP(DESPESAS[[#This Row],[Plano de Contas]],BASE!$B$3:$H$119,7,FALSE)</f>
        <v>LETÍCIA</v>
      </c>
    </row>
    <row r="684" spans="1:13" x14ac:dyDescent="0.25">
      <c r="A684" s="74">
        <v>197162</v>
      </c>
      <c r="B684" s="75" t="s">
        <v>221</v>
      </c>
      <c r="C684" s="75" t="s">
        <v>2840</v>
      </c>
      <c r="D684" s="76">
        <v>46041</v>
      </c>
      <c r="E684" s="75" t="s">
        <v>307</v>
      </c>
      <c r="F684" s="74">
        <v>40</v>
      </c>
      <c r="G684" s="75" t="s">
        <v>1318</v>
      </c>
      <c r="H684" s="77" t="str">
        <f>VLOOKUP(DESPESAS[[#This Row],[Plano de Contas]],BASE!$B$3:$D$119,3,FALSE)</f>
        <v>Feiras e Eventos</v>
      </c>
      <c r="I684" s="77" t="str">
        <f>IFERROR(VLOOKUP(DESPESAS[[#This Row],[Fornecedor]],Tabela2[],2,FALSE),"")</f>
        <v>FERRAGENS GERAIS</v>
      </c>
      <c r="J684" s="77" t="str">
        <f>IFERROR(VLOOKUP(DESPESAS[[#This Row],[Plano de Contas]],BASE!$B$3:$F$119,4,FALSE),"")</f>
        <v>6 - DESPESA COM VENDAS</v>
      </c>
      <c r="K684" s="77" t="str">
        <f>IFERROR(VLOOKUP(DESPESAS[[#This Row],[Plano de Contas]],BASE!$B$3:$H$119,5,FALSE),"")</f>
        <v>COMERCIAL</v>
      </c>
      <c r="L684" s="77">
        <f>IFERROR(VLOOKUP(DESPESAS[[#This Row],[Plano de Contas]],BASE!$B$3:$H$119,6,FALSE),"")</f>
        <v>0</v>
      </c>
      <c r="M684" s="77" t="str">
        <f>VLOOKUP(DESPESAS[[#This Row],[Plano de Contas]],BASE!$B$3:$H$119,7,FALSE)</f>
        <v>THAIS</v>
      </c>
    </row>
    <row r="685" spans="1:13" x14ac:dyDescent="0.25">
      <c r="A685" s="74">
        <v>197164</v>
      </c>
      <c r="B685" s="75" t="s">
        <v>232</v>
      </c>
      <c r="C685" s="75" t="s">
        <v>2839</v>
      </c>
      <c r="D685" s="76">
        <v>46041</v>
      </c>
      <c r="E685" s="75" t="s">
        <v>230</v>
      </c>
      <c r="F685" s="74">
        <v>1.1399999999999999</v>
      </c>
      <c r="G685" s="75" t="s">
        <v>229</v>
      </c>
      <c r="H685" s="77" t="str">
        <f>VLOOKUP(DESPESAS[[#This Row],[Plano de Contas]],BASE!$B$3:$D$119,3,FALSE)</f>
        <v>Despesas Bancarias</v>
      </c>
      <c r="I685" s="77" t="str">
        <f>IFERROR(VLOOKUP(DESPESAS[[#This Row],[Fornecedor]],Tabela2[],2,FALSE),"")</f>
        <v/>
      </c>
      <c r="J685" s="77" t="str">
        <f>IFERROR(VLOOKUP(DESPESAS[[#This Row],[Plano de Contas]],BASE!$B$3:$F$119,4,FALSE),"")</f>
        <v>8 - DESPESAS FINANCEIRAS</v>
      </c>
      <c r="K685" s="77" t="str">
        <f>IFERROR(VLOOKUP(DESPESAS[[#This Row],[Plano de Contas]],BASE!$B$3:$H$119,5,FALSE),"")</f>
        <v>FINANCEIRO</v>
      </c>
      <c r="L685" s="77">
        <f>IFERROR(VLOOKUP(DESPESAS[[#This Row],[Plano de Contas]],BASE!$B$3:$H$119,6,FALSE),"")</f>
        <v>0</v>
      </c>
      <c r="M685" s="77" t="str">
        <f>VLOOKUP(DESPESAS[[#This Row],[Plano de Contas]],BASE!$B$3:$H$119,7,FALSE)</f>
        <v>LETÍCIA</v>
      </c>
    </row>
    <row r="686" spans="1:13" x14ac:dyDescent="0.25">
      <c r="A686" s="74">
        <v>197166</v>
      </c>
      <c r="B686" s="75" t="s">
        <v>221</v>
      </c>
      <c r="C686" s="75" t="s">
        <v>2838</v>
      </c>
      <c r="D686" s="76">
        <v>46041</v>
      </c>
      <c r="E686" s="75" t="s">
        <v>307</v>
      </c>
      <c r="F686" s="74">
        <v>70.5</v>
      </c>
      <c r="G686" s="75" t="s">
        <v>218</v>
      </c>
      <c r="H686" s="77" t="str">
        <f>VLOOKUP(DESPESAS[[#This Row],[Plano de Contas]],BASE!$B$3:$D$119,3,FALSE)</f>
        <v>Manutenção de Equipamentos (Prod)</v>
      </c>
      <c r="I686" s="77" t="str">
        <f>IFERROR(VLOOKUP(DESPESAS[[#This Row],[Fornecedor]],Tabela2[],2,FALSE),"")</f>
        <v>FERRAGENS GERAIS</v>
      </c>
      <c r="J686" s="77" t="str">
        <f>IFERROR(VLOOKUP(DESPESAS[[#This Row],[Plano de Contas]],BASE!$B$3:$F$119,4,FALSE),"")</f>
        <v>3 - CUSTOS INDIRETOS</v>
      </c>
      <c r="K686" s="77" t="str">
        <f>IFERROR(VLOOKUP(DESPESAS[[#This Row],[Plano de Contas]],BASE!$B$3:$H$119,5,FALSE),"")</f>
        <v>MANUTENÇÃO / TI</v>
      </c>
      <c r="L686" s="77">
        <f>IFERROR(VLOOKUP(DESPESAS[[#This Row],[Plano de Contas]],BASE!$B$3:$H$119,6,FALSE),"")</f>
        <v>0</v>
      </c>
      <c r="M686" s="77" t="str">
        <f>VLOOKUP(DESPESAS[[#This Row],[Plano de Contas]],BASE!$B$3:$H$119,7,FALSE)</f>
        <v>RAFAEL</v>
      </c>
    </row>
    <row r="687" spans="1:13" x14ac:dyDescent="0.25">
      <c r="A687" s="74">
        <v>197167</v>
      </c>
      <c r="B687" s="75" t="s">
        <v>221</v>
      </c>
      <c r="C687" s="75" t="s">
        <v>2837</v>
      </c>
      <c r="D687" s="76">
        <v>46041</v>
      </c>
      <c r="E687" s="75" t="s">
        <v>307</v>
      </c>
      <c r="F687" s="74">
        <v>42.5</v>
      </c>
      <c r="G687" s="75" t="s">
        <v>218</v>
      </c>
      <c r="H687" s="77" t="str">
        <f>VLOOKUP(DESPESAS[[#This Row],[Plano de Contas]],BASE!$B$3:$D$119,3,FALSE)</f>
        <v>Manutenção de Equipamentos (Prod)</v>
      </c>
      <c r="I687" s="77" t="str">
        <f>IFERROR(VLOOKUP(DESPESAS[[#This Row],[Fornecedor]],Tabela2[],2,FALSE),"")</f>
        <v>FERRAGENS GERAIS</v>
      </c>
      <c r="J687" s="77" t="str">
        <f>IFERROR(VLOOKUP(DESPESAS[[#This Row],[Plano de Contas]],BASE!$B$3:$F$119,4,FALSE),"")</f>
        <v>3 - CUSTOS INDIRETOS</v>
      </c>
      <c r="K687" s="77" t="str">
        <f>IFERROR(VLOOKUP(DESPESAS[[#This Row],[Plano de Contas]],BASE!$B$3:$H$119,5,FALSE),"")</f>
        <v>MANUTENÇÃO / TI</v>
      </c>
      <c r="L687" s="77">
        <f>IFERROR(VLOOKUP(DESPESAS[[#This Row],[Plano de Contas]],BASE!$B$3:$H$119,6,FALSE),"")</f>
        <v>0</v>
      </c>
      <c r="M687" s="77" t="str">
        <f>VLOOKUP(DESPESAS[[#This Row],[Plano de Contas]],BASE!$B$3:$H$119,7,FALSE)</f>
        <v>RAFAEL</v>
      </c>
    </row>
    <row r="688" spans="1:13" x14ac:dyDescent="0.25">
      <c r="A688" s="74">
        <v>197168</v>
      </c>
      <c r="B688" s="75" t="s">
        <v>221</v>
      </c>
      <c r="C688" s="75" t="s">
        <v>2836</v>
      </c>
      <c r="D688" s="76">
        <v>46041</v>
      </c>
      <c r="E688" s="75" t="s">
        <v>245</v>
      </c>
      <c r="F688" s="74">
        <v>32</v>
      </c>
      <c r="G688" s="75" t="s">
        <v>218</v>
      </c>
      <c r="H688" s="77" t="str">
        <f>VLOOKUP(DESPESAS[[#This Row],[Plano de Contas]],BASE!$B$3:$D$119,3,FALSE)</f>
        <v>Manutenção de Equipamentos (Prod)</v>
      </c>
      <c r="I688" s="77" t="str">
        <f>IFERROR(VLOOKUP(DESPESAS[[#This Row],[Fornecedor]],Tabela2[],2,FALSE),"")</f>
        <v>FERRAGENS GERAIS</v>
      </c>
      <c r="J688" s="77" t="str">
        <f>IFERROR(VLOOKUP(DESPESAS[[#This Row],[Plano de Contas]],BASE!$B$3:$F$119,4,FALSE),"")</f>
        <v>3 - CUSTOS INDIRETOS</v>
      </c>
      <c r="K688" s="77" t="str">
        <f>IFERROR(VLOOKUP(DESPESAS[[#This Row],[Plano de Contas]],BASE!$B$3:$H$119,5,FALSE),"")</f>
        <v>MANUTENÇÃO / TI</v>
      </c>
      <c r="L688" s="77">
        <f>IFERROR(VLOOKUP(DESPESAS[[#This Row],[Plano de Contas]],BASE!$B$3:$H$119,6,FALSE),"")</f>
        <v>0</v>
      </c>
      <c r="M688" s="77" t="str">
        <f>VLOOKUP(DESPESAS[[#This Row],[Plano de Contas]],BASE!$B$3:$H$119,7,FALSE)</f>
        <v>RAFAEL</v>
      </c>
    </row>
    <row r="689" spans="1:13" x14ac:dyDescent="0.25">
      <c r="A689" s="74">
        <v>197169</v>
      </c>
      <c r="B689" s="75" t="s">
        <v>232</v>
      </c>
      <c r="C689" s="75" t="s">
        <v>2835</v>
      </c>
      <c r="D689" s="76">
        <v>46041</v>
      </c>
      <c r="E689" s="75" t="s">
        <v>1730</v>
      </c>
      <c r="F689" s="74">
        <v>786.5</v>
      </c>
      <c r="G689" s="75" t="s">
        <v>241</v>
      </c>
      <c r="H689" s="77" t="str">
        <f>VLOOKUP(DESPESAS[[#This Row],[Plano de Contas]],BASE!$B$3:$D$119,3,FALSE)</f>
        <v>Combustiveis Frota</v>
      </c>
      <c r="I689" s="77" t="str">
        <f>IFERROR(VLOOKUP(DESPESAS[[#This Row],[Fornecedor]],Tabela2[],2,FALSE),"")</f>
        <v/>
      </c>
      <c r="J689" s="77" t="str">
        <f>IFERROR(VLOOKUP(DESPESAS[[#This Row],[Plano de Contas]],BASE!$B$3:$F$119,4,FALSE),"")</f>
        <v>6 - DESPESA COM VENDAS</v>
      </c>
      <c r="K689" s="77" t="str">
        <f>IFERROR(VLOOKUP(DESPESAS[[#This Row],[Plano de Contas]],BASE!$B$3:$H$119,5,FALSE),"")</f>
        <v>LOGÍSTICA</v>
      </c>
      <c r="L689" s="77">
        <f>IFERROR(VLOOKUP(DESPESAS[[#This Row],[Plano de Contas]],BASE!$B$3:$H$119,6,FALSE),"")</f>
        <v>0</v>
      </c>
      <c r="M689" s="77" t="str">
        <f>VLOOKUP(DESPESAS[[#This Row],[Plano de Contas]],BASE!$B$3:$H$119,7,FALSE)</f>
        <v>MYLENA</v>
      </c>
    </row>
    <row r="690" spans="1:13" x14ac:dyDescent="0.25">
      <c r="A690" s="74">
        <v>197170</v>
      </c>
      <c r="B690" s="75" t="s">
        <v>232</v>
      </c>
      <c r="C690" s="75" t="s">
        <v>2834</v>
      </c>
      <c r="D690" s="76">
        <v>46041</v>
      </c>
      <c r="E690" s="75" t="s">
        <v>1730</v>
      </c>
      <c r="F690" s="74">
        <v>69.66</v>
      </c>
      <c r="G690" s="75" t="s">
        <v>241</v>
      </c>
      <c r="H690" s="77" t="str">
        <f>VLOOKUP(DESPESAS[[#This Row],[Plano de Contas]],BASE!$B$3:$D$119,3,FALSE)</f>
        <v>Combustiveis Frota</v>
      </c>
      <c r="I690" s="77" t="str">
        <f>IFERROR(VLOOKUP(DESPESAS[[#This Row],[Fornecedor]],Tabela2[],2,FALSE),"")</f>
        <v/>
      </c>
      <c r="J690" s="77" t="str">
        <f>IFERROR(VLOOKUP(DESPESAS[[#This Row],[Plano de Contas]],BASE!$B$3:$F$119,4,FALSE),"")</f>
        <v>6 - DESPESA COM VENDAS</v>
      </c>
      <c r="K690" s="77" t="str">
        <f>IFERROR(VLOOKUP(DESPESAS[[#This Row],[Plano de Contas]],BASE!$B$3:$H$119,5,FALSE),"")</f>
        <v>LOGÍSTICA</v>
      </c>
      <c r="L690" s="77">
        <f>IFERROR(VLOOKUP(DESPESAS[[#This Row],[Plano de Contas]],BASE!$B$3:$H$119,6,FALSE),"")</f>
        <v>0</v>
      </c>
      <c r="M690" s="77" t="str">
        <f>VLOOKUP(DESPESAS[[#This Row],[Plano de Contas]],BASE!$B$3:$H$119,7,FALSE)</f>
        <v>MYLENA</v>
      </c>
    </row>
    <row r="691" spans="1:13" x14ac:dyDescent="0.25">
      <c r="A691" s="74">
        <v>197171</v>
      </c>
      <c r="B691" s="75" t="s">
        <v>232</v>
      </c>
      <c r="C691" s="75" t="s">
        <v>2833</v>
      </c>
      <c r="D691" s="76">
        <v>46041</v>
      </c>
      <c r="E691" s="75" t="s">
        <v>322</v>
      </c>
      <c r="F691" s="74">
        <v>250</v>
      </c>
      <c r="G691" s="75" t="s">
        <v>588</v>
      </c>
      <c r="H691" s="77" t="str">
        <f>VLOOKUP(DESPESAS[[#This Row],[Plano de Contas]],BASE!$B$3:$D$119,3,FALSE)</f>
        <v>Maquinas e Equipamentos</v>
      </c>
      <c r="I691" s="77" t="str">
        <f>IFERROR(VLOOKUP(DESPESAS[[#This Row],[Fornecedor]],Tabela2[],2,FALSE),"")</f>
        <v>CNC TECIDO</v>
      </c>
      <c r="J691" s="77" t="str">
        <f>IFERROR(VLOOKUP(DESPESAS[[#This Row],[Plano de Contas]],BASE!$B$3:$F$119,4,FALSE),"")</f>
        <v>9 - INVESTIMENTOS</v>
      </c>
      <c r="K691" s="77" t="str">
        <f>IFERROR(VLOOKUP(DESPESAS[[#This Row],[Plano de Contas]],BASE!$B$3:$H$119,5,FALSE),"")</f>
        <v>MANUTENÇÃO / TI</v>
      </c>
      <c r="L691" s="77">
        <f>IFERROR(VLOOKUP(DESPESAS[[#This Row],[Plano de Contas]],BASE!$B$3:$H$119,6,FALSE),"")</f>
        <v>0</v>
      </c>
      <c r="M691" s="77" t="str">
        <f>VLOOKUP(DESPESAS[[#This Row],[Plano de Contas]],BASE!$B$3:$H$119,7,FALSE)</f>
        <v>RAFAEL</v>
      </c>
    </row>
    <row r="692" spans="1:13" x14ac:dyDescent="0.25">
      <c r="A692" s="74">
        <v>197172</v>
      </c>
      <c r="B692" s="75" t="s">
        <v>232</v>
      </c>
      <c r="C692" s="75" t="s">
        <v>2832</v>
      </c>
      <c r="D692" s="76">
        <v>46041</v>
      </c>
      <c r="E692" s="75" t="s">
        <v>322</v>
      </c>
      <c r="F692" s="74">
        <v>5000</v>
      </c>
      <c r="G692" s="75" t="s">
        <v>588</v>
      </c>
      <c r="H692" s="77" t="str">
        <f>VLOOKUP(DESPESAS[[#This Row],[Plano de Contas]],BASE!$B$3:$D$119,3,FALSE)</f>
        <v>Maquinas e Equipamentos</v>
      </c>
      <c r="I692" s="77" t="str">
        <f>IFERROR(VLOOKUP(DESPESAS[[#This Row],[Fornecedor]],Tabela2[],2,FALSE),"")</f>
        <v>CNC TECIDO</v>
      </c>
      <c r="J692" s="77" t="str">
        <f>IFERROR(VLOOKUP(DESPESAS[[#This Row],[Plano de Contas]],BASE!$B$3:$F$119,4,FALSE),"")</f>
        <v>9 - INVESTIMENTOS</v>
      </c>
      <c r="K692" s="77" t="str">
        <f>IFERROR(VLOOKUP(DESPESAS[[#This Row],[Plano de Contas]],BASE!$B$3:$H$119,5,FALSE),"")</f>
        <v>MANUTENÇÃO / TI</v>
      </c>
      <c r="L692" s="77">
        <f>IFERROR(VLOOKUP(DESPESAS[[#This Row],[Plano de Contas]],BASE!$B$3:$H$119,6,FALSE),"")</f>
        <v>0</v>
      </c>
      <c r="M692" s="77" t="str">
        <f>VLOOKUP(DESPESAS[[#This Row],[Plano de Contas]],BASE!$B$3:$H$119,7,FALSE)</f>
        <v>RAFAEL</v>
      </c>
    </row>
    <row r="693" spans="1:13" x14ac:dyDescent="0.25">
      <c r="A693" s="74">
        <v>197173</v>
      </c>
      <c r="B693" s="75" t="s">
        <v>232</v>
      </c>
      <c r="C693" s="75" t="s">
        <v>2831</v>
      </c>
      <c r="D693" s="76">
        <v>46041</v>
      </c>
      <c r="E693" s="75" t="s">
        <v>1372</v>
      </c>
      <c r="F693" s="74">
        <v>900</v>
      </c>
      <c r="G693" s="75" t="s">
        <v>247</v>
      </c>
      <c r="H693" s="77" t="str">
        <f>VLOOKUP(DESPESAS[[#This Row],[Plano de Contas]],BASE!$B$3:$D$119,3,FALSE)</f>
        <v>Manutenção com veiculos</v>
      </c>
      <c r="I693" s="77" t="str">
        <f>IFERROR(VLOOKUP(DESPESAS[[#This Row],[Fornecedor]],Tabela2[],2,FALSE),"")</f>
        <v/>
      </c>
      <c r="J693" s="77" t="str">
        <f>IFERROR(VLOOKUP(DESPESAS[[#This Row],[Plano de Contas]],BASE!$B$3:$F$119,4,FALSE),"")</f>
        <v>6 - DESPESA COM VENDAS</v>
      </c>
      <c r="K693" s="77" t="str">
        <f>IFERROR(VLOOKUP(DESPESAS[[#This Row],[Plano de Contas]],BASE!$B$3:$H$119,5,FALSE),"")</f>
        <v>LOGÍSTICA</v>
      </c>
      <c r="L693" s="77">
        <f>IFERROR(VLOOKUP(DESPESAS[[#This Row],[Plano de Contas]],BASE!$B$3:$H$119,6,FALSE),"")</f>
        <v>0</v>
      </c>
      <c r="M693" s="77" t="str">
        <f>VLOOKUP(DESPESAS[[#This Row],[Plano de Contas]],BASE!$B$3:$H$119,7,FALSE)</f>
        <v>MYLENA</v>
      </c>
    </row>
    <row r="694" spans="1:13" x14ac:dyDescent="0.25">
      <c r="A694" s="74">
        <v>197174</v>
      </c>
      <c r="B694" s="75" t="s">
        <v>221</v>
      </c>
      <c r="C694" s="75" t="s">
        <v>2830</v>
      </c>
      <c r="D694" s="76">
        <v>46041</v>
      </c>
      <c r="E694" s="75" t="s">
        <v>2829</v>
      </c>
      <c r="F694" s="74">
        <v>23.75</v>
      </c>
      <c r="G694" s="75" t="s">
        <v>247</v>
      </c>
      <c r="H694" s="77" t="str">
        <f>VLOOKUP(DESPESAS[[#This Row],[Plano de Contas]],BASE!$B$3:$D$119,3,FALSE)</f>
        <v>Manutenção com veiculos</v>
      </c>
      <c r="I694" s="77" t="str">
        <f>IFERROR(VLOOKUP(DESPESAS[[#This Row],[Fornecedor]],Tabela2[],2,FALSE),"")</f>
        <v>FERRAGENS GERAIS</v>
      </c>
      <c r="J694" s="77" t="str">
        <f>IFERROR(VLOOKUP(DESPESAS[[#This Row],[Plano de Contas]],BASE!$B$3:$F$119,4,FALSE),"")</f>
        <v>6 - DESPESA COM VENDAS</v>
      </c>
      <c r="K694" s="77" t="str">
        <f>IFERROR(VLOOKUP(DESPESAS[[#This Row],[Plano de Contas]],BASE!$B$3:$H$119,5,FALSE),"")</f>
        <v>LOGÍSTICA</v>
      </c>
      <c r="L694" s="77">
        <f>IFERROR(VLOOKUP(DESPESAS[[#This Row],[Plano de Contas]],BASE!$B$3:$H$119,6,FALSE),"")</f>
        <v>0</v>
      </c>
      <c r="M694" s="77" t="str">
        <f>VLOOKUP(DESPESAS[[#This Row],[Plano de Contas]],BASE!$B$3:$H$119,7,FALSE)</f>
        <v>MYLENA</v>
      </c>
    </row>
    <row r="695" spans="1:13" x14ac:dyDescent="0.25">
      <c r="A695" s="74">
        <v>197175</v>
      </c>
      <c r="B695" s="75" t="s">
        <v>221</v>
      </c>
      <c r="C695" s="75" t="s">
        <v>2828</v>
      </c>
      <c r="D695" s="76">
        <v>46041</v>
      </c>
      <c r="E695" s="75" t="s">
        <v>1177</v>
      </c>
      <c r="F695" s="74">
        <v>180</v>
      </c>
      <c r="G695" s="75" t="s">
        <v>247</v>
      </c>
      <c r="H695" s="77" t="str">
        <f>VLOOKUP(DESPESAS[[#This Row],[Plano de Contas]],BASE!$B$3:$D$119,3,FALSE)</f>
        <v>Manutenção com veiculos</v>
      </c>
      <c r="I695" s="77" t="str">
        <f>IFERROR(VLOOKUP(DESPESAS[[#This Row],[Fornecedor]],Tabela2[],2,FALSE),"")</f>
        <v/>
      </c>
      <c r="J695" s="77" t="str">
        <f>IFERROR(VLOOKUP(DESPESAS[[#This Row],[Plano de Contas]],BASE!$B$3:$F$119,4,FALSE),"")</f>
        <v>6 - DESPESA COM VENDAS</v>
      </c>
      <c r="K695" s="77" t="str">
        <f>IFERROR(VLOOKUP(DESPESAS[[#This Row],[Plano de Contas]],BASE!$B$3:$H$119,5,FALSE),"")</f>
        <v>LOGÍSTICA</v>
      </c>
      <c r="L695" s="77">
        <f>IFERROR(VLOOKUP(DESPESAS[[#This Row],[Plano de Contas]],BASE!$B$3:$H$119,6,FALSE),"")</f>
        <v>0</v>
      </c>
      <c r="M695" s="77" t="str">
        <f>VLOOKUP(DESPESAS[[#This Row],[Plano de Contas]],BASE!$B$3:$H$119,7,FALSE)</f>
        <v>MYLENA</v>
      </c>
    </row>
    <row r="696" spans="1:13" x14ac:dyDescent="0.25">
      <c r="A696" s="74">
        <v>197177</v>
      </c>
      <c r="B696" s="75" t="s">
        <v>221</v>
      </c>
      <c r="C696" s="75" t="s">
        <v>2827</v>
      </c>
      <c r="D696" s="76">
        <v>46041</v>
      </c>
      <c r="E696" s="75" t="s">
        <v>301</v>
      </c>
      <c r="F696" s="74">
        <v>80</v>
      </c>
      <c r="G696" s="75" t="s">
        <v>247</v>
      </c>
      <c r="H696" s="77" t="str">
        <f>VLOOKUP(DESPESAS[[#This Row],[Plano de Contas]],BASE!$B$3:$D$119,3,FALSE)</f>
        <v>Manutenção com veiculos</v>
      </c>
      <c r="I696" s="77" t="str">
        <f>IFERROR(VLOOKUP(DESPESAS[[#This Row],[Fornecedor]],Tabela2[],2,FALSE),"")</f>
        <v/>
      </c>
      <c r="J696" s="77" t="str">
        <f>IFERROR(VLOOKUP(DESPESAS[[#This Row],[Plano de Contas]],BASE!$B$3:$F$119,4,FALSE),"")</f>
        <v>6 - DESPESA COM VENDAS</v>
      </c>
      <c r="K696" s="77" t="str">
        <f>IFERROR(VLOOKUP(DESPESAS[[#This Row],[Plano de Contas]],BASE!$B$3:$H$119,5,FALSE),"")</f>
        <v>LOGÍSTICA</v>
      </c>
      <c r="L696" s="77">
        <f>IFERROR(VLOOKUP(DESPESAS[[#This Row],[Plano de Contas]],BASE!$B$3:$H$119,6,FALSE),"")</f>
        <v>0</v>
      </c>
      <c r="M696" s="77" t="str">
        <f>VLOOKUP(DESPESAS[[#This Row],[Plano de Contas]],BASE!$B$3:$H$119,7,FALSE)</f>
        <v>MYLENA</v>
      </c>
    </row>
    <row r="697" spans="1:13" x14ac:dyDescent="0.25">
      <c r="A697" s="74">
        <v>197178</v>
      </c>
      <c r="B697" s="75" t="s">
        <v>221</v>
      </c>
      <c r="C697" s="75" t="s">
        <v>2826</v>
      </c>
      <c r="D697" s="76">
        <v>46041</v>
      </c>
      <c r="E697" s="75" t="s">
        <v>317</v>
      </c>
      <c r="F697" s="74">
        <v>20</v>
      </c>
      <c r="G697" s="75" t="s">
        <v>1037</v>
      </c>
      <c r="H697" s="77" t="str">
        <f>VLOOKUP(DESPESAS[[#This Row],[Plano de Contas]],BASE!$B$3:$D$119,3,FALSE)</f>
        <v>Construções e Reformas</v>
      </c>
      <c r="I697" s="77" t="str">
        <f>IFERROR(VLOOKUP(DESPESAS[[#This Row],[Fornecedor]],Tabela2[],2,FALSE),"")</f>
        <v/>
      </c>
      <c r="J697" s="77" t="str">
        <f>IFERROR(VLOOKUP(DESPESAS[[#This Row],[Plano de Contas]],BASE!$B$3:$F$119,4,FALSE),"")</f>
        <v>9 - INVESTIMENTOS</v>
      </c>
      <c r="K697" s="77" t="str">
        <f>IFERROR(VLOOKUP(DESPESAS[[#This Row],[Plano de Contas]],BASE!$B$3:$H$119,5,FALSE),"")</f>
        <v>MANUTENÇÃO / TI</v>
      </c>
      <c r="L697" s="77">
        <f>IFERROR(VLOOKUP(DESPESAS[[#This Row],[Plano de Contas]],BASE!$B$3:$H$119,6,FALSE),"")</f>
        <v>0</v>
      </c>
      <c r="M697" s="77" t="str">
        <f>VLOOKUP(DESPESAS[[#This Row],[Plano de Contas]],BASE!$B$3:$H$119,7,FALSE)</f>
        <v>FÁBIO</v>
      </c>
    </row>
    <row r="698" spans="1:13" x14ac:dyDescent="0.25">
      <c r="A698" s="74">
        <v>197182</v>
      </c>
      <c r="B698" s="75" t="s">
        <v>221</v>
      </c>
      <c r="C698" s="75" t="s">
        <v>2825</v>
      </c>
      <c r="D698" s="76">
        <v>46041</v>
      </c>
      <c r="E698" s="75" t="s">
        <v>245</v>
      </c>
      <c r="F698" s="74">
        <v>258</v>
      </c>
      <c r="G698" s="75" t="s">
        <v>1318</v>
      </c>
      <c r="H698" s="77" t="str">
        <f>VLOOKUP(DESPESAS[[#This Row],[Plano de Contas]],BASE!$B$3:$D$119,3,FALSE)</f>
        <v>Feiras e Eventos</v>
      </c>
      <c r="I698" s="77" t="str">
        <f>IFERROR(VLOOKUP(DESPESAS[[#This Row],[Fornecedor]],Tabela2[],2,FALSE),"")</f>
        <v>FERRAGENS GERAIS</v>
      </c>
      <c r="J698" s="77" t="str">
        <f>IFERROR(VLOOKUP(DESPESAS[[#This Row],[Plano de Contas]],BASE!$B$3:$F$119,4,FALSE),"")</f>
        <v>6 - DESPESA COM VENDAS</v>
      </c>
      <c r="K698" s="77" t="str">
        <f>IFERROR(VLOOKUP(DESPESAS[[#This Row],[Plano de Contas]],BASE!$B$3:$H$119,5,FALSE),"")</f>
        <v>COMERCIAL</v>
      </c>
      <c r="L698" s="77">
        <f>IFERROR(VLOOKUP(DESPESAS[[#This Row],[Plano de Contas]],BASE!$B$3:$H$119,6,FALSE),"")</f>
        <v>0</v>
      </c>
      <c r="M698" s="77" t="str">
        <f>VLOOKUP(DESPESAS[[#This Row],[Plano de Contas]],BASE!$B$3:$H$119,7,FALSE)</f>
        <v>THAIS</v>
      </c>
    </row>
    <row r="699" spans="1:13" x14ac:dyDescent="0.25">
      <c r="A699" s="74">
        <v>197187</v>
      </c>
      <c r="B699" s="75" t="s">
        <v>221</v>
      </c>
      <c r="C699" s="75" t="s">
        <v>2824</v>
      </c>
      <c r="D699" s="76">
        <v>46041</v>
      </c>
      <c r="E699" s="75" t="s">
        <v>2035</v>
      </c>
      <c r="F699" s="74">
        <v>450</v>
      </c>
      <c r="G699" s="75" t="s">
        <v>1075</v>
      </c>
      <c r="H699" s="77" t="str">
        <f>VLOOKUP(DESPESAS[[#This Row],[Plano de Contas]],BASE!$B$3:$D$119,3,FALSE)</f>
        <v>Fretes Ass. Técnica</v>
      </c>
      <c r="I699" s="77" t="str">
        <f>IFERROR(VLOOKUP(DESPESAS[[#This Row],[Fornecedor]],Tabela2[],2,FALSE),"")</f>
        <v/>
      </c>
      <c r="J699" s="77" t="str">
        <f>IFERROR(VLOOKUP(DESPESAS[[#This Row],[Plano de Contas]],BASE!$B$3:$F$119,4,FALSE),"")</f>
        <v>6 - DESPESA COM VENDAS</v>
      </c>
      <c r="K699" s="77" t="str">
        <f>IFERROR(VLOOKUP(DESPESAS[[#This Row],[Plano de Contas]],BASE!$B$3:$H$119,5,FALSE),"")</f>
        <v>LOGÍSTICA</v>
      </c>
      <c r="L699" s="77">
        <f>IFERROR(VLOOKUP(DESPESAS[[#This Row],[Plano de Contas]],BASE!$B$3:$H$119,6,FALSE),"")</f>
        <v>0</v>
      </c>
      <c r="M699" s="77" t="str">
        <f>VLOOKUP(DESPESAS[[#This Row],[Plano de Contas]],BASE!$B$3:$H$119,7,FALSE)</f>
        <v>MYLENA</v>
      </c>
    </row>
    <row r="700" spans="1:13" x14ac:dyDescent="0.25">
      <c r="A700" s="74">
        <v>197188</v>
      </c>
      <c r="B700" s="75" t="s">
        <v>221</v>
      </c>
      <c r="C700" s="75" t="s">
        <v>2823</v>
      </c>
      <c r="D700" s="76">
        <v>46041</v>
      </c>
      <c r="E700" s="75" t="s">
        <v>239</v>
      </c>
      <c r="F700" s="74">
        <v>19.89</v>
      </c>
      <c r="G700" s="75" t="s">
        <v>238</v>
      </c>
      <c r="H700" s="77" t="str">
        <f>VLOOKUP(DESPESAS[[#This Row],[Plano de Contas]],BASE!$B$3:$D$119,3,FALSE)</f>
        <v>Consultoria Comercial</v>
      </c>
      <c r="I700" s="77" t="str">
        <f>IFERROR(VLOOKUP(DESPESAS[[#This Row],[Fornecedor]],Tabela2[],2,FALSE),"")</f>
        <v/>
      </c>
      <c r="J700" s="77" t="str">
        <f>IFERROR(VLOOKUP(DESPESAS[[#This Row],[Plano de Contas]],BASE!$B$3:$F$119,4,FALSE),"")</f>
        <v>6 - DESPESA COM VENDAS</v>
      </c>
      <c r="K700" s="77" t="str">
        <f>IFERROR(VLOOKUP(DESPESAS[[#This Row],[Plano de Contas]],BASE!$B$3:$H$119,5,FALSE),"")</f>
        <v>COMERCIAL</v>
      </c>
      <c r="L700" s="77">
        <f>IFERROR(VLOOKUP(DESPESAS[[#This Row],[Plano de Contas]],BASE!$B$3:$H$119,6,FALSE),"")</f>
        <v>0</v>
      </c>
      <c r="M700" s="77" t="str">
        <f>VLOOKUP(DESPESAS[[#This Row],[Plano de Contas]],BASE!$B$3:$H$119,7,FALSE)</f>
        <v>LETÍCIA</v>
      </c>
    </row>
    <row r="701" spans="1:13" x14ac:dyDescent="0.25">
      <c r="A701" s="74">
        <v>197189</v>
      </c>
      <c r="B701" s="75" t="s">
        <v>221</v>
      </c>
      <c r="C701" s="75" t="s">
        <v>2822</v>
      </c>
      <c r="D701" s="76">
        <v>46041</v>
      </c>
      <c r="E701" s="75" t="s">
        <v>239</v>
      </c>
      <c r="F701" s="74">
        <v>111.48</v>
      </c>
      <c r="G701" s="75" t="s">
        <v>238</v>
      </c>
      <c r="H701" s="77" t="str">
        <f>VLOOKUP(DESPESAS[[#This Row],[Plano de Contas]],BASE!$B$3:$D$119,3,FALSE)</f>
        <v>Consultoria Comercial</v>
      </c>
      <c r="I701" s="77" t="str">
        <f>IFERROR(VLOOKUP(DESPESAS[[#This Row],[Fornecedor]],Tabela2[],2,FALSE),"")</f>
        <v/>
      </c>
      <c r="J701" s="77" t="str">
        <f>IFERROR(VLOOKUP(DESPESAS[[#This Row],[Plano de Contas]],BASE!$B$3:$F$119,4,FALSE),"")</f>
        <v>6 - DESPESA COM VENDAS</v>
      </c>
      <c r="K701" s="77" t="str">
        <f>IFERROR(VLOOKUP(DESPESAS[[#This Row],[Plano de Contas]],BASE!$B$3:$H$119,5,FALSE),"")</f>
        <v>COMERCIAL</v>
      </c>
      <c r="L701" s="77">
        <f>IFERROR(VLOOKUP(DESPESAS[[#This Row],[Plano de Contas]],BASE!$B$3:$H$119,6,FALSE),"")</f>
        <v>0</v>
      </c>
      <c r="M701" s="77" t="str">
        <f>VLOOKUP(DESPESAS[[#This Row],[Plano de Contas]],BASE!$B$3:$H$119,7,FALSE)</f>
        <v>LETÍCIA</v>
      </c>
    </row>
    <row r="702" spans="1:13" x14ac:dyDescent="0.25">
      <c r="A702" s="74">
        <v>197190</v>
      </c>
      <c r="B702" s="75" t="s">
        <v>221</v>
      </c>
      <c r="C702" s="75" t="s">
        <v>2821</v>
      </c>
      <c r="D702" s="76">
        <v>46041</v>
      </c>
      <c r="E702" s="75" t="s">
        <v>242</v>
      </c>
      <c r="F702" s="74">
        <v>204.84</v>
      </c>
      <c r="G702" s="75" t="s">
        <v>423</v>
      </c>
      <c r="H702" s="77" t="str">
        <f>VLOOKUP(DESPESAS[[#This Row],[Plano de Contas]],BASE!$B$3:$D$119,3,FALSE)</f>
        <v>Combustíveis (Adm)</v>
      </c>
      <c r="I702" s="77" t="str">
        <f>IFERROR(VLOOKUP(DESPESAS[[#This Row],[Fornecedor]],Tabela2[],2,FALSE),"")</f>
        <v/>
      </c>
      <c r="J702" s="77" t="str">
        <f>IFERROR(VLOOKUP(DESPESAS[[#This Row],[Plano de Contas]],BASE!$B$3:$F$119,4,FALSE),"")</f>
        <v>5 - DESPESAS ADMINISTRATIVAS</v>
      </c>
      <c r="K702" s="77" t="str">
        <f>IFERROR(VLOOKUP(DESPESAS[[#This Row],[Plano de Contas]],BASE!$B$3:$H$119,5,FALSE),"")</f>
        <v>LOGÍSTICA</v>
      </c>
      <c r="L702" s="77">
        <f>IFERROR(VLOOKUP(DESPESAS[[#This Row],[Plano de Contas]],BASE!$B$3:$H$119,6,FALSE),"")</f>
        <v>0</v>
      </c>
      <c r="M702" s="77" t="str">
        <f>VLOOKUP(DESPESAS[[#This Row],[Plano de Contas]],BASE!$B$3:$H$119,7,FALSE)</f>
        <v>LETÍCIA</v>
      </c>
    </row>
    <row r="703" spans="1:13" x14ac:dyDescent="0.25">
      <c r="A703" s="74">
        <v>197191</v>
      </c>
      <c r="B703" s="75" t="s">
        <v>232</v>
      </c>
      <c r="C703" s="75" t="s">
        <v>2820</v>
      </c>
      <c r="D703" s="76">
        <v>46041</v>
      </c>
      <c r="E703" s="75" t="s">
        <v>471</v>
      </c>
      <c r="F703" s="74">
        <v>275.8</v>
      </c>
      <c r="G703" s="75" t="s">
        <v>244</v>
      </c>
      <c r="H703" s="77" t="str">
        <f>VLOOKUP(DESPESAS[[#This Row],[Plano de Contas]],BASE!$B$3:$D$119,3,FALSE)</f>
        <v>Material de Expediente (Prod)</v>
      </c>
      <c r="I703" s="77" t="str">
        <f>IFERROR(VLOOKUP(DESPESAS[[#This Row],[Fornecedor]],Tabela2[],2,FALSE),"")</f>
        <v/>
      </c>
      <c r="J703" s="77" t="str">
        <f>IFERROR(VLOOKUP(DESPESAS[[#This Row],[Plano de Contas]],BASE!$B$3:$F$119,4,FALSE),"")</f>
        <v>2 - CUSTOS DIRETOS</v>
      </c>
      <c r="K703" s="77" t="str">
        <f>IFERROR(VLOOKUP(DESPESAS[[#This Row],[Plano de Contas]],BASE!$B$3:$H$119,5,FALSE),"")</f>
        <v>PRODUÇÃO</v>
      </c>
      <c r="L703" s="77">
        <f>IFERROR(VLOOKUP(DESPESAS[[#This Row],[Plano de Contas]],BASE!$B$3:$H$119,6,FALSE),"")</f>
        <v>0</v>
      </c>
      <c r="M703" s="77" t="str">
        <f>VLOOKUP(DESPESAS[[#This Row],[Plano de Contas]],BASE!$B$3:$H$119,7,FALSE)</f>
        <v>RAFAEL</v>
      </c>
    </row>
    <row r="704" spans="1:13" x14ac:dyDescent="0.25">
      <c r="A704" s="74">
        <v>197192</v>
      </c>
      <c r="B704" s="75" t="s">
        <v>221</v>
      </c>
      <c r="C704" s="75" t="s">
        <v>2819</v>
      </c>
      <c r="D704" s="76">
        <v>46041</v>
      </c>
      <c r="E704" s="75" t="s">
        <v>2683</v>
      </c>
      <c r="F704" s="74">
        <v>120</v>
      </c>
      <c r="G704" s="75" t="s">
        <v>2682</v>
      </c>
      <c r="H704" s="77" t="str">
        <f>VLOOKUP(DESPESAS[[#This Row],[Plano de Contas]],BASE!$B$3:$D$119,3,FALSE)</f>
        <v>Horas Extras CIF</v>
      </c>
      <c r="I704" s="77" t="str">
        <f>IFERROR(VLOOKUP(DESPESAS[[#This Row],[Fornecedor]],Tabela2[],2,FALSE),"")</f>
        <v/>
      </c>
      <c r="J704" s="77" t="str">
        <f>IFERROR(VLOOKUP(DESPESAS[[#This Row],[Plano de Contas]],BASE!$B$3:$F$119,4,FALSE),"")</f>
        <v>3 - CUSTOS INDIRETOS</v>
      </c>
      <c r="K704" s="77" t="str">
        <f>IFERROR(VLOOKUP(DESPESAS[[#This Row],[Plano de Contas]],BASE!$B$3:$H$119,5,FALSE),"")</f>
        <v>DH</v>
      </c>
      <c r="L704" s="77" t="str">
        <f>IFERROR(VLOOKUP(DESPESAS[[#This Row],[Plano de Contas]],BASE!$B$3:$H$119,6,FALSE),"")</f>
        <v>CUSTO MÃO DE OBRA DIRETA</v>
      </c>
      <c r="M704" s="77" t="str">
        <f>VLOOKUP(DESPESAS[[#This Row],[Plano de Contas]],BASE!$B$3:$H$119,7,FALSE)</f>
        <v>RAFAEL</v>
      </c>
    </row>
    <row r="705" spans="1:13" x14ac:dyDescent="0.25">
      <c r="A705" s="74">
        <v>197193</v>
      </c>
      <c r="B705" s="75" t="s">
        <v>221</v>
      </c>
      <c r="C705" s="75" t="s">
        <v>2818</v>
      </c>
      <c r="D705" s="76">
        <v>46041</v>
      </c>
      <c r="E705" s="75" t="s">
        <v>1732</v>
      </c>
      <c r="F705" s="74">
        <v>2378.14</v>
      </c>
      <c r="G705" s="75" t="s">
        <v>241</v>
      </c>
      <c r="H705" s="77" t="str">
        <f>VLOOKUP(DESPESAS[[#This Row],[Plano de Contas]],BASE!$B$3:$D$119,3,FALSE)</f>
        <v>Combustiveis Frota</v>
      </c>
      <c r="I705" s="77" t="str">
        <f>IFERROR(VLOOKUP(DESPESAS[[#This Row],[Fornecedor]],Tabela2[],2,FALSE),"")</f>
        <v/>
      </c>
      <c r="J705" s="77" t="str">
        <f>IFERROR(VLOOKUP(DESPESAS[[#This Row],[Plano de Contas]],BASE!$B$3:$F$119,4,FALSE),"")</f>
        <v>6 - DESPESA COM VENDAS</v>
      </c>
      <c r="K705" s="77" t="str">
        <f>IFERROR(VLOOKUP(DESPESAS[[#This Row],[Plano de Contas]],BASE!$B$3:$H$119,5,FALSE),"")</f>
        <v>LOGÍSTICA</v>
      </c>
      <c r="L705" s="77">
        <f>IFERROR(VLOOKUP(DESPESAS[[#This Row],[Plano de Contas]],BASE!$B$3:$H$119,6,FALSE),"")</f>
        <v>0</v>
      </c>
      <c r="M705" s="77" t="str">
        <f>VLOOKUP(DESPESAS[[#This Row],[Plano de Contas]],BASE!$B$3:$H$119,7,FALSE)</f>
        <v>MYLENA</v>
      </c>
    </row>
    <row r="706" spans="1:13" x14ac:dyDescent="0.25">
      <c r="A706" s="74">
        <v>197194</v>
      </c>
      <c r="B706" s="75" t="s">
        <v>221</v>
      </c>
      <c r="C706" s="75" t="s">
        <v>2817</v>
      </c>
      <c r="D706" s="76">
        <v>46041</v>
      </c>
      <c r="E706" s="75" t="s">
        <v>413</v>
      </c>
      <c r="F706" s="74">
        <v>1280</v>
      </c>
      <c r="G706" s="75" t="s">
        <v>262</v>
      </c>
      <c r="H706" s="77" t="str">
        <f>VLOOKUP(DESPESAS[[#This Row],[Plano de Contas]],BASE!$B$3:$D$119,3,FALSE)</f>
        <v>Fretes Karams</v>
      </c>
      <c r="I706" s="77" t="str">
        <f>IFERROR(VLOOKUP(DESPESAS[[#This Row],[Fornecedor]],Tabela2[],2,FALSE),"")</f>
        <v/>
      </c>
      <c r="J706" s="77" t="str">
        <f>IFERROR(VLOOKUP(DESPESAS[[#This Row],[Plano de Contas]],BASE!$B$3:$F$119,4,FALSE),"")</f>
        <v>6 - DESPESA COM VENDAS</v>
      </c>
      <c r="K706" s="77" t="str">
        <f>IFERROR(VLOOKUP(DESPESAS[[#This Row],[Plano de Contas]],BASE!$B$3:$H$119,5,FALSE),"")</f>
        <v>LOGÍSTICA</v>
      </c>
      <c r="L706" s="77">
        <f>IFERROR(VLOOKUP(DESPESAS[[#This Row],[Plano de Contas]],BASE!$B$3:$H$119,6,FALSE),"")</f>
        <v>0</v>
      </c>
      <c r="M706" s="77" t="str">
        <f>VLOOKUP(DESPESAS[[#This Row],[Plano de Contas]],BASE!$B$3:$H$119,7,FALSE)</f>
        <v>MYLENA</v>
      </c>
    </row>
    <row r="707" spans="1:13" x14ac:dyDescent="0.25">
      <c r="A707" s="74">
        <v>197195</v>
      </c>
      <c r="B707" s="75" t="s">
        <v>221</v>
      </c>
      <c r="C707" s="75" t="s">
        <v>2816</v>
      </c>
      <c r="D707" s="76">
        <v>46041</v>
      </c>
      <c r="E707" s="75" t="s">
        <v>442</v>
      </c>
      <c r="F707" s="74">
        <v>2024</v>
      </c>
      <c r="G707" s="75" t="s">
        <v>262</v>
      </c>
      <c r="H707" s="77" t="str">
        <f>VLOOKUP(DESPESAS[[#This Row],[Plano de Contas]],BASE!$B$3:$D$119,3,FALSE)</f>
        <v>Fretes Karams</v>
      </c>
      <c r="I707" s="77" t="str">
        <f>IFERROR(VLOOKUP(DESPESAS[[#This Row],[Fornecedor]],Tabela2[],2,FALSE),"")</f>
        <v/>
      </c>
      <c r="J707" s="77" t="str">
        <f>IFERROR(VLOOKUP(DESPESAS[[#This Row],[Plano de Contas]],BASE!$B$3:$F$119,4,FALSE),"")</f>
        <v>6 - DESPESA COM VENDAS</v>
      </c>
      <c r="K707" s="77" t="str">
        <f>IFERROR(VLOOKUP(DESPESAS[[#This Row],[Plano de Contas]],BASE!$B$3:$H$119,5,FALSE),"")</f>
        <v>LOGÍSTICA</v>
      </c>
      <c r="L707" s="77">
        <f>IFERROR(VLOOKUP(DESPESAS[[#This Row],[Plano de Contas]],BASE!$B$3:$H$119,6,FALSE),"")</f>
        <v>0</v>
      </c>
      <c r="M707" s="77" t="str">
        <f>VLOOKUP(DESPESAS[[#This Row],[Plano de Contas]],BASE!$B$3:$H$119,7,FALSE)</f>
        <v>MYLENA</v>
      </c>
    </row>
    <row r="708" spans="1:13" x14ac:dyDescent="0.25">
      <c r="A708" s="74">
        <v>197196</v>
      </c>
      <c r="B708" s="75" t="s">
        <v>221</v>
      </c>
      <c r="C708" s="75" t="s">
        <v>2815</v>
      </c>
      <c r="D708" s="76">
        <v>46041</v>
      </c>
      <c r="E708" s="75" t="s">
        <v>442</v>
      </c>
      <c r="F708" s="74">
        <v>50</v>
      </c>
      <c r="G708" s="75" t="s">
        <v>247</v>
      </c>
      <c r="H708" s="77" t="str">
        <f>VLOOKUP(DESPESAS[[#This Row],[Plano de Contas]],BASE!$B$3:$D$119,3,FALSE)</f>
        <v>Manutenção com veiculos</v>
      </c>
      <c r="I708" s="77" t="str">
        <f>IFERROR(VLOOKUP(DESPESAS[[#This Row],[Fornecedor]],Tabela2[],2,FALSE),"")</f>
        <v/>
      </c>
      <c r="J708" s="77" t="str">
        <f>IFERROR(VLOOKUP(DESPESAS[[#This Row],[Plano de Contas]],BASE!$B$3:$F$119,4,FALSE),"")</f>
        <v>6 - DESPESA COM VENDAS</v>
      </c>
      <c r="K708" s="77" t="str">
        <f>IFERROR(VLOOKUP(DESPESAS[[#This Row],[Plano de Contas]],BASE!$B$3:$H$119,5,FALSE),"")</f>
        <v>LOGÍSTICA</v>
      </c>
      <c r="L708" s="77">
        <f>IFERROR(VLOOKUP(DESPESAS[[#This Row],[Plano de Contas]],BASE!$B$3:$H$119,6,FALSE),"")</f>
        <v>0</v>
      </c>
      <c r="M708" s="77" t="str">
        <f>VLOOKUP(DESPESAS[[#This Row],[Plano de Contas]],BASE!$B$3:$H$119,7,FALSE)</f>
        <v>MYLENA</v>
      </c>
    </row>
    <row r="709" spans="1:13" x14ac:dyDescent="0.25">
      <c r="A709" s="74">
        <v>197197</v>
      </c>
      <c r="B709" s="75" t="s">
        <v>221</v>
      </c>
      <c r="C709" s="75" t="s">
        <v>2814</v>
      </c>
      <c r="D709" s="76">
        <v>46041</v>
      </c>
      <c r="E709" s="75" t="s">
        <v>242</v>
      </c>
      <c r="F709" s="74">
        <v>3369.78</v>
      </c>
      <c r="G709" s="75" t="s">
        <v>241</v>
      </c>
      <c r="H709" s="77" t="str">
        <f>VLOOKUP(DESPESAS[[#This Row],[Plano de Contas]],BASE!$B$3:$D$119,3,FALSE)</f>
        <v>Combustiveis Frota</v>
      </c>
      <c r="I709" s="77" t="str">
        <f>IFERROR(VLOOKUP(DESPESAS[[#This Row],[Fornecedor]],Tabela2[],2,FALSE),"")</f>
        <v/>
      </c>
      <c r="J709" s="77" t="str">
        <f>IFERROR(VLOOKUP(DESPESAS[[#This Row],[Plano de Contas]],BASE!$B$3:$F$119,4,FALSE),"")</f>
        <v>6 - DESPESA COM VENDAS</v>
      </c>
      <c r="K709" s="77" t="str">
        <f>IFERROR(VLOOKUP(DESPESAS[[#This Row],[Plano de Contas]],BASE!$B$3:$H$119,5,FALSE),"")</f>
        <v>LOGÍSTICA</v>
      </c>
      <c r="L709" s="77">
        <f>IFERROR(VLOOKUP(DESPESAS[[#This Row],[Plano de Contas]],BASE!$B$3:$H$119,6,FALSE),"")</f>
        <v>0</v>
      </c>
      <c r="M709" s="77" t="str">
        <f>VLOOKUP(DESPESAS[[#This Row],[Plano de Contas]],BASE!$B$3:$H$119,7,FALSE)</f>
        <v>MYLENA</v>
      </c>
    </row>
    <row r="710" spans="1:13" x14ac:dyDescent="0.25">
      <c r="A710" s="74">
        <v>197198</v>
      </c>
      <c r="B710" s="75" t="s">
        <v>221</v>
      </c>
      <c r="C710" s="75" t="s">
        <v>2813</v>
      </c>
      <c r="D710" s="76">
        <v>46041</v>
      </c>
      <c r="E710" s="75" t="s">
        <v>1262</v>
      </c>
      <c r="F710" s="74">
        <v>2879.58</v>
      </c>
      <c r="G710" s="75" t="s">
        <v>241</v>
      </c>
      <c r="H710" s="77" t="str">
        <f>VLOOKUP(DESPESAS[[#This Row],[Plano de Contas]],BASE!$B$3:$D$119,3,FALSE)</f>
        <v>Combustiveis Frota</v>
      </c>
      <c r="I710" s="77" t="str">
        <f>IFERROR(VLOOKUP(DESPESAS[[#This Row],[Fornecedor]],Tabela2[],2,FALSE),"")</f>
        <v/>
      </c>
      <c r="J710" s="77" t="str">
        <f>IFERROR(VLOOKUP(DESPESAS[[#This Row],[Plano de Contas]],BASE!$B$3:$F$119,4,FALSE),"")</f>
        <v>6 - DESPESA COM VENDAS</v>
      </c>
      <c r="K710" s="77" t="str">
        <f>IFERROR(VLOOKUP(DESPESAS[[#This Row],[Plano de Contas]],BASE!$B$3:$H$119,5,FALSE),"")</f>
        <v>LOGÍSTICA</v>
      </c>
      <c r="L710" s="77">
        <f>IFERROR(VLOOKUP(DESPESAS[[#This Row],[Plano de Contas]],BASE!$B$3:$H$119,6,FALSE),"")</f>
        <v>0</v>
      </c>
      <c r="M710" s="77" t="str">
        <f>VLOOKUP(DESPESAS[[#This Row],[Plano de Contas]],BASE!$B$3:$H$119,7,FALSE)</f>
        <v>MYLENA</v>
      </c>
    </row>
    <row r="711" spans="1:13" x14ac:dyDescent="0.25">
      <c r="A711" s="74">
        <v>197199</v>
      </c>
      <c r="B711" s="75" t="s">
        <v>279</v>
      </c>
      <c r="C711" s="75" t="s">
        <v>2812</v>
      </c>
      <c r="D711" s="76">
        <v>46041</v>
      </c>
      <c r="E711" s="75" t="s">
        <v>230</v>
      </c>
      <c r="F711" s="74">
        <v>2.37</v>
      </c>
      <c r="G711" s="75" t="s">
        <v>229</v>
      </c>
      <c r="H711" s="77" t="str">
        <f>VLOOKUP(DESPESAS[[#This Row],[Plano de Contas]],BASE!$B$3:$D$119,3,FALSE)</f>
        <v>Despesas Bancarias</v>
      </c>
      <c r="I711" s="77" t="str">
        <f>IFERROR(VLOOKUP(DESPESAS[[#This Row],[Fornecedor]],Tabela2[],2,FALSE),"")</f>
        <v/>
      </c>
      <c r="J711" s="77" t="str">
        <f>IFERROR(VLOOKUP(DESPESAS[[#This Row],[Plano de Contas]],BASE!$B$3:$F$119,4,FALSE),"")</f>
        <v>8 - DESPESAS FINANCEIRAS</v>
      </c>
      <c r="K711" s="77" t="str">
        <f>IFERROR(VLOOKUP(DESPESAS[[#This Row],[Plano de Contas]],BASE!$B$3:$H$119,5,FALSE),"")</f>
        <v>FINANCEIRO</v>
      </c>
      <c r="L711" s="77">
        <f>IFERROR(VLOOKUP(DESPESAS[[#This Row],[Plano de Contas]],BASE!$B$3:$H$119,6,FALSE),"")</f>
        <v>0</v>
      </c>
      <c r="M711" s="77" t="str">
        <f>VLOOKUP(DESPESAS[[#This Row],[Plano de Contas]],BASE!$B$3:$H$119,7,FALSE)</f>
        <v>LETÍCIA</v>
      </c>
    </row>
    <row r="712" spans="1:13" x14ac:dyDescent="0.25">
      <c r="A712" s="74">
        <v>197200</v>
      </c>
      <c r="B712" s="75" t="s">
        <v>281</v>
      </c>
      <c r="C712" s="75" t="s">
        <v>2811</v>
      </c>
      <c r="D712" s="76">
        <v>46041</v>
      </c>
      <c r="E712" s="75" t="s">
        <v>230</v>
      </c>
      <c r="F712" s="74">
        <v>0.79</v>
      </c>
      <c r="G712" s="75" t="s">
        <v>229</v>
      </c>
      <c r="H712" s="77" t="str">
        <f>VLOOKUP(DESPESAS[[#This Row],[Plano de Contas]],BASE!$B$3:$D$119,3,FALSE)</f>
        <v>Despesas Bancarias</v>
      </c>
      <c r="I712" s="77" t="str">
        <f>IFERROR(VLOOKUP(DESPESAS[[#This Row],[Fornecedor]],Tabela2[],2,FALSE),"")</f>
        <v/>
      </c>
      <c r="J712" s="77" t="str">
        <f>IFERROR(VLOOKUP(DESPESAS[[#This Row],[Plano de Contas]],BASE!$B$3:$F$119,4,FALSE),"")</f>
        <v>8 - DESPESAS FINANCEIRAS</v>
      </c>
      <c r="K712" s="77" t="str">
        <f>IFERROR(VLOOKUP(DESPESAS[[#This Row],[Plano de Contas]],BASE!$B$3:$H$119,5,FALSE),"")</f>
        <v>FINANCEIRO</v>
      </c>
      <c r="L712" s="77">
        <f>IFERROR(VLOOKUP(DESPESAS[[#This Row],[Plano de Contas]],BASE!$B$3:$H$119,6,FALSE),"")</f>
        <v>0</v>
      </c>
      <c r="M712" s="77" t="str">
        <f>VLOOKUP(DESPESAS[[#This Row],[Plano de Contas]],BASE!$B$3:$H$119,7,FALSE)</f>
        <v>LETÍCIA</v>
      </c>
    </row>
    <row r="713" spans="1:13" x14ac:dyDescent="0.25">
      <c r="A713" s="74">
        <v>197201</v>
      </c>
      <c r="B713" s="75" t="s">
        <v>232</v>
      </c>
      <c r="C713" s="75" t="s">
        <v>2810</v>
      </c>
      <c r="D713" s="76">
        <v>46042</v>
      </c>
      <c r="E713" s="75" t="s">
        <v>230</v>
      </c>
      <c r="F713" s="74">
        <v>7.6</v>
      </c>
      <c r="G713" s="75" t="s">
        <v>236</v>
      </c>
      <c r="H713" s="77" t="str">
        <f>VLOOKUP(DESPESAS[[#This Row],[Plano de Contas]],BASE!$B$3:$D$119,3,FALSE)</f>
        <v>Despesas de Cobranca</v>
      </c>
      <c r="I713" s="77" t="str">
        <f>IFERROR(VLOOKUP(DESPESAS[[#This Row],[Fornecedor]],Tabela2[],2,FALSE),"")</f>
        <v/>
      </c>
      <c r="J713" s="77" t="str">
        <f>IFERROR(VLOOKUP(DESPESAS[[#This Row],[Plano de Contas]],BASE!$B$3:$F$119,4,FALSE),"")</f>
        <v>8 - DESPESAS FINANCEIRAS</v>
      </c>
      <c r="K713" s="77" t="str">
        <f>IFERROR(VLOOKUP(DESPESAS[[#This Row],[Plano de Contas]],BASE!$B$3:$H$119,5,FALSE),"")</f>
        <v>FINANCEIRO</v>
      </c>
      <c r="L713" s="77">
        <f>IFERROR(VLOOKUP(DESPESAS[[#This Row],[Plano de Contas]],BASE!$B$3:$H$119,6,FALSE),"")</f>
        <v>0</v>
      </c>
      <c r="M713" s="77" t="str">
        <f>VLOOKUP(DESPESAS[[#This Row],[Plano de Contas]],BASE!$B$3:$H$119,7,FALSE)</f>
        <v>LETÍCIA</v>
      </c>
    </row>
    <row r="714" spans="1:13" x14ac:dyDescent="0.25">
      <c r="A714" s="74">
        <v>197202</v>
      </c>
      <c r="B714" s="75" t="s">
        <v>232</v>
      </c>
      <c r="C714" s="75" t="s">
        <v>2809</v>
      </c>
      <c r="D714" s="76">
        <v>46041</v>
      </c>
      <c r="E714" s="75" t="s">
        <v>230</v>
      </c>
      <c r="F714" s="74">
        <v>16.149999999999999</v>
      </c>
      <c r="G714" s="75" t="s">
        <v>251</v>
      </c>
      <c r="H714" s="77" t="str">
        <f>VLOOKUP(DESPESAS[[#This Row],[Plano de Contas]],BASE!$B$3:$D$119,3,FALSE)</f>
        <v>Juros Pagos - Antecipação de Crédito</v>
      </c>
      <c r="I714" s="77" t="str">
        <f>IFERROR(VLOOKUP(DESPESAS[[#This Row],[Fornecedor]],Tabela2[],2,FALSE),"")</f>
        <v/>
      </c>
      <c r="J714" s="77" t="str">
        <f>IFERROR(VLOOKUP(DESPESAS[[#This Row],[Plano de Contas]],BASE!$B$3:$F$119,4,FALSE),"")</f>
        <v>8 - DESPESAS FINANCEIRAS</v>
      </c>
      <c r="K714" s="77" t="str">
        <f>IFERROR(VLOOKUP(DESPESAS[[#This Row],[Plano de Contas]],BASE!$B$3:$H$119,5,FALSE),"")</f>
        <v>FINANCEIRO</v>
      </c>
      <c r="L714" s="77">
        <f>IFERROR(VLOOKUP(DESPESAS[[#This Row],[Plano de Contas]],BASE!$B$3:$H$119,6,FALSE),"")</f>
        <v>0</v>
      </c>
      <c r="M714" s="77" t="str">
        <f>VLOOKUP(DESPESAS[[#This Row],[Plano de Contas]],BASE!$B$3:$H$119,7,FALSE)</f>
        <v>LETÍCIA</v>
      </c>
    </row>
    <row r="715" spans="1:13" x14ac:dyDescent="0.25">
      <c r="A715" s="74">
        <v>197203</v>
      </c>
      <c r="B715" s="75" t="s">
        <v>232</v>
      </c>
      <c r="C715" s="75" t="s">
        <v>2808</v>
      </c>
      <c r="D715" s="76">
        <v>46041</v>
      </c>
      <c r="E715" s="75" t="s">
        <v>230</v>
      </c>
      <c r="F715" s="74">
        <v>31.6</v>
      </c>
      <c r="G715" s="75" t="s">
        <v>229</v>
      </c>
      <c r="H715" s="77" t="str">
        <f>VLOOKUP(DESPESAS[[#This Row],[Plano de Contas]],BASE!$B$3:$D$119,3,FALSE)</f>
        <v>Despesas Bancarias</v>
      </c>
      <c r="I715" s="77" t="str">
        <f>IFERROR(VLOOKUP(DESPESAS[[#This Row],[Fornecedor]],Tabela2[],2,FALSE),"")</f>
        <v/>
      </c>
      <c r="J715" s="77" t="str">
        <f>IFERROR(VLOOKUP(DESPESAS[[#This Row],[Plano de Contas]],BASE!$B$3:$F$119,4,FALSE),"")</f>
        <v>8 - DESPESAS FINANCEIRAS</v>
      </c>
      <c r="K715" s="77" t="str">
        <f>IFERROR(VLOOKUP(DESPESAS[[#This Row],[Plano de Contas]],BASE!$B$3:$H$119,5,FALSE),"")</f>
        <v>FINANCEIRO</v>
      </c>
      <c r="L715" s="77">
        <f>IFERROR(VLOOKUP(DESPESAS[[#This Row],[Plano de Contas]],BASE!$B$3:$H$119,6,FALSE),"")</f>
        <v>0</v>
      </c>
      <c r="M715" s="77" t="str">
        <f>VLOOKUP(DESPESAS[[#This Row],[Plano de Contas]],BASE!$B$3:$H$119,7,FALSE)</f>
        <v>LETÍCIA</v>
      </c>
    </row>
    <row r="716" spans="1:13" x14ac:dyDescent="0.25">
      <c r="A716" s="74">
        <v>197204</v>
      </c>
      <c r="B716" s="75" t="s">
        <v>232</v>
      </c>
      <c r="C716" s="75" t="s">
        <v>2807</v>
      </c>
      <c r="D716" s="76">
        <v>46042</v>
      </c>
      <c r="E716" s="75" t="s">
        <v>230</v>
      </c>
      <c r="F716" s="74">
        <v>0.91</v>
      </c>
      <c r="G716" s="75" t="s">
        <v>229</v>
      </c>
      <c r="H716" s="77" t="str">
        <f>VLOOKUP(DESPESAS[[#This Row],[Plano de Contas]],BASE!$B$3:$D$119,3,FALSE)</f>
        <v>Despesas Bancarias</v>
      </c>
      <c r="I716" s="77" t="str">
        <f>IFERROR(VLOOKUP(DESPESAS[[#This Row],[Fornecedor]],Tabela2[],2,FALSE),"")</f>
        <v/>
      </c>
      <c r="J716" s="77" t="str">
        <f>IFERROR(VLOOKUP(DESPESAS[[#This Row],[Plano de Contas]],BASE!$B$3:$F$119,4,FALSE),"")</f>
        <v>8 - DESPESAS FINANCEIRAS</v>
      </c>
      <c r="K716" s="77" t="str">
        <f>IFERROR(VLOOKUP(DESPESAS[[#This Row],[Plano de Contas]],BASE!$B$3:$H$119,5,FALSE),"")</f>
        <v>FINANCEIRO</v>
      </c>
      <c r="L716" s="77">
        <f>IFERROR(VLOOKUP(DESPESAS[[#This Row],[Plano de Contas]],BASE!$B$3:$H$119,6,FALSE),"")</f>
        <v>0</v>
      </c>
      <c r="M716" s="77" t="str">
        <f>VLOOKUP(DESPESAS[[#This Row],[Plano de Contas]],BASE!$B$3:$H$119,7,FALSE)</f>
        <v>LETÍCIA</v>
      </c>
    </row>
    <row r="717" spans="1:13" x14ac:dyDescent="0.25">
      <c r="A717" s="74">
        <v>197207</v>
      </c>
      <c r="B717" s="75" t="s">
        <v>221</v>
      </c>
      <c r="C717" s="75" t="s">
        <v>2806</v>
      </c>
      <c r="D717" s="76">
        <v>46042</v>
      </c>
      <c r="E717" s="75" t="s">
        <v>2805</v>
      </c>
      <c r="F717" s="74">
        <v>1995</v>
      </c>
      <c r="G717" s="75" t="s">
        <v>324</v>
      </c>
      <c r="H717" s="77" t="str">
        <f>VLOOKUP(DESPESAS[[#This Row],[Plano de Contas]],BASE!$B$3:$D$119,3,FALSE)</f>
        <v>Cursos e Treinamentos CIF</v>
      </c>
      <c r="I717" s="77" t="str">
        <f>IFERROR(VLOOKUP(DESPESAS[[#This Row],[Fornecedor]],Tabela2[],2,FALSE),"")</f>
        <v/>
      </c>
      <c r="J717" s="77" t="str">
        <f>IFERROR(VLOOKUP(DESPESAS[[#This Row],[Plano de Contas]],BASE!$B$3:$F$119,4,FALSE),"")</f>
        <v>3 - CUSTOS INDIRETOS</v>
      </c>
      <c r="K717" s="77" t="str">
        <f>IFERROR(VLOOKUP(DESPESAS[[#This Row],[Plano de Contas]],BASE!$B$3:$H$119,5,FALSE),"")</f>
        <v>DH</v>
      </c>
      <c r="L717" s="77">
        <f>IFERROR(VLOOKUP(DESPESAS[[#This Row],[Plano de Contas]],BASE!$B$3:$H$119,6,FALSE),"")</f>
        <v>0</v>
      </c>
      <c r="M717" s="77" t="str">
        <f>VLOOKUP(DESPESAS[[#This Row],[Plano de Contas]],BASE!$B$3:$H$119,7,FALSE)</f>
        <v>FÁBIO</v>
      </c>
    </row>
    <row r="718" spans="1:13" x14ac:dyDescent="0.25">
      <c r="A718" s="74">
        <v>197208</v>
      </c>
      <c r="B718" s="75" t="s">
        <v>221</v>
      </c>
      <c r="C718" s="75" t="s">
        <v>2804</v>
      </c>
      <c r="D718" s="76">
        <v>46042</v>
      </c>
      <c r="E718" s="75" t="s">
        <v>768</v>
      </c>
      <c r="F718" s="74">
        <v>211.94</v>
      </c>
      <c r="G718" s="75" t="s">
        <v>772</v>
      </c>
      <c r="H718" s="77" t="str">
        <f>VLOOKUP(DESPESAS[[#This Row],[Plano de Contas]],BASE!$B$3:$D$119,3,FALSE)</f>
        <v>INSS (Adm)</v>
      </c>
      <c r="I718" s="77" t="str">
        <f>IFERROR(VLOOKUP(DESPESAS[[#This Row],[Fornecedor]],Tabela2[],2,FALSE),"")</f>
        <v/>
      </c>
      <c r="J718" s="77" t="str">
        <f>IFERROR(VLOOKUP(DESPESAS[[#This Row],[Plano de Contas]],BASE!$B$3:$F$119,4,FALSE),"")</f>
        <v>4 - GASTOS COM PESSOAL</v>
      </c>
      <c r="K718" s="77" t="str">
        <f>IFERROR(VLOOKUP(DESPESAS[[#This Row],[Plano de Contas]],BASE!$B$3:$H$119,5,FALSE),"")</f>
        <v>DH</v>
      </c>
      <c r="L718" s="77">
        <f>IFERROR(VLOOKUP(DESPESAS[[#This Row],[Plano de Contas]],BASE!$B$3:$H$119,6,FALSE),"")</f>
        <v>0</v>
      </c>
      <c r="M718" s="77" t="str">
        <f>VLOOKUP(DESPESAS[[#This Row],[Plano de Contas]],BASE!$B$3:$H$119,7,FALSE)</f>
        <v>RAFAEL</v>
      </c>
    </row>
    <row r="719" spans="1:13" x14ac:dyDescent="0.25">
      <c r="A719" s="74">
        <v>197210</v>
      </c>
      <c r="B719" s="75" t="s">
        <v>221</v>
      </c>
      <c r="C719" s="75" t="s">
        <v>2803</v>
      </c>
      <c r="D719" s="76">
        <v>46042</v>
      </c>
      <c r="E719" s="75" t="s">
        <v>768</v>
      </c>
      <c r="F719" s="74">
        <v>210</v>
      </c>
      <c r="G719" s="75" t="s">
        <v>772</v>
      </c>
      <c r="H719" s="77" t="str">
        <f>VLOOKUP(DESPESAS[[#This Row],[Plano de Contas]],BASE!$B$3:$D$119,3,FALSE)</f>
        <v>INSS (Adm)</v>
      </c>
      <c r="I719" s="77" t="str">
        <f>IFERROR(VLOOKUP(DESPESAS[[#This Row],[Fornecedor]],Tabela2[],2,FALSE),"")</f>
        <v/>
      </c>
      <c r="J719" s="77" t="str">
        <f>IFERROR(VLOOKUP(DESPESAS[[#This Row],[Plano de Contas]],BASE!$B$3:$F$119,4,FALSE),"")</f>
        <v>4 - GASTOS COM PESSOAL</v>
      </c>
      <c r="K719" s="77" t="str">
        <f>IFERROR(VLOOKUP(DESPESAS[[#This Row],[Plano de Contas]],BASE!$B$3:$H$119,5,FALSE),"")</f>
        <v>DH</v>
      </c>
      <c r="L719" s="77">
        <f>IFERROR(VLOOKUP(DESPESAS[[#This Row],[Plano de Contas]],BASE!$B$3:$H$119,6,FALSE),"")</f>
        <v>0</v>
      </c>
      <c r="M719" s="77" t="str">
        <f>VLOOKUP(DESPESAS[[#This Row],[Plano de Contas]],BASE!$B$3:$H$119,7,FALSE)</f>
        <v>RAFAEL</v>
      </c>
    </row>
    <row r="720" spans="1:13" x14ac:dyDescent="0.25">
      <c r="A720" s="74">
        <v>197211</v>
      </c>
      <c r="B720" s="75" t="s">
        <v>221</v>
      </c>
      <c r="C720" s="75" t="s">
        <v>2802</v>
      </c>
      <c r="D720" s="76">
        <v>46042</v>
      </c>
      <c r="E720" s="75" t="s">
        <v>768</v>
      </c>
      <c r="F720" s="74">
        <v>207.96</v>
      </c>
      <c r="G720" s="75" t="s">
        <v>772</v>
      </c>
      <c r="H720" s="77" t="str">
        <f>VLOOKUP(DESPESAS[[#This Row],[Plano de Contas]],BASE!$B$3:$D$119,3,FALSE)</f>
        <v>INSS (Adm)</v>
      </c>
      <c r="I720" s="77" t="str">
        <f>IFERROR(VLOOKUP(DESPESAS[[#This Row],[Fornecedor]],Tabela2[],2,FALSE),"")</f>
        <v/>
      </c>
      <c r="J720" s="77" t="str">
        <f>IFERROR(VLOOKUP(DESPESAS[[#This Row],[Plano de Contas]],BASE!$B$3:$F$119,4,FALSE),"")</f>
        <v>4 - GASTOS COM PESSOAL</v>
      </c>
      <c r="K720" s="77" t="str">
        <f>IFERROR(VLOOKUP(DESPESAS[[#This Row],[Plano de Contas]],BASE!$B$3:$H$119,5,FALSE),"")</f>
        <v>DH</v>
      </c>
      <c r="L720" s="77">
        <f>IFERROR(VLOOKUP(DESPESAS[[#This Row],[Plano de Contas]],BASE!$B$3:$H$119,6,FALSE),"")</f>
        <v>0</v>
      </c>
      <c r="M720" s="77" t="str">
        <f>VLOOKUP(DESPESAS[[#This Row],[Plano de Contas]],BASE!$B$3:$H$119,7,FALSE)</f>
        <v>RAFAEL</v>
      </c>
    </row>
    <row r="721" spans="1:13" x14ac:dyDescent="0.25">
      <c r="A721" s="74">
        <v>197212</v>
      </c>
      <c r="B721" s="75" t="s">
        <v>221</v>
      </c>
      <c r="C721" s="75" t="s">
        <v>2801</v>
      </c>
      <c r="D721" s="76">
        <v>46042</v>
      </c>
      <c r="E721" s="75" t="s">
        <v>768</v>
      </c>
      <c r="F721" s="74">
        <v>205.83</v>
      </c>
      <c r="G721" s="75" t="s">
        <v>772</v>
      </c>
      <c r="H721" s="77" t="str">
        <f>VLOOKUP(DESPESAS[[#This Row],[Plano de Contas]],BASE!$B$3:$D$119,3,FALSE)</f>
        <v>INSS (Adm)</v>
      </c>
      <c r="I721" s="77" t="str">
        <f>IFERROR(VLOOKUP(DESPESAS[[#This Row],[Fornecedor]],Tabela2[],2,FALSE),"")</f>
        <v/>
      </c>
      <c r="J721" s="77" t="str">
        <f>IFERROR(VLOOKUP(DESPESAS[[#This Row],[Plano de Contas]],BASE!$B$3:$F$119,4,FALSE),"")</f>
        <v>4 - GASTOS COM PESSOAL</v>
      </c>
      <c r="K721" s="77" t="str">
        <f>IFERROR(VLOOKUP(DESPESAS[[#This Row],[Plano de Contas]],BASE!$B$3:$H$119,5,FALSE),"")</f>
        <v>DH</v>
      </c>
      <c r="L721" s="77">
        <f>IFERROR(VLOOKUP(DESPESAS[[#This Row],[Plano de Contas]],BASE!$B$3:$H$119,6,FALSE),"")</f>
        <v>0</v>
      </c>
      <c r="M721" s="77" t="str">
        <f>VLOOKUP(DESPESAS[[#This Row],[Plano de Contas]],BASE!$B$3:$H$119,7,FALSE)</f>
        <v>RAFAEL</v>
      </c>
    </row>
    <row r="722" spans="1:13" x14ac:dyDescent="0.25">
      <c r="A722" s="74">
        <v>197213</v>
      </c>
      <c r="B722" s="75" t="s">
        <v>221</v>
      </c>
      <c r="C722" s="75" t="s">
        <v>2800</v>
      </c>
      <c r="D722" s="76">
        <v>46042</v>
      </c>
      <c r="E722" s="75" t="s">
        <v>768</v>
      </c>
      <c r="F722" s="74">
        <v>204.07</v>
      </c>
      <c r="G722" s="75" t="s">
        <v>772</v>
      </c>
      <c r="H722" s="77" t="str">
        <f>VLOOKUP(DESPESAS[[#This Row],[Plano de Contas]],BASE!$B$3:$D$119,3,FALSE)</f>
        <v>INSS (Adm)</v>
      </c>
      <c r="I722" s="77" t="str">
        <f>IFERROR(VLOOKUP(DESPESAS[[#This Row],[Fornecedor]],Tabela2[],2,FALSE),"")</f>
        <v/>
      </c>
      <c r="J722" s="77" t="str">
        <f>IFERROR(VLOOKUP(DESPESAS[[#This Row],[Plano de Contas]],BASE!$B$3:$F$119,4,FALSE),"")</f>
        <v>4 - GASTOS COM PESSOAL</v>
      </c>
      <c r="K722" s="77" t="str">
        <f>IFERROR(VLOOKUP(DESPESAS[[#This Row],[Plano de Contas]],BASE!$B$3:$H$119,5,FALSE),"")</f>
        <v>DH</v>
      </c>
      <c r="L722" s="77">
        <f>IFERROR(VLOOKUP(DESPESAS[[#This Row],[Plano de Contas]],BASE!$B$3:$H$119,6,FALSE),"")</f>
        <v>0</v>
      </c>
      <c r="M722" s="77" t="str">
        <f>VLOOKUP(DESPESAS[[#This Row],[Plano de Contas]],BASE!$B$3:$H$119,7,FALSE)</f>
        <v>RAFAEL</v>
      </c>
    </row>
    <row r="723" spans="1:13" x14ac:dyDescent="0.25">
      <c r="A723" s="74">
        <v>197214</v>
      </c>
      <c r="B723" s="75" t="s">
        <v>279</v>
      </c>
      <c r="C723" s="75" t="s">
        <v>2799</v>
      </c>
      <c r="D723" s="76">
        <v>46042</v>
      </c>
      <c r="E723" s="75" t="s">
        <v>230</v>
      </c>
      <c r="F723" s="74">
        <v>540.25</v>
      </c>
      <c r="G723" s="75" t="s">
        <v>229</v>
      </c>
      <c r="H723" s="77" t="str">
        <f>VLOOKUP(DESPESAS[[#This Row],[Plano de Contas]],BASE!$B$3:$D$119,3,FALSE)</f>
        <v>Despesas Bancarias</v>
      </c>
      <c r="I723" s="77" t="str">
        <f>IFERROR(VLOOKUP(DESPESAS[[#This Row],[Fornecedor]],Tabela2[],2,FALSE),"")</f>
        <v/>
      </c>
      <c r="J723" s="77" t="str">
        <f>IFERROR(VLOOKUP(DESPESAS[[#This Row],[Plano de Contas]],BASE!$B$3:$F$119,4,FALSE),"")</f>
        <v>8 - DESPESAS FINANCEIRAS</v>
      </c>
      <c r="K723" s="77" t="str">
        <f>IFERROR(VLOOKUP(DESPESAS[[#This Row],[Plano de Contas]],BASE!$B$3:$H$119,5,FALSE),"")</f>
        <v>FINANCEIRO</v>
      </c>
      <c r="L723" s="77">
        <f>IFERROR(VLOOKUP(DESPESAS[[#This Row],[Plano de Contas]],BASE!$B$3:$H$119,6,FALSE),"")</f>
        <v>0</v>
      </c>
      <c r="M723" s="77" t="str">
        <f>VLOOKUP(DESPESAS[[#This Row],[Plano de Contas]],BASE!$B$3:$H$119,7,FALSE)</f>
        <v>LETÍCIA</v>
      </c>
    </row>
    <row r="724" spans="1:13" x14ac:dyDescent="0.25">
      <c r="A724" s="74">
        <v>197215</v>
      </c>
      <c r="B724" s="75" t="s">
        <v>279</v>
      </c>
      <c r="C724" s="75" t="s">
        <v>2798</v>
      </c>
      <c r="D724" s="76">
        <v>46042</v>
      </c>
      <c r="E724" s="75" t="s">
        <v>230</v>
      </c>
      <c r="F724" s="74">
        <v>486.52</v>
      </c>
      <c r="G724" s="75" t="s">
        <v>229</v>
      </c>
      <c r="H724" s="77" t="str">
        <f>VLOOKUP(DESPESAS[[#This Row],[Plano de Contas]],BASE!$B$3:$D$119,3,FALSE)</f>
        <v>Despesas Bancarias</v>
      </c>
      <c r="I724" s="77" t="str">
        <f>IFERROR(VLOOKUP(DESPESAS[[#This Row],[Fornecedor]],Tabela2[],2,FALSE),"")</f>
        <v/>
      </c>
      <c r="J724" s="77" t="str">
        <f>IFERROR(VLOOKUP(DESPESAS[[#This Row],[Plano de Contas]],BASE!$B$3:$F$119,4,FALSE),"")</f>
        <v>8 - DESPESAS FINANCEIRAS</v>
      </c>
      <c r="K724" s="77" t="str">
        <f>IFERROR(VLOOKUP(DESPESAS[[#This Row],[Plano de Contas]],BASE!$B$3:$H$119,5,FALSE),"")</f>
        <v>FINANCEIRO</v>
      </c>
      <c r="L724" s="77">
        <f>IFERROR(VLOOKUP(DESPESAS[[#This Row],[Plano de Contas]],BASE!$B$3:$H$119,6,FALSE),"")</f>
        <v>0</v>
      </c>
      <c r="M724" s="77" t="str">
        <f>VLOOKUP(DESPESAS[[#This Row],[Plano de Contas]],BASE!$B$3:$H$119,7,FALSE)</f>
        <v>LETÍCIA</v>
      </c>
    </row>
    <row r="725" spans="1:13" x14ac:dyDescent="0.25">
      <c r="A725" s="74">
        <v>197216</v>
      </c>
      <c r="B725" s="75" t="s">
        <v>279</v>
      </c>
      <c r="C725" s="75" t="s">
        <v>2797</v>
      </c>
      <c r="D725" s="76">
        <v>46042</v>
      </c>
      <c r="E725" s="75" t="s">
        <v>230</v>
      </c>
      <c r="F725" s="74">
        <v>3322.12</v>
      </c>
      <c r="G725" s="75" t="s">
        <v>251</v>
      </c>
      <c r="H725" s="77" t="str">
        <f>VLOOKUP(DESPESAS[[#This Row],[Plano de Contas]],BASE!$B$3:$D$119,3,FALSE)</f>
        <v>Juros Pagos - Antecipação de Crédito</v>
      </c>
      <c r="I725" s="77" t="str">
        <f>IFERROR(VLOOKUP(DESPESAS[[#This Row],[Fornecedor]],Tabela2[],2,FALSE),"")</f>
        <v/>
      </c>
      <c r="J725" s="77" t="str">
        <f>IFERROR(VLOOKUP(DESPESAS[[#This Row],[Plano de Contas]],BASE!$B$3:$F$119,4,FALSE),"")</f>
        <v>8 - DESPESAS FINANCEIRAS</v>
      </c>
      <c r="K725" s="77" t="str">
        <f>IFERROR(VLOOKUP(DESPESAS[[#This Row],[Plano de Contas]],BASE!$B$3:$H$119,5,FALSE),"")</f>
        <v>FINANCEIRO</v>
      </c>
      <c r="L725" s="77">
        <f>IFERROR(VLOOKUP(DESPESAS[[#This Row],[Plano de Contas]],BASE!$B$3:$H$119,6,FALSE),"")</f>
        <v>0</v>
      </c>
      <c r="M725" s="77" t="str">
        <f>VLOOKUP(DESPESAS[[#This Row],[Plano de Contas]],BASE!$B$3:$H$119,7,FALSE)</f>
        <v>LETÍCIA</v>
      </c>
    </row>
    <row r="726" spans="1:13" x14ac:dyDescent="0.25">
      <c r="A726" s="74">
        <v>197229</v>
      </c>
      <c r="B726" s="75" t="s">
        <v>281</v>
      </c>
      <c r="C726" s="75" t="s">
        <v>2796</v>
      </c>
      <c r="D726" s="76">
        <v>46042</v>
      </c>
      <c r="E726" s="75" t="s">
        <v>2462</v>
      </c>
      <c r="F726" s="74">
        <v>800</v>
      </c>
      <c r="G726" s="75" t="s">
        <v>2461</v>
      </c>
      <c r="H726" s="77" t="str">
        <f>VLOOKUP(DESPESAS[[#This Row],[Plano de Contas]],BASE!$B$3:$D$119,3,FALSE)</f>
        <v>Aluguel de Imóvel</v>
      </c>
      <c r="I726" s="77" t="str">
        <f>IFERROR(VLOOKUP(DESPESAS[[#This Row],[Fornecedor]],Tabela2[],2,FALSE),"")</f>
        <v/>
      </c>
      <c r="J726" s="77" t="str">
        <f>IFERROR(VLOOKUP(DESPESAS[[#This Row],[Plano de Contas]],BASE!$B$3:$F$119,4,FALSE),"")</f>
        <v>5 - DESPESAS ADMINISTRATIVAS</v>
      </c>
      <c r="K726" s="77" t="str">
        <f>IFERROR(VLOOKUP(DESPESAS[[#This Row],[Plano de Contas]],BASE!$B$3:$H$119,5,FALSE),"")</f>
        <v>FINANCEIRO</v>
      </c>
      <c r="L726" s="77">
        <f>IFERROR(VLOOKUP(DESPESAS[[#This Row],[Plano de Contas]],BASE!$B$3:$H$119,6,FALSE),"")</f>
        <v>0</v>
      </c>
      <c r="M726" s="77" t="str">
        <f>VLOOKUP(DESPESAS[[#This Row],[Plano de Contas]],BASE!$B$3:$H$119,7,FALSE)</f>
        <v>LETÍCIA</v>
      </c>
    </row>
    <row r="727" spans="1:13" x14ac:dyDescent="0.25">
      <c r="A727" s="74">
        <v>197230</v>
      </c>
      <c r="B727" s="75" t="s">
        <v>232</v>
      </c>
      <c r="C727" s="75" t="s">
        <v>2795</v>
      </c>
      <c r="D727" s="76">
        <v>46042</v>
      </c>
      <c r="E727" s="75" t="s">
        <v>230</v>
      </c>
      <c r="F727" s="74">
        <v>425.3</v>
      </c>
      <c r="G727" s="75" t="s">
        <v>229</v>
      </c>
      <c r="H727" s="77" t="str">
        <f>VLOOKUP(DESPESAS[[#This Row],[Plano de Contas]],BASE!$B$3:$D$119,3,FALSE)</f>
        <v>Despesas Bancarias</v>
      </c>
      <c r="I727" s="77" t="str">
        <f>IFERROR(VLOOKUP(DESPESAS[[#This Row],[Fornecedor]],Tabela2[],2,FALSE),"")</f>
        <v/>
      </c>
      <c r="J727" s="77" t="str">
        <f>IFERROR(VLOOKUP(DESPESAS[[#This Row],[Plano de Contas]],BASE!$B$3:$F$119,4,FALSE),"")</f>
        <v>8 - DESPESAS FINANCEIRAS</v>
      </c>
      <c r="K727" s="77" t="str">
        <f>IFERROR(VLOOKUP(DESPESAS[[#This Row],[Plano de Contas]],BASE!$B$3:$H$119,5,FALSE),"")</f>
        <v>FINANCEIRO</v>
      </c>
      <c r="L727" s="77">
        <f>IFERROR(VLOOKUP(DESPESAS[[#This Row],[Plano de Contas]],BASE!$B$3:$H$119,6,FALSE),"")</f>
        <v>0</v>
      </c>
      <c r="M727" s="77" t="str">
        <f>VLOOKUP(DESPESAS[[#This Row],[Plano de Contas]],BASE!$B$3:$H$119,7,FALSE)</f>
        <v>LETÍCIA</v>
      </c>
    </row>
    <row r="728" spans="1:13" x14ac:dyDescent="0.25">
      <c r="A728" s="74">
        <v>197231</v>
      </c>
      <c r="B728" s="75" t="s">
        <v>232</v>
      </c>
      <c r="C728" s="75" t="s">
        <v>2794</v>
      </c>
      <c r="D728" s="76">
        <v>46042</v>
      </c>
      <c r="E728" s="75" t="s">
        <v>230</v>
      </c>
      <c r="F728" s="74">
        <v>425.41</v>
      </c>
      <c r="G728" s="75" t="s">
        <v>229</v>
      </c>
      <c r="H728" s="77" t="str">
        <f>VLOOKUP(DESPESAS[[#This Row],[Plano de Contas]],BASE!$B$3:$D$119,3,FALSE)</f>
        <v>Despesas Bancarias</v>
      </c>
      <c r="I728" s="77" t="str">
        <f>IFERROR(VLOOKUP(DESPESAS[[#This Row],[Fornecedor]],Tabela2[],2,FALSE),"")</f>
        <v/>
      </c>
      <c r="J728" s="77" t="str">
        <f>IFERROR(VLOOKUP(DESPESAS[[#This Row],[Plano de Contas]],BASE!$B$3:$F$119,4,FALSE),"")</f>
        <v>8 - DESPESAS FINANCEIRAS</v>
      </c>
      <c r="K728" s="77" t="str">
        <f>IFERROR(VLOOKUP(DESPESAS[[#This Row],[Plano de Contas]],BASE!$B$3:$H$119,5,FALSE),"")</f>
        <v>FINANCEIRO</v>
      </c>
      <c r="L728" s="77">
        <f>IFERROR(VLOOKUP(DESPESAS[[#This Row],[Plano de Contas]],BASE!$B$3:$H$119,6,FALSE),"")</f>
        <v>0</v>
      </c>
      <c r="M728" s="77" t="str">
        <f>VLOOKUP(DESPESAS[[#This Row],[Plano de Contas]],BASE!$B$3:$H$119,7,FALSE)</f>
        <v>LETÍCIA</v>
      </c>
    </row>
    <row r="729" spans="1:13" x14ac:dyDescent="0.25">
      <c r="A729" s="74">
        <v>197232</v>
      </c>
      <c r="B729" s="75" t="s">
        <v>232</v>
      </c>
      <c r="C729" s="75" t="s">
        <v>2793</v>
      </c>
      <c r="D729" s="76">
        <v>46042</v>
      </c>
      <c r="E729" s="75" t="s">
        <v>230</v>
      </c>
      <c r="F729" s="74">
        <v>2589.73</v>
      </c>
      <c r="G729" s="75" t="s">
        <v>251</v>
      </c>
      <c r="H729" s="77" t="str">
        <f>VLOOKUP(DESPESAS[[#This Row],[Plano de Contas]],BASE!$B$3:$D$119,3,FALSE)</f>
        <v>Juros Pagos - Antecipação de Crédito</v>
      </c>
      <c r="I729" s="77" t="str">
        <f>IFERROR(VLOOKUP(DESPESAS[[#This Row],[Fornecedor]],Tabela2[],2,FALSE),"")</f>
        <v/>
      </c>
      <c r="J729" s="77" t="str">
        <f>IFERROR(VLOOKUP(DESPESAS[[#This Row],[Plano de Contas]],BASE!$B$3:$F$119,4,FALSE),"")</f>
        <v>8 - DESPESAS FINANCEIRAS</v>
      </c>
      <c r="K729" s="77" t="str">
        <f>IFERROR(VLOOKUP(DESPESAS[[#This Row],[Plano de Contas]],BASE!$B$3:$H$119,5,FALSE),"")</f>
        <v>FINANCEIRO</v>
      </c>
      <c r="L729" s="77">
        <f>IFERROR(VLOOKUP(DESPESAS[[#This Row],[Plano de Contas]],BASE!$B$3:$H$119,6,FALSE),"")</f>
        <v>0</v>
      </c>
      <c r="M729" s="77" t="str">
        <f>VLOOKUP(DESPESAS[[#This Row],[Plano de Contas]],BASE!$B$3:$H$119,7,FALSE)</f>
        <v>LETÍCIA</v>
      </c>
    </row>
    <row r="730" spans="1:13" x14ac:dyDescent="0.25">
      <c r="A730" s="74">
        <v>197234</v>
      </c>
      <c r="B730" s="75" t="s">
        <v>221</v>
      </c>
      <c r="C730" s="75" t="s">
        <v>2792</v>
      </c>
      <c r="D730" s="76">
        <v>46042</v>
      </c>
      <c r="E730" s="75" t="s">
        <v>970</v>
      </c>
      <c r="F730" s="74">
        <v>30</v>
      </c>
      <c r="G730" s="75" t="s">
        <v>719</v>
      </c>
      <c r="H730" s="77" t="str">
        <f>VLOOKUP(DESPESAS[[#This Row],[Plano de Contas]],BASE!$B$3:$D$119,3,FALSE)</f>
        <v>Outros Serviços de Terceiros</v>
      </c>
      <c r="I730" s="77" t="str">
        <f>IFERROR(VLOOKUP(DESPESAS[[#This Row],[Fornecedor]],Tabela2[],2,FALSE),"")</f>
        <v/>
      </c>
      <c r="J730" s="77" t="str">
        <f>IFERROR(VLOOKUP(DESPESAS[[#This Row],[Plano de Contas]],BASE!$B$3:$F$119,4,FALSE),"")</f>
        <v>7 - SERVIÇOS DE TERCEIROS</v>
      </c>
      <c r="K730" s="77" t="str">
        <f>IFERROR(VLOOKUP(DESPESAS[[#This Row],[Plano de Contas]],BASE!$B$3:$H$119,5,FALSE),"")</f>
        <v>FINANCEIRO</v>
      </c>
      <c r="L730" s="77">
        <f>IFERROR(VLOOKUP(DESPESAS[[#This Row],[Plano de Contas]],BASE!$B$3:$H$119,6,FALSE),"")</f>
        <v>0</v>
      </c>
      <c r="M730" s="77" t="str">
        <f>VLOOKUP(DESPESAS[[#This Row],[Plano de Contas]],BASE!$B$3:$H$119,7,FALSE)</f>
        <v>LETÍCIA</v>
      </c>
    </row>
    <row r="731" spans="1:13" x14ac:dyDescent="0.25">
      <c r="A731" s="74">
        <v>197235</v>
      </c>
      <c r="B731" s="75" t="s">
        <v>221</v>
      </c>
      <c r="C731" s="75" t="s">
        <v>2791</v>
      </c>
      <c r="D731" s="76">
        <v>46042</v>
      </c>
      <c r="E731" s="75" t="s">
        <v>1872</v>
      </c>
      <c r="F731" s="74">
        <v>156</v>
      </c>
      <c r="G731" s="75" t="s">
        <v>259</v>
      </c>
      <c r="H731" s="77" t="str">
        <f>VLOOKUP(DESPESAS[[#This Row],[Plano de Contas]],BASE!$B$3:$D$119,3,FALSE)</f>
        <v>Manutenção Predial CIF</v>
      </c>
      <c r="I731" s="77" t="str">
        <f>IFERROR(VLOOKUP(DESPESAS[[#This Row],[Fornecedor]],Tabela2[],2,FALSE),"")</f>
        <v>MATERIAIS ELETRICOS</v>
      </c>
      <c r="J731" s="77" t="str">
        <f>IFERROR(VLOOKUP(DESPESAS[[#This Row],[Plano de Contas]],BASE!$B$3:$F$119,4,FALSE),"")</f>
        <v>3 - CUSTOS INDIRETOS</v>
      </c>
      <c r="K731" s="77" t="str">
        <f>IFERROR(VLOOKUP(DESPESAS[[#This Row],[Plano de Contas]],BASE!$B$3:$H$119,5,FALSE),"")</f>
        <v>MANUTENÇÃO / TI</v>
      </c>
      <c r="L731" s="77">
        <f>IFERROR(VLOOKUP(DESPESAS[[#This Row],[Plano de Contas]],BASE!$B$3:$H$119,6,FALSE),"")</f>
        <v>0</v>
      </c>
      <c r="M731" s="77" t="str">
        <f>VLOOKUP(DESPESAS[[#This Row],[Plano de Contas]],BASE!$B$3:$H$119,7,FALSE)</f>
        <v>FÁBIO</v>
      </c>
    </row>
    <row r="732" spans="1:13" x14ac:dyDescent="0.25">
      <c r="A732" s="74">
        <v>197236</v>
      </c>
      <c r="B732" s="75" t="s">
        <v>232</v>
      </c>
      <c r="C732" s="75" t="s">
        <v>2790</v>
      </c>
      <c r="D732" s="76">
        <v>46042</v>
      </c>
      <c r="E732" s="75" t="s">
        <v>230</v>
      </c>
      <c r="F732" s="74">
        <v>0.86</v>
      </c>
      <c r="G732" s="75" t="s">
        <v>229</v>
      </c>
      <c r="H732" s="77" t="str">
        <f>VLOOKUP(DESPESAS[[#This Row],[Plano de Contas]],BASE!$B$3:$D$119,3,FALSE)</f>
        <v>Despesas Bancarias</v>
      </c>
      <c r="I732" s="77" t="str">
        <f>IFERROR(VLOOKUP(DESPESAS[[#This Row],[Fornecedor]],Tabela2[],2,FALSE),"")</f>
        <v/>
      </c>
      <c r="J732" s="77" t="str">
        <f>IFERROR(VLOOKUP(DESPESAS[[#This Row],[Plano de Contas]],BASE!$B$3:$F$119,4,FALSE),"")</f>
        <v>8 - DESPESAS FINANCEIRAS</v>
      </c>
      <c r="K732" s="77" t="str">
        <f>IFERROR(VLOOKUP(DESPESAS[[#This Row],[Plano de Contas]],BASE!$B$3:$H$119,5,FALSE),"")</f>
        <v>FINANCEIRO</v>
      </c>
      <c r="L732" s="77">
        <f>IFERROR(VLOOKUP(DESPESAS[[#This Row],[Plano de Contas]],BASE!$B$3:$H$119,6,FALSE),"")</f>
        <v>0</v>
      </c>
      <c r="M732" s="77" t="str">
        <f>VLOOKUP(DESPESAS[[#This Row],[Plano de Contas]],BASE!$B$3:$H$119,7,FALSE)</f>
        <v>LETÍCIA</v>
      </c>
    </row>
    <row r="733" spans="1:13" x14ac:dyDescent="0.25">
      <c r="A733" s="74">
        <v>197237</v>
      </c>
      <c r="B733" s="75" t="s">
        <v>232</v>
      </c>
      <c r="C733" s="75" t="s">
        <v>2789</v>
      </c>
      <c r="D733" s="76">
        <v>46042</v>
      </c>
      <c r="E733" s="75" t="s">
        <v>230</v>
      </c>
      <c r="F733" s="74">
        <v>266.51</v>
      </c>
      <c r="G733" s="75" t="s">
        <v>356</v>
      </c>
      <c r="H733" s="77" t="str">
        <f>VLOOKUP(DESPESAS[[#This Row],[Plano de Contas]],BASE!$B$3:$D$119,3,FALSE)</f>
        <v>Despesas Cartorárias</v>
      </c>
      <c r="I733" s="77" t="str">
        <f>IFERROR(VLOOKUP(DESPESAS[[#This Row],[Fornecedor]],Tabela2[],2,FALSE),"")</f>
        <v/>
      </c>
      <c r="J733" s="77" t="str">
        <f>IFERROR(VLOOKUP(DESPESAS[[#This Row],[Plano de Contas]],BASE!$B$3:$F$119,4,FALSE),"")</f>
        <v>5 - DESPESAS ADMINISTRATIVAS</v>
      </c>
      <c r="K733" s="77" t="str">
        <f>IFERROR(VLOOKUP(DESPESAS[[#This Row],[Plano de Contas]],BASE!$B$3:$H$119,5,FALSE),"")</f>
        <v>FINANCEIRO</v>
      </c>
      <c r="L733" s="77">
        <f>IFERROR(VLOOKUP(DESPESAS[[#This Row],[Plano de Contas]],BASE!$B$3:$H$119,6,FALSE),"")</f>
        <v>0</v>
      </c>
      <c r="M733" s="77" t="str">
        <f>VLOOKUP(DESPESAS[[#This Row],[Plano de Contas]],BASE!$B$3:$H$119,7,FALSE)</f>
        <v>LETÍCIA</v>
      </c>
    </row>
    <row r="734" spans="1:13" x14ac:dyDescent="0.25">
      <c r="A734" s="74">
        <v>197238</v>
      </c>
      <c r="B734" s="75" t="s">
        <v>232</v>
      </c>
      <c r="C734" s="75" t="s">
        <v>2788</v>
      </c>
      <c r="D734" s="76">
        <v>46042</v>
      </c>
      <c r="E734" s="75" t="s">
        <v>230</v>
      </c>
      <c r="F734" s="74">
        <v>71.34</v>
      </c>
      <c r="G734" s="75" t="s">
        <v>356</v>
      </c>
      <c r="H734" s="77" t="str">
        <f>VLOOKUP(DESPESAS[[#This Row],[Plano de Contas]],BASE!$B$3:$D$119,3,FALSE)</f>
        <v>Despesas Cartorárias</v>
      </c>
      <c r="I734" s="77" t="str">
        <f>IFERROR(VLOOKUP(DESPESAS[[#This Row],[Fornecedor]],Tabela2[],2,FALSE),"")</f>
        <v/>
      </c>
      <c r="J734" s="77" t="str">
        <f>IFERROR(VLOOKUP(DESPESAS[[#This Row],[Plano de Contas]],BASE!$B$3:$F$119,4,FALSE),"")</f>
        <v>5 - DESPESAS ADMINISTRATIVAS</v>
      </c>
      <c r="K734" s="77" t="str">
        <f>IFERROR(VLOOKUP(DESPESAS[[#This Row],[Plano de Contas]],BASE!$B$3:$H$119,5,FALSE),"")</f>
        <v>FINANCEIRO</v>
      </c>
      <c r="L734" s="77">
        <f>IFERROR(VLOOKUP(DESPESAS[[#This Row],[Plano de Contas]],BASE!$B$3:$H$119,6,FALSE),"")</f>
        <v>0</v>
      </c>
      <c r="M734" s="77" t="str">
        <f>VLOOKUP(DESPESAS[[#This Row],[Plano de Contas]],BASE!$B$3:$H$119,7,FALSE)</f>
        <v>LETÍCIA</v>
      </c>
    </row>
    <row r="735" spans="1:13" x14ac:dyDescent="0.25">
      <c r="A735" s="74">
        <v>197239</v>
      </c>
      <c r="B735" s="75" t="s">
        <v>232</v>
      </c>
      <c r="C735" s="75" t="s">
        <v>2787</v>
      </c>
      <c r="D735" s="76">
        <v>46043</v>
      </c>
      <c r="E735" s="75" t="s">
        <v>230</v>
      </c>
      <c r="F735" s="74">
        <v>37.14</v>
      </c>
      <c r="G735" s="75" t="s">
        <v>251</v>
      </c>
      <c r="H735" s="77" t="str">
        <f>VLOOKUP(DESPESAS[[#This Row],[Plano de Contas]],BASE!$B$3:$D$119,3,FALSE)</f>
        <v>Juros Pagos - Antecipação de Crédito</v>
      </c>
      <c r="I735" s="77" t="str">
        <f>IFERROR(VLOOKUP(DESPESAS[[#This Row],[Fornecedor]],Tabela2[],2,FALSE),"")</f>
        <v/>
      </c>
      <c r="J735" s="77" t="str">
        <f>IFERROR(VLOOKUP(DESPESAS[[#This Row],[Plano de Contas]],BASE!$B$3:$F$119,4,FALSE),"")</f>
        <v>8 - DESPESAS FINANCEIRAS</v>
      </c>
      <c r="K735" s="77" t="str">
        <f>IFERROR(VLOOKUP(DESPESAS[[#This Row],[Plano de Contas]],BASE!$B$3:$H$119,5,FALSE),"")</f>
        <v>FINANCEIRO</v>
      </c>
      <c r="L735" s="77">
        <f>IFERROR(VLOOKUP(DESPESAS[[#This Row],[Plano de Contas]],BASE!$B$3:$H$119,6,FALSE),"")</f>
        <v>0</v>
      </c>
      <c r="M735" s="77" t="str">
        <f>VLOOKUP(DESPESAS[[#This Row],[Plano de Contas]],BASE!$B$3:$H$119,7,FALSE)</f>
        <v>LETÍCIA</v>
      </c>
    </row>
    <row r="736" spans="1:13" x14ac:dyDescent="0.25">
      <c r="A736" s="74">
        <v>197240</v>
      </c>
      <c r="B736" s="75" t="s">
        <v>232</v>
      </c>
      <c r="C736" s="75" t="s">
        <v>2786</v>
      </c>
      <c r="D736" s="76">
        <v>46043</v>
      </c>
      <c r="E736" s="75" t="s">
        <v>230</v>
      </c>
      <c r="F736" s="74">
        <v>3.47</v>
      </c>
      <c r="G736" s="75" t="s">
        <v>229</v>
      </c>
      <c r="H736" s="77" t="str">
        <f>VLOOKUP(DESPESAS[[#This Row],[Plano de Contas]],BASE!$B$3:$D$119,3,FALSE)</f>
        <v>Despesas Bancarias</v>
      </c>
      <c r="I736" s="77" t="str">
        <f>IFERROR(VLOOKUP(DESPESAS[[#This Row],[Fornecedor]],Tabela2[],2,FALSE),"")</f>
        <v/>
      </c>
      <c r="J736" s="77" t="str">
        <f>IFERROR(VLOOKUP(DESPESAS[[#This Row],[Plano de Contas]],BASE!$B$3:$F$119,4,FALSE),"")</f>
        <v>8 - DESPESAS FINANCEIRAS</v>
      </c>
      <c r="K736" s="77" t="str">
        <f>IFERROR(VLOOKUP(DESPESAS[[#This Row],[Plano de Contas]],BASE!$B$3:$H$119,5,FALSE),"")</f>
        <v>FINANCEIRO</v>
      </c>
      <c r="L736" s="77">
        <f>IFERROR(VLOOKUP(DESPESAS[[#This Row],[Plano de Contas]],BASE!$B$3:$H$119,6,FALSE),"")</f>
        <v>0</v>
      </c>
      <c r="M736" s="77" t="str">
        <f>VLOOKUP(DESPESAS[[#This Row],[Plano de Contas]],BASE!$B$3:$H$119,7,FALSE)</f>
        <v>LETÍCIA</v>
      </c>
    </row>
    <row r="737" spans="1:13" x14ac:dyDescent="0.25">
      <c r="A737" s="74">
        <v>197241</v>
      </c>
      <c r="B737" s="75" t="s">
        <v>232</v>
      </c>
      <c r="C737" s="75" t="s">
        <v>2785</v>
      </c>
      <c r="D737" s="76">
        <v>46043</v>
      </c>
      <c r="E737" s="75" t="s">
        <v>230</v>
      </c>
      <c r="F737" s="74">
        <v>11.85</v>
      </c>
      <c r="G737" s="75" t="s">
        <v>229</v>
      </c>
      <c r="H737" s="77" t="str">
        <f>VLOOKUP(DESPESAS[[#This Row],[Plano de Contas]],BASE!$B$3:$D$119,3,FALSE)</f>
        <v>Despesas Bancarias</v>
      </c>
      <c r="I737" s="77" t="str">
        <f>IFERROR(VLOOKUP(DESPESAS[[#This Row],[Fornecedor]],Tabela2[],2,FALSE),"")</f>
        <v/>
      </c>
      <c r="J737" s="77" t="str">
        <f>IFERROR(VLOOKUP(DESPESAS[[#This Row],[Plano de Contas]],BASE!$B$3:$F$119,4,FALSE),"")</f>
        <v>8 - DESPESAS FINANCEIRAS</v>
      </c>
      <c r="K737" s="77" t="str">
        <f>IFERROR(VLOOKUP(DESPESAS[[#This Row],[Plano de Contas]],BASE!$B$3:$H$119,5,FALSE),"")</f>
        <v>FINANCEIRO</v>
      </c>
      <c r="L737" s="77">
        <f>IFERROR(VLOOKUP(DESPESAS[[#This Row],[Plano de Contas]],BASE!$B$3:$H$119,6,FALSE),"")</f>
        <v>0</v>
      </c>
      <c r="M737" s="77" t="str">
        <f>VLOOKUP(DESPESAS[[#This Row],[Plano de Contas]],BASE!$B$3:$H$119,7,FALSE)</f>
        <v>LETÍCIA</v>
      </c>
    </row>
    <row r="738" spans="1:13" x14ac:dyDescent="0.25">
      <c r="A738" s="74">
        <v>197242</v>
      </c>
      <c r="B738" s="75" t="s">
        <v>232</v>
      </c>
      <c r="C738" s="75" t="s">
        <v>2784</v>
      </c>
      <c r="D738" s="76">
        <v>46042</v>
      </c>
      <c r="E738" s="75" t="s">
        <v>230</v>
      </c>
      <c r="F738" s="74">
        <v>82.71</v>
      </c>
      <c r="G738" s="75" t="s">
        <v>356</v>
      </c>
      <c r="H738" s="77" t="str">
        <f>VLOOKUP(DESPESAS[[#This Row],[Plano de Contas]],BASE!$B$3:$D$119,3,FALSE)</f>
        <v>Despesas Cartorárias</v>
      </c>
      <c r="I738" s="77" t="str">
        <f>IFERROR(VLOOKUP(DESPESAS[[#This Row],[Fornecedor]],Tabela2[],2,FALSE),"")</f>
        <v/>
      </c>
      <c r="J738" s="77" t="str">
        <f>IFERROR(VLOOKUP(DESPESAS[[#This Row],[Plano de Contas]],BASE!$B$3:$F$119,4,FALSE),"")</f>
        <v>5 - DESPESAS ADMINISTRATIVAS</v>
      </c>
      <c r="K738" s="77" t="str">
        <f>IFERROR(VLOOKUP(DESPESAS[[#This Row],[Plano de Contas]],BASE!$B$3:$H$119,5,FALSE),"")</f>
        <v>FINANCEIRO</v>
      </c>
      <c r="L738" s="77">
        <f>IFERROR(VLOOKUP(DESPESAS[[#This Row],[Plano de Contas]],BASE!$B$3:$H$119,6,FALSE),"")</f>
        <v>0</v>
      </c>
      <c r="M738" s="77" t="str">
        <f>VLOOKUP(DESPESAS[[#This Row],[Plano de Contas]],BASE!$B$3:$H$119,7,FALSE)</f>
        <v>LETÍCIA</v>
      </c>
    </row>
    <row r="739" spans="1:13" x14ac:dyDescent="0.25">
      <c r="A739" s="74">
        <v>197244</v>
      </c>
      <c r="B739" s="75" t="s">
        <v>232</v>
      </c>
      <c r="C739" s="75" t="s">
        <v>2783</v>
      </c>
      <c r="D739" s="76">
        <v>46042</v>
      </c>
      <c r="E739" s="75" t="s">
        <v>230</v>
      </c>
      <c r="F739" s="74">
        <v>22.14</v>
      </c>
      <c r="G739" s="75" t="s">
        <v>229</v>
      </c>
      <c r="H739" s="77" t="str">
        <f>VLOOKUP(DESPESAS[[#This Row],[Plano de Contas]],BASE!$B$3:$D$119,3,FALSE)</f>
        <v>Despesas Bancarias</v>
      </c>
      <c r="I739" s="77" t="str">
        <f>IFERROR(VLOOKUP(DESPESAS[[#This Row],[Fornecedor]],Tabela2[],2,FALSE),"")</f>
        <v/>
      </c>
      <c r="J739" s="77" t="str">
        <f>IFERROR(VLOOKUP(DESPESAS[[#This Row],[Plano de Contas]],BASE!$B$3:$F$119,4,FALSE),"")</f>
        <v>8 - DESPESAS FINANCEIRAS</v>
      </c>
      <c r="K739" s="77" t="str">
        <f>IFERROR(VLOOKUP(DESPESAS[[#This Row],[Plano de Contas]],BASE!$B$3:$H$119,5,FALSE),"")</f>
        <v>FINANCEIRO</v>
      </c>
      <c r="L739" s="77">
        <f>IFERROR(VLOOKUP(DESPESAS[[#This Row],[Plano de Contas]],BASE!$B$3:$H$119,6,FALSE),"")</f>
        <v>0</v>
      </c>
      <c r="M739" s="77" t="str">
        <f>VLOOKUP(DESPESAS[[#This Row],[Plano de Contas]],BASE!$B$3:$H$119,7,FALSE)</f>
        <v>LETÍCIA</v>
      </c>
    </row>
    <row r="740" spans="1:13" x14ac:dyDescent="0.25">
      <c r="A740" s="74">
        <v>197245</v>
      </c>
      <c r="B740" s="75" t="s">
        <v>232</v>
      </c>
      <c r="C740" s="75" t="s">
        <v>2782</v>
      </c>
      <c r="D740" s="76">
        <v>46042</v>
      </c>
      <c r="E740" s="75" t="s">
        <v>230</v>
      </c>
      <c r="F740" s="74">
        <v>2.37</v>
      </c>
      <c r="G740" s="75" t="s">
        <v>229</v>
      </c>
      <c r="H740" s="77" t="str">
        <f>VLOOKUP(DESPESAS[[#This Row],[Plano de Contas]],BASE!$B$3:$D$119,3,FALSE)</f>
        <v>Despesas Bancarias</v>
      </c>
      <c r="I740" s="77" t="str">
        <f>IFERROR(VLOOKUP(DESPESAS[[#This Row],[Fornecedor]],Tabela2[],2,FALSE),"")</f>
        <v/>
      </c>
      <c r="J740" s="77" t="str">
        <f>IFERROR(VLOOKUP(DESPESAS[[#This Row],[Plano de Contas]],BASE!$B$3:$F$119,4,FALSE),"")</f>
        <v>8 - DESPESAS FINANCEIRAS</v>
      </c>
      <c r="K740" s="77" t="str">
        <f>IFERROR(VLOOKUP(DESPESAS[[#This Row],[Plano de Contas]],BASE!$B$3:$H$119,5,FALSE),"")</f>
        <v>FINANCEIRO</v>
      </c>
      <c r="L740" s="77">
        <f>IFERROR(VLOOKUP(DESPESAS[[#This Row],[Plano de Contas]],BASE!$B$3:$H$119,6,FALSE),"")</f>
        <v>0</v>
      </c>
      <c r="M740" s="77" t="str">
        <f>VLOOKUP(DESPESAS[[#This Row],[Plano de Contas]],BASE!$B$3:$H$119,7,FALSE)</f>
        <v>LETÍCIA</v>
      </c>
    </row>
    <row r="741" spans="1:13" x14ac:dyDescent="0.25">
      <c r="A741" s="74">
        <v>197246</v>
      </c>
      <c r="B741" s="75" t="s">
        <v>232</v>
      </c>
      <c r="C741" s="75" t="s">
        <v>2781</v>
      </c>
      <c r="D741" s="76">
        <v>46043</v>
      </c>
      <c r="E741" s="75" t="s">
        <v>230</v>
      </c>
      <c r="F741" s="74">
        <v>2.1800000000000002</v>
      </c>
      <c r="G741" s="75" t="s">
        <v>229</v>
      </c>
      <c r="H741" s="77" t="str">
        <f>VLOOKUP(DESPESAS[[#This Row],[Plano de Contas]],BASE!$B$3:$D$119,3,FALSE)</f>
        <v>Despesas Bancarias</v>
      </c>
      <c r="I741" s="77" t="str">
        <f>IFERROR(VLOOKUP(DESPESAS[[#This Row],[Fornecedor]],Tabela2[],2,FALSE),"")</f>
        <v/>
      </c>
      <c r="J741" s="77" t="str">
        <f>IFERROR(VLOOKUP(DESPESAS[[#This Row],[Plano de Contas]],BASE!$B$3:$F$119,4,FALSE),"")</f>
        <v>8 - DESPESAS FINANCEIRAS</v>
      </c>
      <c r="K741" s="77" t="str">
        <f>IFERROR(VLOOKUP(DESPESAS[[#This Row],[Plano de Contas]],BASE!$B$3:$H$119,5,FALSE),"")</f>
        <v>FINANCEIRO</v>
      </c>
      <c r="L741" s="77">
        <f>IFERROR(VLOOKUP(DESPESAS[[#This Row],[Plano de Contas]],BASE!$B$3:$H$119,6,FALSE),"")</f>
        <v>0</v>
      </c>
      <c r="M741" s="77" t="str">
        <f>VLOOKUP(DESPESAS[[#This Row],[Plano de Contas]],BASE!$B$3:$H$119,7,FALSE)</f>
        <v>LETÍCIA</v>
      </c>
    </row>
    <row r="742" spans="1:13" x14ac:dyDescent="0.25">
      <c r="A742" s="74">
        <v>197247</v>
      </c>
      <c r="B742" s="75" t="s">
        <v>232</v>
      </c>
      <c r="C742" s="75" t="s">
        <v>2780</v>
      </c>
      <c r="D742" s="76">
        <v>46042</v>
      </c>
      <c r="E742" s="75" t="s">
        <v>230</v>
      </c>
      <c r="F742" s="74">
        <v>78.2</v>
      </c>
      <c r="G742" s="75" t="s">
        <v>229</v>
      </c>
      <c r="H742" s="77" t="str">
        <f>VLOOKUP(DESPESAS[[#This Row],[Plano de Contas]],BASE!$B$3:$D$119,3,FALSE)</f>
        <v>Despesas Bancarias</v>
      </c>
      <c r="I742" s="77" t="str">
        <f>IFERROR(VLOOKUP(DESPESAS[[#This Row],[Fornecedor]],Tabela2[],2,FALSE),"")</f>
        <v/>
      </c>
      <c r="J742" s="77" t="str">
        <f>IFERROR(VLOOKUP(DESPESAS[[#This Row],[Plano de Contas]],BASE!$B$3:$F$119,4,FALSE),"")</f>
        <v>8 - DESPESAS FINANCEIRAS</v>
      </c>
      <c r="K742" s="77" t="str">
        <f>IFERROR(VLOOKUP(DESPESAS[[#This Row],[Plano de Contas]],BASE!$B$3:$H$119,5,FALSE),"")</f>
        <v>FINANCEIRO</v>
      </c>
      <c r="L742" s="77">
        <f>IFERROR(VLOOKUP(DESPESAS[[#This Row],[Plano de Contas]],BASE!$B$3:$H$119,6,FALSE),"")</f>
        <v>0</v>
      </c>
      <c r="M742" s="77" t="str">
        <f>VLOOKUP(DESPESAS[[#This Row],[Plano de Contas]],BASE!$B$3:$H$119,7,FALSE)</f>
        <v>LETÍCIA</v>
      </c>
    </row>
    <row r="743" spans="1:13" x14ac:dyDescent="0.25">
      <c r="A743" s="74">
        <v>197248</v>
      </c>
      <c r="B743" s="75" t="s">
        <v>232</v>
      </c>
      <c r="C743" s="75" t="s">
        <v>2779</v>
      </c>
      <c r="D743" s="76">
        <v>46043</v>
      </c>
      <c r="E743" s="75" t="s">
        <v>230</v>
      </c>
      <c r="F743" s="74">
        <v>0.95</v>
      </c>
      <c r="G743" s="75" t="s">
        <v>229</v>
      </c>
      <c r="H743" s="77" t="str">
        <f>VLOOKUP(DESPESAS[[#This Row],[Plano de Contas]],BASE!$B$3:$D$119,3,FALSE)</f>
        <v>Despesas Bancarias</v>
      </c>
      <c r="I743" s="77" t="str">
        <f>IFERROR(VLOOKUP(DESPESAS[[#This Row],[Fornecedor]],Tabela2[],2,FALSE),"")</f>
        <v/>
      </c>
      <c r="J743" s="77" t="str">
        <f>IFERROR(VLOOKUP(DESPESAS[[#This Row],[Plano de Contas]],BASE!$B$3:$F$119,4,FALSE),"")</f>
        <v>8 - DESPESAS FINANCEIRAS</v>
      </c>
      <c r="K743" s="77" t="str">
        <f>IFERROR(VLOOKUP(DESPESAS[[#This Row],[Plano de Contas]],BASE!$B$3:$H$119,5,FALSE),"")</f>
        <v>FINANCEIRO</v>
      </c>
      <c r="L743" s="77">
        <f>IFERROR(VLOOKUP(DESPESAS[[#This Row],[Plano de Contas]],BASE!$B$3:$H$119,6,FALSE),"")</f>
        <v>0</v>
      </c>
      <c r="M743" s="77" t="str">
        <f>VLOOKUP(DESPESAS[[#This Row],[Plano de Contas]],BASE!$B$3:$H$119,7,FALSE)</f>
        <v>LETÍCIA</v>
      </c>
    </row>
    <row r="744" spans="1:13" x14ac:dyDescent="0.25">
      <c r="A744" s="74">
        <v>197251</v>
      </c>
      <c r="B744" s="75" t="s">
        <v>232</v>
      </c>
      <c r="C744" s="75" t="s">
        <v>2778</v>
      </c>
      <c r="D744" s="76">
        <v>46043</v>
      </c>
      <c r="E744" s="75" t="s">
        <v>2018</v>
      </c>
      <c r="F744" s="74">
        <v>110</v>
      </c>
      <c r="G744" s="75" t="s">
        <v>489</v>
      </c>
      <c r="H744" s="77" t="str">
        <f>VLOOKUP(DESPESAS[[#This Row],[Plano de Contas]],BASE!$B$3:$D$119,3,FALSE)</f>
        <v>Material de Limpeza CIF</v>
      </c>
      <c r="I744" s="77" t="str">
        <f>IFERROR(VLOOKUP(DESPESAS[[#This Row],[Fornecedor]],Tabela2[],2,FALSE),"")</f>
        <v/>
      </c>
      <c r="J744" s="77" t="str">
        <f>IFERROR(VLOOKUP(DESPESAS[[#This Row],[Plano de Contas]],BASE!$B$3:$F$119,4,FALSE),"")</f>
        <v>3 - CUSTOS INDIRETOS</v>
      </c>
      <c r="K744" s="77" t="str">
        <f>IFERROR(VLOOKUP(DESPESAS[[#This Row],[Plano de Contas]],BASE!$B$3:$H$119,5,FALSE),"")</f>
        <v>COMPRAS</v>
      </c>
      <c r="L744" s="77">
        <f>IFERROR(VLOOKUP(DESPESAS[[#This Row],[Plano de Contas]],BASE!$B$3:$H$119,6,FALSE),"")</f>
        <v>0</v>
      </c>
      <c r="M744" s="77" t="str">
        <f>VLOOKUP(DESPESAS[[#This Row],[Plano de Contas]],BASE!$B$3:$H$119,7,FALSE)</f>
        <v>MYLENA</v>
      </c>
    </row>
    <row r="745" spans="1:13" x14ac:dyDescent="0.25">
      <c r="A745" s="74">
        <v>197252</v>
      </c>
      <c r="B745" s="75" t="s">
        <v>281</v>
      </c>
      <c r="C745" s="75" t="s">
        <v>2777</v>
      </c>
      <c r="D745" s="76">
        <v>46043</v>
      </c>
      <c r="E745" s="75" t="s">
        <v>631</v>
      </c>
      <c r="F745" s="74">
        <v>75</v>
      </c>
      <c r="G745" s="75" t="s">
        <v>1884</v>
      </c>
      <c r="H745" s="77" t="str">
        <f>VLOOKUP(DESPESAS[[#This Row],[Plano de Contas]],BASE!$B$3:$D$119,3,FALSE)</f>
        <v>Medicina e Seguranca do Trabalho CIF</v>
      </c>
      <c r="I745" s="77" t="str">
        <f>IFERROR(VLOOKUP(DESPESAS[[#This Row],[Fornecedor]],Tabela2[],2,FALSE),"")</f>
        <v/>
      </c>
      <c r="J745" s="77" t="str">
        <f>IFERROR(VLOOKUP(DESPESAS[[#This Row],[Plano de Contas]],BASE!$B$3:$F$119,4,FALSE),"")</f>
        <v>3 - CUSTOS INDIRETOS</v>
      </c>
      <c r="K745" s="77" t="str">
        <f>IFERROR(VLOOKUP(DESPESAS[[#This Row],[Plano de Contas]],BASE!$B$3:$H$119,5,FALSE),"")</f>
        <v>DH</v>
      </c>
      <c r="L745" s="77" t="str">
        <f>IFERROR(VLOOKUP(DESPESAS[[#This Row],[Plano de Contas]],BASE!$B$3:$H$119,6,FALSE),"")</f>
        <v>CUSTO MÃO DE OBRA DIRETA</v>
      </c>
      <c r="M745" s="77" t="str">
        <f>VLOOKUP(DESPESAS[[#This Row],[Plano de Contas]],BASE!$B$3:$H$119,7,FALSE)</f>
        <v>RAFAEL</v>
      </c>
    </row>
    <row r="746" spans="1:13" x14ac:dyDescent="0.25">
      <c r="A746" s="74">
        <v>197254</v>
      </c>
      <c r="B746" s="75" t="s">
        <v>232</v>
      </c>
      <c r="C746" s="75" t="s">
        <v>2776</v>
      </c>
      <c r="D746" s="76">
        <v>46043</v>
      </c>
      <c r="E746" s="75" t="s">
        <v>1996</v>
      </c>
      <c r="F746" s="74">
        <v>280</v>
      </c>
      <c r="G746" s="75" t="s">
        <v>1318</v>
      </c>
      <c r="H746" s="77" t="str">
        <f>VLOOKUP(DESPESAS[[#This Row],[Plano de Contas]],BASE!$B$3:$D$119,3,FALSE)</f>
        <v>Feiras e Eventos</v>
      </c>
      <c r="I746" s="77" t="str">
        <f>IFERROR(VLOOKUP(DESPESAS[[#This Row],[Fornecedor]],Tabela2[],2,FALSE),"")</f>
        <v/>
      </c>
      <c r="J746" s="77" t="str">
        <f>IFERROR(VLOOKUP(DESPESAS[[#This Row],[Plano de Contas]],BASE!$B$3:$F$119,4,FALSE),"")</f>
        <v>6 - DESPESA COM VENDAS</v>
      </c>
      <c r="K746" s="77" t="str">
        <f>IFERROR(VLOOKUP(DESPESAS[[#This Row],[Plano de Contas]],BASE!$B$3:$H$119,5,FALSE),"")</f>
        <v>COMERCIAL</v>
      </c>
      <c r="L746" s="77">
        <f>IFERROR(VLOOKUP(DESPESAS[[#This Row],[Plano de Contas]],BASE!$B$3:$H$119,6,FALSE),"")</f>
        <v>0</v>
      </c>
      <c r="M746" s="77" t="str">
        <f>VLOOKUP(DESPESAS[[#This Row],[Plano de Contas]],BASE!$B$3:$H$119,7,FALSE)</f>
        <v>THAIS</v>
      </c>
    </row>
    <row r="747" spans="1:13" x14ac:dyDescent="0.25">
      <c r="A747" s="74">
        <v>197255</v>
      </c>
      <c r="B747" s="75" t="s">
        <v>281</v>
      </c>
      <c r="C747" s="75" t="s">
        <v>373</v>
      </c>
      <c r="D747" s="76">
        <v>46043</v>
      </c>
      <c r="E747" s="75" t="s">
        <v>2775</v>
      </c>
      <c r="F747" s="74">
        <v>879.73</v>
      </c>
      <c r="G747" s="75" t="s">
        <v>473</v>
      </c>
      <c r="H747" s="77" t="str">
        <f>VLOOKUP(DESPESAS[[#This Row],[Plano de Contas]],BASE!$B$3:$D$119,3,FALSE)</f>
        <v>Rescisões (Adm)</v>
      </c>
      <c r="I747" s="77" t="str">
        <f>IFERROR(VLOOKUP(DESPESAS[[#This Row],[Fornecedor]],Tabela2[],2,FALSE),"")</f>
        <v/>
      </c>
      <c r="J747" s="77" t="str">
        <f>IFERROR(VLOOKUP(DESPESAS[[#This Row],[Plano de Contas]],BASE!$B$3:$F$119,4,FALSE),"")</f>
        <v>4 - GASTOS COM PESSOAL</v>
      </c>
      <c r="K747" s="77" t="str">
        <f>IFERROR(VLOOKUP(DESPESAS[[#This Row],[Plano de Contas]],BASE!$B$3:$H$119,5,FALSE),"")</f>
        <v>DH</v>
      </c>
      <c r="L747" s="77">
        <f>IFERROR(VLOOKUP(DESPESAS[[#This Row],[Plano de Contas]],BASE!$B$3:$H$119,6,FALSE),"")</f>
        <v>0</v>
      </c>
      <c r="M747" s="77" t="str">
        <f>VLOOKUP(DESPESAS[[#This Row],[Plano de Contas]],BASE!$B$3:$H$119,7,FALSE)</f>
        <v>RAFAEL</v>
      </c>
    </row>
    <row r="748" spans="1:13" x14ac:dyDescent="0.25">
      <c r="A748" s="74">
        <v>197256</v>
      </c>
      <c r="B748" s="75" t="s">
        <v>221</v>
      </c>
      <c r="C748" s="75" t="s">
        <v>2774</v>
      </c>
      <c r="D748" s="76">
        <v>46043</v>
      </c>
      <c r="E748" s="75" t="s">
        <v>245</v>
      </c>
      <c r="F748" s="74">
        <v>396</v>
      </c>
      <c r="G748" s="75" t="s">
        <v>1318</v>
      </c>
      <c r="H748" s="77" t="str">
        <f>VLOOKUP(DESPESAS[[#This Row],[Plano de Contas]],BASE!$B$3:$D$119,3,FALSE)</f>
        <v>Feiras e Eventos</v>
      </c>
      <c r="I748" s="77" t="str">
        <f>IFERROR(VLOOKUP(DESPESAS[[#This Row],[Fornecedor]],Tabela2[],2,FALSE),"")</f>
        <v>FERRAGENS GERAIS</v>
      </c>
      <c r="J748" s="77" t="str">
        <f>IFERROR(VLOOKUP(DESPESAS[[#This Row],[Plano de Contas]],BASE!$B$3:$F$119,4,FALSE),"")</f>
        <v>6 - DESPESA COM VENDAS</v>
      </c>
      <c r="K748" s="77" t="str">
        <f>IFERROR(VLOOKUP(DESPESAS[[#This Row],[Plano de Contas]],BASE!$B$3:$H$119,5,FALSE),"")</f>
        <v>COMERCIAL</v>
      </c>
      <c r="L748" s="77">
        <f>IFERROR(VLOOKUP(DESPESAS[[#This Row],[Plano de Contas]],BASE!$B$3:$H$119,6,FALSE),"")</f>
        <v>0</v>
      </c>
      <c r="M748" s="77" t="str">
        <f>VLOOKUP(DESPESAS[[#This Row],[Plano de Contas]],BASE!$B$3:$H$119,7,FALSE)</f>
        <v>THAIS</v>
      </c>
    </row>
    <row r="749" spans="1:13" x14ac:dyDescent="0.25">
      <c r="A749" s="74">
        <v>197257</v>
      </c>
      <c r="B749" s="75" t="s">
        <v>232</v>
      </c>
      <c r="C749" s="75" t="s">
        <v>2773</v>
      </c>
      <c r="D749" s="76">
        <v>46035</v>
      </c>
      <c r="E749" s="75" t="s">
        <v>499</v>
      </c>
      <c r="F749" s="74">
        <v>164.32</v>
      </c>
      <c r="G749" s="75" t="s">
        <v>326</v>
      </c>
      <c r="H749" s="77" t="str">
        <f>VLOOKUP(DESPESAS[[#This Row],[Plano de Contas]],BASE!$B$3:$D$119,3,FALSE)</f>
        <v>Frete sobre Compras</v>
      </c>
      <c r="I749" s="77" t="str">
        <f>IFERROR(VLOOKUP(DESPESAS[[#This Row],[Fornecedor]],Tabela2[],2,FALSE),"")</f>
        <v/>
      </c>
      <c r="J749" s="77" t="str">
        <f>IFERROR(VLOOKUP(DESPESAS[[#This Row],[Plano de Contas]],BASE!$B$3:$F$119,4,FALSE),"")</f>
        <v>1 - CPV</v>
      </c>
      <c r="K749" s="77" t="str">
        <f>IFERROR(VLOOKUP(DESPESAS[[#This Row],[Plano de Contas]],BASE!$B$3:$H$119,5,FALSE),"")</f>
        <v>COMPRAS</v>
      </c>
      <c r="L749" s="77">
        <f>IFERROR(VLOOKUP(DESPESAS[[#This Row],[Plano de Contas]],BASE!$B$3:$H$119,6,FALSE),"")</f>
        <v>0</v>
      </c>
      <c r="M749" s="77" t="str">
        <f>VLOOKUP(DESPESAS[[#This Row],[Plano de Contas]],BASE!$B$3:$H$119,7,FALSE)</f>
        <v>MYLENA</v>
      </c>
    </row>
    <row r="750" spans="1:13" x14ac:dyDescent="0.25">
      <c r="A750" s="74">
        <v>197258</v>
      </c>
      <c r="B750" s="75" t="s">
        <v>232</v>
      </c>
      <c r="C750" s="75" t="s">
        <v>2772</v>
      </c>
      <c r="D750" s="76">
        <v>46035</v>
      </c>
      <c r="E750" s="75" t="s">
        <v>327</v>
      </c>
      <c r="F750" s="74">
        <v>275.45</v>
      </c>
      <c r="G750" s="75" t="s">
        <v>326</v>
      </c>
      <c r="H750" s="77" t="str">
        <f>VLOOKUP(DESPESAS[[#This Row],[Plano de Contas]],BASE!$B$3:$D$119,3,FALSE)</f>
        <v>Frete sobre Compras</v>
      </c>
      <c r="I750" s="77" t="str">
        <f>IFERROR(VLOOKUP(DESPESAS[[#This Row],[Fornecedor]],Tabela2[],2,FALSE),"")</f>
        <v>SERVIÇOS FRETE</v>
      </c>
      <c r="J750" s="77" t="str">
        <f>IFERROR(VLOOKUP(DESPESAS[[#This Row],[Plano de Contas]],BASE!$B$3:$F$119,4,FALSE),"")</f>
        <v>1 - CPV</v>
      </c>
      <c r="K750" s="77" t="str">
        <f>IFERROR(VLOOKUP(DESPESAS[[#This Row],[Plano de Contas]],BASE!$B$3:$H$119,5,FALSE),"")</f>
        <v>COMPRAS</v>
      </c>
      <c r="L750" s="77">
        <f>IFERROR(VLOOKUP(DESPESAS[[#This Row],[Plano de Contas]],BASE!$B$3:$H$119,6,FALSE),"")</f>
        <v>0</v>
      </c>
      <c r="M750" s="77" t="str">
        <f>VLOOKUP(DESPESAS[[#This Row],[Plano de Contas]],BASE!$B$3:$H$119,7,FALSE)</f>
        <v>MYLENA</v>
      </c>
    </row>
    <row r="751" spans="1:13" x14ac:dyDescent="0.25">
      <c r="A751" s="74">
        <v>197259</v>
      </c>
      <c r="B751" s="75" t="s">
        <v>221</v>
      </c>
      <c r="C751" s="75" t="s">
        <v>2771</v>
      </c>
      <c r="D751" s="76">
        <v>46043</v>
      </c>
      <c r="E751" s="75" t="s">
        <v>245</v>
      </c>
      <c r="F751" s="74">
        <v>76</v>
      </c>
      <c r="G751" s="75" t="s">
        <v>259</v>
      </c>
      <c r="H751" s="77" t="str">
        <f>VLOOKUP(DESPESAS[[#This Row],[Plano de Contas]],BASE!$B$3:$D$119,3,FALSE)</f>
        <v>Manutenção Predial CIF</v>
      </c>
      <c r="I751" s="77" t="str">
        <f>IFERROR(VLOOKUP(DESPESAS[[#This Row],[Fornecedor]],Tabela2[],2,FALSE),"")</f>
        <v>FERRAGENS GERAIS</v>
      </c>
      <c r="J751" s="77" t="str">
        <f>IFERROR(VLOOKUP(DESPESAS[[#This Row],[Plano de Contas]],BASE!$B$3:$F$119,4,FALSE),"")</f>
        <v>3 - CUSTOS INDIRETOS</v>
      </c>
      <c r="K751" s="77" t="str">
        <f>IFERROR(VLOOKUP(DESPESAS[[#This Row],[Plano de Contas]],BASE!$B$3:$H$119,5,FALSE),"")</f>
        <v>MANUTENÇÃO / TI</v>
      </c>
      <c r="L751" s="77">
        <f>IFERROR(VLOOKUP(DESPESAS[[#This Row],[Plano de Contas]],BASE!$B$3:$H$119,6,FALSE),"")</f>
        <v>0</v>
      </c>
      <c r="M751" s="77" t="str">
        <f>VLOOKUP(DESPESAS[[#This Row],[Plano de Contas]],BASE!$B$3:$H$119,7,FALSE)</f>
        <v>FÁBIO</v>
      </c>
    </row>
    <row r="752" spans="1:13" x14ac:dyDescent="0.25">
      <c r="A752" s="74">
        <v>197263</v>
      </c>
      <c r="B752" s="75" t="s">
        <v>221</v>
      </c>
      <c r="C752" s="75" t="s">
        <v>2770</v>
      </c>
      <c r="D752" s="76">
        <v>46043</v>
      </c>
      <c r="E752" s="75" t="s">
        <v>2769</v>
      </c>
      <c r="F752" s="74">
        <v>155.12</v>
      </c>
      <c r="G752" s="75" t="s">
        <v>1318</v>
      </c>
      <c r="H752" s="77" t="str">
        <f>VLOOKUP(DESPESAS[[#This Row],[Plano de Contas]],BASE!$B$3:$D$119,3,FALSE)</f>
        <v>Feiras e Eventos</v>
      </c>
      <c r="I752" s="77" t="str">
        <f>IFERROR(VLOOKUP(DESPESAS[[#This Row],[Fornecedor]],Tabela2[],2,FALSE),"")</f>
        <v/>
      </c>
      <c r="J752" s="77" t="str">
        <f>IFERROR(VLOOKUP(DESPESAS[[#This Row],[Plano de Contas]],BASE!$B$3:$F$119,4,FALSE),"")</f>
        <v>6 - DESPESA COM VENDAS</v>
      </c>
      <c r="K752" s="77" t="str">
        <f>IFERROR(VLOOKUP(DESPESAS[[#This Row],[Plano de Contas]],BASE!$B$3:$H$119,5,FALSE),"")</f>
        <v>COMERCIAL</v>
      </c>
      <c r="L752" s="77">
        <f>IFERROR(VLOOKUP(DESPESAS[[#This Row],[Plano de Contas]],BASE!$B$3:$H$119,6,FALSE),"")</f>
        <v>0</v>
      </c>
      <c r="M752" s="77" t="str">
        <f>VLOOKUP(DESPESAS[[#This Row],[Plano de Contas]],BASE!$B$3:$H$119,7,FALSE)</f>
        <v>THAIS</v>
      </c>
    </row>
    <row r="753" spans="1:13" x14ac:dyDescent="0.25">
      <c r="A753" s="74">
        <v>197264</v>
      </c>
      <c r="B753" s="75" t="s">
        <v>221</v>
      </c>
      <c r="C753" s="75" t="s">
        <v>2401</v>
      </c>
      <c r="D753" s="76">
        <v>46043</v>
      </c>
      <c r="E753" s="75" t="s">
        <v>2769</v>
      </c>
      <c r="F753" s="74">
        <v>1344.88</v>
      </c>
      <c r="G753" s="75" t="s">
        <v>1318</v>
      </c>
      <c r="H753" s="77" t="str">
        <f>VLOOKUP(DESPESAS[[#This Row],[Plano de Contas]],BASE!$B$3:$D$119,3,FALSE)</f>
        <v>Feiras e Eventos</v>
      </c>
      <c r="I753" s="77" t="str">
        <f>IFERROR(VLOOKUP(DESPESAS[[#This Row],[Fornecedor]],Tabela2[],2,FALSE),"")</f>
        <v/>
      </c>
      <c r="J753" s="77" t="str">
        <f>IFERROR(VLOOKUP(DESPESAS[[#This Row],[Plano de Contas]],BASE!$B$3:$F$119,4,FALSE),"")</f>
        <v>6 - DESPESA COM VENDAS</v>
      </c>
      <c r="K753" s="77" t="str">
        <f>IFERROR(VLOOKUP(DESPESAS[[#This Row],[Plano de Contas]],BASE!$B$3:$H$119,5,FALSE),"")</f>
        <v>COMERCIAL</v>
      </c>
      <c r="L753" s="77">
        <f>IFERROR(VLOOKUP(DESPESAS[[#This Row],[Plano de Contas]],BASE!$B$3:$H$119,6,FALSE),"")</f>
        <v>0</v>
      </c>
      <c r="M753" s="77" t="str">
        <f>VLOOKUP(DESPESAS[[#This Row],[Plano de Contas]],BASE!$B$3:$H$119,7,FALSE)</f>
        <v>THAIS</v>
      </c>
    </row>
    <row r="754" spans="1:13" x14ac:dyDescent="0.25">
      <c r="A754" s="74">
        <v>197265</v>
      </c>
      <c r="B754" s="75" t="s">
        <v>221</v>
      </c>
      <c r="C754" s="75" t="s">
        <v>2768</v>
      </c>
      <c r="D754" s="76">
        <v>46043</v>
      </c>
      <c r="E754" s="75" t="s">
        <v>338</v>
      </c>
      <c r="F754" s="74">
        <v>320</v>
      </c>
      <c r="G754" s="75" t="s">
        <v>337</v>
      </c>
      <c r="H754" s="77" t="str">
        <f>VLOOKUP(DESPESAS[[#This Row],[Plano de Contas]],BASE!$B$3:$D$119,3,FALSE)</f>
        <v>Vigilancia e Seguranca</v>
      </c>
      <c r="I754" s="77" t="str">
        <f>IFERROR(VLOOKUP(DESPESAS[[#This Row],[Fornecedor]],Tabela2[],2,FALSE),"")</f>
        <v/>
      </c>
      <c r="J754" s="77" t="str">
        <f>IFERROR(VLOOKUP(DESPESAS[[#This Row],[Plano de Contas]],BASE!$B$3:$F$119,4,FALSE),"")</f>
        <v>7 - SERVIÇOS DE TERCEIROS</v>
      </c>
      <c r="K754" s="77" t="str">
        <f>IFERROR(VLOOKUP(DESPESAS[[#This Row],[Plano de Contas]],BASE!$B$3:$H$119,5,FALSE),"")</f>
        <v>FINANCEIRO</v>
      </c>
      <c r="L754" s="77">
        <f>IFERROR(VLOOKUP(DESPESAS[[#This Row],[Plano de Contas]],BASE!$B$3:$H$119,6,FALSE),"")</f>
        <v>0</v>
      </c>
      <c r="M754" s="77" t="str">
        <f>VLOOKUP(DESPESAS[[#This Row],[Plano de Contas]],BASE!$B$3:$H$119,7,FALSE)</f>
        <v>LETÍCIA</v>
      </c>
    </row>
    <row r="755" spans="1:13" x14ac:dyDescent="0.25">
      <c r="A755" s="74">
        <v>197266</v>
      </c>
      <c r="B755" s="75" t="s">
        <v>221</v>
      </c>
      <c r="C755" s="75" t="s">
        <v>2767</v>
      </c>
      <c r="D755" s="76">
        <v>46043</v>
      </c>
      <c r="E755" s="75" t="s">
        <v>245</v>
      </c>
      <c r="F755" s="74">
        <v>79.5</v>
      </c>
      <c r="G755" s="75" t="s">
        <v>244</v>
      </c>
      <c r="H755" s="77" t="str">
        <f>VLOOKUP(DESPESAS[[#This Row],[Plano de Contas]],BASE!$B$3:$D$119,3,FALSE)</f>
        <v>Material de Expediente (Prod)</v>
      </c>
      <c r="I755" s="77" t="str">
        <f>IFERROR(VLOOKUP(DESPESAS[[#This Row],[Fornecedor]],Tabela2[],2,FALSE),"")</f>
        <v>FERRAGENS GERAIS</v>
      </c>
      <c r="J755" s="77" t="str">
        <f>IFERROR(VLOOKUP(DESPESAS[[#This Row],[Plano de Contas]],BASE!$B$3:$F$119,4,FALSE),"")</f>
        <v>2 - CUSTOS DIRETOS</v>
      </c>
      <c r="K755" s="77" t="str">
        <f>IFERROR(VLOOKUP(DESPESAS[[#This Row],[Plano de Contas]],BASE!$B$3:$H$119,5,FALSE),"")</f>
        <v>PRODUÇÃO</v>
      </c>
      <c r="L755" s="77">
        <f>IFERROR(VLOOKUP(DESPESAS[[#This Row],[Plano de Contas]],BASE!$B$3:$H$119,6,FALSE),"")</f>
        <v>0</v>
      </c>
      <c r="M755" s="77" t="str">
        <f>VLOOKUP(DESPESAS[[#This Row],[Plano de Contas]],BASE!$B$3:$H$119,7,FALSE)</f>
        <v>RAFAEL</v>
      </c>
    </row>
    <row r="756" spans="1:13" x14ac:dyDescent="0.25">
      <c r="A756" s="74">
        <v>197267</v>
      </c>
      <c r="B756" s="75" t="s">
        <v>232</v>
      </c>
      <c r="C756" s="75" t="s">
        <v>2766</v>
      </c>
      <c r="D756" s="76">
        <v>46037</v>
      </c>
      <c r="E756" s="75" t="s">
        <v>409</v>
      </c>
      <c r="F756" s="74">
        <v>120.22</v>
      </c>
      <c r="G756" s="75" t="s">
        <v>326</v>
      </c>
      <c r="H756" s="77" t="str">
        <f>VLOOKUP(DESPESAS[[#This Row],[Plano de Contas]],BASE!$B$3:$D$119,3,FALSE)</f>
        <v>Frete sobre Compras</v>
      </c>
      <c r="I756" s="77" t="str">
        <f>IFERROR(VLOOKUP(DESPESAS[[#This Row],[Fornecedor]],Tabela2[],2,FALSE),"")</f>
        <v>SERVIÇOS FRETE</v>
      </c>
      <c r="J756" s="77" t="str">
        <f>IFERROR(VLOOKUP(DESPESAS[[#This Row],[Plano de Contas]],BASE!$B$3:$F$119,4,FALSE),"")</f>
        <v>1 - CPV</v>
      </c>
      <c r="K756" s="77" t="str">
        <f>IFERROR(VLOOKUP(DESPESAS[[#This Row],[Plano de Contas]],BASE!$B$3:$H$119,5,FALSE),"")</f>
        <v>COMPRAS</v>
      </c>
      <c r="L756" s="77">
        <f>IFERROR(VLOOKUP(DESPESAS[[#This Row],[Plano de Contas]],BASE!$B$3:$H$119,6,FALSE),"")</f>
        <v>0</v>
      </c>
      <c r="M756" s="77" t="str">
        <f>VLOOKUP(DESPESAS[[#This Row],[Plano de Contas]],BASE!$B$3:$H$119,7,FALSE)</f>
        <v>MYLENA</v>
      </c>
    </row>
    <row r="757" spans="1:13" x14ac:dyDescent="0.25">
      <c r="A757" s="74">
        <v>197268</v>
      </c>
      <c r="B757" s="75" t="s">
        <v>232</v>
      </c>
      <c r="C757" s="75" t="s">
        <v>2765</v>
      </c>
      <c r="D757" s="76">
        <v>46037</v>
      </c>
      <c r="E757" s="75" t="s">
        <v>409</v>
      </c>
      <c r="F757" s="74">
        <v>97.19</v>
      </c>
      <c r="G757" s="75" t="s">
        <v>326</v>
      </c>
      <c r="H757" s="77" t="str">
        <f>VLOOKUP(DESPESAS[[#This Row],[Plano de Contas]],BASE!$B$3:$D$119,3,FALSE)</f>
        <v>Frete sobre Compras</v>
      </c>
      <c r="I757" s="77" t="str">
        <f>IFERROR(VLOOKUP(DESPESAS[[#This Row],[Fornecedor]],Tabela2[],2,FALSE),"")</f>
        <v>SERVIÇOS FRETE</v>
      </c>
      <c r="J757" s="77" t="str">
        <f>IFERROR(VLOOKUP(DESPESAS[[#This Row],[Plano de Contas]],BASE!$B$3:$F$119,4,FALSE),"")</f>
        <v>1 - CPV</v>
      </c>
      <c r="K757" s="77" t="str">
        <f>IFERROR(VLOOKUP(DESPESAS[[#This Row],[Plano de Contas]],BASE!$B$3:$H$119,5,FALSE),"")</f>
        <v>COMPRAS</v>
      </c>
      <c r="L757" s="77">
        <f>IFERROR(VLOOKUP(DESPESAS[[#This Row],[Plano de Contas]],BASE!$B$3:$H$119,6,FALSE),"")</f>
        <v>0</v>
      </c>
      <c r="M757" s="77" t="str">
        <f>VLOOKUP(DESPESAS[[#This Row],[Plano de Contas]],BASE!$B$3:$H$119,7,FALSE)</f>
        <v>MYLENA</v>
      </c>
    </row>
    <row r="758" spans="1:13" x14ac:dyDescent="0.25">
      <c r="A758" s="74">
        <v>197269</v>
      </c>
      <c r="B758" s="75" t="s">
        <v>221</v>
      </c>
      <c r="C758" s="75" t="s">
        <v>2764</v>
      </c>
      <c r="D758" s="76">
        <v>46043</v>
      </c>
      <c r="E758" s="75" t="s">
        <v>2689</v>
      </c>
      <c r="F758" s="74">
        <v>750</v>
      </c>
      <c r="G758" s="75" t="s">
        <v>1037</v>
      </c>
      <c r="H758" s="77" t="str">
        <f>VLOOKUP(DESPESAS[[#This Row],[Plano de Contas]],BASE!$B$3:$D$119,3,FALSE)</f>
        <v>Construções e Reformas</v>
      </c>
      <c r="I758" s="77" t="str">
        <f>IFERROR(VLOOKUP(DESPESAS[[#This Row],[Fornecedor]],Tabela2[],2,FALSE),"")</f>
        <v/>
      </c>
      <c r="J758" s="77" t="str">
        <f>IFERROR(VLOOKUP(DESPESAS[[#This Row],[Plano de Contas]],BASE!$B$3:$F$119,4,FALSE),"")</f>
        <v>9 - INVESTIMENTOS</v>
      </c>
      <c r="K758" s="77" t="str">
        <f>IFERROR(VLOOKUP(DESPESAS[[#This Row],[Plano de Contas]],BASE!$B$3:$H$119,5,FALSE),"")</f>
        <v>MANUTENÇÃO / TI</v>
      </c>
      <c r="L758" s="77">
        <f>IFERROR(VLOOKUP(DESPESAS[[#This Row],[Plano de Contas]],BASE!$B$3:$H$119,6,FALSE),"")</f>
        <v>0</v>
      </c>
      <c r="M758" s="77" t="str">
        <f>VLOOKUP(DESPESAS[[#This Row],[Plano de Contas]],BASE!$B$3:$H$119,7,FALSE)</f>
        <v>FÁBIO</v>
      </c>
    </row>
    <row r="759" spans="1:13" x14ac:dyDescent="0.25">
      <c r="A759" s="74">
        <v>197272</v>
      </c>
      <c r="B759" s="75" t="s">
        <v>281</v>
      </c>
      <c r="C759" s="75" t="s">
        <v>2759</v>
      </c>
      <c r="D759" s="76">
        <v>46043</v>
      </c>
      <c r="E759" s="75" t="s">
        <v>1132</v>
      </c>
      <c r="F759" s="74">
        <v>225</v>
      </c>
      <c r="G759" s="75" t="s">
        <v>644</v>
      </c>
      <c r="H759" s="77" t="str">
        <f>VLOOKUP(DESPESAS[[#This Row],[Plano de Contas]],BASE!$B$3:$D$119,3,FALSE)</f>
        <v>Gratificações (Adm)</v>
      </c>
      <c r="I759" s="77" t="str">
        <f>IFERROR(VLOOKUP(DESPESAS[[#This Row],[Fornecedor]],Tabela2[],2,FALSE),"")</f>
        <v/>
      </c>
      <c r="J759" s="77" t="str">
        <f>IFERROR(VLOOKUP(DESPESAS[[#This Row],[Plano de Contas]],BASE!$B$3:$F$119,4,FALSE),"")</f>
        <v>4 - GASTOS COM PESSOAL</v>
      </c>
      <c r="K759" s="77" t="str">
        <f>IFERROR(VLOOKUP(DESPESAS[[#This Row],[Plano de Contas]],BASE!$B$3:$H$119,5,FALSE),"")</f>
        <v>DH</v>
      </c>
      <c r="L759" s="77">
        <f>IFERROR(VLOOKUP(DESPESAS[[#This Row],[Plano de Contas]],BASE!$B$3:$H$119,6,FALSE),"")</f>
        <v>0</v>
      </c>
      <c r="M759" s="77" t="str">
        <f>VLOOKUP(DESPESAS[[#This Row],[Plano de Contas]],BASE!$B$3:$H$119,7,FALSE)</f>
        <v>RAFAEL</v>
      </c>
    </row>
    <row r="760" spans="1:13" x14ac:dyDescent="0.25">
      <c r="A760" s="74">
        <v>197273</v>
      </c>
      <c r="B760" s="75" t="s">
        <v>232</v>
      </c>
      <c r="C760" s="75" t="s">
        <v>2763</v>
      </c>
      <c r="D760" s="76">
        <v>46036</v>
      </c>
      <c r="E760" s="75" t="s">
        <v>329</v>
      </c>
      <c r="F760" s="74">
        <v>86.75</v>
      </c>
      <c r="G760" s="75" t="s">
        <v>326</v>
      </c>
      <c r="H760" s="77" t="str">
        <f>VLOOKUP(DESPESAS[[#This Row],[Plano de Contas]],BASE!$B$3:$D$119,3,FALSE)</f>
        <v>Frete sobre Compras</v>
      </c>
      <c r="I760" s="77" t="str">
        <f>IFERROR(VLOOKUP(DESPESAS[[#This Row],[Fornecedor]],Tabela2[],2,FALSE),"")</f>
        <v/>
      </c>
      <c r="J760" s="77" t="str">
        <f>IFERROR(VLOOKUP(DESPESAS[[#This Row],[Plano de Contas]],BASE!$B$3:$F$119,4,FALSE),"")</f>
        <v>1 - CPV</v>
      </c>
      <c r="K760" s="77" t="str">
        <f>IFERROR(VLOOKUP(DESPESAS[[#This Row],[Plano de Contas]],BASE!$B$3:$H$119,5,FALSE),"")</f>
        <v>COMPRAS</v>
      </c>
      <c r="L760" s="77">
        <f>IFERROR(VLOOKUP(DESPESAS[[#This Row],[Plano de Contas]],BASE!$B$3:$H$119,6,FALSE),"")</f>
        <v>0</v>
      </c>
      <c r="M760" s="77" t="str">
        <f>VLOOKUP(DESPESAS[[#This Row],[Plano de Contas]],BASE!$B$3:$H$119,7,FALSE)</f>
        <v>MYLENA</v>
      </c>
    </row>
    <row r="761" spans="1:13" x14ac:dyDescent="0.25">
      <c r="A761" s="74">
        <v>197274</v>
      </c>
      <c r="B761" s="75" t="s">
        <v>221</v>
      </c>
      <c r="C761" s="75" t="s">
        <v>2762</v>
      </c>
      <c r="D761" s="76">
        <v>46043</v>
      </c>
      <c r="E761" s="75" t="s">
        <v>317</v>
      </c>
      <c r="F761" s="74">
        <v>200</v>
      </c>
      <c r="G761" s="75" t="s">
        <v>1037</v>
      </c>
      <c r="H761" s="77" t="str">
        <f>VLOOKUP(DESPESAS[[#This Row],[Plano de Contas]],BASE!$B$3:$D$119,3,FALSE)</f>
        <v>Construções e Reformas</v>
      </c>
      <c r="I761" s="77" t="str">
        <f>IFERROR(VLOOKUP(DESPESAS[[#This Row],[Fornecedor]],Tabela2[],2,FALSE),"")</f>
        <v/>
      </c>
      <c r="J761" s="77" t="str">
        <f>IFERROR(VLOOKUP(DESPESAS[[#This Row],[Plano de Contas]],BASE!$B$3:$F$119,4,FALSE),"")</f>
        <v>9 - INVESTIMENTOS</v>
      </c>
      <c r="K761" s="77" t="str">
        <f>IFERROR(VLOOKUP(DESPESAS[[#This Row],[Plano de Contas]],BASE!$B$3:$H$119,5,FALSE),"")</f>
        <v>MANUTENÇÃO / TI</v>
      </c>
      <c r="L761" s="77">
        <f>IFERROR(VLOOKUP(DESPESAS[[#This Row],[Plano de Contas]],BASE!$B$3:$H$119,6,FALSE),"")</f>
        <v>0</v>
      </c>
      <c r="M761" s="77" t="str">
        <f>VLOOKUP(DESPESAS[[#This Row],[Plano de Contas]],BASE!$B$3:$H$119,7,FALSE)</f>
        <v>FÁBIO</v>
      </c>
    </row>
    <row r="762" spans="1:13" x14ac:dyDescent="0.25">
      <c r="A762" s="74">
        <v>197275</v>
      </c>
      <c r="B762" s="75" t="s">
        <v>281</v>
      </c>
      <c r="C762" s="75" t="s">
        <v>2757</v>
      </c>
      <c r="D762" s="76">
        <v>46043</v>
      </c>
      <c r="E762" s="75" t="s">
        <v>1132</v>
      </c>
      <c r="F762" s="74">
        <v>225</v>
      </c>
      <c r="G762" s="75" t="s">
        <v>649</v>
      </c>
      <c r="H762" s="77" t="str">
        <f>VLOOKUP(DESPESAS[[#This Row],[Plano de Contas]],BASE!$B$3:$D$119,3,FALSE)</f>
        <v>Gratificações CIF</v>
      </c>
      <c r="I762" s="77" t="str">
        <f>IFERROR(VLOOKUP(DESPESAS[[#This Row],[Fornecedor]],Tabela2[],2,FALSE),"")</f>
        <v/>
      </c>
      <c r="J762" s="77" t="str">
        <f>IFERROR(VLOOKUP(DESPESAS[[#This Row],[Plano de Contas]],BASE!$B$3:$F$119,4,FALSE),"")</f>
        <v>3 - CUSTOS INDIRETOS</v>
      </c>
      <c r="K762" s="77" t="str">
        <f>IFERROR(VLOOKUP(DESPESAS[[#This Row],[Plano de Contas]],BASE!$B$3:$H$119,5,FALSE),"")</f>
        <v>DH</v>
      </c>
      <c r="L762" s="77" t="str">
        <f>IFERROR(VLOOKUP(DESPESAS[[#This Row],[Plano de Contas]],BASE!$B$3:$H$119,6,FALSE),"")</f>
        <v>CUSTO MÃO DE OBRA DIRETA</v>
      </c>
      <c r="M762" s="77" t="str">
        <f>VLOOKUP(DESPESAS[[#This Row],[Plano de Contas]],BASE!$B$3:$H$119,7,FALSE)</f>
        <v>RAFAEL</v>
      </c>
    </row>
    <row r="763" spans="1:13" x14ac:dyDescent="0.25">
      <c r="A763" s="74">
        <v>197276</v>
      </c>
      <c r="B763" s="75" t="s">
        <v>281</v>
      </c>
      <c r="C763" s="75" t="s">
        <v>2755</v>
      </c>
      <c r="D763" s="76">
        <v>46043</v>
      </c>
      <c r="E763" s="75" t="s">
        <v>1132</v>
      </c>
      <c r="F763" s="74">
        <v>375</v>
      </c>
      <c r="G763" s="75" t="s">
        <v>642</v>
      </c>
      <c r="H763" s="77" t="str">
        <f>VLOOKUP(DESPESAS[[#This Row],[Plano de Contas]],BASE!$B$3:$D$119,3,FALSE)</f>
        <v>Gratificacoes MOD</v>
      </c>
      <c r="I763" s="77" t="str">
        <f>IFERROR(VLOOKUP(DESPESAS[[#This Row],[Fornecedor]],Tabela2[],2,FALSE),"")</f>
        <v/>
      </c>
      <c r="J763" s="77" t="str">
        <f>IFERROR(VLOOKUP(DESPESAS[[#This Row],[Plano de Contas]],BASE!$B$3:$F$119,4,FALSE),"")</f>
        <v>2 - CUSTOS DIRETOS</v>
      </c>
      <c r="K763" s="77" t="str">
        <f>IFERROR(VLOOKUP(DESPESAS[[#This Row],[Plano de Contas]],BASE!$B$3:$H$119,5,FALSE),"")</f>
        <v>DH</v>
      </c>
      <c r="L763" s="77" t="str">
        <f>IFERROR(VLOOKUP(DESPESAS[[#This Row],[Plano de Contas]],BASE!$B$3:$H$119,6,FALSE),"")</f>
        <v>CUSTO MÃO DE OBRA DIRETA</v>
      </c>
      <c r="M763" s="77" t="str">
        <f>VLOOKUP(DESPESAS[[#This Row],[Plano de Contas]],BASE!$B$3:$H$119,7,FALSE)</f>
        <v>RAFAEL</v>
      </c>
    </row>
    <row r="764" spans="1:13" x14ac:dyDescent="0.25">
      <c r="A764" s="74">
        <v>197278</v>
      </c>
      <c r="B764" s="75" t="s">
        <v>221</v>
      </c>
      <c r="C764" s="75" t="s">
        <v>2761</v>
      </c>
      <c r="D764" s="76">
        <v>46028</v>
      </c>
      <c r="E764" s="75" t="s">
        <v>2760</v>
      </c>
      <c r="F764" s="74">
        <v>1114.03</v>
      </c>
      <c r="G764" s="75" t="s">
        <v>854</v>
      </c>
      <c r="H764" s="77" t="str">
        <f>VLOOKUP(DESPESAS[[#This Row],[Plano de Contas]],BASE!$B$3:$D$119,3,FALSE)</f>
        <v>Confraternização</v>
      </c>
      <c r="I764" s="77" t="str">
        <f>IFERROR(VLOOKUP(DESPESAS[[#This Row],[Fornecedor]],Tabela2[],2,FALSE),"")</f>
        <v/>
      </c>
      <c r="J764" s="77" t="str">
        <f>IFERROR(VLOOKUP(DESPESAS[[#This Row],[Plano de Contas]],BASE!$B$3:$F$119,4,FALSE),"")</f>
        <v>4 - GASTOS COM PESSOAL</v>
      </c>
      <c r="K764" s="77" t="str">
        <f>IFERROR(VLOOKUP(DESPESAS[[#This Row],[Plano de Contas]],BASE!$B$3:$H$119,5,FALSE),"")</f>
        <v>DH</v>
      </c>
      <c r="L764" s="77">
        <f>IFERROR(VLOOKUP(DESPESAS[[#This Row],[Plano de Contas]],BASE!$B$3:$H$119,6,FALSE),"")</f>
        <v>0</v>
      </c>
      <c r="M764" s="77" t="str">
        <f>VLOOKUP(DESPESAS[[#This Row],[Plano de Contas]],BASE!$B$3:$H$119,7,FALSE)</f>
        <v>MYLENA</v>
      </c>
    </row>
    <row r="765" spans="1:13" x14ac:dyDescent="0.25">
      <c r="A765" s="74">
        <v>197281</v>
      </c>
      <c r="B765" s="75" t="s">
        <v>232</v>
      </c>
      <c r="C765" s="75" t="s">
        <v>2759</v>
      </c>
      <c r="D765" s="76">
        <v>46043</v>
      </c>
      <c r="E765" s="75" t="s">
        <v>1132</v>
      </c>
      <c r="F765" s="74">
        <v>675</v>
      </c>
      <c r="G765" s="75" t="s">
        <v>644</v>
      </c>
      <c r="H765" s="77" t="str">
        <f>VLOOKUP(DESPESAS[[#This Row],[Plano de Contas]],BASE!$B$3:$D$119,3,FALSE)</f>
        <v>Gratificações (Adm)</v>
      </c>
      <c r="I765" s="77" t="str">
        <f>IFERROR(VLOOKUP(DESPESAS[[#This Row],[Fornecedor]],Tabela2[],2,FALSE),"")</f>
        <v/>
      </c>
      <c r="J765" s="77" t="str">
        <f>IFERROR(VLOOKUP(DESPESAS[[#This Row],[Plano de Contas]],BASE!$B$3:$F$119,4,FALSE),"")</f>
        <v>4 - GASTOS COM PESSOAL</v>
      </c>
      <c r="K765" s="77" t="str">
        <f>IFERROR(VLOOKUP(DESPESAS[[#This Row],[Plano de Contas]],BASE!$B$3:$H$119,5,FALSE),"")</f>
        <v>DH</v>
      </c>
      <c r="L765" s="77">
        <f>IFERROR(VLOOKUP(DESPESAS[[#This Row],[Plano de Contas]],BASE!$B$3:$H$119,6,FALSE),"")</f>
        <v>0</v>
      </c>
      <c r="M765" s="77" t="str">
        <f>VLOOKUP(DESPESAS[[#This Row],[Plano de Contas]],BASE!$B$3:$H$119,7,FALSE)</f>
        <v>RAFAEL</v>
      </c>
    </row>
    <row r="766" spans="1:13" x14ac:dyDescent="0.25">
      <c r="A766" s="74">
        <v>197282</v>
      </c>
      <c r="B766" s="75" t="s">
        <v>232</v>
      </c>
      <c r="C766" s="75" t="s">
        <v>2757</v>
      </c>
      <c r="D766" s="76">
        <v>46043</v>
      </c>
      <c r="E766" s="75" t="s">
        <v>1132</v>
      </c>
      <c r="F766" s="74">
        <v>225</v>
      </c>
      <c r="G766" s="75" t="s">
        <v>649</v>
      </c>
      <c r="H766" s="77" t="str">
        <f>VLOOKUP(DESPESAS[[#This Row],[Plano de Contas]],BASE!$B$3:$D$119,3,FALSE)</f>
        <v>Gratificações CIF</v>
      </c>
      <c r="I766" s="77" t="str">
        <f>IFERROR(VLOOKUP(DESPESAS[[#This Row],[Fornecedor]],Tabela2[],2,FALSE),"")</f>
        <v/>
      </c>
      <c r="J766" s="77" t="str">
        <f>IFERROR(VLOOKUP(DESPESAS[[#This Row],[Plano de Contas]],BASE!$B$3:$F$119,4,FALSE),"")</f>
        <v>3 - CUSTOS INDIRETOS</v>
      </c>
      <c r="K766" s="77" t="str">
        <f>IFERROR(VLOOKUP(DESPESAS[[#This Row],[Plano de Contas]],BASE!$B$3:$H$119,5,FALSE),"")</f>
        <v>DH</v>
      </c>
      <c r="L766" s="77" t="str">
        <f>IFERROR(VLOOKUP(DESPESAS[[#This Row],[Plano de Contas]],BASE!$B$3:$H$119,6,FALSE),"")</f>
        <v>CUSTO MÃO DE OBRA DIRETA</v>
      </c>
      <c r="M766" s="77" t="str">
        <f>VLOOKUP(DESPESAS[[#This Row],[Plano de Contas]],BASE!$B$3:$H$119,7,FALSE)</f>
        <v>RAFAEL</v>
      </c>
    </row>
    <row r="767" spans="1:13" x14ac:dyDescent="0.25">
      <c r="A767" s="74">
        <v>197283</v>
      </c>
      <c r="B767" s="75" t="s">
        <v>232</v>
      </c>
      <c r="C767" s="75" t="s">
        <v>2755</v>
      </c>
      <c r="D767" s="76">
        <v>46043</v>
      </c>
      <c r="E767" s="75" t="s">
        <v>1132</v>
      </c>
      <c r="F767" s="74">
        <v>1275</v>
      </c>
      <c r="G767" s="75" t="s">
        <v>642</v>
      </c>
      <c r="H767" s="77" t="str">
        <f>VLOOKUP(DESPESAS[[#This Row],[Plano de Contas]],BASE!$B$3:$D$119,3,FALSE)</f>
        <v>Gratificacoes MOD</v>
      </c>
      <c r="I767" s="77" t="str">
        <f>IFERROR(VLOOKUP(DESPESAS[[#This Row],[Fornecedor]],Tabela2[],2,FALSE),"")</f>
        <v/>
      </c>
      <c r="J767" s="77" t="str">
        <f>IFERROR(VLOOKUP(DESPESAS[[#This Row],[Plano de Contas]],BASE!$B$3:$F$119,4,FALSE),"")</f>
        <v>2 - CUSTOS DIRETOS</v>
      </c>
      <c r="K767" s="77" t="str">
        <f>IFERROR(VLOOKUP(DESPESAS[[#This Row],[Plano de Contas]],BASE!$B$3:$H$119,5,FALSE),"")</f>
        <v>DH</v>
      </c>
      <c r="L767" s="77" t="str">
        <f>IFERROR(VLOOKUP(DESPESAS[[#This Row],[Plano de Contas]],BASE!$B$3:$H$119,6,FALSE),"")</f>
        <v>CUSTO MÃO DE OBRA DIRETA</v>
      </c>
      <c r="M767" s="77" t="str">
        <f>VLOOKUP(DESPESAS[[#This Row],[Plano de Contas]],BASE!$B$3:$H$119,7,FALSE)</f>
        <v>RAFAEL</v>
      </c>
    </row>
    <row r="768" spans="1:13" x14ac:dyDescent="0.25">
      <c r="A768" s="74">
        <v>197285</v>
      </c>
      <c r="B768" s="75" t="s">
        <v>279</v>
      </c>
      <c r="C768" s="75" t="s">
        <v>2759</v>
      </c>
      <c r="D768" s="76">
        <v>46043</v>
      </c>
      <c r="E768" s="75" t="s">
        <v>1132</v>
      </c>
      <c r="F768" s="74">
        <v>525</v>
      </c>
      <c r="G768" s="75" t="s">
        <v>644</v>
      </c>
      <c r="H768" s="77" t="str">
        <f>VLOOKUP(DESPESAS[[#This Row],[Plano de Contas]],BASE!$B$3:$D$119,3,FALSE)</f>
        <v>Gratificações (Adm)</v>
      </c>
      <c r="I768" s="77" t="str">
        <f>IFERROR(VLOOKUP(DESPESAS[[#This Row],[Fornecedor]],Tabela2[],2,FALSE),"")</f>
        <v/>
      </c>
      <c r="J768" s="77" t="str">
        <f>IFERROR(VLOOKUP(DESPESAS[[#This Row],[Plano de Contas]],BASE!$B$3:$F$119,4,FALSE),"")</f>
        <v>4 - GASTOS COM PESSOAL</v>
      </c>
      <c r="K768" s="77" t="str">
        <f>IFERROR(VLOOKUP(DESPESAS[[#This Row],[Plano de Contas]],BASE!$B$3:$H$119,5,FALSE),"")</f>
        <v>DH</v>
      </c>
      <c r="L768" s="77">
        <f>IFERROR(VLOOKUP(DESPESAS[[#This Row],[Plano de Contas]],BASE!$B$3:$H$119,6,FALSE),"")</f>
        <v>0</v>
      </c>
      <c r="M768" s="77" t="str">
        <f>VLOOKUP(DESPESAS[[#This Row],[Plano de Contas]],BASE!$B$3:$H$119,7,FALSE)</f>
        <v>RAFAEL</v>
      </c>
    </row>
    <row r="769" spans="1:13" x14ac:dyDescent="0.25">
      <c r="A769" s="74">
        <v>197286</v>
      </c>
      <c r="B769" s="75" t="s">
        <v>232</v>
      </c>
      <c r="C769" s="75" t="s">
        <v>2758</v>
      </c>
      <c r="D769" s="76">
        <v>46035</v>
      </c>
      <c r="E769" s="75" t="s">
        <v>327</v>
      </c>
      <c r="F769" s="74">
        <v>105.98</v>
      </c>
      <c r="G769" s="75" t="s">
        <v>326</v>
      </c>
      <c r="H769" s="77" t="str">
        <f>VLOOKUP(DESPESAS[[#This Row],[Plano de Contas]],BASE!$B$3:$D$119,3,FALSE)</f>
        <v>Frete sobre Compras</v>
      </c>
      <c r="I769" s="77" t="str">
        <f>IFERROR(VLOOKUP(DESPESAS[[#This Row],[Fornecedor]],Tabela2[],2,FALSE),"")</f>
        <v>SERVIÇOS FRETE</v>
      </c>
      <c r="J769" s="77" t="str">
        <f>IFERROR(VLOOKUP(DESPESAS[[#This Row],[Plano de Contas]],BASE!$B$3:$F$119,4,FALSE),"")</f>
        <v>1 - CPV</v>
      </c>
      <c r="K769" s="77" t="str">
        <f>IFERROR(VLOOKUP(DESPESAS[[#This Row],[Plano de Contas]],BASE!$B$3:$H$119,5,FALSE),"")</f>
        <v>COMPRAS</v>
      </c>
      <c r="L769" s="77">
        <f>IFERROR(VLOOKUP(DESPESAS[[#This Row],[Plano de Contas]],BASE!$B$3:$H$119,6,FALSE),"")</f>
        <v>0</v>
      </c>
      <c r="M769" s="77" t="str">
        <f>VLOOKUP(DESPESAS[[#This Row],[Plano de Contas]],BASE!$B$3:$H$119,7,FALSE)</f>
        <v>MYLENA</v>
      </c>
    </row>
    <row r="770" spans="1:13" x14ac:dyDescent="0.25">
      <c r="A770" s="74">
        <v>197287</v>
      </c>
      <c r="B770" s="75" t="s">
        <v>279</v>
      </c>
      <c r="C770" s="75" t="s">
        <v>2757</v>
      </c>
      <c r="D770" s="76">
        <v>46043</v>
      </c>
      <c r="E770" s="75" t="s">
        <v>1132</v>
      </c>
      <c r="F770" s="74">
        <v>525</v>
      </c>
      <c r="G770" s="75" t="s">
        <v>649</v>
      </c>
      <c r="H770" s="77" t="str">
        <f>VLOOKUP(DESPESAS[[#This Row],[Plano de Contas]],BASE!$B$3:$D$119,3,FALSE)</f>
        <v>Gratificações CIF</v>
      </c>
      <c r="I770" s="77" t="str">
        <f>IFERROR(VLOOKUP(DESPESAS[[#This Row],[Fornecedor]],Tabela2[],2,FALSE),"")</f>
        <v/>
      </c>
      <c r="J770" s="77" t="str">
        <f>IFERROR(VLOOKUP(DESPESAS[[#This Row],[Plano de Contas]],BASE!$B$3:$F$119,4,FALSE),"")</f>
        <v>3 - CUSTOS INDIRETOS</v>
      </c>
      <c r="K770" s="77" t="str">
        <f>IFERROR(VLOOKUP(DESPESAS[[#This Row],[Plano de Contas]],BASE!$B$3:$H$119,5,FALSE),"")</f>
        <v>DH</v>
      </c>
      <c r="L770" s="77" t="str">
        <f>IFERROR(VLOOKUP(DESPESAS[[#This Row],[Plano de Contas]],BASE!$B$3:$H$119,6,FALSE),"")</f>
        <v>CUSTO MÃO DE OBRA DIRETA</v>
      </c>
      <c r="M770" s="77" t="str">
        <f>VLOOKUP(DESPESAS[[#This Row],[Plano de Contas]],BASE!$B$3:$H$119,7,FALSE)</f>
        <v>RAFAEL</v>
      </c>
    </row>
    <row r="771" spans="1:13" x14ac:dyDescent="0.25">
      <c r="A771" s="74">
        <v>197288</v>
      </c>
      <c r="B771" s="75" t="s">
        <v>221</v>
      </c>
      <c r="C771" s="75" t="s">
        <v>2756</v>
      </c>
      <c r="D771" s="76">
        <v>46028</v>
      </c>
      <c r="E771" s="75" t="s">
        <v>855</v>
      </c>
      <c r="F771" s="74">
        <v>311.31</v>
      </c>
      <c r="G771" s="75" t="s">
        <v>854</v>
      </c>
      <c r="H771" s="77" t="str">
        <f>VLOOKUP(DESPESAS[[#This Row],[Plano de Contas]],BASE!$B$3:$D$119,3,FALSE)</f>
        <v>Confraternização</v>
      </c>
      <c r="I771" s="77" t="str">
        <f>IFERROR(VLOOKUP(DESPESAS[[#This Row],[Fornecedor]],Tabela2[],2,FALSE),"")</f>
        <v/>
      </c>
      <c r="J771" s="77" t="str">
        <f>IFERROR(VLOOKUP(DESPESAS[[#This Row],[Plano de Contas]],BASE!$B$3:$F$119,4,FALSE),"")</f>
        <v>4 - GASTOS COM PESSOAL</v>
      </c>
      <c r="K771" s="77" t="str">
        <f>IFERROR(VLOOKUP(DESPESAS[[#This Row],[Plano de Contas]],BASE!$B$3:$H$119,5,FALSE),"")</f>
        <v>DH</v>
      </c>
      <c r="L771" s="77">
        <f>IFERROR(VLOOKUP(DESPESAS[[#This Row],[Plano de Contas]],BASE!$B$3:$H$119,6,FALSE),"")</f>
        <v>0</v>
      </c>
      <c r="M771" s="77" t="str">
        <f>VLOOKUP(DESPESAS[[#This Row],[Plano de Contas]],BASE!$B$3:$H$119,7,FALSE)</f>
        <v>MYLENA</v>
      </c>
    </row>
    <row r="772" spans="1:13" x14ac:dyDescent="0.25">
      <c r="A772" s="74">
        <v>197289</v>
      </c>
      <c r="B772" s="75" t="s">
        <v>279</v>
      </c>
      <c r="C772" s="75" t="s">
        <v>2755</v>
      </c>
      <c r="D772" s="76">
        <v>46043</v>
      </c>
      <c r="E772" s="75" t="s">
        <v>1132</v>
      </c>
      <c r="F772" s="74">
        <v>1850</v>
      </c>
      <c r="G772" s="75" t="s">
        <v>642</v>
      </c>
      <c r="H772" s="77" t="str">
        <f>VLOOKUP(DESPESAS[[#This Row],[Plano de Contas]],BASE!$B$3:$D$119,3,FALSE)</f>
        <v>Gratificacoes MOD</v>
      </c>
      <c r="I772" s="77" t="str">
        <f>IFERROR(VLOOKUP(DESPESAS[[#This Row],[Fornecedor]],Tabela2[],2,FALSE),"")</f>
        <v/>
      </c>
      <c r="J772" s="77" t="str">
        <f>IFERROR(VLOOKUP(DESPESAS[[#This Row],[Plano de Contas]],BASE!$B$3:$F$119,4,FALSE),"")</f>
        <v>2 - CUSTOS DIRETOS</v>
      </c>
      <c r="K772" s="77" t="str">
        <f>IFERROR(VLOOKUP(DESPESAS[[#This Row],[Plano de Contas]],BASE!$B$3:$H$119,5,FALSE),"")</f>
        <v>DH</v>
      </c>
      <c r="L772" s="77" t="str">
        <f>IFERROR(VLOOKUP(DESPESAS[[#This Row],[Plano de Contas]],BASE!$B$3:$H$119,6,FALSE),"")</f>
        <v>CUSTO MÃO DE OBRA DIRETA</v>
      </c>
      <c r="M772" s="77" t="str">
        <f>VLOOKUP(DESPESAS[[#This Row],[Plano de Contas]],BASE!$B$3:$H$119,7,FALSE)</f>
        <v>RAFAEL</v>
      </c>
    </row>
    <row r="773" spans="1:13" x14ac:dyDescent="0.25">
      <c r="A773" s="74">
        <v>197291</v>
      </c>
      <c r="B773" s="75" t="s">
        <v>232</v>
      </c>
      <c r="C773" s="75" t="s">
        <v>2754</v>
      </c>
      <c r="D773" s="76">
        <v>46035</v>
      </c>
      <c r="E773" s="75" t="s">
        <v>327</v>
      </c>
      <c r="F773" s="74">
        <v>1015.33</v>
      </c>
      <c r="G773" s="75" t="s">
        <v>326</v>
      </c>
      <c r="H773" s="77" t="str">
        <f>VLOOKUP(DESPESAS[[#This Row],[Plano de Contas]],BASE!$B$3:$D$119,3,FALSE)</f>
        <v>Frete sobre Compras</v>
      </c>
      <c r="I773" s="77" t="str">
        <f>IFERROR(VLOOKUP(DESPESAS[[#This Row],[Fornecedor]],Tabela2[],2,FALSE),"")</f>
        <v>SERVIÇOS FRETE</v>
      </c>
      <c r="J773" s="77" t="str">
        <f>IFERROR(VLOOKUP(DESPESAS[[#This Row],[Plano de Contas]],BASE!$B$3:$F$119,4,FALSE),"")</f>
        <v>1 - CPV</v>
      </c>
      <c r="K773" s="77" t="str">
        <f>IFERROR(VLOOKUP(DESPESAS[[#This Row],[Plano de Contas]],BASE!$B$3:$H$119,5,FALSE),"")</f>
        <v>COMPRAS</v>
      </c>
      <c r="L773" s="77">
        <f>IFERROR(VLOOKUP(DESPESAS[[#This Row],[Plano de Contas]],BASE!$B$3:$H$119,6,FALSE),"")</f>
        <v>0</v>
      </c>
      <c r="M773" s="77" t="str">
        <f>VLOOKUP(DESPESAS[[#This Row],[Plano de Contas]],BASE!$B$3:$H$119,7,FALSE)</f>
        <v>MYLENA</v>
      </c>
    </row>
    <row r="774" spans="1:13" x14ac:dyDescent="0.25">
      <c r="A774" s="74">
        <v>197293</v>
      </c>
      <c r="B774" s="75" t="s">
        <v>232</v>
      </c>
      <c r="C774" s="75" t="s">
        <v>2753</v>
      </c>
      <c r="D774" s="76">
        <v>46029</v>
      </c>
      <c r="E774" s="75" t="s">
        <v>1974</v>
      </c>
      <c r="F774" s="74">
        <v>183.82</v>
      </c>
      <c r="G774" s="75" t="s">
        <v>326</v>
      </c>
      <c r="H774" s="77" t="str">
        <f>VLOOKUP(DESPESAS[[#This Row],[Plano de Contas]],BASE!$B$3:$D$119,3,FALSE)</f>
        <v>Frete sobre Compras</v>
      </c>
      <c r="I774" s="77" t="str">
        <f>IFERROR(VLOOKUP(DESPESAS[[#This Row],[Fornecedor]],Tabela2[],2,FALSE),"")</f>
        <v/>
      </c>
      <c r="J774" s="77" t="str">
        <f>IFERROR(VLOOKUP(DESPESAS[[#This Row],[Plano de Contas]],BASE!$B$3:$F$119,4,FALSE),"")</f>
        <v>1 - CPV</v>
      </c>
      <c r="K774" s="77" t="str">
        <f>IFERROR(VLOOKUP(DESPESAS[[#This Row],[Plano de Contas]],BASE!$B$3:$H$119,5,FALSE),"")</f>
        <v>COMPRAS</v>
      </c>
      <c r="L774" s="77">
        <f>IFERROR(VLOOKUP(DESPESAS[[#This Row],[Plano de Contas]],BASE!$B$3:$H$119,6,FALSE),"")</f>
        <v>0</v>
      </c>
      <c r="M774" s="77" t="str">
        <f>VLOOKUP(DESPESAS[[#This Row],[Plano de Contas]],BASE!$B$3:$H$119,7,FALSE)</f>
        <v>MYLENA</v>
      </c>
    </row>
    <row r="775" spans="1:13" x14ac:dyDescent="0.25">
      <c r="A775" s="74">
        <v>197294</v>
      </c>
      <c r="B775" s="75" t="s">
        <v>232</v>
      </c>
      <c r="C775" s="75" t="s">
        <v>2752</v>
      </c>
      <c r="D775" s="76">
        <v>46034</v>
      </c>
      <c r="E775" s="75" t="s">
        <v>409</v>
      </c>
      <c r="F775" s="74">
        <v>117.67</v>
      </c>
      <c r="G775" s="75" t="s">
        <v>326</v>
      </c>
      <c r="H775" s="77" t="str">
        <f>VLOOKUP(DESPESAS[[#This Row],[Plano de Contas]],BASE!$B$3:$D$119,3,FALSE)</f>
        <v>Frete sobre Compras</v>
      </c>
      <c r="I775" s="77" t="str">
        <f>IFERROR(VLOOKUP(DESPESAS[[#This Row],[Fornecedor]],Tabela2[],2,FALSE),"")</f>
        <v>SERVIÇOS FRETE</v>
      </c>
      <c r="J775" s="77" t="str">
        <f>IFERROR(VLOOKUP(DESPESAS[[#This Row],[Plano de Contas]],BASE!$B$3:$F$119,4,FALSE),"")</f>
        <v>1 - CPV</v>
      </c>
      <c r="K775" s="77" t="str">
        <f>IFERROR(VLOOKUP(DESPESAS[[#This Row],[Plano de Contas]],BASE!$B$3:$H$119,5,FALSE),"")</f>
        <v>COMPRAS</v>
      </c>
      <c r="L775" s="77">
        <f>IFERROR(VLOOKUP(DESPESAS[[#This Row],[Plano de Contas]],BASE!$B$3:$H$119,6,FALSE),"")</f>
        <v>0</v>
      </c>
      <c r="M775" s="77" t="str">
        <f>VLOOKUP(DESPESAS[[#This Row],[Plano de Contas]],BASE!$B$3:$H$119,7,FALSE)</f>
        <v>MYLENA</v>
      </c>
    </row>
    <row r="776" spans="1:13" x14ac:dyDescent="0.25">
      <c r="A776" s="74">
        <v>197295</v>
      </c>
      <c r="B776" s="75" t="s">
        <v>221</v>
      </c>
      <c r="C776" s="75" t="s">
        <v>2751</v>
      </c>
      <c r="D776" s="76">
        <v>46036</v>
      </c>
      <c r="E776" s="75" t="s">
        <v>855</v>
      </c>
      <c r="F776" s="74">
        <v>68.09</v>
      </c>
      <c r="G776" s="75" t="s">
        <v>747</v>
      </c>
      <c r="H776" s="77" t="str">
        <f>VLOOKUP(DESPESAS[[#This Row],[Plano de Contas]],BASE!$B$3:$D$119,3,FALSE)</f>
        <v>Cursos e Treinamentos (Adm)</v>
      </c>
      <c r="I776" s="77" t="str">
        <f>IFERROR(VLOOKUP(DESPESAS[[#This Row],[Fornecedor]],Tabela2[],2,FALSE),"")</f>
        <v/>
      </c>
      <c r="J776" s="77" t="str">
        <f>IFERROR(VLOOKUP(DESPESAS[[#This Row],[Plano de Contas]],BASE!$B$3:$F$119,4,FALSE),"")</f>
        <v>4 - GASTOS COM PESSOAL</v>
      </c>
      <c r="K776" s="77" t="str">
        <f>IFERROR(VLOOKUP(DESPESAS[[#This Row],[Plano de Contas]],BASE!$B$3:$H$119,5,FALSE),"")</f>
        <v>DIRETORIA</v>
      </c>
      <c r="L776" s="77">
        <f>IFERROR(VLOOKUP(DESPESAS[[#This Row],[Plano de Contas]],BASE!$B$3:$H$119,6,FALSE),"")</f>
        <v>0</v>
      </c>
      <c r="M776" s="77" t="str">
        <f>VLOOKUP(DESPESAS[[#This Row],[Plano de Contas]],BASE!$B$3:$H$119,7,FALSE)</f>
        <v>FÁBIO</v>
      </c>
    </row>
    <row r="777" spans="1:13" x14ac:dyDescent="0.25">
      <c r="A777" s="74">
        <v>197296</v>
      </c>
      <c r="B777" s="75" t="s">
        <v>279</v>
      </c>
      <c r="C777" s="75" t="s">
        <v>2750</v>
      </c>
      <c r="D777" s="76">
        <v>46043</v>
      </c>
      <c r="E777" s="75" t="s">
        <v>941</v>
      </c>
      <c r="F777" s="74">
        <v>2775.23</v>
      </c>
      <c r="G777" s="75" t="s">
        <v>276</v>
      </c>
      <c r="H777" s="77" t="str">
        <f>VLOOKUP(DESPESAS[[#This Row],[Plano de Contas]],BASE!$B$3:$D$119,3,FALSE)</f>
        <v>Férias MOD</v>
      </c>
      <c r="I777" s="77" t="str">
        <f>IFERROR(VLOOKUP(DESPESAS[[#This Row],[Fornecedor]],Tabela2[],2,FALSE),"")</f>
        <v/>
      </c>
      <c r="J777" s="77" t="str">
        <f>IFERROR(VLOOKUP(DESPESAS[[#This Row],[Plano de Contas]],BASE!$B$3:$F$119,4,FALSE),"")</f>
        <v>2 - CUSTOS DIRETOS</v>
      </c>
      <c r="K777" s="77" t="str">
        <f>IFERROR(VLOOKUP(DESPESAS[[#This Row],[Plano de Contas]],BASE!$B$3:$H$119,5,FALSE),"")</f>
        <v>DH</v>
      </c>
      <c r="L777" s="77" t="str">
        <f>IFERROR(VLOOKUP(DESPESAS[[#This Row],[Plano de Contas]],BASE!$B$3:$H$119,6,FALSE),"")</f>
        <v>CUSTO MÃO DE OBRA DIRETA</v>
      </c>
      <c r="M777" s="77" t="str">
        <f>VLOOKUP(DESPESAS[[#This Row],[Plano de Contas]],BASE!$B$3:$H$119,7,FALSE)</f>
        <v>RAFAEL</v>
      </c>
    </row>
    <row r="778" spans="1:13" x14ac:dyDescent="0.25">
      <c r="A778" s="74">
        <v>197297</v>
      </c>
      <c r="B778" s="75" t="s">
        <v>232</v>
      </c>
      <c r="C778" s="75" t="s">
        <v>2749</v>
      </c>
      <c r="D778" s="76">
        <v>46031</v>
      </c>
      <c r="E778" s="75" t="s">
        <v>409</v>
      </c>
      <c r="F778" s="74">
        <v>139.19999999999999</v>
      </c>
      <c r="G778" s="75" t="s">
        <v>326</v>
      </c>
      <c r="H778" s="77" t="str">
        <f>VLOOKUP(DESPESAS[[#This Row],[Plano de Contas]],BASE!$B$3:$D$119,3,FALSE)</f>
        <v>Frete sobre Compras</v>
      </c>
      <c r="I778" s="77" t="str">
        <f>IFERROR(VLOOKUP(DESPESAS[[#This Row],[Fornecedor]],Tabela2[],2,FALSE),"")</f>
        <v>SERVIÇOS FRETE</v>
      </c>
      <c r="J778" s="77" t="str">
        <f>IFERROR(VLOOKUP(DESPESAS[[#This Row],[Plano de Contas]],BASE!$B$3:$F$119,4,FALSE),"")</f>
        <v>1 - CPV</v>
      </c>
      <c r="K778" s="77" t="str">
        <f>IFERROR(VLOOKUP(DESPESAS[[#This Row],[Plano de Contas]],BASE!$B$3:$H$119,5,FALSE),"")</f>
        <v>COMPRAS</v>
      </c>
      <c r="L778" s="77">
        <f>IFERROR(VLOOKUP(DESPESAS[[#This Row],[Plano de Contas]],BASE!$B$3:$H$119,6,FALSE),"")</f>
        <v>0</v>
      </c>
      <c r="M778" s="77" t="str">
        <f>VLOOKUP(DESPESAS[[#This Row],[Plano de Contas]],BASE!$B$3:$H$119,7,FALSE)</f>
        <v>MYLENA</v>
      </c>
    </row>
    <row r="779" spans="1:13" x14ac:dyDescent="0.25">
      <c r="A779" s="74">
        <v>197298</v>
      </c>
      <c r="B779" s="75" t="s">
        <v>221</v>
      </c>
      <c r="C779" s="75" t="s">
        <v>2748</v>
      </c>
      <c r="D779" s="76">
        <v>46038</v>
      </c>
      <c r="E779" s="75" t="s">
        <v>855</v>
      </c>
      <c r="F779" s="74">
        <v>92.6</v>
      </c>
      <c r="G779" s="75" t="s">
        <v>222</v>
      </c>
      <c r="H779" s="77" t="str">
        <f>VLOOKUP(DESPESAS[[#This Row],[Plano de Contas]],BASE!$B$3:$D$119,3,FALSE)</f>
        <v>Alimentação</v>
      </c>
      <c r="I779" s="77" t="str">
        <f>IFERROR(VLOOKUP(DESPESAS[[#This Row],[Fornecedor]],Tabela2[],2,FALSE),"")</f>
        <v/>
      </c>
      <c r="J779" s="77" t="str">
        <f>IFERROR(VLOOKUP(DESPESAS[[#This Row],[Plano de Contas]],BASE!$B$3:$F$119,4,FALSE),"")</f>
        <v>5 - DESPESAS ADMINISTRATIVAS</v>
      </c>
      <c r="K779" s="77" t="str">
        <f>IFERROR(VLOOKUP(DESPESAS[[#This Row],[Plano de Contas]],BASE!$B$3:$H$119,5,FALSE),"")</f>
        <v>FINANCEIRO</v>
      </c>
      <c r="L779" s="77">
        <f>IFERROR(VLOOKUP(DESPESAS[[#This Row],[Plano de Contas]],BASE!$B$3:$H$119,6,FALSE),"")</f>
        <v>0</v>
      </c>
      <c r="M779" s="77" t="str">
        <f>VLOOKUP(DESPESAS[[#This Row],[Plano de Contas]],BASE!$B$3:$H$119,7,FALSE)</f>
        <v>MYLENA</v>
      </c>
    </row>
    <row r="780" spans="1:13" x14ac:dyDescent="0.25">
      <c r="A780" s="74">
        <v>197299</v>
      </c>
      <c r="B780" s="75" t="s">
        <v>232</v>
      </c>
      <c r="C780" s="75" t="s">
        <v>2747</v>
      </c>
      <c r="D780" s="76">
        <v>46034</v>
      </c>
      <c r="E780" s="75" t="s">
        <v>409</v>
      </c>
      <c r="F780" s="74">
        <v>102.93</v>
      </c>
      <c r="G780" s="75" t="s">
        <v>326</v>
      </c>
      <c r="H780" s="77" t="str">
        <f>VLOOKUP(DESPESAS[[#This Row],[Plano de Contas]],BASE!$B$3:$D$119,3,FALSE)</f>
        <v>Frete sobre Compras</v>
      </c>
      <c r="I780" s="77" t="str">
        <f>IFERROR(VLOOKUP(DESPESAS[[#This Row],[Fornecedor]],Tabela2[],2,FALSE),"")</f>
        <v>SERVIÇOS FRETE</v>
      </c>
      <c r="J780" s="77" t="str">
        <f>IFERROR(VLOOKUP(DESPESAS[[#This Row],[Plano de Contas]],BASE!$B$3:$F$119,4,FALSE),"")</f>
        <v>1 - CPV</v>
      </c>
      <c r="K780" s="77" t="str">
        <f>IFERROR(VLOOKUP(DESPESAS[[#This Row],[Plano de Contas]],BASE!$B$3:$H$119,5,FALSE),"")</f>
        <v>COMPRAS</v>
      </c>
      <c r="L780" s="77">
        <f>IFERROR(VLOOKUP(DESPESAS[[#This Row],[Plano de Contas]],BASE!$B$3:$H$119,6,FALSE),"")</f>
        <v>0</v>
      </c>
      <c r="M780" s="77" t="str">
        <f>VLOOKUP(DESPESAS[[#This Row],[Plano de Contas]],BASE!$B$3:$H$119,7,FALSE)</f>
        <v>MYLENA</v>
      </c>
    </row>
    <row r="781" spans="1:13" x14ac:dyDescent="0.25">
      <c r="A781" s="74">
        <v>197300</v>
      </c>
      <c r="B781" s="75" t="s">
        <v>221</v>
      </c>
      <c r="C781" s="75" t="s">
        <v>2746</v>
      </c>
      <c r="D781" s="76">
        <v>46038</v>
      </c>
      <c r="E781" s="75" t="s">
        <v>399</v>
      </c>
      <c r="F781" s="74">
        <v>18</v>
      </c>
      <c r="G781" s="75" t="s">
        <v>222</v>
      </c>
      <c r="H781" s="77" t="str">
        <f>VLOOKUP(DESPESAS[[#This Row],[Plano de Contas]],BASE!$B$3:$D$119,3,FALSE)</f>
        <v>Alimentação</v>
      </c>
      <c r="I781" s="77" t="str">
        <f>IFERROR(VLOOKUP(DESPESAS[[#This Row],[Fornecedor]],Tabela2[],2,FALSE),"")</f>
        <v/>
      </c>
      <c r="J781" s="77" t="str">
        <f>IFERROR(VLOOKUP(DESPESAS[[#This Row],[Plano de Contas]],BASE!$B$3:$F$119,4,FALSE),"")</f>
        <v>5 - DESPESAS ADMINISTRATIVAS</v>
      </c>
      <c r="K781" s="77" t="str">
        <f>IFERROR(VLOOKUP(DESPESAS[[#This Row],[Plano de Contas]],BASE!$B$3:$H$119,5,FALSE),"")</f>
        <v>FINANCEIRO</v>
      </c>
      <c r="L781" s="77">
        <f>IFERROR(VLOOKUP(DESPESAS[[#This Row],[Plano de Contas]],BASE!$B$3:$H$119,6,FALSE),"")</f>
        <v>0</v>
      </c>
      <c r="M781" s="77" t="str">
        <f>VLOOKUP(DESPESAS[[#This Row],[Plano de Contas]],BASE!$B$3:$H$119,7,FALSE)</f>
        <v>MYLENA</v>
      </c>
    </row>
    <row r="782" spans="1:13" x14ac:dyDescent="0.25">
      <c r="A782" s="74">
        <v>197301</v>
      </c>
      <c r="B782" s="75" t="s">
        <v>232</v>
      </c>
      <c r="C782" s="75" t="s">
        <v>2745</v>
      </c>
      <c r="D782" s="76">
        <v>46043</v>
      </c>
      <c r="E782" s="75" t="s">
        <v>1506</v>
      </c>
      <c r="F782" s="74">
        <v>675</v>
      </c>
      <c r="G782" s="75" t="s">
        <v>1037</v>
      </c>
      <c r="H782" s="77" t="str">
        <f>VLOOKUP(DESPESAS[[#This Row],[Plano de Contas]],BASE!$B$3:$D$119,3,FALSE)</f>
        <v>Construções e Reformas</v>
      </c>
      <c r="I782" s="77" t="str">
        <f>IFERROR(VLOOKUP(DESPESAS[[#This Row],[Fornecedor]],Tabela2[],2,FALSE),"")</f>
        <v/>
      </c>
      <c r="J782" s="77" t="str">
        <f>IFERROR(VLOOKUP(DESPESAS[[#This Row],[Plano de Contas]],BASE!$B$3:$F$119,4,FALSE),"")</f>
        <v>9 - INVESTIMENTOS</v>
      </c>
      <c r="K782" s="77" t="str">
        <f>IFERROR(VLOOKUP(DESPESAS[[#This Row],[Plano de Contas]],BASE!$B$3:$H$119,5,FALSE),"")</f>
        <v>MANUTENÇÃO / TI</v>
      </c>
      <c r="L782" s="77">
        <f>IFERROR(VLOOKUP(DESPESAS[[#This Row],[Plano de Contas]],BASE!$B$3:$H$119,6,FALSE),"")</f>
        <v>0</v>
      </c>
      <c r="M782" s="77" t="str">
        <f>VLOOKUP(DESPESAS[[#This Row],[Plano de Contas]],BASE!$B$3:$H$119,7,FALSE)</f>
        <v>FÁBIO</v>
      </c>
    </row>
    <row r="783" spans="1:13" x14ac:dyDescent="0.25">
      <c r="A783" s="74">
        <v>197303</v>
      </c>
      <c r="B783" s="75" t="s">
        <v>232</v>
      </c>
      <c r="C783" s="75" t="s">
        <v>2744</v>
      </c>
      <c r="D783" s="76">
        <v>46047</v>
      </c>
      <c r="E783" s="75" t="s">
        <v>1885</v>
      </c>
      <c r="F783" s="74">
        <v>685.25</v>
      </c>
      <c r="G783" s="75" t="s">
        <v>1884</v>
      </c>
      <c r="H783" s="77" t="str">
        <f>VLOOKUP(DESPESAS[[#This Row],[Plano de Contas]],BASE!$B$3:$D$119,3,FALSE)</f>
        <v>Medicina e Seguranca do Trabalho CIF</v>
      </c>
      <c r="I783" s="77" t="str">
        <f>IFERROR(VLOOKUP(DESPESAS[[#This Row],[Fornecedor]],Tabela2[],2,FALSE),"")</f>
        <v/>
      </c>
      <c r="J783" s="77" t="str">
        <f>IFERROR(VLOOKUP(DESPESAS[[#This Row],[Plano de Contas]],BASE!$B$3:$F$119,4,FALSE),"")</f>
        <v>3 - CUSTOS INDIRETOS</v>
      </c>
      <c r="K783" s="77" t="str">
        <f>IFERROR(VLOOKUP(DESPESAS[[#This Row],[Plano de Contas]],BASE!$B$3:$H$119,5,FALSE),"")</f>
        <v>DH</v>
      </c>
      <c r="L783" s="77" t="str">
        <f>IFERROR(VLOOKUP(DESPESAS[[#This Row],[Plano de Contas]],BASE!$B$3:$H$119,6,FALSE),"")</f>
        <v>CUSTO MÃO DE OBRA DIRETA</v>
      </c>
      <c r="M783" s="77" t="str">
        <f>VLOOKUP(DESPESAS[[#This Row],[Plano de Contas]],BASE!$B$3:$H$119,7,FALSE)</f>
        <v>RAFAEL</v>
      </c>
    </row>
    <row r="784" spans="1:13" x14ac:dyDescent="0.25">
      <c r="A784" s="74">
        <v>197304</v>
      </c>
      <c r="B784" s="75" t="s">
        <v>279</v>
      </c>
      <c r="C784" s="75" t="s">
        <v>2744</v>
      </c>
      <c r="D784" s="76">
        <v>46047</v>
      </c>
      <c r="E784" s="75" t="s">
        <v>1885</v>
      </c>
      <c r="F784" s="74">
        <v>1555.9</v>
      </c>
      <c r="G784" s="75" t="s">
        <v>1884</v>
      </c>
      <c r="H784" s="77" t="str">
        <f>VLOOKUP(DESPESAS[[#This Row],[Plano de Contas]],BASE!$B$3:$D$119,3,FALSE)</f>
        <v>Medicina e Seguranca do Trabalho CIF</v>
      </c>
      <c r="I784" s="77" t="str">
        <f>IFERROR(VLOOKUP(DESPESAS[[#This Row],[Fornecedor]],Tabela2[],2,FALSE),"")</f>
        <v/>
      </c>
      <c r="J784" s="77" t="str">
        <f>IFERROR(VLOOKUP(DESPESAS[[#This Row],[Plano de Contas]],BASE!$B$3:$F$119,4,FALSE),"")</f>
        <v>3 - CUSTOS INDIRETOS</v>
      </c>
      <c r="K784" s="77" t="str">
        <f>IFERROR(VLOOKUP(DESPESAS[[#This Row],[Plano de Contas]],BASE!$B$3:$H$119,5,FALSE),"")</f>
        <v>DH</v>
      </c>
      <c r="L784" s="77" t="str">
        <f>IFERROR(VLOOKUP(DESPESAS[[#This Row],[Plano de Contas]],BASE!$B$3:$H$119,6,FALSE),"")</f>
        <v>CUSTO MÃO DE OBRA DIRETA</v>
      </c>
      <c r="M784" s="77" t="str">
        <f>VLOOKUP(DESPESAS[[#This Row],[Plano de Contas]],BASE!$B$3:$H$119,7,FALSE)</f>
        <v>RAFAEL</v>
      </c>
    </row>
    <row r="785" spans="1:13" x14ac:dyDescent="0.25">
      <c r="A785" s="74">
        <v>197305</v>
      </c>
      <c r="B785" s="75" t="s">
        <v>281</v>
      </c>
      <c r="C785" s="75" t="s">
        <v>2743</v>
      </c>
      <c r="D785" s="76">
        <v>46043</v>
      </c>
      <c r="E785" s="75" t="s">
        <v>369</v>
      </c>
      <c r="F785" s="74">
        <v>4700</v>
      </c>
      <c r="G785" s="75" t="s">
        <v>365</v>
      </c>
      <c r="H785" s="77" t="str">
        <f>VLOOKUP(DESPESAS[[#This Row],[Plano de Contas]],BASE!$B$3:$D$119,3,FALSE)</f>
        <v>Pró-Labore</v>
      </c>
      <c r="I785" s="77" t="str">
        <f>IFERROR(VLOOKUP(DESPESAS[[#This Row],[Fornecedor]],Tabela2[],2,FALSE),"")</f>
        <v/>
      </c>
      <c r="J785" s="77" t="str">
        <f>IFERROR(VLOOKUP(DESPESAS[[#This Row],[Plano de Contas]],BASE!$B$3:$F$119,4,FALSE),"")</f>
        <v>4 - GASTOS COM PESSOAL</v>
      </c>
      <c r="K785" s="77" t="str">
        <f>IFERROR(VLOOKUP(DESPESAS[[#This Row],[Plano de Contas]],BASE!$B$3:$H$119,5,FALSE),"")</f>
        <v>DIRETORIA</v>
      </c>
      <c r="L785" s="77">
        <f>IFERROR(VLOOKUP(DESPESAS[[#This Row],[Plano de Contas]],BASE!$B$3:$H$119,6,FALSE),"")</f>
        <v>0</v>
      </c>
      <c r="M785" s="77" t="str">
        <f>VLOOKUP(DESPESAS[[#This Row],[Plano de Contas]],BASE!$B$3:$H$119,7,FALSE)</f>
        <v>FÁBIO</v>
      </c>
    </row>
    <row r="786" spans="1:13" x14ac:dyDescent="0.25">
      <c r="A786" s="74">
        <v>197306</v>
      </c>
      <c r="B786" s="75" t="s">
        <v>279</v>
      </c>
      <c r="C786" s="75" t="s">
        <v>2743</v>
      </c>
      <c r="D786" s="76">
        <v>46043</v>
      </c>
      <c r="E786" s="75" t="s">
        <v>368</v>
      </c>
      <c r="F786" s="74">
        <v>1850</v>
      </c>
      <c r="G786" s="75" t="s">
        <v>365</v>
      </c>
      <c r="H786" s="77" t="str">
        <f>VLOOKUP(DESPESAS[[#This Row],[Plano de Contas]],BASE!$B$3:$D$119,3,FALSE)</f>
        <v>Pró-Labore</v>
      </c>
      <c r="I786" s="77" t="str">
        <f>IFERROR(VLOOKUP(DESPESAS[[#This Row],[Fornecedor]],Tabela2[],2,FALSE),"")</f>
        <v/>
      </c>
      <c r="J786" s="77" t="str">
        <f>IFERROR(VLOOKUP(DESPESAS[[#This Row],[Plano de Contas]],BASE!$B$3:$F$119,4,FALSE),"")</f>
        <v>4 - GASTOS COM PESSOAL</v>
      </c>
      <c r="K786" s="77" t="str">
        <f>IFERROR(VLOOKUP(DESPESAS[[#This Row],[Plano de Contas]],BASE!$B$3:$H$119,5,FALSE),"")</f>
        <v>DIRETORIA</v>
      </c>
      <c r="L786" s="77">
        <f>IFERROR(VLOOKUP(DESPESAS[[#This Row],[Plano de Contas]],BASE!$B$3:$H$119,6,FALSE),"")</f>
        <v>0</v>
      </c>
      <c r="M786" s="77" t="str">
        <f>VLOOKUP(DESPESAS[[#This Row],[Plano de Contas]],BASE!$B$3:$H$119,7,FALSE)</f>
        <v>FÁBIO</v>
      </c>
    </row>
    <row r="787" spans="1:13" x14ac:dyDescent="0.25">
      <c r="A787" s="74">
        <v>197309</v>
      </c>
      <c r="B787" s="75" t="s">
        <v>221</v>
      </c>
      <c r="C787" s="75" t="s">
        <v>2743</v>
      </c>
      <c r="D787" s="76">
        <v>46043</v>
      </c>
      <c r="E787" s="75" t="s">
        <v>366</v>
      </c>
      <c r="F787" s="74">
        <v>4720</v>
      </c>
      <c r="G787" s="75" t="s">
        <v>365</v>
      </c>
      <c r="H787" s="77" t="str">
        <f>VLOOKUP(DESPESAS[[#This Row],[Plano de Contas]],BASE!$B$3:$D$119,3,FALSE)</f>
        <v>Pró-Labore</v>
      </c>
      <c r="I787" s="77" t="str">
        <f>IFERROR(VLOOKUP(DESPESAS[[#This Row],[Fornecedor]],Tabela2[],2,FALSE),"")</f>
        <v/>
      </c>
      <c r="J787" s="77" t="str">
        <f>IFERROR(VLOOKUP(DESPESAS[[#This Row],[Plano de Contas]],BASE!$B$3:$F$119,4,FALSE),"")</f>
        <v>4 - GASTOS COM PESSOAL</v>
      </c>
      <c r="K787" s="77" t="str">
        <f>IFERROR(VLOOKUP(DESPESAS[[#This Row],[Plano de Contas]],BASE!$B$3:$H$119,5,FALSE),"")</f>
        <v>DIRETORIA</v>
      </c>
      <c r="L787" s="77">
        <f>IFERROR(VLOOKUP(DESPESAS[[#This Row],[Plano de Contas]],BASE!$B$3:$H$119,6,FALSE),"")</f>
        <v>0</v>
      </c>
      <c r="M787" s="77" t="str">
        <f>VLOOKUP(DESPESAS[[#This Row],[Plano de Contas]],BASE!$B$3:$H$119,7,FALSE)</f>
        <v>FÁBIO</v>
      </c>
    </row>
    <row r="788" spans="1:13" x14ac:dyDescent="0.25">
      <c r="A788" s="74">
        <v>197310</v>
      </c>
      <c r="B788" s="75" t="s">
        <v>232</v>
      </c>
      <c r="C788" s="75" t="s">
        <v>2742</v>
      </c>
      <c r="D788" s="76">
        <v>46049</v>
      </c>
      <c r="E788" s="75" t="s">
        <v>607</v>
      </c>
      <c r="F788" s="74">
        <v>558.53</v>
      </c>
      <c r="G788" s="75" t="s">
        <v>606</v>
      </c>
      <c r="H788" s="77" t="str">
        <f>VLOOKUP(DESPESAS[[#This Row],[Plano de Contas]],BASE!$B$3:$D$119,3,FALSE)</f>
        <v>EPIs/Uniformes (Prod)</v>
      </c>
      <c r="I788" s="77" t="str">
        <f>IFERROR(VLOOKUP(DESPESAS[[#This Row],[Fornecedor]],Tabela2[],2,FALSE),"")</f>
        <v>FERRAGENS GERAIS</v>
      </c>
      <c r="J788" s="77" t="str">
        <f>IFERROR(VLOOKUP(DESPESAS[[#This Row],[Plano de Contas]],BASE!$B$3:$F$119,4,FALSE),"")</f>
        <v>2 - CUSTOS DIRETOS</v>
      </c>
      <c r="K788" s="77" t="str">
        <f>IFERROR(VLOOKUP(DESPESAS[[#This Row],[Plano de Contas]],BASE!$B$3:$H$119,5,FALSE),"")</f>
        <v>COMPRAS</v>
      </c>
      <c r="L788" s="77">
        <f>IFERROR(VLOOKUP(DESPESAS[[#This Row],[Plano de Contas]],BASE!$B$3:$H$119,6,FALSE),"")</f>
        <v>0</v>
      </c>
      <c r="M788" s="77" t="str">
        <f>VLOOKUP(DESPESAS[[#This Row],[Plano de Contas]],BASE!$B$3:$H$119,7,FALSE)</f>
        <v>RAFAEL</v>
      </c>
    </row>
    <row r="789" spans="1:13" x14ac:dyDescent="0.25">
      <c r="A789" s="74">
        <v>197311</v>
      </c>
      <c r="B789" s="75" t="s">
        <v>232</v>
      </c>
      <c r="C789" s="75" t="s">
        <v>2741</v>
      </c>
      <c r="D789" s="76">
        <v>46043</v>
      </c>
      <c r="E789" s="75" t="s">
        <v>230</v>
      </c>
      <c r="F789" s="74">
        <v>0.52</v>
      </c>
      <c r="G789" s="75" t="s">
        <v>229</v>
      </c>
      <c r="H789" s="77" t="str">
        <f>VLOOKUP(DESPESAS[[#This Row],[Plano de Contas]],BASE!$B$3:$D$119,3,FALSE)</f>
        <v>Despesas Bancarias</v>
      </c>
      <c r="I789" s="77" t="str">
        <f>IFERROR(VLOOKUP(DESPESAS[[#This Row],[Fornecedor]],Tabela2[],2,FALSE),"")</f>
        <v/>
      </c>
      <c r="J789" s="77" t="str">
        <f>IFERROR(VLOOKUP(DESPESAS[[#This Row],[Plano de Contas]],BASE!$B$3:$F$119,4,FALSE),"")</f>
        <v>8 - DESPESAS FINANCEIRAS</v>
      </c>
      <c r="K789" s="77" t="str">
        <f>IFERROR(VLOOKUP(DESPESAS[[#This Row],[Plano de Contas]],BASE!$B$3:$H$119,5,FALSE),"")</f>
        <v>FINANCEIRO</v>
      </c>
      <c r="L789" s="77">
        <f>IFERROR(VLOOKUP(DESPESAS[[#This Row],[Plano de Contas]],BASE!$B$3:$H$119,6,FALSE),"")</f>
        <v>0</v>
      </c>
      <c r="M789" s="77" t="str">
        <f>VLOOKUP(DESPESAS[[#This Row],[Plano de Contas]],BASE!$B$3:$H$119,7,FALSE)</f>
        <v>LETÍCIA</v>
      </c>
    </row>
    <row r="790" spans="1:13" x14ac:dyDescent="0.25">
      <c r="A790" s="74">
        <v>197312</v>
      </c>
      <c r="B790" s="75" t="s">
        <v>232</v>
      </c>
      <c r="C790" s="75" t="s">
        <v>2740</v>
      </c>
      <c r="D790" s="76">
        <v>46043</v>
      </c>
      <c r="E790" s="75" t="s">
        <v>230</v>
      </c>
      <c r="F790" s="74">
        <v>9.19</v>
      </c>
      <c r="G790" s="75" t="s">
        <v>356</v>
      </c>
      <c r="H790" s="77" t="str">
        <f>VLOOKUP(DESPESAS[[#This Row],[Plano de Contas]],BASE!$B$3:$D$119,3,FALSE)</f>
        <v>Despesas Cartorárias</v>
      </c>
      <c r="I790" s="77" t="str">
        <f>IFERROR(VLOOKUP(DESPESAS[[#This Row],[Fornecedor]],Tabela2[],2,FALSE),"")</f>
        <v/>
      </c>
      <c r="J790" s="77" t="str">
        <f>IFERROR(VLOOKUP(DESPESAS[[#This Row],[Plano de Contas]],BASE!$B$3:$F$119,4,FALSE),"")</f>
        <v>5 - DESPESAS ADMINISTRATIVAS</v>
      </c>
      <c r="K790" s="77" t="str">
        <f>IFERROR(VLOOKUP(DESPESAS[[#This Row],[Plano de Contas]],BASE!$B$3:$H$119,5,FALSE),"")</f>
        <v>FINANCEIRO</v>
      </c>
      <c r="L790" s="77">
        <f>IFERROR(VLOOKUP(DESPESAS[[#This Row],[Plano de Contas]],BASE!$B$3:$H$119,6,FALSE),"")</f>
        <v>0</v>
      </c>
      <c r="M790" s="77" t="str">
        <f>VLOOKUP(DESPESAS[[#This Row],[Plano de Contas]],BASE!$B$3:$H$119,7,FALSE)</f>
        <v>LETÍCIA</v>
      </c>
    </row>
    <row r="791" spans="1:13" x14ac:dyDescent="0.25">
      <c r="A791" s="74">
        <v>197313</v>
      </c>
      <c r="B791" s="75" t="s">
        <v>232</v>
      </c>
      <c r="C791" s="75" t="s">
        <v>2739</v>
      </c>
      <c r="D791" s="76">
        <v>46043</v>
      </c>
      <c r="E791" s="75" t="s">
        <v>230</v>
      </c>
      <c r="F791" s="74">
        <v>2.46</v>
      </c>
      <c r="G791" s="75" t="s">
        <v>356</v>
      </c>
      <c r="H791" s="77" t="str">
        <f>VLOOKUP(DESPESAS[[#This Row],[Plano de Contas]],BASE!$B$3:$D$119,3,FALSE)</f>
        <v>Despesas Cartorárias</v>
      </c>
      <c r="I791" s="77" t="str">
        <f>IFERROR(VLOOKUP(DESPESAS[[#This Row],[Fornecedor]],Tabela2[],2,FALSE),"")</f>
        <v/>
      </c>
      <c r="J791" s="77" t="str">
        <f>IFERROR(VLOOKUP(DESPESAS[[#This Row],[Plano de Contas]],BASE!$B$3:$F$119,4,FALSE),"")</f>
        <v>5 - DESPESAS ADMINISTRATIVAS</v>
      </c>
      <c r="K791" s="77" t="str">
        <f>IFERROR(VLOOKUP(DESPESAS[[#This Row],[Plano de Contas]],BASE!$B$3:$H$119,5,FALSE),"")</f>
        <v>FINANCEIRO</v>
      </c>
      <c r="L791" s="77">
        <f>IFERROR(VLOOKUP(DESPESAS[[#This Row],[Plano de Contas]],BASE!$B$3:$H$119,6,FALSE),"")</f>
        <v>0</v>
      </c>
      <c r="M791" s="77" t="str">
        <f>VLOOKUP(DESPESAS[[#This Row],[Plano de Contas]],BASE!$B$3:$H$119,7,FALSE)</f>
        <v>LETÍCIA</v>
      </c>
    </row>
    <row r="792" spans="1:13" x14ac:dyDescent="0.25">
      <c r="A792" s="74">
        <v>197314</v>
      </c>
      <c r="B792" s="75" t="s">
        <v>232</v>
      </c>
      <c r="C792" s="75" t="s">
        <v>2738</v>
      </c>
      <c r="D792" s="76">
        <v>46043</v>
      </c>
      <c r="E792" s="75" t="s">
        <v>230</v>
      </c>
      <c r="F792" s="74">
        <v>9.48</v>
      </c>
      <c r="G792" s="75" t="s">
        <v>229</v>
      </c>
      <c r="H792" s="77" t="str">
        <f>VLOOKUP(DESPESAS[[#This Row],[Plano de Contas]],BASE!$B$3:$D$119,3,FALSE)</f>
        <v>Despesas Bancarias</v>
      </c>
      <c r="I792" s="77" t="str">
        <f>IFERROR(VLOOKUP(DESPESAS[[#This Row],[Fornecedor]],Tabela2[],2,FALSE),"")</f>
        <v/>
      </c>
      <c r="J792" s="77" t="str">
        <f>IFERROR(VLOOKUP(DESPESAS[[#This Row],[Plano de Contas]],BASE!$B$3:$F$119,4,FALSE),"")</f>
        <v>8 - DESPESAS FINANCEIRAS</v>
      </c>
      <c r="K792" s="77" t="str">
        <f>IFERROR(VLOOKUP(DESPESAS[[#This Row],[Plano de Contas]],BASE!$B$3:$H$119,5,FALSE),"")</f>
        <v>FINANCEIRO</v>
      </c>
      <c r="L792" s="77">
        <f>IFERROR(VLOOKUP(DESPESAS[[#This Row],[Plano de Contas]],BASE!$B$3:$H$119,6,FALSE),"")</f>
        <v>0</v>
      </c>
      <c r="M792" s="77" t="str">
        <f>VLOOKUP(DESPESAS[[#This Row],[Plano de Contas]],BASE!$B$3:$H$119,7,FALSE)</f>
        <v>LETÍCIA</v>
      </c>
    </row>
    <row r="793" spans="1:13" x14ac:dyDescent="0.25">
      <c r="A793" s="74">
        <v>197315</v>
      </c>
      <c r="B793" s="75" t="s">
        <v>232</v>
      </c>
      <c r="C793" s="75" t="s">
        <v>2737</v>
      </c>
      <c r="D793" s="76">
        <v>46044</v>
      </c>
      <c r="E793" s="75" t="s">
        <v>230</v>
      </c>
      <c r="F793" s="74">
        <v>2.4</v>
      </c>
      <c r="G793" s="75" t="s">
        <v>229</v>
      </c>
      <c r="H793" s="77" t="str">
        <f>VLOOKUP(DESPESAS[[#This Row],[Plano de Contas]],BASE!$B$3:$D$119,3,FALSE)</f>
        <v>Despesas Bancarias</v>
      </c>
      <c r="I793" s="77" t="str">
        <f>IFERROR(VLOOKUP(DESPESAS[[#This Row],[Fornecedor]],Tabela2[],2,FALSE),"")</f>
        <v/>
      </c>
      <c r="J793" s="77" t="str">
        <f>IFERROR(VLOOKUP(DESPESAS[[#This Row],[Plano de Contas]],BASE!$B$3:$F$119,4,FALSE),"")</f>
        <v>8 - DESPESAS FINANCEIRAS</v>
      </c>
      <c r="K793" s="77" t="str">
        <f>IFERROR(VLOOKUP(DESPESAS[[#This Row],[Plano de Contas]],BASE!$B$3:$H$119,5,FALSE),"")</f>
        <v>FINANCEIRO</v>
      </c>
      <c r="L793" s="77">
        <f>IFERROR(VLOOKUP(DESPESAS[[#This Row],[Plano de Contas]],BASE!$B$3:$H$119,6,FALSE),"")</f>
        <v>0</v>
      </c>
      <c r="M793" s="77" t="str">
        <f>VLOOKUP(DESPESAS[[#This Row],[Plano de Contas]],BASE!$B$3:$H$119,7,FALSE)</f>
        <v>LETÍCIA</v>
      </c>
    </row>
    <row r="794" spans="1:13" x14ac:dyDescent="0.25">
      <c r="A794" s="74">
        <v>197316</v>
      </c>
      <c r="B794" s="75" t="s">
        <v>232</v>
      </c>
      <c r="C794" s="75" t="s">
        <v>2736</v>
      </c>
      <c r="D794" s="76">
        <v>46044</v>
      </c>
      <c r="E794" s="75" t="s">
        <v>230</v>
      </c>
      <c r="F794" s="74">
        <v>20.76</v>
      </c>
      <c r="G794" s="75" t="s">
        <v>251</v>
      </c>
      <c r="H794" s="77" t="str">
        <f>VLOOKUP(DESPESAS[[#This Row],[Plano de Contas]],BASE!$B$3:$D$119,3,FALSE)</f>
        <v>Juros Pagos - Antecipação de Crédito</v>
      </c>
      <c r="I794" s="77" t="str">
        <f>IFERROR(VLOOKUP(DESPESAS[[#This Row],[Fornecedor]],Tabela2[],2,FALSE),"")</f>
        <v/>
      </c>
      <c r="J794" s="77" t="str">
        <f>IFERROR(VLOOKUP(DESPESAS[[#This Row],[Plano de Contas]],BASE!$B$3:$F$119,4,FALSE),"")</f>
        <v>8 - DESPESAS FINANCEIRAS</v>
      </c>
      <c r="K794" s="77" t="str">
        <f>IFERROR(VLOOKUP(DESPESAS[[#This Row],[Plano de Contas]],BASE!$B$3:$H$119,5,FALSE),"")</f>
        <v>FINANCEIRO</v>
      </c>
      <c r="L794" s="77">
        <f>IFERROR(VLOOKUP(DESPESAS[[#This Row],[Plano de Contas]],BASE!$B$3:$H$119,6,FALSE),"")</f>
        <v>0</v>
      </c>
      <c r="M794" s="77" t="str">
        <f>VLOOKUP(DESPESAS[[#This Row],[Plano de Contas]],BASE!$B$3:$H$119,7,FALSE)</f>
        <v>LETÍCIA</v>
      </c>
    </row>
    <row r="795" spans="1:13" x14ac:dyDescent="0.25">
      <c r="A795" s="74">
        <v>197317</v>
      </c>
      <c r="B795" s="75" t="s">
        <v>221</v>
      </c>
      <c r="C795" s="75" t="s">
        <v>2735</v>
      </c>
      <c r="D795" s="76">
        <v>46044</v>
      </c>
      <c r="E795" s="75" t="s">
        <v>256</v>
      </c>
      <c r="F795" s="74">
        <v>1747.25</v>
      </c>
      <c r="G795" s="75" t="s">
        <v>255</v>
      </c>
      <c r="H795" s="77" t="str">
        <f>VLOOKUP(DESPESAS[[#This Row],[Plano de Contas]],BASE!$B$3:$D$119,3,FALSE)</f>
        <v>Mostruário de Tecido</v>
      </c>
      <c r="I795" s="77" t="str">
        <f>IFERROR(VLOOKUP(DESPESAS[[#This Row],[Fornecedor]],Tabela2[],2,FALSE),"")</f>
        <v/>
      </c>
      <c r="J795" s="77" t="str">
        <f>IFERROR(VLOOKUP(DESPESAS[[#This Row],[Plano de Contas]],BASE!$B$3:$F$119,4,FALSE),"")</f>
        <v>6 - DESPESA COM VENDAS</v>
      </c>
      <c r="K795" s="77" t="str">
        <f>IFERROR(VLOOKUP(DESPESAS[[#This Row],[Plano de Contas]],BASE!$B$3:$H$119,5,FALSE),"")</f>
        <v>COMERCIAL</v>
      </c>
      <c r="L795" s="77">
        <f>IFERROR(VLOOKUP(DESPESAS[[#This Row],[Plano de Contas]],BASE!$B$3:$H$119,6,FALSE),"")</f>
        <v>0</v>
      </c>
      <c r="M795" s="77" t="str">
        <f>VLOOKUP(DESPESAS[[#This Row],[Plano de Contas]],BASE!$B$3:$H$119,7,FALSE)</f>
        <v>LETÍCIA</v>
      </c>
    </row>
    <row r="796" spans="1:13" x14ac:dyDescent="0.25">
      <c r="A796" s="74">
        <v>197318</v>
      </c>
      <c r="B796" s="75" t="s">
        <v>221</v>
      </c>
      <c r="C796" s="75" t="s">
        <v>2734</v>
      </c>
      <c r="D796" s="76">
        <v>46044</v>
      </c>
      <c r="E796" s="75" t="s">
        <v>256</v>
      </c>
      <c r="F796" s="74">
        <v>757.5</v>
      </c>
      <c r="G796" s="75" t="s">
        <v>255</v>
      </c>
      <c r="H796" s="77" t="str">
        <f>VLOOKUP(DESPESAS[[#This Row],[Plano de Contas]],BASE!$B$3:$D$119,3,FALSE)</f>
        <v>Mostruário de Tecido</v>
      </c>
      <c r="I796" s="77" t="str">
        <f>IFERROR(VLOOKUP(DESPESAS[[#This Row],[Fornecedor]],Tabela2[],2,FALSE),"")</f>
        <v/>
      </c>
      <c r="J796" s="77" t="str">
        <f>IFERROR(VLOOKUP(DESPESAS[[#This Row],[Plano de Contas]],BASE!$B$3:$F$119,4,FALSE),"")</f>
        <v>6 - DESPESA COM VENDAS</v>
      </c>
      <c r="K796" s="77" t="str">
        <f>IFERROR(VLOOKUP(DESPESAS[[#This Row],[Plano de Contas]],BASE!$B$3:$H$119,5,FALSE),"")</f>
        <v>COMERCIAL</v>
      </c>
      <c r="L796" s="77">
        <f>IFERROR(VLOOKUP(DESPESAS[[#This Row],[Plano de Contas]],BASE!$B$3:$H$119,6,FALSE),"")</f>
        <v>0</v>
      </c>
      <c r="M796" s="77" t="str">
        <f>VLOOKUP(DESPESAS[[#This Row],[Plano de Contas]],BASE!$B$3:$H$119,7,FALSE)</f>
        <v>LETÍCIA</v>
      </c>
    </row>
    <row r="797" spans="1:13" x14ac:dyDescent="0.25">
      <c r="A797" s="74">
        <v>197319</v>
      </c>
      <c r="B797" s="75" t="s">
        <v>281</v>
      </c>
      <c r="C797" s="75" t="s">
        <v>2733</v>
      </c>
      <c r="D797" s="76">
        <v>46043</v>
      </c>
      <c r="E797" s="75" t="s">
        <v>230</v>
      </c>
      <c r="F797" s="74">
        <v>0.79</v>
      </c>
      <c r="G797" s="75" t="s">
        <v>229</v>
      </c>
      <c r="H797" s="77" t="str">
        <f>VLOOKUP(DESPESAS[[#This Row],[Plano de Contas]],BASE!$B$3:$D$119,3,FALSE)</f>
        <v>Despesas Bancarias</v>
      </c>
      <c r="I797" s="77" t="str">
        <f>IFERROR(VLOOKUP(DESPESAS[[#This Row],[Fornecedor]],Tabela2[],2,FALSE),"")</f>
        <v/>
      </c>
      <c r="J797" s="77" t="str">
        <f>IFERROR(VLOOKUP(DESPESAS[[#This Row],[Plano de Contas]],BASE!$B$3:$F$119,4,FALSE),"")</f>
        <v>8 - DESPESAS FINANCEIRAS</v>
      </c>
      <c r="K797" s="77" t="str">
        <f>IFERROR(VLOOKUP(DESPESAS[[#This Row],[Plano de Contas]],BASE!$B$3:$H$119,5,FALSE),"")</f>
        <v>FINANCEIRO</v>
      </c>
      <c r="L797" s="77">
        <f>IFERROR(VLOOKUP(DESPESAS[[#This Row],[Plano de Contas]],BASE!$B$3:$H$119,6,FALSE),"")</f>
        <v>0</v>
      </c>
      <c r="M797" s="77" t="str">
        <f>VLOOKUP(DESPESAS[[#This Row],[Plano de Contas]],BASE!$B$3:$H$119,7,FALSE)</f>
        <v>LETÍCIA</v>
      </c>
    </row>
    <row r="798" spans="1:13" x14ac:dyDescent="0.25">
      <c r="A798" s="74">
        <v>197320</v>
      </c>
      <c r="B798" s="75" t="s">
        <v>221</v>
      </c>
      <c r="C798" s="75" t="s">
        <v>2732</v>
      </c>
      <c r="D798" s="76">
        <v>46044</v>
      </c>
      <c r="E798" s="75" t="s">
        <v>2731</v>
      </c>
      <c r="F798" s="74">
        <v>5000</v>
      </c>
      <c r="G798" s="75" t="s">
        <v>259</v>
      </c>
      <c r="H798" s="77" t="str">
        <f>VLOOKUP(DESPESAS[[#This Row],[Plano de Contas]],BASE!$B$3:$D$119,3,FALSE)</f>
        <v>Manutenção Predial CIF</v>
      </c>
      <c r="I798" s="77" t="str">
        <f>IFERROR(VLOOKUP(DESPESAS[[#This Row],[Fornecedor]],Tabela2[],2,FALSE),"")</f>
        <v/>
      </c>
      <c r="J798" s="77" t="str">
        <f>IFERROR(VLOOKUP(DESPESAS[[#This Row],[Plano de Contas]],BASE!$B$3:$F$119,4,FALSE),"")</f>
        <v>3 - CUSTOS INDIRETOS</v>
      </c>
      <c r="K798" s="77" t="str">
        <f>IFERROR(VLOOKUP(DESPESAS[[#This Row],[Plano de Contas]],BASE!$B$3:$H$119,5,FALSE),"")</f>
        <v>MANUTENÇÃO / TI</v>
      </c>
      <c r="L798" s="77">
        <f>IFERROR(VLOOKUP(DESPESAS[[#This Row],[Plano de Contas]],BASE!$B$3:$H$119,6,FALSE),"")</f>
        <v>0</v>
      </c>
      <c r="M798" s="77" t="str">
        <f>VLOOKUP(DESPESAS[[#This Row],[Plano de Contas]],BASE!$B$3:$H$119,7,FALSE)</f>
        <v>FÁBIO</v>
      </c>
    </row>
    <row r="799" spans="1:13" x14ac:dyDescent="0.25">
      <c r="A799" s="74">
        <v>197321</v>
      </c>
      <c r="B799" s="75" t="s">
        <v>232</v>
      </c>
      <c r="C799" s="75" t="s">
        <v>2730</v>
      </c>
      <c r="D799" s="76">
        <v>46044</v>
      </c>
      <c r="E799" s="75" t="s">
        <v>2728</v>
      </c>
      <c r="F799" s="74">
        <v>1703.62</v>
      </c>
      <c r="G799" s="75" t="s">
        <v>1318</v>
      </c>
      <c r="H799" s="77" t="str">
        <f>VLOOKUP(DESPESAS[[#This Row],[Plano de Contas]],BASE!$B$3:$D$119,3,FALSE)</f>
        <v>Feiras e Eventos</v>
      </c>
      <c r="I799" s="77" t="str">
        <f>IFERROR(VLOOKUP(DESPESAS[[#This Row],[Fornecedor]],Tabela2[],2,FALSE),"")</f>
        <v/>
      </c>
      <c r="J799" s="77" t="str">
        <f>IFERROR(VLOOKUP(DESPESAS[[#This Row],[Plano de Contas]],BASE!$B$3:$F$119,4,FALSE),"")</f>
        <v>6 - DESPESA COM VENDAS</v>
      </c>
      <c r="K799" s="77" t="str">
        <f>IFERROR(VLOOKUP(DESPESAS[[#This Row],[Plano de Contas]],BASE!$B$3:$H$119,5,FALSE),"")</f>
        <v>COMERCIAL</v>
      </c>
      <c r="L799" s="77">
        <f>IFERROR(VLOOKUP(DESPESAS[[#This Row],[Plano de Contas]],BASE!$B$3:$H$119,6,FALSE),"")</f>
        <v>0</v>
      </c>
      <c r="M799" s="77" t="str">
        <f>VLOOKUP(DESPESAS[[#This Row],[Plano de Contas]],BASE!$B$3:$H$119,7,FALSE)</f>
        <v>THAIS</v>
      </c>
    </row>
    <row r="800" spans="1:13" x14ac:dyDescent="0.25">
      <c r="A800" s="74">
        <v>197322</v>
      </c>
      <c r="B800" s="75" t="s">
        <v>232</v>
      </c>
      <c r="C800" s="75" t="s">
        <v>2729</v>
      </c>
      <c r="D800" s="76">
        <v>46044</v>
      </c>
      <c r="E800" s="75" t="s">
        <v>2728</v>
      </c>
      <c r="F800" s="74">
        <v>2625</v>
      </c>
      <c r="G800" s="75" t="s">
        <v>1318</v>
      </c>
      <c r="H800" s="77" t="str">
        <f>VLOOKUP(DESPESAS[[#This Row],[Plano de Contas]],BASE!$B$3:$D$119,3,FALSE)</f>
        <v>Feiras e Eventos</v>
      </c>
      <c r="I800" s="77" t="str">
        <f>IFERROR(VLOOKUP(DESPESAS[[#This Row],[Fornecedor]],Tabela2[],2,FALSE),"")</f>
        <v/>
      </c>
      <c r="J800" s="77" t="str">
        <f>IFERROR(VLOOKUP(DESPESAS[[#This Row],[Plano de Contas]],BASE!$B$3:$F$119,4,FALSE),"")</f>
        <v>6 - DESPESA COM VENDAS</v>
      </c>
      <c r="K800" s="77" t="str">
        <f>IFERROR(VLOOKUP(DESPESAS[[#This Row],[Plano de Contas]],BASE!$B$3:$H$119,5,FALSE),"")</f>
        <v>COMERCIAL</v>
      </c>
      <c r="L800" s="77">
        <f>IFERROR(VLOOKUP(DESPESAS[[#This Row],[Plano de Contas]],BASE!$B$3:$H$119,6,FALSE),"")</f>
        <v>0</v>
      </c>
      <c r="M800" s="77" t="str">
        <f>VLOOKUP(DESPESAS[[#This Row],[Plano de Contas]],BASE!$B$3:$H$119,7,FALSE)</f>
        <v>THAIS</v>
      </c>
    </row>
    <row r="801" spans="1:13" x14ac:dyDescent="0.25">
      <c r="A801" s="74">
        <v>197323</v>
      </c>
      <c r="B801" s="75" t="s">
        <v>232</v>
      </c>
      <c r="C801" s="75" t="s">
        <v>2727</v>
      </c>
      <c r="D801" s="76">
        <v>46044</v>
      </c>
      <c r="E801" s="75" t="s">
        <v>303</v>
      </c>
      <c r="F801" s="74">
        <v>294.68</v>
      </c>
      <c r="G801" s="75" t="s">
        <v>247</v>
      </c>
      <c r="H801" s="77" t="str">
        <f>VLOOKUP(DESPESAS[[#This Row],[Plano de Contas]],BASE!$B$3:$D$119,3,FALSE)</f>
        <v>Manutenção com veiculos</v>
      </c>
      <c r="I801" s="77" t="str">
        <f>IFERROR(VLOOKUP(DESPESAS[[#This Row],[Fornecedor]],Tabela2[],2,FALSE),"")</f>
        <v/>
      </c>
      <c r="J801" s="77" t="str">
        <f>IFERROR(VLOOKUP(DESPESAS[[#This Row],[Plano de Contas]],BASE!$B$3:$F$119,4,FALSE),"")</f>
        <v>6 - DESPESA COM VENDAS</v>
      </c>
      <c r="K801" s="77" t="str">
        <f>IFERROR(VLOOKUP(DESPESAS[[#This Row],[Plano de Contas]],BASE!$B$3:$H$119,5,FALSE),"")</f>
        <v>LOGÍSTICA</v>
      </c>
      <c r="L801" s="77">
        <f>IFERROR(VLOOKUP(DESPESAS[[#This Row],[Plano de Contas]],BASE!$B$3:$H$119,6,FALSE),"")</f>
        <v>0</v>
      </c>
      <c r="M801" s="77" t="str">
        <f>VLOOKUP(DESPESAS[[#This Row],[Plano de Contas]],BASE!$B$3:$H$119,7,FALSE)</f>
        <v>MYLENA</v>
      </c>
    </row>
    <row r="802" spans="1:13" x14ac:dyDescent="0.25">
      <c r="A802" s="74">
        <v>197324</v>
      </c>
      <c r="B802" s="75" t="s">
        <v>221</v>
      </c>
      <c r="C802" s="75" t="s">
        <v>2726</v>
      </c>
      <c r="D802" s="76">
        <v>46044</v>
      </c>
      <c r="E802" s="75" t="s">
        <v>307</v>
      </c>
      <c r="F802" s="74">
        <v>195</v>
      </c>
      <c r="G802" s="75" t="s">
        <v>244</v>
      </c>
      <c r="H802" s="77" t="str">
        <f>VLOOKUP(DESPESAS[[#This Row],[Plano de Contas]],BASE!$B$3:$D$119,3,FALSE)</f>
        <v>Material de Expediente (Prod)</v>
      </c>
      <c r="I802" s="77" t="str">
        <f>IFERROR(VLOOKUP(DESPESAS[[#This Row],[Fornecedor]],Tabela2[],2,FALSE),"")</f>
        <v>FERRAGENS GERAIS</v>
      </c>
      <c r="J802" s="77" t="str">
        <f>IFERROR(VLOOKUP(DESPESAS[[#This Row],[Plano de Contas]],BASE!$B$3:$F$119,4,FALSE),"")</f>
        <v>2 - CUSTOS DIRETOS</v>
      </c>
      <c r="K802" s="77" t="str">
        <f>IFERROR(VLOOKUP(DESPESAS[[#This Row],[Plano de Contas]],BASE!$B$3:$H$119,5,FALSE),"")</f>
        <v>PRODUÇÃO</v>
      </c>
      <c r="L802" s="77">
        <f>IFERROR(VLOOKUP(DESPESAS[[#This Row],[Plano de Contas]],BASE!$B$3:$H$119,6,FALSE),"")</f>
        <v>0</v>
      </c>
      <c r="M802" s="77" t="str">
        <f>VLOOKUP(DESPESAS[[#This Row],[Plano de Contas]],BASE!$B$3:$H$119,7,FALSE)</f>
        <v>RAFAEL</v>
      </c>
    </row>
    <row r="803" spans="1:13" x14ac:dyDescent="0.25">
      <c r="A803" s="74">
        <v>197325</v>
      </c>
      <c r="B803" s="75" t="s">
        <v>221</v>
      </c>
      <c r="C803" s="75" t="s">
        <v>2725</v>
      </c>
      <c r="D803" s="76">
        <v>46044</v>
      </c>
      <c r="E803" s="75" t="s">
        <v>245</v>
      </c>
      <c r="F803" s="74">
        <v>90</v>
      </c>
      <c r="G803" s="75" t="s">
        <v>244</v>
      </c>
      <c r="H803" s="77" t="str">
        <f>VLOOKUP(DESPESAS[[#This Row],[Plano de Contas]],BASE!$B$3:$D$119,3,FALSE)</f>
        <v>Material de Expediente (Prod)</v>
      </c>
      <c r="I803" s="77" t="str">
        <f>IFERROR(VLOOKUP(DESPESAS[[#This Row],[Fornecedor]],Tabela2[],2,FALSE),"")</f>
        <v>FERRAGENS GERAIS</v>
      </c>
      <c r="J803" s="77" t="str">
        <f>IFERROR(VLOOKUP(DESPESAS[[#This Row],[Plano de Contas]],BASE!$B$3:$F$119,4,FALSE),"")</f>
        <v>2 - CUSTOS DIRETOS</v>
      </c>
      <c r="K803" s="77" t="str">
        <f>IFERROR(VLOOKUP(DESPESAS[[#This Row],[Plano de Contas]],BASE!$B$3:$H$119,5,FALSE),"")</f>
        <v>PRODUÇÃO</v>
      </c>
      <c r="L803" s="77">
        <f>IFERROR(VLOOKUP(DESPESAS[[#This Row],[Plano de Contas]],BASE!$B$3:$H$119,6,FALSE),"")</f>
        <v>0</v>
      </c>
      <c r="M803" s="77" t="str">
        <f>VLOOKUP(DESPESAS[[#This Row],[Plano de Contas]],BASE!$B$3:$H$119,7,FALSE)</f>
        <v>RAFAEL</v>
      </c>
    </row>
    <row r="804" spans="1:13" x14ac:dyDescent="0.25">
      <c r="A804" s="74">
        <v>197327</v>
      </c>
      <c r="B804" s="75" t="s">
        <v>221</v>
      </c>
      <c r="C804" s="75" t="s">
        <v>2724</v>
      </c>
      <c r="D804" s="76">
        <v>46044</v>
      </c>
      <c r="E804" s="75" t="s">
        <v>1177</v>
      </c>
      <c r="F804" s="74">
        <v>170</v>
      </c>
      <c r="G804" s="75" t="s">
        <v>247</v>
      </c>
      <c r="H804" s="77" t="str">
        <f>VLOOKUP(DESPESAS[[#This Row],[Plano de Contas]],BASE!$B$3:$D$119,3,FALSE)</f>
        <v>Manutenção com veiculos</v>
      </c>
      <c r="I804" s="77" t="str">
        <f>IFERROR(VLOOKUP(DESPESAS[[#This Row],[Fornecedor]],Tabela2[],2,FALSE),"")</f>
        <v/>
      </c>
      <c r="J804" s="77" t="str">
        <f>IFERROR(VLOOKUP(DESPESAS[[#This Row],[Plano de Contas]],BASE!$B$3:$F$119,4,FALSE),"")</f>
        <v>6 - DESPESA COM VENDAS</v>
      </c>
      <c r="K804" s="77" t="str">
        <f>IFERROR(VLOOKUP(DESPESAS[[#This Row],[Plano de Contas]],BASE!$B$3:$H$119,5,FALSE),"")</f>
        <v>LOGÍSTICA</v>
      </c>
      <c r="L804" s="77">
        <f>IFERROR(VLOOKUP(DESPESAS[[#This Row],[Plano de Contas]],BASE!$B$3:$H$119,6,FALSE),"")</f>
        <v>0</v>
      </c>
      <c r="M804" s="77" t="str">
        <f>VLOOKUP(DESPESAS[[#This Row],[Plano de Contas]],BASE!$B$3:$H$119,7,FALSE)</f>
        <v>MYLENA</v>
      </c>
    </row>
    <row r="805" spans="1:13" x14ac:dyDescent="0.25">
      <c r="A805" s="74">
        <v>197328</v>
      </c>
      <c r="B805" s="75" t="s">
        <v>221</v>
      </c>
      <c r="C805" s="75" t="s">
        <v>2723</v>
      </c>
      <c r="D805" s="76">
        <v>46044</v>
      </c>
      <c r="E805" s="75" t="s">
        <v>265</v>
      </c>
      <c r="F805" s="74">
        <v>96</v>
      </c>
      <c r="G805" s="75" t="s">
        <v>262</v>
      </c>
      <c r="H805" s="77" t="str">
        <f>VLOOKUP(DESPESAS[[#This Row],[Plano de Contas]],BASE!$B$3:$D$119,3,FALSE)</f>
        <v>Fretes Karams</v>
      </c>
      <c r="I805" s="77" t="str">
        <f>IFERROR(VLOOKUP(DESPESAS[[#This Row],[Fornecedor]],Tabela2[],2,FALSE),"")</f>
        <v/>
      </c>
      <c r="J805" s="77" t="str">
        <f>IFERROR(VLOOKUP(DESPESAS[[#This Row],[Plano de Contas]],BASE!$B$3:$F$119,4,FALSE),"")</f>
        <v>6 - DESPESA COM VENDAS</v>
      </c>
      <c r="K805" s="77" t="str">
        <f>IFERROR(VLOOKUP(DESPESAS[[#This Row],[Plano de Contas]],BASE!$B$3:$H$119,5,FALSE),"")</f>
        <v>LOGÍSTICA</v>
      </c>
      <c r="L805" s="77">
        <f>IFERROR(VLOOKUP(DESPESAS[[#This Row],[Plano de Contas]],BASE!$B$3:$H$119,6,FALSE),"")</f>
        <v>0</v>
      </c>
      <c r="M805" s="77" t="str">
        <f>VLOOKUP(DESPESAS[[#This Row],[Plano de Contas]],BASE!$B$3:$H$119,7,FALSE)</f>
        <v>MYLENA</v>
      </c>
    </row>
    <row r="806" spans="1:13" x14ac:dyDescent="0.25">
      <c r="A806" s="74">
        <v>197329</v>
      </c>
      <c r="B806" s="75" t="s">
        <v>221</v>
      </c>
      <c r="C806" s="75" t="s">
        <v>2722</v>
      </c>
      <c r="D806" s="76">
        <v>46044</v>
      </c>
      <c r="E806" s="75" t="s">
        <v>242</v>
      </c>
      <c r="F806" s="74">
        <v>656.01</v>
      </c>
      <c r="G806" s="75" t="s">
        <v>241</v>
      </c>
      <c r="H806" s="77" t="str">
        <f>VLOOKUP(DESPESAS[[#This Row],[Plano de Contas]],BASE!$B$3:$D$119,3,FALSE)</f>
        <v>Combustiveis Frota</v>
      </c>
      <c r="I806" s="77" t="str">
        <f>IFERROR(VLOOKUP(DESPESAS[[#This Row],[Fornecedor]],Tabela2[],2,FALSE),"")</f>
        <v/>
      </c>
      <c r="J806" s="77" t="str">
        <f>IFERROR(VLOOKUP(DESPESAS[[#This Row],[Plano de Contas]],BASE!$B$3:$F$119,4,FALSE),"")</f>
        <v>6 - DESPESA COM VENDAS</v>
      </c>
      <c r="K806" s="77" t="str">
        <f>IFERROR(VLOOKUP(DESPESAS[[#This Row],[Plano de Contas]],BASE!$B$3:$H$119,5,FALSE),"")</f>
        <v>LOGÍSTICA</v>
      </c>
      <c r="L806" s="77">
        <f>IFERROR(VLOOKUP(DESPESAS[[#This Row],[Plano de Contas]],BASE!$B$3:$H$119,6,FALSE),"")</f>
        <v>0</v>
      </c>
      <c r="M806" s="77" t="str">
        <f>VLOOKUP(DESPESAS[[#This Row],[Plano de Contas]],BASE!$B$3:$H$119,7,FALSE)</f>
        <v>MYLENA</v>
      </c>
    </row>
    <row r="807" spans="1:13" x14ac:dyDescent="0.25">
      <c r="A807" s="74">
        <v>197330</v>
      </c>
      <c r="B807" s="75" t="s">
        <v>221</v>
      </c>
      <c r="C807" s="75" t="s">
        <v>2721</v>
      </c>
      <c r="D807" s="76">
        <v>46044</v>
      </c>
      <c r="E807" s="75" t="s">
        <v>242</v>
      </c>
      <c r="F807" s="74">
        <v>260.37</v>
      </c>
      <c r="G807" s="75" t="s">
        <v>241</v>
      </c>
      <c r="H807" s="77" t="str">
        <f>VLOOKUP(DESPESAS[[#This Row],[Plano de Contas]],BASE!$B$3:$D$119,3,FALSE)</f>
        <v>Combustiveis Frota</v>
      </c>
      <c r="I807" s="77" t="str">
        <f>IFERROR(VLOOKUP(DESPESAS[[#This Row],[Fornecedor]],Tabela2[],2,FALSE),"")</f>
        <v/>
      </c>
      <c r="J807" s="77" t="str">
        <f>IFERROR(VLOOKUP(DESPESAS[[#This Row],[Plano de Contas]],BASE!$B$3:$F$119,4,FALSE),"")</f>
        <v>6 - DESPESA COM VENDAS</v>
      </c>
      <c r="K807" s="77" t="str">
        <f>IFERROR(VLOOKUP(DESPESAS[[#This Row],[Plano de Contas]],BASE!$B$3:$H$119,5,FALSE),"")</f>
        <v>LOGÍSTICA</v>
      </c>
      <c r="L807" s="77">
        <f>IFERROR(VLOOKUP(DESPESAS[[#This Row],[Plano de Contas]],BASE!$B$3:$H$119,6,FALSE),"")</f>
        <v>0</v>
      </c>
      <c r="M807" s="77" t="str">
        <f>VLOOKUP(DESPESAS[[#This Row],[Plano de Contas]],BASE!$B$3:$H$119,7,FALSE)</f>
        <v>MYLENA</v>
      </c>
    </row>
    <row r="808" spans="1:13" x14ac:dyDescent="0.25">
      <c r="A808" s="74">
        <v>197334</v>
      </c>
      <c r="B808" s="75" t="s">
        <v>232</v>
      </c>
      <c r="C808" s="75" t="s">
        <v>2720</v>
      </c>
      <c r="D808" s="76">
        <v>46044</v>
      </c>
      <c r="E808" s="75" t="s">
        <v>471</v>
      </c>
      <c r="F808" s="74">
        <v>278</v>
      </c>
      <c r="G808" s="75" t="s">
        <v>244</v>
      </c>
      <c r="H808" s="77" t="str">
        <f>VLOOKUP(DESPESAS[[#This Row],[Plano de Contas]],BASE!$B$3:$D$119,3,FALSE)</f>
        <v>Material de Expediente (Prod)</v>
      </c>
      <c r="I808" s="77" t="str">
        <f>IFERROR(VLOOKUP(DESPESAS[[#This Row],[Fornecedor]],Tabela2[],2,FALSE),"")</f>
        <v/>
      </c>
      <c r="J808" s="77" t="str">
        <f>IFERROR(VLOOKUP(DESPESAS[[#This Row],[Plano de Contas]],BASE!$B$3:$F$119,4,FALSE),"")</f>
        <v>2 - CUSTOS DIRETOS</v>
      </c>
      <c r="K808" s="77" t="str">
        <f>IFERROR(VLOOKUP(DESPESAS[[#This Row],[Plano de Contas]],BASE!$B$3:$H$119,5,FALSE),"")</f>
        <v>PRODUÇÃO</v>
      </c>
      <c r="L808" s="77">
        <f>IFERROR(VLOOKUP(DESPESAS[[#This Row],[Plano de Contas]],BASE!$B$3:$H$119,6,FALSE),"")</f>
        <v>0</v>
      </c>
      <c r="M808" s="77" t="str">
        <f>VLOOKUP(DESPESAS[[#This Row],[Plano de Contas]],BASE!$B$3:$H$119,7,FALSE)</f>
        <v>RAFAEL</v>
      </c>
    </row>
    <row r="809" spans="1:13" x14ac:dyDescent="0.25">
      <c r="A809" s="74">
        <v>197335</v>
      </c>
      <c r="B809" s="75" t="s">
        <v>232</v>
      </c>
      <c r="C809" s="75" t="s">
        <v>2719</v>
      </c>
      <c r="D809" s="76">
        <v>46044</v>
      </c>
      <c r="E809" s="75" t="s">
        <v>774</v>
      </c>
      <c r="F809" s="74">
        <v>2293.3000000000002</v>
      </c>
      <c r="G809" s="75" t="s">
        <v>1318</v>
      </c>
      <c r="H809" s="77" t="str">
        <f>VLOOKUP(DESPESAS[[#This Row],[Plano de Contas]],BASE!$B$3:$D$119,3,FALSE)</f>
        <v>Feiras e Eventos</v>
      </c>
      <c r="I809" s="77" t="str">
        <f>IFERROR(VLOOKUP(DESPESAS[[#This Row],[Fornecedor]],Tabela2[],2,FALSE),"")</f>
        <v/>
      </c>
      <c r="J809" s="77" t="str">
        <f>IFERROR(VLOOKUP(DESPESAS[[#This Row],[Plano de Contas]],BASE!$B$3:$F$119,4,FALSE),"")</f>
        <v>6 - DESPESA COM VENDAS</v>
      </c>
      <c r="K809" s="77" t="str">
        <f>IFERROR(VLOOKUP(DESPESAS[[#This Row],[Plano de Contas]],BASE!$B$3:$H$119,5,FALSE),"")</f>
        <v>COMERCIAL</v>
      </c>
      <c r="L809" s="77">
        <f>IFERROR(VLOOKUP(DESPESAS[[#This Row],[Plano de Contas]],BASE!$B$3:$H$119,6,FALSE),"")</f>
        <v>0</v>
      </c>
      <c r="M809" s="77" t="str">
        <f>VLOOKUP(DESPESAS[[#This Row],[Plano de Contas]],BASE!$B$3:$H$119,7,FALSE)</f>
        <v>THAIS</v>
      </c>
    </row>
    <row r="810" spans="1:13" x14ac:dyDescent="0.25">
      <c r="A810" s="74">
        <v>197336</v>
      </c>
      <c r="B810" s="75" t="s">
        <v>221</v>
      </c>
      <c r="C810" s="75" t="s">
        <v>2718</v>
      </c>
      <c r="D810" s="76">
        <v>46044</v>
      </c>
      <c r="E810" s="75" t="s">
        <v>307</v>
      </c>
      <c r="F810" s="74">
        <v>47</v>
      </c>
      <c r="G810" s="75" t="s">
        <v>244</v>
      </c>
      <c r="H810" s="77" t="str">
        <f>VLOOKUP(DESPESAS[[#This Row],[Plano de Contas]],BASE!$B$3:$D$119,3,FALSE)</f>
        <v>Material de Expediente (Prod)</v>
      </c>
      <c r="I810" s="77" t="str">
        <f>IFERROR(VLOOKUP(DESPESAS[[#This Row],[Fornecedor]],Tabela2[],2,FALSE),"")</f>
        <v>FERRAGENS GERAIS</v>
      </c>
      <c r="J810" s="77" t="str">
        <f>IFERROR(VLOOKUP(DESPESAS[[#This Row],[Plano de Contas]],BASE!$B$3:$F$119,4,FALSE),"")</f>
        <v>2 - CUSTOS DIRETOS</v>
      </c>
      <c r="K810" s="77" t="str">
        <f>IFERROR(VLOOKUP(DESPESAS[[#This Row],[Plano de Contas]],BASE!$B$3:$H$119,5,FALSE),"")</f>
        <v>PRODUÇÃO</v>
      </c>
      <c r="L810" s="77">
        <f>IFERROR(VLOOKUP(DESPESAS[[#This Row],[Plano de Contas]],BASE!$B$3:$H$119,6,FALSE),"")</f>
        <v>0</v>
      </c>
      <c r="M810" s="77" t="str">
        <f>VLOOKUP(DESPESAS[[#This Row],[Plano de Contas]],BASE!$B$3:$H$119,7,FALSE)</f>
        <v>RAFAEL</v>
      </c>
    </row>
    <row r="811" spans="1:13" x14ac:dyDescent="0.25">
      <c r="A811" s="74">
        <v>197337</v>
      </c>
      <c r="B811" s="75" t="s">
        <v>232</v>
      </c>
      <c r="C811" s="75" t="s">
        <v>2717</v>
      </c>
      <c r="D811" s="76">
        <v>46044</v>
      </c>
      <c r="E811" s="75" t="s">
        <v>230</v>
      </c>
      <c r="F811" s="74">
        <v>10.27</v>
      </c>
      <c r="G811" s="75" t="s">
        <v>229</v>
      </c>
      <c r="H811" s="77" t="str">
        <f>VLOOKUP(DESPESAS[[#This Row],[Plano de Contas]],BASE!$B$3:$D$119,3,FALSE)</f>
        <v>Despesas Bancarias</v>
      </c>
      <c r="I811" s="77" t="str">
        <f>IFERROR(VLOOKUP(DESPESAS[[#This Row],[Fornecedor]],Tabela2[],2,FALSE),"")</f>
        <v/>
      </c>
      <c r="J811" s="77" t="str">
        <f>IFERROR(VLOOKUP(DESPESAS[[#This Row],[Plano de Contas]],BASE!$B$3:$F$119,4,FALSE),"")</f>
        <v>8 - DESPESAS FINANCEIRAS</v>
      </c>
      <c r="K811" s="77" t="str">
        <f>IFERROR(VLOOKUP(DESPESAS[[#This Row],[Plano de Contas]],BASE!$B$3:$H$119,5,FALSE),"")</f>
        <v>FINANCEIRO</v>
      </c>
      <c r="L811" s="77">
        <f>IFERROR(VLOOKUP(DESPESAS[[#This Row],[Plano de Contas]],BASE!$B$3:$H$119,6,FALSE),"")</f>
        <v>0</v>
      </c>
      <c r="M811" s="77" t="str">
        <f>VLOOKUP(DESPESAS[[#This Row],[Plano de Contas]],BASE!$B$3:$H$119,7,FALSE)</f>
        <v>LETÍCIA</v>
      </c>
    </row>
    <row r="812" spans="1:13" x14ac:dyDescent="0.25">
      <c r="A812" s="74">
        <v>197338</v>
      </c>
      <c r="B812" s="75" t="s">
        <v>232</v>
      </c>
      <c r="C812" s="75" t="s">
        <v>2716</v>
      </c>
      <c r="D812" s="76">
        <v>46045</v>
      </c>
      <c r="E812" s="75" t="s">
        <v>230</v>
      </c>
      <c r="F812" s="74">
        <v>0.63</v>
      </c>
      <c r="G812" s="75" t="s">
        <v>229</v>
      </c>
      <c r="H812" s="77" t="str">
        <f>VLOOKUP(DESPESAS[[#This Row],[Plano de Contas]],BASE!$B$3:$D$119,3,FALSE)</f>
        <v>Despesas Bancarias</v>
      </c>
      <c r="I812" s="77" t="str">
        <f>IFERROR(VLOOKUP(DESPESAS[[#This Row],[Fornecedor]],Tabela2[],2,FALSE),"")</f>
        <v/>
      </c>
      <c r="J812" s="77" t="str">
        <f>IFERROR(VLOOKUP(DESPESAS[[#This Row],[Plano de Contas]],BASE!$B$3:$F$119,4,FALSE),"")</f>
        <v>8 - DESPESAS FINANCEIRAS</v>
      </c>
      <c r="K812" s="77" t="str">
        <f>IFERROR(VLOOKUP(DESPESAS[[#This Row],[Plano de Contas]],BASE!$B$3:$H$119,5,FALSE),"")</f>
        <v>FINANCEIRO</v>
      </c>
      <c r="L812" s="77">
        <f>IFERROR(VLOOKUP(DESPESAS[[#This Row],[Plano de Contas]],BASE!$B$3:$H$119,6,FALSE),"")</f>
        <v>0</v>
      </c>
      <c r="M812" s="77" t="str">
        <f>VLOOKUP(DESPESAS[[#This Row],[Plano de Contas]],BASE!$B$3:$H$119,7,FALSE)</f>
        <v>LETÍCIA</v>
      </c>
    </row>
    <row r="813" spans="1:13" x14ac:dyDescent="0.25">
      <c r="A813" s="74">
        <v>197339</v>
      </c>
      <c r="B813" s="75" t="s">
        <v>281</v>
      </c>
      <c r="C813" s="75" t="s">
        <v>2715</v>
      </c>
      <c r="D813" s="76">
        <v>46034</v>
      </c>
      <c r="E813" s="75" t="s">
        <v>409</v>
      </c>
      <c r="F813" s="74">
        <v>125.48</v>
      </c>
      <c r="G813" s="75" t="s">
        <v>326</v>
      </c>
      <c r="H813" s="77" t="str">
        <f>VLOOKUP(DESPESAS[[#This Row],[Plano de Contas]],BASE!$B$3:$D$119,3,FALSE)</f>
        <v>Frete sobre Compras</v>
      </c>
      <c r="I813" s="77" t="str">
        <f>IFERROR(VLOOKUP(DESPESAS[[#This Row],[Fornecedor]],Tabela2[],2,FALSE),"")</f>
        <v>SERVIÇOS FRETE</v>
      </c>
      <c r="J813" s="77" t="str">
        <f>IFERROR(VLOOKUP(DESPESAS[[#This Row],[Plano de Contas]],BASE!$B$3:$F$119,4,FALSE),"")</f>
        <v>1 - CPV</v>
      </c>
      <c r="K813" s="77" t="str">
        <f>IFERROR(VLOOKUP(DESPESAS[[#This Row],[Plano de Contas]],BASE!$B$3:$H$119,5,FALSE),"")</f>
        <v>COMPRAS</v>
      </c>
      <c r="L813" s="77">
        <f>IFERROR(VLOOKUP(DESPESAS[[#This Row],[Plano de Contas]],BASE!$B$3:$H$119,6,FALSE),"")</f>
        <v>0</v>
      </c>
      <c r="M813" s="77" t="str">
        <f>VLOOKUP(DESPESAS[[#This Row],[Plano de Contas]],BASE!$B$3:$H$119,7,FALSE)</f>
        <v>MYLENA</v>
      </c>
    </row>
    <row r="814" spans="1:13" x14ac:dyDescent="0.25">
      <c r="A814" s="74">
        <v>197340</v>
      </c>
      <c r="B814" s="75" t="s">
        <v>232</v>
      </c>
      <c r="C814" s="75" t="s">
        <v>2671</v>
      </c>
      <c r="D814" s="76">
        <v>46045</v>
      </c>
      <c r="E814" s="75" t="s">
        <v>230</v>
      </c>
      <c r="F814" s="74">
        <v>0.79</v>
      </c>
      <c r="G814" s="75" t="s">
        <v>229</v>
      </c>
      <c r="H814" s="77" t="str">
        <f>VLOOKUP(DESPESAS[[#This Row],[Plano de Contas]],BASE!$B$3:$D$119,3,FALSE)</f>
        <v>Despesas Bancarias</v>
      </c>
      <c r="I814" s="77" t="str">
        <f>IFERROR(VLOOKUP(DESPESAS[[#This Row],[Fornecedor]],Tabela2[],2,FALSE),"")</f>
        <v/>
      </c>
      <c r="J814" s="77" t="str">
        <f>IFERROR(VLOOKUP(DESPESAS[[#This Row],[Plano de Contas]],BASE!$B$3:$F$119,4,FALSE),"")</f>
        <v>8 - DESPESAS FINANCEIRAS</v>
      </c>
      <c r="K814" s="77" t="str">
        <f>IFERROR(VLOOKUP(DESPESAS[[#This Row],[Plano de Contas]],BASE!$B$3:$H$119,5,FALSE),"")</f>
        <v>FINANCEIRO</v>
      </c>
      <c r="L814" s="77">
        <f>IFERROR(VLOOKUP(DESPESAS[[#This Row],[Plano de Contas]],BASE!$B$3:$H$119,6,FALSE),"")</f>
        <v>0</v>
      </c>
      <c r="M814" s="77" t="str">
        <f>VLOOKUP(DESPESAS[[#This Row],[Plano de Contas]],BASE!$B$3:$H$119,7,FALSE)</f>
        <v>LETÍCIA</v>
      </c>
    </row>
    <row r="815" spans="1:13" x14ac:dyDescent="0.25">
      <c r="A815" s="74">
        <v>197341</v>
      </c>
      <c r="B815" s="75" t="s">
        <v>232</v>
      </c>
      <c r="C815" s="75" t="s">
        <v>2714</v>
      </c>
      <c r="D815" s="76">
        <v>46045</v>
      </c>
      <c r="E815" s="75" t="s">
        <v>230</v>
      </c>
      <c r="F815" s="74">
        <v>1.58</v>
      </c>
      <c r="G815" s="75" t="s">
        <v>229</v>
      </c>
      <c r="H815" s="77" t="str">
        <f>VLOOKUP(DESPESAS[[#This Row],[Plano de Contas]],BASE!$B$3:$D$119,3,FALSE)</f>
        <v>Despesas Bancarias</v>
      </c>
      <c r="I815" s="77" t="str">
        <f>IFERROR(VLOOKUP(DESPESAS[[#This Row],[Fornecedor]],Tabela2[],2,FALSE),"")</f>
        <v/>
      </c>
      <c r="J815" s="77" t="str">
        <f>IFERROR(VLOOKUP(DESPESAS[[#This Row],[Plano de Contas]],BASE!$B$3:$F$119,4,FALSE),"")</f>
        <v>8 - DESPESAS FINANCEIRAS</v>
      </c>
      <c r="K815" s="77" t="str">
        <f>IFERROR(VLOOKUP(DESPESAS[[#This Row],[Plano de Contas]],BASE!$B$3:$H$119,5,FALSE),"")</f>
        <v>FINANCEIRO</v>
      </c>
      <c r="L815" s="77">
        <f>IFERROR(VLOOKUP(DESPESAS[[#This Row],[Plano de Contas]],BASE!$B$3:$H$119,6,FALSE),"")</f>
        <v>0</v>
      </c>
      <c r="M815" s="77" t="str">
        <f>VLOOKUP(DESPESAS[[#This Row],[Plano de Contas]],BASE!$B$3:$H$119,7,FALSE)</f>
        <v>LETÍCIA</v>
      </c>
    </row>
    <row r="816" spans="1:13" x14ac:dyDescent="0.25">
      <c r="A816" s="74">
        <v>197342</v>
      </c>
      <c r="B816" s="75" t="s">
        <v>232</v>
      </c>
      <c r="C816" s="75" t="s">
        <v>2713</v>
      </c>
      <c r="D816" s="76">
        <v>46044</v>
      </c>
      <c r="E816" s="75" t="s">
        <v>230</v>
      </c>
      <c r="F816" s="74">
        <v>0.79</v>
      </c>
      <c r="G816" s="75" t="s">
        <v>236</v>
      </c>
      <c r="H816" s="77" t="str">
        <f>VLOOKUP(DESPESAS[[#This Row],[Plano de Contas]],BASE!$B$3:$D$119,3,FALSE)</f>
        <v>Despesas de Cobranca</v>
      </c>
      <c r="I816" s="77" t="str">
        <f>IFERROR(VLOOKUP(DESPESAS[[#This Row],[Fornecedor]],Tabela2[],2,FALSE),"")</f>
        <v/>
      </c>
      <c r="J816" s="77" t="str">
        <f>IFERROR(VLOOKUP(DESPESAS[[#This Row],[Plano de Contas]],BASE!$B$3:$F$119,4,FALSE),"")</f>
        <v>8 - DESPESAS FINANCEIRAS</v>
      </c>
      <c r="K816" s="77" t="str">
        <f>IFERROR(VLOOKUP(DESPESAS[[#This Row],[Plano de Contas]],BASE!$B$3:$H$119,5,FALSE),"")</f>
        <v>FINANCEIRO</v>
      </c>
      <c r="L816" s="77">
        <f>IFERROR(VLOOKUP(DESPESAS[[#This Row],[Plano de Contas]],BASE!$B$3:$H$119,6,FALSE),"")</f>
        <v>0</v>
      </c>
      <c r="M816" s="77" t="str">
        <f>VLOOKUP(DESPESAS[[#This Row],[Plano de Contas]],BASE!$B$3:$H$119,7,FALSE)</f>
        <v>LETÍCIA</v>
      </c>
    </row>
    <row r="817" spans="1:13" x14ac:dyDescent="0.25">
      <c r="A817" s="74">
        <v>197344</v>
      </c>
      <c r="B817" s="75" t="s">
        <v>686</v>
      </c>
      <c r="C817" s="75" t="s">
        <v>2712</v>
      </c>
      <c r="D817" s="76">
        <v>46045</v>
      </c>
      <c r="E817" s="75" t="s">
        <v>1345</v>
      </c>
      <c r="F817" s="74">
        <v>186</v>
      </c>
      <c r="G817" s="75" t="s">
        <v>1318</v>
      </c>
      <c r="H817" s="77" t="str">
        <f>VLOOKUP(DESPESAS[[#This Row],[Plano de Contas]],BASE!$B$3:$D$119,3,FALSE)</f>
        <v>Feiras e Eventos</v>
      </c>
      <c r="I817" s="77" t="str">
        <f>IFERROR(VLOOKUP(DESPESAS[[#This Row],[Fornecedor]],Tabela2[],2,FALSE),"")</f>
        <v/>
      </c>
      <c r="J817" s="77" t="str">
        <f>IFERROR(VLOOKUP(DESPESAS[[#This Row],[Plano de Contas]],BASE!$B$3:$F$119,4,FALSE),"")</f>
        <v>6 - DESPESA COM VENDAS</v>
      </c>
      <c r="K817" s="77" t="str">
        <f>IFERROR(VLOOKUP(DESPESAS[[#This Row],[Plano de Contas]],BASE!$B$3:$H$119,5,FALSE),"")</f>
        <v>COMERCIAL</v>
      </c>
      <c r="L817" s="77">
        <f>IFERROR(VLOOKUP(DESPESAS[[#This Row],[Plano de Contas]],BASE!$B$3:$H$119,6,FALSE),"")</f>
        <v>0</v>
      </c>
      <c r="M817" s="77" t="str">
        <f>VLOOKUP(DESPESAS[[#This Row],[Plano de Contas]],BASE!$B$3:$H$119,7,FALSE)</f>
        <v>THAIS</v>
      </c>
    </row>
    <row r="818" spans="1:13" x14ac:dyDescent="0.25">
      <c r="A818" s="74">
        <v>197345</v>
      </c>
      <c r="B818" s="75" t="s">
        <v>232</v>
      </c>
      <c r="C818" s="75" t="s">
        <v>2711</v>
      </c>
      <c r="D818" s="76">
        <v>46030</v>
      </c>
      <c r="E818" s="75" t="s">
        <v>409</v>
      </c>
      <c r="F818" s="74">
        <v>208.43</v>
      </c>
      <c r="G818" s="75" t="s">
        <v>326</v>
      </c>
      <c r="H818" s="77" t="str">
        <f>VLOOKUP(DESPESAS[[#This Row],[Plano de Contas]],BASE!$B$3:$D$119,3,FALSE)</f>
        <v>Frete sobre Compras</v>
      </c>
      <c r="I818" s="77" t="str">
        <f>IFERROR(VLOOKUP(DESPESAS[[#This Row],[Fornecedor]],Tabela2[],2,FALSE),"")</f>
        <v>SERVIÇOS FRETE</v>
      </c>
      <c r="J818" s="77" t="str">
        <f>IFERROR(VLOOKUP(DESPESAS[[#This Row],[Plano de Contas]],BASE!$B$3:$F$119,4,FALSE),"")</f>
        <v>1 - CPV</v>
      </c>
      <c r="K818" s="77" t="str">
        <f>IFERROR(VLOOKUP(DESPESAS[[#This Row],[Plano de Contas]],BASE!$B$3:$H$119,5,FALSE),"")</f>
        <v>COMPRAS</v>
      </c>
      <c r="L818" s="77">
        <f>IFERROR(VLOOKUP(DESPESAS[[#This Row],[Plano de Contas]],BASE!$B$3:$H$119,6,FALSE),"")</f>
        <v>0</v>
      </c>
      <c r="M818" s="77" t="str">
        <f>VLOOKUP(DESPESAS[[#This Row],[Plano de Contas]],BASE!$B$3:$H$119,7,FALSE)</f>
        <v>MYLENA</v>
      </c>
    </row>
    <row r="819" spans="1:13" x14ac:dyDescent="0.25">
      <c r="A819" s="74">
        <v>197346</v>
      </c>
      <c r="B819" s="75" t="s">
        <v>232</v>
      </c>
      <c r="C819" s="75" t="s">
        <v>2710</v>
      </c>
      <c r="D819" s="76">
        <v>46041</v>
      </c>
      <c r="E819" s="75" t="s">
        <v>409</v>
      </c>
      <c r="F819" s="74">
        <v>98.44</v>
      </c>
      <c r="G819" s="75" t="s">
        <v>326</v>
      </c>
      <c r="H819" s="77" t="str">
        <f>VLOOKUP(DESPESAS[[#This Row],[Plano de Contas]],BASE!$B$3:$D$119,3,FALSE)</f>
        <v>Frete sobre Compras</v>
      </c>
      <c r="I819" s="77" t="str">
        <f>IFERROR(VLOOKUP(DESPESAS[[#This Row],[Fornecedor]],Tabela2[],2,FALSE),"")</f>
        <v>SERVIÇOS FRETE</v>
      </c>
      <c r="J819" s="77" t="str">
        <f>IFERROR(VLOOKUP(DESPESAS[[#This Row],[Plano de Contas]],BASE!$B$3:$F$119,4,FALSE),"")</f>
        <v>1 - CPV</v>
      </c>
      <c r="K819" s="77" t="str">
        <f>IFERROR(VLOOKUP(DESPESAS[[#This Row],[Plano de Contas]],BASE!$B$3:$H$119,5,FALSE),"")</f>
        <v>COMPRAS</v>
      </c>
      <c r="L819" s="77">
        <f>IFERROR(VLOOKUP(DESPESAS[[#This Row],[Plano de Contas]],BASE!$B$3:$H$119,6,FALSE),"")</f>
        <v>0</v>
      </c>
      <c r="M819" s="77" t="str">
        <f>VLOOKUP(DESPESAS[[#This Row],[Plano de Contas]],BASE!$B$3:$H$119,7,FALSE)</f>
        <v>MYLENA</v>
      </c>
    </row>
    <row r="820" spans="1:13" x14ac:dyDescent="0.25">
      <c r="A820" s="74">
        <v>197347</v>
      </c>
      <c r="B820" s="75" t="s">
        <v>232</v>
      </c>
      <c r="C820" s="75" t="s">
        <v>2709</v>
      </c>
      <c r="D820" s="76">
        <v>46041</v>
      </c>
      <c r="E820" s="75" t="s">
        <v>409</v>
      </c>
      <c r="F820" s="74">
        <v>99.03</v>
      </c>
      <c r="G820" s="75" t="s">
        <v>326</v>
      </c>
      <c r="H820" s="77" t="str">
        <f>VLOOKUP(DESPESAS[[#This Row],[Plano de Contas]],BASE!$B$3:$D$119,3,FALSE)</f>
        <v>Frete sobre Compras</v>
      </c>
      <c r="I820" s="77" t="str">
        <f>IFERROR(VLOOKUP(DESPESAS[[#This Row],[Fornecedor]],Tabela2[],2,FALSE),"")</f>
        <v>SERVIÇOS FRETE</v>
      </c>
      <c r="J820" s="77" t="str">
        <f>IFERROR(VLOOKUP(DESPESAS[[#This Row],[Plano de Contas]],BASE!$B$3:$F$119,4,FALSE),"")</f>
        <v>1 - CPV</v>
      </c>
      <c r="K820" s="77" t="str">
        <f>IFERROR(VLOOKUP(DESPESAS[[#This Row],[Plano de Contas]],BASE!$B$3:$H$119,5,FALSE),"")</f>
        <v>COMPRAS</v>
      </c>
      <c r="L820" s="77">
        <f>IFERROR(VLOOKUP(DESPESAS[[#This Row],[Plano de Contas]],BASE!$B$3:$H$119,6,FALSE),"")</f>
        <v>0</v>
      </c>
      <c r="M820" s="77" t="str">
        <f>VLOOKUP(DESPESAS[[#This Row],[Plano de Contas]],BASE!$B$3:$H$119,7,FALSE)</f>
        <v>MYLENA</v>
      </c>
    </row>
    <row r="821" spans="1:13" x14ac:dyDescent="0.25">
      <c r="A821" s="74">
        <v>197348</v>
      </c>
      <c r="B821" s="75" t="s">
        <v>232</v>
      </c>
      <c r="C821" s="75" t="s">
        <v>2708</v>
      </c>
      <c r="D821" s="76">
        <v>46044</v>
      </c>
      <c r="E821" s="75" t="s">
        <v>230</v>
      </c>
      <c r="F821" s="74">
        <v>0.95</v>
      </c>
      <c r="G821" s="75" t="s">
        <v>236</v>
      </c>
      <c r="H821" s="77" t="str">
        <f>VLOOKUP(DESPESAS[[#This Row],[Plano de Contas]],BASE!$B$3:$D$119,3,FALSE)</f>
        <v>Despesas de Cobranca</v>
      </c>
      <c r="I821" s="77" t="str">
        <f>IFERROR(VLOOKUP(DESPESAS[[#This Row],[Fornecedor]],Tabela2[],2,FALSE),"")</f>
        <v/>
      </c>
      <c r="J821" s="77" t="str">
        <f>IFERROR(VLOOKUP(DESPESAS[[#This Row],[Plano de Contas]],BASE!$B$3:$F$119,4,FALSE),"")</f>
        <v>8 - DESPESAS FINANCEIRAS</v>
      </c>
      <c r="K821" s="77" t="str">
        <f>IFERROR(VLOOKUP(DESPESAS[[#This Row],[Plano de Contas]],BASE!$B$3:$H$119,5,FALSE),"")</f>
        <v>FINANCEIRO</v>
      </c>
      <c r="L821" s="77">
        <f>IFERROR(VLOOKUP(DESPESAS[[#This Row],[Plano de Contas]],BASE!$B$3:$H$119,6,FALSE),"")</f>
        <v>0</v>
      </c>
      <c r="M821" s="77" t="str">
        <f>VLOOKUP(DESPESAS[[#This Row],[Plano de Contas]],BASE!$B$3:$H$119,7,FALSE)</f>
        <v>LETÍCIA</v>
      </c>
    </row>
    <row r="822" spans="1:13" x14ac:dyDescent="0.25">
      <c r="A822" s="74">
        <v>197349</v>
      </c>
      <c r="B822" s="75" t="s">
        <v>232</v>
      </c>
      <c r="C822" s="75" t="s">
        <v>2707</v>
      </c>
      <c r="D822" s="76">
        <v>46045</v>
      </c>
      <c r="E822" s="75" t="s">
        <v>260</v>
      </c>
      <c r="F822" s="74">
        <v>440</v>
      </c>
      <c r="G822" s="75" t="s">
        <v>244</v>
      </c>
      <c r="H822" s="77" t="str">
        <f>VLOOKUP(DESPESAS[[#This Row],[Plano de Contas]],BASE!$B$3:$D$119,3,FALSE)</f>
        <v>Material de Expediente (Prod)</v>
      </c>
      <c r="I822" s="77" t="str">
        <f>IFERROR(VLOOKUP(DESPESAS[[#This Row],[Fornecedor]],Tabela2[],2,FALSE),"")</f>
        <v>PEÇAS DE FERRAMENTAS</v>
      </c>
      <c r="J822" s="77" t="str">
        <f>IFERROR(VLOOKUP(DESPESAS[[#This Row],[Plano de Contas]],BASE!$B$3:$F$119,4,FALSE),"")</f>
        <v>2 - CUSTOS DIRETOS</v>
      </c>
      <c r="K822" s="77" t="str">
        <f>IFERROR(VLOOKUP(DESPESAS[[#This Row],[Plano de Contas]],BASE!$B$3:$H$119,5,FALSE),"")</f>
        <v>PRODUÇÃO</v>
      </c>
      <c r="L822" s="77">
        <f>IFERROR(VLOOKUP(DESPESAS[[#This Row],[Plano de Contas]],BASE!$B$3:$H$119,6,FALSE),"")</f>
        <v>0</v>
      </c>
      <c r="M822" s="77" t="str">
        <f>VLOOKUP(DESPESAS[[#This Row],[Plano de Contas]],BASE!$B$3:$H$119,7,FALSE)</f>
        <v>RAFAEL</v>
      </c>
    </row>
    <row r="823" spans="1:13" x14ac:dyDescent="0.25">
      <c r="A823" s="74">
        <v>197350</v>
      </c>
      <c r="B823" s="75" t="s">
        <v>232</v>
      </c>
      <c r="C823" s="75" t="s">
        <v>2706</v>
      </c>
      <c r="D823" s="76">
        <v>46045</v>
      </c>
      <c r="E823" s="75" t="s">
        <v>230</v>
      </c>
      <c r="F823" s="74">
        <v>112.1</v>
      </c>
      <c r="G823" s="75" t="s">
        <v>229</v>
      </c>
      <c r="H823" s="77" t="str">
        <f>VLOOKUP(DESPESAS[[#This Row],[Plano de Contas]],BASE!$B$3:$D$119,3,FALSE)</f>
        <v>Despesas Bancarias</v>
      </c>
      <c r="I823" s="77" t="str">
        <f>IFERROR(VLOOKUP(DESPESAS[[#This Row],[Fornecedor]],Tabela2[],2,FALSE),"")</f>
        <v/>
      </c>
      <c r="J823" s="77" t="str">
        <f>IFERROR(VLOOKUP(DESPESAS[[#This Row],[Plano de Contas]],BASE!$B$3:$F$119,4,FALSE),"")</f>
        <v>8 - DESPESAS FINANCEIRAS</v>
      </c>
      <c r="K823" s="77" t="str">
        <f>IFERROR(VLOOKUP(DESPESAS[[#This Row],[Plano de Contas]],BASE!$B$3:$H$119,5,FALSE),"")</f>
        <v>FINANCEIRO</v>
      </c>
      <c r="L823" s="77">
        <f>IFERROR(VLOOKUP(DESPESAS[[#This Row],[Plano de Contas]],BASE!$B$3:$H$119,6,FALSE),"")</f>
        <v>0</v>
      </c>
      <c r="M823" s="77" t="str">
        <f>VLOOKUP(DESPESAS[[#This Row],[Plano de Contas]],BASE!$B$3:$H$119,7,FALSE)</f>
        <v>LETÍCIA</v>
      </c>
    </row>
    <row r="824" spans="1:13" x14ac:dyDescent="0.25">
      <c r="A824" s="74">
        <v>197352</v>
      </c>
      <c r="B824" s="75" t="s">
        <v>232</v>
      </c>
      <c r="C824" s="75" t="s">
        <v>2705</v>
      </c>
      <c r="D824" s="76">
        <v>46045</v>
      </c>
      <c r="E824" s="75" t="s">
        <v>230</v>
      </c>
      <c r="F824" s="74">
        <v>710.68</v>
      </c>
      <c r="G824" s="75" t="s">
        <v>251</v>
      </c>
      <c r="H824" s="77" t="str">
        <f>VLOOKUP(DESPESAS[[#This Row],[Plano de Contas]],BASE!$B$3:$D$119,3,FALSE)</f>
        <v>Juros Pagos - Antecipação de Crédito</v>
      </c>
      <c r="I824" s="77" t="str">
        <f>IFERROR(VLOOKUP(DESPESAS[[#This Row],[Fornecedor]],Tabela2[],2,FALSE),"")</f>
        <v/>
      </c>
      <c r="J824" s="77" t="str">
        <f>IFERROR(VLOOKUP(DESPESAS[[#This Row],[Plano de Contas]],BASE!$B$3:$F$119,4,FALSE),"")</f>
        <v>8 - DESPESAS FINANCEIRAS</v>
      </c>
      <c r="K824" s="77" t="str">
        <f>IFERROR(VLOOKUP(DESPESAS[[#This Row],[Plano de Contas]],BASE!$B$3:$H$119,5,FALSE),"")</f>
        <v>FINANCEIRO</v>
      </c>
      <c r="L824" s="77">
        <f>IFERROR(VLOOKUP(DESPESAS[[#This Row],[Plano de Contas]],BASE!$B$3:$H$119,6,FALSE),"")</f>
        <v>0</v>
      </c>
      <c r="M824" s="77" t="str">
        <f>VLOOKUP(DESPESAS[[#This Row],[Plano de Contas]],BASE!$B$3:$H$119,7,FALSE)</f>
        <v>LETÍCIA</v>
      </c>
    </row>
    <row r="825" spans="1:13" x14ac:dyDescent="0.25">
      <c r="A825" s="74">
        <v>197353</v>
      </c>
      <c r="B825" s="75" t="s">
        <v>221</v>
      </c>
      <c r="C825" s="75" t="s">
        <v>2704</v>
      </c>
      <c r="D825" s="76">
        <v>46045</v>
      </c>
      <c r="E825" s="75" t="s">
        <v>317</v>
      </c>
      <c r="F825" s="74">
        <v>50</v>
      </c>
      <c r="G825" s="75" t="s">
        <v>1037</v>
      </c>
      <c r="H825" s="77" t="str">
        <f>VLOOKUP(DESPESAS[[#This Row],[Plano de Contas]],BASE!$B$3:$D$119,3,FALSE)</f>
        <v>Construções e Reformas</v>
      </c>
      <c r="I825" s="77" t="str">
        <f>IFERROR(VLOOKUP(DESPESAS[[#This Row],[Fornecedor]],Tabela2[],2,FALSE),"")</f>
        <v/>
      </c>
      <c r="J825" s="77" t="str">
        <f>IFERROR(VLOOKUP(DESPESAS[[#This Row],[Plano de Contas]],BASE!$B$3:$F$119,4,FALSE),"")</f>
        <v>9 - INVESTIMENTOS</v>
      </c>
      <c r="K825" s="77" t="str">
        <f>IFERROR(VLOOKUP(DESPESAS[[#This Row],[Plano de Contas]],BASE!$B$3:$H$119,5,FALSE),"")</f>
        <v>MANUTENÇÃO / TI</v>
      </c>
      <c r="L825" s="77">
        <f>IFERROR(VLOOKUP(DESPESAS[[#This Row],[Plano de Contas]],BASE!$B$3:$H$119,6,FALSE),"")</f>
        <v>0</v>
      </c>
      <c r="M825" s="77" t="str">
        <f>VLOOKUP(DESPESAS[[#This Row],[Plano de Contas]],BASE!$B$3:$H$119,7,FALSE)</f>
        <v>FÁBIO</v>
      </c>
    </row>
    <row r="826" spans="1:13" x14ac:dyDescent="0.25">
      <c r="A826" s="74">
        <v>197354</v>
      </c>
      <c r="B826" s="75" t="s">
        <v>221</v>
      </c>
      <c r="C826" s="75" t="s">
        <v>2703</v>
      </c>
      <c r="D826" s="76">
        <v>46045</v>
      </c>
      <c r="E826" s="75" t="s">
        <v>317</v>
      </c>
      <c r="F826" s="74">
        <v>2016</v>
      </c>
      <c r="G826" s="75" t="s">
        <v>1037</v>
      </c>
      <c r="H826" s="77" t="str">
        <f>VLOOKUP(DESPESAS[[#This Row],[Plano de Contas]],BASE!$B$3:$D$119,3,FALSE)</f>
        <v>Construções e Reformas</v>
      </c>
      <c r="I826" s="77" t="str">
        <f>IFERROR(VLOOKUP(DESPESAS[[#This Row],[Fornecedor]],Tabela2[],2,FALSE),"")</f>
        <v/>
      </c>
      <c r="J826" s="77" t="str">
        <f>IFERROR(VLOOKUP(DESPESAS[[#This Row],[Plano de Contas]],BASE!$B$3:$F$119,4,FALSE),"")</f>
        <v>9 - INVESTIMENTOS</v>
      </c>
      <c r="K826" s="77" t="str">
        <f>IFERROR(VLOOKUP(DESPESAS[[#This Row],[Plano de Contas]],BASE!$B$3:$H$119,5,FALSE),"")</f>
        <v>MANUTENÇÃO / TI</v>
      </c>
      <c r="L826" s="77">
        <f>IFERROR(VLOOKUP(DESPESAS[[#This Row],[Plano de Contas]],BASE!$B$3:$H$119,6,FALSE),"")</f>
        <v>0</v>
      </c>
      <c r="M826" s="77" t="str">
        <f>VLOOKUP(DESPESAS[[#This Row],[Plano de Contas]],BASE!$B$3:$H$119,7,FALSE)</f>
        <v>FÁBIO</v>
      </c>
    </row>
    <row r="827" spans="1:13" x14ac:dyDescent="0.25">
      <c r="A827" s="74">
        <v>197355</v>
      </c>
      <c r="B827" s="75" t="s">
        <v>232</v>
      </c>
      <c r="C827" s="75" t="s">
        <v>2702</v>
      </c>
      <c r="D827" s="76">
        <v>46045</v>
      </c>
      <c r="E827" s="75" t="s">
        <v>230</v>
      </c>
      <c r="F827" s="74">
        <v>58.75</v>
      </c>
      <c r="G827" s="75" t="s">
        <v>229</v>
      </c>
      <c r="H827" s="77" t="str">
        <f>VLOOKUP(DESPESAS[[#This Row],[Plano de Contas]],BASE!$B$3:$D$119,3,FALSE)</f>
        <v>Despesas Bancarias</v>
      </c>
      <c r="I827" s="77" t="str">
        <f>IFERROR(VLOOKUP(DESPESAS[[#This Row],[Fornecedor]],Tabela2[],2,FALSE),"")</f>
        <v/>
      </c>
      <c r="J827" s="77" t="str">
        <f>IFERROR(VLOOKUP(DESPESAS[[#This Row],[Plano de Contas]],BASE!$B$3:$F$119,4,FALSE),"")</f>
        <v>8 - DESPESAS FINANCEIRAS</v>
      </c>
      <c r="K827" s="77" t="str">
        <f>IFERROR(VLOOKUP(DESPESAS[[#This Row],[Plano de Contas]],BASE!$B$3:$H$119,5,FALSE),"")</f>
        <v>FINANCEIRO</v>
      </c>
      <c r="L827" s="77">
        <f>IFERROR(VLOOKUP(DESPESAS[[#This Row],[Plano de Contas]],BASE!$B$3:$H$119,6,FALSE),"")</f>
        <v>0</v>
      </c>
      <c r="M827" s="77" t="str">
        <f>VLOOKUP(DESPESAS[[#This Row],[Plano de Contas]],BASE!$B$3:$H$119,7,FALSE)</f>
        <v>LETÍCIA</v>
      </c>
    </row>
    <row r="828" spans="1:13" x14ac:dyDescent="0.25">
      <c r="A828" s="74">
        <v>197356</v>
      </c>
      <c r="B828" s="75" t="s">
        <v>232</v>
      </c>
      <c r="C828" s="75" t="s">
        <v>2701</v>
      </c>
      <c r="D828" s="76">
        <v>46045</v>
      </c>
      <c r="E828" s="75" t="s">
        <v>2700</v>
      </c>
      <c r="F828" s="74">
        <v>1278.1600000000001</v>
      </c>
      <c r="G828" s="75" t="s">
        <v>561</v>
      </c>
      <c r="H828" s="77" t="str">
        <f>VLOOKUP(DESPESAS[[#This Row],[Plano de Contas]],BASE!$B$3:$D$119,3,FALSE)</f>
        <v>Sistemas de Informação</v>
      </c>
      <c r="I828" s="77" t="str">
        <f>IFERROR(VLOOKUP(DESPESAS[[#This Row],[Fornecedor]],Tabela2[],2,FALSE),"")</f>
        <v>SKETCHUP</v>
      </c>
      <c r="J828" s="77" t="str">
        <f>IFERROR(VLOOKUP(DESPESAS[[#This Row],[Plano de Contas]],BASE!$B$3:$F$119,4,FALSE),"")</f>
        <v>7 - SERVIÇOS DE TERCEIROS</v>
      </c>
      <c r="K828" s="77" t="str">
        <f>IFERROR(VLOOKUP(DESPESAS[[#This Row],[Plano de Contas]],BASE!$B$3:$H$119,5,FALSE),"")</f>
        <v>MANUTENÇÃO / TI</v>
      </c>
      <c r="L828" s="77">
        <f>IFERROR(VLOOKUP(DESPESAS[[#This Row],[Plano de Contas]],BASE!$B$3:$H$119,6,FALSE),"")</f>
        <v>0</v>
      </c>
      <c r="M828" s="77" t="str">
        <f>VLOOKUP(DESPESAS[[#This Row],[Plano de Contas]],BASE!$B$3:$H$119,7,FALSE)</f>
        <v>LETÍCIA</v>
      </c>
    </row>
    <row r="829" spans="1:13" x14ac:dyDescent="0.25">
      <c r="A829" s="74">
        <v>197357</v>
      </c>
      <c r="B829" s="75" t="s">
        <v>221</v>
      </c>
      <c r="C829" s="75" t="s">
        <v>2699</v>
      </c>
      <c r="D829" s="76">
        <v>46045</v>
      </c>
      <c r="E829" s="75" t="s">
        <v>239</v>
      </c>
      <c r="F829" s="74">
        <v>32</v>
      </c>
      <c r="G829" s="75" t="s">
        <v>238</v>
      </c>
      <c r="H829" s="77" t="str">
        <f>VLOOKUP(DESPESAS[[#This Row],[Plano de Contas]],BASE!$B$3:$D$119,3,FALSE)</f>
        <v>Consultoria Comercial</v>
      </c>
      <c r="I829" s="77" t="str">
        <f>IFERROR(VLOOKUP(DESPESAS[[#This Row],[Fornecedor]],Tabela2[],2,FALSE),"")</f>
        <v/>
      </c>
      <c r="J829" s="77" t="str">
        <f>IFERROR(VLOOKUP(DESPESAS[[#This Row],[Plano de Contas]],BASE!$B$3:$F$119,4,FALSE),"")</f>
        <v>6 - DESPESA COM VENDAS</v>
      </c>
      <c r="K829" s="77" t="str">
        <f>IFERROR(VLOOKUP(DESPESAS[[#This Row],[Plano de Contas]],BASE!$B$3:$H$119,5,FALSE),"")</f>
        <v>COMERCIAL</v>
      </c>
      <c r="L829" s="77">
        <f>IFERROR(VLOOKUP(DESPESAS[[#This Row],[Plano de Contas]],BASE!$B$3:$H$119,6,FALSE),"")</f>
        <v>0</v>
      </c>
      <c r="M829" s="77" t="str">
        <f>VLOOKUP(DESPESAS[[#This Row],[Plano de Contas]],BASE!$B$3:$H$119,7,FALSE)</f>
        <v>LETÍCIA</v>
      </c>
    </row>
    <row r="830" spans="1:13" x14ac:dyDescent="0.25">
      <c r="A830" s="74">
        <v>197359</v>
      </c>
      <c r="B830" s="75" t="s">
        <v>221</v>
      </c>
      <c r="C830" s="75" t="s">
        <v>2698</v>
      </c>
      <c r="D830" s="76">
        <v>46045</v>
      </c>
      <c r="E830" s="75" t="s">
        <v>320</v>
      </c>
      <c r="F830" s="74">
        <v>146</v>
      </c>
      <c r="G830" s="75" t="s">
        <v>238</v>
      </c>
      <c r="H830" s="77" t="str">
        <f>VLOOKUP(DESPESAS[[#This Row],[Plano de Contas]],BASE!$B$3:$D$119,3,FALSE)</f>
        <v>Consultoria Comercial</v>
      </c>
      <c r="I830" s="77" t="str">
        <f>IFERROR(VLOOKUP(DESPESAS[[#This Row],[Fornecedor]],Tabela2[],2,FALSE),"")</f>
        <v/>
      </c>
      <c r="J830" s="77" t="str">
        <f>IFERROR(VLOOKUP(DESPESAS[[#This Row],[Plano de Contas]],BASE!$B$3:$F$119,4,FALSE),"")</f>
        <v>6 - DESPESA COM VENDAS</v>
      </c>
      <c r="K830" s="77" t="str">
        <f>IFERROR(VLOOKUP(DESPESAS[[#This Row],[Plano de Contas]],BASE!$B$3:$H$119,5,FALSE),"")</f>
        <v>COMERCIAL</v>
      </c>
      <c r="L830" s="77">
        <f>IFERROR(VLOOKUP(DESPESAS[[#This Row],[Plano de Contas]],BASE!$B$3:$H$119,6,FALSE),"")</f>
        <v>0</v>
      </c>
      <c r="M830" s="77" t="str">
        <f>VLOOKUP(DESPESAS[[#This Row],[Plano de Contas]],BASE!$B$3:$H$119,7,FALSE)</f>
        <v>LETÍCIA</v>
      </c>
    </row>
    <row r="831" spans="1:13" x14ac:dyDescent="0.25">
      <c r="A831" s="74">
        <v>197361</v>
      </c>
      <c r="B831" s="75" t="s">
        <v>232</v>
      </c>
      <c r="C831" s="75" t="s">
        <v>2503</v>
      </c>
      <c r="D831" s="76">
        <v>46045</v>
      </c>
      <c r="E831" s="75" t="s">
        <v>1277</v>
      </c>
      <c r="F831" s="74">
        <v>200</v>
      </c>
      <c r="G831" s="75" t="s">
        <v>979</v>
      </c>
      <c r="H831" s="77" t="str">
        <f>VLOOKUP(DESPESAS[[#This Row],[Plano de Contas]],BASE!$B$3:$D$119,3,FALSE)</f>
        <v>Assistência Médica MOD</v>
      </c>
      <c r="I831" s="77" t="str">
        <f>IFERROR(VLOOKUP(DESPESAS[[#This Row],[Fornecedor]],Tabela2[],2,FALSE),"")</f>
        <v/>
      </c>
      <c r="J831" s="77" t="str">
        <f>IFERROR(VLOOKUP(DESPESAS[[#This Row],[Plano de Contas]],BASE!$B$3:$F$119,4,FALSE),"")</f>
        <v>2 - CUSTOS DIRETOS</v>
      </c>
      <c r="K831" s="77" t="str">
        <f>IFERROR(VLOOKUP(DESPESAS[[#This Row],[Plano de Contas]],BASE!$B$3:$H$119,5,FALSE),"")</f>
        <v>DH</v>
      </c>
      <c r="L831" s="77" t="str">
        <f>IFERROR(VLOOKUP(DESPESAS[[#This Row],[Plano de Contas]],BASE!$B$3:$H$119,6,FALSE),"")</f>
        <v>CUSTO MÃO DE OBRA DIRETA</v>
      </c>
      <c r="M831" s="77" t="str">
        <f>VLOOKUP(DESPESAS[[#This Row],[Plano de Contas]],BASE!$B$3:$H$119,7,FALSE)</f>
        <v>RAFAEL</v>
      </c>
    </row>
    <row r="832" spans="1:13" x14ac:dyDescent="0.25">
      <c r="A832" s="74">
        <v>197362</v>
      </c>
      <c r="B832" s="75" t="s">
        <v>281</v>
      </c>
      <c r="C832" s="75" t="s">
        <v>2503</v>
      </c>
      <c r="D832" s="76">
        <v>46045</v>
      </c>
      <c r="E832" s="75" t="s">
        <v>1277</v>
      </c>
      <c r="F832" s="74">
        <v>578</v>
      </c>
      <c r="G832" s="75" t="s">
        <v>979</v>
      </c>
      <c r="H832" s="77" t="str">
        <f>VLOOKUP(DESPESAS[[#This Row],[Plano de Contas]],BASE!$B$3:$D$119,3,FALSE)</f>
        <v>Assistência Médica MOD</v>
      </c>
      <c r="I832" s="77" t="str">
        <f>IFERROR(VLOOKUP(DESPESAS[[#This Row],[Fornecedor]],Tabela2[],2,FALSE),"")</f>
        <v/>
      </c>
      <c r="J832" s="77" t="str">
        <f>IFERROR(VLOOKUP(DESPESAS[[#This Row],[Plano de Contas]],BASE!$B$3:$F$119,4,FALSE),"")</f>
        <v>2 - CUSTOS DIRETOS</v>
      </c>
      <c r="K832" s="77" t="str">
        <f>IFERROR(VLOOKUP(DESPESAS[[#This Row],[Plano de Contas]],BASE!$B$3:$H$119,5,FALSE),"")</f>
        <v>DH</v>
      </c>
      <c r="L832" s="77" t="str">
        <f>IFERROR(VLOOKUP(DESPESAS[[#This Row],[Plano de Contas]],BASE!$B$3:$H$119,6,FALSE),"")</f>
        <v>CUSTO MÃO DE OBRA DIRETA</v>
      </c>
      <c r="M832" s="77" t="str">
        <f>VLOOKUP(DESPESAS[[#This Row],[Plano de Contas]],BASE!$B$3:$H$119,7,FALSE)</f>
        <v>RAFAEL</v>
      </c>
    </row>
    <row r="833" spans="1:13" x14ac:dyDescent="0.25">
      <c r="A833" s="74">
        <v>197363</v>
      </c>
      <c r="B833" s="75" t="s">
        <v>279</v>
      </c>
      <c r="C833" s="75" t="s">
        <v>2503</v>
      </c>
      <c r="D833" s="76">
        <v>46045</v>
      </c>
      <c r="E833" s="75" t="s">
        <v>1277</v>
      </c>
      <c r="F833" s="74">
        <v>30</v>
      </c>
      <c r="G833" s="75" t="s">
        <v>979</v>
      </c>
      <c r="H833" s="77" t="str">
        <f>VLOOKUP(DESPESAS[[#This Row],[Plano de Contas]],BASE!$B$3:$D$119,3,FALSE)</f>
        <v>Assistência Médica MOD</v>
      </c>
      <c r="I833" s="77" t="str">
        <f>IFERROR(VLOOKUP(DESPESAS[[#This Row],[Fornecedor]],Tabela2[],2,FALSE),"")</f>
        <v/>
      </c>
      <c r="J833" s="77" t="str">
        <f>IFERROR(VLOOKUP(DESPESAS[[#This Row],[Plano de Contas]],BASE!$B$3:$F$119,4,FALSE),"")</f>
        <v>2 - CUSTOS DIRETOS</v>
      </c>
      <c r="K833" s="77" t="str">
        <f>IFERROR(VLOOKUP(DESPESAS[[#This Row],[Plano de Contas]],BASE!$B$3:$H$119,5,FALSE),"")</f>
        <v>DH</v>
      </c>
      <c r="L833" s="77" t="str">
        <f>IFERROR(VLOOKUP(DESPESAS[[#This Row],[Plano de Contas]],BASE!$B$3:$H$119,6,FALSE),"")</f>
        <v>CUSTO MÃO DE OBRA DIRETA</v>
      </c>
      <c r="M833" s="77" t="str">
        <f>VLOOKUP(DESPESAS[[#This Row],[Plano de Contas]],BASE!$B$3:$H$119,7,FALSE)</f>
        <v>RAFAEL</v>
      </c>
    </row>
    <row r="834" spans="1:13" x14ac:dyDescent="0.25">
      <c r="A834" s="74">
        <v>197364</v>
      </c>
      <c r="B834" s="75" t="s">
        <v>232</v>
      </c>
      <c r="C834" s="75" t="s">
        <v>2688</v>
      </c>
      <c r="D834" s="76">
        <v>46045</v>
      </c>
      <c r="E834" s="75" t="s">
        <v>573</v>
      </c>
      <c r="F834" s="74">
        <v>977.9</v>
      </c>
      <c r="G834" s="75" t="s">
        <v>572</v>
      </c>
      <c r="H834" s="77" t="str">
        <f>VLOOKUP(DESPESAS[[#This Row],[Plano de Contas]],BASE!$B$3:$D$119,3,FALSE)</f>
        <v>Comissões sobre Vendas Externo</v>
      </c>
      <c r="I834" s="77" t="str">
        <f>IFERROR(VLOOKUP(DESPESAS[[#This Row],[Fornecedor]],Tabela2[],2,FALSE),"")</f>
        <v/>
      </c>
      <c r="J834" s="77" t="str">
        <f>IFERROR(VLOOKUP(DESPESAS[[#This Row],[Plano de Contas]],BASE!$B$3:$F$119,4,FALSE),"")</f>
        <v>6 - DESPESA COM VENDAS</v>
      </c>
      <c r="K834" s="77" t="str">
        <f>IFERROR(VLOOKUP(DESPESAS[[#This Row],[Plano de Contas]],BASE!$B$3:$H$119,5,FALSE),"")</f>
        <v>COMERCIAL</v>
      </c>
      <c r="L834" s="77">
        <f>IFERROR(VLOOKUP(DESPESAS[[#This Row],[Plano de Contas]],BASE!$B$3:$H$119,6,FALSE),"")</f>
        <v>0</v>
      </c>
      <c r="M834" s="77" t="str">
        <f>VLOOKUP(DESPESAS[[#This Row],[Plano de Contas]],BASE!$B$3:$H$119,7,FALSE)</f>
        <v>LETÍCIA</v>
      </c>
    </row>
    <row r="835" spans="1:13" x14ac:dyDescent="0.25">
      <c r="A835" s="74">
        <v>197365</v>
      </c>
      <c r="B835" s="75" t="s">
        <v>232</v>
      </c>
      <c r="C835" s="75" t="s">
        <v>2688</v>
      </c>
      <c r="D835" s="76">
        <v>46045</v>
      </c>
      <c r="E835" s="75" t="s">
        <v>790</v>
      </c>
      <c r="F835" s="74">
        <v>2254.2199999999998</v>
      </c>
      <c r="G835" s="75" t="s">
        <v>572</v>
      </c>
      <c r="H835" s="77" t="str">
        <f>VLOOKUP(DESPESAS[[#This Row],[Plano de Contas]],BASE!$B$3:$D$119,3,FALSE)</f>
        <v>Comissões sobre Vendas Externo</v>
      </c>
      <c r="I835" s="77" t="str">
        <f>IFERROR(VLOOKUP(DESPESAS[[#This Row],[Fornecedor]],Tabela2[],2,FALSE),"")</f>
        <v/>
      </c>
      <c r="J835" s="77" t="str">
        <f>IFERROR(VLOOKUP(DESPESAS[[#This Row],[Plano de Contas]],BASE!$B$3:$F$119,4,FALSE),"")</f>
        <v>6 - DESPESA COM VENDAS</v>
      </c>
      <c r="K835" s="77" t="str">
        <f>IFERROR(VLOOKUP(DESPESAS[[#This Row],[Plano de Contas]],BASE!$B$3:$H$119,5,FALSE),"")</f>
        <v>COMERCIAL</v>
      </c>
      <c r="L835" s="77">
        <f>IFERROR(VLOOKUP(DESPESAS[[#This Row],[Plano de Contas]],BASE!$B$3:$H$119,6,FALSE),"")</f>
        <v>0</v>
      </c>
      <c r="M835" s="77" t="str">
        <f>VLOOKUP(DESPESAS[[#This Row],[Plano de Contas]],BASE!$B$3:$H$119,7,FALSE)</f>
        <v>LETÍCIA</v>
      </c>
    </row>
    <row r="836" spans="1:13" x14ac:dyDescent="0.25">
      <c r="A836" s="74">
        <v>197366</v>
      </c>
      <c r="B836" s="75" t="s">
        <v>232</v>
      </c>
      <c r="C836" s="75" t="s">
        <v>2688</v>
      </c>
      <c r="D836" s="76">
        <v>46045</v>
      </c>
      <c r="E836" s="75" t="s">
        <v>789</v>
      </c>
      <c r="F836" s="74">
        <v>8389.73</v>
      </c>
      <c r="G836" s="75" t="s">
        <v>572</v>
      </c>
      <c r="H836" s="77" t="str">
        <f>VLOOKUP(DESPESAS[[#This Row],[Plano de Contas]],BASE!$B$3:$D$119,3,FALSE)</f>
        <v>Comissões sobre Vendas Externo</v>
      </c>
      <c r="I836" s="77" t="str">
        <f>IFERROR(VLOOKUP(DESPESAS[[#This Row],[Fornecedor]],Tabela2[],2,FALSE),"")</f>
        <v/>
      </c>
      <c r="J836" s="77" t="str">
        <f>IFERROR(VLOOKUP(DESPESAS[[#This Row],[Plano de Contas]],BASE!$B$3:$F$119,4,FALSE),"")</f>
        <v>6 - DESPESA COM VENDAS</v>
      </c>
      <c r="K836" s="77" t="str">
        <f>IFERROR(VLOOKUP(DESPESAS[[#This Row],[Plano de Contas]],BASE!$B$3:$H$119,5,FALSE),"")</f>
        <v>COMERCIAL</v>
      </c>
      <c r="L836" s="77">
        <f>IFERROR(VLOOKUP(DESPESAS[[#This Row],[Plano de Contas]],BASE!$B$3:$H$119,6,FALSE),"")</f>
        <v>0</v>
      </c>
      <c r="M836" s="77" t="str">
        <f>VLOOKUP(DESPESAS[[#This Row],[Plano de Contas]],BASE!$B$3:$H$119,7,FALSE)</f>
        <v>LETÍCIA</v>
      </c>
    </row>
    <row r="837" spans="1:13" x14ac:dyDescent="0.25">
      <c r="A837" s="74">
        <v>197368</v>
      </c>
      <c r="B837" s="75" t="s">
        <v>232</v>
      </c>
      <c r="C837" s="75" t="s">
        <v>2688</v>
      </c>
      <c r="D837" s="76">
        <v>46045</v>
      </c>
      <c r="E837" s="75" t="s">
        <v>788</v>
      </c>
      <c r="F837" s="74">
        <v>4569.3</v>
      </c>
      <c r="G837" s="75" t="s">
        <v>572</v>
      </c>
      <c r="H837" s="77" t="str">
        <f>VLOOKUP(DESPESAS[[#This Row],[Plano de Contas]],BASE!$B$3:$D$119,3,FALSE)</f>
        <v>Comissões sobre Vendas Externo</v>
      </c>
      <c r="I837" s="77" t="str">
        <f>IFERROR(VLOOKUP(DESPESAS[[#This Row],[Fornecedor]],Tabela2[],2,FALSE),"")</f>
        <v/>
      </c>
      <c r="J837" s="77" t="str">
        <f>IFERROR(VLOOKUP(DESPESAS[[#This Row],[Plano de Contas]],BASE!$B$3:$F$119,4,FALSE),"")</f>
        <v>6 - DESPESA COM VENDAS</v>
      </c>
      <c r="K837" s="77" t="str">
        <f>IFERROR(VLOOKUP(DESPESAS[[#This Row],[Plano de Contas]],BASE!$B$3:$H$119,5,FALSE),"")</f>
        <v>COMERCIAL</v>
      </c>
      <c r="L837" s="77">
        <f>IFERROR(VLOOKUP(DESPESAS[[#This Row],[Plano de Contas]],BASE!$B$3:$H$119,6,FALSE),"")</f>
        <v>0</v>
      </c>
      <c r="M837" s="77" t="str">
        <f>VLOOKUP(DESPESAS[[#This Row],[Plano de Contas]],BASE!$B$3:$H$119,7,FALSE)</f>
        <v>LETÍCIA</v>
      </c>
    </row>
    <row r="838" spans="1:13" x14ac:dyDescent="0.25">
      <c r="A838" s="74">
        <v>197369</v>
      </c>
      <c r="B838" s="75" t="s">
        <v>232</v>
      </c>
      <c r="C838" s="75" t="s">
        <v>2688</v>
      </c>
      <c r="D838" s="76">
        <v>46045</v>
      </c>
      <c r="E838" s="75" t="s">
        <v>787</v>
      </c>
      <c r="F838" s="74">
        <v>537.58000000000004</v>
      </c>
      <c r="G838" s="75" t="s">
        <v>572</v>
      </c>
      <c r="H838" s="77" t="str">
        <f>VLOOKUP(DESPESAS[[#This Row],[Plano de Contas]],BASE!$B$3:$D$119,3,FALSE)</f>
        <v>Comissões sobre Vendas Externo</v>
      </c>
      <c r="I838" s="77" t="str">
        <f>IFERROR(VLOOKUP(DESPESAS[[#This Row],[Fornecedor]],Tabela2[],2,FALSE),"")</f>
        <v/>
      </c>
      <c r="J838" s="77" t="str">
        <f>IFERROR(VLOOKUP(DESPESAS[[#This Row],[Plano de Contas]],BASE!$B$3:$F$119,4,FALSE),"")</f>
        <v>6 - DESPESA COM VENDAS</v>
      </c>
      <c r="K838" s="77" t="str">
        <f>IFERROR(VLOOKUP(DESPESAS[[#This Row],[Plano de Contas]],BASE!$B$3:$H$119,5,FALSE),"")</f>
        <v>COMERCIAL</v>
      </c>
      <c r="L838" s="77">
        <f>IFERROR(VLOOKUP(DESPESAS[[#This Row],[Plano de Contas]],BASE!$B$3:$H$119,6,FALSE),"")</f>
        <v>0</v>
      </c>
      <c r="M838" s="77" t="str">
        <f>VLOOKUP(DESPESAS[[#This Row],[Plano de Contas]],BASE!$B$3:$H$119,7,FALSE)</f>
        <v>LETÍCIA</v>
      </c>
    </row>
    <row r="839" spans="1:13" x14ac:dyDescent="0.25">
      <c r="A839" s="74">
        <v>197370</v>
      </c>
      <c r="B839" s="75" t="s">
        <v>232</v>
      </c>
      <c r="C839" s="75" t="s">
        <v>2688</v>
      </c>
      <c r="D839" s="76">
        <v>46045</v>
      </c>
      <c r="E839" s="75" t="s">
        <v>786</v>
      </c>
      <c r="F839" s="74">
        <v>768.68</v>
      </c>
      <c r="G839" s="75" t="s">
        <v>572</v>
      </c>
      <c r="H839" s="77" t="str">
        <f>VLOOKUP(DESPESAS[[#This Row],[Plano de Contas]],BASE!$B$3:$D$119,3,FALSE)</f>
        <v>Comissões sobre Vendas Externo</v>
      </c>
      <c r="I839" s="77" t="str">
        <f>IFERROR(VLOOKUP(DESPESAS[[#This Row],[Fornecedor]],Tabela2[],2,FALSE),"")</f>
        <v/>
      </c>
      <c r="J839" s="77" t="str">
        <f>IFERROR(VLOOKUP(DESPESAS[[#This Row],[Plano de Contas]],BASE!$B$3:$F$119,4,FALSE),"")</f>
        <v>6 - DESPESA COM VENDAS</v>
      </c>
      <c r="K839" s="77" t="str">
        <f>IFERROR(VLOOKUP(DESPESAS[[#This Row],[Plano de Contas]],BASE!$B$3:$H$119,5,FALSE),"")</f>
        <v>COMERCIAL</v>
      </c>
      <c r="L839" s="77">
        <f>IFERROR(VLOOKUP(DESPESAS[[#This Row],[Plano de Contas]],BASE!$B$3:$H$119,6,FALSE),"")</f>
        <v>0</v>
      </c>
      <c r="M839" s="77" t="str">
        <f>VLOOKUP(DESPESAS[[#This Row],[Plano de Contas]],BASE!$B$3:$H$119,7,FALSE)</f>
        <v>LETÍCIA</v>
      </c>
    </row>
    <row r="840" spans="1:13" x14ac:dyDescent="0.25">
      <c r="A840" s="74">
        <v>197371</v>
      </c>
      <c r="B840" s="75" t="s">
        <v>232</v>
      </c>
      <c r="C840" s="75" t="s">
        <v>2688</v>
      </c>
      <c r="D840" s="76">
        <v>46045</v>
      </c>
      <c r="E840" s="75" t="s">
        <v>785</v>
      </c>
      <c r="F840" s="74">
        <v>4817.28</v>
      </c>
      <c r="G840" s="75" t="s">
        <v>572</v>
      </c>
      <c r="H840" s="77" t="str">
        <f>VLOOKUP(DESPESAS[[#This Row],[Plano de Contas]],BASE!$B$3:$D$119,3,FALSE)</f>
        <v>Comissões sobre Vendas Externo</v>
      </c>
      <c r="I840" s="77" t="str">
        <f>IFERROR(VLOOKUP(DESPESAS[[#This Row],[Fornecedor]],Tabela2[],2,FALSE),"")</f>
        <v/>
      </c>
      <c r="J840" s="77" t="str">
        <f>IFERROR(VLOOKUP(DESPESAS[[#This Row],[Plano de Contas]],BASE!$B$3:$F$119,4,FALSE),"")</f>
        <v>6 - DESPESA COM VENDAS</v>
      </c>
      <c r="K840" s="77" t="str">
        <f>IFERROR(VLOOKUP(DESPESAS[[#This Row],[Plano de Contas]],BASE!$B$3:$H$119,5,FALSE),"")</f>
        <v>COMERCIAL</v>
      </c>
      <c r="L840" s="77">
        <f>IFERROR(VLOOKUP(DESPESAS[[#This Row],[Plano de Contas]],BASE!$B$3:$H$119,6,FALSE),"")</f>
        <v>0</v>
      </c>
      <c r="M840" s="77" t="str">
        <f>VLOOKUP(DESPESAS[[#This Row],[Plano de Contas]],BASE!$B$3:$H$119,7,FALSE)</f>
        <v>LETÍCIA</v>
      </c>
    </row>
    <row r="841" spans="1:13" x14ac:dyDescent="0.25">
      <c r="A841" s="74">
        <v>197372</v>
      </c>
      <c r="B841" s="75" t="s">
        <v>232</v>
      </c>
      <c r="C841" s="75" t="s">
        <v>2688</v>
      </c>
      <c r="D841" s="76">
        <v>46045</v>
      </c>
      <c r="E841" s="75" t="s">
        <v>784</v>
      </c>
      <c r="F841" s="74">
        <v>4852.92</v>
      </c>
      <c r="G841" s="75" t="s">
        <v>572</v>
      </c>
      <c r="H841" s="77" t="str">
        <f>VLOOKUP(DESPESAS[[#This Row],[Plano de Contas]],BASE!$B$3:$D$119,3,FALSE)</f>
        <v>Comissões sobre Vendas Externo</v>
      </c>
      <c r="I841" s="77" t="str">
        <f>IFERROR(VLOOKUP(DESPESAS[[#This Row],[Fornecedor]],Tabela2[],2,FALSE),"")</f>
        <v/>
      </c>
      <c r="J841" s="77" t="str">
        <f>IFERROR(VLOOKUP(DESPESAS[[#This Row],[Plano de Contas]],BASE!$B$3:$F$119,4,FALSE),"")</f>
        <v>6 - DESPESA COM VENDAS</v>
      </c>
      <c r="K841" s="77" t="str">
        <f>IFERROR(VLOOKUP(DESPESAS[[#This Row],[Plano de Contas]],BASE!$B$3:$H$119,5,FALSE),"")</f>
        <v>COMERCIAL</v>
      </c>
      <c r="L841" s="77">
        <f>IFERROR(VLOOKUP(DESPESAS[[#This Row],[Plano de Contas]],BASE!$B$3:$H$119,6,FALSE),"")</f>
        <v>0</v>
      </c>
      <c r="M841" s="77" t="str">
        <f>VLOOKUP(DESPESAS[[#This Row],[Plano de Contas]],BASE!$B$3:$H$119,7,FALSE)</f>
        <v>LETÍCIA</v>
      </c>
    </row>
    <row r="842" spans="1:13" x14ac:dyDescent="0.25">
      <c r="A842" s="74">
        <v>197373</v>
      </c>
      <c r="B842" s="75" t="s">
        <v>232</v>
      </c>
      <c r="C842" s="75" t="s">
        <v>2688</v>
      </c>
      <c r="D842" s="76">
        <v>46045</v>
      </c>
      <c r="E842" s="75" t="s">
        <v>791</v>
      </c>
      <c r="F842" s="74">
        <v>2897.43</v>
      </c>
      <c r="G842" s="75" t="s">
        <v>572</v>
      </c>
      <c r="H842" s="77" t="str">
        <f>VLOOKUP(DESPESAS[[#This Row],[Plano de Contas]],BASE!$B$3:$D$119,3,FALSE)</f>
        <v>Comissões sobre Vendas Externo</v>
      </c>
      <c r="I842" s="77" t="str">
        <f>IFERROR(VLOOKUP(DESPESAS[[#This Row],[Fornecedor]],Tabela2[],2,FALSE),"")</f>
        <v/>
      </c>
      <c r="J842" s="77" t="str">
        <f>IFERROR(VLOOKUP(DESPESAS[[#This Row],[Plano de Contas]],BASE!$B$3:$F$119,4,FALSE),"")</f>
        <v>6 - DESPESA COM VENDAS</v>
      </c>
      <c r="K842" s="77" t="str">
        <f>IFERROR(VLOOKUP(DESPESAS[[#This Row],[Plano de Contas]],BASE!$B$3:$H$119,5,FALSE),"")</f>
        <v>COMERCIAL</v>
      </c>
      <c r="L842" s="77">
        <f>IFERROR(VLOOKUP(DESPESAS[[#This Row],[Plano de Contas]],BASE!$B$3:$H$119,6,FALSE),"")</f>
        <v>0</v>
      </c>
      <c r="M842" s="77" t="str">
        <f>VLOOKUP(DESPESAS[[#This Row],[Plano de Contas]],BASE!$B$3:$H$119,7,FALSE)</f>
        <v>LETÍCIA</v>
      </c>
    </row>
    <row r="843" spans="1:13" x14ac:dyDescent="0.25">
      <c r="A843" s="74">
        <v>197374</v>
      </c>
      <c r="B843" s="75" t="s">
        <v>221</v>
      </c>
      <c r="C843" s="75" t="s">
        <v>2688</v>
      </c>
      <c r="D843" s="76">
        <v>46045</v>
      </c>
      <c r="E843" s="75" t="s">
        <v>790</v>
      </c>
      <c r="F843" s="74">
        <v>3585.2</v>
      </c>
      <c r="G843" s="75" t="s">
        <v>572</v>
      </c>
      <c r="H843" s="77" t="str">
        <f>VLOOKUP(DESPESAS[[#This Row],[Plano de Contas]],BASE!$B$3:$D$119,3,FALSE)</f>
        <v>Comissões sobre Vendas Externo</v>
      </c>
      <c r="I843" s="77" t="str">
        <f>IFERROR(VLOOKUP(DESPESAS[[#This Row],[Fornecedor]],Tabela2[],2,FALSE),"")</f>
        <v/>
      </c>
      <c r="J843" s="77" t="str">
        <f>IFERROR(VLOOKUP(DESPESAS[[#This Row],[Plano de Contas]],BASE!$B$3:$F$119,4,FALSE),"")</f>
        <v>6 - DESPESA COM VENDAS</v>
      </c>
      <c r="K843" s="77" t="str">
        <f>IFERROR(VLOOKUP(DESPESAS[[#This Row],[Plano de Contas]],BASE!$B$3:$H$119,5,FALSE),"")</f>
        <v>COMERCIAL</v>
      </c>
      <c r="L843" s="77">
        <f>IFERROR(VLOOKUP(DESPESAS[[#This Row],[Plano de Contas]],BASE!$B$3:$H$119,6,FALSE),"")</f>
        <v>0</v>
      </c>
      <c r="M843" s="77" t="str">
        <f>VLOOKUP(DESPESAS[[#This Row],[Plano de Contas]],BASE!$B$3:$H$119,7,FALSE)</f>
        <v>LETÍCIA</v>
      </c>
    </row>
    <row r="844" spans="1:13" x14ac:dyDescent="0.25">
      <c r="A844" s="74">
        <v>197375</v>
      </c>
      <c r="B844" s="75" t="s">
        <v>221</v>
      </c>
      <c r="C844" s="75" t="s">
        <v>2688</v>
      </c>
      <c r="D844" s="76">
        <v>46045</v>
      </c>
      <c r="E844" s="75" t="s">
        <v>789</v>
      </c>
      <c r="F844" s="74">
        <v>1171.08</v>
      </c>
      <c r="G844" s="75" t="s">
        <v>572</v>
      </c>
      <c r="H844" s="77" t="str">
        <f>VLOOKUP(DESPESAS[[#This Row],[Plano de Contas]],BASE!$B$3:$D$119,3,FALSE)</f>
        <v>Comissões sobre Vendas Externo</v>
      </c>
      <c r="I844" s="77" t="str">
        <f>IFERROR(VLOOKUP(DESPESAS[[#This Row],[Fornecedor]],Tabela2[],2,FALSE),"")</f>
        <v/>
      </c>
      <c r="J844" s="77" t="str">
        <f>IFERROR(VLOOKUP(DESPESAS[[#This Row],[Plano de Contas]],BASE!$B$3:$F$119,4,FALSE),"")</f>
        <v>6 - DESPESA COM VENDAS</v>
      </c>
      <c r="K844" s="77" t="str">
        <f>IFERROR(VLOOKUP(DESPESAS[[#This Row],[Plano de Contas]],BASE!$B$3:$H$119,5,FALSE),"")</f>
        <v>COMERCIAL</v>
      </c>
      <c r="L844" s="77">
        <f>IFERROR(VLOOKUP(DESPESAS[[#This Row],[Plano de Contas]],BASE!$B$3:$H$119,6,FALSE),"")</f>
        <v>0</v>
      </c>
      <c r="M844" s="77" t="str">
        <f>VLOOKUP(DESPESAS[[#This Row],[Plano de Contas]],BASE!$B$3:$H$119,7,FALSE)</f>
        <v>LETÍCIA</v>
      </c>
    </row>
    <row r="845" spans="1:13" x14ac:dyDescent="0.25">
      <c r="A845" s="74">
        <v>197376</v>
      </c>
      <c r="B845" s="75" t="s">
        <v>221</v>
      </c>
      <c r="C845" s="75" t="s">
        <v>2688</v>
      </c>
      <c r="D845" s="76">
        <v>46045</v>
      </c>
      <c r="E845" s="75" t="s">
        <v>788</v>
      </c>
      <c r="F845" s="74">
        <v>140.24</v>
      </c>
      <c r="G845" s="75" t="s">
        <v>572</v>
      </c>
      <c r="H845" s="77" t="str">
        <f>VLOOKUP(DESPESAS[[#This Row],[Plano de Contas]],BASE!$B$3:$D$119,3,FALSE)</f>
        <v>Comissões sobre Vendas Externo</v>
      </c>
      <c r="I845" s="77" t="str">
        <f>IFERROR(VLOOKUP(DESPESAS[[#This Row],[Fornecedor]],Tabela2[],2,FALSE),"")</f>
        <v/>
      </c>
      <c r="J845" s="77" t="str">
        <f>IFERROR(VLOOKUP(DESPESAS[[#This Row],[Plano de Contas]],BASE!$B$3:$F$119,4,FALSE),"")</f>
        <v>6 - DESPESA COM VENDAS</v>
      </c>
      <c r="K845" s="77" t="str">
        <f>IFERROR(VLOOKUP(DESPESAS[[#This Row],[Plano de Contas]],BASE!$B$3:$H$119,5,FALSE),"")</f>
        <v>COMERCIAL</v>
      </c>
      <c r="L845" s="77">
        <f>IFERROR(VLOOKUP(DESPESAS[[#This Row],[Plano de Contas]],BASE!$B$3:$H$119,6,FALSE),"")</f>
        <v>0</v>
      </c>
      <c r="M845" s="77" t="str">
        <f>VLOOKUP(DESPESAS[[#This Row],[Plano de Contas]],BASE!$B$3:$H$119,7,FALSE)</f>
        <v>LETÍCIA</v>
      </c>
    </row>
    <row r="846" spans="1:13" x14ac:dyDescent="0.25">
      <c r="A846" s="74">
        <v>197377</v>
      </c>
      <c r="B846" s="75" t="s">
        <v>221</v>
      </c>
      <c r="C846" s="75" t="s">
        <v>2697</v>
      </c>
      <c r="D846" s="76">
        <v>46045</v>
      </c>
      <c r="E846" s="75" t="s">
        <v>787</v>
      </c>
      <c r="F846" s="74">
        <v>243.63</v>
      </c>
      <c r="G846" s="75" t="s">
        <v>572</v>
      </c>
      <c r="H846" s="77" t="str">
        <f>VLOOKUP(DESPESAS[[#This Row],[Plano de Contas]],BASE!$B$3:$D$119,3,FALSE)</f>
        <v>Comissões sobre Vendas Externo</v>
      </c>
      <c r="I846" s="77" t="str">
        <f>IFERROR(VLOOKUP(DESPESAS[[#This Row],[Fornecedor]],Tabela2[],2,FALSE),"")</f>
        <v/>
      </c>
      <c r="J846" s="77" t="str">
        <f>IFERROR(VLOOKUP(DESPESAS[[#This Row],[Plano de Contas]],BASE!$B$3:$F$119,4,FALSE),"")</f>
        <v>6 - DESPESA COM VENDAS</v>
      </c>
      <c r="K846" s="77" t="str">
        <f>IFERROR(VLOOKUP(DESPESAS[[#This Row],[Plano de Contas]],BASE!$B$3:$H$119,5,FALSE),"")</f>
        <v>COMERCIAL</v>
      </c>
      <c r="L846" s="77">
        <f>IFERROR(VLOOKUP(DESPESAS[[#This Row],[Plano de Contas]],BASE!$B$3:$H$119,6,FALSE),"")</f>
        <v>0</v>
      </c>
      <c r="M846" s="77" t="str">
        <f>VLOOKUP(DESPESAS[[#This Row],[Plano de Contas]],BASE!$B$3:$H$119,7,FALSE)</f>
        <v>LETÍCIA</v>
      </c>
    </row>
    <row r="847" spans="1:13" x14ac:dyDescent="0.25">
      <c r="A847" s="74">
        <v>197378</v>
      </c>
      <c r="B847" s="75" t="s">
        <v>221</v>
      </c>
      <c r="C847" s="75" t="s">
        <v>2688</v>
      </c>
      <c r="D847" s="76">
        <v>46045</v>
      </c>
      <c r="E847" s="75" t="s">
        <v>786</v>
      </c>
      <c r="F847" s="74">
        <v>55.56</v>
      </c>
      <c r="G847" s="75" t="s">
        <v>572</v>
      </c>
      <c r="H847" s="77" t="str">
        <f>VLOOKUP(DESPESAS[[#This Row],[Plano de Contas]],BASE!$B$3:$D$119,3,FALSE)</f>
        <v>Comissões sobre Vendas Externo</v>
      </c>
      <c r="I847" s="77" t="str">
        <f>IFERROR(VLOOKUP(DESPESAS[[#This Row],[Fornecedor]],Tabela2[],2,FALSE),"")</f>
        <v/>
      </c>
      <c r="J847" s="77" t="str">
        <f>IFERROR(VLOOKUP(DESPESAS[[#This Row],[Plano de Contas]],BASE!$B$3:$F$119,4,FALSE),"")</f>
        <v>6 - DESPESA COM VENDAS</v>
      </c>
      <c r="K847" s="77" t="str">
        <f>IFERROR(VLOOKUP(DESPESAS[[#This Row],[Plano de Contas]],BASE!$B$3:$H$119,5,FALSE),"")</f>
        <v>COMERCIAL</v>
      </c>
      <c r="L847" s="77">
        <f>IFERROR(VLOOKUP(DESPESAS[[#This Row],[Plano de Contas]],BASE!$B$3:$H$119,6,FALSE),"")</f>
        <v>0</v>
      </c>
      <c r="M847" s="77" t="str">
        <f>VLOOKUP(DESPESAS[[#This Row],[Plano de Contas]],BASE!$B$3:$H$119,7,FALSE)</f>
        <v>LETÍCIA</v>
      </c>
    </row>
    <row r="848" spans="1:13" x14ac:dyDescent="0.25">
      <c r="A848" s="74">
        <v>197379</v>
      </c>
      <c r="B848" s="75" t="s">
        <v>221</v>
      </c>
      <c r="C848" s="75" t="s">
        <v>2697</v>
      </c>
      <c r="D848" s="76">
        <v>46045</v>
      </c>
      <c r="E848" s="75" t="s">
        <v>785</v>
      </c>
      <c r="F848" s="74">
        <v>425.19</v>
      </c>
      <c r="G848" s="75" t="s">
        <v>572</v>
      </c>
      <c r="H848" s="77" t="str">
        <f>VLOOKUP(DESPESAS[[#This Row],[Plano de Contas]],BASE!$B$3:$D$119,3,FALSE)</f>
        <v>Comissões sobre Vendas Externo</v>
      </c>
      <c r="I848" s="77" t="str">
        <f>IFERROR(VLOOKUP(DESPESAS[[#This Row],[Fornecedor]],Tabela2[],2,FALSE),"")</f>
        <v/>
      </c>
      <c r="J848" s="77" t="str">
        <f>IFERROR(VLOOKUP(DESPESAS[[#This Row],[Plano de Contas]],BASE!$B$3:$F$119,4,FALSE),"")</f>
        <v>6 - DESPESA COM VENDAS</v>
      </c>
      <c r="K848" s="77" t="str">
        <f>IFERROR(VLOOKUP(DESPESAS[[#This Row],[Plano de Contas]],BASE!$B$3:$H$119,5,FALSE),"")</f>
        <v>COMERCIAL</v>
      </c>
      <c r="L848" s="77">
        <f>IFERROR(VLOOKUP(DESPESAS[[#This Row],[Plano de Contas]],BASE!$B$3:$H$119,6,FALSE),"")</f>
        <v>0</v>
      </c>
      <c r="M848" s="77" t="str">
        <f>VLOOKUP(DESPESAS[[#This Row],[Plano de Contas]],BASE!$B$3:$H$119,7,FALSE)</f>
        <v>LETÍCIA</v>
      </c>
    </row>
    <row r="849" spans="1:13" x14ac:dyDescent="0.25">
      <c r="A849" s="74">
        <v>197380</v>
      </c>
      <c r="B849" s="75" t="s">
        <v>221</v>
      </c>
      <c r="C849" s="75" t="s">
        <v>2688</v>
      </c>
      <c r="D849" s="76">
        <v>46045</v>
      </c>
      <c r="E849" s="75" t="s">
        <v>784</v>
      </c>
      <c r="F849" s="74">
        <v>851.13</v>
      </c>
      <c r="G849" s="75" t="s">
        <v>572</v>
      </c>
      <c r="H849" s="77" t="str">
        <f>VLOOKUP(DESPESAS[[#This Row],[Plano de Contas]],BASE!$B$3:$D$119,3,FALSE)</f>
        <v>Comissões sobre Vendas Externo</v>
      </c>
      <c r="I849" s="77" t="str">
        <f>IFERROR(VLOOKUP(DESPESAS[[#This Row],[Fornecedor]],Tabela2[],2,FALSE),"")</f>
        <v/>
      </c>
      <c r="J849" s="77" t="str">
        <f>IFERROR(VLOOKUP(DESPESAS[[#This Row],[Plano de Contas]],BASE!$B$3:$F$119,4,FALSE),"")</f>
        <v>6 - DESPESA COM VENDAS</v>
      </c>
      <c r="K849" s="77" t="str">
        <f>IFERROR(VLOOKUP(DESPESAS[[#This Row],[Plano de Contas]],BASE!$B$3:$H$119,5,FALSE),"")</f>
        <v>COMERCIAL</v>
      </c>
      <c r="L849" s="77">
        <f>IFERROR(VLOOKUP(DESPESAS[[#This Row],[Plano de Contas]],BASE!$B$3:$H$119,6,FALSE),"")</f>
        <v>0</v>
      </c>
      <c r="M849" s="77" t="str">
        <f>VLOOKUP(DESPESAS[[#This Row],[Plano de Contas]],BASE!$B$3:$H$119,7,FALSE)</f>
        <v>LETÍCIA</v>
      </c>
    </row>
    <row r="850" spans="1:13" x14ac:dyDescent="0.25">
      <c r="A850" s="74">
        <v>197381</v>
      </c>
      <c r="B850" s="75" t="s">
        <v>221</v>
      </c>
      <c r="C850" s="75" t="s">
        <v>2688</v>
      </c>
      <c r="D850" s="76">
        <v>46045</v>
      </c>
      <c r="E850" s="75" t="s">
        <v>791</v>
      </c>
      <c r="F850" s="74">
        <v>298.04000000000002</v>
      </c>
      <c r="G850" s="75" t="s">
        <v>572</v>
      </c>
      <c r="H850" s="77" t="str">
        <f>VLOOKUP(DESPESAS[[#This Row],[Plano de Contas]],BASE!$B$3:$D$119,3,FALSE)</f>
        <v>Comissões sobre Vendas Externo</v>
      </c>
      <c r="I850" s="77" t="str">
        <f>IFERROR(VLOOKUP(DESPESAS[[#This Row],[Fornecedor]],Tabela2[],2,FALSE),"")</f>
        <v/>
      </c>
      <c r="J850" s="77" t="str">
        <f>IFERROR(VLOOKUP(DESPESAS[[#This Row],[Plano de Contas]],BASE!$B$3:$F$119,4,FALSE),"")</f>
        <v>6 - DESPESA COM VENDAS</v>
      </c>
      <c r="K850" s="77" t="str">
        <f>IFERROR(VLOOKUP(DESPESAS[[#This Row],[Plano de Contas]],BASE!$B$3:$H$119,5,FALSE),"")</f>
        <v>COMERCIAL</v>
      </c>
      <c r="L850" s="77">
        <f>IFERROR(VLOOKUP(DESPESAS[[#This Row],[Plano de Contas]],BASE!$B$3:$H$119,6,FALSE),"")</f>
        <v>0</v>
      </c>
      <c r="M850" s="77" t="str">
        <f>VLOOKUP(DESPESAS[[#This Row],[Plano de Contas]],BASE!$B$3:$H$119,7,FALSE)</f>
        <v>LETÍCIA</v>
      </c>
    </row>
    <row r="851" spans="1:13" x14ac:dyDescent="0.25">
      <c r="A851" s="74">
        <v>197382</v>
      </c>
      <c r="B851" s="75" t="s">
        <v>221</v>
      </c>
      <c r="C851" s="75" t="s">
        <v>2696</v>
      </c>
      <c r="D851" s="76">
        <v>46045</v>
      </c>
      <c r="E851" s="75" t="s">
        <v>2695</v>
      </c>
      <c r="F851" s="74">
        <v>400</v>
      </c>
      <c r="G851" s="75" t="s">
        <v>719</v>
      </c>
      <c r="H851" s="77" t="str">
        <f>VLOOKUP(DESPESAS[[#This Row],[Plano de Contas]],BASE!$B$3:$D$119,3,FALSE)</f>
        <v>Outros Serviços de Terceiros</v>
      </c>
      <c r="I851" s="77" t="str">
        <f>IFERROR(VLOOKUP(DESPESAS[[#This Row],[Fornecedor]],Tabela2[],2,FALSE),"")</f>
        <v/>
      </c>
      <c r="J851" s="77" t="str">
        <f>IFERROR(VLOOKUP(DESPESAS[[#This Row],[Plano de Contas]],BASE!$B$3:$F$119,4,FALSE),"")</f>
        <v>7 - SERVIÇOS DE TERCEIROS</v>
      </c>
      <c r="K851" s="77" t="str">
        <f>IFERROR(VLOOKUP(DESPESAS[[#This Row],[Plano de Contas]],BASE!$B$3:$H$119,5,FALSE),"")</f>
        <v>FINANCEIRO</v>
      </c>
      <c r="L851" s="77">
        <f>IFERROR(VLOOKUP(DESPESAS[[#This Row],[Plano de Contas]],BASE!$B$3:$H$119,6,FALSE),"")</f>
        <v>0</v>
      </c>
      <c r="M851" s="77" t="str">
        <f>VLOOKUP(DESPESAS[[#This Row],[Plano de Contas]],BASE!$B$3:$H$119,7,FALSE)</f>
        <v>LETÍCIA</v>
      </c>
    </row>
    <row r="852" spans="1:13" x14ac:dyDescent="0.25">
      <c r="A852" s="74">
        <v>197383</v>
      </c>
      <c r="B852" s="75" t="s">
        <v>221</v>
      </c>
      <c r="C852" s="75" t="s">
        <v>2694</v>
      </c>
      <c r="D852" s="76">
        <v>46045</v>
      </c>
      <c r="E852" s="75" t="s">
        <v>256</v>
      </c>
      <c r="F852" s="74">
        <v>139.78</v>
      </c>
      <c r="G852" s="75" t="s">
        <v>255</v>
      </c>
      <c r="H852" s="77" t="str">
        <f>VLOOKUP(DESPESAS[[#This Row],[Plano de Contas]],BASE!$B$3:$D$119,3,FALSE)</f>
        <v>Mostruário de Tecido</v>
      </c>
      <c r="I852" s="77" t="str">
        <f>IFERROR(VLOOKUP(DESPESAS[[#This Row],[Fornecedor]],Tabela2[],2,FALSE),"")</f>
        <v/>
      </c>
      <c r="J852" s="77" t="str">
        <f>IFERROR(VLOOKUP(DESPESAS[[#This Row],[Plano de Contas]],BASE!$B$3:$F$119,4,FALSE),"")</f>
        <v>6 - DESPESA COM VENDAS</v>
      </c>
      <c r="K852" s="77" t="str">
        <f>IFERROR(VLOOKUP(DESPESAS[[#This Row],[Plano de Contas]],BASE!$B$3:$H$119,5,FALSE),"")</f>
        <v>COMERCIAL</v>
      </c>
      <c r="L852" s="77">
        <f>IFERROR(VLOOKUP(DESPESAS[[#This Row],[Plano de Contas]],BASE!$B$3:$H$119,6,FALSE),"")</f>
        <v>0</v>
      </c>
      <c r="M852" s="77" t="str">
        <f>VLOOKUP(DESPESAS[[#This Row],[Plano de Contas]],BASE!$B$3:$H$119,7,FALSE)</f>
        <v>LETÍCIA</v>
      </c>
    </row>
    <row r="853" spans="1:13" x14ac:dyDescent="0.25">
      <c r="A853" s="74">
        <v>197384</v>
      </c>
      <c r="B853" s="75" t="s">
        <v>232</v>
      </c>
      <c r="C853" s="75" t="s">
        <v>2693</v>
      </c>
      <c r="D853" s="76">
        <v>46045</v>
      </c>
      <c r="E853" s="75" t="s">
        <v>230</v>
      </c>
      <c r="F853" s="74">
        <v>932.69</v>
      </c>
      <c r="G853" s="75" t="s">
        <v>229</v>
      </c>
      <c r="H853" s="77" t="str">
        <f>VLOOKUP(DESPESAS[[#This Row],[Plano de Contas]],BASE!$B$3:$D$119,3,FALSE)</f>
        <v>Despesas Bancarias</v>
      </c>
      <c r="I853" s="77" t="str">
        <f>IFERROR(VLOOKUP(DESPESAS[[#This Row],[Fornecedor]],Tabela2[],2,FALSE),"")</f>
        <v/>
      </c>
      <c r="J853" s="77" t="str">
        <f>IFERROR(VLOOKUP(DESPESAS[[#This Row],[Plano de Contas]],BASE!$B$3:$F$119,4,FALSE),"")</f>
        <v>8 - DESPESAS FINANCEIRAS</v>
      </c>
      <c r="K853" s="77" t="str">
        <f>IFERROR(VLOOKUP(DESPESAS[[#This Row],[Plano de Contas]],BASE!$B$3:$H$119,5,FALSE),"")</f>
        <v>FINANCEIRO</v>
      </c>
      <c r="L853" s="77">
        <f>IFERROR(VLOOKUP(DESPESAS[[#This Row],[Plano de Contas]],BASE!$B$3:$H$119,6,FALSE),"")</f>
        <v>0</v>
      </c>
      <c r="M853" s="77" t="str">
        <f>VLOOKUP(DESPESAS[[#This Row],[Plano de Contas]],BASE!$B$3:$H$119,7,FALSE)</f>
        <v>LETÍCIA</v>
      </c>
    </row>
    <row r="854" spans="1:13" x14ac:dyDescent="0.25">
      <c r="A854" s="74">
        <v>197385</v>
      </c>
      <c r="B854" s="75" t="s">
        <v>232</v>
      </c>
      <c r="C854" s="75" t="s">
        <v>2692</v>
      </c>
      <c r="D854" s="76">
        <v>46045</v>
      </c>
      <c r="E854" s="75" t="s">
        <v>230</v>
      </c>
      <c r="F854" s="74">
        <v>440.85</v>
      </c>
      <c r="G854" s="75" t="s">
        <v>229</v>
      </c>
      <c r="H854" s="77" t="str">
        <f>VLOOKUP(DESPESAS[[#This Row],[Plano de Contas]],BASE!$B$3:$D$119,3,FALSE)</f>
        <v>Despesas Bancarias</v>
      </c>
      <c r="I854" s="77" t="str">
        <f>IFERROR(VLOOKUP(DESPESAS[[#This Row],[Fornecedor]],Tabela2[],2,FALSE),"")</f>
        <v/>
      </c>
      <c r="J854" s="77" t="str">
        <f>IFERROR(VLOOKUP(DESPESAS[[#This Row],[Plano de Contas]],BASE!$B$3:$F$119,4,FALSE),"")</f>
        <v>8 - DESPESAS FINANCEIRAS</v>
      </c>
      <c r="K854" s="77" t="str">
        <f>IFERROR(VLOOKUP(DESPESAS[[#This Row],[Plano de Contas]],BASE!$B$3:$H$119,5,FALSE),"")</f>
        <v>FINANCEIRO</v>
      </c>
      <c r="L854" s="77">
        <f>IFERROR(VLOOKUP(DESPESAS[[#This Row],[Plano de Contas]],BASE!$B$3:$H$119,6,FALSE),"")</f>
        <v>0</v>
      </c>
      <c r="M854" s="77" t="str">
        <f>VLOOKUP(DESPESAS[[#This Row],[Plano de Contas]],BASE!$B$3:$H$119,7,FALSE)</f>
        <v>LETÍCIA</v>
      </c>
    </row>
    <row r="855" spans="1:13" x14ac:dyDescent="0.25">
      <c r="A855" s="74">
        <v>197387</v>
      </c>
      <c r="B855" s="75" t="s">
        <v>232</v>
      </c>
      <c r="C855" s="75" t="s">
        <v>2691</v>
      </c>
      <c r="D855" s="76">
        <v>46045</v>
      </c>
      <c r="E855" s="75" t="s">
        <v>230</v>
      </c>
      <c r="F855" s="74">
        <v>5960.05</v>
      </c>
      <c r="G855" s="75" t="s">
        <v>251</v>
      </c>
      <c r="H855" s="77" t="str">
        <f>VLOOKUP(DESPESAS[[#This Row],[Plano de Contas]],BASE!$B$3:$D$119,3,FALSE)</f>
        <v>Juros Pagos - Antecipação de Crédito</v>
      </c>
      <c r="I855" s="77" t="str">
        <f>IFERROR(VLOOKUP(DESPESAS[[#This Row],[Fornecedor]],Tabela2[],2,FALSE),"")</f>
        <v/>
      </c>
      <c r="J855" s="77" t="str">
        <f>IFERROR(VLOOKUP(DESPESAS[[#This Row],[Plano de Contas]],BASE!$B$3:$F$119,4,FALSE),"")</f>
        <v>8 - DESPESAS FINANCEIRAS</v>
      </c>
      <c r="K855" s="77" t="str">
        <f>IFERROR(VLOOKUP(DESPESAS[[#This Row],[Plano de Contas]],BASE!$B$3:$H$119,5,FALSE),"")</f>
        <v>FINANCEIRO</v>
      </c>
      <c r="L855" s="77">
        <f>IFERROR(VLOOKUP(DESPESAS[[#This Row],[Plano de Contas]],BASE!$B$3:$H$119,6,FALSE),"")</f>
        <v>0</v>
      </c>
      <c r="M855" s="77" t="str">
        <f>VLOOKUP(DESPESAS[[#This Row],[Plano de Contas]],BASE!$B$3:$H$119,7,FALSE)</f>
        <v>LETÍCIA</v>
      </c>
    </row>
    <row r="856" spans="1:13" x14ac:dyDescent="0.25">
      <c r="A856" s="74">
        <v>197388</v>
      </c>
      <c r="B856" s="75" t="s">
        <v>221</v>
      </c>
      <c r="C856" s="75" t="s">
        <v>2649</v>
      </c>
      <c r="D856" s="76">
        <v>46045</v>
      </c>
      <c r="E856" s="75" t="s">
        <v>320</v>
      </c>
      <c r="F856" s="74">
        <v>107</v>
      </c>
      <c r="G856" s="75" t="s">
        <v>238</v>
      </c>
      <c r="H856" s="77" t="str">
        <f>VLOOKUP(DESPESAS[[#This Row],[Plano de Contas]],BASE!$B$3:$D$119,3,FALSE)</f>
        <v>Consultoria Comercial</v>
      </c>
      <c r="I856" s="77" t="str">
        <f>IFERROR(VLOOKUP(DESPESAS[[#This Row],[Fornecedor]],Tabela2[],2,FALSE),"")</f>
        <v/>
      </c>
      <c r="J856" s="77" t="str">
        <f>IFERROR(VLOOKUP(DESPESAS[[#This Row],[Plano de Contas]],BASE!$B$3:$F$119,4,FALSE),"")</f>
        <v>6 - DESPESA COM VENDAS</v>
      </c>
      <c r="K856" s="77" t="str">
        <f>IFERROR(VLOOKUP(DESPESAS[[#This Row],[Plano de Contas]],BASE!$B$3:$H$119,5,FALSE),"")</f>
        <v>COMERCIAL</v>
      </c>
      <c r="L856" s="77">
        <f>IFERROR(VLOOKUP(DESPESAS[[#This Row],[Plano de Contas]],BASE!$B$3:$H$119,6,FALSE),"")</f>
        <v>0</v>
      </c>
      <c r="M856" s="77" t="str">
        <f>VLOOKUP(DESPESAS[[#This Row],[Plano de Contas]],BASE!$B$3:$H$119,7,FALSE)</f>
        <v>LETÍCIA</v>
      </c>
    </row>
    <row r="857" spans="1:13" x14ac:dyDescent="0.25">
      <c r="A857" s="74">
        <v>197389</v>
      </c>
      <c r="B857" s="75" t="s">
        <v>281</v>
      </c>
      <c r="C857" s="75" t="s">
        <v>2688</v>
      </c>
      <c r="D857" s="76">
        <v>46045</v>
      </c>
      <c r="E857" s="75" t="s">
        <v>573</v>
      </c>
      <c r="F857" s="74">
        <v>517.15</v>
      </c>
      <c r="G857" s="75" t="s">
        <v>572</v>
      </c>
      <c r="H857" s="77" t="str">
        <f>VLOOKUP(DESPESAS[[#This Row],[Plano de Contas]],BASE!$B$3:$D$119,3,FALSE)</f>
        <v>Comissões sobre Vendas Externo</v>
      </c>
      <c r="I857" s="77" t="str">
        <f>IFERROR(VLOOKUP(DESPESAS[[#This Row],[Fornecedor]],Tabela2[],2,FALSE),"")</f>
        <v/>
      </c>
      <c r="J857" s="77" t="str">
        <f>IFERROR(VLOOKUP(DESPESAS[[#This Row],[Plano de Contas]],BASE!$B$3:$F$119,4,FALSE),"")</f>
        <v>6 - DESPESA COM VENDAS</v>
      </c>
      <c r="K857" s="77" t="str">
        <f>IFERROR(VLOOKUP(DESPESAS[[#This Row],[Plano de Contas]],BASE!$B$3:$H$119,5,FALSE),"")</f>
        <v>COMERCIAL</v>
      </c>
      <c r="L857" s="77">
        <f>IFERROR(VLOOKUP(DESPESAS[[#This Row],[Plano de Contas]],BASE!$B$3:$H$119,6,FALSE),"")</f>
        <v>0</v>
      </c>
      <c r="M857" s="77" t="str">
        <f>VLOOKUP(DESPESAS[[#This Row],[Plano de Contas]],BASE!$B$3:$H$119,7,FALSE)</f>
        <v>LETÍCIA</v>
      </c>
    </row>
    <row r="858" spans="1:13" x14ac:dyDescent="0.25">
      <c r="A858" s="74">
        <v>197390</v>
      </c>
      <c r="B858" s="75" t="s">
        <v>221</v>
      </c>
      <c r="C858" s="75" t="s">
        <v>2690</v>
      </c>
      <c r="D858" s="76">
        <v>46045</v>
      </c>
      <c r="E858" s="75" t="s">
        <v>2689</v>
      </c>
      <c r="F858" s="74">
        <v>112</v>
      </c>
      <c r="G858" s="75" t="s">
        <v>259</v>
      </c>
      <c r="H858" s="77" t="str">
        <f>VLOOKUP(DESPESAS[[#This Row],[Plano de Contas]],BASE!$B$3:$D$119,3,FALSE)</f>
        <v>Manutenção Predial CIF</v>
      </c>
      <c r="I858" s="77" t="str">
        <f>IFERROR(VLOOKUP(DESPESAS[[#This Row],[Fornecedor]],Tabela2[],2,FALSE),"")</f>
        <v/>
      </c>
      <c r="J858" s="77" t="str">
        <f>IFERROR(VLOOKUP(DESPESAS[[#This Row],[Plano de Contas]],BASE!$B$3:$F$119,4,FALSE),"")</f>
        <v>3 - CUSTOS INDIRETOS</v>
      </c>
      <c r="K858" s="77" t="str">
        <f>IFERROR(VLOOKUP(DESPESAS[[#This Row],[Plano de Contas]],BASE!$B$3:$H$119,5,FALSE),"")</f>
        <v>MANUTENÇÃO / TI</v>
      </c>
      <c r="L858" s="77">
        <f>IFERROR(VLOOKUP(DESPESAS[[#This Row],[Plano de Contas]],BASE!$B$3:$H$119,6,FALSE),"")</f>
        <v>0</v>
      </c>
      <c r="M858" s="77" t="str">
        <f>VLOOKUP(DESPESAS[[#This Row],[Plano de Contas]],BASE!$B$3:$H$119,7,FALSE)</f>
        <v>FÁBIO</v>
      </c>
    </row>
    <row r="859" spans="1:13" x14ac:dyDescent="0.25">
      <c r="A859" s="74">
        <v>197391</v>
      </c>
      <c r="B859" s="75" t="s">
        <v>281</v>
      </c>
      <c r="C859" s="75" t="s">
        <v>2688</v>
      </c>
      <c r="D859" s="76">
        <v>46045</v>
      </c>
      <c r="E859" s="75" t="s">
        <v>790</v>
      </c>
      <c r="F859" s="74">
        <v>1821.76</v>
      </c>
      <c r="G859" s="75" t="s">
        <v>572</v>
      </c>
      <c r="H859" s="77" t="str">
        <f>VLOOKUP(DESPESAS[[#This Row],[Plano de Contas]],BASE!$B$3:$D$119,3,FALSE)</f>
        <v>Comissões sobre Vendas Externo</v>
      </c>
      <c r="I859" s="77" t="str">
        <f>IFERROR(VLOOKUP(DESPESAS[[#This Row],[Fornecedor]],Tabela2[],2,FALSE),"")</f>
        <v/>
      </c>
      <c r="J859" s="77" t="str">
        <f>IFERROR(VLOOKUP(DESPESAS[[#This Row],[Plano de Contas]],BASE!$B$3:$F$119,4,FALSE),"")</f>
        <v>6 - DESPESA COM VENDAS</v>
      </c>
      <c r="K859" s="77" t="str">
        <f>IFERROR(VLOOKUP(DESPESAS[[#This Row],[Plano de Contas]],BASE!$B$3:$H$119,5,FALSE),"")</f>
        <v>COMERCIAL</v>
      </c>
      <c r="L859" s="77">
        <f>IFERROR(VLOOKUP(DESPESAS[[#This Row],[Plano de Contas]],BASE!$B$3:$H$119,6,FALSE),"")</f>
        <v>0</v>
      </c>
      <c r="M859" s="77" t="str">
        <f>VLOOKUP(DESPESAS[[#This Row],[Plano de Contas]],BASE!$B$3:$H$119,7,FALSE)</f>
        <v>LETÍCIA</v>
      </c>
    </row>
    <row r="860" spans="1:13" x14ac:dyDescent="0.25">
      <c r="A860" s="74">
        <v>197392</v>
      </c>
      <c r="B860" s="75" t="s">
        <v>281</v>
      </c>
      <c r="C860" s="75" t="s">
        <v>2688</v>
      </c>
      <c r="D860" s="76">
        <v>46045</v>
      </c>
      <c r="E860" s="75" t="s">
        <v>789</v>
      </c>
      <c r="F860" s="74">
        <v>1027.44</v>
      </c>
      <c r="G860" s="75" t="s">
        <v>572</v>
      </c>
      <c r="H860" s="77" t="str">
        <f>VLOOKUP(DESPESAS[[#This Row],[Plano de Contas]],BASE!$B$3:$D$119,3,FALSE)</f>
        <v>Comissões sobre Vendas Externo</v>
      </c>
      <c r="I860" s="77" t="str">
        <f>IFERROR(VLOOKUP(DESPESAS[[#This Row],[Fornecedor]],Tabela2[],2,FALSE),"")</f>
        <v/>
      </c>
      <c r="J860" s="77" t="str">
        <f>IFERROR(VLOOKUP(DESPESAS[[#This Row],[Plano de Contas]],BASE!$B$3:$F$119,4,FALSE),"")</f>
        <v>6 - DESPESA COM VENDAS</v>
      </c>
      <c r="K860" s="77" t="str">
        <f>IFERROR(VLOOKUP(DESPESAS[[#This Row],[Plano de Contas]],BASE!$B$3:$H$119,5,FALSE),"")</f>
        <v>COMERCIAL</v>
      </c>
      <c r="L860" s="77">
        <f>IFERROR(VLOOKUP(DESPESAS[[#This Row],[Plano de Contas]],BASE!$B$3:$H$119,6,FALSE),"")</f>
        <v>0</v>
      </c>
      <c r="M860" s="77" t="str">
        <f>VLOOKUP(DESPESAS[[#This Row],[Plano de Contas]],BASE!$B$3:$H$119,7,FALSE)</f>
        <v>LETÍCIA</v>
      </c>
    </row>
    <row r="861" spans="1:13" x14ac:dyDescent="0.25">
      <c r="A861" s="74">
        <v>197394</v>
      </c>
      <c r="B861" s="75" t="s">
        <v>281</v>
      </c>
      <c r="C861" s="75" t="s">
        <v>2688</v>
      </c>
      <c r="D861" s="76">
        <v>46045</v>
      </c>
      <c r="E861" s="75" t="s">
        <v>788</v>
      </c>
      <c r="F861" s="74">
        <v>1348.91</v>
      </c>
      <c r="G861" s="75" t="s">
        <v>572</v>
      </c>
      <c r="H861" s="77" t="str">
        <f>VLOOKUP(DESPESAS[[#This Row],[Plano de Contas]],BASE!$B$3:$D$119,3,FALSE)</f>
        <v>Comissões sobre Vendas Externo</v>
      </c>
      <c r="I861" s="77" t="str">
        <f>IFERROR(VLOOKUP(DESPESAS[[#This Row],[Fornecedor]],Tabela2[],2,FALSE),"")</f>
        <v/>
      </c>
      <c r="J861" s="77" t="str">
        <f>IFERROR(VLOOKUP(DESPESAS[[#This Row],[Plano de Contas]],BASE!$B$3:$F$119,4,FALSE),"")</f>
        <v>6 - DESPESA COM VENDAS</v>
      </c>
      <c r="K861" s="77" t="str">
        <f>IFERROR(VLOOKUP(DESPESAS[[#This Row],[Plano de Contas]],BASE!$B$3:$H$119,5,FALSE),"")</f>
        <v>COMERCIAL</v>
      </c>
      <c r="L861" s="77">
        <f>IFERROR(VLOOKUP(DESPESAS[[#This Row],[Plano de Contas]],BASE!$B$3:$H$119,6,FALSE),"")</f>
        <v>0</v>
      </c>
      <c r="M861" s="77" t="str">
        <f>VLOOKUP(DESPESAS[[#This Row],[Plano de Contas]],BASE!$B$3:$H$119,7,FALSE)</f>
        <v>LETÍCIA</v>
      </c>
    </row>
    <row r="862" spans="1:13" x14ac:dyDescent="0.25">
      <c r="A862" s="74">
        <v>197395</v>
      </c>
      <c r="B862" s="75" t="s">
        <v>281</v>
      </c>
      <c r="C862" s="75" t="s">
        <v>2688</v>
      </c>
      <c r="D862" s="76">
        <v>46045</v>
      </c>
      <c r="E862" s="75" t="s">
        <v>785</v>
      </c>
      <c r="F862" s="74">
        <v>229.54</v>
      </c>
      <c r="G862" s="75" t="s">
        <v>572</v>
      </c>
      <c r="H862" s="77" t="str">
        <f>VLOOKUP(DESPESAS[[#This Row],[Plano de Contas]],BASE!$B$3:$D$119,3,FALSE)</f>
        <v>Comissões sobre Vendas Externo</v>
      </c>
      <c r="I862" s="77" t="str">
        <f>IFERROR(VLOOKUP(DESPESAS[[#This Row],[Fornecedor]],Tabela2[],2,FALSE),"")</f>
        <v/>
      </c>
      <c r="J862" s="77" t="str">
        <f>IFERROR(VLOOKUP(DESPESAS[[#This Row],[Plano de Contas]],BASE!$B$3:$F$119,4,FALSE),"")</f>
        <v>6 - DESPESA COM VENDAS</v>
      </c>
      <c r="K862" s="77" t="str">
        <f>IFERROR(VLOOKUP(DESPESAS[[#This Row],[Plano de Contas]],BASE!$B$3:$H$119,5,FALSE),"")</f>
        <v>COMERCIAL</v>
      </c>
      <c r="L862" s="77">
        <f>IFERROR(VLOOKUP(DESPESAS[[#This Row],[Plano de Contas]],BASE!$B$3:$H$119,6,FALSE),"")</f>
        <v>0</v>
      </c>
      <c r="M862" s="77" t="str">
        <f>VLOOKUP(DESPESAS[[#This Row],[Plano de Contas]],BASE!$B$3:$H$119,7,FALSE)</f>
        <v>LETÍCIA</v>
      </c>
    </row>
    <row r="863" spans="1:13" x14ac:dyDescent="0.25">
      <c r="A863" s="74">
        <v>197397</v>
      </c>
      <c r="B863" s="75" t="s">
        <v>281</v>
      </c>
      <c r="C863" s="75" t="s">
        <v>2688</v>
      </c>
      <c r="D863" s="76">
        <v>46045</v>
      </c>
      <c r="E863" s="75" t="s">
        <v>791</v>
      </c>
      <c r="F863" s="74">
        <v>1002.01</v>
      </c>
      <c r="G863" s="75" t="s">
        <v>572</v>
      </c>
      <c r="H863" s="77" t="str">
        <f>VLOOKUP(DESPESAS[[#This Row],[Plano de Contas]],BASE!$B$3:$D$119,3,FALSE)</f>
        <v>Comissões sobre Vendas Externo</v>
      </c>
      <c r="I863" s="77" t="str">
        <f>IFERROR(VLOOKUP(DESPESAS[[#This Row],[Fornecedor]],Tabela2[],2,FALSE),"")</f>
        <v/>
      </c>
      <c r="J863" s="77" t="str">
        <f>IFERROR(VLOOKUP(DESPESAS[[#This Row],[Plano de Contas]],BASE!$B$3:$F$119,4,FALSE),"")</f>
        <v>6 - DESPESA COM VENDAS</v>
      </c>
      <c r="K863" s="77" t="str">
        <f>IFERROR(VLOOKUP(DESPESAS[[#This Row],[Plano de Contas]],BASE!$B$3:$H$119,5,FALSE),"")</f>
        <v>COMERCIAL</v>
      </c>
      <c r="L863" s="77">
        <f>IFERROR(VLOOKUP(DESPESAS[[#This Row],[Plano de Contas]],BASE!$B$3:$H$119,6,FALSE),"")</f>
        <v>0</v>
      </c>
      <c r="M863" s="77" t="str">
        <f>VLOOKUP(DESPESAS[[#This Row],[Plano de Contas]],BASE!$B$3:$H$119,7,FALSE)</f>
        <v>LETÍCIA</v>
      </c>
    </row>
    <row r="864" spans="1:13" x14ac:dyDescent="0.25">
      <c r="A864" s="74">
        <v>197398</v>
      </c>
      <c r="B864" s="75" t="s">
        <v>281</v>
      </c>
      <c r="C864" s="75" t="s">
        <v>2688</v>
      </c>
      <c r="D864" s="76">
        <v>46045</v>
      </c>
      <c r="E864" s="75" t="s">
        <v>784</v>
      </c>
      <c r="F864" s="74">
        <v>407.58</v>
      </c>
      <c r="G864" s="75" t="s">
        <v>572</v>
      </c>
      <c r="H864" s="77" t="str">
        <f>VLOOKUP(DESPESAS[[#This Row],[Plano de Contas]],BASE!$B$3:$D$119,3,FALSE)</f>
        <v>Comissões sobre Vendas Externo</v>
      </c>
      <c r="I864" s="77" t="str">
        <f>IFERROR(VLOOKUP(DESPESAS[[#This Row],[Fornecedor]],Tabela2[],2,FALSE),"")</f>
        <v/>
      </c>
      <c r="J864" s="77" t="str">
        <f>IFERROR(VLOOKUP(DESPESAS[[#This Row],[Plano de Contas]],BASE!$B$3:$F$119,4,FALSE),"")</f>
        <v>6 - DESPESA COM VENDAS</v>
      </c>
      <c r="K864" s="77" t="str">
        <f>IFERROR(VLOOKUP(DESPESAS[[#This Row],[Plano de Contas]],BASE!$B$3:$H$119,5,FALSE),"")</f>
        <v>COMERCIAL</v>
      </c>
      <c r="L864" s="77">
        <f>IFERROR(VLOOKUP(DESPESAS[[#This Row],[Plano de Contas]],BASE!$B$3:$H$119,6,FALSE),"")</f>
        <v>0</v>
      </c>
      <c r="M864" s="77" t="str">
        <f>VLOOKUP(DESPESAS[[#This Row],[Plano de Contas]],BASE!$B$3:$H$119,7,FALSE)</f>
        <v>LETÍCIA</v>
      </c>
    </row>
    <row r="865" spans="1:13" x14ac:dyDescent="0.25">
      <c r="A865" s="74">
        <v>197399</v>
      </c>
      <c r="B865" s="75" t="s">
        <v>279</v>
      </c>
      <c r="C865" s="75" t="s">
        <v>2688</v>
      </c>
      <c r="D865" s="76">
        <v>46045</v>
      </c>
      <c r="E865" s="75" t="s">
        <v>573</v>
      </c>
      <c r="F865" s="74">
        <v>305.25</v>
      </c>
      <c r="G865" s="75" t="s">
        <v>572</v>
      </c>
      <c r="H865" s="77" t="str">
        <f>VLOOKUP(DESPESAS[[#This Row],[Plano de Contas]],BASE!$B$3:$D$119,3,FALSE)</f>
        <v>Comissões sobre Vendas Externo</v>
      </c>
      <c r="I865" s="77" t="str">
        <f>IFERROR(VLOOKUP(DESPESAS[[#This Row],[Fornecedor]],Tabela2[],2,FALSE),"")</f>
        <v/>
      </c>
      <c r="J865" s="77" t="str">
        <f>IFERROR(VLOOKUP(DESPESAS[[#This Row],[Plano de Contas]],BASE!$B$3:$F$119,4,FALSE),"")</f>
        <v>6 - DESPESA COM VENDAS</v>
      </c>
      <c r="K865" s="77" t="str">
        <f>IFERROR(VLOOKUP(DESPESAS[[#This Row],[Plano de Contas]],BASE!$B$3:$H$119,5,FALSE),"")</f>
        <v>COMERCIAL</v>
      </c>
      <c r="L865" s="77">
        <f>IFERROR(VLOOKUP(DESPESAS[[#This Row],[Plano de Contas]],BASE!$B$3:$H$119,6,FALSE),"")</f>
        <v>0</v>
      </c>
      <c r="M865" s="77" t="str">
        <f>VLOOKUP(DESPESAS[[#This Row],[Plano de Contas]],BASE!$B$3:$H$119,7,FALSE)</f>
        <v>LETÍCIA</v>
      </c>
    </row>
    <row r="866" spans="1:13" x14ac:dyDescent="0.25">
      <c r="A866" s="74">
        <v>197400</v>
      </c>
      <c r="B866" s="75" t="s">
        <v>279</v>
      </c>
      <c r="C866" s="75" t="s">
        <v>2688</v>
      </c>
      <c r="D866" s="76">
        <v>46045</v>
      </c>
      <c r="E866" s="75" t="s">
        <v>790</v>
      </c>
      <c r="F866" s="74">
        <v>261.5</v>
      </c>
      <c r="G866" s="75" t="s">
        <v>572</v>
      </c>
      <c r="H866" s="77" t="str">
        <f>VLOOKUP(DESPESAS[[#This Row],[Plano de Contas]],BASE!$B$3:$D$119,3,FALSE)</f>
        <v>Comissões sobre Vendas Externo</v>
      </c>
      <c r="I866" s="77" t="str">
        <f>IFERROR(VLOOKUP(DESPESAS[[#This Row],[Fornecedor]],Tabela2[],2,FALSE),"")</f>
        <v/>
      </c>
      <c r="J866" s="77" t="str">
        <f>IFERROR(VLOOKUP(DESPESAS[[#This Row],[Plano de Contas]],BASE!$B$3:$F$119,4,FALSE),"")</f>
        <v>6 - DESPESA COM VENDAS</v>
      </c>
      <c r="K866" s="77" t="str">
        <f>IFERROR(VLOOKUP(DESPESAS[[#This Row],[Plano de Contas]],BASE!$B$3:$H$119,5,FALSE),"")</f>
        <v>COMERCIAL</v>
      </c>
      <c r="L866" s="77">
        <f>IFERROR(VLOOKUP(DESPESAS[[#This Row],[Plano de Contas]],BASE!$B$3:$H$119,6,FALSE),"")</f>
        <v>0</v>
      </c>
      <c r="M866" s="77" t="str">
        <f>VLOOKUP(DESPESAS[[#This Row],[Plano de Contas]],BASE!$B$3:$H$119,7,FALSE)</f>
        <v>LETÍCIA</v>
      </c>
    </row>
    <row r="867" spans="1:13" x14ac:dyDescent="0.25">
      <c r="A867" s="74">
        <v>197401</v>
      </c>
      <c r="B867" s="75" t="s">
        <v>279</v>
      </c>
      <c r="C867" s="75" t="s">
        <v>2688</v>
      </c>
      <c r="D867" s="76">
        <v>46045</v>
      </c>
      <c r="E867" s="75" t="s">
        <v>789</v>
      </c>
      <c r="F867" s="74">
        <v>518.51</v>
      </c>
      <c r="G867" s="75" t="s">
        <v>572</v>
      </c>
      <c r="H867" s="77" t="str">
        <f>VLOOKUP(DESPESAS[[#This Row],[Plano de Contas]],BASE!$B$3:$D$119,3,FALSE)</f>
        <v>Comissões sobre Vendas Externo</v>
      </c>
      <c r="I867" s="77" t="str">
        <f>IFERROR(VLOOKUP(DESPESAS[[#This Row],[Fornecedor]],Tabela2[],2,FALSE),"")</f>
        <v/>
      </c>
      <c r="J867" s="77" t="str">
        <f>IFERROR(VLOOKUP(DESPESAS[[#This Row],[Plano de Contas]],BASE!$B$3:$F$119,4,FALSE),"")</f>
        <v>6 - DESPESA COM VENDAS</v>
      </c>
      <c r="K867" s="77" t="str">
        <f>IFERROR(VLOOKUP(DESPESAS[[#This Row],[Plano de Contas]],BASE!$B$3:$H$119,5,FALSE),"")</f>
        <v>COMERCIAL</v>
      </c>
      <c r="L867" s="77">
        <f>IFERROR(VLOOKUP(DESPESAS[[#This Row],[Plano de Contas]],BASE!$B$3:$H$119,6,FALSE),"")</f>
        <v>0</v>
      </c>
      <c r="M867" s="77" t="str">
        <f>VLOOKUP(DESPESAS[[#This Row],[Plano de Contas]],BASE!$B$3:$H$119,7,FALSE)</f>
        <v>LETÍCIA</v>
      </c>
    </row>
    <row r="868" spans="1:13" x14ac:dyDescent="0.25">
      <c r="A868" s="74">
        <v>197402</v>
      </c>
      <c r="B868" s="75" t="s">
        <v>279</v>
      </c>
      <c r="C868" s="75" t="s">
        <v>2688</v>
      </c>
      <c r="D868" s="76">
        <v>46045</v>
      </c>
      <c r="E868" s="75" t="s">
        <v>788</v>
      </c>
      <c r="F868" s="74">
        <v>2519.3000000000002</v>
      </c>
      <c r="G868" s="75" t="s">
        <v>572</v>
      </c>
      <c r="H868" s="77" t="str">
        <f>VLOOKUP(DESPESAS[[#This Row],[Plano de Contas]],BASE!$B$3:$D$119,3,FALSE)</f>
        <v>Comissões sobre Vendas Externo</v>
      </c>
      <c r="I868" s="77" t="str">
        <f>IFERROR(VLOOKUP(DESPESAS[[#This Row],[Fornecedor]],Tabela2[],2,FALSE),"")</f>
        <v/>
      </c>
      <c r="J868" s="77" t="str">
        <f>IFERROR(VLOOKUP(DESPESAS[[#This Row],[Plano de Contas]],BASE!$B$3:$F$119,4,FALSE),"")</f>
        <v>6 - DESPESA COM VENDAS</v>
      </c>
      <c r="K868" s="77" t="str">
        <f>IFERROR(VLOOKUP(DESPESAS[[#This Row],[Plano de Contas]],BASE!$B$3:$H$119,5,FALSE),"")</f>
        <v>COMERCIAL</v>
      </c>
      <c r="L868" s="77">
        <f>IFERROR(VLOOKUP(DESPESAS[[#This Row],[Plano de Contas]],BASE!$B$3:$H$119,6,FALSE),"")</f>
        <v>0</v>
      </c>
      <c r="M868" s="77" t="str">
        <f>VLOOKUP(DESPESAS[[#This Row],[Plano de Contas]],BASE!$B$3:$H$119,7,FALSE)</f>
        <v>LETÍCIA</v>
      </c>
    </row>
    <row r="869" spans="1:13" x14ac:dyDescent="0.25">
      <c r="A869" s="74">
        <v>197403</v>
      </c>
      <c r="B869" s="75" t="s">
        <v>279</v>
      </c>
      <c r="C869" s="75" t="s">
        <v>2688</v>
      </c>
      <c r="D869" s="76">
        <v>46045</v>
      </c>
      <c r="E869" s="75" t="s">
        <v>787</v>
      </c>
      <c r="F869" s="74">
        <v>757.71</v>
      </c>
      <c r="G869" s="75" t="s">
        <v>572</v>
      </c>
      <c r="H869" s="77" t="str">
        <f>VLOOKUP(DESPESAS[[#This Row],[Plano de Contas]],BASE!$B$3:$D$119,3,FALSE)</f>
        <v>Comissões sobre Vendas Externo</v>
      </c>
      <c r="I869" s="77" t="str">
        <f>IFERROR(VLOOKUP(DESPESAS[[#This Row],[Fornecedor]],Tabela2[],2,FALSE),"")</f>
        <v/>
      </c>
      <c r="J869" s="77" t="str">
        <f>IFERROR(VLOOKUP(DESPESAS[[#This Row],[Plano de Contas]],BASE!$B$3:$F$119,4,FALSE),"")</f>
        <v>6 - DESPESA COM VENDAS</v>
      </c>
      <c r="K869" s="77" t="str">
        <f>IFERROR(VLOOKUP(DESPESAS[[#This Row],[Plano de Contas]],BASE!$B$3:$H$119,5,FALSE),"")</f>
        <v>COMERCIAL</v>
      </c>
      <c r="L869" s="77">
        <f>IFERROR(VLOOKUP(DESPESAS[[#This Row],[Plano de Contas]],BASE!$B$3:$H$119,6,FALSE),"")</f>
        <v>0</v>
      </c>
      <c r="M869" s="77" t="str">
        <f>VLOOKUP(DESPESAS[[#This Row],[Plano de Contas]],BASE!$B$3:$H$119,7,FALSE)</f>
        <v>LETÍCIA</v>
      </c>
    </row>
    <row r="870" spans="1:13" x14ac:dyDescent="0.25">
      <c r="A870" s="74">
        <v>197404</v>
      </c>
      <c r="B870" s="75" t="s">
        <v>279</v>
      </c>
      <c r="C870" s="75" t="s">
        <v>2688</v>
      </c>
      <c r="D870" s="76">
        <v>46045</v>
      </c>
      <c r="E870" s="75" t="s">
        <v>786</v>
      </c>
      <c r="F870" s="74">
        <v>89.28</v>
      </c>
      <c r="G870" s="75" t="s">
        <v>572</v>
      </c>
      <c r="H870" s="77" t="str">
        <f>VLOOKUP(DESPESAS[[#This Row],[Plano de Contas]],BASE!$B$3:$D$119,3,FALSE)</f>
        <v>Comissões sobre Vendas Externo</v>
      </c>
      <c r="I870" s="77" t="str">
        <f>IFERROR(VLOOKUP(DESPESAS[[#This Row],[Fornecedor]],Tabela2[],2,FALSE),"")</f>
        <v/>
      </c>
      <c r="J870" s="77" t="str">
        <f>IFERROR(VLOOKUP(DESPESAS[[#This Row],[Plano de Contas]],BASE!$B$3:$F$119,4,FALSE),"")</f>
        <v>6 - DESPESA COM VENDAS</v>
      </c>
      <c r="K870" s="77" t="str">
        <f>IFERROR(VLOOKUP(DESPESAS[[#This Row],[Plano de Contas]],BASE!$B$3:$H$119,5,FALSE),"")</f>
        <v>COMERCIAL</v>
      </c>
      <c r="L870" s="77">
        <f>IFERROR(VLOOKUP(DESPESAS[[#This Row],[Plano de Contas]],BASE!$B$3:$H$119,6,FALSE),"")</f>
        <v>0</v>
      </c>
      <c r="M870" s="77" t="str">
        <f>VLOOKUP(DESPESAS[[#This Row],[Plano de Contas]],BASE!$B$3:$H$119,7,FALSE)</f>
        <v>LETÍCIA</v>
      </c>
    </row>
    <row r="871" spans="1:13" x14ac:dyDescent="0.25">
      <c r="A871" s="74">
        <v>197405</v>
      </c>
      <c r="B871" s="75" t="s">
        <v>279</v>
      </c>
      <c r="C871" s="75" t="s">
        <v>2688</v>
      </c>
      <c r="D871" s="76">
        <v>46045</v>
      </c>
      <c r="E871" s="75" t="s">
        <v>785</v>
      </c>
      <c r="F871" s="74">
        <v>121.68</v>
      </c>
      <c r="G871" s="75" t="s">
        <v>572</v>
      </c>
      <c r="H871" s="77" t="str">
        <f>VLOOKUP(DESPESAS[[#This Row],[Plano de Contas]],BASE!$B$3:$D$119,3,FALSE)</f>
        <v>Comissões sobre Vendas Externo</v>
      </c>
      <c r="I871" s="77" t="str">
        <f>IFERROR(VLOOKUP(DESPESAS[[#This Row],[Fornecedor]],Tabela2[],2,FALSE),"")</f>
        <v/>
      </c>
      <c r="J871" s="77" t="str">
        <f>IFERROR(VLOOKUP(DESPESAS[[#This Row],[Plano de Contas]],BASE!$B$3:$F$119,4,FALSE),"")</f>
        <v>6 - DESPESA COM VENDAS</v>
      </c>
      <c r="K871" s="77" t="str">
        <f>IFERROR(VLOOKUP(DESPESAS[[#This Row],[Plano de Contas]],BASE!$B$3:$H$119,5,FALSE),"")</f>
        <v>COMERCIAL</v>
      </c>
      <c r="L871" s="77">
        <f>IFERROR(VLOOKUP(DESPESAS[[#This Row],[Plano de Contas]],BASE!$B$3:$H$119,6,FALSE),"")</f>
        <v>0</v>
      </c>
      <c r="M871" s="77" t="str">
        <f>VLOOKUP(DESPESAS[[#This Row],[Plano de Contas]],BASE!$B$3:$H$119,7,FALSE)</f>
        <v>LETÍCIA</v>
      </c>
    </row>
    <row r="872" spans="1:13" x14ac:dyDescent="0.25">
      <c r="A872" s="74">
        <v>197406</v>
      </c>
      <c r="B872" s="75" t="s">
        <v>279</v>
      </c>
      <c r="C872" s="75" t="s">
        <v>2688</v>
      </c>
      <c r="D872" s="76">
        <v>46045</v>
      </c>
      <c r="E872" s="75" t="s">
        <v>784</v>
      </c>
      <c r="F872" s="74">
        <v>2434.9899999999998</v>
      </c>
      <c r="G872" s="75" t="s">
        <v>572</v>
      </c>
      <c r="H872" s="77" t="str">
        <f>VLOOKUP(DESPESAS[[#This Row],[Plano de Contas]],BASE!$B$3:$D$119,3,FALSE)</f>
        <v>Comissões sobre Vendas Externo</v>
      </c>
      <c r="I872" s="77" t="str">
        <f>IFERROR(VLOOKUP(DESPESAS[[#This Row],[Fornecedor]],Tabela2[],2,FALSE),"")</f>
        <v/>
      </c>
      <c r="J872" s="77" t="str">
        <f>IFERROR(VLOOKUP(DESPESAS[[#This Row],[Plano de Contas]],BASE!$B$3:$F$119,4,FALSE),"")</f>
        <v>6 - DESPESA COM VENDAS</v>
      </c>
      <c r="K872" s="77" t="str">
        <f>IFERROR(VLOOKUP(DESPESAS[[#This Row],[Plano de Contas]],BASE!$B$3:$H$119,5,FALSE),"")</f>
        <v>COMERCIAL</v>
      </c>
      <c r="L872" s="77">
        <f>IFERROR(VLOOKUP(DESPESAS[[#This Row],[Plano de Contas]],BASE!$B$3:$H$119,6,FALSE),"")</f>
        <v>0</v>
      </c>
      <c r="M872" s="77" t="str">
        <f>VLOOKUP(DESPESAS[[#This Row],[Plano de Contas]],BASE!$B$3:$H$119,7,FALSE)</f>
        <v>LETÍCIA</v>
      </c>
    </row>
    <row r="873" spans="1:13" x14ac:dyDescent="0.25">
      <c r="A873" s="74">
        <v>197407</v>
      </c>
      <c r="B873" s="75" t="s">
        <v>279</v>
      </c>
      <c r="C873" s="75" t="s">
        <v>2688</v>
      </c>
      <c r="D873" s="76">
        <v>46045</v>
      </c>
      <c r="E873" s="75" t="s">
        <v>791</v>
      </c>
      <c r="F873" s="74">
        <v>904.18</v>
      </c>
      <c r="G873" s="75" t="s">
        <v>572</v>
      </c>
      <c r="H873" s="77" t="str">
        <f>VLOOKUP(DESPESAS[[#This Row],[Plano de Contas]],BASE!$B$3:$D$119,3,FALSE)</f>
        <v>Comissões sobre Vendas Externo</v>
      </c>
      <c r="I873" s="77" t="str">
        <f>IFERROR(VLOOKUP(DESPESAS[[#This Row],[Fornecedor]],Tabela2[],2,FALSE),"")</f>
        <v/>
      </c>
      <c r="J873" s="77" t="str">
        <f>IFERROR(VLOOKUP(DESPESAS[[#This Row],[Plano de Contas]],BASE!$B$3:$F$119,4,FALSE),"")</f>
        <v>6 - DESPESA COM VENDAS</v>
      </c>
      <c r="K873" s="77" t="str">
        <f>IFERROR(VLOOKUP(DESPESAS[[#This Row],[Plano de Contas]],BASE!$B$3:$H$119,5,FALSE),"")</f>
        <v>COMERCIAL</v>
      </c>
      <c r="L873" s="77">
        <f>IFERROR(VLOOKUP(DESPESAS[[#This Row],[Plano de Contas]],BASE!$B$3:$H$119,6,FALSE),"")</f>
        <v>0</v>
      </c>
      <c r="M873" s="77" t="str">
        <f>VLOOKUP(DESPESAS[[#This Row],[Plano de Contas]],BASE!$B$3:$H$119,7,FALSE)</f>
        <v>LETÍCIA</v>
      </c>
    </row>
    <row r="874" spans="1:13" x14ac:dyDescent="0.25">
      <c r="A874" s="74">
        <v>197408</v>
      </c>
      <c r="B874" s="75" t="s">
        <v>232</v>
      </c>
      <c r="C874" s="75" t="s">
        <v>2687</v>
      </c>
      <c r="D874" s="76">
        <v>46045</v>
      </c>
      <c r="E874" s="75" t="s">
        <v>2686</v>
      </c>
      <c r="F874" s="74">
        <v>1394.3</v>
      </c>
      <c r="G874" s="75" t="s">
        <v>255</v>
      </c>
      <c r="H874" s="77" t="str">
        <f>VLOOKUP(DESPESAS[[#This Row],[Plano de Contas]],BASE!$B$3:$D$119,3,FALSE)</f>
        <v>Mostruário de Tecido</v>
      </c>
      <c r="I874" s="77" t="str">
        <f>IFERROR(VLOOKUP(DESPESAS[[#This Row],[Fornecedor]],Tabela2[],2,FALSE),"")</f>
        <v/>
      </c>
      <c r="J874" s="77" t="str">
        <f>IFERROR(VLOOKUP(DESPESAS[[#This Row],[Plano de Contas]],BASE!$B$3:$F$119,4,FALSE),"")</f>
        <v>6 - DESPESA COM VENDAS</v>
      </c>
      <c r="K874" s="77" t="str">
        <f>IFERROR(VLOOKUP(DESPESAS[[#This Row],[Plano de Contas]],BASE!$B$3:$H$119,5,FALSE),"")</f>
        <v>COMERCIAL</v>
      </c>
      <c r="L874" s="77">
        <f>IFERROR(VLOOKUP(DESPESAS[[#This Row],[Plano de Contas]],BASE!$B$3:$H$119,6,FALSE),"")</f>
        <v>0</v>
      </c>
      <c r="M874" s="77" t="str">
        <f>VLOOKUP(DESPESAS[[#This Row],[Plano de Contas]],BASE!$B$3:$H$119,7,FALSE)</f>
        <v>LETÍCIA</v>
      </c>
    </row>
    <row r="875" spans="1:13" x14ac:dyDescent="0.25">
      <c r="A875" s="74">
        <v>197409</v>
      </c>
      <c r="B875" s="75" t="s">
        <v>221</v>
      </c>
      <c r="C875" s="75" t="s">
        <v>2685</v>
      </c>
      <c r="D875" s="76">
        <v>46045</v>
      </c>
      <c r="E875" s="75" t="s">
        <v>307</v>
      </c>
      <c r="F875" s="74">
        <v>70</v>
      </c>
      <c r="G875" s="75" t="s">
        <v>244</v>
      </c>
      <c r="H875" s="77" t="str">
        <f>VLOOKUP(DESPESAS[[#This Row],[Plano de Contas]],BASE!$B$3:$D$119,3,FALSE)</f>
        <v>Material de Expediente (Prod)</v>
      </c>
      <c r="I875" s="77" t="str">
        <f>IFERROR(VLOOKUP(DESPESAS[[#This Row],[Fornecedor]],Tabela2[],2,FALSE),"")</f>
        <v>FERRAGENS GERAIS</v>
      </c>
      <c r="J875" s="77" t="str">
        <f>IFERROR(VLOOKUP(DESPESAS[[#This Row],[Plano de Contas]],BASE!$B$3:$F$119,4,FALSE),"")</f>
        <v>2 - CUSTOS DIRETOS</v>
      </c>
      <c r="K875" s="77" t="str">
        <f>IFERROR(VLOOKUP(DESPESAS[[#This Row],[Plano de Contas]],BASE!$B$3:$H$119,5,FALSE),"")</f>
        <v>PRODUÇÃO</v>
      </c>
      <c r="L875" s="77">
        <f>IFERROR(VLOOKUP(DESPESAS[[#This Row],[Plano de Contas]],BASE!$B$3:$H$119,6,FALSE),"")</f>
        <v>0</v>
      </c>
      <c r="M875" s="77" t="str">
        <f>VLOOKUP(DESPESAS[[#This Row],[Plano de Contas]],BASE!$B$3:$H$119,7,FALSE)</f>
        <v>RAFAEL</v>
      </c>
    </row>
    <row r="876" spans="1:13" x14ac:dyDescent="0.25">
      <c r="A876" s="74">
        <v>197410</v>
      </c>
      <c r="B876" s="75" t="s">
        <v>221</v>
      </c>
      <c r="C876" s="75" t="s">
        <v>2684</v>
      </c>
      <c r="D876" s="76">
        <v>46045</v>
      </c>
      <c r="E876" s="75" t="s">
        <v>2683</v>
      </c>
      <c r="F876" s="74">
        <v>110</v>
      </c>
      <c r="G876" s="75" t="s">
        <v>2682</v>
      </c>
      <c r="H876" s="77" t="str">
        <f>VLOOKUP(DESPESAS[[#This Row],[Plano de Contas]],BASE!$B$3:$D$119,3,FALSE)</f>
        <v>Horas Extras CIF</v>
      </c>
      <c r="I876" s="77" t="str">
        <f>IFERROR(VLOOKUP(DESPESAS[[#This Row],[Fornecedor]],Tabela2[],2,FALSE),"")</f>
        <v/>
      </c>
      <c r="J876" s="77" t="str">
        <f>IFERROR(VLOOKUP(DESPESAS[[#This Row],[Plano de Contas]],BASE!$B$3:$F$119,4,FALSE),"")</f>
        <v>3 - CUSTOS INDIRETOS</v>
      </c>
      <c r="K876" s="77" t="str">
        <f>IFERROR(VLOOKUP(DESPESAS[[#This Row],[Plano de Contas]],BASE!$B$3:$H$119,5,FALSE),"")</f>
        <v>DH</v>
      </c>
      <c r="L876" s="77" t="str">
        <f>IFERROR(VLOOKUP(DESPESAS[[#This Row],[Plano de Contas]],BASE!$B$3:$H$119,6,FALSE),"")</f>
        <v>CUSTO MÃO DE OBRA DIRETA</v>
      </c>
      <c r="M876" s="77" t="str">
        <f>VLOOKUP(DESPESAS[[#This Row],[Plano de Contas]],BASE!$B$3:$H$119,7,FALSE)</f>
        <v>RAFAEL</v>
      </c>
    </row>
    <row r="877" spans="1:13" x14ac:dyDescent="0.25">
      <c r="A877" s="74">
        <v>197411</v>
      </c>
      <c r="B877" s="75" t="s">
        <v>221</v>
      </c>
      <c r="C877" s="75" t="s">
        <v>2681</v>
      </c>
      <c r="D877" s="76">
        <v>46045</v>
      </c>
      <c r="E877" s="75" t="s">
        <v>1145</v>
      </c>
      <c r="F877" s="74">
        <v>484.15</v>
      </c>
      <c r="G877" s="75" t="s">
        <v>572</v>
      </c>
      <c r="H877" s="77" t="str">
        <f>VLOOKUP(DESPESAS[[#This Row],[Plano de Contas]],BASE!$B$3:$D$119,3,FALSE)</f>
        <v>Comissões sobre Vendas Externo</v>
      </c>
      <c r="I877" s="77" t="str">
        <f>IFERROR(VLOOKUP(DESPESAS[[#This Row],[Fornecedor]],Tabela2[],2,FALSE),"")</f>
        <v/>
      </c>
      <c r="J877" s="77" t="str">
        <f>IFERROR(VLOOKUP(DESPESAS[[#This Row],[Plano de Contas]],BASE!$B$3:$F$119,4,FALSE),"")</f>
        <v>6 - DESPESA COM VENDAS</v>
      </c>
      <c r="K877" s="77" t="str">
        <f>IFERROR(VLOOKUP(DESPESAS[[#This Row],[Plano de Contas]],BASE!$B$3:$H$119,5,FALSE),"")</f>
        <v>COMERCIAL</v>
      </c>
      <c r="L877" s="77">
        <f>IFERROR(VLOOKUP(DESPESAS[[#This Row],[Plano de Contas]],BASE!$B$3:$H$119,6,FALSE),"")</f>
        <v>0</v>
      </c>
      <c r="M877" s="77" t="str">
        <f>VLOOKUP(DESPESAS[[#This Row],[Plano de Contas]],BASE!$B$3:$H$119,7,FALSE)</f>
        <v>LETÍCIA</v>
      </c>
    </row>
    <row r="878" spans="1:13" x14ac:dyDescent="0.25">
      <c r="A878" s="74">
        <v>197412</v>
      </c>
      <c r="B878" s="75" t="s">
        <v>232</v>
      </c>
      <c r="C878" s="75" t="s">
        <v>2680</v>
      </c>
      <c r="D878" s="76">
        <v>46045</v>
      </c>
      <c r="E878" s="75" t="s">
        <v>391</v>
      </c>
      <c r="F878" s="74">
        <v>575</v>
      </c>
      <c r="G878" s="75" t="s">
        <v>1318</v>
      </c>
      <c r="H878" s="77" t="str">
        <f>VLOOKUP(DESPESAS[[#This Row],[Plano de Contas]],BASE!$B$3:$D$119,3,FALSE)</f>
        <v>Feiras e Eventos</v>
      </c>
      <c r="I878" s="77" t="str">
        <f>IFERROR(VLOOKUP(DESPESAS[[#This Row],[Fornecedor]],Tabela2[],2,FALSE),"")</f>
        <v/>
      </c>
      <c r="J878" s="77" t="str">
        <f>IFERROR(VLOOKUP(DESPESAS[[#This Row],[Plano de Contas]],BASE!$B$3:$F$119,4,FALSE),"")</f>
        <v>6 - DESPESA COM VENDAS</v>
      </c>
      <c r="K878" s="77" t="str">
        <f>IFERROR(VLOOKUP(DESPESAS[[#This Row],[Plano de Contas]],BASE!$B$3:$H$119,5,FALSE),"")</f>
        <v>COMERCIAL</v>
      </c>
      <c r="L878" s="77">
        <f>IFERROR(VLOOKUP(DESPESAS[[#This Row],[Plano de Contas]],BASE!$B$3:$H$119,6,FALSE),"")</f>
        <v>0</v>
      </c>
      <c r="M878" s="77" t="str">
        <f>VLOOKUP(DESPESAS[[#This Row],[Plano de Contas]],BASE!$B$3:$H$119,7,FALSE)</f>
        <v>THAIS</v>
      </c>
    </row>
    <row r="879" spans="1:13" x14ac:dyDescent="0.25">
      <c r="A879" s="74">
        <v>197413</v>
      </c>
      <c r="B879" s="75" t="s">
        <v>232</v>
      </c>
      <c r="C879" s="75" t="s">
        <v>2679</v>
      </c>
      <c r="D879" s="76">
        <v>46045</v>
      </c>
      <c r="E879" s="75" t="s">
        <v>391</v>
      </c>
      <c r="F879" s="74">
        <v>91.26</v>
      </c>
      <c r="G879" s="75" t="s">
        <v>1318</v>
      </c>
      <c r="H879" s="77" t="str">
        <f>VLOOKUP(DESPESAS[[#This Row],[Plano de Contas]],BASE!$B$3:$D$119,3,FALSE)</f>
        <v>Feiras e Eventos</v>
      </c>
      <c r="I879" s="77" t="str">
        <f>IFERROR(VLOOKUP(DESPESAS[[#This Row],[Fornecedor]],Tabela2[],2,FALSE),"")</f>
        <v/>
      </c>
      <c r="J879" s="77" t="str">
        <f>IFERROR(VLOOKUP(DESPESAS[[#This Row],[Plano de Contas]],BASE!$B$3:$F$119,4,FALSE),"")</f>
        <v>6 - DESPESA COM VENDAS</v>
      </c>
      <c r="K879" s="77" t="str">
        <f>IFERROR(VLOOKUP(DESPESAS[[#This Row],[Plano de Contas]],BASE!$B$3:$H$119,5,FALSE),"")</f>
        <v>COMERCIAL</v>
      </c>
      <c r="L879" s="77">
        <f>IFERROR(VLOOKUP(DESPESAS[[#This Row],[Plano de Contas]],BASE!$B$3:$H$119,6,FALSE),"")</f>
        <v>0</v>
      </c>
      <c r="M879" s="77" t="str">
        <f>VLOOKUP(DESPESAS[[#This Row],[Plano de Contas]],BASE!$B$3:$H$119,7,FALSE)</f>
        <v>THAIS</v>
      </c>
    </row>
    <row r="880" spans="1:13" x14ac:dyDescent="0.25">
      <c r="A880" s="74">
        <v>197414</v>
      </c>
      <c r="B880" s="75" t="s">
        <v>232</v>
      </c>
      <c r="C880" s="75" t="s">
        <v>2678</v>
      </c>
      <c r="D880" s="76">
        <v>46045</v>
      </c>
      <c r="E880" s="75" t="s">
        <v>1269</v>
      </c>
      <c r="F880" s="74">
        <v>701.4</v>
      </c>
      <c r="G880" s="75" t="s">
        <v>241</v>
      </c>
      <c r="H880" s="77" t="str">
        <f>VLOOKUP(DESPESAS[[#This Row],[Plano de Contas]],BASE!$B$3:$D$119,3,FALSE)</f>
        <v>Combustiveis Frota</v>
      </c>
      <c r="I880" s="77" t="str">
        <f>IFERROR(VLOOKUP(DESPESAS[[#This Row],[Fornecedor]],Tabela2[],2,FALSE),"")</f>
        <v/>
      </c>
      <c r="J880" s="77" t="str">
        <f>IFERROR(VLOOKUP(DESPESAS[[#This Row],[Plano de Contas]],BASE!$B$3:$F$119,4,FALSE),"")</f>
        <v>6 - DESPESA COM VENDAS</v>
      </c>
      <c r="K880" s="77" t="str">
        <f>IFERROR(VLOOKUP(DESPESAS[[#This Row],[Plano de Contas]],BASE!$B$3:$H$119,5,FALSE),"")</f>
        <v>LOGÍSTICA</v>
      </c>
      <c r="L880" s="77">
        <f>IFERROR(VLOOKUP(DESPESAS[[#This Row],[Plano de Contas]],BASE!$B$3:$H$119,6,FALSE),"")</f>
        <v>0</v>
      </c>
      <c r="M880" s="77" t="str">
        <f>VLOOKUP(DESPESAS[[#This Row],[Plano de Contas]],BASE!$B$3:$H$119,7,FALSE)</f>
        <v>MYLENA</v>
      </c>
    </row>
    <row r="881" spans="1:13" x14ac:dyDescent="0.25">
      <c r="A881" s="74">
        <v>197415</v>
      </c>
      <c r="B881" s="75" t="s">
        <v>232</v>
      </c>
      <c r="C881" s="75" t="s">
        <v>2677</v>
      </c>
      <c r="D881" s="76">
        <v>46045</v>
      </c>
      <c r="E881" s="75" t="s">
        <v>1269</v>
      </c>
      <c r="F881" s="74">
        <v>89.24</v>
      </c>
      <c r="G881" s="75" t="s">
        <v>241</v>
      </c>
      <c r="H881" s="77" t="str">
        <f>VLOOKUP(DESPESAS[[#This Row],[Plano de Contas]],BASE!$B$3:$D$119,3,FALSE)</f>
        <v>Combustiveis Frota</v>
      </c>
      <c r="I881" s="77" t="str">
        <f>IFERROR(VLOOKUP(DESPESAS[[#This Row],[Fornecedor]],Tabela2[],2,FALSE),"")</f>
        <v/>
      </c>
      <c r="J881" s="77" t="str">
        <f>IFERROR(VLOOKUP(DESPESAS[[#This Row],[Plano de Contas]],BASE!$B$3:$F$119,4,FALSE),"")</f>
        <v>6 - DESPESA COM VENDAS</v>
      </c>
      <c r="K881" s="77" t="str">
        <f>IFERROR(VLOOKUP(DESPESAS[[#This Row],[Plano de Contas]],BASE!$B$3:$H$119,5,FALSE),"")</f>
        <v>LOGÍSTICA</v>
      </c>
      <c r="L881" s="77">
        <f>IFERROR(VLOOKUP(DESPESAS[[#This Row],[Plano de Contas]],BASE!$B$3:$H$119,6,FALSE),"")</f>
        <v>0</v>
      </c>
      <c r="M881" s="77" t="str">
        <f>VLOOKUP(DESPESAS[[#This Row],[Plano de Contas]],BASE!$B$3:$H$119,7,FALSE)</f>
        <v>MYLENA</v>
      </c>
    </row>
    <row r="882" spans="1:13" x14ac:dyDescent="0.25">
      <c r="A882" s="74">
        <v>197416</v>
      </c>
      <c r="B882" s="75" t="s">
        <v>232</v>
      </c>
      <c r="C882" s="75" t="s">
        <v>2676</v>
      </c>
      <c r="D882" s="76">
        <v>46045</v>
      </c>
      <c r="E882" s="75" t="s">
        <v>1063</v>
      </c>
      <c r="F882" s="74">
        <v>68.53</v>
      </c>
      <c r="G882" s="75" t="s">
        <v>241</v>
      </c>
      <c r="H882" s="77" t="str">
        <f>VLOOKUP(DESPESAS[[#This Row],[Plano de Contas]],BASE!$B$3:$D$119,3,FALSE)</f>
        <v>Combustiveis Frota</v>
      </c>
      <c r="I882" s="77" t="str">
        <f>IFERROR(VLOOKUP(DESPESAS[[#This Row],[Fornecedor]],Tabela2[],2,FALSE),"")</f>
        <v/>
      </c>
      <c r="J882" s="77" t="str">
        <f>IFERROR(VLOOKUP(DESPESAS[[#This Row],[Plano de Contas]],BASE!$B$3:$F$119,4,FALSE),"")</f>
        <v>6 - DESPESA COM VENDAS</v>
      </c>
      <c r="K882" s="77" t="str">
        <f>IFERROR(VLOOKUP(DESPESAS[[#This Row],[Plano de Contas]],BASE!$B$3:$H$119,5,FALSE),"")</f>
        <v>LOGÍSTICA</v>
      </c>
      <c r="L882" s="77">
        <f>IFERROR(VLOOKUP(DESPESAS[[#This Row],[Plano de Contas]],BASE!$B$3:$H$119,6,FALSE),"")</f>
        <v>0</v>
      </c>
      <c r="M882" s="77" t="str">
        <f>VLOOKUP(DESPESAS[[#This Row],[Plano de Contas]],BASE!$B$3:$H$119,7,FALSE)</f>
        <v>MYLENA</v>
      </c>
    </row>
    <row r="883" spans="1:13" x14ac:dyDescent="0.25">
      <c r="A883" s="74">
        <v>197417</v>
      </c>
      <c r="B883" s="75" t="s">
        <v>221</v>
      </c>
      <c r="C883" s="75" t="s">
        <v>2675</v>
      </c>
      <c r="D883" s="76">
        <v>46045</v>
      </c>
      <c r="E883" s="75" t="s">
        <v>347</v>
      </c>
      <c r="F883" s="74">
        <v>1100</v>
      </c>
      <c r="G883" s="75" t="s">
        <v>1318</v>
      </c>
      <c r="H883" s="77" t="str">
        <f>VLOOKUP(DESPESAS[[#This Row],[Plano de Contas]],BASE!$B$3:$D$119,3,FALSE)</f>
        <v>Feiras e Eventos</v>
      </c>
      <c r="I883" s="77" t="str">
        <f>IFERROR(VLOOKUP(DESPESAS[[#This Row],[Fornecedor]],Tabela2[],2,FALSE),"")</f>
        <v/>
      </c>
      <c r="J883" s="77" t="str">
        <f>IFERROR(VLOOKUP(DESPESAS[[#This Row],[Plano de Contas]],BASE!$B$3:$F$119,4,FALSE),"")</f>
        <v>6 - DESPESA COM VENDAS</v>
      </c>
      <c r="K883" s="77" t="str">
        <f>IFERROR(VLOOKUP(DESPESAS[[#This Row],[Plano de Contas]],BASE!$B$3:$H$119,5,FALSE),"")</f>
        <v>COMERCIAL</v>
      </c>
      <c r="L883" s="77">
        <f>IFERROR(VLOOKUP(DESPESAS[[#This Row],[Plano de Contas]],BASE!$B$3:$H$119,6,FALSE),"")</f>
        <v>0</v>
      </c>
      <c r="M883" s="77" t="str">
        <f>VLOOKUP(DESPESAS[[#This Row],[Plano de Contas]],BASE!$B$3:$H$119,7,FALSE)</f>
        <v>THAIS</v>
      </c>
    </row>
    <row r="884" spans="1:13" x14ac:dyDescent="0.25">
      <c r="A884" s="74">
        <v>197419</v>
      </c>
      <c r="B884" s="75" t="s">
        <v>232</v>
      </c>
      <c r="C884" s="75" t="s">
        <v>2674</v>
      </c>
      <c r="D884" s="76">
        <v>46048</v>
      </c>
      <c r="E884" s="75" t="s">
        <v>230</v>
      </c>
      <c r="F884" s="74">
        <v>130.5</v>
      </c>
      <c r="G884" s="75" t="s">
        <v>251</v>
      </c>
      <c r="H884" s="77" t="str">
        <f>VLOOKUP(DESPESAS[[#This Row],[Plano de Contas]],BASE!$B$3:$D$119,3,FALSE)</f>
        <v>Juros Pagos - Antecipação de Crédito</v>
      </c>
      <c r="I884" s="77" t="str">
        <f>IFERROR(VLOOKUP(DESPESAS[[#This Row],[Fornecedor]],Tabela2[],2,FALSE),"")</f>
        <v/>
      </c>
      <c r="J884" s="77" t="str">
        <f>IFERROR(VLOOKUP(DESPESAS[[#This Row],[Plano de Contas]],BASE!$B$3:$F$119,4,FALSE),"")</f>
        <v>8 - DESPESAS FINANCEIRAS</v>
      </c>
      <c r="K884" s="77" t="str">
        <f>IFERROR(VLOOKUP(DESPESAS[[#This Row],[Plano de Contas]],BASE!$B$3:$H$119,5,FALSE),"")</f>
        <v>FINANCEIRO</v>
      </c>
      <c r="L884" s="77">
        <f>IFERROR(VLOOKUP(DESPESAS[[#This Row],[Plano de Contas]],BASE!$B$3:$H$119,6,FALSE),"")</f>
        <v>0</v>
      </c>
      <c r="M884" s="77" t="str">
        <f>VLOOKUP(DESPESAS[[#This Row],[Plano de Contas]],BASE!$B$3:$H$119,7,FALSE)</f>
        <v>LETÍCIA</v>
      </c>
    </row>
    <row r="885" spans="1:13" x14ac:dyDescent="0.25">
      <c r="A885" s="74">
        <v>197420</v>
      </c>
      <c r="B885" s="75" t="s">
        <v>232</v>
      </c>
      <c r="C885" s="75" t="s">
        <v>2673</v>
      </c>
      <c r="D885" s="76">
        <v>46048</v>
      </c>
      <c r="E885" s="75" t="s">
        <v>230</v>
      </c>
      <c r="F885" s="74">
        <v>13.32</v>
      </c>
      <c r="G885" s="75" t="s">
        <v>229</v>
      </c>
      <c r="H885" s="77" t="str">
        <f>VLOOKUP(DESPESAS[[#This Row],[Plano de Contas]],BASE!$B$3:$D$119,3,FALSE)</f>
        <v>Despesas Bancarias</v>
      </c>
      <c r="I885" s="77" t="str">
        <f>IFERROR(VLOOKUP(DESPESAS[[#This Row],[Fornecedor]],Tabela2[],2,FALSE),"")</f>
        <v/>
      </c>
      <c r="J885" s="77" t="str">
        <f>IFERROR(VLOOKUP(DESPESAS[[#This Row],[Plano de Contas]],BASE!$B$3:$F$119,4,FALSE),"")</f>
        <v>8 - DESPESAS FINANCEIRAS</v>
      </c>
      <c r="K885" s="77" t="str">
        <f>IFERROR(VLOOKUP(DESPESAS[[#This Row],[Plano de Contas]],BASE!$B$3:$H$119,5,FALSE),"")</f>
        <v>FINANCEIRO</v>
      </c>
      <c r="L885" s="77">
        <f>IFERROR(VLOOKUP(DESPESAS[[#This Row],[Plano de Contas]],BASE!$B$3:$H$119,6,FALSE),"")</f>
        <v>0</v>
      </c>
      <c r="M885" s="77" t="str">
        <f>VLOOKUP(DESPESAS[[#This Row],[Plano de Contas]],BASE!$B$3:$H$119,7,FALSE)</f>
        <v>LETÍCIA</v>
      </c>
    </row>
    <row r="886" spans="1:13" x14ac:dyDescent="0.25">
      <c r="A886" s="74">
        <v>197421</v>
      </c>
      <c r="B886" s="75" t="s">
        <v>232</v>
      </c>
      <c r="C886" s="75" t="s">
        <v>2672</v>
      </c>
      <c r="D886" s="76">
        <v>46045</v>
      </c>
      <c r="E886" s="75" t="s">
        <v>230</v>
      </c>
      <c r="F886" s="74">
        <v>9.48</v>
      </c>
      <c r="G886" s="75" t="s">
        <v>229</v>
      </c>
      <c r="H886" s="77" t="str">
        <f>VLOOKUP(DESPESAS[[#This Row],[Plano de Contas]],BASE!$B$3:$D$119,3,FALSE)</f>
        <v>Despesas Bancarias</v>
      </c>
      <c r="I886" s="77" t="str">
        <f>IFERROR(VLOOKUP(DESPESAS[[#This Row],[Fornecedor]],Tabela2[],2,FALSE),"")</f>
        <v/>
      </c>
      <c r="J886" s="77" t="str">
        <f>IFERROR(VLOOKUP(DESPESAS[[#This Row],[Plano de Contas]],BASE!$B$3:$F$119,4,FALSE),"")</f>
        <v>8 - DESPESAS FINANCEIRAS</v>
      </c>
      <c r="K886" s="77" t="str">
        <f>IFERROR(VLOOKUP(DESPESAS[[#This Row],[Plano de Contas]],BASE!$B$3:$H$119,5,FALSE),"")</f>
        <v>FINANCEIRO</v>
      </c>
      <c r="L886" s="77">
        <f>IFERROR(VLOOKUP(DESPESAS[[#This Row],[Plano de Contas]],BASE!$B$3:$H$119,6,FALSE),"")</f>
        <v>0</v>
      </c>
      <c r="M886" s="77" t="str">
        <f>VLOOKUP(DESPESAS[[#This Row],[Plano de Contas]],BASE!$B$3:$H$119,7,FALSE)</f>
        <v>LETÍCIA</v>
      </c>
    </row>
    <row r="887" spans="1:13" x14ac:dyDescent="0.25">
      <c r="A887" s="74">
        <v>197422</v>
      </c>
      <c r="B887" s="75" t="s">
        <v>279</v>
      </c>
      <c r="C887" s="75" t="s">
        <v>2671</v>
      </c>
      <c r="D887" s="76">
        <v>46045</v>
      </c>
      <c r="E887" s="75" t="s">
        <v>230</v>
      </c>
      <c r="F887" s="74">
        <v>0.79</v>
      </c>
      <c r="G887" s="75" t="s">
        <v>229</v>
      </c>
      <c r="H887" s="77" t="str">
        <f>VLOOKUP(DESPESAS[[#This Row],[Plano de Contas]],BASE!$B$3:$D$119,3,FALSE)</f>
        <v>Despesas Bancarias</v>
      </c>
      <c r="I887" s="77" t="str">
        <f>IFERROR(VLOOKUP(DESPESAS[[#This Row],[Fornecedor]],Tabela2[],2,FALSE),"")</f>
        <v/>
      </c>
      <c r="J887" s="77" t="str">
        <f>IFERROR(VLOOKUP(DESPESAS[[#This Row],[Plano de Contas]],BASE!$B$3:$F$119,4,FALSE),"")</f>
        <v>8 - DESPESAS FINANCEIRAS</v>
      </c>
      <c r="K887" s="77" t="str">
        <f>IFERROR(VLOOKUP(DESPESAS[[#This Row],[Plano de Contas]],BASE!$B$3:$H$119,5,FALSE),"")</f>
        <v>FINANCEIRO</v>
      </c>
      <c r="L887" s="77">
        <f>IFERROR(VLOOKUP(DESPESAS[[#This Row],[Plano de Contas]],BASE!$B$3:$H$119,6,FALSE),"")</f>
        <v>0</v>
      </c>
      <c r="M887" s="77" t="str">
        <f>VLOOKUP(DESPESAS[[#This Row],[Plano de Contas]],BASE!$B$3:$H$119,7,FALSE)</f>
        <v>LETÍCIA</v>
      </c>
    </row>
    <row r="888" spans="1:13" x14ac:dyDescent="0.25">
      <c r="A888" s="74">
        <v>197423</v>
      </c>
      <c r="B888" s="75" t="s">
        <v>221</v>
      </c>
      <c r="C888" s="75" t="s">
        <v>2670</v>
      </c>
      <c r="D888" s="76">
        <v>46045</v>
      </c>
      <c r="E888" s="75" t="s">
        <v>1394</v>
      </c>
      <c r="F888" s="74">
        <v>0.95</v>
      </c>
      <c r="G888" s="75" t="s">
        <v>229</v>
      </c>
      <c r="H888" s="77" t="str">
        <f>VLOOKUP(DESPESAS[[#This Row],[Plano de Contas]],BASE!$B$3:$D$119,3,FALSE)</f>
        <v>Despesas Bancarias</v>
      </c>
      <c r="I888" s="77" t="str">
        <f>IFERROR(VLOOKUP(DESPESAS[[#This Row],[Fornecedor]],Tabela2[],2,FALSE),"")</f>
        <v/>
      </c>
      <c r="J888" s="77" t="str">
        <f>IFERROR(VLOOKUP(DESPESAS[[#This Row],[Plano de Contas]],BASE!$B$3:$F$119,4,FALSE),"")</f>
        <v>8 - DESPESAS FINANCEIRAS</v>
      </c>
      <c r="K888" s="77" t="str">
        <f>IFERROR(VLOOKUP(DESPESAS[[#This Row],[Plano de Contas]],BASE!$B$3:$H$119,5,FALSE),"")</f>
        <v>FINANCEIRO</v>
      </c>
      <c r="L888" s="77">
        <f>IFERROR(VLOOKUP(DESPESAS[[#This Row],[Plano de Contas]],BASE!$B$3:$H$119,6,FALSE),"")</f>
        <v>0</v>
      </c>
      <c r="M888" s="77" t="str">
        <f>VLOOKUP(DESPESAS[[#This Row],[Plano de Contas]],BASE!$B$3:$H$119,7,FALSE)</f>
        <v>LETÍCIA</v>
      </c>
    </row>
    <row r="889" spans="1:13" x14ac:dyDescent="0.25">
      <c r="A889" s="74">
        <v>197424</v>
      </c>
      <c r="B889" s="75" t="s">
        <v>232</v>
      </c>
      <c r="C889" s="75" t="s">
        <v>2669</v>
      </c>
      <c r="D889" s="76">
        <v>46048</v>
      </c>
      <c r="E889" s="75" t="s">
        <v>260</v>
      </c>
      <c r="F889" s="74">
        <v>543</v>
      </c>
      <c r="G889" s="75" t="s">
        <v>244</v>
      </c>
      <c r="H889" s="77" t="str">
        <f>VLOOKUP(DESPESAS[[#This Row],[Plano de Contas]],BASE!$B$3:$D$119,3,FALSE)</f>
        <v>Material de Expediente (Prod)</v>
      </c>
      <c r="I889" s="77" t="str">
        <f>IFERROR(VLOOKUP(DESPESAS[[#This Row],[Fornecedor]],Tabela2[],2,FALSE),"")</f>
        <v>PEÇAS DE FERRAMENTAS</v>
      </c>
      <c r="J889" s="77" t="str">
        <f>IFERROR(VLOOKUP(DESPESAS[[#This Row],[Plano de Contas]],BASE!$B$3:$F$119,4,FALSE),"")</f>
        <v>2 - CUSTOS DIRETOS</v>
      </c>
      <c r="K889" s="77" t="str">
        <f>IFERROR(VLOOKUP(DESPESAS[[#This Row],[Plano de Contas]],BASE!$B$3:$H$119,5,FALSE),"")</f>
        <v>PRODUÇÃO</v>
      </c>
      <c r="L889" s="77">
        <f>IFERROR(VLOOKUP(DESPESAS[[#This Row],[Plano de Contas]],BASE!$B$3:$H$119,6,FALSE),"")</f>
        <v>0</v>
      </c>
      <c r="M889" s="77" t="str">
        <f>VLOOKUP(DESPESAS[[#This Row],[Plano de Contas]],BASE!$B$3:$H$119,7,FALSE)</f>
        <v>RAFAEL</v>
      </c>
    </row>
    <row r="890" spans="1:13" x14ac:dyDescent="0.25">
      <c r="A890" s="74">
        <v>197425</v>
      </c>
      <c r="B890" s="75" t="s">
        <v>221</v>
      </c>
      <c r="C890" s="75" t="s">
        <v>2668</v>
      </c>
      <c r="D890" s="76">
        <v>46048</v>
      </c>
      <c r="E890" s="75" t="s">
        <v>1872</v>
      </c>
      <c r="F890" s="74">
        <v>152</v>
      </c>
      <c r="G890" s="75" t="s">
        <v>1037</v>
      </c>
      <c r="H890" s="77" t="str">
        <f>VLOOKUP(DESPESAS[[#This Row],[Plano de Contas]],BASE!$B$3:$D$119,3,FALSE)</f>
        <v>Construções e Reformas</v>
      </c>
      <c r="I890" s="77" t="str">
        <f>IFERROR(VLOOKUP(DESPESAS[[#This Row],[Fornecedor]],Tabela2[],2,FALSE),"")</f>
        <v>MATERIAIS ELETRICOS</v>
      </c>
      <c r="J890" s="77" t="str">
        <f>IFERROR(VLOOKUP(DESPESAS[[#This Row],[Plano de Contas]],BASE!$B$3:$F$119,4,FALSE),"")</f>
        <v>9 - INVESTIMENTOS</v>
      </c>
      <c r="K890" s="77" t="str">
        <f>IFERROR(VLOOKUP(DESPESAS[[#This Row],[Plano de Contas]],BASE!$B$3:$H$119,5,FALSE),"")</f>
        <v>MANUTENÇÃO / TI</v>
      </c>
      <c r="L890" s="77">
        <f>IFERROR(VLOOKUP(DESPESAS[[#This Row],[Plano de Contas]],BASE!$B$3:$H$119,6,FALSE),"")</f>
        <v>0</v>
      </c>
      <c r="M890" s="77" t="str">
        <f>VLOOKUP(DESPESAS[[#This Row],[Plano de Contas]],BASE!$B$3:$H$119,7,FALSE)</f>
        <v>FÁBIO</v>
      </c>
    </row>
    <row r="891" spans="1:13" x14ac:dyDescent="0.25">
      <c r="A891" s="74">
        <v>197426</v>
      </c>
      <c r="B891" s="75" t="s">
        <v>281</v>
      </c>
      <c r="C891" s="75" t="s">
        <v>2667</v>
      </c>
      <c r="D891" s="76">
        <v>46047</v>
      </c>
      <c r="E891" s="75" t="s">
        <v>2666</v>
      </c>
      <c r="F891" s="74">
        <v>448.28</v>
      </c>
      <c r="G891" s="75" t="s">
        <v>1318</v>
      </c>
      <c r="H891" s="77" t="str">
        <f>VLOOKUP(DESPESAS[[#This Row],[Plano de Contas]],BASE!$B$3:$D$119,3,FALSE)</f>
        <v>Feiras e Eventos</v>
      </c>
      <c r="I891" s="77" t="str">
        <f>IFERROR(VLOOKUP(DESPESAS[[#This Row],[Fornecedor]],Tabela2[],2,FALSE),"")</f>
        <v/>
      </c>
      <c r="J891" s="77" t="str">
        <f>IFERROR(VLOOKUP(DESPESAS[[#This Row],[Plano de Contas]],BASE!$B$3:$F$119,4,FALSE),"")</f>
        <v>6 - DESPESA COM VENDAS</v>
      </c>
      <c r="K891" s="77" t="str">
        <f>IFERROR(VLOOKUP(DESPESAS[[#This Row],[Plano de Contas]],BASE!$B$3:$H$119,5,FALSE),"")</f>
        <v>COMERCIAL</v>
      </c>
      <c r="L891" s="77">
        <f>IFERROR(VLOOKUP(DESPESAS[[#This Row],[Plano de Contas]],BASE!$B$3:$H$119,6,FALSE),"")</f>
        <v>0</v>
      </c>
      <c r="M891" s="77" t="str">
        <f>VLOOKUP(DESPESAS[[#This Row],[Plano de Contas]],BASE!$B$3:$H$119,7,FALSE)</f>
        <v>THAIS</v>
      </c>
    </row>
    <row r="892" spans="1:13" x14ac:dyDescent="0.25">
      <c r="A892" s="74">
        <v>197427</v>
      </c>
      <c r="B892" s="75" t="s">
        <v>686</v>
      </c>
      <c r="C892" s="75" t="s">
        <v>2469</v>
      </c>
      <c r="D892" s="76">
        <v>46048</v>
      </c>
      <c r="E892" s="75" t="s">
        <v>2665</v>
      </c>
      <c r="F892" s="74">
        <v>406.65</v>
      </c>
      <c r="G892" s="75" t="s">
        <v>1318</v>
      </c>
      <c r="H892" s="77" t="str">
        <f>VLOOKUP(DESPESAS[[#This Row],[Plano de Contas]],BASE!$B$3:$D$119,3,FALSE)</f>
        <v>Feiras e Eventos</v>
      </c>
      <c r="I892" s="77" t="str">
        <f>IFERROR(VLOOKUP(DESPESAS[[#This Row],[Fornecedor]],Tabela2[],2,FALSE),"")</f>
        <v/>
      </c>
      <c r="J892" s="77" t="str">
        <f>IFERROR(VLOOKUP(DESPESAS[[#This Row],[Plano de Contas]],BASE!$B$3:$F$119,4,FALSE),"")</f>
        <v>6 - DESPESA COM VENDAS</v>
      </c>
      <c r="K892" s="77" t="str">
        <f>IFERROR(VLOOKUP(DESPESAS[[#This Row],[Plano de Contas]],BASE!$B$3:$H$119,5,FALSE),"")</f>
        <v>COMERCIAL</v>
      </c>
      <c r="L892" s="77">
        <f>IFERROR(VLOOKUP(DESPESAS[[#This Row],[Plano de Contas]],BASE!$B$3:$H$119,6,FALSE),"")</f>
        <v>0</v>
      </c>
      <c r="M892" s="77" t="str">
        <f>VLOOKUP(DESPESAS[[#This Row],[Plano de Contas]],BASE!$B$3:$H$119,7,FALSE)</f>
        <v>THAIS</v>
      </c>
    </row>
    <row r="893" spans="1:13" x14ac:dyDescent="0.25">
      <c r="A893" s="74">
        <v>197428</v>
      </c>
      <c r="B893" s="75" t="s">
        <v>686</v>
      </c>
      <c r="C893" s="75" t="s">
        <v>2664</v>
      </c>
      <c r="D893" s="76">
        <v>46048</v>
      </c>
      <c r="E893" s="75" t="s">
        <v>1262</v>
      </c>
      <c r="F893" s="74">
        <v>145</v>
      </c>
      <c r="G893" s="75" t="s">
        <v>1318</v>
      </c>
      <c r="H893" s="77" t="str">
        <f>VLOOKUP(DESPESAS[[#This Row],[Plano de Contas]],BASE!$B$3:$D$119,3,FALSE)</f>
        <v>Feiras e Eventos</v>
      </c>
      <c r="I893" s="77" t="str">
        <f>IFERROR(VLOOKUP(DESPESAS[[#This Row],[Fornecedor]],Tabela2[],2,FALSE),"")</f>
        <v/>
      </c>
      <c r="J893" s="77" t="str">
        <f>IFERROR(VLOOKUP(DESPESAS[[#This Row],[Plano de Contas]],BASE!$B$3:$F$119,4,FALSE),"")</f>
        <v>6 - DESPESA COM VENDAS</v>
      </c>
      <c r="K893" s="77" t="str">
        <f>IFERROR(VLOOKUP(DESPESAS[[#This Row],[Plano de Contas]],BASE!$B$3:$H$119,5,FALSE),"")</f>
        <v>COMERCIAL</v>
      </c>
      <c r="L893" s="77">
        <f>IFERROR(VLOOKUP(DESPESAS[[#This Row],[Plano de Contas]],BASE!$B$3:$H$119,6,FALSE),"")</f>
        <v>0</v>
      </c>
      <c r="M893" s="77" t="str">
        <f>VLOOKUP(DESPESAS[[#This Row],[Plano de Contas]],BASE!$B$3:$H$119,7,FALSE)</f>
        <v>THAIS</v>
      </c>
    </row>
    <row r="894" spans="1:13" x14ac:dyDescent="0.25">
      <c r="A894" s="74">
        <v>197429</v>
      </c>
      <c r="B894" s="75" t="s">
        <v>686</v>
      </c>
      <c r="C894" s="75" t="s">
        <v>2344</v>
      </c>
      <c r="D894" s="76">
        <v>46048</v>
      </c>
      <c r="E894" s="75" t="s">
        <v>325</v>
      </c>
      <c r="F894" s="74">
        <v>92</v>
      </c>
      <c r="G894" s="75" t="s">
        <v>1318</v>
      </c>
      <c r="H894" s="77" t="str">
        <f>VLOOKUP(DESPESAS[[#This Row],[Plano de Contas]],BASE!$B$3:$D$119,3,FALSE)</f>
        <v>Feiras e Eventos</v>
      </c>
      <c r="I894" s="77" t="str">
        <f>IFERROR(VLOOKUP(DESPESAS[[#This Row],[Fornecedor]],Tabela2[],2,FALSE),"")</f>
        <v/>
      </c>
      <c r="J894" s="77" t="str">
        <f>IFERROR(VLOOKUP(DESPESAS[[#This Row],[Plano de Contas]],BASE!$B$3:$F$119,4,FALSE),"")</f>
        <v>6 - DESPESA COM VENDAS</v>
      </c>
      <c r="K894" s="77" t="str">
        <f>IFERROR(VLOOKUP(DESPESAS[[#This Row],[Plano de Contas]],BASE!$B$3:$H$119,5,FALSE),"")</f>
        <v>COMERCIAL</v>
      </c>
      <c r="L894" s="77">
        <f>IFERROR(VLOOKUP(DESPESAS[[#This Row],[Plano de Contas]],BASE!$B$3:$H$119,6,FALSE),"")</f>
        <v>0</v>
      </c>
      <c r="M894" s="77" t="str">
        <f>VLOOKUP(DESPESAS[[#This Row],[Plano de Contas]],BASE!$B$3:$H$119,7,FALSE)</f>
        <v>THAIS</v>
      </c>
    </row>
    <row r="895" spans="1:13" x14ac:dyDescent="0.25">
      <c r="A895" s="74">
        <v>197430</v>
      </c>
      <c r="B895" s="75" t="s">
        <v>221</v>
      </c>
      <c r="C895" s="75" t="s">
        <v>2663</v>
      </c>
      <c r="D895" s="76">
        <v>46053</v>
      </c>
      <c r="E895" s="75" t="s">
        <v>768</v>
      </c>
      <c r="F895" s="74">
        <v>178.31</v>
      </c>
      <c r="G895" s="75" t="s">
        <v>772</v>
      </c>
      <c r="H895" s="77" t="str">
        <f>VLOOKUP(DESPESAS[[#This Row],[Plano de Contas]],BASE!$B$3:$D$119,3,FALSE)</f>
        <v>INSS (Adm)</v>
      </c>
      <c r="I895" s="77" t="str">
        <f>IFERROR(VLOOKUP(DESPESAS[[#This Row],[Fornecedor]],Tabela2[],2,FALSE),"")</f>
        <v/>
      </c>
      <c r="J895" s="77" t="str">
        <f>IFERROR(VLOOKUP(DESPESAS[[#This Row],[Plano de Contas]],BASE!$B$3:$F$119,4,FALSE),"")</f>
        <v>4 - GASTOS COM PESSOAL</v>
      </c>
      <c r="K895" s="77" t="str">
        <f>IFERROR(VLOOKUP(DESPESAS[[#This Row],[Plano de Contas]],BASE!$B$3:$H$119,5,FALSE),"")</f>
        <v>DH</v>
      </c>
      <c r="L895" s="77">
        <f>IFERROR(VLOOKUP(DESPESAS[[#This Row],[Plano de Contas]],BASE!$B$3:$H$119,6,FALSE),"")</f>
        <v>0</v>
      </c>
      <c r="M895" s="77" t="str">
        <f>VLOOKUP(DESPESAS[[#This Row],[Plano de Contas]],BASE!$B$3:$H$119,7,FALSE)</f>
        <v>RAFAEL</v>
      </c>
    </row>
    <row r="896" spans="1:13" x14ac:dyDescent="0.25">
      <c r="A896" s="74">
        <v>197432</v>
      </c>
      <c r="B896" s="75" t="s">
        <v>232</v>
      </c>
      <c r="C896" s="75" t="s">
        <v>2662</v>
      </c>
      <c r="D896" s="76">
        <v>46048</v>
      </c>
      <c r="E896" s="75" t="s">
        <v>2661</v>
      </c>
      <c r="F896" s="74">
        <v>656.95</v>
      </c>
      <c r="G896" s="75" t="s">
        <v>719</v>
      </c>
      <c r="H896" s="77" t="str">
        <f>VLOOKUP(DESPESAS[[#This Row],[Plano de Contas]],BASE!$B$3:$D$119,3,FALSE)</f>
        <v>Outros Serviços de Terceiros</v>
      </c>
      <c r="I896" s="77" t="str">
        <f>IFERROR(VLOOKUP(DESPESAS[[#This Row],[Fornecedor]],Tabela2[],2,FALSE),"")</f>
        <v/>
      </c>
      <c r="J896" s="77" t="str">
        <f>IFERROR(VLOOKUP(DESPESAS[[#This Row],[Plano de Contas]],BASE!$B$3:$F$119,4,FALSE),"")</f>
        <v>7 - SERVIÇOS DE TERCEIROS</v>
      </c>
      <c r="K896" s="77" t="str">
        <f>IFERROR(VLOOKUP(DESPESAS[[#This Row],[Plano de Contas]],BASE!$B$3:$H$119,5,FALSE),"")</f>
        <v>FINANCEIRO</v>
      </c>
      <c r="L896" s="77">
        <f>IFERROR(VLOOKUP(DESPESAS[[#This Row],[Plano de Contas]],BASE!$B$3:$H$119,6,FALSE),"")</f>
        <v>0</v>
      </c>
      <c r="M896" s="77" t="str">
        <f>VLOOKUP(DESPESAS[[#This Row],[Plano de Contas]],BASE!$B$3:$H$119,7,FALSE)</f>
        <v>LETÍCIA</v>
      </c>
    </row>
    <row r="897" spans="1:13" x14ac:dyDescent="0.25">
      <c r="A897" s="74">
        <v>197433</v>
      </c>
      <c r="B897" s="75" t="s">
        <v>232</v>
      </c>
      <c r="C897" s="75" t="s">
        <v>2660</v>
      </c>
      <c r="D897" s="76">
        <v>46048</v>
      </c>
      <c r="E897" s="75" t="s">
        <v>391</v>
      </c>
      <c r="F897" s="74">
        <v>862.67</v>
      </c>
      <c r="G897" s="75" t="s">
        <v>241</v>
      </c>
      <c r="H897" s="77" t="str">
        <f>VLOOKUP(DESPESAS[[#This Row],[Plano de Contas]],BASE!$B$3:$D$119,3,FALSE)</f>
        <v>Combustiveis Frota</v>
      </c>
      <c r="I897" s="77" t="str">
        <f>IFERROR(VLOOKUP(DESPESAS[[#This Row],[Fornecedor]],Tabela2[],2,FALSE),"")</f>
        <v/>
      </c>
      <c r="J897" s="77" t="str">
        <f>IFERROR(VLOOKUP(DESPESAS[[#This Row],[Plano de Contas]],BASE!$B$3:$F$119,4,FALSE),"")</f>
        <v>6 - DESPESA COM VENDAS</v>
      </c>
      <c r="K897" s="77" t="str">
        <f>IFERROR(VLOOKUP(DESPESAS[[#This Row],[Plano de Contas]],BASE!$B$3:$H$119,5,FALSE),"")</f>
        <v>LOGÍSTICA</v>
      </c>
      <c r="L897" s="77">
        <f>IFERROR(VLOOKUP(DESPESAS[[#This Row],[Plano de Contas]],BASE!$B$3:$H$119,6,FALSE),"")</f>
        <v>0</v>
      </c>
      <c r="M897" s="77" t="str">
        <f>VLOOKUP(DESPESAS[[#This Row],[Plano de Contas]],BASE!$B$3:$H$119,7,FALSE)</f>
        <v>MYLENA</v>
      </c>
    </row>
    <row r="898" spans="1:13" x14ac:dyDescent="0.25">
      <c r="A898" s="74">
        <v>197435</v>
      </c>
      <c r="B898" s="75" t="s">
        <v>221</v>
      </c>
      <c r="C898" s="75" t="s">
        <v>2659</v>
      </c>
      <c r="D898" s="76">
        <v>46030</v>
      </c>
      <c r="E898" s="75" t="s">
        <v>2654</v>
      </c>
      <c r="F898" s="74">
        <v>300</v>
      </c>
      <c r="G898" s="75" t="s">
        <v>247</v>
      </c>
      <c r="H898" s="77" t="str">
        <f>VLOOKUP(DESPESAS[[#This Row],[Plano de Contas]],BASE!$B$3:$D$119,3,FALSE)</f>
        <v>Manutenção com veiculos</v>
      </c>
      <c r="I898" s="77" t="str">
        <f>IFERROR(VLOOKUP(DESPESAS[[#This Row],[Fornecedor]],Tabela2[],2,FALSE),"")</f>
        <v/>
      </c>
      <c r="J898" s="77" t="str">
        <f>IFERROR(VLOOKUP(DESPESAS[[#This Row],[Plano de Contas]],BASE!$B$3:$F$119,4,FALSE),"")</f>
        <v>6 - DESPESA COM VENDAS</v>
      </c>
      <c r="K898" s="77" t="str">
        <f>IFERROR(VLOOKUP(DESPESAS[[#This Row],[Plano de Contas]],BASE!$B$3:$H$119,5,FALSE),"")</f>
        <v>LOGÍSTICA</v>
      </c>
      <c r="L898" s="77">
        <f>IFERROR(VLOOKUP(DESPESAS[[#This Row],[Plano de Contas]],BASE!$B$3:$H$119,6,FALSE),"")</f>
        <v>0</v>
      </c>
      <c r="M898" s="77" t="str">
        <f>VLOOKUP(DESPESAS[[#This Row],[Plano de Contas]],BASE!$B$3:$H$119,7,FALSE)</f>
        <v>MYLENA</v>
      </c>
    </row>
    <row r="899" spans="1:13" x14ac:dyDescent="0.25">
      <c r="A899" s="74">
        <v>197436</v>
      </c>
      <c r="B899" s="75" t="s">
        <v>221</v>
      </c>
      <c r="C899" s="75" t="s">
        <v>2658</v>
      </c>
      <c r="D899" s="76">
        <v>46037</v>
      </c>
      <c r="E899" s="75" t="s">
        <v>2654</v>
      </c>
      <c r="F899" s="74">
        <v>800</v>
      </c>
      <c r="G899" s="75" t="s">
        <v>247</v>
      </c>
      <c r="H899" s="77" t="str">
        <f>VLOOKUP(DESPESAS[[#This Row],[Plano de Contas]],BASE!$B$3:$D$119,3,FALSE)</f>
        <v>Manutenção com veiculos</v>
      </c>
      <c r="I899" s="77" t="str">
        <f>IFERROR(VLOOKUP(DESPESAS[[#This Row],[Fornecedor]],Tabela2[],2,FALSE),"")</f>
        <v/>
      </c>
      <c r="J899" s="77" t="str">
        <f>IFERROR(VLOOKUP(DESPESAS[[#This Row],[Plano de Contas]],BASE!$B$3:$F$119,4,FALSE),"")</f>
        <v>6 - DESPESA COM VENDAS</v>
      </c>
      <c r="K899" s="77" t="str">
        <f>IFERROR(VLOOKUP(DESPESAS[[#This Row],[Plano de Contas]],BASE!$B$3:$H$119,5,FALSE),"")</f>
        <v>LOGÍSTICA</v>
      </c>
      <c r="L899" s="77">
        <f>IFERROR(VLOOKUP(DESPESAS[[#This Row],[Plano de Contas]],BASE!$B$3:$H$119,6,FALSE),"")</f>
        <v>0</v>
      </c>
      <c r="M899" s="77" t="str">
        <f>VLOOKUP(DESPESAS[[#This Row],[Plano de Contas]],BASE!$B$3:$H$119,7,FALSE)</f>
        <v>MYLENA</v>
      </c>
    </row>
    <row r="900" spans="1:13" x14ac:dyDescent="0.25">
      <c r="A900" s="74">
        <v>197437</v>
      </c>
      <c r="B900" s="75" t="s">
        <v>221</v>
      </c>
      <c r="C900" s="75" t="s">
        <v>2657</v>
      </c>
      <c r="D900" s="76">
        <v>46027</v>
      </c>
      <c r="E900" s="75" t="s">
        <v>2654</v>
      </c>
      <c r="F900" s="74">
        <v>500</v>
      </c>
      <c r="G900" s="75" t="s">
        <v>247</v>
      </c>
      <c r="H900" s="77" t="str">
        <f>VLOOKUP(DESPESAS[[#This Row],[Plano de Contas]],BASE!$B$3:$D$119,3,FALSE)</f>
        <v>Manutenção com veiculos</v>
      </c>
      <c r="I900" s="77" t="str">
        <f>IFERROR(VLOOKUP(DESPESAS[[#This Row],[Fornecedor]],Tabela2[],2,FALSE),"")</f>
        <v/>
      </c>
      <c r="J900" s="77" t="str">
        <f>IFERROR(VLOOKUP(DESPESAS[[#This Row],[Plano de Contas]],BASE!$B$3:$F$119,4,FALSE),"")</f>
        <v>6 - DESPESA COM VENDAS</v>
      </c>
      <c r="K900" s="77" t="str">
        <f>IFERROR(VLOOKUP(DESPESAS[[#This Row],[Plano de Contas]],BASE!$B$3:$H$119,5,FALSE),"")</f>
        <v>LOGÍSTICA</v>
      </c>
      <c r="L900" s="77">
        <f>IFERROR(VLOOKUP(DESPESAS[[#This Row],[Plano de Contas]],BASE!$B$3:$H$119,6,FALSE),"")</f>
        <v>0</v>
      </c>
      <c r="M900" s="77" t="str">
        <f>VLOOKUP(DESPESAS[[#This Row],[Plano de Contas]],BASE!$B$3:$H$119,7,FALSE)</f>
        <v>MYLENA</v>
      </c>
    </row>
    <row r="901" spans="1:13" x14ac:dyDescent="0.25">
      <c r="A901" s="74">
        <v>197439</v>
      </c>
      <c r="B901" s="75" t="s">
        <v>232</v>
      </c>
      <c r="C901" s="75" t="s">
        <v>2656</v>
      </c>
      <c r="D901" s="76">
        <v>46048</v>
      </c>
      <c r="E901" s="75" t="s">
        <v>366</v>
      </c>
      <c r="F901" s="74">
        <v>4500</v>
      </c>
      <c r="G901" s="75" t="s">
        <v>365</v>
      </c>
      <c r="H901" s="77" t="str">
        <f>VLOOKUP(DESPESAS[[#This Row],[Plano de Contas]],BASE!$B$3:$D$119,3,FALSE)</f>
        <v>Pró-Labore</v>
      </c>
      <c r="I901" s="77" t="str">
        <f>IFERROR(VLOOKUP(DESPESAS[[#This Row],[Fornecedor]],Tabela2[],2,FALSE),"")</f>
        <v/>
      </c>
      <c r="J901" s="77" t="str">
        <f>IFERROR(VLOOKUP(DESPESAS[[#This Row],[Plano de Contas]],BASE!$B$3:$F$119,4,FALSE),"")</f>
        <v>4 - GASTOS COM PESSOAL</v>
      </c>
      <c r="K901" s="77" t="str">
        <f>IFERROR(VLOOKUP(DESPESAS[[#This Row],[Plano de Contas]],BASE!$B$3:$H$119,5,FALSE),"")</f>
        <v>DIRETORIA</v>
      </c>
      <c r="L901" s="77">
        <f>IFERROR(VLOOKUP(DESPESAS[[#This Row],[Plano de Contas]],BASE!$B$3:$H$119,6,FALSE),"")</f>
        <v>0</v>
      </c>
      <c r="M901" s="77" t="str">
        <f>VLOOKUP(DESPESAS[[#This Row],[Plano de Contas]],BASE!$B$3:$H$119,7,FALSE)</f>
        <v>FÁBIO</v>
      </c>
    </row>
    <row r="902" spans="1:13" x14ac:dyDescent="0.25">
      <c r="A902" s="74">
        <v>197440</v>
      </c>
      <c r="B902" s="75" t="s">
        <v>221</v>
      </c>
      <c r="C902" s="75" t="s">
        <v>2655</v>
      </c>
      <c r="D902" s="76">
        <v>46028</v>
      </c>
      <c r="E902" s="75" t="s">
        <v>2654</v>
      </c>
      <c r="F902" s="74">
        <v>400</v>
      </c>
      <c r="G902" s="75" t="s">
        <v>247</v>
      </c>
      <c r="H902" s="77" t="str">
        <f>VLOOKUP(DESPESAS[[#This Row],[Plano de Contas]],BASE!$B$3:$D$119,3,FALSE)</f>
        <v>Manutenção com veiculos</v>
      </c>
      <c r="I902" s="77" t="str">
        <f>IFERROR(VLOOKUP(DESPESAS[[#This Row],[Fornecedor]],Tabela2[],2,FALSE),"")</f>
        <v/>
      </c>
      <c r="J902" s="77" t="str">
        <f>IFERROR(VLOOKUP(DESPESAS[[#This Row],[Plano de Contas]],BASE!$B$3:$F$119,4,FALSE),"")</f>
        <v>6 - DESPESA COM VENDAS</v>
      </c>
      <c r="K902" s="77" t="str">
        <f>IFERROR(VLOOKUP(DESPESAS[[#This Row],[Plano de Contas]],BASE!$B$3:$H$119,5,FALSE),"")</f>
        <v>LOGÍSTICA</v>
      </c>
      <c r="L902" s="77">
        <f>IFERROR(VLOOKUP(DESPESAS[[#This Row],[Plano de Contas]],BASE!$B$3:$H$119,6,FALSE),"")</f>
        <v>0</v>
      </c>
      <c r="M902" s="77" t="str">
        <f>VLOOKUP(DESPESAS[[#This Row],[Plano de Contas]],BASE!$B$3:$H$119,7,FALSE)</f>
        <v>MYLENA</v>
      </c>
    </row>
    <row r="903" spans="1:13" x14ac:dyDescent="0.25">
      <c r="A903" s="74">
        <v>197441</v>
      </c>
      <c r="B903" s="75" t="s">
        <v>281</v>
      </c>
      <c r="C903" s="75" t="s">
        <v>2653</v>
      </c>
      <c r="D903" s="76">
        <v>46137</v>
      </c>
      <c r="E903" s="75" t="s">
        <v>364</v>
      </c>
      <c r="F903" s="74">
        <v>32.229999999999997</v>
      </c>
      <c r="G903" s="75" t="s">
        <v>363</v>
      </c>
      <c r="H903" s="77" t="str">
        <f>VLOOKUP(DESPESAS[[#This Row],[Plano de Contas]],BASE!$B$3:$D$119,3,FALSE)</f>
        <v>Água</v>
      </c>
      <c r="I903" s="77" t="str">
        <f>IFERROR(VLOOKUP(DESPESAS[[#This Row],[Fornecedor]],Tabela2[],2,FALSE),"")</f>
        <v/>
      </c>
      <c r="J903" s="77" t="str">
        <f>IFERROR(VLOOKUP(DESPESAS[[#This Row],[Plano de Contas]],BASE!$B$3:$F$119,4,FALSE),"")</f>
        <v>5 - DESPESAS ADMINISTRATIVAS</v>
      </c>
      <c r="K903" s="77" t="str">
        <f>IFERROR(VLOOKUP(DESPESAS[[#This Row],[Plano de Contas]],BASE!$B$3:$H$119,5,FALSE),"")</f>
        <v>FINANCEIRO</v>
      </c>
      <c r="L903" s="77">
        <f>IFERROR(VLOOKUP(DESPESAS[[#This Row],[Plano de Contas]],BASE!$B$3:$H$119,6,FALSE),"")</f>
        <v>0</v>
      </c>
      <c r="M903" s="77" t="str">
        <f>VLOOKUP(DESPESAS[[#This Row],[Plano de Contas]],BASE!$B$3:$H$119,7,FALSE)</f>
        <v>LETÍCIA</v>
      </c>
    </row>
    <row r="904" spans="1:13" x14ac:dyDescent="0.25">
      <c r="A904" s="74">
        <v>197453</v>
      </c>
      <c r="B904" s="75" t="s">
        <v>221</v>
      </c>
      <c r="C904" s="75" t="s">
        <v>2652</v>
      </c>
      <c r="D904" s="76">
        <v>46048</v>
      </c>
      <c r="E904" s="75" t="s">
        <v>2651</v>
      </c>
      <c r="F904" s="74">
        <v>779.88</v>
      </c>
      <c r="G904" s="75" t="s">
        <v>561</v>
      </c>
      <c r="H904" s="77" t="str">
        <f>VLOOKUP(DESPESAS[[#This Row],[Plano de Contas]],BASE!$B$3:$D$119,3,FALSE)</f>
        <v>Sistemas de Informação</v>
      </c>
      <c r="I904" s="77" t="str">
        <f>IFERROR(VLOOKUP(DESPESAS[[#This Row],[Fornecedor]],Tabela2[],2,FALSE),"")</f>
        <v>SITE</v>
      </c>
      <c r="J904" s="77" t="str">
        <f>IFERROR(VLOOKUP(DESPESAS[[#This Row],[Plano de Contas]],BASE!$B$3:$F$119,4,FALSE),"")</f>
        <v>7 - SERVIÇOS DE TERCEIROS</v>
      </c>
      <c r="K904" s="77" t="str">
        <f>IFERROR(VLOOKUP(DESPESAS[[#This Row],[Plano de Contas]],BASE!$B$3:$H$119,5,FALSE),"")</f>
        <v>MANUTENÇÃO / TI</v>
      </c>
      <c r="L904" s="77">
        <f>IFERROR(VLOOKUP(DESPESAS[[#This Row],[Plano de Contas]],BASE!$B$3:$H$119,6,FALSE),"")</f>
        <v>0</v>
      </c>
      <c r="M904" s="77" t="str">
        <f>VLOOKUP(DESPESAS[[#This Row],[Plano de Contas]],BASE!$B$3:$H$119,7,FALSE)</f>
        <v>LETÍCIA</v>
      </c>
    </row>
    <row r="905" spans="1:13" x14ac:dyDescent="0.25">
      <c r="A905" s="74">
        <v>197454</v>
      </c>
      <c r="B905" s="75" t="s">
        <v>221</v>
      </c>
      <c r="C905" s="75" t="s">
        <v>2650</v>
      </c>
      <c r="D905" s="76">
        <v>46048</v>
      </c>
      <c r="E905" s="75" t="s">
        <v>338</v>
      </c>
      <c r="F905" s="74">
        <v>208</v>
      </c>
      <c r="G905" s="75" t="s">
        <v>337</v>
      </c>
      <c r="H905" s="77" t="str">
        <f>VLOOKUP(DESPESAS[[#This Row],[Plano de Contas]],BASE!$B$3:$D$119,3,FALSE)</f>
        <v>Vigilancia e Seguranca</v>
      </c>
      <c r="I905" s="77" t="str">
        <f>IFERROR(VLOOKUP(DESPESAS[[#This Row],[Fornecedor]],Tabela2[],2,FALSE),"")</f>
        <v/>
      </c>
      <c r="J905" s="77" t="str">
        <f>IFERROR(VLOOKUP(DESPESAS[[#This Row],[Plano de Contas]],BASE!$B$3:$F$119,4,FALSE),"")</f>
        <v>7 - SERVIÇOS DE TERCEIROS</v>
      </c>
      <c r="K905" s="77" t="str">
        <f>IFERROR(VLOOKUP(DESPESAS[[#This Row],[Plano de Contas]],BASE!$B$3:$H$119,5,FALSE),"")</f>
        <v>FINANCEIRO</v>
      </c>
      <c r="L905" s="77">
        <f>IFERROR(VLOOKUP(DESPESAS[[#This Row],[Plano de Contas]],BASE!$B$3:$H$119,6,FALSE),"")</f>
        <v>0</v>
      </c>
      <c r="M905" s="77" t="str">
        <f>VLOOKUP(DESPESAS[[#This Row],[Plano de Contas]],BASE!$B$3:$H$119,7,FALSE)</f>
        <v>LETÍCIA</v>
      </c>
    </row>
    <row r="906" spans="1:13" x14ac:dyDescent="0.25">
      <c r="A906" s="74">
        <v>197455</v>
      </c>
      <c r="B906" s="75" t="s">
        <v>221</v>
      </c>
      <c r="C906" s="75" t="s">
        <v>2649</v>
      </c>
      <c r="D906" s="76">
        <v>46045</v>
      </c>
      <c r="E906" s="75" t="s">
        <v>239</v>
      </c>
      <c r="F906" s="74">
        <v>161.80000000000001</v>
      </c>
      <c r="G906" s="75" t="s">
        <v>238</v>
      </c>
      <c r="H906" s="77" t="str">
        <f>VLOOKUP(DESPESAS[[#This Row],[Plano de Contas]],BASE!$B$3:$D$119,3,FALSE)</f>
        <v>Consultoria Comercial</v>
      </c>
      <c r="I906" s="77" t="str">
        <f>IFERROR(VLOOKUP(DESPESAS[[#This Row],[Fornecedor]],Tabela2[],2,FALSE),"")</f>
        <v/>
      </c>
      <c r="J906" s="77" t="str">
        <f>IFERROR(VLOOKUP(DESPESAS[[#This Row],[Plano de Contas]],BASE!$B$3:$F$119,4,FALSE),"")</f>
        <v>6 - DESPESA COM VENDAS</v>
      </c>
      <c r="K906" s="77" t="str">
        <f>IFERROR(VLOOKUP(DESPESAS[[#This Row],[Plano de Contas]],BASE!$B$3:$H$119,5,FALSE),"")</f>
        <v>COMERCIAL</v>
      </c>
      <c r="L906" s="77">
        <f>IFERROR(VLOOKUP(DESPESAS[[#This Row],[Plano de Contas]],BASE!$B$3:$H$119,6,FALSE),"")</f>
        <v>0</v>
      </c>
      <c r="M906" s="77" t="str">
        <f>VLOOKUP(DESPESAS[[#This Row],[Plano de Contas]],BASE!$B$3:$H$119,7,FALSE)</f>
        <v>LETÍCIA</v>
      </c>
    </row>
    <row r="907" spans="1:13" x14ac:dyDescent="0.25">
      <c r="A907" s="74">
        <v>197456</v>
      </c>
      <c r="B907" s="75" t="s">
        <v>232</v>
      </c>
      <c r="C907" s="75" t="s">
        <v>2648</v>
      </c>
      <c r="D907" s="76">
        <v>46048</v>
      </c>
      <c r="E907" s="75" t="s">
        <v>230</v>
      </c>
      <c r="F907" s="74">
        <v>79.319999999999993</v>
      </c>
      <c r="G907" s="75" t="s">
        <v>229</v>
      </c>
      <c r="H907" s="77" t="str">
        <f>VLOOKUP(DESPESAS[[#This Row],[Plano de Contas]],BASE!$B$3:$D$119,3,FALSE)</f>
        <v>Despesas Bancarias</v>
      </c>
      <c r="I907" s="77" t="str">
        <f>IFERROR(VLOOKUP(DESPESAS[[#This Row],[Fornecedor]],Tabela2[],2,FALSE),"")</f>
        <v/>
      </c>
      <c r="J907" s="77" t="str">
        <f>IFERROR(VLOOKUP(DESPESAS[[#This Row],[Plano de Contas]],BASE!$B$3:$F$119,4,FALSE),"")</f>
        <v>8 - DESPESAS FINANCEIRAS</v>
      </c>
      <c r="K907" s="77" t="str">
        <f>IFERROR(VLOOKUP(DESPESAS[[#This Row],[Plano de Contas]],BASE!$B$3:$H$119,5,FALSE),"")</f>
        <v>FINANCEIRO</v>
      </c>
      <c r="L907" s="77">
        <f>IFERROR(VLOOKUP(DESPESAS[[#This Row],[Plano de Contas]],BASE!$B$3:$H$119,6,FALSE),"")</f>
        <v>0</v>
      </c>
      <c r="M907" s="77" t="str">
        <f>VLOOKUP(DESPESAS[[#This Row],[Plano de Contas]],BASE!$B$3:$H$119,7,FALSE)</f>
        <v>LETÍCIA</v>
      </c>
    </row>
    <row r="908" spans="1:13" x14ac:dyDescent="0.25">
      <c r="A908" s="74">
        <v>197457</v>
      </c>
      <c r="B908" s="75" t="s">
        <v>232</v>
      </c>
      <c r="C908" s="75" t="s">
        <v>2647</v>
      </c>
      <c r="D908" s="76">
        <v>46048</v>
      </c>
      <c r="E908" s="75" t="s">
        <v>230</v>
      </c>
      <c r="F908" s="74">
        <v>63.39</v>
      </c>
      <c r="G908" s="75" t="s">
        <v>229</v>
      </c>
      <c r="H908" s="77" t="str">
        <f>VLOOKUP(DESPESAS[[#This Row],[Plano de Contas]],BASE!$B$3:$D$119,3,FALSE)</f>
        <v>Despesas Bancarias</v>
      </c>
      <c r="I908" s="77" t="str">
        <f>IFERROR(VLOOKUP(DESPESAS[[#This Row],[Fornecedor]],Tabela2[],2,FALSE),"")</f>
        <v/>
      </c>
      <c r="J908" s="77" t="str">
        <f>IFERROR(VLOOKUP(DESPESAS[[#This Row],[Plano de Contas]],BASE!$B$3:$F$119,4,FALSE),"")</f>
        <v>8 - DESPESAS FINANCEIRAS</v>
      </c>
      <c r="K908" s="77" t="str">
        <f>IFERROR(VLOOKUP(DESPESAS[[#This Row],[Plano de Contas]],BASE!$B$3:$H$119,5,FALSE),"")</f>
        <v>FINANCEIRO</v>
      </c>
      <c r="L908" s="77">
        <f>IFERROR(VLOOKUP(DESPESAS[[#This Row],[Plano de Contas]],BASE!$B$3:$H$119,6,FALSE),"")</f>
        <v>0</v>
      </c>
      <c r="M908" s="77" t="str">
        <f>VLOOKUP(DESPESAS[[#This Row],[Plano de Contas]],BASE!$B$3:$H$119,7,FALSE)</f>
        <v>LETÍCIA</v>
      </c>
    </row>
    <row r="909" spans="1:13" x14ac:dyDescent="0.25">
      <c r="A909" s="74">
        <v>197458</v>
      </c>
      <c r="B909" s="75" t="s">
        <v>232</v>
      </c>
      <c r="C909" s="75" t="s">
        <v>2646</v>
      </c>
      <c r="D909" s="76">
        <v>46048</v>
      </c>
      <c r="E909" s="75" t="s">
        <v>230</v>
      </c>
      <c r="F909" s="74">
        <v>494.44</v>
      </c>
      <c r="G909" s="75" t="s">
        <v>251</v>
      </c>
      <c r="H909" s="77" t="str">
        <f>VLOOKUP(DESPESAS[[#This Row],[Plano de Contas]],BASE!$B$3:$D$119,3,FALSE)</f>
        <v>Juros Pagos - Antecipação de Crédito</v>
      </c>
      <c r="I909" s="77" t="str">
        <f>IFERROR(VLOOKUP(DESPESAS[[#This Row],[Fornecedor]],Tabela2[],2,FALSE),"")</f>
        <v/>
      </c>
      <c r="J909" s="77" t="str">
        <f>IFERROR(VLOOKUP(DESPESAS[[#This Row],[Plano de Contas]],BASE!$B$3:$F$119,4,FALSE),"")</f>
        <v>8 - DESPESAS FINANCEIRAS</v>
      </c>
      <c r="K909" s="77" t="str">
        <f>IFERROR(VLOOKUP(DESPESAS[[#This Row],[Plano de Contas]],BASE!$B$3:$H$119,5,FALSE),"")</f>
        <v>FINANCEIRO</v>
      </c>
      <c r="L909" s="77">
        <f>IFERROR(VLOOKUP(DESPESAS[[#This Row],[Plano de Contas]],BASE!$B$3:$H$119,6,FALSE),"")</f>
        <v>0</v>
      </c>
      <c r="M909" s="77" t="str">
        <f>VLOOKUP(DESPESAS[[#This Row],[Plano de Contas]],BASE!$B$3:$H$119,7,FALSE)</f>
        <v>LETÍCIA</v>
      </c>
    </row>
    <row r="910" spans="1:13" x14ac:dyDescent="0.25">
      <c r="A910" s="74">
        <v>197459</v>
      </c>
      <c r="B910" s="75" t="s">
        <v>686</v>
      </c>
      <c r="C910" s="75" t="s">
        <v>2645</v>
      </c>
      <c r="D910" s="76">
        <v>46048</v>
      </c>
      <c r="E910" s="75" t="s">
        <v>325</v>
      </c>
      <c r="F910" s="74">
        <v>78.680000000000007</v>
      </c>
      <c r="G910" s="75" t="s">
        <v>1318</v>
      </c>
      <c r="H910" s="77" t="str">
        <f>VLOOKUP(DESPESAS[[#This Row],[Plano de Contas]],BASE!$B$3:$D$119,3,FALSE)</f>
        <v>Feiras e Eventos</v>
      </c>
      <c r="I910" s="77" t="str">
        <f>IFERROR(VLOOKUP(DESPESAS[[#This Row],[Fornecedor]],Tabela2[],2,FALSE),"")</f>
        <v/>
      </c>
      <c r="J910" s="77" t="str">
        <f>IFERROR(VLOOKUP(DESPESAS[[#This Row],[Plano de Contas]],BASE!$B$3:$F$119,4,FALSE),"")</f>
        <v>6 - DESPESA COM VENDAS</v>
      </c>
      <c r="K910" s="77" t="str">
        <f>IFERROR(VLOOKUP(DESPESAS[[#This Row],[Plano de Contas]],BASE!$B$3:$H$119,5,FALSE),"")</f>
        <v>COMERCIAL</v>
      </c>
      <c r="L910" s="77">
        <f>IFERROR(VLOOKUP(DESPESAS[[#This Row],[Plano de Contas]],BASE!$B$3:$H$119,6,FALSE),"")</f>
        <v>0</v>
      </c>
      <c r="M910" s="77" t="str">
        <f>VLOOKUP(DESPESAS[[#This Row],[Plano de Contas]],BASE!$B$3:$H$119,7,FALSE)</f>
        <v>THAIS</v>
      </c>
    </row>
    <row r="911" spans="1:13" x14ac:dyDescent="0.25">
      <c r="A911" s="74">
        <v>197461</v>
      </c>
      <c r="B911" s="75" t="s">
        <v>221</v>
      </c>
      <c r="C911" s="75" t="s">
        <v>2644</v>
      </c>
      <c r="D911" s="76">
        <v>46048</v>
      </c>
      <c r="E911" s="75" t="s">
        <v>245</v>
      </c>
      <c r="F911" s="74">
        <v>35</v>
      </c>
      <c r="G911" s="75" t="s">
        <v>218</v>
      </c>
      <c r="H911" s="77" t="str">
        <f>VLOOKUP(DESPESAS[[#This Row],[Plano de Contas]],BASE!$B$3:$D$119,3,FALSE)</f>
        <v>Manutenção de Equipamentos (Prod)</v>
      </c>
      <c r="I911" s="77" t="str">
        <f>IFERROR(VLOOKUP(DESPESAS[[#This Row],[Fornecedor]],Tabela2[],2,FALSE),"")</f>
        <v>FERRAGENS GERAIS</v>
      </c>
      <c r="J911" s="77" t="str">
        <f>IFERROR(VLOOKUP(DESPESAS[[#This Row],[Plano de Contas]],BASE!$B$3:$F$119,4,FALSE),"")</f>
        <v>3 - CUSTOS INDIRETOS</v>
      </c>
      <c r="K911" s="77" t="str">
        <f>IFERROR(VLOOKUP(DESPESAS[[#This Row],[Plano de Contas]],BASE!$B$3:$H$119,5,FALSE),"")</f>
        <v>MANUTENÇÃO / TI</v>
      </c>
      <c r="L911" s="77">
        <f>IFERROR(VLOOKUP(DESPESAS[[#This Row],[Plano de Contas]],BASE!$B$3:$H$119,6,FALSE),"")</f>
        <v>0</v>
      </c>
      <c r="M911" s="77" t="str">
        <f>VLOOKUP(DESPESAS[[#This Row],[Plano de Contas]],BASE!$B$3:$H$119,7,FALSE)</f>
        <v>RAFAEL</v>
      </c>
    </row>
    <row r="912" spans="1:13" x14ac:dyDescent="0.25">
      <c r="A912" s="74">
        <v>197462</v>
      </c>
      <c r="B912" s="75" t="s">
        <v>221</v>
      </c>
      <c r="C912" s="75" t="s">
        <v>2643</v>
      </c>
      <c r="D912" s="76">
        <v>46048</v>
      </c>
      <c r="E912" s="75" t="s">
        <v>307</v>
      </c>
      <c r="F912" s="74">
        <v>56</v>
      </c>
      <c r="G912" s="75" t="s">
        <v>1037</v>
      </c>
      <c r="H912" s="77" t="str">
        <f>VLOOKUP(DESPESAS[[#This Row],[Plano de Contas]],BASE!$B$3:$D$119,3,FALSE)</f>
        <v>Construções e Reformas</v>
      </c>
      <c r="I912" s="77" t="str">
        <f>IFERROR(VLOOKUP(DESPESAS[[#This Row],[Fornecedor]],Tabela2[],2,FALSE),"")</f>
        <v>FERRAGENS GERAIS</v>
      </c>
      <c r="J912" s="77" t="str">
        <f>IFERROR(VLOOKUP(DESPESAS[[#This Row],[Plano de Contas]],BASE!$B$3:$F$119,4,FALSE),"")</f>
        <v>9 - INVESTIMENTOS</v>
      </c>
      <c r="K912" s="77" t="str">
        <f>IFERROR(VLOOKUP(DESPESAS[[#This Row],[Plano de Contas]],BASE!$B$3:$H$119,5,FALSE),"")</f>
        <v>MANUTENÇÃO / TI</v>
      </c>
      <c r="L912" s="77">
        <f>IFERROR(VLOOKUP(DESPESAS[[#This Row],[Plano de Contas]],BASE!$B$3:$H$119,6,FALSE),"")</f>
        <v>0</v>
      </c>
      <c r="M912" s="77" t="str">
        <f>VLOOKUP(DESPESAS[[#This Row],[Plano de Contas]],BASE!$B$3:$H$119,7,FALSE)</f>
        <v>FÁBIO</v>
      </c>
    </row>
    <row r="913" spans="1:13" x14ac:dyDescent="0.25">
      <c r="A913" s="74">
        <v>197463</v>
      </c>
      <c r="B913" s="75" t="s">
        <v>279</v>
      </c>
      <c r="C913" s="75" t="s">
        <v>2642</v>
      </c>
      <c r="D913" s="76">
        <v>46048</v>
      </c>
      <c r="E913" s="75" t="s">
        <v>230</v>
      </c>
      <c r="F913" s="74">
        <v>105.75</v>
      </c>
      <c r="G913" s="75" t="s">
        <v>229</v>
      </c>
      <c r="H913" s="77" t="str">
        <f>VLOOKUP(DESPESAS[[#This Row],[Plano de Contas]],BASE!$B$3:$D$119,3,FALSE)</f>
        <v>Despesas Bancarias</v>
      </c>
      <c r="I913" s="77" t="str">
        <f>IFERROR(VLOOKUP(DESPESAS[[#This Row],[Fornecedor]],Tabela2[],2,FALSE),"")</f>
        <v/>
      </c>
      <c r="J913" s="77" t="str">
        <f>IFERROR(VLOOKUP(DESPESAS[[#This Row],[Plano de Contas]],BASE!$B$3:$F$119,4,FALSE),"")</f>
        <v>8 - DESPESAS FINANCEIRAS</v>
      </c>
      <c r="K913" s="77" t="str">
        <f>IFERROR(VLOOKUP(DESPESAS[[#This Row],[Plano de Contas]],BASE!$B$3:$H$119,5,FALSE),"")</f>
        <v>FINANCEIRO</v>
      </c>
      <c r="L913" s="77">
        <f>IFERROR(VLOOKUP(DESPESAS[[#This Row],[Plano de Contas]],BASE!$B$3:$H$119,6,FALSE),"")</f>
        <v>0</v>
      </c>
      <c r="M913" s="77" t="str">
        <f>VLOOKUP(DESPESAS[[#This Row],[Plano de Contas]],BASE!$B$3:$H$119,7,FALSE)</f>
        <v>LETÍCIA</v>
      </c>
    </row>
    <row r="914" spans="1:13" x14ac:dyDescent="0.25">
      <c r="A914" s="74">
        <v>197464</v>
      </c>
      <c r="B914" s="75" t="s">
        <v>279</v>
      </c>
      <c r="C914" s="75" t="s">
        <v>2641</v>
      </c>
      <c r="D914" s="76">
        <v>46048</v>
      </c>
      <c r="E914" s="75" t="s">
        <v>230</v>
      </c>
      <c r="F914" s="74">
        <v>64.209999999999994</v>
      </c>
      <c r="G914" s="75" t="s">
        <v>229</v>
      </c>
      <c r="H914" s="77" t="str">
        <f>VLOOKUP(DESPESAS[[#This Row],[Plano de Contas]],BASE!$B$3:$D$119,3,FALSE)</f>
        <v>Despesas Bancarias</v>
      </c>
      <c r="I914" s="77" t="str">
        <f>IFERROR(VLOOKUP(DESPESAS[[#This Row],[Fornecedor]],Tabela2[],2,FALSE),"")</f>
        <v/>
      </c>
      <c r="J914" s="77" t="str">
        <f>IFERROR(VLOOKUP(DESPESAS[[#This Row],[Plano de Contas]],BASE!$B$3:$F$119,4,FALSE),"")</f>
        <v>8 - DESPESAS FINANCEIRAS</v>
      </c>
      <c r="K914" s="77" t="str">
        <f>IFERROR(VLOOKUP(DESPESAS[[#This Row],[Plano de Contas]],BASE!$B$3:$H$119,5,FALSE),"")</f>
        <v>FINANCEIRO</v>
      </c>
      <c r="L914" s="77">
        <f>IFERROR(VLOOKUP(DESPESAS[[#This Row],[Plano de Contas]],BASE!$B$3:$H$119,6,FALSE),"")</f>
        <v>0</v>
      </c>
      <c r="M914" s="77" t="str">
        <f>VLOOKUP(DESPESAS[[#This Row],[Plano de Contas]],BASE!$B$3:$H$119,7,FALSE)</f>
        <v>LETÍCIA</v>
      </c>
    </row>
    <row r="915" spans="1:13" x14ac:dyDescent="0.25">
      <c r="A915" s="74">
        <v>197465</v>
      </c>
      <c r="B915" s="75" t="s">
        <v>279</v>
      </c>
      <c r="C915" s="75" t="s">
        <v>2640</v>
      </c>
      <c r="D915" s="76">
        <v>46048</v>
      </c>
      <c r="E915" s="75" t="s">
        <v>230</v>
      </c>
      <c r="F915" s="74">
        <v>660</v>
      </c>
      <c r="G915" s="75" t="s">
        <v>251</v>
      </c>
      <c r="H915" s="77" t="str">
        <f>VLOOKUP(DESPESAS[[#This Row],[Plano de Contas]],BASE!$B$3:$D$119,3,FALSE)</f>
        <v>Juros Pagos - Antecipação de Crédito</v>
      </c>
      <c r="I915" s="77" t="str">
        <f>IFERROR(VLOOKUP(DESPESAS[[#This Row],[Fornecedor]],Tabela2[],2,FALSE),"")</f>
        <v/>
      </c>
      <c r="J915" s="77" t="str">
        <f>IFERROR(VLOOKUP(DESPESAS[[#This Row],[Plano de Contas]],BASE!$B$3:$F$119,4,FALSE),"")</f>
        <v>8 - DESPESAS FINANCEIRAS</v>
      </c>
      <c r="K915" s="77" t="str">
        <f>IFERROR(VLOOKUP(DESPESAS[[#This Row],[Plano de Contas]],BASE!$B$3:$H$119,5,FALSE),"")</f>
        <v>FINANCEIRO</v>
      </c>
      <c r="L915" s="77">
        <f>IFERROR(VLOOKUP(DESPESAS[[#This Row],[Plano de Contas]],BASE!$B$3:$H$119,6,FALSE),"")</f>
        <v>0</v>
      </c>
      <c r="M915" s="77" t="str">
        <f>VLOOKUP(DESPESAS[[#This Row],[Plano de Contas]],BASE!$B$3:$H$119,7,FALSE)</f>
        <v>LETÍCIA</v>
      </c>
    </row>
    <row r="916" spans="1:13" x14ac:dyDescent="0.25">
      <c r="A916" s="74">
        <v>197466</v>
      </c>
      <c r="B916" s="75" t="s">
        <v>232</v>
      </c>
      <c r="C916" s="75" t="s">
        <v>2639</v>
      </c>
      <c r="D916" s="76">
        <v>46048</v>
      </c>
      <c r="E916" s="75" t="s">
        <v>2638</v>
      </c>
      <c r="F916" s="74">
        <v>2955.95</v>
      </c>
      <c r="G916" s="75" t="s">
        <v>244</v>
      </c>
      <c r="H916" s="77" t="str">
        <f>VLOOKUP(DESPESAS[[#This Row],[Plano de Contas]],BASE!$B$3:$D$119,3,FALSE)</f>
        <v>Material de Expediente (Prod)</v>
      </c>
      <c r="I916" s="77" t="str">
        <f>IFERROR(VLOOKUP(DESPESAS[[#This Row],[Fornecedor]],Tabela2[],2,FALSE),"")</f>
        <v/>
      </c>
      <c r="J916" s="77" t="str">
        <f>IFERROR(VLOOKUP(DESPESAS[[#This Row],[Plano de Contas]],BASE!$B$3:$F$119,4,FALSE),"")</f>
        <v>2 - CUSTOS DIRETOS</v>
      </c>
      <c r="K916" s="77" t="str">
        <f>IFERROR(VLOOKUP(DESPESAS[[#This Row],[Plano de Contas]],BASE!$B$3:$H$119,5,FALSE),"")</f>
        <v>PRODUÇÃO</v>
      </c>
      <c r="L916" s="77">
        <f>IFERROR(VLOOKUP(DESPESAS[[#This Row],[Plano de Contas]],BASE!$B$3:$H$119,6,FALSE),"")</f>
        <v>0</v>
      </c>
      <c r="M916" s="77" t="str">
        <f>VLOOKUP(DESPESAS[[#This Row],[Plano de Contas]],BASE!$B$3:$H$119,7,FALSE)</f>
        <v>RAFAEL</v>
      </c>
    </row>
    <row r="917" spans="1:13" x14ac:dyDescent="0.25">
      <c r="A917" s="74">
        <v>197467</v>
      </c>
      <c r="B917" s="75" t="s">
        <v>221</v>
      </c>
      <c r="C917" s="75" t="s">
        <v>2637</v>
      </c>
      <c r="D917" s="76">
        <v>46030</v>
      </c>
      <c r="E917" s="75" t="s">
        <v>242</v>
      </c>
      <c r="F917" s="74">
        <v>376.41</v>
      </c>
      <c r="G917" s="75" t="s">
        <v>241</v>
      </c>
      <c r="H917" s="77" t="str">
        <f>VLOOKUP(DESPESAS[[#This Row],[Plano de Contas]],BASE!$B$3:$D$119,3,FALSE)</f>
        <v>Combustiveis Frota</v>
      </c>
      <c r="I917" s="77" t="str">
        <f>IFERROR(VLOOKUP(DESPESAS[[#This Row],[Fornecedor]],Tabela2[],2,FALSE),"")</f>
        <v/>
      </c>
      <c r="J917" s="77" t="str">
        <f>IFERROR(VLOOKUP(DESPESAS[[#This Row],[Plano de Contas]],BASE!$B$3:$F$119,4,FALSE),"")</f>
        <v>6 - DESPESA COM VENDAS</v>
      </c>
      <c r="K917" s="77" t="str">
        <f>IFERROR(VLOOKUP(DESPESAS[[#This Row],[Plano de Contas]],BASE!$B$3:$H$119,5,FALSE),"")</f>
        <v>LOGÍSTICA</v>
      </c>
      <c r="L917" s="77">
        <f>IFERROR(VLOOKUP(DESPESAS[[#This Row],[Plano de Contas]],BASE!$B$3:$H$119,6,FALSE),"")</f>
        <v>0</v>
      </c>
      <c r="M917" s="77" t="str">
        <f>VLOOKUP(DESPESAS[[#This Row],[Plano de Contas]],BASE!$B$3:$H$119,7,FALSE)</f>
        <v>MYLENA</v>
      </c>
    </row>
    <row r="918" spans="1:13" x14ac:dyDescent="0.25">
      <c r="A918" s="74">
        <v>197468</v>
      </c>
      <c r="B918" s="75" t="s">
        <v>221</v>
      </c>
      <c r="C918" s="75" t="s">
        <v>2636</v>
      </c>
      <c r="D918" s="76">
        <v>46046</v>
      </c>
      <c r="E918" s="75" t="s">
        <v>242</v>
      </c>
      <c r="F918" s="74">
        <v>324.79000000000002</v>
      </c>
      <c r="G918" s="75" t="s">
        <v>241</v>
      </c>
      <c r="H918" s="77" t="str">
        <f>VLOOKUP(DESPESAS[[#This Row],[Plano de Contas]],BASE!$B$3:$D$119,3,FALSE)</f>
        <v>Combustiveis Frota</v>
      </c>
      <c r="I918" s="77" t="str">
        <f>IFERROR(VLOOKUP(DESPESAS[[#This Row],[Fornecedor]],Tabela2[],2,FALSE),"")</f>
        <v/>
      </c>
      <c r="J918" s="77" t="str">
        <f>IFERROR(VLOOKUP(DESPESAS[[#This Row],[Plano de Contas]],BASE!$B$3:$F$119,4,FALSE),"")</f>
        <v>6 - DESPESA COM VENDAS</v>
      </c>
      <c r="K918" s="77" t="str">
        <f>IFERROR(VLOOKUP(DESPESAS[[#This Row],[Plano de Contas]],BASE!$B$3:$H$119,5,FALSE),"")</f>
        <v>LOGÍSTICA</v>
      </c>
      <c r="L918" s="77">
        <f>IFERROR(VLOOKUP(DESPESAS[[#This Row],[Plano de Contas]],BASE!$B$3:$H$119,6,FALSE),"")</f>
        <v>0</v>
      </c>
      <c r="M918" s="77" t="str">
        <f>VLOOKUP(DESPESAS[[#This Row],[Plano de Contas]],BASE!$B$3:$H$119,7,FALSE)</f>
        <v>MYLENA</v>
      </c>
    </row>
    <row r="919" spans="1:13" x14ac:dyDescent="0.25">
      <c r="A919" s="74">
        <v>197469</v>
      </c>
      <c r="B919" s="75" t="s">
        <v>221</v>
      </c>
      <c r="C919" s="75" t="s">
        <v>2635</v>
      </c>
      <c r="D919" s="76">
        <v>46048</v>
      </c>
      <c r="E919" s="75" t="s">
        <v>307</v>
      </c>
      <c r="F919" s="74">
        <v>10.5</v>
      </c>
      <c r="G919" s="75" t="s">
        <v>1037</v>
      </c>
      <c r="H919" s="77" t="str">
        <f>VLOOKUP(DESPESAS[[#This Row],[Plano de Contas]],BASE!$B$3:$D$119,3,FALSE)</f>
        <v>Construções e Reformas</v>
      </c>
      <c r="I919" s="77" t="str">
        <f>IFERROR(VLOOKUP(DESPESAS[[#This Row],[Fornecedor]],Tabela2[],2,FALSE),"")</f>
        <v>FERRAGENS GERAIS</v>
      </c>
      <c r="J919" s="77" t="str">
        <f>IFERROR(VLOOKUP(DESPESAS[[#This Row],[Plano de Contas]],BASE!$B$3:$F$119,4,FALSE),"")</f>
        <v>9 - INVESTIMENTOS</v>
      </c>
      <c r="K919" s="77" t="str">
        <f>IFERROR(VLOOKUP(DESPESAS[[#This Row],[Plano de Contas]],BASE!$B$3:$H$119,5,FALSE),"")</f>
        <v>MANUTENÇÃO / TI</v>
      </c>
      <c r="L919" s="77">
        <f>IFERROR(VLOOKUP(DESPESAS[[#This Row],[Plano de Contas]],BASE!$B$3:$H$119,6,FALSE),"")</f>
        <v>0</v>
      </c>
      <c r="M919" s="77" t="str">
        <f>VLOOKUP(DESPESAS[[#This Row],[Plano de Contas]],BASE!$B$3:$H$119,7,FALSE)</f>
        <v>FÁBIO</v>
      </c>
    </row>
    <row r="920" spans="1:13" x14ac:dyDescent="0.25">
      <c r="A920" s="74">
        <v>197470</v>
      </c>
      <c r="B920" s="75" t="s">
        <v>232</v>
      </c>
      <c r="C920" s="75" t="s">
        <v>2634</v>
      </c>
      <c r="D920" s="76">
        <v>46048</v>
      </c>
      <c r="E920" s="75" t="s">
        <v>1435</v>
      </c>
      <c r="F920" s="74">
        <v>1120</v>
      </c>
      <c r="G920" s="75" t="s">
        <v>244</v>
      </c>
      <c r="H920" s="77" t="str">
        <f>VLOOKUP(DESPESAS[[#This Row],[Plano de Contas]],BASE!$B$3:$D$119,3,FALSE)</f>
        <v>Material de Expediente (Prod)</v>
      </c>
      <c r="I920" s="77" t="str">
        <f>IFERROR(VLOOKUP(DESPESAS[[#This Row],[Fornecedor]],Tabela2[],2,FALSE),"")</f>
        <v/>
      </c>
      <c r="J920" s="77" t="str">
        <f>IFERROR(VLOOKUP(DESPESAS[[#This Row],[Plano de Contas]],BASE!$B$3:$F$119,4,FALSE),"")</f>
        <v>2 - CUSTOS DIRETOS</v>
      </c>
      <c r="K920" s="77" t="str">
        <f>IFERROR(VLOOKUP(DESPESAS[[#This Row],[Plano de Contas]],BASE!$B$3:$H$119,5,FALSE),"")</f>
        <v>PRODUÇÃO</v>
      </c>
      <c r="L920" s="77">
        <f>IFERROR(VLOOKUP(DESPESAS[[#This Row],[Plano de Contas]],BASE!$B$3:$H$119,6,FALSE),"")</f>
        <v>0</v>
      </c>
      <c r="M920" s="77" t="str">
        <f>VLOOKUP(DESPESAS[[#This Row],[Plano de Contas]],BASE!$B$3:$H$119,7,FALSE)</f>
        <v>RAFAEL</v>
      </c>
    </row>
    <row r="921" spans="1:13" x14ac:dyDescent="0.25">
      <c r="A921" s="74">
        <v>197471</v>
      </c>
      <c r="B921" s="75" t="s">
        <v>232</v>
      </c>
      <c r="C921" s="75" t="s">
        <v>2633</v>
      </c>
      <c r="D921" s="76">
        <v>46048</v>
      </c>
      <c r="E921" s="75" t="s">
        <v>327</v>
      </c>
      <c r="F921" s="74">
        <v>80.260000000000005</v>
      </c>
      <c r="G921" s="75" t="s">
        <v>244</v>
      </c>
      <c r="H921" s="77" t="str">
        <f>VLOOKUP(DESPESAS[[#This Row],[Plano de Contas]],BASE!$B$3:$D$119,3,FALSE)</f>
        <v>Material de Expediente (Prod)</v>
      </c>
      <c r="I921" s="77" t="str">
        <f>IFERROR(VLOOKUP(DESPESAS[[#This Row],[Fornecedor]],Tabela2[],2,FALSE),"")</f>
        <v>SERVIÇOS FRETE</v>
      </c>
      <c r="J921" s="77" t="str">
        <f>IFERROR(VLOOKUP(DESPESAS[[#This Row],[Plano de Contas]],BASE!$B$3:$F$119,4,FALSE),"")</f>
        <v>2 - CUSTOS DIRETOS</v>
      </c>
      <c r="K921" s="77" t="str">
        <f>IFERROR(VLOOKUP(DESPESAS[[#This Row],[Plano de Contas]],BASE!$B$3:$H$119,5,FALSE),"")</f>
        <v>PRODUÇÃO</v>
      </c>
      <c r="L921" s="77">
        <f>IFERROR(VLOOKUP(DESPESAS[[#This Row],[Plano de Contas]],BASE!$B$3:$H$119,6,FALSE),"")</f>
        <v>0</v>
      </c>
      <c r="M921" s="77" t="str">
        <f>VLOOKUP(DESPESAS[[#This Row],[Plano de Contas]],BASE!$B$3:$H$119,7,FALSE)</f>
        <v>RAFAEL</v>
      </c>
    </row>
    <row r="922" spans="1:13" x14ac:dyDescent="0.25">
      <c r="A922" s="74">
        <v>197472</v>
      </c>
      <c r="B922" s="75" t="s">
        <v>232</v>
      </c>
      <c r="C922" s="75" t="s">
        <v>2632</v>
      </c>
      <c r="D922" s="76">
        <v>46048</v>
      </c>
      <c r="E922" s="75" t="s">
        <v>1730</v>
      </c>
      <c r="F922" s="74">
        <v>808.37</v>
      </c>
      <c r="G922" s="75" t="s">
        <v>1318</v>
      </c>
      <c r="H922" s="77" t="str">
        <f>VLOOKUP(DESPESAS[[#This Row],[Plano de Contas]],BASE!$B$3:$D$119,3,FALSE)</f>
        <v>Feiras e Eventos</v>
      </c>
      <c r="I922" s="77" t="str">
        <f>IFERROR(VLOOKUP(DESPESAS[[#This Row],[Fornecedor]],Tabela2[],2,FALSE),"")</f>
        <v/>
      </c>
      <c r="J922" s="77" t="str">
        <f>IFERROR(VLOOKUP(DESPESAS[[#This Row],[Plano de Contas]],BASE!$B$3:$F$119,4,FALSE),"")</f>
        <v>6 - DESPESA COM VENDAS</v>
      </c>
      <c r="K922" s="77" t="str">
        <f>IFERROR(VLOOKUP(DESPESAS[[#This Row],[Plano de Contas]],BASE!$B$3:$H$119,5,FALSE),"")</f>
        <v>COMERCIAL</v>
      </c>
      <c r="L922" s="77">
        <f>IFERROR(VLOOKUP(DESPESAS[[#This Row],[Plano de Contas]],BASE!$B$3:$H$119,6,FALSE),"")</f>
        <v>0</v>
      </c>
      <c r="M922" s="77" t="str">
        <f>VLOOKUP(DESPESAS[[#This Row],[Plano de Contas]],BASE!$B$3:$H$119,7,FALSE)</f>
        <v>THAIS</v>
      </c>
    </row>
    <row r="923" spans="1:13" x14ac:dyDescent="0.25">
      <c r="A923" s="74">
        <v>197473</v>
      </c>
      <c r="B923" s="75" t="s">
        <v>232</v>
      </c>
      <c r="C923" s="75" t="s">
        <v>2631</v>
      </c>
      <c r="D923" s="76">
        <v>46048</v>
      </c>
      <c r="E923" s="75" t="s">
        <v>391</v>
      </c>
      <c r="F923" s="74">
        <v>391.11</v>
      </c>
      <c r="G923" s="75" t="s">
        <v>1318</v>
      </c>
      <c r="H923" s="77" t="str">
        <f>VLOOKUP(DESPESAS[[#This Row],[Plano de Contas]],BASE!$B$3:$D$119,3,FALSE)</f>
        <v>Feiras e Eventos</v>
      </c>
      <c r="I923" s="77" t="str">
        <f>IFERROR(VLOOKUP(DESPESAS[[#This Row],[Fornecedor]],Tabela2[],2,FALSE),"")</f>
        <v/>
      </c>
      <c r="J923" s="77" t="str">
        <f>IFERROR(VLOOKUP(DESPESAS[[#This Row],[Plano de Contas]],BASE!$B$3:$F$119,4,FALSE),"")</f>
        <v>6 - DESPESA COM VENDAS</v>
      </c>
      <c r="K923" s="77" t="str">
        <f>IFERROR(VLOOKUP(DESPESAS[[#This Row],[Plano de Contas]],BASE!$B$3:$H$119,5,FALSE),"")</f>
        <v>COMERCIAL</v>
      </c>
      <c r="L923" s="77">
        <f>IFERROR(VLOOKUP(DESPESAS[[#This Row],[Plano de Contas]],BASE!$B$3:$H$119,6,FALSE),"")</f>
        <v>0</v>
      </c>
      <c r="M923" s="77" t="str">
        <f>VLOOKUP(DESPESAS[[#This Row],[Plano de Contas]],BASE!$B$3:$H$119,7,FALSE)</f>
        <v>THAIS</v>
      </c>
    </row>
    <row r="924" spans="1:13" x14ac:dyDescent="0.25">
      <c r="A924" s="74">
        <v>197474</v>
      </c>
      <c r="B924" s="75" t="s">
        <v>232</v>
      </c>
      <c r="C924" s="75" t="s">
        <v>2630</v>
      </c>
      <c r="D924" s="76">
        <v>46048</v>
      </c>
      <c r="E924" s="75" t="s">
        <v>391</v>
      </c>
      <c r="F924" s="74">
        <v>40.74</v>
      </c>
      <c r="G924" s="75" t="s">
        <v>1318</v>
      </c>
      <c r="H924" s="77" t="str">
        <f>VLOOKUP(DESPESAS[[#This Row],[Plano de Contas]],BASE!$B$3:$D$119,3,FALSE)</f>
        <v>Feiras e Eventos</v>
      </c>
      <c r="I924" s="77" t="str">
        <f>IFERROR(VLOOKUP(DESPESAS[[#This Row],[Fornecedor]],Tabela2[],2,FALSE),"")</f>
        <v/>
      </c>
      <c r="J924" s="77" t="str">
        <f>IFERROR(VLOOKUP(DESPESAS[[#This Row],[Plano de Contas]],BASE!$B$3:$F$119,4,FALSE),"")</f>
        <v>6 - DESPESA COM VENDAS</v>
      </c>
      <c r="K924" s="77" t="str">
        <f>IFERROR(VLOOKUP(DESPESAS[[#This Row],[Plano de Contas]],BASE!$B$3:$H$119,5,FALSE),"")</f>
        <v>COMERCIAL</v>
      </c>
      <c r="L924" s="77">
        <f>IFERROR(VLOOKUP(DESPESAS[[#This Row],[Plano de Contas]],BASE!$B$3:$H$119,6,FALSE),"")</f>
        <v>0</v>
      </c>
      <c r="M924" s="77" t="str">
        <f>VLOOKUP(DESPESAS[[#This Row],[Plano de Contas]],BASE!$B$3:$H$119,7,FALSE)</f>
        <v>THAIS</v>
      </c>
    </row>
    <row r="925" spans="1:13" x14ac:dyDescent="0.25">
      <c r="A925" s="74">
        <v>197475</v>
      </c>
      <c r="B925" s="75" t="s">
        <v>221</v>
      </c>
      <c r="C925" s="75" t="s">
        <v>2629</v>
      </c>
      <c r="D925" s="76">
        <v>46048</v>
      </c>
      <c r="E925" s="75" t="s">
        <v>268</v>
      </c>
      <c r="F925" s="74">
        <v>700</v>
      </c>
      <c r="G925" s="75" t="s">
        <v>1318</v>
      </c>
      <c r="H925" s="77" t="str">
        <f>VLOOKUP(DESPESAS[[#This Row],[Plano de Contas]],BASE!$B$3:$D$119,3,FALSE)</f>
        <v>Feiras e Eventos</v>
      </c>
      <c r="I925" s="77" t="str">
        <f>IFERROR(VLOOKUP(DESPESAS[[#This Row],[Fornecedor]],Tabela2[],2,FALSE),"")</f>
        <v/>
      </c>
      <c r="J925" s="77" t="str">
        <f>IFERROR(VLOOKUP(DESPESAS[[#This Row],[Plano de Contas]],BASE!$B$3:$F$119,4,FALSE),"")</f>
        <v>6 - DESPESA COM VENDAS</v>
      </c>
      <c r="K925" s="77" t="str">
        <f>IFERROR(VLOOKUP(DESPESAS[[#This Row],[Plano de Contas]],BASE!$B$3:$H$119,5,FALSE),"")</f>
        <v>COMERCIAL</v>
      </c>
      <c r="L925" s="77">
        <f>IFERROR(VLOOKUP(DESPESAS[[#This Row],[Plano de Contas]],BASE!$B$3:$H$119,6,FALSE),"")</f>
        <v>0</v>
      </c>
      <c r="M925" s="77" t="str">
        <f>VLOOKUP(DESPESAS[[#This Row],[Plano de Contas]],BASE!$B$3:$H$119,7,FALSE)</f>
        <v>THAIS</v>
      </c>
    </row>
    <row r="926" spans="1:13" x14ac:dyDescent="0.25">
      <c r="A926" s="74">
        <v>197476</v>
      </c>
      <c r="B926" s="75" t="s">
        <v>221</v>
      </c>
      <c r="C926" s="75" t="s">
        <v>2628</v>
      </c>
      <c r="D926" s="76">
        <v>46048</v>
      </c>
      <c r="E926" s="75" t="s">
        <v>242</v>
      </c>
      <c r="F926" s="74">
        <v>617.65</v>
      </c>
      <c r="G926" s="75" t="s">
        <v>241</v>
      </c>
      <c r="H926" s="77" t="str">
        <f>VLOOKUP(DESPESAS[[#This Row],[Plano de Contas]],BASE!$B$3:$D$119,3,FALSE)</f>
        <v>Combustiveis Frota</v>
      </c>
      <c r="I926" s="77" t="str">
        <f>IFERROR(VLOOKUP(DESPESAS[[#This Row],[Fornecedor]],Tabela2[],2,FALSE),"")</f>
        <v/>
      </c>
      <c r="J926" s="77" t="str">
        <f>IFERROR(VLOOKUP(DESPESAS[[#This Row],[Plano de Contas]],BASE!$B$3:$F$119,4,FALSE),"")</f>
        <v>6 - DESPESA COM VENDAS</v>
      </c>
      <c r="K926" s="77" t="str">
        <f>IFERROR(VLOOKUP(DESPESAS[[#This Row],[Plano de Contas]],BASE!$B$3:$H$119,5,FALSE),"")</f>
        <v>LOGÍSTICA</v>
      </c>
      <c r="L926" s="77">
        <f>IFERROR(VLOOKUP(DESPESAS[[#This Row],[Plano de Contas]],BASE!$B$3:$H$119,6,FALSE),"")</f>
        <v>0</v>
      </c>
      <c r="M926" s="77" t="str">
        <f>VLOOKUP(DESPESAS[[#This Row],[Plano de Contas]],BASE!$B$3:$H$119,7,FALSE)</f>
        <v>MYLENA</v>
      </c>
    </row>
    <row r="927" spans="1:13" x14ac:dyDescent="0.25">
      <c r="A927" s="74">
        <v>197477</v>
      </c>
      <c r="B927" s="75" t="s">
        <v>281</v>
      </c>
      <c r="C927" s="75" t="s">
        <v>2627</v>
      </c>
      <c r="D927" s="76">
        <v>46048</v>
      </c>
      <c r="E927" s="75" t="s">
        <v>230</v>
      </c>
      <c r="F927" s="74">
        <v>1.58</v>
      </c>
      <c r="G927" s="75" t="s">
        <v>229</v>
      </c>
      <c r="H927" s="77" t="str">
        <f>VLOOKUP(DESPESAS[[#This Row],[Plano de Contas]],BASE!$B$3:$D$119,3,FALSE)</f>
        <v>Despesas Bancarias</v>
      </c>
      <c r="I927" s="77" t="str">
        <f>IFERROR(VLOOKUP(DESPESAS[[#This Row],[Fornecedor]],Tabela2[],2,FALSE),"")</f>
        <v/>
      </c>
      <c r="J927" s="77" t="str">
        <f>IFERROR(VLOOKUP(DESPESAS[[#This Row],[Plano de Contas]],BASE!$B$3:$F$119,4,FALSE),"")</f>
        <v>8 - DESPESAS FINANCEIRAS</v>
      </c>
      <c r="K927" s="77" t="str">
        <f>IFERROR(VLOOKUP(DESPESAS[[#This Row],[Plano de Contas]],BASE!$B$3:$H$119,5,FALSE),"")</f>
        <v>FINANCEIRO</v>
      </c>
      <c r="L927" s="77">
        <f>IFERROR(VLOOKUP(DESPESAS[[#This Row],[Plano de Contas]],BASE!$B$3:$H$119,6,FALSE),"")</f>
        <v>0</v>
      </c>
      <c r="M927" s="77" t="str">
        <f>VLOOKUP(DESPESAS[[#This Row],[Plano de Contas]],BASE!$B$3:$H$119,7,FALSE)</f>
        <v>LETÍCIA</v>
      </c>
    </row>
    <row r="928" spans="1:13" x14ac:dyDescent="0.25">
      <c r="A928" s="74">
        <v>197478</v>
      </c>
      <c r="B928" s="75" t="s">
        <v>281</v>
      </c>
      <c r="C928" s="75" t="s">
        <v>2626</v>
      </c>
      <c r="D928" s="76">
        <v>46048</v>
      </c>
      <c r="E928" s="75" t="s">
        <v>230</v>
      </c>
      <c r="F928" s="74">
        <v>1.58</v>
      </c>
      <c r="G928" s="75" t="s">
        <v>229</v>
      </c>
      <c r="H928" s="77" t="str">
        <f>VLOOKUP(DESPESAS[[#This Row],[Plano de Contas]],BASE!$B$3:$D$119,3,FALSE)</f>
        <v>Despesas Bancarias</v>
      </c>
      <c r="I928" s="77" t="str">
        <f>IFERROR(VLOOKUP(DESPESAS[[#This Row],[Fornecedor]],Tabela2[],2,FALSE),"")</f>
        <v/>
      </c>
      <c r="J928" s="77" t="str">
        <f>IFERROR(VLOOKUP(DESPESAS[[#This Row],[Plano de Contas]],BASE!$B$3:$F$119,4,FALSE),"")</f>
        <v>8 - DESPESAS FINANCEIRAS</v>
      </c>
      <c r="K928" s="77" t="str">
        <f>IFERROR(VLOOKUP(DESPESAS[[#This Row],[Plano de Contas]],BASE!$B$3:$H$119,5,FALSE),"")</f>
        <v>FINANCEIRO</v>
      </c>
      <c r="L928" s="77">
        <f>IFERROR(VLOOKUP(DESPESAS[[#This Row],[Plano de Contas]],BASE!$B$3:$H$119,6,FALSE),"")</f>
        <v>0</v>
      </c>
      <c r="M928" s="77" t="str">
        <f>VLOOKUP(DESPESAS[[#This Row],[Plano de Contas]],BASE!$B$3:$H$119,7,FALSE)</f>
        <v>LETÍCIA</v>
      </c>
    </row>
    <row r="929" spans="1:13" x14ac:dyDescent="0.25">
      <c r="A929" s="74">
        <v>197479</v>
      </c>
      <c r="B929" s="75" t="s">
        <v>279</v>
      </c>
      <c r="C929" s="75" t="s">
        <v>2625</v>
      </c>
      <c r="D929" s="76">
        <v>46048</v>
      </c>
      <c r="E929" s="75" t="s">
        <v>230</v>
      </c>
      <c r="F929" s="74">
        <v>0.79</v>
      </c>
      <c r="G929" s="75" t="s">
        <v>229</v>
      </c>
      <c r="H929" s="77" t="str">
        <f>VLOOKUP(DESPESAS[[#This Row],[Plano de Contas]],BASE!$B$3:$D$119,3,FALSE)</f>
        <v>Despesas Bancarias</v>
      </c>
      <c r="I929" s="77" t="str">
        <f>IFERROR(VLOOKUP(DESPESAS[[#This Row],[Fornecedor]],Tabela2[],2,FALSE),"")</f>
        <v/>
      </c>
      <c r="J929" s="77" t="str">
        <f>IFERROR(VLOOKUP(DESPESAS[[#This Row],[Plano de Contas]],BASE!$B$3:$F$119,4,FALSE),"")</f>
        <v>8 - DESPESAS FINANCEIRAS</v>
      </c>
      <c r="K929" s="77" t="str">
        <f>IFERROR(VLOOKUP(DESPESAS[[#This Row],[Plano de Contas]],BASE!$B$3:$H$119,5,FALSE),"")</f>
        <v>FINANCEIRO</v>
      </c>
      <c r="L929" s="77">
        <f>IFERROR(VLOOKUP(DESPESAS[[#This Row],[Plano de Contas]],BASE!$B$3:$H$119,6,FALSE),"")</f>
        <v>0</v>
      </c>
      <c r="M929" s="77" t="str">
        <f>VLOOKUP(DESPESAS[[#This Row],[Plano de Contas]],BASE!$B$3:$H$119,7,FALSE)</f>
        <v>LETÍCIA</v>
      </c>
    </row>
    <row r="930" spans="1:13" x14ac:dyDescent="0.25">
      <c r="A930" s="74">
        <v>197480</v>
      </c>
      <c r="B930" s="75" t="s">
        <v>279</v>
      </c>
      <c r="C930" s="75" t="s">
        <v>2624</v>
      </c>
      <c r="D930" s="76">
        <v>46048</v>
      </c>
      <c r="E930" s="75" t="s">
        <v>230</v>
      </c>
      <c r="F930" s="74">
        <v>0.79</v>
      </c>
      <c r="G930" s="75" t="s">
        <v>229</v>
      </c>
      <c r="H930" s="77" t="str">
        <f>VLOOKUP(DESPESAS[[#This Row],[Plano de Contas]],BASE!$B$3:$D$119,3,FALSE)</f>
        <v>Despesas Bancarias</v>
      </c>
      <c r="I930" s="77" t="str">
        <f>IFERROR(VLOOKUP(DESPESAS[[#This Row],[Fornecedor]],Tabela2[],2,FALSE),"")</f>
        <v/>
      </c>
      <c r="J930" s="77" t="str">
        <f>IFERROR(VLOOKUP(DESPESAS[[#This Row],[Plano de Contas]],BASE!$B$3:$F$119,4,FALSE),"")</f>
        <v>8 - DESPESAS FINANCEIRAS</v>
      </c>
      <c r="K930" s="77" t="str">
        <f>IFERROR(VLOOKUP(DESPESAS[[#This Row],[Plano de Contas]],BASE!$B$3:$H$119,5,FALSE),"")</f>
        <v>FINANCEIRO</v>
      </c>
      <c r="L930" s="77">
        <f>IFERROR(VLOOKUP(DESPESAS[[#This Row],[Plano de Contas]],BASE!$B$3:$H$119,6,FALSE),"")</f>
        <v>0</v>
      </c>
      <c r="M930" s="77" t="str">
        <f>VLOOKUP(DESPESAS[[#This Row],[Plano de Contas]],BASE!$B$3:$H$119,7,FALSE)</f>
        <v>LETÍCIA</v>
      </c>
    </row>
    <row r="931" spans="1:13" x14ac:dyDescent="0.25">
      <c r="A931" s="74">
        <v>197481</v>
      </c>
      <c r="B931" s="75" t="s">
        <v>221</v>
      </c>
      <c r="C931" s="75" t="s">
        <v>2623</v>
      </c>
      <c r="D931" s="76">
        <v>46049</v>
      </c>
      <c r="E931" s="75" t="s">
        <v>245</v>
      </c>
      <c r="F931" s="74">
        <v>45</v>
      </c>
      <c r="G931" s="75" t="s">
        <v>259</v>
      </c>
      <c r="H931" s="77" t="str">
        <f>VLOOKUP(DESPESAS[[#This Row],[Plano de Contas]],BASE!$B$3:$D$119,3,FALSE)</f>
        <v>Manutenção Predial CIF</v>
      </c>
      <c r="I931" s="77" t="str">
        <f>IFERROR(VLOOKUP(DESPESAS[[#This Row],[Fornecedor]],Tabela2[],2,FALSE),"")</f>
        <v>FERRAGENS GERAIS</v>
      </c>
      <c r="J931" s="77" t="str">
        <f>IFERROR(VLOOKUP(DESPESAS[[#This Row],[Plano de Contas]],BASE!$B$3:$F$119,4,FALSE),"")</f>
        <v>3 - CUSTOS INDIRETOS</v>
      </c>
      <c r="K931" s="77" t="str">
        <f>IFERROR(VLOOKUP(DESPESAS[[#This Row],[Plano de Contas]],BASE!$B$3:$H$119,5,FALSE),"")</f>
        <v>MANUTENÇÃO / TI</v>
      </c>
      <c r="L931" s="77">
        <f>IFERROR(VLOOKUP(DESPESAS[[#This Row],[Plano de Contas]],BASE!$B$3:$H$119,6,FALSE),"")</f>
        <v>0</v>
      </c>
      <c r="M931" s="77" t="str">
        <f>VLOOKUP(DESPESAS[[#This Row],[Plano de Contas]],BASE!$B$3:$H$119,7,FALSE)</f>
        <v>FÁBIO</v>
      </c>
    </row>
    <row r="932" spans="1:13" x14ac:dyDescent="0.25">
      <c r="A932" s="74">
        <v>197482</v>
      </c>
      <c r="B932" s="75" t="s">
        <v>221</v>
      </c>
      <c r="C932" s="75" t="s">
        <v>2622</v>
      </c>
      <c r="D932" s="76">
        <v>46048</v>
      </c>
      <c r="E932" s="75" t="s">
        <v>1394</v>
      </c>
      <c r="F932" s="74">
        <v>1.9</v>
      </c>
      <c r="G932" s="75" t="s">
        <v>229</v>
      </c>
      <c r="H932" s="77" t="str">
        <f>VLOOKUP(DESPESAS[[#This Row],[Plano de Contas]],BASE!$B$3:$D$119,3,FALSE)</f>
        <v>Despesas Bancarias</v>
      </c>
      <c r="I932" s="77" t="str">
        <f>IFERROR(VLOOKUP(DESPESAS[[#This Row],[Fornecedor]],Tabela2[],2,FALSE),"")</f>
        <v/>
      </c>
      <c r="J932" s="77" t="str">
        <f>IFERROR(VLOOKUP(DESPESAS[[#This Row],[Plano de Contas]],BASE!$B$3:$F$119,4,FALSE),"")</f>
        <v>8 - DESPESAS FINANCEIRAS</v>
      </c>
      <c r="K932" s="77" t="str">
        <f>IFERROR(VLOOKUP(DESPESAS[[#This Row],[Plano de Contas]],BASE!$B$3:$H$119,5,FALSE),"")</f>
        <v>FINANCEIRO</v>
      </c>
      <c r="L932" s="77">
        <f>IFERROR(VLOOKUP(DESPESAS[[#This Row],[Plano de Contas]],BASE!$B$3:$H$119,6,FALSE),"")</f>
        <v>0</v>
      </c>
      <c r="M932" s="77" t="str">
        <f>VLOOKUP(DESPESAS[[#This Row],[Plano de Contas]],BASE!$B$3:$H$119,7,FALSE)</f>
        <v>LETÍCIA</v>
      </c>
    </row>
    <row r="933" spans="1:13" x14ac:dyDescent="0.25">
      <c r="A933" s="74">
        <v>197484</v>
      </c>
      <c r="B933" s="75" t="s">
        <v>232</v>
      </c>
      <c r="C933" s="75" t="s">
        <v>2621</v>
      </c>
      <c r="D933" s="76">
        <v>46048</v>
      </c>
      <c r="E933" s="75" t="s">
        <v>230</v>
      </c>
      <c r="F933" s="74">
        <v>29.23</v>
      </c>
      <c r="G933" s="75" t="s">
        <v>229</v>
      </c>
      <c r="H933" s="77" t="str">
        <f>VLOOKUP(DESPESAS[[#This Row],[Plano de Contas]],BASE!$B$3:$D$119,3,FALSE)</f>
        <v>Despesas Bancarias</v>
      </c>
      <c r="I933" s="77" t="str">
        <f>IFERROR(VLOOKUP(DESPESAS[[#This Row],[Fornecedor]],Tabela2[],2,FALSE),"")</f>
        <v/>
      </c>
      <c r="J933" s="77" t="str">
        <f>IFERROR(VLOOKUP(DESPESAS[[#This Row],[Plano de Contas]],BASE!$B$3:$F$119,4,FALSE),"")</f>
        <v>8 - DESPESAS FINANCEIRAS</v>
      </c>
      <c r="K933" s="77" t="str">
        <f>IFERROR(VLOOKUP(DESPESAS[[#This Row],[Plano de Contas]],BASE!$B$3:$H$119,5,FALSE),"")</f>
        <v>FINANCEIRO</v>
      </c>
      <c r="L933" s="77">
        <f>IFERROR(VLOOKUP(DESPESAS[[#This Row],[Plano de Contas]],BASE!$B$3:$H$119,6,FALSE),"")</f>
        <v>0</v>
      </c>
      <c r="M933" s="77" t="str">
        <f>VLOOKUP(DESPESAS[[#This Row],[Plano de Contas]],BASE!$B$3:$H$119,7,FALSE)</f>
        <v>LETÍCIA</v>
      </c>
    </row>
    <row r="934" spans="1:13" x14ac:dyDescent="0.25">
      <c r="A934" s="74">
        <v>197485</v>
      </c>
      <c r="B934" s="75" t="s">
        <v>232</v>
      </c>
      <c r="C934" s="75" t="s">
        <v>2620</v>
      </c>
      <c r="D934" s="76">
        <v>46049</v>
      </c>
      <c r="E934" s="75" t="s">
        <v>230</v>
      </c>
      <c r="F934" s="74">
        <v>2.56</v>
      </c>
      <c r="G934" s="75" t="s">
        <v>229</v>
      </c>
      <c r="H934" s="77" t="str">
        <f>VLOOKUP(DESPESAS[[#This Row],[Plano de Contas]],BASE!$B$3:$D$119,3,FALSE)</f>
        <v>Despesas Bancarias</v>
      </c>
      <c r="I934" s="77" t="str">
        <f>IFERROR(VLOOKUP(DESPESAS[[#This Row],[Fornecedor]],Tabela2[],2,FALSE),"")</f>
        <v/>
      </c>
      <c r="J934" s="77" t="str">
        <f>IFERROR(VLOOKUP(DESPESAS[[#This Row],[Plano de Contas]],BASE!$B$3:$F$119,4,FALSE),"")</f>
        <v>8 - DESPESAS FINANCEIRAS</v>
      </c>
      <c r="K934" s="77" t="str">
        <f>IFERROR(VLOOKUP(DESPESAS[[#This Row],[Plano de Contas]],BASE!$B$3:$H$119,5,FALSE),"")</f>
        <v>FINANCEIRO</v>
      </c>
      <c r="L934" s="77">
        <f>IFERROR(VLOOKUP(DESPESAS[[#This Row],[Plano de Contas]],BASE!$B$3:$H$119,6,FALSE),"")</f>
        <v>0</v>
      </c>
      <c r="M934" s="77" t="str">
        <f>VLOOKUP(DESPESAS[[#This Row],[Plano de Contas]],BASE!$B$3:$H$119,7,FALSE)</f>
        <v>LETÍCIA</v>
      </c>
    </row>
    <row r="935" spans="1:13" x14ac:dyDescent="0.25">
      <c r="A935" s="74">
        <v>197486</v>
      </c>
      <c r="B935" s="75" t="s">
        <v>232</v>
      </c>
      <c r="C935" s="75" t="s">
        <v>2619</v>
      </c>
      <c r="D935" s="76">
        <v>46049</v>
      </c>
      <c r="E935" s="75" t="s">
        <v>230</v>
      </c>
      <c r="F935" s="74">
        <v>11.53</v>
      </c>
      <c r="G935" s="75" t="s">
        <v>229</v>
      </c>
      <c r="H935" s="77" t="str">
        <f>VLOOKUP(DESPESAS[[#This Row],[Plano de Contas]],BASE!$B$3:$D$119,3,FALSE)</f>
        <v>Despesas Bancarias</v>
      </c>
      <c r="I935" s="77" t="str">
        <f>IFERROR(VLOOKUP(DESPESAS[[#This Row],[Fornecedor]],Tabela2[],2,FALSE),"")</f>
        <v/>
      </c>
      <c r="J935" s="77" t="str">
        <f>IFERROR(VLOOKUP(DESPESAS[[#This Row],[Plano de Contas]],BASE!$B$3:$F$119,4,FALSE),"")</f>
        <v>8 - DESPESAS FINANCEIRAS</v>
      </c>
      <c r="K935" s="77" t="str">
        <f>IFERROR(VLOOKUP(DESPESAS[[#This Row],[Plano de Contas]],BASE!$B$3:$H$119,5,FALSE),"")</f>
        <v>FINANCEIRO</v>
      </c>
      <c r="L935" s="77">
        <f>IFERROR(VLOOKUP(DESPESAS[[#This Row],[Plano de Contas]],BASE!$B$3:$H$119,6,FALSE),"")</f>
        <v>0</v>
      </c>
      <c r="M935" s="77" t="str">
        <f>VLOOKUP(DESPESAS[[#This Row],[Plano de Contas]],BASE!$B$3:$H$119,7,FALSE)</f>
        <v>LETÍCIA</v>
      </c>
    </row>
    <row r="936" spans="1:13" x14ac:dyDescent="0.25">
      <c r="A936" s="74">
        <v>197487</v>
      </c>
      <c r="B936" s="75" t="s">
        <v>232</v>
      </c>
      <c r="C936" s="75" t="s">
        <v>2618</v>
      </c>
      <c r="D936" s="76">
        <v>46053</v>
      </c>
      <c r="E936" s="75" t="s">
        <v>1079</v>
      </c>
      <c r="F936" s="74">
        <v>351</v>
      </c>
      <c r="G936" s="75" t="s">
        <v>1078</v>
      </c>
      <c r="H936" s="77" t="str">
        <f>VLOOKUP(DESPESAS[[#This Row],[Plano de Contas]],BASE!$B$3:$D$119,3,FALSE)</f>
        <v>SPC/Serasa/Associacao</v>
      </c>
      <c r="I936" s="77" t="str">
        <f>IFERROR(VLOOKUP(DESPESAS[[#This Row],[Fornecedor]],Tabela2[],2,FALSE),"")</f>
        <v/>
      </c>
      <c r="J936" s="77" t="str">
        <f>IFERROR(VLOOKUP(DESPESAS[[#This Row],[Plano de Contas]],BASE!$B$3:$F$119,4,FALSE),"")</f>
        <v>5 - DESPESAS ADMINISTRATIVAS</v>
      </c>
      <c r="K936" s="77" t="str">
        <f>IFERROR(VLOOKUP(DESPESAS[[#This Row],[Plano de Contas]],BASE!$B$3:$H$119,5,FALSE),"")</f>
        <v>FINANCEIRO</v>
      </c>
      <c r="L936" s="77">
        <f>IFERROR(VLOOKUP(DESPESAS[[#This Row],[Plano de Contas]],BASE!$B$3:$H$119,6,FALSE),"")</f>
        <v>0</v>
      </c>
      <c r="M936" s="77" t="str">
        <f>VLOOKUP(DESPESAS[[#This Row],[Plano de Contas]],BASE!$B$3:$H$119,7,FALSE)</f>
        <v>LETÍCIA</v>
      </c>
    </row>
    <row r="937" spans="1:13" x14ac:dyDescent="0.25">
      <c r="A937" s="74">
        <v>197488</v>
      </c>
      <c r="B937" s="75" t="s">
        <v>221</v>
      </c>
      <c r="C937" s="75" t="s">
        <v>2617</v>
      </c>
      <c r="D937" s="76">
        <v>46049</v>
      </c>
      <c r="E937" s="75" t="s">
        <v>2616</v>
      </c>
      <c r="F937" s="74">
        <v>720</v>
      </c>
      <c r="G937" s="75" t="s">
        <v>1318</v>
      </c>
      <c r="H937" s="77" t="str">
        <f>VLOOKUP(DESPESAS[[#This Row],[Plano de Contas]],BASE!$B$3:$D$119,3,FALSE)</f>
        <v>Feiras e Eventos</v>
      </c>
      <c r="I937" s="77" t="str">
        <f>IFERROR(VLOOKUP(DESPESAS[[#This Row],[Fornecedor]],Tabela2[],2,FALSE),"")</f>
        <v/>
      </c>
      <c r="J937" s="77" t="str">
        <f>IFERROR(VLOOKUP(DESPESAS[[#This Row],[Plano de Contas]],BASE!$B$3:$F$119,4,FALSE),"")</f>
        <v>6 - DESPESA COM VENDAS</v>
      </c>
      <c r="K937" s="77" t="str">
        <f>IFERROR(VLOOKUP(DESPESAS[[#This Row],[Plano de Contas]],BASE!$B$3:$H$119,5,FALSE),"")</f>
        <v>COMERCIAL</v>
      </c>
      <c r="L937" s="77">
        <f>IFERROR(VLOOKUP(DESPESAS[[#This Row],[Plano de Contas]],BASE!$B$3:$H$119,6,FALSE),"")</f>
        <v>0</v>
      </c>
      <c r="M937" s="77" t="str">
        <f>VLOOKUP(DESPESAS[[#This Row],[Plano de Contas]],BASE!$B$3:$H$119,7,FALSE)</f>
        <v>THAIS</v>
      </c>
    </row>
    <row r="938" spans="1:13" x14ac:dyDescent="0.25">
      <c r="A938" s="74">
        <v>197489</v>
      </c>
      <c r="B938" s="75" t="s">
        <v>221</v>
      </c>
      <c r="C938" s="75" t="s">
        <v>2615</v>
      </c>
      <c r="D938" s="76">
        <v>46049</v>
      </c>
      <c r="E938" s="75" t="s">
        <v>1466</v>
      </c>
      <c r="F938" s="74">
        <v>345</v>
      </c>
      <c r="G938" s="75" t="s">
        <v>238</v>
      </c>
      <c r="H938" s="77" t="str">
        <f>VLOOKUP(DESPESAS[[#This Row],[Plano de Contas]],BASE!$B$3:$D$119,3,FALSE)</f>
        <v>Consultoria Comercial</v>
      </c>
      <c r="I938" s="77" t="str">
        <f>IFERROR(VLOOKUP(DESPESAS[[#This Row],[Fornecedor]],Tabela2[],2,FALSE),"")</f>
        <v/>
      </c>
      <c r="J938" s="77" t="str">
        <f>IFERROR(VLOOKUP(DESPESAS[[#This Row],[Plano de Contas]],BASE!$B$3:$F$119,4,FALSE),"")</f>
        <v>6 - DESPESA COM VENDAS</v>
      </c>
      <c r="K938" s="77" t="str">
        <f>IFERROR(VLOOKUP(DESPESAS[[#This Row],[Plano de Contas]],BASE!$B$3:$H$119,5,FALSE),"")</f>
        <v>COMERCIAL</v>
      </c>
      <c r="L938" s="77">
        <f>IFERROR(VLOOKUP(DESPESAS[[#This Row],[Plano de Contas]],BASE!$B$3:$H$119,6,FALSE),"")</f>
        <v>0</v>
      </c>
      <c r="M938" s="77" t="str">
        <f>VLOOKUP(DESPESAS[[#This Row],[Plano de Contas]],BASE!$B$3:$H$119,7,FALSE)</f>
        <v>LETÍCIA</v>
      </c>
    </row>
    <row r="939" spans="1:13" x14ac:dyDescent="0.25">
      <c r="A939" s="74">
        <v>197490</v>
      </c>
      <c r="B939" s="75" t="s">
        <v>232</v>
      </c>
      <c r="C939" s="75" t="s">
        <v>2614</v>
      </c>
      <c r="D939" s="76">
        <v>46049</v>
      </c>
      <c r="E939" s="75" t="s">
        <v>1339</v>
      </c>
      <c r="F939" s="74">
        <v>947.53</v>
      </c>
      <c r="G939" s="75" t="s">
        <v>294</v>
      </c>
      <c r="H939" s="77" t="str">
        <f>VLOOKUP(DESPESAS[[#This Row],[Plano de Contas]],BASE!$B$3:$D$119,3,FALSE)</f>
        <v>Insumos de Clientes</v>
      </c>
      <c r="I939" s="77" t="str">
        <f>IFERROR(VLOOKUP(DESPESAS[[#This Row],[Fornecedor]],Tabela2[],2,FALSE),"")</f>
        <v/>
      </c>
      <c r="J939" s="77" t="str">
        <f>IFERROR(VLOOKUP(DESPESAS[[#This Row],[Plano de Contas]],BASE!$B$3:$F$119,4,FALSE),"")</f>
        <v>8 - DESPESAS FINANCEIRAS</v>
      </c>
      <c r="K939" s="77" t="str">
        <f>IFERROR(VLOOKUP(DESPESAS[[#This Row],[Plano de Contas]],BASE!$B$3:$H$119,5,FALSE),"")</f>
        <v>COMERCIAL</v>
      </c>
      <c r="L939" s="77">
        <f>IFERROR(VLOOKUP(DESPESAS[[#This Row],[Plano de Contas]],BASE!$B$3:$H$119,6,FALSE),"")</f>
        <v>0</v>
      </c>
      <c r="M939" s="77" t="str">
        <f>VLOOKUP(DESPESAS[[#This Row],[Plano de Contas]],BASE!$B$3:$H$119,7,FALSE)</f>
        <v>LETÍCIA</v>
      </c>
    </row>
    <row r="940" spans="1:13" x14ac:dyDescent="0.25">
      <c r="A940" s="74">
        <v>197491</v>
      </c>
      <c r="B940" s="75" t="s">
        <v>232</v>
      </c>
      <c r="C940" s="75" t="s">
        <v>2613</v>
      </c>
      <c r="D940" s="76">
        <v>46049</v>
      </c>
      <c r="E940" s="75" t="s">
        <v>230</v>
      </c>
      <c r="F940" s="74">
        <v>248.14</v>
      </c>
      <c r="G940" s="75" t="s">
        <v>229</v>
      </c>
      <c r="H940" s="77" t="str">
        <f>VLOOKUP(DESPESAS[[#This Row],[Plano de Contas]],BASE!$B$3:$D$119,3,FALSE)</f>
        <v>Despesas Bancarias</v>
      </c>
      <c r="I940" s="77" t="str">
        <f>IFERROR(VLOOKUP(DESPESAS[[#This Row],[Fornecedor]],Tabela2[],2,FALSE),"")</f>
        <v/>
      </c>
      <c r="J940" s="77" t="str">
        <f>IFERROR(VLOOKUP(DESPESAS[[#This Row],[Plano de Contas]],BASE!$B$3:$F$119,4,FALSE),"")</f>
        <v>8 - DESPESAS FINANCEIRAS</v>
      </c>
      <c r="K940" s="77" t="str">
        <f>IFERROR(VLOOKUP(DESPESAS[[#This Row],[Plano de Contas]],BASE!$B$3:$H$119,5,FALSE),"")</f>
        <v>FINANCEIRO</v>
      </c>
      <c r="L940" s="77">
        <f>IFERROR(VLOOKUP(DESPESAS[[#This Row],[Plano de Contas]],BASE!$B$3:$H$119,6,FALSE),"")</f>
        <v>0</v>
      </c>
      <c r="M940" s="77" t="str">
        <f>VLOOKUP(DESPESAS[[#This Row],[Plano de Contas]],BASE!$B$3:$H$119,7,FALSE)</f>
        <v>LETÍCIA</v>
      </c>
    </row>
    <row r="941" spans="1:13" x14ac:dyDescent="0.25">
      <c r="A941" s="74">
        <v>197492</v>
      </c>
      <c r="B941" s="75" t="s">
        <v>232</v>
      </c>
      <c r="C941" s="75" t="s">
        <v>2612</v>
      </c>
      <c r="D941" s="76">
        <v>46049</v>
      </c>
      <c r="E941" s="75" t="s">
        <v>230</v>
      </c>
      <c r="F941" s="74">
        <v>184.11</v>
      </c>
      <c r="G941" s="75" t="s">
        <v>229</v>
      </c>
      <c r="H941" s="77" t="str">
        <f>VLOOKUP(DESPESAS[[#This Row],[Plano de Contas]],BASE!$B$3:$D$119,3,FALSE)</f>
        <v>Despesas Bancarias</v>
      </c>
      <c r="I941" s="77" t="str">
        <f>IFERROR(VLOOKUP(DESPESAS[[#This Row],[Fornecedor]],Tabela2[],2,FALSE),"")</f>
        <v/>
      </c>
      <c r="J941" s="77" t="str">
        <f>IFERROR(VLOOKUP(DESPESAS[[#This Row],[Plano de Contas]],BASE!$B$3:$F$119,4,FALSE),"")</f>
        <v>8 - DESPESAS FINANCEIRAS</v>
      </c>
      <c r="K941" s="77" t="str">
        <f>IFERROR(VLOOKUP(DESPESAS[[#This Row],[Plano de Contas]],BASE!$B$3:$H$119,5,FALSE),"")</f>
        <v>FINANCEIRO</v>
      </c>
      <c r="L941" s="77">
        <f>IFERROR(VLOOKUP(DESPESAS[[#This Row],[Plano de Contas]],BASE!$B$3:$H$119,6,FALSE),"")</f>
        <v>0</v>
      </c>
      <c r="M941" s="77" t="str">
        <f>VLOOKUP(DESPESAS[[#This Row],[Plano de Contas]],BASE!$B$3:$H$119,7,FALSE)</f>
        <v>LETÍCIA</v>
      </c>
    </row>
    <row r="942" spans="1:13" x14ac:dyDescent="0.25">
      <c r="A942" s="74">
        <v>197493</v>
      </c>
      <c r="B942" s="75" t="s">
        <v>232</v>
      </c>
      <c r="C942" s="75" t="s">
        <v>2611</v>
      </c>
      <c r="D942" s="76">
        <v>46049</v>
      </c>
      <c r="E942" s="75" t="s">
        <v>230</v>
      </c>
      <c r="F942" s="74">
        <v>1519.7</v>
      </c>
      <c r="G942" s="75" t="s">
        <v>251</v>
      </c>
      <c r="H942" s="77" t="str">
        <f>VLOOKUP(DESPESAS[[#This Row],[Plano de Contas]],BASE!$B$3:$D$119,3,FALSE)</f>
        <v>Juros Pagos - Antecipação de Crédito</v>
      </c>
      <c r="I942" s="77" t="str">
        <f>IFERROR(VLOOKUP(DESPESAS[[#This Row],[Fornecedor]],Tabela2[],2,FALSE),"")</f>
        <v/>
      </c>
      <c r="J942" s="77" t="str">
        <f>IFERROR(VLOOKUP(DESPESAS[[#This Row],[Plano de Contas]],BASE!$B$3:$F$119,4,FALSE),"")</f>
        <v>8 - DESPESAS FINANCEIRAS</v>
      </c>
      <c r="K942" s="77" t="str">
        <f>IFERROR(VLOOKUP(DESPESAS[[#This Row],[Plano de Contas]],BASE!$B$3:$H$119,5,FALSE),"")</f>
        <v>FINANCEIRO</v>
      </c>
      <c r="L942" s="77">
        <f>IFERROR(VLOOKUP(DESPESAS[[#This Row],[Plano de Contas]],BASE!$B$3:$H$119,6,FALSE),"")</f>
        <v>0</v>
      </c>
      <c r="M942" s="77" t="str">
        <f>VLOOKUP(DESPESAS[[#This Row],[Plano de Contas]],BASE!$B$3:$H$119,7,FALSE)</f>
        <v>LETÍCIA</v>
      </c>
    </row>
    <row r="943" spans="1:13" x14ac:dyDescent="0.25">
      <c r="A943" s="74">
        <v>197494</v>
      </c>
      <c r="B943" s="75" t="s">
        <v>221</v>
      </c>
      <c r="C943" s="75" t="s">
        <v>2610</v>
      </c>
      <c r="D943" s="76">
        <v>46063</v>
      </c>
      <c r="E943" s="75" t="s">
        <v>1583</v>
      </c>
      <c r="F943" s="74">
        <v>163</v>
      </c>
      <c r="G943" s="75" t="s">
        <v>1582</v>
      </c>
      <c r="H943" s="77" t="str">
        <f>VLOOKUP(DESPESAS[[#This Row],[Plano de Contas]],BASE!$B$3:$D$119,3,FALSE)</f>
        <v>Contabilidade</v>
      </c>
      <c r="I943" s="77" t="str">
        <f>IFERROR(VLOOKUP(DESPESAS[[#This Row],[Fornecedor]],Tabela2[],2,FALSE),"")</f>
        <v/>
      </c>
      <c r="J943" s="77" t="str">
        <f>IFERROR(VLOOKUP(DESPESAS[[#This Row],[Plano de Contas]],BASE!$B$3:$F$119,4,FALSE),"")</f>
        <v>7 - SERVIÇOS DE TERCEIROS</v>
      </c>
      <c r="K943" s="77" t="str">
        <f>IFERROR(VLOOKUP(DESPESAS[[#This Row],[Plano de Contas]],BASE!$B$3:$H$119,5,FALSE),"")</f>
        <v>FINANCEIRO</v>
      </c>
      <c r="L943" s="77">
        <f>IFERROR(VLOOKUP(DESPESAS[[#This Row],[Plano de Contas]],BASE!$B$3:$H$119,6,FALSE),"")</f>
        <v>0</v>
      </c>
      <c r="M943" s="77" t="str">
        <f>VLOOKUP(DESPESAS[[#This Row],[Plano de Contas]],BASE!$B$3:$H$119,7,FALSE)</f>
        <v>LETÍCIA</v>
      </c>
    </row>
    <row r="944" spans="1:13" x14ac:dyDescent="0.25">
      <c r="A944" s="74">
        <v>197495</v>
      </c>
      <c r="B944" s="75" t="s">
        <v>221</v>
      </c>
      <c r="C944" s="75" t="s">
        <v>2610</v>
      </c>
      <c r="D944" s="76">
        <v>46091</v>
      </c>
      <c r="E944" s="75" t="s">
        <v>1583</v>
      </c>
      <c r="F944" s="74">
        <v>163</v>
      </c>
      <c r="G944" s="75" t="s">
        <v>1582</v>
      </c>
      <c r="H944" s="77" t="str">
        <f>VLOOKUP(DESPESAS[[#This Row],[Plano de Contas]],BASE!$B$3:$D$119,3,FALSE)</f>
        <v>Contabilidade</v>
      </c>
      <c r="I944" s="77" t="str">
        <f>IFERROR(VLOOKUP(DESPESAS[[#This Row],[Fornecedor]],Tabela2[],2,FALSE),"")</f>
        <v/>
      </c>
      <c r="J944" s="77" t="str">
        <f>IFERROR(VLOOKUP(DESPESAS[[#This Row],[Plano de Contas]],BASE!$B$3:$F$119,4,FALSE),"")</f>
        <v>7 - SERVIÇOS DE TERCEIROS</v>
      </c>
      <c r="K944" s="77" t="str">
        <f>IFERROR(VLOOKUP(DESPESAS[[#This Row],[Plano de Contas]],BASE!$B$3:$H$119,5,FALSE),"")</f>
        <v>FINANCEIRO</v>
      </c>
      <c r="L944" s="77">
        <f>IFERROR(VLOOKUP(DESPESAS[[#This Row],[Plano de Contas]],BASE!$B$3:$H$119,6,FALSE),"")</f>
        <v>0</v>
      </c>
      <c r="M944" s="77" t="str">
        <f>VLOOKUP(DESPESAS[[#This Row],[Plano de Contas]],BASE!$B$3:$H$119,7,FALSE)</f>
        <v>LETÍCIA</v>
      </c>
    </row>
    <row r="945" spans="1:13" x14ac:dyDescent="0.25">
      <c r="A945" s="74">
        <v>197496</v>
      </c>
      <c r="B945" s="75" t="s">
        <v>221</v>
      </c>
      <c r="C945" s="75" t="s">
        <v>2610</v>
      </c>
      <c r="D945" s="76">
        <v>46122</v>
      </c>
      <c r="E945" s="75" t="s">
        <v>1583</v>
      </c>
      <c r="F945" s="74">
        <v>163</v>
      </c>
      <c r="G945" s="75" t="s">
        <v>1582</v>
      </c>
      <c r="H945" s="77" t="str">
        <f>VLOOKUP(DESPESAS[[#This Row],[Plano de Contas]],BASE!$B$3:$D$119,3,FALSE)</f>
        <v>Contabilidade</v>
      </c>
      <c r="I945" s="77" t="str">
        <f>IFERROR(VLOOKUP(DESPESAS[[#This Row],[Fornecedor]],Tabela2[],2,FALSE),"")</f>
        <v/>
      </c>
      <c r="J945" s="77" t="str">
        <f>IFERROR(VLOOKUP(DESPESAS[[#This Row],[Plano de Contas]],BASE!$B$3:$F$119,4,FALSE),"")</f>
        <v>7 - SERVIÇOS DE TERCEIROS</v>
      </c>
      <c r="K945" s="77" t="str">
        <f>IFERROR(VLOOKUP(DESPESAS[[#This Row],[Plano de Contas]],BASE!$B$3:$H$119,5,FALSE),"")</f>
        <v>FINANCEIRO</v>
      </c>
      <c r="L945" s="77">
        <f>IFERROR(VLOOKUP(DESPESAS[[#This Row],[Plano de Contas]],BASE!$B$3:$H$119,6,FALSE),"")</f>
        <v>0</v>
      </c>
      <c r="M945" s="77" t="str">
        <f>VLOOKUP(DESPESAS[[#This Row],[Plano de Contas]],BASE!$B$3:$H$119,7,FALSE)</f>
        <v>LETÍCIA</v>
      </c>
    </row>
    <row r="946" spans="1:13" x14ac:dyDescent="0.25">
      <c r="A946" s="74">
        <v>197497</v>
      </c>
      <c r="B946" s="75" t="s">
        <v>221</v>
      </c>
      <c r="C946" s="75" t="s">
        <v>2610</v>
      </c>
      <c r="D946" s="76">
        <v>46152</v>
      </c>
      <c r="E946" s="75" t="s">
        <v>1583</v>
      </c>
      <c r="F946" s="74">
        <v>163</v>
      </c>
      <c r="G946" s="75" t="s">
        <v>1582</v>
      </c>
      <c r="H946" s="77" t="str">
        <f>VLOOKUP(DESPESAS[[#This Row],[Plano de Contas]],BASE!$B$3:$D$119,3,FALSE)</f>
        <v>Contabilidade</v>
      </c>
      <c r="I946" s="77" t="str">
        <f>IFERROR(VLOOKUP(DESPESAS[[#This Row],[Fornecedor]],Tabela2[],2,FALSE),"")</f>
        <v/>
      </c>
      <c r="J946" s="77" t="str">
        <f>IFERROR(VLOOKUP(DESPESAS[[#This Row],[Plano de Contas]],BASE!$B$3:$F$119,4,FALSE),"")</f>
        <v>7 - SERVIÇOS DE TERCEIROS</v>
      </c>
      <c r="K946" s="77" t="str">
        <f>IFERROR(VLOOKUP(DESPESAS[[#This Row],[Plano de Contas]],BASE!$B$3:$H$119,5,FALSE),"")</f>
        <v>FINANCEIRO</v>
      </c>
      <c r="L946" s="77">
        <f>IFERROR(VLOOKUP(DESPESAS[[#This Row],[Plano de Contas]],BASE!$B$3:$H$119,6,FALSE),"")</f>
        <v>0</v>
      </c>
      <c r="M946" s="77" t="str">
        <f>VLOOKUP(DESPESAS[[#This Row],[Plano de Contas]],BASE!$B$3:$H$119,7,FALSE)</f>
        <v>LETÍCIA</v>
      </c>
    </row>
    <row r="947" spans="1:13" x14ac:dyDescent="0.25">
      <c r="A947" s="74">
        <v>197506</v>
      </c>
      <c r="B947" s="75" t="s">
        <v>232</v>
      </c>
      <c r="C947" s="75" t="s">
        <v>2610</v>
      </c>
      <c r="D947" s="76">
        <v>46063</v>
      </c>
      <c r="E947" s="75" t="s">
        <v>1583</v>
      </c>
      <c r="F947" s="74">
        <v>5132</v>
      </c>
      <c r="G947" s="75" t="s">
        <v>1582</v>
      </c>
      <c r="H947" s="77" t="str">
        <f>VLOOKUP(DESPESAS[[#This Row],[Plano de Contas]],BASE!$B$3:$D$119,3,FALSE)</f>
        <v>Contabilidade</v>
      </c>
      <c r="I947" s="77" t="str">
        <f>IFERROR(VLOOKUP(DESPESAS[[#This Row],[Fornecedor]],Tabela2[],2,FALSE),"")</f>
        <v/>
      </c>
      <c r="J947" s="77" t="str">
        <f>IFERROR(VLOOKUP(DESPESAS[[#This Row],[Plano de Contas]],BASE!$B$3:$F$119,4,FALSE),"")</f>
        <v>7 - SERVIÇOS DE TERCEIROS</v>
      </c>
      <c r="K947" s="77" t="str">
        <f>IFERROR(VLOOKUP(DESPESAS[[#This Row],[Plano de Contas]],BASE!$B$3:$H$119,5,FALSE),"")</f>
        <v>FINANCEIRO</v>
      </c>
      <c r="L947" s="77">
        <f>IFERROR(VLOOKUP(DESPESAS[[#This Row],[Plano de Contas]],BASE!$B$3:$H$119,6,FALSE),"")</f>
        <v>0</v>
      </c>
      <c r="M947" s="77" t="str">
        <f>VLOOKUP(DESPESAS[[#This Row],[Plano de Contas]],BASE!$B$3:$H$119,7,FALSE)</f>
        <v>LETÍCIA</v>
      </c>
    </row>
    <row r="948" spans="1:13" x14ac:dyDescent="0.25">
      <c r="A948" s="74">
        <v>197507</v>
      </c>
      <c r="B948" s="75" t="s">
        <v>232</v>
      </c>
      <c r="C948" s="75" t="s">
        <v>2610</v>
      </c>
      <c r="D948" s="76">
        <v>46076</v>
      </c>
      <c r="E948" s="75" t="s">
        <v>1583</v>
      </c>
      <c r="F948" s="74">
        <v>5132</v>
      </c>
      <c r="G948" s="75" t="s">
        <v>1582</v>
      </c>
      <c r="H948" s="77" t="str">
        <f>VLOOKUP(DESPESAS[[#This Row],[Plano de Contas]],BASE!$B$3:$D$119,3,FALSE)</f>
        <v>Contabilidade</v>
      </c>
      <c r="I948" s="77" t="str">
        <f>IFERROR(VLOOKUP(DESPESAS[[#This Row],[Fornecedor]],Tabela2[],2,FALSE),"")</f>
        <v/>
      </c>
      <c r="J948" s="77" t="str">
        <f>IFERROR(VLOOKUP(DESPESAS[[#This Row],[Plano de Contas]],BASE!$B$3:$F$119,4,FALSE),"")</f>
        <v>7 - SERVIÇOS DE TERCEIROS</v>
      </c>
      <c r="K948" s="77" t="str">
        <f>IFERROR(VLOOKUP(DESPESAS[[#This Row],[Plano de Contas]],BASE!$B$3:$H$119,5,FALSE),"")</f>
        <v>FINANCEIRO</v>
      </c>
      <c r="L948" s="77">
        <f>IFERROR(VLOOKUP(DESPESAS[[#This Row],[Plano de Contas]],BASE!$B$3:$H$119,6,FALSE),"")</f>
        <v>0</v>
      </c>
      <c r="M948" s="77" t="str">
        <f>VLOOKUP(DESPESAS[[#This Row],[Plano de Contas]],BASE!$B$3:$H$119,7,FALSE)</f>
        <v>LETÍCIA</v>
      </c>
    </row>
    <row r="949" spans="1:13" x14ac:dyDescent="0.25">
      <c r="A949" s="74">
        <v>197508</v>
      </c>
      <c r="B949" s="75" t="s">
        <v>232</v>
      </c>
      <c r="C949" s="75" t="s">
        <v>2610</v>
      </c>
      <c r="D949" s="76">
        <v>46091</v>
      </c>
      <c r="E949" s="75" t="s">
        <v>1583</v>
      </c>
      <c r="F949" s="74">
        <v>5132</v>
      </c>
      <c r="G949" s="75" t="s">
        <v>1582</v>
      </c>
      <c r="H949" s="77" t="str">
        <f>VLOOKUP(DESPESAS[[#This Row],[Plano de Contas]],BASE!$B$3:$D$119,3,FALSE)</f>
        <v>Contabilidade</v>
      </c>
      <c r="I949" s="77" t="str">
        <f>IFERROR(VLOOKUP(DESPESAS[[#This Row],[Fornecedor]],Tabela2[],2,FALSE),"")</f>
        <v/>
      </c>
      <c r="J949" s="77" t="str">
        <f>IFERROR(VLOOKUP(DESPESAS[[#This Row],[Plano de Contas]],BASE!$B$3:$F$119,4,FALSE),"")</f>
        <v>7 - SERVIÇOS DE TERCEIROS</v>
      </c>
      <c r="K949" s="77" t="str">
        <f>IFERROR(VLOOKUP(DESPESAS[[#This Row],[Plano de Contas]],BASE!$B$3:$H$119,5,FALSE),"")</f>
        <v>FINANCEIRO</v>
      </c>
      <c r="L949" s="77">
        <f>IFERROR(VLOOKUP(DESPESAS[[#This Row],[Plano de Contas]],BASE!$B$3:$H$119,6,FALSE),"")</f>
        <v>0</v>
      </c>
      <c r="M949" s="77" t="str">
        <f>VLOOKUP(DESPESAS[[#This Row],[Plano de Contas]],BASE!$B$3:$H$119,7,FALSE)</f>
        <v>LETÍCIA</v>
      </c>
    </row>
    <row r="950" spans="1:13" x14ac:dyDescent="0.25">
      <c r="A950" s="74">
        <v>197509</v>
      </c>
      <c r="B950" s="75" t="s">
        <v>232</v>
      </c>
      <c r="C950" s="75" t="s">
        <v>2610</v>
      </c>
      <c r="D950" s="76">
        <v>46104</v>
      </c>
      <c r="E950" s="75" t="s">
        <v>1583</v>
      </c>
      <c r="F950" s="74">
        <v>5132</v>
      </c>
      <c r="G950" s="75" t="s">
        <v>1582</v>
      </c>
      <c r="H950" s="77" t="str">
        <f>VLOOKUP(DESPESAS[[#This Row],[Plano de Contas]],BASE!$B$3:$D$119,3,FALSE)</f>
        <v>Contabilidade</v>
      </c>
      <c r="I950" s="77" t="str">
        <f>IFERROR(VLOOKUP(DESPESAS[[#This Row],[Fornecedor]],Tabela2[],2,FALSE),"")</f>
        <v/>
      </c>
      <c r="J950" s="77" t="str">
        <f>IFERROR(VLOOKUP(DESPESAS[[#This Row],[Plano de Contas]],BASE!$B$3:$F$119,4,FALSE),"")</f>
        <v>7 - SERVIÇOS DE TERCEIROS</v>
      </c>
      <c r="K950" s="77" t="str">
        <f>IFERROR(VLOOKUP(DESPESAS[[#This Row],[Plano de Contas]],BASE!$B$3:$H$119,5,FALSE),"")</f>
        <v>FINANCEIRO</v>
      </c>
      <c r="L950" s="77">
        <f>IFERROR(VLOOKUP(DESPESAS[[#This Row],[Plano de Contas]],BASE!$B$3:$H$119,6,FALSE),"")</f>
        <v>0</v>
      </c>
      <c r="M950" s="77" t="str">
        <f>VLOOKUP(DESPESAS[[#This Row],[Plano de Contas]],BASE!$B$3:$H$119,7,FALSE)</f>
        <v>LETÍCIA</v>
      </c>
    </row>
    <row r="951" spans="1:13" x14ac:dyDescent="0.25">
      <c r="A951" s="74">
        <v>197510</v>
      </c>
      <c r="B951" s="75" t="s">
        <v>232</v>
      </c>
      <c r="C951" s="75" t="s">
        <v>2610</v>
      </c>
      <c r="D951" s="76">
        <v>46122</v>
      </c>
      <c r="E951" s="75" t="s">
        <v>1583</v>
      </c>
      <c r="F951" s="74">
        <v>5132</v>
      </c>
      <c r="G951" s="75" t="s">
        <v>1582</v>
      </c>
      <c r="H951" s="77" t="str">
        <f>VLOOKUP(DESPESAS[[#This Row],[Plano de Contas]],BASE!$B$3:$D$119,3,FALSE)</f>
        <v>Contabilidade</v>
      </c>
      <c r="I951" s="77" t="str">
        <f>IFERROR(VLOOKUP(DESPESAS[[#This Row],[Fornecedor]],Tabela2[],2,FALSE),"")</f>
        <v/>
      </c>
      <c r="J951" s="77" t="str">
        <f>IFERROR(VLOOKUP(DESPESAS[[#This Row],[Plano de Contas]],BASE!$B$3:$F$119,4,FALSE),"")</f>
        <v>7 - SERVIÇOS DE TERCEIROS</v>
      </c>
      <c r="K951" s="77" t="str">
        <f>IFERROR(VLOOKUP(DESPESAS[[#This Row],[Plano de Contas]],BASE!$B$3:$H$119,5,FALSE),"")</f>
        <v>FINANCEIRO</v>
      </c>
      <c r="L951" s="77">
        <f>IFERROR(VLOOKUP(DESPESAS[[#This Row],[Plano de Contas]],BASE!$B$3:$H$119,6,FALSE),"")</f>
        <v>0</v>
      </c>
      <c r="M951" s="77" t="str">
        <f>VLOOKUP(DESPESAS[[#This Row],[Plano de Contas]],BASE!$B$3:$H$119,7,FALSE)</f>
        <v>LETÍCIA</v>
      </c>
    </row>
    <row r="952" spans="1:13" x14ac:dyDescent="0.25">
      <c r="A952" s="74">
        <v>197511</v>
      </c>
      <c r="B952" s="75" t="s">
        <v>232</v>
      </c>
      <c r="C952" s="75" t="s">
        <v>2610</v>
      </c>
      <c r="D952" s="76">
        <v>46135</v>
      </c>
      <c r="E952" s="75" t="s">
        <v>1583</v>
      </c>
      <c r="F952" s="74">
        <v>5132</v>
      </c>
      <c r="G952" s="75" t="s">
        <v>1582</v>
      </c>
      <c r="H952" s="77" t="str">
        <f>VLOOKUP(DESPESAS[[#This Row],[Plano de Contas]],BASE!$B$3:$D$119,3,FALSE)</f>
        <v>Contabilidade</v>
      </c>
      <c r="I952" s="77" t="str">
        <f>IFERROR(VLOOKUP(DESPESAS[[#This Row],[Fornecedor]],Tabela2[],2,FALSE),"")</f>
        <v/>
      </c>
      <c r="J952" s="77" t="str">
        <f>IFERROR(VLOOKUP(DESPESAS[[#This Row],[Plano de Contas]],BASE!$B$3:$F$119,4,FALSE),"")</f>
        <v>7 - SERVIÇOS DE TERCEIROS</v>
      </c>
      <c r="K952" s="77" t="str">
        <f>IFERROR(VLOOKUP(DESPESAS[[#This Row],[Plano de Contas]],BASE!$B$3:$H$119,5,FALSE),"")</f>
        <v>FINANCEIRO</v>
      </c>
      <c r="L952" s="77">
        <f>IFERROR(VLOOKUP(DESPESAS[[#This Row],[Plano de Contas]],BASE!$B$3:$H$119,6,FALSE),"")</f>
        <v>0</v>
      </c>
      <c r="M952" s="77" t="str">
        <f>VLOOKUP(DESPESAS[[#This Row],[Plano de Contas]],BASE!$B$3:$H$119,7,FALSE)</f>
        <v>LETÍCIA</v>
      </c>
    </row>
    <row r="953" spans="1:13" x14ac:dyDescent="0.25">
      <c r="A953" s="74">
        <v>197512</v>
      </c>
      <c r="B953" s="75" t="s">
        <v>232</v>
      </c>
      <c r="C953" s="75" t="s">
        <v>2610</v>
      </c>
      <c r="D953" s="76">
        <v>46152</v>
      </c>
      <c r="E953" s="75" t="s">
        <v>1583</v>
      </c>
      <c r="F953" s="74">
        <v>5132</v>
      </c>
      <c r="G953" s="75" t="s">
        <v>1582</v>
      </c>
      <c r="H953" s="77" t="str">
        <f>VLOOKUP(DESPESAS[[#This Row],[Plano de Contas]],BASE!$B$3:$D$119,3,FALSE)</f>
        <v>Contabilidade</v>
      </c>
      <c r="I953" s="77" t="str">
        <f>IFERROR(VLOOKUP(DESPESAS[[#This Row],[Fornecedor]],Tabela2[],2,FALSE),"")</f>
        <v/>
      </c>
      <c r="J953" s="77" t="str">
        <f>IFERROR(VLOOKUP(DESPESAS[[#This Row],[Plano de Contas]],BASE!$B$3:$F$119,4,FALSE),"")</f>
        <v>7 - SERVIÇOS DE TERCEIROS</v>
      </c>
      <c r="K953" s="77" t="str">
        <f>IFERROR(VLOOKUP(DESPESAS[[#This Row],[Plano de Contas]],BASE!$B$3:$H$119,5,FALSE),"")</f>
        <v>FINANCEIRO</v>
      </c>
      <c r="L953" s="77">
        <f>IFERROR(VLOOKUP(DESPESAS[[#This Row],[Plano de Contas]],BASE!$B$3:$H$119,6,FALSE),"")</f>
        <v>0</v>
      </c>
      <c r="M953" s="77" t="str">
        <f>VLOOKUP(DESPESAS[[#This Row],[Plano de Contas]],BASE!$B$3:$H$119,7,FALSE)</f>
        <v>LETÍCIA</v>
      </c>
    </row>
    <row r="954" spans="1:13" x14ac:dyDescent="0.25">
      <c r="A954" s="74">
        <v>197530</v>
      </c>
      <c r="B954" s="75" t="s">
        <v>281</v>
      </c>
      <c r="C954" s="75" t="s">
        <v>2610</v>
      </c>
      <c r="D954" s="76">
        <v>46058</v>
      </c>
      <c r="E954" s="75" t="s">
        <v>1583</v>
      </c>
      <c r="F954" s="74">
        <v>715</v>
      </c>
      <c r="G954" s="75" t="s">
        <v>1582</v>
      </c>
      <c r="H954" s="77" t="str">
        <f>VLOOKUP(DESPESAS[[#This Row],[Plano de Contas]],BASE!$B$3:$D$119,3,FALSE)</f>
        <v>Contabilidade</v>
      </c>
      <c r="I954" s="77" t="str">
        <f>IFERROR(VLOOKUP(DESPESAS[[#This Row],[Fornecedor]],Tabela2[],2,FALSE),"")</f>
        <v/>
      </c>
      <c r="J954" s="77" t="str">
        <f>IFERROR(VLOOKUP(DESPESAS[[#This Row],[Plano de Contas]],BASE!$B$3:$F$119,4,FALSE),"")</f>
        <v>7 - SERVIÇOS DE TERCEIROS</v>
      </c>
      <c r="K954" s="77" t="str">
        <f>IFERROR(VLOOKUP(DESPESAS[[#This Row],[Plano de Contas]],BASE!$B$3:$H$119,5,FALSE),"")</f>
        <v>FINANCEIRO</v>
      </c>
      <c r="L954" s="77">
        <f>IFERROR(VLOOKUP(DESPESAS[[#This Row],[Plano de Contas]],BASE!$B$3:$H$119,6,FALSE),"")</f>
        <v>0</v>
      </c>
      <c r="M954" s="77" t="str">
        <f>VLOOKUP(DESPESAS[[#This Row],[Plano de Contas]],BASE!$B$3:$H$119,7,FALSE)</f>
        <v>LETÍCIA</v>
      </c>
    </row>
    <row r="955" spans="1:13" x14ac:dyDescent="0.25">
      <c r="A955" s="74">
        <v>197531</v>
      </c>
      <c r="B955" s="75" t="s">
        <v>281</v>
      </c>
      <c r="C955" s="75" t="s">
        <v>2610</v>
      </c>
      <c r="D955" s="76">
        <v>46086</v>
      </c>
      <c r="E955" s="75" t="s">
        <v>1583</v>
      </c>
      <c r="F955" s="74">
        <v>715</v>
      </c>
      <c r="G955" s="75" t="s">
        <v>1582</v>
      </c>
      <c r="H955" s="77" t="str">
        <f>VLOOKUP(DESPESAS[[#This Row],[Plano de Contas]],BASE!$B$3:$D$119,3,FALSE)</f>
        <v>Contabilidade</v>
      </c>
      <c r="I955" s="77" t="str">
        <f>IFERROR(VLOOKUP(DESPESAS[[#This Row],[Fornecedor]],Tabela2[],2,FALSE),"")</f>
        <v/>
      </c>
      <c r="J955" s="77" t="str">
        <f>IFERROR(VLOOKUP(DESPESAS[[#This Row],[Plano de Contas]],BASE!$B$3:$F$119,4,FALSE),"")</f>
        <v>7 - SERVIÇOS DE TERCEIROS</v>
      </c>
      <c r="K955" s="77" t="str">
        <f>IFERROR(VLOOKUP(DESPESAS[[#This Row],[Plano de Contas]],BASE!$B$3:$H$119,5,FALSE),"")</f>
        <v>FINANCEIRO</v>
      </c>
      <c r="L955" s="77">
        <f>IFERROR(VLOOKUP(DESPESAS[[#This Row],[Plano de Contas]],BASE!$B$3:$H$119,6,FALSE),"")</f>
        <v>0</v>
      </c>
      <c r="M955" s="77" t="str">
        <f>VLOOKUP(DESPESAS[[#This Row],[Plano de Contas]],BASE!$B$3:$H$119,7,FALSE)</f>
        <v>LETÍCIA</v>
      </c>
    </row>
    <row r="956" spans="1:13" x14ac:dyDescent="0.25">
      <c r="A956" s="74">
        <v>197532</v>
      </c>
      <c r="B956" s="75" t="s">
        <v>281</v>
      </c>
      <c r="C956" s="75" t="s">
        <v>2610</v>
      </c>
      <c r="D956" s="76">
        <v>46117</v>
      </c>
      <c r="E956" s="75" t="s">
        <v>1583</v>
      </c>
      <c r="F956" s="74">
        <v>715</v>
      </c>
      <c r="G956" s="75" t="s">
        <v>1582</v>
      </c>
      <c r="H956" s="77" t="str">
        <f>VLOOKUP(DESPESAS[[#This Row],[Plano de Contas]],BASE!$B$3:$D$119,3,FALSE)</f>
        <v>Contabilidade</v>
      </c>
      <c r="I956" s="77" t="str">
        <f>IFERROR(VLOOKUP(DESPESAS[[#This Row],[Fornecedor]],Tabela2[],2,FALSE),"")</f>
        <v/>
      </c>
      <c r="J956" s="77" t="str">
        <f>IFERROR(VLOOKUP(DESPESAS[[#This Row],[Plano de Contas]],BASE!$B$3:$F$119,4,FALSE),"")</f>
        <v>7 - SERVIÇOS DE TERCEIROS</v>
      </c>
      <c r="K956" s="77" t="str">
        <f>IFERROR(VLOOKUP(DESPESAS[[#This Row],[Plano de Contas]],BASE!$B$3:$H$119,5,FALSE),"")</f>
        <v>FINANCEIRO</v>
      </c>
      <c r="L956" s="77">
        <f>IFERROR(VLOOKUP(DESPESAS[[#This Row],[Plano de Contas]],BASE!$B$3:$H$119,6,FALSE),"")</f>
        <v>0</v>
      </c>
      <c r="M956" s="77" t="str">
        <f>VLOOKUP(DESPESAS[[#This Row],[Plano de Contas]],BASE!$B$3:$H$119,7,FALSE)</f>
        <v>LETÍCIA</v>
      </c>
    </row>
    <row r="957" spans="1:13" x14ac:dyDescent="0.25">
      <c r="A957" s="74">
        <v>197533</v>
      </c>
      <c r="B957" s="75" t="s">
        <v>281</v>
      </c>
      <c r="C957" s="75" t="s">
        <v>2610</v>
      </c>
      <c r="D957" s="76">
        <v>46147</v>
      </c>
      <c r="E957" s="75" t="s">
        <v>1583</v>
      </c>
      <c r="F957" s="74">
        <v>715</v>
      </c>
      <c r="G957" s="75" t="s">
        <v>1582</v>
      </c>
      <c r="H957" s="77" t="str">
        <f>VLOOKUP(DESPESAS[[#This Row],[Plano de Contas]],BASE!$B$3:$D$119,3,FALSE)</f>
        <v>Contabilidade</v>
      </c>
      <c r="I957" s="77" t="str">
        <f>IFERROR(VLOOKUP(DESPESAS[[#This Row],[Fornecedor]],Tabela2[],2,FALSE),"")</f>
        <v/>
      </c>
      <c r="J957" s="77" t="str">
        <f>IFERROR(VLOOKUP(DESPESAS[[#This Row],[Plano de Contas]],BASE!$B$3:$F$119,4,FALSE),"")</f>
        <v>7 - SERVIÇOS DE TERCEIROS</v>
      </c>
      <c r="K957" s="77" t="str">
        <f>IFERROR(VLOOKUP(DESPESAS[[#This Row],[Plano de Contas]],BASE!$B$3:$H$119,5,FALSE),"")</f>
        <v>FINANCEIRO</v>
      </c>
      <c r="L957" s="77">
        <f>IFERROR(VLOOKUP(DESPESAS[[#This Row],[Plano de Contas]],BASE!$B$3:$H$119,6,FALSE),"")</f>
        <v>0</v>
      </c>
      <c r="M957" s="77" t="str">
        <f>VLOOKUP(DESPESAS[[#This Row],[Plano de Contas]],BASE!$B$3:$H$119,7,FALSE)</f>
        <v>LETÍCIA</v>
      </c>
    </row>
    <row r="958" spans="1:13" x14ac:dyDescent="0.25">
      <c r="A958" s="74">
        <v>197542</v>
      </c>
      <c r="B958" s="75" t="s">
        <v>279</v>
      </c>
      <c r="C958" s="75" t="s">
        <v>2610</v>
      </c>
      <c r="D958" s="76">
        <v>46063</v>
      </c>
      <c r="E958" s="75" t="s">
        <v>1583</v>
      </c>
      <c r="F958" s="74">
        <v>738</v>
      </c>
      <c r="G958" s="75" t="s">
        <v>1582</v>
      </c>
      <c r="H958" s="77" t="str">
        <f>VLOOKUP(DESPESAS[[#This Row],[Plano de Contas]],BASE!$B$3:$D$119,3,FALSE)</f>
        <v>Contabilidade</v>
      </c>
      <c r="I958" s="77" t="str">
        <f>IFERROR(VLOOKUP(DESPESAS[[#This Row],[Fornecedor]],Tabela2[],2,FALSE),"")</f>
        <v/>
      </c>
      <c r="J958" s="77" t="str">
        <f>IFERROR(VLOOKUP(DESPESAS[[#This Row],[Plano de Contas]],BASE!$B$3:$F$119,4,FALSE),"")</f>
        <v>7 - SERVIÇOS DE TERCEIROS</v>
      </c>
      <c r="K958" s="77" t="str">
        <f>IFERROR(VLOOKUP(DESPESAS[[#This Row],[Plano de Contas]],BASE!$B$3:$H$119,5,FALSE),"")</f>
        <v>FINANCEIRO</v>
      </c>
      <c r="L958" s="77">
        <f>IFERROR(VLOOKUP(DESPESAS[[#This Row],[Plano de Contas]],BASE!$B$3:$H$119,6,FALSE),"")</f>
        <v>0</v>
      </c>
      <c r="M958" s="77" t="str">
        <f>VLOOKUP(DESPESAS[[#This Row],[Plano de Contas]],BASE!$B$3:$H$119,7,FALSE)</f>
        <v>LETÍCIA</v>
      </c>
    </row>
    <row r="959" spans="1:13" x14ac:dyDescent="0.25">
      <c r="A959" s="74">
        <v>197543</v>
      </c>
      <c r="B959" s="75" t="s">
        <v>279</v>
      </c>
      <c r="C959" s="75" t="s">
        <v>2610</v>
      </c>
      <c r="D959" s="76">
        <v>46091</v>
      </c>
      <c r="E959" s="75" t="s">
        <v>1583</v>
      </c>
      <c r="F959" s="74">
        <v>738</v>
      </c>
      <c r="G959" s="75" t="s">
        <v>1582</v>
      </c>
      <c r="H959" s="77" t="str">
        <f>VLOOKUP(DESPESAS[[#This Row],[Plano de Contas]],BASE!$B$3:$D$119,3,FALSE)</f>
        <v>Contabilidade</v>
      </c>
      <c r="I959" s="77" t="str">
        <f>IFERROR(VLOOKUP(DESPESAS[[#This Row],[Fornecedor]],Tabela2[],2,FALSE),"")</f>
        <v/>
      </c>
      <c r="J959" s="77" t="str">
        <f>IFERROR(VLOOKUP(DESPESAS[[#This Row],[Plano de Contas]],BASE!$B$3:$F$119,4,FALSE),"")</f>
        <v>7 - SERVIÇOS DE TERCEIROS</v>
      </c>
      <c r="K959" s="77" t="str">
        <f>IFERROR(VLOOKUP(DESPESAS[[#This Row],[Plano de Contas]],BASE!$B$3:$H$119,5,FALSE),"")</f>
        <v>FINANCEIRO</v>
      </c>
      <c r="L959" s="77">
        <f>IFERROR(VLOOKUP(DESPESAS[[#This Row],[Plano de Contas]],BASE!$B$3:$H$119,6,FALSE),"")</f>
        <v>0</v>
      </c>
      <c r="M959" s="77" t="str">
        <f>VLOOKUP(DESPESAS[[#This Row],[Plano de Contas]],BASE!$B$3:$H$119,7,FALSE)</f>
        <v>LETÍCIA</v>
      </c>
    </row>
    <row r="960" spans="1:13" x14ac:dyDescent="0.25">
      <c r="A960" s="74">
        <v>197544</v>
      </c>
      <c r="B960" s="75" t="s">
        <v>279</v>
      </c>
      <c r="C960" s="75" t="s">
        <v>2610</v>
      </c>
      <c r="D960" s="76">
        <v>46122</v>
      </c>
      <c r="E960" s="75" t="s">
        <v>1583</v>
      </c>
      <c r="F960" s="74">
        <v>738</v>
      </c>
      <c r="G960" s="75" t="s">
        <v>1582</v>
      </c>
      <c r="H960" s="77" t="str">
        <f>VLOOKUP(DESPESAS[[#This Row],[Plano de Contas]],BASE!$B$3:$D$119,3,FALSE)</f>
        <v>Contabilidade</v>
      </c>
      <c r="I960" s="77" t="str">
        <f>IFERROR(VLOOKUP(DESPESAS[[#This Row],[Fornecedor]],Tabela2[],2,FALSE),"")</f>
        <v/>
      </c>
      <c r="J960" s="77" t="str">
        <f>IFERROR(VLOOKUP(DESPESAS[[#This Row],[Plano de Contas]],BASE!$B$3:$F$119,4,FALSE),"")</f>
        <v>7 - SERVIÇOS DE TERCEIROS</v>
      </c>
      <c r="K960" s="77" t="str">
        <f>IFERROR(VLOOKUP(DESPESAS[[#This Row],[Plano de Contas]],BASE!$B$3:$H$119,5,FALSE),"")</f>
        <v>FINANCEIRO</v>
      </c>
      <c r="L960" s="77">
        <f>IFERROR(VLOOKUP(DESPESAS[[#This Row],[Plano de Contas]],BASE!$B$3:$H$119,6,FALSE),"")</f>
        <v>0</v>
      </c>
      <c r="M960" s="77" t="str">
        <f>VLOOKUP(DESPESAS[[#This Row],[Plano de Contas]],BASE!$B$3:$H$119,7,FALSE)</f>
        <v>LETÍCIA</v>
      </c>
    </row>
    <row r="961" spans="1:13" x14ac:dyDescent="0.25">
      <c r="A961" s="74">
        <v>197545</v>
      </c>
      <c r="B961" s="75" t="s">
        <v>279</v>
      </c>
      <c r="C961" s="75" t="s">
        <v>2610</v>
      </c>
      <c r="D961" s="76">
        <v>46152</v>
      </c>
      <c r="E961" s="75" t="s">
        <v>1583</v>
      </c>
      <c r="F961" s="74">
        <v>738</v>
      </c>
      <c r="G961" s="75" t="s">
        <v>1582</v>
      </c>
      <c r="H961" s="77" t="str">
        <f>VLOOKUP(DESPESAS[[#This Row],[Plano de Contas]],BASE!$B$3:$D$119,3,FALSE)</f>
        <v>Contabilidade</v>
      </c>
      <c r="I961" s="77" t="str">
        <f>IFERROR(VLOOKUP(DESPESAS[[#This Row],[Fornecedor]],Tabela2[],2,FALSE),"")</f>
        <v/>
      </c>
      <c r="J961" s="77" t="str">
        <f>IFERROR(VLOOKUP(DESPESAS[[#This Row],[Plano de Contas]],BASE!$B$3:$F$119,4,FALSE),"")</f>
        <v>7 - SERVIÇOS DE TERCEIROS</v>
      </c>
      <c r="K961" s="77" t="str">
        <f>IFERROR(VLOOKUP(DESPESAS[[#This Row],[Plano de Contas]],BASE!$B$3:$H$119,5,FALSE),"")</f>
        <v>FINANCEIRO</v>
      </c>
      <c r="L961" s="77">
        <f>IFERROR(VLOOKUP(DESPESAS[[#This Row],[Plano de Contas]],BASE!$B$3:$H$119,6,FALSE),"")</f>
        <v>0</v>
      </c>
      <c r="M961" s="77" t="str">
        <f>VLOOKUP(DESPESAS[[#This Row],[Plano de Contas]],BASE!$B$3:$H$119,7,FALSE)</f>
        <v>LETÍCIA</v>
      </c>
    </row>
    <row r="962" spans="1:13" x14ac:dyDescent="0.25">
      <c r="A962" s="74">
        <v>197554</v>
      </c>
      <c r="B962" s="75" t="s">
        <v>221</v>
      </c>
      <c r="C962" s="75" t="s">
        <v>2609</v>
      </c>
      <c r="D962" s="76">
        <v>46049</v>
      </c>
      <c r="E962" s="75" t="s">
        <v>442</v>
      </c>
      <c r="F962" s="74">
        <v>1798.5</v>
      </c>
      <c r="G962" s="75" t="s">
        <v>262</v>
      </c>
      <c r="H962" s="77" t="str">
        <f>VLOOKUP(DESPESAS[[#This Row],[Plano de Contas]],BASE!$B$3:$D$119,3,FALSE)</f>
        <v>Fretes Karams</v>
      </c>
      <c r="I962" s="77" t="str">
        <f>IFERROR(VLOOKUP(DESPESAS[[#This Row],[Fornecedor]],Tabela2[],2,FALSE),"")</f>
        <v/>
      </c>
      <c r="J962" s="77" t="str">
        <f>IFERROR(VLOOKUP(DESPESAS[[#This Row],[Plano de Contas]],BASE!$B$3:$F$119,4,FALSE),"")</f>
        <v>6 - DESPESA COM VENDAS</v>
      </c>
      <c r="K962" s="77" t="str">
        <f>IFERROR(VLOOKUP(DESPESAS[[#This Row],[Plano de Contas]],BASE!$B$3:$H$119,5,FALSE),"")</f>
        <v>LOGÍSTICA</v>
      </c>
      <c r="L962" s="77">
        <f>IFERROR(VLOOKUP(DESPESAS[[#This Row],[Plano de Contas]],BASE!$B$3:$H$119,6,FALSE),"")</f>
        <v>0</v>
      </c>
      <c r="M962" s="77" t="str">
        <f>VLOOKUP(DESPESAS[[#This Row],[Plano de Contas]],BASE!$B$3:$H$119,7,FALSE)</f>
        <v>MYLENA</v>
      </c>
    </row>
    <row r="963" spans="1:13" x14ac:dyDescent="0.25">
      <c r="A963" s="74">
        <v>197555</v>
      </c>
      <c r="B963" s="75" t="s">
        <v>221</v>
      </c>
      <c r="C963" s="75" t="s">
        <v>2608</v>
      </c>
      <c r="D963" s="76">
        <v>46049</v>
      </c>
      <c r="E963" s="75" t="s">
        <v>442</v>
      </c>
      <c r="F963" s="74">
        <v>15</v>
      </c>
      <c r="G963" s="75" t="s">
        <v>247</v>
      </c>
      <c r="H963" s="77" t="str">
        <f>VLOOKUP(DESPESAS[[#This Row],[Plano de Contas]],BASE!$B$3:$D$119,3,FALSE)</f>
        <v>Manutenção com veiculos</v>
      </c>
      <c r="I963" s="77" t="str">
        <f>IFERROR(VLOOKUP(DESPESAS[[#This Row],[Fornecedor]],Tabela2[],2,FALSE),"")</f>
        <v/>
      </c>
      <c r="J963" s="77" t="str">
        <f>IFERROR(VLOOKUP(DESPESAS[[#This Row],[Plano de Contas]],BASE!$B$3:$F$119,4,FALSE),"")</f>
        <v>6 - DESPESA COM VENDAS</v>
      </c>
      <c r="K963" s="77" t="str">
        <f>IFERROR(VLOOKUP(DESPESAS[[#This Row],[Plano de Contas]],BASE!$B$3:$H$119,5,FALSE),"")</f>
        <v>LOGÍSTICA</v>
      </c>
      <c r="L963" s="77">
        <f>IFERROR(VLOOKUP(DESPESAS[[#This Row],[Plano de Contas]],BASE!$B$3:$H$119,6,FALSE),"")</f>
        <v>0</v>
      </c>
      <c r="M963" s="77" t="str">
        <f>VLOOKUP(DESPESAS[[#This Row],[Plano de Contas]],BASE!$B$3:$H$119,7,FALSE)</f>
        <v>MYLENA</v>
      </c>
    </row>
    <row r="964" spans="1:13" x14ac:dyDescent="0.25">
      <c r="A964" s="74">
        <v>197556</v>
      </c>
      <c r="B964" s="75" t="s">
        <v>221</v>
      </c>
      <c r="C964" s="75" t="s">
        <v>2607</v>
      </c>
      <c r="D964" s="76">
        <v>46046</v>
      </c>
      <c r="E964" s="75" t="s">
        <v>242</v>
      </c>
      <c r="F964" s="74">
        <v>2662.81</v>
      </c>
      <c r="G964" s="75" t="s">
        <v>241</v>
      </c>
      <c r="H964" s="77" t="str">
        <f>VLOOKUP(DESPESAS[[#This Row],[Plano de Contas]],BASE!$B$3:$D$119,3,FALSE)</f>
        <v>Combustiveis Frota</v>
      </c>
      <c r="I964" s="77" t="str">
        <f>IFERROR(VLOOKUP(DESPESAS[[#This Row],[Fornecedor]],Tabela2[],2,FALSE),"")</f>
        <v/>
      </c>
      <c r="J964" s="77" t="str">
        <f>IFERROR(VLOOKUP(DESPESAS[[#This Row],[Plano de Contas]],BASE!$B$3:$F$119,4,FALSE),"")</f>
        <v>6 - DESPESA COM VENDAS</v>
      </c>
      <c r="K964" s="77" t="str">
        <f>IFERROR(VLOOKUP(DESPESAS[[#This Row],[Plano de Contas]],BASE!$B$3:$H$119,5,FALSE),"")</f>
        <v>LOGÍSTICA</v>
      </c>
      <c r="L964" s="77">
        <f>IFERROR(VLOOKUP(DESPESAS[[#This Row],[Plano de Contas]],BASE!$B$3:$H$119,6,FALSE),"")</f>
        <v>0</v>
      </c>
      <c r="M964" s="77" t="str">
        <f>VLOOKUP(DESPESAS[[#This Row],[Plano de Contas]],BASE!$B$3:$H$119,7,FALSE)</f>
        <v>MYLENA</v>
      </c>
    </row>
    <row r="965" spans="1:13" x14ac:dyDescent="0.25">
      <c r="A965" s="74">
        <v>197558</v>
      </c>
      <c r="B965" s="75" t="s">
        <v>221</v>
      </c>
      <c r="C965" s="75" t="s">
        <v>2606</v>
      </c>
      <c r="D965" s="76">
        <v>46049</v>
      </c>
      <c r="E965" s="75" t="s">
        <v>413</v>
      </c>
      <c r="F965" s="74">
        <v>1524</v>
      </c>
      <c r="G965" s="75" t="s">
        <v>262</v>
      </c>
      <c r="H965" s="77" t="str">
        <f>VLOOKUP(DESPESAS[[#This Row],[Plano de Contas]],BASE!$B$3:$D$119,3,FALSE)</f>
        <v>Fretes Karams</v>
      </c>
      <c r="I965" s="77" t="str">
        <f>IFERROR(VLOOKUP(DESPESAS[[#This Row],[Fornecedor]],Tabela2[],2,FALSE),"")</f>
        <v/>
      </c>
      <c r="J965" s="77" t="str">
        <f>IFERROR(VLOOKUP(DESPESAS[[#This Row],[Plano de Contas]],BASE!$B$3:$F$119,4,FALSE),"")</f>
        <v>6 - DESPESA COM VENDAS</v>
      </c>
      <c r="K965" s="77" t="str">
        <f>IFERROR(VLOOKUP(DESPESAS[[#This Row],[Plano de Contas]],BASE!$B$3:$H$119,5,FALSE),"")</f>
        <v>LOGÍSTICA</v>
      </c>
      <c r="L965" s="77">
        <f>IFERROR(VLOOKUP(DESPESAS[[#This Row],[Plano de Contas]],BASE!$B$3:$H$119,6,FALSE),"")</f>
        <v>0</v>
      </c>
      <c r="M965" s="77" t="str">
        <f>VLOOKUP(DESPESAS[[#This Row],[Plano de Contas]],BASE!$B$3:$H$119,7,FALSE)</f>
        <v>MYLENA</v>
      </c>
    </row>
    <row r="966" spans="1:13" x14ac:dyDescent="0.25">
      <c r="A966" s="74">
        <v>197559</v>
      </c>
      <c r="B966" s="75" t="s">
        <v>221</v>
      </c>
      <c r="C966" s="75" t="s">
        <v>2605</v>
      </c>
      <c r="D966" s="76">
        <v>46045</v>
      </c>
      <c r="E966" s="75" t="s">
        <v>242</v>
      </c>
      <c r="F966" s="74">
        <v>2924.66</v>
      </c>
      <c r="G966" s="75" t="s">
        <v>241</v>
      </c>
      <c r="H966" s="77" t="str">
        <f>VLOOKUP(DESPESAS[[#This Row],[Plano de Contas]],BASE!$B$3:$D$119,3,FALSE)</f>
        <v>Combustiveis Frota</v>
      </c>
      <c r="I966" s="77" t="str">
        <f>IFERROR(VLOOKUP(DESPESAS[[#This Row],[Fornecedor]],Tabela2[],2,FALSE),"")</f>
        <v/>
      </c>
      <c r="J966" s="77" t="str">
        <f>IFERROR(VLOOKUP(DESPESAS[[#This Row],[Plano de Contas]],BASE!$B$3:$F$119,4,FALSE),"")</f>
        <v>6 - DESPESA COM VENDAS</v>
      </c>
      <c r="K966" s="77" t="str">
        <f>IFERROR(VLOOKUP(DESPESAS[[#This Row],[Plano de Contas]],BASE!$B$3:$H$119,5,FALSE),"")</f>
        <v>LOGÍSTICA</v>
      </c>
      <c r="L966" s="77">
        <f>IFERROR(VLOOKUP(DESPESAS[[#This Row],[Plano de Contas]],BASE!$B$3:$H$119,6,FALSE),"")</f>
        <v>0</v>
      </c>
      <c r="M966" s="77" t="str">
        <f>VLOOKUP(DESPESAS[[#This Row],[Plano de Contas]],BASE!$B$3:$H$119,7,FALSE)</f>
        <v>MYLENA</v>
      </c>
    </row>
    <row r="967" spans="1:13" x14ac:dyDescent="0.25">
      <c r="A967" s="74">
        <v>197560</v>
      </c>
      <c r="B967" s="75" t="s">
        <v>221</v>
      </c>
      <c r="C967" s="75" t="s">
        <v>2604</v>
      </c>
      <c r="D967" s="76">
        <v>46049</v>
      </c>
      <c r="E967" s="75" t="s">
        <v>402</v>
      </c>
      <c r="F967" s="74">
        <v>720</v>
      </c>
      <c r="G967" s="75" t="s">
        <v>1318</v>
      </c>
      <c r="H967" s="77" t="str">
        <f>VLOOKUP(DESPESAS[[#This Row],[Plano de Contas]],BASE!$B$3:$D$119,3,FALSE)</f>
        <v>Feiras e Eventos</v>
      </c>
      <c r="I967" s="77" t="str">
        <f>IFERROR(VLOOKUP(DESPESAS[[#This Row],[Fornecedor]],Tabela2[],2,FALSE),"")</f>
        <v/>
      </c>
      <c r="J967" s="77" t="str">
        <f>IFERROR(VLOOKUP(DESPESAS[[#This Row],[Plano de Contas]],BASE!$B$3:$F$119,4,FALSE),"")</f>
        <v>6 - DESPESA COM VENDAS</v>
      </c>
      <c r="K967" s="77" t="str">
        <f>IFERROR(VLOOKUP(DESPESAS[[#This Row],[Plano de Contas]],BASE!$B$3:$H$119,5,FALSE),"")</f>
        <v>COMERCIAL</v>
      </c>
      <c r="L967" s="77">
        <f>IFERROR(VLOOKUP(DESPESAS[[#This Row],[Plano de Contas]],BASE!$B$3:$H$119,6,FALSE),"")</f>
        <v>0</v>
      </c>
      <c r="M967" s="77" t="str">
        <f>VLOOKUP(DESPESAS[[#This Row],[Plano de Contas]],BASE!$B$3:$H$119,7,FALSE)</f>
        <v>THAIS</v>
      </c>
    </row>
    <row r="968" spans="1:13" x14ac:dyDescent="0.25">
      <c r="A968" s="74">
        <v>197561</v>
      </c>
      <c r="B968" s="75" t="s">
        <v>221</v>
      </c>
      <c r="C968" s="75" t="s">
        <v>2603</v>
      </c>
      <c r="D968" s="76">
        <v>46045</v>
      </c>
      <c r="E968" s="75" t="s">
        <v>242</v>
      </c>
      <c r="F968" s="74">
        <v>2112.13</v>
      </c>
      <c r="G968" s="75" t="s">
        <v>1318</v>
      </c>
      <c r="H968" s="77" t="str">
        <f>VLOOKUP(DESPESAS[[#This Row],[Plano de Contas]],BASE!$B$3:$D$119,3,FALSE)</f>
        <v>Feiras e Eventos</v>
      </c>
      <c r="I968" s="77" t="str">
        <f>IFERROR(VLOOKUP(DESPESAS[[#This Row],[Fornecedor]],Tabela2[],2,FALSE),"")</f>
        <v/>
      </c>
      <c r="J968" s="77" t="str">
        <f>IFERROR(VLOOKUP(DESPESAS[[#This Row],[Plano de Contas]],BASE!$B$3:$F$119,4,FALSE),"")</f>
        <v>6 - DESPESA COM VENDAS</v>
      </c>
      <c r="K968" s="77" t="str">
        <f>IFERROR(VLOOKUP(DESPESAS[[#This Row],[Plano de Contas]],BASE!$B$3:$H$119,5,FALSE),"")</f>
        <v>COMERCIAL</v>
      </c>
      <c r="L968" s="77">
        <f>IFERROR(VLOOKUP(DESPESAS[[#This Row],[Plano de Contas]],BASE!$B$3:$H$119,6,FALSE),"")</f>
        <v>0</v>
      </c>
      <c r="M968" s="77" t="str">
        <f>VLOOKUP(DESPESAS[[#This Row],[Plano de Contas]],BASE!$B$3:$H$119,7,FALSE)</f>
        <v>THAIS</v>
      </c>
    </row>
    <row r="969" spans="1:13" x14ac:dyDescent="0.25">
      <c r="A969" s="74">
        <v>197562</v>
      </c>
      <c r="B969" s="75" t="s">
        <v>221</v>
      </c>
      <c r="C969" s="75" t="s">
        <v>2602</v>
      </c>
      <c r="D969" s="76">
        <v>46045</v>
      </c>
      <c r="E969" s="75" t="s">
        <v>242</v>
      </c>
      <c r="F969" s="74">
        <v>22.93</v>
      </c>
      <c r="G969" s="75" t="s">
        <v>1318</v>
      </c>
      <c r="H969" s="77" t="str">
        <f>VLOOKUP(DESPESAS[[#This Row],[Plano de Contas]],BASE!$B$3:$D$119,3,FALSE)</f>
        <v>Feiras e Eventos</v>
      </c>
      <c r="I969" s="77" t="str">
        <f>IFERROR(VLOOKUP(DESPESAS[[#This Row],[Fornecedor]],Tabela2[],2,FALSE),"")</f>
        <v/>
      </c>
      <c r="J969" s="77" t="str">
        <f>IFERROR(VLOOKUP(DESPESAS[[#This Row],[Plano de Contas]],BASE!$B$3:$F$119,4,FALSE),"")</f>
        <v>6 - DESPESA COM VENDAS</v>
      </c>
      <c r="K969" s="77" t="str">
        <f>IFERROR(VLOOKUP(DESPESAS[[#This Row],[Plano de Contas]],BASE!$B$3:$H$119,5,FALSE),"")</f>
        <v>COMERCIAL</v>
      </c>
      <c r="L969" s="77">
        <f>IFERROR(VLOOKUP(DESPESAS[[#This Row],[Plano de Contas]],BASE!$B$3:$H$119,6,FALSE),"")</f>
        <v>0</v>
      </c>
      <c r="M969" s="77" t="str">
        <f>VLOOKUP(DESPESAS[[#This Row],[Plano de Contas]],BASE!$B$3:$H$119,7,FALSE)</f>
        <v>THAIS</v>
      </c>
    </row>
    <row r="970" spans="1:13" x14ac:dyDescent="0.25">
      <c r="A970" s="74">
        <v>197563</v>
      </c>
      <c r="B970" s="75" t="s">
        <v>221</v>
      </c>
      <c r="C970" s="75" t="s">
        <v>2601</v>
      </c>
      <c r="D970" s="76">
        <v>46043</v>
      </c>
      <c r="E970" s="75" t="s">
        <v>242</v>
      </c>
      <c r="F970" s="74">
        <v>48.4</v>
      </c>
      <c r="G970" s="75" t="s">
        <v>1318</v>
      </c>
      <c r="H970" s="77" t="str">
        <f>VLOOKUP(DESPESAS[[#This Row],[Plano de Contas]],BASE!$B$3:$D$119,3,FALSE)</f>
        <v>Feiras e Eventos</v>
      </c>
      <c r="I970" s="77" t="str">
        <f>IFERROR(VLOOKUP(DESPESAS[[#This Row],[Fornecedor]],Tabela2[],2,FALSE),"")</f>
        <v/>
      </c>
      <c r="J970" s="77" t="str">
        <f>IFERROR(VLOOKUP(DESPESAS[[#This Row],[Plano de Contas]],BASE!$B$3:$F$119,4,FALSE),"")</f>
        <v>6 - DESPESA COM VENDAS</v>
      </c>
      <c r="K970" s="77" t="str">
        <f>IFERROR(VLOOKUP(DESPESAS[[#This Row],[Plano de Contas]],BASE!$B$3:$H$119,5,FALSE),"")</f>
        <v>COMERCIAL</v>
      </c>
      <c r="L970" s="77">
        <f>IFERROR(VLOOKUP(DESPESAS[[#This Row],[Plano de Contas]],BASE!$B$3:$H$119,6,FALSE),"")</f>
        <v>0</v>
      </c>
      <c r="M970" s="77" t="str">
        <f>VLOOKUP(DESPESAS[[#This Row],[Plano de Contas]],BASE!$B$3:$H$119,7,FALSE)</f>
        <v>THAIS</v>
      </c>
    </row>
    <row r="971" spans="1:13" x14ac:dyDescent="0.25">
      <c r="A971" s="74">
        <v>197564</v>
      </c>
      <c r="B971" s="75" t="s">
        <v>221</v>
      </c>
      <c r="C971" s="75" t="s">
        <v>2600</v>
      </c>
      <c r="D971" s="76">
        <v>46045</v>
      </c>
      <c r="E971" s="75" t="s">
        <v>242</v>
      </c>
      <c r="F971" s="74">
        <v>193.06</v>
      </c>
      <c r="G971" s="75" t="s">
        <v>241</v>
      </c>
      <c r="H971" s="77" t="str">
        <f>VLOOKUP(DESPESAS[[#This Row],[Plano de Contas]],BASE!$B$3:$D$119,3,FALSE)</f>
        <v>Combustiveis Frota</v>
      </c>
      <c r="I971" s="77" t="str">
        <f>IFERROR(VLOOKUP(DESPESAS[[#This Row],[Fornecedor]],Tabela2[],2,FALSE),"")</f>
        <v/>
      </c>
      <c r="J971" s="77" t="str">
        <f>IFERROR(VLOOKUP(DESPESAS[[#This Row],[Plano de Contas]],BASE!$B$3:$F$119,4,FALSE),"")</f>
        <v>6 - DESPESA COM VENDAS</v>
      </c>
      <c r="K971" s="77" t="str">
        <f>IFERROR(VLOOKUP(DESPESAS[[#This Row],[Plano de Contas]],BASE!$B$3:$H$119,5,FALSE),"")</f>
        <v>LOGÍSTICA</v>
      </c>
      <c r="L971" s="77">
        <f>IFERROR(VLOOKUP(DESPESAS[[#This Row],[Plano de Contas]],BASE!$B$3:$H$119,6,FALSE),"")</f>
        <v>0</v>
      </c>
      <c r="M971" s="77" t="str">
        <f>VLOOKUP(DESPESAS[[#This Row],[Plano de Contas]],BASE!$B$3:$H$119,7,FALSE)</f>
        <v>MYLENA</v>
      </c>
    </row>
    <row r="972" spans="1:13" x14ac:dyDescent="0.25">
      <c r="A972" s="74">
        <v>197565</v>
      </c>
      <c r="B972" s="75" t="s">
        <v>221</v>
      </c>
      <c r="C972" s="75" t="s">
        <v>2599</v>
      </c>
      <c r="D972" s="76">
        <v>46050</v>
      </c>
      <c r="E972" s="75" t="s">
        <v>931</v>
      </c>
      <c r="F972" s="74">
        <v>130</v>
      </c>
      <c r="G972" s="75" t="s">
        <v>430</v>
      </c>
      <c r="H972" s="77" t="str">
        <f>VLOOKUP(DESPESAS[[#This Row],[Plano de Contas]],BASE!$B$3:$D$119,3,FALSE)</f>
        <v>Salarios e Ordenados MOD</v>
      </c>
      <c r="I972" s="77" t="str">
        <f>IFERROR(VLOOKUP(DESPESAS[[#This Row],[Fornecedor]],Tabela2[],2,FALSE),"")</f>
        <v/>
      </c>
      <c r="J972" s="77" t="str">
        <f>IFERROR(VLOOKUP(DESPESAS[[#This Row],[Plano de Contas]],BASE!$B$3:$F$119,4,FALSE),"")</f>
        <v>2 - CUSTOS DIRETOS</v>
      </c>
      <c r="K972" s="77" t="str">
        <f>IFERROR(VLOOKUP(DESPESAS[[#This Row],[Plano de Contas]],BASE!$B$3:$H$119,5,FALSE),"")</f>
        <v>DH</v>
      </c>
      <c r="L972" s="77" t="str">
        <f>IFERROR(VLOOKUP(DESPESAS[[#This Row],[Plano de Contas]],BASE!$B$3:$H$119,6,FALSE),"")</f>
        <v>CUSTO MÃO DE OBRA DIRETA</v>
      </c>
      <c r="M972" s="77" t="str">
        <f>VLOOKUP(DESPESAS[[#This Row],[Plano de Contas]],BASE!$B$3:$H$119,7,FALSE)</f>
        <v>RAFAEL</v>
      </c>
    </row>
    <row r="973" spans="1:13" x14ac:dyDescent="0.25">
      <c r="A973" s="74">
        <v>197566</v>
      </c>
      <c r="B973" s="75" t="s">
        <v>279</v>
      </c>
      <c r="C973" s="75" t="s">
        <v>2592</v>
      </c>
      <c r="D973" s="76">
        <v>46049</v>
      </c>
      <c r="E973" s="75" t="s">
        <v>230</v>
      </c>
      <c r="F973" s="74">
        <v>1.58</v>
      </c>
      <c r="G973" s="75" t="s">
        <v>229</v>
      </c>
      <c r="H973" s="77" t="str">
        <f>VLOOKUP(DESPESAS[[#This Row],[Plano de Contas]],BASE!$B$3:$D$119,3,FALSE)</f>
        <v>Despesas Bancarias</v>
      </c>
      <c r="I973" s="77" t="str">
        <f>IFERROR(VLOOKUP(DESPESAS[[#This Row],[Fornecedor]],Tabela2[],2,FALSE),"")</f>
        <v/>
      </c>
      <c r="J973" s="77" t="str">
        <f>IFERROR(VLOOKUP(DESPESAS[[#This Row],[Plano de Contas]],BASE!$B$3:$F$119,4,FALSE),"")</f>
        <v>8 - DESPESAS FINANCEIRAS</v>
      </c>
      <c r="K973" s="77" t="str">
        <f>IFERROR(VLOOKUP(DESPESAS[[#This Row],[Plano de Contas]],BASE!$B$3:$H$119,5,FALSE),"")</f>
        <v>FINANCEIRO</v>
      </c>
      <c r="L973" s="77">
        <f>IFERROR(VLOOKUP(DESPESAS[[#This Row],[Plano de Contas]],BASE!$B$3:$H$119,6,FALSE),"")</f>
        <v>0</v>
      </c>
      <c r="M973" s="77" t="str">
        <f>VLOOKUP(DESPESAS[[#This Row],[Plano de Contas]],BASE!$B$3:$H$119,7,FALSE)</f>
        <v>LETÍCIA</v>
      </c>
    </row>
    <row r="974" spans="1:13" x14ac:dyDescent="0.25">
      <c r="A974" s="74">
        <v>197567</v>
      </c>
      <c r="B974" s="75" t="s">
        <v>279</v>
      </c>
      <c r="C974" s="75" t="s">
        <v>2598</v>
      </c>
      <c r="D974" s="76">
        <v>46049</v>
      </c>
      <c r="E974" s="75" t="s">
        <v>230</v>
      </c>
      <c r="F974" s="74">
        <v>4.74</v>
      </c>
      <c r="G974" s="75" t="s">
        <v>229</v>
      </c>
      <c r="H974" s="77" t="str">
        <f>VLOOKUP(DESPESAS[[#This Row],[Plano de Contas]],BASE!$B$3:$D$119,3,FALSE)</f>
        <v>Despesas Bancarias</v>
      </c>
      <c r="I974" s="77" t="str">
        <f>IFERROR(VLOOKUP(DESPESAS[[#This Row],[Fornecedor]],Tabela2[],2,FALSE),"")</f>
        <v/>
      </c>
      <c r="J974" s="77" t="str">
        <f>IFERROR(VLOOKUP(DESPESAS[[#This Row],[Plano de Contas]],BASE!$B$3:$F$119,4,FALSE),"")</f>
        <v>8 - DESPESAS FINANCEIRAS</v>
      </c>
      <c r="K974" s="77" t="str">
        <f>IFERROR(VLOOKUP(DESPESAS[[#This Row],[Plano de Contas]],BASE!$B$3:$H$119,5,FALSE),"")</f>
        <v>FINANCEIRO</v>
      </c>
      <c r="L974" s="77">
        <f>IFERROR(VLOOKUP(DESPESAS[[#This Row],[Plano de Contas]],BASE!$B$3:$H$119,6,FALSE),"")</f>
        <v>0</v>
      </c>
      <c r="M974" s="77" t="str">
        <f>VLOOKUP(DESPESAS[[#This Row],[Plano de Contas]],BASE!$B$3:$H$119,7,FALSE)</f>
        <v>LETÍCIA</v>
      </c>
    </row>
    <row r="975" spans="1:13" x14ac:dyDescent="0.25">
      <c r="A975" s="74">
        <v>197568</v>
      </c>
      <c r="B975" s="75" t="s">
        <v>232</v>
      </c>
      <c r="C975" s="75" t="s">
        <v>2597</v>
      </c>
      <c r="D975" s="76">
        <v>46050</v>
      </c>
      <c r="E975" s="75" t="s">
        <v>230</v>
      </c>
      <c r="F975" s="74">
        <v>55.36</v>
      </c>
      <c r="G975" s="75" t="s">
        <v>251</v>
      </c>
      <c r="H975" s="77" t="str">
        <f>VLOOKUP(DESPESAS[[#This Row],[Plano de Contas]],BASE!$B$3:$D$119,3,FALSE)</f>
        <v>Juros Pagos - Antecipação de Crédito</v>
      </c>
      <c r="I975" s="77" t="str">
        <f>IFERROR(VLOOKUP(DESPESAS[[#This Row],[Fornecedor]],Tabela2[],2,FALSE),"")</f>
        <v/>
      </c>
      <c r="J975" s="77" t="str">
        <f>IFERROR(VLOOKUP(DESPESAS[[#This Row],[Plano de Contas]],BASE!$B$3:$F$119,4,FALSE),"")</f>
        <v>8 - DESPESAS FINANCEIRAS</v>
      </c>
      <c r="K975" s="77" t="str">
        <f>IFERROR(VLOOKUP(DESPESAS[[#This Row],[Plano de Contas]],BASE!$B$3:$H$119,5,FALSE),"")</f>
        <v>FINANCEIRO</v>
      </c>
      <c r="L975" s="77">
        <f>IFERROR(VLOOKUP(DESPESAS[[#This Row],[Plano de Contas]],BASE!$B$3:$H$119,6,FALSE),"")</f>
        <v>0</v>
      </c>
      <c r="M975" s="77" t="str">
        <f>VLOOKUP(DESPESAS[[#This Row],[Plano de Contas]],BASE!$B$3:$H$119,7,FALSE)</f>
        <v>LETÍCIA</v>
      </c>
    </row>
    <row r="976" spans="1:13" x14ac:dyDescent="0.25">
      <c r="A976" s="74">
        <v>197569</v>
      </c>
      <c r="B976" s="75" t="s">
        <v>232</v>
      </c>
      <c r="C976" s="75" t="s">
        <v>2596</v>
      </c>
      <c r="D976" s="76">
        <v>46050</v>
      </c>
      <c r="E976" s="75" t="s">
        <v>230</v>
      </c>
      <c r="F976" s="74">
        <v>7.68</v>
      </c>
      <c r="G976" s="75" t="s">
        <v>229</v>
      </c>
      <c r="H976" s="77" t="str">
        <f>VLOOKUP(DESPESAS[[#This Row],[Plano de Contas]],BASE!$B$3:$D$119,3,FALSE)</f>
        <v>Despesas Bancarias</v>
      </c>
      <c r="I976" s="77" t="str">
        <f>IFERROR(VLOOKUP(DESPESAS[[#This Row],[Fornecedor]],Tabela2[],2,FALSE),"")</f>
        <v/>
      </c>
      <c r="J976" s="77" t="str">
        <f>IFERROR(VLOOKUP(DESPESAS[[#This Row],[Plano de Contas]],BASE!$B$3:$F$119,4,FALSE),"")</f>
        <v>8 - DESPESAS FINANCEIRAS</v>
      </c>
      <c r="K976" s="77" t="str">
        <f>IFERROR(VLOOKUP(DESPESAS[[#This Row],[Plano de Contas]],BASE!$B$3:$H$119,5,FALSE),"")</f>
        <v>FINANCEIRO</v>
      </c>
      <c r="L976" s="77">
        <f>IFERROR(VLOOKUP(DESPESAS[[#This Row],[Plano de Contas]],BASE!$B$3:$H$119,6,FALSE),"")</f>
        <v>0</v>
      </c>
      <c r="M976" s="77" t="str">
        <f>VLOOKUP(DESPESAS[[#This Row],[Plano de Contas]],BASE!$B$3:$H$119,7,FALSE)</f>
        <v>LETÍCIA</v>
      </c>
    </row>
    <row r="977" spans="1:13" x14ac:dyDescent="0.25">
      <c r="A977" s="74">
        <v>197570</v>
      </c>
      <c r="B977" s="75" t="s">
        <v>232</v>
      </c>
      <c r="C977" s="75" t="s">
        <v>2595</v>
      </c>
      <c r="D977" s="76">
        <v>46049</v>
      </c>
      <c r="E977" s="75" t="s">
        <v>230</v>
      </c>
      <c r="F977" s="74">
        <v>14.22</v>
      </c>
      <c r="G977" s="75" t="s">
        <v>236</v>
      </c>
      <c r="H977" s="77" t="str">
        <f>VLOOKUP(DESPESAS[[#This Row],[Plano de Contas]],BASE!$B$3:$D$119,3,FALSE)</f>
        <v>Despesas de Cobranca</v>
      </c>
      <c r="I977" s="77" t="str">
        <f>IFERROR(VLOOKUP(DESPESAS[[#This Row],[Fornecedor]],Tabela2[],2,FALSE),"")</f>
        <v/>
      </c>
      <c r="J977" s="77" t="str">
        <f>IFERROR(VLOOKUP(DESPESAS[[#This Row],[Plano de Contas]],BASE!$B$3:$F$119,4,FALSE),"")</f>
        <v>8 - DESPESAS FINANCEIRAS</v>
      </c>
      <c r="K977" s="77" t="str">
        <f>IFERROR(VLOOKUP(DESPESAS[[#This Row],[Plano de Contas]],BASE!$B$3:$H$119,5,FALSE),"")</f>
        <v>FINANCEIRO</v>
      </c>
      <c r="L977" s="77">
        <f>IFERROR(VLOOKUP(DESPESAS[[#This Row],[Plano de Contas]],BASE!$B$3:$H$119,6,FALSE),"")</f>
        <v>0</v>
      </c>
      <c r="M977" s="77" t="str">
        <f>VLOOKUP(DESPESAS[[#This Row],[Plano de Contas]],BASE!$B$3:$H$119,7,FALSE)</f>
        <v>LETÍCIA</v>
      </c>
    </row>
    <row r="978" spans="1:13" x14ac:dyDescent="0.25">
      <c r="A978" s="74">
        <v>197571</v>
      </c>
      <c r="B978" s="75" t="s">
        <v>279</v>
      </c>
      <c r="C978" s="75" t="s">
        <v>2594</v>
      </c>
      <c r="D978" s="76">
        <v>46050</v>
      </c>
      <c r="E978" s="75" t="s">
        <v>230</v>
      </c>
      <c r="F978" s="74">
        <v>8.07</v>
      </c>
      <c r="G978" s="75" t="s">
        <v>251</v>
      </c>
      <c r="H978" s="77" t="str">
        <f>VLOOKUP(DESPESAS[[#This Row],[Plano de Contas]],BASE!$B$3:$D$119,3,FALSE)</f>
        <v>Juros Pagos - Antecipação de Crédito</v>
      </c>
      <c r="I978" s="77" t="str">
        <f>IFERROR(VLOOKUP(DESPESAS[[#This Row],[Fornecedor]],Tabela2[],2,FALSE),"")</f>
        <v/>
      </c>
      <c r="J978" s="77" t="str">
        <f>IFERROR(VLOOKUP(DESPESAS[[#This Row],[Plano de Contas]],BASE!$B$3:$F$119,4,FALSE),"")</f>
        <v>8 - DESPESAS FINANCEIRAS</v>
      </c>
      <c r="K978" s="77" t="str">
        <f>IFERROR(VLOOKUP(DESPESAS[[#This Row],[Plano de Contas]],BASE!$B$3:$H$119,5,FALSE),"")</f>
        <v>FINANCEIRO</v>
      </c>
      <c r="L978" s="77">
        <f>IFERROR(VLOOKUP(DESPESAS[[#This Row],[Plano de Contas]],BASE!$B$3:$H$119,6,FALSE),"")</f>
        <v>0</v>
      </c>
      <c r="M978" s="77" t="str">
        <f>VLOOKUP(DESPESAS[[#This Row],[Plano de Contas]],BASE!$B$3:$H$119,7,FALSE)</f>
        <v>LETÍCIA</v>
      </c>
    </row>
    <row r="979" spans="1:13" x14ac:dyDescent="0.25">
      <c r="A979" s="74">
        <v>197572</v>
      </c>
      <c r="B979" s="75" t="s">
        <v>279</v>
      </c>
      <c r="C979" s="75" t="s">
        <v>2593</v>
      </c>
      <c r="D979" s="76">
        <v>46050</v>
      </c>
      <c r="E979" s="75" t="s">
        <v>230</v>
      </c>
      <c r="F979" s="74">
        <v>2.7</v>
      </c>
      <c r="G979" s="75" t="s">
        <v>229</v>
      </c>
      <c r="H979" s="77" t="str">
        <f>VLOOKUP(DESPESAS[[#This Row],[Plano de Contas]],BASE!$B$3:$D$119,3,FALSE)</f>
        <v>Despesas Bancarias</v>
      </c>
      <c r="I979" s="77" t="str">
        <f>IFERROR(VLOOKUP(DESPESAS[[#This Row],[Fornecedor]],Tabela2[],2,FALSE),"")</f>
        <v/>
      </c>
      <c r="J979" s="77" t="str">
        <f>IFERROR(VLOOKUP(DESPESAS[[#This Row],[Plano de Contas]],BASE!$B$3:$F$119,4,FALSE),"")</f>
        <v>8 - DESPESAS FINANCEIRAS</v>
      </c>
      <c r="K979" s="77" t="str">
        <f>IFERROR(VLOOKUP(DESPESAS[[#This Row],[Plano de Contas]],BASE!$B$3:$H$119,5,FALSE),"")</f>
        <v>FINANCEIRO</v>
      </c>
      <c r="L979" s="77">
        <f>IFERROR(VLOOKUP(DESPESAS[[#This Row],[Plano de Contas]],BASE!$B$3:$H$119,6,FALSE),"")</f>
        <v>0</v>
      </c>
      <c r="M979" s="77" t="str">
        <f>VLOOKUP(DESPESAS[[#This Row],[Plano de Contas]],BASE!$B$3:$H$119,7,FALSE)</f>
        <v>LETÍCIA</v>
      </c>
    </row>
    <row r="980" spans="1:13" x14ac:dyDescent="0.25">
      <c r="A980" s="74">
        <v>197573</v>
      </c>
      <c r="B980" s="75" t="s">
        <v>281</v>
      </c>
      <c r="C980" s="75" t="s">
        <v>2592</v>
      </c>
      <c r="D980" s="76">
        <v>46049</v>
      </c>
      <c r="E980" s="75" t="s">
        <v>230</v>
      </c>
      <c r="F980" s="74">
        <v>1.58</v>
      </c>
      <c r="G980" s="75" t="s">
        <v>229</v>
      </c>
      <c r="H980" s="77" t="str">
        <f>VLOOKUP(DESPESAS[[#This Row],[Plano de Contas]],BASE!$B$3:$D$119,3,FALSE)</f>
        <v>Despesas Bancarias</v>
      </c>
      <c r="I980" s="77" t="str">
        <f>IFERROR(VLOOKUP(DESPESAS[[#This Row],[Fornecedor]],Tabela2[],2,FALSE),"")</f>
        <v/>
      </c>
      <c r="J980" s="77" t="str">
        <f>IFERROR(VLOOKUP(DESPESAS[[#This Row],[Plano de Contas]],BASE!$B$3:$F$119,4,FALSE),"")</f>
        <v>8 - DESPESAS FINANCEIRAS</v>
      </c>
      <c r="K980" s="77" t="str">
        <f>IFERROR(VLOOKUP(DESPESAS[[#This Row],[Plano de Contas]],BASE!$B$3:$H$119,5,FALSE),"")</f>
        <v>FINANCEIRO</v>
      </c>
      <c r="L980" s="77">
        <f>IFERROR(VLOOKUP(DESPESAS[[#This Row],[Plano de Contas]],BASE!$B$3:$H$119,6,FALSE),"")</f>
        <v>0</v>
      </c>
      <c r="M980" s="77" t="str">
        <f>VLOOKUP(DESPESAS[[#This Row],[Plano de Contas]],BASE!$B$3:$H$119,7,FALSE)</f>
        <v>LETÍCIA</v>
      </c>
    </row>
    <row r="981" spans="1:13" x14ac:dyDescent="0.25">
      <c r="A981" s="74">
        <v>197574</v>
      </c>
      <c r="B981" s="75" t="s">
        <v>221</v>
      </c>
      <c r="C981" s="75" t="s">
        <v>2591</v>
      </c>
      <c r="D981" s="76">
        <v>46049</v>
      </c>
      <c r="E981" s="75" t="s">
        <v>1394</v>
      </c>
      <c r="F981" s="74">
        <v>2.85</v>
      </c>
      <c r="G981" s="75" t="s">
        <v>229</v>
      </c>
      <c r="H981" s="77" t="str">
        <f>VLOOKUP(DESPESAS[[#This Row],[Plano de Contas]],BASE!$B$3:$D$119,3,FALSE)</f>
        <v>Despesas Bancarias</v>
      </c>
      <c r="I981" s="77" t="str">
        <f>IFERROR(VLOOKUP(DESPESAS[[#This Row],[Fornecedor]],Tabela2[],2,FALSE),"")</f>
        <v/>
      </c>
      <c r="J981" s="77" t="str">
        <f>IFERROR(VLOOKUP(DESPESAS[[#This Row],[Plano de Contas]],BASE!$B$3:$F$119,4,FALSE),"")</f>
        <v>8 - DESPESAS FINANCEIRAS</v>
      </c>
      <c r="K981" s="77" t="str">
        <f>IFERROR(VLOOKUP(DESPESAS[[#This Row],[Plano de Contas]],BASE!$B$3:$H$119,5,FALSE),"")</f>
        <v>FINANCEIRO</v>
      </c>
      <c r="L981" s="77">
        <f>IFERROR(VLOOKUP(DESPESAS[[#This Row],[Plano de Contas]],BASE!$B$3:$H$119,6,FALSE),"")</f>
        <v>0</v>
      </c>
      <c r="M981" s="77" t="str">
        <f>VLOOKUP(DESPESAS[[#This Row],[Plano de Contas]],BASE!$B$3:$H$119,7,FALSE)</f>
        <v>LETÍCIA</v>
      </c>
    </row>
    <row r="982" spans="1:13" x14ac:dyDescent="0.25">
      <c r="A982" s="74">
        <v>197577</v>
      </c>
      <c r="B982" s="75" t="s">
        <v>221</v>
      </c>
      <c r="C982" s="75" t="s">
        <v>2590</v>
      </c>
      <c r="D982" s="76">
        <v>46050</v>
      </c>
      <c r="E982" s="75" t="s">
        <v>2589</v>
      </c>
      <c r="F982" s="74">
        <v>1000</v>
      </c>
      <c r="G982" s="75" t="s">
        <v>1318</v>
      </c>
      <c r="H982" s="77" t="str">
        <f>VLOOKUP(DESPESAS[[#This Row],[Plano de Contas]],BASE!$B$3:$D$119,3,FALSE)</f>
        <v>Feiras e Eventos</v>
      </c>
      <c r="I982" s="77" t="str">
        <f>IFERROR(VLOOKUP(DESPESAS[[#This Row],[Fornecedor]],Tabela2[],2,FALSE),"")</f>
        <v/>
      </c>
      <c r="J982" s="77" t="str">
        <f>IFERROR(VLOOKUP(DESPESAS[[#This Row],[Plano de Contas]],BASE!$B$3:$F$119,4,FALSE),"")</f>
        <v>6 - DESPESA COM VENDAS</v>
      </c>
      <c r="K982" s="77" t="str">
        <f>IFERROR(VLOOKUP(DESPESAS[[#This Row],[Plano de Contas]],BASE!$B$3:$H$119,5,FALSE),"")</f>
        <v>COMERCIAL</v>
      </c>
      <c r="L982" s="77">
        <f>IFERROR(VLOOKUP(DESPESAS[[#This Row],[Plano de Contas]],BASE!$B$3:$H$119,6,FALSE),"")</f>
        <v>0</v>
      </c>
      <c r="M982" s="77" t="str">
        <f>VLOOKUP(DESPESAS[[#This Row],[Plano de Contas]],BASE!$B$3:$H$119,7,FALSE)</f>
        <v>THAIS</v>
      </c>
    </row>
    <row r="983" spans="1:13" x14ac:dyDescent="0.25">
      <c r="A983" s="74">
        <v>197578</v>
      </c>
      <c r="B983" s="75" t="s">
        <v>221</v>
      </c>
      <c r="C983" s="75" t="s">
        <v>2588</v>
      </c>
      <c r="D983" s="76">
        <v>46050</v>
      </c>
      <c r="E983" s="75" t="s">
        <v>242</v>
      </c>
      <c r="F983" s="74">
        <v>30.01</v>
      </c>
      <c r="G983" s="75" t="s">
        <v>423</v>
      </c>
      <c r="H983" s="77" t="str">
        <f>VLOOKUP(DESPESAS[[#This Row],[Plano de Contas]],BASE!$B$3:$D$119,3,FALSE)</f>
        <v>Combustíveis (Adm)</v>
      </c>
      <c r="I983" s="77" t="str">
        <f>IFERROR(VLOOKUP(DESPESAS[[#This Row],[Fornecedor]],Tabela2[],2,FALSE),"")</f>
        <v/>
      </c>
      <c r="J983" s="77" t="str">
        <f>IFERROR(VLOOKUP(DESPESAS[[#This Row],[Plano de Contas]],BASE!$B$3:$F$119,4,FALSE),"")</f>
        <v>5 - DESPESAS ADMINISTRATIVAS</v>
      </c>
      <c r="K983" s="77" t="str">
        <f>IFERROR(VLOOKUP(DESPESAS[[#This Row],[Plano de Contas]],BASE!$B$3:$H$119,5,FALSE),"")</f>
        <v>LOGÍSTICA</v>
      </c>
      <c r="L983" s="77">
        <f>IFERROR(VLOOKUP(DESPESAS[[#This Row],[Plano de Contas]],BASE!$B$3:$H$119,6,FALSE),"")</f>
        <v>0</v>
      </c>
      <c r="M983" s="77" t="str">
        <f>VLOOKUP(DESPESAS[[#This Row],[Plano de Contas]],BASE!$B$3:$H$119,7,FALSE)</f>
        <v>LETÍCIA</v>
      </c>
    </row>
    <row r="984" spans="1:13" x14ac:dyDescent="0.25">
      <c r="A984" s="74">
        <v>197579</v>
      </c>
      <c r="B984" s="75" t="s">
        <v>221</v>
      </c>
      <c r="C984" s="75" t="s">
        <v>2587</v>
      </c>
      <c r="D984" s="76">
        <v>46050</v>
      </c>
      <c r="E984" s="75" t="s">
        <v>492</v>
      </c>
      <c r="F984" s="74">
        <v>2550</v>
      </c>
      <c r="G984" s="75" t="s">
        <v>259</v>
      </c>
      <c r="H984" s="77" t="str">
        <f>VLOOKUP(DESPESAS[[#This Row],[Plano de Contas]],BASE!$B$3:$D$119,3,FALSE)</f>
        <v>Manutenção Predial CIF</v>
      </c>
      <c r="I984" s="77" t="str">
        <f>IFERROR(VLOOKUP(DESPESAS[[#This Row],[Fornecedor]],Tabela2[],2,FALSE),"")</f>
        <v/>
      </c>
      <c r="J984" s="77" t="str">
        <f>IFERROR(VLOOKUP(DESPESAS[[#This Row],[Plano de Contas]],BASE!$B$3:$F$119,4,FALSE),"")</f>
        <v>3 - CUSTOS INDIRETOS</v>
      </c>
      <c r="K984" s="77" t="str">
        <f>IFERROR(VLOOKUP(DESPESAS[[#This Row],[Plano de Contas]],BASE!$B$3:$H$119,5,FALSE),"")</f>
        <v>MANUTENÇÃO / TI</v>
      </c>
      <c r="L984" s="77">
        <f>IFERROR(VLOOKUP(DESPESAS[[#This Row],[Plano de Contas]],BASE!$B$3:$H$119,6,FALSE),"")</f>
        <v>0</v>
      </c>
      <c r="M984" s="77" t="str">
        <f>VLOOKUP(DESPESAS[[#This Row],[Plano de Contas]],BASE!$B$3:$H$119,7,FALSE)</f>
        <v>FÁBIO</v>
      </c>
    </row>
    <row r="985" spans="1:13" x14ac:dyDescent="0.25">
      <c r="A985" s="74">
        <v>197580</v>
      </c>
      <c r="B985" s="75" t="s">
        <v>686</v>
      </c>
      <c r="C985" s="75" t="s">
        <v>2586</v>
      </c>
      <c r="D985" s="76">
        <v>46050</v>
      </c>
      <c r="E985" s="75" t="s">
        <v>325</v>
      </c>
      <c r="F985" s="74">
        <v>820.49</v>
      </c>
      <c r="G985" s="75" t="s">
        <v>1318</v>
      </c>
      <c r="H985" s="77" t="str">
        <f>VLOOKUP(DESPESAS[[#This Row],[Plano de Contas]],BASE!$B$3:$D$119,3,FALSE)</f>
        <v>Feiras e Eventos</v>
      </c>
      <c r="I985" s="77" t="str">
        <f>IFERROR(VLOOKUP(DESPESAS[[#This Row],[Fornecedor]],Tabela2[],2,FALSE),"")</f>
        <v/>
      </c>
      <c r="J985" s="77" t="str">
        <f>IFERROR(VLOOKUP(DESPESAS[[#This Row],[Plano de Contas]],BASE!$B$3:$F$119,4,FALSE),"")</f>
        <v>6 - DESPESA COM VENDAS</v>
      </c>
      <c r="K985" s="77" t="str">
        <f>IFERROR(VLOOKUP(DESPESAS[[#This Row],[Plano de Contas]],BASE!$B$3:$H$119,5,FALSE),"")</f>
        <v>COMERCIAL</v>
      </c>
      <c r="L985" s="77">
        <f>IFERROR(VLOOKUP(DESPESAS[[#This Row],[Plano de Contas]],BASE!$B$3:$H$119,6,FALSE),"")</f>
        <v>0</v>
      </c>
      <c r="M985" s="77" t="str">
        <f>VLOOKUP(DESPESAS[[#This Row],[Plano de Contas]],BASE!$B$3:$H$119,7,FALSE)</f>
        <v>THAIS</v>
      </c>
    </row>
    <row r="986" spans="1:13" x14ac:dyDescent="0.25">
      <c r="A986" s="74">
        <v>197581</v>
      </c>
      <c r="B986" s="75" t="s">
        <v>221</v>
      </c>
      <c r="C986" s="75" t="s">
        <v>2585</v>
      </c>
      <c r="D986" s="76">
        <v>46050</v>
      </c>
      <c r="E986" s="75" t="s">
        <v>2584</v>
      </c>
      <c r="F986" s="74">
        <v>1300</v>
      </c>
      <c r="G986" s="75" t="s">
        <v>1318</v>
      </c>
      <c r="H986" s="77" t="str">
        <f>VLOOKUP(DESPESAS[[#This Row],[Plano de Contas]],BASE!$B$3:$D$119,3,FALSE)</f>
        <v>Feiras e Eventos</v>
      </c>
      <c r="I986" s="77" t="str">
        <f>IFERROR(VLOOKUP(DESPESAS[[#This Row],[Fornecedor]],Tabela2[],2,FALSE),"")</f>
        <v/>
      </c>
      <c r="J986" s="77" t="str">
        <f>IFERROR(VLOOKUP(DESPESAS[[#This Row],[Plano de Contas]],BASE!$B$3:$F$119,4,FALSE),"")</f>
        <v>6 - DESPESA COM VENDAS</v>
      </c>
      <c r="K986" s="77" t="str">
        <f>IFERROR(VLOOKUP(DESPESAS[[#This Row],[Plano de Contas]],BASE!$B$3:$H$119,5,FALSE),"")</f>
        <v>COMERCIAL</v>
      </c>
      <c r="L986" s="77">
        <f>IFERROR(VLOOKUP(DESPESAS[[#This Row],[Plano de Contas]],BASE!$B$3:$H$119,6,FALSE),"")</f>
        <v>0</v>
      </c>
      <c r="M986" s="77" t="str">
        <f>VLOOKUP(DESPESAS[[#This Row],[Plano de Contas]],BASE!$B$3:$H$119,7,FALSE)</f>
        <v>THAIS</v>
      </c>
    </row>
    <row r="987" spans="1:13" x14ac:dyDescent="0.25">
      <c r="A987" s="74">
        <v>197582</v>
      </c>
      <c r="B987" s="75" t="s">
        <v>232</v>
      </c>
      <c r="C987" s="75" t="s">
        <v>2583</v>
      </c>
      <c r="D987" s="76">
        <v>46050</v>
      </c>
      <c r="E987" s="75" t="s">
        <v>230</v>
      </c>
      <c r="F987" s="74">
        <v>32.840000000000003</v>
      </c>
      <c r="G987" s="75" t="s">
        <v>251</v>
      </c>
      <c r="H987" s="77" t="str">
        <f>VLOOKUP(DESPESAS[[#This Row],[Plano de Contas]],BASE!$B$3:$D$119,3,FALSE)</f>
        <v>Juros Pagos - Antecipação de Crédito</v>
      </c>
      <c r="I987" s="77" t="str">
        <f>IFERROR(VLOOKUP(DESPESAS[[#This Row],[Fornecedor]],Tabela2[],2,FALSE),"")</f>
        <v/>
      </c>
      <c r="J987" s="77" t="str">
        <f>IFERROR(VLOOKUP(DESPESAS[[#This Row],[Plano de Contas]],BASE!$B$3:$F$119,4,FALSE),"")</f>
        <v>8 - DESPESAS FINANCEIRAS</v>
      </c>
      <c r="K987" s="77" t="str">
        <f>IFERROR(VLOOKUP(DESPESAS[[#This Row],[Plano de Contas]],BASE!$B$3:$H$119,5,FALSE),"")</f>
        <v>FINANCEIRO</v>
      </c>
      <c r="L987" s="77">
        <f>IFERROR(VLOOKUP(DESPESAS[[#This Row],[Plano de Contas]],BASE!$B$3:$H$119,6,FALSE),"")</f>
        <v>0</v>
      </c>
      <c r="M987" s="77" t="str">
        <f>VLOOKUP(DESPESAS[[#This Row],[Plano de Contas]],BASE!$B$3:$H$119,7,FALSE)</f>
        <v>LETÍCIA</v>
      </c>
    </row>
    <row r="988" spans="1:13" x14ac:dyDescent="0.25">
      <c r="A988" s="74">
        <v>197583</v>
      </c>
      <c r="B988" s="75" t="s">
        <v>232</v>
      </c>
      <c r="C988" s="75" t="s">
        <v>2582</v>
      </c>
      <c r="D988" s="76">
        <v>46050</v>
      </c>
      <c r="E988" s="75" t="s">
        <v>230</v>
      </c>
      <c r="F988" s="74">
        <v>6.74</v>
      </c>
      <c r="G988" s="75" t="s">
        <v>229</v>
      </c>
      <c r="H988" s="77" t="str">
        <f>VLOOKUP(DESPESAS[[#This Row],[Plano de Contas]],BASE!$B$3:$D$119,3,FALSE)</f>
        <v>Despesas Bancarias</v>
      </c>
      <c r="I988" s="77" t="str">
        <f>IFERROR(VLOOKUP(DESPESAS[[#This Row],[Fornecedor]],Tabela2[],2,FALSE),"")</f>
        <v/>
      </c>
      <c r="J988" s="77" t="str">
        <f>IFERROR(VLOOKUP(DESPESAS[[#This Row],[Plano de Contas]],BASE!$B$3:$F$119,4,FALSE),"")</f>
        <v>8 - DESPESAS FINANCEIRAS</v>
      </c>
      <c r="K988" s="77" t="str">
        <f>IFERROR(VLOOKUP(DESPESAS[[#This Row],[Plano de Contas]],BASE!$B$3:$H$119,5,FALSE),"")</f>
        <v>FINANCEIRO</v>
      </c>
      <c r="L988" s="77">
        <f>IFERROR(VLOOKUP(DESPESAS[[#This Row],[Plano de Contas]],BASE!$B$3:$H$119,6,FALSE),"")</f>
        <v>0</v>
      </c>
      <c r="M988" s="77" t="str">
        <f>VLOOKUP(DESPESAS[[#This Row],[Plano de Contas]],BASE!$B$3:$H$119,7,FALSE)</f>
        <v>LETÍCIA</v>
      </c>
    </row>
    <row r="989" spans="1:13" x14ac:dyDescent="0.25">
      <c r="A989" s="74">
        <v>197584</v>
      </c>
      <c r="B989" s="75" t="s">
        <v>232</v>
      </c>
      <c r="C989" s="75" t="s">
        <v>2581</v>
      </c>
      <c r="D989" s="76">
        <v>46050</v>
      </c>
      <c r="E989" s="75" t="s">
        <v>230</v>
      </c>
      <c r="F989" s="74">
        <v>21.13</v>
      </c>
      <c r="G989" s="75" t="s">
        <v>251</v>
      </c>
      <c r="H989" s="77" t="str">
        <f>VLOOKUP(DESPESAS[[#This Row],[Plano de Contas]],BASE!$B$3:$D$119,3,FALSE)</f>
        <v>Juros Pagos - Antecipação de Crédito</v>
      </c>
      <c r="I989" s="77" t="str">
        <f>IFERROR(VLOOKUP(DESPESAS[[#This Row],[Fornecedor]],Tabela2[],2,FALSE),"")</f>
        <v/>
      </c>
      <c r="J989" s="77" t="str">
        <f>IFERROR(VLOOKUP(DESPESAS[[#This Row],[Plano de Contas]],BASE!$B$3:$F$119,4,FALSE),"")</f>
        <v>8 - DESPESAS FINANCEIRAS</v>
      </c>
      <c r="K989" s="77" t="str">
        <f>IFERROR(VLOOKUP(DESPESAS[[#This Row],[Plano de Contas]],BASE!$B$3:$H$119,5,FALSE),"")</f>
        <v>FINANCEIRO</v>
      </c>
      <c r="L989" s="77">
        <f>IFERROR(VLOOKUP(DESPESAS[[#This Row],[Plano de Contas]],BASE!$B$3:$H$119,6,FALSE),"")</f>
        <v>0</v>
      </c>
      <c r="M989" s="77" t="str">
        <f>VLOOKUP(DESPESAS[[#This Row],[Plano de Contas]],BASE!$B$3:$H$119,7,FALSE)</f>
        <v>LETÍCIA</v>
      </c>
    </row>
    <row r="990" spans="1:13" x14ac:dyDescent="0.25">
      <c r="A990" s="74">
        <v>197585</v>
      </c>
      <c r="B990" s="75" t="s">
        <v>232</v>
      </c>
      <c r="C990" s="75" t="s">
        <v>2580</v>
      </c>
      <c r="D990" s="76">
        <v>46050</v>
      </c>
      <c r="E990" s="75" t="s">
        <v>230</v>
      </c>
      <c r="F990" s="74">
        <v>2.0299999999999998</v>
      </c>
      <c r="G990" s="75" t="s">
        <v>229</v>
      </c>
      <c r="H990" s="77" t="str">
        <f>VLOOKUP(DESPESAS[[#This Row],[Plano de Contas]],BASE!$B$3:$D$119,3,FALSE)</f>
        <v>Despesas Bancarias</v>
      </c>
      <c r="I990" s="77" t="str">
        <f>IFERROR(VLOOKUP(DESPESAS[[#This Row],[Fornecedor]],Tabela2[],2,FALSE),"")</f>
        <v/>
      </c>
      <c r="J990" s="77" t="str">
        <f>IFERROR(VLOOKUP(DESPESAS[[#This Row],[Plano de Contas]],BASE!$B$3:$F$119,4,FALSE),"")</f>
        <v>8 - DESPESAS FINANCEIRAS</v>
      </c>
      <c r="K990" s="77" t="str">
        <f>IFERROR(VLOOKUP(DESPESAS[[#This Row],[Plano de Contas]],BASE!$B$3:$H$119,5,FALSE),"")</f>
        <v>FINANCEIRO</v>
      </c>
      <c r="L990" s="77">
        <f>IFERROR(VLOOKUP(DESPESAS[[#This Row],[Plano de Contas]],BASE!$B$3:$H$119,6,FALSE),"")</f>
        <v>0</v>
      </c>
      <c r="M990" s="77" t="str">
        <f>VLOOKUP(DESPESAS[[#This Row],[Plano de Contas]],BASE!$B$3:$H$119,7,FALSE)</f>
        <v>LETÍCIA</v>
      </c>
    </row>
    <row r="991" spans="1:13" x14ac:dyDescent="0.25">
      <c r="A991" s="74">
        <v>197586</v>
      </c>
      <c r="B991" s="75" t="s">
        <v>221</v>
      </c>
      <c r="C991" s="75" t="s">
        <v>2578</v>
      </c>
      <c r="D991" s="76">
        <v>46050</v>
      </c>
      <c r="E991" s="75" t="s">
        <v>2579</v>
      </c>
      <c r="F991" s="74">
        <v>1550</v>
      </c>
      <c r="G991" s="75" t="s">
        <v>1318</v>
      </c>
      <c r="H991" s="77" t="str">
        <f>VLOOKUP(DESPESAS[[#This Row],[Plano de Contas]],BASE!$B$3:$D$119,3,FALSE)</f>
        <v>Feiras e Eventos</v>
      </c>
      <c r="I991" s="77" t="str">
        <f>IFERROR(VLOOKUP(DESPESAS[[#This Row],[Fornecedor]],Tabela2[],2,FALSE),"")</f>
        <v/>
      </c>
      <c r="J991" s="77" t="str">
        <f>IFERROR(VLOOKUP(DESPESAS[[#This Row],[Plano de Contas]],BASE!$B$3:$F$119,4,FALSE),"")</f>
        <v>6 - DESPESA COM VENDAS</v>
      </c>
      <c r="K991" s="77" t="str">
        <f>IFERROR(VLOOKUP(DESPESAS[[#This Row],[Plano de Contas]],BASE!$B$3:$H$119,5,FALSE),"")</f>
        <v>COMERCIAL</v>
      </c>
      <c r="L991" s="77">
        <f>IFERROR(VLOOKUP(DESPESAS[[#This Row],[Plano de Contas]],BASE!$B$3:$H$119,6,FALSE),"")</f>
        <v>0</v>
      </c>
      <c r="M991" s="77" t="str">
        <f>VLOOKUP(DESPESAS[[#This Row],[Plano de Contas]],BASE!$B$3:$H$119,7,FALSE)</f>
        <v>THAIS</v>
      </c>
    </row>
    <row r="992" spans="1:13" x14ac:dyDescent="0.25">
      <c r="A992" s="74">
        <v>197587</v>
      </c>
      <c r="B992" s="75" t="s">
        <v>221</v>
      </c>
      <c r="C992" s="75" t="s">
        <v>2578</v>
      </c>
      <c r="D992" s="76">
        <v>46050</v>
      </c>
      <c r="E992" s="75" t="s">
        <v>2377</v>
      </c>
      <c r="F992" s="74">
        <v>1000</v>
      </c>
      <c r="G992" s="75" t="s">
        <v>1318</v>
      </c>
      <c r="H992" s="77" t="str">
        <f>VLOOKUP(DESPESAS[[#This Row],[Plano de Contas]],BASE!$B$3:$D$119,3,FALSE)</f>
        <v>Feiras e Eventos</v>
      </c>
      <c r="I992" s="77" t="str">
        <f>IFERROR(VLOOKUP(DESPESAS[[#This Row],[Fornecedor]],Tabela2[],2,FALSE),"")</f>
        <v/>
      </c>
      <c r="J992" s="77" t="str">
        <f>IFERROR(VLOOKUP(DESPESAS[[#This Row],[Plano de Contas]],BASE!$B$3:$F$119,4,FALSE),"")</f>
        <v>6 - DESPESA COM VENDAS</v>
      </c>
      <c r="K992" s="77" t="str">
        <f>IFERROR(VLOOKUP(DESPESAS[[#This Row],[Plano de Contas]],BASE!$B$3:$H$119,5,FALSE),"")</f>
        <v>COMERCIAL</v>
      </c>
      <c r="L992" s="77">
        <f>IFERROR(VLOOKUP(DESPESAS[[#This Row],[Plano de Contas]],BASE!$B$3:$H$119,6,FALSE),"")</f>
        <v>0</v>
      </c>
      <c r="M992" s="77" t="str">
        <f>VLOOKUP(DESPESAS[[#This Row],[Plano de Contas]],BASE!$B$3:$H$119,7,FALSE)</f>
        <v>THAIS</v>
      </c>
    </row>
    <row r="993" spans="1:13" x14ac:dyDescent="0.25">
      <c r="A993" s="74">
        <v>197588</v>
      </c>
      <c r="B993" s="75" t="s">
        <v>221</v>
      </c>
      <c r="C993" s="75" t="s">
        <v>2577</v>
      </c>
      <c r="D993" s="76">
        <v>46050</v>
      </c>
      <c r="E993" s="75" t="s">
        <v>2574</v>
      </c>
      <c r="F993" s="74">
        <v>170</v>
      </c>
      <c r="G993" s="75" t="s">
        <v>247</v>
      </c>
      <c r="H993" s="77" t="str">
        <f>VLOOKUP(DESPESAS[[#This Row],[Plano de Contas]],BASE!$B$3:$D$119,3,FALSE)</f>
        <v>Manutenção com veiculos</v>
      </c>
      <c r="I993" s="77" t="str">
        <f>IFERROR(VLOOKUP(DESPESAS[[#This Row],[Fornecedor]],Tabela2[],2,FALSE),"")</f>
        <v/>
      </c>
      <c r="J993" s="77" t="str">
        <f>IFERROR(VLOOKUP(DESPESAS[[#This Row],[Plano de Contas]],BASE!$B$3:$F$119,4,FALSE),"")</f>
        <v>6 - DESPESA COM VENDAS</v>
      </c>
      <c r="K993" s="77" t="str">
        <f>IFERROR(VLOOKUP(DESPESAS[[#This Row],[Plano de Contas]],BASE!$B$3:$H$119,5,FALSE),"")</f>
        <v>LOGÍSTICA</v>
      </c>
      <c r="L993" s="77">
        <f>IFERROR(VLOOKUP(DESPESAS[[#This Row],[Plano de Contas]],BASE!$B$3:$H$119,6,FALSE),"")</f>
        <v>0</v>
      </c>
      <c r="M993" s="77" t="str">
        <f>VLOOKUP(DESPESAS[[#This Row],[Plano de Contas]],BASE!$B$3:$H$119,7,FALSE)</f>
        <v>MYLENA</v>
      </c>
    </row>
    <row r="994" spans="1:13" x14ac:dyDescent="0.25">
      <c r="A994" s="74">
        <v>197589</v>
      </c>
      <c r="B994" s="75" t="s">
        <v>221</v>
      </c>
      <c r="C994" s="75" t="s">
        <v>2576</v>
      </c>
      <c r="D994" s="76">
        <v>46023</v>
      </c>
      <c r="E994" s="75" t="s">
        <v>2574</v>
      </c>
      <c r="F994" s="74">
        <v>170</v>
      </c>
      <c r="G994" s="75" t="s">
        <v>247</v>
      </c>
      <c r="H994" s="77" t="str">
        <f>VLOOKUP(DESPESAS[[#This Row],[Plano de Contas]],BASE!$B$3:$D$119,3,FALSE)</f>
        <v>Manutenção com veiculos</v>
      </c>
      <c r="I994" s="77" t="str">
        <f>IFERROR(VLOOKUP(DESPESAS[[#This Row],[Fornecedor]],Tabela2[],2,FALSE),"")</f>
        <v/>
      </c>
      <c r="J994" s="77" t="str">
        <f>IFERROR(VLOOKUP(DESPESAS[[#This Row],[Plano de Contas]],BASE!$B$3:$F$119,4,FALSE),"")</f>
        <v>6 - DESPESA COM VENDAS</v>
      </c>
      <c r="K994" s="77" t="str">
        <f>IFERROR(VLOOKUP(DESPESAS[[#This Row],[Plano de Contas]],BASE!$B$3:$H$119,5,FALSE),"")</f>
        <v>LOGÍSTICA</v>
      </c>
      <c r="L994" s="77">
        <f>IFERROR(VLOOKUP(DESPESAS[[#This Row],[Plano de Contas]],BASE!$B$3:$H$119,6,FALSE),"")</f>
        <v>0</v>
      </c>
      <c r="M994" s="77" t="str">
        <f>VLOOKUP(DESPESAS[[#This Row],[Plano de Contas]],BASE!$B$3:$H$119,7,FALSE)</f>
        <v>MYLENA</v>
      </c>
    </row>
    <row r="995" spans="1:13" x14ac:dyDescent="0.25">
      <c r="A995" s="74">
        <v>197590</v>
      </c>
      <c r="B995" s="75" t="s">
        <v>221</v>
      </c>
      <c r="C995" s="75" t="s">
        <v>2575</v>
      </c>
      <c r="D995" s="76">
        <v>46050</v>
      </c>
      <c r="E995" s="75" t="s">
        <v>2574</v>
      </c>
      <c r="F995" s="74">
        <v>80</v>
      </c>
      <c r="G995" s="75" t="s">
        <v>247</v>
      </c>
      <c r="H995" s="77" t="str">
        <f>VLOOKUP(DESPESAS[[#This Row],[Plano de Contas]],BASE!$B$3:$D$119,3,FALSE)</f>
        <v>Manutenção com veiculos</v>
      </c>
      <c r="I995" s="77" t="str">
        <f>IFERROR(VLOOKUP(DESPESAS[[#This Row],[Fornecedor]],Tabela2[],2,FALSE),"")</f>
        <v/>
      </c>
      <c r="J995" s="77" t="str">
        <f>IFERROR(VLOOKUP(DESPESAS[[#This Row],[Plano de Contas]],BASE!$B$3:$F$119,4,FALSE),"")</f>
        <v>6 - DESPESA COM VENDAS</v>
      </c>
      <c r="K995" s="77" t="str">
        <f>IFERROR(VLOOKUP(DESPESAS[[#This Row],[Plano de Contas]],BASE!$B$3:$H$119,5,FALSE),"")</f>
        <v>LOGÍSTICA</v>
      </c>
      <c r="L995" s="77">
        <f>IFERROR(VLOOKUP(DESPESAS[[#This Row],[Plano de Contas]],BASE!$B$3:$H$119,6,FALSE),"")</f>
        <v>0</v>
      </c>
      <c r="M995" s="77" t="str">
        <f>VLOOKUP(DESPESAS[[#This Row],[Plano de Contas]],BASE!$B$3:$H$119,7,FALSE)</f>
        <v>MYLENA</v>
      </c>
    </row>
    <row r="996" spans="1:13" x14ac:dyDescent="0.25">
      <c r="A996" s="74">
        <v>197591</v>
      </c>
      <c r="B996" s="75" t="s">
        <v>221</v>
      </c>
      <c r="C996" s="75" t="s">
        <v>2573</v>
      </c>
      <c r="D996" s="76">
        <v>46050</v>
      </c>
      <c r="E996" s="75" t="s">
        <v>1872</v>
      </c>
      <c r="F996" s="74">
        <v>103.8</v>
      </c>
      <c r="G996" s="75" t="s">
        <v>1037</v>
      </c>
      <c r="H996" s="77" t="str">
        <f>VLOOKUP(DESPESAS[[#This Row],[Plano de Contas]],BASE!$B$3:$D$119,3,FALSE)</f>
        <v>Construções e Reformas</v>
      </c>
      <c r="I996" s="77" t="str">
        <f>IFERROR(VLOOKUP(DESPESAS[[#This Row],[Fornecedor]],Tabela2[],2,FALSE),"")</f>
        <v>MATERIAIS ELETRICOS</v>
      </c>
      <c r="J996" s="77" t="str">
        <f>IFERROR(VLOOKUP(DESPESAS[[#This Row],[Plano de Contas]],BASE!$B$3:$F$119,4,FALSE),"")</f>
        <v>9 - INVESTIMENTOS</v>
      </c>
      <c r="K996" s="77" t="str">
        <f>IFERROR(VLOOKUP(DESPESAS[[#This Row],[Plano de Contas]],BASE!$B$3:$H$119,5,FALSE),"")</f>
        <v>MANUTENÇÃO / TI</v>
      </c>
      <c r="L996" s="77">
        <f>IFERROR(VLOOKUP(DESPESAS[[#This Row],[Plano de Contas]],BASE!$B$3:$H$119,6,FALSE),"")</f>
        <v>0</v>
      </c>
      <c r="M996" s="77" t="str">
        <f>VLOOKUP(DESPESAS[[#This Row],[Plano de Contas]],BASE!$B$3:$H$119,7,FALSE)</f>
        <v>FÁBIO</v>
      </c>
    </row>
    <row r="997" spans="1:13" x14ac:dyDescent="0.25">
      <c r="A997" s="74">
        <v>197592</v>
      </c>
      <c r="B997" s="75" t="s">
        <v>232</v>
      </c>
      <c r="C997" s="75" t="s">
        <v>2572</v>
      </c>
      <c r="D997" s="76">
        <v>46050</v>
      </c>
      <c r="E997" s="75" t="s">
        <v>230</v>
      </c>
      <c r="F997" s="74">
        <v>62.33</v>
      </c>
      <c r="G997" s="75" t="s">
        <v>229</v>
      </c>
      <c r="H997" s="77" t="str">
        <f>VLOOKUP(DESPESAS[[#This Row],[Plano de Contas]],BASE!$B$3:$D$119,3,FALSE)</f>
        <v>Despesas Bancarias</v>
      </c>
      <c r="I997" s="77" t="str">
        <f>IFERROR(VLOOKUP(DESPESAS[[#This Row],[Fornecedor]],Tabela2[],2,FALSE),"")</f>
        <v/>
      </c>
      <c r="J997" s="77" t="str">
        <f>IFERROR(VLOOKUP(DESPESAS[[#This Row],[Plano de Contas]],BASE!$B$3:$F$119,4,FALSE),"")</f>
        <v>8 - DESPESAS FINANCEIRAS</v>
      </c>
      <c r="K997" s="77" t="str">
        <f>IFERROR(VLOOKUP(DESPESAS[[#This Row],[Plano de Contas]],BASE!$B$3:$H$119,5,FALSE),"")</f>
        <v>FINANCEIRO</v>
      </c>
      <c r="L997" s="77">
        <f>IFERROR(VLOOKUP(DESPESAS[[#This Row],[Plano de Contas]],BASE!$B$3:$H$119,6,FALSE),"")</f>
        <v>0</v>
      </c>
      <c r="M997" s="77" t="str">
        <f>VLOOKUP(DESPESAS[[#This Row],[Plano de Contas]],BASE!$B$3:$H$119,7,FALSE)</f>
        <v>LETÍCIA</v>
      </c>
    </row>
    <row r="998" spans="1:13" x14ac:dyDescent="0.25">
      <c r="A998" s="74">
        <v>197593</v>
      </c>
      <c r="B998" s="75" t="s">
        <v>232</v>
      </c>
      <c r="C998" s="75" t="s">
        <v>2571</v>
      </c>
      <c r="D998" s="76">
        <v>46050</v>
      </c>
      <c r="E998" s="75" t="s">
        <v>230</v>
      </c>
      <c r="F998" s="74">
        <v>69.84</v>
      </c>
      <c r="G998" s="75" t="s">
        <v>229</v>
      </c>
      <c r="H998" s="77" t="str">
        <f>VLOOKUP(DESPESAS[[#This Row],[Plano de Contas]],BASE!$B$3:$D$119,3,FALSE)</f>
        <v>Despesas Bancarias</v>
      </c>
      <c r="I998" s="77" t="str">
        <f>IFERROR(VLOOKUP(DESPESAS[[#This Row],[Fornecedor]],Tabela2[],2,FALSE),"")</f>
        <v/>
      </c>
      <c r="J998" s="77" t="str">
        <f>IFERROR(VLOOKUP(DESPESAS[[#This Row],[Plano de Contas]],BASE!$B$3:$F$119,4,FALSE),"")</f>
        <v>8 - DESPESAS FINANCEIRAS</v>
      </c>
      <c r="K998" s="77" t="str">
        <f>IFERROR(VLOOKUP(DESPESAS[[#This Row],[Plano de Contas]],BASE!$B$3:$H$119,5,FALSE),"")</f>
        <v>FINANCEIRO</v>
      </c>
      <c r="L998" s="77">
        <f>IFERROR(VLOOKUP(DESPESAS[[#This Row],[Plano de Contas]],BASE!$B$3:$H$119,6,FALSE),"")</f>
        <v>0</v>
      </c>
      <c r="M998" s="77" t="str">
        <f>VLOOKUP(DESPESAS[[#This Row],[Plano de Contas]],BASE!$B$3:$H$119,7,FALSE)</f>
        <v>LETÍCIA</v>
      </c>
    </row>
    <row r="999" spans="1:13" x14ac:dyDescent="0.25">
      <c r="A999" s="74">
        <v>197594</v>
      </c>
      <c r="B999" s="75" t="s">
        <v>232</v>
      </c>
      <c r="C999" s="75" t="s">
        <v>2570</v>
      </c>
      <c r="D999" s="76">
        <v>46050</v>
      </c>
      <c r="E999" s="75" t="s">
        <v>230</v>
      </c>
      <c r="F999" s="74">
        <v>429.57</v>
      </c>
      <c r="G999" s="75" t="s">
        <v>251</v>
      </c>
      <c r="H999" s="77" t="str">
        <f>VLOOKUP(DESPESAS[[#This Row],[Plano de Contas]],BASE!$B$3:$D$119,3,FALSE)</f>
        <v>Juros Pagos - Antecipação de Crédito</v>
      </c>
      <c r="I999" s="77" t="str">
        <f>IFERROR(VLOOKUP(DESPESAS[[#This Row],[Fornecedor]],Tabela2[],2,FALSE),"")</f>
        <v/>
      </c>
      <c r="J999" s="77" t="str">
        <f>IFERROR(VLOOKUP(DESPESAS[[#This Row],[Plano de Contas]],BASE!$B$3:$F$119,4,FALSE),"")</f>
        <v>8 - DESPESAS FINANCEIRAS</v>
      </c>
      <c r="K999" s="77" t="str">
        <f>IFERROR(VLOOKUP(DESPESAS[[#This Row],[Plano de Contas]],BASE!$B$3:$H$119,5,FALSE),"")</f>
        <v>FINANCEIRO</v>
      </c>
      <c r="L999" s="77">
        <f>IFERROR(VLOOKUP(DESPESAS[[#This Row],[Plano de Contas]],BASE!$B$3:$H$119,6,FALSE),"")</f>
        <v>0</v>
      </c>
      <c r="M999" s="77" t="str">
        <f>VLOOKUP(DESPESAS[[#This Row],[Plano de Contas]],BASE!$B$3:$H$119,7,FALSE)</f>
        <v>LETÍCIA</v>
      </c>
    </row>
    <row r="1000" spans="1:13" x14ac:dyDescent="0.25">
      <c r="A1000" s="74">
        <v>197595</v>
      </c>
      <c r="B1000" s="75" t="s">
        <v>232</v>
      </c>
      <c r="C1000" s="75" t="s">
        <v>2569</v>
      </c>
      <c r="D1000" s="76">
        <v>46050</v>
      </c>
      <c r="E1000" s="75" t="s">
        <v>1052</v>
      </c>
      <c r="F1000" s="74">
        <v>50000</v>
      </c>
      <c r="G1000" s="75" t="s">
        <v>1051</v>
      </c>
      <c r="H1000" s="77" t="str">
        <f>VLOOKUP(DESPESAS[[#This Row],[Plano de Contas]],BASE!$B$3:$D$119,3,FALSE)</f>
        <v>Remessa de Industrialização</v>
      </c>
      <c r="I1000" s="77" t="str">
        <f>IFERROR(VLOOKUP(DESPESAS[[#This Row],[Fornecedor]],Tabela2[],2,FALSE),"")</f>
        <v/>
      </c>
      <c r="J1000" s="77">
        <f>IFERROR(VLOOKUP(DESPESAS[[#This Row],[Plano de Contas]],BASE!$B$3:$F$119,4,FALSE),"")</f>
        <v>0</v>
      </c>
      <c r="K1000" s="77">
        <f>IFERROR(VLOOKUP(DESPESAS[[#This Row],[Plano de Contas]],BASE!$B$3:$H$119,5,FALSE),"")</f>
        <v>0</v>
      </c>
      <c r="L1000" s="77">
        <f>IFERROR(VLOOKUP(DESPESAS[[#This Row],[Plano de Contas]],BASE!$B$3:$H$119,6,FALSE),"")</f>
        <v>0</v>
      </c>
      <c r="M1000" s="77" t="str">
        <f>VLOOKUP(DESPESAS[[#This Row],[Plano de Contas]],BASE!$B$3:$H$119,7,FALSE)</f>
        <v>NINGUÉM</v>
      </c>
    </row>
    <row r="1001" spans="1:13" x14ac:dyDescent="0.25">
      <c r="A1001" s="74">
        <v>197596</v>
      </c>
      <c r="B1001" s="75" t="s">
        <v>232</v>
      </c>
      <c r="C1001" s="75" t="s">
        <v>2568</v>
      </c>
      <c r="D1001" s="76">
        <v>46051</v>
      </c>
      <c r="E1001" s="75" t="s">
        <v>2567</v>
      </c>
      <c r="F1001" s="74">
        <v>5157.16</v>
      </c>
      <c r="G1001" s="75" t="s">
        <v>1037</v>
      </c>
      <c r="H1001" s="77" t="str">
        <f>VLOOKUP(DESPESAS[[#This Row],[Plano de Contas]],BASE!$B$3:$D$119,3,FALSE)</f>
        <v>Construções e Reformas</v>
      </c>
      <c r="I1001" s="77" t="str">
        <f>IFERROR(VLOOKUP(DESPESAS[[#This Row],[Fornecedor]],Tabela2[],2,FALSE),"")</f>
        <v/>
      </c>
      <c r="J1001" s="77" t="str">
        <f>IFERROR(VLOOKUP(DESPESAS[[#This Row],[Plano de Contas]],BASE!$B$3:$F$119,4,FALSE),"")</f>
        <v>9 - INVESTIMENTOS</v>
      </c>
      <c r="K1001" s="77" t="str">
        <f>IFERROR(VLOOKUP(DESPESAS[[#This Row],[Plano de Contas]],BASE!$B$3:$H$119,5,FALSE),"")</f>
        <v>MANUTENÇÃO / TI</v>
      </c>
      <c r="L1001" s="77">
        <f>IFERROR(VLOOKUP(DESPESAS[[#This Row],[Plano de Contas]],BASE!$B$3:$H$119,6,FALSE),"")</f>
        <v>0</v>
      </c>
      <c r="M1001" s="77" t="str">
        <f>VLOOKUP(DESPESAS[[#This Row],[Plano de Contas]],BASE!$B$3:$H$119,7,FALSE)</f>
        <v>FÁBIO</v>
      </c>
    </row>
    <row r="1002" spans="1:13" x14ac:dyDescent="0.25">
      <c r="A1002" s="74">
        <v>197597</v>
      </c>
      <c r="B1002" s="75" t="s">
        <v>232</v>
      </c>
      <c r="C1002" s="75" t="s">
        <v>2566</v>
      </c>
      <c r="D1002" s="76">
        <v>46050</v>
      </c>
      <c r="E1002" s="75" t="s">
        <v>230</v>
      </c>
      <c r="F1002" s="74">
        <v>10.27</v>
      </c>
      <c r="G1002" s="75" t="s">
        <v>229</v>
      </c>
      <c r="H1002" s="77" t="str">
        <f>VLOOKUP(DESPESAS[[#This Row],[Plano de Contas]],BASE!$B$3:$D$119,3,FALSE)</f>
        <v>Despesas Bancarias</v>
      </c>
      <c r="I1002" s="77" t="str">
        <f>IFERROR(VLOOKUP(DESPESAS[[#This Row],[Fornecedor]],Tabela2[],2,FALSE),"")</f>
        <v/>
      </c>
      <c r="J1002" s="77" t="str">
        <f>IFERROR(VLOOKUP(DESPESAS[[#This Row],[Plano de Contas]],BASE!$B$3:$F$119,4,FALSE),"")</f>
        <v>8 - DESPESAS FINANCEIRAS</v>
      </c>
      <c r="K1002" s="77" t="str">
        <f>IFERROR(VLOOKUP(DESPESAS[[#This Row],[Plano de Contas]],BASE!$B$3:$H$119,5,FALSE),"")</f>
        <v>FINANCEIRO</v>
      </c>
      <c r="L1002" s="77">
        <f>IFERROR(VLOOKUP(DESPESAS[[#This Row],[Plano de Contas]],BASE!$B$3:$H$119,6,FALSE),"")</f>
        <v>0</v>
      </c>
      <c r="M1002" s="77" t="str">
        <f>VLOOKUP(DESPESAS[[#This Row],[Plano de Contas]],BASE!$B$3:$H$119,7,FALSE)</f>
        <v>LETÍCIA</v>
      </c>
    </row>
    <row r="1003" spans="1:13" x14ac:dyDescent="0.25">
      <c r="A1003" s="74">
        <v>197598</v>
      </c>
      <c r="B1003" s="75" t="s">
        <v>232</v>
      </c>
      <c r="C1003" s="75" t="s">
        <v>2565</v>
      </c>
      <c r="D1003" s="76">
        <v>46050</v>
      </c>
      <c r="E1003" s="75" t="s">
        <v>230</v>
      </c>
      <c r="F1003" s="74">
        <v>5</v>
      </c>
      <c r="G1003" s="75" t="s">
        <v>229</v>
      </c>
      <c r="H1003" s="77" t="str">
        <f>VLOOKUP(DESPESAS[[#This Row],[Plano de Contas]],BASE!$B$3:$D$119,3,FALSE)</f>
        <v>Despesas Bancarias</v>
      </c>
      <c r="I1003" s="77" t="str">
        <f>IFERROR(VLOOKUP(DESPESAS[[#This Row],[Fornecedor]],Tabela2[],2,FALSE),"")</f>
        <v/>
      </c>
      <c r="J1003" s="77" t="str">
        <f>IFERROR(VLOOKUP(DESPESAS[[#This Row],[Plano de Contas]],BASE!$B$3:$F$119,4,FALSE),"")</f>
        <v>8 - DESPESAS FINANCEIRAS</v>
      </c>
      <c r="K1003" s="77" t="str">
        <f>IFERROR(VLOOKUP(DESPESAS[[#This Row],[Plano de Contas]],BASE!$B$3:$H$119,5,FALSE),"")</f>
        <v>FINANCEIRO</v>
      </c>
      <c r="L1003" s="77">
        <f>IFERROR(VLOOKUP(DESPESAS[[#This Row],[Plano de Contas]],BASE!$B$3:$H$119,6,FALSE),"")</f>
        <v>0</v>
      </c>
      <c r="M1003" s="77" t="str">
        <f>VLOOKUP(DESPESAS[[#This Row],[Plano de Contas]],BASE!$B$3:$H$119,7,FALSE)</f>
        <v>LETÍCIA</v>
      </c>
    </row>
    <row r="1004" spans="1:13" x14ac:dyDescent="0.25">
      <c r="A1004" s="74">
        <v>197599</v>
      </c>
      <c r="B1004" s="75" t="s">
        <v>232</v>
      </c>
      <c r="C1004" s="75" t="s">
        <v>2564</v>
      </c>
      <c r="D1004" s="76">
        <v>46051</v>
      </c>
      <c r="E1004" s="75" t="s">
        <v>230</v>
      </c>
      <c r="F1004" s="74">
        <v>0.14000000000000001</v>
      </c>
      <c r="G1004" s="75" t="s">
        <v>229</v>
      </c>
      <c r="H1004" s="77" t="str">
        <f>VLOOKUP(DESPESAS[[#This Row],[Plano de Contas]],BASE!$B$3:$D$119,3,FALSE)</f>
        <v>Despesas Bancarias</v>
      </c>
      <c r="I1004" s="77" t="str">
        <f>IFERROR(VLOOKUP(DESPESAS[[#This Row],[Fornecedor]],Tabela2[],2,FALSE),"")</f>
        <v/>
      </c>
      <c r="J1004" s="77" t="str">
        <f>IFERROR(VLOOKUP(DESPESAS[[#This Row],[Plano de Contas]],BASE!$B$3:$F$119,4,FALSE),"")</f>
        <v>8 - DESPESAS FINANCEIRAS</v>
      </c>
      <c r="K1004" s="77" t="str">
        <f>IFERROR(VLOOKUP(DESPESAS[[#This Row],[Plano de Contas]],BASE!$B$3:$H$119,5,FALSE),"")</f>
        <v>FINANCEIRO</v>
      </c>
      <c r="L1004" s="77">
        <f>IFERROR(VLOOKUP(DESPESAS[[#This Row],[Plano de Contas]],BASE!$B$3:$H$119,6,FALSE),"")</f>
        <v>0</v>
      </c>
      <c r="M1004" s="77" t="str">
        <f>VLOOKUP(DESPESAS[[#This Row],[Plano de Contas]],BASE!$B$3:$H$119,7,FALSE)</f>
        <v>LETÍCIA</v>
      </c>
    </row>
    <row r="1005" spans="1:13" x14ac:dyDescent="0.25">
      <c r="A1005" s="74">
        <v>197600</v>
      </c>
      <c r="B1005" s="75" t="s">
        <v>279</v>
      </c>
      <c r="C1005" s="75" t="s">
        <v>2563</v>
      </c>
      <c r="D1005" s="76">
        <v>46050</v>
      </c>
      <c r="E1005" s="75" t="s">
        <v>230</v>
      </c>
      <c r="F1005" s="74">
        <v>2.37</v>
      </c>
      <c r="G1005" s="75" t="s">
        <v>229</v>
      </c>
      <c r="H1005" s="77" t="str">
        <f>VLOOKUP(DESPESAS[[#This Row],[Plano de Contas]],BASE!$B$3:$D$119,3,FALSE)</f>
        <v>Despesas Bancarias</v>
      </c>
      <c r="I1005" s="77" t="str">
        <f>IFERROR(VLOOKUP(DESPESAS[[#This Row],[Fornecedor]],Tabela2[],2,FALSE),"")</f>
        <v/>
      </c>
      <c r="J1005" s="77" t="str">
        <f>IFERROR(VLOOKUP(DESPESAS[[#This Row],[Plano de Contas]],BASE!$B$3:$F$119,4,FALSE),"")</f>
        <v>8 - DESPESAS FINANCEIRAS</v>
      </c>
      <c r="K1005" s="77" t="str">
        <f>IFERROR(VLOOKUP(DESPESAS[[#This Row],[Plano de Contas]],BASE!$B$3:$H$119,5,FALSE),"")</f>
        <v>FINANCEIRO</v>
      </c>
      <c r="L1005" s="77">
        <f>IFERROR(VLOOKUP(DESPESAS[[#This Row],[Plano de Contas]],BASE!$B$3:$H$119,6,FALSE),"")</f>
        <v>0</v>
      </c>
      <c r="M1005" s="77" t="str">
        <f>VLOOKUP(DESPESAS[[#This Row],[Plano de Contas]],BASE!$B$3:$H$119,7,FALSE)</f>
        <v>LETÍCIA</v>
      </c>
    </row>
    <row r="1006" spans="1:13" x14ac:dyDescent="0.25">
      <c r="A1006" s="74">
        <v>197601</v>
      </c>
      <c r="B1006" s="75" t="s">
        <v>232</v>
      </c>
      <c r="C1006" s="75" t="s">
        <v>2562</v>
      </c>
      <c r="D1006" s="76">
        <v>46043</v>
      </c>
      <c r="E1006" s="75" t="s">
        <v>409</v>
      </c>
      <c r="F1006" s="74">
        <v>93.66</v>
      </c>
      <c r="G1006" s="75" t="s">
        <v>326</v>
      </c>
      <c r="H1006" s="77" t="str">
        <f>VLOOKUP(DESPESAS[[#This Row],[Plano de Contas]],BASE!$B$3:$D$119,3,FALSE)</f>
        <v>Frete sobre Compras</v>
      </c>
      <c r="I1006" s="77" t="str">
        <f>IFERROR(VLOOKUP(DESPESAS[[#This Row],[Fornecedor]],Tabela2[],2,FALSE),"")</f>
        <v>SERVIÇOS FRETE</v>
      </c>
      <c r="J1006" s="77" t="str">
        <f>IFERROR(VLOOKUP(DESPESAS[[#This Row],[Plano de Contas]],BASE!$B$3:$F$119,4,FALSE),"")</f>
        <v>1 - CPV</v>
      </c>
      <c r="K1006" s="77" t="str">
        <f>IFERROR(VLOOKUP(DESPESAS[[#This Row],[Plano de Contas]],BASE!$B$3:$H$119,5,FALSE),"")</f>
        <v>COMPRAS</v>
      </c>
      <c r="L1006" s="77">
        <f>IFERROR(VLOOKUP(DESPESAS[[#This Row],[Plano de Contas]],BASE!$B$3:$H$119,6,FALSE),"")</f>
        <v>0</v>
      </c>
      <c r="M1006" s="77" t="str">
        <f>VLOOKUP(DESPESAS[[#This Row],[Plano de Contas]],BASE!$B$3:$H$119,7,FALSE)</f>
        <v>MYLENA</v>
      </c>
    </row>
    <row r="1007" spans="1:13" x14ac:dyDescent="0.25">
      <c r="A1007" s="74">
        <v>197602</v>
      </c>
      <c r="B1007" s="75" t="s">
        <v>221</v>
      </c>
      <c r="C1007" s="75" t="s">
        <v>2561</v>
      </c>
      <c r="D1007" s="76">
        <v>46051</v>
      </c>
      <c r="E1007" s="75" t="s">
        <v>256</v>
      </c>
      <c r="F1007" s="74">
        <v>618.75</v>
      </c>
      <c r="G1007" s="75" t="s">
        <v>255</v>
      </c>
      <c r="H1007" s="77" t="str">
        <f>VLOOKUP(DESPESAS[[#This Row],[Plano de Contas]],BASE!$B$3:$D$119,3,FALSE)</f>
        <v>Mostruário de Tecido</v>
      </c>
      <c r="I1007" s="77" t="str">
        <f>IFERROR(VLOOKUP(DESPESAS[[#This Row],[Fornecedor]],Tabela2[],2,FALSE),"")</f>
        <v/>
      </c>
      <c r="J1007" s="77" t="str">
        <f>IFERROR(VLOOKUP(DESPESAS[[#This Row],[Plano de Contas]],BASE!$B$3:$F$119,4,FALSE),"")</f>
        <v>6 - DESPESA COM VENDAS</v>
      </c>
      <c r="K1007" s="77" t="str">
        <f>IFERROR(VLOOKUP(DESPESAS[[#This Row],[Plano de Contas]],BASE!$B$3:$H$119,5,FALSE),"")</f>
        <v>COMERCIAL</v>
      </c>
      <c r="L1007" s="77">
        <f>IFERROR(VLOOKUP(DESPESAS[[#This Row],[Plano de Contas]],BASE!$B$3:$H$119,6,FALSE),"")</f>
        <v>0</v>
      </c>
      <c r="M1007" s="77" t="str">
        <f>VLOOKUP(DESPESAS[[#This Row],[Plano de Contas]],BASE!$B$3:$H$119,7,FALSE)</f>
        <v>LETÍCIA</v>
      </c>
    </row>
    <row r="1008" spans="1:13" x14ac:dyDescent="0.25">
      <c r="A1008" s="74">
        <v>197603</v>
      </c>
      <c r="B1008" s="75" t="s">
        <v>221</v>
      </c>
      <c r="C1008" s="75" t="s">
        <v>2560</v>
      </c>
      <c r="D1008" s="76">
        <v>46051</v>
      </c>
      <c r="E1008" s="75" t="s">
        <v>256</v>
      </c>
      <c r="F1008" s="74">
        <v>768.79</v>
      </c>
      <c r="G1008" s="75" t="s">
        <v>255</v>
      </c>
      <c r="H1008" s="77" t="str">
        <f>VLOOKUP(DESPESAS[[#This Row],[Plano de Contas]],BASE!$B$3:$D$119,3,FALSE)</f>
        <v>Mostruário de Tecido</v>
      </c>
      <c r="I1008" s="77" t="str">
        <f>IFERROR(VLOOKUP(DESPESAS[[#This Row],[Fornecedor]],Tabela2[],2,FALSE),"")</f>
        <v/>
      </c>
      <c r="J1008" s="77" t="str">
        <f>IFERROR(VLOOKUP(DESPESAS[[#This Row],[Plano de Contas]],BASE!$B$3:$F$119,4,FALSE),"")</f>
        <v>6 - DESPESA COM VENDAS</v>
      </c>
      <c r="K1008" s="77" t="str">
        <f>IFERROR(VLOOKUP(DESPESAS[[#This Row],[Plano de Contas]],BASE!$B$3:$H$119,5,FALSE),"")</f>
        <v>COMERCIAL</v>
      </c>
      <c r="L1008" s="77">
        <f>IFERROR(VLOOKUP(DESPESAS[[#This Row],[Plano de Contas]],BASE!$B$3:$H$119,6,FALSE),"")</f>
        <v>0</v>
      </c>
      <c r="M1008" s="77" t="str">
        <f>VLOOKUP(DESPESAS[[#This Row],[Plano de Contas]],BASE!$B$3:$H$119,7,FALSE)</f>
        <v>LETÍCIA</v>
      </c>
    </row>
    <row r="1009" spans="1:13" x14ac:dyDescent="0.25">
      <c r="A1009" s="74">
        <v>197604</v>
      </c>
      <c r="B1009" s="75" t="s">
        <v>232</v>
      </c>
      <c r="C1009" s="75" t="s">
        <v>2559</v>
      </c>
      <c r="D1009" s="76">
        <v>46048</v>
      </c>
      <c r="E1009" s="75" t="s">
        <v>409</v>
      </c>
      <c r="F1009" s="74">
        <v>602.05999999999995</v>
      </c>
      <c r="G1009" s="75" t="s">
        <v>326</v>
      </c>
      <c r="H1009" s="77" t="str">
        <f>VLOOKUP(DESPESAS[[#This Row],[Plano de Contas]],BASE!$B$3:$D$119,3,FALSE)</f>
        <v>Frete sobre Compras</v>
      </c>
      <c r="I1009" s="77" t="str">
        <f>IFERROR(VLOOKUP(DESPESAS[[#This Row],[Fornecedor]],Tabela2[],2,FALSE),"")</f>
        <v>SERVIÇOS FRETE</v>
      </c>
      <c r="J1009" s="77" t="str">
        <f>IFERROR(VLOOKUP(DESPESAS[[#This Row],[Plano de Contas]],BASE!$B$3:$F$119,4,FALSE),"")</f>
        <v>1 - CPV</v>
      </c>
      <c r="K1009" s="77" t="str">
        <f>IFERROR(VLOOKUP(DESPESAS[[#This Row],[Plano de Contas]],BASE!$B$3:$H$119,5,FALSE),"")</f>
        <v>COMPRAS</v>
      </c>
      <c r="L1009" s="77">
        <f>IFERROR(VLOOKUP(DESPESAS[[#This Row],[Plano de Contas]],BASE!$B$3:$H$119,6,FALSE),"")</f>
        <v>0</v>
      </c>
      <c r="M1009" s="77" t="str">
        <f>VLOOKUP(DESPESAS[[#This Row],[Plano de Contas]],BASE!$B$3:$H$119,7,FALSE)</f>
        <v>MYLENA</v>
      </c>
    </row>
    <row r="1010" spans="1:13" x14ac:dyDescent="0.25">
      <c r="A1010" s="74">
        <v>197605</v>
      </c>
      <c r="B1010" s="75" t="s">
        <v>232</v>
      </c>
      <c r="C1010" s="75" t="s">
        <v>2558</v>
      </c>
      <c r="D1010" s="76">
        <v>46042</v>
      </c>
      <c r="E1010" s="75" t="s">
        <v>409</v>
      </c>
      <c r="F1010" s="74">
        <v>206.48</v>
      </c>
      <c r="G1010" s="75" t="s">
        <v>326</v>
      </c>
      <c r="H1010" s="77" t="str">
        <f>VLOOKUP(DESPESAS[[#This Row],[Plano de Contas]],BASE!$B$3:$D$119,3,FALSE)</f>
        <v>Frete sobre Compras</v>
      </c>
      <c r="I1010" s="77" t="str">
        <f>IFERROR(VLOOKUP(DESPESAS[[#This Row],[Fornecedor]],Tabela2[],2,FALSE),"")</f>
        <v>SERVIÇOS FRETE</v>
      </c>
      <c r="J1010" s="77" t="str">
        <f>IFERROR(VLOOKUP(DESPESAS[[#This Row],[Plano de Contas]],BASE!$B$3:$F$119,4,FALSE),"")</f>
        <v>1 - CPV</v>
      </c>
      <c r="K1010" s="77" t="str">
        <f>IFERROR(VLOOKUP(DESPESAS[[#This Row],[Plano de Contas]],BASE!$B$3:$H$119,5,FALSE),"")</f>
        <v>COMPRAS</v>
      </c>
      <c r="L1010" s="77">
        <f>IFERROR(VLOOKUP(DESPESAS[[#This Row],[Plano de Contas]],BASE!$B$3:$H$119,6,FALSE),"")</f>
        <v>0</v>
      </c>
      <c r="M1010" s="77" t="str">
        <f>VLOOKUP(DESPESAS[[#This Row],[Plano de Contas]],BASE!$B$3:$H$119,7,FALSE)</f>
        <v>MYLENA</v>
      </c>
    </row>
    <row r="1011" spans="1:13" x14ac:dyDescent="0.25">
      <c r="A1011" s="74">
        <v>197606</v>
      </c>
      <c r="B1011" s="75" t="s">
        <v>232</v>
      </c>
      <c r="C1011" s="75" t="s">
        <v>2557</v>
      </c>
      <c r="D1011" s="76">
        <v>46042</v>
      </c>
      <c r="E1011" s="75" t="s">
        <v>409</v>
      </c>
      <c r="F1011" s="74">
        <v>97.61</v>
      </c>
      <c r="G1011" s="75" t="s">
        <v>326</v>
      </c>
      <c r="H1011" s="77" t="str">
        <f>VLOOKUP(DESPESAS[[#This Row],[Plano de Contas]],BASE!$B$3:$D$119,3,FALSE)</f>
        <v>Frete sobre Compras</v>
      </c>
      <c r="I1011" s="77" t="str">
        <f>IFERROR(VLOOKUP(DESPESAS[[#This Row],[Fornecedor]],Tabela2[],2,FALSE),"")</f>
        <v>SERVIÇOS FRETE</v>
      </c>
      <c r="J1011" s="77" t="str">
        <f>IFERROR(VLOOKUP(DESPESAS[[#This Row],[Plano de Contas]],BASE!$B$3:$F$119,4,FALSE),"")</f>
        <v>1 - CPV</v>
      </c>
      <c r="K1011" s="77" t="str">
        <f>IFERROR(VLOOKUP(DESPESAS[[#This Row],[Plano de Contas]],BASE!$B$3:$H$119,5,FALSE),"")</f>
        <v>COMPRAS</v>
      </c>
      <c r="L1011" s="77">
        <f>IFERROR(VLOOKUP(DESPESAS[[#This Row],[Plano de Contas]],BASE!$B$3:$H$119,6,FALSE),"")</f>
        <v>0</v>
      </c>
      <c r="M1011" s="77" t="str">
        <f>VLOOKUP(DESPESAS[[#This Row],[Plano de Contas]],BASE!$B$3:$H$119,7,FALSE)</f>
        <v>MYLENA</v>
      </c>
    </row>
    <row r="1012" spans="1:13" x14ac:dyDescent="0.25">
      <c r="A1012" s="74">
        <v>197607</v>
      </c>
      <c r="B1012" s="75" t="s">
        <v>232</v>
      </c>
      <c r="C1012" s="75" t="s">
        <v>2556</v>
      </c>
      <c r="D1012" s="76">
        <v>46042</v>
      </c>
      <c r="E1012" s="75" t="s">
        <v>1974</v>
      </c>
      <c r="F1012" s="74">
        <v>107.92</v>
      </c>
      <c r="G1012" s="75" t="s">
        <v>326</v>
      </c>
      <c r="H1012" s="77" t="str">
        <f>VLOOKUP(DESPESAS[[#This Row],[Plano de Contas]],BASE!$B$3:$D$119,3,FALSE)</f>
        <v>Frete sobre Compras</v>
      </c>
      <c r="I1012" s="77" t="str">
        <f>IFERROR(VLOOKUP(DESPESAS[[#This Row],[Fornecedor]],Tabela2[],2,FALSE),"")</f>
        <v/>
      </c>
      <c r="J1012" s="77" t="str">
        <f>IFERROR(VLOOKUP(DESPESAS[[#This Row],[Plano de Contas]],BASE!$B$3:$F$119,4,FALSE),"")</f>
        <v>1 - CPV</v>
      </c>
      <c r="K1012" s="77" t="str">
        <f>IFERROR(VLOOKUP(DESPESAS[[#This Row],[Plano de Contas]],BASE!$B$3:$H$119,5,FALSE),"")</f>
        <v>COMPRAS</v>
      </c>
      <c r="L1012" s="77">
        <f>IFERROR(VLOOKUP(DESPESAS[[#This Row],[Plano de Contas]],BASE!$B$3:$H$119,6,FALSE),"")</f>
        <v>0</v>
      </c>
      <c r="M1012" s="77" t="str">
        <f>VLOOKUP(DESPESAS[[#This Row],[Plano de Contas]],BASE!$B$3:$H$119,7,FALSE)</f>
        <v>MYLENA</v>
      </c>
    </row>
    <row r="1013" spans="1:13" x14ac:dyDescent="0.25">
      <c r="A1013" s="74">
        <v>197608</v>
      </c>
      <c r="B1013" s="75" t="s">
        <v>232</v>
      </c>
      <c r="C1013" s="75" t="s">
        <v>2555</v>
      </c>
      <c r="D1013" s="76">
        <v>46044</v>
      </c>
      <c r="E1013" s="75" t="s">
        <v>409</v>
      </c>
      <c r="F1013" s="74">
        <v>94.6</v>
      </c>
      <c r="G1013" s="75" t="s">
        <v>326</v>
      </c>
      <c r="H1013" s="77" t="str">
        <f>VLOOKUP(DESPESAS[[#This Row],[Plano de Contas]],BASE!$B$3:$D$119,3,FALSE)</f>
        <v>Frete sobre Compras</v>
      </c>
      <c r="I1013" s="77" t="str">
        <f>IFERROR(VLOOKUP(DESPESAS[[#This Row],[Fornecedor]],Tabela2[],2,FALSE),"")</f>
        <v>SERVIÇOS FRETE</v>
      </c>
      <c r="J1013" s="77" t="str">
        <f>IFERROR(VLOOKUP(DESPESAS[[#This Row],[Plano de Contas]],BASE!$B$3:$F$119,4,FALSE),"")</f>
        <v>1 - CPV</v>
      </c>
      <c r="K1013" s="77" t="str">
        <f>IFERROR(VLOOKUP(DESPESAS[[#This Row],[Plano de Contas]],BASE!$B$3:$H$119,5,FALSE),"")</f>
        <v>COMPRAS</v>
      </c>
      <c r="L1013" s="77">
        <f>IFERROR(VLOOKUP(DESPESAS[[#This Row],[Plano de Contas]],BASE!$B$3:$H$119,6,FALSE),"")</f>
        <v>0</v>
      </c>
      <c r="M1013" s="77" t="str">
        <f>VLOOKUP(DESPESAS[[#This Row],[Plano de Contas]],BASE!$B$3:$H$119,7,FALSE)</f>
        <v>MYLENA</v>
      </c>
    </row>
    <row r="1014" spans="1:13" x14ac:dyDescent="0.25">
      <c r="A1014" s="74">
        <v>197609</v>
      </c>
      <c r="B1014" s="75" t="s">
        <v>232</v>
      </c>
      <c r="C1014" s="75" t="s">
        <v>2554</v>
      </c>
      <c r="D1014" s="76">
        <v>46044</v>
      </c>
      <c r="E1014" s="75" t="s">
        <v>327</v>
      </c>
      <c r="F1014" s="74">
        <v>129.52000000000001</v>
      </c>
      <c r="G1014" s="75" t="s">
        <v>326</v>
      </c>
      <c r="H1014" s="77" t="str">
        <f>VLOOKUP(DESPESAS[[#This Row],[Plano de Contas]],BASE!$B$3:$D$119,3,FALSE)</f>
        <v>Frete sobre Compras</v>
      </c>
      <c r="I1014" s="77" t="str">
        <f>IFERROR(VLOOKUP(DESPESAS[[#This Row],[Fornecedor]],Tabela2[],2,FALSE),"")</f>
        <v>SERVIÇOS FRETE</v>
      </c>
      <c r="J1014" s="77" t="str">
        <f>IFERROR(VLOOKUP(DESPESAS[[#This Row],[Plano de Contas]],BASE!$B$3:$F$119,4,FALSE),"")</f>
        <v>1 - CPV</v>
      </c>
      <c r="K1014" s="77" t="str">
        <f>IFERROR(VLOOKUP(DESPESAS[[#This Row],[Plano de Contas]],BASE!$B$3:$H$119,5,FALSE),"")</f>
        <v>COMPRAS</v>
      </c>
      <c r="L1014" s="77">
        <f>IFERROR(VLOOKUP(DESPESAS[[#This Row],[Plano de Contas]],BASE!$B$3:$H$119,6,FALSE),"")</f>
        <v>0</v>
      </c>
      <c r="M1014" s="77" t="str">
        <f>VLOOKUP(DESPESAS[[#This Row],[Plano de Contas]],BASE!$B$3:$H$119,7,FALSE)</f>
        <v>MYLENA</v>
      </c>
    </row>
    <row r="1015" spans="1:13" x14ac:dyDescent="0.25">
      <c r="A1015" s="74">
        <v>197610</v>
      </c>
      <c r="B1015" s="75" t="s">
        <v>232</v>
      </c>
      <c r="C1015" s="75" t="s">
        <v>2553</v>
      </c>
      <c r="D1015" s="76">
        <v>46041</v>
      </c>
      <c r="E1015" s="75" t="s">
        <v>327</v>
      </c>
      <c r="F1015" s="74">
        <v>337.23</v>
      </c>
      <c r="G1015" s="75" t="s">
        <v>326</v>
      </c>
      <c r="H1015" s="77" t="str">
        <f>VLOOKUP(DESPESAS[[#This Row],[Plano de Contas]],BASE!$B$3:$D$119,3,FALSE)</f>
        <v>Frete sobre Compras</v>
      </c>
      <c r="I1015" s="77" t="str">
        <f>IFERROR(VLOOKUP(DESPESAS[[#This Row],[Fornecedor]],Tabela2[],2,FALSE),"")</f>
        <v>SERVIÇOS FRETE</v>
      </c>
      <c r="J1015" s="77" t="str">
        <f>IFERROR(VLOOKUP(DESPESAS[[#This Row],[Plano de Contas]],BASE!$B$3:$F$119,4,FALSE),"")</f>
        <v>1 - CPV</v>
      </c>
      <c r="K1015" s="77" t="str">
        <f>IFERROR(VLOOKUP(DESPESAS[[#This Row],[Plano de Contas]],BASE!$B$3:$H$119,5,FALSE),"")</f>
        <v>COMPRAS</v>
      </c>
      <c r="L1015" s="77">
        <f>IFERROR(VLOOKUP(DESPESAS[[#This Row],[Plano de Contas]],BASE!$B$3:$H$119,6,FALSE),"")</f>
        <v>0</v>
      </c>
      <c r="M1015" s="77" t="str">
        <f>VLOOKUP(DESPESAS[[#This Row],[Plano de Contas]],BASE!$B$3:$H$119,7,FALSE)</f>
        <v>MYLENA</v>
      </c>
    </row>
    <row r="1016" spans="1:13" x14ac:dyDescent="0.25">
      <c r="A1016" s="74">
        <v>197611</v>
      </c>
      <c r="B1016" s="75" t="s">
        <v>232</v>
      </c>
      <c r="C1016" s="75" t="s">
        <v>2552</v>
      </c>
      <c r="D1016" s="76">
        <v>46041</v>
      </c>
      <c r="E1016" s="75" t="s">
        <v>327</v>
      </c>
      <c r="F1016" s="74">
        <v>168.75</v>
      </c>
      <c r="G1016" s="75" t="s">
        <v>326</v>
      </c>
      <c r="H1016" s="77" t="str">
        <f>VLOOKUP(DESPESAS[[#This Row],[Plano de Contas]],BASE!$B$3:$D$119,3,FALSE)</f>
        <v>Frete sobre Compras</v>
      </c>
      <c r="I1016" s="77" t="str">
        <f>IFERROR(VLOOKUP(DESPESAS[[#This Row],[Fornecedor]],Tabela2[],2,FALSE),"")</f>
        <v>SERVIÇOS FRETE</v>
      </c>
      <c r="J1016" s="77" t="str">
        <f>IFERROR(VLOOKUP(DESPESAS[[#This Row],[Plano de Contas]],BASE!$B$3:$F$119,4,FALSE),"")</f>
        <v>1 - CPV</v>
      </c>
      <c r="K1016" s="77" t="str">
        <f>IFERROR(VLOOKUP(DESPESAS[[#This Row],[Plano de Contas]],BASE!$B$3:$H$119,5,FALSE),"")</f>
        <v>COMPRAS</v>
      </c>
      <c r="L1016" s="77">
        <f>IFERROR(VLOOKUP(DESPESAS[[#This Row],[Plano de Contas]],BASE!$B$3:$H$119,6,FALSE),"")</f>
        <v>0</v>
      </c>
      <c r="M1016" s="77" t="str">
        <f>VLOOKUP(DESPESAS[[#This Row],[Plano de Contas]],BASE!$B$3:$H$119,7,FALSE)</f>
        <v>MYLENA</v>
      </c>
    </row>
    <row r="1017" spans="1:13" x14ac:dyDescent="0.25">
      <c r="A1017" s="74">
        <v>197612</v>
      </c>
      <c r="B1017" s="75" t="s">
        <v>232</v>
      </c>
      <c r="C1017" s="75" t="s">
        <v>2551</v>
      </c>
      <c r="D1017" s="76">
        <v>46050</v>
      </c>
      <c r="E1017" s="75" t="s">
        <v>1869</v>
      </c>
      <c r="F1017" s="74">
        <v>6035.41</v>
      </c>
      <c r="G1017" s="75" t="s">
        <v>1868</v>
      </c>
      <c r="H1017" s="77" t="str">
        <f>VLOOKUP(DESPESAS[[#This Row],[Plano de Contas]],BASE!$B$3:$D$119,3,FALSE)</f>
        <v>Consultoria Juridica</v>
      </c>
      <c r="I1017" s="77" t="str">
        <f>IFERROR(VLOOKUP(DESPESAS[[#This Row],[Fornecedor]],Tabela2[],2,FALSE),"")</f>
        <v/>
      </c>
      <c r="J1017" s="77" t="str">
        <f>IFERROR(VLOOKUP(DESPESAS[[#This Row],[Plano de Contas]],BASE!$B$3:$F$119,4,FALSE),"")</f>
        <v>7 - SERVIÇOS DE TERCEIROS</v>
      </c>
      <c r="K1017" s="77" t="str">
        <f>IFERROR(VLOOKUP(DESPESAS[[#This Row],[Plano de Contas]],BASE!$B$3:$H$119,5,FALSE),"")</f>
        <v>FINANCEIRO</v>
      </c>
      <c r="L1017" s="77">
        <f>IFERROR(VLOOKUP(DESPESAS[[#This Row],[Plano de Contas]],BASE!$B$3:$H$119,6,FALSE),"")</f>
        <v>0</v>
      </c>
      <c r="M1017" s="77" t="str">
        <f>VLOOKUP(DESPESAS[[#This Row],[Plano de Contas]],BASE!$B$3:$H$119,7,FALSE)</f>
        <v>LETÍCIA</v>
      </c>
    </row>
    <row r="1018" spans="1:13" x14ac:dyDescent="0.25">
      <c r="A1018" s="74">
        <v>197613</v>
      </c>
      <c r="B1018" s="75" t="s">
        <v>232</v>
      </c>
      <c r="C1018" s="75" t="s">
        <v>2550</v>
      </c>
      <c r="D1018" s="76">
        <v>46075</v>
      </c>
      <c r="E1018" s="75" t="s">
        <v>1869</v>
      </c>
      <c r="F1018" s="74">
        <v>6035.41</v>
      </c>
      <c r="G1018" s="75" t="s">
        <v>1868</v>
      </c>
      <c r="H1018" s="77" t="str">
        <f>VLOOKUP(DESPESAS[[#This Row],[Plano de Contas]],BASE!$B$3:$D$119,3,FALSE)</f>
        <v>Consultoria Juridica</v>
      </c>
      <c r="I1018" s="77" t="str">
        <f>IFERROR(VLOOKUP(DESPESAS[[#This Row],[Fornecedor]],Tabela2[],2,FALSE),"")</f>
        <v/>
      </c>
      <c r="J1018" s="77" t="str">
        <f>IFERROR(VLOOKUP(DESPESAS[[#This Row],[Plano de Contas]],BASE!$B$3:$F$119,4,FALSE),"")</f>
        <v>7 - SERVIÇOS DE TERCEIROS</v>
      </c>
      <c r="K1018" s="77" t="str">
        <f>IFERROR(VLOOKUP(DESPESAS[[#This Row],[Plano de Contas]],BASE!$B$3:$H$119,5,FALSE),"")</f>
        <v>FINANCEIRO</v>
      </c>
      <c r="L1018" s="77">
        <f>IFERROR(VLOOKUP(DESPESAS[[#This Row],[Plano de Contas]],BASE!$B$3:$H$119,6,FALSE),"")</f>
        <v>0</v>
      </c>
      <c r="M1018" s="77" t="str">
        <f>VLOOKUP(DESPESAS[[#This Row],[Plano de Contas]],BASE!$B$3:$H$119,7,FALSE)</f>
        <v>LETÍCIA</v>
      </c>
    </row>
    <row r="1019" spans="1:13" x14ac:dyDescent="0.25">
      <c r="A1019" s="74">
        <v>197625</v>
      </c>
      <c r="B1019" s="75" t="s">
        <v>221</v>
      </c>
      <c r="C1019" s="75" t="s">
        <v>2549</v>
      </c>
      <c r="D1019" s="76">
        <v>46051</v>
      </c>
      <c r="E1019" s="75" t="s">
        <v>347</v>
      </c>
      <c r="F1019" s="74">
        <v>63.97</v>
      </c>
      <c r="G1019" s="75" t="s">
        <v>1318</v>
      </c>
      <c r="H1019" s="77" t="str">
        <f>VLOOKUP(DESPESAS[[#This Row],[Plano de Contas]],BASE!$B$3:$D$119,3,FALSE)</f>
        <v>Feiras e Eventos</v>
      </c>
      <c r="I1019" s="77" t="str">
        <f>IFERROR(VLOOKUP(DESPESAS[[#This Row],[Fornecedor]],Tabela2[],2,FALSE),"")</f>
        <v/>
      </c>
      <c r="J1019" s="77" t="str">
        <f>IFERROR(VLOOKUP(DESPESAS[[#This Row],[Plano de Contas]],BASE!$B$3:$F$119,4,FALSE),"")</f>
        <v>6 - DESPESA COM VENDAS</v>
      </c>
      <c r="K1019" s="77" t="str">
        <f>IFERROR(VLOOKUP(DESPESAS[[#This Row],[Plano de Contas]],BASE!$B$3:$H$119,5,FALSE),"")</f>
        <v>COMERCIAL</v>
      </c>
      <c r="L1019" s="77">
        <f>IFERROR(VLOOKUP(DESPESAS[[#This Row],[Plano de Contas]],BASE!$B$3:$H$119,6,FALSE),"")</f>
        <v>0</v>
      </c>
      <c r="M1019" s="77" t="str">
        <f>VLOOKUP(DESPESAS[[#This Row],[Plano de Contas]],BASE!$B$3:$H$119,7,FALSE)</f>
        <v>THAIS</v>
      </c>
    </row>
    <row r="1020" spans="1:13" x14ac:dyDescent="0.25">
      <c r="A1020" s="74">
        <v>197626</v>
      </c>
      <c r="B1020" s="75" t="s">
        <v>686</v>
      </c>
      <c r="C1020" s="75" t="s">
        <v>2548</v>
      </c>
      <c r="D1020" s="76">
        <v>46051</v>
      </c>
      <c r="E1020" s="75" t="s">
        <v>325</v>
      </c>
      <c r="F1020" s="74">
        <v>1617</v>
      </c>
      <c r="G1020" s="75" t="s">
        <v>1318</v>
      </c>
      <c r="H1020" s="77" t="str">
        <f>VLOOKUP(DESPESAS[[#This Row],[Plano de Contas]],BASE!$B$3:$D$119,3,FALSE)</f>
        <v>Feiras e Eventos</v>
      </c>
      <c r="I1020" s="77" t="str">
        <f>IFERROR(VLOOKUP(DESPESAS[[#This Row],[Fornecedor]],Tabela2[],2,FALSE),"")</f>
        <v/>
      </c>
      <c r="J1020" s="77" t="str">
        <f>IFERROR(VLOOKUP(DESPESAS[[#This Row],[Plano de Contas]],BASE!$B$3:$F$119,4,FALSE),"")</f>
        <v>6 - DESPESA COM VENDAS</v>
      </c>
      <c r="K1020" s="77" t="str">
        <f>IFERROR(VLOOKUP(DESPESAS[[#This Row],[Plano de Contas]],BASE!$B$3:$H$119,5,FALSE),"")</f>
        <v>COMERCIAL</v>
      </c>
      <c r="L1020" s="77">
        <f>IFERROR(VLOOKUP(DESPESAS[[#This Row],[Plano de Contas]],BASE!$B$3:$H$119,6,FALSE),"")</f>
        <v>0</v>
      </c>
      <c r="M1020" s="77" t="str">
        <f>VLOOKUP(DESPESAS[[#This Row],[Plano de Contas]],BASE!$B$3:$H$119,7,FALSE)</f>
        <v>THAIS</v>
      </c>
    </row>
    <row r="1021" spans="1:13" x14ac:dyDescent="0.25">
      <c r="A1021" s="74">
        <v>197627</v>
      </c>
      <c r="B1021" s="75" t="s">
        <v>232</v>
      </c>
      <c r="C1021" s="75" t="s">
        <v>2547</v>
      </c>
      <c r="D1021" s="76">
        <v>46051</v>
      </c>
      <c r="E1021" s="75" t="s">
        <v>1169</v>
      </c>
      <c r="F1021" s="74">
        <v>223.07</v>
      </c>
      <c r="G1021" s="75" t="s">
        <v>1075</v>
      </c>
      <c r="H1021" s="77" t="str">
        <f>VLOOKUP(DESPESAS[[#This Row],[Plano de Contas]],BASE!$B$3:$D$119,3,FALSE)</f>
        <v>Fretes Ass. Técnica</v>
      </c>
      <c r="I1021" s="77" t="str">
        <f>IFERROR(VLOOKUP(DESPESAS[[#This Row],[Fornecedor]],Tabela2[],2,FALSE),"")</f>
        <v/>
      </c>
      <c r="J1021" s="77" t="str">
        <f>IFERROR(VLOOKUP(DESPESAS[[#This Row],[Plano de Contas]],BASE!$B$3:$F$119,4,FALSE),"")</f>
        <v>6 - DESPESA COM VENDAS</v>
      </c>
      <c r="K1021" s="77" t="str">
        <f>IFERROR(VLOOKUP(DESPESAS[[#This Row],[Plano de Contas]],BASE!$B$3:$H$119,5,FALSE),"")</f>
        <v>LOGÍSTICA</v>
      </c>
      <c r="L1021" s="77">
        <f>IFERROR(VLOOKUP(DESPESAS[[#This Row],[Plano de Contas]],BASE!$B$3:$H$119,6,FALSE),"")</f>
        <v>0</v>
      </c>
      <c r="M1021" s="77" t="str">
        <f>VLOOKUP(DESPESAS[[#This Row],[Plano de Contas]],BASE!$B$3:$H$119,7,FALSE)</f>
        <v>MYLENA</v>
      </c>
    </row>
    <row r="1022" spans="1:13" x14ac:dyDescent="0.25">
      <c r="A1022" s="74">
        <v>197628</v>
      </c>
      <c r="B1022" s="75" t="s">
        <v>232</v>
      </c>
      <c r="C1022" s="75" t="s">
        <v>2546</v>
      </c>
      <c r="D1022" s="76">
        <v>46051</v>
      </c>
      <c r="E1022" s="75" t="s">
        <v>1169</v>
      </c>
      <c r="F1022" s="74">
        <v>136.35</v>
      </c>
      <c r="G1022" s="75" t="s">
        <v>262</v>
      </c>
      <c r="H1022" s="77" t="str">
        <f>VLOOKUP(DESPESAS[[#This Row],[Plano de Contas]],BASE!$B$3:$D$119,3,FALSE)</f>
        <v>Fretes Karams</v>
      </c>
      <c r="I1022" s="77" t="str">
        <f>IFERROR(VLOOKUP(DESPESAS[[#This Row],[Fornecedor]],Tabela2[],2,FALSE),"")</f>
        <v/>
      </c>
      <c r="J1022" s="77" t="str">
        <f>IFERROR(VLOOKUP(DESPESAS[[#This Row],[Plano de Contas]],BASE!$B$3:$F$119,4,FALSE),"")</f>
        <v>6 - DESPESA COM VENDAS</v>
      </c>
      <c r="K1022" s="77" t="str">
        <f>IFERROR(VLOOKUP(DESPESAS[[#This Row],[Plano de Contas]],BASE!$B$3:$H$119,5,FALSE),"")</f>
        <v>LOGÍSTICA</v>
      </c>
      <c r="L1022" s="77">
        <f>IFERROR(VLOOKUP(DESPESAS[[#This Row],[Plano de Contas]],BASE!$B$3:$H$119,6,FALSE),"")</f>
        <v>0</v>
      </c>
      <c r="M1022" s="77" t="str">
        <f>VLOOKUP(DESPESAS[[#This Row],[Plano de Contas]],BASE!$B$3:$H$119,7,FALSE)</f>
        <v>MYLENA</v>
      </c>
    </row>
    <row r="1023" spans="1:13" x14ac:dyDescent="0.25">
      <c r="A1023" s="74">
        <v>197629</v>
      </c>
      <c r="B1023" s="75" t="s">
        <v>221</v>
      </c>
      <c r="C1023" s="75" t="s">
        <v>2545</v>
      </c>
      <c r="D1023" s="76">
        <v>46051</v>
      </c>
      <c r="E1023" s="75" t="s">
        <v>2544</v>
      </c>
      <c r="F1023" s="74">
        <v>1300</v>
      </c>
      <c r="G1023" s="75" t="s">
        <v>1318</v>
      </c>
      <c r="H1023" s="77" t="str">
        <f>VLOOKUP(DESPESAS[[#This Row],[Plano de Contas]],BASE!$B$3:$D$119,3,FALSE)</f>
        <v>Feiras e Eventos</v>
      </c>
      <c r="I1023" s="77" t="str">
        <f>IFERROR(VLOOKUP(DESPESAS[[#This Row],[Fornecedor]],Tabela2[],2,FALSE),"")</f>
        <v/>
      </c>
      <c r="J1023" s="77" t="str">
        <f>IFERROR(VLOOKUP(DESPESAS[[#This Row],[Plano de Contas]],BASE!$B$3:$F$119,4,FALSE),"")</f>
        <v>6 - DESPESA COM VENDAS</v>
      </c>
      <c r="K1023" s="77" t="str">
        <f>IFERROR(VLOOKUP(DESPESAS[[#This Row],[Plano de Contas]],BASE!$B$3:$H$119,5,FALSE),"")</f>
        <v>COMERCIAL</v>
      </c>
      <c r="L1023" s="77">
        <f>IFERROR(VLOOKUP(DESPESAS[[#This Row],[Plano de Contas]],BASE!$B$3:$H$119,6,FALSE),"")</f>
        <v>0</v>
      </c>
      <c r="M1023" s="77" t="str">
        <f>VLOOKUP(DESPESAS[[#This Row],[Plano de Contas]],BASE!$B$3:$H$119,7,FALSE)</f>
        <v>THAIS</v>
      </c>
    </row>
    <row r="1024" spans="1:13" x14ac:dyDescent="0.25">
      <c r="A1024" s="74">
        <v>197630</v>
      </c>
      <c r="B1024" s="75" t="s">
        <v>221</v>
      </c>
      <c r="C1024" s="75" t="s">
        <v>2543</v>
      </c>
      <c r="D1024" s="76">
        <v>46051</v>
      </c>
      <c r="E1024" s="75" t="s">
        <v>399</v>
      </c>
      <c r="F1024" s="74">
        <v>46</v>
      </c>
      <c r="G1024" s="75" t="s">
        <v>420</v>
      </c>
      <c r="H1024" s="77" t="str">
        <f>VLOOKUP(DESPESAS[[#This Row],[Plano de Contas]],BASE!$B$3:$D$119,3,FALSE)</f>
        <v>Material de Expediente (Adm)</v>
      </c>
      <c r="I1024" s="77" t="str">
        <f>IFERROR(VLOOKUP(DESPESAS[[#This Row],[Fornecedor]],Tabela2[],2,FALSE),"")</f>
        <v/>
      </c>
      <c r="J1024" s="77" t="str">
        <f>IFERROR(VLOOKUP(DESPESAS[[#This Row],[Plano de Contas]],BASE!$B$3:$F$119,4,FALSE),"")</f>
        <v>5 - DESPESAS ADMINISTRATIVAS</v>
      </c>
      <c r="K1024" s="77" t="str">
        <f>IFERROR(VLOOKUP(DESPESAS[[#This Row],[Plano de Contas]],BASE!$B$3:$H$119,5,FALSE),"")</f>
        <v>ADMINISTRATIVO</v>
      </c>
      <c r="L1024" s="77">
        <f>IFERROR(VLOOKUP(DESPESAS[[#This Row],[Plano de Contas]],BASE!$B$3:$H$119,6,FALSE),"")</f>
        <v>0</v>
      </c>
      <c r="M1024" s="77" t="str">
        <f>VLOOKUP(DESPESAS[[#This Row],[Plano de Contas]],BASE!$B$3:$H$119,7,FALSE)</f>
        <v>LETÍCIA</v>
      </c>
    </row>
    <row r="1025" spans="1:13" x14ac:dyDescent="0.25">
      <c r="A1025" s="74">
        <v>197631</v>
      </c>
      <c r="B1025" s="75" t="s">
        <v>221</v>
      </c>
      <c r="C1025" s="75" t="s">
        <v>2542</v>
      </c>
      <c r="D1025" s="76">
        <v>46051</v>
      </c>
      <c r="E1025" s="75" t="s">
        <v>245</v>
      </c>
      <c r="F1025" s="74">
        <v>120</v>
      </c>
      <c r="G1025" s="75" t="s">
        <v>1037</v>
      </c>
      <c r="H1025" s="77" t="str">
        <f>VLOOKUP(DESPESAS[[#This Row],[Plano de Contas]],BASE!$B$3:$D$119,3,FALSE)</f>
        <v>Construções e Reformas</v>
      </c>
      <c r="I1025" s="77" t="str">
        <f>IFERROR(VLOOKUP(DESPESAS[[#This Row],[Fornecedor]],Tabela2[],2,FALSE),"")</f>
        <v>FERRAGENS GERAIS</v>
      </c>
      <c r="J1025" s="77" t="str">
        <f>IFERROR(VLOOKUP(DESPESAS[[#This Row],[Plano de Contas]],BASE!$B$3:$F$119,4,FALSE),"")</f>
        <v>9 - INVESTIMENTOS</v>
      </c>
      <c r="K1025" s="77" t="str">
        <f>IFERROR(VLOOKUP(DESPESAS[[#This Row],[Plano de Contas]],BASE!$B$3:$H$119,5,FALSE),"")</f>
        <v>MANUTENÇÃO / TI</v>
      </c>
      <c r="L1025" s="77">
        <f>IFERROR(VLOOKUP(DESPESAS[[#This Row],[Plano de Contas]],BASE!$B$3:$H$119,6,FALSE),"")</f>
        <v>0</v>
      </c>
      <c r="M1025" s="77" t="str">
        <f>VLOOKUP(DESPESAS[[#This Row],[Plano de Contas]],BASE!$B$3:$H$119,7,FALSE)</f>
        <v>FÁBIO</v>
      </c>
    </row>
    <row r="1026" spans="1:13" x14ac:dyDescent="0.25">
      <c r="A1026" s="74">
        <v>197633</v>
      </c>
      <c r="B1026" s="75" t="s">
        <v>221</v>
      </c>
      <c r="C1026" s="75" t="s">
        <v>2541</v>
      </c>
      <c r="D1026" s="76">
        <v>46051</v>
      </c>
      <c r="E1026" s="75" t="s">
        <v>307</v>
      </c>
      <c r="F1026" s="74">
        <v>47</v>
      </c>
      <c r="G1026" s="75" t="s">
        <v>244</v>
      </c>
      <c r="H1026" s="77" t="str">
        <f>VLOOKUP(DESPESAS[[#This Row],[Plano de Contas]],BASE!$B$3:$D$119,3,FALSE)</f>
        <v>Material de Expediente (Prod)</v>
      </c>
      <c r="I1026" s="77" t="str">
        <f>IFERROR(VLOOKUP(DESPESAS[[#This Row],[Fornecedor]],Tabela2[],2,FALSE),"")</f>
        <v>FERRAGENS GERAIS</v>
      </c>
      <c r="J1026" s="77" t="str">
        <f>IFERROR(VLOOKUP(DESPESAS[[#This Row],[Plano de Contas]],BASE!$B$3:$F$119,4,FALSE),"")</f>
        <v>2 - CUSTOS DIRETOS</v>
      </c>
      <c r="K1026" s="77" t="str">
        <f>IFERROR(VLOOKUP(DESPESAS[[#This Row],[Plano de Contas]],BASE!$B$3:$H$119,5,FALSE),"")</f>
        <v>PRODUÇÃO</v>
      </c>
      <c r="L1026" s="77">
        <f>IFERROR(VLOOKUP(DESPESAS[[#This Row],[Plano de Contas]],BASE!$B$3:$H$119,6,FALSE),"")</f>
        <v>0</v>
      </c>
      <c r="M1026" s="77" t="str">
        <f>VLOOKUP(DESPESAS[[#This Row],[Plano de Contas]],BASE!$B$3:$H$119,7,FALSE)</f>
        <v>RAFAEL</v>
      </c>
    </row>
    <row r="1027" spans="1:13" x14ac:dyDescent="0.25">
      <c r="A1027" s="74">
        <v>197634</v>
      </c>
      <c r="B1027" s="75" t="s">
        <v>221</v>
      </c>
      <c r="C1027" s="75" t="s">
        <v>2540</v>
      </c>
      <c r="D1027" s="76">
        <v>46051</v>
      </c>
      <c r="E1027" s="75" t="s">
        <v>256</v>
      </c>
      <c r="F1027" s="74">
        <v>758.56</v>
      </c>
      <c r="G1027" s="75" t="s">
        <v>255</v>
      </c>
      <c r="H1027" s="77" t="str">
        <f>VLOOKUP(DESPESAS[[#This Row],[Plano de Contas]],BASE!$B$3:$D$119,3,FALSE)</f>
        <v>Mostruário de Tecido</v>
      </c>
      <c r="I1027" s="77" t="str">
        <f>IFERROR(VLOOKUP(DESPESAS[[#This Row],[Fornecedor]],Tabela2[],2,FALSE),"")</f>
        <v/>
      </c>
      <c r="J1027" s="77" t="str">
        <f>IFERROR(VLOOKUP(DESPESAS[[#This Row],[Plano de Contas]],BASE!$B$3:$F$119,4,FALSE),"")</f>
        <v>6 - DESPESA COM VENDAS</v>
      </c>
      <c r="K1027" s="77" t="str">
        <f>IFERROR(VLOOKUP(DESPESAS[[#This Row],[Plano de Contas]],BASE!$B$3:$H$119,5,FALSE),"")</f>
        <v>COMERCIAL</v>
      </c>
      <c r="L1027" s="77">
        <f>IFERROR(VLOOKUP(DESPESAS[[#This Row],[Plano de Contas]],BASE!$B$3:$H$119,6,FALSE),"")</f>
        <v>0</v>
      </c>
      <c r="M1027" s="77" t="str">
        <f>VLOOKUP(DESPESAS[[#This Row],[Plano de Contas]],BASE!$B$3:$H$119,7,FALSE)</f>
        <v>LETÍCIA</v>
      </c>
    </row>
    <row r="1028" spans="1:13" x14ac:dyDescent="0.25">
      <c r="A1028" s="74">
        <v>197636</v>
      </c>
      <c r="B1028" s="75" t="s">
        <v>232</v>
      </c>
      <c r="C1028" s="75" t="s">
        <v>2539</v>
      </c>
      <c r="D1028" s="76">
        <v>46030</v>
      </c>
      <c r="E1028" s="75" t="s">
        <v>1440</v>
      </c>
      <c r="F1028" s="74">
        <v>3572.23</v>
      </c>
      <c r="G1028" s="75" t="s">
        <v>561</v>
      </c>
      <c r="H1028" s="77" t="str">
        <f>VLOOKUP(DESPESAS[[#This Row],[Plano de Contas]],BASE!$B$3:$D$119,3,FALSE)</f>
        <v>Sistemas de Informação</v>
      </c>
      <c r="I1028" s="77" t="str">
        <f>IFERROR(VLOOKUP(DESPESAS[[#This Row],[Fornecedor]],Tabela2[],2,FALSE),"")</f>
        <v>ACCION</v>
      </c>
      <c r="J1028" s="77" t="str">
        <f>IFERROR(VLOOKUP(DESPESAS[[#This Row],[Plano de Contas]],BASE!$B$3:$F$119,4,FALSE),"")</f>
        <v>7 - SERVIÇOS DE TERCEIROS</v>
      </c>
      <c r="K1028" s="77" t="str">
        <f>IFERROR(VLOOKUP(DESPESAS[[#This Row],[Plano de Contas]],BASE!$B$3:$H$119,5,FALSE),"")</f>
        <v>MANUTENÇÃO / TI</v>
      </c>
      <c r="L1028" s="77">
        <f>IFERROR(VLOOKUP(DESPESAS[[#This Row],[Plano de Contas]],BASE!$B$3:$H$119,6,FALSE),"")</f>
        <v>0</v>
      </c>
      <c r="M1028" s="77" t="str">
        <f>VLOOKUP(DESPESAS[[#This Row],[Plano de Contas]],BASE!$B$3:$H$119,7,FALSE)</f>
        <v>LETÍCIA</v>
      </c>
    </row>
    <row r="1029" spans="1:13" x14ac:dyDescent="0.25">
      <c r="A1029" s="74">
        <v>197637</v>
      </c>
      <c r="B1029" s="75" t="s">
        <v>221</v>
      </c>
      <c r="C1029" s="75" t="s">
        <v>2538</v>
      </c>
      <c r="D1029" s="76">
        <v>46051</v>
      </c>
      <c r="E1029" s="75" t="s">
        <v>2537</v>
      </c>
      <c r="F1029" s="74">
        <v>300</v>
      </c>
      <c r="G1029" s="75" t="s">
        <v>1037</v>
      </c>
      <c r="H1029" s="77" t="str">
        <f>VLOOKUP(DESPESAS[[#This Row],[Plano de Contas]],BASE!$B$3:$D$119,3,FALSE)</f>
        <v>Construções e Reformas</v>
      </c>
      <c r="I1029" s="77" t="str">
        <f>IFERROR(VLOOKUP(DESPESAS[[#This Row],[Fornecedor]],Tabela2[],2,FALSE),"")</f>
        <v/>
      </c>
      <c r="J1029" s="77" t="str">
        <f>IFERROR(VLOOKUP(DESPESAS[[#This Row],[Plano de Contas]],BASE!$B$3:$F$119,4,FALSE),"")</f>
        <v>9 - INVESTIMENTOS</v>
      </c>
      <c r="K1029" s="77" t="str">
        <f>IFERROR(VLOOKUP(DESPESAS[[#This Row],[Plano de Contas]],BASE!$B$3:$H$119,5,FALSE),"")</f>
        <v>MANUTENÇÃO / TI</v>
      </c>
      <c r="L1029" s="77">
        <f>IFERROR(VLOOKUP(DESPESAS[[#This Row],[Plano de Contas]],BASE!$B$3:$H$119,6,FALSE),"")</f>
        <v>0</v>
      </c>
      <c r="M1029" s="77" t="str">
        <f>VLOOKUP(DESPESAS[[#This Row],[Plano de Contas]],BASE!$B$3:$H$119,7,FALSE)</f>
        <v>FÁBIO</v>
      </c>
    </row>
    <row r="1030" spans="1:13" x14ac:dyDescent="0.25">
      <c r="A1030" s="74">
        <v>197638</v>
      </c>
      <c r="B1030" s="75" t="s">
        <v>232</v>
      </c>
      <c r="C1030" s="75" t="s">
        <v>2536</v>
      </c>
      <c r="D1030" s="76">
        <v>46051</v>
      </c>
      <c r="E1030" s="75" t="s">
        <v>230</v>
      </c>
      <c r="F1030" s="74">
        <v>5.12</v>
      </c>
      <c r="G1030" s="75" t="s">
        <v>251</v>
      </c>
      <c r="H1030" s="77" t="str">
        <f>VLOOKUP(DESPESAS[[#This Row],[Plano de Contas]],BASE!$B$3:$D$119,3,FALSE)</f>
        <v>Juros Pagos - Antecipação de Crédito</v>
      </c>
      <c r="I1030" s="77" t="str">
        <f>IFERROR(VLOOKUP(DESPESAS[[#This Row],[Fornecedor]],Tabela2[],2,FALSE),"")</f>
        <v/>
      </c>
      <c r="J1030" s="77" t="str">
        <f>IFERROR(VLOOKUP(DESPESAS[[#This Row],[Plano de Contas]],BASE!$B$3:$F$119,4,FALSE),"")</f>
        <v>8 - DESPESAS FINANCEIRAS</v>
      </c>
      <c r="K1030" s="77" t="str">
        <f>IFERROR(VLOOKUP(DESPESAS[[#This Row],[Plano de Contas]],BASE!$B$3:$H$119,5,FALSE),"")</f>
        <v>FINANCEIRO</v>
      </c>
      <c r="L1030" s="77">
        <f>IFERROR(VLOOKUP(DESPESAS[[#This Row],[Plano de Contas]],BASE!$B$3:$H$119,6,FALSE),"")</f>
        <v>0</v>
      </c>
      <c r="M1030" s="77" t="str">
        <f>VLOOKUP(DESPESAS[[#This Row],[Plano de Contas]],BASE!$B$3:$H$119,7,FALSE)</f>
        <v>LETÍCIA</v>
      </c>
    </row>
    <row r="1031" spans="1:13" x14ac:dyDescent="0.25">
      <c r="A1031" s="74">
        <v>197639</v>
      </c>
      <c r="B1031" s="75" t="s">
        <v>232</v>
      </c>
      <c r="C1031" s="75" t="s">
        <v>2535</v>
      </c>
      <c r="D1031" s="76">
        <v>46051</v>
      </c>
      <c r="E1031" s="75" t="s">
        <v>230</v>
      </c>
      <c r="F1031" s="74">
        <v>0.49</v>
      </c>
      <c r="G1031" s="75" t="s">
        <v>229</v>
      </c>
      <c r="H1031" s="77" t="str">
        <f>VLOOKUP(DESPESAS[[#This Row],[Plano de Contas]],BASE!$B$3:$D$119,3,FALSE)</f>
        <v>Despesas Bancarias</v>
      </c>
      <c r="I1031" s="77" t="str">
        <f>IFERROR(VLOOKUP(DESPESAS[[#This Row],[Fornecedor]],Tabela2[],2,FALSE),"")</f>
        <v/>
      </c>
      <c r="J1031" s="77" t="str">
        <f>IFERROR(VLOOKUP(DESPESAS[[#This Row],[Plano de Contas]],BASE!$B$3:$F$119,4,FALSE),"")</f>
        <v>8 - DESPESAS FINANCEIRAS</v>
      </c>
      <c r="K1031" s="77" t="str">
        <f>IFERROR(VLOOKUP(DESPESAS[[#This Row],[Plano de Contas]],BASE!$B$3:$H$119,5,FALSE),"")</f>
        <v>FINANCEIRO</v>
      </c>
      <c r="L1031" s="77">
        <f>IFERROR(VLOOKUP(DESPESAS[[#This Row],[Plano de Contas]],BASE!$B$3:$H$119,6,FALSE),"")</f>
        <v>0</v>
      </c>
      <c r="M1031" s="77" t="str">
        <f>VLOOKUP(DESPESAS[[#This Row],[Plano de Contas]],BASE!$B$3:$H$119,7,FALSE)</f>
        <v>LETÍCIA</v>
      </c>
    </row>
    <row r="1032" spans="1:13" x14ac:dyDescent="0.25">
      <c r="A1032" s="74">
        <v>197641</v>
      </c>
      <c r="B1032" s="75" t="s">
        <v>232</v>
      </c>
      <c r="C1032" s="75" t="s">
        <v>2534</v>
      </c>
      <c r="D1032" s="76">
        <v>46052</v>
      </c>
      <c r="E1032" s="75" t="s">
        <v>703</v>
      </c>
      <c r="F1032" s="74">
        <v>1639.76</v>
      </c>
      <c r="G1032" s="75" t="s">
        <v>1148</v>
      </c>
      <c r="H1032" s="77" t="str">
        <f>VLOOKUP(DESPESAS[[#This Row],[Plano de Contas]],BASE!$B$3:$D$119,3,FALSE)</f>
        <v>Pedágio Frota</v>
      </c>
      <c r="I1032" s="77" t="str">
        <f>IFERROR(VLOOKUP(DESPESAS[[#This Row],[Fornecedor]],Tabela2[],2,FALSE),"")</f>
        <v/>
      </c>
      <c r="J1032" s="77" t="str">
        <f>IFERROR(VLOOKUP(DESPESAS[[#This Row],[Plano de Contas]],BASE!$B$3:$F$119,4,FALSE),"")</f>
        <v>6 - DESPESA COM VENDAS</v>
      </c>
      <c r="K1032" s="77" t="str">
        <f>IFERROR(VLOOKUP(DESPESAS[[#This Row],[Plano de Contas]],BASE!$B$3:$H$119,5,FALSE),"")</f>
        <v>LOGÍSTICA</v>
      </c>
      <c r="L1032" s="77">
        <f>IFERROR(VLOOKUP(DESPESAS[[#This Row],[Plano de Contas]],BASE!$B$3:$H$119,6,FALSE),"")</f>
        <v>0</v>
      </c>
      <c r="M1032" s="77" t="str">
        <f>VLOOKUP(DESPESAS[[#This Row],[Plano de Contas]],BASE!$B$3:$H$119,7,FALSE)</f>
        <v>MYLENA</v>
      </c>
    </row>
    <row r="1033" spans="1:13" x14ac:dyDescent="0.25">
      <c r="A1033" s="74">
        <v>197642</v>
      </c>
      <c r="B1033" s="75" t="s">
        <v>232</v>
      </c>
      <c r="C1033" s="75" t="s">
        <v>2533</v>
      </c>
      <c r="D1033" s="76">
        <v>46051</v>
      </c>
      <c r="E1033" s="75" t="s">
        <v>230</v>
      </c>
      <c r="F1033" s="74">
        <v>9.48</v>
      </c>
      <c r="G1033" s="75" t="s">
        <v>229</v>
      </c>
      <c r="H1033" s="77" t="str">
        <f>VLOOKUP(DESPESAS[[#This Row],[Plano de Contas]],BASE!$B$3:$D$119,3,FALSE)</f>
        <v>Despesas Bancarias</v>
      </c>
      <c r="I1033" s="77" t="str">
        <f>IFERROR(VLOOKUP(DESPESAS[[#This Row],[Fornecedor]],Tabela2[],2,FALSE),"")</f>
        <v/>
      </c>
      <c r="J1033" s="77" t="str">
        <f>IFERROR(VLOOKUP(DESPESAS[[#This Row],[Plano de Contas]],BASE!$B$3:$F$119,4,FALSE),"")</f>
        <v>8 - DESPESAS FINANCEIRAS</v>
      </c>
      <c r="K1033" s="77" t="str">
        <f>IFERROR(VLOOKUP(DESPESAS[[#This Row],[Plano de Contas]],BASE!$B$3:$H$119,5,FALSE),"")</f>
        <v>FINANCEIRO</v>
      </c>
      <c r="L1033" s="77">
        <f>IFERROR(VLOOKUP(DESPESAS[[#This Row],[Plano de Contas]],BASE!$B$3:$H$119,6,FALSE),"")</f>
        <v>0</v>
      </c>
      <c r="M1033" s="77" t="str">
        <f>VLOOKUP(DESPESAS[[#This Row],[Plano de Contas]],BASE!$B$3:$H$119,7,FALSE)</f>
        <v>LETÍCIA</v>
      </c>
    </row>
    <row r="1034" spans="1:13" x14ac:dyDescent="0.25">
      <c r="A1034" s="74">
        <v>197643</v>
      </c>
      <c r="B1034" s="75" t="s">
        <v>281</v>
      </c>
      <c r="C1034" s="75" t="s">
        <v>2532</v>
      </c>
      <c r="D1034" s="76">
        <v>46051</v>
      </c>
      <c r="E1034" s="75" t="s">
        <v>230</v>
      </c>
      <c r="F1034" s="74">
        <v>0.79</v>
      </c>
      <c r="G1034" s="75" t="s">
        <v>229</v>
      </c>
      <c r="H1034" s="77" t="str">
        <f>VLOOKUP(DESPESAS[[#This Row],[Plano de Contas]],BASE!$B$3:$D$119,3,FALSE)</f>
        <v>Despesas Bancarias</v>
      </c>
      <c r="I1034" s="77" t="str">
        <f>IFERROR(VLOOKUP(DESPESAS[[#This Row],[Fornecedor]],Tabela2[],2,FALSE),"")</f>
        <v/>
      </c>
      <c r="J1034" s="77" t="str">
        <f>IFERROR(VLOOKUP(DESPESAS[[#This Row],[Plano de Contas]],BASE!$B$3:$F$119,4,FALSE),"")</f>
        <v>8 - DESPESAS FINANCEIRAS</v>
      </c>
      <c r="K1034" s="77" t="str">
        <f>IFERROR(VLOOKUP(DESPESAS[[#This Row],[Plano de Contas]],BASE!$B$3:$H$119,5,FALSE),"")</f>
        <v>FINANCEIRO</v>
      </c>
      <c r="L1034" s="77">
        <f>IFERROR(VLOOKUP(DESPESAS[[#This Row],[Plano de Contas]],BASE!$B$3:$H$119,6,FALSE),"")</f>
        <v>0</v>
      </c>
      <c r="M1034" s="77" t="str">
        <f>VLOOKUP(DESPESAS[[#This Row],[Plano de Contas]],BASE!$B$3:$H$119,7,FALSE)</f>
        <v>LETÍCIA</v>
      </c>
    </row>
    <row r="1035" spans="1:13" x14ac:dyDescent="0.25">
      <c r="A1035" s="74">
        <v>197644</v>
      </c>
      <c r="B1035" s="75" t="s">
        <v>279</v>
      </c>
      <c r="C1035" s="75" t="s">
        <v>2531</v>
      </c>
      <c r="D1035" s="76">
        <v>46051</v>
      </c>
      <c r="E1035" s="75" t="s">
        <v>230</v>
      </c>
      <c r="F1035" s="74">
        <v>3.16</v>
      </c>
      <c r="G1035" s="75" t="s">
        <v>229</v>
      </c>
      <c r="H1035" s="77" t="str">
        <f>VLOOKUP(DESPESAS[[#This Row],[Plano de Contas]],BASE!$B$3:$D$119,3,FALSE)</f>
        <v>Despesas Bancarias</v>
      </c>
      <c r="I1035" s="77" t="str">
        <f>IFERROR(VLOOKUP(DESPESAS[[#This Row],[Fornecedor]],Tabela2[],2,FALSE),"")</f>
        <v/>
      </c>
      <c r="J1035" s="77" t="str">
        <f>IFERROR(VLOOKUP(DESPESAS[[#This Row],[Plano de Contas]],BASE!$B$3:$F$119,4,FALSE),"")</f>
        <v>8 - DESPESAS FINANCEIRAS</v>
      </c>
      <c r="K1035" s="77" t="str">
        <f>IFERROR(VLOOKUP(DESPESAS[[#This Row],[Plano de Contas]],BASE!$B$3:$H$119,5,FALSE),"")</f>
        <v>FINANCEIRO</v>
      </c>
      <c r="L1035" s="77">
        <f>IFERROR(VLOOKUP(DESPESAS[[#This Row],[Plano de Contas]],BASE!$B$3:$H$119,6,FALSE),"")</f>
        <v>0</v>
      </c>
      <c r="M1035" s="77" t="str">
        <f>VLOOKUP(DESPESAS[[#This Row],[Plano de Contas]],BASE!$B$3:$H$119,7,FALSE)</f>
        <v>LETÍCIA</v>
      </c>
    </row>
    <row r="1036" spans="1:13" x14ac:dyDescent="0.25">
      <c r="A1036" s="74">
        <v>197645</v>
      </c>
      <c r="B1036" s="75" t="s">
        <v>279</v>
      </c>
      <c r="C1036" s="75" t="s">
        <v>2530</v>
      </c>
      <c r="D1036" s="76">
        <v>46052</v>
      </c>
      <c r="E1036" s="75" t="s">
        <v>230</v>
      </c>
      <c r="F1036" s="74">
        <v>0.27</v>
      </c>
      <c r="G1036" s="75" t="s">
        <v>229</v>
      </c>
      <c r="H1036" s="77" t="str">
        <f>VLOOKUP(DESPESAS[[#This Row],[Plano de Contas]],BASE!$B$3:$D$119,3,FALSE)</f>
        <v>Despesas Bancarias</v>
      </c>
      <c r="I1036" s="77" t="str">
        <f>IFERROR(VLOOKUP(DESPESAS[[#This Row],[Fornecedor]],Tabela2[],2,FALSE),"")</f>
        <v/>
      </c>
      <c r="J1036" s="77" t="str">
        <f>IFERROR(VLOOKUP(DESPESAS[[#This Row],[Plano de Contas]],BASE!$B$3:$F$119,4,FALSE),"")</f>
        <v>8 - DESPESAS FINANCEIRAS</v>
      </c>
      <c r="K1036" s="77" t="str">
        <f>IFERROR(VLOOKUP(DESPESAS[[#This Row],[Plano de Contas]],BASE!$B$3:$H$119,5,FALSE),"")</f>
        <v>FINANCEIRO</v>
      </c>
      <c r="L1036" s="77">
        <f>IFERROR(VLOOKUP(DESPESAS[[#This Row],[Plano de Contas]],BASE!$B$3:$H$119,6,FALSE),"")</f>
        <v>0</v>
      </c>
      <c r="M1036" s="77" t="str">
        <f>VLOOKUP(DESPESAS[[#This Row],[Plano de Contas]],BASE!$B$3:$H$119,7,FALSE)</f>
        <v>LETÍCIA</v>
      </c>
    </row>
    <row r="1037" spans="1:13" x14ac:dyDescent="0.25">
      <c r="A1037" s="74">
        <v>197646</v>
      </c>
      <c r="B1037" s="75" t="s">
        <v>232</v>
      </c>
      <c r="C1037" s="75" t="s">
        <v>2529</v>
      </c>
      <c r="D1037" s="76">
        <v>46052</v>
      </c>
      <c r="E1037" s="75" t="s">
        <v>703</v>
      </c>
      <c r="F1037" s="74">
        <v>1230.3399999999999</v>
      </c>
      <c r="G1037" s="75" t="s">
        <v>1148</v>
      </c>
      <c r="H1037" s="77" t="str">
        <f>VLOOKUP(DESPESAS[[#This Row],[Plano de Contas]],BASE!$B$3:$D$119,3,FALSE)</f>
        <v>Pedágio Frota</v>
      </c>
      <c r="I1037" s="77" t="str">
        <f>IFERROR(VLOOKUP(DESPESAS[[#This Row],[Fornecedor]],Tabela2[],2,FALSE),"")</f>
        <v/>
      </c>
      <c r="J1037" s="77" t="str">
        <f>IFERROR(VLOOKUP(DESPESAS[[#This Row],[Plano de Contas]],BASE!$B$3:$F$119,4,FALSE),"")</f>
        <v>6 - DESPESA COM VENDAS</v>
      </c>
      <c r="K1037" s="77" t="str">
        <f>IFERROR(VLOOKUP(DESPESAS[[#This Row],[Plano de Contas]],BASE!$B$3:$H$119,5,FALSE),"")</f>
        <v>LOGÍSTICA</v>
      </c>
      <c r="L1037" s="77">
        <f>IFERROR(VLOOKUP(DESPESAS[[#This Row],[Plano de Contas]],BASE!$B$3:$H$119,6,FALSE),"")</f>
        <v>0</v>
      </c>
      <c r="M1037" s="77" t="str">
        <f>VLOOKUP(DESPESAS[[#This Row],[Plano de Contas]],BASE!$B$3:$H$119,7,FALSE)</f>
        <v>MYLENA</v>
      </c>
    </row>
    <row r="1038" spans="1:13" x14ac:dyDescent="0.25">
      <c r="A1038" s="74">
        <v>197647</v>
      </c>
      <c r="B1038" s="75" t="s">
        <v>232</v>
      </c>
      <c r="C1038" s="75" t="s">
        <v>2528</v>
      </c>
      <c r="D1038" s="76">
        <v>46052</v>
      </c>
      <c r="E1038" s="75" t="s">
        <v>703</v>
      </c>
      <c r="F1038" s="74">
        <v>43.63</v>
      </c>
      <c r="G1038" s="75" t="s">
        <v>1148</v>
      </c>
      <c r="H1038" s="77" t="str">
        <f>VLOOKUP(DESPESAS[[#This Row],[Plano de Contas]],BASE!$B$3:$D$119,3,FALSE)</f>
        <v>Pedágio Frota</v>
      </c>
      <c r="I1038" s="77" t="str">
        <f>IFERROR(VLOOKUP(DESPESAS[[#This Row],[Fornecedor]],Tabela2[],2,FALSE),"")</f>
        <v/>
      </c>
      <c r="J1038" s="77" t="str">
        <f>IFERROR(VLOOKUP(DESPESAS[[#This Row],[Plano de Contas]],BASE!$B$3:$F$119,4,FALSE),"")</f>
        <v>6 - DESPESA COM VENDAS</v>
      </c>
      <c r="K1038" s="77" t="str">
        <f>IFERROR(VLOOKUP(DESPESAS[[#This Row],[Plano de Contas]],BASE!$B$3:$H$119,5,FALSE),"")</f>
        <v>LOGÍSTICA</v>
      </c>
      <c r="L1038" s="77">
        <f>IFERROR(VLOOKUP(DESPESAS[[#This Row],[Plano de Contas]],BASE!$B$3:$H$119,6,FALSE),"")</f>
        <v>0</v>
      </c>
      <c r="M1038" s="77" t="str">
        <f>VLOOKUP(DESPESAS[[#This Row],[Plano de Contas]],BASE!$B$3:$H$119,7,FALSE)</f>
        <v>MYLENA</v>
      </c>
    </row>
    <row r="1039" spans="1:13" x14ac:dyDescent="0.25">
      <c r="A1039" s="74">
        <v>197648</v>
      </c>
      <c r="B1039" s="75" t="s">
        <v>232</v>
      </c>
      <c r="C1039" s="75" t="s">
        <v>2527</v>
      </c>
      <c r="D1039" s="76">
        <v>46052</v>
      </c>
      <c r="E1039" s="75" t="s">
        <v>703</v>
      </c>
      <c r="F1039" s="74">
        <v>166.57</v>
      </c>
      <c r="G1039" s="75" t="s">
        <v>1148</v>
      </c>
      <c r="H1039" s="77" t="str">
        <f>VLOOKUP(DESPESAS[[#This Row],[Plano de Contas]],BASE!$B$3:$D$119,3,FALSE)</f>
        <v>Pedágio Frota</v>
      </c>
      <c r="I1039" s="77" t="str">
        <f>IFERROR(VLOOKUP(DESPESAS[[#This Row],[Fornecedor]],Tabela2[],2,FALSE),"")</f>
        <v/>
      </c>
      <c r="J1039" s="77" t="str">
        <f>IFERROR(VLOOKUP(DESPESAS[[#This Row],[Plano de Contas]],BASE!$B$3:$F$119,4,FALSE),"")</f>
        <v>6 - DESPESA COM VENDAS</v>
      </c>
      <c r="K1039" s="77" t="str">
        <f>IFERROR(VLOOKUP(DESPESAS[[#This Row],[Plano de Contas]],BASE!$B$3:$H$119,5,FALSE),"")</f>
        <v>LOGÍSTICA</v>
      </c>
      <c r="L1039" s="77">
        <f>IFERROR(VLOOKUP(DESPESAS[[#This Row],[Plano de Contas]],BASE!$B$3:$H$119,6,FALSE),"")</f>
        <v>0</v>
      </c>
      <c r="M1039" s="77" t="str">
        <f>VLOOKUP(DESPESAS[[#This Row],[Plano de Contas]],BASE!$B$3:$H$119,7,FALSE)</f>
        <v>MYLENA</v>
      </c>
    </row>
    <row r="1040" spans="1:13" x14ac:dyDescent="0.25">
      <c r="A1040" s="74">
        <v>197649</v>
      </c>
      <c r="B1040" s="75" t="s">
        <v>232</v>
      </c>
      <c r="C1040" s="75" t="s">
        <v>2526</v>
      </c>
      <c r="D1040" s="76">
        <v>46052</v>
      </c>
      <c r="E1040" s="75" t="s">
        <v>703</v>
      </c>
      <c r="F1040" s="74">
        <v>423.64</v>
      </c>
      <c r="G1040" s="75" t="s">
        <v>1148</v>
      </c>
      <c r="H1040" s="77" t="str">
        <f>VLOOKUP(DESPESAS[[#This Row],[Plano de Contas]],BASE!$B$3:$D$119,3,FALSE)</f>
        <v>Pedágio Frota</v>
      </c>
      <c r="I1040" s="77" t="str">
        <f>IFERROR(VLOOKUP(DESPESAS[[#This Row],[Fornecedor]],Tabela2[],2,FALSE),"")</f>
        <v/>
      </c>
      <c r="J1040" s="77" t="str">
        <f>IFERROR(VLOOKUP(DESPESAS[[#This Row],[Plano de Contas]],BASE!$B$3:$F$119,4,FALSE),"")</f>
        <v>6 - DESPESA COM VENDAS</v>
      </c>
      <c r="K1040" s="77" t="str">
        <f>IFERROR(VLOOKUP(DESPESAS[[#This Row],[Plano de Contas]],BASE!$B$3:$H$119,5,FALSE),"")</f>
        <v>LOGÍSTICA</v>
      </c>
      <c r="L1040" s="77">
        <f>IFERROR(VLOOKUP(DESPESAS[[#This Row],[Plano de Contas]],BASE!$B$3:$H$119,6,FALSE),"")</f>
        <v>0</v>
      </c>
      <c r="M1040" s="77" t="str">
        <f>VLOOKUP(DESPESAS[[#This Row],[Plano de Contas]],BASE!$B$3:$H$119,7,FALSE)</f>
        <v>MYLENA</v>
      </c>
    </row>
    <row r="1041" spans="1:13" x14ac:dyDescent="0.25">
      <c r="A1041" s="74">
        <v>197650</v>
      </c>
      <c r="B1041" s="75" t="s">
        <v>232</v>
      </c>
      <c r="C1041" s="75" t="s">
        <v>2525</v>
      </c>
      <c r="D1041" s="76">
        <v>46052</v>
      </c>
      <c r="E1041" s="75" t="s">
        <v>703</v>
      </c>
      <c r="F1041" s="74">
        <v>641.24</v>
      </c>
      <c r="G1041" s="75" t="s">
        <v>1148</v>
      </c>
      <c r="H1041" s="77" t="str">
        <f>VLOOKUP(DESPESAS[[#This Row],[Plano de Contas]],BASE!$B$3:$D$119,3,FALSE)</f>
        <v>Pedágio Frota</v>
      </c>
      <c r="I1041" s="77" t="str">
        <f>IFERROR(VLOOKUP(DESPESAS[[#This Row],[Fornecedor]],Tabela2[],2,FALSE),"")</f>
        <v/>
      </c>
      <c r="J1041" s="77" t="str">
        <f>IFERROR(VLOOKUP(DESPESAS[[#This Row],[Plano de Contas]],BASE!$B$3:$F$119,4,FALSE),"")</f>
        <v>6 - DESPESA COM VENDAS</v>
      </c>
      <c r="K1041" s="77" t="str">
        <f>IFERROR(VLOOKUP(DESPESAS[[#This Row],[Plano de Contas]],BASE!$B$3:$H$119,5,FALSE),"")</f>
        <v>LOGÍSTICA</v>
      </c>
      <c r="L1041" s="77">
        <f>IFERROR(VLOOKUP(DESPESAS[[#This Row],[Plano de Contas]],BASE!$B$3:$H$119,6,FALSE),"")</f>
        <v>0</v>
      </c>
      <c r="M1041" s="77" t="str">
        <f>VLOOKUP(DESPESAS[[#This Row],[Plano de Contas]],BASE!$B$3:$H$119,7,FALSE)</f>
        <v>MYLENA</v>
      </c>
    </row>
    <row r="1042" spans="1:13" x14ac:dyDescent="0.25">
      <c r="A1042" s="74">
        <v>197651</v>
      </c>
      <c r="B1042" s="75" t="s">
        <v>232</v>
      </c>
      <c r="C1042" s="75" t="s">
        <v>2524</v>
      </c>
      <c r="D1042" s="76">
        <v>46052</v>
      </c>
      <c r="E1042" s="75" t="s">
        <v>703</v>
      </c>
      <c r="F1042" s="74">
        <v>244.56</v>
      </c>
      <c r="G1042" s="75" t="s">
        <v>1148</v>
      </c>
      <c r="H1042" s="77" t="str">
        <f>VLOOKUP(DESPESAS[[#This Row],[Plano de Contas]],BASE!$B$3:$D$119,3,FALSE)</f>
        <v>Pedágio Frota</v>
      </c>
      <c r="I1042" s="77" t="str">
        <f>IFERROR(VLOOKUP(DESPESAS[[#This Row],[Fornecedor]],Tabela2[],2,FALSE),"")</f>
        <v/>
      </c>
      <c r="J1042" s="77" t="str">
        <f>IFERROR(VLOOKUP(DESPESAS[[#This Row],[Plano de Contas]],BASE!$B$3:$F$119,4,FALSE),"")</f>
        <v>6 - DESPESA COM VENDAS</v>
      </c>
      <c r="K1042" s="77" t="str">
        <f>IFERROR(VLOOKUP(DESPESAS[[#This Row],[Plano de Contas]],BASE!$B$3:$H$119,5,FALSE),"")</f>
        <v>LOGÍSTICA</v>
      </c>
      <c r="L1042" s="77">
        <f>IFERROR(VLOOKUP(DESPESAS[[#This Row],[Plano de Contas]],BASE!$B$3:$H$119,6,FALSE),"")</f>
        <v>0</v>
      </c>
      <c r="M1042" s="77" t="str">
        <f>VLOOKUP(DESPESAS[[#This Row],[Plano de Contas]],BASE!$B$3:$H$119,7,FALSE)</f>
        <v>MYLENA</v>
      </c>
    </row>
    <row r="1043" spans="1:13" x14ac:dyDescent="0.25">
      <c r="A1043" s="74">
        <v>197652</v>
      </c>
      <c r="B1043" s="75" t="s">
        <v>232</v>
      </c>
      <c r="C1043" s="75" t="s">
        <v>2523</v>
      </c>
      <c r="D1043" s="76">
        <v>46052</v>
      </c>
      <c r="E1043" s="75" t="s">
        <v>703</v>
      </c>
      <c r="F1043" s="74">
        <v>43.63</v>
      </c>
      <c r="G1043" s="75" t="s">
        <v>1148</v>
      </c>
      <c r="H1043" s="77" t="str">
        <f>VLOOKUP(DESPESAS[[#This Row],[Plano de Contas]],BASE!$B$3:$D$119,3,FALSE)</f>
        <v>Pedágio Frota</v>
      </c>
      <c r="I1043" s="77" t="str">
        <f>IFERROR(VLOOKUP(DESPESAS[[#This Row],[Fornecedor]],Tabela2[],2,FALSE),"")</f>
        <v/>
      </c>
      <c r="J1043" s="77" t="str">
        <f>IFERROR(VLOOKUP(DESPESAS[[#This Row],[Plano de Contas]],BASE!$B$3:$F$119,4,FALSE),"")</f>
        <v>6 - DESPESA COM VENDAS</v>
      </c>
      <c r="K1043" s="77" t="str">
        <f>IFERROR(VLOOKUP(DESPESAS[[#This Row],[Plano de Contas]],BASE!$B$3:$H$119,5,FALSE),"")</f>
        <v>LOGÍSTICA</v>
      </c>
      <c r="L1043" s="77">
        <f>IFERROR(VLOOKUP(DESPESAS[[#This Row],[Plano de Contas]],BASE!$B$3:$H$119,6,FALSE),"")</f>
        <v>0</v>
      </c>
      <c r="M1043" s="77" t="str">
        <f>VLOOKUP(DESPESAS[[#This Row],[Plano de Contas]],BASE!$B$3:$H$119,7,FALSE)</f>
        <v>MYLENA</v>
      </c>
    </row>
    <row r="1044" spans="1:13" x14ac:dyDescent="0.25">
      <c r="A1044" s="74">
        <v>197653</v>
      </c>
      <c r="B1044" s="75" t="s">
        <v>232</v>
      </c>
      <c r="C1044" s="75" t="s">
        <v>2522</v>
      </c>
      <c r="D1044" s="76">
        <v>46052</v>
      </c>
      <c r="E1044" s="75" t="s">
        <v>2521</v>
      </c>
      <c r="F1044" s="74">
        <v>8500</v>
      </c>
      <c r="G1044" s="75" t="s">
        <v>1318</v>
      </c>
      <c r="H1044" s="77" t="str">
        <f>VLOOKUP(DESPESAS[[#This Row],[Plano de Contas]],BASE!$B$3:$D$119,3,FALSE)</f>
        <v>Feiras e Eventos</v>
      </c>
      <c r="I1044" s="77" t="str">
        <f>IFERROR(VLOOKUP(DESPESAS[[#This Row],[Fornecedor]],Tabela2[],2,FALSE),"")</f>
        <v/>
      </c>
      <c r="J1044" s="77" t="str">
        <f>IFERROR(VLOOKUP(DESPESAS[[#This Row],[Plano de Contas]],BASE!$B$3:$F$119,4,FALSE),"")</f>
        <v>6 - DESPESA COM VENDAS</v>
      </c>
      <c r="K1044" s="77" t="str">
        <f>IFERROR(VLOOKUP(DESPESAS[[#This Row],[Plano de Contas]],BASE!$B$3:$H$119,5,FALSE),"")</f>
        <v>COMERCIAL</v>
      </c>
      <c r="L1044" s="77">
        <f>IFERROR(VLOOKUP(DESPESAS[[#This Row],[Plano de Contas]],BASE!$B$3:$H$119,6,FALSE),"")</f>
        <v>0</v>
      </c>
      <c r="M1044" s="77" t="str">
        <f>VLOOKUP(DESPESAS[[#This Row],[Plano de Contas]],BASE!$B$3:$H$119,7,FALSE)</f>
        <v>THAIS</v>
      </c>
    </row>
    <row r="1045" spans="1:13" x14ac:dyDescent="0.25">
      <c r="A1045" s="74">
        <v>197654</v>
      </c>
      <c r="B1045" s="75" t="s">
        <v>232</v>
      </c>
      <c r="C1045" s="75" t="s">
        <v>2520</v>
      </c>
      <c r="D1045" s="76">
        <v>46052</v>
      </c>
      <c r="E1045" s="75" t="s">
        <v>230</v>
      </c>
      <c r="F1045" s="74">
        <v>165.98</v>
      </c>
      <c r="G1045" s="75" t="s">
        <v>229</v>
      </c>
      <c r="H1045" s="77" t="str">
        <f>VLOOKUP(DESPESAS[[#This Row],[Plano de Contas]],BASE!$B$3:$D$119,3,FALSE)</f>
        <v>Despesas Bancarias</v>
      </c>
      <c r="I1045" s="77" t="str">
        <f>IFERROR(VLOOKUP(DESPESAS[[#This Row],[Fornecedor]],Tabela2[],2,FALSE),"")</f>
        <v/>
      </c>
      <c r="J1045" s="77" t="str">
        <f>IFERROR(VLOOKUP(DESPESAS[[#This Row],[Plano de Contas]],BASE!$B$3:$F$119,4,FALSE),"")</f>
        <v>8 - DESPESAS FINANCEIRAS</v>
      </c>
      <c r="K1045" s="77" t="str">
        <f>IFERROR(VLOOKUP(DESPESAS[[#This Row],[Plano de Contas]],BASE!$B$3:$H$119,5,FALSE),"")</f>
        <v>FINANCEIRO</v>
      </c>
      <c r="L1045" s="77">
        <f>IFERROR(VLOOKUP(DESPESAS[[#This Row],[Plano de Contas]],BASE!$B$3:$H$119,6,FALSE),"")</f>
        <v>0</v>
      </c>
      <c r="M1045" s="77" t="str">
        <f>VLOOKUP(DESPESAS[[#This Row],[Plano de Contas]],BASE!$B$3:$H$119,7,FALSE)</f>
        <v>LETÍCIA</v>
      </c>
    </row>
    <row r="1046" spans="1:13" x14ac:dyDescent="0.25">
      <c r="A1046" s="74">
        <v>197655</v>
      </c>
      <c r="B1046" s="75" t="s">
        <v>232</v>
      </c>
      <c r="C1046" s="75" t="s">
        <v>2519</v>
      </c>
      <c r="D1046" s="76">
        <v>46052</v>
      </c>
      <c r="E1046" s="75" t="s">
        <v>230</v>
      </c>
      <c r="F1046" s="74">
        <v>165.63</v>
      </c>
      <c r="G1046" s="75" t="s">
        <v>229</v>
      </c>
      <c r="H1046" s="77" t="str">
        <f>VLOOKUP(DESPESAS[[#This Row],[Plano de Contas]],BASE!$B$3:$D$119,3,FALSE)</f>
        <v>Despesas Bancarias</v>
      </c>
      <c r="I1046" s="77" t="str">
        <f>IFERROR(VLOOKUP(DESPESAS[[#This Row],[Fornecedor]],Tabela2[],2,FALSE),"")</f>
        <v/>
      </c>
      <c r="J1046" s="77" t="str">
        <f>IFERROR(VLOOKUP(DESPESAS[[#This Row],[Plano de Contas]],BASE!$B$3:$F$119,4,FALSE),"")</f>
        <v>8 - DESPESAS FINANCEIRAS</v>
      </c>
      <c r="K1046" s="77" t="str">
        <f>IFERROR(VLOOKUP(DESPESAS[[#This Row],[Plano de Contas]],BASE!$B$3:$H$119,5,FALSE),"")</f>
        <v>FINANCEIRO</v>
      </c>
      <c r="L1046" s="77">
        <f>IFERROR(VLOOKUP(DESPESAS[[#This Row],[Plano de Contas]],BASE!$B$3:$H$119,6,FALSE),"")</f>
        <v>0</v>
      </c>
      <c r="M1046" s="77" t="str">
        <f>VLOOKUP(DESPESAS[[#This Row],[Plano de Contas]],BASE!$B$3:$H$119,7,FALSE)</f>
        <v>LETÍCIA</v>
      </c>
    </row>
    <row r="1047" spans="1:13" x14ac:dyDescent="0.25">
      <c r="A1047" s="74">
        <v>197657</v>
      </c>
      <c r="B1047" s="75" t="s">
        <v>221</v>
      </c>
      <c r="C1047" s="75" t="s">
        <v>2518</v>
      </c>
      <c r="D1047" s="76">
        <v>46052</v>
      </c>
      <c r="E1047" s="75" t="s">
        <v>245</v>
      </c>
      <c r="F1047" s="74">
        <v>352</v>
      </c>
      <c r="G1047" s="75" t="s">
        <v>1037</v>
      </c>
      <c r="H1047" s="77" t="str">
        <f>VLOOKUP(DESPESAS[[#This Row],[Plano de Contas]],BASE!$B$3:$D$119,3,FALSE)</f>
        <v>Construções e Reformas</v>
      </c>
      <c r="I1047" s="77" t="str">
        <f>IFERROR(VLOOKUP(DESPESAS[[#This Row],[Fornecedor]],Tabela2[],2,FALSE),"")</f>
        <v>FERRAGENS GERAIS</v>
      </c>
      <c r="J1047" s="77" t="str">
        <f>IFERROR(VLOOKUP(DESPESAS[[#This Row],[Plano de Contas]],BASE!$B$3:$F$119,4,FALSE),"")</f>
        <v>9 - INVESTIMENTOS</v>
      </c>
      <c r="K1047" s="77" t="str">
        <f>IFERROR(VLOOKUP(DESPESAS[[#This Row],[Plano de Contas]],BASE!$B$3:$H$119,5,FALSE),"")</f>
        <v>MANUTENÇÃO / TI</v>
      </c>
      <c r="L1047" s="77">
        <f>IFERROR(VLOOKUP(DESPESAS[[#This Row],[Plano de Contas]],BASE!$B$3:$H$119,6,FALSE),"")</f>
        <v>0</v>
      </c>
      <c r="M1047" s="77" t="str">
        <f>VLOOKUP(DESPESAS[[#This Row],[Plano de Contas]],BASE!$B$3:$H$119,7,FALSE)</f>
        <v>FÁBIO</v>
      </c>
    </row>
    <row r="1048" spans="1:13" x14ac:dyDescent="0.25">
      <c r="A1048" s="74">
        <v>197658</v>
      </c>
      <c r="B1048" s="75" t="s">
        <v>221</v>
      </c>
      <c r="C1048" s="75" t="s">
        <v>2517</v>
      </c>
      <c r="D1048" s="76">
        <v>46052</v>
      </c>
      <c r="E1048" s="75" t="s">
        <v>245</v>
      </c>
      <c r="F1048" s="74">
        <v>45</v>
      </c>
      <c r="G1048" s="75" t="s">
        <v>1037</v>
      </c>
      <c r="H1048" s="77" t="str">
        <f>VLOOKUP(DESPESAS[[#This Row],[Plano de Contas]],BASE!$B$3:$D$119,3,FALSE)</f>
        <v>Construções e Reformas</v>
      </c>
      <c r="I1048" s="77" t="str">
        <f>IFERROR(VLOOKUP(DESPESAS[[#This Row],[Fornecedor]],Tabela2[],2,FALSE),"")</f>
        <v>FERRAGENS GERAIS</v>
      </c>
      <c r="J1048" s="77" t="str">
        <f>IFERROR(VLOOKUP(DESPESAS[[#This Row],[Plano de Contas]],BASE!$B$3:$F$119,4,FALSE),"")</f>
        <v>9 - INVESTIMENTOS</v>
      </c>
      <c r="K1048" s="77" t="str">
        <f>IFERROR(VLOOKUP(DESPESAS[[#This Row],[Plano de Contas]],BASE!$B$3:$H$119,5,FALSE),"")</f>
        <v>MANUTENÇÃO / TI</v>
      </c>
      <c r="L1048" s="77">
        <f>IFERROR(VLOOKUP(DESPESAS[[#This Row],[Plano de Contas]],BASE!$B$3:$H$119,6,FALSE),"")</f>
        <v>0</v>
      </c>
      <c r="M1048" s="77" t="str">
        <f>VLOOKUP(DESPESAS[[#This Row],[Plano de Contas]],BASE!$B$3:$H$119,7,FALSE)</f>
        <v>FÁBIO</v>
      </c>
    </row>
    <row r="1049" spans="1:13" x14ac:dyDescent="0.25">
      <c r="A1049" s="74">
        <v>197659</v>
      </c>
      <c r="B1049" s="75" t="s">
        <v>232</v>
      </c>
      <c r="C1049" s="75" t="s">
        <v>2516</v>
      </c>
      <c r="D1049" s="76">
        <v>46052</v>
      </c>
      <c r="E1049" s="75" t="s">
        <v>2515</v>
      </c>
      <c r="F1049" s="74">
        <v>210</v>
      </c>
      <c r="G1049" s="75" t="s">
        <v>244</v>
      </c>
      <c r="H1049" s="77" t="str">
        <f>VLOOKUP(DESPESAS[[#This Row],[Plano de Contas]],BASE!$B$3:$D$119,3,FALSE)</f>
        <v>Material de Expediente (Prod)</v>
      </c>
      <c r="I1049" s="77" t="str">
        <f>IFERROR(VLOOKUP(DESPESAS[[#This Row],[Fornecedor]],Tabela2[],2,FALSE),"")</f>
        <v>CNC MADEIRAS</v>
      </c>
      <c r="J1049" s="77" t="str">
        <f>IFERROR(VLOOKUP(DESPESAS[[#This Row],[Plano de Contas]],BASE!$B$3:$F$119,4,FALSE),"")</f>
        <v>2 - CUSTOS DIRETOS</v>
      </c>
      <c r="K1049" s="77" t="str">
        <f>IFERROR(VLOOKUP(DESPESAS[[#This Row],[Plano de Contas]],BASE!$B$3:$H$119,5,FALSE),"")</f>
        <v>PRODUÇÃO</v>
      </c>
      <c r="L1049" s="77">
        <f>IFERROR(VLOOKUP(DESPESAS[[#This Row],[Plano de Contas]],BASE!$B$3:$H$119,6,FALSE),"")</f>
        <v>0</v>
      </c>
      <c r="M1049" s="77" t="str">
        <f>VLOOKUP(DESPESAS[[#This Row],[Plano de Contas]],BASE!$B$3:$H$119,7,FALSE)</f>
        <v>RAFAEL</v>
      </c>
    </row>
    <row r="1050" spans="1:13" x14ac:dyDescent="0.25">
      <c r="A1050" s="74">
        <v>197661</v>
      </c>
      <c r="B1050" s="75" t="s">
        <v>686</v>
      </c>
      <c r="C1050" s="75" t="s">
        <v>2514</v>
      </c>
      <c r="D1050" s="76">
        <v>46052</v>
      </c>
      <c r="E1050" s="75" t="s">
        <v>325</v>
      </c>
      <c r="F1050" s="74">
        <v>99.52</v>
      </c>
      <c r="G1050" s="75" t="s">
        <v>1318</v>
      </c>
      <c r="H1050" s="77" t="str">
        <f>VLOOKUP(DESPESAS[[#This Row],[Plano de Contas]],BASE!$B$3:$D$119,3,FALSE)</f>
        <v>Feiras e Eventos</v>
      </c>
      <c r="I1050" s="77" t="str">
        <f>IFERROR(VLOOKUP(DESPESAS[[#This Row],[Fornecedor]],Tabela2[],2,FALSE),"")</f>
        <v/>
      </c>
      <c r="J1050" s="77" t="str">
        <f>IFERROR(VLOOKUP(DESPESAS[[#This Row],[Plano de Contas]],BASE!$B$3:$F$119,4,FALSE),"")</f>
        <v>6 - DESPESA COM VENDAS</v>
      </c>
      <c r="K1050" s="77" t="str">
        <f>IFERROR(VLOOKUP(DESPESAS[[#This Row],[Plano de Contas]],BASE!$B$3:$H$119,5,FALSE),"")</f>
        <v>COMERCIAL</v>
      </c>
      <c r="L1050" s="77">
        <f>IFERROR(VLOOKUP(DESPESAS[[#This Row],[Plano de Contas]],BASE!$B$3:$H$119,6,FALSE),"")</f>
        <v>0</v>
      </c>
      <c r="M1050" s="77" t="str">
        <f>VLOOKUP(DESPESAS[[#This Row],[Plano de Contas]],BASE!$B$3:$H$119,7,FALSE)</f>
        <v>THAIS</v>
      </c>
    </row>
    <row r="1051" spans="1:13" x14ac:dyDescent="0.25">
      <c r="A1051" s="74">
        <v>197662</v>
      </c>
      <c r="B1051" s="75" t="s">
        <v>232</v>
      </c>
      <c r="C1051" s="75" t="s">
        <v>2513</v>
      </c>
      <c r="D1051" s="76">
        <v>46052</v>
      </c>
      <c r="E1051" s="75" t="s">
        <v>230</v>
      </c>
      <c r="F1051" s="74">
        <v>1013.25</v>
      </c>
      <c r="G1051" s="75" t="s">
        <v>251</v>
      </c>
      <c r="H1051" s="77" t="str">
        <f>VLOOKUP(DESPESAS[[#This Row],[Plano de Contas]],BASE!$B$3:$D$119,3,FALSE)</f>
        <v>Juros Pagos - Antecipação de Crédito</v>
      </c>
      <c r="I1051" s="77" t="str">
        <f>IFERROR(VLOOKUP(DESPESAS[[#This Row],[Fornecedor]],Tabela2[],2,FALSE),"")</f>
        <v/>
      </c>
      <c r="J1051" s="77" t="str">
        <f>IFERROR(VLOOKUP(DESPESAS[[#This Row],[Plano de Contas]],BASE!$B$3:$F$119,4,FALSE),"")</f>
        <v>8 - DESPESAS FINANCEIRAS</v>
      </c>
      <c r="K1051" s="77" t="str">
        <f>IFERROR(VLOOKUP(DESPESAS[[#This Row],[Plano de Contas]],BASE!$B$3:$H$119,5,FALSE),"")</f>
        <v>FINANCEIRO</v>
      </c>
      <c r="L1051" s="77">
        <f>IFERROR(VLOOKUP(DESPESAS[[#This Row],[Plano de Contas]],BASE!$B$3:$H$119,6,FALSE),"")</f>
        <v>0</v>
      </c>
      <c r="M1051" s="77" t="str">
        <f>VLOOKUP(DESPESAS[[#This Row],[Plano de Contas]],BASE!$B$3:$H$119,7,FALSE)</f>
        <v>LETÍCIA</v>
      </c>
    </row>
    <row r="1052" spans="1:13" x14ac:dyDescent="0.25">
      <c r="A1052" s="74">
        <v>197663</v>
      </c>
      <c r="B1052" s="75" t="s">
        <v>221</v>
      </c>
      <c r="C1052" s="75" t="s">
        <v>2512</v>
      </c>
      <c r="D1052" s="76">
        <v>46052</v>
      </c>
      <c r="E1052" s="75" t="s">
        <v>1872</v>
      </c>
      <c r="F1052" s="74">
        <v>49</v>
      </c>
      <c r="G1052" s="75" t="s">
        <v>1037</v>
      </c>
      <c r="H1052" s="77" t="str">
        <f>VLOOKUP(DESPESAS[[#This Row],[Plano de Contas]],BASE!$B$3:$D$119,3,FALSE)</f>
        <v>Construções e Reformas</v>
      </c>
      <c r="I1052" s="77" t="str">
        <f>IFERROR(VLOOKUP(DESPESAS[[#This Row],[Fornecedor]],Tabela2[],2,FALSE),"")</f>
        <v>MATERIAIS ELETRICOS</v>
      </c>
      <c r="J1052" s="77" t="str">
        <f>IFERROR(VLOOKUP(DESPESAS[[#This Row],[Plano de Contas]],BASE!$B$3:$F$119,4,FALSE),"")</f>
        <v>9 - INVESTIMENTOS</v>
      </c>
      <c r="K1052" s="77" t="str">
        <f>IFERROR(VLOOKUP(DESPESAS[[#This Row],[Plano de Contas]],BASE!$B$3:$H$119,5,FALSE),"")</f>
        <v>MANUTENÇÃO / TI</v>
      </c>
      <c r="L1052" s="77">
        <f>IFERROR(VLOOKUP(DESPESAS[[#This Row],[Plano de Contas]],BASE!$B$3:$H$119,6,FALSE),"")</f>
        <v>0</v>
      </c>
      <c r="M1052" s="77" t="str">
        <f>VLOOKUP(DESPESAS[[#This Row],[Plano de Contas]],BASE!$B$3:$H$119,7,FALSE)</f>
        <v>FÁBIO</v>
      </c>
    </row>
    <row r="1053" spans="1:13" x14ac:dyDescent="0.25">
      <c r="A1053" s="74">
        <v>197664</v>
      </c>
      <c r="B1053" s="75" t="s">
        <v>221</v>
      </c>
      <c r="C1053" s="75" t="s">
        <v>2511</v>
      </c>
      <c r="D1053" s="76">
        <v>46052</v>
      </c>
      <c r="E1053" s="75" t="s">
        <v>1872</v>
      </c>
      <c r="F1053" s="74">
        <v>399</v>
      </c>
      <c r="G1053" s="75" t="s">
        <v>1037</v>
      </c>
      <c r="H1053" s="77" t="str">
        <f>VLOOKUP(DESPESAS[[#This Row],[Plano de Contas]],BASE!$B$3:$D$119,3,FALSE)</f>
        <v>Construções e Reformas</v>
      </c>
      <c r="I1053" s="77" t="str">
        <f>IFERROR(VLOOKUP(DESPESAS[[#This Row],[Fornecedor]],Tabela2[],2,FALSE),"")</f>
        <v>MATERIAIS ELETRICOS</v>
      </c>
      <c r="J1053" s="77" t="str">
        <f>IFERROR(VLOOKUP(DESPESAS[[#This Row],[Plano de Contas]],BASE!$B$3:$F$119,4,FALSE),"")</f>
        <v>9 - INVESTIMENTOS</v>
      </c>
      <c r="K1053" s="77" t="str">
        <f>IFERROR(VLOOKUP(DESPESAS[[#This Row],[Plano de Contas]],BASE!$B$3:$H$119,5,FALSE),"")</f>
        <v>MANUTENÇÃO / TI</v>
      </c>
      <c r="L1053" s="77">
        <f>IFERROR(VLOOKUP(DESPESAS[[#This Row],[Plano de Contas]],BASE!$B$3:$H$119,6,FALSE),"")</f>
        <v>0</v>
      </c>
      <c r="M1053" s="77" t="str">
        <f>VLOOKUP(DESPESAS[[#This Row],[Plano de Contas]],BASE!$B$3:$H$119,7,FALSE)</f>
        <v>FÁBIO</v>
      </c>
    </row>
    <row r="1054" spans="1:13" x14ac:dyDescent="0.25">
      <c r="A1054" s="74">
        <v>197665</v>
      </c>
      <c r="B1054" s="75" t="s">
        <v>232</v>
      </c>
      <c r="C1054" s="75" t="s">
        <v>2510</v>
      </c>
      <c r="D1054" s="76">
        <v>46045</v>
      </c>
      <c r="E1054" s="75" t="s">
        <v>327</v>
      </c>
      <c r="F1054" s="74">
        <v>106.25</v>
      </c>
      <c r="G1054" s="75" t="s">
        <v>326</v>
      </c>
      <c r="H1054" s="77" t="str">
        <f>VLOOKUP(DESPESAS[[#This Row],[Plano de Contas]],BASE!$B$3:$D$119,3,FALSE)</f>
        <v>Frete sobre Compras</v>
      </c>
      <c r="I1054" s="77" t="str">
        <f>IFERROR(VLOOKUP(DESPESAS[[#This Row],[Fornecedor]],Tabela2[],2,FALSE),"")</f>
        <v>SERVIÇOS FRETE</v>
      </c>
      <c r="J1054" s="77" t="str">
        <f>IFERROR(VLOOKUP(DESPESAS[[#This Row],[Plano de Contas]],BASE!$B$3:$F$119,4,FALSE),"")</f>
        <v>1 - CPV</v>
      </c>
      <c r="K1054" s="77" t="str">
        <f>IFERROR(VLOOKUP(DESPESAS[[#This Row],[Plano de Contas]],BASE!$B$3:$H$119,5,FALSE),"")</f>
        <v>COMPRAS</v>
      </c>
      <c r="L1054" s="77">
        <f>IFERROR(VLOOKUP(DESPESAS[[#This Row],[Plano de Contas]],BASE!$B$3:$H$119,6,FALSE),"")</f>
        <v>0</v>
      </c>
      <c r="M1054" s="77" t="str">
        <f>VLOOKUP(DESPESAS[[#This Row],[Plano de Contas]],BASE!$B$3:$H$119,7,FALSE)</f>
        <v>MYLENA</v>
      </c>
    </row>
    <row r="1055" spans="1:13" x14ac:dyDescent="0.25">
      <c r="A1055" s="74">
        <v>197666</v>
      </c>
      <c r="B1055" s="75" t="s">
        <v>232</v>
      </c>
      <c r="C1055" s="75" t="s">
        <v>2509</v>
      </c>
      <c r="D1055" s="76">
        <v>46045</v>
      </c>
      <c r="E1055" s="75" t="s">
        <v>327</v>
      </c>
      <c r="F1055" s="74">
        <v>169.34</v>
      </c>
      <c r="G1055" s="75" t="s">
        <v>326</v>
      </c>
      <c r="H1055" s="77" t="str">
        <f>VLOOKUP(DESPESAS[[#This Row],[Plano de Contas]],BASE!$B$3:$D$119,3,FALSE)</f>
        <v>Frete sobre Compras</v>
      </c>
      <c r="I1055" s="77" t="str">
        <f>IFERROR(VLOOKUP(DESPESAS[[#This Row],[Fornecedor]],Tabela2[],2,FALSE),"")</f>
        <v>SERVIÇOS FRETE</v>
      </c>
      <c r="J1055" s="77" t="str">
        <f>IFERROR(VLOOKUP(DESPESAS[[#This Row],[Plano de Contas]],BASE!$B$3:$F$119,4,FALSE),"")</f>
        <v>1 - CPV</v>
      </c>
      <c r="K1055" s="77" t="str">
        <f>IFERROR(VLOOKUP(DESPESAS[[#This Row],[Plano de Contas]],BASE!$B$3:$H$119,5,FALSE),"")</f>
        <v>COMPRAS</v>
      </c>
      <c r="L1055" s="77">
        <f>IFERROR(VLOOKUP(DESPESAS[[#This Row],[Plano de Contas]],BASE!$B$3:$H$119,6,FALSE),"")</f>
        <v>0</v>
      </c>
      <c r="M1055" s="77" t="str">
        <f>VLOOKUP(DESPESAS[[#This Row],[Plano de Contas]],BASE!$B$3:$H$119,7,FALSE)</f>
        <v>MYLENA</v>
      </c>
    </row>
    <row r="1056" spans="1:13" x14ac:dyDescent="0.25">
      <c r="A1056" s="74">
        <v>197667</v>
      </c>
      <c r="B1056" s="75" t="s">
        <v>232</v>
      </c>
      <c r="C1056" s="75" t="s">
        <v>2508</v>
      </c>
      <c r="D1056" s="76">
        <v>46045</v>
      </c>
      <c r="E1056" s="75" t="s">
        <v>329</v>
      </c>
      <c r="F1056" s="74">
        <v>120.15</v>
      </c>
      <c r="G1056" s="75" t="s">
        <v>326</v>
      </c>
      <c r="H1056" s="77" t="str">
        <f>VLOOKUP(DESPESAS[[#This Row],[Plano de Contas]],BASE!$B$3:$D$119,3,FALSE)</f>
        <v>Frete sobre Compras</v>
      </c>
      <c r="I1056" s="77" t="str">
        <f>IFERROR(VLOOKUP(DESPESAS[[#This Row],[Fornecedor]],Tabela2[],2,FALSE),"")</f>
        <v/>
      </c>
      <c r="J1056" s="77" t="str">
        <f>IFERROR(VLOOKUP(DESPESAS[[#This Row],[Plano de Contas]],BASE!$B$3:$F$119,4,FALSE),"")</f>
        <v>1 - CPV</v>
      </c>
      <c r="K1056" s="77" t="str">
        <f>IFERROR(VLOOKUP(DESPESAS[[#This Row],[Plano de Contas]],BASE!$B$3:$H$119,5,FALSE),"")</f>
        <v>COMPRAS</v>
      </c>
      <c r="L1056" s="77">
        <f>IFERROR(VLOOKUP(DESPESAS[[#This Row],[Plano de Contas]],BASE!$B$3:$H$119,6,FALSE),"")</f>
        <v>0</v>
      </c>
      <c r="M1056" s="77" t="str">
        <f>VLOOKUP(DESPESAS[[#This Row],[Plano de Contas]],BASE!$B$3:$H$119,7,FALSE)</f>
        <v>MYLENA</v>
      </c>
    </row>
    <row r="1057" spans="1:13" x14ac:dyDescent="0.25">
      <c r="A1057" s="74">
        <v>197668</v>
      </c>
      <c r="B1057" s="75" t="s">
        <v>232</v>
      </c>
      <c r="C1057" s="75" t="s">
        <v>2507</v>
      </c>
      <c r="D1057" s="76">
        <v>46055</v>
      </c>
      <c r="E1057" s="75" t="s">
        <v>1234</v>
      </c>
      <c r="F1057" s="74">
        <v>425.79</v>
      </c>
      <c r="G1057" s="75" t="s">
        <v>1318</v>
      </c>
      <c r="H1057" s="77" t="str">
        <f>VLOOKUP(DESPESAS[[#This Row],[Plano de Contas]],BASE!$B$3:$D$119,3,FALSE)</f>
        <v>Feiras e Eventos</v>
      </c>
      <c r="I1057" s="77" t="str">
        <f>IFERROR(VLOOKUP(DESPESAS[[#This Row],[Fornecedor]],Tabela2[],2,FALSE),"")</f>
        <v/>
      </c>
      <c r="J1057" s="77" t="str">
        <f>IFERROR(VLOOKUP(DESPESAS[[#This Row],[Plano de Contas]],BASE!$B$3:$F$119,4,FALSE),"")</f>
        <v>6 - DESPESA COM VENDAS</v>
      </c>
      <c r="K1057" s="77" t="str">
        <f>IFERROR(VLOOKUP(DESPESAS[[#This Row],[Plano de Contas]],BASE!$B$3:$H$119,5,FALSE),"")</f>
        <v>COMERCIAL</v>
      </c>
      <c r="L1057" s="77">
        <f>IFERROR(VLOOKUP(DESPESAS[[#This Row],[Plano de Contas]],BASE!$B$3:$H$119,6,FALSE),"")</f>
        <v>0</v>
      </c>
      <c r="M1057" s="77" t="str">
        <f>VLOOKUP(DESPESAS[[#This Row],[Plano de Contas]],BASE!$B$3:$H$119,7,FALSE)</f>
        <v>THAIS</v>
      </c>
    </row>
    <row r="1058" spans="1:13" x14ac:dyDescent="0.25">
      <c r="A1058" s="74">
        <v>197673</v>
      </c>
      <c r="B1058" s="75" t="s">
        <v>232</v>
      </c>
      <c r="C1058" s="75" t="s">
        <v>2506</v>
      </c>
      <c r="D1058" s="76">
        <v>46052</v>
      </c>
      <c r="E1058" s="75" t="s">
        <v>230</v>
      </c>
      <c r="F1058" s="74">
        <v>1.48</v>
      </c>
      <c r="G1058" s="75" t="s">
        <v>251</v>
      </c>
      <c r="H1058" s="77" t="str">
        <f>VLOOKUP(DESPESAS[[#This Row],[Plano de Contas]],BASE!$B$3:$D$119,3,FALSE)</f>
        <v>Juros Pagos - Antecipação de Crédito</v>
      </c>
      <c r="I1058" s="77" t="str">
        <f>IFERROR(VLOOKUP(DESPESAS[[#This Row],[Fornecedor]],Tabela2[],2,FALSE),"")</f>
        <v/>
      </c>
      <c r="J1058" s="77" t="str">
        <f>IFERROR(VLOOKUP(DESPESAS[[#This Row],[Plano de Contas]],BASE!$B$3:$F$119,4,FALSE),"")</f>
        <v>8 - DESPESAS FINANCEIRAS</v>
      </c>
      <c r="K1058" s="77" t="str">
        <f>IFERROR(VLOOKUP(DESPESAS[[#This Row],[Plano de Contas]],BASE!$B$3:$H$119,5,FALSE),"")</f>
        <v>FINANCEIRO</v>
      </c>
      <c r="L1058" s="77">
        <f>IFERROR(VLOOKUP(DESPESAS[[#This Row],[Plano de Contas]],BASE!$B$3:$H$119,6,FALSE),"")</f>
        <v>0</v>
      </c>
      <c r="M1058" s="77" t="str">
        <f>VLOOKUP(DESPESAS[[#This Row],[Plano de Contas]],BASE!$B$3:$H$119,7,FALSE)</f>
        <v>LETÍCIA</v>
      </c>
    </row>
    <row r="1059" spans="1:13" x14ac:dyDescent="0.25">
      <c r="A1059" s="74">
        <v>197674</v>
      </c>
      <c r="B1059" s="75" t="s">
        <v>221</v>
      </c>
      <c r="C1059" s="75" t="s">
        <v>2505</v>
      </c>
      <c r="D1059" s="76">
        <v>46055</v>
      </c>
      <c r="E1059" s="75" t="s">
        <v>342</v>
      </c>
      <c r="F1059" s="74">
        <v>284.5</v>
      </c>
      <c r="G1059" s="75" t="s">
        <v>420</v>
      </c>
      <c r="H1059" s="77" t="str">
        <f>VLOOKUP(DESPESAS[[#This Row],[Plano de Contas]],BASE!$B$3:$D$119,3,FALSE)</f>
        <v>Material de Expediente (Adm)</v>
      </c>
      <c r="I1059" s="77" t="str">
        <f>IFERROR(VLOOKUP(DESPESAS[[#This Row],[Fornecedor]],Tabela2[],2,FALSE),"")</f>
        <v/>
      </c>
      <c r="J1059" s="77" t="str">
        <f>IFERROR(VLOOKUP(DESPESAS[[#This Row],[Plano de Contas]],BASE!$B$3:$F$119,4,FALSE),"")</f>
        <v>5 - DESPESAS ADMINISTRATIVAS</v>
      </c>
      <c r="K1059" s="77" t="str">
        <f>IFERROR(VLOOKUP(DESPESAS[[#This Row],[Plano de Contas]],BASE!$B$3:$H$119,5,FALSE),"")</f>
        <v>ADMINISTRATIVO</v>
      </c>
      <c r="L1059" s="77">
        <f>IFERROR(VLOOKUP(DESPESAS[[#This Row],[Plano de Contas]],BASE!$B$3:$H$119,6,FALSE),"")</f>
        <v>0</v>
      </c>
      <c r="M1059" s="77" t="str">
        <f>VLOOKUP(DESPESAS[[#This Row],[Plano de Contas]],BASE!$B$3:$H$119,7,FALSE)</f>
        <v>LETÍCIA</v>
      </c>
    </row>
    <row r="1060" spans="1:13" x14ac:dyDescent="0.25">
      <c r="A1060" s="74">
        <v>197675</v>
      </c>
      <c r="B1060" s="75" t="s">
        <v>232</v>
      </c>
      <c r="C1060" s="75" t="s">
        <v>2504</v>
      </c>
      <c r="D1060" s="76">
        <v>46052</v>
      </c>
      <c r="E1060" s="75" t="s">
        <v>230</v>
      </c>
      <c r="F1060" s="74">
        <v>0.28000000000000003</v>
      </c>
      <c r="G1060" s="75" t="s">
        <v>229</v>
      </c>
      <c r="H1060" s="77" t="str">
        <f>VLOOKUP(DESPESAS[[#This Row],[Plano de Contas]],BASE!$B$3:$D$119,3,FALSE)</f>
        <v>Despesas Bancarias</v>
      </c>
      <c r="I1060" s="77" t="str">
        <f>IFERROR(VLOOKUP(DESPESAS[[#This Row],[Fornecedor]],Tabela2[],2,FALSE),"")</f>
        <v/>
      </c>
      <c r="J1060" s="77" t="str">
        <f>IFERROR(VLOOKUP(DESPESAS[[#This Row],[Plano de Contas]],BASE!$B$3:$F$119,4,FALSE),"")</f>
        <v>8 - DESPESAS FINANCEIRAS</v>
      </c>
      <c r="K1060" s="77" t="str">
        <f>IFERROR(VLOOKUP(DESPESAS[[#This Row],[Plano de Contas]],BASE!$B$3:$H$119,5,FALSE),"")</f>
        <v>FINANCEIRO</v>
      </c>
      <c r="L1060" s="77">
        <f>IFERROR(VLOOKUP(DESPESAS[[#This Row],[Plano de Contas]],BASE!$B$3:$H$119,6,FALSE),"")</f>
        <v>0</v>
      </c>
      <c r="M1060" s="77" t="str">
        <f>VLOOKUP(DESPESAS[[#This Row],[Plano de Contas]],BASE!$B$3:$H$119,7,FALSE)</f>
        <v>LETÍCIA</v>
      </c>
    </row>
    <row r="1061" spans="1:13" x14ac:dyDescent="0.25">
      <c r="A1061" s="74">
        <v>197677</v>
      </c>
      <c r="B1061" s="75" t="s">
        <v>221</v>
      </c>
      <c r="C1061" s="75" t="s">
        <v>2503</v>
      </c>
      <c r="D1061" s="76">
        <v>46055</v>
      </c>
      <c r="E1061" s="75" t="s">
        <v>980</v>
      </c>
      <c r="F1061" s="74">
        <v>180</v>
      </c>
      <c r="G1061" s="75" t="s">
        <v>979</v>
      </c>
      <c r="H1061" s="77" t="str">
        <f>VLOOKUP(DESPESAS[[#This Row],[Plano de Contas]],BASE!$B$3:$D$119,3,FALSE)</f>
        <v>Assistência Médica MOD</v>
      </c>
      <c r="I1061" s="77" t="str">
        <f>IFERROR(VLOOKUP(DESPESAS[[#This Row],[Fornecedor]],Tabela2[],2,FALSE),"")</f>
        <v/>
      </c>
      <c r="J1061" s="77" t="str">
        <f>IFERROR(VLOOKUP(DESPESAS[[#This Row],[Plano de Contas]],BASE!$B$3:$F$119,4,FALSE),"")</f>
        <v>2 - CUSTOS DIRETOS</v>
      </c>
      <c r="K1061" s="77" t="str">
        <f>IFERROR(VLOOKUP(DESPESAS[[#This Row],[Plano de Contas]],BASE!$B$3:$H$119,5,FALSE),"")</f>
        <v>DH</v>
      </c>
      <c r="L1061" s="77" t="str">
        <f>IFERROR(VLOOKUP(DESPESAS[[#This Row],[Plano de Contas]],BASE!$B$3:$H$119,6,FALSE),"")</f>
        <v>CUSTO MÃO DE OBRA DIRETA</v>
      </c>
      <c r="M1061" s="77" t="str">
        <f>VLOOKUP(DESPESAS[[#This Row],[Plano de Contas]],BASE!$B$3:$H$119,7,FALSE)</f>
        <v>RAFAEL</v>
      </c>
    </row>
    <row r="1062" spans="1:13" x14ac:dyDescent="0.25">
      <c r="A1062" s="74">
        <v>197680</v>
      </c>
      <c r="B1062" s="75" t="s">
        <v>221</v>
      </c>
      <c r="C1062" s="75" t="s">
        <v>2502</v>
      </c>
      <c r="D1062" s="76">
        <v>46055</v>
      </c>
      <c r="E1062" s="75" t="s">
        <v>342</v>
      </c>
      <c r="F1062" s="74">
        <v>413.37</v>
      </c>
      <c r="G1062" s="75" t="s">
        <v>244</v>
      </c>
      <c r="H1062" s="77" t="str">
        <f>VLOOKUP(DESPESAS[[#This Row],[Plano de Contas]],BASE!$B$3:$D$119,3,FALSE)</f>
        <v>Material de Expediente (Prod)</v>
      </c>
      <c r="I1062" s="77" t="str">
        <f>IFERROR(VLOOKUP(DESPESAS[[#This Row],[Fornecedor]],Tabela2[],2,FALSE),"")</f>
        <v/>
      </c>
      <c r="J1062" s="77" t="str">
        <f>IFERROR(VLOOKUP(DESPESAS[[#This Row],[Plano de Contas]],BASE!$B$3:$F$119,4,FALSE),"")</f>
        <v>2 - CUSTOS DIRETOS</v>
      </c>
      <c r="K1062" s="77" t="str">
        <f>IFERROR(VLOOKUP(DESPESAS[[#This Row],[Plano de Contas]],BASE!$B$3:$H$119,5,FALSE),"")</f>
        <v>PRODUÇÃO</v>
      </c>
      <c r="L1062" s="77">
        <f>IFERROR(VLOOKUP(DESPESAS[[#This Row],[Plano de Contas]],BASE!$B$3:$H$119,6,FALSE),"")</f>
        <v>0</v>
      </c>
      <c r="M1062" s="77" t="str">
        <f>VLOOKUP(DESPESAS[[#This Row],[Plano de Contas]],BASE!$B$3:$H$119,7,FALSE)</f>
        <v>RAFAEL</v>
      </c>
    </row>
    <row r="1063" spans="1:13" x14ac:dyDescent="0.25">
      <c r="A1063" s="74">
        <v>197681</v>
      </c>
      <c r="B1063" s="75" t="s">
        <v>232</v>
      </c>
      <c r="C1063" s="75" t="s">
        <v>2501</v>
      </c>
      <c r="D1063" s="76">
        <v>46052</v>
      </c>
      <c r="E1063" s="75" t="s">
        <v>230</v>
      </c>
      <c r="F1063" s="74">
        <v>1755.87</v>
      </c>
      <c r="G1063" s="75" t="s">
        <v>225</v>
      </c>
      <c r="H1063" s="77" t="str">
        <f>VLOOKUP(DESPESAS[[#This Row],[Plano de Contas]],BASE!$B$3:$D$119,3,FALSE)</f>
        <v>Despesas de Outros Gastos Não Operacionais</v>
      </c>
      <c r="I1063" s="77" t="str">
        <f>IFERROR(VLOOKUP(DESPESAS[[#This Row],[Fornecedor]],Tabela2[],2,FALSE),"")</f>
        <v/>
      </c>
      <c r="J1063" s="77" t="str">
        <f>IFERROR(VLOOKUP(DESPESAS[[#This Row],[Plano de Contas]],BASE!$B$3:$F$119,4,FALSE),"")</f>
        <v>8 - DESPESAS FINANCEIRAS</v>
      </c>
      <c r="K1063" s="77" t="str">
        <f>IFERROR(VLOOKUP(DESPESAS[[#This Row],[Plano de Contas]],BASE!$B$3:$H$119,5,FALSE),"")</f>
        <v>FINANCEIRO</v>
      </c>
      <c r="L1063" s="77">
        <f>IFERROR(VLOOKUP(DESPESAS[[#This Row],[Plano de Contas]],BASE!$B$3:$H$119,6,FALSE),"")</f>
        <v>0</v>
      </c>
      <c r="M1063" s="77" t="str">
        <f>VLOOKUP(DESPESAS[[#This Row],[Plano de Contas]],BASE!$B$3:$H$119,7,FALSE)</f>
        <v>LETÍCIA</v>
      </c>
    </row>
    <row r="1064" spans="1:13" x14ac:dyDescent="0.25">
      <c r="A1064" s="74">
        <v>197682</v>
      </c>
      <c r="B1064" s="75" t="s">
        <v>281</v>
      </c>
      <c r="C1064" s="75" t="s">
        <v>2500</v>
      </c>
      <c r="D1064" s="76">
        <v>46052</v>
      </c>
      <c r="E1064" s="75" t="s">
        <v>230</v>
      </c>
      <c r="F1064" s="74">
        <v>5</v>
      </c>
      <c r="G1064" s="75" t="s">
        <v>229</v>
      </c>
      <c r="H1064" s="77" t="str">
        <f>VLOOKUP(DESPESAS[[#This Row],[Plano de Contas]],BASE!$B$3:$D$119,3,FALSE)</f>
        <v>Despesas Bancarias</v>
      </c>
      <c r="I1064" s="77" t="str">
        <f>IFERROR(VLOOKUP(DESPESAS[[#This Row],[Fornecedor]],Tabela2[],2,FALSE),"")</f>
        <v/>
      </c>
      <c r="J1064" s="77" t="str">
        <f>IFERROR(VLOOKUP(DESPESAS[[#This Row],[Plano de Contas]],BASE!$B$3:$F$119,4,FALSE),"")</f>
        <v>8 - DESPESAS FINANCEIRAS</v>
      </c>
      <c r="K1064" s="77" t="str">
        <f>IFERROR(VLOOKUP(DESPESAS[[#This Row],[Plano de Contas]],BASE!$B$3:$H$119,5,FALSE),"")</f>
        <v>FINANCEIRO</v>
      </c>
      <c r="L1064" s="77">
        <f>IFERROR(VLOOKUP(DESPESAS[[#This Row],[Plano de Contas]],BASE!$B$3:$H$119,6,FALSE),"")</f>
        <v>0</v>
      </c>
      <c r="M1064" s="77" t="str">
        <f>VLOOKUP(DESPESAS[[#This Row],[Plano de Contas]],BASE!$B$3:$H$119,7,FALSE)</f>
        <v>LETÍCIA</v>
      </c>
    </row>
    <row r="1065" spans="1:13" x14ac:dyDescent="0.25">
      <c r="A1065" s="74">
        <v>197683</v>
      </c>
      <c r="B1065" s="75" t="s">
        <v>232</v>
      </c>
      <c r="C1065" s="75" t="s">
        <v>2499</v>
      </c>
      <c r="D1065" s="76">
        <v>46052</v>
      </c>
      <c r="E1065" s="75" t="s">
        <v>230</v>
      </c>
      <c r="F1065" s="74">
        <v>2.37</v>
      </c>
      <c r="G1065" s="75" t="s">
        <v>236</v>
      </c>
      <c r="H1065" s="77" t="str">
        <f>VLOOKUP(DESPESAS[[#This Row],[Plano de Contas]],BASE!$B$3:$D$119,3,FALSE)</f>
        <v>Despesas de Cobranca</v>
      </c>
      <c r="I1065" s="77" t="str">
        <f>IFERROR(VLOOKUP(DESPESAS[[#This Row],[Fornecedor]],Tabela2[],2,FALSE),"")</f>
        <v/>
      </c>
      <c r="J1065" s="77" t="str">
        <f>IFERROR(VLOOKUP(DESPESAS[[#This Row],[Plano de Contas]],BASE!$B$3:$F$119,4,FALSE),"")</f>
        <v>8 - DESPESAS FINANCEIRAS</v>
      </c>
      <c r="K1065" s="77" t="str">
        <f>IFERROR(VLOOKUP(DESPESAS[[#This Row],[Plano de Contas]],BASE!$B$3:$H$119,5,FALSE),"")</f>
        <v>FINANCEIRO</v>
      </c>
      <c r="L1065" s="77">
        <f>IFERROR(VLOOKUP(DESPESAS[[#This Row],[Plano de Contas]],BASE!$B$3:$H$119,6,FALSE),"")</f>
        <v>0</v>
      </c>
      <c r="M1065" s="77" t="str">
        <f>VLOOKUP(DESPESAS[[#This Row],[Plano de Contas]],BASE!$B$3:$H$119,7,FALSE)</f>
        <v>LETÍCIA</v>
      </c>
    </row>
    <row r="1066" spans="1:13" x14ac:dyDescent="0.25">
      <c r="A1066" s="74">
        <v>197684</v>
      </c>
      <c r="B1066" s="75" t="s">
        <v>279</v>
      </c>
      <c r="C1066" s="75" t="s">
        <v>2498</v>
      </c>
      <c r="D1066" s="76">
        <v>46052</v>
      </c>
      <c r="E1066" s="75" t="s">
        <v>230</v>
      </c>
      <c r="F1066" s="74">
        <v>0.79</v>
      </c>
      <c r="G1066" s="75" t="s">
        <v>229</v>
      </c>
      <c r="H1066" s="77" t="str">
        <f>VLOOKUP(DESPESAS[[#This Row],[Plano de Contas]],BASE!$B$3:$D$119,3,FALSE)</f>
        <v>Despesas Bancarias</v>
      </c>
      <c r="I1066" s="77" t="str">
        <f>IFERROR(VLOOKUP(DESPESAS[[#This Row],[Fornecedor]],Tabela2[],2,FALSE),"")</f>
        <v/>
      </c>
      <c r="J1066" s="77" t="str">
        <f>IFERROR(VLOOKUP(DESPESAS[[#This Row],[Plano de Contas]],BASE!$B$3:$F$119,4,FALSE),"")</f>
        <v>8 - DESPESAS FINANCEIRAS</v>
      </c>
      <c r="K1066" s="77" t="str">
        <f>IFERROR(VLOOKUP(DESPESAS[[#This Row],[Plano de Contas]],BASE!$B$3:$H$119,5,FALSE),"")</f>
        <v>FINANCEIRO</v>
      </c>
      <c r="L1066" s="77">
        <f>IFERROR(VLOOKUP(DESPESAS[[#This Row],[Plano de Contas]],BASE!$B$3:$H$119,6,FALSE),"")</f>
        <v>0</v>
      </c>
      <c r="M1066" s="77" t="str">
        <f>VLOOKUP(DESPESAS[[#This Row],[Plano de Contas]],BASE!$B$3:$H$119,7,FALSE)</f>
        <v>LETÍCIA</v>
      </c>
    </row>
    <row r="1067" spans="1:13" x14ac:dyDescent="0.25">
      <c r="A1067" s="74">
        <v>197685</v>
      </c>
      <c r="B1067" s="75" t="s">
        <v>221</v>
      </c>
      <c r="C1067" s="75" t="s">
        <v>2497</v>
      </c>
      <c r="D1067" s="76">
        <v>46055</v>
      </c>
      <c r="E1067" s="75" t="s">
        <v>1089</v>
      </c>
      <c r="F1067" s="74">
        <v>139.9</v>
      </c>
      <c r="G1067" s="75" t="s">
        <v>854</v>
      </c>
      <c r="H1067" s="77" t="str">
        <f>VLOOKUP(DESPESAS[[#This Row],[Plano de Contas]],BASE!$B$3:$D$119,3,FALSE)</f>
        <v>Confraternização</v>
      </c>
      <c r="I1067" s="77" t="str">
        <f>IFERROR(VLOOKUP(DESPESAS[[#This Row],[Fornecedor]],Tabela2[],2,FALSE),"")</f>
        <v/>
      </c>
      <c r="J1067" s="77" t="str">
        <f>IFERROR(VLOOKUP(DESPESAS[[#This Row],[Plano de Contas]],BASE!$B$3:$F$119,4,FALSE),"")</f>
        <v>4 - GASTOS COM PESSOAL</v>
      </c>
      <c r="K1067" s="77" t="str">
        <f>IFERROR(VLOOKUP(DESPESAS[[#This Row],[Plano de Contas]],BASE!$B$3:$H$119,5,FALSE),"")</f>
        <v>DH</v>
      </c>
      <c r="L1067" s="77">
        <f>IFERROR(VLOOKUP(DESPESAS[[#This Row],[Plano de Contas]],BASE!$B$3:$H$119,6,FALSE),"")</f>
        <v>0</v>
      </c>
      <c r="M1067" s="77" t="str">
        <f>VLOOKUP(DESPESAS[[#This Row],[Plano de Contas]],BASE!$B$3:$H$119,7,FALSE)</f>
        <v>MYLENA</v>
      </c>
    </row>
    <row r="1068" spans="1:13" x14ac:dyDescent="0.25">
      <c r="A1068" s="74">
        <v>197687</v>
      </c>
      <c r="B1068" s="75" t="s">
        <v>221</v>
      </c>
      <c r="C1068" s="75" t="s">
        <v>2496</v>
      </c>
      <c r="D1068" s="76">
        <v>46052</v>
      </c>
      <c r="E1068" s="75" t="s">
        <v>1394</v>
      </c>
      <c r="F1068" s="74">
        <v>0.95</v>
      </c>
      <c r="G1068" s="75" t="s">
        <v>229</v>
      </c>
      <c r="H1068" s="77" t="str">
        <f>VLOOKUP(DESPESAS[[#This Row],[Plano de Contas]],BASE!$B$3:$D$119,3,FALSE)</f>
        <v>Despesas Bancarias</v>
      </c>
      <c r="I1068" s="77" t="str">
        <f>IFERROR(VLOOKUP(DESPESAS[[#This Row],[Fornecedor]],Tabela2[],2,FALSE),"")</f>
        <v/>
      </c>
      <c r="J1068" s="77" t="str">
        <f>IFERROR(VLOOKUP(DESPESAS[[#This Row],[Plano de Contas]],BASE!$B$3:$F$119,4,FALSE),"")</f>
        <v>8 - DESPESAS FINANCEIRAS</v>
      </c>
      <c r="K1068" s="77" t="str">
        <f>IFERROR(VLOOKUP(DESPESAS[[#This Row],[Plano de Contas]],BASE!$B$3:$H$119,5,FALSE),"")</f>
        <v>FINANCEIRO</v>
      </c>
      <c r="L1068" s="77">
        <f>IFERROR(VLOOKUP(DESPESAS[[#This Row],[Plano de Contas]],BASE!$B$3:$H$119,6,FALSE),"")</f>
        <v>0</v>
      </c>
      <c r="M1068" s="77" t="str">
        <f>VLOOKUP(DESPESAS[[#This Row],[Plano de Contas]],BASE!$B$3:$H$119,7,FALSE)</f>
        <v>LETÍCIA</v>
      </c>
    </row>
    <row r="1069" spans="1:13" x14ac:dyDescent="0.25">
      <c r="A1069" s="74">
        <v>197688</v>
      </c>
      <c r="B1069" s="75" t="s">
        <v>221</v>
      </c>
      <c r="C1069" s="75" t="s">
        <v>2495</v>
      </c>
      <c r="D1069" s="76">
        <v>46055</v>
      </c>
      <c r="E1069" s="75" t="s">
        <v>855</v>
      </c>
      <c r="F1069" s="74">
        <v>42.61</v>
      </c>
      <c r="G1069" s="75" t="s">
        <v>222</v>
      </c>
      <c r="H1069" s="77" t="str">
        <f>VLOOKUP(DESPESAS[[#This Row],[Plano de Contas]],BASE!$B$3:$D$119,3,FALSE)</f>
        <v>Alimentação</v>
      </c>
      <c r="I1069" s="77" t="str">
        <f>IFERROR(VLOOKUP(DESPESAS[[#This Row],[Fornecedor]],Tabela2[],2,FALSE),"")</f>
        <v/>
      </c>
      <c r="J1069" s="77" t="str">
        <f>IFERROR(VLOOKUP(DESPESAS[[#This Row],[Plano de Contas]],BASE!$B$3:$F$119,4,FALSE),"")</f>
        <v>5 - DESPESAS ADMINISTRATIVAS</v>
      </c>
      <c r="K1069" s="77" t="str">
        <f>IFERROR(VLOOKUP(DESPESAS[[#This Row],[Plano de Contas]],BASE!$B$3:$H$119,5,FALSE),"")</f>
        <v>FINANCEIRO</v>
      </c>
      <c r="L1069" s="77">
        <f>IFERROR(VLOOKUP(DESPESAS[[#This Row],[Plano de Contas]],BASE!$B$3:$H$119,6,FALSE),"")</f>
        <v>0</v>
      </c>
      <c r="M1069" s="77" t="str">
        <f>VLOOKUP(DESPESAS[[#This Row],[Plano de Contas]],BASE!$B$3:$H$119,7,FALSE)</f>
        <v>MYLENA</v>
      </c>
    </row>
    <row r="1070" spans="1:13" x14ac:dyDescent="0.25">
      <c r="A1070" s="74">
        <v>197689</v>
      </c>
      <c r="B1070" s="75" t="s">
        <v>221</v>
      </c>
      <c r="C1070" s="75" t="s">
        <v>2495</v>
      </c>
      <c r="D1070" s="76">
        <v>46055</v>
      </c>
      <c r="E1070" s="75" t="s">
        <v>2494</v>
      </c>
      <c r="F1070" s="74">
        <v>15</v>
      </c>
      <c r="G1070" s="75" t="s">
        <v>222</v>
      </c>
      <c r="H1070" s="77" t="str">
        <f>VLOOKUP(DESPESAS[[#This Row],[Plano de Contas]],BASE!$B$3:$D$119,3,FALSE)</f>
        <v>Alimentação</v>
      </c>
      <c r="I1070" s="77" t="str">
        <f>IFERROR(VLOOKUP(DESPESAS[[#This Row],[Fornecedor]],Tabela2[],2,FALSE),"")</f>
        <v/>
      </c>
      <c r="J1070" s="77" t="str">
        <f>IFERROR(VLOOKUP(DESPESAS[[#This Row],[Plano de Contas]],BASE!$B$3:$F$119,4,FALSE),"")</f>
        <v>5 - DESPESAS ADMINISTRATIVAS</v>
      </c>
      <c r="K1070" s="77" t="str">
        <f>IFERROR(VLOOKUP(DESPESAS[[#This Row],[Plano de Contas]],BASE!$B$3:$H$119,5,FALSE),"")</f>
        <v>FINANCEIRO</v>
      </c>
      <c r="L1070" s="77">
        <f>IFERROR(VLOOKUP(DESPESAS[[#This Row],[Plano de Contas]],BASE!$B$3:$H$119,6,FALSE),"")</f>
        <v>0</v>
      </c>
      <c r="M1070" s="77" t="str">
        <f>VLOOKUP(DESPESAS[[#This Row],[Plano de Contas]],BASE!$B$3:$H$119,7,FALSE)</f>
        <v>MYLENA</v>
      </c>
    </row>
    <row r="1071" spans="1:13" x14ac:dyDescent="0.25">
      <c r="A1071" s="74">
        <v>197690</v>
      </c>
      <c r="B1071" s="75" t="s">
        <v>221</v>
      </c>
      <c r="C1071" s="75" t="s">
        <v>2493</v>
      </c>
      <c r="D1071" s="76">
        <v>46055</v>
      </c>
      <c r="E1071" s="75" t="s">
        <v>1089</v>
      </c>
      <c r="F1071" s="74">
        <v>88.77</v>
      </c>
      <c r="G1071" s="75" t="s">
        <v>420</v>
      </c>
      <c r="H1071" s="77" t="str">
        <f>VLOOKUP(DESPESAS[[#This Row],[Plano de Contas]],BASE!$B$3:$D$119,3,FALSE)</f>
        <v>Material de Expediente (Adm)</v>
      </c>
      <c r="I1071" s="77" t="str">
        <f>IFERROR(VLOOKUP(DESPESAS[[#This Row],[Fornecedor]],Tabela2[],2,FALSE),"")</f>
        <v/>
      </c>
      <c r="J1071" s="77" t="str">
        <f>IFERROR(VLOOKUP(DESPESAS[[#This Row],[Plano de Contas]],BASE!$B$3:$F$119,4,FALSE),"")</f>
        <v>5 - DESPESAS ADMINISTRATIVAS</v>
      </c>
      <c r="K1071" s="77" t="str">
        <f>IFERROR(VLOOKUP(DESPESAS[[#This Row],[Plano de Contas]],BASE!$B$3:$H$119,5,FALSE),"")</f>
        <v>ADMINISTRATIVO</v>
      </c>
      <c r="L1071" s="77">
        <f>IFERROR(VLOOKUP(DESPESAS[[#This Row],[Plano de Contas]],BASE!$B$3:$H$119,6,FALSE),"")</f>
        <v>0</v>
      </c>
      <c r="M1071" s="77" t="str">
        <f>VLOOKUP(DESPESAS[[#This Row],[Plano de Contas]],BASE!$B$3:$H$119,7,FALSE)</f>
        <v>LETÍCIA</v>
      </c>
    </row>
    <row r="1072" spans="1:13" x14ac:dyDescent="0.25">
      <c r="A1072" s="74">
        <v>197692</v>
      </c>
      <c r="B1072" s="75" t="s">
        <v>686</v>
      </c>
      <c r="C1072" s="75" t="s">
        <v>2492</v>
      </c>
      <c r="D1072" s="76">
        <v>46055</v>
      </c>
      <c r="E1072" s="75" t="s">
        <v>325</v>
      </c>
      <c r="F1072" s="74">
        <v>103.4</v>
      </c>
      <c r="G1072" s="75" t="s">
        <v>1318</v>
      </c>
      <c r="H1072" s="77" t="str">
        <f>VLOOKUP(DESPESAS[[#This Row],[Plano de Contas]],BASE!$B$3:$D$119,3,FALSE)</f>
        <v>Feiras e Eventos</v>
      </c>
      <c r="I1072" s="77" t="str">
        <f>IFERROR(VLOOKUP(DESPESAS[[#This Row],[Fornecedor]],Tabela2[],2,FALSE),"")</f>
        <v/>
      </c>
      <c r="J1072" s="77" t="str">
        <f>IFERROR(VLOOKUP(DESPESAS[[#This Row],[Plano de Contas]],BASE!$B$3:$F$119,4,FALSE),"")</f>
        <v>6 - DESPESA COM VENDAS</v>
      </c>
      <c r="K1072" s="77" t="str">
        <f>IFERROR(VLOOKUP(DESPESAS[[#This Row],[Plano de Contas]],BASE!$B$3:$H$119,5,FALSE),"")</f>
        <v>COMERCIAL</v>
      </c>
      <c r="L1072" s="77">
        <f>IFERROR(VLOOKUP(DESPESAS[[#This Row],[Plano de Contas]],BASE!$B$3:$H$119,6,FALSE),"")</f>
        <v>0</v>
      </c>
      <c r="M1072" s="77" t="str">
        <f>VLOOKUP(DESPESAS[[#This Row],[Plano de Contas]],BASE!$B$3:$H$119,7,FALSE)</f>
        <v>THAIS</v>
      </c>
    </row>
    <row r="1073" spans="1:13" x14ac:dyDescent="0.25">
      <c r="A1073" s="74">
        <v>197693</v>
      </c>
      <c r="B1073" s="75" t="s">
        <v>221</v>
      </c>
      <c r="C1073" s="75" t="s">
        <v>2491</v>
      </c>
      <c r="D1073" s="76">
        <v>46055</v>
      </c>
      <c r="E1073" s="75" t="s">
        <v>268</v>
      </c>
      <c r="F1073" s="74">
        <v>39</v>
      </c>
      <c r="G1073" s="75" t="s">
        <v>262</v>
      </c>
      <c r="H1073" s="77" t="str">
        <f>VLOOKUP(DESPESAS[[#This Row],[Plano de Contas]],BASE!$B$3:$D$119,3,FALSE)</f>
        <v>Fretes Karams</v>
      </c>
      <c r="I1073" s="77" t="str">
        <f>IFERROR(VLOOKUP(DESPESAS[[#This Row],[Fornecedor]],Tabela2[],2,FALSE),"")</f>
        <v/>
      </c>
      <c r="J1073" s="77" t="str">
        <f>IFERROR(VLOOKUP(DESPESAS[[#This Row],[Plano de Contas]],BASE!$B$3:$F$119,4,FALSE),"")</f>
        <v>6 - DESPESA COM VENDAS</v>
      </c>
      <c r="K1073" s="77" t="str">
        <f>IFERROR(VLOOKUP(DESPESAS[[#This Row],[Plano de Contas]],BASE!$B$3:$H$119,5,FALSE),"")</f>
        <v>LOGÍSTICA</v>
      </c>
      <c r="L1073" s="77">
        <f>IFERROR(VLOOKUP(DESPESAS[[#This Row],[Plano de Contas]],BASE!$B$3:$H$119,6,FALSE),"")</f>
        <v>0</v>
      </c>
      <c r="M1073" s="77" t="str">
        <f>VLOOKUP(DESPESAS[[#This Row],[Plano de Contas]],BASE!$B$3:$H$119,7,FALSE)</f>
        <v>MYLENA</v>
      </c>
    </row>
    <row r="1074" spans="1:13" x14ac:dyDescent="0.25">
      <c r="A1074" s="74">
        <v>197694</v>
      </c>
      <c r="B1074" s="75" t="s">
        <v>221</v>
      </c>
      <c r="C1074" s="75" t="s">
        <v>2490</v>
      </c>
      <c r="D1074" s="76">
        <v>46055</v>
      </c>
      <c r="E1074" s="75" t="s">
        <v>242</v>
      </c>
      <c r="F1074" s="74">
        <v>19.73</v>
      </c>
      <c r="G1074" s="75" t="s">
        <v>241</v>
      </c>
      <c r="H1074" s="77" t="str">
        <f>VLOOKUP(DESPESAS[[#This Row],[Plano de Contas]],BASE!$B$3:$D$119,3,FALSE)</f>
        <v>Combustiveis Frota</v>
      </c>
      <c r="I1074" s="77" t="str">
        <f>IFERROR(VLOOKUP(DESPESAS[[#This Row],[Fornecedor]],Tabela2[],2,FALSE),"")</f>
        <v/>
      </c>
      <c r="J1074" s="77" t="str">
        <f>IFERROR(VLOOKUP(DESPESAS[[#This Row],[Plano de Contas]],BASE!$B$3:$F$119,4,FALSE),"")</f>
        <v>6 - DESPESA COM VENDAS</v>
      </c>
      <c r="K1074" s="77" t="str">
        <f>IFERROR(VLOOKUP(DESPESAS[[#This Row],[Plano de Contas]],BASE!$B$3:$H$119,5,FALSE),"")</f>
        <v>LOGÍSTICA</v>
      </c>
      <c r="L1074" s="77">
        <f>IFERROR(VLOOKUP(DESPESAS[[#This Row],[Plano de Contas]],BASE!$B$3:$H$119,6,FALSE),"")</f>
        <v>0</v>
      </c>
      <c r="M1074" s="77" t="str">
        <f>VLOOKUP(DESPESAS[[#This Row],[Plano de Contas]],BASE!$B$3:$H$119,7,FALSE)</f>
        <v>MYLENA</v>
      </c>
    </row>
    <row r="1075" spans="1:13" x14ac:dyDescent="0.25">
      <c r="A1075" s="74">
        <v>197695</v>
      </c>
      <c r="B1075" s="75" t="s">
        <v>221</v>
      </c>
      <c r="C1075" s="75" t="s">
        <v>2489</v>
      </c>
      <c r="D1075" s="76">
        <v>46055</v>
      </c>
      <c r="E1075" s="75" t="s">
        <v>338</v>
      </c>
      <c r="F1075" s="74">
        <v>264</v>
      </c>
      <c r="G1075" s="75" t="s">
        <v>337</v>
      </c>
      <c r="H1075" s="77" t="str">
        <f>VLOOKUP(DESPESAS[[#This Row],[Plano de Contas]],BASE!$B$3:$D$119,3,FALSE)</f>
        <v>Vigilancia e Seguranca</v>
      </c>
      <c r="I1075" s="77" t="str">
        <f>IFERROR(VLOOKUP(DESPESAS[[#This Row],[Fornecedor]],Tabela2[],2,FALSE),"")</f>
        <v/>
      </c>
      <c r="J1075" s="77" t="str">
        <f>IFERROR(VLOOKUP(DESPESAS[[#This Row],[Plano de Contas]],BASE!$B$3:$F$119,4,FALSE),"")</f>
        <v>7 - SERVIÇOS DE TERCEIROS</v>
      </c>
      <c r="K1075" s="77" t="str">
        <f>IFERROR(VLOOKUP(DESPESAS[[#This Row],[Plano de Contas]],BASE!$B$3:$H$119,5,FALSE),"")</f>
        <v>FINANCEIRO</v>
      </c>
      <c r="L1075" s="77">
        <f>IFERROR(VLOOKUP(DESPESAS[[#This Row],[Plano de Contas]],BASE!$B$3:$H$119,6,FALSE),"")</f>
        <v>0</v>
      </c>
      <c r="M1075" s="77" t="str">
        <f>VLOOKUP(DESPESAS[[#This Row],[Plano de Contas]],BASE!$B$3:$H$119,7,FALSE)</f>
        <v>LETÍCIA</v>
      </c>
    </row>
    <row r="1076" spans="1:13" x14ac:dyDescent="0.25">
      <c r="A1076" s="74">
        <v>197696</v>
      </c>
      <c r="B1076" s="75" t="s">
        <v>221</v>
      </c>
      <c r="C1076" s="75" t="s">
        <v>2488</v>
      </c>
      <c r="D1076" s="76">
        <v>46055</v>
      </c>
      <c r="E1076" s="75" t="s">
        <v>242</v>
      </c>
      <c r="F1076" s="74">
        <v>779.47</v>
      </c>
      <c r="G1076" s="75" t="s">
        <v>241</v>
      </c>
      <c r="H1076" s="77" t="str">
        <f>VLOOKUP(DESPESAS[[#This Row],[Plano de Contas]],BASE!$B$3:$D$119,3,FALSE)</f>
        <v>Combustiveis Frota</v>
      </c>
      <c r="I1076" s="77" t="str">
        <f>IFERROR(VLOOKUP(DESPESAS[[#This Row],[Fornecedor]],Tabela2[],2,FALSE),"")</f>
        <v/>
      </c>
      <c r="J1076" s="77" t="str">
        <f>IFERROR(VLOOKUP(DESPESAS[[#This Row],[Plano de Contas]],BASE!$B$3:$F$119,4,FALSE),"")</f>
        <v>6 - DESPESA COM VENDAS</v>
      </c>
      <c r="K1076" s="77" t="str">
        <f>IFERROR(VLOOKUP(DESPESAS[[#This Row],[Plano de Contas]],BASE!$B$3:$H$119,5,FALSE),"")</f>
        <v>LOGÍSTICA</v>
      </c>
      <c r="L1076" s="77">
        <f>IFERROR(VLOOKUP(DESPESAS[[#This Row],[Plano de Contas]],BASE!$B$3:$H$119,6,FALSE),"")</f>
        <v>0</v>
      </c>
      <c r="M1076" s="77" t="str">
        <f>VLOOKUP(DESPESAS[[#This Row],[Plano de Contas]],BASE!$B$3:$H$119,7,FALSE)</f>
        <v>MYLENA</v>
      </c>
    </row>
    <row r="1077" spans="1:13" x14ac:dyDescent="0.25">
      <c r="A1077" s="74">
        <v>197697</v>
      </c>
      <c r="B1077" s="75" t="s">
        <v>221</v>
      </c>
      <c r="C1077" s="75" t="s">
        <v>2487</v>
      </c>
      <c r="D1077" s="76">
        <v>46049</v>
      </c>
      <c r="E1077" s="75" t="s">
        <v>481</v>
      </c>
      <c r="F1077" s="74">
        <v>50</v>
      </c>
      <c r="G1077" s="75" t="s">
        <v>1318</v>
      </c>
      <c r="H1077" s="77" t="str">
        <f>VLOOKUP(DESPESAS[[#This Row],[Plano de Contas]],BASE!$B$3:$D$119,3,FALSE)</f>
        <v>Feiras e Eventos</v>
      </c>
      <c r="I1077" s="77" t="str">
        <f>IFERROR(VLOOKUP(DESPESAS[[#This Row],[Fornecedor]],Tabela2[],2,FALSE),"")</f>
        <v/>
      </c>
      <c r="J1077" s="77" t="str">
        <f>IFERROR(VLOOKUP(DESPESAS[[#This Row],[Plano de Contas]],BASE!$B$3:$F$119,4,FALSE),"")</f>
        <v>6 - DESPESA COM VENDAS</v>
      </c>
      <c r="K1077" s="77" t="str">
        <f>IFERROR(VLOOKUP(DESPESAS[[#This Row],[Plano de Contas]],BASE!$B$3:$H$119,5,FALSE),"")</f>
        <v>COMERCIAL</v>
      </c>
      <c r="L1077" s="77">
        <f>IFERROR(VLOOKUP(DESPESAS[[#This Row],[Plano de Contas]],BASE!$B$3:$H$119,6,FALSE),"")</f>
        <v>0</v>
      </c>
      <c r="M1077" s="77" t="str">
        <f>VLOOKUP(DESPESAS[[#This Row],[Plano de Contas]],BASE!$B$3:$H$119,7,FALSE)</f>
        <v>THAIS</v>
      </c>
    </row>
    <row r="1078" spans="1:13" x14ac:dyDescent="0.25">
      <c r="A1078" s="74">
        <v>197698</v>
      </c>
      <c r="B1078" s="75" t="s">
        <v>221</v>
      </c>
      <c r="C1078" s="75" t="s">
        <v>2486</v>
      </c>
      <c r="D1078" s="76">
        <v>46052</v>
      </c>
      <c r="E1078" s="75" t="s">
        <v>307</v>
      </c>
      <c r="F1078" s="74">
        <v>80</v>
      </c>
      <c r="G1078" s="75" t="s">
        <v>244</v>
      </c>
      <c r="H1078" s="77" t="str">
        <f>VLOOKUP(DESPESAS[[#This Row],[Plano de Contas]],BASE!$B$3:$D$119,3,FALSE)</f>
        <v>Material de Expediente (Prod)</v>
      </c>
      <c r="I1078" s="77" t="str">
        <f>IFERROR(VLOOKUP(DESPESAS[[#This Row],[Fornecedor]],Tabela2[],2,FALSE),"")</f>
        <v>FERRAGENS GERAIS</v>
      </c>
      <c r="J1078" s="77" t="str">
        <f>IFERROR(VLOOKUP(DESPESAS[[#This Row],[Plano de Contas]],BASE!$B$3:$F$119,4,FALSE),"")</f>
        <v>2 - CUSTOS DIRETOS</v>
      </c>
      <c r="K1078" s="77" t="str">
        <f>IFERROR(VLOOKUP(DESPESAS[[#This Row],[Plano de Contas]],BASE!$B$3:$H$119,5,FALSE),"")</f>
        <v>PRODUÇÃO</v>
      </c>
      <c r="L1078" s="77">
        <f>IFERROR(VLOOKUP(DESPESAS[[#This Row],[Plano de Contas]],BASE!$B$3:$H$119,6,FALSE),"")</f>
        <v>0</v>
      </c>
      <c r="M1078" s="77" t="str">
        <f>VLOOKUP(DESPESAS[[#This Row],[Plano de Contas]],BASE!$B$3:$H$119,7,FALSE)</f>
        <v>RAFAEL</v>
      </c>
    </row>
    <row r="1079" spans="1:13" x14ac:dyDescent="0.25">
      <c r="A1079" s="74">
        <v>197699</v>
      </c>
      <c r="B1079" s="75" t="s">
        <v>232</v>
      </c>
      <c r="C1079" s="75" t="s">
        <v>2485</v>
      </c>
      <c r="D1079" s="76">
        <v>46055</v>
      </c>
      <c r="E1079" s="75" t="s">
        <v>1881</v>
      </c>
      <c r="F1079" s="74">
        <v>2816.5</v>
      </c>
      <c r="G1079" s="75" t="s">
        <v>244</v>
      </c>
      <c r="H1079" s="77" t="str">
        <f>VLOOKUP(DESPESAS[[#This Row],[Plano de Contas]],BASE!$B$3:$D$119,3,FALSE)</f>
        <v>Material de Expediente (Prod)</v>
      </c>
      <c r="I1079" s="77" t="str">
        <f>IFERROR(VLOOKUP(DESPESAS[[#This Row],[Fornecedor]],Tabela2[],2,FALSE),"")</f>
        <v/>
      </c>
      <c r="J1079" s="77" t="str">
        <f>IFERROR(VLOOKUP(DESPESAS[[#This Row],[Plano de Contas]],BASE!$B$3:$F$119,4,FALSE),"")</f>
        <v>2 - CUSTOS DIRETOS</v>
      </c>
      <c r="K1079" s="77" t="str">
        <f>IFERROR(VLOOKUP(DESPESAS[[#This Row],[Plano de Contas]],BASE!$B$3:$H$119,5,FALSE),"")</f>
        <v>PRODUÇÃO</v>
      </c>
      <c r="L1079" s="77">
        <f>IFERROR(VLOOKUP(DESPESAS[[#This Row],[Plano de Contas]],BASE!$B$3:$H$119,6,FALSE),"")</f>
        <v>0</v>
      </c>
      <c r="M1079" s="77" t="str">
        <f>VLOOKUP(DESPESAS[[#This Row],[Plano de Contas]],BASE!$B$3:$H$119,7,FALSE)</f>
        <v>RAFAEL</v>
      </c>
    </row>
    <row r="1080" spans="1:13" x14ac:dyDescent="0.25">
      <c r="A1080" s="74">
        <v>197702</v>
      </c>
      <c r="B1080" s="75" t="s">
        <v>221</v>
      </c>
      <c r="C1080" s="75" t="s">
        <v>2484</v>
      </c>
      <c r="D1080" s="76">
        <v>46055</v>
      </c>
      <c r="E1080" s="75" t="s">
        <v>413</v>
      </c>
      <c r="F1080" s="74">
        <v>1330</v>
      </c>
      <c r="G1080" s="75" t="s">
        <v>262</v>
      </c>
      <c r="H1080" s="77" t="str">
        <f>VLOOKUP(DESPESAS[[#This Row],[Plano de Contas]],BASE!$B$3:$D$119,3,FALSE)</f>
        <v>Fretes Karams</v>
      </c>
      <c r="I1080" s="77" t="str">
        <f>IFERROR(VLOOKUP(DESPESAS[[#This Row],[Fornecedor]],Tabela2[],2,FALSE),"")</f>
        <v/>
      </c>
      <c r="J1080" s="77" t="str">
        <f>IFERROR(VLOOKUP(DESPESAS[[#This Row],[Plano de Contas]],BASE!$B$3:$F$119,4,FALSE),"")</f>
        <v>6 - DESPESA COM VENDAS</v>
      </c>
      <c r="K1080" s="77" t="str">
        <f>IFERROR(VLOOKUP(DESPESAS[[#This Row],[Plano de Contas]],BASE!$B$3:$H$119,5,FALSE),"")</f>
        <v>LOGÍSTICA</v>
      </c>
      <c r="L1080" s="77">
        <f>IFERROR(VLOOKUP(DESPESAS[[#This Row],[Plano de Contas]],BASE!$B$3:$H$119,6,FALSE),"")</f>
        <v>0</v>
      </c>
      <c r="M1080" s="77" t="str">
        <f>VLOOKUP(DESPESAS[[#This Row],[Plano de Contas]],BASE!$B$3:$H$119,7,FALSE)</f>
        <v>MYLENA</v>
      </c>
    </row>
    <row r="1081" spans="1:13" x14ac:dyDescent="0.25">
      <c r="A1081" s="74">
        <v>197703</v>
      </c>
      <c r="B1081" s="75" t="s">
        <v>221</v>
      </c>
      <c r="C1081" s="75" t="s">
        <v>2483</v>
      </c>
      <c r="D1081" s="76">
        <v>46055</v>
      </c>
      <c r="E1081" s="75" t="s">
        <v>242</v>
      </c>
      <c r="F1081" s="74">
        <v>2717.37</v>
      </c>
      <c r="G1081" s="75" t="s">
        <v>241</v>
      </c>
      <c r="H1081" s="77" t="str">
        <f>VLOOKUP(DESPESAS[[#This Row],[Plano de Contas]],BASE!$B$3:$D$119,3,FALSE)</f>
        <v>Combustiveis Frota</v>
      </c>
      <c r="I1081" s="77" t="str">
        <f>IFERROR(VLOOKUP(DESPESAS[[#This Row],[Fornecedor]],Tabela2[],2,FALSE),"")</f>
        <v/>
      </c>
      <c r="J1081" s="77" t="str">
        <f>IFERROR(VLOOKUP(DESPESAS[[#This Row],[Plano de Contas]],BASE!$B$3:$F$119,4,FALSE),"")</f>
        <v>6 - DESPESA COM VENDAS</v>
      </c>
      <c r="K1081" s="77" t="str">
        <f>IFERROR(VLOOKUP(DESPESAS[[#This Row],[Plano de Contas]],BASE!$B$3:$H$119,5,FALSE),"")</f>
        <v>LOGÍSTICA</v>
      </c>
      <c r="L1081" s="77">
        <f>IFERROR(VLOOKUP(DESPESAS[[#This Row],[Plano de Contas]],BASE!$B$3:$H$119,6,FALSE),"")</f>
        <v>0</v>
      </c>
      <c r="M1081" s="77" t="str">
        <f>VLOOKUP(DESPESAS[[#This Row],[Plano de Contas]],BASE!$B$3:$H$119,7,FALSE)</f>
        <v>MYLENA</v>
      </c>
    </row>
    <row r="1082" spans="1:13" x14ac:dyDescent="0.25">
      <c r="A1082" s="74">
        <v>197705</v>
      </c>
      <c r="B1082" s="75" t="s">
        <v>232</v>
      </c>
      <c r="C1082" s="75" t="s">
        <v>2482</v>
      </c>
      <c r="D1082" s="76">
        <v>46053</v>
      </c>
      <c r="E1082" s="75" t="s">
        <v>2266</v>
      </c>
      <c r="F1082" s="74">
        <v>314.5</v>
      </c>
      <c r="G1082" s="75" t="s">
        <v>241</v>
      </c>
      <c r="H1082" s="77" t="str">
        <f>VLOOKUP(DESPESAS[[#This Row],[Plano de Contas]],BASE!$B$3:$D$119,3,FALSE)</f>
        <v>Combustiveis Frota</v>
      </c>
      <c r="I1082" s="77" t="str">
        <f>IFERROR(VLOOKUP(DESPESAS[[#This Row],[Fornecedor]],Tabela2[],2,FALSE),"")</f>
        <v/>
      </c>
      <c r="J1082" s="77" t="str">
        <f>IFERROR(VLOOKUP(DESPESAS[[#This Row],[Plano de Contas]],BASE!$B$3:$F$119,4,FALSE),"")</f>
        <v>6 - DESPESA COM VENDAS</v>
      </c>
      <c r="K1082" s="77" t="str">
        <f>IFERROR(VLOOKUP(DESPESAS[[#This Row],[Plano de Contas]],BASE!$B$3:$H$119,5,FALSE),"")</f>
        <v>LOGÍSTICA</v>
      </c>
      <c r="L1082" s="77">
        <f>IFERROR(VLOOKUP(DESPESAS[[#This Row],[Plano de Contas]],BASE!$B$3:$H$119,6,FALSE),"")</f>
        <v>0</v>
      </c>
      <c r="M1082" s="77" t="str">
        <f>VLOOKUP(DESPESAS[[#This Row],[Plano de Contas]],BASE!$B$3:$H$119,7,FALSE)</f>
        <v>MYLENA</v>
      </c>
    </row>
    <row r="1083" spans="1:13" x14ac:dyDescent="0.25">
      <c r="A1083" s="74">
        <v>197707</v>
      </c>
      <c r="B1083" s="75" t="s">
        <v>232</v>
      </c>
      <c r="C1083" s="75" t="s">
        <v>2481</v>
      </c>
      <c r="D1083" s="76">
        <v>46053</v>
      </c>
      <c r="E1083" s="75" t="s">
        <v>2266</v>
      </c>
      <c r="F1083" s="74">
        <v>97.74</v>
      </c>
      <c r="G1083" s="75" t="s">
        <v>241</v>
      </c>
      <c r="H1083" s="77" t="str">
        <f>VLOOKUP(DESPESAS[[#This Row],[Plano de Contas]],BASE!$B$3:$D$119,3,FALSE)</f>
        <v>Combustiveis Frota</v>
      </c>
      <c r="I1083" s="77" t="str">
        <f>IFERROR(VLOOKUP(DESPESAS[[#This Row],[Fornecedor]],Tabela2[],2,FALSE),"")</f>
        <v/>
      </c>
      <c r="J1083" s="77" t="str">
        <f>IFERROR(VLOOKUP(DESPESAS[[#This Row],[Plano de Contas]],BASE!$B$3:$F$119,4,FALSE),"")</f>
        <v>6 - DESPESA COM VENDAS</v>
      </c>
      <c r="K1083" s="77" t="str">
        <f>IFERROR(VLOOKUP(DESPESAS[[#This Row],[Plano de Contas]],BASE!$B$3:$H$119,5,FALSE),"")</f>
        <v>LOGÍSTICA</v>
      </c>
      <c r="L1083" s="77">
        <f>IFERROR(VLOOKUP(DESPESAS[[#This Row],[Plano de Contas]],BASE!$B$3:$H$119,6,FALSE),"")</f>
        <v>0</v>
      </c>
      <c r="M1083" s="77" t="str">
        <f>VLOOKUP(DESPESAS[[#This Row],[Plano de Contas]],BASE!$B$3:$H$119,7,FALSE)</f>
        <v>MYLENA</v>
      </c>
    </row>
    <row r="1084" spans="1:13" x14ac:dyDescent="0.25">
      <c r="A1084" s="74">
        <v>197708</v>
      </c>
      <c r="B1084" s="75" t="s">
        <v>232</v>
      </c>
      <c r="C1084" s="75" t="s">
        <v>2480</v>
      </c>
      <c r="D1084" s="76">
        <v>46053</v>
      </c>
      <c r="E1084" s="75" t="s">
        <v>734</v>
      </c>
      <c r="F1084" s="74">
        <v>294.5</v>
      </c>
      <c r="G1084" s="75" t="s">
        <v>1318</v>
      </c>
      <c r="H1084" s="77" t="str">
        <f>VLOOKUP(DESPESAS[[#This Row],[Plano de Contas]],BASE!$B$3:$D$119,3,FALSE)</f>
        <v>Feiras e Eventos</v>
      </c>
      <c r="I1084" s="77" t="str">
        <f>IFERROR(VLOOKUP(DESPESAS[[#This Row],[Fornecedor]],Tabela2[],2,FALSE),"")</f>
        <v/>
      </c>
      <c r="J1084" s="77" t="str">
        <f>IFERROR(VLOOKUP(DESPESAS[[#This Row],[Plano de Contas]],BASE!$B$3:$F$119,4,FALSE),"")</f>
        <v>6 - DESPESA COM VENDAS</v>
      </c>
      <c r="K1084" s="77" t="str">
        <f>IFERROR(VLOOKUP(DESPESAS[[#This Row],[Plano de Contas]],BASE!$B$3:$H$119,5,FALSE),"")</f>
        <v>COMERCIAL</v>
      </c>
      <c r="L1084" s="77">
        <f>IFERROR(VLOOKUP(DESPESAS[[#This Row],[Plano de Contas]],BASE!$B$3:$H$119,6,FALSE),"")</f>
        <v>0</v>
      </c>
      <c r="M1084" s="77" t="str">
        <f>VLOOKUP(DESPESAS[[#This Row],[Plano de Contas]],BASE!$B$3:$H$119,7,FALSE)</f>
        <v>THAIS</v>
      </c>
    </row>
    <row r="1085" spans="1:13" x14ac:dyDescent="0.25">
      <c r="A1085" s="74">
        <v>197709</v>
      </c>
      <c r="B1085" s="75" t="s">
        <v>232</v>
      </c>
      <c r="C1085" s="75" t="s">
        <v>2479</v>
      </c>
      <c r="D1085" s="76">
        <v>46050</v>
      </c>
      <c r="E1085" s="75" t="s">
        <v>1234</v>
      </c>
      <c r="F1085" s="74">
        <v>1472.5</v>
      </c>
      <c r="G1085" s="75" t="s">
        <v>241</v>
      </c>
      <c r="H1085" s="77" t="str">
        <f>VLOOKUP(DESPESAS[[#This Row],[Plano de Contas]],BASE!$B$3:$D$119,3,FALSE)</f>
        <v>Combustiveis Frota</v>
      </c>
      <c r="I1085" s="77" t="str">
        <f>IFERROR(VLOOKUP(DESPESAS[[#This Row],[Fornecedor]],Tabela2[],2,FALSE),"")</f>
        <v/>
      </c>
      <c r="J1085" s="77" t="str">
        <f>IFERROR(VLOOKUP(DESPESAS[[#This Row],[Plano de Contas]],BASE!$B$3:$F$119,4,FALSE),"")</f>
        <v>6 - DESPESA COM VENDAS</v>
      </c>
      <c r="K1085" s="77" t="str">
        <f>IFERROR(VLOOKUP(DESPESAS[[#This Row],[Plano de Contas]],BASE!$B$3:$H$119,5,FALSE),"")</f>
        <v>LOGÍSTICA</v>
      </c>
      <c r="L1085" s="77">
        <f>IFERROR(VLOOKUP(DESPESAS[[#This Row],[Plano de Contas]],BASE!$B$3:$H$119,6,FALSE),"")</f>
        <v>0</v>
      </c>
      <c r="M1085" s="77" t="str">
        <f>VLOOKUP(DESPESAS[[#This Row],[Plano de Contas]],BASE!$B$3:$H$119,7,FALSE)</f>
        <v>MYLENA</v>
      </c>
    </row>
    <row r="1086" spans="1:13" x14ac:dyDescent="0.25">
      <c r="A1086" s="74">
        <v>197710</v>
      </c>
      <c r="B1086" s="75" t="s">
        <v>221</v>
      </c>
      <c r="C1086" s="75" t="s">
        <v>2478</v>
      </c>
      <c r="D1086" s="76">
        <v>46055</v>
      </c>
      <c r="E1086" s="75" t="s">
        <v>910</v>
      </c>
      <c r="F1086" s="74">
        <v>1000</v>
      </c>
      <c r="G1086" s="75" t="s">
        <v>1037</v>
      </c>
      <c r="H1086" s="77" t="str">
        <f>VLOOKUP(DESPESAS[[#This Row],[Plano de Contas]],BASE!$B$3:$D$119,3,FALSE)</f>
        <v>Construções e Reformas</v>
      </c>
      <c r="I1086" s="77" t="str">
        <f>IFERROR(VLOOKUP(DESPESAS[[#This Row],[Fornecedor]],Tabela2[],2,FALSE),"")</f>
        <v/>
      </c>
      <c r="J1086" s="77" t="str">
        <f>IFERROR(VLOOKUP(DESPESAS[[#This Row],[Plano de Contas]],BASE!$B$3:$F$119,4,FALSE),"")</f>
        <v>9 - INVESTIMENTOS</v>
      </c>
      <c r="K1086" s="77" t="str">
        <f>IFERROR(VLOOKUP(DESPESAS[[#This Row],[Plano de Contas]],BASE!$B$3:$H$119,5,FALSE),"")</f>
        <v>MANUTENÇÃO / TI</v>
      </c>
      <c r="L1086" s="77">
        <f>IFERROR(VLOOKUP(DESPESAS[[#This Row],[Plano de Contas]],BASE!$B$3:$H$119,6,FALSE),"")</f>
        <v>0</v>
      </c>
      <c r="M1086" s="77" t="str">
        <f>VLOOKUP(DESPESAS[[#This Row],[Plano de Contas]],BASE!$B$3:$H$119,7,FALSE)</f>
        <v>FÁBIO</v>
      </c>
    </row>
    <row r="1087" spans="1:13" x14ac:dyDescent="0.25">
      <c r="A1087" s="74">
        <v>197713</v>
      </c>
      <c r="B1087" s="75" t="s">
        <v>221</v>
      </c>
      <c r="C1087" s="75" t="s">
        <v>2477</v>
      </c>
      <c r="D1087" s="76">
        <v>46043</v>
      </c>
      <c r="E1087" s="75" t="s">
        <v>242</v>
      </c>
      <c r="F1087" s="74">
        <v>93.82</v>
      </c>
      <c r="G1087" s="75" t="s">
        <v>1318</v>
      </c>
      <c r="H1087" s="77" t="str">
        <f>VLOOKUP(DESPESAS[[#This Row],[Plano de Contas]],BASE!$B$3:$D$119,3,FALSE)</f>
        <v>Feiras e Eventos</v>
      </c>
      <c r="I1087" s="77" t="str">
        <f>IFERROR(VLOOKUP(DESPESAS[[#This Row],[Fornecedor]],Tabela2[],2,FALSE),"")</f>
        <v/>
      </c>
      <c r="J1087" s="77" t="str">
        <f>IFERROR(VLOOKUP(DESPESAS[[#This Row],[Plano de Contas]],BASE!$B$3:$F$119,4,FALSE),"")</f>
        <v>6 - DESPESA COM VENDAS</v>
      </c>
      <c r="K1087" s="77" t="str">
        <f>IFERROR(VLOOKUP(DESPESAS[[#This Row],[Plano de Contas]],BASE!$B$3:$H$119,5,FALSE),"")</f>
        <v>COMERCIAL</v>
      </c>
      <c r="L1087" s="77">
        <f>IFERROR(VLOOKUP(DESPESAS[[#This Row],[Plano de Contas]],BASE!$B$3:$H$119,6,FALSE),"")</f>
        <v>0</v>
      </c>
      <c r="M1087" s="77" t="str">
        <f>VLOOKUP(DESPESAS[[#This Row],[Plano de Contas]],BASE!$B$3:$H$119,7,FALSE)</f>
        <v>THAIS</v>
      </c>
    </row>
    <row r="1088" spans="1:13" x14ac:dyDescent="0.25">
      <c r="A1088" s="74">
        <v>197714</v>
      </c>
      <c r="B1088" s="75" t="s">
        <v>221</v>
      </c>
      <c r="C1088" s="75" t="s">
        <v>2476</v>
      </c>
      <c r="D1088" s="76">
        <v>46055</v>
      </c>
      <c r="E1088" s="75" t="s">
        <v>245</v>
      </c>
      <c r="F1088" s="74">
        <v>24</v>
      </c>
      <c r="G1088" s="75" t="s">
        <v>218</v>
      </c>
      <c r="H1088" s="77" t="str">
        <f>VLOOKUP(DESPESAS[[#This Row],[Plano de Contas]],BASE!$B$3:$D$119,3,FALSE)</f>
        <v>Manutenção de Equipamentos (Prod)</v>
      </c>
      <c r="I1088" s="77" t="str">
        <f>IFERROR(VLOOKUP(DESPESAS[[#This Row],[Fornecedor]],Tabela2[],2,FALSE),"")</f>
        <v>FERRAGENS GERAIS</v>
      </c>
      <c r="J1088" s="77" t="str">
        <f>IFERROR(VLOOKUP(DESPESAS[[#This Row],[Plano de Contas]],BASE!$B$3:$F$119,4,FALSE),"")</f>
        <v>3 - CUSTOS INDIRETOS</v>
      </c>
      <c r="K1088" s="77" t="str">
        <f>IFERROR(VLOOKUP(DESPESAS[[#This Row],[Plano de Contas]],BASE!$B$3:$H$119,5,FALSE),"")</f>
        <v>MANUTENÇÃO / TI</v>
      </c>
      <c r="L1088" s="77">
        <f>IFERROR(VLOOKUP(DESPESAS[[#This Row],[Plano de Contas]],BASE!$B$3:$H$119,6,FALSE),"")</f>
        <v>0</v>
      </c>
      <c r="M1088" s="77" t="str">
        <f>VLOOKUP(DESPESAS[[#This Row],[Plano de Contas]],BASE!$B$3:$H$119,7,FALSE)</f>
        <v>RAFAEL</v>
      </c>
    </row>
    <row r="1089" spans="1:13" x14ac:dyDescent="0.25">
      <c r="A1089" s="74">
        <v>197716</v>
      </c>
      <c r="B1089" s="75" t="s">
        <v>221</v>
      </c>
      <c r="C1089" s="75" t="s">
        <v>2474</v>
      </c>
      <c r="D1089" s="76">
        <v>46055</v>
      </c>
      <c r="E1089" s="75" t="s">
        <v>442</v>
      </c>
      <c r="F1089" s="74">
        <v>1490</v>
      </c>
      <c r="G1089" s="75" t="s">
        <v>262</v>
      </c>
      <c r="H1089" s="77" t="str">
        <f>VLOOKUP(DESPESAS[[#This Row],[Plano de Contas]],BASE!$B$3:$D$119,3,FALSE)</f>
        <v>Fretes Karams</v>
      </c>
      <c r="I1089" s="77" t="str">
        <f>IFERROR(VLOOKUP(DESPESAS[[#This Row],[Fornecedor]],Tabela2[],2,FALSE),"")</f>
        <v/>
      </c>
      <c r="J1089" s="77" t="str">
        <f>IFERROR(VLOOKUP(DESPESAS[[#This Row],[Plano de Contas]],BASE!$B$3:$F$119,4,FALSE),"")</f>
        <v>6 - DESPESA COM VENDAS</v>
      </c>
      <c r="K1089" s="77" t="str">
        <f>IFERROR(VLOOKUP(DESPESAS[[#This Row],[Plano de Contas]],BASE!$B$3:$H$119,5,FALSE),"")</f>
        <v>LOGÍSTICA</v>
      </c>
      <c r="L1089" s="77">
        <f>IFERROR(VLOOKUP(DESPESAS[[#This Row],[Plano de Contas]],BASE!$B$3:$H$119,6,FALSE),"")</f>
        <v>0</v>
      </c>
      <c r="M1089" s="77" t="str">
        <f>VLOOKUP(DESPESAS[[#This Row],[Plano de Contas]],BASE!$B$3:$H$119,7,FALSE)</f>
        <v>MYLENA</v>
      </c>
    </row>
    <row r="1090" spans="1:13" x14ac:dyDescent="0.25">
      <c r="A1090" s="74">
        <v>197717</v>
      </c>
      <c r="B1090" s="75" t="s">
        <v>221</v>
      </c>
      <c r="C1090" s="75" t="s">
        <v>2475</v>
      </c>
      <c r="D1090" s="76">
        <v>46055</v>
      </c>
      <c r="E1090" s="75" t="s">
        <v>380</v>
      </c>
      <c r="F1090" s="74">
        <v>50</v>
      </c>
      <c r="G1090" s="75" t="s">
        <v>693</v>
      </c>
      <c r="H1090" s="77" t="str">
        <f>VLOOKUP(DESPESAS[[#This Row],[Plano de Contas]],BASE!$B$3:$D$119,3,FALSE)</f>
        <v>Computadores e Periféricos</v>
      </c>
      <c r="I1090" s="77" t="str">
        <f>IFERROR(VLOOKUP(DESPESAS[[#This Row],[Fornecedor]],Tabela2[],2,FALSE),"")</f>
        <v>COMPONENTES T.I</v>
      </c>
      <c r="J1090" s="77" t="str">
        <f>IFERROR(VLOOKUP(DESPESAS[[#This Row],[Plano de Contas]],BASE!$B$3:$F$119,4,FALSE),"")</f>
        <v>9 - INVESTIMENTOS</v>
      </c>
      <c r="K1090" s="77" t="str">
        <f>IFERROR(VLOOKUP(DESPESAS[[#This Row],[Plano de Contas]],BASE!$B$3:$H$119,5,FALSE),"")</f>
        <v>MANUTENÇÃO / TI</v>
      </c>
      <c r="L1090" s="77">
        <f>IFERROR(VLOOKUP(DESPESAS[[#This Row],[Plano de Contas]],BASE!$B$3:$H$119,6,FALSE),"")</f>
        <v>0</v>
      </c>
      <c r="M1090" s="77" t="str">
        <f>VLOOKUP(DESPESAS[[#This Row],[Plano de Contas]],BASE!$B$3:$H$119,7,FALSE)</f>
        <v>RAFAEL</v>
      </c>
    </row>
    <row r="1091" spans="1:13" x14ac:dyDescent="0.25">
      <c r="A1091" s="74">
        <v>197718</v>
      </c>
      <c r="B1091" s="75" t="s">
        <v>221</v>
      </c>
      <c r="C1091" s="75" t="s">
        <v>2474</v>
      </c>
      <c r="D1091" s="76">
        <v>46055</v>
      </c>
      <c r="E1091" s="75" t="s">
        <v>442</v>
      </c>
      <c r="F1091" s="74">
        <v>1385</v>
      </c>
      <c r="G1091" s="75" t="s">
        <v>1318</v>
      </c>
      <c r="H1091" s="77" t="str">
        <f>VLOOKUP(DESPESAS[[#This Row],[Plano de Contas]],BASE!$B$3:$D$119,3,FALSE)</f>
        <v>Feiras e Eventos</v>
      </c>
      <c r="I1091" s="77" t="str">
        <f>IFERROR(VLOOKUP(DESPESAS[[#This Row],[Fornecedor]],Tabela2[],2,FALSE),"")</f>
        <v/>
      </c>
      <c r="J1091" s="77" t="str">
        <f>IFERROR(VLOOKUP(DESPESAS[[#This Row],[Plano de Contas]],BASE!$B$3:$F$119,4,FALSE),"")</f>
        <v>6 - DESPESA COM VENDAS</v>
      </c>
      <c r="K1091" s="77" t="str">
        <f>IFERROR(VLOOKUP(DESPESAS[[#This Row],[Plano de Contas]],BASE!$B$3:$H$119,5,FALSE),"")</f>
        <v>COMERCIAL</v>
      </c>
      <c r="L1091" s="77">
        <f>IFERROR(VLOOKUP(DESPESAS[[#This Row],[Plano de Contas]],BASE!$B$3:$H$119,6,FALSE),"")</f>
        <v>0</v>
      </c>
      <c r="M1091" s="77" t="str">
        <f>VLOOKUP(DESPESAS[[#This Row],[Plano de Contas]],BASE!$B$3:$H$119,7,FALSE)</f>
        <v>THAIS</v>
      </c>
    </row>
    <row r="1092" spans="1:13" x14ac:dyDescent="0.25">
      <c r="A1092" s="74">
        <v>197719</v>
      </c>
      <c r="B1092" s="75" t="s">
        <v>232</v>
      </c>
      <c r="C1092" s="75" t="s">
        <v>2473</v>
      </c>
      <c r="D1092" s="76">
        <v>46055</v>
      </c>
      <c r="E1092" s="75" t="s">
        <v>1372</v>
      </c>
      <c r="F1092" s="74">
        <v>560</v>
      </c>
      <c r="G1092" s="75" t="s">
        <v>247</v>
      </c>
      <c r="H1092" s="77" t="str">
        <f>VLOOKUP(DESPESAS[[#This Row],[Plano de Contas]],BASE!$B$3:$D$119,3,FALSE)</f>
        <v>Manutenção com veiculos</v>
      </c>
      <c r="I1092" s="77" t="str">
        <f>IFERROR(VLOOKUP(DESPESAS[[#This Row],[Fornecedor]],Tabela2[],2,FALSE),"")</f>
        <v/>
      </c>
      <c r="J1092" s="77" t="str">
        <f>IFERROR(VLOOKUP(DESPESAS[[#This Row],[Plano de Contas]],BASE!$B$3:$F$119,4,FALSE),"")</f>
        <v>6 - DESPESA COM VENDAS</v>
      </c>
      <c r="K1092" s="77" t="str">
        <f>IFERROR(VLOOKUP(DESPESAS[[#This Row],[Plano de Contas]],BASE!$B$3:$H$119,5,FALSE),"")</f>
        <v>LOGÍSTICA</v>
      </c>
      <c r="L1092" s="77">
        <f>IFERROR(VLOOKUP(DESPESAS[[#This Row],[Plano de Contas]],BASE!$B$3:$H$119,6,FALSE),"")</f>
        <v>0</v>
      </c>
      <c r="M1092" s="77" t="str">
        <f>VLOOKUP(DESPESAS[[#This Row],[Plano de Contas]],BASE!$B$3:$H$119,7,FALSE)</f>
        <v>MYLENA</v>
      </c>
    </row>
    <row r="1093" spans="1:13" x14ac:dyDescent="0.25">
      <c r="A1093" s="74">
        <v>197721</v>
      </c>
      <c r="B1093" s="75" t="s">
        <v>221</v>
      </c>
      <c r="C1093" s="75" t="s">
        <v>2472</v>
      </c>
      <c r="D1093" s="76">
        <v>46052</v>
      </c>
      <c r="E1093" s="75" t="s">
        <v>301</v>
      </c>
      <c r="F1093" s="74">
        <v>115</v>
      </c>
      <c r="G1093" s="75" t="s">
        <v>247</v>
      </c>
      <c r="H1093" s="77" t="str">
        <f>VLOOKUP(DESPESAS[[#This Row],[Plano de Contas]],BASE!$B$3:$D$119,3,FALSE)</f>
        <v>Manutenção com veiculos</v>
      </c>
      <c r="I1093" s="77" t="str">
        <f>IFERROR(VLOOKUP(DESPESAS[[#This Row],[Fornecedor]],Tabela2[],2,FALSE),"")</f>
        <v/>
      </c>
      <c r="J1093" s="77" t="str">
        <f>IFERROR(VLOOKUP(DESPESAS[[#This Row],[Plano de Contas]],BASE!$B$3:$F$119,4,FALSE),"")</f>
        <v>6 - DESPESA COM VENDAS</v>
      </c>
      <c r="K1093" s="77" t="str">
        <f>IFERROR(VLOOKUP(DESPESAS[[#This Row],[Plano de Contas]],BASE!$B$3:$H$119,5,FALSE),"")</f>
        <v>LOGÍSTICA</v>
      </c>
      <c r="L1093" s="77">
        <f>IFERROR(VLOOKUP(DESPESAS[[#This Row],[Plano de Contas]],BASE!$B$3:$H$119,6,FALSE),"")</f>
        <v>0</v>
      </c>
      <c r="M1093" s="77" t="str">
        <f>VLOOKUP(DESPESAS[[#This Row],[Plano de Contas]],BASE!$B$3:$H$119,7,FALSE)</f>
        <v>MYLENA</v>
      </c>
    </row>
    <row r="1094" spans="1:13" x14ac:dyDescent="0.25">
      <c r="A1094" s="74">
        <v>197722</v>
      </c>
      <c r="B1094" s="75" t="s">
        <v>221</v>
      </c>
      <c r="C1094" s="75" t="s">
        <v>2471</v>
      </c>
      <c r="D1094" s="76">
        <v>46053</v>
      </c>
      <c r="E1094" s="75" t="s">
        <v>481</v>
      </c>
      <c r="F1094" s="74">
        <v>576.9</v>
      </c>
      <c r="G1094" s="75" t="s">
        <v>1318</v>
      </c>
      <c r="H1094" s="77" t="str">
        <f>VLOOKUP(DESPESAS[[#This Row],[Plano de Contas]],BASE!$B$3:$D$119,3,FALSE)</f>
        <v>Feiras e Eventos</v>
      </c>
      <c r="I1094" s="77" t="str">
        <f>IFERROR(VLOOKUP(DESPESAS[[#This Row],[Fornecedor]],Tabela2[],2,FALSE),"")</f>
        <v/>
      </c>
      <c r="J1094" s="77" t="str">
        <f>IFERROR(VLOOKUP(DESPESAS[[#This Row],[Plano de Contas]],BASE!$B$3:$F$119,4,FALSE),"")</f>
        <v>6 - DESPESA COM VENDAS</v>
      </c>
      <c r="K1094" s="77" t="str">
        <f>IFERROR(VLOOKUP(DESPESAS[[#This Row],[Plano de Contas]],BASE!$B$3:$H$119,5,FALSE),"")</f>
        <v>COMERCIAL</v>
      </c>
      <c r="L1094" s="77">
        <f>IFERROR(VLOOKUP(DESPESAS[[#This Row],[Plano de Contas]],BASE!$B$3:$H$119,6,FALSE),"")</f>
        <v>0</v>
      </c>
      <c r="M1094" s="77" t="str">
        <f>VLOOKUP(DESPESAS[[#This Row],[Plano de Contas]],BASE!$B$3:$H$119,7,FALSE)</f>
        <v>THAIS</v>
      </c>
    </row>
    <row r="1095" spans="1:13" x14ac:dyDescent="0.25">
      <c r="A1095" s="74">
        <v>197723</v>
      </c>
      <c r="B1095" s="75" t="s">
        <v>221</v>
      </c>
      <c r="C1095" s="75" t="s">
        <v>2470</v>
      </c>
      <c r="D1095" s="76">
        <v>46052</v>
      </c>
      <c r="E1095" s="75" t="s">
        <v>301</v>
      </c>
      <c r="F1095" s="74">
        <v>240</v>
      </c>
      <c r="G1095" s="75" t="s">
        <v>247</v>
      </c>
      <c r="H1095" s="77" t="str">
        <f>VLOOKUP(DESPESAS[[#This Row],[Plano de Contas]],BASE!$B$3:$D$119,3,FALSE)</f>
        <v>Manutenção com veiculos</v>
      </c>
      <c r="I1095" s="77" t="str">
        <f>IFERROR(VLOOKUP(DESPESAS[[#This Row],[Fornecedor]],Tabela2[],2,FALSE),"")</f>
        <v/>
      </c>
      <c r="J1095" s="77" t="str">
        <f>IFERROR(VLOOKUP(DESPESAS[[#This Row],[Plano de Contas]],BASE!$B$3:$F$119,4,FALSE),"")</f>
        <v>6 - DESPESA COM VENDAS</v>
      </c>
      <c r="K1095" s="77" t="str">
        <f>IFERROR(VLOOKUP(DESPESAS[[#This Row],[Plano de Contas]],BASE!$B$3:$H$119,5,FALSE),"")</f>
        <v>LOGÍSTICA</v>
      </c>
      <c r="L1095" s="77">
        <f>IFERROR(VLOOKUP(DESPESAS[[#This Row],[Plano de Contas]],BASE!$B$3:$H$119,6,FALSE),"")</f>
        <v>0</v>
      </c>
      <c r="M1095" s="77" t="str">
        <f>VLOOKUP(DESPESAS[[#This Row],[Plano de Contas]],BASE!$B$3:$H$119,7,FALSE)</f>
        <v>MYLENA</v>
      </c>
    </row>
    <row r="1096" spans="1:13" x14ac:dyDescent="0.25">
      <c r="A1096" s="74">
        <v>197725</v>
      </c>
      <c r="B1096" s="75" t="s">
        <v>221</v>
      </c>
      <c r="C1096" s="75" t="s">
        <v>2469</v>
      </c>
      <c r="D1096" s="76">
        <v>46053</v>
      </c>
      <c r="E1096" s="75" t="s">
        <v>481</v>
      </c>
      <c r="F1096" s="74">
        <v>100</v>
      </c>
      <c r="G1096" s="75" t="s">
        <v>1318</v>
      </c>
      <c r="H1096" s="77" t="str">
        <f>VLOOKUP(DESPESAS[[#This Row],[Plano de Contas]],BASE!$B$3:$D$119,3,FALSE)</f>
        <v>Feiras e Eventos</v>
      </c>
      <c r="I1096" s="77" t="str">
        <f>IFERROR(VLOOKUP(DESPESAS[[#This Row],[Fornecedor]],Tabela2[],2,FALSE),"")</f>
        <v/>
      </c>
      <c r="J1096" s="77" t="str">
        <f>IFERROR(VLOOKUP(DESPESAS[[#This Row],[Plano de Contas]],BASE!$B$3:$F$119,4,FALSE),"")</f>
        <v>6 - DESPESA COM VENDAS</v>
      </c>
      <c r="K1096" s="77" t="str">
        <f>IFERROR(VLOOKUP(DESPESAS[[#This Row],[Plano de Contas]],BASE!$B$3:$H$119,5,FALSE),"")</f>
        <v>COMERCIAL</v>
      </c>
      <c r="L1096" s="77">
        <f>IFERROR(VLOOKUP(DESPESAS[[#This Row],[Plano de Contas]],BASE!$B$3:$H$119,6,FALSE),"")</f>
        <v>0</v>
      </c>
      <c r="M1096" s="77" t="str">
        <f>VLOOKUP(DESPESAS[[#This Row],[Plano de Contas]],BASE!$B$3:$H$119,7,FALSE)</f>
        <v>THAIS</v>
      </c>
    </row>
    <row r="1097" spans="1:13" x14ac:dyDescent="0.25">
      <c r="A1097" s="74">
        <v>197726</v>
      </c>
      <c r="B1097" s="75" t="s">
        <v>232</v>
      </c>
      <c r="C1097" s="75" t="s">
        <v>2468</v>
      </c>
      <c r="D1097" s="76">
        <v>46055</v>
      </c>
      <c r="E1097" s="75" t="s">
        <v>2466</v>
      </c>
      <c r="F1097" s="74">
        <v>23.43</v>
      </c>
      <c r="G1097" s="75" t="s">
        <v>356</v>
      </c>
      <c r="H1097" s="77" t="str">
        <f>VLOOKUP(DESPESAS[[#This Row],[Plano de Contas]],BASE!$B$3:$D$119,3,FALSE)</f>
        <v>Despesas Cartorárias</v>
      </c>
      <c r="I1097" s="77" t="str">
        <f>IFERROR(VLOOKUP(DESPESAS[[#This Row],[Fornecedor]],Tabela2[],2,FALSE),"")</f>
        <v/>
      </c>
      <c r="J1097" s="77" t="str">
        <f>IFERROR(VLOOKUP(DESPESAS[[#This Row],[Plano de Contas]],BASE!$B$3:$F$119,4,FALSE),"")</f>
        <v>5 - DESPESAS ADMINISTRATIVAS</v>
      </c>
      <c r="K1097" s="77" t="str">
        <f>IFERROR(VLOOKUP(DESPESAS[[#This Row],[Plano de Contas]],BASE!$B$3:$H$119,5,FALSE),"")</f>
        <v>FINANCEIRO</v>
      </c>
      <c r="L1097" s="77">
        <f>IFERROR(VLOOKUP(DESPESAS[[#This Row],[Plano de Contas]],BASE!$B$3:$H$119,6,FALSE),"")</f>
        <v>0</v>
      </c>
      <c r="M1097" s="77" t="str">
        <f>VLOOKUP(DESPESAS[[#This Row],[Plano de Contas]],BASE!$B$3:$H$119,7,FALSE)</f>
        <v>LETÍCIA</v>
      </c>
    </row>
    <row r="1098" spans="1:13" x14ac:dyDescent="0.25">
      <c r="A1098" s="74">
        <v>197727</v>
      </c>
      <c r="B1098" s="75" t="s">
        <v>232</v>
      </c>
      <c r="C1098" s="75" t="s">
        <v>2467</v>
      </c>
      <c r="D1098" s="76">
        <v>46055</v>
      </c>
      <c r="E1098" s="75" t="s">
        <v>2466</v>
      </c>
      <c r="F1098" s="74">
        <v>243.59</v>
      </c>
      <c r="G1098" s="75" t="s">
        <v>356</v>
      </c>
      <c r="H1098" s="77" t="str">
        <f>VLOOKUP(DESPESAS[[#This Row],[Plano de Contas]],BASE!$B$3:$D$119,3,FALSE)</f>
        <v>Despesas Cartorárias</v>
      </c>
      <c r="I1098" s="77" t="str">
        <f>IFERROR(VLOOKUP(DESPESAS[[#This Row],[Fornecedor]],Tabela2[],2,FALSE),"")</f>
        <v/>
      </c>
      <c r="J1098" s="77" t="str">
        <f>IFERROR(VLOOKUP(DESPESAS[[#This Row],[Plano de Contas]],BASE!$B$3:$F$119,4,FALSE),"")</f>
        <v>5 - DESPESAS ADMINISTRATIVAS</v>
      </c>
      <c r="K1098" s="77" t="str">
        <f>IFERROR(VLOOKUP(DESPESAS[[#This Row],[Plano de Contas]],BASE!$B$3:$H$119,5,FALSE),"")</f>
        <v>FINANCEIRO</v>
      </c>
      <c r="L1098" s="77">
        <f>IFERROR(VLOOKUP(DESPESAS[[#This Row],[Plano de Contas]],BASE!$B$3:$H$119,6,FALSE),"")</f>
        <v>0</v>
      </c>
      <c r="M1098" s="77" t="str">
        <f>VLOOKUP(DESPESAS[[#This Row],[Plano de Contas]],BASE!$B$3:$H$119,7,FALSE)</f>
        <v>LETÍCIA</v>
      </c>
    </row>
    <row r="1099" spans="1:13" x14ac:dyDescent="0.25">
      <c r="A1099" s="74">
        <v>197728</v>
      </c>
      <c r="B1099" s="75" t="s">
        <v>232</v>
      </c>
      <c r="C1099" s="75" t="s">
        <v>2465</v>
      </c>
      <c r="D1099" s="76">
        <v>46055</v>
      </c>
      <c r="E1099" s="75" t="s">
        <v>2464</v>
      </c>
      <c r="F1099" s="74">
        <v>444</v>
      </c>
      <c r="G1099" s="75" t="s">
        <v>244</v>
      </c>
      <c r="H1099" s="77" t="str">
        <f>VLOOKUP(DESPESAS[[#This Row],[Plano de Contas]],BASE!$B$3:$D$119,3,FALSE)</f>
        <v>Material de Expediente (Prod)</v>
      </c>
      <c r="I1099" s="77" t="str">
        <f>IFERROR(VLOOKUP(DESPESAS[[#This Row],[Fornecedor]],Tabela2[],2,FALSE),"")</f>
        <v/>
      </c>
      <c r="J1099" s="77" t="str">
        <f>IFERROR(VLOOKUP(DESPESAS[[#This Row],[Plano de Contas]],BASE!$B$3:$F$119,4,FALSE),"")</f>
        <v>2 - CUSTOS DIRETOS</v>
      </c>
      <c r="K1099" s="77" t="str">
        <f>IFERROR(VLOOKUP(DESPESAS[[#This Row],[Plano de Contas]],BASE!$B$3:$H$119,5,FALSE),"")</f>
        <v>PRODUÇÃO</v>
      </c>
      <c r="L1099" s="77">
        <f>IFERROR(VLOOKUP(DESPESAS[[#This Row],[Plano de Contas]],BASE!$B$3:$H$119,6,FALSE),"")</f>
        <v>0</v>
      </c>
      <c r="M1099" s="77" t="str">
        <f>VLOOKUP(DESPESAS[[#This Row],[Plano de Contas]],BASE!$B$3:$H$119,7,FALSE)</f>
        <v>RAFAEL</v>
      </c>
    </row>
    <row r="1100" spans="1:13" x14ac:dyDescent="0.25">
      <c r="A1100" s="74">
        <v>197729</v>
      </c>
      <c r="B1100" s="75" t="s">
        <v>281</v>
      </c>
      <c r="C1100" s="75" t="s">
        <v>2463</v>
      </c>
      <c r="D1100" s="76">
        <v>46063</v>
      </c>
      <c r="E1100" s="75" t="s">
        <v>2462</v>
      </c>
      <c r="F1100" s="74">
        <v>900</v>
      </c>
      <c r="G1100" s="75" t="s">
        <v>2461</v>
      </c>
      <c r="H1100" s="77" t="str">
        <f>VLOOKUP(DESPESAS[[#This Row],[Plano de Contas]],BASE!$B$3:$D$119,3,FALSE)</f>
        <v>Aluguel de Imóvel</v>
      </c>
      <c r="I1100" s="77" t="str">
        <f>IFERROR(VLOOKUP(DESPESAS[[#This Row],[Fornecedor]],Tabela2[],2,FALSE),"")</f>
        <v/>
      </c>
      <c r="J1100" s="77" t="str">
        <f>IFERROR(VLOOKUP(DESPESAS[[#This Row],[Plano de Contas]],BASE!$B$3:$F$119,4,FALSE),"")</f>
        <v>5 - DESPESAS ADMINISTRATIVAS</v>
      </c>
      <c r="K1100" s="77" t="str">
        <f>IFERROR(VLOOKUP(DESPESAS[[#This Row],[Plano de Contas]],BASE!$B$3:$H$119,5,FALSE),"")</f>
        <v>FINANCEIRO</v>
      </c>
      <c r="L1100" s="77">
        <f>IFERROR(VLOOKUP(DESPESAS[[#This Row],[Plano de Contas]],BASE!$B$3:$H$119,6,FALSE),"")</f>
        <v>0</v>
      </c>
      <c r="M1100" s="77" t="str">
        <f>VLOOKUP(DESPESAS[[#This Row],[Plano de Contas]],BASE!$B$3:$H$119,7,FALSE)</f>
        <v>LETÍCIA</v>
      </c>
    </row>
    <row r="1101" spans="1:13" x14ac:dyDescent="0.25">
      <c r="A1101" s="74">
        <v>197730</v>
      </c>
      <c r="B1101" s="75" t="s">
        <v>281</v>
      </c>
      <c r="C1101" s="75" t="s">
        <v>2463</v>
      </c>
      <c r="D1101" s="76">
        <v>46091</v>
      </c>
      <c r="E1101" s="75" t="s">
        <v>2462</v>
      </c>
      <c r="F1101" s="74">
        <v>900</v>
      </c>
      <c r="G1101" s="75" t="s">
        <v>2461</v>
      </c>
      <c r="H1101" s="77" t="str">
        <f>VLOOKUP(DESPESAS[[#This Row],[Plano de Contas]],BASE!$B$3:$D$119,3,FALSE)</f>
        <v>Aluguel de Imóvel</v>
      </c>
      <c r="I1101" s="77" t="str">
        <f>IFERROR(VLOOKUP(DESPESAS[[#This Row],[Fornecedor]],Tabela2[],2,FALSE),"")</f>
        <v/>
      </c>
      <c r="J1101" s="77" t="str">
        <f>IFERROR(VLOOKUP(DESPESAS[[#This Row],[Plano de Contas]],BASE!$B$3:$F$119,4,FALSE),"")</f>
        <v>5 - DESPESAS ADMINISTRATIVAS</v>
      </c>
      <c r="K1101" s="77" t="str">
        <f>IFERROR(VLOOKUP(DESPESAS[[#This Row],[Plano de Contas]],BASE!$B$3:$H$119,5,FALSE),"")</f>
        <v>FINANCEIRO</v>
      </c>
      <c r="L1101" s="77">
        <f>IFERROR(VLOOKUP(DESPESAS[[#This Row],[Plano de Contas]],BASE!$B$3:$H$119,6,FALSE),"")</f>
        <v>0</v>
      </c>
      <c r="M1101" s="77" t="str">
        <f>VLOOKUP(DESPESAS[[#This Row],[Plano de Contas]],BASE!$B$3:$H$119,7,FALSE)</f>
        <v>LETÍCIA</v>
      </c>
    </row>
    <row r="1102" spans="1:13" x14ac:dyDescent="0.25">
      <c r="A1102" s="74">
        <v>197731</v>
      </c>
      <c r="B1102" s="75" t="s">
        <v>281</v>
      </c>
      <c r="C1102" s="75" t="s">
        <v>2463</v>
      </c>
      <c r="D1102" s="76">
        <v>46122</v>
      </c>
      <c r="E1102" s="75" t="s">
        <v>2462</v>
      </c>
      <c r="F1102" s="74">
        <v>900</v>
      </c>
      <c r="G1102" s="75" t="s">
        <v>2461</v>
      </c>
      <c r="H1102" s="77" t="str">
        <f>VLOOKUP(DESPESAS[[#This Row],[Plano de Contas]],BASE!$B$3:$D$119,3,FALSE)</f>
        <v>Aluguel de Imóvel</v>
      </c>
      <c r="I1102" s="77" t="str">
        <f>IFERROR(VLOOKUP(DESPESAS[[#This Row],[Fornecedor]],Tabela2[],2,FALSE),"")</f>
        <v/>
      </c>
      <c r="J1102" s="77" t="str">
        <f>IFERROR(VLOOKUP(DESPESAS[[#This Row],[Plano de Contas]],BASE!$B$3:$F$119,4,FALSE),"")</f>
        <v>5 - DESPESAS ADMINISTRATIVAS</v>
      </c>
      <c r="K1102" s="77" t="str">
        <f>IFERROR(VLOOKUP(DESPESAS[[#This Row],[Plano de Contas]],BASE!$B$3:$H$119,5,FALSE),"")</f>
        <v>FINANCEIRO</v>
      </c>
      <c r="L1102" s="77">
        <f>IFERROR(VLOOKUP(DESPESAS[[#This Row],[Plano de Contas]],BASE!$B$3:$H$119,6,FALSE),"")</f>
        <v>0</v>
      </c>
      <c r="M1102" s="77" t="str">
        <f>VLOOKUP(DESPESAS[[#This Row],[Plano de Contas]],BASE!$B$3:$H$119,7,FALSE)</f>
        <v>LETÍCIA</v>
      </c>
    </row>
    <row r="1103" spans="1:13" x14ac:dyDescent="0.25">
      <c r="A1103" s="74">
        <v>197732</v>
      </c>
      <c r="B1103" s="75" t="s">
        <v>281</v>
      </c>
      <c r="C1103" s="75" t="s">
        <v>2463</v>
      </c>
      <c r="D1103" s="76">
        <v>46152</v>
      </c>
      <c r="E1103" s="75" t="s">
        <v>2462</v>
      </c>
      <c r="F1103" s="74">
        <v>900</v>
      </c>
      <c r="G1103" s="75" t="s">
        <v>2461</v>
      </c>
      <c r="H1103" s="77" t="str">
        <f>VLOOKUP(DESPESAS[[#This Row],[Plano de Contas]],BASE!$B$3:$D$119,3,FALSE)</f>
        <v>Aluguel de Imóvel</v>
      </c>
      <c r="I1103" s="77" t="str">
        <f>IFERROR(VLOOKUP(DESPESAS[[#This Row],[Fornecedor]],Tabela2[],2,FALSE),"")</f>
        <v/>
      </c>
      <c r="J1103" s="77" t="str">
        <f>IFERROR(VLOOKUP(DESPESAS[[#This Row],[Plano de Contas]],BASE!$B$3:$F$119,4,FALSE),"")</f>
        <v>5 - DESPESAS ADMINISTRATIVAS</v>
      </c>
      <c r="K1103" s="77" t="str">
        <f>IFERROR(VLOOKUP(DESPESAS[[#This Row],[Plano de Contas]],BASE!$B$3:$H$119,5,FALSE),"")</f>
        <v>FINANCEIRO</v>
      </c>
      <c r="L1103" s="77">
        <f>IFERROR(VLOOKUP(DESPESAS[[#This Row],[Plano de Contas]],BASE!$B$3:$H$119,6,FALSE),"")</f>
        <v>0</v>
      </c>
      <c r="M1103" s="77" t="str">
        <f>VLOOKUP(DESPESAS[[#This Row],[Plano de Contas]],BASE!$B$3:$H$119,7,FALSE)</f>
        <v>LETÍCIA</v>
      </c>
    </row>
    <row r="1104" spans="1:13" x14ac:dyDescent="0.25">
      <c r="A1104" s="74">
        <v>197741</v>
      </c>
      <c r="B1104" s="75" t="s">
        <v>221</v>
      </c>
      <c r="C1104" s="75" t="s">
        <v>2460</v>
      </c>
      <c r="D1104" s="76">
        <v>46053</v>
      </c>
      <c r="E1104" s="75" t="s">
        <v>2459</v>
      </c>
      <c r="F1104" s="74">
        <v>2000</v>
      </c>
      <c r="G1104" s="75" t="s">
        <v>1318</v>
      </c>
      <c r="H1104" s="77" t="str">
        <f>VLOOKUP(DESPESAS[[#This Row],[Plano de Contas]],BASE!$B$3:$D$119,3,FALSE)</f>
        <v>Feiras e Eventos</v>
      </c>
      <c r="I1104" s="77" t="str">
        <f>IFERROR(VLOOKUP(DESPESAS[[#This Row],[Fornecedor]],Tabela2[],2,FALSE),"")</f>
        <v/>
      </c>
      <c r="J1104" s="77" t="str">
        <f>IFERROR(VLOOKUP(DESPESAS[[#This Row],[Plano de Contas]],BASE!$B$3:$F$119,4,FALSE),"")</f>
        <v>6 - DESPESA COM VENDAS</v>
      </c>
      <c r="K1104" s="77" t="str">
        <f>IFERROR(VLOOKUP(DESPESAS[[#This Row],[Plano de Contas]],BASE!$B$3:$H$119,5,FALSE),"")</f>
        <v>COMERCIAL</v>
      </c>
      <c r="L1104" s="77">
        <f>IFERROR(VLOOKUP(DESPESAS[[#This Row],[Plano de Contas]],BASE!$B$3:$H$119,6,FALSE),"")</f>
        <v>0</v>
      </c>
      <c r="M1104" s="77" t="str">
        <f>VLOOKUP(DESPESAS[[#This Row],[Plano de Contas]],BASE!$B$3:$H$119,7,FALSE)</f>
        <v>THAIS</v>
      </c>
    </row>
    <row r="1105" spans="1:13" x14ac:dyDescent="0.25">
      <c r="A1105" s="74">
        <v>197743</v>
      </c>
      <c r="B1105" s="75" t="s">
        <v>221</v>
      </c>
      <c r="C1105" s="75" t="s">
        <v>2458</v>
      </c>
      <c r="D1105" s="76">
        <v>46055</v>
      </c>
      <c r="E1105" s="75" t="s">
        <v>307</v>
      </c>
      <c r="F1105" s="74">
        <v>94</v>
      </c>
      <c r="G1105" s="75" t="s">
        <v>259</v>
      </c>
      <c r="H1105" s="77" t="str">
        <f>VLOOKUP(DESPESAS[[#This Row],[Plano de Contas]],BASE!$B$3:$D$119,3,FALSE)</f>
        <v>Manutenção Predial CIF</v>
      </c>
      <c r="I1105" s="77" t="str">
        <f>IFERROR(VLOOKUP(DESPESAS[[#This Row],[Fornecedor]],Tabela2[],2,FALSE),"")</f>
        <v>FERRAGENS GERAIS</v>
      </c>
      <c r="J1105" s="77" t="str">
        <f>IFERROR(VLOOKUP(DESPESAS[[#This Row],[Plano de Contas]],BASE!$B$3:$F$119,4,FALSE),"")</f>
        <v>3 - CUSTOS INDIRETOS</v>
      </c>
      <c r="K1105" s="77" t="str">
        <f>IFERROR(VLOOKUP(DESPESAS[[#This Row],[Plano de Contas]],BASE!$B$3:$H$119,5,FALSE),"")</f>
        <v>MANUTENÇÃO / TI</v>
      </c>
      <c r="L1105" s="77">
        <f>IFERROR(VLOOKUP(DESPESAS[[#This Row],[Plano de Contas]],BASE!$B$3:$H$119,6,FALSE),"")</f>
        <v>0</v>
      </c>
      <c r="M1105" s="77" t="str">
        <f>VLOOKUP(DESPESAS[[#This Row],[Plano de Contas]],BASE!$B$3:$H$119,7,FALSE)</f>
        <v>FÁBIO</v>
      </c>
    </row>
    <row r="1106" spans="1:13" x14ac:dyDescent="0.25">
      <c r="A1106" s="74">
        <v>197744</v>
      </c>
      <c r="B1106" s="75" t="s">
        <v>221</v>
      </c>
      <c r="C1106" s="75" t="s">
        <v>2380</v>
      </c>
      <c r="D1106" s="76">
        <v>46053</v>
      </c>
      <c r="E1106" s="75" t="s">
        <v>347</v>
      </c>
      <c r="F1106" s="74">
        <v>30.4</v>
      </c>
      <c r="G1106" s="75" t="s">
        <v>1318</v>
      </c>
      <c r="H1106" s="77" t="str">
        <f>VLOOKUP(DESPESAS[[#This Row],[Plano de Contas]],BASE!$B$3:$D$119,3,FALSE)</f>
        <v>Feiras e Eventos</v>
      </c>
      <c r="I1106" s="77" t="str">
        <f>IFERROR(VLOOKUP(DESPESAS[[#This Row],[Fornecedor]],Tabela2[],2,FALSE),"")</f>
        <v/>
      </c>
      <c r="J1106" s="77" t="str">
        <f>IFERROR(VLOOKUP(DESPESAS[[#This Row],[Plano de Contas]],BASE!$B$3:$F$119,4,FALSE),"")</f>
        <v>6 - DESPESA COM VENDAS</v>
      </c>
      <c r="K1106" s="77" t="str">
        <f>IFERROR(VLOOKUP(DESPESAS[[#This Row],[Plano de Contas]],BASE!$B$3:$H$119,5,FALSE),"")</f>
        <v>COMERCIAL</v>
      </c>
      <c r="L1106" s="77">
        <f>IFERROR(VLOOKUP(DESPESAS[[#This Row],[Plano de Contas]],BASE!$B$3:$H$119,6,FALSE),"")</f>
        <v>0</v>
      </c>
      <c r="M1106" s="77" t="str">
        <f>VLOOKUP(DESPESAS[[#This Row],[Plano de Contas]],BASE!$B$3:$H$119,7,FALSE)</f>
        <v>THAIS</v>
      </c>
    </row>
    <row r="1107" spans="1:13" x14ac:dyDescent="0.25">
      <c r="A1107" s="74">
        <v>197745</v>
      </c>
      <c r="B1107" s="75" t="s">
        <v>221</v>
      </c>
      <c r="C1107" s="75" t="s">
        <v>2380</v>
      </c>
      <c r="D1107" s="76">
        <v>46053</v>
      </c>
      <c r="E1107" s="75" t="s">
        <v>347</v>
      </c>
      <c r="F1107" s="74">
        <v>16.899999999999999</v>
      </c>
      <c r="G1107" s="75" t="s">
        <v>1318</v>
      </c>
      <c r="H1107" s="77" t="str">
        <f>VLOOKUP(DESPESAS[[#This Row],[Plano de Contas]],BASE!$B$3:$D$119,3,FALSE)</f>
        <v>Feiras e Eventos</v>
      </c>
      <c r="I1107" s="77" t="str">
        <f>IFERROR(VLOOKUP(DESPESAS[[#This Row],[Fornecedor]],Tabela2[],2,FALSE),"")</f>
        <v/>
      </c>
      <c r="J1107" s="77" t="str">
        <f>IFERROR(VLOOKUP(DESPESAS[[#This Row],[Plano de Contas]],BASE!$B$3:$F$119,4,FALSE),"")</f>
        <v>6 - DESPESA COM VENDAS</v>
      </c>
      <c r="K1107" s="77" t="str">
        <f>IFERROR(VLOOKUP(DESPESAS[[#This Row],[Plano de Contas]],BASE!$B$3:$H$119,5,FALSE),"")</f>
        <v>COMERCIAL</v>
      </c>
      <c r="L1107" s="77">
        <f>IFERROR(VLOOKUP(DESPESAS[[#This Row],[Plano de Contas]],BASE!$B$3:$H$119,6,FALSE),"")</f>
        <v>0</v>
      </c>
      <c r="M1107" s="77" t="str">
        <f>VLOOKUP(DESPESAS[[#This Row],[Plano de Contas]],BASE!$B$3:$H$119,7,FALSE)</f>
        <v>THAIS</v>
      </c>
    </row>
    <row r="1108" spans="1:13" x14ac:dyDescent="0.25">
      <c r="A1108" s="74">
        <v>197746</v>
      </c>
      <c r="B1108" s="75" t="s">
        <v>221</v>
      </c>
      <c r="C1108" s="75" t="s">
        <v>2403</v>
      </c>
      <c r="D1108" s="76">
        <v>46053</v>
      </c>
      <c r="E1108" s="75" t="s">
        <v>347</v>
      </c>
      <c r="F1108" s="74">
        <v>320</v>
      </c>
      <c r="G1108" s="75" t="s">
        <v>1318</v>
      </c>
      <c r="H1108" s="77" t="str">
        <f>VLOOKUP(DESPESAS[[#This Row],[Plano de Contas]],BASE!$B$3:$D$119,3,FALSE)</f>
        <v>Feiras e Eventos</v>
      </c>
      <c r="I1108" s="77" t="str">
        <f>IFERROR(VLOOKUP(DESPESAS[[#This Row],[Fornecedor]],Tabela2[],2,FALSE),"")</f>
        <v/>
      </c>
      <c r="J1108" s="77" t="str">
        <f>IFERROR(VLOOKUP(DESPESAS[[#This Row],[Plano de Contas]],BASE!$B$3:$F$119,4,FALSE),"")</f>
        <v>6 - DESPESA COM VENDAS</v>
      </c>
      <c r="K1108" s="77" t="str">
        <f>IFERROR(VLOOKUP(DESPESAS[[#This Row],[Plano de Contas]],BASE!$B$3:$H$119,5,FALSE),"")</f>
        <v>COMERCIAL</v>
      </c>
      <c r="L1108" s="77">
        <f>IFERROR(VLOOKUP(DESPESAS[[#This Row],[Plano de Contas]],BASE!$B$3:$H$119,6,FALSE),"")</f>
        <v>0</v>
      </c>
      <c r="M1108" s="77" t="str">
        <f>VLOOKUP(DESPESAS[[#This Row],[Plano de Contas]],BASE!$B$3:$H$119,7,FALSE)</f>
        <v>THAIS</v>
      </c>
    </row>
    <row r="1109" spans="1:13" x14ac:dyDescent="0.25">
      <c r="A1109" s="74">
        <v>197747</v>
      </c>
      <c r="B1109" s="75" t="s">
        <v>221</v>
      </c>
      <c r="C1109" s="75" t="s">
        <v>2403</v>
      </c>
      <c r="D1109" s="76">
        <v>46053</v>
      </c>
      <c r="E1109" s="75" t="s">
        <v>347</v>
      </c>
      <c r="F1109" s="74">
        <v>345.51</v>
      </c>
      <c r="G1109" s="75" t="s">
        <v>1318</v>
      </c>
      <c r="H1109" s="77" t="str">
        <f>VLOOKUP(DESPESAS[[#This Row],[Plano de Contas]],BASE!$B$3:$D$119,3,FALSE)</f>
        <v>Feiras e Eventos</v>
      </c>
      <c r="I1109" s="77" t="str">
        <f>IFERROR(VLOOKUP(DESPESAS[[#This Row],[Fornecedor]],Tabela2[],2,FALSE),"")</f>
        <v/>
      </c>
      <c r="J1109" s="77" t="str">
        <f>IFERROR(VLOOKUP(DESPESAS[[#This Row],[Plano de Contas]],BASE!$B$3:$F$119,4,FALSE),"")</f>
        <v>6 - DESPESA COM VENDAS</v>
      </c>
      <c r="K1109" s="77" t="str">
        <f>IFERROR(VLOOKUP(DESPESAS[[#This Row],[Plano de Contas]],BASE!$B$3:$H$119,5,FALSE),"")</f>
        <v>COMERCIAL</v>
      </c>
      <c r="L1109" s="77">
        <f>IFERROR(VLOOKUP(DESPESAS[[#This Row],[Plano de Contas]],BASE!$B$3:$H$119,6,FALSE),"")</f>
        <v>0</v>
      </c>
      <c r="M1109" s="77" t="str">
        <f>VLOOKUP(DESPESAS[[#This Row],[Plano de Contas]],BASE!$B$3:$H$119,7,FALSE)</f>
        <v>THAIS</v>
      </c>
    </row>
    <row r="1110" spans="1:13" x14ac:dyDescent="0.25">
      <c r="A1110" s="74">
        <v>197749</v>
      </c>
      <c r="B1110" s="75" t="s">
        <v>221</v>
      </c>
      <c r="C1110" s="75" t="s">
        <v>2457</v>
      </c>
      <c r="D1110" s="76">
        <v>46029</v>
      </c>
      <c r="E1110" s="75" t="s">
        <v>361</v>
      </c>
      <c r="F1110" s="74">
        <v>2159.88</v>
      </c>
      <c r="G1110" s="75" t="s">
        <v>693</v>
      </c>
      <c r="H1110" s="77" t="str">
        <f>VLOOKUP(DESPESAS[[#This Row],[Plano de Contas]],BASE!$B$3:$D$119,3,FALSE)</f>
        <v>Computadores e Periféricos</v>
      </c>
      <c r="I1110" s="77" t="str">
        <f>IFERROR(VLOOKUP(DESPESAS[[#This Row],[Fornecedor]],Tabela2[],2,FALSE),"")</f>
        <v/>
      </c>
      <c r="J1110" s="77" t="str">
        <f>IFERROR(VLOOKUP(DESPESAS[[#This Row],[Plano de Contas]],BASE!$B$3:$F$119,4,FALSE),"")</f>
        <v>9 - INVESTIMENTOS</v>
      </c>
      <c r="K1110" s="77" t="str">
        <f>IFERROR(VLOOKUP(DESPESAS[[#This Row],[Plano de Contas]],BASE!$B$3:$H$119,5,FALSE),"")</f>
        <v>MANUTENÇÃO / TI</v>
      </c>
      <c r="L1110" s="77">
        <f>IFERROR(VLOOKUP(DESPESAS[[#This Row],[Plano de Contas]],BASE!$B$3:$H$119,6,FALSE),"")</f>
        <v>0</v>
      </c>
      <c r="M1110" s="77" t="str">
        <f>VLOOKUP(DESPESAS[[#This Row],[Plano de Contas]],BASE!$B$3:$H$119,7,FALSE)</f>
        <v>RAFAEL</v>
      </c>
    </row>
    <row r="1111" spans="1:13" x14ac:dyDescent="0.25">
      <c r="A1111" s="74">
        <v>197750</v>
      </c>
      <c r="B1111" s="75" t="s">
        <v>221</v>
      </c>
      <c r="C1111" s="75" t="s">
        <v>2403</v>
      </c>
      <c r="D1111" s="76">
        <v>46053</v>
      </c>
      <c r="E1111" s="75" t="s">
        <v>347</v>
      </c>
      <c r="F1111" s="74">
        <v>73</v>
      </c>
      <c r="G1111" s="75" t="s">
        <v>1318</v>
      </c>
      <c r="H1111" s="77" t="str">
        <f>VLOOKUP(DESPESAS[[#This Row],[Plano de Contas]],BASE!$B$3:$D$119,3,FALSE)</f>
        <v>Feiras e Eventos</v>
      </c>
      <c r="I1111" s="77" t="str">
        <f>IFERROR(VLOOKUP(DESPESAS[[#This Row],[Fornecedor]],Tabela2[],2,FALSE),"")</f>
        <v/>
      </c>
      <c r="J1111" s="77" t="str">
        <f>IFERROR(VLOOKUP(DESPESAS[[#This Row],[Plano de Contas]],BASE!$B$3:$F$119,4,FALSE),"")</f>
        <v>6 - DESPESA COM VENDAS</v>
      </c>
      <c r="K1111" s="77" t="str">
        <f>IFERROR(VLOOKUP(DESPESAS[[#This Row],[Plano de Contas]],BASE!$B$3:$H$119,5,FALSE),"")</f>
        <v>COMERCIAL</v>
      </c>
      <c r="L1111" s="77">
        <f>IFERROR(VLOOKUP(DESPESAS[[#This Row],[Plano de Contas]],BASE!$B$3:$H$119,6,FALSE),"")</f>
        <v>0</v>
      </c>
      <c r="M1111" s="77" t="str">
        <f>VLOOKUP(DESPESAS[[#This Row],[Plano de Contas]],BASE!$B$3:$H$119,7,FALSE)</f>
        <v>THAIS</v>
      </c>
    </row>
    <row r="1112" spans="1:13" x14ac:dyDescent="0.25">
      <c r="A1112" s="74">
        <v>197751</v>
      </c>
      <c r="B1112" s="75" t="s">
        <v>221</v>
      </c>
      <c r="C1112" s="75" t="s">
        <v>2456</v>
      </c>
      <c r="D1112" s="76">
        <v>46029</v>
      </c>
      <c r="E1112" s="75" t="s">
        <v>361</v>
      </c>
      <c r="F1112" s="74">
        <v>55</v>
      </c>
      <c r="G1112" s="75" t="s">
        <v>693</v>
      </c>
      <c r="H1112" s="77" t="str">
        <f>VLOOKUP(DESPESAS[[#This Row],[Plano de Contas]],BASE!$B$3:$D$119,3,FALSE)</f>
        <v>Computadores e Periféricos</v>
      </c>
      <c r="I1112" s="77" t="str">
        <f>IFERROR(VLOOKUP(DESPESAS[[#This Row],[Fornecedor]],Tabela2[],2,FALSE),"")</f>
        <v/>
      </c>
      <c r="J1112" s="77" t="str">
        <f>IFERROR(VLOOKUP(DESPESAS[[#This Row],[Plano de Contas]],BASE!$B$3:$F$119,4,FALSE),"")</f>
        <v>9 - INVESTIMENTOS</v>
      </c>
      <c r="K1112" s="77" t="str">
        <f>IFERROR(VLOOKUP(DESPESAS[[#This Row],[Plano de Contas]],BASE!$B$3:$H$119,5,FALSE),"")</f>
        <v>MANUTENÇÃO / TI</v>
      </c>
      <c r="L1112" s="77">
        <f>IFERROR(VLOOKUP(DESPESAS[[#This Row],[Plano de Contas]],BASE!$B$3:$H$119,6,FALSE),"")</f>
        <v>0</v>
      </c>
      <c r="M1112" s="77" t="str">
        <f>VLOOKUP(DESPESAS[[#This Row],[Plano de Contas]],BASE!$B$3:$H$119,7,FALSE)</f>
        <v>RAFAEL</v>
      </c>
    </row>
    <row r="1113" spans="1:13" x14ac:dyDescent="0.25">
      <c r="A1113" s="74">
        <v>197752</v>
      </c>
      <c r="B1113" s="75" t="s">
        <v>221</v>
      </c>
      <c r="C1113" s="75" t="s">
        <v>2401</v>
      </c>
      <c r="D1113" s="76">
        <v>46053</v>
      </c>
      <c r="E1113" s="75" t="s">
        <v>347</v>
      </c>
      <c r="F1113" s="74">
        <v>300</v>
      </c>
      <c r="G1113" s="75" t="s">
        <v>1318</v>
      </c>
      <c r="H1113" s="77" t="str">
        <f>VLOOKUP(DESPESAS[[#This Row],[Plano de Contas]],BASE!$B$3:$D$119,3,FALSE)</f>
        <v>Feiras e Eventos</v>
      </c>
      <c r="I1113" s="77" t="str">
        <f>IFERROR(VLOOKUP(DESPESAS[[#This Row],[Fornecedor]],Tabela2[],2,FALSE),"")</f>
        <v/>
      </c>
      <c r="J1113" s="77" t="str">
        <f>IFERROR(VLOOKUP(DESPESAS[[#This Row],[Plano de Contas]],BASE!$B$3:$F$119,4,FALSE),"")</f>
        <v>6 - DESPESA COM VENDAS</v>
      </c>
      <c r="K1113" s="77" t="str">
        <f>IFERROR(VLOOKUP(DESPESAS[[#This Row],[Plano de Contas]],BASE!$B$3:$H$119,5,FALSE),"")</f>
        <v>COMERCIAL</v>
      </c>
      <c r="L1113" s="77">
        <f>IFERROR(VLOOKUP(DESPESAS[[#This Row],[Plano de Contas]],BASE!$B$3:$H$119,6,FALSE),"")</f>
        <v>0</v>
      </c>
      <c r="M1113" s="77" t="str">
        <f>VLOOKUP(DESPESAS[[#This Row],[Plano de Contas]],BASE!$B$3:$H$119,7,FALSE)</f>
        <v>THAIS</v>
      </c>
    </row>
    <row r="1114" spans="1:13" x14ac:dyDescent="0.25">
      <c r="A1114" s="74">
        <v>197753</v>
      </c>
      <c r="B1114" s="75" t="s">
        <v>221</v>
      </c>
      <c r="C1114" s="75" t="s">
        <v>2455</v>
      </c>
      <c r="D1114" s="76">
        <v>46029</v>
      </c>
      <c r="E1114" s="75" t="s">
        <v>361</v>
      </c>
      <c r="F1114" s="74">
        <v>42.36</v>
      </c>
      <c r="G1114" s="75" t="s">
        <v>693</v>
      </c>
      <c r="H1114" s="77" t="str">
        <f>VLOOKUP(DESPESAS[[#This Row],[Plano de Contas]],BASE!$B$3:$D$119,3,FALSE)</f>
        <v>Computadores e Periféricos</v>
      </c>
      <c r="I1114" s="77" t="str">
        <f>IFERROR(VLOOKUP(DESPESAS[[#This Row],[Fornecedor]],Tabela2[],2,FALSE),"")</f>
        <v/>
      </c>
      <c r="J1114" s="77" t="str">
        <f>IFERROR(VLOOKUP(DESPESAS[[#This Row],[Plano de Contas]],BASE!$B$3:$F$119,4,FALSE),"")</f>
        <v>9 - INVESTIMENTOS</v>
      </c>
      <c r="K1114" s="77" t="str">
        <f>IFERROR(VLOOKUP(DESPESAS[[#This Row],[Plano de Contas]],BASE!$B$3:$H$119,5,FALSE),"")</f>
        <v>MANUTENÇÃO / TI</v>
      </c>
      <c r="L1114" s="77">
        <f>IFERROR(VLOOKUP(DESPESAS[[#This Row],[Plano de Contas]],BASE!$B$3:$H$119,6,FALSE),"")</f>
        <v>0</v>
      </c>
      <c r="M1114" s="77" t="str">
        <f>VLOOKUP(DESPESAS[[#This Row],[Plano de Contas]],BASE!$B$3:$H$119,7,FALSE)</f>
        <v>RAFAEL</v>
      </c>
    </row>
    <row r="1115" spans="1:13" x14ac:dyDescent="0.25">
      <c r="A1115" s="74">
        <v>197754</v>
      </c>
      <c r="B1115" s="75" t="s">
        <v>221</v>
      </c>
      <c r="C1115" s="75" t="s">
        <v>2394</v>
      </c>
      <c r="D1115" s="76">
        <v>46053</v>
      </c>
      <c r="E1115" s="75" t="s">
        <v>347</v>
      </c>
      <c r="F1115" s="74">
        <v>153.87</v>
      </c>
      <c r="G1115" s="75" t="s">
        <v>1318</v>
      </c>
      <c r="H1115" s="77" t="str">
        <f>VLOOKUP(DESPESAS[[#This Row],[Plano de Contas]],BASE!$B$3:$D$119,3,FALSE)</f>
        <v>Feiras e Eventos</v>
      </c>
      <c r="I1115" s="77" t="str">
        <f>IFERROR(VLOOKUP(DESPESAS[[#This Row],[Fornecedor]],Tabela2[],2,FALSE),"")</f>
        <v/>
      </c>
      <c r="J1115" s="77" t="str">
        <f>IFERROR(VLOOKUP(DESPESAS[[#This Row],[Plano de Contas]],BASE!$B$3:$F$119,4,FALSE),"")</f>
        <v>6 - DESPESA COM VENDAS</v>
      </c>
      <c r="K1115" s="77" t="str">
        <f>IFERROR(VLOOKUP(DESPESAS[[#This Row],[Plano de Contas]],BASE!$B$3:$H$119,5,FALSE),"")</f>
        <v>COMERCIAL</v>
      </c>
      <c r="L1115" s="77">
        <f>IFERROR(VLOOKUP(DESPESAS[[#This Row],[Plano de Contas]],BASE!$B$3:$H$119,6,FALSE),"")</f>
        <v>0</v>
      </c>
      <c r="M1115" s="77" t="str">
        <f>VLOOKUP(DESPESAS[[#This Row],[Plano de Contas]],BASE!$B$3:$H$119,7,FALSE)</f>
        <v>THAIS</v>
      </c>
    </row>
    <row r="1116" spans="1:13" x14ac:dyDescent="0.25">
      <c r="A1116" s="74">
        <v>197755</v>
      </c>
      <c r="B1116" s="75" t="s">
        <v>221</v>
      </c>
      <c r="C1116" s="75" t="s">
        <v>2394</v>
      </c>
      <c r="D1116" s="76">
        <v>46053</v>
      </c>
      <c r="E1116" s="75" t="s">
        <v>347</v>
      </c>
      <c r="F1116" s="74">
        <v>58.87</v>
      </c>
      <c r="G1116" s="75" t="s">
        <v>1318</v>
      </c>
      <c r="H1116" s="77" t="str">
        <f>VLOOKUP(DESPESAS[[#This Row],[Plano de Contas]],BASE!$B$3:$D$119,3,FALSE)</f>
        <v>Feiras e Eventos</v>
      </c>
      <c r="I1116" s="77" t="str">
        <f>IFERROR(VLOOKUP(DESPESAS[[#This Row],[Fornecedor]],Tabela2[],2,FALSE),"")</f>
        <v/>
      </c>
      <c r="J1116" s="77" t="str">
        <f>IFERROR(VLOOKUP(DESPESAS[[#This Row],[Plano de Contas]],BASE!$B$3:$F$119,4,FALSE),"")</f>
        <v>6 - DESPESA COM VENDAS</v>
      </c>
      <c r="K1116" s="77" t="str">
        <f>IFERROR(VLOOKUP(DESPESAS[[#This Row],[Plano de Contas]],BASE!$B$3:$H$119,5,FALSE),"")</f>
        <v>COMERCIAL</v>
      </c>
      <c r="L1116" s="77">
        <f>IFERROR(VLOOKUP(DESPESAS[[#This Row],[Plano de Contas]],BASE!$B$3:$H$119,6,FALSE),"")</f>
        <v>0</v>
      </c>
      <c r="M1116" s="77" t="str">
        <f>VLOOKUP(DESPESAS[[#This Row],[Plano de Contas]],BASE!$B$3:$H$119,7,FALSE)</f>
        <v>THAIS</v>
      </c>
    </row>
    <row r="1117" spans="1:13" x14ac:dyDescent="0.25">
      <c r="A1117" s="74">
        <v>197757</v>
      </c>
      <c r="B1117" s="75" t="s">
        <v>221</v>
      </c>
      <c r="C1117" s="75" t="s">
        <v>1899</v>
      </c>
      <c r="D1117" s="76">
        <v>46055</v>
      </c>
      <c r="E1117" s="75" t="s">
        <v>570</v>
      </c>
      <c r="F1117" s="74">
        <v>16000</v>
      </c>
      <c r="G1117" s="75" t="s">
        <v>365</v>
      </c>
      <c r="H1117" s="77" t="str">
        <f>VLOOKUP(DESPESAS[[#This Row],[Plano de Contas]],BASE!$B$3:$D$119,3,FALSE)</f>
        <v>Pró-Labore</v>
      </c>
      <c r="I1117" s="77" t="str">
        <f>IFERROR(VLOOKUP(DESPESAS[[#This Row],[Fornecedor]],Tabela2[],2,FALSE),"")</f>
        <v/>
      </c>
      <c r="J1117" s="77" t="str">
        <f>IFERROR(VLOOKUP(DESPESAS[[#This Row],[Plano de Contas]],BASE!$B$3:$F$119,4,FALSE),"")</f>
        <v>4 - GASTOS COM PESSOAL</v>
      </c>
      <c r="K1117" s="77" t="str">
        <f>IFERROR(VLOOKUP(DESPESAS[[#This Row],[Plano de Contas]],BASE!$B$3:$H$119,5,FALSE),"")</f>
        <v>DIRETORIA</v>
      </c>
      <c r="L1117" s="77">
        <f>IFERROR(VLOOKUP(DESPESAS[[#This Row],[Plano de Contas]],BASE!$B$3:$H$119,6,FALSE),"")</f>
        <v>0</v>
      </c>
      <c r="M1117" s="77" t="str">
        <f>VLOOKUP(DESPESAS[[#This Row],[Plano de Contas]],BASE!$B$3:$H$119,7,FALSE)</f>
        <v>FÁBIO</v>
      </c>
    </row>
    <row r="1118" spans="1:13" x14ac:dyDescent="0.25">
      <c r="A1118" s="74">
        <v>197758</v>
      </c>
      <c r="B1118" s="75" t="s">
        <v>281</v>
      </c>
      <c r="C1118" s="75" t="s">
        <v>1899</v>
      </c>
      <c r="D1118" s="76">
        <v>46055</v>
      </c>
      <c r="E1118" s="75" t="s">
        <v>369</v>
      </c>
      <c r="F1118" s="74">
        <v>5000</v>
      </c>
      <c r="G1118" s="75" t="s">
        <v>365</v>
      </c>
      <c r="H1118" s="77" t="str">
        <f>VLOOKUP(DESPESAS[[#This Row],[Plano de Contas]],BASE!$B$3:$D$119,3,FALSE)</f>
        <v>Pró-Labore</v>
      </c>
      <c r="I1118" s="77" t="str">
        <f>IFERROR(VLOOKUP(DESPESAS[[#This Row],[Fornecedor]],Tabela2[],2,FALSE),"")</f>
        <v/>
      </c>
      <c r="J1118" s="77" t="str">
        <f>IFERROR(VLOOKUP(DESPESAS[[#This Row],[Plano de Contas]],BASE!$B$3:$F$119,4,FALSE),"")</f>
        <v>4 - GASTOS COM PESSOAL</v>
      </c>
      <c r="K1118" s="77" t="str">
        <f>IFERROR(VLOOKUP(DESPESAS[[#This Row],[Plano de Contas]],BASE!$B$3:$H$119,5,FALSE),"")</f>
        <v>DIRETORIA</v>
      </c>
      <c r="L1118" s="77">
        <f>IFERROR(VLOOKUP(DESPESAS[[#This Row],[Plano de Contas]],BASE!$B$3:$H$119,6,FALSE),"")</f>
        <v>0</v>
      </c>
      <c r="M1118" s="77" t="str">
        <f>VLOOKUP(DESPESAS[[#This Row],[Plano de Contas]],BASE!$B$3:$H$119,7,FALSE)</f>
        <v>FÁBIO</v>
      </c>
    </row>
    <row r="1119" spans="1:13" x14ac:dyDescent="0.25">
      <c r="A1119" s="74">
        <v>197759</v>
      </c>
      <c r="B1119" s="75" t="s">
        <v>279</v>
      </c>
      <c r="C1119" s="75" t="s">
        <v>1899</v>
      </c>
      <c r="D1119" s="76">
        <v>46055</v>
      </c>
      <c r="E1119" s="75" t="s">
        <v>368</v>
      </c>
      <c r="F1119" s="74">
        <v>5000</v>
      </c>
      <c r="G1119" s="75" t="s">
        <v>365</v>
      </c>
      <c r="H1119" s="77" t="str">
        <f>VLOOKUP(DESPESAS[[#This Row],[Plano de Contas]],BASE!$B$3:$D$119,3,FALSE)</f>
        <v>Pró-Labore</v>
      </c>
      <c r="I1119" s="77" t="str">
        <f>IFERROR(VLOOKUP(DESPESAS[[#This Row],[Fornecedor]],Tabela2[],2,FALSE),"")</f>
        <v/>
      </c>
      <c r="J1119" s="77" t="str">
        <f>IFERROR(VLOOKUP(DESPESAS[[#This Row],[Plano de Contas]],BASE!$B$3:$F$119,4,FALSE),"")</f>
        <v>4 - GASTOS COM PESSOAL</v>
      </c>
      <c r="K1119" s="77" t="str">
        <f>IFERROR(VLOOKUP(DESPESAS[[#This Row],[Plano de Contas]],BASE!$B$3:$H$119,5,FALSE),"")</f>
        <v>DIRETORIA</v>
      </c>
      <c r="L1119" s="77">
        <f>IFERROR(VLOOKUP(DESPESAS[[#This Row],[Plano de Contas]],BASE!$B$3:$H$119,6,FALSE),"")</f>
        <v>0</v>
      </c>
      <c r="M1119" s="77" t="str">
        <f>VLOOKUP(DESPESAS[[#This Row],[Plano de Contas]],BASE!$B$3:$H$119,7,FALSE)</f>
        <v>FÁBIO</v>
      </c>
    </row>
    <row r="1120" spans="1:13" x14ac:dyDescent="0.25">
      <c r="A1120" s="74">
        <v>197760</v>
      </c>
      <c r="B1120" s="75" t="s">
        <v>232</v>
      </c>
      <c r="C1120" s="75" t="s">
        <v>1899</v>
      </c>
      <c r="D1120" s="76">
        <v>46055</v>
      </c>
      <c r="E1120" s="75" t="s">
        <v>366</v>
      </c>
      <c r="F1120" s="74">
        <v>6000</v>
      </c>
      <c r="G1120" s="75" t="s">
        <v>365</v>
      </c>
      <c r="H1120" s="77" t="str">
        <f>VLOOKUP(DESPESAS[[#This Row],[Plano de Contas]],BASE!$B$3:$D$119,3,FALSE)</f>
        <v>Pró-Labore</v>
      </c>
      <c r="I1120" s="77" t="str">
        <f>IFERROR(VLOOKUP(DESPESAS[[#This Row],[Fornecedor]],Tabela2[],2,FALSE),"")</f>
        <v/>
      </c>
      <c r="J1120" s="77" t="str">
        <f>IFERROR(VLOOKUP(DESPESAS[[#This Row],[Plano de Contas]],BASE!$B$3:$F$119,4,FALSE),"")</f>
        <v>4 - GASTOS COM PESSOAL</v>
      </c>
      <c r="K1120" s="77" t="str">
        <f>IFERROR(VLOOKUP(DESPESAS[[#This Row],[Plano de Contas]],BASE!$B$3:$H$119,5,FALSE),"")</f>
        <v>DIRETORIA</v>
      </c>
      <c r="L1120" s="77">
        <f>IFERROR(VLOOKUP(DESPESAS[[#This Row],[Plano de Contas]],BASE!$B$3:$H$119,6,FALSE),"")</f>
        <v>0</v>
      </c>
      <c r="M1120" s="77" t="str">
        <f>VLOOKUP(DESPESAS[[#This Row],[Plano de Contas]],BASE!$B$3:$H$119,7,FALSE)</f>
        <v>FÁBIO</v>
      </c>
    </row>
    <row r="1121" spans="1:13" x14ac:dyDescent="0.25">
      <c r="A1121" s="74">
        <v>197761</v>
      </c>
      <c r="B1121" s="75" t="s">
        <v>232</v>
      </c>
      <c r="C1121" s="75" t="s">
        <v>2454</v>
      </c>
      <c r="D1121" s="76">
        <v>46055</v>
      </c>
      <c r="E1121" s="75" t="s">
        <v>230</v>
      </c>
      <c r="F1121" s="74">
        <v>38.869999999999997</v>
      </c>
      <c r="G1121" s="75" t="s">
        <v>229</v>
      </c>
      <c r="H1121" s="77" t="str">
        <f>VLOOKUP(DESPESAS[[#This Row],[Plano de Contas]],BASE!$B$3:$D$119,3,FALSE)</f>
        <v>Despesas Bancarias</v>
      </c>
      <c r="I1121" s="77" t="str">
        <f>IFERROR(VLOOKUP(DESPESAS[[#This Row],[Fornecedor]],Tabela2[],2,FALSE),"")</f>
        <v/>
      </c>
      <c r="J1121" s="77" t="str">
        <f>IFERROR(VLOOKUP(DESPESAS[[#This Row],[Plano de Contas]],BASE!$B$3:$F$119,4,FALSE),"")</f>
        <v>8 - DESPESAS FINANCEIRAS</v>
      </c>
      <c r="K1121" s="77" t="str">
        <f>IFERROR(VLOOKUP(DESPESAS[[#This Row],[Plano de Contas]],BASE!$B$3:$H$119,5,FALSE),"")</f>
        <v>FINANCEIRO</v>
      </c>
      <c r="L1121" s="77">
        <f>IFERROR(VLOOKUP(DESPESAS[[#This Row],[Plano de Contas]],BASE!$B$3:$H$119,6,FALSE),"")</f>
        <v>0</v>
      </c>
      <c r="M1121" s="77" t="str">
        <f>VLOOKUP(DESPESAS[[#This Row],[Plano de Contas]],BASE!$B$3:$H$119,7,FALSE)</f>
        <v>LETÍCIA</v>
      </c>
    </row>
    <row r="1122" spans="1:13" x14ac:dyDescent="0.25">
      <c r="A1122" s="74">
        <v>197762</v>
      </c>
      <c r="B1122" s="75" t="s">
        <v>221</v>
      </c>
      <c r="C1122" s="75" t="s">
        <v>2453</v>
      </c>
      <c r="D1122" s="76">
        <v>46053</v>
      </c>
      <c r="E1122" s="75" t="s">
        <v>245</v>
      </c>
      <c r="F1122" s="74">
        <v>150</v>
      </c>
      <c r="G1122" s="75" t="s">
        <v>1037</v>
      </c>
      <c r="H1122" s="77" t="str">
        <f>VLOOKUP(DESPESAS[[#This Row],[Plano de Contas]],BASE!$B$3:$D$119,3,FALSE)</f>
        <v>Construções e Reformas</v>
      </c>
      <c r="I1122" s="77" t="str">
        <f>IFERROR(VLOOKUP(DESPESAS[[#This Row],[Fornecedor]],Tabela2[],2,FALSE),"")</f>
        <v>FERRAGENS GERAIS</v>
      </c>
      <c r="J1122" s="77" t="str">
        <f>IFERROR(VLOOKUP(DESPESAS[[#This Row],[Plano de Contas]],BASE!$B$3:$F$119,4,FALSE),"")</f>
        <v>9 - INVESTIMENTOS</v>
      </c>
      <c r="K1122" s="77" t="str">
        <f>IFERROR(VLOOKUP(DESPESAS[[#This Row],[Plano de Contas]],BASE!$B$3:$H$119,5,FALSE),"")</f>
        <v>MANUTENÇÃO / TI</v>
      </c>
      <c r="L1122" s="77">
        <f>IFERROR(VLOOKUP(DESPESAS[[#This Row],[Plano de Contas]],BASE!$B$3:$H$119,6,FALSE),"")</f>
        <v>0</v>
      </c>
      <c r="M1122" s="77" t="str">
        <f>VLOOKUP(DESPESAS[[#This Row],[Plano de Contas]],BASE!$B$3:$H$119,7,FALSE)</f>
        <v>FÁBIO</v>
      </c>
    </row>
    <row r="1123" spans="1:13" x14ac:dyDescent="0.25">
      <c r="A1123" s="74">
        <v>197763</v>
      </c>
      <c r="B1123" s="75" t="s">
        <v>232</v>
      </c>
      <c r="C1123" s="75" t="s">
        <v>2452</v>
      </c>
      <c r="D1123" s="76">
        <v>46055</v>
      </c>
      <c r="E1123" s="75" t="s">
        <v>230</v>
      </c>
      <c r="F1123" s="74">
        <v>24.49</v>
      </c>
      <c r="G1123" s="75" t="s">
        <v>229</v>
      </c>
      <c r="H1123" s="77" t="str">
        <f>VLOOKUP(DESPESAS[[#This Row],[Plano de Contas]],BASE!$B$3:$D$119,3,FALSE)</f>
        <v>Despesas Bancarias</v>
      </c>
      <c r="I1123" s="77" t="str">
        <f>IFERROR(VLOOKUP(DESPESAS[[#This Row],[Fornecedor]],Tabela2[],2,FALSE),"")</f>
        <v/>
      </c>
      <c r="J1123" s="77" t="str">
        <f>IFERROR(VLOOKUP(DESPESAS[[#This Row],[Plano de Contas]],BASE!$B$3:$F$119,4,FALSE),"")</f>
        <v>8 - DESPESAS FINANCEIRAS</v>
      </c>
      <c r="K1123" s="77" t="str">
        <f>IFERROR(VLOOKUP(DESPESAS[[#This Row],[Plano de Contas]],BASE!$B$3:$H$119,5,FALSE),"")</f>
        <v>FINANCEIRO</v>
      </c>
      <c r="L1123" s="77">
        <f>IFERROR(VLOOKUP(DESPESAS[[#This Row],[Plano de Contas]],BASE!$B$3:$H$119,6,FALSE),"")</f>
        <v>0</v>
      </c>
      <c r="M1123" s="77" t="str">
        <f>VLOOKUP(DESPESAS[[#This Row],[Plano de Contas]],BASE!$B$3:$H$119,7,FALSE)</f>
        <v>LETÍCIA</v>
      </c>
    </row>
    <row r="1124" spans="1:13" x14ac:dyDescent="0.25">
      <c r="A1124" s="74">
        <v>197764</v>
      </c>
      <c r="B1124" s="75" t="s">
        <v>232</v>
      </c>
      <c r="C1124" s="75" t="s">
        <v>2451</v>
      </c>
      <c r="D1124" s="76">
        <v>46055</v>
      </c>
      <c r="E1124" s="75" t="s">
        <v>230</v>
      </c>
      <c r="F1124" s="74">
        <v>64.33</v>
      </c>
      <c r="G1124" s="75" t="s">
        <v>356</v>
      </c>
      <c r="H1124" s="77" t="str">
        <f>VLOOKUP(DESPESAS[[#This Row],[Plano de Contas]],BASE!$B$3:$D$119,3,FALSE)</f>
        <v>Despesas Cartorárias</v>
      </c>
      <c r="I1124" s="77" t="str">
        <f>IFERROR(VLOOKUP(DESPESAS[[#This Row],[Fornecedor]],Tabela2[],2,FALSE),"")</f>
        <v/>
      </c>
      <c r="J1124" s="77" t="str">
        <f>IFERROR(VLOOKUP(DESPESAS[[#This Row],[Plano de Contas]],BASE!$B$3:$F$119,4,FALSE),"")</f>
        <v>5 - DESPESAS ADMINISTRATIVAS</v>
      </c>
      <c r="K1124" s="77" t="str">
        <f>IFERROR(VLOOKUP(DESPESAS[[#This Row],[Plano de Contas]],BASE!$B$3:$H$119,5,FALSE),"")</f>
        <v>FINANCEIRO</v>
      </c>
      <c r="L1124" s="77">
        <f>IFERROR(VLOOKUP(DESPESAS[[#This Row],[Plano de Contas]],BASE!$B$3:$H$119,6,FALSE),"")</f>
        <v>0</v>
      </c>
      <c r="M1124" s="77" t="str">
        <f>VLOOKUP(DESPESAS[[#This Row],[Plano de Contas]],BASE!$B$3:$H$119,7,FALSE)</f>
        <v>LETÍCIA</v>
      </c>
    </row>
    <row r="1125" spans="1:13" x14ac:dyDescent="0.25">
      <c r="A1125" s="74">
        <v>197765</v>
      </c>
      <c r="B1125" s="75" t="s">
        <v>232</v>
      </c>
      <c r="C1125" s="75" t="s">
        <v>2450</v>
      </c>
      <c r="D1125" s="76">
        <v>46055</v>
      </c>
      <c r="E1125" s="75" t="s">
        <v>230</v>
      </c>
      <c r="F1125" s="74">
        <v>17.22</v>
      </c>
      <c r="G1125" s="75" t="s">
        <v>356</v>
      </c>
      <c r="H1125" s="77" t="str">
        <f>VLOOKUP(DESPESAS[[#This Row],[Plano de Contas]],BASE!$B$3:$D$119,3,FALSE)</f>
        <v>Despesas Cartorárias</v>
      </c>
      <c r="I1125" s="77" t="str">
        <f>IFERROR(VLOOKUP(DESPESAS[[#This Row],[Fornecedor]],Tabela2[],2,FALSE),"")</f>
        <v/>
      </c>
      <c r="J1125" s="77" t="str">
        <f>IFERROR(VLOOKUP(DESPESAS[[#This Row],[Plano de Contas]],BASE!$B$3:$F$119,4,FALSE),"")</f>
        <v>5 - DESPESAS ADMINISTRATIVAS</v>
      </c>
      <c r="K1125" s="77" t="str">
        <f>IFERROR(VLOOKUP(DESPESAS[[#This Row],[Plano de Contas]],BASE!$B$3:$H$119,5,FALSE),"")</f>
        <v>FINANCEIRO</v>
      </c>
      <c r="L1125" s="77">
        <f>IFERROR(VLOOKUP(DESPESAS[[#This Row],[Plano de Contas]],BASE!$B$3:$H$119,6,FALSE),"")</f>
        <v>0</v>
      </c>
      <c r="M1125" s="77" t="str">
        <f>VLOOKUP(DESPESAS[[#This Row],[Plano de Contas]],BASE!$B$3:$H$119,7,FALSE)</f>
        <v>LETÍCIA</v>
      </c>
    </row>
    <row r="1126" spans="1:13" x14ac:dyDescent="0.25">
      <c r="A1126" s="74">
        <v>197766</v>
      </c>
      <c r="B1126" s="75" t="s">
        <v>279</v>
      </c>
      <c r="C1126" s="75" t="s">
        <v>2449</v>
      </c>
      <c r="D1126" s="76">
        <v>46055</v>
      </c>
      <c r="E1126" s="75" t="s">
        <v>230</v>
      </c>
      <c r="F1126" s="74">
        <v>4.3499999999999996</v>
      </c>
      <c r="G1126" s="75" t="s">
        <v>229</v>
      </c>
      <c r="H1126" s="77" t="str">
        <f>VLOOKUP(DESPESAS[[#This Row],[Plano de Contas]],BASE!$B$3:$D$119,3,FALSE)</f>
        <v>Despesas Bancarias</v>
      </c>
      <c r="I1126" s="77" t="str">
        <f>IFERROR(VLOOKUP(DESPESAS[[#This Row],[Fornecedor]],Tabela2[],2,FALSE),"")</f>
        <v/>
      </c>
      <c r="J1126" s="77" t="str">
        <f>IFERROR(VLOOKUP(DESPESAS[[#This Row],[Plano de Contas]],BASE!$B$3:$F$119,4,FALSE),"")</f>
        <v>8 - DESPESAS FINANCEIRAS</v>
      </c>
      <c r="K1126" s="77" t="str">
        <f>IFERROR(VLOOKUP(DESPESAS[[#This Row],[Plano de Contas]],BASE!$B$3:$H$119,5,FALSE),"")</f>
        <v>FINANCEIRO</v>
      </c>
      <c r="L1126" s="77">
        <f>IFERROR(VLOOKUP(DESPESAS[[#This Row],[Plano de Contas]],BASE!$B$3:$H$119,6,FALSE),"")</f>
        <v>0</v>
      </c>
      <c r="M1126" s="77" t="str">
        <f>VLOOKUP(DESPESAS[[#This Row],[Plano de Contas]],BASE!$B$3:$H$119,7,FALSE)</f>
        <v>LETÍCIA</v>
      </c>
    </row>
    <row r="1127" spans="1:13" x14ac:dyDescent="0.25">
      <c r="A1127" s="74">
        <v>197767</v>
      </c>
      <c r="B1127" s="75" t="s">
        <v>279</v>
      </c>
      <c r="C1127" s="75" t="s">
        <v>2448</v>
      </c>
      <c r="D1127" s="76">
        <v>46055</v>
      </c>
      <c r="E1127" s="75" t="s">
        <v>230</v>
      </c>
      <c r="F1127" s="74">
        <v>7.9</v>
      </c>
      <c r="G1127" s="75" t="s">
        <v>229</v>
      </c>
      <c r="H1127" s="77" t="str">
        <f>VLOOKUP(DESPESAS[[#This Row],[Plano de Contas]],BASE!$B$3:$D$119,3,FALSE)</f>
        <v>Despesas Bancarias</v>
      </c>
      <c r="I1127" s="77" t="str">
        <f>IFERROR(VLOOKUP(DESPESAS[[#This Row],[Fornecedor]],Tabela2[],2,FALSE),"")</f>
        <v/>
      </c>
      <c r="J1127" s="77" t="str">
        <f>IFERROR(VLOOKUP(DESPESAS[[#This Row],[Plano de Contas]],BASE!$B$3:$F$119,4,FALSE),"")</f>
        <v>8 - DESPESAS FINANCEIRAS</v>
      </c>
      <c r="K1127" s="77" t="str">
        <f>IFERROR(VLOOKUP(DESPESAS[[#This Row],[Plano de Contas]],BASE!$B$3:$H$119,5,FALSE),"")</f>
        <v>FINANCEIRO</v>
      </c>
      <c r="L1127" s="77">
        <f>IFERROR(VLOOKUP(DESPESAS[[#This Row],[Plano de Contas]],BASE!$B$3:$H$119,6,FALSE),"")</f>
        <v>0</v>
      </c>
      <c r="M1127" s="77" t="str">
        <f>VLOOKUP(DESPESAS[[#This Row],[Plano de Contas]],BASE!$B$3:$H$119,7,FALSE)</f>
        <v>LETÍCIA</v>
      </c>
    </row>
    <row r="1128" spans="1:13" x14ac:dyDescent="0.25">
      <c r="A1128" s="74">
        <v>197768</v>
      </c>
      <c r="B1128" s="75" t="s">
        <v>232</v>
      </c>
      <c r="C1128" s="75" t="s">
        <v>2439</v>
      </c>
      <c r="D1128" s="76">
        <v>46053</v>
      </c>
      <c r="E1128" s="75" t="s">
        <v>899</v>
      </c>
      <c r="F1128" s="74">
        <v>3209.2</v>
      </c>
      <c r="G1128" s="75" t="s">
        <v>430</v>
      </c>
      <c r="H1128" s="77" t="str">
        <f>VLOOKUP(DESPESAS[[#This Row],[Plano de Contas]],BASE!$B$3:$D$119,3,FALSE)</f>
        <v>Salarios e Ordenados MOD</v>
      </c>
      <c r="I1128" s="77" t="str">
        <f>IFERROR(VLOOKUP(DESPESAS[[#This Row],[Fornecedor]],Tabela2[],2,FALSE),"")</f>
        <v/>
      </c>
      <c r="J1128" s="77" t="str">
        <f>IFERROR(VLOOKUP(DESPESAS[[#This Row],[Plano de Contas]],BASE!$B$3:$F$119,4,FALSE),"")</f>
        <v>2 - CUSTOS DIRETOS</v>
      </c>
      <c r="K1128" s="77" t="str">
        <f>IFERROR(VLOOKUP(DESPESAS[[#This Row],[Plano de Contas]],BASE!$B$3:$H$119,5,FALSE),"")</f>
        <v>DH</v>
      </c>
      <c r="L1128" s="77" t="str">
        <f>IFERROR(VLOOKUP(DESPESAS[[#This Row],[Plano de Contas]],BASE!$B$3:$H$119,6,FALSE),"")</f>
        <v>CUSTO MÃO DE OBRA DIRETA</v>
      </c>
      <c r="M1128" s="77" t="str">
        <f>VLOOKUP(DESPESAS[[#This Row],[Plano de Contas]],BASE!$B$3:$H$119,7,FALSE)</f>
        <v>RAFAEL</v>
      </c>
    </row>
    <row r="1129" spans="1:13" x14ac:dyDescent="0.25">
      <c r="A1129" s="74">
        <v>197769</v>
      </c>
      <c r="B1129" s="75" t="s">
        <v>232</v>
      </c>
      <c r="C1129" s="75" t="s">
        <v>2439</v>
      </c>
      <c r="D1129" s="76">
        <v>46053</v>
      </c>
      <c r="E1129" s="75" t="s">
        <v>898</v>
      </c>
      <c r="F1129" s="74">
        <v>755.82</v>
      </c>
      <c r="G1129" s="75" t="s">
        <v>430</v>
      </c>
      <c r="H1129" s="77" t="str">
        <f>VLOOKUP(DESPESAS[[#This Row],[Plano de Contas]],BASE!$B$3:$D$119,3,FALSE)</f>
        <v>Salarios e Ordenados MOD</v>
      </c>
      <c r="I1129" s="77" t="str">
        <f>IFERROR(VLOOKUP(DESPESAS[[#This Row],[Fornecedor]],Tabela2[],2,FALSE),"")</f>
        <v/>
      </c>
      <c r="J1129" s="77" t="str">
        <f>IFERROR(VLOOKUP(DESPESAS[[#This Row],[Plano de Contas]],BASE!$B$3:$F$119,4,FALSE),"")</f>
        <v>2 - CUSTOS DIRETOS</v>
      </c>
      <c r="K1129" s="77" t="str">
        <f>IFERROR(VLOOKUP(DESPESAS[[#This Row],[Plano de Contas]],BASE!$B$3:$H$119,5,FALSE),"")</f>
        <v>DH</v>
      </c>
      <c r="L1129" s="77" t="str">
        <f>IFERROR(VLOOKUP(DESPESAS[[#This Row],[Plano de Contas]],BASE!$B$3:$H$119,6,FALSE),"")</f>
        <v>CUSTO MÃO DE OBRA DIRETA</v>
      </c>
      <c r="M1129" s="77" t="str">
        <f>VLOOKUP(DESPESAS[[#This Row],[Plano de Contas]],BASE!$B$3:$H$119,7,FALSE)</f>
        <v>RAFAEL</v>
      </c>
    </row>
    <row r="1130" spans="1:13" x14ac:dyDescent="0.25">
      <c r="A1130" s="74">
        <v>197770</v>
      </c>
      <c r="B1130" s="75" t="s">
        <v>232</v>
      </c>
      <c r="C1130" s="75" t="s">
        <v>2439</v>
      </c>
      <c r="D1130" s="76">
        <v>46053</v>
      </c>
      <c r="E1130" s="75" t="s">
        <v>897</v>
      </c>
      <c r="F1130" s="74">
        <v>3381.8</v>
      </c>
      <c r="G1130" s="75" t="s">
        <v>430</v>
      </c>
      <c r="H1130" s="77" t="str">
        <f>VLOOKUP(DESPESAS[[#This Row],[Plano de Contas]],BASE!$B$3:$D$119,3,FALSE)</f>
        <v>Salarios e Ordenados MOD</v>
      </c>
      <c r="I1130" s="77" t="str">
        <f>IFERROR(VLOOKUP(DESPESAS[[#This Row],[Fornecedor]],Tabela2[],2,FALSE),"")</f>
        <v/>
      </c>
      <c r="J1130" s="77" t="str">
        <f>IFERROR(VLOOKUP(DESPESAS[[#This Row],[Plano de Contas]],BASE!$B$3:$F$119,4,FALSE),"")</f>
        <v>2 - CUSTOS DIRETOS</v>
      </c>
      <c r="K1130" s="77" t="str">
        <f>IFERROR(VLOOKUP(DESPESAS[[#This Row],[Plano de Contas]],BASE!$B$3:$H$119,5,FALSE),"")</f>
        <v>DH</v>
      </c>
      <c r="L1130" s="77" t="str">
        <f>IFERROR(VLOOKUP(DESPESAS[[#This Row],[Plano de Contas]],BASE!$B$3:$H$119,6,FALSE),"")</f>
        <v>CUSTO MÃO DE OBRA DIRETA</v>
      </c>
      <c r="M1130" s="77" t="str">
        <f>VLOOKUP(DESPESAS[[#This Row],[Plano de Contas]],BASE!$B$3:$H$119,7,FALSE)</f>
        <v>RAFAEL</v>
      </c>
    </row>
    <row r="1131" spans="1:13" x14ac:dyDescent="0.25">
      <c r="A1131" s="74">
        <v>197771</v>
      </c>
      <c r="B1131" s="75" t="s">
        <v>232</v>
      </c>
      <c r="C1131" s="75" t="s">
        <v>2439</v>
      </c>
      <c r="D1131" s="76">
        <v>46053</v>
      </c>
      <c r="E1131" s="75" t="s">
        <v>896</v>
      </c>
      <c r="F1131" s="74">
        <v>2059.17</v>
      </c>
      <c r="G1131" s="75" t="s">
        <v>430</v>
      </c>
      <c r="H1131" s="77" t="str">
        <f>VLOOKUP(DESPESAS[[#This Row],[Plano de Contas]],BASE!$B$3:$D$119,3,FALSE)</f>
        <v>Salarios e Ordenados MOD</v>
      </c>
      <c r="I1131" s="77" t="str">
        <f>IFERROR(VLOOKUP(DESPESAS[[#This Row],[Fornecedor]],Tabela2[],2,FALSE),"")</f>
        <v/>
      </c>
      <c r="J1131" s="77" t="str">
        <f>IFERROR(VLOOKUP(DESPESAS[[#This Row],[Plano de Contas]],BASE!$B$3:$F$119,4,FALSE),"")</f>
        <v>2 - CUSTOS DIRETOS</v>
      </c>
      <c r="K1131" s="77" t="str">
        <f>IFERROR(VLOOKUP(DESPESAS[[#This Row],[Plano de Contas]],BASE!$B$3:$H$119,5,FALSE),"")</f>
        <v>DH</v>
      </c>
      <c r="L1131" s="77" t="str">
        <f>IFERROR(VLOOKUP(DESPESAS[[#This Row],[Plano de Contas]],BASE!$B$3:$H$119,6,FALSE),"")</f>
        <v>CUSTO MÃO DE OBRA DIRETA</v>
      </c>
      <c r="M1131" s="77" t="str">
        <f>VLOOKUP(DESPESAS[[#This Row],[Plano de Contas]],BASE!$B$3:$H$119,7,FALSE)</f>
        <v>RAFAEL</v>
      </c>
    </row>
    <row r="1132" spans="1:13" x14ac:dyDescent="0.25">
      <c r="A1132" s="74">
        <v>197772</v>
      </c>
      <c r="B1132" s="75" t="s">
        <v>232</v>
      </c>
      <c r="C1132" s="75" t="s">
        <v>2439</v>
      </c>
      <c r="D1132" s="76">
        <v>46053</v>
      </c>
      <c r="E1132" s="75" t="s">
        <v>474</v>
      </c>
      <c r="F1132" s="74">
        <v>2487.92</v>
      </c>
      <c r="G1132" s="75" t="s">
        <v>627</v>
      </c>
      <c r="H1132" s="77" t="str">
        <f>VLOOKUP(DESPESAS[[#This Row],[Plano de Contas]],BASE!$B$3:$D$119,3,FALSE)</f>
        <v>Salarios e Ordenados (Adm)</v>
      </c>
      <c r="I1132" s="77" t="str">
        <f>IFERROR(VLOOKUP(DESPESAS[[#This Row],[Fornecedor]],Tabela2[],2,FALSE),"")</f>
        <v/>
      </c>
      <c r="J1132" s="77" t="str">
        <f>IFERROR(VLOOKUP(DESPESAS[[#This Row],[Plano de Contas]],BASE!$B$3:$F$119,4,FALSE),"")</f>
        <v>4 - GASTOS COM PESSOAL</v>
      </c>
      <c r="K1132" s="77" t="str">
        <f>IFERROR(VLOOKUP(DESPESAS[[#This Row],[Plano de Contas]],BASE!$B$3:$H$119,5,FALSE),"")</f>
        <v>DH</v>
      </c>
      <c r="L1132" s="77">
        <f>IFERROR(VLOOKUP(DESPESAS[[#This Row],[Plano de Contas]],BASE!$B$3:$H$119,6,FALSE),"")</f>
        <v>0</v>
      </c>
      <c r="M1132" s="77" t="str">
        <f>VLOOKUP(DESPESAS[[#This Row],[Plano de Contas]],BASE!$B$3:$H$119,7,FALSE)</f>
        <v>RAFAEL</v>
      </c>
    </row>
    <row r="1133" spans="1:13" x14ac:dyDescent="0.25">
      <c r="A1133" s="74">
        <v>197773</v>
      </c>
      <c r="B1133" s="75" t="s">
        <v>232</v>
      </c>
      <c r="C1133" s="75" t="s">
        <v>2439</v>
      </c>
      <c r="D1133" s="76">
        <v>46053</v>
      </c>
      <c r="E1133" s="75" t="s">
        <v>895</v>
      </c>
      <c r="F1133" s="74">
        <v>2876.4</v>
      </c>
      <c r="G1133" s="75" t="s">
        <v>430</v>
      </c>
      <c r="H1133" s="77" t="str">
        <f>VLOOKUP(DESPESAS[[#This Row],[Plano de Contas]],BASE!$B$3:$D$119,3,FALSE)</f>
        <v>Salarios e Ordenados MOD</v>
      </c>
      <c r="I1133" s="77" t="str">
        <f>IFERROR(VLOOKUP(DESPESAS[[#This Row],[Fornecedor]],Tabela2[],2,FALSE),"")</f>
        <v/>
      </c>
      <c r="J1133" s="77" t="str">
        <f>IFERROR(VLOOKUP(DESPESAS[[#This Row],[Plano de Contas]],BASE!$B$3:$F$119,4,FALSE),"")</f>
        <v>2 - CUSTOS DIRETOS</v>
      </c>
      <c r="K1133" s="77" t="str">
        <f>IFERROR(VLOOKUP(DESPESAS[[#This Row],[Plano de Contas]],BASE!$B$3:$H$119,5,FALSE),"")</f>
        <v>DH</v>
      </c>
      <c r="L1133" s="77" t="str">
        <f>IFERROR(VLOOKUP(DESPESAS[[#This Row],[Plano de Contas]],BASE!$B$3:$H$119,6,FALSE),"")</f>
        <v>CUSTO MÃO DE OBRA DIRETA</v>
      </c>
      <c r="M1133" s="77" t="str">
        <f>VLOOKUP(DESPESAS[[#This Row],[Plano de Contas]],BASE!$B$3:$H$119,7,FALSE)</f>
        <v>RAFAEL</v>
      </c>
    </row>
    <row r="1134" spans="1:13" x14ac:dyDescent="0.25">
      <c r="A1134" s="74">
        <v>197774</v>
      </c>
      <c r="B1134" s="75" t="s">
        <v>232</v>
      </c>
      <c r="C1134" s="75" t="s">
        <v>2439</v>
      </c>
      <c r="D1134" s="76">
        <v>46053</v>
      </c>
      <c r="E1134" s="75" t="s">
        <v>1832</v>
      </c>
      <c r="F1134" s="74">
        <v>1829.34</v>
      </c>
      <c r="G1134" s="75" t="s">
        <v>430</v>
      </c>
      <c r="H1134" s="77" t="str">
        <f>VLOOKUP(DESPESAS[[#This Row],[Plano de Contas]],BASE!$B$3:$D$119,3,FALSE)</f>
        <v>Salarios e Ordenados MOD</v>
      </c>
      <c r="I1134" s="77" t="str">
        <f>IFERROR(VLOOKUP(DESPESAS[[#This Row],[Fornecedor]],Tabela2[],2,FALSE),"")</f>
        <v/>
      </c>
      <c r="J1134" s="77" t="str">
        <f>IFERROR(VLOOKUP(DESPESAS[[#This Row],[Plano de Contas]],BASE!$B$3:$F$119,4,FALSE),"")</f>
        <v>2 - CUSTOS DIRETOS</v>
      </c>
      <c r="K1134" s="77" t="str">
        <f>IFERROR(VLOOKUP(DESPESAS[[#This Row],[Plano de Contas]],BASE!$B$3:$H$119,5,FALSE),"")</f>
        <v>DH</v>
      </c>
      <c r="L1134" s="77" t="str">
        <f>IFERROR(VLOOKUP(DESPESAS[[#This Row],[Plano de Contas]],BASE!$B$3:$H$119,6,FALSE),"")</f>
        <v>CUSTO MÃO DE OBRA DIRETA</v>
      </c>
      <c r="M1134" s="77" t="str">
        <f>VLOOKUP(DESPESAS[[#This Row],[Plano de Contas]],BASE!$B$3:$H$119,7,FALSE)</f>
        <v>RAFAEL</v>
      </c>
    </row>
    <row r="1135" spans="1:13" x14ac:dyDescent="0.25">
      <c r="A1135" s="74">
        <v>197775</v>
      </c>
      <c r="B1135" s="75" t="s">
        <v>232</v>
      </c>
      <c r="C1135" s="75" t="s">
        <v>2439</v>
      </c>
      <c r="D1135" s="76">
        <v>46053</v>
      </c>
      <c r="E1135" s="75" t="s">
        <v>894</v>
      </c>
      <c r="F1135" s="74">
        <v>3520.46</v>
      </c>
      <c r="G1135" s="75" t="s">
        <v>430</v>
      </c>
      <c r="H1135" s="77" t="str">
        <f>VLOOKUP(DESPESAS[[#This Row],[Plano de Contas]],BASE!$B$3:$D$119,3,FALSE)</f>
        <v>Salarios e Ordenados MOD</v>
      </c>
      <c r="I1135" s="77" t="str">
        <f>IFERROR(VLOOKUP(DESPESAS[[#This Row],[Fornecedor]],Tabela2[],2,FALSE),"")</f>
        <v/>
      </c>
      <c r="J1135" s="77" t="str">
        <f>IFERROR(VLOOKUP(DESPESAS[[#This Row],[Plano de Contas]],BASE!$B$3:$F$119,4,FALSE),"")</f>
        <v>2 - CUSTOS DIRETOS</v>
      </c>
      <c r="K1135" s="77" t="str">
        <f>IFERROR(VLOOKUP(DESPESAS[[#This Row],[Plano de Contas]],BASE!$B$3:$H$119,5,FALSE),"")</f>
        <v>DH</v>
      </c>
      <c r="L1135" s="77" t="str">
        <f>IFERROR(VLOOKUP(DESPESAS[[#This Row],[Plano de Contas]],BASE!$B$3:$H$119,6,FALSE),"")</f>
        <v>CUSTO MÃO DE OBRA DIRETA</v>
      </c>
      <c r="M1135" s="77" t="str">
        <f>VLOOKUP(DESPESAS[[#This Row],[Plano de Contas]],BASE!$B$3:$H$119,7,FALSE)</f>
        <v>RAFAEL</v>
      </c>
    </row>
    <row r="1136" spans="1:13" x14ac:dyDescent="0.25">
      <c r="A1136" s="74">
        <v>197776</v>
      </c>
      <c r="B1136" s="75" t="s">
        <v>232</v>
      </c>
      <c r="C1136" s="75" t="s">
        <v>2439</v>
      </c>
      <c r="D1136" s="76">
        <v>46053</v>
      </c>
      <c r="E1136" s="75" t="s">
        <v>893</v>
      </c>
      <c r="F1136" s="74">
        <v>2070.46</v>
      </c>
      <c r="G1136" s="75" t="s">
        <v>627</v>
      </c>
      <c r="H1136" s="77" t="str">
        <f>VLOOKUP(DESPESAS[[#This Row],[Plano de Contas]],BASE!$B$3:$D$119,3,FALSE)</f>
        <v>Salarios e Ordenados (Adm)</v>
      </c>
      <c r="I1136" s="77" t="str">
        <f>IFERROR(VLOOKUP(DESPESAS[[#This Row],[Fornecedor]],Tabela2[],2,FALSE),"")</f>
        <v/>
      </c>
      <c r="J1136" s="77" t="str">
        <f>IFERROR(VLOOKUP(DESPESAS[[#This Row],[Plano de Contas]],BASE!$B$3:$F$119,4,FALSE),"")</f>
        <v>4 - GASTOS COM PESSOAL</v>
      </c>
      <c r="K1136" s="77" t="str">
        <f>IFERROR(VLOOKUP(DESPESAS[[#This Row],[Plano de Contas]],BASE!$B$3:$H$119,5,FALSE),"")</f>
        <v>DH</v>
      </c>
      <c r="L1136" s="77">
        <f>IFERROR(VLOOKUP(DESPESAS[[#This Row],[Plano de Contas]],BASE!$B$3:$H$119,6,FALSE),"")</f>
        <v>0</v>
      </c>
      <c r="M1136" s="77" t="str">
        <f>VLOOKUP(DESPESAS[[#This Row],[Plano de Contas]],BASE!$B$3:$H$119,7,FALSE)</f>
        <v>RAFAEL</v>
      </c>
    </row>
    <row r="1137" spans="1:13" x14ac:dyDescent="0.25">
      <c r="A1137" s="74">
        <v>197778</v>
      </c>
      <c r="B1137" s="75" t="s">
        <v>232</v>
      </c>
      <c r="C1137" s="75" t="s">
        <v>2439</v>
      </c>
      <c r="D1137" s="76">
        <v>46053</v>
      </c>
      <c r="E1137" s="75" t="s">
        <v>1379</v>
      </c>
      <c r="F1137" s="74">
        <v>1988.49</v>
      </c>
      <c r="G1137" s="75" t="s">
        <v>430</v>
      </c>
      <c r="H1137" s="77" t="str">
        <f>VLOOKUP(DESPESAS[[#This Row],[Plano de Contas]],BASE!$B$3:$D$119,3,FALSE)</f>
        <v>Salarios e Ordenados MOD</v>
      </c>
      <c r="I1137" s="77" t="str">
        <f>IFERROR(VLOOKUP(DESPESAS[[#This Row],[Fornecedor]],Tabela2[],2,FALSE),"")</f>
        <v/>
      </c>
      <c r="J1137" s="77" t="str">
        <f>IFERROR(VLOOKUP(DESPESAS[[#This Row],[Plano de Contas]],BASE!$B$3:$F$119,4,FALSE),"")</f>
        <v>2 - CUSTOS DIRETOS</v>
      </c>
      <c r="K1137" s="77" t="str">
        <f>IFERROR(VLOOKUP(DESPESAS[[#This Row],[Plano de Contas]],BASE!$B$3:$H$119,5,FALSE),"")</f>
        <v>DH</v>
      </c>
      <c r="L1137" s="77" t="str">
        <f>IFERROR(VLOOKUP(DESPESAS[[#This Row],[Plano de Contas]],BASE!$B$3:$H$119,6,FALSE),"")</f>
        <v>CUSTO MÃO DE OBRA DIRETA</v>
      </c>
      <c r="M1137" s="77" t="str">
        <f>VLOOKUP(DESPESAS[[#This Row],[Plano de Contas]],BASE!$B$3:$H$119,7,FALSE)</f>
        <v>RAFAEL</v>
      </c>
    </row>
    <row r="1138" spans="1:13" x14ac:dyDescent="0.25">
      <c r="A1138" s="74">
        <v>197779</v>
      </c>
      <c r="B1138" s="75" t="s">
        <v>232</v>
      </c>
      <c r="C1138" s="75" t="s">
        <v>2439</v>
      </c>
      <c r="D1138" s="76">
        <v>46053</v>
      </c>
      <c r="E1138" s="75" t="s">
        <v>226</v>
      </c>
      <c r="F1138" s="74">
        <v>2647.95</v>
      </c>
      <c r="G1138" s="75" t="s">
        <v>653</v>
      </c>
      <c r="H1138" s="77" t="str">
        <f>VLOOKUP(DESPESAS[[#This Row],[Plano de Contas]],BASE!$B$3:$D$119,3,FALSE)</f>
        <v>Salarios e Ordenados CIF</v>
      </c>
      <c r="I1138" s="77" t="str">
        <f>IFERROR(VLOOKUP(DESPESAS[[#This Row],[Fornecedor]],Tabela2[],2,FALSE),"")</f>
        <v/>
      </c>
      <c r="J1138" s="77" t="str">
        <f>IFERROR(VLOOKUP(DESPESAS[[#This Row],[Plano de Contas]],BASE!$B$3:$F$119,4,FALSE),"")</f>
        <v>3 - CUSTOS INDIRETOS</v>
      </c>
      <c r="K1138" s="77" t="str">
        <f>IFERROR(VLOOKUP(DESPESAS[[#This Row],[Plano de Contas]],BASE!$B$3:$H$119,5,FALSE),"")</f>
        <v>DH</v>
      </c>
      <c r="L1138" s="77" t="str">
        <f>IFERROR(VLOOKUP(DESPESAS[[#This Row],[Plano de Contas]],BASE!$B$3:$H$119,6,FALSE),"")</f>
        <v>CUSTO MÃO DE OBRA DIRETA</v>
      </c>
      <c r="M1138" s="77" t="str">
        <f>VLOOKUP(DESPESAS[[#This Row],[Plano de Contas]],BASE!$B$3:$H$119,7,FALSE)</f>
        <v>RAFAEL</v>
      </c>
    </row>
    <row r="1139" spans="1:13" x14ac:dyDescent="0.25">
      <c r="A1139" s="74">
        <v>197780</v>
      </c>
      <c r="B1139" s="75" t="s">
        <v>232</v>
      </c>
      <c r="C1139" s="75" t="s">
        <v>2439</v>
      </c>
      <c r="D1139" s="76">
        <v>46053</v>
      </c>
      <c r="E1139" s="75" t="s">
        <v>891</v>
      </c>
      <c r="F1139" s="74">
        <v>1936.02</v>
      </c>
      <c r="G1139" s="75" t="s">
        <v>430</v>
      </c>
      <c r="H1139" s="77" t="str">
        <f>VLOOKUP(DESPESAS[[#This Row],[Plano de Contas]],BASE!$B$3:$D$119,3,FALSE)</f>
        <v>Salarios e Ordenados MOD</v>
      </c>
      <c r="I1139" s="77" t="str">
        <f>IFERROR(VLOOKUP(DESPESAS[[#This Row],[Fornecedor]],Tabela2[],2,FALSE),"")</f>
        <v/>
      </c>
      <c r="J1139" s="77" t="str">
        <f>IFERROR(VLOOKUP(DESPESAS[[#This Row],[Plano de Contas]],BASE!$B$3:$F$119,4,FALSE),"")</f>
        <v>2 - CUSTOS DIRETOS</v>
      </c>
      <c r="K1139" s="77" t="str">
        <f>IFERROR(VLOOKUP(DESPESAS[[#This Row],[Plano de Contas]],BASE!$B$3:$H$119,5,FALSE),"")</f>
        <v>DH</v>
      </c>
      <c r="L1139" s="77" t="str">
        <f>IFERROR(VLOOKUP(DESPESAS[[#This Row],[Plano de Contas]],BASE!$B$3:$H$119,6,FALSE),"")</f>
        <v>CUSTO MÃO DE OBRA DIRETA</v>
      </c>
      <c r="M1139" s="77" t="str">
        <f>VLOOKUP(DESPESAS[[#This Row],[Plano de Contas]],BASE!$B$3:$H$119,7,FALSE)</f>
        <v>RAFAEL</v>
      </c>
    </row>
    <row r="1140" spans="1:13" x14ac:dyDescent="0.25">
      <c r="A1140" s="74">
        <v>197781</v>
      </c>
      <c r="B1140" s="75" t="s">
        <v>232</v>
      </c>
      <c r="C1140" s="75" t="s">
        <v>2439</v>
      </c>
      <c r="D1140" s="76">
        <v>46053</v>
      </c>
      <c r="E1140" s="75" t="s">
        <v>371</v>
      </c>
      <c r="F1140" s="74">
        <v>2046.36</v>
      </c>
      <c r="G1140" s="75" t="s">
        <v>627</v>
      </c>
      <c r="H1140" s="77" t="str">
        <f>VLOOKUP(DESPESAS[[#This Row],[Plano de Contas]],BASE!$B$3:$D$119,3,FALSE)</f>
        <v>Salarios e Ordenados (Adm)</v>
      </c>
      <c r="I1140" s="77" t="str">
        <f>IFERROR(VLOOKUP(DESPESAS[[#This Row],[Fornecedor]],Tabela2[],2,FALSE),"")</f>
        <v/>
      </c>
      <c r="J1140" s="77" t="str">
        <f>IFERROR(VLOOKUP(DESPESAS[[#This Row],[Plano de Contas]],BASE!$B$3:$F$119,4,FALSE),"")</f>
        <v>4 - GASTOS COM PESSOAL</v>
      </c>
      <c r="K1140" s="77" t="str">
        <f>IFERROR(VLOOKUP(DESPESAS[[#This Row],[Plano de Contas]],BASE!$B$3:$H$119,5,FALSE),"")</f>
        <v>DH</v>
      </c>
      <c r="L1140" s="77">
        <f>IFERROR(VLOOKUP(DESPESAS[[#This Row],[Plano de Contas]],BASE!$B$3:$H$119,6,FALSE),"")</f>
        <v>0</v>
      </c>
      <c r="M1140" s="77" t="str">
        <f>VLOOKUP(DESPESAS[[#This Row],[Plano de Contas]],BASE!$B$3:$H$119,7,FALSE)</f>
        <v>RAFAEL</v>
      </c>
    </row>
    <row r="1141" spans="1:13" x14ac:dyDescent="0.25">
      <c r="A1141" s="74">
        <v>197782</v>
      </c>
      <c r="B1141" s="75" t="s">
        <v>232</v>
      </c>
      <c r="C1141" s="75" t="s">
        <v>2439</v>
      </c>
      <c r="D1141" s="76">
        <v>46053</v>
      </c>
      <c r="E1141" s="75" t="s">
        <v>890</v>
      </c>
      <c r="F1141" s="74">
        <v>744.74</v>
      </c>
      <c r="G1141" s="75" t="s">
        <v>627</v>
      </c>
      <c r="H1141" s="77" t="str">
        <f>VLOOKUP(DESPESAS[[#This Row],[Plano de Contas]],BASE!$B$3:$D$119,3,FALSE)</f>
        <v>Salarios e Ordenados (Adm)</v>
      </c>
      <c r="I1141" s="77" t="str">
        <f>IFERROR(VLOOKUP(DESPESAS[[#This Row],[Fornecedor]],Tabela2[],2,FALSE),"")</f>
        <v/>
      </c>
      <c r="J1141" s="77" t="str">
        <f>IFERROR(VLOOKUP(DESPESAS[[#This Row],[Plano de Contas]],BASE!$B$3:$F$119,4,FALSE),"")</f>
        <v>4 - GASTOS COM PESSOAL</v>
      </c>
      <c r="K1141" s="77" t="str">
        <f>IFERROR(VLOOKUP(DESPESAS[[#This Row],[Plano de Contas]],BASE!$B$3:$H$119,5,FALSE),"")</f>
        <v>DH</v>
      </c>
      <c r="L1141" s="77">
        <f>IFERROR(VLOOKUP(DESPESAS[[#This Row],[Plano de Contas]],BASE!$B$3:$H$119,6,FALSE),"")</f>
        <v>0</v>
      </c>
      <c r="M1141" s="77" t="str">
        <f>VLOOKUP(DESPESAS[[#This Row],[Plano de Contas]],BASE!$B$3:$H$119,7,FALSE)</f>
        <v>RAFAEL</v>
      </c>
    </row>
    <row r="1142" spans="1:13" x14ac:dyDescent="0.25">
      <c r="A1142" s="74">
        <v>197783</v>
      </c>
      <c r="B1142" s="75" t="s">
        <v>232</v>
      </c>
      <c r="C1142" s="75" t="s">
        <v>2439</v>
      </c>
      <c r="D1142" s="76">
        <v>46053</v>
      </c>
      <c r="E1142" s="75" t="s">
        <v>889</v>
      </c>
      <c r="F1142" s="74">
        <v>3126.78</v>
      </c>
      <c r="G1142" s="75" t="s">
        <v>430</v>
      </c>
      <c r="H1142" s="77" t="str">
        <f>VLOOKUP(DESPESAS[[#This Row],[Plano de Contas]],BASE!$B$3:$D$119,3,FALSE)</f>
        <v>Salarios e Ordenados MOD</v>
      </c>
      <c r="I1142" s="77" t="str">
        <f>IFERROR(VLOOKUP(DESPESAS[[#This Row],[Fornecedor]],Tabela2[],2,FALSE),"")</f>
        <v/>
      </c>
      <c r="J1142" s="77" t="str">
        <f>IFERROR(VLOOKUP(DESPESAS[[#This Row],[Plano de Contas]],BASE!$B$3:$F$119,4,FALSE),"")</f>
        <v>2 - CUSTOS DIRETOS</v>
      </c>
      <c r="K1142" s="77" t="str">
        <f>IFERROR(VLOOKUP(DESPESAS[[#This Row],[Plano de Contas]],BASE!$B$3:$H$119,5,FALSE),"")</f>
        <v>DH</v>
      </c>
      <c r="L1142" s="77" t="str">
        <f>IFERROR(VLOOKUP(DESPESAS[[#This Row],[Plano de Contas]],BASE!$B$3:$H$119,6,FALSE),"")</f>
        <v>CUSTO MÃO DE OBRA DIRETA</v>
      </c>
      <c r="M1142" s="77" t="str">
        <f>VLOOKUP(DESPESAS[[#This Row],[Plano de Contas]],BASE!$B$3:$H$119,7,FALSE)</f>
        <v>RAFAEL</v>
      </c>
    </row>
    <row r="1143" spans="1:13" x14ac:dyDescent="0.25">
      <c r="A1143" s="74">
        <v>197784</v>
      </c>
      <c r="B1143" s="75" t="s">
        <v>232</v>
      </c>
      <c r="C1143" s="75" t="s">
        <v>2439</v>
      </c>
      <c r="D1143" s="76">
        <v>46053</v>
      </c>
      <c r="E1143" s="75" t="s">
        <v>888</v>
      </c>
      <c r="F1143" s="74">
        <v>3361.49</v>
      </c>
      <c r="G1143" s="75" t="s">
        <v>653</v>
      </c>
      <c r="H1143" s="77" t="str">
        <f>VLOOKUP(DESPESAS[[#This Row],[Plano de Contas]],BASE!$B$3:$D$119,3,FALSE)</f>
        <v>Salarios e Ordenados CIF</v>
      </c>
      <c r="I1143" s="77" t="str">
        <f>IFERROR(VLOOKUP(DESPESAS[[#This Row],[Fornecedor]],Tabela2[],2,FALSE),"")</f>
        <v/>
      </c>
      <c r="J1143" s="77" t="str">
        <f>IFERROR(VLOOKUP(DESPESAS[[#This Row],[Plano de Contas]],BASE!$B$3:$F$119,4,FALSE),"")</f>
        <v>3 - CUSTOS INDIRETOS</v>
      </c>
      <c r="K1143" s="77" t="str">
        <f>IFERROR(VLOOKUP(DESPESAS[[#This Row],[Plano de Contas]],BASE!$B$3:$H$119,5,FALSE),"")</f>
        <v>DH</v>
      </c>
      <c r="L1143" s="77" t="str">
        <f>IFERROR(VLOOKUP(DESPESAS[[#This Row],[Plano de Contas]],BASE!$B$3:$H$119,6,FALSE),"")</f>
        <v>CUSTO MÃO DE OBRA DIRETA</v>
      </c>
      <c r="M1143" s="77" t="str">
        <f>VLOOKUP(DESPESAS[[#This Row],[Plano de Contas]],BASE!$B$3:$H$119,7,FALSE)</f>
        <v>RAFAEL</v>
      </c>
    </row>
    <row r="1144" spans="1:13" x14ac:dyDescent="0.25">
      <c r="A1144" s="74">
        <v>197785</v>
      </c>
      <c r="B1144" s="75" t="s">
        <v>232</v>
      </c>
      <c r="C1144" s="75" t="s">
        <v>2439</v>
      </c>
      <c r="D1144" s="76">
        <v>46053</v>
      </c>
      <c r="E1144" s="75" t="s">
        <v>753</v>
      </c>
      <c r="F1144" s="74">
        <v>1791.31</v>
      </c>
      <c r="G1144" s="75" t="s">
        <v>627</v>
      </c>
      <c r="H1144" s="77" t="str">
        <f>VLOOKUP(DESPESAS[[#This Row],[Plano de Contas]],BASE!$B$3:$D$119,3,FALSE)</f>
        <v>Salarios e Ordenados (Adm)</v>
      </c>
      <c r="I1144" s="77" t="str">
        <f>IFERROR(VLOOKUP(DESPESAS[[#This Row],[Fornecedor]],Tabela2[],2,FALSE),"")</f>
        <v/>
      </c>
      <c r="J1144" s="77" t="str">
        <f>IFERROR(VLOOKUP(DESPESAS[[#This Row],[Plano de Contas]],BASE!$B$3:$F$119,4,FALSE),"")</f>
        <v>4 - GASTOS COM PESSOAL</v>
      </c>
      <c r="K1144" s="77" t="str">
        <f>IFERROR(VLOOKUP(DESPESAS[[#This Row],[Plano de Contas]],BASE!$B$3:$H$119,5,FALSE),"")</f>
        <v>DH</v>
      </c>
      <c r="L1144" s="77">
        <f>IFERROR(VLOOKUP(DESPESAS[[#This Row],[Plano de Contas]],BASE!$B$3:$H$119,6,FALSE),"")</f>
        <v>0</v>
      </c>
      <c r="M1144" s="77" t="str">
        <f>VLOOKUP(DESPESAS[[#This Row],[Plano de Contas]],BASE!$B$3:$H$119,7,FALSE)</f>
        <v>RAFAEL</v>
      </c>
    </row>
    <row r="1145" spans="1:13" x14ac:dyDescent="0.25">
      <c r="A1145" s="74">
        <v>197786</v>
      </c>
      <c r="B1145" s="75" t="s">
        <v>232</v>
      </c>
      <c r="C1145" s="75" t="s">
        <v>2439</v>
      </c>
      <c r="D1145" s="76">
        <v>46053</v>
      </c>
      <c r="E1145" s="75" t="s">
        <v>887</v>
      </c>
      <c r="F1145" s="74">
        <v>3223.33</v>
      </c>
      <c r="G1145" s="75" t="s">
        <v>430</v>
      </c>
      <c r="H1145" s="77" t="str">
        <f>VLOOKUP(DESPESAS[[#This Row],[Plano de Contas]],BASE!$B$3:$D$119,3,FALSE)</f>
        <v>Salarios e Ordenados MOD</v>
      </c>
      <c r="I1145" s="77" t="str">
        <f>IFERROR(VLOOKUP(DESPESAS[[#This Row],[Fornecedor]],Tabela2[],2,FALSE),"")</f>
        <v/>
      </c>
      <c r="J1145" s="77" t="str">
        <f>IFERROR(VLOOKUP(DESPESAS[[#This Row],[Plano de Contas]],BASE!$B$3:$F$119,4,FALSE),"")</f>
        <v>2 - CUSTOS DIRETOS</v>
      </c>
      <c r="K1145" s="77" t="str">
        <f>IFERROR(VLOOKUP(DESPESAS[[#This Row],[Plano de Contas]],BASE!$B$3:$H$119,5,FALSE),"")</f>
        <v>DH</v>
      </c>
      <c r="L1145" s="77" t="str">
        <f>IFERROR(VLOOKUP(DESPESAS[[#This Row],[Plano de Contas]],BASE!$B$3:$H$119,6,FALSE),"")</f>
        <v>CUSTO MÃO DE OBRA DIRETA</v>
      </c>
      <c r="M1145" s="77" t="str">
        <f>VLOOKUP(DESPESAS[[#This Row],[Plano de Contas]],BASE!$B$3:$H$119,7,FALSE)</f>
        <v>RAFAEL</v>
      </c>
    </row>
    <row r="1146" spans="1:13" x14ac:dyDescent="0.25">
      <c r="A1146" s="74">
        <v>197787</v>
      </c>
      <c r="B1146" s="75" t="s">
        <v>232</v>
      </c>
      <c r="C1146" s="75" t="s">
        <v>2439</v>
      </c>
      <c r="D1146" s="76">
        <v>46053</v>
      </c>
      <c r="E1146" s="75" t="s">
        <v>886</v>
      </c>
      <c r="F1146" s="74">
        <v>1529.04</v>
      </c>
      <c r="G1146" s="75" t="s">
        <v>430</v>
      </c>
      <c r="H1146" s="77" t="str">
        <f>VLOOKUP(DESPESAS[[#This Row],[Plano de Contas]],BASE!$B$3:$D$119,3,FALSE)</f>
        <v>Salarios e Ordenados MOD</v>
      </c>
      <c r="I1146" s="77" t="str">
        <f>IFERROR(VLOOKUP(DESPESAS[[#This Row],[Fornecedor]],Tabela2[],2,FALSE),"")</f>
        <v/>
      </c>
      <c r="J1146" s="77" t="str">
        <f>IFERROR(VLOOKUP(DESPESAS[[#This Row],[Plano de Contas]],BASE!$B$3:$F$119,4,FALSE),"")</f>
        <v>2 - CUSTOS DIRETOS</v>
      </c>
      <c r="K1146" s="77" t="str">
        <f>IFERROR(VLOOKUP(DESPESAS[[#This Row],[Plano de Contas]],BASE!$B$3:$H$119,5,FALSE),"")</f>
        <v>DH</v>
      </c>
      <c r="L1146" s="77" t="str">
        <f>IFERROR(VLOOKUP(DESPESAS[[#This Row],[Plano de Contas]],BASE!$B$3:$H$119,6,FALSE),"")</f>
        <v>CUSTO MÃO DE OBRA DIRETA</v>
      </c>
      <c r="M1146" s="77" t="str">
        <f>VLOOKUP(DESPESAS[[#This Row],[Plano de Contas]],BASE!$B$3:$H$119,7,FALSE)</f>
        <v>RAFAEL</v>
      </c>
    </row>
    <row r="1147" spans="1:13" x14ac:dyDescent="0.25">
      <c r="A1147" s="74">
        <v>197788</v>
      </c>
      <c r="B1147" s="75" t="s">
        <v>232</v>
      </c>
      <c r="C1147" s="75" t="s">
        <v>2439</v>
      </c>
      <c r="D1147" s="76">
        <v>46053</v>
      </c>
      <c r="E1147" s="75" t="s">
        <v>885</v>
      </c>
      <c r="F1147" s="74">
        <v>2244.7399999999998</v>
      </c>
      <c r="G1147" s="75" t="s">
        <v>430</v>
      </c>
      <c r="H1147" s="77" t="str">
        <f>VLOOKUP(DESPESAS[[#This Row],[Plano de Contas]],BASE!$B$3:$D$119,3,FALSE)</f>
        <v>Salarios e Ordenados MOD</v>
      </c>
      <c r="I1147" s="77" t="str">
        <f>IFERROR(VLOOKUP(DESPESAS[[#This Row],[Fornecedor]],Tabela2[],2,FALSE),"")</f>
        <v/>
      </c>
      <c r="J1147" s="77" t="str">
        <f>IFERROR(VLOOKUP(DESPESAS[[#This Row],[Plano de Contas]],BASE!$B$3:$F$119,4,FALSE),"")</f>
        <v>2 - CUSTOS DIRETOS</v>
      </c>
      <c r="K1147" s="77" t="str">
        <f>IFERROR(VLOOKUP(DESPESAS[[#This Row],[Plano de Contas]],BASE!$B$3:$H$119,5,FALSE),"")</f>
        <v>DH</v>
      </c>
      <c r="L1147" s="77" t="str">
        <f>IFERROR(VLOOKUP(DESPESAS[[#This Row],[Plano de Contas]],BASE!$B$3:$H$119,6,FALSE),"")</f>
        <v>CUSTO MÃO DE OBRA DIRETA</v>
      </c>
      <c r="M1147" s="77" t="str">
        <f>VLOOKUP(DESPESAS[[#This Row],[Plano de Contas]],BASE!$B$3:$H$119,7,FALSE)</f>
        <v>RAFAEL</v>
      </c>
    </row>
    <row r="1148" spans="1:13" x14ac:dyDescent="0.25">
      <c r="A1148" s="74">
        <v>197789</v>
      </c>
      <c r="B1148" s="75" t="s">
        <v>232</v>
      </c>
      <c r="C1148" s="75" t="s">
        <v>2439</v>
      </c>
      <c r="D1148" s="76">
        <v>46053</v>
      </c>
      <c r="E1148" s="75" t="s">
        <v>883</v>
      </c>
      <c r="F1148" s="74">
        <v>744.74</v>
      </c>
      <c r="G1148" s="75" t="s">
        <v>627</v>
      </c>
      <c r="H1148" s="77" t="str">
        <f>VLOOKUP(DESPESAS[[#This Row],[Plano de Contas]],BASE!$B$3:$D$119,3,FALSE)</f>
        <v>Salarios e Ordenados (Adm)</v>
      </c>
      <c r="I1148" s="77" t="str">
        <f>IFERROR(VLOOKUP(DESPESAS[[#This Row],[Fornecedor]],Tabela2[],2,FALSE),"")</f>
        <v/>
      </c>
      <c r="J1148" s="77" t="str">
        <f>IFERROR(VLOOKUP(DESPESAS[[#This Row],[Plano de Contas]],BASE!$B$3:$F$119,4,FALSE),"")</f>
        <v>4 - GASTOS COM PESSOAL</v>
      </c>
      <c r="K1148" s="77" t="str">
        <f>IFERROR(VLOOKUP(DESPESAS[[#This Row],[Plano de Contas]],BASE!$B$3:$H$119,5,FALSE),"")</f>
        <v>DH</v>
      </c>
      <c r="L1148" s="77">
        <f>IFERROR(VLOOKUP(DESPESAS[[#This Row],[Plano de Contas]],BASE!$B$3:$H$119,6,FALSE),"")</f>
        <v>0</v>
      </c>
      <c r="M1148" s="77" t="str">
        <f>VLOOKUP(DESPESAS[[#This Row],[Plano de Contas]],BASE!$B$3:$H$119,7,FALSE)</f>
        <v>RAFAEL</v>
      </c>
    </row>
    <row r="1149" spans="1:13" x14ac:dyDescent="0.25">
      <c r="A1149" s="74">
        <v>197790</v>
      </c>
      <c r="B1149" s="75" t="s">
        <v>232</v>
      </c>
      <c r="C1149" s="75" t="s">
        <v>2439</v>
      </c>
      <c r="D1149" s="76">
        <v>46053</v>
      </c>
      <c r="E1149" s="75" t="s">
        <v>881</v>
      </c>
      <c r="F1149" s="74">
        <v>1816.11</v>
      </c>
      <c r="G1149" s="75" t="s">
        <v>430</v>
      </c>
      <c r="H1149" s="77" t="str">
        <f>VLOOKUP(DESPESAS[[#This Row],[Plano de Contas]],BASE!$B$3:$D$119,3,FALSE)</f>
        <v>Salarios e Ordenados MOD</v>
      </c>
      <c r="I1149" s="77" t="str">
        <f>IFERROR(VLOOKUP(DESPESAS[[#This Row],[Fornecedor]],Tabela2[],2,FALSE),"")</f>
        <v/>
      </c>
      <c r="J1149" s="77" t="str">
        <f>IFERROR(VLOOKUP(DESPESAS[[#This Row],[Plano de Contas]],BASE!$B$3:$F$119,4,FALSE),"")</f>
        <v>2 - CUSTOS DIRETOS</v>
      </c>
      <c r="K1149" s="77" t="str">
        <f>IFERROR(VLOOKUP(DESPESAS[[#This Row],[Plano de Contas]],BASE!$B$3:$H$119,5,FALSE),"")</f>
        <v>DH</v>
      </c>
      <c r="L1149" s="77" t="str">
        <f>IFERROR(VLOOKUP(DESPESAS[[#This Row],[Plano de Contas]],BASE!$B$3:$H$119,6,FALSE),"")</f>
        <v>CUSTO MÃO DE OBRA DIRETA</v>
      </c>
      <c r="M1149" s="77" t="str">
        <f>VLOOKUP(DESPESAS[[#This Row],[Plano de Contas]],BASE!$B$3:$H$119,7,FALSE)</f>
        <v>RAFAEL</v>
      </c>
    </row>
    <row r="1150" spans="1:13" x14ac:dyDescent="0.25">
      <c r="A1150" s="74">
        <v>197791</v>
      </c>
      <c r="B1150" s="75" t="s">
        <v>232</v>
      </c>
      <c r="C1150" s="75" t="s">
        <v>2439</v>
      </c>
      <c r="D1150" s="76">
        <v>46053</v>
      </c>
      <c r="E1150" s="75" t="s">
        <v>880</v>
      </c>
      <c r="F1150" s="74">
        <v>2507.56</v>
      </c>
      <c r="G1150" s="75" t="s">
        <v>430</v>
      </c>
      <c r="H1150" s="77" t="str">
        <f>VLOOKUP(DESPESAS[[#This Row],[Plano de Contas]],BASE!$B$3:$D$119,3,FALSE)</f>
        <v>Salarios e Ordenados MOD</v>
      </c>
      <c r="I1150" s="77" t="str">
        <f>IFERROR(VLOOKUP(DESPESAS[[#This Row],[Fornecedor]],Tabela2[],2,FALSE),"")</f>
        <v/>
      </c>
      <c r="J1150" s="77" t="str">
        <f>IFERROR(VLOOKUP(DESPESAS[[#This Row],[Plano de Contas]],BASE!$B$3:$F$119,4,FALSE),"")</f>
        <v>2 - CUSTOS DIRETOS</v>
      </c>
      <c r="K1150" s="77" t="str">
        <f>IFERROR(VLOOKUP(DESPESAS[[#This Row],[Plano de Contas]],BASE!$B$3:$H$119,5,FALSE),"")</f>
        <v>DH</v>
      </c>
      <c r="L1150" s="77" t="str">
        <f>IFERROR(VLOOKUP(DESPESAS[[#This Row],[Plano de Contas]],BASE!$B$3:$H$119,6,FALSE),"")</f>
        <v>CUSTO MÃO DE OBRA DIRETA</v>
      </c>
      <c r="M1150" s="77" t="str">
        <f>VLOOKUP(DESPESAS[[#This Row],[Plano de Contas]],BASE!$B$3:$H$119,7,FALSE)</f>
        <v>RAFAEL</v>
      </c>
    </row>
    <row r="1151" spans="1:13" x14ac:dyDescent="0.25">
      <c r="A1151" s="74">
        <v>197792</v>
      </c>
      <c r="B1151" s="75" t="s">
        <v>232</v>
      </c>
      <c r="C1151" s="75" t="s">
        <v>2439</v>
      </c>
      <c r="D1151" s="76">
        <v>46053</v>
      </c>
      <c r="E1151" s="75" t="s">
        <v>879</v>
      </c>
      <c r="F1151" s="74">
        <v>3326.44</v>
      </c>
      <c r="G1151" s="75" t="s">
        <v>627</v>
      </c>
      <c r="H1151" s="77" t="str">
        <f>VLOOKUP(DESPESAS[[#This Row],[Plano de Contas]],BASE!$B$3:$D$119,3,FALSE)</f>
        <v>Salarios e Ordenados (Adm)</v>
      </c>
      <c r="I1151" s="77" t="str">
        <f>IFERROR(VLOOKUP(DESPESAS[[#This Row],[Fornecedor]],Tabela2[],2,FALSE),"")</f>
        <v/>
      </c>
      <c r="J1151" s="77" t="str">
        <f>IFERROR(VLOOKUP(DESPESAS[[#This Row],[Plano de Contas]],BASE!$B$3:$F$119,4,FALSE),"")</f>
        <v>4 - GASTOS COM PESSOAL</v>
      </c>
      <c r="K1151" s="77" t="str">
        <f>IFERROR(VLOOKUP(DESPESAS[[#This Row],[Plano de Contas]],BASE!$B$3:$H$119,5,FALSE),"")</f>
        <v>DH</v>
      </c>
      <c r="L1151" s="77">
        <f>IFERROR(VLOOKUP(DESPESAS[[#This Row],[Plano de Contas]],BASE!$B$3:$H$119,6,FALSE),"")</f>
        <v>0</v>
      </c>
      <c r="M1151" s="77" t="str">
        <f>VLOOKUP(DESPESAS[[#This Row],[Plano de Contas]],BASE!$B$3:$H$119,7,FALSE)</f>
        <v>RAFAEL</v>
      </c>
    </row>
    <row r="1152" spans="1:13" x14ac:dyDescent="0.25">
      <c r="A1152" s="74">
        <v>197793</v>
      </c>
      <c r="B1152" s="75" t="s">
        <v>232</v>
      </c>
      <c r="C1152" s="75" t="s">
        <v>2439</v>
      </c>
      <c r="D1152" s="76">
        <v>46053</v>
      </c>
      <c r="E1152" s="75" t="s">
        <v>878</v>
      </c>
      <c r="F1152" s="74">
        <v>3281.05</v>
      </c>
      <c r="G1152" s="75" t="s">
        <v>627</v>
      </c>
      <c r="H1152" s="77" t="str">
        <f>VLOOKUP(DESPESAS[[#This Row],[Plano de Contas]],BASE!$B$3:$D$119,3,FALSE)</f>
        <v>Salarios e Ordenados (Adm)</v>
      </c>
      <c r="I1152" s="77" t="str">
        <f>IFERROR(VLOOKUP(DESPESAS[[#This Row],[Fornecedor]],Tabela2[],2,FALSE),"")</f>
        <v/>
      </c>
      <c r="J1152" s="77" t="str">
        <f>IFERROR(VLOOKUP(DESPESAS[[#This Row],[Plano de Contas]],BASE!$B$3:$F$119,4,FALSE),"")</f>
        <v>4 - GASTOS COM PESSOAL</v>
      </c>
      <c r="K1152" s="77" t="str">
        <f>IFERROR(VLOOKUP(DESPESAS[[#This Row],[Plano de Contas]],BASE!$B$3:$H$119,5,FALSE),"")</f>
        <v>DH</v>
      </c>
      <c r="L1152" s="77">
        <f>IFERROR(VLOOKUP(DESPESAS[[#This Row],[Plano de Contas]],BASE!$B$3:$H$119,6,FALSE),"")</f>
        <v>0</v>
      </c>
      <c r="M1152" s="77" t="str">
        <f>VLOOKUP(DESPESAS[[#This Row],[Plano de Contas]],BASE!$B$3:$H$119,7,FALSE)</f>
        <v>RAFAEL</v>
      </c>
    </row>
    <row r="1153" spans="1:13" x14ac:dyDescent="0.25">
      <c r="A1153" s="74">
        <v>197794</v>
      </c>
      <c r="B1153" s="75" t="s">
        <v>232</v>
      </c>
      <c r="C1153" s="75" t="s">
        <v>2439</v>
      </c>
      <c r="D1153" s="76">
        <v>46053</v>
      </c>
      <c r="E1153" s="75" t="s">
        <v>877</v>
      </c>
      <c r="F1153" s="74">
        <v>1342.53</v>
      </c>
      <c r="G1153" s="75" t="s">
        <v>430</v>
      </c>
      <c r="H1153" s="77" t="str">
        <f>VLOOKUP(DESPESAS[[#This Row],[Plano de Contas]],BASE!$B$3:$D$119,3,FALSE)</f>
        <v>Salarios e Ordenados MOD</v>
      </c>
      <c r="I1153" s="77" t="str">
        <f>IFERROR(VLOOKUP(DESPESAS[[#This Row],[Fornecedor]],Tabela2[],2,FALSE),"")</f>
        <v/>
      </c>
      <c r="J1153" s="77" t="str">
        <f>IFERROR(VLOOKUP(DESPESAS[[#This Row],[Plano de Contas]],BASE!$B$3:$F$119,4,FALSE),"")</f>
        <v>2 - CUSTOS DIRETOS</v>
      </c>
      <c r="K1153" s="77" t="str">
        <f>IFERROR(VLOOKUP(DESPESAS[[#This Row],[Plano de Contas]],BASE!$B$3:$H$119,5,FALSE),"")</f>
        <v>DH</v>
      </c>
      <c r="L1153" s="77" t="str">
        <f>IFERROR(VLOOKUP(DESPESAS[[#This Row],[Plano de Contas]],BASE!$B$3:$H$119,6,FALSE),"")</f>
        <v>CUSTO MÃO DE OBRA DIRETA</v>
      </c>
      <c r="M1153" s="77" t="str">
        <f>VLOOKUP(DESPESAS[[#This Row],[Plano de Contas]],BASE!$B$3:$H$119,7,FALSE)</f>
        <v>RAFAEL</v>
      </c>
    </row>
    <row r="1154" spans="1:13" x14ac:dyDescent="0.25">
      <c r="A1154" s="74">
        <v>197795</v>
      </c>
      <c r="B1154" s="75" t="s">
        <v>232</v>
      </c>
      <c r="C1154" s="75" t="s">
        <v>2439</v>
      </c>
      <c r="D1154" s="76">
        <v>46053</v>
      </c>
      <c r="E1154" s="75" t="s">
        <v>876</v>
      </c>
      <c r="F1154" s="74">
        <v>667.49</v>
      </c>
      <c r="G1154" s="75" t="s">
        <v>430</v>
      </c>
      <c r="H1154" s="77" t="str">
        <f>VLOOKUP(DESPESAS[[#This Row],[Plano de Contas]],BASE!$B$3:$D$119,3,FALSE)</f>
        <v>Salarios e Ordenados MOD</v>
      </c>
      <c r="I1154" s="77" t="str">
        <f>IFERROR(VLOOKUP(DESPESAS[[#This Row],[Fornecedor]],Tabela2[],2,FALSE),"")</f>
        <v/>
      </c>
      <c r="J1154" s="77" t="str">
        <f>IFERROR(VLOOKUP(DESPESAS[[#This Row],[Plano de Contas]],BASE!$B$3:$F$119,4,FALSE),"")</f>
        <v>2 - CUSTOS DIRETOS</v>
      </c>
      <c r="K1154" s="77" t="str">
        <f>IFERROR(VLOOKUP(DESPESAS[[#This Row],[Plano de Contas]],BASE!$B$3:$H$119,5,FALSE),"")</f>
        <v>DH</v>
      </c>
      <c r="L1154" s="77" t="str">
        <f>IFERROR(VLOOKUP(DESPESAS[[#This Row],[Plano de Contas]],BASE!$B$3:$H$119,6,FALSE),"")</f>
        <v>CUSTO MÃO DE OBRA DIRETA</v>
      </c>
      <c r="M1154" s="77" t="str">
        <f>VLOOKUP(DESPESAS[[#This Row],[Plano de Contas]],BASE!$B$3:$H$119,7,FALSE)</f>
        <v>RAFAEL</v>
      </c>
    </row>
    <row r="1155" spans="1:13" x14ac:dyDescent="0.25">
      <c r="A1155" s="74">
        <v>197796</v>
      </c>
      <c r="B1155" s="75" t="s">
        <v>232</v>
      </c>
      <c r="C1155" s="75" t="s">
        <v>2439</v>
      </c>
      <c r="D1155" s="76">
        <v>46053</v>
      </c>
      <c r="E1155" s="75" t="s">
        <v>875</v>
      </c>
      <c r="F1155" s="74">
        <v>1977.69</v>
      </c>
      <c r="G1155" s="75" t="s">
        <v>430</v>
      </c>
      <c r="H1155" s="77" t="str">
        <f>VLOOKUP(DESPESAS[[#This Row],[Plano de Contas]],BASE!$B$3:$D$119,3,FALSE)</f>
        <v>Salarios e Ordenados MOD</v>
      </c>
      <c r="I1155" s="77" t="str">
        <f>IFERROR(VLOOKUP(DESPESAS[[#This Row],[Fornecedor]],Tabela2[],2,FALSE),"")</f>
        <v/>
      </c>
      <c r="J1155" s="77" t="str">
        <f>IFERROR(VLOOKUP(DESPESAS[[#This Row],[Plano de Contas]],BASE!$B$3:$F$119,4,FALSE),"")</f>
        <v>2 - CUSTOS DIRETOS</v>
      </c>
      <c r="K1155" s="77" t="str">
        <f>IFERROR(VLOOKUP(DESPESAS[[#This Row],[Plano de Contas]],BASE!$B$3:$H$119,5,FALSE),"")</f>
        <v>DH</v>
      </c>
      <c r="L1155" s="77" t="str">
        <f>IFERROR(VLOOKUP(DESPESAS[[#This Row],[Plano de Contas]],BASE!$B$3:$H$119,6,FALSE),"")</f>
        <v>CUSTO MÃO DE OBRA DIRETA</v>
      </c>
      <c r="M1155" s="77" t="str">
        <f>VLOOKUP(DESPESAS[[#This Row],[Plano de Contas]],BASE!$B$3:$H$119,7,FALSE)</f>
        <v>RAFAEL</v>
      </c>
    </row>
    <row r="1156" spans="1:13" x14ac:dyDescent="0.25">
      <c r="A1156" s="74">
        <v>197797</v>
      </c>
      <c r="B1156" s="75" t="s">
        <v>232</v>
      </c>
      <c r="C1156" s="75" t="s">
        <v>2439</v>
      </c>
      <c r="D1156" s="76">
        <v>46053</v>
      </c>
      <c r="E1156" s="75" t="s">
        <v>873</v>
      </c>
      <c r="F1156" s="74">
        <v>2047.62</v>
      </c>
      <c r="G1156" s="75" t="s">
        <v>627</v>
      </c>
      <c r="H1156" s="77" t="str">
        <f>VLOOKUP(DESPESAS[[#This Row],[Plano de Contas]],BASE!$B$3:$D$119,3,FALSE)</f>
        <v>Salarios e Ordenados (Adm)</v>
      </c>
      <c r="I1156" s="77" t="str">
        <f>IFERROR(VLOOKUP(DESPESAS[[#This Row],[Fornecedor]],Tabela2[],2,FALSE),"")</f>
        <v/>
      </c>
      <c r="J1156" s="77" t="str">
        <f>IFERROR(VLOOKUP(DESPESAS[[#This Row],[Plano de Contas]],BASE!$B$3:$F$119,4,FALSE),"")</f>
        <v>4 - GASTOS COM PESSOAL</v>
      </c>
      <c r="K1156" s="77" t="str">
        <f>IFERROR(VLOOKUP(DESPESAS[[#This Row],[Plano de Contas]],BASE!$B$3:$H$119,5,FALSE),"")</f>
        <v>DH</v>
      </c>
      <c r="L1156" s="77">
        <f>IFERROR(VLOOKUP(DESPESAS[[#This Row],[Plano de Contas]],BASE!$B$3:$H$119,6,FALSE),"")</f>
        <v>0</v>
      </c>
      <c r="M1156" s="77" t="str">
        <f>VLOOKUP(DESPESAS[[#This Row],[Plano de Contas]],BASE!$B$3:$H$119,7,FALSE)</f>
        <v>RAFAEL</v>
      </c>
    </row>
    <row r="1157" spans="1:13" x14ac:dyDescent="0.25">
      <c r="A1157" s="74">
        <v>197798</v>
      </c>
      <c r="B1157" s="75" t="s">
        <v>232</v>
      </c>
      <c r="C1157" s="75" t="s">
        <v>2439</v>
      </c>
      <c r="D1157" s="76">
        <v>46053</v>
      </c>
      <c r="E1157" s="75" t="s">
        <v>872</v>
      </c>
      <c r="F1157" s="74">
        <v>2367.11</v>
      </c>
      <c r="G1157" s="75" t="s">
        <v>430</v>
      </c>
      <c r="H1157" s="77" t="str">
        <f>VLOOKUP(DESPESAS[[#This Row],[Plano de Contas]],BASE!$B$3:$D$119,3,FALSE)</f>
        <v>Salarios e Ordenados MOD</v>
      </c>
      <c r="I1157" s="77" t="str">
        <f>IFERROR(VLOOKUP(DESPESAS[[#This Row],[Fornecedor]],Tabela2[],2,FALSE),"")</f>
        <v/>
      </c>
      <c r="J1157" s="77" t="str">
        <f>IFERROR(VLOOKUP(DESPESAS[[#This Row],[Plano de Contas]],BASE!$B$3:$F$119,4,FALSE),"")</f>
        <v>2 - CUSTOS DIRETOS</v>
      </c>
      <c r="K1157" s="77" t="str">
        <f>IFERROR(VLOOKUP(DESPESAS[[#This Row],[Plano de Contas]],BASE!$B$3:$H$119,5,FALSE),"")</f>
        <v>DH</v>
      </c>
      <c r="L1157" s="77" t="str">
        <f>IFERROR(VLOOKUP(DESPESAS[[#This Row],[Plano de Contas]],BASE!$B$3:$H$119,6,FALSE),"")</f>
        <v>CUSTO MÃO DE OBRA DIRETA</v>
      </c>
      <c r="M1157" s="77" t="str">
        <f>VLOOKUP(DESPESAS[[#This Row],[Plano de Contas]],BASE!$B$3:$H$119,7,FALSE)</f>
        <v>RAFAEL</v>
      </c>
    </row>
    <row r="1158" spans="1:13" x14ac:dyDescent="0.25">
      <c r="A1158" s="74">
        <v>197799</v>
      </c>
      <c r="B1158" s="75" t="s">
        <v>232</v>
      </c>
      <c r="C1158" s="75" t="s">
        <v>2439</v>
      </c>
      <c r="D1158" s="76">
        <v>46053</v>
      </c>
      <c r="E1158" s="75" t="s">
        <v>871</v>
      </c>
      <c r="F1158" s="74">
        <v>2266.98</v>
      </c>
      <c r="G1158" s="75" t="s">
        <v>430</v>
      </c>
      <c r="H1158" s="77" t="str">
        <f>VLOOKUP(DESPESAS[[#This Row],[Plano de Contas]],BASE!$B$3:$D$119,3,FALSE)</f>
        <v>Salarios e Ordenados MOD</v>
      </c>
      <c r="I1158" s="77" t="str">
        <f>IFERROR(VLOOKUP(DESPESAS[[#This Row],[Fornecedor]],Tabela2[],2,FALSE),"")</f>
        <v/>
      </c>
      <c r="J1158" s="77" t="str">
        <f>IFERROR(VLOOKUP(DESPESAS[[#This Row],[Plano de Contas]],BASE!$B$3:$F$119,4,FALSE),"")</f>
        <v>2 - CUSTOS DIRETOS</v>
      </c>
      <c r="K1158" s="77" t="str">
        <f>IFERROR(VLOOKUP(DESPESAS[[#This Row],[Plano de Contas]],BASE!$B$3:$H$119,5,FALSE),"")</f>
        <v>DH</v>
      </c>
      <c r="L1158" s="77" t="str">
        <f>IFERROR(VLOOKUP(DESPESAS[[#This Row],[Plano de Contas]],BASE!$B$3:$H$119,6,FALSE),"")</f>
        <v>CUSTO MÃO DE OBRA DIRETA</v>
      </c>
      <c r="M1158" s="77" t="str">
        <f>VLOOKUP(DESPESAS[[#This Row],[Plano de Contas]],BASE!$B$3:$H$119,7,FALSE)</f>
        <v>RAFAEL</v>
      </c>
    </row>
    <row r="1159" spans="1:13" x14ac:dyDescent="0.25">
      <c r="A1159" s="74">
        <v>197800</v>
      </c>
      <c r="B1159" s="75" t="s">
        <v>232</v>
      </c>
      <c r="C1159" s="75" t="s">
        <v>2439</v>
      </c>
      <c r="D1159" s="76">
        <v>46053</v>
      </c>
      <c r="E1159" s="75" t="s">
        <v>870</v>
      </c>
      <c r="F1159" s="74">
        <v>2518.5300000000002</v>
      </c>
      <c r="G1159" s="75" t="s">
        <v>627</v>
      </c>
      <c r="H1159" s="77" t="str">
        <f>VLOOKUP(DESPESAS[[#This Row],[Plano de Contas]],BASE!$B$3:$D$119,3,FALSE)</f>
        <v>Salarios e Ordenados (Adm)</v>
      </c>
      <c r="I1159" s="77" t="str">
        <f>IFERROR(VLOOKUP(DESPESAS[[#This Row],[Fornecedor]],Tabela2[],2,FALSE),"")</f>
        <v/>
      </c>
      <c r="J1159" s="77" t="str">
        <f>IFERROR(VLOOKUP(DESPESAS[[#This Row],[Plano de Contas]],BASE!$B$3:$F$119,4,FALSE),"")</f>
        <v>4 - GASTOS COM PESSOAL</v>
      </c>
      <c r="K1159" s="77" t="str">
        <f>IFERROR(VLOOKUP(DESPESAS[[#This Row],[Plano de Contas]],BASE!$B$3:$H$119,5,FALSE),"")</f>
        <v>DH</v>
      </c>
      <c r="L1159" s="77">
        <f>IFERROR(VLOOKUP(DESPESAS[[#This Row],[Plano de Contas]],BASE!$B$3:$H$119,6,FALSE),"")</f>
        <v>0</v>
      </c>
      <c r="M1159" s="77" t="str">
        <f>VLOOKUP(DESPESAS[[#This Row],[Plano de Contas]],BASE!$B$3:$H$119,7,FALSE)</f>
        <v>RAFAEL</v>
      </c>
    </row>
    <row r="1160" spans="1:13" x14ac:dyDescent="0.25">
      <c r="A1160" s="74">
        <v>197801</v>
      </c>
      <c r="B1160" s="75" t="s">
        <v>232</v>
      </c>
      <c r="C1160" s="75" t="s">
        <v>2439</v>
      </c>
      <c r="D1160" s="76">
        <v>46053</v>
      </c>
      <c r="E1160" s="75" t="s">
        <v>869</v>
      </c>
      <c r="F1160" s="74">
        <v>2711.68</v>
      </c>
      <c r="G1160" s="75" t="s">
        <v>430</v>
      </c>
      <c r="H1160" s="77" t="str">
        <f>VLOOKUP(DESPESAS[[#This Row],[Plano de Contas]],BASE!$B$3:$D$119,3,FALSE)</f>
        <v>Salarios e Ordenados MOD</v>
      </c>
      <c r="I1160" s="77" t="str">
        <f>IFERROR(VLOOKUP(DESPESAS[[#This Row],[Fornecedor]],Tabela2[],2,FALSE),"")</f>
        <v/>
      </c>
      <c r="J1160" s="77" t="str">
        <f>IFERROR(VLOOKUP(DESPESAS[[#This Row],[Plano de Contas]],BASE!$B$3:$F$119,4,FALSE),"")</f>
        <v>2 - CUSTOS DIRETOS</v>
      </c>
      <c r="K1160" s="77" t="str">
        <f>IFERROR(VLOOKUP(DESPESAS[[#This Row],[Plano de Contas]],BASE!$B$3:$H$119,5,FALSE),"")</f>
        <v>DH</v>
      </c>
      <c r="L1160" s="77" t="str">
        <f>IFERROR(VLOOKUP(DESPESAS[[#This Row],[Plano de Contas]],BASE!$B$3:$H$119,6,FALSE),"")</f>
        <v>CUSTO MÃO DE OBRA DIRETA</v>
      </c>
      <c r="M1160" s="77" t="str">
        <f>VLOOKUP(DESPESAS[[#This Row],[Plano de Contas]],BASE!$B$3:$H$119,7,FALSE)</f>
        <v>RAFAEL</v>
      </c>
    </row>
    <row r="1161" spans="1:13" x14ac:dyDescent="0.25">
      <c r="A1161" s="74">
        <v>197802</v>
      </c>
      <c r="B1161" s="75" t="s">
        <v>232</v>
      </c>
      <c r="C1161" s="75" t="s">
        <v>2439</v>
      </c>
      <c r="D1161" s="76">
        <v>46053</v>
      </c>
      <c r="E1161" s="75" t="s">
        <v>868</v>
      </c>
      <c r="F1161" s="74">
        <v>2236.19</v>
      </c>
      <c r="G1161" s="75" t="s">
        <v>653</v>
      </c>
      <c r="H1161" s="77" t="str">
        <f>VLOOKUP(DESPESAS[[#This Row],[Plano de Contas]],BASE!$B$3:$D$119,3,FALSE)</f>
        <v>Salarios e Ordenados CIF</v>
      </c>
      <c r="I1161" s="77" t="str">
        <f>IFERROR(VLOOKUP(DESPESAS[[#This Row],[Fornecedor]],Tabela2[],2,FALSE),"")</f>
        <v/>
      </c>
      <c r="J1161" s="77" t="str">
        <f>IFERROR(VLOOKUP(DESPESAS[[#This Row],[Plano de Contas]],BASE!$B$3:$F$119,4,FALSE),"")</f>
        <v>3 - CUSTOS INDIRETOS</v>
      </c>
      <c r="K1161" s="77" t="str">
        <f>IFERROR(VLOOKUP(DESPESAS[[#This Row],[Plano de Contas]],BASE!$B$3:$H$119,5,FALSE),"")</f>
        <v>DH</v>
      </c>
      <c r="L1161" s="77" t="str">
        <f>IFERROR(VLOOKUP(DESPESAS[[#This Row],[Plano de Contas]],BASE!$B$3:$H$119,6,FALSE),"")</f>
        <v>CUSTO MÃO DE OBRA DIRETA</v>
      </c>
      <c r="M1161" s="77" t="str">
        <f>VLOOKUP(DESPESAS[[#This Row],[Plano de Contas]],BASE!$B$3:$H$119,7,FALSE)</f>
        <v>RAFAEL</v>
      </c>
    </row>
    <row r="1162" spans="1:13" x14ac:dyDescent="0.25">
      <c r="A1162" s="74">
        <v>197803</v>
      </c>
      <c r="B1162" s="75" t="s">
        <v>232</v>
      </c>
      <c r="C1162" s="75" t="s">
        <v>2439</v>
      </c>
      <c r="D1162" s="76">
        <v>46053</v>
      </c>
      <c r="E1162" s="75" t="s">
        <v>866</v>
      </c>
      <c r="F1162" s="74">
        <v>1773.87</v>
      </c>
      <c r="G1162" s="75" t="s">
        <v>627</v>
      </c>
      <c r="H1162" s="77" t="str">
        <f>VLOOKUP(DESPESAS[[#This Row],[Plano de Contas]],BASE!$B$3:$D$119,3,FALSE)</f>
        <v>Salarios e Ordenados (Adm)</v>
      </c>
      <c r="I1162" s="77" t="str">
        <f>IFERROR(VLOOKUP(DESPESAS[[#This Row],[Fornecedor]],Tabela2[],2,FALSE),"")</f>
        <v/>
      </c>
      <c r="J1162" s="77" t="str">
        <f>IFERROR(VLOOKUP(DESPESAS[[#This Row],[Plano de Contas]],BASE!$B$3:$F$119,4,FALSE),"")</f>
        <v>4 - GASTOS COM PESSOAL</v>
      </c>
      <c r="K1162" s="77" t="str">
        <f>IFERROR(VLOOKUP(DESPESAS[[#This Row],[Plano de Contas]],BASE!$B$3:$H$119,5,FALSE),"")</f>
        <v>DH</v>
      </c>
      <c r="L1162" s="77">
        <f>IFERROR(VLOOKUP(DESPESAS[[#This Row],[Plano de Contas]],BASE!$B$3:$H$119,6,FALSE),"")</f>
        <v>0</v>
      </c>
      <c r="M1162" s="77" t="str">
        <f>VLOOKUP(DESPESAS[[#This Row],[Plano de Contas]],BASE!$B$3:$H$119,7,FALSE)</f>
        <v>RAFAEL</v>
      </c>
    </row>
    <row r="1163" spans="1:13" x14ac:dyDescent="0.25">
      <c r="A1163" s="74">
        <v>197804</v>
      </c>
      <c r="B1163" s="75" t="s">
        <v>281</v>
      </c>
      <c r="C1163" s="75" t="s">
        <v>2447</v>
      </c>
      <c r="D1163" s="76">
        <v>46055</v>
      </c>
      <c r="E1163" s="75" t="s">
        <v>230</v>
      </c>
      <c r="F1163" s="74">
        <v>7.11</v>
      </c>
      <c r="G1163" s="75" t="s">
        <v>229</v>
      </c>
      <c r="H1163" s="77" t="str">
        <f>VLOOKUP(DESPESAS[[#This Row],[Plano de Contas]],BASE!$B$3:$D$119,3,FALSE)</f>
        <v>Despesas Bancarias</v>
      </c>
      <c r="I1163" s="77" t="str">
        <f>IFERROR(VLOOKUP(DESPESAS[[#This Row],[Fornecedor]],Tabela2[],2,FALSE),"")</f>
        <v/>
      </c>
      <c r="J1163" s="77" t="str">
        <f>IFERROR(VLOOKUP(DESPESAS[[#This Row],[Plano de Contas]],BASE!$B$3:$F$119,4,FALSE),"")</f>
        <v>8 - DESPESAS FINANCEIRAS</v>
      </c>
      <c r="K1163" s="77" t="str">
        <f>IFERROR(VLOOKUP(DESPESAS[[#This Row],[Plano de Contas]],BASE!$B$3:$H$119,5,FALSE),"")</f>
        <v>FINANCEIRO</v>
      </c>
      <c r="L1163" s="77">
        <f>IFERROR(VLOOKUP(DESPESAS[[#This Row],[Plano de Contas]],BASE!$B$3:$H$119,6,FALSE),"")</f>
        <v>0</v>
      </c>
      <c r="M1163" s="77" t="str">
        <f>VLOOKUP(DESPESAS[[#This Row],[Plano de Contas]],BASE!$B$3:$H$119,7,FALSE)</f>
        <v>LETÍCIA</v>
      </c>
    </row>
    <row r="1164" spans="1:13" x14ac:dyDescent="0.25">
      <c r="A1164" s="74">
        <v>197805</v>
      </c>
      <c r="B1164" s="75" t="s">
        <v>232</v>
      </c>
      <c r="C1164" s="75" t="s">
        <v>2446</v>
      </c>
      <c r="D1164" s="76">
        <v>46055</v>
      </c>
      <c r="E1164" s="75" t="s">
        <v>230</v>
      </c>
      <c r="F1164" s="74">
        <v>60</v>
      </c>
      <c r="G1164" s="75" t="s">
        <v>229</v>
      </c>
      <c r="H1164" s="77" t="str">
        <f>VLOOKUP(DESPESAS[[#This Row],[Plano de Contas]],BASE!$B$3:$D$119,3,FALSE)</f>
        <v>Despesas Bancarias</v>
      </c>
      <c r="I1164" s="77" t="str">
        <f>IFERROR(VLOOKUP(DESPESAS[[#This Row],[Fornecedor]],Tabela2[],2,FALSE),"")</f>
        <v/>
      </c>
      <c r="J1164" s="77" t="str">
        <f>IFERROR(VLOOKUP(DESPESAS[[#This Row],[Plano de Contas]],BASE!$B$3:$F$119,4,FALSE),"")</f>
        <v>8 - DESPESAS FINANCEIRAS</v>
      </c>
      <c r="K1164" s="77" t="str">
        <f>IFERROR(VLOOKUP(DESPESAS[[#This Row],[Plano de Contas]],BASE!$B$3:$H$119,5,FALSE),"")</f>
        <v>FINANCEIRO</v>
      </c>
      <c r="L1164" s="77">
        <f>IFERROR(VLOOKUP(DESPESAS[[#This Row],[Plano de Contas]],BASE!$B$3:$H$119,6,FALSE),"")</f>
        <v>0</v>
      </c>
      <c r="M1164" s="77" t="str">
        <f>VLOOKUP(DESPESAS[[#This Row],[Plano de Contas]],BASE!$B$3:$H$119,7,FALSE)</f>
        <v>LETÍCIA</v>
      </c>
    </row>
    <row r="1165" spans="1:13" x14ac:dyDescent="0.25">
      <c r="A1165" s="74">
        <v>197806</v>
      </c>
      <c r="B1165" s="75" t="s">
        <v>232</v>
      </c>
      <c r="C1165" s="75" t="s">
        <v>2445</v>
      </c>
      <c r="D1165" s="76">
        <v>46055</v>
      </c>
      <c r="E1165" s="75" t="s">
        <v>230</v>
      </c>
      <c r="F1165" s="74">
        <v>4.75</v>
      </c>
      <c r="G1165" s="75" t="s">
        <v>229</v>
      </c>
      <c r="H1165" s="77" t="str">
        <f>VLOOKUP(DESPESAS[[#This Row],[Plano de Contas]],BASE!$B$3:$D$119,3,FALSE)</f>
        <v>Despesas Bancarias</v>
      </c>
      <c r="I1165" s="77" t="str">
        <f>IFERROR(VLOOKUP(DESPESAS[[#This Row],[Fornecedor]],Tabela2[],2,FALSE),"")</f>
        <v/>
      </c>
      <c r="J1165" s="77" t="str">
        <f>IFERROR(VLOOKUP(DESPESAS[[#This Row],[Plano de Contas]],BASE!$B$3:$F$119,4,FALSE),"")</f>
        <v>8 - DESPESAS FINANCEIRAS</v>
      </c>
      <c r="K1165" s="77" t="str">
        <f>IFERROR(VLOOKUP(DESPESAS[[#This Row],[Plano de Contas]],BASE!$B$3:$H$119,5,FALSE),"")</f>
        <v>FINANCEIRO</v>
      </c>
      <c r="L1165" s="77">
        <f>IFERROR(VLOOKUP(DESPESAS[[#This Row],[Plano de Contas]],BASE!$B$3:$H$119,6,FALSE),"")</f>
        <v>0</v>
      </c>
      <c r="M1165" s="77" t="str">
        <f>VLOOKUP(DESPESAS[[#This Row],[Plano de Contas]],BASE!$B$3:$H$119,7,FALSE)</f>
        <v>LETÍCIA</v>
      </c>
    </row>
    <row r="1166" spans="1:13" x14ac:dyDescent="0.25">
      <c r="A1166" s="74">
        <v>197808</v>
      </c>
      <c r="B1166" s="75" t="s">
        <v>281</v>
      </c>
      <c r="C1166" s="75" t="s">
        <v>2439</v>
      </c>
      <c r="D1166" s="76">
        <v>46053</v>
      </c>
      <c r="E1166" s="75" t="s">
        <v>964</v>
      </c>
      <c r="F1166" s="74">
        <v>2107.92</v>
      </c>
      <c r="G1166" s="75" t="s">
        <v>430</v>
      </c>
      <c r="H1166" s="77" t="str">
        <f>VLOOKUP(DESPESAS[[#This Row],[Plano de Contas]],BASE!$B$3:$D$119,3,FALSE)</f>
        <v>Salarios e Ordenados MOD</v>
      </c>
      <c r="I1166" s="77" t="str">
        <f>IFERROR(VLOOKUP(DESPESAS[[#This Row],[Fornecedor]],Tabela2[],2,FALSE),"")</f>
        <v/>
      </c>
      <c r="J1166" s="77" t="str">
        <f>IFERROR(VLOOKUP(DESPESAS[[#This Row],[Plano de Contas]],BASE!$B$3:$F$119,4,FALSE),"")</f>
        <v>2 - CUSTOS DIRETOS</v>
      </c>
      <c r="K1166" s="77" t="str">
        <f>IFERROR(VLOOKUP(DESPESAS[[#This Row],[Plano de Contas]],BASE!$B$3:$H$119,5,FALSE),"")</f>
        <v>DH</v>
      </c>
      <c r="L1166" s="77" t="str">
        <f>IFERROR(VLOOKUP(DESPESAS[[#This Row],[Plano de Contas]],BASE!$B$3:$H$119,6,FALSE),"")</f>
        <v>CUSTO MÃO DE OBRA DIRETA</v>
      </c>
      <c r="M1166" s="77" t="str">
        <f>VLOOKUP(DESPESAS[[#This Row],[Plano de Contas]],BASE!$B$3:$H$119,7,FALSE)</f>
        <v>RAFAEL</v>
      </c>
    </row>
    <row r="1167" spans="1:13" x14ac:dyDescent="0.25">
      <c r="A1167" s="74">
        <v>197809</v>
      </c>
      <c r="B1167" s="75" t="s">
        <v>281</v>
      </c>
      <c r="C1167" s="75" t="s">
        <v>2439</v>
      </c>
      <c r="D1167" s="76">
        <v>46053</v>
      </c>
      <c r="E1167" s="75" t="s">
        <v>963</v>
      </c>
      <c r="F1167" s="74">
        <v>3043.53</v>
      </c>
      <c r="G1167" s="75" t="s">
        <v>430</v>
      </c>
      <c r="H1167" s="77" t="str">
        <f>VLOOKUP(DESPESAS[[#This Row],[Plano de Contas]],BASE!$B$3:$D$119,3,FALSE)</f>
        <v>Salarios e Ordenados MOD</v>
      </c>
      <c r="I1167" s="77" t="str">
        <f>IFERROR(VLOOKUP(DESPESAS[[#This Row],[Fornecedor]],Tabela2[],2,FALSE),"")</f>
        <v/>
      </c>
      <c r="J1167" s="77" t="str">
        <f>IFERROR(VLOOKUP(DESPESAS[[#This Row],[Plano de Contas]],BASE!$B$3:$F$119,4,FALSE),"")</f>
        <v>2 - CUSTOS DIRETOS</v>
      </c>
      <c r="K1167" s="77" t="str">
        <f>IFERROR(VLOOKUP(DESPESAS[[#This Row],[Plano de Contas]],BASE!$B$3:$H$119,5,FALSE),"")</f>
        <v>DH</v>
      </c>
      <c r="L1167" s="77" t="str">
        <f>IFERROR(VLOOKUP(DESPESAS[[#This Row],[Plano de Contas]],BASE!$B$3:$H$119,6,FALSE),"")</f>
        <v>CUSTO MÃO DE OBRA DIRETA</v>
      </c>
      <c r="M1167" s="77" t="str">
        <f>VLOOKUP(DESPESAS[[#This Row],[Plano de Contas]],BASE!$B$3:$H$119,7,FALSE)</f>
        <v>RAFAEL</v>
      </c>
    </row>
    <row r="1168" spans="1:13" x14ac:dyDescent="0.25">
      <c r="A1168" s="74">
        <v>197810</v>
      </c>
      <c r="B1168" s="75" t="s">
        <v>281</v>
      </c>
      <c r="C1168" s="75" t="s">
        <v>2439</v>
      </c>
      <c r="D1168" s="76">
        <v>46053</v>
      </c>
      <c r="E1168" s="75" t="s">
        <v>962</v>
      </c>
      <c r="F1168" s="74">
        <v>3401.48</v>
      </c>
      <c r="G1168" s="75" t="s">
        <v>653</v>
      </c>
      <c r="H1168" s="77" t="str">
        <f>VLOOKUP(DESPESAS[[#This Row],[Plano de Contas]],BASE!$B$3:$D$119,3,FALSE)</f>
        <v>Salarios e Ordenados CIF</v>
      </c>
      <c r="I1168" s="77" t="str">
        <f>IFERROR(VLOOKUP(DESPESAS[[#This Row],[Fornecedor]],Tabela2[],2,FALSE),"")</f>
        <v/>
      </c>
      <c r="J1168" s="77" t="str">
        <f>IFERROR(VLOOKUP(DESPESAS[[#This Row],[Plano de Contas]],BASE!$B$3:$F$119,4,FALSE),"")</f>
        <v>3 - CUSTOS INDIRETOS</v>
      </c>
      <c r="K1168" s="77" t="str">
        <f>IFERROR(VLOOKUP(DESPESAS[[#This Row],[Plano de Contas]],BASE!$B$3:$H$119,5,FALSE),"")</f>
        <v>DH</v>
      </c>
      <c r="L1168" s="77" t="str">
        <f>IFERROR(VLOOKUP(DESPESAS[[#This Row],[Plano de Contas]],BASE!$B$3:$H$119,6,FALSE),"")</f>
        <v>CUSTO MÃO DE OBRA DIRETA</v>
      </c>
      <c r="M1168" s="77" t="str">
        <f>VLOOKUP(DESPESAS[[#This Row],[Plano de Contas]],BASE!$B$3:$H$119,7,FALSE)</f>
        <v>RAFAEL</v>
      </c>
    </row>
    <row r="1169" spans="1:13" x14ac:dyDescent="0.25">
      <c r="A1169" s="74">
        <v>197811</v>
      </c>
      <c r="B1169" s="75" t="s">
        <v>281</v>
      </c>
      <c r="C1169" s="75" t="s">
        <v>2439</v>
      </c>
      <c r="D1169" s="76">
        <v>46053</v>
      </c>
      <c r="E1169" s="75" t="s">
        <v>961</v>
      </c>
      <c r="F1169" s="74">
        <v>2168.5300000000002</v>
      </c>
      <c r="G1169" s="75" t="s">
        <v>653</v>
      </c>
      <c r="H1169" s="77" t="str">
        <f>VLOOKUP(DESPESAS[[#This Row],[Plano de Contas]],BASE!$B$3:$D$119,3,FALSE)</f>
        <v>Salarios e Ordenados CIF</v>
      </c>
      <c r="I1169" s="77" t="str">
        <f>IFERROR(VLOOKUP(DESPESAS[[#This Row],[Fornecedor]],Tabela2[],2,FALSE),"")</f>
        <v/>
      </c>
      <c r="J1169" s="77" t="str">
        <f>IFERROR(VLOOKUP(DESPESAS[[#This Row],[Plano de Contas]],BASE!$B$3:$F$119,4,FALSE),"")</f>
        <v>3 - CUSTOS INDIRETOS</v>
      </c>
      <c r="K1169" s="77" t="str">
        <f>IFERROR(VLOOKUP(DESPESAS[[#This Row],[Plano de Contas]],BASE!$B$3:$H$119,5,FALSE),"")</f>
        <v>DH</v>
      </c>
      <c r="L1169" s="77" t="str">
        <f>IFERROR(VLOOKUP(DESPESAS[[#This Row],[Plano de Contas]],BASE!$B$3:$H$119,6,FALSE),"")</f>
        <v>CUSTO MÃO DE OBRA DIRETA</v>
      </c>
      <c r="M1169" s="77" t="str">
        <f>VLOOKUP(DESPESAS[[#This Row],[Plano de Contas]],BASE!$B$3:$H$119,7,FALSE)</f>
        <v>RAFAEL</v>
      </c>
    </row>
    <row r="1170" spans="1:13" x14ac:dyDescent="0.25">
      <c r="A1170" s="74">
        <v>197812</v>
      </c>
      <c r="B1170" s="75" t="s">
        <v>281</v>
      </c>
      <c r="C1170" s="75" t="s">
        <v>2439</v>
      </c>
      <c r="D1170" s="76">
        <v>46053</v>
      </c>
      <c r="E1170" s="75" t="s">
        <v>1680</v>
      </c>
      <c r="F1170" s="74">
        <v>2488.48</v>
      </c>
      <c r="G1170" s="75" t="s">
        <v>627</v>
      </c>
      <c r="H1170" s="77" t="str">
        <f>VLOOKUP(DESPESAS[[#This Row],[Plano de Contas]],BASE!$B$3:$D$119,3,FALSE)</f>
        <v>Salarios e Ordenados (Adm)</v>
      </c>
      <c r="I1170" s="77" t="str">
        <f>IFERROR(VLOOKUP(DESPESAS[[#This Row],[Fornecedor]],Tabela2[],2,FALSE),"")</f>
        <v/>
      </c>
      <c r="J1170" s="77" t="str">
        <f>IFERROR(VLOOKUP(DESPESAS[[#This Row],[Plano de Contas]],BASE!$B$3:$F$119,4,FALSE),"")</f>
        <v>4 - GASTOS COM PESSOAL</v>
      </c>
      <c r="K1170" s="77" t="str">
        <f>IFERROR(VLOOKUP(DESPESAS[[#This Row],[Plano de Contas]],BASE!$B$3:$H$119,5,FALSE),"")</f>
        <v>DH</v>
      </c>
      <c r="L1170" s="77">
        <f>IFERROR(VLOOKUP(DESPESAS[[#This Row],[Plano de Contas]],BASE!$B$3:$H$119,6,FALSE),"")</f>
        <v>0</v>
      </c>
      <c r="M1170" s="77" t="str">
        <f>VLOOKUP(DESPESAS[[#This Row],[Plano de Contas]],BASE!$B$3:$H$119,7,FALSE)</f>
        <v>RAFAEL</v>
      </c>
    </row>
    <row r="1171" spans="1:13" x14ac:dyDescent="0.25">
      <c r="A1171" s="74">
        <v>197813</v>
      </c>
      <c r="B1171" s="75" t="s">
        <v>281</v>
      </c>
      <c r="C1171" s="75" t="s">
        <v>2439</v>
      </c>
      <c r="D1171" s="76">
        <v>46053</v>
      </c>
      <c r="E1171" s="75" t="s">
        <v>960</v>
      </c>
      <c r="F1171" s="74">
        <v>2391.0500000000002</v>
      </c>
      <c r="G1171" s="75" t="s">
        <v>430</v>
      </c>
      <c r="H1171" s="77" t="str">
        <f>VLOOKUP(DESPESAS[[#This Row],[Plano de Contas]],BASE!$B$3:$D$119,3,FALSE)</f>
        <v>Salarios e Ordenados MOD</v>
      </c>
      <c r="I1171" s="77" t="str">
        <f>IFERROR(VLOOKUP(DESPESAS[[#This Row],[Fornecedor]],Tabela2[],2,FALSE),"")</f>
        <v/>
      </c>
      <c r="J1171" s="77" t="str">
        <f>IFERROR(VLOOKUP(DESPESAS[[#This Row],[Plano de Contas]],BASE!$B$3:$F$119,4,FALSE),"")</f>
        <v>2 - CUSTOS DIRETOS</v>
      </c>
      <c r="K1171" s="77" t="str">
        <f>IFERROR(VLOOKUP(DESPESAS[[#This Row],[Plano de Contas]],BASE!$B$3:$H$119,5,FALSE),"")</f>
        <v>DH</v>
      </c>
      <c r="L1171" s="77" t="str">
        <f>IFERROR(VLOOKUP(DESPESAS[[#This Row],[Plano de Contas]],BASE!$B$3:$H$119,6,FALSE),"")</f>
        <v>CUSTO MÃO DE OBRA DIRETA</v>
      </c>
      <c r="M1171" s="77" t="str">
        <f>VLOOKUP(DESPESAS[[#This Row],[Plano de Contas]],BASE!$B$3:$H$119,7,FALSE)</f>
        <v>RAFAEL</v>
      </c>
    </row>
    <row r="1172" spans="1:13" x14ac:dyDescent="0.25">
      <c r="A1172" s="74">
        <v>197814</v>
      </c>
      <c r="B1172" s="75" t="s">
        <v>281</v>
      </c>
      <c r="C1172" s="75" t="s">
        <v>2439</v>
      </c>
      <c r="D1172" s="76">
        <v>46053</v>
      </c>
      <c r="E1172" s="75" t="s">
        <v>959</v>
      </c>
      <c r="F1172" s="74">
        <v>1986.28</v>
      </c>
      <c r="G1172" s="75" t="s">
        <v>627</v>
      </c>
      <c r="H1172" s="77" t="str">
        <f>VLOOKUP(DESPESAS[[#This Row],[Plano de Contas]],BASE!$B$3:$D$119,3,FALSE)</f>
        <v>Salarios e Ordenados (Adm)</v>
      </c>
      <c r="I1172" s="77" t="str">
        <f>IFERROR(VLOOKUP(DESPESAS[[#This Row],[Fornecedor]],Tabela2[],2,FALSE),"")</f>
        <v/>
      </c>
      <c r="J1172" s="77" t="str">
        <f>IFERROR(VLOOKUP(DESPESAS[[#This Row],[Plano de Contas]],BASE!$B$3:$F$119,4,FALSE),"")</f>
        <v>4 - GASTOS COM PESSOAL</v>
      </c>
      <c r="K1172" s="77" t="str">
        <f>IFERROR(VLOOKUP(DESPESAS[[#This Row],[Plano de Contas]],BASE!$B$3:$H$119,5,FALSE),"")</f>
        <v>DH</v>
      </c>
      <c r="L1172" s="77">
        <f>IFERROR(VLOOKUP(DESPESAS[[#This Row],[Plano de Contas]],BASE!$B$3:$H$119,6,FALSE),"")</f>
        <v>0</v>
      </c>
      <c r="M1172" s="77" t="str">
        <f>VLOOKUP(DESPESAS[[#This Row],[Plano de Contas]],BASE!$B$3:$H$119,7,FALSE)</f>
        <v>RAFAEL</v>
      </c>
    </row>
    <row r="1173" spans="1:13" x14ac:dyDescent="0.25">
      <c r="A1173" s="74">
        <v>197815</v>
      </c>
      <c r="B1173" s="75" t="s">
        <v>281</v>
      </c>
      <c r="C1173" s="75" t="s">
        <v>2439</v>
      </c>
      <c r="D1173" s="76">
        <v>46053</v>
      </c>
      <c r="E1173" s="75" t="s">
        <v>469</v>
      </c>
      <c r="F1173" s="74">
        <v>2244.16</v>
      </c>
      <c r="G1173" s="75" t="s">
        <v>430</v>
      </c>
      <c r="H1173" s="77" t="str">
        <f>VLOOKUP(DESPESAS[[#This Row],[Plano de Contas]],BASE!$B$3:$D$119,3,FALSE)</f>
        <v>Salarios e Ordenados MOD</v>
      </c>
      <c r="I1173" s="77" t="str">
        <f>IFERROR(VLOOKUP(DESPESAS[[#This Row],[Fornecedor]],Tabela2[],2,FALSE),"")</f>
        <v/>
      </c>
      <c r="J1173" s="77" t="str">
        <f>IFERROR(VLOOKUP(DESPESAS[[#This Row],[Plano de Contas]],BASE!$B$3:$F$119,4,FALSE),"")</f>
        <v>2 - CUSTOS DIRETOS</v>
      </c>
      <c r="K1173" s="77" t="str">
        <f>IFERROR(VLOOKUP(DESPESAS[[#This Row],[Plano de Contas]],BASE!$B$3:$H$119,5,FALSE),"")</f>
        <v>DH</v>
      </c>
      <c r="L1173" s="77" t="str">
        <f>IFERROR(VLOOKUP(DESPESAS[[#This Row],[Plano de Contas]],BASE!$B$3:$H$119,6,FALSE),"")</f>
        <v>CUSTO MÃO DE OBRA DIRETA</v>
      </c>
      <c r="M1173" s="77" t="str">
        <f>VLOOKUP(DESPESAS[[#This Row],[Plano de Contas]],BASE!$B$3:$H$119,7,FALSE)</f>
        <v>RAFAEL</v>
      </c>
    </row>
    <row r="1174" spans="1:13" x14ac:dyDescent="0.25">
      <c r="A1174" s="74">
        <v>197816</v>
      </c>
      <c r="B1174" s="75" t="s">
        <v>281</v>
      </c>
      <c r="C1174" s="75" t="s">
        <v>2439</v>
      </c>
      <c r="D1174" s="76">
        <v>46053</v>
      </c>
      <c r="E1174" s="75" t="s">
        <v>958</v>
      </c>
      <c r="F1174" s="74">
        <v>2196.09</v>
      </c>
      <c r="G1174" s="75" t="s">
        <v>627</v>
      </c>
      <c r="H1174" s="77" t="str">
        <f>VLOOKUP(DESPESAS[[#This Row],[Plano de Contas]],BASE!$B$3:$D$119,3,FALSE)</f>
        <v>Salarios e Ordenados (Adm)</v>
      </c>
      <c r="I1174" s="77" t="str">
        <f>IFERROR(VLOOKUP(DESPESAS[[#This Row],[Fornecedor]],Tabela2[],2,FALSE),"")</f>
        <v/>
      </c>
      <c r="J1174" s="77" t="str">
        <f>IFERROR(VLOOKUP(DESPESAS[[#This Row],[Plano de Contas]],BASE!$B$3:$F$119,4,FALSE),"")</f>
        <v>4 - GASTOS COM PESSOAL</v>
      </c>
      <c r="K1174" s="77" t="str">
        <f>IFERROR(VLOOKUP(DESPESAS[[#This Row],[Plano de Contas]],BASE!$B$3:$H$119,5,FALSE),"")</f>
        <v>DH</v>
      </c>
      <c r="L1174" s="77">
        <f>IFERROR(VLOOKUP(DESPESAS[[#This Row],[Plano de Contas]],BASE!$B$3:$H$119,6,FALSE),"")</f>
        <v>0</v>
      </c>
      <c r="M1174" s="77" t="str">
        <f>VLOOKUP(DESPESAS[[#This Row],[Plano de Contas]],BASE!$B$3:$H$119,7,FALSE)</f>
        <v>RAFAEL</v>
      </c>
    </row>
    <row r="1175" spans="1:13" x14ac:dyDescent="0.25">
      <c r="A1175" s="74">
        <v>197817</v>
      </c>
      <c r="B1175" s="75" t="s">
        <v>281</v>
      </c>
      <c r="C1175" s="75" t="s">
        <v>2439</v>
      </c>
      <c r="D1175" s="76">
        <v>46053</v>
      </c>
      <c r="E1175" s="75" t="s">
        <v>957</v>
      </c>
      <c r="F1175" s="74">
        <v>2643.57</v>
      </c>
      <c r="G1175" s="75" t="s">
        <v>430</v>
      </c>
      <c r="H1175" s="77" t="str">
        <f>VLOOKUP(DESPESAS[[#This Row],[Plano de Contas]],BASE!$B$3:$D$119,3,FALSE)</f>
        <v>Salarios e Ordenados MOD</v>
      </c>
      <c r="I1175" s="77" t="str">
        <f>IFERROR(VLOOKUP(DESPESAS[[#This Row],[Fornecedor]],Tabela2[],2,FALSE),"")</f>
        <v/>
      </c>
      <c r="J1175" s="77" t="str">
        <f>IFERROR(VLOOKUP(DESPESAS[[#This Row],[Plano de Contas]],BASE!$B$3:$F$119,4,FALSE),"")</f>
        <v>2 - CUSTOS DIRETOS</v>
      </c>
      <c r="K1175" s="77" t="str">
        <f>IFERROR(VLOOKUP(DESPESAS[[#This Row],[Plano de Contas]],BASE!$B$3:$H$119,5,FALSE),"")</f>
        <v>DH</v>
      </c>
      <c r="L1175" s="77" t="str">
        <f>IFERROR(VLOOKUP(DESPESAS[[#This Row],[Plano de Contas]],BASE!$B$3:$H$119,6,FALSE),"")</f>
        <v>CUSTO MÃO DE OBRA DIRETA</v>
      </c>
      <c r="M1175" s="77" t="str">
        <f>VLOOKUP(DESPESAS[[#This Row],[Plano de Contas]],BASE!$B$3:$H$119,7,FALSE)</f>
        <v>RAFAEL</v>
      </c>
    </row>
    <row r="1176" spans="1:13" x14ac:dyDescent="0.25">
      <c r="A1176" s="74">
        <v>197818</v>
      </c>
      <c r="B1176" s="75" t="s">
        <v>281</v>
      </c>
      <c r="C1176" s="75" t="s">
        <v>2439</v>
      </c>
      <c r="D1176" s="76">
        <v>46053</v>
      </c>
      <c r="E1176" s="75" t="s">
        <v>845</v>
      </c>
      <c r="F1176" s="74">
        <v>3041.3</v>
      </c>
      <c r="G1176" s="75" t="s">
        <v>430</v>
      </c>
      <c r="H1176" s="77" t="str">
        <f>VLOOKUP(DESPESAS[[#This Row],[Plano de Contas]],BASE!$B$3:$D$119,3,FALSE)</f>
        <v>Salarios e Ordenados MOD</v>
      </c>
      <c r="I1176" s="77" t="str">
        <f>IFERROR(VLOOKUP(DESPESAS[[#This Row],[Fornecedor]],Tabela2[],2,FALSE),"")</f>
        <v/>
      </c>
      <c r="J1176" s="77" t="str">
        <f>IFERROR(VLOOKUP(DESPESAS[[#This Row],[Plano de Contas]],BASE!$B$3:$F$119,4,FALSE),"")</f>
        <v>2 - CUSTOS DIRETOS</v>
      </c>
      <c r="K1176" s="77" t="str">
        <f>IFERROR(VLOOKUP(DESPESAS[[#This Row],[Plano de Contas]],BASE!$B$3:$H$119,5,FALSE),"")</f>
        <v>DH</v>
      </c>
      <c r="L1176" s="77" t="str">
        <f>IFERROR(VLOOKUP(DESPESAS[[#This Row],[Plano de Contas]],BASE!$B$3:$H$119,6,FALSE),"")</f>
        <v>CUSTO MÃO DE OBRA DIRETA</v>
      </c>
      <c r="M1176" s="77" t="str">
        <f>VLOOKUP(DESPESAS[[#This Row],[Plano de Contas]],BASE!$B$3:$H$119,7,FALSE)</f>
        <v>RAFAEL</v>
      </c>
    </row>
    <row r="1177" spans="1:13" x14ac:dyDescent="0.25">
      <c r="A1177" s="74">
        <v>197819</v>
      </c>
      <c r="B1177" s="75" t="s">
        <v>281</v>
      </c>
      <c r="C1177" s="75" t="s">
        <v>2439</v>
      </c>
      <c r="D1177" s="76">
        <v>46053</v>
      </c>
      <c r="E1177" s="75" t="s">
        <v>956</v>
      </c>
      <c r="F1177" s="74">
        <v>664.77</v>
      </c>
      <c r="G1177" s="75" t="s">
        <v>430</v>
      </c>
      <c r="H1177" s="77" t="str">
        <f>VLOOKUP(DESPESAS[[#This Row],[Plano de Contas]],BASE!$B$3:$D$119,3,FALSE)</f>
        <v>Salarios e Ordenados MOD</v>
      </c>
      <c r="I1177" s="77" t="str">
        <f>IFERROR(VLOOKUP(DESPESAS[[#This Row],[Fornecedor]],Tabela2[],2,FALSE),"")</f>
        <v/>
      </c>
      <c r="J1177" s="77" t="str">
        <f>IFERROR(VLOOKUP(DESPESAS[[#This Row],[Plano de Contas]],BASE!$B$3:$F$119,4,FALSE),"")</f>
        <v>2 - CUSTOS DIRETOS</v>
      </c>
      <c r="K1177" s="77" t="str">
        <f>IFERROR(VLOOKUP(DESPESAS[[#This Row],[Plano de Contas]],BASE!$B$3:$H$119,5,FALSE),"")</f>
        <v>DH</v>
      </c>
      <c r="L1177" s="77" t="str">
        <f>IFERROR(VLOOKUP(DESPESAS[[#This Row],[Plano de Contas]],BASE!$B$3:$H$119,6,FALSE),"")</f>
        <v>CUSTO MÃO DE OBRA DIRETA</v>
      </c>
      <c r="M1177" s="77" t="str">
        <f>VLOOKUP(DESPESAS[[#This Row],[Plano de Contas]],BASE!$B$3:$H$119,7,FALSE)</f>
        <v>RAFAEL</v>
      </c>
    </row>
    <row r="1178" spans="1:13" x14ac:dyDescent="0.25">
      <c r="A1178" s="74">
        <v>197820</v>
      </c>
      <c r="B1178" s="75" t="s">
        <v>281</v>
      </c>
      <c r="C1178" s="75" t="s">
        <v>2439</v>
      </c>
      <c r="D1178" s="76">
        <v>46053</v>
      </c>
      <c r="E1178" s="75" t="s">
        <v>766</v>
      </c>
      <c r="F1178" s="74">
        <v>1976.13</v>
      </c>
      <c r="G1178" s="75" t="s">
        <v>430</v>
      </c>
      <c r="H1178" s="77" t="str">
        <f>VLOOKUP(DESPESAS[[#This Row],[Plano de Contas]],BASE!$B$3:$D$119,3,FALSE)</f>
        <v>Salarios e Ordenados MOD</v>
      </c>
      <c r="I1178" s="77" t="str">
        <f>IFERROR(VLOOKUP(DESPESAS[[#This Row],[Fornecedor]],Tabela2[],2,FALSE),"")</f>
        <v/>
      </c>
      <c r="J1178" s="77" t="str">
        <f>IFERROR(VLOOKUP(DESPESAS[[#This Row],[Plano de Contas]],BASE!$B$3:$F$119,4,FALSE),"")</f>
        <v>2 - CUSTOS DIRETOS</v>
      </c>
      <c r="K1178" s="77" t="str">
        <f>IFERROR(VLOOKUP(DESPESAS[[#This Row],[Plano de Contas]],BASE!$B$3:$H$119,5,FALSE),"")</f>
        <v>DH</v>
      </c>
      <c r="L1178" s="77" t="str">
        <f>IFERROR(VLOOKUP(DESPESAS[[#This Row],[Plano de Contas]],BASE!$B$3:$H$119,6,FALSE),"")</f>
        <v>CUSTO MÃO DE OBRA DIRETA</v>
      </c>
      <c r="M1178" s="77" t="str">
        <f>VLOOKUP(DESPESAS[[#This Row],[Plano de Contas]],BASE!$B$3:$H$119,7,FALSE)</f>
        <v>RAFAEL</v>
      </c>
    </row>
    <row r="1179" spans="1:13" x14ac:dyDescent="0.25">
      <c r="A1179" s="74">
        <v>197821</v>
      </c>
      <c r="B1179" s="75" t="s">
        <v>281</v>
      </c>
      <c r="C1179" s="75" t="s">
        <v>2439</v>
      </c>
      <c r="D1179" s="76">
        <v>46053</v>
      </c>
      <c r="E1179" s="75" t="s">
        <v>955</v>
      </c>
      <c r="F1179" s="74">
        <v>1785.72</v>
      </c>
      <c r="G1179" s="75" t="s">
        <v>430</v>
      </c>
      <c r="H1179" s="77" t="str">
        <f>VLOOKUP(DESPESAS[[#This Row],[Plano de Contas]],BASE!$B$3:$D$119,3,FALSE)</f>
        <v>Salarios e Ordenados MOD</v>
      </c>
      <c r="I1179" s="77" t="str">
        <f>IFERROR(VLOOKUP(DESPESAS[[#This Row],[Fornecedor]],Tabela2[],2,FALSE),"")</f>
        <v/>
      </c>
      <c r="J1179" s="77" t="str">
        <f>IFERROR(VLOOKUP(DESPESAS[[#This Row],[Plano de Contas]],BASE!$B$3:$F$119,4,FALSE),"")</f>
        <v>2 - CUSTOS DIRETOS</v>
      </c>
      <c r="K1179" s="77" t="str">
        <f>IFERROR(VLOOKUP(DESPESAS[[#This Row],[Plano de Contas]],BASE!$B$3:$H$119,5,FALSE),"")</f>
        <v>DH</v>
      </c>
      <c r="L1179" s="77" t="str">
        <f>IFERROR(VLOOKUP(DESPESAS[[#This Row],[Plano de Contas]],BASE!$B$3:$H$119,6,FALSE),"")</f>
        <v>CUSTO MÃO DE OBRA DIRETA</v>
      </c>
      <c r="M1179" s="77" t="str">
        <f>VLOOKUP(DESPESAS[[#This Row],[Plano de Contas]],BASE!$B$3:$H$119,7,FALSE)</f>
        <v>RAFAEL</v>
      </c>
    </row>
    <row r="1180" spans="1:13" x14ac:dyDescent="0.25">
      <c r="A1180" s="74">
        <v>197822</v>
      </c>
      <c r="B1180" s="75" t="s">
        <v>281</v>
      </c>
      <c r="C1180" s="75" t="s">
        <v>2439</v>
      </c>
      <c r="D1180" s="76">
        <v>46053</v>
      </c>
      <c r="E1180" s="75" t="s">
        <v>954</v>
      </c>
      <c r="F1180" s="74">
        <v>1155.8599999999999</v>
      </c>
      <c r="G1180" s="75" t="s">
        <v>430</v>
      </c>
      <c r="H1180" s="77" t="str">
        <f>VLOOKUP(DESPESAS[[#This Row],[Plano de Contas]],BASE!$B$3:$D$119,3,FALSE)</f>
        <v>Salarios e Ordenados MOD</v>
      </c>
      <c r="I1180" s="77" t="str">
        <f>IFERROR(VLOOKUP(DESPESAS[[#This Row],[Fornecedor]],Tabela2[],2,FALSE),"")</f>
        <v/>
      </c>
      <c r="J1180" s="77" t="str">
        <f>IFERROR(VLOOKUP(DESPESAS[[#This Row],[Plano de Contas]],BASE!$B$3:$F$119,4,FALSE),"")</f>
        <v>2 - CUSTOS DIRETOS</v>
      </c>
      <c r="K1180" s="77" t="str">
        <f>IFERROR(VLOOKUP(DESPESAS[[#This Row],[Plano de Contas]],BASE!$B$3:$H$119,5,FALSE),"")</f>
        <v>DH</v>
      </c>
      <c r="L1180" s="77" t="str">
        <f>IFERROR(VLOOKUP(DESPESAS[[#This Row],[Plano de Contas]],BASE!$B$3:$H$119,6,FALSE),"")</f>
        <v>CUSTO MÃO DE OBRA DIRETA</v>
      </c>
      <c r="M1180" s="77" t="str">
        <f>VLOOKUP(DESPESAS[[#This Row],[Plano de Contas]],BASE!$B$3:$H$119,7,FALSE)</f>
        <v>RAFAEL</v>
      </c>
    </row>
    <row r="1181" spans="1:13" x14ac:dyDescent="0.25">
      <c r="A1181" s="74">
        <v>197823</v>
      </c>
      <c r="B1181" s="75" t="s">
        <v>281</v>
      </c>
      <c r="C1181" s="75" t="s">
        <v>2439</v>
      </c>
      <c r="D1181" s="76">
        <v>46053</v>
      </c>
      <c r="E1181" s="75" t="s">
        <v>953</v>
      </c>
      <c r="F1181" s="74">
        <v>2338.0300000000002</v>
      </c>
      <c r="G1181" s="75" t="s">
        <v>430</v>
      </c>
      <c r="H1181" s="77" t="str">
        <f>VLOOKUP(DESPESAS[[#This Row],[Plano de Contas]],BASE!$B$3:$D$119,3,FALSE)</f>
        <v>Salarios e Ordenados MOD</v>
      </c>
      <c r="I1181" s="77" t="str">
        <f>IFERROR(VLOOKUP(DESPESAS[[#This Row],[Fornecedor]],Tabela2[],2,FALSE),"")</f>
        <v/>
      </c>
      <c r="J1181" s="77" t="str">
        <f>IFERROR(VLOOKUP(DESPESAS[[#This Row],[Plano de Contas]],BASE!$B$3:$F$119,4,FALSE),"")</f>
        <v>2 - CUSTOS DIRETOS</v>
      </c>
      <c r="K1181" s="77" t="str">
        <f>IFERROR(VLOOKUP(DESPESAS[[#This Row],[Plano de Contas]],BASE!$B$3:$H$119,5,FALSE),"")</f>
        <v>DH</v>
      </c>
      <c r="L1181" s="77" t="str">
        <f>IFERROR(VLOOKUP(DESPESAS[[#This Row],[Plano de Contas]],BASE!$B$3:$H$119,6,FALSE),"")</f>
        <v>CUSTO MÃO DE OBRA DIRETA</v>
      </c>
      <c r="M1181" s="77" t="str">
        <f>VLOOKUP(DESPESAS[[#This Row],[Plano de Contas]],BASE!$B$3:$H$119,7,FALSE)</f>
        <v>RAFAEL</v>
      </c>
    </row>
    <row r="1182" spans="1:13" x14ac:dyDescent="0.25">
      <c r="A1182" s="74">
        <v>197824</v>
      </c>
      <c r="B1182" s="75" t="s">
        <v>281</v>
      </c>
      <c r="C1182" s="75" t="s">
        <v>2439</v>
      </c>
      <c r="D1182" s="76">
        <v>46053</v>
      </c>
      <c r="E1182" s="75" t="s">
        <v>952</v>
      </c>
      <c r="F1182" s="74">
        <v>2216.75</v>
      </c>
      <c r="G1182" s="75" t="s">
        <v>653</v>
      </c>
      <c r="H1182" s="77" t="str">
        <f>VLOOKUP(DESPESAS[[#This Row],[Plano de Contas]],BASE!$B$3:$D$119,3,FALSE)</f>
        <v>Salarios e Ordenados CIF</v>
      </c>
      <c r="I1182" s="77" t="str">
        <f>IFERROR(VLOOKUP(DESPESAS[[#This Row],[Fornecedor]],Tabela2[],2,FALSE),"")</f>
        <v/>
      </c>
      <c r="J1182" s="77" t="str">
        <f>IFERROR(VLOOKUP(DESPESAS[[#This Row],[Plano de Contas]],BASE!$B$3:$F$119,4,FALSE),"")</f>
        <v>3 - CUSTOS INDIRETOS</v>
      </c>
      <c r="K1182" s="77" t="str">
        <f>IFERROR(VLOOKUP(DESPESAS[[#This Row],[Plano de Contas]],BASE!$B$3:$H$119,5,FALSE),"")</f>
        <v>DH</v>
      </c>
      <c r="L1182" s="77" t="str">
        <f>IFERROR(VLOOKUP(DESPESAS[[#This Row],[Plano de Contas]],BASE!$B$3:$H$119,6,FALSE),"")</f>
        <v>CUSTO MÃO DE OBRA DIRETA</v>
      </c>
      <c r="M1182" s="77" t="str">
        <f>VLOOKUP(DESPESAS[[#This Row],[Plano de Contas]],BASE!$B$3:$H$119,7,FALSE)</f>
        <v>RAFAEL</v>
      </c>
    </row>
    <row r="1183" spans="1:13" x14ac:dyDescent="0.25">
      <c r="A1183" s="74">
        <v>197825</v>
      </c>
      <c r="B1183" s="75" t="s">
        <v>281</v>
      </c>
      <c r="C1183" s="75" t="s">
        <v>2439</v>
      </c>
      <c r="D1183" s="76">
        <v>46053</v>
      </c>
      <c r="E1183" s="75" t="s">
        <v>951</v>
      </c>
      <c r="F1183" s="74">
        <v>664.77</v>
      </c>
      <c r="G1183" s="75" t="s">
        <v>430</v>
      </c>
      <c r="H1183" s="77" t="str">
        <f>VLOOKUP(DESPESAS[[#This Row],[Plano de Contas]],BASE!$B$3:$D$119,3,FALSE)</f>
        <v>Salarios e Ordenados MOD</v>
      </c>
      <c r="I1183" s="77" t="str">
        <f>IFERROR(VLOOKUP(DESPESAS[[#This Row],[Fornecedor]],Tabela2[],2,FALSE),"")</f>
        <v/>
      </c>
      <c r="J1183" s="77" t="str">
        <f>IFERROR(VLOOKUP(DESPESAS[[#This Row],[Plano de Contas]],BASE!$B$3:$F$119,4,FALSE),"")</f>
        <v>2 - CUSTOS DIRETOS</v>
      </c>
      <c r="K1183" s="77" t="str">
        <f>IFERROR(VLOOKUP(DESPESAS[[#This Row],[Plano de Contas]],BASE!$B$3:$H$119,5,FALSE),"")</f>
        <v>DH</v>
      </c>
      <c r="L1183" s="77" t="str">
        <f>IFERROR(VLOOKUP(DESPESAS[[#This Row],[Plano de Contas]],BASE!$B$3:$H$119,6,FALSE),"")</f>
        <v>CUSTO MÃO DE OBRA DIRETA</v>
      </c>
      <c r="M1183" s="77" t="str">
        <f>VLOOKUP(DESPESAS[[#This Row],[Plano de Contas]],BASE!$B$3:$H$119,7,FALSE)</f>
        <v>RAFAEL</v>
      </c>
    </row>
    <row r="1184" spans="1:13" x14ac:dyDescent="0.25">
      <c r="A1184" s="74">
        <v>197826</v>
      </c>
      <c r="B1184" s="75" t="s">
        <v>281</v>
      </c>
      <c r="C1184" s="75" t="s">
        <v>2439</v>
      </c>
      <c r="D1184" s="76">
        <v>46053</v>
      </c>
      <c r="E1184" s="75" t="s">
        <v>950</v>
      </c>
      <c r="F1184" s="74">
        <v>2002.66</v>
      </c>
      <c r="G1184" s="75" t="s">
        <v>430</v>
      </c>
      <c r="H1184" s="77" t="str">
        <f>VLOOKUP(DESPESAS[[#This Row],[Plano de Contas]],BASE!$B$3:$D$119,3,FALSE)</f>
        <v>Salarios e Ordenados MOD</v>
      </c>
      <c r="I1184" s="77" t="str">
        <f>IFERROR(VLOOKUP(DESPESAS[[#This Row],[Fornecedor]],Tabela2[],2,FALSE),"")</f>
        <v/>
      </c>
      <c r="J1184" s="77" t="str">
        <f>IFERROR(VLOOKUP(DESPESAS[[#This Row],[Plano de Contas]],BASE!$B$3:$F$119,4,FALSE),"")</f>
        <v>2 - CUSTOS DIRETOS</v>
      </c>
      <c r="K1184" s="77" t="str">
        <f>IFERROR(VLOOKUP(DESPESAS[[#This Row],[Plano de Contas]],BASE!$B$3:$H$119,5,FALSE),"")</f>
        <v>DH</v>
      </c>
      <c r="L1184" s="77" t="str">
        <f>IFERROR(VLOOKUP(DESPESAS[[#This Row],[Plano de Contas]],BASE!$B$3:$H$119,6,FALSE),"")</f>
        <v>CUSTO MÃO DE OBRA DIRETA</v>
      </c>
      <c r="M1184" s="77" t="str">
        <f>VLOOKUP(DESPESAS[[#This Row],[Plano de Contas]],BASE!$B$3:$H$119,7,FALSE)</f>
        <v>RAFAEL</v>
      </c>
    </row>
    <row r="1185" spans="1:13" x14ac:dyDescent="0.25">
      <c r="A1185" s="74">
        <v>197828</v>
      </c>
      <c r="B1185" s="75" t="s">
        <v>221</v>
      </c>
      <c r="C1185" s="75" t="s">
        <v>2444</v>
      </c>
      <c r="D1185" s="76">
        <v>46053</v>
      </c>
      <c r="E1185" s="75" t="s">
        <v>941</v>
      </c>
      <c r="F1185" s="74">
        <v>640.44000000000005</v>
      </c>
      <c r="G1185" s="75" t="s">
        <v>430</v>
      </c>
      <c r="H1185" s="77" t="str">
        <f>VLOOKUP(DESPESAS[[#This Row],[Plano de Contas]],BASE!$B$3:$D$119,3,FALSE)</f>
        <v>Salarios e Ordenados MOD</v>
      </c>
      <c r="I1185" s="77" t="str">
        <f>IFERROR(VLOOKUP(DESPESAS[[#This Row],[Fornecedor]],Tabela2[],2,FALSE),"")</f>
        <v/>
      </c>
      <c r="J1185" s="77" t="str">
        <f>IFERROR(VLOOKUP(DESPESAS[[#This Row],[Plano de Contas]],BASE!$B$3:$F$119,4,FALSE),"")</f>
        <v>2 - CUSTOS DIRETOS</v>
      </c>
      <c r="K1185" s="77" t="str">
        <f>IFERROR(VLOOKUP(DESPESAS[[#This Row],[Plano de Contas]],BASE!$B$3:$H$119,5,FALSE),"")</f>
        <v>DH</v>
      </c>
      <c r="L1185" s="77" t="str">
        <f>IFERROR(VLOOKUP(DESPESAS[[#This Row],[Plano de Contas]],BASE!$B$3:$H$119,6,FALSE),"")</f>
        <v>CUSTO MÃO DE OBRA DIRETA</v>
      </c>
      <c r="M1185" s="77" t="str">
        <f>VLOOKUP(DESPESAS[[#This Row],[Plano de Contas]],BASE!$B$3:$H$119,7,FALSE)</f>
        <v>RAFAEL</v>
      </c>
    </row>
    <row r="1186" spans="1:13" x14ac:dyDescent="0.25">
      <c r="A1186" s="74">
        <v>197830</v>
      </c>
      <c r="B1186" s="75" t="s">
        <v>232</v>
      </c>
      <c r="C1186" s="75" t="s">
        <v>2443</v>
      </c>
      <c r="D1186" s="76">
        <v>46056</v>
      </c>
      <c r="E1186" s="75" t="s">
        <v>566</v>
      </c>
      <c r="F1186" s="74">
        <v>2830.41</v>
      </c>
      <c r="G1186" s="75" t="s">
        <v>561</v>
      </c>
      <c r="H1186" s="77" t="str">
        <f>VLOOKUP(DESPESAS[[#This Row],[Plano de Contas]],BASE!$B$3:$D$119,3,FALSE)</f>
        <v>Sistemas de Informação</v>
      </c>
      <c r="I1186" s="77" t="str">
        <f>IFERROR(VLOOKUP(DESPESAS[[#This Row],[Fornecedor]],Tabela2[],2,FALSE),"")</f>
        <v>TOPSOLID</v>
      </c>
      <c r="J1186" s="77" t="str">
        <f>IFERROR(VLOOKUP(DESPESAS[[#This Row],[Plano de Contas]],BASE!$B$3:$F$119,4,FALSE),"")</f>
        <v>7 - SERVIÇOS DE TERCEIROS</v>
      </c>
      <c r="K1186" s="77" t="str">
        <f>IFERROR(VLOOKUP(DESPESAS[[#This Row],[Plano de Contas]],BASE!$B$3:$H$119,5,FALSE),"")</f>
        <v>MANUTENÇÃO / TI</v>
      </c>
      <c r="L1186" s="77">
        <f>IFERROR(VLOOKUP(DESPESAS[[#This Row],[Plano de Contas]],BASE!$B$3:$H$119,6,FALSE),"")</f>
        <v>0</v>
      </c>
      <c r="M1186" s="77" t="str">
        <f>VLOOKUP(DESPESAS[[#This Row],[Plano de Contas]],BASE!$B$3:$H$119,7,FALSE)</f>
        <v>LETÍCIA</v>
      </c>
    </row>
    <row r="1187" spans="1:13" x14ac:dyDescent="0.25">
      <c r="A1187" s="74">
        <v>197831</v>
      </c>
      <c r="B1187" s="75" t="s">
        <v>232</v>
      </c>
      <c r="C1187" s="75" t="s">
        <v>2442</v>
      </c>
      <c r="D1187" s="76">
        <v>46081</v>
      </c>
      <c r="E1187" s="75" t="s">
        <v>290</v>
      </c>
      <c r="F1187" s="74">
        <v>6905.72</v>
      </c>
      <c r="G1187" s="75" t="s">
        <v>823</v>
      </c>
      <c r="H1187" s="77" t="str">
        <f>VLOOKUP(DESPESAS[[#This Row],[Plano de Contas]],BASE!$B$3:$D$119,3,FALSE)</f>
        <v>Energia Eletrica (Prod)</v>
      </c>
      <c r="I1187" s="77" t="str">
        <f>IFERROR(VLOOKUP(DESPESAS[[#This Row],[Fornecedor]],Tabela2[],2,FALSE),"")</f>
        <v/>
      </c>
      <c r="J1187" s="77" t="str">
        <f>IFERROR(VLOOKUP(DESPESAS[[#This Row],[Plano de Contas]],BASE!$B$3:$F$119,4,FALSE),"")</f>
        <v>2 - CUSTOS DIRETOS</v>
      </c>
      <c r="K1187" s="77" t="str">
        <f>IFERROR(VLOOKUP(DESPESAS[[#This Row],[Plano de Contas]],BASE!$B$3:$H$119,5,FALSE),"")</f>
        <v>PRODUÇÃO</v>
      </c>
      <c r="L1187" s="77">
        <f>IFERROR(VLOOKUP(DESPESAS[[#This Row],[Plano de Contas]],BASE!$B$3:$H$119,6,FALSE),"")</f>
        <v>0</v>
      </c>
      <c r="M1187" s="77" t="str">
        <f>VLOOKUP(DESPESAS[[#This Row],[Plano de Contas]],BASE!$B$3:$H$119,7,FALSE)</f>
        <v>RAFAEL</v>
      </c>
    </row>
    <row r="1188" spans="1:13" x14ac:dyDescent="0.25">
      <c r="A1188" s="74">
        <v>197832</v>
      </c>
      <c r="B1188" s="75" t="s">
        <v>221</v>
      </c>
      <c r="C1188" s="75" t="s">
        <v>2441</v>
      </c>
      <c r="D1188" s="76">
        <v>46053</v>
      </c>
      <c r="E1188" s="75" t="s">
        <v>402</v>
      </c>
      <c r="F1188" s="74">
        <v>1245</v>
      </c>
      <c r="G1188" s="75" t="s">
        <v>1318</v>
      </c>
      <c r="H1188" s="77" t="str">
        <f>VLOOKUP(DESPESAS[[#This Row],[Plano de Contas]],BASE!$B$3:$D$119,3,FALSE)</f>
        <v>Feiras e Eventos</v>
      </c>
      <c r="I1188" s="77" t="str">
        <f>IFERROR(VLOOKUP(DESPESAS[[#This Row],[Fornecedor]],Tabela2[],2,FALSE),"")</f>
        <v/>
      </c>
      <c r="J1188" s="77" t="str">
        <f>IFERROR(VLOOKUP(DESPESAS[[#This Row],[Plano de Contas]],BASE!$B$3:$F$119,4,FALSE),"")</f>
        <v>6 - DESPESA COM VENDAS</v>
      </c>
      <c r="K1188" s="77" t="str">
        <f>IFERROR(VLOOKUP(DESPESAS[[#This Row],[Plano de Contas]],BASE!$B$3:$H$119,5,FALSE),"")</f>
        <v>COMERCIAL</v>
      </c>
      <c r="L1188" s="77">
        <f>IFERROR(VLOOKUP(DESPESAS[[#This Row],[Plano de Contas]],BASE!$B$3:$H$119,6,FALSE),"")</f>
        <v>0</v>
      </c>
      <c r="M1188" s="77" t="str">
        <f>VLOOKUP(DESPESAS[[#This Row],[Plano de Contas]],BASE!$B$3:$H$119,7,FALSE)</f>
        <v>THAIS</v>
      </c>
    </row>
    <row r="1189" spans="1:13" x14ac:dyDescent="0.25">
      <c r="A1189" s="74">
        <v>197833</v>
      </c>
      <c r="B1189" s="75" t="s">
        <v>221</v>
      </c>
      <c r="C1189" s="75" t="s">
        <v>1804</v>
      </c>
      <c r="D1189" s="76">
        <v>46053</v>
      </c>
      <c r="E1189" s="75" t="s">
        <v>720</v>
      </c>
      <c r="F1189" s="74">
        <v>145.29</v>
      </c>
      <c r="G1189" s="75" t="s">
        <v>1318</v>
      </c>
      <c r="H1189" s="77" t="str">
        <f>VLOOKUP(DESPESAS[[#This Row],[Plano de Contas]],BASE!$B$3:$D$119,3,FALSE)</f>
        <v>Feiras e Eventos</v>
      </c>
      <c r="I1189" s="77" t="str">
        <f>IFERROR(VLOOKUP(DESPESAS[[#This Row],[Fornecedor]],Tabela2[],2,FALSE),"")</f>
        <v/>
      </c>
      <c r="J1189" s="77" t="str">
        <f>IFERROR(VLOOKUP(DESPESAS[[#This Row],[Plano de Contas]],BASE!$B$3:$F$119,4,FALSE),"")</f>
        <v>6 - DESPESA COM VENDAS</v>
      </c>
      <c r="K1189" s="77" t="str">
        <f>IFERROR(VLOOKUP(DESPESAS[[#This Row],[Plano de Contas]],BASE!$B$3:$H$119,5,FALSE),"")</f>
        <v>COMERCIAL</v>
      </c>
      <c r="L1189" s="77">
        <f>IFERROR(VLOOKUP(DESPESAS[[#This Row],[Plano de Contas]],BASE!$B$3:$H$119,6,FALSE),"")</f>
        <v>0</v>
      </c>
      <c r="M1189" s="77" t="str">
        <f>VLOOKUP(DESPESAS[[#This Row],[Plano de Contas]],BASE!$B$3:$H$119,7,FALSE)</f>
        <v>THAIS</v>
      </c>
    </row>
    <row r="1190" spans="1:13" x14ac:dyDescent="0.25">
      <c r="A1190" s="74">
        <v>197834</v>
      </c>
      <c r="B1190" s="75" t="s">
        <v>279</v>
      </c>
      <c r="C1190" s="75" t="s">
        <v>2440</v>
      </c>
      <c r="D1190" s="76">
        <v>46053</v>
      </c>
      <c r="E1190" s="75" t="s">
        <v>900</v>
      </c>
      <c r="F1190" s="74">
        <v>1061.73</v>
      </c>
      <c r="G1190" s="75" t="s">
        <v>653</v>
      </c>
      <c r="H1190" s="77" t="str">
        <f>VLOOKUP(DESPESAS[[#This Row],[Plano de Contas]],BASE!$B$3:$D$119,3,FALSE)</f>
        <v>Salarios e Ordenados CIF</v>
      </c>
      <c r="I1190" s="77" t="str">
        <f>IFERROR(VLOOKUP(DESPESAS[[#This Row],[Fornecedor]],Tabela2[],2,FALSE),"")</f>
        <v/>
      </c>
      <c r="J1190" s="77" t="str">
        <f>IFERROR(VLOOKUP(DESPESAS[[#This Row],[Plano de Contas]],BASE!$B$3:$F$119,4,FALSE),"")</f>
        <v>3 - CUSTOS INDIRETOS</v>
      </c>
      <c r="K1190" s="77" t="str">
        <f>IFERROR(VLOOKUP(DESPESAS[[#This Row],[Plano de Contas]],BASE!$B$3:$H$119,5,FALSE),"")</f>
        <v>DH</v>
      </c>
      <c r="L1190" s="77" t="str">
        <f>IFERROR(VLOOKUP(DESPESAS[[#This Row],[Plano de Contas]],BASE!$B$3:$H$119,6,FALSE),"")</f>
        <v>CUSTO MÃO DE OBRA DIRETA</v>
      </c>
      <c r="M1190" s="77" t="str">
        <f>VLOOKUP(DESPESAS[[#This Row],[Plano de Contas]],BASE!$B$3:$H$119,7,FALSE)</f>
        <v>RAFAEL</v>
      </c>
    </row>
    <row r="1191" spans="1:13" x14ac:dyDescent="0.25">
      <c r="A1191" s="74">
        <v>197835</v>
      </c>
      <c r="B1191" s="75" t="s">
        <v>279</v>
      </c>
      <c r="C1191" s="75" t="s">
        <v>2439</v>
      </c>
      <c r="D1191" s="76">
        <v>46053</v>
      </c>
      <c r="E1191" s="75" t="s">
        <v>944</v>
      </c>
      <c r="F1191" s="74">
        <v>1485.24</v>
      </c>
      <c r="G1191" s="75" t="s">
        <v>430</v>
      </c>
      <c r="H1191" s="77" t="str">
        <f>VLOOKUP(DESPESAS[[#This Row],[Plano de Contas]],BASE!$B$3:$D$119,3,FALSE)</f>
        <v>Salarios e Ordenados MOD</v>
      </c>
      <c r="I1191" s="77" t="str">
        <f>IFERROR(VLOOKUP(DESPESAS[[#This Row],[Fornecedor]],Tabela2[],2,FALSE),"")</f>
        <v/>
      </c>
      <c r="J1191" s="77" t="str">
        <f>IFERROR(VLOOKUP(DESPESAS[[#This Row],[Plano de Contas]],BASE!$B$3:$F$119,4,FALSE),"")</f>
        <v>2 - CUSTOS DIRETOS</v>
      </c>
      <c r="K1191" s="77" t="str">
        <f>IFERROR(VLOOKUP(DESPESAS[[#This Row],[Plano de Contas]],BASE!$B$3:$H$119,5,FALSE),"")</f>
        <v>DH</v>
      </c>
      <c r="L1191" s="77" t="str">
        <f>IFERROR(VLOOKUP(DESPESAS[[#This Row],[Plano de Contas]],BASE!$B$3:$H$119,6,FALSE),"")</f>
        <v>CUSTO MÃO DE OBRA DIRETA</v>
      </c>
      <c r="M1191" s="77" t="str">
        <f>VLOOKUP(DESPESAS[[#This Row],[Plano de Contas]],BASE!$B$3:$H$119,7,FALSE)</f>
        <v>RAFAEL</v>
      </c>
    </row>
    <row r="1192" spans="1:13" x14ac:dyDescent="0.25">
      <c r="A1192" s="74">
        <v>197836</v>
      </c>
      <c r="B1192" s="75" t="s">
        <v>279</v>
      </c>
      <c r="C1192" s="75" t="s">
        <v>2439</v>
      </c>
      <c r="D1192" s="76">
        <v>46053</v>
      </c>
      <c r="E1192" s="75" t="s">
        <v>943</v>
      </c>
      <c r="F1192" s="74">
        <v>1819</v>
      </c>
      <c r="G1192" s="75" t="s">
        <v>653</v>
      </c>
      <c r="H1192" s="77" t="str">
        <f>VLOOKUP(DESPESAS[[#This Row],[Plano de Contas]],BASE!$B$3:$D$119,3,FALSE)</f>
        <v>Salarios e Ordenados CIF</v>
      </c>
      <c r="I1192" s="77" t="str">
        <f>IFERROR(VLOOKUP(DESPESAS[[#This Row],[Fornecedor]],Tabela2[],2,FALSE),"")</f>
        <v/>
      </c>
      <c r="J1192" s="77" t="str">
        <f>IFERROR(VLOOKUP(DESPESAS[[#This Row],[Plano de Contas]],BASE!$B$3:$F$119,4,FALSE),"")</f>
        <v>3 - CUSTOS INDIRETOS</v>
      </c>
      <c r="K1192" s="77" t="str">
        <f>IFERROR(VLOOKUP(DESPESAS[[#This Row],[Plano de Contas]],BASE!$B$3:$H$119,5,FALSE),"")</f>
        <v>DH</v>
      </c>
      <c r="L1192" s="77" t="str">
        <f>IFERROR(VLOOKUP(DESPESAS[[#This Row],[Plano de Contas]],BASE!$B$3:$H$119,6,FALSE),"")</f>
        <v>CUSTO MÃO DE OBRA DIRETA</v>
      </c>
      <c r="M1192" s="77" t="str">
        <f>VLOOKUP(DESPESAS[[#This Row],[Plano de Contas]],BASE!$B$3:$H$119,7,FALSE)</f>
        <v>RAFAEL</v>
      </c>
    </row>
    <row r="1193" spans="1:13" x14ac:dyDescent="0.25">
      <c r="A1193" s="74">
        <v>197837</v>
      </c>
      <c r="B1193" s="75" t="s">
        <v>279</v>
      </c>
      <c r="C1193" s="75" t="s">
        <v>2439</v>
      </c>
      <c r="D1193" s="76">
        <v>46053</v>
      </c>
      <c r="E1193" s="75" t="s">
        <v>942</v>
      </c>
      <c r="F1193" s="74">
        <v>2825.37</v>
      </c>
      <c r="G1193" s="75" t="s">
        <v>430</v>
      </c>
      <c r="H1193" s="77" t="str">
        <f>VLOOKUP(DESPESAS[[#This Row],[Plano de Contas]],BASE!$B$3:$D$119,3,FALSE)</f>
        <v>Salarios e Ordenados MOD</v>
      </c>
      <c r="I1193" s="77" t="str">
        <f>IFERROR(VLOOKUP(DESPESAS[[#This Row],[Fornecedor]],Tabela2[],2,FALSE),"")</f>
        <v/>
      </c>
      <c r="J1193" s="77" t="str">
        <f>IFERROR(VLOOKUP(DESPESAS[[#This Row],[Plano de Contas]],BASE!$B$3:$F$119,4,FALSE),"")</f>
        <v>2 - CUSTOS DIRETOS</v>
      </c>
      <c r="K1193" s="77" t="str">
        <f>IFERROR(VLOOKUP(DESPESAS[[#This Row],[Plano de Contas]],BASE!$B$3:$H$119,5,FALSE),"")</f>
        <v>DH</v>
      </c>
      <c r="L1193" s="77" t="str">
        <f>IFERROR(VLOOKUP(DESPESAS[[#This Row],[Plano de Contas]],BASE!$B$3:$H$119,6,FALSE),"")</f>
        <v>CUSTO MÃO DE OBRA DIRETA</v>
      </c>
      <c r="M1193" s="77" t="str">
        <f>VLOOKUP(DESPESAS[[#This Row],[Plano de Contas]],BASE!$B$3:$H$119,7,FALSE)</f>
        <v>RAFAEL</v>
      </c>
    </row>
    <row r="1194" spans="1:13" x14ac:dyDescent="0.25">
      <c r="A1194" s="74">
        <v>197838</v>
      </c>
      <c r="B1194" s="75" t="s">
        <v>279</v>
      </c>
      <c r="C1194" s="75" t="s">
        <v>2439</v>
      </c>
      <c r="D1194" s="76">
        <v>46053</v>
      </c>
      <c r="E1194" s="75" t="s">
        <v>941</v>
      </c>
      <c r="F1194" s="74">
        <v>2065.14</v>
      </c>
      <c r="G1194" s="75" t="s">
        <v>430</v>
      </c>
      <c r="H1194" s="77" t="str">
        <f>VLOOKUP(DESPESAS[[#This Row],[Plano de Contas]],BASE!$B$3:$D$119,3,FALSE)</f>
        <v>Salarios e Ordenados MOD</v>
      </c>
      <c r="I1194" s="77" t="str">
        <f>IFERROR(VLOOKUP(DESPESAS[[#This Row],[Fornecedor]],Tabela2[],2,FALSE),"")</f>
        <v/>
      </c>
      <c r="J1194" s="77" t="str">
        <f>IFERROR(VLOOKUP(DESPESAS[[#This Row],[Plano de Contas]],BASE!$B$3:$F$119,4,FALSE),"")</f>
        <v>2 - CUSTOS DIRETOS</v>
      </c>
      <c r="K1194" s="77" t="str">
        <f>IFERROR(VLOOKUP(DESPESAS[[#This Row],[Plano de Contas]],BASE!$B$3:$H$119,5,FALSE),"")</f>
        <v>DH</v>
      </c>
      <c r="L1194" s="77" t="str">
        <f>IFERROR(VLOOKUP(DESPESAS[[#This Row],[Plano de Contas]],BASE!$B$3:$H$119,6,FALSE),"")</f>
        <v>CUSTO MÃO DE OBRA DIRETA</v>
      </c>
      <c r="M1194" s="77" t="str">
        <f>VLOOKUP(DESPESAS[[#This Row],[Plano de Contas]],BASE!$B$3:$H$119,7,FALSE)</f>
        <v>RAFAEL</v>
      </c>
    </row>
    <row r="1195" spans="1:13" x14ac:dyDescent="0.25">
      <c r="A1195" s="74">
        <v>197839</v>
      </c>
      <c r="B1195" s="75" t="s">
        <v>279</v>
      </c>
      <c r="C1195" s="75" t="s">
        <v>2439</v>
      </c>
      <c r="D1195" s="76">
        <v>46053</v>
      </c>
      <c r="E1195" s="75" t="s">
        <v>940</v>
      </c>
      <c r="F1195" s="74">
        <v>3169.51</v>
      </c>
      <c r="G1195" s="75" t="s">
        <v>430</v>
      </c>
      <c r="H1195" s="77" t="str">
        <f>VLOOKUP(DESPESAS[[#This Row],[Plano de Contas]],BASE!$B$3:$D$119,3,FALSE)</f>
        <v>Salarios e Ordenados MOD</v>
      </c>
      <c r="I1195" s="77" t="str">
        <f>IFERROR(VLOOKUP(DESPESAS[[#This Row],[Fornecedor]],Tabela2[],2,FALSE),"")</f>
        <v/>
      </c>
      <c r="J1195" s="77" t="str">
        <f>IFERROR(VLOOKUP(DESPESAS[[#This Row],[Plano de Contas]],BASE!$B$3:$F$119,4,FALSE),"")</f>
        <v>2 - CUSTOS DIRETOS</v>
      </c>
      <c r="K1195" s="77" t="str">
        <f>IFERROR(VLOOKUP(DESPESAS[[#This Row],[Plano de Contas]],BASE!$B$3:$H$119,5,FALSE),"")</f>
        <v>DH</v>
      </c>
      <c r="L1195" s="77" t="str">
        <f>IFERROR(VLOOKUP(DESPESAS[[#This Row],[Plano de Contas]],BASE!$B$3:$H$119,6,FALSE),"")</f>
        <v>CUSTO MÃO DE OBRA DIRETA</v>
      </c>
      <c r="M1195" s="77" t="str">
        <f>VLOOKUP(DESPESAS[[#This Row],[Plano de Contas]],BASE!$B$3:$H$119,7,FALSE)</f>
        <v>RAFAEL</v>
      </c>
    </row>
    <row r="1196" spans="1:13" x14ac:dyDescent="0.25">
      <c r="A1196" s="74">
        <v>197840</v>
      </c>
      <c r="B1196" s="75" t="s">
        <v>279</v>
      </c>
      <c r="C1196" s="75" t="s">
        <v>2439</v>
      </c>
      <c r="D1196" s="76">
        <v>46053</v>
      </c>
      <c r="E1196" s="75" t="s">
        <v>754</v>
      </c>
      <c r="F1196" s="74">
        <v>1721.12</v>
      </c>
      <c r="G1196" s="75" t="s">
        <v>627</v>
      </c>
      <c r="H1196" s="77" t="str">
        <f>VLOOKUP(DESPESAS[[#This Row],[Plano de Contas]],BASE!$B$3:$D$119,3,FALSE)</f>
        <v>Salarios e Ordenados (Adm)</v>
      </c>
      <c r="I1196" s="77" t="str">
        <f>IFERROR(VLOOKUP(DESPESAS[[#This Row],[Fornecedor]],Tabela2[],2,FALSE),"")</f>
        <v/>
      </c>
      <c r="J1196" s="77" t="str">
        <f>IFERROR(VLOOKUP(DESPESAS[[#This Row],[Plano de Contas]],BASE!$B$3:$F$119,4,FALSE),"")</f>
        <v>4 - GASTOS COM PESSOAL</v>
      </c>
      <c r="K1196" s="77" t="str">
        <f>IFERROR(VLOOKUP(DESPESAS[[#This Row],[Plano de Contas]],BASE!$B$3:$H$119,5,FALSE),"")</f>
        <v>DH</v>
      </c>
      <c r="L1196" s="77">
        <f>IFERROR(VLOOKUP(DESPESAS[[#This Row],[Plano de Contas]],BASE!$B$3:$H$119,6,FALSE),"")</f>
        <v>0</v>
      </c>
      <c r="M1196" s="77" t="str">
        <f>VLOOKUP(DESPESAS[[#This Row],[Plano de Contas]],BASE!$B$3:$H$119,7,FALSE)</f>
        <v>RAFAEL</v>
      </c>
    </row>
    <row r="1197" spans="1:13" x14ac:dyDescent="0.25">
      <c r="A1197" s="74">
        <v>197841</v>
      </c>
      <c r="B1197" s="75" t="s">
        <v>279</v>
      </c>
      <c r="C1197" s="75" t="s">
        <v>2439</v>
      </c>
      <c r="D1197" s="76">
        <v>46053</v>
      </c>
      <c r="E1197" s="75" t="s">
        <v>939</v>
      </c>
      <c r="F1197" s="74">
        <v>2387.38</v>
      </c>
      <c r="G1197" s="75" t="s">
        <v>430</v>
      </c>
      <c r="H1197" s="77" t="str">
        <f>VLOOKUP(DESPESAS[[#This Row],[Plano de Contas]],BASE!$B$3:$D$119,3,FALSE)</f>
        <v>Salarios e Ordenados MOD</v>
      </c>
      <c r="I1197" s="77" t="str">
        <f>IFERROR(VLOOKUP(DESPESAS[[#This Row],[Fornecedor]],Tabela2[],2,FALSE),"")</f>
        <v/>
      </c>
      <c r="J1197" s="77" t="str">
        <f>IFERROR(VLOOKUP(DESPESAS[[#This Row],[Plano de Contas]],BASE!$B$3:$F$119,4,FALSE),"")</f>
        <v>2 - CUSTOS DIRETOS</v>
      </c>
      <c r="K1197" s="77" t="str">
        <f>IFERROR(VLOOKUP(DESPESAS[[#This Row],[Plano de Contas]],BASE!$B$3:$H$119,5,FALSE),"")</f>
        <v>DH</v>
      </c>
      <c r="L1197" s="77" t="str">
        <f>IFERROR(VLOOKUP(DESPESAS[[#This Row],[Plano de Contas]],BASE!$B$3:$H$119,6,FALSE),"")</f>
        <v>CUSTO MÃO DE OBRA DIRETA</v>
      </c>
      <c r="M1197" s="77" t="str">
        <f>VLOOKUP(DESPESAS[[#This Row],[Plano de Contas]],BASE!$B$3:$H$119,7,FALSE)</f>
        <v>RAFAEL</v>
      </c>
    </row>
    <row r="1198" spans="1:13" x14ac:dyDescent="0.25">
      <c r="A1198" s="74">
        <v>197842</v>
      </c>
      <c r="B1198" s="75" t="s">
        <v>279</v>
      </c>
      <c r="C1198" s="75" t="s">
        <v>2439</v>
      </c>
      <c r="D1198" s="76">
        <v>46053</v>
      </c>
      <c r="E1198" s="75" t="s">
        <v>765</v>
      </c>
      <c r="F1198" s="74">
        <v>2281.94</v>
      </c>
      <c r="G1198" s="75" t="s">
        <v>430</v>
      </c>
      <c r="H1198" s="77" t="str">
        <f>VLOOKUP(DESPESAS[[#This Row],[Plano de Contas]],BASE!$B$3:$D$119,3,FALSE)</f>
        <v>Salarios e Ordenados MOD</v>
      </c>
      <c r="I1198" s="77" t="str">
        <f>IFERROR(VLOOKUP(DESPESAS[[#This Row],[Fornecedor]],Tabela2[],2,FALSE),"")</f>
        <v/>
      </c>
      <c r="J1198" s="77" t="str">
        <f>IFERROR(VLOOKUP(DESPESAS[[#This Row],[Plano de Contas]],BASE!$B$3:$F$119,4,FALSE),"")</f>
        <v>2 - CUSTOS DIRETOS</v>
      </c>
      <c r="K1198" s="77" t="str">
        <f>IFERROR(VLOOKUP(DESPESAS[[#This Row],[Plano de Contas]],BASE!$B$3:$H$119,5,FALSE),"")</f>
        <v>DH</v>
      </c>
      <c r="L1198" s="77" t="str">
        <f>IFERROR(VLOOKUP(DESPESAS[[#This Row],[Plano de Contas]],BASE!$B$3:$H$119,6,FALSE),"")</f>
        <v>CUSTO MÃO DE OBRA DIRETA</v>
      </c>
      <c r="M1198" s="77" t="str">
        <f>VLOOKUP(DESPESAS[[#This Row],[Plano de Contas]],BASE!$B$3:$H$119,7,FALSE)</f>
        <v>RAFAEL</v>
      </c>
    </row>
    <row r="1199" spans="1:13" x14ac:dyDescent="0.25">
      <c r="A1199" s="74">
        <v>197843</v>
      </c>
      <c r="B1199" s="75" t="s">
        <v>279</v>
      </c>
      <c r="C1199" s="75" t="s">
        <v>2439</v>
      </c>
      <c r="D1199" s="76">
        <v>46053</v>
      </c>
      <c r="E1199" s="75" t="s">
        <v>938</v>
      </c>
      <c r="F1199" s="74">
        <v>3798.82</v>
      </c>
      <c r="G1199" s="75" t="s">
        <v>430</v>
      </c>
      <c r="H1199" s="77" t="str">
        <f>VLOOKUP(DESPESAS[[#This Row],[Plano de Contas]],BASE!$B$3:$D$119,3,FALSE)</f>
        <v>Salarios e Ordenados MOD</v>
      </c>
      <c r="I1199" s="77" t="str">
        <f>IFERROR(VLOOKUP(DESPESAS[[#This Row],[Fornecedor]],Tabela2[],2,FALSE),"")</f>
        <v/>
      </c>
      <c r="J1199" s="77" t="str">
        <f>IFERROR(VLOOKUP(DESPESAS[[#This Row],[Plano de Contas]],BASE!$B$3:$F$119,4,FALSE),"")</f>
        <v>2 - CUSTOS DIRETOS</v>
      </c>
      <c r="K1199" s="77" t="str">
        <f>IFERROR(VLOOKUP(DESPESAS[[#This Row],[Plano de Contas]],BASE!$B$3:$H$119,5,FALSE),"")</f>
        <v>DH</v>
      </c>
      <c r="L1199" s="77" t="str">
        <f>IFERROR(VLOOKUP(DESPESAS[[#This Row],[Plano de Contas]],BASE!$B$3:$H$119,6,FALSE),"")</f>
        <v>CUSTO MÃO DE OBRA DIRETA</v>
      </c>
      <c r="M1199" s="77" t="str">
        <f>VLOOKUP(DESPESAS[[#This Row],[Plano de Contas]],BASE!$B$3:$H$119,7,FALSE)</f>
        <v>RAFAEL</v>
      </c>
    </row>
    <row r="1200" spans="1:13" x14ac:dyDescent="0.25">
      <c r="A1200" s="74">
        <v>197844</v>
      </c>
      <c r="B1200" s="75" t="s">
        <v>279</v>
      </c>
      <c r="C1200" s="75" t="s">
        <v>2439</v>
      </c>
      <c r="D1200" s="76">
        <v>46053</v>
      </c>
      <c r="E1200" s="75" t="s">
        <v>937</v>
      </c>
      <c r="F1200" s="74">
        <v>2457.3000000000002</v>
      </c>
      <c r="G1200" s="75" t="s">
        <v>430</v>
      </c>
      <c r="H1200" s="77" t="str">
        <f>VLOOKUP(DESPESAS[[#This Row],[Plano de Contas]],BASE!$B$3:$D$119,3,FALSE)</f>
        <v>Salarios e Ordenados MOD</v>
      </c>
      <c r="I1200" s="77" t="str">
        <f>IFERROR(VLOOKUP(DESPESAS[[#This Row],[Fornecedor]],Tabela2[],2,FALSE),"")</f>
        <v/>
      </c>
      <c r="J1200" s="77" t="str">
        <f>IFERROR(VLOOKUP(DESPESAS[[#This Row],[Plano de Contas]],BASE!$B$3:$F$119,4,FALSE),"")</f>
        <v>2 - CUSTOS DIRETOS</v>
      </c>
      <c r="K1200" s="77" t="str">
        <f>IFERROR(VLOOKUP(DESPESAS[[#This Row],[Plano de Contas]],BASE!$B$3:$H$119,5,FALSE),"")</f>
        <v>DH</v>
      </c>
      <c r="L1200" s="77" t="str">
        <f>IFERROR(VLOOKUP(DESPESAS[[#This Row],[Plano de Contas]],BASE!$B$3:$H$119,6,FALSE),"")</f>
        <v>CUSTO MÃO DE OBRA DIRETA</v>
      </c>
      <c r="M1200" s="77" t="str">
        <f>VLOOKUP(DESPESAS[[#This Row],[Plano de Contas]],BASE!$B$3:$H$119,7,FALSE)</f>
        <v>RAFAEL</v>
      </c>
    </row>
    <row r="1201" spans="1:13" x14ac:dyDescent="0.25">
      <c r="A1201" s="74">
        <v>197845</v>
      </c>
      <c r="B1201" s="75" t="s">
        <v>279</v>
      </c>
      <c r="C1201" s="75" t="s">
        <v>2439</v>
      </c>
      <c r="D1201" s="76">
        <v>46053</v>
      </c>
      <c r="E1201" s="75" t="s">
        <v>936</v>
      </c>
      <c r="F1201" s="74">
        <v>3163.32</v>
      </c>
      <c r="G1201" s="75" t="s">
        <v>430</v>
      </c>
      <c r="H1201" s="77" t="str">
        <f>VLOOKUP(DESPESAS[[#This Row],[Plano de Contas]],BASE!$B$3:$D$119,3,FALSE)</f>
        <v>Salarios e Ordenados MOD</v>
      </c>
      <c r="I1201" s="77" t="str">
        <f>IFERROR(VLOOKUP(DESPESAS[[#This Row],[Fornecedor]],Tabela2[],2,FALSE),"")</f>
        <v/>
      </c>
      <c r="J1201" s="77" t="str">
        <f>IFERROR(VLOOKUP(DESPESAS[[#This Row],[Plano de Contas]],BASE!$B$3:$F$119,4,FALSE),"")</f>
        <v>2 - CUSTOS DIRETOS</v>
      </c>
      <c r="K1201" s="77" t="str">
        <f>IFERROR(VLOOKUP(DESPESAS[[#This Row],[Plano de Contas]],BASE!$B$3:$H$119,5,FALSE),"")</f>
        <v>DH</v>
      </c>
      <c r="L1201" s="77" t="str">
        <f>IFERROR(VLOOKUP(DESPESAS[[#This Row],[Plano de Contas]],BASE!$B$3:$H$119,6,FALSE),"")</f>
        <v>CUSTO MÃO DE OBRA DIRETA</v>
      </c>
      <c r="M1201" s="77" t="str">
        <f>VLOOKUP(DESPESAS[[#This Row],[Plano de Contas]],BASE!$B$3:$H$119,7,FALSE)</f>
        <v>RAFAEL</v>
      </c>
    </row>
    <row r="1202" spans="1:13" x14ac:dyDescent="0.25">
      <c r="A1202" s="74">
        <v>197846</v>
      </c>
      <c r="B1202" s="75" t="s">
        <v>279</v>
      </c>
      <c r="C1202" s="75" t="s">
        <v>2439</v>
      </c>
      <c r="D1202" s="76">
        <v>46053</v>
      </c>
      <c r="E1202" s="75" t="s">
        <v>764</v>
      </c>
      <c r="F1202" s="74">
        <v>2282.64</v>
      </c>
      <c r="G1202" s="75" t="s">
        <v>430</v>
      </c>
      <c r="H1202" s="77" t="str">
        <f>VLOOKUP(DESPESAS[[#This Row],[Plano de Contas]],BASE!$B$3:$D$119,3,FALSE)</f>
        <v>Salarios e Ordenados MOD</v>
      </c>
      <c r="I1202" s="77" t="str">
        <f>IFERROR(VLOOKUP(DESPESAS[[#This Row],[Fornecedor]],Tabela2[],2,FALSE),"")</f>
        <v/>
      </c>
      <c r="J1202" s="77" t="str">
        <f>IFERROR(VLOOKUP(DESPESAS[[#This Row],[Plano de Contas]],BASE!$B$3:$F$119,4,FALSE),"")</f>
        <v>2 - CUSTOS DIRETOS</v>
      </c>
      <c r="K1202" s="77" t="str">
        <f>IFERROR(VLOOKUP(DESPESAS[[#This Row],[Plano de Contas]],BASE!$B$3:$H$119,5,FALSE),"")</f>
        <v>DH</v>
      </c>
      <c r="L1202" s="77" t="str">
        <f>IFERROR(VLOOKUP(DESPESAS[[#This Row],[Plano de Contas]],BASE!$B$3:$H$119,6,FALSE),"")</f>
        <v>CUSTO MÃO DE OBRA DIRETA</v>
      </c>
      <c r="M1202" s="77" t="str">
        <f>VLOOKUP(DESPESAS[[#This Row],[Plano de Contas]],BASE!$B$3:$H$119,7,FALSE)</f>
        <v>RAFAEL</v>
      </c>
    </row>
    <row r="1203" spans="1:13" x14ac:dyDescent="0.25">
      <c r="A1203" s="74">
        <v>197847</v>
      </c>
      <c r="B1203" s="75" t="s">
        <v>279</v>
      </c>
      <c r="C1203" s="75" t="s">
        <v>2439</v>
      </c>
      <c r="D1203" s="76">
        <v>46053</v>
      </c>
      <c r="E1203" s="75" t="s">
        <v>935</v>
      </c>
      <c r="F1203" s="74">
        <v>1818.87</v>
      </c>
      <c r="G1203" s="75" t="s">
        <v>430</v>
      </c>
      <c r="H1203" s="77" t="str">
        <f>VLOOKUP(DESPESAS[[#This Row],[Plano de Contas]],BASE!$B$3:$D$119,3,FALSE)</f>
        <v>Salarios e Ordenados MOD</v>
      </c>
      <c r="I1203" s="77" t="str">
        <f>IFERROR(VLOOKUP(DESPESAS[[#This Row],[Fornecedor]],Tabela2[],2,FALSE),"")</f>
        <v/>
      </c>
      <c r="J1203" s="77" t="str">
        <f>IFERROR(VLOOKUP(DESPESAS[[#This Row],[Plano de Contas]],BASE!$B$3:$F$119,4,FALSE),"")</f>
        <v>2 - CUSTOS DIRETOS</v>
      </c>
      <c r="K1203" s="77" t="str">
        <f>IFERROR(VLOOKUP(DESPESAS[[#This Row],[Plano de Contas]],BASE!$B$3:$H$119,5,FALSE),"")</f>
        <v>DH</v>
      </c>
      <c r="L1203" s="77" t="str">
        <f>IFERROR(VLOOKUP(DESPESAS[[#This Row],[Plano de Contas]],BASE!$B$3:$H$119,6,FALSE),"")</f>
        <v>CUSTO MÃO DE OBRA DIRETA</v>
      </c>
      <c r="M1203" s="77" t="str">
        <f>VLOOKUP(DESPESAS[[#This Row],[Plano de Contas]],BASE!$B$3:$H$119,7,FALSE)</f>
        <v>RAFAEL</v>
      </c>
    </row>
    <row r="1204" spans="1:13" x14ac:dyDescent="0.25">
      <c r="A1204" s="74">
        <v>197848</v>
      </c>
      <c r="B1204" s="75" t="s">
        <v>279</v>
      </c>
      <c r="C1204" s="75" t="s">
        <v>2439</v>
      </c>
      <c r="D1204" s="76">
        <v>46053</v>
      </c>
      <c r="E1204" s="75" t="s">
        <v>934</v>
      </c>
      <c r="F1204" s="74">
        <v>1248.18</v>
      </c>
      <c r="G1204" s="75" t="s">
        <v>430</v>
      </c>
      <c r="H1204" s="77" t="str">
        <f>VLOOKUP(DESPESAS[[#This Row],[Plano de Contas]],BASE!$B$3:$D$119,3,FALSE)</f>
        <v>Salarios e Ordenados MOD</v>
      </c>
      <c r="I1204" s="77" t="str">
        <f>IFERROR(VLOOKUP(DESPESAS[[#This Row],[Fornecedor]],Tabela2[],2,FALSE),"")</f>
        <v/>
      </c>
      <c r="J1204" s="77" t="str">
        <f>IFERROR(VLOOKUP(DESPESAS[[#This Row],[Plano de Contas]],BASE!$B$3:$F$119,4,FALSE),"")</f>
        <v>2 - CUSTOS DIRETOS</v>
      </c>
      <c r="K1204" s="77" t="str">
        <f>IFERROR(VLOOKUP(DESPESAS[[#This Row],[Plano de Contas]],BASE!$B$3:$H$119,5,FALSE),"")</f>
        <v>DH</v>
      </c>
      <c r="L1204" s="77" t="str">
        <f>IFERROR(VLOOKUP(DESPESAS[[#This Row],[Plano de Contas]],BASE!$B$3:$H$119,6,FALSE),"")</f>
        <v>CUSTO MÃO DE OBRA DIRETA</v>
      </c>
      <c r="M1204" s="77" t="str">
        <f>VLOOKUP(DESPESAS[[#This Row],[Plano de Contas]],BASE!$B$3:$H$119,7,FALSE)</f>
        <v>RAFAEL</v>
      </c>
    </row>
    <row r="1205" spans="1:13" x14ac:dyDescent="0.25">
      <c r="A1205" s="74">
        <v>197849</v>
      </c>
      <c r="B1205" s="75" t="s">
        <v>279</v>
      </c>
      <c r="C1205" s="75" t="s">
        <v>2439</v>
      </c>
      <c r="D1205" s="76">
        <v>46053</v>
      </c>
      <c r="E1205" s="75" t="s">
        <v>933</v>
      </c>
      <c r="F1205" s="74">
        <v>1130.06</v>
      </c>
      <c r="G1205" s="75" t="s">
        <v>430</v>
      </c>
      <c r="H1205" s="77" t="str">
        <f>VLOOKUP(DESPESAS[[#This Row],[Plano de Contas]],BASE!$B$3:$D$119,3,FALSE)</f>
        <v>Salarios e Ordenados MOD</v>
      </c>
      <c r="I1205" s="77" t="str">
        <f>IFERROR(VLOOKUP(DESPESAS[[#This Row],[Fornecedor]],Tabela2[],2,FALSE),"")</f>
        <v/>
      </c>
      <c r="J1205" s="77" t="str">
        <f>IFERROR(VLOOKUP(DESPESAS[[#This Row],[Plano de Contas]],BASE!$B$3:$F$119,4,FALSE),"")</f>
        <v>2 - CUSTOS DIRETOS</v>
      </c>
      <c r="K1205" s="77" t="str">
        <f>IFERROR(VLOOKUP(DESPESAS[[#This Row],[Plano de Contas]],BASE!$B$3:$H$119,5,FALSE),"")</f>
        <v>DH</v>
      </c>
      <c r="L1205" s="77" t="str">
        <f>IFERROR(VLOOKUP(DESPESAS[[#This Row],[Plano de Contas]],BASE!$B$3:$H$119,6,FALSE),"")</f>
        <v>CUSTO MÃO DE OBRA DIRETA</v>
      </c>
      <c r="M1205" s="77" t="str">
        <f>VLOOKUP(DESPESAS[[#This Row],[Plano de Contas]],BASE!$B$3:$H$119,7,FALSE)</f>
        <v>RAFAEL</v>
      </c>
    </row>
    <row r="1206" spans="1:13" x14ac:dyDescent="0.25">
      <c r="A1206" s="74">
        <v>197850</v>
      </c>
      <c r="B1206" s="75" t="s">
        <v>279</v>
      </c>
      <c r="C1206" s="75" t="s">
        <v>2439</v>
      </c>
      <c r="D1206" s="76">
        <v>46053</v>
      </c>
      <c r="E1206" s="75" t="s">
        <v>932</v>
      </c>
      <c r="F1206" s="74">
        <v>2481.0700000000002</v>
      </c>
      <c r="G1206" s="75" t="s">
        <v>430</v>
      </c>
      <c r="H1206" s="77" t="str">
        <f>VLOOKUP(DESPESAS[[#This Row],[Plano de Contas]],BASE!$B$3:$D$119,3,FALSE)</f>
        <v>Salarios e Ordenados MOD</v>
      </c>
      <c r="I1206" s="77" t="str">
        <f>IFERROR(VLOOKUP(DESPESAS[[#This Row],[Fornecedor]],Tabela2[],2,FALSE),"")</f>
        <v/>
      </c>
      <c r="J1206" s="77" t="str">
        <f>IFERROR(VLOOKUP(DESPESAS[[#This Row],[Plano de Contas]],BASE!$B$3:$F$119,4,FALSE),"")</f>
        <v>2 - CUSTOS DIRETOS</v>
      </c>
      <c r="K1206" s="77" t="str">
        <f>IFERROR(VLOOKUP(DESPESAS[[#This Row],[Plano de Contas]],BASE!$B$3:$H$119,5,FALSE),"")</f>
        <v>DH</v>
      </c>
      <c r="L1206" s="77" t="str">
        <f>IFERROR(VLOOKUP(DESPESAS[[#This Row],[Plano de Contas]],BASE!$B$3:$H$119,6,FALSE),"")</f>
        <v>CUSTO MÃO DE OBRA DIRETA</v>
      </c>
      <c r="M1206" s="77" t="str">
        <f>VLOOKUP(DESPESAS[[#This Row],[Plano de Contas]],BASE!$B$3:$H$119,7,FALSE)</f>
        <v>RAFAEL</v>
      </c>
    </row>
    <row r="1207" spans="1:13" x14ac:dyDescent="0.25">
      <c r="A1207" s="74">
        <v>197851</v>
      </c>
      <c r="B1207" s="75" t="s">
        <v>279</v>
      </c>
      <c r="C1207" s="75" t="s">
        <v>2439</v>
      </c>
      <c r="D1207" s="76">
        <v>46053</v>
      </c>
      <c r="E1207" s="75" t="s">
        <v>931</v>
      </c>
      <c r="F1207" s="74">
        <v>3571.58</v>
      </c>
      <c r="G1207" s="75" t="s">
        <v>430</v>
      </c>
      <c r="H1207" s="77" t="str">
        <f>VLOOKUP(DESPESAS[[#This Row],[Plano de Contas]],BASE!$B$3:$D$119,3,FALSE)</f>
        <v>Salarios e Ordenados MOD</v>
      </c>
      <c r="I1207" s="77" t="str">
        <f>IFERROR(VLOOKUP(DESPESAS[[#This Row],[Fornecedor]],Tabela2[],2,FALSE),"")</f>
        <v/>
      </c>
      <c r="J1207" s="77" t="str">
        <f>IFERROR(VLOOKUP(DESPESAS[[#This Row],[Plano de Contas]],BASE!$B$3:$F$119,4,FALSE),"")</f>
        <v>2 - CUSTOS DIRETOS</v>
      </c>
      <c r="K1207" s="77" t="str">
        <f>IFERROR(VLOOKUP(DESPESAS[[#This Row],[Plano de Contas]],BASE!$B$3:$H$119,5,FALSE),"")</f>
        <v>DH</v>
      </c>
      <c r="L1207" s="77" t="str">
        <f>IFERROR(VLOOKUP(DESPESAS[[#This Row],[Plano de Contas]],BASE!$B$3:$H$119,6,FALSE),"")</f>
        <v>CUSTO MÃO DE OBRA DIRETA</v>
      </c>
      <c r="M1207" s="77" t="str">
        <f>VLOOKUP(DESPESAS[[#This Row],[Plano de Contas]],BASE!$B$3:$H$119,7,FALSE)</f>
        <v>RAFAEL</v>
      </c>
    </row>
    <row r="1208" spans="1:13" x14ac:dyDescent="0.25">
      <c r="A1208" s="74">
        <v>197852</v>
      </c>
      <c r="B1208" s="75" t="s">
        <v>279</v>
      </c>
      <c r="C1208" s="75" t="s">
        <v>2439</v>
      </c>
      <c r="D1208" s="76">
        <v>46053</v>
      </c>
      <c r="E1208" s="75" t="s">
        <v>930</v>
      </c>
      <c r="F1208" s="74">
        <v>2537.42</v>
      </c>
      <c r="G1208" s="75" t="s">
        <v>430</v>
      </c>
      <c r="H1208" s="77" t="str">
        <f>VLOOKUP(DESPESAS[[#This Row],[Plano de Contas]],BASE!$B$3:$D$119,3,FALSE)</f>
        <v>Salarios e Ordenados MOD</v>
      </c>
      <c r="I1208" s="77" t="str">
        <f>IFERROR(VLOOKUP(DESPESAS[[#This Row],[Fornecedor]],Tabela2[],2,FALSE),"")</f>
        <v/>
      </c>
      <c r="J1208" s="77" t="str">
        <f>IFERROR(VLOOKUP(DESPESAS[[#This Row],[Plano de Contas]],BASE!$B$3:$F$119,4,FALSE),"")</f>
        <v>2 - CUSTOS DIRETOS</v>
      </c>
      <c r="K1208" s="77" t="str">
        <f>IFERROR(VLOOKUP(DESPESAS[[#This Row],[Plano de Contas]],BASE!$B$3:$H$119,5,FALSE),"")</f>
        <v>DH</v>
      </c>
      <c r="L1208" s="77" t="str">
        <f>IFERROR(VLOOKUP(DESPESAS[[#This Row],[Plano de Contas]],BASE!$B$3:$H$119,6,FALSE),"")</f>
        <v>CUSTO MÃO DE OBRA DIRETA</v>
      </c>
      <c r="M1208" s="77" t="str">
        <f>VLOOKUP(DESPESAS[[#This Row],[Plano de Contas]],BASE!$B$3:$H$119,7,FALSE)</f>
        <v>RAFAEL</v>
      </c>
    </row>
    <row r="1209" spans="1:13" x14ac:dyDescent="0.25">
      <c r="A1209" s="74">
        <v>197853</v>
      </c>
      <c r="B1209" s="75" t="s">
        <v>279</v>
      </c>
      <c r="C1209" s="75" t="s">
        <v>2439</v>
      </c>
      <c r="D1209" s="76">
        <v>46053</v>
      </c>
      <c r="E1209" s="75" t="s">
        <v>929</v>
      </c>
      <c r="F1209" s="74">
        <v>2995.55</v>
      </c>
      <c r="G1209" s="75" t="s">
        <v>430</v>
      </c>
      <c r="H1209" s="77" t="str">
        <f>VLOOKUP(DESPESAS[[#This Row],[Plano de Contas]],BASE!$B$3:$D$119,3,FALSE)</f>
        <v>Salarios e Ordenados MOD</v>
      </c>
      <c r="I1209" s="77" t="str">
        <f>IFERROR(VLOOKUP(DESPESAS[[#This Row],[Fornecedor]],Tabela2[],2,FALSE),"")</f>
        <v/>
      </c>
      <c r="J1209" s="77" t="str">
        <f>IFERROR(VLOOKUP(DESPESAS[[#This Row],[Plano de Contas]],BASE!$B$3:$F$119,4,FALSE),"")</f>
        <v>2 - CUSTOS DIRETOS</v>
      </c>
      <c r="K1209" s="77" t="str">
        <f>IFERROR(VLOOKUP(DESPESAS[[#This Row],[Plano de Contas]],BASE!$B$3:$H$119,5,FALSE),"")</f>
        <v>DH</v>
      </c>
      <c r="L1209" s="77" t="str">
        <f>IFERROR(VLOOKUP(DESPESAS[[#This Row],[Plano de Contas]],BASE!$B$3:$H$119,6,FALSE),"")</f>
        <v>CUSTO MÃO DE OBRA DIRETA</v>
      </c>
      <c r="M1209" s="77" t="str">
        <f>VLOOKUP(DESPESAS[[#This Row],[Plano de Contas]],BASE!$B$3:$H$119,7,FALSE)</f>
        <v>RAFAEL</v>
      </c>
    </row>
    <row r="1210" spans="1:13" x14ac:dyDescent="0.25">
      <c r="A1210" s="74">
        <v>197854</v>
      </c>
      <c r="B1210" s="75" t="s">
        <v>279</v>
      </c>
      <c r="C1210" s="75" t="s">
        <v>2439</v>
      </c>
      <c r="D1210" s="76">
        <v>46053</v>
      </c>
      <c r="E1210" s="75" t="s">
        <v>928</v>
      </c>
      <c r="F1210" s="74">
        <v>2571.11</v>
      </c>
      <c r="G1210" s="75" t="s">
        <v>430</v>
      </c>
      <c r="H1210" s="77" t="str">
        <f>VLOOKUP(DESPESAS[[#This Row],[Plano de Contas]],BASE!$B$3:$D$119,3,FALSE)</f>
        <v>Salarios e Ordenados MOD</v>
      </c>
      <c r="I1210" s="77" t="str">
        <f>IFERROR(VLOOKUP(DESPESAS[[#This Row],[Fornecedor]],Tabela2[],2,FALSE),"")</f>
        <v/>
      </c>
      <c r="J1210" s="77" t="str">
        <f>IFERROR(VLOOKUP(DESPESAS[[#This Row],[Plano de Contas]],BASE!$B$3:$F$119,4,FALSE),"")</f>
        <v>2 - CUSTOS DIRETOS</v>
      </c>
      <c r="K1210" s="77" t="str">
        <f>IFERROR(VLOOKUP(DESPESAS[[#This Row],[Plano de Contas]],BASE!$B$3:$H$119,5,FALSE),"")</f>
        <v>DH</v>
      </c>
      <c r="L1210" s="77" t="str">
        <f>IFERROR(VLOOKUP(DESPESAS[[#This Row],[Plano de Contas]],BASE!$B$3:$H$119,6,FALSE),"")</f>
        <v>CUSTO MÃO DE OBRA DIRETA</v>
      </c>
      <c r="M1210" s="77" t="str">
        <f>VLOOKUP(DESPESAS[[#This Row],[Plano de Contas]],BASE!$B$3:$H$119,7,FALSE)</f>
        <v>RAFAEL</v>
      </c>
    </row>
    <row r="1211" spans="1:13" x14ac:dyDescent="0.25">
      <c r="A1211" s="74">
        <v>197855</v>
      </c>
      <c r="B1211" s="75" t="s">
        <v>279</v>
      </c>
      <c r="C1211" s="75" t="s">
        <v>2439</v>
      </c>
      <c r="D1211" s="76">
        <v>46053</v>
      </c>
      <c r="E1211" s="75" t="s">
        <v>484</v>
      </c>
      <c r="F1211" s="74">
        <v>1683.89</v>
      </c>
      <c r="G1211" s="75" t="s">
        <v>627</v>
      </c>
      <c r="H1211" s="77" t="str">
        <f>VLOOKUP(DESPESAS[[#This Row],[Plano de Contas]],BASE!$B$3:$D$119,3,FALSE)</f>
        <v>Salarios e Ordenados (Adm)</v>
      </c>
      <c r="I1211" s="77" t="str">
        <f>IFERROR(VLOOKUP(DESPESAS[[#This Row],[Fornecedor]],Tabela2[],2,FALSE),"")</f>
        <v/>
      </c>
      <c r="J1211" s="77" t="str">
        <f>IFERROR(VLOOKUP(DESPESAS[[#This Row],[Plano de Contas]],BASE!$B$3:$F$119,4,FALSE),"")</f>
        <v>4 - GASTOS COM PESSOAL</v>
      </c>
      <c r="K1211" s="77" t="str">
        <f>IFERROR(VLOOKUP(DESPESAS[[#This Row],[Plano de Contas]],BASE!$B$3:$H$119,5,FALSE),"")</f>
        <v>DH</v>
      </c>
      <c r="L1211" s="77">
        <f>IFERROR(VLOOKUP(DESPESAS[[#This Row],[Plano de Contas]],BASE!$B$3:$H$119,6,FALSE),"")</f>
        <v>0</v>
      </c>
      <c r="M1211" s="77" t="str">
        <f>VLOOKUP(DESPESAS[[#This Row],[Plano de Contas]],BASE!$B$3:$H$119,7,FALSE)</f>
        <v>RAFAEL</v>
      </c>
    </row>
    <row r="1212" spans="1:13" x14ac:dyDescent="0.25">
      <c r="A1212" s="74">
        <v>197856</v>
      </c>
      <c r="B1212" s="75" t="s">
        <v>279</v>
      </c>
      <c r="C1212" s="75" t="s">
        <v>2439</v>
      </c>
      <c r="D1212" s="76">
        <v>46053</v>
      </c>
      <c r="E1212" s="75" t="s">
        <v>927</v>
      </c>
      <c r="F1212" s="74">
        <v>1934.89</v>
      </c>
      <c r="G1212" s="75" t="s">
        <v>430</v>
      </c>
      <c r="H1212" s="77" t="str">
        <f>VLOOKUP(DESPESAS[[#This Row],[Plano de Contas]],BASE!$B$3:$D$119,3,FALSE)</f>
        <v>Salarios e Ordenados MOD</v>
      </c>
      <c r="I1212" s="77" t="str">
        <f>IFERROR(VLOOKUP(DESPESAS[[#This Row],[Fornecedor]],Tabela2[],2,FALSE),"")</f>
        <v/>
      </c>
      <c r="J1212" s="77" t="str">
        <f>IFERROR(VLOOKUP(DESPESAS[[#This Row],[Plano de Contas]],BASE!$B$3:$F$119,4,FALSE),"")</f>
        <v>2 - CUSTOS DIRETOS</v>
      </c>
      <c r="K1212" s="77" t="str">
        <f>IFERROR(VLOOKUP(DESPESAS[[#This Row],[Plano de Contas]],BASE!$B$3:$H$119,5,FALSE),"")</f>
        <v>DH</v>
      </c>
      <c r="L1212" s="77" t="str">
        <f>IFERROR(VLOOKUP(DESPESAS[[#This Row],[Plano de Contas]],BASE!$B$3:$H$119,6,FALSE),"")</f>
        <v>CUSTO MÃO DE OBRA DIRETA</v>
      </c>
      <c r="M1212" s="77" t="str">
        <f>VLOOKUP(DESPESAS[[#This Row],[Plano de Contas]],BASE!$B$3:$H$119,7,FALSE)</f>
        <v>RAFAEL</v>
      </c>
    </row>
    <row r="1213" spans="1:13" x14ac:dyDescent="0.25">
      <c r="A1213" s="74">
        <v>197857</v>
      </c>
      <c r="B1213" s="75" t="s">
        <v>279</v>
      </c>
      <c r="C1213" s="75" t="s">
        <v>2439</v>
      </c>
      <c r="D1213" s="76">
        <v>46053</v>
      </c>
      <c r="E1213" s="75" t="s">
        <v>762</v>
      </c>
      <c r="F1213" s="74">
        <v>1708.96</v>
      </c>
      <c r="G1213" s="75" t="s">
        <v>430</v>
      </c>
      <c r="H1213" s="77" t="str">
        <f>VLOOKUP(DESPESAS[[#This Row],[Plano de Contas]],BASE!$B$3:$D$119,3,FALSE)</f>
        <v>Salarios e Ordenados MOD</v>
      </c>
      <c r="I1213" s="77" t="str">
        <f>IFERROR(VLOOKUP(DESPESAS[[#This Row],[Fornecedor]],Tabela2[],2,FALSE),"")</f>
        <v/>
      </c>
      <c r="J1213" s="77" t="str">
        <f>IFERROR(VLOOKUP(DESPESAS[[#This Row],[Plano de Contas]],BASE!$B$3:$F$119,4,FALSE),"")</f>
        <v>2 - CUSTOS DIRETOS</v>
      </c>
      <c r="K1213" s="77" t="str">
        <f>IFERROR(VLOOKUP(DESPESAS[[#This Row],[Plano de Contas]],BASE!$B$3:$H$119,5,FALSE),"")</f>
        <v>DH</v>
      </c>
      <c r="L1213" s="77" t="str">
        <f>IFERROR(VLOOKUP(DESPESAS[[#This Row],[Plano de Contas]],BASE!$B$3:$H$119,6,FALSE),"")</f>
        <v>CUSTO MÃO DE OBRA DIRETA</v>
      </c>
      <c r="M1213" s="77" t="str">
        <f>VLOOKUP(DESPESAS[[#This Row],[Plano de Contas]],BASE!$B$3:$H$119,7,FALSE)</f>
        <v>RAFAEL</v>
      </c>
    </row>
    <row r="1214" spans="1:13" x14ac:dyDescent="0.25">
      <c r="A1214" s="74">
        <v>197858</v>
      </c>
      <c r="B1214" s="75" t="s">
        <v>279</v>
      </c>
      <c r="C1214" s="75" t="s">
        <v>2439</v>
      </c>
      <c r="D1214" s="76">
        <v>46053</v>
      </c>
      <c r="E1214" s="75" t="s">
        <v>926</v>
      </c>
      <c r="F1214" s="74">
        <v>2991.17</v>
      </c>
      <c r="G1214" s="75" t="s">
        <v>627</v>
      </c>
      <c r="H1214" s="77" t="str">
        <f>VLOOKUP(DESPESAS[[#This Row],[Plano de Contas]],BASE!$B$3:$D$119,3,FALSE)</f>
        <v>Salarios e Ordenados (Adm)</v>
      </c>
      <c r="I1214" s="77" t="str">
        <f>IFERROR(VLOOKUP(DESPESAS[[#This Row],[Fornecedor]],Tabela2[],2,FALSE),"")</f>
        <v/>
      </c>
      <c r="J1214" s="77" t="str">
        <f>IFERROR(VLOOKUP(DESPESAS[[#This Row],[Plano de Contas]],BASE!$B$3:$F$119,4,FALSE),"")</f>
        <v>4 - GASTOS COM PESSOAL</v>
      </c>
      <c r="K1214" s="77" t="str">
        <f>IFERROR(VLOOKUP(DESPESAS[[#This Row],[Plano de Contas]],BASE!$B$3:$H$119,5,FALSE),"")</f>
        <v>DH</v>
      </c>
      <c r="L1214" s="77">
        <f>IFERROR(VLOOKUP(DESPESAS[[#This Row],[Plano de Contas]],BASE!$B$3:$H$119,6,FALSE),"")</f>
        <v>0</v>
      </c>
      <c r="M1214" s="77" t="str">
        <f>VLOOKUP(DESPESAS[[#This Row],[Plano de Contas]],BASE!$B$3:$H$119,7,FALSE)</f>
        <v>RAFAEL</v>
      </c>
    </row>
    <row r="1215" spans="1:13" x14ac:dyDescent="0.25">
      <c r="A1215" s="74">
        <v>197859</v>
      </c>
      <c r="B1215" s="75" t="s">
        <v>279</v>
      </c>
      <c r="C1215" s="75" t="s">
        <v>2439</v>
      </c>
      <c r="D1215" s="76">
        <v>46053</v>
      </c>
      <c r="E1215" s="75" t="s">
        <v>925</v>
      </c>
      <c r="F1215" s="74">
        <v>2774.65</v>
      </c>
      <c r="G1215" s="75" t="s">
        <v>430</v>
      </c>
      <c r="H1215" s="77" t="str">
        <f>VLOOKUP(DESPESAS[[#This Row],[Plano de Contas]],BASE!$B$3:$D$119,3,FALSE)</f>
        <v>Salarios e Ordenados MOD</v>
      </c>
      <c r="I1215" s="77" t="str">
        <f>IFERROR(VLOOKUP(DESPESAS[[#This Row],[Fornecedor]],Tabela2[],2,FALSE),"")</f>
        <v/>
      </c>
      <c r="J1215" s="77" t="str">
        <f>IFERROR(VLOOKUP(DESPESAS[[#This Row],[Plano de Contas]],BASE!$B$3:$F$119,4,FALSE),"")</f>
        <v>2 - CUSTOS DIRETOS</v>
      </c>
      <c r="K1215" s="77" t="str">
        <f>IFERROR(VLOOKUP(DESPESAS[[#This Row],[Plano de Contas]],BASE!$B$3:$H$119,5,FALSE),"")</f>
        <v>DH</v>
      </c>
      <c r="L1215" s="77" t="str">
        <f>IFERROR(VLOOKUP(DESPESAS[[#This Row],[Plano de Contas]],BASE!$B$3:$H$119,6,FALSE),"")</f>
        <v>CUSTO MÃO DE OBRA DIRETA</v>
      </c>
      <c r="M1215" s="77" t="str">
        <f>VLOOKUP(DESPESAS[[#This Row],[Plano de Contas]],BASE!$B$3:$H$119,7,FALSE)</f>
        <v>RAFAEL</v>
      </c>
    </row>
    <row r="1216" spans="1:13" x14ac:dyDescent="0.25">
      <c r="A1216" s="74">
        <v>197860</v>
      </c>
      <c r="B1216" s="75" t="s">
        <v>279</v>
      </c>
      <c r="C1216" s="75" t="s">
        <v>2439</v>
      </c>
      <c r="D1216" s="76">
        <v>46053</v>
      </c>
      <c r="E1216" s="75" t="s">
        <v>924</v>
      </c>
      <c r="F1216" s="74">
        <v>4057.19</v>
      </c>
      <c r="G1216" s="75" t="s">
        <v>627</v>
      </c>
      <c r="H1216" s="77" t="str">
        <f>VLOOKUP(DESPESAS[[#This Row],[Plano de Contas]],BASE!$B$3:$D$119,3,FALSE)</f>
        <v>Salarios e Ordenados (Adm)</v>
      </c>
      <c r="I1216" s="77" t="str">
        <f>IFERROR(VLOOKUP(DESPESAS[[#This Row],[Fornecedor]],Tabela2[],2,FALSE),"")</f>
        <v/>
      </c>
      <c r="J1216" s="77" t="str">
        <f>IFERROR(VLOOKUP(DESPESAS[[#This Row],[Plano de Contas]],BASE!$B$3:$F$119,4,FALSE),"")</f>
        <v>4 - GASTOS COM PESSOAL</v>
      </c>
      <c r="K1216" s="77" t="str">
        <f>IFERROR(VLOOKUP(DESPESAS[[#This Row],[Plano de Contas]],BASE!$B$3:$H$119,5,FALSE),"")</f>
        <v>DH</v>
      </c>
      <c r="L1216" s="77">
        <f>IFERROR(VLOOKUP(DESPESAS[[#This Row],[Plano de Contas]],BASE!$B$3:$H$119,6,FALSE),"")</f>
        <v>0</v>
      </c>
      <c r="M1216" s="77" t="str">
        <f>VLOOKUP(DESPESAS[[#This Row],[Plano de Contas]],BASE!$B$3:$H$119,7,FALSE)</f>
        <v>RAFAEL</v>
      </c>
    </row>
    <row r="1217" spans="1:13" x14ac:dyDescent="0.25">
      <c r="A1217" s="74">
        <v>197861</v>
      </c>
      <c r="B1217" s="75" t="s">
        <v>279</v>
      </c>
      <c r="C1217" s="75" t="s">
        <v>2439</v>
      </c>
      <c r="D1217" s="76">
        <v>46053</v>
      </c>
      <c r="E1217" s="75" t="s">
        <v>923</v>
      </c>
      <c r="F1217" s="74">
        <v>2585.13</v>
      </c>
      <c r="G1217" s="75" t="s">
        <v>430</v>
      </c>
      <c r="H1217" s="77" t="str">
        <f>VLOOKUP(DESPESAS[[#This Row],[Plano de Contas]],BASE!$B$3:$D$119,3,FALSE)</f>
        <v>Salarios e Ordenados MOD</v>
      </c>
      <c r="I1217" s="77" t="str">
        <f>IFERROR(VLOOKUP(DESPESAS[[#This Row],[Fornecedor]],Tabela2[],2,FALSE),"")</f>
        <v/>
      </c>
      <c r="J1217" s="77" t="str">
        <f>IFERROR(VLOOKUP(DESPESAS[[#This Row],[Plano de Contas]],BASE!$B$3:$F$119,4,FALSE),"")</f>
        <v>2 - CUSTOS DIRETOS</v>
      </c>
      <c r="K1217" s="77" t="str">
        <f>IFERROR(VLOOKUP(DESPESAS[[#This Row],[Plano de Contas]],BASE!$B$3:$H$119,5,FALSE),"")</f>
        <v>DH</v>
      </c>
      <c r="L1217" s="77" t="str">
        <f>IFERROR(VLOOKUP(DESPESAS[[#This Row],[Plano de Contas]],BASE!$B$3:$H$119,6,FALSE),"")</f>
        <v>CUSTO MÃO DE OBRA DIRETA</v>
      </c>
      <c r="M1217" s="77" t="str">
        <f>VLOOKUP(DESPESAS[[#This Row],[Plano de Contas]],BASE!$B$3:$H$119,7,FALSE)</f>
        <v>RAFAEL</v>
      </c>
    </row>
    <row r="1218" spans="1:13" x14ac:dyDescent="0.25">
      <c r="A1218" s="74">
        <v>197862</v>
      </c>
      <c r="B1218" s="75" t="s">
        <v>279</v>
      </c>
      <c r="C1218" s="75" t="s">
        <v>2439</v>
      </c>
      <c r="D1218" s="76">
        <v>46053</v>
      </c>
      <c r="E1218" s="75" t="s">
        <v>922</v>
      </c>
      <c r="F1218" s="74">
        <v>1785.41</v>
      </c>
      <c r="G1218" s="75" t="s">
        <v>430</v>
      </c>
      <c r="H1218" s="77" t="str">
        <f>VLOOKUP(DESPESAS[[#This Row],[Plano de Contas]],BASE!$B$3:$D$119,3,FALSE)</f>
        <v>Salarios e Ordenados MOD</v>
      </c>
      <c r="I1218" s="77" t="str">
        <f>IFERROR(VLOOKUP(DESPESAS[[#This Row],[Fornecedor]],Tabela2[],2,FALSE),"")</f>
        <v/>
      </c>
      <c r="J1218" s="77" t="str">
        <f>IFERROR(VLOOKUP(DESPESAS[[#This Row],[Plano de Contas]],BASE!$B$3:$F$119,4,FALSE),"")</f>
        <v>2 - CUSTOS DIRETOS</v>
      </c>
      <c r="K1218" s="77" t="str">
        <f>IFERROR(VLOOKUP(DESPESAS[[#This Row],[Plano de Contas]],BASE!$B$3:$H$119,5,FALSE),"")</f>
        <v>DH</v>
      </c>
      <c r="L1218" s="77" t="str">
        <f>IFERROR(VLOOKUP(DESPESAS[[#This Row],[Plano de Contas]],BASE!$B$3:$H$119,6,FALSE),"")</f>
        <v>CUSTO MÃO DE OBRA DIRETA</v>
      </c>
      <c r="M1218" s="77" t="str">
        <f>VLOOKUP(DESPESAS[[#This Row],[Plano de Contas]],BASE!$B$3:$H$119,7,FALSE)</f>
        <v>RAFAEL</v>
      </c>
    </row>
    <row r="1219" spans="1:13" x14ac:dyDescent="0.25">
      <c r="A1219" s="74">
        <v>197863</v>
      </c>
      <c r="B1219" s="75" t="s">
        <v>279</v>
      </c>
      <c r="C1219" s="75" t="s">
        <v>2439</v>
      </c>
      <c r="D1219" s="76">
        <v>46053</v>
      </c>
      <c r="E1219" s="75" t="s">
        <v>921</v>
      </c>
      <c r="F1219" s="74">
        <v>1924.43</v>
      </c>
      <c r="G1219" s="75" t="s">
        <v>653</v>
      </c>
      <c r="H1219" s="77" t="str">
        <f>VLOOKUP(DESPESAS[[#This Row],[Plano de Contas]],BASE!$B$3:$D$119,3,FALSE)</f>
        <v>Salarios e Ordenados CIF</v>
      </c>
      <c r="I1219" s="77" t="str">
        <f>IFERROR(VLOOKUP(DESPESAS[[#This Row],[Fornecedor]],Tabela2[],2,FALSE),"")</f>
        <v/>
      </c>
      <c r="J1219" s="77" t="str">
        <f>IFERROR(VLOOKUP(DESPESAS[[#This Row],[Plano de Contas]],BASE!$B$3:$F$119,4,FALSE),"")</f>
        <v>3 - CUSTOS INDIRETOS</v>
      </c>
      <c r="K1219" s="77" t="str">
        <f>IFERROR(VLOOKUP(DESPESAS[[#This Row],[Plano de Contas]],BASE!$B$3:$H$119,5,FALSE),"")</f>
        <v>DH</v>
      </c>
      <c r="L1219" s="77" t="str">
        <f>IFERROR(VLOOKUP(DESPESAS[[#This Row],[Plano de Contas]],BASE!$B$3:$H$119,6,FALSE),"")</f>
        <v>CUSTO MÃO DE OBRA DIRETA</v>
      </c>
      <c r="M1219" s="77" t="str">
        <f>VLOOKUP(DESPESAS[[#This Row],[Plano de Contas]],BASE!$B$3:$H$119,7,FALSE)</f>
        <v>RAFAEL</v>
      </c>
    </row>
    <row r="1220" spans="1:13" x14ac:dyDescent="0.25">
      <c r="A1220" s="74">
        <v>197864</v>
      </c>
      <c r="B1220" s="75" t="s">
        <v>279</v>
      </c>
      <c r="C1220" s="75" t="s">
        <v>2439</v>
      </c>
      <c r="D1220" s="76">
        <v>46053</v>
      </c>
      <c r="E1220" s="75" t="s">
        <v>920</v>
      </c>
      <c r="F1220" s="74">
        <v>2023.02</v>
      </c>
      <c r="G1220" s="75" t="s">
        <v>430</v>
      </c>
      <c r="H1220" s="77" t="str">
        <f>VLOOKUP(DESPESAS[[#This Row],[Plano de Contas]],BASE!$B$3:$D$119,3,FALSE)</f>
        <v>Salarios e Ordenados MOD</v>
      </c>
      <c r="I1220" s="77" t="str">
        <f>IFERROR(VLOOKUP(DESPESAS[[#This Row],[Fornecedor]],Tabela2[],2,FALSE),"")</f>
        <v/>
      </c>
      <c r="J1220" s="77" t="str">
        <f>IFERROR(VLOOKUP(DESPESAS[[#This Row],[Plano de Contas]],BASE!$B$3:$F$119,4,FALSE),"")</f>
        <v>2 - CUSTOS DIRETOS</v>
      </c>
      <c r="K1220" s="77" t="str">
        <f>IFERROR(VLOOKUP(DESPESAS[[#This Row],[Plano de Contas]],BASE!$B$3:$H$119,5,FALSE),"")</f>
        <v>DH</v>
      </c>
      <c r="L1220" s="77" t="str">
        <f>IFERROR(VLOOKUP(DESPESAS[[#This Row],[Plano de Contas]],BASE!$B$3:$H$119,6,FALSE),"")</f>
        <v>CUSTO MÃO DE OBRA DIRETA</v>
      </c>
      <c r="M1220" s="77" t="str">
        <f>VLOOKUP(DESPESAS[[#This Row],[Plano de Contas]],BASE!$B$3:$H$119,7,FALSE)</f>
        <v>RAFAEL</v>
      </c>
    </row>
    <row r="1221" spans="1:13" x14ac:dyDescent="0.25">
      <c r="A1221" s="74">
        <v>197865</v>
      </c>
      <c r="B1221" s="75" t="s">
        <v>279</v>
      </c>
      <c r="C1221" s="75" t="s">
        <v>2439</v>
      </c>
      <c r="D1221" s="76">
        <v>46053</v>
      </c>
      <c r="E1221" s="75" t="s">
        <v>919</v>
      </c>
      <c r="F1221" s="74">
        <v>1907.76</v>
      </c>
      <c r="G1221" s="75" t="s">
        <v>430</v>
      </c>
      <c r="H1221" s="77" t="str">
        <f>VLOOKUP(DESPESAS[[#This Row],[Plano de Contas]],BASE!$B$3:$D$119,3,FALSE)</f>
        <v>Salarios e Ordenados MOD</v>
      </c>
      <c r="I1221" s="77" t="str">
        <f>IFERROR(VLOOKUP(DESPESAS[[#This Row],[Fornecedor]],Tabela2[],2,FALSE),"")</f>
        <v/>
      </c>
      <c r="J1221" s="77" t="str">
        <f>IFERROR(VLOOKUP(DESPESAS[[#This Row],[Plano de Contas]],BASE!$B$3:$F$119,4,FALSE),"")</f>
        <v>2 - CUSTOS DIRETOS</v>
      </c>
      <c r="K1221" s="77" t="str">
        <f>IFERROR(VLOOKUP(DESPESAS[[#This Row],[Plano de Contas]],BASE!$B$3:$H$119,5,FALSE),"")</f>
        <v>DH</v>
      </c>
      <c r="L1221" s="77" t="str">
        <f>IFERROR(VLOOKUP(DESPESAS[[#This Row],[Plano de Contas]],BASE!$B$3:$H$119,6,FALSE),"")</f>
        <v>CUSTO MÃO DE OBRA DIRETA</v>
      </c>
      <c r="M1221" s="77" t="str">
        <f>VLOOKUP(DESPESAS[[#This Row],[Plano de Contas]],BASE!$B$3:$H$119,7,FALSE)</f>
        <v>RAFAEL</v>
      </c>
    </row>
    <row r="1222" spans="1:13" x14ac:dyDescent="0.25">
      <c r="A1222" s="74">
        <v>197866</v>
      </c>
      <c r="B1222" s="75" t="s">
        <v>279</v>
      </c>
      <c r="C1222" s="75" t="s">
        <v>2439</v>
      </c>
      <c r="D1222" s="76">
        <v>46053</v>
      </c>
      <c r="E1222" s="75" t="s">
        <v>918</v>
      </c>
      <c r="F1222" s="74">
        <v>3135</v>
      </c>
      <c r="G1222" s="75" t="s">
        <v>430</v>
      </c>
      <c r="H1222" s="77" t="str">
        <f>VLOOKUP(DESPESAS[[#This Row],[Plano de Contas]],BASE!$B$3:$D$119,3,FALSE)</f>
        <v>Salarios e Ordenados MOD</v>
      </c>
      <c r="I1222" s="77" t="str">
        <f>IFERROR(VLOOKUP(DESPESAS[[#This Row],[Fornecedor]],Tabela2[],2,FALSE),"")</f>
        <v/>
      </c>
      <c r="J1222" s="77" t="str">
        <f>IFERROR(VLOOKUP(DESPESAS[[#This Row],[Plano de Contas]],BASE!$B$3:$F$119,4,FALSE),"")</f>
        <v>2 - CUSTOS DIRETOS</v>
      </c>
      <c r="K1222" s="77" t="str">
        <f>IFERROR(VLOOKUP(DESPESAS[[#This Row],[Plano de Contas]],BASE!$B$3:$H$119,5,FALSE),"")</f>
        <v>DH</v>
      </c>
      <c r="L1222" s="77" t="str">
        <f>IFERROR(VLOOKUP(DESPESAS[[#This Row],[Plano de Contas]],BASE!$B$3:$H$119,6,FALSE),"")</f>
        <v>CUSTO MÃO DE OBRA DIRETA</v>
      </c>
      <c r="M1222" s="77" t="str">
        <f>VLOOKUP(DESPESAS[[#This Row],[Plano de Contas]],BASE!$B$3:$H$119,7,FALSE)</f>
        <v>RAFAEL</v>
      </c>
    </row>
    <row r="1223" spans="1:13" x14ac:dyDescent="0.25">
      <c r="A1223" s="74">
        <v>197867</v>
      </c>
      <c r="B1223" s="75" t="s">
        <v>279</v>
      </c>
      <c r="C1223" s="75" t="s">
        <v>2439</v>
      </c>
      <c r="D1223" s="76">
        <v>46053</v>
      </c>
      <c r="E1223" s="75" t="s">
        <v>917</v>
      </c>
      <c r="F1223" s="74">
        <v>1929.93</v>
      </c>
      <c r="G1223" s="75" t="s">
        <v>627</v>
      </c>
      <c r="H1223" s="77" t="str">
        <f>VLOOKUP(DESPESAS[[#This Row],[Plano de Contas]],BASE!$B$3:$D$119,3,FALSE)</f>
        <v>Salarios e Ordenados (Adm)</v>
      </c>
      <c r="I1223" s="77" t="str">
        <f>IFERROR(VLOOKUP(DESPESAS[[#This Row],[Fornecedor]],Tabela2[],2,FALSE),"")</f>
        <v/>
      </c>
      <c r="J1223" s="77" t="str">
        <f>IFERROR(VLOOKUP(DESPESAS[[#This Row],[Plano de Contas]],BASE!$B$3:$F$119,4,FALSE),"")</f>
        <v>4 - GASTOS COM PESSOAL</v>
      </c>
      <c r="K1223" s="77" t="str">
        <f>IFERROR(VLOOKUP(DESPESAS[[#This Row],[Plano de Contas]],BASE!$B$3:$H$119,5,FALSE),"")</f>
        <v>DH</v>
      </c>
      <c r="L1223" s="77">
        <f>IFERROR(VLOOKUP(DESPESAS[[#This Row],[Plano de Contas]],BASE!$B$3:$H$119,6,FALSE),"")</f>
        <v>0</v>
      </c>
      <c r="M1223" s="77" t="str">
        <f>VLOOKUP(DESPESAS[[#This Row],[Plano de Contas]],BASE!$B$3:$H$119,7,FALSE)</f>
        <v>RAFAEL</v>
      </c>
    </row>
    <row r="1224" spans="1:13" x14ac:dyDescent="0.25">
      <c r="A1224" s="74">
        <v>197868</v>
      </c>
      <c r="B1224" s="75" t="s">
        <v>279</v>
      </c>
      <c r="C1224" s="75" t="s">
        <v>2439</v>
      </c>
      <c r="D1224" s="76">
        <v>46053</v>
      </c>
      <c r="E1224" s="75" t="s">
        <v>752</v>
      </c>
      <c r="F1224" s="74">
        <v>3672.38</v>
      </c>
      <c r="G1224" s="75" t="s">
        <v>627</v>
      </c>
      <c r="H1224" s="77" t="str">
        <f>VLOOKUP(DESPESAS[[#This Row],[Plano de Contas]],BASE!$B$3:$D$119,3,FALSE)</f>
        <v>Salarios e Ordenados (Adm)</v>
      </c>
      <c r="I1224" s="77" t="str">
        <f>IFERROR(VLOOKUP(DESPESAS[[#This Row],[Fornecedor]],Tabela2[],2,FALSE),"")</f>
        <v/>
      </c>
      <c r="J1224" s="77" t="str">
        <f>IFERROR(VLOOKUP(DESPESAS[[#This Row],[Plano de Contas]],BASE!$B$3:$F$119,4,FALSE),"")</f>
        <v>4 - GASTOS COM PESSOAL</v>
      </c>
      <c r="K1224" s="77" t="str">
        <f>IFERROR(VLOOKUP(DESPESAS[[#This Row],[Plano de Contas]],BASE!$B$3:$H$119,5,FALSE),"")</f>
        <v>DH</v>
      </c>
      <c r="L1224" s="77">
        <f>IFERROR(VLOOKUP(DESPESAS[[#This Row],[Plano de Contas]],BASE!$B$3:$H$119,6,FALSE),"")</f>
        <v>0</v>
      </c>
      <c r="M1224" s="77" t="str">
        <f>VLOOKUP(DESPESAS[[#This Row],[Plano de Contas]],BASE!$B$3:$H$119,7,FALSE)</f>
        <v>RAFAEL</v>
      </c>
    </row>
    <row r="1225" spans="1:13" x14ac:dyDescent="0.25">
      <c r="A1225" s="74">
        <v>197869</v>
      </c>
      <c r="B1225" s="75" t="s">
        <v>279</v>
      </c>
      <c r="C1225" s="75" t="s">
        <v>2439</v>
      </c>
      <c r="D1225" s="76">
        <v>46053</v>
      </c>
      <c r="E1225" s="75" t="s">
        <v>916</v>
      </c>
      <c r="F1225" s="74">
        <v>3381.15</v>
      </c>
      <c r="G1225" s="75" t="s">
        <v>653</v>
      </c>
      <c r="H1225" s="77" t="str">
        <f>VLOOKUP(DESPESAS[[#This Row],[Plano de Contas]],BASE!$B$3:$D$119,3,FALSE)</f>
        <v>Salarios e Ordenados CIF</v>
      </c>
      <c r="I1225" s="77" t="str">
        <f>IFERROR(VLOOKUP(DESPESAS[[#This Row],[Fornecedor]],Tabela2[],2,FALSE),"")</f>
        <v/>
      </c>
      <c r="J1225" s="77" t="str">
        <f>IFERROR(VLOOKUP(DESPESAS[[#This Row],[Plano de Contas]],BASE!$B$3:$F$119,4,FALSE),"")</f>
        <v>3 - CUSTOS INDIRETOS</v>
      </c>
      <c r="K1225" s="77" t="str">
        <f>IFERROR(VLOOKUP(DESPESAS[[#This Row],[Plano de Contas]],BASE!$B$3:$H$119,5,FALSE),"")</f>
        <v>DH</v>
      </c>
      <c r="L1225" s="77" t="str">
        <f>IFERROR(VLOOKUP(DESPESAS[[#This Row],[Plano de Contas]],BASE!$B$3:$H$119,6,FALSE),"")</f>
        <v>CUSTO MÃO DE OBRA DIRETA</v>
      </c>
      <c r="M1225" s="77" t="str">
        <f>VLOOKUP(DESPESAS[[#This Row],[Plano de Contas]],BASE!$B$3:$H$119,7,FALSE)</f>
        <v>RAFAEL</v>
      </c>
    </row>
    <row r="1226" spans="1:13" x14ac:dyDescent="0.25">
      <c r="A1226" s="74">
        <v>197870</v>
      </c>
      <c r="B1226" s="75" t="s">
        <v>279</v>
      </c>
      <c r="C1226" s="75" t="s">
        <v>2439</v>
      </c>
      <c r="D1226" s="76">
        <v>46053</v>
      </c>
      <c r="E1226" s="75" t="s">
        <v>900</v>
      </c>
      <c r="F1226" s="74">
        <v>1852.48</v>
      </c>
      <c r="G1226" s="75" t="s">
        <v>653</v>
      </c>
      <c r="H1226" s="77" t="str">
        <f>VLOOKUP(DESPESAS[[#This Row],[Plano de Contas]],BASE!$B$3:$D$119,3,FALSE)</f>
        <v>Salarios e Ordenados CIF</v>
      </c>
      <c r="I1226" s="77" t="str">
        <f>IFERROR(VLOOKUP(DESPESAS[[#This Row],[Fornecedor]],Tabela2[],2,FALSE),"")</f>
        <v/>
      </c>
      <c r="J1226" s="77" t="str">
        <f>IFERROR(VLOOKUP(DESPESAS[[#This Row],[Plano de Contas]],BASE!$B$3:$F$119,4,FALSE),"")</f>
        <v>3 - CUSTOS INDIRETOS</v>
      </c>
      <c r="K1226" s="77" t="str">
        <f>IFERROR(VLOOKUP(DESPESAS[[#This Row],[Plano de Contas]],BASE!$B$3:$H$119,5,FALSE),"")</f>
        <v>DH</v>
      </c>
      <c r="L1226" s="77" t="str">
        <f>IFERROR(VLOOKUP(DESPESAS[[#This Row],[Plano de Contas]],BASE!$B$3:$H$119,6,FALSE),"")</f>
        <v>CUSTO MÃO DE OBRA DIRETA</v>
      </c>
      <c r="M1226" s="77" t="str">
        <f>VLOOKUP(DESPESAS[[#This Row],[Plano de Contas]],BASE!$B$3:$H$119,7,FALSE)</f>
        <v>RAFAEL</v>
      </c>
    </row>
    <row r="1227" spans="1:13" x14ac:dyDescent="0.25">
      <c r="A1227" s="74">
        <v>197871</v>
      </c>
      <c r="B1227" s="75" t="s">
        <v>279</v>
      </c>
      <c r="C1227" s="75" t="s">
        <v>2439</v>
      </c>
      <c r="D1227" s="76">
        <v>46053</v>
      </c>
      <c r="E1227" s="75" t="s">
        <v>915</v>
      </c>
      <c r="F1227" s="74">
        <v>2694.86</v>
      </c>
      <c r="G1227" s="75" t="s">
        <v>430</v>
      </c>
      <c r="H1227" s="77" t="str">
        <f>VLOOKUP(DESPESAS[[#This Row],[Plano de Contas]],BASE!$B$3:$D$119,3,FALSE)</f>
        <v>Salarios e Ordenados MOD</v>
      </c>
      <c r="I1227" s="77" t="str">
        <f>IFERROR(VLOOKUP(DESPESAS[[#This Row],[Fornecedor]],Tabela2[],2,FALSE),"")</f>
        <v/>
      </c>
      <c r="J1227" s="77" t="str">
        <f>IFERROR(VLOOKUP(DESPESAS[[#This Row],[Plano de Contas]],BASE!$B$3:$F$119,4,FALSE),"")</f>
        <v>2 - CUSTOS DIRETOS</v>
      </c>
      <c r="K1227" s="77" t="str">
        <f>IFERROR(VLOOKUP(DESPESAS[[#This Row],[Plano de Contas]],BASE!$B$3:$H$119,5,FALSE),"")</f>
        <v>DH</v>
      </c>
      <c r="L1227" s="77" t="str">
        <f>IFERROR(VLOOKUP(DESPESAS[[#This Row],[Plano de Contas]],BASE!$B$3:$H$119,6,FALSE),"")</f>
        <v>CUSTO MÃO DE OBRA DIRETA</v>
      </c>
      <c r="M1227" s="77" t="str">
        <f>VLOOKUP(DESPESAS[[#This Row],[Plano de Contas]],BASE!$B$3:$H$119,7,FALSE)</f>
        <v>RAFAEL</v>
      </c>
    </row>
    <row r="1228" spans="1:13" x14ac:dyDescent="0.25">
      <c r="A1228" s="74">
        <v>197872</v>
      </c>
      <c r="B1228" s="75" t="s">
        <v>279</v>
      </c>
      <c r="C1228" s="75" t="s">
        <v>2439</v>
      </c>
      <c r="D1228" s="76">
        <v>46053</v>
      </c>
      <c r="E1228" s="75" t="s">
        <v>914</v>
      </c>
      <c r="F1228" s="74">
        <v>3103.6</v>
      </c>
      <c r="G1228" s="75" t="s">
        <v>653</v>
      </c>
      <c r="H1228" s="77" t="str">
        <f>VLOOKUP(DESPESAS[[#This Row],[Plano de Contas]],BASE!$B$3:$D$119,3,FALSE)</f>
        <v>Salarios e Ordenados CIF</v>
      </c>
      <c r="I1228" s="77" t="str">
        <f>IFERROR(VLOOKUP(DESPESAS[[#This Row],[Fornecedor]],Tabela2[],2,FALSE),"")</f>
        <v/>
      </c>
      <c r="J1228" s="77" t="str">
        <f>IFERROR(VLOOKUP(DESPESAS[[#This Row],[Plano de Contas]],BASE!$B$3:$F$119,4,FALSE),"")</f>
        <v>3 - CUSTOS INDIRETOS</v>
      </c>
      <c r="K1228" s="77" t="str">
        <f>IFERROR(VLOOKUP(DESPESAS[[#This Row],[Plano de Contas]],BASE!$B$3:$H$119,5,FALSE),"")</f>
        <v>DH</v>
      </c>
      <c r="L1228" s="77" t="str">
        <f>IFERROR(VLOOKUP(DESPESAS[[#This Row],[Plano de Contas]],BASE!$B$3:$H$119,6,FALSE),"")</f>
        <v>CUSTO MÃO DE OBRA DIRETA</v>
      </c>
      <c r="M1228" s="77" t="str">
        <f>VLOOKUP(DESPESAS[[#This Row],[Plano de Contas]],BASE!$B$3:$H$119,7,FALSE)</f>
        <v>RAFAEL</v>
      </c>
    </row>
    <row r="1229" spans="1:13" x14ac:dyDescent="0.25">
      <c r="A1229" s="74">
        <v>197873</v>
      </c>
      <c r="B1229" s="75" t="s">
        <v>279</v>
      </c>
      <c r="C1229" s="75" t="s">
        <v>2439</v>
      </c>
      <c r="D1229" s="76">
        <v>46053</v>
      </c>
      <c r="E1229" s="75" t="s">
        <v>913</v>
      </c>
      <c r="F1229" s="74">
        <v>3663.13</v>
      </c>
      <c r="G1229" s="75" t="s">
        <v>430</v>
      </c>
      <c r="H1229" s="77" t="str">
        <f>VLOOKUP(DESPESAS[[#This Row],[Plano de Contas]],BASE!$B$3:$D$119,3,FALSE)</f>
        <v>Salarios e Ordenados MOD</v>
      </c>
      <c r="I1229" s="77" t="str">
        <f>IFERROR(VLOOKUP(DESPESAS[[#This Row],[Fornecedor]],Tabela2[],2,FALSE),"")</f>
        <v/>
      </c>
      <c r="J1229" s="77" t="str">
        <f>IFERROR(VLOOKUP(DESPESAS[[#This Row],[Plano de Contas]],BASE!$B$3:$F$119,4,FALSE),"")</f>
        <v>2 - CUSTOS DIRETOS</v>
      </c>
      <c r="K1229" s="77" t="str">
        <f>IFERROR(VLOOKUP(DESPESAS[[#This Row],[Plano de Contas]],BASE!$B$3:$H$119,5,FALSE),"")</f>
        <v>DH</v>
      </c>
      <c r="L1229" s="77" t="str">
        <f>IFERROR(VLOOKUP(DESPESAS[[#This Row],[Plano de Contas]],BASE!$B$3:$H$119,6,FALSE),"")</f>
        <v>CUSTO MÃO DE OBRA DIRETA</v>
      </c>
      <c r="M1229" s="77" t="str">
        <f>VLOOKUP(DESPESAS[[#This Row],[Plano de Contas]],BASE!$B$3:$H$119,7,FALSE)</f>
        <v>RAFAEL</v>
      </c>
    </row>
    <row r="1230" spans="1:13" x14ac:dyDescent="0.25">
      <c r="A1230" s="74">
        <v>197874</v>
      </c>
      <c r="B1230" s="75" t="s">
        <v>279</v>
      </c>
      <c r="C1230" s="75" t="s">
        <v>2439</v>
      </c>
      <c r="D1230" s="76">
        <v>46053</v>
      </c>
      <c r="E1230" s="75" t="s">
        <v>850</v>
      </c>
      <c r="F1230" s="74">
        <v>3228.61</v>
      </c>
      <c r="G1230" s="75" t="s">
        <v>430</v>
      </c>
      <c r="H1230" s="77" t="str">
        <f>VLOOKUP(DESPESAS[[#This Row],[Plano de Contas]],BASE!$B$3:$D$119,3,FALSE)</f>
        <v>Salarios e Ordenados MOD</v>
      </c>
      <c r="I1230" s="77" t="str">
        <f>IFERROR(VLOOKUP(DESPESAS[[#This Row],[Fornecedor]],Tabela2[],2,FALSE),"")</f>
        <v/>
      </c>
      <c r="J1230" s="77" t="str">
        <f>IFERROR(VLOOKUP(DESPESAS[[#This Row],[Plano de Contas]],BASE!$B$3:$F$119,4,FALSE),"")</f>
        <v>2 - CUSTOS DIRETOS</v>
      </c>
      <c r="K1230" s="77" t="str">
        <f>IFERROR(VLOOKUP(DESPESAS[[#This Row],[Plano de Contas]],BASE!$B$3:$H$119,5,FALSE),"")</f>
        <v>DH</v>
      </c>
      <c r="L1230" s="77" t="str">
        <f>IFERROR(VLOOKUP(DESPESAS[[#This Row],[Plano de Contas]],BASE!$B$3:$H$119,6,FALSE),"")</f>
        <v>CUSTO MÃO DE OBRA DIRETA</v>
      </c>
      <c r="M1230" s="77" t="str">
        <f>VLOOKUP(DESPESAS[[#This Row],[Plano de Contas]],BASE!$B$3:$H$119,7,FALSE)</f>
        <v>RAFAEL</v>
      </c>
    </row>
    <row r="1231" spans="1:13" x14ac:dyDescent="0.25">
      <c r="A1231" s="74">
        <v>197875</v>
      </c>
      <c r="B1231" s="75" t="s">
        <v>279</v>
      </c>
      <c r="C1231" s="75" t="s">
        <v>2439</v>
      </c>
      <c r="D1231" s="76">
        <v>46053</v>
      </c>
      <c r="E1231" s="75" t="s">
        <v>912</v>
      </c>
      <c r="F1231" s="74">
        <v>2861.83</v>
      </c>
      <c r="G1231" s="75" t="s">
        <v>430</v>
      </c>
      <c r="H1231" s="77" t="str">
        <f>VLOOKUP(DESPESAS[[#This Row],[Plano de Contas]],BASE!$B$3:$D$119,3,FALSE)</f>
        <v>Salarios e Ordenados MOD</v>
      </c>
      <c r="I1231" s="77" t="str">
        <f>IFERROR(VLOOKUP(DESPESAS[[#This Row],[Fornecedor]],Tabela2[],2,FALSE),"")</f>
        <v/>
      </c>
      <c r="J1231" s="77" t="str">
        <f>IFERROR(VLOOKUP(DESPESAS[[#This Row],[Plano de Contas]],BASE!$B$3:$F$119,4,FALSE),"")</f>
        <v>2 - CUSTOS DIRETOS</v>
      </c>
      <c r="K1231" s="77" t="str">
        <f>IFERROR(VLOOKUP(DESPESAS[[#This Row],[Plano de Contas]],BASE!$B$3:$H$119,5,FALSE),"")</f>
        <v>DH</v>
      </c>
      <c r="L1231" s="77" t="str">
        <f>IFERROR(VLOOKUP(DESPESAS[[#This Row],[Plano de Contas]],BASE!$B$3:$H$119,6,FALSE),"")</f>
        <v>CUSTO MÃO DE OBRA DIRETA</v>
      </c>
      <c r="M1231" s="77" t="str">
        <f>VLOOKUP(DESPESAS[[#This Row],[Plano de Contas]],BASE!$B$3:$H$119,7,FALSE)</f>
        <v>RAFAEL</v>
      </c>
    </row>
    <row r="1232" spans="1:13" x14ac:dyDescent="0.25">
      <c r="A1232" s="74">
        <v>197876</v>
      </c>
      <c r="B1232" s="75" t="s">
        <v>279</v>
      </c>
      <c r="C1232" s="75" t="s">
        <v>2439</v>
      </c>
      <c r="D1232" s="76">
        <v>46053</v>
      </c>
      <c r="E1232" s="75" t="s">
        <v>1834</v>
      </c>
      <c r="F1232" s="74">
        <v>2308.69</v>
      </c>
      <c r="G1232" s="75" t="s">
        <v>430</v>
      </c>
      <c r="H1232" s="77" t="str">
        <f>VLOOKUP(DESPESAS[[#This Row],[Plano de Contas]],BASE!$B$3:$D$119,3,FALSE)</f>
        <v>Salarios e Ordenados MOD</v>
      </c>
      <c r="I1232" s="77" t="str">
        <f>IFERROR(VLOOKUP(DESPESAS[[#This Row],[Fornecedor]],Tabela2[],2,FALSE),"")</f>
        <v/>
      </c>
      <c r="J1232" s="77" t="str">
        <f>IFERROR(VLOOKUP(DESPESAS[[#This Row],[Plano de Contas]],BASE!$B$3:$F$119,4,FALSE),"")</f>
        <v>2 - CUSTOS DIRETOS</v>
      </c>
      <c r="K1232" s="77" t="str">
        <f>IFERROR(VLOOKUP(DESPESAS[[#This Row],[Plano de Contas]],BASE!$B$3:$H$119,5,FALSE),"")</f>
        <v>DH</v>
      </c>
      <c r="L1232" s="77" t="str">
        <f>IFERROR(VLOOKUP(DESPESAS[[#This Row],[Plano de Contas]],BASE!$B$3:$H$119,6,FALSE),"")</f>
        <v>CUSTO MÃO DE OBRA DIRETA</v>
      </c>
      <c r="M1232" s="77" t="str">
        <f>VLOOKUP(DESPESAS[[#This Row],[Plano de Contas]],BASE!$B$3:$H$119,7,FALSE)</f>
        <v>RAFAEL</v>
      </c>
    </row>
    <row r="1233" spans="1:13" x14ac:dyDescent="0.25">
      <c r="A1233" s="74">
        <v>197877</v>
      </c>
      <c r="B1233" s="75" t="s">
        <v>279</v>
      </c>
      <c r="C1233" s="75" t="s">
        <v>2439</v>
      </c>
      <c r="D1233" s="76">
        <v>46053</v>
      </c>
      <c r="E1233" s="75" t="s">
        <v>911</v>
      </c>
      <c r="F1233" s="74">
        <v>2279.31</v>
      </c>
      <c r="G1233" s="75" t="s">
        <v>430</v>
      </c>
      <c r="H1233" s="77" t="str">
        <f>VLOOKUP(DESPESAS[[#This Row],[Plano de Contas]],BASE!$B$3:$D$119,3,FALSE)</f>
        <v>Salarios e Ordenados MOD</v>
      </c>
      <c r="I1233" s="77" t="str">
        <f>IFERROR(VLOOKUP(DESPESAS[[#This Row],[Fornecedor]],Tabela2[],2,FALSE),"")</f>
        <v/>
      </c>
      <c r="J1233" s="77" t="str">
        <f>IFERROR(VLOOKUP(DESPESAS[[#This Row],[Plano de Contas]],BASE!$B$3:$F$119,4,FALSE),"")</f>
        <v>2 - CUSTOS DIRETOS</v>
      </c>
      <c r="K1233" s="77" t="str">
        <f>IFERROR(VLOOKUP(DESPESAS[[#This Row],[Plano de Contas]],BASE!$B$3:$H$119,5,FALSE),"")</f>
        <v>DH</v>
      </c>
      <c r="L1233" s="77" t="str">
        <f>IFERROR(VLOOKUP(DESPESAS[[#This Row],[Plano de Contas]],BASE!$B$3:$H$119,6,FALSE),"")</f>
        <v>CUSTO MÃO DE OBRA DIRETA</v>
      </c>
      <c r="M1233" s="77" t="str">
        <f>VLOOKUP(DESPESAS[[#This Row],[Plano de Contas]],BASE!$B$3:$H$119,7,FALSE)</f>
        <v>RAFAEL</v>
      </c>
    </row>
    <row r="1234" spans="1:13" x14ac:dyDescent="0.25">
      <c r="A1234" s="74">
        <v>197878</v>
      </c>
      <c r="B1234" s="75" t="s">
        <v>279</v>
      </c>
      <c r="C1234" s="75" t="s">
        <v>2439</v>
      </c>
      <c r="D1234" s="76">
        <v>46053</v>
      </c>
      <c r="E1234" s="75" t="s">
        <v>277</v>
      </c>
      <c r="F1234" s="74">
        <v>2559.8200000000002</v>
      </c>
      <c r="G1234" s="75" t="s">
        <v>430</v>
      </c>
      <c r="H1234" s="77" t="str">
        <f>VLOOKUP(DESPESAS[[#This Row],[Plano de Contas]],BASE!$B$3:$D$119,3,FALSE)</f>
        <v>Salarios e Ordenados MOD</v>
      </c>
      <c r="I1234" s="77" t="str">
        <f>IFERROR(VLOOKUP(DESPESAS[[#This Row],[Fornecedor]],Tabela2[],2,FALSE),"")</f>
        <v/>
      </c>
      <c r="J1234" s="77" t="str">
        <f>IFERROR(VLOOKUP(DESPESAS[[#This Row],[Plano de Contas]],BASE!$B$3:$F$119,4,FALSE),"")</f>
        <v>2 - CUSTOS DIRETOS</v>
      </c>
      <c r="K1234" s="77" t="str">
        <f>IFERROR(VLOOKUP(DESPESAS[[#This Row],[Plano de Contas]],BASE!$B$3:$H$119,5,FALSE),"")</f>
        <v>DH</v>
      </c>
      <c r="L1234" s="77" t="str">
        <f>IFERROR(VLOOKUP(DESPESAS[[#This Row],[Plano de Contas]],BASE!$B$3:$H$119,6,FALSE),"")</f>
        <v>CUSTO MÃO DE OBRA DIRETA</v>
      </c>
      <c r="M1234" s="77" t="str">
        <f>VLOOKUP(DESPESAS[[#This Row],[Plano de Contas]],BASE!$B$3:$H$119,7,FALSE)</f>
        <v>RAFAEL</v>
      </c>
    </row>
    <row r="1235" spans="1:13" x14ac:dyDescent="0.25">
      <c r="A1235" s="74">
        <v>197879</v>
      </c>
      <c r="B1235" s="75" t="s">
        <v>279</v>
      </c>
      <c r="C1235" s="75" t="s">
        <v>2439</v>
      </c>
      <c r="D1235" s="76">
        <v>46053</v>
      </c>
      <c r="E1235" s="75" t="s">
        <v>910</v>
      </c>
      <c r="F1235" s="74">
        <v>2555.86</v>
      </c>
      <c r="G1235" s="75" t="s">
        <v>627</v>
      </c>
      <c r="H1235" s="77" t="str">
        <f>VLOOKUP(DESPESAS[[#This Row],[Plano de Contas]],BASE!$B$3:$D$119,3,FALSE)</f>
        <v>Salarios e Ordenados (Adm)</v>
      </c>
      <c r="I1235" s="77" t="str">
        <f>IFERROR(VLOOKUP(DESPESAS[[#This Row],[Fornecedor]],Tabela2[],2,FALSE),"")</f>
        <v/>
      </c>
      <c r="J1235" s="77" t="str">
        <f>IFERROR(VLOOKUP(DESPESAS[[#This Row],[Plano de Contas]],BASE!$B$3:$F$119,4,FALSE),"")</f>
        <v>4 - GASTOS COM PESSOAL</v>
      </c>
      <c r="K1235" s="77" t="str">
        <f>IFERROR(VLOOKUP(DESPESAS[[#This Row],[Plano de Contas]],BASE!$B$3:$H$119,5,FALSE),"")</f>
        <v>DH</v>
      </c>
      <c r="L1235" s="77">
        <f>IFERROR(VLOOKUP(DESPESAS[[#This Row],[Plano de Contas]],BASE!$B$3:$H$119,6,FALSE),"")</f>
        <v>0</v>
      </c>
      <c r="M1235" s="77" t="str">
        <f>VLOOKUP(DESPESAS[[#This Row],[Plano de Contas]],BASE!$B$3:$H$119,7,FALSE)</f>
        <v>RAFAEL</v>
      </c>
    </row>
    <row r="1236" spans="1:13" x14ac:dyDescent="0.25">
      <c r="A1236" s="74">
        <v>197880</v>
      </c>
      <c r="B1236" s="75" t="s">
        <v>279</v>
      </c>
      <c r="C1236" s="75" t="s">
        <v>2439</v>
      </c>
      <c r="D1236" s="76">
        <v>46053</v>
      </c>
      <c r="E1236" s="75" t="s">
        <v>909</v>
      </c>
      <c r="F1236" s="74">
        <v>3312.27</v>
      </c>
      <c r="G1236" s="75" t="s">
        <v>430</v>
      </c>
      <c r="H1236" s="77" t="str">
        <f>VLOOKUP(DESPESAS[[#This Row],[Plano de Contas]],BASE!$B$3:$D$119,3,FALSE)</f>
        <v>Salarios e Ordenados MOD</v>
      </c>
      <c r="I1236" s="77" t="str">
        <f>IFERROR(VLOOKUP(DESPESAS[[#This Row],[Fornecedor]],Tabela2[],2,FALSE),"")</f>
        <v/>
      </c>
      <c r="J1236" s="77" t="str">
        <f>IFERROR(VLOOKUP(DESPESAS[[#This Row],[Plano de Contas]],BASE!$B$3:$F$119,4,FALSE),"")</f>
        <v>2 - CUSTOS DIRETOS</v>
      </c>
      <c r="K1236" s="77" t="str">
        <f>IFERROR(VLOOKUP(DESPESAS[[#This Row],[Plano de Contas]],BASE!$B$3:$H$119,5,FALSE),"")</f>
        <v>DH</v>
      </c>
      <c r="L1236" s="77" t="str">
        <f>IFERROR(VLOOKUP(DESPESAS[[#This Row],[Plano de Contas]],BASE!$B$3:$H$119,6,FALSE),"")</f>
        <v>CUSTO MÃO DE OBRA DIRETA</v>
      </c>
      <c r="M1236" s="77" t="str">
        <f>VLOOKUP(DESPESAS[[#This Row],[Plano de Contas]],BASE!$B$3:$H$119,7,FALSE)</f>
        <v>RAFAEL</v>
      </c>
    </row>
    <row r="1237" spans="1:13" x14ac:dyDescent="0.25">
      <c r="A1237" s="74">
        <v>197881</v>
      </c>
      <c r="B1237" s="75" t="s">
        <v>279</v>
      </c>
      <c r="C1237" s="75" t="s">
        <v>2439</v>
      </c>
      <c r="D1237" s="76">
        <v>46053</v>
      </c>
      <c r="E1237" s="75" t="s">
        <v>908</v>
      </c>
      <c r="F1237" s="74">
        <v>2472.1</v>
      </c>
      <c r="G1237" s="75" t="s">
        <v>430</v>
      </c>
      <c r="H1237" s="77" t="str">
        <f>VLOOKUP(DESPESAS[[#This Row],[Plano de Contas]],BASE!$B$3:$D$119,3,FALSE)</f>
        <v>Salarios e Ordenados MOD</v>
      </c>
      <c r="I1237" s="77" t="str">
        <f>IFERROR(VLOOKUP(DESPESAS[[#This Row],[Fornecedor]],Tabela2[],2,FALSE),"")</f>
        <v/>
      </c>
      <c r="J1237" s="77" t="str">
        <f>IFERROR(VLOOKUP(DESPESAS[[#This Row],[Plano de Contas]],BASE!$B$3:$F$119,4,FALSE),"")</f>
        <v>2 - CUSTOS DIRETOS</v>
      </c>
      <c r="K1237" s="77" t="str">
        <f>IFERROR(VLOOKUP(DESPESAS[[#This Row],[Plano de Contas]],BASE!$B$3:$H$119,5,FALSE),"")</f>
        <v>DH</v>
      </c>
      <c r="L1237" s="77" t="str">
        <f>IFERROR(VLOOKUP(DESPESAS[[#This Row],[Plano de Contas]],BASE!$B$3:$H$119,6,FALSE),"")</f>
        <v>CUSTO MÃO DE OBRA DIRETA</v>
      </c>
      <c r="M1237" s="77" t="str">
        <f>VLOOKUP(DESPESAS[[#This Row],[Plano de Contas]],BASE!$B$3:$H$119,7,FALSE)</f>
        <v>RAFAEL</v>
      </c>
    </row>
    <row r="1238" spans="1:13" x14ac:dyDescent="0.25">
      <c r="A1238" s="74">
        <v>197882</v>
      </c>
      <c r="B1238" s="75" t="s">
        <v>279</v>
      </c>
      <c r="C1238" s="75" t="s">
        <v>2439</v>
      </c>
      <c r="D1238" s="76">
        <v>46053</v>
      </c>
      <c r="E1238" s="75" t="s">
        <v>847</v>
      </c>
      <c r="F1238" s="74">
        <v>2841.52</v>
      </c>
      <c r="G1238" s="75" t="s">
        <v>430</v>
      </c>
      <c r="H1238" s="77" t="str">
        <f>VLOOKUP(DESPESAS[[#This Row],[Plano de Contas]],BASE!$B$3:$D$119,3,FALSE)</f>
        <v>Salarios e Ordenados MOD</v>
      </c>
      <c r="I1238" s="77" t="str">
        <f>IFERROR(VLOOKUP(DESPESAS[[#This Row],[Fornecedor]],Tabela2[],2,FALSE),"")</f>
        <v/>
      </c>
      <c r="J1238" s="77" t="str">
        <f>IFERROR(VLOOKUP(DESPESAS[[#This Row],[Plano de Contas]],BASE!$B$3:$F$119,4,FALSE),"")</f>
        <v>2 - CUSTOS DIRETOS</v>
      </c>
      <c r="K1238" s="77" t="str">
        <f>IFERROR(VLOOKUP(DESPESAS[[#This Row],[Plano de Contas]],BASE!$B$3:$H$119,5,FALSE),"")</f>
        <v>DH</v>
      </c>
      <c r="L1238" s="77" t="str">
        <f>IFERROR(VLOOKUP(DESPESAS[[#This Row],[Plano de Contas]],BASE!$B$3:$H$119,6,FALSE),"")</f>
        <v>CUSTO MÃO DE OBRA DIRETA</v>
      </c>
      <c r="M1238" s="77" t="str">
        <f>VLOOKUP(DESPESAS[[#This Row],[Plano de Contas]],BASE!$B$3:$H$119,7,FALSE)</f>
        <v>RAFAEL</v>
      </c>
    </row>
    <row r="1239" spans="1:13" x14ac:dyDescent="0.25">
      <c r="A1239" s="74">
        <v>197883</v>
      </c>
      <c r="B1239" s="75" t="s">
        <v>279</v>
      </c>
      <c r="C1239" s="75" t="s">
        <v>2439</v>
      </c>
      <c r="D1239" s="76">
        <v>46053</v>
      </c>
      <c r="E1239" s="75" t="s">
        <v>907</v>
      </c>
      <c r="F1239" s="74">
        <v>3150.3</v>
      </c>
      <c r="G1239" s="75" t="s">
        <v>430</v>
      </c>
      <c r="H1239" s="77" t="str">
        <f>VLOOKUP(DESPESAS[[#This Row],[Plano de Contas]],BASE!$B$3:$D$119,3,FALSE)</f>
        <v>Salarios e Ordenados MOD</v>
      </c>
      <c r="I1239" s="77" t="str">
        <f>IFERROR(VLOOKUP(DESPESAS[[#This Row],[Fornecedor]],Tabela2[],2,FALSE),"")</f>
        <v/>
      </c>
      <c r="J1239" s="77" t="str">
        <f>IFERROR(VLOOKUP(DESPESAS[[#This Row],[Plano de Contas]],BASE!$B$3:$F$119,4,FALSE),"")</f>
        <v>2 - CUSTOS DIRETOS</v>
      </c>
      <c r="K1239" s="77" t="str">
        <f>IFERROR(VLOOKUP(DESPESAS[[#This Row],[Plano de Contas]],BASE!$B$3:$H$119,5,FALSE),"")</f>
        <v>DH</v>
      </c>
      <c r="L1239" s="77" t="str">
        <f>IFERROR(VLOOKUP(DESPESAS[[#This Row],[Plano de Contas]],BASE!$B$3:$H$119,6,FALSE),"")</f>
        <v>CUSTO MÃO DE OBRA DIRETA</v>
      </c>
      <c r="M1239" s="77" t="str">
        <f>VLOOKUP(DESPESAS[[#This Row],[Plano de Contas]],BASE!$B$3:$H$119,7,FALSE)</f>
        <v>RAFAEL</v>
      </c>
    </row>
    <row r="1240" spans="1:13" x14ac:dyDescent="0.25">
      <c r="A1240" s="74">
        <v>197884</v>
      </c>
      <c r="B1240" s="75" t="s">
        <v>279</v>
      </c>
      <c r="C1240" s="75" t="s">
        <v>2439</v>
      </c>
      <c r="D1240" s="76">
        <v>46053</v>
      </c>
      <c r="E1240" s="75" t="s">
        <v>906</v>
      </c>
      <c r="F1240" s="74">
        <v>1670.26</v>
      </c>
      <c r="G1240" s="75" t="s">
        <v>627</v>
      </c>
      <c r="H1240" s="77" t="str">
        <f>VLOOKUP(DESPESAS[[#This Row],[Plano de Contas]],BASE!$B$3:$D$119,3,FALSE)</f>
        <v>Salarios e Ordenados (Adm)</v>
      </c>
      <c r="I1240" s="77" t="str">
        <f>IFERROR(VLOOKUP(DESPESAS[[#This Row],[Fornecedor]],Tabela2[],2,FALSE),"")</f>
        <v/>
      </c>
      <c r="J1240" s="77" t="str">
        <f>IFERROR(VLOOKUP(DESPESAS[[#This Row],[Plano de Contas]],BASE!$B$3:$F$119,4,FALSE),"")</f>
        <v>4 - GASTOS COM PESSOAL</v>
      </c>
      <c r="K1240" s="77" t="str">
        <f>IFERROR(VLOOKUP(DESPESAS[[#This Row],[Plano de Contas]],BASE!$B$3:$H$119,5,FALSE),"")</f>
        <v>DH</v>
      </c>
      <c r="L1240" s="77">
        <f>IFERROR(VLOOKUP(DESPESAS[[#This Row],[Plano de Contas]],BASE!$B$3:$H$119,6,FALSE),"")</f>
        <v>0</v>
      </c>
      <c r="M1240" s="77" t="str">
        <f>VLOOKUP(DESPESAS[[#This Row],[Plano de Contas]],BASE!$B$3:$H$119,7,FALSE)</f>
        <v>RAFAEL</v>
      </c>
    </row>
    <row r="1241" spans="1:13" x14ac:dyDescent="0.25">
      <c r="A1241" s="74">
        <v>197885</v>
      </c>
      <c r="B1241" s="75" t="s">
        <v>279</v>
      </c>
      <c r="C1241" s="75" t="s">
        <v>2439</v>
      </c>
      <c r="D1241" s="76">
        <v>46053</v>
      </c>
      <c r="E1241" s="75" t="s">
        <v>905</v>
      </c>
      <c r="F1241" s="74">
        <v>2938.26</v>
      </c>
      <c r="G1241" s="75" t="s">
        <v>430</v>
      </c>
      <c r="H1241" s="77" t="str">
        <f>VLOOKUP(DESPESAS[[#This Row],[Plano de Contas]],BASE!$B$3:$D$119,3,FALSE)</f>
        <v>Salarios e Ordenados MOD</v>
      </c>
      <c r="I1241" s="77" t="str">
        <f>IFERROR(VLOOKUP(DESPESAS[[#This Row],[Fornecedor]],Tabela2[],2,FALSE),"")</f>
        <v/>
      </c>
      <c r="J1241" s="77" t="str">
        <f>IFERROR(VLOOKUP(DESPESAS[[#This Row],[Plano de Contas]],BASE!$B$3:$F$119,4,FALSE),"")</f>
        <v>2 - CUSTOS DIRETOS</v>
      </c>
      <c r="K1241" s="77" t="str">
        <f>IFERROR(VLOOKUP(DESPESAS[[#This Row],[Plano de Contas]],BASE!$B$3:$H$119,5,FALSE),"")</f>
        <v>DH</v>
      </c>
      <c r="L1241" s="77" t="str">
        <f>IFERROR(VLOOKUP(DESPESAS[[#This Row],[Plano de Contas]],BASE!$B$3:$H$119,6,FALSE),"")</f>
        <v>CUSTO MÃO DE OBRA DIRETA</v>
      </c>
      <c r="M1241" s="77" t="str">
        <f>VLOOKUP(DESPESAS[[#This Row],[Plano de Contas]],BASE!$B$3:$H$119,7,FALSE)</f>
        <v>RAFAEL</v>
      </c>
    </row>
    <row r="1242" spans="1:13" x14ac:dyDescent="0.25">
      <c r="A1242" s="74">
        <v>197886</v>
      </c>
      <c r="B1242" s="75" t="s">
        <v>279</v>
      </c>
      <c r="C1242" s="75" t="s">
        <v>2439</v>
      </c>
      <c r="D1242" s="76">
        <v>46053</v>
      </c>
      <c r="E1242" s="75" t="s">
        <v>904</v>
      </c>
      <c r="F1242" s="74">
        <v>1919.65</v>
      </c>
      <c r="G1242" s="75" t="s">
        <v>653</v>
      </c>
      <c r="H1242" s="77" t="str">
        <f>VLOOKUP(DESPESAS[[#This Row],[Plano de Contas]],BASE!$B$3:$D$119,3,FALSE)</f>
        <v>Salarios e Ordenados CIF</v>
      </c>
      <c r="I1242" s="77" t="str">
        <f>IFERROR(VLOOKUP(DESPESAS[[#This Row],[Fornecedor]],Tabela2[],2,FALSE),"")</f>
        <v/>
      </c>
      <c r="J1242" s="77" t="str">
        <f>IFERROR(VLOOKUP(DESPESAS[[#This Row],[Plano de Contas]],BASE!$B$3:$F$119,4,FALSE),"")</f>
        <v>3 - CUSTOS INDIRETOS</v>
      </c>
      <c r="K1242" s="77" t="str">
        <f>IFERROR(VLOOKUP(DESPESAS[[#This Row],[Plano de Contas]],BASE!$B$3:$H$119,5,FALSE),"")</f>
        <v>DH</v>
      </c>
      <c r="L1242" s="77" t="str">
        <f>IFERROR(VLOOKUP(DESPESAS[[#This Row],[Plano de Contas]],BASE!$B$3:$H$119,6,FALSE),"")</f>
        <v>CUSTO MÃO DE OBRA DIRETA</v>
      </c>
      <c r="M1242" s="77" t="str">
        <f>VLOOKUP(DESPESAS[[#This Row],[Plano de Contas]],BASE!$B$3:$H$119,7,FALSE)</f>
        <v>RAFAEL</v>
      </c>
    </row>
    <row r="1243" spans="1:13" x14ac:dyDescent="0.25">
      <c r="A1243" s="74">
        <v>197887</v>
      </c>
      <c r="B1243" s="75" t="s">
        <v>279</v>
      </c>
      <c r="C1243" s="75" t="s">
        <v>2439</v>
      </c>
      <c r="D1243" s="76">
        <v>46053</v>
      </c>
      <c r="E1243" s="75" t="s">
        <v>903</v>
      </c>
      <c r="F1243" s="74">
        <v>1906.83</v>
      </c>
      <c r="G1243" s="75" t="s">
        <v>430</v>
      </c>
      <c r="H1243" s="77" t="str">
        <f>VLOOKUP(DESPESAS[[#This Row],[Plano de Contas]],BASE!$B$3:$D$119,3,FALSE)</f>
        <v>Salarios e Ordenados MOD</v>
      </c>
      <c r="I1243" s="77" t="str">
        <f>IFERROR(VLOOKUP(DESPESAS[[#This Row],[Fornecedor]],Tabela2[],2,FALSE),"")</f>
        <v/>
      </c>
      <c r="J1243" s="77" t="str">
        <f>IFERROR(VLOOKUP(DESPESAS[[#This Row],[Plano de Contas]],BASE!$B$3:$F$119,4,FALSE),"")</f>
        <v>2 - CUSTOS DIRETOS</v>
      </c>
      <c r="K1243" s="77" t="str">
        <f>IFERROR(VLOOKUP(DESPESAS[[#This Row],[Plano de Contas]],BASE!$B$3:$H$119,5,FALSE),"")</f>
        <v>DH</v>
      </c>
      <c r="L1243" s="77" t="str">
        <f>IFERROR(VLOOKUP(DESPESAS[[#This Row],[Plano de Contas]],BASE!$B$3:$H$119,6,FALSE),"")</f>
        <v>CUSTO MÃO DE OBRA DIRETA</v>
      </c>
      <c r="M1243" s="77" t="str">
        <f>VLOOKUP(DESPESAS[[#This Row],[Plano de Contas]],BASE!$B$3:$H$119,7,FALSE)</f>
        <v>RAFAEL</v>
      </c>
    </row>
    <row r="1244" spans="1:13" x14ac:dyDescent="0.25">
      <c r="A1244" s="74">
        <v>197888</v>
      </c>
      <c r="B1244" s="75" t="s">
        <v>279</v>
      </c>
      <c r="C1244" s="75" t="s">
        <v>2439</v>
      </c>
      <c r="D1244" s="76">
        <v>46053</v>
      </c>
      <c r="E1244" s="75" t="s">
        <v>843</v>
      </c>
      <c r="F1244" s="74">
        <v>3894.38</v>
      </c>
      <c r="G1244" s="75" t="s">
        <v>653</v>
      </c>
      <c r="H1244" s="77" t="str">
        <f>VLOOKUP(DESPESAS[[#This Row],[Plano de Contas]],BASE!$B$3:$D$119,3,FALSE)</f>
        <v>Salarios e Ordenados CIF</v>
      </c>
      <c r="I1244" s="77" t="str">
        <f>IFERROR(VLOOKUP(DESPESAS[[#This Row],[Fornecedor]],Tabela2[],2,FALSE),"")</f>
        <v/>
      </c>
      <c r="J1244" s="77" t="str">
        <f>IFERROR(VLOOKUP(DESPESAS[[#This Row],[Plano de Contas]],BASE!$B$3:$F$119,4,FALSE),"")</f>
        <v>3 - CUSTOS INDIRETOS</v>
      </c>
      <c r="K1244" s="77" t="str">
        <f>IFERROR(VLOOKUP(DESPESAS[[#This Row],[Plano de Contas]],BASE!$B$3:$H$119,5,FALSE),"")</f>
        <v>DH</v>
      </c>
      <c r="L1244" s="77" t="str">
        <f>IFERROR(VLOOKUP(DESPESAS[[#This Row],[Plano de Contas]],BASE!$B$3:$H$119,6,FALSE),"")</f>
        <v>CUSTO MÃO DE OBRA DIRETA</v>
      </c>
      <c r="M1244" s="77" t="str">
        <f>VLOOKUP(DESPESAS[[#This Row],[Plano de Contas]],BASE!$B$3:$H$119,7,FALSE)</f>
        <v>RAFAEL</v>
      </c>
    </row>
    <row r="1245" spans="1:13" x14ac:dyDescent="0.25">
      <c r="A1245" s="74">
        <v>197889</v>
      </c>
      <c r="B1245" s="75" t="s">
        <v>279</v>
      </c>
      <c r="C1245" s="75" t="s">
        <v>2439</v>
      </c>
      <c r="D1245" s="76">
        <v>46053</v>
      </c>
      <c r="E1245" s="75" t="s">
        <v>902</v>
      </c>
      <c r="F1245" s="74">
        <v>2995.44</v>
      </c>
      <c r="G1245" s="75" t="s">
        <v>430</v>
      </c>
      <c r="H1245" s="77" t="str">
        <f>VLOOKUP(DESPESAS[[#This Row],[Plano de Contas]],BASE!$B$3:$D$119,3,FALSE)</f>
        <v>Salarios e Ordenados MOD</v>
      </c>
      <c r="I1245" s="77" t="str">
        <f>IFERROR(VLOOKUP(DESPESAS[[#This Row],[Fornecedor]],Tabela2[],2,FALSE),"")</f>
        <v/>
      </c>
      <c r="J1245" s="77" t="str">
        <f>IFERROR(VLOOKUP(DESPESAS[[#This Row],[Plano de Contas]],BASE!$B$3:$F$119,4,FALSE),"")</f>
        <v>2 - CUSTOS DIRETOS</v>
      </c>
      <c r="K1245" s="77" t="str">
        <f>IFERROR(VLOOKUP(DESPESAS[[#This Row],[Plano de Contas]],BASE!$B$3:$H$119,5,FALSE),"")</f>
        <v>DH</v>
      </c>
      <c r="L1245" s="77" t="str">
        <f>IFERROR(VLOOKUP(DESPESAS[[#This Row],[Plano de Contas]],BASE!$B$3:$H$119,6,FALSE),"")</f>
        <v>CUSTO MÃO DE OBRA DIRETA</v>
      </c>
      <c r="M1245" s="77" t="str">
        <f>VLOOKUP(DESPESAS[[#This Row],[Plano de Contas]],BASE!$B$3:$H$119,7,FALSE)</f>
        <v>RAFAEL</v>
      </c>
    </row>
    <row r="1246" spans="1:13" x14ac:dyDescent="0.25">
      <c r="A1246" s="74">
        <v>197890</v>
      </c>
      <c r="B1246" s="75" t="s">
        <v>232</v>
      </c>
      <c r="C1246" s="75" t="s">
        <v>2437</v>
      </c>
      <c r="D1246" s="76">
        <v>46056</v>
      </c>
      <c r="E1246" s="75" t="s">
        <v>573</v>
      </c>
      <c r="F1246" s="74">
        <v>2846.95</v>
      </c>
      <c r="G1246" s="75" t="s">
        <v>572</v>
      </c>
      <c r="H1246" s="77" t="str">
        <f>VLOOKUP(DESPESAS[[#This Row],[Plano de Contas]],BASE!$B$3:$D$119,3,FALSE)</f>
        <v>Comissões sobre Vendas Externo</v>
      </c>
      <c r="I1246" s="77" t="str">
        <f>IFERROR(VLOOKUP(DESPESAS[[#This Row],[Fornecedor]],Tabela2[],2,FALSE),"")</f>
        <v/>
      </c>
      <c r="J1246" s="77" t="str">
        <f>IFERROR(VLOOKUP(DESPESAS[[#This Row],[Plano de Contas]],BASE!$B$3:$F$119,4,FALSE),"")</f>
        <v>6 - DESPESA COM VENDAS</v>
      </c>
      <c r="K1246" s="77" t="str">
        <f>IFERROR(VLOOKUP(DESPESAS[[#This Row],[Plano de Contas]],BASE!$B$3:$H$119,5,FALSE),"")</f>
        <v>COMERCIAL</v>
      </c>
      <c r="L1246" s="77">
        <f>IFERROR(VLOOKUP(DESPESAS[[#This Row],[Plano de Contas]],BASE!$B$3:$H$119,6,FALSE),"")</f>
        <v>0</v>
      </c>
      <c r="M1246" s="77" t="str">
        <f>VLOOKUP(DESPESAS[[#This Row],[Plano de Contas]],BASE!$B$3:$H$119,7,FALSE)</f>
        <v>LETÍCIA</v>
      </c>
    </row>
    <row r="1247" spans="1:13" x14ac:dyDescent="0.25">
      <c r="A1247" s="74">
        <v>197891</v>
      </c>
      <c r="B1247" s="75" t="s">
        <v>232</v>
      </c>
      <c r="C1247" s="75" t="s">
        <v>2439</v>
      </c>
      <c r="D1247" s="76">
        <v>46053</v>
      </c>
      <c r="E1247" s="75" t="s">
        <v>892</v>
      </c>
      <c r="F1247" s="74">
        <v>2807.74</v>
      </c>
      <c r="G1247" s="75" t="s">
        <v>430</v>
      </c>
      <c r="H1247" s="77" t="str">
        <f>VLOOKUP(DESPESAS[[#This Row],[Plano de Contas]],BASE!$B$3:$D$119,3,FALSE)</f>
        <v>Salarios e Ordenados MOD</v>
      </c>
      <c r="I1247" s="77" t="str">
        <f>IFERROR(VLOOKUP(DESPESAS[[#This Row],[Fornecedor]],Tabela2[],2,FALSE),"")</f>
        <v/>
      </c>
      <c r="J1247" s="77" t="str">
        <f>IFERROR(VLOOKUP(DESPESAS[[#This Row],[Plano de Contas]],BASE!$B$3:$F$119,4,FALSE),"")</f>
        <v>2 - CUSTOS DIRETOS</v>
      </c>
      <c r="K1247" s="77" t="str">
        <f>IFERROR(VLOOKUP(DESPESAS[[#This Row],[Plano de Contas]],BASE!$B$3:$H$119,5,FALSE),"")</f>
        <v>DH</v>
      </c>
      <c r="L1247" s="77" t="str">
        <f>IFERROR(VLOOKUP(DESPESAS[[#This Row],[Plano de Contas]],BASE!$B$3:$H$119,6,FALSE),"")</f>
        <v>CUSTO MÃO DE OBRA DIRETA</v>
      </c>
      <c r="M1247" s="77" t="str">
        <f>VLOOKUP(DESPESAS[[#This Row],[Plano de Contas]],BASE!$B$3:$H$119,7,FALSE)</f>
        <v>RAFAEL</v>
      </c>
    </row>
    <row r="1248" spans="1:13" x14ac:dyDescent="0.25">
      <c r="A1248" s="74">
        <v>197892</v>
      </c>
      <c r="B1248" s="75" t="s">
        <v>232</v>
      </c>
      <c r="C1248" s="75" t="s">
        <v>2437</v>
      </c>
      <c r="D1248" s="76">
        <v>46056</v>
      </c>
      <c r="E1248" s="75" t="s">
        <v>790</v>
      </c>
      <c r="F1248" s="74">
        <v>1070.74</v>
      </c>
      <c r="G1248" s="75" t="s">
        <v>572</v>
      </c>
      <c r="H1248" s="77" t="str">
        <f>VLOOKUP(DESPESAS[[#This Row],[Plano de Contas]],BASE!$B$3:$D$119,3,FALSE)</f>
        <v>Comissões sobre Vendas Externo</v>
      </c>
      <c r="I1248" s="77" t="str">
        <f>IFERROR(VLOOKUP(DESPESAS[[#This Row],[Fornecedor]],Tabela2[],2,FALSE),"")</f>
        <v/>
      </c>
      <c r="J1248" s="77" t="str">
        <f>IFERROR(VLOOKUP(DESPESAS[[#This Row],[Plano de Contas]],BASE!$B$3:$F$119,4,FALSE),"")</f>
        <v>6 - DESPESA COM VENDAS</v>
      </c>
      <c r="K1248" s="77" t="str">
        <f>IFERROR(VLOOKUP(DESPESAS[[#This Row],[Plano de Contas]],BASE!$B$3:$H$119,5,FALSE),"")</f>
        <v>COMERCIAL</v>
      </c>
      <c r="L1248" s="77">
        <f>IFERROR(VLOOKUP(DESPESAS[[#This Row],[Plano de Contas]],BASE!$B$3:$H$119,6,FALSE),"")</f>
        <v>0</v>
      </c>
      <c r="M1248" s="77" t="str">
        <f>VLOOKUP(DESPESAS[[#This Row],[Plano de Contas]],BASE!$B$3:$H$119,7,FALSE)</f>
        <v>LETÍCIA</v>
      </c>
    </row>
    <row r="1249" spans="1:13" x14ac:dyDescent="0.25">
      <c r="A1249" s="74">
        <v>197893</v>
      </c>
      <c r="B1249" s="75" t="s">
        <v>232</v>
      </c>
      <c r="C1249" s="75" t="s">
        <v>2437</v>
      </c>
      <c r="D1249" s="76">
        <v>46056</v>
      </c>
      <c r="E1249" s="75" t="s">
        <v>789</v>
      </c>
      <c r="F1249" s="74">
        <v>6733.79</v>
      </c>
      <c r="G1249" s="75" t="s">
        <v>572</v>
      </c>
      <c r="H1249" s="77" t="str">
        <f>VLOOKUP(DESPESAS[[#This Row],[Plano de Contas]],BASE!$B$3:$D$119,3,FALSE)</f>
        <v>Comissões sobre Vendas Externo</v>
      </c>
      <c r="I1249" s="77" t="str">
        <f>IFERROR(VLOOKUP(DESPESAS[[#This Row],[Fornecedor]],Tabela2[],2,FALSE),"")</f>
        <v/>
      </c>
      <c r="J1249" s="77" t="str">
        <f>IFERROR(VLOOKUP(DESPESAS[[#This Row],[Plano de Contas]],BASE!$B$3:$F$119,4,FALSE),"")</f>
        <v>6 - DESPESA COM VENDAS</v>
      </c>
      <c r="K1249" s="77" t="str">
        <f>IFERROR(VLOOKUP(DESPESAS[[#This Row],[Plano de Contas]],BASE!$B$3:$H$119,5,FALSE),"")</f>
        <v>COMERCIAL</v>
      </c>
      <c r="L1249" s="77">
        <f>IFERROR(VLOOKUP(DESPESAS[[#This Row],[Plano de Contas]],BASE!$B$3:$H$119,6,FALSE),"")</f>
        <v>0</v>
      </c>
      <c r="M1249" s="77" t="str">
        <f>VLOOKUP(DESPESAS[[#This Row],[Plano de Contas]],BASE!$B$3:$H$119,7,FALSE)</f>
        <v>LETÍCIA</v>
      </c>
    </row>
    <row r="1250" spans="1:13" x14ac:dyDescent="0.25">
      <c r="A1250" s="74">
        <v>197894</v>
      </c>
      <c r="B1250" s="75" t="s">
        <v>232</v>
      </c>
      <c r="C1250" s="75" t="s">
        <v>2437</v>
      </c>
      <c r="D1250" s="76">
        <v>46056</v>
      </c>
      <c r="E1250" s="75" t="s">
        <v>788</v>
      </c>
      <c r="F1250" s="74">
        <v>3479.3</v>
      </c>
      <c r="G1250" s="75" t="s">
        <v>572</v>
      </c>
      <c r="H1250" s="77" t="str">
        <f>VLOOKUP(DESPESAS[[#This Row],[Plano de Contas]],BASE!$B$3:$D$119,3,FALSE)</f>
        <v>Comissões sobre Vendas Externo</v>
      </c>
      <c r="I1250" s="77" t="str">
        <f>IFERROR(VLOOKUP(DESPESAS[[#This Row],[Fornecedor]],Tabela2[],2,FALSE),"")</f>
        <v/>
      </c>
      <c r="J1250" s="77" t="str">
        <f>IFERROR(VLOOKUP(DESPESAS[[#This Row],[Plano de Contas]],BASE!$B$3:$F$119,4,FALSE),"")</f>
        <v>6 - DESPESA COM VENDAS</v>
      </c>
      <c r="K1250" s="77" t="str">
        <f>IFERROR(VLOOKUP(DESPESAS[[#This Row],[Plano de Contas]],BASE!$B$3:$H$119,5,FALSE),"")</f>
        <v>COMERCIAL</v>
      </c>
      <c r="L1250" s="77">
        <f>IFERROR(VLOOKUP(DESPESAS[[#This Row],[Plano de Contas]],BASE!$B$3:$H$119,6,FALSE),"")</f>
        <v>0</v>
      </c>
      <c r="M1250" s="77" t="str">
        <f>VLOOKUP(DESPESAS[[#This Row],[Plano de Contas]],BASE!$B$3:$H$119,7,FALSE)</f>
        <v>LETÍCIA</v>
      </c>
    </row>
    <row r="1251" spans="1:13" x14ac:dyDescent="0.25">
      <c r="A1251" s="74">
        <v>197895</v>
      </c>
      <c r="B1251" s="75" t="s">
        <v>232</v>
      </c>
      <c r="C1251" s="75" t="s">
        <v>2437</v>
      </c>
      <c r="D1251" s="76">
        <v>46056</v>
      </c>
      <c r="E1251" s="75" t="s">
        <v>787</v>
      </c>
      <c r="F1251" s="74">
        <v>158.46</v>
      </c>
      <c r="G1251" s="75" t="s">
        <v>572</v>
      </c>
      <c r="H1251" s="77" t="str">
        <f>VLOOKUP(DESPESAS[[#This Row],[Plano de Contas]],BASE!$B$3:$D$119,3,FALSE)</f>
        <v>Comissões sobre Vendas Externo</v>
      </c>
      <c r="I1251" s="77" t="str">
        <f>IFERROR(VLOOKUP(DESPESAS[[#This Row],[Fornecedor]],Tabela2[],2,FALSE),"")</f>
        <v/>
      </c>
      <c r="J1251" s="77" t="str">
        <f>IFERROR(VLOOKUP(DESPESAS[[#This Row],[Plano de Contas]],BASE!$B$3:$F$119,4,FALSE),"")</f>
        <v>6 - DESPESA COM VENDAS</v>
      </c>
      <c r="K1251" s="77" t="str">
        <f>IFERROR(VLOOKUP(DESPESAS[[#This Row],[Plano de Contas]],BASE!$B$3:$H$119,5,FALSE),"")</f>
        <v>COMERCIAL</v>
      </c>
      <c r="L1251" s="77">
        <f>IFERROR(VLOOKUP(DESPESAS[[#This Row],[Plano de Contas]],BASE!$B$3:$H$119,6,FALSE),"")</f>
        <v>0</v>
      </c>
      <c r="M1251" s="77" t="str">
        <f>VLOOKUP(DESPESAS[[#This Row],[Plano de Contas]],BASE!$B$3:$H$119,7,FALSE)</f>
        <v>LETÍCIA</v>
      </c>
    </row>
    <row r="1252" spans="1:13" x14ac:dyDescent="0.25">
      <c r="A1252" s="74">
        <v>197897</v>
      </c>
      <c r="B1252" s="75" t="s">
        <v>232</v>
      </c>
      <c r="C1252" s="75" t="s">
        <v>2437</v>
      </c>
      <c r="D1252" s="76">
        <v>46056</v>
      </c>
      <c r="E1252" s="75" t="s">
        <v>786</v>
      </c>
      <c r="F1252" s="74">
        <v>442.3</v>
      </c>
      <c r="G1252" s="75" t="s">
        <v>572</v>
      </c>
      <c r="H1252" s="77" t="str">
        <f>VLOOKUP(DESPESAS[[#This Row],[Plano de Contas]],BASE!$B$3:$D$119,3,FALSE)</f>
        <v>Comissões sobre Vendas Externo</v>
      </c>
      <c r="I1252" s="77" t="str">
        <f>IFERROR(VLOOKUP(DESPESAS[[#This Row],[Fornecedor]],Tabela2[],2,FALSE),"")</f>
        <v/>
      </c>
      <c r="J1252" s="77" t="str">
        <f>IFERROR(VLOOKUP(DESPESAS[[#This Row],[Plano de Contas]],BASE!$B$3:$F$119,4,FALSE),"")</f>
        <v>6 - DESPESA COM VENDAS</v>
      </c>
      <c r="K1252" s="77" t="str">
        <f>IFERROR(VLOOKUP(DESPESAS[[#This Row],[Plano de Contas]],BASE!$B$3:$H$119,5,FALSE),"")</f>
        <v>COMERCIAL</v>
      </c>
      <c r="L1252" s="77">
        <f>IFERROR(VLOOKUP(DESPESAS[[#This Row],[Plano de Contas]],BASE!$B$3:$H$119,6,FALSE),"")</f>
        <v>0</v>
      </c>
      <c r="M1252" s="77" t="str">
        <f>VLOOKUP(DESPESAS[[#This Row],[Plano de Contas]],BASE!$B$3:$H$119,7,FALSE)</f>
        <v>LETÍCIA</v>
      </c>
    </row>
    <row r="1253" spans="1:13" x14ac:dyDescent="0.25">
      <c r="A1253" s="74">
        <v>197898</v>
      </c>
      <c r="B1253" s="75" t="s">
        <v>232</v>
      </c>
      <c r="C1253" s="75" t="s">
        <v>2437</v>
      </c>
      <c r="D1253" s="76">
        <v>46056</v>
      </c>
      <c r="E1253" s="75" t="s">
        <v>785</v>
      </c>
      <c r="F1253" s="74">
        <v>2352.5</v>
      </c>
      <c r="G1253" s="75" t="s">
        <v>572</v>
      </c>
      <c r="H1253" s="77" t="str">
        <f>VLOOKUP(DESPESAS[[#This Row],[Plano de Contas]],BASE!$B$3:$D$119,3,FALSE)</f>
        <v>Comissões sobre Vendas Externo</v>
      </c>
      <c r="I1253" s="77" t="str">
        <f>IFERROR(VLOOKUP(DESPESAS[[#This Row],[Fornecedor]],Tabela2[],2,FALSE),"")</f>
        <v/>
      </c>
      <c r="J1253" s="77" t="str">
        <f>IFERROR(VLOOKUP(DESPESAS[[#This Row],[Plano de Contas]],BASE!$B$3:$F$119,4,FALSE),"")</f>
        <v>6 - DESPESA COM VENDAS</v>
      </c>
      <c r="K1253" s="77" t="str">
        <f>IFERROR(VLOOKUP(DESPESAS[[#This Row],[Plano de Contas]],BASE!$B$3:$H$119,5,FALSE),"")</f>
        <v>COMERCIAL</v>
      </c>
      <c r="L1253" s="77">
        <f>IFERROR(VLOOKUP(DESPESAS[[#This Row],[Plano de Contas]],BASE!$B$3:$H$119,6,FALSE),"")</f>
        <v>0</v>
      </c>
      <c r="M1253" s="77" t="str">
        <f>VLOOKUP(DESPESAS[[#This Row],[Plano de Contas]],BASE!$B$3:$H$119,7,FALSE)</f>
        <v>LETÍCIA</v>
      </c>
    </row>
    <row r="1254" spans="1:13" x14ac:dyDescent="0.25">
      <c r="A1254" s="74">
        <v>197899</v>
      </c>
      <c r="B1254" s="75" t="s">
        <v>232</v>
      </c>
      <c r="C1254" s="75" t="s">
        <v>2437</v>
      </c>
      <c r="D1254" s="76">
        <v>46056</v>
      </c>
      <c r="E1254" s="75" t="s">
        <v>784</v>
      </c>
      <c r="F1254" s="74">
        <v>4466.3</v>
      </c>
      <c r="G1254" s="75" t="s">
        <v>572</v>
      </c>
      <c r="H1254" s="77" t="str">
        <f>VLOOKUP(DESPESAS[[#This Row],[Plano de Contas]],BASE!$B$3:$D$119,3,FALSE)</f>
        <v>Comissões sobre Vendas Externo</v>
      </c>
      <c r="I1254" s="77" t="str">
        <f>IFERROR(VLOOKUP(DESPESAS[[#This Row],[Fornecedor]],Tabela2[],2,FALSE),"")</f>
        <v/>
      </c>
      <c r="J1254" s="77" t="str">
        <f>IFERROR(VLOOKUP(DESPESAS[[#This Row],[Plano de Contas]],BASE!$B$3:$F$119,4,FALSE),"")</f>
        <v>6 - DESPESA COM VENDAS</v>
      </c>
      <c r="K1254" s="77" t="str">
        <f>IFERROR(VLOOKUP(DESPESAS[[#This Row],[Plano de Contas]],BASE!$B$3:$H$119,5,FALSE),"")</f>
        <v>COMERCIAL</v>
      </c>
      <c r="L1254" s="77">
        <f>IFERROR(VLOOKUP(DESPESAS[[#This Row],[Plano de Contas]],BASE!$B$3:$H$119,6,FALSE),"")</f>
        <v>0</v>
      </c>
      <c r="M1254" s="77" t="str">
        <f>VLOOKUP(DESPESAS[[#This Row],[Plano de Contas]],BASE!$B$3:$H$119,7,FALSE)</f>
        <v>LETÍCIA</v>
      </c>
    </row>
    <row r="1255" spans="1:13" x14ac:dyDescent="0.25">
      <c r="A1255" s="74">
        <v>197900</v>
      </c>
      <c r="B1255" s="75" t="s">
        <v>232</v>
      </c>
      <c r="C1255" s="75" t="s">
        <v>2437</v>
      </c>
      <c r="D1255" s="76">
        <v>46056</v>
      </c>
      <c r="E1255" s="75" t="s">
        <v>791</v>
      </c>
      <c r="F1255" s="74">
        <v>542.51</v>
      </c>
      <c r="G1255" s="75" t="s">
        <v>572</v>
      </c>
      <c r="H1255" s="77" t="str">
        <f>VLOOKUP(DESPESAS[[#This Row],[Plano de Contas]],BASE!$B$3:$D$119,3,FALSE)</f>
        <v>Comissões sobre Vendas Externo</v>
      </c>
      <c r="I1255" s="77" t="str">
        <f>IFERROR(VLOOKUP(DESPESAS[[#This Row],[Fornecedor]],Tabela2[],2,FALSE),"")</f>
        <v/>
      </c>
      <c r="J1255" s="77" t="str">
        <f>IFERROR(VLOOKUP(DESPESAS[[#This Row],[Plano de Contas]],BASE!$B$3:$F$119,4,FALSE),"")</f>
        <v>6 - DESPESA COM VENDAS</v>
      </c>
      <c r="K1255" s="77" t="str">
        <f>IFERROR(VLOOKUP(DESPESAS[[#This Row],[Plano de Contas]],BASE!$B$3:$H$119,5,FALSE),"")</f>
        <v>COMERCIAL</v>
      </c>
      <c r="L1255" s="77">
        <f>IFERROR(VLOOKUP(DESPESAS[[#This Row],[Plano de Contas]],BASE!$B$3:$H$119,6,FALSE),"")</f>
        <v>0</v>
      </c>
      <c r="M1255" s="77" t="str">
        <f>VLOOKUP(DESPESAS[[#This Row],[Plano de Contas]],BASE!$B$3:$H$119,7,FALSE)</f>
        <v>LETÍCIA</v>
      </c>
    </row>
    <row r="1256" spans="1:13" x14ac:dyDescent="0.25">
      <c r="A1256" s="74">
        <v>197901</v>
      </c>
      <c r="B1256" s="75" t="s">
        <v>221</v>
      </c>
      <c r="C1256" s="75" t="s">
        <v>2437</v>
      </c>
      <c r="D1256" s="76">
        <v>46056</v>
      </c>
      <c r="E1256" s="75" t="s">
        <v>573</v>
      </c>
      <c r="F1256" s="74">
        <v>385.86</v>
      </c>
      <c r="G1256" s="75" t="s">
        <v>572</v>
      </c>
      <c r="H1256" s="77" t="str">
        <f>VLOOKUP(DESPESAS[[#This Row],[Plano de Contas]],BASE!$B$3:$D$119,3,FALSE)</f>
        <v>Comissões sobre Vendas Externo</v>
      </c>
      <c r="I1256" s="77" t="str">
        <f>IFERROR(VLOOKUP(DESPESAS[[#This Row],[Fornecedor]],Tabela2[],2,FALSE),"")</f>
        <v/>
      </c>
      <c r="J1256" s="77" t="str">
        <f>IFERROR(VLOOKUP(DESPESAS[[#This Row],[Plano de Contas]],BASE!$B$3:$F$119,4,FALSE),"")</f>
        <v>6 - DESPESA COM VENDAS</v>
      </c>
      <c r="K1256" s="77" t="str">
        <f>IFERROR(VLOOKUP(DESPESAS[[#This Row],[Plano de Contas]],BASE!$B$3:$H$119,5,FALSE),"")</f>
        <v>COMERCIAL</v>
      </c>
      <c r="L1256" s="77">
        <f>IFERROR(VLOOKUP(DESPESAS[[#This Row],[Plano de Contas]],BASE!$B$3:$H$119,6,FALSE),"")</f>
        <v>0</v>
      </c>
      <c r="M1256" s="77" t="str">
        <f>VLOOKUP(DESPESAS[[#This Row],[Plano de Contas]],BASE!$B$3:$H$119,7,FALSE)</f>
        <v>LETÍCIA</v>
      </c>
    </row>
    <row r="1257" spans="1:13" x14ac:dyDescent="0.25">
      <c r="A1257" s="74">
        <v>197902</v>
      </c>
      <c r="B1257" s="75" t="s">
        <v>221</v>
      </c>
      <c r="C1257" s="75" t="s">
        <v>2437</v>
      </c>
      <c r="D1257" s="76">
        <v>46056</v>
      </c>
      <c r="E1257" s="75" t="s">
        <v>790</v>
      </c>
      <c r="F1257" s="74">
        <v>113.37</v>
      </c>
      <c r="G1257" s="75" t="s">
        <v>572</v>
      </c>
      <c r="H1257" s="77" t="str">
        <f>VLOOKUP(DESPESAS[[#This Row],[Plano de Contas]],BASE!$B$3:$D$119,3,FALSE)</f>
        <v>Comissões sobre Vendas Externo</v>
      </c>
      <c r="I1257" s="77" t="str">
        <f>IFERROR(VLOOKUP(DESPESAS[[#This Row],[Fornecedor]],Tabela2[],2,FALSE),"")</f>
        <v/>
      </c>
      <c r="J1257" s="77" t="str">
        <f>IFERROR(VLOOKUP(DESPESAS[[#This Row],[Plano de Contas]],BASE!$B$3:$F$119,4,FALSE),"")</f>
        <v>6 - DESPESA COM VENDAS</v>
      </c>
      <c r="K1257" s="77" t="str">
        <f>IFERROR(VLOOKUP(DESPESAS[[#This Row],[Plano de Contas]],BASE!$B$3:$H$119,5,FALSE),"")</f>
        <v>COMERCIAL</v>
      </c>
      <c r="L1257" s="77">
        <f>IFERROR(VLOOKUP(DESPESAS[[#This Row],[Plano de Contas]],BASE!$B$3:$H$119,6,FALSE),"")</f>
        <v>0</v>
      </c>
      <c r="M1257" s="77" t="str">
        <f>VLOOKUP(DESPESAS[[#This Row],[Plano de Contas]],BASE!$B$3:$H$119,7,FALSE)</f>
        <v>LETÍCIA</v>
      </c>
    </row>
    <row r="1258" spans="1:13" x14ac:dyDescent="0.25">
      <c r="A1258" s="74">
        <v>197903</v>
      </c>
      <c r="B1258" s="75" t="s">
        <v>221</v>
      </c>
      <c r="C1258" s="75" t="s">
        <v>2437</v>
      </c>
      <c r="D1258" s="76">
        <v>46056</v>
      </c>
      <c r="E1258" s="75" t="s">
        <v>789</v>
      </c>
      <c r="F1258" s="74">
        <v>183.96</v>
      </c>
      <c r="G1258" s="75" t="s">
        <v>572</v>
      </c>
      <c r="H1258" s="77" t="str">
        <f>VLOOKUP(DESPESAS[[#This Row],[Plano de Contas]],BASE!$B$3:$D$119,3,FALSE)</f>
        <v>Comissões sobre Vendas Externo</v>
      </c>
      <c r="I1258" s="77" t="str">
        <f>IFERROR(VLOOKUP(DESPESAS[[#This Row],[Fornecedor]],Tabela2[],2,FALSE),"")</f>
        <v/>
      </c>
      <c r="J1258" s="77" t="str">
        <f>IFERROR(VLOOKUP(DESPESAS[[#This Row],[Plano de Contas]],BASE!$B$3:$F$119,4,FALSE),"")</f>
        <v>6 - DESPESA COM VENDAS</v>
      </c>
      <c r="K1258" s="77" t="str">
        <f>IFERROR(VLOOKUP(DESPESAS[[#This Row],[Plano de Contas]],BASE!$B$3:$H$119,5,FALSE),"")</f>
        <v>COMERCIAL</v>
      </c>
      <c r="L1258" s="77">
        <f>IFERROR(VLOOKUP(DESPESAS[[#This Row],[Plano de Contas]],BASE!$B$3:$H$119,6,FALSE),"")</f>
        <v>0</v>
      </c>
      <c r="M1258" s="77" t="str">
        <f>VLOOKUP(DESPESAS[[#This Row],[Plano de Contas]],BASE!$B$3:$H$119,7,FALSE)</f>
        <v>LETÍCIA</v>
      </c>
    </row>
    <row r="1259" spans="1:13" x14ac:dyDescent="0.25">
      <c r="A1259" s="74">
        <v>197904</v>
      </c>
      <c r="B1259" s="75" t="s">
        <v>221</v>
      </c>
      <c r="C1259" s="75" t="s">
        <v>2437</v>
      </c>
      <c r="D1259" s="76">
        <v>46056</v>
      </c>
      <c r="E1259" s="75" t="s">
        <v>787</v>
      </c>
      <c r="F1259" s="74">
        <v>90.19</v>
      </c>
      <c r="G1259" s="75" t="s">
        <v>572</v>
      </c>
      <c r="H1259" s="77" t="str">
        <f>VLOOKUP(DESPESAS[[#This Row],[Plano de Contas]],BASE!$B$3:$D$119,3,FALSE)</f>
        <v>Comissões sobre Vendas Externo</v>
      </c>
      <c r="I1259" s="77" t="str">
        <f>IFERROR(VLOOKUP(DESPESAS[[#This Row],[Fornecedor]],Tabela2[],2,FALSE),"")</f>
        <v/>
      </c>
      <c r="J1259" s="77" t="str">
        <f>IFERROR(VLOOKUP(DESPESAS[[#This Row],[Plano de Contas]],BASE!$B$3:$F$119,4,FALSE),"")</f>
        <v>6 - DESPESA COM VENDAS</v>
      </c>
      <c r="K1259" s="77" t="str">
        <f>IFERROR(VLOOKUP(DESPESAS[[#This Row],[Plano de Contas]],BASE!$B$3:$H$119,5,FALSE),"")</f>
        <v>COMERCIAL</v>
      </c>
      <c r="L1259" s="77">
        <f>IFERROR(VLOOKUP(DESPESAS[[#This Row],[Plano de Contas]],BASE!$B$3:$H$119,6,FALSE),"")</f>
        <v>0</v>
      </c>
      <c r="M1259" s="77" t="str">
        <f>VLOOKUP(DESPESAS[[#This Row],[Plano de Contas]],BASE!$B$3:$H$119,7,FALSE)</f>
        <v>LETÍCIA</v>
      </c>
    </row>
    <row r="1260" spans="1:13" x14ac:dyDescent="0.25">
      <c r="A1260" s="74">
        <v>197905</v>
      </c>
      <c r="B1260" s="75" t="s">
        <v>221</v>
      </c>
      <c r="C1260" s="75" t="s">
        <v>2437</v>
      </c>
      <c r="D1260" s="76">
        <v>46056</v>
      </c>
      <c r="E1260" s="75" t="s">
        <v>785</v>
      </c>
      <c r="F1260" s="74">
        <v>625.67999999999995</v>
      </c>
      <c r="G1260" s="75" t="s">
        <v>572</v>
      </c>
      <c r="H1260" s="77" t="str">
        <f>VLOOKUP(DESPESAS[[#This Row],[Plano de Contas]],BASE!$B$3:$D$119,3,FALSE)</f>
        <v>Comissões sobre Vendas Externo</v>
      </c>
      <c r="I1260" s="77" t="str">
        <f>IFERROR(VLOOKUP(DESPESAS[[#This Row],[Fornecedor]],Tabela2[],2,FALSE),"")</f>
        <v/>
      </c>
      <c r="J1260" s="77" t="str">
        <f>IFERROR(VLOOKUP(DESPESAS[[#This Row],[Plano de Contas]],BASE!$B$3:$F$119,4,FALSE),"")</f>
        <v>6 - DESPESA COM VENDAS</v>
      </c>
      <c r="K1260" s="77" t="str">
        <f>IFERROR(VLOOKUP(DESPESAS[[#This Row],[Plano de Contas]],BASE!$B$3:$H$119,5,FALSE),"")</f>
        <v>COMERCIAL</v>
      </c>
      <c r="L1260" s="77">
        <f>IFERROR(VLOOKUP(DESPESAS[[#This Row],[Plano de Contas]],BASE!$B$3:$H$119,6,FALSE),"")</f>
        <v>0</v>
      </c>
      <c r="M1260" s="77" t="str">
        <f>VLOOKUP(DESPESAS[[#This Row],[Plano de Contas]],BASE!$B$3:$H$119,7,FALSE)</f>
        <v>LETÍCIA</v>
      </c>
    </row>
    <row r="1261" spans="1:13" x14ac:dyDescent="0.25">
      <c r="A1261" s="74">
        <v>197906</v>
      </c>
      <c r="B1261" s="75" t="s">
        <v>221</v>
      </c>
      <c r="C1261" s="75" t="s">
        <v>2437</v>
      </c>
      <c r="D1261" s="76">
        <v>46056</v>
      </c>
      <c r="E1261" s="75" t="s">
        <v>784</v>
      </c>
      <c r="F1261" s="74">
        <v>650.89</v>
      </c>
      <c r="G1261" s="75" t="s">
        <v>572</v>
      </c>
      <c r="H1261" s="77" t="str">
        <f>VLOOKUP(DESPESAS[[#This Row],[Plano de Contas]],BASE!$B$3:$D$119,3,FALSE)</f>
        <v>Comissões sobre Vendas Externo</v>
      </c>
      <c r="I1261" s="77" t="str">
        <f>IFERROR(VLOOKUP(DESPESAS[[#This Row],[Fornecedor]],Tabela2[],2,FALSE),"")</f>
        <v/>
      </c>
      <c r="J1261" s="77" t="str">
        <f>IFERROR(VLOOKUP(DESPESAS[[#This Row],[Plano de Contas]],BASE!$B$3:$F$119,4,FALSE),"")</f>
        <v>6 - DESPESA COM VENDAS</v>
      </c>
      <c r="K1261" s="77" t="str">
        <f>IFERROR(VLOOKUP(DESPESAS[[#This Row],[Plano de Contas]],BASE!$B$3:$H$119,5,FALSE),"")</f>
        <v>COMERCIAL</v>
      </c>
      <c r="L1261" s="77">
        <f>IFERROR(VLOOKUP(DESPESAS[[#This Row],[Plano de Contas]],BASE!$B$3:$H$119,6,FALSE),"")</f>
        <v>0</v>
      </c>
      <c r="M1261" s="77" t="str">
        <f>VLOOKUP(DESPESAS[[#This Row],[Plano de Contas]],BASE!$B$3:$H$119,7,FALSE)</f>
        <v>LETÍCIA</v>
      </c>
    </row>
    <row r="1262" spans="1:13" x14ac:dyDescent="0.25">
      <c r="A1262" s="74">
        <v>197908</v>
      </c>
      <c r="B1262" s="75" t="s">
        <v>281</v>
      </c>
      <c r="C1262" s="75" t="s">
        <v>2437</v>
      </c>
      <c r="D1262" s="76">
        <v>46056</v>
      </c>
      <c r="E1262" s="75" t="s">
        <v>790</v>
      </c>
      <c r="F1262" s="74">
        <v>201</v>
      </c>
      <c r="G1262" s="75" t="s">
        <v>572</v>
      </c>
      <c r="H1262" s="77" t="str">
        <f>VLOOKUP(DESPESAS[[#This Row],[Plano de Contas]],BASE!$B$3:$D$119,3,FALSE)</f>
        <v>Comissões sobre Vendas Externo</v>
      </c>
      <c r="I1262" s="77" t="str">
        <f>IFERROR(VLOOKUP(DESPESAS[[#This Row],[Fornecedor]],Tabela2[],2,FALSE),"")</f>
        <v/>
      </c>
      <c r="J1262" s="77" t="str">
        <f>IFERROR(VLOOKUP(DESPESAS[[#This Row],[Plano de Contas]],BASE!$B$3:$F$119,4,FALSE),"")</f>
        <v>6 - DESPESA COM VENDAS</v>
      </c>
      <c r="K1262" s="77" t="str">
        <f>IFERROR(VLOOKUP(DESPESAS[[#This Row],[Plano de Contas]],BASE!$B$3:$H$119,5,FALSE),"")</f>
        <v>COMERCIAL</v>
      </c>
      <c r="L1262" s="77">
        <f>IFERROR(VLOOKUP(DESPESAS[[#This Row],[Plano de Contas]],BASE!$B$3:$H$119,6,FALSE),"")</f>
        <v>0</v>
      </c>
      <c r="M1262" s="77" t="str">
        <f>VLOOKUP(DESPESAS[[#This Row],[Plano de Contas]],BASE!$B$3:$H$119,7,FALSE)</f>
        <v>LETÍCIA</v>
      </c>
    </row>
    <row r="1263" spans="1:13" x14ac:dyDescent="0.25">
      <c r="A1263" s="74">
        <v>197909</v>
      </c>
      <c r="B1263" s="75" t="s">
        <v>281</v>
      </c>
      <c r="C1263" s="75" t="s">
        <v>2437</v>
      </c>
      <c r="D1263" s="76">
        <v>46056</v>
      </c>
      <c r="E1263" s="75" t="s">
        <v>789</v>
      </c>
      <c r="F1263" s="74">
        <v>1062.9000000000001</v>
      </c>
      <c r="G1263" s="75" t="s">
        <v>572</v>
      </c>
      <c r="H1263" s="77" t="str">
        <f>VLOOKUP(DESPESAS[[#This Row],[Plano de Contas]],BASE!$B$3:$D$119,3,FALSE)</f>
        <v>Comissões sobre Vendas Externo</v>
      </c>
      <c r="I1263" s="77" t="str">
        <f>IFERROR(VLOOKUP(DESPESAS[[#This Row],[Fornecedor]],Tabela2[],2,FALSE),"")</f>
        <v/>
      </c>
      <c r="J1263" s="77" t="str">
        <f>IFERROR(VLOOKUP(DESPESAS[[#This Row],[Plano de Contas]],BASE!$B$3:$F$119,4,FALSE),"")</f>
        <v>6 - DESPESA COM VENDAS</v>
      </c>
      <c r="K1263" s="77" t="str">
        <f>IFERROR(VLOOKUP(DESPESAS[[#This Row],[Plano de Contas]],BASE!$B$3:$H$119,5,FALSE),"")</f>
        <v>COMERCIAL</v>
      </c>
      <c r="L1263" s="77">
        <f>IFERROR(VLOOKUP(DESPESAS[[#This Row],[Plano de Contas]],BASE!$B$3:$H$119,6,FALSE),"")</f>
        <v>0</v>
      </c>
      <c r="M1263" s="77" t="str">
        <f>VLOOKUP(DESPESAS[[#This Row],[Plano de Contas]],BASE!$B$3:$H$119,7,FALSE)</f>
        <v>LETÍCIA</v>
      </c>
    </row>
    <row r="1264" spans="1:13" x14ac:dyDescent="0.25">
      <c r="A1264" s="74">
        <v>197910</v>
      </c>
      <c r="B1264" s="75" t="s">
        <v>281</v>
      </c>
      <c r="C1264" s="75" t="s">
        <v>2437</v>
      </c>
      <c r="D1264" s="76">
        <v>46056</v>
      </c>
      <c r="E1264" s="75" t="s">
        <v>788</v>
      </c>
      <c r="F1264" s="74">
        <v>898.8</v>
      </c>
      <c r="G1264" s="75" t="s">
        <v>572</v>
      </c>
      <c r="H1264" s="77" t="str">
        <f>VLOOKUP(DESPESAS[[#This Row],[Plano de Contas]],BASE!$B$3:$D$119,3,FALSE)</f>
        <v>Comissões sobre Vendas Externo</v>
      </c>
      <c r="I1264" s="77" t="str">
        <f>IFERROR(VLOOKUP(DESPESAS[[#This Row],[Fornecedor]],Tabela2[],2,FALSE),"")</f>
        <v/>
      </c>
      <c r="J1264" s="77" t="str">
        <f>IFERROR(VLOOKUP(DESPESAS[[#This Row],[Plano de Contas]],BASE!$B$3:$F$119,4,FALSE),"")</f>
        <v>6 - DESPESA COM VENDAS</v>
      </c>
      <c r="K1264" s="77" t="str">
        <f>IFERROR(VLOOKUP(DESPESAS[[#This Row],[Plano de Contas]],BASE!$B$3:$H$119,5,FALSE),"")</f>
        <v>COMERCIAL</v>
      </c>
      <c r="L1264" s="77">
        <f>IFERROR(VLOOKUP(DESPESAS[[#This Row],[Plano de Contas]],BASE!$B$3:$H$119,6,FALSE),"")</f>
        <v>0</v>
      </c>
      <c r="M1264" s="77" t="str">
        <f>VLOOKUP(DESPESAS[[#This Row],[Plano de Contas]],BASE!$B$3:$H$119,7,FALSE)</f>
        <v>LETÍCIA</v>
      </c>
    </row>
    <row r="1265" spans="1:13" x14ac:dyDescent="0.25">
      <c r="A1265" s="74">
        <v>197911</v>
      </c>
      <c r="B1265" s="75" t="s">
        <v>281</v>
      </c>
      <c r="C1265" s="75" t="s">
        <v>2437</v>
      </c>
      <c r="D1265" s="76">
        <v>46056</v>
      </c>
      <c r="E1265" s="75" t="s">
        <v>787</v>
      </c>
      <c r="F1265" s="74">
        <v>190.31</v>
      </c>
      <c r="G1265" s="75" t="s">
        <v>572</v>
      </c>
      <c r="H1265" s="77" t="str">
        <f>VLOOKUP(DESPESAS[[#This Row],[Plano de Contas]],BASE!$B$3:$D$119,3,FALSE)</f>
        <v>Comissões sobre Vendas Externo</v>
      </c>
      <c r="I1265" s="77" t="str">
        <f>IFERROR(VLOOKUP(DESPESAS[[#This Row],[Fornecedor]],Tabela2[],2,FALSE),"")</f>
        <v/>
      </c>
      <c r="J1265" s="77" t="str">
        <f>IFERROR(VLOOKUP(DESPESAS[[#This Row],[Plano de Contas]],BASE!$B$3:$F$119,4,FALSE),"")</f>
        <v>6 - DESPESA COM VENDAS</v>
      </c>
      <c r="K1265" s="77" t="str">
        <f>IFERROR(VLOOKUP(DESPESAS[[#This Row],[Plano de Contas]],BASE!$B$3:$H$119,5,FALSE),"")</f>
        <v>COMERCIAL</v>
      </c>
      <c r="L1265" s="77">
        <f>IFERROR(VLOOKUP(DESPESAS[[#This Row],[Plano de Contas]],BASE!$B$3:$H$119,6,FALSE),"")</f>
        <v>0</v>
      </c>
      <c r="M1265" s="77" t="str">
        <f>VLOOKUP(DESPESAS[[#This Row],[Plano de Contas]],BASE!$B$3:$H$119,7,FALSE)</f>
        <v>LETÍCIA</v>
      </c>
    </row>
    <row r="1266" spans="1:13" x14ac:dyDescent="0.25">
      <c r="A1266" s="74">
        <v>197912</v>
      </c>
      <c r="B1266" s="75" t="s">
        <v>281</v>
      </c>
      <c r="C1266" s="75" t="s">
        <v>2437</v>
      </c>
      <c r="D1266" s="76">
        <v>46056</v>
      </c>
      <c r="E1266" s="75" t="s">
        <v>786</v>
      </c>
      <c r="F1266" s="74">
        <v>77.83</v>
      </c>
      <c r="G1266" s="75" t="s">
        <v>572</v>
      </c>
      <c r="H1266" s="77" t="str">
        <f>VLOOKUP(DESPESAS[[#This Row],[Plano de Contas]],BASE!$B$3:$D$119,3,FALSE)</f>
        <v>Comissões sobre Vendas Externo</v>
      </c>
      <c r="I1266" s="77" t="str">
        <f>IFERROR(VLOOKUP(DESPESAS[[#This Row],[Fornecedor]],Tabela2[],2,FALSE),"")</f>
        <v/>
      </c>
      <c r="J1266" s="77" t="str">
        <f>IFERROR(VLOOKUP(DESPESAS[[#This Row],[Plano de Contas]],BASE!$B$3:$F$119,4,FALSE),"")</f>
        <v>6 - DESPESA COM VENDAS</v>
      </c>
      <c r="K1266" s="77" t="str">
        <f>IFERROR(VLOOKUP(DESPESAS[[#This Row],[Plano de Contas]],BASE!$B$3:$H$119,5,FALSE),"")</f>
        <v>COMERCIAL</v>
      </c>
      <c r="L1266" s="77">
        <f>IFERROR(VLOOKUP(DESPESAS[[#This Row],[Plano de Contas]],BASE!$B$3:$H$119,6,FALSE),"")</f>
        <v>0</v>
      </c>
      <c r="M1266" s="77" t="str">
        <f>VLOOKUP(DESPESAS[[#This Row],[Plano de Contas]],BASE!$B$3:$H$119,7,FALSE)</f>
        <v>LETÍCIA</v>
      </c>
    </row>
    <row r="1267" spans="1:13" x14ac:dyDescent="0.25">
      <c r="A1267" s="74">
        <v>197913</v>
      </c>
      <c r="B1267" s="75" t="s">
        <v>281</v>
      </c>
      <c r="C1267" s="75" t="s">
        <v>2437</v>
      </c>
      <c r="D1267" s="76">
        <v>46056</v>
      </c>
      <c r="E1267" s="75" t="s">
        <v>785</v>
      </c>
      <c r="F1267" s="74">
        <v>412.17</v>
      </c>
      <c r="G1267" s="75" t="s">
        <v>572</v>
      </c>
      <c r="H1267" s="77" t="str">
        <f>VLOOKUP(DESPESAS[[#This Row],[Plano de Contas]],BASE!$B$3:$D$119,3,FALSE)</f>
        <v>Comissões sobre Vendas Externo</v>
      </c>
      <c r="I1267" s="77" t="str">
        <f>IFERROR(VLOOKUP(DESPESAS[[#This Row],[Fornecedor]],Tabela2[],2,FALSE),"")</f>
        <v/>
      </c>
      <c r="J1267" s="77" t="str">
        <f>IFERROR(VLOOKUP(DESPESAS[[#This Row],[Plano de Contas]],BASE!$B$3:$F$119,4,FALSE),"")</f>
        <v>6 - DESPESA COM VENDAS</v>
      </c>
      <c r="K1267" s="77" t="str">
        <f>IFERROR(VLOOKUP(DESPESAS[[#This Row],[Plano de Contas]],BASE!$B$3:$H$119,5,FALSE),"")</f>
        <v>COMERCIAL</v>
      </c>
      <c r="L1267" s="77">
        <f>IFERROR(VLOOKUP(DESPESAS[[#This Row],[Plano de Contas]],BASE!$B$3:$H$119,6,FALSE),"")</f>
        <v>0</v>
      </c>
      <c r="M1267" s="77" t="str">
        <f>VLOOKUP(DESPESAS[[#This Row],[Plano de Contas]],BASE!$B$3:$H$119,7,FALSE)</f>
        <v>LETÍCIA</v>
      </c>
    </row>
    <row r="1268" spans="1:13" x14ac:dyDescent="0.25">
      <c r="A1268" s="74">
        <v>197914</v>
      </c>
      <c r="B1268" s="75" t="s">
        <v>281</v>
      </c>
      <c r="C1268" s="75" t="s">
        <v>2437</v>
      </c>
      <c r="D1268" s="76">
        <v>46056</v>
      </c>
      <c r="E1268" s="75" t="s">
        <v>784</v>
      </c>
      <c r="F1268" s="74">
        <v>608.91</v>
      </c>
      <c r="G1268" s="75" t="s">
        <v>572</v>
      </c>
      <c r="H1268" s="77" t="str">
        <f>VLOOKUP(DESPESAS[[#This Row],[Plano de Contas]],BASE!$B$3:$D$119,3,FALSE)</f>
        <v>Comissões sobre Vendas Externo</v>
      </c>
      <c r="I1268" s="77" t="str">
        <f>IFERROR(VLOOKUP(DESPESAS[[#This Row],[Fornecedor]],Tabela2[],2,FALSE),"")</f>
        <v/>
      </c>
      <c r="J1268" s="77" t="str">
        <f>IFERROR(VLOOKUP(DESPESAS[[#This Row],[Plano de Contas]],BASE!$B$3:$F$119,4,FALSE),"")</f>
        <v>6 - DESPESA COM VENDAS</v>
      </c>
      <c r="K1268" s="77" t="str">
        <f>IFERROR(VLOOKUP(DESPESAS[[#This Row],[Plano de Contas]],BASE!$B$3:$H$119,5,FALSE),"")</f>
        <v>COMERCIAL</v>
      </c>
      <c r="L1268" s="77">
        <f>IFERROR(VLOOKUP(DESPESAS[[#This Row],[Plano de Contas]],BASE!$B$3:$H$119,6,FALSE),"")</f>
        <v>0</v>
      </c>
      <c r="M1268" s="77" t="str">
        <f>VLOOKUP(DESPESAS[[#This Row],[Plano de Contas]],BASE!$B$3:$H$119,7,FALSE)</f>
        <v>LETÍCIA</v>
      </c>
    </row>
    <row r="1269" spans="1:13" x14ac:dyDescent="0.25">
      <c r="A1269" s="74">
        <v>197916</v>
      </c>
      <c r="B1269" s="75" t="s">
        <v>279</v>
      </c>
      <c r="C1269" s="75" t="s">
        <v>2437</v>
      </c>
      <c r="D1269" s="76">
        <v>46056</v>
      </c>
      <c r="E1269" s="75" t="s">
        <v>573</v>
      </c>
      <c r="F1269" s="74">
        <v>612.22</v>
      </c>
      <c r="G1269" s="75" t="s">
        <v>572</v>
      </c>
      <c r="H1269" s="77" t="str">
        <f>VLOOKUP(DESPESAS[[#This Row],[Plano de Contas]],BASE!$B$3:$D$119,3,FALSE)</f>
        <v>Comissões sobre Vendas Externo</v>
      </c>
      <c r="I1269" s="77" t="str">
        <f>IFERROR(VLOOKUP(DESPESAS[[#This Row],[Fornecedor]],Tabela2[],2,FALSE),"")</f>
        <v/>
      </c>
      <c r="J1269" s="77" t="str">
        <f>IFERROR(VLOOKUP(DESPESAS[[#This Row],[Plano de Contas]],BASE!$B$3:$F$119,4,FALSE),"")</f>
        <v>6 - DESPESA COM VENDAS</v>
      </c>
      <c r="K1269" s="77" t="str">
        <f>IFERROR(VLOOKUP(DESPESAS[[#This Row],[Plano de Contas]],BASE!$B$3:$H$119,5,FALSE),"")</f>
        <v>COMERCIAL</v>
      </c>
      <c r="L1269" s="77">
        <f>IFERROR(VLOOKUP(DESPESAS[[#This Row],[Plano de Contas]],BASE!$B$3:$H$119,6,FALSE),"")</f>
        <v>0</v>
      </c>
      <c r="M1269" s="77" t="str">
        <f>VLOOKUP(DESPESAS[[#This Row],[Plano de Contas]],BASE!$B$3:$H$119,7,FALSE)</f>
        <v>LETÍCIA</v>
      </c>
    </row>
    <row r="1270" spans="1:13" x14ac:dyDescent="0.25">
      <c r="A1270" s="74">
        <v>197918</v>
      </c>
      <c r="B1270" s="75" t="s">
        <v>279</v>
      </c>
      <c r="C1270" s="75" t="s">
        <v>2437</v>
      </c>
      <c r="D1270" s="76">
        <v>46056</v>
      </c>
      <c r="E1270" s="75" t="s">
        <v>790</v>
      </c>
      <c r="F1270" s="74">
        <v>338.93</v>
      </c>
      <c r="G1270" s="75" t="s">
        <v>572</v>
      </c>
      <c r="H1270" s="77" t="str">
        <f>VLOOKUP(DESPESAS[[#This Row],[Plano de Contas]],BASE!$B$3:$D$119,3,FALSE)</f>
        <v>Comissões sobre Vendas Externo</v>
      </c>
      <c r="I1270" s="77" t="str">
        <f>IFERROR(VLOOKUP(DESPESAS[[#This Row],[Fornecedor]],Tabela2[],2,FALSE),"")</f>
        <v/>
      </c>
      <c r="J1270" s="77" t="str">
        <f>IFERROR(VLOOKUP(DESPESAS[[#This Row],[Plano de Contas]],BASE!$B$3:$F$119,4,FALSE),"")</f>
        <v>6 - DESPESA COM VENDAS</v>
      </c>
      <c r="K1270" s="77" t="str">
        <f>IFERROR(VLOOKUP(DESPESAS[[#This Row],[Plano de Contas]],BASE!$B$3:$H$119,5,FALSE),"")</f>
        <v>COMERCIAL</v>
      </c>
      <c r="L1270" s="77">
        <f>IFERROR(VLOOKUP(DESPESAS[[#This Row],[Plano de Contas]],BASE!$B$3:$H$119,6,FALSE),"")</f>
        <v>0</v>
      </c>
      <c r="M1270" s="77" t="str">
        <f>VLOOKUP(DESPESAS[[#This Row],[Plano de Contas]],BASE!$B$3:$H$119,7,FALSE)</f>
        <v>LETÍCIA</v>
      </c>
    </row>
    <row r="1271" spans="1:13" x14ac:dyDescent="0.25">
      <c r="A1271" s="74">
        <v>197919</v>
      </c>
      <c r="B1271" s="75" t="s">
        <v>221</v>
      </c>
      <c r="C1271" s="75" t="s">
        <v>2438</v>
      </c>
      <c r="D1271" s="76">
        <v>46056</v>
      </c>
      <c r="E1271" s="75" t="s">
        <v>640</v>
      </c>
      <c r="F1271" s="74">
        <v>1370.85</v>
      </c>
      <c r="G1271" s="75" t="s">
        <v>365</v>
      </c>
      <c r="H1271" s="77" t="str">
        <f>VLOOKUP(DESPESAS[[#This Row],[Plano de Contas]],BASE!$B$3:$D$119,3,FALSE)</f>
        <v>Pró-Labore</v>
      </c>
      <c r="I1271" s="77" t="str">
        <f>IFERROR(VLOOKUP(DESPESAS[[#This Row],[Fornecedor]],Tabela2[],2,FALSE),"")</f>
        <v/>
      </c>
      <c r="J1271" s="77" t="str">
        <f>IFERROR(VLOOKUP(DESPESAS[[#This Row],[Plano de Contas]],BASE!$B$3:$F$119,4,FALSE),"")</f>
        <v>4 - GASTOS COM PESSOAL</v>
      </c>
      <c r="K1271" s="77" t="str">
        <f>IFERROR(VLOOKUP(DESPESAS[[#This Row],[Plano de Contas]],BASE!$B$3:$H$119,5,FALSE),"")</f>
        <v>DIRETORIA</v>
      </c>
      <c r="L1271" s="77">
        <f>IFERROR(VLOOKUP(DESPESAS[[#This Row],[Plano de Contas]],BASE!$B$3:$H$119,6,FALSE),"")</f>
        <v>0</v>
      </c>
      <c r="M1271" s="77" t="str">
        <f>VLOOKUP(DESPESAS[[#This Row],[Plano de Contas]],BASE!$B$3:$H$119,7,FALSE)</f>
        <v>FÁBIO</v>
      </c>
    </row>
    <row r="1272" spans="1:13" x14ac:dyDescent="0.25">
      <c r="A1272" s="74">
        <v>197920</v>
      </c>
      <c r="B1272" s="75" t="s">
        <v>279</v>
      </c>
      <c r="C1272" s="75" t="s">
        <v>2437</v>
      </c>
      <c r="D1272" s="76">
        <v>46056</v>
      </c>
      <c r="E1272" s="75" t="s">
        <v>789</v>
      </c>
      <c r="F1272" s="74">
        <v>95.4</v>
      </c>
      <c r="G1272" s="75" t="s">
        <v>572</v>
      </c>
      <c r="H1272" s="77" t="str">
        <f>VLOOKUP(DESPESAS[[#This Row],[Plano de Contas]],BASE!$B$3:$D$119,3,FALSE)</f>
        <v>Comissões sobre Vendas Externo</v>
      </c>
      <c r="I1272" s="77" t="str">
        <f>IFERROR(VLOOKUP(DESPESAS[[#This Row],[Fornecedor]],Tabela2[],2,FALSE),"")</f>
        <v/>
      </c>
      <c r="J1272" s="77" t="str">
        <f>IFERROR(VLOOKUP(DESPESAS[[#This Row],[Plano de Contas]],BASE!$B$3:$F$119,4,FALSE),"")</f>
        <v>6 - DESPESA COM VENDAS</v>
      </c>
      <c r="K1272" s="77" t="str">
        <f>IFERROR(VLOOKUP(DESPESAS[[#This Row],[Plano de Contas]],BASE!$B$3:$H$119,5,FALSE),"")</f>
        <v>COMERCIAL</v>
      </c>
      <c r="L1272" s="77">
        <f>IFERROR(VLOOKUP(DESPESAS[[#This Row],[Plano de Contas]],BASE!$B$3:$H$119,6,FALSE),"")</f>
        <v>0</v>
      </c>
      <c r="M1272" s="77" t="str">
        <f>VLOOKUP(DESPESAS[[#This Row],[Plano de Contas]],BASE!$B$3:$H$119,7,FALSE)</f>
        <v>LETÍCIA</v>
      </c>
    </row>
    <row r="1273" spans="1:13" x14ac:dyDescent="0.25">
      <c r="A1273" s="74">
        <v>197921</v>
      </c>
      <c r="B1273" s="75" t="s">
        <v>279</v>
      </c>
      <c r="C1273" s="75" t="s">
        <v>2437</v>
      </c>
      <c r="D1273" s="76">
        <v>46056</v>
      </c>
      <c r="E1273" s="75" t="s">
        <v>788</v>
      </c>
      <c r="F1273" s="74">
        <v>273.32</v>
      </c>
      <c r="G1273" s="75" t="s">
        <v>572</v>
      </c>
      <c r="H1273" s="77" t="str">
        <f>VLOOKUP(DESPESAS[[#This Row],[Plano de Contas]],BASE!$B$3:$D$119,3,FALSE)</f>
        <v>Comissões sobre Vendas Externo</v>
      </c>
      <c r="I1273" s="77" t="str">
        <f>IFERROR(VLOOKUP(DESPESAS[[#This Row],[Fornecedor]],Tabela2[],2,FALSE),"")</f>
        <v/>
      </c>
      <c r="J1273" s="77" t="str">
        <f>IFERROR(VLOOKUP(DESPESAS[[#This Row],[Plano de Contas]],BASE!$B$3:$F$119,4,FALSE),"")</f>
        <v>6 - DESPESA COM VENDAS</v>
      </c>
      <c r="K1273" s="77" t="str">
        <f>IFERROR(VLOOKUP(DESPESAS[[#This Row],[Plano de Contas]],BASE!$B$3:$H$119,5,FALSE),"")</f>
        <v>COMERCIAL</v>
      </c>
      <c r="L1273" s="77">
        <f>IFERROR(VLOOKUP(DESPESAS[[#This Row],[Plano de Contas]],BASE!$B$3:$H$119,6,FALSE),"")</f>
        <v>0</v>
      </c>
      <c r="M1273" s="77" t="str">
        <f>VLOOKUP(DESPESAS[[#This Row],[Plano de Contas]],BASE!$B$3:$H$119,7,FALSE)</f>
        <v>LETÍCIA</v>
      </c>
    </row>
    <row r="1274" spans="1:13" x14ac:dyDescent="0.25">
      <c r="A1274" s="74">
        <v>197922</v>
      </c>
      <c r="B1274" s="75" t="s">
        <v>279</v>
      </c>
      <c r="C1274" s="75" t="s">
        <v>2437</v>
      </c>
      <c r="D1274" s="76">
        <v>46056</v>
      </c>
      <c r="E1274" s="75" t="s">
        <v>787</v>
      </c>
      <c r="F1274" s="74">
        <v>296.79000000000002</v>
      </c>
      <c r="G1274" s="75" t="s">
        <v>572</v>
      </c>
      <c r="H1274" s="77" t="str">
        <f>VLOOKUP(DESPESAS[[#This Row],[Plano de Contas]],BASE!$B$3:$D$119,3,FALSE)</f>
        <v>Comissões sobre Vendas Externo</v>
      </c>
      <c r="I1274" s="77" t="str">
        <f>IFERROR(VLOOKUP(DESPESAS[[#This Row],[Fornecedor]],Tabela2[],2,FALSE),"")</f>
        <v/>
      </c>
      <c r="J1274" s="77" t="str">
        <f>IFERROR(VLOOKUP(DESPESAS[[#This Row],[Plano de Contas]],BASE!$B$3:$F$119,4,FALSE),"")</f>
        <v>6 - DESPESA COM VENDAS</v>
      </c>
      <c r="K1274" s="77" t="str">
        <f>IFERROR(VLOOKUP(DESPESAS[[#This Row],[Plano de Contas]],BASE!$B$3:$H$119,5,FALSE),"")</f>
        <v>COMERCIAL</v>
      </c>
      <c r="L1274" s="77">
        <f>IFERROR(VLOOKUP(DESPESAS[[#This Row],[Plano de Contas]],BASE!$B$3:$H$119,6,FALSE),"")</f>
        <v>0</v>
      </c>
      <c r="M1274" s="77" t="str">
        <f>VLOOKUP(DESPESAS[[#This Row],[Plano de Contas]],BASE!$B$3:$H$119,7,FALSE)</f>
        <v>LETÍCIA</v>
      </c>
    </row>
    <row r="1275" spans="1:13" x14ac:dyDescent="0.25">
      <c r="A1275" s="74">
        <v>197923</v>
      </c>
      <c r="B1275" s="75" t="s">
        <v>279</v>
      </c>
      <c r="C1275" s="75" t="s">
        <v>2437</v>
      </c>
      <c r="D1275" s="76">
        <v>46056</v>
      </c>
      <c r="E1275" s="75" t="s">
        <v>786</v>
      </c>
      <c r="F1275" s="74">
        <v>542.51</v>
      </c>
      <c r="G1275" s="75" t="s">
        <v>572</v>
      </c>
      <c r="H1275" s="77" t="str">
        <f>VLOOKUP(DESPESAS[[#This Row],[Plano de Contas]],BASE!$B$3:$D$119,3,FALSE)</f>
        <v>Comissões sobre Vendas Externo</v>
      </c>
      <c r="I1275" s="77" t="str">
        <f>IFERROR(VLOOKUP(DESPESAS[[#This Row],[Fornecedor]],Tabela2[],2,FALSE),"")</f>
        <v/>
      </c>
      <c r="J1275" s="77" t="str">
        <f>IFERROR(VLOOKUP(DESPESAS[[#This Row],[Plano de Contas]],BASE!$B$3:$F$119,4,FALSE),"")</f>
        <v>6 - DESPESA COM VENDAS</v>
      </c>
      <c r="K1275" s="77" t="str">
        <f>IFERROR(VLOOKUP(DESPESAS[[#This Row],[Plano de Contas]],BASE!$B$3:$H$119,5,FALSE),"")</f>
        <v>COMERCIAL</v>
      </c>
      <c r="L1275" s="77">
        <f>IFERROR(VLOOKUP(DESPESAS[[#This Row],[Plano de Contas]],BASE!$B$3:$H$119,6,FALSE),"")</f>
        <v>0</v>
      </c>
      <c r="M1275" s="77" t="str">
        <f>VLOOKUP(DESPESAS[[#This Row],[Plano de Contas]],BASE!$B$3:$H$119,7,FALSE)</f>
        <v>LETÍCIA</v>
      </c>
    </row>
    <row r="1276" spans="1:13" x14ac:dyDescent="0.25">
      <c r="A1276" s="74">
        <v>197924</v>
      </c>
      <c r="B1276" s="75" t="s">
        <v>279</v>
      </c>
      <c r="C1276" s="75" t="s">
        <v>2437</v>
      </c>
      <c r="D1276" s="76">
        <v>46056</v>
      </c>
      <c r="E1276" s="75" t="s">
        <v>785</v>
      </c>
      <c r="F1276" s="74">
        <v>602.14</v>
      </c>
      <c r="G1276" s="75" t="s">
        <v>572</v>
      </c>
      <c r="H1276" s="77" t="str">
        <f>VLOOKUP(DESPESAS[[#This Row],[Plano de Contas]],BASE!$B$3:$D$119,3,FALSE)</f>
        <v>Comissões sobre Vendas Externo</v>
      </c>
      <c r="I1276" s="77" t="str">
        <f>IFERROR(VLOOKUP(DESPESAS[[#This Row],[Fornecedor]],Tabela2[],2,FALSE),"")</f>
        <v/>
      </c>
      <c r="J1276" s="77" t="str">
        <f>IFERROR(VLOOKUP(DESPESAS[[#This Row],[Plano de Contas]],BASE!$B$3:$F$119,4,FALSE),"")</f>
        <v>6 - DESPESA COM VENDAS</v>
      </c>
      <c r="K1276" s="77" t="str">
        <f>IFERROR(VLOOKUP(DESPESAS[[#This Row],[Plano de Contas]],BASE!$B$3:$H$119,5,FALSE),"")</f>
        <v>COMERCIAL</v>
      </c>
      <c r="L1276" s="77">
        <f>IFERROR(VLOOKUP(DESPESAS[[#This Row],[Plano de Contas]],BASE!$B$3:$H$119,6,FALSE),"")</f>
        <v>0</v>
      </c>
      <c r="M1276" s="77" t="str">
        <f>VLOOKUP(DESPESAS[[#This Row],[Plano de Contas]],BASE!$B$3:$H$119,7,FALSE)</f>
        <v>LETÍCIA</v>
      </c>
    </row>
    <row r="1277" spans="1:13" x14ac:dyDescent="0.25">
      <c r="A1277" s="74">
        <v>197925</v>
      </c>
      <c r="B1277" s="75" t="s">
        <v>279</v>
      </c>
      <c r="C1277" s="75" t="s">
        <v>2437</v>
      </c>
      <c r="D1277" s="76">
        <v>46056</v>
      </c>
      <c r="E1277" s="75" t="s">
        <v>784</v>
      </c>
      <c r="F1277" s="74">
        <v>1377.34</v>
      </c>
      <c r="G1277" s="75" t="s">
        <v>572</v>
      </c>
      <c r="H1277" s="77" t="str">
        <f>VLOOKUP(DESPESAS[[#This Row],[Plano de Contas]],BASE!$B$3:$D$119,3,FALSE)</f>
        <v>Comissões sobre Vendas Externo</v>
      </c>
      <c r="I1277" s="77" t="str">
        <f>IFERROR(VLOOKUP(DESPESAS[[#This Row],[Fornecedor]],Tabela2[],2,FALSE),"")</f>
        <v/>
      </c>
      <c r="J1277" s="77" t="str">
        <f>IFERROR(VLOOKUP(DESPESAS[[#This Row],[Plano de Contas]],BASE!$B$3:$F$119,4,FALSE),"")</f>
        <v>6 - DESPESA COM VENDAS</v>
      </c>
      <c r="K1277" s="77" t="str">
        <f>IFERROR(VLOOKUP(DESPESAS[[#This Row],[Plano de Contas]],BASE!$B$3:$H$119,5,FALSE),"")</f>
        <v>COMERCIAL</v>
      </c>
      <c r="L1277" s="77">
        <f>IFERROR(VLOOKUP(DESPESAS[[#This Row],[Plano de Contas]],BASE!$B$3:$H$119,6,FALSE),"")</f>
        <v>0</v>
      </c>
      <c r="M1277" s="77" t="str">
        <f>VLOOKUP(DESPESAS[[#This Row],[Plano de Contas]],BASE!$B$3:$H$119,7,FALSE)</f>
        <v>LETÍCIA</v>
      </c>
    </row>
    <row r="1278" spans="1:13" x14ac:dyDescent="0.25">
      <c r="A1278" s="74">
        <v>197926</v>
      </c>
      <c r="B1278" s="75" t="s">
        <v>279</v>
      </c>
      <c r="C1278" s="75" t="s">
        <v>2437</v>
      </c>
      <c r="D1278" s="76">
        <v>46056</v>
      </c>
      <c r="E1278" s="75" t="s">
        <v>791</v>
      </c>
      <c r="F1278" s="74">
        <v>281.52999999999997</v>
      </c>
      <c r="G1278" s="75" t="s">
        <v>572</v>
      </c>
      <c r="H1278" s="77" t="str">
        <f>VLOOKUP(DESPESAS[[#This Row],[Plano de Contas]],BASE!$B$3:$D$119,3,FALSE)</f>
        <v>Comissões sobre Vendas Externo</v>
      </c>
      <c r="I1278" s="77" t="str">
        <f>IFERROR(VLOOKUP(DESPESAS[[#This Row],[Fornecedor]],Tabela2[],2,FALSE),"")</f>
        <v/>
      </c>
      <c r="J1278" s="77" t="str">
        <f>IFERROR(VLOOKUP(DESPESAS[[#This Row],[Plano de Contas]],BASE!$B$3:$F$119,4,FALSE),"")</f>
        <v>6 - DESPESA COM VENDAS</v>
      </c>
      <c r="K1278" s="77" t="str">
        <f>IFERROR(VLOOKUP(DESPESAS[[#This Row],[Plano de Contas]],BASE!$B$3:$H$119,5,FALSE),"")</f>
        <v>COMERCIAL</v>
      </c>
      <c r="L1278" s="77">
        <f>IFERROR(VLOOKUP(DESPESAS[[#This Row],[Plano de Contas]],BASE!$B$3:$H$119,6,FALSE),"")</f>
        <v>0</v>
      </c>
      <c r="M1278" s="77" t="str">
        <f>VLOOKUP(DESPESAS[[#This Row],[Plano de Contas]],BASE!$B$3:$H$119,7,FALSE)</f>
        <v>LETÍCIA</v>
      </c>
    </row>
    <row r="1279" spans="1:13" x14ac:dyDescent="0.25">
      <c r="A1279" s="74">
        <v>197927</v>
      </c>
      <c r="B1279" s="75" t="s">
        <v>221</v>
      </c>
      <c r="C1279" s="75" t="s">
        <v>2436</v>
      </c>
      <c r="D1279" s="76">
        <v>46056</v>
      </c>
      <c r="E1279" s="75" t="s">
        <v>640</v>
      </c>
      <c r="F1279" s="74">
        <v>1620.03</v>
      </c>
      <c r="G1279" s="75" t="s">
        <v>365</v>
      </c>
      <c r="H1279" s="77" t="str">
        <f>VLOOKUP(DESPESAS[[#This Row],[Plano de Contas]],BASE!$B$3:$D$119,3,FALSE)</f>
        <v>Pró-Labore</v>
      </c>
      <c r="I1279" s="77" t="str">
        <f>IFERROR(VLOOKUP(DESPESAS[[#This Row],[Fornecedor]],Tabela2[],2,FALSE),"")</f>
        <v/>
      </c>
      <c r="J1279" s="77" t="str">
        <f>IFERROR(VLOOKUP(DESPESAS[[#This Row],[Plano de Contas]],BASE!$B$3:$F$119,4,FALSE),"")</f>
        <v>4 - GASTOS COM PESSOAL</v>
      </c>
      <c r="K1279" s="77" t="str">
        <f>IFERROR(VLOOKUP(DESPESAS[[#This Row],[Plano de Contas]],BASE!$B$3:$H$119,5,FALSE),"")</f>
        <v>DIRETORIA</v>
      </c>
      <c r="L1279" s="77">
        <f>IFERROR(VLOOKUP(DESPESAS[[#This Row],[Plano de Contas]],BASE!$B$3:$H$119,6,FALSE),"")</f>
        <v>0</v>
      </c>
      <c r="M1279" s="77" t="str">
        <f>VLOOKUP(DESPESAS[[#This Row],[Plano de Contas]],BASE!$B$3:$H$119,7,FALSE)</f>
        <v>FÁBIO</v>
      </c>
    </row>
    <row r="1280" spans="1:13" x14ac:dyDescent="0.25">
      <c r="A1280" s="74">
        <v>197928</v>
      </c>
      <c r="B1280" s="75" t="s">
        <v>221</v>
      </c>
      <c r="C1280" s="75" t="s">
        <v>2435</v>
      </c>
      <c r="D1280" s="76">
        <v>46056</v>
      </c>
      <c r="E1280" s="75" t="s">
        <v>640</v>
      </c>
      <c r="F1280" s="74">
        <v>808.51</v>
      </c>
      <c r="G1280" s="75" t="s">
        <v>365</v>
      </c>
      <c r="H1280" s="77" t="str">
        <f>VLOOKUP(DESPESAS[[#This Row],[Plano de Contas]],BASE!$B$3:$D$119,3,FALSE)</f>
        <v>Pró-Labore</v>
      </c>
      <c r="I1280" s="77" t="str">
        <f>IFERROR(VLOOKUP(DESPESAS[[#This Row],[Fornecedor]],Tabela2[],2,FALSE),"")</f>
        <v/>
      </c>
      <c r="J1280" s="77" t="str">
        <f>IFERROR(VLOOKUP(DESPESAS[[#This Row],[Plano de Contas]],BASE!$B$3:$F$119,4,FALSE),"")</f>
        <v>4 - GASTOS COM PESSOAL</v>
      </c>
      <c r="K1280" s="77" t="str">
        <f>IFERROR(VLOOKUP(DESPESAS[[#This Row],[Plano de Contas]],BASE!$B$3:$H$119,5,FALSE),"")</f>
        <v>DIRETORIA</v>
      </c>
      <c r="L1280" s="77">
        <f>IFERROR(VLOOKUP(DESPESAS[[#This Row],[Plano de Contas]],BASE!$B$3:$H$119,6,FALSE),"")</f>
        <v>0</v>
      </c>
      <c r="M1280" s="77" t="str">
        <f>VLOOKUP(DESPESAS[[#This Row],[Plano de Contas]],BASE!$B$3:$H$119,7,FALSE)</f>
        <v>FÁBIO</v>
      </c>
    </row>
    <row r="1281" spans="1:13" x14ac:dyDescent="0.25">
      <c r="A1281" s="74">
        <v>197929</v>
      </c>
      <c r="B1281" s="75" t="s">
        <v>221</v>
      </c>
      <c r="C1281" s="75" t="s">
        <v>2434</v>
      </c>
      <c r="D1281" s="76">
        <v>46056</v>
      </c>
      <c r="E1281" s="75" t="s">
        <v>640</v>
      </c>
      <c r="F1281" s="74">
        <v>808.51</v>
      </c>
      <c r="G1281" s="75" t="s">
        <v>365</v>
      </c>
      <c r="H1281" s="77" t="str">
        <f>VLOOKUP(DESPESAS[[#This Row],[Plano de Contas]],BASE!$B$3:$D$119,3,FALSE)</f>
        <v>Pró-Labore</v>
      </c>
      <c r="I1281" s="77" t="str">
        <f>IFERROR(VLOOKUP(DESPESAS[[#This Row],[Fornecedor]],Tabela2[],2,FALSE),"")</f>
        <v/>
      </c>
      <c r="J1281" s="77" t="str">
        <f>IFERROR(VLOOKUP(DESPESAS[[#This Row],[Plano de Contas]],BASE!$B$3:$F$119,4,FALSE),"")</f>
        <v>4 - GASTOS COM PESSOAL</v>
      </c>
      <c r="K1281" s="77" t="str">
        <f>IFERROR(VLOOKUP(DESPESAS[[#This Row],[Plano de Contas]],BASE!$B$3:$H$119,5,FALSE),"")</f>
        <v>DIRETORIA</v>
      </c>
      <c r="L1281" s="77">
        <f>IFERROR(VLOOKUP(DESPESAS[[#This Row],[Plano de Contas]],BASE!$B$3:$H$119,6,FALSE),"")</f>
        <v>0</v>
      </c>
      <c r="M1281" s="77" t="str">
        <f>VLOOKUP(DESPESAS[[#This Row],[Plano de Contas]],BASE!$B$3:$H$119,7,FALSE)</f>
        <v>FÁBIO</v>
      </c>
    </row>
    <row r="1282" spans="1:13" x14ac:dyDescent="0.25">
      <c r="A1282" s="74">
        <v>197930</v>
      </c>
      <c r="B1282" s="75" t="s">
        <v>221</v>
      </c>
      <c r="C1282" s="75" t="s">
        <v>2433</v>
      </c>
      <c r="D1282" s="76">
        <v>46056</v>
      </c>
      <c r="E1282" s="75" t="s">
        <v>640</v>
      </c>
      <c r="F1282" s="74">
        <v>1409.41</v>
      </c>
      <c r="G1282" s="75" t="s">
        <v>365</v>
      </c>
      <c r="H1282" s="77" t="str">
        <f>VLOOKUP(DESPESAS[[#This Row],[Plano de Contas]],BASE!$B$3:$D$119,3,FALSE)</f>
        <v>Pró-Labore</v>
      </c>
      <c r="I1282" s="77" t="str">
        <f>IFERROR(VLOOKUP(DESPESAS[[#This Row],[Fornecedor]],Tabela2[],2,FALSE),"")</f>
        <v/>
      </c>
      <c r="J1282" s="77" t="str">
        <f>IFERROR(VLOOKUP(DESPESAS[[#This Row],[Plano de Contas]],BASE!$B$3:$F$119,4,FALSE),"")</f>
        <v>4 - GASTOS COM PESSOAL</v>
      </c>
      <c r="K1282" s="77" t="str">
        <f>IFERROR(VLOOKUP(DESPESAS[[#This Row],[Plano de Contas]],BASE!$B$3:$H$119,5,FALSE),"")</f>
        <v>DIRETORIA</v>
      </c>
      <c r="L1282" s="77">
        <f>IFERROR(VLOOKUP(DESPESAS[[#This Row],[Plano de Contas]],BASE!$B$3:$H$119,6,FALSE),"")</f>
        <v>0</v>
      </c>
      <c r="M1282" s="77" t="str">
        <f>VLOOKUP(DESPESAS[[#This Row],[Plano de Contas]],BASE!$B$3:$H$119,7,FALSE)</f>
        <v>FÁBIO</v>
      </c>
    </row>
    <row r="1283" spans="1:13" x14ac:dyDescent="0.25">
      <c r="A1283" s="74">
        <v>197931</v>
      </c>
      <c r="B1283" s="75" t="s">
        <v>232</v>
      </c>
      <c r="C1283" s="75" t="s">
        <v>2432</v>
      </c>
      <c r="D1283" s="76">
        <v>46053</v>
      </c>
      <c r="E1283" s="75" t="s">
        <v>796</v>
      </c>
      <c r="F1283" s="74">
        <v>1045.75</v>
      </c>
      <c r="G1283" s="75" t="s">
        <v>539</v>
      </c>
      <c r="H1283" s="77" t="str">
        <f>VLOOKUP(DESPESAS[[#This Row],[Plano de Contas]],BASE!$B$3:$D$119,3,FALSE)</f>
        <v>Royalties</v>
      </c>
      <c r="I1283" s="77" t="str">
        <f>IFERROR(VLOOKUP(DESPESAS[[#This Row],[Fornecedor]],Tabela2[],2,FALSE),"")</f>
        <v/>
      </c>
      <c r="J1283" s="77" t="str">
        <f>IFERROR(VLOOKUP(DESPESAS[[#This Row],[Plano de Contas]],BASE!$B$3:$F$119,4,FALSE),"")</f>
        <v>6 - DESPESA COM VENDAS</v>
      </c>
      <c r="K1283" s="77" t="str">
        <f>IFERROR(VLOOKUP(DESPESAS[[#This Row],[Plano de Contas]],BASE!$B$3:$H$119,5,FALSE),"")</f>
        <v>COMERCIAL</v>
      </c>
      <c r="L1283" s="77">
        <f>IFERROR(VLOOKUP(DESPESAS[[#This Row],[Plano de Contas]],BASE!$B$3:$H$119,6,FALSE),"")</f>
        <v>0</v>
      </c>
      <c r="M1283" s="77" t="str">
        <f>VLOOKUP(DESPESAS[[#This Row],[Plano de Contas]],BASE!$B$3:$H$119,7,FALSE)</f>
        <v>LETÍCIA</v>
      </c>
    </row>
    <row r="1284" spans="1:13" x14ac:dyDescent="0.25">
      <c r="A1284" s="74">
        <v>197932</v>
      </c>
      <c r="B1284" s="75" t="s">
        <v>232</v>
      </c>
      <c r="C1284" s="75" t="s">
        <v>2432</v>
      </c>
      <c r="D1284" s="76">
        <v>46053</v>
      </c>
      <c r="E1284" s="75" t="s">
        <v>540</v>
      </c>
      <c r="F1284" s="74">
        <v>13976.29</v>
      </c>
      <c r="G1284" s="75" t="s">
        <v>539</v>
      </c>
      <c r="H1284" s="77" t="str">
        <f>VLOOKUP(DESPESAS[[#This Row],[Plano de Contas]],BASE!$B$3:$D$119,3,FALSE)</f>
        <v>Royalties</v>
      </c>
      <c r="I1284" s="77" t="str">
        <f>IFERROR(VLOOKUP(DESPESAS[[#This Row],[Fornecedor]],Tabela2[],2,FALSE),"")</f>
        <v/>
      </c>
      <c r="J1284" s="77" t="str">
        <f>IFERROR(VLOOKUP(DESPESAS[[#This Row],[Plano de Contas]],BASE!$B$3:$F$119,4,FALSE),"")</f>
        <v>6 - DESPESA COM VENDAS</v>
      </c>
      <c r="K1284" s="77" t="str">
        <f>IFERROR(VLOOKUP(DESPESAS[[#This Row],[Plano de Contas]],BASE!$B$3:$H$119,5,FALSE),"")</f>
        <v>COMERCIAL</v>
      </c>
      <c r="L1284" s="77">
        <f>IFERROR(VLOOKUP(DESPESAS[[#This Row],[Plano de Contas]],BASE!$B$3:$H$119,6,FALSE),"")</f>
        <v>0</v>
      </c>
      <c r="M1284" s="77" t="str">
        <f>VLOOKUP(DESPESAS[[#This Row],[Plano de Contas]],BASE!$B$3:$H$119,7,FALSE)</f>
        <v>LETÍCIA</v>
      </c>
    </row>
    <row r="1285" spans="1:13" x14ac:dyDescent="0.25">
      <c r="A1285" s="74">
        <v>197933</v>
      </c>
      <c r="B1285" s="75" t="s">
        <v>232</v>
      </c>
      <c r="C1285" s="75" t="s">
        <v>2432</v>
      </c>
      <c r="D1285" s="76">
        <v>46053</v>
      </c>
      <c r="E1285" s="75" t="s">
        <v>795</v>
      </c>
      <c r="F1285" s="74">
        <v>8043.36</v>
      </c>
      <c r="G1285" s="75" t="s">
        <v>539</v>
      </c>
      <c r="H1285" s="77" t="str">
        <f>VLOOKUP(DESPESAS[[#This Row],[Plano de Contas]],BASE!$B$3:$D$119,3,FALSE)</f>
        <v>Royalties</v>
      </c>
      <c r="I1285" s="77" t="str">
        <f>IFERROR(VLOOKUP(DESPESAS[[#This Row],[Fornecedor]],Tabela2[],2,FALSE),"")</f>
        <v/>
      </c>
      <c r="J1285" s="77" t="str">
        <f>IFERROR(VLOOKUP(DESPESAS[[#This Row],[Plano de Contas]],BASE!$B$3:$F$119,4,FALSE),"")</f>
        <v>6 - DESPESA COM VENDAS</v>
      </c>
      <c r="K1285" s="77" t="str">
        <f>IFERROR(VLOOKUP(DESPESAS[[#This Row],[Plano de Contas]],BASE!$B$3:$H$119,5,FALSE),"")</f>
        <v>COMERCIAL</v>
      </c>
      <c r="L1285" s="77">
        <f>IFERROR(VLOOKUP(DESPESAS[[#This Row],[Plano de Contas]],BASE!$B$3:$H$119,6,FALSE),"")</f>
        <v>0</v>
      </c>
      <c r="M1285" s="77" t="str">
        <f>VLOOKUP(DESPESAS[[#This Row],[Plano de Contas]],BASE!$B$3:$H$119,7,FALSE)</f>
        <v>LETÍCIA</v>
      </c>
    </row>
    <row r="1286" spans="1:13" x14ac:dyDescent="0.25">
      <c r="A1286" s="74">
        <v>197934</v>
      </c>
      <c r="B1286" s="75" t="s">
        <v>232</v>
      </c>
      <c r="C1286" s="75" t="s">
        <v>2432</v>
      </c>
      <c r="D1286" s="76">
        <v>46053</v>
      </c>
      <c r="E1286" s="75" t="s">
        <v>800</v>
      </c>
      <c r="F1286" s="74">
        <v>157</v>
      </c>
      <c r="G1286" s="75" t="s">
        <v>539</v>
      </c>
      <c r="H1286" s="77" t="str">
        <f>VLOOKUP(DESPESAS[[#This Row],[Plano de Contas]],BASE!$B$3:$D$119,3,FALSE)</f>
        <v>Royalties</v>
      </c>
      <c r="I1286" s="77" t="str">
        <f>IFERROR(VLOOKUP(DESPESAS[[#This Row],[Fornecedor]],Tabela2[],2,FALSE),"")</f>
        <v/>
      </c>
      <c r="J1286" s="77" t="str">
        <f>IFERROR(VLOOKUP(DESPESAS[[#This Row],[Plano de Contas]],BASE!$B$3:$F$119,4,FALSE),"")</f>
        <v>6 - DESPESA COM VENDAS</v>
      </c>
      <c r="K1286" s="77" t="str">
        <f>IFERROR(VLOOKUP(DESPESAS[[#This Row],[Plano de Contas]],BASE!$B$3:$H$119,5,FALSE),"")</f>
        <v>COMERCIAL</v>
      </c>
      <c r="L1286" s="77">
        <f>IFERROR(VLOOKUP(DESPESAS[[#This Row],[Plano de Contas]],BASE!$B$3:$H$119,6,FALSE),"")</f>
        <v>0</v>
      </c>
      <c r="M1286" s="77" t="str">
        <f>VLOOKUP(DESPESAS[[#This Row],[Plano de Contas]],BASE!$B$3:$H$119,7,FALSE)</f>
        <v>LETÍCIA</v>
      </c>
    </row>
    <row r="1287" spans="1:13" x14ac:dyDescent="0.25">
      <c r="A1287" s="74">
        <v>197935</v>
      </c>
      <c r="B1287" s="75" t="s">
        <v>232</v>
      </c>
      <c r="C1287" s="75" t="s">
        <v>2432</v>
      </c>
      <c r="D1287" s="76">
        <v>46053</v>
      </c>
      <c r="E1287" s="75" t="s">
        <v>798</v>
      </c>
      <c r="F1287" s="74">
        <v>961.45</v>
      </c>
      <c r="G1287" s="75" t="s">
        <v>539</v>
      </c>
      <c r="H1287" s="77" t="str">
        <f>VLOOKUP(DESPESAS[[#This Row],[Plano de Contas]],BASE!$B$3:$D$119,3,FALSE)</f>
        <v>Royalties</v>
      </c>
      <c r="I1287" s="77" t="str">
        <f>IFERROR(VLOOKUP(DESPESAS[[#This Row],[Fornecedor]],Tabela2[],2,FALSE),"")</f>
        <v/>
      </c>
      <c r="J1287" s="77" t="str">
        <f>IFERROR(VLOOKUP(DESPESAS[[#This Row],[Plano de Contas]],BASE!$B$3:$F$119,4,FALSE),"")</f>
        <v>6 - DESPESA COM VENDAS</v>
      </c>
      <c r="K1287" s="77" t="str">
        <f>IFERROR(VLOOKUP(DESPESAS[[#This Row],[Plano de Contas]],BASE!$B$3:$H$119,5,FALSE),"")</f>
        <v>COMERCIAL</v>
      </c>
      <c r="L1287" s="77">
        <f>IFERROR(VLOOKUP(DESPESAS[[#This Row],[Plano de Contas]],BASE!$B$3:$H$119,6,FALSE),"")</f>
        <v>0</v>
      </c>
      <c r="M1287" s="77" t="str">
        <f>VLOOKUP(DESPESAS[[#This Row],[Plano de Contas]],BASE!$B$3:$H$119,7,FALSE)</f>
        <v>LETÍCIA</v>
      </c>
    </row>
    <row r="1288" spans="1:13" x14ac:dyDescent="0.25">
      <c r="A1288" s="74">
        <v>197936</v>
      </c>
      <c r="B1288" s="75" t="s">
        <v>232</v>
      </c>
      <c r="C1288" s="75" t="s">
        <v>2432</v>
      </c>
      <c r="D1288" s="76">
        <v>46053</v>
      </c>
      <c r="E1288" s="75" t="s">
        <v>797</v>
      </c>
      <c r="F1288" s="74">
        <v>375.03</v>
      </c>
      <c r="G1288" s="75" t="s">
        <v>539</v>
      </c>
      <c r="H1288" s="77" t="str">
        <f>VLOOKUP(DESPESAS[[#This Row],[Plano de Contas]],BASE!$B$3:$D$119,3,FALSE)</f>
        <v>Royalties</v>
      </c>
      <c r="I1288" s="77" t="str">
        <f>IFERROR(VLOOKUP(DESPESAS[[#This Row],[Fornecedor]],Tabela2[],2,FALSE),"")</f>
        <v/>
      </c>
      <c r="J1288" s="77" t="str">
        <f>IFERROR(VLOOKUP(DESPESAS[[#This Row],[Plano de Contas]],BASE!$B$3:$F$119,4,FALSE),"")</f>
        <v>6 - DESPESA COM VENDAS</v>
      </c>
      <c r="K1288" s="77" t="str">
        <f>IFERROR(VLOOKUP(DESPESAS[[#This Row],[Plano de Contas]],BASE!$B$3:$H$119,5,FALSE),"")</f>
        <v>COMERCIAL</v>
      </c>
      <c r="L1288" s="77">
        <f>IFERROR(VLOOKUP(DESPESAS[[#This Row],[Plano de Contas]],BASE!$B$3:$H$119,6,FALSE),"")</f>
        <v>0</v>
      </c>
      <c r="M1288" s="77" t="str">
        <f>VLOOKUP(DESPESAS[[#This Row],[Plano de Contas]],BASE!$B$3:$H$119,7,FALSE)</f>
        <v>LETÍCIA</v>
      </c>
    </row>
    <row r="1289" spans="1:13" x14ac:dyDescent="0.25">
      <c r="A1289" s="74">
        <v>197937</v>
      </c>
      <c r="B1289" s="75" t="s">
        <v>232</v>
      </c>
      <c r="C1289" s="75" t="s">
        <v>2432</v>
      </c>
      <c r="D1289" s="76">
        <v>46053</v>
      </c>
      <c r="E1289" s="75" t="s">
        <v>794</v>
      </c>
      <c r="F1289" s="74">
        <v>1139.27</v>
      </c>
      <c r="G1289" s="75" t="s">
        <v>539</v>
      </c>
      <c r="H1289" s="77" t="str">
        <f>VLOOKUP(DESPESAS[[#This Row],[Plano de Contas]],BASE!$B$3:$D$119,3,FALSE)</f>
        <v>Royalties</v>
      </c>
      <c r="I1289" s="77" t="str">
        <f>IFERROR(VLOOKUP(DESPESAS[[#This Row],[Fornecedor]],Tabela2[],2,FALSE),"")</f>
        <v/>
      </c>
      <c r="J1289" s="77" t="str">
        <f>IFERROR(VLOOKUP(DESPESAS[[#This Row],[Plano de Contas]],BASE!$B$3:$F$119,4,FALSE),"")</f>
        <v>6 - DESPESA COM VENDAS</v>
      </c>
      <c r="K1289" s="77" t="str">
        <f>IFERROR(VLOOKUP(DESPESAS[[#This Row],[Plano de Contas]],BASE!$B$3:$H$119,5,FALSE),"")</f>
        <v>COMERCIAL</v>
      </c>
      <c r="L1289" s="77">
        <f>IFERROR(VLOOKUP(DESPESAS[[#This Row],[Plano de Contas]],BASE!$B$3:$H$119,6,FALSE),"")</f>
        <v>0</v>
      </c>
      <c r="M1289" s="77" t="str">
        <f>VLOOKUP(DESPESAS[[#This Row],[Plano de Contas]],BASE!$B$3:$H$119,7,FALSE)</f>
        <v>LETÍCIA</v>
      </c>
    </row>
    <row r="1290" spans="1:13" x14ac:dyDescent="0.25">
      <c r="A1290" s="74">
        <v>197938</v>
      </c>
      <c r="B1290" s="75" t="s">
        <v>281</v>
      </c>
      <c r="C1290" s="75" t="s">
        <v>2432</v>
      </c>
      <c r="D1290" s="76">
        <v>46053</v>
      </c>
      <c r="E1290" s="75" t="s">
        <v>540</v>
      </c>
      <c r="F1290" s="74">
        <v>1756.14</v>
      </c>
      <c r="G1290" s="75" t="s">
        <v>539</v>
      </c>
      <c r="H1290" s="77" t="str">
        <f>VLOOKUP(DESPESAS[[#This Row],[Plano de Contas]],BASE!$B$3:$D$119,3,FALSE)</f>
        <v>Royalties</v>
      </c>
      <c r="I1290" s="77" t="str">
        <f>IFERROR(VLOOKUP(DESPESAS[[#This Row],[Fornecedor]],Tabela2[],2,FALSE),"")</f>
        <v/>
      </c>
      <c r="J1290" s="77" t="str">
        <f>IFERROR(VLOOKUP(DESPESAS[[#This Row],[Plano de Contas]],BASE!$B$3:$F$119,4,FALSE),"")</f>
        <v>6 - DESPESA COM VENDAS</v>
      </c>
      <c r="K1290" s="77" t="str">
        <f>IFERROR(VLOOKUP(DESPESAS[[#This Row],[Plano de Contas]],BASE!$B$3:$H$119,5,FALSE),"")</f>
        <v>COMERCIAL</v>
      </c>
      <c r="L1290" s="77">
        <f>IFERROR(VLOOKUP(DESPESAS[[#This Row],[Plano de Contas]],BASE!$B$3:$H$119,6,FALSE),"")</f>
        <v>0</v>
      </c>
      <c r="M1290" s="77" t="str">
        <f>VLOOKUP(DESPESAS[[#This Row],[Plano de Contas]],BASE!$B$3:$H$119,7,FALSE)</f>
        <v>LETÍCIA</v>
      </c>
    </row>
    <row r="1291" spans="1:13" x14ac:dyDescent="0.25">
      <c r="A1291" s="74">
        <v>197939</v>
      </c>
      <c r="B1291" s="75" t="s">
        <v>281</v>
      </c>
      <c r="C1291" s="75" t="s">
        <v>2432</v>
      </c>
      <c r="D1291" s="76">
        <v>46053</v>
      </c>
      <c r="E1291" s="75" t="s">
        <v>795</v>
      </c>
      <c r="F1291" s="74">
        <v>459.4</v>
      </c>
      <c r="G1291" s="75" t="s">
        <v>539</v>
      </c>
      <c r="H1291" s="77" t="str">
        <f>VLOOKUP(DESPESAS[[#This Row],[Plano de Contas]],BASE!$B$3:$D$119,3,FALSE)</f>
        <v>Royalties</v>
      </c>
      <c r="I1291" s="77" t="str">
        <f>IFERROR(VLOOKUP(DESPESAS[[#This Row],[Fornecedor]],Tabela2[],2,FALSE),"")</f>
        <v/>
      </c>
      <c r="J1291" s="77" t="str">
        <f>IFERROR(VLOOKUP(DESPESAS[[#This Row],[Plano de Contas]],BASE!$B$3:$F$119,4,FALSE),"")</f>
        <v>6 - DESPESA COM VENDAS</v>
      </c>
      <c r="K1291" s="77" t="str">
        <f>IFERROR(VLOOKUP(DESPESAS[[#This Row],[Plano de Contas]],BASE!$B$3:$H$119,5,FALSE),"")</f>
        <v>COMERCIAL</v>
      </c>
      <c r="L1291" s="77">
        <f>IFERROR(VLOOKUP(DESPESAS[[#This Row],[Plano de Contas]],BASE!$B$3:$H$119,6,FALSE),"")</f>
        <v>0</v>
      </c>
      <c r="M1291" s="77" t="str">
        <f>VLOOKUP(DESPESAS[[#This Row],[Plano de Contas]],BASE!$B$3:$H$119,7,FALSE)</f>
        <v>LETÍCIA</v>
      </c>
    </row>
    <row r="1292" spans="1:13" x14ac:dyDescent="0.25">
      <c r="A1292" s="74">
        <v>197940</v>
      </c>
      <c r="B1292" s="75" t="s">
        <v>281</v>
      </c>
      <c r="C1292" s="75" t="s">
        <v>2432</v>
      </c>
      <c r="D1292" s="76">
        <v>46053</v>
      </c>
      <c r="E1292" s="75" t="s">
        <v>798</v>
      </c>
      <c r="F1292" s="74">
        <v>166.25</v>
      </c>
      <c r="G1292" s="75" t="s">
        <v>539</v>
      </c>
      <c r="H1292" s="77" t="str">
        <f>VLOOKUP(DESPESAS[[#This Row],[Plano de Contas]],BASE!$B$3:$D$119,3,FALSE)</f>
        <v>Royalties</v>
      </c>
      <c r="I1292" s="77" t="str">
        <f>IFERROR(VLOOKUP(DESPESAS[[#This Row],[Fornecedor]],Tabela2[],2,FALSE),"")</f>
        <v/>
      </c>
      <c r="J1292" s="77" t="str">
        <f>IFERROR(VLOOKUP(DESPESAS[[#This Row],[Plano de Contas]],BASE!$B$3:$F$119,4,FALSE),"")</f>
        <v>6 - DESPESA COM VENDAS</v>
      </c>
      <c r="K1292" s="77" t="str">
        <f>IFERROR(VLOOKUP(DESPESAS[[#This Row],[Plano de Contas]],BASE!$B$3:$H$119,5,FALSE),"")</f>
        <v>COMERCIAL</v>
      </c>
      <c r="L1292" s="77">
        <f>IFERROR(VLOOKUP(DESPESAS[[#This Row],[Plano de Contas]],BASE!$B$3:$H$119,6,FALSE),"")</f>
        <v>0</v>
      </c>
      <c r="M1292" s="77" t="str">
        <f>VLOOKUP(DESPESAS[[#This Row],[Plano de Contas]],BASE!$B$3:$H$119,7,FALSE)</f>
        <v>LETÍCIA</v>
      </c>
    </row>
    <row r="1293" spans="1:13" x14ac:dyDescent="0.25">
      <c r="A1293" s="74">
        <v>197941</v>
      </c>
      <c r="B1293" s="75" t="s">
        <v>281</v>
      </c>
      <c r="C1293" s="75" t="s">
        <v>2432</v>
      </c>
      <c r="D1293" s="76">
        <v>46053</v>
      </c>
      <c r="E1293" s="75" t="s">
        <v>797</v>
      </c>
      <c r="F1293" s="74">
        <v>1581.76</v>
      </c>
      <c r="G1293" s="75" t="s">
        <v>539</v>
      </c>
      <c r="H1293" s="77" t="str">
        <f>VLOOKUP(DESPESAS[[#This Row],[Plano de Contas]],BASE!$B$3:$D$119,3,FALSE)</f>
        <v>Royalties</v>
      </c>
      <c r="I1293" s="77" t="str">
        <f>IFERROR(VLOOKUP(DESPESAS[[#This Row],[Fornecedor]],Tabela2[],2,FALSE),"")</f>
        <v/>
      </c>
      <c r="J1293" s="77" t="str">
        <f>IFERROR(VLOOKUP(DESPESAS[[#This Row],[Plano de Contas]],BASE!$B$3:$F$119,4,FALSE),"")</f>
        <v>6 - DESPESA COM VENDAS</v>
      </c>
      <c r="K1293" s="77" t="str">
        <f>IFERROR(VLOOKUP(DESPESAS[[#This Row],[Plano de Contas]],BASE!$B$3:$H$119,5,FALSE),"")</f>
        <v>COMERCIAL</v>
      </c>
      <c r="L1293" s="77">
        <f>IFERROR(VLOOKUP(DESPESAS[[#This Row],[Plano de Contas]],BASE!$B$3:$H$119,6,FALSE),"")</f>
        <v>0</v>
      </c>
      <c r="M1293" s="77" t="str">
        <f>VLOOKUP(DESPESAS[[#This Row],[Plano de Contas]],BASE!$B$3:$H$119,7,FALSE)</f>
        <v>LETÍCIA</v>
      </c>
    </row>
    <row r="1294" spans="1:13" x14ac:dyDescent="0.25">
      <c r="A1294" s="74">
        <v>197942</v>
      </c>
      <c r="B1294" s="75" t="s">
        <v>281</v>
      </c>
      <c r="C1294" s="75" t="s">
        <v>2432</v>
      </c>
      <c r="D1294" s="76">
        <v>46053</v>
      </c>
      <c r="E1294" s="75" t="s">
        <v>793</v>
      </c>
      <c r="F1294" s="74">
        <v>583.48</v>
      </c>
      <c r="G1294" s="75" t="s">
        <v>539</v>
      </c>
      <c r="H1294" s="77" t="str">
        <f>VLOOKUP(DESPESAS[[#This Row],[Plano de Contas]],BASE!$B$3:$D$119,3,FALSE)</f>
        <v>Royalties</v>
      </c>
      <c r="I1294" s="77" t="str">
        <f>IFERROR(VLOOKUP(DESPESAS[[#This Row],[Fornecedor]],Tabela2[],2,FALSE),"")</f>
        <v/>
      </c>
      <c r="J1294" s="77" t="str">
        <f>IFERROR(VLOOKUP(DESPESAS[[#This Row],[Plano de Contas]],BASE!$B$3:$F$119,4,FALSE),"")</f>
        <v>6 - DESPESA COM VENDAS</v>
      </c>
      <c r="K1294" s="77" t="str">
        <f>IFERROR(VLOOKUP(DESPESAS[[#This Row],[Plano de Contas]],BASE!$B$3:$H$119,5,FALSE),"")</f>
        <v>COMERCIAL</v>
      </c>
      <c r="L1294" s="77">
        <f>IFERROR(VLOOKUP(DESPESAS[[#This Row],[Plano de Contas]],BASE!$B$3:$H$119,6,FALSE),"")</f>
        <v>0</v>
      </c>
      <c r="M1294" s="77" t="str">
        <f>VLOOKUP(DESPESAS[[#This Row],[Plano de Contas]],BASE!$B$3:$H$119,7,FALSE)</f>
        <v>LETÍCIA</v>
      </c>
    </row>
    <row r="1295" spans="1:13" x14ac:dyDescent="0.25">
      <c r="A1295" s="74">
        <v>197943</v>
      </c>
      <c r="B1295" s="75" t="s">
        <v>279</v>
      </c>
      <c r="C1295" s="75" t="s">
        <v>2432</v>
      </c>
      <c r="D1295" s="76">
        <v>46053</v>
      </c>
      <c r="E1295" s="75" t="s">
        <v>540</v>
      </c>
      <c r="F1295" s="74">
        <v>3286.18</v>
      </c>
      <c r="G1295" s="75" t="s">
        <v>539</v>
      </c>
      <c r="H1295" s="77" t="str">
        <f>VLOOKUP(DESPESAS[[#This Row],[Plano de Contas]],BASE!$B$3:$D$119,3,FALSE)</f>
        <v>Royalties</v>
      </c>
      <c r="I1295" s="77" t="str">
        <f>IFERROR(VLOOKUP(DESPESAS[[#This Row],[Fornecedor]],Tabela2[],2,FALSE),"")</f>
        <v/>
      </c>
      <c r="J1295" s="77" t="str">
        <f>IFERROR(VLOOKUP(DESPESAS[[#This Row],[Plano de Contas]],BASE!$B$3:$F$119,4,FALSE),"")</f>
        <v>6 - DESPESA COM VENDAS</v>
      </c>
      <c r="K1295" s="77" t="str">
        <f>IFERROR(VLOOKUP(DESPESAS[[#This Row],[Plano de Contas]],BASE!$B$3:$H$119,5,FALSE),"")</f>
        <v>COMERCIAL</v>
      </c>
      <c r="L1295" s="77">
        <f>IFERROR(VLOOKUP(DESPESAS[[#This Row],[Plano de Contas]],BASE!$B$3:$H$119,6,FALSE),"")</f>
        <v>0</v>
      </c>
      <c r="M1295" s="77" t="str">
        <f>VLOOKUP(DESPESAS[[#This Row],[Plano de Contas]],BASE!$B$3:$H$119,7,FALSE)</f>
        <v>LETÍCIA</v>
      </c>
    </row>
    <row r="1296" spans="1:13" x14ac:dyDescent="0.25">
      <c r="A1296" s="74">
        <v>197944</v>
      </c>
      <c r="B1296" s="75" t="s">
        <v>279</v>
      </c>
      <c r="C1296" s="75" t="s">
        <v>2432</v>
      </c>
      <c r="D1296" s="76">
        <v>46053</v>
      </c>
      <c r="E1296" s="75" t="s">
        <v>795</v>
      </c>
      <c r="F1296" s="74">
        <v>205.95</v>
      </c>
      <c r="G1296" s="75" t="s">
        <v>539</v>
      </c>
      <c r="H1296" s="77" t="str">
        <f>VLOOKUP(DESPESAS[[#This Row],[Plano de Contas]],BASE!$B$3:$D$119,3,FALSE)</f>
        <v>Royalties</v>
      </c>
      <c r="I1296" s="77" t="str">
        <f>IFERROR(VLOOKUP(DESPESAS[[#This Row],[Fornecedor]],Tabela2[],2,FALSE),"")</f>
        <v/>
      </c>
      <c r="J1296" s="77" t="str">
        <f>IFERROR(VLOOKUP(DESPESAS[[#This Row],[Plano de Contas]],BASE!$B$3:$F$119,4,FALSE),"")</f>
        <v>6 - DESPESA COM VENDAS</v>
      </c>
      <c r="K1296" s="77" t="str">
        <f>IFERROR(VLOOKUP(DESPESAS[[#This Row],[Plano de Contas]],BASE!$B$3:$H$119,5,FALSE),"")</f>
        <v>COMERCIAL</v>
      </c>
      <c r="L1296" s="77">
        <f>IFERROR(VLOOKUP(DESPESAS[[#This Row],[Plano de Contas]],BASE!$B$3:$H$119,6,FALSE),"")</f>
        <v>0</v>
      </c>
      <c r="M1296" s="77" t="str">
        <f>VLOOKUP(DESPESAS[[#This Row],[Plano de Contas]],BASE!$B$3:$H$119,7,FALSE)</f>
        <v>LETÍCIA</v>
      </c>
    </row>
    <row r="1297" spans="1:13" x14ac:dyDescent="0.25">
      <c r="A1297" s="74">
        <v>197945</v>
      </c>
      <c r="B1297" s="75" t="s">
        <v>279</v>
      </c>
      <c r="C1297" s="75" t="s">
        <v>2432</v>
      </c>
      <c r="D1297" s="76">
        <v>46053</v>
      </c>
      <c r="E1297" s="75" t="s">
        <v>800</v>
      </c>
      <c r="F1297" s="74">
        <v>348.16</v>
      </c>
      <c r="G1297" s="75" t="s">
        <v>539</v>
      </c>
      <c r="H1297" s="77" t="str">
        <f>VLOOKUP(DESPESAS[[#This Row],[Plano de Contas]],BASE!$B$3:$D$119,3,FALSE)</f>
        <v>Royalties</v>
      </c>
      <c r="I1297" s="77" t="str">
        <f>IFERROR(VLOOKUP(DESPESAS[[#This Row],[Fornecedor]],Tabela2[],2,FALSE),"")</f>
        <v/>
      </c>
      <c r="J1297" s="77" t="str">
        <f>IFERROR(VLOOKUP(DESPESAS[[#This Row],[Plano de Contas]],BASE!$B$3:$F$119,4,FALSE),"")</f>
        <v>6 - DESPESA COM VENDAS</v>
      </c>
      <c r="K1297" s="77" t="str">
        <f>IFERROR(VLOOKUP(DESPESAS[[#This Row],[Plano de Contas]],BASE!$B$3:$H$119,5,FALSE),"")</f>
        <v>COMERCIAL</v>
      </c>
      <c r="L1297" s="77">
        <f>IFERROR(VLOOKUP(DESPESAS[[#This Row],[Plano de Contas]],BASE!$B$3:$H$119,6,FALSE),"")</f>
        <v>0</v>
      </c>
      <c r="M1297" s="77" t="str">
        <f>VLOOKUP(DESPESAS[[#This Row],[Plano de Contas]],BASE!$B$3:$H$119,7,FALSE)</f>
        <v>LETÍCIA</v>
      </c>
    </row>
    <row r="1298" spans="1:13" x14ac:dyDescent="0.25">
      <c r="A1298" s="74">
        <v>197946</v>
      </c>
      <c r="B1298" s="75" t="s">
        <v>279</v>
      </c>
      <c r="C1298" s="75" t="s">
        <v>2432</v>
      </c>
      <c r="D1298" s="76">
        <v>46053</v>
      </c>
      <c r="E1298" s="75" t="s">
        <v>797</v>
      </c>
      <c r="F1298" s="74">
        <v>1614.37</v>
      </c>
      <c r="G1298" s="75" t="s">
        <v>539</v>
      </c>
      <c r="H1298" s="77" t="str">
        <f>VLOOKUP(DESPESAS[[#This Row],[Plano de Contas]],BASE!$B$3:$D$119,3,FALSE)</f>
        <v>Royalties</v>
      </c>
      <c r="I1298" s="77" t="str">
        <f>IFERROR(VLOOKUP(DESPESAS[[#This Row],[Fornecedor]],Tabela2[],2,FALSE),"")</f>
        <v/>
      </c>
      <c r="J1298" s="77" t="str">
        <f>IFERROR(VLOOKUP(DESPESAS[[#This Row],[Plano de Contas]],BASE!$B$3:$F$119,4,FALSE),"")</f>
        <v>6 - DESPESA COM VENDAS</v>
      </c>
      <c r="K1298" s="77" t="str">
        <f>IFERROR(VLOOKUP(DESPESAS[[#This Row],[Plano de Contas]],BASE!$B$3:$H$119,5,FALSE),"")</f>
        <v>COMERCIAL</v>
      </c>
      <c r="L1298" s="77">
        <f>IFERROR(VLOOKUP(DESPESAS[[#This Row],[Plano de Contas]],BASE!$B$3:$H$119,6,FALSE),"")</f>
        <v>0</v>
      </c>
      <c r="M1298" s="77" t="str">
        <f>VLOOKUP(DESPESAS[[#This Row],[Plano de Contas]],BASE!$B$3:$H$119,7,FALSE)</f>
        <v>LETÍCIA</v>
      </c>
    </row>
    <row r="1299" spans="1:13" x14ac:dyDescent="0.25">
      <c r="A1299" s="74">
        <v>197947</v>
      </c>
      <c r="B1299" s="75" t="s">
        <v>221</v>
      </c>
      <c r="C1299" s="75" t="s">
        <v>2431</v>
      </c>
      <c r="D1299" s="76">
        <v>46057</v>
      </c>
      <c r="E1299" s="75" t="s">
        <v>242</v>
      </c>
      <c r="F1299" s="74">
        <v>29.35</v>
      </c>
      <c r="G1299" s="75" t="s">
        <v>247</v>
      </c>
      <c r="H1299" s="77" t="str">
        <f>VLOOKUP(DESPESAS[[#This Row],[Plano de Contas]],BASE!$B$3:$D$119,3,FALSE)</f>
        <v>Manutenção com veiculos</v>
      </c>
      <c r="I1299" s="77" t="str">
        <f>IFERROR(VLOOKUP(DESPESAS[[#This Row],[Fornecedor]],Tabela2[],2,FALSE),"")</f>
        <v/>
      </c>
      <c r="J1299" s="77" t="str">
        <f>IFERROR(VLOOKUP(DESPESAS[[#This Row],[Plano de Contas]],BASE!$B$3:$F$119,4,FALSE),"")</f>
        <v>6 - DESPESA COM VENDAS</v>
      </c>
      <c r="K1299" s="77" t="str">
        <f>IFERROR(VLOOKUP(DESPESAS[[#This Row],[Plano de Contas]],BASE!$B$3:$H$119,5,FALSE),"")</f>
        <v>LOGÍSTICA</v>
      </c>
      <c r="L1299" s="77">
        <f>IFERROR(VLOOKUP(DESPESAS[[#This Row],[Plano de Contas]],BASE!$B$3:$H$119,6,FALSE),"")</f>
        <v>0</v>
      </c>
      <c r="M1299" s="77" t="str">
        <f>VLOOKUP(DESPESAS[[#This Row],[Plano de Contas]],BASE!$B$3:$H$119,7,FALSE)</f>
        <v>MYLENA</v>
      </c>
    </row>
    <row r="1300" spans="1:13" x14ac:dyDescent="0.25">
      <c r="A1300" s="74">
        <v>197948</v>
      </c>
      <c r="B1300" s="75" t="s">
        <v>221</v>
      </c>
      <c r="C1300" s="75" t="s">
        <v>2430</v>
      </c>
      <c r="D1300" s="76">
        <v>46057</v>
      </c>
      <c r="E1300" s="75" t="s">
        <v>242</v>
      </c>
      <c r="F1300" s="74">
        <v>72.5</v>
      </c>
      <c r="G1300" s="75" t="s">
        <v>241</v>
      </c>
      <c r="H1300" s="77" t="str">
        <f>VLOOKUP(DESPESAS[[#This Row],[Plano de Contas]],BASE!$B$3:$D$119,3,FALSE)</f>
        <v>Combustiveis Frota</v>
      </c>
      <c r="I1300" s="77" t="str">
        <f>IFERROR(VLOOKUP(DESPESAS[[#This Row],[Fornecedor]],Tabela2[],2,FALSE),"")</f>
        <v/>
      </c>
      <c r="J1300" s="77" t="str">
        <f>IFERROR(VLOOKUP(DESPESAS[[#This Row],[Plano de Contas]],BASE!$B$3:$F$119,4,FALSE),"")</f>
        <v>6 - DESPESA COM VENDAS</v>
      </c>
      <c r="K1300" s="77" t="str">
        <f>IFERROR(VLOOKUP(DESPESAS[[#This Row],[Plano de Contas]],BASE!$B$3:$H$119,5,FALSE),"")</f>
        <v>LOGÍSTICA</v>
      </c>
      <c r="L1300" s="77">
        <f>IFERROR(VLOOKUP(DESPESAS[[#This Row],[Plano de Contas]],BASE!$B$3:$H$119,6,FALSE),"")</f>
        <v>0</v>
      </c>
      <c r="M1300" s="77" t="str">
        <f>VLOOKUP(DESPESAS[[#This Row],[Plano de Contas]],BASE!$B$3:$H$119,7,FALSE)</f>
        <v>MYLENA</v>
      </c>
    </row>
    <row r="1301" spans="1:13" x14ac:dyDescent="0.25">
      <c r="A1301" s="74">
        <v>197949</v>
      </c>
      <c r="B1301" s="75" t="s">
        <v>221</v>
      </c>
      <c r="C1301" s="75" t="s">
        <v>2429</v>
      </c>
      <c r="D1301" s="76">
        <v>46057</v>
      </c>
      <c r="E1301" s="75" t="s">
        <v>242</v>
      </c>
      <c r="F1301" s="74">
        <v>2098.87</v>
      </c>
      <c r="G1301" s="75" t="s">
        <v>241</v>
      </c>
      <c r="H1301" s="77" t="str">
        <f>VLOOKUP(DESPESAS[[#This Row],[Plano de Contas]],BASE!$B$3:$D$119,3,FALSE)</f>
        <v>Combustiveis Frota</v>
      </c>
      <c r="I1301" s="77" t="str">
        <f>IFERROR(VLOOKUP(DESPESAS[[#This Row],[Fornecedor]],Tabela2[],2,FALSE),"")</f>
        <v/>
      </c>
      <c r="J1301" s="77" t="str">
        <f>IFERROR(VLOOKUP(DESPESAS[[#This Row],[Plano de Contas]],BASE!$B$3:$F$119,4,FALSE),"")</f>
        <v>6 - DESPESA COM VENDAS</v>
      </c>
      <c r="K1301" s="77" t="str">
        <f>IFERROR(VLOOKUP(DESPESAS[[#This Row],[Plano de Contas]],BASE!$B$3:$H$119,5,FALSE),"")</f>
        <v>LOGÍSTICA</v>
      </c>
      <c r="L1301" s="77">
        <f>IFERROR(VLOOKUP(DESPESAS[[#This Row],[Plano de Contas]],BASE!$B$3:$H$119,6,FALSE),"")</f>
        <v>0</v>
      </c>
      <c r="M1301" s="77" t="str">
        <f>VLOOKUP(DESPESAS[[#This Row],[Plano de Contas]],BASE!$B$3:$H$119,7,FALSE)</f>
        <v>MYLENA</v>
      </c>
    </row>
    <row r="1302" spans="1:13" x14ac:dyDescent="0.25">
      <c r="A1302" s="74">
        <v>197950</v>
      </c>
      <c r="B1302" s="75" t="s">
        <v>232</v>
      </c>
      <c r="C1302" s="75" t="s">
        <v>2428</v>
      </c>
      <c r="D1302" s="76">
        <v>46056</v>
      </c>
      <c r="E1302" s="75" t="s">
        <v>230</v>
      </c>
      <c r="F1302" s="74">
        <v>23.3</v>
      </c>
      <c r="G1302" s="75" t="s">
        <v>356</v>
      </c>
      <c r="H1302" s="77" t="str">
        <f>VLOOKUP(DESPESAS[[#This Row],[Plano de Contas]],BASE!$B$3:$D$119,3,FALSE)</f>
        <v>Despesas Cartorárias</v>
      </c>
      <c r="I1302" s="77" t="str">
        <f>IFERROR(VLOOKUP(DESPESAS[[#This Row],[Fornecedor]],Tabela2[],2,FALSE),"")</f>
        <v/>
      </c>
      <c r="J1302" s="77" t="str">
        <f>IFERROR(VLOOKUP(DESPESAS[[#This Row],[Plano de Contas]],BASE!$B$3:$F$119,4,FALSE),"")</f>
        <v>5 - DESPESAS ADMINISTRATIVAS</v>
      </c>
      <c r="K1302" s="77" t="str">
        <f>IFERROR(VLOOKUP(DESPESAS[[#This Row],[Plano de Contas]],BASE!$B$3:$H$119,5,FALSE),"")</f>
        <v>FINANCEIRO</v>
      </c>
      <c r="L1302" s="77">
        <f>IFERROR(VLOOKUP(DESPESAS[[#This Row],[Plano de Contas]],BASE!$B$3:$H$119,6,FALSE),"")</f>
        <v>0</v>
      </c>
      <c r="M1302" s="77" t="str">
        <f>VLOOKUP(DESPESAS[[#This Row],[Plano de Contas]],BASE!$B$3:$H$119,7,FALSE)</f>
        <v>LETÍCIA</v>
      </c>
    </row>
    <row r="1303" spans="1:13" x14ac:dyDescent="0.25">
      <c r="A1303" s="74">
        <v>197951</v>
      </c>
      <c r="B1303" s="75" t="s">
        <v>279</v>
      </c>
      <c r="C1303" s="75" t="s">
        <v>2426</v>
      </c>
      <c r="D1303" s="76">
        <v>46056</v>
      </c>
      <c r="E1303" s="75" t="s">
        <v>230</v>
      </c>
      <c r="F1303" s="74">
        <v>0.79</v>
      </c>
      <c r="G1303" s="75" t="s">
        <v>229</v>
      </c>
      <c r="H1303" s="77" t="str">
        <f>VLOOKUP(DESPESAS[[#This Row],[Plano de Contas]],BASE!$B$3:$D$119,3,FALSE)</f>
        <v>Despesas Bancarias</v>
      </c>
      <c r="I1303" s="77" t="str">
        <f>IFERROR(VLOOKUP(DESPESAS[[#This Row],[Fornecedor]],Tabela2[],2,FALSE),"")</f>
        <v/>
      </c>
      <c r="J1303" s="77" t="str">
        <f>IFERROR(VLOOKUP(DESPESAS[[#This Row],[Plano de Contas]],BASE!$B$3:$F$119,4,FALSE),"")</f>
        <v>8 - DESPESAS FINANCEIRAS</v>
      </c>
      <c r="K1303" s="77" t="str">
        <f>IFERROR(VLOOKUP(DESPESAS[[#This Row],[Plano de Contas]],BASE!$B$3:$H$119,5,FALSE),"")</f>
        <v>FINANCEIRO</v>
      </c>
      <c r="L1303" s="77">
        <f>IFERROR(VLOOKUP(DESPESAS[[#This Row],[Plano de Contas]],BASE!$B$3:$H$119,6,FALSE),"")</f>
        <v>0</v>
      </c>
      <c r="M1303" s="77" t="str">
        <f>VLOOKUP(DESPESAS[[#This Row],[Plano de Contas]],BASE!$B$3:$H$119,7,FALSE)</f>
        <v>LETÍCIA</v>
      </c>
    </row>
    <row r="1304" spans="1:13" x14ac:dyDescent="0.25">
      <c r="A1304" s="74">
        <v>197952</v>
      </c>
      <c r="B1304" s="75" t="s">
        <v>232</v>
      </c>
      <c r="C1304" s="75" t="s">
        <v>2427</v>
      </c>
      <c r="D1304" s="76">
        <v>46057</v>
      </c>
      <c r="E1304" s="75" t="s">
        <v>230</v>
      </c>
      <c r="F1304" s="74">
        <v>11.06</v>
      </c>
      <c r="G1304" s="75" t="s">
        <v>236</v>
      </c>
      <c r="H1304" s="77" t="str">
        <f>VLOOKUP(DESPESAS[[#This Row],[Plano de Contas]],BASE!$B$3:$D$119,3,FALSE)</f>
        <v>Despesas de Cobranca</v>
      </c>
      <c r="I1304" s="77" t="str">
        <f>IFERROR(VLOOKUP(DESPESAS[[#This Row],[Fornecedor]],Tabela2[],2,FALSE),"")</f>
        <v/>
      </c>
      <c r="J1304" s="77" t="str">
        <f>IFERROR(VLOOKUP(DESPESAS[[#This Row],[Plano de Contas]],BASE!$B$3:$F$119,4,FALSE),"")</f>
        <v>8 - DESPESAS FINANCEIRAS</v>
      </c>
      <c r="K1304" s="77" t="str">
        <f>IFERROR(VLOOKUP(DESPESAS[[#This Row],[Plano de Contas]],BASE!$B$3:$H$119,5,FALSE),"")</f>
        <v>FINANCEIRO</v>
      </c>
      <c r="L1304" s="77">
        <f>IFERROR(VLOOKUP(DESPESAS[[#This Row],[Plano de Contas]],BASE!$B$3:$H$119,6,FALSE),"")</f>
        <v>0</v>
      </c>
      <c r="M1304" s="77" t="str">
        <f>VLOOKUP(DESPESAS[[#This Row],[Plano de Contas]],BASE!$B$3:$H$119,7,FALSE)</f>
        <v>LETÍCIA</v>
      </c>
    </row>
    <row r="1305" spans="1:13" x14ac:dyDescent="0.25">
      <c r="A1305" s="74">
        <v>197953</v>
      </c>
      <c r="B1305" s="75" t="s">
        <v>281</v>
      </c>
      <c r="C1305" s="75" t="s">
        <v>2426</v>
      </c>
      <c r="D1305" s="76">
        <v>46056</v>
      </c>
      <c r="E1305" s="75" t="s">
        <v>230</v>
      </c>
      <c r="F1305" s="74">
        <v>0.79</v>
      </c>
      <c r="G1305" s="75" t="s">
        <v>229</v>
      </c>
      <c r="H1305" s="77" t="str">
        <f>VLOOKUP(DESPESAS[[#This Row],[Plano de Contas]],BASE!$B$3:$D$119,3,FALSE)</f>
        <v>Despesas Bancarias</v>
      </c>
      <c r="I1305" s="77" t="str">
        <f>IFERROR(VLOOKUP(DESPESAS[[#This Row],[Fornecedor]],Tabela2[],2,FALSE),"")</f>
        <v/>
      </c>
      <c r="J1305" s="77" t="str">
        <f>IFERROR(VLOOKUP(DESPESAS[[#This Row],[Plano de Contas]],BASE!$B$3:$F$119,4,FALSE),"")</f>
        <v>8 - DESPESAS FINANCEIRAS</v>
      </c>
      <c r="K1305" s="77" t="str">
        <f>IFERROR(VLOOKUP(DESPESAS[[#This Row],[Plano de Contas]],BASE!$B$3:$H$119,5,FALSE),"")</f>
        <v>FINANCEIRO</v>
      </c>
      <c r="L1305" s="77">
        <f>IFERROR(VLOOKUP(DESPESAS[[#This Row],[Plano de Contas]],BASE!$B$3:$H$119,6,FALSE),"")</f>
        <v>0</v>
      </c>
      <c r="M1305" s="77" t="str">
        <f>VLOOKUP(DESPESAS[[#This Row],[Plano de Contas]],BASE!$B$3:$H$119,7,FALSE)</f>
        <v>LETÍCIA</v>
      </c>
    </row>
    <row r="1306" spans="1:13" x14ac:dyDescent="0.25">
      <c r="A1306" s="74">
        <v>197954</v>
      </c>
      <c r="B1306" s="75" t="s">
        <v>221</v>
      </c>
      <c r="C1306" s="75" t="s">
        <v>2425</v>
      </c>
      <c r="D1306" s="76">
        <v>46056</v>
      </c>
      <c r="E1306" s="75" t="s">
        <v>1394</v>
      </c>
      <c r="F1306" s="74">
        <v>4.75</v>
      </c>
      <c r="G1306" s="75" t="s">
        <v>229</v>
      </c>
      <c r="H1306" s="77" t="str">
        <f>VLOOKUP(DESPESAS[[#This Row],[Plano de Contas]],BASE!$B$3:$D$119,3,FALSE)</f>
        <v>Despesas Bancarias</v>
      </c>
      <c r="I1306" s="77" t="str">
        <f>IFERROR(VLOOKUP(DESPESAS[[#This Row],[Fornecedor]],Tabela2[],2,FALSE),"")</f>
        <v/>
      </c>
      <c r="J1306" s="77" t="str">
        <f>IFERROR(VLOOKUP(DESPESAS[[#This Row],[Plano de Contas]],BASE!$B$3:$F$119,4,FALSE),"")</f>
        <v>8 - DESPESAS FINANCEIRAS</v>
      </c>
      <c r="K1306" s="77" t="str">
        <f>IFERROR(VLOOKUP(DESPESAS[[#This Row],[Plano de Contas]],BASE!$B$3:$H$119,5,FALSE),"")</f>
        <v>FINANCEIRO</v>
      </c>
      <c r="L1306" s="77">
        <f>IFERROR(VLOOKUP(DESPESAS[[#This Row],[Plano de Contas]],BASE!$B$3:$H$119,6,FALSE),"")</f>
        <v>0</v>
      </c>
      <c r="M1306" s="77" t="str">
        <f>VLOOKUP(DESPESAS[[#This Row],[Plano de Contas]],BASE!$B$3:$H$119,7,FALSE)</f>
        <v>LETÍCIA</v>
      </c>
    </row>
    <row r="1307" spans="1:13" x14ac:dyDescent="0.25">
      <c r="A1307" s="74">
        <v>197956</v>
      </c>
      <c r="B1307" s="75" t="s">
        <v>221</v>
      </c>
      <c r="C1307" s="75" t="s">
        <v>2424</v>
      </c>
      <c r="D1307" s="76">
        <v>46057</v>
      </c>
      <c r="E1307" s="75" t="s">
        <v>481</v>
      </c>
      <c r="F1307" s="74">
        <v>280</v>
      </c>
      <c r="G1307" s="75" t="s">
        <v>1318</v>
      </c>
      <c r="H1307" s="77" t="str">
        <f>VLOOKUP(DESPESAS[[#This Row],[Plano de Contas]],BASE!$B$3:$D$119,3,FALSE)</f>
        <v>Feiras e Eventos</v>
      </c>
      <c r="I1307" s="77" t="str">
        <f>IFERROR(VLOOKUP(DESPESAS[[#This Row],[Fornecedor]],Tabela2[],2,FALSE),"")</f>
        <v/>
      </c>
      <c r="J1307" s="77" t="str">
        <f>IFERROR(VLOOKUP(DESPESAS[[#This Row],[Plano de Contas]],BASE!$B$3:$F$119,4,FALSE),"")</f>
        <v>6 - DESPESA COM VENDAS</v>
      </c>
      <c r="K1307" s="77" t="str">
        <f>IFERROR(VLOOKUP(DESPESAS[[#This Row],[Plano de Contas]],BASE!$B$3:$H$119,5,FALSE),"")</f>
        <v>COMERCIAL</v>
      </c>
      <c r="L1307" s="77">
        <f>IFERROR(VLOOKUP(DESPESAS[[#This Row],[Plano de Contas]],BASE!$B$3:$H$119,6,FALSE),"")</f>
        <v>0</v>
      </c>
      <c r="M1307" s="77" t="str">
        <f>VLOOKUP(DESPESAS[[#This Row],[Plano de Contas]],BASE!$B$3:$H$119,7,FALSE)</f>
        <v>THAIS</v>
      </c>
    </row>
    <row r="1308" spans="1:13" x14ac:dyDescent="0.25">
      <c r="A1308" s="74">
        <v>197957</v>
      </c>
      <c r="B1308" s="75" t="s">
        <v>232</v>
      </c>
      <c r="C1308" s="75" t="s">
        <v>2423</v>
      </c>
      <c r="D1308" s="76">
        <v>46052</v>
      </c>
      <c r="E1308" s="75" t="s">
        <v>230</v>
      </c>
      <c r="F1308" s="74">
        <v>4907.32</v>
      </c>
      <c r="G1308" s="75" t="s">
        <v>225</v>
      </c>
      <c r="H1308" s="77" t="str">
        <f>VLOOKUP(DESPESAS[[#This Row],[Plano de Contas]],BASE!$B$3:$D$119,3,FALSE)</f>
        <v>Despesas de Outros Gastos Não Operacionais</v>
      </c>
      <c r="I1308" s="77" t="str">
        <f>IFERROR(VLOOKUP(DESPESAS[[#This Row],[Fornecedor]],Tabela2[],2,FALSE),"")</f>
        <v/>
      </c>
      <c r="J1308" s="77" t="str">
        <f>IFERROR(VLOOKUP(DESPESAS[[#This Row],[Plano de Contas]],BASE!$B$3:$F$119,4,FALSE),"")</f>
        <v>8 - DESPESAS FINANCEIRAS</v>
      </c>
      <c r="K1308" s="77" t="str">
        <f>IFERROR(VLOOKUP(DESPESAS[[#This Row],[Plano de Contas]],BASE!$B$3:$H$119,5,FALSE),"")</f>
        <v>FINANCEIRO</v>
      </c>
      <c r="L1308" s="77">
        <f>IFERROR(VLOOKUP(DESPESAS[[#This Row],[Plano de Contas]],BASE!$B$3:$H$119,6,FALSE),"")</f>
        <v>0</v>
      </c>
      <c r="M1308" s="77" t="str">
        <f>VLOOKUP(DESPESAS[[#This Row],[Plano de Contas]],BASE!$B$3:$H$119,7,FALSE)</f>
        <v>LETÍCIA</v>
      </c>
    </row>
    <row r="1309" spans="1:13" x14ac:dyDescent="0.25">
      <c r="A1309" s="74">
        <v>197958</v>
      </c>
      <c r="B1309" s="75" t="s">
        <v>221</v>
      </c>
      <c r="C1309" s="75" t="s">
        <v>2422</v>
      </c>
      <c r="D1309" s="76">
        <v>46053</v>
      </c>
      <c r="E1309" s="75" t="s">
        <v>2421</v>
      </c>
      <c r="F1309" s="74">
        <v>127</v>
      </c>
      <c r="G1309" s="75" t="s">
        <v>1318</v>
      </c>
      <c r="H1309" s="77" t="str">
        <f>VLOOKUP(DESPESAS[[#This Row],[Plano de Contas]],BASE!$B$3:$D$119,3,FALSE)</f>
        <v>Feiras e Eventos</v>
      </c>
      <c r="I1309" s="77" t="str">
        <f>IFERROR(VLOOKUP(DESPESAS[[#This Row],[Fornecedor]],Tabela2[],2,FALSE),"")</f>
        <v/>
      </c>
      <c r="J1309" s="77" t="str">
        <f>IFERROR(VLOOKUP(DESPESAS[[#This Row],[Plano de Contas]],BASE!$B$3:$F$119,4,FALSE),"")</f>
        <v>6 - DESPESA COM VENDAS</v>
      </c>
      <c r="K1309" s="77" t="str">
        <f>IFERROR(VLOOKUP(DESPESAS[[#This Row],[Plano de Contas]],BASE!$B$3:$H$119,5,FALSE),"")</f>
        <v>COMERCIAL</v>
      </c>
      <c r="L1309" s="77">
        <f>IFERROR(VLOOKUP(DESPESAS[[#This Row],[Plano de Contas]],BASE!$B$3:$H$119,6,FALSE),"")</f>
        <v>0</v>
      </c>
      <c r="M1309" s="77" t="str">
        <f>VLOOKUP(DESPESAS[[#This Row],[Plano de Contas]],BASE!$B$3:$H$119,7,FALSE)</f>
        <v>THAIS</v>
      </c>
    </row>
    <row r="1310" spans="1:13" x14ac:dyDescent="0.25">
      <c r="A1310" s="74">
        <v>197959</v>
      </c>
      <c r="B1310" s="75" t="s">
        <v>221</v>
      </c>
      <c r="C1310" s="75" t="s">
        <v>2420</v>
      </c>
      <c r="D1310" s="76">
        <v>46053</v>
      </c>
      <c r="E1310" s="75" t="s">
        <v>850</v>
      </c>
      <c r="F1310" s="74">
        <v>495</v>
      </c>
      <c r="G1310" s="75" t="s">
        <v>568</v>
      </c>
      <c r="H1310" s="77" t="str">
        <f>VLOOKUP(DESPESAS[[#This Row],[Plano de Contas]],BASE!$B$3:$D$119,3,FALSE)</f>
        <v>Carregamento</v>
      </c>
      <c r="I1310" s="77" t="str">
        <f>IFERROR(VLOOKUP(DESPESAS[[#This Row],[Fornecedor]],Tabela2[],2,FALSE),"")</f>
        <v/>
      </c>
      <c r="J1310" s="77" t="str">
        <f>IFERROR(VLOOKUP(DESPESAS[[#This Row],[Plano de Contas]],BASE!$B$3:$F$119,4,FALSE),"")</f>
        <v>6 - DESPESA COM VENDAS</v>
      </c>
      <c r="K1310" s="77" t="str">
        <f>IFERROR(VLOOKUP(DESPESAS[[#This Row],[Plano de Contas]],BASE!$B$3:$H$119,5,FALSE),"")</f>
        <v>LOGÍSTICA</v>
      </c>
      <c r="L1310" s="77">
        <f>IFERROR(VLOOKUP(DESPESAS[[#This Row],[Plano de Contas]],BASE!$B$3:$H$119,6,FALSE),"")</f>
        <v>0</v>
      </c>
      <c r="M1310" s="77" t="str">
        <f>VLOOKUP(DESPESAS[[#This Row],[Plano de Contas]],BASE!$B$3:$H$119,7,FALSE)</f>
        <v>MYLENA</v>
      </c>
    </row>
    <row r="1311" spans="1:13" x14ac:dyDescent="0.25">
      <c r="A1311" s="74">
        <v>197960</v>
      </c>
      <c r="B1311" s="75" t="s">
        <v>221</v>
      </c>
      <c r="C1311" s="75" t="s">
        <v>2419</v>
      </c>
      <c r="D1311" s="76">
        <v>46053</v>
      </c>
      <c r="E1311" s="75" t="s">
        <v>843</v>
      </c>
      <c r="F1311" s="74">
        <v>20</v>
      </c>
      <c r="G1311" s="75" t="s">
        <v>568</v>
      </c>
      <c r="H1311" s="77" t="str">
        <f>VLOOKUP(DESPESAS[[#This Row],[Plano de Contas]],BASE!$B$3:$D$119,3,FALSE)</f>
        <v>Carregamento</v>
      </c>
      <c r="I1311" s="77" t="str">
        <f>IFERROR(VLOOKUP(DESPESAS[[#This Row],[Fornecedor]],Tabela2[],2,FALSE),"")</f>
        <v/>
      </c>
      <c r="J1311" s="77" t="str">
        <f>IFERROR(VLOOKUP(DESPESAS[[#This Row],[Plano de Contas]],BASE!$B$3:$F$119,4,FALSE),"")</f>
        <v>6 - DESPESA COM VENDAS</v>
      </c>
      <c r="K1311" s="77" t="str">
        <f>IFERROR(VLOOKUP(DESPESAS[[#This Row],[Plano de Contas]],BASE!$B$3:$H$119,5,FALSE),"")</f>
        <v>LOGÍSTICA</v>
      </c>
      <c r="L1311" s="77">
        <f>IFERROR(VLOOKUP(DESPESAS[[#This Row],[Plano de Contas]],BASE!$B$3:$H$119,6,FALSE),"")</f>
        <v>0</v>
      </c>
      <c r="M1311" s="77" t="str">
        <f>VLOOKUP(DESPESAS[[#This Row],[Plano de Contas]],BASE!$B$3:$H$119,7,FALSE)</f>
        <v>MYLENA</v>
      </c>
    </row>
    <row r="1312" spans="1:13" x14ac:dyDescent="0.25">
      <c r="A1312" s="74">
        <v>197961</v>
      </c>
      <c r="B1312" s="75" t="s">
        <v>221</v>
      </c>
      <c r="C1312" s="75" t="s">
        <v>2419</v>
      </c>
      <c r="D1312" s="76">
        <v>46053</v>
      </c>
      <c r="E1312" s="75" t="s">
        <v>913</v>
      </c>
      <c r="F1312" s="74">
        <v>45</v>
      </c>
      <c r="G1312" s="75" t="s">
        <v>568</v>
      </c>
      <c r="H1312" s="77" t="str">
        <f>VLOOKUP(DESPESAS[[#This Row],[Plano de Contas]],BASE!$B$3:$D$119,3,FALSE)</f>
        <v>Carregamento</v>
      </c>
      <c r="I1312" s="77" t="str">
        <f>IFERROR(VLOOKUP(DESPESAS[[#This Row],[Fornecedor]],Tabela2[],2,FALSE),"")</f>
        <v/>
      </c>
      <c r="J1312" s="77" t="str">
        <f>IFERROR(VLOOKUP(DESPESAS[[#This Row],[Plano de Contas]],BASE!$B$3:$F$119,4,FALSE),"")</f>
        <v>6 - DESPESA COM VENDAS</v>
      </c>
      <c r="K1312" s="77" t="str">
        <f>IFERROR(VLOOKUP(DESPESAS[[#This Row],[Plano de Contas]],BASE!$B$3:$H$119,5,FALSE),"")</f>
        <v>LOGÍSTICA</v>
      </c>
      <c r="L1312" s="77">
        <f>IFERROR(VLOOKUP(DESPESAS[[#This Row],[Plano de Contas]],BASE!$B$3:$H$119,6,FALSE),"")</f>
        <v>0</v>
      </c>
      <c r="M1312" s="77" t="str">
        <f>VLOOKUP(DESPESAS[[#This Row],[Plano de Contas]],BASE!$B$3:$H$119,7,FALSE)</f>
        <v>MYLENA</v>
      </c>
    </row>
    <row r="1313" spans="1:13" x14ac:dyDescent="0.25">
      <c r="A1313" s="74">
        <v>197962</v>
      </c>
      <c r="B1313" s="75" t="s">
        <v>221</v>
      </c>
      <c r="C1313" s="75" t="s">
        <v>2418</v>
      </c>
      <c r="D1313" s="76">
        <v>46053</v>
      </c>
      <c r="E1313" s="75" t="s">
        <v>907</v>
      </c>
      <c r="F1313" s="74">
        <v>90</v>
      </c>
      <c r="G1313" s="75" t="s">
        <v>568</v>
      </c>
      <c r="H1313" s="77" t="str">
        <f>VLOOKUP(DESPESAS[[#This Row],[Plano de Contas]],BASE!$B$3:$D$119,3,FALSE)</f>
        <v>Carregamento</v>
      </c>
      <c r="I1313" s="77" t="str">
        <f>IFERROR(VLOOKUP(DESPESAS[[#This Row],[Fornecedor]],Tabela2[],2,FALSE),"")</f>
        <v/>
      </c>
      <c r="J1313" s="77" t="str">
        <f>IFERROR(VLOOKUP(DESPESAS[[#This Row],[Plano de Contas]],BASE!$B$3:$F$119,4,FALSE),"")</f>
        <v>6 - DESPESA COM VENDAS</v>
      </c>
      <c r="K1313" s="77" t="str">
        <f>IFERROR(VLOOKUP(DESPESAS[[#This Row],[Plano de Contas]],BASE!$B$3:$H$119,5,FALSE),"")</f>
        <v>LOGÍSTICA</v>
      </c>
      <c r="L1313" s="77">
        <f>IFERROR(VLOOKUP(DESPESAS[[#This Row],[Plano de Contas]],BASE!$B$3:$H$119,6,FALSE),"")</f>
        <v>0</v>
      </c>
      <c r="M1313" s="77" t="str">
        <f>VLOOKUP(DESPESAS[[#This Row],[Plano de Contas]],BASE!$B$3:$H$119,7,FALSE)</f>
        <v>MYLENA</v>
      </c>
    </row>
    <row r="1314" spans="1:13" x14ac:dyDescent="0.25">
      <c r="A1314" s="74">
        <v>197963</v>
      </c>
      <c r="B1314" s="75" t="s">
        <v>221</v>
      </c>
      <c r="C1314" s="75" t="s">
        <v>2417</v>
      </c>
      <c r="D1314" s="76">
        <v>46053</v>
      </c>
      <c r="E1314" s="75" t="s">
        <v>843</v>
      </c>
      <c r="F1314" s="74">
        <v>270</v>
      </c>
      <c r="G1314" s="75" t="s">
        <v>568</v>
      </c>
      <c r="H1314" s="77" t="str">
        <f>VLOOKUP(DESPESAS[[#This Row],[Plano de Contas]],BASE!$B$3:$D$119,3,FALSE)</f>
        <v>Carregamento</v>
      </c>
      <c r="I1314" s="77" t="str">
        <f>IFERROR(VLOOKUP(DESPESAS[[#This Row],[Fornecedor]],Tabela2[],2,FALSE),"")</f>
        <v/>
      </c>
      <c r="J1314" s="77" t="str">
        <f>IFERROR(VLOOKUP(DESPESAS[[#This Row],[Plano de Contas]],BASE!$B$3:$F$119,4,FALSE),"")</f>
        <v>6 - DESPESA COM VENDAS</v>
      </c>
      <c r="K1314" s="77" t="str">
        <f>IFERROR(VLOOKUP(DESPESAS[[#This Row],[Plano de Contas]],BASE!$B$3:$H$119,5,FALSE),"")</f>
        <v>LOGÍSTICA</v>
      </c>
      <c r="L1314" s="77">
        <f>IFERROR(VLOOKUP(DESPESAS[[#This Row],[Plano de Contas]],BASE!$B$3:$H$119,6,FALSE),"")</f>
        <v>0</v>
      </c>
      <c r="M1314" s="77" t="str">
        <f>VLOOKUP(DESPESAS[[#This Row],[Plano de Contas]],BASE!$B$3:$H$119,7,FALSE)</f>
        <v>MYLENA</v>
      </c>
    </row>
    <row r="1315" spans="1:13" x14ac:dyDescent="0.25">
      <c r="A1315" s="74">
        <v>197964</v>
      </c>
      <c r="B1315" s="75" t="s">
        <v>221</v>
      </c>
      <c r="C1315" s="75" t="s">
        <v>2416</v>
      </c>
      <c r="D1315" s="76">
        <v>46053</v>
      </c>
      <c r="E1315" s="75" t="s">
        <v>847</v>
      </c>
      <c r="F1315" s="74">
        <v>315</v>
      </c>
      <c r="G1315" s="75" t="s">
        <v>568</v>
      </c>
      <c r="H1315" s="77" t="str">
        <f>VLOOKUP(DESPESAS[[#This Row],[Plano de Contas]],BASE!$B$3:$D$119,3,FALSE)</f>
        <v>Carregamento</v>
      </c>
      <c r="I1315" s="77" t="str">
        <f>IFERROR(VLOOKUP(DESPESAS[[#This Row],[Fornecedor]],Tabela2[],2,FALSE),"")</f>
        <v/>
      </c>
      <c r="J1315" s="77" t="str">
        <f>IFERROR(VLOOKUP(DESPESAS[[#This Row],[Plano de Contas]],BASE!$B$3:$F$119,4,FALSE),"")</f>
        <v>6 - DESPESA COM VENDAS</v>
      </c>
      <c r="K1315" s="77" t="str">
        <f>IFERROR(VLOOKUP(DESPESAS[[#This Row],[Plano de Contas]],BASE!$B$3:$H$119,5,FALSE),"")</f>
        <v>LOGÍSTICA</v>
      </c>
      <c r="L1315" s="77">
        <f>IFERROR(VLOOKUP(DESPESAS[[#This Row],[Plano de Contas]],BASE!$B$3:$H$119,6,FALSE),"")</f>
        <v>0</v>
      </c>
      <c r="M1315" s="77" t="str">
        <f>VLOOKUP(DESPESAS[[#This Row],[Plano de Contas]],BASE!$B$3:$H$119,7,FALSE)</f>
        <v>MYLENA</v>
      </c>
    </row>
    <row r="1316" spans="1:13" x14ac:dyDescent="0.25">
      <c r="A1316" s="74">
        <v>197965</v>
      </c>
      <c r="B1316" s="75" t="s">
        <v>221</v>
      </c>
      <c r="C1316" s="75" t="s">
        <v>2416</v>
      </c>
      <c r="D1316" s="76">
        <v>46053</v>
      </c>
      <c r="E1316" s="75" t="s">
        <v>845</v>
      </c>
      <c r="F1316" s="74">
        <v>315</v>
      </c>
      <c r="G1316" s="75" t="s">
        <v>568</v>
      </c>
      <c r="H1316" s="77" t="str">
        <f>VLOOKUP(DESPESAS[[#This Row],[Plano de Contas]],BASE!$B$3:$D$119,3,FALSE)</f>
        <v>Carregamento</v>
      </c>
      <c r="I1316" s="77" t="str">
        <f>IFERROR(VLOOKUP(DESPESAS[[#This Row],[Fornecedor]],Tabela2[],2,FALSE),"")</f>
        <v/>
      </c>
      <c r="J1316" s="77" t="str">
        <f>IFERROR(VLOOKUP(DESPESAS[[#This Row],[Plano de Contas]],BASE!$B$3:$F$119,4,FALSE),"")</f>
        <v>6 - DESPESA COM VENDAS</v>
      </c>
      <c r="K1316" s="77" t="str">
        <f>IFERROR(VLOOKUP(DESPESAS[[#This Row],[Plano de Contas]],BASE!$B$3:$H$119,5,FALSE),"")</f>
        <v>LOGÍSTICA</v>
      </c>
      <c r="L1316" s="77">
        <f>IFERROR(VLOOKUP(DESPESAS[[#This Row],[Plano de Contas]],BASE!$B$3:$H$119,6,FALSE),"")</f>
        <v>0</v>
      </c>
      <c r="M1316" s="77" t="str">
        <f>VLOOKUP(DESPESAS[[#This Row],[Plano de Contas]],BASE!$B$3:$H$119,7,FALSE)</f>
        <v>MYLENA</v>
      </c>
    </row>
    <row r="1317" spans="1:13" x14ac:dyDescent="0.25">
      <c r="A1317" s="74">
        <v>197966</v>
      </c>
      <c r="B1317" s="75" t="s">
        <v>221</v>
      </c>
      <c r="C1317" s="75" t="s">
        <v>2415</v>
      </c>
      <c r="D1317" s="76">
        <v>46053</v>
      </c>
      <c r="E1317" s="75" t="s">
        <v>762</v>
      </c>
      <c r="F1317" s="74">
        <v>405</v>
      </c>
      <c r="G1317" s="75" t="s">
        <v>568</v>
      </c>
      <c r="H1317" s="77" t="str">
        <f>VLOOKUP(DESPESAS[[#This Row],[Plano de Contas]],BASE!$B$3:$D$119,3,FALSE)</f>
        <v>Carregamento</v>
      </c>
      <c r="I1317" s="77" t="str">
        <f>IFERROR(VLOOKUP(DESPESAS[[#This Row],[Fornecedor]],Tabela2[],2,FALSE),"")</f>
        <v/>
      </c>
      <c r="J1317" s="77" t="str">
        <f>IFERROR(VLOOKUP(DESPESAS[[#This Row],[Plano de Contas]],BASE!$B$3:$F$119,4,FALSE),"")</f>
        <v>6 - DESPESA COM VENDAS</v>
      </c>
      <c r="K1317" s="77" t="str">
        <f>IFERROR(VLOOKUP(DESPESAS[[#This Row],[Plano de Contas]],BASE!$B$3:$H$119,5,FALSE),"")</f>
        <v>LOGÍSTICA</v>
      </c>
      <c r="L1317" s="77">
        <f>IFERROR(VLOOKUP(DESPESAS[[#This Row],[Plano de Contas]],BASE!$B$3:$H$119,6,FALSE),"")</f>
        <v>0</v>
      </c>
      <c r="M1317" s="77" t="str">
        <f>VLOOKUP(DESPESAS[[#This Row],[Plano de Contas]],BASE!$B$3:$H$119,7,FALSE)</f>
        <v>MYLENA</v>
      </c>
    </row>
    <row r="1318" spans="1:13" x14ac:dyDescent="0.25">
      <c r="A1318" s="74">
        <v>197967</v>
      </c>
      <c r="B1318" s="75" t="s">
        <v>221</v>
      </c>
      <c r="C1318" s="75" t="s">
        <v>2414</v>
      </c>
      <c r="D1318" s="76">
        <v>46057</v>
      </c>
      <c r="E1318" s="75" t="s">
        <v>399</v>
      </c>
      <c r="F1318" s="74">
        <v>113.6</v>
      </c>
      <c r="G1318" s="75" t="s">
        <v>1342</v>
      </c>
      <c r="H1318" s="77" t="str">
        <f>VLOOKUP(DESPESAS[[#This Row],[Plano de Contas]],BASE!$B$3:$D$119,3,FALSE)</f>
        <v>Copa</v>
      </c>
      <c r="I1318" s="77" t="str">
        <f>IFERROR(VLOOKUP(DESPESAS[[#This Row],[Fornecedor]],Tabela2[],2,FALSE),"")</f>
        <v/>
      </c>
      <c r="J1318" s="77" t="str">
        <f>IFERROR(VLOOKUP(DESPESAS[[#This Row],[Plano de Contas]],BASE!$B$3:$F$119,4,FALSE),"")</f>
        <v>5 - DESPESAS ADMINISTRATIVAS</v>
      </c>
      <c r="K1318" s="77" t="str">
        <f>IFERROR(VLOOKUP(DESPESAS[[#This Row],[Plano de Contas]],BASE!$B$3:$H$119,5,FALSE),"")</f>
        <v>ADMINISTRATIVO</v>
      </c>
      <c r="L1318" s="77">
        <f>IFERROR(VLOOKUP(DESPESAS[[#This Row],[Plano de Contas]],BASE!$B$3:$H$119,6,FALSE),"")</f>
        <v>0</v>
      </c>
      <c r="M1318" s="77" t="str">
        <f>VLOOKUP(DESPESAS[[#This Row],[Plano de Contas]],BASE!$B$3:$H$119,7,FALSE)</f>
        <v>LETÍCIA</v>
      </c>
    </row>
    <row r="1319" spans="1:13" x14ac:dyDescent="0.25">
      <c r="A1319" s="74">
        <v>197968</v>
      </c>
      <c r="B1319" s="75" t="s">
        <v>221</v>
      </c>
      <c r="C1319" s="75" t="s">
        <v>2413</v>
      </c>
      <c r="D1319" s="76">
        <v>46048</v>
      </c>
      <c r="E1319" s="75" t="s">
        <v>347</v>
      </c>
      <c r="F1319" s="74">
        <v>35.93</v>
      </c>
      <c r="G1319" s="75" t="s">
        <v>1318</v>
      </c>
      <c r="H1319" s="77" t="str">
        <f>VLOOKUP(DESPESAS[[#This Row],[Plano de Contas]],BASE!$B$3:$D$119,3,FALSE)</f>
        <v>Feiras e Eventos</v>
      </c>
      <c r="I1319" s="77" t="str">
        <f>IFERROR(VLOOKUP(DESPESAS[[#This Row],[Fornecedor]],Tabela2[],2,FALSE),"")</f>
        <v/>
      </c>
      <c r="J1319" s="77" t="str">
        <f>IFERROR(VLOOKUP(DESPESAS[[#This Row],[Plano de Contas]],BASE!$B$3:$F$119,4,FALSE),"")</f>
        <v>6 - DESPESA COM VENDAS</v>
      </c>
      <c r="K1319" s="77" t="str">
        <f>IFERROR(VLOOKUP(DESPESAS[[#This Row],[Plano de Contas]],BASE!$B$3:$H$119,5,FALSE),"")</f>
        <v>COMERCIAL</v>
      </c>
      <c r="L1319" s="77">
        <f>IFERROR(VLOOKUP(DESPESAS[[#This Row],[Plano de Contas]],BASE!$B$3:$H$119,6,FALSE),"")</f>
        <v>0</v>
      </c>
      <c r="M1319" s="77" t="str">
        <f>VLOOKUP(DESPESAS[[#This Row],[Plano de Contas]],BASE!$B$3:$H$119,7,FALSE)</f>
        <v>THAIS</v>
      </c>
    </row>
    <row r="1320" spans="1:13" x14ac:dyDescent="0.25">
      <c r="A1320" s="74">
        <v>197981</v>
      </c>
      <c r="B1320" s="75" t="s">
        <v>221</v>
      </c>
      <c r="C1320" s="75" t="s">
        <v>2404</v>
      </c>
      <c r="D1320" s="76">
        <v>46053</v>
      </c>
      <c r="E1320" s="75" t="s">
        <v>347</v>
      </c>
      <c r="F1320" s="74">
        <v>176.8</v>
      </c>
      <c r="G1320" s="75" t="s">
        <v>1318</v>
      </c>
      <c r="H1320" s="77" t="str">
        <f>VLOOKUP(DESPESAS[[#This Row],[Plano de Contas]],BASE!$B$3:$D$119,3,FALSE)</f>
        <v>Feiras e Eventos</v>
      </c>
      <c r="I1320" s="77" t="str">
        <f>IFERROR(VLOOKUP(DESPESAS[[#This Row],[Fornecedor]],Tabela2[],2,FALSE),"")</f>
        <v/>
      </c>
      <c r="J1320" s="77" t="str">
        <f>IFERROR(VLOOKUP(DESPESAS[[#This Row],[Plano de Contas]],BASE!$B$3:$F$119,4,FALSE),"")</f>
        <v>6 - DESPESA COM VENDAS</v>
      </c>
      <c r="K1320" s="77" t="str">
        <f>IFERROR(VLOOKUP(DESPESAS[[#This Row],[Plano de Contas]],BASE!$B$3:$H$119,5,FALSE),"")</f>
        <v>COMERCIAL</v>
      </c>
      <c r="L1320" s="77">
        <f>IFERROR(VLOOKUP(DESPESAS[[#This Row],[Plano de Contas]],BASE!$B$3:$H$119,6,FALSE),"")</f>
        <v>0</v>
      </c>
      <c r="M1320" s="77" t="str">
        <f>VLOOKUP(DESPESAS[[#This Row],[Plano de Contas]],BASE!$B$3:$H$119,7,FALSE)</f>
        <v>THAIS</v>
      </c>
    </row>
    <row r="1321" spans="1:13" x14ac:dyDescent="0.25">
      <c r="A1321" s="74">
        <v>197982</v>
      </c>
      <c r="B1321" s="75" t="s">
        <v>221</v>
      </c>
      <c r="C1321" s="75" t="s">
        <v>2401</v>
      </c>
      <c r="D1321" s="76">
        <v>46053</v>
      </c>
      <c r="E1321" s="75" t="s">
        <v>347</v>
      </c>
      <c r="F1321" s="74">
        <v>33.869999999999997</v>
      </c>
      <c r="G1321" s="75" t="s">
        <v>1318</v>
      </c>
      <c r="H1321" s="77" t="str">
        <f>VLOOKUP(DESPESAS[[#This Row],[Plano de Contas]],BASE!$B$3:$D$119,3,FALSE)</f>
        <v>Feiras e Eventos</v>
      </c>
      <c r="I1321" s="77" t="str">
        <f>IFERROR(VLOOKUP(DESPESAS[[#This Row],[Fornecedor]],Tabela2[],2,FALSE),"")</f>
        <v/>
      </c>
      <c r="J1321" s="77" t="str">
        <f>IFERROR(VLOOKUP(DESPESAS[[#This Row],[Plano de Contas]],BASE!$B$3:$F$119,4,FALSE),"")</f>
        <v>6 - DESPESA COM VENDAS</v>
      </c>
      <c r="K1321" s="77" t="str">
        <f>IFERROR(VLOOKUP(DESPESAS[[#This Row],[Plano de Contas]],BASE!$B$3:$H$119,5,FALSE),"")</f>
        <v>COMERCIAL</v>
      </c>
      <c r="L1321" s="77">
        <f>IFERROR(VLOOKUP(DESPESAS[[#This Row],[Plano de Contas]],BASE!$B$3:$H$119,6,FALSE),"")</f>
        <v>0</v>
      </c>
      <c r="M1321" s="77" t="str">
        <f>VLOOKUP(DESPESAS[[#This Row],[Plano de Contas]],BASE!$B$3:$H$119,7,FALSE)</f>
        <v>THAIS</v>
      </c>
    </row>
    <row r="1322" spans="1:13" x14ac:dyDescent="0.25">
      <c r="A1322" s="74">
        <v>197983</v>
      </c>
      <c r="B1322" s="75" t="s">
        <v>221</v>
      </c>
      <c r="C1322" s="75" t="s">
        <v>2391</v>
      </c>
      <c r="D1322" s="76">
        <v>46053</v>
      </c>
      <c r="E1322" s="75" t="s">
        <v>347</v>
      </c>
      <c r="F1322" s="74">
        <v>442.8</v>
      </c>
      <c r="G1322" s="75" t="s">
        <v>1318</v>
      </c>
      <c r="H1322" s="77" t="str">
        <f>VLOOKUP(DESPESAS[[#This Row],[Plano de Contas]],BASE!$B$3:$D$119,3,FALSE)</f>
        <v>Feiras e Eventos</v>
      </c>
      <c r="I1322" s="77" t="str">
        <f>IFERROR(VLOOKUP(DESPESAS[[#This Row],[Fornecedor]],Tabela2[],2,FALSE),"")</f>
        <v/>
      </c>
      <c r="J1322" s="77" t="str">
        <f>IFERROR(VLOOKUP(DESPESAS[[#This Row],[Plano de Contas]],BASE!$B$3:$F$119,4,FALSE),"")</f>
        <v>6 - DESPESA COM VENDAS</v>
      </c>
      <c r="K1322" s="77" t="str">
        <f>IFERROR(VLOOKUP(DESPESAS[[#This Row],[Plano de Contas]],BASE!$B$3:$H$119,5,FALSE),"")</f>
        <v>COMERCIAL</v>
      </c>
      <c r="L1322" s="77">
        <f>IFERROR(VLOOKUP(DESPESAS[[#This Row],[Plano de Contas]],BASE!$B$3:$H$119,6,FALSE),"")</f>
        <v>0</v>
      </c>
      <c r="M1322" s="77" t="str">
        <f>VLOOKUP(DESPESAS[[#This Row],[Plano de Contas]],BASE!$B$3:$H$119,7,FALSE)</f>
        <v>THAIS</v>
      </c>
    </row>
    <row r="1323" spans="1:13" x14ac:dyDescent="0.25">
      <c r="A1323" s="74">
        <v>197984</v>
      </c>
      <c r="B1323" s="75" t="s">
        <v>221</v>
      </c>
      <c r="C1323" s="75" t="s">
        <v>2391</v>
      </c>
      <c r="D1323" s="76">
        <v>46053</v>
      </c>
      <c r="E1323" s="75" t="s">
        <v>347</v>
      </c>
      <c r="F1323" s="74">
        <v>10.98</v>
      </c>
      <c r="G1323" s="75" t="s">
        <v>1318</v>
      </c>
      <c r="H1323" s="77" t="str">
        <f>VLOOKUP(DESPESAS[[#This Row],[Plano de Contas]],BASE!$B$3:$D$119,3,FALSE)</f>
        <v>Feiras e Eventos</v>
      </c>
      <c r="I1323" s="77" t="str">
        <f>IFERROR(VLOOKUP(DESPESAS[[#This Row],[Fornecedor]],Tabela2[],2,FALSE),"")</f>
        <v/>
      </c>
      <c r="J1323" s="77" t="str">
        <f>IFERROR(VLOOKUP(DESPESAS[[#This Row],[Plano de Contas]],BASE!$B$3:$F$119,4,FALSE),"")</f>
        <v>6 - DESPESA COM VENDAS</v>
      </c>
      <c r="K1323" s="77" t="str">
        <f>IFERROR(VLOOKUP(DESPESAS[[#This Row],[Plano de Contas]],BASE!$B$3:$H$119,5,FALSE),"")</f>
        <v>COMERCIAL</v>
      </c>
      <c r="L1323" s="77">
        <f>IFERROR(VLOOKUP(DESPESAS[[#This Row],[Plano de Contas]],BASE!$B$3:$H$119,6,FALSE),"")</f>
        <v>0</v>
      </c>
      <c r="M1323" s="77" t="str">
        <f>VLOOKUP(DESPESAS[[#This Row],[Plano de Contas]],BASE!$B$3:$H$119,7,FALSE)</f>
        <v>THAIS</v>
      </c>
    </row>
    <row r="1324" spans="1:13" x14ac:dyDescent="0.25">
      <c r="A1324" s="74">
        <v>197985</v>
      </c>
      <c r="B1324" s="75" t="s">
        <v>221</v>
      </c>
      <c r="C1324" s="75" t="s">
        <v>2401</v>
      </c>
      <c r="D1324" s="76">
        <v>46053</v>
      </c>
      <c r="E1324" s="75" t="s">
        <v>347</v>
      </c>
      <c r="F1324" s="74">
        <v>81.78</v>
      </c>
      <c r="G1324" s="75" t="s">
        <v>1318</v>
      </c>
      <c r="H1324" s="77" t="str">
        <f>VLOOKUP(DESPESAS[[#This Row],[Plano de Contas]],BASE!$B$3:$D$119,3,FALSE)</f>
        <v>Feiras e Eventos</v>
      </c>
      <c r="I1324" s="77" t="str">
        <f>IFERROR(VLOOKUP(DESPESAS[[#This Row],[Fornecedor]],Tabela2[],2,FALSE),"")</f>
        <v/>
      </c>
      <c r="J1324" s="77" t="str">
        <f>IFERROR(VLOOKUP(DESPESAS[[#This Row],[Plano de Contas]],BASE!$B$3:$F$119,4,FALSE),"")</f>
        <v>6 - DESPESA COM VENDAS</v>
      </c>
      <c r="K1324" s="77" t="str">
        <f>IFERROR(VLOOKUP(DESPESAS[[#This Row],[Plano de Contas]],BASE!$B$3:$H$119,5,FALSE),"")</f>
        <v>COMERCIAL</v>
      </c>
      <c r="L1324" s="77">
        <f>IFERROR(VLOOKUP(DESPESAS[[#This Row],[Plano de Contas]],BASE!$B$3:$H$119,6,FALSE),"")</f>
        <v>0</v>
      </c>
      <c r="M1324" s="77" t="str">
        <f>VLOOKUP(DESPESAS[[#This Row],[Plano de Contas]],BASE!$B$3:$H$119,7,FALSE)</f>
        <v>THAIS</v>
      </c>
    </row>
    <row r="1325" spans="1:13" x14ac:dyDescent="0.25">
      <c r="A1325" s="74">
        <v>197986</v>
      </c>
      <c r="B1325" s="75" t="s">
        <v>221</v>
      </c>
      <c r="C1325" s="75" t="s">
        <v>2399</v>
      </c>
      <c r="D1325" s="76">
        <v>46053</v>
      </c>
      <c r="E1325" s="75" t="s">
        <v>347</v>
      </c>
      <c r="F1325" s="74">
        <v>279</v>
      </c>
      <c r="G1325" s="75" t="s">
        <v>572</v>
      </c>
      <c r="H1325" s="77" t="str">
        <f>VLOOKUP(DESPESAS[[#This Row],[Plano de Contas]],BASE!$B$3:$D$119,3,FALSE)</f>
        <v>Comissões sobre Vendas Externo</v>
      </c>
      <c r="I1325" s="77" t="str">
        <f>IFERROR(VLOOKUP(DESPESAS[[#This Row],[Fornecedor]],Tabela2[],2,FALSE),"")</f>
        <v/>
      </c>
      <c r="J1325" s="77" t="str">
        <f>IFERROR(VLOOKUP(DESPESAS[[#This Row],[Plano de Contas]],BASE!$B$3:$F$119,4,FALSE),"")</f>
        <v>6 - DESPESA COM VENDAS</v>
      </c>
      <c r="K1325" s="77" t="str">
        <f>IFERROR(VLOOKUP(DESPESAS[[#This Row],[Plano de Contas]],BASE!$B$3:$H$119,5,FALSE),"")</f>
        <v>COMERCIAL</v>
      </c>
      <c r="L1325" s="77">
        <f>IFERROR(VLOOKUP(DESPESAS[[#This Row],[Plano de Contas]],BASE!$B$3:$H$119,6,FALSE),"")</f>
        <v>0</v>
      </c>
      <c r="M1325" s="77" t="str">
        <f>VLOOKUP(DESPESAS[[#This Row],[Plano de Contas]],BASE!$B$3:$H$119,7,FALSE)</f>
        <v>LETÍCIA</v>
      </c>
    </row>
    <row r="1326" spans="1:13" x14ac:dyDescent="0.25">
      <c r="A1326" s="74">
        <v>197987</v>
      </c>
      <c r="B1326" s="75" t="s">
        <v>221</v>
      </c>
      <c r="C1326" s="75" t="s">
        <v>2403</v>
      </c>
      <c r="D1326" s="76">
        <v>46053</v>
      </c>
      <c r="E1326" s="75" t="s">
        <v>347</v>
      </c>
      <c r="F1326" s="74">
        <v>82.1</v>
      </c>
      <c r="G1326" s="75" t="s">
        <v>1318</v>
      </c>
      <c r="H1326" s="77" t="str">
        <f>VLOOKUP(DESPESAS[[#This Row],[Plano de Contas]],BASE!$B$3:$D$119,3,FALSE)</f>
        <v>Feiras e Eventos</v>
      </c>
      <c r="I1326" s="77" t="str">
        <f>IFERROR(VLOOKUP(DESPESAS[[#This Row],[Fornecedor]],Tabela2[],2,FALSE),"")</f>
        <v/>
      </c>
      <c r="J1326" s="77" t="str">
        <f>IFERROR(VLOOKUP(DESPESAS[[#This Row],[Plano de Contas]],BASE!$B$3:$F$119,4,FALSE),"")</f>
        <v>6 - DESPESA COM VENDAS</v>
      </c>
      <c r="K1326" s="77" t="str">
        <f>IFERROR(VLOOKUP(DESPESAS[[#This Row],[Plano de Contas]],BASE!$B$3:$H$119,5,FALSE),"")</f>
        <v>COMERCIAL</v>
      </c>
      <c r="L1326" s="77">
        <f>IFERROR(VLOOKUP(DESPESAS[[#This Row],[Plano de Contas]],BASE!$B$3:$H$119,6,FALSE),"")</f>
        <v>0</v>
      </c>
      <c r="M1326" s="77" t="str">
        <f>VLOOKUP(DESPESAS[[#This Row],[Plano de Contas]],BASE!$B$3:$H$119,7,FALSE)</f>
        <v>THAIS</v>
      </c>
    </row>
    <row r="1327" spans="1:13" x14ac:dyDescent="0.25">
      <c r="A1327" s="74">
        <v>197988</v>
      </c>
      <c r="B1327" s="75" t="s">
        <v>221</v>
      </c>
      <c r="C1327" s="75" t="s">
        <v>2401</v>
      </c>
      <c r="D1327" s="76">
        <v>46053</v>
      </c>
      <c r="E1327" s="75" t="s">
        <v>347</v>
      </c>
      <c r="F1327" s="74">
        <v>51.06</v>
      </c>
      <c r="G1327" s="75" t="s">
        <v>1318</v>
      </c>
      <c r="H1327" s="77" t="str">
        <f>VLOOKUP(DESPESAS[[#This Row],[Plano de Contas]],BASE!$B$3:$D$119,3,FALSE)</f>
        <v>Feiras e Eventos</v>
      </c>
      <c r="I1327" s="77" t="str">
        <f>IFERROR(VLOOKUP(DESPESAS[[#This Row],[Fornecedor]],Tabela2[],2,FALSE),"")</f>
        <v/>
      </c>
      <c r="J1327" s="77" t="str">
        <f>IFERROR(VLOOKUP(DESPESAS[[#This Row],[Plano de Contas]],BASE!$B$3:$F$119,4,FALSE),"")</f>
        <v>6 - DESPESA COM VENDAS</v>
      </c>
      <c r="K1327" s="77" t="str">
        <f>IFERROR(VLOOKUP(DESPESAS[[#This Row],[Plano de Contas]],BASE!$B$3:$H$119,5,FALSE),"")</f>
        <v>COMERCIAL</v>
      </c>
      <c r="L1327" s="77">
        <f>IFERROR(VLOOKUP(DESPESAS[[#This Row],[Plano de Contas]],BASE!$B$3:$H$119,6,FALSE),"")</f>
        <v>0</v>
      </c>
      <c r="M1327" s="77" t="str">
        <f>VLOOKUP(DESPESAS[[#This Row],[Plano de Contas]],BASE!$B$3:$H$119,7,FALSE)</f>
        <v>THAIS</v>
      </c>
    </row>
    <row r="1328" spans="1:13" x14ac:dyDescent="0.25">
      <c r="A1328" s="74">
        <v>197989</v>
      </c>
      <c r="B1328" s="75" t="s">
        <v>221</v>
      </c>
      <c r="C1328" s="75" t="s">
        <v>2404</v>
      </c>
      <c r="D1328" s="76">
        <v>46053</v>
      </c>
      <c r="E1328" s="75" t="s">
        <v>347</v>
      </c>
      <c r="F1328" s="74">
        <v>45.89</v>
      </c>
      <c r="G1328" s="75" t="s">
        <v>1318</v>
      </c>
      <c r="H1328" s="77" t="str">
        <f>VLOOKUP(DESPESAS[[#This Row],[Plano de Contas]],BASE!$B$3:$D$119,3,FALSE)</f>
        <v>Feiras e Eventos</v>
      </c>
      <c r="I1328" s="77" t="str">
        <f>IFERROR(VLOOKUP(DESPESAS[[#This Row],[Fornecedor]],Tabela2[],2,FALSE),"")</f>
        <v/>
      </c>
      <c r="J1328" s="77" t="str">
        <f>IFERROR(VLOOKUP(DESPESAS[[#This Row],[Plano de Contas]],BASE!$B$3:$F$119,4,FALSE),"")</f>
        <v>6 - DESPESA COM VENDAS</v>
      </c>
      <c r="K1328" s="77" t="str">
        <f>IFERROR(VLOOKUP(DESPESAS[[#This Row],[Plano de Contas]],BASE!$B$3:$H$119,5,FALSE),"")</f>
        <v>COMERCIAL</v>
      </c>
      <c r="L1328" s="77">
        <f>IFERROR(VLOOKUP(DESPESAS[[#This Row],[Plano de Contas]],BASE!$B$3:$H$119,6,FALSE),"")</f>
        <v>0</v>
      </c>
      <c r="M1328" s="77" t="str">
        <f>VLOOKUP(DESPESAS[[#This Row],[Plano de Contas]],BASE!$B$3:$H$119,7,FALSE)</f>
        <v>THAIS</v>
      </c>
    </row>
    <row r="1329" spans="1:13" x14ac:dyDescent="0.25">
      <c r="A1329" s="74">
        <v>197990</v>
      </c>
      <c r="B1329" s="75" t="s">
        <v>221</v>
      </c>
      <c r="C1329" s="75" t="s">
        <v>2383</v>
      </c>
      <c r="D1329" s="76">
        <v>46053</v>
      </c>
      <c r="E1329" s="75" t="s">
        <v>347</v>
      </c>
      <c r="F1329" s="74">
        <v>228.28</v>
      </c>
      <c r="G1329" s="75" t="s">
        <v>1318</v>
      </c>
      <c r="H1329" s="77" t="str">
        <f>VLOOKUP(DESPESAS[[#This Row],[Plano de Contas]],BASE!$B$3:$D$119,3,FALSE)</f>
        <v>Feiras e Eventos</v>
      </c>
      <c r="I1329" s="77" t="str">
        <f>IFERROR(VLOOKUP(DESPESAS[[#This Row],[Fornecedor]],Tabela2[],2,FALSE),"")</f>
        <v/>
      </c>
      <c r="J1329" s="77" t="str">
        <f>IFERROR(VLOOKUP(DESPESAS[[#This Row],[Plano de Contas]],BASE!$B$3:$F$119,4,FALSE),"")</f>
        <v>6 - DESPESA COM VENDAS</v>
      </c>
      <c r="K1329" s="77" t="str">
        <f>IFERROR(VLOOKUP(DESPESAS[[#This Row],[Plano de Contas]],BASE!$B$3:$H$119,5,FALSE),"")</f>
        <v>COMERCIAL</v>
      </c>
      <c r="L1329" s="77">
        <f>IFERROR(VLOOKUP(DESPESAS[[#This Row],[Plano de Contas]],BASE!$B$3:$H$119,6,FALSE),"")</f>
        <v>0</v>
      </c>
      <c r="M1329" s="77" t="str">
        <f>VLOOKUP(DESPESAS[[#This Row],[Plano de Contas]],BASE!$B$3:$H$119,7,FALSE)</f>
        <v>THAIS</v>
      </c>
    </row>
    <row r="1330" spans="1:13" x14ac:dyDescent="0.25">
      <c r="A1330" s="74">
        <v>197991</v>
      </c>
      <c r="B1330" s="75" t="s">
        <v>232</v>
      </c>
      <c r="C1330" s="75" t="s">
        <v>2412</v>
      </c>
      <c r="D1330" s="76">
        <v>46057</v>
      </c>
      <c r="E1330" s="75" t="s">
        <v>2411</v>
      </c>
      <c r="F1330" s="74">
        <v>800</v>
      </c>
      <c r="G1330" s="75" t="s">
        <v>294</v>
      </c>
      <c r="H1330" s="77" t="str">
        <f>VLOOKUP(DESPESAS[[#This Row],[Plano de Contas]],BASE!$B$3:$D$119,3,FALSE)</f>
        <v>Insumos de Clientes</v>
      </c>
      <c r="I1330" s="77" t="str">
        <f>IFERROR(VLOOKUP(DESPESAS[[#This Row],[Fornecedor]],Tabela2[],2,FALSE),"")</f>
        <v/>
      </c>
      <c r="J1330" s="77" t="str">
        <f>IFERROR(VLOOKUP(DESPESAS[[#This Row],[Plano de Contas]],BASE!$B$3:$F$119,4,FALSE),"")</f>
        <v>8 - DESPESAS FINANCEIRAS</v>
      </c>
      <c r="K1330" s="77" t="str">
        <f>IFERROR(VLOOKUP(DESPESAS[[#This Row],[Plano de Contas]],BASE!$B$3:$H$119,5,FALSE),"")</f>
        <v>COMERCIAL</v>
      </c>
      <c r="L1330" s="77">
        <f>IFERROR(VLOOKUP(DESPESAS[[#This Row],[Plano de Contas]],BASE!$B$3:$H$119,6,FALSE),"")</f>
        <v>0</v>
      </c>
      <c r="M1330" s="77" t="str">
        <f>VLOOKUP(DESPESAS[[#This Row],[Plano de Contas]],BASE!$B$3:$H$119,7,FALSE)</f>
        <v>LETÍCIA</v>
      </c>
    </row>
    <row r="1331" spans="1:13" x14ac:dyDescent="0.25">
      <c r="A1331" s="74">
        <v>197992</v>
      </c>
      <c r="B1331" s="75" t="s">
        <v>221</v>
      </c>
      <c r="C1331" s="75" t="s">
        <v>2383</v>
      </c>
      <c r="D1331" s="76">
        <v>46053</v>
      </c>
      <c r="E1331" s="75" t="s">
        <v>347</v>
      </c>
      <c r="F1331" s="74">
        <v>47.8</v>
      </c>
      <c r="G1331" s="75" t="s">
        <v>1318</v>
      </c>
      <c r="H1331" s="77" t="str">
        <f>VLOOKUP(DESPESAS[[#This Row],[Plano de Contas]],BASE!$B$3:$D$119,3,FALSE)</f>
        <v>Feiras e Eventos</v>
      </c>
      <c r="I1331" s="77" t="str">
        <f>IFERROR(VLOOKUP(DESPESAS[[#This Row],[Fornecedor]],Tabela2[],2,FALSE),"")</f>
        <v/>
      </c>
      <c r="J1331" s="77" t="str">
        <f>IFERROR(VLOOKUP(DESPESAS[[#This Row],[Plano de Contas]],BASE!$B$3:$F$119,4,FALSE),"")</f>
        <v>6 - DESPESA COM VENDAS</v>
      </c>
      <c r="K1331" s="77" t="str">
        <f>IFERROR(VLOOKUP(DESPESAS[[#This Row],[Plano de Contas]],BASE!$B$3:$H$119,5,FALSE),"")</f>
        <v>COMERCIAL</v>
      </c>
      <c r="L1331" s="77">
        <f>IFERROR(VLOOKUP(DESPESAS[[#This Row],[Plano de Contas]],BASE!$B$3:$H$119,6,FALSE),"")</f>
        <v>0</v>
      </c>
      <c r="M1331" s="77" t="str">
        <f>VLOOKUP(DESPESAS[[#This Row],[Plano de Contas]],BASE!$B$3:$H$119,7,FALSE)</f>
        <v>THAIS</v>
      </c>
    </row>
    <row r="1332" spans="1:13" x14ac:dyDescent="0.25">
      <c r="A1332" s="74">
        <v>197994</v>
      </c>
      <c r="B1332" s="75" t="s">
        <v>221</v>
      </c>
      <c r="C1332" s="75" t="s">
        <v>2383</v>
      </c>
      <c r="D1332" s="76">
        <v>46053</v>
      </c>
      <c r="E1332" s="75" t="s">
        <v>347</v>
      </c>
      <c r="F1332" s="74">
        <v>98.7</v>
      </c>
      <c r="G1332" s="75" t="s">
        <v>1318</v>
      </c>
      <c r="H1332" s="77" t="str">
        <f>VLOOKUP(DESPESAS[[#This Row],[Plano de Contas]],BASE!$B$3:$D$119,3,FALSE)</f>
        <v>Feiras e Eventos</v>
      </c>
      <c r="I1332" s="77" t="str">
        <f>IFERROR(VLOOKUP(DESPESAS[[#This Row],[Fornecedor]],Tabela2[],2,FALSE),"")</f>
        <v/>
      </c>
      <c r="J1332" s="77" t="str">
        <f>IFERROR(VLOOKUP(DESPESAS[[#This Row],[Plano de Contas]],BASE!$B$3:$F$119,4,FALSE),"")</f>
        <v>6 - DESPESA COM VENDAS</v>
      </c>
      <c r="K1332" s="77" t="str">
        <f>IFERROR(VLOOKUP(DESPESAS[[#This Row],[Plano de Contas]],BASE!$B$3:$H$119,5,FALSE),"")</f>
        <v>COMERCIAL</v>
      </c>
      <c r="L1332" s="77">
        <f>IFERROR(VLOOKUP(DESPESAS[[#This Row],[Plano de Contas]],BASE!$B$3:$H$119,6,FALSE),"")</f>
        <v>0</v>
      </c>
      <c r="M1332" s="77" t="str">
        <f>VLOOKUP(DESPESAS[[#This Row],[Plano de Contas]],BASE!$B$3:$H$119,7,FALSE)</f>
        <v>THAIS</v>
      </c>
    </row>
    <row r="1333" spans="1:13" x14ac:dyDescent="0.25">
      <c r="A1333" s="74">
        <v>197995</v>
      </c>
      <c r="B1333" s="75" t="s">
        <v>232</v>
      </c>
      <c r="C1333" s="75" t="s">
        <v>2410</v>
      </c>
      <c r="D1333" s="76">
        <v>46057</v>
      </c>
      <c r="E1333" s="75" t="s">
        <v>2409</v>
      </c>
      <c r="F1333" s="74">
        <v>1028.2</v>
      </c>
      <c r="G1333" s="75" t="s">
        <v>294</v>
      </c>
      <c r="H1333" s="77" t="str">
        <f>VLOOKUP(DESPESAS[[#This Row],[Plano de Contas]],BASE!$B$3:$D$119,3,FALSE)</f>
        <v>Insumos de Clientes</v>
      </c>
      <c r="I1333" s="77" t="str">
        <f>IFERROR(VLOOKUP(DESPESAS[[#This Row],[Fornecedor]],Tabela2[],2,FALSE),"")</f>
        <v/>
      </c>
      <c r="J1333" s="77" t="str">
        <f>IFERROR(VLOOKUP(DESPESAS[[#This Row],[Plano de Contas]],BASE!$B$3:$F$119,4,FALSE),"")</f>
        <v>8 - DESPESAS FINANCEIRAS</v>
      </c>
      <c r="K1333" s="77" t="str">
        <f>IFERROR(VLOOKUP(DESPESAS[[#This Row],[Plano de Contas]],BASE!$B$3:$H$119,5,FALSE),"")</f>
        <v>COMERCIAL</v>
      </c>
      <c r="L1333" s="77">
        <f>IFERROR(VLOOKUP(DESPESAS[[#This Row],[Plano de Contas]],BASE!$B$3:$H$119,6,FALSE),"")</f>
        <v>0</v>
      </c>
      <c r="M1333" s="77" t="str">
        <f>VLOOKUP(DESPESAS[[#This Row],[Plano de Contas]],BASE!$B$3:$H$119,7,FALSE)</f>
        <v>LETÍCIA</v>
      </c>
    </row>
    <row r="1334" spans="1:13" x14ac:dyDescent="0.25">
      <c r="A1334" s="74">
        <v>197996</v>
      </c>
      <c r="B1334" s="75" t="s">
        <v>232</v>
      </c>
      <c r="C1334" s="75" t="s">
        <v>2408</v>
      </c>
      <c r="D1334" s="76">
        <v>46057</v>
      </c>
      <c r="E1334" s="75" t="s">
        <v>2407</v>
      </c>
      <c r="F1334" s="74">
        <v>658.5</v>
      </c>
      <c r="G1334" s="75" t="s">
        <v>247</v>
      </c>
      <c r="H1334" s="77" t="str">
        <f>VLOOKUP(DESPESAS[[#This Row],[Plano de Contas]],BASE!$B$3:$D$119,3,FALSE)</f>
        <v>Manutenção com veiculos</v>
      </c>
      <c r="I1334" s="77" t="str">
        <f>IFERROR(VLOOKUP(DESPESAS[[#This Row],[Fornecedor]],Tabela2[],2,FALSE),"")</f>
        <v/>
      </c>
      <c r="J1334" s="77" t="str">
        <f>IFERROR(VLOOKUP(DESPESAS[[#This Row],[Plano de Contas]],BASE!$B$3:$F$119,4,FALSE),"")</f>
        <v>6 - DESPESA COM VENDAS</v>
      </c>
      <c r="K1334" s="77" t="str">
        <f>IFERROR(VLOOKUP(DESPESAS[[#This Row],[Plano de Contas]],BASE!$B$3:$H$119,5,FALSE),"")</f>
        <v>LOGÍSTICA</v>
      </c>
      <c r="L1334" s="77">
        <f>IFERROR(VLOOKUP(DESPESAS[[#This Row],[Plano de Contas]],BASE!$B$3:$H$119,6,FALSE),"")</f>
        <v>0</v>
      </c>
      <c r="M1334" s="77" t="str">
        <f>VLOOKUP(DESPESAS[[#This Row],[Plano de Contas]],BASE!$B$3:$H$119,7,FALSE)</f>
        <v>MYLENA</v>
      </c>
    </row>
    <row r="1335" spans="1:13" x14ac:dyDescent="0.25">
      <c r="A1335" s="74">
        <v>197997</v>
      </c>
      <c r="B1335" s="75" t="s">
        <v>221</v>
      </c>
      <c r="C1335" s="75" t="s">
        <v>2406</v>
      </c>
      <c r="D1335" s="76">
        <v>46057</v>
      </c>
      <c r="E1335" s="75" t="s">
        <v>1177</v>
      </c>
      <c r="F1335" s="74">
        <v>200</v>
      </c>
      <c r="G1335" s="75" t="s">
        <v>247</v>
      </c>
      <c r="H1335" s="77" t="str">
        <f>VLOOKUP(DESPESAS[[#This Row],[Plano de Contas]],BASE!$B$3:$D$119,3,FALSE)</f>
        <v>Manutenção com veiculos</v>
      </c>
      <c r="I1335" s="77" t="str">
        <f>IFERROR(VLOOKUP(DESPESAS[[#This Row],[Fornecedor]],Tabela2[],2,FALSE),"")</f>
        <v/>
      </c>
      <c r="J1335" s="77" t="str">
        <f>IFERROR(VLOOKUP(DESPESAS[[#This Row],[Plano de Contas]],BASE!$B$3:$F$119,4,FALSE),"")</f>
        <v>6 - DESPESA COM VENDAS</v>
      </c>
      <c r="K1335" s="77" t="str">
        <f>IFERROR(VLOOKUP(DESPESAS[[#This Row],[Plano de Contas]],BASE!$B$3:$H$119,5,FALSE),"")</f>
        <v>LOGÍSTICA</v>
      </c>
      <c r="L1335" s="77">
        <f>IFERROR(VLOOKUP(DESPESAS[[#This Row],[Plano de Contas]],BASE!$B$3:$H$119,6,FALSE),"")</f>
        <v>0</v>
      </c>
      <c r="M1335" s="77" t="str">
        <f>VLOOKUP(DESPESAS[[#This Row],[Plano de Contas]],BASE!$B$3:$H$119,7,FALSE)</f>
        <v>MYLENA</v>
      </c>
    </row>
    <row r="1336" spans="1:13" x14ac:dyDescent="0.25">
      <c r="A1336" s="74">
        <v>197998</v>
      </c>
      <c r="B1336" s="75" t="s">
        <v>221</v>
      </c>
      <c r="C1336" s="75" t="s">
        <v>2394</v>
      </c>
      <c r="D1336" s="76">
        <v>46053</v>
      </c>
      <c r="E1336" s="75" t="s">
        <v>347</v>
      </c>
      <c r="F1336" s="74">
        <v>255.15</v>
      </c>
      <c r="G1336" s="75" t="s">
        <v>1318</v>
      </c>
      <c r="H1336" s="77" t="str">
        <f>VLOOKUP(DESPESAS[[#This Row],[Plano de Contas]],BASE!$B$3:$D$119,3,FALSE)</f>
        <v>Feiras e Eventos</v>
      </c>
      <c r="I1336" s="77" t="str">
        <f>IFERROR(VLOOKUP(DESPESAS[[#This Row],[Fornecedor]],Tabela2[],2,FALSE),"")</f>
        <v/>
      </c>
      <c r="J1336" s="77" t="str">
        <f>IFERROR(VLOOKUP(DESPESAS[[#This Row],[Plano de Contas]],BASE!$B$3:$F$119,4,FALSE),"")</f>
        <v>6 - DESPESA COM VENDAS</v>
      </c>
      <c r="K1336" s="77" t="str">
        <f>IFERROR(VLOOKUP(DESPESAS[[#This Row],[Plano de Contas]],BASE!$B$3:$H$119,5,FALSE),"")</f>
        <v>COMERCIAL</v>
      </c>
      <c r="L1336" s="77">
        <f>IFERROR(VLOOKUP(DESPESAS[[#This Row],[Plano de Contas]],BASE!$B$3:$H$119,6,FALSE),"")</f>
        <v>0</v>
      </c>
      <c r="M1336" s="77" t="str">
        <f>VLOOKUP(DESPESAS[[#This Row],[Plano de Contas]],BASE!$B$3:$H$119,7,FALSE)</f>
        <v>THAIS</v>
      </c>
    </row>
    <row r="1337" spans="1:13" x14ac:dyDescent="0.25">
      <c r="A1337" s="74">
        <v>197999</v>
      </c>
      <c r="B1337" s="75" t="s">
        <v>221</v>
      </c>
      <c r="C1337" s="75" t="s">
        <v>2394</v>
      </c>
      <c r="D1337" s="76">
        <v>46053</v>
      </c>
      <c r="E1337" s="75" t="s">
        <v>347</v>
      </c>
      <c r="F1337" s="74">
        <v>85.05</v>
      </c>
      <c r="G1337" s="75" t="s">
        <v>1318</v>
      </c>
      <c r="H1337" s="77" t="str">
        <f>VLOOKUP(DESPESAS[[#This Row],[Plano de Contas]],BASE!$B$3:$D$119,3,FALSE)</f>
        <v>Feiras e Eventos</v>
      </c>
      <c r="I1337" s="77" t="str">
        <f>IFERROR(VLOOKUP(DESPESAS[[#This Row],[Fornecedor]],Tabela2[],2,FALSE),"")</f>
        <v/>
      </c>
      <c r="J1337" s="77" t="str">
        <f>IFERROR(VLOOKUP(DESPESAS[[#This Row],[Plano de Contas]],BASE!$B$3:$F$119,4,FALSE),"")</f>
        <v>6 - DESPESA COM VENDAS</v>
      </c>
      <c r="K1337" s="77" t="str">
        <f>IFERROR(VLOOKUP(DESPESAS[[#This Row],[Plano de Contas]],BASE!$B$3:$H$119,5,FALSE),"")</f>
        <v>COMERCIAL</v>
      </c>
      <c r="L1337" s="77">
        <f>IFERROR(VLOOKUP(DESPESAS[[#This Row],[Plano de Contas]],BASE!$B$3:$H$119,6,FALSE),"")</f>
        <v>0</v>
      </c>
      <c r="M1337" s="77" t="str">
        <f>VLOOKUP(DESPESAS[[#This Row],[Plano de Contas]],BASE!$B$3:$H$119,7,FALSE)</f>
        <v>THAIS</v>
      </c>
    </row>
    <row r="1338" spans="1:13" x14ac:dyDescent="0.25">
      <c r="A1338" s="74">
        <v>198000</v>
      </c>
      <c r="B1338" s="75" t="s">
        <v>221</v>
      </c>
      <c r="C1338" s="75" t="s">
        <v>2395</v>
      </c>
      <c r="D1338" s="76">
        <v>46053</v>
      </c>
      <c r="E1338" s="75" t="s">
        <v>347</v>
      </c>
      <c r="F1338" s="74">
        <v>218.51</v>
      </c>
      <c r="G1338" s="75" t="s">
        <v>1318</v>
      </c>
      <c r="H1338" s="77" t="str">
        <f>VLOOKUP(DESPESAS[[#This Row],[Plano de Contas]],BASE!$B$3:$D$119,3,FALSE)</f>
        <v>Feiras e Eventos</v>
      </c>
      <c r="I1338" s="77" t="str">
        <f>IFERROR(VLOOKUP(DESPESAS[[#This Row],[Fornecedor]],Tabela2[],2,FALSE),"")</f>
        <v/>
      </c>
      <c r="J1338" s="77" t="str">
        <f>IFERROR(VLOOKUP(DESPESAS[[#This Row],[Plano de Contas]],BASE!$B$3:$F$119,4,FALSE),"")</f>
        <v>6 - DESPESA COM VENDAS</v>
      </c>
      <c r="K1338" s="77" t="str">
        <f>IFERROR(VLOOKUP(DESPESAS[[#This Row],[Plano de Contas]],BASE!$B$3:$H$119,5,FALSE),"")</f>
        <v>COMERCIAL</v>
      </c>
      <c r="L1338" s="77">
        <f>IFERROR(VLOOKUP(DESPESAS[[#This Row],[Plano de Contas]],BASE!$B$3:$H$119,6,FALSE),"")</f>
        <v>0</v>
      </c>
      <c r="M1338" s="77" t="str">
        <f>VLOOKUP(DESPESAS[[#This Row],[Plano de Contas]],BASE!$B$3:$H$119,7,FALSE)</f>
        <v>THAIS</v>
      </c>
    </row>
    <row r="1339" spans="1:13" x14ac:dyDescent="0.25">
      <c r="A1339" s="74">
        <v>198001</v>
      </c>
      <c r="B1339" s="75" t="s">
        <v>221</v>
      </c>
      <c r="C1339" s="75" t="s">
        <v>2405</v>
      </c>
      <c r="D1339" s="76">
        <v>46053</v>
      </c>
      <c r="E1339" s="75" t="s">
        <v>347</v>
      </c>
      <c r="F1339" s="74">
        <v>2307.46</v>
      </c>
      <c r="G1339" s="75" t="s">
        <v>1318</v>
      </c>
      <c r="H1339" s="77" t="str">
        <f>VLOOKUP(DESPESAS[[#This Row],[Plano de Contas]],BASE!$B$3:$D$119,3,FALSE)</f>
        <v>Feiras e Eventos</v>
      </c>
      <c r="I1339" s="77" t="str">
        <f>IFERROR(VLOOKUP(DESPESAS[[#This Row],[Fornecedor]],Tabela2[],2,FALSE),"")</f>
        <v/>
      </c>
      <c r="J1339" s="77" t="str">
        <f>IFERROR(VLOOKUP(DESPESAS[[#This Row],[Plano de Contas]],BASE!$B$3:$F$119,4,FALSE),"")</f>
        <v>6 - DESPESA COM VENDAS</v>
      </c>
      <c r="K1339" s="77" t="str">
        <f>IFERROR(VLOOKUP(DESPESAS[[#This Row],[Plano de Contas]],BASE!$B$3:$H$119,5,FALSE),"")</f>
        <v>COMERCIAL</v>
      </c>
      <c r="L1339" s="77">
        <f>IFERROR(VLOOKUP(DESPESAS[[#This Row],[Plano de Contas]],BASE!$B$3:$H$119,6,FALSE),"")</f>
        <v>0</v>
      </c>
      <c r="M1339" s="77" t="str">
        <f>VLOOKUP(DESPESAS[[#This Row],[Plano de Contas]],BASE!$B$3:$H$119,7,FALSE)</f>
        <v>THAIS</v>
      </c>
    </row>
    <row r="1340" spans="1:13" x14ac:dyDescent="0.25">
      <c r="A1340" s="74">
        <v>198002</v>
      </c>
      <c r="B1340" s="75" t="s">
        <v>221</v>
      </c>
      <c r="C1340" s="75" t="s">
        <v>2380</v>
      </c>
      <c r="D1340" s="76">
        <v>46053</v>
      </c>
      <c r="E1340" s="75" t="s">
        <v>347</v>
      </c>
      <c r="F1340" s="74">
        <v>1375.52</v>
      </c>
      <c r="G1340" s="75" t="s">
        <v>1318</v>
      </c>
      <c r="H1340" s="77" t="str">
        <f>VLOOKUP(DESPESAS[[#This Row],[Plano de Contas]],BASE!$B$3:$D$119,3,FALSE)</f>
        <v>Feiras e Eventos</v>
      </c>
      <c r="I1340" s="77" t="str">
        <f>IFERROR(VLOOKUP(DESPESAS[[#This Row],[Fornecedor]],Tabela2[],2,FALSE),"")</f>
        <v/>
      </c>
      <c r="J1340" s="77" t="str">
        <f>IFERROR(VLOOKUP(DESPESAS[[#This Row],[Plano de Contas]],BASE!$B$3:$F$119,4,FALSE),"")</f>
        <v>6 - DESPESA COM VENDAS</v>
      </c>
      <c r="K1340" s="77" t="str">
        <f>IFERROR(VLOOKUP(DESPESAS[[#This Row],[Plano de Contas]],BASE!$B$3:$H$119,5,FALSE),"")</f>
        <v>COMERCIAL</v>
      </c>
      <c r="L1340" s="77">
        <f>IFERROR(VLOOKUP(DESPESAS[[#This Row],[Plano de Contas]],BASE!$B$3:$H$119,6,FALSE),"")</f>
        <v>0</v>
      </c>
      <c r="M1340" s="77" t="str">
        <f>VLOOKUP(DESPESAS[[#This Row],[Plano de Contas]],BASE!$B$3:$H$119,7,FALSE)</f>
        <v>THAIS</v>
      </c>
    </row>
    <row r="1341" spans="1:13" x14ac:dyDescent="0.25">
      <c r="A1341" s="74">
        <v>198004</v>
      </c>
      <c r="B1341" s="75" t="s">
        <v>221</v>
      </c>
      <c r="C1341" s="75" t="s">
        <v>2401</v>
      </c>
      <c r="D1341" s="76">
        <v>46053</v>
      </c>
      <c r="E1341" s="75" t="s">
        <v>347</v>
      </c>
      <c r="F1341" s="74">
        <v>177.18</v>
      </c>
      <c r="G1341" s="75" t="s">
        <v>1318</v>
      </c>
      <c r="H1341" s="77" t="str">
        <f>VLOOKUP(DESPESAS[[#This Row],[Plano de Contas]],BASE!$B$3:$D$119,3,FALSE)</f>
        <v>Feiras e Eventos</v>
      </c>
      <c r="I1341" s="77" t="str">
        <f>IFERROR(VLOOKUP(DESPESAS[[#This Row],[Fornecedor]],Tabela2[],2,FALSE),"")</f>
        <v/>
      </c>
      <c r="J1341" s="77" t="str">
        <f>IFERROR(VLOOKUP(DESPESAS[[#This Row],[Plano de Contas]],BASE!$B$3:$F$119,4,FALSE),"")</f>
        <v>6 - DESPESA COM VENDAS</v>
      </c>
      <c r="K1341" s="77" t="str">
        <f>IFERROR(VLOOKUP(DESPESAS[[#This Row],[Plano de Contas]],BASE!$B$3:$H$119,5,FALSE),"")</f>
        <v>COMERCIAL</v>
      </c>
      <c r="L1341" s="77">
        <f>IFERROR(VLOOKUP(DESPESAS[[#This Row],[Plano de Contas]],BASE!$B$3:$H$119,6,FALSE),"")</f>
        <v>0</v>
      </c>
      <c r="M1341" s="77" t="str">
        <f>VLOOKUP(DESPESAS[[#This Row],[Plano de Contas]],BASE!$B$3:$H$119,7,FALSE)</f>
        <v>THAIS</v>
      </c>
    </row>
    <row r="1342" spans="1:13" x14ac:dyDescent="0.25">
      <c r="A1342" s="74">
        <v>198005</v>
      </c>
      <c r="B1342" s="75" t="s">
        <v>221</v>
      </c>
      <c r="C1342" s="75" t="s">
        <v>2404</v>
      </c>
      <c r="D1342" s="76">
        <v>46053</v>
      </c>
      <c r="E1342" s="75" t="s">
        <v>347</v>
      </c>
      <c r="F1342" s="74">
        <v>37.9</v>
      </c>
      <c r="G1342" s="75" t="s">
        <v>1318</v>
      </c>
      <c r="H1342" s="77" t="str">
        <f>VLOOKUP(DESPESAS[[#This Row],[Plano de Contas]],BASE!$B$3:$D$119,3,FALSE)</f>
        <v>Feiras e Eventos</v>
      </c>
      <c r="I1342" s="77" t="str">
        <f>IFERROR(VLOOKUP(DESPESAS[[#This Row],[Fornecedor]],Tabela2[],2,FALSE),"")</f>
        <v/>
      </c>
      <c r="J1342" s="77" t="str">
        <f>IFERROR(VLOOKUP(DESPESAS[[#This Row],[Plano de Contas]],BASE!$B$3:$F$119,4,FALSE),"")</f>
        <v>6 - DESPESA COM VENDAS</v>
      </c>
      <c r="K1342" s="77" t="str">
        <f>IFERROR(VLOOKUP(DESPESAS[[#This Row],[Plano de Contas]],BASE!$B$3:$H$119,5,FALSE),"")</f>
        <v>COMERCIAL</v>
      </c>
      <c r="L1342" s="77">
        <f>IFERROR(VLOOKUP(DESPESAS[[#This Row],[Plano de Contas]],BASE!$B$3:$H$119,6,FALSE),"")</f>
        <v>0</v>
      </c>
      <c r="M1342" s="77" t="str">
        <f>VLOOKUP(DESPESAS[[#This Row],[Plano de Contas]],BASE!$B$3:$H$119,7,FALSE)</f>
        <v>THAIS</v>
      </c>
    </row>
    <row r="1343" spans="1:13" x14ac:dyDescent="0.25">
      <c r="A1343" s="74">
        <v>198006</v>
      </c>
      <c r="B1343" s="75" t="s">
        <v>221</v>
      </c>
      <c r="C1343" s="75" t="s">
        <v>2403</v>
      </c>
      <c r="D1343" s="76">
        <v>46053</v>
      </c>
      <c r="E1343" s="75" t="s">
        <v>347</v>
      </c>
      <c r="F1343" s="74">
        <v>367.25</v>
      </c>
      <c r="G1343" s="75" t="s">
        <v>1318</v>
      </c>
      <c r="H1343" s="77" t="str">
        <f>VLOOKUP(DESPESAS[[#This Row],[Plano de Contas]],BASE!$B$3:$D$119,3,FALSE)</f>
        <v>Feiras e Eventos</v>
      </c>
      <c r="I1343" s="77" t="str">
        <f>IFERROR(VLOOKUP(DESPESAS[[#This Row],[Fornecedor]],Tabela2[],2,FALSE),"")</f>
        <v/>
      </c>
      <c r="J1343" s="77" t="str">
        <f>IFERROR(VLOOKUP(DESPESAS[[#This Row],[Plano de Contas]],BASE!$B$3:$F$119,4,FALSE),"")</f>
        <v>6 - DESPESA COM VENDAS</v>
      </c>
      <c r="K1343" s="77" t="str">
        <f>IFERROR(VLOOKUP(DESPESAS[[#This Row],[Plano de Contas]],BASE!$B$3:$H$119,5,FALSE),"")</f>
        <v>COMERCIAL</v>
      </c>
      <c r="L1343" s="77">
        <f>IFERROR(VLOOKUP(DESPESAS[[#This Row],[Plano de Contas]],BASE!$B$3:$H$119,6,FALSE),"")</f>
        <v>0</v>
      </c>
      <c r="M1343" s="77" t="str">
        <f>VLOOKUP(DESPESAS[[#This Row],[Plano de Contas]],BASE!$B$3:$H$119,7,FALSE)</f>
        <v>THAIS</v>
      </c>
    </row>
    <row r="1344" spans="1:13" x14ac:dyDescent="0.25">
      <c r="A1344" s="74">
        <v>198007</v>
      </c>
      <c r="B1344" s="75" t="s">
        <v>221</v>
      </c>
      <c r="C1344" s="75" t="s">
        <v>2403</v>
      </c>
      <c r="D1344" s="76">
        <v>46053</v>
      </c>
      <c r="E1344" s="75" t="s">
        <v>347</v>
      </c>
      <c r="F1344" s="74">
        <v>468.53</v>
      </c>
      <c r="G1344" s="75" t="s">
        <v>1318</v>
      </c>
      <c r="H1344" s="77" t="str">
        <f>VLOOKUP(DESPESAS[[#This Row],[Plano de Contas]],BASE!$B$3:$D$119,3,FALSE)</f>
        <v>Feiras e Eventos</v>
      </c>
      <c r="I1344" s="77" t="str">
        <f>IFERROR(VLOOKUP(DESPESAS[[#This Row],[Fornecedor]],Tabela2[],2,FALSE),"")</f>
        <v/>
      </c>
      <c r="J1344" s="77" t="str">
        <f>IFERROR(VLOOKUP(DESPESAS[[#This Row],[Plano de Contas]],BASE!$B$3:$F$119,4,FALSE),"")</f>
        <v>6 - DESPESA COM VENDAS</v>
      </c>
      <c r="K1344" s="77" t="str">
        <f>IFERROR(VLOOKUP(DESPESAS[[#This Row],[Plano de Contas]],BASE!$B$3:$H$119,5,FALSE),"")</f>
        <v>COMERCIAL</v>
      </c>
      <c r="L1344" s="77">
        <f>IFERROR(VLOOKUP(DESPESAS[[#This Row],[Plano de Contas]],BASE!$B$3:$H$119,6,FALSE),"")</f>
        <v>0</v>
      </c>
      <c r="M1344" s="77" t="str">
        <f>VLOOKUP(DESPESAS[[#This Row],[Plano de Contas]],BASE!$B$3:$H$119,7,FALSE)</f>
        <v>THAIS</v>
      </c>
    </row>
    <row r="1345" spans="1:13" x14ac:dyDescent="0.25">
      <c r="A1345" s="74">
        <v>198008</v>
      </c>
      <c r="B1345" s="75" t="s">
        <v>221</v>
      </c>
      <c r="C1345" s="75" t="s">
        <v>2402</v>
      </c>
      <c r="D1345" s="76">
        <v>46057</v>
      </c>
      <c r="E1345" s="75" t="s">
        <v>307</v>
      </c>
      <c r="F1345" s="74">
        <v>118</v>
      </c>
      <c r="G1345" s="75" t="s">
        <v>1037</v>
      </c>
      <c r="H1345" s="77" t="str">
        <f>VLOOKUP(DESPESAS[[#This Row],[Plano de Contas]],BASE!$B$3:$D$119,3,FALSE)</f>
        <v>Construções e Reformas</v>
      </c>
      <c r="I1345" s="77" t="str">
        <f>IFERROR(VLOOKUP(DESPESAS[[#This Row],[Fornecedor]],Tabela2[],2,FALSE),"")</f>
        <v>FERRAGENS GERAIS</v>
      </c>
      <c r="J1345" s="77" t="str">
        <f>IFERROR(VLOOKUP(DESPESAS[[#This Row],[Plano de Contas]],BASE!$B$3:$F$119,4,FALSE),"")</f>
        <v>9 - INVESTIMENTOS</v>
      </c>
      <c r="K1345" s="77" t="str">
        <f>IFERROR(VLOOKUP(DESPESAS[[#This Row],[Plano de Contas]],BASE!$B$3:$H$119,5,FALSE),"")</f>
        <v>MANUTENÇÃO / TI</v>
      </c>
      <c r="L1345" s="77">
        <f>IFERROR(VLOOKUP(DESPESAS[[#This Row],[Plano de Contas]],BASE!$B$3:$H$119,6,FALSE),"")</f>
        <v>0</v>
      </c>
      <c r="M1345" s="77" t="str">
        <f>VLOOKUP(DESPESAS[[#This Row],[Plano de Contas]],BASE!$B$3:$H$119,7,FALSE)</f>
        <v>FÁBIO</v>
      </c>
    </row>
    <row r="1346" spans="1:13" x14ac:dyDescent="0.25">
      <c r="A1346" s="74">
        <v>198009</v>
      </c>
      <c r="B1346" s="75" t="s">
        <v>221</v>
      </c>
      <c r="C1346" s="75" t="s">
        <v>2400</v>
      </c>
      <c r="D1346" s="76">
        <v>46053</v>
      </c>
      <c r="E1346" s="75" t="s">
        <v>347</v>
      </c>
      <c r="F1346" s="74">
        <v>49.8</v>
      </c>
      <c r="G1346" s="75" t="s">
        <v>1318</v>
      </c>
      <c r="H1346" s="77" t="str">
        <f>VLOOKUP(DESPESAS[[#This Row],[Plano de Contas]],BASE!$B$3:$D$119,3,FALSE)</f>
        <v>Feiras e Eventos</v>
      </c>
      <c r="I1346" s="77" t="str">
        <f>IFERROR(VLOOKUP(DESPESAS[[#This Row],[Fornecedor]],Tabela2[],2,FALSE),"")</f>
        <v/>
      </c>
      <c r="J1346" s="77" t="str">
        <f>IFERROR(VLOOKUP(DESPESAS[[#This Row],[Plano de Contas]],BASE!$B$3:$F$119,4,FALSE),"")</f>
        <v>6 - DESPESA COM VENDAS</v>
      </c>
      <c r="K1346" s="77" t="str">
        <f>IFERROR(VLOOKUP(DESPESAS[[#This Row],[Plano de Contas]],BASE!$B$3:$H$119,5,FALSE),"")</f>
        <v>COMERCIAL</v>
      </c>
      <c r="L1346" s="77">
        <f>IFERROR(VLOOKUP(DESPESAS[[#This Row],[Plano de Contas]],BASE!$B$3:$H$119,6,FALSE),"")</f>
        <v>0</v>
      </c>
      <c r="M1346" s="77" t="str">
        <f>VLOOKUP(DESPESAS[[#This Row],[Plano de Contas]],BASE!$B$3:$H$119,7,FALSE)</f>
        <v>THAIS</v>
      </c>
    </row>
    <row r="1347" spans="1:13" x14ac:dyDescent="0.25">
      <c r="A1347" s="74">
        <v>198010</v>
      </c>
      <c r="B1347" s="75" t="s">
        <v>221</v>
      </c>
      <c r="C1347" s="75" t="s">
        <v>2401</v>
      </c>
      <c r="D1347" s="76">
        <v>46053</v>
      </c>
      <c r="E1347" s="75" t="s">
        <v>347</v>
      </c>
      <c r="F1347" s="74">
        <v>734.25</v>
      </c>
      <c r="G1347" s="75" t="s">
        <v>1318</v>
      </c>
      <c r="H1347" s="77" t="str">
        <f>VLOOKUP(DESPESAS[[#This Row],[Plano de Contas]],BASE!$B$3:$D$119,3,FALSE)</f>
        <v>Feiras e Eventos</v>
      </c>
      <c r="I1347" s="77" t="str">
        <f>IFERROR(VLOOKUP(DESPESAS[[#This Row],[Fornecedor]],Tabela2[],2,FALSE),"")</f>
        <v/>
      </c>
      <c r="J1347" s="77" t="str">
        <f>IFERROR(VLOOKUP(DESPESAS[[#This Row],[Plano de Contas]],BASE!$B$3:$F$119,4,FALSE),"")</f>
        <v>6 - DESPESA COM VENDAS</v>
      </c>
      <c r="K1347" s="77" t="str">
        <f>IFERROR(VLOOKUP(DESPESAS[[#This Row],[Plano de Contas]],BASE!$B$3:$H$119,5,FALSE),"")</f>
        <v>COMERCIAL</v>
      </c>
      <c r="L1347" s="77">
        <f>IFERROR(VLOOKUP(DESPESAS[[#This Row],[Plano de Contas]],BASE!$B$3:$H$119,6,FALSE),"")</f>
        <v>0</v>
      </c>
      <c r="M1347" s="77" t="str">
        <f>VLOOKUP(DESPESAS[[#This Row],[Plano de Contas]],BASE!$B$3:$H$119,7,FALSE)</f>
        <v>THAIS</v>
      </c>
    </row>
    <row r="1348" spans="1:13" x14ac:dyDescent="0.25">
      <c r="A1348" s="74">
        <v>198011</v>
      </c>
      <c r="B1348" s="75" t="s">
        <v>221</v>
      </c>
      <c r="C1348" s="75" t="s">
        <v>2400</v>
      </c>
      <c r="D1348" s="76">
        <v>46053</v>
      </c>
      <c r="E1348" s="75" t="s">
        <v>347</v>
      </c>
      <c r="F1348" s="74">
        <v>4240</v>
      </c>
      <c r="G1348" s="75" t="s">
        <v>1318</v>
      </c>
      <c r="H1348" s="77" t="str">
        <f>VLOOKUP(DESPESAS[[#This Row],[Plano de Contas]],BASE!$B$3:$D$119,3,FALSE)</f>
        <v>Feiras e Eventos</v>
      </c>
      <c r="I1348" s="77" t="str">
        <f>IFERROR(VLOOKUP(DESPESAS[[#This Row],[Fornecedor]],Tabela2[],2,FALSE),"")</f>
        <v/>
      </c>
      <c r="J1348" s="77" t="str">
        <f>IFERROR(VLOOKUP(DESPESAS[[#This Row],[Plano de Contas]],BASE!$B$3:$F$119,4,FALSE),"")</f>
        <v>6 - DESPESA COM VENDAS</v>
      </c>
      <c r="K1348" s="77" t="str">
        <f>IFERROR(VLOOKUP(DESPESAS[[#This Row],[Plano de Contas]],BASE!$B$3:$H$119,5,FALSE),"")</f>
        <v>COMERCIAL</v>
      </c>
      <c r="L1348" s="77">
        <f>IFERROR(VLOOKUP(DESPESAS[[#This Row],[Plano de Contas]],BASE!$B$3:$H$119,6,FALSE),"")</f>
        <v>0</v>
      </c>
      <c r="M1348" s="77" t="str">
        <f>VLOOKUP(DESPESAS[[#This Row],[Plano de Contas]],BASE!$B$3:$H$119,7,FALSE)</f>
        <v>THAIS</v>
      </c>
    </row>
    <row r="1349" spans="1:13" x14ac:dyDescent="0.25">
      <c r="A1349" s="74">
        <v>198012</v>
      </c>
      <c r="B1349" s="75" t="s">
        <v>221</v>
      </c>
      <c r="C1349" s="75" t="s">
        <v>2394</v>
      </c>
      <c r="D1349" s="76">
        <v>46053</v>
      </c>
      <c r="E1349" s="75" t="s">
        <v>347</v>
      </c>
      <c r="F1349" s="74">
        <v>130</v>
      </c>
      <c r="G1349" s="75" t="s">
        <v>1318</v>
      </c>
      <c r="H1349" s="77" t="str">
        <f>VLOOKUP(DESPESAS[[#This Row],[Plano de Contas]],BASE!$B$3:$D$119,3,FALSE)</f>
        <v>Feiras e Eventos</v>
      </c>
      <c r="I1349" s="77" t="str">
        <f>IFERROR(VLOOKUP(DESPESAS[[#This Row],[Fornecedor]],Tabela2[],2,FALSE),"")</f>
        <v/>
      </c>
      <c r="J1349" s="77" t="str">
        <f>IFERROR(VLOOKUP(DESPESAS[[#This Row],[Plano de Contas]],BASE!$B$3:$F$119,4,FALSE),"")</f>
        <v>6 - DESPESA COM VENDAS</v>
      </c>
      <c r="K1349" s="77" t="str">
        <f>IFERROR(VLOOKUP(DESPESAS[[#This Row],[Plano de Contas]],BASE!$B$3:$H$119,5,FALSE),"")</f>
        <v>COMERCIAL</v>
      </c>
      <c r="L1349" s="77">
        <f>IFERROR(VLOOKUP(DESPESAS[[#This Row],[Plano de Contas]],BASE!$B$3:$H$119,6,FALSE),"")</f>
        <v>0</v>
      </c>
      <c r="M1349" s="77" t="str">
        <f>VLOOKUP(DESPESAS[[#This Row],[Plano de Contas]],BASE!$B$3:$H$119,7,FALSE)</f>
        <v>THAIS</v>
      </c>
    </row>
    <row r="1350" spans="1:13" x14ac:dyDescent="0.25">
      <c r="A1350" s="74">
        <v>198013</v>
      </c>
      <c r="B1350" s="75" t="s">
        <v>221</v>
      </c>
      <c r="C1350" s="75" t="s">
        <v>2399</v>
      </c>
      <c r="D1350" s="76">
        <v>46053</v>
      </c>
      <c r="E1350" s="75" t="s">
        <v>347</v>
      </c>
      <c r="F1350" s="74">
        <v>80</v>
      </c>
      <c r="G1350" s="75" t="s">
        <v>1318</v>
      </c>
      <c r="H1350" s="77" t="str">
        <f>VLOOKUP(DESPESAS[[#This Row],[Plano de Contas]],BASE!$B$3:$D$119,3,FALSE)</f>
        <v>Feiras e Eventos</v>
      </c>
      <c r="I1350" s="77" t="str">
        <f>IFERROR(VLOOKUP(DESPESAS[[#This Row],[Fornecedor]],Tabela2[],2,FALSE),"")</f>
        <v/>
      </c>
      <c r="J1350" s="77" t="str">
        <f>IFERROR(VLOOKUP(DESPESAS[[#This Row],[Plano de Contas]],BASE!$B$3:$F$119,4,FALSE),"")</f>
        <v>6 - DESPESA COM VENDAS</v>
      </c>
      <c r="K1350" s="77" t="str">
        <f>IFERROR(VLOOKUP(DESPESAS[[#This Row],[Plano de Contas]],BASE!$B$3:$H$119,5,FALSE),"")</f>
        <v>COMERCIAL</v>
      </c>
      <c r="L1350" s="77">
        <f>IFERROR(VLOOKUP(DESPESAS[[#This Row],[Plano de Contas]],BASE!$B$3:$H$119,6,FALSE),"")</f>
        <v>0</v>
      </c>
      <c r="M1350" s="77" t="str">
        <f>VLOOKUP(DESPESAS[[#This Row],[Plano de Contas]],BASE!$B$3:$H$119,7,FALSE)</f>
        <v>THAIS</v>
      </c>
    </row>
    <row r="1351" spans="1:13" x14ac:dyDescent="0.25">
      <c r="A1351" s="74">
        <v>198016</v>
      </c>
      <c r="B1351" s="75" t="s">
        <v>232</v>
      </c>
      <c r="C1351" s="75" t="s">
        <v>2398</v>
      </c>
      <c r="D1351" s="76">
        <v>46057</v>
      </c>
      <c r="E1351" s="75" t="s">
        <v>230</v>
      </c>
      <c r="F1351" s="74">
        <v>838.8</v>
      </c>
      <c r="G1351" s="75" t="s">
        <v>251</v>
      </c>
      <c r="H1351" s="77" t="str">
        <f>VLOOKUP(DESPESAS[[#This Row],[Plano de Contas]],BASE!$B$3:$D$119,3,FALSE)</f>
        <v>Juros Pagos - Antecipação de Crédito</v>
      </c>
      <c r="I1351" s="77" t="str">
        <f>IFERROR(VLOOKUP(DESPESAS[[#This Row],[Fornecedor]],Tabela2[],2,FALSE),"")</f>
        <v/>
      </c>
      <c r="J1351" s="77" t="str">
        <f>IFERROR(VLOOKUP(DESPESAS[[#This Row],[Plano de Contas]],BASE!$B$3:$F$119,4,FALSE),"")</f>
        <v>8 - DESPESAS FINANCEIRAS</v>
      </c>
      <c r="K1351" s="77" t="str">
        <f>IFERROR(VLOOKUP(DESPESAS[[#This Row],[Plano de Contas]],BASE!$B$3:$H$119,5,FALSE),"")</f>
        <v>FINANCEIRO</v>
      </c>
      <c r="L1351" s="77">
        <f>IFERROR(VLOOKUP(DESPESAS[[#This Row],[Plano de Contas]],BASE!$B$3:$H$119,6,FALSE),"")</f>
        <v>0</v>
      </c>
      <c r="M1351" s="77" t="str">
        <f>VLOOKUP(DESPESAS[[#This Row],[Plano de Contas]],BASE!$B$3:$H$119,7,FALSE)</f>
        <v>LETÍCIA</v>
      </c>
    </row>
    <row r="1352" spans="1:13" x14ac:dyDescent="0.25">
      <c r="A1352" s="74">
        <v>198017</v>
      </c>
      <c r="B1352" s="75" t="s">
        <v>232</v>
      </c>
      <c r="C1352" s="75" t="s">
        <v>2397</v>
      </c>
      <c r="D1352" s="76">
        <v>46057</v>
      </c>
      <c r="E1352" s="75" t="s">
        <v>230</v>
      </c>
      <c r="F1352" s="74">
        <v>138.16999999999999</v>
      </c>
      <c r="G1352" s="75" t="s">
        <v>229</v>
      </c>
      <c r="H1352" s="77" t="str">
        <f>VLOOKUP(DESPESAS[[#This Row],[Plano de Contas]],BASE!$B$3:$D$119,3,FALSE)</f>
        <v>Despesas Bancarias</v>
      </c>
      <c r="I1352" s="77" t="str">
        <f>IFERROR(VLOOKUP(DESPESAS[[#This Row],[Fornecedor]],Tabela2[],2,FALSE),"")</f>
        <v/>
      </c>
      <c r="J1352" s="77" t="str">
        <f>IFERROR(VLOOKUP(DESPESAS[[#This Row],[Plano de Contas]],BASE!$B$3:$F$119,4,FALSE),"")</f>
        <v>8 - DESPESAS FINANCEIRAS</v>
      </c>
      <c r="K1352" s="77" t="str">
        <f>IFERROR(VLOOKUP(DESPESAS[[#This Row],[Plano de Contas]],BASE!$B$3:$H$119,5,FALSE),"")</f>
        <v>FINANCEIRO</v>
      </c>
      <c r="L1352" s="77">
        <f>IFERROR(VLOOKUP(DESPESAS[[#This Row],[Plano de Contas]],BASE!$B$3:$H$119,6,FALSE),"")</f>
        <v>0</v>
      </c>
      <c r="M1352" s="77" t="str">
        <f>VLOOKUP(DESPESAS[[#This Row],[Plano de Contas]],BASE!$B$3:$H$119,7,FALSE)</f>
        <v>LETÍCIA</v>
      </c>
    </row>
    <row r="1353" spans="1:13" x14ac:dyDescent="0.25">
      <c r="A1353" s="74">
        <v>198018</v>
      </c>
      <c r="B1353" s="75" t="s">
        <v>232</v>
      </c>
      <c r="C1353" s="75" t="s">
        <v>2396</v>
      </c>
      <c r="D1353" s="76">
        <v>46057</v>
      </c>
      <c r="E1353" s="75" t="s">
        <v>230</v>
      </c>
      <c r="F1353" s="74">
        <v>119.51</v>
      </c>
      <c r="G1353" s="75" t="s">
        <v>229</v>
      </c>
      <c r="H1353" s="77" t="str">
        <f>VLOOKUP(DESPESAS[[#This Row],[Plano de Contas]],BASE!$B$3:$D$119,3,FALSE)</f>
        <v>Despesas Bancarias</v>
      </c>
      <c r="I1353" s="77" t="str">
        <f>IFERROR(VLOOKUP(DESPESAS[[#This Row],[Fornecedor]],Tabela2[],2,FALSE),"")</f>
        <v/>
      </c>
      <c r="J1353" s="77" t="str">
        <f>IFERROR(VLOOKUP(DESPESAS[[#This Row],[Plano de Contas]],BASE!$B$3:$F$119,4,FALSE),"")</f>
        <v>8 - DESPESAS FINANCEIRAS</v>
      </c>
      <c r="K1353" s="77" t="str">
        <f>IFERROR(VLOOKUP(DESPESAS[[#This Row],[Plano de Contas]],BASE!$B$3:$H$119,5,FALSE),"")</f>
        <v>FINANCEIRO</v>
      </c>
      <c r="L1353" s="77">
        <f>IFERROR(VLOOKUP(DESPESAS[[#This Row],[Plano de Contas]],BASE!$B$3:$H$119,6,FALSE),"")</f>
        <v>0</v>
      </c>
      <c r="M1353" s="77" t="str">
        <f>VLOOKUP(DESPESAS[[#This Row],[Plano de Contas]],BASE!$B$3:$H$119,7,FALSE)</f>
        <v>LETÍCIA</v>
      </c>
    </row>
    <row r="1354" spans="1:13" x14ac:dyDescent="0.25">
      <c r="A1354" s="74">
        <v>198019</v>
      </c>
      <c r="B1354" s="75" t="s">
        <v>221</v>
      </c>
      <c r="C1354" s="75" t="s">
        <v>2381</v>
      </c>
      <c r="D1354" s="76">
        <v>46053</v>
      </c>
      <c r="E1354" s="75" t="s">
        <v>802</v>
      </c>
      <c r="F1354" s="74">
        <v>1740.7</v>
      </c>
      <c r="G1354" s="75" t="s">
        <v>1318</v>
      </c>
      <c r="H1354" s="77" t="str">
        <f>VLOOKUP(DESPESAS[[#This Row],[Plano de Contas]],BASE!$B$3:$D$119,3,FALSE)</f>
        <v>Feiras e Eventos</v>
      </c>
      <c r="I1354" s="77" t="str">
        <f>IFERROR(VLOOKUP(DESPESAS[[#This Row],[Fornecedor]],Tabela2[],2,FALSE),"")</f>
        <v/>
      </c>
      <c r="J1354" s="77" t="str">
        <f>IFERROR(VLOOKUP(DESPESAS[[#This Row],[Plano de Contas]],BASE!$B$3:$F$119,4,FALSE),"")</f>
        <v>6 - DESPESA COM VENDAS</v>
      </c>
      <c r="K1354" s="77" t="str">
        <f>IFERROR(VLOOKUP(DESPESAS[[#This Row],[Plano de Contas]],BASE!$B$3:$H$119,5,FALSE),"")</f>
        <v>COMERCIAL</v>
      </c>
      <c r="L1354" s="77">
        <f>IFERROR(VLOOKUP(DESPESAS[[#This Row],[Plano de Contas]],BASE!$B$3:$H$119,6,FALSE),"")</f>
        <v>0</v>
      </c>
      <c r="M1354" s="77" t="str">
        <f>VLOOKUP(DESPESAS[[#This Row],[Plano de Contas]],BASE!$B$3:$H$119,7,FALSE)</f>
        <v>THAIS</v>
      </c>
    </row>
    <row r="1355" spans="1:13" x14ac:dyDescent="0.25">
      <c r="A1355" s="74">
        <v>198020</v>
      </c>
      <c r="B1355" s="75" t="s">
        <v>221</v>
      </c>
      <c r="C1355" s="75" t="s">
        <v>2395</v>
      </c>
      <c r="D1355" s="76">
        <v>46053</v>
      </c>
      <c r="E1355" s="75" t="s">
        <v>347</v>
      </c>
      <c r="F1355" s="74">
        <v>351.8</v>
      </c>
      <c r="G1355" s="75" t="s">
        <v>1318</v>
      </c>
      <c r="H1355" s="77" t="str">
        <f>VLOOKUP(DESPESAS[[#This Row],[Plano de Contas]],BASE!$B$3:$D$119,3,FALSE)</f>
        <v>Feiras e Eventos</v>
      </c>
      <c r="I1355" s="77" t="str">
        <f>IFERROR(VLOOKUP(DESPESAS[[#This Row],[Fornecedor]],Tabela2[],2,FALSE),"")</f>
        <v/>
      </c>
      <c r="J1355" s="77" t="str">
        <f>IFERROR(VLOOKUP(DESPESAS[[#This Row],[Plano de Contas]],BASE!$B$3:$F$119,4,FALSE),"")</f>
        <v>6 - DESPESA COM VENDAS</v>
      </c>
      <c r="K1355" s="77" t="str">
        <f>IFERROR(VLOOKUP(DESPESAS[[#This Row],[Plano de Contas]],BASE!$B$3:$H$119,5,FALSE),"")</f>
        <v>COMERCIAL</v>
      </c>
      <c r="L1355" s="77">
        <f>IFERROR(VLOOKUP(DESPESAS[[#This Row],[Plano de Contas]],BASE!$B$3:$H$119,6,FALSE),"")</f>
        <v>0</v>
      </c>
      <c r="M1355" s="77" t="str">
        <f>VLOOKUP(DESPESAS[[#This Row],[Plano de Contas]],BASE!$B$3:$H$119,7,FALSE)</f>
        <v>THAIS</v>
      </c>
    </row>
    <row r="1356" spans="1:13" x14ac:dyDescent="0.25">
      <c r="A1356" s="74">
        <v>198021</v>
      </c>
      <c r="B1356" s="75" t="s">
        <v>221</v>
      </c>
      <c r="C1356" s="75" t="s">
        <v>2394</v>
      </c>
      <c r="D1356" s="76">
        <v>46053</v>
      </c>
      <c r="E1356" s="75" t="s">
        <v>347</v>
      </c>
      <c r="F1356" s="74">
        <v>295.2</v>
      </c>
      <c r="G1356" s="75" t="s">
        <v>1318</v>
      </c>
      <c r="H1356" s="77" t="str">
        <f>VLOOKUP(DESPESAS[[#This Row],[Plano de Contas]],BASE!$B$3:$D$119,3,FALSE)</f>
        <v>Feiras e Eventos</v>
      </c>
      <c r="I1356" s="77" t="str">
        <f>IFERROR(VLOOKUP(DESPESAS[[#This Row],[Fornecedor]],Tabela2[],2,FALSE),"")</f>
        <v/>
      </c>
      <c r="J1356" s="77" t="str">
        <f>IFERROR(VLOOKUP(DESPESAS[[#This Row],[Plano de Contas]],BASE!$B$3:$F$119,4,FALSE),"")</f>
        <v>6 - DESPESA COM VENDAS</v>
      </c>
      <c r="K1356" s="77" t="str">
        <f>IFERROR(VLOOKUP(DESPESAS[[#This Row],[Plano de Contas]],BASE!$B$3:$H$119,5,FALSE),"")</f>
        <v>COMERCIAL</v>
      </c>
      <c r="L1356" s="77">
        <f>IFERROR(VLOOKUP(DESPESAS[[#This Row],[Plano de Contas]],BASE!$B$3:$H$119,6,FALSE),"")</f>
        <v>0</v>
      </c>
      <c r="M1356" s="77" t="str">
        <f>VLOOKUP(DESPESAS[[#This Row],[Plano de Contas]],BASE!$B$3:$H$119,7,FALSE)</f>
        <v>THAIS</v>
      </c>
    </row>
    <row r="1357" spans="1:13" x14ac:dyDescent="0.25">
      <c r="A1357" s="74">
        <v>198022</v>
      </c>
      <c r="B1357" s="75" t="s">
        <v>221</v>
      </c>
      <c r="C1357" s="75" t="s">
        <v>2380</v>
      </c>
      <c r="D1357" s="76">
        <v>46053</v>
      </c>
      <c r="E1357" s="75" t="s">
        <v>347</v>
      </c>
      <c r="F1357" s="74">
        <v>390.6</v>
      </c>
      <c r="G1357" s="75" t="s">
        <v>1318</v>
      </c>
      <c r="H1357" s="77" t="str">
        <f>VLOOKUP(DESPESAS[[#This Row],[Plano de Contas]],BASE!$B$3:$D$119,3,FALSE)</f>
        <v>Feiras e Eventos</v>
      </c>
      <c r="I1357" s="77" t="str">
        <f>IFERROR(VLOOKUP(DESPESAS[[#This Row],[Fornecedor]],Tabela2[],2,FALSE),"")</f>
        <v/>
      </c>
      <c r="J1357" s="77" t="str">
        <f>IFERROR(VLOOKUP(DESPESAS[[#This Row],[Plano de Contas]],BASE!$B$3:$F$119,4,FALSE),"")</f>
        <v>6 - DESPESA COM VENDAS</v>
      </c>
      <c r="K1357" s="77" t="str">
        <f>IFERROR(VLOOKUP(DESPESAS[[#This Row],[Plano de Contas]],BASE!$B$3:$H$119,5,FALSE),"")</f>
        <v>COMERCIAL</v>
      </c>
      <c r="L1357" s="77">
        <f>IFERROR(VLOOKUP(DESPESAS[[#This Row],[Plano de Contas]],BASE!$B$3:$H$119,6,FALSE),"")</f>
        <v>0</v>
      </c>
      <c r="M1357" s="77" t="str">
        <f>VLOOKUP(DESPESAS[[#This Row],[Plano de Contas]],BASE!$B$3:$H$119,7,FALSE)</f>
        <v>THAIS</v>
      </c>
    </row>
    <row r="1358" spans="1:13" x14ac:dyDescent="0.25">
      <c r="A1358" s="74">
        <v>198023</v>
      </c>
      <c r="B1358" s="75" t="s">
        <v>221</v>
      </c>
      <c r="C1358" s="75" t="s">
        <v>2392</v>
      </c>
      <c r="D1358" s="76">
        <v>46053</v>
      </c>
      <c r="E1358" s="75" t="s">
        <v>347</v>
      </c>
      <c r="F1358" s="74">
        <v>21.96</v>
      </c>
      <c r="G1358" s="75" t="s">
        <v>1318</v>
      </c>
      <c r="H1358" s="77" t="str">
        <f>VLOOKUP(DESPESAS[[#This Row],[Plano de Contas]],BASE!$B$3:$D$119,3,FALSE)</f>
        <v>Feiras e Eventos</v>
      </c>
      <c r="I1358" s="77" t="str">
        <f>IFERROR(VLOOKUP(DESPESAS[[#This Row],[Fornecedor]],Tabela2[],2,FALSE),"")</f>
        <v/>
      </c>
      <c r="J1358" s="77" t="str">
        <f>IFERROR(VLOOKUP(DESPESAS[[#This Row],[Plano de Contas]],BASE!$B$3:$F$119,4,FALSE),"")</f>
        <v>6 - DESPESA COM VENDAS</v>
      </c>
      <c r="K1358" s="77" t="str">
        <f>IFERROR(VLOOKUP(DESPESAS[[#This Row],[Plano de Contas]],BASE!$B$3:$H$119,5,FALSE),"")</f>
        <v>COMERCIAL</v>
      </c>
      <c r="L1358" s="77">
        <f>IFERROR(VLOOKUP(DESPESAS[[#This Row],[Plano de Contas]],BASE!$B$3:$H$119,6,FALSE),"")</f>
        <v>0</v>
      </c>
      <c r="M1358" s="77" t="str">
        <f>VLOOKUP(DESPESAS[[#This Row],[Plano de Contas]],BASE!$B$3:$H$119,7,FALSE)</f>
        <v>THAIS</v>
      </c>
    </row>
    <row r="1359" spans="1:13" x14ac:dyDescent="0.25">
      <c r="A1359" s="74">
        <v>198024</v>
      </c>
      <c r="B1359" s="75" t="s">
        <v>221</v>
      </c>
      <c r="C1359" s="75" t="s">
        <v>2393</v>
      </c>
      <c r="D1359" s="76">
        <v>46053</v>
      </c>
      <c r="E1359" s="75" t="s">
        <v>242</v>
      </c>
      <c r="F1359" s="74">
        <v>61.25</v>
      </c>
      <c r="G1359" s="75" t="s">
        <v>1318</v>
      </c>
      <c r="H1359" s="77" t="str">
        <f>VLOOKUP(DESPESAS[[#This Row],[Plano de Contas]],BASE!$B$3:$D$119,3,FALSE)</f>
        <v>Feiras e Eventos</v>
      </c>
      <c r="I1359" s="77" t="str">
        <f>IFERROR(VLOOKUP(DESPESAS[[#This Row],[Fornecedor]],Tabela2[],2,FALSE),"")</f>
        <v/>
      </c>
      <c r="J1359" s="77" t="str">
        <f>IFERROR(VLOOKUP(DESPESAS[[#This Row],[Plano de Contas]],BASE!$B$3:$F$119,4,FALSE),"")</f>
        <v>6 - DESPESA COM VENDAS</v>
      </c>
      <c r="K1359" s="77" t="str">
        <f>IFERROR(VLOOKUP(DESPESAS[[#This Row],[Plano de Contas]],BASE!$B$3:$H$119,5,FALSE),"")</f>
        <v>COMERCIAL</v>
      </c>
      <c r="L1359" s="77">
        <f>IFERROR(VLOOKUP(DESPESAS[[#This Row],[Plano de Contas]],BASE!$B$3:$H$119,6,FALSE),"")</f>
        <v>0</v>
      </c>
      <c r="M1359" s="77" t="str">
        <f>VLOOKUP(DESPESAS[[#This Row],[Plano de Contas]],BASE!$B$3:$H$119,7,FALSE)</f>
        <v>THAIS</v>
      </c>
    </row>
    <row r="1360" spans="1:13" x14ac:dyDescent="0.25">
      <c r="A1360" s="74">
        <v>198025</v>
      </c>
      <c r="B1360" s="75" t="s">
        <v>221</v>
      </c>
      <c r="C1360" s="75" t="s">
        <v>2392</v>
      </c>
      <c r="D1360" s="76">
        <v>46053</v>
      </c>
      <c r="E1360" s="75" t="s">
        <v>347</v>
      </c>
      <c r="F1360" s="74">
        <v>97.11</v>
      </c>
      <c r="G1360" s="75" t="s">
        <v>1318</v>
      </c>
      <c r="H1360" s="77" t="str">
        <f>VLOOKUP(DESPESAS[[#This Row],[Plano de Contas]],BASE!$B$3:$D$119,3,FALSE)</f>
        <v>Feiras e Eventos</v>
      </c>
      <c r="I1360" s="77" t="str">
        <f>IFERROR(VLOOKUP(DESPESAS[[#This Row],[Fornecedor]],Tabela2[],2,FALSE),"")</f>
        <v/>
      </c>
      <c r="J1360" s="77" t="str">
        <f>IFERROR(VLOOKUP(DESPESAS[[#This Row],[Plano de Contas]],BASE!$B$3:$F$119,4,FALSE),"")</f>
        <v>6 - DESPESA COM VENDAS</v>
      </c>
      <c r="K1360" s="77" t="str">
        <f>IFERROR(VLOOKUP(DESPESAS[[#This Row],[Plano de Contas]],BASE!$B$3:$H$119,5,FALSE),"")</f>
        <v>COMERCIAL</v>
      </c>
      <c r="L1360" s="77">
        <f>IFERROR(VLOOKUP(DESPESAS[[#This Row],[Plano de Contas]],BASE!$B$3:$H$119,6,FALSE),"")</f>
        <v>0</v>
      </c>
      <c r="M1360" s="77" t="str">
        <f>VLOOKUP(DESPESAS[[#This Row],[Plano de Contas]],BASE!$B$3:$H$119,7,FALSE)</f>
        <v>THAIS</v>
      </c>
    </row>
    <row r="1361" spans="1:13" x14ac:dyDescent="0.25">
      <c r="A1361" s="74">
        <v>198026</v>
      </c>
      <c r="B1361" s="75" t="s">
        <v>221</v>
      </c>
      <c r="C1361" s="75" t="s">
        <v>2391</v>
      </c>
      <c r="D1361" s="76">
        <v>46053</v>
      </c>
      <c r="E1361" s="75" t="s">
        <v>347</v>
      </c>
      <c r="F1361" s="74">
        <v>219.75</v>
      </c>
      <c r="G1361" s="75" t="s">
        <v>1318</v>
      </c>
      <c r="H1361" s="77" t="str">
        <f>VLOOKUP(DESPESAS[[#This Row],[Plano de Contas]],BASE!$B$3:$D$119,3,FALSE)</f>
        <v>Feiras e Eventos</v>
      </c>
      <c r="I1361" s="77" t="str">
        <f>IFERROR(VLOOKUP(DESPESAS[[#This Row],[Fornecedor]],Tabela2[],2,FALSE),"")</f>
        <v/>
      </c>
      <c r="J1361" s="77" t="str">
        <f>IFERROR(VLOOKUP(DESPESAS[[#This Row],[Plano de Contas]],BASE!$B$3:$F$119,4,FALSE),"")</f>
        <v>6 - DESPESA COM VENDAS</v>
      </c>
      <c r="K1361" s="77" t="str">
        <f>IFERROR(VLOOKUP(DESPESAS[[#This Row],[Plano de Contas]],BASE!$B$3:$H$119,5,FALSE),"")</f>
        <v>COMERCIAL</v>
      </c>
      <c r="L1361" s="77">
        <f>IFERROR(VLOOKUP(DESPESAS[[#This Row],[Plano de Contas]],BASE!$B$3:$H$119,6,FALSE),"")</f>
        <v>0</v>
      </c>
      <c r="M1361" s="77" t="str">
        <f>VLOOKUP(DESPESAS[[#This Row],[Plano de Contas]],BASE!$B$3:$H$119,7,FALSE)</f>
        <v>THAIS</v>
      </c>
    </row>
    <row r="1362" spans="1:13" x14ac:dyDescent="0.25">
      <c r="A1362" s="74">
        <v>198027</v>
      </c>
      <c r="B1362" s="75" t="s">
        <v>221</v>
      </c>
      <c r="C1362" s="75" t="s">
        <v>2388</v>
      </c>
      <c r="D1362" s="76">
        <v>46053</v>
      </c>
      <c r="E1362" s="75" t="s">
        <v>347</v>
      </c>
      <c r="F1362" s="74">
        <v>26.97</v>
      </c>
      <c r="G1362" s="75" t="s">
        <v>1318</v>
      </c>
      <c r="H1362" s="77" t="str">
        <f>VLOOKUP(DESPESAS[[#This Row],[Plano de Contas]],BASE!$B$3:$D$119,3,FALSE)</f>
        <v>Feiras e Eventos</v>
      </c>
      <c r="I1362" s="77" t="str">
        <f>IFERROR(VLOOKUP(DESPESAS[[#This Row],[Fornecedor]],Tabela2[],2,FALSE),"")</f>
        <v/>
      </c>
      <c r="J1362" s="77" t="str">
        <f>IFERROR(VLOOKUP(DESPESAS[[#This Row],[Plano de Contas]],BASE!$B$3:$F$119,4,FALSE),"")</f>
        <v>6 - DESPESA COM VENDAS</v>
      </c>
      <c r="K1362" s="77" t="str">
        <f>IFERROR(VLOOKUP(DESPESAS[[#This Row],[Plano de Contas]],BASE!$B$3:$H$119,5,FALSE),"")</f>
        <v>COMERCIAL</v>
      </c>
      <c r="L1362" s="77">
        <f>IFERROR(VLOOKUP(DESPESAS[[#This Row],[Plano de Contas]],BASE!$B$3:$H$119,6,FALSE),"")</f>
        <v>0</v>
      </c>
      <c r="M1362" s="77" t="str">
        <f>VLOOKUP(DESPESAS[[#This Row],[Plano de Contas]],BASE!$B$3:$H$119,7,FALSE)</f>
        <v>THAIS</v>
      </c>
    </row>
    <row r="1363" spans="1:13" x14ac:dyDescent="0.25">
      <c r="A1363" s="74">
        <v>198028</v>
      </c>
      <c r="B1363" s="75" t="s">
        <v>221</v>
      </c>
      <c r="C1363" s="75" t="s">
        <v>2390</v>
      </c>
      <c r="D1363" s="76">
        <v>46053</v>
      </c>
      <c r="E1363" s="75" t="s">
        <v>347</v>
      </c>
      <c r="F1363" s="74">
        <v>21.96</v>
      </c>
      <c r="G1363" s="75" t="s">
        <v>1318</v>
      </c>
      <c r="H1363" s="77" t="str">
        <f>VLOOKUP(DESPESAS[[#This Row],[Plano de Contas]],BASE!$B$3:$D$119,3,FALSE)</f>
        <v>Feiras e Eventos</v>
      </c>
      <c r="I1363" s="77" t="str">
        <f>IFERROR(VLOOKUP(DESPESAS[[#This Row],[Fornecedor]],Tabela2[],2,FALSE),"")</f>
        <v/>
      </c>
      <c r="J1363" s="77" t="str">
        <f>IFERROR(VLOOKUP(DESPESAS[[#This Row],[Plano de Contas]],BASE!$B$3:$F$119,4,FALSE),"")</f>
        <v>6 - DESPESA COM VENDAS</v>
      </c>
      <c r="K1363" s="77" t="str">
        <f>IFERROR(VLOOKUP(DESPESAS[[#This Row],[Plano de Contas]],BASE!$B$3:$H$119,5,FALSE),"")</f>
        <v>COMERCIAL</v>
      </c>
      <c r="L1363" s="77">
        <f>IFERROR(VLOOKUP(DESPESAS[[#This Row],[Plano de Contas]],BASE!$B$3:$H$119,6,FALSE),"")</f>
        <v>0</v>
      </c>
      <c r="M1363" s="77" t="str">
        <f>VLOOKUP(DESPESAS[[#This Row],[Plano de Contas]],BASE!$B$3:$H$119,7,FALSE)</f>
        <v>THAIS</v>
      </c>
    </row>
    <row r="1364" spans="1:13" x14ac:dyDescent="0.25">
      <c r="A1364" s="74">
        <v>198029</v>
      </c>
      <c r="B1364" s="75" t="s">
        <v>221</v>
      </c>
      <c r="C1364" s="75" t="s">
        <v>2385</v>
      </c>
      <c r="D1364" s="76">
        <v>46053</v>
      </c>
      <c r="E1364" s="75" t="s">
        <v>347</v>
      </c>
      <c r="F1364" s="74">
        <v>13.66</v>
      </c>
      <c r="G1364" s="75" t="s">
        <v>1318</v>
      </c>
      <c r="H1364" s="77" t="str">
        <f>VLOOKUP(DESPESAS[[#This Row],[Plano de Contas]],BASE!$B$3:$D$119,3,FALSE)</f>
        <v>Feiras e Eventos</v>
      </c>
      <c r="I1364" s="77" t="str">
        <f>IFERROR(VLOOKUP(DESPESAS[[#This Row],[Fornecedor]],Tabela2[],2,FALSE),"")</f>
        <v/>
      </c>
      <c r="J1364" s="77" t="str">
        <f>IFERROR(VLOOKUP(DESPESAS[[#This Row],[Plano de Contas]],BASE!$B$3:$F$119,4,FALSE),"")</f>
        <v>6 - DESPESA COM VENDAS</v>
      </c>
      <c r="K1364" s="77" t="str">
        <f>IFERROR(VLOOKUP(DESPESAS[[#This Row],[Plano de Contas]],BASE!$B$3:$H$119,5,FALSE),"")</f>
        <v>COMERCIAL</v>
      </c>
      <c r="L1364" s="77">
        <f>IFERROR(VLOOKUP(DESPESAS[[#This Row],[Plano de Contas]],BASE!$B$3:$H$119,6,FALSE),"")</f>
        <v>0</v>
      </c>
      <c r="M1364" s="77" t="str">
        <f>VLOOKUP(DESPESAS[[#This Row],[Plano de Contas]],BASE!$B$3:$H$119,7,FALSE)</f>
        <v>THAIS</v>
      </c>
    </row>
    <row r="1365" spans="1:13" x14ac:dyDescent="0.25">
      <c r="A1365" s="74">
        <v>198030</v>
      </c>
      <c r="B1365" s="75" t="s">
        <v>221</v>
      </c>
      <c r="C1365" s="75" t="s">
        <v>2386</v>
      </c>
      <c r="D1365" s="76">
        <v>46053</v>
      </c>
      <c r="E1365" s="75" t="s">
        <v>347</v>
      </c>
      <c r="F1365" s="74">
        <v>193.2</v>
      </c>
      <c r="G1365" s="75" t="s">
        <v>1318</v>
      </c>
      <c r="H1365" s="77" t="str">
        <f>VLOOKUP(DESPESAS[[#This Row],[Plano de Contas]],BASE!$B$3:$D$119,3,FALSE)</f>
        <v>Feiras e Eventos</v>
      </c>
      <c r="I1365" s="77" t="str">
        <f>IFERROR(VLOOKUP(DESPESAS[[#This Row],[Fornecedor]],Tabela2[],2,FALSE),"")</f>
        <v/>
      </c>
      <c r="J1365" s="77" t="str">
        <f>IFERROR(VLOOKUP(DESPESAS[[#This Row],[Plano de Contas]],BASE!$B$3:$F$119,4,FALSE),"")</f>
        <v>6 - DESPESA COM VENDAS</v>
      </c>
      <c r="K1365" s="77" t="str">
        <f>IFERROR(VLOOKUP(DESPESAS[[#This Row],[Plano de Contas]],BASE!$B$3:$H$119,5,FALSE),"")</f>
        <v>COMERCIAL</v>
      </c>
      <c r="L1365" s="77">
        <f>IFERROR(VLOOKUP(DESPESAS[[#This Row],[Plano de Contas]],BASE!$B$3:$H$119,6,FALSE),"")</f>
        <v>0</v>
      </c>
      <c r="M1365" s="77" t="str">
        <f>VLOOKUP(DESPESAS[[#This Row],[Plano de Contas]],BASE!$B$3:$H$119,7,FALSE)</f>
        <v>THAIS</v>
      </c>
    </row>
    <row r="1366" spans="1:13" x14ac:dyDescent="0.25">
      <c r="A1366" s="74">
        <v>198031</v>
      </c>
      <c r="B1366" s="75" t="s">
        <v>232</v>
      </c>
      <c r="C1366" s="75" t="s">
        <v>2389</v>
      </c>
      <c r="D1366" s="76">
        <v>46058</v>
      </c>
      <c r="E1366" s="75" t="s">
        <v>230</v>
      </c>
      <c r="F1366" s="74">
        <v>0.74</v>
      </c>
      <c r="G1366" s="75" t="s">
        <v>229</v>
      </c>
      <c r="H1366" s="77" t="str">
        <f>VLOOKUP(DESPESAS[[#This Row],[Plano de Contas]],BASE!$B$3:$D$119,3,FALSE)</f>
        <v>Despesas Bancarias</v>
      </c>
      <c r="I1366" s="77" t="str">
        <f>IFERROR(VLOOKUP(DESPESAS[[#This Row],[Fornecedor]],Tabela2[],2,FALSE),"")</f>
        <v/>
      </c>
      <c r="J1366" s="77" t="str">
        <f>IFERROR(VLOOKUP(DESPESAS[[#This Row],[Plano de Contas]],BASE!$B$3:$F$119,4,FALSE),"")</f>
        <v>8 - DESPESAS FINANCEIRAS</v>
      </c>
      <c r="K1366" s="77" t="str">
        <f>IFERROR(VLOOKUP(DESPESAS[[#This Row],[Plano de Contas]],BASE!$B$3:$H$119,5,FALSE),"")</f>
        <v>FINANCEIRO</v>
      </c>
      <c r="L1366" s="77">
        <f>IFERROR(VLOOKUP(DESPESAS[[#This Row],[Plano de Contas]],BASE!$B$3:$H$119,6,FALSE),"")</f>
        <v>0</v>
      </c>
      <c r="M1366" s="77" t="str">
        <f>VLOOKUP(DESPESAS[[#This Row],[Plano de Contas]],BASE!$B$3:$H$119,7,FALSE)</f>
        <v>LETÍCIA</v>
      </c>
    </row>
    <row r="1367" spans="1:13" x14ac:dyDescent="0.25">
      <c r="A1367" s="74">
        <v>198032</v>
      </c>
      <c r="B1367" s="75" t="s">
        <v>221</v>
      </c>
      <c r="C1367" s="75" t="s">
        <v>2388</v>
      </c>
      <c r="D1367" s="76">
        <v>46053</v>
      </c>
      <c r="E1367" s="75" t="s">
        <v>347</v>
      </c>
      <c r="F1367" s="74">
        <v>127</v>
      </c>
      <c r="G1367" s="75" t="s">
        <v>1318</v>
      </c>
      <c r="H1367" s="77" t="str">
        <f>VLOOKUP(DESPESAS[[#This Row],[Plano de Contas]],BASE!$B$3:$D$119,3,FALSE)</f>
        <v>Feiras e Eventos</v>
      </c>
      <c r="I1367" s="77" t="str">
        <f>IFERROR(VLOOKUP(DESPESAS[[#This Row],[Fornecedor]],Tabela2[],2,FALSE),"")</f>
        <v/>
      </c>
      <c r="J1367" s="77" t="str">
        <f>IFERROR(VLOOKUP(DESPESAS[[#This Row],[Plano de Contas]],BASE!$B$3:$F$119,4,FALSE),"")</f>
        <v>6 - DESPESA COM VENDAS</v>
      </c>
      <c r="K1367" s="77" t="str">
        <f>IFERROR(VLOOKUP(DESPESAS[[#This Row],[Plano de Contas]],BASE!$B$3:$H$119,5,FALSE),"")</f>
        <v>COMERCIAL</v>
      </c>
      <c r="L1367" s="77">
        <f>IFERROR(VLOOKUP(DESPESAS[[#This Row],[Plano de Contas]],BASE!$B$3:$H$119,6,FALSE),"")</f>
        <v>0</v>
      </c>
      <c r="M1367" s="77" t="str">
        <f>VLOOKUP(DESPESAS[[#This Row],[Plano de Contas]],BASE!$B$3:$H$119,7,FALSE)</f>
        <v>THAIS</v>
      </c>
    </row>
    <row r="1368" spans="1:13" x14ac:dyDescent="0.25">
      <c r="A1368" s="74">
        <v>198033</v>
      </c>
      <c r="B1368" s="75" t="s">
        <v>221</v>
      </c>
      <c r="C1368" s="75" t="s">
        <v>2385</v>
      </c>
      <c r="D1368" s="76">
        <v>46053</v>
      </c>
      <c r="E1368" s="75" t="s">
        <v>347</v>
      </c>
      <c r="F1368" s="74">
        <v>16.989999999999998</v>
      </c>
      <c r="G1368" s="75" t="s">
        <v>1318</v>
      </c>
      <c r="H1368" s="77" t="str">
        <f>VLOOKUP(DESPESAS[[#This Row],[Plano de Contas]],BASE!$B$3:$D$119,3,FALSE)</f>
        <v>Feiras e Eventos</v>
      </c>
      <c r="I1368" s="77" t="str">
        <f>IFERROR(VLOOKUP(DESPESAS[[#This Row],[Fornecedor]],Tabela2[],2,FALSE),"")</f>
        <v/>
      </c>
      <c r="J1368" s="77" t="str">
        <f>IFERROR(VLOOKUP(DESPESAS[[#This Row],[Plano de Contas]],BASE!$B$3:$F$119,4,FALSE),"")</f>
        <v>6 - DESPESA COM VENDAS</v>
      </c>
      <c r="K1368" s="77" t="str">
        <f>IFERROR(VLOOKUP(DESPESAS[[#This Row],[Plano de Contas]],BASE!$B$3:$H$119,5,FALSE),"")</f>
        <v>COMERCIAL</v>
      </c>
      <c r="L1368" s="77">
        <f>IFERROR(VLOOKUP(DESPESAS[[#This Row],[Plano de Contas]],BASE!$B$3:$H$119,6,FALSE),"")</f>
        <v>0</v>
      </c>
      <c r="M1368" s="77" t="str">
        <f>VLOOKUP(DESPESAS[[#This Row],[Plano de Contas]],BASE!$B$3:$H$119,7,FALSE)</f>
        <v>THAIS</v>
      </c>
    </row>
    <row r="1369" spans="1:13" x14ac:dyDescent="0.25">
      <c r="A1369" s="74">
        <v>198034</v>
      </c>
      <c r="B1369" s="75" t="s">
        <v>232</v>
      </c>
      <c r="C1369" s="75" t="s">
        <v>2387</v>
      </c>
      <c r="D1369" s="76">
        <v>46057</v>
      </c>
      <c r="E1369" s="75" t="s">
        <v>230</v>
      </c>
      <c r="F1369" s="74">
        <v>5.53</v>
      </c>
      <c r="G1369" s="75" t="s">
        <v>236</v>
      </c>
      <c r="H1369" s="77" t="str">
        <f>VLOOKUP(DESPESAS[[#This Row],[Plano de Contas]],BASE!$B$3:$D$119,3,FALSE)</f>
        <v>Despesas de Cobranca</v>
      </c>
      <c r="I1369" s="77" t="str">
        <f>IFERROR(VLOOKUP(DESPESAS[[#This Row],[Fornecedor]],Tabela2[],2,FALSE),"")</f>
        <v/>
      </c>
      <c r="J1369" s="77" t="str">
        <f>IFERROR(VLOOKUP(DESPESAS[[#This Row],[Plano de Contas]],BASE!$B$3:$F$119,4,FALSE),"")</f>
        <v>8 - DESPESAS FINANCEIRAS</v>
      </c>
      <c r="K1369" s="77" t="str">
        <f>IFERROR(VLOOKUP(DESPESAS[[#This Row],[Plano de Contas]],BASE!$B$3:$H$119,5,FALSE),"")</f>
        <v>FINANCEIRO</v>
      </c>
      <c r="L1369" s="77">
        <f>IFERROR(VLOOKUP(DESPESAS[[#This Row],[Plano de Contas]],BASE!$B$3:$H$119,6,FALSE),"")</f>
        <v>0</v>
      </c>
      <c r="M1369" s="77" t="str">
        <f>VLOOKUP(DESPESAS[[#This Row],[Plano de Contas]],BASE!$B$3:$H$119,7,FALSE)</f>
        <v>LETÍCIA</v>
      </c>
    </row>
    <row r="1370" spans="1:13" x14ac:dyDescent="0.25">
      <c r="A1370" s="74">
        <v>198035</v>
      </c>
      <c r="B1370" s="75" t="s">
        <v>221</v>
      </c>
      <c r="C1370" s="75" t="s">
        <v>2386</v>
      </c>
      <c r="D1370" s="76">
        <v>46053</v>
      </c>
      <c r="E1370" s="75" t="s">
        <v>347</v>
      </c>
      <c r="F1370" s="74">
        <v>184.04</v>
      </c>
      <c r="G1370" s="75" t="s">
        <v>1318</v>
      </c>
      <c r="H1370" s="77" t="str">
        <f>VLOOKUP(DESPESAS[[#This Row],[Plano de Contas]],BASE!$B$3:$D$119,3,FALSE)</f>
        <v>Feiras e Eventos</v>
      </c>
      <c r="I1370" s="77" t="str">
        <f>IFERROR(VLOOKUP(DESPESAS[[#This Row],[Fornecedor]],Tabela2[],2,FALSE),"")</f>
        <v/>
      </c>
      <c r="J1370" s="77" t="str">
        <f>IFERROR(VLOOKUP(DESPESAS[[#This Row],[Plano de Contas]],BASE!$B$3:$F$119,4,FALSE),"")</f>
        <v>6 - DESPESA COM VENDAS</v>
      </c>
      <c r="K1370" s="77" t="str">
        <f>IFERROR(VLOOKUP(DESPESAS[[#This Row],[Plano de Contas]],BASE!$B$3:$H$119,5,FALSE),"")</f>
        <v>COMERCIAL</v>
      </c>
      <c r="L1370" s="77">
        <f>IFERROR(VLOOKUP(DESPESAS[[#This Row],[Plano de Contas]],BASE!$B$3:$H$119,6,FALSE),"")</f>
        <v>0</v>
      </c>
      <c r="M1370" s="77" t="str">
        <f>VLOOKUP(DESPESAS[[#This Row],[Plano de Contas]],BASE!$B$3:$H$119,7,FALSE)</f>
        <v>THAIS</v>
      </c>
    </row>
    <row r="1371" spans="1:13" x14ac:dyDescent="0.25">
      <c r="A1371" s="74">
        <v>198036</v>
      </c>
      <c r="B1371" s="75" t="s">
        <v>221</v>
      </c>
      <c r="C1371" s="75" t="s">
        <v>2386</v>
      </c>
      <c r="D1371" s="76">
        <v>46053</v>
      </c>
      <c r="E1371" s="75" t="s">
        <v>347</v>
      </c>
      <c r="F1371" s="74">
        <v>161.69999999999999</v>
      </c>
      <c r="G1371" s="75" t="s">
        <v>1318</v>
      </c>
      <c r="H1371" s="77" t="str">
        <f>VLOOKUP(DESPESAS[[#This Row],[Plano de Contas]],BASE!$B$3:$D$119,3,FALSE)</f>
        <v>Feiras e Eventos</v>
      </c>
      <c r="I1371" s="77" t="str">
        <f>IFERROR(VLOOKUP(DESPESAS[[#This Row],[Fornecedor]],Tabela2[],2,FALSE),"")</f>
        <v/>
      </c>
      <c r="J1371" s="77" t="str">
        <f>IFERROR(VLOOKUP(DESPESAS[[#This Row],[Plano de Contas]],BASE!$B$3:$F$119,4,FALSE),"")</f>
        <v>6 - DESPESA COM VENDAS</v>
      </c>
      <c r="K1371" s="77" t="str">
        <f>IFERROR(VLOOKUP(DESPESAS[[#This Row],[Plano de Contas]],BASE!$B$3:$H$119,5,FALSE),"")</f>
        <v>COMERCIAL</v>
      </c>
      <c r="L1371" s="77">
        <f>IFERROR(VLOOKUP(DESPESAS[[#This Row],[Plano de Contas]],BASE!$B$3:$H$119,6,FALSE),"")</f>
        <v>0</v>
      </c>
      <c r="M1371" s="77" t="str">
        <f>VLOOKUP(DESPESAS[[#This Row],[Plano de Contas]],BASE!$B$3:$H$119,7,FALSE)</f>
        <v>THAIS</v>
      </c>
    </row>
    <row r="1372" spans="1:13" x14ac:dyDescent="0.25">
      <c r="A1372" s="74">
        <v>198037</v>
      </c>
      <c r="B1372" s="75" t="s">
        <v>221</v>
      </c>
      <c r="C1372" s="75" t="s">
        <v>2386</v>
      </c>
      <c r="D1372" s="76">
        <v>46053</v>
      </c>
      <c r="E1372" s="75" t="s">
        <v>347</v>
      </c>
      <c r="F1372" s="74">
        <v>37.9</v>
      </c>
      <c r="G1372" s="75" t="s">
        <v>1318</v>
      </c>
      <c r="H1372" s="77" t="str">
        <f>VLOOKUP(DESPESAS[[#This Row],[Plano de Contas]],BASE!$B$3:$D$119,3,FALSE)</f>
        <v>Feiras e Eventos</v>
      </c>
      <c r="I1372" s="77" t="str">
        <f>IFERROR(VLOOKUP(DESPESAS[[#This Row],[Fornecedor]],Tabela2[],2,FALSE),"")</f>
        <v/>
      </c>
      <c r="J1372" s="77" t="str">
        <f>IFERROR(VLOOKUP(DESPESAS[[#This Row],[Plano de Contas]],BASE!$B$3:$F$119,4,FALSE),"")</f>
        <v>6 - DESPESA COM VENDAS</v>
      </c>
      <c r="K1372" s="77" t="str">
        <f>IFERROR(VLOOKUP(DESPESAS[[#This Row],[Plano de Contas]],BASE!$B$3:$H$119,5,FALSE),"")</f>
        <v>COMERCIAL</v>
      </c>
      <c r="L1372" s="77">
        <f>IFERROR(VLOOKUP(DESPESAS[[#This Row],[Plano de Contas]],BASE!$B$3:$H$119,6,FALSE),"")</f>
        <v>0</v>
      </c>
      <c r="M1372" s="77" t="str">
        <f>VLOOKUP(DESPESAS[[#This Row],[Plano de Contas]],BASE!$B$3:$H$119,7,FALSE)</f>
        <v>THAIS</v>
      </c>
    </row>
    <row r="1373" spans="1:13" x14ac:dyDescent="0.25">
      <c r="A1373" s="74">
        <v>198038</v>
      </c>
      <c r="B1373" s="75" t="s">
        <v>221</v>
      </c>
      <c r="C1373" s="75" t="s">
        <v>2385</v>
      </c>
      <c r="D1373" s="76">
        <v>46053</v>
      </c>
      <c r="E1373" s="75" t="s">
        <v>347</v>
      </c>
      <c r="F1373" s="74">
        <v>60</v>
      </c>
      <c r="G1373" s="75" t="s">
        <v>1318</v>
      </c>
      <c r="H1373" s="77" t="str">
        <f>VLOOKUP(DESPESAS[[#This Row],[Plano de Contas]],BASE!$B$3:$D$119,3,FALSE)</f>
        <v>Feiras e Eventos</v>
      </c>
      <c r="I1373" s="77" t="str">
        <f>IFERROR(VLOOKUP(DESPESAS[[#This Row],[Fornecedor]],Tabela2[],2,FALSE),"")</f>
        <v/>
      </c>
      <c r="J1373" s="77" t="str">
        <f>IFERROR(VLOOKUP(DESPESAS[[#This Row],[Plano de Contas]],BASE!$B$3:$F$119,4,FALSE),"")</f>
        <v>6 - DESPESA COM VENDAS</v>
      </c>
      <c r="K1373" s="77" t="str">
        <f>IFERROR(VLOOKUP(DESPESAS[[#This Row],[Plano de Contas]],BASE!$B$3:$H$119,5,FALSE),"")</f>
        <v>COMERCIAL</v>
      </c>
      <c r="L1373" s="77">
        <f>IFERROR(VLOOKUP(DESPESAS[[#This Row],[Plano de Contas]],BASE!$B$3:$H$119,6,FALSE),"")</f>
        <v>0</v>
      </c>
      <c r="M1373" s="77" t="str">
        <f>VLOOKUP(DESPESAS[[#This Row],[Plano de Contas]],BASE!$B$3:$H$119,7,FALSE)</f>
        <v>THAIS</v>
      </c>
    </row>
    <row r="1374" spans="1:13" x14ac:dyDescent="0.25">
      <c r="A1374" s="74">
        <v>198040</v>
      </c>
      <c r="B1374" s="75" t="s">
        <v>221</v>
      </c>
      <c r="C1374" s="75" t="s">
        <v>2381</v>
      </c>
      <c r="D1374" s="76">
        <v>46053</v>
      </c>
      <c r="E1374" s="75" t="s">
        <v>570</v>
      </c>
      <c r="F1374" s="74">
        <v>435.58</v>
      </c>
      <c r="G1374" s="75" t="s">
        <v>1318</v>
      </c>
      <c r="H1374" s="77" t="str">
        <f>VLOOKUP(DESPESAS[[#This Row],[Plano de Contas]],BASE!$B$3:$D$119,3,FALSE)</f>
        <v>Feiras e Eventos</v>
      </c>
      <c r="I1374" s="77" t="str">
        <f>IFERROR(VLOOKUP(DESPESAS[[#This Row],[Fornecedor]],Tabela2[],2,FALSE),"")</f>
        <v/>
      </c>
      <c r="J1374" s="77" t="str">
        <f>IFERROR(VLOOKUP(DESPESAS[[#This Row],[Plano de Contas]],BASE!$B$3:$F$119,4,FALSE),"")</f>
        <v>6 - DESPESA COM VENDAS</v>
      </c>
      <c r="K1374" s="77" t="str">
        <f>IFERROR(VLOOKUP(DESPESAS[[#This Row],[Plano de Contas]],BASE!$B$3:$H$119,5,FALSE),"")</f>
        <v>COMERCIAL</v>
      </c>
      <c r="L1374" s="77">
        <f>IFERROR(VLOOKUP(DESPESAS[[#This Row],[Plano de Contas]],BASE!$B$3:$H$119,6,FALSE),"")</f>
        <v>0</v>
      </c>
      <c r="M1374" s="77" t="str">
        <f>VLOOKUP(DESPESAS[[#This Row],[Plano de Contas]],BASE!$B$3:$H$119,7,FALSE)</f>
        <v>THAIS</v>
      </c>
    </row>
    <row r="1375" spans="1:13" x14ac:dyDescent="0.25">
      <c r="A1375" s="74">
        <v>198041</v>
      </c>
      <c r="B1375" s="75" t="s">
        <v>232</v>
      </c>
      <c r="C1375" s="75" t="s">
        <v>2384</v>
      </c>
      <c r="D1375" s="76">
        <v>46057</v>
      </c>
      <c r="E1375" s="75" t="s">
        <v>230</v>
      </c>
      <c r="F1375" s="74">
        <v>5.53</v>
      </c>
      <c r="G1375" s="75" t="s">
        <v>236</v>
      </c>
      <c r="H1375" s="77" t="str">
        <f>VLOOKUP(DESPESAS[[#This Row],[Plano de Contas]],BASE!$B$3:$D$119,3,FALSE)</f>
        <v>Despesas de Cobranca</v>
      </c>
      <c r="I1375" s="77" t="str">
        <f>IFERROR(VLOOKUP(DESPESAS[[#This Row],[Fornecedor]],Tabela2[],2,FALSE),"")</f>
        <v/>
      </c>
      <c r="J1375" s="77" t="str">
        <f>IFERROR(VLOOKUP(DESPESAS[[#This Row],[Plano de Contas]],BASE!$B$3:$F$119,4,FALSE),"")</f>
        <v>8 - DESPESAS FINANCEIRAS</v>
      </c>
      <c r="K1375" s="77" t="str">
        <f>IFERROR(VLOOKUP(DESPESAS[[#This Row],[Plano de Contas]],BASE!$B$3:$H$119,5,FALSE),"")</f>
        <v>FINANCEIRO</v>
      </c>
      <c r="L1375" s="77">
        <f>IFERROR(VLOOKUP(DESPESAS[[#This Row],[Plano de Contas]],BASE!$B$3:$H$119,6,FALSE),"")</f>
        <v>0</v>
      </c>
      <c r="M1375" s="77" t="str">
        <f>VLOOKUP(DESPESAS[[#This Row],[Plano de Contas]],BASE!$B$3:$H$119,7,FALSE)</f>
        <v>LETÍCIA</v>
      </c>
    </row>
    <row r="1376" spans="1:13" x14ac:dyDescent="0.25">
      <c r="A1376" s="74">
        <v>198042</v>
      </c>
      <c r="B1376" s="75" t="s">
        <v>221</v>
      </c>
      <c r="C1376" s="75" t="s">
        <v>2383</v>
      </c>
      <c r="D1376" s="76">
        <v>46053</v>
      </c>
      <c r="E1376" s="75" t="s">
        <v>347</v>
      </c>
      <c r="F1376" s="74">
        <v>44.8</v>
      </c>
      <c r="G1376" s="75" t="s">
        <v>1318</v>
      </c>
      <c r="H1376" s="77" t="str">
        <f>VLOOKUP(DESPESAS[[#This Row],[Plano de Contas]],BASE!$B$3:$D$119,3,FALSE)</f>
        <v>Feiras e Eventos</v>
      </c>
      <c r="I1376" s="77" t="str">
        <f>IFERROR(VLOOKUP(DESPESAS[[#This Row],[Fornecedor]],Tabela2[],2,FALSE),"")</f>
        <v/>
      </c>
      <c r="J1376" s="77" t="str">
        <f>IFERROR(VLOOKUP(DESPESAS[[#This Row],[Plano de Contas]],BASE!$B$3:$F$119,4,FALSE),"")</f>
        <v>6 - DESPESA COM VENDAS</v>
      </c>
      <c r="K1376" s="77" t="str">
        <f>IFERROR(VLOOKUP(DESPESAS[[#This Row],[Plano de Contas]],BASE!$B$3:$H$119,5,FALSE),"")</f>
        <v>COMERCIAL</v>
      </c>
      <c r="L1376" s="77">
        <f>IFERROR(VLOOKUP(DESPESAS[[#This Row],[Plano de Contas]],BASE!$B$3:$H$119,6,FALSE),"")</f>
        <v>0</v>
      </c>
      <c r="M1376" s="77" t="str">
        <f>VLOOKUP(DESPESAS[[#This Row],[Plano de Contas]],BASE!$B$3:$H$119,7,FALSE)</f>
        <v>THAIS</v>
      </c>
    </row>
    <row r="1377" spans="1:13" x14ac:dyDescent="0.25">
      <c r="A1377" s="74">
        <v>198043</v>
      </c>
      <c r="B1377" s="75" t="s">
        <v>221</v>
      </c>
      <c r="C1377" s="75" t="s">
        <v>2382</v>
      </c>
      <c r="D1377" s="76">
        <v>46053</v>
      </c>
      <c r="E1377" s="75" t="s">
        <v>2377</v>
      </c>
      <c r="F1377" s="74">
        <v>75</v>
      </c>
      <c r="G1377" s="75" t="s">
        <v>1318</v>
      </c>
      <c r="H1377" s="77" t="str">
        <f>VLOOKUP(DESPESAS[[#This Row],[Plano de Contas]],BASE!$B$3:$D$119,3,FALSE)</f>
        <v>Feiras e Eventos</v>
      </c>
      <c r="I1377" s="77" t="str">
        <f>IFERROR(VLOOKUP(DESPESAS[[#This Row],[Fornecedor]],Tabela2[],2,FALSE),"")</f>
        <v/>
      </c>
      <c r="J1377" s="77" t="str">
        <f>IFERROR(VLOOKUP(DESPESAS[[#This Row],[Plano de Contas]],BASE!$B$3:$F$119,4,FALSE),"")</f>
        <v>6 - DESPESA COM VENDAS</v>
      </c>
      <c r="K1377" s="77" t="str">
        <f>IFERROR(VLOOKUP(DESPESAS[[#This Row],[Plano de Contas]],BASE!$B$3:$H$119,5,FALSE),"")</f>
        <v>COMERCIAL</v>
      </c>
      <c r="L1377" s="77">
        <f>IFERROR(VLOOKUP(DESPESAS[[#This Row],[Plano de Contas]],BASE!$B$3:$H$119,6,FALSE),"")</f>
        <v>0</v>
      </c>
      <c r="M1377" s="77" t="str">
        <f>VLOOKUP(DESPESAS[[#This Row],[Plano de Contas]],BASE!$B$3:$H$119,7,FALSE)</f>
        <v>THAIS</v>
      </c>
    </row>
    <row r="1378" spans="1:13" x14ac:dyDescent="0.25">
      <c r="A1378" s="74">
        <v>198045</v>
      </c>
      <c r="B1378" s="75" t="s">
        <v>221</v>
      </c>
      <c r="C1378" s="75" t="s">
        <v>2381</v>
      </c>
      <c r="D1378" s="76">
        <v>46053</v>
      </c>
      <c r="E1378" s="75" t="s">
        <v>570</v>
      </c>
      <c r="F1378" s="74">
        <v>114.19</v>
      </c>
      <c r="G1378" s="75" t="s">
        <v>1318</v>
      </c>
      <c r="H1378" s="77" t="str">
        <f>VLOOKUP(DESPESAS[[#This Row],[Plano de Contas]],BASE!$B$3:$D$119,3,FALSE)</f>
        <v>Feiras e Eventos</v>
      </c>
      <c r="I1378" s="77" t="str">
        <f>IFERROR(VLOOKUP(DESPESAS[[#This Row],[Fornecedor]],Tabela2[],2,FALSE),"")</f>
        <v/>
      </c>
      <c r="J1378" s="77" t="str">
        <f>IFERROR(VLOOKUP(DESPESAS[[#This Row],[Plano de Contas]],BASE!$B$3:$F$119,4,FALSE),"")</f>
        <v>6 - DESPESA COM VENDAS</v>
      </c>
      <c r="K1378" s="77" t="str">
        <f>IFERROR(VLOOKUP(DESPESAS[[#This Row],[Plano de Contas]],BASE!$B$3:$H$119,5,FALSE),"")</f>
        <v>COMERCIAL</v>
      </c>
      <c r="L1378" s="77">
        <f>IFERROR(VLOOKUP(DESPESAS[[#This Row],[Plano de Contas]],BASE!$B$3:$H$119,6,FALSE),"")</f>
        <v>0</v>
      </c>
      <c r="M1378" s="77" t="str">
        <f>VLOOKUP(DESPESAS[[#This Row],[Plano de Contas]],BASE!$B$3:$H$119,7,FALSE)</f>
        <v>THAIS</v>
      </c>
    </row>
    <row r="1379" spans="1:13" x14ac:dyDescent="0.25">
      <c r="A1379" s="74">
        <v>198046</v>
      </c>
      <c r="B1379" s="75" t="s">
        <v>221</v>
      </c>
      <c r="C1379" s="75" t="s">
        <v>2381</v>
      </c>
      <c r="D1379" s="76">
        <v>46053</v>
      </c>
      <c r="E1379" s="75" t="s">
        <v>570</v>
      </c>
      <c r="F1379" s="74">
        <v>154.61000000000001</v>
      </c>
      <c r="G1379" s="75" t="s">
        <v>1318</v>
      </c>
      <c r="H1379" s="77" t="str">
        <f>VLOOKUP(DESPESAS[[#This Row],[Plano de Contas]],BASE!$B$3:$D$119,3,FALSE)</f>
        <v>Feiras e Eventos</v>
      </c>
      <c r="I1379" s="77" t="str">
        <f>IFERROR(VLOOKUP(DESPESAS[[#This Row],[Fornecedor]],Tabela2[],2,FALSE),"")</f>
        <v/>
      </c>
      <c r="J1379" s="77" t="str">
        <f>IFERROR(VLOOKUP(DESPESAS[[#This Row],[Plano de Contas]],BASE!$B$3:$F$119,4,FALSE),"")</f>
        <v>6 - DESPESA COM VENDAS</v>
      </c>
      <c r="K1379" s="77" t="str">
        <f>IFERROR(VLOOKUP(DESPESAS[[#This Row],[Plano de Contas]],BASE!$B$3:$H$119,5,FALSE),"")</f>
        <v>COMERCIAL</v>
      </c>
      <c r="L1379" s="77">
        <f>IFERROR(VLOOKUP(DESPESAS[[#This Row],[Plano de Contas]],BASE!$B$3:$H$119,6,FALSE),"")</f>
        <v>0</v>
      </c>
      <c r="M1379" s="77" t="str">
        <f>VLOOKUP(DESPESAS[[#This Row],[Plano de Contas]],BASE!$B$3:$H$119,7,FALSE)</f>
        <v>THAIS</v>
      </c>
    </row>
    <row r="1380" spans="1:13" x14ac:dyDescent="0.25">
      <c r="A1380" s="74">
        <v>198047</v>
      </c>
      <c r="B1380" s="75" t="s">
        <v>221</v>
      </c>
      <c r="C1380" s="75" t="s">
        <v>2381</v>
      </c>
      <c r="D1380" s="76">
        <v>46053</v>
      </c>
      <c r="E1380" s="75" t="s">
        <v>570</v>
      </c>
      <c r="F1380" s="74">
        <v>88.07</v>
      </c>
      <c r="G1380" s="75" t="s">
        <v>1318</v>
      </c>
      <c r="H1380" s="77" t="str">
        <f>VLOOKUP(DESPESAS[[#This Row],[Plano de Contas]],BASE!$B$3:$D$119,3,FALSE)</f>
        <v>Feiras e Eventos</v>
      </c>
      <c r="I1380" s="77" t="str">
        <f>IFERROR(VLOOKUP(DESPESAS[[#This Row],[Fornecedor]],Tabela2[],2,FALSE),"")</f>
        <v/>
      </c>
      <c r="J1380" s="77" t="str">
        <f>IFERROR(VLOOKUP(DESPESAS[[#This Row],[Plano de Contas]],BASE!$B$3:$F$119,4,FALSE),"")</f>
        <v>6 - DESPESA COM VENDAS</v>
      </c>
      <c r="K1380" s="77" t="str">
        <f>IFERROR(VLOOKUP(DESPESAS[[#This Row],[Plano de Contas]],BASE!$B$3:$H$119,5,FALSE),"")</f>
        <v>COMERCIAL</v>
      </c>
      <c r="L1380" s="77">
        <f>IFERROR(VLOOKUP(DESPESAS[[#This Row],[Plano de Contas]],BASE!$B$3:$H$119,6,FALSE),"")</f>
        <v>0</v>
      </c>
      <c r="M1380" s="77" t="str">
        <f>VLOOKUP(DESPESAS[[#This Row],[Plano de Contas]],BASE!$B$3:$H$119,7,FALSE)</f>
        <v>THAIS</v>
      </c>
    </row>
    <row r="1381" spans="1:13" x14ac:dyDescent="0.25">
      <c r="A1381" s="74">
        <v>198048</v>
      </c>
      <c r="B1381" s="75" t="s">
        <v>221</v>
      </c>
      <c r="C1381" s="75" t="s">
        <v>2380</v>
      </c>
      <c r="D1381" s="76">
        <v>46053</v>
      </c>
      <c r="E1381" s="75" t="s">
        <v>347</v>
      </c>
      <c r="F1381" s="74">
        <v>440</v>
      </c>
      <c r="G1381" s="75" t="s">
        <v>1318</v>
      </c>
      <c r="H1381" s="77" t="str">
        <f>VLOOKUP(DESPESAS[[#This Row],[Plano de Contas]],BASE!$B$3:$D$119,3,FALSE)</f>
        <v>Feiras e Eventos</v>
      </c>
      <c r="I1381" s="77" t="str">
        <f>IFERROR(VLOOKUP(DESPESAS[[#This Row],[Fornecedor]],Tabela2[],2,FALSE),"")</f>
        <v/>
      </c>
      <c r="J1381" s="77" t="str">
        <f>IFERROR(VLOOKUP(DESPESAS[[#This Row],[Plano de Contas]],BASE!$B$3:$F$119,4,FALSE),"")</f>
        <v>6 - DESPESA COM VENDAS</v>
      </c>
      <c r="K1381" s="77" t="str">
        <f>IFERROR(VLOOKUP(DESPESAS[[#This Row],[Plano de Contas]],BASE!$B$3:$H$119,5,FALSE),"")</f>
        <v>COMERCIAL</v>
      </c>
      <c r="L1381" s="77">
        <f>IFERROR(VLOOKUP(DESPESAS[[#This Row],[Plano de Contas]],BASE!$B$3:$H$119,6,FALSE),"")</f>
        <v>0</v>
      </c>
      <c r="M1381" s="77" t="str">
        <f>VLOOKUP(DESPESAS[[#This Row],[Plano de Contas]],BASE!$B$3:$H$119,7,FALSE)</f>
        <v>THAIS</v>
      </c>
    </row>
    <row r="1382" spans="1:13" x14ac:dyDescent="0.25">
      <c r="A1382" s="74">
        <v>198049</v>
      </c>
      <c r="B1382" s="75" t="s">
        <v>221</v>
      </c>
      <c r="C1382" s="75" t="s">
        <v>2379</v>
      </c>
      <c r="D1382" s="76">
        <v>46053</v>
      </c>
      <c r="E1382" s="75" t="s">
        <v>347</v>
      </c>
      <c r="F1382" s="74">
        <v>440</v>
      </c>
      <c r="G1382" s="75" t="s">
        <v>1318</v>
      </c>
      <c r="H1382" s="77" t="str">
        <f>VLOOKUP(DESPESAS[[#This Row],[Plano de Contas]],BASE!$B$3:$D$119,3,FALSE)</f>
        <v>Feiras e Eventos</v>
      </c>
      <c r="I1382" s="77" t="str">
        <f>IFERROR(VLOOKUP(DESPESAS[[#This Row],[Fornecedor]],Tabela2[],2,FALSE),"")</f>
        <v/>
      </c>
      <c r="J1382" s="77" t="str">
        <f>IFERROR(VLOOKUP(DESPESAS[[#This Row],[Plano de Contas]],BASE!$B$3:$F$119,4,FALSE),"")</f>
        <v>6 - DESPESA COM VENDAS</v>
      </c>
      <c r="K1382" s="77" t="str">
        <f>IFERROR(VLOOKUP(DESPESAS[[#This Row],[Plano de Contas]],BASE!$B$3:$H$119,5,FALSE),"")</f>
        <v>COMERCIAL</v>
      </c>
      <c r="L1382" s="77">
        <f>IFERROR(VLOOKUP(DESPESAS[[#This Row],[Plano de Contas]],BASE!$B$3:$H$119,6,FALSE),"")</f>
        <v>0</v>
      </c>
      <c r="M1382" s="77" t="str">
        <f>VLOOKUP(DESPESAS[[#This Row],[Plano de Contas]],BASE!$B$3:$H$119,7,FALSE)</f>
        <v>THAIS</v>
      </c>
    </row>
    <row r="1383" spans="1:13" x14ac:dyDescent="0.25">
      <c r="A1383" s="74">
        <v>198050</v>
      </c>
      <c r="B1383" s="75" t="s">
        <v>221</v>
      </c>
      <c r="C1383" s="75" t="s">
        <v>2378</v>
      </c>
      <c r="D1383" s="76">
        <v>46053</v>
      </c>
      <c r="E1383" s="75" t="s">
        <v>2377</v>
      </c>
      <c r="F1383" s="74">
        <v>900</v>
      </c>
      <c r="G1383" s="75" t="s">
        <v>1318</v>
      </c>
      <c r="H1383" s="77" t="str">
        <f>VLOOKUP(DESPESAS[[#This Row],[Plano de Contas]],BASE!$B$3:$D$119,3,FALSE)</f>
        <v>Feiras e Eventos</v>
      </c>
      <c r="I1383" s="77" t="str">
        <f>IFERROR(VLOOKUP(DESPESAS[[#This Row],[Fornecedor]],Tabela2[],2,FALSE),"")</f>
        <v/>
      </c>
      <c r="J1383" s="77" t="str">
        <f>IFERROR(VLOOKUP(DESPESAS[[#This Row],[Plano de Contas]],BASE!$B$3:$F$119,4,FALSE),"")</f>
        <v>6 - DESPESA COM VENDAS</v>
      </c>
      <c r="K1383" s="77" t="str">
        <f>IFERROR(VLOOKUP(DESPESAS[[#This Row],[Plano de Contas]],BASE!$B$3:$H$119,5,FALSE),"")</f>
        <v>COMERCIAL</v>
      </c>
      <c r="L1383" s="77">
        <f>IFERROR(VLOOKUP(DESPESAS[[#This Row],[Plano de Contas]],BASE!$B$3:$H$119,6,FALSE),"")</f>
        <v>0</v>
      </c>
      <c r="M1383" s="77" t="str">
        <f>VLOOKUP(DESPESAS[[#This Row],[Plano de Contas]],BASE!$B$3:$H$119,7,FALSE)</f>
        <v>THAIS</v>
      </c>
    </row>
    <row r="1384" spans="1:13" x14ac:dyDescent="0.25">
      <c r="A1384" s="74">
        <v>198051</v>
      </c>
      <c r="B1384" s="75" t="s">
        <v>221</v>
      </c>
      <c r="C1384" s="75" t="s">
        <v>2376</v>
      </c>
      <c r="D1384" s="76">
        <v>46053</v>
      </c>
      <c r="E1384" s="75" t="s">
        <v>2375</v>
      </c>
      <c r="F1384" s="74">
        <v>1320</v>
      </c>
      <c r="G1384" s="75" t="s">
        <v>1318</v>
      </c>
      <c r="H1384" s="77" t="str">
        <f>VLOOKUP(DESPESAS[[#This Row],[Plano de Contas]],BASE!$B$3:$D$119,3,FALSE)</f>
        <v>Feiras e Eventos</v>
      </c>
      <c r="I1384" s="77" t="str">
        <f>IFERROR(VLOOKUP(DESPESAS[[#This Row],[Fornecedor]],Tabela2[],2,FALSE),"")</f>
        <v/>
      </c>
      <c r="J1384" s="77" t="str">
        <f>IFERROR(VLOOKUP(DESPESAS[[#This Row],[Plano de Contas]],BASE!$B$3:$F$119,4,FALSE),"")</f>
        <v>6 - DESPESA COM VENDAS</v>
      </c>
      <c r="K1384" s="77" t="str">
        <f>IFERROR(VLOOKUP(DESPESAS[[#This Row],[Plano de Contas]],BASE!$B$3:$H$119,5,FALSE),"")</f>
        <v>COMERCIAL</v>
      </c>
      <c r="L1384" s="77">
        <f>IFERROR(VLOOKUP(DESPESAS[[#This Row],[Plano de Contas]],BASE!$B$3:$H$119,6,FALSE),"")</f>
        <v>0</v>
      </c>
      <c r="M1384" s="77" t="str">
        <f>VLOOKUP(DESPESAS[[#This Row],[Plano de Contas]],BASE!$B$3:$H$119,7,FALSE)</f>
        <v>THAIS</v>
      </c>
    </row>
    <row r="1385" spans="1:13" x14ac:dyDescent="0.25">
      <c r="A1385" s="74">
        <v>198052</v>
      </c>
      <c r="B1385" s="75" t="s">
        <v>221</v>
      </c>
      <c r="C1385" s="75" t="s">
        <v>2374</v>
      </c>
      <c r="D1385" s="76">
        <v>46058</v>
      </c>
      <c r="E1385" s="75" t="s">
        <v>317</v>
      </c>
      <c r="F1385" s="74">
        <v>60</v>
      </c>
      <c r="G1385" s="75" t="s">
        <v>244</v>
      </c>
      <c r="H1385" s="77" t="str">
        <f>VLOOKUP(DESPESAS[[#This Row],[Plano de Contas]],BASE!$B$3:$D$119,3,FALSE)</f>
        <v>Material de Expediente (Prod)</v>
      </c>
      <c r="I1385" s="77" t="str">
        <f>IFERROR(VLOOKUP(DESPESAS[[#This Row],[Fornecedor]],Tabela2[],2,FALSE),"")</f>
        <v/>
      </c>
      <c r="J1385" s="77" t="str">
        <f>IFERROR(VLOOKUP(DESPESAS[[#This Row],[Plano de Contas]],BASE!$B$3:$F$119,4,FALSE),"")</f>
        <v>2 - CUSTOS DIRETOS</v>
      </c>
      <c r="K1385" s="77" t="str">
        <f>IFERROR(VLOOKUP(DESPESAS[[#This Row],[Plano de Contas]],BASE!$B$3:$H$119,5,FALSE),"")</f>
        <v>PRODUÇÃO</v>
      </c>
      <c r="L1385" s="77">
        <f>IFERROR(VLOOKUP(DESPESAS[[#This Row],[Plano de Contas]],BASE!$B$3:$H$119,6,FALSE),"")</f>
        <v>0</v>
      </c>
      <c r="M1385" s="77" t="str">
        <f>VLOOKUP(DESPESAS[[#This Row],[Plano de Contas]],BASE!$B$3:$H$119,7,FALSE)</f>
        <v>RAFAEL</v>
      </c>
    </row>
    <row r="1386" spans="1:13" x14ac:dyDescent="0.25">
      <c r="A1386" s="74">
        <v>198054</v>
      </c>
      <c r="B1386" s="75" t="s">
        <v>221</v>
      </c>
      <c r="C1386" s="75" t="s">
        <v>2373</v>
      </c>
      <c r="D1386" s="76">
        <v>46053</v>
      </c>
      <c r="E1386" s="75" t="s">
        <v>347</v>
      </c>
      <c r="F1386" s="74">
        <v>294</v>
      </c>
      <c r="G1386" s="75" t="s">
        <v>1318</v>
      </c>
      <c r="H1386" s="77" t="str">
        <f>VLOOKUP(DESPESAS[[#This Row],[Plano de Contas]],BASE!$B$3:$D$119,3,FALSE)</f>
        <v>Feiras e Eventos</v>
      </c>
      <c r="I1386" s="77" t="str">
        <f>IFERROR(VLOOKUP(DESPESAS[[#This Row],[Fornecedor]],Tabela2[],2,FALSE),"")</f>
        <v/>
      </c>
      <c r="J1386" s="77" t="str">
        <f>IFERROR(VLOOKUP(DESPESAS[[#This Row],[Plano de Contas]],BASE!$B$3:$F$119,4,FALSE),"")</f>
        <v>6 - DESPESA COM VENDAS</v>
      </c>
      <c r="K1386" s="77" t="str">
        <f>IFERROR(VLOOKUP(DESPESAS[[#This Row],[Plano de Contas]],BASE!$B$3:$H$119,5,FALSE),"")</f>
        <v>COMERCIAL</v>
      </c>
      <c r="L1386" s="77">
        <f>IFERROR(VLOOKUP(DESPESAS[[#This Row],[Plano de Contas]],BASE!$B$3:$H$119,6,FALSE),"")</f>
        <v>0</v>
      </c>
      <c r="M1386" s="77" t="str">
        <f>VLOOKUP(DESPESAS[[#This Row],[Plano de Contas]],BASE!$B$3:$H$119,7,FALSE)</f>
        <v>THAIS</v>
      </c>
    </row>
    <row r="1387" spans="1:13" x14ac:dyDescent="0.25">
      <c r="A1387" s="74">
        <v>198055</v>
      </c>
      <c r="B1387" s="75" t="s">
        <v>221</v>
      </c>
      <c r="C1387" s="75" t="s">
        <v>2372</v>
      </c>
      <c r="D1387" s="76">
        <v>46058</v>
      </c>
      <c r="E1387" s="75" t="s">
        <v>1466</v>
      </c>
      <c r="F1387" s="74">
        <v>500</v>
      </c>
      <c r="G1387" s="75" t="s">
        <v>480</v>
      </c>
      <c r="H1387" s="77" t="str">
        <f>VLOOKUP(DESPESAS[[#This Row],[Plano de Contas]],BASE!$B$3:$D$119,3,FALSE)</f>
        <v>Viagens e Estadias c/ Vendas</v>
      </c>
      <c r="I1387" s="77" t="str">
        <f>IFERROR(VLOOKUP(DESPESAS[[#This Row],[Fornecedor]],Tabela2[],2,FALSE),"")</f>
        <v/>
      </c>
      <c r="J1387" s="77" t="str">
        <f>IFERROR(VLOOKUP(DESPESAS[[#This Row],[Plano de Contas]],BASE!$B$3:$F$119,4,FALSE),"")</f>
        <v>6 - DESPESA COM VENDAS</v>
      </c>
      <c r="K1387" s="77" t="str">
        <f>IFERROR(VLOOKUP(DESPESAS[[#This Row],[Plano de Contas]],BASE!$B$3:$H$119,5,FALSE),"")</f>
        <v>COMERCIAL</v>
      </c>
      <c r="L1387" s="77">
        <f>IFERROR(VLOOKUP(DESPESAS[[#This Row],[Plano de Contas]],BASE!$B$3:$H$119,6,FALSE),"")</f>
        <v>0</v>
      </c>
      <c r="M1387" s="77" t="str">
        <f>VLOOKUP(DESPESAS[[#This Row],[Plano de Contas]],BASE!$B$3:$H$119,7,FALSE)</f>
        <v>LETÍCIA</v>
      </c>
    </row>
    <row r="1388" spans="1:13" x14ac:dyDescent="0.25">
      <c r="A1388" s="74">
        <v>198056</v>
      </c>
      <c r="B1388" s="75" t="s">
        <v>221</v>
      </c>
      <c r="C1388" s="75" t="s">
        <v>2371</v>
      </c>
      <c r="D1388" s="76">
        <v>46053</v>
      </c>
      <c r="E1388" s="75" t="s">
        <v>570</v>
      </c>
      <c r="F1388" s="74">
        <v>1076.26</v>
      </c>
      <c r="G1388" s="75" t="s">
        <v>1318</v>
      </c>
      <c r="H1388" s="77" t="str">
        <f>VLOOKUP(DESPESAS[[#This Row],[Plano de Contas]],BASE!$B$3:$D$119,3,FALSE)</f>
        <v>Feiras e Eventos</v>
      </c>
      <c r="I1388" s="77" t="str">
        <f>IFERROR(VLOOKUP(DESPESAS[[#This Row],[Fornecedor]],Tabela2[],2,FALSE),"")</f>
        <v/>
      </c>
      <c r="J1388" s="77" t="str">
        <f>IFERROR(VLOOKUP(DESPESAS[[#This Row],[Plano de Contas]],BASE!$B$3:$F$119,4,FALSE),"")</f>
        <v>6 - DESPESA COM VENDAS</v>
      </c>
      <c r="K1388" s="77" t="str">
        <f>IFERROR(VLOOKUP(DESPESAS[[#This Row],[Plano de Contas]],BASE!$B$3:$H$119,5,FALSE),"")</f>
        <v>COMERCIAL</v>
      </c>
      <c r="L1388" s="77">
        <f>IFERROR(VLOOKUP(DESPESAS[[#This Row],[Plano de Contas]],BASE!$B$3:$H$119,6,FALSE),"")</f>
        <v>0</v>
      </c>
      <c r="M1388" s="77" t="str">
        <f>VLOOKUP(DESPESAS[[#This Row],[Plano de Contas]],BASE!$B$3:$H$119,7,FALSE)</f>
        <v>THAIS</v>
      </c>
    </row>
    <row r="1389" spans="1:13" x14ac:dyDescent="0.25">
      <c r="A1389" s="74">
        <v>198058</v>
      </c>
      <c r="B1389" s="75" t="s">
        <v>221</v>
      </c>
      <c r="C1389" s="75" t="s">
        <v>2370</v>
      </c>
      <c r="D1389" s="76">
        <v>46058</v>
      </c>
      <c r="E1389" s="75" t="s">
        <v>2369</v>
      </c>
      <c r="F1389" s="74">
        <v>387.4</v>
      </c>
      <c r="G1389" s="75" t="s">
        <v>606</v>
      </c>
      <c r="H1389" s="77" t="str">
        <f>VLOOKUP(DESPESAS[[#This Row],[Plano de Contas]],BASE!$B$3:$D$119,3,FALSE)</f>
        <v>EPIs/Uniformes (Prod)</v>
      </c>
      <c r="I1389" s="77" t="str">
        <f>IFERROR(VLOOKUP(DESPESAS[[#This Row],[Fornecedor]],Tabela2[],2,FALSE),"")</f>
        <v/>
      </c>
      <c r="J1389" s="77" t="str">
        <f>IFERROR(VLOOKUP(DESPESAS[[#This Row],[Plano de Contas]],BASE!$B$3:$F$119,4,FALSE),"")</f>
        <v>2 - CUSTOS DIRETOS</v>
      </c>
      <c r="K1389" s="77" t="str">
        <f>IFERROR(VLOOKUP(DESPESAS[[#This Row],[Plano de Contas]],BASE!$B$3:$H$119,5,FALSE),"")</f>
        <v>COMPRAS</v>
      </c>
      <c r="L1389" s="77">
        <f>IFERROR(VLOOKUP(DESPESAS[[#This Row],[Plano de Contas]],BASE!$B$3:$H$119,6,FALSE),"")</f>
        <v>0</v>
      </c>
      <c r="M1389" s="77" t="str">
        <f>VLOOKUP(DESPESAS[[#This Row],[Plano de Contas]],BASE!$B$3:$H$119,7,FALSE)</f>
        <v>RAFAEL</v>
      </c>
    </row>
    <row r="1390" spans="1:13" x14ac:dyDescent="0.25">
      <c r="A1390" s="74">
        <v>198059</v>
      </c>
      <c r="B1390" s="75" t="s">
        <v>232</v>
      </c>
      <c r="C1390" s="75" t="s">
        <v>2368</v>
      </c>
      <c r="D1390" s="76">
        <v>46058</v>
      </c>
      <c r="E1390" s="75" t="s">
        <v>2367</v>
      </c>
      <c r="F1390" s="74">
        <v>900</v>
      </c>
      <c r="G1390" s="75" t="s">
        <v>244</v>
      </c>
      <c r="H1390" s="77" t="str">
        <f>VLOOKUP(DESPESAS[[#This Row],[Plano de Contas]],BASE!$B$3:$D$119,3,FALSE)</f>
        <v>Material de Expediente (Prod)</v>
      </c>
      <c r="I1390" s="77" t="str">
        <f>IFERROR(VLOOKUP(DESPESAS[[#This Row],[Fornecedor]],Tabela2[],2,FALSE),"")</f>
        <v/>
      </c>
      <c r="J1390" s="77" t="str">
        <f>IFERROR(VLOOKUP(DESPESAS[[#This Row],[Plano de Contas]],BASE!$B$3:$F$119,4,FALSE),"")</f>
        <v>2 - CUSTOS DIRETOS</v>
      </c>
      <c r="K1390" s="77" t="str">
        <f>IFERROR(VLOOKUP(DESPESAS[[#This Row],[Plano de Contas]],BASE!$B$3:$H$119,5,FALSE),"")</f>
        <v>PRODUÇÃO</v>
      </c>
      <c r="L1390" s="77">
        <f>IFERROR(VLOOKUP(DESPESAS[[#This Row],[Plano de Contas]],BASE!$B$3:$H$119,6,FALSE),"")</f>
        <v>0</v>
      </c>
      <c r="M1390" s="77" t="str">
        <f>VLOOKUP(DESPESAS[[#This Row],[Plano de Contas]],BASE!$B$3:$H$119,7,FALSE)</f>
        <v>RAFAEL</v>
      </c>
    </row>
    <row r="1391" spans="1:13" x14ac:dyDescent="0.25">
      <c r="A1391" s="74">
        <v>198061</v>
      </c>
      <c r="B1391" s="75" t="s">
        <v>279</v>
      </c>
      <c r="C1391" s="75" t="s">
        <v>2366</v>
      </c>
      <c r="D1391" s="76">
        <v>46053</v>
      </c>
      <c r="E1391" s="75" t="s">
        <v>437</v>
      </c>
      <c r="F1391" s="74">
        <v>4531.45</v>
      </c>
      <c r="G1391" s="75" t="s">
        <v>436</v>
      </c>
      <c r="H1391" s="77" t="str">
        <f>VLOOKUP(DESPESAS[[#This Row],[Plano de Contas]],BASE!$B$3:$D$119,3,FALSE)</f>
        <v>FGTS (Adm)</v>
      </c>
      <c r="I1391" s="77" t="str">
        <f>IFERROR(VLOOKUP(DESPESAS[[#This Row],[Fornecedor]],Tabela2[],2,FALSE),"")</f>
        <v/>
      </c>
      <c r="J1391" s="77" t="str">
        <f>IFERROR(VLOOKUP(DESPESAS[[#This Row],[Plano de Contas]],BASE!$B$3:$F$119,4,FALSE),"")</f>
        <v>4 - GASTOS COM PESSOAL</v>
      </c>
      <c r="K1391" s="77" t="str">
        <f>IFERROR(VLOOKUP(DESPESAS[[#This Row],[Plano de Contas]],BASE!$B$3:$H$119,5,FALSE),"")</f>
        <v>DH</v>
      </c>
      <c r="L1391" s="77">
        <f>IFERROR(VLOOKUP(DESPESAS[[#This Row],[Plano de Contas]],BASE!$B$3:$H$119,6,FALSE),"")</f>
        <v>0</v>
      </c>
      <c r="M1391" s="77" t="str">
        <f>VLOOKUP(DESPESAS[[#This Row],[Plano de Contas]],BASE!$B$3:$H$119,7,FALSE)</f>
        <v>RAFAEL</v>
      </c>
    </row>
    <row r="1392" spans="1:13" x14ac:dyDescent="0.25">
      <c r="A1392" s="74">
        <v>198062</v>
      </c>
      <c r="B1392" s="75" t="s">
        <v>279</v>
      </c>
      <c r="C1392" s="75" t="s">
        <v>2365</v>
      </c>
      <c r="D1392" s="76">
        <v>46053</v>
      </c>
      <c r="E1392" s="75" t="s">
        <v>437</v>
      </c>
      <c r="F1392" s="74">
        <v>4786.76</v>
      </c>
      <c r="G1392" s="75" t="s">
        <v>781</v>
      </c>
      <c r="H1392" s="77" t="str">
        <f>VLOOKUP(DESPESAS[[#This Row],[Plano de Contas]],BASE!$B$3:$D$119,3,FALSE)</f>
        <v>FGTS CIF</v>
      </c>
      <c r="I1392" s="77" t="str">
        <f>IFERROR(VLOOKUP(DESPESAS[[#This Row],[Fornecedor]],Tabela2[],2,FALSE),"")</f>
        <v/>
      </c>
      <c r="J1392" s="77" t="str">
        <f>IFERROR(VLOOKUP(DESPESAS[[#This Row],[Plano de Contas]],BASE!$B$3:$F$119,4,FALSE),"")</f>
        <v>3 - CUSTOS INDIRETOS</v>
      </c>
      <c r="K1392" s="77" t="str">
        <f>IFERROR(VLOOKUP(DESPESAS[[#This Row],[Plano de Contas]],BASE!$B$3:$H$119,5,FALSE),"")</f>
        <v>DH</v>
      </c>
      <c r="L1392" s="77" t="str">
        <f>IFERROR(VLOOKUP(DESPESAS[[#This Row],[Plano de Contas]],BASE!$B$3:$H$119,6,FALSE),"")</f>
        <v>CUSTO MÃO DE OBRA DIRETA</v>
      </c>
      <c r="M1392" s="77" t="str">
        <f>VLOOKUP(DESPESAS[[#This Row],[Plano de Contas]],BASE!$B$3:$H$119,7,FALSE)</f>
        <v>RAFAEL</v>
      </c>
    </row>
    <row r="1393" spans="1:13" x14ac:dyDescent="0.25">
      <c r="A1393" s="74">
        <v>198063</v>
      </c>
      <c r="B1393" s="75" t="s">
        <v>279</v>
      </c>
      <c r="C1393" s="75" t="s">
        <v>2364</v>
      </c>
      <c r="D1393" s="76">
        <v>46053</v>
      </c>
      <c r="E1393" s="75" t="s">
        <v>437</v>
      </c>
      <c r="F1393" s="74">
        <v>22864.37</v>
      </c>
      <c r="G1393" s="75" t="s">
        <v>779</v>
      </c>
      <c r="H1393" s="77" t="str">
        <f>VLOOKUP(DESPESAS[[#This Row],[Plano de Contas]],BASE!$B$3:$D$119,3,FALSE)</f>
        <v>FGTS MOD</v>
      </c>
      <c r="I1393" s="77" t="str">
        <f>IFERROR(VLOOKUP(DESPESAS[[#This Row],[Fornecedor]],Tabela2[],2,FALSE),"")</f>
        <v/>
      </c>
      <c r="J1393" s="77" t="str">
        <f>IFERROR(VLOOKUP(DESPESAS[[#This Row],[Plano de Contas]],BASE!$B$3:$F$119,4,FALSE),"")</f>
        <v>2 - CUSTOS DIRETOS</v>
      </c>
      <c r="K1393" s="77" t="str">
        <f>IFERROR(VLOOKUP(DESPESAS[[#This Row],[Plano de Contas]],BASE!$B$3:$H$119,5,FALSE),"")</f>
        <v>DH</v>
      </c>
      <c r="L1393" s="77" t="str">
        <f>IFERROR(VLOOKUP(DESPESAS[[#This Row],[Plano de Contas]],BASE!$B$3:$H$119,6,FALSE),"")</f>
        <v>CUSTO MÃO DE OBRA DIRETA</v>
      </c>
      <c r="M1393" s="77" t="str">
        <f>VLOOKUP(DESPESAS[[#This Row],[Plano de Contas]],BASE!$B$3:$H$119,7,FALSE)</f>
        <v>RAFAEL</v>
      </c>
    </row>
    <row r="1394" spans="1:13" x14ac:dyDescent="0.25">
      <c r="A1394" s="74">
        <v>198064</v>
      </c>
      <c r="B1394" s="75" t="s">
        <v>232</v>
      </c>
      <c r="C1394" s="75" t="s">
        <v>2366</v>
      </c>
      <c r="D1394" s="76">
        <v>46053</v>
      </c>
      <c r="E1394" s="75" t="s">
        <v>437</v>
      </c>
      <c r="F1394" s="74">
        <v>3541.54</v>
      </c>
      <c r="G1394" s="75" t="s">
        <v>436</v>
      </c>
      <c r="H1394" s="77" t="str">
        <f>VLOOKUP(DESPESAS[[#This Row],[Plano de Contas]],BASE!$B$3:$D$119,3,FALSE)</f>
        <v>FGTS (Adm)</v>
      </c>
      <c r="I1394" s="77" t="str">
        <f>IFERROR(VLOOKUP(DESPESAS[[#This Row],[Fornecedor]],Tabela2[],2,FALSE),"")</f>
        <v/>
      </c>
      <c r="J1394" s="77" t="str">
        <f>IFERROR(VLOOKUP(DESPESAS[[#This Row],[Plano de Contas]],BASE!$B$3:$F$119,4,FALSE),"")</f>
        <v>4 - GASTOS COM PESSOAL</v>
      </c>
      <c r="K1394" s="77" t="str">
        <f>IFERROR(VLOOKUP(DESPESAS[[#This Row],[Plano de Contas]],BASE!$B$3:$H$119,5,FALSE),"")</f>
        <v>DH</v>
      </c>
      <c r="L1394" s="77">
        <f>IFERROR(VLOOKUP(DESPESAS[[#This Row],[Plano de Contas]],BASE!$B$3:$H$119,6,FALSE),"")</f>
        <v>0</v>
      </c>
      <c r="M1394" s="77" t="str">
        <f>VLOOKUP(DESPESAS[[#This Row],[Plano de Contas]],BASE!$B$3:$H$119,7,FALSE)</f>
        <v>RAFAEL</v>
      </c>
    </row>
    <row r="1395" spans="1:13" x14ac:dyDescent="0.25">
      <c r="A1395" s="74">
        <v>198065</v>
      </c>
      <c r="B1395" s="75" t="s">
        <v>232</v>
      </c>
      <c r="C1395" s="75" t="s">
        <v>2365</v>
      </c>
      <c r="D1395" s="76">
        <v>46053</v>
      </c>
      <c r="E1395" s="75" t="s">
        <v>437</v>
      </c>
      <c r="F1395" s="74">
        <v>911.4</v>
      </c>
      <c r="G1395" s="75" t="s">
        <v>781</v>
      </c>
      <c r="H1395" s="77" t="str">
        <f>VLOOKUP(DESPESAS[[#This Row],[Plano de Contas]],BASE!$B$3:$D$119,3,FALSE)</f>
        <v>FGTS CIF</v>
      </c>
      <c r="I1395" s="77" t="str">
        <f>IFERROR(VLOOKUP(DESPESAS[[#This Row],[Fornecedor]],Tabela2[],2,FALSE),"")</f>
        <v/>
      </c>
      <c r="J1395" s="77" t="str">
        <f>IFERROR(VLOOKUP(DESPESAS[[#This Row],[Plano de Contas]],BASE!$B$3:$F$119,4,FALSE),"")</f>
        <v>3 - CUSTOS INDIRETOS</v>
      </c>
      <c r="K1395" s="77" t="str">
        <f>IFERROR(VLOOKUP(DESPESAS[[#This Row],[Plano de Contas]],BASE!$B$3:$H$119,5,FALSE),"")</f>
        <v>DH</v>
      </c>
      <c r="L1395" s="77" t="str">
        <f>IFERROR(VLOOKUP(DESPESAS[[#This Row],[Plano de Contas]],BASE!$B$3:$H$119,6,FALSE),"")</f>
        <v>CUSTO MÃO DE OBRA DIRETA</v>
      </c>
      <c r="M1395" s="77" t="str">
        <f>VLOOKUP(DESPESAS[[#This Row],[Plano de Contas]],BASE!$B$3:$H$119,7,FALSE)</f>
        <v>RAFAEL</v>
      </c>
    </row>
    <row r="1396" spans="1:13" x14ac:dyDescent="0.25">
      <c r="A1396" s="74">
        <v>198066</v>
      </c>
      <c r="B1396" s="75" t="s">
        <v>232</v>
      </c>
      <c r="C1396" s="75" t="s">
        <v>2364</v>
      </c>
      <c r="D1396" s="76">
        <v>46053</v>
      </c>
      <c r="E1396" s="75" t="s">
        <v>437</v>
      </c>
      <c r="F1396" s="74">
        <v>8466.2000000000007</v>
      </c>
      <c r="G1396" s="75" t="s">
        <v>779</v>
      </c>
      <c r="H1396" s="77" t="str">
        <f>VLOOKUP(DESPESAS[[#This Row],[Plano de Contas]],BASE!$B$3:$D$119,3,FALSE)</f>
        <v>FGTS MOD</v>
      </c>
      <c r="I1396" s="77" t="str">
        <f>IFERROR(VLOOKUP(DESPESAS[[#This Row],[Fornecedor]],Tabela2[],2,FALSE),"")</f>
        <v/>
      </c>
      <c r="J1396" s="77" t="str">
        <f>IFERROR(VLOOKUP(DESPESAS[[#This Row],[Plano de Contas]],BASE!$B$3:$F$119,4,FALSE),"")</f>
        <v>2 - CUSTOS DIRETOS</v>
      </c>
      <c r="K1396" s="77" t="str">
        <f>IFERROR(VLOOKUP(DESPESAS[[#This Row],[Plano de Contas]],BASE!$B$3:$H$119,5,FALSE),"")</f>
        <v>DH</v>
      </c>
      <c r="L1396" s="77" t="str">
        <f>IFERROR(VLOOKUP(DESPESAS[[#This Row],[Plano de Contas]],BASE!$B$3:$H$119,6,FALSE),"")</f>
        <v>CUSTO MÃO DE OBRA DIRETA</v>
      </c>
      <c r="M1396" s="77" t="str">
        <f>VLOOKUP(DESPESAS[[#This Row],[Plano de Contas]],BASE!$B$3:$H$119,7,FALSE)</f>
        <v>RAFAEL</v>
      </c>
    </row>
    <row r="1397" spans="1:13" x14ac:dyDescent="0.25">
      <c r="A1397" s="74">
        <v>198067</v>
      </c>
      <c r="B1397" s="75" t="s">
        <v>281</v>
      </c>
      <c r="C1397" s="75" t="s">
        <v>2366</v>
      </c>
      <c r="D1397" s="76">
        <v>46053</v>
      </c>
      <c r="E1397" s="75" t="s">
        <v>437</v>
      </c>
      <c r="F1397" s="74">
        <v>701.56</v>
      </c>
      <c r="G1397" s="75" t="s">
        <v>436</v>
      </c>
      <c r="H1397" s="77" t="str">
        <f>VLOOKUP(DESPESAS[[#This Row],[Plano de Contas]],BASE!$B$3:$D$119,3,FALSE)</f>
        <v>FGTS (Adm)</v>
      </c>
      <c r="I1397" s="77" t="str">
        <f>IFERROR(VLOOKUP(DESPESAS[[#This Row],[Fornecedor]],Tabela2[],2,FALSE),"")</f>
        <v/>
      </c>
      <c r="J1397" s="77" t="str">
        <f>IFERROR(VLOOKUP(DESPESAS[[#This Row],[Plano de Contas]],BASE!$B$3:$F$119,4,FALSE),"")</f>
        <v>4 - GASTOS COM PESSOAL</v>
      </c>
      <c r="K1397" s="77" t="str">
        <f>IFERROR(VLOOKUP(DESPESAS[[#This Row],[Plano de Contas]],BASE!$B$3:$H$119,5,FALSE),"")</f>
        <v>DH</v>
      </c>
      <c r="L1397" s="77">
        <f>IFERROR(VLOOKUP(DESPESAS[[#This Row],[Plano de Contas]],BASE!$B$3:$H$119,6,FALSE),"")</f>
        <v>0</v>
      </c>
      <c r="M1397" s="77" t="str">
        <f>VLOOKUP(DESPESAS[[#This Row],[Plano de Contas]],BASE!$B$3:$H$119,7,FALSE)</f>
        <v>RAFAEL</v>
      </c>
    </row>
    <row r="1398" spans="1:13" x14ac:dyDescent="0.25">
      <c r="A1398" s="74">
        <v>198069</v>
      </c>
      <c r="B1398" s="75" t="s">
        <v>281</v>
      </c>
      <c r="C1398" s="75" t="s">
        <v>2365</v>
      </c>
      <c r="D1398" s="76">
        <v>46053</v>
      </c>
      <c r="E1398" s="75" t="s">
        <v>437</v>
      </c>
      <c r="F1398" s="74">
        <v>799.79</v>
      </c>
      <c r="G1398" s="75" t="s">
        <v>781</v>
      </c>
      <c r="H1398" s="77" t="str">
        <f>VLOOKUP(DESPESAS[[#This Row],[Plano de Contas]],BASE!$B$3:$D$119,3,FALSE)</f>
        <v>FGTS CIF</v>
      </c>
      <c r="I1398" s="77" t="str">
        <f>IFERROR(VLOOKUP(DESPESAS[[#This Row],[Fornecedor]],Tabela2[],2,FALSE),"")</f>
        <v/>
      </c>
      <c r="J1398" s="77" t="str">
        <f>IFERROR(VLOOKUP(DESPESAS[[#This Row],[Plano de Contas]],BASE!$B$3:$F$119,4,FALSE),"")</f>
        <v>3 - CUSTOS INDIRETOS</v>
      </c>
      <c r="K1398" s="77" t="str">
        <f>IFERROR(VLOOKUP(DESPESAS[[#This Row],[Plano de Contas]],BASE!$B$3:$H$119,5,FALSE),"")</f>
        <v>DH</v>
      </c>
      <c r="L1398" s="77" t="str">
        <f>IFERROR(VLOOKUP(DESPESAS[[#This Row],[Plano de Contas]],BASE!$B$3:$H$119,6,FALSE),"")</f>
        <v>CUSTO MÃO DE OBRA DIRETA</v>
      </c>
      <c r="M1398" s="77" t="str">
        <f>VLOOKUP(DESPESAS[[#This Row],[Plano de Contas]],BASE!$B$3:$H$119,7,FALSE)</f>
        <v>RAFAEL</v>
      </c>
    </row>
    <row r="1399" spans="1:13" x14ac:dyDescent="0.25">
      <c r="A1399" s="74">
        <v>198070</v>
      </c>
      <c r="B1399" s="75" t="s">
        <v>281</v>
      </c>
      <c r="C1399" s="75" t="s">
        <v>2364</v>
      </c>
      <c r="D1399" s="76">
        <v>46053</v>
      </c>
      <c r="E1399" s="75" t="s">
        <v>437</v>
      </c>
      <c r="F1399" s="74">
        <v>3101.41</v>
      </c>
      <c r="G1399" s="75" t="s">
        <v>779</v>
      </c>
      <c r="H1399" s="77" t="str">
        <f>VLOOKUP(DESPESAS[[#This Row],[Plano de Contas]],BASE!$B$3:$D$119,3,FALSE)</f>
        <v>FGTS MOD</v>
      </c>
      <c r="I1399" s="77" t="str">
        <f>IFERROR(VLOOKUP(DESPESAS[[#This Row],[Fornecedor]],Tabela2[],2,FALSE),"")</f>
        <v/>
      </c>
      <c r="J1399" s="77" t="str">
        <f>IFERROR(VLOOKUP(DESPESAS[[#This Row],[Plano de Contas]],BASE!$B$3:$F$119,4,FALSE),"")</f>
        <v>2 - CUSTOS DIRETOS</v>
      </c>
      <c r="K1399" s="77" t="str">
        <f>IFERROR(VLOOKUP(DESPESAS[[#This Row],[Plano de Contas]],BASE!$B$3:$H$119,5,FALSE),"")</f>
        <v>DH</v>
      </c>
      <c r="L1399" s="77" t="str">
        <f>IFERROR(VLOOKUP(DESPESAS[[#This Row],[Plano de Contas]],BASE!$B$3:$H$119,6,FALSE),"")</f>
        <v>CUSTO MÃO DE OBRA DIRETA</v>
      </c>
      <c r="M1399" s="77" t="str">
        <f>VLOOKUP(DESPESAS[[#This Row],[Plano de Contas]],BASE!$B$3:$H$119,7,FALSE)</f>
        <v>RAFAEL</v>
      </c>
    </row>
    <row r="1400" spans="1:13" x14ac:dyDescent="0.25">
      <c r="A1400" s="74">
        <v>198072</v>
      </c>
      <c r="B1400" s="75" t="s">
        <v>281</v>
      </c>
      <c r="C1400" s="75" t="s">
        <v>2363</v>
      </c>
      <c r="D1400" s="76">
        <v>46066</v>
      </c>
      <c r="E1400" s="75" t="s">
        <v>361</v>
      </c>
      <c r="F1400" s="74">
        <v>31.8</v>
      </c>
      <c r="G1400" s="75" t="s">
        <v>218</v>
      </c>
      <c r="H1400" s="77" t="str">
        <f>VLOOKUP(DESPESAS[[#This Row],[Plano de Contas]],BASE!$B$3:$D$119,3,FALSE)</f>
        <v>Manutenção de Equipamentos (Prod)</v>
      </c>
      <c r="I1400" s="77" t="str">
        <f>IFERROR(VLOOKUP(DESPESAS[[#This Row],[Fornecedor]],Tabela2[],2,FALSE),"")</f>
        <v/>
      </c>
      <c r="J1400" s="77" t="str">
        <f>IFERROR(VLOOKUP(DESPESAS[[#This Row],[Plano de Contas]],BASE!$B$3:$F$119,4,FALSE),"")</f>
        <v>3 - CUSTOS INDIRETOS</v>
      </c>
      <c r="K1400" s="77" t="str">
        <f>IFERROR(VLOOKUP(DESPESAS[[#This Row],[Plano de Contas]],BASE!$B$3:$H$119,5,FALSE),"")</f>
        <v>MANUTENÇÃO / TI</v>
      </c>
      <c r="L1400" s="77">
        <f>IFERROR(VLOOKUP(DESPESAS[[#This Row],[Plano de Contas]],BASE!$B$3:$H$119,6,FALSE),"")</f>
        <v>0</v>
      </c>
      <c r="M1400" s="77" t="str">
        <f>VLOOKUP(DESPESAS[[#This Row],[Plano de Contas]],BASE!$B$3:$H$119,7,FALSE)</f>
        <v>RAFAEL</v>
      </c>
    </row>
    <row r="1401" spans="1:13" x14ac:dyDescent="0.25">
      <c r="A1401" s="74">
        <v>198073</v>
      </c>
      <c r="B1401" s="75" t="s">
        <v>232</v>
      </c>
      <c r="C1401" s="75" t="s">
        <v>2362</v>
      </c>
      <c r="D1401" s="76">
        <v>46058</v>
      </c>
      <c r="E1401" s="75" t="s">
        <v>589</v>
      </c>
      <c r="F1401" s="74">
        <v>3000</v>
      </c>
      <c r="G1401" s="75" t="s">
        <v>218</v>
      </c>
      <c r="H1401" s="77" t="str">
        <f>VLOOKUP(DESPESAS[[#This Row],[Plano de Contas]],BASE!$B$3:$D$119,3,FALSE)</f>
        <v>Manutenção de Equipamentos (Prod)</v>
      </c>
      <c r="I1401" s="77" t="str">
        <f>IFERROR(VLOOKUP(DESPESAS[[#This Row],[Fornecedor]],Tabela2[],2,FALSE),"")</f>
        <v>COMPRESSORES</v>
      </c>
      <c r="J1401" s="77" t="str">
        <f>IFERROR(VLOOKUP(DESPESAS[[#This Row],[Plano de Contas]],BASE!$B$3:$F$119,4,FALSE),"")</f>
        <v>3 - CUSTOS INDIRETOS</v>
      </c>
      <c r="K1401" s="77" t="str">
        <f>IFERROR(VLOOKUP(DESPESAS[[#This Row],[Plano de Contas]],BASE!$B$3:$H$119,5,FALSE),"")</f>
        <v>MANUTENÇÃO / TI</v>
      </c>
      <c r="L1401" s="77">
        <f>IFERROR(VLOOKUP(DESPESAS[[#This Row],[Plano de Contas]],BASE!$B$3:$H$119,6,FALSE),"")</f>
        <v>0</v>
      </c>
      <c r="M1401" s="77" t="str">
        <f>VLOOKUP(DESPESAS[[#This Row],[Plano de Contas]],BASE!$B$3:$H$119,7,FALSE)</f>
        <v>RAFAEL</v>
      </c>
    </row>
    <row r="1402" spans="1:13" x14ac:dyDescent="0.25">
      <c r="A1402" s="74">
        <v>198074</v>
      </c>
      <c r="B1402" s="75" t="s">
        <v>281</v>
      </c>
      <c r="C1402" s="75" t="s">
        <v>2361</v>
      </c>
      <c r="D1402" s="76">
        <v>46058</v>
      </c>
      <c r="E1402" s="75" t="s">
        <v>963</v>
      </c>
      <c r="F1402" s="74">
        <v>706.34</v>
      </c>
      <c r="G1402" s="75" t="s">
        <v>276</v>
      </c>
      <c r="H1402" s="77" t="str">
        <f>VLOOKUP(DESPESAS[[#This Row],[Plano de Contas]],BASE!$B$3:$D$119,3,FALSE)</f>
        <v>Férias MOD</v>
      </c>
      <c r="I1402" s="77" t="str">
        <f>IFERROR(VLOOKUP(DESPESAS[[#This Row],[Fornecedor]],Tabela2[],2,FALSE),"")</f>
        <v/>
      </c>
      <c r="J1402" s="77" t="str">
        <f>IFERROR(VLOOKUP(DESPESAS[[#This Row],[Plano de Contas]],BASE!$B$3:$F$119,4,FALSE),"")</f>
        <v>2 - CUSTOS DIRETOS</v>
      </c>
      <c r="K1402" s="77" t="str">
        <f>IFERROR(VLOOKUP(DESPESAS[[#This Row],[Plano de Contas]],BASE!$B$3:$H$119,5,FALSE),"")</f>
        <v>DH</v>
      </c>
      <c r="L1402" s="77" t="str">
        <f>IFERROR(VLOOKUP(DESPESAS[[#This Row],[Plano de Contas]],BASE!$B$3:$H$119,6,FALSE),"")</f>
        <v>CUSTO MÃO DE OBRA DIRETA</v>
      </c>
      <c r="M1402" s="77" t="str">
        <f>VLOOKUP(DESPESAS[[#This Row],[Plano de Contas]],BASE!$B$3:$H$119,7,FALSE)</f>
        <v>RAFAEL</v>
      </c>
    </row>
    <row r="1403" spans="1:13" x14ac:dyDescent="0.25">
      <c r="A1403" s="74">
        <v>198075</v>
      </c>
      <c r="B1403" s="75" t="s">
        <v>281</v>
      </c>
      <c r="C1403" s="75" t="s">
        <v>2360</v>
      </c>
      <c r="D1403" s="76">
        <v>46094</v>
      </c>
      <c r="E1403" s="75" t="s">
        <v>361</v>
      </c>
      <c r="F1403" s="74">
        <v>31.8</v>
      </c>
      <c r="G1403" s="75" t="s">
        <v>218</v>
      </c>
      <c r="H1403" s="77" t="str">
        <f>VLOOKUP(DESPESAS[[#This Row],[Plano de Contas]],BASE!$B$3:$D$119,3,FALSE)</f>
        <v>Manutenção de Equipamentos (Prod)</v>
      </c>
      <c r="I1403" s="77" t="str">
        <f>IFERROR(VLOOKUP(DESPESAS[[#This Row],[Fornecedor]],Tabela2[],2,FALSE),"")</f>
        <v/>
      </c>
      <c r="J1403" s="77" t="str">
        <f>IFERROR(VLOOKUP(DESPESAS[[#This Row],[Plano de Contas]],BASE!$B$3:$F$119,4,FALSE),"")</f>
        <v>3 - CUSTOS INDIRETOS</v>
      </c>
      <c r="K1403" s="77" t="str">
        <f>IFERROR(VLOOKUP(DESPESAS[[#This Row],[Plano de Contas]],BASE!$B$3:$H$119,5,FALSE),"")</f>
        <v>MANUTENÇÃO / TI</v>
      </c>
      <c r="L1403" s="77">
        <f>IFERROR(VLOOKUP(DESPESAS[[#This Row],[Plano de Contas]],BASE!$B$3:$H$119,6,FALSE),"")</f>
        <v>0</v>
      </c>
      <c r="M1403" s="77" t="str">
        <f>VLOOKUP(DESPESAS[[#This Row],[Plano de Contas]],BASE!$B$3:$H$119,7,FALSE)</f>
        <v>RAFAEL</v>
      </c>
    </row>
    <row r="1404" spans="1:13" x14ac:dyDescent="0.25">
      <c r="A1404" s="74">
        <v>198076</v>
      </c>
      <c r="B1404" s="75" t="s">
        <v>281</v>
      </c>
      <c r="C1404" s="75" t="s">
        <v>2359</v>
      </c>
      <c r="D1404" s="76">
        <v>46125</v>
      </c>
      <c r="E1404" s="75" t="s">
        <v>361</v>
      </c>
      <c r="F1404" s="74">
        <v>31.8</v>
      </c>
      <c r="G1404" s="75" t="s">
        <v>218</v>
      </c>
      <c r="H1404" s="77" t="str">
        <f>VLOOKUP(DESPESAS[[#This Row],[Plano de Contas]],BASE!$B$3:$D$119,3,FALSE)</f>
        <v>Manutenção de Equipamentos (Prod)</v>
      </c>
      <c r="I1404" s="77" t="str">
        <f>IFERROR(VLOOKUP(DESPESAS[[#This Row],[Fornecedor]],Tabela2[],2,FALSE),"")</f>
        <v/>
      </c>
      <c r="J1404" s="77" t="str">
        <f>IFERROR(VLOOKUP(DESPESAS[[#This Row],[Plano de Contas]],BASE!$B$3:$F$119,4,FALSE),"")</f>
        <v>3 - CUSTOS INDIRETOS</v>
      </c>
      <c r="K1404" s="77" t="str">
        <f>IFERROR(VLOOKUP(DESPESAS[[#This Row],[Plano de Contas]],BASE!$B$3:$H$119,5,FALSE),"")</f>
        <v>MANUTENÇÃO / TI</v>
      </c>
      <c r="L1404" s="77">
        <f>IFERROR(VLOOKUP(DESPESAS[[#This Row],[Plano de Contas]],BASE!$B$3:$H$119,6,FALSE),"")</f>
        <v>0</v>
      </c>
      <c r="M1404" s="77" t="str">
        <f>VLOOKUP(DESPESAS[[#This Row],[Plano de Contas]],BASE!$B$3:$H$119,7,FALSE)</f>
        <v>RAFAEL</v>
      </c>
    </row>
    <row r="1405" spans="1:13" x14ac:dyDescent="0.25">
      <c r="A1405" s="74">
        <v>198079</v>
      </c>
      <c r="B1405" s="75" t="s">
        <v>281</v>
      </c>
      <c r="C1405" s="75" t="s">
        <v>1423</v>
      </c>
      <c r="D1405" s="76">
        <v>46058</v>
      </c>
      <c r="E1405" s="75" t="s">
        <v>952</v>
      </c>
      <c r="F1405" s="74">
        <v>263.04000000000002</v>
      </c>
      <c r="G1405" s="75" t="s">
        <v>276</v>
      </c>
      <c r="H1405" s="77" t="str">
        <f>VLOOKUP(DESPESAS[[#This Row],[Plano de Contas]],BASE!$B$3:$D$119,3,FALSE)</f>
        <v>Férias MOD</v>
      </c>
      <c r="I1405" s="77" t="str">
        <f>IFERROR(VLOOKUP(DESPESAS[[#This Row],[Fornecedor]],Tabela2[],2,FALSE),"")</f>
        <v/>
      </c>
      <c r="J1405" s="77" t="str">
        <f>IFERROR(VLOOKUP(DESPESAS[[#This Row],[Plano de Contas]],BASE!$B$3:$F$119,4,FALSE),"")</f>
        <v>2 - CUSTOS DIRETOS</v>
      </c>
      <c r="K1405" s="77" t="str">
        <f>IFERROR(VLOOKUP(DESPESAS[[#This Row],[Plano de Contas]],BASE!$B$3:$H$119,5,FALSE),"")</f>
        <v>DH</v>
      </c>
      <c r="L1405" s="77" t="str">
        <f>IFERROR(VLOOKUP(DESPESAS[[#This Row],[Plano de Contas]],BASE!$B$3:$H$119,6,FALSE),"")</f>
        <v>CUSTO MÃO DE OBRA DIRETA</v>
      </c>
      <c r="M1405" s="77" t="str">
        <f>VLOOKUP(DESPESAS[[#This Row],[Plano de Contas]],BASE!$B$3:$H$119,7,FALSE)</f>
        <v>RAFAEL</v>
      </c>
    </row>
    <row r="1406" spans="1:13" x14ac:dyDescent="0.25">
      <c r="A1406" s="74">
        <v>198080</v>
      </c>
      <c r="B1406" s="75" t="s">
        <v>281</v>
      </c>
      <c r="C1406" s="75" t="s">
        <v>2358</v>
      </c>
      <c r="D1406" s="76">
        <v>46066</v>
      </c>
      <c r="E1406" s="75" t="s">
        <v>361</v>
      </c>
      <c r="F1406" s="74">
        <v>23</v>
      </c>
      <c r="G1406" s="75" t="s">
        <v>218</v>
      </c>
      <c r="H1406" s="77" t="str">
        <f>VLOOKUP(DESPESAS[[#This Row],[Plano de Contas]],BASE!$B$3:$D$119,3,FALSE)</f>
        <v>Manutenção de Equipamentos (Prod)</v>
      </c>
      <c r="I1406" s="77" t="str">
        <f>IFERROR(VLOOKUP(DESPESAS[[#This Row],[Fornecedor]],Tabela2[],2,FALSE),"")</f>
        <v/>
      </c>
      <c r="J1406" s="77" t="str">
        <f>IFERROR(VLOOKUP(DESPESAS[[#This Row],[Plano de Contas]],BASE!$B$3:$F$119,4,FALSE),"")</f>
        <v>3 - CUSTOS INDIRETOS</v>
      </c>
      <c r="K1406" s="77" t="str">
        <f>IFERROR(VLOOKUP(DESPESAS[[#This Row],[Plano de Contas]],BASE!$B$3:$H$119,5,FALSE),"")</f>
        <v>MANUTENÇÃO / TI</v>
      </c>
      <c r="L1406" s="77">
        <f>IFERROR(VLOOKUP(DESPESAS[[#This Row],[Plano de Contas]],BASE!$B$3:$H$119,6,FALSE),"")</f>
        <v>0</v>
      </c>
      <c r="M1406" s="77" t="str">
        <f>VLOOKUP(DESPESAS[[#This Row],[Plano de Contas]],BASE!$B$3:$H$119,7,FALSE)</f>
        <v>RAFAEL</v>
      </c>
    </row>
    <row r="1407" spans="1:13" x14ac:dyDescent="0.25">
      <c r="A1407" s="74">
        <v>198081</v>
      </c>
      <c r="B1407" s="75" t="s">
        <v>281</v>
      </c>
      <c r="C1407" s="75" t="s">
        <v>2357</v>
      </c>
      <c r="D1407" s="76">
        <v>46094</v>
      </c>
      <c r="E1407" s="75" t="s">
        <v>361</v>
      </c>
      <c r="F1407" s="74">
        <v>23</v>
      </c>
      <c r="G1407" s="75" t="s">
        <v>218</v>
      </c>
      <c r="H1407" s="77" t="str">
        <f>VLOOKUP(DESPESAS[[#This Row],[Plano de Contas]],BASE!$B$3:$D$119,3,FALSE)</f>
        <v>Manutenção de Equipamentos (Prod)</v>
      </c>
      <c r="I1407" s="77" t="str">
        <f>IFERROR(VLOOKUP(DESPESAS[[#This Row],[Fornecedor]],Tabela2[],2,FALSE),"")</f>
        <v/>
      </c>
      <c r="J1407" s="77" t="str">
        <f>IFERROR(VLOOKUP(DESPESAS[[#This Row],[Plano de Contas]],BASE!$B$3:$F$119,4,FALSE),"")</f>
        <v>3 - CUSTOS INDIRETOS</v>
      </c>
      <c r="K1407" s="77" t="str">
        <f>IFERROR(VLOOKUP(DESPESAS[[#This Row],[Plano de Contas]],BASE!$B$3:$H$119,5,FALSE),"")</f>
        <v>MANUTENÇÃO / TI</v>
      </c>
      <c r="L1407" s="77">
        <f>IFERROR(VLOOKUP(DESPESAS[[#This Row],[Plano de Contas]],BASE!$B$3:$H$119,6,FALSE),"")</f>
        <v>0</v>
      </c>
      <c r="M1407" s="77" t="str">
        <f>VLOOKUP(DESPESAS[[#This Row],[Plano de Contas]],BASE!$B$3:$H$119,7,FALSE)</f>
        <v>RAFAEL</v>
      </c>
    </row>
    <row r="1408" spans="1:13" x14ac:dyDescent="0.25">
      <c r="A1408" s="74">
        <v>198082</v>
      </c>
      <c r="B1408" s="75" t="s">
        <v>281</v>
      </c>
      <c r="C1408" s="75" t="s">
        <v>2356</v>
      </c>
      <c r="D1408" s="76">
        <v>46125</v>
      </c>
      <c r="E1408" s="75" t="s">
        <v>361</v>
      </c>
      <c r="F1408" s="74">
        <v>23</v>
      </c>
      <c r="G1408" s="75" t="s">
        <v>218</v>
      </c>
      <c r="H1408" s="77" t="str">
        <f>VLOOKUP(DESPESAS[[#This Row],[Plano de Contas]],BASE!$B$3:$D$119,3,FALSE)</f>
        <v>Manutenção de Equipamentos (Prod)</v>
      </c>
      <c r="I1408" s="77" t="str">
        <f>IFERROR(VLOOKUP(DESPESAS[[#This Row],[Fornecedor]],Tabela2[],2,FALSE),"")</f>
        <v/>
      </c>
      <c r="J1408" s="77" t="str">
        <f>IFERROR(VLOOKUP(DESPESAS[[#This Row],[Plano de Contas]],BASE!$B$3:$F$119,4,FALSE),"")</f>
        <v>3 - CUSTOS INDIRETOS</v>
      </c>
      <c r="K1408" s="77" t="str">
        <f>IFERROR(VLOOKUP(DESPESAS[[#This Row],[Plano de Contas]],BASE!$B$3:$H$119,5,FALSE),"")</f>
        <v>MANUTENÇÃO / TI</v>
      </c>
      <c r="L1408" s="77">
        <f>IFERROR(VLOOKUP(DESPESAS[[#This Row],[Plano de Contas]],BASE!$B$3:$H$119,6,FALSE),"")</f>
        <v>0</v>
      </c>
      <c r="M1408" s="77" t="str">
        <f>VLOOKUP(DESPESAS[[#This Row],[Plano de Contas]],BASE!$B$3:$H$119,7,FALSE)</f>
        <v>RAFAEL</v>
      </c>
    </row>
    <row r="1409" spans="1:13" x14ac:dyDescent="0.25">
      <c r="A1409" s="74">
        <v>198083</v>
      </c>
      <c r="B1409" s="75" t="s">
        <v>281</v>
      </c>
      <c r="C1409" s="75" t="s">
        <v>2355</v>
      </c>
      <c r="D1409" s="76">
        <v>46053</v>
      </c>
      <c r="E1409" s="75" t="s">
        <v>361</v>
      </c>
      <c r="F1409" s="74">
        <v>167.94</v>
      </c>
      <c r="G1409" s="75" t="s">
        <v>693</v>
      </c>
      <c r="H1409" s="77" t="str">
        <f>VLOOKUP(DESPESAS[[#This Row],[Plano de Contas]],BASE!$B$3:$D$119,3,FALSE)</f>
        <v>Computadores e Periféricos</v>
      </c>
      <c r="I1409" s="77" t="str">
        <f>IFERROR(VLOOKUP(DESPESAS[[#This Row],[Fornecedor]],Tabela2[],2,FALSE),"")</f>
        <v/>
      </c>
      <c r="J1409" s="77" t="str">
        <f>IFERROR(VLOOKUP(DESPESAS[[#This Row],[Plano de Contas]],BASE!$B$3:$F$119,4,FALSE),"")</f>
        <v>9 - INVESTIMENTOS</v>
      </c>
      <c r="K1409" s="77" t="str">
        <f>IFERROR(VLOOKUP(DESPESAS[[#This Row],[Plano de Contas]],BASE!$B$3:$H$119,5,FALSE),"")</f>
        <v>MANUTENÇÃO / TI</v>
      </c>
      <c r="L1409" s="77">
        <f>IFERROR(VLOOKUP(DESPESAS[[#This Row],[Plano de Contas]],BASE!$B$3:$H$119,6,FALSE),"")</f>
        <v>0</v>
      </c>
      <c r="M1409" s="77" t="str">
        <f>VLOOKUP(DESPESAS[[#This Row],[Plano de Contas]],BASE!$B$3:$H$119,7,FALSE)</f>
        <v>RAFAEL</v>
      </c>
    </row>
    <row r="1410" spans="1:13" x14ac:dyDescent="0.25">
      <c r="A1410" s="74">
        <v>198084</v>
      </c>
      <c r="B1410" s="75" t="s">
        <v>281</v>
      </c>
      <c r="C1410" s="75" t="s">
        <v>2354</v>
      </c>
      <c r="D1410" s="76">
        <v>46041</v>
      </c>
      <c r="E1410" s="75" t="s">
        <v>361</v>
      </c>
      <c r="F1410" s="74">
        <v>154.22</v>
      </c>
      <c r="G1410" s="75" t="s">
        <v>218</v>
      </c>
      <c r="H1410" s="77" t="str">
        <f>VLOOKUP(DESPESAS[[#This Row],[Plano de Contas]],BASE!$B$3:$D$119,3,FALSE)</f>
        <v>Manutenção de Equipamentos (Prod)</v>
      </c>
      <c r="I1410" s="77" t="str">
        <f>IFERROR(VLOOKUP(DESPESAS[[#This Row],[Fornecedor]],Tabela2[],2,FALSE),"")</f>
        <v/>
      </c>
      <c r="J1410" s="77" t="str">
        <f>IFERROR(VLOOKUP(DESPESAS[[#This Row],[Plano de Contas]],BASE!$B$3:$F$119,4,FALSE),"")</f>
        <v>3 - CUSTOS INDIRETOS</v>
      </c>
      <c r="K1410" s="77" t="str">
        <f>IFERROR(VLOOKUP(DESPESAS[[#This Row],[Plano de Contas]],BASE!$B$3:$H$119,5,FALSE),"")</f>
        <v>MANUTENÇÃO / TI</v>
      </c>
      <c r="L1410" s="77">
        <f>IFERROR(VLOOKUP(DESPESAS[[#This Row],[Plano de Contas]],BASE!$B$3:$H$119,6,FALSE),"")</f>
        <v>0</v>
      </c>
      <c r="M1410" s="77" t="str">
        <f>VLOOKUP(DESPESAS[[#This Row],[Plano de Contas]],BASE!$B$3:$H$119,7,FALSE)</f>
        <v>RAFAEL</v>
      </c>
    </row>
    <row r="1411" spans="1:13" x14ac:dyDescent="0.25">
      <c r="A1411" s="74">
        <v>198086</v>
      </c>
      <c r="B1411" s="75" t="s">
        <v>281</v>
      </c>
      <c r="C1411" s="75" t="s">
        <v>2353</v>
      </c>
      <c r="D1411" s="76">
        <v>46040</v>
      </c>
      <c r="E1411" s="75" t="s">
        <v>361</v>
      </c>
      <c r="F1411" s="74">
        <v>119.94</v>
      </c>
      <c r="G1411" s="75" t="s">
        <v>244</v>
      </c>
      <c r="H1411" s="77" t="str">
        <f>VLOOKUP(DESPESAS[[#This Row],[Plano de Contas]],BASE!$B$3:$D$119,3,FALSE)</f>
        <v>Material de Expediente (Prod)</v>
      </c>
      <c r="I1411" s="77" t="str">
        <f>IFERROR(VLOOKUP(DESPESAS[[#This Row],[Fornecedor]],Tabela2[],2,FALSE),"")</f>
        <v/>
      </c>
      <c r="J1411" s="77" t="str">
        <f>IFERROR(VLOOKUP(DESPESAS[[#This Row],[Plano de Contas]],BASE!$B$3:$F$119,4,FALSE),"")</f>
        <v>2 - CUSTOS DIRETOS</v>
      </c>
      <c r="K1411" s="77" t="str">
        <f>IFERROR(VLOOKUP(DESPESAS[[#This Row],[Plano de Contas]],BASE!$B$3:$H$119,5,FALSE),"")</f>
        <v>PRODUÇÃO</v>
      </c>
      <c r="L1411" s="77">
        <f>IFERROR(VLOOKUP(DESPESAS[[#This Row],[Plano de Contas]],BASE!$B$3:$H$119,6,FALSE),"")</f>
        <v>0</v>
      </c>
      <c r="M1411" s="77" t="str">
        <f>VLOOKUP(DESPESAS[[#This Row],[Plano de Contas]],BASE!$B$3:$H$119,7,FALSE)</f>
        <v>RAFAEL</v>
      </c>
    </row>
    <row r="1412" spans="1:13" x14ac:dyDescent="0.25">
      <c r="A1412" s="74">
        <v>198087</v>
      </c>
      <c r="B1412" s="75" t="s">
        <v>281</v>
      </c>
      <c r="C1412" s="75" t="s">
        <v>2352</v>
      </c>
      <c r="D1412" s="76">
        <v>46053</v>
      </c>
      <c r="E1412" s="75" t="s">
        <v>361</v>
      </c>
      <c r="F1412" s="74">
        <v>24.12</v>
      </c>
      <c r="G1412" s="75" t="s">
        <v>693</v>
      </c>
      <c r="H1412" s="77" t="str">
        <f>VLOOKUP(DESPESAS[[#This Row],[Plano de Contas]],BASE!$B$3:$D$119,3,FALSE)</f>
        <v>Computadores e Periféricos</v>
      </c>
      <c r="I1412" s="77" t="str">
        <f>IFERROR(VLOOKUP(DESPESAS[[#This Row],[Fornecedor]],Tabela2[],2,FALSE),"")</f>
        <v/>
      </c>
      <c r="J1412" s="77" t="str">
        <f>IFERROR(VLOOKUP(DESPESAS[[#This Row],[Plano de Contas]],BASE!$B$3:$F$119,4,FALSE),"")</f>
        <v>9 - INVESTIMENTOS</v>
      </c>
      <c r="K1412" s="77" t="str">
        <f>IFERROR(VLOOKUP(DESPESAS[[#This Row],[Plano de Contas]],BASE!$B$3:$H$119,5,FALSE),"")</f>
        <v>MANUTENÇÃO / TI</v>
      </c>
      <c r="L1412" s="77">
        <f>IFERROR(VLOOKUP(DESPESAS[[#This Row],[Plano de Contas]],BASE!$B$3:$H$119,6,FALSE),"")</f>
        <v>0</v>
      </c>
      <c r="M1412" s="77" t="str">
        <f>VLOOKUP(DESPESAS[[#This Row],[Plano de Contas]],BASE!$B$3:$H$119,7,FALSE)</f>
        <v>RAFAEL</v>
      </c>
    </row>
    <row r="1413" spans="1:13" x14ac:dyDescent="0.25">
      <c r="A1413" s="74">
        <v>198088</v>
      </c>
      <c r="B1413" s="75" t="s">
        <v>281</v>
      </c>
      <c r="C1413" s="75" t="s">
        <v>2351</v>
      </c>
      <c r="D1413" s="76">
        <v>46053</v>
      </c>
      <c r="E1413" s="75" t="s">
        <v>361</v>
      </c>
      <c r="F1413" s="74">
        <v>903.02</v>
      </c>
      <c r="G1413" s="75" t="s">
        <v>588</v>
      </c>
      <c r="H1413" s="77" t="str">
        <f>VLOOKUP(DESPESAS[[#This Row],[Plano de Contas]],BASE!$B$3:$D$119,3,FALSE)</f>
        <v>Maquinas e Equipamentos</v>
      </c>
      <c r="I1413" s="77" t="str">
        <f>IFERROR(VLOOKUP(DESPESAS[[#This Row],[Fornecedor]],Tabela2[],2,FALSE),"")</f>
        <v/>
      </c>
      <c r="J1413" s="77" t="str">
        <f>IFERROR(VLOOKUP(DESPESAS[[#This Row],[Plano de Contas]],BASE!$B$3:$F$119,4,FALSE),"")</f>
        <v>9 - INVESTIMENTOS</v>
      </c>
      <c r="K1413" s="77" t="str">
        <f>IFERROR(VLOOKUP(DESPESAS[[#This Row],[Plano de Contas]],BASE!$B$3:$H$119,5,FALSE),"")</f>
        <v>MANUTENÇÃO / TI</v>
      </c>
      <c r="L1413" s="77">
        <f>IFERROR(VLOOKUP(DESPESAS[[#This Row],[Plano de Contas]],BASE!$B$3:$H$119,6,FALSE),"")</f>
        <v>0</v>
      </c>
      <c r="M1413" s="77" t="str">
        <f>VLOOKUP(DESPESAS[[#This Row],[Plano de Contas]],BASE!$B$3:$H$119,7,FALSE)</f>
        <v>RAFAEL</v>
      </c>
    </row>
    <row r="1414" spans="1:13" x14ac:dyDescent="0.25">
      <c r="A1414" s="74">
        <v>198089</v>
      </c>
      <c r="B1414" s="75" t="s">
        <v>281</v>
      </c>
      <c r="C1414" s="75" t="s">
        <v>2350</v>
      </c>
      <c r="D1414" s="76">
        <v>46053</v>
      </c>
      <c r="E1414" s="75" t="s">
        <v>768</v>
      </c>
      <c r="F1414" s="74">
        <v>1108.1500000000001</v>
      </c>
      <c r="G1414" s="75" t="s">
        <v>772</v>
      </c>
      <c r="H1414" s="77" t="str">
        <f>VLOOKUP(DESPESAS[[#This Row],[Plano de Contas]],BASE!$B$3:$D$119,3,FALSE)</f>
        <v>INSS (Adm)</v>
      </c>
      <c r="I1414" s="77" t="str">
        <f>IFERROR(VLOOKUP(DESPESAS[[#This Row],[Fornecedor]],Tabela2[],2,FALSE),"")</f>
        <v/>
      </c>
      <c r="J1414" s="77" t="str">
        <f>IFERROR(VLOOKUP(DESPESAS[[#This Row],[Plano de Contas]],BASE!$B$3:$F$119,4,FALSE),"")</f>
        <v>4 - GASTOS COM PESSOAL</v>
      </c>
      <c r="K1414" s="77" t="str">
        <f>IFERROR(VLOOKUP(DESPESAS[[#This Row],[Plano de Contas]],BASE!$B$3:$H$119,5,FALSE),"")</f>
        <v>DH</v>
      </c>
      <c r="L1414" s="77">
        <f>IFERROR(VLOOKUP(DESPESAS[[#This Row],[Plano de Contas]],BASE!$B$3:$H$119,6,FALSE),"")</f>
        <v>0</v>
      </c>
      <c r="M1414" s="77" t="str">
        <f>VLOOKUP(DESPESAS[[#This Row],[Plano de Contas]],BASE!$B$3:$H$119,7,FALSE)</f>
        <v>RAFAEL</v>
      </c>
    </row>
    <row r="1415" spans="1:13" x14ac:dyDescent="0.25">
      <c r="A1415" s="74">
        <v>198090</v>
      </c>
      <c r="B1415" s="75" t="s">
        <v>281</v>
      </c>
      <c r="C1415" s="75" t="s">
        <v>2349</v>
      </c>
      <c r="D1415" s="76">
        <v>46053</v>
      </c>
      <c r="E1415" s="75" t="s">
        <v>768</v>
      </c>
      <c r="F1415" s="74">
        <v>865.46</v>
      </c>
      <c r="G1415" s="75" t="s">
        <v>770</v>
      </c>
      <c r="H1415" s="77" t="str">
        <f>VLOOKUP(DESPESAS[[#This Row],[Plano de Contas]],BASE!$B$3:$D$119,3,FALSE)</f>
        <v>INSS CIF</v>
      </c>
      <c r="I1415" s="77" t="str">
        <f>IFERROR(VLOOKUP(DESPESAS[[#This Row],[Fornecedor]],Tabela2[],2,FALSE),"")</f>
        <v/>
      </c>
      <c r="J1415" s="77" t="str">
        <f>IFERROR(VLOOKUP(DESPESAS[[#This Row],[Plano de Contas]],BASE!$B$3:$F$119,4,FALSE),"")</f>
        <v>3 - CUSTOS INDIRETOS</v>
      </c>
      <c r="K1415" s="77" t="str">
        <f>IFERROR(VLOOKUP(DESPESAS[[#This Row],[Plano de Contas]],BASE!$B$3:$H$119,5,FALSE),"")</f>
        <v>DH</v>
      </c>
      <c r="L1415" s="77" t="str">
        <f>IFERROR(VLOOKUP(DESPESAS[[#This Row],[Plano de Contas]],BASE!$B$3:$H$119,6,FALSE),"")</f>
        <v>CUSTO MÃO DE OBRA DIRETA</v>
      </c>
      <c r="M1415" s="77" t="str">
        <f>VLOOKUP(DESPESAS[[#This Row],[Plano de Contas]],BASE!$B$3:$H$119,7,FALSE)</f>
        <v>RAFAEL</v>
      </c>
    </row>
    <row r="1416" spans="1:13" x14ac:dyDescent="0.25">
      <c r="A1416" s="74">
        <v>198091</v>
      </c>
      <c r="B1416" s="75" t="s">
        <v>281</v>
      </c>
      <c r="C1416" s="75" t="s">
        <v>2348</v>
      </c>
      <c r="D1416" s="76">
        <v>46053</v>
      </c>
      <c r="E1416" s="75" t="s">
        <v>768</v>
      </c>
      <c r="F1416" s="74">
        <v>2759.75</v>
      </c>
      <c r="G1416" s="75" t="s">
        <v>767</v>
      </c>
      <c r="H1416" s="77" t="str">
        <f>VLOOKUP(DESPESAS[[#This Row],[Plano de Contas]],BASE!$B$3:$D$119,3,FALSE)</f>
        <v>INSS MOD</v>
      </c>
      <c r="I1416" s="77" t="str">
        <f>IFERROR(VLOOKUP(DESPESAS[[#This Row],[Fornecedor]],Tabela2[],2,FALSE),"")</f>
        <v/>
      </c>
      <c r="J1416" s="77" t="str">
        <f>IFERROR(VLOOKUP(DESPESAS[[#This Row],[Plano de Contas]],BASE!$B$3:$F$119,4,FALSE),"")</f>
        <v>2 - CUSTOS DIRETOS</v>
      </c>
      <c r="K1416" s="77" t="str">
        <f>IFERROR(VLOOKUP(DESPESAS[[#This Row],[Plano de Contas]],BASE!$B$3:$H$119,5,FALSE),"")</f>
        <v>DH</v>
      </c>
      <c r="L1416" s="77" t="str">
        <f>IFERROR(VLOOKUP(DESPESAS[[#This Row],[Plano de Contas]],BASE!$B$3:$H$119,6,FALSE),"")</f>
        <v>CUSTO MÃO DE OBRA DIRETA</v>
      </c>
      <c r="M1416" s="77" t="str">
        <f>VLOOKUP(DESPESAS[[#This Row],[Plano de Contas]],BASE!$B$3:$H$119,7,FALSE)</f>
        <v>RAFAEL</v>
      </c>
    </row>
    <row r="1417" spans="1:13" x14ac:dyDescent="0.25">
      <c r="A1417" s="74">
        <v>198093</v>
      </c>
      <c r="B1417" s="75" t="s">
        <v>279</v>
      </c>
      <c r="C1417" s="75" t="s">
        <v>2350</v>
      </c>
      <c r="D1417" s="76">
        <v>46053</v>
      </c>
      <c r="E1417" s="75" t="s">
        <v>768</v>
      </c>
      <c r="F1417" s="74">
        <v>4758.72</v>
      </c>
      <c r="G1417" s="75" t="s">
        <v>772</v>
      </c>
      <c r="H1417" s="77" t="str">
        <f>VLOOKUP(DESPESAS[[#This Row],[Plano de Contas]],BASE!$B$3:$D$119,3,FALSE)</f>
        <v>INSS (Adm)</v>
      </c>
      <c r="I1417" s="77" t="str">
        <f>IFERROR(VLOOKUP(DESPESAS[[#This Row],[Fornecedor]],Tabela2[],2,FALSE),"")</f>
        <v/>
      </c>
      <c r="J1417" s="77" t="str">
        <f>IFERROR(VLOOKUP(DESPESAS[[#This Row],[Plano de Contas]],BASE!$B$3:$F$119,4,FALSE),"")</f>
        <v>4 - GASTOS COM PESSOAL</v>
      </c>
      <c r="K1417" s="77" t="str">
        <f>IFERROR(VLOOKUP(DESPESAS[[#This Row],[Plano de Contas]],BASE!$B$3:$H$119,5,FALSE),"")</f>
        <v>DH</v>
      </c>
      <c r="L1417" s="77">
        <f>IFERROR(VLOOKUP(DESPESAS[[#This Row],[Plano de Contas]],BASE!$B$3:$H$119,6,FALSE),"")</f>
        <v>0</v>
      </c>
      <c r="M1417" s="77" t="str">
        <f>VLOOKUP(DESPESAS[[#This Row],[Plano de Contas]],BASE!$B$3:$H$119,7,FALSE)</f>
        <v>RAFAEL</v>
      </c>
    </row>
    <row r="1418" spans="1:13" x14ac:dyDescent="0.25">
      <c r="A1418" s="74">
        <v>198094</v>
      </c>
      <c r="B1418" s="75" t="s">
        <v>279</v>
      </c>
      <c r="C1418" s="75" t="s">
        <v>2349</v>
      </c>
      <c r="D1418" s="76">
        <v>46053</v>
      </c>
      <c r="E1418" s="75" t="s">
        <v>768</v>
      </c>
      <c r="F1418" s="74">
        <v>3030.63</v>
      </c>
      <c r="G1418" s="75" t="s">
        <v>770</v>
      </c>
      <c r="H1418" s="77" t="str">
        <f>VLOOKUP(DESPESAS[[#This Row],[Plano de Contas]],BASE!$B$3:$D$119,3,FALSE)</f>
        <v>INSS CIF</v>
      </c>
      <c r="I1418" s="77" t="str">
        <f>IFERROR(VLOOKUP(DESPESAS[[#This Row],[Fornecedor]],Tabela2[],2,FALSE),"")</f>
        <v/>
      </c>
      <c r="J1418" s="77" t="str">
        <f>IFERROR(VLOOKUP(DESPESAS[[#This Row],[Plano de Contas]],BASE!$B$3:$F$119,4,FALSE),"")</f>
        <v>3 - CUSTOS INDIRETOS</v>
      </c>
      <c r="K1418" s="77" t="str">
        <f>IFERROR(VLOOKUP(DESPESAS[[#This Row],[Plano de Contas]],BASE!$B$3:$H$119,5,FALSE),"")</f>
        <v>DH</v>
      </c>
      <c r="L1418" s="77" t="str">
        <f>IFERROR(VLOOKUP(DESPESAS[[#This Row],[Plano de Contas]],BASE!$B$3:$H$119,6,FALSE),"")</f>
        <v>CUSTO MÃO DE OBRA DIRETA</v>
      </c>
      <c r="M1418" s="77" t="str">
        <f>VLOOKUP(DESPESAS[[#This Row],[Plano de Contas]],BASE!$B$3:$H$119,7,FALSE)</f>
        <v>RAFAEL</v>
      </c>
    </row>
    <row r="1419" spans="1:13" x14ac:dyDescent="0.25">
      <c r="A1419" s="74">
        <v>198095</v>
      </c>
      <c r="B1419" s="75" t="s">
        <v>279</v>
      </c>
      <c r="C1419" s="75" t="s">
        <v>2348</v>
      </c>
      <c r="D1419" s="76">
        <v>46053</v>
      </c>
      <c r="E1419" s="75" t="s">
        <v>768</v>
      </c>
      <c r="F1419" s="74">
        <v>15241.02</v>
      </c>
      <c r="G1419" s="75" t="s">
        <v>767</v>
      </c>
      <c r="H1419" s="77" t="str">
        <f>VLOOKUP(DESPESAS[[#This Row],[Plano de Contas]],BASE!$B$3:$D$119,3,FALSE)</f>
        <v>INSS MOD</v>
      </c>
      <c r="I1419" s="77" t="str">
        <f>IFERROR(VLOOKUP(DESPESAS[[#This Row],[Fornecedor]],Tabela2[],2,FALSE),"")</f>
        <v/>
      </c>
      <c r="J1419" s="77" t="str">
        <f>IFERROR(VLOOKUP(DESPESAS[[#This Row],[Plano de Contas]],BASE!$B$3:$F$119,4,FALSE),"")</f>
        <v>2 - CUSTOS DIRETOS</v>
      </c>
      <c r="K1419" s="77" t="str">
        <f>IFERROR(VLOOKUP(DESPESAS[[#This Row],[Plano de Contas]],BASE!$B$3:$H$119,5,FALSE),"")</f>
        <v>DH</v>
      </c>
      <c r="L1419" s="77" t="str">
        <f>IFERROR(VLOOKUP(DESPESAS[[#This Row],[Plano de Contas]],BASE!$B$3:$H$119,6,FALSE),"")</f>
        <v>CUSTO MÃO DE OBRA DIRETA</v>
      </c>
      <c r="M1419" s="77" t="str">
        <f>VLOOKUP(DESPESAS[[#This Row],[Plano de Contas]],BASE!$B$3:$H$119,7,FALSE)</f>
        <v>RAFAEL</v>
      </c>
    </row>
    <row r="1420" spans="1:13" x14ac:dyDescent="0.25">
      <c r="A1420" s="74">
        <v>198096</v>
      </c>
      <c r="B1420" s="75" t="s">
        <v>232</v>
      </c>
      <c r="C1420" s="75" t="s">
        <v>2350</v>
      </c>
      <c r="D1420" s="76">
        <v>46053</v>
      </c>
      <c r="E1420" s="75" t="s">
        <v>768</v>
      </c>
      <c r="F1420" s="74">
        <v>15864.25</v>
      </c>
      <c r="G1420" s="75" t="s">
        <v>772</v>
      </c>
      <c r="H1420" s="77" t="str">
        <f>VLOOKUP(DESPESAS[[#This Row],[Plano de Contas]],BASE!$B$3:$D$119,3,FALSE)</f>
        <v>INSS (Adm)</v>
      </c>
      <c r="I1420" s="77" t="str">
        <f>IFERROR(VLOOKUP(DESPESAS[[#This Row],[Fornecedor]],Tabela2[],2,FALSE),"")</f>
        <v/>
      </c>
      <c r="J1420" s="77" t="str">
        <f>IFERROR(VLOOKUP(DESPESAS[[#This Row],[Plano de Contas]],BASE!$B$3:$F$119,4,FALSE),"")</f>
        <v>4 - GASTOS COM PESSOAL</v>
      </c>
      <c r="K1420" s="77" t="str">
        <f>IFERROR(VLOOKUP(DESPESAS[[#This Row],[Plano de Contas]],BASE!$B$3:$H$119,5,FALSE),"")</f>
        <v>DH</v>
      </c>
      <c r="L1420" s="77">
        <f>IFERROR(VLOOKUP(DESPESAS[[#This Row],[Plano de Contas]],BASE!$B$3:$H$119,6,FALSE),"")</f>
        <v>0</v>
      </c>
      <c r="M1420" s="77" t="str">
        <f>VLOOKUP(DESPESAS[[#This Row],[Plano de Contas]],BASE!$B$3:$H$119,7,FALSE)</f>
        <v>RAFAEL</v>
      </c>
    </row>
    <row r="1421" spans="1:13" x14ac:dyDescent="0.25">
      <c r="A1421" s="74">
        <v>198097</v>
      </c>
      <c r="B1421" s="75" t="s">
        <v>232</v>
      </c>
      <c r="C1421" s="75" t="s">
        <v>2349</v>
      </c>
      <c r="D1421" s="76">
        <v>46053</v>
      </c>
      <c r="E1421" s="75" t="s">
        <v>768</v>
      </c>
      <c r="F1421" s="74">
        <v>4130.5200000000004</v>
      </c>
      <c r="G1421" s="75" t="s">
        <v>770</v>
      </c>
      <c r="H1421" s="77" t="str">
        <f>VLOOKUP(DESPESAS[[#This Row],[Plano de Contas]],BASE!$B$3:$D$119,3,FALSE)</f>
        <v>INSS CIF</v>
      </c>
      <c r="I1421" s="77" t="str">
        <f>IFERROR(VLOOKUP(DESPESAS[[#This Row],[Fornecedor]],Tabela2[],2,FALSE),"")</f>
        <v/>
      </c>
      <c r="J1421" s="77" t="str">
        <f>IFERROR(VLOOKUP(DESPESAS[[#This Row],[Plano de Contas]],BASE!$B$3:$F$119,4,FALSE),"")</f>
        <v>3 - CUSTOS INDIRETOS</v>
      </c>
      <c r="K1421" s="77" t="str">
        <f>IFERROR(VLOOKUP(DESPESAS[[#This Row],[Plano de Contas]],BASE!$B$3:$H$119,5,FALSE),"")</f>
        <v>DH</v>
      </c>
      <c r="L1421" s="77" t="str">
        <f>IFERROR(VLOOKUP(DESPESAS[[#This Row],[Plano de Contas]],BASE!$B$3:$H$119,6,FALSE),"")</f>
        <v>CUSTO MÃO DE OBRA DIRETA</v>
      </c>
      <c r="M1421" s="77" t="str">
        <f>VLOOKUP(DESPESAS[[#This Row],[Plano de Contas]],BASE!$B$3:$H$119,7,FALSE)</f>
        <v>RAFAEL</v>
      </c>
    </row>
    <row r="1422" spans="1:13" x14ac:dyDescent="0.25">
      <c r="A1422" s="74">
        <v>198098</v>
      </c>
      <c r="B1422" s="75" t="s">
        <v>232</v>
      </c>
      <c r="C1422" s="75" t="s">
        <v>2348</v>
      </c>
      <c r="D1422" s="76">
        <v>46053</v>
      </c>
      <c r="E1422" s="75" t="s">
        <v>768</v>
      </c>
      <c r="F1422" s="74">
        <v>26368.31</v>
      </c>
      <c r="G1422" s="75" t="s">
        <v>767</v>
      </c>
      <c r="H1422" s="77" t="str">
        <f>VLOOKUP(DESPESAS[[#This Row],[Plano de Contas]],BASE!$B$3:$D$119,3,FALSE)</f>
        <v>INSS MOD</v>
      </c>
      <c r="I1422" s="77" t="str">
        <f>IFERROR(VLOOKUP(DESPESAS[[#This Row],[Fornecedor]],Tabela2[],2,FALSE),"")</f>
        <v/>
      </c>
      <c r="J1422" s="77" t="str">
        <f>IFERROR(VLOOKUP(DESPESAS[[#This Row],[Plano de Contas]],BASE!$B$3:$F$119,4,FALSE),"")</f>
        <v>2 - CUSTOS DIRETOS</v>
      </c>
      <c r="K1422" s="77" t="str">
        <f>IFERROR(VLOOKUP(DESPESAS[[#This Row],[Plano de Contas]],BASE!$B$3:$H$119,5,FALSE),"")</f>
        <v>DH</v>
      </c>
      <c r="L1422" s="77" t="str">
        <f>IFERROR(VLOOKUP(DESPESAS[[#This Row],[Plano de Contas]],BASE!$B$3:$H$119,6,FALSE),"")</f>
        <v>CUSTO MÃO DE OBRA DIRETA</v>
      </c>
      <c r="M1422" s="77" t="str">
        <f>VLOOKUP(DESPESAS[[#This Row],[Plano de Contas]],BASE!$B$3:$H$119,7,FALSE)</f>
        <v>RAFAEL</v>
      </c>
    </row>
    <row r="1423" spans="1:13" x14ac:dyDescent="0.25">
      <c r="A1423" s="74">
        <v>198099</v>
      </c>
      <c r="B1423" s="75" t="s">
        <v>281</v>
      </c>
      <c r="C1423" s="75" t="s">
        <v>2347</v>
      </c>
      <c r="D1423" s="76">
        <v>46053</v>
      </c>
      <c r="E1423" s="75" t="s">
        <v>361</v>
      </c>
      <c r="F1423" s="74">
        <v>22.99</v>
      </c>
      <c r="G1423" s="75" t="s">
        <v>244</v>
      </c>
      <c r="H1423" s="77" t="str">
        <f>VLOOKUP(DESPESAS[[#This Row],[Plano de Contas]],BASE!$B$3:$D$119,3,FALSE)</f>
        <v>Material de Expediente (Prod)</v>
      </c>
      <c r="I1423" s="77" t="str">
        <f>IFERROR(VLOOKUP(DESPESAS[[#This Row],[Fornecedor]],Tabela2[],2,FALSE),"")</f>
        <v/>
      </c>
      <c r="J1423" s="77" t="str">
        <f>IFERROR(VLOOKUP(DESPESAS[[#This Row],[Plano de Contas]],BASE!$B$3:$F$119,4,FALSE),"")</f>
        <v>2 - CUSTOS DIRETOS</v>
      </c>
      <c r="K1423" s="77" t="str">
        <f>IFERROR(VLOOKUP(DESPESAS[[#This Row],[Plano de Contas]],BASE!$B$3:$H$119,5,FALSE),"")</f>
        <v>PRODUÇÃO</v>
      </c>
      <c r="L1423" s="77">
        <f>IFERROR(VLOOKUP(DESPESAS[[#This Row],[Plano de Contas]],BASE!$B$3:$H$119,6,FALSE),"")</f>
        <v>0</v>
      </c>
      <c r="M1423" s="77" t="str">
        <f>VLOOKUP(DESPESAS[[#This Row],[Plano de Contas]],BASE!$B$3:$H$119,7,FALSE)</f>
        <v>RAFAEL</v>
      </c>
    </row>
    <row r="1424" spans="1:13" x14ac:dyDescent="0.25">
      <c r="A1424" s="74">
        <v>198100</v>
      </c>
      <c r="B1424" s="75" t="s">
        <v>281</v>
      </c>
      <c r="C1424" s="75" t="s">
        <v>2346</v>
      </c>
      <c r="D1424" s="76">
        <v>46053</v>
      </c>
      <c r="E1424" s="75" t="s">
        <v>361</v>
      </c>
      <c r="F1424" s="74">
        <v>509.99</v>
      </c>
      <c r="G1424" s="75" t="s">
        <v>693</v>
      </c>
      <c r="H1424" s="77" t="str">
        <f>VLOOKUP(DESPESAS[[#This Row],[Plano de Contas]],BASE!$B$3:$D$119,3,FALSE)</f>
        <v>Computadores e Periféricos</v>
      </c>
      <c r="I1424" s="77" t="str">
        <f>IFERROR(VLOOKUP(DESPESAS[[#This Row],[Fornecedor]],Tabela2[],2,FALSE),"")</f>
        <v/>
      </c>
      <c r="J1424" s="77" t="str">
        <f>IFERROR(VLOOKUP(DESPESAS[[#This Row],[Plano de Contas]],BASE!$B$3:$F$119,4,FALSE),"")</f>
        <v>9 - INVESTIMENTOS</v>
      </c>
      <c r="K1424" s="77" t="str">
        <f>IFERROR(VLOOKUP(DESPESAS[[#This Row],[Plano de Contas]],BASE!$B$3:$H$119,5,FALSE),"")</f>
        <v>MANUTENÇÃO / TI</v>
      </c>
      <c r="L1424" s="77">
        <f>IFERROR(VLOOKUP(DESPESAS[[#This Row],[Plano de Contas]],BASE!$B$3:$H$119,6,FALSE),"")</f>
        <v>0</v>
      </c>
      <c r="M1424" s="77" t="str">
        <f>VLOOKUP(DESPESAS[[#This Row],[Plano de Contas]],BASE!$B$3:$H$119,7,FALSE)</f>
        <v>RAFAEL</v>
      </c>
    </row>
    <row r="1425" spans="1:13" x14ac:dyDescent="0.25">
      <c r="A1425" s="74">
        <v>198101</v>
      </c>
      <c r="B1425" s="75" t="s">
        <v>281</v>
      </c>
      <c r="C1425" s="75" t="s">
        <v>2345</v>
      </c>
      <c r="D1425" s="76">
        <v>46037</v>
      </c>
      <c r="E1425" s="75" t="s">
        <v>361</v>
      </c>
      <c r="F1425" s="74">
        <v>350.07</v>
      </c>
      <c r="G1425" s="75" t="s">
        <v>259</v>
      </c>
      <c r="H1425" s="77" t="str">
        <f>VLOOKUP(DESPESAS[[#This Row],[Plano de Contas]],BASE!$B$3:$D$119,3,FALSE)</f>
        <v>Manutenção Predial CIF</v>
      </c>
      <c r="I1425" s="77" t="str">
        <f>IFERROR(VLOOKUP(DESPESAS[[#This Row],[Fornecedor]],Tabela2[],2,FALSE),"")</f>
        <v/>
      </c>
      <c r="J1425" s="77" t="str">
        <f>IFERROR(VLOOKUP(DESPESAS[[#This Row],[Plano de Contas]],BASE!$B$3:$F$119,4,FALSE),"")</f>
        <v>3 - CUSTOS INDIRETOS</v>
      </c>
      <c r="K1425" s="77" t="str">
        <f>IFERROR(VLOOKUP(DESPESAS[[#This Row],[Plano de Contas]],BASE!$B$3:$H$119,5,FALSE),"")</f>
        <v>MANUTENÇÃO / TI</v>
      </c>
      <c r="L1425" s="77">
        <f>IFERROR(VLOOKUP(DESPESAS[[#This Row],[Plano de Contas]],BASE!$B$3:$H$119,6,FALSE),"")</f>
        <v>0</v>
      </c>
      <c r="M1425" s="77" t="str">
        <f>VLOOKUP(DESPESAS[[#This Row],[Plano de Contas]],BASE!$B$3:$H$119,7,FALSE)</f>
        <v>FÁBIO</v>
      </c>
    </row>
    <row r="1426" spans="1:13" x14ac:dyDescent="0.25">
      <c r="A1426" s="74">
        <v>198104</v>
      </c>
      <c r="B1426" s="75" t="s">
        <v>686</v>
      </c>
      <c r="C1426" s="75" t="s">
        <v>2344</v>
      </c>
      <c r="D1426" s="76">
        <v>46027</v>
      </c>
      <c r="E1426" s="75" t="s">
        <v>855</v>
      </c>
      <c r="F1426" s="74">
        <v>28.9</v>
      </c>
      <c r="G1426" s="75" t="s">
        <v>719</v>
      </c>
      <c r="H1426" s="77" t="str">
        <f>VLOOKUP(DESPESAS[[#This Row],[Plano de Contas]],BASE!$B$3:$D$119,3,FALSE)</f>
        <v>Outros Serviços de Terceiros</v>
      </c>
      <c r="I1426" s="77" t="str">
        <f>IFERROR(VLOOKUP(DESPESAS[[#This Row],[Fornecedor]],Tabela2[],2,FALSE),"")</f>
        <v/>
      </c>
      <c r="J1426" s="77" t="str">
        <f>IFERROR(VLOOKUP(DESPESAS[[#This Row],[Plano de Contas]],BASE!$B$3:$F$119,4,FALSE),"")</f>
        <v>7 - SERVIÇOS DE TERCEIROS</v>
      </c>
      <c r="K1426" s="77" t="str">
        <f>IFERROR(VLOOKUP(DESPESAS[[#This Row],[Plano de Contas]],BASE!$B$3:$H$119,5,FALSE),"")</f>
        <v>FINANCEIRO</v>
      </c>
      <c r="L1426" s="77">
        <f>IFERROR(VLOOKUP(DESPESAS[[#This Row],[Plano de Contas]],BASE!$B$3:$H$119,6,FALSE),"")</f>
        <v>0</v>
      </c>
      <c r="M1426" s="77" t="str">
        <f>VLOOKUP(DESPESAS[[#This Row],[Plano de Contas]],BASE!$B$3:$H$119,7,FALSE)</f>
        <v>LETÍCIA</v>
      </c>
    </row>
    <row r="1427" spans="1:13" x14ac:dyDescent="0.25">
      <c r="A1427" s="74">
        <v>198105</v>
      </c>
      <c r="B1427" s="75" t="s">
        <v>281</v>
      </c>
      <c r="C1427" s="75" t="s">
        <v>2343</v>
      </c>
      <c r="D1427" s="76">
        <v>46044</v>
      </c>
      <c r="E1427" s="75" t="s">
        <v>361</v>
      </c>
      <c r="F1427" s="74">
        <v>29.72</v>
      </c>
      <c r="G1427" s="75" t="s">
        <v>693</v>
      </c>
      <c r="H1427" s="77" t="str">
        <f>VLOOKUP(DESPESAS[[#This Row],[Plano de Contas]],BASE!$B$3:$D$119,3,FALSE)</f>
        <v>Computadores e Periféricos</v>
      </c>
      <c r="I1427" s="77" t="str">
        <f>IFERROR(VLOOKUP(DESPESAS[[#This Row],[Fornecedor]],Tabela2[],2,FALSE),"")</f>
        <v/>
      </c>
      <c r="J1427" s="77" t="str">
        <f>IFERROR(VLOOKUP(DESPESAS[[#This Row],[Plano de Contas]],BASE!$B$3:$F$119,4,FALSE),"")</f>
        <v>9 - INVESTIMENTOS</v>
      </c>
      <c r="K1427" s="77" t="str">
        <f>IFERROR(VLOOKUP(DESPESAS[[#This Row],[Plano de Contas]],BASE!$B$3:$H$119,5,FALSE),"")</f>
        <v>MANUTENÇÃO / TI</v>
      </c>
      <c r="L1427" s="77">
        <f>IFERROR(VLOOKUP(DESPESAS[[#This Row],[Plano de Contas]],BASE!$B$3:$H$119,6,FALSE),"")</f>
        <v>0</v>
      </c>
      <c r="M1427" s="77" t="str">
        <f>VLOOKUP(DESPESAS[[#This Row],[Plano de Contas]],BASE!$B$3:$H$119,7,FALSE)</f>
        <v>RAFAEL</v>
      </c>
    </row>
    <row r="1428" spans="1:13" x14ac:dyDescent="0.25">
      <c r="A1428" s="74">
        <v>198106</v>
      </c>
      <c r="B1428" s="75" t="s">
        <v>281</v>
      </c>
      <c r="C1428" s="75" t="s">
        <v>2342</v>
      </c>
      <c r="D1428" s="76">
        <v>46044</v>
      </c>
      <c r="E1428" s="75" t="s">
        <v>361</v>
      </c>
      <c r="F1428" s="74">
        <v>29.72</v>
      </c>
      <c r="G1428" s="75" t="s">
        <v>693</v>
      </c>
      <c r="H1428" s="77" t="str">
        <f>VLOOKUP(DESPESAS[[#This Row],[Plano de Contas]],BASE!$B$3:$D$119,3,FALSE)</f>
        <v>Computadores e Periféricos</v>
      </c>
      <c r="I1428" s="77" t="str">
        <f>IFERROR(VLOOKUP(DESPESAS[[#This Row],[Fornecedor]],Tabela2[],2,FALSE),"")</f>
        <v/>
      </c>
      <c r="J1428" s="77" t="str">
        <f>IFERROR(VLOOKUP(DESPESAS[[#This Row],[Plano de Contas]],BASE!$B$3:$F$119,4,FALSE),"")</f>
        <v>9 - INVESTIMENTOS</v>
      </c>
      <c r="K1428" s="77" t="str">
        <f>IFERROR(VLOOKUP(DESPESAS[[#This Row],[Plano de Contas]],BASE!$B$3:$H$119,5,FALSE),"")</f>
        <v>MANUTENÇÃO / TI</v>
      </c>
      <c r="L1428" s="77">
        <f>IFERROR(VLOOKUP(DESPESAS[[#This Row],[Plano de Contas]],BASE!$B$3:$H$119,6,FALSE),"")</f>
        <v>0</v>
      </c>
      <c r="M1428" s="77" t="str">
        <f>VLOOKUP(DESPESAS[[#This Row],[Plano de Contas]],BASE!$B$3:$H$119,7,FALSE)</f>
        <v>RAFAEL</v>
      </c>
    </row>
    <row r="1429" spans="1:13" x14ac:dyDescent="0.25">
      <c r="A1429" s="74">
        <v>198107</v>
      </c>
      <c r="B1429" s="75" t="s">
        <v>281</v>
      </c>
      <c r="C1429" s="75" t="s">
        <v>2341</v>
      </c>
      <c r="D1429" s="76">
        <v>46044</v>
      </c>
      <c r="E1429" s="75" t="s">
        <v>361</v>
      </c>
      <c r="F1429" s="74">
        <v>29.72</v>
      </c>
      <c r="G1429" s="75" t="s">
        <v>693</v>
      </c>
      <c r="H1429" s="77" t="str">
        <f>VLOOKUP(DESPESAS[[#This Row],[Plano de Contas]],BASE!$B$3:$D$119,3,FALSE)</f>
        <v>Computadores e Periféricos</v>
      </c>
      <c r="I1429" s="77" t="str">
        <f>IFERROR(VLOOKUP(DESPESAS[[#This Row],[Fornecedor]],Tabela2[],2,FALSE),"")</f>
        <v/>
      </c>
      <c r="J1429" s="77" t="str">
        <f>IFERROR(VLOOKUP(DESPESAS[[#This Row],[Plano de Contas]],BASE!$B$3:$F$119,4,FALSE),"")</f>
        <v>9 - INVESTIMENTOS</v>
      </c>
      <c r="K1429" s="77" t="str">
        <f>IFERROR(VLOOKUP(DESPESAS[[#This Row],[Plano de Contas]],BASE!$B$3:$H$119,5,FALSE),"")</f>
        <v>MANUTENÇÃO / TI</v>
      </c>
      <c r="L1429" s="77">
        <f>IFERROR(VLOOKUP(DESPESAS[[#This Row],[Plano de Contas]],BASE!$B$3:$H$119,6,FALSE),"")</f>
        <v>0</v>
      </c>
      <c r="M1429" s="77" t="str">
        <f>VLOOKUP(DESPESAS[[#This Row],[Plano de Contas]],BASE!$B$3:$H$119,7,FALSE)</f>
        <v>RAFAEL</v>
      </c>
    </row>
    <row r="1430" spans="1:13" x14ac:dyDescent="0.25">
      <c r="A1430" s="74">
        <v>198108</v>
      </c>
      <c r="B1430" s="75" t="s">
        <v>281</v>
      </c>
      <c r="C1430" s="75" t="s">
        <v>2340</v>
      </c>
      <c r="D1430" s="76">
        <v>46044</v>
      </c>
      <c r="E1430" s="75" t="s">
        <v>361</v>
      </c>
      <c r="F1430" s="74">
        <v>29.72</v>
      </c>
      <c r="G1430" s="75" t="s">
        <v>693</v>
      </c>
      <c r="H1430" s="77" t="str">
        <f>VLOOKUP(DESPESAS[[#This Row],[Plano de Contas]],BASE!$B$3:$D$119,3,FALSE)</f>
        <v>Computadores e Periféricos</v>
      </c>
      <c r="I1430" s="77" t="str">
        <f>IFERROR(VLOOKUP(DESPESAS[[#This Row],[Fornecedor]],Tabela2[],2,FALSE),"")</f>
        <v/>
      </c>
      <c r="J1430" s="77" t="str">
        <f>IFERROR(VLOOKUP(DESPESAS[[#This Row],[Plano de Contas]],BASE!$B$3:$F$119,4,FALSE),"")</f>
        <v>9 - INVESTIMENTOS</v>
      </c>
      <c r="K1430" s="77" t="str">
        <f>IFERROR(VLOOKUP(DESPESAS[[#This Row],[Plano de Contas]],BASE!$B$3:$H$119,5,FALSE),"")</f>
        <v>MANUTENÇÃO / TI</v>
      </c>
      <c r="L1430" s="77">
        <f>IFERROR(VLOOKUP(DESPESAS[[#This Row],[Plano de Contas]],BASE!$B$3:$H$119,6,FALSE),"")</f>
        <v>0</v>
      </c>
      <c r="M1430" s="77" t="str">
        <f>VLOOKUP(DESPESAS[[#This Row],[Plano de Contas]],BASE!$B$3:$H$119,7,FALSE)</f>
        <v>RAFAEL</v>
      </c>
    </row>
    <row r="1431" spans="1:13" x14ac:dyDescent="0.25">
      <c r="A1431" s="74">
        <v>198109</v>
      </c>
      <c r="B1431" s="75" t="s">
        <v>232</v>
      </c>
      <c r="C1431" s="75" t="s">
        <v>2339</v>
      </c>
      <c r="D1431" s="76">
        <v>46058</v>
      </c>
      <c r="E1431" s="75" t="s">
        <v>230</v>
      </c>
      <c r="F1431" s="74">
        <v>424.56</v>
      </c>
      <c r="G1431" s="75" t="s">
        <v>229</v>
      </c>
      <c r="H1431" s="77" t="str">
        <f>VLOOKUP(DESPESAS[[#This Row],[Plano de Contas]],BASE!$B$3:$D$119,3,FALSE)</f>
        <v>Despesas Bancarias</v>
      </c>
      <c r="I1431" s="77" t="str">
        <f>IFERROR(VLOOKUP(DESPESAS[[#This Row],[Fornecedor]],Tabela2[],2,FALSE),"")</f>
        <v/>
      </c>
      <c r="J1431" s="77" t="str">
        <f>IFERROR(VLOOKUP(DESPESAS[[#This Row],[Plano de Contas]],BASE!$B$3:$F$119,4,FALSE),"")</f>
        <v>8 - DESPESAS FINANCEIRAS</v>
      </c>
      <c r="K1431" s="77" t="str">
        <f>IFERROR(VLOOKUP(DESPESAS[[#This Row],[Plano de Contas]],BASE!$B$3:$H$119,5,FALSE),"")</f>
        <v>FINANCEIRO</v>
      </c>
      <c r="L1431" s="77">
        <f>IFERROR(VLOOKUP(DESPESAS[[#This Row],[Plano de Contas]],BASE!$B$3:$H$119,6,FALSE),"")</f>
        <v>0</v>
      </c>
      <c r="M1431" s="77" t="str">
        <f>VLOOKUP(DESPESAS[[#This Row],[Plano de Contas]],BASE!$B$3:$H$119,7,FALSE)</f>
        <v>LETÍCIA</v>
      </c>
    </row>
    <row r="1432" spans="1:13" x14ac:dyDescent="0.25">
      <c r="A1432" s="74">
        <v>198110</v>
      </c>
      <c r="B1432" s="75" t="s">
        <v>232</v>
      </c>
      <c r="C1432" s="75" t="s">
        <v>2338</v>
      </c>
      <c r="D1432" s="76">
        <v>46058</v>
      </c>
      <c r="E1432" s="75" t="s">
        <v>230</v>
      </c>
      <c r="F1432" s="74">
        <v>401.33</v>
      </c>
      <c r="G1432" s="75" t="s">
        <v>229</v>
      </c>
      <c r="H1432" s="77" t="str">
        <f>VLOOKUP(DESPESAS[[#This Row],[Plano de Contas]],BASE!$B$3:$D$119,3,FALSE)</f>
        <v>Despesas Bancarias</v>
      </c>
      <c r="I1432" s="77" t="str">
        <f>IFERROR(VLOOKUP(DESPESAS[[#This Row],[Fornecedor]],Tabela2[],2,FALSE),"")</f>
        <v/>
      </c>
      <c r="J1432" s="77" t="str">
        <f>IFERROR(VLOOKUP(DESPESAS[[#This Row],[Plano de Contas]],BASE!$B$3:$F$119,4,FALSE),"")</f>
        <v>8 - DESPESAS FINANCEIRAS</v>
      </c>
      <c r="K1432" s="77" t="str">
        <f>IFERROR(VLOOKUP(DESPESAS[[#This Row],[Plano de Contas]],BASE!$B$3:$H$119,5,FALSE),"")</f>
        <v>FINANCEIRO</v>
      </c>
      <c r="L1432" s="77">
        <f>IFERROR(VLOOKUP(DESPESAS[[#This Row],[Plano de Contas]],BASE!$B$3:$H$119,6,FALSE),"")</f>
        <v>0</v>
      </c>
      <c r="M1432" s="77" t="str">
        <f>VLOOKUP(DESPESAS[[#This Row],[Plano de Contas]],BASE!$B$3:$H$119,7,FALSE)</f>
        <v>LETÍCIA</v>
      </c>
    </row>
    <row r="1433" spans="1:13" x14ac:dyDescent="0.25">
      <c r="A1433" s="74">
        <v>198111</v>
      </c>
      <c r="B1433" s="75" t="s">
        <v>232</v>
      </c>
      <c r="C1433" s="75" t="s">
        <v>2337</v>
      </c>
      <c r="D1433" s="76">
        <v>46058</v>
      </c>
      <c r="E1433" s="75" t="s">
        <v>230</v>
      </c>
      <c r="F1433" s="74">
        <v>2592.9899999999998</v>
      </c>
      <c r="G1433" s="75" t="s">
        <v>251</v>
      </c>
      <c r="H1433" s="77" t="str">
        <f>VLOOKUP(DESPESAS[[#This Row],[Plano de Contas]],BASE!$B$3:$D$119,3,FALSE)</f>
        <v>Juros Pagos - Antecipação de Crédito</v>
      </c>
      <c r="I1433" s="77" t="str">
        <f>IFERROR(VLOOKUP(DESPESAS[[#This Row],[Fornecedor]],Tabela2[],2,FALSE),"")</f>
        <v/>
      </c>
      <c r="J1433" s="77" t="str">
        <f>IFERROR(VLOOKUP(DESPESAS[[#This Row],[Plano de Contas]],BASE!$B$3:$F$119,4,FALSE),"")</f>
        <v>8 - DESPESAS FINANCEIRAS</v>
      </c>
      <c r="K1433" s="77" t="str">
        <f>IFERROR(VLOOKUP(DESPESAS[[#This Row],[Plano de Contas]],BASE!$B$3:$H$119,5,FALSE),"")</f>
        <v>FINANCEIRO</v>
      </c>
      <c r="L1433" s="77">
        <f>IFERROR(VLOOKUP(DESPESAS[[#This Row],[Plano de Contas]],BASE!$B$3:$H$119,6,FALSE),"")</f>
        <v>0</v>
      </c>
      <c r="M1433" s="77" t="str">
        <f>VLOOKUP(DESPESAS[[#This Row],[Plano de Contas]],BASE!$B$3:$H$119,7,FALSE)</f>
        <v>LETÍCIA</v>
      </c>
    </row>
    <row r="1434" spans="1:13" x14ac:dyDescent="0.25">
      <c r="A1434" s="74">
        <v>198112</v>
      </c>
      <c r="B1434" s="75" t="s">
        <v>221</v>
      </c>
      <c r="C1434" s="75" t="s">
        <v>2336</v>
      </c>
      <c r="D1434" s="76">
        <v>46058</v>
      </c>
      <c r="E1434" s="75" t="s">
        <v>2335</v>
      </c>
      <c r="F1434" s="74">
        <v>2000</v>
      </c>
      <c r="G1434" s="75" t="s">
        <v>1388</v>
      </c>
      <c r="H1434" s="77" t="str">
        <f>VLOOKUP(DESPESAS[[#This Row],[Plano de Contas]],BASE!$B$3:$D$119,3,FALSE)</f>
        <v>Fretes</v>
      </c>
      <c r="I1434" s="77" t="str">
        <f>IFERROR(VLOOKUP(DESPESAS[[#This Row],[Fornecedor]],Tabela2[],2,FALSE),"")</f>
        <v/>
      </c>
      <c r="J1434" s="77" t="str">
        <f>IFERROR(VLOOKUP(DESPESAS[[#This Row],[Plano de Contas]],BASE!$B$3:$F$119,4,FALSE),"")</f>
        <v>6 - DESPESA COM VENDAS</v>
      </c>
      <c r="K1434" s="77" t="str">
        <f>IFERROR(VLOOKUP(DESPESAS[[#This Row],[Plano de Contas]],BASE!$B$3:$H$119,5,FALSE),"")</f>
        <v>LOGÍSTICA</v>
      </c>
      <c r="L1434" s="77">
        <f>IFERROR(VLOOKUP(DESPESAS[[#This Row],[Plano de Contas]],BASE!$B$3:$H$119,6,FALSE),"")</f>
        <v>0</v>
      </c>
      <c r="M1434" s="77" t="str">
        <f>VLOOKUP(DESPESAS[[#This Row],[Plano de Contas]],BASE!$B$3:$H$119,7,FALSE)</f>
        <v>MYLENA</v>
      </c>
    </row>
    <row r="1435" spans="1:13" x14ac:dyDescent="0.25">
      <c r="A1435" s="74">
        <v>198113</v>
      </c>
      <c r="B1435" s="75" t="s">
        <v>221</v>
      </c>
      <c r="C1435" s="75" t="s">
        <v>2334</v>
      </c>
      <c r="D1435" s="76">
        <v>46058</v>
      </c>
      <c r="E1435" s="75" t="s">
        <v>245</v>
      </c>
      <c r="F1435" s="74">
        <v>24</v>
      </c>
      <c r="G1435" s="75" t="s">
        <v>218</v>
      </c>
      <c r="H1435" s="77" t="str">
        <f>VLOOKUP(DESPESAS[[#This Row],[Plano de Contas]],BASE!$B$3:$D$119,3,FALSE)</f>
        <v>Manutenção de Equipamentos (Prod)</v>
      </c>
      <c r="I1435" s="77" t="str">
        <f>IFERROR(VLOOKUP(DESPESAS[[#This Row],[Fornecedor]],Tabela2[],2,FALSE),"")</f>
        <v>FERRAGENS GERAIS</v>
      </c>
      <c r="J1435" s="77" t="str">
        <f>IFERROR(VLOOKUP(DESPESAS[[#This Row],[Plano de Contas]],BASE!$B$3:$F$119,4,FALSE),"")</f>
        <v>3 - CUSTOS INDIRETOS</v>
      </c>
      <c r="K1435" s="77" t="str">
        <f>IFERROR(VLOOKUP(DESPESAS[[#This Row],[Plano de Contas]],BASE!$B$3:$H$119,5,FALSE),"")</f>
        <v>MANUTENÇÃO / TI</v>
      </c>
      <c r="L1435" s="77">
        <f>IFERROR(VLOOKUP(DESPESAS[[#This Row],[Plano de Contas]],BASE!$B$3:$H$119,6,FALSE),"")</f>
        <v>0</v>
      </c>
      <c r="M1435" s="77" t="str">
        <f>VLOOKUP(DESPESAS[[#This Row],[Plano de Contas]],BASE!$B$3:$H$119,7,FALSE)</f>
        <v>RAFAEL</v>
      </c>
    </row>
    <row r="1436" spans="1:13" x14ac:dyDescent="0.25">
      <c r="A1436" s="74">
        <v>198114</v>
      </c>
      <c r="B1436" s="75" t="s">
        <v>279</v>
      </c>
      <c r="C1436" s="75" t="s">
        <v>2333</v>
      </c>
      <c r="D1436" s="76">
        <v>46058</v>
      </c>
      <c r="E1436" s="75" t="s">
        <v>226</v>
      </c>
      <c r="F1436" s="74">
        <v>10</v>
      </c>
      <c r="G1436" s="75" t="s">
        <v>225</v>
      </c>
      <c r="H1436" s="77" t="str">
        <f>VLOOKUP(DESPESAS[[#This Row],[Plano de Contas]],BASE!$B$3:$D$119,3,FALSE)</f>
        <v>Despesas de Outros Gastos Não Operacionais</v>
      </c>
      <c r="I1436" s="77" t="str">
        <f>IFERROR(VLOOKUP(DESPESAS[[#This Row],[Fornecedor]],Tabela2[],2,FALSE),"")</f>
        <v/>
      </c>
      <c r="J1436" s="77" t="str">
        <f>IFERROR(VLOOKUP(DESPESAS[[#This Row],[Plano de Contas]],BASE!$B$3:$F$119,4,FALSE),"")</f>
        <v>8 - DESPESAS FINANCEIRAS</v>
      </c>
      <c r="K1436" s="77" t="str">
        <f>IFERROR(VLOOKUP(DESPESAS[[#This Row],[Plano de Contas]],BASE!$B$3:$H$119,5,FALSE),"")</f>
        <v>FINANCEIRO</v>
      </c>
      <c r="L1436" s="77">
        <f>IFERROR(VLOOKUP(DESPESAS[[#This Row],[Plano de Contas]],BASE!$B$3:$H$119,6,FALSE),"")</f>
        <v>0</v>
      </c>
      <c r="M1436" s="77" t="str">
        <f>VLOOKUP(DESPESAS[[#This Row],[Plano de Contas]],BASE!$B$3:$H$119,7,FALSE)</f>
        <v>LETÍCIA</v>
      </c>
    </row>
    <row r="1437" spans="1:13" x14ac:dyDescent="0.25">
      <c r="A1437" s="74">
        <v>198115</v>
      </c>
      <c r="B1437" s="75" t="s">
        <v>279</v>
      </c>
      <c r="C1437" s="75" t="s">
        <v>2332</v>
      </c>
      <c r="D1437" s="76">
        <v>46057</v>
      </c>
      <c r="E1437" s="75" t="s">
        <v>226</v>
      </c>
      <c r="F1437" s="74">
        <v>15</v>
      </c>
      <c r="G1437" s="75" t="s">
        <v>225</v>
      </c>
      <c r="H1437" s="77" t="str">
        <f>VLOOKUP(DESPESAS[[#This Row],[Plano de Contas]],BASE!$B$3:$D$119,3,FALSE)</f>
        <v>Despesas de Outros Gastos Não Operacionais</v>
      </c>
      <c r="I1437" s="77" t="str">
        <f>IFERROR(VLOOKUP(DESPESAS[[#This Row],[Fornecedor]],Tabela2[],2,FALSE),"")</f>
        <v/>
      </c>
      <c r="J1437" s="77" t="str">
        <f>IFERROR(VLOOKUP(DESPESAS[[#This Row],[Plano de Contas]],BASE!$B$3:$F$119,4,FALSE),"")</f>
        <v>8 - DESPESAS FINANCEIRAS</v>
      </c>
      <c r="K1437" s="77" t="str">
        <f>IFERROR(VLOOKUP(DESPESAS[[#This Row],[Plano de Contas]],BASE!$B$3:$H$119,5,FALSE),"")</f>
        <v>FINANCEIRO</v>
      </c>
      <c r="L1437" s="77">
        <f>IFERROR(VLOOKUP(DESPESAS[[#This Row],[Plano de Contas]],BASE!$B$3:$H$119,6,FALSE),"")</f>
        <v>0</v>
      </c>
      <c r="M1437" s="77" t="str">
        <f>VLOOKUP(DESPESAS[[#This Row],[Plano de Contas]],BASE!$B$3:$H$119,7,FALSE)</f>
        <v>LETÍCIA</v>
      </c>
    </row>
    <row r="1438" spans="1:13" x14ac:dyDescent="0.25">
      <c r="A1438" s="74">
        <v>198116</v>
      </c>
      <c r="B1438" s="75" t="s">
        <v>221</v>
      </c>
      <c r="C1438" s="75" t="s">
        <v>2331</v>
      </c>
      <c r="D1438" s="76">
        <v>46058</v>
      </c>
      <c r="E1438" s="75" t="s">
        <v>1872</v>
      </c>
      <c r="F1438" s="74">
        <v>25</v>
      </c>
      <c r="G1438" s="75" t="s">
        <v>218</v>
      </c>
      <c r="H1438" s="77" t="str">
        <f>VLOOKUP(DESPESAS[[#This Row],[Plano de Contas]],BASE!$B$3:$D$119,3,FALSE)</f>
        <v>Manutenção de Equipamentos (Prod)</v>
      </c>
      <c r="I1438" s="77" t="str">
        <f>IFERROR(VLOOKUP(DESPESAS[[#This Row],[Fornecedor]],Tabela2[],2,FALSE),"")</f>
        <v>MATERIAIS ELETRICOS</v>
      </c>
      <c r="J1438" s="77" t="str">
        <f>IFERROR(VLOOKUP(DESPESAS[[#This Row],[Plano de Contas]],BASE!$B$3:$F$119,4,FALSE),"")</f>
        <v>3 - CUSTOS INDIRETOS</v>
      </c>
      <c r="K1438" s="77" t="str">
        <f>IFERROR(VLOOKUP(DESPESAS[[#This Row],[Plano de Contas]],BASE!$B$3:$H$119,5,FALSE),"")</f>
        <v>MANUTENÇÃO / TI</v>
      </c>
      <c r="L1438" s="77">
        <f>IFERROR(VLOOKUP(DESPESAS[[#This Row],[Plano de Contas]],BASE!$B$3:$H$119,6,FALSE),"")</f>
        <v>0</v>
      </c>
      <c r="M1438" s="77" t="str">
        <f>VLOOKUP(DESPESAS[[#This Row],[Plano de Contas]],BASE!$B$3:$H$119,7,FALSE)</f>
        <v>RAFAEL</v>
      </c>
    </row>
    <row r="1439" spans="1:13" x14ac:dyDescent="0.25">
      <c r="A1439" s="74">
        <v>198117</v>
      </c>
      <c r="B1439" s="75" t="s">
        <v>232</v>
      </c>
      <c r="C1439" s="75" t="s">
        <v>2330</v>
      </c>
      <c r="D1439" s="76">
        <v>46058</v>
      </c>
      <c r="E1439" s="75" t="s">
        <v>774</v>
      </c>
      <c r="F1439" s="74">
        <v>329.2</v>
      </c>
      <c r="G1439" s="75" t="s">
        <v>1037</v>
      </c>
      <c r="H1439" s="77" t="str">
        <f>VLOOKUP(DESPESAS[[#This Row],[Plano de Contas]],BASE!$B$3:$D$119,3,FALSE)</f>
        <v>Construções e Reformas</v>
      </c>
      <c r="I1439" s="77" t="str">
        <f>IFERROR(VLOOKUP(DESPESAS[[#This Row],[Fornecedor]],Tabela2[],2,FALSE),"")</f>
        <v/>
      </c>
      <c r="J1439" s="77" t="str">
        <f>IFERROR(VLOOKUP(DESPESAS[[#This Row],[Plano de Contas]],BASE!$B$3:$F$119,4,FALSE),"")</f>
        <v>9 - INVESTIMENTOS</v>
      </c>
      <c r="K1439" s="77" t="str">
        <f>IFERROR(VLOOKUP(DESPESAS[[#This Row],[Plano de Contas]],BASE!$B$3:$H$119,5,FALSE),"")</f>
        <v>MANUTENÇÃO / TI</v>
      </c>
      <c r="L1439" s="77">
        <f>IFERROR(VLOOKUP(DESPESAS[[#This Row],[Plano de Contas]],BASE!$B$3:$H$119,6,FALSE),"")</f>
        <v>0</v>
      </c>
      <c r="M1439" s="77" t="str">
        <f>VLOOKUP(DESPESAS[[#This Row],[Plano de Contas]],BASE!$B$3:$H$119,7,FALSE)</f>
        <v>FÁBIO</v>
      </c>
    </row>
    <row r="1440" spans="1:13" x14ac:dyDescent="0.25">
      <c r="A1440" s="74">
        <v>198118</v>
      </c>
      <c r="B1440" s="75" t="s">
        <v>232</v>
      </c>
      <c r="C1440" s="75" t="s">
        <v>2329</v>
      </c>
      <c r="D1440" s="76">
        <v>46050</v>
      </c>
      <c r="E1440" s="75" t="s">
        <v>394</v>
      </c>
      <c r="F1440" s="74">
        <v>80.75</v>
      </c>
      <c r="G1440" s="75" t="s">
        <v>241</v>
      </c>
      <c r="H1440" s="77" t="str">
        <f>VLOOKUP(DESPESAS[[#This Row],[Plano de Contas]],BASE!$B$3:$D$119,3,FALSE)</f>
        <v>Combustiveis Frota</v>
      </c>
      <c r="I1440" s="77" t="str">
        <f>IFERROR(VLOOKUP(DESPESAS[[#This Row],[Fornecedor]],Tabela2[],2,FALSE),"")</f>
        <v/>
      </c>
      <c r="J1440" s="77" t="str">
        <f>IFERROR(VLOOKUP(DESPESAS[[#This Row],[Plano de Contas]],BASE!$B$3:$F$119,4,FALSE),"")</f>
        <v>6 - DESPESA COM VENDAS</v>
      </c>
      <c r="K1440" s="77" t="str">
        <f>IFERROR(VLOOKUP(DESPESAS[[#This Row],[Plano de Contas]],BASE!$B$3:$H$119,5,FALSE),"")</f>
        <v>LOGÍSTICA</v>
      </c>
      <c r="L1440" s="77">
        <f>IFERROR(VLOOKUP(DESPESAS[[#This Row],[Plano de Contas]],BASE!$B$3:$H$119,6,FALSE),"")</f>
        <v>0</v>
      </c>
      <c r="M1440" s="77" t="str">
        <f>VLOOKUP(DESPESAS[[#This Row],[Plano de Contas]],BASE!$B$3:$H$119,7,FALSE)</f>
        <v>MYLENA</v>
      </c>
    </row>
    <row r="1441" spans="1:13" x14ac:dyDescent="0.25">
      <c r="A1441" s="74">
        <v>198120</v>
      </c>
      <c r="B1441" s="75" t="s">
        <v>232</v>
      </c>
      <c r="C1441" s="75" t="s">
        <v>2328</v>
      </c>
      <c r="D1441" s="76">
        <v>46050</v>
      </c>
      <c r="E1441" s="75" t="s">
        <v>394</v>
      </c>
      <c r="F1441" s="74">
        <v>2001.19</v>
      </c>
      <c r="G1441" s="75" t="s">
        <v>241</v>
      </c>
      <c r="H1441" s="77" t="str">
        <f>VLOOKUP(DESPESAS[[#This Row],[Plano de Contas]],BASE!$B$3:$D$119,3,FALSE)</f>
        <v>Combustiveis Frota</v>
      </c>
      <c r="I1441" s="77" t="str">
        <f>IFERROR(VLOOKUP(DESPESAS[[#This Row],[Fornecedor]],Tabela2[],2,FALSE),"")</f>
        <v/>
      </c>
      <c r="J1441" s="77" t="str">
        <f>IFERROR(VLOOKUP(DESPESAS[[#This Row],[Plano de Contas]],BASE!$B$3:$F$119,4,FALSE),"")</f>
        <v>6 - DESPESA COM VENDAS</v>
      </c>
      <c r="K1441" s="77" t="str">
        <f>IFERROR(VLOOKUP(DESPESAS[[#This Row],[Plano de Contas]],BASE!$B$3:$H$119,5,FALSE),"")</f>
        <v>LOGÍSTICA</v>
      </c>
      <c r="L1441" s="77">
        <f>IFERROR(VLOOKUP(DESPESAS[[#This Row],[Plano de Contas]],BASE!$B$3:$H$119,6,FALSE),"")</f>
        <v>0</v>
      </c>
      <c r="M1441" s="77" t="str">
        <f>VLOOKUP(DESPESAS[[#This Row],[Plano de Contas]],BASE!$B$3:$H$119,7,FALSE)</f>
        <v>MYLENA</v>
      </c>
    </row>
    <row r="1442" spans="1:13" x14ac:dyDescent="0.25">
      <c r="A1442" s="74">
        <v>198121</v>
      </c>
      <c r="B1442" s="75" t="s">
        <v>232</v>
      </c>
      <c r="C1442" s="75" t="s">
        <v>2327</v>
      </c>
      <c r="D1442" s="76">
        <v>46053</v>
      </c>
      <c r="E1442" s="75" t="s">
        <v>734</v>
      </c>
      <c r="F1442" s="74">
        <v>589</v>
      </c>
      <c r="G1442" s="75" t="s">
        <v>241</v>
      </c>
      <c r="H1442" s="77" t="str">
        <f>VLOOKUP(DESPESAS[[#This Row],[Plano de Contas]],BASE!$B$3:$D$119,3,FALSE)</f>
        <v>Combustiveis Frota</v>
      </c>
      <c r="I1442" s="77" t="str">
        <f>IFERROR(VLOOKUP(DESPESAS[[#This Row],[Fornecedor]],Tabela2[],2,FALSE),"")</f>
        <v/>
      </c>
      <c r="J1442" s="77" t="str">
        <f>IFERROR(VLOOKUP(DESPESAS[[#This Row],[Plano de Contas]],BASE!$B$3:$F$119,4,FALSE),"")</f>
        <v>6 - DESPESA COM VENDAS</v>
      </c>
      <c r="K1442" s="77" t="str">
        <f>IFERROR(VLOOKUP(DESPESAS[[#This Row],[Plano de Contas]],BASE!$B$3:$H$119,5,FALSE),"")</f>
        <v>LOGÍSTICA</v>
      </c>
      <c r="L1442" s="77">
        <f>IFERROR(VLOOKUP(DESPESAS[[#This Row],[Plano de Contas]],BASE!$B$3:$H$119,6,FALSE),"")</f>
        <v>0</v>
      </c>
      <c r="M1442" s="77" t="str">
        <f>VLOOKUP(DESPESAS[[#This Row],[Plano de Contas]],BASE!$B$3:$H$119,7,FALSE)</f>
        <v>MYLENA</v>
      </c>
    </row>
    <row r="1443" spans="1:13" x14ac:dyDescent="0.25">
      <c r="A1443" s="74">
        <v>198124</v>
      </c>
      <c r="B1443" s="75" t="s">
        <v>221</v>
      </c>
      <c r="C1443" s="75" t="s">
        <v>2326</v>
      </c>
      <c r="D1443" s="76">
        <v>46056</v>
      </c>
      <c r="E1443" s="75" t="s">
        <v>320</v>
      </c>
      <c r="F1443" s="74">
        <v>76</v>
      </c>
      <c r="G1443" s="75" t="s">
        <v>222</v>
      </c>
      <c r="H1443" s="77" t="str">
        <f>VLOOKUP(DESPESAS[[#This Row],[Plano de Contas]],BASE!$B$3:$D$119,3,FALSE)</f>
        <v>Alimentação</v>
      </c>
      <c r="I1443" s="77" t="str">
        <f>IFERROR(VLOOKUP(DESPESAS[[#This Row],[Fornecedor]],Tabela2[],2,FALSE),"")</f>
        <v/>
      </c>
      <c r="J1443" s="77" t="str">
        <f>IFERROR(VLOOKUP(DESPESAS[[#This Row],[Plano de Contas]],BASE!$B$3:$F$119,4,FALSE),"")</f>
        <v>5 - DESPESAS ADMINISTRATIVAS</v>
      </c>
      <c r="K1443" s="77" t="str">
        <f>IFERROR(VLOOKUP(DESPESAS[[#This Row],[Plano de Contas]],BASE!$B$3:$H$119,5,FALSE),"")</f>
        <v>FINANCEIRO</v>
      </c>
      <c r="L1443" s="77">
        <f>IFERROR(VLOOKUP(DESPESAS[[#This Row],[Plano de Contas]],BASE!$B$3:$H$119,6,FALSE),"")</f>
        <v>0</v>
      </c>
      <c r="M1443" s="77" t="str">
        <f>VLOOKUP(DESPESAS[[#This Row],[Plano de Contas]],BASE!$B$3:$H$119,7,FALSE)</f>
        <v>MYLENA</v>
      </c>
    </row>
    <row r="1444" spans="1:13" x14ac:dyDescent="0.25">
      <c r="A1444" s="74">
        <v>198125</v>
      </c>
      <c r="B1444" s="75" t="s">
        <v>221</v>
      </c>
      <c r="C1444" s="75" t="s">
        <v>1804</v>
      </c>
      <c r="D1444" s="76">
        <v>46053</v>
      </c>
      <c r="E1444" s="75" t="s">
        <v>1145</v>
      </c>
      <c r="F1444" s="74">
        <v>1370.25</v>
      </c>
      <c r="G1444" s="75" t="s">
        <v>1318</v>
      </c>
      <c r="H1444" s="77" t="str">
        <f>VLOOKUP(DESPESAS[[#This Row],[Plano de Contas]],BASE!$B$3:$D$119,3,FALSE)</f>
        <v>Feiras e Eventos</v>
      </c>
      <c r="I1444" s="77" t="str">
        <f>IFERROR(VLOOKUP(DESPESAS[[#This Row],[Fornecedor]],Tabela2[],2,FALSE),"")</f>
        <v/>
      </c>
      <c r="J1444" s="77" t="str">
        <f>IFERROR(VLOOKUP(DESPESAS[[#This Row],[Plano de Contas]],BASE!$B$3:$F$119,4,FALSE),"")</f>
        <v>6 - DESPESA COM VENDAS</v>
      </c>
      <c r="K1444" s="77" t="str">
        <f>IFERROR(VLOOKUP(DESPESAS[[#This Row],[Plano de Contas]],BASE!$B$3:$H$119,5,FALSE),"")</f>
        <v>COMERCIAL</v>
      </c>
      <c r="L1444" s="77">
        <f>IFERROR(VLOOKUP(DESPESAS[[#This Row],[Plano de Contas]],BASE!$B$3:$H$119,6,FALSE),"")</f>
        <v>0</v>
      </c>
      <c r="M1444" s="77" t="str">
        <f>VLOOKUP(DESPESAS[[#This Row],[Plano de Contas]],BASE!$B$3:$H$119,7,FALSE)</f>
        <v>THAIS</v>
      </c>
    </row>
    <row r="1445" spans="1:13" x14ac:dyDescent="0.25">
      <c r="A1445" s="74">
        <v>198126</v>
      </c>
      <c r="B1445" s="75" t="s">
        <v>232</v>
      </c>
      <c r="C1445" s="75" t="s">
        <v>2325</v>
      </c>
      <c r="D1445" s="76">
        <v>46058</v>
      </c>
      <c r="E1445" s="75" t="s">
        <v>566</v>
      </c>
      <c r="F1445" s="74">
        <v>500.86</v>
      </c>
      <c r="G1445" s="75" t="s">
        <v>561</v>
      </c>
      <c r="H1445" s="77" t="str">
        <f>VLOOKUP(DESPESAS[[#This Row],[Plano de Contas]],BASE!$B$3:$D$119,3,FALSE)</f>
        <v>Sistemas de Informação</v>
      </c>
      <c r="I1445" s="77" t="str">
        <f>IFERROR(VLOOKUP(DESPESAS[[#This Row],[Fornecedor]],Tabela2[],2,FALSE),"")</f>
        <v>TOPSOLID</v>
      </c>
      <c r="J1445" s="77" t="str">
        <f>IFERROR(VLOOKUP(DESPESAS[[#This Row],[Plano de Contas]],BASE!$B$3:$F$119,4,FALSE),"")</f>
        <v>7 - SERVIÇOS DE TERCEIROS</v>
      </c>
      <c r="K1445" s="77" t="str">
        <f>IFERROR(VLOOKUP(DESPESAS[[#This Row],[Plano de Contas]],BASE!$B$3:$H$119,5,FALSE),"")</f>
        <v>MANUTENÇÃO / TI</v>
      </c>
      <c r="L1445" s="77">
        <f>IFERROR(VLOOKUP(DESPESAS[[#This Row],[Plano de Contas]],BASE!$B$3:$H$119,6,FALSE),"")</f>
        <v>0</v>
      </c>
      <c r="M1445" s="77" t="str">
        <f>VLOOKUP(DESPESAS[[#This Row],[Plano de Contas]],BASE!$B$3:$H$119,7,FALSE)</f>
        <v>LETÍCIA</v>
      </c>
    </row>
    <row r="1446" spans="1:13" x14ac:dyDescent="0.25">
      <c r="A1446" s="74">
        <v>198127</v>
      </c>
      <c r="B1446" s="75" t="s">
        <v>221</v>
      </c>
      <c r="C1446" s="75" t="s">
        <v>2324</v>
      </c>
      <c r="D1446" s="76">
        <v>46057</v>
      </c>
      <c r="E1446" s="75" t="s">
        <v>320</v>
      </c>
      <c r="F1446" s="74">
        <v>116</v>
      </c>
      <c r="G1446" s="75" t="s">
        <v>480</v>
      </c>
      <c r="H1446" s="77" t="str">
        <f>VLOOKUP(DESPESAS[[#This Row],[Plano de Contas]],BASE!$B$3:$D$119,3,FALSE)</f>
        <v>Viagens e Estadias c/ Vendas</v>
      </c>
      <c r="I1446" s="77" t="str">
        <f>IFERROR(VLOOKUP(DESPESAS[[#This Row],[Fornecedor]],Tabela2[],2,FALSE),"")</f>
        <v/>
      </c>
      <c r="J1446" s="77" t="str">
        <f>IFERROR(VLOOKUP(DESPESAS[[#This Row],[Plano de Contas]],BASE!$B$3:$F$119,4,FALSE),"")</f>
        <v>6 - DESPESA COM VENDAS</v>
      </c>
      <c r="K1446" s="77" t="str">
        <f>IFERROR(VLOOKUP(DESPESAS[[#This Row],[Plano de Contas]],BASE!$B$3:$H$119,5,FALSE),"")</f>
        <v>COMERCIAL</v>
      </c>
      <c r="L1446" s="77">
        <f>IFERROR(VLOOKUP(DESPESAS[[#This Row],[Plano de Contas]],BASE!$B$3:$H$119,6,FALSE),"")</f>
        <v>0</v>
      </c>
      <c r="M1446" s="77" t="str">
        <f>VLOOKUP(DESPESAS[[#This Row],[Plano de Contas]],BASE!$B$3:$H$119,7,FALSE)</f>
        <v>LETÍCIA</v>
      </c>
    </row>
    <row r="1447" spans="1:13" x14ac:dyDescent="0.25">
      <c r="A1447" s="74">
        <v>198128</v>
      </c>
      <c r="B1447" s="75" t="s">
        <v>221</v>
      </c>
      <c r="C1447" s="75" t="s">
        <v>2323</v>
      </c>
      <c r="D1447" s="76">
        <v>46053</v>
      </c>
      <c r="E1447" s="75" t="s">
        <v>1748</v>
      </c>
      <c r="F1447" s="74">
        <v>1350</v>
      </c>
      <c r="G1447" s="75" t="s">
        <v>259</v>
      </c>
      <c r="H1447" s="77" t="str">
        <f>VLOOKUP(DESPESAS[[#This Row],[Plano de Contas]],BASE!$B$3:$D$119,3,FALSE)</f>
        <v>Manutenção Predial CIF</v>
      </c>
      <c r="I1447" s="77" t="str">
        <f>IFERROR(VLOOKUP(DESPESAS[[#This Row],[Fornecedor]],Tabela2[],2,FALSE),"")</f>
        <v/>
      </c>
      <c r="J1447" s="77" t="str">
        <f>IFERROR(VLOOKUP(DESPESAS[[#This Row],[Plano de Contas]],BASE!$B$3:$F$119,4,FALSE),"")</f>
        <v>3 - CUSTOS INDIRETOS</v>
      </c>
      <c r="K1447" s="77" t="str">
        <f>IFERROR(VLOOKUP(DESPESAS[[#This Row],[Plano de Contas]],BASE!$B$3:$H$119,5,FALSE),"")</f>
        <v>MANUTENÇÃO / TI</v>
      </c>
      <c r="L1447" s="77">
        <f>IFERROR(VLOOKUP(DESPESAS[[#This Row],[Plano de Contas]],BASE!$B$3:$H$119,6,FALSE),"")</f>
        <v>0</v>
      </c>
      <c r="M1447" s="77" t="str">
        <f>VLOOKUP(DESPESAS[[#This Row],[Plano de Contas]],BASE!$B$3:$H$119,7,FALSE)</f>
        <v>FÁBIO</v>
      </c>
    </row>
    <row r="1448" spans="1:13" x14ac:dyDescent="0.25">
      <c r="A1448" s="74">
        <v>198129</v>
      </c>
      <c r="B1448" s="75" t="s">
        <v>221</v>
      </c>
      <c r="C1448" s="75" t="s">
        <v>2322</v>
      </c>
      <c r="D1448" s="76">
        <v>46053</v>
      </c>
      <c r="E1448" s="75" t="s">
        <v>1748</v>
      </c>
      <c r="F1448" s="74">
        <v>90</v>
      </c>
      <c r="G1448" s="75" t="s">
        <v>218</v>
      </c>
      <c r="H1448" s="77" t="str">
        <f>VLOOKUP(DESPESAS[[#This Row],[Plano de Contas]],BASE!$B$3:$D$119,3,FALSE)</f>
        <v>Manutenção de Equipamentos (Prod)</v>
      </c>
      <c r="I1448" s="77" t="str">
        <f>IFERROR(VLOOKUP(DESPESAS[[#This Row],[Fornecedor]],Tabela2[],2,FALSE),"")</f>
        <v/>
      </c>
      <c r="J1448" s="77" t="str">
        <f>IFERROR(VLOOKUP(DESPESAS[[#This Row],[Plano de Contas]],BASE!$B$3:$F$119,4,FALSE),"")</f>
        <v>3 - CUSTOS INDIRETOS</v>
      </c>
      <c r="K1448" s="77" t="str">
        <f>IFERROR(VLOOKUP(DESPESAS[[#This Row],[Plano de Contas]],BASE!$B$3:$H$119,5,FALSE),"")</f>
        <v>MANUTENÇÃO / TI</v>
      </c>
      <c r="L1448" s="77">
        <f>IFERROR(VLOOKUP(DESPESAS[[#This Row],[Plano de Contas]],BASE!$B$3:$H$119,6,FALSE),"")</f>
        <v>0</v>
      </c>
      <c r="M1448" s="77" t="str">
        <f>VLOOKUP(DESPESAS[[#This Row],[Plano de Contas]],BASE!$B$3:$H$119,7,FALSE)</f>
        <v>RAFAEL</v>
      </c>
    </row>
    <row r="1449" spans="1:13" x14ac:dyDescent="0.25">
      <c r="A1449" s="74">
        <v>198130</v>
      </c>
      <c r="B1449" s="75" t="s">
        <v>221</v>
      </c>
      <c r="C1449" s="75" t="s">
        <v>2321</v>
      </c>
      <c r="D1449" s="76">
        <v>46053</v>
      </c>
      <c r="E1449" s="75" t="s">
        <v>1748</v>
      </c>
      <c r="F1449" s="74">
        <v>140</v>
      </c>
      <c r="G1449" s="75" t="s">
        <v>218</v>
      </c>
      <c r="H1449" s="77" t="str">
        <f>VLOOKUP(DESPESAS[[#This Row],[Plano de Contas]],BASE!$B$3:$D$119,3,FALSE)</f>
        <v>Manutenção de Equipamentos (Prod)</v>
      </c>
      <c r="I1449" s="77" t="str">
        <f>IFERROR(VLOOKUP(DESPESAS[[#This Row],[Fornecedor]],Tabela2[],2,FALSE),"")</f>
        <v/>
      </c>
      <c r="J1449" s="77" t="str">
        <f>IFERROR(VLOOKUP(DESPESAS[[#This Row],[Plano de Contas]],BASE!$B$3:$F$119,4,FALSE),"")</f>
        <v>3 - CUSTOS INDIRETOS</v>
      </c>
      <c r="K1449" s="77" t="str">
        <f>IFERROR(VLOOKUP(DESPESAS[[#This Row],[Plano de Contas]],BASE!$B$3:$H$119,5,FALSE),"")</f>
        <v>MANUTENÇÃO / TI</v>
      </c>
      <c r="L1449" s="77">
        <f>IFERROR(VLOOKUP(DESPESAS[[#This Row],[Plano de Contas]],BASE!$B$3:$H$119,6,FALSE),"")</f>
        <v>0</v>
      </c>
      <c r="M1449" s="77" t="str">
        <f>VLOOKUP(DESPESAS[[#This Row],[Plano de Contas]],BASE!$B$3:$H$119,7,FALSE)</f>
        <v>RAFAEL</v>
      </c>
    </row>
    <row r="1450" spans="1:13" x14ac:dyDescent="0.25">
      <c r="A1450" s="74">
        <v>198131</v>
      </c>
      <c r="B1450" s="75" t="s">
        <v>221</v>
      </c>
      <c r="C1450" s="75" t="s">
        <v>2320</v>
      </c>
      <c r="D1450" s="76">
        <v>46053</v>
      </c>
      <c r="E1450" s="75" t="s">
        <v>1748</v>
      </c>
      <c r="F1450" s="74">
        <v>900</v>
      </c>
      <c r="G1450" s="75" t="s">
        <v>259</v>
      </c>
      <c r="H1450" s="77" t="str">
        <f>VLOOKUP(DESPESAS[[#This Row],[Plano de Contas]],BASE!$B$3:$D$119,3,FALSE)</f>
        <v>Manutenção Predial CIF</v>
      </c>
      <c r="I1450" s="77" t="str">
        <f>IFERROR(VLOOKUP(DESPESAS[[#This Row],[Fornecedor]],Tabela2[],2,FALSE),"")</f>
        <v/>
      </c>
      <c r="J1450" s="77" t="str">
        <f>IFERROR(VLOOKUP(DESPESAS[[#This Row],[Plano de Contas]],BASE!$B$3:$F$119,4,FALSE),"")</f>
        <v>3 - CUSTOS INDIRETOS</v>
      </c>
      <c r="K1450" s="77" t="str">
        <f>IFERROR(VLOOKUP(DESPESAS[[#This Row],[Plano de Contas]],BASE!$B$3:$H$119,5,FALSE),"")</f>
        <v>MANUTENÇÃO / TI</v>
      </c>
      <c r="L1450" s="77">
        <f>IFERROR(VLOOKUP(DESPESAS[[#This Row],[Plano de Contas]],BASE!$B$3:$H$119,6,FALSE),"")</f>
        <v>0</v>
      </c>
      <c r="M1450" s="77" t="str">
        <f>VLOOKUP(DESPESAS[[#This Row],[Plano de Contas]],BASE!$B$3:$H$119,7,FALSE)</f>
        <v>FÁBIO</v>
      </c>
    </row>
    <row r="1451" spans="1:13" x14ac:dyDescent="0.25">
      <c r="A1451" s="74">
        <v>198132</v>
      </c>
      <c r="B1451" s="75" t="s">
        <v>279</v>
      </c>
      <c r="C1451" s="75" t="s">
        <v>2307</v>
      </c>
      <c r="D1451" s="76">
        <v>46054</v>
      </c>
      <c r="E1451" s="75" t="s">
        <v>640</v>
      </c>
      <c r="F1451" s="74">
        <v>259.67</v>
      </c>
      <c r="G1451" s="75" t="s">
        <v>627</v>
      </c>
      <c r="H1451" s="77" t="str">
        <f>VLOOKUP(DESPESAS[[#This Row],[Plano de Contas]],BASE!$B$3:$D$119,3,FALSE)</f>
        <v>Salarios e Ordenados (Adm)</v>
      </c>
      <c r="I1451" s="77" t="str">
        <f>IFERROR(VLOOKUP(DESPESAS[[#This Row],[Fornecedor]],Tabela2[],2,FALSE),"")</f>
        <v/>
      </c>
      <c r="J1451" s="77" t="str">
        <f>IFERROR(VLOOKUP(DESPESAS[[#This Row],[Plano de Contas]],BASE!$B$3:$F$119,4,FALSE),"")</f>
        <v>4 - GASTOS COM PESSOAL</v>
      </c>
      <c r="K1451" s="77" t="str">
        <f>IFERROR(VLOOKUP(DESPESAS[[#This Row],[Plano de Contas]],BASE!$B$3:$H$119,5,FALSE),"")</f>
        <v>DH</v>
      </c>
      <c r="L1451" s="77">
        <f>IFERROR(VLOOKUP(DESPESAS[[#This Row],[Plano de Contas]],BASE!$B$3:$H$119,6,FALSE),"")</f>
        <v>0</v>
      </c>
      <c r="M1451" s="77" t="str">
        <f>VLOOKUP(DESPESAS[[#This Row],[Plano de Contas]],BASE!$B$3:$H$119,7,FALSE)</f>
        <v>RAFAEL</v>
      </c>
    </row>
    <row r="1452" spans="1:13" x14ac:dyDescent="0.25">
      <c r="A1452" s="74">
        <v>198133</v>
      </c>
      <c r="B1452" s="75" t="s">
        <v>279</v>
      </c>
      <c r="C1452" s="75" t="s">
        <v>2319</v>
      </c>
      <c r="D1452" s="76">
        <v>46054</v>
      </c>
      <c r="E1452" s="75" t="s">
        <v>640</v>
      </c>
      <c r="F1452" s="74">
        <v>315.42</v>
      </c>
      <c r="G1452" s="75" t="s">
        <v>653</v>
      </c>
      <c r="H1452" s="77" t="str">
        <f>VLOOKUP(DESPESAS[[#This Row],[Plano de Contas]],BASE!$B$3:$D$119,3,FALSE)</f>
        <v>Salarios e Ordenados CIF</v>
      </c>
      <c r="I1452" s="77" t="str">
        <f>IFERROR(VLOOKUP(DESPESAS[[#This Row],[Fornecedor]],Tabela2[],2,FALSE),"")</f>
        <v/>
      </c>
      <c r="J1452" s="77" t="str">
        <f>IFERROR(VLOOKUP(DESPESAS[[#This Row],[Plano de Contas]],BASE!$B$3:$F$119,4,FALSE),"")</f>
        <v>3 - CUSTOS INDIRETOS</v>
      </c>
      <c r="K1452" s="77" t="str">
        <f>IFERROR(VLOOKUP(DESPESAS[[#This Row],[Plano de Contas]],BASE!$B$3:$H$119,5,FALSE),"")</f>
        <v>DH</v>
      </c>
      <c r="L1452" s="77" t="str">
        <f>IFERROR(VLOOKUP(DESPESAS[[#This Row],[Plano de Contas]],BASE!$B$3:$H$119,6,FALSE),"")</f>
        <v>CUSTO MÃO DE OBRA DIRETA</v>
      </c>
      <c r="M1452" s="77" t="str">
        <f>VLOOKUP(DESPESAS[[#This Row],[Plano de Contas]],BASE!$B$3:$H$119,7,FALSE)</f>
        <v>RAFAEL</v>
      </c>
    </row>
    <row r="1453" spans="1:13" x14ac:dyDescent="0.25">
      <c r="A1453" s="74">
        <v>198134</v>
      </c>
      <c r="B1453" s="75" t="s">
        <v>279</v>
      </c>
      <c r="C1453" s="75" t="s">
        <v>2306</v>
      </c>
      <c r="D1453" s="76">
        <v>46054</v>
      </c>
      <c r="E1453" s="75" t="s">
        <v>640</v>
      </c>
      <c r="F1453" s="74">
        <v>490.62</v>
      </c>
      <c r="G1453" s="75" t="s">
        <v>430</v>
      </c>
      <c r="H1453" s="77" t="str">
        <f>VLOOKUP(DESPESAS[[#This Row],[Plano de Contas]],BASE!$B$3:$D$119,3,FALSE)</f>
        <v>Salarios e Ordenados MOD</v>
      </c>
      <c r="I1453" s="77" t="str">
        <f>IFERROR(VLOOKUP(DESPESAS[[#This Row],[Fornecedor]],Tabela2[],2,FALSE),"")</f>
        <v/>
      </c>
      <c r="J1453" s="77" t="str">
        <f>IFERROR(VLOOKUP(DESPESAS[[#This Row],[Plano de Contas]],BASE!$B$3:$F$119,4,FALSE),"")</f>
        <v>2 - CUSTOS DIRETOS</v>
      </c>
      <c r="K1453" s="77" t="str">
        <f>IFERROR(VLOOKUP(DESPESAS[[#This Row],[Plano de Contas]],BASE!$B$3:$H$119,5,FALSE),"")</f>
        <v>DH</v>
      </c>
      <c r="L1453" s="77" t="str">
        <f>IFERROR(VLOOKUP(DESPESAS[[#This Row],[Plano de Contas]],BASE!$B$3:$H$119,6,FALSE),"")</f>
        <v>CUSTO MÃO DE OBRA DIRETA</v>
      </c>
      <c r="M1453" s="77" t="str">
        <f>VLOOKUP(DESPESAS[[#This Row],[Plano de Contas]],BASE!$B$3:$H$119,7,FALSE)</f>
        <v>RAFAEL</v>
      </c>
    </row>
    <row r="1454" spans="1:13" x14ac:dyDescent="0.25">
      <c r="A1454" s="74">
        <v>198135</v>
      </c>
      <c r="B1454" s="75" t="s">
        <v>279</v>
      </c>
      <c r="C1454" s="75" t="s">
        <v>2305</v>
      </c>
      <c r="D1454" s="76">
        <v>46054</v>
      </c>
      <c r="E1454" s="75" t="s">
        <v>640</v>
      </c>
      <c r="F1454" s="74">
        <v>259.67</v>
      </c>
      <c r="G1454" s="75" t="s">
        <v>644</v>
      </c>
      <c r="H1454" s="77" t="str">
        <f>VLOOKUP(DESPESAS[[#This Row],[Plano de Contas]],BASE!$B$3:$D$119,3,FALSE)</f>
        <v>Gratificações (Adm)</v>
      </c>
      <c r="I1454" s="77" t="str">
        <f>IFERROR(VLOOKUP(DESPESAS[[#This Row],[Fornecedor]],Tabela2[],2,FALSE),"")</f>
        <v/>
      </c>
      <c r="J1454" s="77" t="str">
        <f>IFERROR(VLOOKUP(DESPESAS[[#This Row],[Plano de Contas]],BASE!$B$3:$F$119,4,FALSE),"")</f>
        <v>4 - GASTOS COM PESSOAL</v>
      </c>
      <c r="K1454" s="77" t="str">
        <f>IFERROR(VLOOKUP(DESPESAS[[#This Row],[Plano de Contas]],BASE!$B$3:$H$119,5,FALSE),"")</f>
        <v>DH</v>
      </c>
      <c r="L1454" s="77">
        <f>IFERROR(VLOOKUP(DESPESAS[[#This Row],[Plano de Contas]],BASE!$B$3:$H$119,6,FALSE),"")</f>
        <v>0</v>
      </c>
      <c r="M1454" s="77" t="str">
        <f>VLOOKUP(DESPESAS[[#This Row],[Plano de Contas]],BASE!$B$3:$H$119,7,FALSE)</f>
        <v>RAFAEL</v>
      </c>
    </row>
    <row r="1455" spans="1:13" x14ac:dyDescent="0.25">
      <c r="A1455" s="74">
        <v>198136</v>
      </c>
      <c r="B1455" s="75" t="s">
        <v>279</v>
      </c>
      <c r="C1455" s="75" t="s">
        <v>2318</v>
      </c>
      <c r="D1455" s="76">
        <v>46054</v>
      </c>
      <c r="E1455" s="75" t="s">
        <v>640</v>
      </c>
      <c r="F1455" s="74">
        <v>149.63999999999999</v>
      </c>
      <c r="G1455" s="75" t="s">
        <v>649</v>
      </c>
      <c r="H1455" s="77" t="str">
        <f>VLOOKUP(DESPESAS[[#This Row],[Plano de Contas]],BASE!$B$3:$D$119,3,FALSE)</f>
        <v>Gratificações CIF</v>
      </c>
      <c r="I1455" s="77" t="str">
        <f>IFERROR(VLOOKUP(DESPESAS[[#This Row],[Fornecedor]],Tabela2[],2,FALSE),"")</f>
        <v/>
      </c>
      <c r="J1455" s="77" t="str">
        <f>IFERROR(VLOOKUP(DESPESAS[[#This Row],[Plano de Contas]],BASE!$B$3:$F$119,4,FALSE),"")</f>
        <v>3 - CUSTOS INDIRETOS</v>
      </c>
      <c r="K1455" s="77" t="str">
        <f>IFERROR(VLOOKUP(DESPESAS[[#This Row],[Plano de Contas]],BASE!$B$3:$H$119,5,FALSE),"")</f>
        <v>DH</v>
      </c>
      <c r="L1455" s="77" t="str">
        <f>IFERROR(VLOOKUP(DESPESAS[[#This Row],[Plano de Contas]],BASE!$B$3:$H$119,6,FALSE),"")</f>
        <v>CUSTO MÃO DE OBRA DIRETA</v>
      </c>
      <c r="M1455" s="77" t="str">
        <f>VLOOKUP(DESPESAS[[#This Row],[Plano de Contas]],BASE!$B$3:$H$119,7,FALSE)</f>
        <v>RAFAEL</v>
      </c>
    </row>
    <row r="1456" spans="1:13" x14ac:dyDescent="0.25">
      <c r="A1456" s="74">
        <v>198137</v>
      </c>
      <c r="B1456" s="75" t="s">
        <v>279</v>
      </c>
      <c r="C1456" s="75" t="s">
        <v>2304</v>
      </c>
      <c r="D1456" s="76">
        <v>46054</v>
      </c>
      <c r="E1456" s="75" t="s">
        <v>640</v>
      </c>
      <c r="F1456" s="74">
        <v>211.56</v>
      </c>
      <c r="G1456" s="75" t="s">
        <v>642</v>
      </c>
      <c r="H1456" s="77" t="str">
        <f>VLOOKUP(DESPESAS[[#This Row],[Plano de Contas]],BASE!$B$3:$D$119,3,FALSE)</f>
        <v>Gratificacoes MOD</v>
      </c>
      <c r="I1456" s="77" t="str">
        <f>IFERROR(VLOOKUP(DESPESAS[[#This Row],[Fornecedor]],Tabela2[],2,FALSE),"")</f>
        <v/>
      </c>
      <c r="J1456" s="77" t="str">
        <f>IFERROR(VLOOKUP(DESPESAS[[#This Row],[Plano de Contas]],BASE!$B$3:$F$119,4,FALSE),"")</f>
        <v>2 - CUSTOS DIRETOS</v>
      </c>
      <c r="K1456" s="77" t="str">
        <f>IFERROR(VLOOKUP(DESPESAS[[#This Row],[Plano de Contas]],BASE!$B$3:$H$119,5,FALSE),"")</f>
        <v>DH</v>
      </c>
      <c r="L1456" s="77" t="str">
        <f>IFERROR(VLOOKUP(DESPESAS[[#This Row],[Plano de Contas]],BASE!$B$3:$H$119,6,FALSE),"")</f>
        <v>CUSTO MÃO DE OBRA DIRETA</v>
      </c>
      <c r="M1456" s="77" t="str">
        <f>VLOOKUP(DESPESAS[[#This Row],[Plano de Contas]],BASE!$B$3:$H$119,7,FALSE)</f>
        <v>RAFAEL</v>
      </c>
    </row>
    <row r="1457" spans="1:13" x14ac:dyDescent="0.25">
      <c r="A1457" s="74">
        <v>198138</v>
      </c>
      <c r="B1457" s="75" t="s">
        <v>279</v>
      </c>
      <c r="C1457" s="75" t="s">
        <v>2317</v>
      </c>
      <c r="D1457" s="76">
        <v>46054</v>
      </c>
      <c r="E1457" s="75" t="s">
        <v>640</v>
      </c>
      <c r="F1457" s="74">
        <v>1579.68</v>
      </c>
      <c r="G1457" s="75" t="s">
        <v>627</v>
      </c>
      <c r="H1457" s="77" t="str">
        <f>VLOOKUP(DESPESAS[[#This Row],[Plano de Contas]],BASE!$B$3:$D$119,3,FALSE)</f>
        <v>Salarios e Ordenados (Adm)</v>
      </c>
      <c r="I1457" s="77" t="str">
        <f>IFERROR(VLOOKUP(DESPESAS[[#This Row],[Fornecedor]],Tabela2[],2,FALSE),"")</f>
        <v/>
      </c>
      <c r="J1457" s="77" t="str">
        <f>IFERROR(VLOOKUP(DESPESAS[[#This Row],[Plano de Contas]],BASE!$B$3:$F$119,4,FALSE),"")</f>
        <v>4 - GASTOS COM PESSOAL</v>
      </c>
      <c r="K1457" s="77" t="str">
        <f>IFERROR(VLOOKUP(DESPESAS[[#This Row],[Plano de Contas]],BASE!$B$3:$H$119,5,FALSE),"")</f>
        <v>DH</v>
      </c>
      <c r="L1457" s="77">
        <f>IFERROR(VLOOKUP(DESPESAS[[#This Row],[Plano de Contas]],BASE!$B$3:$H$119,6,FALSE),"")</f>
        <v>0</v>
      </c>
      <c r="M1457" s="77" t="str">
        <f>VLOOKUP(DESPESAS[[#This Row],[Plano de Contas]],BASE!$B$3:$H$119,7,FALSE)</f>
        <v>RAFAEL</v>
      </c>
    </row>
    <row r="1458" spans="1:13" x14ac:dyDescent="0.25">
      <c r="A1458" s="74">
        <v>198139</v>
      </c>
      <c r="B1458" s="75" t="s">
        <v>279</v>
      </c>
      <c r="C1458" s="75" t="s">
        <v>2316</v>
      </c>
      <c r="D1458" s="76">
        <v>46054</v>
      </c>
      <c r="E1458" s="75" t="s">
        <v>640</v>
      </c>
      <c r="F1458" s="74">
        <v>982.22</v>
      </c>
      <c r="G1458" s="75" t="s">
        <v>653</v>
      </c>
      <c r="H1458" s="77" t="str">
        <f>VLOOKUP(DESPESAS[[#This Row],[Plano de Contas]],BASE!$B$3:$D$119,3,FALSE)</f>
        <v>Salarios e Ordenados CIF</v>
      </c>
      <c r="I1458" s="77" t="str">
        <f>IFERROR(VLOOKUP(DESPESAS[[#This Row],[Fornecedor]],Tabela2[],2,FALSE),"")</f>
        <v/>
      </c>
      <c r="J1458" s="77" t="str">
        <f>IFERROR(VLOOKUP(DESPESAS[[#This Row],[Plano de Contas]],BASE!$B$3:$F$119,4,FALSE),"")</f>
        <v>3 - CUSTOS INDIRETOS</v>
      </c>
      <c r="K1458" s="77" t="str">
        <f>IFERROR(VLOOKUP(DESPESAS[[#This Row],[Plano de Contas]],BASE!$B$3:$H$119,5,FALSE),"")</f>
        <v>DH</v>
      </c>
      <c r="L1458" s="77" t="str">
        <f>IFERROR(VLOOKUP(DESPESAS[[#This Row],[Plano de Contas]],BASE!$B$3:$H$119,6,FALSE),"")</f>
        <v>CUSTO MÃO DE OBRA DIRETA</v>
      </c>
      <c r="M1458" s="77" t="str">
        <f>VLOOKUP(DESPESAS[[#This Row],[Plano de Contas]],BASE!$B$3:$H$119,7,FALSE)</f>
        <v>RAFAEL</v>
      </c>
    </row>
    <row r="1459" spans="1:13" x14ac:dyDescent="0.25">
      <c r="A1459" s="74">
        <v>198140</v>
      </c>
      <c r="B1459" s="75" t="s">
        <v>279</v>
      </c>
      <c r="C1459" s="75" t="s">
        <v>2315</v>
      </c>
      <c r="D1459" s="76">
        <v>46054</v>
      </c>
      <c r="E1459" s="75" t="s">
        <v>640</v>
      </c>
      <c r="F1459" s="74">
        <v>1066.93</v>
      </c>
      <c r="G1459" s="75" t="s">
        <v>430</v>
      </c>
      <c r="H1459" s="77" t="str">
        <f>VLOOKUP(DESPESAS[[#This Row],[Plano de Contas]],BASE!$B$3:$D$119,3,FALSE)</f>
        <v>Salarios e Ordenados MOD</v>
      </c>
      <c r="I1459" s="77" t="str">
        <f>IFERROR(VLOOKUP(DESPESAS[[#This Row],[Fornecedor]],Tabela2[],2,FALSE),"")</f>
        <v/>
      </c>
      <c r="J1459" s="77" t="str">
        <f>IFERROR(VLOOKUP(DESPESAS[[#This Row],[Plano de Contas]],BASE!$B$3:$F$119,4,FALSE),"")</f>
        <v>2 - CUSTOS DIRETOS</v>
      </c>
      <c r="K1459" s="77" t="str">
        <f>IFERROR(VLOOKUP(DESPESAS[[#This Row],[Plano de Contas]],BASE!$B$3:$H$119,5,FALSE),"")</f>
        <v>DH</v>
      </c>
      <c r="L1459" s="77" t="str">
        <f>IFERROR(VLOOKUP(DESPESAS[[#This Row],[Plano de Contas]],BASE!$B$3:$H$119,6,FALSE),"")</f>
        <v>CUSTO MÃO DE OBRA DIRETA</v>
      </c>
      <c r="M1459" s="77" t="str">
        <f>VLOOKUP(DESPESAS[[#This Row],[Plano de Contas]],BASE!$B$3:$H$119,7,FALSE)</f>
        <v>RAFAEL</v>
      </c>
    </row>
    <row r="1460" spans="1:13" x14ac:dyDescent="0.25">
      <c r="A1460" s="74">
        <v>198141</v>
      </c>
      <c r="B1460" s="75" t="s">
        <v>279</v>
      </c>
      <c r="C1460" s="75" t="s">
        <v>2314</v>
      </c>
      <c r="D1460" s="76">
        <v>46054</v>
      </c>
      <c r="E1460" s="75" t="s">
        <v>640</v>
      </c>
      <c r="F1460" s="74">
        <v>449.28</v>
      </c>
      <c r="G1460" s="75" t="s">
        <v>644</v>
      </c>
      <c r="H1460" s="77" t="str">
        <f>VLOOKUP(DESPESAS[[#This Row],[Plano de Contas]],BASE!$B$3:$D$119,3,FALSE)</f>
        <v>Gratificações (Adm)</v>
      </c>
      <c r="I1460" s="77" t="str">
        <f>IFERROR(VLOOKUP(DESPESAS[[#This Row],[Fornecedor]],Tabela2[],2,FALSE),"")</f>
        <v/>
      </c>
      <c r="J1460" s="77" t="str">
        <f>IFERROR(VLOOKUP(DESPESAS[[#This Row],[Plano de Contas]],BASE!$B$3:$F$119,4,FALSE),"")</f>
        <v>4 - GASTOS COM PESSOAL</v>
      </c>
      <c r="K1460" s="77" t="str">
        <f>IFERROR(VLOOKUP(DESPESAS[[#This Row],[Plano de Contas]],BASE!$B$3:$H$119,5,FALSE),"")</f>
        <v>DH</v>
      </c>
      <c r="L1460" s="77">
        <f>IFERROR(VLOOKUP(DESPESAS[[#This Row],[Plano de Contas]],BASE!$B$3:$H$119,6,FALSE),"")</f>
        <v>0</v>
      </c>
      <c r="M1460" s="77" t="str">
        <f>VLOOKUP(DESPESAS[[#This Row],[Plano de Contas]],BASE!$B$3:$H$119,7,FALSE)</f>
        <v>RAFAEL</v>
      </c>
    </row>
    <row r="1461" spans="1:13" x14ac:dyDescent="0.25">
      <c r="A1461" s="74">
        <v>198142</v>
      </c>
      <c r="B1461" s="75" t="s">
        <v>279</v>
      </c>
      <c r="C1461" s="75" t="s">
        <v>2313</v>
      </c>
      <c r="D1461" s="76">
        <v>46054</v>
      </c>
      <c r="E1461" s="75" t="s">
        <v>640</v>
      </c>
      <c r="F1461" s="74">
        <v>766.05</v>
      </c>
      <c r="G1461" s="75" t="s">
        <v>649</v>
      </c>
      <c r="H1461" s="77" t="str">
        <f>VLOOKUP(DESPESAS[[#This Row],[Plano de Contas]],BASE!$B$3:$D$119,3,FALSE)</f>
        <v>Gratificações CIF</v>
      </c>
      <c r="I1461" s="77" t="str">
        <f>IFERROR(VLOOKUP(DESPESAS[[#This Row],[Fornecedor]],Tabela2[],2,FALSE),"")</f>
        <v/>
      </c>
      <c r="J1461" s="77" t="str">
        <f>IFERROR(VLOOKUP(DESPESAS[[#This Row],[Plano de Contas]],BASE!$B$3:$F$119,4,FALSE),"")</f>
        <v>3 - CUSTOS INDIRETOS</v>
      </c>
      <c r="K1461" s="77" t="str">
        <f>IFERROR(VLOOKUP(DESPESAS[[#This Row],[Plano de Contas]],BASE!$B$3:$H$119,5,FALSE),"")</f>
        <v>DH</v>
      </c>
      <c r="L1461" s="77" t="str">
        <f>IFERROR(VLOOKUP(DESPESAS[[#This Row],[Plano de Contas]],BASE!$B$3:$H$119,6,FALSE),"")</f>
        <v>CUSTO MÃO DE OBRA DIRETA</v>
      </c>
      <c r="M1461" s="77" t="str">
        <f>VLOOKUP(DESPESAS[[#This Row],[Plano de Contas]],BASE!$B$3:$H$119,7,FALSE)</f>
        <v>RAFAEL</v>
      </c>
    </row>
    <row r="1462" spans="1:13" x14ac:dyDescent="0.25">
      <c r="A1462" s="74">
        <v>198143</v>
      </c>
      <c r="B1462" s="75" t="s">
        <v>279</v>
      </c>
      <c r="C1462" s="75" t="s">
        <v>2312</v>
      </c>
      <c r="D1462" s="76">
        <v>46054</v>
      </c>
      <c r="E1462" s="75" t="s">
        <v>640</v>
      </c>
      <c r="F1462" s="74">
        <v>634.59</v>
      </c>
      <c r="G1462" s="75" t="s">
        <v>642</v>
      </c>
      <c r="H1462" s="77" t="str">
        <f>VLOOKUP(DESPESAS[[#This Row],[Plano de Contas]],BASE!$B$3:$D$119,3,FALSE)</f>
        <v>Gratificacoes MOD</v>
      </c>
      <c r="I1462" s="77" t="str">
        <f>IFERROR(VLOOKUP(DESPESAS[[#This Row],[Fornecedor]],Tabela2[],2,FALSE),"")</f>
        <v/>
      </c>
      <c r="J1462" s="77" t="str">
        <f>IFERROR(VLOOKUP(DESPESAS[[#This Row],[Plano de Contas]],BASE!$B$3:$F$119,4,FALSE),"")</f>
        <v>2 - CUSTOS DIRETOS</v>
      </c>
      <c r="K1462" s="77" t="str">
        <f>IFERROR(VLOOKUP(DESPESAS[[#This Row],[Plano de Contas]],BASE!$B$3:$H$119,5,FALSE),"")</f>
        <v>DH</v>
      </c>
      <c r="L1462" s="77" t="str">
        <f>IFERROR(VLOOKUP(DESPESAS[[#This Row],[Plano de Contas]],BASE!$B$3:$H$119,6,FALSE),"")</f>
        <v>CUSTO MÃO DE OBRA DIRETA</v>
      </c>
      <c r="M1462" s="77" t="str">
        <f>VLOOKUP(DESPESAS[[#This Row],[Plano de Contas]],BASE!$B$3:$H$119,7,FALSE)</f>
        <v>RAFAEL</v>
      </c>
    </row>
    <row r="1463" spans="1:13" x14ac:dyDescent="0.25">
      <c r="A1463" s="74">
        <v>198144</v>
      </c>
      <c r="B1463" s="75" t="s">
        <v>279</v>
      </c>
      <c r="C1463" s="75" t="s">
        <v>2311</v>
      </c>
      <c r="D1463" s="76">
        <v>46054</v>
      </c>
      <c r="E1463" s="75" t="s">
        <v>640</v>
      </c>
      <c r="F1463" s="74">
        <v>99.21</v>
      </c>
      <c r="G1463" s="75" t="s">
        <v>627</v>
      </c>
      <c r="H1463" s="77" t="str">
        <f>VLOOKUP(DESPESAS[[#This Row],[Plano de Contas]],BASE!$B$3:$D$119,3,FALSE)</f>
        <v>Salarios e Ordenados (Adm)</v>
      </c>
      <c r="I1463" s="77" t="str">
        <f>IFERROR(VLOOKUP(DESPESAS[[#This Row],[Fornecedor]],Tabela2[],2,FALSE),"")</f>
        <v/>
      </c>
      <c r="J1463" s="77" t="str">
        <f>IFERROR(VLOOKUP(DESPESAS[[#This Row],[Plano de Contas]],BASE!$B$3:$F$119,4,FALSE),"")</f>
        <v>4 - GASTOS COM PESSOAL</v>
      </c>
      <c r="K1463" s="77" t="str">
        <f>IFERROR(VLOOKUP(DESPESAS[[#This Row],[Plano de Contas]],BASE!$B$3:$H$119,5,FALSE),"")</f>
        <v>DH</v>
      </c>
      <c r="L1463" s="77">
        <f>IFERROR(VLOOKUP(DESPESAS[[#This Row],[Plano de Contas]],BASE!$B$3:$H$119,6,FALSE),"")</f>
        <v>0</v>
      </c>
      <c r="M1463" s="77" t="str">
        <f>VLOOKUP(DESPESAS[[#This Row],[Plano de Contas]],BASE!$B$3:$H$119,7,FALSE)</f>
        <v>RAFAEL</v>
      </c>
    </row>
    <row r="1464" spans="1:13" x14ac:dyDescent="0.25">
      <c r="A1464" s="74">
        <v>198145</v>
      </c>
      <c r="B1464" s="75" t="s">
        <v>279</v>
      </c>
      <c r="C1464" s="75" t="s">
        <v>2310</v>
      </c>
      <c r="D1464" s="76">
        <v>46054</v>
      </c>
      <c r="E1464" s="75" t="s">
        <v>640</v>
      </c>
      <c r="F1464" s="74">
        <v>99.49</v>
      </c>
      <c r="G1464" s="75" t="s">
        <v>653</v>
      </c>
      <c r="H1464" s="77" t="str">
        <f>VLOOKUP(DESPESAS[[#This Row],[Plano de Contas]],BASE!$B$3:$D$119,3,FALSE)</f>
        <v>Salarios e Ordenados CIF</v>
      </c>
      <c r="I1464" s="77" t="str">
        <f>IFERROR(VLOOKUP(DESPESAS[[#This Row],[Fornecedor]],Tabela2[],2,FALSE),"")</f>
        <v/>
      </c>
      <c r="J1464" s="77" t="str">
        <f>IFERROR(VLOOKUP(DESPESAS[[#This Row],[Plano de Contas]],BASE!$B$3:$F$119,4,FALSE),"")</f>
        <v>3 - CUSTOS INDIRETOS</v>
      </c>
      <c r="K1464" s="77" t="str">
        <f>IFERROR(VLOOKUP(DESPESAS[[#This Row],[Plano de Contas]],BASE!$B$3:$H$119,5,FALSE),"")</f>
        <v>DH</v>
      </c>
      <c r="L1464" s="77" t="str">
        <f>IFERROR(VLOOKUP(DESPESAS[[#This Row],[Plano de Contas]],BASE!$B$3:$H$119,6,FALSE),"")</f>
        <v>CUSTO MÃO DE OBRA DIRETA</v>
      </c>
      <c r="M1464" s="77" t="str">
        <f>VLOOKUP(DESPESAS[[#This Row],[Plano de Contas]],BASE!$B$3:$H$119,7,FALSE)</f>
        <v>RAFAEL</v>
      </c>
    </row>
    <row r="1465" spans="1:13" x14ac:dyDescent="0.25">
      <c r="A1465" s="74">
        <v>198146</v>
      </c>
      <c r="B1465" s="75" t="s">
        <v>279</v>
      </c>
      <c r="C1465" s="75" t="s">
        <v>2309</v>
      </c>
      <c r="D1465" s="76">
        <v>46054</v>
      </c>
      <c r="E1465" s="75" t="s">
        <v>640</v>
      </c>
      <c r="F1465" s="74">
        <v>370.88</v>
      </c>
      <c r="G1465" s="75" t="s">
        <v>653</v>
      </c>
      <c r="H1465" s="77" t="str">
        <f>VLOOKUP(DESPESAS[[#This Row],[Plano de Contas]],BASE!$B$3:$D$119,3,FALSE)</f>
        <v>Salarios e Ordenados CIF</v>
      </c>
      <c r="I1465" s="77" t="str">
        <f>IFERROR(VLOOKUP(DESPESAS[[#This Row],[Fornecedor]],Tabela2[],2,FALSE),"")</f>
        <v/>
      </c>
      <c r="J1465" s="77" t="str">
        <f>IFERROR(VLOOKUP(DESPESAS[[#This Row],[Plano de Contas]],BASE!$B$3:$F$119,4,FALSE),"")</f>
        <v>3 - CUSTOS INDIRETOS</v>
      </c>
      <c r="K1465" s="77" t="str">
        <f>IFERROR(VLOOKUP(DESPESAS[[#This Row],[Plano de Contas]],BASE!$B$3:$H$119,5,FALSE),"")</f>
        <v>DH</v>
      </c>
      <c r="L1465" s="77" t="str">
        <f>IFERROR(VLOOKUP(DESPESAS[[#This Row],[Plano de Contas]],BASE!$B$3:$H$119,6,FALSE),"")</f>
        <v>CUSTO MÃO DE OBRA DIRETA</v>
      </c>
      <c r="M1465" s="77" t="str">
        <f>VLOOKUP(DESPESAS[[#This Row],[Plano de Contas]],BASE!$B$3:$H$119,7,FALSE)</f>
        <v>RAFAEL</v>
      </c>
    </row>
    <row r="1466" spans="1:13" x14ac:dyDescent="0.25">
      <c r="A1466" s="74">
        <v>198147</v>
      </c>
      <c r="B1466" s="75" t="s">
        <v>279</v>
      </c>
      <c r="C1466" s="75" t="s">
        <v>2308</v>
      </c>
      <c r="D1466" s="76">
        <v>46054</v>
      </c>
      <c r="E1466" s="75" t="s">
        <v>640</v>
      </c>
      <c r="F1466" s="74">
        <v>265.64</v>
      </c>
      <c r="G1466" s="75" t="s">
        <v>430</v>
      </c>
      <c r="H1466" s="77" t="str">
        <f>VLOOKUP(DESPESAS[[#This Row],[Plano de Contas]],BASE!$B$3:$D$119,3,FALSE)</f>
        <v>Salarios e Ordenados MOD</v>
      </c>
      <c r="I1466" s="77" t="str">
        <f>IFERROR(VLOOKUP(DESPESAS[[#This Row],[Fornecedor]],Tabela2[],2,FALSE),"")</f>
        <v/>
      </c>
      <c r="J1466" s="77" t="str">
        <f>IFERROR(VLOOKUP(DESPESAS[[#This Row],[Plano de Contas]],BASE!$B$3:$F$119,4,FALSE),"")</f>
        <v>2 - CUSTOS DIRETOS</v>
      </c>
      <c r="K1466" s="77" t="str">
        <f>IFERROR(VLOOKUP(DESPESAS[[#This Row],[Plano de Contas]],BASE!$B$3:$H$119,5,FALSE),"")</f>
        <v>DH</v>
      </c>
      <c r="L1466" s="77" t="str">
        <f>IFERROR(VLOOKUP(DESPESAS[[#This Row],[Plano de Contas]],BASE!$B$3:$H$119,6,FALSE),"")</f>
        <v>CUSTO MÃO DE OBRA DIRETA</v>
      </c>
      <c r="M1466" s="77" t="str">
        <f>VLOOKUP(DESPESAS[[#This Row],[Plano de Contas]],BASE!$B$3:$H$119,7,FALSE)</f>
        <v>RAFAEL</v>
      </c>
    </row>
    <row r="1467" spans="1:13" x14ac:dyDescent="0.25">
      <c r="A1467" s="74">
        <v>198148</v>
      </c>
      <c r="B1467" s="75" t="s">
        <v>232</v>
      </c>
      <c r="C1467" s="75" t="s">
        <v>2307</v>
      </c>
      <c r="D1467" s="76">
        <v>46054</v>
      </c>
      <c r="E1467" s="75" t="s">
        <v>640</v>
      </c>
      <c r="F1467" s="74">
        <v>486.93</v>
      </c>
      <c r="G1467" s="75" t="s">
        <v>627</v>
      </c>
      <c r="H1467" s="77" t="str">
        <f>VLOOKUP(DESPESAS[[#This Row],[Plano de Contas]],BASE!$B$3:$D$119,3,FALSE)</f>
        <v>Salarios e Ordenados (Adm)</v>
      </c>
      <c r="I1467" s="77" t="str">
        <f>IFERROR(VLOOKUP(DESPESAS[[#This Row],[Fornecedor]],Tabela2[],2,FALSE),"")</f>
        <v/>
      </c>
      <c r="J1467" s="77" t="str">
        <f>IFERROR(VLOOKUP(DESPESAS[[#This Row],[Plano de Contas]],BASE!$B$3:$F$119,4,FALSE),"")</f>
        <v>4 - GASTOS COM PESSOAL</v>
      </c>
      <c r="K1467" s="77" t="str">
        <f>IFERROR(VLOOKUP(DESPESAS[[#This Row],[Plano de Contas]],BASE!$B$3:$H$119,5,FALSE),"")</f>
        <v>DH</v>
      </c>
      <c r="L1467" s="77">
        <f>IFERROR(VLOOKUP(DESPESAS[[#This Row],[Plano de Contas]],BASE!$B$3:$H$119,6,FALSE),"")</f>
        <v>0</v>
      </c>
      <c r="M1467" s="77" t="str">
        <f>VLOOKUP(DESPESAS[[#This Row],[Plano de Contas]],BASE!$B$3:$H$119,7,FALSE)</f>
        <v>RAFAEL</v>
      </c>
    </row>
    <row r="1468" spans="1:13" x14ac:dyDescent="0.25">
      <c r="A1468" s="74">
        <v>198149</v>
      </c>
      <c r="B1468" s="75" t="s">
        <v>232</v>
      </c>
      <c r="C1468" s="75" t="s">
        <v>2306</v>
      </c>
      <c r="D1468" s="76">
        <v>46054</v>
      </c>
      <c r="E1468" s="75" t="s">
        <v>640</v>
      </c>
      <c r="F1468" s="74">
        <v>310.33</v>
      </c>
      <c r="G1468" s="75" t="s">
        <v>430</v>
      </c>
      <c r="H1468" s="77" t="str">
        <f>VLOOKUP(DESPESAS[[#This Row],[Plano de Contas]],BASE!$B$3:$D$119,3,FALSE)</f>
        <v>Salarios e Ordenados MOD</v>
      </c>
      <c r="I1468" s="77" t="str">
        <f>IFERROR(VLOOKUP(DESPESAS[[#This Row],[Fornecedor]],Tabela2[],2,FALSE),"")</f>
        <v/>
      </c>
      <c r="J1468" s="77" t="str">
        <f>IFERROR(VLOOKUP(DESPESAS[[#This Row],[Plano de Contas]],BASE!$B$3:$F$119,4,FALSE),"")</f>
        <v>2 - CUSTOS DIRETOS</v>
      </c>
      <c r="K1468" s="77" t="str">
        <f>IFERROR(VLOOKUP(DESPESAS[[#This Row],[Plano de Contas]],BASE!$B$3:$H$119,5,FALSE),"")</f>
        <v>DH</v>
      </c>
      <c r="L1468" s="77" t="str">
        <f>IFERROR(VLOOKUP(DESPESAS[[#This Row],[Plano de Contas]],BASE!$B$3:$H$119,6,FALSE),"")</f>
        <v>CUSTO MÃO DE OBRA DIRETA</v>
      </c>
      <c r="M1468" s="77" t="str">
        <f>VLOOKUP(DESPESAS[[#This Row],[Plano de Contas]],BASE!$B$3:$H$119,7,FALSE)</f>
        <v>RAFAEL</v>
      </c>
    </row>
    <row r="1469" spans="1:13" x14ac:dyDescent="0.25">
      <c r="A1469" s="74">
        <v>198150</v>
      </c>
      <c r="B1469" s="75" t="s">
        <v>232</v>
      </c>
      <c r="C1469" s="75" t="s">
        <v>2305</v>
      </c>
      <c r="D1469" s="76">
        <v>46054</v>
      </c>
      <c r="E1469" s="75" t="s">
        <v>640</v>
      </c>
      <c r="F1469" s="74">
        <v>321.14999999999998</v>
      </c>
      <c r="G1469" s="75" t="s">
        <v>644</v>
      </c>
      <c r="H1469" s="77" t="str">
        <f>VLOOKUP(DESPESAS[[#This Row],[Plano de Contas]],BASE!$B$3:$D$119,3,FALSE)</f>
        <v>Gratificações (Adm)</v>
      </c>
      <c r="I1469" s="77" t="str">
        <f>IFERROR(VLOOKUP(DESPESAS[[#This Row],[Fornecedor]],Tabela2[],2,FALSE),"")</f>
        <v/>
      </c>
      <c r="J1469" s="77" t="str">
        <f>IFERROR(VLOOKUP(DESPESAS[[#This Row],[Plano de Contas]],BASE!$B$3:$F$119,4,FALSE),"")</f>
        <v>4 - GASTOS COM PESSOAL</v>
      </c>
      <c r="K1469" s="77" t="str">
        <f>IFERROR(VLOOKUP(DESPESAS[[#This Row],[Plano de Contas]],BASE!$B$3:$H$119,5,FALSE),"")</f>
        <v>DH</v>
      </c>
      <c r="L1469" s="77">
        <f>IFERROR(VLOOKUP(DESPESAS[[#This Row],[Plano de Contas]],BASE!$B$3:$H$119,6,FALSE),"")</f>
        <v>0</v>
      </c>
      <c r="M1469" s="77" t="str">
        <f>VLOOKUP(DESPESAS[[#This Row],[Plano de Contas]],BASE!$B$3:$H$119,7,FALSE)</f>
        <v>RAFAEL</v>
      </c>
    </row>
    <row r="1470" spans="1:13" x14ac:dyDescent="0.25">
      <c r="A1470" s="74">
        <v>198151</v>
      </c>
      <c r="B1470" s="75" t="s">
        <v>232</v>
      </c>
      <c r="C1470" s="75" t="s">
        <v>2304</v>
      </c>
      <c r="D1470" s="76">
        <v>46054</v>
      </c>
      <c r="E1470" s="75" t="s">
        <v>640</v>
      </c>
      <c r="F1470" s="74">
        <v>170.8</v>
      </c>
      <c r="G1470" s="75" t="s">
        <v>642</v>
      </c>
      <c r="H1470" s="77" t="str">
        <f>VLOOKUP(DESPESAS[[#This Row],[Plano de Contas]],BASE!$B$3:$D$119,3,FALSE)</f>
        <v>Gratificacoes MOD</v>
      </c>
      <c r="I1470" s="77" t="str">
        <f>IFERROR(VLOOKUP(DESPESAS[[#This Row],[Fornecedor]],Tabela2[],2,FALSE),"")</f>
        <v/>
      </c>
      <c r="J1470" s="77" t="str">
        <f>IFERROR(VLOOKUP(DESPESAS[[#This Row],[Plano de Contas]],BASE!$B$3:$F$119,4,FALSE),"")</f>
        <v>2 - CUSTOS DIRETOS</v>
      </c>
      <c r="K1470" s="77" t="str">
        <f>IFERROR(VLOOKUP(DESPESAS[[#This Row],[Plano de Contas]],BASE!$B$3:$H$119,5,FALSE),"")</f>
        <v>DH</v>
      </c>
      <c r="L1470" s="77" t="str">
        <f>IFERROR(VLOOKUP(DESPESAS[[#This Row],[Plano de Contas]],BASE!$B$3:$H$119,6,FALSE),"")</f>
        <v>CUSTO MÃO DE OBRA DIRETA</v>
      </c>
      <c r="M1470" s="77" t="str">
        <f>VLOOKUP(DESPESAS[[#This Row],[Plano de Contas]],BASE!$B$3:$H$119,7,FALSE)</f>
        <v>RAFAEL</v>
      </c>
    </row>
    <row r="1471" spans="1:13" x14ac:dyDescent="0.25">
      <c r="A1471" s="74">
        <v>198152</v>
      </c>
      <c r="B1471" s="75" t="s">
        <v>232</v>
      </c>
      <c r="C1471" s="75" t="s">
        <v>2303</v>
      </c>
      <c r="D1471" s="76">
        <v>46054</v>
      </c>
      <c r="E1471" s="75" t="s">
        <v>640</v>
      </c>
      <c r="F1471" s="74">
        <v>322.89999999999998</v>
      </c>
      <c r="G1471" s="75" t="s">
        <v>365</v>
      </c>
      <c r="H1471" s="77" t="str">
        <f>VLOOKUP(DESPESAS[[#This Row],[Plano de Contas]],BASE!$B$3:$D$119,3,FALSE)</f>
        <v>Pró-Labore</v>
      </c>
      <c r="I1471" s="77" t="str">
        <f>IFERROR(VLOOKUP(DESPESAS[[#This Row],[Fornecedor]],Tabela2[],2,FALSE),"")</f>
        <v/>
      </c>
      <c r="J1471" s="77" t="str">
        <f>IFERROR(VLOOKUP(DESPESAS[[#This Row],[Plano de Contas]],BASE!$B$3:$F$119,4,FALSE),"")</f>
        <v>4 - GASTOS COM PESSOAL</v>
      </c>
      <c r="K1471" s="77" t="str">
        <f>IFERROR(VLOOKUP(DESPESAS[[#This Row],[Plano de Contas]],BASE!$B$3:$H$119,5,FALSE),"")</f>
        <v>DIRETORIA</v>
      </c>
      <c r="L1471" s="77">
        <f>IFERROR(VLOOKUP(DESPESAS[[#This Row],[Plano de Contas]],BASE!$B$3:$H$119,6,FALSE),"")</f>
        <v>0</v>
      </c>
      <c r="M1471" s="77" t="str">
        <f>VLOOKUP(DESPESAS[[#This Row],[Plano de Contas]],BASE!$B$3:$H$119,7,FALSE)</f>
        <v>FÁBIO</v>
      </c>
    </row>
    <row r="1472" spans="1:13" x14ac:dyDescent="0.25">
      <c r="A1472" s="74">
        <v>198153</v>
      </c>
      <c r="B1472" s="75" t="s">
        <v>232</v>
      </c>
      <c r="C1472" s="75" t="s">
        <v>2302</v>
      </c>
      <c r="D1472" s="76">
        <v>46054</v>
      </c>
      <c r="E1472" s="75" t="s">
        <v>640</v>
      </c>
      <c r="F1472" s="74">
        <v>680.1</v>
      </c>
      <c r="G1472" s="75" t="s">
        <v>627</v>
      </c>
      <c r="H1472" s="77" t="str">
        <f>VLOOKUP(DESPESAS[[#This Row],[Plano de Contas]],BASE!$B$3:$D$119,3,FALSE)</f>
        <v>Salarios e Ordenados (Adm)</v>
      </c>
      <c r="I1472" s="77" t="str">
        <f>IFERROR(VLOOKUP(DESPESAS[[#This Row],[Fornecedor]],Tabela2[],2,FALSE),"")</f>
        <v/>
      </c>
      <c r="J1472" s="77" t="str">
        <f>IFERROR(VLOOKUP(DESPESAS[[#This Row],[Plano de Contas]],BASE!$B$3:$F$119,4,FALSE),"")</f>
        <v>4 - GASTOS COM PESSOAL</v>
      </c>
      <c r="K1472" s="77" t="str">
        <f>IFERROR(VLOOKUP(DESPESAS[[#This Row],[Plano de Contas]],BASE!$B$3:$H$119,5,FALSE),"")</f>
        <v>DH</v>
      </c>
      <c r="L1472" s="77">
        <f>IFERROR(VLOOKUP(DESPESAS[[#This Row],[Plano de Contas]],BASE!$B$3:$H$119,6,FALSE),"")</f>
        <v>0</v>
      </c>
      <c r="M1472" s="77" t="str">
        <f>VLOOKUP(DESPESAS[[#This Row],[Plano de Contas]],BASE!$B$3:$H$119,7,FALSE)</f>
        <v>RAFAEL</v>
      </c>
    </row>
    <row r="1473" spans="1:13" x14ac:dyDescent="0.25">
      <c r="A1473" s="74">
        <v>198154</v>
      </c>
      <c r="B1473" s="75" t="s">
        <v>232</v>
      </c>
      <c r="C1473" s="75" t="s">
        <v>2301</v>
      </c>
      <c r="D1473" s="76">
        <v>46054</v>
      </c>
      <c r="E1473" s="75" t="s">
        <v>640</v>
      </c>
      <c r="F1473" s="74">
        <v>1069.99</v>
      </c>
      <c r="G1473" s="75" t="s">
        <v>430</v>
      </c>
      <c r="H1473" s="77" t="str">
        <f>VLOOKUP(DESPESAS[[#This Row],[Plano de Contas]],BASE!$B$3:$D$119,3,FALSE)</f>
        <v>Salarios e Ordenados MOD</v>
      </c>
      <c r="I1473" s="77" t="str">
        <f>IFERROR(VLOOKUP(DESPESAS[[#This Row],[Fornecedor]],Tabela2[],2,FALSE),"")</f>
        <v/>
      </c>
      <c r="J1473" s="77" t="str">
        <f>IFERROR(VLOOKUP(DESPESAS[[#This Row],[Plano de Contas]],BASE!$B$3:$F$119,4,FALSE),"")</f>
        <v>2 - CUSTOS DIRETOS</v>
      </c>
      <c r="K1473" s="77" t="str">
        <f>IFERROR(VLOOKUP(DESPESAS[[#This Row],[Plano de Contas]],BASE!$B$3:$H$119,5,FALSE),"")</f>
        <v>DH</v>
      </c>
      <c r="L1473" s="77" t="str">
        <f>IFERROR(VLOOKUP(DESPESAS[[#This Row],[Plano de Contas]],BASE!$B$3:$H$119,6,FALSE),"")</f>
        <v>CUSTO MÃO DE OBRA DIRETA</v>
      </c>
      <c r="M1473" s="77" t="str">
        <f>VLOOKUP(DESPESAS[[#This Row],[Plano de Contas]],BASE!$B$3:$H$119,7,FALSE)</f>
        <v>RAFAEL</v>
      </c>
    </row>
    <row r="1474" spans="1:13" x14ac:dyDescent="0.25">
      <c r="A1474" s="74">
        <v>198155</v>
      </c>
      <c r="B1474" s="75" t="s">
        <v>232</v>
      </c>
      <c r="C1474" s="75" t="s">
        <v>2300</v>
      </c>
      <c r="D1474" s="76">
        <v>46054</v>
      </c>
      <c r="E1474" s="75" t="s">
        <v>640</v>
      </c>
      <c r="F1474" s="74">
        <v>463.91</v>
      </c>
      <c r="G1474" s="75" t="s">
        <v>644</v>
      </c>
      <c r="H1474" s="77" t="str">
        <f>VLOOKUP(DESPESAS[[#This Row],[Plano de Contas]],BASE!$B$3:$D$119,3,FALSE)</f>
        <v>Gratificações (Adm)</v>
      </c>
      <c r="I1474" s="77" t="str">
        <f>IFERROR(VLOOKUP(DESPESAS[[#This Row],[Fornecedor]],Tabela2[],2,FALSE),"")</f>
        <v/>
      </c>
      <c r="J1474" s="77" t="str">
        <f>IFERROR(VLOOKUP(DESPESAS[[#This Row],[Plano de Contas]],BASE!$B$3:$F$119,4,FALSE),"")</f>
        <v>4 - GASTOS COM PESSOAL</v>
      </c>
      <c r="K1474" s="77" t="str">
        <f>IFERROR(VLOOKUP(DESPESAS[[#This Row],[Plano de Contas]],BASE!$B$3:$H$119,5,FALSE),"")</f>
        <v>DH</v>
      </c>
      <c r="L1474" s="77">
        <f>IFERROR(VLOOKUP(DESPESAS[[#This Row],[Plano de Contas]],BASE!$B$3:$H$119,6,FALSE),"")</f>
        <v>0</v>
      </c>
      <c r="M1474" s="77" t="str">
        <f>VLOOKUP(DESPESAS[[#This Row],[Plano de Contas]],BASE!$B$3:$H$119,7,FALSE)</f>
        <v>RAFAEL</v>
      </c>
    </row>
    <row r="1475" spans="1:13" x14ac:dyDescent="0.25">
      <c r="A1475" s="74">
        <v>198156</v>
      </c>
      <c r="B1475" s="75" t="s">
        <v>232</v>
      </c>
      <c r="C1475" s="75" t="s">
        <v>2299</v>
      </c>
      <c r="D1475" s="76">
        <v>46054</v>
      </c>
      <c r="E1475" s="75" t="s">
        <v>640</v>
      </c>
      <c r="F1475" s="74">
        <v>574</v>
      </c>
      <c r="G1475" s="75" t="s">
        <v>642</v>
      </c>
      <c r="H1475" s="77" t="str">
        <f>VLOOKUP(DESPESAS[[#This Row],[Plano de Contas]],BASE!$B$3:$D$119,3,FALSE)</f>
        <v>Gratificacoes MOD</v>
      </c>
      <c r="I1475" s="77" t="str">
        <f>IFERROR(VLOOKUP(DESPESAS[[#This Row],[Fornecedor]],Tabela2[],2,FALSE),"")</f>
        <v/>
      </c>
      <c r="J1475" s="77" t="str">
        <f>IFERROR(VLOOKUP(DESPESAS[[#This Row],[Plano de Contas]],BASE!$B$3:$F$119,4,FALSE),"")</f>
        <v>2 - CUSTOS DIRETOS</v>
      </c>
      <c r="K1475" s="77" t="str">
        <f>IFERROR(VLOOKUP(DESPESAS[[#This Row],[Plano de Contas]],BASE!$B$3:$H$119,5,FALSE),"")</f>
        <v>DH</v>
      </c>
      <c r="L1475" s="77" t="str">
        <f>IFERROR(VLOOKUP(DESPESAS[[#This Row],[Plano de Contas]],BASE!$B$3:$H$119,6,FALSE),"")</f>
        <v>CUSTO MÃO DE OBRA DIRETA</v>
      </c>
      <c r="M1475" s="77" t="str">
        <f>VLOOKUP(DESPESAS[[#This Row],[Plano de Contas]],BASE!$B$3:$H$119,7,FALSE)</f>
        <v>RAFAEL</v>
      </c>
    </row>
    <row r="1476" spans="1:13" x14ac:dyDescent="0.25">
      <c r="A1476" s="74">
        <v>198157</v>
      </c>
      <c r="B1476" s="75" t="s">
        <v>232</v>
      </c>
      <c r="C1476" s="75" t="s">
        <v>2298</v>
      </c>
      <c r="D1476" s="76">
        <v>46054</v>
      </c>
      <c r="E1476" s="75" t="s">
        <v>640</v>
      </c>
      <c r="F1476" s="74">
        <v>107.64</v>
      </c>
      <c r="G1476" s="75" t="s">
        <v>627</v>
      </c>
      <c r="H1476" s="77" t="str">
        <f>VLOOKUP(DESPESAS[[#This Row],[Plano de Contas]],BASE!$B$3:$D$119,3,FALSE)</f>
        <v>Salarios e Ordenados (Adm)</v>
      </c>
      <c r="I1476" s="77" t="str">
        <f>IFERROR(VLOOKUP(DESPESAS[[#This Row],[Fornecedor]],Tabela2[],2,FALSE),"")</f>
        <v/>
      </c>
      <c r="J1476" s="77" t="str">
        <f>IFERROR(VLOOKUP(DESPESAS[[#This Row],[Plano de Contas]],BASE!$B$3:$F$119,4,FALSE),"")</f>
        <v>4 - GASTOS COM PESSOAL</v>
      </c>
      <c r="K1476" s="77" t="str">
        <f>IFERROR(VLOOKUP(DESPESAS[[#This Row],[Plano de Contas]],BASE!$B$3:$H$119,5,FALSE),"")</f>
        <v>DH</v>
      </c>
      <c r="L1476" s="77">
        <f>IFERROR(VLOOKUP(DESPESAS[[#This Row],[Plano de Contas]],BASE!$B$3:$H$119,6,FALSE),"")</f>
        <v>0</v>
      </c>
      <c r="M1476" s="77" t="str">
        <f>VLOOKUP(DESPESAS[[#This Row],[Plano de Contas]],BASE!$B$3:$H$119,7,FALSE)</f>
        <v>RAFAEL</v>
      </c>
    </row>
    <row r="1477" spans="1:13" x14ac:dyDescent="0.25">
      <c r="A1477" s="74">
        <v>198158</v>
      </c>
      <c r="B1477" s="75" t="s">
        <v>232</v>
      </c>
      <c r="C1477" s="75" t="s">
        <v>2297</v>
      </c>
      <c r="D1477" s="76">
        <v>46054</v>
      </c>
      <c r="E1477" s="75" t="s">
        <v>640</v>
      </c>
      <c r="F1477" s="74">
        <v>508.91</v>
      </c>
      <c r="G1477" s="75" t="s">
        <v>430</v>
      </c>
      <c r="H1477" s="77" t="str">
        <f>VLOOKUP(DESPESAS[[#This Row],[Plano de Contas]],BASE!$B$3:$D$119,3,FALSE)</f>
        <v>Salarios e Ordenados MOD</v>
      </c>
      <c r="I1477" s="77" t="str">
        <f>IFERROR(VLOOKUP(DESPESAS[[#This Row],[Fornecedor]],Tabela2[],2,FALSE),"")</f>
        <v/>
      </c>
      <c r="J1477" s="77" t="str">
        <f>IFERROR(VLOOKUP(DESPESAS[[#This Row],[Plano de Contas]],BASE!$B$3:$F$119,4,FALSE),"")</f>
        <v>2 - CUSTOS DIRETOS</v>
      </c>
      <c r="K1477" s="77" t="str">
        <f>IFERROR(VLOOKUP(DESPESAS[[#This Row],[Plano de Contas]],BASE!$B$3:$H$119,5,FALSE),"")</f>
        <v>DH</v>
      </c>
      <c r="L1477" s="77" t="str">
        <f>IFERROR(VLOOKUP(DESPESAS[[#This Row],[Plano de Contas]],BASE!$B$3:$H$119,6,FALSE),"")</f>
        <v>CUSTO MÃO DE OBRA DIRETA</v>
      </c>
      <c r="M1477" s="77" t="str">
        <f>VLOOKUP(DESPESAS[[#This Row],[Plano de Contas]],BASE!$B$3:$H$119,7,FALSE)</f>
        <v>RAFAEL</v>
      </c>
    </row>
    <row r="1478" spans="1:13" x14ac:dyDescent="0.25">
      <c r="A1478" s="74">
        <v>198159</v>
      </c>
      <c r="B1478" s="75" t="s">
        <v>232</v>
      </c>
      <c r="C1478" s="75" t="s">
        <v>2296</v>
      </c>
      <c r="D1478" s="76">
        <v>46058</v>
      </c>
      <c r="E1478" s="75" t="s">
        <v>230</v>
      </c>
      <c r="F1478" s="74">
        <v>239.67</v>
      </c>
      <c r="G1478" s="75" t="s">
        <v>229</v>
      </c>
      <c r="H1478" s="77" t="str">
        <f>VLOOKUP(DESPESAS[[#This Row],[Plano de Contas]],BASE!$B$3:$D$119,3,FALSE)</f>
        <v>Despesas Bancarias</v>
      </c>
      <c r="I1478" s="77" t="str">
        <f>IFERROR(VLOOKUP(DESPESAS[[#This Row],[Fornecedor]],Tabela2[],2,FALSE),"")</f>
        <v/>
      </c>
      <c r="J1478" s="77" t="str">
        <f>IFERROR(VLOOKUP(DESPESAS[[#This Row],[Plano de Contas]],BASE!$B$3:$F$119,4,FALSE),"")</f>
        <v>8 - DESPESAS FINANCEIRAS</v>
      </c>
      <c r="K1478" s="77" t="str">
        <f>IFERROR(VLOOKUP(DESPESAS[[#This Row],[Plano de Contas]],BASE!$B$3:$H$119,5,FALSE),"")</f>
        <v>FINANCEIRO</v>
      </c>
      <c r="L1478" s="77">
        <f>IFERROR(VLOOKUP(DESPESAS[[#This Row],[Plano de Contas]],BASE!$B$3:$H$119,6,FALSE),"")</f>
        <v>0</v>
      </c>
      <c r="M1478" s="77" t="str">
        <f>VLOOKUP(DESPESAS[[#This Row],[Plano de Contas]],BASE!$B$3:$H$119,7,FALSE)</f>
        <v>LETÍCIA</v>
      </c>
    </row>
    <row r="1479" spans="1:13" x14ac:dyDescent="0.25">
      <c r="A1479" s="74">
        <v>198160</v>
      </c>
      <c r="B1479" s="75" t="s">
        <v>232</v>
      </c>
      <c r="C1479" s="75" t="s">
        <v>2295</v>
      </c>
      <c r="D1479" s="76">
        <v>46058</v>
      </c>
      <c r="E1479" s="75" t="s">
        <v>230</v>
      </c>
      <c r="F1479" s="74">
        <v>64.33</v>
      </c>
      <c r="G1479" s="75" t="s">
        <v>356</v>
      </c>
      <c r="H1479" s="77" t="str">
        <f>VLOOKUP(DESPESAS[[#This Row],[Plano de Contas]],BASE!$B$3:$D$119,3,FALSE)</f>
        <v>Despesas Cartorárias</v>
      </c>
      <c r="I1479" s="77" t="str">
        <f>IFERROR(VLOOKUP(DESPESAS[[#This Row],[Fornecedor]],Tabela2[],2,FALSE),"")</f>
        <v/>
      </c>
      <c r="J1479" s="77" t="str">
        <f>IFERROR(VLOOKUP(DESPESAS[[#This Row],[Plano de Contas]],BASE!$B$3:$F$119,4,FALSE),"")</f>
        <v>5 - DESPESAS ADMINISTRATIVAS</v>
      </c>
      <c r="K1479" s="77" t="str">
        <f>IFERROR(VLOOKUP(DESPESAS[[#This Row],[Plano de Contas]],BASE!$B$3:$H$119,5,FALSE),"")</f>
        <v>FINANCEIRO</v>
      </c>
      <c r="L1479" s="77">
        <f>IFERROR(VLOOKUP(DESPESAS[[#This Row],[Plano de Contas]],BASE!$B$3:$H$119,6,FALSE),"")</f>
        <v>0</v>
      </c>
      <c r="M1479" s="77" t="str">
        <f>VLOOKUP(DESPESAS[[#This Row],[Plano de Contas]],BASE!$B$3:$H$119,7,FALSE)</f>
        <v>LETÍCIA</v>
      </c>
    </row>
    <row r="1480" spans="1:13" x14ac:dyDescent="0.25">
      <c r="A1480" s="74">
        <v>198161</v>
      </c>
      <c r="B1480" s="75" t="s">
        <v>232</v>
      </c>
      <c r="C1480" s="75" t="s">
        <v>2294</v>
      </c>
      <c r="D1480" s="76">
        <v>46058</v>
      </c>
      <c r="E1480" s="75" t="s">
        <v>230</v>
      </c>
      <c r="F1480" s="74">
        <v>17.22</v>
      </c>
      <c r="G1480" s="75" t="s">
        <v>356</v>
      </c>
      <c r="H1480" s="77" t="str">
        <f>VLOOKUP(DESPESAS[[#This Row],[Plano de Contas]],BASE!$B$3:$D$119,3,FALSE)</f>
        <v>Despesas Cartorárias</v>
      </c>
      <c r="I1480" s="77" t="str">
        <f>IFERROR(VLOOKUP(DESPESAS[[#This Row],[Fornecedor]],Tabela2[],2,FALSE),"")</f>
        <v/>
      </c>
      <c r="J1480" s="77" t="str">
        <f>IFERROR(VLOOKUP(DESPESAS[[#This Row],[Plano de Contas]],BASE!$B$3:$F$119,4,FALSE),"")</f>
        <v>5 - DESPESAS ADMINISTRATIVAS</v>
      </c>
      <c r="K1480" s="77" t="str">
        <f>IFERROR(VLOOKUP(DESPESAS[[#This Row],[Plano de Contas]],BASE!$B$3:$H$119,5,FALSE),"")</f>
        <v>FINANCEIRO</v>
      </c>
      <c r="L1480" s="77">
        <f>IFERROR(VLOOKUP(DESPESAS[[#This Row],[Plano de Contas]],BASE!$B$3:$H$119,6,FALSE),"")</f>
        <v>0</v>
      </c>
      <c r="M1480" s="77" t="str">
        <f>VLOOKUP(DESPESAS[[#This Row],[Plano de Contas]],BASE!$B$3:$H$119,7,FALSE)</f>
        <v>LETÍCIA</v>
      </c>
    </row>
    <row r="1481" spans="1:13" x14ac:dyDescent="0.25">
      <c r="A1481" s="74">
        <v>198162</v>
      </c>
      <c r="B1481" s="75" t="s">
        <v>232</v>
      </c>
      <c r="C1481" s="75" t="s">
        <v>2293</v>
      </c>
      <c r="D1481" s="76">
        <v>46058</v>
      </c>
      <c r="E1481" s="75" t="s">
        <v>230</v>
      </c>
      <c r="F1481" s="74">
        <v>8.69</v>
      </c>
      <c r="G1481" s="75" t="s">
        <v>236</v>
      </c>
      <c r="H1481" s="77" t="str">
        <f>VLOOKUP(DESPESAS[[#This Row],[Plano de Contas]],BASE!$B$3:$D$119,3,FALSE)</f>
        <v>Despesas de Cobranca</v>
      </c>
      <c r="I1481" s="77" t="str">
        <f>IFERROR(VLOOKUP(DESPESAS[[#This Row],[Fornecedor]],Tabela2[],2,FALSE),"")</f>
        <v/>
      </c>
      <c r="J1481" s="77" t="str">
        <f>IFERROR(VLOOKUP(DESPESAS[[#This Row],[Plano de Contas]],BASE!$B$3:$F$119,4,FALSE),"")</f>
        <v>8 - DESPESAS FINANCEIRAS</v>
      </c>
      <c r="K1481" s="77" t="str">
        <f>IFERROR(VLOOKUP(DESPESAS[[#This Row],[Plano de Contas]],BASE!$B$3:$H$119,5,FALSE),"")</f>
        <v>FINANCEIRO</v>
      </c>
      <c r="L1481" s="77">
        <f>IFERROR(VLOOKUP(DESPESAS[[#This Row],[Plano de Contas]],BASE!$B$3:$H$119,6,FALSE),"")</f>
        <v>0</v>
      </c>
      <c r="M1481" s="77" t="str">
        <f>VLOOKUP(DESPESAS[[#This Row],[Plano de Contas]],BASE!$B$3:$H$119,7,FALSE)</f>
        <v>LETÍCIA</v>
      </c>
    </row>
    <row r="1482" spans="1:13" x14ac:dyDescent="0.25">
      <c r="A1482" s="74">
        <v>198163</v>
      </c>
      <c r="B1482" s="75" t="s">
        <v>279</v>
      </c>
      <c r="C1482" s="75" t="s">
        <v>2292</v>
      </c>
      <c r="D1482" s="76">
        <v>46058</v>
      </c>
      <c r="E1482" s="75" t="s">
        <v>230</v>
      </c>
      <c r="F1482" s="74">
        <v>1.58</v>
      </c>
      <c r="G1482" s="75" t="s">
        <v>229</v>
      </c>
      <c r="H1482" s="77" t="str">
        <f>VLOOKUP(DESPESAS[[#This Row],[Plano de Contas]],BASE!$B$3:$D$119,3,FALSE)</f>
        <v>Despesas Bancarias</v>
      </c>
      <c r="I1482" s="77" t="str">
        <f>IFERROR(VLOOKUP(DESPESAS[[#This Row],[Fornecedor]],Tabela2[],2,FALSE),"")</f>
        <v/>
      </c>
      <c r="J1482" s="77" t="str">
        <f>IFERROR(VLOOKUP(DESPESAS[[#This Row],[Plano de Contas]],BASE!$B$3:$F$119,4,FALSE),"")</f>
        <v>8 - DESPESAS FINANCEIRAS</v>
      </c>
      <c r="K1482" s="77" t="str">
        <f>IFERROR(VLOOKUP(DESPESAS[[#This Row],[Plano de Contas]],BASE!$B$3:$H$119,5,FALSE),"")</f>
        <v>FINANCEIRO</v>
      </c>
      <c r="L1482" s="77">
        <f>IFERROR(VLOOKUP(DESPESAS[[#This Row],[Plano de Contas]],BASE!$B$3:$H$119,6,FALSE),"")</f>
        <v>0</v>
      </c>
      <c r="M1482" s="77" t="str">
        <f>VLOOKUP(DESPESAS[[#This Row],[Plano de Contas]],BASE!$B$3:$H$119,7,FALSE)</f>
        <v>LETÍCIA</v>
      </c>
    </row>
    <row r="1483" spans="1:13" x14ac:dyDescent="0.25">
      <c r="A1483" s="74">
        <v>198164</v>
      </c>
      <c r="B1483" s="75" t="s">
        <v>232</v>
      </c>
      <c r="C1483" s="75" t="s">
        <v>2291</v>
      </c>
      <c r="D1483" s="76">
        <v>46059</v>
      </c>
      <c r="E1483" s="75" t="s">
        <v>230</v>
      </c>
      <c r="F1483" s="74">
        <v>0.79</v>
      </c>
      <c r="G1483" s="75" t="s">
        <v>236</v>
      </c>
      <c r="H1483" s="77" t="str">
        <f>VLOOKUP(DESPESAS[[#This Row],[Plano de Contas]],BASE!$B$3:$D$119,3,FALSE)</f>
        <v>Despesas de Cobranca</v>
      </c>
      <c r="I1483" s="77" t="str">
        <f>IFERROR(VLOOKUP(DESPESAS[[#This Row],[Fornecedor]],Tabela2[],2,FALSE),"")</f>
        <v/>
      </c>
      <c r="J1483" s="77" t="str">
        <f>IFERROR(VLOOKUP(DESPESAS[[#This Row],[Plano de Contas]],BASE!$B$3:$F$119,4,FALSE),"")</f>
        <v>8 - DESPESAS FINANCEIRAS</v>
      </c>
      <c r="K1483" s="77" t="str">
        <f>IFERROR(VLOOKUP(DESPESAS[[#This Row],[Plano de Contas]],BASE!$B$3:$H$119,5,FALSE),"")</f>
        <v>FINANCEIRO</v>
      </c>
      <c r="L1483" s="77">
        <f>IFERROR(VLOOKUP(DESPESAS[[#This Row],[Plano de Contas]],BASE!$B$3:$H$119,6,FALSE),"")</f>
        <v>0</v>
      </c>
      <c r="M1483" s="77" t="str">
        <f>VLOOKUP(DESPESAS[[#This Row],[Plano de Contas]],BASE!$B$3:$H$119,7,FALSE)</f>
        <v>LETÍCIA</v>
      </c>
    </row>
    <row r="1484" spans="1:13" x14ac:dyDescent="0.25">
      <c r="A1484" s="74">
        <v>198165</v>
      </c>
      <c r="B1484" s="75" t="s">
        <v>232</v>
      </c>
      <c r="C1484" s="75" t="s">
        <v>2290</v>
      </c>
      <c r="D1484" s="76">
        <v>46058</v>
      </c>
      <c r="E1484" s="75" t="s">
        <v>230</v>
      </c>
      <c r="F1484" s="74">
        <v>0.95</v>
      </c>
      <c r="G1484" s="75" t="s">
        <v>229</v>
      </c>
      <c r="H1484" s="77" t="str">
        <f>VLOOKUP(DESPESAS[[#This Row],[Plano de Contas]],BASE!$B$3:$D$119,3,FALSE)</f>
        <v>Despesas Bancarias</v>
      </c>
      <c r="I1484" s="77" t="str">
        <f>IFERROR(VLOOKUP(DESPESAS[[#This Row],[Fornecedor]],Tabela2[],2,FALSE),"")</f>
        <v/>
      </c>
      <c r="J1484" s="77" t="str">
        <f>IFERROR(VLOOKUP(DESPESAS[[#This Row],[Plano de Contas]],BASE!$B$3:$F$119,4,FALSE),"")</f>
        <v>8 - DESPESAS FINANCEIRAS</v>
      </c>
      <c r="K1484" s="77" t="str">
        <f>IFERROR(VLOOKUP(DESPESAS[[#This Row],[Plano de Contas]],BASE!$B$3:$H$119,5,FALSE),"")</f>
        <v>FINANCEIRO</v>
      </c>
      <c r="L1484" s="77">
        <f>IFERROR(VLOOKUP(DESPESAS[[#This Row],[Plano de Contas]],BASE!$B$3:$H$119,6,FALSE),"")</f>
        <v>0</v>
      </c>
      <c r="M1484" s="77" t="str">
        <f>VLOOKUP(DESPESAS[[#This Row],[Plano de Contas]],BASE!$B$3:$H$119,7,FALSE)</f>
        <v>LETÍCIA</v>
      </c>
    </row>
    <row r="1485" spans="1:13" x14ac:dyDescent="0.25">
      <c r="A1485" s="74">
        <v>198167</v>
      </c>
      <c r="B1485" s="75" t="s">
        <v>221</v>
      </c>
      <c r="C1485" s="75" t="s">
        <v>2289</v>
      </c>
      <c r="D1485" s="76">
        <v>46059</v>
      </c>
      <c r="E1485" s="75" t="s">
        <v>855</v>
      </c>
      <c r="F1485" s="74">
        <v>44.12</v>
      </c>
      <c r="G1485" s="75" t="s">
        <v>222</v>
      </c>
      <c r="H1485" s="77" t="str">
        <f>VLOOKUP(DESPESAS[[#This Row],[Plano de Contas]],BASE!$B$3:$D$119,3,FALSE)</f>
        <v>Alimentação</v>
      </c>
      <c r="I1485" s="77" t="str">
        <f>IFERROR(VLOOKUP(DESPESAS[[#This Row],[Fornecedor]],Tabela2[],2,FALSE),"")</f>
        <v/>
      </c>
      <c r="J1485" s="77" t="str">
        <f>IFERROR(VLOOKUP(DESPESAS[[#This Row],[Plano de Contas]],BASE!$B$3:$F$119,4,FALSE),"")</f>
        <v>5 - DESPESAS ADMINISTRATIVAS</v>
      </c>
      <c r="K1485" s="77" t="str">
        <f>IFERROR(VLOOKUP(DESPESAS[[#This Row],[Plano de Contas]],BASE!$B$3:$H$119,5,FALSE),"")</f>
        <v>FINANCEIRO</v>
      </c>
      <c r="L1485" s="77">
        <f>IFERROR(VLOOKUP(DESPESAS[[#This Row],[Plano de Contas]],BASE!$B$3:$H$119,6,FALSE),"")</f>
        <v>0</v>
      </c>
      <c r="M1485" s="77" t="str">
        <f>VLOOKUP(DESPESAS[[#This Row],[Plano de Contas]],BASE!$B$3:$H$119,7,FALSE)</f>
        <v>MYLENA</v>
      </c>
    </row>
    <row r="1486" spans="1:13" x14ac:dyDescent="0.25">
      <c r="A1486" s="74">
        <v>198168</v>
      </c>
      <c r="B1486" s="75" t="s">
        <v>232</v>
      </c>
      <c r="C1486" s="75" t="s">
        <v>2288</v>
      </c>
      <c r="D1486" s="76">
        <v>46059</v>
      </c>
      <c r="E1486" s="75" t="s">
        <v>619</v>
      </c>
      <c r="F1486" s="74">
        <v>367.03</v>
      </c>
      <c r="G1486" s="75" t="s">
        <v>244</v>
      </c>
      <c r="H1486" s="77" t="str">
        <f>VLOOKUP(DESPESAS[[#This Row],[Plano de Contas]],BASE!$B$3:$D$119,3,FALSE)</f>
        <v>Material de Expediente (Prod)</v>
      </c>
      <c r="I1486" s="77" t="str">
        <f>IFERROR(VLOOKUP(DESPESAS[[#This Row],[Fornecedor]],Tabela2[],2,FALSE),"")</f>
        <v>MAQUINAS DE COSTURA</v>
      </c>
      <c r="J1486" s="77" t="str">
        <f>IFERROR(VLOOKUP(DESPESAS[[#This Row],[Plano de Contas]],BASE!$B$3:$F$119,4,FALSE),"")</f>
        <v>2 - CUSTOS DIRETOS</v>
      </c>
      <c r="K1486" s="77" t="str">
        <f>IFERROR(VLOOKUP(DESPESAS[[#This Row],[Plano de Contas]],BASE!$B$3:$H$119,5,FALSE),"")</f>
        <v>PRODUÇÃO</v>
      </c>
      <c r="L1486" s="77">
        <f>IFERROR(VLOOKUP(DESPESAS[[#This Row],[Plano de Contas]],BASE!$B$3:$H$119,6,FALSE),"")</f>
        <v>0</v>
      </c>
      <c r="M1486" s="77" t="str">
        <f>VLOOKUP(DESPESAS[[#This Row],[Plano de Contas]],BASE!$B$3:$H$119,7,FALSE)</f>
        <v>RAFAEL</v>
      </c>
    </row>
    <row r="1487" spans="1:13" x14ac:dyDescent="0.25">
      <c r="A1487" s="74">
        <v>198169</v>
      </c>
      <c r="B1487" s="75" t="s">
        <v>232</v>
      </c>
      <c r="C1487" s="75" t="s">
        <v>2287</v>
      </c>
      <c r="D1487" s="76">
        <v>46059</v>
      </c>
      <c r="E1487" s="75" t="s">
        <v>2286</v>
      </c>
      <c r="F1487" s="74">
        <v>227.97</v>
      </c>
      <c r="G1487" s="75" t="s">
        <v>244</v>
      </c>
      <c r="H1487" s="77" t="str">
        <f>VLOOKUP(DESPESAS[[#This Row],[Plano de Contas]],BASE!$B$3:$D$119,3,FALSE)</f>
        <v>Material de Expediente (Prod)</v>
      </c>
      <c r="I1487" s="77" t="str">
        <f>IFERROR(VLOOKUP(DESPESAS[[#This Row],[Fornecedor]],Tabela2[],2,FALSE),"")</f>
        <v/>
      </c>
      <c r="J1487" s="77" t="str">
        <f>IFERROR(VLOOKUP(DESPESAS[[#This Row],[Plano de Contas]],BASE!$B$3:$F$119,4,FALSE),"")</f>
        <v>2 - CUSTOS DIRETOS</v>
      </c>
      <c r="K1487" s="77" t="str">
        <f>IFERROR(VLOOKUP(DESPESAS[[#This Row],[Plano de Contas]],BASE!$B$3:$H$119,5,FALSE),"")</f>
        <v>PRODUÇÃO</v>
      </c>
      <c r="L1487" s="77">
        <f>IFERROR(VLOOKUP(DESPESAS[[#This Row],[Plano de Contas]],BASE!$B$3:$H$119,6,FALSE),"")</f>
        <v>0</v>
      </c>
      <c r="M1487" s="77" t="str">
        <f>VLOOKUP(DESPESAS[[#This Row],[Plano de Contas]],BASE!$B$3:$H$119,7,FALSE)</f>
        <v>RAFAEL</v>
      </c>
    </row>
    <row r="1488" spans="1:13" x14ac:dyDescent="0.25">
      <c r="A1488" s="74">
        <v>198170</v>
      </c>
      <c r="B1488" s="75" t="s">
        <v>279</v>
      </c>
      <c r="C1488" s="75" t="s">
        <v>2285</v>
      </c>
      <c r="D1488" s="76">
        <v>46059</v>
      </c>
      <c r="E1488" s="75" t="s">
        <v>230</v>
      </c>
      <c r="F1488" s="74">
        <v>409.93</v>
      </c>
      <c r="G1488" s="75" t="s">
        <v>229</v>
      </c>
      <c r="H1488" s="77" t="str">
        <f>VLOOKUP(DESPESAS[[#This Row],[Plano de Contas]],BASE!$B$3:$D$119,3,FALSE)</f>
        <v>Despesas Bancarias</v>
      </c>
      <c r="I1488" s="77" t="str">
        <f>IFERROR(VLOOKUP(DESPESAS[[#This Row],[Fornecedor]],Tabela2[],2,FALSE),"")</f>
        <v/>
      </c>
      <c r="J1488" s="77" t="str">
        <f>IFERROR(VLOOKUP(DESPESAS[[#This Row],[Plano de Contas]],BASE!$B$3:$F$119,4,FALSE),"")</f>
        <v>8 - DESPESAS FINANCEIRAS</v>
      </c>
      <c r="K1488" s="77" t="str">
        <f>IFERROR(VLOOKUP(DESPESAS[[#This Row],[Plano de Contas]],BASE!$B$3:$H$119,5,FALSE),"")</f>
        <v>FINANCEIRO</v>
      </c>
      <c r="L1488" s="77">
        <f>IFERROR(VLOOKUP(DESPESAS[[#This Row],[Plano de Contas]],BASE!$B$3:$H$119,6,FALSE),"")</f>
        <v>0</v>
      </c>
      <c r="M1488" s="77" t="str">
        <f>VLOOKUP(DESPESAS[[#This Row],[Plano de Contas]],BASE!$B$3:$H$119,7,FALSE)</f>
        <v>LETÍCIA</v>
      </c>
    </row>
    <row r="1489" spans="1:13" x14ac:dyDescent="0.25">
      <c r="A1489" s="74">
        <v>198171</v>
      </c>
      <c r="B1489" s="75" t="s">
        <v>279</v>
      </c>
      <c r="C1489" s="75" t="s">
        <v>2284</v>
      </c>
      <c r="D1489" s="76">
        <v>46059</v>
      </c>
      <c r="E1489" s="75" t="s">
        <v>230</v>
      </c>
      <c r="F1489" s="74">
        <v>438.29</v>
      </c>
      <c r="G1489" s="75" t="s">
        <v>229</v>
      </c>
      <c r="H1489" s="77" t="str">
        <f>VLOOKUP(DESPESAS[[#This Row],[Plano de Contas]],BASE!$B$3:$D$119,3,FALSE)</f>
        <v>Despesas Bancarias</v>
      </c>
      <c r="I1489" s="77" t="str">
        <f>IFERROR(VLOOKUP(DESPESAS[[#This Row],[Fornecedor]],Tabela2[],2,FALSE),"")</f>
        <v/>
      </c>
      <c r="J1489" s="77" t="str">
        <f>IFERROR(VLOOKUP(DESPESAS[[#This Row],[Plano de Contas]],BASE!$B$3:$F$119,4,FALSE),"")</f>
        <v>8 - DESPESAS FINANCEIRAS</v>
      </c>
      <c r="K1489" s="77" t="str">
        <f>IFERROR(VLOOKUP(DESPESAS[[#This Row],[Plano de Contas]],BASE!$B$3:$H$119,5,FALSE),"")</f>
        <v>FINANCEIRO</v>
      </c>
      <c r="L1489" s="77">
        <f>IFERROR(VLOOKUP(DESPESAS[[#This Row],[Plano de Contas]],BASE!$B$3:$H$119,6,FALSE),"")</f>
        <v>0</v>
      </c>
      <c r="M1489" s="77" t="str">
        <f>VLOOKUP(DESPESAS[[#This Row],[Plano de Contas]],BASE!$B$3:$H$119,7,FALSE)</f>
        <v>LETÍCIA</v>
      </c>
    </row>
    <row r="1490" spans="1:13" x14ac:dyDescent="0.25">
      <c r="A1490" s="74">
        <v>198172</v>
      </c>
      <c r="B1490" s="75" t="s">
        <v>279</v>
      </c>
      <c r="C1490" s="75" t="s">
        <v>2281</v>
      </c>
      <c r="D1490" s="76">
        <v>46059</v>
      </c>
      <c r="E1490" s="75" t="s">
        <v>230</v>
      </c>
      <c r="F1490" s="74">
        <v>2489.85</v>
      </c>
      <c r="G1490" s="75" t="s">
        <v>251</v>
      </c>
      <c r="H1490" s="77" t="str">
        <f>VLOOKUP(DESPESAS[[#This Row],[Plano de Contas]],BASE!$B$3:$D$119,3,FALSE)</f>
        <v>Juros Pagos - Antecipação de Crédito</v>
      </c>
      <c r="I1490" s="77" t="str">
        <f>IFERROR(VLOOKUP(DESPESAS[[#This Row],[Fornecedor]],Tabela2[],2,FALSE),"")</f>
        <v/>
      </c>
      <c r="J1490" s="77" t="str">
        <f>IFERROR(VLOOKUP(DESPESAS[[#This Row],[Plano de Contas]],BASE!$B$3:$F$119,4,FALSE),"")</f>
        <v>8 - DESPESAS FINANCEIRAS</v>
      </c>
      <c r="K1490" s="77" t="str">
        <f>IFERROR(VLOOKUP(DESPESAS[[#This Row],[Plano de Contas]],BASE!$B$3:$H$119,5,FALSE),"")</f>
        <v>FINANCEIRO</v>
      </c>
      <c r="L1490" s="77">
        <f>IFERROR(VLOOKUP(DESPESAS[[#This Row],[Plano de Contas]],BASE!$B$3:$H$119,6,FALSE),"")</f>
        <v>0</v>
      </c>
      <c r="M1490" s="77" t="str">
        <f>VLOOKUP(DESPESAS[[#This Row],[Plano de Contas]],BASE!$B$3:$H$119,7,FALSE)</f>
        <v>LETÍCIA</v>
      </c>
    </row>
    <row r="1491" spans="1:13" x14ac:dyDescent="0.25">
      <c r="A1491" s="74">
        <v>198173</v>
      </c>
      <c r="B1491" s="75" t="s">
        <v>232</v>
      </c>
      <c r="C1491" s="75" t="s">
        <v>2283</v>
      </c>
      <c r="D1491" s="76">
        <v>46059</v>
      </c>
      <c r="E1491" s="75" t="s">
        <v>230</v>
      </c>
      <c r="F1491" s="74">
        <v>497.4</v>
      </c>
      <c r="G1491" s="75" t="s">
        <v>229</v>
      </c>
      <c r="H1491" s="77" t="str">
        <f>VLOOKUP(DESPESAS[[#This Row],[Plano de Contas]],BASE!$B$3:$D$119,3,FALSE)</f>
        <v>Despesas Bancarias</v>
      </c>
      <c r="I1491" s="77" t="str">
        <f>IFERROR(VLOOKUP(DESPESAS[[#This Row],[Fornecedor]],Tabela2[],2,FALSE),"")</f>
        <v/>
      </c>
      <c r="J1491" s="77" t="str">
        <f>IFERROR(VLOOKUP(DESPESAS[[#This Row],[Plano de Contas]],BASE!$B$3:$F$119,4,FALSE),"")</f>
        <v>8 - DESPESAS FINANCEIRAS</v>
      </c>
      <c r="K1491" s="77" t="str">
        <f>IFERROR(VLOOKUP(DESPESAS[[#This Row],[Plano de Contas]],BASE!$B$3:$H$119,5,FALSE),"")</f>
        <v>FINANCEIRO</v>
      </c>
      <c r="L1491" s="77">
        <f>IFERROR(VLOOKUP(DESPESAS[[#This Row],[Plano de Contas]],BASE!$B$3:$H$119,6,FALSE),"")</f>
        <v>0</v>
      </c>
      <c r="M1491" s="77" t="str">
        <f>VLOOKUP(DESPESAS[[#This Row],[Plano de Contas]],BASE!$B$3:$H$119,7,FALSE)</f>
        <v>LETÍCIA</v>
      </c>
    </row>
    <row r="1492" spans="1:13" x14ac:dyDescent="0.25">
      <c r="A1492" s="74">
        <v>198174</v>
      </c>
      <c r="B1492" s="75" t="s">
        <v>232</v>
      </c>
      <c r="C1492" s="75" t="s">
        <v>2282</v>
      </c>
      <c r="D1492" s="76">
        <v>46059</v>
      </c>
      <c r="E1492" s="75" t="s">
        <v>230</v>
      </c>
      <c r="F1492" s="74">
        <v>572.89</v>
      </c>
      <c r="G1492" s="75" t="s">
        <v>229</v>
      </c>
      <c r="H1492" s="77" t="str">
        <f>VLOOKUP(DESPESAS[[#This Row],[Plano de Contas]],BASE!$B$3:$D$119,3,FALSE)</f>
        <v>Despesas Bancarias</v>
      </c>
      <c r="I1492" s="77" t="str">
        <f>IFERROR(VLOOKUP(DESPESAS[[#This Row],[Fornecedor]],Tabela2[],2,FALSE),"")</f>
        <v/>
      </c>
      <c r="J1492" s="77" t="str">
        <f>IFERROR(VLOOKUP(DESPESAS[[#This Row],[Plano de Contas]],BASE!$B$3:$F$119,4,FALSE),"")</f>
        <v>8 - DESPESAS FINANCEIRAS</v>
      </c>
      <c r="K1492" s="77" t="str">
        <f>IFERROR(VLOOKUP(DESPESAS[[#This Row],[Plano de Contas]],BASE!$B$3:$H$119,5,FALSE),"")</f>
        <v>FINANCEIRO</v>
      </c>
      <c r="L1492" s="77">
        <f>IFERROR(VLOOKUP(DESPESAS[[#This Row],[Plano de Contas]],BASE!$B$3:$H$119,6,FALSE),"")</f>
        <v>0</v>
      </c>
      <c r="M1492" s="77" t="str">
        <f>VLOOKUP(DESPESAS[[#This Row],[Plano de Contas]],BASE!$B$3:$H$119,7,FALSE)</f>
        <v>LETÍCIA</v>
      </c>
    </row>
    <row r="1493" spans="1:13" x14ac:dyDescent="0.25">
      <c r="A1493" s="74">
        <v>198175</v>
      </c>
      <c r="B1493" s="75" t="s">
        <v>232</v>
      </c>
      <c r="C1493" s="75" t="s">
        <v>2281</v>
      </c>
      <c r="D1493" s="76">
        <v>46059</v>
      </c>
      <c r="E1493" s="75" t="s">
        <v>230</v>
      </c>
      <c r="F1493" s="74">
        <v>3008.98</v>
      </c>
      <c r="G1493" s="75" t="s">
        <v>251</v>
      </c>
      <c r="H1493" s="77" t="str">
        <f>VLOOKUP(DESPESAS[[#This Row],[Plano de Contas]],BASE!$B$3:$D$119,3,FALSE)</f>
        <v>Juros Pagos - Antecipação de Crédito</v>
      </c>
      <c r="I1493" s="77" t="str">
        <f>IFERROR(VLOOKUP(DESPESAS[[#This Row],[Fornecedor]],Tabela2[],2,FALSE),"")</f>
        <v/>
      </c>
      <c r="J1493" s="77" t="str">
        <f>IFERROR(VLOOKUP(DESPESAS[[#This Row],[Plano de Contas]],BASE!$B$3:$F$119,4,FALSE),"")</f>
        <v>8 - DESPESAS FINANCEIRAS</v>
      </c>
      <c r="K1493" s="77" t="str">
        <f>IFERROR(VLOOKUP(DESPESAS[[#This Row],[Plano de Contas]],BASE!$B$3:$H$119,5,FALSE),"")</f>
        <v>FINANCEIRO</v>
      </c>
      <c r="L1493" s="77">
        <f>IFERROR(VLOOKUP(DESPESAS[[#This Row],[Plano de Contas]],BASE!$B$3:$H$119,6,FALSE),"")</f>
        <v>0</v>
      </c>
      <c r="M1493" s="77" t="str">
        <f>VLOOKUP(DESPESAS[[#This Row],[Plano de Contas]],BASE!$B$3:$H$119,7,FALSE)</f>
        <v>LETÍCIA</v>
      </c>
    </row>
    <row r="1494" spans="1:13" x14ac:dyDescent="0.25">
      <c r="A1494" s="74">
        <v>198176</v>
      </c>
      <c r="B1494" s="75" t="s">
        <v>221</v>
      </c>
      <c r="C1494" s="75" t="s">
        <v>2280</v>
      </c>
      <c r="D1494" s="76">
        <v>46059</v>
      </c>
      <c r="E1494" s="75" t="s">
        <v>301</v>
      </c>
      <c r="F1494" s="74">
        <v>210</v>
      </c>
      <c r="G1494" s="75" t="s">
        <v>247</v>
      </c>
      <c r="H1494" s="77" t="str">
        <f>VLOOKUP(DESPESAS[[#This Row],[Plano de Contas]],BASE!$B$3:$D$119,3,FALSE)</f>
        <v>Manutenção com veiculos</v>
      </c>
      <c r="I1494" s="77" t="str">
        <f>IFERROR(VLOOKUP(DESPESAS[[#This Row],[Fornecedor]],Tabela2[],2,FALSE),"")</f>
        <v/>
      </c>
      <c r="J1494" s="77" t="str">
        <f>IFERROR(VLOOKUP(DESPESAS[[#This Row],[Plano de Contas]],BASE!$B$3:$F$119,4,FALSE),"")</f>
        <v>6 - DESPESA COM VENDAS</v>
      </c>
      <c r="K1494" s="77" t="str">
        <f>IFERROR(VLOOKUP(DESPESAS[[#This Row],[Plano de Contas]],BASE!$B$3:$H$119,5,FALSE),"")</f>
        <v>LOGÍSTICA</v>
      </c>
      <c r="L1494" s="77">
        <f>IFERROR(VLOOKUP(DESPESAS[[#This Row],[Plano de Contas]],BASE!$B$3:$H$119,6,FALSE),"")</f>
        <v>0</v>
      </c>
      <c r="M1494" s="77" t="str">
        <f>VLOOKUP(DESPESAS[[#This Row],[Plano de Contas]],BASE!$B$3:$H$119,7,FALSE)</f>
        <v>MYLENA</v>
      </c>
    </row>
    <row r="1495" spans="1:13" x14ac:dyDescent="0.25">
      <c r="A1495" s="74">
        <v>198177</v>
      </c>
      <c r="B1495" s="75" t="s">
        <v>221</v>
      </c>
      <c r="C1495" s="75" t="s">
        <v>2279</v>
      </c>
      <c r="D1495" s="76">
        <v>46059</v>
      </c>
      <c r="E1495" s="75" t="s">
        <v>301</v>
      </c>
      <c r="F1495" s="74">
        <v>200</v>
      </c>
      <c r="G1495" s="75" t="s">
        <v>247</v>
      </c>
      <c r="H1495" s="77" t="str">
        <f>VLOOKUP(DESPESAS[[#This Row],[Plano de Contas]],BASE!$B$3:$D$119,3,FALSE)</f>
        <v>Manutenção com veiculos</v>
      </c>
      <c r="I1495" s="77" t="str">
        <f>IFERROR(VLOOKUP(DESPESAS[[#This Row],[Fornecedor]],Tabela2[],2,FALSE),"")</f>
        <v/>
      </c>
      <c r="J1495" s="77" t="str">
        <f>IFERROR(VLOOKUP(DESPESAS[[#This Row],[Plano de Contas]],BASE!$B$3:$F$119,4,FALSE),"")</f>
        <v>6 - DESPESA COM VENDAS</v>
      </c>
      <c r="K1495" s="77" t="str">
        <f>IFERROR(VLOOKUP(DESPESAS[[#This Row],[Plano de Contas]],BASE!$B$3:$H$119,5,FALSE),"")</f>
        <v>LOGÍSTICA</v>
      </c>
      <c r="L1495" s="77">
        <f>IFERROR(VLOOKUP(DESPESAS[[#This Row],[Plano de Contas]],BASE!$B$3:$H$119,6,FALSE),"")</f>
        <v>0</v>
      </c>
      <c r="M1495" s="77" t="str">
        <f>VLOOKUP(DESPESAS[[#This Row],[Plano de Contas]],BASE!$B$3:$H$119,7,FALSE)</f>
        <v>MYLENA</v>
      </c>
    </row>
    <row r="1496" spans="1:13" x14ac:dyDescent="0.25">
      <c r="A1496" s="74">
        <v>198178</v>
      </c>
      <c r="B1496" s="75" t="s">
        <v>221</v>
      </c>
      <c r="C1496" s="75" t="s">
        <v>2278</v>
      </c>
      <c r="D1496" s="76">
        <v>46059</v>
      </c>
      <c r="E1496" s="75" t="s">
        <v>256</v>
      </c>
      <c r="F1496" s="74">
        <v>8.99</v>
      </c>
      <c r="G1496" s="75" t="s">
        <v>255</v>
      </c>
      <c r="H1496" s="77" t="str">
        <f>VLOOKUP(DESPESAS[[#This Row],[Plano de Contas]],BASE!$B$3:$D$119,3,FALSE)</f>
        <v>Mostruário de Tecido</v>
      </c>
      <c r="I1496" s="77" t="str">
        <f>IFERROR(VLOOKUP(DESPESAS[[#This Row],[Fornecedor]],Tabela2[],2,FALSE),"")</f>
        <v/>
      </c>
      <c r="J1496" s="77" t="str">
        <f>IFERROR(VLOOKUP(DESPESAS[[#This Row],[Plano de Contas]],BASE!$B$3:$F$119,4,FALSE),"")</f>
        <v>6 - DESPESA COM VENDAS</v>
      </c>
      <c r="K1496" s="77" t="str">
        <f>IFERROR(VLOOKUP(DESPESAS[[#This Row],[Plano de Contas]],BASE!$B$3:$H$119,5,FALSE),"")</f>
        <v>COMERCIAL</v>
      </c>
      <c r="L1496" s="77">
        <f>IFERROR(VLOOKUP(DESPESAS[[#This Row],[Plano de Contas]],BASE!$B$3:$H$119,6,FALSE),"")</f>
        <v>0</v>
      </c>
      <c r="M1496" s="77" t="str">
        <f>VLOOKUP(DESPESAS[[#This Row],[Plano de Contas]],BASE!$B$3:$H$119,7,FALSE)</f>
        <v>LETÍCIA</v>
      </c>
    </row>
    <row r="1497" spans="1:13" x14ac:dyDescent="0.25">
      <c r="A1497" s="74">
        <v>198179</v>
      </c>
      <c r="B1497" s="75" t="s">
        <v>221</v>
      </c>
      <c r="C1497" s="75" t="s">
        <v>2277</v>
      </c>
      <c r="D1497" s="76">
        <v>46062</v>
      </c>
      <c r="E1497" s="75" t="s">
        <v>2079</v>
      </c>
      <c r="F1497" s="74">
        <v>4200</v>
      </c>
      <c r="G1497" s="75" t="s">
        <v>326</v>
      </c>
      <c r="H1497" s="77" t="str">
        <f>VLOOKUP(DESPESAS[[#This Row],[Plano de Contas]],BASE!$B$3:$D$119,3,FALSE)</f>
        <v>Frete sobre Compras</v>
      </c>
      <c r="I1497" s="77" t="str">
        <f>IFERROR(VLOOKUP(DESPESAS[[#This Row],[Fornecedor]],Tabela2[],2,FALSE),"")</f>
        <v/>
      </c>
      <c r="J1497" s="77" t="str">
        <f>IFERROR(VLOOKUP(DESPESAS[[#This Row],[Plano de Contas]],BASE!$B$3:$F$119,4,FALSE),"")</f>
        <v>1 - CPV</v>
      </c>
      <c r="K1497" s="77" t="str">
        <f>IFERROR(VLOOKUP(DESPESAS[[#This Row],[Plano de Contas]],BASE!$B$3:$H$119,5,FALSE),"")</f>
        <v>COMPRAS</v>
      </c>
      <c r="L1497" s="77">
        <f>IFERROR(VLOOKUP(DESPESAS[[#This Row],[Plano de Contas]],BASE!$B$3:$H$119,6,FALSE),"")</f>
        <v>0</v>
      </c>
      <c r="M1497" s="77" t="str">
        <f>VLOOKUP(DESPESAS[[#This Row],[Plano de Contas]],BASE!$B$3:$H$119,7,FALSE)</f>
        <v>MYLENA</v>
      </c>
    </row>
    <row r="1498" spans="1:13" x14ac:dyDescent="0.25">
      <c r="A1498" s="74">
        <v>198180</v>
      </c>
      <c r="B1498" s="75" t="s">
        <v>232</v>
      </c>
      <c r="C1498" s="75" t="s">
        <v>2276</v>
      </c>
      <c r="D1498" s="76">
        <v>46059</v>
      </c>
      <c r="E1498" s="75" t="s">
        <v>607</v>
      </c>
      <c r="F1498" s="74">
        <v>1547</v>
      </c>
      <c r="G1498" s="75" t="s">
        <v>588</v>
      </c>
      <c r="H1498" s="77" t="str">
        <f>VLOOKUP(DESPESAS[[#This Row],[Plano de Contas]],BASE!$B$3:$D$119,3,FALSE)</f>
        <v>Maquinas e Equipamentos</v>
      </c>
      <c r="I1498" s="77" t="str">
        <f>IFERROR(VLOOKUP(DESPESAS[[#This Row],[Fornecedor]],Tabela2[],2,FALSE),"")</f>
        <v>FERRAGENS GERAIS</v>
      </c>
      <c r="J1498" s="77" t="str">
        <f>IFERROR(VLOOKUP(DESPESAS[[#This Row],[Plano de Contas]],BASE!$B$3:$F$119,4,FALSE),"")</f>
        <v>9 - INVESTIMENTOS</v>
      </c>
      <c r="K1498" s="77" t="str">
        <f>IFERROR(VLOOKUP(DESPESAS[[#This Row],[Plano de Contas]],BASE!$B$3:$H$119,5,FALSE),"")</f>
        <v>MANUTENÇÃO / TI</v>
      </c>
      <c r="L1498" s="77">
        <f>IFERROR(VLOOKUP(DESPESAS[[#This Row],[Plano de Contas]],BASE!$B$3:$H$119,6,FALSE),"")</f>
        <v>0</v>
      </c>
      <c r="M1498" s="77" t="str">
        <f>VLOOKUP(DESPESAS[[#This Row],[Plano de Contas]],BASE!$B$3:$H$119,7,FALSE)</f>
        <v>RAFAEL</v>
      </c>
    </row>
    <row r="1499" spans="1:13" x14ac:dyDescent="0.25">
      <c r="A1499" s="74">
        <v>198181</v>
      </c>
      <c r="B1499" s="75" t="s">
        <v>232</v>
      </c>
      <c r="C1499" s="75" t="s">
        <v>2275</v>
      </c>
      <c r="D1499" s="76">
        <v>46059</v>
      </c>
      <c r="E1499" s="75" t="s">
        <v>1438</v>
      </c>
      <c r="F1499" s="74">
        <v>767.7</v>
      </c>
      <c r="G1499" s="75" t="s">
        <v>588</v>
      </c>
      <c r="H1499" s="77" t="str">
        <f>VLOOKUP(DESPESAS[[#This Row],[Plano de Contas]],BASE!$B$3:$D$119,3,FALSE)</f>
        <v>Maquinas e Equipamentos</v>
      </c>
      <c r="I1499" s="77" t="str">
        <f>IFERROR(VLOOKUP(DESPESAS[[#This Row],[Fornecedor]],Tabela2[],2,FALSE),"")</f>
        <v>MATERIAIS PNEUMATICOS</v>
      </c>
      <c r="J1499" s="77" t="str">
        <f>IFERROR(VLOOKUP(DESPESAS[[#This Row],[Plano de Contas]],BASE!$B$3:$F$119,4,FALSE),"")</f>
        <v>9 - INVESTIMENTOS</v>
      </c>
      <c r="K1499" s="77" t="str">
        <f>IFERROR(VLOOKUP(DESPESAS[[#This Row],[Plano de Contas]],BASE!$B$3:$H$119,5,FALSE),"")</f>
        <v>MANUTENÇÃO / TI</v>
      </c>
      <c r="L1499" s="77">
        <f>IFERROR(VLOOKUP(DESPESAS[[#This Row],[Plano de Contas]],BASE!$B$3:$H$119,6,FALSE),"")</f>
        <v>0</v>
      </c>
      <c r="M1499" s="77" t="str">
        <f>VLOOKUP(DESPESAS[[#This Row],[Plano de Contas]],BASE!$B$3:$H$119,7,FALSE)</f>
        <v>RAFAEL</v>
      </c>
    </row>
    <row r="1500" spans="1:13" x14ac:dyDescent="0.25">
      <c r="A1500" s="74">
        <v>198182</v>
      </c>
      <c r="B1500" s="75" t="s">
        <v>221</v>
      </c>
      <c r="C1500" s="75" t="s">
        <v>2274</v>
      </c>
      <c r="D1500" s="76">
        <v>46059</v>
      </c>
      <c r="E1500" s="75" t="s">
        <v>2272</v>
      </c>
      <c r="F1500" s="74">
        <v>255</v>
      </c>
      <c r="G1500" s="75" t="s">
        <v>1342</v>
      </c>
      <c r="H1500" s="77" t="str">
        <f>VLOOKUP(DESPESAS[[#This Row],[Plano de Contas]],BASE!$B$3:$D$119,3,FALSE)</f>
        <v>Copa</v>
      </c>
      <c r="I1500" s="77" t="str">
        <f>IFERROR(VLOOKUP(DESPESAS[[#This Row],[Fornecedor]],Tabela2[],2,FALSE),"")</f>
        <v/>
      </c>
      <c r="J1500" s="77" t="str">
        <f>IFERROR(VLOOKUP(DESPESAS[[#This Row],[Plano de Contas]],BASE!$B$3:$F$119,4,FALSE),"")</f>
        <v>5 - DESPESAS ADMINISTRATIVAS</v>
      </c>
      <c r="K1500" s="77" t="str">
        <f>IFERROR(VLOOKUP(DESPESAS[[#This Row],[Plano de Contas]],BASE!$B$3:$H$119,5,FALSE),"")</f>
        <v>ADMINISTRATIVO</v>
      </c>
      <c r="L1500" s="77">
        <f>IFERROR(VLOOKUP(DESPESAS[[#This Row],[Plano de Contas]],BASE!$B$3:$H$119,6,FALSE),"")</f>
        <v>0</v>
      </c>
      <c r="M1500" s="77" t="str">
        <f>VLOOKUP(DESPESAS[[#This Row],[Plano de Contas]],BASE!$B$3:$H$119,7,FALSE)</f>
        <v>LETÍCIA</v>
      </c>
    </row>
    <row r="1501" spans="1:13" x14ac:dyDescent="0.25">
      <c r="A1501" s="74">
        <v>198183</v>
      </c>
      <c r="B1501" s="75" t="s">
        <v>221</v>
      </c>
      <c r="C1501" s="75" t="s">
        <v>2273</v>
      </c>
      <c r="D1501" s="76">
        <v>46059</v>
      </c>
      <c r="E1501" s="75" t="s">
        <v>2272</v>
      </c>
      <c r="F1501" s="74">
        <v>249</v>
      </c>
      <c r="G1501" s="75" t="s">
        <v>244</v>
      </c>
      <c r="H1501" s="77" t="str">
        <f>VLOOKUP(DESPESAS[[#This Row],[Plano de Contas]],BASE!$B$3:$D$119,3,FALSE)</f>
        <v>Material de Expediente (Prod)</v>
      </c>
      <c r="I1501" s="77" t="str">
        <f>IFERROR(VLOOKUP(DESPESAS[[#This Row],[Fornecedor]],Tabela2[],2,FALSE),"")</f>
        <v/>
      </c>
      <c r="J1501" s="77" t="str">
        <f>IFERROR(VLOOKUP(DESPESAS[[#This Row],[Plano de Contas]],BASE!$B$3:$F$119,4,FALSE),"")</f>
        <v>2 - CUSTOS DIRETOS</v>
      </c>
      <c r="K1501" s="77" t="str">
        <f>IFERROR(VLOOKUP(DESPESAS[[#This Row],[Plano de Contas]],BASE!$B$3:$H$119,5,FALSE),"")</f>
        <v>PRODUÇÃO</v>
      </c>
      <c r="L1501" s="77">
        <f>IFERROR(VLOOKUP(DESPESAS[[#This Row],[Plano de Contas]],BASE!$B$3:$H$119,6,FALSE),"")</f>
        <v>0</v>
      </c>
      <c r="M1501" s="77" t="str">
        <f>VLOOKUP(DESPESAS[[#This Row],[Plano de Contas]],BASE!$B$3:$H$119,7,FALSE)</f>
        <v>RAFAEL</v>
      </c>
    </row>
    <row r="1502" spans="1:13" x14ac:dyDescent="0.25">
      <c r="A1502" s="74">
        <v>198184</v>
      </c>
      <c r="B1502" s="75" t="s">
        <v>221</v>
      </c>
      <c r="C1502" s="75" t="s">
        <v>2271</v>
      </c>
      <c r="D1502" s="76">
        <v>46059</v>
      </c>
      <c r="E1502" s="75" t="s">
        <v>2270</v>
      </c>
      <c r="F1502" s="74">
        <v>56</v>
      </c>
      <c r="G1502" s="75" t="s">
        <v>1075</v>
      </c>
      <c r="H1502" s="77" t="str">
        <f>VLOOKUP(DESPESAS[[#This Row],[Plano de Contas]],BASE!$B$3:$D$119,3,FALSE)</f>
        <v>Fretes Ass. Técnica</v>
      </c>
      <c r="I1502" s="77" t="str">
        <f>IFERROR(VLOOKUP(DESPESAS[[#This Row],[Fornecedor]],Tabela2[],2,FALSE),"")</f>
        <v>SERVIÇOS FRETE</v>
      </c>
      <c r="J1502" s="77" t="str">
        <f>IFERROR(VLOOKUP(DESPESAS[[#This Row],[Plano de Contas]],BASE!$B$3:$F$119,4,FALSE),"")</f>
        <v>6 - DESPESA COM VENDAS</v>
      </c>
      <c r="K1502" s="77" t="str">
        <f>IFERROR(VLOOKUP(DESPESAS[[#This Row],[Plano de Contas]],BASE!$B$3:$H$119,5,FALSE),"")</f>
        <v>LOGÍSTICA</v>
      </c>
      <c r="L1502" s="77">
        <f>IFERROR(VLOOKUP(DESPESAS[[#This Row],[Plano de Contas]],BASE!$B$3:$H$119,6,FALSE),"")</f>
        <v>0</v>
      </c>
      <c r="M1502" s="77" t="str">
        <f>VLOOKUP(DESPESAS[[#This Row],[Plano de Contas]],BASE!$B$3:$H$119,7,FALSE)</f>
        <v>MYLENA</v>
      </c>
    </row>
    <row r="1503" spans="1:13" x14ac:dyDescent="0.25">
      <c r="A1503" s="74">
        <v>198186</v>
      </c>
      <c r="B1503" s="75" t="s">
        <v>232</v>
      </c>
      <c r="C1503" s="75" t="s">
        <v>2269</v>
      </c>
      <c r="D1503" s="76">
        <v>46056</v>
      </c>
      <c r="E1503" s="75" t="s">
        <v>1121</v>
      </c>
      <c r="F1503" s="74">
        <v>85.06</v>
      </c>
      <c r="G1503" s="75" t="s">
        <v>241</v>
      </c>
      <c r="H1503" s="77" t="str">
        <f>VLOOKUP(DESPESAS[[#This Row],[Plano de Contas]],BASE!$B$3:$D$119,3,FALSE)</f>
        <v>Combustiveis Frota</v>
      </c>
      <c r="I1503" s="77" t="str">
        <f>IFERROR(VLOOKUP(DESPESAS[[#This Row],[Fornecedor]],Tabela2[],2,FALSE),"")</f>
        <v/>
      </c>
      <c r="J1503" s="77" t="str">
        <f>IFERROR(VLOOKUP(DESPESAS[[#This Row],[Plano de Contas]],BASE!$B$3:$F$119,4,FALSE),"")</f>
        <v>6 - DESPESA COM VENDAS</v>
      </c>
      <c r="K1503" s="77" t="str">
        <f>IFERROR(VLOOKUP(DESPESAS[[#This Row],[Plano de Contas]],BASE!$B$3:$H$119,5,FALSE),"")</f>
        <v>LOGÍSTICA</v>
      </c>
      <c r="L1503" s="77">
        <f>IFERROR(VLOOKUP(DESPESAS[[#This Row],[Plano de Contas]],BASE!$B$3:$H$119,6,FALSE),"")</f>
        <v>0</v>
      </c>
      <c r="M1503" s="77" t="str">
        <f>VLOOKUP(DESPESAS[[#This Row],[Plano de Contas]],BASE!$B$3:$H$119,7,FALSE)</f>
        <v>MYLENA</v>
      </c>
    </row>
    <row r="1504" spans="1:13" x14ac:dyDescent="0.25">
      <c r="A1504" s="74">
        <v>198187</v>
      </c>
      <c r="B1504" s="75" t="s">
        <v>232</v>
      </c>
      <c r="C1504" s="75" t="s">
        <v>2268</v>
      </c>
      <c r="D1504" s="76">
        <v>46056</v>
      </c>
      <c r="E1504" s="75" t="s">
        <v>1121</v>
      </c>
      <c r="F1504" s="74">
        <v>889.44</v>
      </c>
      <c r="G1504" s="75" t="s">
        <v>241</v>
      </c>
      <c r="H1504" s="77" t="str">
        <f>VLOOKUP(DESPESAS[[#This Row],[Plano de Contas]],BASE!$B$3:$D$119,3,FALSE)</f>
        <v>Combustiveis Frota</v>
      </c>
      <c r="I1504" s="77" t="str">
        <f>IFERROR(VLOOKUP(DESPESAS[[#This Row],[Fornecedor]],Tabela2[],2,FALSE),"")</f>
        <v/>
      </c>
      <c r="J1504" s="77" t="str">
        <f>IFERROR(VLOOKUP(DESPESAS[[#This Row],[Plano de Contas]],BASE!$B$3:$F$119,4,FALSE),"")</f>
        <v>6 - DESPESA COM VENDAS</v>
      </c>
      <c r="K1504" s="77" t="str">
        <f>IFERROR(VLOOKUP(DESPESAS[[#This Row],[Plano de Contas]],BASE!$B$3:$H$119,5,FALSE),"")</f>
        <v>LOGÍSTICA</v>
      </c>
      <c r="L1504" s="77">
        <f>IFERROR(VLOOKUP(DESPESAS[[#This Row],[Plano de Contas]],BASE!$B$3:$H$119,6,FALSE),"")</f>
        <v>0</v>
      </c>
      <c r="M1504" s="77" t="str">
        <f>VLOOKUP(DESPESAS[[#This Row],[Plano de Contas]],BASE!$B$3:$H$119,7,FALSE)</f>
        <v>MYLENA</v>
      </c>
    </row>
    <row r="1505" spans="1:13" x14ac:dyDescent="0.25">
      <c r="A1505" s="74">
        <v>198188</v>
      </c>
      <c r="B1505" s="75" t="s">
        <v>232</v>
      </c>
      <c r="C1505" s="75" t="s">
        <v>2267</v>
      </c>
      <c r="D1505" s="76">
        <v>46058</v>
      </c>
      <c r="E1505" s="75" t="s">
        <v>2266</v>
      </c>
      <c r="F1505" s="74">
        <v>23.75</v>
      </c>
      <c r="G1505" s="75" t="s">
        <v>241</v>
      </c>
      <c r="H1505" s="77" t="str">
        <f>VLOOKUP(DESPESAS[[#This Row],[Plano de Contas]],BASE!$B$3:$D$119,3,FALSE)</f>
        <v>Combustiveis Frota</v>
      </c>
      <c r="I1505" s="77" t="str">
        <f>IFERROR(VLOOKUP(DESPESAS[[#This Row],[Fornecedor]],Tabela2[],2,FALSE),"")</f>
        <v/>
      </c>
      <c r="J1505" s="77" t="str">
        <f>IFERROR(VLOOKUP(DESPESAS[[#This Row],[Plano de Contas]],BASE!$B$3:$F$119,4,FALSE),"")</f>
        <v>6 - DESPESA COM VENDAS</v>
      </c>
      <c r="K1505" s="77" t="str">
        <f>IFERROR(VLOOKUP(DESPESAS[[#This Row],[Plano de Contas]],BASE!$B$3:$H$119,5,FALSE),"")</f>
        <v>LOGÍSTICA</v>
      </c>
      <c r="L1505" s="77">
        <f>IFERROR(VLOOKUP(DESPESAS[[#This Row],[Plano de Contas]],BASE!$B$3:$H$119,6,FALSE),"")</f>
        <v>0</v>
      </c>
      <c r="M1505" s="77" t="str">
        <f>VLOOKUP(DESPESAS[[#This Row],[Plano de Contas]],BASE!$B$3:$H$119,7,FALSE)</f>
        <v>MYLENA</v>
      </c>
    </row>
    <row r="1506" spans="1:13" x14ac:dyDescent="0.25">
      <c r="A1506" s="74">
        <v>198189</v>
      </c>
      <c r="B1506" s="75" t="s">
        <v>221</v>
      </c>
      <c r="C1506" s="75" t="s">
        <v>2265</v>
      </c>
      <c r="D1506" s="76">
        <v>46062</v>
      </c>
      <c r="E1506" s="75" t="s">
        <v>338</v>
      </c>
      <c r="F1506" s="74">
        <v>128</v>
      </c>
      <c r="G1506" s="75" t="s">
        <v>337</v>
      </c>
      <c r="H1506" s="77" t="str">
        <f>VLOOKUP(DESPESAS[[#This Row],[Plano de Contas]],BASE!$B$3:$D$119,3,FALSE)</f>
        <v>Vigilancia e Seguranca</v>
      </c>
      <c r="I1506" s="77" t="str">
        <f>IFERROR(VLOOKUP(DESPESAS[[#This Row],[Fornecedor]],Tabela2[],2,FALSE),"")</f>
        <v/>
      </c>
      <c r="J1506" s="77" t="str">
        <f>IFERROR(VLOOKUP(DESPESAS[[#This Row],[Plano de Contas]],BASE!$B$3:$F$119,4,FALSE),"")</f>
        <v>7 - SERVIÇOS DE TERCEIROS</v>
      </c>
      <c r="K1506" s="77" t="str">
        <f>IFERROR(VLOOKUP(DESPESAS[[#This Row],[Plano de Contas]],BASE!$B$3:$H$119,5,FALSE),"")</f>
        <v>FINANCEIRO</v>
      </c>
      <c r="L1506" s="77">
        <f>IFERROR(VLOOKUP(DESPESAS[[#This Row],[Plano de Contas]],BASE!$B$3:$H$119,6,FALSE),"")</f>
        <v>0</v>
      </c>
      <c r="M1506" s="77" t="str">
        <f>VLOOKUP(DESPESAS[[#This Row],[Plano de Contas]],BASE!$B$3:$H$119,7,FALSE)</f>
        <v>LETÍCIA</v>
      </c>
    </row>
    <row r="1507" spans="1:13" x14ac:dyDescent="0.25">
      <c r="A1507" s="74">
        <v>198190</v>
      </c>
      <c r="B1507" s="75" t="s">
        <v>232</v>
      </c>
      <c r="C1507" s="75" t="s">
        <v>2264</v>
      </c>
      <c r="D1507" s="76">
        <v>46064</v>
      </c>
      <c r="E1507" s="75" t="s">
        <v>1028</v>
      </c>
      <c r="F1507" s="74">
        <v>792.98</v>
      </c>
      <c r="G1507" s="75" t="s">
        <v>489</v>
      </c>
      <c r="H1507" s="77" t="str">
        <f>VLOOKUP(DESPESAS[[#This Row],[Plano de Contas]],BASE!$B$3:$D$119,3,FALSE)</f>
        <v>Material de Limpeza CIF</v>
      </c>
      <c r="I1507" s="77" t="str">
        <f>IFERROR(VLOOKUP(DESPESAS[[#This Row],[Fornecedor]],Tabela2[],2,FALSE),"")</f>
        <v/>
      </c>
      <c r="J1507" s="77" t="str">
        <f>IFERROR(VLOOKUP(DESPESAS[[#This Row],[Plano de Contas]],BASE!$B$3:$F$119,4,FALSE),"")</f>
        <v>3 - CUSTOS INDIRETOS</v>
      </c>
      <c r="K1507" s="77" t="str">
        <f>IFERROR(VLOOKUP(DESPESAS[[#This Row],[Plano de Contas]],BASE!$B$3:$H$119,5,FALSE),"")</f>
        <v>COMPRAS</v>
      </c>
      <c r="L1507" s="77">
        <f>IFERROR(VLOOKUP(DESPESAS[[#This Row],[Plano de Contas]],BASE!$B$3:$H$119,6,FALSE),"")</f>
        <v>0</v>
      </c>
      <c r="M1507" s="77" t="str">
        <f>VLOOKUP(DESPESAS[[#This Row],[Plano de Contas]],BASE!$B$3:$H$119,7,FALSE)</f>
        <v>MYLENA</v>
      </c>
    </row>
    <row r="1508" spans="1:13" x14ac:dyDescent="0.25">
      <c r="A1508" s="74">
        <v>198191</v>
      </c>
      <c r="B1508" s="75" t="s">
        <v>232</v>
      </c>
      <c r="C1508" s="75" t="s">
        <v>2263</v>
      </c>
      <c r="D1508" s="76">
        <v>46064</v>
      </c>
      <c r="E1508" s="75" t="s">
        <v>1028</v>
      </c>
      <c r="F1508" s="74">
        <v>233.9</v>
      </c>
      <c r="G1508" s="75" t="s">
        <v>1006</v>
      </c>
      <c r="H1508" s="77" t="str">
        <f>VLOOKUP(DESPESAS[[#This Row],[Plano de Contas]],BASE!$B$3:$D$119,3,FALSE)</f>
        <v>Material de Limpeza (Adm)</v>
      </c>
      <c r="I1508" s="77" t="str">
        <f>IFERROR(VLOOKUP(DESPESAS[[#This Row],[Fornecedor]],Tabela2[],2,FALSE),"")</f>
        <v/>
      </c>
      <c r="J1508" s="77" t="str">
        <f>IFERROR(VLOOKUP(DESPESAS[[#This Row],[Plano de Contas]],BASE!$B$3:$F$119,4,FALSE),"")</f>
        <v>5 - DESPESAS ADMINISTRATIVAS</v>
      </c>
      <c r="K1508" s="77" t="str">
        <f>IFERROR(VLOOKUP(DESPESAS[[#This Row],[Plano de Contas]],BASE!$B$3:$H$119,5,FALSE),"")</f>
        <v>ADMINISTRATIVO</v>
      </c>
      <c r="L1508" s="77">
        <f>IFERROR(VLOOKUP(DESPESAS[[#This Row],[Plano de Contas]],BASE!$B$3:$H$119,6,FALSE),"")</f>
        <v>0</v>
      </c>
      <c r="M1508" s="77" t="str">
        <f>VLOOKUP(DESPESAS[[#This Row],[Plano de Contas]],BASE!$B$3:$H$119,7,FALSE)</f>
        <v>MYLENA</v>
      </c>
    </row>
    <row r="1509" spans="1:13" x14ac:dyDescent="0.25">
      <c r="A1509" s="74">
        <v>198192</v>
      </c>
      <c r="B1509" s="75" t="s">
        <v>221</v>
      </c>
      <c r="C1509" s="75" t="s">
        <v>2262</v>
      </c>
      <c r="D1509" s="76">
        <v>46062</v>
      </c>
      <c r="E1509" s="75" t="s">
        <v>2033</v>
      </c>
      <c r="F1509" s="74">
        <v>35</v>
      </c>
      <c r="G1509" s="75" t="s">
        <v>1318</v>
      </c>
      <c r="H1509" s="77" t="str">
        <f>VLOOKUP(DESPESAS[[#This Row],[Plano de Contas]],BASE!$B$3:$D$119,3,FALSE)</f>
        <v>Feiras e Eventos</v>
      </c>
      <c r="I1509" s="77" t="str">
        <f>IFERROR(VLOOKUP(DESPESAS[[#This Row],[Fornecedor]],Tabela2[],2,FALSE),"")</f>
        <v/>
      </c>
      <c r="J1509" s="77" t="str">
        <f>IFERROR(VLOOKUP(DESPESAS[[#This Row],[Plano de Contas]],BASE!$B$3:$F$119,4,FALSE),"")</f>
        <v>6 - DESPESA COM VENDAS</v>
      </c>
      <c r="K1509" s="77" t="str">
        <f>IFERROR(VLOOKUP(DESPESAS[[#This Row],[Plano de Contas]],BASE!$B$3:$H$119,5,FALSE),"")</f>
        <v>COMERCIAL</v>
      </c>
      <c r="L1509" s="77">
        <f>IFERROR(VLOOKUP(DESPESAS[[#This Row],[Plano de Contas]],BASE!$B$3:$H$119,6,FALSE),"")</f>
        <v>0</v>
      </c>
      <c r="M1509" s="77" t="str">
        <f>VLOOKUP(DESPESAS[[#This Row],[Plano de Contas]],BASE!$B$3:$H$119,7,FALSE)</f>
        <v>THAIS</v>
      </c>
    </row>
    <row r="1510" spans="1:13" x14ac:dyDescent="0.25">
      <c r="A1510" s="74">
        <v>198193</v>
      </c>
      <c r="B1510" s="75" t="s">
        <v>221</v>
      </c>
      <c r="C1510" s="75" t="s">
        <v>2261</v>
      </c>
      <c r="D1510" s="76">
        <v>46062</v>
      </c>
      <c r="E1510" s="75" t="s">
        <v>2033</v>
      </c>
      <c r="F1510" s="74">
        <v>35</v>
      </c>
      <c r="G1510" s="75" t="s">
        <v>218</v>
      </c>
      <c r="H1510" s="77" t="str">
        <f>VLOOKUP(DESPESAS[[#This Row],[Plano de Contas]],BASE!$B$3:$D$119,3,FALSE)</f>
        <v>Manutenção de Equipamentos (Prod)</v>
      </c>
      <c r="I1510" s="77" t="str">
        <f>IFERROR(VLOOKUP(DESPESAS[[#This Row],[Fornecedor]],Tabela2[],2,FALSE),"")</f>
        <v/>
      </c>
      <c r="J1510" s="77" t="str">
        <f>IFERROR(VLOOKUP(DESPESAS[[#This Row],[Plano de Contas]],BASE!$B$3:$F$119,4,FALSE),"")</f>
        <v>3 - CUSTOS INDIRETOS</v>
      </c>
      <c r="K1510" s="77" t="str">
        <f>IFERROR(VLOOKUP(DESPESAS[[#This Row],[Plano de Contas]],BASE!$B$3:$H$119,5,FALSE),"")</f>
        <v>MANUTENÇÃO / TI</v>
      </c>
      <c r="L1510" s="77">
        <f>IFERROR(VLOOKUP(DESPESAS[[#This Row],[Plano de Contas]],BASE!$B$3:$H$119,6,FALSE),"")</f>
        <v>0</v>
      </c>
      <c r="M1510" s="77" t="str">
        <f>VLOOKUP(DESPESAS[[#This Row],[Plano de Contas]],BASE!$B$3:$H$119,7,FALSE)</f>
        <v>RAFAEL</v>
      </c>
    </row>
    <row r="1511" spans="1:13" x14ac:dyDescent="0.25">
      <c r="A1511" s="74">
        <v>198194</v>
      </c>
      <c r="B1511" s="75" t="s">
        <v>221</v>
      </c>
      <c r="C1511" s="75" t="s">
        <v>2260</v>
      </c>
      <c r="D1511" s="76">
        <v>46062</v>
      </c>
      <c r="E1511" s="75" t="s">
        <v>2033</v>
      </c>
      <c r="F1511" s="74">
        <v>35</v>
      </c>
      <c r="G1511" s="75" t="s">
        <v>218</v>
      </c>
      <c r="H1511" s="77" t="str">
        <f>VLOOKUP(DESPESAS[[#This Row],[Plano de Contas]],BASE!$B$3:$D$119,3,FALSE)</f>
        <v>Manutenção de Equipamentos (Prod)</v>
      </c>
      <c r="I1511" s="77" t="str">
        <f>IFERROR(VLOOKUP(DESPESAS[[#This Row],[Fornecedor]],Tabela2[],2,FALSE),"")</f>
        <v/>
      </c>
      <c r="J1511" s="77" t="str">
        <f>IFERROR(VLOOKUP(DESPESAS[[#This Row],[Plano de Contas]],BASE!$B$3:$F$119,4,FALSE),"")</f>
        <v>3 - CUSTOS INDIRETOS</v>
      </c>
      <c r="K1511" s="77" t="str">
        <f>IFERROR(VLOOKUP(DESPESAS[[#This Row],[Plano de Contas]],BASE!$B$3:$H$119,5,FALSE),"")</f>
        <v>MANUTENÇÃO / TI</v>
      </c>
      <c r="L1511" s="77">
        <f>IFERROR(VLOOKUP(DESPESAS[[#This Row],[Plano de Contas]],BASE!$B$3:$H$119,6,FALSE),"")</f>
        <v>0</v>
      </c>
      <c r="M1511" s="77" t="str">
        <f>VLOOKUP(DESPESAS[[#This Row],[Plano de Contas]],BASE!$B$3:$H$119,7,FALSE)</f>
        <v>RAFAEL</v>
      </c>
    </row>
    <row r="1512" spans="1:13" x14ac:dyDescent="0.25">
      <c r="A1512" s="74">
        <v>198195</v>
      </c>
      <c r="B1512" s="75" t="s">
        <v>221</v>
      </c>
      <c r="C1512" s="75" t="s">
        <v>2259</v>
      </c>
      <c r="D1512" s="76">
        <v>46062</v>
      </c>
      <c r="E1512" s="75" t="s">
        <v>2033</v>
      </c>
      <c r="F1512" s="74">
        <v>35</v>
      </c>
      <c r="G1512" s="75" t="s">
        <v>218</v>
      </c>
      <c r="H1512" s="77" t="str">
        <f>VLOOKUP(DESPESAS[[#This Row],[Plano de Contas]],BASE!$B$3:$D$119,3,FALSE)</f>
        <v>Manutenção de Equipamentos (Prod)</v>
      </c>
      <c r="I1512" s="77" t="str">
        <f>IFERROR(VLOOKUP(DESPESAS[[#This Row],[Fornecedor]],Tabela2[],2,FALSE),"")</f>
        <v/>
      </c>
      <c r="J1512" s="77" t="str">
        <f>IFERROR(VLOOKUP(DESPESAS[[#This Row],[Plano de Contas]],BASE!$B$3:$F$119,4,FALSE),"")</f>
        <v>3 - CUSTOS INDIRETOS</v>
      </c>
      <c r="K1512" s="77" t="str">
        <f>IFERROR(VLOOKUP(DESPESAS[[#This Row],[Plano de Contas]],BASE!$B$3:$H$119,5,FALSE),"")</f>
        <v>MANUTENÇÃO / TI</v>
      </c>
      <c r="L1512" s="77">
        <f>IFERROR(VLOOKUP(DESPESAS[[#This Row],[Plano de Contas]],BASE!$B$3:$H$119,6,FALSE),"")</f>
        <v>0</v>
      </c>
      <c r="M1512" s="77" t="str">
        <f>VLOOKUP(DESPESAS[[#This Row],[Plano de Contas]],BASE!$B$3:$H$119,7,FALSE)</f>
        <v>RAFAEL</v>
      </c>
    </row>
    <row r="1513" spans="1:13" x14ac:dyDescent="0.25">
      <c r="A1513" s="74">
        <v>198196</v>
      </c>
      <c r="B1513" s="75" t="s">
        <v>232</v>
      </c>
      <c r="C1513" s="75" t="s">
        <v>2258</v>
      </c>
      <c r="D1513" s="76">
        <v>46059</v>
      </c>
      <c r="E1513" s="75" t="s">
        <v>230</v>
      </c>
      <c r="F1513" s="74">
        <v>12.64</v>
      </c>
      <c r="G1513" s="75" t="s">
        <v>229</v>
      </c>
      <c r="H1513" s="77" t="str">
        <f>VLOOKUP(DESPESAS[[#This Row],[Plano de Contas]],BASE!$B$3:$D$119,3,FALSE)</f>
        <v>Despesas Bancarias</v>
      </c>
      <c r="I1513" s="77" t="str">
        <f>IFERROR(VLOOKUP(DESPESAS[[#This Row],[Fornecedor]],Tabela2[],2,FALSE),"")</f>
        <v/>
      </c>
      <c r="J1513" s="77" t="str">
        <f>IFERROR(VLOOKUP(DESPESAS[[#This Row],[Plano de Contas]],BASE!$B$3:$F$119,4,FALSE),"")</f>
        <v>8 - DESPESAS FINANCEIRAS</v>
      </c>
      <c r="K1513" s="77" t="str">
        <f>IFERROR(VLOOKUP(DESPESAS[[#This Row],[Plano de Contas]],BASE!$B$3:$H$119,5,FALSE),"")</f>
        <v>FINANCEIRO</v>
      </c>
      <c r="L1513" s="77">
        <f>IFERROR(VLOOKUP(DESPESAS[[#This Row],[Plano de Contas]],BASE!$B$3:$H$119,6,FALSE),"")</f>
        <v>0</v>
      </c>
      <c r="M1513" s="77" t="str">
        <f>VLOOKUP(DESPESAS[[#This Row],[Plano de Contas]],BASE!$B$3:$H$119,7,FALSE)</f>
        <v>LETÍCIA</v>
      </c>
    </row>
    <row r="1514" spans="1:13" x14ac:dyDescent="0.25">
      <c r="A1514" s="74">
        <v>198197</v>
      </c>
      <c r="B1514" s="75" t="s">
        <v>232</v>
      </c>
      <c r="C1514" s="75" t="s">
        <v>2257</v>
      </c>
      <c r="D1514" s="76">
        <v>46062</v>
      </c>
      <c r="E1514" s="75" t="s">
        <v>230</v>
      </c>
      <c r="F1514" s="74">
        <v>1.74</v>
      </c>
      <c r="G1514" s="75" t="s">
        <v>229</v>
      </c>
      <c r="H1514" s="77" t="str">
        <f>VLOOKUP(DESPESAS[[#This Row],[Plano de Contas]],BASE!$B$3:$D$119,3,FALSE)</f>
        <v>Despesas Bancarias</v>
      </c>
      <c r="I1514" s="77" t="str">
        <f>IFERROR(VLOOKUP(DESPESAS[[#This Row],[Fornecedor]],Tabela2[],2,FALSE),"")</f>
        <v/>
      </c>
      <c r="J1514" s="77" t="str">
        <f>IFERROR(VLOOKUP(DESPESAS[[#This Row],[Plano de Contas]],BASE!$B$3:$F$119,4,FALSE),"")</f>
        <v>8 - DESPESAS FINANCEIRAS</v>
      </c>
      <c r="K1514" s="77" t="str">
        <f>IFERROR(VLOOKUP(DESPESAS[[#This Row],[Plano de Contas]],BASE!$B$3:$H$119,5,FALSE),"")</f>
        <v>FINANCEIRO</v>
      </c>
      <c r="L1514" s="77">
        <f>IFERROR(VLOOKUP(DESPESAS[[#This Row],[Plano de Contas]],BASE!$B$3:$H$119,6,FALSE),"")</f>
        <v>0</v>
      </c>
      <c r="M1514" s="77" t="str">
        <f>VLOOKUP(DESPESAS[[#This Row],[Plano de Contas]],BASE!$B$3:$H$119,7,FALSE)</f>
        <v>LETÍCIA</v>
      </c>
    </row>
    <row r="1515" spans="1:13" x14ac:dyDescent="0.25">
      <c r="A1515" s="74">
        <v>198198</v>
      </c>
      <c r="B1515" s="75" t="s">
        <v>232</v>
      </c>
      <c r="C1515" s="75" t="s">
        <v>2256</v>
      </c>
      <c r="D1515" s="76">
        <v>46059</v>
      </c>
      <c r="E1515" s="75" t="s">
        <v>230</v>
      </c>
      <c r="F1515" s="74">
        <v>0.79</v>
      </c>
      <c r="G1515" s="75" t="s">
        <v>236</v>
      </c>
      <c r="H1515" s="77" t="str">
        <f>VLOOKUP(DESPESAS[[#This Row],[Plano de Contas]],BASE!$B$3:$D$119,3,FALSE)</f>
        <v>Despesas de Cobranca</v>
      </c>
      <c r="I1515" s="77" t="str">
        <f>IFERROR(VLOOKUP(DESPESAS[[#This Row],[Fornecedor]],Tabela2[],2,FALSE),"")</f>
        <v/>
      </c>
      <c r="J1515" s="77" t="str">
        <f>IFERROR(VLOOKUP(DESPESAS[[#This Row],[Plano de Contas]],BASE!$B$3:$F$119,4,FALSE),"")</f>
        <v>8 - DESPESAS FINANCEIRAS</v>
      </c>
      <c r="K1515" s="77" t="str">
        <f>IFERROR(VLOOKUP(DESPESAS[[#This Row],[Plano de Contas]],BASE!$B$3:$H$119,5,FALSE),"")</f>
        <v>FINANCEIRO</v>
      </c>
      <c r="L1515" s="77">
        <f>IFERROR(VLOOKUP(DESPESAS[[#This Row],[Plano de Contas]],BASE!$B$3:$H$119,6,FALSE),"")</f>
        <v>0</v>
      </c>
      <c r="M1515" s="77" t="str">
        <f>VLOOKUP(DESPESAS[[#This Row],[Plano de Contas]],BASE!$B$3:$H$119,7,FALSE)</f>
        <v>LETÍCIA</v>
      </c>
    </row>
    <row r="1516" spans="1:13" x14ac:dyDescent="0.25">
      <c r="A1516" s="74">
        <v>198199</v>
      </c>
      <c r="B1516" s="75" t="s">
        <v>232</v>
      </c>
      <c r="C1516" s="75" t="s">
        <v>2255</v>
      </c>
      <c r="D1516" s="76">
        <v>46062</v>
      </c>
      <c r="E1516" s="75" t="s">
        <v>230</v>
      </c>
      <c r="F1516" s="74">
        <v>11.5</v>
      </c>
      <c r="G1516" s="75" t="s">
        <v>229</v>
      </c>
      <c r="H1516" s="77" t="str">
        <f>VLOOKUP(DESPESAS[[#This Row],[Plano de Contas]],BASE!$B$3:$D$119,3,FALSE)</f>
        <v>Despesas Bancarias</v>
      </c>
      <c r="I1516" s="77" t="str">
        <f>IFERROR(VLOOKUP(DESPESAS[[#This Row],[Fornecedor]],Tabela2[],2,FALSE),"")</f>
        <v/>
      </c>
      <c r="J1516" s="77" t="str">
        <f>IFERROR(VLOOKUP(DESPESAS[[#This Row],[Plano de Contas]],BASE!$B$3:$F$119,4,FALSE),"")</f>
        <v>8 - DESPESAS FINANCEIRAS</v>
      </c>
      <c r="K1516" s="77" t="str">
        <f>IFERROR(VLOOKUP(DESPESAS[[#This Row],[Plano de Contas]],BASE!$B$3:$H$119,5,FALSE),"")</f>
        <v>FINANCEIRO</v>
      </c>
      <c r="L1516" s="77">
        <f>IFERROR(VLOOKUP(DESPESAS[[#This Row],[Plano de Contas]],BASE!$B$3:$H$119,6,FALSE),"")</f>
        <v>0</v>
      </c>
      <c r="M1516" s="77" t="str">
        <f>VLOOKUP(DESPESAS[[#This Row],[Plano de Contas]],BASE!$B$3:$H$119,7,FALSE)</f>
        <v>LETÍCIA</v>
      </c>
    </row>
    <row r="1517" spans="1:13" x14ac:dyDescent="0.25">
      <c r="A1517" s="74">
        <v>198200</v>
      </c>
      <c r="B1517" s="75" t="s">
        <v>232</v>
      </c>
      <c r="C1517" s="75" t="s">
        <v>2254</v>
      </c>
      <c r="D1517" s="76">
        <v>46058</v>
      </c>
      <c r="E1517" s="75" t="s">
        <v>230</v>
      </c>
      <c r="F1517" s="74">
        <v>28.37</v>
      </c>
      <c r="G1517" s="75" t="s">
        <v>229</v>
      </c>
      <c r="H1517" s="77" t="str">
        <f>VLOOKUP(DESPESAS[[#This Row],[Plano de Contas]],BASE!$B$3:$D$119,3,FALSE)</f>
        <v>Despesas Bancarias</v>
      </c>
      <c r="I1517" s="77" t="str">
        <f>IFERROR(VLOOKUP(DESPESAS[[#This Row],[Fornecedor]],Tabela2[],2,FALSE),"")</f>
        <v/>
      </c>
      <c r="J1517" s="77" t="str">
        <f>IFERROR(VLOOKUP(DESPESAS[[#This Row],[Plano de Contas]],BASE!$B$3:$F$119,4,FALSE),"")</f>
        <v>8 - DESPESAS FINANCEIRAS</v>
      </c>
      <c r="K1517" s="77" t="str">
        <f>IFERROR(VLOOKUP(DESPESAS[[#This Row],[Plano de Contas]],BASE!$B$3:$H$119,5,FALSE),"")</f>
        <v>FINANCEIRO</v>
      </c>
      <c r="L1517" s="77">
        <f>IFERROR(VLOOKUP(DESPESAS[[#This Row],[Plano de Contas]],BASE!$B$3:$H$119,6,FALSE),"")</f>
        <v>0</v>
      </c>
      <c r="M1517" s="77" t="str">
        <f>VLOOKUP(DESPESAS[[#This Row],[Plano de Contas]],BASE!$B$3:$H$119,7,FALSE)</f>
        <v>LETÍCIA</v>
      </c>
    </row>
    <row r="1518" spans="1:13" x14ac:dyDescent="0.25">
      <c r="A1518" s="74">
        <v>198203</v>
      </c>
      <c r="B1518" s="75" t="s">
        <v>221</v>
      </c>
      <c r="C1518" s="75" t="s">
        <v>2253</v>
      </c>
      <c r="D1518" s="76">
        <v>46062</v>
      </c>
      <c r="E1518" s="75" t="s">
        <v>1708</v>
      </c>
      <c r="F1518" s="74">
        <v>2840</v>
      </c>
      <c r="G1518" s="75" t="s">
        <v>247</v>
      </c>
      <c r="H1518" s="77" t="str">
        <f>VLOOKUP(DESPESAS[[#This Row],[Plano de Contas]],BASE!$B$3:$D$119,3,FALSE)</f>
        <v>Manutenção com veiculos</v>
      </c>
      <c r="I1518" s="77" t="str">
        <f>IFERROR(VLOOKUP(DESPESAS[[#This Row],[Fornecedor]],Tabela2[],2,FALSE),"")</f>
        <v/>
      </c>
      <c r="J1518" s="77" t="str">
        <f>IFERROR(VLOOKUP(DESPESAS[[#This Row],[Plano de Contas]],BASE!$B$3:$F$119,4,FALSE),"")</f>
        <v>6 - DESPESA COM VENDAS</v>
      </c>
      <c r="K1518" s="77" t="str">
        <f>IFERROR(VLOOKUP(DESPESAS[[#This Row],[Plano de Contas]],BASE!$B$3:$H$119,5,FALSE),"")</f>
        <v>LOGÍSTICA</v>
      </c>
      <c r="L1518" s="77">
        <f>IFERROR(VLOOKUP(DESPESAS[[#This Row],[Plano de Contas]],BASE!$B$3:$H$119,6,FALSE),"")</f>
        <v>0</v>
      </c>
      <c r="M1518" s="77" t="str">
        <f>VLOOKUP(DESPESAS[[#This Row],[Plano de Contas]],BASE!$B$3:$H$119,7,FALSE)</f>
        <v>MYLENA</v>
      </c>
    </row>
    <row r="1519" spans="1:13" x14ac:dyDescent="0.25">
      <c r="A1519" s="74">
        <v>198204</v>
      </c>
      <c r="B1519" s="75" t="s">
        <v>221</v>
      </c>
      <c r="C1519" s="75" t="s">
        <v>2252</v>
      </c>
      <c r="D1519" s="76">
        <v>46062</v>
      </c>
      <c r="E1519" s="75" t="s">
        <v>347</v>
      </c>
      <c r="F1519" s="74">
        <v>150</v>
      </c>
      <c r="G1519" s="75" t="s">
        <v>1318</v>
      </c>
      <c r="H1519" s="77" t="str">
        <f>VLOOKUP(DESPESAS[[#This Row],[Plano de Contas]],BASE!$B$3:$D$119,3,FALSE)</f>
        <v>Feiras e Eventos</v>
      </c>
      <c r="I1519" s="77" t="str">
        <f>IFERROR(VLOOKUP(DESPESAS[[#This Row],[Fornecedor]],Tabela2[],2,FALSE),"")</f>
        <v/>
      </c>
      <c r="J1519" s="77" t="str">
        <f>IFERROR(VLOOKUP(DESPESAS[[#This Row],[Plano de Contas]],BASE!$B$3:$F$119,4,FALSE),"")</f>
        <v>6 - DESPESA COM VENDAS</v>
      </c>
      <c r="K1519" s="77" t="str">
        <f>IFERROR(VLOOKUP(DESPESAS[[#This Row],[Plano de Contas]],BASE!$B$3:$H$119,5,FALSE),"")</f>
        <v>COMERCIAL</v>
      </c>
      <c r="L1519" s="77">
        <f>IFERROR(VLOOKUP(DESPESAS[[#This Row],[Plano de Contas]],BASE!$B$3:$H$119,6,FALSE),"")</f>
        <v>0</v>
      </c>
      <c r="M1519" s="77" t="str">
        <f>VLOOKUP(DESPESAS[[#This Row],[Plano de Contas]],BASE!$B$3:$H$119,7,FALSE)</f>
        <v>THAIS</v>
      </c>
    </row>
    <row r="1520" spans="1:13" x14ac:dyDescent="0.25">
      <c r="A1520" s="74">
        <v>198206</v>
      </c>
      <c r="B1520" s="75" t="s">
        <v>221</v>
      </c>
      <c r="C1520" s="75" t="s">
        <v>2251</v>
      </c>
      <c r="D1520" s="76">
        <v>46059</v>
      </c>
      <c r="E1520" s="75" t="s">
        <v>242</v>
      </c>
      <c r="F1520" s="74">
        <v>191.86</v>
      </c>
      <c r="G1520" s="75" t="s">
        <v>423</v>
      </c>
      <c r="H1520" s="77" t="str">
        <f>VLOOKUP(DESPESAS[[#This Row],[Plano de Contas]],BASE!$B$3:$D$119,3,FALSE)</f>
        <v>Combustíveis (Adm)</v>
      </c>
      <c r="I1520" s="77" t="str">
        <f>IFERROR(VLOOKUP(DESPESAS[[#This Row],[Fornecedor]],Tabela2[],2,FALSE),"")</f>
        <v/>
      </c>
      <c r="J1520" s="77" t="str">
        <f>IFERROR(VLOOKUP(DESPESAS[[#This Row],[Plano de Contas]],BASE!$B$3:$F$119,4,FALSE),"")</f>
        <v>5 - DESPESAS ADMINISTRATIVAS</v>
      </c>
      <c r="K1520" s="77" t="str">
        <f>IFERROR(VLOOKUP(DESPESAS[[#This Row],[Plano de Contas]],BASE!$B$3:$H$119,5,FALSE),"")</f>
        <v>LOGÍSTICA</v>
      </c>
      <c r="L1520" s="77">
        <f>IFERROR(VLOOKUP(DESPESAS[[#This Row],[Plano de Contas]],BASE!$B$3:$H$119,6,FALSE),"")</f>
        <v>0</v>
      </c>
      <c r="M1520" s="77" t="str">
        <f>VLOOKUP(DESPESAS[[#This Row],[Plano de Contas]],BASE!$B$3:$H$119,7,FALSE)</f>
        <v>LETÍCIA</v>
      </c>
    </row>
    <row r="1521" spans="1:13" x14ac:dyDescent="0.25">
      <c r="A1521" s="74">
        <v>198207</v>
      </c>
      <c r="B1521" s="75" t="s">
        <v>221</v>
      </c>
      <c r="C1521" s="75" t="s">
        <v>2250</v>
      </c>
      <c r="D1521" s="76">
        <v>46062</v>
      </c>
      <c r="E1521" s="75" t="s">
        <v>2033</v>
      </c>
      <c r="F1521" s="74">
        <v>35</v>
      </c>
      <c r="G1521" s="75" t="s">
        <v>247</v>
      </c>
      <c r="H1521" s="77" t="str">
        <f>VLOOKUP(DESPESAS[[#This Row],[Plano de Contas]],BASE!$B$3:$D$119,3,FALSE)</f>
        <v>Manutenção com veiculos</v>
      </c>
      <c r="I1521" s="77" t="str">
        <f>IFERROR(VLOOKUP(DESPESAS[[#This Row],[Fornecedor]],Tabela2[],2,FALSE),"")</f>
        <v/>
      </c>
      <c r="J1521" s="77" t="str">
        <f>IFERROR(VLOOKUP(DESPESAS[[#This Row],[Plano de Contas]],BASE!$B$3:$F$119,4,FALSE),"")</f>
        <v>6 - DESPESA COM VENDAS</v>
      </c>
      <c r="K1521" s="77" t="str">
        <f>IFERROR(VLOOKUP(DESPESAS[[#This Row],[Plano de Contas]],BASE!$B$3:$H$119,5,FALSE),"")</f>
        <v>LOGÍSTICA</v>
      </c>
      <c r="L1521" s="77">
        <f>IFERROR(VLOOKUP(DESPESAS[[#This Row],[Plano de Contas]],BASE!$B$3:$H$119,6,FALSE),"")</f>
        <v>0</v>
      </c>
      <c r="M1521" s="77" t="str">
        <f>VLOOKUP(DESPESAS[[#This Row],[Plano de Contas]],BASE!$B$3:$H$119,7,FALSE)</f>
        <v>MYLENA</v>
      </c>
    </row>
    <row r="1522" spans="1:13" x14ac:dyDescent="0.25">
      <c r="A1522" s="74">
        <v>198208</v>
      </c>
      <c r="B1522" s="75" t="s">
        <v>221</v>
      </c>
      <c r="C1522" s="75" t="s">
        <v>2249</v>
      </c>
      <c r="D1522" s="76">
        <v>46062</v>
      </c>
      <c r="E1522" s="75" t="s">
        <v>2033</v>
      </c>
      <c r="F1522" s="74">
        <v>25</v>
      </c>
      <c r="G1522" s="75" t="s">
        <v>247</v>
      </c>
      <c r="H1522" s="77" t="str">
        <f>VLOOKUP(DESPESAS[[#This Row],[Plano de Contas]],BASE!$B$3:$D$119,3,FALSE)</f>
        <v>Manutenção com veiculos</v>
      </c>
      <c r="I1522" s="77" t="str">
        <f>IFERROR(VLOOKUP(DESPESAS[[#This Row],[Fornecedor]],Tabela2[],2,FALSE),"")</f>
        <v/>
      </c>
      <c r="J1522" s="77" t="str">
        <f>IFERROR(VLOOKUP(DESPESAS[[#This Row],[Plano de Contas]],BASE!$B$3:$F$119,4,FALSE),"")</f>
        <v>6 - DESPESA COM VENDAS</v>
      </c>
      <c r="K1522" s="77" t="str">
        <f>IFERROR(VLOOKUP(DESPESAS[[#This Row],[Plano de Contas]],BASE!$B$3:$H$119,5,FALSE),"")</f>
        <v>LOGÍSTICA</v>
      </c>
      <c r="L1522" s="77">
        <f>IFERROR(VLOOKUP(DESPESAS[[#This Row],[Plano de Contas]],BASE!$B$3:$H$119,6,FALSE),"")</f>
        <v>0</v>
      </c>
      <c r="M1522" s="77" t="str">
        <f>VLOOKUP(DESPESAS[[#This Row],[Plano de Contas]],BASE!$B$3:$H$119,7,FALSE)</f>
        <v>MYLENA</v>
      </c>
    </row>
    <row r="1523" spans="1:13" x14ac:dyDescent="0.25">
      <c r="A1523" s="74">
        <v>198209</v>
      </c>
      <c r="B1523" s="75" t="s">
        <v>221</v>
      </c>
      <c r="C1523" s="75" t="s">
        <v>2248</v>
      </c>
      <c r="D1523" s="76">
        <v>46057</v>
      </c>
      <c r="E1523" s="75" t="s">
        <v>239</v>
      </c>
      <c r="F1523" s="74">
        <v>111.62</v>
      </c>
      <c r="G1523" s="75" t="s">
        <v>238</v>
      </c>
      <c r="H1523" s="77" t="str">
        <f>VLOOKUP(DESPESAS[[#This Row],[Plano de Contas]],BASE!$B$3:$D$119,3,FALSE)</f>
        <v>Consultoria Comercial</v>
      </c>
      <c r="I1523" s="77" t="str">
        <f>IFERROR(VLOOKUP(DESPESAS[[#This Row],[Fornecedor]],Tabela2[],2,FALSE),"")</f>
        <v/>
      </c>
      <c r="J1523" s="77" t="str">
        <f>IFERROR(VLOOKUP(DESPESAS[[#This Row],[Plano de Contas]],BASE!$B$3:$F$119,4,FALSE),"")</f>
        <v>6 - DESPESA COM VENDAS</v>
      </c>
      <c r="K1523" s="77" t="str">
        <f>IFERROR(VLOOKUP(DESPESAS[[#This Row],[Plano de Contas]],BASE!$B$3:$H$119,5,FALSE),"")</f>
        <v>COMERCIAL</v>
      </c>
      <c r="L1523" s="77">
        <f>IFERROR(VLOOKUP(DESPESAS[[#This Row],[Plano de Contas]],BASE!$B$3:$H$119,6,FALSE),"")</f>
        <v>0</v>
      </c>
      <c r="M1523" s="77" t="str">
        <f>VLOOKUP(DESPESAS[[#This Row],[Plano de Contas]],BASE!$B$3:$H$119,7,FALSE)</f>
        <v>LETÍCIA</v>
      </c>
    </row>
    <row r="1524" spans="1:13" x14ac:dyDescent="0.25">
      <c r="A1524" s="74">
        <v>198210</v>
      </c>
      <c r="B1524" s="75" t="s">
        <v>221</v>
      </c>
      <c r="C1524" s="75" t="s">
        <v>2247</v>
      </c>
      <c r="D1524" s="76">
        <v>46062</v>
      </c>
      <c r="E1524" s="75" t="s">
        <v>242</v>
      </c>
      <c r="F1524" s="74">
        <v>30.55</v>
      </c>
      <c r="G1524" s="75" t="s">
        <v>423</v>
      </c>
      <c r="H1524" s="77" t="str">
        <f>VLOOKUP(DESPESAS[[#This Row],[Plano de Contas]],BASE!$B$3:$D$119,3,FALSE)</f>
        <v>Combustíveis (Adm)</v>
      </c>
      <c r="I1524" s="77" t="str">
        <f>IFERROR(VLOOKUP(DESPESAS[[#This Row],[Fornecedor]],Tabela2[],2,FALSE),"")</f>
        <v/>
      </c>
      <c r="J1524" s="77" t="str">
        <f>IFERROR(VLOOKUP(DESPESAS[[#This Row],[Plano de Contas]],BASE!$B$3:$F$119,4,FALSE),"")</f>
        <v>5 - DESPESAS ADMINISTRATIVAS</v>
      </c>
      <c r="K1524" s="77" t="str">
        <f>IFERROR(VLOOKUP(DESPESAS[[#This Row],[Plano de Contas]],BASE!$B$3:$H$119,5,FALSE),"")</f>
        <v>LOGÍSTICA</v>
      </c>
      <c r="L1524" s="77">
        <f>IFERROR(VLOOKUP(DESPESAS[[#This Row],[Plano de Contas]],BASE!$B$3:$H$119,6,FALSE),"")</f>
        <v>0</v>
      </c>
      <c r="M1524" s="77" t="str">
        <f>VLOOKUP(DESPESAS[[#This Row],[Plano de Contas]],BASE!$B$3:$H$119,7,FALSE)</f>
        <v>LETÍCIA</v>
      </c>
    </row>
    <row r="1525" spans="1:13" x14ac:dyDescent="0.25">
      <c r="A1525" s="74">
        <v>198211</v>
      </c>
      <c r="B1525" s="75" t="s">
        <v>232</v>
      </c>
      <c r="C1525" s="75" t="s">
        <v>2246</v>
      </c>
      <c r="D1525" s="76">
        <v>46062</v>
      </c>
      <c r="E1525" s="75" t="s">
        <v>615</v>
      </c>
      <c r="F1525" s="74">
        <v>65</v>
      </c>
      <c r="G1525" s="75" t="s">
        <v>218</v>
      </c>
      <c r="H1525" s="77" t="str">
        <f>VLOOKUP(DESPESAS[[#This Row],[Plano de Contas]],BASE!$B$3:$D$119,3,FALSE)</f>
        <v>Manutenção de Equipamentos (Prod)</v>
      </c>
      <c r="I1525" s="77" t="str">
        <f>IFERROR(VLOOKUP(DESPESAS[[#This Row],[Fornecedor]],Tabela2[],2,FALSE),"")</f>
        <v>MANUTENÇÕES FERRAMENTAS</v>
      </c>
      <c r="J1525" s="77" t="str">
        <f>IFERROR(VLOOKUP(DESPESAS[[#This Row],[Plano de Contas]],BASE!$B$3:$F$119,4,FALSE),"")</f>
        <v>3 - CUSTOS INDIRETOS</v>
      </c>
      <c r="K1525" s="77" t="str">
        <f>IFERROR(VLOOKUP(DESPESAS[[#This Row],[Plano de Contas]],BASE!$B$3:$H$119,5,FALSE),"")</f>
        <v>MANUTENÇÃO / TI</v>
      </c>
      <c r="L1525" s="77">
        <f>IFERROR(VLOOKUP(DESPESAS[[#This Row],[Plano de Contas]],BASE!$B$3:$H$119,6,FALSE),"")</f>
        <v>0</v>
      </c>
      <c r="M1525" s="77" t="str">
        <f>VLOOKUP(DESPESAS[[#This Row],[Plano de Contas]],BASE!$B$3:$H$119,7,FALSE)</f>
        <v>RAFAEL</v>
      </c>
    </row>
    <row r="1526" spans="1:13" x14ac:dyDescent="0.25">
      <c r="A1526" s="74">
        <v>198212</v>
      </c>
      <c r="B1526" s="75" t="s">
        <v>232</v>
      </c>
      <c r="C1526" s="75" t="s">
        <v>2245</v>
      </c>
      <c r="D1526" s="76">
        <v>46062</v>
      </c>
      <c r="E1526" s="75" t="s">
        <v>615</v>
      </c>
      <c r="F1526" s="74">
        <v>150</v>
      </c>
      <c r="G1526" s="75" t="s">
        <v>218</v>
      </c>
      <c r="H1526" s="77" t="str">
        <f>VLOOKUP(DESPESAS[[#This Row],[Plano de Contas]],BASE!$B$3:$D$119,3,FALSE)</f>
        <v>Manutenção de Equipamentos (Prod)</v>
      </c>
      <c r="I1526" s="77" t="str">
        <f>IFERROR(VLOOKUP(DESPESAS[[#This Row],[Fornecedor]],Tabela2[],2,FALSE),"")</f>
        <v>MANUTENÇÕES FERRAMENTAS</v>
      </c>
      <c r="J1526" s="77" t="str">
        <f>IFERROR(VLOOKUP(DESPESAS[[#This Row],[Plano de Contas]],BASE!$B$3:$F$119,4,FALSE),"")</f>
        <v>3 - CUSTOS INDIRETOS</v>
      </c>
      <c r="K1526" s="77" t="str">
        <f>IFERROR(VLOOKUP(DESPESAS[[#This Row],[Plano de Contas]],BASE!$B$3:$H$119,5,FALSE),"")</f>
        <v>MANUTENÇÃO / TI</v>
      </c>
      <c r="L1526" s="77">
        <f>IFERROR(VLOOKUP(DESPESAS[[#This Row],[Plano de Contas]],BASE!$B$3:$H$119,6,FALSE),"")</f>
        <v>0</v>
      </c>
      <c r="M1526" s="77" t="str">
        <f>VLOOKUP(DESPESAS[[#This Row],[Plano de Contas]],BASE!$B$3:$H$119,7,FALSE)</f>
        <v>RAFAEL</v>
      </c>
    </row>
    <row r="1527" spans="1:13" x14ac:dyDescent="0.25">
      <c r="A1527" s="74">
        <v>198213</v>
      </c>
      <c r="B1527" s="75" t="s">
        <v>221</v>
      </c>
      <c r="C1527" s="75" t="s">
        <v>2244</v>
      </c>
      <c r="D1527" s="76">
        <v>46062</v>
      </c>
      <c r="E1527" s="75" t="s">
        <v>265</v>
      </c>
      <c r="F1527" s="74">
        <v>41</v>
      </c>
      <c r="G1527" s="75" t="s">
        <v>262</v>
      </c>
      <c r="H1527" s="77" t="str">
        <f>VLOOKUP(DESPESAS[[#This Row],[Plano de Contas]],BASE!$B$3:$D$119,3,FALSE)</f>
        <v>Fretes Karams</v>
      </c>
      <c r="I1527" s="77" t="str">
        <f>IFERROR(VLOOKUP(DESPESAS[[#This Row],[Fornecedor]],Tabela2[],2,FALSE),"")</f>
        <v/>
      </c>
      <c r="J1527" s="77" t="str">
        <f>IFERROR(VLOOKUP(DESPESAS[[#This Row],[Plano de Contas]],BASE!$B$3:$F$119,4,FALSE),"")</f>
        <v>6 - DESPESA COM VENDAS</v>
      </c>
      <c r="K1527" s="77" t="str">
        <f>IFERROR(VLOOKUP(DESPESAS[[#This Row],[Plano de Contas]],BASE!$B$3:$H$119,5,FALSE),"")</f>
        <v>LOGÍSTICA</v>
      </c>
      <c r="L1527" s="77">
        <f>IFERROR(VLOOKUP(DESPESAS[[#This Row],[Plano de Contas]],BASE!$B$3:$H$119,6,FALSE),"")</f>
        <v>0</v>
      </c>
      <c r="M1527" s="77" t="str">
        <f>VLOOKUP(DESPESAS[[#This Row],[Plano de Contas]],BASE!$B$3:$H$119,7,FALSE)</f>
        <v>MYLENA</v>
      </c>
    </row>
    <row r="1528" spans="1:13" x14ac:dyDescent="0.25">
      <c r="A1528" s="74">
        <v>198214</v>
      </c>
      <c r="B1528" s="75" t="s">
        <v>221</v>
      </c>
      <c r="C1528" s="75" t="s">
        <v>2243</v>
      </c>
      <c r="D1528" s="76">
        <v>46059</v>
      </c>
      <c r="E1528" s="75" t="s">
        <v>242</v>
      </c>
      <c r="F1528" s="74">
        <v>2.99</v>
      </c>
      <c r="G1528" s="75" t="s">
        <v>241</v>
      </c>
      <c r="H1528" s="77" t="str">
        <f>VLOOKUP(DESPESAS[[#This Row],[Plano de Contas]],BASE!$B$3:$D$119,3,FALSE)</f>
        <v>Combustiveis Frota</v>
      </c>
      <c r="I1528" s="77" t="str">
        <f>IFERROR(VLOOKUP(DESPESAS[[#This Row],[Fornecedor]],Tabela2[],2,FALSE),"")</f>
        <v/>
      </c>
      <c r="J1528" s="77" t="str">
        <f>IFERROR(VLOOKUP(DESPESAS[[#This Row],[Plano de Contas]],BASE!$B$3:$F$119,4,FALSE),"")</f>
        <v>6 - DESPESA COM VENDAS</v>
      </c>
      <c r="K1528" s="77" t="str">
        <f>IFERROR(VLOOKUP(DESPESAS[[#This Row],[Plano de Contas]],BASE!$B$3:$H$119,5,FALSE),"")</f>
        <v>LOGÍSTICA</v>
      </c>
      <c r="L1528" s="77">
        <f>IFERROR(VLOOKUP(DESPESAS[[#This Row],[Plano de Contas]],BASE!$B$3:$H$119,6,FALSE),"")</f>
        <v>0</v>
      </c>
      <c r="M1528" s="77" t="str">
        <f>VLOOKUP(DESPESAS[[#This Row],[Plano de Contas]],BASE!$B$3:$H$119,7,FALSE)</f>
        <v>MYLENA</v>
      </c>
    </row>
    <row r="1529" spans="1:13" x14ac:dyDescent="0.25">
      <c r="A1529" s="74">
        <v>198215</v>
      </c>
      <c r="B1529" s="75" t="s">
        <v>221</v>
      </c>
      <c r="C1529" s="75" t="s">
        <v>2242</v>
      </c>
      <c r="D1529" s="76">
        <v>46059</v>
      </c>
      <c r="E1529" s="75" t="s">
        <v>242</v>
      </c>
      <c r="F1529" s="74">
        <v>202.68</v>
      </c>
      <c r="G1529" s="75" t="s">
        <v>241</v>
      </c>
      <c r="H1529" s="77" t="str">
        <f>VLOOKUP(DESPESAS[[#This Row],[Plano de Contas]],BASE!$B$3:$D$119,3,FALSE)</f>
        <v>Combustiveis Frota</v>
      </c>
      <c r="I1529" s="77" t="str">
        <f>IFERROR(VLOOKUP(DESPESAS[[#This Row],[Fornecedor]],Tabela2[],2,FALSE),"")</f>
        <v/>
      </c>
      <c r="J1529" s="77" t="str">
        <f>IFERROR(VLOOKUP(DESPESAS[[#This Row],[Plano de Contas]],BASE!$B$3:$F$119,4,FALSE),"")</f>
        <v>6 - DESPESA COM VENDAS</v>
      </c>
      <c r="K1529" s="77" t="str">
        <f>IFERROR(VLOOKUP(DESPESAS[[#This Row],[Plano de Contas]],BASE!$B$3:$H$119,5,FALSE),"")</f>
        <v>LOGÍSTICA</v>
      </c>
      <c r="L1529" s="77">
        <f>IFERROR(VLOOKUP(DESPESAS[[#This Row],[Plano de Contas]],BASE!$B$3:$H$119,6,FALSE),"")</f>
        <v>0</v>
      </c>
      <c r="M1529" s="77" t="str">
        <f>VLOOKUP(DESPESAS[[#This Row],[Plano de Contas]],BASE!$B$3:$H$119,7,FALSE)</f>
        <v>MYLENA</v>
      </c>
    </row>
    <row r="1530" spans="1:13" x14ac:dyDescent="0.25">
      <c r="A1530" s="74">
        <v>198216</v>
      </c>
      <c r="B1530" s="75" t="s">
        <v>221</v>
      </c>
      <c r="C1530" s="75" t="s">
        <v>2241</v>
      </c>
      <c r="D1530" s="76">
        <v>46062</v>
      </c>
      <c r="E1530" s="75" t="s">
        <v>265</v>
      </c>
      <c r="F1530" s="74">
        <v>199</v>
      </c>
      <c r="G1530" s="75" t="s">
        <v>262</v>
      </c>
      <c r="H1530" s="77" t="str">
        <f>VLOOKUP(DESPESAS[[#This Row],[Plano de Contas]],BASE!$B$3:$D$119,3,FALSE)</f>
        <v>Fretes Karams</v>
      </c>
      <c r="I1530" s="77" t="str">
        <f>IFERROR(VLOOKUP(DESPESAS[[#This Row],[Fornecedor]],Tabela2[],2,FALSE),"")</f>
        <v/>
      </c>
      <c r="J1530" s="77" t="str">
        <f>IFERROR(VLOOKUP(DESPESAS[[#This Row],[Plano de Contas]],BASE!$B$3:$F$119,4,FALSE),"")</f>
        <v>6 - DESPESA COM VENDAS</v>
      </c>
      <c r="K1530" s="77" t="str">
        <f>IFERROR(VLOOKUP(DESPESAS[[#This Row],[Plano de Contas]],BASE!$B$3:$H$119,5,FALSE),"")</f>
        <v>LOGÍSTICA</v>
      </c>
      <c r="L1530" s="77">
        <f>IFERROR(VLOOKUP(DESPESAS[[#This Row],[Plano de Contas]],BASE!$B$3:$H$119,6,FALSE),"")</f>
        <v>0</v>
      </c>
      <c r="M1530" s="77" t="str">
        <f>VLOOKUP(DESPESAS[[#This Row],[Plano de Contas]],BASE!$B$3:$H$119,7,FALSE)</f>
        <v>MYLENA</v>
      </c>
    </row>
    <row r="1531" spans="1:13" x14ac:dyDescent="0.25">
      <c r="A1531" s="74">
        <v>198217</v>
      </c>
      <c r="B1531" s="75" t="s">
        <v>221</v>
      </c>
      <c r="C1531" s="75" t="s">
        <v>2240</v>
      </c>
      <c r="D1531" s="76">
        <v>46062</v>
      </c>
      <c r="E1531" s="75" t="s">
        <v>242</v>
      </c>
      <c r="F1531" s="74">
        <v>293.60000000000002</v>
      </c>
      <c r="G1531" s="75" t="s">
        <v>241</v>
      </c>
      <c r="H1531" s="77" t="str">
        <f>VLOOKUP(DESPESAS[[#This Row],[Plano de Contas]],BASE!$B$3:$D$119,3,FALSE)</f>
        <v>Combustiveis Frota</v>
      </c>
      <c r="I1531" s="77" t="str">
        <f>IFERROR(VLOOKUP(DESPESAS[[#This Row],[Fornecedor]],Tabela2[],2,FALSE),"")</f>
        <v/>
      </c>
      <c r="J1531" s="77" t="str">
        <f>IFERROR(VLOOKUP(DESPESAS[[#This Row],[Plano de Contas]],BASE!$B$3:$F$119,4,FALSE),"")</f>
        <v>6 - DESPESA COM VENDAS</v>
      </c>
      <c r="K1531" s="77" t="str">
        <f>IFERROR(VLOOKUP(DESPESAS[[#This Row],[Plano de Contas]],BASE!$B$3:$H$119,5,FALSE),"")</f>
        <v>LOGÍSTICA</v>
      </c>
      <c r="L1531" s="77">
        <f>IFERROR(VLOOKUP(DESPESAS[[#This Row],[Plano de Contas]],BASE!$B$3:$H$119,6,FALSE),"")</f>
        <v>0</v>
      </c>
      <c r="M1531" s="77" t="str">
        <f>VLOOKUP(DESPESAS[[#This Row],[Plano de Contas]],BASE!$B$3:$H$119,7,FALSE)</f>
        <v>MYLENA</v>
      </c>
    </row>
    <row r="1532" spans="1:13" x14ac:dyDescent="0.25">
      <c r="A1532" s="74">
        <v>198218</v>
      </c>
      <c r="B1532" s="75" t="s">
        <v>221</v>
      </c>
      <c r="C1532" s="75" t="s">
        <v>2239</v>
      </c>
      <c r="D1532" s="76">
        <v>46057</v>
      </c>
      <c r="E1532" s="75" t="s">
        <v>242</v>
      </c>
      <c r="F1532" s="74">
        <v>703.9</v>
      </c>
      <c r="G1532" s="75" t="s">
        <v>241</v>
      </c>
      <c r="H1532" s="77" t="str">
        <f>VLOOKUP(DESPESAS[[#This Row],[Plano de Contas]],BASE!$B$3:$D$119,3,FALSE)</f>
        <v>Combustiveis Frota</v>
      </c>
      <c r="I1532" s="77" t="str">
        <f>IFERROR(VLOOKUP(DESPESAS[[#This Row],[Fornecedor]],Tabela2[],2,FALSE),"")</f>
        <v/>
      </c>
      <c r="J1532" s="77" t="str">
        <f>IFERROR(VLOOKUP(DESPESAS[[#This Row],[Plano de Contas]],BASE!$B$3:$F$119,4,FALSE),"")</f>
        <v>6 - DESPESA COM VENDAS</v>
      </c>
      <c r="K1532" s="77" t="str">
        <f>IFERROR(VLOOKUP(DESPESAS[[#This Row],[Plano de Contas]],BASE!$B$3:$H$119,5,FALSE),"")</f>
        <v>LOGÍSTICA</v>
      </c>
      <c r="L1532" s="77">
        <f>IFERROR(VLOOKUP(DESPESAS[[#This Row],[Plano de Contas]],BASE!$B$3:$H$119,6,FALSE),"")</f>
        <v>0</v>
      </c>
      <c r="M1532" s="77" t="str">
        <f>VLOOKUP(DESPESAS[[#This Row],[Plano de Contas]],BASE!$B$3:$H$119,7,FALSE)</f>
        <v>MYLENA</v>
      </c>
    </row>
    <row r="1533" spans="1:13" x14ac:dyDescent="0.25">
      <c r="A1533" s="74">
        <v>198219</v>
      </c>
      <c r="B1533" s="75" t="s">
        <v>221</v>
      </c>
      <c r="C1533" s="75" t="s">
        <v>2238</v>
      </c>
      <c r="D1533" s="76">
        <v>46062</v>
      </c>
      <c r="E1533" s="75" t="s">
        <v>413</v>
      </c>
      <c r="F1533" s="74">
        <v>1490</v>
      </c>
      <c r="G1533" s="75" t="s">
        <v>262</v>
      </c>
      <c r="H1533" s="77" t="str">
        <f>VLOOKUP(DESPESAS[[#This Row],[Plano de Contas]],BASE!$B$3:$D$119,3,FALSE)</f>
        <v>Fretes Karams</v>
      </c>
      <c r="I1533" s="77" t="str">
        <f>IFERROR(VLOOKUP(DESPESAS[[#This Row],[Fornecedor]],Tabela2[],2,FALSE),"")</f>
        <v/>
      </c>
      <c r="J1533" s="77" t="str">
        <f>IFERROR(VLOOKUP(DESPESAS[[#This Row],[Plano de Contas]],BASE!$B$3:$F$119,4,FALSE),"")</f>
        <v>6 - DESPESA COM VENDAS</v>
      </c>
      <c r="K1533" s="77" t="str">
        <f>IFERROR(VLOOKUP(DESPESAS[[#This Row],[Plano de Contas]],BASE!$B$3:$H$119,5,FALSE),"")</f>
        <v>LOGÍSTICA</v>
      </c>
      <c r="L1533" s="77">
        <f>IFERROR(VLOOKUP(DESPESAS[[#This Row],[Plano de Contas]],BASE!$B$3:$H$119,6,FALSE),"")</f>
        <v>0</v>
      </c>
      <c r="M1533" s="77" t="str">
        <f>VLOOKUP(DESPESAS[[#This Row],[Plano de Contas]],BASE!$B$3:$H$119,7,FALSE)</f>
        <v>MYLENA</v>
      </c>
    </row>
    <row r="1534" spans="1:13" x14ac:dyDescent="0.25">
      <c r="A1534" s="74">
        <v>198220</v>
      </c>
      <c r="B1534" s="75" t="s">
        <v>221</v>
      </c>
      <c r="C1534" s="75" t="s">
        <v>2237</v>
      </c>
      <c r="D1534" s="76">
        <v>46059</v>
      </c>
      <c r="E1534" s="75" t="s">
        <v>242</v>
      </c>
      <c r="F1534" s="74">
        <v>2630.54</v>
      </c>
      <c r="G1534" s="75" t="s">
        <v>241</v>
      </c>
      <c r="H1534" s="77" t="str">
        <f>VLOOKUP(DESPESAS[[#This Row],[Plano de Contas]],BASE!$B$3:$D$119,3,FALSE)</f>
        <v>Combustiveis Frota</v>
      </c>
      <c r="I1534" s="77" t="str">
        <f>IFERROR(VLOOKUP(DESPESAS[[#This Row],[Fornecedor]],Tabela2[],2,FALSE),"")</f>
        <v/>
      </c>
      <c r="J1534" s="77" t="str">
        <f>IFERROR(VLOOKUP(DESPESAS[[#This Row],[Plano de Contas]],BASE!$B$3:$F$119,4,FALSE),"")</f>
        <v>6 - DESPESA COM VENDAS</v>
      </c>
      <c r="K1534" s="77" t="str">
        <f>IFERROR(VLOOKUP(DESPESAS[[#This Row],[Plano de Contas]],BASE!$B$3:$H$119,5,FALSE),"")</f>
        <v>LOGÍSTICA</v>
      </c>
      <c r="L1534" s="77">
        <f>IFERROR(VLOOKUP(DESPESAS[[#This Row],[Plano de Contas]],BASE!$B$3:$H$119,6,FALSE),"")</f>
        <v>0</v>
      </c>
      <c r="M1534" s="77" t="str">
        <f>VLOOKUP(DESPESAS[[#This Row],[Plano de Contas]],BASE!$B$3:$H$119,7,FALSE)</f>
        <v>MYLENA</v>
      </c>
    </row>
    <row r="1535" spans="1:13" x14ac:dyDescent="0.25">
      <c r="A1535" s="74">
        <v>198222</v>
      </c>
      <c r="B1535" s="75" t="s">
        <v>232</v>
      </c>
      <c r="C1535" s="75" t="s">
        <v>2236</v>
      </c>
      <c r="D1535" s="76">
        <v>46057</v>
      </c>
      <c r="E1535" s="75" t="s">
        <v>2235</v>
      </c>
      <c r="F1535" s="74">
        <v>794.14</v>
      </c>
      <c r="G1535" s="75" t="s">
        <v>241</v>
      </c>
      <c r="H1535" s="77" t="str">
        <f>VLOOKUP(DESPESAS[[#This Row],[Plano de Contas]],BASE!$B$3:$D$119,3,FALSE)</f>
        <v>Combustiveis Frota</v>
      </c>
      <c r="I1535" s="77" t="str">
        <f>IFERROR(VLOOKUP(DESPESAS[[#This Row],[Fornecedor]],Tabela2[],2,FALSE),"")</f>
        <v/>
      </c>
      <c r="J1535" s="77" t="str">
        <f>IFERROR(VLOOKUP(DESPESAS[[#This Row],[Plano de Contas]],BASE!$B$3:$F$119,4,FALSE),"")</f>
        <v>6 - DESPESA COM VENDAS</v>
      </c>
      <c r="K1535" s="77" t="str">
        <f>IFERROR(VLOOKUP(DESPESAS[[#This Row],[Plano de Contas]],BASE!$B$3:$H$119,5,FALSE),"")</f>
        <v>LOGÍSTICA</v>
      </c>
      <c r="L1535" s="77">
        <f>IFERROR(VLOOKUP(DESPESAS[[#This Row],[Plano de Contas]],BASE!$B$3:$H$119,6,FALSE),"")</f>
        <v>0</v>
      </c>
      <c r="M1535" s="77" t="str">
        <f>VLOOKUP(DESPESAS[[#This Row],[Plano de Contas]],BASE!$B$3:$H$119,7,FALSE)</f>
        <v>MYLENA</v>
      </c>
    </row>
    <row r="1536" spans="1:13" x14ac:dyDescent="0.25">
      <c r="A1536" s="74">
        <v>198223</v>
      </c>
      <c r="B1536" s="75" t="s">
        <v>232</v>
      </c>
      <c r="C1536" s="75" t="s">
        <v>2232</v>
      </c>
      <c r="D1536" s="76">
        <v>46053</v>
      </c>
      <c r="E1536" s="75" t="s">
        <v>831</v>
      </c>
      <c r="F1536" s="74">
        <v>59367.77</v>
      </c>
      <c r="G1536" s="75" t="s">
        <v>830</v>
      </c>
      <c r="H1536" s="77" t="str">
        <f>VLOOKUP(DESPESAS[[#This Row],[Plano de Contas]],BASE!$B$3:$D$119,3,FALSE)</f>
        <v>ICMS</v>
      </c>
      <c r="I1536" s="77" t="str">
        <f>IFERROR(VLOOKUP(DESPESAS[[#This Row],[Fornecedor]],Tabela2[],2,FALSE),"")</f>
        <v/>
      </c>
      <c r="J1536" s="77" t="str">
        <f>IFERROR(VLOOKUP(DESPESAS[[#This Row],[Plano de Contas]],BASE!$B$3:$F$119,4,FALSE),"")</f>
        <v>0 - TRIBUTOS</v>
      </c>
      <c r="K1536" s="77" t="str">
        <f>IFERROR(VLOOKUP(DESPESAS[[#This Row],[Plano de Contas]],BASE!$B$3:$H$119,5,FALSE),"")</f>
        <v>FINANCEIRO</v>
      </c>
      <c r="L1536" s="77">
        <f>IFERROR(VLOOKUP(DESPESAS[[#This Row],[Plano de Contas]],BASE!$B$3:$H$119,6,FALSE),"")</f>
        <v>0</v>
      </c>
      <c r="M1536" s="77" t="str">
        <f>VLOOKUP(DESPESAS[[#This Row],[Plano de Contas]],BASE!$B$3:$H$119,7,FALSE)</f>
        <v>LETÍCIA</v>
      </c>
    </row>
    <row r="1537" spans="1:13" x14ac:dyDescent="0.25">
      <c r="A1537" s="74">
        <v>198224</v>
      </c>
      <c r="B1537" s="75" t="s">
        <v>232</v>
      </c>
      <c r="C1537" s="75" t="s">
        <v>2234</v>
      </c>
      <c r="D1537" s="76">
        <v>46053</v>
      </c>
      <c r="E1537" s="75" t="s">
        <v>825</v>
      </c>
      <c r="F1537" s="74">
        <v>15874.39</v>
      </c>
      <c r="G1537" s="75" t="s">
        <v>834</v>
      </c>
      <c r="H1537" s="77" t="str">
        <f>VLOOKUP(DESPESAS[[#This Row],[Plano de Contas]],BASE!$B$3:$D$119,3,FALSE)</f>
        <v>IPI</v>
      </c>
      <c r="I1537" s="77" t="str">
        <f>IFERROR(VLOOKUP(DESPESAS[[#This Row],[Fornecedor]],Tabela2[],2,FALSE),"")</f>
        <v/>
      </c>
      <c r="J1537" s="77" t="str">
        <f>IFERROR(VLOOKUP(DESPESAS[[#This Row],[Plano de Contas]],BASE!$B$3:$F$119,4,FALSE),"")</f>
        <v>0 - TRIBUTOS</v>
      </c>
      <c r="K1537" s="77" t="str">
        <f>IFERROR(VLOOKUP(DESPESAS[[#This Row],[Plano de Contas]],BASE!$B$3:$H$119,5,FALSE),"")</f>
        <v>FINANCEIRO</v>
      </c>
      <c r="L1537" s="77">
        <f>IFERROR(VLOOKUP(DESPESAS[[#This Row],[Plano de Contas]],BASE!$B$3:$H$119,6,FALSE),"")</f>
        <v>0</v>
      </c>
      <c r="M1537" s="77" t="str">
        <f>VLOOKUP(DESPESAS[[#This Row],[Plano de Contas]],BASE!$B$3:$H$119,7,FALSE)</f>
        <v>LETÍCIA</v>
      </c>
    </row>
    <row r="1538" spans="1:13" x14ac:dyDescent="0.25">
      <c r="A1538" s="74">
        <v>198225</v>
      </c>
      <c r="B1538" s="75" t="s">
        <v>232</v>
      </c>
      <c r="C1538" s="75" t="s">
        <v>2233</v>
      </c>
      <c r="D1538" s="76">
        <v>46053</v>
      </c>
      <c r="E1538" s="75" t="s">
        <v>825</v>
      </c>
      <c r="F1538" s="74">
        <v>1443.62</v>
      </c>
      <c r="G1538" s="75" t="s">
        <v>824</v>
      </c>
      <c r="H1538" s="77" t="str">
        <f>VLOOKUP(DESPESAS[[#This Row],[Plano de Contas]],BASE!$B$3:$D$119,3,FALSE)</f>
        <v>Outros Impostos</v>
      </c>
      <c r="I1538" s="77" t="str">
        <f>IFERROR(VLOOKUP(DESPESAS[[#This Row],[Fornecedor]],Tabela2[],2,FALSE),"")</f>
        <v/>
      </c>
      <c r="J1538" s="77" t="str">
        <f>IFERROR(VLOOKUP(DESPESAS[[#This Row],[Plano de Contas]],BASE!$B$3:$F$119,4,FALSE),"")</f>
        <v>0 - TRIBUTOS</v>
      </c>
      <c r="K1538" s="77" t="str">
        <f>IFERROR(VLOOKUP(DESPESAS[[#This Row],[Plano de Contas]],BASE!$B$3:$H$119,5,FALSE),"")</f>
        <v>FINANCEIRO</v>
      </c>
      <c r="L1538" s="77">
        <f>IFERROR(VLOOKUP(DESPESAS[[#This Row],[Plano de Contas]],BASE!$B$3:$H$119,6,FALSE),"")</f>
        <v>0</v>
      </c>
      <c r="M1538" s="77" t="str">
        <f>VLOOKUP(DESPESAS[[#This Row],[Plano de Contas]],BASE!$B$3:$H$119,7,FALSE)</f>
        <v>LETÍCIA</v>
      </c>
    </row>
    <row r="1539" spans="1:13" x14ac:dyDescent="0.25">
      <c r="A1539" s="74">
        <v>198226</v>
      </c>
      <c r="B1539" s="75" t="s">
        <v>279</v>
      </c>
      <c r="C1539" s="75" t="s">
        <v>2231</v>
      </c>
      <c r="D1539" s="76">
        <v>46053</v>
      </c>
      <c r="E1539" s="75" t="s">
        <v>828</v>
      </c>
      <c r="F1539" s="74">
        <v>32402.7</v>
      </c>
      <c r="G1539" s="75" t="s">
        <v>827</v>
      </c>
      <c r="H1539" s="77" t="str">
        <f>VLOOKUP(DESPESAS[[#This Row],[Plano de Contas]],BASE!$B$3:$D$119,3,FALSE)</f>
        <v>Simples Nacional</v>
      </c>
      <c r="I1539" s="77" t="str">
        <f>IFERROR(VLOOKUP(DESPESAS[[#This Row],[Fornecedor]],Tabela2[],2,FALSE),"")</f>
        <v/>
      </c>
      <c r="J1539" s="77" t="str">
        <f>IFERROR(VLOOKUP(DESPESAS[[#This Row],[Plano de Contas]],BASE!$B$3:$F$119,4,FALSE),"")</f>
        <v>0 - TRIBUTOS</v>
      </c>
      <c r="K1539" s="77" t="str">
        <f>IFERROR(VLOOKUP(DESPESAS[[#This Row],[Plano de Contas]],BASE!$B$3:$H$119,5,FALSE),"")</f>
        <v>FINANCEIRO</v>
      </c>
      <c r="L1539" s="77">
        <f>IFERROR(VLOOKUP(DESPESAS[[#This Row],[Plano de Contas]],BASE!$B$3:$H$119,6,FALSE),"")</f>
        <v>0</v>
      </c>
      <c r="M1539" s="77" t="str">
        <f>VLOOKUP(DESPESAS[[#This Row],[Plano de Contas]],BASE!$B$3:$H$119,7,FALSE)</f>
        <v>LETÍCIA</v>
      </c>
    </row>
    <row r="1540" spans="1:13" x14ac:dyDescent="0.25">
      <c r="A1540" s="74">
        <v>198227</v>
      </c>
      <c r="B1540" s="75" t="s">
        <v>279</v>
      </c>
      <c r="C1540" s="75" t="s">
        <v>2232</v>
      </c>
      <c r="D1540" s="76">
        <v>46053</v>
      </c>
      <c r="E1540" s="75" t="s">
        <v>831</v>
      </c>
      <c r="F1540" s="74">
        <v>680.4</v>
      </c>
      <c r="G1540" s="75" t="s">
        <v>830</v>
      </c>
      <c r="H1540" s="77" t="str">
        <f>VLOOKUP(DESPESAS[[#This Row],[Plano de Contas]],BASE!$B$3:$D$119,3,FALSE)</f>
        <v>ICMS</v>
      </c>
      <c r="I1540" s="77" t="str">
        <f>IFERROR(VLOOKUP(DESPESAS[[#This Row],[Fornecedor]],Tabela2[],2,FALSE),"")</f>
        <v/>
      </c>
      <c r="J1540" s="77" t="str">
        <f>IFERROR(VLOOKUP(DESPESAS[[#This Row],[Plano de Contas]],BASE!$B$3:$F$119,4,FALSE),"")</f>
        <v>0 - TRIBUTOS</v>
      </c>
      <c r="K1540" s="77" t="str">
        <f>IFERROR(VLOOKUP(DESPESAS[[#This Row],[Plano de Contas]],BASE!$B$3:$H$119,5,FALSE),"")</f>
        <v>FINANCEIRO</v>
      </c>
      <c r="L1540" s="77">
        <f>IFERROR(VLOOKUP(DESPESAS[[#This Row],[Plano de Contas]],BASE!$B$3:$H$119,6,FALSE),"")</f>
        <v>0</v>
      </c>
      <c r="M1540" s="77" t="str">
        <f>VLOOKUP(DESPESAS[[#This Row],[Plano de Contas]],BASE!$B$3:$H$119,7,FALSE)</f>
        <v>LETÍCIA</v>
      </c>
    </row>
    <row r="1541" spans="1:13" x14ac:dyDescent="0.25">
      <c r="A1541" s="74">
        <v>198228</v>
      </c>
      <c r="B1541" s="75" t="s">
        <v>281</v>
      </c>
      <c r="C1541" s="75" t="s">
        <v>2231</v>
      </c>
      <c r="D1541" s="76">
        <v>46053</v>
      </c>
      <c r="E1541" s="75" t="s">
        <v>828</v>
      </c>
      <c r="F1541" s="74">
        <v>19975.560000000001</v>
      </c>
      <c r="G1541" s="75" t="s">
        <v>827</v>
      </c>
      <c r="H1541" s="77" t="str">
        <f>VLOOKUP(DESPESAS[[#This Row],[Plano de Contas]],BASE!$B$3:$D$119,3,FALSE)</f>
        <v>Simples Nacional</v>
      </c>
      <c r="I1541" s="77" t="str">
        <f>IFERROR(VLOOKUP(DESPESAS[[#This Row],[Fornecedor]],Tabela2[],2,FALSE),"")</f>
        <v/>
      </c>
      <c r="J1541" s="77" t="str">
        <f>IFERROR(VLOOKUP(DESPESAS[[#This Row],[Plano de Contas]],BASE!$B$3:$F$119,4,FALSE),"")</f>
        <v>0 - TRIBUTOS</v>
      </c>
      <c r="K1541" s="77" t="str">
        <f>IFERROR(VLOOKUP(DESPESAS[[#This Row],[Plano de Contas]],BASE!$B$3:$H$119,5,FALSE),"")</f>
        <v>FINANCEIRO</v>
      </c>
      <c r="L1541" s="77">
        <f>IFERROR(VLOOKUP(DESPESAS[[#This Row],[Plano de Contas]],BASE!$B$3:$H$119,6,FALSE),"")</f>
        <v>0</v>
      </c>
      <c r="M1541" s="77" t="str">
        <f>VLOOKUP(DESPESAS[[#This Row],[Plano de Contas]],BASE!$B$3:$H$119,7,FALSE)</f>
        <v>LETÍCIA</v>
      </c>
    </row>
    <row r="1542" spans="1:13" x14ac:dyDescent="0.25">
      <c r="A1542" s="74">
        <v>198229</v>
      </c>
      <c r="B1542" s="75" t="s">
        <v>281</v>
      </c>
      <c r="C1542" s="75" t="s">
        <v>2230</v>
      </c>
      <c r="D1542" s="76">
        <v>46053</v>
      </c>
      <c r="E1542" s="75" t="s">
        <v>831</v>
      </c>
      <c r="F1542" s="74">
        <v>378.04</v>
      </c>
      <c r="G1542" s="75" t="s">
        <v>830</v>
      </c>
      <c r="H1542" s="77" t="str">
        <f>VLOOKUP(DESPESAS[[#This Row],[Plano de Contas]],BASE!$B$3:$D$119,3,FALSE)</f>
        <v>ICMS</v>
      </c>
      <c r="I1542" s="77" t="str">
        <f>IFERROR(VLOOKUP(DESPESAS[[#This Row],[Fornecedor]],Tabela2[],2,FALSE),"")</f>
        <v/>
      </c>
      <c r="J1542" s="77" t="str">
        <f>IFERROR(VLOOKUP(DESPESAS[[#This Row],[Plano de Contas]],BASE!$B$3:$F$119,4,FALSE),"")</f>
        <v>0 - TRIBUTOS</v>
      </c>
      <c r="K1542" s="77" t="str">
        <f>IFERROR(VLOOKUP(DESPESAS[[#This Row],[Plano de Contas]],BASE!$B$3:$H$119,5,FALSE),"")</f>
        <v>FINANCEIRO</v>
      </c>
      <c r="L1542" s="77">
        <f>IFERROR(VLOOKUP(DESPESAS[[#This Row],[Plano de Contas]],BASE!$B$3:$H$119,6,FALSE),"")</f>
        <v>0</v>
      </c>
      <c r="M1542" s="77" t="str">
        <f>VLOOKUP(DESPESAS[[#This Row],[Plano de Contas]],BASE!$B$3:$H$119,7,FALSE)</f>
        <v>LETÍCIA</v>
      </c>
    </row>
    <row r="1543" spans="1:13" x14ac:dyDescent="0.25">
      <c r="A1543" s="74">
        <v>198230</v>
      </c>
      <c r="B1543" s="75" t="s">
        <v>281</v>
      </c>
      <c r="C1543" s="75" t="s">
        <v>2229</v>
      </c>
      <c r="D1543" s="76">
        <v>46053</v>
      </c>
      <c r="E1543" s="75" t="s">
        <v>831</v>
      </c>
      <c r="F1543" s="74">
        <v>252.8</v>
      </c>
      <c r="G1543" s="75" t="s">
        <v>830</v>
      </c>
      <c r="H1543" s="77" t="str">
        <f>VLOOKUP(DESPESAS[[#This Row],[Plano de Contas]],BASE!$B$3:$D$119,3,FALSE)</f>
        <v>ICMS</v>
      </c>
      <c r="I1543" s="77" t="str">
        <f>IFERROR(VLOOKUP(DESPESAS[[#This Row],[Fornecedor]],Tabela2[],2,FALSE),"")</f>
        <v/>
      </c>
      <c r="J1543" s="77" t="str">
        <f>IFERROR(VLOOKUP(DESPESAS[[#This Row],[Plano de Contas]],BASE!$B$3:$F$119,4,FALSE),"")</f>
        <v>0 - TRIBUTOS</v>
      </c>
      <c r="K1543" s="77" t="str">
        <f>IFERROR(VLOOKUP(DESPESAS[[#This Row],[Plano de Contas]],BASE!$B$3:$H$119,5,FALSE),"")</f>
        <v>FINANCEIRO</v>
      </c>
      <c r="L1543" s="77">
        <f>IFERROR(VLOOKUP(DESPESAS[[#This Row],[Plano de Contas]],BASE!$B$3:$H$119,6,FALSE),"")</f>
        <v>0</v>
      </c>
      <c r="M1543" s="77" t="str">
        <f>VLOOKUP(DESPESAS[[#This Row],[Plano de Contas]],BASE!$B$3:$H$119,7,FALSE)</f>
        <v>LETÍCIA</v>
      </c>
    </row>
    <row r="1544" spans="1:13" x14ac:dyDescent="0.25">
      <c r="A1544" s="74">
        <v>198231</v>
      </c>
      <c r="B1544" s="75" t="s">
        <v>232</v>
      </c>
      <c r="C1544" s="75" t="s">
        <v>2228</v>
      </c>
      <c r="D1544" s="76">
        <v>46062</v>
      </c>
      <c r="E1544" s="75" t="s">
        <v>2227</v>
      </c>
      <c r="F1544" s="74">
        <v>240</v>
      </c>
      <c r="G1544" s="75" t="s">
        <v>1075</v>
      </c>
      <c r="H1544" s="77" t="str">
        <f>VLOOKUP(DESPESAS[[#This Row],[Plano de Contas]],BASE!$B$3:$D$119,3,FALSE)</f>
        <v>Fretes Ass. Técnica</v>
      </c>
      <c r="I1544" s="77" t="str">
        <f>IFERROR(VLOOKUP(DESPESAS[[#This Row],[Fornecedor]],Tabela2[],2,FALSE),"")</f>
        <v/>
      </c>
      <c r="J1544" s="77" t="str">
        <f>IFERROR(VLOOKUP(DESPESAS[[#This Row],[Plano de Contas]],BASE!$B$3:$F$119,4,FALSE),"")</f>
        <v>6 - DESPESA COM VENDAS</v>
      </c>
      <c r="K1544" s="77" t="str">
        <f>IFERROR(VLOOKUP(DESPESAS[[#This Row],[Plano de Contas]],BASE!$B$3:$H$119,5,FALSE),"")</f>
        <v>LOGÍSTICA</v>
      </c>
      <c r="L1544" s="77">
        <f>IFERROR(VLOOKUP(DESPESAS[[#This Row],[Plano de Contas]],BASE!$B$3:$H$119,6,FALSE),"")</f>
        <v>0</v>
      </c>
      <c r="M1544" s="77" t="str">
        <f>VLOOKUP(DESPESAS[[#This Row],[Plano de Contas]],BASE!$B$3:$H$119,7,FALSE)</f>
        <v>MYLENA</v>
      </c>
    </row>
    <row r="1545" spans="1:13" x14ac:dyDescent="0.25">
      <c r="A1545" s="74">
        <v>198232</v>
      </c>
      <c r="B1545" s="75" t="s">
        <v>232</v>
      </c>
      <c r="C1545" s="75" t="s">
        <v>2226</v>
      </c>
      <c r="D1545" s="76">
        <v>46062</v>
      </c>
      <c r="E1545" s="75" t="s">
        <v>1627</v>
      </c>
      <c r="F1545" s="74">
        <v>334.16</v>
      </c>
      <c r="G1545" s="75" t="s">
        <v>1388</v>
      </c>
      <c r="H1545" s="77" t="str">
        <f>VLOOKUP(DESPESAS[[#This Row],[Plano de Contas]],BASE!$B$3:$D$119,3,FALSE)</f>
        <v>Fretes</v>
      </c>
      <c r="I1545" s="77" t="str">
        <f>IFERROR(VLOOKUP(DESPESAS[[#This Row],[Fornecedor]],Tabela2[],2,FALSE),"")</f>
        <v/>
      </c>
      <c r="J1545" s="77" t="str">
        <f>IFERROR(VLOOKUP(DESPESAS[[#This Row],[Plano de Contas]],BASE!$B$3:$F$119,4,FALSE),"")</f>
        <v>6 - DESPESA COM VENDAS</v>
      </c>
      <c r="K1545" s="77" t="str">
        <f>IFERROR(VLOOKUP(DESPESAS[[#This Row],[Plano de Contas]],BASE!$B$3:$H$119,5,FALSE),"")</f>
        <v>LOGÍSTICA</v>
      </c>
      <c r="L1545" s="77">
        <f>IFERROR(VLOOKUP(DESPESAS[[#This Row],[Plano de Contas]],BASE!$B$3:$H$119,6,FALSE),"")</f>
        <v>0</v>
      </c>
      <c r="M1545" s="77" t="str">
        <f>VLOOKUP(DESPESAS[[#This Row],[Plano de Contas]],BASE!$B$3:$H$119,7,FALSE)</f>
        <v>MYLENA</v>
      </c>
    </row>
    <row r="1546" spans="1:13" x14ac:dyDescent="0.25">
      <c r="A1546" s="74">
        <v>198233</v>
      </c>
      <c r="B1546" s="75" t="s">
        <v>232</v>
      </c>
      <c r="C1546" s="75" t="s">
        <v>2225</v>
      </c>
      <c r="D1546" s="76">
        <v>46062</v>
      </c>
      <c r="E1546" s="75" t="s">
        <v>1269</v>
      </c>
      <c r="F1546" s="74">
        <v>1737</v>
      </c>
      <c r="G1546" s="75" t="s">
        <v>241</v>
      </c>
      <c r="H1546" s="77" t="str">
        <f>VLOOKUP(DESPESAS[[#This Row],[Plano de Contas]],BASE!$B$3:$D$119,3,FALSE)</f>
        <v>Combustiveis Frota</v>
      </c>
      <c r="I1546" s="77" t="str">
        <f>IFERROR(VLOOKUP(DESPESAS[[#This Row],[Fornecedor]],Tabela2[],2,FALSE),"")</f>
        <v/>
      </c>
      <c r="J1546" s="77" t="str">
        <f>IFERROR(VLOOKUP(DESPESAS[[#This Row],[Plano de Contas]],BASE!$B$3:$F$119,4,FALSE),"")</f>
        <v>6 - DESPESA COM VENDAS</v>
      </c>
      <c r="K1546" s="77" t="str">
        <f>IFERROR(VLOOKUP(DESPESAS[[#This Row],[Plano de Contas]],BASE!$B$3:$H$119,5,FALSE),"")</f>
        <v>LOGÍSTICA</v>
      </c>
      <c r="L1546" s="77">
        <f>IFERROR(VLOOKUP(DESPESAS[[#This Row],[Plano de Contas]],BASE!$B$3:$H$119,6,FALSE),"")</f>
        <v>0</v>
      </c>
      <c r="M1546" s="77" t="str">
        <f>VLOOKUP(DESPESAS[[#This Row],[Plano de Contas]],BASE!$B$3:$H$119,7,FALSE)</f>
        <v>MYLENA</v>
      </c>
    </row>
    <row r="1547" spans="1:13" x14ac:dyDescent="0.25">
      <c r="A1547" s="74">
        <v>198235</v>
      </c>
      <c r="B1547" s="75" t="s">
        <v>221</v>
      </c>
      <c r="C1547" s="75" t="s">
        <v>2224</v>
      </c>
      <c r="D1547" s="76">
        <v>46062</v>
      </c>
      <c r="E1547" s="75" t="s">
        <v>442</v>
      </c>
      <c r="F1547" s="74">
        <v>2647</v>
      </c>
      <c r="G1547" s="75" t="s">
        <v>262</v>
      </c>
      <c r="H1547" s="77" t="str">
        <f>VLOOKUP(DESPESAS[[#This Row],[Plano de Contas]],BASE!$B$3:$D$119,3,FALSE)</f>
        <v>Fretes Karams</v>
      </c>
      <c r="I1547" s="77" t="str">
        <f>IFERROR(VLOOKUP(DESPESAS[[#This Row],[Fornecedor]],Tabela2[],2,FALSE),"")</f>
        <v/>
      </c>
      <c r="J1547" s="77" t="str">
        <f>IFERROR(VLOOKUP(DESPESAS[[#This Row],[Plano de Contas]],BASE!$B$3:$F$119,4,FALSE),"")</f>
        <v>6 - DESPESA COM VENDAS</v>
      </c>
      <c r="K1547" s="77" t="str">
        <f>IFERROR(VLOOKUP(DESPESAS[[#This Row],[Plano de Contas]],BASE!$B$3:$H$119,5,FALSE),"")</f>
        <v>LOGÍSTICA</v>
      </c>
      <c r="L1547" s="77">
        <f>IFERROR(VLOOKUP(DESPESAS[[#This Row],[Plano de Contas]],BASE!$B$3:$H$119,6,FALSE),"")</f>
        <v>0</v>
      </c>
      <c r="M1547" s="77" t="str">
        <f>VLOOKUP(DESPESAS[[#This Row],[Plano de Contas]],BASE!$B$3:$H$119,7,FALSE)</f>
        <v>MYLENA</v>
      </c>
    </row>
    <row r="1548" spans="1:13" x14ac:dyDescent="0.25">
      <c r="A1548" s="74">
        <v>198236</v>
      </c>
      <c r="B1548" s="75" t="s">
        <v>221</v>
      </c>
      <c r="C1548" s="75" t="s">
        <v>2223</v>
      </c>
      <c r="D1548" s="76">
        <v>46062</v>
      </c>
      <c r="E1548" s="75" t="s">
        <v>442</v>
      </c>
      <c r="F1548" s="74">
        <v>421.5</v>
      </c>
      <c r="G1548" s="75" t="s">
        <v>247</v>
      </c>
      <c r="H1548" s="77" t="str">
        <f>VLOOKUP(DESPESAS[[#This Row],[Plano de Contas]],BASE!$B$3:$D$119,3,FALSE)</f>
        <v>Manutenção com veiculos</v>
      </c>
      <c r="I1548" s="77" t="str">
        <f>IFERROR(VLOOKUP(DESPESAS[[#This Row],[Fornecedor]],Tabela2[],2,FALSE),"")</f>
        <v/>
      </c>
      <c r="J1548" s="77" t="str">
        <f>IFERROR(VLOOKUP(DESPESAS[[#This Row],[Plano de Contas]],BASE!$B$3:$F$119,4,FALSE),"")</f>
        <v>6 - DESPESA COM VENDAS</v>
      </c>
      <c r="K1548" s="77" t="str">
        <f>IFERROR(VLOOKUP(DESPESAS[[#This Row],[Plano de Contas]],BASE!$B$3:$H$119,5,FALSE),"")</f>
        <v>LOGÍSTICA</v>
      </c>
      <c r="L1548" s="77">
        <f>IFERROR(VLOOKUP(DESPESAS[[#This Row],[Plano de Contas]],BASE!$B$3:$H$119,6,FALSE),"")</f>
        <v>0</v>
      </c>
      <c r="M1548" s="77" t="str">
        <f>VLOOKUP(DESPESAS[[#This Row],[Plano de Contas]],BASE!$B$3:$H$119,7,FALSE)</f>
        <v>MYLENA</v>
      </c>
    </row>
    <row r="1549" spans="1:13" x14ac:dyDescent="0.25">
      <c r="A1549" s="74">
        <v>198237</v>
      </c>
      <c r="B1549" s="75" t="s">
        <v>232</v>
      </c>
      <c r="C1549" s="75" t="s">
        <v>2222</v>
      </c>
      <c r="D1549" s="76">
        <v>46062</v>
      </c>
      <c r="E1549" s="75" t="s">
        <v>409</v>
      </c>
      <c r="F1549" s="74">
        <v>119.22</v>
      </c>
      <c r="G1549" s="75" t="s">
        <v>244</v>
      </c>
      <c r="H1549" s="77" t="str">
        <f>VLOOKUP(DESPESAS[[#This Row],[Plano de Contas]],BASE!$B$3:$D$119,3,FALSE)</f>
        <v>Material de Expediente (Prod)</v>
      </c>
      <c r="I1549" s="77" t="str">
        <f>IFERROR(VLOOKUP(DESPESAS[[#This Row],[Fornecedor]],Tabela2[],2,FALSE),"")</f>
        <v>SERVIÇOS FRETE</v>
      </c>
      <c r="J1549" s="77" t="str">
        <f>IFERROR(VLOOKUP(DESPESAS[[#This Row],[Plano de Contas]],BASE!$B$3:$F$119,4,FALSE),"")</f>
        <v>2 - CUSTOS DIRETOS</v>
      </c>
      <c r="K1549" s="77" t="str">
        <f>IFERROR(VLOOKUP(DESPESAS[[#This Row],[Plano de Contas]],BASE!$B$3:$H$119,5,FALSE),"")</f>
        <v>PRODUÇÃO</v>
      </c>
      <c r="L1549" s="77">
        <f>IFERROR(VLOOKUP(DESPESAS[[#This Row],[Plano de Contas]],BASE!$B$3:$H$119,6,FALSE),"")</f>
        <v>0</v>
      </c>
      <c r="M1549" s="77" t="str">
        <f>VLOOKUP(DESPESAS[[#This Row],[Plano de Contas]],BASE!$B$3:$H$119,7,FALSE)</f>
        <v>RAFAEL</v>
      </c>
    </row>
    <row r="1550" spans="1:13" x14ac:dyDescent="0.25">
      <c r="A1550" s="74">
        <v>198238</v>
      </c>
      <c r="B1550" s="75" t="s">
        <v>232</v>
      </c>
      <c r="C1550" s="75" t="s">
        <v>2221</v>
      </c>
      <c r="D1550" s="76">
        <v>46062</v>
      </c>
      <c r="E1550" s="75" t="s">
        <v>2220</v>
      </c>
      <c r="F1550" s="74">
        <v>1865.75</v>
      </c>
      <c r="G1550" s="75" t="s">
        <v>244</v>
      </c>
      <c r="H1550" s="77" t="str">
        <f>VLOOKUP(DESPESAS[[#This Row],[Plano de Contas]],BASE!$B$3:$D$119,3,FALSE)</f>
        <v>Material de Expediente (Prod)</v>
      </c>
      <c r="I1550" s="77" t="str">
        <f>IFERROR(VLOOKUP(DESPESAS[[#This Row],[Fornecedor]],Tabela2[],2,FALSE),"")</f>
        <v/>
      </c>
      <c r="J1550" s="77" t="str">
        <f>IFERROR(VLOOKUP(DESPESAS[[#This Row],[Plano de Contas]],BASE!$B$3:$F$119,4,FALSE),"")</f>
        <v>2 - CUSTOS DIRETOS</v>
      </c>
      <c r="K1550" s="77" t="str">
        <f>IFERROR(VLOOKUP(DESPESAS[[#This Row],[Plano de Contas]],BASE!$B$3:$H$119,5,FALSE),"")</f>
        <v>PRODUÇÃO</v>
      </c>
      <c r="L1550" s="77">
        <f>IFERROR(VLOOKUP(DESPESAS[[#This Row],[Plano de Contas]],BASE!$B$3:$H$119,6,FALSE),"")</f>
        <v>0</v>
      </c>
      <c r="M1550" s="77" t="str">
        <f>VLOOKUP(DESPESAS[[#This Row],[Plano de Contas]],BASE!$B$3:$H$119,7,FALSE)</f>
        <v>RAFAEL</v>
      </c>
    </row>
    <row r="1551" spans="1:13" x14ac:dyDescent="0.25">
      <c r="A1551" s="74">
        <v>198239</v>
      </c>
      <c r="B1551" s="75" t="s">
        <v>221</v>
      </c>
      <c r="C1551" s="75" t="s">
        <v>2219</v>
      </c>
      <c r="D1551" s="76">
        <v>46054</v>
      </c>
      <c r="E1551" s="75" t="s">
        <v>1262</v>
      </c>
      <c r="F1551" s="74">
        <v>2609.89</v>
      </c>
      <c r="G1551" s="75" t="s">
        <v>241</v>
      </c>
      <c r="H1551" s="77" t="str">
        <f>VLOOKUP(DESPESAS[[#This Row],[Plano de Contas]],BASE!$B$3:$D$119,3,FALSE)</f>
        <v>Combustiveis Frota</v>
      </c>
      <c r="I1551" s="77" t="str">
        <f>IFERROR(VLOOKUP(DESPESAS[[#This Row],[Fornecedor]],Tabela2[],2,FALSE),"")</f>
        <v/>
      </c>
      <c r="J1551" s="77" t="str">
        <f>IFERROR(VLOOKUP(DESPESAS[[#This Row],[Plano de Contas]],BASE!$B$3:$F$119,4,FALSE),"")</f>
        <v>6 - DESPESA COM VENDAS</v>
      </c>
      <c r="K1551" s="77" t="str">
        <f>IFERROR(VLOOKUP(DESPESAS[[#This Row],[Plano de Contas]],BASE!$B$3:$H$119,5,FALSE),"")</f>
        <v>LOGÍSTICA</v>
      </c>
      <c r="L1551" s="77">
        <f>IFERROR(VLOOKUP(DESPESAS[[#This Row],[Plano de Contas]],BASE!$B$3:$H$119,6,FALSE),"")</f>
        <v>0</v>
      </c>
      <c r="M1551" s="77" t="str">
        <f>VLOOKUP(DESPESAS[[#This Row],[Plano de Contas]],BASE!$B$3:$H$119,7,FALSE)</f>
        <v>MYLENA</v>
      </c>
    </row>
    <row r="1552" spans="1:13" x14ac:dyDescent="0.25">
      <c r="A1552" s="74">
        <v>198240</v>
      </c>
      <c r="B1552" s="75" t="s">
        <v>232</v>
      </c>
      <c r="C1552" s="75" t="s">
        <v>2218</v>
      </c>
      <c r="D1552" s="76">
        <v>46062</v>
      </c>
      <c r="E1552" s="75" t="s">
        <v>230</v>
      </c>
      <c r="F1552" s="74">
        <v>237.15</v>
      </c>
      <c r="G1552" s="75" t="s">
        <v>229</v>
      </c>
      <c r="H1552" s="77" t="str">
        <f>VLOOKUP(DESPESAS[[#This Row],[Plano de Contas]],BASE!$B$3:$D$119,3,FALSE)</f>
        <v>Despesas Bancarias</v>
      </c>
      <c r="I1552" s="77" t="str">
        <f>IFERROR(VLOOKUP(DESPESAS[[#This Row],[Fornecedor]],Tabela2[],2,FALSE),"")</f>
        <v/>
      </c>
      <c r="J1552" s="77" t="str">
        <f>IFERROR(VLOOKUP(DESPESAS[[#This Row],[Plano de Contas]],BASE!$B$3:$F$119,4,FALSE),"")</f>
        <v>8 - DESPESAS FINANCEIRAS</v>
      </c>
      <c r="K1552" s="77" t="str">
        <f>IFERROR(VLOOKUP(DESPESAS[[#This Row],[Plano de Contas]],BASE!$B$3:$H$119,5,FALSE),"")</f>
        <v>FINANCEIRO</v>
      </c>
      <c r="L1552" s="77">
        <f>IFERROR(VLOOKUP(DESPESAS[[#This Row],[Plano de Contas]],BASE!$B$3:$H$119,6,FALSE),"")</f>
        <v>0</v>
      </c>
      <c r="M1552" s="77" t="str">
        <f>VLOOKUP(DESPESAS[[#This Row],[Plano de Contas]],BASE!$B$3:$H$119,7,FALSE)</f>
        <v>LETÍCIA</v>
      </c>
    </row>
    <row r="1553" spans="1:13" x14ac:dyDescent="0.25">
      <c r="A1553" s="74">
        <v>198241</v>
      </c>
      <c r="B1553" s="75" t="s">
        <v>232</v>
      </c>
      <c r="C1553" s="75" t="s">
        <v>2217</v>
      </c>
      <c r="D1553" s="76">
        <v>46062</v>
      </c>
      <c r="E1553" s="75" t="s">
        <v>230</v>
      </c>
      <c r="F1553" s="74">
        <v>159.38</v>
      </c>
      <c r="G1553" s="75" t="s">
        <v>229</v>
      </c>
      <c r="H1553" s="77" t="str">
        <f>VLOOKUP(DESPESAS[[#This Row],[Plano de Contas]],BASE!$B$3:$D$119,3,FALSE)</f>
        <v>Despesas Bancarias</v>
      </c>
      <c r="I1553" s="77" t="str">
        <f>IFERROR(VLOOKUP(DESPESAS[[#This Row],[Fornecedor]],Tabela2[],2,FALSE),"")</f>
        <v/>
      </c>
      <c r="J1553" s="77" t="str">
        <f>IFERROR(VLOOKUP(DESPESAS[[#This Row],[Plano de Contas]],BASE!$B$3:$F$119,4,FALSE),"")</f>
        <v>8 - DESPESAS FINANCEIRAS</v>
      </c>
      <c r="K1553" s="77" t="str">
        <f>IFERROR(VLOOKUP(DESPESAS[[#This Row],[Plano de Contas]],BASE!$B$3:$H$119,5,FALSE),"")</f>
        <v>FINANCEIRO</v>
      </c>
      <c r="L1553" s="77">
        <f>IFERROR(VLOOKUP(DESPESAS[[#This Row],[Plano de Contas]],BASE!$B$3:$H$119,6,FALSE),"")</f>
        <v>0</v>
      </c>
      <c r="M1553" s="77" t="str">
        <f>VLOOKUP(DESPESAS[[#This Row],[Plano de Contas]],BASE!$B$3:$H$119,7,FALSE)</f>
        <v>LETÍCIA</v>
      </c>
    </row>
    <row r="1554" spans="1:13" x14ac:dyDescent="0.25">
      <c r="A1554" s="74">
        <v>198242</v>
      </c>
      <c r="B1554" s="75" t="s">
        <v>232</v>
      </c>
      <c r="C1554" s="75" t="s">
        <v>2216</v>
      </c>
      <c r="D1554" s="76">
        <v>46062</v>
      </c>
      <c r="E1554" s="75" t="s">
        <v>230</v>
      </c>
      <c r="F1554" s="74">
        <v>1480.36</v>
      </c>
      <c r="G1554" s="75" t="s">
        <v>251</v>
      </c>
      <c r="H1554" s="77" t="str">
        <f>VLOOKUP(DESPESAS[[#This Row],[Plano de Contas]],BASE!$B$3:$D$119,3,FALSE)</f>
        <v>Juros Pagos - Antecipação de Crédito</v>
      </c>
      <c r="I1554" s="77" t="str">
        <f>IFERROR(VLOOKUP(DESPESAS[[#This Row],[Fornecedor]],Tabela2[],2,FALSE),"")</f>
        <v/>
      </c>
      <c r="J1554" s="77" t="str">
        <f>IFERROR(VLOOKUP(DESPESAS[[#This Row],[Plano de Contas]],BASE!$B$3:$F$119,4,FALSE),"")</f>
        <v>8 - DESPESAS FINANCEIRAS</v>
      </c>
      <c r="K1554" s="77" t="str">
        <f>IFERROR(VLOOKUP(DESPESAS[[#This Row],[Plano de Contas]],BASE!$B$3:$H$119,5,FALSE),"")</f>
        <v>FINANCEIRO</v>
      </c>
      <c r="L1554" s="77">
        <f>IFERROR(VLOOKUP(DESPESAS[[#This Row],[Plano de Contas]],BASE!$B$3:$H$119,6,FALSE),"")</f>
        <v>0</v>
      </c>
      <c r="M1554" s="77" t="str">
        <f>VLOOKUP(DESPESAS[[#This Row],[Plano de Contas]],BASE!$B$3:$H$119,7,FALSE)</f>
        <v>LETÍCIA</v>
      </c>
    </row>
    <row r="1555" spans="1:13" x14ac:dyDescent="0.25">
      <c r="A1555" s="74">
        <v>198243</v>
      </c>
      <c r="B1555" s="75" t="s">
        <v>232</v>
      </c>
      <c r="C1555" s="75" t="s">
        <v>2215</v>
      </c>
      <c r="D1555" s="76">
        <v>46062</v>
      </c>
      <c r="E1555" s="75" t="s">
        <v>1440</v>
      </c>
      <c r="F1555" s="74">
        <v>3572.23</v>
      </c>
      <c r="G1555" s="75" t="s">
        <v>561</v>
      </c>
      <c r="H1555" s="77" t="str">
        <f>VLOOKUP(DESPESAS[[#This Row],[Plano de Contas]],BASE!$B$3:$D$119,3,FALSE)</f>
        <v>Sistemas de Informação</v>
      </c>
      <c r="I1555" s="77" t="str">
        <f>IFERROR(VLOOKUP(DESPESAS[[#This Row],[Fornecedor]],Tabela2[],2,FALSE),"")</f>
        <v>ACCION</v>
      </c>
      <c r="J1555" s="77" t="str">
        <f>IFERROR(VLOOKUP(DESPESAS[[#This Row],[Plano de Contas]],BASE!$B$3:$F$119,4,FALSE),"")</f>
        <v>7 - SERVIÇOS DE TERCEIROS</v>
      </c>
      <c r="K1555" s="77" t="str">
        <f>IFERROR(VLOOKUP(DESPESAS[[#This Row],[Plano de Contas]],BASE!$B$3:$H$119,5,FALSE),"")</f>
        <v>MANUTENÇÃO / TI</v>
      </c>
      <c r="L1555" s="77">
        <f>IFERROR(VLOOKUP(DESPESAS[[#This Row],[Plano de Contas]],BASE!$B$3:$H$119,6,FALSE),"")</f>
        <v>0</v>
      </c>
      <c r="M1555" s="77" t="str">
        <f>VLOOKUP(DESPESAS[[#This Row],[Plano de Contas]],BASE!$B$3:$H$119,7,FALSE)</f>
        <v>LETÍCIA</v>
      </c>
    </row>
    <row r="1556" spans="1:13" x14ac:dyDescent="0.25">
      <c r="A1556" s="74">
        <v>198244</v>
      </c>
      <c r="B1556" s="75" t="s">
        <v>221</v>
      </c>
      <c r="C1556" s="75" t="s">
        <v>2214</v>
      </c>
      <c r="D1556" s="76">
        <v>46053</v>
      </c>
      <c r="E1556" s="75" t="s">
        <v>2213</v>
      </c>
      <c r="F1556" s="74">
        <v>498</v>
      </c>
      <c r="G1556" s="75" t="s">
        <v>1318</v>
      </c>
      <c r="H1556" s="77" t="str">
        <f>VLOOKUP(DESPESAS[[#This Row],[Plano de Contas]],BASE!$B$3:$D$119,3,FALSE)</f>
        <v>Feiras e Eventos</v>
      </c>
      <c r="I1556" s="77" t="str">
        <f>IFERROR(VLOOKUP(DESPESAS[[#This Row],[Fornecedor]],Tabela2[],2,FALSE),"")</f>
        <v/>
      </c>
      <c r="J1556" s="77" t="str">
        <f>IFERROR(VLOOKUP(DESPESAS[[#This Row],[Plano de Contas]],BASE!$B$3:$F$119,4,FALSE),"")</f>
        <v>6 - DESPESA COM VENDAS</v>
      </c>
      <c r="K1556" s="77" t="str">
        <f>IFERROR(VLOOKUP(DESPESAS[[#This Row],[Plano de Contas]],BASE!$B$3:$H$119,5,FALSE),"")</f>
        <v>COMERCIAL</v>
      </c>
      <c r="L1556" s="77">
        <f>IFERROR(VLOOKUP(DESPESAS[[#This Row],[Plano de Contas]],BASE!$B$3:$H$119,6,FALSE),"")</f>
        <v>0</v>
      </c>
      <c r="M1556" s="77" t="str">
        <f>VLOOKUP(DESPESAS[[#This Row],[Plano de Contas]],BASE!$B$3:$H$119,7,FALSE)</f>
        <v>THAIS</v>
      </c>
    </row>
    <row r="1557" spans="1:13" x14ac:dyDescent="0.25">
      <c r="A1557" s="74">
        <v>198245</v>
      </c>
      <c r="B1557" s="75" t="s">
        <v>232</v>
      </c>
      <c r="C1557" s="75" t="s">
        <v>2212</v>
      </c>
      <c r="D1557" s="76">
        <v>46062</v>
      </c>
      <c r="E1557" s="75" t="s">
        <v>230</v>
      </c>
      <c r="F1557" s="74">
        <v>20.54</v>
      </c>
      <c r="G1557" s="75" t="s">
        <v>229</v>
      </c>
      <c r="H1557" s="77" t="str">
        <f>VLOOKUP(DESPESAS[[#This Row],[Plano de Contas]],BASE!$B$3:$D$119,3,FALSE)</f>
        <v>Despesas Bancarias</v>
      </c>
      <c r="I1557" s="77" t="str">
        <f>IFERROR(VLOOKUP(DESPESAS[[#This Row],[Fornecedor]],Tabela2[],2,FALSE),"")</f>
        <v/>
      </c>
      <c r="J1557" s="77" t="str">
        <f>IFERROR(VLOOKUP(DESPESAS[[#This Row],[Plano de Contas]],BASE!$B$3:$F$119,4,FALSE),"")</f>
        <v>8 - DESPESAS FINANCEIRAS</v>
      </c>
      <c r="K1557" s="77" t="str">
        <f>IFERROR(VLOOKUP(DESPESAS[[#This Row],[Plano de Contas]],BASE!$B$3:$H$119,5,FALSE),"")</f>
        <v>FINANCEIRO</v>
      </c>
      <c r="L1557" s="77">
        <f>IFERROR(VLOOKUP(DESPESAS[[#This Row],[Plano de Contas]],BASE!$B$3:$H$119,6,FALSE),"")</f>
        <v>0</v>
      </c>
      <c r="M1557" s="77" t="str">
        <f>VLOOKUP(DESPESAS[[#This Row],[Plano de Contas]],BASE!$B$3:$H$119,7,FALSE)</f>
        <v>LETÍCIA</v>
      </c>
    </row>
    <row r="1558" spans="1:13" x14ac:dyDescent="0.25">
      <c r="A1558" s="74">
        <v>198246</v>
      </c>
      <c r="B1558" s="75" t="s">
        <v>232</v>
      </c>
      <c r="C1558" s="75" t="s">
        <v>2211</v>
      </c>
      <c r="D1558" s="76">
        <v>46063</v>
      </c>
      <c r="E1558" s="75" t="s">
        <v>230</v>
      </c>
      <c r="F1558" s="74">
        <v>2.9</v>
      </c>
      <c r="G1558" s="75" t="s">
        <v>229</v>
      </c>
      <c r="H1558" s="77" t="str">
        <f>VLOOKUP(DESPESAS[[#This Row],[Plano de Contas]],BASE!$B$3:$D$119,3,FALSE)</f>
        <v>Despesas Bancarias</v>
      </c>
      <c r="I1558" s="77" t="str">
        <f>IFERROR(VLOOKUP(DESPESAS[[#This Row],[Fornecedor]],Tabela2[],2,FALSE),"")</f>
        <v/>
      </c>
      <c r="J1558" s="77" t="str">
        <f>IFERROR(VLOOKUP(DESPESAS[[#This Row],[Plano de Contas]],BASE!$B$3:$F$119,4,FALSE),"")</f>
        <v>8 - DESPESAS FINANCEIRAS</v>
      </c>
      <c r="K1558" s="77" t="str">
        <f>IFERROR(VLOOKUP(DESPESAS[[#This Row],[Plano de Contas]],BASE!$B$3:$H$119,5,FALSE),"")</f>
        <v>FINANCEIRO</v>
      </c>
      <c r="L1558" s="77">
        <f>IFERROR(VLOOKUP(DESPESAS[[#This Row],[Plano de Contas]],BASE!$B$3:$H$119,6,FALSE),"")</f>
        <v>0</v>
      </c>
      <c r="M1558" s="77" t="str">
        <f>VLOOKUP(DESPESAS[[#This Row],[Plano de Contas]],BASE!$B$3:$H$119,7,FALSE)</f>
        <v>LETÍCIA</v>
      </c>
    </row>
    <row r="1559" spans="1:13" x14ac:dyDescent="0.25">
      <c r="A1559" s="74">
        <v>198247</v>
      </c>
      <c r="B1559" s="75" t="s">
        <v>279</v>
      </c>
      <c r="C1559" s="75" t="s">
        <v>2210</v>
      </c>
      <c r="D1559" s="76">
        <v>46062</v>
      </c>
      <c r="E1559" s="75" t="s">
        <v>230</v>
      </c>
      <c r="F1559" s="74">
        <v>5.53</v>
      </c>
      <c r="G1559" s="75" t="s">
        <v>229</v>
      </c>
      <c r="H1559" s="77" t="str">
        <f>VLOOKUP(DESPESAS[[#This Row],[Plano de Contas]],BASE!$B$3:$D$119,3,FALSE)</f>
        <v>Despesas Bancarias</v>
      </c>
      <c r="I1559" s="77" t="str">
        <f>IFERROR(VLOOKUP(DESPESAS[[#This Row],[Fornecedor]],Tabela2[],2,FALSE),"")</f>
        <v/>
      </c>
      <c r="J1559" s="77" t="str">
        <f>IFERROR(VLOOKUP(DESPESAS[[#This Row],[Plano de Contas]],BASE!$B$3:$F$119,4,FALSE),"")</f>
        <v>8 - DESPESAS FINANCEIRAS</v>
      </c>
      <c r="K1559" s="77" t="str">
        <f>IFERROR(VLOOKUP(DESPESAS[[#This Row],[Plano de Contas]],BASE!$B$3:$H$119,5,FALSE),"")</f>
        <v>FINANCEIRO</v>
      </c>
      <c r="L1559" s="77">
        <f>IFERROR(VLOOKUP(DESPESAS[[#This Row],[Plano de Contas]],BASE!$B$3:$H$119,6,FALSE),"")</f>
        <v>0</v>
      </c>
      <c r="M1559" s="77" t="str">
        <f>VLOOKUP(DESPESAS[[#This Row],[Plano de Contas]],BASE!$B$3:$H$119,7,FALSE)</f>
        <v>LETÍCIA</v>
      </c>
    </row>
    <row r="1560" spans="1:13" x14ac:dyDescent="0.25">
      <c r="A1560" s="74">
        <v>198248</v>
      </c>
      <c r="B1560" s="75" t="s">
        <v>279</v>
      </c>
      <c r="C1560" s="75" t="s">
        <v>2209</v>
      </c>
      <c r="D1560" s="76">
        <v>46063</v>
      </c>
      <c r="E1560" s="75" t="s">
        <v>230</v>
      </c>
      <c r="F1560" s="74">
        <v>0.95</v>
      </c>
      <c r="G1560" s="75" t="s">
        <v>229</v>
      </c>
      <c r="H1560" s="77" t="str">
        <f>VLOOKUP(DESPESAS[[#This Row],[Plano de Contas]],BASE!$B$3:$D$119,3,FALSE)</f>
        <v>Despesas Bancarias</v>
      </c>
      <c r="I1560" s="77" t="str">
        <f>IFERROR(VLOOKUP(DESPESAS[[#This Row],[Fornecedor]],Tabela2[],2,FALSE),"")</f>
        <v/>
      </c>
      <c r="J1560" s="77" t="str">
        <f>IFERROR(VLOOKUP(DESPESAS[[#This Row],[Plano de Contas]],BASE!$B$3:$F$119,4,FALSE),"")</f>
        <v>8 - DESPESAS FINANCEIRAS</v>
      </c>
      <c r="K1560" s="77" t="str">
        <f>IFERROR(VLOOKUP(DESPESAS[[#This Row],[Plano de Contas]],BASE!$B$3:$H$119,5,FALSE),"")</f>
        <v>FINANCEIRO</v>
      </c>
      <c r="L1560" s="77">
        <f>IFERROR(VLOOKUP(DESPESAS[[#This Row],[Plano de Contas]],BASE!$B$3:$H$119,6,FALSE),"")</f>
        <v>0</v>
      </c>
      <c r="M1560" s="77" t="str">
        <f>VLOOKUP(DESPESAS[[#This Row],[Plano de Contas]],BASE!$B$3:$H$119,7,FALSE)</f>
        <v>LETÍCIA</v>
      </c>
    </row>
    <row r="1561" spans="1:13" x14ac:dyDescent="0.25">
      <c r="A1561" s="74">
        <v>198249</v>
      </c>
      <c r="B1561" s="75" t="s">
        <v>281</v>
      </c>
      <c r="C1561" s="75" t="s">
        <v>2208</v>
      </c>
      <c r="D1561" s="76">
        <v>46062</v>
      </c>
      <c r="E1561" s="75" t="s">
        <v>230</v>
      </c>
      <c r="F1561" s="74">
        <v>3.95</v>
      </c>
      <c r="G1561" s="75" t="s">
        <v>229</v>
      </c>
      <c r="H1561" s="77" t="str">
        <f>VLOOKUP(DESPESAS[[#This Row],[Plano de Contas]],BASE!$B$3:$D$119,3,FALSE)</f>
        <v>Despesas Bancarias</v>
      </c>
      <c r="I1561" s="77" t="str">
        <f>IFERROR(VLOOKUP(DESPESAS[[#This Row],[Fornecedor]],Tabela2[],2,FALSE),"")</f>
        <v/>
      </c>
      <c r="J1561" s="77" t="str">
        <f>IFERROR(VLOOKUP(DESPESAS[[#This Row],[Plano de Contas]],BASE!$B$3:$F$119,4,FALSE),"")</f>
        <v>8 - DESPESAS FINANCEIRAS</v>
      </c>
      <c r="K1561" s="77" t="str">
        <f>IFERROR(VLOOKUP(DESPESAS[[#This Row],[Plano de Contas]],BASE!$B$3:$H$119,5,FALSE),"")</f>
        <v>FINANCEIRO</v>
      </c>
      <c r="L1561" s="77">
        <f>IFERROR(VLOOKUP(DESPESAS[[#This Row],[Plano de Contas]],BASE!$B$3:$H$119,6,FALSE),"")</f>
        <v>0</v>
      </c>
      <c r="M1561" s="77" t="str">
        <f>VLOOKUP(DESPESAS[[#This Row],[Plano de Contas]],BASE!$B$3:$H$119,7,FALSE)</f>
        <v>LETÍCIA</v>
      </c>
    </row>
    <row r="1562" spans="1:13" x14ac:dyDescent="0.25">
      <c r="A1562" s="74">
        <v>198250</v>
      </c>
      <c r="B1562" s="75" t="s">
        <v>221</v>
      </c>
      <c r="C1562" s="75" t="s">
        <v>2207</v>
      </c>
      <c r="D1562" s="76">
        <v>46062</v>
      </c>
      <c r="E1562" s="75" t="s">
        <v>230</v>
      </c>
      <c r="F1562" s="74">
        <v>5.7</v>
      </c>
      <c r="G1562" s="75" t="s">
        <v>229</v>
      </c>
      <c r="H1562" s="77" t="str">
        <f>VLOOKUP(DESPESAS[[#This Row],[Plano de Contas]],BASE!$B$3:$D$119,3,FALSE)</f>
        <v>Despesas Bancarias</v>
      </c>
      <c r="I1562" s="77" t="str">
        <f>IFERROR(VLOOKUP(DESPESAS[[#This Row],[Fornecedor]],Tabela2[],2,FALSE),"")</f>
        <v/>
      </c>
      <c r="J1562" s="77" t="str">
        <f>IFERROR(VLOOKUP(DESPESAS[[#This Row],[Plano de Contas]],BASE!$B$3:$F$119,4,FALSE),"")</f>
        <v>8 - DESPESAS FINANCEIRAS</v>
      </c>
      <c r="K1562" s="77" t="str">
        <f>IFERROR(VLOOKUP(DESPESAS[[#This Row],[Plano de Contas]],BASE!$B$3:$H$119,5,FALSE),"")</f>
        <v>FINANCEIRO</v>
      </c>
      <c r="L1562" s="77">
        <f>IFERROR(VLOOKUP(DESPESAS[[#This Row],[Plano de Contas]],BASE!$B$3:$H$119,6,FALSE),"")</f>
        <v>0</v>
      </c>
      <c r="M1562" s="77" t="str">
        <f>VLOOKUP(DESPESAS[[#This Row],[Plano de Contas]],BASE!$B$3:$H$119,7,FALSE)</f>
        <v>LETÍCIA</v>
      </c>
    </row>
    <row r="1563" spans="1:13" x14ac:dyDescent="0.25">
      <c r="A1563" s="74">
        <v>198252</v>
      </c>
      <c r="B1563" s="75" t="s">
        <v>221</v>
      </c>
      <c r="C1563" s="75" t="s">
        <v>2206</v>
      </c>
      <c r="D1563" s="76">
        <v>46063</v>
      </c>
      <c r="E1563" s="75" t="s">
        <v>2205</v>
      </c>
      <c r="F1563" s="74">
        <v>1300</v>
      </c>
      <c r="G1563" s="75" t="s">
        <v>247</v>
      </c>
      <c r="H1563" s="77" t="str">
        <f>VLOOKUP(DESPESAS[[#This Row],[Plano de Contas]],BASE!$B$3:$D$119,3,FALSE)</f>
        <v>Manutenção com veiculos</v>
      </c>
      <c r="I1563" s="77" t="str">
        <f>IFERROR(VLOOKUP(DESPESAS[[#This Row],[Fornecedor]],Tabela2[],2,FALSE),"")</f>
        <v/>
      </c>
      <c r="J1563" s="77" t="str">
        <f>IFERROR(VLOOKUP(DESPESAS[[#This Row],[Plano de Contas]],BASE!$B$3:$F$119,4,FALSE),"")</f>
        <v>6 - DESPESA COM VENDAS</v>
      </c>
      <c r="K1563" s="77" t="str">
        <f>IFERROR(VLOOKUP(DESPESAS[[#This Row],[Plano de Contas]],BASE!$B$3:$H$119,5,FALSE),"")</f>
        <v>LOGÍSTICA</v>
      </c>
      <c r="L1563" s="77">
        <f>IFERROR(VLOOKUP(DESPESAS[[#This Row],[Plano de Contas]],BASE!$B$3:$H$119,6,FALSE),"")</f>
        <v>0</v>
      </c>
      <c r="M1563" s="77" t="str">
        <f>VLOOKUP(DESPESAS[[#This Row],[Plano de Contas]],BASE!$B$3:$H$119,7,FALSE)</f>
        <v>MYLENA</v>
      </c>
    </row>
    <row r="1564" spans="1:13" x14ac:dyDescent="0.25">
      <c r="A1564" s="74">
        <v>198253</v>
      </c>
      <c r="B1564" s="75" t="s">
        <v>232</v>
      </c>
      <c r="C1564" s="75" t="s">
        <v>2204</v>
      </c>
      <c r="D1564" s="76">
        <v>46063</v>
      </c>
      <c r="E1564" s="75" t="s">
        <v>540</v>
      </c>
      <c r="F1564" s="74">
        <v>4718</v>
      </c>
      <c r="G1564" s="75" t="s">
        <v>2203</v>
      </c>
      <c r="H1564" s="77" t="str">
        <f>VLOOKUP(DESPESAS[[#This Row],[Plano de Contas]],BASE!$B$3:$D$119,3,FALSE)</f>
        <v>Curadoria</v>
      </c>
      <c r="I1564" s="77" t="str">
        <f>IFERROR(VLOOKUP(DESPESAS[[#This Row],[Fornecedor]],Tabela2[],2,FALSE),"")</f>
        <v/>
      </c>
      <c r="J1564" s="77" t="str">
        <f>IFERROR(VLOOKUP(DESPESAS[[#This Row],[Plano de Contas]],BASE!$B$3:$F$119,4,FALSE),"")</f>
        <v>7 - SERVIÇOS DE TERCEIROS</v>
      </c>
      <c r="K1564" s="77" t="str">
        <f>IFERROR(VLOOKUP(DESPESAS[[#This Row],[Plano de Contas]],BASE!$B$3:$H$119,5,FALSE),"")</f>
        <v>FINANCEIRO</v>
      </c>
      <c r="L1564" s="77">
        <f>IFERROR(VLOOKUP(DESPESAS[[#This Row],[Plano de Contas]],BASE!$B$3:$H$119,6,FALSE),"")</f>
        <v>0</v>
      </c>
      <c r="M1564" s="77" t="str">
        <f>VLOOKUP(DESPESAS[[#This Row],[Plano de Contas]],BASE!$B$3:$H$119,7,FALSE)</f>
        <v>LETÍCIA</v>
      </c>
    </row>
    <row r="1565" spans="1:13" x14ac:dyDescent="0.25">
      <c r="A1565" s="74">
        <v>198254</v>
      </c>
      <c r="B1565" s="75" t="s">
        <v>232</v>
      </c>
      <c r="C1565" s="75" t="s">
        <v>2204</v>
      </c>
      <c r="D1565" s="76">
        <v>46078</v>
      </c>
      <c r="E1565" s="75" t="s">
        <v>540</v>
      </c>
      <c r="F1565" s="74">
        <v>4718</v>
      </c>
      <c r="G1565" s="75" t="s">
        <v>2203</v>
      </c>
      <c r="H1565" s="77" t="str">
        <f>VLOOKUP(DESPESAS[[#This Row],[Plano de Contas]],BASE!$B$3:$D$119,3,FALSE)</f>
        <v>Curadoria</v>
      </c>
      <c r="I1565" s="77" t="str">
        <f>IFERROR(VLOOKUP(DESPESAS[[#This Row],[Fornecedor]],Tabela2[],2,FALSE),"")</f>
        <v/>
      </c>
      <c r="J1565" s="77" t="str">
        <f>IFERROR(VLOOKUP(DESPESAS[[#This Row],[Plano de Contas]],BASE!$B$3:$F$119,4,FALSE),"")</f>
        <v>7 - SERVIÇOS DE TERCEIROS</v>
      </c>
      <c r="K1565" s="77" t="str">
        <f>IFERROR(VLOOKUP(DESPESAS[[#This Row],[Plano de Contas]],BASE!$B$3:$H$119,5,FALSE),"")</f>
        <v>FINANCEIRO</v>
      </c>
      <c r="L1565" s="77">
        <f>IFERROR(VLOOKUP(DESPESAS[[#This Row],[Plano de Contas]],BASE!$B$3:$H$119,6,FALSE),"")</f>
        <v>0</v>
      </c>
      <c r="M1565" s="77" t="str">
        <f>VLOOKUP(DESPESAS[[#This Row],[Plano de Contas]],BASE!$B$3:$H$119,7,FALSE)</f>
        <v>LETÍCIA</v>
      </c>
    </row>
    <row r="1566" spans="1:13" x14ac:dyDescent="0.25">
      <c r="A1566" s="74">
        <v>198255</v>
      </c>
      <c r="B1566" s="75" t="s">
        <v>232</v>
      </c>
      <c r="C1566" s="75" t="s">
        <v>2204</v>
      </c>
      <c r="D1566" s="76">
        <v>46091</v>
      </c>
      <c r="E1566" s="75" t="s">
        <v>540</v>
      </c>
      <c r="F1566" s="74">
        <v>4718</v>
      </c>
      <c r="G1566" s="75" t="s">
        <v>2203</v>
      </c>
      <c r="H1566" s="77" t="str">
        <f>VLOOKUP(DESPESAS[[#This Row],[Plano de Contas]],BASE!$B$3:$D$119,3,FALSE)</f>
        <v>Curadoria</v>
      </c>
      <c r="I1566" s="77" t="str">
        <f>IFERROR(VLOOKUP(DESPESAS[[#This Row],[Fornecedor]],Tabela2[],2,FALSE),"")</f>
        <v/>
      </c>
      <c r="J1566" s="77" t="str">
        <f>IFERROR(VLOOKUP(DESPESAS[[#This Row],[Plano de Contas]],BASE!$B$3:$F$119,4,FALSE),"")</f>
        <v>7 - SERVIÇOS DE TERCEIROS</v>
      </c>
      <c r="K1566" s="77" t="str">
        <f>IFERROR(VLOOKUP(DESPESAS[[#This Row],[Plano de Contas]],BASE!$B$3:$H$119,5,FALSE),"")</f>
        <v>FINANCEIRO</v>
      </c>
      <c r="L1566" s="77">
        <f>IFERROR(VLOOKUP(DESPESAS[[#This Row],[Plano de Contas]],BASE!$B$3:$H$119,6,FALSE),"")</f>
        <v>0</v>
      </c>
      <c r="M1566" s="77" t="str">
        <f>VLOOKUP(DESPESAS[[#This Row],[Plano de Contas]],BASE!$B$3:$H$119,7,FALSE)</f>
        <v>LETÍCIA</v>
      </c>
    </row>
    <row r="1567" spans="1:13" x14ac:dyDescent="0.25">
      <c r="A1567" s="74">
        <v>198256</v>
      </c>
      <c r="B1567" s="75" t="s">
        <v>232</v>
      </c>
      <c r="C1567" s="75" t="s">
        <v>2204</v>
      </c>
      <c r="D1567" s="76">
        <v>46106</v>
      </c>
      <c r="E1567" s="75" t="s">
        <v>540</v>
      </c>
      <c r="F1567" s="74">
        <v>4718</v>
      </c>
      <c r="G1567" s="75" t="s">
        <v>2203</v>
      </c>
      <c r="H1567" s="77" t="str">
        <f>VLOOKUP(DESPESAS[[#This Row],[Plano de Contas]],BASE!$B$3:$D$119,3,FALSE)</f>
        <v>Curadoria</v>
      </c>
      <c r="I1567" s="77" t="str">
        <f>IFERROR(VLOOKUP(DESPESAS[[#This Row],[Fornecedor]],Tabela2[],2,FALSE),"")</f>
        <v/>
      </c>
      <c r="J1567" s="77" t="str">
        <f>IFERROR(VLOOKUP(DESPESAS[[#This Row],[Plano de Contas]],BASE!$B$3:$F$119,4,FALSE),"")</f>
        <v>7 - SERVIÇOS DE TERCEIROS</v>
      </c>
      <c r="K1567" s="77" t="str">
        <f>IFERROR(VLOOKUP(DESPESAS[[#This Row],[Plano de Contas]],BASE!$B$3:$H$119,5,FALSE),"")</f>
        <v>FINANCEIRO</v>
      </c>
      <c r="L1567" s="77">
        <f>IFERROR(VLOOKUP(DESPESAS[[#This Row],[Plano de Contas]],BASE!$B$3:$H$119,6,FALSE),"")</f>
        <v>0</v>
      </c>
      <c r="M1567" s="77" t="str">
        <f>VLOOKUP(DESPESAS[[#This Row],[Plano de Contas]],BASE!$B$3:$H$119,7,FALSE)</f>
        <v>LETÍCIA</v>
      </c>
    </row>
    <row r="1568" spans="1:13" x14ac:dyDescent="0.25">
      <c r="A1568" s="74">
        <v>198257</v>
      </c>
      <c r="B1568" s="75" t="s">
        <v>232</v>
      </c>
      <c r="C1568" s="75" t="s">
        <v>2204</v>
      </c>
      <c r="D1568" s="76">
        <v>46122</v>
      </c>
      <c r="E1568" s="75" t="s">
        <v>540</v>
      </c>
      <c r="F1568" s="74">
        <v>4718</v>
      </c>
      <c r="G1568" s="75" t="s">
        <v>2203</v>
      </c>
      <c r="H1568" s="77" t="str">
        <f>VLOOKUP(DESPESAS[[#This Row],[Plano de Contas]],BASE!$B$3:$D$119,3,FALSE)</f>
        <v>Curadoria</v>
      </c>
      <c r="I1568" s="77" t="str">
        <f>IFERROR(VLOOKUP(DESPESAS[[#This Row],[Fornecedor]],Tabela2[],2,FALSE),"")</f>
        <v/>
      </c>
      <c r="J1568" s="77" t="str">
        <f>IFERROR(VLOOKUP(DESPESAS[[#This Row],[Plano de Contas]],BASE!$B$3:$F$119,4,FALSE),"")</f>
        <v>7 - SERVIÇOS DE TERCEIROS</v>
      </c>
      <c r="K1568" s="77" t="str">
        <f>IFERROR(VLOOKUP(DESPESAS[[#This Row],[Plano de Contas]],BASE!$B$3:$H$119,5,FALSE),"")</f>
        <v>FINANCEIRO</v>
      </c>
      <c r="L1568" s="77">
        <f>IFERROR(VLOOKUP(DESPESAS[[#This Row],[Plano de Contas]],BASE!$B$3:$H$119,6,FALSE),"")</f>
        <v>0</v>
      </c>
      <c r="M1568" s="77" t="str">
        <f>VLOOKUP(DESPESAS[[#This Row],[Plano de Contas]],BASE!$B$3:$H$119,7,FALSE)</f>
        <v>LETÍCIA</v>
      </c>
    </row>
    <row r="1569" spans="1:13" x14ac:dyDescent="0.25">
      <c r="A1569" s="74">
        <v>198258</v>
      </c>
      <c r="B1569" s="75" t="s">
        <v>232</v>
      </c>
      <c r="C1569" s="75" t="s">
        <v>2204</v>
      </c>
      <c r="D1569" s="76">
        <v>46137</v>
      </c>
      <c r="E1569" s="75" t="s">
        <v>540</v>
      </c>
      <c r="F1569" s="74">
        <v>4718</v>
      </c>
      <c r="G1569" s="75" t="s">
        <v>2203</v>
      </c>
      <c r="H1569" s="77" t="str">
        <f>VLOOKUP(DESPESAS[[#This Row],[Plano de Contas]],BASE!$B$3:$D$119,3,FALSE)</f>
        <v>Curadoria</v>
      </c>
      <c r="I1569" s="77" t="str">
        <f>IFERROR(VLOOKUP(DESPESAS[[#This Row],[Fornecedor]],Tabela2[],2,FALSE),"")</f>
        <v/>
      </c>
      <c r="J1569" s="77" t="str">
        <f>IFERROR(VLOOKUP(DESPESAS[[#This Row],[Plano de Contas]],BASE!$B$3:$F$119,4,FALSE),"")</f>
        <v>7 - SERVIÇOS DE TERCEIROS</v>
      </c>
      <c r="K1569" s="77" t="str">
        <f>IFERROR(VLOOKUP(DESPESAS[[#This Row],[Plano de Contas]],BASE!$B$3:$H$119,5,FALSE),"")</f>
        <v>FINANCEIRO</v>
      </c>
      <c r="L1569" s="77">
        <f>IFERROR(VLOOKUP(DESPESAS[[#This Row],[Plano de Contas]],BASE!$B$3:$H$119,6,FALSE),"")</f>
        <v>0</v>
      </c>
      <c r="M1569" s="77" t="str">
        <f>VLOOKUP(DESPESAS[[#This Row],[Plano de Contas]],BASE!$B$3:$H$119,7,FALSE)</f>
        <v>LETÍCIA</v>
      </c>
    </row>
    <row r="1570" spans="1:13" x14ac:dyDescent="0.25">
      <c r="A1570" s="74">
        <v>198259</v>
      </c>
      <c r="B1570" s="75" t="s">
        <v>232</v>
      </c>
      <c r="C1570" s="75" t="s">
        <v>2204</v>
      </c>
      <c r="D1570" s="76">
        <v>46152</v>
      </c>
      <c r="E1570" s="75" t="s">
        <v>540</v>
      </c>
      <c r="F1570" s="74">
        <v>4718</v>
      </c>
      <c r="G1570" s="75" t="s">
        <v>2203</v>
      </c>
      <c r="H1570" s="77" t="str">
        <f>VLOOKUP(DESPESAS[[#This Row],[Plano de Contas]],BASE!$B$3:$D$119,3,FALSE)</f>
        <v>Curadoria</v>
      </c>
      <c r="I1570" s="77" t="str">
        <f>IFERROR(VLOOKUP(DESPESAS[[#This Row],[Fornecedor]],Tabela2[],2,FALSE),"")</f>
        <v/>
      </c>
      <c r="J1570" s="77" t="str">
        <f>IFERROR(VLOOKUP(DESPESAS[[#This Row],[Plano de Contas]],BASE!$B$3:$F$119,4,FALSE),"")</f>
        <v>7 - SERVIÇOS DE TERCEIROS</v>
      </c>
      <c r="K1570" s="77" t="str">
        <f>IFERROR(VLOOKUP(DESPESAS[[#This Row],[Plano de Contas]],BASE!$B$3:$H$119,5,FALSE),"")</f>
        <v>FINANCEIRO</v>
      </c>
      <c r="L1570" s="77">
        <f>IFERROR(VLOOKUP(DESPESAS[[#This Row],[Plano de Contas]],BASE!$B$3:$H$119,6,FALSE),"")</f>
        <v>0</v>
      </c>
      <c r="M1570" s="77" t="str">
        <f>VLOOKUP(DESPESAS[[#This Row],[Plano de Contas]],BASE!$B$3:$H$119,7,FALSE)</f>
        <v>LETÍCIA</v>
      </c>
    </row>
    <row r="1571" spans="1:13" x14ac:dyDescent="0.25">
      <c r="A1571" s="74">
        <v>198277</v>
      </c>
      <c r="B1571" s="75" t="s">
        <v>221</v>
      </c>
      <c r="C1571" s="75" t="s">
        <v>2202</v>
      </c>
      <c r="D1571" s="76">
        <v>46063</v>
      </c>
      <c r="E1571" s="75" t="s">
        <v>242</v>
      </c>
      <c r="F1571" s="74">
        <v>108.66</v>
      </c>
      <c r="G1571" s="75" t="s">
        <v>1318</v>
      </c>
      <c r="H1571" s="77" t="str">
        <f>VLOOKUP(DESPESAS[[#This Row],[Plano de Contas]],BASE!$B$3:$D$119,3,FALSE)</f>
        <v>Feiras e Eventos</v>
      </c>
      <c r="I1571" s="77" t="str">
        <f>IFERROR(VLOOKUP(DESPESAS[[#This Row],[Fornecedor]],Tabela2[],2,FALSE),"")</f>
        <v/>
      </c>
      <c r="J1571" s="77" t="str">
        <f>IFERROR(VLOOKUP(DESPESAS[[#This Row],[Plano de Contas]],BASE!$B$3:$F$119,4,FALSE),"")</f>
        <v>6 - DESPESA COM VENDAS</v>
      </c>
      <c r="K1571" s="77" t="str">
        <f>IFERROR(VLOOKUP(DESPESAS[[#This Row],[Plano de Contas]],BASE!$B$3:$H$119,5,FALSE),"")</f>
        <v>COMERCIAL</v>
      </c>
      <c r="L1571" s="77">
        <f>IFERROR(VLOOKUP(DESPESAS[[#This Row],[Plano de Contas]],BASE!$B$3:$H$119,6,FALSE),"")</f>
        <v>0</v>
      </c>
      <c r="M1571" s="77" t="str">
        <f>VLOOKUP(DESPESAS[[#This Row],[Plano de Contas]],BASE!$B$3:$H$119,7,FALSE)</f>
        <v>THAIS</v>
      </c>
    </row>
    <row r="1572" spans="1:13" x14ac:dyDescent="0.25">
      <c r="A1572" s="74">
        <v>198280</v>
      </c>
      <c r="B1572" s="75" t="s">
        <v>221</v>
      </c>
      <c r="C1572" s="75" t="s">
        <v>1898</v>
      </c>
      <c r="D1572" s="76">
        <v>46063</v>
      </c>
      <c r="E1572" s="75" t="s">
        <v>753</v>
      </c>
      <c r="F1572" s="74">
        <v>1117.25</v>
      </c>
      <c r="G1572" s="75" t="s">
        <v>751</v>
      </c>
      <c r="H1572" s="77" t="str">
        <f>VLOOKUP(DESPESAS[[#This Row],[Plano de Contas]],BASE!$B$3:$D$119,3,FALSE)</f>
        <v>Comissões sobre Vendas Interno</v>
      </c>
      <c r="I1572" s="77" t="str">
        <f>IFERROR(VLOOKUP(DESPESAS[[#This Row],[Fornecedor]],Tabela2[],2,FALSE),"")</f>
        <v/>
      </c>
      <c r="J1572" s="77" t="str">
        <f>IFERROR(VLOOKUP(DESPESAS[[#This Row],[Plano de Contas]],BASE!$B$3:$F$119,4,FALSE),"")</f>
        <v>6 - DESPESA COM VENDAS</v>
      </c>
      <c r="K1572" s="77" t="str">
        <f>IFERROR(VLOOKUP(DESPESAS[[#This Row],[Plano de Contas]],BASE!$B$3:$H$119,5,FALSE),"")</f>
        <v>COMERCIAL</v>
      </c>
      <c r="L1572" s="77">
        <f>IFERROR(VLOOKUP(DESPESAS[[#This Row],[Plano de Contas]],BASE!$B$3:$H$119,6,FALSE),"")</f>
        <v>0</v>
      </c>
      <c r="M1572" s="77" t="str">
        <f>VLOOKUP(DESPESAS[[#This Row],[Plano de Contas]],BASE!$B$3:$H$119,7,FALSE)</f>
        <v>LETÍCIA</v>
      </c>
    </row>
    <row r="1573" spans="1:13" x14ac:dyDescent="0.25">
      <c r="A1573" s="74">
        <v>198281</v>
      </c>
      <c r="B1573" s="75" t="s">
        <v>221</v>
      </c>
      <c r="C1573" s="75" t="s">
        <v>1898</v>
      </c>
      <c r="D1573" s="76">
        <v>46063</v>
      </c>
      <c r="E1573" s="75" t="s">
        <v>752</v>
      </c>
      <c r="F1573" s="74">
        <v>3699.15</v>
      </c>
      <c r="G1573" s="75" t="s">
        <v>751</v>
      </c>
      <c r="H1573" s="77" t="str">
        <f>VLOOKUP(DESPESAS[[#This Row],[Plano de Contas]],BASE!$B$3:$D$119,3,FALSE)</f>
        <v>Comissões sobre Vendas Interno</v>
      </c>
      <c r="I1573" s="77" t="str">
        <f>IFERROR(VLOOKUP(DESPESAS[[#This Row],[Fornecedor]],Tabela2[],2,FALSE),"")</f>
        <v/>
      </c>
      <c r="J1573" s="77" t="str">
        <f>IFERROR(VLOOKUP(DESPESAS[[#This Row],[Plano de Contas]],BASE!$B$3:$F$119,4,FALSE),"")</f>
        <v>6 - DESPESA COM VENDAS</v>
      </c>
      <c r="K1573" s="77" t="str">
        <f>IFERROR(VLOOKUP(DESPESAS[[#This Row],[Plano de Contas]],BASE!$B$3:$H$119,5,FALSE),"")</f>
        <v>COMERCIAL</v>
      </c>
      <c r="L1573" s="77">
        <f>IFERROR(VLOOKUP(DESPESAS[[#This Row],[Plano de Contas]],BASE!$B$3:$H$119,6,FALSE),"")</f>
        <v>0</v>
      </c>
      <c r="M1573" s="77" t="str">
        <f>VLOOKUP(DESPESAS[[#This Row],[Plano de Contas]],BASE!$B$3:$H$119,7,FALSE)</f>
        <v>LETÍCIA</v>
      </c>
    </row>
    <row r="1574" spans="1:13" x14ac:dyDescent="0.25">
      <c r="A1574" s="74">
        <v>198282</v>
      </c>
      <c r="B1574" s="75" t="s">
        <v>232</v>
      </c>
      <c r="C1574" s="75" t="s">
        <v>278</v>
      </c>
      <c r="D1574" s="76">
        <v>46063</v>
      </c>
      <c r="E1574" s="75" t="s">
        <v>895</v>
      </c>
      <c r="F1574" s="74">
        <v>1115.8599999999999</v>
      </c>
      <c r="G1574" s="75" t="s">
        <v>276</v>
      </c>
      <c r="H1574" s="77" t="str">
        <f>VLOOKUP(DESPESAS[[#This Row],[Plano de Contas]],BASE!$B$3:$D$119,3,FALSE)</f>
        <v>Férias MOD</v>
      </c>
      <c r="I1574" s="77" t="str">
        <f>IFERROR(VLOOKUP(DESPESAS[[#This Row],[Fornecedor]],Tabela2[],2,FALSE),"")</f>
        <v/>
      </c>
      <c r="J1574" s="77" t="str">
        <f>IFERROR(VLOOKUP(DESPESAS[[#This Row],[Plano de Contas]],BASE!$B$3:$F$119,4,FALSE),"")</f>
        <v>2 - CUSTOS DIRETOS</v>
      </c>
      <c r="K1574" s="77" t="str">
        <f>IFERROR(VLOOKUP(DESPESAS[[#This Row],[Plano de Contas]],BASE!$B$3:$H$119,5,FALSE),"")</f>
        <v>DH</v>
      </c>
      <c r="L1574" s="77" t="str">
        <f>IFERROR(VLOOKUP(DESPESAS[[#This Row],[Plano de Contas]],BASE!$B$3:$H$119,6,FALSE),"")</f>
        <v>CUSTO MÃO DE OBRA DIRETA</v>
      </c>
      <c r="M1574" s="77" t="str">
        <f>VLOOKUP(DESPESAS[[#This Row],[Plano de Contas]],BASE!$B$3:$H$119,7,FALSE)</f>
        <v>RAFAEL</v>
      </c>
    </row>
    <row r="1575" spans="1:13" x14ac:dyDescent="0.25">
      <c r="A1575" s="74">
        <v>198283</v>
      </c>
      <c r="B1575" s="75" t="s">
        <v>221</v>
      </c>
      <c r="C1575" s="75" t="s">
        <v>2201</v>
      </c>
      <c r="D1575" s="76">
        <v>46063</v>
      </c>
      <c r="E1575" s="75" t="s">
        <v>219</v>
      </c>
      <c r="F1575" s="74">
        <v>210</v>
      </c>
      <c r="G1575" s="75" t="s">
        <v>218</v>
      </c>
      <c r="H1575" s="77" t="str">
        <f>VLOOKUP(DESPESAS[[#This Row],[Plano de Contas]],BASE!$B$3:$D$119,3,FALSE)</f>
        <v>Manutenção de Equipamentos (Prod)</v>
      </c>
      <c r="I1575" s="77" t="str">
        <f>IFERROR(VLOOKUP(DESPESAS[[#This Row],[Fornecedor]],Tabela2[],2,FALSE),"")</f>
        <v>MAQUINAS DE COSTURA</v>
      </c>
      <c r="J1575" s="77" t="str">
        <f>IFERROR(VLOOKUP(DESPESAS[[#This Row],[Plano de Contas]],BASE!$B$3:$F$119,4,FALSE),"")</f>
        <v>3 - CUSTOS INDIRETOS</v>
      </c>
      <c r="K1575" s="77" t="str">
        <f>IFERROR(VLOOKUP(DESPESAS[[#This Row],[Plano de Contas]],BASE!$B$3:$H$119,5,FALSE),"")</f>
        <v>MANUTENÇÃO / TI</v>
      </c>
      <c r="L1575" s="77">
        <f>IFERROR(VLOOKUP(DESPESAS[[#This Row],[Plano de Contas]],BASE!$B$3:$H$119,6,FALSE),"")</f>
        <v>0</v>
      </c>
      <c r="M1575" s="77" t="str">
        <f>VLOOKUP(DESPESAS[[#This Row],[Plano de Contas]],BASE!$B$3:$H$119,7,FALSE)</f>
        <v>RAFAEL</v>
      </c>
    </row>
    <row r="1576" spans="1:13" x14ac:dyDescent="0.25">
      <c r="A1576" s="74">
        <v>198284</v>
      </c>
      <c r="B1576" s="75" t="s">
        <v>221</v>
      </c>
      <c r="C1576" s="75" t="s">
        <v>2200</v>
      </c>
      <c r="D1576" s="76">
        <v>46063</v>
      </c>
      <c r="E1576" s="75" t="s">
        <v>317</v>
      </c>
      <c r="F1576" s="74">
        <v>60</v>
      </c>
      <c r="G1576" s="75" t="s">
        <v>1037</v>
      </c>
      <c r="H1576" s="77" t="str">
        <f>VLOOKUP(DESPESAS[[#This Row],[Plano de Contas]],BASE!$B$3:$D$119,3,FALSE)</f>
        <v>Construções e Reformas</v>
      </c>
      <c r="I1576" s="77" t="str">
        <f>IFERROR(VLOOKUP(DESPESAS[[#This Row],[Fornecedor]],Tabela2[],2,FALSE),"")</f>
        <v/>
      </c>
      <c r="J1576" s="77" t="str">
        <f>IFERROR(VLOOKUP(DESPESAS[[#This Row],[Plano de Contas]],BASE!$B$3:$F$119,4,FALSE),"")</f>
        <v>9 - INVESTIMENTOS</v>
      </c>
      <c r="K1576" s="77" t="str">
        <f>IFERROR(VLOOKUP(DESPESAS[[#This Row],[Plano de Contas]],BASE!$B$3:$H$119,5,FALSE),"")</f>
        <v>MANUTENÇÃO / TI</v>
      </c>
      <c r="L1576" s="77">
        <f>IFERROR(VLOOKUP(DESPESAS[[#This Row],[Plano de Contas]],BASE!$B$3:$H$119,6,FALSE),"")</f>
        <v>0</v>
      </c>
      <c r="M1576" s="77" t="str">
        <f>VLOOKUP(DESPESAS[[#This Row],[Plano de Contas]],BASE!$B$3:$H$119,7,FALSE)</f>
        <v>FÁBIO</v>
      </c>
    </row>
    <row r="1577" spans="1:13" x14ac:dyDescent="0.25">
      <c r="A1577" s="74">
        <v>198287</v>
      </c>
      <c r="B1577" s="75" t="s">
        <v>221</v>
      </c>
      <c r="C1577" s="75" t="s">
        <v>2199</v>
      </c>
      <c r="D1577" s="76">
        <v>46063</v>
      </c>
      <c r="E1577" s="75" t="s">
        <v>631</v>
      </c>
      <c r="F1577" s="74">
        <v>75</v>
      </c>
      <c r="G1577" s="75" t="s">
        <v>2198</v>
      </c>
      <c r="H1577" s="77" t="str">
        <f>VLOOKUP(DESPESAS[[#This Row],[Plano de Contas]],BASE!$B$3:$D$119,3,FALSE)</f>
        <v>Assistência Médica (Adm)</v>
      </c>
      <c r="I1577" s="77" t="str">
        <f>IFERROR(VLOOKUP(DESPESAS[[#This Row],[Fornecedor]],Tabela2[],2,FALSE),"")</f>
        <v/>
      </c>
      <c r="J1577" s="77" t="str">
        <f>IFERROR(VLOOKUP(DESPESAS[[#This Row],[Plano de Contas]],BASE!$B$3:$F$119,4,FALSE),"")</f>
        <v>4 - GASTOS COM PESSOAL</v>
      </c>
      <c r="K1577" s="77" t="str">
        <f>IFERROR(VLOOKUP(DESPESAS[[#This Row],[Plano de Contas]],BASE!$B$3:$H$119,5,FALSE),"")</f>
        <v>DH</v>
      </c>
      <c r="L1577" s="77">
        <f>IFERROR(VLOOKUP(DESPESAS[[#This Row],[Plano de Contas]],BASE!$B$3:$H$119,6,FALSE),"")</f>
        <v>0</v>
      </c>
      <c r="M1577" s="77" t="str">
        <f>VLOOKUP(DESPESAS[[#This Row],[Plano de Contas]],BASE!$B$3:$H$119,7,FALSE)</f>
        <v>RAFAEL</v>
      </c>
    </row>
    <row r="1578" spans="1:13" x14ac:dyDescent="0.25">
      <c r="A1578" s="74">
        <v>198288</v>
      </c>
      <c r="B1578" s="75" t="s">
        <v>232</v>
      </c>
      <c r="C1578" s="75" t="s">
        <v>2197</v>
      </c>
      <c r="D1578" s="76">
        <v>46063</v>
      </c>
      <c r="E1578" s="75" t="s">
        <v>230</v>
      </c>
      <c r="F1578" s="74">
        <v>614.80999999999995</v>
      </c>
      <c r="G1578" s="75" t="s">
        <v>251</v>
      </c>
      <c r="H1578" s="77" t="str">
        <f>VLOOKUP(DESPESAS[[#This Row],[Plano de Contas]],BASE!$B$3:$D$119,3,FALSE)</f>
        <v>Juros Pagos - Antecipação de Crédito</v>
      </c>
      <c r="I1578" s="77" t="str">
        <f>IFERROR(VLOOKUP(DESPESAS[[#This Row],[Fornecedor]],Tabela2[],2,FALSE),"")</f>
        <v/>
      </c>
      <c r="J1578" s="77" t="str">
        <f>IFERROR(VLOOKUP(DESPESAS[[#This Row],[Plano de Contas]],BASE!$B$3:$F$119,4,FALSE),"")</f>
        <v>8 - DESPESAS FINANCEIRAS</v>
      </c>
      <c r="K1578" s="77" t="str">
        <f>IFERROR(VLOOKUP(DESPESAS[[#This Row],[Plano de Contas]],BASE!$B$3:$H$119,5,FALSE),"")</f>
        <v>FINANCEIRO</v>
      </c>
      <c r="L1578" s="77">
        <f>IFERROR(VLOOKUP(DESPESAS[[#This Row],[Plano de Contas]],BASE!$B$3:$H$119,6,FALSE),"")</f>
        <v>0</v>
      </c>
      <c r="M1578" s="77" t="str">
        <f>VLOOKUP(DESPESAS[[#This Row],[Plano de Contas]],BASE!$B$3:$H$119,7,FALSE)</f>
        <v>LETÍCIA</v>
      </c>
    </row>
    <row r="1579" spans="1:13" x14ac:dyDescent="0.25">
      <c r="A1579" s="74">
        <v>198289</v>
      </c>
      <c r="B1579" s="75" t="s">
        <v>232</v>
      </c>
      <c r="C1579" s="75" t="s">
        <v>2196</v>
      </c>
      <c r="D1579" s="76">
        <v>46063</v>
      </c>
      <c r="E1579" s="75" t="s">
        <v>230</v>
      </c>
      <c r="F1579" s="74">
        <v>100.32</v>
      </c>
      <c r="G1579" s="75" t="s">
        <v>229</v>
      </c>
      <c r="H1579" s="77" t="str">
        <f>VLOOKUP(DESPESAS[[#This Row],[Plano de Contas]],BASE!$B$3:$D$119,3,FALSE)</f>
        <v>Despesas Bancarias</v>
      </c>
      <c r="I1579" s="77" t="str">
        <f>IFERROR(VLOOKUP(DESPESAS[[#This Row],[Fornecedor]],Tabela2[],2,FALSE),"")</f>
        <v/>
      </c>
      <c r="J1579" s="77" t="str">
        <f>IFERROR(VLOOKUP(DESPESAS[[#This Row],[Plano de Contas]],BASE!$B$3:$F$119,4,FALSE),"")</f>
        <v>8 - DESPESAS FINANCEIRAS</v>
      </c>
      <c r="K1579" s="77" t="str">
        <f>IFERROR(VLOOKUP(DESPESAS[[#This Row],[Plano de Contas]],BASE!$B$3:$H$119,5,FALSE),"")</f>
        <v>FINANCEIRO</v>
      </c>
      <c r="L1579" s="77">
        <f>IFERROR(VLOOKUP(DESPESAS[[#This Row],[Plano de Contas]],BASE!$B$3:$H$119,6,FALSE),"")</f>
        <v>0</v>
      </c>
      <c r="M1579" s="77" t="str">
        <f>VLOOKUP(DESPESAS[[#This Row],[Plano de Contas]],BASE!$B$3:$H$119,7,FALSE)</f>
        <v>LETÍCIA</v>
      </c>
    </row>
    <row r="1580" spans="1:13" x14ac:dyDescent="0.25">
      <c r="A1580" s="74">
        <v>198290</v>
      </c>
      <c r="B1580" s="75" t="s">
        <v>232</v>
      </c>
      <c r="C1580" s="75" t="s">
        <v>2195</v>
      </c>
      <c r="D1580" s="76">
        <v>46063</v>
      </c>
      <c r="E1580" s="75" t="s">
        <v>230</v>
      </c>
      <c r="F1580" s="74">
        <v>92.85</v>
      </c>
      <c r="G1580" s="75" t="s">
        <v>229</v>
      </c>
      <c r="H1580" s="77" t="str">
        <f>VLOOKUP(DESPESAS[[#This Row],[Plano de Contas]],BASE!$B$3:$D$119,3,FALSE)</f>
        <v>Despesas Bancarias</v>
      </c>
      <c r="I1580" s="77" t="str">
        <f>IFERROR(VLOOKUP(DESPESAS[[#This Row],[Fornecedor]],Tabela2[],2,FALSE),"")</f>
        <v/>
      </c>
      <c r="J1580" s="77" t="str">
        <f>IFERROR(VLOOKUP(DESPESAS[[#This Row],[Plano de Contas]],BASE!$B$3:$F$119,4,FALSE),"")</f>
        <v>8 - DESPESAS FINANCEIRAS</v>
      </c>
      <c r="K1580" s="77" t="str">
        <f>IFERROR(VLOOKUP(DESPESAS[[#This Row],[Plano de Contas]],BASE!$B$3:$H$119,5,FALSE),"")</f>
        <v>FINANCEIRO</v>
      </c>
      <c r="L1580" s="77">
        <f>IFERROR(VLOOKUP(DESPESAS[[#This Row],[Plano de Contas]],BASE!$B$3:$H$119,6,FALSE),"")</f>
        <v>0</v>
      </c>
      <c r="M1580" s="77" t="str">
        <f>VLOOKUP(DESPESAS[[#This Row],[Plano de Contas]],BASE!$B$3:$H$119,7,FALSE)</f>
        <v>LETÍCIA</v>
      </c>
    </row>
    <row r="1581" spans="1:13" x14ac:dyDescent="0.25">
      <c r="A1581" s="74">
        <v>198291</v>
      </c>
      <c r="B1581" s="75" t="s">
        <v>232</v>
      </c>
      <c r="C1581" s="75" t="s">
        <v>2194</v>
      </c>
      <c r="D1581" s="76">
        <v>46055</v>
      </c>
      <c r="E1581" s="75" t="s">
        <v>340</v>
      </c>
      <c r="F1581" s="74">
        <v>2000</v>
      </c>
      <c r="G1581" s="75" t="s">
        <v>326</v>
      </c>
      <c r="H1581" s="77" t="str">
        <f>VLOOKUP(DESPESAS[[#This Row],[Plano de Contas]],BASE!$B$3:$D$119,3,FALSE)</f>
        <v>Frete sobre Compras</v>
      </c>
      <c r="I1581" s="77" t="str">
        <f>IFERROR(VLOOKUP(DESPESAS[[#This Row],[Fornecedor]],Tabela2[],2,FALSE),"")</f>
        <v/>
      </c>
      <c r="J1581" s="77" t="str">
        <f>IFERROR(VLOOKUP(DESPESAS[[#This Row],[Plano de Contas]],BASE!$B$3:$F$119,4,FALSE),"")</f>
        <v>1 - CPV</v>
      </c>
      <c r="K1581" s="77" t="str">
        <f>IFERROR(VLOOKUP(DESPESAS[[#This Row],[Plano de Contas]],BASE!$B$3:$H$119,5,FALSE),"")</f>
        <v>COMPRAS</v>
      </c>
      <c r="L1581" s="77">
        <f>IFERROR(VLOOKUP(DESPESAS[[#This Row],[Plano de Contas]],BASE!$B$3:$H$119,6,FALSE),"")</f>
        <v>0</v>
      </c>
      <c r="M1581" s="77" t="str">
        <f>VLOOKUP(DESPESAS[[#This Row],[Plano de Contas]],BASE!$B$3:$H$119,7,FALSE)</f>
        <v>MYLENA</v>
      </c>
    </row>
    <row r="1582" spans="1:13" x14ac:dyDescent="0.25">
      <c r="A1582" s="74">
        <v>198292</v>
      </c>
      <c r="B1582" s="75" t="s">
        <v>232</v>
      </c>
      <c r="C1582" s="75" t="s">
        <v>2193</v>
      </c>
      <c r="D1582" s="76">
        <v>46063</v>
      </c>
      <c r="E1582" s="75" t="s">
        <v>230</v>
      </c>
      <c r="F1582" s="74">
        <v>18.96</v>
      </c>
      <c r="G1582" s="75" t="s">
        <v>229</v>
      </c>
      <c r="H1582" s="77" t="str">
        <f>VLOOKUP(DESPESAS[[#This Row],[Plano de Contas]],BASE!$B$3:$D$119,3,FALSE)</f>
        <v>Despesas Bancarias</v>
      </c>
      <c r="I1582" s="77" t="str">
        <f>IFERROR(VLOOKUP(DESPESAS[[#This Row],[Fornecedor]],Tabela2[],2,FALSE),"")</f>
        <v/>
      </c>
      <c r="J1582" s="77" t="str">
        <f>IFERROR(VLOOKUP(DESPESAS[[#This Row],[Plano de Contas]],BASE!$B$3:$F$119,4,FALSE),"")</f>
        <v>8 - DESPESAS FINANCEIRAS</v>
      </c>
      <c r="K1582" s="77" t="str">
        <f>IFERROR(VLOOKUP(DESPESAS[[#This Row],[Plano de Contas]],BASE!$B$3:$H$119,5,FALSE),"")</f>
        <v>FINANCEIRO</v>
      </c>
      <c r="L1582" s="77">
        <f>IFERROR(VLOOKUP(DESPESAS[[#This Row],[Plano de Contas]],BASE!$B$3:$H$119,6,FALSE),"")</f>
        <v>0</v>
      </c>
      <c r="M1582" s="77" t="str">
        <f>VLOOKUP(DESPESAS[[#This Row],[Plano de Contas]],BASE!$B$3:$H$119,7,FALSE)</f>
        <v>LETÍCIA</v>
      </c>
    </row>
    <row r="1583" spans="1:13" x14ac:dyDescent="0.25">
      <c r="A1583" s="74">
        <v>198293</v>
      </c>
      <c r="B1583" s="75" t="s">
        <v>232</v>
      </c>
      <c r="C1583" s="75" t="s">
        <v>2192</v>
      </c>
      <c r="D1583" s="76">
        <v>46064</v>
      </c>
      <c r="E1583" s="75" t="s">
        <v>230</v>
      </c>
      <c r="F1583" s="74">
        <v>7.7</v>
      </c>
      <c r="G1583" s="75" t="s">
        <v>229</v>
      </c>
      <c r="H1583" s="77" t="str">
        <f>VLOOKUP(DESPESAS[[#This Row],[Plano de Contas]],BASE!$B$3:$D$119,3,FALSE)</f>
        <v>Despesas Bancarias</v>
      </c>
      <c r="I1583" s="77" t="str">
        <f>IFERROR(VLOOKUP(DESPESAS[[#This Row],[Fornecedor]],Tabela2[],2,FALSE),"")</f>
        <v/>
      </c>
      <c r="J1583" s="77" t="str">
        <f>IFERROR(VLOOKUP(DESPESAS[[#This Row],[Plano de Contas]],BASE!$B$3:$F$119,4,FALSE),"")</f>
        <v>8 - DESPESAS FINANCEIRAS</v>
      </c>
      <c r="K1583" s="77" t="str">
        <f>IFERROR(VLOOKUP(DESPESAS[[#This Row],[Plano de Contas]],BASE!$B$3:$H$119,5,FALSE),"")</f>
        <v>FINANCEIRO</v>
      </c>
      <c r="L1583" s="77">
        <f>IFERROR(VLOOKUP(DESPESAS[[#This Row],[Plano de Contas]],BASE!$B$3:$H$119,6,FALSE),"")</f>
        <v>0</v>
      </c>
      <c r="M1583" s="77" t="str">
        <f>VLOOKUP(DESPESAS[[#This Row],[Plano de Contas]],BASE!$B$3:$H$119,7,FALSE)</f>
        <v>LETÍCIA</v>
      </c>
    </row>
    <row r="1584" spans="1:13" x14ac:dyDescent="0.25">
      <c r="A1584" s="74">
        <v>198294</v>
      </c>
      <c r="B1584" s="75" t="s">
        <v>232</v>
      </c>
      <c r="C1584" s="75" t="s">
        <v>2191</v>
      </c>
      <c r="D1584" s="76">
        <v>46064</v>
      </c>
      <c r="E1584" s="75" t="s">
        <v>230</v>
      </c>
      <c r="F1584" s="74">
        <v>1.58</v>
      </c>
      <c r="G1584" s="75" t="s">
        <v>236</v>
      </c>
      <c r="H1584" s="77" t="str">
        <f>VLOOKUP(DESPESAS[[#This Row],[Plano de Contas]],BASE!$B$3:$D$119,3,FALSE)</f>
        <v>Despesas de Cobranca</v>
      </c>
      <c r="I1584" s="77" t="str">
        <f>IFERROR(VLOOKUP(DESPESAS[[#This Row],[Fornecedor]],Tabela2[],2,FALSE),"")</f>
        <v/>
      </c>
      <c r="J1584" s="77" t="str">
        <f>IFERROR(VLOOKUP(DESPESAS[[#This Row],[Plano de Contas]],BASE!$B$3:$F$119,4,FALSE),"")</f>
        <v>8 - DESPESAS FINANCEIRAS</v>
      </c>
      <c r="K1584" s="77" t="str">
        <f>IFERROR(VLOOKUP(DESPESAS[[#This Row],[Plano de Contas]],BASE!$B$3:$H$119,5,FALSE),"")</f>
        <v>FINANCEIRO</v>
      </c>
      <c r="L1584" s="77">
        <f>IFERROR(VLOOKUP(DESPESAS[[#This Row],[Plano de Contas]],BASE!$B$3:$H$119,6,FALSE),"")</f>
        <v>0</v>
      </c>
      <c r="M1584" s="77" t="str">
        <f>VLOOKUP(DESPESAS[[#This Row],[Plano de Contas]],BASE!$B$3:$H$119,7,FALSE)</f>
        <v>LETÍCIA</v>
      </c>
    </row>
    <row r="1585" spans="1:13" x14ac:dyDescent="0.25">
      <c r="A1585" s="74">
        <v>198295</v>
      </c>
      <c r="B1585" s="75" t="s">
        <v>232</v>
      </c>
      <c r="C1585" s="75" t="s">
        <v>2190</v>
      </c>
      <c r="D1585" s="76">
        <v>46064</v>
      </c>
      <c r="E1585" s="75" t="s">
        <v>230</v>
      </c>
      <c r="F1585" s="74">
        <v>42.66</v>
      </c>
      <c r="G1585" s="75" t="s">
        <v>251</v>
      </c>
      <c r="H1585" s="77" t="str">
        <f>VLOOKUP(DESPESAS[[#This Row],[Plano de Contas]],BASE!$B$3:$D$119,3,FALSE)</f>
        <v>Juros Pagos - Antecipação de Crédito</v>
      </c>
      <c r="I1585" s="77" t="str">
        <f>IFERROR(VLOOKUP(DESPESAS[[#This Row],[Fornecedor]],Tabela2[],2,FALSE),"")</f>
        <v/>
      </c>
      <c r="J1585" s="77" t="str">
        <f>IFERROR(VLOOKUP(DESPESAS[[#This Row],[Plano de Contas]],BASE!$B$3:$F$119,4,FALSE),"")</f>
        <v>8 - DESPESAS FINANCEIRAS</v>
      </c>
      <c r="K1585" s="77" t="str">
        <f>IFERROR(VLOOKUP(DESPESAS[[#This Row],[Plano de Contas]],BASE!$B$3:$H$119,5,FALSE),"")</f>
        <v>FINANCEIRO</v>
      </c>
      <c r="L1585" s="77">
        <f>IFERROR(VLOOKUP(DESPESAS[[#This Row],[Plano de Contas]],BASE!$B$3:$H$119,6,FALSE),"")</f>
        <v>0</v>
      </c>
      <c r="M1585" s="77" t="str">
        <f>VLOOKUP(DESPESAS[[#This Row],[Plano de Contas]],BASE!$B$3:$H$119,7,FALSE)</f>
        <v>LETÍCIA</v>
      </c>
    </row>
    <row r="1586" spans="1:13" x14ac:dyDescent="0.25">
      <c r="A1586" s="74">
        <v>198296</v>
      </c>
      <c r="B1586" s="75" t="s">
        <v>221</v>
      </c>
      <c r="C1586" s="75" t="s">
        <v>2189</v>
      </c>
      <c r="D1586" s="76">
        <v>46064</v>
      </c>
      <c r="E1586" s="75" t="s">
        <v>1951</v>
      </c>
      <c r="F1586" s="74">
        <v>840</v>
      </c>
      <c r="G1586" s="75" t="s">
        <v>218</v>
      </c>
      <c r="H1586" s="77" t="str">
        <f>VLOOKUP(DESPESAS[[#This Row],[Plano de Contas]],BASE!$B$3:$D$119,3,FALSE)</f>
        <v>Manutenção de Equipamentos (Prod)</v>
      </c>
      <c r="I1586" s="77" t="str">
        <f>IFERROR(VLOOKUP(DESPESAS[[#This Row],[Fornecedor]],Tabela2[],2,FALSE),"")</f>
        <v>MAQUINAS DE COSTURA</v>
      </c>
      <c r="J1586" s="77" t="str">
        <f>IFERROR(VLOOKUP(DESPESAS[[#This Row],[Plano de Contas]],BASE!$B$3:$F$119,4,FALSE),"")</f>
        <v>3 - CUSTOS INDIRETOS</v>
      </c>
      <c r="K1586" s="77" t="str">
        <f>IFERROR(VLOOKUP(DESPESAS[[#This Row],[Plano de Contas]],BASE!$B$3:$H$119,5,FALSE),"")</f>
        <v>MANUTENÇÃO / TI</v>
      </c>
      <c r="L1586" s="77">
        <f>IFERROR(VLOOKUP(DESPESAS[[#This Row],[Plano de Contas]],BASE!$B$3:$H$119,6,FALSE),"")</f>
        <v>0</v>
      </c>
      <c r="M1586" s="77" t="str">
        <f>VLOOKUP(DESPESAS[[#This Row],[Plano de Contas]],BASE!$B$3:$H$119,7,FALSE)</f>
        <v>RAFAEL</v>
      </c>
    </row>
    <row r="1587" spans="1:13" x14ac:dyDescent="0.25">
      <c r="A1587" s="74">
        <v>198297</v>
      </c>
      <c r="B1587" s="75" t="s">
        <v>232</v>
      </c>
      <c r="C1587" s="75" t="s">
        <v>2188</v>
      </c>
      <c r="D1587" s="76">
        <v>46063</v>
      </c>
      <c r="E1587" s="75" t="s">
        <v>230</v>
      </c>
      <c r="F1587" s="74">
        <v>0.95</v>
      </c>
      <c r="G1587" s="75" t="s">
        <v>229</v>
      </c>
      <c r="H1587" s="77" t="str">
        <f>VLOOKUP(DESPESAS[[#This Row],[Plano de Contas]],BASE!$B$3:$D$119,3,FALSE)</f>
        <v>Despesas Bancarias</v>
      </c>
      <c r="I1587" s="77" t="str">
        <f>IFERROR(VLOOKUP(DESPESAS[[#This Row],[Fornecedor]],Tabela2[],2,FALSE),"")</f>
        <v/>
      </c>
      <c r="J1587" s="77" t="str">
        <f>IFERROR(VLOOKUP(DESPESAS[[#This Row],[Plano de Contas]],BASE!$B$3:$F$119,4,FALSE),"")</f>
        <v>8 - DESPESAS FINANCEIRAS</v>
      </c>
      <c r="K1587" s="77" t="str">
        <f>IFERROR(VLOOKUP(DESPESAS[[#This Row],[Plano de Contas]],BASE!$B$3:$H$119,5,FALSE),"")</f>
        <v>FINANCEIRO</v>
      </c>
      <c r="L1587" s="77">
        <f>IFERROR(VLOOKUP(DESPESAS[[#This Row],[Plano de Contas]],BASE!$B$3:$H$119,6,FALSE),"")</f>
        <v>0</v>
      </c>
      <c r="M1587" s="77" t="str">
        <f>VLOOKUP(DESPESAS[[#This Row],[Plano de Contas]],BASE!$B$3:$H$119,7,FALSE)</f>
        <v>LETÍCIA</v>
      </c>
    </row>
    <row r="1588" spans="1:13" x14ac:dyDescent="0.25">
      <c r="A1588" s="74">
        <v>198299</v>
      </c>
      <c r="B1588" s="75" t="s">
        <v>232</v>
      </c>
      <c r="C1588" s="75" t="s">
        <v>2187</v>
      </c>
      <c r="D1588" s="76">
        <v>46063</v>
      </c>
      <c r="E1588" s="75" t="s">
        <v>230</v>
      </c>
      <c r="F1588" s="74">
        <v>239.67</v>
      </c>
      <c r="G1588" s="75" t="s">
        <v>229</v>
      </c>
      <c r="H1588" s="77" t="str">
        <f>VLOOKUP(DESPESAS[[#This Row],[Plano de Contas]],BASE!$B$3:$D$119,3,FALSE)</f>
        <v>Despesas Bancarias</v>
      </c>
      <c r="I1588" s="77" t="str">
        <f>IFERROR(VLOOKUP(DESPESAS[[#This Row],[Fornecedor]],Tabela2[],2,FALSE),"")</f>
        <v/>
      </c>
      <c r="J1588" s="77" t="str">
        <f>IFERROR(VLOOKUP(DESPESAS[[#This Row],[Plano de Contas]],BASE!$B$3:$F$119,4,FALSE),"")</f>
        <v>8 - DESPESAS FINANCEIRAS</v>
      </c>
      <c r="K1588" s="77" t="str">
        <f>IFERROR(VLOOKUP(DESPESAS[[#This Row],[Plano de Contas]],BASE!$B$3:$H$119,5,FALSE),"")</f>
        <v>FINANCEIRO</v>
      </c>
      <c r="L1588" s="77">
        <f>IFERROR(VLOOKUP(DESPESAS[[#This Row],[Plano de Contas]],BASE!$B$3:$H$119,6,FALSE),"")</f>
        <v>0</v>
      </c>
      <c r="M1588" s="77" t="str">
        <f>VLOOKUP(DESPESAS[[#This Row],[Plano de Contas]],BASE!$B$3:$H$119,7,FALSE)</f>
        <v>LETÍCIA</v>
      </c>
    </row>
    <row r="1589" spans="1:13" x14ac:dyDescent="0.25">
      <c r="A1589" s="74">
        <v>198300</v>
      </c>
      <c r="B1589" s="75" t="s">
        <v>221</v>
      </c>
      <c r="C1589" s="75" t="s">
        <v>2186</v>
      </c>
      <c r="D1589" s="76">
        <v>46064</v>
      </c>
      <c r="E1589" s="75" t="s">
        <v>287</v>
      </c>
      <c r="F1589" s="74">
        <v>205</v>
      </c>
      <c r="G1589" s="75" t="s">
        <v>247</v>
      </c>
      <c r="H1589" s="77" t="str">
        <f>VLOOKUP(DESPESAS[[#This Row],[Plano de Contas]],BASE!$B$3:$D$119,3,FALSE)</f>
        <v>Manutenção com veiculos</v>
      </c>
      <c r="I1589" s="77" t="str">
        <f>IFERROR(VLOOKUP(DESPESAS[[#This Row],[Fornecedor]],Tabela2[],2,FALSE),"")</f>
        <v/>
      </c>
      <c r="J1589" s="77" t="str">
        <f>IFERROR(VLOOKUP(DESPESAS[[#This Row],[Plano de Contas]],BASE!$B$3:$F$119,4,FALSE),"")</f>
        <v>6 - DESPESA COM VENDAS</v>
      </c>
      <c r="K1589" s="77" t="str">
        <f>IFERROR(VLOOKUP(DESPESAS[[#This Row],[Plano de Contas]],BASE!$B$3:$H$119,5,FALSE),"")</f>
        <v>LOGÍSTICA</v>
      </c>
      <c r="L1589" s="77">
        <f>IFERROR(VLOOKUP(DESPESAS[[#This Row],[Plano de Contas]],BASE!$B$3:$H$119,6,FALSE),"")</f>
        <v>0</v>
      </c>
      <c r="M1589" s="77" t="str">
        <f>VLOOKUP(DESPESAS[[#This Row],[Plano de Contas]],BASE!$B$3:$H$119,7,FALSE)</f>
        <v>MYLENA</v>
      </c>
    </row>
    <row r="1590" spans="1:13" x14ac:dyDescent="0.25">
      <c r="A1590" s="74">
        <v>198301</v>
      </c>
      <c r="B1590" s="75" t="s">
        <v>221</v>
      </c>
      <c r="C1590" s="75" t="s">
        <v>2185</v>
      </c>
      <c r="D1590" s="76">
        <v>46064</v>
      </c>
      <c r="E1590" s="75" t="s">
        <v>287</v>
      </c>
      <c r="F1590" s="74">
        <v>475</v>
      </c>
      <c r="G1590" s="75" t="s">
        <v>247</v>
      </c>
      <c r="H1590" s="77" t="str">
        <f>VLOOKUP(DESPESAS[[#This Row],[Plano de Contas]],BASE!$B$3:$D$119,3,FALSE)</f>
        <v>Manutenção com veiculos</v>
      </c>
      <c r="I1590" s="77" t="str">
        <f>IFERROR(VLOOKUP(DESPESAS[[#This Row],[Fornecedor]],Tabela2[],2,FALSE),"")</f>
        <v/>
      </c>
      <c r="J1590" s="77" t="str">
        <f>IFERROR(VLOOKUP(DESPESAS[[#This Row],[Plano de Contas]],BASE!$B$3:$F$119,4,FALSE),"")</f>
        <v>6 - DESPESA COM VENDAS</v>
      </c>
      <c r="K1590" s="77" t="str">
        <f>IFERROR(VLOOKUP(DESPESAS[[#This Row],[Plano de Contas]],BASE!$B$3:$H$119,5,FALSE),"")</f>
        <v>LOGÍSTICA</v>
      </c>
      <c r="L1590" s="77">
        <f>IFERROR(VLOOKUP(DESPESAS[[#This Row],[Plano de Contas]],BASE!$B$3:$H$119,6,FALSE),"")</f>
        <v>0</v>
      </c>
      <c r="M1590" s="77" t="str">
        <f>VLOOKUP(DESPESAS[[#This Row],[Plano de Contas]],BASE!$B$3:$H$119,7,FALSE)</f>
        <v>MYLENA</v>
      </c>
    </row>
    <row r="1591" spans="1:13" x14ac:dyDescent="0.25">
      <c r="A1591" s="74">
        <v>198302</v>
      </c>
      <c r="B1591" s="75" t="s">
        <v>221</v>
      </c>
      <c r="C1591" s="75" t="s">
        <v>2184</v>
      </c>
      <c r="D1591" s="76">
        <v>46064</v>
      </c>
      <c r="E1591" s="75" t="s">
        <v>245</v>
      </c>
      <c r="F1591" s="74">
        <v>35</v>
      </c>
      <c r="G1591" s="75" t="s">
        <v>247</v>
      </c>
      <c r="H1591" s="77" t="str">
        <f>VLOOKUP(DESPESAS[[#This Row],[Plano de Contas]],BASE!$B$3:$D$119,3,FALSE)</f>
        <v>Manutenção com veiculos</v>
      </c>
      <c r="I1591" s="77" t="str">
        <f>IFERROR(VLOOKUP(DESPESAS[[#This Row],[Fornecedor]],Tabela2[],2,FALSE),"")</f>
        <v>FERRAGENS GERAIS</v>
      </c>
      <c r="J1591" s="77" t="str">
        <f>IFERROR(VLOOKUP(DESPESAS[[#This Row],[Plano de Contas]],BASE!$B$3:$F$119,4,FALSE),"")</f>
        <v>6 - DESPESA COM VENDAS</v>
      </c>
      <c r="K1591" s="77" t="str">
        <f>IFERROR(VLOOKUP(DESPESAS[[#This Row],[Plano de Contas]],BASE!$B$3:$H$119,5,FALSE),"")</f>
        <v>LOGÍSTICA</v>
      </c>
      <c r="L1591" s="77">
        <f>IFERROR(VLOOKUP(DESPESAS[[#This Row],[Plano de Contas]],BASE!$B$3:$H$119,6,FALSE),"")</f>
        <v>0</v>
      </c>
      <c r="M1591" s="77" t="str">
        <f>VLOOKUP(DESPESAS[[#This Row],[Plano de Contas]],BASE!$B$3:$H$119,7,FALSE)</f>
        <v>MYLENA</v>
      </c>
    </row>
    <row r="1592" spans="1:13" x14ac:dyDescent="0.25">
      <c r="A1592" s="74">
        <v>198303</v>
      </c>
      <c r="B1592" s="75" t="s">
        <v>221</v>
      </c>
      <c r="C1592" s="75" t="s">
        <v>2183</v>
      </c>
      <c r="D1592" s="76">
        <v>46064</v>
      </c>
      <c r="E1592" s="75" t="s">
        <v>256</v>
      </c>
      <c r="F1592" s="74">
        <v>1586.08</v>
      </c>
      <c r="G1592" s="75" t="s">
        <v>255</v>
      </c>
      <c r="H1592" s="77" t="str">
        <f>VLOOKUP(DESPESAS[[#This Row],[Plano de Contas]],BASE!$B$3:$D$119,3,FALSE)</f>
        <v>Mostruário de Tecido</v>
      </c>
      <c r="I1592" s="77" t="str">
        <f>IFERROR(VLOOKUP(DESPESAS[[#This Row],[Fornecedor]],Tabela2[],2,FALSE),"")</f>
        <v/>
      </c>
      <c r="J1592" s="77" t="str">
        <f>IFERROR(VLOOKUP(DESPESAS[[#This Row],[Plano de Contas]],BASE!$B$3:$F$119,4,FALSE),"")</f>
        <v>6 - DESPESA COM VENDAS</v>
      </c>
      <c r="K1592" s="77" t="str">
        <f>IFERROR(VLOOKUP(DESPESAS[[#This Row],[Plano de Contas]],BASE!$B$3:$H$119,5,FALSE),"")</f>
        <v>COMERCIAL</v>
      </c>
      <c r="L1592" s="77">
        <f>IFERROR(VLOOKUP(DESPESAS[[#This Row],[Plano de Contas]],BASE!$B$3:$H$119,6,FALSE),"")</f>
        <v>0</v>
      </c>
      <c r="M1592" s="77" t="str">
        <f>VLOOKUP(DESPESAS[[#This Row],[Plano de Contas]],BASE!$B$3:$H$119,7,FALSE)</f>
        <v>LETÍCIA</v>
      </c>
    </row>
    <row r="1593" spans="1:13" x14ac:dyDescent="0.25">
      <c r="A1593" s="74">
        <v>198304</v>
      </c>
      <c r="B1593" s="75" t="s">
        <v>221</v>
      </c>
      <c r="C1593" s="75" t="s">
        <v>2182</v>
      </c>
      <c r="D1593" s="76">
        <v>46064</v>
      </c>
      <c r="E1593" s="75" t="s">
        <v>256</v>
      </c>
      <c r="F1593" s="74">
        <v>8.99</v>
      </c>
      <c r="G1593" s="75" t="s">
        <v>255</v>
      </c>
      <c r="H1593" s="77" t="str">
        <f>VLOOKUP(DESPESAS[[#This Row],[Plano de Contas]],BASE!$B$3:$D$119,3,FALSE)</f>
        <v>Mostruário de Tecido</v>
      </c>
      <c r="I1593" s="77" t="str">
        <f>IFERROR(VLOOKUP(DESPESAS[[#This Row],[Fornecedor]],Tabela2[],2,FALSE),"")</f>
        <v/>
      </c>
      <c r="J1593" s="77" t="str">
        <f>IFERROR(VLOOKUP(DESPESAS[[#This Row],[Plano de Contas]],BASE!$B$3:$F$119,4,FALSE),"")</f>
        <v>6 - DESPESA COM VENDAS</v>
      </c>
      <c r="K1593" s="77" t="str">
        <f>IFERROR(VLOOKUP(DESPESAS[[#This Row],[Plano de Contas]],BASE!$B$3:$H$119,5,FALSE),"")</f>
        <v>COMERCIAL</v>
      </c>
      <c r="L1593" s="77">
        <f>IFERROR(VLOOKUP(DESPESAS[[#This Row],[Plano de Contas]],BASE!$B$3:$H$119,6,FALSE),"")</f>
        <v>0</v>
      </c>
      <c r="M1593" s="77" t="str">
        <f>VLOOKUP(DESPESAS[[#This Row],[Plano de Contas]],BASE!$B$3:$H$119,7,FALSE)</f>
        <v>LETÍCIA</v>
      </c>
    </row>
    <row r="1594" spans="1:13" x14ac:dyDescent="0.25">
      <c r="A1594" s="74">
        <v>198305</v>
      </c>
      <c r="B1594" s="75" t="s">
        <v>221</v>
      </c>
      <c r="C1594" s="75" t="s">
        <v>2181</v>
      </c>
      <c r="D1594" s="76">
        <v>46064</v>
      </c>
      <c r="E1594" s="75" t="s">
        <v>256</v>
      </c>
      <c r="F1594" s="74">
        <v>1.6</v>
      </c>
      <c r="G1594" s="75" t="s">
        <v>255</v>
      </c>
      <c r="H1594" s="77" t="str">
        <f>VLOOKUP(DESPESAS[[#This Row],[Plano de Contas]],BASE!$B$3:$D$119,3,FALSE)</f>
        <v>Mostruário de Tecido</v>
      </c>
      <c r="I1594" s="77" t="str">
        <f>IFERROR(VLOOKUP(DESPESAS[[#This Row],[Fornecedor]],Tabela2[],2,FALSE),"")</f>
        <v/>
      </c>
      <c r="J1594" s="77" t="str">
        <f>IFERROR(VLOOKUP(DESPESAS[[#This Row],[Plano de Contas]],BASE!$B$3:$F$119,4,FALSE),"")</f>
        <v>6 - DESPESA COM VENDAS</v>
      </c>
      <c r="K1594" s="77" t="str">
        <f>IFERROR(VLOOKUP(DESPESAS[[#This Row],[Plano de Contas]],BASE!$B$3:$H$119,5,FALSE),"")</f>
        <v>COMERCIAL</v>
      </c>
      <c r="L1594" s="77">
        <f>IFERROR(VLOOKUP(DESPESAS[[#This Row],[Plano de Contas]],BASE!$B$3:$H$119,6,FALSE),"")</f>
        <v>0</v>
      </c>
      <c r="M1594" s="77" t="str">
        <f>VLOOKUP(DESPESAS[[#This Row],[Plano de Contas]],BASE!$B$3:$H$119,7,FALSE)</f>
        <v>LETÍCIA</v>
      </c>
    </row>
    <row r="1595" spans="1:13" x14ac:dyDescent="0.25">
      <c r="A1595" s="74">
        <v>198306</v>
      </c>
      <c r="B1595" s="75" t="s">
        <v>232</v>
      </c>
      <c r="C1595" s="75" t="s">
        <v>2180</v>
      </c>
      <c r="D1595" s="76">
        <v>46064</v>
      </c>
      <c r="E1595" s="75" t="s">
        <v>260</v>
      </c>
      <c r="F1595" s="74">
        <v>452</v>
      </c>
      <c r="G1595" s="75" t="s">
        <v>588</v>
      </c>
      <c r="H1595" s="77" t="str">
        <f>VLOOKUP(DESPESAS[[#This Row],[Plano de Contas]],BASE!$B$3:$D$119,3,FALSE)</f>
        <v>Maquinas e Equipamentos</v>
      </c>
      <c r="I1595" s="77" t="str">
        <f>IFERROR(VLOOKUP(DESPESAS[[#This Row],[Fornecedor]],Tabela2[],2,FALSE),"")</f>
        <v>PEÇAS DE FERRAMENTAS</v>
      </c>
      <c r="J1595" s="77" t="str">
        <f>IFERROR(VLOOKUP(DESPESAS[[#This Row],[Plano de Contas]],BASE!$B$3:$F$119,4,FALSE),"")</f>
        <v>9 - INVESTIMENTOS</v>
      </c>
      <c r="K1595" s="77" t="str">
        <f>IFERROR(VLOOKUP(DESPESAS[[#This Row],[Plano de Contas]],BASE!$B$3:$H$119,5,FALSE),"")</f>
        <v>MANUTENÇÃO / TI</v>
      </c>
      <c r="L1595" s="77">
        <f>IFERROR(VLOOKUP(DESPESAS[[#This Row],[Plano de Contas]],BASE!$B$3:$H$119,6,FALSE),"")</f>
        <v>0</v>
      </c>
      <c r="M1595" s="77" t="str">
        <f>VLOOKUP(DESPESAS[[#This Row],[Plano de Contas]],BASE!$B$3:$H$119,7,FALSE)</f>
        <v>RAFAEL</v>
      </c>
    </row>
    <row r="1596" spans="1:13" x14ac:dyDescent="0.25">
      <c r="A1596" s="74">
        <v>198307</v>
      </c>
      <c r="B1596" s="75" t="s">
        <v>221</v>
      </c>
      <c r="C1596" s="75" t="s">
        <v>2179</v>
      </c>
      <c r="D1596" s="76">
        <v>46057</v>
      </c>
      <c r="E1596" s="75" t="s">
        <v>242</v>
      </c>
      <c r="F1596" s="74">
        <v>162.69</v>
      </c>
      <c r="G1596" s="75" t="s">
        <v>423</v>
      </c>
      <c r="H1596" s="77" t="str">
        <f>VLOOKUP(DESPESAS[[#This Row],[Plano de Contas]],BASE!$B$3:$D$119,3,FALSE)</f>
        <v>Combustíveis (Adm)</v>
      </c>
      <c r="I1596" s="77" t="str">
        <f>IFERROR(VLOOKUP(DESPESAS[[#This Row],[Fornecedor]],Tabela2[],2,FALSE),"")</f>
        <v/>
      </c>
      <c r="J1596" s="77" t="str">
        <f>IFERROR(VLOOKUP(DESPESAS[[#This Row],[Plano de Contas]],BASE!$B$3:$F$119,4,FALSE),"")</f>
        <v>5 - DESPESAS ADMINISTRATIVAS</v>
      </c>
      <c r="K1596" s="77" t="str">
        <f>IFERROR(VLOOKUP(DESPESAS[[#This Row],[Plano de Contas]],BASE!$B$3:$H$119,5,FALSE),"")</f>
        <v>LOGÍSTICA</v>
      </c>
      <c r="L1596" s="77">
        <f>IFERROR(VLOOKUP(DESPESAS[[#This Row],[Plano de Contas]],BASE!$B$3:$H$119,6,FALSE),"")</f>
        <v>0</v>
      </c>
      <c r="M1596" s="77" t="str">
        <f>VLOOKUP(DESPESAS[[#This Row],[Plano de Contas]],BASE!$B$3:$H$119,7,FALSE)</f>
        <v>LETÍCIA</v>
      </c>
    </row>
    <row r="1597" spans="1:13" x14ac:dyDescent="0.25">
      <c r="A1597" s="74">
        <v>198308</v>
      </c>
      <c r="B1597" s="75" t="s">
        <v>221</v>
      </c>
      <c r="C1597" s="75" t="s">
        <v>2178</v>
      </c>
      <c r="D1597" s="76">
        <v>46064</v>
      </c>
      <c r="E1597" s="75" t="s">
        <v>317</v>
      </c>
      <c r="F1597" s="74">
        <v>330</v>
      </c>
      <c r="G1597" s="75" t="s">
        <v>1037</v>
      </c>
      <c r="H1597" s="77" t="str">
        <f>VLOOKUP(DESPESAS[[#This Row],[Plano de Contas]],BASE!$B$3:$D$119,3,FALSE)</f>
        <v>Construções e Reformas</v>
      </c>
      <c r="I1597" s="77" t="str">
        <f>IFERROR(VLOOKUP(DESPESAS[[#This Row],[Fornecedor]],Tabela2[],2,FALSE),"")</f>
        <v/>
      </c>
      <c r="J1597" s="77" t="str">
        <f>IFERROR(VLOOKUP(DESPESAS[[#This Row],[Plano de Contas]],BASE!$B$3:$F$119,4,FALSE),"")</f>
        <v>9 - INVESTIMENTOS</v>
      </c>
      <c r="K1597" s="77" t="str">
        <f>IFERROR(VLOOKUP(DESPESAS[[#This Row],[Plano de Contas]],BASE!$B$3:$H$119,5,FALSE),"")</f>
        <v>MANUTENÇÃO / TI</v>
      </c>
      <c r="L1597" s="77">
        <f>IFERROR(VLOOKUP(DESPESAS[[#This Row],[Plano de Contas]],BASE!$B$3:$H$119,6,FALSE),"")</f>
        <v>0</v>
      </c>
      <c r="M1597" s="77" t="str">
        <f>VLOOKUP(DESPESAS[[#This Row],[Plano de Contas]],BASE!$B$3:$H$119,7,FALSE)</f>
        <v>FÁBIO</v>
      </c>
    </row>
    <row r="1598" spans="1:13" x14ac:dyDescent="0.25">
      <c r="A1598" s="74">
        <v>198309</v>
      </c>
      <c r="B1598" s="75" t="s">
        <v>232</v>
      </c>
      <c r="C1598" s="75" t="s">
        <v>2177</v>
      </c>
      <c r="D1598" s="76">
        <v>46064</v>
      </c>
      <c r="E1598" s="75" t="s">
        <v>2176</v>
      </c>
      <c r="F1598" s="74">
        <v>687.19</v>
      </c>
      <c r="G1598" s="75" t="s">
        <v>244</v>
      </c>
      <c r="H1598" s="77" t="str">
        <f>VLOOKUP(DESPESAS[[#This Row],[Plano de Contas]],BASE!$B$3:$D$119,3,FALSE)</f>
        <v>Material de Expediente (Prod)</v>
      </c>
      <c r="I1598" s="77" t="str">
        <f>IFERROR(VLOOKUP(DESPESAS[[#This Row],[Fornecedor]],Tabela2[],2,FALSE),"")</f>
        <v/>
      </c>
      <c r="J1598" s="77" t="str">
        <f>IFERROR(VLOOKUP(DESPESAS[[#This Row],[Plano de Contas]],BASE!$B$3:$F$119,4,FALSE),"")</f>
        <v>2 - CUSTOS DIRETOS</v>
      </c>
      <c r="K1598" s="77" t="str">
        <f>IFERROR(VLOOKUP(DESPESAS[[#This Row],[Plano de Contas]],BASE!$B$3:$H$119,5,FALSE),"")</f>
        <v>PRODUÇÃO</v>
      </c>
      <c r="L1598" s="77">
        <f>IFERROR(VLOOKUP(DESPESAS[[#This Row],[Plano de Contas]],BASE!$B$3:$H$119,6,FALSE),"")</f>
        <v>0</v>
      </c>
      <c r="M1598" s="77" t="str">
        <f>VLOOKUP(DESPESAS[[#This Row],[Plano de Contas]],BASE!$B$3:$H$119,7,FALSE)</f>
        <v>RAFAEL</v>
      </c>
    </row>
    <row r="1599" spans="1:13" x14ac:dyDescent="0.25">
      <c r="A1599" s="74">
        <v>198311</v>
      </c>
      <c r="B1599" s="75" t="s">
        <v>232</v>
      </c>
      <c r="C1599" s="75" t="s">
        <v>2175</v>
      </c>
      <c r="D1599" s="76">
        <v>46064</v>
      </c>
      <c r="E1599" s="75" t="s">
        <v>230</v>
      </c>
      <c r="F1599" s="74">
        <v>466.98</v>
      </c>
      <c r="G1599" s="75" t="s">
        <v>251</v>
      </c>
      <c r="H1599" s="77" t="str">
        <f>VLOOKUP(DESPESAS[[#This Row],[Plano de Contas]],BASE!$B$3:$D$119,3,FALSE)</f>
        <v>Juros Pagos - Antecipação de Crédito</v>
      </c>
      <c r="I1599" s="77" t="str">
        <f>IFERROR(VLOOKUP(DESPESAS[[#This Row],[Fornecedor]],Tabela2[],2,FALSE),"")</f>
        <v/>
      </c>
      <c r="J1599" s="77" t="str">
        <f>IFERROR(VLOOKUP(DESPESAS[[#This Row],[Plano de Contas]],BASE!$B$3:$F$119,4,FALSE),"")</f>
        <v>8 - DESPESAS FINANCEIRAS</v>
      </c>
      <c r="K1599" s="77" t="str">
        <f>IFERROR(VLOOKUP(DESPESAS[[#This Row],[Plano de Contas]],BASE!$B$3:$H$119,5,FALSE),"")</f>
        <v>FINANCEIRO</v>
      </c>
      <c r="L1599" s="77">
        <f>IFERROR(VLOOKUP(DESPESAS[[#This Row],[Plano de Contas]],BASE!$B$3:$H$119,6,FALSE),"")</f>
        <v>0</v>
      </c>
      <c r="M1599" s="77" t="str">
        <f>VLOOKUP(DESPESAS[[#This Row],[Plano de Contas]],BASE!$B$3:$H$119,7,FALSE)</f>
        <v>LETÍCIA</v>
      </c>
    </row>
    <row r="1600" spans="1:13" x14ac:dyDescent="0.25">
      <c r="A1600" s="74">
        <v>198312</v>
      </c>
      <c r="B1600" s="75" t="s">
        <v>232</v>
      </c>
      <c r="C1600" s="75" t="s">
        <v>2174</v>
      </c>
      <c r="D1600" s="76">
        <v>46064</v>
      </c>
      <c r="E1600" s="75" t="s">
        <v>230</v>
      </c>
      <c r="F1600" s="74">
        <v>77.819999999999993</v>
      </c>
      <c r="G1600" s="75" t="s">
        <v>229</v>
      </c>
      <c r="H1600" s="77" t="str">
        <f>VLOOKUP(DESPESAS[[#This Row],[Plano de Contas]],BASE!$B$3:$D$119,3,FALSE)</f>
        <v>Despesas Bancarias</v>
      </c>
      <c r="I1600" s="77" t="str">
        <f>IFERROR(VLOOKUP(DESPESAS[[#This Row],[Fornecedor]],Tabela2[],2,FALSE),"")</f>
        <v/>
      </c>
      <c r="J1600" s="77" t="str">
        <f>IFERROR(VLOOKUP(DESPESAS[[#This Row],[Plano de Contas]],BASE!$B$3:$F$119,4,FALSE),"")</f>
        <v>8 - DESPESAS FINANCEIRAS</v>
      </c>
      <c r="K1600" s="77" t="str">
        <f>IFERROR(VLOOKUP(DESPESAS[[#This Row],[Plano de Contas]],BASE!$B$3:$H$119,5,FALSE),"")</f>
        <v>FINANCEIRO</v>
      </c>
      <c r="L1600" s="77">
        <f>IFERROR(VLOOKUP(DESPESAS[[#This Row],[Plano de Contas]],BASE!$B$3:$H$119,6,FALSE),"")</f>
        <v>0</v>
      </c>
      <c r="M1600" s="77" t="str">
        <f>VLOOKUP(DESPESAS[[#This Row],[Plano de Contas]],BASE!$B$3:$H$119,7,FALSE)</f>
        <v>LETÍCIA</v>
      </c>
    </row>
    <row r="1601" spans="1:13" x14ac:dyDescent="0.25">
      <c r="A1601" s="74">
        <v>198313</v>
      </c>
      <c r="B1601" s="75" t="s">
        <v>232</v>
      </c>
      <c r="C1601" s="75" t="s">
        <v>2173</v>
      </c>
      <c r="D1601" s="76">
        <v>46064</v>
      </c>
      <c r="E1601" s="75" t="s">
        <v>230</v>
      </c>
      <c r="F1601" s="74">
        <v>58.99</v>
      </c>
      <c r="G1601" s="75" t="s">
        <v>229</v>
      </c>
      <c r="H1601" s="77" t="str">
        <f>VLOOKUP(DESPESAS[[#This Row],[Plano de Contas]],BASE!$B$3:$D$119,3,FALSE)</f>
        <v>Despesas Bancarias</v>
      </c>
      <c r="I1601" s="77" t="str">
        <f>IFERROR(VLOOKUP(DESPESAS[[#This Row],[Fornecedor]],Tabela2[],2,FALSE),"")</f>
        <v/>
      </c>
      <c r="J1601" s="77" t="str">
        <f>IFERROR(VLOOKUP(DESPESAS[[#This Row],[Plano de Contas]],BASE!$B$3:$F$119,4,FALSE),"")</f>
        <v>8 - DESPESAS FINANCEIRAS</v>
      </c>
      <c r="K1601" s="77" t="str">
        <f>IFERROR(VLOOKUP(DESPESAS[[#This Row],[Plano de Contas]],BASE!$B$3:$H$119,5,FALSE),"")</f>
        <v>FINANCEIRO</v>
      </c>
      <c r="L1601" s="77">
        <f>IFERROR(VLOOKUP(DESPESAS[[#This Row],[Plano de Contas]],BASE!$B$3:$H$119,6,FALSE),"")</f>
        <v>0</v>
      </c>
      <c r="M1601" s="77" t="str">
        <f>VLOOKUP(DESPESAS[[#This Row],[Plano de Contas]],BASE!$B$3:$H$119,7,FALSE)</f>
        <v>LETÍCIA</v>
      </c>
    </row>
    <row r="1602" spans="1:13" x14ac:dyDescent="0.25">
      <c r="A1602" s="74">
        <v>198314</v>
      </c>
      <c r="B1602" s="75" t="s">
        <v>221</v>
      </c>
      <c r="C1602" s="75" t="s">
        <v>2172</v>
      </c>
      <c r="D1602" s="76">
        <v>46064</v>
      </c>
      <c r="E1602" s="75" t="s">
        <v>361</v>
      </c>
      <c r="F1602" s="74">
        <v>217.02</v>
      </c>
      <c r="G1602" s="75" t="s">
        <v>1318</v>
      </c>
      <c r="H1602" s="77" t="str">
        <f>VLOOKUP(DESPESAS[[#This Row],[Plano de Contas]],BASE!$B$3:$D$119,3,FALSE)</f>
        <v>Feiras e Eventos</v>
      </c>
      <c r="I1602" s="77" t="str">
        <f>IFERROR(VLOOKUP(DESPESAS[[#This Row],[Fornecedor]],Tabela2[],2,FALSE),"")</f>
        <v/>
      </c>
      <c r="J1602" s="77" t="str">
        <f>IFERROR(VLOOKUP(DESPESAS[[#This Row],[Plano de Contas]],BASE!$B$3:$F$119,4,FALSE),"")</f>
        <v>6 - DESPESA COM VENDAS</v>
      </c>
      <c r="K1602" s="77" t="str">
        <f>IFERROR(VLOOKUP(DESPESAS[[#This Row],[Plano de Contas]],BASE!$B$3:$H$119,5,FALSE),"")</f>
        <v>COMERCIAL</v>
      </c>
      <c r="L1602" s="77">
        <f>IFERROR(VLOOKUP(DESPESAS[[#This Row],[Plano de Contas]],BASE!$B$3:$H$119,6,FALSE),"")</f>
        <v>0</v>
      </c>
      <c r="M1602" s="77" t="str">
        <f>VLOOKUP(DESPESAS[[#This Row],[Plano de Contas]],BASE!$B$3:$H$119,7,FALSE)</f>
        <v>THAIS</v>
      </c>
    </row>
    <row r="1603" spans="1:13" x14ac:dyDescent="0.25">
      <c r="A1603" s="74">
        <v>198315</v>
      </c>
      <c r="B1603" s="75" t="s">
        <v>221</v>
      </c>
      <c r="C1603" s="75" t="s">
        <v>2171</v>
      </c>
      <c r="D1603" s="76">
        <v>46064</v>
      </c>
      <c r="E1603" s="75" t="s">
        <v>361</v>
      </c>
      <c r="F1603" s="74">
        <v>307.08</v>
      </c>
      <c r="G1603" s="75" t="s">
        <v>1318</v>
      </c>
      <c r="H1603" s="77" t="str">
        <f>VLOOKUP(DESPESAS[[#This Row],[Plano de Contas]],BASE!$B$3:$D$119,3,FALSE)</f>
        <v>Feiras e Eventos</v>
      </c>
      <c r="I1603" s="77" t="str">
        <f>IFERROR(VLOOKUP(DESPESAS[[#This Row],[Fornecedor]],Tabela2[],2,FALSE),"")</f>
        <v/>
      </c>
      <c r="J1603" s="77" t="str">
        <f>IFERROR(VLOOKUP(DESPESAS[[#This Row],[Plano de Contas]],BASE!$B$3:$F$119,4,FALSE),"")</f>
        <v>6 - DESPESA COM VENDAS</v>
      </c>
      <c r="K1603" s="77" t="str">
        <f>IFERROR(VLOOKUP(DESPESAS[[#This Row],[Plano de Contas]],BASE!$B$3:$H$119,5,FALSE),"")</f>
        <v>COMERCIAL</v>
      </c>
      <c r="L1603" s="77">
        <f>IFERROR(VLOOKUP(DESPESAS[[#This Row],[Plano de Contas]],BASE!$B$3:$H$119,6,FALSE),"")</f>
        <v>0</v>
      </c>
      <c r="M1603" s="77" t="str">
        <f>VLOOKUP(DESPESAS[[#This Row],[Plano de Contas]],BASE!$B$3:$H$119,7,FALSE)</f>
        <v>THAIS</v>
      </c>
    </row>
    <row r="1604" spans="1:13" x14ac:dyDescent="0.25">
      <c r="A1604" s="74">
        <v>198316</v>
      </c>
      <c r="B1604" s="75" t="s">
        <v>221</v>
      </c>
      <c r="C1604" s="75" t="s">
        <v>2170</v>
      </c>
      <c r="D1604" s="76">
        <v>46064</v>
      </c>
      <c r="E1604" s="75" t="s">
        <v>320</v>
      </c>
      <c r="F1604" s="74">
        <v>238</v>
      </c>
      <c r="G1604" s="75" t="s">
        <v>324</v>
      </c>
      <c r="H1604" s="77" t="str">
        <f>VLOOKUP(DESPESAS[[#This Row],[Plano de Contas]],BASE!$B$3:$D$119,3,FALSE)</f>
        <v>Cursos e Treinamentos CIF</v>
      </c>
      <c r="I1604" s="77" t="str">
        <f>IFERROR(VLOOKUP(DESPESAS[[#This Row],[Fornecedor]],Tabela2[],2,FALSE),"")</f>
        <v/>
      </c>
      <c r="J1604" s="77" t="str">
        <f>IFERROR(VLOOKUP(DESPESAS[[#This Row],[Plano de Contas]],BASE!$B$3:$F$119,4,FALSE),"")</f>
        <v>3 - CUSTOS INDIRETOS</v>
      </c>
      <c r="K1604" s="77" t="str">
        <f>IFERROR(VLOOKUP(DESPESAS[[#This Row],[Plano de Contas]],BASE!$B$3:$H$119,5,FALSE),"")</f>
        <v>DH</v>
      </c>
      <c r="L1604" s="77">
        <f>IFERROR(VLOOKUP(DESPESAS[[#This Row],[Plano de Contas]],BASE!$B$3:$H$119,6,FALSE),"")</f>
        <v>0</v>
      </c>
      <c r="M1604" s="77" t="str">
        <f>VLOOKUP(DESPESAS[[#This Row],[Plano de Contas]],BASE!$B$3:$H$119,7,FALSE)</f>
        <v>FÁBIO</v>
      </c>
    </row>
    <row r="1605" spans="1:13" x14ac:dyDescent="0.25">
      <c r="A1605" s="74">
        <v>198317</v>
      </c>
      <c r="B1605" s="75" t="s">
        <v>221</v>
      </c>
      <c r="C1605" s="75" t="s">
        <v>2169</v>
      </c>
      <c r="D1605" s="76">
        <v>46057</v>
      </c>
      <c r="E1605" s="75" t="s">
        <v>347</v>
      </c>
      <c r="F1605" s="74">
        <v>215.17</v>
      </c>
      <c r="G1605" s="75" t="s">
        <v>480</v>
      </c>
      <c r="H1605" s="77" t="str">
        <f>VLOOKUP(DESPESAS[[#This Row],[Plano de Contas]],BASE!$B$3:$D$119,3,FALSE)</f>
        <v>Viagens e Estadias c/ Vendas</v>
      </c>
      <c r="I1605" s="77" t="str">
        <f>IFERROR(VLOOKUP(DESPESAS[[#This Row],[Fornecedor]],Tabela2[],2,FALSE),"")</f>
        <v/>
      </c>
      <c r="J1605" s="77" t="str">
        <f>IFERROR(VLOOKUP(DESPESAS[[#This Row],[Plano de Contas]],BASE!$B$3:$F$119,4,FALSE),"")</f>
        <v>6 - DESPESA COM VENDAS</v>
      </c>
      <c r="K1605" s="77" t="str">
        <f>IFERROR(VLOOKUP(DESPESAS[[#This Row],[Plano de Contas]],BASE!$B$3:$H$119,5,FALSE),"")</f>
        <v>COMERCIAL</v>
      </c>
      <c r="L1605" s="77">
        <f>IFERROR(VLOOKUP(DESPESAS[[#This Row],[Plano de Contas]],BASE!$B$3:$H$119,6,FALSE),"")</f>
        <v>0</v>
      </c>
      <c r="M1605" s="77" t="str">
        <f>VLOOKUP(DESPESAS[[#This Row],[Plano de Contas]],BASE!$B$3:$H$119,7,FALSE)</f>
        <v>LETÍCIA</v>
      </c>
    </row>
    <row r="1606" spans="1:13" x14ac:dyDescent="0.25">
      <c r="A1606" s="74">
        <v>198318</v>
      </c>
      <c r="B1606" s="75" t="s">
        <v>221</v>
      </c>
      <c r="C1606" s="75" t="s">
        <v>2168</v>
      </c>
      <c r="D1606" s="76">
        <v>46057</v>
      </c>
      <c r="E1606" s="75" t="s">
        <v>230</v>
      </c>
      <c r="F1606" s="74">
        <v>4.7300000000000004</v>
      </c>
      <c r="G1606" s="75" t="s">
        <v>229</v>
      </c>
      <c r="H1606" s="77" t="str">
        <f>VLOOKUP(DESPESAS[[#This Row],[Plano de Contas]],BASE!$B$3:$D$119,3,FALSE)</f>
        <v>Despesas Bancarias</v>
      </c>
      <c r="I1606" s="77" t="str">
        <f>IFERROR(VLOOKUP(DESPESAS[[#This Row],[Fornecedor]],Tabela2[],2,FALSE),"")</f>
        <v/>
      </c>
      <c r="J1606" s="77" t="str">
        <f>IFERROR(VLOOKUP(DESPESAS[[#This Row],[Plano de Contas]],BASE!$B$3:$F$119,4,FALSE),"")</f>
        <v>8 - DESPESAS FINANCEIRAS</v>
      </c>
      <c r="K1606" s="77" t="str">
        <f>IFERROR(VLOOKUP(DESPESAS[[#This Row],[Plano de Contas]],BASE!$B$3:$H$119,5,FALSE),"")</f>
        <v>FINANCEIRO</v>
      </c>
      <c r="L1606" s="77">
        <f>IFERROR(VLOOKUP(DESPESAS[[#This Row],[Plano de Contas]],BASE!$B$3:$H$119,6,FALSE),"")</f>
        <v>0</v>
      </c>
      <c r="M1606" s="77" t="str">
        <f>VLOOKUP(DESPESAS[[#This Row],[Plano de Contas]],BASE!$B$3:$H$119,7,FALSE)</f>
        <v>LETÍCIA</v>
      </c>
    </row>
    <row r="1607" spans="1:13" x14ac:dyDescent="0.25">
      <c r="A1607" s="74">
        <v>198319</v>
      </c>
      <c r="B1607" s="75" t="s">
        <v>232</v>
      </c>
      <c r="C1607" s="75" t="s">
        <v>2167</v>
      </c>
      <c r="D1607" s="76">
        <v>46064</v>
      </c>
      <c r="E1607" s="75" t="s">
        <v>1076</v>
      </c>
      <c r="F1607" s="74">
        <v>462.5</v>
      </c>
      <c r="G1607" s="75" t="s">
        <v>1075</v>
      </c>
      <c r="H1607" s="77" t="str">
        <f>VLOOKUP(DESPESAS[[#This Row],[Plano de Contas]],BASE!$B$3:$D$119,3,FALSE)</f>
        <v>Fretes Ass. Técnica</v>
      </c>
      <c r="I1607" s="77" t="str">
        <f>IFERROR(VLOOKUP(DESPESAS[[#This Row],[Fornecedor]],Tabela2[],2,FALSE),"")</f>
        <v/>
      </c>
      <c r="J1607" s="77" t="str">
        <f>IFERROR(VLOOKUP(DESPESAS[[#This Row],[Plano de Contas]],BASE!$B$3:$F$119,4,FALSE),"")</f>
        <v>6 - DESPESA COM VENDAS</v>
      </c>
      <c r="K1607" s="77" t="str">
        <f>IFERROR(VLOOKUP(DESPESAS[[#This Row],[Plano de Contas]],BASE!$B$3:$H$119,5,FALSE),"")</f>
        <v>LOGÍSTICA</v>
      </c>
      <c r="L1607" s="77">
        <f>IFERROR(VLOOKUP(DESPESAS[[#This Row],[Plano de Contas]],BASE!$B$3:$H$119,6,FALSE),"")</f>
        <v>0</v>
      </c>
      <c r="M1607" s="77" t="str">
        <f>VLOOKUP(DESPESAS[[#This Row],[Plano de Contas]],BASE!$B$3:$H$119,7,FALSE)</f>
        <v>MYLENA</v>
      </c>
    </row>
    <row r="1608" spans="1:13" x14ac:dyDescent="0.25">
      <c r="A1608" s="74">
        <v>198320</v>
      </c>
      <c r="B1608" s="75" t="s">
        <v>232</v>
      </c>
      <c r="C1608" s="75" t="s">
        <v>2166</v>
      </c>
      <c r="D1608" s="76">
        <v>46064</v>
      </c>
      <c r="E1608" s="75" t="s">
        <v>2165</v>
      </c>
      <c r="F1608" s="74">
        <v>2379.39</v>
      </c>
      <c r="G1608" s="75" t="s">
        <v>561</v>
      </c>
      <c r="H1608" s="77" t="str">
        <f>VLOOKUP(DESPESAS[[#This Row],[Plano de Contas]],BASE!$B$3:$D$119,3,FALSE)</f>
        <v>Sistemas de Informação</v>
      </c>
      <c r="I1608" s="77" t="str">
        <f>IFERROR(VLOOKUP(DESPESAS[[#This Row],[Fornecedor]],Tabela2[],2,FALSE),"")</f>
        <v/>
      </c>
      <c r="J1608" s="77" t="str">
        <f>IFERROR(VLOOKUP(DESPESAS[[#This Row],[Plano de Contas]],BASE!$B$3:$F$119,4,FALSE),"")</f>
        <v>7 - SERVIÇOS DE TERCEIROS</v>
      </c>
      <c r="K1608" s="77" t="str">
        <f>IFERROR(VLOOKUP(DESPESAS[[#This Row],[Plano de Contas]],BASE!$B$3:$H$119,5,FALSE),"")</f>
        <v>MANUTENÇÃO / TI</v>
      </c>
      <c r="L1608" s="77">
        <f>IFERROR(VLOOKUP(DESPESAS[[#This Row],[Plano de Contas]],BASE!$B$3:$H$119,6,FALSE),"")</f>
        <v>0</v>
      </c>
      <c r="M1608" s="77" t="str">
        <f>VLOOKUP(DESPESAS[[#This Row],[Plano de Contas]],BASE!$B$3:$H$119,7,FALSE)</f>
        <v>LETÍCIA</v>
      </c>
    </row>
    <row r="1609" spans="1:13" x14ac:dyDescent="0.25">
      <c r="A1609" s="74">
        <v>198322</v>
      </c>
      <c r="B1609" s="75" t="s">
        <v>232</v>
      </c>
      <c r="C1609" s="75" t="s">
        <v>2164</v>
      </c>
      <c r="D1609" s="76">
        <v>46065</v>
      </c>
      <c r="E1609" s="75" t="s">
        <v>774</v>
      </c>
      <c r="F1609" s="74">
        <v>345</v>
      </c>
      <c r="G1609" s="75" t="s">
        <v>259</v>
      </c>
      <c r="H1609" s="77" t="str">
        <f>VLOOKUP(DESPESAS[[#This Row],[Plano de Contas]],BASE!$B$3:$D$119,3,FALSE)</f>
        <v>Manutenção Predial CIF</v>
      </c>
      <c r="I1609" s="77" t="str">
        <f>IFERROR(VLOOKUP(DESPESAS[[#This Row],[Fornecedor]],Tabela2[],2,FALSE),"")</f>
        <v/>
      </c>
      <c r="J1609" s="77" t="str">
        <f>IFERROR(VLOOKUP(DESPESAS[[#This Row],[Plano de Contas]],BASE!$B$3:$F$119,4,FALSE),"")</f>
        <v>3 - CUSTOS INDIRETOS</v>
      </c>
      <c r="K1609" s="77" t="str">
        <f>IFERROR(VLOOKUP(DESPESAS[[#This Row],[Plano de Contas]],BASE!$B$3:$H$119,5,FALSE),"")</f>
        <v>MANUTENÇÃO / TI</v>
      </c>
      <c r="L1609" s="77">
        <f>IFERROR(VLOOKUP(DESPESAS[[#This Row],[Plano de Contas]],BASE!$B$3:$H$119,6,FALSE),"")</f>
        <v>0</v>
      </c>
      <c r="M1609" s="77" t="str">
        <f>VLOOKUP(DESPESAS[[#This Row],[Plano de Contas]],BASE!$B$3:$H$119,7,FALSE)</f>
        <v>FÁBIO</v>
      </c>
    </row>
    <row r="1610" spans="1:13" x14ac:dyDescent="0.25">
      <c r="A1610" s="74">
        <v>198323</v>
      </c>
      <c r="B1610" s="75" t="s">
        <v>232</v>
      </c>
      <c r="C1610" s="75" t="s">
        <v>2163</v>
      </c>
      <c r="D1610" s="76">
        <v>46064</v>
      </c>
      <c r="E1610" s="75" t="s">
        <v>230</v>
      </c>
      <c r="F1610" s="74">
        <v>15.01</v>
      </c>
      <c r="G1610" s="75" t="s">
        <v>229</v>
      </c>
      <c r="H1610" s="77" t="str">
        <f>VLOOKUP(DESPESAS[[#This Row],[Plano de Contas]],BASE!$B$3:$D$119,3,FALSE)</f>
        <v>Despesas Bancarias</v>
      </c>
      <c r="I1610" s="77" t="str">
        <f>IFERROR(VLOOKUP(DESPESAS[[#This Row],[Fornecedor]],Tabela2[],2,FALSE),"")</f>
        <v/>
      </c>
      <c r="J1610" s="77" t="str">
        <f>IFERROR(VLOOKUP(DESPESAS[[#This Row],[Plano de Contas]],BASE!$B$3:$F$119,4,FALSE),"")</f>
        <v>8 - DESPESAS FINANCEIRAS</v>
      </c>
      <c r="K1610" s="77" t="str">
        <f>IFERROR(VLOOKUP(DESPESAS[[#This Row],[Plano de Contas]],BASE!$B$3:$H$119,5,FALSE),"")</f>
        <v>FINANCEIRO</v>
      </c>
      <c r="L1610" s="77">
        <f>IFERROR(VLOOKUP(DESPESAS[[#This Row],[Plano de Contas]],BASE!$B$3:$H$119,6,FALSE),"")</f>
        <v>0</v>
      </c>
      <c r="M1610" s="77" t="str">
        <f>VLOOKUP(DESPESAS[[#This Row],[Plano de Contas]],BASE!$B$3:$H$119,7,FALSE)</f>
        <v>LETÍCIA</v>
      </c>
    </row>
    <row r="1611" spans="1:13" x14ac:dyDescent="0.25">
      <c r="A1611" s="74">
        <v>198324</v>
      </c>
      <c r="B1611" s="75" t="s">
        <v>232</v>
      </c>
      <c r="C1611" s="75" t="s">
        <v>2162</v>
      </c>
      <c r="D1611" s="76">
        <v>46065</v>
      </c>
      <c r="E1611" s="75" t="s">
        <v>230</v>
      </c>
      <c r="F1611" s="74">
        <v>3.42</v>
      </c>
      <c r="G1611" s="75" t="s">
        <v>229</v>
      </c>
      <c r="H1611" s="77" t="str">
        <f>VLOOKUP(DESPESAS[[#This Row],[Plano de Contas]],BASE!$B$3:$D$119,3,FALSE)</f>
        <v>Despesas Bancarias</v>
      </c>
      <c r="I1611" s="77" t="str">
        <f>IFERROR(VLOOKUP(DESPESAS[[#This Row],[Fornecedor]],Tabela2[],2,FALSE),"")</f>
        <v/>
      </c>
      <c r="J1611" s="77" t="str">
        <f>IFERROR(VLOOKUP(DESPESAS[[#This Row],[Plano de Contas]],BASE!$B$3:$F$119,4,FALSE),"")</f>
        <v>8 - DESPESAS FINANCEIRAS</v>
      </c>
      <c r="K1611" s="77" t="str">
        <f>IFERROR(VLOOKUP(DESPESAS[[#This Row],[Plano de Contas]],BASE!$B$3:$H$119,5,FALSE),"")</f>
        <v>FINANCEIRO</v>
      </c>
      <c r="L1611" s="77">
        <f>IFERROR(VLOOKUP(DESPESAS[[#This Row],[Plano de Contas]],BASE!$B$3:$H$119,6,FALSE),"")</f>
        <v>0</v>
      </c>
      <c r="M1611" s="77" t="str">
        <f>VLOOKUP(DESPESAS[[#This Row],[Plano de Contas]],BASE!$B$3:$H$119,7,FALSE)</f>
        <v>LETÍCIA</v>
      </c>
    </row>
    <row r="1612" spans="1:13" x14ac:dyDescent="0.25">
      <c r="A1612" s="74">
        <v>198325</v>
      </c>
      <c r="B1612" s="75" t="s">
        <v>221</v>
      </c>
      <c r="C1612" s="75" t="s">
        <v>2161</v>
      </c>
      <c r="D1612" s="76">
        <v>46065</v>
      </c>
      <c r="E1612" s="75" t="s">
        <v>1951</v>
      </c>
      <c r="F1612" s="74">
        <v>900</v>
      </c>
      <c r="G1612" s="75" t="s">
        <v>218</v>
      </c>
      <c r="H1612" s="77" t="str">
        <f>VLOOKUP(DESPESAS[[#This Row],[Plano de Contas]],BASE!$B$3:$D$119,3,FALSE)</f>
        <v>Manutenção de Equipamentos (Prod)</v>
      </c>
      <c r="I1612" s="77" t="str">
        <f>IFERROR(VLOOKUP(DESPESAS[[#This Row],[Fornecedor]],Tabela2[],2,FALSE),"")</f>
        <v>MAQUINAS DE COSTURA</v>
      </c>
      <c r="J1612" s="77" t="str">
        <f>IFERROR(VLOOKUP(DESPESAS[[#This Row],[Plano de Contas]],BASE!$B$3:$F$119,4,FALSE),"")</f>
        <v>3 - CUSTOS INDIRETOS</v>
      </c>
      <c r="K1612" s="77" t="str">
        <f>IFERROR(VLOOKUP(DESPESAS[[#This Row],[Plano de Contas]],BASE!$B$3:$H$119,5,FALSE),"")</f>
        <v>MANUTENÇÃO / TI</v>
      </c>
      <c r="L1612" s="77">
        <f>IFERROR(VLOOKUP(DESPESAS[[#This Row],[Plano de Contas]],BASE!$B$3:$H$119,6,FALSE),"")</f>
        <v>0</v>
      </c>
      <c r="M1612" s="77" t="str">
        <f>VLOOKUP(DESPESAS[[#This Row],[Plano de Contas]],BASE!$B$3:$H$119,7,FALSE)</f>
        <v>RAFAEL</v>
      </c>
    </row>
    <row r="1613" spans="1:13" x14ac:dyDescent="0.25">
      <c r="A1613" s="74">
        <v>198326</v>
      </c>
      <c r="B1613" s="75" t="s">
        <v>281</v>
      </c>
      <c r="C1613" s="75" t="s">
        <v>2160</v>
      </c>
      <c r="D1613" s="76">
        <v>46064</v>
      </c>
      <c r="E1613" s="75" t="s">
        <v>230</v>
      </c>
      <c r="F1613" s="74">
        <v>1.58</v>
      </c>
      <c r="G1613" s="75" t="s">
        <v>236</v>
      </c>
      <c r="H1613" s="77" t="str">
        <f>VLOOKUP(DESPESAS[[#This Row],[Plano de Contas]],BASE!$B$3:$D$119,3,FALSE)</f>
        <v>Despesas de Cobranca</v>
      </c>
      <c r="I1613" s="77" t="str">
        <f>IFERROR(VLOOKUP(DESPESAS[[#This Row],[Fornecedor]],Tabela2[],2,FALSE),"")</f>
        <v/>
      </c>
      <c r="J1613" s="77" t="str">
        <f>IFERROR(VLOOKUP(DESPESAS[[#This Row],[Plano de Contas]],BASE!$B$3:$F$119,4,FALSE),"")</f>
        <v>8 - DESPESAS FINANCEIRAS</v>
      </c>
      <c r="K1613" s="77" t="str">
        <f>IFERROR(VLOOKUP(DESPESAS[[#This Row],[Plano de Contas]],BASE!$B$3:$H$119,5,FALSE),"")</f>
        <v>FINANCEIRO</v>
      </c>
      <c r="L1613" s="77">
        <f>IFERROR(VLOOKUP(DESPESAS[[#This Row],[Plano de Contas]],BASE!$B$3:$H$119,6,FALSE),"")</f>
        <v>0</v>
      </c>
      <c r="M1613" s="77" t="str">
        <f>VLOOKUP(DESPESAS[[#This Row],[Plano de Contas]],BASE!$B$3:$H$119,7,FALSE)</f>
        <v>LETÍCIA</v>
      </c>
    </row>
    <row r="1614" spans="1:13" x14ac:dyDescent="0.25">
      <c r="A1614" s="74">
        <v>198327</v>
      </c>
      <c r="B1614" s="75" t="s">
        <v>221</v>
      </c>
      <c r="C1614" s="75" t="s">
        <v>2159</v>
      </c>
      <c r="D1614" s="76">
        <v>46064</v>
      </c>
      <c r="E1614" s="75" t="s">
        <v>1394</v>
      </c>
      <c r="F1614" s="74">
        <v>4.75</v>
      </c>
      <c r="G1614" s="75" t="s">
        <v>229</v>
      </c>
      <c r="H1614" s="77" t="str">
        <f>VLOOKUP(DESPESAS[[#This Row],[Plano de Contas]],BASE!$B$3:$D$119,3,FALSE)</f>
        <v>Despesas Bancarias</v>
      </c>
      <c r="I1614" s="77" t="str">
        <f>IFERROR(VLOOKUP(DESPESAS[[#This Row],[Fornecedor]],Tabela2[],2,FALSE),"")</f>
        <v/>
      </c>
      <c r="J1614" s="77" t="str">
        <f>IFERROR(VLOOKUP(DESPESAS[[#This Row],[Plano de Contas]],BASE!$B$3:$F$119,4,FALSE),"")</f>
        <v>8 - DESPESAS FINANCEIRAS</v>
      </c>
      <c r="K1614" s="77" t="str">
        <f>IFERROR(VLOOKUP(DESPESAS[[#This Row],[Plano de Contas]],BASE!$B$3:$H$119,5,FALSE),"")</f>
        <v>FINANCEIRO</v>
      </c>
      <c r="L1614" s="77">
        <f>IFERROR(VLOOKUP(DESPESAS[[#This Row],[Plano de Contas]],BASE!$B$3:$H$119,6,FALSE),"")</f>
        <v>0</v>
      </c>
      <c r="M1614" s="77" t="str">
        <f>VLOOKUP(DESPESAS[[#This Row],[Plano de Contas]],BASE!$B$3:$H$119,7,FALSE)</f>
        <v>LETÍCIA</v>
      </c>
    </row>
    <row r="1615" spans="1:13" x14ac:dyDescent="0.25">
      <c r="A1615" s="74">
        <v>198328</v>
      </c>
      <c r="B1615" s="75" t="s">
        <v>279</v>
      </c>
      <c r="C1615" s="75" t="s">
        <v>2158</v>
      </c>
      <c r="D1615" s="76">
        <v>46064</v>
      </c>
      <c r="E1615" s="75" t="s">
        <v>230</v>
      </c>
      <c r="F1615" s="74">
        <v>7.11</v>
      </c>
      <c r="G1615" s="75" t="s">
        <v>229</v>
      </c>
      <c r="H1615" s="77" t="str">
        <f>VLOOKUP(DESPESAS[[#This Row],[Plano de Contas]],BASE!$B$3:$D$119,3,FALSE)</f>
        <v>Despesas Bancarias</v>
      </c>
      <c r="I1615" s="77" t="str">
        <f>IFERROR(VLOOKUP(DESPESAS[[#This Row],[Fornecedor]],Tabela2[],2,FALSE),"")</f>
        <v/>
      </c>
      <c r="J1615" s="77" t="str">
        <f>IFERROR(VLOOKUP(DESPESAS[[#This Row],[Plano de Contas]],BASE!$B$3:$F$119,4,FALSE),"")</f>
        <v>8 - DESPESAS FINANCEIRAS</v>
      </c>
      <c r="K1615" s="77" t="str">
        <f>IFERROR(VLOOKUP(DESPESAS[[#This Row],[Plano de Contas]],BASE!$B$3:$H$119,5,FALSE),"")</f>
        <v>FINANCEIRO</v>
      </c>
      <c r="L1615" s="77">
        <f>IFERROR(VLOOKUP(DESPESAS[[#This Row],[Plano de Contas]],BASE!$B$3:$H$119,6,FALSE),"")</f>
        <v>0</v>
      </c>
      <c r="M1615" s="77" t="str">
        <f>VLOOKUP(DESPESAS[[#This Row],[Plano de Contas]],BASE!$B$3:$H$119,7,FALSE)</f>
        <v>LETÍCIA</v>
      </c>
    </row>
    <row r="1616" spans="1:13" x14ac:dyDescent="0.25">
      <c r="A1616" s="74">
        <v>198329</v>
      </c>
      <c r="B1616" s="75" t="s">
        <v>279</v>
      </c>
      <c r="C1616" s="75" t="s">
        <v>2157</v>
      </c>
      <c r="D1616" s="76">
        <v>46065</v>
      </c>
      <c r="E1616" s="75" t="s">
        <v>230</v>
      </c>
      <c r="F1616" s="74">
        <v>2.14</v>
      </c>
      <c r="G1616" s="75" t="s">
        <v>229</v>
      </c>
      <c r="H1616" s="77" t="str">
        <f>VLOOKUP(DESPESAS[[#This Row],[Plano de Contas]],BASE!$B$3:$D$119,3,FALSE)</f>
        <v>Despesas Bancarias</v>
      </c>
      <c r="I1616" s="77" t="str">
        <f>IFERROR(VLOOKUP(DESPESAS[[#This Row],[Fornecedor]],Tabela2[],2,FALSE),"")</f>
        <v/>
      </c>
      <c r="J1616" s="77" t="str">
        <f>IFERROR(VLOOKUP(DESPESAS[[#This Row],[Plano de Contas]],BASE!$B$3:$F$119,4,FALSE),"")</f>
        <v>8 - DESPESAS FINANCEIRAS</v>
      </c>
      <c r="K1616" s="77" t="str">
        <f>IFERROR(VLOOKUP(DESPESAS[[#This Row],[Plano de Contas]],BASE!$B$3:$H$119,5,FALSE),"")</f>
        <v>FINANCEIRO</v>
      </c>
      <c r="L1616" s="77">
        <f>IFERROR(VLOOKUP(DESPESAS[[#This Row],[Plano de Contas]],BASE!$B$3:$H$119,6,FALSE),"")</f>
        <v>0</v>
      </c>
      <c r="M1616" s="77" t="str">
        <f>VLOOKUP(DESPESAS[[#This Row],[Plano de Contas]],BASE!$B$3:$H$119,7,FALSE)</f>
        <v>LETÍCIA</v>
      </c>
    </row>
    <row r="1617" spans="1:13" x14ac:dyDescent="0.25">
      <c r="A1617" s="74">
        <v>198330</v>
      </c>
      <c r="B1617" s="75" t="s">
        <v>279</v>
      </c>
      <c r="C1617" s="75" t="s">
        <v>2156</v>
      </c>
      <c r="D1617" s="76">
        <v>46063</v>
      </c>
      <c r="E1617" s="75" t="s">
        <v>230</v>
      </c>
      <c r="F1617" s="74">
        <v>3.74</v>
      </c>
      <c r="G1617" s="75" t="s">
        <v>229</v>
      </c>
      <c r="H1617" s="77" t="str">
        <f>VLOOKUP(DESPESAS[[#This Row],[Plano de Contas]],BASE!$B$3:$D$119,3,FALSE)</f>
        <v>Despesas Bancarias</v>
      </c>
      <c r="I1617" s="77" t="str">
        <f>IFERROR(VLOOKUP(DESPESAS[[#This Row],[Fornecedor]],Tabela2[],2,FALSE),"")</f>
        <v/>
      </c>
      <c r="J1617" s="77" t="str">
        <f>IFERROR(VLOOKUP(DESPESAS[[#This Row],[Plano de Contas]],BASE!$B$3:$F$119,4,FALSE),"")</f>
        <v>8 - DESPESAS FINANCEIRAS</v>
      </c>
      <c r="K1617" s="77" t="str">
        <f>IFERROR(VLOOKUP(DESPESAS[[#This Row],[Plano de Contas]],BASE!$B$3:$H$119,5,FALSE),"")</f>
        <v>FINANCEIRO</v>
      </c>
      <c r="L1617" s="77">
        <f>IFERROR(VLOOKUP(DESPESAS[[#This Row],[Plano de Contas]],BASE!$B$3:$H$119,6,FALSE),"")</f>
        <v>0</v>
      </c>
      <c r="M1617" s="77" t="str">
        <f>VLOOKUP(DESPESAS[[#This Row],[Plano de Contas]],BASE!$B$3:$H$119,7,FALSE)</f>
        <v>LETÍCIA</v>
      </c>
    </row>
    <row r="1618" spans="1:13" x14ac:dyDescent="0.25">
      <c r="A1618" s="74">
        <v>198332</v>
      </c>
      <c r="B1618" s="75" t="s">
        <v>221</v>
      </c>
      <c r="C1618" s="75" t="s">
        <v>2155</v>
      </c>
      <c r="D1618" s="76">
        <v>46058</v>
      </c>
      <c r="E1618" s="75" t="s">
        <v>2154</v>
      </c>
      <c r="F1618" s="74">
        <v>1050</v>
      </c>
      <c r="G1618" s="75" t="s">
        <v>588</v>
      </c>
      <c r="H1618" s="77" t="str">
        <f>VLOOKUP(DESPESAS[[#This Row],[Plano de Contas]],BASE!$B$3:$D$119,3,FALSE)</f>
        <v>Maquinas e Equipamentos</v>
      </c>
      <c r="I1618" s="77" t="str">
        <f>IFERROR(VLOOKUP(DESPESAS[[#This Row],[Fornecedor]],Tabela2[],2,FALSE),"")</f>
        <v/>
      </c>
      <c r="J1618" s="77" t="str">
        <f>IFERROR(VLOOKUP(DESPESAS[[#This Row],[Plano de Contas]],BASE!$B$3:$F$119,4,FALSE),"")</f>
        <v>9 - INVESTIMENTOS</v>
      </c>
      <c r="K1618" s="77" t="str">
        <f>IFERROR(VLOOKUP(DESPESAS[[#This Row],[Plano de Contas]],BASE!$B$3:$H$119,5,FALSE),"")</f>
        <v>MANUTENÇÃO / TI</v>
      </c>
      <c r="L1618" s="77">
        <f>IFERROR(VLOOKUP(DESPESAS[[#This Row],[Plano de Contas]],BASE!$B$3:$H$119,6,FALSE),"")</f>
        <v>0</v>
      </c>
      <c r="M1618" s="77" t="str">
        <f>VLOOKUP(DESPESAS[[#This Row],[Plano de Contas]],BASE!$B$3:$H$119,7,FALSE)</f>
        <v>RAFAEL</v>
      </c>
    </row>
    <row r="1619" spans="1:13" x14ac:dyDescent="0.25">
      <c r="A1619" s="74">
        <v>198333</v>
      </c>
      <c r="B1619" s="75" t="s">
        <v>232</v>
      </c>
      <c r="C1619" s="75" t="s">
        <v>2153</v>
      </c>
      <c r="D1619" s="76">
        <v>46056</v>
      </c>
      <c r="E1619" s="75" t="s">
        <v>409</v>
      </c>
      <c r="F1619" s="74">
        <v>110.25</v>
      </c>
      <c r="G1619" s="75" t="s">
        <v>326</v>
      </c>
      <c r="H1619" s="77" t="str">
        <f>VLOOKUP(DESPESAS[[#This Row],[Plano de Contas]],BASE!$B$3:$D$119,3,FALSE)</f>
        <v>Frete sobre Compras</v>
      </c>
      <c r="I1619" s="77" t="str">
        <f>IFERROR(VLOOKUP(DESPESAS[[#This Row],[Fornecedor]],Tabela2[],2,FALSE),"")</f>
        <v>SERVIÇOS FRETE</v>
      </c>
      <c r="J1619" s="77" t="str">
        <f>IFERROR(VLOOKUP(DESPESAS[[#This Row],[Plano de Contas]],BASE!$B$3:$F$119,4,FALSE),"")</f>
        <v>1 - CPV</v>
      </c>
      <c r="K1619" s="77" t="str">
        <f>IFERROR(VLOOKUP(DESPESAS[[#This Row],[Plano de Contas]],BASE!$B$3:$H$119,5,FALSE),"")</f>
        <v>COMPRAS</v>
      </c>
      <c r="L1619" s="77">
        <f>IFERROR(VLOOKUP(DESPESAS[[#This Row],[Plano de Contas]],BASE!$B$3:$H$119,6,FALSE),"")</f>
        <v>0</v>
      </c>
      <c r="M1619" s="77" t="str">
        <f>VLOOKUP(DESPESAS[[#This Row],[Plano de Contas]],BASE!$B$3:$H$119,7,FALSE)</f>
        <v>MYLENA</v>
      </c>
    </row>
    <row r="1620" spans="1:13" x14ac:dyDescent="0.25">
      <c r="A1620" s="74">
        <v>198334</v>
      </c>
      <c r="B1620" s="75" t="s">
        <v>232</v>
      </c>
      <c r="C1620" s="75" t="s">
        <v>2152</v>
      </c>
      <c r="D1620" s="76">
        <v>46065</v>
      </c>
      <c r="E1620" s="75" t="s">
        <v>409</v>
      </c>
      <c r="F1620" s="74">
        <v>109.25</v>
      </c>
      <c r="G1620" s="75" t="s">
        <v>326</v>
      </c>
      <c r="H1620" s="77" t="str">
        <f>VLOOKUP(DESPESAS[[#This Row],[Plano de Contas]],BASE!$B$3:$D$119,3,FALSE)</f>
        <v>Frete sobre Compras</v>
      </c>
      <c r="I1620" s="77" t="str">
        <f>IFERROR(VLOOKUP(DESPESAS[[#This Row],[Fornecedor]],Tabela2[],2,FALSE),"")</f>
        <v>SERVIÇOS FRETE</v>
      </c>
      <c r="J1620" s="77" t="str">
        <f>IFERROR(VLOOKUP(DESPESAS[[#This Row],[Plano de Contas]],BASE!$B$3:$F$119,4,FALSE),"")</f>
        <v>1 - CPV</v>
      </c>
      <c r="K1620" s="77" t="str">
        <f>IFERROR(VLOOKUP(DESPESAS[[#This Row],[Plano de Contas]],BASE!$B$3:$H$119,5,FALSE),"")</f>
        <v>COMPRAS</v>
      </c>
      <c r="L1620" s="77">
        <f>IFERROR(VLOOKUP(DESPESAS[[#This Row],[Plano de Contas]],BASE!$B$3:$H$119,6,FALSE),"")</f>
        <v>0</v>
      </c>
      <c r="M1620" s="77" t="str">
        <f>VLOOKUP(DESPESAS[[#This Row],[Plano de Contas]],BASE!$B$3:$H$119,7,FALSE)</f>
        <v>MYLENA</v>
      </c>
    </row>
    <row r="1621" spans="1:13" x14ac:dyDescent="0.25">
      <c r="A1621" s="74">
        <v>198335</v>
      </c>
      <c r="B1621" s="75" t="s">
        <v>232</v>
      </c>
      <c r="C1621" s="75" t="s">
        <v>2151</v>
      </c>
      <c r="D1621" s="76">
        <v>46065</v>
      </c>
      <c r="E1621" s="75" t="s">
        <v>409</v>
      </c>
      <c r="F1621" s="74">
        <v>111.67</v>
      </c>
      <c r="G1621" s="75" t="s">
        <v>326</v>
      </c>
      <c r="H1621" s="77" t="str">
        <f>VLOOKUP(DESPESAS[[#This Row],[Plano de Contas]],BASE!$B$3:$D$119,3,FALSE)</f>
        <v>Frete sobre Compras</v>
      </c>
      <c r="I1621" s="77" t="str">
        <f>IFERROR(VLOOKUP(DESPESAS[[#This Row],[Fornecedor]],Tabela2[],2,FALSE),"")</f>
        <v>SERVIÇOS FRETE</v>
      </c>
      <c r="J1621" s="77" t="str">
        <f>IFERROR(VLOOKUP(DESPESAS[[#This Row],[Plano de Contas]],BASE!$B$3:$F$119,4,FALSE),"")</f>
        <v>1 - CPV</v>
      </c>
      <c r="K1621" s="77" t="str">
        <f>IFERROR(VLOOKUP(DESPESAS[[#This Row],[Plano de Contas]],BASE!$B$3:$H$119,5,FALSE),"")</f>
        <v>COMPRAS</v>
      </c>
      <c r="L1621" s="77">
        <f>IFERROR(VLOOKUP(DESPESAS[[#This Row],[Plano de Contas]],BASE!$B$3:$H$119,6,FALSE),"")</f>
        <v>0</v>
      </c>
      <c r="M1621" s="77" t="str">
        <f>VLOOKUP(DESPESAS[[#This Row],[Plano de Contas]],BASE!$B$3:$H$119,7,FALSE)</f>
        <v>MYLENA</v>
      </c>
    </row>
    <row r="1622" spans="1:13" x14ac:dyDescent="0.25">
      <c r="A1622" s="74">
        <v>198336</v>
      </c>
      <c r="B1622" s="75" t="s">
        <v>232</v>
      </c>
      <c r="C1622" s="75" t="s">
        <v>2150</v>
      </c>
      <c r="D1622" s="76">
        <v>46065</v>
      </c>
      <c r="E1622" s="75" t="s">
        <v>589</v>
      </c>
      <c r="F1622" s="74">
        <v>592.5</v>
      </c>
      <c r="G1622" s="75" t="s">
        <v>218</v>
      </c>
      <c r="H1622" s="77" t="str">
        <f>VLOOKUP(DESPESAS[[#This Row],[Plano de Contas]],BASE!$B$3:$D$119,3,FALSE)</f>
        <v>Manutenção de Equipamentos (Prod)</v>
      </c>
      <c r="I1622" s="77" t="str">
        <f>IFERROR(VLOOKUP(DESPESAS[[#This Row],[Fornecedor]],Tabela2[],2,FALSE),"")</f>
        <v>COMPRESSORES</v>
      </c>
      <c r="J1622" s="77" t="str">
        <f>IFERROR(VLOOKUP(DESPESAS[[#This Row],[Plano de Contas]],BASE!$B$3:$F$119,4,FALSE),"")</f>
        <v>3 - CUSTOS INDIRETOS</v>
      </c>
      <c r="K1622" s="77" t="str">
        <f>IFERROR(VLOOKUP(DESPESAS[[#This Row],[Plano de Contas]],BASE!$B$3:$H$119,5,FALSE),"")</f>
        <v>MANUTENÇÃO / TI</v>
      </c>
      <c r="L1622" s="77">
        <f>IFERROR(VLOOKUP(DESPESAS[[#This Row],[Plano de Contas]],BASE!$B$3:$H$119,6,FALSE),"")</f>
        <v>0</v>
      </c>
      <c r="M1622" s="77" t="str">
        <f>VLOOKUP(DESPESAS[[#This Row],[Plano de Contas]],BASE!$B$3:$H$119,7,FALSE)</f>
        <v>RAFAEL</v>
      </c>
    </row>
    <row r="1623" spans="1:13" x14ac:dyDescent="0.25">
      <c r="A1623" s="74">
        <v>198337</v>
      </c>
      <c r="B1623" s="75" t="s">
        <v>232</v>
      </c>
      <c r="C1623" s="75" t="s">
        <v>2149</v>
      </c>
      <c r="D1623" s="76">
        <v>46065</v>
      </c>
      <c r="E1623" s="75" t="s">
        <v>409</v>
      </c>
      <c r="F1623" s="74">
        <v>121.7</v>
      </c>
      <c r="G1623" s="75" t="s">
        <v>326</v>
      </c>
      <c r="H1623" s="77" t="str">
        <f>VLOOKUP(DESPESAS[[#This Row],[Plano de Contas]],BASE!$B$3:$D$119,3,FALSE)</f>
        <v>Frete sobre Compras</v>
      </c>
      <c r="I1623" s="77" t="str">
        <f>IFERROR(VLOOKUP(DESPESAS[[#This Row],[Fornecedor]],Tabela2[],2,FALSE),"")</f>
        <v>SERVIÇOS FRETE</v>
      </c>
      <c r="J1623" s="77" t="str">
        <f>IFERROR(VLOOKUP(DESPESAS[[#This Row],[Plano de Contas]],BASE!$B$3:$F$119,4,FALSE),"")</f>
        <v>1 - CPV</v>
      </c>
      <c r="K1623" s="77" t="str">
        <f>IFERROR(VLOOKUP(DESPESAS[[#This Row],[Plano de Contas]],BASE!$B$3:$H$119,5,FALSE),"")</f>
        <v>COMPRAS</v>
      </c>
      <c r="L1623" s="77">
        <f>IFERROR(VLOOKUP(DESPESAS[[#This Row],[Plano de Contas]],BASE!$B$3:$H$119,6,FALSE),"")</f>
        <v>0</v>
      </c>
      <c r="M1623" s="77" t="str">
        <f>VLOOKUP(DESPESAS[[#This Row],[Plano de Contas]],BASE!$B$3:$H$119,7,FALSE)</f>
        <v>MYLENA</v>
      </c>
    </row>
    <row r="1624" spans="1:13" x14ac:dyDescent="0.25">
      <c r="A1624" s="74">
        <v>198338</v>
      </c>
      <c r="B1624" s="75" t="s">
        <v>232</v>
      </c>
      <c r="C1624" s="75" t="s">
        <v>2148</v>
      </c>
      <c r="D1624" s="76">
        <v>46065</v>
      </c>
      <c r="E1624" s="75" t="s">
        <v>327</v>
      </c>
      <c r="F1624" s="74">
        <v>110.86</v>
      </c>
      <c r="G1624" s="75" t="s">
        <v>326</v>
      </c>
      <c r="H1624" s="77" t="str">
        <f>VLOOKUP(DESPESAS[[#This Row],[Plano de Contas]],BASE!$B$3:$D$119,3,FALSE)</f>
        <v>Frete sobre Compras</v>
      </c>
      <c r="I1624" s="77" t="str">
        <f>IFERROR(VLOOKUP(DESPESAS[[#This Row],[Fornecedor]],Tabela2[],2,FALSE),"")</f>
        <v>SERVIÇOS FRETE</v>
      </c>
      <c r="J1624" s="77" t="str">
        <f>IFERROR(VLOOKUP(DESPESAS[[#This Row],[Plano de Contas]],BASE!$B$3:$F$119,4,FALSE),"")</f>
        <v>1 - CPV</v>
      </c>
      <c r="K1624" s="77" t="str">
        <f>IFERROR(VLOOKUP(DESPESAS[[#This Row],[Plano de Contas]],BASE!$B$3:$H$119,5,FALSE),"")</f>
        <v>COMPRAS</v>
      </c>
      <c r="L1624" s="77">
        <f>IFERROR(VLOOKUP(DESPESAS[[#This Row],[Plano de Contas]],BASE!$B$3:$H$119,6,FALSE),"")</f>
        <v>0</v>
      </c>
      <c r="M1624" s="77" t="str">
        <f>VLOOKUP(DESPESAS[[#This Row],[Plano de Contas]],BASE!$B$3:$H$119,7,FALSE)</f>
        <v>MYLENA</v>
      </c>
    </row>
    <row r="1625" spans="1:13" x14ac:dyDescent="0.25">
      <c r="A1625" s="74">
        <v>198339</v>
      </c>
      <c r="B1625" s="75" t="s">
        <v>232</v>
      </c>
      <c r="C1625" s="75" t="s">
        <v>2147</v>
      </c>
      <c r="D1625" s="76">
        <v>46065</v>
      </c>
      <c r="E1625" s="75" t="s">
        <v>327</v>
      </c>
      <c r="F1625" s="74">
        <v>96.89</v>
      </c>
      <c r="G1625" s="75" t="s">
        <v>326</v>
      </c>
      <c r="H1625" s="77" t="str">
        <f>VLOOKUP(DESPESAS[[#This Row],[Plano de Contas]],BASE!$B$3:$D$119,3,FALSE)</f>
        <v>Frete sobre Compras</v>
      </c>
      <c r="I1625" s="77" t="str">
        <f>IFERROR(VLOOKUP(DESPESAS[[#This Row],[Fornecedor]],Tabela2[],2,FALSE),"")</f>
        <v>SERVIÇOS FRETE</v>
      </c>
      <c r="J1625" s="77" t="str">
        <f>IFERROR(VLOOKUP(DESPESAS[[#This Row],[Plano de Contas]],BASE!$B$3:$F$119,4,FALSE),"")</f>
        <v>1 - CPV</v>
      </c>
      <c r="K1625" s="77" t="str">
        <f>IFERROR(VLOOKUP(DESPESAS[[#This Row],[Plano de Contas]],BASE!$B$3:$H$119,5,FALSE),"")</f>
        <v>COMPRAS</v>
      </c>
      <c r="L1625" s="77">
        <f>IFERROR(VLOOKUP(DESPESAS[[#This Row],[Plano de Contas]],BASE!$B$3:$H$119,6,FALSE),"")</f>
        <v>0</v>
      </c>
      <c r="M1625" s="77" t="str">
        <f>VLOOKUP(DESPESAS[[#This Row],[Plano de Contas]],BASE!$B$3:$H$119,7,FALSE)</f>
        <v>MYLENA</v>
      </c>
    </row>
    <row r="1626" spans="1:13" x14ac:dyDescent="0.25">
      <c r="A1626" s="74">
        <v>198340</v>
      </c>
      <c r="B1626" s="75" t="s">
        <v>232</v>
      </c>
      <c r="C1626" s="75" t="s">
        <v>2146</v>
      </c>
      <c r="D1626" s="76">
        <v>46065</v>
      </c>
      <c r="E1626" s="75" t="s">
        <v>230</v>
      </c>
      <c r="F1626" s="74">
        <v>295.2</v>
      </c>
      <c r="G1626" s="75" t="s">
        <v>229</v>
      </c>
      <c r="H1626" s="77" t="str">
        <f>VLOOKUP(DESPESAS[[#This Row],[Plano de Contas]],BASE!$B$3:$D$119,3,FALSE)</f>
        <v>Despesas Bancarias</v>
      </c>
      <c r="I1626" s="77" t="str">
        <f>IFERROR(VLOOKUP(DESPESAS[[#This Row],[Fornecedor]],Tabela2[],2,FALSE),"")</f>
        <v/>
      </c>
      <c r="J1626" s="77" t="str">
        <f>IFERROR(VLOOKUP(DESPESAS[[#This Row],[Plano de Contas]],BASE!$B$3:$F$119,4,FALSE),"")</f>
        <v>8 - DESPESAS FINANCEIRAS</v>
      </c>
      <c r="K1626" s="77" t="str">
        <f>IFERROR(VLOOKUP(DESPESAS[[#This Row],[Plano de Contas]],BASE!$B$3:$H$119,5,FALSE),"")</f>
        <v>FINANCEIRO</v>
      </c>
      <c r="L1626" s="77">
        <f>IFERROR(VLOOKUP(DESPESAS[[#This Row],[Plano de Contas]],BASE!$B$3:$H$119,6,FALSE),"")</f>
        <v>0</v>
      </c>
      <c r="M1626" s="77" t="str">
        <f>VLOOKUP(DESPESAS[[#This Row],[Plano de Contas]],BASE!$B$3:$H$119,7,FALSE)</f>
        <v>LETÍCIA</v>
      </c>
    </row>
    <row r="1627" spans="1:13" x14ac:dyDescent="0.25">
      <c r="A1627" s="74">
        <v>198341</v>
      </c>
      <c r="B1627" s="75" t="s">
        <v>232</v>
      </c>
      <c r="C1627" s="75" t="s">
        <v>2145</v>
      </c>
      <c r="D1627" s="76">
        <v>46065</v>
      </c>
      <c r="E1627" s="75" t="s">
        <v>230</v>
      </c>
      <c r="F1627" s="74">
        <v>231.2</v>
      </c>
      <c r="G1627" s="75" t="s">
        <v>229</v>
      </c>
      <c r="H1627" s="77" t="str">
        <f>VLOOKUP(DESPESAS[[#This Row],[Plano de Contas]],BASE!$B$3:$D$119,3,FALSE)</f>
        <v>Despesas Bancarias</v>
      </c>
      <c r="I1627" s="77" t="str">
        <f>IFERROR(VLOOKUP(DESPESAS[[#This Row],[Fornecedor]],Tabela2[],2,FALSE),"")</f>
        <v/>
      </c>
      <c r="J1627" s="77" t="str">
        <f>IFERROR(VLOOKUP(DESPESAS[[#This Row],[Plano de Contas]],BASE!$B$3:$F$119,4,FALSE),"")</f>
        <v>8 - DESPESAS FINANCEIRAS</v>
      </c>
      <c r="K1627" s="77" t="str">
        <f>IFERROR(VLOOKUP(DESPESAS[[#This Row],[Plano de Contas]],BASE!$B$3:$H$119,5,FALSE),"")</f>
        <v>FINANCEIRO</v>
      </c>
      <c r="L1627" s="77">
        <f>IFERROR(VLOOKUP(DESPESAS[[#This Row],[Plano de Contas]],BASE!$B$3:$H$119,6,FALSE),"")</f>
        <v>0</v>
      </c>
      <c r="M1627" s="77" t="str">
        <f>VLOOKUP(DESPESAS[[#This Row],[Plano de Contas]],BASE!$B$3:$H$119,7,FALSE)</f>
        <v>LETÍCIA</v>
      </c>
    </row>
    <row r="1628" spans="1:13" x14ac:dyDescent="0.25">
      <c r="A1628" s="74">
        <v>198342</v>
      </c>
      <c r="B1628" s="75" t="s">
        <v>232</v>
      </c>
      <c r="C1628" s="75" t="s">
        <v>2144</v>
      </c>
      <c r="D1628" s="76">
        <v>46065</v>
      </c>
      <c r="E1628" s="75" t="s">
        <v>230</v>
      </c>
      <c r="F1628" s="74">
        <v>1832.94</v>
      </c>
      <c r="G1628" s="75" t="s">
        <v>251</v>
      </c>
      <c r="H1628" s="77" t="str">
        <f>VLOOKUP(DESPESAS[[#This Row],[Plano de Contas]],BASE!$B$3:$D$119,3,FALSE)</f>
        <v>Juros Pagos - Antecipação de Crédito</v>
      </c>
      <c r="I1628" s="77" t="str">
        <f>IFERROR(VLOOKUP(DESPESAS[[#This Row],[Fornecedor]],Tabela2[],2,FALSE),"")</f>
        <v/>
      </c>
      <c r="J1628" s="77" t="str">
        <f>IFERROR(VLOOKUP(DESPESAS[[#This Row],[Plano de Contas]],BASE!$B$3:$F$119,4,FALSE),"")</f>
        <v>8 - DESPESAS FINANCEIRAS</v>
      </c>
      <c r="K1628" s="77" t="str">
        <f>IFERROR(VLOOKUP(DESPESAS[[#This Row],[Plano de Contas]],BASE!$B$3:$H$119,5,FALSE),"")</f>
        <v>FINANCEIRO</v>
      </c>
      <c r="L1628" s="77">
        <f>IFERROR(VLOOKUP(DESPESAS[[#This Row],[Plano de Contas]],BASE!$B$3:$H$119,6,FALSE),"")</f>
        <v>0</v>
      </c>
      <c r="M1628" s="77" t="str">
        <f>VLOOKUP(DESPESAS[[#This Row],[Plano de Contas]],BASE!$B$3:$H$119,7,FALSE)</f>
        <v>LETÍCIA</v>
      </c>
    </row>
    <row r="1629" spans="1:13" x14ac:dyDescent="0.25">
      <c r="A1629" s="74">
        <v>198344</v>
      </c>
      <c r="B1629" s="75" t="s">
        <v>281</v>
      </c>
      <c r="C1629" s="75" t="s">
        <v>2143</v>
      </c>
      <c r="D1629" s="76">
        <v>46065</v>
      </c>
      <c r="E1629" s="75" t="s">
        <v>1007</v>
      </c>
      <c r="F1629" s="74">
        <v>212.5</v>
      </c>
      <c r="G1629" s="75" t="s">
        <v>1006</v>
      </c>
      <c r="H1629" s="77" t="str">
        <f>VLOOKUP(DESPESAS[[#This Row],[Plano de Contas]],BASE!$B$3:$D$119,3,FALSE)</f>
        <v>Material de Limpeza (Adm)</v>
      </c>
      <c r="I1629" s="77" t="str">
        <f>IFERROR(VLOOKUP(DESPESAS[[#This Row],[Fornecedor]],Tabela2[],2,FALSE),"")</f>
        <v/>
      </c>
      <c r="J1629" s="77" t="str">
        <f>IFERROR(VLOOKUP(DESPESAS[[#This Row],[Plano de Contas]],BASE!$B$3:$F$119,4,FALSE),"")</f>
        <v>5 - DESPESAS ADMINISTRATIVAS</v>
      </c>
      <c r="K1629" s="77" t="str">
        <f>IFERROR(VLOOKUP(DESPESAS[[#This Row],[Plano de Contas]],BASE!$B$3:$H$119,5,FALSE),"")</f>
        <v>ADMINISTRATIVO</v>
      </c>
      <c r="L1629" s="77">
        <f>IFERROR(VLOOKUP(DESPESAS[[#This Row],[Plano de Contas]],BASE!$B$3:$H$119,6,FALSE),"")</f>
        <v>0</v>
      </c>
      <c r="M1629" s="77" t="str">
        <f>VLOOKUP(DESPESAS[[#This Row],[Plano de Contas]],BASE!$B$3:$H$119,7,FALSE)</f>
        <v>MYLENA</v>
      </c>
    </row>
    <row r="1630" spans="1:13" x14ac:dyDescent="0.25">
      <c r="A1630" s="74">
        <v>198345</v>
      </c>
      <c r="B1630" s="75" t="s">
        <v>221</v>
      </c>
      <c r="C1630" s="75" t="s">
        <v>2142</v>
      </c>
      <c r="D1630" s="76">
        <v>46065</v>
      </c>
      <c r="E1630" s="75" t="s">
        <v>307</v>
      </c>
      <c r="F1630" s="74">
        <v>46.5</v>
      </c>
      <c r="G1630" s="75" t="s">
        <v>1037</v>
      </c>
      <c r="H1630" s="77" t="str">
        <f>VLOOKUP(DESPESAS[[#This Row],[Plano de Contas]],BASE!$B$3:$D$119,3,FALSE)</f>
        <v>Construções e Reformas</v>
      </c>
      <c r="I1630" s="77" t="str">
        <f>IFERROR(VLOOKUP(DESPESAS[[#This Row],[Fornecedor]],Tabela2[],2,FALSE),"")</f>
        <v>FERRAGENS GERAIS</v>
      </c>
      <c r="J1630" s="77" t="str">
        <f>IFERROR(VLOOKUP(DESPESAS[[#This Row],[Plano de Contas]],BASE!$B$3:$F$119,4,FALSE),"")</f>
        <v>9 - INVESTIMENTOS</v>
      </c>
      <c r="K1630" s="77" t="str">
        <f>IFERROR(VLOOKUP(DESPESAS[[#This Row],[Plano de Contas]],BASE!$B$3:$H$119,5,FALSE),"")</f>
        <v>MANUTENÇÃO / TI</v>
      </c>
      <c r="L1630" s="77">
        <f>IFERROR(VLOOKUP(DESPESAS[[#This Row],[Plano de Contas]],BASE!$B$3:$H$119,6,FALSE),"")</f>
        <v>0</v>
      </c>
      <c r="M1630" s="77" t="str">
        <f>VLOOKUP(DESPESAS[[#This Row],[Plano de Contas]],BASE!$B$3:$H$119,7,FALSE)</f>
        <v>FÁBIO</v>
      </c>
    </row>
    <row r="1631" spans="1:13" x14ac:dyDescent="0.25">
      <c r="A1631" s="74">
        <v>198346</v>
      </c>
      <c r="B1631" s="75" t="s">
        <v>221</v>
      </c>
      <c r="C1631" s="75" t="s">
        <v>2141</v>
      </c>
      <c r="D1631" s="76">
        <v>46065</v>
      </c>
      <c r="E1631" s="75" t="s">
        <v>970</v>
      </c>
      <c r="F1631" s="74">
        <v>110</v>
      </c>
      <c r="G1631" s="75" t="s">
        <v>218</v>
      </c>
      <c r="H1631" s="77" t="str">
        <f>VLOOKUP(DESPESAS[[#This Row],[Plano de Contas]],BASE!$B$3:$D$119,3,FALSE)</f>
        <v>Manutenção de Equipamentos (Prod)</v>
      </c>
      <c r="I1631" s="77" t="str">
        <f>IFERROR(VLOOKUP(DESPESAS[[#This Row],[Fornecedor]],Tabela2[],2,FALSE),"")</f>
        <v/>
      </c>
      <c r="J1631" s="77" t="str">
        <f>IFERROR(VLOOKUP(DESPESAS[[#This Row],[Plano de Contas]],BASE!$B$3:$F$119,4,FALSE),"")</f>
        <v>3 - CUSTOS INDIRETOS</v>
      </c>
      <c r="K1631" s="77" t="str">
        <f>IFERROR(VLOOKUP(DESPESAS[[#This Row],[Plano de Contas]],BASE!$B$3:$H$119,5,FALSE),"")</f>
        <v>MANUTENÇÃO / TI</v>
      </c>
      <c r="L1631" s="77">
        <f>IFERROR(VLOOKUP(DESPESAS[[#This Row],[Plano de Contas]],BASE!$B$3:$H$119,6,FALSE),"")</f>
        <v>0</v>
      </c>
      <c r="M1631" s="77" t="str">
        <f>VLOOKUP(DESPESAS[[#This Row],[Plano de Contas]],BASE!$B$3:$H$119,7,FALSE)</f>
        <v>RAFAEL</v>
      </c>
    </row>
    <row r="1632" spans="1:13" x14ac:dyDescent="0.25">
      <c r="A1632" s="74">
        <v>198347</v>
      </c>
      <c r="B1632" s="75" t="s">
        <v>221</v>
      </c>
      <c r="C1632" s="75" t="s">
        <v>2140</v>
      </c>
      <c r="D1632" s="76">
        <v>46065</v>
      </c>
      <c r="E1632" s="75" t="s">
        <v>970</v>
      </c>
      <c r="F1632" s="74">
        <v>70</v>
      </c>
      <c r="G1632" s="75" t="s">
        <v>489</v>
      </c>
      <c r="H1632" s="77" t="str">
        <f>VLOOKUP(DESPESAS[[#This Row],[Plano de Contas]],BASE!$B$3:$D$119,3,FALSE)</f>
        <v>Material de Limpeza CIF</v>
      </c>
      <c r="I1632" s="77" t="str">
        <f>IFERROR(VLOOKUP(DESPESAS[[#This Row],[Fornecedor]],Tabela2[],2,FALSE),"")</f>
        <v/>
      </c>
      <c r="J1632" s="77" t="str">
        <f>IFERROR(VLOOKUP(DESPESAS[[#This Row],[Plano de Contas]],BASE!$B$3:$F$119,4,FALSE),"")</f>
        <v>3 - CUSTOS INDIRETOS</v>
      </c>
      <c r="K1632" s="77" t="str">
        <f>IFERROR(VLOOKUP(DESPESAS[[#This Row],[Plano de Contas]],BASE!$B$3:$H$119,5,FALSE),"")</f>
        <v>COMPRAS</v>
      </c>
      <c r="L1632" s="77">
        <f>IFERROR(VLOOKUP(DESPESAS[[#This Row],[Plano de Contas]],BASE!$B$3:$H$119,6,FALSE),"")</f>
        <v>0</v>
      </c>
      <c r="M1632" s="77" t="str">
        <f>VLOOKUP(DESPESAS[[#This Row],[Plano de Contas]],BASE!$B$3:$H$119,7,FALSE)</f>
        <v>MYLENA</v>
      </c>
    </row>
    <row r="1633" spans="1:13" x14ac:dyDescent="0.25">
      <c r="A1633" s="74">
        <v>198348</v>
      </c>
      <c r="B1633" s="75" t="s">
        <v>232</v>
      </c>
      <c r="C1633" s="75" t="s">
        <v>2139</v>
      </c>
      <c r="D1633" s="76">
        <v>46065</v>
      </c>
      <c r="E1633" s="75" t="s">
        <v>2138</v>
      </c>
      <c r="F1633" s="74">
        <v>192</v>
      </c>
      <c r="G1633" s="75" t="s">
        <v>561</v>
      </c>
      <c r="H1633" s="77" t="str">
        <f>VLOOKUP(DESPESAS[[#This Row],[Plano de Contas]],BASE!$B$3:$D$119,3,FALSE)</f>
        <v>Sistemas de Informação</v>
      </c>
      <c r="I1633" s="77" t="str">
        <f>IFERROR(VLOOKUP(DESPESAS[[#This Row],[Fornecedor]],Tabela2[],2,FALSE),"")</f>
        <v/>
      </c>
      <c r="J1633" s="77" t="str">
        <f>IFERROR(VLOOKUP(DESPESAS[[#This Row],[Plano de Contas]],BASE!$B$3:$F$119,4,FALSE),"")</f>
        <v>7 - SERVIÇOS DE TERCEIROS</v>
      </c>
      <c r="K1633" s="77" t="str">
        <f>IFERROR(VLOOKUP(DESPESAS[[#This Row],[Plano de Contas]],BASE!$B$3:$H$119,5,FALSE),"")</f>
        <v>MANUTENÇÃO / TI</v>
      </c>
      <c r="L1633" s="77">
        <f>IFERROR(VLOOKUP(DESPESAS[[#This Row],[Plano de Contas]],BASE!$B$3:$H$119,6,FALSE),"")</f>
        <v>0</v>
      </c>
      <c r="M1633" s="77" t="str">
        <f>VLOOKUP(DESPESAS[[#This Row],[Plano de Contas]],BASE!$B$3:$H$119,7,FALSE)</f>
        <v>LETÍCIA</v>
      </c>
    </row>
    <row r="1634" spans="1:13" x14ac:dyDescent="0.25">
      <c r="A1634" s="74">
        <v>198349</v>
      </c>
      <c r="B1634" s="75" t="s">
        <v>232</v>
      </c>
      <c r="C1634" s="75" t="s">
        <v>2137</v>
      </c>
      <c r="D1634" s="76">
        <v>46065</v>
      </c>
      <c r="E1634" s="75" t="s">
        <v>619</v>
      </c>
      <c r="F1634" s="74">
        <v>646.6</v>
      </c>
      <c r="G1634" s="75" t="s">
        <v>218</v>
      </c>
      <c r="H1634" s="77" t="str">
        <f>VLOOKUP(DESPESAS[[#This Row],[Plano de Contas]],BASE!$B$3:$D$119,3,FALSE)</f>
        <v>Manutenção de Equipamentos (Prod)</v>
      </c>
      <c r="I1634" s="77" t="str">
        <f>IFERROR(VLOOKUP(DESPESAS[[#This Row],[Fornecedor]],Tabela2[],2,FALSE),"")</f>
        <v>MAQUINAS DE COSTURA</v>
      </c>
      <c r="J1634" s="77" t="str">
        <f>IFERROR(VLOOKUP(DESPESAS[[#This Row],[Plano de Contas]],BASE!$B$3:$F$119,4,FALSE),"")</f>
        <v>3 - CUSTOS INDIRETOS</v>
      </c>
      <c r="K1634" s="77" t="str">
        <f>IFERROR(VLOOKUP(DESPESAS[[#This Row],[Plano de Contas]],BASE!$B$3:$H$119,5,FALSE),"")</f>
        <v>MANUTENÇÃO / TI</v>
      </c>
      <c r="L1634" s="77">
        <f>IFERROR(VLOOKUP(DESPESAS[[#This Row],[Plano de Contas]],BASE!$B$3:$H$119,6,FALSE),"")</f>
        <v>0</v>
      </c>
      <c r="M1634" s="77" t="str">
        <f>VLOOKUP(DESPESAS[[#This Row],[Plano de Contas]],BASE!$B$3:$H$119,7,FALSE)</f>
        <v>RAFAEL</v>
      </c>
    </row>
    <row r="1635" spans="1:13" x14ac:dyDescent="0.25">
      <c r="A1635" s="74">
        <v>198350</v>
      </c>
      <c r="B1635" s="75" t="s">
        <v>221</v>
      </c>
      <c r="C1635" s="75" t="s">
        <v>2136</v>
      </c>
      <c r="D1635" s="76">
        <v>46065</v>
      </c>
      <c r="E1635" s="75" t="s">
        <v>320</v>
      </c>
      <c r="F1635" s="74">
        <v>75</v>
      </c>
      <c r="G1635" s="75" t="s">
        <v>222</v>
      </c>
      <c r="H1635" s="77" t="str">
        <f>VLOOKUP(DESPESAS[[#This Row],[Plano de Contas]],BASE!$B$3:$D$119,3,FALSE)</f>
        <v>Alimentação</v>
      </c>
      <c r="I1635" s="77" t="str">
        <f>IFERROR(VLOOKUP(DESPESAS[[#This Row],[Fornecedor]],Tabela2[],2,FALSE),"")</f>
        <v/>
      </c>
      <c r="J1635" s="77" t="str">
        <f>IFERROR(VLOOKUP(DESPESAS[[#This Row],[Plano de Contas]],BASE!$B$3:$F$119,4,FALSE),"")</f>
        <v>5 - DESPESAS ADMINISTRATIVAS</v>
      </c>
      <c r="K1635" s="77" t="str">
        <f>IFERROR(VLOOKUP(DESPESAS[[#This Row],[Plano de Contas]],BASE!$B$3:$H$119,5,FALSE),"")</f>
        <v>FINANCEIRO</v>
      </c>
      <c r="L1635" s="77">
        <f>IFERROR(VLOOKUP(DESPESAS[[#This Row],[Plano de Contas]],BASE!$B$3:$H$119,6,FALSE),"")</f>
        <v>0</v>
      </c>
      <c r="M1635" s="77" t="str">
        <f>VLOOKUP(DESPESAS[[#This Row],[Plano de Contas]],BASE!$B$3:$H$119,7,FALSE)</f>
        <v>MYLENA</v>
      </c>
    </row>
    <row r="1636" spans="1:13" x14ac:dyDescent="0.25">
      <c r="A1636" s="74">
        <v>198351</v>
      </c>
      <c r="B1636" s="75" t="s">
        <v>221</v>
      </c>
      <c r="C1636" s="75" t="s">
        <v>2135</v>
      </c>
      <c r="D1636" s="76">
        <v>46065</v>
      </c>
      <c r="E1636" s="75" t="s">
        <v>2134</v>
      </c>
      <c r="F1636" s="74">
        <v>15</v>
      </c>
      <c r="G1636" s="75" t="s">
        <v>244</v>
      </c>
      <c r="H1636" s="77" t="str">
        <f>VLOOKUP(DESPESAS[[#This Row],[Plano de Contas]],BASE!$B$3:$D$119,3,FALSE)</f>
        <v>Material de Expediente (Prod)</v>
      </c>
      <c r="I1636" s="77" t="str">
        <f>IFERROR(VLOOKUP(DESPESAS[[#This Row],[Fornecedor]],Tabela2[],2,FALSE),"")</f>
        <v/>
      </c>
      <c r="J1636" s="77" t="str">
        <f>IFERROR(VLOOKUP(DESPESAS[[#This Row],[Plano de Contas]],BASE!$B$3:$F$119,4,FALSE),"")</f>
        <v>2 - CUSTOS DIRETOS</v>
      </c>
      <c r="K1636" s="77" t="str">
        <f>IFERROR(VLOOKUP(DESPESAS[[#This Row],[Plano de Contas]],BASE!$B$3:$H$119,5,FALSE),"")</f>
        <v>PRODUÇÃO</v>
      </c>
      <c r="L1636" s="77">
        <f>IFERROR(VLOOKUP(DESPESAS[[#This Row],[Plano de Contas]],BASE!$B$3:$H$119,6,FALSE),"")</f>
        <v>0</v>
      </c>
      <c r="M1636" s="77" t="str">
        <f>VLOOKUP(DESPESAS[[#This Row],[Plano de Contas]],BASE!$B$3:$H$119,7,FALSE)</f>
        <v>RAFAEL</v>
      </c>
    </row>
    <row r="1637" spans="1:13" x14ac:dyDescent="0.25">
      <c r="A1637" s="74">
        <v>198352</v>
      </c>
      <c r="B1637" s="75" t="s">
        <v>232</v>
      </c>
      <c r="C1637" s="75" t="s">
        <v>2133</v>
      </c>
      <c r="D1637" s="76">
        <v>46065</v>
      </c>
      <c r="E1637" s="75" t="s">
        <v>1974</v>
      </c>
      <c r="F1637" s="74">
        <v>102.37</v>
      </c>
      <c r="G1637" s="75" t="s">
        <v>326</v>
      </c>
      <c r="H1637" s="77" t="str">
        <f>VLOOKUP(DESPESAS[[#This Row],[Plano de Contas]],BASE!$B$3:$D$119,3,FALSE)</f>
        <v>Frete sobre Compras</v>
      </c>
      <c r="I1637" s="77" t="str">
        <f>IFERROR(VLOOKUP(DESPESAS[[#This Row],[Fornecedor]],Tabela2[],2,FALSE),"")</f>
        <v/>
      </c>
      <c r="J1637" s="77" t="str">
        <f>IFERROR(VLOOKUP(DESPESAS[[#This Row],[Plano de Contas]],BASE!$B$3:$F$119,4,FALSE),"")</f>
        <v>1 - CPV</v>
      </c>
      <c r="K1637" s="77" t="str">
        <f>IFERROR(VLOOKUP(DESPESAS[[#This Row],[Plano de Contas]],BASE!$B$3:$H$119,5,FALSE),"")</f>
        <v>COMPRAS</v>
      </c>
      <c r="L1637" s="77">
        <f>IFERROR(VLOOKUP(DESPESAS[[#This Row],[Plano de Contas]],BASE!$B$3:$H$119,6,FALSE),"")</f>
        <v>0</v>
      </c>
      <c r="M1637" s="77" t="str">
        <f>VLOOKUP(DESPESAS[[#This Row],[Plano de Contas]],BASE!$B$3:$H$119,7,FALSE)</f>
        <v>MYLENA</v>
      </c>
    </row>
    <row r="1638" spans="1:13" x14ac:dyDescent="0.25">
      <c r="A1638" s="74">
        <v>198353</v>
      </c>
      <c r="B1638" s="75" t="s">
        <v>232</v>
      </c>
      <c r="C1638" s="75" t="s">
        <v>2132</v>
      </c>
      <c r="D1638" s="76">
        <v>46065</v>
      </c>
      <c r="E1638" s="75" t="s">
        <v>303</v>
      </c>
      <c r="F1638" s="74">
        <v>341.6</v>
      </c>
      <c r="G1638" s="75" t="s">
        <v>247</v>
      </c>
      <c r="H1638" s="77" t="str">
        <f>VLOOKUP(DESPESAS[[#This Row],[Plano de Contas]],BASE!$B$3:$D$119,3,FALSE)</f>
        <v>Manutenção com veiculos</v>
      </c>
      <c r="I1638" s="77" t="str">
        <f>IFERROR(VLOOKUP(DESPESAS[[#This Row],[Fornecedor]],Tabela2[],2,FALSE),"")</f>
        <v/>
      </c>
      <c r="J1638" s="77" t="str">
        <f>IFERROR(VLOOKUP(DESPESAS[[#This Row],[Plano de Contas]],BASE!$B$3:$F$119,4,FALSE),"")</f>
        <v>6 - DESPESA COM VENDAS</v>
      </c>
      <c r="K1638" s="77" t="str">
        <f>IFERROR(VLOOKUP(DESPESAS[[#This Row],[Plano de Contas]],BASE!$B$3:$H$119,5,FALSE),"")</f>
        <v>LOGÍSTICA</v>
      </c>
      <c r="L1638" s="77">
        <f>IFERROR(VLOOKUP(DESPESAS[[#This Row],[Plano de Contas]],BASE!$B$3:$H$119,6,FALSE),"")</f>
        <v>0</v>
      </c>
      <c r="M1638" s="77" t="str">
        <f>VLOOKUP(DESPESAS[[#This Row],[Plano de Contas]],BASE!$B$3:$H$119,7,FALSE)</f>
        <v>MYLENA</v>
      </c>
    </row>
    <row r="1639" spans="1:13" x14ac:dyDescent="0.25">
      <c r="A1639" s="74">
        <v>198354</v>
      </c>
      <c r="B1639" s="75" t="s">
        <v>232</v>
      </c>
      <c r="C1639" s="75" t="s">
        <v>2131</v>
      </c>
      <c r="D1639" s="76">
        <v>46066</v>
      </c>
      <c r="E1639" s="75" t="s">
        <v>329</v>
      </c>
      <c r="F1639" s="74">
        <v>144.80000000000001</v>
      </c>
      <c r="G1639" s="75" t="s">
        <v>326</v>
      </c>
      <c r="H1639" s="77" t="str">
        <f>VLOOKUP(DESPESAS[[#This Row],[Plano de Contas]],BASE!$B$3:$D$119,3,FALSE)</f>
        <v>Frete sobre Compras</v>
      </c>
      <c r="I1639" s="77" t="str">
        <f>IFERROR(VLOOKUP(DESPESAS[[#This Row],[Fornecedor]],Tabela2[],2,FALSE),"")</f>
        <v/>
      </c>
      <c r="J1639" s="77" t="str">
        <f>IFERROR(VLOOKUP(DESPESAS[[#This Row],[Plano de Contas]],BASE!$B$3:$F$119,4,FALSE),"")</f>
        <v>1 - CPV</v>
      </c>
      <c r="K1639" s="77" t="str">
        <f>IFERROR(VLOOKUP(DESPESAS[[#This Row],[Plano de Contas]],BASE!$B$3:$H$119,5,FALSE),"")</f>
        <v>COMPRAS</v>
      </c>
      <c r="L1639" s="77">
        <f>IFERROR(VLOOKUP(DESPESAS[[#This Row],[Plano de Contas]],BASE!$B$3:$H$119,6,FALSE),"")</f>
        <v>0</v>
      </c>
      <c r="M1639" s="77" t="str">
        <f>VLOOKUP(DESPESAS[[#This Row],[Plano de Contas]],BASE!$B$3:$H$119,7,FALSE)</f>
        <v>MYLENA</v>
      </c>
    </row>
    <row r="1640" spans="1:13" x14ac:dyDescent="0.25">
      <c r="A1640" s="74">
        <v>198355</v>
      </c>
      <c r="B1640" s="75" t="s">
        <v>232</v>
      </c>
      <c r="C1640" s="75" t="s">
        <v>2130</v>
      </c>
      <c r="D1640" s="76">
        <v>46065</v>
      </c>
      <c r="E1640" s="75" t="s">
        <v>230</v>
      </c>
      <c r="F1640" s="74">
        <v>7.9</v>
      </c>
      <c r="G1640" s="75" t="s">
        <v>229</v>
      </c>
      <c r="H1640" s="77" t="str">
        <f>VLOOKUP(DESPESAS[[#This Row],[Plano de Contas]],BASE!$B$3:$D$119,3,FALSE)</f>
        <v>Despesas Bancarias</v>
      </c>
      <c r="I1640" s="77" t="str">
        <f>IFERROR(VLOOKUP(DESPESAS[[#This Row],[Fornecedor]],Tabela2[],2,FALSE),"")</f>
        <v/>
      </c>
      <c r="J1640" s="77" t="str">
        <f>IFERROR(VLOOKUP(DESPESAS[[#This Row],[Plano de Contas]],BASE!$B$3:$F$119,4,FALSE),"")</f>
        <v>8 - DESPESAS FINANCEIRAS</v>
      </c>
      <c r="K1640" s="77" t="str">
        <f>IFERROR(VLOOKUP(DESPESAS[[#This Row],[Plano de Contas]],BASE!$B$3:$H$119,5,FALSE),"")</f>
        <v>FINANCEIRO</v>
      </c>
      <c r="L1640" s="77">
        <f>IFERROR(VLOOKUP(DESPESAS[[#This Row],[Plano de Contas]],BASE!$B$3:$H$119,6,FALSE),"")</f>
        <v>0</v>
      </c>
      <c r="M1640" s="77" t="str">
        <f>VLOOKUP(DESPESAS[[#This Row],[Plano de Contas]],BASE!$B$3:$H$119,7,FALSE)</f>
        <v>LETÍCIA</v>
      </c>
    </row>
    <row r="1641" spans="1:13" x14ac:dyDescent="0.25">
      <c r="A1641" s="74">
        <v>198356</v>
      </c>
      <c r="B1641" s="75" t="s">
        <v>232</v>
      </c>
      <c r="C1641" s="75" t="s">
        <v>2129</v>
      </c>
      <c r="D1641" s="76">
        <v>46066</v>
      </c>
      <c r="E1641" s="75" t="s">
        <v>230</v>
      </c>
      <c r="F1641" s="74">
        <v>0.19</v>
      </c>
      <c r="G1641" s="75" t="s">
        <v>229</v>
      </c>
      <c r="H1641" s="77" t="str">
        <f>VLOOKUP(DESPESAS[[#This Row],[Plano de Contas]],BASE!$B$3:$D$119,3,FALSE)</f>
        <v>Despesas Bancarias</v>
      </c>
      <c r="I1641" s="77" t="str">
        <f>IFERROR(VLOOKUP(DESPESAS[[#This Row],[Fornecedor]],Tabela2[],2,FALSE),"")</f>
        <v/>
      </c>
      <c r="J1641" s="77" t="str">
        <f>IFERROR(VLOOKUP(DESPESAS[[#This Row],[Plano de Contas]],BASE!$B$3:$F$119,4,FALSE),"")</f>
        <v>8 - DESPESAS FINANCEIRAS</v>
      </c>
      <c r="K1641" s="77" t="str">
        <f>IFERROR(VLOOKUP(DESPESAS[[#This Row],[Plano de Contas]],BASE!$B$3:$H$119,5,FALSE),"")</f>
        <v>FINANCEIRO</v>
      </c>
      <c r="L1641" s="77">
        <f>IFERROR(VLOOKUP(DESPESAS[[#This Row],[Plano de Contas]],BASE!$B$3:$H$119,6,FALSE),"")</f>
        <v>0</v>
      </c>
      <c r="M1641" s="77" t="str">
        <f>VLOOKUP(DESPESAS[[#This Row],[Plano de Contas]],BASE!$B$3:$H$119,7,FALSE)</f>
        <v>LETÍCIA</v>
      </c>
    </row>
    <row r="1642" spans="1:13" x14ac:dyDescent="0.25">
      <c r="A1642" s="74">
        <v>198357</v>
      </c>
      <c r="B1642" s="75" t="s">
        <v>279</v>
      </c>
      <c r="C1642" s="75" t="s">
        <v>2128</v>
      </c>
      <c r="D1642" s="76">
        <v>46065</v>
      </c>
      <c r="E1642" s="75" t="s">
        <v>230</v>
      </c>
      <c r="F1642" s="74">
        <v>1.58</v>
      </c>
      <c r="G1642" s="75" t="s">
        <v>229</v>
      </c>
      <c r="H1642" s="77" t="str">
        <f>VLOOKUP(DESPESAS[[#This Row],[Plano de Contas]],BASE!$B$3:$D$119,3,FALSE)</f>
        <v>Despesas Bancarias</v>
      </c>
      <c r="I1642" s="77" t="str">
        <f>IFERROR(VLOOKUP(DESPESAS[[#This Row],[Fornecedor]],Tabela2[],2,FALSE),"")</f>
        <v/>
      </c>
      <c r="J1642" s="77" t="str">
        <f>IFERROR(VLOOKUP(DESPESAS[[#This Row],[Plano de Contas]],BASE!$B$3:$F$119,4,FALSE),"")</f>
        <v>8 - DESPESAS FINANCEIRAS</v>
      </c>
      <c r="K1642" s="77" t="str">
        <f>IFERROR(VLOOKUP(DESPESAS[[#This Row],[Plano de Contas]],BASE!$B$3:$H$119,5,FALSE),"")</f>
        <v>FINANCEIRO</v>
      </c>
      <c r="L1642" s="77">
        <f>IFERROR(VLOOKUP(DESPESAS[[#This Row],[Plano de Contas]],BASE!$B$3:$H$119,6,FALSE),"")</f>
        <v>0</v>
      </c>
      <c r="M1642" s="77" t="str">
        <f>VLOOKUP(DESPESAS[[#This Row],[Plano de Contas]],BASE!$B$3:$H$119,7,FALSE)</f>
        <v>LETÍCIA</v>
      </c>
    </row>
    <row r="1643" spans="1:13" x14ac:dyDescent="0.25">
      <c r="A1643" s="74">
        <v>198358</v>
      </c>
      <c r="B1643" s="75" t="s">
        <v>281</v>
      </c>
      <c r="C1643" s="75" t="s">
        <v>2127</v>
      </c>
      <c r="D1643" s="76">
        <v>46065</v>
      </c>
      <c r="E1643" s="75" t="s">
        <v>230</v>
      </c>
      <c r="F1643" s="74">
        <v>0.79</v>
      </c>
      <c r="G1643" s="75" t="s">
        <v>229</v>
      </c>
      <c r="H1643" s="77" t="str">
        <f>VLOOKUP(DESPESAS[[#This Row],[Plano de Contas]],BASE!$B$3:$D$119,3,FALSE)</f>
        <v>Despesas Bancarias</v>
      </c>
      <c r="I1643" s="77" t="str">
        <f>IFERROR(VLOOKUP(DESPESAS[[#This Row],[Fornecedor]],Tabela2[],2,FALSE),"")</f>
        <v/>
      </c>
      <c r="J1643" s="77" t="str">
        <f>IFERROR(VLOOKUP(DESPESAS[[#This Row],[Plano de Contas]],BASE!$B$3:$F$119,4,FALSE),"")</f>
        <v>8 - DESPESAS FINANCEIRAS</v>
      </c>
      <c r="K1643" s="77" t="str">
        <f>IFERROR(VLOOKUP(DESPESAS[[#This Row],[Plano de Contas]],BASE!$B$3:$H$119,5,FALSE),"")</f>
        <v>FINANCEIRO</v>
      </c>
      <c r="L1643" s="77">
        <f>IFERROR(VLOOKUP(DESPESAS[[#This Row],[Plano de Contas]],BASE!$B$3:$H$119,6,FALSE),"")</f>
        <v>0</v>
      </c>
      <c r="M1643" s="77" t="str">
        <f>VLOOKUP(DESPESAS[[#This Row],[Plano de Contas]],BASE!$B$3:$H$119,7,FALSE)</f>
        <v>LETÍCIA</v>
      </c>
    </row>
    <row r="1644" spans="1:13" x14ac:dyDescent="0.25">
      <c r="A1644" s="74">
        <v>198359</v>
      </c>
      <c r="B1644" s="75" t="s">
        <v>232</v>
      </c>
      <c r="C1644" s="75" t="s">
        <v>2126</v>
      </c>
      <c r="D1644" s="76">
        <v>46058</v>
      </c>
      <c r="E1644" s="75" t="s">
        <v>1619</v>
      </c>
      <c r="F1644" s="74">
        <v>78.73</v>
      </c>
      <c r="G1644" s="75" t="s">
        <v>326</v>
      </c>
      <c r="H1644" s="77" t="str">
        <f>VLOOKUP(DESPESAS[[#This Row],[Plano de Contas]],BASE!$B$3:$D$119,3,FALSE)</f>
        <v>Frete sobre Compras</v>
      </c>
      <c r="I1644" s="77" t="str">
        <f>IFERROR(VLOOKUP(DESPESAS[[#This Row],[Fornecedor]],Tabela2[],2,FALSE),"")</f>
        <v/>
      </c>
      <c r="J1644" s="77" t="str">
        <f>IFERROR(VLOOKUP(DESPESAS[[#This Row],[Plano de Contas]],BASE!$B$3:$F$119,4,FALSE),"")</f>
        <v>1 - CPV</v>
      </c>
      <c r="K1644" s="77" t="str">
        <f>IFERROR(VLOOKUP(DESPESAS[[#This Row],[Plano de Contas]],BASE!$B$3:$H$119,5,FALSE),"")</f>
        <v>COMPRAS</v>
      </c>
      <c r="L1644" s="77">
        <f>IFERROR(VLOOKUP(DESPESAS[[#This Row],[Plano de Contas]],BASE!$B$3:$H$119,6,FALSE),"")</f>
        <v>0</v>
      </c>
      <c r="M1644" s="77" t="str">
        <f>VLOOKUP(DESPESAS[[#This Row],[Plano de Contas]],BASE!$B$3:$H$119,7,FALSE)</f>
        <v>MYLENA</v>
      </c>
    </row>
    <row r="1645" spans="1:13" x14ac:dyDescent="0.25">
      <c r="A1645" s="74">
        <v>198361</v>
      </c>
      <c r="B1645" s="75" t="s">
        <v>232</v>
      </c>
      <c r="C1645" s="75" t="s">
        <v>2125</v>
      </c>
      <c r="D1645" s="76">
        <v>46066</v>
      </c>
      <c r="E1645" s="75" t="s">
        <v>327</v>
      </c>
      <c r="F1645" s="74">
        <v>230</v>
      </c>
      <c r="G1645" s="75" t="s">
        <v>326</v>
      </c>
      <c r="H1645" s="77" t="str">
        <f>VLOOKUP(DESPESAS[[#This Row],[Plano de Contas]],BASE!$B$3:$D$119,3,FALSE)</f>
        <v>Frete sobre Compras</v>
      </c>
      <c r="I1645" s="77" t="str">
        <f>IFERROR(VLOOKUP(DESPESAS[[#This Row],[Fornecedor]],Tabela2[],2,FALSE),"")</f>
        <v>SERVIÇOS FRETE</v>
      </c>
      <c r="J1645" s="77" t="str">
        <f>IFERROR(VLOOKUP(DESPESAS[[#This Row],[Plano de Contas]],BASE!$B$3:$F$119,4,FALSE),"")</f>
        <v>1 - CPV</v>
      </c>
      <c r="K1645" s="77" t="str">
        <f>IFERROR(VLOOKUP(DESPESAS[[#This Row],[Plano de Contas]],BASE!$B$3:$H$119,5,FALSE),"")</f>
        <v>COMPRAS</v>
      </c>
      <c r="L1645" s="77">
        <f>IFERROR(VLOOKUP(DESPESAS[[#This Row],[Plano de Contas]],BASE!$B$3:$H$119,6,FALSE),"")</f>
        <v>0</v>
      </c>
      <c r="M1645" s="77" t="str">
        <f>VLOOKUP(DESPESAS[[#This Row],[Plano de Contas]],BASE!$B$3:$H$119,7,FALSE)</f>
        <v>MYLENA</v>
      </c>
    </row>
    <row r="1646" spans="1:13" x14ac:dyDescent="0.25">
      <c r="A1646" s="74">
        <v>198362</v>
      </c>
      <c r="B1646" s="75" t="s">
        <v>232</v>
      </c>
      <c r="C1646" s="75" t="s">
        <v>2124</v>
      </c>
      <c r="D1646" s="76">
        <v>46058</v>
      </c>
      <c r="E1646" s="75" t="s">
        <v>409</v>
      </c>
      <c r="F1646" s="74">
        <v>459.74</v>
      </c>
      <c r="G1646" s="75" t="s">
        <v>326</v>
      </c>
      <c r="H1646" s="77" t="str">
        <f>VLOOKUP(DESPESAS[[#This Row],[Plano de Contas]],BASE!$B$3:$D$119,3,FALSE)</f>
        <v>Frete sobre Compras</v>
      </c>
      <c r="I1646" s="77" t="str">
        <f>IFERROR(VLOOKUP(DESPESAS[[#This Row],[Fornecedor]],Tabela2[],2,FALSE),"")</f>
        <v>SERVIÇOS FRETE</v>
      </c>
      <c r="J1646" s="77" t="str">
        <f>IFERROR(VLOOKUP(DESPESAS[[#This Row],[Plano de Contas]],BASE!$B$3:$F$119,4,FALSE),"")</f>
        <v>1 - CPV</v>
      </c>
      <c r="K1646" s="77" t="str">
        <f>IFERROR(VLOOKUP(DESPESAS[[#This Row],[Plano de Contas]],BASE!$B$3:$H$119,5,FALSE),"")</f>
        <v>COMPRAS</v>
      </c>
      <c r="L1646" s="77">
        <f>IFERROR(VLOOKUP(DESPESAS[[#This Row],[Plano de Contas]],BASE!$B$3:$H$119,6,FALSE),"")</f>
        <v>0</v>
      </c>
      <c r="M1646" s="77" t="str">
        <f>VLOOKUP(DESPESAS[[#This Row],[Plano de Contas]],BASE!$B$3:$H$119,7,FALSE)</f>
        <v>MYLENA</v>
      </c>
    </row>
    <row r="1647" spans="1:13" x14ac:dyDescent="0.25">
      <c r="A1647" s="74">
        <v>198363</v>
      </c>
      <c r="B1647" s="75" t="s">
        <v>232</v>
      </c>
      <c r="C1647" s="75" t="s">
        <v>2123</v>
      </c>
      <c r="D1647" s="76">
        <v>46066</v>
      </c>
      <c r="E1647" s="75" t="s">
        <v>2122</v>
      </c>
      <c r="F1647" s="74">
        <v>861.48</v>
      </c>
      <c r="G1647" s="75" t="s">
        <v>326</v>
      </c>
      <c r="H1647" s="77" t="str">
        <f>VLOOKUP(DESPESAS[[#This Row],[Plano de Contas]],BASE!$B$3:$D$119,3,FALSE)</f>
        <v>Frete sobre Compras</v>
      </c>
      <c r="I1647" s="77" t="str">
        <f>IFERROR(VLOOKUP(DESPESAS[[#This Row],[Fornecedor]],Tabela2[],2,FALSE),"")</f>
        <v/>
      </c>
      <c r="J1647" s="77" t="str">
        <f>IFERROR(VLOOKUP(DESPESAS[[#This Row],[Plano de Contas]],BASE!$B$3:$F$119,4,FALSE),"")</f>
        <v>1 - CPV</v>
      </c>
      <c r="K1647" s="77" t="str">
        <f>IFERROR(VLOOKUP(DESPESAS[[#This Row],[Plano de Contas]],BASE!$B$3:$H$119,5,FALSE),"")</f>
        <v>COMPRAS</v>
      </c>
      <c r="L1647" s="77">
        <f>IFERROR(VLOOKUP(DESPESAS[[#This Row],[Plano de Contas]],BASE!$B$3:$H$119,6,FALSE),"")</f>
        <v>0</v>
      </c>
      <c r="M1647" s="77" t="str">
        <f>VLOOKUP(DESPESAS[[#This Row],[Plano de Contas]],BASE!$B$3:$H$119,7,FALSE)</f>
        <v>MYLENA</v>
      </c>
    </row>
    <row r="1648" spans="1:13" x14ac:dyDescent="0.25">
      <c r="A1648" s="74">
        <v>198364</v>
      </c>
      <c r="B1648" s="75" t="s">
        <v>232</v>
      </c>
      <c r="C1648" s="75" t="s">
        <v>2121</v>
      </c>
      <c r="D1648" s="76">
        <v>46066</v>
      </c>
      <c r="E1648" s="75" t="s">
        <v>409</v>
      </c>
      <c r="F1648" s="74">
        <v>308.32</v>
      </c>
      <c r="G1648" s="75" t="s">
        <v>326</v>
      </c>
      <c r="H1648" s="77" t="str">
        <f>VLOOKUP(DESPESAS[[#This Row],[Plano de Contas]],BASE!$B$3:$D$119,3,FALSE)</f>
        <v>Frete sobre Compras</v>
      </c>
      <c r="I1648" s="77" t="str">
        <f>IFERROR(VLOOKUP(DESPESAS[[#This Row],[Fornecedor]],Tabela2[],2,FALSE),"")</f>
        <v>SERVIÇOS FRETE</v>
      </c>
      <c r="J1648" s="77" t="str">
        <f>IFERROR(VLOOKUP(DESPESAS[[#This Row],[Plano de Contas]],BASE!$B$3:$F$119,4,FALSE),"")</f>
        <v>1 - CPV</v>
      </c>
      <c r="K1648" s="77" t="str">
        <f>IFERROR(VLOOKUP(DESPESAS[[#This Row],[Plano de Contas]],BASE!$B$3:$H$119,5,FALSE),"")</f>
        <v>COMPRAS</v>
      </c>
      <c r="L1648" s="77">
        <f>IFERROR(VLOOKUP(DESPESAS[[#This Row],[Plano de Contas]],BASE!$B$3:$H$119,6,FALSE),"")</f>
        <v>0</v>
      </c>
      <c r="M1648" s="77" t="str">
        <f>VLOOKUP(DESPESAS[[#This Row],[Plano de Contas]],BASE!$B$3:$H$119,7,FALSE)</f>
        <v>MYLENA</v>
      </c>
    </row>
    <row r="1649" spans="1:13" x14ac:dyDescent="0.25">
      <c r="A1649" s="74">
        <v>198365</v>
      </c>
      <c r="B1649" s="75" t="s">
        <v>232</v>
      </c>
      <c r="C1649" s="75" t="s">
        <v>2120</v>
      </c>
      <c r="D1649" s="76">
        <v>46066</v>
      </c>
      <c r="E1649" s="75" t="s">
        <v>409</v>
      </c>
      <c r="F1649" s="74">
        <v>111.33</v>
      </c>
      <c r="G1649" s="75" t="s">
        <v>326</v>
      </c>
      <c r="H1649" s="77" t="str">
        <f>VLOOKUP(DESPESAS[[#This Row],[Plano de Contas]],BASE!$B$3:$D$119,3,FALSE)</f>
        <v>Frete sobre Compras</v>
      </c>
      <c r="I1649" s="77" t="str">
        <f>IFERROR(VLOOKUP(DESPESAS[[#This Row],[Fornecedor]],Tabela2[],2,FALSE),"")</f>
        <v>SERVIÇOS FRETE</v>
      </c>
      <c r="J1649" s="77" t="str">
        <f>IFERROR(VLOOKUP(DESPESAS[[#This Row],[Plano de Contas]],BASE!$B$3:$F$119,4,FALSE),"")</f>
        <v>1 - CPV</v>
      </c>
      <c r="K1649" s="77" t="str">
        <f>IFERROR(VLOOKUP(DESPESAS[[#This Row],[Plano de Contas]],BASE!$B$3:$H$119,5,FALSE),"")</f>
        <v>COMPRAS</v>
      </c>
      <c r="L1649" s="77">
        <f>IFERROR(VLOOKUP(DESPESAS[[#This Row],[Plano de Contas]],BASE!$B$3:$H$119,6,FALSE),"")</f>
        <v>0</v>
      </c>
      <c r="M1649" s="77" t="str">
        <f>VLOOKUP(DESPESAS[[#This Row],[Plano de Contas]],BASE!$B$3:$H$119,7,FALSE)</f>
        <v>MYLENA</v>
      </c>
    </row>
    <row r="1650" spans="1:13" x14ac:dyDescent="0.25">
      <c r="A1650" s="74">
        <v>198366</v>
      </c>
      <c r="B1650" s="75" t="s">
        <v>232</v>
      </c>
      <c r="C1650" s="75" t="s">
        <v>2119</v>
      </c>
      <c r="D1650" s="76">
        <v>46066</v>
      </c>
      <c r="E1650" s="75" t="s">
        <v>409</v>
      </c>
      <c r="F1650" s="74">
        <v>386.42</v>
      </c>
      <c r="G1650" s="75" t="s">
        <v>326</v>
      </c>
      <c r="H1650" s="77" t="str">
        <f>VLOOKUP(DESPESAS[[#This Row],[Plano de Contas]],BASE!$B$3:$D$119,3,FALSE)</f>
        <v>Frete sobre Compras</v>
      </c>
      <c r="I1650" s="77" t="str">
        <f>IFERROR(VLOOKUP(DESPESAS[[#This Row],[Fornecedor]],Tabela2[],2,FALSE),"")</f>
        <v>SERVIÇOS FRETE</v>
      </c>
      <c r="J1650" s="77" t="str">
        <f>IFERROR(VLOOKUP(DESPESAS[[#This Row],[Plano de Contas]],BASE!$B$3:$F$119,4,FALSE),"")</f>
        <v>1 - CPV</v>
      </c>
      <c r="K1650" s="77" t="str">
        <f>IFERROR(VLOOKUP(DESPESAS[[#This Row],[Plano de Contas]],BASE!$B$3:$H$119,5,FALSE),"")</f>
        <v>COMPRAS</v>
      </c>
      <c r="L1650" s="77">
        <f>IFERROR(VLOOKUP(DESPESAS[[#This Row],[Plano de Contas]],BASE!$B$3:$H$119,6,FALSE),"")</f>
        <v>0</v>
      </c>
      <c r="M1650" s="77" t="str">
        <f>VLOOKUP(DESPESAS[[#This Row],[Plano de Contas]],BASE!$B$3:$H$119,7,FALSE)</f>
        <v>MYLENA</v>
      </c>
    </row>
    <row r="1651" spans="1:13" x14ac:dyDescent="0.25">
      <c r="A1651" s="74">
        <v>198367</v>
      </c>
      <c r="B1651" s="75" t="s">
        <v>232</v>
      </c>
      <c r="C1651" s="75" t="s">
        <v>2118</v>
      </c>
      <c r="D1651" s="76">
        <v>46057</v>
      </c>
      <c r="E1651" s="75" t="s">
        <v>327</v>
      </c>
      <c r="F1651" s="74">
        <v>359.86</v>
      </c>
      <c r="G1651" s="75" t="s">
        <v>326</v>
      </c>
      <c r="H1651" s="77" t="str">
        <f>VLOOKUP(DESPESAS[[#This Row],[Plano de Contas]],BASE!$B$3:$D$119,3,FALSE)</f>
        <v>Frete sobre Compras</v>
      </c>
      <c r="I1651" s="77" t="str">
        <f>IFERROR(VLOOKUP(DESPESAS[[#This Row],[Fornecedor]],Tabela2[],2,FALSE),"")</f>
        <v>SERVIÇOS FRETE</v>
      </c>
      <c r="J1651" s="77" t="str">
        <f>IFERROR(VLOOKUP(DESPESAS[[#This Row],[Plano de Contas]],BASE!$B$3:$F$119,4,FALSE),"")</f>
        <v>1 - CPV</v>
      </c>
      <c r="K1651" s="77" t="str">
        <f>IFERROR(VLOOKUP(DESPESAS[[#This Row],[Plano de Contas]],BASE!$B$3:$H$119,5,FALSE),"")</f>
        <v>COMPRAS</v>
      </c>
      <c r="L1651" s="77">
        <f>IFERROR(VLOOKUP(DESPESAS[[#This Row],[Plano de Contas]],BASE!$B$3:$H$119,6,FALSE),"")</f>
        <v>0</v>
      </c>
      <c r="M1651" s="77" t="str">
        <f>VLOOKUP(DESPESAS[[#This Row],[Plano de Contas]],BASE!$B$3:$H$119,7,FALSE)</f>
        <v>MYLENA</v>
      </c>
    </row>
    <row r="1652" spans="1:13" x14ac:dyDescent="0.25">
      <c r="A1652" s="74">
        <v>198368</v>
      </c>
      <c r="B1652" s="75" t="s">
        <v>232</v>
      </c>
      <c r="C1652" s="75" t="s">
        <v>2117</v>
      </c>
      <c r="D1652" s="76">
        <v>46062</v>
      </c>
      <c r="E1652" s="75" t="s">
        <v>409</v>
      </c>
      <c r="F1652" s="74">
        <v>111.7</v>
      </c>
      <c r="G1652" s="75" t="s">
        <v>326</v>
      </c>
      <c r="H1652" s="77" t="str">
        <f>VLOOKUP(DESPESAS[[#This Row],[Plano de Contas]],BASE!$B$3:$D$119,3,FALSE)</f>
        <v>Frete sobre Compras</v>
      </c>
      <c r="I1652" s="77" t="str">
        <f>IFERROR(VLOOKUP(DESPESAS[[#This Row],[Fornecedor]],Tabela2[],2,FALSE),"")</f>
        <v>SERVIÇOS FRETE</v>
      </c>
      <c r="J1652" s="77" t="str">
        <f>IFERROR(VLOOKUP(DESPESAS[[#This Row],[Plano de Contas]],BASE!$B$3:$F$119,4,FALSE),"")</f>
        <v>1 - CPV</v>
      </c>
      <c r="K1652" s="77" t="str">
        <f>IFERROR(VLOOKUP(DESPESAS[[#This Row],[Plano de Contas]],BASE!$B$3:$H$119,5,FALSE),"")</f>
        <v>COMPRAS</v>
      </c>
      <c r="L1652" s="77">
        <f>IFERROR(VLOOKUP(DESPESAS[[#This Row],[Plano de Contas]],BASE!$B$3:$H$119,6,FALSE),"")</f>
        <v>0</v>
      </c>
      <c r="M1652" s="77" t="str">
        <f>VLOOKUP(DESPESAS[[#This Row],[Plano de Contas]],BASE!$B$3:$H$119,7,FALSE)</f>
        <v>MYLENA</v>
      </c>
    </row>
    <row r="1653" spans="1:13" x14ac:dyDescent="0.25">
      <c r="A1653" s="74">
        <v>198369</v>
      </c>
      <c r="B1653" s="75" t="s">
        <v>221</v>
      </c>
      <c r="C1653" s="75" t="s">
        <v>2116</v>
      </c>
      <c r="D1653" s="76">
        <v>46066</v>
      </c>
      <c r="E1653" s="75" t="s">
        <v>265</v>
      </c>
      <c r="F1653" s="74">
        <v>67.75</v>
      </c>
      <c r="G1653" s="75" t="s">
        <v>262</v>
      </c>
      <c r="H1653" s="77" t="str">
        <f>VLOOKUP(DESPESAS[[#This Row],[Plano de Contas]],BASE!$B$3:$D$119,3,FALSE)</f>
        <v>Fretes Karams</v>
      </c>
      <c r="I1653" s="77" t="str">
        <f>IFERROR(VLOOKUP(DESPESAS[[#This Row],[Fornecedor]],Tabela2[],2,FALSE),"")</f>
        <v/>
      </c>
      <c r="J1653" s="77" t="str">
        <f>IFERROR(VLOOKUP(DESPESAS[[#This Row],[Plano de Contas]],BASE!$B$3:$F$119,4,FALSE),"")</f>
        <v>6 - DESPESA COM VENDAS</v>
      </c>
      <c r="K1653" s="77" t="str">
        <f>IFERROR(VLOOKUP(DESPESAS[[#This Row],[Plano de Contas]],BASE!$B$3:$H$119,5,FALSE),"")</f>
        <v>LOGÍSTICA</v>
      </c>
      <c r="L1653" s="77">
        <f>IFERROR(VLOOKUP(DESPESAS[[#This Row],[Plano de Contas]],BASE!$B$3:$H$119,6,FALSE),"")</f>
        <v>0</v>
      </c>
      <c r="M1653" s="77" t="str">
        <f>VLOOKUP(DESPESAS[[#This Row],[Plano de Contas]],BASE!$B$3:$H$119,7,FALSE)</f>
        <v>MYLENA</v>
      </c>
    </row>
    <row r="1654" spans="1:13" x14ac:dyDescent="0.25">
      <c r="A1654" s="74">
        <v>198370</v>
      </c>
      <c r="B1654" s="75" t="s">
        <v>221</v>
      </c>
      <c r="C1654" s="75" t="s">
        <v>2115</v>
      </c>
      <c r="D1654" s="76">
        <v>46064</v>
      </c>
      <c r="E1654" s="75" t="s">
        <v>242</v>
      </c>
      <c r="F1654" s="74">
        <v>684.9</v>
      </c>
      <c r="G1654" s="75" t="s">
        <v>241</v>
      </c>
      <c r="H1654" s="77" t="str">
        <f>VLOOKUP(DESPESAS[[#This Row],[Plano de Contas]],BASE!$B$3:$D$119,3,FALSE)</f>
        <v>Combustiveis Frota</v>
      </c>
      <c r="I1654" s="77" t="str">
        <f>IFERROR(VLOOKUP(DESPESAS[[#This Row],[Fornecedor]],Tabela2[],2,FALSE),"")</f>
        <v/>
      </c>
      <c r="J1654" s="77" t="str">
        <f>IFERROR(VLOOKUP(DESPESAS[[#This Row],[Plano de Contas]],BASE!$B$3:$F$119,4,FALSE),"")</f>
        <v>6 - DESPESA COM VENDAS</v>
      </c>
      <c r="K1654" s="77" t="str">
        <f>IFERROR(VLOOKUP(DESPESAS[[#This Row],[Plano de Contas]],BASE!$B$3:$H$119,5,FALSE),"")</f>
        <v>LOGÍSTICA</v>
      </c>
      <c r="L1654" s="77">
        <f>IFERROR(VLOOKUP(DESPESAS[[#This Row],[Plano de Contas]],BASE!$B$3:$H$119,6,FALSE),"")</f>
        <v>0</v>
      </c>
      <c r="M1654" s="77" t="str">
        <f>VLOOKUP(DESPESAS[[#This Row],[Plano de Contas]],BASE!$B$3:$H$119,7,FALSE)</f>
        <v>MYLENA</v>
      </c>
    </row>
    <row r="1655" spans="1:13" x14ac:dyDescent="0.25">
      <c r="A1655" s="74">
        <v>198371</v>
      </c>
      <c r="B1655" s="75" t="s">
        <v>221</v>
      </c>
      <c r="C1655" s="75" t="s">
        <v>2114</v>
      </c>
      <c r="D1655" s="76">
        <v>46062</v>
      </c>
      <c r="E1655" s="75" t="s">
        <v>242</v>
      </c>
      <c r="F1655" s="74">
        <v>61.25</v>
      </c>
      <c r="G1655" s="75" t="s">
        <v>241</v>
      </c>
      <c r="H1655" s="77" t="str">
        <f>VLOOKUP(DESPESAS[[#This Row],[Plano de Contas]],BASE!$B$3:$D$119,3,FALSE)</f>
        <v>Combustiveis Frota</v>
      </c>
      <c r="I1655" s="77" t="str">
        <f>IFERROR(VLOOKUP(DESPESAS[[#This Row],[Fornecedor]],Tabela2[],2,FALSE),"")</f>
        <v/>
      </c>
      <c r="J1655" s="77" t="str">
        <f>IFERROR(VLOOKUP(DESPESAS[[#This Row],[Plano de Contas]],BASE!$B$3:$F$119,4,FALSE),"")</f>
        <v>6 - DESPESA COM VENDAS</v>
      </c>
      <c r="K1655" s="77" t="str">
        <f>IFERROR(VLOOKUP(DESPESAS[[#This Row],[Plano de Contas]],BASE!$B$3:$H$119,5,FALSE),"")</f>
        <v>LOGÍSTICA</v>
      </c>
      <c r="L1655" s="77">
        <f>IFERROR(VLOOKUP(DESPESAS[[#This Row],[Plano de Contas]],BASE!$B$3:$H$119,6,FALSE),"")</f>
        <v>0</v>
      </c>
      <c r="M1655" s="77" t="str">
        <f>VLOOKUP(DESPESAS[[#This Row],[Plano de Contas]],BASE!$B$3:$H$119,7,FALSE)</f>
        <v>MYLENA</v>
      </c>
    </row>
    <row r="1656" spans="1:13" x14ac:dyDescent="0.25">
      <c r="A1656" s="74">
        <v>198372</v>
      </c>
      <c r="B1656" s="75" t="s">
        <v>221</v>
      </c>
      <c r="C1656" s="75" t="s">
        <v>2113</v>
      </c>
      <c r="D1656" s="76">
        <v>46062</v>
      </c>
      <c r="E1656" s="75" t="s">
        <v>242</v>
      </c>
      <c r="F1656" s="74">
        <v>296.91000000000003</v>
      </c>
      <c r="G1656" s="75" t="s">
        <v>241</v>
      </c>
      <c r="H1656" s="77" t="str">
        <f>VLOOKUP(DESPESAS[[#This Row],[Plano de Contas]],BASE!$B$3:$D$119,3,FALSE)</f>
        <v>Combustiveis Frota</v>
      </c>
      <c r="I1656" s="77" t="str">
        <f>IFERROR(VLOOKUP(DESPESAS[[#This Row],[Fornecedor]],Tabela2[],2,FALSE),"")</f>
        <v/>
      </c>
      <c r="J1656" s="77" t="str">
        <f>IFERROR(VLOOKUP(DESPESAS[[#This Row],[Plano de Contas]],BASE!$B$3:$F$119,4,FALSE),"")</f>
        <v>6 - DESPESA COM VENDAS</v>
      </c>
      <c r="K1656" s="77" t="str">
        <f>IFERROR(VLOOKUP(DESPESAS[[#This Row],[Plano de Contas]],BASE!$B$3:$H$119,5,FALSE),"")</f>
        <v>LOGÍSTICA</v>
      </c>
      <c r="L1656" s="77">
        <f>IFERROR(VLOOKUP(DESPESAS[[#This Row],[Plano de Contas]],BASE!$B$3:$H$119,6,FALSE),"")</f>
        <v>0</v>
      </c>
      <c r="M1656" s="77" t="str">
        <f>VLOOKUP(DESPESAS[[#This Row],[Plano de Contas]],BASE!$B$3:$H$119,7,FALSE)</f>
        <v>MYLENA</v>
      </c>
    </row>
    <row r="1657" spans="1:13" x14ac:dyDescent="0.25">
      <c r="A1657" s="74">
        <v>198373</v>
      </c>
      <c r="B1657" s="75" t="s">
        <v>221</v>
      </c>
      <c r="C1657" s="75" t="s">
        <v>2112</v>
      </c>
      <c r="D1657" s="76">
        <v>46066</v>
      </c>
      <c r="E1657" s="75" t="s">
        <v>402</v>
      </c>
      <c r="F1657" s="74">
        <v>970</v>
      </c>
      <c r="G1657" s="75" t="s">
        <v>241</v>
      </c>
      <c r="H1657" s="77" t="str">
        <f>VLOOKUP(DESPESAS[[#This Row],[Plano de Contas]],BASE!$B$3:$D$119,3,FALSE)</f>
        <v>Combustiveis Frota</v>
      </c>
      <c r="I1657" s="77" t="str">
        <f>IFERROR(VLOOKUP(DESPESAS[[#This Row],[Fornecedor]],Tabela2[],2,FALSE),"")</f>
        <v/>
      </c>
      <c r="J1657" s="77" t="str">
        <f>IFERROR(VLOOKUP(DESPESAS[[#This Row],[Plano de Contas]],BASE!$B$3:$F$119,4,FALSE),"")</f>
        <v>6 - DESPESA COM VENDAS</v>
      </c>
      <c r="K1657" s="77" t="str">
        <f>IFERROR(VLOOKUP(DESPESAS[[#This Row],[Plano de Contas]],BASE!$B$3:$H$119,5,FALSE),"")</f>
        <v>LOGÍSTICA</v>
      </c>
      <c r="L1657" s="77">
        <f>IFERROR(VLOOKUP(DESPESAS[[#This Row],[Plano de Contas]],BASE!$B$3:$H$119,6,FALSE),"")</f>
        <v>0</v>
      </c>
      <c r="M1657" s="77" t="str">
        <f>VLOOKUP(DESPESAS[[#This Row],[Plano de Contas]],BASE!$B$3:$H$119,7,FALSE)</f>
        <v>MYLENA</v>
      </c>
    </row>
    <row r="1658" spans="1:13" x14ac:dyDescent="0.25">
      <c r="A1658" s="74">
        <v>198374</v>
      </c>
      <c r="B1658" s="75" t="s">
        <v>221</v>
      </c>
      <c r="C1658" s="75" t="s">
        <v>2111</v>
      </c>
      <c r="D1658" s="76">
        <v>46066</v>
      </c>
      <c r="E1658" s="75" t="s">
        <v>442</v>
      </c>
      <c r="F1658" s="74">
        <v>1983</v>
      </c>
      <c r="G1658" s="75" t="s">
        <v>262</v>
      </c>
      <c r="H1658" s="77" t="str">
        <f>VLOOKUP(DESPESAS[[#This Row],[Plano de Contas]],BASE!$B$3:$D$119,3,FALSE)</f>
        <v>Fretes Karams</v>
      </c>
      <c r="I1658" s="77" t="str">
        <f>IFERROR(VLOOKUP(DESPESAS[[#This Row],[Fornecedor]],Tabela2[],2,FALSE),"")</f>
        <v/>
      </c>
      <c r="J1658" s="77" t="str">
        <f>IFERROR(VLOOKUP(DESPESAS[[#This Row],[Plano de Contas]],BASE!$B$3:$F$119,4,FALSE),"")</f>
        <v>6 - DESPESA COM VENDAS</v>
      </c>
      <c r="K1658" s="77" t="str">
        <f>IFERROR(VLOOKUP(DESPESAS[[#This Row],[Plano de Contas]],BASE!$B$3:$H$119,5,FALSE),"")</f>
        <v>LOGÍSTICA</v>
      </c>
      <c r="L1658" s="77">
        <f>IFERROR(VLOOKUP(DESPESAS[[#This Row],[Plano de Contas]],BASE!$B$3:$H$119,6,FALSE),"")</f>
        <v>0</v>
      </c>
      <c r="M1658" s="77" t="str">
        <f>VLOOKUP(DESPESAS[[#This Row],[Plano de Contas]],BASE!$B$3:$H$119,7,FALSE)</f>
        <v>MYLENA</v>
      </c>
    </row>
    <row r="1659" spans="1:13" x14ac:dyDescent="0.25">
      <c r="A1659" s="74">
        <v>198375</v>
      </c>
      <c r="B1659" s="75" t="s">
        <v>221</v>
      </c>
      <c r="C1659" s="75" t="s">
        <v>2110</v>
      </c>
      <c r="D1659" s="76">
        <v>46061</v>
      </c>
      <c r="E1659" s="75" t="s">
        <v>242</v>
      </c>
      <c r="F1659" s="74">
        <v>2772.06</v>
      </c>
      <c r="G1659" s="75" t="s">
        <v>241</v>
      </c>
      <c r="H1659" s="77" t="str">
        <f>VLOOKUP(DESPESAS[[#This Row],[Plano de Contas]],BASE!$B$3:$D$119,3,FALSE)</f>
        <v>Combustiveis Frota</v>
      </c>
      <c r="I1659" s="77" t="str">
        <f>IFERROR(VLOOKUP(DESPESAS[[#This Row],[Fornecedor]],Tabela2[],2,FALSE),"")</f>
        <v/>
      </c>
      <c r="J1659" s="77" t="str">
        <f>IFERROR(VLOOKUP(DESPESAS[[#This Row],[Plano de Contas]],BASE!$B$3:$F$119,4,FALSE),"")</f>
        <v>6 - DESPESA COM VENDAS</v>
      </c>
      <c r="K1659" s="77" t="str">
        <f>IFERROR(VLOOKUP(DESPESAS[[#This Row],[Plano de Contas]],BASE!$B$3:$H$119,5,FALSE),"")</f>
        <v>LOGÍSTICA</v>
      </c>
      <c r="L1659" s="77">
        <f>IFERROR(VLOOKUP(DESPESAS[[#This Row],[Plano de Contas]],BASE!$B$3:$H$119,6,FALSE),"")</f>
        <v>0</v>
      </c>
      <c r="M1659" s="77" t="str">
        <f>VLOOKUP(DESPESAS[[#This Row],[Plano de Contas]],BASE!$B$3:$H$119,7,FALSE)</f>
        <v>MYLENA</v>
      </c>
    </row>
    <row r="1660" spans="1:13" x14ac:dyDescent="0.25">
      <c r="A1660" s="74">
        <v>198376</v>
      </c>
      <c r="B1660" s="75" t="s">
        <v>232</v>
      </c>
      <c r="C1660" s="75" t="s">
        <v>2109</v>
      </c>
      <c r="D1660" s="76">
        <v>46061</v>
      </c>
      <c r="E1660" s="75" t="s">
        <v>391</v>
      </c>
      <c r="F1660" s="74">
        <v>575</v>
      </c>
      <c r="G1660" s="75" t="s">
        <v>241</v>
      </c>
      <c r="H1660" s="77" t="str">
        <f>VLOOKUP(DESPESAS[[#This Row],[Plano de Contas]],BASE!$B$3:$D$119,3,FALSE)</f>
        <v>Combustiveis Frota</v>
      </c>
      <c r="I1660" s="77" t="str">
        <f>IFERROR(VLOOKUP(DESPESAS[[#This Row],[Fornecedor]],Tabela2[],2,FALSE),"")</f>
        <v/>
      </c>
      <c r="J1660" s="77" t="str">
        <f>IFERROR(VLOOKUP(DESPESAS[[#This Row],[Plano de Contas]],BASE!$B$3:$F$119,4,FALSE),"")</f>
        <v>6 - DESPESA COM VENDAS</v>
      </c>
      <c r="K1660" s="77" t="str">
        <f>IFERROR(VLOOKUP(DESPESAS[[#This Row],[Plano de Contas]],BASE!$B$3:$H$119,5,FALSE),"")</f>
        <v>LOGÍSTICA</v>
      </c>
      <c r="L1660" s="77">
        <f>IFERROR(VLOOKUP(DESPESAS[[#This Row],[Plano de Contas]],BASE!$B$3:$H$119,6,FALSE),"")</f>
        <v>0</v>
      </c>
      <c r="M1660" s="77" t="str">
        <f>VLOOKUP(DESPESAS[[#This Row],[Plano de Contas]],BASE!$B$3:$H$119,7,FALSE)</f>
        <v>MYLENA</v>
      </c>
    </row>
    <row r="1661" spans="1:13" x14ac:dyDescent="0.25">
      <c r="A1661" s="74">
        <v>198377</v>
      </c>
      <c r="B1661" s="75" t="s">
        <v>232</v>
      </c>
      <c r="C1661" s="75" t="s">
        <v>2108</v>
      </c>
      <c r="D1661" s="76">
        <v>46066</v>
      </c>
      <c r="E1661" s="75" t="s">
        <v>230</v>
      </c>
      <c r="F1661" s="74">
        <v>996.72</v>
      </c>
      <c r="G1661" s="75" t="s">
        <v>251</v>
      </c>
      <c r="H1661" s="77" t="str">
        <f>VLOOKUP(DESPESAS[[#This Row],[Plano de Contas]],BASE!$B$3:$D$119,3,FALSE)</f>
        <v>Juros Pagos - Antecipação de Crédito</v>
      </c>
      <c r="I1661" s="77" t="str">
        <f>IFERROR(VLOOKUP(DESPESAS[[#This Row],[Fornecedor]],Tabela2[],2,FALSE),"")</f>
        <v/>
      </c>
      <c r="J1661" s="77" t="str">
        <f>IFERROR(VLOOKUP(DESPESAS[[#This Row],[Plano de Contas]],BASE!$B$3:$F$119,4,FALSE),"")</f>
        <v>8 - DESPESAS FINANCEIRAS</v>
      </c>
      <c r="K1661" s="77" t="str">
        <f>IFERROR(VLOOKUP(DESPESAS[[#This Row],[Plano de Contas]],BASE!$B$3:$H$119,5,FALSE),"")</f>
        <v>FINANCEIRO</v>
      </c>
      <c r="L1661" s="77">
        <f>IFERROR(VLOOKUP(DESPESAS[[#This Row],[Plano de Contas]],BASE!$B$3:$H$119,6,FALSE),"")</f>
        <v>0</v>
      </c>
      <c r="M1661" s="77" t="str">
        <f>VLOOKUP(DESPESAS[[#This Row],[Plano de Contas]],BASE!$B$3:$H$119,7,FALSE)</f>
        <v>LETÍCIA</v>
      </c>
    </row>
    <row r="1662" spans="1:13" x14ac:dyDescent="0.25">
      <c r="A1662" s="74">
        <v>198378</v>
      </c>
      <c r="B1662" s="75" t="s">
        <v>232</v>
      </c>
      <c r="C1662" s="75" t="s">
        <v>2107</v>
      </c>
      <c r="D1662" s="76">
        <v>46066</v>
      </c>
      <c r="E1662" s="75" t="s">
        <v>230</v>
      </c>
      <c r="F1662" s="74">
        <v>165.5</v>
      </c>
      <c r="G1662" s="75" t="s">
        <v>229</v>
      </c>
      <c r="H1662" s="77" t="str">
        <f>VLOOKUP(DESPESAS[[#This Row],[Plano de Contas]],BASE!$B$3:$D$119,3,FALSE)</f>
        <v>Despesas Bancarias</v>
      </c>
      <c r="I1662" s="77" t="str">
        <f>IFERROR(VLOOKUP(DESPESAS[[#This Row],[Fornecedor]],Tabela2[],2,FALSE),"")</f>
        <v/>
      </c>
      <c r="J1662" s="77" t="str">
        <f>IFERROR(VLOOKUP(DESPESAS[[#This Row],[Plano de Contas]],BASE!$B$3:$F$119,4,FALSE),"")</f>
        <v>8 - DESPESAS FINANCEIRAS</v>
      </c>
      <c r="K1662" s="77" t="str">
        <f>IFERROR(VLOOKUP(DESPESAS[[#This Row],[Plano de Contas]],BASE!$B$3:$H$119,5,FALSE),"")</f>
        <v>FINANCEIRO</v>
      </c>
      <c r="L1662" s="77">
        <f>IFERROR(VLOOKUP(DESPESAS[[#This Row],[Plano de Contas]],BASE!$B$3:$H$119,6,FALSE),"")</f>
        <v>0</v>
      </c>
      <c r="M1662" s="77" t="str">
        <f>VLOOKUP(DESPESAS[[#This Row],[Plano de Contas]],BASE!$B$3:$H$119,7,FALSE)</f>
        <v>LETÍCIA</v>
      </c>
    </row>
    <row r="1663" spans="1:13" x14ac:dyDescent="0.25">
      <c r="A1663" s="74">
        <v>198379</v>
      </c>
      <c r="B1663" s="75" t="s">
        <v>232</v>
      </c>
      <c r="C1663" s="75" t="s">
        <v>2106</v>
      </c>
      <c r="D1663" s="76">
        <v>46066</v>
      </c>
      <c r="E1663" s="75" t="s">
        <v>230</v>
      </c>
      <c r="F1663" s="74">
        <v>225.63</v>
      </c>
      <c r="G1663" s="75" t="s">
        <v>229</v>
      </c>
      <c r="H1663" s="77" t="str">
        <f>VLOOKUP(DESPESAS[[#This Row],[Plano de Contas]],BASE!$B$3:$D$119,3,FALSE)</f>
        <v>Despesas Bancarias</v>
      </c>
      <c r="I1663" s="77" t="str">
        <f>IFERROR(VLOOKUP(DESPESAS[[#This Row],[Fornecedor]],Tabela2[],2,FALSE),"")</f>
        <v/>
      </c>
      <c r="J1663" s="77" t="str">
        <f>IFERROR(VLOOKUP(DESPESAS[[#This Row],[Plano de Contas]],BASE!$B$3:$F$119,4,FALSE),"")</f>
        <v>8 - DESPESAS FINANCEIRAS</v>
      </c>
      <c r="K1663" s="77" t="str">
        <f>IFERROR(VLOOKUP(DESPESAS[[#This Row],[Plano de Contas]],BASE!$B$3:$H$119,5,FALSE),"")</f>
        <v>FINANCEIRO</v>
      </c>
      <c r="L1663" s="77">
        <f>IFERROR(VLOOKUP(DESPESAS[[#This Row],[Plano de Contas]],BASE!$B$3:$H$119,6,FALSE),"")</f>
        <v>0</v>
      </c>
      <c r="M1663" s="77" t="str">
        <f>VLOOKUP(DESPESAS[[#This Row],[Plano de Contas]],BASE!$B$3:$H$119,7,FALSE)</f>
        <v>LETÍCIA</v>
      </c>
    </row>
    <row r="1664" spans="1:13" x14ac:dyDescent="0.25">
      <c r="A1664" s="74">
        <v>198380</v>
      </c>
      <c r="B1664" s="75" t="s">
        <v>232</v>
      </c>
      <c r="C1664" s="75" t="s">
        <v>2105</v>
      </c>
      <c r="D1664" s="76">
        <v>46066</v>
      </c>
      <c r="E1664" s="75" t="s">
        <v>1063</v>
      </c>
      <c r="F1664" s="74">
        <v>112.77</v>
      </c>
      <c r="G1664" s="75" t="s">
        <v>241</v>
      </c>
      <c r="H1664" s="77" t="str">
        <f>VLOOKUP(DESPESAS[[#This Row],[Plano de Contas]],BASE!$B$3:$D$119,3,FALSE)</f>
        <v>Combustiveis Frota</v>
      </c>
      <c r="I1664" s="77" t="str">
        <f>IFERROR(VLOOKUP(DESPESAS[[#This Row],[Fornecedor]],Tabela2[],2,FALSE),"")</f>
        <v/>
      </c>
      <c r="J1664" s="77" t="str">
        <f>IFERROR(VLOOKUP(DESPESAS[[#This Row],[Plano de Contas]],BASE!$B$3:$F$119,4,FALSE),"")</f>
        <v>6 - DESPESA COM VENDAS</v>
      </c>
      <c r="K1664" s="77" t="str">
        <f>IFERROR(VLOOKUP(DESPESAS[[#This Row],[Plano de Contas]],BASE!$B$3:$H$119,5,FALSE),"")</f>
        <v>LOGÍSTICA</v>
      </c>
      <c r="L1664" s="77">
        <f>IFERROR(VLOOKUP(DESPESAS[[#This Row],[Plano de Contas]],BASE!$B$3:$H$119,6,FALSE),"")</f>
        <v>0</v>
      </c>
      <c r="M1664" s="77" t="str">
        <f>VLOOKUP(DESPESAS[[#This Row],[Plano de Contas]],BASE!$B$3:$H$119,7,FALSE)</f>
        <v>MYLENA</v>
      </c>
    </row>
    <row r="1665" spans="1:13" x14ac:dyDescent="0.25">
      <c r="A1665" s="74">
        <v>198381</v>
      </c>
      <c r="B1665" s="75" t="s">
        <v>221</v>
      </c>
      <c r="C1665" s="75" t="s">
        <v>2104</v>
      </c>
      <c r="D1665" s="76">
        <v>46066</v>
      </c>
      <c r="E1665" s="75" t="s">
        <v>413</v>
      </c>
      <c r="F1665" s="74">
        <v>1524</v>
      </c>
      <c r="G1665" s="75" t="s">
        <v>262</v>
      </c>
      <c r="H1665" s="77" t="str">
        <f>VLOOKUP(DESPESAS[[#This Row],[Plano de Contas]],BASE!$B$3:$D$119,3,FALSE)</f>
        <v>Fretes Karams</v>
      </c>
      <c r="I1665" s="77" t="str">
        <f>IFERROR(VLOOKUP(DESPESAS[[#This Row],[Fornecedor]],Tabela2[],2,FALSE),"")</f>
        <v/>
      </c>
      <c r="J1665" s="77" t="str">
        <f>IFERROR(VLOOKUP(DESPESAS[[#This Row],[Plano de Contas]],BASE!$B$3:$F$119,4,FALSE),"")</f>
        <v>6 - DESPESA COM VENDAS</v>
      </c>
      <c r="K1665" s="77" t="str">
        <f>IFERROR(VLOOKUP(DESPESAS[[#This Row],[Plano de Contas]],BASE!$B$3:$H$119,5,FALSE),"")</f>
        <v>LOGÍSTICA</v>
      </c>
      <c r="L1665" s="77">
        <f>IFERROR(VLOOKUP(DESPESAS[[#This Row],[Plano de Contas]],BASE!$B$3:$H$119,6,FALSE),"")</f>
        <v>0</v>
      </c>
      <c r="M1665" s="77" t="str">
        <f>VLOOKUP(DESPESAS[[#This Row],[Plano de Contas]],BASE!$B$3:$H$119,7,FALSE)</f>
        <v>MYLENA</v>
      </c>
    </row>
    <row r="1666" spans="1:13" x14ac:dyDescent="0.25">
      <c r="A1666" s="74">
        <v>198382</v>
      </c>
      <c r="B1666" s="75" t="s">
        <v>221</v>
      </c>
      <c r="C1666" s="75" t="s">
        <v>2103</v>
      </c>
      <c r="D1666" s="76">
        <v>46066</v>
      </c>
      <c r="E1666" s="75" t="s">
        <v>242</v>
      </c>
      <c r="F1666" s="74">
        <v>2369.66</v>
      </c>
      <c r="G1666" s="75" t="s">
        <v>241</v>
      </c>
      <c r="H1666" s="77" t="str">
        <f>VLOOKUP(DESPESAS[[#This Row],[Plano de Contas]],BASE!$B$3:$D$119,3,FALSE)</f>
        <v>Combustiveis Frota</v>
      </c>
      <c r="I1666" s="77" t="str">
        <f>IFERROR(VLOOKUP(DESPESAS[[#This Row],[Fornecedor]],Tabela2[],2,FALSE),"")</f>
        <v/>
      </c>
      <c r="J1666" s="77" t="str">
        <f>IFERROR(VLOOKUP(DESPESAS[[#This Row],[Plano de Contas]],BASE!$B$3:$F$119,4,FALSE),"")</f>
        <v>6 - DESPESA COM VENDAS</v>
      </c>
      <c r="K1666" s="77" t="str">
        <f>IFERROR(VLOOKUP(DESPESAS[[#This Row],[Plano de Contas]],BASE!$B$3:$H$119,5,FALSE),"")</f>
        <v>LOGÍSTICA</v>
      </c>
      <c r="L1666" s="77">
        <f>IFERROR(VLOOKUP(DESPESAS[[#This Row],[Plano de Contas]],BASE!$B$3:$H$119,6,FALSE),"")</f>
        <v>0</v>
      </c>
      <c r="M1666" s="77" t="str">
        <f>VLOOKUP(DESPESAS[[#This Row],[Plano de Contas]],BASE!$B$3:$H$119,7,FALSE)</f>
        <v>MYLENA</v>
      </c>
    </row>
    <row r="1667" spans="1:13" x14ac:dyDescent="0.25">
      <c r="A1667" s="74">
        <v>198383</v>
      </c>
      <c r="B1667" s="75" t="s">
        <v>232</v>
      </c>
      <c r="C1667" s="75" t="s">
        <v>2102</v>
      </c>
      <c r="D1667" s="76">
        <v>46066</v>
      </c>
      <c r="E1667" s="75" t="s">
        <v>2101</v>
      </c>
      <c r="F1667" s="74">
        <v>1655.14</v>
      </c>
      <c r="G1667" s="75" t="s">
        <v>241</v>
      </c>
      <c r="H1667" s="77" t="str">
        <f>VLOOKUP(DESPESAS[[#This Row],[Plano de Contas]],BASE!$B$3:$D$119,3,FALSE)</f>
        <v>Combustiveis Frota</v>
      </c>
      <c r="I1667" s="77" t="str">
        <f>IFERROR(VLOOKUP(DESPESAS[[#This Row],[Fornecedor]],Tabela2[],2,FALSE),"")</f>
        <v/>
      </c>
      <c r="J1667" s="77" t="str">
        <f>IFERROR(VLOOKUP(DESPESAS[[#This Row],[Plano de Contas]],BASE!$B$3:$F$119,4,FALSE),"")</f>
        <v>6 - DESPESA COM VENDAS</v>
      </c>
      <c r="K1667" s="77" t="str">
        <f>IFERROR(VLOOKUP(DESPESAS[[#This Row],[Plano de Contas]],BASE!$B$3:$H$119,5,FALSE),"")</f>
        <v>LOGÍSTICA</v>
      </c>
      <c r="L1667" s="77">
        <f>IFERROR(VLOOKUP(DESPESAS[[#This Row],[Plano de Contas]],BASE!$B$3:$H$119,6,FALSE),"")</f>
        <v>0</v>
      </c>
      <c r="M1667" s="77" t="str">
        <f>VLOOKUP(DESPESAS[[#This Row],[Plano de Contas]],BASE!$B$3:$H$119,7,FALSE)</f>
        <v>MYLENA</v>
      </c>
    </row>
    <row r="1668" spans="1:13" x14ac:dyDescent="0.25">
      <c r="A1668" s="74">
        <v>198384</v>
      </c>
      <c r="B1668" s="75" t="s">
        <v>221</v>
      </c>
      <c r="C1668" s="75" t="s">
        <v>2100</v>
      </c>
      <c r="D1668" s="76">
        <v>46065</v>
      </c>
      <c r="E1668" s="75" t="s">
        <v>347</v>
      </c>
      <c r="F1668" s="74">
        <v>50</v>
      </c>
      <c r="G1668" s="75" t="s">
        <v>225</v>
      </c>
      <c r="H1668" s="77" t="str">
        <f>VLOOKUP(DESPESAS[[#This Row],[Plano de Contas]],BASE!$B$3:$D$119,3,FALSE)</f>
        <v>Despesas de Outros Gastos Não Operacionais</v>
      </c>
      <c r="I1668" s="77" t="str">
        <f>IFERROR(VLOOKUP(DESPESAS[[#This Row],[Fornecedor]],Tabela2[],2,FALSE),"")</f>
        <v/>
      </c>
      <c r="J1668" s="77" t="str">
        <f>IFERROR(VLOOKUP(DESPESAS[[#This Row],[Plano de Contas]],BASE!$B$3:$F$119,4,FALSE),"")</f>
        <v>8 - DESPESAS FINANCEIRAS</v>
      </c>
      <c r="K1668" s="77" t="str">
        <f>IFERROR(VLOOKUP(DESPESAS[[#This Row],[Plano de Contas]],BASE!$B$3:$H$119,5,FALSE),"")</f>
        <v>FINANCEIRO</v>
      </c>
      <c r="L1668" s="77">
        <f>IFERROR(VLOOKUP(DESPESAS[[#This Row],[Plano de Contas]],BASE!$B$3:$H$119,6,FALSE),"")</f>
        <v>0</v>
      </c>
      <c r="M1668" s="77" t="str">
        <f>VLOOKUP(DESPESAS[[#This Row],[Plano de Contas]],BASE!$B$3:$H$119,7,FALSE)</f>
        <v>LETÍCIA</v>
      </c>
    </row>
    <row r="1669" spans="1:13" x14ac:dyDescent="0.25">
      <c r="A1669" s="74">
        <v>198385</v>
      </c>
      <c r="B1669" s="75" t="s">
        <v>232</v>
      </c>
      <c r="C1669" s="75" t="s">
        <v>2099</v>
      </c>
      <c r="D1669" s="76">
        <v>46069</v>
      </c>
      <c r="E1669" s="75" t="s">
        <v>2098</v>
      </c>
      <c r="F1669" s="74">
        <v>440</v>
      </c>
      <c r="G1669" s="75" t="s">
        <v>247</v>
      </c>
      <c r="H1669" s="77" t="str">
        <f>VLOOKUP(DESPESAS[[#This Row],[Plano de Contas]],BASE!$B$3:$D$119,3,FALSE)</f>
        <v>Manutenção com veiculos</v>
      </c>
      <c r="I1669" s="77" t="str">
        <f>IFERROR(VLOOKUP(DESPESAS[[#This Row],[Fornecedor]],Tabela2[],2,FALSE),"")</f>
        <v/>
      </c>
      <c r="J1669" s="77" t="str">
        <f>IFERROR(VLOOKUP(DESPESAS[[#This Row],[Plano de Contas]],BASE!$B$3:$F$119,4,FALSE),"")</f>
        <v>6 - DESPESA COM VENDAS</v>
      </c>
      <c r="K1669" s="77" t="str">
        <f>IFERROR(VLOOKUP(DESPESAS[[#This Row],[Plano de Contas]],BASE!$B$3:$H$119,5,FALSE),"")</f>
        <v>LOGÍSTICA</v>
      </c>
      <c r="L1669" s="77">
        <f>IFERROR(VLOOKUP(DESPESAS[[#This Row],[Plano de Contas]],BASE!$B$3:$H$119,6,FALSE),"")</f>
        <v>0</v>
      </c>
      <c r="M1669" s="77" t="str">
        <f>VLOOKUP(DESPESAS[[#This Row],[Plano de Contas]],BASE!$B$3:$H$119,7,FALSE)</f>
        <v>MYLENA</v>
      </c>
    </row>
    <row r="1670" spans="1:13" x14ac:dyDescent="0.25">
      <c r="A1670" s="74">
        <v>198386</v>
      </c>
      <c r="B1670" s="75" t="s">
        <v>232</v>
      </c>
      <c r="C1670" s="75" t="s">
        <v>2097</v>
      </c>
      <c r="D1670" s="76">
        <v>46069</v>
      </c>
      <c r="E1670" s="75" t="s">
        <v>322</v>
      </c>
      <c r="F1670" s="74">
        <v>1548.75</v>
      </c>
      <c r="G1670" s="75" t="s">
        <v>244</v>
      </c>
      <c r="H1670" s="77" t="str">
        <f>VLOOKUP(DESPESAS[[#This Row],[Plano de Contas]],BASE!$B$3:$D$119,3,FALSE)</f>
        <v>Material de Expediente (Prod)</v>
      </c>
      <c r="I1670" s="77" t="str">
        <f>IFERROR(VLOOKUP(DESPESAS[[#This Row],[Fornecedor]],Tabela2[],2,FALSE),"")</f>
        <v>CNC TECIDO</v>
      </c>
      <c r="J1670" s="77" t="str">
        <f>IFERROR(VLOOKUP(DESPESAS[[#This Row],[Plano de Contas]],BASE!$B$3:$F$119,4,FALSE),"")</f>
        <v>2 - CUSTOS DIRETOS</v>
      </c>
      <c r="K1670" s="77" t="str">
        <f>IFERROR(VLOOKUP(DESPESAS[[#This Row],[Plano de Contas]],BASE!$B$3:$H$119,5,FALSE),"")</f>
        <v>PRODUÇÃO</v>
      </c>
      <c r="L1670" s="77">
        <f>IFERROR(VLOOKUP(DESPESAS[[#This Row],[Plano de Contas]],BASE!$B$3:$H$119,6,FALSE),"")</f>
        <v>0</v>
      </c>
      <c r="M1670" s="77" t="str">
        <f>VLOOKUP(DESPESAS[[#This Row],[Plano de Contas]],BASE!$B$3:$H$119,7,FALSE)</f>
        <v>RAFAEL</v>
      </c>
    </row>
    <row r="1671" spans="1:13" x14ac:dyDescent="0.25">
      <c r="A1671" s="74">
        <v>198387</v>
      </c>
      <c r="B1671" s="75" t="s">
        <v>232</v>
      </c>
      <c r="C1671" s="75" t="s">
        <v>2096</v>
      </c>
      <c r="D1671" s="76">
        <v>46066</v>
      </c>
      <c r="E1671" s="75" t="s">
        <v>230</v>
      </c>
      <c r="F1671" s="74">
        <v>6.32</v>
      </c>
      <c r="G1671" s="75" t="s">
        <v>229</v>
      </c>
      <c r="H1671" s="77" t="str">
        <f>VLOOKUP(DESPESAS[[#This Row],[Plano de Contas]],BASE!$B$3:$D$119,3,FALSE)</f>
        <v>Despesas Bancarias</v>
      </c>
      <c r="I1671" s="77" t="str">
        <f>IFERROR(VLOOKUP(DESPESAS[[#This Row],[Fornecedor]],Tabela2[],2,FALSE),"")</f>
        <v/>
      </c>
      <c r="J1671" s="77" t="str">
        <f>IFERROR(VLOOKUP(DESPESAS[[#This Row],[Plano de Contas]],BASE!$B$3:$F$119,4,FALSE),"")</f>
        <v>8 - DESPESAS FINANCEIRAS</v>
      </c>
      <c r="K1671" s="77" t="str">
        <f>IFERROR(VLOOKUP(DESPESAS[[#This Row],[Plano de Contas]],BASE!$B$3:$H$119,5,FALSE),"")</f>
        <v>FINANCEIRO</v>
      </c>
      <c r="L1671" s="77">
        <f>IFERROR(VLOOKUP(DESPESAS[[#This Row],[Plano de Contas]],BASE!$B$3:$H$119,6,FALSE),"")</f>
        <v>0</v>
      </c>
      <c r="M1671" s="77" t="str">
        <f>VLOOKUP(DESPESAS[[#This Row],[Plano de Contas]],BASE!$B$3:$H$119,7,FALSE)</f>
        <v>LETÍCIA</v>
      </c>
    </row>
    <row r="1672" spans="1:13" x14ac:dyDescent="0.25">
      <c r="A1672" s="74">
        <v>198388</v>
      </c>
      <c r="B1672" s="75" t="s">
        <v>232</v>
      </c>
      <c r="C1672" s="75" t="s">
        <v>2095</v>
      </c>
      <c r="D1672" s="76">
        <v>46069</v>
      </c>
      <c r="E1672" s="75" t="s">
        <v>327</v>
      </c>
      <c r="F1672" s="74">
        <v>100.61</v>
      </c>
      <c r="G1672" s="75" t="s">
        <v>244</v>
      </c>
      <c r="H1672" s="77" t="str">
        <f>VLOOKUP(DESPESAS[[#This Row],[Plano de Contas]],BASE!$B$3:$D$119,3,FALSE)</f>
        <v>Material de Expediente (Prod)</v>
      </c>
      <c r="I1672" s="77" t="str">
        <f>IFERROR(VLOOKUP(DESPESAS[[#This Row],[Fornecedor]],Tabela2[],2,FALSE),"")</f>
        <v>SERVIÇOS FRETE</v>
      </c>
      <c r="J1672" s="77" t="str">
        <f>IFERROR(VLOOKUP(DESPESAS[[#This Row],[Plano de Contas]],BASE!$B$3:$F$119,4,FALSE),"")</f>
        <v>2 - CUSTOS DIRETOS</v>
      </c>
      <c r="K1672" s="77" t="str">
        <f>IFERROR(VLOOKUP(DESPESAS[[#This Row],[Plano de Contas]],BASE!$B$3:$H$119,5,FALSE),"")</f>
        <v>PRODUÇÃO</v>
      </c>
      <c r="L1672" s="77">
        <f>IFERROR(VLOOKUP(DESPESAS[[#This Row],[Plano de Contas]],BASE!$B$3:$H$119,6,FALSE),"")</f>
        <v>0</v>
      </c>
      <c r="M1672" s="77" t="str">
        <f>VLOOKUP(DESPESAS[[#This Row],[Plano de Contas]],BASE!$B$3:$H$119,7,FALSE)</f>
        <v>RAFAEL</v>
      </c>
    </row>
    <row r="1673" spans="1:13" x14ac:dyDescent="0.25">
      <c r="A1673" s="74">
        <v>198389</v>
      </c>
      <c r="B1673" s="75" t="s">
        <v>232</v>
      </c>
      <c r="C1673" s="75" t="s">
        <v>2094</v>
      </c>
      <c r="D1673" s="76">
        <v>46069</v>
      </c>
      <c r="E1673" s="75" t="s">
        <v>2093</v>
      </c>
      <c r="F1673" s="74">
        <v>406</v>
      </c>
      <c r="G1673" s="75" t="s">
        <v>244</v>
      </c>
      <c r="H1673" s="77" t="str">
        <f>VLOOKUP(DESPESAS[[#This Row],[Plano de Contas]],BASE!$B$3:$D$119,3,FALSE)</f>
        <v>Material de Expediente (Prod)</v>
      </c>
      <c r="I1673" s="77" t="str">
        <f>IFERROR(VLOOKUP(DESPESAS[[#This Row],[Fornecedor]],Tabela2[],2,FALSE),"")</f>
        <v/>
      </c>
      <c r="J1673" s="77" t="str">
        <f>IFERROR(VLOOKUP(DESPESAS[[#This Row],[Plano de Contas]],BASE!$B$3:$F$119,4,FALSE),"")</f>
        <v>2 - CUSTOS DIRETOS</v>
      </c>
      <c r="K1673" s="77" t="str">
        <f>IFERROR(VLOOKUP(DESPESAS[[#This Row],[Plano de Contas]],BASE!$B$3:$H$119,5,FALSE),"")</f>
        <v>PRODUÇÃO</v>
      </c>
      <c r="L1673" s="77">
        <f>IFERROR(VLOOKUP(DESPESAS[[#This Row],[Plano de Contas]],BASE!$B$3:$H$119,6,FALSE),"")</f>
        <v>0</v>
      </c>
      <c r="M1673" s="77" t="str">
        <f>VLOOKUP(DESPESAS[[#This Row],[Plano de Contas]],BASE!$B$3:$H$119,7,FALSE)</f>
        <v>RAFAEL</v>
      </c>
    </row>
    <row r="1674" spans="1:13" x14ac:dyDescent="0.25">
      <c r="A1674" s="74">
        <v>198390</v>
      </c>
      <c r="B1674" s="75" t="s">
        <v>221</v>
      </c>
      <c r="C1674" s="75" t="s">
        <v>2092</v>
      </c>
      <c r="D1674" s="76">
        <v>46069</v>
      </c>
      <c r="E1674" s="75" t="s">
        <v>338</v>
      </c>
      <c r="F1674" s="74">
        <v>344</v>
      </c>
      <c r="G1674" s="75" t="s">
        <v>337</v>
      </c>
      <c r="H1674" s="77" t="str">
        <f>VLOOKUP(DESPESAS[[#This Row],[Plano de Contas]],BASE!$B$3:$D$119,3,FALSE)</f>
        <v>Vigilancia e Seguranca</v>
      </c>
      <c r="I1674" s="77" t="str">
        <f>IFERROR(VLOOKUP(DESPESAS[[#This Row],[Fornecedor]],Tabela2[],2,FALSE),"")</f>
        <v/>
      </c>
      <c r="J1674" s="77" t="str">
        <f>IFERROR(VLOOKUP(DESPESAS[[#This Row],[Plano de Contas]],BASE!$B$3:$F$119,4,FALSE),"")</f>
        <v>7 - SERVIÇOS DE TERCEIROS</v>
      </c>
      <c r="K1674" s="77" t="str">
        <f>IFERROR(VLOOKUP(DESPESAS[[#This Row],[Plano de Contas]],BASE!$B$3:$H$119,5,FALSE),"")</f>
        <v>FINANCEIRO</v>
      </c>
      <c r="L1674" s="77">
        <f>IFERROR(VLOOKUP(DESPESAS[[#This Row],[Plano de Contas]],BASE!$B$3:$H$119,6,FALSE),"")</f>
        <v>0</v>
      </c>
      <c r="M1674" s="77" t="str">
        <f>VLOOKUP(DESPESAS[[#This Row],[Plano de Contas]],BASE!$B$3:$H$119,7,FALSE)</f>
        <v>LETÍCIA</v>
      </c>
    </row>
    <row r="1675" spans="1:13" x14ac:dyDescent="0.25">
      <c r="A1675" s="74">
        <v>198391</v>
      </c>
      <c r="B1675" s="75" t="s">
        <v>279</v>
      </c>
      <c r="C1675" s="75" t="s">
        <v>2091</v>
      </c>
      <c r="D1675" s="76">
        <v>46066</v>
      </c>
      <c r="E1675" s="75" t="s">
        <v>230</v>
      </c>
      <c r="F1675" s="74">
        <v>0.79</v>
      </c>
      <c r="G1675" s="75" t="s">
        <v>229</v>
      </c>
      <c r="H1675" s="77" t="str">
        <f>VLOOKUP(DESPESAS[[#This Row],[Plano de Contas]],BASE!$B$3:$D$119,3,FALSE)</f>
        <v>Despesas Bancarias</v>
      </c>
      <c r="I1675" s="77" t="str">
        <f>IFERROR(VLOOKUP(DESPESAS[[#This Row],[Fornecedor]],Tabela2[],2,FALSE),"")</f>
        <v/>
      </c>
      <c r="J1675" s="77" t="str">
        <f>IFERROR(VLOOKUP(DESPESAS[[#This Row],[Plano de Contas]],BASE!$B$3:$F$119,4,FALSE),"")</f>
        <v>8 - DESPESAS FINANCEIRAS</v>
      </c>
      <c r="K1675" s="77" t="str">
        <f>IFERROR(VLOOKUP(DESPESAS[[#This Row],[Plano de Contas]],BASE!$B$3:$H$119,5,FALSE),"")</f>
        <v>FINANCEIRO</v>
      </c>
      <c r="L1675" s="77">
        <f>IFERROR(VLOOKUP(DESPESAS[[#This Row],[Plano de Contas]],BASE!$B$3:$H$119,6,FALSE),"")</f>
        <v>0</v>
      </c>
      <c r="M1675" s="77" t="str">
        <f>VLOOKUP(DESPESAS[[#This Row],[Plano de Contas]],BASE!$B$3:$H$119,7,FALSE)</f>
        <v>LETÍCIA</v>
      </c>
    </row>
    <row r="1676" spans="1:13" x14ac:dyDescent="0.25">
      <c r="A1676" s="74">
        <v>198392</v>
      </c>
      <c r="B1676" s="75" t="s">
        <v>281</v>
      </c>
      <c r="C1676" s="75" t="s">
        <v>2090</v>
      </c>
      <c r="D1676" s="76">
        <v>46066</v>
      </c>
      <c r="E1676" s="75" t="s">
        <v>230</v>
      </c>
      <c r="F1676" s="74">
        <v>9.19</v>
      </c>
      <c r="G1676" s="75" t="s">
        <v>356</v>
      </c>
      <c r="H1676" s="77" t="str">
        <f>VLOOKUP(DESPESAS[[#This Row],[Plano de Contas]],BASE!$B$3:$D$119,3,FALSE)</f>
        <v>Despesas Cartorárias</v>
      </c>
      <c r="I1676" s="77" t="str">
        <f>IFERROR(VLOOKUP(DESPESAS[[#This Row],[Fornecedor]],Tabela2[],2,FALSE),"")</f>
        <v/>
      </c>
      <c r="J1676" s="77" t="str">
        <f>IFERROR(VLOOKUP(DESPESAS[[#This Row],[Plano de Contas]],BASE!$B$3:$F$119,4,FALSE),"")</f>
        <v>5 - DESPESAS ADMINISTRATIVAS</v>
      </c>
      <c r="K1676" s="77" t="str">
        <f>IFERROR(VLOOKUP(DESPESAS[[#This Row],[Plano de Contas]],BASE!$B$3:$H$119,5,FALSE),"")</f>
        <v>FINANCEIRO</v>
      </c>
      <c r="L1676" s="77">
        <f>IFERROR(VLOOKUP(DESPESAS[[#This Row],[Plano de Contas]],BASE!$B$3:$H$119,6,FALSE),"")</f>
        <v>0</v>
      </c>
      <c r="M1676" s="77" t="str">
        <f>VLOOKUP(DESPESAS[[#This Row],[Plano de Contas]],BASE!$B$3:$H$119,7,FALSE)</f>
        <v>LETÍCIA</v>
      </c>
    </row>
    <row r="1677" spans="1:13" x14ac:dyDescent="0.25">
      <c r="A1677" s="74">
        <v>198393</v>
      </c>
      <c r="B1677" s="75" t="s">
        <v>281</v>
      </c>
      <c r="C1677" s="75" t="s">
        <v>2089</v>
      </c>
      <c r="D1677" s="76">
        <v>46066</v>
      </c>
      <c r="E1677" s="75" t="s">
        <v>230</v>
      </c>
      <c r="F1677" s="74">
        <v>2.46</v>
      </c>
      <c r="G1677" s="75" t="s">
        <v>356</v>
      </c>
      <c r="H1677" s="77" t="str">
        <f>VLOOKUP(DESPESAS[[#This Row],[Plano de Contas]],BASE!$B$3:$D$119,3,FALSE)</f>
        <v>Despesas Cartorárias</v>
      </c>
      <c r="I1677" s="77" t="str">
        <f>IFERROR(VLOOKUP(DESPESAS[[#This Row],[Fornecedor]],Tabela2[],2,FALSE),"")</f>
        <v/>
      </c>
      <c r="J1677" s="77" t="str">
        <f>IFERROR(VLOOKUP(DESPESAS[[#This Row],[Plano de Contas]],BASE!$B$3:$F$119,4,FALSE),"")</f>
        <v>5 - DESPESAS ADMINISTRATIVAS</v>
      </c>
      <c r="K1677" s="77" t="str">
        <f>IFERROR(VLOOKUP(DESPESAS[[#This Row],[Plano de Contas]],BASE!$B$3:$H$119,5,FALSE),"")</f>
        <v>FINANCEIRO</v>
      </c>
      <c r="L1677" s="77">
        <f>IFERROR(VLOOKUP(DESPESAS[[#This Row],[Plano de Contas]],BASE!$B$3:$H$119,6,FALSE),"")</f>
        <v>0</v>
      </c>
      <c r="M1677" s="77" t="str">
        <f>VLOOKUP(DESPESAS[[#This Row],[Plano de Contas]],BASE!$B$3:$H$119,7,FALSE)</f>
        <v>LETÍCIA</v>
      </c>
    </row>
    <row r="1678" spans="1:13" x14ac:dyDescent="0.25">
      <c r="A1678" s="74">
        <v>198394</v>
      </c>
      <c r="B1678" s="75" t="s">
        <v>221</v>
      </c>
      <c r="C1678" s="75" t="s">
        <v>2088</v>
      </c>
      <c r="D1678" s="76">
        <v>46066</v>
      </c>
      <c r="E1678" s="75" t="s">
        <v>1394</v>
      </c>
      <c r="F1678" s="74">
        <v>2.85</v>
      </c>
      <c r="G1678" s="75" t="s">
        <v>229</v>
      </c>
      <c r="H1678" s="77" t="str">
        <f>VLOOKUP(DESPESAS[[#This Row],[Plano de Contas]],BASE!$B$3:$D$119,3,FALSE)</f>
        <v>Despesas Bancarias</v>
      </c>
      <c r="I1678" s="77" t="str">
        <f>IFERROR(VLOOKUP(DESPESAS[[#This Row],[Fornecedor]],Tabela2[],2,FALSE),"")</f>
        <v/>
      </c>
      <c r="J1678" s="77" t="str">
        <f>IFERROR(VLOOKUP(DESPESAS[[#This Row],[Plano de Contas]],BASE!$B$3:$F$119,4,FALSE),"")</f>
        <v>8 - DESPESAS FINANCEIRAS</v>
      </c>
      <c r="K1678" s="77" t="str">
        <f>IFERROR(VLOOKUP(DESPESAS[[#This Row],[Plano de Contas]],BASE!$B$3:$H$119,5,FALSE),"")</f>
        <v>FINANCEIRO</v>
      </c>
      <c r="L1678" s="77">
        <f>IFERROR(VLOOKUP(DESPESAS[[#This Row],[Plano de Contas]],BASE!$B$3:$H$119,6,FALSE),"")</f>
        <v>0</v>
      </c>
      <c r="M1678" s="77" t="str">
        <f>VLOOKUP(DESPESAS[[#This Row],[Plano de Contas]],BASE!$B$3:$H$119,7,FALSE)</f>
        <v>LETÍCIA</v>
      </c>
    </row>
    <row r="1679" spans="1:13" x14ac:dyDescent="0.25">
      <c r="A1679" s="74">
        <v>198398</v>
      </c>
      <c r="B1679" s="75" t="s">
        <v>221</v>
      </c>
      <c r="C1679" s="75" t="s">
        <v>2087</v>
      </c>
      <c r="D1679" s="76">
        <v>46065</v>
      </c>
      <c r="E1679" s="75" t="s">
        <v>242</v>
      </c>
      <c r="F1679" s="74">
        <v>182.09</v>
      </c>
      <c r="G1679" s="75" t="s">
        <v>423</v>
      </c>
      <c r="H1679" s="77" t="str">
        <f>VLOOKUP(DESPESAS[[#This Row],[Plano de Contas]],BASE!$B$3:$D$119,3,FALSE)</f>
        <v>Combustíveis (Adm)</v>
      </c>
      <c r="I1679" s="77" t="str">
        <f>IFERROR(VLOOKUP(DESPESAS[[#This Row],[Fornecedor]],Tabela2[],2,FALSE),"")</f>
        <v/>
      </c>
      <c r="J1679" s="77" t="str">
        <f>IFERROR(VLOOKUP(DESPESAS[[#This Row],[Plano de Contas]],BASE!$B$3:$F$119,4,FALSE),"")</f>
        <v>5 - DESPESAS ADMINISTRATIVAS</v>
      </c>
      <c r="K1679" s="77" t="str">
        <f>IFERROR(VLOOKUP(DESPESAS[[#This Row],[Plano de Contas]],BASE!$B$3:$H$119,5,FALSE),"")</f>
        <v>LOGÍSTICA</v>
      </c>
      <c r="L1679" s="77">
        <f>IFERROR(VLOOKUP(DESPESAS[[#This Row],[Plano de Contas]],BASE!$B$3:$H$119,6,FALSE),"")</f>
        <v>0</v>
      </c>
      <c r="M1679" s="77" t="str">
        <f>VLOOKUP(DESPESAS[[#This Row],[Plano de Contas]],BASE!$B$3:$H$119,7,FALSE)</f>
        <v>LETÍCIA</v>
      </c>
    </row>
    <row r="1680" spans="1:13" x14ac:dyDescent="0.25">
      <c r="A1680" s="74">
        <v>198402</v>
      </c>
      <c r="B1680" s="75" t="s">
        <v>221</v>
      </c>
      <c r="C1680" s="75" t="s">
        <v>2086</v>
      </c>
      <c r="D1680" s="76">
        <v>46066</v>
      </c>
      <c r="E1680" s="75" t="s">
        <v>242</v>
      </c>
      <c r="F1680" s="74">
        <v>780.72</v>
      </c>
      <c r="G1680" s="75" t="s">
        <v>241</v>
      </c>
      <c r="H1680" s="77" t="str">
        <f>VLOOKUP(DESPESAS[[#This Row],[Plano de Contas]],BASE!$B$3:$D$119,3,FALSE)</f>
        <v>Combustiveis Frota</v>
      </c>
      <c r="I1680" s="77" t="str">
        <f>IFERROR(VLOOKUP(DESPESAS[[#This Row],[Fornecedor]],Tabela2[],2,FALSE),"")</f>
        <v/>
      </c>
      <c r="J1680" s="77" t="str">
        <f>IFERROR(VLOOKUP(DESPESAS[[#This Row],[Plano de Contas]],BASE!$B$3:$F$119,4,FALSE),"")</f>
        <v>6 - DESPESA COM VENDAS</v>
      </c>
      <c r="K1680" s="77" t="str">
        <f>IFERROR(VLOOKUP(DESPESAS[[#This Row],[Plano de Contas]],BASE!$B$3:$H$119,5,FALSE),"")</f>
        <v>LOGÍSTICA</v>
      </c>
      <c r="L1680" s="77">
        <f>IFERROR(VLOOKUP(DESPESAS[[#This Row],[Plano de Contas]],BASE!$B$3:$H$119,6,FALSE),"")</f>
        <v>0</v>
      </c>
      <c r="M1680" s="77" t="str">
        <f>VLOOKUP(DESPESAS[[#This Row],[Plano de Contas]],BASE!$B$3:$H$119,7,FALSE)</f>
        <v>MYLENA</v>
      </c>
    </row>
    <row r="1681" spans="1:13" x14ac:dyDescent="0.25">
      <c r="A1681" s="74">
        <v>198404</v>
      </c>
      <c r="B1681" s="75" t="s">
        <v>221</v>
      </c>
      <c r="C1681" s="75" t="s">
        <v>2084</v>
      </c>
      <c r="D1681" s="76">
        <v>46069</v>
      </c>
      <c r="E1681" s="75" t="s">
        <v>467</v>
      </c>
      <c r="F1681" s="74">
        <v>30</v>
      </c>
      <c r="G1681" s="75" t="s">
        <v>225</v>
      </c>
      <c r="H1681" s="77" t="str">
        <f>VLOOKUP(DESPESAS[[#This Row],[Plano de Contas]],BASE!$B$3:$D$119,3,FALSE)</f>
        <v>Despesas de Outros Gastos Não Operacionais</v>
      </c>
      <c r="I1681" s="77" t="str">
        <f>IFERROR(VLOOKUP(DESPESAS[[#This Row],[Fornecedor]],Tabela2[],2,FALSE),"")</f>
        <v/>
      </c>
      <c r="J1681" s="77" t="str">
        <f>IFERROR(VLOOKUP(DESPESAS[[#This Row],[Plano de Contas]],BASE!$B$3:$F$119,4,FALSE),"")</f>
        <v>8 - DESPESAS FINANCEIRAS</v>
      </c>
      <c r="K1681" s="77" t="str">
        <f>IFERROR(VLOOKUP(DESPESAS[[#This Row],[Plano de Contas]],BASE!$B$3:$H$119,5,FALSE),"")</f>
        <v>FINANCEIRO</v>
      </c>
      <c r="L1681" s="77">
        <f>IFERROR(VLOOKUP(DESPESAS[[#This Row],[Plano de Contas]],BASE!$B$3:$H$119,6,FALSE),"")</f>
        <v>0</v>
      </c>
      <c r="M1681" s="77" t="str">
        <f>VLOOKUP(DESPESAS[[#This Row],[Plano de Contas]],BASE!$B$3:$H$119,7,FALSE)</f>
        <v>LETÍCIA</v>
      </c>
    </row>
    <row r="1682" spans="1:13" x14ac:dyDescent="0.25">
      <c r="A1682" s="74">
        <v>198405</v>
      </c>
      <c r="B1682" s="75" t="s">
        <v>221</v>
      </c>
      <c r="C1682" s="75" t="s">
        <v>2083</v>
      </c>
      <c r="D1682" s="76">
        <v>46069</v>
      </c>
      <c r="E1682" s="75" t="s">
        <v>268</v>
      </c>
      <c r="F1682" s="74">
        <v>27.9</v>
      </c>
      <c r="G1682" s="75" t="s">
        <v>262</v>
      </c>
      <c r="H1682" s="77" t="str">
        <f>VLOOKUP(DESPESAS[[#This Row],[Plano de Contas]],BASE!$B$3:$D$119,3,FALSE)</f>
        <v>Fretes Karams</v>
      </c>
      <c r="I1682" s="77" t="str">
        <f>IFERROR(VLOOKUP(DESPESAS[[#This Row],[Fornecedor]],Tabela2[],2,FALSE),"")</f>
        <v/>
      </c>
      <c r="J1682" s="77" t="str">
        <f>IFERROR(VLOOKUP(DESPESAS[[#This Row],[Plano de Contas]],BASE!$B$3:$F$119,4,FALSE),"")</f>
        <v>6 - DESPESA COM VENDAS</v>
      </c>
      <c r="K1682" s="77" t="str">
        <f>IFERROR(VLOOKUP(DESPESAS[[#This Row],[Plano de Contas]],BASE!$B$3:$H$119,5,FALSE),"")</f>
        <v>LOGÍSTICA</v>
      </c>
      <c r="L1682" s="77">
        <f>IFERROR(VLOOKUP(DESPESAS[[#This Row],[Plano de Contas]],BASE!$B$3:$H$119,6,FALSE),"")</f>
        <v>0</v>
      </c>
      <c r="M1682" s="77" t="str">
        <f>VLOOKUP(DESPESAS[[#This Row],[Plano de Contas]],BASE!$B$3:$H$119,7,FALSE)</f>
        <v>MYLENA</v>
      </c>
    </row>
    <row r="1683" spans="1:13" x14ac:dyDescent="0.25">
      <c r="A1683" s="74">
        <v>198406</v>
      </c>
      <c r="B1683" s="75" t="s">
        <v>221</v>
      </c>
      <c r="C1683" s="75" t="s">
        <v>2082</v>
      </c>
      <c r="D1683" s="76">
        <v>46069</v>
      </c>
      <c r="E1683" s="75" t="s">
        <v>1872</v>
      </c>
      <c r="F1683" s="74">
        <v>388</v>
      </c>
      <c r="G1683" s="75" t="s">
        <v>1037</v>
      </c>
      <c r="H1683" s="77" t="str">
        <f>VLOOKUP(DESPESAS[[#This Row],[Plano de Contas]],BASE!$B$3:$D$119,3,FALSE)</f>
        <v>Construções e Reformas</v>
      </c>
      <c r="I1683" s="77" t="str">
        <f>IFERROR(VLOOKUP(DESPESAS[[#This Row],[Fornecedor]],Tabela2[],2,FALSE),"")</f>
        <v>MATERIAIS ELETRICOS</v>
      </c>
      <c r="J1683" s="77" t="str">
        <f>IFERROR(VLOOKUP(DESPESAS[[#This Row],[Plano de Contas]],BASE!$B$3:$F$119,4,FALSE),"")</f>
        <v>9 - INVESTIMENTOS</v>
      </c>
      <c r="K1683" s="77" t="str">
        <f>IFERROR(VLOOKUP(DESPESAS[[#This Row],[Plano de Contas]],BASE!$B$3:$H$119,5,FALSE),"")</f>
        <v>MANUTENÇÃO / TI</v>
      </c>
      <c r="L1683" s="77">
        <f>IFERROR(VLOOKUP(DESPESAS[[#This Row],[Plano de Contas]],BASE!$B$3:$H$119,6,FALSE),"")</f>
        <v>0</v>
      </c>
      <c r="M1683" s="77" t="str">
        <f>VLOOKUP(DESPESAS[[#This Row],[Plano de Contas]],BASE!$B$3:$H$119,7,FALSE)</f>
        <v>FÁBIO</v>
      </c>
    </row>
    <row r="1684" spans="1:13" x14ac:dyDescent="0.25">
      <c r="A1684" s="74">
        <v>198407</v>
      </c>
      <c r="B1684" s="75" t="s">
        <v>221</v>
      </c>
      <c r="C1684" s="75" t="s">
        <v>2081</v>
      </c>
      <c r="D1684" s="76">
        <v>46069</v>
      </c>
      <c r="E1684" s="75" t="s">
        <v>223</v>
      </c>
      <c r="F1684" s="74">
        <v>130</v>
      </c>
      <c r="G1684" s="75" t="s">
        <v>568</v>
      </c>
      <c r="H1684" s="77" t="str">
        <f>VLOOKUP(DESPESAS[[#This Row],[Plano de Contas]],BASE!$B$3:$D$119,3,FALSE)</f>
        <v>Carregamento</v>
      </c>
      <c r="I1684" s="77" t="str">
        <f>IFERROR(VLOOKUP(DESPESAS[[#This Row],[Fornecedor]],Tabela2[],2,FALSE),"")</f>
        <v/>
      </c>
      <c r="J1684" s="77" t="str">
        <f>IFERROR(VLOOKUP(DESPESAS[[#This Row],[Plano de Contas]],BASE!$B$3:$F$119,4,FALSE),"")</f>
        <v>6 - DESPESA COM VENDAS</v>
      </c>
      <c r="K1684" s="77" t="str">
        <f>IFERROR(VLOOKUP(DESPESAS[[#This Row],[Plano de Contas]],BASE!$B$3:$H$119,5,FALSE),"")</f>
        <v>LOGÍSTICA</v>
      </c>
      <c r="L1684" s="77">
        <f>IFERROR(VLOOKUP(DESPESAS[[#This Row],[Plano de Contas]],BASE!$B$3:$H$119,6,FALSE),"")</f>
        <v>0</v>
      </c>
      <c r="M1684" s="77" t="str">
        <f>VLOOKUP(DESPESAS[[#This Row],[Plano de Contas]],BASE!$B$3:$H$119,7,FALSE)</f>
        <v>MYLENA</v>
      </c>
    </row>
    <row r="1685" spans="1:13" x14ac:dyDescent="0.25">
      <c r="A1685" s="74">
        <v>198408</v>
      </c>
      <c r="B1685" s="75" t="s">
        <v>221</v>
      </c>
      <c r="C1685" s="75" t="s">
        <v>2080</v>
      </c>
      <c r="D1685" s="76">
        <v>46070</v>
      </c>
      <c r="E1685" s="75" t="s">
        <v>2079</v>
      </c>
      <c r="F1685" s="74">
        <v>4200</v>
      </c>
      <c r="G1685" s="75" t="s">
        <v>326</v>
      </c>
      <c r="H1685" s="77" t="str">
        <f>VLOOKUP(DESPESAS[[#This Row],[Plano de Contas]],BASE!$B$3:$D$119,3,FALSE)</f>
        <v>Frete sobre Compras</v>
      </c>
      <c r="I1685" s="77" t="str">
        <f>IFERROR(VLOOKUP(DESPESAS[[#This Row],[Fornecedor]],Tabela2[],2,FALSE),"")</f>
        <v/>
      </c>
      <c r="J1685" s="77" t="str">
        <f>IFERROR(VLOOKUP(DESPESAS[[#This Row],[Plano de Contas]],BASE!$B$3:$F$119,4,FALSE),"")</f>
        <v>1 - CPV</v>
      </c>
      <c r="K1685" s="77" t="str">
        <f>IFERROR(VLOOKUP(DESPESAS[[#This Row],[Plano de Contas]],BASE!$B$3:$H$119,5,FALSE),"")</f>
        <v>COMPRAS</v>
      </c>
      <c r="L1685" s="77">
        <f>IFERROR(VLOOKUP(DESPESAS[[#This Row],[Plano de Contas]],BASE!$B$3:$H$119,6,FALSE),"")</f>
        <v>0</v>
      </c>
      <c r="M1685" s="77" t="str">
        <f>VLOOKUP(DESPESAS[[#This Row],[Plano de Contas]],BASE!$B$3:$H$119,7,FALSE)</f>
        <v>MYLENA</v>
      </c>
    </row>
    <row r="1686" spans="1:13" x14ac:dyDescent="0.25">
      <c r="A1686" s="74">
        <v>198411</v>
      </c>
      <c r="B1686" s="75" t="s">
        <v>221</v>
      </c>
      <c r="C1686" s="75" t="s">
        <v>2078</v>
      </c>
      <c r="D1686" s="76">
        <v>46070</v>
      </c>
      <c r="E1686" s="75" t="s">
        <v>256</v>
      </c>
      <c r="F1686" s="74">
        <v>6.5</v>
      </c>
      <c r="G1686" s="75" t="s">
        <v>255</v>
      </c>
      <c r="H1686" s="77" t="str">
        <f>VLOOKUP(DESPESAS[[#This Row],[Plano de Contas]],BASE!$B$3:$D$119,3,FALSE)</f>
        <v>Mostruário de Tecido</v>
      </c>
      <c r="I1686" s="77" t="str">
        <f>IFERROR(VLOOKUP(DESPESAS[[#This Row],[Fornecedor]],Tabela2[],2,FALSE),"")</f>
        <v/>
      </c>
      <c r="J1686" s="77" t="str">
        <f>IFERROR(VLOOKUP(DESPESAS[[#This Row],[Plano de Contas]],BASE!$B$3:$F$119,4,FALSE),"")</f>
        <v>6 - DESPESA COM VENDAS</v>
      </c>
      <c r="K1686" s="77" t="str">
        <f>IFERROR(VLOOKUP(DESPESAS[[#This Row],[Plano de Contas]],BASE!$B$3:$H$119,5,FALSE),"")</f>
        <v>COMERCIAL</v>
      </c>
      <c r="L1686" s="77">
        <f>IFERROR(VLOOKUP(DESPESAS[[#This Row],[Plano de Contas]],BASE!$B$3:$H$119,6,FALSE),"")</f>
        <v>0</v>
      </c>
      <c r="M1686" s="77" t="str">
        <f>VLOOKUP(DESPESAS[[#This Row],[Plano de Contas]],BASE!$B$3:$H$119,7,FALSE)</f>
        <v>LETÍCIA</v>
      </c>
    </row>
    <row r="1687" spans="1:13" x14ac:dyDescent="0.25">
      <c r="A1687" s="74">
        <v>198412</v>
      </c>
      <c r="B1687" s="75" t="s">
        <v>221</v>
      </c>
      <c r="C1687" s="75" t="s">
        <v>2077</v>
      </c>
      <c r="D1687" s="76">
        <v>46070</v>
      </c>
      <c r="E1687" s="75" t="s">
        <v>219</v>
      </c>
      <c r="F1687" s="74">
        <v>110</v>
      </c>
      <c r="G1687" s="75" t="s">
        <v>218</v>
      </c>
      <c r="H1687" s="77" t="str">
        <f>VLOOKUP(DESPESAS[[#This Row],[Plano de Contas]],BASE!$B$3:$D$119,3,FALSE)</f>
        <v>Manutenção de Equipamentos (Prod)</v>
      </c>
      <c r="I1687" s="77" t="str">
        <f>IFERROR(VLOOKUP(DESPESAS[[#This Row],[Fornecedor]],Tabela2[],2,FALSE),"")</f>
        <v>MAQUINAS DE COSTURA</v>
      </c>
      <c r="J1687" s="77" t="str">
        <f>IFERROR(VLOOKUP(DESPESAS[[#This Row],[Plano de Contas]],BASE!$B$3:$F$119,4,FALSE),"")</f>
        <v>3 - CUSTOS INDIRETOS</v>
      </c>
      <c r="K1687" s="77" t="str">
        <f>IFERROR(VLOOKUP(DESPESAS[[#This Row],[Plano de Contas]],BASE!$B$3:$H$119,5,FALSE),"")</f>
        <v>MANUTENÇÃO / TI</v>
      </c>
      <c r="L1687" s="77">
        <f>IFERROR(VLOOKUP(DESPESAS[[#This Row],[Plano de Contas]],BASE!$B$3:$H$119,6,FALSE),"")</f>
        <v>0</v>
      </c>
      <c r="M1687" s="77" t="str">
        <f>VLOOKUP(DESPESAS[[#This Row],[Plano de Contas]],BASE!$B$3:$H$119,7,FALSE)</f>
        <v>RAFAEL</v>
      </c>
    </row>
    <row r="1688" spans="1:13" x14ac:dyDescent="0.25">
      <c r="A1688" s="74">
        <v>198413</v>
      </c>
      <c r="B1688" s="75" t="s">
        <v>221</v>
      </c>
      <c r="C1688" s="75" t="s">
        <v>2076</v>
      </c>
      <c r="D1688" s="76">
        <v>46070</v>
      </c>
      <c r="E1688" s="75" t="s">
        <v>219</v>
      </c>
      <c r="F1688" s="74">
        <v>100</v>
      </c>
      <c r="G1688" s="75" t="s">
        <v>218</v>
      </c>
      <c r="H1688" s="77" t="str">
        <f>VLOOKUP(DESPESAS[[#This Row],[Plano de Contas]],BASE!$B$3:$D$119,3,FALSE)</f>
        <v>Manutenção de Equipamentos (Prod)</v>
      </c>
      <c r="I1688" s="77" t="str">
        <f>IFERROR(VLOOKUP(DESPESAS[[#This Row],[Fornecedor]],Tabela2[],2,FALSE),"")</f>
        <v>MAQUINAS DE COSTURA</v>
      </c>
      <c r="J1688" s="77" t="str">
        <f>IFERROR(VLOOKUP(DESPESAS[[#This Row],[Plano de Contas]],BASE!$B$3:$F$119,4,FALSE),"")</f>
        <v>3 - CUSTOS INDIRETOS</v>
      </c>
      <c r="K1688" s="77" t="str">
        <f>IFERROR(VLOOKUP(DESPESAS[[#This Row],[Plano de Contas]],BASE!$B$3:$H$119,5,FALSE),"")</f>
        <v>MANUTENÇÃO / TI</v>
      </c>
      <c r="L1688" s="77">
        <f>IFERROR(VLOOKUP(DESPESAS[[#This Row],[Plano de Contas]],BASE!$B$3:$H$119,6,FALSE),"")</f>
        <v>0</v>
      </c>
      <c r="M1688" s="77" t="str">
        <f>VLOOKUP(DESPESAS[[#This Row],[Plano de Contas]],BASE!$B$3:$H$119,7,FALSE)</f>
        <v>RAFAEL</v>
      </c>
    </row>
    <row r="1689" spans="1:13" x14ac:dyDescent="0.25">
      <c r="A1689" s="74">
        <v>198414</v>
      </c>
      <c r="B1689" s="75" t="s">
        <v>232</v>
      </c>
      <c r="C1689" s="75" t="s">
        <v>2075</v>
      </c>
      <c r="D1689" s="76">
        <v>46070</v>
      </c>
      <c r="E1689" s="75" t="s">
        <v>2074</v>
      </c>
      <c r="F1689" s="74">
        <v>180</v>
      </c>
      <c r="G1689" s="75" t="s">
        <v>1075</v>
      </c>
      <c r="H1689" s="77" t="str">
        <f>VLOOKUP(DESPESAS[[#This Row],[Plano de Contas]],BASE!$B$3:$D$119,3,FALSE)</f>
        <v>Fretes Ass. Técnica</v>
      </c>
      <c r="I1689" s="77" t="str">
        <f>IFERROR(VLOOKUP(DESPESAS[[#This Row],[Fornecedor]],Tabela2[],2,FALSE),"")</f>
        <v/>
      </c>
      <c r="J1689" s="77" t="str">
        <f>IFERROR(VLOOKUP(DESPESAS[[#This Row],[Plano de Contas]],BASE!$B$3:$F$119,4,FALSE),"")</f>
        <v>6 - DESPESA COM VENDAS</v>
      </c>
      <c r="K1689" s="77" t="str">
        <f>IFERROR(VLOOKUP(DESPESAS[[#This Row],[Plano de Contas]],BASE!$B$3:$H$119,5,FALSE),"")</f>
        <v>LOGÍSTICA</v>
      </c>
      <c r="L1689" s="77">
        <f>IFERROR(VLOOKUP(DESPESAS[[#This Row],[Plano de Contas]],BASE!$B$3:$H$119,6,FALSE),"")</f>
        <v>0</v>
      </c>
      <c r="M1689" s="77" t="str">
        <f>VLOOKUP(DESPESAS[[#This Row],[Plano de Contas]],BASE!$B$3:$H$119,7,FALSE)</f>
        <v>MYLENA</v>
      </c>
    </row>
    <row r="1690" spans="1:13" x14ac:dyDescent="0.25">
      <c r="A1690" s="74">
        <v>198415</v>
      </c>
      <c r="B1690" s="75" t="s">
        <v>232</v>
      </c>
      <c r="C1690" s="75" t="s">
        <v>2073</v>
      </c>
      <c r="D1690" s="76">
        <v>46066</v>
      </c>
      <c r="E1690" s="75" t="s">
        <v>327</v>
      </c>
      <c r="F1690" s="74">
        <v>221.49</v>
      </c>
      <c r="G1690" s="75" t="s">
        <v>326</v>
      </c>
      <c r="H1690" s="77" t="str">
        <f>VLOOKUP(DESPESAS[[#This Row],[Plano de Contas]],BASE!$B$3:$D$119,3,FALSE)</f>
        <v>Frete sobre Compras</v>
      </c>
      <c r="I1690" s="77" t="str">
        <f>IFERROR(VLOOKUP(DESPESAS[[#This Row],[Fornecedor]],Tabela2[],2,FALSE),"")</f>
        <v>SERVIÇOS FRETE</v>
      </c>
      <c r="J1690" s="77" t="str">
        <f>IFERROR(VLOOKUP(DESPESAS[[#This Row],[Plano de Contas]],BASE!$B$3:$F$119,4,FALSE),"")</f>
        <v>1 - CPV</v>
      </c>
      <c r="K1690" s="77" t="str">
        <f>IFERROR(VLOOKUP(DESPESAS[[#This Row],[Plano de Contas]],BASE!$B$3:$H$119,5,FALSE),"")</f>
        <v>COMPRAS</v>
      </c>
      <c r="L1690" s="77">
        <f>IFERROR(VLOOKUP(DESPESAS[[#This Row],[Plano de Contas]],BASE!$B$3:$H$119,6,FALSE),"")</f>
        <v>0</v>
      </c>
      <c r="M1690" s="77" t="str">
        <f>VLOOKUP(DESPESAS[[#This Row],[Plano de Contas]],BASE!$B$3:$H$119,7,FALSE)</f>
        <v>MYLENA</v>
      </c>
    </row>
    <row r="1691" spans="1:13" x14ac:dyDescent="0.25">
      <c r="A1691" s="74">
        <v>198416</v>
      </c>
      <c r="B1691" s="75" t="s">
        <v>232</v>
      </c>
      <c r="C1691" s="75" t="s">
        <v>2072</v>
      </c>
      <c r="D1691" s="76">
        <v>46063</v>
      </c>
      <c r="E1691" s="75" t="s">
        <v>327</v>
      </c>
      <c r="F1691" s="74">
        <v>184.5</v>
      </c>
      <c r="G1691" s="75" t="s">
        <v>326</v>
      </c>
      <c r="H1691" s="77" t="str">
        <f>VLOOKUP(DESPESAS[[#This Row],[Plano de Contas]],BASE!$B$3:$D$119,3,FALSE)</f>
        <v>Frete sobre Compras</v>
      </c>
      <c r="I1691" s="77" t="str">
        <f>IFERROR(VLOOKUP(DESPESAS[[#This Row],[Fornecedor]],Tabela2[],2,FALSE),"")</f>
        <v>SERVIÇOS FRETE</v>
      </c>
      <c r="J1691" s="77" t="str">
        <f>IFERROR(VLOOKUP(DESPESAS[[#This Row],[Plano de Contas]],BASE!$B$3:$F$119,4,FALSE),"")</f>
        <v>1 - CPV</v>
      </c>
      <c r="K1691" s="77" t="str">
        <f>IFERROR(VLOOKUP(DESPESAS[[#This Row],[Plano de Contas]],BASE!$B$3:$H$119,5,FALSE),"")</f>
        <v>COMPRAS</v>
      </c>
      <c r="L1691" s="77">
        <f>IFERROR(VLOOKUP(DESPESAS[[#This Row],[Plano de Contas]],BASE!$B$3:$H$119,6,FALSE),"")</f>
        <v>0</v>
      </c>
      <c r="M1691" s="77" t="str">
        <f>VLOOKUP(DESPESAS[[#This Row],[Plano de Contas]],BASE!$B$3:$H$119,7,FALSE)</f>
        <v>MYLENA</v>
      </c>
    </row>
    <row r="1692" spans="1:13" x14ac:dyDescent="0.25">
      <c r="A1692" s="74">
        <v>198417</v>
      </c>
      <c r="B1692" s="75" t="s">
        <v>232</v>
      </c>
      <c r="C1692" s="75" t="s">
        <v>2071</v>
      </c>
      <c r="D1692" s="76">
        <v>46063</v>
      </c>
      <c r="E1692" s="75" t="s">
        <v>327</v>
      </c>
      <c r="F1692" s="74">
        <v>129.19999999999999</v>
      </c>
      <c r="G1692" s="75" t="s">
        <v>326</v>
      </c>
      <c r="H1692" s="77" t="str">
        <f>VLOOKUP(DESPESAS[[#This Row],[Plano de Contas]],BASE!$B$3:$D$119,3,FALSE)</f>
        <v>Frete sobre Compras</v>
      </c>
      <c r="I1692" s="77" t="str">
        <f>IFERROR(VLOOKUP(DESPESAS[[#This Row],[Fornecedor]],Tabela2[],2,FALSE),"")</f>
        <v>SERVIÇOS FRETE</v>
      </c>
      <c r="J1692" s="77" t="str">
        <f>IFERROR(VLOOKUP(DESPESAS[[#This Row],[Plano de Contas]],BASE!$B$3:$F$119,4,FALSE),"")</f>
        <v>1 - CPV</v>
      </c>
      <c r="K1692" s="77" t="str">
        <f>IFERROR(VLOOKUP(DESPESAS[[#This Row],[Plano de Contas]],BASE!$B$3:$H$119,5,FALSE),"")</f>
        <v>COMPRAS</v>
      </c>
      <c r="L1692" s="77">
        <f>IFERROR(VLOOKUP(DESPESAS[[#This Row],[Plano de Contas]],BASE!$B$3:$H$119,6,FALSE),"")</f>
        <v>0</v>
      </c>
      <c r="M1692" s="77" t="str">
        <f>VLOOKUP(DESPESAS[[#This Row],[Plano de Contas]],BASE!$B$3:$H$119,7,FALSE)</f>
        <v>MYLENA</v>
      </c>
    </row>
    <row r="1693" spans="1:13" x14ac:dyDescent="0.25">
      <c r="A1693" s="74">
        <v>198418</v>
      </c>
      <c r="B1693" s="75" t="s">
        <v>232</v>
      </c>
      <c r="C1693" s="75" t="s">
        <v>2070</v>
      </c>
      <c r="D1693" s="76">
        <v>46063</v>
      </c>
      <c r="E1693" s="75" t="s">
        <v>327</v>
      </c>
      <c r="F1693" s="74">
        <v>488.25</v>
      </c>
      <c r="G1693" s="75" t="s">
        <v>326</v>
      </c>
      <c r="H1693" s="77" t="str">
        <f>VLOOKUP(DESPESAS[[#This Row],[Plano de Contas]],BASE!$B$3:$D$119,3,FALSE)</f>
        <v>Frete sobre Compras</v>
      </c>
      <c r="I1693" s="77" t="str">
        <f>IFERROR(VLOOKUP(DESPESAS[[#This Row],[Fornecedor]],Tabela2[],2,FALSE),"")</f>
        <v>SERVIÇOS FRETE</v>
      </c>
      <c r="J1693" s="77" t="str">
        <f>IFERROR(VLOOKUP(DESPESAS[[#This Row],[Plano de Contas]],BASE!$B$3:$F$119,4,FALSE),"")</f>
        <v>1 - CPV</v>
      </c>
      <c r="K1693" s="77" t="str">
        <f>IFERROR(VLOOKUP(DESPESAS[[#This Row],[Plano de Contas]],BASE!$B$3:$H$119,5,FALSE),"")</f>
        <v>COMPRAS</v>
      </c>
      <c r="L1693" s="77">
        <f>IFERROR(VLOOKUP(DESPESAS[[#This Row],[Plano de Contas]],BASE!$B$3:$H$119,6,FALSE),"")</f>
        <v>0</v>
      </c>
      <c r="M1693" s="77" t="str">
        <f>VLOOKUP(DESPESAS[[#This Row],[Plano de Contas]],BASE!$B$3:$H$119,7,FALSE)</f>
        <v>MYLENA</v>
      </c>
    </row>
    <row r="1694" spans="1:13" x14ac:dyDescent="0.25">
      <c r="A1694" s="74">
        <v>198419</v>
      </c>
      <c r="B1694" s="75" t="s">
        <v>232</v>
      </c>
      <c r="C1694" s="75" t="s">
        <v>2069</v>
      </c>
      <c r="D1694" s="76">
        <v>46064</v>
      </c>
      <c r="E1694" s="75" t="s">
        <v>499</v>
      </c>
      <c r="F1694" s="74">
        <v>266.93</v>
      </c>
      <c r="G1694" s="75" t="s">
        <v>326</v>
      </c>
      <c r="H1694" s="77" t="str">
        <f>VLOOKUP(DESPESAS[[#This Row],[Plano de Contas]],BASE!$B$3:$D$119,3,FALSE)</f>
        <v>Frete sobre Compras</v>
      </c>
      <c r="I1694" s="77" t="str">
        <f>IFERROR(VLOOKUP(DESPESAS[[#This Row],[Fornecedor]],Tabela2[],2,FALSE),"")</f>
        <v/>
      </c>
      <c r="J1694" s="77" t="str">
        <f>IFERROR(VLOOKUP(DESPESAS[[#This Row],[Plano de Contas]],BASE!$B$3:$F$119,4,FALSE),"")</f>
        <v>1 - CPV</v>
      </c>
      <c r="K1694" s="77" t="str">
        <f>IFERROR(VLOOKUP(DESPESAS[[#This Row],[Plano de Contas]],BASE!$B$3:$H$119,5,FALSE),"")</f>
        <v>COMPRAS</v>
      </c>
      <c r="L1694" s="77">
        <f>IFERROR(VLOOKUP(DESPESAS[[#This Row],[Plano de Contas]],BASE!$B$3:$H$119,6,FALSE),"")</f>
        <v>0</v>
      </c>
      <c r="M1694" s="77" t="str">
        <f>VLOOKUP(DESPESAS[[#This Row],[Plano de Contas]],BASE!$B$3:$H$119,7,FALSE)</f>
        <v>MYLENA</v>
      </c>
    </row>
    <row r="1695" spans="1:13" x14ac:dyDescent="0.25">
      <c r="A1695" s="74">
        <v>198420</v>
      </c>
      <c r="B1695" s="75" t="s">
        <v>232</v>
      </c>
      <c r="C1695" s="75" t="s">
        <v>2068</v>
      </c>
      <c r="D1695" s="76">
        <v>46064</v>
      </c>
      <c r="E1695" s="75" t="s">
        <v>327</v>
      </c>
      <c r="F1695" s="74">
        <v>124</v>
      </c>
      <c r="G1695" s="75" t="s">
        <v>326</v>
      </c>
      <c r="H1695" s="77" t="str">
        <f>VLOOKUP(DESPESAS[[#This Row],[Plano de Contas]],BASE!$B$3:$D$119,3,FALSE)</f>
        <v>Frete sobre Compras</v>
      </c>
      <c r="I1695" s="77" t="str">
        <f>IFERROR(VLOOKUP(DESPESAS[[#This Row],[Fornecedor]],Tabela2[],2,FALSE),"")</f>
        <v>SERVIÇOS FRETE</v>
      </c>
      <c r="J1695" s="77" t="str">
        <f>IFERROR(VLOOKUP(DESPESAS[[#This Row],[Plano de Contas]],BASE!$B$3:$F$119,4,FALSE),"")</f>
        <v>1 - CPV</v>
      </c>
      <c r="K1695" s="77" t="str">
        <f>IFERROR(VLOOKUP(DESPESAS[[#This Row],[Plano de Contas]],BASE!$B$3:$H$119,5,FALSE),"")</f>
        <v>COMPRAS</v>
      </c>
      <c r="L1695" s="77">
        <f>IFERROR(VLOOKUP(DESPESAS[[#This Row],[Plano de Contas]],BASE!$B$3:$H$119,6,FALSE),"")</f>
        <v>0</v>
      </c>
      <c r="M1695" s="77" t="str">
        <f>VLOOKUP(DESPESAS[[#This Row],[Plano de Contas]],BASE!$B$3:$H$119,7,FALSE)</f>
        <v>MYLENA</v>
      </c>
    </row>
    <row r="1696" spans="1:13" x14ac:dyDescent="0.25">
      <c r="A1696" s="74">
        <v>198421</v>
      </c>
      <c r="B1696" s="75" t="s">
        <v>232</v>
      </c>
      <c r="C1696" s="75" t="s">
        <v>2067</v>
      </c>
      <c r="D1696" s="76">
        <v>46063</v>
      </c>
      <c r="E1696" s="75" t="s">
        <v>409</v>
      </c>
      <c r="F1696" s="74">
        <v>115.24</v>
      </c>
      <c r="G1696" s="75" t="s">
        <v>326</v>
      </c>
      <c r="H1696" s="77" t="str">
        <f>VLOOKUP(DESPESAS[[#This Row],[Plano de Contas]],BASE!$B$3:$D$119,3,FALSE)</f>
        <v>Frete sobre Compras</v>
      </c>
      <c r="I1696" s="77" t="str">
        <f>IFERROR(VLOOKUP(DESPESAS[[#This Row],[Fornecedor]],Tabela2[],2,FALSE),"")</f>
        <v>SERVIÇOS FRETE</v>
      </c>
      <c r="J1696" s="77" t="str">
        <f>IFERROR(VLOOKUP(DESPESAS[[#This Row],[Plano de Contas]],BASE!$B$3:$F$119,4,FALSE),"")</f>
        <v>1 - CPV</v>
      </c>
      <c r="K1696" s="77" t="str">
        <f>IFERROR(VLOOKUP(DESPESAS[[#This Row],[Plano de Contas]],BASE!$B$3:$H$119,5,FALSE),"")</f>
        <v>COMPRAS</v>
      </c>
      <c r="L1696" s="77">
        <f>IFERROR(VLOOKUP(DESPESAS[[#This Row],[Plano de Contas]],BASE!$B$3:$H$119,6,FALSE),"")</f>
        <v>0</v>
      </c>
      <c r="M1696" s="77" t="str">
        <f>VLOOKUP(DESPESAS[[#This Row],[Plano de Contas]],BASE!$B$3:$H$119,7,FALSE)</f>
        <v>MYLENA</v>
      </c>
    </row>
    <row r="1697" spans="1:13" x14ac:dyDescent="0.25">
      <c r="A1697" s="74">
        <v>198422</v>
      </c>
      <c r="B1697" s="75" t="s">
        <v>232</v>
      </c>
      <c r="C1697" s="75" t="s">
        <v>2066</v>
      </c>
      <c r="D1697" s="76">
        <v>46071</v>
      </c>
      <c r="E1697" s="75" t="s">
        <v>230</v>
      </c>
      <c r="F1697" s="74">
        <v>4.29</v>
      </c>
      <c r="G1697" s="75" t="s">
        <v>229</v>
      </c>
      <c r="H1697" s="77" t="str">
        <f>VLOOKUP(DESPESAS[[#This Row],[Plano de Contas]],BASE!$B$3:$D$119,3,FALSE)</f>
        <v>Despesas Bancarias</v>
      </c>
      <c r="I1697" s="77" t="str">
        <f>IFERROR(VLOOKUP(DESPESAS[[#This Row],[Fornecedor]],Tabela2[],2,FALSE),"")</f>
        <v/>
      </c>
      <c r="J1697" s="77" t="str">
        <f>IFERROR(VLOOKUP(DESPESAS[[#This Row],[Plano de Contas]],BASE!$B$3:$F$119,4,FALSE),"")</f>
        <v>8 - DESPESAS FINANCEIRAS</v>
      </c>
      <c r="K1697" s="77" t="str">
        <f>IFERROR(VLOOKUP(DESPESAS[[#This Row],[Plano de Contas]],BASE!$B$3:$H$119,5,FALSE),"")</f>
        <v>FINANCEIRO</v>
      </c>
      <c r="L1697" s="77">
        <f>IFERROR(VLOOKUP(DESPESAS[[#This Row],[Plano de Contas]],BASE!$B$3:$H$119,6,FALSE),"")</f>
        <v>0</v>
      </c>
      <c r="M1697" s="77" t="str">
        <f>VLOOKUP(DESPESAS[[#This Row],[Plano de Contas]],BASE!$B$3:$H$119,7,FALSE)</f>
        <v>LETÍCIA</v>
      </c>
    </row>
    <row r="1698" spans="1:13" x14ac:dyDescent="0.25">
      <c r="A1698" s="74">
        <v>198423</v>
      </c>
      <c r="B1698" s="75" t="s">
        <v>232</v>
      </c>
      <c r="C1698" s="75" t="s">
        <v>2065</v>
      </c>
      <c r="D1698" s="76">
        <v>46071</v>
      </c>
      <c r="E1698" s="75" t="s">
        <v>230</v>
      </c>
      <c r="F1698" s="74">
        <v>30.1</v>
      </c>
      <c r="G1698" s="75" t="s">
        <v>229</v>
      </c>
      <c r="H1698" s="77" t="str">
        <f>VLOOKUP(DESPESAS[[#This Row],[Plano de Contas]],BASE!$B$3:$D$119,3,FALSE)</f>
        <v>Despesas Bancarias</v>
      </c>
      <c r="I1698" s="77" t="str">
        <f>IFERROR(VLOOKUP(DESPESAS[[#This Row],[Fornecedor]],Tabela2[],2,FALSE),"")</f>
        <v/>
      </c>
      <c r="J1698" s="77" t="str">
        <f>IFERROR(VLOOKUP(DESPESAS[[#This Row],[Plano de Contas]],BASE!$B$3:$F$119,4,FALSE),"")</f>
        <v>8 - DESPESAS FINANCEIRAS</v>
      </c>
      <c r="K1698" s="77" t="str">
        <f>IFERROR(VLOOKUP(DESPESAS[[#This Row],[Plano de Contas]],BASE!$B$3:$H$119,5,FALSE),"")</f>
        <v>FINANCEIRO</v>
      </c>
      <c r="L1698" s="77">
        <f>IFERROR(VLOOKUP(DESPESAS[[#This Row],[Plano de Contas]],BASE!$B$3:$H$119,6,FALSE),"")</f>
        <v>0</v>
      </c>
      <c r="M1698" s="77" t="str">
        <f>VLOOKUP(DESPESAS[[#This Row],[Plano de Contas]],BASE!$B$3:$H$119,7,FALSE)</f>
        <v>LETÍCIA</v>
      </c>
    </row>
    <row r="1699" spans="1:13" x14ac:dyDescent="0.25">
      <c r="A1699" s="74">
        <v>198425</v>
      </c>
      <c r="B1699" s="75" t="s">
        <v>232</v>
      </c>
      <c r="C1699" s="75" t="s">
        <v>2064</v>
      </c>
      <c r="D1699" s="76">
        <v>46070</v>
      </c>
      <c r="E1699" s="75" t="s">
        <v>2063</v>
      </c>
      <c r="F1699" s="74">
        <v>1219.1400000000001</v>
      </c>
      <c r="G1699" s="75" t="s">
        <v>2062</v>
      </c>
      <c r="H1699" s="77" t="str">
        <f>VLOOKUP(DESPESAS[[#This Row],[Plano de Contas]],BASE!$B$3:$D$119,3,FALSE)</f>
        <v>Telefone e Internet</v>
      </c>
      <c r="I1699" s="77" t="str">
        <f>IFERROR(VLOOKUP(DESPESAS[[#This Row],[Fornecedor]],Tabela2[],2,FALSE),"")</f>
        <v/>
      </c>
      <c r="J1699" s="77" t="str">
        <f>IFERROR(VLOOKUP(DESPESAS[[#This Row],[Plano de Contas]],BASE!$B$3:$F$119,4,FALSE),"")</f>
        <v>5 - DESPESAS ADMINISTRATIVAS</v>
      </c>
      <c r="K1699" s="77" t="str">
        <f>IFERROR(VLOOKUP(DESPESAS[[#This Row],[Plano de Contas]],BASE!$B$3:$H$119,5,FALSE),"")</f>
        <v>MANUTENÇÃO / TI</v>
      </c>
      <c r="L1699" s="77">
        <f>IFERROR(VLOOKUP(DESPESAS[[#This Row],[Plano de Contas]],BASE!$B$3:$H$119,6,FALSE),"")</f>
        <v>0</v>
      </c>
      <c r="M1699" s="77" t="str">
        <f>VLOOKUP(DESPESAS[[#This Row],[Plano de Contas]],BASE!$B$3:$H$119,7,FALSE)</f>
        <v>LETÍCIA</v>
      </c>
    </row>
    <row r="1700" spans="1:13" x14ac:dyDescent="0.25">
      <c r="A1700" s="74">
        <v>198426</v>
      </c>
      <c r="B1700" s="75" t="s">
        <v>232</v>
      </c>
      <c r="C1700" s="75" t="s">
        <v>2064</v>
      </c>
      <c r="D1700" s="76">
        <v>46098</v>
      </c>
      <c r="E1700" s="75" t="s">
        <v>2063</v>
      </c>
      <c r="F1700" s="74">
        <v>1219.1400000000001</v>
      </c>
      <c r="G1700" s="75" t="s">
        <v>2062</v>
      </c>
      <c r="H1700" s="77" t="str">
        <f>VLOOKUP(DESPESAS[[#This Row],[Plano de Contas]],BASE!$B$3:$D$119,3,FALSE)</f>
        <v>Telefone e Internet</v>
      </c>
      <c r="I1700" s="77" t="str">
        <f>IFERROR(VLOOKUP(DESPESAS[[#This Row],[Fornecedor]],Tabela2[],2,FALSE),"")</f>
        <v/>
      </c>
      <c r="J1700" s="77" t="str">
        <f>IFERROR(VLOOKUP(DESPESAS[[#This Row],[Plano de Contas]],BASE!$B$3:$F$119,4,FALSE),"")</f>
        <v>5 - DESPESAS ADMINISTRATIVAS</v>
      </c>
      <c r="K1700" s="77" t="str">
        <f>IFERROR(VLOOKUP(DESPESAS[[#This Row],[Plano de Contas]],BASE!$B$3:$H$119,5,FALSE),"")</f>
        <v>MANUTENÇÃO / TI</v>
      </c>
      <c r="L1700" s="77">
        <f>IFERROR(VLOOKUP(DESPESAS[[#This Row],[Plano de Contas]],BASE!$B$3:$H$119,6,FALSE),"")</f>
        <v>0</v>
      </c>
      <c r="M1700" s="77" t="str">
        <f>VLOOKUP(DESPESAS[[#This Row],[Plano de Contas]],BASE!$B$3:$H$119,7,FALSE)</f>
        <v>LETÍCIA</v>
      </c>
    </row>
    <row r="1701" spans="1:13" x14ac:dyDescent="0.25">
      <c r="A1701" s="74">
        <v>198427</v>
      </c>
      <c r="B1701" s="75" t="s">
        <v>232</v>
      </c>
      <c r="C1701" s="75" t="s">
        <v>2064</v>
      </c>
      <c r="D1701" s="76">
        <v>46129</v>
      </c>
      <c r="E1701" s="75" t="s">
        <v>2063</v>
      </c>
      <c r="F1701" s="74">
        <v>1219.1400000000001</v>
      </c>
      <c r="G1701" s="75" t="s">
        <v>2062</v>
      </c>
      <c r="H1701" s="77" t="str">
        <f>VLOOKUP(DESPESAS[[#This Row],[Plano de Contas]],BASE!$B$3:$D$119,3,FALSE)</f>
        <v>Telefone e Internet</v>
      </c>
      <c r="I1701" s="77" t="str">
        <f>IFERROR(VLOOKUP(DESPESAS[[#This Row],[Fornecedor]],Tabela2[],2,FALSE),"")</f>
        <v/>
      </c>
      <c r="J1701" s="77" t="str">
        <f>IFERROR(VLOOKUP(DESPESAS[[#This Row],[Plano de Contas]],BASE!$B$3:$F$119,4,FALSE),"")</f>
        <v>5 - DESPESAS ADMINISTRATIVAS</v>
      </c>
      <c r="K1701" s="77" t="str">
        <f>IFERROR(VLOOKUP(DESPESAS[[#This Row],[Plano de Contas]],BASE!$B$3:$H$119,5,FALSE),"")</f>
        <v>MANUTENÇÃO / TI</v>
      </c>
      <c r="L1701" s="77">
        <f>IFERROR(VLOOKUP(DESPESAS[[#This Row],[Plano de Contas]],BASE!$B$3:$H$119,6,FALSE),"")</f>
        <v>0</v>
      </c>
      <c r="M1701" s="77" t="str">
        <f>VLOOKUP(DESPESAS[[#This Row],[Plano de Contas]],BASE!$B$3:$H$119,7,FALSE)</f>
        <v>LETÍCIA</v>
      </c>
    </row>
    <row r="1702" spans="1:13" x14ac:dyDescent="0.25">
      <c r="A1702" s="74">
        <v>198437</v>
      </c>
      <c r="B1702" s="75" t="s">
        <v>232</v>
      </c>
      <c r="C1702" s="75" t="s">
        <v>2061</v>
      </c>
      <c r="D1702" s="76">
        <v>46071</v>
      </c>
      <c r="E1702" s="75" t="s">
        <v>230</v>
      </c>
      <c r="F1702" s="74">
        <v>95.75</v>
      </c>
      <c r="G1702" s="75" t="s">
        <v>2060</v>
      </c>
      <c r="H1702" s="77" t="str">
        <f>VLOOKUP(DESPESAS[[#This Row],[Plano de Contas]],BASE!$B$3:$D$119,3,FALSE)</f>
        <v>Juros Pagos</v>
      </c>
      <c r="I1702" s="77" t="str">
        <f>IFERROR(VLOOKUP(DESPESAS[[#This Row],[Fornecedor]],Tabela2[],2,FALSE),"")</f>
        <v/>
      </c>
      <c r="J1702" s="77" t="str">
        <f>IFERROR(VLOOKUP(DESPESAS[[#This Row],[Plano de Contas]],BASE!$B$3:$F$119,4,FALSE),"")</f>
        <v>8 - DESPESAS FINANCEIRAS</v>
      </c>
      <c r="K1702" s="77" t="str">
        <f>IFERROR(VLOOKUP(DESPESAS[[#This Row],[Plano de Contas]],BASE!$B$3:$H$119,5,FALSE),"")</f>
        <v>FINANCEIRO</v>
      </c>
      <c r="L1702" s="77">
        <f>IFERROR(VLOOKUP(DESPESAS[[#This Row],[Plano de Contas]],BASE!$B$3:$H$119,6,FALSE),"")</f>
        <v>0</v>
      </c>
      <c r="M1702" s="77" t="str">
        <f>VLOOKUP(DESPESAS[[#This Row],[Plano de Contas]],BASE!$B$3:$H$119,7,FALSE)</f>
        <v>LETÍCIA</v>
      </c>
    </row>
    <row r="1703" spans="1:13" x14ac:dyDescent="0.25">
      <c r="A1703" s="74">
        <v>198438</v>
      </c>
      <c r="B1703" s="75" t="s">
        <v>232</v>
      </c>
      <c r="C1703" s="75" t="s">
        <v>2059</v>
      </c>
      <c r="D1703" s="76">
        <v>46071</v>
      </c>
      <c r="E1703" s="75" t="s">
        <v>230</v>
      </c>
      <c r="F1703" s="74">
        <v>293.04000000000002</v>
      </c>
      <c r="G1703" s="75" t="s">
        <v>542</v>
      </c>
      <c r="H1703" s="77" t="str">
        <f>VLOOKUP(DESPESAS[[#This Row],[Plano de Contas]],BASE!$B$3:$D$119,3,FALSE)</f>
        <v>Seguro de Vida (Adm)</v>
      </c>
      <c r="I1703" s="77" t="str">
        <f>IFERROR(VLOOKUP(DESPESAS[[#This Row],[Fornecedor]],Tabela2[],2,FALSE),"")</f>
        <v/>
      </c>
      <c r="J1703" s="77" t="str">
        <f>IFERROR(VLOOKUP(DESPESAS[[#This Row],[Plano de Contas]],BASE!$B$3:$F$119,4,FALSE),"")</f>
        <v>4 - GASTOS COM PESSOAL</v>
      </c>
      <c r="K1703" s="77" t="str">
        <f>IFERROR(VLOOKUP(DESPESAS[[#This Row],[Plano de Contas]],BASE!$B$3:$H$119,5,FALSE),"")</f>
        <v>DH</v>
      </c>
      <c r="L1703" s="77">
        <f>IFERROR(VLOOKUP(DESPESAS[[#This Row],[Plano de Contas]],BASE!$B$3:$H$119,6,FALSE),"")</f>
        <v>0</v>
      </c>
      <c r="M1703" s="77" t="str">
        <f>VLOOKUP(DESPESAS[[#This Row],[Plano de Contas]],BASE!$B$3:$H$119,7,FALSE)</f>
        <v>RAFAEL</v>
      </c>
    </row>
    <row r="1704" spans="1:13" x14ac:dyDescent="0.25">
      <c r="A1704" s="74">
        <v>198439</v>
      </c>
      <c r="B1704" s="75" t="s">
        <v>232</v>
      </c>
      <c r="C1704" s="75" t="s">
        <v>2058</v>
      </c>
      <c r="D1704" s="76">
        <v>46071</v>
      </c>
      <c r="E1704" s="75" t="s">
        <v>230</v>
      </c>
      <c r="F1704" s="74">
        <v>73.92</v>
      </c>
      <c r="G1704" s="75" t="s">
        <v>544</v>
      </c>
      <c r="H1704" s="77" t="str">
        <f>VLOOKUP(DESPESAS[[#This Row],[Plano de Contas]],BASE!$B$3:$D$119,3,FALSE)</f>
        <v>Seguro de Vida CIF</v>
      </c>
      <c r="I1704" s="77" t="str">
        <f>IFERROR(VLOOKUP(DESPESAS[[#This Row],[Fornecedor]],Tabela2[],2,FALSE),"")</f>
        <v/>
      </c>
      <c r="J1704" s="77" t="str">
        <f>IFERROR(VLOOKUP(DESPESAS[[#This Row],[Plano de Contas]],BASE!$B$3:$F$119,4,FALSE),"")</f>
        <v>3 - CUSTOS INDIRETOS</v>
      </c>
      <c r="K1704" s="77" t="str">
        <f>IFERROR(VLOOKUP(DESPESAS[[#This Row],[Plano de Contas]],BASE!$B$3:$H$119,5,FALSE),"")</f>
        <v>DH</v>
      </c>
      <c r="L1704" s="77" t="str">
        <f>IFERROR(VLOOKUP(DESPESAS[[#This Row],[Plano de Contas]],BASE!$B$3:$H$119,6,FALSE),"")</f>
        <v>CUSTO MÃO DE OBRA DIRETA</v>
      </c>
      <c r="M1704" s="77" t="str">
        <f>VLOOKUP(DESPESAS[[#This Row],[Plano de Contas]],BASE!$B$3:$H$119,7,FALSE)</f>
        <v>RAFAEL</v>
      </c>
    </row>
    <row r="1705" spans="1:13" x14ac:dyDescent="0.25">
      <c r="A1705" s="74">
        <v>198440</v>
      </c>
      <c r="B1705" s="75" t="s">
        <v>232</v>
      </c>
      <c r="C1705" s="75" t="s">
        <v>2057</v>
      </c>
      <c r="D1705" s="76">
        <v>46071</v>
      </c>
      <c r="E1705" s="75" t="s">
        <v>230</v>
      </c>
      <c r="F1705" s="74">
        <v>372.35</v>
      </c>
      <c r="G1705" s="75" t="s">
        <v>546</v>
      </c>
      <c r="H1705" s="77" t="str">
        <f>VLOOKUP(DESPESAS[[#This Row],[Plano de Contas]],BASE!$B$3:$D$119,3,FALSE)</f>
        <v>Seguro de Vida MOD</v>
      </c>
      <c r="I1705" s="77" t="str">
        <f>IFERROR(VLOOKUP(DESPESAS[[#This Row],[Fornecedor]],Tabela2[],2,FALSE),"")</f>
        <v/>
      </c>
      <c r="J1705" s="77" t="str">
        <f>IFERROR(VLOOKUP(DESPESAS[[#This Row],[Plano de Contas]],BASE!$B$3:$F$119,4,FALSE),"")</f>
        <v>2 - CUSTOS DIRETOS</v>
      </c>
      <c r="K1705" s="77" t="str">
        <f>IFERROR(VLOOKUP(DESPESAS[[#This Row],[Plano de Contas]],BASE!$B$3:$H$119,5,FALSE),"")</f>
        <v>DH</v>
      </c>
      <c r="L1705" s="77" t="str">
        <f>IFERROR(VLOOKUP(DESPESAS[[#This Row],[Plano de Contas]],BASE!$B$3:$H$119,6,FALSE),"")</f>
        <v>CUSTO MÃO DE OBRA DIRETA</v>
      </c>
      <c r="M1705" s="77" t="str">
        <f>VLOOKUP(DESPESAS[[#This Row],[Plano de Contas]],BASE!$B$3:$H$119,7,FALSE)</f>
        <v>RAFAEL</v>
      </c>
    </row>
    <row r="1706" spans="1:13" x14ac:dyDescent="0.25">
      <c r="A1706" s="74">
        <v>198441</v>
      </c>
      <c r="B1706" s="75" t="s">
        <v>232</v>
      </c>
      <c r="C1706" s="75" t="s">
        <v>2056</v>
      </c>
      <c r="D1706" s="76">
        <v>46071</v>
      </c>
      <c r="E1706" s="75" t="s">
        <v>2055</v>
      </c>
      <c r="F1706" s="74">
        <v>1527.16</v>
      </c>
      <c r="G1706" s="75" t="s">
        <v>225</v>
      </c>
      <c r="H1706" s="77" t="str">
        <f>VLOOKUP(DESPESAS[[#This Row],[Plano de Contas]],BASE!$B$3:$D$119,3,FALSE)</f>
        <v>Despesas de Outros Gastos Não Operacionais</v>
      </c>
      <c r="I1706" s="77" t="str">
        <f>IFERROR(VLOOKUP(DESPESAS[[#This Row],[Fornecedor]],Tabela2[],2,FALSE),"")</f>
        <v/>
      </c>
      <c r="J1706" s="77" t="str">
        <f>IFERROR(VLOOKUP(DESPESAS[[#This Row],[Plano de Contas]],BASE!$B$3:$F$119,4,FALSE),"")</f>
        <v>8 - DESPESAS FINANCEIRAS</v>
      </c>
      <c r="K1706" s="77" t="str">
        <f>IFERROR(VLOOKUP(DESPESAS[[#This Row],[Plano de Contas]],BASE!$B$3:$H$119,5,FALSE),"")</f>
        <v>FINANCEIRO</v>
      </c>
      <c r="L1706" s="77">
        <f>IFERROR(VLOOKUP(DESPESAS[[#This Row],[Plano de Contas]],BASE!$B$3:$H$119,6,FALSE),"")</f>
        <v>0</v>
      </c>
      <c r="M1706" s="77" t="str">
        <f>VLOOKUP(DESPESAS[[#This Row],[Plano de Contas]],BASE!$B$3:$H$119,7,FALSE)</f>
        <v>LETÍCIA</v>
      </c>
    </row>
    <row r="1707" spans="1:13" x14ac:dyDescent="0.25">
      <c r="A1707" s="74">
        <v>198442</v>
      </c>
      <c r="B1707" s="75" t="s">
        <v>232</v>
      </c>
      <c r="C1707" s="75" t="s">
        <v>2054</v>
      </c>
      <c r="D1707" s="76">
        <v>46071</v>
      </c>
      <c r="E1707" s="75" t="s">
        <v>230</v>
      </c>
      <c r="F1707" s="74">
        <v>15.01</v>
      </c>
      <c r="G1707" s="75" t="s">
        <v>251</v>
      </c>
      <c r="H1707" s="77" t="str">
        <f>VLOOKUP(DESPESAS[[#This Row],[Plano de Contas]],BASE!$B$3:$D$119,3,FALSE)</f>
        <v>Juros Pagos - Antecipação de Crédito</v>
      </c>
      <c r="I1707" s="77" t="str">
        <f>IFERROR(VLOOKUP(DESPESAS[[#This Row],[Fornecedor]],Tabela2[],2,FALSE),"")</f>
        <v/>
      </c>
      <c r="J1707" s="77" t="str">
        <f>IFERROR(VLOOKUP(DESPESAS[[#This Row],[Plano de Contas]],BASE!$B$3:$F$119,4,FALSE),"")</f>
        <v>8 - DESPESAS FINANCEIRAS</v>
      </c>
      <c r="K1707" s="77" t="str">
        <f>IFERROR(VLOOKUP(DESPESAS[[#This Row],[Plano de Contas]],BASE!$B$3:$H$119,5,FALSE),"")</f>
        <v>FINANCEIRO</v>
      </c>
      <c r="L1707" s="77">
        <f>IFERROR(VLOOKUP(DESPESAS[[#This Row],[Plano de Contas]],BASE!$B$3:$H$119,6,FALSE),"")</f>
        <v>0</v>
      </c>
      <c r="M1707" s="77" t="str">
        <f>VLOOKUP(DESPESAS[[#This Row],[Plano de Contas]],BASE!$B$3:$H$119,7,FALSE)</f>
        <v>LETÍCIA</v>
      </c>
    </row>
    <row r="1708" spans="1:13" x14ac:dyDescent="0.25">
      <c r="A1708" s="74">
        <v>198443</v>
      </c>
      <c r="B1708" s="75" t="s">
        <v>232</v>
      </c>
      <c r="C1708" s="75" t="s">
        <v>2053</v>
      </c>
      <c r="D1708" s="76">
        <v>46071</v>
      </c>
      <c r="E1708" s="75" t="s">
        <v>230</v>
      </c>
      <c r="F1708" s="74">
        <v>0.09</v>
      </c>
      <c r="G1708" s="75" t="s">
        <v>229</v>
      </c>
      <c r="H1708" s="77" t="str">
        <f>VLOOKUP(DESPESAS[[#This Row],[Plano de Contas]],BASE!$B$3:$D$119,3,FALSE)</f>
        <v>Despesas Bancarias</v>
      </c>
      <c r="I1708" s="77" t="str">
        <f>IFERROR(VLOOKUP(DESPESAS[[#This Row],[Fornecedor]],Tabela2[],2,FALSE),"")</f>
        <v/>
      </c>
      <c r="J1708" s="77" t="str">
        <f>IFERROR(VLOOKUP(DESPESAS[[#This Row],[Plano de Contas]],BASE!$B$3:$F$119,4,FALSE),"")</f>
        <v>8 - DESPESAS FINANCEIRAS</v>
      </c>
      <c r="K1708" s="77" t="str">
        <f>IFERROR(VLOOKUP(DESPESAS[[#This Row],[Plano de Contas]],BASE!$B$3:$H$119,5,FALSE),"")</f>
        <v>FINANCEIRO</v>
      </c>
      <c r="L1708" s="77">
        <f>IFERROR(VLOOKUP(DESPESAS[[#This Row],[Plano de Contas]],BASE!$B$3:$H$119,6,FALSE),"")</f>
        <v>0</v>
      </c>
      <c r="M1708" s="77" t="str">
        <f>VLOOKUP(DESPESAS[[#This Row],[Plano de Contas]],BASE!$B$3:$H$119,7,FALSE)</f>
        <v>LETÍCIA</v>
      </c>
    </row>
    <row r="1709" spans="1:13" x14ac:dyDescent="0.25">
      <c r="A1709" s="74">
        <v>198444</v>
      </c>
      <c r="B1709" s="75" t="s">
        <v>232</v>
      </c>
      <c r="C1709" s="75" t="s">
        <v>278</v>
      </c>
      <c r="D1709" s="76">
        <v>46071</v>
      </c>
      <c r="E1709" s="75" t="s">
        <v>883</v>
      </c>
      <c r="F1709" s="74">
        <v>297.89999999999998</v>
      </c>
      <c r="G1709" s="75" t="s">
        <v>483</v>
      </c>
      <c r="H1709" s="77" t="str">
        <f>VLOOKUP(DESPESAS[[#This Row],[Plano de Contas]],BASE!$B$3:$D$119,3,FALSE)</f>
        <v>Ferias (Adm)</v>
      </c>
      <c r="I1709" s="77" t="str">
        <f>IFERROR(VLOOKUP(DESPESAS[[#This Row],[Fornecedor]],Tabela2[],2,FALSE),"")</f>
        <v/>
      </c>
      <c r="J1709" s="77" t="str">
        <f>IFERROR(VLOOKUP(DESPESAS[[#This Row],[Plano de Contas]],BASE!$B$3:$F$119,4,FALSE),"")</f>
        <v>4 - GASTOS COM PESSOAL</v>
      </c>
      <c r="K1709" s="77" t="str">
        <f>IFERROR(VLOOKUP(DESPESAS[[#This Row],[Plano de Contas]],BASE!$B$3:$H$119,5,FALSE),"")</f>
        <v>DH</v>
      </c>
      <c r="L1709" s="77">
        <f>IFERROR(VLOOKUP(DESPESAS[[#This Row],[Plano de Contas]],BASE!$B$3:$H$119,6,FALSE),"")</f>
        <v>0</v>
      </c>
      <c r="M1709" s="77" t="str">
        <f>VLOOKUP(DESPESAS[[#This Row],[Plano de Contas]],BASE!$B$3:$H$119,7,FALSE)</f>
        <v>RAFAEL</v>
      </c>
    </row>
    <row r="1710" spans="1:13" x14ac:dyDescent="0.25">
      <c r="A1710" s="74">
        <v>198445</v>
      </c>
      <c r="B1710" s="75" t="s">
        <v>281</v>
      </c>
      <c r="C1710" s="75" t="s">
        <v>2052</v>
      </c>
      <c r="D1710" s="76">
        <v>46071</v>
      </c>
      <c r="E1710" s="75" t="s">
        <v>230</v>
      </c>
      <c r="F1710" s="74">
        <v>83.69</v>
      </c>
      <c r="G1710" s="75" t="s">
        <v>544</v>
      </c>
      <c r="H1710" s="77" t="str">
        <f>VLOOKUP(DESPESAS[[#This Row],[Plano de Contas]],BASE!$B$3:$D$119,3,FALSE)</f>
        <v>Seguro de Vida CIF</v>
      </c>
      <c r="I1710" s="77" t="str">
        <f>IFERROR(VLOOKUP(DESPESAS[[#This Row],[Fornecedor]],Tabela2[],2,FALSE),"")</f>
        <v/>
      </c>
      <c r="J1710" s="77" t="str">
        <f>IFERROR(VLOOKUP(DESPESAS[[#This Row],[Plano de Contas]],BASE!$B$3:$F$119,4,FALSE),"")</f>
        <v>3 - CUSTOS INDIRETOS</v>
      </c>
      <c r="K1710" s="77" t="str">
        <f>IFERROR(VLOOKUP(DESPESAS[[#This Row],[Plano de Contas]],BASE!$B$3:$H$119,5,FALSE),"")</f>
        <v>DH</v>
      </c>
      <c r="L1710" s="77" t="str">
        <f>IFERROR(VLOOKUP(DESPESAS[[#This Row],[Plano de Contas]],BASE!$B$3:$H$119,6,FALSE),"")</f>
        <v>CUSTO MÃO DE OBRA DIRETA</v>
      </c>
      <c r="M1710" s="77" t="str">
        <f>VLOOKUP(DESPESAS[[#This Row],[Plano de Contas]],BASE!$B$3:$H$119,7,FALSE)</f>
        <v>RAFAEL</v>
      </c>
    </row>
    <row r="1711" spans="1:13" x14ac:dyDescent="0.25">
      <c r="A1711" s="74">
        <v>198446</v>
      </c>
      <c r="B1711" s="75" t="s">
        <v>281</v>
      </c>
      <c r="C1711" s="75" t="s">
        <v>2051</v>
      </c>
      <c r="D1711" s="76">
        <v>46071</v>
      </c>
      <c r="E1711" s="75" t="s">
        <v>230</v>
      </c>
      <c r="F1711" s="74">
        <v>362.66</v>
      </c>
      <c r="G1711" s="75" t="s">
        <v>546</v>
      </c>
      <c r="H1711" s="77" t="str">
        <f>VLOOKUP(DESPESAS[[#This Row],[Plano de Contas]],BASE!$B$3:$D$119,3,FALSE)</f>
        <v>Seguro de Vida MOD</v>
      </c>
      <c r="I1711" s="77" t="str">
        <f>IFERROR(VLOOKUP(DESPESAS[[#This Row],[Fornecedor]],Tabela2[],2,FALSE),"")</f>
        <v/>
      </c>
      <c r="J1711" s="77" t="str">
        <f>IFERROR(VLOOKUP(DESPESAS[[#This Row],[Plano de Contas]],BASE!$B$3:$F$119,4,FALSE),"")</f>
        <v>2 - CUSTOS DIRETOS</v>
      </c>
      <c r="K1711" s="77" t="str">
        <f>IFERROR(VLOOKUP(DESPESAS[[#This Row],[Plano de Contas]],BASE!$B$3:$H$119,5,FALSE),"")</f>
        <v>DH</v>
      </c>
      <c r="L1711" s="77" t="str">
        <f>IFERROR(VLOOKUP(DESPESAS[[#This Row],[Plano de Contas]],BASE!$B$3:$H$119,6,FALSE),"")</f>
        <v>CUSTO MÃO DE OBRA DIRETA</v>
      </c>
      <c r="M1711" s="77" t="str">
        <f>VLOOKUP(DESPESAS[[#This Row],[Plano de Contas]],BASE!$B$3:$H$119,7,FALSE)</f>
        <v>RAFAEL</v>
      </c>
    </row>
    <row r="1712" spans="1:13" x14ac:dyDescent="0.25">
      <c r="A1712" s="74">
        <v>198447</v>
      </c>
      <c r="B1712" s="75" t="s">
        <v>281</v>
      </c>
      <c r="C1712" s="75" t="s">
        <v>2050</v>
      </c>
      <c r="D1712" s="76">
        <v>46071</v>
      </c>
      <c r="E1712" s="75" t="s">
        <v>230</v>
      </c>
      <c r="F1712" s="74">
        <v>83.69</v>
      </c>
      <c r="G1712" s="75" t="s">
        <v>542</v>
      </c>
      <c r="H1712" s="77" t="str">
        <f>VLOOKUP(DESPESAS[[#This Row],[Plano de Contas]],BASE!$B$3:$D$119,3,FALSE)</f>
        <v>Seguro de Vida (Adm)</v>
      </c>
      <c r="I1712" s="77" t="str">
        <f>IFERROR(VLOOKUP(DESPESAS[[#This Row],[Fornecedor]],Tabela2[],2,FALSE),"")</f>
        <v/>
      </c>
      <c r="J1712" s="77" t="str">
        <f>IFERROR(VLOOKUP(DESPESAS[[#This Row],[Plano de Contas]],BASE!$B$3:$F$119,4,FALSE),"")</f>
        <v>4 - GASTOS COM PESSOAL</v>
      </c>
      <c r="K1712" s="77" t="str">
        <f>IFERROR(VLOOKUP(DESPESAS[[#This Row],[Plano de Contas]],BASE!$B$3:$H$119,5,FALSE),"")</f>
        <v>DH</v>
      </c>
      <c r="L1712" s="77">
        <f>IFERROR(VLOOKUP(DESPESAS[[#This Row],[Plano de Contas]],BASE!$B$3:$H$119,6,FALSE),"")</f>
        <v>0</v>
      </c>
      <c r="M1712" s="77" t="str">
        <f>VLOOKUP(DESPESAS[[#This Row],[Plano de Contas]],BASE!$B$3:$H$119,7,FALSE)</f>
        <v>RAFAEL</v>
      </c>
    </row>
    <row r="1713" spans="1:13" x14ac:dyDescent="0.25">
      <c r="A1713" s="74">
        <v>198448</v>
      </c>
      <c r="B1713" s="75" t="s">
        <v>279</v>
      </c>
      <c r="C1713" s="75" t="s">
        <v>2049</v>
      </c>
      <c r="D1713" s="76">
        <v>46071</v>
      </c>
      <c r="E1713" s="75" t="s">
        <v>936</v>
      </c>
      <c r="F1713" s="74">
        <v>1550.06</v>
      </c>
      <c r="G1713" s="75" t="s">
        <v>276</v>
      </c>
      <c r="H1713" s="77" t="str">
        <f>VLOOKUP(DESPESAS[[#This Row],[Plano de Contas]],BASE!$B$3:$D$119,3,FALSE)</f>
        <v>Férias MOD</v>
      </c>
      <c r="I1713" s="77" t="str">
        <f>IFERROR(VLOOKUP(DESPESAS[[#This Row],[Fornecedor]],Tabela2[],2,FALSE),"")</f>
        <v/>
      </c>
      <c r="J1713" s="77" t="str">
        <f>IFERROR(VLOOKUP(DESPESAS[[#This Row],[Plano de Contas]],BASE!$B$3:$F$119,4,FALSE),"")</f>
        <v>2 - CUSTOS DIRETOS</v>
      </c>
      <c r="K1713" s="77" t="str">
        <f>IFERROR(VLOOKUP(DESPESAS[[#This Row],[Plano de Contas]],BASE!$B$3:$H$119,5,FALSE),"")</f>
        <v>DH</v>
      </c>
      <c r="L1713" s="77" t="str">
        <f>IFERROR(VLOOKUP(DESPESAS[[#This Row],[Plano de Contas]],BASE!$B$3:$H$119,6,FALSE),"")</f>
        <v>CUSTO MÃO DE OBRA DIRETA</v>
      </c>
      <c r="M1713" s="77" t="str">
        <f>VLOOKUP(DESPESAS[[#This Row],[Plano de Contas]],BASE!$B$3:$H$119,7,FALSE)</f>
        <v>RAFAEL</v>
      </c>
    </row>
    <row r="1714" spans="1:13" x14ac:dyDescent="0.25">
      <c r="A1714" s="74">
        <v>198449</v>
      </c>
      <c r="B1714" s="75" t="s">
        <v>279</v>
      </c>
      <c r="C1714" s="75" t="s">
        <v>2048</v>
      </c>
      <c r="D1714" s="76">
        <v>46071</v>
      </c>
      <c r="E1714" s="75" t="s">
        <v>230</v>
      </c>
      <c r="F1714" s="74">
        <v>344.69</v>
      </c>
      <c r="G1714" s="75" t="s">
        <v>542</v>
      </c>
      <c r="H1714" s="77" t="str">
        <f>VLOOKUP(DESPESAS[[#This Row],[Plano de Contas]],BASE!$B$3:$D$119,3,FALSE)</f>
        <v>Seguro de Vida (Adm)</v>
      </c>
      <c r="I1714" s="77" t="str">
        <f>IFERROR(VLOOKUP(DESPESAS[[#This Row],[Fornecedor]],Tabela2[],2,FALSE),"")</f>
        <v/>
      </c>
      <c r="J1714" s="77" t="str">
        <f>IFERROR(VLOOKUP(DESPESAS[[#This Row],[Plano de Contas]],BASE!$B$3:$F$119,4,FALSE),"")</f>
        <v>4 - GASTOS COM PESSOAL</v>
      </c>
      <c r="K1714" s="77" t="str">
        <f>IFERROR(VLOOKUP(DESPESAS[[#This Row],[Plano de Contas]],BASE!$B$3:$H$119,5,FALSE),"")</f>
        <v>DH</v>
      </c>
      <c r="L1714" s="77">
        <f>IFERROR(VLOOKUP(DESPESAS[[#This Row],[Plano de Contas]],BASE!$B$3:$H$119,6,FALSE),"")</f>
        <v>0</v>
      </c>
      <c r="M1714" s="77" t="str">
        <f>VLOOKUP(DESPESAS[[#This Row],[Plano de Contas]],BASE!$B$3:$H$119,7,FALSE)</f>
        <v>RAFAEL</v>
      </c>
    </row>
    <row r="1715" spans="1:13" x14ac:dyDescent="0.25">
      <c r="A1715" s="74">
        <v>198450</v>
      </c>
      <c r="B1715" s="75" t="s">
        <v>279</v>
      </c>
      <c r="C1715" s="75" t="s">
        <v>2047</v>
      </c>
      <c r="D1715" s="76">
        <v>46071</v>
      </c>
      <c r="E1715" s="75" t="s">
        <v>230</v>
      </c>
      <c r="F1715" s="74">
        <v>1148.97</v>
      </c>
      <c r="G1715" s="75" t="s">
        <v>546</v>
      </c>
      <c r="H1715" s="77" t="str">
        <f>VLOOKUP(DESPESAS[[#This Row],[Plano de Contas]],BASE!$B$3:$D$119,3,FALSE)</f>
        <v>Seguro de Vida MOD</v>
      </c>
      <c r="I1715" s="77" t="str">
        <f>IFERROR(VLOOKUP(DESPESAS[[#This Row],[Fornecedor]],Tabela2[],2,FALSE),"")</f>
        <v/>
      </c>
      <c r="J1715" s="77" t="str">
        <f>IFERROR(VLOOKUP(DESPESAS[[#This Row],[Plano de Contas]],BASE!$B$3:$F$119,4,FALSE),"")</f>
        <v>2 - CUSTOS DIRETOS</v>
      </c>
      <c r="K1715" s="77" t="str">
        <f>IFERROR(VLOOKUP(DESPESAS[[#This Row],[Plano de Contas]],BASE!$B$3:$H$119,5,FALSE),"")</f>
        <v>DH</v>
      </c>
      <c r="L1715" s="77" t="str">
        <f>IFERROR(VLOOKUP(DESPESAS[[#This Row],[Plano de Contas]],BASE!$B$3:$H$119,6,FALSE),"")</f>
        <v>CUSTO MÃO DE OBRA DIRETA</v>
      </c>
      <c r="M1715" s="77" t="str">
        <f>VLOOKUP(DESPESAS[[#This Row],[Plano de Contas]],BASE!$B$3:$H$119,7,FALSE)</f>
        <v>RAFAEL</v>
      </c>
    </row>
    <row r="1716" spans="1:13" x14ac:dyDescent="0.25">
      <c r="A1716" s="74">
        <v>198451</v>
      </c>
      <c r="B1716" s="75" t="s">
        <v>279</v>
      </c>
      <c r="C1716" s="75" t="s">
        <v>2046</v>
      </c>
      <c r="D1716" s="76">
        <v>46071</v>
      </c>
      <c r="E1716" s="75" t="s">
        <v>230</v>
      </c>
      <c r="F1716" s="74">
        <v>86.17</v>
      </c>
      <c r="G1716" s="75" t="s">
        <v>544</v>
      </c>
      <c r="H1716" s="77" t="str">
        <f>VLOOKUP(DESPESAS[[#This Row],[Plano de Contas]],BASE!$B$3:$D$119,3,FALSE)</f>
        <v>Seguro de Vida CIF</v>
      </c>
      <c r="I1716" s="77" t="str">
        <f>IFERROR(VLOOKUP(DESPESAS[[#This Row],[Fornecedor]],Tabela2[],2,FALSE),"")</f>
        <v/>
      </c>
      <c r="J1716" s="77" t="str">
        <f>IFERROR(VLOOKUP(DESPESAS[[#This Row],[Plano de Contas]],BASE!$B$3:$F$119,4,FALSE),"")</f>
        <v>3 - CUSTOS INDIRETOS</v>
      </c>
      <c r="K1716" s="77" t="str">
        <f>IFERROR(VLOOKUP(DESPESAS[[#This Row],[Plano de Contas]],BASE!$B$3:$H$119,5,FALSE),"")</f>
        <v>DH</v>
      </c>
      <c r="L1716" s="77" t="str">
        <f>IFERROR(VLOOKUP(DESPESAS[[#This Row],[Plano de Contas]],BASE!$B$3:$H$119,6,FALSE),"")</f>
        <v>CUSTO MÃO DE OBRA DIRETA</v>
      </c>
      <c r="M1716" s="77" t="str">
        <f>VLOOKUP(DESPESAS[[#This Row],[Plano de Contas]],BASE!$B$3:$H$119,7,FALSE)</f>
        <v>RAFAEL</v>
      </c>
    </row>
    <row r="1717" spans="1:13" x14ac:dyDescent="0.25">
      <c r="A1717" s="74">
        <v>198452</v>
      </c>
      <c r="B1717" s="75" t="s">
        <v>232</v>
      </c>
      <c r="C1717" s="75" t="s">
        <v>2045</v>
      </c>
      <c r="D1717" s="76">
        <v>46071</v>
      </c>
      <c r="E1717" s="75" t="s">
        <v>347</v>
      </c>
      <c r="F1717" s="74">
        <v>130.16</v>
      </c>
      <c r="G1717" s="75" t="s">
        <v>583</v>
      </c>
      <c r="H1717" s="77" t="str">
        <f>VLOOKUP(DESPESAS[[#This Row],[Plano de Contas]],BASE!$B$3:$D$119,3,FALSE)</f>
        <v>Multas de Trânsito</v>
      </c>
      <c r="I1717" s="77" t="str">
        <f>IFERROR(VLOOKUP(DESPESAS[[#This Row],[Fornecedor]],Tabela2[],2,FALSE),"")</f>
        <v/>
      </c>
      <c r="J1717" s="77" t="str">
        <f>IFERROR(VLOOKUP(DESPESAS[[#This Row],[Plano de Contas]],BASE!$B$3:$F$119,4,FALSE),"")</f>
        <v>6 - DESPESA COM VENDAS</v>
      </c>
      <c r="K1717" s="77" t="str">
        <f>IFERROR(VLOOKUP(DESPESAS[[#This Row],[Plano de Contas]],BASE!$B$3:$H$119,5,FALSE),"")</f>
        <v>LOGÍSTICA</v>
      </c>
      <c r="L1717" s="77">
        <f>IFERROR(VLOOKUP(DESPESAS[[#This Row],[Plano de Contas]],BASE!$B$3:$H$119,6,FALSE),"")</f>
        <v>0</v>
      </c>
      <c r="M1717" s="77" t="str">
        <f>VLOOKUP(DESPESAS[[#This Row],[Plano de Contas]],BASE!$B$3:$H$119,7,FALSE)</f>
        <v>MYLENA</v>
      </c>
    </row>
    <row r="1718" spans="1:13" x14ac:dyDescent="0.25">
      <c r="A1718" s="74">
        <v>198454</v>
      </c>
      <c r="B1718" s="75" t="s">
        <v>232</v>
      </c>
      <c r="C1718" s="75" t="s">
        <v>2044</v>
      </c>
      <c r="D1718" s="76">
        <v>46071</v>
      </c>
      <c r="E1718" s="75" t="s">
        <v>230</v>
      </c>
      <c r="F1718" s="74">
        <v>1911.32</v>
      </c>
      <c r="G1718" s="75" t="s">
        <v>251</v>
      </c>
      <c r="H1718" s="77" t="str">
        <f>VLOOKUP(DESPESAS[[#This Row],[Plano de Contas]],BASE!$B$3:$D$119,3,FALSE)</f>
        <v>Juros Pagos - Antecipação de Crédito</v>
      </c>
      <c r="I1718" s="77" t="str">
        <f>IFERROR(VLOOKUP(DESPESAS[[#This Row],[Fornecedor]],Tabela2[],2,FALSE),"")</f>
        <v/>
      </c>
      <c r="J1718" s="77" t="str">
        <f>IFERROR(VLOOKUP(DESPESAS[[#This Row],[Plano de Contas]],BASE!$B$3:$F$119,4,FALSE),"")</f>
        <v>8 - DESPESAS FINANCEIRAS</v>
      </c>
      <c r="K1718" s="77" t="str">
        <f>IFERROR(VLOOKUP(DESPESAS[[#This Row],[Plano de Contas]],BASE!$B$3:$H$119,5,FALSE),"")</f>
        <v>FINANCEIRO</v>
      </c>
      <c r="L1718" s="77">
        <f>IFERROR(VLOOKUP(DESPESAS[[#This Row],[Plano de Contas]],BASE!$B$3:$H$119,6,FALSE),"")</f>
        <v>0</v>
      </c>
      <c r="M1718" s="77" t="str">
        <f>VLOOKUP(DESPESAS[[#This Row],[Plano de Contas]],BASE!$B$3:$H$119,7,FALSE)</f>
        <v>LETÍCIA</v>
      </c>
    </row>
    <row r="1719" spans="1:13" x14ac:dyDescent="0.25">
      <c r="A1719" s="74">
        <v>198455</v>
      </c>
      <c r="B1719" s="75" t="s">
        <v>232</v>
      </c>
      <c r="C1719" s="75" t="s">
        <v>2043</v>
      </c>
      <c r="D1719" s="76">
        <v>46071</v>
      </c>
      <c r="E1719" s="75" t="s">
        <v>230</v>
      </c>
      <c r="F1719" s="74">
        <v>308.64999999999998</v>
      </c>
      <c r="G1719" s="75" t="s">
        <v>229</v>
      </c>
      <c r="H1719" s="77" t="str">
        <f>VLOOKUP(DESPESAS[[#This Row],[Plano de Contas]],BASE!$B$3:$D$119,3,FALSE)</f>
        <v>Despesas Bancarias</v>
      </c>
      <c r="I1719" s="77" t="str">
        <f>IFERROR(VLOOKUP(DESPESAS[[#This Row],[Fornecedor]],Tabela2[],2,FALSE),"")</f>
        <v/>
      </c>
      <c r="J1719" s="77" t="str">
        <f>IFERROR(VLOOKUP(DESPESAS[[#This Row],[Plano de Contas]],BASE!$B$3:$F$119,4,FALSE),"")</f>
        <v>8 - DESPESAS FINANCEIRAS</v>
      </c>
      <c r="K1719" s="77" t="str">
        <f>IFERROR(VLOOKUP(DESPESAS[[#This Row],[Plano de Contas]],BASE!$B$3:$H$119,5,FALSE),"")</f>
        <v>FINANCEIRO</v>
      </c>
      <c r="L1719" s="77">
        <f>IFERROR(VLOOKUP(DESPESAS[[#This Row],[Plano de Contas]],BASE!$B$3:$H$119,6,FALSE),"")</f>
        <v>0</v>
      </c>
      <c r="M1719" s="77" t="str">
        <f>VLOOKUP(DESPESAS[[#This Row],[Plano de Contas]],BASE!$B$3:$H$119,7,FALSE)</f>
        <v>LETÍCIA</v>
      </c>
    </row>
    <row r="1720" spans="1:13" x14ac:dyDescent="0.25">
      <c r="A1720" s="74">
        <v>198456</v>
      </c>
      <c r="B1720" s="75" t="s">
        <v>232</v>
      </c>
      <c r="C1720" s="75" t="s">
        <v>2042</v>
      </c>
      <c r="D1720" s="76">
        <v>46071</v>
      </c>
      <c r="E1720" s="75" t="s">
        <v>230</v>
      </c>
      <c r="F1720" s="74">
        <v>189.91</v>
      </c>
      <c r="G1720" s="75" t="s">
        <v>229</v>
      </c>
      <c r="H1720" s="77" t="str">
        <f>VLOOKUP(DESPESAS[[#This Row],[Plano de Contas]],BASE!$B$3:$D$119,3,FALSE)</f>
        <v>Despesas Bancarias</v>
      </c>
      <c r="I1720" s="77" t="str">
        <f>IFERROR(VLOOKUP(DESPESAS[[#This Row],[Fornecedor]],Tabela2[],2,FALSE),"")</f>
        <v/>
      </c>
      <c r="J1720" s="77" t="str">
        <f>IFERROR(VLOOKUP(DESPESAS[[#This Row],[Plano de Contas]],BASE!$B$3:$F$119,4,FALSE),"")</f>
        <v>8 - DESPESAS FINANCEIRAS</v>
      </c>
      <c r="K1720" s="77" t="str">
        <f>IFERROR(VLOOKUP(DESPESAS[[#This Row],[Plano de Contas]],BASE!$B$3:$H$119,5,FALSE),"")</f>
        <v>FINANCEIRO</v>
      </c>
      <c r="L1720" s="77">
        <f>IFERROR(VLOOKUP(DESPESAS[[#This Row],[Plano de Contas]],BASE!$B$3:$H$119,6,FALSE),"")</f>
        <v>0</v>
      </c>
      <c r="M1720" s="77" t="str">
        <f>VLOOKUP(DESPESAS[[#This Row],[Plano de Contas]],BASE!$B$3:$H$119,7,FALSE)</f>
        <v>LETÍCIA</v>
      </c>
    </row>
    <row r="1721" spans="1:13" x14ac:dyDescent="0.25">
      <c r="A1721" s="74">
        <v>198457</v>
      </c>
      <c r="B1721" s="75" t="s">
        <v>232</v>
      </c>
      <c r="C1721" s="75" t="s">
        <v>2041</v>
      </c>
      <c r="D1721" s="76">
        <v>46071</v>
      </c>
      <c r="E1721" s="75" t="s">
        <v>347</v>
      </c>
      <c r="F1721" s="74">
        <v>130.16</v>
      </c>
      <c r="G1721" s="75" t="s">
        <v>583</v>
      </c>
      <c r="H1721" s="77" t="str">
        <f>VLOOKUP(DESPESAS[[#This Row],[Plano de Contas]],BASE!$B$3:$D$119,3,FALSE)</f>
        <v>Multas de Trânsito</v>
      </c>
      <c r="I1721" s="77" t="str">
        <f>IFERROR(VLOOKUP(DESPESAS[[#This Row],[Fornecedor]],Tabela2[],2,FALSE),"")</f>
        <v/>
      </c>
      <c r="J1721" s="77" t="str">
        <f>IFERROR(VLOOKUP(DESPESAS[[#This Row],[Plano de Contas]],BASE!$B$3:$F$119,4,FALSE),"")</f>
        <v>6 - DESPESA COM VENDAS</v>
      </c>
      <c r="K1721" s="77" t="str">
        <f>IFERROR(VLOOKUP(DESPESAS[[#This Row],[Plano de Contas]],BASE!$B$3:$H$119,5,FALSE),"")</f>
        <v>LOGÍSTICA</v>
      </c>
      <c r="L1721" s="77">
        <f>IFERROR(VLOOKUP(DESPESAS[[#This Row],[Plano de Contas]],BASE!$B$3:$H$119,6,FALSE),"")</f>
        <v>0</v>
      </c>
      <c r="M1721" s="77" t="str">
        <f>VLOOKUP(DESPESAS[[#This Row],[Plano de Contas]],BASE!$B$3:$H$119,7,FALSE)</f>
        <v>MYLENA</v>
      </c>
    </row>
    <row r="1722" spans="1:13" x14ac:dyDescent="0.25">
      <c r="A1722" s="74">
        <v>198458</v>
      </c>
      <c r="B1722" s="75" t="s">
        <v>232</v>
      </c>
      <c r="C1722" s="75" t="s">
        <v>2040</v>
      </c>
      <c r="D1722" s="76">
        <v>46071</v>
      </c>
      <c r="E1722" s="75" t="s">
        <v>734</v>
      </c>
      <c r="F1722" s="74">
        <v>589</v>
      </c>
      <c r="G1722" s="75" t="s">
        <v>241</v>
      </c>
      <c r="H1722" s="77" t="str">
        <f>VLOOKUP(DESPESAS[[#This Row],[Plano de Contas]],BASE!$B$3:$D$119,3,FALSE)</f>
        <v>Combustiveis Frota</v>
      </c>
      <c r="I1722" s="77" t="str">
        <f>IFERROR(VLOOKUP(DESPESAS[[#This Row],[Fornecedor]],Tabela2[],2,FALSE),"")</f>
        <v/>
      </c>
      <c r="J1722" s="77" t="str">
        <f>IFERROR(VLOOKUP(DESPESAS[[#This Row],[Plano de Contas]],BASE!$B$3:$F$119,4,FALSE),"")</f>
        <v>6 - DESPESA COM VENDAS</v>
      </c>
      <c r="K1722" s="77" t="str">
        <f>IFERROR(VLOOKUP(DESPESAS[[#This Row],[Plano de Contas]],BASE!$B$3:$H$119,5,FALSE),"")</f>
        <v>LOGÍSTICA</v>
      </c>
      <c r="L1722" s="77">
        <f>IFERROR(VLOOKUP(DESPESAS[[#This Row],[Plano de Contas]],BASE!$B$3:$H$119,6,FALSE),"")</f>
        <v>0</v>
      </c>
      <c r="M1722" s="77" t="str">
        <f>VLOOKUP(DESPESAS[[#This Row],[Plano de Contas]],BASE!$B$3:$H$119,7,FALSE)</f>
        <v>MYLENA</v>
      </c>
    </row>
    <row r="1723" spans="1:13" x14ac:dyDescent="0.25">
      <c r="A1723" s="74">
        <v>198459</v>
      </c>
      <c r="B1723" s="75" t="s">
        <v>221</v>
      </c>
      <c r="C1723" s="75" t="s">
        <v>2039</v>
      </c>
      <c r="D1723" s="76">
        <v>46071</v>
      </c>
      <c r="E1723" s="75" t="s">
        <v>239</v>
      </c>
      <c r="F1723" s="74">
        <v>116.74</v>
      </c>
      <c r="G1723" s="75" t="s">
        <v>374</v>
      </c>
      <c r="H1723" s="77" t="str">
        <f>VLOOKUP(DESPESAS[[#This Row],[Plano de Contas]],BASE!$B$3:$D$119,3,FALSE)</f>
        <v>Consultoria Empresarial</v>
      </c>
      <c r="I1723" s="77" t="str">
        <f>IFERROR(VLOOKUP(DESPESAS[[#This Row],[Fornecedor]],Tabela2[],2,FALSE),"")</f>
        <v/>
      </c>
      <c r="J1723" s="77" t="str">
        <f>IFERROR(VLOOKUP(DESPESAS[[#This Row],[Plano de Contas]],BASE!$B$3:$F$119,4,FALSE),"")</f>
        <v>7 - SERVIÇOS DE TERCEIROS</v>
      </c>
      <c r="K1723" s="77" t="str">
        <f>IFERROR(VLOOKUP(DESPESAS[[#This Row],[Plano de Contas]],BASE!$B$3:$H$119,5,FALSE),"")</f>
        <v>FINANCEIRO</v>
      </c>
      <c r="L1723" s="77">
        <f>IFERROR(VLOOKUP(DESPESAS[[#This Row],[Plano de Contas]],BASE!$B$3:$H$119,6,FALSE),"")</f>
        <v>0</v>
      </c>
      <c r="M1723" s="77" t="str">
        <f>VLOOKUP(DESPESAS[[#This Row],[Plano de Contas]],BASE!$B$3:$H$119,7,FALSE)</f>
        <v>LETÍCIA</v>
      </c>
    </row>
    <row r="1724" spans="1:13" x14ac:dyDescent="0.25">
      <c r="A1724" s="74">
        <v>198460</v>
      </c>
      <c r="B1724" s="75" t="s">
        <v>221</v>
      </c>
      <c r="C1724" s="75" t="s">
        <v>2038</v>
      </c>
      <c r="D1724" s="76">
        <v>46045</v>
      </c>
      <c r="E1724" s="75" t="s">
        <v>320</v>
      </c>
      <c r="F1724" s="74">
        <v>156</v>
      </c>
      <c r="G1724" s="75" t="s">
        <v>238</v>
      </c>
      <c r="H1724" s="77" t="str">
        <f>VLOOKUP(DESPESAS[[#This Row],[Plano de Contas]],BASE!$B$3:$D$119,3,FALSE)</f>
        <v>Consultoria Comercial</v>
      </c>
      <c r="I1724" s="77" t="str">
        <f>IFERROR(VLOOKUP(DESPESAS[[#This Row],[Fornecedor]],Tabela2[],2,FALSE),"")</f>
        <v/>
      </c>
      <c r="J1724" s="77" t="str">
        <f>IFERROR(VLOOKUP(DESPESAS[[#This Row],[Plano de Contas]],BASE!$B$3:$F$119,4,FALSE),"")</f>
        <v>6 - DESPESA COM VENDAS</v>
      </c>
      <c r="K1724" s="77" t="str">
        <f>IFERROR(VLOOKUP(DESPESAS[[#This Row],[Plano de Contas]],BASE!$B$3:$H$119,5,FALSE),"")</f>
        <v>COMERCIAL</v>
      </c>
      <c r="L1724" s="77">
        <f>IFERROR(VLOOKUP(DESPESAS[[#This Row],[Plano de Contas]],BASE!$B$3:$H$119,6,FALSE),"")</f>
        <v>0</v>
      </c>
      <c r="M1724" s="77" t="str">
        <f>VLOOKUP(DESPESAS[[#This Row],[Plano de Contas]],BASE!$B$3:$H$119,7,FALSE)</f>
        <v>LETÍCIA</v>
      </c>
    </row>
    <row r="1725" spans="1:13" x14ac:dyDescent="0.25">
      <c r="A1725" s="74">
        <v>198462</v>
      </c>
      <c r="B1725" s="75" t="s">
        <v>221</v>
      </c>
      <c r="C1725" s="75" t="s">
        <v>2037</v>
      </c>
      <c r="D1725" s="76">
        <v>46066</v>
      </c>
      <c r="E1725" s="75" t="s">
        <v>361</v>
      </c>
      <c r="F1725" s="74">
        <v>24.41</v>
      </c>
      <c r="G1725" s="75" t="s">
        <v>854</v>
      </c>
      <c r="H1725" s="77" t="str">
        <f>VLOOKUP(DESPESAS[[#This Row],[Plano de Contas]],BASE!$B$3:$D$119,3,FALSE)</f>
        <v>Confraternização</v>
      </c>
      <c r="I1725" s="77" t="str">
        <f>IFERROR(VLOOKUP(DESPESAS[[#This Row],[Fornecedor]],Tabela2[],2,FALSE),"")</f>
        <v/>
      </c>
      <c r="J1725" s="77" t="str">
        <f>IFERROR(VLOOKUP(DESPESAS[[#This Row],[Plano de Contas]],BASE!$B$3:$F$119,4,FALSE),"")</f>
        <v>4 - GASTOS COM PESSOAL</v>
      </c>
      <c r="K1725" s="77" t="str">
        <f>IFERROR(VLOOKUP(DESPESAS[[#This Row],[Plano de Contas]],BASE!$B$3:$H$119,5,FALSE),"")</f>
        <v>DH</v>
      </c>
      <c r="L1725" s="77">
        <f>IFERROR(VLOOKUP(DESPESAS[[#This Row],[Plano de Contas]],BASE!$B$3:$H$119,6,FALSE),"")</f>
        <v>0</v>
      </c>
      <c r="M1725" s="77" t="str">
        <f>VLOOKUP(DESPESAS[[#This Row],[Plano de Contas]],BASE!$B$3:$H$119,7,FALSE)</f>
        <v>MYLENA</v>
      </c>
    </row>
    <row r="1726" spans="1:13" x14ac:dyDescent="0.25">
      <c r="A1726" s="74">
        <v>198463</v>
      </c>
      <c r="B1726" s="75" t="s">
        <v>221</v>
      </c>
      <c r="C1726" s="75" t="s">
        <v>2036</v>
      </c>
      <c r="D1726" s="76">
        <v>46071</v>
      </c>
      <c r="E1726" s="75" t="s">
        <v>2035</v>
      </c>
      <c r="F1726" s="74">
        <v>450</v>
      </c>
      <c r="G1726" s="75" t="s">
        <v>1075</v>
      </c>
      <c r="H1726" s="77" t="str">
        <f>VLOOKUP(DESPESAS[[#This Row],[Plano de Contas]],BASE!$B$3:$D$119,3,FALSE)</f>
        <v>Fretes Ass. Técnica</v>
      </c>
      <c r="I1726" s="77" t="str">
        <f>IFERROR(VLOOKUP(DESPESAS[[#This Row],[Fornecedor]],Tabela2[],2,FALSE),"")</f>
        <v/>
      </c>
      <c r="J1726" s="77" t="str">
        <f>IFERROR(VLOOKUP(DESPESAS[[#This Row],[Plano de Contas]],BASE!$B$3:$F$119,4,FALSE),"")</f>
        <v>6 - DESPESA COM VENDAS</v>
      </c>
      <c r="K1726" s="77" t="str">
        <f>IFERROR(VLOOKUP(DESPESAS[[#This Row],[Plano de Contas]],BASE!$B$3:$H$119,5,FALSE),"")</f>
        <v>LOGÍSTICA</v>
      </c>
      <c r="L1726" s="77">
        <f>IFERROR(VLOOKUP(DESPESAS[[#This Row],[Plano de Contas]],BASE!$B$3:$H$119,6,FALSE),"")</f>
        <v>0</v>
      </c>
      <c r="M1726" s="77" t="str">
        <f>VLOOKUP(DESPESAS[[#This Row],[Plano de Contas]],BASE!$B$3:$H$119,7,FALSE)</f>
        <v>MYLENA</v>
      </c>
    </row>
    <row r="1727" spans="1:13" x14ac:dyDescent="0.25">
      <c r="A1727" s="74">
        <v>198464</v>
      </c>
      <c r="B1727" s="75" t="s">
        <v>221</v>
      </c>
      <c r="C1727" s="75" t="s">
        <v>2034</v>
      </c>
      <c r="D1727" s="76">
        <v>46071</v>
      </c>
      <c r="E1727" s="75" t="s">
        <v>2033</v>
      </c>
      <c r="F1727" s="74">
        <v>30</v>
      </c>
      <c r="G1727" s="75" t="s">
        <v>1075</v>
      </c>
      <c r="H1727" s="77" t="str">
        <f>VLOOKUP(DESPESAS[[#This Row],[Plano de Contas]],BASE!$B$3:$D$119,3,FALSE)</f>
        <v>Fretes Ass. Técnica</v>
      </c>
      <c r="I1727" s="77" t="str">
        <f>IFERROR(VLOOKUP(DESPESAS[[#This Row],[Fornecedor]],Tabela2[],2,FALSE),"")</f>
        <v/>
      </c>
      <c r="J1727" s="77" t="str">
        <f>IFERROR(VLOOKUP(DESPESAS[[#This Row],[Plano de Contas]],BASE!$B$3:$F$119,4,FALSE),"")</f>
        <v>6 - DESPESA COM VENDAS</v>
      </c>
      <c r="K1727" s="77" t="str">
        <f>IFERROR(VLOOKUP(DESPESAS[[#This Row],[Plano de Contas]],BASE!$B$3:$H$119,5,FALSE),"")</f>
        <v>LOGÍSTICA</v>
      </c>
      <c r="L1727" s="77">
        <f>IFERROR(VLOOKUP(DESPESAS[[#This Row],[Plano de Contas]],BASE!$B$3:$H$119,6,FALSE),"")</f>
        <v>0</v>
      </c>
      <c r="M1727" s="77" t="str">
        <f>VLOOKUP(DESPESAS[[#This Row],[Plano de Contas]],BASE!$B$3:$H$119,7,FALSE)</f>
        <v>MYLENA</v>
      </c>
    </row>
    <row r="1728" spans="1:13" x14ac:dyDescent="0.25">
      <c r="A1728" s="74">
        <v>198465</v>
      </c>
      <c r="B1728" s="75" t="s">
        <v>221</v>
      </c>
      <c r="C1728" s="75" t="s">
        <v>2032</v>
      </c>
      <c r="D1728" s="76">
        <v>46071</v>
      </c>
      <c r="E1728" s="75" t="s">
        <v>361</v>
      </c>
      <c r="F1728" s="74">
        <v>4679</v>
      </c>
      <c r="G1728" s="75" t="s">
        <v>693</v>
      </c>
      <c r="H1728" s="77" t="str">
        <f>VLOOKUP(DESPESAS[[#This Row],[Plano de Contas]],BASE!$B$3:$D$119,3,FALSE)</f>
        <v>Computadores e Periféricos</v>
      </c>
      <c r="I1728" s="77" t="str">
        <f>IFERROR(VLOOKUP(DESPESAS[[#This Row],[Fornecedor]],Tabela2[],2,FALSE),"")</f>
        <v/>
      </c>
      <c r="J1728" s="77" t="str">
        <f>IFERROR(VLOOKUP(DESPESAS[[#This Row],[Plano de Contas]],BASE!$B$3:$F$119,4,FALSE),"")</f>
        <v>9 - INVESTIMENTOS</v>
      </c>
      <c r="K1728" s="77" t="str">
        <f>IFERROR(VLOOKUP(DESPESAS[[#This Row],[Plano de Contas]],BASE!$B$3:$H$119,5,FALSE),"")</f>
        <v>MANUTENÇÃO / TI</v>
      </c>
      <c r="L1728" s="77">
        <f>IFERROR(VLOOKUP(DESPESAS[[#This Row],[Plano de Contas]],BASE!$B$3:$H$119,6,FALSE),"")</f>
        <v>0</v>
      </c>
      <c r="M1728" s="77" t="str">
        <f>VLOOKUP(DESPESAS[[#This Row],[Plano de Contas]],BASE!$B$3:$H$119,7,FALSE)</f>
        <v>RAFAEL</v>
      </c>
    </row>
    <row r="1729" spans="1:13" x14ac:dyDescent="0.25">
      <c r="A1729" s="74">
        <v>198466</v>
      </c>
      <c r="B1729" s="75" t="s">
        <v>232</v>
      </c>
      <c r="C1729" s="75" t="s">
        <v>2031</v>
      </c>
      <c r="D1729" s="76">
        <v>46071</v>
      </c>
      <c r="E1729" s="75" t="s">
        <v>2030</v>
      </c>
      <c r="F1729" s="74">
        <v>225.52</v>
      </c>
      <c r="G1729" s="75" t="s">
        <v>1075</v>
      </c>
      <c r="H1729" s="77" t="str">
        <f>VLOOKUP(DESPESAS[[#This Row],[Plano de Contas]],BASE!$B$3:$D$119,3,FALSE)</f>
        <v>Fretes Ass. Técnica</v>
      </c>
      <c r="I1729" s="77" t="str">
        <f>IFERROR(VLOOKUP(DESPESAS[[#This Row],[Fornecedor]],Tabela2[],2,FALSE),"")</f>
        <v/>
      </c>
      <c r="J1729" s="77" t="str">
        <f>IFERROR(VLOOKUP(DESPESAS[[#This Row],[Plano de Contas]],BASE!$B$3:$F$119,4,FALSE),"")</f>
        <v>6 - DESPESA COM VENDAS</v>
      </c>
      <c r="K1729" s="77" t="str">
        <f>IFERROR(VLOOKUP(DESPESAS[[#This Row],[Plano de Contas]],BASE!$B$3:$H$119,5,FALSE),"")</f>
        <v>LOGÍSTICA</v>
      </c>
      <c r="L1729" s="77">
        <f>IFERROR(VLOOKUP(DESPESAS[[#This Row],[Plano de Contas]],BASE!$B$3:$H$119,6,FALSE),"")</f>
        <v>0</v>
      </c>
      <c r="M1729" s="77" t="str">
        <f>VLOOKUP(DESPESAS[[#This Row],[Plano de Contas]],BASE!$B$3:$H$119,7,FALSE)</f>
        <v>MYLENA</v>
      </c>
    </row>
    <row r="1730" spans="1:13" x14ac:dyDescent="0.25">
      <c r="A1730" s="74">
        <v>198467</v>
      </c>
      <c r="B1730" s="75" t="s">
        <v>221</v>
      </c>
      <c r="C1730" s="75" t="s">
        <v>2029</v>
      </c>
      <c r="D1730" s="76">
        <v>46072</v>
      </c>
      <c r="E1730" s="75" t="s">
        <v>502</v>
      </c>
      <c r="F1730" s="74">
        <v>220</v>
      </c>
      <c r="G1730" s="75" t="s">
        <v>241</v>
      </c>
      <c r="H1730" s="77" t="str">
        <f>VLOOKUP(DESPESAS[[#This Row],[Plano de Contas]],BASE!$B$3:$D$119,3,FALSE)</f>
        <v>Combustiveis Frota</v>
      </c>
      <c r="I1730" s="77" t="str">
        <f>IFERROR(VLOOKUP(DESPESAS[[#This Row],[Fornecedor]],Tabela2[],2,FALSE),"")</f>
        <v/>
      </c>
      <c r="J1730" s="77" t="str">
        <f>IFERROR(VLOOKUP(DESPESAS[[#This Row],[Plano de Contas]],BASE!$B$3:$F$119,4,FALSE),"")</f>
        <v>6 - DESPESA COM VENDAS</v>
      </c>
      <c r="K1730" s="77" t="str">
        <f>IFERROR(VLOOKUP(DESPESAS[[#This Row],[Plano de Contas]],BASE!$B$3:$H$119,5,FALSE),"")</f>
        <v>LOGÍSTICA</v>
      </c>
      <c r="L1730" s="77">
        <f>IFERROR(VLOOKUP(DESPESAS[[#This Row],[Plano de Contas]],BASE!$B$3:$H$119,6,FALSE),"")</f>
        <v>0</v>
      </c>
      <c r="M1730" s="77" t="str">
        <f>VLOOKUP(DESPESAS[[#This Row],[Plano de Contas]],BASE!$B$3:$H$119,7,FALSE)</f>
        <v>MYLENA</v>
      </c>
    </row>
    <row r="1731" spans="1:13" x14ac:dyDescent="0.25">
      <c r="A1731" s="74">
        <v>198468</v>
      </c>
      <c r="B1731" s="75" t="s">
        <v>221</v>
      </c>
      <c r="C1731" s="75" t="s">
        <v>2028</v>
      </c>
      <c r="D1731" s="76">
        <v>46072</v>
      </c>
      <c r="E1731" s="75" t="s">
        <v>307</v>
      </c>
      <c r="F1731" s="74">
        <v>67.900000000000006</v>
      </c>
      <c r="G1731" s="75" t="s">
        <v>1037</v>
      </c>
      <c r="H1731" s="77" t="str">
        <f>VLOOKUP(DESPESAS[[#This Row],[Plano de Contas]],BASE!$B$3:$D$119,3,FALSE)</f>
        <v>Construções e Reformas</v>
      </c>
      <c r="I1731" s="77" t="str">
        <f>IFERROR(VLOOKUP(DESPESAS[[#This Row],[Fornecedor]],Tabela2[],2,FALSE),"")</f>
        <v>FERRAGENS GERAIS</v>
      </c>
      <c r="J1731" s="77" t="str">
        <f>IFERROR(VLOOKUP(DESPESAS[[#This Row],[Plano de Contas]],BASE!$B$3:$F$119,4,FALSE),"")</f>
        <v>9 - INVESTIMENTOS</v>
      </c>
      <c r="K1731" s="77" t="str">
        <f>IFERROR(VLOOKUP(DESPESAS[[#This Row],[Plano de Contas]],BASE!$B$3:$H$119,5,FALSE),"")</f>
        <v>MANUTENÇÃO / TI</v>
      </c>
      <c r="L1731" s="77">
        <f>IFERROR(VLOOKUP(DESPESAS[[#This Row],[Plano de Contas]],BASE!$B$3:$H$119,6,FALSE),"")</f>
        <v>0</v>
      </c>
      <c r="M1731" s="77" t="str">
        <f>VLOOKUP(DESPESAS[[#This Row],[Plano de Contas]],BASE!$B$3:$H$119,7,FALSE)</f>
        <v>FÁBIO</v>
      </c>
    </row>
    <row r="1732" spans="1:13" x14ac:dyDescent="0.25">
      <c r="A1732" s="74">
        <v>198469</v>
      </c>
      <c r="B1732" s="75" t="s">
        <v>232</v>
      </c>
      <c r="C1732" s="75" t="s">
        <v>2027</v>
      </c>
      <c r="D1732" s="76">
        <v>46072</v>
      </c>
      <c r="E1732" s="75" t="s">
        <v>1206</v>
      </c>
      <c r="F1732" s="74">
        <v>940</v>
      </c>
      <c r="G1732" s="75" t="s">
        <v>247</v>
      </c>
      <c r="H1732" s="77" t="str">
        <f>VLOOKUP(DESPESAS[[#This Row],[Plano de Contas]],BASE!$B$3:$D$119,3,FALSE)</f>
        <v>Manutenção com veiculos</v>
      </c>
      <c r="I1732" s="77" t="str">
        <f>IFERROR(VLOOKUP(DESPESAS[[#This Row],[Fornecedor]],Tabela2[],2,FALSE),"")</f>
        <v/>
      </c>
      <c r="J1732" s="77" t="str">
        <f>IFERROR(VLOOKUP(DESPESAS[[#This Row],[Plano de Contas]],BASE!$B$3:$F$119,4,FALSE),"")</f>
        <v>6 - DESPESA COM VENDAS</v>
      </c>
      <c r="K1732" s="77" t="str">
        <f>IFERROR(VLOOKUP(DESPESAS[[#This Row],[Plano de Contas]],BASE!$B$3:$H$119,5,FALSE),"")</f>
        <v>LOGÍSTICA</v>
      </c>
      <c r="L1732" s="77">
        <f>IFERROR(VLOOKUP(DESPESAS[[#This Row],[Plano de Contas]],BASE!$B$3:$H$119,6,FALSE),"")</f>
        <v>0</v>
      </c>
      <c r="M1732" s="77" t="str">
        <f>VLOOKUP(DESPESAS[[#This Row],[Plano de Contas]],BASE!$B$3:$H$119,7,FALSE)</f>
        <v>MYLENA</v>
      </c>
    </row>
    <row r="1733" spans="1:13" x14ac:dyDescent="0.25">
      <c r="A1733" s="74">
        <v>198470</v>
      </c>
      <c r="B1733" s="75" t="s">
        <v>232</v>
      </c>
      <c r="C1733" s="75" t="s">
        <v>2026</v>
      </c>
      <c r="D1733" s="76">
        <v>46072</v>
      </c>
      <c r="E1733" s="75" t="s">
        <v>1206</v>
      </c>
      <c r="F1733" s="74">
        <v>410</v>
      </c>
      <c r="G1733" s="75" t="s">
        <v>247</v>
      </c>
      <c r="H1733" s="77" t="str">
        <f>VLOOKUP(DESPESAS[[#This Row],[Plano de Contas]],BASE!$B$3:$D$119,3,FALSE)</f>
        <v>Manutenção com veiculos</v>
      </c>
      <c r="I1733" s="77" t="str">
        <f>IFERROR(VLOOKUP(DESPESAS[[#This Row],[Fornecedor]],Tabela2[],2,FALSE),"")</f>
        <v/>
      </c>
      <c r="J1733" s="77" t="str">
        <f>IFERROR(VLOOKUP(DESPESAS[[#This Row],[Plano de Contas]],BASE!$B$3:$F$119,4,FALSE),"")</f>
        <v>6 - DESPESA COM VENDAS</v>
      </c>
      <c r="K1733" s="77" t="str">
        <f>IFERROR(VLOOKUP(DESPESAS[[#This Row],[Plano de Contas]],BASE!$B$3:$H$119,5,FALSE),"")</f>
        <v>LOGÍSTICA</v>
      </c>
      <c r="L1733" s="77">
        <f>IFERROR(VLOOKUP(DESPESAS[[#This Row],[Plano de Contas]],BASE!$B$3:$H$119,6,FALSE),"")</f>
        <v>0</v>
      </c>
      <c r="M1733" s="77" t="str">
        <f>VLOOKUP(DESPESAS[[#This Row],[Plano de Contas]],BASE!$B$3:$H$119,7,FALSE)</f>
        <v>MYLENA</v>
      </c>
    </row>
    <row r="1734" spans="1:13" x14ac:dyDescent="0.25">
      <c r="A1734" s="74">
        <v>198471</v>
      </c>
      <c r="B1734" s="75" t="s">
        <v>232</v>
      </c>
      <c r="C1734" s="75" t="s">
        <v>2025</v>
      </c>
      <c r="D1734" s="76">
        <v>46072</v>
      </c>
      <c r="E1734" s="75" t="s">
        <v>230</v>
      </c>
      <c r="F1734" s="74">
        <v>42.66</v>
      </c>
      <c r="G1734" s="75" t="s">
        <v>236</v>
      </c>
      <c r="H1734" s="77" t="str">
        <f>VLOOKUP(DESPESAS[[#This Row],[Plano de Contas]],BASE!$B$3:$D$119,3,FALSE)</f>
        <v>Despesas de Cobranca</v>
      </c>
      <c r="I1734" s="77" t="str">
        <f>IFERROR(VLOOKUP(DESPESAS[[#This Row],[Fornecedor]],Tabela2[],2,FALSE),"")</f>
        <v/>
      </c>
      <c r="J1734" s="77" t="str">
        <f>IFERROR(VLOOKUP(DESPESAS[[#This Row],[Plano de Contas]],BASE!$B$3:$F$119,4,FALSE),"")</f>
        <v>8 - DESPESAS FINANCEIRAS</v>
      </c>
      <c r="K1734" s="77" t="str">
        <f>IFERROR(VLOOKUP(DESPESAS[[#This Row],[Plano de Contas]],BASE!$B$3:$H$119,5,FALSE),"")</f>
        <v>FINANCEIRO</v>
      </c>
      <c r="L1734" s="77">
        <f>IFERROR(VLOOKUP(DESPESAS[[#This Row],[Plano de Contas]],BASE!$B$3:$H$119,6,FALSE),"")</f>
        <v>0</v>
      </c>
      <c r="M1734" s="77" t="str">
        <f>VLOOKUP(DESPESAS[[#This Row],[Plano de Contas]],BASE!$B$3:$H$119,7,FALSE)</f>
        <v>LETÍCIA</v>
      </c>
    </row>
    <row r="1735" spans="1:13" x14ac:dyDescent="0.25">
      <c r="A1735" s="74">
        <v>198472</v>
      </c>
      <c r="B1735" s="75" t="s">
        <v>279</v>
      </c>
      <c r="C1735" s="75" t="s">
        <v>2024</v>
      </c>
      <c r="D1735" s="76">
        <v>46071</v>
      </c>
      <c r="E1735" s="75" t="s">
        <v>230</v>
      </c>
      <c r="F1735" s="74">
        <v>4.74</v>
      </c>
      <c r="G1735" s="75" t="s">
        <v>229</v>
      </c>
      <c r="H1735" s="77" t="str">
        <f>VLOOKUP(DESPESAS[[#This Row],[Plano de Contas]],BASE!$B$3:$D$119,3,FALSE)</f>
        <v>Despesas Bancarias</v>
      </c>
      <c r="I1735" s="77" t="str">
        <f>IFERROR(VLOOKUP(DESPESAS[[#This Row],[Fornecedor]],Tabela2[],2,FALSE),"")</f>
        <v/>
      </c>
      <c r="J1735" s="77" t="str">
        <f>IFERROR(VLOOKUP(DESPESAS[[#This Row],[Plano de Contas]],BASE!$B$3:$F$119,4,FALSE),"")</f>
        <v>8 - DESPESAS FINANCEIRAS</v>
      </c>
      <c r="K1735" s="77" t="str">
        <f>IFERROR(VLOOKUP(DESPESAS[[#This Row],[Plano de Contas]],BASE!$B$3:$H$119,5,FALSE),"")</f>
        <v>FINANCEIRO</v>
      </c>
      <c r="L1735" s="77">
        <f>IFERROR(VLOOKUP(DESPESAS[[#This Row],[Plano de Contas]],BASE!$B$3:$H$119,6,FALSE),"")</f>
        <v>0</v>
      </c>
      <c r="M1735" s="77" t="str">
        <f>VLOOKUP(DESPESAS[[#This Row],[Plano de Contas]],BASE!$B$3:$H$119,7,FALSE)</f>
        <v>LETÍCIA</v>
      </c>
    </row>
    <row r="1736" spans="1:13" x14ac:dyDescent="0.25">
      <c r="A1736" s="74">
        <v>198473</v>
      </c>
      <c r="B1736" s="75" t="s">
        <v>279</v>
      </c>
      <c r="C1736" s="75" t="s">
        <v>2023</v>
      </c>
      <c r="D1736" s="76">
        <v>46072</v>
      </c>
      <c r="E1736" s="75" t="s">
        <v>230</v>
      </c>
      <c r="F1736" s="74">
        <v>2.36</v>
      </c>
      <c r="G1736" s="75" t="s">
        <v>229</v>
      </c>
      <c r="H1736" s="77" t="str">
        <f>VLOOKUP(DESPESAS[[#This Row],[Plano de Contas]],BASE!$B$3:$D$119,3,FALSE)</f>
        <v>Despesas Bancarias</v>
      </c>
      <c r="I1736" s="77" t="str">
        <f>IFERROR(VLOOKUP(DESPESAS[[#This Row],[Fornecedor]],Tabela2[],2,FALSE),"")</f>
        <v/>
      </c>
      <c r="J1736" s="77" t="str">
        <f>IFERROR(VLOOKUP(DESPESAS[[#This Row],[Plano de Contas]],BASE!$B$3:$F$119,4,FALSE),"")</f>
        <v>8 - DESPESAS FINANCEIRAS</v>
      </c>
      <c r="K1736" s="77" t="str">
        <f>IFERROR(VLOOKUP(DESPESAS[[#This Row],[Plano de Contas]],BASE!$B$3:$H$119,5,FALSE),"")</f>
        <v>FINANCEIRO</v>
      </c>
      <c r="L1736" s="77">
        <f>IFERROR(VLOOKUP(DESPESAS[[#This Row],[Plano de Contas]],BASE!$B$3:$H$119,6,FALSE),"")</f>
        <v>0</v>
      </c>
      <c r="M1736" s="77" t="str">
        <f>VLOOKUP(DESPESAS[[#This Row],[Plano de Contas]],BASE!$B$3:$H$119,7,FALSE)</f>
        <v>LETÍCIA</v>
      </c>
    </row>
    <row r="1737" spans="1:13" x14ac:dyDescent="0.25">
      <c r="A1737" s="74">
        <v>198474</v>
      </c>
      <c r="B1737" s="75" t="s">
        <v>279</v>
      </c>
      <c r="C1737" s="75" t="s">
        <v>2022</v>
      </c>
      <c r="D1737" s="76">
        <v>46072</v>
      </c>
      <c r="E1737" s="75" t="s">
        <v>230</v>
      </c>
      <c r="F1737" s="74">
        <v>24.06</v>
      </c>
      <c r="G1737" s="75" t="s">
        <v>229</v>
      </c>
      <c r="H1737" s="77" t="str">
        <f>VLOOKUP(DESPESAS[[#This Row],[Plano de Contas]],BASE!$B$3:$D$119,3,FALSE)</f>
        <v>Despesas Bancarias</v>
      </c>
      <c r="I1737" s="77" t="str">
        <f>IFERROR(VLOOKUP(DESPESAS[[#This Row],[Fornecedor]],Tabela2[],2,FALSE),"")</f>
        <v/>
      </c>
      <c r="J1737" s="77" t="str">
        <f>IFERROR(VLOOKUP(DESPESAS[[#This Row],[Plano de Contas]],BASE!$B$3:$F$119,4,FALSE),"")</f>
        <v>8 - DESPESAS FINANCEIRAS</v>
      </c>
      <c r="K1737" s="77" t="str">
        <f>IFERROR(VLOOKUP(DESPESAS[[#This Row],[Plano de Contas]],BASE!$B$3:$H$119,5,FALSE),"")</f>
        <v>FINANCEIRO</v>
      </c>
      <c r="L1737" s="77">
        <f>IFERROR(VLOOKUP(DESPESAS[[#This Row],[Plano de Contas]],BASE!$B$3:$H$119,6,FALSE),"")</f>
        <v>0</v>
      </c>
      <c r="M1737" s="77" t="str">
        <f>VLOOKUP(DESPESAS[[#This Row],[Plano de Contas]],BASE!$B$3:$H$119,7,FALSE)</f>
        <v>LETÍCIA</v>
      </c>
    </row>
    <row r="1738" spans="1:13" x14ac:dyDescent="0.25">
      <c r="A1738" s="74">
        <v>198475</v>
      </c>
      <c r="B1738" s="75" t="s">
        <v>281</v>
      </c>
      <c r="C1738" s="75" t="s">
        <v>2021</v>
      </c>
      <c r="D1738" s="76">
        <v>46071</v>
      </c>
      <c r="E1738" s="75" t="s">
        <v>230</v>
      </c>
      <c r="F1738" s="74">
        <v>0.79</v>
      </c>
      <c r="G1738" s="75" t="s">
        <v>229</v>
      </c>
      <c r="H1738" s="77" t="str">
        <f>VLOOKUP(DESPESAS[[#This Row],[Plano de Contas]],BASE!$B$3:$D$119,3,FALSE)</f>
        <v>Despesas Bancarias</v>
      </c>
      <c r="I1738" s="77" t="str">
        <f>IFERROR(VLOOKUP(DESPESAS[[#This Row],[Fornecedor]],Tabela2[],2,FALSE),"")</f>
        <v/>
      </c>
      <c r="J1738" s="77" t="str">
        <f>IFERROR(VLOOKUP(DESPESAS[[#This Row],[Plano de Contas]],BASE!$B$3:$F$119,4,FALSE),"")</f>
        <v>8 - DESPESAS FINANCEIRAS</v>
      </c>
      <c r="K1738" s="77" t="str">
        <f>IFERROR(VLOOKUP(DESPESAS[[#This Row],[Plano de Contas]],BASE!$B$3:$H$119,5,FALSE),"")</f>
        <v>FINANCEIRO</v>
      </c>
      <c r="L1738" s="77">
        <f>IFERROR(VLOOKUP(DESPESAS[[#This Row],[Plano de Contas]],BASE!$B$3:$H$119,6,FALSE),"")</f>
        <v>0</v>
      </c>
      <c r="M1738" s="77" t="str">
        <f>VLOOKUP(DESPESAS[[#This Row],[Plano de Contas]],BASE!$B$3:$H$119,7,FALSE)</f>
        <v>LETÍCIA</v>
      </c>
    </row>
    <row r="1739" spans="1:13" x14ac:dyDescent="0.25">
      <c r="A1739" s="74">
        <v>198476</v>
      </c>
      <c r="B1739" s="75" t="s">
        <v>281</v>
      </c>
      <c r="C1739" s="75" t="s">
        <v>2020</v>
      </c>
      <c r="D1739" s="76">
        <v>46071</v>
      </c>
      <c r="E1739" s="75" t="s">
        <v>230</v>
      </c>
      <c r="F1739" s="74">
        <v>9.19</v>
      </c>
      <c r="G1739" s="75" t="s">
        <v>356</v>
      </c>
      <c r="H1739" s="77" t="str">
        <f>VLOOKUP(DESPESAS[[#This Row],[Plano de Contas]],BASE!$B$3:$D$119,3,FALSE)</f>
        <v>Despesas Cartorárias</v>
      </c>
      <c r="I1739" s="77" t="str">
        <f>IFERROR(VLOOKUP(DESPESAS[[#This Row],[Fornecedor]],Tabela2[],2,FALSE),"")</f>
        <v/>
      </c>
      <c r="J1739" s="77" t="str">
        <f>IFERROR(VLOOKUP(DESPESAS[[#This Row],[Plano de Contas]],BASE!$B$3:$F$119,4,FALSE),"")</f>
        <v>5 - DESPESAS ADMINISTRATIVAS</v>
      </c>
      <c r="K1739" s="77" t="str">
        <f>IFERROR(VLOOKUP(DESPESAS[[#This Row],[Plano de Contas]],BASE!$B$3:$H$119,5,FALSE),"")</f>
        <v>FINANCEIRO</v>
      </c>
      <c r="L1739" s="77">
        <f>IFERROR(VLOOKUP(DESPESAS[[#This Row],[Plano de Contas]],BASE!$B$3:$H$119,6,FALSE),"")</f>
        <v>0</v>
      </c>
      <c r="M1739" s="77" t="str">
        <f>VLOOKUP(DESPESAS[[#This Row],[Plano de Contas]],BASE!$B$3:$H$119,7,FALSE)</f>
        <v>LETÍCIA</v>
      </c>
    </row>
    <row r="1740" spans="1:13" x14ac:dyDescent="0.25">
      <c r="A1740" s="74">
        <v>198477</v>
      </c>
      <c r="B1740" s="75" t="s">
        <v>232</v>
      </c>
      <c r="C1740" s="75" t="s">
        <v>2019</v>
      </c>
      <c r="D1740" s="76">
        <v>46072</v>
      </c>
      <c r="E1740" s="75" t="s">
        <v>2018</v>
      </c>
      <c r="F1740" s="74">
        <v>131.5</v>
      </c>
      <c r="G1740" s="75" t="s">
        <v>1006</v>
      </c>
      <c r="H1740" s="77" t="str">
        <f>VLOOKUP(DESPESAS[[#This Row],[Plano de Contas]],BASE!$B$3:$D$119,3,FALSE)</f>
        <v>Material de Limpeza (Adm)</v>
      </c>
      <c r="I1740" s="77" t="str">
        <f>IFERROR(VLOOKUP(DESPESAS[[#This Row],[Fornecedor]],Tabela2[],2,FALSE),"")</f>
        <v/>
      </c>
      <c r="J1740" s="77" t="str">
        <f>IFERROR(VLOOKUP(DESPESAS[[#This Row],[Plano de Contas]],BASE!$B$3:$F$119,4,FALSE),"")</f>
        <v>5 - DESPESAS ADMINISTRATIVAS</v>
      </c>
      <c r="K1740" s="77" t="str">
        <f>IFERROR(VLOOKUP(DESPESAS[[#This Row],[Plano de Contas]],BASE!$B$3:$H$119,5,FALSE),"")</f>
        <v>ADMINISTRATIVO</v>
      </c>
      <c r="L1740" s="77">
        <f>IFERROR(VLOOKUP(DESPESAS[[#This Row],[Plano de Contas]],BASE!$B$3:$H$119,6,FALSE),"")</f>
        <v>0</v>
      </c>
      <c r="M1740" s="77" t="str">
        <f>VLOOKUP(DESPESAS[[#This Row],[Plano de Contas]],BASE!$B$3:$H$119,7,FALSE)</f>
        <v>MYLENA</v>
      </c>
    </row>
    <row r="1741" spans="1:13" x14ac:dyDescent="0.25">
      <c r="A1741" s="74">
        <v>198478</v>
      </c>
      <c r="B1741" s="75" t="s">
        <v>281</v>
      </c>
      <c r="C1741" s="75" t="s">
        <v>2017</v>
      </c>
      <c r="D1741" s="76">
        <v>46071</v>
      </c>
      <c r="E1741" s="75" t="s">
        <v>230</v>
      </c>
      <c r="F1741" s="74">
        <v>2.46</v>
      </c>
      <c r="G1741" s="75" t="s">
        <v>356</v>
      </c>
      <c r="H1741" s="77" t="str">
        <f>VLOOKUP(DESPESAS[[#This Row],[Plano de Contas]],BASE!$B$3:$D$119,3,FALSE)</f>
        <v>Despesas Cartorárias</v>
      </c>
      <c r="I1741" s="77" t="str">
        <f>IFERROR(VLOOKUP(DESPESAS[[#This Row],[Fornecedor]],Tabela2[],2,FALSE),"")</f>
        <v/>
      </c>
      <c r="J1741" s="77" t="str">
        <f>IFERROR(VLOOKUP(DESPESAS[[#This Row],[Plano de Contas]],BASE!$B$3:$F$119,4,FALSE),"")</f>
        <v>5 - DESPESAS ADMINISTRATIVAS</v>
      </c>
      <c r="K1741" s="77" t="str">
        <f>IFERROR(VLOOKUP(DESPESAS[[#This Row],[Plano de Contas]],BASE!$B$3:$H$119,5,FALSE),"")</f>
        <v>FINANCEIRO</v>
      </c>
      <c r="L1741" s="77">
        <f>IFERROR(VLOOKUP(DESPESAS[[#This Row],[Plano de Contas]],BASE!$B$3:$H$119,6,FALSE),"")</f>
        <v>0</v>
      </c>
      <c r="M1741" s="77" t="str">
        <f>VLOOKUP(DESPESAS[[#This Row],[Plano de Contas]],BASE!$B$3:$H$119,7,FALSE)</f>
        <v>LETÍCIA</v>
      </c>
    </row>
    <row r="1742" spans="1:13" x14ac:dyDescent="0.25">
      <c r="A1742" s="74">
        <v>198479</v>
      </c>
      <c r="B1742" s="75" t="s">
        <v>281</v>
      </c>
      <c r="C1742" s="75" t="s">
        <v>2016</v>
      </c>
      <c r="D1742" s="76">
        <v>46072</v>
      </c>
      <c r="E1742" s="75" t="s">
        <v>230</v>
      </c>
      <c r="F1742" s="74">
        <v>2.37</v>
      </c>
      <c r="G1742" s="75" t="s">
        <v>229</v>
      </c>
      <c r="H1742" s="77" t="str">
        <f>VLOOKUP(DESPESAS[[#This Row],[Plano de Contas]],BASE!$B$3:$D$119,3,FALSE)</f>
        <v>Despesas Bancarias</v>
      </c>
      <c r="I1742" s="77" t="str">
        <f>IFERROR(VLOOKUP(DESPESAS[[#This Row],[Fornecedor]],Tabela2[],2,FALSE),"")</f>
        <v/>
      </c>
      <c r="J1742" s="77" t="str">
        <f>IFERROR(VLOOKUP(DESPESAS[[#This Row],[Plano de Contas]],BASE!$B$3:$F$119,4,FALSE),"")</f>
        <v>8 - DESPESAS FINANCEIRAS</v>
      </c>
      <c r="K1742" s="77" t="str">
        <f>IFERROR(VLOOKUP(DESPESAS[[#This Row],[Plano de Contas]],BASE!$B$3:$H$119,5,FALSE),"")</f>
        <v>FINANCEIRO</v>
      </c>
      <c r="L1742" s="77">
        <f>IFERROR(VLOOKUP(DESPESAS[[#This Row],[Plano de Contas]],BASE!$B$3:$H$119,6,FALSE),"")</f>
        <v>0</v>
      </c>
      <c r="M1742" s="77" t="str">
        <f>VLOOKUP(DESPESAS[[#This Row],[Plano de Contas]],BASE!$B$3:$H$119,7,FALSE)</f>
        <v>LETÍCIA</v>
      </c>
    </row>
    <row r="1743" spans="1:13" x14ac:dyDescent="0.25">
      <c r="A1743" s="74">
        <v>198480</v>
      </c>
      <c r="B1743" s="75" t="s">
        <v>221</v>
      </c>
      <c r="C1743" s="75" t="s">
        <v>2015</v>
      </c>
      <c r="D1743" s="76">
        <v>46071</v>
      </c>
      <c r="E1743" s="75" t="s">
        <v>1394</v>
      </c>
      <c r="F1743" s="74">
        <v>18.2</v>
      </c>
      <c r="G1743" s="75" t="s">
        <v>229</v>
      </c>
      <c r="H1743" s="77" t="str">
        <f>VLOOKUP(DESPESAS[[#This Row],[Plano de Contas]],BASE!$B$3:$D$119,3,FALSE)</f>
        <v>Despesas Bancarias</v>
      </c>
      <c r="I1743" s="77" t="str">
        <f>IFERROR(VLOOKUP(DESPESAS[[#This Row],[Fornecedor]],Tabela2[],2,FALSE),"")</f>
        <v/>
      </c>
      <c r="J1743" s="77" t="str">
        <f>IFERROR(VLOOKUP(DESPESAS[[#This Row],[Plano de Contas]],BASE!$B$3:$F$119,4,FALSE),"")</f>
        <v>8 - DESPESAS FINANCEIRAS</v>
      </c>
      <c r="K1743" s="77" t="str">
        <f>IFERROR(VLOOKUP(DESPESAS[[#This Row],[Plano de Contas]],BASE!$B$3:$H$119,5,FALSE),"")</f>
        <v>FINANCEIRO</v>
      </c>
      <c r="L1743" s="77">
        <f>IFERROR(VLOOKUP(DESPESAS[[#This Row],[Plano de Contas]],BASE!$B$3:$H$119,6,FALSE),"")</f>
        <v>0</v>
      </c>
      <c r="M1743" s="77" t="str">
        <f>VLOOKUP(DESPESAS[[#This Row],[Plano de Contas]],BASE!$B$3:$H$119,7,FALSE)</f>
        <v>LETÍCIA</v>
      </c>
    </row>
    <row r="1744" spans="1:13" x14ac:dyDescent="0.25">
      <c r="A1744" s="74">
        <v>198481</v>
      </c>
      <c r="B1744" s="75" t="s">
        <v>221</v>
      </c>
      <c r="C1744" s="75" t="s">
        <v>2014</v>
      </c>
      <c r="D1744" s="76">
        <v>46072</v>
      </c>
      <c r="E1744" s="75" t="s">
        <v>317</v>
      </c>
      <c r="F1744" s="74">
        <v>160</v>
      </c>
      <c r="G1744" s="75" t="s">
        <v>1037</v>
      </c>
      <c r="H1744" s="77" t="str">
        <f>VLOOKUP(DESPESAS[[#This Row],[Plano de Contas]],BASE!$B$3:$D$119,3,FALSE)</f>
        <v>Construções e Reformas</v>
      </c>
      <c r="I1744" s="77" t="str">
        <f>IFERROR(VLOOKUP(DESPESAS[[#This Row],[Fornecedor]],Tabela2[],2,FALSE),"")</f>
        <v/>
      </c>
      <c r="J1744" s="77" t="str">
        <f>IFERROR(VLOOKUP(DESPESAS[[#This Row],[Plano de Contas]],BASE!$B$3:$F$119,4,FALSE),"")</f>
        <v>9 - INVESTIMENTOS</v>
      </c>
      <c r="K1744" s="77" t="str">
        <f>IFERROR(VLOOKUP(DESPESAS[[#This Row],[Plano de Contas]],BASE!$B$3:$H$119,5,FALSE),"")</f>
        <v>MANUTENÇÃO / TI</v>
      </c>
      <c r="L1744" s="77">
        <f>IFERROR(VLOOKUP(DESPESAS[[#This Row],[Plano de Contas]],BASE!$B$3:$H$119,6,FALSE),"")</f>
        <v>0</v>
      </c>
      <c r="M1744" s="77" t="str">
        <f>VLOOKUP(DESPESAS[[#This Row],[Plano de Contas]],BASE!$B$3:$H$119,7,FALSE)</f>
        <v>FÁBIO</v>
      </c>
    </row>
    <row r="1745" spans="1:13" x14ac:dyDescent="0.25">
      <c r="A1745" s="74">
        <v>198482</v>
      </c>
      <c r="B1745" s="75" t="s">
        <v>232</v>
      </c>
      <c r="C1745" s="75" t="s">
        <v>2013</v>
      </c>
      <c r="D1745" s="76">
        <v>46072</v>
      </c>
      <c r="E1745" s="75" t="s">
        <v>475</v>
      </c>
      <c r="F1745" s="74">
        <v>830</v>
      </c>
      <c r="G1745" s="75" t="s">
        <v>244</v>
      </c>
      <c r="H1745" s="77" t="str">
        <f>VLOOKUP(DESPESAS[[#This Row],[Plano de Contas]],BASE!$B$3:$D$119,3,FALSE)</f>
        <v>Material de Expediente (Prod)</v>
      </c>
      <c r="I1745" s="77" t="str">
        <f>IFERROR(VLOOKUP(DESPESAS[[#This Row],[Fornecedor]],Tabela2[],2,FALSE),"")</f>
        <v/>
      </c>
      <c r="J1745" s="77" t="str">
        <f>IFERROR(VLOOKUP(DESPESAS[[#This Row],[Plano de Contas]],BASE!$B$3:$F$119,4,FALSE),"")</f>
        <v>2 - CUSTOS DIRETOS</v>
      </c>
      <c r="K1745" s="77" t="str">
        <f>IFERROR(VLOOKUP(DESPESAS[[#This Row],[Plano de Contas]],BASE!$B$3:$H$119,5,FALSE),"")</f>
        <v>PRODUÇÃO</v>
      </c>
      <c r="L1745" s="77">
        <f>IFERROR(VLOOKUP(DESPESAS[[#This Row],[Plano de Contas]],BASE!$B$3:$H$119,6,FALSE),"")</f>
        <v>0</v>
      </c>
      <c r="M1745" s="77" t="str">
        <f>VLOOKUP(DESPESAS[[#This Row],[Plano de Contas]],BASE!$B$3:$H$119,7,FALSE)</f>
        <v>RAFAEL</v>
      </c>
    </row>
    <row r="1746" spans="1:13" x14ac:dyDescent="0.25">
      <c r="A1746" s="74">
        <v>198483</v>
      </c>
      <c r="B1746" s="75" t="s">
        <v>232</v>
      </c>
      <c r="C1746" s="75" t="s">
        <v>2012</v>
      </c>
      <c r="D1746" s="76">
        <v>46072</v>
      </c>
      <c r="E1746" s="75" t="s">
        <v>475</v>
      </c>
      <c r="F1746" s="74">
        <v>1207.5</v>
      </c>
      <c r="G1746" s="75" t="s">
        <v>244</v>
      </c>
      <c r="H1746" s="77" t="str">
        <f>VLOOKUP(DESPESAS[[#This Row],[Plano de Contas]],BASE!$B$3:$D$119,3,FALSE)</f>
        <v>Material de Expediente (Prod)</v>
      </c>
      <c r="I1746" s="77" t="str">
        <f>IFERROR(VLOOKUP(DESPESAS[[#This Row],[Fornecedor]],Tabela2[],2,FALSE),"")</f>
        <v/>
      </c>
      <c r="J1746" s="77" t="str">
        <f>IFERROR(VLOOKUP(DESPESAS[[#This Row],[Plano de Contas]],BASE!$B$3:$F$119,4,FALSE),"")</f>
        <v>2 - CUSTOS DIRETOS</v>
      </c>
      <c r="K1746" s="77" t="str">
        <f>IFERROR(VLOOKUP(DESPESAS[[#This Row],[Plano de Contas]],BASE!$B$3:$H$119,5,FALSE),"")</f>
        <v>PRODUÇÃO</v>
      </c>
      <c r="L1746" s="77">
        <f>IFERROR(VLOOKUP(DESPESAS[[#This Row],[Plano de Contas]],BASE!$B$3:$H$119,6,FALSE),"")</f>
        <v>0</v>
      </c>
      <c r="M1746" s="77" t="str">
        <f>VLOOKUP(DESPESAS[[#This Row],[Plano de Contas]],BASE!$B$3:$H$119,7,FALSE)</f>
        <v>RAFAEL</v>
      </c>
    </row>
    <row r="1747" spans="1:13" x14ac:dyDescent="0.25">
      <c r="A1747" s="74">
        <v>198484</v>
      </c>
      <c r="B1747" s="75" t="s">
        <v>221</v>
      </c>
      <c r="C1747" s="75" t="s">
        <v>2011</v>
      </c>
      <c r="D1747" s="76">
        <v>46072</v>
      </c>
      <c r="E1747" s="75" t="s">
        <v>307</v>
      </c>
      <c r="F1747" s="74">
        <v>9</v>
      </c>
      <c r="G1747" s="75" t="s">
        <v>1037</v>
      </c>
      <c r="H1747" s="77" t="str">
        <f>VLOOKUP(DESPESAS[[#This Row],[Plano de Contas]],BASE!$B$3:$D$119,3,FALSE)</f>
        <v>Construções e Reformas</v>
      </c>
      <c r="I1747" s="77" t="str">
        <f>IFERROR(VLOOKUP(DESPESAS[[#This Row],[Fornecedor]],Tabela2[],2,FALSE),"")</f>
        <v>FERRAGENS GERAIS</v>
      </c>
      <c r="J1747" s="77" t="str">
        <f>IFERROR(VLOOKUP(DESPESAS[[#This Row],[Plano de Contas]],BASE!$B$3:$F$119,4,FALSE),"")</f>
        <v>9 - INVESTIMENTOS</v>
      </c>
      <c r="K1747" s="77" t="str">
        <f>IFERROR(VLOOKUP(DESPESAS[[#This Row],[Plano de Contas]],BASE!$B$3:$H$119,5,FALSE),"")</f>
        <v>MANUTENÇÃO / TI</v>
      </c>
      <c r="L1747" s="77">
        <f>IFERROR(VLOOKUP(DESPESAS[[#This Row],[Plano de Contas]],BASE!$B$3:$H$119,6,FALSE),"")</f>
        <v>0</v>
      </c>
      <c r="M1747" s="77" t="str">
        <f>VLOOKUP(DESPESAS[[#This Row],[Plano de Contas]],BASE!$B$3:$H$119,7,FALSE)</f>
        <v>FÁBIO</v>
      </c>
    </row>
    <row r="1748" spans="1:13" x14ac:dyDescent="0.25">
      <c r="A1748" s="74">
        <v>198485</v>
      </c>
      <c r="B1748" s="75" t="s">
        <v>232</v>
      </c>
      <c r="C1748" s="75" t="s">
        <v>2010</v>
      </c>
      <c r="D1748" s="76">
        <v>46072</v>
      </c>
      <c r="E1748" s="75" t="s">
        <v>992</v>
      </c>
      <c r="F1748" s="74">
        <v>1740.96</v>
      </c>
      <c r="G1748" s="75" t="s">
        <v>294</v>
      </c>
      <c r="H1748" s="77" t="str">
        <f>VLOOKUP(DESPESAS[[#This Row],[Plano de Contas]],BASE!$B$3:$D$119,3,FALSE)</f>
        <v>Insumos de Clientes</v>
      </c>
      <c r="I1748" s="77" t="str">
        <f>IFERROR(VLOOKUP(DESPESAS[[#This Row],[Fornecedor]],Tabela2[],2,FALSE),"")</f>
        <v/>
      </c>
      <c r="J1748" s="77" t="str">
        <f>IFERROR(VLOOKUP(DESPESAS[[#This Row],[Plano de Contas]],BASE!$B$3:$F$119,4,FALSE),"")</f>
        <v>8 - DESPESAS FINANCEIRAS</v>
      </c>
      <c r="K1748" s="77" t="str">
        <f>IFERROR(VLOOKUP(DESPESAS[[#This Row],[Plano de Contas]],BASE!$B$3:$H$119,5,FALSE),"")</f>
        <v>COMERCIAL</v>
      </c>
      <c r="L1748" s="77">
        <f>IFERROR(VLOOKUP(DESPESAS[[#This Row],[Plano de Contas]],BASE!$B$3:$H$119,6,FALSE),"")</f>
        <v>0</v>
      </c>
      <c r="M1748" s="77" t="str">
        <f>VLOOKUP(DESPESAS[[#This Row],[Plano de Contas]],BASE!$B$3:$H$119,7,FALSE)</f>
        <v>LETÍCIA</v>
      </c>
    </row>
    <row r="1749" spans="1:13" x14ac:dyDescent="0.25">
      <c r="A1749" s="74">
        <v>198486</v>
      </c>
      <c r="B1749" s="75" t="s">
        <v>232</v>
      </c>
      <c r="C1749" s="75" t="s">
        <v>2009</v>
      </c>
      <c r="D1749" s="76">
        <v>46072</v>
      </c>
      <c r="E1749" s="75" t="s">
        <v>2008</v>
      </c>
      <c r="F1749" s="74">
        <v>100</v>
      </c>
      <c r="G1749" s="75" t="s">
        <v>294</v>
      </c>
      <c r="H1749" s="77" t="str">
        <f>VLOOKUP(DESPESAS[[#This Row],[Plano de Contas]],BASE!$B$3:$D$119,3,FALSE)</f>
        <v>Insumos de Clientes</v>
      </c>
      <c r="I1749" s="77" t="str">
        <f>IFERROR(VLOOKUP(DESPESAS[[#This Row],[Fornecedor]],Tabela2[],2,FALSE),"")</f>
        <v/>
      </c>
      <c r="J1749" s="77" t="str">
        <f>IFERROR(VLOOKUP(DESPESAS[[#This Row],[Plano de Contas]],BASE!$B$3:$F$119,4,FALSE),"")</f>
        <v>8 - DESPESAS FINANCEIRAS</v>
      </c>
      <c r="K1749" s="77" t="str">
        <f>IFERROR(VLOOKUP(DESPESAS[[#This Row],[Plano de Contas]],BASE!$B$3:$H$119,5,FALSE),"")</f>
        <v>COMERCIAL</v>
      </c>
      <c r="L1749" s="77">
        <f>IFERROR(VLOOKUP(DESPESAS[[#This Row],[Plano de Contas]],BASE!$B$3:$H$119,6,FALSE),"")</f>
        <v>0</v>
      </c>
      <c r="M1749" s="77" t="str">
        <f>VLOOKUP(DESPESAS[[#This Row],[Plano de Contas]],BASE!$B$3:$H$119,7,FALSE)</f>
        <v>LETÍCIA</v>
      </c>
    </row>
    <row r="1750" spans="1:13" x14ac:dyDescent="0.25">
      <c r="A1750" s="74">
        <v>198487</v>
      </c>
      <c r="B1750" s="75" t="s">
        <v>232</v>
      </c>
      <c r="C1750" s="75" t="s">
        <v>2007</v>
      </c>
      <c r="D1750" s="76">
        <v>46072</v>
      </c>
      <c r="E1750" s="75" t="s">
        <v>948</v>
      </c>
      <c r="F1750" s="74">
        <v>2218.5</v>
      </c>
      <c r="G1750" s="75" t="s">
        <v>294</v>
      </c>
      <c r="H1750" s="77" t="str">
        <f>VLOOKUP(DESPESAS[[#This Row],[Plano de Contas]],BASE!$B$3:$D$119,3,FALSE)</f>
        <v>Insumos de Clientes</v>
      </c>
      <c r="I1750" s="77" t="str">
        <f>IFERROR(VLOOKUP(DESPESAS[[#This Row],[Fornecedor]],Tabela2[],2,FALSE),"")</f>
        <v/>
      </c>
      <c r="J1750" s="77" t="str">
        <f>IFERROR(VLOOKUP(DESPESAS[[#This Row],[Plano de Contas]],BASE!$B$3:$F$119,4,FALSE),"")</f>
        <v>8 - DESPESAS FINANCEIRAS</v>
      </c>
      <c r="K1750" s="77" t="str">
        <f>IFERROR(VLOOKUP(DESPESAS[[#This Row],[Plano de Contas]],BASE!$B$3:$H$119,5,FALSE),"")</f>
        <v>COMERCIAL</v>
      </c>
      <c r="L1750" s="77">
        <f>IFERROR(VLOOKUP(DESPESAS[[#This Row],[Plano de Contas]],BASE!$B$3:$H$119,6,FALSE),"")</f>
        <v>0</v>
      </c>
      <c r="M1750" s="77" t="str">
        <f>VLOOKUP(DESPESAS[[#This Row],[Plano de Contas]],BASE!$B$3:$H$119,7,FALSE)</f>
        <v>LETÍCIA</v>
      </c>
    </row>
    <row r="1751" spans="1:13" x14ac:dyDescent="0.25">
      <c r="A1751" s="74">
        <v>198488</v>
      </c>
      <c r="B1751" s="75" t="s">
        <v>232</v>
      </c>
      <c r="C1751" s="75" t="s">
        <v>2006</v>
      </c>
      <c r="D1751" s="76">
        <v>46072</v>
      </c>
      <c r="E1751" s="75" t="s">
        <v>2005</v>
      </c>
      <c r="F1751" s="74">
        <v>320.64999999999998</v>
      </c>
      <c r="G1751" s="75" t="s">
        <v>294</v>
      </c>
      <c r="H1751" s="77" t="str">
        <f>VLOOKUP(DESPESAS[[#This Row],[Plano de Contas]],BASE!$B$3:$D$119,3,FALSE)</f>
        <v>Insumos de Clientes</v>
      </c>
      <c r="I1751" s="77" t="str">
        <f>IFERROR(VLOOKUP(DESPESAS[[#This Row],[Fornecedor]],Tabela2[],2,FALSE),"")</f>
        <v/>
      </c>
      <c r="J1751" s="77" t="str">
        <f>IFERROR(VLOOKUP(DESPESAS[[#This Row],[Plano de Contas]],BASE!$B$3:$F$119,4,FALSE),"")</f>
        <v>8 - DESPESAS FINANCEIRAS</v>
      </c>
      <c r="K1751" s="77" t="str">
        <f>IFERROR(VLOOKUP(DESPESAS[[#This Row],[Plano de Contas]],BASE!$B$3:$H$119,5,FALSE),"")</f>
        <v>COMERCIAL</v>
      </c>
      <c r="L1751" s="77">
        <f>IFERROR(VLOOKUP(DESPESAS[[#This Row],[Plano de Contas]],BASE!$B$3:$H$119,6,FALSE),"")</f>
        <v>0</v>
      </c>
      <c r="M1751" s="77" t="str">
        <f>VLOOKUP(DESPESAS[[#This Row],[Plano de Contas]],BASE!$B$3:$H$119,7,FALSE)</f>
        <v>LETÍCIA</v>
      </c>
    </row>
    <row r="1752" spans="1:13" x14ac:dyDescent="0.25">
      <c r="A1752" s="74">
        <v>198489</v>
      </c>
      <c r="B1752" s="75" t="s">
        <v>232</v>
      </c>
      <c r="C1752" s="75" t="s">
        <v>2004</v>
      </c>
      <c r="D1752" s="76">
        <v>46072</v>
      </c>
      <c r="E1752" s="75" t="s">
        <v>596</v>
      </c>
      <c r="F1752" s="74">
        <v>4611</v>
      </c>
      <c r="G1752" s="75" t="s">
        <v>294</v>
      </c>
      <c r="H1752" s="77" t="str">
        <f>VLOOKUP(DESPESAS[[#This Row],[Plano de Contas]],BASE!$B$3:$D$119,3,FALSE)</f>
        <v>Insumos de Clientes</v>
      </c>
      <c r="I1752" s="77" t="str">
        <f>IFERROR(VLOOKUP(DESPESAS[[#This Row],[Fornecedor]],Tabela2[],2,FALSE),"")</f>
        <v/>
      </c>
      <c r="J1752" s="77" t="str">
        <f>IFERROR(VLOOKUP(DESPESAS[[#This Row],[Plano de Contas]],BASE!$B$3:$F$119,4,FALSE),"")</f>
        <v>8 - DESPESAS FINANCEIRAS</v>
      </c>
      <c r="K1752" s="77" t="str">
        <f>IFERROR(VLOOKUP(DESPESAS[[#This Row],[Plano de Contas]],BASE!$B$3:$H$119,5,FALSE),"")</f>
        <v>COMERCIAL</v>
      </c>
      <c r="L1752" s="77">
        <f>IFERROR(VLOOKUP(DESPESAS[[#This Row],[Plano de Contas]],BASE!$B$3:$H$119,6,FALSE),"")</f>
        <v>0</v>
      </c>
      <c r="M1752" s="77" t="str">
        <f>VLOOKUP(DESPESAS[[#This Row],[Plano de Contas]],BASE!$B$3:$H$119,7,FALSE)</f>
        <v>LETÍCIA</v>
      </c>
    </row>
    <row r="1753" spans="1:13" x14ac:dyDescent="0.25">
      <c r="A1753" s="74">
        <v>198490</v>
      </c>
      <c r="B1753" s="75" t="s">
        <v>221</v>
      </c>
      <c r="C1753" s="75" t="s">
        <v>2003</v>
      </c>
      <c r="D1753" s="76">
        <v>46072</v>
      </c>
      <c r="E1753" s="75" t="s">
        <v>256</v>
      </c>
      <c r="F1753" s="74">
        <v>119.96</v>
      </c>
      <c r="G1753" s="75" t="s">
        <v>255</v>
      </c>
      <c r="H1753" s="77" t="str">
        <f>VLOOKUP(DESPESAS[[#This Row],[Plano de Contas]],BASE!$B$3:$D$119,3,FALSE)</f>
        <v>Mostruário de Tecido</v>
      </c>
      <c r="I1753" s="77" t="str">
        <f>IFERROR(VLOOKUP(DESPESAS[[#This Row],[Fornecedor]],Tabela2[],2,FALSE),"")</f>
        <v/>
      </c>
      <c r="J1753" s="77" t="str">
        <f>IFERROR(VLOOKUP(DESPESAS[[#This Row],[Plano de Contas]],BASE!$B$3:$F$119,4,FALSE),"")</f>
        <v>6 - DESPESA COM VENDAS</v>
      </c>
      <c r="K1753" s="77" t="str">
        <f>IFERROR(VLOOKUP(DESPESAS[[#This Row],[Plano de Contas]],BASE!$B$3:$H$119,5,FALSE),"")</f>
        <v>COMERCIAL</v>
      </c>
      <c r="L1753" s="77">
        <f>IFERROR(VLOOKUP(DESPESAS[[#This Row],[Plano de Contas]],BASE!$B$3:$H$119,6,FALSE),"")</f>
        <v>0</v>
      </c>
      <c r="M1753" s="77" t="str">
        <f>VLOOKUP(DESPESAS[[#This Row],[Plano de Contas]],BASE!$B$3:$H$119,7,FALSE)</f>
        <v>LETÍCIA</v>
      </c>
    </row>
    <row r="1754" spans="1:13" x14ac:dyDescent="0.25">
      <c r="A1754" s="74">
        <v>198491</v>
      </c>
      <c r="B1754" s="75" t="s">
        <v>221</v>
      </c>
      <c r="C1754" s="75" t="s">
        <v>2002</v>
      </c>
      <c r="D1754" s="76">
        <v>46072</v>
      </c>
      <c r="E1754" s="75" t="s">
        <v>256</v>
      </c>
      <c r="F1754" s="74">
        <v>24</v>
      </c>
      <c r="G1754" s="75" t="s">
        <v>255</v>
      </c>
      <c r="H1754" s="77" t="str">
        <f>VLOOKUP(DESPESAS[[#This Row],[Plano de Contas]],BASE!$B$3:$D$119,3,FALSE)</f>
        <v>Mostruário de Tecido</v>
      </c>
      <c r="I1754" s="77" t="str">
        <f>IFERROR(VLOOKUP(DESPESAS[[#This Row],[Fornecedor]],Tabela2[],2,FALSE),"")</f>
        <v/>
      </c>
      <c r="J1754" s="77" t="str">
        <f>IFERROR(VLOOKUP(DESPESAS[[#This Row],[Plano de Contas]],BASE!$B$3:$F$119,4,FALSE),"")</f>
        <v>6 - DESPESA COM VENDAS</v>
      </c>
      <c r="K1754" s="77" t="str">
        <f>IFERROR(VLOOKUP(DESPESAS[[#This Row],[Plano de Contas]],BASE!$B$3:$H$119,5,FALSE),"")</f>
        <v>COMERCIAL</v>
      </c>
      <c r="L1754" s="77">
        <f>IFERROR(VLOOKUP(DESPESAS[[#This Row],[Plano de Contas]],BASE!$B$3:$H$119,6,FALSE),"")</f>
        <v>0</v>
      </c>
      <c r="M1754" s="77" t="str">
        <f>VLOOKUP(DESPESAS[[#This Row],[Plano de Contas]],BASE!$B$3:$H$119,7,FALSE)</f>
        <v>LETÍCIA</v>
      </c>
    </row>
    <row r="1755" spans="1:13" x14ac:dyDescent="0.25">
      <c r="A1755" s="74">
        <v>198492</v>
      </c>
      <c r="B1755" s="75" t="s">
        <v>221</v>
      </c>
      <c r="C1755" s="75" t="s">
        <v>2001</v>
      </c>
      <c r="D1755" s="76">
        <v>46072</v>
      </c>
      <c r="E1755" s="75" t="s">
        <v>256</v>
      </c>
      <c r="F1755" s="74">
        <v>1655.04</v>
      </c>
      <c r="G1755" s="75" t="s">
        <v>255</v>
      </c>
      <c r="H1755" s="77" t="str">
        <f>VLOOKUP(DESPESAS[[#This Row],[Plano de Contas]],BASE!$B$3:$D$119,3,FALSE)</f>
        <v>Mostruário de Tecido</v>
      </c>
      <c r="I1755" s="77" t="str">
        <f>IFERROR(VLOOKUP(DESPESAS[[#This Row],[Fornecedor]],Tabela2[],2,FALSE),"")</f>
        <v/>
      </c>
      <c r="J1755" s="77" t="str">
        <f>IFERROR(VLOOKUP(DESPESAS[[#This Row],[Plano de Contas]],BASE!$B$3:$F$119,4,FALSE),"")</f>
        <v>6 - DESPESA COM VENDAS</v>
      </c>
      <c r="K1755" s="77" t="str">
        <f>IFERROR(VLOOKUP(DESPESAS[[#This Row],[Plano de Contas]],BASE!$B$3:$H$119,5,FALSE),"")</f>
        <v>COMERCIAL</v>
      </c>
      <c r="L1755" s="77">
        <f>IFERROR(VLOOKUP(DESPESAS[[#This Row],[Plano de Contas]],BASE!$B$3:$H$119,6,FALSE),"")</f>
        <v>0</v>
      </c>
      <c r="M1755" s="77" t="str">
        <f>VLOOKUP(DESPESAS[[#This Row],[Plano de Contas]],BASE!$B$3:$H$119,7,FALSE)</f>
        <v>LETÍCIA</v>
      </c>
    </row>
    <row r="1756" spans="1:13" x14ac:dyDescent="0.25">
      <c r="A1756" s="74">
        <v>198493</v>
      </c>
      <c r="B1756" s="75" t="s">
        <v>221</v>
      </c>
      <c r="C1756" s="75" t="s">
        <v>2000</v>
      </c>
      <c r="D1756" s="76">
        <v>46072</v>
      </c>
      <c r="E1756" s="75" t="s">
        <v>1105</v>
      </c>
      <c r="F1756" s="74">
        <v>150</v>
      </c>
      <c r="G1756" s="75" t="s">
        <v>244</v>
      </c>
      <c r="H1756" s="77" t="str">
        <f>VLOOKUP(DESPESAS[[#This Row],[Plano de Contas]],BASE!$B$3:$D$119,3,FALSE)</f>
        <v>Material de Expediente (Prod)</v>
      </c>
      <c r="I1756" s="77" t="str">
        <f>IFERROR(VLOOKUP(DESPESAS[[#This Row],[Fornecedor]],Tabela2[],2,FALSE),"")</f>
        <v/>
      </c>
      <c r="J1756" s="77" t="str">
        <f>IFERROR(VLOOKUP(DESPESAS[[#This Row],[Plano de Contas]],BASE!$B$3:$F$119,4,FALSE),"")</f>
        <v>2 - CUSTOS DIRETOS</v>
      </c>
      <c r="K1756" s="77" t="str">
        <f>IFERROR(VLOOKUP(DESPESAS[[#This Row],[Plano de Contas]],BASE!$B$3:$H$119,5,FALSE),"")</f>
        <v>PRODUÇÃO</v>
      </c>
      <c r="L1756" s="77">
        <f>IFERROR(VLOOKUP(DESPESAS[[#This Row],[Plano de Contas]],BASE!$B$3:$H$119,6,FALSE),"")</f>
        <v>0</v>
      </c>
      <c r="M1756" s="77" t="str">
        <f>VLOOKUP(DESPESAS[[#This Row],[Plano de Contas]],BASE!$B$3:$H$119,7,FALSE)</f>
        <v>RAFAEL</v>
      </c>
    </row>
    <row r="1757" spans="1:13" x14ac:dyDescent="0.25">
      <c r="A1757" s="74">
        <v>198494</v>
      </c>
      <c r="B1757" s="75" t="s">
        <v>221</v>
      </c>
      <c r="C1757" s="75" t="s">
        <v>1999</v>
      </c>
      <c r="D1757" s="76">
        <v>46072</v>
      </c>
      <c r="E1757" s="75" t="s">
        <v>1022</v>
      </c>
      <c r="F1757" s="74">
        <v>509.92</v>
      </c>
      <c r="G1757" s="75" t="s">
        <v>480</v>
      </c>
      <c r="H1757" s="77" t="str">
        <f>VLOOKUP(DESPESAS[[#This Row],[Plano de Contas]],BASE!$B$3:$D$119,3,FALSE)</f>
        <v>Viagens e Estadias c/ Vendas</v>
      </c>
      <c r="I1757" s="77" t="str">
        <f>IFERROR(VLOOKUP(DESPESAS[[#This Row],[Fornecedor]],Tabela2[],2,FALSE),"")</f>
        <v/>
      </c>
      <c r="J1757" s="77" t="str">
        <f>IFERROR(VLOOKUP(DESPESAS[[#This Row],[Plano de Contas]],BASE!$B$3:$F$119,4,FALSE),"")</f>
        <v>6 - DESPESA COM VENDAS</v>
      </c>
      <c r="K1757" s="77" t="str">
        <f>IFERROR(VLOOKUP(DESPESAS[[#This Row],[Plano de Contas]],BASE!$B$3:$H$119,5,FALSE),"")</f>
        <v>COMERCIAL</v>
      </c>
      <c r="L1757" s="77">
        <f>IFERROR(VLOOKUP(DESPESAS[[#This Row],[Plano de Contas]],BASE!$B$3:$H$119,6,FALSE),"")</f>
        <v>0</v>
      </c>
      <c r="M1757" s="77" t="str">
        <f>VLOOKUP(DESPESAS[[#This Row],[Plano de Contas]],BASE!$B$3:$H$119,7,FALSE)</f>
        <v>LETÍCIA</v>
      </c>
    </row>
    <row r="1758" spans="1:13" x14ac:dyDescent="0.25">
      <c r="A1758" s="74">
        <v>198495</v>
      </c>
      <c r="B1758" s="75" t="s">
        <v>221</v>
      </c>
      <c r="C1758" s="75" t="s">
        <v>1998</v>
      </c>
      <c r="D1758" s="76">
        <v>46072</v>
      </c>
      <c r="E1758" s="75" t="s">
        <v>1025</v>
      </c>
      <c r="F1758" s="74">
        <v>466.6</v>
      </c>
      <c r="G1758" s="75" t="s">
        <v>480</v>
      </c>
      <c r="H1758" s="77" t="str">
        <f>VLOOKUP(DESPESAS[[#This Row],[Plano de Contas]],BASE!$B$3:$D$119,3,FALSE)</f>
        <v>Viagens e Estadias c/ Vendas</v>
      </c>
      <c r="I1758" s="77" t="str">
        <f>IFERROR(VLOOKUP(DESPESAS[[#This Row],[Fornecedor]],Tabela2[],2,FALSE),"")</f>
        <v/>
      </c>
      <c r="J1758" s="77" t="str">
        <f>IFERROR(VLOOKUP(DESPESAS[[#This Row],[Plano de Contas]],BASE!$B$3:$F$119,4,FALSE),"")</f>
        <v>6 - DESPESA COM VENDAS</v>
      </c>
      <c r="K1758" s="77" t="str">
        <f>IFERROR(VLOOKUP(DESPESAS[[#This Row],[Plano de Contas]],BASE!$B$3:$H$119,5,FALSE),"")</f>
        <v>COMERCIAL</v>
      </c>
      <c r="L1758" s="77">
        <f>IFERROR(VLOOKUP(DESPESAS[[#This Row],[Plano de Contas]],BASE!$B$3:$H$119,6,FALSE),"")</f>
        <v>0</v>
      </c>
      <c r="M1758" s="77" t="str">
        <f>VLOOKUP(DESPESAS[[#This Row],[Plano de Contas]],BASE!$B$3:$H$119,7,FALSE)</f>
        <v>LETÍCIA</v>
      </c>
    </row>
    <row r="1759" spans="1:13" x14ac:dyDescent="0.25">
      <c r="A1759" s="74">
        <v>198496</v>
      </c>
      <c r="B1759" s="75" t="s">
        <v>232</v>
      </c>
      <c r="C1759" s="75" t="s">
        <v>1997</v>
      </c>
      <c r="D1759" s="76">
        <v>46073</v>
      </c>
      <c r="E1759" s="75" t="s">
        <v>1996</v>
      </c>
      <c r="F1759" s="74">
        <v>540</v>
      </c>
      <c r="G1759" s="75" t="s">
        <v>259</v>
      </c>
      <c r="H1759" s="77" t="str">
        <f>VLOOKUP(DESPESAS[[#This Row],[Plano de Contas]],BASE!$B$3:$D$119,3,FALSE)</f>
        <v>Manutenção Predial CIF</v>
      </c>
      <c r="I1759" s="77" t="str">
        <f>IFERROR(VLOOKUP(DESPESAS[[#This Row],[Fornecedor]],Tabela2[],2,FALSE),"")</f>
        <v/>
      </c>
      <c r="J1759" s="77" t="str">
        <f>IFERROR(VLOOKUP(DESPESAS[[#This Row],[Plano de Contas]],BASE!$B$3:$F$119,4,FALSE),"")</f>
        <v>3 - CUSTOS INDIRETOS</v>
      </c>
      <c r="K1759" s="77" t="str">
        <f>IFERROR(VLOOKUP(DESPESAS[[#This Row],[Plano de Contas]],BASE!$B$3:$H$119,5,FALSE),"")</f>
        <v>MANUTENÇÃO / TI</v>
      </c>
      <c r="L1759" s="77">
        <f>IFERROR(VLOOKUP(DESPESAS[[#This Row],[Plano de Contas]],BASE!$B$3:$H$119,6,FALSE),"")</f>
        <v>0</v>
      </c>
      <c r="M1759" s="77" t="str">
        <f>VLOOKUP(DESPESAS[[#This Row],[Plano de Contas]],BASE!$B$3:$H$119,7,FALSE)</f>
        <v>FÁBIO</v>
      </c>
    </row>
    <row r="1760" spans="1:13" x14ac:dyDescent="0.25">
      <c r="A1760" s="74">
        <v>198497</v>
      </c>
      <c r="B1760" s="75" t="s">
        <v>232</v>
      </c>
      <c r="C1760" s="75" t="s">
        <v>1995</v>
      </c>
      <c r="D1760" s="76">
        <v>46072</v>
      </c>
      <c r="E1760" s="75" t="s">
        <v>230</v>
      </c>
      <c r="F1760" s="74">
        <v>26.07</v>
      </c>
      <c r="G1760" s="75" t="s">
        <v>229</v>
      </c>
      <c r="H1760" s="77" t="str">
        <f>VLOOKUP(DESPESAS[[#This Row],[Plano de Contas]],BASE!$B$3:$D$119,3,FALSE)</f>
        <v>Despesas Bancarias</v>
      </c>
      <c r="I1760" s="77" t="str">
        <f>IFERROR(VLOOKUP(DESPESAS[[#This Row],[Fornecedor]],Tabela2[],2,FALSE),"")</f>
        <v/>
      </c>
      <c r="J1760" s="77" t="str">
        <f>IFERROR(VLOOKUP(DESPESAS[[#This Row],[Plano de Contas]],BASE!$B$3:$F$119,4,FALSE),"")</f>
        <v>8 - DESPESAS FINANCEIRAS</v>
      </c>
      <c r="K1760" s="77" t="str">
        <f>IFERROR(VLOOKUP(DESPESAS[[#This Row],[Plano de Contas]],BASE!$B$3:$H$119,5,FALSE),"")</f>
        <v>FINANCEIRO</v>
      </c>
      <c r="L1760" s="77">
        <f>IFERROR(VLOOKUP(DESPESAS[[#This Row],[Plano de Contas]],BASE!$B$3:$H$119,6,FALSE),"")</f>
        <v>0</v>
      </c>
      <c r="M1760" s="77" t="str">
        <f>VLOOKUP(DESPESAS[[#This Row],[Plano de Contas]],BASE!$B$3:$H$119,7,FALSE)</f>
        <v>LETÍCIA</v>
      </c>
    </row>
    <row r="1761" spans="1:13" x14ac:dyDescent="0.25">
      <c r="A1761" s="74">
        <v>198498</v>
      </c>
      <c r="B1761" s="75" t="s">
        <v>232</v>
      </c>
      <c r="C1761" s="75" t="s">
        <v>1994</v>
      </c>
      <c r="D1761" s="76">
        <v>46073</v>
      </c>
      <c r="E1761" s="75" t="s">
        <v>230</v>
      </c>
      <c r="F1761" s="74">
        <v>3.73</v>
      </c>
      <c r="G1761" s="75" t="s">
        <v>229</v>
      </c>
      <c r="H1761" s="77" t="str">
        <f>VLOOKUP(DESPESAS[[#This Row],[Plano de Contas]],BASE!$B$3:$D$119,3,FALSE)</f>
        <v>Despesas Bancarias</v>
      </c>
      <c r="I1761" s="77" t="str">
        <f>IFERROR(VLOOKUP(DESPESAS[[#This Row],[Fornecedor]],Tabela2[],2,FALSE),"")</f>
        <v/>
      </c>
      <c r="J1761" s="77" t="str">
        <f>IFERROR(VLOOKUP(DESPESAS[[#This Row],[Plano de Contas]],BASE!$B$3:$F$119,4,FALSE),"")</f>
        <v>8 - DESPESAS FINANCEIRAS</v>
      </c>
      <c r="K1761" s="77" t="str">
        <f>IFERROR(VLOOKUP(DESPESAS[[#This Row],[Plano de Contas]],BASE!$B$3:$H$119,5,FALSE),"")</f>
        <v>FINANCEIRO</v>
      </c>
      <c r="L1761" s="77">
        <f>IFERROR(VLOOKUP(DESPESAS[[#This Row],[Plano de Contas]],BASE!$B$3:$H$119,6,FALSE),"")</f>
        <v>0</v>
      </c>
      <c r="M1761" s="77" t="str">
        <f>VLOOKUP(DESPESAS[[#This Row],[Plano de Contas]],BASE!$B$3:$H$119,7,FALSE)</f>
        <v>LETÍCIA</v>
      </c>
    </row>
    <row r="1762" spans="1:13" x14ac:dyDescent="0.25">
      <c r="A1762" s="74">
        <v>198499</v>
      </c>
      <c r="B1762" s="75" t="s">
        <v>232</v>
      </c>
      <c r="C1762" s="75" t="s">
        <v>1993</v>
      </c>
      <c r="D1762" s="76">
        <v>46072</v>
      </c>
      <c r="E1762" s="75" t="s">
        <v>230</v>
      </c>
      <c r="F1762" s="74">
        <v>8.69</v>
      </c>
      <c r="G1762" s="75" t="s">
        <v>251</v>
      </c>
      <c r="H1762" s="77" t="str">
        <f>VLOOKUP(DESPESAS[[#This Row],[Plano de Contas]],BASE!$B$3:$D$119,3,FALSE)</f>
        <v>Juros Pagos - Antecipação de Crédito</v>
      </c>
      <c r="I1762" s="77" t="str">
        <f>IFERROR(VLOOKUP(DESPESAS[[#This Row],[Fornecedor]],Tabela2[],2,FALSE),"")</f>
        <v/>
      </c>
      <c r="J1762" s="77" t="str">
        <f>IFERROR(VLOOKUP(DESPESAS[[#This Row],[Plano de Contas]],BASE!$B$3:$F$119,4,FALSE),"")</f>
        <v>8 - DESPESAS FINANCEIRAS</v>
      </c>
      <c r="K1762" s="77" t="str">
        <f>IFERROR(VLOOKUP(DESPESAS[[#This Row],[Plano de Contas]],BASE!$B$3:$H$119,5,FALSE),"")</f>
        <v>FINANCEIRO</v>
      </c>
      <c r="L1762" s="77">
        <f>IFERROR(VLOOKUP(DESPESAS[[#This Row],[Plano de Contas]],BASE!$B$3:$H$119,6,FALSE),"")</f>
        <v>0</v>
      </c>
      <c r="M1762" s="77" t="str">
        <f>VLOOKUP(DESPESAS[[#This Row],[Plano de Contas]],BASE!$B$3:$H$119,7,FALSE)</f>
        <v>LETÍCIA</v>
      </c>
    </row>
    <row r="1763" spans="1:13" x14ac:dyDescent="0.25">
      <c r="A1763" s="74">
        <v>198500</v>
      </c>
      <c r="B1763" s="75" t="s">
        <v>232</v>
      </c>
      <c r="C1763" s="75" t="s">
        <v>1992</v>
      </c>
      <c r="D1763" s="76">
        <v>46073</v>
      </c>
      <c r="E1763" s="75" t="s">
        <v>230</v>
      </c>
      <c r="F1763" s="74">
        <v>16.149999999999999</v>
      </c>
      <c r="G1763" s="75" t="s">
        <v>229</v>
      </c>
      <c r="H1763" s="77" t="str">
        <f>VLOOKUP(DESPESAS[[#This Row],[Plano de Contas]],BASE!$B$3:$D$119,3,FALSE)</f>
        <v>Despesas Bancarias</v>
      </c>
      <c r="I1763" s="77" t="str">
        <f>IFERROR(VLOOKUP(DESPESAS[[#This Row],[Fornecedor]],Tabela2[],2,FALSE),"")</f>
        <v/>
      </c>
      <c r="J1763" s="77" t="str">
        <f>IFERROR(VLOOKUP(DESPESAS[[#This Row],[Plano de Contas]],BASE!$B$3:$F$119,4,FALSE),"")</f>
        <v>8 - DESPESAS FINANCEIRAS</v>
      </c>
      <c r="K1763" s="77" t="str">
        <f>IFERROR(VLOOKUP(DESPESAS[[#This Row],[Plano de Contas]],BASE!$B$3:$H$119,5,FALSE),"")</f>
        <v>FINANCEIRO</v>
      </c>
      <c r="L1763" s="77">
        <f>IFERROR(VLOOKUP(DESPESAS[[#This Row],[Plano de Contas]],BASE!$B$3:$H$119,6,FALSE),"")</f>
        <v>0</v>
      </c>
      <c r="M1763" s="77" t="str">
        <f>VLOOKUP(DESPESAS[[#This Row],[Plano de Contas]],BASE!$B$3:$H$119,7,FALSE)</f>
        <v>LETÍCIA</v>
      </c>
    </row>
    <row r="1764" spans="1:13" x14ac:dyDescent="0.25">
      <c r="A1764" s="74">
        <v>198501</v>
      </c>
      <c r="B1764" s="75" t="s">
        <v>232</v>
      </c>
      <c r="C1764" s="75" t="s">
        <v>1991</v>
      </c>
      <c r="D1764" s="76">
        <v>46072</v>
      </c>
      <c r="E1764" s="75" t="s">
        <v>230</v>
      </c>
      <c r="F1764" s="74">
        <v>1.58</v>
      </c>
      <c r="G1764" s="75" t="s">
        <v>229</v>
      </c>
      <c r="H1764" s="77" t="str">
        <f>VLOOKUP(DESPESAS[[#This Row],[Plano de Contas]],BASE!$B$3:$D$119,3,FALSE)</f>
        <v>Despesas Bancarias</v>
      </c>
      <c r="I1764" s="77" t="str">
        <f>IFERROR(VLOOKUP(DESPESAS[[#This Row],[Fornecedor]],Tabela2[],2,FALSE),"")</f>
        <v/>
      </c>
      <c r="J1764" s="77" t="str">
        <f>IFERROR(VLOOKUP(DESPESAS[[#This Row],[Plano de Contas]],BASE!$B$3:$F$119,4,FALSE),"")</f>
        <v>8 - DESPESAS FINANCEIRAS</v>
      </c>
      <c r="K1764" s="77" t="str">
        <f>IFERROR(VLOOKUP(DESPESAS[[#This Row],[Plano de Contas]],BASE!$B$3:$H$119,5,FALSE),"")</f>
        <v>FINANCEIRO</v>
      </c>
      <c r="L1764" s="77">
        <f>IFERROR(VLOOKUP(DESPESAS[[#This Row],[Plano de Contas]],BASE!$B$3:$H$119,6,FALSE),"")</f>
        <v>0</v>
      </c>
      <c r="M1764" s="77" t="str">
        <f>VLOOKUP(DESPESAS[[#This Row],[Plano de Contas]],BASE!$B$3:$H$119,7,FALSE)</f>
        <v>LETÍCIA</v>
      </c>
    </row>
    <row r="1765" spans="1:13" x14ac:dyDescent="0.25">
      <c r="A1765" s="74">
        <v>198502</v>
      </c>
      <c r="B1765" s="75" t="s">
        <v>232</v>
      </c>
      <c r="C1765" s="75" t="s">
        <v>1990</v>
      </c>
      <c r="D1765" s="76">
        <v>46073</v>
      </c>
      <c r="E1765" s="75" t="s">
        <v>230</v>
      </c>
      <c r="F1765" s="74">
        <v>13.32</v>
      </c>
      <c r="G1765" s="75" t="s">
        <v>229</v>
      </c>
      <c r="H1765" s="77" t="str">
        <f>VLOOKUP(DESPESAS[[#This Row],[Plano de Contas]],BASE!$B$3:$D$119,3,FALSE)</f>
        <v>Despesas Bancarias</v>
      </c>
      <c r="I1765" s="77" t="str">
        <f>IFERROR(VLOOKUP(DESPESAS[[#This Row],[Fornecedor]],Tabela2[],2,FALSE),"")</f>
        <v/>
      </c>
      <c r="J1765" s="77" t="str">
        <f>IFERROR(VLOOKUP(DESPESAS[[#This Row],[Plano de Contas]],BASE!$B$3:$F$119,4,FALSE),"")</f>
        <v>8 - DESPESAS FINANCEIRAS</v>
      </c>
      <c r="K1765" s="77" t="str">
        <f>IFERROR(VLOOKUP(DESPESAS[[#This Row],[Plano de Contas]],BASE!$B$3:$H$119,5,FALSE),"")</f>
        <v>FINANCEIRO</v>
      </c>
      <c r="L1765" s="77">
        <f>IFERROR(VLOOKUP(DESPESAS[[#This Row],[Plano de Contas]],BASE!$B$3:$H$119,6,FALSE),"")</f>
        <v>0</v>
      </c>
      <c r="M1765" s="77" t="str">
        <f>VLOOKUP(DESPESAS[[#This Row],[Plano de Contas]],BASE!$B$3:$H$119,7,FALSE)</f>
        <v>LETÍCIA</v>
      </c>
    </row>
    <row r="1766" spans="1:13" x14ac:dyDescent="0.25">
      <c r="A1766" s="74">
        <v>198503</v>
      </c>
      <c r="B1766" s="75" t="s">
        <v>221</v>
      </c>
      <c r="C1766" s="75" t="s">
        <v>1989</v>
      </c>
      <c r="D1766" s="76">
        <v>46072</v>
      </c>
      <c r="E1766" s="75" t="s">
        <v>1394</v>
      </c>
      <c r="F1766" s="74">
        <v>1.9</v>
      </c>
      <c r="G1766" s="75" t="s">
        <v>229</v>
      </c>
      <c r="H1766" s="77" t="str">
        <f>VLOOKUP(DESPESAS[[#This Row],[Plano de Contas]],BASE!$B$3:$D$119,3,FALSE)</f>
        <v>Despesas Bancarias</v>
      </c>
      <c r="I1766" s="77" t="str">
        <f>IFERROR(VLOOKUP(DESPESAS[[#This Row],[Fornecedor]],Tabela2[],2,FALSE),"")</f>
        <v/>
      </c>
      <c r="J1766" s="77" t="str">
        <f>IFERROR(VLOOKUP(DESPESAS[[#This Row],[Plano de Contas]],BASE!$B$3:$F$119,4,FALSE),"")</f>
        <v>8 - DESPESAS FINANCEIRAS</v>
      </c>
      <c r="K1766" s="77" t="str">
        <f>IFERROR(VLOOKUP(DESPESAS[[#This Row],[Plano de Contas]],BASE!$B$3:$H$119,5,FALSE),"")</f>
        <v>FINANCEIRO</v>
      </c>
      <c r="L1766" s="77">
        <f>IFERROR(VLOOKUP(DESPESAS[[#This Row],[Plano de Contas]],BASE!$B$3:$H$119,6,FALSE),"")</f>
        <v>0</v>
      </c>
      <c r="M1766" s="77" t="str">
        <f>VLOOKUP(DESPESAS[[#This Row],[Plano de Contas]],BASE!$B$3:$H$119,7,FALSE)</f>
        <v>LETÍCIA</v>
      </c>
    </row>
    <row r="1767" spans="1:13" x14ac:dyDescent="0.25">
      <c r="A1767" s="74">
        <v>198536</v>
      </c>
      <c r="B1767" s="75" t="s">
        <v>232</v>
      </c>
      <c r="C1767" s="75" t="s">
        <v>1988</v>
      </c>
      <c r="D1767" s="76">
        <v>46078</v>
      </c>
      <c r="E1767" s="75" t="s">
        <v>260</v>
      </c>
      <c r="F1767" s="74">
        <v>440</v>
      </c>
      <c r="G1767" s="75" t="s">
        <v>244</v>
      </c>
      <c r="H1767" s="77" t="str">
        <f>VLOOKUP(DESPESAS[[#This Row],[Plano de Contas]],BASE!$B$3:$D$119,3,FALSE)</f>
        <v>Material de Expediente (Prod)</v>
      </c>
      <c r="I1767" s="77" t="str">
        <f>IFERROR(VLOOKUP(DESPESAS[[#This Row],[Fornecedor]],Tabela2[],2,FALSE),"")</f>
        <v>PEÇAS DE FERRAMENTAS</v>
      </c>
      <c r="J1767" s="77" t="str">
        <f>IFERROR(VLOOKUP(DESPESAS[[#This Row],[Plano de Contas]],BASE!$B$3:$F$119,4,FALSE),"")</f>
        <v>2 - CUSTOS DIRETOS</v>
      </c>
      <c r="K1767" s="77" t="str">
        <f>IFERROR(VLOOKUP(DESPESAS[[#This Row],[Plano de Contas]],BASE!$B$3:$H$119,5,FALSE),"")</f>
        <v>PRODUÇÃO</v>
      </c>
      <c r="L1767" s="77">
        <f>IFERROR(VLOOKUP(DESPESAS[[#This Row],[Plano de Contas]],BASE!$B$3:$H$119,6,FALSE),"")</f>
        <v>0</v>
      </c>
      <c r="M1767" s="77" t="str">
        <f>VLOOKUP(DESPESAS[[#This Row],[Plano de Contas]],BASE!$B$3:$H$119,7,FALSE)</f>
        <v>RAFAEL</v>
      </c>
    </row>
    <row r="1768" spans="1:13" x14ac:dyDescent="0.25">
      <c r="A1768" s="74">
        <v>198537</v>
      </c>
      <c r="B1768" s="75" t="s">
        <v>221</v>
      </c>
      <c r="C1768" s="75" t="s">
        <v>1987</v>
      </c>
      <c r="D1768" s="76">
        <v>46073</v>
      </c>
      <c r="E1768" s="75" t="s">
        <v>338</v>
      </c>
      <c r="F1768" s="74">
        <v>29</v>
      </c>
      <c r="G1768" s="75" t="s">
        <v>259</v>
      </c>
      <c r="H1768" s="77" t="str">
        <f>VLOOKUP(DESPESAS[[#This Row],[Plano de Contas]],BASE!$B$3:$D$119,3,FALSE)</f>
        <v>Manutenção Predial CIF</v>
      </c>
      <c r="I1768" s="77" t="str">
        <f>IFERROR(VLOOKUP(DESPESAS[[#This Row],[Fornecedor]],Tabela2[],2,FALSE),"")</f>
        <v/>
      </c>
      <c r="J1768" s="77" t="str">
        <f>IFERROR(VLOOKUP(DESPESAS[[#This Row],[Plano de Contas]],BASE!$B$3:$F$119,4,FALSE),"")</f>
        <v>3 - CUSTOS INDIRETOS</v>
      </c>
      <c r="K1768" s="77" t="str">
        <f>IFERROR(VLOOKUP(DESPESAS[[#This Row],[Plano de Contas]],BASE!$B$3:$H$119,5,FALSE),"")</f>
        <v>MANUTENÇÃO / TI</v>
      </c>
      <c r="L1768" s="77">
        <f>IFERROR(VLOOKUP(DESPESAS[[#This Row],[Plano de Contas]],BASE!$B$3:$H$119,6,FALSE),"")</f>
        <v>0</v>
      </c>
      <c r="M1768" s="77" t="str">
        <f>VLOOKUP(DESPESAS[[#This Row],[Plano de Contas]],BASE!$B$3:$H$119,7,FALSE)</f>
        <v>FÁBIO</v>
      </c>
    </row>
    <row r="1769" spans="1:13" x14ac:dyDescent="0.25">
      <c r="A1769" s="74">
        <v>198538</v>
      </c>
      <c r="B1769" s="75" t="s">
        <v>221</v>
      </c>
      <c r="C1769" s="75" t="s">
        <v>1986</v>
      </c>
      <c r="D1769" s="76">
        <v>46073</v>
      </c>
      <c r="E1769" s="75" t="s">
        <v>287</v>
      </c>
      <c r="F1769" s="74">
        <v>444</v>
      </c>
      <c r="G1769" s="75" t="s">
        <v>247</v>
      </c>
      <c r="H1769" s="77" t="str">
        <f>VLOOKUP(DESPESAS[[#This Row],[Plano de Contas]],BASE!$B$3:$D$119,3,FALSE)</f>
        <v>Manutenção com veiculos</v>
      </c>
      <c r="I1769" s="77" t="str">
        <f>IFERROR(VLOOKUP(DESPESAS[[#This Row],[Fornecedor]],Tabela2[],2,FALSE),"")</f>
        <v/>
      </c>
      <c r="J1769" s="77" t="str">
        <f>IFERROR(VLOOKUP(DESPESAS[[#This Row],[Plano de Contas]],BASE!$B$3:$F$119,4,FALSE),"")</f>
        <v>6 - DESPESA COM VENDAS</v>
      </c>
      <c r="K1769" s="77" t="str">
        <f>IFERROR(VLOOKUP(DESPESAS[[#This Row],[Plano de Contas]],BASE!$B$3:$H$119,5,FALSE),"")</f>
        <v>LOGÍSTICA</v>
      </c>
      <c r="L1769" s="77">
        <f>IFERROR(VLOOKUP(DESPESAS[[#This Row],[Plano de Contas]],BASE!$B$3:$H$119,6,FALSE),"")</f>
        <v>0</v>
      </c>
      <c r="M1769" s="77" t="str">
        <f>VLOOKUP(DESPESAS[[#This Row],[Plano de Contas]],BASE!$B$3:$H$119,7,FALSE)</f>
        <v>MYLENA</v>
      </c>
    </row>
    <row r="1770" spans="1:13" x14ac:dyDescent="0.25">
      <c r="A1770" s="74">
        <v>198543</v>
      </c>
      <c r="B1770" s="75" t="s">
        <v>232</v>
      </c>
      <c r="C1770" s="75" t="s">
        <v>1985</v>
      </c>
      <c r="D1770" s="76">
        <v>46073</v>
      </c>
      <c r="E1770" s="75" t="s">
        <v>415</v>
      </c>
      <c r="F1770" s="74">
        <v>900</v>
      </c>
      <c r="G1770" s="75" t="s">
        <v>259</v>
      </c>
      <c r="H1770" s="77" t="str">
        <f>VLOOKUP(DESPESAS[[#This Row],[Plano de Contas]],BASE!$B$3:$D$119,3,FALSE)</f>
        <v>Manutenção Predial CIF</v>
      </c>
      <c r="I1770" s="77" t="str">
        <f>IFERROR(VLOOKUP(DESPESAS[[#This Row],[Fornecedor]],Tabela2[],2,FALSE),"")</f>
        <v/>
      </c>
      <c r="J1770" s="77" t="str">
        <f>IFERROR(VLOOKUP(DESPESAS[[#This Row],[Plano de Contas]],BASE!$B$3:$F$119,4,FALSE),"")</f>
        <v>3 - CUSTOS INDIRETOS</v>
      </c>
      <c r="K1770" s="77" t="str">
        <f>IFERROR(VLOOKUP(DESPESAS[[#This Row],[Plano de Contas]],BASE!$B$3:$H$119,5,FALSE),"")</f>
        <v>MANUTENÇÃO / TI</v>
      </c>
      <c r="L1770" s="77">
        <f>IFERROR(VLOOKUP(DESPESAS[[#This Row],[Plano de Contas]],BASE!$B$3:$H$119,6,FALSE),"")</f>
        <v>0</v>
      </c>
      <c r="M1770" s="77" t="str">
        <f>VLOOKUP(DESPESAS[[#This Row],[Plano de Contas]],BASE!$B$3:$H$119,7,FALSE)</f>
        <v>FÁBIO</v>
      </c>
    </row>
    <row r="1771" spans="1:13" x14ac:dyDescent="0.25">
      <c r="A1771" s="74">
        <v>198544</v>
      </c>
      <c r="B1771" s="75" t="s">
        <v>232</v>
      </c>
      <c r="C1771" s="75" t="s">
        <v>1984</v>
      </c>
      <c r="D1771" s="76">
        <v>46073</v>
      </c>
      <c r="E1771" s="75" t="s">
        <v>1983</v>
      </c>
      <c r="F1771" s="74">
        <v>940</v>
      </c>
      <c r="G1771" s="75" t="s">
        <v>259</v>
      </c>
      <c r="H1771" s="77" t="str">
        <f>VLOOKUP(DESPESAS[[#This Row],[Plano de Contas]],BASE!$B$3:$D$119,3,FALSE)</f>
        <v>Manutenção Predial CIF</v>
      </c>
      <c r="I1771" s="77" t="str">
        <f>IFERROR(VLOOKUP(DESPESAS[[#This Row],[Fornecedor]],Tabela2[],2,FALSE),"")</f>
        <v/>
      </c>
      <c r="J1771" s="77" t="str">
        <f>IFERROR(VLOOKUP(DESPESAS[[#This Row],[Plano de Contas]],BASE!$B$3:$F$119,4,FALSE),"")</f>
        <v>3 - CUSTOS INDIRETOS</v>
      </c>
      <c r="K1771" s="77" t="str">
        <f>IFERROR(VLOOKUP(DESPESAS[[#This Row],[Plano de Contas]],BASE!$B$3:$H$119,5,FALSE),"")</f>
        <v>MANUTENÇÃO / TI</v>
      </c>
      <c r="L1771" s="77">
        <f>IFERROR(VLOOKUP(DESPESAS[[#This Row],[Plano de Contas]],BASE!$B$3:$H$119,6,FALSE),"")</f>
        <v>0</v>
      </c>
      <c r="M1771" s="77" t="str">
        <f>VLOOKUP(DESPESAS[[#This Row],[Plano de Contas]],BASE!$B$3:$H$119,7,FALSE)</f>
        <v>FÁBIO</v>
      </c>
    </row>
    <row r="1772" spans="1:13" x14ac:dyDescent="0.25">
      <c r="A1772" s="74">
        <v>198545</v>
      </c>
      <c r="B1772" s="75" t="s">
        <v>232</v>
      </c>
      <c r="C1772" s="75" t="s">
        <v>1982</v>
      </c>
      <c r="D1772" s="76">
        <v>46073</v>
      </c>
      <c r="E1772" s="75" t="s">
        <v>1372</v>
      </c>
      <c r="F1772" s="74">
        <v>2100</v>
      </c>
      <c r="G1772" s="75" t="s">
        <v>247</v>
      </c>
      <c r="H1772" s="77" t="str">
        <f>VLOOKUP(DESPESAS[[#This Row],[Plano de Contas]],BASE!$B$3:$D$119,3,FALSE)</f>
        <v>Manutenção com veiculos</v>
      </c>
      <c r="I1772" s="77" t="str">
        <f>IFERROR(VLOOKUP(DESPESAS[[#This Row],[Fornecedor]],Tabela2[],2,FALSE),"")</f>
        <v/>
      </c>
      <c r="J1772" s="77" t="str">
        <f>IFERROR(VLOOKUP(DESPESAS[[#This Row],[Plano de Contas]],BASE!$B$3:$F$119,4,FALSE),"")</f>
        <v>6 - DESPESA COM VENDAS</v>
      </c>
      <c r="K1772" s="77" t="str">
        <f>IFERROR(VLOOKUP(DESPESAS[[#This Row],[Plano de Contas]],BASE!$B$3:$H$119,5,FALSE),"")</f>
        <v>LOGÍSTICA</v>
      </c>
      <c r="L1772" s="77">
        <f>IFERROR(VLOOKUP(DESPESAS[[#This Row],[Plano de Contas]],BASE!$B$3:$H$119,6,FALSE),"")</f>
        <v>0</v>
      </c>
      <c r="M1772" s="77" t="str">
        <f>VLOOKUP(DESPESAS[[#This Row],[Plano de Contas]],BASE!$B$3:$H$119,7,FALSE)</f>
        <v>MYLENA</v>
      </c>
    </row>
    <row r="1773" spans="1:13" x14ac:dyDescent="0.25">
      <c r="A1773" s="74">
        <v>198546</v>
      </c>
      <c r="B1773" s="75" t="s">
        <v>221</v>
      </c>
      <c r="C1773" s="75" t="s">
        <v>1981</v>
      </c>
      <c r="D1773" s="76">
        <v>46073</v>
      </c>
      <c r="E1773" s="75" t="s">
        <v>307</v>
      </c>
      <c r="F1773" s="74">
        <v>22</v>
      </c>
      <c r="G1773" s="75" t="s">
        <v>218</v>
      </c>
      <c r="H1773" s="77" t="str">
        <f>VLOOKUP(DESPESAS[[#This Row],[Plano de Contas]],BASE!$B$3:$D$119,3,FALSE)</f>
        <v>Manutenção de Equipamentos (Prod)</v>
      </c>
      <c r="I1773" s="77" t="str">
        <f>IFERROR(VLOOKUP(DESPESAS[[#This Row],[Fornecedor]],Tabela2[],2,FALSE),"")</f>
        <v>FERRAGENS GERAIS</v>
      </c>
      <c r="J1773" s="77" t="str">
        <f>IFERROR(VLOOKUP(DESPESAS[[#This Row],[Plano de Contas]],BASE!$B$3:$F$119,4,FALSE),"")</f>
        <v>3 - CUSTOS INDIRETOS</v>
      </c>
      <c r="K1773" s="77" t="str">
        <f>IFERROR(VLOOKUP(DESPESAS[[#This Row],[Plano de Contas]],BASE!$B$3:$H$119,5,FALSE),"")</f>
        <v>MANUTENÇÃO / TI</v>
      </c>
      <c r="L1773" s="77">
        <f>IFERROR(VLOOKUP(DESPESAS[[#This Row],[Plano de Contas]],BASE!$B$3:$H$119,6,FALSE),"")</f>
        <v>0</v>
      </c>
      <c r="M1773" s="77" t="str">
        <f>VLOOKUP(DESPESAS[[#This Row],[Plano de Contas]],BASE!$B$3:$H$119,7,FALSE)</f>
        <v>RAFAEL</v>
      </c>
    </row>
    <row r="1774" spans="1:13" x14ac:dyDescent="0.25">
      <c r="A1774" s="74">
        <v>198547</v>
      </c>
      <c r="B1774" s="75" t="s">
        <v>232</v>
      </c>
      <c r="C1774" s="75" t="s">
        <v>1980</v>
      </c>
      <c r="D1774" s="76">
        <v>46073</v>
      </c>
      <c r="E1774" s="75" t="s">
        <v>607</v>
      </c>
      <c r="F1774" s="74">
        <v>1036.76</v>
      </c>
      <c r="G1774" s="75" t="s">
        <v>244</v>
      </c>
      <c r="H1774" s="77" t="str">
        <f>VLOOKUP(DESPESAS[[#This Row],[Plano de Contas]],BASE!$B$3:$D$119,3,FALSE)</f>
        <v>Material de Expediente (Prod)</v>
      </c>
      <c r="I1774" s="77" t="str">
        <f>IFERROR(VLOOKUP(DESPESAS[[#This Row],[Fornecedor]],Tabela2[],2,FALSE),"")</f>
        <v>FERRAGENS GERAIS</v>
      </c>
      <c r="J1774" s="77" t="str">
        <f>IFERROR(VLOOKUP(DESPESAS[[#This Row],[Plano de Contas]],BASE!$B$3:$F$119,4,FALSE),"")</f>
        <v>2 - CUSTOS DIRETOS</v>
      </c>
      <c r="K1774" s="77" t="str">
        <f>IFERROR(VLOOKUP(DESPESAS[[#This Row],[Plano de Contas]],BASE!$B$3:$H$119,5,FALSE),"")</f>
        <v>PRODUÇÃO</v>
      </c>
      <c r="L1774" s="77">
        <f>IFERROR(VLOOKUP(DESPESAS[[#This Row],[Plano de Contas]],BASE!$B$3:$H$119,6,FALSE),"")</f>
        <v>0</v>
      </c>
      <c r="M1774" s="77" t="str">
        <f>VLOOKUP(DESPESAS[[#This Row],[Plano de Contas]],BASE!$B$3:$H$119,7,FALSE)</f>
        <v>RAFAEL</v>
      </c>
    </row>
    <row r="1775" spans="1:13" x14ac:dyDescent="0.25">
      <c r="A1775" s="74">
        <v>198548</v>
      </c>
      <c r="B1775" s="75" t="s">
        <v>232</v>
      </c>
      <c r="C1775" s="75" t="s">
        <v>1979</v>
      </c>
      <c r="D1775" s="76">
        <v>46070</v>
      </c>
      <c r="E1775" s="75" t="s">
        <v>391</v>
      </c>
      <c r="F1775" s="74">
        <v>793.5</v>
      </c>
      <c r="G1775" s="75" t="s">
        <v>241</v>
      </c>
      <c r="H1775" s="77" t="str">
        <f>VLOOKUP(DESPESAS[[#This Row],[Plano de Contas]],BASE!$B$3:$D$119,3,FALSE)</f>
        <v>Combustiveis Frota</v>
      </c>
      <c r="I1775" s="77" t="str">
        <f>IFERROR(VLOOKUP(DESPESAS[[#This Row],[Fornecedor]],Tabela2[],2,FALSE),"")</f>
        <v/>
      </c>
      <c r="J1775" s="77" t="str">
        <f>IFERROR(VLOOKUP(DESPESAS[[#This Row],[Plano de Contas]],BASE!$B$3:$F$119,4,FALSE),"")</f>
        <v>6 - DESPESA COM VENDAS</v>
      </c>
      <c r="K1775" s="77" t="str">
        <f>IFERROR(VLOOKUP(DESPESAS[[#This Row],[Plano de Contas]],BASE!$B$3:$H$119,5,FALSE),"")</f>
        <v>LOGÍSTICA</v>
      </c>
      <c r="L1775" s="77">
        <f>IFERROR(VLOOKUP(DESPESAS[[#This Row],[Plano de Contas]],BASE!$B$3:$H$119,6,FALSE),"")</f>
        <v>0</v>
      </c>
      <c r="M1775" s="77" t="str">
        <f>VLOOKUP(DESPESAS[[#This Row],[Plano de Contas]],BASE!$B$3:$H$119,7,FALSE)</f>
        <v>MYLENA</v>
      </c>
    </row>
    <row r="1776" spans="1:13" x14ac:dyDescent="0.25">
      <c r="A1776" s="74">
        <v>198549</v>
      </c>
      <c r="B1776" s="75" t="s">
        <v>232</v>
      </c>
      <c r="C1776" s="75" t="s">
        <v>1978</v>
      </c>
      <c r="D1776" s="76">
        <v>46073</v>
      </c>
      <c r="E1776" s="75" t="s">
        <v>391</v>
      </c>
      <c r="F1776" s="74">
        <v>575</v>
      </c>
      <c r="G1776" s="75" t="s">
        <v>241</v>
      </c>
      <c r="H1776" s="77" t="str">
        <f>VLOOKUP(DESPESAS[[#This Row],[Plano de Contas]],BASE!$B$3:$D$119,3,FALSE)</f>
        <v>Combustiveis Frota</v>
      </c>
      <c r="I1776" s="77" t="str">
        <f>IFERROR(VLOOKUP(DESPESAS[[#This Row],[Fornecedor]],Tabela2[],2,FALSE),"")</f>
        <v/>
      </c>
      <c r="J1776" s="77" t="str">
        <f>IFERROR(VLOOKUP(DESPESAS[[#This Row],[Plano de Contas]],BASE!$B$3:$F$119,4,FALSE),"")</f>
        <v>6 - DESPESA COM VENDAS</v>
      </c>
      <c r="K1776" s="77" t="str">
        <f>IFERROR(VLOOKUP(DESPESAS[[#This Row],[Plano de Contas]],BASE!$B$3:$H$119,5,FALSE),"")</f>
        <v>LOGÍSTICA</v>
      </c>
      <c r="L1776" s="77">
        <f>IFERROR(VLOOKUP(DESPESAS[[#This Row],[Plano de Contas]],BASE!$B$3:$H$119,6,FALSE),"")</f>
        <v>0</v>
      </c>
      <c r="M1776" s="77" t="str">
        <f>VLOOKUP(DESPESAS[[#This Row],[Plano de Contas]],BASE!$B$3:$H$119,7,FALSE)</f>
        <v>MYLENA</v>
      </c>
    </row>
    <row r="1777" spans="1:13" x14ac:dyDescent="0.25">
      <c r="A1777" s="74">
        <v>198550</v>
      </c>
      <c r="B1777" s="75" t="s">
        <v>232</v>
      </c>
      <c r="C1777" s="75" t="s">
        <v>1977</v>
      </c>
      <c r="D1777" s="76">
        <v>46073</v>
      </c>
      <c r="E1777" s="75" t="s">
        <v>1974</v>
      </c>
      <c r="F1777" s="74">
        <v>127.37</v>
      </c>
      <c r="G1777" s="75" t="s">
        <v>326</v>
      </c>
      <c r="H1777" s="77" t="str">
        <f>VLOOKUP(DESPESAS[[#This Row],[Plano de Contas]],BASE!$B$3:$D$119,3,FALSE)</f>
        <v>Frete sobre Compras</v>
      </c>
      <c r="I1777" s="77" t="str">
        <f>IFERROR(VLOOKUP(DESPESAS[[#This Row],[Fornecedor]],Tabela2[],2,FALSE),"")</f>
        <v/>
      </c>
      <c r="J1777" s="77" t="str">
        <f>IFERROR(VLOOKUP(DESPESAS[[#This Row],[Plano de Contas]],BASE!$B$3:$F$119,4,FALSE),"")</f>
        <v>1 - CPV</v>
      </c>
      <c r="K1777" s="77" t="str">
        <f>IFERROR(VLOOKUP(DESPESAS[[#This Row],[Plano de Contas]],BASE!$B$3:$H$119,5,FALSE),"")</f>
        <v>COMPRAS</v>
      </c>
      <c r="L1777" s="77">
        <f>IFERROR(VLOOKUP(DESPESAS[[#This Row],[Plano de Contas]],BASE!$B$3:$H$119,6,FALSE),"")</f>
        <v>0</v>
      </c>
      <c r="M1777" s="77" t="str">
        <f>VLOOKUP(DESPESAS[[#This Row],[Plano de Contas]],BASE!$B$3:$H$119,7,FALSE)</f>
        <v>MYLENA</v>
      </c>
    </row>
    <row r="1778" spans="1:13" x14ac:dyDescent="0.25">
      <c r="A1778" s="74">
        <v>198551</v>
      </c>
      <c r="B1778" s="75" t="s">
        <v>232</v>
      </c>
      <c r="C1778" s="75" t="s">
        <v>1976</v>
      </c>
      <c r="D1778" s="76">
        <v>46065</v>
      </c>
      <c r="E1778" s="75" t="s">
        <v>1974</v>
      </c>
      <c r="F1778" s="74">
        <v>110.53</v>
      </c>
      <c r="G1778" s="75" t="s">
        <v>326</v>
      </c>
      <c r="H1778" s="77" t="str">
        <f>VLOOKUP(DESPESAS[[#This Row],[Plano de Contas]],BASE!$B$3:$D$119,3,FALSE)</f>
        <v>Frete sobre Compras</v>
      </c>
      <c r="I1778" s="77" t="str">
        <f>IFERROR(VLOOKUP(DESPESAS[[#This Row],[Fornecedor]],Tabela2[],2,FALSE),"")</f>
        <v/>
      </c>
      <c r="J1778" s="77" t="str">
        <f>IFERROR(VLOOKUP(DESPESAS[[#This Row],[Plano de Contas]],BASE!$B$3:$F$119,4,FALSE),"")</f>
        <v>1 - CPV</v>
      </c>
      <c r="K1778" s="77" t="str">
        <f>IFERROR(VLOOKUP(DESPESAS[[#This Row],[Plano de Contas]],BASE!$B$3:$H$119,5,FALSE),"")</f>
        <v>COMPRAS</v>
      </c>
      <c r="L1778" s="77">
        <f>IFERROR(VLOOKUP(DESPESAS[[#This Row],[Plano de Contas]],BASE!$B$3:$H$119,6,FALSE),"")</f>
        <v>0</v>
      </c>
      <c r="M1778" s="77" t="str">
        <f>VLOOKUP(DESPESAS[[#This Row],[Plano de Contas]],BASE!$B$3:$H$119,7,FALSE)</f>
        <v>MYLENA</v>
      </c>
    </row>
    <row r="1779" spans="1:13" x14ac:dyDescent="0.25">
      <c r="A1779" s="74">
        <v>198552</v>
      </c>
      <c r="B1779" s="75" t="s">
        <v>232</v>
      </c>
      <c r="C1779" s="75" t="s">
        <v>1975</v>
      </c>
      <c r="D1779" s="76">
        <v>46065</v>
      </c>
      <c r="E1779" s="75" t="s">
        <v>1974</v>
      </c>
      <c r="F1779" s="74">
        <v>116.65</v>
      </c>
      <c r="G1779" s="75" t="s">
        <v>326</v>
      </c>
      <c r="H1779" s="77" t="str">
        <f>VLOOKUP(DESPESAS[[#This Row],[Plano de Contas]],BASE!$B$3:$D$119,3,FALSE)</f>
        <v>Frete sobre Compras</v>
      </c>
      <c r="I1779" s="77" t="str">
        <f>IFERROR(VLOOKUP(DESPESAS[[#This Row],[Fornecedor]],Tabela2[],2,FALSE),"")</f>
        <v/>
      </c>
      <c r="J1779" s="77" t="str">
        <f>IFERROR(VLOOKUP(DESPESAS[[#This Row],[Plano de Contas]],BASE!$B$3:$F$119,4,FALSE),"")</f>
        <v>1 - CPV</v>
      </c>
      <c r="K1779" s="77" t="str">
        <f>IFERROR(VLOOKUP(DESPESAS[[#This Row],[Plano de Contas]],BASE!$B$3:$H$119,5,FALSE),"")</f>
        <v>COMPRAS</v>
      </c>
      <c r="L1779" s="77">
        <f>IFERROR(VLOOKUP(DESPESAS[[#This Row],[Plano de Contas]],BASE!$B$3:$H$119,6,FALSE),"")</f>
        <v>0</v>
      </c>
      <c r="M1779" s="77" t="str">
        <f>VLOOKUP(DESPESAS[[#This Row],[Plano de Contas]],BASE!$B$3:$H$119,7,FALSE)</f>
        <v>MYLENA</v>
      </c>
    </row>
    <row r="1780" spans="1:13" x14ac:dyDescent="0.25">
      <c r="A1780" s="74">
        <v>198553</v>
      </c>
      <c r="B1780" s="75" t="s">
        <v>221</v>
      </c>
      <c r="C1780" s="75" t="s">
        <v>1973</v>
      </c>
      <c r="D1780" s="76">
        <v>46073</v>
      </c>
      <c r="E1780" s="75" t="s">
        <v>287</v>
      </c>
      <c r="F1780" s="74">
        <v>91</v>
      </c>
      <c r="G1780" s="75" t="s">
        <v>247</v>
      </c>
      <c r="H1780" s="77" t="str">
        <f>VLOOKUP(DESPESAS[[#This Row],[Plano de Contas]],BASE!$B$3:$D$119,3,FALSE)</f>
        <v>Manutenção com veiculos</v>
      </c>
      <c r="I1780" s="77" t="str">
        <f>IFERROR(VLOOKUP(DESPESAS[[#This Row],[Fornecedor]],Tabela2[],2,FALSE),"")</f>
        <v/>
      </c>
      <c r="J1780" s="77" t="str">
        <f>IFERROR(VLOOKUP(DESPESAS[[#This Row],[Plano de Contas]],BASE!$B$3:$F$119,4,FALSE),"")</f>
        <v>6 - DESPESA COM VENDAS</v>
      </c>
      <c r="K1780" s="77" t="str">
        <f>IFERROR(VLOOKUP(DESPESAS[[#This Row],[Plano de Contas]],BASE!$B$3:$H$119,5,FALSE),"")</f>
        <v>LOGÍSTICA</v>
      </c>
      <c r="L1780" s="77">
        <f>IFERROR(VLOOKUP(DESPESAS[[#This Row],[Plano de Contas]],BASE!$B$3:$H$119,6,FALSE),"")</f>
        <v>0</v>
      </c>
      <c r="M1780" s="77" t="str">
        <f>VLOOKUP(DESPESAS[[#This Row],[Plano de Contas]],BASE!$B$3:$H$119,7,FALSE)</f>
        <v>MYLENA</v>
      </c>
    </row>
    <row r="1781" spans="1:13" x14ac:dyDescent="0.25">
      <c r="A1781" s="74">
        <v>198554</v>
      </c>
      <c r="B1781" s="75" t="s">
        <v>232</v>
      </c>
      <c r="C1781" s="75" t="s">
        <v>1972</v>
      </c>
      <c r="D1781" s="76">
        <v>46073</v>
      </c>
      <c r="E1781" s="75" t="s">
        <v>230</v>
      </c>
      <c r="F1781" s="74">
        <v>821.91</v>
      </c>
      <c r="G1781" s="75" t="s">
        <v>229</v>
      </c>
      <c r="H1781" s="77" t="str">
        <f>VLOOKUP(DESPESAS[[#This Row],[Plano de Contas]],BASE!$B$3:$D$119,3,FALSE)</f>
        <v>Despesas Bancarias</v>
      </c>
      <c r="I1781" s="77" t="str">
        <f>IFERROR(VLOOKUP(DESPESAS[[#This Row],[Fornecedor]],Tabela2[],2,FALSE),"")</f>
        <v/>
      </c>
      <c r="J1781" s="77" t="str">
        <f>IFERROR(VLOOKUP(DESPESAS[[#This Row],[Plano de Contas]],BASE!$B$3:$F$119,4,FALSE),"")</f>
        <v>8 - DESPESAS FINANCEIRAS</v>
      </c>
      <c r="K1781" s="77" t="str">
        <f>IFERROR(VLOOKUP(DESPESAS[[#This Row],[Plano de Contas]],BASE!$B$3:$H$119,5,FALSE),"")</f>
        <v>FINANCEIRO</v>
      </c>
      <c r="L1781" s="77">
        <f>IFERROR(VLOOKUP(DESPESAS[[#This Row],[Plano de Contas]],BASE!$B$3:$H$119,6,FALSE),"")</f>
        <v>0</v>
      </c>
      <c r="M1781" s="77" t="str">
        <f>VLOOKUP(DESPESAS[[#This Row],[Plano de Contas]],BASE!$B$3:$H$119,7,FALSE)</f>
        <v>LETÍCIA</v>
      </c>
    </row>
    <row r="1782" spans="1:13" x14ac:dyDescent="0.25">
      <c r="A1782" s="74">
        <v>198555</v>
      </c>
      <c r="B1782" s="75" t="s">
        <v>232</v>
      </c>
      <c r="C1782" s="75" t="s">
        <v>1971</v>
      </c>
      <c r="D1782" s="76">
        <v>46073</v>
      </c>
      <c r="E1782" s="75" t="s">
        <v>230</v>
      </c>
      <c r="F1782" s="74">
        <v>382.62</v>
      </c>
      <c r="G1782" s="75" t="s">
        <v>229</v>
      </c>
      <c r="H1782" s="77" t="str">
        <f>VLOOKUP(DESPESAS[[#This Row],[Plano de Contas]],BASE!$B$3:$D$119,3,FALSE)</f>
        <v>Despesas Bancarias</v>
      </c>
      <c r="I1782" s="77" t="str">
        <f>IFERROR(VLOOKUP(DESPESAS[[#This Row],[Fornecedor]],Tabela2[],2,FALSE),"")</f>
        <v/>
      </c>
      <c r="J1782" s="77" t="str">
        <f>IFERROR(VLOOKUP(DESPESAS[[#This Row],[Plano de Contas]],BASE!$B$3:$F$119,4,FALSE),"")</f>
        <v>8 - DESPESAS FINANCEIRAS</v>
      </c>
      <c r="K1782" s="77" t="str">
        <f>IFERROR(VLOOKUP(DESPESAS[[#This Row],[Plano de Contas]],BASE!$B$3:$H$119,5,FALSE),"")</f>
        <v>FINANCEIRO</v>
      </c>
      <c r="L1782" s="77">
        <f>IFERROR(VLOOKUP(DESPESAS[[#This Row],[Plano de Contas]],BASE!$B$3:$H$119,6,FALSE),"")</f>
        <v>0</v>
      </c>
      <c r="M1782" s="77" t="str">
        <f>VLOOKUP(DESPESAS[[#This Row],[Plano de Contas]],BASE!$B$3:$H$119,7,FALSE)</f>
        <v>LETÍCIA</v>
      </c>
    </row>
    <row r="1783" spans="1:13" x14ac:dyDescent="0.25">
      <c r="A1783" s="74">
        <v>198556</v>
      </c>
      <c r="B1783" s="75" t="s">
        <v>232</v>
      </c>
      <c r="C1783" s="75" t="s">
        <v>1966</v>
      </c>
      <c r="D1783" s="76">
        <v>46073</v>
      </c>
      <c r="E1783" s="75" t="s">
        <v>230</v>
      </c>
      <c r="F1783" s="74">
        <v>5246.38</v>
      </c>
      <c r="G1783" s="75" t="s">
        <v>251</v>
      </c>
      <c r="H1783" s="77" t="str">
        <f>VLOOKUP(DESPESAS[[#This Row],[Plano de Contas]],BASE!$B$3:$D$119,3,FALSE)</f>
        <v>Juros Pagos - Antecipação de Crédito</v>
      </c>
      <c r="I1783" s="77" t="str">
        <f>IFERROR(VLOOKUP(DESPESAS[[#This Row],[Fornecedor]],Tabela2[],2,FALSE),"")</f>
        <v/>
      </c>
      <c r="J1783" s="77" t="str">
        <f>IFERROR(VLOOKUP(DESPESAS[[#This Row],[Plano de Contas]],BASE!$B$3:$F$119,4,FALSE),"")</f>
        <v>8 - DESPESAS FINANCEIRAS</v>
      </c>
      <c r="K1783" s="77" t="str">
        <f>IFERROR(VLOOKUP(DESPESAS[[#This Row],[Plano de Contas]],BASE!$B$3:$H$119,5,FALSE),"")</f>
        <v>FINANCEIRO</v>
      </c>
      <c r="L1783" s="77">
        <f>IFERROR(VLOOKUP(DESPESAS[[#This Row],[Plano de Contas]],BASE!$B$3:$H$119,6,FALSE),"")</f>
        <v>0</v>
      </c>
      <c r="M1783" s="77" t="str">
        <f>VLOOKUP(DESPESAS[[#This Row],[Plano de Contas]],BASE!$B$3:$H$119,7,FALSE)</f>
        <v>LETÍCIA</v>
      </c>
    </row>
    <row r="1784" spans="1:13" x14ac:dyDescent="0.25">
      <c r="A1784" s="74">
        <v>198557</v>
      </c>
      <c r="B1784" s="75" t="s">
        <v>279</v>
      </c>
      <c r="C1784" s="75" t="s">
        <v>1970</v>
      </c>
      <c r="D1784" s="76">
        <v>46073</v>
      </c>
      <c r="E1784" s="75" t="s">
        <v>230</v>
      </c>
      <c r="F1784" s="74">
        <v>122.33</v>
      </c>
      <c r="G1784" s="75" t="s">
        <v>229</v>
      </c>
      <c r="H1784" s="77" t="str">
        <f>VLOOKUP(DESPESAS[[#This Row],[Plano de Contas]],BASE!$B$3:$D$119,3,FALSE)</f>
        <v>Despesas Bancarias</v>
      </c>
      <c r="I1784" s="77" t="str">
        <f>IFERROR(VLOOKUP(DESPESAS[[#This Row],[Fornecedor]],Tabela2[],2,FALSE),"")</f>
        <v/>
      </c>
      <c r="J1784" s="77" t="str">
        <f>IFERROR(VLOOKUP(DESPESAS[[#This Row],[Plano de Contas]],BASE!$B$3:$F$119,4,FALSE),"")</f>
        <v>8 - DESPESAS FINANCEIRAS</v>
      </c>
      <c r="K1784" s="77" t="str">
        <f>IFERROR(VLOOKUP(DESPESAS[[#This Row],[Plano de Contas]],BASE!$B$3:$H$119,5,FALSE),"")</f>
        <v>FINANCEIRO</v>
      </c>
      <c r="L1784" s="77">
        <f>IFERROR(VLOOKUP(DESPESAS[[#This Row],[Plano de Contas]],BASE!$B$3:$H$119,6,FALSE),"")</f>
        <v>0</v>
      </c>
      <c r="M1784" s="77" t="str">
        <f>VLOOKUP(DESPESAS[[#This Row],[Plano de Contas]],BASE!$B$3:$H$119,7,FALSE)</f>
        <v>LETÍCIA</v>
      </c>
    </row>
    <row r="1785" spans="1:13" x14ac:dyDescent="0.25">
      <c r="A1785" s="74">
        <v>198558</v>
      </c>
      <c r="B1785" s="75" t="s">
        <v>279</v>
      </c>
      <c r="C1785" s="75" t="s">
        <v>1969</v>
      </c>
      <c r="D1785" s="76">
        <v>46073</v>
      </c>
      <c r="E1785" s="75" t="s">
        <v>230</v>
      </c>
      <c r="F1785" s="74">
        <v>141.82</v>
      </c>
      <c r="G1785" s="75" t="s">
        <v>229</v>
      </c>
      <c r="H1785" s="77" t="str">
        <f>VLOOKUP(DESPESAS[[#This Row],[Plano de Contas]],BASE!$B$3:$D$119,3,FALSE)</f>
        <v>Despesas Bancarias</v>
      </c>
      <c r="I1785" s="77" t="str">
        <f>IFERROR(VLOOKUP(DESPESAS[[#This Row],[Fornecedor]],Tabela2[],2,FALSE),"")</f>
        <v/>
      </c>
      <c r="J1785" s="77" t="str">
        <f>IFERROR(VLOOKUP(DESPESAS[[#This Row],[Plano de Contas]],BASE!$B$3:$F$119,4,FALSE),"")</f>
        <v>8 - DESPESAS FINANCEIRAS</v>
      </c>
      <c r="K1785" s="77" t="str">
        <f>IFERROR(VLOOKUP(DESPESAS[[#This Row],[Plano de Contas]],BASE!$B$3:$H$119,5,FALSE),"")</f>
        <v>FINANCEIRO</v>
      </c>
      <c r="L1785" s="77">
        <f>IFERROR(VLOOKUP(DESPESAS[[#This Row],[Plano de Contas]],BASE!$B$3:$H$119,6,FALSE),"")</f>
        <v>0</v>
      </c>
      <c r="M1785" s="77" t="str">
        <f>VLOOKUP(DESPESAS[[#This Row],[Plano de Contas]],BASE!$B$3:$H$119,7,FALSE)</f>
        <v>LETÍCIA</v>
      </c>
    </row>
    <row r="1786" spans="1:13" x14ac:dyDescent="0.25">
      <c r="A1786" s="74">
        <v>198559</v>
      </c>
      <c r="B1786" s="75" t="s">
        <v>279</v>
      </c>
      <c r="C1786" s="75" t="s">
        <v>1966</v>
      </c>
      <c r="D1786" s="76">
        <v>46073</v>
      </c>
      <c r="E1786" s="75" t="s">
        <v>230</v>
      </c>
      <c r="F1786" s="74">
        <v>732.4</v>
      </c>
      <c r="G1786" s="75" t="s">
        <v>251</v>
      </c>
      <c r="H1786" s="77" t="str">
        <f>VLOOKUP(DESPESAS[[#This Row],[Plano de Contas]],BASE!$B$3:$D$119,3,FALSE)</f>
        <v>Juros Pagos - Antecipação de Crédito</v>
      </c>
      <c r="I1786" s="77" t="str">
        <f>IFERROR(VLOOKUP(DESPESAS[[#This Row],[Fornecedor]],Tabela2[],2,FALSE),"")</f>
        <v/>
      </c>
      <c r="J1786" s="77" t="str">
        <f>IFERROR(VLOOKUP(DESPESAS[[#This Row],[Plano de Contas]],BASE!$B$3:$F$119,4,FALSE),"")</f>
        <v>8 - DESPESAS FINANCEIRAS</v>
      </c>
      <c r="K1786" s="77" t="str">
        <f>IFERROR(VLOOKUP(DESPESAS[[#This Row],[Plano de Contas]],BASE!$B$3:$H$119,5,FALSE),"")</f>
        <v>FINANCEIRO</v>
      </c>
      <c r="L1786" s="77">
        <f>IFERROR(VLOOKUP(DESPESAS[[#This Row],[Plano de Contas]],BASE!$B$3:$H$119,6,FALSE),"")</f>
        <v>0</v>
      </c>
      <c r="M1786" s="77" t="str">
        <f>VLOOKUP(DESPESAS[[#This Row],[Plano de Contas]],BASE!$B$3:$H$119,7,FALSE)</f>
        <v>LETÍCIA</v>
      </c>
    </row>
    <row r="1787" spans="1:13" x14ac:dyDescent="0.25">
      <c r="A1787" s="74">
        <v>198560</v>
      </c>
      <c r="B1787" s="75" t="s">
        <v>232</v>
      </c>
      <c r="C1787" s="75" t="s">
        <v>1968</v>
      </c>
      <c r="D1787" s="76">
        <v>46073</v>
      </c>
      <c r="E1787" s="75" t="s">
        <v>230</v>
      </c>
      <c r="F1787" s="74">
        <v>24.04</v>
      </c>
      <c r="G1787" s="75" t="s">
        <v>229</v>
      </c>
      <c r="H1787" s="77" t="str">
        <f>VLOOKUP(DESPESAS[[#This Row],[Plano de Contas]],BASE!$B$3:$D$119,3,FALSE)</f>
        <v>Despesas Bancarias</v>
      </c>
      <c r="I1787" s="77" t="str">
        <f>IFERROR(VLOOKUP(DESPESAS[[#This Row],[Fornecedor]],Tabela2[],2,FALSE),"")</f>
        <v/>
      </c>
      <c r="J1787" s="77" t="str">
        <f>IFERROR(VLOOKUP(DESPESAS[[#This Row],[Plano de Contas]],BASE!$B$3:$F$119,4,FALSE),"")</f>
        <v>8 - DESPESAS FINANCEIRAS</v>
      </c>
      <c r="K1787" s="77" t="str">
        <f>IFERROR(VLOOKUP(DESPESAS[[#This Row],[Plano de Contas]],BASE!$B$3:$H$119,5,FALSE),"")</f>
        <v>FINANCEIRO</v>
      </c>
      <c r="L1787" s="77">
        <f>IFERROR(VLOOKUP(DESPESAS[[#This Row],[Plano de Contas]],BASE!$B$3:$H$119,6,FALSE),"")</f>
        <v>0</v>
      </c>
      <c r="M1787" s="77" t="str">
        <f>VLOOKUP(DESPESAS[[#This Row],[Plano de Contas]],BASE!$B$3:$H$119,7,FALSE)</f>
        <v>LETÍCIA</v>
      </c>
    </row>
    <row r="1788" spans="1:13" x14ac:dyDescent="0.25">
      <c r="A1788" s="74">
        <v>198561</v>
      </c>
      <c r="B1788" s="75" t="s">
        <v>232</v>
      </c>
      <c r="C1788" s="75" t="s">
        <v>1967</v>
      </c>
      <c r="D1788" s="76">
        <v>46073</v>
      </c>
      <c r="E1788" s="75" t="s">
        <v>230</v>
      </c>
      <c r="F1788" s="74">
        <v>17.57</v>
      </c>
      <c r="G1788" s="75" t="s">
        <v>229</v>
      </c>
      <c r="H1788" s="77" t="str">
        <f>VLOOKUP(DESPESAS[[#This Row],[Plano de Contas]],BASE!$B$3:$D$119,3,FALSE)</f>
        <v>Despesas Bancarias</v>
      </c>
      <c r="I1788" s="77" t="str">
        <f>IFERROR(VLOOKUP(DESPESAS[[#This Row],[Fornecedor]],Tabela2[],2,FALSE),"")</f>
        <v/>
      </c>
      <c r="J1788" s="77" t="str">
        <f>IFERROR(VLOOKUP(DESPESAS[[#This Row],[Plano de Contas]],BASE!$B$3:$F$119,4,FALSE),"")</f>
        <v>8 - DESPESAS FINANCEIRAS</v>
      </c>
      <c r="K1788" s="77" t="str">
        <f>IFERROR(VLOOKUP(DESPESAS[[#This Row],[Plano de Contas]],BASE!$B$3:$H$119,5,FALSE),"")</f>
        <v>FINANCEIRO</v>
      </c>
      <c r="L1788" s="77">
        <f>IFERROR(VLOOKUP(DESPESAS[[#This Row],[Plano de Contas]],BASE!$B$3:$H$119,6,FALSE),"")</f>
        <v>0</v>
      </c>
      <c r="M1788" s="77" t="str">
        <f>VLOOKUP(DESPESAS[[#This Row],[Plano de Contas]],BASE!$B$3:$H$119,7,FALSE)</f>
        <v>LETÍCIA</v>
      </c>
    </row>
    <row r="1789" spans="1:13" x14ac:dyDescent="0.25">
      <c r="A1789" s="74">
        <v>198562</v>
      </c>
      <c r="B1789" s="75" t="s">
        <v>232</v>
      </c>
      <c r="C1789" s="75" t="s">
        <v>1966</v>
      </c>
      <c r="D1789" s="76">
        <v>46073</v>
      </c>
      <c r="E1789" s="75" t="s">
        <v>230</v>
      </c>
      <c r="F1789" s="74">
        <v>147.26</v>
      </c>
      <c r="G1789" s="75" t="s">
        <v>251</v>
      </c>
      <c r="H1789" s="77" t="str">
        <f>VLOOKUP(DESPESAS[[#This Row],[Plano de Contas]],BASE!$B$3:$D$119,3,FALSE)</f>
        <v>Juros Pagos - Antecipação de Crédito</v>
      </c>
      <c r="I1789" s="77" t="str">
        <f>IFERROR(VLOOKUP(DESPESAS[[#This Row],[Fornecedor]],Tabela2[],2,FALSE),"")</f>
        <v/>
      </c>
      <c r="J1789" s="77" t="str">
        <f>IFERROR(VLOOKUP(DESPESAS[[#This Row],[Plano de Contas]],BASE!$B$3:$F$119,4,FALSE),"")</f>
        <v>8 - DESPESAS FINANCEIRAS</v>
      </c>
      <c r="K1789" s="77" t="str">
        <f>IFERROR(VLOOKUP(DESPESAS[[#This Row],[Plano de Contas]],BASE!$B$3:$H$119,5,FALSE),"")</f>
        <v>FINANCEIRO</v>
      </c>
      <c r="L1789" s="77">
        <f>IFERROR(VLOOKUP(DESPESAS[[#This Row],[Plano de Contas]],BASE!$B$3:$H$119,6,FALSE),"")</f>
        <v>0</v>
      </c>
      <c r="M1789" s="77" t="str">
        <f>VLOOKUP(DESPESAS[[#This Row],[Plano de Contas]],BASE!$B$3:$H$119,7,FALSE)</f>
        <v>LETÍCIA</v>
      </c>
    </row>
    <row r="1790" spans="1:13" x14ac:dyDescent="0.25">
      <c r="A1790" s="74">
        <v>198563</v>
      </c>
      <c r="B1790" s="75" t="s">
        <v>281</v>
      </c>
      <c r="C1790" s="75" t="s">
        <v>1965</v>
      </c>
      <c r="D1790" s="76">
        <v>46073</v>
      </c>
      <c r="E1790" s="75" t="s">
        <v>230</v>
      </c>
      <c r="F1790" s="74">
        <v>79</v>
      </c>
      <c r="G1790" s="75" t="s">
        <v>229</v>
      </c>
      <c r="H1790" s="77" t="str">
        <f>VLOOKUP(DESPESAS[[#This Row],[Plano de Contas]],BASE!$B$3:$D$119,3,FALSE)</f>
        <v>Despesas Bancarias</v>
      </c>
      <c r="I1790" s="77" t="str">
        <f>IFERROR(VLOOKUP(DESPESAS[[#This Row],[Fornecedor]],Tabela2[],2,FALSE),"")</f>
        <v/>
      </c>
      <c r="J1790" s="77" t="str">
        <f>IFERROR(VLOOKUP(DESPESAS[[#This Row],[Plano de Contas]],BASE!$B$3:$F$119,4,FALSE),"")</f>
        <v>8 - DESPESAS FINANCEIRAS</v>
      </c>
      <c r="K1790" s="77" t="str">
        <f>IFERROR(VLOOKUP(DESPESAS[[#This Row],[Plano de Contas]],BASE!$B$3:$H$119,5,FALSE),"")</f>
        <v>FINANCEIRO</v>
      </c>
      <c r="L1790" s="77">
        <f>IFERROR(VLOOKUP(DESPESAS[[#This Row],[Plano de Contas]],BASE!$B$3:$H$119,6,FALSE),"")</f>
        <v>0</v>
      </c>
      <c r="M1790" s="77" t="str">
        <f>VLOOKUP(DESPESAS[[#This Row],[Plano de Contas]],BASE!$B$3:$H$119,7,FALSE)</f>
        <v>LETÍCIA</v>
      </c>
    </row>
    <row r="1791" spans="1:13" x14ac:dyDescent="0.25">
      <c r="A1791" s="74">
        <v>198565</v>
      </c>
      <c r="B1791" s="75" t="s">
        <v>221</v>
      </c>
      <c r="C1791" s="75" t="s">
        <v>1964</v>
      </c>
      <c r="D1791" s="76">
        <v>46073</v>
      </c>
      <c r="E1791" s="75" t="s">
        <v>1963</v>
      </c>
      <c r="F1791" s="74">
        <v>88.8</v>
      </c>
      <c r="G1791" s="75" t="s">
        <v>241</v>
      </c>
      <c r="H1791" s="77" t="str">
        <f>VLOOKUP(DESPESAS[[#This Row],[Plano de Contas]],BASE!$B$3:$D$119,3,FALSE)</f>
        <v>Combustiveis Frota</v>
      </c>
      <c r="I1791" s="77" t="str">
        <f>IFERROR(VLOOKUP(DESPESAS[[#This Row],[Fornecedor]],Tabela2[],2,FALSE),"")</f>
        <v/>
      </c>
      <c r="J1791" s="77" t="str">
        <f>IFERROR(VLOOKUP(DESPESAS[[#This Row],[Plano de Contas]],BASE!$B$3:$F$119,4,FALSE),"")</f>
        <v>6 - DESPESA COM VENDAS</v>
      </c>
      <c r="K1791" s="77" t="str">
        <f>IFERROR(VLOOKUP(DESPESAS[[#This Row],[Plano de Contas]],BASE!$B$3:$H$119,5,FALSE),"")</f>
        <v>LOGÍSTICA</v>
      </c>
      <c r="L1791" s="77">
        <f>IFERROR(VLOOKUP(DESPESAS[[#This Row],[Plano de Contas]],BASE!$B$3:$H$119,6,FALSE),"")</f>
        <v>0</v>
      </c>
      <c r="M1791" s="77" t="str">
        <f>VLOOKUP(DESPESAS[[#This Row],[Plano de Contas]],BASE!$B$3:$H$119,7,FALSE)</f>
        <v>MYLENA</v>
      </c>
    </row>
    <row r="1792" spans="1:13" x14ac:dyDescent="0.25">
      <c r="A1792" s="74">
        <v>198567</v>
      </c>
      <c r="B1792" s="75" t="s">
        <v>221</v>
      </c>
      <c r="C1792" s="75" t="s">
        <v>1962</v>
      </c>
      <c r="D1792" s="76">
        <v>46073</v>
      </c>
      <c r="E1792" s="75" t="s">
        <v>442</v>
      </c>
      <c r="F1792" s="74">
        <v>1684</v>
      </c>
      <c r="G1792" s="75" t="s">
        <v>262</v>
      </c>
      <c r="H1792" s="77" t="str">
        <f>VLOOKUP(DESPESAS[[#This Row],[Plano de Contas]],BASE!$B$3:$D$119,3,FALSE)</f>
        <v>Fretes Karams</v>
      </c>
      <c r="I1792" s="77" t="str">
        <f>IFERROR(VLOOKUP(DESPESAS[[#This Row],[Fornecedor]],Tabela2[],2,FALSE),"")</f>
        <v/>
      </c>
      <c r="J1792" s="77" t="str">
        <f>IFERROR(VLOOKUP(DESPESAS[[#This Row],[Plano de Contas]],BASE!$B$3:$F$119,4,FALSE),"")</f>
        <v>6 - DESPESA COM VENDAS</v>
      </c>
      <c r="K1792" s="77" t="str">
        <f>IFERROR(VLOOKUP(DESPESAS[[#This Row],[Plano de Contas]],BASE!$B$3:$H$119,5,FALSE),"")</f>
        <v>LOGÍSTICA</v>
      </c>
      <c r="L1792" s="77">
        <f>IFERROR(VLOOKUP(DESPESAS[[#This Row],[Plano de Contas]],BASE!$B$3:$H$119,6,FALSE),"")</f>
        <v>0</v>
      </c>
      <c r="M1792" s="77" t="str">
        <f>VLOOKUP(DESPESAS[[#This Row],[Plano de Contas]],BASE!$B$3:$H$119,7,FALSE)</f>
        <v>MYLENA</v>
      </c>
    </row>
    <row r="1793" spans="1:13" x14ac:dyDescent="0.25">
      <c r="A1793" s="74">
        <v>198568</v>
      </c>
      <c r="B1793" s="75" t="s">
        <v>232</v>
      </c>
      <c r="C1793" s="75" t="s">
        <v>1961</v>
      </c>
      <c r="D1793" s="76">
        <v>46073</v>
      </c>
      <c r="E1793" s="75" t="s">
        <v>230</v>
      </c>
      <c r="F1793" s="74">
        <v>6.42</v>
      </c>
      <c r="G1793" s="75" t="s">
        <v>229</v>
      </c>
      <c r="H1793" s="77" t="str">
        <f>VLOOKUP(DESPESAS[[#This Row],[Plano de Contas]],BASE!$B$3:$D$119,3,FALSE)</f>
        <v>Despesas Bancarias</v>
      </c>
      <c r="I1793" s="77" t="str">
        <f>IFERROR(VLOOKUP(DESPESAS[[#This Row],[Fornecedor]],Tabela2[],2,FALSE),"")</f>
        <v/>
      </c>
      <c r="J1793" s="77" t="str">
        <f>IFERROR(VLOOKUP(DESPESAS[[#This Row],[Plano de Contas]],BASE!$B$3:$F$119,4,FALSE),"")</f>
        <v>8 - DESPESAS FINANCEIRAS</v>
      </c>
      <c r="K1793" s="77" t="str">
        <f>IFERROR(VLOOKUP(DESPESAS[[#This Row],[Plano de Contas]],BASE!$B$3:$H$119,5,FALSE),"")</f>
        <v>FINANCEIRO</v>
      </c>
      <c r="L1793" s="77">
        <f>IFERROR(VLOOKUP(DESPESAS[[#This Row],[Plano de Contas]],BASE!$B$3:$H$119,6,FALSE),"")</f>
        <v>0</v>
      </c>
      <c r="M1793" s="77" t="str">
        <f>VLOOKUP(DESPESAS[[#This Row],[Plano de Contas]],BASE!$B$3:$H$119,7,FALSE)</f>
        <v>LETÍCIA</v>
      </c>
    </row>
    <row r="1794" spans="1:13" x14ac:dyDescent="0.25">
      <c r="A1794" s="74">
        <v>198569</v>
      </c>
      <c r="B1794" s="75" t="s">
        <v>232</v>
      </c>
      <c r="C1794" s="75" t="s">
        <v>1960</v>
      </c>
      <c r="D1794" s="76">
        <v>46076</v>
      </c>
      <c r="E1794" s="75" t="s">
        <v>230</v>
      </c>
      <c r="F1794" s="74">
        <v>4.0599999999999996</v>
      </c>
      <c r="G1794" s="75" t="s">
        <v>229</v>
      </c>
      <c r="H1794" s="77" t="str">
        <f>VLOOKUP(DESPESAS[[#This Row],[Plano de Contas]],BASE!$B$3:$D$119,3,FALSE)</f>
        <v>Despesas Bancarias</v>
      </c>
      <c r="I1794" s="77" t="str">
        <f>IFERROR(VLOOKUP(DESPESAS[[#This Row],[Fornecedor]],Tabela2[],2,FALSE),"")</f>
        <v/>
      </c>
      <c r="J1794" s="77" t="str">
        <f>IFERROR(VLOOKUP(DESPESAS[[#This Row],[Plano de Contas]],BASE!$B$3:$F$119,4,FALSE),"")</f>
        <v>8 - DESPESAS FINANCEIRAS</v>
      </c>
      <c r="K1794" s="77" t="str">
        <f>IFERROR(VLOOKUP(DESPESAS[[#This Row],[Plano de Contas]],BASE!$B$3:$H$119,5,FALSE),"")</f>
        <v>FINANCEIRO</v>
      </c>
      <c r="L1794" s="77">
        <f>IFERROR(VLOOKUP(DESPESAS[[#This Row],[Plano de Contas]],BASE!$B$3:$H$119,6,FALSE),"")</f>
        <v>0</v>
      </c>
      <c r="M1794" s="77" t="str">
        <f>VLOOKUP(DESPESAS[[#This Row],[Plano de Contas]],BASE!$B$3:$H$119,7,FALSE)</f>
        <v>LETÍCIA</v>
      </c>
    </row>
    <row r="1795" spans="1:13" x14ac:dyDescent="0.25">
      <c r="A1795" s="74">
        <v>198570</v>
      </c>
      <c r="B1795" s="75" t="s">
        <v>232</v>
      </c>
      <c r="C1795" s="75" t="s">
        <v>1959</v>
      </c>
      <c r="D1795" s="76">
        <v>46073</v>
      </c>
      <c r="E1795" s="75" t="s">
        <v>230</v>
      </c>
      <c r="F1795" s="74">
        <v>0.79</v>
      </c>
      <c r="G1795" s="75" t="s">
        <v>236</v>
      </c>
      <c r="H1795" s="77" t="str">
        <f>VLOOKUP(DESPESAS[[#This Row],[Plano de Contas]],BASE!$B$3:$D$119,3,FALSE)</f>
        <v>Despesas de Cobranca</v>
      </c>
      <c r="I1795" s="77" t="str">
        <f>IFERROR(VLOOKUP(DESPESAS[[#This Row],[Fornecedor]],Tabela2[],2,FALSE),"")</f>
        <v/>
      </c>
      <c r="J1795" s="77" t="str">
        <f>IFERROR(VLOOKUP(DESPESAS[[#This Row],[Plano de Contas]],BASE!$B$3:$F$119,4,FALSE),"")</f>
        <v>8 - DESPESAS FINANCEIRAS</v>
      </c>
      <c r="K1795" s="77" t="str">
        <f>IFERROR(VLOOKUP(DESPESAS[[#This Row],[Plano de Contas]],BASE!$B$3:$H$119,5,FALSE),"")</f>
        <v>FINANCEIRO</v>
      </c>
      <c r="L1795" s="77">
        <f>IFERROR(VLOOKUP(DESPESAS[[#This Row],[Plano de Contas]],BASE!$B$3:$H$119,6,FALSE),"")</f>
        <v>0</v>
      </c>
      <c r="M1795" s="77" t="str">
        <f>VLOOKUP(DESPESAS[[#This Row],[Plano de Contas]],BASE!$B$3:$H$119,7,FALSE)</f>
        <v>LETÍCIA</v>
      </c>
    </row>
    <row r="1796" spans="1:13" x14ac:dyDescent="0.25">
      <c r="A1796" s="74">
        <v>198571</v>
      </c>
      <c r="B1796" s="75" t="s">
        <v>232</v>
      </c>
      <c r="C1796" s="75" t="s">
        <v>1958</v>
      </c>
      <c r="D1796" s="76">
        <v>46076</v>
      </c>
      <c r="E1796" s="75" t="s">
        <v>230</v>
      </c>
      <c r="F1796" s="74">
        <v>22.16</v>
      </c>
      <c r="G1796" s="75" t="s">
        <v>251</v>
      </c>
      <c r="H1796" s="77" t="str">
        <f>VLOOKUP(DESPESAS[[#This Row],[Plano de Contas]],BASE!$B$3:$D$119,3,FALSE)</f>
        <v>Juros Pagos - Antecipação de Crédito</v>
      </c>
      <c r="I1796" s="77" t="str">
        <f>IFERROR(VLOOKUP(DESPESAS[[#This Row],[Fornecedor]],Tabela2[],2,FALSE),"")</f>
        <v/>
      </c>
      <c r="J1796" s="77" t="str">
        <f>IFERROR(VLOOKUP(DESPESAS[[#This Row],[Plano de Contas]],BASE!$B$3:$F$119,4,FALSE),"")</f>
        <v>8 - DESPESAS FINANCEIRAS</v>
      </c>
      <c r="K1796" s="77" t="str">
        <f>IFERROR(VLOOKUP(DESPESAS[[#This Row],[Plano de Contas]],BASE!$B$3:$H$119,5,FALSE),"")</f>
        <v>FINANCEIRO</v>
      </c>
      <c r="L1796" s="77">
        <f>IFERROR(VLOOKUP(DESPESAS[[#This Row],[Plano de Contas]],BASE!$B$3:$H$119,6,FALSE),"")</f>
        <v>0</v>
      </c>
      <c r="M1796" s="77" t="str">
        <f>VLOOKUP(DESPESAS[[#This Row],[Plano de Contas]],BASE!$B$3:$H$119,7,FALSE)</f>
        <v>LETÍCIA</v>
      </c>
    </row>
    <row r="1797" spans="1:13" x14ac:dyDescent="0.25">
      <c r="A1797" s="74">
        <v>198572</v>
      </c>
      <c r="B1797" s="75" t="s">
        <v>232</v>
      </c>
      <c r="C1797" s="75" t="s">
        <v>1957</v>
      </c>
      <c r="D1797" s="76">
        <v>46076</v>
      </c>
      <c r="E1797" s="75" t="s">
        <v>230</v>
      </c>
      <c r="F1797" s="74">
        <v>4.75</v>
      </c>
      <c r="G1797" s="75" t="s">
        <v>236</v>
      </c>
      <c r="H1797" s="77" t="str">
        <f>VLOOKUP(DESPESAS[[#This Row],[Plano de Contas]],BASE!$B$3:$D$119,3,FALSE)</f>
        <v>Despesas de Cobranca</v>
      </c>
      <c r="I1797" s="77" t="str">
        <f>IFERROR(VLOOKUP(DESPESAS[[#This Row],[Fornecedor]],Tabela2[],2,FALSE),"")</f>
        <v/>
      </c>
      <c r="J1797" s="77" t="str">
        <f>IFERROR(VLOOKUP(DESPESAS[[#This Row],[Plano de Contas]],BASE!$B$3:$F$119,4,FALSE),"")</f>
        <v>8 - DESPESAS FINANCEIRAS</v>
      </c>
      <c r="K1797" s="77" t="str">
        <f>IFERROR(VLOOKUP(DESPESAS[[#This Row],[Plano de Contas]],BASE!$B$3:$H$119,5,FALSE),"")</f>
        <v>FINANCEIRO</v>
      </c>
      <c r="L1797" s="77">
        <f>IFERROR(VLOOKUP(DESPESAS[[#This Row],[Plano de Contas]],BASE!$B$3:$H$119,6,FALSE),"")</f>
        <v>0</v>
      </c>
      <c r="M1797" s="77" t="str">
        <f>VLOOKUP(DESPESAS[[#This Row],[Plano de Contas]],BASE!$B$3:$H$119,7,FALSE)</f>
        <v>LETÍCIA</v>
      </c>
    </row>
    <row r="1798" spans="1:13" x14ac:dyDescent="0.25">
      <c r="A1798" s="74">
        <v>198573</v>
      </c>
      <c r="B1798" s="75" t="s">
        <v>221</v>
      </c>
      <c r="C1798" s="75" t="s">
        <v>1956</v>
      </c>
      <c r="D1798" s="76">
        <v>46076</v>
      </c>
      <c r="E1798" s="75" t="s">
        <v>317</v>
      </c>
      <c r="F1798" s="74">
        <v>470</v>
      </c>
      <c r="G1798" s="75" t="s">
        <v>1037</v>
      </c>
      <c r="H1798" s="77" t="str">
        <f>VLOOKUP(DESPESAS[[#This Row],[Plano de Contas]],BASE!$B$3:$D$119,3,FALSE)</f>
        <v>Construções e Reformas</v>
      </c>
      <c r="I1798" s="77" t="str">
        <f>IFERROR(VLOOKUP(DESPESAS[[#This Row],[Fornecedor]],Tabela2[],2,FALSE),"")</f>
        <v/>
      </c>
      <c r="J1798" s="77" t="str">
        <f>IFERROR(VLOOKUP(DESPESAS[[#This Row],[Plano de Contas]],BASE!$B$3:$F$119,4,FALSE),"")</f>
        <v>9 - INVESTIMENTOS</v>
      </c>
      <c r="K1798" s="77" t="str">
        <f>IFERROR(VLOOKUP(DESPESAS[[#This Row],[Plano de Contas]],BASE!$B$3:$H$119,5,FALSE),"")</f>
        <v>MANUTENÇÃO / TI</v>
      </c>
      <c r="L1798" s="77">
        <f>IFERROR(VLOOKUP(DESPESAS[[#This Row],[Plano de Contas]],BASE!$B$3:$H$119,6,FALSE),"")</f>
        <v>0</v>
      </c>
      <c r="M1798" s="77" t="str">
        <f>VLOOKUP(DESPESAS[[#This Row],[Plano de Contas]],BASE!$B$3:$H$119,7,FALSE)</f>
        <v>FÁBIO</v>
      </c>
    </row>
    <row r="1799" spans="1:13" x14ac:dyDescent="0.25">
      <c r="A1799" s="74">
        <v>198574</v>
      </c>
      <c r="B1799" s="75" t="s">
        <v>221</v>
      </c>
      <c r="C1799" s="75" t="s">
        <v>1955</v>
      </c>
      <c r="D1799" s="76">
        <v>46076</v>
      </c>
      <c r="E1799" s="75" t="s">
        <v>245</v>
      </c>
      <c r="F1799" s="74">
        <v>32</v>
      </c>
      <c r="G1799" s="75" t="s">
        <v>247</v>
      </c>
      <c r="H1799" s="77" t="str">
        <f>VLOOKUP(DESPESAS[[#This Row],[Plano de Contas]],BASE!$B$3:$D$119,3,FALSE)</f>
        <v>Manutenção com veiculos</v>
      </c>
      <c r="I1799" s="77" t="str">
        <f>IFERROR(VLOOKUP(DESPESAS[[#This Row],[Fornecedor]],Tabela2[],2,FALSE),"")</f>
        <v>FERRAGENS GERAIS</v>
      </c>
      <c r="J1799" s="77" t="str">
        <f>IFERROR(VLOOKUP(DESPESAS[[#This Row],[Plano de Contas]],BASE!$B$3:$F$119,4,FALSE),"")</f>
        <v>6 - DESPESA COM VENDAS</v>
      </c>
      <c r="K1799" s="77" t="str">
        <f>IFERROR(VLOOKUP(DESPESAS[[#This Row],[Plano de Contas]],BASE!$B$3:$H$119,5,FALSE),"")</f>
        <v>LOGÍSTICA</v>
      </c>
      <c r="L1799" s="77">
        <f>IFERROR(VLOOKUP(DESPESAS[[#This Row],[Plano de Contas]],BASE!$B$3:$H$119,6,FALSE),"")</f>
        <v>0</v>
      </c>
      <c r="M1799" s="77" t="str">
        <f>VLOOKUP(DESPESAS[[#This Row],[Plano de Contas]],BASE!$B$3:$H$119,7,FALSE)</f>
        <v>MYLENA</v>
      </c>
    </row>
    <row r="1800" spans="1:13" x14ac:dyDescent="0.25">
      <c r="A1800" s="74">
        <v>198575</v>
      </c>
      <c r="B1800" s="75" t="s">
        <v>221</v>
      </c>
      <c r="C1800" s="75" t="s">
        <v>1954</v>
      </c>
      <c r="D1800" s="76">
        <v>46076</v>
      </c>
      <c r="E1800" s="75" t="s">
        <v>245</v>
      </c>
      <c r="F1800" s="74">
        <v>32</v>
      </c>
      <c r="G1800" s="75" t="s">
        <v>1037</v>
      </c>
      <c r="H1800" s="77" t="str">
        <f>VLOOKUP(DESPESAS[[#This Row],[Plano de Contas]],BASE!$B$3:$D$119,3,FALSE)</f>
        <v>Construções e Reformas</v>
      </c>
      <c r="I1800" s="77" t="str">
        <f>IFERROR(VLOOKUP(DESPESAS[[#This Row],[Fornecedor]],Tabela2[],2,FALSE),"")</f>
        <v>FERRAGENS GERAIS</v>
      </c>
      <c r="J1800" s="77" t="str">
        <f>IFERROR(VLOOKUP(DESPESAS[[#This Row],[Plano de Contas]],BASE!$B$3:$F$119,4,FALSE),"")</f>
        <v>9 - INVESTIMENTOS</v>
      </c>
      <c r="K1800" s="77" t="str">
        <f>IFERROR(VLOOKUP(DESPESAS[[#This Row],[Plano de Contas]],BASE!$B$3:$H$119,5,FALSE),"")</f>
        <v>MANUTENÇÃO / TI</v>
      </c>
      <c r="L1800" s="77">
        <f>IFERROR(VLOOKUP(DESPESAS[[#This Row],[Plano de Contas]],BASE!$B$3:$H$119,6,FALSE),"")</f>
        <v>0</v>
      </c>
      <c r="M1800" s="77" t="str">
        <f>VLOOKUP(DESPESAS[[#This Row],[Plano de Contas]],BASE!$B$3:$H$119,7,FALSE)</f>
        <v>FÁBIO</v>
      </c>
    </row>
    <row r="1801" spans="1:13" x14ac:dyDescent="0.25">
      <c r="A1801" s="74">
        <v>198576</v>
      </c>
      <c r="B1801" s="75" t="s">
        <v>221</v>
      </c>
      <c r="C1801" s="75" t="s">
        <v>1953</v>
      </c>
      <c r="D1801" s="76">
        <v>46076</v>
      </c>
      <c r="E1801" s="75" t="s">
        <v>307</v>
      </c>
      <c r="F1801" s="74">
        <v>3.2</v>
      </c>
      <c r="G1801" s="75" t="s">
        <v>1037</v>
      </c>
      <c r="H1801" s="77" t="str">
        <f>VLOOKUP(DESPESAS[[#This Row],[Plano de Contas]],BASE!$B$3:$D$119,3,FALSE)</f>
        <v>Construções e Reformas</v>
      </c>
      <c r="I1801" s="77" t="str">
        <f>IFERROR(VLOOKUP(DESPESAS[[#This Row],[Fornecedor]],Tabela2[],2,FALSE),"")</f>
        <v>FERRAGENS GERAIS</v>
      </c>
      <c r="J1801" s="77" t="str">
        <f>IFERROR(VLOOKUP(DESPESAS[[#This Row],[Plano de Contas]],BASE!$B$3:$F$119,4,FALSE),"")</f>
        <v>9 - INVESTIMENTOS</v>
      </c>
      <c r="K1801" s="77" t="str">
        <f>IFERROR(VLOOKUP(DESPESAS[[#This Row],[Plano de Contas]],BASE!$B$3:$H$119,5,FALSE),"")</f>
        <v>MANUTENÇÃO / TI</v>
      </c>
      <c r="L1801" s="77">
        <f>IFERROR(VLOOKUP(DESPESAS[[#This Row],[Plano de Contas]],BASE!$B$3:$H$119,6,FALSE),"")</f>
        <v>0</v>
      </c>
      <c r="M1801" s="77" t="str">
        <f>VLOOKUP(DESPESAS[[#This Row],[Plano de Contas]],BASE!$B$3:$H$119,7,FALSE)</f>
        <v>FÁBIO</v>
      </c>
    </row>
    <row r="1802" spans="1:13" x14ac:dyDescent="0.25">
      <c r="A1802" s="74">
        <v>198577</v>
      </c>
      <c r="B1802" s="75" t="s">
        <v>221</v>
      </c>
      <c r="C1802" s="75" t="s">
        <v>1952</v>
      </c>
      <c r="D1802" s="76">
        <v>46064</v>
      </c>
      <c r="E1802" s="75" t="s">
        <v>1951</v>
      </c>
      <c r="F1802" s="74">
        <v>442</v>
      </c>
      <c r="G1802" s="75" t="s">
        <v>331</v>
      </c>
      <c r="H1802" s="77" t="str">
        <f>VLOOKUP(DESPESAS[[#This Row],[Plano de Contas]],BASE!$B$3:$D$119,3,FALSE)</f>
        <v>Manutenção Predial (Adm)</v>
      </c>
      <c r="I1802" s="77" t="str">
        <f>IFERROR(VLOOKUP(DESPESAS[[#This Row],[Fornecedor]],Tabela2[],2,FALSE),"")</f>
        <v>MAQUINAS DE COSTURA</v>
      </c>
      <c r="J1802" s="77" t="str">
        <f>IFERROR(VLOOKUP(DESPESAS[[#This Row],[Plano de Contas]],BASE!$B$3:$F$119,4,FALSE),"")</f>
        <v>4 - GASTOS COM PESSOAL</v>
      </c>
      <c r="K1802" s="77" t="str">
        <f>IFERROR(VLOOKUP(DESPESAS[[#This Row],[Plano de Contas]],BASE!$B$3:$H$119,5,FALSE),"")</f>
        <v>MANUTENÇÃO / TI</v>
      </c>
      <c r="L1802" s="77">
        <f>IFERROR(VLOOKUP(DESPESAS[[#This Row],[Plano de Contas]],BASE!$B$3:$H$119,6,FALSE),"")</f>
        <v>0</v>
      </c>
      <c r="M1802" s="77" t="str">
        <f>VLOOKUP(DESPESAS[[#This Row],[Plano de Contas]],BASE!$B$3:$H$119,7,FALSE)</f>
        <v>FÁBIO</v>
      </c>
    </row>
    <row r="1803" spans="1:13" x14ac:dyDescent="0.25">
      <c r="A1803" s="74">
        <v>198578</v>
      </c>
      <c r="B1803" s="75" t="s">
        <v>221</v>
      </c>
      <c r="C1803" s="75" t="s">
        <v>1950</v>
      </c>
      <c r="D1803" s="76">
        <v>46076</v>
      </c>
      <c r="E1803" s="75" t="s">
        <v>245</v>
      </c>
      <c r="F1803" s="74">
        <v>89.8</v>
      </c>
      <c r="G1803" s="75" t="s">
        <v>1037</v>
      </c>
      <c r="H1803" s="77" t="str">
        <f>VLOOKUP(DESPESAS[[#This Row],[Plano de Contas]],BASE!$B$3:$D$119,3,FALSE)</f>
        <v>Construções e Reformas</v>
      </c>
      <c r="I1803" s="77" t="str">
        <f>IFERROR(VLOOKUP(DESPESAS[[#This Row],[Fornecedor]],Tabela2[],2,FALSE),"")</f>
        <v>FERRAGENS GERAIS</v>
      </c>
      <c r="J1803" s="77" t="str">
        <f>IFERROR(VLOOKUP(DESPESAS[[#This Row],[Plano de Contas]],BASE!$B$3:$F$119,4,FALSE),"")</f>
        <v>9 - INVESTIMENTOS</v>
      </c>
      <c r="K1803" s="77" t="str">
        <f>IFERROR(VLOOKUP(DESPESAS[[#This Row],[Plano de Contas]],BASE!$B$3:$H$119,5,FALSE),"")</f>
        <v>MANUTENÇÃO / TI</v>
      </c>
      <c r="L1803" s="77">
        <f>IFERROR(VLOOKUP(DESPESAS[[#This Row],[Plano de Contas]],BASE!$B$3:$H$119,6,FALSE),"")</f>
        <v>0</v>
      </c>
      <c r="M1803" s="77" t="str">
        <f>VLOOKUP(DESPESAS[[#This Row],[Plano de Contas]],BASE!$B$3:$H$119,7,FALSE)</f>
        <v>FÁBIO</v>
      </c>
    </row>
    <row r="1804" spans="1:13" x14ac:dyDescent="0.25">
      <c r="A1804" s="74">
        <v>198579</v>
      </c>
      <c r="B1804" s="75" t="s">
        <v>221</v>
      </c>
      <c r="C1804" s="75" t="s">
        <v>1949</v>
      </c>
      <c r="D1804" s="76">
        <v>46076</v>
      </c>
      <c r="E1804" s="75" t="s">
        <v>307</v>
      </c>
      <c r="F1804" s="74">
        <v>72.599999999999994</v>
      </c>
      <c r="G1804" s="75" t="s">
        <v>1037</v>
      </c>
      <c r="H1804" s="77" t="str">
        <f>VLOOKUP(DESPESAS[[#This Row],[Plano de Contas]],BASE!$B$3:$D$119,3,FALSE)</f>
        <v>Construções e Reformas</v>
      </c>
      <c r="I1804" s="77" t="str">
        <f>IFERROR(VLOOKUP(DESPESAS[[#This Row],[Fornecedor]],Tabela2[],2,FALSE),"")</f>
        <v>FERRAGENS GERAIS</v>
      </c>
      <c r="J1804" s="77" t="str">
        <f>IFERROR(VLOOKUP(DESPESAS[[#This Row],[Plano de Contas]],BASE!$B$3:$F$119,4,FALSE),"")</f>
        <v>9 - INVESTIMENTOS</v>
      </c>
      <c r="K1804" s="77" t="str">
        <f>IFERROR(VLOOKUP(DESPESAS[[#This Row],[Plano de Contas]],BASE!$B$3:$H$119,5,FALSE),"")</f>
        <v>MANUTENÇÃO / TI</v>
      </c>
      <c r="L1804" s="77">
        <f>IFERROR(VLOOKUP(DESPESAS[[#This Row],[Plano de Contas]],BASE!$B$3:$H$119,6,FALSE),"")</f>
        <v>0</v>
      </c>
      <c r="M1804" s="77" t="str">
        <f>VLOOKUP(DESPESAS[[#This Row],[Plano de Contas]],BASE!$B$3:$H$119,7,FALSE)</f>
        <v>FÁBIO</v>
      </c>
    </row>
    <row r="1805" spans="1:13" x14ac:dyDescent="0.25">
      <c r="A1805" s="74">
        <v>198581</v>
      </c>
      <c r="B1805" s="75" t="s">
        <v>232</v>
      </c>
      <c r="C1805" s="75" t="s">
        <v>1948</v>
      </c>
      <c r="D1805" s="76">
        <v>46076</v>
      </c>
      <c r="E1805" s="75" t="s">
        <v>615</v>
      </c>
      <c r="F1805" s="74">
        <v>214</v>
      </c>
      <c r="G1805" s="75" t="s">
        <v>218</v>
      </c>
      <c r="H1805" s="77" t="str">
        <f>VLOOKUP(DESPESAS[[#This Row],[Plano de Contas]],BASE!$B$3:$D$119,3,FALSE)</f>
        <v>Manutenção de Equipamentos (Prod)</v>
      </c>
      <c r="I1805" s="77" t="str">
        <f>IFERROR(VLOOKUP(DESPESAS[[#This Row],[Fornecedor]],Tabela2[],2,FALSE),"")</f>
        <v>MANUTENÇÕES FERRAMENTAS</v>
      </c>
      <c r="J1805" s="77" t="str">
        <f>IFERROR(VLOOKUP(DESPESAS[[#This Row],[Plano de Contas]],BASE!$B$3:$F$119,4,FALSE),"")</f>
        <v>3 - CUSTOS INDIRETOS</v>
      </c>
      <c r="K1805" s="77" t="str">
        <f>IFERROR(VLOOKUP(DESPESAS[[#This Row],[Plano de Contas]],BASE!$B$3:$H$119,5,FALSE),"")</f>
        <v>MANUTENÇÃO / TI</v>
      </c>
      <c r="L1805" s="77">
        <f>IFERROR(VLOOKUP(DESPESAS[[#This Row],[Plano de Contas]],BASE!$B$3:$H$119,6,FALSE),"")</f>
        <v>0</v>
      </c>
      <c r="M1805" s="77" t="str">
        <f>VLOOKUP(DESPESAS[[#This Row],[Plano de Contas]],BASE!$B$3:$H$119,7,FALSE)</f>
        <v>RAFAEL</v>
      </c>
    </row>
    <row r="1806" spans="1:13" x14ac:dyDescent="0.25">
      <c r="A1806" s="74">
        <v>198582</v>
      </c>
      <c r="B1806" s="75" t="s">
        <v>232</v>
      </c>
      <c r="C1806" s="75" t="s">
        <v>1947</v>
      </c>
      <c r="D1806" s="76">
        <v>46076</v>
      </c>
      <c r="E1806" s="75" t="s">
        <v>615</v>
      </c>
      <c r="F1806" s="74">
        <v>821</v>
      </c>
      <c r="G1806" s="75" t="s">
        <v>218</v>
      </c>
      <c r="H1806" s="77" t="str">
        <f>VLOOKUP(DESPESAS[[#This Row],[Plano de Contas]],BASE!$B$3:$D$119,3,FALSE)</f>
        <v>Manutenção de Equipamentos (Prod)</v>
      </c>
      <c r="I1806" s="77" t="str">
        <f>IFERROR(VLOOKUP(DESPESAS[[#This Row],[Fornecedor]],Tabela2[],2,FALSE),"")</f>
        <v>MANUTENÇÕES FERRAMENTAS</v>
      </c>
      <c r="J1806" s="77" t="str">
        <f>IFERROR(VLOOKUP(DESPESAS[[#This Row],[Plano de Contas]],BASE!$B$3:$F$119,4,FALSE),"")</f>
        <v>3 - CUSTOS INDIRETOS</v>
      </c>
      <c r="K1806" s="77" t="str">
        <f>IFERROR(VLOOKUP(DESPESAS[[#This Row],[Plano de Contas]],BASE!$B$3:$H$119,5,FALSE),"")</f>
        <v>MANUTENÇÃO / TI</v>
      </c>
      <c r="L1806" s="77">
        <f>IFERROR(VLOOKUP(DESPESAS[[#This Row],[Plano de Contas]],BASE!$B$3:$H$119,6,FALSE),"")</f>
        <v>0</v>
      </c>
      <c r="M1806" s="77" t="str">
        <f>VLOOKUP(DESPESAS[[#This Row],[Plano de Contas]],BASE!$B$3:$H$119,7,FALSE)</f>
        <v>RAFAEL</v>
      </c>
    </row>
    <row r="1807" spans="1:13" x14ac:dyDescent="0.25">
      <c r="A1807" s="74">
        <v>198583</v>
      </c>
      <c r="B1807" s="75" t="s">
        <v>232</v>
      </c>
      <c r="C1807" s="75" t="s">
        <v>1946</v>
      </c>
      <c r="D1807" s="76">
        <v>46076</v>
      </c>
      <c r="E1807" s="75" t="s">
        <v>230</v>
      </c>
      <c r="F1807" s="74">
        <v>1540.11</v>
      </c>
      <c r="G1807" s="75" t="s">
        <v>251</v>
      </c>
      <c r="H1807" s="77" t="str">
        <f>VLOOKUP(DESPESAS[[#This Row],[Plano de Contas]],BASE!$B$3:$D$119,3,FALSE)</f>
        <v>Juros Pagos - Antecipação de Crédito</v>
      </c>
      <c r="I1807" s="77" t="str">
        <f>IFERROR(VLOOKUP(DESPESAS[[#This Row],[Fornecedor]],Tabela2[],2,FALSE),"")</f>
        <v/>
      </c>
      <c r="J1807" s="77" t="str">
        <f>IFERROR(VLOOKUP(DESPESAS[[#This Row],[Plano de Contas]],BASE!$B$3:$F$119,4,FALSE),"")</f>
        <v>8 - DESPESAS FINANCEIRAS</v>
      </c>
      <c r="K1807" s="77" t="str">
        <f>IFERROR(VLOOKUP(DESPESAS[[#This Row],[Plano de Contas]],BASE!$B$3:$H$119,5,FALSE),"")</f>
        <v>FINANCEIRO</v>
      </c>
      <c r="L1807" s="77">
        <f>IFERROR(VLOOKUP(DESPESAS[[#This Row],[Plano de Contas]],BASE!$B$3:$H$119,6,FALSE),"")</f>
        <v>0</v>
      </c>
      <c r="M1807" s="77" t="str">
        <f>VLOOKUP(DESPESAS[[#This Row],[Plano de Contas]],BASE!$B$3:$H$119,7,FALSE)</f>
        <v>LETÍCIA</v>
      </c>
    </row>
    <row r="1808" spans="1:13" x14ac:dyDescent="0.25">
      <c r="A1808" s="74">
        <v>198584</v>
      </c>
      <c r="B1808" s="75" t="s">
        <v>232</v>
      </c>
      <c r="C1808" s="75" t="s">
        <v>1945</v>
      </c>
      <c r="D1808" s="76">
        <v>46076</v>
      </c>
      <c r="E1808" s="75" t="s">
        <v>230</v>
      </c>
      <c r="F1808" s="74">
        <v>252.07</v>
      </c>
      <c r="G1808" s="75" t="s">
        <v>229</v>
      </c>
      <c r="H1808" s="77" t="str">
        <f>VLOOKUP(DESPESAS[[#This Row],[Plano de Contas]],BASE!$B$3:$D$119,3,FALSE)</f>
        <v>Despesas Bancarias</v>
      </c>
      <c r="I1808" s="77" t="str">
        <f>IFERROR(VLOOKUP(DESPESAS[[#This Row],[Fornecedor]],Tabela2[],2,FALSE),"")</f>
        <v/>
      </c>
      <c r="J1808" s="77" t="str">
        <f>IFERROR(VLOOKUP(DESPESAS[[#This Row],[Plano de Contas]],BASE!$B$3:$F$119,4,FALSE),"")</f>
        <v>8 - DESPESAS FINANCEIRAS</v>
      </c>
      <c r="K1808" s="77" t="str">
        <f>IFERROR(VLOOKUP(DESPESAS[[#This Row],[Plano de Contas]],BASE!$B$3:$H$119,5,FALSE),"")</f>
        <v>FINANCEIRO</v>
      </c>
      <c r="L1808" s="77">
        <f>IFERROR(VLOOKUP(DESPESAS[[#This Row],[Plano de Contas]],BASE!$B$3:$H$119,6,FALSE),"")</f>
        <v>0</v>
      </c>
      <c r="M1808" s="77" t="str">
        <f>VLOOKUP(DESPESAS[[#This Row],[Plano de Contas]],BASE!$B$3:$H$119,7,FALSE)</f>
        <v>LETÍCIA</v>
      </c>
    </row>
    <row r="1809" spans="1:13" x14ac:dyDescent="0.25">
      <c r="A1809" s="74">
        <v>198585</v>
      </c>
      <c r="B1809" s="75" t="s">
        <v>232</v>
      </c>
      <c r="C1809" s="75" t="s">
        <v>1944</v>
      </c>
      <c r="D1809" s="76">
        <v>46076</v>
      </c>
      <c r="E1809" s="75" t="s">
        <v>230</v>
      </c>
      <c r="F1809" s="74">
        <v>229.55</v>
      </c>
      <c r="G1809" s="75" t="s">
        <v>229</v>
      </c>
      <c r="H1809" s="77" t="str">
        <f>VLOOKUP(DESPESAS[[#This Row],[Plano de Contas]],BASE!$B$3:$D$119,3,FALSE)</f>
        <v>Despesas Bancarias</v>
      </c>
      <c r="I1809" s="77" t="str">
        <f>IFERROR(VLOOKUP(DESPESAS[[#This Row],[Fornecedor]],Tabela2[],2,FALSE),"")</f>
        <v/>
      </c>
      <c r="J1809" s="77" t="str">
        <f>IFERROR(VLOOKUP(DESPESAS[[#This Row],[Plano de Contas]],BASE!$B$3:$F$119,4,FALSE),"")</f>
        <v>8 - DESPESAS FINANCEIRAS</v>
      </c>
      <c r="K1809" s="77" t="str">
        <f>IFERROR(VLOOKUP(DESPESAS[[#This Row],[Plano de Contas]],BASE!$B$3:$H$119,5,FALSE),"")</f>
        <v>FINANCEIRO</v>
      </c>
      <c r="L1809" s="77">
        <f>IFERROR(VLOOKUP(DESPESAS[[#This Row],[Plano de Contas]],BASE!$B$3:$H$119,6,FALSE),"")</f>
        <v>0</v>
      </c>
      <c r="M1809" s="77" t="str">
        <f>VLOOKUP(DESPESAS[[#This Row],[Plano de Contas]],BASE!$B$3:$H$119,7,FALSE)</f>
        <v>LETÍCIA</v>
      </c>
    </row>
    <row r="1810" spans="1:13" x14ac:dyDescent="0.25">
      <c r="A1810" s="74">
        <v>198586</v>
      </c>
      <c r="B1810" s="75" t="s">
        <v>221</v>
      </c>
      <c r="C1810" s="75" t="s">
        <v>1943</v>
      </c>
      <c r="D1810" s="76">
        <v>46076</v>
      </c>
      <c r="E1810" s="75" t="s">
        <v>962</v>
      </c>
      <c r="F1810" s="74">
        <v>4000</v>
      </c>
      <c r="G1810" s="75" t="s">
        <v>719</v>
      </c>
      <c r="H1810" s="77" t="str">
        <f>VLOOKUP(DESPESAS[[#This Row],[Plano de Contas]],BASE!$B$3:$D$119,3,FALSE)</f>
        <v>Outros Serviços de Terceiros</v>
      </c>
      <c r="I1810" s="77" t="str">
        <f>IFERROR(VLOOKUP(DESPESAS[[#This Row],[Fornecedor]],Tabela2[],2,FALSE),"")</f>
        <v/>
      </c>
      <c r="J1810" s="77" t="str">
        <f>IFERROR(VLOOKUP(DESPESAS[[#This Row],[Plano de Contas]],BASE!$B$3:$F$119,4,FALSE),"")</f>
        <v>7 - SERVIÇOS DE TERCEIROS</v>
      </c>
      <c r="K1810" s="77" t="str">
        <f>IFERROR(VLOOKUP(DESPESAS[[#This Row],[Plano de Contas]],BASE!$B$3:$H$119,5,FALSE),"")</f>
        <v>FINANCEIRO</v>
      </c>
      <c r="L1810" s="77">
        <f>IFERROR(VLOOKUP(DESPESAS[[#This Row],[Plano de Contas]],BASE!$B$3:$H$119,6,FALSE),"")</f>
        <v>0</v>
      </c>
      <c r="M1810" s="77" t="str">
        <f>VLOOKUP(DESPESAS[[#This Row],[Plano de Contas]],BASE!$B$3:$H$119,7,FALSE)</f>
        <v>LETÍCIA</v>
      </c>
    </row>
    <row r="1811" spans="1:13" x14ac:dyDescent="0.25">
      <c r="A1811" s="74">
        <v>198587</v>
      </c>
      <c r="B1811" s="75" t="s">
        <v>232</v>
      </c>
      <c r="C1811" s="75" t="s">
        <v>1942</v>
      </c>
      <c r="D1811" s="76">
        <v>46076</v>
      </c>
      <c r="E1811" s="75" t="s">
        <v>774</v>
      </c>
      <c r="F1811" s="74">
        <v>310</v>
      </c>
      <c r="G1811" s="75" t="s">
        <v>1037</v>
      </c>
      <c r="H1811" s="77" t="str">
        <f>VLOOKUP(DESPESAS[[#This Row],[Plano de Contas]],BASE!$B$3:$D$119,3,FALSE)</f>
        <v>Construções e Reformas</v>
      </c>
      <c r="I1811" s="77" t="str">
        <f>IFERROR(VLOOKUP(DESPESAS[[#This Row],[Fornecedor]],Tabela2[],2,FALSE),"")</f>
        <v/>
      </c>
      <c r="J1811" s="77" t="str">
        <f>IFERROR(VLOOKUP(DESPESAS[[#This Row],[Plano de Contas]],BASE!$B$3:$F$119,4,FALSE),"")</f>
        <v>9 - INVESTIMENTOS</v>
      </c>
      <c r="K1811" s="77" t="str">
        <f>IFERROR(VLOOKUP(DESPESAS[[#This Row],[Plano de Contas]],BASE!$B$3:$H$119,5,FALSE),"")</f>
        <v>MANUTENÇÃO / TI</v>
      </c>
      <c r="L1811" s="77">
        <f>IFERROR(VLOOKUP(DESPESAS[[#This Row],[Plano de Contas]],BASE!$B$3:$H$119,6,FALSE),"")</f>
        <v>0</v>
      </c>
      <c r="M1811" s="77" t="str">
        <f>VLOOKUP(DESPESAS[[#This Row],[Plano de Contas]],BASE!$B$3:$H$119,7,FALSE)</f>
        <v>FÁBIO</v>
      </c>
    </row>
    <row r="1812" spans="1:13" x14ac:dyDescent="0.25">
      <c r="A1812" s="74">
        <v>198588</v>
      </c>
      <c r="B1812" s="75" t="s">
        <v>686</v>
      </c>
      <c r="C1812" s="75" t="s">
        <v>1941</v>
      </c>
      <c r="D1812" s="76">
        <v>46076</v>
      </c>
      <c r="E1812" s="75" t="s">
        <v>325</v>
      </c>
      <c r="F1812" s="74">
        <v>1522.58</v>
      </c>
      <c r="G1812" s="75" t="s">
        <v>747</v>
      </c>
      <c r="H1812" s="77" t="str">
        <f>VLOOKUP(DESPESAS[[#This Row],[Plano de Contas]],BASE!$B$3:$D$119,3,FALSE)</f>
        <v>Cursos e Treinamentos (Adm)</v>
      </c>
      <c r="I1812" s="77" t="str">
        <f>IFERROR(VLOOKUP(DESPESAS[[#This Row],[Fornecedor]],Tabela2[],2,FALSE),"")</f>
        <v/>
      </c>
      <c r="J1812" s="77" t="str">
        <f>IFERROR(VLOOKUP(DESPESAS[[#This Row],[Plano de Contas]],BASE!$B$3:$F$119,4,FALSE),"")</f>
        <v>4 - GASTOS COM PESSOAL</v>
      </c>
      <c r="K1812" s="77" t="str">
        <f>IFERROR(VLOOKUP(DESPESAS[[#This Row],[Plano de Contas]],BASE!$B$3:$H$119,5,FALSE),"")</f>
        <v>DIRETORIA</v>
      </c>
      <c r="L1812" s="77">
        <f>IFERROR(VLOOKUP(DESPESAS[[#This Row],[Plano de Contas]],BASE!$B$3:$H$119,6,FALSE),"")</f>
        <v>0</v>
      </c>
      <c r="M1812" s="77" t="str">
        <f>VLOOKUP(DESPESAS[[#This Row],[Plano de Contas]],BASE!$B$3:$H$119,7,FALSE)</f>
        <v>FÁBIO</v>
      </c>
    </row>
    <row r="1813" spans="1:13" x14ac:dyDescent="0.25">
      <c r="A1813" s="74">
        <v>198590</v>
      </c>
      <c r="B1813" s="75" t="s">
        <v>221</v>
      </c>
      <c r="C1813" s="75" t="s">
        <v>1940</v>
      </c>
      <c r="D1813" s="76">
        <v>46076</v>
      </c>
      <c r="E1813" s="75" t="s">
        <v>239</v>
      </c>
      <c r="F1813" s="74">
        <v>12.9</v>
      </c>
      <c r="G1813" s="75" t="s">
        <v>238</v>
      </c>
      <c r="H1813" s="77" t="str">
        <f>VLOOKUP(DESPESAS[[#This Row],[Plano de Contas]],BASE!$B$3:$D$119,3,FALSE)</f>
        <v>Consultoria Comercial</v>
      </c>
      <c r="I1813" s="77" t="str">
        <f>IFERROR(VLOOKUP(DESPESAS[[#This Row],[Fornecedor]],Tabela2[],2,FALSE),"")</f>
        <v/>
      </c>
      <c r="J1813" s="77" t="str">
        <f>IFERROR(VLOOKUP(DESPESAS[[#This Row],[Plano de Contas]],BASE!$B$3:$F$119,4,FALSE),"")</f>
        <v>6 - DESPESA COM VENDAS</v>
      </c>
      <c r="K1813" s="77" t="str">
        <f>IFERROR(VLOOKUP(DESPESAS[[#This Row],[Plano de Contas]],BASE!$B$3:$H$119,5,FALSE),"")</f>
        <v>COMERCIAL</v>
      </c>
      <c r="L1813" s="77">
        <f>IFERROR(VLOOKUP(DESPESAS[[#This Row],[Plano de Contas]],BASE!$B$3:$H$119,6,FALSE),"")</f>
        <v>0</v>
      </c>
      <c r="M1813" s="77" t="str">
        <f>VLOOKUP(DESPESAS[[#This Row],[Plano de Contas]],BASE!$B$3:$H$119,7,FALSE)</f>
        <v>LETÍCIA</v>
      </c>
    </row>
    <row r="1814" spans="1:13" x14ac:dyDescent="0.25">
      <c r="A1814" s="74">
        <v>198591</v>
      </c>
      <c r="B1814" s="75" t="s">
        <v>221</v>
      </c>
      <c r="C1814" s="75" t="s">
        <v>1939</v>
      </c>
      <c r="D1814" s="76">
        <v>46076</v>
      </c>
      <c r="E1814" s="75" t="s">
        <v>239</v>
      </c>
      <c r="F1814" s="74">
        <v>22</v>
      </c>
      <c r="G1814" s="75" t="s">
        <v>238</v>
      </c>
      <c r="H1814" s="77" t="str">
        <f>VLOOKUP(DESPESAS[[#This Row],[Plano de Contas]],BASE!$B$3:$D$119,3,FALSE)</f>
        <v>Consultoria Comercial</v>
      </c>
      <c r="I1814" s="77" t="str">
        <f>IFERROR(VLOOKUP(DESPESAS[[#This Row],[Fornecedor]],Tabela2[],2,FALSE),"")</f>
        <v/>
      </c>
      <c r="J1814" s="77" t="str">
        <f>IFERROR(VLOOKUP(DESPESAS[[#This Row],[Plano de Contas]],BASE!$B$3:$F$119,4,FALSE),"")</f>
        <v>6 - DESPESA COM VENDAS</v>
      </c>
      <c r="K1814" s="77" t="str">
        <f>IFERROR(VLOOKUP(DESPESAS[[#This Row],[Plano de Contas]],BASE!$B$3:$H$119,5,FALSE),"")</f>
        <v>COMERCIAL</v>
      </c>
      <c r="L1814" s="77">
        <f>IFERROR(VLOOKUP(DESPESAS[[#This Row],[Plano de Contas]],BASE!$B$3:$H$119,6,FALSE),"")</f>
        <v>0</v>
      </c>
      <c r="M1814" s="77" t="str">
        <f>VLOOKUP(DESPESAS[[#This Row],[Plano de Contas]],BASE!$B$3:$H$119,7,FALSE)</f>
        <v>LETÍCIA</v>
      </c>
    </row>
    <row r="1815" spans="1:13" x14ac:dyDescent="0.25">
      <c r="A1815" s="74">
        <v>198592</v>
      </c>
      <c r="B1815" s="75" t="s">
        <v>221</v>
      </c>
      <c r="C1815" s="75" t="s">
        <v>1938</v>
      </c>
      <c r="D1815" s="76">
        <v>46076</v>
      </c>
      <c r="E1815" s="75" t="s">
        <v>239</v>
      </c>
      <c r="F1815" s="74">
        <v>140</v>
      </c>
      <c r="G1815" s="75" t="s">
        <v>238</v>
      </c>
      <c r="H1815" s="77" t="str">
        <f>VLOOKUP(DESPESAS[[#This Row],[Plano de Contas]],BASE!$B$3:$D$119,3,FALSE)</f>
        <v>Consultoria Comercial</v>
      </c>
      <c r="I1815" s="77" t="str">
        <f>IFERROR(VLOOKUP(DESPESAS[[#This Row],[Fornecedor]],Tabela2[],2,FALSE),"")</f>
        <v/>
      </c>
      <c r="J1815" s="77" t="str">
        <f>IFERROR(VLOOKUP(DESPESAS[[#This Row],[Plano de Contas]],BASE!$B$3:$F$119,4,FALSE),"")</f>
        <v>6 - DESPESA COM VENDAS</v>
      </c>
      <c r="K1815" s="77" t="str">
        <f>IFERROR(VLOOKUP(DESPESAS[[#This Row],[Plano de Contas]],BASE!$B$3:$H$119,5,FALSE),"")</f>
        <v>COMERCIAL</v>
      </c>
      <c r="L1815" s="77">
        <f>IFERROR(VLOOKUP(DESPESAS[[#This Row],[Plano de Contas]],BASE!$B$3:$H$119,6,FALSE),"")</f>
        <v>0</v>
      </c>
      <c r="M1815" s="77" t="str">
        <f>VLOOKUP(DESPESAS[[#This Row],[Plano de Contas]],BASE!$B$3:$H$119,7,FALSE)</f>
        <v>LETÍCIA</v>
      </c>
    </row>
    <row r="1816" spans="1:13" x14ac:dyDescent="0.25">
      <c r="A1816" s="74">
        <v>198593</v>
      </c>
      <c r="B1816" s="75" t="s">
        <v>221</v>
      </c>
      <c r="C1816" s="75" t="s">
        <v>1937</v>
      </c>
      <c r="D1816" s="76">
        <v>46076</v>
      </c>
      <c r="E1816" s="75" t="s">
        <v>1936</v>
      </c>
      <c r="F1816" s="74">
        <v>2913</v>
      </c>
      <c r="G1816" s="75" t="s">
        <v>1318</v>
      </c>
      <c r="H1816" s="77" t="str">
        <f>VLOOKUP(DESPESAS[[#This Row],[Plano de Contas]],BASE!$B$3:$D$119,3,FALSE)</f>
        <v>Feiras e Eventos</v>
      </c>
      <c r="I1816" s="77" t="str">
        <f>IFERROR(VLOOKUP(DESPESAS[[#This Row],[Fornecedor]],Tabela2[],2,FALSE),"")</f>
        <v/>
      </c>
      <c r="J1816" s="77" t="str">
        <f>IFERROR(VLOOKUP(DESPESAS[[#This Row],[Plano de Contas]],BASE!$B$3:$F$119,4,FALSE),"")</f>
        <v>6 - DESPESA COM VENDAS</v>
      </c>
      <c r="K1816" s="77" t="str">
        <f>IFERROR(VLOOKUP(DESPESAS[[#This Row],[Plano de Contas]],BASE!$B$3:$H$119,5,FALSE),"")</f>
        <v>COMERCIAL</v>
      </c>
      <c r="L1816" s="77">
        <f>IFERROR(VLOOKUP(DESPESAS[[#This Row],[Plano de Contas]],BASE!$B$3:$H$119,6,FALSE),"")</f>
        <v>0</v>
      </c>
      <c r="M1816" s="77" t="str">
        <f>VLOOKUP(DESPESAS[[#This Row],[Plano de Contas]],BASE!$B$3:$H$119,7,FALSE)</f>
        <v>THAIS</v>
      </c>
    </row>
    <row r="1817" spans="1:13" x14ac:dyDescent="0.25">
      <c r="A1817" s="74">
        <v>198594</v>
      </c>
      <c r="B1817" s="75" t="s">
        <v>221</v>
      </c>
      <c r="C1817" s="75" t="s">
        <v>1935</v>
      </c>
      <c r="D1817" s="76">
        <v>46076</v>
      </c>
      <c r="E1817" s="75" t="s">
        <v>720</v>
      </c>
      <c r="F1817" s="74">
        <v>200</v>
      </c>
      <c r="G1817" s="75" t="s">
        <v>719</v>
      </c>
      <c r="H1817" s="77" t="str">
        <f>VLOOKUP(DESPESAS[[#This Row],[Plano de Contas]],BASE!$B$3:$D$119,3,FALSE)</f>
        <v>Outros Serviços de Terceiros</v>
      </c>
      <c r="I1817" s="77" t="str">
        <f>IFERROR(VLOOKUP(DESPESAS[[#This Row],[Fornecedor]],Tabela2[],2,FALSE),"")</f>
        <v/>
      </c>
      <c r="J1817" s="77" t="str">
        <f>IFERROR(VLOOKUP(DESPESAS[[#This Row],[Plano de Contas]],BASE!$B$3:$F$119,4,FALSE),"")</f>
        <v>7 - SERVIÇOS DE TERCEIROS</v>
      </c>
      <c r="K1817" s="77" t="str">
        <f>IFERROR(VLOOKUP(DESPESAS[[#This Row],[Plano de Contas]],BASE!$B$3:$H$119,5,FALSE),"")</f>
        <v>FINANCEIRO</v>
      </c>
      <c r="L1817" s="77">
        <f>IFERROR(VLOOKUP(DESPESAS[[#This Row],[Plano de Contas]],BASE!$B$3:$H$119,6,FALSE),"")</f>
        <v>0</v>
      </c>
      <c r="M1817" s="77" t="str">
        <f>VLOOKUP(DESPESAS[[#This Row],[Plano de Contas]],BASE!$B$3:$H$119,7,FALSE)</f>
        <v>LETÍCIA</v>
      </c>
    </row>
    <row r="1818" spans="1:13" x14ac:dyDescent="0.25">
      <c r="A1818" s="74">
        <v>198595</v>
      </c>
      <c r="B1818" s="75" t="s">
        <v>221</v>
      </c>
      <c r="C1818" s="75" t="s">
        <v>1934</v>
      </c>
      <c r="D1818" s="76">
        <v>46076</v>
      </c>
      <c r="E1818" s="75" t="s">
        <v>720</v>
      </c>
      <c r="F1818" s="74">
        <v>200</v>
      </c>
      <c r="G1818" s="75" t="s">
        <v>719</v>
      </c>
      <c r="H1818" s="77" t="str">
        <f>VLOOKUP(DESPESAS[[#This Row],[Plano de Contas]],BASE!$B$3:$D$119,3,FALSE)</f>
        <v>Outros Serviços de Terceiros</v>
      </c>
      <c r="I1818" s="77" t="str">
        <f>IFERROR(VLOOKUP(DESPESAS[[#This Row],[Fornecedor]],Tabela2[],2,FALSE),"")</f>
        <v/>
      </c>
      <c r="J1818" s="77" t="str">
        <f>IFERROR(VLOOKUP(DESPESAS[[#This Row],[Plano de Contas]],BASE!$B$3:$F$119,4,FALSE),"")</f>
        <v>7 - SERVIÇOS DE TERCEIROS</v>
      </c>
      <c r="K1818" s="77" t="str">
        <f>IFERROR(VLOOKUP(DESPESAS[[#This Row],[Plano de Contas]],BASE!$B$3:$H$119,5,FALSE),"")</f>
        <v>FINANCEIRO</v>
      </c>
      <c r="L1818" s="77">
        <f>IFERROR(VLOOKUP(DESPESAS[[#This Row],[Plano de Contas]],BASE!$B$3:$H$119,6,FALSE),"")</f>
        <v>0</v>
      </c>
      <c r="M1818" s="77" t="str">
        <f>VLOOKUP(DESPESAS[[#This Row],[Plano de Contas]],BASE!$B$3:$H$119,7,FALSE)</f>
        <v>LETÍCIA</v>
      </c>
    </row>
    <row r="1819" spans="1:13" x14ac:dyDescent="0.25">
      <c r="A1819" s="74">
        <v>198596</v>
      </c>
      <c r="B1819" s="75" t="s">
        <v>221</v>
      </c>
      <c r="C1819" s="75" t="s">
        <v>1933</v>
      </c>
      <c r="D1819" s="76">
        <v>46076</v>
      </c>
      <c r="E1819" s="75" t="s">
        <v>720</v>
      </c>
      <c r="F1819" s="74">
        <v>100</v>
      </c>
      <c r="G1819" s="75" t="s">
        <v>719</v>
      </c>
      <c r="H1819" s="77" t="str">
        <f>VLOOKUP(DESPESAS[[#This Row],[Plano de Contas]],BASE!$B$3:$D$119,3,FALSE)</f>
        <v>Outros Serviços de Terceiros</v>
      </c>
      <c r="I1819" s="77" t="str">
        <f>IFERROR(VLOOKUP(DESPESAS[[#This Row],[Fornecedor]],Tabela2[],2,FALSE),"")</f>
        <v/>
      </c>
      <c r="J1819" s="77" t="str">
        <f>IFERROR(VLOOKUP(DESPESAS[[#This Row],[Plano de Contas]],BASE!$B$3:$F$119,4,FALSE),"")</f>
        <v>7 - SERVIÇOS DE TERCEIROS</v>
      </c>
      <c r="K1819" s="77" t="str">
        <f>IFERROR(VLOOKUP(DESPESAS[[#This Row],[Plano de Contas]],BASE!$B$3:$H$119,5,FALSE),"")</f>
        <v>FINANCEIRO</v>
      </c>
      <c r="L1819" s="77">
        <f>IFERROR(VLOOKUP(DESPESAS[[#This Row],[Plano de Contas]],BASE!$B$3:$H$119,6,FALSE),"")</f>
        <v>0</v>
      </c>
      <c r="M1819" s="77" t="str">
        <f>VLOOKUP(DESPESAS[[#This Row],[Plano de Contas]],BASE!$B$3:$H$119,7,FALSE)</f>
        <v>LETÍCIA</v>
      </c>
    </row>
    <row r="1820" spans="1:13" x14ac:dyDescent="0.25">
      <c r="A1820" s="74">
        <v>198598</v>
      </c>
      <c r="B1820" s="75" t="s">
        <v>221</v>
      </c>
      <c r="C1820" s="75" t="s">
        <v>1932</v>
      </c>
      <c r="D1820" s="76">
        <v>46076</v>
      </c>
      <c r="E1820" s="75" t="s">
        <v>366</v>
      </c>
      <c r="F1820" s="74">
        <v>9160</v>
      </c>
      <c r="G1820" s="75" t="s">
        <v>365</v>
      </c>
      <c r="H1820" s="77" t="str">
        <f>VLOOKUP(DESPESAS[[#This Row],[Plano de Contas]],BASE!$B$3:$D$119,3,FALSE)</f>
        <v>Pró-Labore</v>
      </c>
      <c r="I1820" s="77" t="str">
        <f>IFERROR(VLOOKUP(DESPESAS[[#This Row],[Fornecedor]],Tabela2[],2,FALSE),"")</f>
        <v/>
      </c>
      <c r="J1820" s="77" t="str">
        <f>IFERROR(VLOOKUP(DESPESAS[[#This Row],[Plano de Contas]],BASE!$B$3:$F$119,4,FALSE),"")</f>
        <v>4 - GASTOS COM PESSOAL</v>
      </c>
      <c r="K1820" s="77" t="str">
        <f>IFERROR(VLOOKUP(DESPESAS[[#This Row],[Plano de Contas]],BASE!$B$3:$H$119,5,FALSE),"")</f>
        <v>DIRETORIA</v>
      </c>
      <c r="L1820" s="77">
        <f>IFERROR(VLOOKUP(DESPESAS[[#This Row],[Plano de Contas]],BASE!$B$3:$H$119,6,FALSE),"")</f>
        <v>0</v>
      </c>
      <c r="M1820" s="77" t="str">
        <f>VLOOKUP(DESPESAS[[#This Row],[Plano de Contas]],BASE!$B$3:$H$119,7,FALSE)</f>
        <v>FÁBIO</v>
      </c>
    </row>
    <row r="1821" spans="1:13" x14ac:dyDescent="0.25">
      <c r="A1821" s="74">
        <v>198599</v>
      </c>
      <c r="B1821" s="75" t="s">
        <v>221</v>
      </c>
      <c r="C1821" s="75" t="s">
        <v>1932</v>
      </c>
      <c r="D1821" s="76">
        <v>46076</v>
      </c>
      <c r="E1821" s="75" t="s">
        <v>570</v>
      </c>
      <c r="F1821" s="74">
        <v>1000</v>
      </c>
      <c r="G1821" s="75" t="s">
        <v>365</v>
      </c>
      <c r="H1821" s="77" t="str">
        <f>VLOOKUP(DESPESAS[[#This Row],[Plano de Contas]],BASE!$B$3:$D$119,3,FALSE)</f>
        <v>Pró-Labore</v>
      </c>
      <c r="I1821" s="77" t="str">
        <f>IFERROR(VLOOKUP(DESPESAS[[#This Row],[Fornecedor]],Tabela2[],2,FALSE),"")</f>
        <v/>
      </c>
      <c r="J1821" s="77" t="str">
        <f>IFERROR(VLOOKUP(DESPESAS[[#This Row],[Plano de Contas]],BASE!$B$3:$F$119,4,FALSE),"")</f>
        <v>4 - GASTOS COM PESSOAL</v>
      </c>
      <c r="K1821" s="77" t="str">
        <f>IFERROR(VLOOKUP(DESPESAS[[#This Row],[Plano de Contas]],BASE!$B$3:$H$119,5,FALSE),"")</f>
        <v>DIRETORIA</v>
      </c>
      <c r="L1821" s="77">
        <f>IFERROR(VLOOKUP(DESPESAS[[#This Row],[Plano de Contas]],BASE!$B$3:$H$119,6,FALSE),"")</f>
        <v>0</v>
      </c>
      <c r="M1821" s="77" t="str">
        <f>VLOOKUP(DESPESAS[[#This Row],[Plano de Contas]],BASE!$B$3:$H$119,7,FALSE)</f>
        <v>FÁBIO</v>
      </c>
    </row>
    <row r="1822" spans="1:13" x14ac:dyDescent="0.25">
      <c r="A1822" s="74">
        <v>198600</v>
      </c>
      <c r="B1822" s="75" t="s">
        <v>281</v>
      </c>
      <c r="C1822" s="75" t="s">
        <v>1932</v>
      </c>
      <c r="D1822" s="76">
        <v>46076</v>
      </c>
      <c r="E1822" s="75" t="s">
        <v>369</v>
      </c>
      <c r="F1822" s="74">
        <v>6600</v>
      </c>
      <c r="G1822" s="75" t="s">
        <v>365</v>
      </c>
      <c r="H1822" s="77" t="str">
        <f>VLOOKUP(DESPESAS[[#This Row],[Plano de Contas]],BASE!$B$3:$D$119,3,FALSE)</f>
        <v>Pró-Labore</v>
      </c>
      <c r="I1822" s="77" t="str">
        <f>IFERROR(VLOOKUP(DESPESAS[[#This Row],[Fornecedor]],Tabela2[],2,FALSE),"")</f>
        <v/>
      </c>
      <c r="J1822" s="77" t="str">
        <f>IFERROR(VLOOKUP(DESPESAS[[#This Row],[Plano de Contas]],BASE!$B$3:$F$119,4,FALSE),"")</f>
        <v>4 - GASTOS COM PESSOAL</v>
      </c>
      <c r="K1822" s="77" t="str">
        <f>IFERROR(VLOOKUP(DESPESAS[[#This Row],[Plano de Contas]],BASE!$B$3:$H$119,5,FALSE),"")</f>
        <v>DIRETORIA</v>
      </c>
      <c r="L1822" s="77">
        <f>IFERROR(VLOOKUP(DESPESAS[[#This Row],[Plano de Contas]],BASE!$B$3:$H$119,6,FALSE),"")</f>
        <v>0</v>
      </c>
      <c r="M1822" s="77" t="str">
        <f>VLOOKUP(DESPESAS[[#This Row],[Plano de Contas]],BASE!$B$3:$H$119,7,FALSE)</f>
        <v>FÁBIO</v>
      </c>
    </row>
    <row r="1823" spans="1:13" x14ac:dyDescent="0.25">
      <c r="A1823" s="74">
        <v>198601</v>
      </c>
      <c r="B1823" s="75" t="s">
        <v>279</v>
      </c>
      <c r="C1823" s="75" t="s">
        <v>1932</v>
      </c>
      <c r="D1823" s="76">
        <v>46076</v>
      </c>
      <c r="E1823" s="75" t="s">
        <v>368</v>
      </c>
      <c r="F1823" s="74">
        <v>4200</v>
      </c>
      <c r="G1823" s="75" t="s">
        <v>365</v>
      </c>
      <c r="H1823" s="77" t="str">
        <f>VLOOKUP(DESPESAS[[#This Row],[Plano de Contas]],BASE!$B$3:$D$119,3,FALSE)</f>
        <v>Pró-Labore</v>
      </c>
      <c r="I1823" s="77" t="str">
        <f>IFERROR(VLOOKUP(DESPESAS[[#This Row],[Fornecedor]],Tabela2[],2,FALSE),"")</f>
        <v/>
      </c>
      <c r="J1823" s="77" t="str">
        <f>IFERROR(VLOOKUP(DESPESAS[[#This Row],[Plano de Contas]],BASE!$B$3:$F$119,4,FALSE),"")</f>
        <v>4 - GASTOS COM PESSOAL</v>
      </c>
      <c r="K1823" s="77" t="str">
        <f>IFERROR(VLOOKUP(DESPESAS[[#This Row],[Plano de Contas]],BASE!$B$3:$H$119,5,FALSE),"")</f>
        <v>DIRETORIA</v>
      </c>
      <c r="L1823" s="77">
        <f>IFERROR(VLOOKUP(DESPESAS[[#This Row],[Plano de Contas]],BASE!$B$3:$H$119,6,FALSE),"")</f>
        <v>0</v>
      </c>
      <c r="M1823" s="77" t="str">
        <f>VLOOKUP(DESPESAS[[#This Row],[Plano de Contas]],BASE!$B$3:$H$119,7,FALSE)</f>
        <v>FÁBIO</v>
      </c>
    </row>
    <row r="1824" spans="1:13" x14ac:dyDescent="0.25">
      <c r="A1824" s="74">
        <v>198602</v>
      </c>
      <c r="B1824" s="75" t="s">
        <v>221</v>
      </c>
      <c r="C1824" s="75" t="s">
        <v>1931</v>
      </c>
      <c r="D1824" s="76">
        <v>46077</v>
      </c>
      <c r="E1824" s="75" t="s">
        <v>219</v>
      </c>
      <c r="F1824" s="74">
        <v>70</v>
      </c>
      <c r="G1824" s="75" t="s">
        <v>218</v>
      </c>
      <c r="H1824" s="77" t="str">
        <f>VLOOKUP(DESPESAS[[#This Row],[Plano de Contas]],BASE!$B$3:$D$119,3,FALSE)</f>
        <v>Manutenção de Equipamentos (Prod)</v>
      </c>
      <c r="I1824" s="77" t="str">
        <f>IFERROR(VLOOKUP(DESPESAS[[#This Row],[Fornecedor]],Tabela2[],2,FALSE),"")</f>
        <v>MAQUINAS DE COSTURA</v>
      </c>
      <c r="J1824" s="77" t="str">
        <f>IFERROR(VLOOKUP(DESPESAS[[#This Row],[Plano de Contas]],BASE!$B$3:$F$119,4,FALSE),"")</f>
        <v>3 - CUSTOS INDIRETOS</v>
      </c>
      <c r="K1824" s="77" t="str">
        <f>IFERROR(VLOOKUP(DESPESAS[[#This Row],[Plano de Contas]],BASE!$B$3:$H$119,5,FALSE),"")</f>
        <v>MANUTENÇÃO / TI</v>
      </c>
      <c r="L1824" s="77">
        <f>IFERROR(VLOOKUP(DESPESAS[[#This Row],[Plano de Contas]],BASE!$B$3:$H$119,6,FALSE),"")</f>
        <v>0</v>
      </c>
      <c r="M1824" s="77" t="str">
        <f>VLOOKUP(DESPESAS[[#This Row],[Plano de Contas]],BASE!$B$3:$H$119,7,FALSE)</f>
        <v>RAFAEL</v>
      </c>
    </row>
    <row r="1825" spans="1:13" x14ac:dyDescent="0.25">
      <c r="A1825" s="74">
        <v>198603</v>
      </c>
      <c r="B1825" s="75" t="s">
        <v>232</v>
      </c>
      <c r="C1825" s="75" t="s">
        <v>1930</v>
      </c>
      <c r="D1825" s="76">
        <v>46076</v>
      </c>
      <c r="E1825" s="75" t="s">
        <v>230</v>
      </c>
      <c r="F1825" s="74">
        <v>19.75</v>
      </c>
      <c r="G1825" s="75" t="s">
        <v>229</v>
      </c>
      <c r="H1825" s="77" t="str">
        <f>VLOOKUP(DESPESAS[[#This Row],[Plano de Contas]],BASE!$B$3:$D$119,3,FALSE)</f>
        <v>Despesas Bancarias</v>
      </c>
      <c r="I1825" s="77" t="str">
        <f>IFERROR(VLOOKUP(DESPESAS[[#This Row],[Fornecedor]],Tabela2[],2,FALSE),"")</f>
        <v/>
      </c>
      <c r="J1825" s="77" t="str">
        <f>IFERROR(VLOOKUP(DESPESAS[[#This Row],[Plano de Contas]],BASE!$B$3:$F$119,4,FALSE),"")</f>
        <v>8 - DESPESAS FINANCEIRAS</v>
      </c>
      <c r="K1825" s="77" t="str">
        <f>IFERROR(VLOOKUP(DESPESAS[[#This Row],[Plano de Contas]],BASE!$B$3:$H$119,5,FALSE),"")</f>
        <v>FINANCEIRO</v>
      </c>
      <c r="L1825" s="77">
        <f>IFERROR(VLOOKUP(DESPESAS[[#This Row],[Plano de Contas]],BASE!$B$3:$H$119,6,FALSE),"")</f>
        <v>0</v>
      </c>
      <c r="M1825" s="77" t="str">
        <f>VLOOKUP(DESPESAS[[#This Row],[Plano de Contas]],BASE!$B$3:$H$119,7,FALSE)</f>
        <v>LETÍCIA</v>
      </c>
    </row>
    <row r="1826" spans="1:13" x14ac:dyDescent="0.25">
      <c r="A1826" s="74">
        <v>198604</v>
      </c>
      <c r="B1826" s="75" t="s">
        <v>232</v>
      </c>
      <c r="C1826" s="75" t="s">
        <v>1929</v>
      </c>
      <c r="D1826" s="76">
        <v>46077</v>
      </c>
      <c r="E1826" s="75" t="s">
        <v>230</v>
      </c>
      <c r="F1826" s="74">
        <v>1.75</v>
      </c>
      <c r="G1826" s="75" t="s">
        <v>229</v>
      </c>
      <c r="H1826" s="77" t="str">
        <f>VLOOKUP(DESPESAS[[#This Row],[Plano de Contas]],BASE!$B$3:$D$119,3,FALSE)</f>
        <v>Despesas Bancarias</v>
      </c>
      <c r="I1826" s="77" t="str">
        <f>IFERROR(VLOOKUP(DESPESAS[[#This Row],[Fornecedor]],Tabela2[],2,FALSE),"")</f>
        <v/>
      </c>
      <c r="J1826" s="77" t="str">
        <f>IFERROR(VLOOKUP(DESPESAS[[#This Row],[Plano de Contas]],BASE!$B$3:$F$119,4,FALSE),"")</f>
        <v>8 - DESPESAS FINANCEIRAS</v>
      </c>
      <c r="K1826" s="77" t="str">
        <f>IFERROR(VLOOKUP(DESPESAS[[#This Row],[Plano de Contas]],BASE!$B$3:$H$119,5,FALSE),"")</f>
        <v>FINANCEIRO</v>
      </c>
      <c r="L1826" s="77">
        <f>IFERROR(VLOOKUP(DESPESAS[[#This Row],[Plano de Contas]],BASE!$B$3:$H$119,6,FALSE),"")</f>
        <v>0</v>
      </c>
      <c r="M1826" s="77" t="str">
        <f>VLOOKUP(DESPESAS[[#This Row],[Plano de Contas]],BASE!$B$3:$H$119,7,FALSE)</f>
        <v>LETÍCIA</v>
      </c>
    </row>
    <row r="1827" spans="1:13" x14ac:dyDescent="0.25">
      <c r="A1827" s="74">
        <v>198605</v>
      </c>
      <c r="B1827" s="75" t="s">
        <v>279</v>
      </c>
      <c r="C1827" s="75" t="s">
        <v>1928</v>
      </c>
      <c r="D1827" s="76">
        <v>46076</v>
      </c>
      <c r="E1827" s="75" t="s">
        <v>230</v>
      </c>
      <c r="F1827" s="74">
        <v>0.79</v>
      </c>
      <c r="G1827" s="75" t="s">
        <v>229</v>
      </c>
      <c r="H1827" s="77" t="str">
        <f>VLOOKUP(DESPESAS[[#This Row],[Plano de Contas]],BASE!$B$3:$D$119,3,FALSE)</f>
        <v>Despesas Bancarias</v>
      </c>
      <c r="I1827" s="77" t="str">
        <f>IFERROR(VLOOKUP(DESPESAS[[#This Row],[Fornecedor]],Tabela2[],2,FALSE),"")</f>
        <v/>
      </c>
      <c r="J1827" s="77" t="str">
        <f>IFERROR(VLOOKUP(DESPESAS[[#This Row],[Plano de Contas]],BASE!$B$3:$F$119,4,FALSE),"")</f>
        <v>8 - DESPESAS FINANCEIRAS</v>
      </c>
      <c r="K1827" s="77" t="str">
        <f>IFERROR(VLOOKUP(DESPESAS[[#This Row],[Plano de Contas]],BASE!$B$3:$H$119,5,FALSE),"")</f>
        <v>FINANCEIRO</v>
      </c>
      <c r="L1827" s="77">
        <f>IFERROR(VLOOKUP(DESPESAS[[#This Row],[Plano de Contas]],BASE!$B$3:$H$119,6,FALSE),"")</f>
        <v>0</v>
      </c>
      <c r="M1827" s="77" t="str">
        <f>VLOOKUP(DESPESAS[[#This Row],[Plano de Contas]],BASE!$B$3:$H$119,7,FALSE)</f>
        <v>LETÍCIA</v>
      </c>
    </row>
    <row r="1828" spans="1:13" x14ac:dyDescent="0.25">
      <c r="A1828" s="74">
        <v>198606</v>
      </c>
      <c r="B1828" s="75" t="s">
        <v>281</v>
      </c>
      <c r="C1828" s="75" t="s">
        <v>1928</v>
      </c>
      <c r="D1828" s="76">
        <v>46076</v>
      </c>
      <c r="E1828" s="75" t="s">
        <v>230</v>
      </c>
      <c r="F1828" s="74">
        <v>0.79</v>
      </c>
      <c r="G1828" s="75" t="s">
        <v>229</v>
      </c>
      <c r="H1828" s="77" t="str">
        <f>VLOOKUP(DESPESAS[[#This Row],[Plano de Contas]],BASE!$B$3:$D$119,3,FALSE)</f>
        <v>Despesas Bancarias</v>
      </c>
      <c r="I1828" s="77" t="str">
        <f>IFERROR(VLOOKUP(DESPESAS[[#This Row],[Fornecedor]],Tabela2[],2,FALSE),"")</f>
        <v/>
      </c>
      <c r="J1828" s="77" t="str">
        <f>IFERROR(VLOOKUP(DESPESAS[[#This Row],[Plano de Contas]],BASE!$B$3:$F$119,4,FALSE),"")</f>
        <v>8 - DESPESAS FINANCEIRAS</v>
      </c>
      <c r="K1828" s="77" t="str">
        <f>IFERROR(VLOOKUP(DESPESAS[[#This Row],[Plano de Contas]],BASE!$B$3:$H$119,5,FALSE),"")</f>
        <v>FINANCEIRO</v>
      </c>
      <c r="L1828" s="77">
        <f>IFERROR(VLOOKUP(DESPESAS[[#This Row],[Plano de Contas]],BASE!$B$3:$H$119,6,FALSE),"")</f>
        <v>0</v>
      </c>
      <c r="M1828" s="77" t="str">
        <f>VLOOKUP(DESPESAS[[#This Row],[Plano de Contas]],BASE!$B$3:$H$119,7,FALSE)</f>
        <v>LETÍCIA</v>
      </c>
    </row>
    <row r="1829" spans="1:13" x14ac:dyDescent="0.25">
      <c r="A1829" s="74">
        <v>198607</v>
      </c>
      <c r="B1829" s="75" t="s">
        <v>221</v>
      </c>
      <c r="C1829" s="75" t="s">
        <v>1927</v>
      </c>
      <c r="D1829" s="76">
        <v>46077</v>
      </c>
      <c r="E1829" s="75" t="s">
        <v>1394</v>
      </c>
      <c r="F1829" s="74">
        <v>3.8</v>
      </c>
      <c r="G1829" s="75" t="s">
        <v>229</v>
      </c>
      <c r="H1829" s="77" t="str">
        <f>VLOOKUP(DESPESAS[[#This Row],[Plano de Contas]],BASE!$B$3:$D$119,3,FALSE)</f>
        <v>Despesas Bancarias</v>
      </c>
      <c r="I1829" s="77" t="str">
        <f>IFERROR(VLOOKUP(DESPESAS[[#This Row],[Fornecedor]],Tabela2[],2,FALSE),"")</f>
        <v/>
      </c>
      <c r="J1829" s="77" t="str">
        <f>IFERROR(VLOOKUP(DESPESAS[[#This Row],[Plano de Contas]],BASE!$B$3:$F$119,4,FALSE),"")</f>
        <v>8 - DESPESAS FINANCEIRAS</v>
      </c>
      <c r="K1829" s="77" t="str">
        <f>IFERROR(VLOOKUP(DESPESAS[[#This Row],[Plano de Contas]],BASE!$B$3:$H$119,5,FALSE),"")</f>
        <v>FINANCEIRO</v>
      </c>
      <c r="L1829" s="77">
        <f>IFERROR(VLOOKUP(DESPESAS[[#This Row],[Plano de Contas]],BASE!$B$3:$H$119,6,FALSE),"")</f>
        <v>0</v>
      </c>
      <c r="M1829" s="77" t="str">
        <f>VLOOKUP(DESPESAS[[#This Row],[Plano de Contas]],BASE!$B$3:$H$119,7,FALSE)</f>
        <v>LETÍCIA</v>
      </c>
    </row>
    <row r="1830" spans="1:13" x14ac:dyDescent="0.25">
      <c r="A1830" s="74">
        <v>198608</v>
      </c>
      <c r="B1830" s="75" t="s">
        <v>232</v>
      </c>
      <c r="C1830" s="75" t="s">
        <v>1926</v>
      </c>
      <c r="D1830" s="76">
        <v>46077</v>
      </c>
      <c r="E1830" s="75" t="s">
        <v>499</v>
      </c>
      <c r="F1830" s="74">
        <v>165.34</v>
      </c>
      <c r="G1830" s="75" t="s">
        <v>326</v>
      </c>
      <c r="H1830" s="77" t="str">
        <f>VLOOKUP(DESPESAS[[#This Row],[Plano de Contas]],BASE!$B$3:$D$119,3,FALSE)</f>
        <v>Frete sobre Compras</v>
      </c>
      <c r="I1830" s="77" t="str">
        <f>IFERROR(VLOOKUP(DESPESAS[[#This Row],[Fornecedor]],Tabela2[],2,FALSE),"")</f>
        <v/>
      </c>
      <c r="J1830" s="77" t="str">
        <f>IFERROR(VLOOKUP(DESPESAS[[#This Row],[Plano de Contas]],BASE!$B$3:$F$119,4,FALSE),"")</f>
        <v>1 - CPV</v>
      </c>
      <c r="K1830" s="77" t="str">
        <f>IFERROR(VLOOKUP(DESPESAS[[#This Row],[Plano de Contas]],BASE!$B$3:$H$119,5,FALSE),"")</f>
        <v>COMPRAS</v>
      </c>
      <c r="L1830" s="77">
        <f>IFERROR(VLOOKUP(DESPESAS[[#This Row],[Plano de Contas]],BASE!$B$3:$H$119,6,FALSE),"")</f>
        <v>0</v>
      </c>
      <c r="M1830" s="77" t="str">
        <f>VLOOKUP(DESPESAS[[#This Row],[Plano de Contas]],BASE!$B$3:$H$119,7,FALSE)</f>
        <v>MYLENA</v>
      </c>
    </row>
    <row r="1831" spans="1:13" x14ac:dyDescent="0.25">
      <c r="A1831" s="74">
        <v>198611</v>
      </c>
      <c r="B1831" s="75" t="s">
        <v>232</v>
      </c>
      <c r="C1831" s="75" t="s">
        <v>1925</v>
      </c>
      <c r="D1831" s="76">
        <v>46077</v>
      </c>
      <c r="E1831" s="75" t="s">
        <v>327</v>
      </c>
      <c r="F1831" s="74">
        <v>289.64999999999998</v>
      </c>
      <c r="G1831" s="75" t="s">
        <v>218</v>
      </c>
      <c r="H1831" s="77" t="str">
        <f>VLOOKUP(DESPESAS[[#This Row],[Plano de Contas]],BASE!$B$3:$D$119,3,FALSE)</f>
        <v>Manutenção de Equipamentos (Prod)</v>
      </c>
      <c r="I1831" s="77" t="str">
        <f>IFERROR(VLOOKUP(DESPESAS[[#This Row],[Fornecedor]],Tabela2[],2,FALSE),"")</f>
        <v>SERVIÇOS FRETE</v>
      </c>
      <c r="J1831" s="77" t="str">
        <f>IFERROR(VLOOKUP(DESPESAS[[#This Row],[Plano de Contas]],BASE!$B$3:$F$119,4,FALSE),"")</f>
        <v>3 - CUSTOS INDIRETOS</v>
      </c>
      <c r="K1831" s="77" t="str">
        <f>IFERROR(VLOOKUP(DESPESAS[[#This Row],[Plano de Contas]],BASE!$B$3:$H$119,5,FALSE),"")</f>
        <v>MANUTENÇÃO / TI</v>
      </c>
      <c r="L1831" s="77">
        <f>IFERROR(VLOOKUP(DESPESAS[[#This Row],[Plano de Contas]],BASE!$B$3:$H$119,6,FALSE),"")</f>
        <v>0</v>
      </c>
      <c r="M1831" s="77" t="str">
        <f>VLOOKUP(DESPESAS[[#This Row],[Plano de Contas]],BASE!$B$3:$H$119,7,FALSE)</f>
        <v>RAFAEL</v>
      </c>
    </row>
    <row r="1832" spans="1:13" x14ac:dyDescent="0.25">
      <c r="A1832" s="74">
        <v>198612</v>
      </c>
      <c r="B1832" s="75" t="s">
        <v>221</v>
      </c>
      <c r="C1832" s="75" t="s">
        <v>1924</v>
      </c>
      <c r="D1832" s="76">
        <v>46073</v>
      </c>
      <c r="E1832" s="75" t="s">
        <v>413</v>
      </c>
      <c r="F1832" s="74">
        <v>1190</v>
      </c>
      <c r="G1832" s="75" t="s">
        <v>262</v>
      </c>
      <c r="H1832" s="77" t="str">
        <f>VLOOKUP(DESPESAS[[#This Row],[Plano de Contas]],BASE!$B$3:$D$119,3,FALSE)</f>
        <v>Fretes Karams</v>
      </c>
      <c r="I1832" s="77" t="str">
        <f>IFERROR(VLOOKUP(DESPESAS[[#This Row],[Fornecedor]],Tabela2[],2,FALSE),"")</f>
        <v/>
      </c>
      <c r="J1832" s="77" t="str">
        <f>IFERROR(VLOOKUP(DESPESAS[[#This Row],[Plano de Contas]],BASE!$B$3:$F$119,4,FALSE),"")</f>
        <v>6 - DESPESA COM VENDAS</v>
      </c>
      <c r="K1832" s="77" t="str">
        <f>IFERROR(VLOOKUP(DESPESAS[[#This Row],[Plano de Contas]],BASE!$B$3:$H$119,5,FALSE),"")</f>
        <v>LOGÍSTICA</v>
      </c>
      <c r="L1832" s="77">
        <f>IFERROR(VLOOKUP(DESPESAS[[#This Row],[Plano de Contas]],BASE!$B$3:$H$119,6,FALSE),"")</f>
        <v>0</v>
      </c>
      <c r="M1832" s="77" t="str">
        <f>VLOOKUP(DESPESAS[[#This Row],[Plano de Contas]],BASE!$B$3:$H$119,7,FALSE)</f>
        <v>MYLENA</v>
      </c>
    </row>
    <row r="1833" spans="1:13" x14ac:dyDescent="0.25">
      <c r="A1833" s="74">
        <v>198613</v>
      </c>
      <c r="B1833" s="75" t="s">
        <v>221</v>
      </c>
      <c r="C1833" s="75" t="s">
        <v>1923</v>
      </c>
      <c r="D1833" s="76">
        <v>46073</v>
      </c>
      <c r="E1833" s="75" t="s">
        <v>242</v>
      </c>
      <c r="F1833" s="74">
        <v>2344.2800000000002</v>
      </c>
      <c r="G1833" s="75" t="s">
        <v>241</v>
      </c>
      <c r="H1833" s="77" t="str">
        <f>VLOOKUP(DESPESAS[[#This Row],[Plano de Contas]],BASE!$B$3:$D$119,3,FALSE)</f>
        <v>Combustiveis Frota</v>
      </c>
      <c r="I1833" s="77" t="str">
        <f>IFERROR(VLOOKUP(DESPESAS[[#This Row],[Fornecedor]],Tabela2[],2,FALSE),"")</f>
        <v/>
      </c>
      <c r="J1833" s="77" t="str">
        <f>IFERROR(VLOOKUP(DESPESAS[[#This Row],[Plano de Contas]],BASE!$B$3:$F$119,4,FALSE),"")</f>
        <v>6 - DESPESA COM VENDAS</v>
      </c>
      <c r="K1833" s="77" t="str">
        <f>IFERROR(VLOOKUP(DESPESAS[[#This Row],[Plano de Contas]],BASE!$B$3:$H$119,5,FALSE),"")</f>
        <v>LOGÍSTICA</v>
      </c>
      <c r="L1833" s="77">
        <f>IFERROR(VLOOKUP(DESPESAS[[#This Row],[Plano de Contas]],BASE!$B$3:$H$119,6,FALSE),"")</f>
        <v>0</v>
      </c>
      <c r="M1833" s="77" t="str">
        <f>VLOOKUP(DESPESAS[[#This Row],[Plano de Contas]],BASE!$B$3:$H$119,7,FALSE)</f>
        <v>MYLENA</v>
      </c>
    </row>
    <row r="1834" spans="1:13" x14ac:dyDescent="0.25">
      <c r="A1834" s="74">
        <v>198615</v>
      </c>
      <c r="B1834" s="75" t="s">
        <v>221</v>
      </c>
      <c r="C1834" s="75" t="s">
        <v>1922</v>
      </c>
      <c r="D1834" s="76">
        <v>46077</v>
      </c>
      <c r="E1834" s="75" t="s">
        <v>307</v>
      </c>
      <c r="F1834" s="74">
        <v>74.75</v>
      </c>
      <c r="G1834" s="75" t="s">
        <v>1037</v>
      </c>
      <c r="H1834" s="77" t="str">
        <f>VLOOKUP(DESPESAS[[#This Row],[Plano de Contas]],BASE!$B$3:$D$119,3,FALSE)</f>
        <v>Construções e Reformas</v>
      </c>
      <c r="I1834" s="77" t="str">
        <f>IFERROR(VLOOKUP(DESPESAS[[#This Row],[Fornecedor]],Tabela2[],2,FALSE),"")</f>
        <v>FERRAGENS GERAIS</v>
      </c>
      <c r="J1834" s="77" t="str">
        <f>IFERROR(VLOOKUP(DESPESAS[[#This Row],[Plano de Contas]],BASE!$B$3:$F$119,4,FALSE),"")</f>
        <v>9 - INVESTIMENTOS</v>
      </c>
      <c r="K1834" s="77" t="str">
        <f>IFERROR(VLOOKUP(DESPESAS[[#This Row],[Plano de Contas]],BASE!$B$3:$H$119,5,FALSE),"")</f>
        <v>MANUTENÇÃO / TI</v>
      </c>
      <c r="L1834" s="77">
        <f>IFERROR(VLOOKUP(DESPESAS[[#This Row],[Plano de Contas]],BASE!$B$3:$H$119,6,FALSE),"")</f>
        <v>0</v>
      </c>
      <c r="M1834" s="77" t="str">
        <f>VLOOKUP(DESPESAS[[#This Row],[Plano de Contas]],BASE!$B$3:$H$119,7,FALSE)</f>
        <v>FÁBIO</v>
      </c>
    </row>
    <row r="1835" spans="1:13" x14ac:dyDescent="0.25">
      <c r="A1835" s="74">
        <v>198616</v>
      </c>
      <c r="B1835" s="75" t="s">
        <v>221</v>
      </c>
      <c r="C1835" s="75" t="s">
        <v>1921</v>
      </c>
      <c r="D1835" s="76">
        <v>46071</v>
      </c>
      <c r="E1835" s="75" t="s">
        <v>265</v>
      </c>
      <c r="F1835" s="74">
        <v>42.9</v>
      </c>
      <c r="G1835" s="75" t="s">
        <v>262</v>
      </c>
      <c r="H1835" s="77" t="str">
        <f>VLOOKUP(DESPESAS[[#This Row],[Plano de Contas]],BASE!$B$3:$D$119,3,FALSE)</f>
        <v>Fretes Karams</v>
      </c>
      <c r="I1835" s="77" t="str">
        <f>IFERROR(VLOOKUP(DESPESAS[[#This Row],[Fornecedor]],Tabela2[],2,FALSE),"")</f>
        <v/>
      </c>
      <c r="J1835" s="77" t="str">
        <f>IFERROR(VLOOKUP(DESPESAS[[#This Row],[Plano de Contas]],BASE!$B$3:$F$119,4,FALSE),"")</f>
        <v>6 - DESPESA COM VENDAS</v>
      </c>
      <c r="K1835" s="77" t="str">
        <f>IFERROR(VLOOKUP(DESPESAS[[#This Row],[Plano de Contas]],BASE!$B$3:$H$119,5,FALSE),"")</f>
        <v>LOGÍSTICA</v>
      </c>
      <c r="L1835" s="77">
        <f>IFERROR(VLOOKUP(DESPESAS[[#This Row],[Plano de Contas]],BASE!$B$3:$H$119,6,FALSE),"")</f>
        <v>0</v>
      </c>
      <c r="M1835" s="77" t="str">
        <f>VLOOKUP(DESPESAS[[#This Row],[Plano de Contas]],BASE!$B$3:$H$119,7,FALSE)</f>
        <v>MYLENA</v>
      </c>
    </row>
    <row r="1836" spans="1:13" x14ac:dyDescent="0.25">
      <c r="A1836" s="74">
        <v>198617</v>
      </c>
      <c r="B1836" s="75" t="s">
        <v>232</v>
      </c>
      <c r="C1836" s="75" t="s">
        <v>1916</v>
      </c>
      <c r="D1836" s="76">
        <v>46077</v>
      </c>
      <c r="E1836" s="75" t="s">
        <v>1132</v>
      </c>
      <c r="F1836" s="74">
        <v>925</v>
      </c>
      <c r="G1836" s="75" t="s">
        <v>644</v>
      </c>
      <c r="H1836" s="77" t="str">
        <f>VLOOKUP(DESPESAS[[#This Row],[Plano de Contas]],BASE!$B$3:$D$119,3,FALSE)</f>
        <v>Gratificações (Adm)</v>
      </c>
      <c r="I1836" s="77" t="str">
        <f>IFERROR(VLOOKUP(DESPESAS[[#This Row],[Fornecedor]],Tabela2[],2,FALSE),"")</f>
        <v/>
      </c>
      <c r="J1836" s="77" t="str">
        <f>IFERROR(VLOOKUP(DESPESAS[[#This Row],[Plano de Contas]],BASE!$B$3:$F$119,4,FALSE),"")</f>
        <v>4 - GASTOS COM PESSOAL</v>
      </c>
      <c r="K1836" s="77" t="str">
        <f>IFERROR(VLOOKUP(DESPESAS[[#This Row],[Plano de Contas]],BASE!$B$3:$H$119,5,FALSE),"")</f>
        <v>DH</v>
      </c>
      <c r="L1836" s="77">
        <f>IFERROR(VLOOKUP(DESPESAS[[#This Row],[Plano de Contas]],BASE!$B$3:$H$119,6,FALSE),"")</f>
        <v>0</v>
      </c>
      <c r="M1836" s="77" t="str">
        <f>VLOOKUP(DESPESAS[[#This Row],[Plano de Contas]],BASE!$B$3:$H$119,7,FALSE)</f>
        <v>RAFAEL</v>
      </c>
    </row>
    <row r="1837" spans="1:13" x14ac:dyDescent="0.25">
      <c r="A1837" s="74">
        <v>198618</v>
      </c>
      <c r="B1837" s="75" t="s">
        <v>232</v>
      </c>
      <c r="C1837" s="75" t="s">
        <v>1915</v>
      </c>
      <c r="D1837" s="76">
        <v>46077</v>
      </c>
      <c r="E1837" s="75" t="s">
        <v>1132</v>
      </c>
      <c r="F1837" s="74">
        <v>750</v>
      </c>
      <c r="G1837" s="75" t="s">
        <v>649</v>
      </c>
      <c r="H1837" s="77" t="str">
        <f>VLOOKUP(DESPESAS[[#This Row],[Plano de Contas]],BASE!$B$3:$D$119,3,FALSE)</f>
        <v>Gratificações CIF</v>
      </c>
      <c r="I1837" s="77" t="str">
        <f>IFERROR(VLOOKUP(DESPESAS[[#This Row],[Fornecedor]],Tabela2[],2,FALSE),"")</f>
        <v/>
      </c>
      <c r="J1837" s="77" t="str">
        <f>IFERROR(VLOOKUP(DESPESAS[[#This Row],[Plano de Contas]],BASE!$B$3:$F$119,4,FALSE),"")</f>
        <v>3 - CUSTOS INDIRETOS</v>
      </c>
      <c r="K1837" s="77" t="str">
        <f>IFERROR(VLOOKUP(DESPESAS[[#This Row],[Plano de Contas]],BASE!$B$3:$H$119,5,FALSE),"")</f>
        <v>DH</v>
      </c>
      <c r="L1837" s="77" t="str">
        <f>IFERROR(VLOOKUP(DESPESAS[[#This Row],[Plano de Contas]],BASE!$B$3:$H$119,6,FALSE),"")</f>
        <v>CUSTO MÃO DE OBRA DIRETA</v>
      </c>
      <c r="M1837" s="77" t="str">
        <f>VLOOKUP(DESPESAS[[#This Row],[Plano de Contas]],BASE!$B$3:$H$119,7,FALSE)</f>
        <v>RAFAEL</v>
      </c>
    </row>
    <row r="1838" spans="1:13" x14ac:dyDescent="0.25">
      <c r="A1838" s="74">
        <v>198619</v>
      </c>
      <c r="B1838" s="75" t="s">
        <v>232</v>
      </c>
      <c r="C1838" s="75" t="s">
        <v>1913</v>
      </c>
      <c r="D1838" s="76">
        <v>46077</v>
      </c>
      <c r="E1838" s="75" t="s">
        <v>1132</v>
      </c>
      <c r="F1838" s="74">
        <v>2375</v>
      </c>
      <c r="G1838" s="75" t="s">
        <v>642</v>
      </c>
      <c r="H1838" s="77" t="str">
        <f>VLOOKUP(DESPESAS[[#This Row],[Plano de Contas]],BASE!$B$3:$D$119,3,FALSE)</f>
        <v>Gratificacoes MOD</v>
      </c>
      <c r="I1838" s="77" t="str">
        <f>IFERROR(VLOOKUP(DESPESAS[[#This Row],[Fornecedor]],Tabela2[],2,FALSE),"")</f>
        <v/>
      </c>
      <c r="J1838" s="77" t="str">
        <f>IFERROR(VLOOKUP(DESPESAS[[#This Row],[Plano de Contas]],BASE!$B$3:$F$119,4,FALSE),"")</f>
        <v>2 - CUSTOS DIRETOS</v>
      </c>
      <c r="K1838" s="77" t="str">
        <f>IFERROR(VLOOKUP(DESPESAS[[#This Row],[Plano de Contas]],BASE!$B$3:$H$119,5,FALSE),"")</f>
        <v>DH</v>
      </c>
      <c r="L1838" s="77" t="str">
        <f>IFERROR(VLOOKUP(DESPESAS[[#This Row],[Plano de Contas]],BASE!$B$3:$H$119,6,FALSE),"")</f>
        <v>CUSTO MÃO DE OBRA DIRETA</v>
      </c>
      <c r="M1838" s="77" t="str">
        <f>VLOOKUP(DESPESAS[[#This Row],[Plano de Contas]],BASE!$B$3:$H$119,7,FALSE)</f>
        <v>RAFAEL</v>
      </c>
    </row>
    <row r="1839" spans="1:13" x14ac:dyDescent="0.25">
      <c r="A1839" s="74">
        <v>198620</v>
      </c>
      <c r="B1839" s="75" t="s">
        <v>232</v>
      </c>
      <c r="C1839" s="75" t="s">
        <v>1911</v>
      </c>
      <c r="D1839" s="76">
        <v>46023</v>
      </c>
      <c r="E1839" s="75" t="s">
        <v>1132</v>
      </c>
      <c r="F1839" s="74">
        <v>510</v>
      </c>
      <c r="G1839" s="75" t="s">
        <v>649</v>
      </c>
      <c r="H1839" s="77" t="str">
        <f>VLOOKUP(DESPESAS[[#This Row],[Plano de Contas]],BASE!$B$3:$D$119,3,FALSE)</f>
        <v>Gratificações CIF</v>
      </c>
      <c r="I1839" s="77" t="str">
        <f>IFERROR(VLOOKUP(DESPESAS[[#This Row],[Fornecedor]],Tabela2[],2,FALSE),"")</f>
        <v/>
      </c>
      <c r="J1839" s="77" t="str">
        <f>IFERROR(VLOOKUP(DESPESAS[[#This Row],[Plano de Contas]],BASE!$B$3:$F$119,4,FALSE),"")</f>
        <v>3 - CUSTOS INDIRETOS</v>
      </c>
      <c r="K1839" s="77" t="str">
        <f>IFERROR(VLOOKUP(DESPESAS[[#This Row],[Plano de Contas]],BASE!$B$3:$H$119,5,FALSE),"")</f>
        <v>DH</v>
      </c>
      <c r="L1839" s="77" t="str">
        <f>IFERROR(VLOOKUP(DESPESAS[[#This Row],[Plano de Contas]],BASE!$B$3:$H$119,6,FALSE),"")</f>
        <v>CUSTO MÃO DE OBRA DIRETA</v>
      </c>
      <c r="M1839" s="77" t="str">
        <f>VLOOKUP(DESPESAS[[#This Row],[Plano de Contas]],BASE!$B$3:$H$119,7,FALSE)</f>
        <v>RAFAEL</v>
      </c>
    </row>
    <row r="1840" spans="1:13" x14ac:dyDescent="0.25">
      <c r="A1840" s="74">
        <v>198621</v>
      </c>
      <c r="B1840" s="75" t="s">
        <v>232</v>
      </c>
      <c r="C1840" s="75" t="s">
        <v>1920</v>
      </c>
      <c r="D1840" s="76">
        <v>46023</v>
      </c>
      <c r="E1840" s="75" t="s">
        <v>1132</v>
      </c>
      <c r="F1840" s="74">
        <v>831.3</v>
      </c>
      <c r="G1840" s="75" t="s">
        <v>642</v>
      </c>
      <c r="H1840" s="77" t="str">
        <f>VLOOKUP(DESPESAS[[#This Row],[Plano de Contas]],BASE!$B$3:$D$119,3,FALSE)</f>
        <v>Gratificacoes MOD</v>
      </c>
      <c r="I1840" s="77" t="str">
        <f>IFERROR(VLOOKUP(DESPESAS[[#This Row],[Fornecedor]],Tabela2[],2,FALSE),"")</f>
        <v/>
      </c>
      <c r="J1840" s="77" t="str">
        <f>IFERROR(VLOOKUP(DESPESAS[[#This Row],[Plano de Contas]],BASE!$B$3:$F$119,4,FALSE),"")</f>
        <v>2 - CUSTOS DIRETOS</v>
      </c>
      <c r="K1840" s="77" t="str">
        <f>IFERROR(VLOOKUP(DESPESAS[[#This Row],[Plano de Contas]],BASE!$B$3:$H$119,5,FALSE),"")</f>
        <v>DH</v>
      </c>
      <c r="L1840" s="77" t="str">
        <f>IFERROR(VLOOKUP(DESPESAS[[#This Row],[Plano de Contas]],BASE!$B$3:$H$119,6,FALSE),"")</f>
        <v>CUSTO MÃO DE OBRA DIRETA</v>
      </c>
      <c r="M1840" s="77" t="str">
        <f>VLOOKUP(DESPESAS[[#This Row],[Plano de Contas]],BASE!$B$3:$H$119,7,FALSE)</f>
        <v>RAFAEL</v>
      </c>
    </row>
    <row r="1841" spans="1:13" x14ac:dyDescent="0.25">
      <c r="A1841" s="74">
        <v>198622</v>
      </c>
      <c r="B1841" s="75" t="s">
        <v>279</v>
      </c>
      <c r="C1841" s="75" t="s">
        <v>1911</v>
      </c>
      <c r="D1841" s="76">
        <v>46023</v>
      </c>
      <c r="E1841" s="75" t="s">
        <v>1132</v>
      </c>
      <c r="F1841" s="74">
        <v>400</v>
      </c>
      <c r="G1841" s="75" t="s">
        <v>649</v>
      </c>
      <c r="H1841" s="77" t="str">
        <f>VLOOKUP(DESPESAS[[#This Row],[Plano de Contas]],BASE!$B$3:$D$119,3,FALSE)</f>
        <v>Gratificações CIF</v>
      </c>
      <c r="I1841" s="77" t="str">
        <f>IFERROR(VLOOKUP(DESPESAS[[#This Row],[Fornecedor]],Tabela2[],2,FALSE),"")</f>
        <v/>
      </c>
      <c r="J1841" s="77" t="str">
        <f>IFERROR(VLOOKUP(DESPESAS[[#This Row],[Plano de Contas]],BASE!$B$3:$F$119,4,FALSE),"")</f>
        <v>3 - CUSTOS INDIRETOS</v>
      </c>
      <c r="K1841" s="77" t="str">
        <f>IFERROR(VLOOKUP(DESPESAS[[#This Row],[Plano de Contas]],BASE!$B$3:$H$119,5,FALSE),"")</f>
        <v>DH</v>
      </c>
      <c r="L1841" s="77" t="str">
        <f>IFERROR(VLOOKUP(DESPESAS[[#This Row],[Plano de Contas]],BASE!$B$3:$H$119,6,FALSE),"")</f>
        <v>CUSTO MÃO DE OBRA DIRETA</v>
      </c>
      <c r="M1841" s="77" t="str">
        <f>VLOOKUP(DESPESAS[[#This Row],[Plano de Contas]],BASE!$B$3:$H$119,7,FALSE)</f>
        <v>RAFAEL</v>
      </c>
    </row>
    <row r="1842" spans="1:13" x14ac:dyDescent="0.25">
      <c r="A1842" s="74">
        <v>198623</v>
      </c>
      <c r="B1842" s="75" t="s">
        <v>279</v>
      </c>
      <c r="C1842" s="75" t="s">
        <v>1920</v>
      </c>
      <c r="D1842" s="76">
        <v>46023</v>
      </c>
      <c r="E1842" s="75" t="s">
        <v>1132</v>
      </c>
      <c r="F1842" s="74">
        <v>900</v>
      </c>
      <c r="G1842" s="75" t="s">
        <v>642</v>
      </c>
      <c r="H1842" s="77" t="str">
        <f>VLOOKUP(DESPESAS[[#This Row],[Plano de Contas]],BASE!$B$3:$D$119,3,FALSE)</f>
        <v>Gratificacoes MOD</v>
      </c>
      <c r="I1842" s="77" t="str">
        <f>IFERROR(VLOOKUP(DESPESAS[[#This Row],[Fornecedor]],Tabela2[],2,FALSE),"")</f>
        <v/>
      </c>
      <c r="J1842" s="77" t="str">
        <f>IFERROR(VLOOKUP(DESPESAS[[#This Row],[Plano de Contas]],BASE!$B$3:$F$119,4,FALSE),"")</f>
        <v>2 - CUSTOS DIRETOS</v>
      </c>
      <c r="K1842" s="77" t="str">
        <f>IFERROR(VLOOKUP(DESPESAS[[#This Row],[Plano de Contas]],BASE!$B$3:$H$119,5,FALSE),"")</f>
        <v>DH</v>
      </c>
      <c r="L1842" s="77" t="str">
        <f>IFERROR(VLOOKUP(DESPESAS[[#This Row],[Plano de Contas]],BASE!$B$3:$H$119,6,FALSE),"")</f>
        <v>CUSTO MÃO DE OBRA DIRETA</v>
      </c>
      <c r="M1842" s="77" t="str">
        <f>VLOOKUP(DESPESAS[[#This Row],[Plano de Contas]],BASE!$B$3:$H$119,7,FALSE)</f>
        <v>RAFAEL</v>
      </c>
    </row>
    <row r="1843" spans="1:13" x14ac:dyDescent="0.25">
      <c r="A1843" s="74">
        <v>198624</v>
      </c>
      <c r="B1843" s="75" t="s">
        <v>279</v>
      </c>
      <c r="C1843" s="75" t="s">
        <v>1916</v>
      </c>
      <c r="D1843" s="76">
        <v>46077</v>
      </c>
      <c r="E1843" s="75" t="s">
        <v>1132</v>
      </c>
      <c r="F1843" s="74">
        <v>1650</v>
      </c>
      <c r="G1843" s="75" t="s">
        <v>644</v>
      </c>
      <c r="H1843" s="77" t="str">
        <f>VLOOKUP(DESPESAS[[#This Row],[Plano de Contas]],BASE!$B$3:$D$119,3,FALSE)</f>
        <v>Gratificações (Adm)</v>
      </c>
      <c r="I1843" s="77" t="str">
        <f>IFERROR(VLOOKUP(DESPESAS[[#This Row],[Fornecedor]],Tabela2[],2,FALSE),"")</f>
        <v/>
      </c>
      <c r="J1843" s="77" t="str">
        <f>IFERROR(VLOOKUP(DESPESAS[[#This Row],[Plano de Contas]],BASE!$B$3:$F$119,4,FALSE),"")</f>
        <v>4 - GASTOS COM PESSOAL</v>
      </c>
      <c r="K1843" s="77" t="str">
        <f>IFERROR(VLOOKUP(DESPESAS[[#This Row],[Plano de Contas]],BASE!$B$3:$H$119,5,FALSE),"")</f>
        <v>DH</v>
      </c>
      <c r="L1843" s="77">
        <f>IFERROR(VLOOKUP(DESPESAS[[#This Row],[Plano de Contas]],BASE!$B$3:$H$119,6,FALSE),"")</f>
        <v>0</v>
      </c>
      <c r="M1843" s="77" t="str">
        <f>VLOOKUP(DESPESAS[[#This Row],[Plano de Contas]],BASE!$B$3:$H$119,7,FALSE)</f>
        <v>RAFAEL</v>
      </c>
    </row>
    <row r="1844" spans="1:13" x14ac:dyDescent="0.25">
      <c r="A1844" s="74">
        <v>198625</v>
      </c>
      <c r="B1844" s="75" t="s">
        <v>279</v>
      </c>
      <c r="C1844" s="75" t="s">
        <v>1915</v>
      </c>
      <c r="D1844" s="76">
        <v>46077</v>
      </c>
      <c r="E1844" s="75" t="s">
        <v>1132</v>
      </c>
      <c r="F1844" s="74">
        <v>450</v>
      </c>
      <c r="G1844" s="75" t="s">
        <v>649</v>
      </c>
      <c r="H1844" s="77" t="str">
        <f>VLOOKUP(DESPESAS[[#This Row],[Plano de Contas]],BASE!$B$3:$D$119,3,FALSE)</f>
        <v>Gratificações CIF</v>
      </c>
      <c r="I1844" s="77" t="str">
        <f>IFERROR(VLOOKUP(DESPESAS[[#This Row],[Fornecedor]],Tabela2[],2,FALSE),"")</f>
        <v/>
      </c>
      <c r="J1844" s="77" t="str">
        <f>IFERROR(VLOOKUP(DESPESAS[[#This Row],[Plano de Contas]],BASE!$B$3:$F$119,4,FALSE),"")</f>
        <v>3 - CUSTOS INDIRETOS</v>
      </c>
      <c r="K1844" s="77" t="str">
        <f>IFERROR(VLOOKUP(DESPESAS[[#This Row],[Plano de Contas]],BASE!$B$3:$H$119,5,FALSE),"")</f>
        <v>DH</v>
      </c>
      <c r="L1844" s="77" t="str">
        <f>IFERROR(VLOOKUP(DESPESAS[[#This Row],[Plano de Contas]],BASE!$B$3:$H$119,6,FALSE),"")</f>
        <v>CUSTO MÃO DE OBRA DIRETA</v>
      </c>
      <c r="M1844" s="77" t="str">
        <f>VLOOKUP(DESPESAS[[#This Row],[Plano de Contas]],BASE!$B$3:$H$119,7,FALSE)</f>
        <v>RAFAEL</v>
      </c>
    </row>
    <row r="1845" spans="1:13" x14ac:dyDescent="0.25">
      <c r="A1845" s="74">
        <v>198626</v>
      </c>
      <c r="B1845" s="75" t="s">
        <v>279</v>
      </c>
      <c r="C1845" s="75" t="s">
        <v>1919</v>
      </c>
      <c r="D1845" s="76">
        <v>46077</v>
      </c>
      <c r="E1845" s="75" t="s">
        <v>1132</v>
      </c>
      <c r="F1845" s="74">
        <v>3440</v>
      </c>
      <c r="G1845" s="75" t="s">
        <v>642</v>
      </c>
      <c r="H1845" s="77" t="str">
        <f>VLOOKUP(DESPESAS[[#This Row],[Plano de Contas]],BASE!$B$3:$D$119,3,FALSE)</f>
        <v>Gratificacoes MOD</v>
      </c>
      <c r="I1845" s="77" t="str">
        <f>IFERROR(VLOOKUP(DESPESAS[[#This Row],[Fornecedor]],Tabela2[],2,FALSE),"")</f>
        <v/>
      </c>
      <c r="J1845" s="77" t="str">
        <f>IFERROR(VLOOKUP(DESPESAS[[#This Row],[Plano de Contas]],BASE!$B$3:$F$119,4,FALSE),"")</f>
        <v>2 - CUSTOS DIRETOS</v>
      </c>
      <c r="K1845" s="77" t="str">
        <f>IFERROR(VLOOKUP(DESPESAS[[#This Row],[Plano de Contas]],BASE!$B$3:$H$119,5,FALSE),"")</f>
        <v>DH</v>
      </c>
      <c r="L1845" s="77" t="str">
        <f>IFERROR(VLOOKUP(DESPESAS[[#This Row],[Plano de Contas]],BASE!$B$3:$H$119,6,FALSE),"")</f>
        <v>CUSTO MÃO DE OBRA DIRETA</v>
      </c>
      <c r="M1845" s="77" t="str">
        <f>VLOOKUP(DESPESAS[[#This Row],[Plano de Contas]],BASE!$B$3:$H$119,7,FALSE)</f>
        <v>RAFAEL</v>
      </c>
    </row>
    <row r="1846" spans="1:13" x14ac:dyDescent="0.25">
      <c r="A1846" s="74">
        <v>198627</v>
      </c>
      <c r="B1846" s="75" t="s">
        <v>221</v>
      </c>
      <c r="C1846" s="75" t="s">
        <v>1918</v>
      </c>
      <c r="D1846" s="76">
        <v>46072</v>
      </c>
      <c r="E1846" s="75" t="s">
        <v>1262</v>
      </c>
      <c r="F1846" s="74">
        <v>44.28</v>
      </c>
      <c r="G1846" s="75" t="s">
        <v>423</v>
      </c>
      <c r="H1846" s="77" t="str">
        <f>VLOOKUP(DESPESAS[[#This Row],[Plano de Contas]],BASE!$B$3:$D$119,3,FALSE)</f>
        <v>Combustíveis (Adm)</v>
      </c>
      <c r="I1846" s="77" t="str">
        <f>IFERROR(VLOOKUP(DESPESAS[[#This Row],[Fornecedor]],Tabela2[],2,FALSE),"")</f>
        <v/>
      </c>
      <c r="J1846" s="77" t="str">
        <f>IFERROR(VLOOKUP(DESPESAS[[#This Row],[Plano de Contas]],BASE!$B$3:$F$119,4,FALSE),"")</f>
        <v>5 - DESPESAS ADMINISTRATIVAS</v>
      </c>
      <c r="K1846" s="77" t="str">
        <f>IFERROR(VLOOKUP(DESPESAS[[#This Row],[Plano de Contas]],BASE!$B$3:$H$119,5,FALSE),"")</f>
        <v>LOGÍSTICA</v>
      </c>
      <c r="L1846" s="77">
        <f>IFERROR(VLOOKUP(DESPESAS[[#This Row],[Plano de Contas]],BASE!$B$3:$H$119,6,FALSE),"")</f>
        <v>0</v>
      </c>
      <c r="M1846" s="77" t="str">
        <f>VLOOKUP(DESPESAS[[#This Row],[Plano de Contas]],BASE!$B$3:$H$119,7,FALSE)</f>
        <v>LETÍCIA</v>
      </c>
    </row>
    <row r="1847" spans="1:13" x14ac:dyDescent="0.25">
      <c r="A1847" s="74">
        <v>198628</v>
      </c>
      <c r="B1847" s="75" t="s">
        <v>221</v>
      </c>
      <c r="C1847" s="75" t="s">
        <v>1917</v>
      </c>
      <c r="D1847" s="76">
        <v>46072</v>
      </c>
      <c r="E1847" s="75" t="s">
        <v>1262</v>
      </c>
      <c r="F1847" s="74">
        <v>636.61</v>
      </c>
      <c r="G1847" s="75" t="s">
        <v>241</v>
      </c>
      <c r="H1847" s="77" t="str">
        <f>VLOOKUP(DESPESAS[[#This Row],[Plano de Contas]],BASE!$B$3:$D$119,3,FALSE)</f>
        <v>Combustiveis Frota</v>
      </c>
      <c r="I1847" s="77" t="str">
        <f>IFERROR(VLOOKUP(DESPESAS[[#This Row],[Fornecedor]],Tabela2[],2,FALSE),"")</f>
        <v/>
      </c>
      <c r="J1847" s="77" t="str">
        <f>IFERROR(VLOOKUP(DESPESAS[[#This Row],[Plano de Contas]],BASE!$B$3:$F$119,4,FALSE),"")</f>
        <v>6 - DESPESA COM VENDAS</v>
      </c>
      <c r="K1847" s="77" t="str">
        <f>IFERROR(VLOOKUP(DESPESAS[[#This Row],[Plano de Contas]],BASE!$B$3:$H$119,5,FALSE),"")</f>
        <v>LOGÍSTICA</v>
      </c>
      <c r="L1847" s="77">
        <f>IFERROR(VLOOKUP(DESPESAS[[#This Row],[Plano de Contas]],BASE!$B$3:$H$119,6,FALSE),"")</f>
        <v>0</v>
      </c>
      <c r="M1847" s="77" t="str">
        <f>VLOOKUP(DESPESAS[[#This Row],[Plano de Contas]],BASE!$B$3:$H$119,7,FALSE)</f>
        <v>MYLENA</v>
      </c>
    </row>
    <row r="1848" spans="1:13" x14ac:dyDescent="0.25">
      <c r="A1848" s="74">
        <v>198629</v>
      </c>
      <c r="B1848" s="75" t="s">
        <v>281</v>
      </c>
      <c r="C1848" s="75" t="s">
        <v>1916</v>
      </c>
      <c r="D1848" s="76">
        <v>46077</v>
      </c>
      <c r="E1848" s="75" t="s">
        <v>1132</v>
      </c>
      <c r="F1848" s="74">
        <v>450</v>
      </c>
      <c r="G1848" s="75" t="s">
        <v>644</v>
      </c>
      <c r="H1848" s="77" t="str">
        <f>VLOOKUP(DESPESAS[[#This Row],[Plano de Contas]],BASE!$B$3:$D$119,3,FALSE)</f>
        <v>Gratificações (Adm)</v>
      </c>
      <c r="I1848" s="77" t="str">
        <f>IFERROR(VLOOKUP(DESPESAS[[#This Row],[Fornecedor]],Tabela2[],2,FALSE),"")</f>
        <v/>
      </c>
      <c r="J1848" s="77" t="str">
        <f>IFERROR(VLOOKUP(DESPESAS[[#This Row],[Plano de Contas]],BASE!$B$3:$F$119,4,FALSE),"")</f>
        <v>4 - GASTOS COM PESSOAL</v>
      </c>
      <c r="K1848" s="77" t="str">
        <f>IFERROR(VLOOKUP(DESPESAS[[#This Row],[Plano de Contas]],BASE!$B$3:$H$119,5,FALSE),"")</f>
        <v>DH</v>
      </c>
      <c r="L1848" s="77">
        <f>IFERROR(VLOOKUP(DESPESAS[[#This Row],[Plano de Contas]],BASE!$B$3:$H$119,6,FALSE),"")</f>
        <v>0</v>
      </c>
      <c r="M1848" s="77" t="str">
        <f>VLOOKUP(DESPESAS[[#This Row],[Plano de Contas]],BASE!$B$3:$H$119,7,FALSE)</f>
        <v>RAFAEL</v>
      </c>
    </row>
    <row r="1849" spans="1:13" x14ac:dyDescent="0.25">
      <c r="A1849" s="74">
        <v>198630</v>
      </c>
      <c r="B1849" s="75" t="s">
        <v>281</v>
      </c>
      <c r="C1849" s="75" t="s">
        <v>1915</v>
      </c>
      <c r="D1849" s="76">
        <v>46077</v>
      </c>
      <c r="E1849" s="75" t="s">
        <v>1132</v>
      </c>
      <c r="F1849" s="74">
        <v>150</v>
      </c>
      <c r="G1849" s="75" t="s">
        <v>649</v>
      </c>
      <c r="H1849" s="77" t="str">
        <f>VLOOKUP(DESPESAS[[#This Row],[Plano de Contas]],BASE!$B$3:$D$119,3,FALSE)</f>
        <v>Gratificações CIF</v>
      </c>
      <c r="I1849" s="77" t="str">
        <f>IFERROR(VLOOKUP(DESPESAS[[#This Row],[Fornecedor]],Tabela2[],2,FALSE),"")</f>
        <v/>
      </c>
      <c r="J1849" s="77" t="str">
        <f>IFERROR(VLOOKUP(DESPESAS[[#This Row],[Plano de Contas]],BASE!$B$3:$F$119,4,FALSE),"")</f>
        <v>3 - CUSTOS INDIRETOS</v>
      </c>
      <c r="K1849" s="77" t="str">
        <f>IFERROR(VLOOKUP(DESPESAS[[#This Row],[Plano de Contas]],BASE!$B$3:$H$119,5,FALSE),"")</f>
        <v>DH</v>
      </c>
      <c r="L1849" s="77" t="str">
        <f>IFERROR(VLOOKUP(DESPESAS[[#This Row],[Plano de Contas]],BASE!$B$3:$H$119,6,FALSE),"")</f>
        <v>CUSTO MÃO DE OBRA DIRETA</v>
      </c>
      <c r="M1849" s="77" t="str">
        <f>VLOOKUP(DESPESAS[[#This Row],[Plano de Contas]],BASE!$B$3:$H$119,7,FALSE)</f>
        <v>RAFAEL</v>
      </c>
    </row>
    <row r="1850" spans="1:13" x14ac:dyDescent="0.25">
      <c r="A1850" s="74">
        <v>198631</v>
      </c>
      <c r="B1850" s="75" t="s">
        <v>221</v>
      </c>
      <c r="C1850" s="75" t="s">
        <v>1914</v>
      </c>
      <c r="D1850" s="76">
        <v>46072</v>
      </c>
      <c r="E1850" s="75" t="s">
        <v>268</v>
      </c>
      <c r="F1850" s="74">
        <v>30</v>
      </c>
      <c r="G1850" s="75" t="s">
        <v>262</v>
      </c>
      <c r="H1850" s="77" t="str">
        <f>VLOOKUP(DESPESAS[[#This Row],[Plano de Contas]],BASE!$B$3:$D$119,3,FALSE)</f>
        <v>Fretes Karams</v>
      </c>
      <c r="I1850" s="77" t="str">
        <f>IFERROR(VLOOKUP(DESPESAS[[#This Row],[Fornecedor]],Tabela2[],2,FALSE),"")</f>
        <v/>
      </c>
      <c r="J1850" s="77" t="str">
        <f>IFERROR(VLOOKUP(DESPESAS[[#This Row],[Plano de Contas]],BASE!$B$3:$F$119,4,FALSE),"")</f>
        <v>6 - DESPESA COM VENDAS</v>
      </c>
      <c r="K1850" s="77" t="str">
        <f>IFERROR(VLOOKUP(DESPESAS[[#This Row],[Plano de Contas]],BASE!$B$3:$H$119,5,FALSE),"")</f>
        <v>LOGÍSTICA</v>
      </c>
      <c r="L1850" s="77">
        <f>IFERROR(VLOOKUP(DESPESAS[[#This Row],[Plano de Contas]],BASE!$B$3:$H$119,6,FALSE),"")</f>
        <v>0</v>
      </c>
      <c r="M1850" s="77" t="str">
        <f>VLOOKUP(DESPESAS[[#This Row],[Plano de Contas]],BASE!$B$3:$H$119,7,FALSE)</f>
        <v>MYLENA</v>
      </c>
    </row>
    <row r="1851" spans="1:13" x14ac:dyDescent="0.25">
      <c r="A1851" s="74">
        <v>198632</v>
      </c>
      <c r="B1851" s="75" t="s">
        <v>281</v>
      </c>
      <c r="C1851" s="75" t="s">
        <v>1913</v>
      </c>
      <c r="D1851" s="76">
        <v>46077</v>
      </c>
      <c r="E1851" s="75" t="s">
        <v>1132</v>
      </c>
      <c r="F1851" s="74">
        <v>1035</v>
      </c>
      <c r="G1851" s="75" t="s">
        <v>642</v>
      </c>
      <c r="H1851" s="77" t="str">
        <f>VLOOKUP(DESPESAS[[#This Row],[Plano de Contas]],BASE!$B$3:$D$119,3,FALSE)</f>
        <v>Gratificacoes MOD</v>
      </c>
      <c r="I1851" s="77" t="str">
        <f>IFERROR(VLOOKUP(DESPESAS[[#This Row],[Fornecedor]],Tabela2[],2,FALSE),"")</f>
        <v/>
      </c>
      <c r="J1851" s="77" t="str">
        <f>IFERROR(VLOOKUP(DESPESAS[[#This Row],[Plano de Contas]],BASE!$B$3:$F$119,4,FALSE),"")</f>
        <v>2 - CUSTOS DIRETOS</v>
      </c>
      <c r="K1851" s="77" t="str">
        <f>IFERROR(VLOOKUP(DESPESAS[[#This Row],[Plano de Contas]],BASE!$B$3:$H$119,5,FALSE),"")</f>
        <v>DH</v>
      </c>
      <c r="L1851" s="77" t="str">
        <f>IFERROR(VLOOKUP(DESPESAS[[#This Row],[Plano de Contas]],BASE!$B$3:$H$119,6,FALSE),"")</f>
        <v>CUSTO MÃO DE OBRA DIRETA</v>
      </c>
      <c r="M1851" s="77" t="str">
        <f>VLOOKUP(DESPESAS[[#This Row],[Plano de Contas]],BASE!$B$3:$H$119,7,FALSE)</f>
        <v>RAFAEL</v>
      </c>
    </row>
    <row r="1852" spans="1:13" x14ac:dyDescent="0.25">
      <c r="A1852" s="74">
        <v>198633</v>
      </c>
      <c r="B1852" s="75" t="s">
        <v>221</v>
      </c>
      <c r="C1852" s="75" t="s">
        <v>1912</v>
      </c>
      <c r="D1852" s="76">
        <v>46077</v>
      </c>
      <c r="E1852" s="75" t="s">
        <v>242</v>
      </c>
      <c r="F1852" s="74">
        <v>597.73</v>
      </c>
      <c r="G1852" s="75" t="s">
        <v>241</v>
      </c>
      <c r="H1852" s="77" t="str">
        <f>VLOOKUP(DESPESAS[[#This Row],[Plano de Contas]],BASE!$B$3:$D$119,3,FALSE)</f>
        <v>Combustiveis Frota</v>
      </c>
      <c r="I1852" s="77" t="str">
        <f>IFERROR(VLOOKUP(DESPESAS[[#This Row],[Fornecedor]],Tabela2[],2,FALSE),"")</f>
        <v/>
      </c>
      <c r="J1852" s="77" t="str">
        <f>IFERROR(VLOOKUP(DESPESAS[[#This Row],[Plano de Contas]],BASE!$B$3:$F$119,4,FALSE),"")</f>
        <v>6 - DESPESA COM VENDAS</v>
      </c>
      <c r="K1852" s="77" t="str">
        <f>IFERROR(VLOOKUP(DESPESAS[[#This Row],[Plano de Contas]],BASE!$B$3:$H$119,5,FALSE),"")</f>
        <v>LOGÍSTICA</v>
      </c>
      <c r="L1852" s="77">
        <f>IFERROR(VLOOKUP(DESPESAS[[#This Row],[Plano de Contas]],BASE!$B$3:$H$119,6,FALSE),"")</f>
        <v>0</v>
      </c>
      <c r="M1852" s="77" t="str">
        <f>VLOOKUP(DESPESAS[[#This Row],[Plano de Contas]],BASE!$B$3:$H$119,7,FALSE)</f>
        <v>MYLENA</v>
      </c>
    </row>
    <row r="1853" spans="1:13" x14ac:dyDescent="0.25">
      <c r="A1853" s="74">
        <v>198634</v>
      </c>
      <c r="B1853" s="75" t="s">
        <v>281</v>
      </c>
      <c r="C1853" s="75" t="s">
        <v>1911</v>
      </c>
      <c r="D1853" s="76">
        <v>46023</v>
      </c>
      <c r="E1853" s="75" t="s">
        <v>1132</v>
      </c>
      <c r="F1853" s="74">
        <v>200</v>
      </c>
      <c r="G1853" s="75" t="s">
        <v>649</v>
      </c>
      <c r="H1853" s="77" t="str">
        <f>VLOOKUP(DESPESAS[[#This Row],[Plano de Contas]],BASE!$B$3:$D$119,3,FALSE)</f>
        <v>Gratificações CIF</v>
      </c>
      <c r="I1853" s="77" t="str">
        <f>IFERROR(VLOOKUP(DESPESAS[[#This Row],[Fornecedor]],Tabela2[],2,FALSE),"")</f>
        <v/>
      </c>
      <c r="J1853" s="77" t="str">
        <f>IFERROR(VLOOKUP(DESPESAS[[#This Row],[Plano de Contas]],BASE!$B$3:$F$119,4,FALSE),"")</f>
        <v>3 - CUSTOS INDIRETOS</v>
      </c>
      <c r="K1853" s="77" t="str">
        <f>IFERROR(VLOOKUP(DESPESAS[[#This Row],[Plano de Contas]],BASE!$B$3:$H$119,5,FALSE),"")</f>
        <v>DH</v>
      </c>
      <c r="L1853" s="77" t="str">
        <f>IFERROR(VLOOKUP(DESPESAS[[#This Row],[Plano de Contas]],BASE!$B$3:$H$119,6,FALSE),"")</f>
        <v>CUSTO MÃO DE OBRA DIRETA</v>
      </c>
      <c r="M1853" s="77" t="str">
        <f>VLOOKUP(DESPESAS[[#This Row],[Plano de Contas]],BASE!$B$3:$H$119,7,FALSE)</f>
        <v>RAFAEL</v>
      </c>
    </row>
    <row r="1854" spans="1:13" x14ac:dyDescent="0.25">
      <c r="A1854" s="74">
        <v>198635</v>
      </c>
      <c r="B1854" s="75" t="s">
        <v>232</v>
      </c>
      <c r="C1854" s="75" t="s">
        <v>1910</v>
      </c>
      <c r="D1854" s="76">
        <v>46077</v>
      </c>
      <c r="E1854" s="75" t="s">
        <v>1277</v>
      </c>
      <c r="F1854" s="74">
        <v>390</v>
      </c>
      <c r="G1854" s="75" t="s">
        <v>979</v>
      </c>
      <c r="H1854" s="77" t="str">
        <f>VLOOKUP(DESPESAS[[#This Row],[Plano de Contas]],BASE!$B$3:$D$119,3,FALSE)</f>
        <v>Assistência Médica MOD</v>
      </c>
      <c r="I1854" s="77" t="str">
        <f>IFERROR(VLOOKUP(DESPESAS[[#This Row],[Fornecedor]],Tabela2[],2,FALSE),"")</f>
        <v/>
      </c>
      <c r="J1854" s="77" t="str">
        <f>IFERROR(VLOOKUP(DESPESAS[[#This Row],[Plano de Contas]],BASE!$B$3:$F$119,4,FALSE),"")</f>
        <v>2 - CUSTOS DIRETOS</v>
      </c>
      <c r="K1854" s="77" t="str">
        <f>IFERROR(VLOOKUP(DESPESAS[[#This Row],[Plano de Contas]],BASE!$B$3:$H$119,5,FALSE),"")</f>
        <v>DH</v>
      </c>
      <c r="L1854" s="77" t="str">
        <f>IFERROR(VLOOKUP(DESPESAS[[#This Row],[Plano de Contas]],BASE!$B$3:$H$119,6,FALSE),"")</f>
        <v>CUSTO MÃO DE OBRA DIRETA</v>
      </c>
      <c r="M1854" s="77" t="str">
        <f>VLOOKUP(DESPESAS[[#This Row],[Plano de Contas]],BASE!$B$3:$H$119,7,FALSE)</f>
        <v>RAFAEL</v>
      </c>
    </row>
    <row r="1855" spans="1:13" x14ac:dyDescent="0.25">
      <c r="A1855" s="74">
        <v>198636</v>
      </c>
      <c r="B1855" s="75" t="s">
        <v>232</v>
      </c>
      <c r="C1855" s="75" t="s">
        <v>763</v>
      </c>
      <c r="D1855" s="76">
        <v>46077</v>
      </c>
      <c r="E1855" s="75" t="s">
        <v>869</v>
      </c>
      <c r="F1855" s="74">
        <v>1694.44</v>
      </c>
      <c r="G1855" s="75" t="s">
        <v>276</v>
      </c>
      <c r="H1855" s="77" t="str">
        <f>VLOOKUP(DESPESAS[[#This Row],[Plano de Contas]],BASE!$B$3:$D$119,3,FALSE)</f>
        <v>Férias MOD</v>
      </c>
      <c r="I1855" s="77" t="str">
        <f>IFERROR(VLOOKUP(DESPESAS[[#This Row],[Fornecedor]],Tabela2[],2,FALSE),"")</f>
        <v/>
      </c>
      <c r="J1855" s="77" t="str">
        <f>IFERROR(VLOOKUP(DESPESAS[[#This Row],[Plano de Contas]],BASE!$B$3:$F$119,4,FALSE),"")</f>
        <v>2 - CUSTOS DIRETOS</v>
      </c>
      <c r="K1855" s="77" t="str">
        <f>IFERROR(VLOOKUP(DESPESAS[[#This Row],[Plano de Contas]],BASE!$B$3:$H$119,5,FALSE),"")</f>
        <v>DH</v>
      </c>
      <c r="L1855" s="77" t="str">
        <f>IFERROR(VLOOKUP(DESPESAS[[#This Row],[Plano de Contas]],BASE!$B$3:$H$119,6,FALSE),"")</f>
        <v>CUSTO MÃO DE OBRA DIRETA</v>
      </c>
      <c r="M1855" s="77" t="str">
        <f>VLOOKUP(DESPESAS[[#This Row],[Plano de Contas]],BASE!$B$3:$H$119,7,FALSE)</f>
        <v>RAFAEL</v>
      </c>
    </row>
    <row r="1856" spans="1:13" x14ac:dyDescent="0.25">
      <c r="A1856" s="74">
        <v>198637</v>
      </c>
      <c r="B1856" s="75" t="s">
        <v>232</v>
      </c>
      <c r="C1856" s="75" t="s">
        <v>1909</v>
      </c>
      <c r="D1856" s="76">
        <v>46072</v>
      </c>
      <c r="E1856" s="75" t="s">
        <v>409</v>
      </c>
      <c r="F1856" s="74">
        <v>105.95</v>
      </c>
      <c r="G1856" s="75" t="s">
        <v>326</v>
      </c>
      <c r="H1856" s="77" t="str">
        <f>VLOOKUP(DESPESAS[[#This Row],[Plano de Contas]],BASE!$B$3:$D$119,3,FALSE)</f>
        <v>Frete sobre Compras</v>
      </c>
      <c r="I1856" s="77" t="str">
        <f>IFERROR(VLOOKUP(DESPESAS[[#This Row],[Fornecedor]],Tabela2[],2,FALSE),"")</f>
        <v>SERVIÇOS FRETE</v>
      </c>
      <c r="J1856" s="77" t="str">
        <f>IFERROR(VLOOKUP(DESPESAS[[#This Row],[Plano de Contas]],BASE!$B$3:$F$119,4,FALSE),"")</f>
        <v>1 - CPV</v>
      </c>
      <c r="K1856" s="77" t="str">
        <f>IFERROR(VLOOKUP(DESPESAS[[#This Row],[Plano de Contas]],BASE!$B$3:$H$119,5,FALSE),"")</f>
        <v>COMPRAS</v>
      </c>
      <c r="L1856" s="77">
        <f>IFERROR(VLOOKUP(DESPESAS[[#This Row],[Plano de Contas]],BASE!$B$3:$H$119,6,FALSE),"")</f>
        <v>0</v>
      </c>
      <c r="M1856" s="77" t="str">
        <f>VLOOKUP(DESPESAS[[#This Row],[Plano de Contas]],BASE!$B$3:$H$119,7,FALSE)</f>
        <v>MYLENA</v>
      </c>
    </row>
    <row r="1857" spans="1:13" x14ac:dyDescent="0.25">
      <c r="A1857" s="74">
        <v>198638</v>
      </c>
      <c r="B1857" s="75" t="s">
        <v>232</v>
      </c>
      <c r="C1857" s="75" t="s">
        <v>1908</v>
      </c>
      <c r="D1857" s="76">
        <v>46071</v>
      </c>
      <c r="E1857" s="75" t="s">
        <v>409</v>
      </c>
      <c r="F1857" s="74">
        <v>130.47</v>
      </c>
      <c r="G1857" s="75" t="s">
        <v>326</v>
      </c>
      <c r="H1857" s="77" t="str">
        <f>VLOOKUP(DESPESAS[[#This Row],[Plano de Contas]],BASE!$B$3:$D$119,3,FALSE)</f>
        <v>Frete sobre Compras</v>
      </c>
      <c r="I1857" s="77" t="str">
        <f>IFERROR(VLOOKUP(DESPESAS[[#This Row],[Fornecedor]],Tabela2[],2,FALSE),"")</f>
        <v>SERVIÇOS FRETE</v>
      </c>
      <c r="J1857" s="77" t="str">
        <f>IFERROR(VLOOKUP(DESPESAS[[#This Row],[Plano de Contas]],BASE!$B$3:$F$119,4,FALSE),"")</f>
        <v>1 - CPV</v>
      </c>
      <c r="K1857" s="77" t="str">
        <f>IFERROR(VLOOKUP(DESPESAS[[#This Row],[Plano de Contas]],BASE!$B$3:$H$119,5,FALSE),"")</f>
        <v>COMPRAS</v>
      </c>
      <c r="L1857" s="77">
        <f>IFERROR(VLOOKUP(DESPESAS[[#This Row],[Plano de Contas]],BASE!$B$3:$H$119,6,FALSE),"")</f>
        <v>0</v>
      </c>
      <c r="M1857" s="77" t="str">
        <f>VLOOKUP(DESPESAS[[#This Row],[Plano de Contas]],BASE!$B$3:$H$119,7,FALSE)</f>
        <v>MYLENA</v>
      </c>
    </row>
    <row r="1858" spans="1:13" x14ac:dyDescent="0.25">
      <c r="A1858" s="74">
        <v>198639</v>
      </c>
      <c r="B1858" s="75" t="s">
        <v>232</v>
      </c>
      <c r="C1858" s="75" t="s">
        <v>1907</v>
      </c>
      <c r="D1858" s="76">
        <v>46073</v>
      </c>
      <c r="E1858" s="75" t="s">
        <v>327</v>
      </c>
      <c r="F1858" s="74">
        <v>167.73</v>
      </c>
      <c r="G1858" s="75" t="s">
        <v>326</v>
      </c>
      <c r="H1858" s="77" t="str">
        <f>VLOOKUP(DESPESAS[[#This Row],[Plano de Contas]],BASE!$B$3:$D$119,3,FALSE)</f>
        <v>Frete sobre Compras</v>
      </c>
      <c r="I1858" s="77" t="str">
        <f>IFERROR(VLOOKUP(DESPESAS[[#This Row],[Fornecedor]],Tabela2[],2,FALSE),"")</f>
        <v>SERVIÇOS FRETE</v>
      </c>
      <c r="J1858" s="77" t="str">
        <f>IFERROR(VLOOKUP(DESPESAS[[#This Row],[Plano de Contas]],BASE!$B$3:$F$119,4,FALSE),"")</f>
        <v>1 - CPV</v>
      </c>
      <c r="K1858" s="77" t="str">
        <f>IFERROR(VLOOKUP(DESPESAS[[#This Row],[Plano de Contas]],BASE!$B$3:$H$119,5,FALSE),"")</f>
        <v>COMPRAS</v>
      </c>
      <c r="L1858" s="77">
        <f>IFERROR(VLOOKUP(DESPESAS[[#This Row],[Plano de Contas]],BASE!$B$3:$H$119,6,FALSE),"")</f>
        <v>0</v>
      </c>
      <c r="M1858" s="77" t="str">
        <f>VLOOKUP(DESPESAS[[#This Row],[Plano de Contas]],BASE!$B$3:$H$119,7,FALSE)</f>
        <v>MYLENA</v>
      </c>
    </row>
    <row r="1859" spans="1:13" x14ac:dyDescent="0.25">
      <c r="A1859" s="74">
        <v>198640</v>
      </c>
      <c r="B1859" s="75" t="s">
        <v>232</v>
      </c>
      <c r="C1859" s="75" t="s">
        <v>1906</v>
      </c>
      <c r="D1859" s="76">
        <v>46073</v>
      </c>
      <c r="E1859" s="75" t="s">
        <v>409</v>
      </c>
      <c r="F1859" s="74">
        <v>110.15</v>
      </c>
      <c r="G1859" s="75" t="s">
        <v>326</v>
      </c>
      <c r="H1859" s="77" t="str">
        <f>VLOOKUP(DESPESAS[[#This Row],[Plano de Contas]],BASE!$B$3:$D$119,3,FALSE)</f>
        <v>Frete sobre Compras</v>
      </c>
      <c r="I1859" s="77" t="str">
        <f>IFERROR(VLOOKUP(DESPESAS[[#This Row],[Fornecedor]],Tabela2[],2,FALSE),"")</f>
        <v>SERVIÇOS FRETE</v>
      </c>
      <c r="J1859" s="77" t="str">
        <f>IFERROR(VLOOKUP(DESPESAS[[#This Row],[Plano de Contas]],BASE!$B$3:$F$119,4,FALSE),"")</f>
        <v>1 - CPV</v>
      </c>
      <c r="K1859" s="77" t="str">
        <f>IFERROR(VLOOKUP(DESPESAS[[#This Row],[Plano de Contas]],BASE!$B$3:$H$119,5,FALSE),"")</f>
        <v>COMPRAS</v>
      </c>
      <c r="L1859" s="77">
        <f>IFERROR(VLOOKUP(DESPESAS[[#This Row],[Plano de Contas]],BASE!$B$3:$H$119,6,FALSE),"")</f>
        <v>0</v>
      </c>
      <c r="M1859" s="77" t="str">
        <f>VLOOKUP(DESPESAS[[#This Row],[Plano de Contas]],BASE!$B$3:$H$119,7,FALSE)</f>
        <v>MYLENA</v>
      </c>
    </row>
    <row r="1860" spans="1:13" x14ac:dyDescent="0.25">
      <c r="A1860" s="74">
        <v>198641</v>
      </c>
      <c r="B1860" s="75" t="s">
        <v>232</v>
      </c>
      <c r="C1860" s="75" t="s">
        <v>1905</v>
      </c>
      <c r="D1860" s="76">
        <v>46073</v>
      </c>
      <c r="E1860" s="75" t="s">
        <v>409</v>
      </c>
      <c r="F1860" s="74">
        <v>102.11</v>
      </c>
      <c r="G1860" s="75" t="s">
        <v>326</v>
      </c>
      <c r="H1860" s="77" t="str">
        <f>VLOOKUP(DESPESAS[[#This Row],[Plano de Contas]],BASE!$B$3:$D$119,3,FALSE)</f>
        <v>Frete sobre Compras</v>
      </c>
      <c r="I1860" s="77" t="str">
        <f>IFERROR(VLOOKUP(DESPESAS[[#This Row],[Fornecedor]],Tabela2[],2,FALSE),"")</f>
        <v>SERVIÇOS FRETE</v>
      </c>
      <c r="J1860" s="77" t="str">
        <f>IFERROR(VLOOKUP(DESPESAS[[#This Row],[Plano de Contas]],BASE!$B$3:$F$119,4,FALSE),"")</f>
        <v>1 - CPV</v>
      </c>
      <c r="K1860" s="77" t="str">
        <f>IFERROR(VLOOKUP(DESPESAS[[#This Row],[Plano de Contas]],BASE!$B$3:$H$119,5,FALSE),"")</f>
        <v>COMPRAS</v>
      </c>
      <c r="L1860" s="77">
        <f>IFERROR(VLOOKUP(DESPESAS[[#This Row],[Plano de Contas]],BASE!$B$3:$H$119,6,FALSE),"")</f>
        <v>0</v>
      </c>
      <c r="M1860" s="77" t="str">
        <f>VLOOKUP(DESPESAS[[#This Row],[Plano de Contas]],BASE!$B$3:$H$119,7,FALSE)</f>
        <v>MYLENA</v>
      </c>
    </row>
    <row r="1861" spans="1:13" x14ac:dyDescent="0.25">
      <c r="A1861" s="74">
        <v>198642</v>
      </c>
      <c r="B1861" s="75" t="s">
        <v>232</v>
      </c>
      <c r="C1861" s="75" t="s">
        <v>1904</v>
      </c>
      <c r="D1861" s="76">
        <v>46072</v>
      </c>
      <c r="E1861" s="75" t="s">
        <v>327</v>
      </c>
      <c r="F1861" s="74">
        <v>182.73</v>
      </c>
      <c r="G1861" s="75" t="s">
        <v>326</v>
      </c>
      <c r="H1861" s="77" t="str">
        <f>VLOOKUP(DESPESAS[[#This Row],[Plano de Contas]],BASE!$B$3:$D$119,3,FALSE)</f>
        <v>Frete sobre Compras</v>
      </c>
      <c r="I1861" s="77" t="str">
        <f>IFERROR(VLOOKUP(DESPESAS[[#This Row],[Fornecedor]],Tabela2[],2,FALSE),"")</f>
        <v>SERVIÇOS FRETE</v>
      </c>
      <c r="J1861" s="77" t="str">
        <f>IFERROR(VLOOKUP(DESPESAS[[#This Row],[Plano de Contas]],BASE!$B$3:$F$119,4,FALSE),"")</f>
        <v>1 - CPV</v>
      </c>
      <c r="K1861" s="77" t="str">
        <f>IFERROR(VLOOKUP(DESPESAS[[#This Row],[Plano de Contas]],BASE!$B$3:$H$119,5,FALSE),"")</f>
        <v>COMPRAS</v>
      </c>
      <c r="L1861" s="77">
        <f>IFERROR(VLOOKUP(DESPESAS[[#This Row],[Plano de Contas]],BASE!$B$3:$H$119,6,FALSE),"")</f>
        <v>0</v>
      </c>
      <c r="M1861" s="77" t="str">
        <f>VLOOKUP(DESPESAS[[#This Row],[Plano de Contas]],BASE!$B$3:$H$119,7,FALSE)</f>
        <v>MYLENA</v>
      </c>
    </row>
    <row r="1862" spans="1:13" x14ac:dyDescent="0.25">
      <c r="A1862" s="74">
        <v>198643</v>
      </c>
      <c r="B1862" s="75" t="s">
        <v>221</v>
      </c>
      <c r="C1862" s="75" t="s">
        <v>1903</v>
      </c>
      <c r="D1862" s="76">
        <v>46077</v>
      </c>
      <c r="E1862" s="75" t="s">
        <v>1177</v>
      </c>
      <c r="F1862" s="74">
        <v>250</v>
      </c>
      <c r="G1862" s="75" t="s">
        <v>247</v>
      </c>
      <c r="H1862" s="77" t="str">
        <f>VLOOKUP(DESPESAS[[#This Row],[Plano de Contas]],BASE!$B$3:$D$119,3,FALSE)</f>
        <v>Manutenção com veiculos</v>
      </c>
      <c r="I1862" s="77" t="str">
        <f>IFERROR(VLOOKUP(DESPESAS[[#This Row],[Fornecedor]],Tabela2[],2,FALSE),"")</f>
        <v/>
      </c>
      <c r="J1862" s="77" t="str">
        <f>IFERROR(VLOOKUP(DESPESAS[[#This Row],[Plano de Contas]],BASE!$B$3:$F$119,4,FALSE),"")</f>
        <v>6 - DESPESA COM VENDAS</v>
      </c>
      <c r="K1862" s="77" t="str">
        <f>IFERROR(VLOOKUP(DESPESAS[[#This Row],[Plano de Contas]],BASE!$B$3:$H$119,5,FALSE),"")</f>
        <v>LOGÍSTICA</v>
      </c>
      <c r="L1862" s="77">
        <f>IFERROR(VLOOKUP(DESPESAS[[#This Row],[Plano de Contas]],BASE!$B$3:$H$119,6,FALSE),"")</f>
        <v>0</v>
      </c>
      <c r="M1862" s="77" t="str">
        <f>VLOOKUP(DESPESAS[[#This Row],[Plano de Contas]],BASE!$B$3:$H$119,7,FALSE)</f>
        <v>MYLENA</v>
      </c>
    </row>
    <row r="1863" spans="1:13" x14ac:dyDescent="0.25">
      <c r="A1863" s="74">
        <v>198644</v>
      </c>
      <c r="B1863" s="75" t="s">
        <v>232</v>
      </c>
      <c r="C1863" s="75" t="s">
        <v>1902</v>
      </c>
      <c r="D1863" s="76">
        <v>46077</v>
      </c>
      <c r="E1863" s="75" t="s">
        <v>327</v>
      </c>
      <c r="F1863" s="74">
        <v>162.6</v>
      </c>
      <c r="G1863" s="75" t="s">
        <v>326</v>
      </c>
      <c r="H1863" s="77" t="str">
        <f>VLOOKUP(DESPESAS[[#This Row],[Plano de Contas]],BASE!$B$3:$D$119,3,FALSE)</f>
        <v>Frete sobre Compras</v>
      </c>
      <c r="I1863" s="77" t="str">
        <f>IFERROR(VLOOKUP(DESPESAS[[#This Row],[Fornecedor]],Tabela2[],2,FALSE),"")</f>
        <v>SERVIÇOS FRETE</v>
      </c>
      <c r="J1863" s="77" t="str">
        <f>IFERROR(VLOOKUP(DESPESAS[[#This Row],[Plano de Contas]],BASE!$B$3:$F$119,4,FALSE),"")</f>
        <v>1 - CPV</v>
      </c>
      <c r="K1863" s="77" t="str">
        <f>IFERROR(VLOOKUP(DESPESAS[[#This Row],[Plano de Contas]],BASE!$B$3:$H$119,5,FALSE),"")</f>
        <v>COMPRAS</v>
      </c>
      <c r="L1863" s="77">
        <f>IFERROR(VLOOKUP(DESPESAS[[#This Row],[Plano de Contas]],BASE!$B$3:$H$119,6,FALSE),"")</f>
        <v>0</v>
      </c>
      <c r="M1863" s="77" t="str">
        <f>VLOOKUP(DESPESAS[[#This Row],[Plano de Contas]],BASE!$B$3:$H$119,7,FALSE)</f>
        <v>MYLENA</v>
      </c>
    </row>
    <row r="1864" spans="1:13" x14ac:dyDescent="0.25">
      <c r="A1864" s="74">
        <v>198645</v>
      </c>
      <c r="B1864" s="75" t="s">
        <v>281</v>
      </c>
      <c r="C1864" s="75" t="s">
        <v>1901</v>
      </c>
      <c r="D1864" s="76">
        <v>46077</v>
      </c>
      <c r="E1864" s="75" t="s">
        <v>325</v>
      </c>
      <c r="F1864" s="74">
        <v>1309.68</v>
      </c>
      <c r="G1864" s="75" t="s">
        <v>747</v>
      </c>
      <c r="H1864" s="77" t="str">
        <f>VLOOKUP(DESPESAS[[#This Row],[Plano de Contas]],BASE!$B$3:$D$119,3,FALSE)</f>
        <v>Cursos e Treinamentos (Adm)</v>
      </c>
      <c r="I1864" s="77" t="str">
        <f>IFERROR(VLOOKUP(DESPESAS[[#This Row],[Fornecedor]],Tabela2[],2,FALSE),"")</f>
        <v/>
      </c>
      <c r="J1864" s="77" t="str">
        <f>IFERROR(VLOOKUP(DESPESAS[[#This Row],[Plano de Contas]],BASE!$B$3:$F$119,4,FALSE),"")</f>
        <v>4 - GASTOS COM PESSOAL</v>
      </c>
      <c r="K1864" s="77" t="str">
        <f>IFERROR(VLOOKUP(DESPESAS[[#This Row],[Plano de Contas]],BASE!$B$3:$H$119,5,FALSE),"")</f>
        <v>DIRETORIA</v>
      </c>
      <c r="L1864" s="77">
        <f>IFERROR(VLOOKUP(DESPESAS[[#This Row],[Plano de Contas]],BASE!$B$3:$H$119,6,FALSE),"")</f>
        <v>0</v>
      </c>
      <c r="M1864" s="77" t="str">
        <f>VLOOKUP(DESPESAS[[#This Row],[Plano de Contas]],BASE!$B$3:$H$119,7,FALSE)</f>
        <v>FÁBIO</v>
      </c>
    </row>
    <row r="1865" spans="1:13" x14ac:dyDescent="0.25">
      <c r="A1865" s="74">
        <v>198646</v>
      </c>
      <c r="B1865" s="75" t="s">
        <v>221</v>
      </c>
      <c r="C1865" s="75" t="s">
        <v>1900</v>
      </c>
      <c r="D1865" s="76">
        <v>46076</v>
      </c>
      <c r="E1865" s="75" t="s">
        <v>242</v>
      </c>
      <c r="F1865" s="74">
        <v>90.91</v>
      </c>
      <c r="G1865" s="75" t="s">
        <v>423</v>
      </c>
      <c r="H1865" s="77" t="str">
        <f>VLOOKUP(DESPESAS[[#This Row],[Plano de Contas]],BASE!$B$3:$D$119,3,FALSE)</f>
        <v>Combustíveis (Adm)</v>
      </c>
      <c r="I1865" s="77" t="str">
        <f>IFERROR(VLOOKUP(DESPESAS[[#This Row],[Fornecedor]],Tabela2[],2,FALSE),"")</f>
        <v/>
      </c>
      <c r="J1865" s="77" t="str">
        <f>IFERROR(VLOOKUP(DESPESAS[[#This Row],[Plano de Contas]],BASE!$B$3:$F$119,4,FALSE),"")</f>
        <v>5 - DESPESAS ADMINISTRATIVAS</v>
      </c>
      <c r="K1865" s="77" t="str">
        <f>IFERROR(VLOOKUP(DESPESAS[[#This Row],[Plano de Contas]],BASE!$B$3:$H$119,5,FALSE),"")</f>
        <v>LOGÍSTICA</v>
      </c>
      <c r="L1865" s="77">
        <f>IFERROR(VLOOKUP(DESPESAS[[#This Row],[Plano de Contas]],BASE!$B$3:$H$119,6,FALSE),"")</f>
        <v>0</v>
      </c>
      <c r="M1865" s="77" t="str">
        <f>VLOOKUP(DESPESAS[[#This Row],[Plano de Contas]],BASE!$B$3:$H$119,7,FALSE)</f>
        <v>LETÍCIA</v>
      </c>
    </row>
    <row r="1866" spans="1:13" x14ac:dyDescent="0.25">
      <c r="A1866" s="74">
        <v>198648</v>
      </c>
      <c r="B1866" s="75" t="s">
        <v>281</v>
      </c>
      <c r="C1866" s="75" t="s">
        <v>1899</v>
      </c>
      <c r="D1866" s="76">
        <v>46081</v>
      </c>
      <c r="E1866" s="75" t="s">
        <v>290</v>
      </c>
      <c r="F1866" s="74">
        <v>91.95</v>
      </c>
      <c r="G1866" s="75" t="s">
        <v>289</v>
      </c>
      <c r="H1866" s="77" t="str">
        <f>VLOOKUP(DESPESAS[[#This Row],[Plano de Contas]],BASE!$B$3:$D$119,3,FALSE)</f>
        <v>Energia Eletrica (Adm)</v>
      </c>
      <c r="I1866" s="77" t="str">
        <f>IFERROR(VLOOKUP(DESPESAS[[#This Row],[Fornecedor]],Tabela2[],2,FALSE),"")</f>
        <v/>
      </c>
      <c r="J1866" s="77" t="str">
        <f>IFERROR(VLOOKUP(DESPESAS[[#This Row],[Plano de Contas]],BASE!$B$3:$F$119,4,FALSE),"")</f>
        <v>5 - DESPESAS ADMINISTRATIVAS</v>
      </c>
      <c r="K1866" s="77" t="str">
        <f>IFERROR(VLOOKUP(DESPESAS[[#This Row],[Plano de Contas]],BASE!$B$3:$H$119,5,FALSE),"")</f>
        <v>FINANCEIRO</v>
      </c>
      <c r="L1866" s="77">
        <f>IFERROR(VLOOKUP(DESPESAS[[#This Row],[Plano de Contas]],BASE!$B$3:$H$119,6,FALSE),"")</f>
        <v>0</v>
      </c>
      <c r="M1866" s="77" t="str">
        <f>VLOOKUP(DESPESAS[[#This Row],[Plano de Contas]],BASE!$B$3:$H$119,7,FALSE)</f>
        <v>LETÍCIA</v>
      </c>
    </row>
    <row r="1867" spans="1:13" x14ac:dyDescent="0.25">
      <c r="A1867" s="74">
        <v>198649</v>
      </c>
      <c r="B1867" s="75" t="s">
        <v>221</v>
      </c>
      <c r="C1867" s="75" t="s">
        <v>1898</v>
      </c>
      <c r="D1867" s="76">
        <v>46063</v>
      </c>
      <c r="E1867" s="75" t="s">
        <v>754</v>
      </c>
      <c r="F1867" s="74">
        <v>225</v>
      </c>
      <c r="G1867" s="75" t="s">
        <v>751</v>
      </c>
      <c r="H1867" s="77" t="str">
        <f>VLOOKUP(DESPESAS[[#This Row],[Plano de Contas]],BASE!$B$3:$D$119,3,FALSE)</f>
        <v>Comissões sobre Vendas Interno</v>
      </c>
      <c r="I1867" s="77" t="str">
        <f>IFERROR(VLOOKUP(DESPESAS[[#This Row],[Fornecedor]],Tabela2[],2,FALSE),"")</f>
        <v/>
      </c>
      <c r="J1867" s="77" t="str">
        <f>IFERROR(VLOOKUP(DESPESAS[[#This Row],[Plano de Contas]],BASE!$B$3:$F$119,4,FALSE),"")</f>
        <v>6 - DESPESA COM VENDAS</v>
      </c>
      <c r="K1867" s="77" t="str">
        <f>IFERROR(VLOOKUP(DESPESAS[[#This Row],[Plano de Contas]],BASE!$B$3:$H$119,5,FALSE),"")</f>
        <v>COMERCIAL</v>
      </c>
      <c r="L1867" s="77">
        <f>IFERROR(VLOOKUP(DESPESAS[[#This Row],[Plano de Contas]],BASE!$B$3:$H$119,6,FALSE),"")</f>
        <v>0</v>
      </c>
      <c r="M1867" s="77" t="str">
        <f>VLOOKUP(DESPESAS[[#This Row],[Plano de Contas]],BASE!$B$3:$H$119,7,FALSE)</f>
        <v>LETÍCIA</v>
      </c>
    </row>
    <row r="1868" spans="1:13" x14ac:dyDescent="0.25">
      <c r="A1868" s="74">
        <v>198650</v>
      </c>
      <c r="B1868" s="75" t="s">
        <v>232</v>
      </c>
      <c r="C1868" s="75" t="s">
        <v>1896</v>
      </c>
      <c r="D1868" s="76">
        <v>46077</v>
      </c>
      <c r="E1868" s="75" t="s">
        <v>573</v>
      </c>
      <c r="F1868" s="74">
        <v>593.64</v>
      </c>
      <c r="G1868" s="75" t="s">
        <v>572</v>
      </c>
      <c r="H1868" s="77" t="str">
        <f>VLOOKUP(DESPESAS[[#This Row],[Plano de Contas]],BASE!$B$3:$D$119,3,FALSE)</f>
        <v>Comissões sobre Vendas Externo</v>
      </c>
      <c r="I1868" s="77" t="str">
        <f>IFERROR(VLOOKUP(DESPESAS[[#This Row],[Fornecedor]],Tabela2[],2,FALSE),"")</f>
        <v/>
      </c>
      <c r="J1868" s="77" t="str">
        <f>IFERROR(VLOOKUP(DESPESAS[[#This Row],[Plano de Contas]],BASE!$B$3:$F$119,4,FALSE),"")</f>
        <v>6 - DESPESA COM VENDAS</v>
      </c>
      <c r="K1868" s="77" t="str">
        <f>IFERROR(VLOOKUP(DESPESAS[[#This Row],[Plano de Contas]],BASE!$B$3:$H$119,5,FALSE),"")</f>
        <v>COMERCIAL</v>
      </c>
      <c r="L1868" s="77">
        <f>IFERROR(VLOOKUP(DESPESAS[[#This Row],[Plano de Contas]],BASE!$B$3:$H$119,6,FALSE),"")</f>
        <v>0</v>
      </c>
      <c r="M1868" s="77" t="str">
        <f>VLOOKUP(DESPESAS[[#This Row],[Plano de Contas]],BASE!$B$3:$H$119,7,FALSE)</f>
        <v>LETÍCIA</v>
      </c>
    </row>
    <row r="1869" spans="1:13" x14ac:dyDescent="0.25">
      <c r="A1869" s="74">
        <v>198651</v>
      </c>
      <c r="B1869" s="75" t="s">
        <v>232</v>
      </c>
      <c r="C1869" s="75" t="s">
        <v>1897</v>
      </c>
      <c r="D1869" s="76">
        <v>46077</v>
      </c>
      <c r="E1869" s="75" t="s">
        <v>607</v>
      </c>
      <c r="F1869" s="74">
        <v>1881.84</v>
      </c>
      <c r="G1869" s="75" t="s">
        <v>244</v>
      </c>
      <c r="H1869" s="77" t="str">
        <f>VLOOKUP(DESPESAS[[#This Row],[Plano de Contas]],BASE!$B$3:$D$119,3,FALSE)</f>
        <v>Material de Expediente (Prod)</v>
      </c>
      <c r="I1869" s="77" t="str">
        <f>IFERROR(VLOOKUP(DESPESAS[[#This Row],[Fornecedor]],Tabela2[],2,FALSE),"")</f>
        <v>FERRAGENS GERAIS</v>
      </c>
      <c r="J1869" s="77" t="str">
        <f>IFERROR(VLOOKUP(DESPESAS[[#This Row],[Plano de Contas]],BASE!$B$3:$F$119,4,FALSE),"")</f>
        <v>2 - CUSTOS DIRETOS</v>
      </c>
      <c r="K1869" s="77" t="str">
        <f>IFERROR(VLOOKUP(DESPESAS[[#This Row],[Plano de Contas]],BASE!$B$3:$H$119,5,FALSE),"")</f>
        <v>PRODUÇÃO</v>
      </c>
      <c r="L1869" s="77">
        <f>IFERROR(VLOOKUP(DESPESAS[[#This Row],[Plano de Contas]],BASE!$B$3:$H$119,6,FALSE),"")</f>
        <v>0</v>
      </c>
      <c r="M1869" s="77" t="str">
        <f>VLOOKUP(DESPESAS[[#This Row],[Plano de Contas]],BASE!$B$3:$H$119,7,FALSE)</f>
        <v>RAFAEL</v>
      </c>
    </row>
    <row r="1870" spans="1:13" x14ac:dyDescent="0.25">
      <c r="A1870" s="74">
        <v>198652</v>
      </c>
      <c r="B1870" s="75" t="s">
        <v>232</v>
      </c>
      <c r="C1870" s="75" t="s">
        <v>1896</v>
      </c>
      <c r="D1870" s="76">
        <v>46077</v>
      </c>
      <c r="E1870" s="75" t="s">
        <v>790</v>
      </c>
      <c r="F1870" s="74">
        <v>843.5</v>
      </c>
      <c r="G1870" s="75" t="s">
        <v>572</v>
      </c>
      <c r="H1870" s="77" t="str">
        <f>VLOOKUP(DESPESAS[[#This Row],[Plano de Contas]],BASE!$B$3:$D$119,3,FALSE)</f>
        <v>Comissões sobre Vendas Externo</v>
      </c>
      <c r="I1870" s="77" t="str">
        <f>IFERROR(VLOOKUP(DESPESAS[[#This Row],[Fornecedor]],Tabela2[],2,FALSE),"")</f>
        <v/>
      </c>
      <c r="J1870" s="77" t="str">
        <f>IFERROR(VLOOKUP(DESPESAS[[#This Row],[Plano de Contas]],BASE!$B$3:$F$119,4,FALSE),"")</f>
        <v>6 - DESPESA COM VENDAS</v>
      </c>
      <c r="K1870" s="77" t="str">
        <f>IFERROR(VLOOKUP(DESPESAS[[#This Row],[Plano de Contas]],BASE!$B$3:$H$119,5,FALSE),"")</f>
        <v>COMERCIAL</v>
      </c>
      <c r="L1870" s="77">
        <f>IFERROR(VLOOKUP(DESPESAS[[#This Row],[Plano de Contas]],BASE!$B$3:$H$119,6,FALSE),"")</f>
        <v>0</v>
      </c>
      <c r="M1870" s="77" t="str">
        <f>VLOOKUP(DESPESAS[[#This Row],[Plano de Contas]],BASE!$B$3:$H$119,7,FALSE)</f>
        <v>LETÍCIA</v>
      </c>
    </row>
    <row r="1871" spans="1:13" x14ac:dyDescent="0.25">
      <c r="A1871" s="74">
        <v>198653</v>
      </c>
      <c r="B1871" s="75" t="s">
        <v>232</v>
      </c>
      <c r="C1871" s="75" t="s">
        <v>1896</v>
      </c>
      <c r="D1871" s="76">
        <v>46077</v>
      </c>
      <c r="E1871" s="75" t="s">
        <v>789</v>
      </c>
      <c r="F1871" s="74">
        <v>6541.19</v>
      </c>
      <c r="G1871" s="75" t="s">
        <v>572</v>
      </c>
      <c r="H1871" s="77" t="str">
        <f>VLOOKUP(DESPESAS[[#This Row],[Plano de Contas]],BASE!$B$3:$D$119,3,FALSE)</f>
        <v>Comissões sobre Vendas Externo</v>
      </c>
      <c r="I1871" s="77" t="str">
        <f>IFERROR(VLOOKUP(DESPESAS[[#This Row],[Fornecedor]],Tabela2[],2,FALSE),"")</f>
        <v/>
      </c>
      <c r="J1871" s="77" t="str">
        <f>IFERROR(VLOOKUP(DESPESAS[[#This Row],[Plano de Contas]],BASE!$B$3:$F$119,4,FALSE),"")</f>
        <v>6 - DESPESA COM VENDAS</v>
      </c>
      <c r="K1871" s="77" t="str">
        <f>IFERROR(VLOOKUP(DESPESAS[[#This Row],[Plano de Contas]],BASE!$B$3:$H$119,5,FALSE),"")</f>
        <v>COMERCIAL</v>
      </c>
      <c r="L1871" s="77">
        <f>IFERROR(VLOOKUP(DESPESAS[[#This Row],[Plano de Contas]],BASE!$B$3:$H$119,6,FALSE),"")</f>
        <v>0</v>
      </c>
      <c r="M1871" s="77" t="str">
        <f>VLOOKUP(DESPESAS[[#This Row],[Plano de Contas]],BASE!$B$3:$H$119,7,FALSE)</f>
        <v>LETÍCIA</v>
      </c>
    </row>
    <row r="1872" spans="1:13" x14ac:dyDescent="0.25">
      <c r="A1872" s="74">
        <v>198654</v>
      </c>
      <c r="B1872" s="75" t="s">
        <v>232</v>
      </c>
      <c r="C1872" s="75" t="s">
        <v>1896</v>
      </c>
      <c r="D1872" s="76">
        <v>46077</v>
      </c>
      <c r="E1872" s="75" t="s">
        <v>788</v>
      </c>
      <c r="F1872" s="74">
        <v>4187.04</v>
      </c>
      <c r="G1872" s="75" t="s">
        <v>572</v>
      </c>
      <c r="H1872" s="77" t="str">
        <f>VLOOKUP(DESPESAS[[#This Row],[Plano de Contas]],BASE!$B$3:$D$119,3,FALSE)</f>
        <v>Comissões sobre Vendas Externo</v>
      </c>
      <c r="I1872" s="77" t="str">
        <f>IFERROR(VLOOKUP(DESPESAS[[#This Row],[Fornecedor]],Tabela2[],2,FALSE),"")</f>
        <v/>
      </c>
      <c r="J1872" s="77" t="str">
        <f>IFERROR(VLOOKUP(DESPESAS[[#This Row],[Plano de Contas]],BASE!$B$3:$F$119,4,FALSE),"")</f>
        <v>6 - DESPESA COM VENDAS</v>
      </c>
      <c r="K1872" s="77" t="str">
        <f>IFERROR(VLOOKUP(DESPESAS[[#This Row],[Plano de Contas]],BASE!$B$3:$H$119,5,FALSE),"")</f>
        <v>COMERCIAL</v>
      </c>
      <c r="L1872" s="77">
        <f>IFERROR(VLOOKUP(DESPESAS[[#This Row],[Plano de Contas]],BASE!$B$3:$H$119,6,FALSE),"")</f>
        <v>0</v>
      </c>
      <c r="M1872" s="77" t="str">
        <f>VLOOKUP(DESPESAS[[#This Row],[Plano de Contas]],BASE!$B$3:$H$119,7,FALSE)</f>
        <v>LETÍCIA</v>
      </c>
    </row>
    <row r="1873" spans="1:13" x14ac:dyDescent="0.25">
      <c r="A1873" s="74">
        <v>198657</v>
      </c>
      <c r="B1873" s="75" t="s">
        <v>232</v>
      </c>
      <c r="C1873" s="75" t="s">
        <v>1896</v>
      </c>
      <c r="D1873" s="76">
        <v>46077</v>
      </c>
      <c r="E1873" s="75" t="s">
        <v>785</v>
      </c>
      <c r="F1873" s="74">
        <v>3727.74</v>
      </c>
      <c r="G1873" s="75" t="s">
        <v>572</v>
      </c>
      <c r="H1873" s="77" t="str">
        <f>VLOOKUP(DESPESAS[[#This Row],[Plano de Contas]],BASE!$B$3:$D$119,3,FALSE)</f>
        <v>Comissões sobre Vendas Externo</v>
      </c>
      <c r="I1873" s="77" t="str">
        <f>IFERROR(VLOOKUP(DESPESAS[[#This Row],[Fornecedor]],Tabela2[],2,FALSE),"")</f>
        <v/>
      </c>
      <c r="J1873" s="77" t="str">
        <f>IFERROR(VLOOKUP(DESPESAS[[#This Row],[Plano de Contas]],BASE!$B$3:$F$119,4,FALSE),"")</f>
        <v>6 - DESPESA COM VENDAS</v>
      </c>
      <c r="K1873" s="77" t="str">
        <f>IFERROR(VLOOKUP(DESPESAS[[#This Row],[Plano de Contas]],BASE!$B$3:$H$119,5,FALSE),"")</f>
        <v>COMERCIAL</v>
      </c>
      <c r="L1873" s="77">
        <f>IFERROR(VLOOKUP(DESPESAS[[#This Row],[Plano de Contas]],BASE!$B$3:$H$119,6,FALSE),"")</f>
        <v>0</v>
      </c>
      <c r="M1873" s="77" t="str">
        <f>VLOOKUP(DESPESAS[[#This Row],[Plano de Contas]],BASE!$B$3:$H$119,7,FALSE)</f>
        <v>LETÍCIA</v>
      </c>
    </row>
    <row r="1874" spans="1:13" x14ac:dyDescent="0.25">
      <c r="A1874" s="74">
        <v>198658</v>
      </c>
      <c r="B1874" s="75" t="s">
        <v>232</v>
      </c>
      <c r="C1874" s="75" t="s">
        <v>1896</v>
      </c>
      <c r="D1874" s="76">
        <v>46077</v>
      </c>
      <c r="E1874" s="75" t="s">
        <v>784</v>
      </c>
      <c r="F1874" s="74">
        <v>4221.3900000000003</v>
      </c>
      <c r="G1874" s="75" t="s">
        <v>572</v>
      </c>
      <c r="H1874" s="77" t="str">
        <f>VLOOKUP(DESPESAS[[#This Row],[Plano de Contas]],BASE!$B$3:$D$119,3,FALSE)</f>
        <v>Comissões sobre Vendas Externo</v>
      </c>
      <c r="I1874" s="77" t="str">
        <f>IFERROR(VLOOKUP(DESPESAS[[#This Row],[Fornecedor]],Tabela2[],2,FALSE),"")</f>
        <v/>
      </c>
      <c r="J1874" s="77" t="str">
        <f>IFERROR(VLOOKUP(DESPESAS[[#This Row],[Plano de Contas]],BASE!$B$3:$F$119,4,FALSE),"")</f>
        <v>6 - DESPESA COM VENDAS</v>
      </c>
      <c r="K1874" s="77" t="str">
        <f>IFERROR(VLOOKUP(DESPESAS[[#This Row],[Plano de Contas]],BASE!$B$3:$H$119,5,FALSE),"")</f>
        <v>COMERCIAL</v>
      </c>
      <c r="L1874" s="77">
        <f>IFERROR(VLOOKUP(DESPESAS[[#This Row],[Plano de Contas]],BASE!$B$3:$H$119,6,FALSE),"")</f>
        <v>0</v>
      </c>
      <c r="M1874" s="77" t="str">
        <f>VLOOKUP(DESPESAS[[#This Row],[Plano de Contas]],BASE!$B$3:$H$119,7,FALSE)</f>
        <v>LETÍCIA</v>
      </c>
    </row>
    <row r="1875" spans="1:13" x14ac:dyDescent="0.25">
      <c r="A1875" s="74">
        <v>198659</v>
      </c>
      <c r="B1875" s="75" t="s">
        <v>232</v>
      </c>
      <c r="C1875" s="75" t="s">
        <v>1896</v>
      </c>
      <c r="D1875" s="76">
        <v>46077</v>
      </c>
      <c r="E1875" s="75" t="s">
        <v>791</v>
      </c>
      <c r="F1875" s="74">
        <v>1099.28</v>
      </c>
      <c r="G1875" s="75" t="s">
        <v>572</v>
      </c>
      <c r="H1875" s="77" t="str">
        <f>VLOOKUP(DESPESAS[[#This Row],[Plano de Contas]],BASE!$B$3:$D$119,3,FALSE)</f>
        <v>Comissões sobre Vendas Externo</v>
      </c>
      <c r="I1875" s="77" t="str">
        <f>IFERROR(VLOOKUP(DESPESAS[[#This Row],[Fornecedor]],Tabela2[],2,FALSE),"")</f>
        <v/>
      </c>
      <c r="J1875" s="77" t="str">
        <f>IFERROR(VLOOKUP(DESPESAS[[#This Row],[Plano de Contas]],BASE!$B$3:$F$119,4,FALSE),"")</f>
        <v>6 - DESPESA COM VENDAS</v>
      </c>
      <c r="K1875" s="77" t="str">
        <f>IFERROR(VLOOKUP(DESPESAS[[#This Row],[Plano de Contas]],BASE!$B$3:$H$119,5,FALSE),"")</f>
        <v>COMERCIAL</v>
      </c>
      <c r="L1875" s="77">
        <f>IFERROR(VLOOKUP(DESPESAS[[#This Row],[Plano de Contas]],BASE!$B$3:$H$119,6,FALSE),"")</f>
        <v>0</v>
      </c>
      <c r="M1875" s="77" t="str">
        <f>VLOOKUP(DESPESAS[[#This Row],[Plano de Contas]],BASE!$B$3:$H$119,7,FALSE)</f>
        <v>LETÍCIA</v>
      </c>
    </row>
    <row r="1876" spans="1:13" x14ac:dyDescent="0.25">
      <c r="A1876" s="74">
        <v>198660</v>
      </c>
      <c r="B1876" s="75" t="s">
        <v>232</v>
      </c>
      <c r="C1876" s="75" t="s">
        <v>1896</v>
      </c>
      <c r="D1876" s="76">
        <v>46077</v>
      </c>
      <c r="E1876" s="75" t="s">
        <v>786</v>
      </c>
      <c r="F1876" s="74">
        <v>130.16999999999999</v>
      </c>
      <c r="G1876" s="75" t="s">
        <v>572</v>
      </c>
      <c r="H1876" s="77" t="str">
        <f>VLOOKUP(DESPESAS[[#This Row],[Plano de Contas]],BASE!$B$3:$D$119,3,FALSE)</f>
        <v>Comissões sobre Vendas Externo</v>
      </c>
      <c r="I1876" s="77" t="str">
        <f>IFERROR(VLOOKUP(DESPESAS[[#This Row],[Fornecedor]],Tabela2[],2,FALSE),"")</f>
        <v/>
      </c>
      <c r="J1876" s="77" t="str">
        <f>IFERROR(VLOOKUP(DESPESAS[[#This Row],[Plano de Contas]],BASE!$B$3:$F$119,4,FALSE),"")</f>
        <v>6 - DESPESA COM VENDAS</v>
      </c>
      <c r="K1876" s="77" t="str">
        <f>IFERROR(VLOOKUP(DESPESAS[[#This Row],[Plano de Contas]],BASE!$B$3:$H$119,5,FALSE),"")</f>
        <v>COMERCIAL</v>
      </c>
      <c r="L1876" s="77">
        <f>IFERROR(VLOOKUP(DESPESAS[[#This Row],[Plano de Contas]],BASE!$B$3:$H$119,6,FALSE),"")</f>
        <v>0</v>
      </c>
      <c r="M1876" s="77" t="str">
        <f>VLOOKUP(DESPESAS[[#This Row],[Plano de Contas]],BASE!$B$3:$H$119,7,FALSE)</f>
        <v>LETÍCIA</v>
      </c>
    </row>
    <row r="1877" spans="1:13" x14ac:dyDescent="0.25">
      <c r="A1877" s="74">
        <v>198661</v>
      </c>
      <c r="B1877" s="75" t="s">
        <v>221</v>
      </c>
      <c r="C1877" s="75" t="s">
        <v>1896</v>
      </c>
      <c r="D1877" s="76">
        <v>46077</v>
      </c>
      <c r="E1877" s="75" t="s">
        <v>790</v>
      </c>
      <c r="F1877" s="74">
        <v>344.37</v>
      </c>
      <c r="G1877" s="75" t="s">
        <v>572</v>
      </c>
      <c r="H1877" s="77" t="str">
        <f>VLOOKUP(DESPESAS[[#This Row],[Plano de Contas]],BASE!$B$3:$D$119,3,FALSE)</f>
        <v>Comissões sobre Vendas Externo</v>
      </c>
      <c r="I1877" s="77" t="str">
        <f>IFERROR(VLOOKUP(DESPESAS[[#This Row],[Fornecedor]],Tabela2[],2,FALSE),"")</f>
        <v/>
      </c>
      <c r="J1877" s="77" t="str">
        <f>IFERROR(VLOOKUP(DESPESAS[[#This Row],[Plano de Contas]],BASE!$B$3:$F$119,4,FALSE),"")</f>
        <v>6 - DESPESA COM VENDAS</v>
      </c>
      <c r="K1877" s="77" t="str">
        <f>IFERROR(VLOOKUP(DESPESAS[[#This Row],[Plano de Contas]],BASE!$B$3:$H$119,5,FALSE),"")</f>
        <v>COMERCIAL</v>
      </c>
      <c r="L1877" s="77">
        <f>IFERROR(VLOOKUP(DESPESAS[[#This Row],[Plano de Contas]],BASE!$B$3:$H$119,6,FALSE),"")</f>
        <v>0</v>
      </c>
      <c r="M1877" s="77" t="str">
        <f>VLOOKUP(DESPESAS[[#This Row],[Plano de Contas]],BASE!$B$3:$H$119,7,FALSE)</f>
        <v>LETÍCIA</v>
      </c>
    </row>
    <row r="1878" spans="1:13" x14ac:dyDescent="0.25">
      <c r="A1878" s="74">
        <v>198662</v>
      </c>
      <c r="B1878" s="75" t="s">
        <v>221</v>
      </c>
      <c r="C1878" s="75" t="s">
        <v>1896</v>
      </c>
      <c r="D1878" s="76">
        <v>46077</v>
      </c>
      <c r="E1878" s="75" t="s">
        <v>789</v>
      </c>
      <c r="F1878" s="74">
        <v>843.93</v>
      </c>
      <c r="G1878" s="75" t="s">
        <v>572</v>
      </c>
      <c r="H1878" s="77" t="str">
        <f>VLOOKUP(DESPESAS[[#This Row],[Plano de Contas]],BASE!$B$3:$D$119,3,FALSE)</f>
        <v>Comissões sobre Vendas Externo</v>
      </c>
      <c r="I1878" s="77" t="str">
        <f>IFERROR(VLOOKUP(DESPESAS[[#This Row],[Fornecedor]],Tabela2[],2,FALSE),"")</f>
        <v/>
      </c>
      <c r="J1878" s="77" t="str">
        <f>IFERROR(VLOOKUP(DESPESAS[[#This Row],[Plano de Contas]],BASE!$B$3:$F$119,4,FALSE),"")</f>
        <v>6 - DESPESA COM VENDAS</v>
      </c>
      <c r="K1878" s="77" t="str">
        <f>IFERROR(VLOOKUP(DESPESAS[[#This Row],[Plano de Contas]],BASE!$B$3:$H$119,5,FALSE),"")</f>
        <v>COMERCIAL</v>
      </c>
      <c r="L1878" s="77">
        <f>IFERROR(VLOOKUP(DESPESAS[[#This Row],[Plano de Contas]],BASE!$B$3:$H$119,6,FALSE),"")</f>
        <v>0</v>
      </c>
      <c r="M1878" s="77" t="str">
        <f>VLOOKUP(DESPESAS[[#This Row],[Plano de Contas]],BASE!$B$3:$H$119,7,FALSE)</f>
        <v>LETÍCIA</v>
      </c>
    </row>
    <row r="1879" spans="1:13" x14ac:dyDescent="0.25">
      <c r="A1879" s="74">
        <v>198663</v>
      </c>
      <c r="B1879" s="75" t="s">
        <v>221</v>
      </c>
      <c r="C1879" s="75" t="s">
        <v>1896</v>
      </c>
      <c r="D1879" s="76">
        <v>46077</v>
      </c>
      <c r="E1879" s="75" t="s">
        <v>787</v>
      </c>
      <c r="F1879" s="74">
        <v>122.86</v>
      </c>
      <c r="G1879" s="75" t="s">
        <v>572</v>
      </c>
      <c r="H1879" s="77" t="str">
        <f>VLOOKUP(DESPESAS[[#This Row],[Plano de Contas]],BASE!$B$3:$D$119,3,FALSE)</f>
        <v>Comissões sobre Vendas Externo</v>
      </c>
      <c r="I1879" s="77" t="str">
        <f>IFERROR(VLOOKUP(DESPESAS[[#This Row],[Fornecedor]],Tabela2[],2,FALSE),"")</f>
        <v/>
      </c>
      <c r="J1879" s="77" t="str">
        <f>IFERROR(VLOOKUP(DESPESAS[[#This Row],[Plano de Contas]],BASE!$B$3:$F$119,4,FALSE),"")</f>
        <v>6 - DESPESA COM VENDAS</v>
      </c>
      <c r="K1879" s="77" t="str">
        <f>IFERROR(VLOOKUP(DESPESAS[[#This Row],[Plano de Contas]],BASE!$B$3:$H$119,5,FALSE),"")</f>
        <v>COMERCIAL</v>
      </c>
      <c r="L1879" s="77">
        <f>IFERROR(VLOOKUP(DESPESAS[[#This Row],[Plano de Contas]],BASE!$B$3:$H$119,6,FALSE),"")</f>
        <v>0</v>
      </c>
      <c r="M1879" s="77" t="str">
        <f>VLOOKUP(DESPESAS[[#This Row],[Plano de Contas]],BASE!$B$3:$H$119,7,FALSE)</f>
        <v>LETÍCIA</v>
      </c>
    </row>
    <row r="1880" spans="1:13" x14ac:dyDescent="0.25">
      <c r="A1880" s="74">
        <v>198664</v>
      </c>
      <c r="B1880" s="75" t="s">
        <v>221</v>
      </c>
      <c r="C1880" s="75" t="s">
        <v>1896</v>
      </c>
      <c r="D1880" s="76">
        <v>46077</v>
      </c>
      <c r="E1880" s="75" t="s">
        <v>785</v>
      </c>
      <c r="F1880" s="74">
        <v>583.75</v>
      </c>
      <c r="G1880" s="75" t="s">
        <v>572</v>
      </c>
      <c r="H1880" s="77" t="str">
        <f>VLOOKUP(DESPESAS[[#This Row],[Plano de Contas]],BASE!$B$3:$D$119,3,FALSE)</f>
        <v>Comissões sobre Vendas Externo</v>
      </c>
      <c r="I1880" s="77" t="str">
        <f>IFERROR(VLOOKUP(DESPESAS[[#This Row],[Fornecedor]],Tabela2[],2,FALSE),"")</f>
        <v/>
      </c>
      <c r="J1880" s="77" t="str">
        <f>IFERROR(VLOOKUP(DESPESAS[[#This Row],[Plano de Contas]],BASE!$B$3:$F$119,4,FALSE),"")</f>
        <v>6 - DESPESA COM VENDAS</v>
      </c>
      <c r="K1880" s="77" t="str">
        <f>IFERROR(VLOOKUP(DESPESAS[[#This Row],[Plano de Contas]],BASE!$B$3:$H$119,5,FALSE),"")</f>
        <v>COMERCIAL</v>
      </c>
      <c r="L1880" s="77">
        <f>IFERROR(VLOOKUP(DESPESAS[[#This Row],[Plano de Contas]],BASE!$B$3:$H$119,6,FALSE),"")</f>
        <v>0</v>
      </c>
      <c r="M1880" s="77" t="str">
        <f>VLOOKUP(DESPESAS[[#This Row],[Plano de Contas]],BASE!$B$3:$H$119,7,FALSE)</f>
        <v>LETÍCIA</v>
      </c>
    </row>
    <row r="1881" spans="1:13" x14ac:dyDescent="0.25">
      <c r="A1881" s="74">
        <v>198665</v>
      </c>
      <c r="B1881" s="75" t="s">
        <v>221</v>
      </c>
      <c r="C1881" s="75" t="s">
        <v>1896</v>
      </c>
      <c r="D1881" s="76">
        <v>46077</v>
      </c>
      <c r="E1881" s="75" t="s">
        <v>784</v>
      </c>
      <c r="F1881" s="74">
        <v>738.79</v>
      </c>
      <c r="G1881" s="75" t="s">
        <v>572</v>
      </c>
      <c r="H1881" s="77" t="str">
        <f>VLOOKUP(DESPESAS[[#This Row],[Plano de Contas]],BASE!$B$3:$D$119,3,FALSE)</f>
        <v>Comissões sobre Vendas Externo</v>
      </c>
      <c r="I1881" s="77" t="str">
        <f>IFERROR(VLOOKUP(DESPESAS[[#This Row],[Fornecedor]],Tabela2[],2,FALSE),"")</f>
        <v/>
      </c>
      <c r="J1881" s="77" t="str">
        <f>IFERROR(VLOOKUP(DESPESAS[[#This Row],[Plano de Contas]],BASE!$B$3:$F$119,4,FALSE),"")</f>
        <v>6 - DESPESA COM VENDAS</v>
      </c>
      <c r="K1881" s="77" t="str">
        <f>IFERROR(VLOOKUP(DESPESAS[[#This Row],[Plano de Contas]],BASE!$B$3:$H$119,5,FALSE),"")</f>
        <v>COMERCIAL</v>
      </c>
      <c r="L1881" s="77">
        <f>IFERROR(VLOOKUP(DESPESAS[[#This Row],[Plano de Contas]],BASE!$B$3:$H$119,6,FALSE),"")</f>
        <v>0</v>
      </c>
      <c r="M1881" s="77" t="str">
        <f>VLOOKUP(DESPESAS[[#This Row],[Plano de Contas]],BASE!$B$3:$H$119,7,FALSE)</f>
        <v>LETÍCIA</v>
      </c>
    </row>
    <row r="1882" spans="1:13" x14ac:dyDescent="0.25">
      <c r="A1882" s="74">
        <v>198668</v>
      </c>
      <c r="B1882" s="75" t="s">
        <v>281</v>
      </c>
      <c r="C1882" s="75" t="s">
        <v>1896</v>
      </c>
      <c r="D1882" s="76">
        <v>46077</v>
      </c>
      <c r="E1882" s="75" t="s">
        <v>573</v>
      </c>
      <c r="F1882" s="74">
        <v>309.75</v>
      </c>
      <c r="G1882" s="75" t="s">
        <v>572</v>
      </c>
      <c r="H1882" s="77" t="str">
        <f>VLOOKUP(DESPESAS[[#This Row],[Plano de Contas]],BASE!$B$3:$D$119,3,FALSE)</f>
        <v>Comissões sobre Vendas Externo</v>
      </c>
      <c r="I1882" s="77" t="str">
        <f>IFERROR(VLOOKUP(DESPESAS[[#This Row],[Fornecedor]],Tabela2[],2,FALSE),"")</f>
        <v/>
      </c>
      <c r="J1882" s="77" t="str">
        <f>IFERROR(VLOOKUP(DESPESAS[[#This Row],[Plano de Contas]],BASE!$B$3:$F$119,4,FALSE),"")</f>
        <v>6 - DESPESA COM VENDAS</v>
      </c>
      <c r="K1882" s="77" t="str">
        <f>IFERROR(VLOOKUP(DESPESAS[[#This Row],[Plano de Contas]],BASE!$B$3:$H$119,5,FALSE),"")</f>
        <v>COMERCIAL</v>
      </c>
      <c r="L1882" s="77">
        <f>IFERROR(VLOOKUP(DESPESAS[[#This Row],[Plano de Contas]],BASE!$B$3:$H$119,6,FALSE),"")</f>
        <v>0</v>
      </c>
      <c r="M1882" s="77" t="str">
        <f>VLOOKUP(DESPESAS[[#This Row],[Plano de Contas]],BASE!$B$3:$H$119,7,FALSE)</f>
        <v>LETÍCIA</v>
      </c>
    </row>
    <row r="1883" spans="1:13" x14ac:dyDescent="0.25">
      <c r="A1883" s="74">
        <v>198669</v>
      </c>
      <c r="B1883" s="75" t="s">
        <v>281</v>
      </c>
      <c r="C1883" s="75" t="s">
        <v>1896</v>
      </c>
      <c r="D1883" s="76">
        <v>46077</v>
      </c>
      <c r="E1883" s="75" t="s">
        <v>790</v>
      </c>
      <c r="F1883" s="74">
        <v>556.16999999999996</v>
      </c>
      <c r="G1883" s="75" t="s">
        <v>572</v>
      </c>
      <c r="H1883" s="77" t="str">
        <f>VLOOKUP(DESPESAS[[#This Row],[Plano de Contas]],BASE!$B$3:$D$119,3,FALSE)</f>
        <v>Comissões sobre Vendas Externo</v>
      </c>
      <c r="I1883" s="77" t="str">
        <f>IFERROR(VLOOKUP(DESPESAS[[#This Row],[Fornecedor]],Tabela2[],2,FALSE),"")</f>
        <v/>
      </c>
      <c r="J1883" s="77" t="str">
        <f>IFERROR(VLOOKUP(DESPESAS[[#This Row],[Plano de Contas]],BASE!$B$3:$F$119,4,FALSE),"")</f>
        <v>6 - DESPESA COM VENDAS</v>
      </c>
      <c r="K1883" s="77" t="str">
        <f>IFERROR(VLOOKUP(DESPESAS[[#This Row],[Plano de Contas]],BASE!$B$3:$H$119,5,FALSE),"")</f>
        <v>COMERCIAL</v>
      </c>
      <c r="L1883" s="77">
        <f>IFERROR(VLOOKUP(DESPESAS[[#This Row],[Plano de Contas]],BASE!$B$3:$H$119,6,FALSE),"")</f>
        <v>0</v>
      </c>
      <c r="M1883" s="77" t="str">
        <f>VLOOKUP(DESPESAS[[#This Row],[Plano de Contas]],BASE!$B$3:$H$119,7,FALSE)</f>
        <v>LETÍCIA</v>
      </c>
    </row>
    <row r="1884" spans="1:13" x14ac:dyDescent="0.25">
      <c r="A1884" s="74">
        <v>198670</v>
      </c>
      <c r="B1884" s="75" t="s">
        <v>281</v>
      </c>
      <c r="C1884" s="75" t="s">
        <v>1896</v>
      </c>
      <c r="D1884" s="76">
        <v>46077</v>
      </c>
      <c r="E1884" s="75" t="s">
        <v>789</v>
      </c>
      <c r="F1884" s="74">
        <v>1412.68</v>
      </c>
      <c r="G1884" s="75" t="s">
        <v>572</v>
      </c>
      <c r="H1884" s="77" t="str">
        <f>VLOOKUP(DESPESAS[[#This Row],[Plano de Contas]],BASE!$B$3:$D$119,3,FALSE)</f>
        <v>Comissões sobre Vendas Externo</v>
      </c>
      <c r="I1884" s="77" t="str">
        <f>IFERROR(VLOOKUP(DESPESAS[[#This Row],[Fornecedor]],Tabela2[],2,FALSE),"")</f>
        <v/>
      </c>
      <c r="J1884" s="77" t="str">
        <f>IFERROR(VLOOKUP(DESPESAS[[#This Row],[Plano de Contas]],BASE!$B$3:$F$119,4,FALSE),"")</f>
        <v>6 - DESPESA COM VENDAS</v>
      </c>
      <c r="K1884" s="77" t="str">
        <f>IFERROR(VLOOKUP(DESPESAS[[#This Row],[Plano de Contas]],BASE!$B$3:$H$119,5,FALSE),"")</f>
        <v>COMERCIAL</v>
      </c>
      <c r="L1884" s="77">
        <f>IFERROR(VLOOKUP(DESPESAS[[#This Row],[Plano de Contas]],BASE!$B$3:$H$119,6,FALSE),"")</f>
        <v>0</v>
      </c>
      <c r="M1884" s="77" t="str">
        <f>VLOOKUP(DESPESAS[[#This Row],[Plano de Contas]],BASE!$B$3:$H$119,7,FALSE)</f>
        <v>LETÍCIA</v>
      </c>
    </row>
    <row r="1885" spans="1:13" x14ac:dyDescent="0.25">
      <c r="A1885" s="74">
        <v>198671</v>
      </c>
      <c r="B1885" s="75" t="s">
        <v>281</v>
      </c>
      <c r="C1885" s="75" t="s">
        <v>1896</v>
      </c>
      <c r="D1885" s="76">
        <v>46077</v>
      </c>
      <c r="E1885" s="75" t="s">
        <v>788</v>
      </c>
      <c r="F1885" s="74">
        <v>1493.57</v>
      </c>
      <c r="G1885" s="75" t="s">
        <v>572</v>
      </c>
      <c r="H1885" s="77" t="str">
        <f>VLOOKUP(DESPESAS[[#This Row],[Plano de Contas]],BASE!$B$3:$D$119,3,FALSE)</f>
        <v>Comissões sobre Vendas Externo</v>
      </c>
      <c r="I1885" s="77" t="str">
        <f>IFERROR(VLOOKUP(DESPESAS[[#This Row],[Fornecedor]],Tabela2[],2,FALSE),"")</f>
        <v/>
      </c>
      <c r="J1885" s="77" t="str">
        <f>IFERROR(VLOOKUP(DESPESAS[[#This Row],[Plano de Contas]],BASE!$B$3:$F$119,4,FALSE),"")</f>
        <v>6 - DESPESA COM VENDAS</v>
      </c>
      <c r="K1885" s="77" t="str">
        <f>IFERROR(VLOOKUP(DESPESAS[[#This Row],[Plano de Contas]],BASE!$B$3:$H$119,5,FALSE),"")</f>
        <v>COMERCIAL</v>
      </c>
      <c r="L1885" s="77">
        <f>IFERROR(VLOOKUP(DESPESAS[[#This Row],[Plano de Contas]],BASE!$B$3:$H$119,6,FALSE),"")</f>
        <v>0</v>
      </c>
      <c r="M1885" s="77" t="str">
        <f>VLOOKUP(DESPESAS[[#This Row],[Plano de Contas]],BASE!$B$3:$H$119,7,FALSE)</f>
        <v>LETÍCIA</v>
      </c>
    </row>
    <row r="1886" spans="1:13" x14ac:dyDescent="0.25">
      <c r="A1886" s="74">
        <v>198672</v>
      </c>
      <c r="B1886" s="75" t="s">
        <v>281</v>
      </c>
      <c r="C1886" s="75" t="s">
        <v>1896</v>
      </c>
      <c r="D1886" s="76">
        <v>46077</v>
      </c>
      <c r="E1886" s="75" t="s">
        <v>784</v>
      </c>
      <c r="F1886" s="74">
        <v>922.32</v>
      </c>
      <c r="G1886" s="75" t="s">
        <v>572</v>
      </c>
      <c r="H1886" s="77" t="str">
        <f>VLOOKUP(DESPESAS[[#This Row],[Plano de Contas]],BASE!$B$3:$D$119,3,FALSE)</f>
        <v>Comissões sobre Vendas Externo</v>
      </c>
      <c r="I1886" s="77" t="str">
        <f>IFERROR(VLOOKUP(DESPESAS[[#This Row],[Fornecedor]],Tabela2[],2,FALSE),"")</f>
        <v/>
      </c>
      <c r="J1886" s="77" t="str">
        <f>IFERROR(VLOOKUP(DESPESAS[[#This Row],[Plano de Contas]],BASE!$B$3:$F$119,4,FALSE),"")</f>
        <v>6 - DESPESA COM VENDAS</v>
      </c>
      <c r="K1886" s="77" t="str">
        <f>IFERROR(VLOOKUP(DESPESAS[[#This Row],[Plano de Contas]],BASE!$B$3:$H$119,5,FALSE),"")</f>
        <v>COMERCIAL</v>
      </c>
      <c r="L1886" s="77">
        <f>IFERROR(VLOOKUP(DESPESAS[[#This Row],[Plano de Contas]],BASE!$B$3:$H$119,6,FALSE),"")</f>
        <v>0</v>
      </c>
      <c r="M1886" s="77" t="str">
        <f>VLOOKUP(DESPESAS[[#This Row],[Plano de Contas]],BASE!$B$3:$H$119,7,FALSE)</f>
        <v>LETÍCIA</v>
      </c>
    </row>
    <row r="1887" spans="1:13" x14ac:dyDescent="0.25">
      <c r="A1887" s="74">
        <v>198673</v>
      </c>
      <c r="B1887" s="75" t="s">
        <v>281</v>
      </c>
      <c r="C1887" s="75" t="s">
        <v>1896</v>
      </c>
      <c r="D1887" s="76">
        <v>46077</v>
      </c>
      <c r="E1887" s="75" t="s">
        <v>791</v>
      </c>
      <c r="F1887" s="74">
        <v>661.54</v>
      </c>
      <c r="G1887" s="75" t="s">
        <v>572</v>
      </c>
      <c r="H1887" s="77" t="str">
        <f>VLOOKUP(DESPESAS[[#This Row],[Plano de Contas]],BASE!$B$3:$D$119,3,FALSE)</f>
        <v>Comissões sobre Vendas Externo</v>
      </c>
      <c r="I1887" s="77" t="str">
        <f>IFERROR(VLOOKUP(DESPESAS[[#This Row],[Fornecedor]],Tabela2[],2,FALSE),"")</f>
        <v/>
      </c>
      <c r="J1887" s="77" t="str">
        <f>IFERROR(VLOOKUP(DESPESAS[[#This Row],[Plano de Contas]],BASE!$B$3:$F$119,4,FALSE),"")</f>
        <v>6 - DESPESA COM VENDAS</v>
      </c>
      <c r="K1887" s="77" t="str">
        <f>IFERROR(VLOOKUP(DESPESAS[[#This Row],[Plano de Contas]],BASE!$B$3:$H$119,5,FALSE),"")</f>
        <v>COMERCIAL</v>
      </c>
      <c r="L1887" s="77">
        <f>IFERROR(VLOOKUP(DESPESAS[[#This Row],[Plano de Contas]],BASE!$B$3:$H$119,6,FALSE),"")</f>
        <v>0</v>
      </c>
      <c r="M1887" s="77" t="str">
        <f>VLOOKUP(DESPESAS[[#This Row],[Plano de Contas]],BASE!$B$3:$H$119,7,FALSE)</f>
        <v>LETÍCIA</v>
      </c>
    </row>
    <row r="1888" spans="1:13" x14ac:dyDescent="0.25">
      <c r="A1888" s="74">
        <v>198675</v>
      </c>
      <c r="B1888" s="75" t="s">
        <v>279</v>
      </c>
      <c r="C1888" s="75" t="s">
        <v>1896</v>
      </c>
      <c r="D1888" s="76">
        <v>46077</v>
      </c>
      <c r="E1888" s="75" t="s">
        <v>573</v>
      </c>
      <c r="F1888" s="74">
        <v>305.25</v>
      </c>
      <c r="G1888" s="75" t="s">
        <v>572</v>
      </c>
      <c r="H1888" s="77" t="str">
        <f>VLOOKUP(DESPESAS[[#This Row],[Plano de Contas]],BASE!$B$3:$D$119,3,FALSE)</f>
        <v>Comissões sobre Vendas Externo</v>
      </c>
      <c r="I1888" s="77" t="str">
        <f>IFERROR(VLOOKUP(DESPESAS[[#This Row],[Fornecedor]],Tabela2[],2,FALSE),"")</f>
        <v/>
      </c>
      <c r="J1888" s="77" t="str">
        <f>IFERROR(VLOOKUP(DESPESAS[[#This Row],[Plano de Contas]],BASE!$B$3:$F$119,4,FALSE),"")</f>
        <v>6 - DESPESA COM VENDAS</v>
      </c>
      <c r="K1888" s="77" t="str">
        <f>IFERROR(VLOOKUP(DESPESAS[[#This Row],[Plano de Contas]],BASE!$B$3:$H$119,5,FALSE),"")</f>
        <v>COMERCIAL</v>
      </c>
      <c r="L1888" s="77">
        <f>IFERROR(VLOOKUP(DESPESAS[[#This Row],[Plano de Contas]],BASE!$B$3:$H$119,6,FALSE),"")</f>
        <v>0</v>
      </c>
      <c r="M1888" s="77" t="str">
        <f>VLOOKUP(DESPESAS[[#This Row],[Plano de Contas]],BASE!$B$3:$H$119,7,FALSE)</f>
        <v>LETÍCIA</v>
      </c>
    </row>
    <row r="1889" spans="1:13" x14ac:dyDescent="0.25">
      <c r="A1889" s="74">
        <v>198676</v>
      </c>
      <c r="B1889" s="75" t="s">
        <v>279</v>
      </c>
      <c r="C1889" s="75" t="s">
        <v>1896</v>
      </c>
      <c r="D1889" s="76">
        <v>46077</v>
      </c>
      <c r="E1889" s="75" t="s">
        <v>789</v>
      </c>
      <c r="F1889" s="74">
        <v>94.11</v>
      </c>
      <c r="G1889" s="75" t="s">
        <v>572</v>
      </c>
      <c r="H1889" s="77" t="str">
        <f>VLOOKUP(DESPESAS[[#This Row],[Plano de Contas]],BASE!$B$3:$D$119,3,FALSE)</f>
        <v>Comissões sobre Vendas Externo</v>
      </c>
      <c r="I1889" s="77" t="str">
        <f>IFERROR(VLOOKUP(DESPESAS[[#This Row],[Fornecedor]],Tabela2[],2,FALSE),"")</f>
        <v/>
      </c>
      <c r="J1889" s="77" t="str">
        <f>IFERROR(VLOOKUP(DESPESAS[[#This Row],[Plano de Contas]],BASE!$B$3:$F$119,4,FALSE),"")</f>
        <v>6 - DESPESA COM VENDAS</v>
      </c>
      <c r="K1889" s="77" t="str">
        <f>IFERROR(VLOOKUP(DESPESAS[[#This Row],[Plano de Contas]],BASE!$B$3:$H$119,5,FALSE),"")</f>
        <v>COMERCIAL</v>
      </c>
      <c r="L1889" s="77">
        <f>IFERROR(VLOOKUP(DESPESAS[[#This Row],[Plano de Contas]],BASE!$B$3:$H$119,6,FALSE),"")</f>
        <v>0</v>
      </c>
      <c r="M1889" s="77" t="str">
        <f>VLOOKUP(DESPESAS[[#This Row],[Plano de Contas]],BASE!$B$3:$H$119,7,FALSE)</f>
        <v>LETÍCIA</v>
      </c>
    </row>
    <row r="1890" spans="1:13" x14ac:dyDescent="0.25">
      <c r="A1890" s="74">
        <v>198677</v>
      </c>
      <c r="B1890" s="75" t="s">
        <v>279</v>
      </c>
      <c r="C1890" s="75" t="s">
        <v>1896</v>
      </c>
      <c r="D1890" s="76">
        <v>46077</v>
      </c>
      <c r="E1890" s="75" t="s">
        <v>788</v>
      </c>
      <c r="F1890" s="74">
        <v>1643.21</v>
      </c>
      <c r="G1890" s="75" t="s">
        <v>572</v>
      </c>
      <c r="H1890" s="77" t="str">
        <f>VLOOKUP(DESPESAS[[#This Row],[Plano de Contas]],BASE!$B$3:$D$119,3,FALSE)</f>
        <v>Comissões sobre Vendas Externo</v>
      </c>
      <c r="I1890" s="77" t="str">
        <f>IFERROR(VLOOKUP(DESPESAS[[#This Row],[Fornecedor]],Tabela2[],2,FALSE),"")</f>
        <v/>
      </c>
      <c r="J1890" s="77" t="str">
        <f>IFERROR(VLOOKUP(DESPESAS[[#This Row],[Plano de Contas]],BASE!$B$3:$F$119,4,FALSE),"")</f>
        <v>6 - DESPESA COM VENDAS</v>
      </c>
      <c r="K1890" s="77" t="str">
        <f>IFERROR(VLOOKUP(DESPESAS[[#This Row],[Plano de Contas]],BASE!$B$3:$H$119,5,FALSE),"")</f>
        <v>COMERCIAL</v>
      </c>
      <c r="L1890" s="77">
        <f>IFERROR(VLOOKUP(DESPESAS[[#This Row],[Plano de Contas]],BASE!$B$3:$H$119,6,FALSE),"")</f>
        <v>0</v>
      </c>
      <c r="M1890" s="77" t="str">
        <f>VLOOKUP(DESPESAS[[#This Row],[Plano de Contas]],BASE!$B$3:$H$119,7,FALSE)</f>
        <v>LETÍCIA</v>
      </c>
    </row>
    <row r="1891" spans="1:13" x14ac:dyDescent="0.25">
      <c r="A1891" s="74">
        <v>198678</v>
      </c>
      <c r="B1891" s="75" t="s">
        <v>279</v>
      </c>
      <c r="C1891" s="75" t="s">
        <v>1896</v>
      </c>
      <c r="D1891" s="76">
        <v>46077</v>
      </c>
      <c r="E1891" s="75" t="s">
        <v>787</v>
      </c>
      <c r="F1891" s="74">
        <v>660.86</v>
      </c>
      <c r="G1891" s="75" t="s">
        <v>572</v>
      </c>
      <c r="H1891" s="77" t="str">
        <f>VLOOKUP(DESPESAS[[#This Row],[Plano de Contas]],BASE!$B$3:$D$119,3,FALSE)</f>
        <v>Comissões sobre Vendas Externo</v>
      </c>
      <c r="I1891" s="77" t="str">
        <f>IFERROR(VLOOKUP(DESPESAS[[#This Row],[Fornecedor]],Tabela2[],2,FALSE),"")</f>
        <v/>
      </c>
      <c r="J1891" s="77" t="str">
        <f>IFERROR(VLOOKUP(DESPESAS[[#This Row],[Plano de Contas]],BASE!$B$3:$F$119,4,FALSE),"")</f>
        <v>6 - DESPESA COM VENDAS</v>
      </c>
      <c r="K1891" s="77" t="str">
        <f>IFERROR(VLOOKUP(DESPESAS[[#This Row],[Plano de Contas]],BASE!$B$3:$H$119,5,FALSE),"")</f>
        <v>COMERCIAL</v>
      </c>
      <c r="L1891" s="77">
        <f>IFERROR(VLOOKUP(DESPESAS[[#This Row],[Plano de Contas]],BASE!$B$3:$H$119,6,FALSE),"")</f>
        <v>0</v>
      </c>
      <c r="M1891" s="77" t="str">
        <f>VLOOKUP(DESPESAS[[#This Row],[Plano de Contas]],BASE!$B$3:$H$119,7,FALSE)</f>
        <v>LETÍCIA</v>
      </c>
    </row>
    <row r="1892" spans="1:13" x14ac:dyDescent="0.25">
      <c r="A1892" s="74">
        <v>198679</v>
      </c>
      <c r="B1892" s="75" t="s">
        <v>279</v>
      </c>
      <c r="C1892" s="75" t="s">
        <v>1896</v>
      </c>
      <c r="D1892" s="76">
        <v>46077</v>
      </c>
      <c r="E1892" s="75" t="s">
        <v>785</v>
      </c>
      <c r="F1892" s="74">
        <v>365.08</v>
      </c>
      <c r="G1892" s="75" t="s">
        <v>572</v>
      </c>
      <c r="H1892" s="77" t="str">
        <f>VLOOKUP(DESPESAS[[#This Row],[Plano de Contas]],BASE!$B$3:$D$119,3,FALSE)</f>
        <v>Comissões sobre Vendas Externo</v>
      </c>
      <c r="I1892" s="77" t="str">
        <f>IFERROR(VLOOKUP(DESPESAS[[#This Row],[Fornecedor]],Tabela2[],2,FALSE),"")</f>
        <v/>
      </c>
      <c r="J1892" s="77" t="str">
        <f>IFERROR(VLOOKUP(DESPESAS[[#This Row],[Plano de Contas]],BASE!$B$3:$F$119,4,FALSE),"")</f>
        <v>6 - DESPESA COM VENDAS</v>
      </c>
      <c r="K1892" s="77" t="str">
        <f>IFERROR(VLOOKUP(DESPESAS[[#This Row],[Plano de Contas]],BASE!$B$3:$H$119,5,FALSE),"")</f>
        <v>COMERCIAL</v>
      </c>
      <c r="L1892" s="77">
        <f>IFERROR(VLOOKUP(DESPESAS[[#This Row],[Plano de Contas]],BASE!$B$3:$H$119,6,FALSE),"")</f>
        <v>0</v>
      </c>
      <c r="M1892" s="77" t="str">
        <f>VLOOKUP(DESPESAS[[#This Row],[Plano de Contas]],BASE!$B$3:$H$119,7,FALSE)</f>
        <v>LETÍCIA</v>
      </c>
    </row>
    <row r="1893" spans="1:13" x14ac:dyDescent="0.25">
      <c r="A1893" s="74">
        <v>198680</v>
      </c>
      <c r="B1893" s="75" t="s">
        <v>279</v>
      </c>
      <c r="C1893" s="75" t="s">
        <v>1896</v>
      </c>
      <c r="D1893" s="76">
        <v>46077</v>
      </c>
      <c r="E1893" s="75" t="s">
        <v>784</v>
      </c>
      <c r="F1893" s="74">
        <v>2180.08</v>
      </c>
      <c r="G1893" s="75" t="s">
        <v>572</v>
      </c>
      <c r="H1893" s="77" t="str">
        <f>VLOOKUP(DESPESAS[[#This Row],[Plano de Contas]],BASE!$B$3:$D$119,3,FALSE)</f>
        <v>Comissões sobre Vendas Externo</v>
      </c>
      <c r="I1893" s="77" t="str">
        <f>IFERROR(VLOOKUP(DESPESAS[[#This Row],[Fornecedor]],Tabela2[],2,FALSE),"")</f>
        <v/>
      </c>
      <c r="J1893" s="77" t="str">
        <f>IFERROR(VLOOKUP(DESPESAS[[#This Row],[Plano de Contas]],BASE!$B$3:$F$119,4,FALSE),"")</f>
        <v>6 - DESPESA COM VENDAS</v>
      </c>
      <c r="K1893" s="77" t="str">
        <f>IFERROR(VLOOKUP(DESPESAS[[#This Row],[Plano de Contas]],BASE!$B$3:$H$119,5,FALSE),"")</f>
        <v>COMERCIAL</v>
      </c>
      <c r="L1893" s="77">
        <f>IFERROR(VLOOKUP(DESPESAS[[#This Row],[Plano de Contas]],BASE!$B$3:$H$119,6,FALSE),"")</f>
        <v>0</v>
      </c>
      <c r="M1893" s="77" t="str">
        <f>VLOOKUP(DESPESAS[[#This Row],[Plano de Contas]],BASE!$B$3:$H$119,7,FALSE)</f>
        <v>LETÍCIA</v>
      </c>
    </row>
    <row r="1894" spans="1:13" x14ac:dyDescent="0.25">
      <c r="A1894" s="74">
        <v>198681</v>
      </c>
      <c r="B1894" s="75" t="s">
        <v>232</v>
      </c>
      <c r="C1894" s="75" t="s">
        <v>1896</v>
      </c>
      <c r="D1894" s="76">
        <v>46077</v>
      </c>
      <c r="E1894" s="75" t="s">
        <v>787</v>
      </c>
      <c r="F1894" s="74">
        <v>1773.14</v>
      </c>
      <c r="G1894" s="75" t="s">
        <v>572</v>
      </c>
      <c r="H1894" s="77" t="str">
        <f>VLOOKUP(DESPESAS[[#This Row],[Plano de Contas]],BASE!$B$3:$D$119,3,FALSE)</f>
        <v>Comissões sobre Vendas Externo</v>
      </c>
      <c r="I1894" s="77" t="str">
        <f>IFERROR(VLOOKUP(DESPESAS[[#This Row],[Fornecedor]],Tabela2[],2,FALSE),"")</f>
        <v/>
      </c>
      <c r="J1894" s="77" t="str">
        <f>IFERROR(VLOOKUP(DESPESAS[[#This Row],[Plano de Contas]],BASE!$B$3:$F$119,4,FALSE),"")</f>
        <v>6 - DESPESA COM VENDAS</v>
      </c>
      <c r="K1894" s="77" t="str">
        <f>IFERROR(VLOOKUP(DESPESAS[[#This Row],[Plano de Contas]],BASE!$B$3:$H$119,5,FALSE),"")</f>
        <v>COMERCIAL</v>
      </c>
      <c r="L1894" s="77">
        <f>IFERROR(VLOOKUP(DESPESAS[[#This Row],[Plano de Contas]],BASE!$B$3:$H$119,6,FALSE),"")</f>
        <v>0</v>
      </c>
      <c r="M1894" s="77" t="str">
        <f>VLOOKUP(DESPESAS[[#This Row],[Plano de Contas]],BASE!$B$3:$H$119,7,FALSE)</f>
        <v>LETÍCIA</v>
      </c>
    </row>
    <row r="1895" spans="1:13" x14ac:dyDescent="0.25">
      <c r="A1895" s="74">
        <v>198682</v>
      </c>
      <c r="B1895" s="75" t="s">
        <v>232</v>
      </c>
      <c r="C1895" s="75" t="s">
        <v>1895</v>
      </c>
      <c r="D1895" s="76">
        <v>46077</v>
      </c>
      <c r="E1895" s="75" t="s">
        <v>230</v>
      </c>
      <c r="F1895" s="74">
        <v>50.03</v>
      </c>
      <c r="G1895" s="75" t="s">
        <v>229</v>
      </c>
      <c r="H1895" s="77" t="str">
        <f>VLOOKUP(DESPESAS[[#This Row],[Plano de Contas]],BASE!$B$3:$D$119,3,FALSE)</f>
        <v>Despesas Bancarias</v>
      </c>
      <c r="I1895" s="77" t="str">
        <f>IFERROR(VLOOKUP(DESPESAS[[#This Row],[Fornecedor]],Tabela2[],2,FALSE),"")</f>
        <v/>
      </c>
      <c r="J1895" s="77" t="str">
        <f>IFERROR(VLOOKUP(DESPESAS[[#This Row],[Plano de Contas]],BASE!$B$3:$F$119,4,FALSE),"")</f>
        <v>8 - DESPESAS FINANCEIRAS</v>
      </c>
      <c r="K1895" s="77" t="str">
        <f>IFERROR(VLOOKUP(DESPESAS[[#This Row],[Plano de Contas]],BASE!$B$3:$H$119,5,FALSE),"")</f>
        <v>FINANCEIRO</v>
      </c>
      <c r="L1895" s="77">
        <f>IFERROR(VLOOKUP(DESPESAS[[#This Row],[Plano de Contas]],BASE!$B$3:$H$119,6,FALSE),"")</f>
        <v>0</v>
      </c>
      <c r="M1895" s="77" t="str">
        <f>VLOOKUP(DESPESAS[[#This Row],[Plano de Contas]],BASE!$B$3:$H$119,7,FALSE)</f>
        <v>LETÍCIA</v>
      </c>
    </row>
    <row r="1896" spans="1:13" x14ac:dyDescent="0.25">
      <c r="A1896" s="74">
        <v>198683</v>
      </c>
      <c r="B1896" s="75" t="s">
        <v>232</v>
      </c>
      <c r="C1896" s="75" t="s">
        <v>1894</v>
      </c>
      <c r="D1896" s="76">
        <v>46077</v>
      </c>
      <c r="E1896" s="75" t="s">
        <v>230</v>
      </c>
      <c r="F1896" s="74">
        <v>33.56</v>
      </c>
      <c r="G1896" s="75" t="s">
        <v>229</v>
      </c>
      <c r="H1896" s="77" t="str">
        <f>VLOOKUP(DESPESAS[[#This Row],[Plano de Contas]],BASE!$B$3:$D$119,3,FALSE)</f>
        <v>Despesas Bancarias</v>
      </c>
      <c r="I1896" s="77" t="str">
        <f>IFERROR(VLOOKUP(DESPESAS[[#This Row],[Fornecedor]],Tabela2[],2,FALSE),"")</f>
        <v/>
      </c>
      <c r="J1896" s="77" t="str">
        <f>IFERROR(VLOOKUP(DESPESAS[[#This Row],[Plano de Contas]],BASE!$B$3:$F$119,4,FALSE),"")</f>
        <v>8 - DESPESAS FINANCEIRAS</v>
      </c>
      <c r="K1896" s="77" t="str">
        <f>IFERROR(VLOOKUP(DESPESAS[[#This Row],[Plano de Contas]],BASE!$B$3:$H$119,5,FALSE),"")</f>
        <v>FINANCEIRO</v>
      </c>
      <c r="L1896" s="77">
        <f>IFERROR(VLOOKUP(DESPESAS[[#This Row],[Plano de Contas]],BASE!$B$3:$H$119,6,FALSE),"")</f>
        <v>0</v>
      </c>
      <c r="M1896" s="77" t="str">
        <f>VLOOKUP(DESPESAS[[#This Row],[Plano de Contas]],BASE!$B$3:$H$119,7,FALSE)</f>
        <v>LETÍCIA</v>
      </c>
    </row>
    <row r="1897" spans="1:13" x14ac:dyDescent="0.25">
      <c r="A1897" s="74">
        <v>198684</v>
      </c>
      <c r="B1897" s="75" t="s">
        <v>232</v>
      </c>
      <c r="C1897" s="75" t="s">
        <v>1893</v>
      </c>
      <c r="D1897" s="76">
        <v>46077</v>
      </c>
      <c r="E1897" s="75" t="s">
        <v>230</v>
      </c>
      <c r="F1897" s="74">
        <v>303.60000000000002</v>
      </c>
      <c r="G1897" s="75" t="s">
        <v>251</v>
      </c>
      <c r="H1897" s="77" t="str">
        <f>VLOOKUP(DESPESAS[[#This Row],[Plano de Contas]],BASE!$B$3:$D$119,3,FALSE)</f>
        <v>Juros Pagos - Antecipação de Crédito</v>
      </c>
      <c r="I1897" s="77" t="str">
        <f>IFERROR(VLOOKUP(DESPESAS[[#This Row],[Fornecedor]],Tabela2[],2,FALSE),"")</f>
        <v/>
      </c>
      <c r="J1897" s="77" t="str">
        <f>IFERROR(VLOOKUP(DESPESAS[[#This Row],[Plano de Contas]],BASE!$B$3:$F$119,4,FALSE),"")</f>
        <v>8 - DESPESAS FINANCEIRAS</v>
      </c>
      <c r="K1897" s="77" t="str">
        <f>IFERROR(VLOOKUP(DESPESAS[[#This Row],[Plano de Contas]],BASE!$B$3:$H$119,5,FALSE),"")</f>
        <v>FINANCEIRO</v>
      </c>
      <c r="L1897" s="77">
        <f>IFERROR(VLOOKUP(DESPESAS[[#This Row],[Plano de Contas]],BASE!$B$3:$H$119,6,FALSE),"")</f>
        <v>0</v>
      </c>
      <c r="M1897" s="77" t="str">
        <f>VLOOKUP(DESPESAS[[#This Row],[Plano de Contas]],BASE!$B$3:$H$119,7,FALSE)</f>
        <v>LETÍCIA</v>
      </c>
    </row>
    <row r="1898" spans="1:13" x14ac:dyDescent="0.25">
      <c r="A1898" s="74">
        <v>198685</v>
      </c>
      <c r="B1898" s="75" t="s">
        <v>232</v>
      </c>
      <c r="C1898" s="75" t="s">
        <v>1892</v>
      </c>
      <c r="D1898" s="76">
        <v>46077</v>
      </c>
      <c r="E1898" s="75" t="s">
        <v>230</v>
      </c>
      <c r="F1898" s="74">
        <v>5.53</v>
      </c>
      <c r="G1898" s="75" t="s">
        <v>236</v>
      </c>
      <c r="H1898" s="77" t="str">
        <f>VLOOKUP(DESPESAS[[#This Row],[Plano de Contas]],BASE!$B$3:$D$119,3,FALSE)</f>
        <v>Despesas de Cobranca</v>
      </c>
      <c r="I1898" s="77" t="str">
        <f>IFERROR(VLOOKUP(DESPESAS[[#This Row],[Fornecedor]],Tabela2[],2,FALSE),"")</f>
        <v/>
      </c>
      <c r="J1898" s="77" t="str">
        <f>IFERROR(VLOOKUP(DESPESAS[[#This Row],[Plano de Contas]],BASE!$B$3:$F$119,4,FALSE),"")</f>
        <v>8 - DESPESAS FINANCEIRAS</v>
      </c>
      <c r="K1898" s="77" t="str">
        <f>IFERROR(VLOOKUP(DESPESAS[[#This Row],[Plano de Contas]],BASE!$B$3:$H$119,5,FALSE),"")</f>
        <v>FINANCEIRO</v>
      </c>
      <c r="L1898" s="77">
        <f>IFERROR(VLOOKUP(DESPESAS[[#This Row],[Plano de Contas]],BASE!$B$3:$H$119,6,FALSE),"")</f>
        <v>0</v>
      </c>
      <c r="M1898" s="77" t="str">
        <f>VLOOKUP(DESPESAS[[#This Row],[Plano de Contas]],BASE!$B$3:$H$119,7,FALSE)</f>
        <v>LETÍCIA</v>
      </c>
    </row>
    <row r="1899" spans="1:13" x14ac:dyDescent="0.25">
      <c r="A1899" s="74">
        <v>198686</v>
      </c>
      <c r="B1899" s="75" t="s">
        <v>279</v>
      </c>
      <c r="C1899" s="75" t="s">
        <v>1891</v>
      </c>
      <c r="D1899" s="76">
        <v>46077</v>
      </c>
      <c r="E1899" s="75" t="s">
        <v>230</v>
      </c>
      <c r="F1899" s="74">
        <v>0.79</v>
      </c>
      <c r="G1899" s="75" t="s">
        <v>229</v>
      </c>
      <c r="H1899" s="77" t="str">
        <f>VLOOKUP(DESPESAS[[#This Row],[Plano de Contas]],BASE!$B$3:$D$119,3,FALSE)</f>
        <v>Despesas Bancarias</v>
      </c>
      <c r="I1899" s="77" t="str">
        <f>IFERROR(VLOOKUP(DESPESAS[[#This Row],[Fornecedor]],Tabela2[],2,FALSE),"")</f>
        <v/>
      </c>
      <c r="J1899" s="77" t="str">
        <f>IFERROR(VLOOKUP(DESPESAS[[#This Row],[Plano de Contas]],BASE!$B$3:$F$119,4,FALSE),"")</f>
        <v>8 - DESPESAS FINANCEIRAS</v>
      </c>
      <c r="K1899" s="77" t="str">
        <f>IFERROR(VLOOKUP(DESPESAS[[#This Row],[Plano de Contas]],BASE!$B$3:$H$119,5,FALSE),"")</f>
        <v>FINANCEIRO</v>
      </c>
      <c r="L1899" s="77">
        <f>IFERROR(VLOOKUP(DESPESAS[[#This Row],[Plano de Contas]],BASE!$B$3:$H$119,6,FALSE),"")</f>
        <v>0</v>
      </c>
      <c r="M1899" s="77" t="str">
        <f>VLOOKUP(DESPESAS[[#This Row],[Plano de Contas]],BASE!$B$3:$H$119,7,FALSE)</f>
        <v>LETÍCIA</v>
      </c>
    </row>
    <row r="1900" spans="1:13" x14ac:dyDescent="0.25">
      <c r="A1900" s="74">
        <v>198687</v>
      </c>
      <c r="B1900" s="75" t="s">
        <v>279</v>
      </c>
      <c r="C1900" s="75" t="s">
        <v>1890</v>
      </c>
      <c r="D1900" s="76">
        <v>46078</v>
      </c>
      <c r="E1900" s="75" t="s">
        <v>230</v>
      </c>
      <c r="F1900" s="74">
        <v>4.2300000000000004</v>
      </c>
      <c r="G1900" s="75" t="s">
        <v>229</v>
      </c>
      <c r="H1900" s="77" t="str">
        <f>VLOOKUP(DESPESAS[[#This Row],[Plano de Contas]],BASE!$B$3:$D$119,3,FALSE)</f>
        <v>Despesas Bancarias</v>
      </c>
      <c r="I1900" s="77" t="str">
        <f>IFERROR(VLOOKUP(DESPESAS[[#This Row],[Fornecedor]],Tabela2[],2,FALSE),"")</f>
        <v/>
      </c>
      <c r="J1900" s="77" t="str">
        <f>IFERROR(VLOOKUP(DESPESAS[[#This Row],[Plano de Contas]],BASE!$B$3:$F$119,4,FALSE),"")</f>
        <v>8 - DESPESAS FINANCEIRAS</v>
      </c>
      <c r="K1900" s="77" t="str">
        <f>IFERROR(VLOOKUP(DESPESAS[[#This Row],[Plano de Contas]],BASE!$B$3:$H$119,5,FALSE),"")</f>
        <v>FINANCEIRO</v>
      </c>
      <c r="L1900" s="77">
        <f>IFERROR(VLOOKUP(DESPESAS[[#This Row],[Plano de Contas]],BASE!$B$3:$H$119,6,FALSE),"")</f>
        <v>0</v>
      </c>
      <c r="M1900" s="77" t="str">
        <f>VLOOKUP(DESPESAS[[#This Row],[Plano de Contas]],BASE!$B$3:$H$119,7,FALSE)</f>
        <v>LETÍCIA</v>
      </c>
    </row>
    <row r="1901" spans="1:13" x14ac:dyDescent="0.25">
      <c r="A1901" s="74">
        <v>198688</v>
      </c>
      <c r="B1901" s="75" t="s">
        <v>232</v>
      </c>
      <c r="C1901" s="75" t="s">
        <v>1889</v>
      </c>
      <c r="D1901" s="76">
        <v>46078</v>
      </c>
      <c r="E1901" s="75" t="s">
        <v>230</v>
      </c>
      <c r="F1901" s="74">
        <v>3.97</v>
      </c>
      <c r="G1901" s="75" t="s">
        <v>229</v>
      </c>
      <c r="H1901" s="77" t="str">
        <f>VLOOKUP(DESPESAS[[#This Row],[Plano de Contas]],BASE!$B$3:$D$119,3,FALSE)</f>
        <v>Despesas Bancarias</v>
      </c>
      <c r="I1901" s="77" t="str">
        <f>IFERROR(VLOOKUP(DESPESAS[[#This Row],[Fornecedor]],Tabela2[],2,FALSE),"")</f>
        <v/>
      </c>
      <c r="J1901" s="77" t="str">
        <f>IFERROR(VLOOKUP(DESPESAS[[#This Row],[Plano de Contas]],BASE!$B$3:$F$119,4,FALSE),"")</f>
        <v>8 - DESPESAS FINANCEIRAS</v>
      </c>
      <c r="K1901" s="77" t="str">
        <f>IFERROR(VLOOKUP(DESPESAS[[#This Row],[Plano de Contas]],BASE!$B$3:$H$119,5,FALSE),"")</f>
        <v>FINANCEIRO</v>
      </c>
      <c r="L1901" s="77">
        <f>IFERROR(VLOOKUP(DESPESAS[[#This Row],[Plano de Contas]],BASE!$B$3:$H$119,6,FALSE),"")</f>
        <v>0</v>
      </c>
      <c r="M1901" s="77" t="str">
        <f>VLOOKUP(DESPESAS[[#This Row],[Plano de Contas]],BASE!$B$3:$H$119,7,FALSE)</f>
        <v>LETÍCIA</v>
      </c>
    </row>
    <row r="1902" spans="1:13" x14ac:dyDescent="0.25">
      <c r="A1902" s="74">
        <v>198689</v>
      </c>
      <c r="B1902" s="75" t="s">
        <v>279</v>
      </c>
      <c r="C1902" s="75" t="s">
        <v>1888</v>
      </c>
      <c r="D1902" s="76">
        <v>46078</v>
      </c>
      <c r="E1902" s="75" t="s">
        <v>230</v>
      </c>
      <c r="F1902" s="74">
        <v>38.590000000000003</v>
      </c>
      <c r="G1902" s="75" t="s">
        <v>229</v>
      </c>
      <c r="H1902" s="77" t="str">
        <f>VLOOKUP(DESPESAS[[#This Row],[Plano de Contas]],BASE!$B$3:$D$119,3,FALSE)</f>
        <v>Despesas Bancarias</v>
      </c>
      <c r="I1902" s="77" t="str">
        <f>IFERROR(VLOOKUP(DESPESAS[[#This Row],[Fornecedor]],Tabela2[],2,FALSE),"")</f>
        <v/>
      </c>
      <c r="J1902" s="77" t="str">
        <f>IFERROR(VLOOKUP(DESPESAS[[#This Row],[Plano de Contas]],BASE!$B$3:$F$119,4,FALSE),"")</f>
        <v>8 - DESPESAS FINANCEIRAS</v>
      </c>
      <c r="K1902" s="77" t="str">
        <f>IFERROR(VLOOKUP(DESPESAS[[#This Row],[Plano de Contas]],BASE!$B$3:$H$119,5,FALSE),"")</f>
        <v>FINANCEIRO</v>
      </c>
      <c r="L1902" s="77">
        <f>IFERROR(VLOOKUP(DESPESAS[[#This Row],[Plano de Contas]],BASE!$B$3:$H$119,6,FALSE),"")</f>
        <v>0</v>
      </c>
      <c r="M1902" s="77" t="str">
        <f>VLOOKUP(DESPESAS[[#This Row],[Plano de Contas]],BASE!$B$3:$H$119,7,FALSE)</f>
        <v>LETÍCIA</v>
      </c>
    </row>
    <row r="1903" spans="1:13" x14ac:dyDescent="0.25">
      <c r="A1903" s="74">
        <v>198690</v>
      </c>
      <c r="B1903" s="75" t="s">
        <v>221</v>
      </c>
      <c r="C1903" s="75" t="s">
        <v>1887</v>
      </c>
      <c r="D1903" s="76">
        <v>46077</v>
      </c>
      <c r="E1903" s="75" t="s">
        <v>1394</v>
      </c>
      <c r="F1903" s="74">
        <v>0.95</v>
      </c>
      <c r="G1903" s="75" t="s">
        <v>229</v>
      </c>
      <c r="H1903" s="77" t="str">
        <f>VLOOKUP(DESPESAS[[#This Row],[Plano de Contas]],BASE!$B$3:$D$119,3,FALSE)</f>
        <v>Despesas Bancarias</v>
      </c>
      <c r="I1903" s="77" t="str">
        <f>IFERROR(VLOOKUP(DESPESAS[[#This Row],[Fornecedor]],Tabela2[],2,FALSE),"")</f>
        <v/>
      </c>
      <c r="J1903" s="77" t="str">
        <f>IFERROR(VLOOKUP(DESPESAS[[#This Row],[Plano de Contas]],BASE!$B$3:$F$119,4,FALSE),"")</f>
        <v>8 - DESPESAS FINANCEIRAS</v>
      </c>
      <c r="K1903" s="77" t="str">
        <f>IFERROR(VLOOKUP(DESPESAS[[#This Row],[Plano de Contas]],BASE!$B$3:$H$119,5,FALSE),"")</f>
        <v>FINANCEIRO</v>
      </c>
      <c r="L1903" s="77">
        <f>IFERROR(VLOOKUP(DESPESAS[[#This Row],[Plano de Contas]],BASE!$B$3:$H$119,6,FALSE),"")</f>
        <v>0</v>
      </c>
      <c r="M1903" s="77" t="str">
        <f>VLOOKUP(DESPESAS[[#This Row],[Plano de Contas]],BASE!$B$3:$H$119,7,FALSE)</f>
        <v>LETÍCIA</v>
      </c>
    </row>
    <row r="1904" spans="1:13" x14ac:dyDescent="0.25">
      <c r="A1904" s="74">
        <v>198698</v>
      </c>
      <c r="B1904" s="75" t="s">
        <v>232</v>
      </c>
      <c r="C1904" s="75" t="s">
        <v>1886</v>
      </c>
      <c r="D1904" s="76">
        <v>46078</v>
      </c>
      <c r="E1904" s="75" t="s">
        <v>1885</v>
      </c>
      <c r="F1904" s="74">
        <v>731.16</v>
      </c>
      <c r="G1904" s="75" t="s">
        <v>1884</v>
      </c>
      <c r="H1904" s="77" t="str">
        <f>VLOOKUP(DESPESAS[[#This Row],[Plano de Contas]],BASE!$B$3:$D$119,3,FALSE)</f>
        <v>Medicina e Seguranca do Trabalho CIF</v>
      </c>
      <c r="I1904" s="77" t="str">
        <f>IFERROR(VLOOKUP(DESPESAS[[#This Row],[Fornecedor]],Tabela2[],2,FALSE),"")</f>
        <v/>
      </c>
      <c r="J1904" s="77" t="str">
        <f>IFERROR(VLOOKUP(DESPESAS[[#This Row],[Plano de Contas]],BASE!$B$3:$F$119,4,FALSE),"")</f>
        <v>3 - CUSTOS INDIRETOS</v>
      </c>
      <c r="K1904" s="77" t="str">
        <f>IFERROR(VLOOKUP(DESPESAS[[#This Row],[Plano de Contas]],BASE!$B$3:$H$119,5,FALSE),"")</f>
        <v>DH</v>
      </c>
      <c r="L1904" s="77" t="str">
        <f>IFERROR(VLOOKUP(DESPESAS[[#This Row],[Plano de Contas]],BASE!$B$3:$H$119,6,FALSE),"")</f>
        <v>CUSTO MÃO DE OBRA DIRETA</v>
      </c>
      <c r="M1904" s="77" t="str">
        <f>VLOOKUP(DESPESAS[[#This Row],[Plano de Contas]],BASE!$B$3:$H$119,7,FALSE)</f>
        <v>RAFAEL</v>
      </c>
    </row>
    <row r="1905" spans="1:13" x14ac:dyDescent="0.25">
      <c r="A1905" s="74">
        <v>198699</v>
      </c>
      <c r="B1905" s="75" t="s">
        <v>232</v>
      </c>
      <c r="C1905" s="75" t="s">
        <v>1886</v>
      </c>
      <c r="D1905" s="76">
        <v>46106</v>
      </c>
      <c r="E1905" s="75" t="s">
        <v>1885</v>
      </c>
      <c r="F1905" s="74">
        <v>731.16</v>
      </c>
      <c r="G1905" s="75" t="s">
        <v>1884</v>
      </c>
      <c r="H1905" s="77" t="str">
        <f>VLOOKUP(DESPESAS[[#This Row],[Plano de Contas]],BASE!$B$3:$D$119,3,FALSE)</f>
        <v>Medicina e Seguranca do Trabalho CIF</v>
      </c>
      <c r="I1905" s="77" t="str">
        <f>IFERROR(VLOOKUP(DESPESAS[[#This Row],[Fornecedor]],Tabela2[],2,FALSE),"")</f>
        <v/>
      </c>
      <c r="J1905" s="77" t="str">
        <f>IFERROR(VLOOKUP(DESPESAS[[#This Row],[Plano de Contas]],BASE!$B$3:$F$119,4,FALSE),"")</f>
        <v>3 - CUSTOS INDIRETOS</v>
      </c>
      <c r="K1905" s="77" t="str">
        <f>IFERROR(VLOOKUP(DESPESAS[[#This Row],[Plano de Contas]],BASE!$B$3:$H$119,5,FALSE),"")</f>
        <v>DH</v>
      </c>
      <c r="L1905" s="77" t="str">
        <f>IFERROR(VLOOKUP(DESPESAS[[#This Row],[Plano de Contas]],BASE!$B$3:$H$119,6,FALSE),"")</f>
        <v>CUSTO MÃO DE OBRA DIRETA</v>
      </c>
      <c r="M1905" s="77" t="str">
        <f>VLOOKUP(DESPESAS[[#This Row],[Plano de Contas]],BASE!$B$3:$H$119,7,FALSE)</f>
        <v>RAFAEL</v>
      </c>
    </row>
    <row r="1906" spans="1:13" x14ac:dyDescent="0.25">
      <c r="A1906" s="74">
        <v>198700</v>
      </c>
      <c r="B1906" s="75" t="s">
        <v>232</v>
      </c>
      <c r="C1906" s="75" t="s">
        <v>1886</v>
      </c>
      <c r="D1906" s="76">
        <v>46137</v>
      </c>
      <c r="E1906" s="75" t="s">
        <v>1885</v>
      </c>
      <c r="F1906" s="74">
        <v>731.16</v>
      </c>
      <c r="G1906" s="75" t="s">
        <v>1884</v>
      </c>
      <c r="H1906" s="77" t="str">
        <f>VLOOKUP(DESPESAS[[#This Row],[Plano de Contas]],BASE!$B$3:$D$119,3,FALSE)</f>
        <v>Medicina e Seguranca do Trabalho CIF</v>
      </c>
      <c r="I1906" s="77" t="str">
        <f>IFERROR(VLOOKUP(DESPESAS[[#This Row],[Fornecedor]],Tabela2[],2,FALSE),"")</f>
        <v/>
      </c>
      <c r="J1906" s="77" t="str">
        <f>IFERROR(VLOOKUP(DESPESAS[[#This Row],[Plano de Contas]],BASE!$B$3:$F$119,4,FALSE),"")</f>
        <v>3 - CUSTOS INDIRETOS</v>
      </c>
      <c r="K1906" s="77" t="str">
        <f>IFERROR(VLOOKUP(DESPESAS[[#This Row],[Plano de Contas]],BASE!$B$3:$H$119,5,FALSE),"")</f>
        <v>DH</v>
      </c>
      <c r="L1906" s="77" t="str">
        <f>IFERROR(VLOOKUP(DESPESAS[[#This Row],[Plano de Contas]],BASE!$B$3:$H$119,6,FALSE),"")</f>
        <v>CUSTO MÃO DE OBRA DIRETA</v>
      </c>
      <c r="M1906" s="77" t="str">
        <f>VLOOKUP(DESPESAS[[#This Row],[Plano de Contas]],BASE!$B$3:$H$119,7,FALSE)</f>
        <v>RAFAEL</v>
      </c>
    </row>
    <row r="1907" spans="1:13" x14ac:dyDescent="0.25">
      <c r="A1907" s="74">
        <v>198710</v>
      </c>
      <c r="B1907" s="75" t="s">
        <v>279</v>
      </c>
      <c r="C1907" s="75" t="s">
        <v>1886</v>
      </c>
      <c r="D1907" s="76">
        <v>46078</v>
      </c>
      <c r="E1907" s="75" t="s">
        <v>1885</v>
      </c>
      <c r="F1907" s="74">
        <v>1674.15</v>
      </c>
      <c r="G1907" s="75" t="s">
        <v>1884</v>
      </c>
      <c r="H1907" s="77" t="str">
        <f>VLOOKUP(DESPESAS[[#This Row],[Plano de Contas]],BASE!$B$3:$D$119,3,FALSE)</f>
        <v>Medicina e Seguranca do Trabalho CIF</v>
      </c>
      <c r="I1907" s="77" t="str">
        <f>IFERROR(VLOOKUP(DESPESAS[[#This Row],[Fornecedor]],Tabela2[],2,FALSE),"")</f>
        <v/>
      </c>
      <c r="J1907" s="77" t="str">
        <f>IFERROR(VLOOKUP(DESPESAS[[#This Row],[Plano de Contas]],BASE!$B$3:$F$119,4,FALSE),"")</f>
        <v>3 - CUSTOS INDIRETOS</v>
      </c>
      <c r="K1907" s="77" t="str">
        <f>IFERROR(VLOOKUP(DESPESAS[[#This Row],[Plano de Contas]],BASE!$B$3:$H$119,5,FALSE),"")</f>
        <v>DH</v>
      </c>
      <c r="L1907" s="77" t="str">
        <f>IFERROR(VLOOKUP(DESPESAS[[#This Row],[Plano de Contas]],BASE!$B$3:$H$119,6,FALSE),"")</f>
        <v>CUSTO MÃO DE OBRA DIRETA</v>
      </c>
      <c r="M1907" s="77" t="str">
        <f>VLOOKUP(DESPESAS[[#This Row],[Plano de Contas]],BASE!$B$3:$H$119,7,FALSE)</f>
        <v>RAFAEL</v>
      </c>
    </row>
    <row r="1908" spans="1:13" x14ac:dyDescent="0.25">
      <c r="A1908" s="74">
        <v>198711</v>
      </c>
      <c r="B1908" s="75" t="s">
        <v>279</v>
      </c>
      <c r="C1908" s="75" t="s">
        <v>1886</v>
      </c>
      <c r="D1908" s="76">
        <v>46106</v>
      </c>
      <c r="E1908" s="75" t="s">
        <v>1885</v>
      </c>
      <c r="F1908" s="74">
        <v>1674.15</v>
      </c>
      <c r="G1908" s="75" t="s">
        <v>1884</v>
      </c>
      <c r="H1908" s="77" t="str">
        <f>VLOOKUP(DESPESAS[[#This Row],[Plano de Contas]],BASE!$B$3:$D$119,3,FALSE)</f>
        <v>Medicina e Seguranca do Trabalho CIF</v>
      </c>
      <c r="I1908" s="77" t="str">
        <f>IFERROR(VLOOKUP(DESPESAS[[#This Row],[Fornecedor]],Tabela2[],2,FALSE),"")</f>
        <v/>
      </c>
      <c r="J1908" s="77" t="str">
        <f>IFERROR(VLOOKUP(DESPESAS[[#This Row],[Plano de Contas]],BASE!$B$3:$F$119,4,FALSE),"")</f>
        <v>3 - CUSTOS INDIRETOS</v>
      </c>
      <c r="K1908" s="77" t="str">
        <f>IFERROR(VLOOKUP(DESPESAS[[#This Row],[Plano de Contas]],BASE!$B$3:$H$119,5,FALSE),"")</f>
        <v>DH</v>
      </c>
      <c r="L1908" s="77" t="str">
        <f>IFERROR(VLOOKUP(DESPESAS[[#This Row],[Plano de Contas]],BASE!$B$3:$H$119,6,FALSE),"")</f>
        <v>CUSTO MÃO DE OBRA DIRETA</v>
      </c>
      <c r="M1908" s="77" t="str">
        <f>VLOOKUP(DESPESAS[[#This Row],[Plano de Contas]],BASE!$B$3:$H$119,7,FALSE)</f>
        <v>RAFAEL</v>
      </c>
    </row>
    <row r="1909" spans="1:13" x14ac:dyDescent="0.25">
      <c r="A1909" s="74">
        <v>198712</v>
      </c>
      <c r="B1909" s="75" t="s">
        <v>279</v>
      </c>
      <c r="C1909" s="75" t="s">
        <v>1886</v>
      </c>
      <c r="D1909" s="76">
        <v>46137</v>
      </c>
      <c r="E1909" s="75" t="s">
        <v>1885</v>
      </c>
      <c r="F1909" s="74">
        <v>1674.15</v>
      </c>
      <c r="G1909" s="75" t="s">
        <v>1884</v>
      </c>
      <c r="H1909" s="77" t="str">
        <f>VLOOKUP(DESPESAS[[#This Row],[Plano de Contas]],BASE!$B$3:$D$119,3,FALSE)</f>
        <v>Medicina e Seguranca do Trabalho CIF</v>
      </c>
      <c r="I1909" s="77" t="str">
        <f>IFERROR(VLOOKUP(DESPESAS[[#This Row],[Fornecedor]],Tabela2[],2,FALSE),"")</f>
        <v/>
      </c>
      <c r="J1909" s="77" t="str">
        <f>IFERROR(VLOOKUP(DESPESAS[[#This Row],[Plano de Contas]],BASE!$B$3:$F$119,4,FALSE),"")</f>
        <v>3 - CUSTOS INDIRETOS</v>
      </c>
      <c r="K1909" s="77" t="str">
        <f>IFERROR(VLOOKUP(DESPESAS[[#This Row],[Plano de Contas]],BASE!$B$3:$H$119,5,FALSE),"")</f>
        <v>DH</v>
      </c>
      <c r="L1909" s="77" t="str">
        <f>IFERROR(VLOOKUP(DESPESAS[[#This Row],[Plano de Contas]],BASE!$B$3:$H$119,6,FALSE),"")</f>
        <v>CUSTO MÃO DE OBRA DIRETA</v>
      </c>
      <c r="M1909" s="77" t="str">
        <f>VLOOKUP(DESPESAS[[#This Row],[Plano de Contas]],BASE!$B$3:$H$119,7,FALSE)</f>
        <v>RAFAEL</v>
      </c>
    </row>
    <row r="1910" spans="1:13" x14ac:dyDescent="0.25">
      <c r="A1910" s="74">
        <v>198722</v>
      </c>
      <c r="B1910" s="75" t="s">
        <v>221</v>
      </c>
      <c r="C1910" s="75" t="s">
        <v>1883</v>
      </c>
      <c r="D1910" s="76">
        <v>46078</v>
      </c>
      <c r="E1910" s="75" t="s">
        <v>239</v>
      </c>
      <c r="F1910" s="74">
        <v>135.55000000000001</v>
      </c>
      <c r="G1910" s="75" t="s">
        <v>238</v>
      </c>
      <c r="H1910" s="77" t="str">
        <f>VLOOKUP(DESPESAS[[#This Row],[Plano de Contas]],BASE!$B$3:$D$119,3,FALSE)</f>
        <v>Consultoria Comercial</v>
      </c>
      <c r="I1910" s="77" t="str">
        <f>IFERROR(VLOOKUP(DESPESAS[[#This Row],[Fornecedor]],Tabela2[],2,FALSE),"")</f>
        <v/>
      </c>
      <c r="J1910" s="77" t="str">
        <f>IFERROR(VLOOKUP(DESPESAS[[#This Row],[Plano de Contas]],BASE!$B$3:$F$119,4,FALSE),"")</f>
        <v>6 - DESPESA COM VENDAS</v>
      </c>
      <c r="K1910" s="77" t="str">
        <f>IFERROR(VLOOKUP(DESPESAS[[#This Row],[Plano de Contas]],BASE!$B$3:$H$119,5,FALSE),"")</f>
        <v>COMERCIAL</v>
      </c>
      <c r="L1910" s="77">
        <f>IFERROR(VLOOKUP(DESPESAS[[#This Row],[Plano de Contas]],BASE!$B$3:$H$119,6,FALSE),"")</f>
        <v>0</v>
      </c>
      <c r="M1910" s="77" t="str">
        <f>VLOOKUP(DESPESAS[[#This Row],[Plano de Contas]],BASE!$B$3:$H$119,7,FALSE)</f>
        <v>LETÍCIA</v>
      </c>
    </row>
    <row r="1911" spans="1:13" x14ac:dyDescent="0.25">
      <c r="A1911" s="74">
        <v>198723</v>
      </c>
      <c r="B1911" s="75" t="s">
        <v>232</v>
      </c>
      <c r="C1911" s="75" t="s">
        <v>1882</v>
      </c>
      <c r="D1911" s="76">
        <v>46078</v>
      </c>
      <c r="E1911" s="75" t="s">
        <v>1881</v>
      </c>
      <c r="F1911" s="74">
        <v>2966.85</v>
      </c>
      <c r="G1911" s="75" t="s">
        <v>244</v>
      </c>
      <c r="H1911" s="77" t="str">
        <f>VLOOKUP(DESPESAS[[#This Row],[Plano de Contas]],BASE!$B$3:$D$119,3,FALSE)</f>
        <v>Material de Expediente (Prod)</v>
      </c>
      <c r="I1911" s="77" t="str">
        <f>IFERROR(VLOOKUP(DESPESAS[[#This Row],[Fornecedor]],Tabela2[],2,FALSE),"")</f>
        <v/>
      </c>
      <c r="J1911" s="77" t="str">
        <f>IFERROR(VLOOKUP(DESPESAS[[#This Row],[Plano de Contas]],BASE!$B$3:$F$119,4,FALSE),"")</f>
        <v>2 - CUSTOS DIRETOS</v>
      </c>
      <c r="K1911" s="77" t="str">
        <f>IFERROR(VLOOKUP(DESPESAS[[#This Row],[Plano de Contas]],BASE!$B$3:$H$119,5,FALSE),"")</f>
        <v>PRODUÇÃO</v>
      </c>
      <c r="L1911" s="77">
        <f>IFERROR(VLOOKUP(DESPESAS[[#This Row],[Plano de Contas]],BASE!$B$3:$H$119,6,FALSE),"")</f>
        <v>0</v>
      </c>
      <c r="M1911" s="77" t="str">
        <f>VLOOKUP(DESPESAS[[#This Row],[Plano de Contas]],BASE!$B$3:$H$119,7,FALSE)</f>
        <v>RAFAEL</v>
      </c>
    </row>
    <row r="1912" spans="1:13" x14ac:dyDescent="0.25">
      <c r="A1912" s="74">
        <v>198724</v>
      </c>
      <c r="B1912" s="75" t="s">
        <v>232</v>
      </c>
      <c r="C1912" s="75" t="s">
        <v>1880</v>
      </c>
      <c r="D1912" s="76">
        <v>46078</v>
      </c>
      <c r="E1912" s="75" t="s">
        <v>607</v>
      </c>
      <c r="F1912" s="74">
        <v>1306.76</v>
      </c>
      <c r="G1912" s="75" t="s">
        <v>606</v>
      </c>
      <c r="H1912" s="77" t="str">
        <f>VLOOKUP(DESPESAS[[#This Row],[Plano de Contas]],BASE!$B$3:$D$119,3,FALSE)</f>
        <v>EPIs/Uniformes (Prod)</v>
      </c>
      <c r="I1912" s="77" t="str">
        <f>IFERROR(VLOOKUP(DESPESAS[[#This Row],[Fornecedor]],Tabela2[],2,FALSE),"")</f>
        <v>FERRAGENS GERAIS</v>
      </c>
      <c r="J1912" s="77" t="str">
        <f>IFERROR(VLOOKUP(DESPESAS[[#This Row],[Plano de Contas]],BASE!$B$3:$F$119,4,FALSE),"")</f>
        <v>2 - CUSTOS DIRETOS</v>
      </c>
      <c r="K1912" s="77" t="str">
        <f>IFERROR(VLOOKUP(DESPESAS[[#This Row],[Plano de Contas]],BASE!$B$3:$H$119,5,FALSE),"")</f>
        <v>COMPRAS</v>
      </c>
      <c r="L1912" s="77">
        <f>IFERROR(VLOOKUP(DESPESAS[[#This Row],[Plano de Contas]],BASE!$B$3:$H$119,6,FALSE),"")</f>
        <v>0</v>
      </c>
      <c r="M1912" s="77" t="str">
        <f>VLOOKUP(DESPESAS[[#This Row],[Plano de Contas]],BASE!$B$3:$H$119,7,FALSE)</f>
        <v>RAFAEL</v>
      </c>
    </row>
    <row r="1913" spans="1:13" x14ac:dyDescent="0.25">
      <c r="A1913" s="74">
        <v>198725</v>
      </c>
      <c r="B1913" s="75" t="s">
        <v>221</v>
      </c>
      <c r="C1913" s="75" t="s">
        <v>1879</v>
      </c>
      <c r="D1913" s="76">
        <v>46077</v>
      </c>
      <c r="E1913" s="75" t="s">
        <v>242</v>
      </c>
      <c r="F1913" s="74">
        <v>2417.9</v>
      </c>
      <c r="G1913" s="75" t="s">
        <v>241</v>
      </c>
      <c r="H1913" s="77" t="str">
        <f>VLOOKUP(DESPESAS[[#This Row],[Plano de Contas]],BASE!$B$3:$D$119,3,FALSE)</f>
        <v>Combustiveis Frota</v>
      </c>
      <c r="I1913" s="77" t="str">
        <f>IFERROR(VLOOKUP(DESPESAS[[#This Row],[Fornecedor]],Tabela2[],2,FALSE),"")</f>
        <v/>
      </c>
      <c r="J1913" s="77" t="str">
        <f>IFERROR(VLOOKUP(DESPESAS[[#This Row],[Plano de Contas]],BASE!$B$3:$F$119,4,FALSE),"")</f>
        <v>6 - DESPESA COM VENDAS</v>
      </c>
      <c r="K1913" s="77" t="str">
        <f>IFERROR(VLOOKUP(DESPESAS[[#This Row],[Plano de Contas]],BASE!$B$3:$H$119,5,FALSE),"")</f>
        <v>LOGÍSTICA</v>
      </c>
      <c r="L1913" s="77">
        <f>IFERROR(VLOOKUP(DESPESAS[[#This Row],[Plano de Contas]],BASE!$B$3:$H$119,6,FALSE),"")</f>
        <v>0</v>
      </c>
      <c r="M1913" s="77" t="str">
        <f>VLOOKUP(DESPESAS[[#This Row],[Plano de Contas]],BASE!$B$3:$H$119,7,FALSE)</f>
        <v>MYLENA</v>
      </c>
    </row>
    <row r="1914" spans="1:13" x14ac:dyDescent="0.25">
      <c r="A1914" s="74">
        <v>198726</v>
      </c>
      <c r="B1914" s="75" t="s">
        <v>221</v>
      </c>
      <c r="C1914" s="75" t="s">
        <v>1878</v>
      </c>
      <c r="D1914" s="76">
        <v>46077</v>
      </c>
      <c r="E1914" s="75" t="s">
        <v>242</v>
      </c>
      <c r="F1914" s="74">
        <v>75.150000000000006</v>
      </c>
      <c r="G1914" s="75" t="s">
        <v>241</v>
      </c>
      <c r="H1914" s="77" t="str">
        <f>VLOOKUP(DESPESAS[[#This Row],[Plano de Contas]],BASE!$B$3:$D$119,3,FALSE)</f>
        <v>Combustiveis Frota</v>
      </c>
      <c r="I1914" s="77" t="str">
        <f>IFERROR(VLOOKUP(DESPESAS[[#This Row],[Fornecedor]],Tabela2[],2,FALSE),"")</f>
        <v/>
      </c>
      <c r="J1914" s="77" t="str">
        <f>IFERROR(VLOOKUP(DESPESAS[[#This Row],[Plano de Contas]],BASE!$B$3:$F$119,4,FALSE),"")</f>
        <v>6 - DESPESA COM VENDAS</v>
      </c>
      <c r="K1914" s="77" t="str">
        <f>IFERROR(VLOOKUP(DESPESAS[[#This Row],[Plano de Contas]],BASE!$B$3:$H$119,5,FALSE),"")</f>
        <v>LOGÍSTICA</v>
      </c>
      <c r="L1914" s="77">
        <f>IFERROR(VLOOKUP(DESPESAS[[#This Row],[Plano de Contas]],BASE!$B$3:$H$119,6,FALSE),"")</f>
        <v>0</v>
      </c>
      <c r="M1914" s="77" t="str">
        <f>VLOOKUP(DESPESAS[[#This Row],[Plano de Contas]],BASE!$B$3:$H$119,7,FALSE)</f>
        <v>MYLENA</v>
      </c>
    </row>
    <row r="1915" spans="1:13" x14ac:dyDescent="0.25">
      <c r="A1915" s="74">
        <v>198727</v>
      </c>
      <c r="B1915" s="75" t="s">
        <v>221</v>
      </c>
      <c r="C1915" s="75" t="s">
        <v>1877</v>
      </c>
      <c r="D1915" s="76">
        <v>46078</v>
      </c>
      <c r="E1915" s="75" t="s">
        <v>242</v>
      </c>
      <c r="F1915" s="74">
        <v>141.57</v>
      </c>
      <c r="G1915" s="75" t="s">
        <v>241</v>
      </c>
      <c r="H1915" s="77" t="str">
        <f>VLOOKUP(DESPESAS[[#This Row],[Plano de Contas]],BASE!$B$3:$D$119,3,FALSE)</f>
        <v>Combustiveis Frota</v>
      </c>
      <c r="I1915" s="77" t="str">
        <f>IFERROR(VLOOKUP(DESPESAS[[#This Row],[Fornecedor]],Tabela2[],2,FALSE),"")</f>
        <v/>
      </c>
      <c r="J1915" s="77" t="str">
        <f>IFERROR(VLOOKUP(DESPESAS[[#This Row],[Plano de Contas]],BASE!$B$3:$F$119,4,FALSE),"")</f>
        <v>6 - DESPESA COM VENDAS</v>
      </c>
      <c r="K1915" s="77" t="str">
        <f>IFERROR(VLOOKUP(DESPESAS[[#This Row],[Plano de Contas]],BASE!$B$3:$H$119,5,FALSE),"")</f>
        <v>LOGÍSTICA</v>
      </c>
      <c r="L1915" s="77">
        <f>IFERROR(VLOOKUP(DESPESAS[[#This Row],[Plano de Contas]],BASE!$B$3:$H$119,6,FALSE),"")</f>
        <v>0</v>
      </c>
      <c r="M1915" s="77" t="str">
        <f>VLOOKUP(DESPESAS[[#This Row],[Plano de Contas]],BASE!$B$3:$H$119,7,FALSE)</f>
        <v>MYLENA</v>
      </c>
    </row>
    <row r="1916" spans="1:13" x14ac:dyDescent="0.25">
      <c r="A1916" s="74">
        <v>198728</v>
      </c>
      <c r="B1916" s="75" t="s">
        <v>221</v>
      </c>
      <c r="C1916" s="75" t="s">
        <v>1876</v>
      </c>
      <c r="D1916" s="76">
        <v>46078</v>
      </c>
      <c r="E1916" s="75" t="s">
        <v>242</v>
      </c>
      <c r="F1916" s="74">
        <v>59.6</v>
      </c>
      <c r="G1916" s="75" t="s">
        <v>241</v>
      </c>
      <c r="H1916" s="77" t="str">
        <f>VLOOKUP(DESPESAS[[#This Row],[Plano de Contas]],BASE!$B$3:$D$119,3,FALSE)</f>
        <v>Combustiveis Frota</v>
      </c>
      <c r="I1916" s="77" t="str">
        <f>IFERROR(VLOOKUP(DESPESAS[[#This Row],[Fornecedor]],Tabela2[],2,FALSE),"")</f>
        <v/>
      </c>
      <c r="J1916" s="77" t="str">
        <f>IFERROR(VLOOKUP(DESPESAS[[#This Row],[Plano de Contas]],BASE!$B$3:$F$119,4,FALSE),"")</f>
        <v>6 - DESPESA COM VENDAS</v>
      </c>
      <c r="K1916" s="77" t="str">
        <f>IFERROR(VLOOKUP(DESPESAS[[#This Row],[Plano de Contas]],BASE!$B$3:$H$119,5,FALSE),"")</f>
        <v>LOGÍSTICA</v>
      </c>
      <c r="L1916" s="77">
        <f>IFERROR(VLOOKUP(DESPESAS[[#This Row],[Plano de Contas]],BASE!$B$3:$H$119,6,FALSE),"")</f>
        <v>0</v>
      </c>
      <c r="M1916" s="77" t="str">
        <f>VLOOKUP(DESPESAS[[#This Row],[Plano de Contas]],BASE!$B$3:$H$119,7,FALSE)</f>
        <v>MYLENA</v>
      </c>
    </row>
    <row r="1917" spans="1:13" x14ac:dyDescent="0.25">
      <c r="A1917" s="74">
        <v>198729</v>
      </c>
      <c r="B1917" s="75" t="s">
        <v>221</v>
      </c>
      <c r="C1917" s="75" t="s">
        <v>1875</v>
      </c>
      <c r="D1917" s="76">
        <v>46078</v>
      </c>
      <c r="E1917" s="75" t="s">
        <v>242</v>
      </c>
      <c r="F1917" s="74">
        <v>643.25</v>
      </c>
      <c r="G1917" s="75" t="s">
        <v>241</v>
      </c>
      <c r="H1917" s="77" t="str">
        <f>VLOOKUP(DESPESAS[[#This Row],[Plano de Contas]],BASE!$B$3:$D$119,3,FALSE)</f>
        <v>Combustiveis Frota</v>
      </c>
      <c r="I1917" s="77" t="str">
        <f>IFERROR(VLOOKUP(DESPESAS[[#This Row],[Fornecedor]],Tabela2[],2,FALSE),"")</f>
        <v/>
      </c>
      <c r="J1917" s="77" t="str">
        <f>IFERROR(VLOOKUP(DESPESAS[[#This Row],[Plano de Contas]],BASE!$B$3:$F$119,4,FALSE),"")</f>
        <v>6 - DESPESA COM VENDAS</v>
      </c>
      <c r="K1917" s="77" t="str">
        <f>IFERROR(VLOOKUP(DESPESAS[[#This Row],[Plano de Contas]],BASE!$B$3:$H$119,5,FALSE),"")</f>
        <v>LOGÍSTICA</v>
      </c>
      <c r="L1917" s="77">
        <f>IFERROR(VLOOKUP(DESPESAS[[#This Row],[Plano de Contas]],BASE!$B$3:$H$119,6,FALSE),"")</f>
        <v>0</v>
      </c>
      <c r="M1917" s="77" t="str">
        <f>VLOOKUP(DESPESAS[[#This Row],[Plano de Contas]],BASE!$B$3:$H$119,7,FALSE)</f>
        <v>MYLENA</v>
      </c>
    </row>
    <row r="1918" spans="1:13" x14ac:dyDescent="0.25">
      <c r="A1918" s="74">
        <v>198730</v>
      </c>
      <c r="B1918" s="75" t="s">
        <v>221</v>
      </c>
      <c r="C1918" s="75" t="s">
        <v>1874</v>
      </c>
      <c r="D1918" s="76">
        <v>46078</v>
      </c>
      <c r="E1918" s="75" t="s">
        <v>265</v>
      </c>
      <c r="F1918" s="74">
        <v>67.900000000000006</v>
      </c>
      <c r="G1918" s="75" t="s">
        <v>262</v>
      </c>
      <c r="H1918" s="77" t="str">
        <f>VLOOKUP(DESPESAS[[#This Row],[Plano de Contas]],BASE!$B$3:$D$119,3,FALSE)</f>
        <v>Fretes Karams</v>
      </c>
      <c r="I1918" s="77" t="str">
        <f>IFERROR(VLOOKUP(DESPESAS[[#This Row],[Fornecedor]],Tabela2[],2,FALSE),"")</f>
        <v/>
      </c>
      <c r="J1918" s="77" t="str">
        <f>IFERROR(VLOOKUP(DESPESAS[[#This Row],[Plano de Contas]],BASE!$B$3:$F$119,4,FALSE),"")</f>
        <v>6 - DESPESA COM VENDAS</v>
      </c>
      <c r="K1918" s="77" t="str">
        <f>IFERROR(VLOOKUP(DESPESAS[[#This Row],[Plano de Contas]],BASE!$B$3:$H$119,5,FALSE),"")</f>
        <v>LOGÍSTICA</v>
      </c>
      <c r="L1918" s="77">
        <f>IFERROR(VLOOKUP(DESPESAS[[#This Row],[Plano de Contas]],BASE!$B$3:$H$119,6,FALSE),"")</f>
        <v>0</v>
      </c>
      <c r="M1918" s="77" t="str">
        <f>VLOOKUP(DESPESAS[[#This Row],[Plano de Contas]],BASE!$B$3:$H$119,7,FALSE)</f>
        <v>MYLENA</v>
      </c>
    </row>
    <row r="1919" spans="1:13" x14ac:dyDescent="0.25">
      <c r="A1919" s="74">
        <v>198731</v>
      </c>
      <c r="B1919" s="75" t="s">
        <v>221</v>
      </c>
      <c r="C1919" s="75" t="s">
        <v>1873</v>
      </c>
      <c r="D1919" s="76">
        <v>46078</v>
      </c>
      <c r="E1919" s="75" t="s">
        <v>1872</v>
      </c>
      <c r="F1919" s="74">
        <v>60</v>
      </c>
      <c r="G1919" s="75" t="s">
        <v>218</v>
      </c>
      <c r="H1919" s="77" t="str">
        <f>VLOOKUP(DESPESAS[[#This Row],[Plano de Contas]],BASE!$B$3:$D$119,3,FALSE)</f>
        <v>Manutenção de Equipamentos (Prod)</v>
      </c>
      <c r="I1919" s="77" t="str">
        <f>IFERROR(VLOOKUP(DESPESAS[[#This Row],[Fornecedor]],Tabela2[],2,FALSE),"")</f>
        <v>MATERIAIS ELETRICOS</v>
      </c>
      <c r="J1919" s="77" t="str">
        <f>IFERROR(VLOOKUP(DESPESAS[[#This Row],[Plano de Contas]],BASE!$B$3:$F$119,4,FALSE),"")</f>
        <v>3 - CUSTOS INDIRETOS</v>
      </c>
      <c r="K1919" s="77" t="str">
        <f>IFERROR(VLOOKUP(DESPESAS[[#This Row],[Plano de Contas]],BASE!$B$3:$H$119,5,FALSE),"")</f>
        <v>MANUTENÇÃO / TI</v>
      </c>
      <c r="L1919" s="77">
        <f>IFERROR(VLOOKUP(DESPESAS[[#This Row],[Plano de Contas]],BASE!$B$3:$H$119,6,FALSE),"")</f>
        <v>0</v>
      </c>
      <c r="M1919" s="77" t="str">
        <f>VLOOKUP(DESPESAS[[#This Row],[Plano de Contas]],BASE!$B$3:$H$119,7,FALSE)</f>
        <v>RAFAEL</v>
      </c>
    </row>
    <row r="1920" spans="1:13" x14ac:dyDescent="0.25">
      <c r="A1920" s="74">
        <v>198732</v>
      </c>
      <c r="B1920" s="75" t="s">
        <v>221</v>
      </c>
      <c r="C1920" s="75" t="s">
        <v>1871</v>
      </c>
      <c r="D1920" s="76">
        <v>46078</v>
      </c>
      <c r="E1920" s="75" t="s">
        <v>245</v>
      </c>
      <c r="F1920" s="74">
        <v>9</v>
      </c>
      <c r="G1920" s="75" t="s">
        <v>1037</v>
      </c>
      <c r="H1920" s="77" t="str">
        <f>VLOOKUP(DESPESAS[[#This Row],[Plano de Contas]],BASE!$B$3:$D$119,3,FALSE)</f>
        <v>Construções e Reformas</v>
      </c>
      <c r="I1920" s="77" t="str">
        <f>IFERROR(VLOOKUP(DESPESAS[[#This Row],[Fornecedor]],Tabela2[],2,FALSE),"")</f>
        <v>FERRAGENS GERAIS</v>
      </c>
      <c r="J1920" s="77" t="str">
        <f>IFERROR(VLOOKUP(DESPESAS[[#This Row],[Plano de Contas]],BASE!$B$3:$F$119,4,FALSE),"")</f>
        <v>9 - INVESTIMENTOS</v>
      </c>
      <c r="K1920" s="77" t="str">
        <f>IFERROR(VLOOKUP(DESPESAS[[#This Row],[Plano de Contas]],BASE!$B$3:$H$119,5,FALSE),"")</f>
        <v>MANUTENÇÃO / TI</v>
      </c>
      <c r="L1920" s="77">
        <f>IFERROR(VLOOKUP(DESPESAS[[#This Row],[Plano de Contas]],BASE!$B$3:$H$119,6,FALSE),"")</f>
        <v>0</v>
      </c>
      <c r="M1920" s="77" t="str">
        <f>VLOOKUP(DESPESAS[[#This Row],[Plano de Contas]],BASE!$B$3:$H$119,7,FALSE)</f>
        <v>FÁBIO</v>
      </c>
    </row>
    <row r="1921" spans="1:13" x14ac:dyDescent="0.25">
      <c r="A1921" s="74">
        <v>198734</v>
      </c>
      <c r="B1921" s="75" t="s">
        <v>232</v>
      </c>
      <c r="C1921" s="75" t="s">
        <v>1870</v>
      </c>
      <c r="D1921" s="76">
        <v>46082</v>
      </c>
      <c r="E1921" s="75" t="s">
        <v>1869</v>
      </c>
      <c r="F1921" s="74">
        <v>6035.41</v>
      </c>
      <c r="G1921" s="75" t="s">
        <v>1868</v>
      </c>
      <c r="H1921" s="77" t="str">
        <f>VLOOKUP(DESPESAS[[#This Row],[Plano de Contas]],BASE!$B$3:$D$119,3,FALSE)</f>
        <v>Consultoria Juridica</v>
      </c>
      <c r="I1921" s="77" t="str">
        <f>IFERROR(VLOOKUP(DESPESAS[[#This Row],[Fornecedor]],Tabela2[],2,FALSE),"")</f>
        <v/>
      </c>
      <c r="J1921" s="77" t="str">
        <f>IFERROR(VLOOKUP(DESPESAS[[#This Row],[Plano de Contas]],BASE!$B$3:$F$119,4,FALSE),"")</f>
        <v>7 - SERVIÇOS DE TERCEIROS</v>
      </c>
      <c r="K1921" s="77" t="str">
        <f>IFERROR(VLOOKUP(DESPESAS[[#This Row],[Plano de Contas]],BASE!$B$3:$H$119,5,FALSE),"")</f>
        <v>FINANCEIRO</v>
      </c>
      <c r="L1921" s="77">
        <f>IFERROR(VLOOKUP(DESPESAS[[#This Row],[Plano de Contas]],BASE!$B$3:$H$119,6,FALSE),"")</f>
        <v>0</v>
      </c>
      <c r="M1921" s="77" t="str">
        <f>VLOOKUP(DESPESAS[[#This Row],[Plano de Contas]],BASE!$B$3:$H$119,7,FALSE)</f>
        <v>LETÍCIA</v>
      </c>
    </row>
    <row r="1922" spans="1:13" x14ac:dyDescent="0.25">
      <c r="A1922" s="74">
        <v>198735</v>
      </c>
      <c r="B1922" s="75" t="s">
        <v>221</v>
      </c>
      <c r="C1922" s="75" t="s">
        <v>1867</v>
      </c>
      <c r="D1922" s="76">
        <v>46078</v>
      </c>
      <c r="E1922" s="75" t="s">
        <v>242</v>
      </c>
      <c r="F1922" s="74">
        <v>97.5</v>
      </c>
      <c r="G1922" s="75" t="s">
        <v>218</v>
      </c>
      <c r="H1922" s="77" t="str">
        <f>VLOOKUP(DESPESAS[[#This Row],[Plano de Contas]],BASE!$B$3:$D$119,3,FALSE)</f>
        <v>Manutenção de Equipamentos (Prod)</v>
      </c>
      <c r="I1922" s="77" t="str">
        <f>IFERROR(VLOOKUP(DESPESAS[[#This Row],[Fornecedor]],Tabela2[],2,FALSE),"")</f>
        <v/>
      </c>
      <c r="J1922" s="77" t="str">
        <f>IFERROR(VLOOKUP(DESPESAS[[#This Row],[Plano de Contas]],BASE!$B$3:$F$119,4,FALSE),"")</f>
        <v>3 - CUSTOS INDIRETOS</v>
      </c>
      <c r="K1922" s="77" t="str">
        <f>IFERROR(VLOOKUP(DESPESAS[[#This Row],[Plano de Contas]],BASE!$B$3:$H$119,5,FALSE),"")</f>
        <v>MANUTENÇÃO / TI</v>
      </c>
      <c r="L1922" s="77">
        <f>IFERROR(VLOOKUP(DESPESAS[[#This Row],[Plano de Contas]],BASE!$B$3:$H$119,6,FALSE),"")</f>
        <v>0</v>
      </c>
      <c r="M1922" s="77" t="str">
        <f>VLOOKUP(DESPESAS[[#This Row],[Plano de Contas]],BASE!$B$3:$H$119,7,FALSE)</f>
        <v>RAFAEL</v>
      </c>
    </row>
    <row r="1923" spans="1:13" x14ac:dyDescent="0.25">
      <c r="A1923" s="74">
        <v>198736</v>
      </c>
      <c r="B1923" s="75" t="s">
        <v>232</v>
      </c>
      <c r="C1923" s="75" t="s">
        <v>1866</v>
      </c>
      <c r="D1923" s="76">
        <v>46078</v>
      </c>
      <c r="E1923" s="75" t="s">
        <v>394</v>
      </c>
      <c r="F1923" s="74">
        <v>92.51</v>
      </c>
      <c r="G1923" s="75" t="s">
        <v>241</v>
      </c>
      <c r="H1923" s="77" t="str">
        <f>VLOOKUP(DESPESAS[[#This Row],[Plano de Contas]],BASE!$B$3:$D$119,3,FALSE)</f>
        <v>Combustiveis Frota</v>
      </c>
      <c r="I1923" s="77" t="str">
        <f>IFERROR(VLOOKUP(DESPESAS[[#This Row],[Fornecedor]],Tabela2[],2,FALSE),"")</f>
        <v/>
      </c>
      <c r="J1923" s="77" t="str">
        <f>IFERROR(VLOOKUP(DESPESAS[[#This Row],[Plano de Contas]],BASE!$B$3:$F$119,4,FALSE),"")</f>
        <v>6 - DESPESA COM VENDAS</v>
      </c>
      <c r="K1923" s="77" t="str">
        <f>IFERROR(VLOOKUP(DESPESAS[[#This Row],[Plano de Contas]],BASE!$B$3:$H$119,5,FALSE),"")</f>
        <v>LOGÍSTICA</v>
      </c>
      <c r="L1923" s="77">
        <f>IFERROR(VLOOKUP(DESPESAS[[#This Row],[Plano de Contas]],BASE!$B$3:$H$119,6,FALSE),"")</f>
        <v>0</v>
      </c>
      <c r="M1923" s="77" t="str">
        <f>VLOOKUP(DESPESAS[[#This Row],[Plano de Contas]],BASE!$B$3:$H$119,7,FALSE)</f>
        <v>MYLENA</v>
      </c>
    </row>
    <row r="1924" spans="1:13" x14ac:dyDescent="0.25">
      <c r="A1924" s="74">
        <v>198737</v>
      </c>
      <c r="B1924" s="75" t="s">
        <v>221</v>
      </c>
      <c r="C1924" s="75" t="s">
        <v>1865</v>
      </c>
      <c r="D1924" s="76">
        <v>46077</v>
      </c>
      <c r="E1924" s="75" t="s">
        <v>1864</v>
      </c>
      <c r="F1924" s="74">
        <v>580</v>
      </c>
      <c r="G1924" s="75" t="s">
        <v>1037</v>
      </c>
      <c r="H1924" s="77" t="str">
        <f>VLOOKUP(DESPESAS[[#This Row],[Plano de Contas]],BASE!$B$3:$D$119,3,FALSE)</f>
        <v>Construções e Reformas</v>
      </c>
      <c r="I1924" s="77" t="str">
        <f>IFERROR(VLOOKUP(DESPESAS[[#This Row],[Fornecedor]],Tabela2[],2,FALSE),"")</f>
        <v/>
      </c>
      <c r="J1924" s="77" t="str">
        <f>IFERROR(VLOOKUP(DESPESAS[[#This Row],[Plano de Contas]],BASE!$B$3:$F$119,4,FALSE),"")</f>
        <v>9 - INVESTIMENTOS</v>
      </c>
      <c r="K1924" s="77" t="str">
        <f>IFERROR(VLOOKUP(DESPESAS[[#This Row],[Plano de Contas]],BASE!$B$3:$H$119,5,FALSE),"")</f>
        <v>MANUTENÇÃO / TI</v>
      </c>
      <c r="L1924" s="77">
        <f>IFERROR(VLOOKUP(DESPESAS[[#This Row],[Plano de Contas]],BASE!$B$3:$H$119,6,FALSE),"")</f>
        <v>0</v>
      </c>
      <c r="M1924" s="77" t="str">
        <f>VLOOKUP(DESPESAS[[#This Row],[Plano de Contas]],BASE!$B$3:$H$119,7,FALSE)</f>
        <v>FÁBIO</v>
      </c>
    </row>
    <row r="1925" spans="1:13" x14ac:dyDescent="0.25">
      <c r="A1925" s="74">
        <v>198739</v>
      </c>
      <c r="B1925" s="75" t="s">
        <v>232</v>
      </c>
      <c r="C1925" s="75" t="s">
        <v>1856</v>
      </c>
      <c r="D1925" s="76">
        <v>46078</v>
      </c>
      <c r="E1925" s="75" t="s">
        <v>230</v>
      </c>
      <c r="F1925" s="74">
        <v>1064.9100000000001</v>
      </c>
      <c r="G1925" s="75" t="s">
        <v>251</v>
      </c>
      <c r="H1925" s="77" t="str">
        <f>VLOOKUP(DESPESAS[[#This Row],[Plano de Contas]],BASE!$B$3:$D$119,3,FALSE)</f>
        <v>Juros Pagos - Antecipação de Crédito</v>
      </c>
      <c r="I1925" s="77" t="str">
        <f>IFERROR(VLOOKUP(DESPESAS[[#This Row],[Fornecedor]],Tabela2[],2,FALSE),"")</f>
        <v/>
      </c>
      <c r="J1925" s="77" t="str">
        <f>IFERROR(VLOOKUP(DESPESAS[[#This Row],[Plano de Contas]],BASE!$B$3:$F$119,4,FALSE),"")</f>
        <v>8 - DESPESAS FINANCEIRAS</v>
      </c>
      <c r="K1925" s="77" t="str">
        <f>IFERROR(VLOOKUP(DESPESAS[[#This Row],[Plano de Contas]],BASE!$B$3:$H$119,5,FALSE),"")</f>
        <v>FINANCEIRO</v>
      </c>
      <c r="L1925" s="77">
        <f>IFERROR(VLOOKUP(DESPESAS[[#This Row],[Plano de Contas]],BASE!$B$3:$H$119,6,FALSE),"")</f>
        <v>0</v>
      </c>
      <c r="M1925" s="77" t="str">
        <f>VLOOKUP(DESPESAS[[#This Row],[Plano de Contas]],BASE!$B$3:$H$119,7,FALSE)</f>
        <v>LETÍCIA</v>
      </c>
    </row>
    <row r="1926" spans="1:13" x14ac:dyDescent="0.25">
      <c r="A1926" s="74">
        <v>198740</v>
      </c>
      <c r="B1926" s="75" t="s">
        <v>232</v>
      </c>
      <c r="C1926" s="75" t="s">
        <v>1863</v>
      </c>
      <c r="D1926" s="76">
        <v>46078</v>
      </c>
      <c r="E1926" s="75" t="s">
        <v>230</v>
      </c>
      <c r="F1926" s="74">
        <v>171.91</v>
      </c>
      <c r="G1926" s="75" t="s">
        <v>229</v>
      </c>
      <c r="H1926" s="77" t="str">
        <f>VLOOKUP(DESPESAS[[#This Row],[Plano de Contas]],BASE!$B$3:$D$119,3,FALSE)</f>
        <v>Despesas Bancarias</v>
      </c>
      <c r="I1926" s="77" t="str">
        <f>IFERROR(VLOOKUP(DESPESAS[[#This Row],[Fornecedor]],Tabela2[],2,FALSE),"")</f>
        <v/>
      </c>
      <c r="J1926" s="77" t="str">
        <f>IFERROR(VLOOKUP(DESPESAS[[#This Row],[Plano de Contas]],BASE!$B$3:$F$119,4,FALSE),"")</f>
        <v>8 - DESPESAS FINANCEIRAS</v>
      </c>
      <c r="K1926" s="77" t="str">
        <f>IFERROR(VLOOKUP(DESPESAS[[#This Row],[Plano de Contas]],BASE!$B$3:$H$119,5,FALSE),"")</f>
        <v>FINANCEIRO</v>
      </c>
      <c r="L1926" s="77">
        <f>IFERROR(VLOOKUP(DESPESAS[[#This Row],[Plano de Contas]],BASE!$B$3:$H$119,6,FALSE),"")</f>
        <v>0</v>
      </c>
      <c r="M1926" s="77" t="str">
        <f>VLOOKUP(DESPESAS[[#This Row],[Plano de Contas]],BASE!$B$3:$H$119,7,FALSE)</f>
        <v>LETÍCIA</v>
      </c>
    </row>
    <row r="1927" spans="1:13" x14ac:dyDescent="0.25">
      <c r="A1927" s="74">
        <v>198741</v>
      </c>
      <c r="B1927" s="75" t="s">
        <v>232</v>
      </c>
      <c r="C1927" s="75" t="s">
        <v>1862</v>
      </c>
      <c r="D1927" s="76">
        <v>46078</v>
      </c>
      <c r="E1927" s="75" t="s">
        <v>230</v>
      </c>
      <c r="F1927" s="74">
        <v>111.38</v>
      </c>
      <c r="G1927" s="75" t="s">
        <v>229</v>
      </c>
      <c r="H1927" s="77" t="str">
        <f>VLOOKUP(DESPESAS[[#This Row],[Plano de Contas]],BASE!$B$3:$D$119,3,FALSE)</f>
        <v>Despesas Bancarias</v>
      </c>
      <c r="I1927" s="77" t="str">
        <f>IFERROR(VLOOKUP(DESPESAS[[#This Row],[Fornecedor]],Tabela2[],2,FALSE),"")</f>
        <v/>
      </c>
      <c r="J1927" s="77" t="str">
        <f>IFERROR(VLOOKUP(DESPESAS[[#This Row],[Plano de Contas]],BASE!$B$3:$F$119,4,FALSE),"")</f>
        <v>8 - DESPESAS FINANCEIRAS</v>
      </c>
      <c r="K1927" s="77" t="str">
        <f>IFERROR(VLOOKUP(DESPESAS[[#This Row],[Plano de Contas]],BASE!$B$3:$H$119,5,FALSE),"")</f>
        <v>FINANCEIRO</v>
      </c>
      <c r="L1927" s="77">
        <f>IFERROR(VLOOKUP(DESPESAS[[#This Row],[Plano de Contas]],BASE!$B$3:$H$119,6,FALSE),"")</f>
        <v>0</v>
      </c>
      <c r="M1927" s="77" t="str">
        <f>VLOOKUP(DESPESAS[[#This Row],[Plano de Contas]],BASE!$B$3:$H$119,7,FALSE)</f>
        <v>LETÍCIA</v>
      </c>
    </row>
    <row r="1928" spans="1:13" x14ac:dyDescent="0.25">
      <c r="A1928" s="74">
        <v>198742</v>
      </c>
      <c r="B1928" s="75" t="s">
        <v>232</v>
      </c>
      <c r="C1928" s="75" t="s">
        <v>1861</v>
      </c>
      <c r="D1928" s="76">
        <v>46078</v>
      </c>
      <c r="E1928" s="75" t="s">
        <v>230</v>
      </c>
      <c r="F1928" s="74">
        <v>127.6</v>
      </c>
      <c r="G1928" s="75" t="s">
        <v>251</v>
      </c>
      <c r="H1928" s="77" t="str">
        <f>VLOOKUP(DESPESAS[[#This Row],[Plano de Contas]],BASE!$B$3:$D$119,3,FALSE)</f>
        <v>Juros Pagos - Antecipação de Crédito</v>
      </c>
      <c r="I1928" s="77" t="str">
        <f>IFERROR(VLOOKUP(DESPESAS[[#This Row],[Fornecedor]],Tabela2[],2,FALSE),"")</f>
        <v/>
      </c>
      <c r="J1928" s="77" t="str">
        <f>IFERROR(VLOOKUP(DESPESAS[[#This Row],[Plano de Contas]],BASE!$B$3:$F$119,4,FALSE),"")</f>
        <v>8 - DESPESAS FINANCEIRAS</v>
      </c>
      <c r="K1928" s="77" t="str">
        <f>IFERROR(VLOOKUP(DESPESAS[[#This Row],[Plano de Contas]],BASE!$B$3:$H$119,5,FALSE),"")</f>
        <v>FINANCEIRO</v>
      </c>
      <c r="L1928" s="77">
        <f>IFERROR(VLOOKUP(DESPESAS[[#This Row],[Plano de Contas]],BASE!$B$3:$H$119,6,FALSE),"")</f>
        <v>0</v>
      </c>
      <c r="M1928" s="77" t="str">
        <f>VLOOKUP(DESPESAS[[#This Row],[Plano de Contas]],BASE!$B$3:$H$119,7,FALSE)</f>
        <v>LETÍCIA</v>
      </c>
    </row>
    <row r="1929" spans="1:13" x14ac:dyDescent="0.25">
      <c r="A1929" s="74">
        <v>198743</v>
      </c>
      <c r="B1929" s="75" t="s">
        <v>232</v>
      </c>
      <c r="C1929" s="75" t="s">
        <v>1860</v>
      </c>
      <c r="D1929" s="76">
        <v>46078</v>
      </c>
      <c r="E1929" s="75" t="s">
        <v>230</v>
      </c>
      <c r="F1929" s="74">
        <v>12.32</v>
      </c>
      <c r="G1929" s="75" t="s">
        <v>229</v>
      </c>
      <c r="H1929" s="77" t="str">
        <f>VLOOKUP(DESPESAS[[#This Row],[Plano de Contas]],BASE!$B$3:$D$119,3,FALSE)</f>
        <v>Despesas Bancarias</v>
      </c>
      <c r="I1929" s="77" t="str">
        <f>IFERROR(VLOOKUP(DESPESAS[[#This Row],[Fornecedor]],Tabela2[],2,FALSE),"")</f>
        <v/>
      </c>
      <c r="J1929" s="77" t="str">
        <f>IFERROR(VLOOKUP(DESPESAS[[#This Row],[Plano de Contas]],BASE!$B$3:$F$119,4,FALSE),"")</f>
        <v>8 - DESPESAS FINANCEIRAS</v>
      </c>
      <c r="K1929" s="77" t="str">
        <f>IFERROR(VLOOKUP(DESPESAS[[#This Row],[Plano de Contas]],BASE!$B$3:$H$119,5,FALSE),"")</f>
        <v>FINANCEIRO</v>
      </c>
      <c r="L1929" s="77">
        <f>IFERROR(VLOOKUP(DESPESAS[[#This Row],[Plano de Contas]],BASE!$B$3:$H$119,6,FALSE),"")</f>
        <v>0</v>
      </c>
      <c r="M1929" s="77" t="str">
        <f>VLOOKUP(DESPESAS[[#This Row],[Plano de Contas]],BASE!$B$3:$H$119,7,FALSE)</f>
        <v>LETÍCIA</v>
      </c>
    </row>
    <row r="1930" spans="1:13" x14ac:dyDescent="0.25">
      <c r="A1930" s="74">
        <v>198744</v>
      </c>
      <c r="B1930" s="75" t="s">
        <v>221</v>
      </c>
      <c r="C1930" s="75" t="s">
        <v>1859</v>
      </c>
      <c r="D1930" s="76">
        <v>46078</v>
      </c>
      <c r="E1930" s="75" t="s">
        <v>380</v>
      </c>
      <c r="F1930" s="74">
        <v>630</v>
      </c>
      <c r="G1930" s="75" t="s">
        <v>331</v>
      </c>
      <c r="H1930" s="77" t="str">
        <f>VLOOKUP(DESPESAS[[#This Row],[Plano de Contas]],BASE!$B$3:$D$119,3,FALSE)</f>
        <v>Manutenção Predial (Adm)</v>
      </c>
      <c r="I1930" s="77" t="str">
        <f>IFERROR(VLOOKUP(DESPESAS[[#This Row],[Fornecedor]],Tabela2[],2,FALSE),"")</f>
        <v>COMPONENTES T.I</v>
      </c>
      <c r="J1930" s="77" t="str">
        <f>IFERROR(VLOOKUP(DESPESAS[[#This Row],[Plano de Contas]],BASE!$B$3:$F$119,4,FALSE),"")</f>
        <v>4 - GASTOS COM PESSOAL</v>
      </c>
      <c r="K1930" s="77" t="str">
        <f>IFERROR(VLOOKUP(DESPESAS[[#This Row],[Plano de Contas]],BASE!$B$3:$H$119,5,FALSE),"")</f>
        <v>MANUTENÇÃO / TI</v>
      </c>
      <c r="L1930" s="77">
        <f>IFERROR(VLOOKUP(DESPESAS[[#This Row],[Plano de Contas]],BASE!$B$3:$H$119,6,FALSE),"")</f>
        <v>0</v>
      </c>
      <c r="M1930" s="77" t="str">
        <f>VLOOKUP(DESPESAS[[#This Row],[Plano de Contas]],BASE!$B$3:$H$119,7,FALSE)</f>
        <v>FÁBIO</v>
      </c>
    </row>
    <row r="1931" spans="1:13" x14ac:dyDescent="0.25">
      <c r="A1931" s="74">
        <v>198745</v>
      </c>
      <c r="B1931" s="75" t="s">
        <v>279</v>
      </c>
      <c r="C1931" s="75" t="s">
        <v>1856</v>
      </c>
      <c r="D1931" s="76">
        <v>46078</v>
      </c>
      <c r="E1931" s="75" t="s">
        <v>230</v>
      </c>
      <c r="F1931" s="74">
        <v>43.83</v>
      </c>
      <c r="G1931" s="75" t="s">
        <v>251</v>
      </c>
      <c r="H1931" s="77" t="str">
        <f>VLOOKUP(DESPESAS[[#This Row],[Plano de Contas]],BASE!$B$3:$D$119,3,FALSE)</f>
        <v>Juros Pagos - Antecipação de Crédito</v>
      </c>
      <c r="I1931" s="77" t="str">
        <f>IFERROR(VLOOKUP(DESPESAS[[#This Row],[Fornecedor]],Tabela2[],2,FALSE),"")</f>
        <v/>
      </c>
      <c r="J1931" s="77" t="str">
        <f>IFERROR(VLOOKUP(DESPESAS[[#This Row],[Plano de Contas]],BASE!$B$3:$F$119,4,FALSE),"")</f>
        <v>8 - DESPESAS FINANCEIRAS</v>
      </c>
      <c r="K1931" s="77" t="str">
        <f>IFERROR(VLOOKUP(DESPESAS[[#This Row],[Plano de Contas]],BASE!$B$3:$H$119,5,FALSE),"")</f>
        <v>FINANCEIRO</v>
      </c>
      <c r="L1931" s="77">
        <f>IFERROR(VLOOKUP(DESPESAS[[#This Row],[Plano de Contas]],BASE!$B$3:$H$119,6,FALSE),"")</f>
        <v>0</v>
      </c>
      <c r="M1931" s="77" t="str">
        <f>VLOOKUP(DESPESAS[[#This Row],[Plano de Contas]],BASE!$B$3:$H$119,7,FALSE)</f>
        <v>LETÍCIA</v>
      </c>
    </row>
    <row r="1932" spans="1:13" x14ac:dyDescent="0.25">
      <c r="A1932" s="74">
        <v>198746</v>
      </c>
      <c r="B1932" s="75" t="s">
        <v>279</v>
      </c>
      <c r="C1932" s="75" t="s">
        <v>1858</v>
      </c>
      <c r="D1932" s="76">
        <v>46078</v>
      </c>
      <c r="E1932" s="75" t="s">
        <v>230</v>
      </c>
      <c r="F1932" s="74">
        <v>7.57</v>
      </c>
      <c r="G1932" s="75" t="s">
        <v>229</v>
      </c>
      <c r="H1932" s="77" t="str">
        <f>VLOOKUP(DESPESAS[[#This Row],[Plano de Contas]],BASE!$B$3:$D$119,3,FALSE)</f>
        <v>Despesas Bancarias</v>
      </c>
      <c r="I1932" s="77" t="str">
        <f>IFERROR(VLOOKUP(DESPESAS[[#This Row],[Fornecedor]],Tabela2[],2,FALSE),"")</f>
        <v/>
      </c>
      <c r="J1932" s="77" t="str">
        <f>IFERROR(VLOOKUP(DESPESAS[[#This Row],[Plano de Contas]],BASE!$B$3:$F$119,4,FALSE),"")</f>
        <v>8 - DESPESAS FINANCEIRAS</v>
      </c>
      <c r="K1932" s="77" t="str">
        <f>IFERROR(VLOOKUP(DESPESAS[[#This Row],[Plano de Contas]],BASE!$B$3:$H$119,5,FALSE),"")</f>
        <v>FINANCEIRO</v>
      </c>
      <c r="L1932" s="77">
        <f>IFERROR(VLOOKUP(DESPESAS[[#This Row],[Plano de Contas]],BASE!$B$3:$H$119,6,FALSE),"")</f>
        <v>0</v>
      </c>
      <c r="M1932" s="77" t="str">
        <f>VLOOKUP(DESPESAS[[#This Row],[Plano de Contas]],BASE!$B$3:$H$119,7,FALSE)</f>
        <v>LETÍCIA</v>
      </c>
    </row>
    <row r="1933" spans="1:13" x14ac:dyDescent="0.25">
      <c r="A1933" s="74">
        <v>198747</v>
      </c>
      <c r="B1933" s="75" t="s">
        <v>279</v>
      </c>
      <c r="C1933" s="75" t="s">
        <v>1857</v>
      </c>
      <c r="D1933" s="76">
        <v>46078</v>
      </c>
      <c r="E1933" s="75" t="s">
        <v>230</v>
      </c>
      <c r="F1933" s="74">
        <v>17.53</v>
      </c>
      <c r="G1933" s="75" t="s">
        <v>229</v>
      </c>
      <c r="H1933" s="77" t="str">
        <f>VLOOKUP(DESPESAS[[#This Row],[Plano de Contas]],BASE!$B$3:$D$119,3,FALSE)</f>
        <v>Despesas Bancarias</v>
      </c>
      <c r="I1933" s="77" t="str">
        <f>IFERROR(VLOOKUP(DESPESAS[[#This Row],[Fornecedor]],Tabela2[],2,FALSE),"")</f>
        <v/>
      </c>
      <c r="J1933" s="77" t="str">
        <f>IFERROR(VLOOKUP(DESPESAS[[#This Row],[Plano de Contas]],BASE!$B$3:$F$119,4,FALSE),"")</f>
        <v>8 - DESPESAS FINANCEIRAS</v>
      </c>
      <c r="K1933" s="77" t="str">
        <f>IFERROR(VLOOKUP(DESPESAS[[#This Row],[Plano de Contas]],BASE!$B$3:$H$119,5,FALSE),"")</f>
        <v>FINANCEIRO</v>
      </c>
      <c r="L1933" s="77">
        <f>IFERROR(VLOOKUP(DESPESAS[[#This Row],[Plano de Contas]],BASE!$B$3:$H$119,6,FALSE),"")</f>
        <v>0</v>
      </c>
      <c r="M1933" s="77" t="str">
        <f>VLOOKUP(DESPESAS[[#This Row],[Plano de Contas]],BASE!$B$3:$H$119,7,FALSE)</f>
        <v>LETÍCIA</v>
      </c>
    </row>
    <row r="1934" spans="1:13" x14ac:dyDescent="0.25">
      <c r="A1934" s="74">
        <v>198748</v>
      </c>
      <c r="B1934" s="75" t="s">
        <v>232</v>
      </c>
      <c r="C1934" s="75" t="s">
        <v>1856</v>
      </c>
      <c r="D1934" s="76">
        <v>46078</v>
      </c>
      <c r="E1934" s="75" t="s">
        <v>230</v>
      </c>
      <c r="F1934" s="74">
        <v>910.97</v>
      </c>
      <c r="G1934" s="75" t="s">
        <v>251</v>
      </c>
      <c r="H1934" s="77" t="str">
        <f>VLOOKUP(DESPESAS[[#This Row],[Plano de Contas]],BASE!$B$3:$D$119,3,FALSE)</f>
        <v>Juros Pagos - Antecipação de Crédito</v>
      </c>
      <c r="I1934" s="77" t="str">
        <f>IFERROR(VLOOKUP(DESPESAS[[#This Row],[Fornecedor]],Tabela2[],2,FALSE),"")</f>
        <v/>
      </c>
      <c r="J1934" s="77" t="str">
        <f>IFERROR(VLOOKUP(DESPESAS[[#This Row],[Plano de Contas]],BASE!$B$3:$F$119,4,FALSE),"")</f>
        <v>8 - DESPESAS FINANCEIRAS</v>
      </c>
      <c r="K1934" s="77" t="str">
        <f>IFERROR(VLOOKUP(DESPESAS[[#This Row],[Plano de Contas]],BASE!$B$3:$H$119,5,FALSE),"")</f>
        <v>FINANCEIRO</v>
      </c>
      <c r="L1934" s="77">
        <f>IFERROR(VLOOKUP(DESPESAS[[#This Row],[Plano de Contas]],BASE!$B$3:$H$119,6,FALSE),"")</f>
        <v>0</v>
      </c>
      <c r="M1934" s="77" t="str">
        <f>VLOOKUP(DESPESAS[[#This Row],[Plano de Contas]],BASE!$B$3:$H$119,7,FALSE)</f>
        <v>LETÍCIA</v>
      </c>
    </row>
    <row r="1935" spans="1:13" x14ac:dyDescent="0.25">
      <c r="A1935" s="74">
        <v>198749</v>
      </c>
      <c r="B1935" s="75" t="s">
        <v>232</v>
      </c>
      <c r="C1935" s="75" t="s">
        <v>1855</v>
      </c>
      <c r="D1935" s="76">
        <v>46078</v>
      </c>
      <c r="E1935" s="75" t="s">
        <v>230</v>
      </c>
      <c r="F1935" s="74">
        <v>142.63999999999999</v>
      </c>
      <c r="G1935" s="75" t="s">
        <v>229</v>
      </c>
      <c r="H1935" s="77" t="str">
        <f>VLOOKUP(DESPESAS[[#This Row],[Plano de Contas]],BASE!$B$3:$D$119,3,FALSE)</f>
        <v>Despesas Bancarias</v>
      </c>
      <c r="I1935" s="77" t="str">
        <f>IFERROR(VLOOKUP(DESPESAS[[#This Row],[Fornecedor]],Tabela2[],2,FALSE),"")</f>
        <v/>
      </c>
      <c r="J1935" s="77" t="str">
        <f>IFERROR(VLOOKUP(DESPESAS[[#This Row],[Plano de Contas]],BASE!$B$3:$F$119,4,FALSE),"")</f>
        <v>8 - DESPESAS FINANCEIRAS</v>
      </c>
      <c r="K1935" s="77" t="str">
        <f>IFERROR(VLOOKUP(DESPESAS[[#This Row],[Plano de Contas]],BASE!$B$3:$H$119,5,FALSE),"")</f>
        <v>FINANCEIRO</v>
      </c>
      <c r="L1935" s="77">
        <f>IFERROR(VLOOKUP(DESPESAS[[#This Row],[Plano de Contas]],BASE!$B$3:$H$119,6,FALSE),"")</f>
        <v>0</v>
      </c>
      <c r="M1935" s="77" t="str">
        <f>VLOOKUP(DESPESAS[[#This Row],[Plano de Contas]],BASE!$B$3:$H$119,7,FALSE)</f>
        <v>LETÍCIA</v>
      </c>
    </row>
    <row r="1936" spans="1:13" x14ac:dyDescent="0.25">
      <c r="A1936" s="74">
        <v>198750</v>
      </c>
      <c r="B1936" s="75" t="s">
        <v>232</v>
      </c>
      <c r="C1936" s="75" t="s">
        <v>1854</v>
      </c>
      <c r="D1936" s="76">
        <v>46078</v>
      </c>
      <c r="E1936" s="75" t="s">
        <v>230</v>
      </c>
      <c r="F1936" s="74">
        <v>75.05</v>
      </c>
      <c r="G1936" s="75" t="s">
        <v>229</v>
      </c>
      <c r="H1936" s="77" t="str">
        <f>VLOOKUP(DESPESAS[[#This Row],[Plano de Contas]],BASE!$B$3:$D$119,3,FALSE)</f>
        <v>Despesas Bancarias</v>
      </c>
      <c r="I1936" s="77" t="str">
        <f>IFERROR(VLOOKUP(DESPESAS[[#This Row],[Fornecedor]],Tabela2[],2,FALSE),"")</f>
        <v/>
      </c>
      <c r="J1936" s="77" t="str">
        <f>IFERROR(VLOOKUP(DESPESAS[[#This Row],[Plano de Contas]],BASE!$B$3:$F$119,4,FALSE),"")</f>
        <v>8 - DESPESAS FINANCEIRAS</v>
      </c>
      <c r="K1936" s="77" t="str">
        <f>IFERROR(VLOOKUP(DESPESAS[[#This Row],[Plano de Contas]],BASE!$B$3:$H$119,5,FALSE),"")</f>
        <v>FINANCEIRO</v>
      </c>
      <c r="L1936" s="77">
        <f>IFERROR(VLOOKUP(DESPESAS[[#This Row],[Plano de Contas]],BASE!$B$3:$H$119,6,FALSE),"")</f>
        <v>0</v>
      </c>
      <c r="M1936" s="77" t="str">
        <f>VLOOKUP(DESPESAS[[#This Row],[Plano de Contas]],BASE!$B$3:$H$119,7,FALSE)</f>
        <v>LETÍCIA</v>
      </c>
    </row>
    <row r="1937" spans="1:13" x14ac:dyDescent="0.25">
      <c r="A1937" s="74">
        <v>198751</v>
      </c>
      <c r="B1937" s="75" t="s">
        <v>279</v>
      </c>
      <c r="C1937" s="75" t="s">
        <v>1853</v>
      </c>
      <c r="D1937" s="76">
        <v>46078</v>
      </c>
      <c r="E1937" s="75" t="s">
        <v>230</v>
      </c>
      <c r="F1937" s="74">
        <v>106.03</v>
      </c>
      <c r="G1937" s="75" t="s">
        <v>251</v>
      </c>
      <c r="H1937" s="77" t="str">
        <f>VLOOKUP(DESPESAS[[#This Row],[Plano de Contas]],BASE!$B$3:$D$119,3,FALSE)</f>
        <v>Juros Pagos - Antecipação de Crédito</v>
      </c>
      <c r="I1937" s="77" t="str">
        <f>IFERROR(VLOOKUP(DESPESAS[[#This Row],[Fornecedor]],Tabela2[],2,FALSE),"")</f>
        <v/>
      </c>
      <c r="J1937" s="77" t="str">
        <f>IFERROR(VLOOKUP(DESPESAS[[#This Row],[Plano de Contas]],BASE!$B$3:$F$119,4,FALSE),"")</f>
        <v>8 - DESPESAS FINANCEIRAS</v>
      </c>
      <c r="K1937" s="77" t="str">
        <f>IFERROR(VLOOKUP(DESPESAS[[#This Row],[Plano de Contas]],BASE!$B$3:$H$119,5,FALSE),"")</f>
        <v>FINANCEIRO</v>
      </c>
      <c r="L1937" s="77">
        <f>IFERROR(VLOOKUP(DESPESAS[[#This Row],[Plano de Contas]],BASE!$B$3:$H$119,6,FALSE),"")</f>
        <v>0</v>
      </c>
      <c r="M1937" s="77" t="str">
        <f>VLOOKUP(DESPESAS[[#This Row],[Plano de Contas]],BASE!$B$3:$H$119,7,FALSE)</f>
        <v>LETÍCIA</v>
      </c>
    </row>
    <row r="1938" spans="1:13" x14ac:dyDescent="0.25">
      <c r="A1938" s="74">
        <v>198752</v>
      </c>
      <c r="B1938" s="75" t="s">
        <v>232</v>
      </c>
      <c r="C1938" s="75" t="s">
        <v>1852</v>
      </c>
      <c r="D1938" s="76">
        <v>46078</v>
      </c>
      <c r="E1938" s="75" t="s">
        <v>230</v>
      </c>
      <c r="F1938" s="74">
        <v>12.65</v>
      </c>
      <c r="G1938" s="75" t="s">
        <v>251</v>
      </c>
      <c r="H1938" s="77" t="str">
        <f>VLOOKUP(DESPESAS[[#This Row],[Plano de Contas]],BASE!$B$3:$D$119,3,FALSE)</f>
        <v>Juros Pagos - Antecipação de Crédito</v>
      </c>
      <c r="I1938" s="77" t="str">
        <f>IFERROR(VLOOKUP(DESPESAS[[#This Row],[Fornecedor]],Tabela2[],2,FALSE),"")</f>
        <v/>
      </c>
      <c r="J1938" s="77" t="str">
        <f>IFERROR(VLOOKUP(DESPESAS[[#This Row],[Plano de Contas]],BASE!$B$3:$F$119,4,FALSE),"")</f>
        <v>8 - DESPESAS FINANCEIRAS</v>
      </c>
      <c r="K1938" s="77" t="str">
        <f>IFERROR(VLOOKUP(DESPESAS[[#This Row],[Plano de Contas]],BASE!$B$3:$H$119,5,FALSE),"")</f>
        <v>FINANCEIRO</v>
      </c>
      <c r="L1938" s="77">
        <f>IFERROR(VLOOKUP(DESPESAS[[#This Row],[Plano de Contas]],BASE!$B$3:$H$119,6,FALSE),"")</f>
        <v>0</v>
      </c>
      <c r="M1938" s="77" t="str">
        <f>VLOOKUP(DESPESAS[[#This Row],[Plano de Contas]],BASE!$B$3:$H$119,7,FALSE)</f>
        <v>LETÍCIA</v>
      </c>
    </row>
    <row r="1939" spans="1:13" x14ac:dyDescent="0.25">
      <c r="A1939" s="74">
        <v>198753</v>
      </c>
      <c r="B1939" s="75" t="s">
        <v>279</v>
      </c>
      <c r="C1939" s="75" t="s">
        <v>1851</v>
      </c>
      <c r="D1939" s="76">
        <v>46078</v>
      </c>
      <c r="E1939" s="75" t="s">
        <v>230</v>
      </c>
      <c r="F1939" s="74">
        <v>17.64</v>
      </c>
      <c r="G1939" s="75" t="s">
        <v>229</v>
      </c>
      <c r="H1939" s="77" t="str">
        <f>VLOOKUP(DESPESAS[[#This Row],[Plano de Contas]],BASE!$B$3:$D$119,3,FALSE)</f>
        <v>Despesas Bancarias</v>
      </c>
      <c r="I1939" s="77" t="str">
        <f>IFERROR(VLOOKUP(DESPESAS[[#This Row],[Fornecedor]],Tabela2[],2,FALSE),"")</f>
        <v/>
      </c>
      <c r="J1939" s="77" t="str">
        <f>IFERROR(VLOOKUP(DESPESAS[[#This Row],[Plano de Contas]],BASE!$B$3:$F$119,4,FALSE),"")</f>
        <v>8 - DESPESAS FINANCEIRAS</v>
      </c>
      <c r="K1939" s="77" t="str">
        <f>IFERROR(VLOOKUP(DESPESAS[[#This Row],[Plano de Contas]],BASE!$B$3:$H$119,5,FALSE),"")</f>
        <v>FINANCEIRO</v>
      </c>
      <c r="L1939" s="77">
        <f>IFERROR(VLOOKUP(DESPESAS[[#This Row],[Plano de Contas]],BASE!$B$3:$H$119,6,FALSE),"")</f>
        <v>0</v>
      </c>
      <c r="M1939" s="77" t="str">
        <f>VLOOKUP(DESPESAS[[#This Row],[Plano de Contas]],BASE!$B$3:$H$119,7,FALSE)</f>
        <v>LETÍCIA</v>
      </c>
    </row>
    <row r="1940" spans="1:13" x14ac:dyDescent="0.25">
      <c r="A1940" s="74">
        <v>198754</v>
      </c>
      <c r="B1940" s="75" t="s">
        <v>279</v>
      </c>
      <c r="C1940" s="75" t="s">
        <v>1850</v>
      </c>
      <c r="D1940" s="76">
        <v>46078</v>
      </c>
      <c r="E1940" s="75" t="s">
        <v>230</v>
      </c>
      <c r="F1940" s="74">
        <v>23.72</v>
      </c>
      <c r="G1940" s="75" t="s">
        <v>229</v>
      </c>
      <c r="H1940" s="77" t="str">
        <f>VLOOKUP(DESPESAS[[#This Row],[Plano de Contas]],BASE!$B$3:$D$119,3,FALSE)</f>
        <v>Despesas Bancarias</v>
      </c>
      <c r="I1940" s="77" t="str">
        <f>IFERROR(VLOOKUP(DESPESAS[[#This Row],[Fornecedor]],Tabela2[],2,FALSE),"")</f>
        <v/>
      </c>
      <c r="J1940" s="77" t="str">
        <f>IFERROR(VLOOKUP(DESPESAS[[#This Row],[Plano de Contas]],BASE!$B$3:$F$119,4,FALSE),"")</f>
        <v>8 - DESPESAS FINANCEIRAS</v>
      </c>
      <c r="K1940" s="77" t="str">
        <f>IFERROR(VLOOKUP(DESPESAS[[#This Row],[Plano de Contas]],BASE!$B$3:$H$119,5,FALSE),"")</f>
        <v>FINANCEIRO</v>
      </c>
      <c r="L1940" s="77">
        <f>IFERROR(VLOOKUP(DESPESAS[[#This Row],[Plano de Contas]],BASE!$B$3:$H$119,6,FALSE),"")</f>
        <v>0</v>
      </c>
      <c r="M1940" s="77" t="str">
        <f>VLOOKUP(DESPESAS[[#This Row],[Plano de Contas]],BASE!$B$3:$H$119,7,FALSE)</f>
        <v>LETÍCIA</v>
      </c>
    </row>
    <row r="1941" spans="1:13" x14ac:dyDescent="0.25">
      <c r="A1941" s="74">
        <v>198755</v>
      </c>
      <c r="B1941" s="75" t="s">
        <v>232</v>
      </c>
      <c r="C1941" s="75" t="s">
        <v>1849</v>
      </c>
      <c r="D1941" s="76">
        <v>46078</v>
      </c>
      <c r="E1941" s="75" t="s">
        <v>230</v>
      </c>
      <c r="F1941" s="74">
        <v>1.21</v>
      </c>
      <c r="G1941" s="75" t="s">
        <v>229</v>
      </c>
      <c r="H1941" s="77" t="str">
        <f>VLOOKUP(DESPESAS[[#This Row],[Plano de Contas]],BASE!$B$3:$D$119,3,FALSE)</f>
        <v>Despesas Bancarias</v>
      </c>
      <c r="I1941" s="77" t="str">
        <f>IFERROR(VLOOKUP(DESPESAS[[#This Row],[Fornecedor]],Tabela2[],2,FALSE),"")</f>
        <v/>
      </c>
      <c r="J1941" s="77" t="str">
        <f>IFERROR(VLOOKUP(DESPESAS[[#This Row],[Plano de Contas]],BASE!$B$3:$F$119,4,FALSE),"")</f>
        <v>8 - DESPESAS FINANCEIRAS</v>
      </c>
      <c r="K1941" s="77" t="str">
        <f>IFERROR(VLOOKUP(DESPESAS[[#This Row],[Plano de Contas]],BASE!$B$3:$H$119,5,FALSE),"")</f>
        <v>FINANCEIRO</v>
      </c>
      <c r="L1941" s="77">
        <f>IFERROR(VLOOKUP(DESPESAS[[#This Row],[Plano de Contas]],BASE!$B$3:$H$119,6,FALSE),"")</f>
        <v>0</v>
      </c>
      <c r="M1941" s="77" t="str">
        <f>VLOOKUP(DESPESAS[[#This Row],[Plano de Contas]],BASE!$B$3:$H$119,7,FALSE)</f>
        <v>LETÍCIA</v>
      </c>
    </row>
    <row r="1942" spans="1:13" x14ac:dyDescent="0.25">
      <c r="A1942" s="74">
        <v>198756</v>
      </c>
      <c r="B1942" s="75" t="s">
        <v>232</v>
      </c>
      <c r="C1942" s="75" t="s">
        <v>1848</v>
      </c>
      <c r="D1942" s="76">
        <v>46078</v>
      </c>
      <c r="E1942" s="75" t="s">
        <v>230</v>
      </c>
      <c r="F1942" s="74">
        <v>23.48</v>
      </c>
      <c r="G1942" s="75" t="s">
        <v>251</v>
      </c>
      <c r="H1942" s="77" t="str">
        <f>VLOOKUP(DESPESAS[[#This Row],[Plano de Contas]],BASE!$B$3:$D$119,3,FALSE)</f>
        <v>Juros Pagos - Antecipação de Crédito</v>
      </c>
      <c r="I1942" s="77" t="str">
        <f>IFERROR(VLOOKUP(DESPESAS[[#This Row],[Fornecedor]],Tabela2[],2,FALSE),"")</f>
        <v/>
      </c>
      <c r="J1942" s="77" t="str">
        <f>IFERROR(VLOOKUP(DESPESAS[[#This Row],[Plano de Contas]],BASE!$B$3:$F$119,4,FALSE),"")</f>
        <v>8 - DESPESAS FINANCEIRAS</v>
      </c>
      <c r="K1942" s="77" t="str">
        <f>IFERROR(VLOOKUP(DESPESAS[[#This Row],[Plano de Contas]],BASE!$B$3:$H$119,5,FALSE),"")</f>
        <v>FINANCEIRO</v>
      </c>
      <c r="L1942" s="77">
        <f>IFERROR(VLOOKUP(DESPESAS[[#This Row],[Plano de Contas]],BASE!$B$3:$H$119,6,FALSE),"")</f>
        <v>0</v>
      </c>
      <c r="M1942" s="77" t="str">
        <f>VLOOKUP(DESPESAS[[#This Row],[Plano de Contas]],BASE!$B$3:$H$119,7,FALSE)</f>
        <v>LETÍCIA</v>
      </c>
    </row>
    <row r="1943" spans="1:13" x14ac:dyDescent="0.25">
      <c r="A1943" s="74">
        <v>198757</v>
      </c>
      <c r="B1943" s="75" t="s">
        <v>232</v>
      </c>
      <c r="C1943" s="75" t="s">
        <v>1847</v>
      </c>
      <c r="D1943" s="76">
        <v>46078</v>
      </c>
      <c r="E1943" s="75" t="s">
        <v>230</v>
      </c>
      <c r="F1943" s="74">
        <v>2.23</v>
      </c>
      <c r="G1943" s="75" t="s">
        <v>229</v>
      </c>
      <c r="H1943" s="77" t="str">
        <f>VLOOKUP(DESPESAS[[#This Row],[Plano de Contas]],BASE!$B$3:$D$119,3,FALSE)</f>
        <v>Despesas Bancarias</v>
      </c>
      <c r="I1943" s="77" t="str">
        <f>IFERROR(VLOOKUP(DESPESAS[[#This Row],[Fornecedor]],Tabela2[],2,FALSE),"")</f>
        <v/>
      </c>
      <c r="J1943" s="77" t="str">
        <f>IFERROR(VLOOKUP(DESPESAS[[#This Row],[Plano de Contas]],BASE!$B$3:$F$119,4,FALSE),"")</f>
        <v>8 - DESPESAS FINANCEIRAS</v>
      </c>
      <c r="K1943" s="77" t="str">
        <f>IFERROR(VLOOKUP(DESPESAS[[#This Row],[Plano de Contas]],BASE!$B$3:$H$119,5,FALSE),"")</f>
        <v>FINANCEIRO</v>
      </c>
      <c r="L1943" s="77">
        <f>IFERROR(VLOOKUP(DESPESAS[[#This Row],[Plano de Contas]],BASE!$B$3:$H$119,6,FALSE),"")</f>
        <v>0</v>
      </c>
      <c r="M1943" s="77" t="str">
        <f>VLOOKUP(DESPESAS[[#This Row],[Plano de Contas]],BASE!$B$3:$H$119,7,FALSE)</f>
        <v>LETÍCIA</v>
      </c>
    </row>
    <row r="1944" spans="1:13" x14ac:dyDescent="0.25">
      <c r="A1944" s="74">
        <v>198758</v>
      </c>
      <c r="B1944" s="75" t="s">
        <v>232</v>
      </c>
      <c r="C1944" s="75" t="s">
        <v>1846</v>
      </c>
      <c r="D1944" s="76">
        <v>46079</v>
      </c>
      <c r="E1944" s="75" t="s">
        <v>303</v>
      </c>
      <c r="F1944" s="74">
        <v>974</v>
      </c>
      <c r="G1944" s="75" t="s">
        <v>247</v>
      </c>
      <c r="H1944" s="77" t="str">
        <f>VLOOKUP(DESPESAS[[#This Row],[Plano de Contas]],BASE!$B$3:$D$119,3,FALSE)</f>
        <v>Manutenção com veiculos</v>
      </c>
      <c r="I1944" s="77" t="str">
        <f>IFERROR(VLOOKUP(DESPESAS[[#This Row],[Fornecedor]],Tabela2[],2,FALSE),"")</f>
        <v/>
      </c>
      <c r="J1944" s="77" t="str">
        <f>IFERROR(VLOOKUP(DESPESAS[[#This Row],[Plano de Contas]],BASE!$B$3:$F$119,4,FALSE),"")</f>
        <v>6 - DESPESA COM VENDAS</v>
      </c>
      <c r="K1944" s="77" t="str">
        <f>IFERROR(VLOOKUP(DESPESAS[[#This Row],[Plano de Contas]],BASE!$B$3:$H$119,5,FALSE),"")</f>
        <v>LOGÍSTICA</v>
      </c>
      <c r="L1944" s="77">
        <f>IFERROR(VLOOKUP(DESPESAS[[#This Row],[Plano de Contas]],BASE!$B$3:$H$119,6,FALSE),"")</f>
        <v>0</v>
      </c>
      <c r="M1944" s="77" t="str">
        <f>VLOOKUP(DESPESAS[[#This Row],[Plano de Contas]],BASE!$B$3:$H$119,7,FALSE)</f>
        <v>MYLENA</v>
      </c>
    </row>
    <row r="1945" spans="1:13" x14ac:dyDescent="0.25">
      <c r="A1945" s="74">
        <v>198760</v>
      </c>
      <c r="B1945" s="75" t="s">
        <v>232</v>
      </c>
      <c r="C1945" s="75" t="s">
        <v>1845</v>
      </c>
      <c r="D1945" s="76">
        <v>46078</v>
      </c>
      <c r="E1945" s="75" t="s">
        <v>230</v>
      </c>
      <c r="F1945" s="74">
        <v>9.19</v>
      </c>
      <c r="G1945" s="75" t="s">
        <v>356</v>
      </c>
      <c r="H1945" s="77" t="str">
        <f>VLOOKUP(DESPESAS[[#This Row],[Plano de Contas]],BASE!$B$3:$D$119,3,FALSE)</f>
        <v>Despesas Cartorárias</v>
      </c>
      <c r="I1945" s="77" t="str">
        <f>IFERROR(VLOOKUP(DESPESAS[[#This Row],[Fornecedor]],Tabela2[],2,FALSE),"")</f>
        <v/>
      </c>
      <c r="J1945" s="77" t="str">
        <f>IFERROR(VLOOKUP(DESPESAS[[#This Row],[Plano de Contas]],BASE!$B$3:$F$119,4,FALSE),"")</f>
        <v>5 - DESPESAS ADMINISTRATIVAS</v>
      </c>
      <c r="K1945" s="77" t="str">
        <f>IFERROR(VLOOKUP(DESPESAS[[#This Row],[Plano de Contas]],BASE!$B$3:$H$119,5,FALSE),"")</f>
        <v>FINANCEIRO</v>
      </c>
      <c r="L1945" s="77">
        <f>IFERROR(VLOOKUP(DESPESAS[[#This Row],[Plano de Contas]],BASE!$B$3:$H$119,6,FALSE),"")</f>
        <v>0</v>
      </c>
      <c r="M1945" s="77" t="str">
        <f>VLOOKUP(DESPESAS[[#This Row],[Plano de Contas]],BASE!$B$3:$H$119,7,FALSE)</f>
        <v>LETÍCIA</v>
      </c>
    </row>
    <row r="1946" spans="1:13" x14ac:dyDescent="0.25">
      <c r="A1946" s="74">
        <v>198761</v>
      </c>
      <c r="B1946" s="75" t="s">
        <v>232</v>
      </c>
      <c r="C1946" s="75" t="s">
        <v>1844</v>
      </c>
      <c r="D1946" s="76">
        <v>46078</v>
      </c>
      <c r="E1946" s="75" t="s">
        <v>230</v>
      </c>
      <c r="F1946" s="74">
        <v>2.46</v>
      </c>
      <c r="G1946" s="75" t="s">
        <v>356</v>
      </c>
      <c r="H1946" s="77" t="str">
        <f>VLOOKUP(DESPESAS[[#This Row],[Plano de Contas]],BASE!$B$3:$D$119,3,FALSE)</f>
        <v>Despesas Cartorárias</v>
      </c>
      <c r="I1946" s="77" t="str">
        <f>IFERROR(VLOOKUP(DESPESAS[[#This Row],[Fornecedor]],Tabela2[],2,FALSE),"")</f>
        <v/>
      </c>
      <c r="J1946" s="77" t="str">
        <f>IFERROR(VLOOKUP(DESPESAS[[#This Row],[Plano de Contas]],BASE!$B$3:$F$119,4,FALSE),"")</f>
        <v>5 - DESPESAS ADMINISTRATIVAS</v>
      </c>
      <c r="K1946" s="77" t="str">
        <f>IFERROR(VLOOKUP(DESPESAS[[#This Row],[Plano de Contas]],BASE!$B$3:$H$119,5,FALSE),"")</f>
        <v>FINANCEIRO</v>
      </c>
      <c r="L1946" s="77">
        <f>IFERROR(VLOOKUP(DESPESAS[[#This Row],[Plano de Contas]],BASE!$B$3:$H$119,6,FALSE),"")</f>
        <v>0</v>
      </c>
      <c r="M1946" s="77" t="str">
        <f>VLOOKUP(DESPESAS[[#This Row],[Plano de Contas]],BASE!$B$3:$H$119,7,FALSE)</f>
        <v>LETÍCIA</v>
      </c>
    </row>
    <row r="1947" spans="1:13" x14ac:dyDescent="0.25">
      <c r="A1947" s="74">
        <v>198762</v>
      </c>
      <c r="B1947" s="75" t="s">
        <v>232</v>
      </c>
      <c r="C1947" s="75" t="s">
        <v>1843</v>
      </c>
      <c r="D1947" s="76">
        <v>46078</v>
      </c>
      <c r="E1947" s="75" t="s">
        <v>230</v>
      </c>
      <c r="F1947" s="74">
        <v>26.86</v>
      </c>
      <c r="G1947" s="75" t="s">
        <v>229</v>
      </c>
      <c r="H1947" s="77" t="str">
        <f>VLOOKUP(DESPESAS[[#This Row],[Plano de Contas]],BASE!$B$3:$D$119,3,FALSE)</f>
        <v>Despesas Bancarias</v>
      </c>
      <c r="I1947" s="77" t="str">
        <f>IFERROR(VLOOKUP(DESPESAS[[#This Row],[Fornecedor]],Tabela2[],2,FALSE),"")</f>
        <v/>
      </c>
      <c r="J1947" s="77" t="str">
        <f>IFERROR(VLOOKUP(DESPESAS[[#This Row],[Plano de Contas]],BASE!$B$3:$F$119,4,FALSE),"")</f>
        <v>8 - DESPESAS FINANCEIRAS</v>
      </c>
      <c r="K1947" s="77" t="str">
        <f>IFERROR(VLOOKUP(DESPESAS[[#This Row],[Plano de Contas]],BASE!$B$3:$H$119,5,FALSE),"")</f>
        <v>FINANCEIRO</v>
      </c>
      <c r="L1947" s="77">
        <f>IFERROR(VLOOKUP(DESPESAS[[#This Row],[Plano de Contas]],BASE!$B$3:$H$119,6,FALSE),"")</f>
        <v>0</v>
      </c>
      <c r="M1947" s="77" t="str">
        <f>VLOOKUP(DESPESAS[[#This Row],[Plano de Contas]],BASE!$B$3:$H$119,7,FALSE)</f>
        <v>LETÍCIA</v>
      </c>
    </row>
    <row r="1948" spans="1:13" x14ac:dyDescent="0.25">
      <c r="A1948" s="74">
        <v>198763</v>
      </c>
      <c r="B1948" s="75" t="s">
        <v>232</v>
      </c>
      <c r="C1948" s="75" t="s">
        <v>1842</v>
      </c>
      <c r="D1948" s="76">
        <v>46079</v>
      </c>
      <c r="E1948" s="75" t="s">
        <v>230</v>
      </c>
      <c r="F1948" s="74">
        <v>1.17</v>
      </c>
      <c r="G1948" s="75" t="s">
        <v>229</v>
      </c>
      <c r="H1948" s="77" t="str">
        <f>VLOOKUP(DESPESAS[[#This Row],[Plano de Contas]],BASE!$B$3:$D$119,3,FALSE)</f>
        <v>Despesas Bancarias</v>
      </c>
      <c r="I1948" s="77" t="str">
        <f>IFERROR(VLOOKUP(DESPESAS[[#This Row],[Fornecedor]],Tabela2[],2,FALSE),"")</f>
        <v/>
      </c>
      <c r="J1948" s="77" t="str">
        <f>IFERROR(VLOOKUP(DESPESAS[[#This Row],[Plano de Contas]],BASE!$B$3:$F$119,4,FALSE),"")</f>
        <v>8 - DESPESAS FINANCEIRAS</v>
      </c>
      <c r="K1948" s="77" t="str">
        <f>IFERROR(VLOOKUP(DESPESAS[[#This Row],[Plano de Contas]],BASE!$B$3:$H$119,5,FALSE),"")</f>
        <v>FINANCEIRO</v>
      </c>
      <c r="L1948" s="77">
        <f>IFERROR(VLOOKUP(DESPESAS[[#This Row],[Plano de Contas]],BASE!$B$3:$H$119,6,FALSE),"")</f>
        <v>0</v>
      </c>
      <c r="M1948" s="77" t="str">
        <f>VLOOKUP(DESPESAS[[#This Row],[Plano de Contas]],BASE!$B$3:$H$119,7,FALSE)</f>
        <v>LETÍCIA</v>
      </c>
    </row>
    <row r="1949" spans="1:13" x14ac:dyDescent="0.25">
      <c r="A1949" s="74">
        <v>198764</v>
      </c>
      <c r="B1949" s="75" t="s">
        <v>232</v>
      </c>
      <c r="C1949" s="75" t="s">
        <v>1841</v>
      </c>
      <c r="D1949" s="76">
        <v>46078</v>
      </c>
      <c r="E1949" s="75" t="s">
        <v>230</v>
      </c>
      <c r="F1949" s="74">
        <v>60</v>
      </c>
      <c r="G1949" s="75" t="s">
        <v>229</v>
      </c>
      <c r="H1949" s="77" t="str">
        <f>VLOOKUP(DESPESAS[[#This Row],[Plano de Contas]],BASE!$B$3:$D$119,3,FALSE)</f>
        <v>Despesas Bancarias</v>
      </c>
      <c r="I1949" s="77" t="str">
        <f>IFERROR(VLOOKUP(DESPESAS[[#This Row],[Fornecedor]],Tabela2[],2,FALSE),"")</f>
        <v/>
      </c>
      <c r="J1949" s="77" t="str">
        <f>IFERROR(VLOOKUP(DESPESAS[[#This Row],[Plano de Contas]],BASE!$B$3:$F$119,4,FALSE),"")</f>
        <v>8 - DESPESAS FINANCEIRAS</v>
      </c>
      <c r="K1949" s="77" t="str">
        <f>IFERROR(VLOOKUP(DESPESAS[[#This Row],[Plano de Contas]],BASE!$B$3:$H$119,5,FALSE),"")</f>
        <v>FINANCEIRO</v>
      </c>
      <c r="L1949" s="77">
        <f>IFERROR(VLOOKUP(DESPESAS[[#This Row],[Plano de Contas]],BASE!$B$3:$H$119,6,FALSE),"")</f>
        <v>0</v>
      </c>
      <c r="M1949" s="77" t="str">
        <f>VLOOKUP(DESPESAS[[#This Row],[Plano de Contas]],BASE!$B$3:$H$119,7,FALSE)</f>
        <v>LETÍCIA</v>
      </c>
    </row>
    <row r="1950" spans="1:13" x14ac:dyDescent="0.25">
      <c r="A1950" s="74">
        <v>198765</v>
      </c>
      <c r="B1950" s="75" t="s">
        <v>232</v>
      </c>
      <c r="C1950" s="75" t="s">
        <v>1840</v>
      </c>
      <c r="D1950" s="76">
        <v>46079</v>
      </c>
      <c r="E1950" s="75" t="s">
        <v>230</v>
      </c>
      <c r="F1950" s="74">
        <v>1.9</v>
      </c>
      <c r="G1950" s="75" t="s">
        <v>229</v>
      </c>
      <c r="H1950" s="77" t="str">
        <f>VLOOKUP(DESPESAS[[#This Row],[Plano de Contas]],BASE!$B$3:$D$119,3,FALSE)</f>
        <v>Despesas Bancarias</v>
      </c>
      <c r="I1950" s="77" t="str">
        <f>IFERROR(VLOOKUP(DESPESAS[[#This Row],[Fornecedor]],Tabela2[],2,FALSE),"")</f>
        <v/>
      </c>
      <c r="J1950" s="77" t="str">
        <f>IFERROR(VLOOKUP(DESPESAS[[#This Row],[Plano de Contas]],BASE!$B$3:$F$119,4,FALSE),"")</f>
        <v>8 - DESPESAS FINANCEIRAS</v>
      </c>
      <c r="K1950" s="77" t="str">
        <f>IFERROR(VLOOKUP(DESPESAS[[#This Row],[Plano de Contas]],BASE!$B$3:$H$119,5,FALSE),"")</f>
        <v>FINANCEIRO</v>
      </c>
      <c r="L1950" s="77">
        <f>IFERROR(VLOOKUP(DESPESAS[[#This Row],[Plano de Contas]],BASE!$B$3:$H$119,6,FALSE),"")</f>
        <v>0</v>
      </c>
      <c r="M1950" s="77" t="str">
        <f>VLOOKUP(DESPESAS[[#This Row],[Plano de Contas]],BASE!$B$3:$H$119,7,FALSE)</f>
        <v>LETÍCIA</v>
      </c>
    </row>
    <row r="1951" spans="1:13" x14ac:dyDescent="0.25">
      <c r="A1951" s="74">
        <v>198766</v>
      </c>
      <c r="B1951" s="75" t="s">
        <v>279</v>
      </c>
      <c r="C1951" s="75" t="s">
        <v>1839</v>
      </c>
      <c r="D1951" s="76">
        <v>46078</v>
      </c>
      <c r="E1951" s="75" t="s">
        <v>230</v>
      </c>
      <c r="F1951" s="74">
        <v>18.38</v>
      </c>
      <c r="G1951" s="75" t="s">
        <v>356</v>
      </c>
      <c r="H1951" s="77" t="str">
        <f>VLOOKUP(DESPESAS[[#This Row],[Plano de Contas]],BASE!$B$3:$D$119,3,FALSE)</f>
        <v>Despesas Cartorárias</v>
      </c>
      <c r="I1951" s="77" t="str">
        <f>IFERROR(VLOOKUP(DESPESAS[[#This Row],[Fornecedor]],Tabela2[],2,FALSE),"")</f>
        <v/>
      </c>
      <c r="J1951" s="77" t="str">
        <f>IFERROR(VLOOKUP(DESPESAS[[#This Row],[Plano de Contas]],BASE!$B$3:$F$119,4,FALSE),"")</f>
        <v>5 - DESPESAS ADMINISTRATIVAS</v>
      </c>
      <c r="K1951" s="77" t="str">
        <f>IFERROR(VLOOKUP(DESPESAS[[#This Row],[Plano de Contas]],BASE!$B$3:$H$119,5,FALSE),"")</f>
        <v>FINANCEIRO</v>
      </c>
      <c r="L1951" s="77">
        <f>IFERROR(VLOOKUP(DESPESAS[[#This Row],[Plano de Contas]],BASE!$B$3:$H$119,6,FALSE),"")</f>
        <v>0</v>
      </c>
      <c r="M1951" s="77" t="str">
        <f>VLOOKUP(DESPESAS[[#This Row],[Plano de Contas]],BASE!$B$3:$H$119,7,FALSE)</f>
        <v>LETÍCIA</v>
      </c>
    </row>
    <row r="1952" spans="1:13" x14ac:dyDescent="0.25">
      <c r="A1952" s="74">
        <v>198767</v>
      </c>
      <c r="B1952" s="75" t="s">
        <v>279</v>
      </c>
      <c r="C1952" s="75" t="s">
        <v>1838</v>
      </c>
      <c r="D1952" s="76">
        <v>46078</v>
      </c>
      <c r="E1952" s="75" t="s">
        <v>230</v>
      </c>
      <c r="F1952" s="74">
        <v>4.92</v>
      </c>
      <c r="G1952" s="75" t="s">
        <v>356</v>
      </c>
      <c r="H1952" s="77" t="str">
        <f>VLOOKUP(DESPESAS[[#This Row],[Plano de Contas]],BASE!$B$3:$D$119,3,FALSE)</f>
        <v>Despesas Cartorárias</v>
      </c>
      <c r="I1952" s="77" t="str">
        <f>IFERROR(VLOOKUP(DESPESAS[[#This Row],[Fornecedor]],Tabela2[],2,FALSE),"")</f>
        <v/>
      </c>
      <c r="J1952" s="77" t="str">
        <f>IFERROR(VLOOKUP(DESPESAS[[#This Row],[Plano de Contas]],BASE!$B$3:$F$119,4,FALSE),"")</f>
        <v>5 - DESPESAS ADMINISTRATIVAS</v>
      </c>
      <c r="K1952" s="77" t="str">
        <f>IFERROR(VLOOKUP(DESPESAS[[#This Row],[Plano de Contas]],BASE!$B$3:$H$119,5,FALSE),"")</f>
        <v>FINANCEIRO</v>
      </c>
      <c r="L1952" s="77">
        <f>IFERROR(VLOOKUP(DESPESAS[[#This Row],[Plano de Contas]],BASE!$B$3:$H$119,6,FALSE),"")</f>
        <v>0</v>
      </c>
      <c r="M1952" s="77" t="str">
        <f>VLOOKUP(DESPESAS[[#This Row],[Plano de Contas]],BASE!$B$3:$H$119,7,FALSE)</f>
        <v>LETÍCIA</v>
      </c>
    </row>
    <row r="1953" spans="1:13" x14ac:dyDescent="0.25">
      <c r="A1953" s="74">
        <v>198768</v>
      </c>
      <c r="B1953" s="75" t="s">
        <v>281</v>
      </c>
      <c r="C1953" s="75" t="s">
        <v>1837</v>
      </c>
      <c r="D1953" s="76">
        <v>46078</v>
      </c>
      <c r="E1953" s="75" t="s">
        <v>230</v>
      </c>
      <c r="F1953" s="74">
        <v>0.79</v>
      </c>
      <c r="G1953" s="75" t="s">
        <v>229</v>
      </c>
      <c r="H1953" s="77" t="str">
        <f>VLOOKUP(DESPESAS[[#This Row],[Plano de Contas]],BASE!$B$3:$D$119,3,FALSE)</f>
        <v>Despesas Bancarias</v>
      </c>
      <c r="I1953" s="77" t="str">
        <f>IFERROR(VLOOKUP(DESPESAS[[#This Row],[Fornecedor]],Tabela2[],2,FALSE),"")</f>
        <v/>
      </c>
      <c r="J1953" s="77" t="str">
        <f>IFERROR(VLOOKUP(DESPESAS[[#This Row],[Plano de Contas]],BASE!$B$3:$F$119,4,FALSE),"")</f>
        <v>8 - DESPESAS FINANCEIRAS</v>
      </c>
      <c r="K1953" s="77" t="str">
        <f>IFERROR(VLOOKUP(DESPESAS[[#This Row],[Plano de Contas]],BASE!$B$3:$H$119,5,FALSE),"")</f>
        <v>FINANCEIRO</v>
      </c>
      <c r="L1953" s="77">
        <f>IFERROR(VLOOKUP(DESPESAS[[#This Row],[Plano de Contas]],BASE!$B$3:$H$119,6,FALSE),"")</f>
        <v>0</v>
      </c>
      <c r="M1953" s="77" t="str">
        <f>VLOOKUP(DESPESAS[[#This Row],[Plano de Contas]],BASE!$B$3:$H$119,7,FALSE)</f>
        <v>LETÍCIA</v>
      </c>
    </row>
    <row r="1954" spans="1:13" x14ac:dyDescent="0.25">
      <c r="A1954" s="74">
        <v>198769</v>
      </c>
      <c r="B1954" s="75" t="s">
        <v>232</v>
      </c>
      <c r="C1954" s="75" t="s">
        <v>1836</v>
      </c>
      <c r="D1954" s="76">
        <v>46079</v>
      </c>
      <c r="E1954" s="75" t="s">
        <v>1052</v>
      </c>
      <c r="F1954" s="74">
        <v>50000</v>
      </c>
      <c r="G1954" s="75" t="s">
        <v>1051</v>
      </c>
      <c r="H1954" s="77" t="str">
        <f>VLOOKUP(DESPESAS[[#This Row],[Plano de Contas]],BASE!$B$3:$D$119,3,FALSE)</f>
        <v>Remessa de Industrialização</v>
      </c>
      <c r="I1954" s="77" t="str">
        <f>IFERROR(VLOOKUP(DESPESAS[[#This Row],[Fornecedor]],Tabela2[],2,FALSE),"")</f>
        <v/>
      </c>
      <c r="J1954" s="77">
        <f>IFERROR(VLOOKUP(DESPESAS[[#This Row],[Plano de Contas]],BASE!$B$3:$F$119,4,FALSE),"")</f>
        <v>0</v>
      </c>
      <c r="K1954" s="77">
        <f>IFERROR(VLOOKUP(DESPESAS[[#This Row],[Plano de Contas]],BASE!$B$3:$H$119,5,FALSE),"")</f>
        <v>0</v>
      </c>
      <c r="L1954" s="77">
        <f>IFERROR(VLOOKUP(DESPESAS[[#This Row],[Plano de Contas]],BASE!$B$3:$H$119,6,FALSE),"")</f>
        <v>0</v>
      </c>
      <c r="M1954" s="77" t="str">
        <f>VLOOKUP(DESPESAS[[#This Row],[Plano de Contas]],BASE!$B$3:$H$119,7,FALSE)</f>
        <v>NINGUÉM</v>
      </c>
    </row>
    <row r="1955" spans="1:13" x14ac:dyDescent="0.25">
      <c r="A1955" s="74">
        <v>198770</v>
      </c>
      <c r="B1955" s="75" t="s">
        <v>232</v>
      </c>
      <c r="C1955" s="75" t="s">
        <v>1835</v>
      </c>
      <c r="D1955" s="76">
        <v>46079</v>
      </c>
      <c r="E1955" s="75" t="s">
        <v>789</v>
      </c>
      <c r="F1955" s="74">
        <v>7673.65</v>
      </c>
      <c r="G1955" s="75" t="s">
        <v>572</v>
      </c>
      <c r="H1955" s="77" t="str">
        <f>VLOOKUP(DESPESAS[[#This Row],[Plano de Contas]],BASE!$B$3:$D$119,3,FALSE)</f>
        <v>Comissões sobre Vendas Externo</v>
      </c>
      <c r="I1955" s="77" t="str">
        <f>IFERROR(VLOOKUP(DESPESAS[[#This Row],[Fornecedor]],Tabela2[],2,FALSE),"")</f>
        <v/>
      </c>
      <c r="J1955" s="77" t="str">
        <f>IFERROR(VLOOKUP(DESPESAS[[#This Row],[Plano de Contas]],BASE!$B$3:$F$119,4,FALSE),"")</f>
        <v>6 - DESPESA COM VENDAS</v>
      </c>
      <c r="K1955" s="77" t="str">
        <f>IFERROR(VLOOKUP(DESPESAS[[#This Row],[Plano de Contas]],BASE!$B$3:$H$119,5,FALSE),"")</f>
        <v>COMERCIAL</v>
      </c>
      <c r="L1955" s="77">
        <f>IFERROR(VLOOKUP(DESPESAS[[#This Row],[Plano de Contas]],BASE!$B$3:$H$119,6,FALSE),"")</f>
        <v>0</v>
      </c>
      <c r="M1955" s="77" t="str">
        <f>VLOOKUP(DESPESAS[[#This Row],[Plano de Contas]],BASE!$B$3:$H$119,7,FALSE)</f>
        <v>LETÍCIA</v>
      </c>
    </row>
    <row r="1956" spans="1:13" x14ac:dyDescent="0.25">
      <c r="A1956" s="74">
        <v>198771</v>
      </c>
      <c r="B1956" s="75" t="s">
        <v>221</v>
      </c>
      <c r="C1956" s="75" t="s">
        <v>1835</v>
      </c>
      <c r="D1956" s="76">
        <v>46079</v>
      </c>
      <c r="E1956" s="75" t="s">
        <v>789</v>
      </c>
      <c r="F1956" s="74">
        <v>635.15</v>
      </c>
      <c r="G1956" s="75" t="s">
        <v>572</v>
      </c>
      <c r="H1956" s="77" t="str">
        <f>VLOOKUP(DESPESAS[[#This Row],[Plano de Contas]],BASE!$B$3:$D$119,3,FALSE)</f>
        <v>Comissões sobre Vendas Externo</v>
      </c>
      <c r="I1956" s="77" t="str">
        <f>IFERROR(VLOOKUP(DESPESAS[[#This Row],[Fornecedor]],Tabela2[],2,FALSE),"")</f>
        <v/>
      </c>
      <c r="J1956" s="77" t="str">
        <f>IFERROR(VLOOKUP(DESPESAS[[#This Row],[Plano de Contas]],BASE!$B$3:$F$119,4,FALSE),"")</f>
        <v>6 - DESPESA COM VENDAS</v>
      </c>
      <c r="K1956" s="77" t="str">
        <f>IFERROR(VLOOKUP(DESPESAS[[#This Row],[Plano de Contas]],BASE!$B$3:$H$119,5,FALSE),"")</f>
        <v>COMERCIAL</v>
      </c>
      <c r="L1956" s="77">
        <f>IFERROR(VLOOKUP(DESPESAS[[#This Row],[Plano de Contas]],BASE!$B$3:$H$119,6,FALSE),"")</f>
        <v>0</v>
      </c>
      <c r="M1956" s="77" t="str">
        <f>VLOOKUP(DESPESAS[[#This Row],[Plano de Contas]],BASE!$B$3:$H$119,7,FALSE)</f>
        <v>LETÍCIA</v>
      </c>
    </row>
    <row r="1957" spans="1:13" x14ac:dyDescent="0.25">
      <c r="A1957" s="74">
        <v>198772</v>
      </c>
      <c r="B1957" s="75" t="s">
        <v>281</v>
      </c>
      <c r="C1957" s="75" t="s">
        <v>1835</v>
      </c>
      <c r="D1957" s="76">
        <v>46079</v>
      </c>
      <c r="E1957" s="75" t="s">
        <v>789</v>
      </c>
      <c r="F1957" s="74">
        <v>819.62</v>
      </c>
      <c r="G1957" s="75" t="s">
        <v>572</v>
      </c>
      <c r="H1957" s="77" t="str">
        <f>VLOOKUP(DESPESAS[[#This Row],[Plano de Contas]],BASE!$B$3:$D$119,3,FALSE)</f>
        <v>Comissões sobre Vendas Externo</v>
      </c>
      <c r="I1957" s="77" t="str">
        <f>IFERROR(VLOOKUP(DESPESAS[[#This Row],[Fornecedor]],Tabela2[],2,FALSE),"")</f>
        <v/>
      </c>
      <c r="J1957" s="77" t="str">
        <f>IFERROR(VLOOKUP(DESPESAS[[#This Row],[Plano de Contas]],BASE!$B$3:$F$119,4,FALSE),"")</f>
        <v>6 - DESPESA COM VENDAS</v>
      </c>
      <c r="K1957" s="77" t="str">
        <f>IFERROR(VLOOKUP(DESPESAS[[#This Row],[Plano de Contas]],BASE!$B$3:$H$119,5,FALSE),"")</f>
        <v>COMERCIAL</v>
      </c>
      <c r="L1957" s="77">
        <f>IFERROR(VLOOKUP(DESPESAS[[#This Row],[Plano de Contas]],BASE!$B$3:$H$119,6,FALSE),"")</f>
        <v>0</v>
      </c>
      <c r="M1957" s="77" t="str">
        <f>VLOOKUP(DESPESAS[[#This Row],[Plano de Contas]],BASE!$B$3:$H$119,7,FALSE)</f>
        <v>LETÍCIA</v>
      </c>
    </row>
    <row r="1958" spans="1:13" x14ac:dyDescent="0.25">
      <c r="A1958" s="74">
        <v>198773</v>
      </c>
      <c r="B1958" s="75" t="s">
        <v>279</v>
      </c>
      <c r="C1958" s="75" t="s">
        <v>1835</v>
      </c>
      <c r="D1958" s="76">
        <v>46079</v>
      </c>
      <c r="E1958" s="75" t="s">
        <v>789</v>
      </c>
      <c r="F1958" s="74">
        <v>1227.47</v>
      </c>
      <c r="G1958" s="75" t="s">
        <v>572</v>
      </c>
      <c r="H1958" s="77" t="str">
        <f>VLOOKUP(DESPESAS[[#This Row],[Plano de Contas]],BASE!$B$3:$D$119,3,FALSE)</f>
        <v>Comissões sobre Vendas Externo</v>
      </c>
      <c r="I1958" s="77" t="str">
        <f>IFERROR(VLOOKUP(DESPESAS[[#This Row],[Fornecedor]],Tabela2[],2,FALSE),"")</f>
        <v/>
      </c>
      <c r="J1958" s="77" t="str">
        <f>IFERROR(VLOOKUP(DESPESAS[[#This Row],[Plano de Contas]],BASE!$B$3:$F$119,4,FALSE),"")</f>
        <v>6 - DESPESA COM VENDAS</v>
      </c>
      <c r="K1958" s="77" t="str">
        <f>IFERROR(VLOOKUP(DESPESAS[[#This Row],[Plano de Contas]],BASE!$B$3:$H$119,5,FALSE),"")</f>
        <v>COMERCIAL</v>
      </c>
      <c r="L1958" s="77">
        <f>IFERROR(VLOOKUP(DESPESAS[[#This Row],[Plano de Contas]],BASE!$B$3:$H$119,6,FALSE),"")</f>
        <v>0</v>
      </c>
      <c r="M1958" s="77" t="str">
        <f>VLOOKUP(DESPESAS[[#This Row],[Plano de Contas]],BASE!$B$3:$H$119,7,FALSE)</f>
        <v>LETÍCIA</v>
      </c>
    </row>
    <row r="1959" spans="1:13" x14ac:dyDescent="0.25">
      <c r="A1959" s="74">
        <v>198774</v>
      </c>
      <c r="B1959" s="75" t="s">
        <v>232</v>
      </c>
      <c r="C1959" s="75" t="s">
        <v>373</v>
      </c>
      <c r="D1959" s="76">
        <v>46079</v>
      </c>
      <c r="E1959" s="75" t="s">
        <v>1832</v>
      </c>
      <c r="F1959" s="74">
        <v>1905.58</v>
      </c>
      <c r="G1959" s="75" t="s">
        <v>1378</v>
      </c>
      <c r="H1959" s="77" t="str">
        <f>VLOOKUP(DESPESAS[[#This Row],[Plano de Contas]],BASE!$B$3:$D$119,3,FALSE)</f>
        <v>Rescisões MOD</v>
      </c>
      <c r="I1959" s="77" t="str">
        <f>IFERROR(VLOOKUP(DESPESAS[[#This Row],[Fornecedor]],Tabela2[],2,FALSE),"")</f>
        <v/>
      </c>
      <c r="J1959" s="77" t="str">
        <f>IFERROR(VLOOKUP(DESPESAS[[#This Row],[Plano de Contas]],BASE!$B$3:$F$119,4,FALSE),"")</f>
        <v>2 - CUSTOS DIRETOS</v>
      </c>
      <c r="K1959" s="77" t="str">
        <f>IFERROR(VLOOKUP(DESPESAS[[#This Row],[Plano de Contas]],BASE!$B$3:$H$119,5,FALSE),"")</f>
        <v>DH</v>
      </c>
      <c r="L1959" s="77">
        <f>IFERROR(VLOOKUP(DESPESAS[[#This Row],[Plano de Contas]],BASE!$B$3:$H$119,6,FALSE),"")</f>
        <v>0</v>
      </c>
      <c r="M1959" s="77" t="str">
        <f>VLOOKUP(DESPESAS[[#This Row],[Plano de Contas]],BASE!$B$3:$H$119,7,FALSE)</f>
        <v>RAFAEL</v>
      </c>
    </row>
    <row r="1960" spans="1:13" x14ac:dyDescent="0.25">
      <c r="A1960" s="74">
        <v>198775</v>
      </c>
      <c r="B1960" s="75" t="s">
        <v>279</v>
      </c>
      <c r="C1960" s="75" t="s">
        <v>373</v>
      </c>
      <c r="D1960" s="76">
        <v>46079</v>
      </c>
      <c r="E1960" s="75" t="s">
        <v>1834</v>
      </c>
      <c r="F1960" s="74">
        <v>10539.25</v>
      </c>
      <c r="G1960" s="75" t="s">
        <v>1378</v>
      </c>
      <c r="H1960" s="77" t="str">
        <f>VLOOKUP(DESPESAS[[#This Row],[Plano de Contas]],BASE!$B$3:$D$119,3,FALSE)</f>
        <v>Rescisões MOD</v>
      </c>
      <c r="I1960" s="77" t="str">
        <f>IFERROR(VLOOKUP(DESPESAS[[#This Row],[Fornecedor]],Tabela2[],2,FALSE),"")</f>
        <v/>
      </c>
      <c r="J1960" s="77" t="str">
        <f>IFERROR(VLOOKUP(DESPESAS[[#This Row],[Plano de Contas]],BASE!$B$3:$F$119,4,FALSE),"")</f>
        <v>2 - CUSTOS DIRETOS</v>
      </c>
      <c r="K1960" s="77" t="str">
        <f>IFERROR(VLOOKUP(DESPESAS[[#This Row],[Plano de Contas]],BASE!$B$3:$H$119,5,FALSE),"")</f>
        <v>DH</v>
      </c>
      <c r="L1960" s="77">
        <f>IFERROR(VLOOKUP(DESPESAS[[#This Row],[Plano de Contas]],BASE!$B$3:$H$119,6,FALSE),"")</f>
        <v>0</v>
      </c>
      <c r="M1960" s="77" t="str">
        <f>VLOOKUP(DESPESAS[[#This Row],[Plano de Contas]],BASE!$B$3:$H$119,7,FALSE)</f>
        <v>RAFAEL</v>
      </c>
    </row>
    <row r="1961" spans="1:13" x14ac:dyDescent="0.25">
      <c r="A1961" s="74">
        <v>198777</v>
      </c>
      <c r="B1961" s="75" t="s">
        <v>279</v>
      </c>
      <c r="C1961" s="75" t="s">
        <v>1681</v>
      </c>
      <c r="D1961" s="76">
        <v>46079</v>
      </c>
      <c r="E1961" s="75" t="s">
        <v>1834</v>
      </c>
      <c r="F1961" s="74">
        <v>5911.07</v>
      </c>
      <c r="G1961" s="75" t="s">
        <v>1378</v>
      </c>
      <c r="H1961" s="77" t="str">
        <f>VLOOKUP(DESPESAS[[#This Row],[Plano de Contas]],BASE!$B$3:$D$119,3,FALSE)</f>
        <v>Rescisões MOD</v>
      </c>
      <c r="I1961" s="77" t="str">
        <f>IFERROR(VLOOKUP(DESPESAS[[#This Row],[Fornecedor]],Tabela2[],2,FALSE),"")</f>
        <v/>
      </c>
      <c r="J1961" s="77" t="str">
        <f>IFERROR(VLOOKUP(DESPESAS[[#This Row],[Plano de Contas]],BASE!$B$3:$F$119,4,FALSE),"")</f>
        <v>2 - CUSTOS DIRETOS</v>
      </c>
      <c r="K1961" s="77" t="str">
        <f>IFERROR(VLOOKUP(DESPESAS[[#This Row],[Plano de Contas]],BASE!$B$3:$H$119,5,FALSE),"")</f>
        <v>DH</v>
      </c>
      <c r="L1961" s="77">
        <f>IFERROR(VLOOKUP(DESPESAS[[#This Row],[Plano de Contas]],BASE!$B$3:$H$119,6,FALSE),"")</f>
        <v>0</v>
      </c>
      <c r="M1961" s="77" t="str">
        <f>VLOOKUP(DESPESAS[[#This Row],[Plano de Contas]],BASE!$B$3:$H$119,7,FALSE)</f>
        <v>RAFAEL</v>
      </c>
    </row>
    <row r="1962" spans="1:13" x14ac:dyDescent="0.25">
      <c r="A1962" s="74">
        <v>198778</v>
      </c>
      <c r="B1962" s="75" t="s">
        <v>232</v>
      </c>
      <c r="C1962" s="75" t="s">
        <v>1833</v>
      </c>
      <c r="D1962" s="76">
        <v>46079</v>
      </c>
      <c r="E1962" s="75" t="s">
        <v>1832</v>
      </c>
      <c r="F1962" s="74">
        <v>142.97</v>
      </c>
      <c r="G1962" s="75" t="s">
        <v>1378</v>
      </c>
      <c r="H1962" s="77" t="str">
        <f>VLOOKUP(DESPESAS[[#This Row],[Plano de Contas]],BASE!$B$3:$D$119,3,FALSE)</f>
        <v>Rescisões MOD</v>
      </c>
      <c r="I1962" s="77" t="str">
        <f>IFERROR(VLOOKUP(DESPESAS[[#This Row],[Fornecedor]],Tabela2[],2,FALSE),"")</f>
        <v/>
      </c>
      <c r="J1962" s="77" t="str">
        <f>IFERROR(VLOOKUP(DESPESAS[[#This Row],[Plano de Contas]],BASE!$B$3:$F$119,4,FALSE),"")</f>
        <v>2 - CUSTOS DIRETOS</v>
      </c>
      <c r="K1962" s="77" t="str">
        <f>IFERROR(VLOOKUP(DESPESAS[[#This Row],[Plano de Contas]],BASE!$B$3:$H$119,5,FALSE),"")</f>
        <v>DH</v>
      </c>
      <c r="L1962" s="77">
        <f>IFERROR(VLOOKUP(DESPESAS[[#This Row],[Plano de Contas]],BASE!$B$3:$H$119,6,FALSE),"")</f>
        <v>0</v>
      </c>
      <c r="M1962" s="77" t="str">
        <f>VLOOKUP(DESPESAS[[#This Row],[Plano de Contas]],BASE!$B$3:$H$119,7,FALSE)</f>
        <v>RAFAEL</v>
      </c>
    </row>
    <row r="1963" spans="1:13" x14ac:dyDescent="0.25">
      <c r="A1963" s="74">
        <v>198781</v>
      </c>
      <c r="B1963" s="75" t="s">
        <v>279</v>
      </c>
      <c r="C1963" s="75" t="s">
        <v>1831</v>
      </c>
      <c r="D1963" s="76">
        <v>46079</v>
      </c>
      <c r="E1963" s="75" t="s">
        <v>1830</v>
      </c>
      <c r="F1963" s="74">
        <v>12437.34</v>
      </c>
      <c r="G1963" s="75" t="s">
        <v>1378</v>
      </c>
      <c r="H1963" s="77" t="str">
        <f>VLOOKUP(DESPESAS[[#This Row],[Plano de Contas]],BASE!$B$3:$D$119,3,FALSE)</f>
        <v>Rescisões MOD</v>
      </c>
      <c r="I1963" s="77" t="str">
        <f>IFERROR(VLOOKUP(DESPESAS[[#This Row],[Fornecedor]],Tabela2[],2,FALSE),"")</f>
        <v/>
      </c>
      <c r="J1963" s="77" t="str">
        <f>IFERROR(VLOOKUP(DESPESAS[[#This Row],[Plano de Contas]],BASE!$B$3:$F$119,4,FALSE),"")</f>
        <v>2 - CUSTOS DIRETOS</v>
      </c>
      <c r="K1963" s="77" t="str">
        <f>IFERROR(VLOOKUP(DESPESAS[[#This Row],[Plano de Contas]],BASE!$B$3:$H$119,5,FALSE),"")</f>
        <v>DH</v>
      </c>
      <c r="L1963" s="77">
        <f>IFERROR(VLOOKUP(DESPESAS[[#This Row],[Plano de Contas]],BASE!$B$3:$H$119,6,FALSE),"")</f>
        <v>0</v>
      </c>
      <c r="M1963" s="77" t="str">
        <f>VLOOKUP(DESPESAS[[#This Row],[Plano de Contas]],BASE!$B$3:$H$119,7,FALSE)</f>
        <v>RAFAEL</v>
      </c>
    </row>
    <row r="1964" spans="1:13" x14ac:dyDescent="0.25">
      <c r="A1964" s="74">
        <v>198782</v>
      </c>
      <c r="B1964" s="75" t="s">
        <v>221</v>
      </c>
      <c r="C1964" s="75" t="s">
        <v>1829</v>
      </c>
      <c r="D1964" s="76">
        <v>46079</v>
      </c>
      <c r="E1964" s="75" t="s">
        <v>245</v>
      </c>
      <c r="F1964" s="74">
        <v>97</v>
      </c>
      <c r="G1964" s="75" t="s">
        <v>588</v>
      </c>
      <c r="H1964" s="77" t="str">
        <f>VLOOKUP(DESPESAS[[#This Row],[Plano de Contas]],BASE!$B$3:$D$119,3,FALSE)</f>
        <v>Maquinas e Equipamentos</v>
      </c>
      <c r="I1964" s="77" t="str">
        <f>IFERROR(VLOOKUP(DESPESAS[[#This Row],[Fornecedor]],Tabela2[],2,FALSE),"")</f>
        <v>FERRAGENS GERAIS</v>
      </c>
      <c r="J1964" s="77" t="str">
        <f>IFERROR(VLOOKUP(DESPESAS[[#This Row],[Plano de Contas]],BASE!$B$3:$F$119,4,FALSE),"")</f>
        <v>9 - INVESTIMENTOS</v>
      </c>
      <c r="K1964" s="77" t="str">
        <f>IFERROR(VLOOKUP(DESPESAS[[#This Row],[Plano de Contas]],BASE!$B$3:$H$119,5,FALSE),"")</f>
        <v>MANUTENÇÃO / TI</v>
      </c>
      <c r="L1964" s="77">
        <f>IFERROR(VLOOKUP(DESPESAS[[#This Row],[Plano de Contas]],BASE!$B$3:$H$119,6,FALSE),"")</f>
        <v>0</v>
      </c>
      <c r="M1964" s="77" t="str">
        <f>VLOOKUP(DESPESAS[[#This Row],[Plano de Contas]],BASE!$B$3:$H$119,7,FALSE)</f>
        <v>RAFAEL</v>
      </c>
    </row>
    <row r="1965" spans="1:13" x14ac:dyDescent="0.25">
      <c r="A1965" s="74">
        <v>198783</v>
      </c>
      <c r="B1965" s="75" t="s">
        <v>221</v>
      </c>
      <c r="C1965" s="75" t="s">
        <v>1828</v>
      </c>
      <c r="D1965" s="76">
        <v>46079</v>
      </c>
      <c r="E1965" s="75" t="s">
        <v>1827</v>
      </c>
      <c r="F1965" s="74">
        <v>120</v>
      </c>
      <c r="G1965" s="75" t="s">
        <v>854</v>
      </c>
      <c r="H1965" s="77" t="str">
        <f>VLOOKUP(DESPESAS[[#This Row],[Plano de Contas]],BASE!$B$3:$D$119,3,FALSE)</f>
        <v>Confraternização</v>
      </c>
      <c r="I1965" s="77" t="str">
        <f>IFERROR(VLOOKUP(DESPESAS[[#This Row],[Fornecedor]],Tabela2[],2,FALSE),"")</f>
        <v/>
      </c>
      <c r="J1965" s="77" t="str">
        <f>IFERROR(VLOOKUP(DESPESAS[[#This Row],[Plano de Contas]],BASE!$B$3:$F$119,4,FALSE),"")</f>
        <v>4 - GASTOS COM PESSOAL</v>
      </c>
      <c r="K1965" s="77" t="str">
        <f>IFERROR(VLOOKUP(DESPESAS[[#This Row],[Plano de Contas]],BASE!$B$3:$H$119,5,FALSE),"")</f>
        <v>DH</v>
      </c>
      <c r="L1965" s="77">
        <f>IFERROR(VLOOKUP(DESPESAS[[#This Row],[Plano de Contas]],BASE!$B$3:$H$119,6,FALSE),"")</f>
        <v>0</v>
      </c>
      <c r="M1965" s="77" t="str">
        <f>VLOOKUP(DESPESAS[[#This Row],[Plano de Contas]],BASE!$B$3:$H$119,7,FALSE)</f>
        <v>MYLENA</v>
      </c>
    </row>
    <row r="1966" spans="1:13" x14ac:dyDescent="0.25">
      <c r="A1966" s="74">
        <v>198784</v>
      </c>
      <c r="B1966" s="75" t="s">
        <v>221</v>
      </c>
      <c r="C1966" s="75" t="s">
        <v>1826</v>
      </c>
      <c r="D1966" s="76">
        <v>46079</v>
      </c>
      <c r="E1966" s="75" t="s">
        <v>245</v>
      </c>
      <c r="F1966" s="74">
        <v>40</v>
      </c>
      <c r="G1966" s="75" t="s">
        <v>1037</v>
      </c>
      <c r="H1966" s="77" t="str">
        <f>VLOOKUP(DESPESAS[[#This Row],[Plano de Contas]],BASE!$B$3:$D$119,3,FALSE)</f>
        <v>Construções e Reformas</v>
      </c>
      <c r="I1966" s="77" t="str">
        <f>IFERROR(VLOOKUP(DESPESAS[[#This Row],[Fornecedor]],Tabela2[],2,FALSE),"")</f>
        <v>FERRAGENS GERAIS</v>
      </c>
      <c r="J1966" s="77" t="str">
        <f>IFERROR(VLOOKUP(DESPESAS[[#This Row],[Plano de Contas]],BASE!$B$3:$F$119,4,FALSE),"")</f>
        <v>9 - INVESTIMENTOS</v>
      </c>
      <c r="K1966" s="77" t="str">
        <f>IFERROR(VLOOKUP(DESPESAS[[#This Row],[Plano de Contas]],BASE!$B$3:$H$119,5,FALSE),"")</f>
        <v>MANUTENÇÃO / TI</v>
      </c>
      <c r="L1966" s="77">
        <f>IFERROR(VLOOKUP(DESPESAS[[#This Row],[Plano de Contas]],BASE!$B$3:$H$119,6,FALSE),"")</f>
        <v>0</v>
      </c>
      <c r="M1966" s="77" t="str">
        <f>VLOOKUP(DESPESAS[[#This Row],[Plano de Contas]],BASE!$B$3:$H$119,7,FALSE)</f>
        <v>FÁBIO</v>
      </c>
    </row>
    <row r="1967" spans="1:13" x14ac:dyDescent="0.25">
      <c r="A1967" s="74">
        <v>198786</v>
      </c>
      <c r="B1967" s="75" t="s">
        <v>221</v>
      </c>
      <c r="C1967" s="75" t="s">
        <v>1825</v>
      </c>
      <c r="D1967" s="76">
        <v>46081</v>
      </c>
      <c r="E1967" s="75" t="s">
        <v>768</v>
      </c>
      <c r="F1967" s="74">
        <v>178.31</v>
      </c>
      <c r="G1967" s="75" t="s">
        <v>772</v>
      </c>
      <c r="H1967" s="77" t="str">
        <f>VLOOKUP(DESPESAS[[#This Row],[Plano de Contas]],BASE!$B$3:$D$119,3,FALSE)</f>
        <v>INSS (Adm)</v>
      </c>
      <c r="I1967" s="77" t="str">
        <f>IFERROR(VLOOKUP(DESPESAS[[#This Row],[Fornecedor]],Tabela2[],2,FALSE),"")</f>
        <v/>
      </c>
      <c r="J1967" s="77" t="str">
        <f>IFERROR(VLOOKUP(DESPESAS[[#This Row],[Plano de Contas]],BASE!$B$3:$F$119,4,FALSE),"")</f>
        <v>4 - GASTOS COM PESSOAL</v>
      </c>
      <c r="K1967" s="77" t="str">
        <f>IFERROR(VLOOKUP(DESPESAS[[#This Row],[Plano de Contas]],BASE!$B$3:$H$119,5,FALSE),"")</f>
        <v>DH</v>
      </c>
      <c r="L1967" s="77">
        <f>IFERROR(VLOOKUP(DESPESAS[[#This Row],[Plano de Contas]],BASE!$B$3:$H$119,6,FALSE),"")</f>
        <v>0</v>
      </c>
      <c r="M1967" s="77" t="str">
        <f>VLOOKUP(DESPESAS[[#This Row],[Plano de Contas]],BASE!$B$3:$H$119,7,FALSE)</f>
        <v>RAFAEL</v>
      </c>
    </row>
    <row r="1968" spans="1:13" x14ac:dyDescent="0.25">
      <c r="A1968" s="74">
        <v>198787</v>
      </c>
      <c r="B1968" s="75" t="s">
        <v>232</v>
      </c>
      <c r="C1968" s="75" t="s">
        <v>1824</v>
      </c>
      <c r="D1968" s="76">
        <v>46079</v>
      </c>
      <c r="E1968" s="75" t="s">
        <v>230</v>
      </c>
      <c r="F1968" s="74">
        <v>194.68</v>
      </c>
      <c r="G1968" s="75" t="s">
        <v>229</v>
      </c>
      <c r="H1968" s="77" t="str">
        <f>VLOOKUP(DESPESAS[[#This Row],[Plano de Contas]],BASE!$B$3:$D$119,3,FALSE)</f>
        <v>Despesas Bancarias</v>
      </c>
      <c r="I1968" s="77" t="str">
        <f>IFERROR(VLOOKUP(DESPESAS[[#This Row],[Fornecedor]],Tabela2[],2,FALSE),"")</f>
        <v/>
      </c>
      <c r="J1968" s="77" t="str">
        <f>IFERROR(VLOOKUP(DESPESAS[[#This Row],[Plano de Contas]],BASE!$B$3:$F$119,4,FALSE),"")</f>
        <v>8 - DESPESAS FINANCEIRAS</v>
      </c>
      <c r="K1968" s="77" t="str">
        <f>IFERROR(VLOOKUP(DESPESAS[[#This Row],[Plano de Contas]],BASE!$B$3:$H$119,5,FALSE),"")</f>
        <v>FINANCEIRO</v>
      </c>
      <c r="L1968" s="77">
        <f>IFERROR(VLOOKUP(DESPESAS[[#This Row],[Plano de Contas]],BASE!$B$3:$H$119,6,FALSE),"")</f>
        <v>0</v>
      </c>
      <c r="M1968" s="77" t="str">
        <f>VLOOKUP(DESPESAS[[#This Row],[Plano de Contas]],BASE!$B$3:$H$119,7,FALSE)</f>
        <v>LETÍCIA</v>
      </c>
    </row>
    <row r="1969" spans="1:13" x14ac:dyDescent="0.25">
      <c r="A1969" s="74">
        <v>198788</v>
      </c>
      <c r="B1969" s="75" t="s">
        <v>232</v>
      </c>
      <c r="C1969" s="75" t="s">
        <v>1823</v>
      </c>
      <c r="D1969" s="76">
        <v>46079</v>
      </c>
      <c r="E1969" s="75" t="s">
        <v>230</v>
      </c>
      <c r="F1969" s="74">
        <v>116.72</v>
      </c>
      <c r="G1969" s="75" t="s">
        <v>229</v>
      </c>
      <c r="H1969" s="77" t="str">
        <f>VLOOKUP(DESPESAS[[#This Row],[Plano de Contas]],BASE!$B$3:$D$119,3,FALSE)</f>
        <v>Despesas Bancarias</v>
      </c>
      <c r="I1969" s="77" t="str">
        <f>IFERROR(VLOOKUP(DESPESAS[[#This Row],[Fornecedor]],Tabela2[],2,FALSE),"")</f>
        <v/>
      </c>
      <c r="J1969" s="77" t="str">
        <f>IFERROR(VLOOKUP(DESPESAS[[#This Row],[Plano de Contas]],BASE!$B$3:$F$119,4,FALSE),"")</f>
        <v>8 - DESPESAS FINANCEIRAS</v>
      </c>
      <c r="K1969" s="77" t="str">
        <f>IFERROR(VLOOKUP(DESPESAS[[#This Row],[Plano de Contas]],BASE!$B$3:$H$119,5,FALSE),"")</f>
        <v>FINANCEIRO</v>
      </c>
      <c r="L1969" s="77">
        <f>IFERROR(VLOOKUP(DESPESAS[[#This Row],[Plano de Contas]],BASE!$B$3:$H$119,6,FALSE),"")</f>
        <v>0</v>
      </c>
      <c r="M1969" s="77" t="str">
        <f>VLOOKUP(DESPESAS[[#This Row],[Plano de Contas]],BASE!$B$3:$H$119,7,FALSE)</f>
        <v>LETÍCIA</v>
      </c>
    </row>
    <row r="1970" spans="1:13" x14ac:dyDescent="0.25">
      <c r="A1970" s="74">
        <v>198789</v>
      </c>
      <c r="B1970" s="75" t="s">
        <v>232</v>
      </c>
      <c r="C1970" s="75" t="s">
        <v>1822</v>
      </c>
      <c r="D1970" s="76">
        <v>46079</v>
      </c>
      <c r="E1970" s="75" t="s">
        <v>230</v>
      </c>
      <c r="F1970" s="74">
        <v>1225.8399999999999</v>
      </c>
      <c r="G1970" s="75" t="s">
        <v>251</v>
      </c>
      <c r="H1970" s="77" t="str">
        <f>VLOOKUP(DESPESAS[[#This Row],[Plano de Contas]],BASE!$B$3:$D$119,3,FALSE)</f>
        <v>Juros Pagos - Antecipação de Crédito</v>
      </c>
      <c r="I1970" s="77" t="str">
        <f>IFERROR(VLOOKUP(DESPESAS[[#This Row],[Fornecedor]],Tabela2[],2,FALSE),"")</f>
        <v/>
      </c>
      <c r="J1970" s="77" t="str">
        <f>IFERROR(VLOOKUP(DESPESAS[[#This Row],[Plano de Contas]],BASE!$B$3:$F$119,4,FALSE),"")</f>
        <v>8 - DESPESAS FINANCEIRAS</v>
      </c>
      <c r="K1970" s="77" t="str">
        <f>IFERROR(VLOOKUP(DESPESAS[[#This Row],[Plano de Contas]],BASE!$B$3:$H$119,5,FALSE),"")</f>
        <v>FINANCEIRO</v>
      </c>
      <c r="L1970" s="77">
        <f>IFERROR(VLOOKUP(DESPESAS[[#This Row],[Plano de Contas]],BASE!$B$3:$H$119,6,FALSE),"")</f>
        <v>0</v>
      </c>
      <c r="M1970" s="77" t="str">
        <f>VLOOKUP(DESPESAS[[#This Row],[Plano de Contas]],BASE!$B$3:$H$119,7,FALSE)</f>
        <v>LETÍCIA</v>
      </c>
    </row>
    <row r="1971" spans="1:13" x14ac:dyDescent="0.25">
      <c r="A1971" s="74">
        <v>198790</v>
      </c>
      <c r="B1971" s="75" t="s">
        <v>221</v>
      </c>
      <c r="C1971" s="75" t="s">
        <v>1821</v>
      </c>
      <c r="D1971" s="76">
        <v>46077</v>
      </c>
      <c r="E1971" s="75" t="s">
        <v>226</v>
      </c>
      <c r="F1971" s="74">
        <v>10</v>
      </c>
      <c r="G1971" s="75" t="s">
        <v>225</v>
      </c>
      <c r="H1971" s="77" t="str">
        <f>VLOOKUP(DESPESAS[[#This Row],[Plano de Contas]],BASE!$B$3:$D$119,3,FALSE)</f>
        <v>Despesas de Outros Gastos Não Operacionais</v>
      </c>
      <c r="I1971" s="77" t="str">
        <f>IFERROR(VLOOKUP(DESPESAS[[#This Row],[Fornecedor]],Tabela2[],2,FALSE),"")</f>
        <v/>
      </c>
      <c r="J1971" s="77" t="str">
        <f>IFERROR(VLOOKUP(DESPESAS[[#This Row],[Plano de Contas]],BASE!$B$3:$F$119,4,FALSE),"")</f>
        <v>8 - DESPESAS FINANCEIRAS</v>
      </c>
      <c r="K1971" s="77" t="str">
        <f>IFERROR(VLOOKUP(DESPESAS[[#This Row],[Plano de Contas]],BASE!$B$3:$H$119,5,FALSE),"")</f>
        <v>FINANCEIRO</v>
      </c>
      <c r="L1971" s="77">
        <f>IFERROR(VLOOKUP(DESPESAS[[#This Row],[Plano de Contas]],BASE!$B$3:$H$119,6,FALSE),"")</f>
        <v>0</v>
      </c>
      <c r="M1971" s="77" t="str">
        <f>VLOOKUP(DESPESAS[[#This Row],[Plano de Contas]],BASE!$B$3:$H$119,7,FALSE)</f>
        <v>LETÍCIA</v>
      </c>
    </row>
    <row r="1972" spans="1:13" x14ac:dyDescent="0.25">
      <c r="A1972" s="74">
        <v>198791</v>
      </c>
      <c r="B1972" s="75" t="s">
        <v>221</v>
      </c>
      <c r="C1972" s="75" t="s">
        <v>1820</v>
      </c>
      <c r="D1972" s="76">
        <v>46079</v>
      </c>
      <c r="E1972" s="75" t="s">
        <v>338</v>
      </c>
      <c r="F1972" s="74">
        <v>284</v>
      </c>
      <c r="G1972" s="75" t="s">
        <v>337</v>
      </c>
      <c r="H1972" s="77" t="str">
        <f>VLOOKUP(DESPESAS[[#This Row],[Plano de Contas]],BASE!$B$3:$D$119,3,FALSE)</f>
        <v>Vigilancia e Seguranca</v>
      </c>
      <c r="I1972" s="77" t="str">
        <f>IFERROR(VLOOKUP(DESPESAS[[#This Row],[Fornecedor]],Tabela2[],2,FALSE),"")</f>
        <v/>
      </c>
      <c r="J1972" s="77" t="str">
        <f>IFERROR(VLOOKUP(DESPESAS[[#This Row],[Plano de Contas]],BASE!$B$3:$F$119,4,FALSE),"")</f>
        <v>7 - SERVIÇOS DE TERCEIROS</v>
      </c>
      <c r="K1972" s="77" t="str">
        <f>IFERROR(VLOOKUP(DESPESAS[[#This Row],[Plano de Contas]],BASE!$B$3:$H$119,5,FALSE),"")</f>
        <v>FINANCEIRO</v>
      </c>
      <c r="L1972" s="77">
        <f>IFERROR(VLOOKUP(DESPESAS[[#This Row],[Plano de Contas]],BASE!$B$3:$H$119,6,FALSE),"")</f>
        <v>0</v>
      </c>
      <c r="M1972" s="77" t="str">
        <f>VLOOKUP(DESPESAS[[#This Row],[Plano de Contas]],BASE!$B$3:$H$119,7,FALSE)</f>
        <v>LETÍCIA</v>
      </c>
    </row>
    <row r="1973" spans="1:13" x14ac:dyDescent="0.25">
      <c r="A1973" s="74">
        <v>198792</v>
      </c>
      <c r="B1973" s="75" t="s">
        <v>232</v>
      </c>
      <c r="C1973" s="75" t="s">
        <v>1819</v>
      </c>
      <c r="D1973" s="76">
        <v>46079</v>
      </c>
      <c r="E1973" s="75" t="s">
        <v>230</v>
      </c>
      <c r="F1973" s="74">
        <v>12.64</v>
      </c>
      <c r="G1973" s="75" t="s">
        <v>229</v>
      </c>
      <c r="H1973" s="77" t="str">
        <f>VLOOKUP(DESPESAS[[#This Row],[Plano de Contas]],BASE!$B$3:$D$119,3,FALSE)</f>
        <v>Despesas Bancarias</v>
      </c>
      <c r="I1973" s="77" t="str">
        <f>IFERROR(VLOOKUP(DESPESAS[[#This Row],[Fornecedor]],Tabela2[],2,FALSE),"")</f>
        <v/>
      </c>
      <c r="J1973" s="77" t="str">
        <f>IFERROR(VLOOKUP(DESPESAS[[#This Row],[Plano de Contas]],BASE!$B$3:$F$119,4,FALSE),"")</f>
        <v>8 - DESPESAS FINANCEIRAS</v>
      </c>
      <c r="K1973" s="77" t="str">
        <f>IFERROR(VLOOKUP(DESPESAS[[#This Row],[Plano de Contas]],BASE!$B$3:$H$119,5,FALSE),"")</f>
        <v>FINANCEIRO</v>
      </c>
      <c r="L1973" s="77">
        <f>IFERROR(VLOOKUP(DESPESAS[[#This Row],[Plano de Contas]],BASE!$B$3:$H$119,6,FALSE),"")</f>
        <v>0</v>
      </c>
      <c r="M1973" s="77" t="str">
        <f>VLOOKUP(DESPESAS[[#This Row],[Plano de Contas]],BASE!$B$3:$H$119,7,FALSE)</f>
        <v>LETÍCIA</v>
      </c>
    </row>
    <row r="1974" spans="1:13" x14ac:dyDescent="0.25">
      <c r="A1974" s="74">
        <v>198793</v>
      </c>
      <c r="B1974" s="75" t="s">
        <v>279</v>
      </c>
      <c r="C1974" s="75" t="s">
        <v>1818</v>
      </c>
      <c r="D1974" s="76">
        <v>46079</v>
      </c>
      <c r="E1974" s="75" t="s">
        <v>230</v>
      </c>
      <c r="F1974" s="74">
        <v>6.32</v>
      </c>
      <c r="G1974" s="75" t="s">
        <v>229</v>
      </c>
      <c r="H1974" s="77" t="str">
        <f>VLOOKUP(DESPESAS[[#This Row],[Plano de Contas]],BASE!$B$3:$D$119,3,FALSE)</f>
        <v>Despesas Bancarias</v>
      </c>
      <c r="I1974" s="77" t="str">
        <f>IFERROR(VLOOKUP(DESPESAS[[#This Row],[Fornecedor]],Tabela2[],2,FALSE),"")</f>
        <v/>
      </c>
      <c r="J1974" s="77" t="str">
        <f>IFERROR(VLOOKUP(DESPESAS[[#This Row],[Plano de Contas]],BASE!$B$3:$F$119,4,FALSE),"")</f>
        <v>8 - DESPESAS FINANCEIRAS</v>
      </c>
      <c r="K1974" s="77" t="str">
        <f>IFERROR(VLOOKUP(DESPESAS[[#This Row],[Plano de Contas]],BASE!$B$3:$H$119,5,FALSE),"")</f>
        <v>FINANCEIRO</v>
      </c>
      <c r="L1974" s="77">
        <f>IFERROR(VLOOKUP(DESPESAS[[#This Row],[Plano de Contas]],BASE!$B$3:$H$119,6,FALSE),"")</f>
        <v>0</v>
      </c>
      <c r="M1974" s="77" t="str">
        <f>VLOOKUP(DESPESAS[[#This Row],[Plano de Contas]],BASE!$B$3:$H$119,7,FALSE)</f>
        <v>LETÍCIA</v>
      </c>
    </row>
    <row r="1975" spans="1:13" x14ac:dyDescent="0.25">
      <c r="A1975" s="74">
        <v>198794</v>
      </c>
      <c r="B1975" s="75" t="s">
        <v>232</v>
      </c>
      <c r="C1975" s="75" t="s">
        <v>1817</v>
      </c>
      <c r="D1975" s="76">
        <v>46079</v>
      </c>
      <c r="E1975" s="75" t="s">
        <v>230</v>
      </c>
      <c r="F1975" s="74">
        <v>1.58</v>
      </c>
      <c r="G1975" s="75" t="s">
        <v>229</v>
      </c>
      <c r="H1975" s="77" t="str">
        <f>VLOOKUP(DESPESAS[[#This Row],[Plano de Contas]],BASE!$B$3:$D$119,3,FALSE)</f>
        <v>Despesas Bancarias</v>
      </c>
      <c r="I1975" s="77" t="str">
        <f>IFERROR(VLOOKUP(DESPESAS[[#This Row],[Fornecedor]],Tabela2[],2,FALSE),"")</f>
        <v/>
      </c>
      <c r="J1975" s="77" t="str">
        <f>IFERROR(VLOOKUP(DESPESAS[[#This Row],[Plano de Contas]],BASE!$B$3:$F$119,4,FALSE),"")</f>
        <v>8 - DESPESAS FINANCEIRAS</v>
      </c>
      <c r="K1975" s="77" t="str">
        <f>IFERROR(VLOOKUP(DESPESAS[[#This Row],[Plano de Contas]],BASE!$B$3:$H$119,5,FALSE),"")</f>
        <v>FINANCEIRO</v>
      </c>
      <c r="L1975" s="77">
        <f>IFERROR(VLOOKUP(DESPESAS[[#This Row],[Plano de Contas]],BASE!$B$3:$H$119,6,FALSE),"")</f>
        <v>0</v>
      </c>
      <c r="M1975" s="77" t="str">
        <f>VLOOKUP(DESPESAS[[#This Row],[Plano de Contas]],BASE!$B$3:$H$119,7,FALSE)</f>
        <v>LETÍCIA</v>
      </c>
    </row>
    <row r="1976" spans="1:13" x14ac:dyDescent="0.25">
      <c r="A1976" s="74">
        <v>198795</v>
      </c>
      <c r="B1976" s="75" t="s">
        <v>232</v>
      </c>
      <c r="C1976" s="75" t="s">
        <v>1816</v>
      </c>
      <c r="D1976" s="76">
        <v>46079</v>
      </c>
      <c r="E1976" s="75" t="s">
        <v>230</v>
      </c>
      <c r="F1976" s="74">
        <v>0.79</v>
      </c>
      <c r="G1976" s="75" t="s">
        <v>229</v>
      </c>
      <c r="H1976" s="77" t="str">
        <f>VLOOKUP(DESPESAS[[#This Row],[Plano de Contas]],BASE!$B$3:$D$119,3,FALSE)</f>
        <v>Despesas Bancarias</v>
      </c>
      <c r="I1976" s="77" t="str">
        <f>IFERROR(VLOOKUP(DESPESAS[[#This Row],[Fornecedor]],Tabela2[],2,FALSE),"")</f>
        <v/>
      </c>
      <c r="J1976" s="77" t="str">
        <f>IFERROR(VLOOKUP(DESPESAS[[#This Row],[Plano de Contas]],BASE!$B$3:$F$119,4,FALSE),"")</f>
        <v>8 - DESPESAS FINANCEIRAS</v>
      </c>
      <c r="K1976" s="77" t="str">
        <f>IFERROR(VLOOKUP(DESPESAS[[#This Row],[Plano de Contas]],BASE!$B$3:$H$119,5,FALSE),"")</f>
        <v>FINANCEIRO</v>
      </c>
      <c r="L1976" s="77">
        <f>IFERROR(VLOOKUP(DESPESAS[[#This Row],[Plano de Contas]],BASE!$B$3:$H$119,6,FALSE),"")</f>
        <v>0</v>
      </c>
      <c r="M1976" s="77" t="str">
        <f>VLOOKUP(DESPESAS[[#This Row],[Plano de Contas]],BASE!$B$3:$H$119,7,FALSE)</f>
        <v>LETÍCIA</v>
      </c>
    </row>
    <row r="1977" spans="1:13" x14ac:dyDescent="0.25">
      <c r="A1977" s="74">
        <v>198796</v>
      </c>
      <c r="B1977" s="75" t="s">
        <v>232</v>
      </c>
      <c r="C1977" s="75" t="s">
        <v>1815</v>
      </c>
      <c r="D1977" s="76">
        <v>46079</v>
      </c>
      <c r="E1977" s="75" t="s">
        <v>230</v>
      </c>
      <c r="F1977" s="74">
        <v>6.65</v>
      </c>
      <c r="G1977" s="75" t="s">
        <v>236</v>
      </c>
      <c r="H1977" s="77" t="str">
        <f>VLOOKUP(DESPESAS[[#This Row],[Plano de Contas]],BASE!$B$3:$D$119,3,FALSE)</f>
        <v>Despesas de Cobranca</v>
      </c>
      <c r="I1977" s="77" t="str">
        <f>IFERROR(VLOOKUP(DESPESAS[[#This Row],[Fornecedor]],Tabela2[],2,FALSE),"")</f>
        <v/>
      </c>
      <c r="J1977" s="77" t="str">
        <f>IFERROR(VLOOKUP(DESPESAS[[#This Row],[Plano de Contas]],BASE!$B$3:$F$119,4,FALSE),"")</f>
        <v>8 - DESPESAS FINANCEIRAS</v>
      </c>
      <c r="K1977" s="77" t="str">
        <f>IFERROR(VLOOKUP(DESPESAS[[#This Row],[Plano de Contas]],BASE!$B$3:$H$119,5,FALSE),"")</f>
        <v>FINANCEIRO</v>
      </c>
      <c r="L1977" s="77">
        <f>IFERROR(VLOOKUP(DESPESAS[[#This Row],[Plano de Contas]],BASE!$B$3:$H$119,6,FALSE),"")</f>
        <v>0</v>
      </c>
      <c r="M1977" s="77" t="str">
        <f>VLOOKUP(DESPESAS[[#This Row],[Plano de Contas]],BASE!$B$3:$H$119,7,FALSE)</f>
        <v>LETÍCIA</v>
      </c>
    </row>
    <row r="1978" spans="1:13" x14ac:dyDescent="0.25">
      <c r="A1978" s="74">
        <v>198797</v>
      </c>
      <c r="B1978" s="75" t="s">
        <v>232</v>
      </c>
      <c r="C1978" s="75" t="s">
        <v>1814</v>
      </c>
      <c r="D1978" s="76">
        <v>46080</v>
      </c>
      <c r="E1978" s="75" t="s">
        <v>1813</v>
      </c>
      <c r="F1978" s="74">
        <v>2500</v>
      </c>
      <c r="G1978" s="75" t="s">
        <v>247</v>
      </c>
      <c r="H1978" s="77" t="str">
        <f>VLOOKUP(DESPESAS[[#This Row],[Plano de Contas]],BASE!$B$3:$D$119,3,FALSE)</f>
        <v>Manutenção com veiculos</v>
      </c>
      <c r="I1978" s="77" t="str">
        <f>IFERROR(VLOOKUP(DESPESAS[[#This Row],[Fornecedor]],Tabela2[],2,FALSE),"")</f>
        <v/>
      </c>
      <c r="J1978" s="77" t="str">
        <f>IFERROR(VLOOKUP(DESPESAS[[#This Row],[Plano de Contas]],BASE!$B$3:$F$119,4,FALSE),"")</f>
        <v>6 - DESPESA COM VENDAS</v>
      </c>
      <c r="K1978" s="77" t="str">
        <f>IFERROR(VLOOKUP(DESPESAS[[#This Row],[Plano de Contas]],BASE!$B$3:$H$119,5,FALSE),"")</f>
        <v>LOGÍSTICA</v>
      </c>
      <c r="L1978" s="77">
        <f>IFERROR(VLOOKUP(DESPESAS[[#This Row],[Plano de Contas]],BASE!$B$3:$H$119,6,FALSE),"")</f>
        <v>0</v>
      </c>
      <c r="M1978" s="77" t="str">
        <f>VLOOKUP(DESPESAS[[#This Row],[Plano de Contas]],BASE!$B$3:$H$119,7,FALSE)</f>
        <v>MYLENA</v>
      </c>
    </row>
    <row r="1979" spans="1:13" x14ac:dyDescent="0.25">
      <c r="A1979" s="74">
        <v>198799</v>
      </c>
      <c r="B1979" s="75" t="s">
        <v>232</v>
      </c>
      <c r="C1979" s="75" t="s">
        <v>1812</v>
      </c>
      <c r="D1979" s="76">
        <v>46081</v>
      </c>
      <c r="E1979" s="75" t="s">
        <v>1079</v>
      </c>
      <c r="F1979" s="74">
        <v>617.44000000000005</v>
      </c>
      <c r="G1979" s="75" t="s">
        <v>1078</v>
      </c>
      <c r="H1979" s="77" t="str">
        <f>VLOOKUP(DESPESAS[[#This Row],[Plano de Contas]],BASE!$B$3:$D$119,3,FALSE)</f>
        <v>SPC/Serasa/Associacao</v>
      </c>
      <c r="I1979" s="77" t="str">
        <f>IFERROR(VLOOKUP(DESPESAS[[#This Row],[Fornecedor]],Tabela2[],2,FALSE),"")</f>
        <v/>
      </c>
      <c r="J1979" s="77" t="str">
        <f>IFERROR(VLOOKUP(DESPESAS[[#This Row],[Plano de Contas]],BASE!$B$3:$F$119,4,FALSE),"")</f>
        <v>5 - DESPESAS ADMINISTRATIVAS</v>
      </c>
      <c r="K1979" s="77" t="str">
        <f>IFERROR(VLOOKUP(DESPESAS[[#This Row],[Plano de Contas]],BASE!$B$3:$H$119,5,FALSE),"")</f>
        <v>FINANCEIRO</v>
      </c>
      <c r="L1979" s="77">
        <f>IFERROR(VLOOKUP(DESPESAS[[#This Row],[Plano de Contas]],BASE!$B$3:$H$119,6,FALSE),"")</f>
        <v>0</v>
      </c>
      <c r="M1979" s="77" t="str">
        <f>VLOOKUP(DESPESAS[[#This Row],[Plano de Contas]],BASE!$B$3:$H$119,7,FALSE)</f>
        <v>LETÍCIA</v>
      </c>
    </row>
    <row r="1980" spans="1:13" x14ac:dyDescent="0.25">
      <c r="A1980" s="74">
        <v>198800</v>
      </c>
      <c r="B1980" s="75" t="s">
        <v>232</v>
      </c>
      <c r="C1980" s="75" t="s">
        <v>1811</v>
      </c>
      <c r="D1980" s="76">
        <v>46073</v>
      </c>
      <c r="E1980" s="75" t="s">
        <v>327</v>
      </c>
      <c r="F1980" s="74">
        <v>144.66</v>
      </c>
      <c r="G1980" s="75" t="s">
        <v>326</v>
      </c>
      <c r="H1980" s="77" t="str">
        <f>VLOOKUP(DESPESAS[[#This Row],[Plano de Contas]],BASE!$B$3:$D$119,3,FALSE)</f>
        <v>Frete sobre Compras</v>
      </c>
      <c r="I1980" s="77" t="str">
        <f>IFERROR(VLOOKUP(DESPESAS[[#This Row],[Fornecedor]],Tabela2[],2,FALSE),"")</f>
        <v>SERVIÇOS FRETE</v>
      </c>
      <c r="J1980" s="77" t="str">
        <f>IFERROR(VLOOKUP(DESPESAS[[#This Row],[Plano de Contas]],BASE!$B$3:$F$119,4,FALSE),"")</f>
        <v>1 - CPV</v>
      </c>
      <c r="K1980" s="77" t="str">
        <f>IFERROR(VLOOKUP(DESPESAS[[#This Row],[Plano de Contas]],BASE!$B$3:$H$119,5,FALSE),"")</f>
        <v>COMPRAS</v>
      </c>
      <c r="L1980" s="77">
        <f>IFERROR(VLOOKUP(DESPESAS[[#This Row],[Plano de Contas]],BASE!$B$3:$H$119,6,FALSE),"")</f>
        <v>0</v>
      </c>
      <c r="M1980" s="77" t="str">
        <f>VLOOKUP(DESPESAS[[#This Row],[Plano de Contas]],BASE!$B$3:$H$119,7,FALSE)</f>
        <v>MYLENA</v>
      </c>
    </row>
    <row r="1981" spans="1:13" x14ac:dyDescent="0.25">
      <c r="A1981" s="74">
        <v>198801</v>
      </c>
      <c r="B1981" s="75" t="s">
        <v>232</v>
      </c>
      <c r="C1981" s="75" t="s">
        <v>1810</v>
      </c>
      <c r="D1981" s="76">
        <v>46077</v>
      </c>
      <c r="E1981" s="75" t="s">
        <v>409</v>
      </c>
      <c r="F1981" s="74">
        <v>109.81</v>
      </c>
      <c r="G1981" s="75" t="s">
        <v>326</v>
      </c>
      <c r="H1981" s="77" t="str">
        <f>VLOOKUP(DESPESAS[[#This Row],[Plano de Contas]],BASE!$B$3:$D$119,3,FALSE)</f>
        <v>Frete sobre Compras</v>
      </c>
      <c r="I1981" s="77" t="str">
        <f>IFERROR(VLOOKUP(DESPESAS[[#This Row],[Fornecedor]],Tabela2[],2,FALSE),"")</f>
        <v>SERVIÇOS FRETE</v>
      </c>
      <c r="J1981" s="77" t="str">
        <f>IFERROR(VLOOKUP(DESPESAS[[#This Row],[Plano de Contas]],BASE!$B$3:$F$119,4,FALSE),"")</f>
        <v>1 - CPV</v>
      </c>
      <c r="K1981" s="77" t="str">
        <f>IFERROR(VLOOKUP(DESPESAS[[#This Row],[Plano de Contas]],BASE!$B$3:$H$119,5,FALSE),"")</f>
        <v>COMPRAS</v>
      </c>
      <c r="L1981" s="77">
        <f>IFERROR(VLOOKUP(DESPESAS[[#This Row],[Plano de Contas]],BASE!$B$3:$H$119,6,FALSE),"")</f>
        <v>0</v>
      </c>
      <c r="M1981" s="77" t="str">
        <f>VLOOKUP(DESPESAS[[#This Row],[Plano de Contas]],BASE!$B$3:$H$119,7,FALSE)</f>
        <v>MYLENA</v>
      </c>
    </row>
    <row r="1982" spans="1:13" x14ac:dyDescent="0.25">
      <c r="A1982" s="74">
        <v>198802</v>
      </c>
      <c r="B1982" s="75" t="s">
        <v>232</v>
      </c>
      <c r="C1982" s="75" t="s">
        <v>1809</v>
      </c>
      <c r="D1982" s="76">
        <v>46080</v>
      </c>
      <c r="E1982" s="75" t="s">
        <v>230</v>
      </c>
      <c r="F1982" s="74">
        <v>158.49</v>
      </c>
      <c r="G1982" s="75" t="s">
        <v>229</v>
      </c>
      <c r="H1982" s="77" t="str">
        <f>VLOOKUP(DESPESAS[[#This Row],[Plano de Contas]],BASE!$B$3:$D$119,3,FALSE)</f>
        <v>Despesas Bancarias</v>
      </c>
      <c r="I1982" s="77" t="str">
        <f>IFERROR(VLOOKUP(DESPESAS[[#This Row],[Fornecedor]],Tabela2[],2,FALSE),"")</f>
        <v/>
      </c>
      <c r="J1982" s="77" t="str">
        <f>IFERROR(VLOOKUP(DESPESAS[[#This Row],[Plano de Contas]],BASE!$B$3:$F$119,4,FALSE),"")</f>
        <v>8 - DESPESAS FINANCEIRAS</v>
      </c>
      <c r="K1982" s="77" t="str">
        <f>IFERROR(VLOOKUP(DESPESAS[[#This Row],[Plano de Contas]],BASE!$B$3:$H$119,5,FALSE),"")</f>
        <v>FINANCEIRO</v>
      </c>
      <c r="L1982" s="77">
        <f>IFERROR(VLOOKUP(DESPESAS[[#This Row],[Plano de Contas]],BASE!$B$3:$H$119,6,FALSE),"")</f>
        <v>0</v>
      </c>
      <c r="M1982" s="77" t="str">
        <f>VLOOKUP(DESPESAS[[#This Row],[Plano de Contas]],BASE!$B$3:$H$119,7,FALSE)</f>
        <v>LETÍCIA</v>
      </c>
    </row>
    <row r="1983" spans="1:13" x14ac:dyDescent="0.25">
      <c r="A1983" s="74">
        <v>198803</v>
      </c>
      <c r="B1983" s="75" t="s">
        <v>232</v>
      </c>
      <c r="C1983" s="75" t="s">
        <v>1808</v>
      </c>
      <c r="D1983" s="76">
        <v>46080</v>
      </c>
      <c r="E1983" s="75" t="s">
        <v>230</v>
      </c>
      <c r="F1983" s="74">
        <v>111.9</v>
      </c>
      <c r="G1983" s="75" t="s">
        <v>229</v>
      </c>
      <c r="H1983" s="77" t="str">
        <f>VLOOKUP(DESPESAS[[#This Row],[Plano de Contas]],BASE!$B$3:$D$119,3,FALSE)</f>
        <v>Despesas Bancarias</v>
      </c>
      <c r="I1983" s="77" t="str">
        <f>IFERROR(VLOOKUP(DESPESAS[[#This Row],[Fornecedor]],Tabela2[],2,FALSE),"")</f>
        <v/>
      </c>
      <c r="J1983" s="77" t="str">
        <f>IFERROR(VLOOKUP(DESPESAS[[#This Row],[Plano de Contas]],BASE!$B$3:$F$119,4,FALSE),"")</f>
        <v>8 - DESPESAS FINANCEIRAS</v>
      </c>
      <c r="K1983" s="77" t="str">
        <f>IFERROR(VLOOKUP(DESPESAS[[#This Row],[Plano de Contas]],BASE!$B$3:$H$119,5,FALSE),"")</f>
        <v>FINANCEIRO</v>
      </c>
      <c r="L1983" s="77">
        <f>IFERROR(VLOOKUP(DESPESAS[[#This Row],[Plano de Contas]],BASE!$B$3:$H$119,6,FALSE),"")</f>
        <v>0</v>
      </c>
      <c r="M1983" s="77" t="str">
        <f>VLOOKUP(DESPESAS[[#This Row],[Plano de Contas]],BASE!$B$3:$H$119,7,FALSE)</f>
        <v>LETÍCIA</v>
      </c>
    </row>
    <row r="1984" spans="1:13" x14ac:dyDescent="0.25">
      <c r="A1984" s="74">
        <v>198804</v>
      </c>
      <c r="B1984" s="75" t="s">
        <v>232</v>
      </c>
      <c r="C1984" s="75" t="s">
        <v>1805</v>
      </c>
      <c r="D1984" s="76">
        <v>46080</v>
      </c>
      <c r="E1984" s="75" t="s">
        <v>230</v>
      </c>
      <c r="F1984" s="74">
        <v>992.11</v>
      </c>
      <c r="G1984" s="75" t="s">
        <v>251</v>
      </c>
      <c r="H1984" s="77" t="str">
        <f>VLOOKUP(DESPESAS[[#This Row],[Plano de Contas]],BASE!$B$3:$D$119,3,FALSE)</f>
        <v>Juros Pagos - Antecipação de Crédito</v>
      </c>
      <c r="I1984" s="77" t="str">
        <f>IFERROR(VLOOKUP(DESPESAS[[#This Row],[Fornecedor]],Tabela2[],2,FALSE),"")</f>
        <v/>
      </c>
      <c r="J1984" s="77" t="str">
        <f>IFERROR(VLOOKUP(DESPESAS[[#This Row],[Plano de Contas]],BASE!$B$3:$F$119,4,FALSE),"")</f>
        <v>8 - DESPESAS FINANCEIRAS</v>
      </c>
      <c r="K1984" s="77" t="str">
        <f>IFERROR(VLOOKUP(DESPESAS[[#This Row],[Plano de Contas]],BASE!$B$3:$H$119,5,FALSE),"")</f>
        <v>FINANCEIRO</v>
      </c>
      <c r="L1984" s="77">
        <f>IFERROR(VLOOKUP(DESPESAS[[#This Row],[Plano de Contas]],BASE!$B$3:$H$119,6,FALSE),"")</f>
        <v>0</v>
      </c>
      <c r="M1984" s="77" t="str">
        <f>VLOOKUP(DESPESAS[[#This Row],[Plano de Contas]],BASE!$B$3:$H$119,7,FALSE)</f>
        <v>LETÍCIA</v>
      </c>
    </row>
    <row r="1985" spans="1:13" x14ac:dyDescent="0.25">
      <c r="A1985" s="74">
        <v>198805</v>
      </c>
      <c r="B1985" s="75" t="s">
        <v>279</v>
      </c>
      <c r="C1985" s="75" t="s">
        <v>1807</v>
      </c>
      <c r="D1985" s="76">
        <v>46080</v>
      </c>
      <c r="E1985" s="75" t="s">
        <v>230</v>
      </c>
      <c r="F1985" s="74">
        <v>85.99</v>
      </c>
      <c r="G1985" s="75" t="s">
        <v>229</v>
      </c>
      <c r="H1985" s="77" t="str">
        <f>VLOOKUP(DESPESAS[[#This Row],[Plano de Contas]],BASE!$B$3:$D$119,3,FALSE)</f>
        <v>Despesas Bancarias</v>
      </c>
      <c r="I1985" s="77" t="str">
        <f>IFERROR(VLOOKUP(DESPESAS[[#This Row],[Fornecedor]],Tabela2[],2,FALSE),"")</f>
        <v/>
      </c>
      <c r="J1985" s="77" t="str">
        <f>IFERROR(VLOOKUP(DESPESAS[[#This Row],[Plano de Contas]],BASE!$B$3:$F$119,4,FALSE),"")</f>
        <v>8 - DESPESAS FINANCEIRAS</v>
      </c>
      <c r="K1985" s="77" t="str">
        <f>IFERROR(VLOOKUP(DESPESAS[[#This Row],[Plano de Contas]],BASE!$B$3:$H$119,5,FALSE),"")</f>
        <v>FINANCEIRO</v>
      </c>
      <c r="L1985" s="77">
        <f>IFERROR(VLOOKUP(DESPESAS[[#This Row],[Plano de Contas]],BASE!$B$3:$H$119,6,FALSE),"")</f>
        <v>0</v>
      </c>
      <c r="M1985" s="77" t="str">
        <f>VLOOKUP(DESPESAS[[#This Row],[Plano de Contas]],BASE!$B$3:$H$119,7,FALSE)</f>
        <v>LETÍCIA</v>
      </c>
    </row>
    <row r="1986" spans="1:13" x14ac:dyDescent="0.25">
      <c r="A1986" s="74">
        <v>198806</v>
      </c>
      <c r="B1986" s="75" t="s">
        <v>279</v>
      </c>
      <c r="C1986" s="75" t="s">
        <v>1806</v>
      </c>
      <c r="D1986" s="76">
        <v>46080</v>
      </c>
      <c r="E1986" s="75" t="s">
        <v>230</v>
      </c>
      <c r="F1986" s="74">
        <v>49.13</v>
      </c>
      <c r="G1986" s="75" t="s">
        <v>229</v>
      </c>
      <c r="H1986" s="77" t="str">
        <f>VLOOKUP(DESPESAS[[#This Row],[Plano de Contas]],BASE!$B$3:$D$119,3,FALSE)</f>
        <v>Despesas Bancarias</v>
      </c>
      <c r="I1986" s="77" t="str">
        <f>IFERROR(VLOOKUP(DESPESAS[[#This Row],[Fornecedor]],Tabela2[],2,FALSE),"")</f>
        <v/>
      </c>
      <c r="J1986" s="77" t="str">
        <f>IFERROR(VLOOKUP(DESPESAS[[#This Row],[Plano de Contas]],BASE!$B$3:$F$119,4,FALSE),"")</f>
        <v>8 - DESPESAS FINANCEIRAS</v>
      </c>
      <c r="K1986" s="77" t="str">
        <f>IFERROR(VLOOKUP(DESPESAS[[#This Row],[Plano de Contas]],BASE!$B$3:$H$119,5,FALSE),"")</f>
        <v>FINANCEIRO</v>
      </c>
      <c r="L1986" s="77">
        <f>IFERROR(VLOOKUP(DESPESAS[[#This Row],[Plano de Contas]],BASE!$B$3:$H$119,6,FALSE),"")</f>
        <v>0</v>
      </c>
      <c r="M1986" s="77" t="str">
        <f>VLOOKUP(DESPESAS[[#This Row],[Plano de Contas]],BASE!$B$3:$H$119,7,FALSE)</f>
        <v>LETÍCIA</v>
      </c>
    </row>
    <row r="1987" spans="1:13" x14ac:dyDescent="0.25">
      <c r="A1987" s="74">
        <v>198807</v>
      </c>
      <c r="B1987" s="75" t="s">
        <v>279</v>
      </c>
      <c r="C1987" s="75" t="s">
        <v>1805</v>
      </c>
      <c r="D1987" s="76">
        <v>46080</v>
      </c>
      <c r="E1987" s="75" t="s">
        <v>230</v>
      </c>
      <c r="F1987" s="74">
        <v>543.17999999999995</v>
      </c>
      <c r="G1987" s="75" t="s">
        <v>251</v>
      </c>
      <c r="H1987" s="77" t="str">
        <f>VLOOKUP(DESPESAS[[#This Row],[Plano de Contas]],BASE!$B$3:$D$119,3,FALSE)</f>
        <v>Juros Pagos - Antecipação de Crédito</v>
      </c>
      <c r="I1987" s="77" t="str">
        <f>IFERROR(VLOOKUP(DESPESAS[[#This Row],[Fornecedor]],Tabela2[],2,FALSE),"")</f>
        <v/>
      </c>
      <c r="J1987" s="77" t="str">
        <f>IFERROR(VLOOKUP(DESPESAS[[#This Row],[Plano de Contas]],BASE!$B$3:$F$119,4,FALSE),"")</f>
        <v>8 - DESPESAS FINANCEIRAS</v>
      </c>
      <c r="K1987" s="77" t="str">
        <f>IFERROR(VLOOKUP(DESPESAS[[#This Row],[Plano de Contas]],BASE!$B$3:$H$119,5,FALSE),"")</f>
        <v>FINANCEIRO</v>
      </c>
      <c r="L1987" s="77">
        <f>IFERROR(VLOOKUP(DESPESAS[[#This Row],[Plano de Contas]],BASE!$B$3:$H$119,6,FALSE),"")</f>
        <v>0</v>
      </c>
      <c r="M1987" s="77" t="str">
        <f>VLOOKUP(DESPESAS[[#This Row],[Plano de Contas]],BASE!$B$3:$H$119,7,FALSE)</f>
        <v>LETÍCIA</v>
      </c>
    </row>
    <row r="1988" spans="1:13" x14ac:dyDescent="0.25">
      <c r="A1988" s="74">
        <v>198808</v>
      </c>
      <c r="B1988" s="75" t="s">
        <v>221</v>
      </c>
      <c r="C1988" s="75" t="s">
        <v>1804</v>
      </c>
      <c r="D1988" s="76">
        <v>46080</v>
      </c>
      <c r="E1988" s="75" t="s">
        <v>1803</v>
      </c>
      <c r="F1988" s="74">
        <v>2072</v>
      </c>
      <c r="G1988" s="75" t="s">
        <v>1318</v>
      </c>
      <c r="H1988" s="77" t="str">
        <f>VLOOKUP(DESPESAS[[#This Row],[Plano de Contas]],BASE!$B$3:$D$119,3,FALSE)</f>
        <v>Feiras e Eventos</v>
      </c>
      <c r="I1988" s="77" t="str">
        <f>IFERROR(VLOOKUP(DESPESAS[[#This Row],[Fornecedor]],Tabela2[],2,FALSE),"")</f>
        <v/>
      </c>
      <c r="J1988" s="77" t="str">
        <f>IFERROR(VLOOKUP(DESPESAS[[#This Row],[Plano de Contas]],BASE!$B$3:$F$119,4,FALSE),"")</f>
        <v>6 - DESPESA COM VENDAS</v>
      </c>
      <c r="K1988" s="77" t="str">
        <f>IFERROR(VLOOKUP(DESPESAS[[#This Row],[Plano de Contas]],BASE!$B$3:$H$119,5,FALSE),"")</f>
        <v>COMERCIAL</v>
      </c>
      <c r="L1988" s="77">
        <f>IFERROR(VLOOKUP(DESPESAS[[#This Row],[Plano de Contas]],BASE!$B$3:$H$119,6,FALSE),"")</f>
        <v>0</v>
      </c>
      <c r="M1988" s="77" t="str">
        <f>VLOOKUP(DESPESAS[[#This Row],[Plano de Contas]],BASE!$B$3:$H$119,7,FALSE)</f>
        <v>THAIS</v>
      </c>
    </row>
    <row r="1989" spans="1:13" x14ac:dyDescent="0.25">
      <c r="A1989" s="74">
        <v>198809</v>
      </c>
      <c r="B1989" s="75" t="s">
        <v>232</v>
      </c>
      <c r="C1989" s="75" t="s">
        <v>1802</v>
      </c>
      <c r="D1989" s="76">
        <v>46077</v>
      </c>
      <c r="E1989" s="75" t="s">
        <v>1801</v>
      </c>
      <c r="F1989" s="74">
        <v>131.22</v>
      </c>
      <c r="G1989" s="75" t="s">
        <v>326</v>
      </c>
      <c r="H1989" s="77" t="str">
        <f>VLOOKUP(DESPESAS[[#This Row],[Plano de Contas]],BASE!$B$3:$D$119,3,FALSE)</f>
        <v>Frete sobre Compras</v>
      </c>
      <c r="I1989" s="77" t="str">
        <f>IFERROR(VLOOKUP(DESPESAS[[#This Row],[Fornecedor]],Tabela2[],2,FALSE),"")</f>
        <v/>
      </c>
      <c r="J1989" s="77" t="str">
        <f>IFERROR(VLOOKUP(DESPESAS[[#This Row],[Plano de Contas]],BASE!$B$3:$F$119,4,FALSE),"")</f>
        <v>1 - CPV</v>
      </c>
      <c r="K1989" s="77" t="str">
        <f>IFERROR(VLOOKUP(DESPESAS[[#This Row],[Plano de Contas]],BASE!$B$3:$H$119,5,FALSE),"")</f>
        <v>COMPRAS</v>
      </c>
      <c r="L1989" s="77">
        <f>IFERROR(VLOOKUP(DESPESAS[[#This Row],[Plano de Contas]],BASE!$B$3:$H$119,6,FALSE),"")</f>
        <v>0</v>
      </c>
      <c r="M1989" s="77" t="str">
        <f>VLOOKUP(DESPESAS[[#This Row],[Plano de Contas]],BASE!$B$3:$H$119,7,FALSE)</f>
        <v>MYLENA</v>
      </c>
    </row>
    <row r="1990" spans="1:13" x14ac:dyDescent="0.25">
      <c r="A1990" s="74">
        <v>198810</v>
      </c>
      <c r="B1990" s="75" t="s">
        <v>221</v>
      </c>
      <c r="C1990" s="75" t="s">
        <v>1800</v>
      </c>
      <c r="D1990" s="76">
        <v>46080</v>
      </c>
      <c r="E1990" s="75" t="s">
        <v>256</v>
      </c>
      <c r="F1990" s="74">
        <v>594</v>
      </c>
      <c r="G1990" s="75" t="s">
        <v>255</v>
      </c>
      <c r="H1990" s="77" t="str">
        <f>VLOOKUP(DESPESAS[[#This Row],[Plano de Contas]],BASE!$B$3:$D$119,3,FALSE)</f>
        <v>Mostruário de Tecido</v>
      </c>
      <c r="I1990" s="77" t="str">
        <f>IFERROR(VLOOKUP(DESPESAS[[#This Row],[Fornecedor]],Tabela2[],2,FALSE),"")</f>
        <v/>
      </c>
      <c r="J1990" s="77" t="str">
        <f>IFERROR(VLOOKUP(DESPESAS[[#This Row],[Plano de Contas]],BASE!$B$3:$F$119,4,FALSE),"")</f>
        <v>6 - DESPESA COM VENDAS</v>
      </c>
      <c r="K1990" s="77" t="str">
        <f>IFERROR(VLOOKUP(DESPESAS[[#This Row],[Plano de Contas]],BASE!$B$3:$H$119,5,FALSE),"")</f>
        <v>COMERCIAL</v>
      </c>
      <c r="L1990" s="77">
        <f>IFERROR(VLOOKUP(DESPESAS[[#This Row],[Plano de Contas]],BASE!$B$3:$H$119,6,FALSE),"")</f>
        <v>0</v>
      </c>
      <c r="M1990" s="77" t="str">
        <f>VLOOKUP(DESPESAS[[#This Row],[Plano de Contas]],BASE!$B$3:$H$119,7,FALSE)</f>
        <v>LETÍCIA</v>
      </c>
    </row>
    <row r="1991" spans="1:13" x14ac:dyDescent="0.25">
      <c r="A1991" s="74">
        <v>198811</v>
      </c>
      <c r="B1991" s="75" t="s">
        <v>232</v>
      </c>
      <c r="C1991" s="75" t="s">
        <v>1799</v>
      </c>
      <c r="D1991" s="76">
        <v>46080</v>
      </c>
      <c r="E1991" s="75" t="s">
        <v>327</v>
      </c>
      <c r="F1991" s="74">
        <v>92.25</v>
      </c>
      <c r="G1991" s="75" t="s">
        <v>244</v>
      </c>
      <c r="H1991" s="77" t="str">
        <f>VLOOKUP(DESPESAS[[#This Row],[Plano de Contas]],BASE!$B$3:$D$119,3,FALSE)</f>
        <v>Material de Expediente (Prod)</v>
      </c>
      <c r="I1991" s="77" t="str">
        <f>IFERROR(VLOOKUP(DESPESAS[[#This Row],[Fornecedor]],Tabela2[],2,FALSE),"")</f>
        <v>SERVIÇOS FRETE</v>
      </c>
      <c r="J1991" s="77" t="str">
        <f>IFERROR(VLOOKUP(DESPESAS[[#This Row],[Plano de Contas]],BASE!$B$3:$F$119,4,FALSE),"")</f>
        <v>2 - CUSTOS DIRETOS</v>
      </c>
      <c r="K1991" s="77" t="str">
        <f>IFERROR(VLOOKUP(DESPESAS[[#This Row],[Plano de Contas]],BASE!$B$3:$H$119,5,FALSE),"")</f>
        <v>PRODUÇÃO</v>
      </c>
      <c r="L1991" s="77">
        <f>IFERROR(VLOOKUP(DESPESAS[[#This Row],[Plano de Contas]],BASE!$B$3:$H$119,6,FALSE),"")</f>
        <v>0</v>
      </c>
      <c r="M1991" s="77" t="str">
        <f>VLOOKUP(DESPESAS[[#This Row],[Plano de Contas]],BASE!$B$3:$H$119,7,FALSE)</f>
        <v>RAFAEL</v>
      </c>
    </row>
    <row r="1992" spans="1:13" x14ac:dyDescent="0.25">
      <c r="A1992" s="74">
        <v>198812</v>
      </c>
      <c r="B1992" s="75" t="s">
        <v>232</v>
      </c>
      <c r="C1992" s="75" t="s">
        <v>1798</v>
      </c>
      <c r="D1992" s="76">
        <v>46080</v>
      </c>
      <c r="E1992" s="75" t="s">
        <v>1435</v>
      </c>
      <c r="F1992" s="74">
        <v>1680</v>
      </c>
      <c r="G1992" s="75" t="s">
        <v>244</v>
      </c>
      <c r="H1992" s="77" t="str">
        <f>VLOOKUP(DESPESAS[[#This Row],[Plano de Contas]],BASE!$B$3:$D$119,3,FALSE)</f>
        <v>Material de Expediente (Prod)</v>
      </c>
      <c r="I1992" s="77" t="str">
        <f>IFERROR(VLOOKUP(DESPESAS[[#This Row],[Fornecedor]],Tabela2[],2,FALSE),"")</f>
        <v/>
      </c>
      <c r="J1992" s="77" t="str">
        <f>IFERROR(VLOOKUP(DESPESAS[[#This Row],[Plano de Contas]],BASE!$B$3:$F$119,4,FALSE),"")</f>
        <v>2 - CUSTOS DIRETOS</v>
      </c>
      <c r="K1992" s="77" t="str">
        <f>IFERROR(VLOOKUP(DESPESAS[[#This Row],[Plano de Contas]],BASE!$B$3:$H$119,5,FALSE),"")</f>
        <v>PRODUÇÃO</v>
      </c>
      <c r="L1992" s="77">
        <f>IFERROR(VLOOKUP(DESPESAS[[#This Row],[Plano de Contas]],BASE!$B$3:$H$119,6,FALSE),"")</f>
        <v>0</v>
      </c>
      <c r="M1992" s="77" t="str">
        <f>VLOOKUP(DESPESAS[[#This Row],[Plano de Contas]],BASE!$B$3:$H$119,7,FALSE)</f>
        <v>RAFAEL</v>
      </c>
    </row>
    <row r="1993" spans="1:13" x14ac:dyDescent="0.25">
      <c r="A1993" s="74">
        <v>198813</v>
      </c>
      <c r="B1993" s="75" t="s">
        <v>232</v>
      </c>
      <c r="C1993" s="75" t="s">
        <v>1797</v>
      </c>
      <c r="D1993" s="76">
        <v>46077</v>
      </c>
      <c r="E1993" s="75" t="s">
        <v>327</v>
      </c>
      <c r="F1993" s="74">
        <v>246.09</v>
      </c>
      <c r="G1993" s="75" t="s">
        <v>326</v>
      </c>
      <c r="H1993" s="77" t="str">
        <f>VLOOKUP(DESPESAS[[#This Row],[Plano de Contas]],BASE!$B$3:$D$119,3,FALSE)</f>
        <v>Frete sobre Compras</v>
      </c>
      <c r="I1993" s="77" t="str">
        <f>IFERROR(VLOOKUP(DESPESAS[[#This Row],[Fornecedor]],Tabela2[],2,FALSE),"")</f>
        <v>SERVIÇOS FRETE</v>
      </c>
      <c r="J1993" s="77" t="str">
        <f>IFERROR(VLOOKUP(DESPESAS[[#This Row],[Plano de Contas]],BASE!$B$3:$F$119,4,FALSE),"")</f>
        <v>1 - CPV</v>
      </c>
      <c r="K1993" s="77" t="str">
        <f>IFERROR(VLOOKUP(DESPESAS[[#This Row],[Plano de Contas]],BASE!$B$3:$H$119,5,FALSE),"")</f>
        <v>COMPRAS</v>
      </c>
      <c r="L1993" s="77">
        <f>IFERROR(VLOOKUP(DESPESAS[[#This Row],[Plano de Contas]],BASE!$B$3:$H$119,6,FALSE),"")</f>
        <v>0</v>
      </c>
      <c r="M1993" s="77" t="str">
        <f>VLOOKUP(DESPESAS[[#This Row],[Plano de Contas]],BASE!$B$3:$H$119,7,FALSE)</f>
        <v>MYLENA</v>
      </c>
    </row>
    <row r="1994" spans="1:13" x14ac:dyDescent="0.25">
      <c r="A1994" s="74">
        <v>198814</v>
      </c>
      <c r="B1994" s="75" t="s">
        <v>232</v>
      </c>
      <c r="C1994" s="75" t="s">
        <v>1796</v>
      </c>
      <c r="D1994" s="76">
        <v>46078</v>
      </c>
      <c r="E1994" s="75" t="s">
        <v>327</v>
      </c>
      <c r="F1994" s="74">
        <v>215.99</v>
      </c>
      <c r="G1994" s="75" t="s">
        <v>326</v>
      </c>
      <c r="H1994" s="77" t="str">
        <f>VLOOKUP(DESPESAS[[#This Row],[Plano de Contas]],BASE!$B$3:$D$119,3,FALSE)</f>
        <v>Frete sobre Compras</v>
      </c>
      <c r="I1994" s="77" t="str">
        <f>IFERROR(VLOOKUP(DESPESAS[[#This Row],[Fornecedor]],Tabela2[],2,FALSE),"")</f>
        <v>SERVIÇOS FRETE</v>
      </c>
      <c r="J1994" s="77" t="str">
        <f>IFERROR(VLOOKUP(DESPESAS[[#This Row],[Plano de Contas]],BASE!$B$3:$F$119,4,FALSE),"")</f>
        <v>1 - CPV</v>
      </c>
      <c r="K1994" s="77" t="str">
        <f>IFERROR(VLOOKUP(DESPESAS[[#This Row],[Plano de Contas]],BASE!$B$3:$H$119,5,FALSE),"")</f>
        <v>COMPRAS</v>
      </c>
      <c r="L1994" s="77">
        <f>IFERROR(VLOOKUP(DESPESAS[[#This Row],[Plano de Contas]],BASE!$B$3:$H$119,6,FALSE),"")</f>
        <v>0</v>
      </c>
      <c r="M1994" s="77" t="str">
        <f>VLOOKUP(DESPESAS[[#This Row],[Plano de Contas]],BASE!$B$3:$H$119,7,FALSE)</f>
        <v>MYLENA</v>
      </c>
    </row>
    <row r="1995" spans="1:13" x14ac:dyDescent="0.25">
      <c r="A1995" s="74">
        <v>198815</v>
      </c>
      <c r="B1995" s="75" t="s">
        <v>232</v>
      </c>
      <c r="C1995" s="75" t="s">
        <v>1795</v>
      </c>
      <c r="D1995" s="76">
        <v>46077</v>
      </c>
      <c r="E1995" s="75" t="s">
        <v>327</v>
      </c>
      <c r="F1995" s="74">
        <v>102.91</v>
      </c>
      <c r="G1995" s="75" t="s">
        <v>326</v>
      </c>
      <c r="H1995" s="77" t="str">
        <f>VLOOKUP(DESPESAS[[#This Row],[Plano de Contas]],BASE!$B$3:$D$119,3,FALSE)</f>
        <v>Frete sobre Compras</v>
      </c>
      <c r="I1995" s="77" t="str">
        <f>IFERROR(VLOOKUP(DESPESAS[[#This Row],[Fornecedor]],Tabela2[],2,FALSE),"")</f>
        <v>SERVIÇOS FRETE</v>
      </c>
      <c r="J1995" s="77" t="str">
        <f>IFERROR(VLOOKUP(DESPESAS[[#This Row],[Plano de Contas]],BASE!$B$3:$F$119,4,FALSE),"")</f>
        <v>1 - CPV</v>
      </c>
      <c r="K1995" s="77" t="str">
        <f>IFERROR(VLOOKUP(DESPESAS[[#This Row],[Plano de Contas]],BASE!$B$3:$H$119,5,FALSE),"")</f>
        <v>COMPRAS</v>
      </c>
      <c r="L1995" s="77">
        <f>IFERROR(VLOOKUP(DESPESAS[[#This Row],[Plano de Contas]],BASE!$B$3:$H$119,6,FALSE),"")</f>
        <v>0</v>
      </c>
      <c r="M1995" s="77" t="str">
        <f>VLOOKUP(DESPESAS[[#This Row],[Plano de Contas]],BASE!$B$3:$H$119,7,FALSE)</f>
        <v>MYLENA</v>
      </c>
    </row>
    <row r="1996" spans="1:13" x14ac:dyDescent="0.25">
      <c r="A1996" s="74">
        <v>198816</v>
      </c>
      <c r="B1996" s="75" t="s">
        <v>232</v>
      </c>
      <c r="C1996" s="75" t="s">
        <v>1794</v>
      </c>
      <c r="D1996" s="76">
        <v>46078</v>
      </c>
      <c r="E1996" s="75" t="s">
        <v>499</v>
      </c>
      <c r="F1996" s="74">
        <v>170.89</v>
      </c>
      <c r="G1996" s="75" t="s">
        <v>326</v>
      </c>
      <c r="H1996" s="77" t="str">
        <f>VLOOKUP(DESPESAS[[#This Row],[Plano de Contas]],BASE!$B$3:$D$119,3,FALSE)</f>
        <v>Frete sobre Compras</v>
      </c>
      <c r="I1996" s="77" t="str">
        <f>IFERROR(VLOOKUP(DESPESAS[[#This Row],[Fornecedor]],Tabela2[],2,FALSE),"")</f>
        <v/>
      </c>
      <c r="J1996" s="77" t="str">
        <f>IFERROR(VLOOKUP(DESPESAS[[#This Row],[Plano de Contas]],BASE!$B$3:$F$119,4,FALSE),"")</f>
        <v>1 - CPV</v>
      </c>
      <c r="K1996" s="77" t="str">
        <f>IFERROR(VLOOKUP(DESPESAS[[#This Row],[Plano de Contas]],BASE!$B$3:$H$119,5,FALSE),"")</f>
        <v>COMPRAS</v>
      </c>
      <c r="L1996" s="77">
        <f>IFERROR(VLOOKUP(DESPESAS[[#This Row],[Plano de Contas]],BASE!$B$3:$H$119,6,FALSE),"")</f>
        <v>0</v>
      </c>
      <c r="M1996" s="77" t="str">
        <f>VLOOKUP(DESPESAS[[#This Row],[Plano de Contas]],BASE!$B$3:$H$119,7,FALSE)</f>
        <v>MYLENA</v>
      </c>
    </row>
    <row r="1997" spans="1:13" x14ac:dyDescent="0.25">
      <c r="A1997" s="74">
        <v>198817</v>
      </c>
      <c r="B1997" s="75" t="s">
        <v>232</v>
      </c>
      <c r="C1997" s="75" t="s">
        <v>1793</v>
      </c>
      <c r="D1997" s="76">
        <v>46077</v>
      </c>
      <c r="E1997" s="75" t="s">
        <v>327</v>
      </c>
      <c r="F1997" s="74">
        <v>170.41</v>
      </c>
      <c r="G1997" s="75" t="s">
        <v>326</v>
      </c>
      <c r="H1997" s="77" t="str">
        <f>VLOOKUP(DESPESAS[[#This Row],[Plano de Contas]],BASE!$B$3:$D$119,3,FALSE)</f>
        <v>Frete sobre Compras</v>
      </c>
      <c r="I1997" s="77" t="str">
        <f>IFERROR(VLOOKUP(DESPESAS[[#This Row],[Fornecedor]],Tabela2[],2,FALSE),"")</f>
        <v>SERVIÇOS FRETE</v>
      </c>
      <c r="J1997" s="77" t="str">
        <f>IFERROR(VLOOKUP(DESPESAS[[#This Row],[Plano de Contas]],BASE!$B$3:$F$119,4,FALSE),"")</f>
        <v>1 - CPV</v>
      </c>
      <c r="K1997" s="77" t="str">
        <f>IFERROR(VLOOKUP(DESPESAS[[#This Row],[Plano de Contas]],BASE!$B$3:$H$119,5,FALSE),"")</f>
        <v>COMPRAS</v>
      </c>
      <c r="L1997" s="77">
        <f>IFERROR(VLOOKUP(DESPESAS[[#This Row],[Plano de Contas]],BASE!$B$3:$H$119,6,FALSE),"")</f>
        <v>0</v>
      </c>
      <c r="M1997" s="77" t="str">
        <f>VLOOKUP(DESPESAS[[#This Row],[Plano de Contas]],BASE!$B$3:$H$119,7,FALSE)</f>
        <v>MYLENA</v>
      </c>
    </row>
    <row r="1998" spans="1:13" x14ac:dyDescent="0.25">
      <c r="A1998" s="74">
        <v>198818</v>
      </c>
      <c r="B1998" s="75" t="s">
        <v>232</v>
      </c>
      <c r="C1998" s="75" t="s">
        <v>1792</v>
      </c>
      <c r="D1998" s="76">
        <v>46078</v>
      </c>
      <c r="E1998" s="75" t="s">
        <v>327</v>
      </c>
      <c r="F1998" s="74">
        <v>343.17</v>
      </c>
      <c r="G1998" s="75" t="s">
        <v>326</v>
      </c>
      <c r="H1998" s="77" t="str">
        <f>VLOOKUP(DESPESAS[[#This Row],[Plano de Contas]],BASE!$B$3:$D$119,3,FALSE)</f>
        <v>Frete sobre Compras</v>
      </c>
      <c r="I1998" s="77" t="str">
        <f>IFERROR(VLOOKUP(DESPESAS[[#This Row],[Fornecedor]],Tabela2[],2,FALSE),"")</f>
        <v>SERVIÇOS FRETE</v>
      </c>
      <c r="J1998" s="77" t="str">
        <f>IFERROR(VLOOKUP(DESPESAS[[#This Row],[Plano de Contas]],BASE!$B$3:$F$119,4,FALSE),"")</f>
        <v>1 - CPV</v>
      </c>
      <c r="K1998" s="77" t="str">
        <f>IFERROR(VLOOKUP(DESPESAS[[#This Row],[Plano de Contas]],BASE!$B$3:$H$119,5,FALSE),"")</f>
        <v>COMPRAS</v>
      </c>
      <c r="L1998" s="77">
        <f>IFERROR(VLOOKUP(DESPESAS[[#This Row],[Plano de Contas]],BASE!$B$3:$H$119,6,FALSE),"")</f>
        <v>0</v>
      </c>
      <c r="M1998" s="77" t="str">
        <f>VLOOKUP(DESPESAS[[#This Row],[Plano de Contas]],BASE!$B$3:$H$119,7,FALSE)</f>
        <v>MYLENA</v>
      </c>
    </row>
    <row r="1999" spans="1:13" x14ac:dyDescent="0.25">
      <c r="A1999" s="74">
        <v>198819</v>
      </c>
      <c r="B1999" s="75" t="s">
        <v>221</v>
      </c>
      <c r="C1999" s="75" t="s">
        <v>1791</v>
      </c>
      <c r="D1999" s="76">
        <v>46080</v>
      </c>
      <c r="E1999" s="75" t="s">
        <v>338</v>
      </c>
      <c r="F1999" s="74">
        <v>62</v>
      </c>
      <c r="G1999" s="75" t="s">
        <v>337</v>
      </c>
      <c r="H1999" s="77" t="str">
        <f>VLOOKUP(DESPESAS[[#This Row],[Plano de Contas]],BASE!$B$3:$D$119,3,FALSE)</f>
        <v>Vigilancia e Seguranca</v>
      </c>
      <c r="I1999" s="77" t="str">
        <f>IFERROR(VLOOKUP(DESPESAS[[#This Row],[Fornecedor]],Tabela2[],2,FALSE),"")</f>
        <v/>
      </c>
      <c r="J1999" s="77" t="str">
        <f>IFERROR(VLOOKUP(DESPESAS[[#This Row],[Plano de Contas]],BASE!$B$3:$F$119,4,FALSE),"")</f>
        <v>7 - SERVIÇOS DE TERCEIROS</v>
      </c>
      <c r="K1999" s="77" t="str">
        <f>IFERROR(VLOOKUP(DESPESAS[[#This Row],[Plano de Contas]],BASE!$B$3:$H$119,5,FALSE),"")</f>
        <v>FINANCEIRO</v>
      </c>
      <c r="L1999" s="77">
        <f>IFERROR(VLOOKUP(DESPESAS[[#This Row],[Plano de Contas]],BASE!$B$3:$H$119,6,FALSE),"")</f>
        <v>0</v>
      </c>
      <c r="M1999" s="77" t="str">
        <f>VLOOKUP(DESPESAS[[#This Row],[Plano de Contas]],BASE!$B$3:$H$119,7,FALSE)</f>
        <v>LETÍCIA</v>
      </c>
    </row>
    <row r="2000" spans="1:13" x14ac:dyDescent="0.25">
      <c r="A2000" s="74">
        <v>198820</v>
      </c>
      <c r="B2000" s="75" t="s">
        <v>232</v>
      </c>
      <c r="C2000" s="75" t="s">
        <v>1790</v>
      </c>
      <c r="D2000" s="76">
        <v>46080</v>
      </c>
      <c r="E2000" s="75" t="s">
        <v>1789</v>
      </c>
      <c r="F2000" s="74">
        <v>600</v>
      </c>
      <c r="G2000" s="75" t="s">
        <v>244</v>
      </c>
      <c r="H2000" s="77" t="str">
        <f>VLOOKUP(DESPESAS[[#This Row],[Plano de Contas]],BASE!$B$3:$D$119,3,FALSE)</f>
        <v>Material de Expediente (Prod)</v>
      </c>
      <c r="I2000" s="77" t="str">
        <f>IFERROR(VLOOKUP(DESPESAS[[#This Row],[Fornecedor]],Tabela2[],2,FALSE),"")</f>
        <v/>
      </c>
      <c r="J2000" s="77" t="str">
        <f>IFERROR(VLOOKUP(DESPESAS[[#This Row],[Plano de Contas]],BASE!$B$3:$F$119,4,FALSE),"")</f>
        <v>2 - CUSTOS DIRETOS</v>
      </c>
      <c r="K2000" s="77" t="str">
        <f>IFERROR(VLOOKUP(DESPESAS[[#This Row],[Plano de Contas]],BASE!$B$3:$H$119,5,FALSE),"")</f>
        <v>PRODUÇÃO</v>
      </c>
      <c r="L2000" s="77">
        <f>IFERROR(VLOOKUP(DESPESAS[[#This Row],[Plano de Contas]],BASE!$B$3:$H$119,6,FALSE),"")</f>
        <v>0</v>
      </c>
      <c r="M2000" s="77" t="str">
        <f>VLOOKUP(DESPESAS[[#This Row],[Plano de Contas]],BASE!$B$3:$H$119,7,FALSE)</f>
        <v>RAFAEL</v>
      </c>
    </row>
    <row r="2001" spans="1:13" x14ac:dyDescent="0.25">
      <c r="A2001" s="74">
        <v>198821</v>
      </c>
      <c r="B2001" s="75" t="s">
        <v>232</v>
      </c>
      <c r="C2001" s="75" t="s">
        <v>1788</v>
      </c>
      <c r="D2001" s="76">
        <v>46080</v>
      </c>
      <c r="E2001" s="75" t="s">
        <v>230</v>
      </c>
      <c r="F2001" s="74">
        <v>0.75</v>
      </c>
      <c r="G2001" s="75" t="s">
        <v>229</v>
      </c>
      <c r="H2001" s="77" t="str">
        <f>VLOOKUP(DESPESAS[[#This Row],[Plano de Contas]],BASE!$B$3:$D$119,3,FALSE)</f>
        <v>Despesas Bancarias</v>
      </c>
      <c r="I2001" s="77" t="str">
        <f>IFERROR(VLOOKUP(DESPESAS[[#This Row],[Fornecedor]],Tabela2[],2,FALSE),"")</f>
        <v/>
      </c>
      <c r="J2001" s="77" t="str">
        <f>IFERROR(VLOOKUP(DESPESAS[[#This Row],[Plano de Contas]],BASE!$B$3:$F$119,4,FALSE),"")</f>
        <v>8 - DESPESAS FINANCEIRAS</v>
      </c>
      <c r="K2001" s="77" t="str">
        <f>IFERROR(VLOOKUP(DESPESAS[[#This Row],[Plano de Contas]],BASE!$B$3:$H$119,5,FALSE),"")</f>
        <v>FINANCEIRO</v>
      </c>
      <c r="L2001" s="77">
        <f>IFERROR(VLOOKUP(DESPESAS[[#This Row],[Plano de Contas]],BASE!$B$3:$H$119,6,FALSE),"")</f>
        <v>0</v>
      </c>
      <c r="M2001" s="77" t="str">
        <f>VLOOKUP(DESPESAS[[#This Row],[Plano de Contas]],BASE!$B$3:$H$119,7,FALSE)</f>
        <v>LETÍCIA</v>
      </c>
    </row>
    <row r="2002" spans="1:13" x14ac:dyDescent="0.25">
      <c r="A2002" s="74">
        <v>198822</v>
      </c>
      <c r="B2002" s="75" t="s">
        <v>232</v>
      </c>
      <c r="C2002" s="75" t="s">
        <v>1787</v>
      </c>
      <c r="D2002" s="76">
        <v>46080</v>
      </c>
      <c r="E2002" s="75" t="s">
        <v>230</v>
      </c>
      <c r="F2002" s="74">
        <v>7.0000000000000007E-2</v>
      </c>
      <c r="G2002" s="75" t="s">
        <v>229</v>
      </c>
      <c r="H2002" s="77" t="str">
        <f>VLOOKUP(DESPESAS[[#This Row],[Plano de Contas]],BASE!$B$3:$D$119,3,FALSE)</f>
        <v>Despesas Bancarias</v>
      </c>
      <c r="I2002" s="77" t="str">
        <f>IFERROR(VLOOKUP(DESPESAS[[#This Row],[Fornecedor]],Tabela2[],2,FALSE),"")</f>
        <v/>
      </c>
      <c r="J2002" s="77" t="str">
        <f>IFERROR(VLOOKUP(DESPESAS[[#This Row],[Plano de Contas]],BASE!$B$3:$F$119,4,FALSE),"")</f>
        <v>8 - DESPESAS FINANCEIRAS</v>
      </c>
      <c r="K2002" s="77" t="str">
        <f>IFERROR(VLOOKUP(DESPESAS[[#This Row],[Plano de Contas]],BASE!$B$3:$H$119,5,FALSE),"")</f>
        <v>FINANCEIRO</v>
      </c>
      <c r="L2002" s="77">
        <f>IFERROR(VLOOKUP(DESPESAS[[#This Row],[Plano de Contas]],BASE!$B$3:$H$119,6,FALSE),"")</f>
        <v>0</v>
      </c>
      <c r="M2002" s="77" t="str">
        <f>VLOOKUP(DESPESAS[[#This Row],[Plano de Contas]],BASE!$B$3:$H$119,7,FALSE)</f>
        <v>LETÍCIA</v>
      </c>
    </row>
    <row r="2003" spans="1:13" x14ac:dyDescent="0.25">
      <c r="A2003" s="74">
        <v>198823</v>
      </c>
      <c r="B2003" s="75" t="s">
        <v>232</v>
      </c>
      <c r="C2003" s="75" t="s">
        <v>1786</v>
      </c>
      <c r="D2003" s="76">
        <v>46080</v>
      </c>
      <c r="E2003" s="75" t="s">
        <v>230</v>
      </c>
      <c r="F2003" s="74">
        <v>5.53</v>
      </c>
      <c r="G2003" s="75" t="s">
        <v>229</v>
      </c>
      <c r="H2003" s="77" t="str">
        <f>VLOOKUP(DESPESAS[[#This Row],[Plano de Contas]],BASE!$B$3:$D$119,3,FALSE)</f>
        <v>Despesas Bancarias</v>
      </c>
      <c r="I2003" s="77" t="str">
        <f>IFERROR(VLOOKUP(DESPESAS[[#This Row],[Fornecedor]],Tabela2[],2,FALSE),"")</f>
        <v/>
      </c>
      <c r="J2003" s="77" t="str">
        <f>IFERROR(VLOOKUP(DESPESAS[[#This Row],[Plano de Contas]],BASE!$B$3:$F$119,4,FALSE),"")</f>
        <v>8 - DESPESAS FINANCEIRAS</v>
      </c>
      <c r="K2003" s="77" t="str">
        <f>IFERROR(VLOOKUP(DESPESAS[[#This Row],[Plano de Contas]],BASE!$B$3:$H$119,5,FALSE),"")</f>
        <v>FINANCEIRO</v>
      </c>
      <c r="L2003" s="77">
        <f>IFERROR(VLOOKUP(DESPESAS[[#This Row],[Plano de Contas]],BASE!$B$3:$H$119,6,FALSE),"")</f>
        <v>0</v>
      </c>
      <c r="M2003" s="77" t="str">
        <f>VLOOKUP(DESPESAS[[#This Row],[Plano de Contas]],BASE!$B$3:$H$119,7,FALSE)</f>
        <v>LETÍCIA</v>
      </c>
    </row>
    <row r="2004" spans="1:13" x14ac:dyDescent="0.25">
      <c r="A2004" s="74">
        <v>198824</v>
      </c>
      <c r="B2004" s="75" t="s">
        <v>279</v>
      </c>
      <c r="C2004" s="75" t="s">
        <v>1785</v>
      </c>
      <c r="D2004" s="76">
        <v>46080</v>
      </c>
      <c r="E2004" s="75" t="s">
        <v>230</v>
      </c>
      <c r="F2004" s="74">
        <v>3.16</v>
      </c>
      <c r="G2004" s="75" t="s">
        <v>229</v>
      </c>
      <c r="H2004" s="77" t="str">
        <f>VLOOKUP(DESPESAS[[#This Row],[Plano de Contas]],BASE!$B$3:$D$119,3,FALSE)</f>
        <v>Despesas Bancarias</v>
      </c>
      <c r="I2004" s="77" t="str">
        <f>IFERROR(VLOOKUP(DESPESAS[[#This Row],[Fornecedor]],Tabela2[],2,FALSE),"")</f>
        <v/>
      </c>
      <c r="J2004" s="77" t="str">
        <f>IFERROR(VLOOKUP(DESPESAS[[#This Row],[Plano de Contas]],BASE!$B$3:$F$119,4,FALSE),"")</f>
        <v>8 - DESPESAS FINANCEIRAS</v>
      </c>
      <c r="K2004" s="77" t="str">
        <f>IFERROR(VLOOKUP(DESPESAS[[#This Row],[Plano de Contas]],BASE!$B$3:$H$119,5,FALSE),"")</f>
        <v>FINANCEIRO</v>
      </c>
      <c r="L2004" s="77">
        <f>IFERROR(VLOOKUP(DESPESAS[[#This Row],[Plano de Contas]],BASE!$B$3:$H$119,6,FALSE),"")</f>
        <v>0</v>
      </c>
      <c r="M2004" s="77" t="str">
        <f>VLOOKUP(DESPESAS[[#This Row],[Plano de Contas]],BASE!$B$3:$H$119,7,FALSE)</f>
        <v>LETÍCIA</v>
      </c>
    </row>
    <row r="2005" spans="1:13" x14ac:dyDescent="0.25">
      <c r="A2005" s="74">
        <v>198825</v>
      </c>
      <c r="B2005" s="75" t="s">
        <v>279</v>
      </c>
      <c r="C2005" s="75" t="s">
        <v>1784</v>
      </c>
      <c r="D2005" s="76">
        <v>46083</v>
      </c>
      <c r="E2005" s="75" t="s">
        <v>230</v>
      </c>
      <c r="F2005" s="74">
        <v>0.3</v>
      </c>
      <c r="G2005" s="75" t="s">
        <v>229</v>
      </c>
      <c r="H2005" s="77" t="str">
        <f>VLOOKUP(DESPESAS[[#This Row],[Plano de Contas]],BASE!$B$3:$D$119,3,FALSE)</f>
        <v>Despesas Bancarias</v>
      </c>
      <c r="I2005" s="77" t="str">
        <f>IFERROR(VLOOKUP(DESPESAS[[#This Row],[Fornecedor]],Tabela2[],2,FALSE),"")</f>
        <v/>
      </c>
      <c r="J2005" s="77" t="str">
        <f>IFERROR(VLOOKUP(DESPESAS[[#This Row],[Plano de Contas]],BASE!$B$3:$F$119,4,FALSE),"")</f>
        <v>8 - DESPESAS FINANCEIRAS</v>
      </c>
      <c r="K2005" s="77" t="str">
        <f>IFERROR(VLOOKUP(DESPESAS[[#This Row],[Plano de Contas]],BASE!$B$3:$H$119,5,FALSE),"")</f>
        <v>FINANCEIRO</v>
      </c>
      <c r="L2005" s="77">
        <f>IFERROR(VLOOKUP(DESPESAS[[#This Row],[Plano de Contas]],BASE!$B$3:$H$119,6,FALSE),"")</f>
        <v>0</v>
      </c>
      <c r="M2005" s="77" t="str">
        <f>VLOOKUP(DESPESAS[[#This Row],[Plano de Contas]],BASE!$B$3:$H$119,7,FALSE)</f>
        <v>LETÍCIA</v>
      </c>
    </row>
    <row r="2006" spans="1:13" x14ac:dyDescent="0.25">
      <c r="A2006" s="74">
        <v>198826</v>
      </c>
      <c r="B2006" s="75" t="s">
        <v>232</v>
      </c>
      <c r="C2006" s="75" t="s">
        <v>1783</v>
      </c>
      <c r="D2006" s="76">
        <v>46080</v>
      </c>
      <c r="E2006" s="75" t="s">
        <v>1781</v>
      </c>
      <c r="F2006" s="74">
        <v>1250</v>
      </c>
      <c r="G2006" s="75" t="s">
        <v>247</v>
      </c>
      <c r="H2006" s="77" t="str">
        <f>VLOOKUP(DESPESAS[[#This Row],[Plano de Contas]],BASE!$B$3:$D$119,3,FALSE)</f>
        <v>Manutenção com veiculos</v>
      </c>
      <c r="I2006" s="77" t="str">
        <f>IFERROR(VLOOKUP(DESPESAS[[#This Row],[Fornecedor]],Tabela2[],2,FALSE),"")</f>
        <v/>
      </c>
      <c r="J2006" s="77" t="str">
        <f>IFERROR(VLOOKUP(DESPESAS[[#This Row],[Plano de Contas]],BASE!$B$3:$F$119,4,FALSE),"")</f>
        <v>6 - DESPESA COM VENDAS</v>
      </c>
      <c r="K2006" s="77" t="str">
        <f>IFERROR(VLOOKUP(DESPESAS[[#This Row],[Plano de Contas]],BASE!$B$3:$H$119,5,FALSE),"")</f>
        <v>LOGÍSTICA</v>
      </c>
      <c r="L2006" s="77">
        <f>IFERROR(VLOOKUP(DESPESAS[[#This Row],[Plano de Contas]],BASE!$B$3:$H$119,6,FALSE),"")</f>
        <v>0</v>
      </c>
      <c r="M2006" s="77" t="str">
        <f>VLOOKUP(DESPESAS[[#This Row],[Plano de Contas]],BASE!$B$3:$H$119,7,FALSE)</f>
        <v>MYLENA</v>
      </c>
    </row>
    <row r="2007" spans="1:13" x14ac:dyDescent="0.25">
      <c r="A2007" s="74">
        <v>198827</v>
      </c>
      <c r="B2007" s="75" t="s">
        <v>232</v>
      </c>
      <c r="C2007" s="75" t="s">
        <v>1782</v>
      </c>
      <c r="D2007" s="76">
        <v>46080</v>
      </c>
      <c r="E2007" s="75" t="s">
        <v>1781</v>
      </c>
      <c r="F2007" s="74">
        <v>630</v>
      </c>
      <c r="G2007" s="75" t="s">
        <v>247</v>
      </c>
      <c r="H2007" s="77" t="str">
        <f>VLOOKUP(DESPESAS[[#This Row],[Plano de Contas]],BASE!$B$3:$D$119,3,FALSE)</f>
        <v>Manutenção com veiculos</v>
      </c>
      <c r="I2007" s="77" t="str">
        <f>IFERROR(VLOOKUP(DESPESAS[[#This Row],[Fornecedor]],Tabela2[],2,FALSE),"")</f>
        <v/>
      </c>
      <c r="J2007" s="77" t="str">
        <f>IFERROR(VLOOKUP(DESPESAS[[#This Row],[Plano de Contas]],BASE!$B$3:$F$119,4,FALSE),"")</f>
        <v>6 - DESPESA COM VENDAS</v>
      </c>
      <c r="K2007" s="77" t="str">
        <f>IFERROR(VLOOKUP(DESPESAS[[#This Row],[Plano de Contas]],BASE!$B$3:$H$119,5,FALSE),"")</f>
        <v>LOGÍSTICA</v>
      </c>
      <c r="L2007" s="77">
        <f>IFERROR(VLOOKUP(DESPESAS[[#This Row],[Plano de Contas]],BASE!$B$3:$H$119,6,FALSE),"")</f>
        <v>0</v>
      </c>
      <c r="M2007" s="77" t="str">
        <f>VLOOKUP(DESPESAS[[#This Row],[Plano de Contas]],BASE!$B$3:$H$119,7,FALSE)</f>
        <v>MYLENA</v>
      </c>
    </row>
    <row r="2008" spans="1:13" x14ac:dyDescent="0.25">
      <c r="A2008" s="74">
        <v>198828</v>
      </c>
      <c r="B2008" s="75" t="s">
        <v>221</v>
      </c>
      <c r="C2008" s="75" t="s">
        <v>1780</v>
      </c>
      <c r="D2008" s="76">
        <v>46083</v>
      </c>
      <c r="E2008" s="75" t="s">
        <v>1779</v>
      </c>
      <c r="F2008" s="74">
        <v>900</v>
      </c>
      <c r="G2008" s="75" t="s">
        <v>218</v>
      </c>
      <c r="H2008" s="77" t="str">
        <f>VLOOKUP(DESPESAS[[#This Row],[Plano de Contas]],BASE!$B$3:$D$119,3,FALSE)</f>
        <v>Manutenção de Equipamentos (Prod)</v>
      </c>
      <c r="I2008" s="77" t="str">
        <f>IFERROR(VLOOKUP(DESPESAS[[#This Row],[Fornecedor]],Tabela2[],2,FALSE),"")</f>
        <v/>
      </c>
      <c r="J2008" s="77" t="str">
        <f>IFERROR(VLOOKUP(DESPESAS[[#This Row],[Plano de Contas]],BASE!$B$3:$F$119,4,FALSE),"")</f>
        <v>3 - CUSTOS INDIRETOS</v>
      </c>
      <c r="K2008" s="77" t="str">
        <f>IFERROR(VLOOKUP(DESPESAS[[#This Row],[Plano de Contas]],BASE!$B$3:$H$119,5,FALSE),"")</f>
        <v>MANUTENÇÃO / TI</v>
      </c>
      <c r="L2008" s="77">
        <f>IFERROR(VLOOKUP(DESPESAS[[#This Row],[Plano de Contas]],BASE!$B$3:$H$119,6,FALSE),"")</f>
        <v>0</v>
      </c>
      <c r="M2008" s="77" t="str">
        <f>VLOOKUP(DESPESAS[[#This Row],[Plano de Contas]],BASE!$B$3:$H$119,7,FALSE)</f>
        <v>RAFAEL</v>
      </c>
    </row>
    <row r="2009" spans="1:13" x14ac:dyDescent="0.25">
      <c r="A2009" s="74">
        <v>198829</v>
      </c>
      <c r="B2009" s="75" t="s">
        <v>221</v>
      </c>
      <c r="C2009" s="75" t="s">
        <v>1778</v>
      </c>
      <c r="D2009" s="76">
        <v>46081</v>
      </c>
      <c r="E2009" s="75" t="s">
        <v>223</v>
      </c>
      <c r="F2009" s="74">
        <v>105</v>
      </c>
      <c r="G2009" s="75" t="s">
        <v>568</v>
      </c>
      <c r="H2009" s="77" t="str">
        <f>VLOOKUP(DESPESAS[[#This Row],[Plano de Contas]],BASE!$B$3:$D$119,3,FALSE)</f>
        <v>Carregamento</v>
      </c>
      <c r="I2009" s="77" t="str">
        <f>IFERROR(VLOOKUP(DESPESAS[[#This Row],[Fornecedor]],Tabela2[],2,FALSE),"")</f>
        <v/>
      </c>
      <c r="J2009" s="77" t="str">
        <f>IFERROR(VLOOKUP(DESPESAS[[#This Row],[Plano de Contas]],BASE!$B$3:$F$119,4,FALSE),"")</f>
        <v>6 - DESPESA COM VENDAS</v>
      </c>
      <c r="K2009" s="77" t="str">
        <f>IFERROR(VLOOKUP(DESPESAS[[#This Row],[Plano de Contas]],BASE!$B$3:$H$119,5,FALSE),"")</f>
        <v>LOGÍSTICA</v>
      </c>
      <c r="L2009" s="77">
        <f>IFERROR(VLOOKUP(DESPESAS[[#This Row],[Plano de Contas]],BASE!$B$3:$H$119,6,FALSE),"")</f>
        <v>0</v>
      </c>
      <c r="M2009" s="77" t="str">
        <f>VLOOKUP(DESPESAS[[#This Row],[Plano de Contas]],BASE!$B$3:$H$119,7,FALSE)</f>
        <v>MYLENA</v>
      </c>
    </row>
    <row r="2010" spans="1:13" x14ac:dyDescent="0.25">
      <c r="A2010" s="74">
        <v>198831</v>
      </c>
      <c r="B2010" s="75" t="s">
        <v>232</v>
      </c>
      <c r="C2010" s="75" t="s">
        <v>1776</v>
      </c>
      <c r="D2010" s="76">
        <v>46094</v>
      </c>
      <c r="E2010" s="75" t="s">
        <v>1775</v>
      </c>
      <c r="F2010" s="74">
        <v>296.25</v>
      </c>
      <c r="G2010" s="75" t="s">
        <v>747</v>
      </c>
      <c r="H2010" s="77" t="str">
        <f>VLOOKUP(DESPESAS[[#This Row],[Plano de Contas]],BASE!$B$3:$D$119,3,FALSE)</f>
        <v>Cursos e Treinamentos (Adm)</v>
      </c>
      <c r="I2010" s="77" t="str">
        <f>IFERROR(VLOOKUP(DESPESAS[[#This Row],[Fornecedor]],Tabela2[],2,FALSE),"")</f>
        <v/>
      </c>
      <c r="J2010" s="77" t="str">
        <f>IFERROR(VLOOKUP(DESPESAS[[#This Row],[Plano de Contas]],BASE!$B$3:$F$119,4,FALSE),"")</f>
        <v>4 - GASTOS COM PESSOAL</v>
      </c>
      <c r="K2010" s="77" t="str">
        <f>IFERROR(VLOOKUP(DESPESAS[[#This Row],[Plano de Contas]],BASE!$B$3:$H$119,5,FALSE),"")</f>
        <v>DIRETORIA</v>
      </c>
      <c r="L2010" s="77">
        <f>IFERROR(VLOOKUP(DESPESAS[[#This Row],[Plano de Contas]],BASE!$B$3:$H$119,6,FALSE),"")</f>
        <v>0</v>
      </c>
      <c r="M2010" s="77" t="str">
        <f>VLOOKUP(DESPESAS[[#This Row],[Plano de Contas]],BASE!$B$3:$H$119,7,FALSE)</f>
        <v>FÁBIO</v>
      </c>
    </row>
    <row r="2011" spans="1:13" x14ac:dyDescent="0.25">
      <c r="A2011" s="74">
        <v>198832</v>
      </c>
      <c r="B2011" s="75" t="s">
        <v>232</v>
      </c>
      <c r="C2011" s="75" t="s">
        <v>1777</v>
      </c>
      <c r="D2011" s="76">
        <v>46125</v>
      </c>
      <c r="E2011" s="75" t="s">
        <v>1775</v>
      </c>
      <c r="F2011" s="74">
        <v>296.25</v>
      </c>
      <c r="G2011" s="75" t="s">
        <v>747</v>
      </c>
      <c r="H2011" s="77" t="str">
        <f>VLOOKUP(DESPESAS[[#This Row],[Plano de Contas]],BASE!$B$3:$D$119,3,FALSE)</f>
        <v>Cursos e Treinamentos (Adm)</v>
      </c>
      <c r="I2011" s="77" t="str">
        <f>IFERROR(VLOOKUP(DESPESAS[[#This Row],[Fornecedor]],Tabela2[],2,FALSE),"")</f>
        <v/>
      </c>
      <c r="J2011" s="77" t="str">
        <f>IFERROR(VLOOKUP(DESPESAS[[#This Row],[Plano de Contas]],BASE!$B$3:$F$119,4,FALSE),"")</f>
        <v>4 - GASTOS COM PESSOAL</v>
      </c>
      <c r="K2011" s="77" t="str">
        <f>IFERROR(VLOOKUP(DESPESAS[[#This Row],[Plano de Contas]],BASE!$B$3:$H$119,5,FALSE),"")</f>
        <v>DIRETORIA</v>
      </c>
      <c r="L2011" s="77">
        <f>IFERROR(VLOOKUP(DESPESAS[[#This Row],[Plano de Contas]],BASE!$B$3:$H$119,6,FALSE),"")</f>
        <v>0</v>
      </c>
      <c r="M2011" s="77" t="str">
        <f>VLOOKUP(DESPESAS[[#This Row],[Plano de Contas]],BASE!$B$3:$H$119,7,FALSE)</f>
        <v>FÁBIO</v>
      </c>
    </row>
    <row r="2012" spans="1:13" x14ac:dyDescent="0.25">
      <c r="A2012" s="74">
        <v>198842</v>
      </c>
      <c r="B2012" s="75" t="s">
        <v>232</v>
      </c>
      <c r="C2012" s="75" t="s">
        <v>1776</v>
      </c>
      <c r="D2012" s="76">
        <v>46094</v>
      </c>
      <c r="E2012" s="75" t="s">
        <v>1775</v>
      </c>
      <c r="F2012" s="74">
        <v>296.25</v>
      </c>
      <c r="G2012" s="75" t="s">
        <v>627</v>
      </c>
      <c r="H2012" s="77" t="str">
        <f>VLOOKUP(DESPESAS[[#This Row],[Plano de Contas]],BASE!$B$3:$D$119,3,FALSE)</f>
        <v>Salarios e Ordenados (Adm)</v>
      </c>
      <c r="I2012" s="77" t="str">
        <f>IFERROR(VLOOKUP(DESPESAS[[#This Row],[Fornecedor]],Tabela2[],2,FALSE),"")</f>
        <v/>
      </c>
      <c r="J2012" s="77" t="str">
        <f>IFERROR(VLOOKUP(DESPESAS[[#This Row],[Plano de Contas]],BASE!$B$3:$F$119,4,FALSE),"")</f>
        <v>4 - GASTOS COM PESSOAL</v>
      </c>
      <c r="K2012" s="77" t="str">
        <f>IFERROR(VLOOKUP(DESPESAS[[#This Row],[Plano de Contas]],BASE!$B$3:$H$119,5,FALSE),"")</f>
        <v>DH</v>
      </c>
      <c r="L2012" s="77">
        <f>IFERROR(VLOOKUP(DESPESAS[[#This Row],[Plano de Contas]],BASE!$B$3:$H$119,6,FALSE),"")</f>
        <v>0</v>
      </c>
      <c r="M2012" s="77" t="str">
        <f>VLOOKUP(DESPESAS[[#This Row],[Plano de Contas]],BASE!$B$3:$H$119,7,FALSE)</f>
        <v>RAFAEL</v>
      </c>
    </row>
    <row r="2013" spans="1:13" x14ac:dyDescent="0.25">
      <c r="A2013" s="74">
        <v>198843</v>
      </c>
      <c r="B2013" s="75" t="s">
        <v>232</v>
      </c>
      <c r="C2013" s="75" t="s">
        <v>1777</v>
      </c>
      <c r="D2013" s="76">
        <v>46125</v>
      </c>
      <c r="E2013" s="75" t="s">
        <v>1775</v>
      </c>
      <c r="F2013" s="74">
        <v>296.25</v>
      </c>
      <c r="G2013" s="75" t="s">
        <v>627</v>
      </c>
      <c r="H2013" s="77" t="str">
        <f>VLOOKUP(DESPESAS[[#This Row],[Plano de Contas]],BASE!$B$3:$D$119,3,FALSE)</f>
        <v>Salarios e Ordenados (Adm)</v>
      </c>
      <c r="I2013" s="77" t="str">
        <f>IFERROR(VLOOKUP(DESPESAS[[#This Row],[Fornecedor]],Tabela2[],2,FALSE),"")</f>
        <v/>
      </c>
      <c r="J2013" s="77" t="str">
        <f>IFERROR(VLOOKUP(DESPESAS[[#This Row],[Plano de Contas]],BASE!$B$3:$F$119,4,FALSE),"")</f>
        <v>4 - GASTOS COM PESSOAL</v>
      </c>
      <c r="K2013" s="77" t="str">
        <f>IFERROR(VLOOKUP(DESPESAS[[#This Row],[Plano de Contas]],BASE!$B$3:$H$119,5,FALSE),"")</f>
        <v>DH</v>
      </c>
      <c r="L2013" s="77">
        <f>IFERROR(VLOOKUP(DESPESAS[[#This Row],[Plano de Contas]],BASE!$B$3:$H$119,6,FALSE),"")</f>
        <v>0</v>
      </c>
      <c r="M2013" s="77" t="str">
        <f>VLOOKUP(DESPESAS[[#This Row],[Plano de Contas]],BASE!$B$3:$H$119,7,FALSE)</f>
        <v>RAFAEL</v>
      </c>
    </row>
    <row r="2014" spans="1:13" x14ac:dyDescent="0.25">
      <c r="A2014" s="74">
        <v>198853</v>
      </c>
      <c r="B2014" s="75" t="s">
        <v>221</v>
      </c>
      <c r="C2014" s="75" t="s">
        <v>1774</v>
      </c>
      <c r="D2014" s="76">
        <v>46083</v>
      </c>
      <c r="E2014" s="75" t="s">
        <v>570</v>
      </c>
      <c r="F2014" s="74">
        <v>6000</v>
      </c>
      <c r="G2014" s="75" t="s">
        <v>365</v>
      </c>
      <c r="H2014" s="77" t="str">
        <f>VLOOKUP(DESPESAS[[#This Row],[Plano de Contas]],BASE!$B$3:$D$119,3,FALSE)</f>
        <v>Pró-Labore</v>
      </c>
      <c r="I2014" s="77" t="str">
        <f>IFERROR(VLOOKUP(DESPESAS[[#This Row],[Fornecedor]],Tabela2[],2,FALSE),"")</f>
        <v/>
      </c>
      <c r="J2014" s="77" t="str">
        <f>IFERROR(VLOOKUP(DESPESAS[[#This Row],[Plano de Contas]],BASE!$B$3:$F$119,4,FALSE),"")</f>
        <v>4 - GASTOS COM PESSOAL</v>
      </c>
      <c r="K2014" s="77" t="str">
        <f>IFERROR(VLOOKUP(DESPESAS[[#This Row],[Plano de Contas]],BASE!$B$3:$H$119,5,FALSE),"")</f>
        <v>DIRETORIA</v>
      </c>
      <c r="L2014" s="77">
        <f>IFERROR(VLOOKUP(DESPESAS[[#This Row],[Plano de Contas]],BASE!$B$3:$H$119,6,FALSE),"")</f>
        <v>0</v>
      </c>
      <c r="M2014" s="77" t="str">
        <f>VLOOKUP(DESPESAS[[#This Row],[Plano de Contas]],BASE!$B$3:$H$119,7,FALSE)</f>
        <v>FÁBIO</v>
      </c>
    </row>
    <row r="2015" spans="1:13" x14ac:dyDescent="0.25">
      <c r="A2015" s="74">
        <v>198854</v>
      </c>
      <c r="B2015" s="75" t="s">
        <v>281</v>
      </c>
      <c r="C2015" s="75" t="s">
        <v>1774</v>
      </c>
      <c r="D2015" s="76">
        <v>46083</v>
      </c>
      <c r="E2015" s="75" t="s">
        <v>369</v>
      </c>
      <c r="F2015" s="74">
        <v>6000</v>
      </c>
      <c r="G2015" s="75" t="s">
        <v>365</v>
      </c>
      <c r="H2015" s="77" t="str">
        <f>VLOOKUP(DESPESAS[[#This Row],[Plano de Contas]],BASE!$B$3:$D$119,3,FALSE)</f>
        <v>Pró-Labore</v>
      </c>
      <c r="I2015" s="77" t="str">
        <f>IFERROR(VLOOKUP(DESPESAS[[#This Row],[Fornecedor]],Tabela2[],2,FALSE),"")</f>
        <v/>
      </c>
      <c r="J2015" s="77" t="str">
        <f>IFERROR(VLOOKUP(DESPESAS[[#This Row],[Plano de Contas]],BASE!$B$3:$F$119,4,FALSE),"")</f>
        <v>4 - GASTOS COM PESSOAL</v>
      </c>
      <c r="K2015" s="77" t="str">
        <f>IFERROR(VLOOKUP(DESPESAS[[#This Row],[Plano de Contas]],BASE!$B$3:$H$119,5,FALSE),"")</f>
        <v>DIRETORIA</v>
      </c>
      <c r="L2015" s="77">
        <f>IFERROR(VLOOKUP(DESPESAS[[#This Row],[Plano de Contas]],BASE!$B$3:$H$119,6,FALSE),"")</f>
        <v>0</v>
      </c>
      <c r="M2015" s="77" t="str">
        <f>VLOOKUP(DESPESAS[[#This Row],[Plano de Contas]],BASE!$B$3:$H$119,7,FALSE)</f>
        <v>FÁBIO</v>
      </c>
    </row>
    <row r="2016" spans="1:13" x14ac:dyDescent="0.25">
      <c r="A2016" s="74">
        <v>198855</v>
      </c>
      <c r="B2016" s="75" t="s">
        <v>279</v>
      </c>
      <c r="C2016" s="75" t="s">
        <v>1774</v>
      </c>
      <c r="D2016" s="76">
        <v>46083</v>
      </c>
      <c r="E2016" s="75" t="s">
        <v>368</v>
      </c>
      <c r="F2016" s="74">
        <v>6000</v>
      </c>
      <c r="G2016" s="75" t="s">
        <v>365</v>
      </c>
      <c r="H2016" s="77" t="str">
        <f>VLOOKUP(DESPESAS[[#This Row],[Plano de Contas]],BASE!$B$3:$D$119,3,FALSE)</f>
        <v>Pró-Labore</v>
      </c>
      <c r="I2016" s="77" t="str">
        <f>IFERROR(VLOOKUP(DESPESAS[[#This Row],[Fornecedor]],Tabela2[],2,FALSE),"")</f>
        <v/>
      </c>
      <c r="J2016" s="77" t="str">
        <f>IFERROR(VLOOKUP(DESPESAS[[#This Row],[Plano de Contas]],BASE!$B$3:$F$119,4,FALSE),"")</f>
        <v>4 - GASTOS COM PESSOAL</v>
      </c>
      <c r="K2016" s="77" t="str">
        <f>IFERROR(VLOOKUP(DESPESAS[[#This Row],[Plano de Contas]],BASE!$B$3:$H$119,5,FALSE),"")</f>
        <v>DIRETORIA</v>
      </c>
      <c r="L2016" s="77">
        <f>IFERROR(VLOOKUP(DESPESAS[[#This Row],[Plano de Contas]],BASE!$B$3:$H$119,6,FALSE),"")</f>
        <v>0</v>
      </c>
      <c r="M2016" s="77" t="str">
        <f>VLOOKUP(DESPESAS[[#This Row],[Plano de Contas]],BASE!$B$3:$H$119,7,FALSE)</f>
        <v>FÁBIO</v>
      </c>
    </row>
    <row r="2017" spans="1:13" x14ac:dyDescent="0.25">
      <c r="A2017" s="74">
        <v>198856</v>
      </c>
      <c r="B2017" s="75" t="s">
        <v>232</v>
      </c>
      <c r="C2017" s="75" t="s">
        <v>1774</v>
      </c>
      <c r="D2017" s="76">
        <v>46083</v>
      </c>
      <c r="E2017" s="75" t="s">
        <v>366</v>
      </c>
      <c r="F2017" s="74">
        <v>6000</v>
      </c>
      <c r="G2017" s="75" t="s">
        <v>365</v>
      </c>
      <c r="H2017" s="77" t="str">
        <f>VLOOKUP(DESPESAS[[#This Row],[Plano de Contas]],BASE!$B$3:$D$119,3,FALSE)</f>
        <v>Pró-Labore</v>
      </c>
      <c r="I2017" s="77" t="str">
        <f>IFERROR(VLOOKUP(DESPESAS[[#This Row],[Fornecedor]],Tabela2[],2,FALSE),"")</f>
        <v/>
      </c>
      <c r="J2017" s="77" t="str">
        <f>IFERROR(VLOOKUP(DESPESAS[[#This Row],[Plano de Contas]],BASE!$B$3:$F$119,4,FALSE),"")</f>
        <v>4 - GASTOS COM PESSOAL</v>
      </c>
      <c r="K2017" s="77" t="str">
        <f>IFERROR(VLOOKUP(DESPESAS[[#This Row],[Plano de Contas]],BASE!$B$3:$H$119,5,FALSE),"")</f>
        <v>DIRETORIA</v>
      </c>
      <c r="L2017" s="77">
        <f>IFERROR(VLOOKUP(DESPESAS[[#This Row],[Plano de Contas]],BASE!$B$3:$H$119,6,FALSE),"")</f>
        <v>0</v>
      </c>
      <c r="M2017" s="77" t="str">
        <f>VLOOKUP(DESPESAS[[#This Row],[Plano de Contas]],BASE!$B$3:$H$119,7,FALSE)</f>
        <v>FÁBIO</v>
      </c>
    </row>
    <row r="2018" spans="1:13" x14ac:dyDescent="0.25">
      <c r="A2018" s="74">
        <v>198858</v>
      </c>
      <c r="B2018" s="75" t="s">
        <v>232</v>
      </c>
      <c r="C2018" s="75" t="s">
        <v>1773</v>
      </c>
      <c r="D2018" s="76">
        <v>46083</v>
      </c>
      <c r="E2018" s="75" t="s">
        <v>755</v>
      </c>
      <c r="F2018" s="74">
        <v>150</v>
      </c>
      <c r="G2018" s="75" t="s">
        <v>324</v>
      </c>
      <c r="H2018" s="77" t="str">
        <f>VLOOKUP(DESPESAS[[#This Row],[Plano de Contas]],BASE!$B$3:$D$119,3,FALSE)</f>
        <v>Cursos e Treinamentos CIF</v>
      </c>
      <c r="I2018" s="77" t="str">
        <f>IFERROR(VLOOKUP(DESPESAS[[#This Row],[Fornecedor]],Tabela2[],2,FALSE),"")</f>
        <v/>
      </c>
      <c r="J2018" s="77" t="str">
        <f>IFERROR(VLOOKUP(DESPESAS[[#This Row],[Plano de Contas]],BASE!$B$3:$F$119,4,FALSE),"")</f>
        <v>3 - CUSTOS INDIRETOS</v>
      </c>
      <c r="K2018" s="77" t="str">
        <f>IFERROR(VLOOKUP(DESPESAS[[#This Row],[Plano de Contas]],BASE!$B$3:$H$119,5,FALSE),"")</f>
        <v>DH</v>
      </c>
      <c r="L2018" s="77">
        <f>IFERROR(VLOOKUP(DESPESAS[[#This Row],[Plano de Contas]],BASE!$B$3:$H$119,6,FALSE),"")</f>
        <v>0</v>
      </c>
      <c r="M2018" s="77" t="str">
        <f>VLOOKUP(DESPESAS[[#This Row],[Plano de Contas]],BASE!$B$3:$H$119,7,FALSE)</f>
        <v>FÁBIO</v>
      </c>
    </row>
    <row r="2019" spans="1:13" x14ac:dyDescent="0.25">
      <c r="A2019" s="74">
        <v>198859</v>
      </c>
      <c r="B2019" s="75" t="s">
        <v>232</v>
      </c>
      <c r="C2019" s="75" t="s">
        <v>1772</v>
      </c>
      <c r="D2019" s="76">
        <v>46083</v>
      </c>
      <c r="E2019" s="75" t="s">
        <v>1771</v>
      </c>
      <c r="F2019" s="74">
        <v>1767</v>
      </c>
      <c r="G2019" s="75" t="s">
        <v>241</v>
      </c>
      <c r="H2019" s="77" t="str">
        <f>VLOOKUP(DESPESAS[[#This Row],[Plano de Contas]],BASE!$B$3:$D$119,3,FALSE)</f>
        <v>Combustiveis Frota</v>
      </c>
      <c r="I2019" s="77" t="str">
        <f>IFERROR(VLOOKUP(DESPESAS[[#This Row],[Fornecedor]],Tabela2[],2,FALSE),"")</f>
        <v/>
      </c>
      <c r="J2019" s="77" t="str">
        <f>IFERROR(VLOOKUP(DESPESAS[[#This Row],[Plano de Contas]],BASE!$B$3:$F$119,4,FALSE),"")</f>
        <v>6 - DESPESA COM VENDAS</v>
      </c>
      <c r="K2019" s="77" t="str">
        <f>IFERROR(VLOOKUP(DESPESAS[[#This Row],[Plano de Contas]],BASE!$B$3:$H$119,5,FALSE),"")</f>
        <v>LOGÍSTICA</v>
      </c>
      <c r="L2019" s="77">
        <f>IFERROR(VLOOKUP(DESPESAS[[#This Row],[Plano de Contas]],BASE!$B$3:$H$119,6,FALSE),"")</f>
        <v>0</v>
      </c>
      <c r="M2019" s="77" t="str">
        <f>VLOOKUP(DESPESAS[[#This Row],[Plano de Contas]],BASE!$B$3:$H$119,7,FALSE)</f>
        <v>MYLENA</v>
      </c>
    </row>
    <row r="2020" spans="1:13" x14ac:dyDescent="0.25">
      <c r="A2020" s="74">
        <v>198860</v>
      </c>
      <c r="B2020" s="75" t="s">
        <v>221</v>
      </c>
      <c r="C2020" s="75" t="s">
        <v>1770</v>
      </c>
      <c r="D2020" s="76">
        <v>46080</v>
      </c>
      <c r="E2020" s="75" t="s">
        <v>442</v>
      </c>
      <c r="F2020" s="74">
        <v>2254</v>
      </c>
      <c r="G2020" s="75" t="s">
        <v>262</v>
      </c>
      <c r="H2020" s="77" t="str">
        <f>VLOOKUP(DESPESAS[[#This Row],[Plano de Contas]],BASE!$B$3:$D$119,3,FALSE)</f>
        <v>Fretes Karams</v>
      </c>
      <c r="I2020" s="77" t="str">
        <f>IFERROR(VLOOKUP(DESPESAS[[#This Row],[Fornecedor]],Tabela2[],2,FALSE),"")</f>
        <v/>
      </c>
      <c r="J2020" s="77" t="str">
        <f>IFERROR(VLOOKUP(DESPESAS[[#This Row],[Plano de Contas]],BASE!$B$3:$F$119,4,FALSE),"")</f>
        <v>6 - DESPESA COM VENDAS</v>
      </c>
      <c r="K2020" s="77" t="str">
        <f>IFERROR(VLOOKUP(DESPESAS[[#This Row],[Plano de Contas]],BASE!$B$3:$H$119,5,FALSE),"")</f>
        <v>LOGÍSTICA</v>
      </c>
      <c r="L2020" s="77">
        <f>IFERROR(VLOOKUP(DESPESAS[[#This Row],[Plano de Contas]],BASE!$B$3:$H$119,6,FALSE),"")</f>
        <v>0</v>
      </c>
      <c r="M2020" s="77" t="str">
        <f>VLOOKUP(DESPESAS[[#This Row],[Plano de Contas]],BASE!$B$3:$H$119,7,FALSE)</f>
        <v>MYLENA</v>
      </c>
    </row>
    <row r="2021" spans="1:13" x14ac:dyDescent="0.25">
      <c r="A2021" s="74">
        <v>198861</v>
      </c>
      <c r="B2021" s="75" t="s">
        <v>221</v>
      </c>
      <c r="C2021" s="75" t="s">
        <v>1769</v>
      </c>
      <c r="D2021" s="76">
        <v>46080</v>
      </c>
      <c r="E2021" s="75" t="s">
        <v>1262</v>
      </c>
      <c r="F2021" s="74">
        <v>2762.72</v>
      </c>
      <c r="G2021" s="75" t="s">
        <v>241</v>
      </c>
      <c r="H2021" s="77" t="str">
        <f>VLOOKUP(DESPESAS[[#This Row],[Plano de Contas]],BASE!$B$3:$D$119,3,FALSE)</f>
        <v>Combustiveis Frota</v>
      </c>
      <c r="I2021" s="77" t="str">
        <f>IFERROR(VLOOKUP(DESPESAS[[#This Row],[Fornecedor]],Tabela2[],2,FALSE),"")</f>
        <v/>
      </c>
      <c r="J2021" s="77" t="str">
        <f>IFERROR(VLOOKUP(DESPESAS[[#This Row],[Plano de Contas]],BASE!$B$3:$F$119,4,FALSE),"")</f>
        <v>6 - DESPESA COM VENDAS</v>
      </c>
      <c r="K2021" s="77" t="str">
        <f>IFERROR(VLOOKUP(DESPESAS[[#This Row],[Plano de Contas]],BASE!$B$3:$H$119,5,FALSE),"")</f>
        <v>LOGÍSTICA</v>
      </c>
      <c r="L2021" s="77">
        <f>IFERROR(VLOOKUP(DESPESAS[[#This Row],[Plano de Contas]],BASE!$B$3:$H$119,6,FALSE),"")</f>
        <v>0</v>
      </c>
      <c r="M2021" s="77" t="str">
        <f>VLOOKUP(DESPESAS[[#This Row],[Plano de Contas]],BASE!$B$3:$H$119,7,FALSE)</f>
        <v>MYLENA</v>
      </c>
    </row>
    <row r="2022" spans="1:13" x14ac:dyDescent="0.25">
      <c r="A2022" s="74">
        <v>198862</v>
      </c>
      <c r="B2022" s="75" t="s">
        <v>232</v>
      </c>
      <c r="C2022" s="75" t="s">
        <v>1768</v>
      </c>
      <c r="D2022" s="76">
        <v>46083</v>
      </c>
      <c r="E2022" s="75" t="s">
        <v>1767</v>
      </c>
      <c r="F2022" s="74">
        <v>128.6</v>
      </c>
      <c r="G2022" s="75" t="s">
        <v>824</v>
      </c>
      <c r="H2022" s="77" t="str">
        <f>VLOOKUP(DESPESAS[[#This Row],[Plano de Contas]],BASE!$B$3:$D$119,3,FALSE)</f>
        <v>Outros Impostos</v>
      </c>
      <c r="I2022" s="77" t="str">
        <f>IFERROR(VLOOKUP(DESPESAS[[#This Row],[Fornecedor]],Tabela2[],2,FALSE),"")</f>
        <v/>
      </c>
      <c r="J2022" s="77" t="str">
        <f>IFERROR(VLOOKUP(DESPESAS[[#This Row],[Plano de Contas]],BASE!$B$3:$F$119,4,FALSE),"")</f>
        <v>0 - TRIBUTOS</v>
      </c>
      <c r="K2022" s="77" t="str">
        <f>IFERROR(VLOOKUP(DESPESAS[[#This Row],[Plano de Contas]],BASE!$B$3:$H$119,5,FALSE),"")</f>
        <v>FINANCEIRO</v>
      </c>
      <c r="L2022" s="77">
        <f>IFERROR(VLOOKUP(DESPESAS[[#This Row],[Plano de Contas]],BASE!$B$3:$H$119,6,FALSE),"")</f>
        <v>0</v>
      </c>
      <c r="M2022" s="77" t="str">
        <f>VLOOKUP(DESPESAS[[#This Row],[Plano de Contas]],BASE!$B$3:$H$119,7,FALSE)</f>
        <v>LETÍCIA</v>
      </c>
    </row>
    <row r="2023" spans="1:13" x14ac:dyDescent="0.25">
      <c r="A2023" s="74">
        <v>198863</v>
      </c>
      <c r="B2023" s="75" t="s">
        <v>221</v>
      </c>
      <c r="C2023" s="75" t="s">
        <v>1766</v>
      </c>
      <c r="D2023" s="76">
        <v>46080</v>
      </c>
      <c r="E2023" s="75" t="s">
        <v>265</v>
      </c>
      <c r="F2023" s="74">
        <v>52.9</v>
      </c>
      <c r="G2023" s="75" t="s">
        <v>262</v>
      </c>
      <c r="H2023" s="77" t="str">
        <f>VLOOKUP(DESPESAS[[#This Row],[Plano de Contas]],BASE!$B$3:$D$119,3,FALSE)</f>
        <v>Fretes Karams</v>
      </c>
      <c r="I2023" s="77" t="str">
        <f>IFERROR(VLOOKUP(DESPESAS[[#This Row],[Fornecedor]],Tabela2[],2,FALSE),"")</f>
        <v/>
      </c>
      <c r="J2023" s="77" t="str">
        <f>IFERROR(VLOOKUP(DESPESAS[[#This Row],[Plano de Contas]],BASE!$B$3:$F$119,4,FALSE),"")</f>
        <v>6 - DESPESA COM VENDAS</v>
      </c>
      <c r="K2023" s="77" t="str">
        <f>IFERROR(VLOOKUP(DESPESAS[[#This Row],[Plano de Contas]],BASE!$B$3:$H$119,5,FALSE),"")</f>
        <v>LOGÍSTICA</v>
      </c>
      <c r="L2023" s="77">
        <f>IFERROR(VLOOKUP(DESPESAS[[#This Row],[Plano de Contas]],BASE!$B$3:$H$119,6,FALSE),"")</f>
        <v>0</v>
      </c>
      <c r="M2023" s="77" t="str">
        <f>VLOOKUP(DESPESAS[[#This Row],[Plano de Contas]],BASE!$B$3:$H$119,7,FALSE)</f>
        <v>MYLENA</v>
      </c>
    </row>
    <row r="2024" spans="1:13" x14ac:dyDescent="0.25">
      <c r="A2024" s="74">
        <v>198864</v>
      </c>
      <c r="B2024" s="75" t="s">
        <v>221</v>
      </c>
      <c r="C2024" s="75" t="s">
        <v>1765</v>
      </c>
      <c r="D2024" s="76">
        <v>46080</v>
      </c>
      <c r="E2024" s="75" t="s">
        <v>242</v>
      </c>
      <c r="F2024" s="74">
        <v>149.80000000000001</v>
      </c>
      <c r="G2024" s="75" t="s">
        <v>247</v>
      </c>
      <c r="H2024" s="77" t="str">
        <f>VLOOKUP(DESPESAS[[#This Row],[Plano de Contas]],BASE!$B$3:$D$119,3,FALSE)</f>
        <v>Manutenção com veiculos</v>
      </c>
      <c r="I2024" s="77" t="str">
        <f>IFERROR(VLOOKUP(DESPESAS[[#This Row],[Fornecedor]],Tabela2[],2,FALSE),"")</f>
        <v/>
      </c>
      <c r="J2024" s="77" t="str">
        <f>IFERROR(VLOOKUP(DESPESAS[[#This Row],[Plano de Contas]],BASE!$B$3:$F$119,4,FALSE),"")</f>
        <v>6 - DESPESA COM VENDAS</v>
      </c>
      <c r="K2024" s="77" t="str">
        <f>IFERROR(VLOOKUP(DESPESAS[[#This Row],[Plano de Contas]],BASE!$B$3:$H$119,5,FALSE),"")</f>
        <v>LOGÍSTICA</v>
      </c>
      <c r="L2024" s="77">
        <f>IFERROR(VLOOKUP(DESPESAS[[#This Row],[Plano de Contas]],BASE!$B$3:$H$119,6,FALSE),"")</f>
        <v>0</v>
      </c>
      <c r="M2024" s="77" t="str">
        <f>VLOOKUP(DESPESAS[[#This Row],[Plano de Contas]],BASE!$B$3:$H$119,7,FALSE)</f>
        <v>MYLENA</v>
      </c>
    </row>
    <row r="2025" spans="1:13" x14ac:dyDescent="0.25">
      <c r="A2025" s="74">
        <v>198865</v>
      </c>
      <c r="B2025" s="75" t="s">
        <v>221</v>
      </c>
      <c r="C2025" s="75" t="s">
        <v>1764</v>
      </c>
      <c r="D2025" s="76">
        <v>46080</v>
      </c>
      <c r="E2025" s="75" t="s">
        <v>242</v>
      </c>
      <c r="F2025" s="74">
        <v>589.09</v>
      </c>
      <c r="G2025" s="75" t="s">
        <v>241</v>
      </c>
      <c r="H2025" s="77" t="str">
        <f>VLOOKUP(DESPESAS[[#This Row],[Plano de Contas]],BASE!$B$3:$D$119,3,FALSE)</f>
        <v>Combustiveis Frota</v>
      </c>
      <c r="I2025" s="77" t="str">
        <f>IFERROR(VLOOKUP(DESPESAS[[#This Row],[Fornecedor]],Tabela2[],2,FALSE),"")</f>
        <v/>
      </c>
      <c r="J2025" s="77" t="str">
        <f>IFERROR(VLOOKUP(DESPESAS[[#This Row],[Plano de Contas]],BASE!$B$3:$F$119,4,FALSE),"")</f>
        <v>6 - DESPESA COM VENDAS</v>
      </c>
      <c r="K2025" s="77" t="str">
        <f>IFERROR(VLOOKUP(DESPESAS[[#This Row],[Plano de Contas]],BASE!$B$3:$H$119,5,FALSE),"")</f>
        <v>LOGÍSTICA</v>
      </c>
      <c r="L2025" s="77">
        <f>IFERROR(VLOOKUP(DESPESAS[[#This Row],[Plano de Contas]],BASE!$B$3:$H$119,6,FALSE),"")</f>
        <v>0</v>
      </c>
      <c r="M2025" s="77" t="str">
        <f>VLOOKUP(DESPESAS[[#This Row],[Plano de Contas]],BASE!$B$3:$H$119,7,FALSE)</f>
        <v>MYLENA</v>
      </c>
    </row>
    <row r="2026" spans="1:13" x14ac:dyDescent="0.25">
      <c r="A2026" s="74">
        <v>198866</v>
      </c>
      <c r="B2026" s="75" t="s">
        <v>221</v>
      </c>
      <c r="C2026" s="75" t="s">
        <v>1763</v>
      </c>
      <c r="D2026" s="76">
        <v>46083</v>
      </c>
      <c r="E2026" s="75" t="s">
        <v>256</v>
      </c>
      <c r="F2026" s="74">
        <v>68.959999999999994</v>
      </c>
      <c r="G2026" s="75" t="s">
        <v>255</v>
      </c>
      <c r="H2026" s="77" t="str">
        <f>VLOOKUP(DESPESAS[[#This Row],[Plano de Contas]],BASE!$B$3:$D$119,3,FALSE)</f>
        <v>Mostruário de Tecido</v>
      </c>
      <c r="I2026" s="77" t="str">
        <f>IFERROR(VLOOKUP(DESPESAS[[#This Row],[Fornecedor]],Tabela2[],2,FALSE),"")</f>
        <v/>
      </c>
      <c r="J2026" s="77" t="str">
        <f>IFERROR(VLOOKUP(DESPESAS[[#This Row],[Plano de Contas]],BASE!$B$3:$F$119,4,FALSE),"")</f>
        <v>6 - DESPESA COM VENDAS</v>
      </c>
      <c r="K2026" s="77" t="str">
        <f>IFERROR(VLOOKUP(DESPESAS[[#This Row],[Plano de Contas]],BASE!$B$3:$H$119,5,FALSE),"")</f>
        <v>COMERCIAL</v>
      </c>
      <c r="L2026" s="77">
        <f>IFERROR(VLOOKUP(DESPESAS[[#This Row],[Plano de Contas]],BASE!$B$3:$H$119,6,FALSE),"")</f>
        <v>0</v>
      </c>
      <c r="M2026" s="77" t="str">
        <f>VLOOKUP(DESPESAS[[#This Row],[Plano de Contas]],BASE!$B$3:$H$119,7,FALSE)</f>
        <v>LETÍCIA</v>
      </c>
    </row>
    <row r="2027" spans="1:13" x14ac:dyDescent="0.25">
      <c r="A2027" s="74">
        <v>198867</v>
      </c>
      <c r="B2027" s="75" t="s">
        <v>221</v>
      </c>
      <c r="C2027" s="75" t="s">
        <v>1762</v>
      </c>
      <c r="D2027" s="76">
        <v>46083</v>
      </c>
      <c r="E2027" s="75" t="s">
        <v>980</v>
      </c>
      <c r="F2027" s="74">
        <v>180</v>
      </c>
      <c r="G2027" s="75" t="s">
        <v>1761</v>
      </c>
      <c r="H2027" s="77" t="str">
        <f>VLOOKUP(DESPESAS[[#This Row],[Plano de Contas]],BASE!$B$3:$D$119,3,FALSE)</f>
        <v>Medicina e Segurança do Trabalho MOD</v>
      </c>
      <c r="I2027" s="77" t="str">
        <f>IFERROR(VLOOKUP(DESPESAS[[#This Row],[Fornecedor]],Tabela2[],2,FALSE),"")</f>
        <v/>
      </c>
      <c r="J2027" s="77" t="str">
        <f>IFERROR(VLOOKUP(DESPESAS[[#This Row],[Plano de Contas]],BASE!$B$3:$F$119,4,FALSE),"")</f>
        <v>3 - CUSTOS INDIRETOS</v>
      </c>
      <c r="K2027" s="77" t="str">
        <f>IFERROR(VLOOKUP(DESPESAS[[#This Row],[Plano de Contas]],BASE!$B$3:$H$119,5,FALSE),"")</f>
        <v>DH</v>
      </c>
      <c r="L2027" s="77" t="str">
        <f>IFERROR(VLOOKUP(DESPESAS[[#This Row],[Plano de Contas]],BASE!$B$3:$H$119,6,FALSE),"")</f>
        <v>CUSTO MÃO DE OBRA DIRETA</v>
      </c>
      <c r="M2027" s="77" t="str">
        <f>VLOOKUP(DESPESAS[[#This Row],[Plano de Contas]],BASE!$B$3:$H$119,7,FALSE)</f>
        <v>RAFAEL</v>
      </c>
    </row>
    <row r="2028" spans="1:13" x14ac:dyDescent="0.25">
      <c r="A2028" s="74">
        <v>198868</v>
      </c>
      <c r="B2028" s="75" t="s">
        <v>232</v>
      </c>
      <c r="C2028" s="75" t="s">
        <v>1760</v>
      </c>
      <c r="D2028" s="76">
        <v>46083</v>
      </c>
      <c r="E2028" s="75" t="s">
        <v>260</v>
      </c>
      <c r="F2028" s="74">
        <v>661</v>
      </c>
      <c r="G2028" s="75" t="s">
        <v>259</v>
      </c>
      <c r="H2028" s="77" t="str">
        <f>VLOOKUP(DESPESAS[[#This Row],[Plano de Contas]],BASE!$B$3:$D$119,3,FALSE)</f>
        <v>Manutenção Predial CIF</v>
      </c>
      <c r="I2028" s="77" t="str">
        <f>IFERROR(VLOOKUP(DESPESAS[[#This Row],[Fornecedor]],Tabela2[],2,FALSE),"")</f>
        <v>PEÇAS DE FERRAMENTAS</v>
      </c>
      <c r="J2028" s="77" t="str">
        <f>IFERROR(VLOOKUP(DESPESAS[[#This Row],[Plano de Contas]],BASE!$B$3:$F$119,4,FALSE),"")</f>
        <v>3 - CUSTOS INDIRETOS</v>
      </c>
      <c r="K2028" s="77" t="str">
        <f>IFERROR(VLOOKUP(DESPESAS[[#This Row],[Plano de Contas]],BASE!$B$3:$H$119,5,FALSE),"")</f>
        <v>MANUTENÇÃO / TI</v>
      </c>
      <c r="L2028" s="77">
        <f>IFERROR(VLOOKUP(DESPESAS[[#This Row],[Plano de Contas]],BASE!$B$3:$H$119,6,FALSE),"")</f>
        <v>0</v>
      </c>
      <c r="M2028" s="77" t="str">
        <f>VLOOKUP(DESPESAS[[#This Row],[Plano de Contas]],BASE!$B$3:$H$119,7,FALSE)</f>
        <v>FÁBIO</v>
      </c>
    </row>
    <row r="2029" spans="1:13" x14ac:dyDescent="0.25">
      <c r="A2029" s="74">
        <v>198869</v>
      </c>
      <c r="B2029" s="75" t="s">
        <v>221</v>
      </c>
      <c r="C2029" s="75" t="s">
        <v>1759</v>
      </c>
      <c r="D2029" s="76">
        <v>46083</v>
      </c>
      <c r="E2029" s="75" t="s">
        <v>287</v>
      </c>
      <c r="F2029" s="74">
        <v>635</v>
      </c>
      <c r="G2029" s="75" t="s">
        <v>247</v>
      </c>
      <c r="H2029" s="77" t="str">
        <f>VLOOKUP(DESPESAS[[#This Row],[Plano de Contas]],BASE!$B$3:$D$119,3,FALSE)</f>
        <v>Manutenção com veiculos</v>
      </c>
      <c r="I2029" s="77" t="str">
        <f>IFERROR(VLOOKUP(DESPESAS[[#This Row],[Fornecedor]],Tabela2[],2,FALSE),"")</f>
        <v/>
      </c>
      <c r="J2029" s="77" t="str">
        <f>IFERROR(VLOOKUP(DESPESAS[[#This Row],[Plano de Contas]],BASE!$B$3:$F$119,4,FALSE),"")</f>
        <v>6 - DESPESA COM VENDAS</v>
      </c>
      <c r="K2029" s="77" t="str">
        <f>IFERROR(VLOOKUP(DESPESAS[[#This Row],[Plano de Contas]],BASE!$B$3:$H$119,5,FALSE),"")</f>
        <v>LOGÍSTICA</v>
      </c>
      <c r="L2029" s="77">
        <f>IFERROR(VLOOKUP(DESPESAS[[#This Row],[Plano de Contas]],BASE!$B$3:$H$119,6,FALSE),"")</f>
        <v>0</v>
      </c>
      <c r="M2029" s="77" t="str">
        <f>VLOOKUP(DESPESAS[[#This Row],[Plano de Contas]],BASE!$B$3:$H$119,7,FALSE)</f>
        <v>MYLENA</v>
      </c>
    </row>
    <row r="2030" spans="1:13" x14ac:dyDescent="0.25">
      <c r="A2030" s="74">
        <v>198870</v>
      </c>
      <c r="B2030" s="75" t="s">
        <v>221</v>
      </c>
      <c r="C2030" s="75" t="s">
        <v>1758</v>
      </c>
      <c r="D2030" s="76">
        <v>46083</v>
      </c>
      <c r="E2030" s="75" t="s">
        <v>287</v>
      </c>
      <c r="F2030" s="74">
        <v>175</v>
      </c>
      <c r="G2030" s="75" t="s">
        <v>247</v>
      </c>
      <c r="H2030" s="77" t="str">
        <f>VLOOKUP(DESPESAS[[#This Row],[Plano de Contas]],BASE!$B$3:$D$119,3,FALSE)</f>
        <v>Manutenção com veiculos</v>
      </c>
      <c r="I2030" s="77" t="str">
        <f>IFERROR(VLOOKUP(DESPESAS[[#This Row],[Fornecedor]],Tabela2[],2,FALSE),"")</f>
        <v/>
      </c>
      <c r="J2030" s="77" t="str">
        <f>IFERROR(VLOOKUP(DESPESAS[[#This Row],[Plano de Contas]],BASE!$B$3:$F$119,4,FALSE),"")</f>
        <v>6 - DESPESA COM VENDAS</v>
      </c>
      <c r="K2030" s="77" t="str">
        <f>IFERROR(VLOOKUP(DESPESAS[[#This Row],[Plano de Contas]],BASE!$B$3:$H$119,5,FALSE),"")</f>
        <v>LOGÍSTICA</v>
      </c>
      <c r="L2030" s="77">
        <f>IFERROR(VLOOKUP(DESPESAS[[#This Row],[Plano de Contas]],BASE!$B$3:$H$119,6,FALSE),"")</f>
        <v>0</v>
      </c>
      <c r="M2030" s="77" t="str">
        <f>VLOOKUP(DESPESAS[[#This Row],[Plano de Contas]],BASE!$B$3:$H$119,7,FALSE)</f>
        <v>MYLENA</v>
      </c>
    </row>
    <row r="2031" spans="1:13" x14ac:dyDescent="0.25">
      <c r="A2031" s="74">
        <v>198871</v>
      </c>
      <c r="B2031" s="75" t="s">
        <v>232</v>
      </c>
      <c r="C2031" s="75" t="s">
        <v>1757</v>
      </c>
      <c r="D2031" s="76">
        <v>46083</v>
      </c>
      <c r="E2031" s="75" t="s">
        <v>230</v>
      </c>
      <c r="F2031" s="74">
        <v>25.87</v>
      </c>
      <c r="G2031" s="75" t="s">
        <v>229</v>
      </c>
      <c r="H2031" s="77" t="str">
        <f>VLOOKUP(DESPESAS[[#This Row],[Plano de Contas]],BASE!$B$3:$D$119,3,FALSE)</f>
        <v>Despesas Bancarias</v>
      </c>
      <c r="I2031" s="77" t="str">
        <f>IFERROR(VLOOKUP(DESPESAS[[#This Row],[Fornecedor]],Tabela2[],2,FALSE),"")</f>
        <v/>
      </c>
      <c r="J2031" s="77" t="str">
        <f>IFERROR(VLOOKUP(DESPESAS[[#This Row],[Plano de Contas]],BASE!$B$3:$F$119,4,FALSE),"")</f>
        <v>8 - DESPESAS FINANCEIRAS</v>
      </c>
      <c r="K2031" s="77" t="str">
        <f>IFERROR(VLOOKUP(DESPESAS[[#This Row],[Plano de Contas]],BASE!$B$3:$H$119,5,FALSE),"")</f>
        <v>FINANCEIRO</v>
      </c>
      <c r="L2031" s="77">
        <f>IFERROR(VLOOKUP(DESPESAS[[#This Row],[Plano de Contas]],BASE!$B$3:$H$119,6,FALSE),"")</f>
        <v>0</v>
      </c>
      <c r="M2031" s="77" t="str">
        <f>VLOOKUP(DESPESAS[[#This Row],[Plano de Contas]],BASE!$B$3:$H$119,7,FALSE)</f>
        <v>LETÍCIA</v>
      </c>
    </row>
    <row r="2032" spans="1:13" x14ac:dyDescent="0.25">
      <c r="A2032" s="74">
        <v>198872</v>
      </c>
      <c r="B2032" s="75" t="s">
        <v>232</v>
      </c>
      <c r="C2032" s="75" t="s">
        <v>1756</v>
      </c>
      <c r="D2032" s="76">
        <v>46083</v>
      </c>
      <c r="E2032" s="75" t="s">
        <v>230</v>
      </c>
      <c r="F2032" s="74">
        <v>33.18</v>
      </c>
      <c r="G2032" s="75" t="s">
        <v>229</v>
      </c>
      <c r="H2032" s="77" t="str">
        <f>VLOOKUP(DESPESAS[[#This Row],[Plano de Contas]],BASE!$B$3:$D$119,3,FALSE)</f>
        <v>Despesas Bancarias</v>
      </c>
      <c r="I2032" s="77" t="str">
        <f>IFERROR(VLOOKUP(DESPESAS[[#This Row],[Fornecedor]],Tabela2[],2,FALSE),"")</f>
        <v/>
      </c>
      <c r="J2032" s="77" t="str">
        <f>IFERROR(VLOOKUP(DESPESAS[[#This Row],[Plano de Contas]],BASE!$B$3:$F$119,4,FALSE),"")</f>
        <v>8 - DESPESAS FINANCEIRAS</v>
      </c>
      <c r="K2032" s="77" t="str">
        <f>IFERROR(VLOOKUP(DESPESAS[[#This Row],[Plano de Contas]],BASE!$B$3:$H$119,5,FALSE),"")</f>
        <v>FINANCEIRO</v>
      </c>
      <c r="L2032" s="77">
        <f>IFERROR(VLOOKUP(DESPESAS[[#This Row],[Plano de Contas]],BASE!$B$3:$H$119,6,FALSE),"")</f>
        <v>0</v>
      </c>
      <c r="M2032" s="77" t="str">
        <f>VLOOKUP(DESPESAS[[#This Row],[Plano de Contas]],BASE!$B$3:$H$119,7,FALSE)</f>
        <v>LETÍCIA</v>
      </c>
    </row>
    <row r="2033" spans="1:13" x14ac:dyDescent="0.25">
      <c r="A2033" s="74">
        <v>198873</v>
      </c>
      <c r="B2033" s="75" t="s">
        <v>232</v>
      </c>
      <c r="C2033" s="75" t="s">
        <v>1755</v>
      </c>
      <c r="D2033" s="76">
        <v>46083</v>
      </c>
      <c r="E2033" s="75" t="s">
        <v>230</v>
      </c>
      <c r="F2033" s="74">
        <v>7.11</v>
      </c>
      <c r="G2033" s="75" t="s">
        <v>229</v>
      </c>
      <c r="H2033" s="77" t="str">
        <f>VLOOKUP(DESPESAS[[#This Row],[Plano de Contas]],BASE!$B$3:$D$119,3,FALSE)</f>
        <v>Despesas Bancarias</v>
      </c>
      <c r="I2033" s="77" t="str">
        <f>IFERROR(VLOOKUP(DESPESAS[[#This Row],[Fornecedor]],Tabela2[],2,FALSE),"")</f>
        <v/>
      </c>
      <c r="J2033" s="77" t="str">
        <f>IFERROR(VLOOKUP(DESPESAS[[#This Row],[Plano de Contas]],BASE!$B$3:$F$119,4,FALSE),"")</f>
        <v>8 - DESPESAS FINANCEIRAS</v>
      </c>
      <c r="K2033" s="77" t="str">
        <f>IFERROR(VLOOKUP(DESPESAS[[#This Row],[Plano de Contas]],BASE!$B$3:$H$119,5,FALSE),"")</f>
        <v>FINANCEIRO</v>
      </c>
      <c r="L2033" s="77">
        <f>IFERROR(VLOOKUP(DESPESAS[[#This Row],[Plano de Contas]],BASE!$B$3:$H$119,6,FALSE),"")</f>
        <v>0</v>
      </c>
      <c r="M2033" s="77" t="str">
        <f>VLOOKUP(DESPESAS[[#This Row],[Plano de Contas]],BASE!$B$3:$H$119,7,FALSE)</f>
        <v>LETÍCIA</v>
      </c>
    </row>
    <row r="2034" spans="1:13" x14ac:dyDescent="0.25">
      <c r="A2034" s="74">
        <v>198874</v>
      </c>
      <c r="B2034" s="75" t="s">
        <v>232</v>
      </c>
      <c r="C2034" s="75" t="s">
        <v>1754</v>
      </c>
      <c r="D2034" s="76">
        <v>46083</v>
      </c>
      <c r="E2034" s="75" t="s">
        <v>230</v>
      </c>
      <c r="F2034" s="74">
        <v>60</v>
      </c>
      <c r="G2034" s="75" t="s">
        <v>229</v>
      </c>
      <c r="H2034" s="77" t="str">
        <f>VLOOKUP(DESPESAS[[#This Row],[Plano de Contas]],BASE!$B$3:$D$119,3,FALSE)</f>
        <v>Despesas Bancarias</v>
      </c>
      <c r="I2034" s="77" t="str">
        <f>IFERROR(VLOOKUP(DESPESAS[[#This Row],[Fornecedor]],Tabela2[],2,FALSE),"")</f>
        <v/>
      </c>
      <c r="J2034" s="77" t="str">
        <f>IFERROR(VLOOKUP(DESPESAS[[#This Row],[Plano de Contas]],BASE!$B$3:$F$119,4,FALSE),"")</f>
        <v>8 - DESPESAS FINANCEIRAS</v>
      </c>
      <c r="K2034" s="77" t="str">
        <f>IFERROR(VLOOKUP(DESPESAS[[#This Row],[Plano de Contas]],BASE!$B$3:$H$119,5,FALSE),"")</f>
        <v>FINANCEIRO</v>
      </c>
      <c r="L2034" s="77">
        <f>IFERROR(VLOOKUP(DESPESAS[[#This Row],[Plano de Contas]],BASE!$B$3:$H$119,6,FALSE),"")</f>
        <v>0</v>
      </c>
      <c r="M2034" s="77" t="str">
        <f>VLOOKUP(DESPESAS[[#This Row],[Plano de Contas]],BASE!$B$3:$H$119,7,FALSE)</f>
        <v>LETÍCIA</v>
      </c>
    </row>
    <row r="2035" spans="1:13" x14ac:dyDescent="0.25">
      <c r="A2035" s="74">
        <v>198875</v>
      </c>
      <c r="B2035" s="75" t="s">
        <v>232</v>
      </c>
      <c r="C2035" s="75" t="s">
        <v>1753</v>
      </c>
      <c r="D2035" s="76">
        <v>46083</v>
      </c>
      <c r="E2035" s="75" t="s">
        <v>230</v>
      </c>
      <c r="F2035" s="74">
        <v>9.5</v>
      </c>
      <c r="G2035" s="75" t="s">
        <v>251</v>
      </c>
      <c r="H2035" s="77" t="str">
        <f>VLOOKUP(DESPESAS[[#This Row],[Plano de Contas]],BASE!$B$3:$D$119,3,FALSE)</f>
        <v>Juros Pagos - Antecipação de Crédito</v>
      </c>
      <c r="I2035" s="77" t="str">
        <f>IFERROR(VLOOKUP(DESPESAS[[#This Row],[Fornecedor]],Tabela2[],2,FALSE),"")</f>
        <v/>
      </c>
      <c r="J2035" s="77" t="str">
        <f>IFERROR(VLOOKUP(DESPESAS[[#This Row],[Plano de Contas]],BASE!$B$3:$F$119,4,FALSE),"")</f>
        <v>8 - DESPESAS FINANCEIRAS</v>
      </c>
      <c r="K2035" s="77" t="str">
        <f>IFERROR(VLOOKUP(DESPESAS[[#This Row],[Plano de Contas]],BASE!$B$3:$H$119,5,FALSE),"")</f>
        <v>FINANCEIRO</v>
      </c>
      <c r="L2035" s="77">
        <f>IFERROR(VLOOKUP(DESPESAS[[#This Row],[Plano de Contas]],BASE!$B$3:$H$119,6,FALSE),"")</f>
        <v>0</v>
      </c>
      <c r="M2035" s="77" t="str">
        <f>VLOOKUP(DESPESAS[[#This Row],[Plano de Contas]],BASE!$B$3:$H$119,7,FALSE)</f>
        <v>LETÍCIA</v>
      </c>
    </row>
    <row r="2036" spans="1:13" x14ac:dyDescent="0.25">
      <c r="A2036" s="74">
        <v>198876</v>
      </c>
      <c r="B2036" s="75" t="s">
        <v>279</v>
      </c>
      <c r="C2036" s="75" t="s">
        <v>1752</v>
      </c>
      <c r="D2036" s="76">
        <v>46083</v>
      </c>
      <c r="E2036" s="75" t="s">
        <v>230</v>
      </c>
      <c r="F2036" s="74">
        <v>3.95</v>
      </c>
      <c r="G2036" s="75" t="s">
        <v>229</v>
      </c>
      <c r="H2036" s="77" t="str">
        <f>VLOOKUP(DESPESAS[[#This Row],[Plano de Contas]],BASE!$B$3:$D$119,3,FALSE)</f>
        <v>Despesas Bancarias</v>
      </c>
      <c r="I2036" s="77" t="str">
        <f>IFERROR(VLOOKUP(DESPESAS[[#This Row],[Fornecedor]],Tabela2[],2,FALSE),"")</f>
        <v/>
      </c>
      <c r="J2036" s="77" t="str">
        <f>IFERROR(VLOOKUP(DESPESAS[[#This Row],[Plano de Contas]],BASE!$B$3:$F$119,4,FALSE),"")</f>
        <v>8 - DESPESAS FINANCEIRAS</v>
      </c>
      <c r="K2036" s="77" t="str">
        <f>IFERROR(VLOOKUP(DESPESAS[[#This Row],[Plano de Contas]],BASE!$B$3:$H$119,5,FALSE),"")</f>
        <v>FINANCEIRO</v>
      </c>
      <c r="L2036" s="77">
        <f>IFERROR(VLOOKUP(DESPESAS[[#This Row],[Plano de Contas]],BASE!$B$3:$H$119,6,FALSE),"")</f>
        <v>0</v>
      </c>
      <c r="M2036" s="77" t="str">
        <f>VLOOKUP(DESPESAS[[#This Row],[Plano de Contas]],BASE!$B$3:$H$119,7,FALSE)</f>
        <v>LETÍCIA</v>
      </c>
    </row>
    <row r="2037" spans="1:13" x14ac:dyDescent="0.25">
      <c r="A2037" s="74">
        <v>198877</v>
      </c>
      <c r="B2037" s="75" t="s">
        <v>279</v>
      </c>
      <c r="C2037" s="75" t="s">
        <v>1751</v>
      </c>
      <c r="D2037" s="76">
        <v>46084</v>
      </c>
      <c r="E2037" s="75" t="s">
        <v>230</v>
      </c>
      <c r="F2037" s="74">
        <v>0.59</v>
      </c>
      <c r="G2037" s="75" t="s">
        <v>229</v>
      </c>
      <c r="H2037" s="77" t="str">
        <f>VLOOKUP(DESPESAS[[#This Row],[Plano de Contas]],BASE!$B$3:$D$119,3,FALSE)</f>
        <v>Despesas Bancarias</v>
      </c>
      <c r="I2037" s="77" t="str">
        <f>IFERROR(VLOOKUP(DESPESAS[[#This Row],[Fornecedor]],Tabela2[],2,FALSE),"")</f>
        <v/>
      </c>
      <c r="J2037" s="77" t="str">
        <f>IFERROR(VLOOKUP(DESPESAS[[#This Row],[Plano de Contas]],BASE!$B$3:$F$119,4,FALSE),"")</f>
        <v>8 - DESPESAS FINANCEIRAS</v>
      </c>
      <c r="K2037" s="77" t="str">
        <f>IFERROR(VLOOKUP(DESPESAS[[#This Row],[Plano de Contas]],BASE!$B$3:$H$119,5,FALSE),"")</f>
        <v>FINANCEIRO</v>
      </c>
      <c r="L2037" s="77">
        <f>IFERROR(VLOOKUP(DESPESAS[[#This Row],[Plano de Contas]],BASE!$B$3:$H$119,6,FALSE),"")</f>
        <v>0</v>
      </c>
      <c r="M2037" s="77" t="str">
        <f>VLOOKUP(DESPESAS[[#This Row],[Plano de Contas]],BASE!$B$3:$H$119,7,FALSE)</f>
        <v>LETÍCIA</v>
      </c>
    </row>
    <row r="2038" spans="1:13" x14ac:dyDescent="0.25">
      <c r="A2038" s="74">
        <v>198878</v>
      </c>
      <c r="B2038" s="75" t="s">
        <v>221</v>
      </c>
      <c r="C2038" s="75" t="s">
        <v>1750</v>
      </c>
      <c r="D2038" s="76">
        <v>46084</v>
      </c>
      <c r="E2038" s="75" t="s">
        <v>1503</v>
      </c>
      <c r="F2038" s="74">
        <v>33</v>
      </c>
      <c r="G2038" s="75" t="s">
        <v>222</v>
      </c>
      <c r="H2038" s="77" t="str">
        <f>VLOOKUP(DESPESAS[[#This Row],[Plano de Contas]],BASE!$B$3:$D$119,3,FALSE)</f>
        <v>Alimentação</v>
      </c>
      <c r="I2038" s="77" t="str">
        <f>IFERROR(VLOOKUP(DESPESAS[[#This Row],[Fornecedor]],Tabela2[],2,FALSE),"")</f>
        <v/>
      </c>
      <c r="J2038" s="77" t="str">
        <f>IFERROR(VLOOKUP(DESPESAS[[#This Row],[Plano de Contas]],BASE!$B$3:$F$119,4,FALSE),"")</f>
        <v>5 - DESPESAS ADMINISTRATIVAS</v>
      </c>
      <c r="K2038" s="77" t="str">
        <f>IFERROR(VLOOKUP(DESPESAS[[#This Row],[Plano de Contas]],BASE!$B$3:$H$119,5,FALSE),"")</f>
        <v>FINANCEIRO</v>
      </c>
      <c r="L2038" s="77">
        <f>IFERROR(VLOOKUP(DESPESAS[[#This Row],[Plano de Contas]],BASE!$B$3:$H$119,6,FALSE),"")</f>
        <v>0</v>
      </c>
      <c r="M2038" s="77" t="str">
        <f>VLOOKUP(DESPESAS[[#This Row],[Plano de Contas]],BASE!$B$3:$H$119,7,FALSE)</f>
        <v>MYLENA</v>
      </c>
    </row>
    <row r="2039" spans="1:13" x14ac:dyDescent="0.25">
      <c r="A2039" s="74">
        <v>198879</v>
      </c>
      <c r="B2039" s="75" t="s">
        <v>221</v>
      </c>
      <c r="C2039" s="75" t="s">
        <v>1749</v>
      </c>
      <c r="D2039" s="76">
        <v>46081</v>
      </c>
      <c r="E2039" s="75" t="s">
        <v>1748</v>
      </c>
      <c r="F2039" s="74">
        <v>400</v>
      </c>
      <c r="G2039" s="75" t="s">
        <v>259</v>
      </c>
      <c r="H2039" s="77" t="str">
        <f>VLOOKUP(DESPESAS[[#This Row],[Plano de Contas]],BASE!$B$3:$D$119,3,FALSE)</f>
        <v>Manutenção Predial CIF</v>
      </c>
      <c r="I2039" s="77" t="str">
        <f>IFERROR(VLOOKUP(DESPESAS[[#This Row],[Fornecedor]],Tabela2[],2,FALSE),"")</f>
        <v/>
      </c>
      <c r="J2039" s="77" t="str">
        <f>IFERROR(VLOOKUP(DESPESAS[[#This Row],[Plano de Contas]],BASE!$B$3:$F$119,4,FALSE),"")</f>
        <v>3 - CUSTOS INDIRETOS</v>
      </c>
      <c r="K2039" s="77" t="str">
        <f>IFERROR(VLOOKUP(DESPESAS[[#This Row],[Plano de Contas]],BASE!$B$3:$H$119,5,FALSE),"")</f>
        <v>MANUTENÇÃO / TI</v>
      </c>
      <c r="L2039" s="77">
        <f>IFERROR(VLOOKUP(DESPESAS[[#This Row],[Plano de Contas]],BASE!$B$3:$H$119,6,FALSE),"")</f>
        <v>0</v>
      </c>
      <c r="M2039" s="77" t="str">
        <f>VLOOKUP(DESPESAS[[#This Row],[Plano de Contas]],BASE!$B$3:$H$119,7,FALSE)</f>
        <v>FÁBIO</v>
      </c>
    </row>
    <row r="2040" spans="1:13" x14ac:dyDescent="0.25">
      <c r="A2040" s="74">
        <v>198880</v>
      </c>
      <c r="B2040" s="75" t="s">
        <v>232</v>
      </c>
      <c r="C2040" s="75" t="s">
        <v>1747</v>
      </c>
      <c r="D2040" s="76">
        <v>46081</v>
      </c>
      <c r="E2040" s="75" t="s">
        <v>703</v>
      </c>
      <c r="F2040" s="74">
        <v>3889.02</v>
      </c>
      <c r="G2040" s="75" t="s">
        <v>1148</v>
      </c>
      <c r="H2040" s="77" t="str">
        <f>VLOOKUP(DESPESAS[[#This Row],[Plano de Contas]],BASE!$B$3:$D$119,3,FALSE)</f>
        <v>Pedágio Frota</v>
      </c>
      <c r="I2040" s="77" t="str">
        <f>IFERROR(VLOOKUP(DESPESAS[[#This Row],[Fornecedor]],Tabela2[],2,FALSE),"")</f>
        <v/>
      </c>
      <c r="J2040" s="77" t="str">
        <f>IFERROR(VLOOKUP(DESPESAS[[#This Row],[Plano de Contas]],BASE!$B$3:$F$119,4,FALSE),"")</f>
        <v>6 - DESPESA COM VENDAS</v>
      </c>
      <c r="K2040" s="77" t="str">
        <f>IFERROR(VLOOKUP(DESPESAS[[#This Row],[Plano de Contas]],BASE!$B$3:$H$119,5,FALSE),"")</f>
        <v>LOGÍSTICA</v>
      </c>
      <c r="L2040" s="77">
        <f>IFERROR(VLOOKUP(DESPESAS[[#This Row],[Plano de Contas]],BASE!$B$3:$H$119,6,FALSE),"")</f>
        <v>0</v>
      </c>
      <c r="M2040" s="77" t="str">
        <f>VLOOKUP(DESPESAS[[#This Row],[Plano de Contas]],BASE!$B$3:$H$119,7,FALSE)</f>
        <v>MYLENA</v>
      </c>
    </row>
    <row r="2041" spans="1:13" x14ac:dyDescent="0.25">
      <c r="A2041" s="74">
        <v>198881</v>
      </c>
      <c r="B2041" s="75" t="s">
        <v>232</v>
      </c>
      <c r="C2041" s="75" t="s">
        <v>1155</v>
      </c>
      <c r="D2041" s="76">
        <v>46081</v>
      </c>
      <c r="E2041" s="75" t="s">
        <v>703</v>
      </c>
      <c r="F2041" s="74">
        <v>3598.87</v>
      </c>
      <c r="G2041" s="75" t="s">
        <v>1148</v>
      </c>
      <c r="H2041" s="77" t="str">
        <f>VLOOKUP(DESPESAS[[#This Row],[Plano de Contas]],BASE!$B$3:$D$119,3,FALSE)</f>
        <v>Pedágio Frota</v>
      </c>
      <c r="I2041" s="77" t="str">
        <f>IFERROR(VLOOKUP(DESPESAS[[#This Row],[Fornecedor]],Tabela2[],2,FALSE),"")</f>
        <v/>
      </c>
      <c r="J2041" s="77" t="str">
        <f>IFERROR(VLOOKUP(DESPESAS[[#This Row],[Plano de Contas]],BASE!$B$3:$F$119,4,FALSE),"")</f>
        <v>6 - DESPESA COM VENDAS</v>
      </c>
      <c r="K2041" s="77" t="str">
        <f>IFERROR(VLOOKUP(DESPESAS[[#This Row],[Plano de Contas]],BASE!$B$3:$H$119,5,FALSE),"")</f>
        <v>LOGÍSTICA</v>
      </c>
      <c r="L2041" s="77">
        <f>IFERROR(VLOOKUP(DESPESAS[[#This Row],[Plano de Contas]],BASE!$B$3:$H$119,6,FALSE),"")</f>
        <v>0</v>
      </c>
      <c r="M2041" s="77" t="str">
        <f>VLOOKUP(DESPESAS[[#This Row],[Plano de Contas]],BASE!$B$3:$H$119,7,FALSE)</f>
        <v>MYLENA</v>
      </c>
    </row>
    <row r="2042" spans="1:13" x14ac:dyDescent="0.25">
      <c r="A2042" s="74">
        <v>198882</v>
      </c>
      <c r="B2042" s="75" t="s">
        <v>232</v>
      </c>
      <c r="C2042" s="75" t="s">
        <v>1746</v>
      </c>
      <c r="D2042" s="76">
        <v>46081</v>
      </c>
      <c r="E2042" s="75" t="s">
        <v>703</v>
      </c>
      <c r="F2042" s="74">
        <v>49.8</v>
      </c>
      <c r="G2042" s="75" t="s">
        <v>1148</v>
      </c>
      <c r="H2042" s="77" t="str">
        <f>VLOOKUP(DESPESAS[[#This Row],[Plano de Contas]],BASE!$B$3:$D$119,3,FALSE)</f>
        <v>Pedágio Frota</v>
      </c>
      <c r="I2042" s="77" t="str">
        <f>IFERROR(VLOOKUP(DESPESAS[[#This Row],[Fornecedor]],Tabela2[],2,FALSE),"")</f>
        <v/>
      </c>
      <c r="J2042" s="77" t="str">
        <f>IFERROR(VLOOKUP(DESPESAS[[#This Row],[Plano de Contas]],BASE!$B$3:$F$119,4,FALSE),"")</f>
        <v>6 - DESPESA COM VENDAS</v>
      </c>
      <c r="K2042" s="77" t="str">
        <f>IFERROR(VLOOKUP(DESPESAS[[#This Row],[Plano de Contas]],BASE!$B$3:$H$119,5,FALSE),"")</f>
        <v>LOGÍSTICA</v>
      </c>
      <c r="L2042" s="77">
        <f>IFERROR(VLOOKUP(DESPESAS[[#This Row],[Plano de Contas]],BASE!$B$3:$H$119,6,FALSE),"")</f>
        <v>0</v>
      </c>
      <c r="M2042" s="77" t="str">
        <f>VLOOKUP(DESPESAS[[#This Row],[Plano de Contas]],BASE!$B$3:$H$119,7,FALSE)</f>
        <v>MYLENA</v>
      </c>
    </row>
    <row r="2043" spans="1:13" x14ac:dyDescent="0.25">
      <c r="A2043" s="74">
        <v>198883</v>
      </c>
      <c r="B2043" s="75" t="s">
        <v>232</v>
      </c>
      <c r="C2043" s="75" t="s">
        <v>1153</v>
      </c>
      <c r="D2043" s="76">
        <v>46081</v>
      </c>
      <c r="E2043" s="75" t="s">
        <v>703</v>
      </c>
      <c r="F2043" s="74">
        <v>185.23</v>
      </c>
      <c r="G2043" s="75" t="s">
        <v>1148</v>
      </c>
      <c r="H2043" s="77" t="str">
        <f>VLOOKUP(DESPESAS[[#This Row],[Plano de Contas]],BASE!$B$3:$D$119,3,FALSE)</f>
        <v>Pedágio Frota</v>
      </c>
      <c r="I2043" s="77" t="str">
        <f>IFERROR(VLOOKUP(DESPESAS[[#This Row],[Fornecedor]],Tabela2[],2,FALSE),"")</f>
        <v/>
      </c>
      <c r="J2043" s="77" t="str">
        <f>IFERROR(VLOOKUP(DESPESAS[[#This Row],[Plano de Contas]],BASE!$B$3:$F$119,4,FALSE),"")</f>
        <v>6 - DESPESA COM VENDAS</v>
      </c>
      <c r="K2043" s="77" t="str">
        <f>IFERROR(VLOOKUP(DESPESAS[[#This Row],[Plano de Contas]],BASE!$B$3:$H$119,5,FALSE),"")</f>
        <v>LOGÍSTICA</v>
      </c>
      <c r="L2043" s="77">
        <f>IFERROR(VLOOKUP(DESPESAS[[#This Row],[Plano de Contas]],BASE!$B$3:$H$119,6,FALSE),"")</f>
        <v>0</v>
      </c>
      <c r="M2043" s="77" t="str">
        <f>VLOOKUP(DESPESAS[[#This Row],[Plano de Contas]],BASE!$B$3:$H$119,7,FALSE)</f>
        <v>MYLENA</v>
      </c>
    </row>
    <row r="2044" spans="1:13" x14ac:dyDescent="0.25">
      <c r="A2044" s="74">
        <v>198884</v>
      </c>
      <c r="B2044" s="75" t="s">
        <v>232</v>
      </c>
      <c r="C2044" s="75" t="s">
        <v>1152</v>
      </c>
      <c r="D2044" s="76">
        <v>46081</v>
      </c>
      <c r="E2044" s="75" t="s">
        <v>703</v>
      </c>
      <c r="F2044" s="74">
        <v>420.69</v>
      </c>
      <c r="G2044" s="75" t="s">
        <v>1148</v>
      </c>
      <c r="H2044" s="77" t="str">
        <f>VLOOKUP(DESPESAS[[#This Row],[Plano de Contas]],BASE!$B$3:$D$119,3,FALSE)</f>
        <v>Pedágio Frota</v>
      </c>
      <c r="I2044" s="77" t="str">
        <f>IFERROR(VLOOKUP(DESPESAS[[#This Row],[Fornecedor]],Tabela2[],2,FALSE),"")</f>
        <v/>
      </c>
      <c r="J2044" s="77" t="str">
        <f>IFERROR(VLOOKUP(DESPESAS[[#This Row],[Plano de Contas]],BASE!$B$3:$F$119,4,FALSE),"")</f>
        <v>6 - DESPESA COM VENDAS</v>
      </c>
      <c r="K2044" s="77" t="str">
        <f>IFERROR(VLOOKUP(DESPESAS[[#This Row],[Plano de Contas]],BASE!$B$3:$H$119,5,FALSE),"")</f>
        <v>LOGÍSTICA</v>
      </c>
      <c r="L2044" s="77">
        <f>IFERROR(VLOOKUP(DESPESAS[[#This Row],[Plano de Contas]],BASE!$B$3:$H$119,6,FALSE),"")</f>
        <v>0</v>
      </c>
      <c r="M2044" s="77" t="str">
        <f>VLOOKUP(DESPESAS[[#This Row],[Plano de Contas]],BASE!$B$3:$H$119,7,FALSE)</f>
        <v>MYLENA</v>
      </c>
    </row>
    <row r="2045" spans="1:13" x14ac:dyDescent="0.25">
      <c r="A2045" s="74">
        <v>198885</v>
      </c>
      <c r="B2045" s="75" t="s">
        <v>232</v>
      </c>
      <c r="C2045" s="75" t="s">
        <v>1151</v>
      </c>
      <c r="D2045" s="76">
        <v>46081</v>
      </c>
      <c r="E2045" s="75" t="s">
        <v>703</v>
      </c>
      <c r="F2045" s="74">
        <v>1409.03</v>
      </c>
      <c r="G2045" s="75" t="s">
        <v>1148</v>
      </c>
      <c r="H2045" s="77" t="str">
        <f>VLOOKUP(DESPESAS[[#This Row],[Plano de Contas]],BASE!$B$3:$D$119,3,FALSE)</f>
        <v>Pedágio Frota</v>
      </c>
      <c r="I2045" s="77" t="str">
        <f>IFERROR(VLOOKUP(DESPESAS[[#This Row],[Fornecedor]],Tabela2[],2,FALSE),"")</f>
        <v/>
      </c>
      <c r="J2045" s="77" t="str">
        <f>IFERROR(VLOOKUP(DESPESAS[[#This Row],[Plano de Contas]],BASE!$B$3:$F$119,4,FALSE),"")</f>
        <v>6 - DESPESA COM VENDAS</v>
      </c>
      <c r="K2045" s="77" t="str">
        <f>IFERROR(VLOOKUP(DESPESAS[[#This Row],[Plano de Contas]],BASE!$B$3:$H$119,5,FALSE),"")</f>
        <v>LOGÍSTICA</v>
      </c>
      <c r="L2045" s="77">
        <f>IFERROR(VLOOKUP(DESPESAS[[#This Row],[Plano de Contas]],BASE!$B$3:$H$119,6,FALSE),"")</f>
        <v>0</v>
      </c>
      <c r="M2045" s="77" t="str">
        <f>VLOOKUP(DESPESAS[[#This Row],[Plano de Contas]],BASE!$B$3:$H$119,7,FALSE)</f>
        <v>MYLENA</v>
      </c>
    </row>
    <row r="2046" spans="1:13" x14ac:dyDescent="0.25">
      <c r="A2046" s="74">
        <v>198886</v>
      </c>
      <c r="B2046" s="75" t="s">
        <v>232</v>
      </c>
      <c r="C2046" s="75" t="s">
        <v>1150</v>
      </c>
      <c r="D2046" s="76">
        <v>46081</v>
      </c>
      <c r="E2046" s="75" t="s">
        <v>703</v>
      </c>
      <c r="F2046" s="74">
        <v>539.54</v>
      </c>
      <c r="G2046" s="75" t="s">
        <v>1148</v>
      </c>
      <c r="H2046" s="77" t="str">
        <f>VLOOKUP(DESPESAS[[#This Row],[Plano de Contas]],BASE!$B$3:$D$119,3,FALSE)</f>
        <v>Pedágio Frota</v>
      </c>
      <c r="I2046" s="77" t="str">
        <f>IFERROR(VLOOKUP(DESPESAS[[#This Row],[Fornecedor]],Tabela2[],2,FALSE),"")</f>
        <v/>
      </c>
      <c r="J2046" s="77" t="str">
        <f>IFERROR(VLOOKUP(DESPESAS[[#This Row],[Plano de Contas]],BASE!$B$3:$F$119,4,FALSE),"")</f>
        <v>6 - DESPESA COM VENDAS</v>
      </c>
      <c r="K2046" s="77" t="str">
        <f>IFERROR(VLOOKUP(DESPESAS[[#This Row],[Plano de Contas]],BASE!$B$3:$H$119,5,FALSE),"")</f>
        <v>LOGÍSTICA</v>
      </c>
      <c r="L2046" s="77">
        <f>IFERROR(VLOOKUP(DESPESAS[[#This Row],[Plano de Contas]],BASE!$B$3:$H$119,6,FALSE),"")</f>
        <v>0</v>
      </c>
      <c r="M2046" s="77" t="str">
        <f>VLOOKUP(DESPESAS[[#This Row],[Plano de Contas]],BASE!$B$3:$H$119,7,FALSE)</f>
        <v>MYLENA</v>
      </c>
    </row>
    <row r="2047" spans="1:13" x14ac:dyDescent="0.25">
      <c r="A2047" s="74">
        <v>198887</v>
      </c>
      <c r="B2047" s="75" t="s">
        <v>232</v>
      </c>
      <c r="C2047" s="75" t="s">
        <v>1149</v>
      </c>
      <c r="D2047" s="76">
        <v>46081</v>
      </c>
      <c r="E2047" s="75" t="s">
        <v>703</v>
      </c>
      <c r="F2047" s="74">
        <v>49.8</v>
      </c>
      <c r="G2047" s="75" t="s">
        <v>1148</v>
      </c>
      <c r="H2047" s="77" t="str">
        <f>VLOOKUP(DESPESAS[[#This Row],[Plano de Contas]],BASE!$B$3:$D$119,3,FALSE)</f>
        <v>Pedágio Frota</v>
      </c>
      <c r="I2047" s="77" t="str">
        <f>IFERROR(VLOOKUP(DESPESAS[[#This Row],[Fornecedor]],Tabela2[],2,FALSE),"")</f>
        <v/>
      </c>
      <c r="J2047" s="77" t="str">
        <f>IFERROR(VLOOKUP(DESPESAS[[#This Row],[Plano de Contas]],BASE!$B$3:$F$119,4,FALSE),"")</f>
        <v>6 - DESPESA COM VENDAS</v>
      </c>
      <c r="K2047" s="77" t="str">
        <f>IFERROR(VLOOKUP(DESPESAS[[#This Row],[Plano de Contas]],BASE!$B$3:$H$119,5,FALSE),"")</f>
        <v>LOGÍSTICA</v>
      </c>
      <c r="L2047" s="77">
        <f>IFERROR(VLOOKUP(DESPESAS[[#This Row],[Plano de Contas]],BASE!$B$3:$H$119,6,FALSE),"")</f>
        <v>0</v>
      </c>
      <c r="M2047" s="77" t="str">
        <f>VLOOKUP(DESPESAS[[#This Row],[Plano de Contas]],BASE!$B$3:$H$119,7,FALSE)</f>
        <v>MYLENA</v>
      </c>
    </row>
    <row r="2048" spans="1:13" x14ac:dyDescent="0.25">
      <c r="A2048" s="74">
        <v>198888</v>
      </c>
      <c r="B2048" s="75" t="s">
        <v>232</v>
      </c>
      <c r="C2048" s="75" t="s">
        <v>1745</v>
      </c>
      <c r="D2048" s="76">
        <v>46080</v>
      </c>
      <c r="E2048" s="75" t="s">
        <v>734</v>
      </c>
      <c r="F2048" s="74">
        <v>619.39</v>
      </c>
      <c r="G2048" s="75" t="s">
        <v>241</v>
      </c>
      <c r="H2048" s="77" t="str">
        <f>VLOOKUP(DESPESAS[[#This Row],[Plano de Contas]],BASE!$B$3:$D$119,3,FALSE)</f>
        <v>Combustiveis Frota</v>
      </c>
      <c r="I2048" s="77" t="str">
        <f>IFERROR(VLOOKUP(DESPESAS[[#This Row],[Fornecedor]],Tabela2[],2,FALSE),"")</f>
        <v/>
      </c>
      <c r="J2048" s="77" t="str">
        <f>IFERROR(VLOOKUP(DESPESAS[[#This Row],[Plano de Contas]],BASE!$B$3:$F$119,4,FALSE),"")</f>
        <v>6 - DESPESA COM VENDAS</v>
      </c>
      <c r="K2048" s="77" t="str">
        <f>IFERROR(VLOOKUP(DESPESAS[[#This Row],[Plano de Contas]],BASE!$B$3:$H$119,5,FALSE),"")</f>
        <v>LOGÍSTICA</v>
      </c>
      <c r="L2048" s="77">
        <f>IFERROR(VLOOKUP(DESPESAS[[#This Row],[Plano de Contas]],BASE!$B$3:$H$119,6,FALSE),"")</f>
        <v>0</v>
      </c>
      <c r="M2048" s="77" t="str">
        <f>VLOOKUP(DESPESAS[[#This Row],[Plano de Contas]],BASE!$B$3:$H$119,7,FALSE)</f>
        <v>MYLENA</v>
      </c>
    </row>
    <row r="2049" spans="1:13" x14ac:dyDescent="0.25">
      <c r="A2049" s="74">
        <v>198889</v>
      </c>
      <c r="B2049" s="75" t="s">
        <v>232</v>
      </c>
      <c r="C2049" s="75" t="s">
        <v>1744</v>
      </c>
      <c r="D2049" s="76">
        <v>46084</v>
      </c>
      <c r="E2049" s="75" t="s">
        <v>1028</v>
      </c>
      <c r="F2049" s="74">
        <v>628.79999999999995</v>
      </c>
      <c r="G2049" s="75" t="s">
        <v>489</v>
      </c>
      <c r="H2049" s="77" t="str">
        <f>VLOOKUP(DESPESAS[[#This Row],[Plano de Contas]],BASE!$B$3:$D$119,3,FALSE)</f>
        <v>Material de Limpeza CIF</v>
      </c>
      <c r="I2049" s="77" t="str">
        <f>IFERROR(VLOOKUP(DESPESAS[[#This Row],[Fornecedor]],Tabela2[],2,FALSE),"")</f>
        <v/>
      </c>
      <c r="J2049" s="77" t="str">
        <f>IFERROR(VLOOKUP(DESPESAS[[#This Row],[Plano de Contas]],BASE!$B$3:$F$119,4,FALSE),"")</f>
        <v>3 - CUSTOS INDIRETOS</v>
      </c>
      <c r="K2049" s="77" t="str">
        <f>IFERROR(VLOOKUP(DESPESAS[[#This Row],[Plano de Contas]],BASE!$B$3:$H$119,5,FALSE),"")</f>
        <v>COMPRAS</v>
      </c>
      <c r="L2049" s="77">
        <f>IFERROR(VLOOKUP(DESPESAS[[#This Row],[Plano de Contas]],BASE!$B$3:$H$119,6,FALSE),"")</f>
        <v>0</v>
      </c>
      <c r="M2049" s="77" t="str">
        <f>VLOOKUP(DESPESAS[[#This Row],[Plano de Contas]],BASE!$B$3:$H$119,7,FALSE)</f>
        <v>MYLENA</v>
      </c>
    </row>
    <row r="2050" spans="1:13" x14ac:dyDescent="0.25">
      <c r="A2050" s="74">
        <v>198890</v>
      </c>
      <c r="B2050" s="75" t="s">
        <v>221</v>
      </c>
      <c r="C2050" s="75" t="s">
        <v>1743</v>
      </c>
      <c r="D2050" s="76">
        <v>46084</v>
      </c>
      <c r="E2050" s="75" t="s">
        <v>245</v>
      </c>
      <c r="F2050" s="74">
        <v>90</v>
      </c>
      <c r="G2050" s="75" t="s">
        <v>1037</v>
      </c>
      <c r="H2050" s="77" t="str">
        <f>VLOOKUP(DESPESAS[[#This Row],[Plano de Contas]],BASE!$B$3:$D$119,3,FALSE)</f>
        <v>Construções e Reformas</v>
      </c>
      <c r="I2050" s="77" t="str">
        <f>IFERROR(VLOOKUP(DESPESAS[[#This Row],[Fornecedor]],Tabela2[],2,FALSE),"")</f>
        <v>FERRAGENS GERAIS</v>
      </c>
      <c r="J2050" s="77" t="str">
        <f>IFERROR(VLOOKUP(DESPESAS[[#This Row],[Plano de Contas]],BASE!$B$3:$F$119,4,FALSE),"")</f>
        <v>9 - INVESTIMENTOS</v>
      </c>
      <c r="K2050" s="77" t="str">
        <f>IFERROR(VLOOKUP(DESPESAS[[#This Row],[Plano de Contas]],BASE!$B$3:$H$119,5,FALSE),"")</f>
        <v>MANUTENÇÃO / TI</v>
      </c>
      <c r="L2050" s="77">
        <f>IFERROR(VLOOKUP(DESPESAS[[#This Row],[Plano de Contas]],BASE!$B$3:$H$119,6,FALSE),"")</f>
        <v>0</v>
      </c>
      <c r="M2050" s="77" t="str">
        <f>VLOOKUP(DESPESAS[[#This Row],[Plano de Contas]],BASE!$B$3:$H$119,7,FALSE)</f>
        <v>FÁBIO</v>
      </c>
    </row>
    <row r="2051" spans="1:13" x14ac:dyDescent="0.25">
      <c r="A2051" s="74">
        <v>198891</v>
      </c>
      <c r="B2051" s="75" t="s">
        <v>221</v>
      </c>
      <c r="C2051" s="75" t="s">
        <v>1742</v>
      </c>
      <c r="D2051" s="76">
        <v>46084</v>
      </c>
      <c r="E2051" s="75" t="s">
        <v>399</v>
      </c>
      <c r="F2051" s="74">
        <v>75.48</v>
      </c>
      <c r="G2051" s="75" t="s">
        <v>568</v>
      </c>
      <c r="H2051" s="77" t="str">
        <f>VLOOKUP(DESPESAS[[#This Row],[Plano de Contas]],BASE!$B$3:$D$119,3,FALSE)</f>
        <v>Carregamento</v>
      </c>
      <c r="I2051" s="77" t="str">
        <f>IFERROR(VLOOKUP(DESPESAS[[#This Row],[Fornecedor]],Tabela2[],2,FALSE),"")</f>
        <v/>
      </c>
      <c r="J2051" s="77" t="str">
        <f>IFERROR(VLOOKUP(DESPESAS[[#This Row],[Plano de Contas]],BASE!$B$3:$F$119,4,FALSE),"")</f>
        <v>6 - DESPESA COM VENDAS</v>
      </c>
      <c r="K2051" s="77" t="str">
        <f>IFERROR(VLOOKUP(DESPESAS[[#This Row],[Plano de Contas]],BASE!$B$3:$H$119,5,FALSE),"")</f>
        <v>LOGÍSTICA</v>
      </c>
      <c r="L2051" s="77">
        <f>IFERROR(VLOOKUP(DESPESAS[[#This Row],[Plano de Contas]],BASE!$B$3:$H$119,6,FALSE),"")</f>
        <v>0</v>
      </c>
      <c r="M2051" s="77" t="str">
        <f>VLOOKUP(DESPESAS[[#This Row],[Plano de Contas]],BASE!$B$3:$H$119,7,FALSE)</f>
        <v>MYLENA</v>
      </c>
    </row>
    <row r="2052" spans="1:13" x14ac:dyDescent="0.25">
      <c r="A2052" s="74">
        <v>198892</v>
      </c>
      <c r="B2052" s="75" t="s">
        <v>221</v>
      </c>
      <c r="C2052" s="75" t="s">
        <v>1741</v>
      </c>
      <c r="D2052" s="76">
        <v>46081</v>
      </c>
      <c r="E2052" s="75" t="s">
        <v>402</v>
      </c>
      <c r="F2052" s="74">
        <v>1194</v>
      </c>
      <c r="G2052" s="75" t="s">
        <v>262</v>
      </c>
      <c r="H2052" s="77" t="str">
        <f>VLOOKUP(DESPESAS[[#This Row],[Plano de Contas]],BASE!$B$3:$D$119,3,FALSE)</f>
        <v>Fretes Karams</v>
      </c>
      <c r="I2052" s="77" t="str">
        <f>IFERROR(VLOOKUP(DESPESAS[[#This Row],[Fornecedor]],Tabela2[],2,FALSE),"")</f>
        <v/>
      </c>
      <c r="J2052" s="77" t="str">
        <f>IFERROR(VLOOKUP(DESPESAS[[#This Row],[Plano de Contas]],BASE!$B$3:$F$119,4,FALSE),"")</f>
        <v>6 - DESPESA COM VENDAS</v>
      </c>
      <c r="K2052" s="77" t="str">
        <f>IFERROR(VLOOKUP(DESPESAS[[#This Row],[Plano de Contas]],BASE!$B$3:$H$119,5,FALSE),"")</f>
        <v>LOGÍSTICA</v>
      </c>
      <c r="L2052" s="77">
        <f>IFERROR(VLOOKUP(DESPESAS[[#This Row],[Plano de Contas]],BASE!$B$3:$H$119,6,FALSE),"")</f>
        <v>0</v>
      </c>
      <c r="M2052" s="77" t="str">
        <f>VLOOKUP(DESPESAS[[#This Row],[Plano de Contas]],BASE!$B$3:$H$119,7,FALSE)</f>
        <v>MYLENA</v>
      </c>
    </row>
    <row r="2053" spans="1:13" x14ac:dyDescent="0.25">
      <c r="A2053" s="74">
        <v>198893</v>
      </c>
      <c r="B2053" s="75" t="s">
        <v>221</v>
      </c>
      <c r="C2053" s="75" t="s">
        <v>1740</v>
      </c>
      <c r="D2053" s="76">
        <v>46081</v>
      </c>
      <c r="E2053" s="75" t="s">
        <v>402</v>
      </c>
      <c r="F2053" s="74">
        <v>90</v>
      </c>
      <c r="G2053" s="75" t="s">
        <v>247</v>
      </c>
      <c r="H2053" s="77" t="str">
        <f>VLOOKUP(DESPESAS[[#This Row],[Plano de Contas]],BASE!$B$3:$D$119,3,FALSE)</f>
        <v>Manutenção com veiculos</v>
      </c>
      <c r="I2053" s="77" t="str">
        <f>IFERROR(VLOOKUP(DESPESAS[[#This Row],[Fornecedor]],Tabela2[],2,FALSE),"")</f>
        <v/>
      </c>
      <c r="J2053" s="77" t="str">
        <f>IFERROR(VLOOKUP(DESPESAS[[#This Row],[Plano de Contas]],BASE!$B$3:$F$119,4,FALSE),"")</f>
        <v>6 - DESPESA COM VENDAS</v>
      </c>
      <c r="K2053" s="77" t="str">
        <f>IFERROR(VLOOKUP(DESPESAS[[#This Row],[Plano de Contas]],BASE!$B$3:$H$119,5,FALSE),"")</f>
        <v>LOGÍSTICA</v>
      </c>
      <c r="L2053" s="77">
        <f>IFERROR(VLOOKUP(DESPESAS[[#This Row],[Plano de Contas]],BASE!$B$3:$H$119,6,FALSE),"")</f>
        <v>0</v>
      </c>
      <c r="M2053" s="77" t="str">
        <f>VLOOKUP(DESPESAS[[#This Row],[Plano de Contas]],BASE!$B$3:$H$119,7,FALSE)</f>
        <v>MYLENA</v>
      </c>
    </row>
    <row r="2054" spans="1:13" x14ac:dyDescent="0.25">
      <c r="A2054" s="74">
        <v>198894</v>
      </c>
      <c r="B2054" s="75" t="s">
        <v>221</v>
      </c>
      <c r="C2054" s="75" t="s">
        <v>1739</v>
      </c>
      <c r="D2054" s="76">
        <v>46081</v>
      </c>
      <c r="E2054" s="75" t="s">
        <v>242</v>
      </c>
      <c r="F2054" s="74">
        <v>2660.42</v>
      </c>
      <c r="G2054" s="75" t="s">
        <v>241</v>
      </c>
      <c r="H2054" s="77" t="str">
        <f>VLOOKUP(DESPESAS[[#This Row],[Plano de Contas]],BASE!$B$3:$D$119,3,FALSE)</f>
        <v>Combustiveis Frota</v>
      </c>
      <c r="I2054" s="77" t="str">
        <f>IFERROR(VLOOKUP(DESPESAS[[#This Row],[Fornecedor]],Tabela2[],2,FALSE),"")</f>
        <v/>
      </c>
      <c r="J2054" s="77" t="str">
        <f>IFERROR(VLOOKUP(DESPESAS[[#This Row],[Plano de Contas]],BASE!$B$3:$F$119,4,FALSE),"")</f>
        <v>6 - DESPESA COM VENDAS</v>
      </c>
      <c r="K2054" s="77" t="str">
        <f>IFERROR(VLOOKUP(DESPESAS[[#This Row],[Plano de Contas]],BASE!$B$3:$H$119,5,FALSE),"")</f>
        <v>LOGÍSTICA</v>
      </c>
      <c r="L2054" s="77">
        <f>IFERROR(VLOOKUP(DESPESAS[[#This Row],[Plano de Contas]],BASE!$B$3:$H$119,6,FALSE),"")</f>
        <v>0</v>
      </c>
      <c r="M2054" s="77" t="str">
        <f>VLOOKUP(DESPESAS[[#This Row],[Plano de Contas]],BASE!$B$3:$H$119,7,FALSE)</f>
        <v>MYLENA</v>
      </c>
    </row>
    <row r="2055" spans="1:13" x14ac:dyDescent="0.25">
      <c r="A2055" s="74">
        <v>198895</v>
      </c>
      <c r="B2055" s="75" t="s">
        <v>221</v>
      </c>
      <c r="C2055" s="75" t="s">
        <v>1738</v>
      </c>
      <c r="D2055" s="76">
        <v>46081</v>
      </c>
      <c r="E2055" s="75" t="s">
        <v>242</v>
      </c>
      <c r="F2055" s="74">
        <v>85.1</v>
      </c>
      <c r="G2055" s="75" t="s">
        <v>241</v>
      </c>
      <c r="H2055" s="77" t="str">
        <f>VLOOKUP(DESPESAS[[#This Row],[Plano de Contas]],BASE!$B$3:$D$119,3,FALSE)</f>
        <v>Combustiveis Frota</v>
      </c>
      <c r="I2055" s="77" t="str">
        <f>IFERROR(VLOOKUP(DESPESAS[[#This Row],[Fornecedor]],Tabela2[],2,FALSE),"")</f>
        <v/>
      </c>
      <c r="J2055" s="77" t="str">
        <f>IFERROR(VLOOKUP(DESPESAS[[#This Row],[Plano de Contas]],BASE!$B$3:$F$119,4,FALSE),"")</f>
        <v>6 - DESPESA COM VENDAS</v>
      </c>
      <c r="K2055" s="77" t="str">
        <f>IFERROR(VLOOKUP(DESPESAS[[#This Row],[Plano de Contas]],BASE!$B$3:$H$119,5,FALSE),"")</f>
        <v>LOGÍSTICA</v>
      </c>
      <c r="L2055" s="77">
        <f>IFERROR(VLOOKUP(DESPESAS[[#This Row],[Plano de Contas]],BASE!$B$3:$H$119,6,FALSE),"")</f>
        <v>0</v>
      </c>
      <c r="M2055" s="77" t="str">
        <f>VLOOKUP(DESPESAS[[#This Row],[Plano de Contas]],BASE!$B$3:$H$119,7,FALSE)</f>
        <v>MYLENA</v>
      </c>
    </row>
    <row r="2056" spans="1:13" x14ac:dyDescent="0.25">
      <c r="A2056" s="74">
        <v>198896</v>
      </c>
      <c r="B2056" s="75" t="s">
        <v>221</v>
      </c>
      <c r="C2056" s="75" t="s">
        <v>1737</v>
      </c>
      <c r="D2056" s="76">
        <v>46083</v>
      </c>
      <c r="E2056" s="75" t="s">
        <v>242</v>
      </c>
      <c r="F2056" s="74">
        <v>50.93</v>
      </c>
      <c r="G2056" s="75" t="s">
        <v>241</v>
      </c>
      <c r="H2056" s="77" t="str">
        <f>VLOOKUP(DESPESAS[[#This Row],[Plano de Contas]],BASE!$B$3:$D$119,3,FALSE)</f>
        <v>Combustiveis Frota</v>
      </c>
      <c r="I2056" s="77" t="str">
        <f>IFERROR(VLOOKUP(DESPESAS[[#This Row],[Fornecedor]],Tabela2[],2,FALSE),"")</f>
        <v/>
      </c>
      <c r="J2056" s="77" t="str">
        <f>IFERROR(VLOOKUP(DESPESAS[[#This Row],[Plano de Contas]],BASE!$B$3:$F$119,4,FALSE),"")</f>
        <v>6 - DESPESA COM VENDAS</v>
      </c>
      <c r="K2056" s="77" t="str">
        <f>IFERROR(VLOOKUP(DESPESAS[[#This Row],[Plano de Contas]],BASE!$B$3:$H$119,5,FALSE),"")</f>
        <v>LOGÍSTICA</v>
      </c>
      <c r="L2056" s="77">
        <f>IFERROR(VLOOKUP(DESPESAS[[#This Row],[Plano de Contas]],BASE!$B$3:$H$119,6,FALSE),"")</f>
        <v>0</v>
      </c>
      <c r="M2056" s="77" t="str">
        <f>VLOOKUP(DESPESAS[[#This Row],[Plano de Contas]],BASE!$B$3:$H$119,7,FALSE)</f>
        <v>MYLENA</v>
      </c>
    </row>
    <row r="2057" spans="1:13" x14ac:dyDescent="0.25">
      <c r="A2057" s="74">
        <v>198897</v>
      </c>
      <c r="B2057" s="75" t="s">
        <v>232</v>
      </c>
      <c r="C2057" s="75" t="s">
        <v>1736</v>
      </c>
      <c r="D2057" s="76">
        <v>46084</v>
      </c>
      <c r="E2057" s="75" t="s">
        <v>1735</v>
      </c>
      <c r="F2057" s="74">
        <v>576</v>
      </c>
      <c r="G2057" s="75" t="s">
        <v>294</v>
      </c>
      <c r="H2057" s="77" t="str">
        <f>VLOOKUP(DESPESAS[[#This Row],[Plano de Contas]],BASE!$B$3:$D$119,3,FALSE)</f>
        <v>Insumos de Clientes</v>
      </c>
      <c r="I2057" s="77" t="str">
        <f>IFERROR(VLOOKUP(DESPESAS[[#This Row],[Fornecedor]],Tabela2[],2,FALSE),"")</f>
        <v/>
      </c>
      <c r="J2057" s="77" t="str">
        <f>IFERROR(VLOOKUP(DESPESAS[[#This Row],[Plano de Contas]],BASE!$B$3:$F$119,4,FALSE),"")</f>
        <v>8 - DESPESAS FINANCEIRAS</v>
      </c>
      <c r="K2057" s="77" t="str">
        <f>IFERROR(VLOOKUP(DESPESAS[[#This Row],[Plano de Contas]],BASE!$B$3:$H$119,5,FALSE),"")</f>
        <v>COMERCIAL</v>
      </c>
      <c r="L2057" s="77">
        <f>IFERROR(VLOOKUP(DESPESAS[[#This Row],[Plano de Contas]],BASE!$B$3:$H$119,6,FALSE),"")</f>
        <v>0</v>
      </c>
      <c r="M2057" s="77" t="str">
        <f>VLOOKUP(DESPESAS[[#This Row],[Plano de Contas]],BASE!$B$3:$H$119,7,FALSE)</f>
        <v>LETÍCIA</v>
      </c>
    </row>
    <row r="2058" spans="1:13" x14ac:dyDescent="0.25">
      <c r="A2058" s="74">
        <v>198898</v>
      </c>
      <c r="B2058" s="75" t="s">
        <v>221</v>
      </c>
      <c r="C2058" s="75" t="s">
        <v>1734</v>
      </c>
      <c r="D2058" s="76">
        <v>46076</v>
      </c>
      <c r="E2058" s="75" t="s">
        <v>242</v>
      </c>
      <c r="F2058" s="74">
        <v>285.01</v>
      </c>
      <c r="G2058" s="75" t="s">
        <v>241</v>
      </c>
      <c r="H2058" s="77" t="str">
        <f>VLOOKUP(DESPESAS[[#This Row],[Plano de Contas]],BASE!$B$3:$D$119,3,FALSE)</f>
        <v>Combustiveis Frota</v>
      </c>
      <c r="I2058" s="77" t="str">
        <f>IFERROR(VLOOKUP(DESPESAS[[#This Row],[Fornecedor]],Tabela2[],2,FALSE),"")</f>
        <v/>
      </c>
      <c r="J2058" s="77" t="str">
        <f>IFERROR(VLOOKUP(DESPESAS[[#This Row],[Plano de Contas]],BASE!$B$3:$F$119,4,FALSE),"")</f>
        <v>6 - DESPESA COM VENDAS</v>
      </c>
      <c r="K2058" s="77" t="str">
        <f>IFERROR(VLOOKUP(DESPESAS[[#This Row],[Plano de Contas]],BASE!$B$3:$H$119,5,FALSE),"")</f>
        <v>LOGÍSTICA</v>
      </c>
      <c r="L2058" s="77">
        <f>IFERROR(VLOOKUP(DESPESAS[[#This Row],[Plano de Contas]],BASE!$B$3:$H$119,6,FALSE),"")</f>
        <v>0</v>
      </c>
      <c r="M2058" s="77" t="str">
        <f>VLOOKUP(DESPESAS[[#This Row],[Plano de Contas]],BASE!$B$3:$H$119,7,FALSE)</f>
        <v>MYLENA</v>
      </c>
    </row>
    <row r="2059" spans="1:13" x14ac:dyDescent="0.25">
      <c r="A2059" s="74">
        <v>198899</v>
      </c>
      <c r="B2059" s="75" t="s">
        <v>221</v>
      </c>
      <c r="C2059" s="75" t="s">
        <v>1733</v>
      </c>
      <c r="D2059" s="76">
        <v>46079</v>
      </c>
      <c r="E2059" s="75" t="s">
        <v>1732</v>
      </c>
      <c r="F2059" s="74">
        <v>185.69</v>
      </c>
      <c r="G2059" s="75" t="s">
        <v>241</v>
      </c>
      <c r="H2059" s="77" t="str">
        <f>VLOOKUP(DESPESAS[[#This Row],[Plano de Contas]],BASE!$B$3:$D$119,3,FALSE)</f>
        <v>Combustiveis Frota</v>
      </c>
      <c r="I2059" s="77" t="str">
        <f>IFERROR(VLOOKUP(DESPESAS[[#This Row],[Fornecedor]],Tabela2[],2,FALSE),"")</f>
        <v/>
      </c>
      <c r="J2059" s="77" t="str">
        <f>IFERROR(VLOOKUP(DESPESAS[[#This Row],[Plano de Contas]],BASE!$B$3:$F$119,4,FALSE),"")</f>
        <v>6 - DESPESA COM VENDAS</v>
      </c>
      <c r="K2059" s="77" t="str">
        <f>IFERROR(VLOOKUP(DESPESAS[[#This Row],[Plano de Contas]],BASE!$B$3:$H$119,5,FALSE),"")</f>
        <v>LOGÍSTICA</v>
      </c>
      <c r="L2059" s="77">
        <f>IFERROR(VLOOKUP(DESPESAS[[#This Row],[Plano de Contas]],BASE!$B$3:$H$119,6,FALSE),"")</f>
        <v>0</v>
      </c>
      <c r="M2059" s="77" t="str">
        <f>VLOOKUP(DESPESAS[[#This Row],[Plano de Contas]],BASE!$B$3:$H$119,7,FALSE)</f>
        <v>MYLENA</v>
      </c>
    </row>
    <row r="2060" spans="1:13" x14ac:dyDescent="0.25">
      <c r="A2060" s="74">
        <v>198900</v>
      </c>
      <c r="B2060" s="75" t="s">
        <v>232</v>
      </c>
      <c r="C2060" s="75" t="s">
        <v>1731</v>
      </c>
      <c r="D2060" s="76">
        <v>46073</v>
      </c>
      <c r="E2060" s="75" t="s">
        <v>1730</v>
      </c>
      <c r="F2060" s="74">
        <v>297.8</v>
      </c>
      <c r="G2060" s="75" t="s">
        <v>324</v>
      </c>
      <c r="H2060" s="77" t="str">
        <f>VLOOKUP(DESPESAS[[#This Row],[Plano de Contas]],BASE!$B$3:$D$119,3,FALSE)</f>
        <v>Cursos e Treinamentos CIF</v>
      </c>
      <c r="I2060" s="77" t="str">
        <f>IFERROR(VLOOKUP(DESPESAS[[#This Row],[Fornecedor]],Tabela2[],2,FALSE),"")</f>
        <v/>
      </c>
      <c r="J2060" s="77" t="str">
        <f>IFERROR(VLOOKUP(DESPESAS[[#This Row],[Plano de Contas]],BASE!$B$3:$F$119,4,FALSE),"")</f>
        <v>3 - CUSTOS INDIRETOS</v>
      </c>
      <c r="K2060" s="77" t="str">
        <f>IFERROR(VLOOKUP(DESPESAS[[#This Row],[Plano de Contas]],BASE!$B$3:$H$119,5,FALSE),"")</f>
        <v>DH</v>
      </c>
      <c r="L2060" s="77">
        <f>IFERROR(VLOOKUP(DESPESAS[[#This Row],[Plano de Contas]],BASE!$B$3:$H$119,6,FALSE),"")</f>
        <v>0</v>
      </c>
      <c r="M2060" s="77" t="str">
        <f>VLOOKUP(DESPESAS[[#This Row],[Plano de Contas]],BASE!$B$3:$H$119,7,FALSE)</f>
        <v>FÁBIO</v>
      </c>
    </row>
    <row r="2061" spans="1:13" x14ac:dyDescent="0.25">
      <c r="A2061" s="74">
        <v>198901</v>
      </c>
      <c r="B2061" s="75" t="s">
        <v>221</v>
      </c>
      <c r="C2061" s="75" t="s">
        <v>1729</v>
      </c>
      <c r="D2061" s="76">
        <v>46084</v>
      </c>
      <c r="E2061" s="75" t="s">
        <v>338</v>
      </c>
      <c r="F2061" s="74">
        <v>408</v>
      </c>
      <c r="G2061" s="75" t="s">
        <v>337</v>
      </c>
      <c r="H2061" s="77" t="str">
        <f>VLOOKUP(DESPESAS[[#This Row],[Plano de Contas]],BASE!$B$3:$D$119,3,FALSE)</f>
        <v>Vigilancia e Seguranca</v>
      </c>
      <c r="I2061" s="77" t="str">
        <f>IFERROR(VLOOKUP(DESPESAS[[#This Row],[Fornecedor]],Tabela2[],2,FALSE),"")</f>
        <v/>
      </c>
      <c r="J2061" s="77" t="str">
        <f>IFERROR(VLOOKUP(DESPESAS[[#This Row],[Plano de Contas]],BASE!$B$3:$F$119,4,FALSE),"")</f>
        <v>7 - SERVIÇOS DE TERCEIROS</v>
      </c>
      <c r="K2061" s="77" t="str">
        <f>IFERROR(VLOOKUP(DESPESAS[[#This Row],[Plano de Contas]],BASE!$B$3:$H$119,5,FALSE),"")</f>
        <v>FINANCEIRO</v>
      </c>
      <c r="L2061" s="77">
        <f>IFERROR(VLOOKUP(DESPESAS[[#This Row],[Plano de Contas]],BASE!$B$3:$H$119,6,FALSE),"")</f>
        <v>0</v>
      </c>
      <c r="M2061" s="77" t="str">
        <f>VLOOKUP(DESPESAS[[#This Row],[Plano de Contas]],BASE!$B$3:$H$119,7,FALSE)</f>
        <v>LETÍCIA</v>
      </c>
    </row>
    <row r="2062" spans="1:13" x14ac:dyDescent="0.25">
      <c r="A2062" s="74">
        <v>198902</v>
      </c>
      <c r="B2062" s="75" t="s">
        <v>232</v>
      </c>
      <c r="C2062" s="75" t="s">
        <v>1728</v>
      </c>
      <c r="D2062" s="76">
        <v>46073</v>
      </c>
      <c r="E2062" s="75" t="s">
        <v>391</v>
      </c>
      <c r="F2062" s="74">
        <v>330.17</v>
      </c>
      <c r="G2062" s="75" t="s">
        <v>241</v>
      </c>
      <c r="H2062" s="77" t="str">
        <f>VLOOKUP(DESPESAS[[#This Row],[Plano de Contas]],BASE!$B$3:$D$119,3,FALSE)</f>
        <v>Combustiveis Frota</v>
      </c>
      <c r="I2062" s="77" t="str">
        <f>IFERROR(VLOOKUP(DESPESAS[[#This Row],[Fornecedor]],Tabela2[],2,FALSE),"")</f>
        <v/>
      </c>
      <c r="J2062" s="77" t="str">
        <f>IFERROR(VLOOKUP(DESPESAS[[#This Row],[Plano de Contas]],BASE!$B$3:$F$119,4,FALSE),"")</f>
        <v>6 - DESPESA COM VENDAS</v>
      </c>
      <c r="K2062" s="77" t="str">
        <f>IFERROR(VLOOKUP(DESPESAS[[#This Row],[Plano de Contas]],BASE!$B$3:$H$119,5,FALSE),"")</f>
        <v>LOGÍSTICA</v>
      </c>
      <c r="L2062" s="77">
        <f>IFERROR(VLOOKUP(DESPESAS[[#This Row],[Plano de Contas]],BASE!$B$3:$H$119,6,FALSE),"")</f>
        <v>0</v>
      </c>
      <c r="M2062" s="77" t="str">
        <f>VLOOKUP(DESPESAS[[#This Row],[Plano de Contas]],BASE!$B$3:$H$119,7,FALSE)</f>
        <v>MYLENA</v>
      </c>
    </row>
    <row r="2063" spans="1:13" x14ac:dyDescent="0.25">
      <c r="A2063" s="74">
        <v>198903</v>
      </c>
      <c r="B2063" s="75" t="s">
        <v>232</v>
      </c>
      <c r="C2063" s="75" t="s">
        <v>1727</v>
      </c>
      <c r="D2063" s="76">
        <v>46077</v>
      </c>
      <c r="E2063" s="75" t="s">
        <v>394</v>
      </c>
      <c r="F2063" s="74">
        <v>1868.49</v>
      </c>
      <c r="G2063" s="75" t="s">
        <v>241</v>
      </c>
      <c r="H2063" s="77" t="str">
        <f>VLOOKUP(DESPESAS[[#This Row],[Plano de Contas]],BASE!$B$3:$D$119,3,FALSE)</f>
        <v>Combustiveis Frota</v>
      </c>
      <c r="I2063" s="77" t="str">
        <f>IFERROR(VLOOKUP(DESPESAS[[#This Row],[Fornecedor]],Tabela2[],2,FALSE),"")</f>
        <v/>
      </c>
      <c r="J2063" s="77" t="str">
        <f>IFERROR(VLOOKUP(DESPESAS[[#This Row],[Plano de Contas]],BASE!$B$3:$F$119,4,FALSE),"")</f>
        <v>6 - DESPESA COM VENDAS</v>
      </c>
      <c r="K2063" s="77" t="str">
        <f>IFERROR(VLOOKUP(DESPESAS[[#This Row],[Plano de Contas]],BASE!$B$3:$H$119,5,FALSE),"")</f>
        <v>LOGÍSTICA</v>
      </c>
      <c r="L2063" s="77">
        <f>IFERROR(VLOOKUP(DESPESAS[[#This Row],[Plano de Contas]],BASE!$B$3:$H$119,6,FALSE),"")</f>
        <v>0</v>
      </c>
      <c r="M2063" s="77" t="str">
        <f>VLOOKUP(DESPESAS[[#This Row],[Plano de Contas]],BASE!$B$3:$H$119,7,FALSE)</f>
        <v>MYLENA</v>
      </c>
    </row>
    <row r="2064" spans="1:13" x14ac:dyDescent="0.25">
      <c r="A2064" s="74">
        <v>198904</v>
      </c>
      <c r="B2064" s="75" t="s">
        <v>221</v>
      </c>
      <c r="C2064" s="75" t="s">
        <v>1726</v>
      </c>
      <c r="D2064" s="76">
        <v>46081</v>
      </c>
      <c r="E2064" s="75" t="s">
        <v>413</v>
      </c>
      <c r="F2064" s="74">
        <v>1300</v>
      </c>
      <c r="G2064" s="75" t="s">
        <v>262</v>
      </c>
      <c r="H2064" s="77" t="str">
        <f>VLOOKUP(DESPESAS[[#This Row],[Plano de Contas]],BASE!$B$3:$D$119,3,FALSE)</f>
        <v>Fretes Karams</v>
      </c>
      <c r="I2064" s="77" t="str">
        <f>IFERROR(VLOOKUP(DESPESAS[[#This Row],[Fornecedor]],Tabela2[],2,FALSE),"")</f>
        <v/>
      </c>
      <c r="J2064" s="77" t="str">
        <f>IFERROR(VLOOKUP(DESPESAS[[#This Row],[Plano de Contas]],BASE!$B$3:$F$119,4,FALSE),"")</f>
        <v>6 - DESPESA COM VENDAS</v>
      </c>
      <c r="K2064" s="77" t="str">
        <f>IFERROR(VLOOKUP(DESPESAS[[#This Row],[Plano de Contas]],BASE!$B$3:$H$119,5,FALSE),"")</f>
        <v>LOGÍSTICA</v>
      </c>
      <c r="L2064" s="77">
        <f>IFERROR(VLOOKUP(DESPESAS[[#This Row],[Plano de Contas]],BASE!$B$3:$H$119,6,FALSE),"")</f>
        <v>0</v>
      </c>
      <c r="M2064" s="77" t="str">
        <f>VLOOKUP(DESPESAS[[#This Row],[Plano de Contas]],BASE!$B$3:$H$119,7,FALSE)</f>
        <v>MYLENA</v>
      </c>
    </row>
    <row r="2065" spans="1:13" x14ac:dyDescent="0.25">
      <c r="A2065" s="74">
        <v>198905</v>
      </c>
      <c r="B2065" s="75" t="s">
        <v>232</v>
      </c>
      <c r="C2065" s="75" t="s">
        <v>1725</v>
      </c>
      <c r="D2065" s="76">
        <v>46084</v>
      </c>
      <c r="E2065" s="75" t="s">
        <v>230</v>
      </c>
      <c r="F2065" s="74">
        <v>165.3</v>
      </c>
      <c r="G2065" s="75" t="s">
        <v>229</v>
      </c>
      <c r="H2065" s="77" t="str">
        <f>VLOOKUP(DESPESAS[[#This Row],[Plano de Contas]],BASE!$B$3:$D$119,3,FALSE)</f>
        <v>Despesas Bancarias</v>
      </c>
      <c r="I2065" s="77" t="str">
        <f>IFERROR(VLOOKUP(DESPESAS[[#This Row],[Fornecedor]],Tabela2[],2,FALSE),"")</f>
        <v/>
      </c>
      <c r="J2065" s="77" t="str">
        <f>IFERROR(VLOOKUP(DESPESAS[[#This Row],[Plano de Contas]],BASE!$B$3:$F$119,4,FALSE),"")</f>
        <v>8 - DESPESAS FINANCEIRAS</v>
      </c>
      <c r="K2065" s="77" t="str">
        <f>IFERROR(VLOOKUP(DESPESAS[[#This Row],[Plano de Contas]],BASE!$B$3:$H$119,5,FALSE),"")</f>
        <v>FINANCEIRO</v>
      </c>
      <c r="L2065" s="77">
        <f>IFERROR(VLOOKUP(DESPESAS[[#This Row],[Plano de Contas]],BASE!$B$3:$H$119,6,FALSE),"")</f>
        <v>0</v>
      </c>
      <c r="M2065" s="77" t="str">
        <f>VLOOKUP(DESPESAS[[#This Row],[Plano de Contas]],BASE!$B$3:$H$119,7,FALSE)</f>
        <v>LETÍCIA</v>
      </c>
    </row>
    <row r="2066" spans="1:13" x14ac:dyDescent="0.25">
      <c r="A2066" s="74">
        <v>198906</v>
      </c>
      <c r="B2066" s="75" t="s">
        <v>232</v>
      </c>
      <c r="C2066" s="75" t="s">
        <v>1724</v>
      </c>
      <c r="D2066" s="76">
        <v>46084</v>
      </c>
      <c r="E2066" s="75" t="s">
        <v>230</v>
      </c>
      <c r="F2066" s="74">
        <v>95.11</v>
      </c>
      <c r="G2066" s="75" t="s">
        <v>229</v>
      </c>
      <c r="H2066" s="77" t="str">
        <f>VLOOKUP(DESPESAS[[#This Row],[Plano de Contas]],BASE!$B$3:$D$119,3,FALSE)</f>
        <v>Despesas Bancarias</v>
      </c>
      <c r="I2066" s="77" t="str">
        <f>IFERROR(VLOOKUP(DESPESAS[[#This Row],[Fornecedor]],Tabela2[],2,FALSE),"")</f>
        <v/>
      </c>
      <c r="J2066" s="77" t="str">
        <f>IFERROR(VLOOKUP(DESPESAS[[#This Row],[Plano de Contas]],BASE!$B$3:$F$119,4,FALSE),"")</f>
        <v>8 - DESPESAS FINANCEIRAS</v>
      </c>
      <c r="K2066" s="77" t="str">
        <f>IFERROR(VLOOKUP(DESPESAS[[#This Row],[Plano de Contas]],BASE!$B$3:$H$119,5,FALSE),"")</f>
        <v>FINANCEIRO</v>
      </c>
      <c r="L2066" s="77">
        <f>IFERROR(VLOOKUP(DESPESAS[[#This Row],[Plano de Contas]],BASE!$B$3:$H$119,6,FALSE),"")</f>
        <v>0</v>
      </c>
      <c r="M2066" s="77" t="str">
        <f>VLOOKUP(DESPESAS[[#This Row],[Plano de Contas]],BASE!$B$3:$H$119,7,FALSE)</f>
        <v>LETÍCIA</v>
      </c>
    </row>
    <row r="2067" spans="1:13" x14ac:dyDescent="0.25">
      <c r="A2067" s="74">
        <v>198907</v>
      </c>
      <c r="B2067" s="75" t="s">
        <v>232</v>
      </c>
      <c r="C2067" s="75" t="s">
        <v>1723</v>
      </c>
      <c r="D2067" s="76">
        <v>46084</v>
      </c>
      <c r="E2067" s="75" t="s">
        <v>230</v>
      </c>
      <c r="F2067" s="74">
        <v>1044.1199999999999</v>
      </c>
      <c r="G2067" s="75" t="s">
        <v>251</v>
      </c>
      <c r="H2067" s="77" t="str">
        <f>VLOOKUP(DESPESAS[[#This Row],[Plano de Contas]],BASE!$B$3:$D$119,3,FALSE)</f>
        <v>Juros Pagos - Antecipação de Crédito</v>
      </c>
      <c r="I2067" s="77" t="str">
        <f>IFERROR(VLOOKUP(DESPESAS[[#This Row],[Fornecedor]],Tabela2[],2,FALSE),"")</f>
        <v/>
      </c>
      <c r="J2067" s="77" t="str">
        <f>IFERROR(VLOOKUP(DESPESAS[[#This Row],[Plano de Contas]],BASE!$B$3:$F$119,4,FALSE),"")</f>
        <v>8 - DESPESAS FINANCEIRAS</v>
      </c>
      <c r="K2067" s="77" t="str">
        <f>IFERROR(VLOOKUP(DESPESAS[[#This Row],[Plano de Contas]],BASE!$B$3:$H$119,5,FALSE),"")</f>
        <v>FINANCEIRO</v>
      </c>
      <c r="L2067" s="77">
        <f>IFERROR(VLOOKUP(DESPESAS[[#This Row],[Plano de Contas]],BASE!$B$3:$H$119,6,FALSE),"")</f>
        <v>0</v>
      </c>
      <c r="M2067" s="77" t="str">
        <f>VLOOKUP(DESPESAS[[#This Row],[Plano de Contas]],BASE!$B$3:$H$119,7,FALSE)</f>
        <v>LETÍCIA</v>
      </c>
    </row>
    <row r="2068" spans="1:13" x14ac:dyDescent="0.25">
      <c r="A2068" s="74">
        <v>198908</v>
      </c>
      <c r="B2068" s="75" t="s">
        <v>281</v>
      </c>
      <c r="C2068" s="75" t="s">
        <v>1722</v>
      </c>
      <c r="D2068" s="76">
        <v>46080</v>
      </c>
      <c r="E2068" s="75" t="s">
        <v>1007</v>
      </c>
      <c r="F2068" s="74">
        <v>812.5</v>
      </c>
      <c r="G2068" s="75" t="s">
        <v>489</v>
      </c>
      <c r="H2068" s="77" t="str">
        <f>VLOOKUP(DESPESAS[[#This Row],[Plano de Contas]],BASE!$B$3:$D$119,3,FALSE)</f>
        <v>Material de Limpeza CIF</v>
      </c>
      <c r="I2068" s="77" t="str">
        <f>IFERROR(VLOOKUP(DESPESAS[[#This Row],[Fornecedor]],Tabela2[],2,FALSE),"")</f>
        <v/>
      </c>
      <c r="J2068" s="77" t="str">
        <f>IFERROR(VLOOKUP(DESPESAS[[#This Row],[Plano de Contas]],BASE!$B$3:$F$119,4,FALSE),"")</f>
        <v>3 - CUSTOS INDIRETOS</v>
      </c>
      <c r="K2068" s="77" t="str">
        <f>IFERROR(VLOOKUP(DESPESAS[[#This Row],[Plano de Contas]],BASE!$B$3:$H$119,5,FALSE),"")</f>
        <v>COMPRAS</v>
      </c>
      <c r="L2068" s="77">
        <f>IFERROR(VLOOKUP(DESPESAS[[#This Row],[Plano de Contas]],BASE!$B$3:$H$119,6,FALSE),"")</f>
        <v>0</v>
      </c>
      <c r="M2068" s="77" t="str">
        <f>VLOOKUP(DESPESAS[[#This Row],[Plano de Contas]],BASE!$B$3:$H$119,7,FALSE)</f>
        <v>MYLENA</v>
      </c>
    </row>
    <row r="2069" spans="1:13" x14ac:dyDescent="0.25">
      <c r="A2069" s="74">
        <v>198909</v>
      </c>
      <c r="B2069" s="75" t="s">
        <v>232</v>
      </c>
      <c r="C2069" s="75" t="s">
        <v>1721</v>
      </c>
      <c r="D2069" s="76">
        <v>46084</v>
      </c>
      <c r="E2069" s="75" t="s">
        <v>1720</v>
      </c>
      <c r="F2069" s="74">
        <v>18.46</v>
      </c>
      <c r="G2069" s="75" t="s">
        <v>356</v>
      </c>
      <c r="H2069" s="77" t="str">
        <f>VLOOKUP(DESPESAS[[#This Row],[Plano de Contas]],BASE!$B$3:$D$119,3,FALSE)</f>
        <v>Despesas Cartorárias</v>
      </c>
      <c r="I2069" s="77" t="str">
        <f>IFERROR(VLOOKUP(DESPESAS[[#This Row],[Fornecedor]],Tabela2[],2,FALSE),"")</f>
        <v/>
      </c>
      <c r="J2069" s="77" t="str">
        <f>IFERROR(VLOOKUP(DESPESAS[[#This Row],[Plano de Contas]],BASE!$B$3:$F$119,4,FALSE),"")</f>
        <v>5 - DESPESAS ADMINISTRATIVAS</v>
      </c>
      <c r="K2069" s="77" t="str">
        <f>IFERROR(VLOOKUP(DESPESAS[[#This Row],[Plano de Contas]],BASE!$B$3:$H$119,5,FALSE),"")</f>
        <v>FINANCEIRO</v>
      </c>
      <c r="L2069" s="77">
        <f>IFERROR(VLOOKUP(DESPESAS[[#This Row],[Plano de Contas]],BASE!$B$3:$H$119,6,FALSE),"")</f>
        <v>0</v>
      </c>
      <c r="M2069" s="77" t="str">
        <f>VLOOKUP(DESPESAS[[#This Row],[Plano de Contas]],BASE!$B$3:$H$119,7,FALSE)</f>
        <v>LETÍCIA</v>
      </c>
    </row>
    <row r="2070" spans="1:13" x14ac:dyDescent="0.25">
      <c r="A2070" s="74">
        <v>198910</v>
      </c>
      <c r="B2070" s="75" t="s">
        <v>281</v>
      </c>
      <c r="C2070" s="75" t="s">
        <v>1719</v>
      </c>
      <c r="D2070" s="76">
        <v>46085</v>
      </c>
      <c r="E2070" s="75" t="s">
        <v>1007</v>
      </c>
      <c r="F2070" s="74">
        <v>212.5</v>
      </c>
      <c r="G2070" s="75" t="s">
        <v>1006</v>
      </c>
      <c r="H2070" s="77" t="str">
        <f>VLOOKUP(DESPESAS[[#This Row],[Plano de Contas]],BASE!$B$3:$D$119,3,FALSE)</f>
        <v>Material de Limpeza (Adm)</v>
      </c>
      <c r="I2070" s="77" t="str">
        <f>IFERROR(VLOOKUP(DESPESAS[[#This Row],[Fornecedor]],Tabela2[],2,FALSE),"")</f>
        <v/>
      </c>
      <c r="J2070" s="77" t="str">
        <f>IFERROR(VLOOKUP(DESPESAS[[#This Row],[Plano de Contas]],BASE!$B$3:$F$119,4,FALSE),"")</f>
        <v>5 - DESPESAS ADMINISTRATIVAS</v>
      </c>
      <c r="K2070" s="77" t="str">
        <f>IFERROR(VLOOKUP(DESPESAS[[#This Row],[Plano de Contas]],BASE!$B$3:$H$119,5,FALSE),"")</f>
        <v>ADMINISTRATIVO</v>
      </c>
      <c r="L2070" s="77">
        <f>IFERROR(VLOOKUP(DESPESAS[[#This Row],[Plano de Contas]],BASE!$B$3:$H$119,6,FALSE),"")</f>
        <v>0</v>
      </c>
      <c r="M2070" s="77" t="str">
        <f>VLOOKUP(DESPESAS[[#This Row],[Plano de Contas]],BASE!$B$3:$H$119,7,FALSE)</f>
        <v>MYLENA</v>
      </c>
    </row>
    <row r="2071" spans="1:13" x14ac:dyDescent="0.25">
      <c r="A2071" s="74">
        <v>198911</v>
      </c>
      <c r="B2071" s="75" t="s">
        <v>281</v>
      </c>
      <c r="C2071" s="75" t="s">
        <v>1718</v>
      </c>
      <c r="D2071" s="76">
        <v>46085</v>
      </c>
      <c r="E2071" s="75" t="s">
        <v>1007</v>
      </c>
      <c r="F2071" s="74">
        <v>1150</v>
      </c>
      <c r="G2071" s="75" t="s">
        <v>489</v>
      </c>
      <c r="H2071" s="77" t="str">
        <f>VLOOKUP(DESPESAS[[#This Row],[Plano de Contas]],BASE!$B$3:$D$119,3,FALSE)</f>
        <v>Material de Limpeza CIF</v>
      </c>
      <c r="I2071" s="77" t="str">
        <f>IFERROR(VLOOKUP(DESPESAS[[#This Row],[Fornecedor]],Tabela2[],2,FALSE),"")</f>
        <v/>
      </c>
      <c r="J2071" s="77" t="str">
        <f>IFERROR(VLOOKUP(DESPESAS[[#This Row],[Plano de Contas]],BASE!$B$3:$F$119,4,FALSE),"")</f>
        <v>3 - CUSTOS INDIRETOS</v>
      </c>
      <c r="K2071" s="77" t="str">
        <f>IFERROR(VLOOKUP(DESPESAS[[#This Row],[Plano de Contas]],BASE!$B$3:$H$119,5,FALSE),"")</f>
        <v>COMPRAS</v>
      </c>
      <c r="L2071" s="77">
        <f>IFERROR(VLOOKUP(DESPESAS[[#This Row],[Plano de Contas]],BASE!$B$3:$H$119,6,FALSE),"")</f>
        <v>0</v>
      </c>
      <c r="M2071" s="77" t="str">
        <f>VLOOKUP(DESPESAS[[#This Row],[Plano de Contas]],BASE!$B$3:$H$119,7,FALSE)</f>
        <v>MYLENA</v>
      </c>
    </row>
    <row r="2072" spans="1:13" x14ac:dyDescent="0.25">
      <c r="A2072" s="74">
        <v>198912</v>
      </c>
      <c r="B2072" s="75" t="s">
        <v>232</v>
      </c>
      <c r="C2072" s="75" t="s">
        <v>1717</v>
      </c>
      <c r="D2072" s="76">
        <v>46084</v>
      </c>
      <c r="E2072" s="75" t="s">
        <v>230</v>
      </c>
      <c r="F2072" s="74">
        <v>8.69</v>
      </c>
      <c r="G2072" s="75" t="s">
        <v>229</v>
      </c>
      <c r="H2072" s="77" t="str">
        <f>VLOOKUP(DESPESAS[[#This Row],[Plano de Contas]],BASE!$B$3:$D$119,3,FALSE)</f>
        <v>Despesas Bancarias</v>
      </c>
      <c r="I2072" s="77" t="str">
        <f>IFERROR(VLOOKUP(DESPESAS[[#This Row],[Fornecedor]],Tabela2[],2,FALSE),"")</f>
        <v/>
      </c>
      <c r="J2072" s="77" t="str">
        <f>IFERROR(VLOOKUP(DESPESAS[[#This Row],[Plano de Contas]],BASE!$B$3:$F$119,4,FALSE),"")</f>
        <v>8 - DESPESAS FINANCEIRAS</v>
      </c>
      <c r="K2072" s="77" t="str">
        <f>IFERROR(VLOOKUP(DESPESAS[[#This Row],[Plano de Contas]],BASE!$B$3:$H$119,5,FALSE),"")</f>
        <v>FINANCEIRO</v>
      </c>
      <c r="L2072" s="77">
        <f>IFERROR(VLOOKUP(DESPESAS[[#This Row],[Plano de Contas]],BASE!$B$3:$H$119,6,FALSE),"")</f>
        <v>0</v>
      </c>
      <c r="M2072" s="77" t="str">
        <f>VLOOKUP(DESPESAS[[#This Row],[Plano de Contas]],BASE!$B$3:$H$119,7,FALSE)</f>
        <v>LETÍCIA</v>
      </c>
    </row>
    <row r="2073" spans="1:13" x14ac:dyDescent="0.25">
      <c r="A2073" s="74">
        <v>198913</v>
      </c>
      <c r="B2073" s="75" t="s">
        <v>232</v>
      </c>
      <c r="C2073" s="75" t="s">
        <v>1716</v>
      </c>
      <c r="D2073" s="76">
        <v>46085</v>
      </c>
      <c r="E2073" s="75" t="s">
        <v>230</v>
      </c>
      <c r="F2073" s="74">
        <v>0.56000000000000005</v>
      </c>
      <c r="G2073" s="75" t="s">
        <v>229</v>
      </c>
      <c r="H2073" s="77" t="str">
        <f>VLOOKUP(DESPESAS[[#This Row],[Plano de Contas]],BASE!$B$3:$D$119,3,FALSE)</f>
        <v>Despesas Bancarias</v>
      </c>
      <c r="I2073" s="77" t="str">
        <f>IFERROR(VLOOKUP(DESPESAS[[#This Row],[Fornecedor]],Tabela2[],2,FALSE),"")</f>
        <v/>
      </c>
      <c r="J2073" s="77" t="str">
        <f>IFERROR(VLOOKUP(DESPESAS[[#This Row],[Plano de Contas]],BASE!$B$3:$F$119,4,FALSE),"")</f>
        <v>8 - DESPESAS FINANCEIRAS</v>
      </c>
      <c r="K2073" s="77" t="str">
        <f>IFERROR(VLOOKUP(DESPESAS[[#This Row],[Plano de Contas]],BASE!$B$3:$H$119,5,FALSE),"")</f>
        <v>FINANCEIRO</v>
      </c>
      <c r="L2073" s="77">
        <f>IFERROR(VLOOKUP(DESPESAS[[#This Row],[Plano de Contas]],BASE!$B$3:$H$119,6,FALSE),"")</f>
        <v>0</v>
      </c>
      <c r="M2073" s="77" t="str">
        <f>VLOOKUP(DESPESAS[[#This Row],[Plano de Contas]],BASE!$B$3:$H$119,7,FALSE)</f>
        <v>LETÍCIA</v>
      </c>
    </row>
    <row r="2074" spans="1:13" x14ac:dyDescent="0.25">
      <c r="A2074" s="74">
        <v>198914</v>
      </c>
      <c r="B2074" s="75" t="s">
        <v>279</v>
      </c>
      <c r="C2074" s="75" t="s">
        <v>1715</v>
      </c>
      <c r="D2074" s="76">
        <v>46084</v>
      </c>
      <c r="E2074" s="75" t="s">
        <v>230</v>
      </c>
      <c r="F2074" s="74">
        <v>0.79</v>
      </c>
      <c r="G2074" s="75" t="s">
        <v>229</v>
      </c>
      <c r="H2074" s="77" t="str">
        <f>VLOOKUP(DESPESAS[[#This Row],[Plano de Contas]],BASE!$B$3:$D$119,3,FALSE)</f>
        <v>Despesas Bancarias</v>
      </c>
      <c r="I2074" s="77" t="str">
        <f>IFERROR(VLOOKUP(DESPESAS[[#This Row],[Fornecedor]],Tabela2[],2,FALSE),"")</f>
        <v/>
      </c>
      <c r="J2074" s="77" t="str">
        <f>IFERROR(VLOOKUP(DESPESAS[[#This Row],[Plano de Contas]],BASE!$B$3:$F$119,4,FALSE),"")</f>
        <v>8 - DESPESAS FINANCEIRAS</v>
      </c>
      <c r="K2074" s="77" t="str">
        <f>IFERROR(VLOOKUP(DESPESAS[[#This Row],[Plano de Contas]],BASE!$B$3:$H$119,5,FALSE),"")</f>
        <v>FINANCEIRO</v>
      </c>
      <c r="L2074" s="77">
        <f>IFERROR(VLOOKUP(DESPESAS[[#This Row],[Plano de Contas]],BASE!$B$3:$H$119,6,FALSE),"")</f>
        <v>0</v>
      </c>
      <c r="M2074" s="77" t="str">
        <f>VLOOKUP(DESPESAS[[#This Row],[Plano de Contas]],BASE!$B$3:$H$119,7,FALSE)</f>
        <v>LETÍCIA</v>
      </c>
    </row>
    <row r="2075" spans="1:13" x14ac:dyDescent="0.25">
      <c r="A2075" s="74">
        <v>198915</v>
      </c>
      <c r="B2075" s="75" t="s">
        <v>281</v>
      </c>
      <c r="C2075" s="75" t="s">
        <v>1715</v>
      </c>
      <c r="D2075" s="76">
        <v>46084</v>
      </c>
      <c r="E2075" s="75" t="s">
        <v>230</v>
      </c>
      <c r="F2075" s="74">
        <v>0.79</v>
      </c>
      <c r="G2075" s="75" t="s">
        <v>229</v>
      </c>
      <c r="H2075" s="77" t="str">
        <f>VLOOKUP(DESPESAS[[#This Row],[Plano de Contas]],BASE!$B$3:$D$119,3,FALSE)</f>
        <v>Despesas Bancarias</v>
      </c>
      <c r="I2075" s="77" t="str">
        <f>IFERROR(VLOOKUP(DESPESAS[[#This Row],[Fornecedor]],Tabela2[],2,FALSE),"")</f>
        <v/>
      </c>
      <c r="J2075" s="77" t="str">
        <f>IFERROR(VLOOKUP(DESPESAS[[#This Row],[Plano de Contas]],BASE!$B$3:$F$119,4,FALSE),"")</f>
        <v>8 - DESPESAS FINANCEIRAS</v>
      </c>
      <c r="K2075" s="77" t="str">
        <f>IFERROR(VLOOKUP(DESPESAS[[#This Row],[Plano de Contas]],BASE!$B$3:$H$119,5,FALSE),"")</f>
        <v>FINANCEIRO</v>
      </c>
      <c r="L2075" s="77">
        <f>IFERROR(VLOOKUP(DESPESAS[[#This Row],[Plano de Contas]],BASE!$B$3:$H$119,6,FALSE),"")</f>
        <v>0</v>
      </c>
      <c r="M2075" s="77" t="str">
        <f>VLOOKUP(DESPESAS[[#This Row],[Plano de Contas]],BASE!$B$3:$H$119,7,FALSE)</f>
        <v>LETÍCIA</v>
      </c>
    </row>
    <row r="2076" spans="1:13" x14ac:dyDescent="0.25">
      <c r="A2076" s="74">
        <v>198916</v>
      </c>
      <c r="B2076" s="75" t="s">
        <v>221</v>
      </c>
      <c r="C2076" s="75" t="s">
        <v>1714</v>
      </c>
      <c r="D2076" s="76">
        <v>46084</v>
      </c>
      <c r="E2076" s="75" t="s">
        <v>1394</v>
      </c>
      <c r="F2076" s="74">
        <v>0.95</v>
      </c>
      <c r="G2076" s="75" t="s">
        <v>229</v>
      </c>
      <c r="H2076" s="77" t="str">
        <f>VLOOKUP(DESPESAS[[#This Row],[Plano de Contas]],BASE!$B$3:$D$119,3,FALSE)</f>
        <v>Despesas Bancarias</v>
      </c>
      <c r="I2076" s="77" t="str">
        <f>IFERROR(VLOOKUP(DESPESAS[[#This Row],[Fornecedor]],Tabela2[],2,FALSE),"")</f>
        <v/>
      </c>
      <c r="J2076" s="77" t="str">
        <f>IFERROR(VLOOKUP(DESPESAS[[#This Row],[Plano de Contas]],BASE!$B$3:$F$119,4,FALSE),"")</f>
        <v>8 - DESPESAS FINANCEIRAS</v>
      </c>
      <c r="K2076" s="77" t="str">
        <f>IFERROR(VLOOKUP(DESPESAS[[#This Row],[Plano de Contas]],BASE!$B$3:$H$119,5,FALSE),"")</f>
        <v>FINANCEIRO</v>
      </c>
      <c r="L2076" s="77">
        <f>IFERROR(VLOOKUP(DESPESAS[[#This Row],[Plano de Contas]],BASE!$B$3:$H$119,6,FALSE),"")</f>
        <v>0</v>
      </c>
      <c r="M2076" s="77" t="str">
        <f>VLOOKUP(DESPESAS[[#This Row],[Plano de Contas]],BASE!$B$3:$H$119,7,FALSE)</f>
        <v>LETÍCIA</v>
      </c>
    </row>
    <row r="2077" spans="1:13" x14ac:dyDescent="0.25">
      <c r="A2077" s="74">
        <v>198918</v>
      </c>
      <c r="B2077" s="75" t="s">
        <v>281</v>
      </c>
      <c r="C2077" s="75" t="s">
        <v>1665</v>
      </c>
      <c r="D2077" s="76">
        <v>46081</v>
      </c>
      <c r="E2077" s="75" t="s">
        <v>964</v>
      </c>
      <c r="F2077" s="74">
        <v>2092.27</v>
      </c>
      <c r="G2077" s="75" t="s">
        <v>430</v>
      </c>
      <c r="H2077" s="77" t="str">
        <f>VLOOKUP(DESPESAS[[#This Row],[Plano de Contas]],BASE!$B$3:$D$119,3,FALSE)</f>
        <v>Salarios e Ordenados MOD</v>
      </c>
      <c r="I2077" s="77" t="str">
        <f>IFERROR(VLOOKUP(DESPESAS[[#This Row],[Fornecedor]],Tabela2[],2,FALSE),"")</f>
        <v/>
      </c>
      <c r="J2077" s="77" t="str">
        <f>IFERROR(VLOOKUP(DESPESAS[[#This Row],[Plano de Contas]],BASE!$B$3:$F$119,4,FALSE),"")</f>
        <v>2 - CUSTOS DIRETOS</v>
      </c>
      <c r="K2077" s="77" t="str">
        <f>IFERROR(VLOOKUP(DESPESAS[[#This Row],[Plano de Contas]],BASE!$B$3:$H$119,5,FALSE),"")</f>
        <v>DH</v>
      </c>
      <c r="L2077" s="77" t="str">
        <f>IFERROR(VLOOKUP(DESPESAS[[#This Row],[Plano de Contas]],BASE!$B$3:$H$119,6,FALSE),"")</f>
        <v>CUSTO MÃO DE OBRA DIRETA</v>
      </c>
      <c r="M2077" s="77" t="str">
        <f>VLOOKUP(DESPESAS[[#This Row],[Plano de Contas]],BASE!$B$3:$H$119,7,FALSE)</f>
        <v>RAFAEL</v>
      </c>
    </row>
    <row r="2078" spans="1:13" x14ac:dyDescent="0.25">
      <c r="A2078" s="74">
        <v>198919</v>
      </c>
      <c r="B2078" s="75" t="s">
        <v>281</v>
      </c>
      <c r="C2078" s="75" t="s">
        <v>1665</v>
      </c>
      <c r="D2078" s="76">
        <v>46081</v>
      </c>
      <c r="E2078" s="75" t="s">
        <v>963</v>
      </c>
      <c r="F2078" s="74">
        <v>2468.59</v>
      </c>
      <c r="G2078" s="75" t="s">
        <v>430</v>
      </c>
      <c r="H2078" s="77" t="str">
        <f>VLOOKUP(DESPESAS[[#This Row],[Plano de Contas]],BASE!$B$3:$D$119,3,FALSE)</f>
        <v>Salarios e Ordenados MOD</v>
      </c>
      <c r="I2078" s="77" t="str">
        <f>IFERROR(VLOOKUP(DESPESAS[[#This Row],[Fornecedor]],Tabela2[],2,FALSE),"")</f>
        <v/>
      </c>
      <c r="J2078" s="77" t="str">
        <f>IFERROR(VLOOKUP(DESPESAS[[#This Row],[Plano de Contas]],BASE!$B$3:$F$119,4,FALSE),"")</f>
        <v>2 - CUSTOS DIRETOS</v>
      </c>
      <c r="K2078" s="77" t="str">
        <f>IFERROR(VLOOKUP(DESPESAS[[#This Row],[Plano de Contas]],BASE!$B$3:$H$119,5,FALSE),"")</f>
        <v>DH</v>
      </c>
      <c r="L2078" s="77" t="str">
        <f>IFERROR(VLOOKUP(DESPESAS[[#This Row],[Plano de Contas]],BASE!$B$3:$H$119,6,FALSE),"")</f>
        <v>CUSTO MÃO DE OBRA DIRETA</v>
      </c>
      <c r="M2078" s="77" t="str">
        <f>VLOOKUP(DESPESAS[[#This Row],[Plano de Contas]],BASE!$B$3:$H$119,7,FALSE)</f>
        <v>RAFAEL</v>
      </c>
    </row>
    <row r="2079" spans="1:13" x14ac:dyDescent="0.25">
      <c r="A2079" s="74">
        <v>198920</v>
      </c>
      <c r="B2079" s="75" t="s">
        <v>281</v>
      </c>
      <c r="C2079" s="75" t="s">
        <v>1665</v>
      </c>
      <c r="D2079" s="76">
        <v>46081</v>
      </c>
      <c r="E2079" s="75" t="s">
        <v>962</v>
      </c>
      <c r="F2079" s="74">
        <v>3883.86</v>
      </c>
      <c r="G2079" s="75" t="s">
        <v>653</v>
      </c>
      <c r="H2079" s="77" t="str">
        <f>VLOOKUP(DESPESAS[[#This Row],[Plano de Contas]],BASE!$B$3:$D$119,3,FALSE)</f>
        <v>Salarios e Ordenados CIF</v>
      </c>
      <c r="I2079" s="77" t="str">
        <f>IFERROR(VLOOKUP(DESPESAS[[#This Row],[Fornecedor]],Tabela2[],2,FALSE),"")</f>
        <v/>
      </c>
      <c r="J2079" s="77" t="str">
        <f>IFERROR(VLOOKUP(DESPESAS[[#This Row],[Plano de Contas]],BASE!$B$3:$F$119,4,FALSE),"")</f>
        <v>3 - CUSTOS INDIRETOS</v>
      </c>
      <c r="K2079" s="77" t="str">
        <f>IFERROR(VLOOKUP(DESPESAS[[#This Row],[Plano de Contas]],BASE!$B$3:$H$119,5,FALSE),"")</f>
        <v>DH</v>
      </c>
      <c r="L2079" s="77" t="str">
        <f>IFERROR(VLOOKUP(DESPESAS[[#This Row],[Plano de Contas]],BASE!$B$3:$H$119,6,FALSE),"")</f>
        <v>CUSTO MÃO DE OBRA DIRETA</v>
      </c>
      <c r="M2079" s="77" t="str">
        <f>VLOOKUP(DESPESAS[[#This Row],[Plano de Contas]],BASE!$B$3:$H$119,7,FALSE)</f>
        <v>RAFAEL</v>
      </c>
    </row>
    <row r="2080" spans="1:13" x14ac:dyDescent="0.25">
      <c r="A2080" s="74">
        <v>198921</v>
      </c>
      <c r="B2080" s="75" t="s">
        <v>281</v>
      </c>
      <c r="C2080" s="75" t="s">
        <v>1665</v>
      </c>
      <c r="D2080" s="76">
        <v>46081</v>
      </c>
      <c r="E2080" s="75" t="s">
        <v>961</v>
      </c>
      <c r="F2080" s="74">
        <v>2300.9</v>
      </c>
      <c r="G2080" s="75" t="s">
        <v>653</v>
      </c>
      <c r="H2080" s="77" t="str">
        <f>VLOOKUP(DESPESAS[[#This Row],[Plano de Contas]],BASE!$B$3:$D$119,3,FALSE)</f>
        <v>Salarios e Ordenados CIF</v>
      </c>
      <c r="I2080" s="77" t="str">
        <f>IFERROR(VLOOKUP(DESPESAS[[#This Row],[Fornecedor]],Tabela2[],2,FALSE),"")</f>
        <v/>
      </c>
      <c r="J2080" s="77" t="str">
        <f>IFERROR(VLOOKUP(DESPESAS[[#This Row],[Plano de Contas]],BASE!$B$3:$F$119,4,FALSE),"")</f>
        <v>3 - CUSTOS INDIRETOS</v>
      </c>
      <c r="K2080" s="77" t="str">
        <f>IFERROR(VLOOKUP(DESPESAS[[#This Row],[Plano de Contas]],BASE!$B$3:$H$119,5,FALSE),"")</f>
        <v>DH</v>
      </c>
      <c r="L2080" s="77" t="str">
        <f>IFERROR(VLOOKUP(DESPESAS[[#This Row],[Plano de Contas]],BASE!$B$3:$H$119,6,FALSE),"")</f>
        <v>CUSTO MÃO DE OBRA DIRETA</v>
      </c>
      <c r="M2080" s="77" t="str">
        <f>VLOOKUP(DESPESAS[[#This Row],[Plano de Contas]],BASE!$B$3:$H$119,7,FALSE)</f>
        <v>RAFAEL</v>
      </c>
    </row>
    <row r="2081" spans="1:13" x14ac:dyDescent="0.25">
      <c r="A2081" s="74">
        <v>198922</v>
      </c>
      <c r="B2081" s="75" t="s">
        <v>281</v>
      </c>
      <c r="C2081" s="75" t="s">
        <v>1665</v>
      </c>
      <c r="D2081" s="76">
        <v>46081</v>
      </c>
      <c r="E2081" s="75" t="s">
        <v>960</v>
      </c>
      <c r="F2081" s="74">
        <v>2932.59</v>
      </c>
      <c r="G2081" s="75" t="s">
        <v>430</v>
      </c>
      <c r="H2081" s="77" t="str">
        <f>VLOOKUP(DESPESAS[[#This Row],[Plano de Contas]],BASE!$B$3:$D$119,3,FALSE)</f>
        <v>Salarios e Ordenados MOD</v>
      </c>
      <c r="I2081" s="77" t="str">
        <f>IFERROR(VLOOKUP(DESPESAS[[#This Row],[Fornecedor]],Tabela2[],2,FALSE),"")</f>
        <v/>
      </c>
      <c r="J2081" s="77" t="str">
        <f>IFERROR(VLOOKUP(DESPESAS[[#This Row],[Plano de Contas]],BASE!$B$3:$F$119,4,FALSE),"")</f>
        <v>2 - CUSTOS DIRETOS</v>
      </c>
      <c r="K2081" s="77" t="str">
        <f>IFERROR(VLOOKUP(DESPESAS[[#This Row],[Plano de Contas]],BASE!$B$3:$H$119,5,FALSE),"")</f>
        <v>DH</v>
      </c>
      <c r="L2081" s="77" t="str">
        <f>IFERROR(VLOOKUP(DESPESAS[[#This Row],[Plano de Contas]],BASE!$B$3:$H$119,6,FALSE),"")</f>
        <v>CUSTO MÃO DE OBRA DIRETA</v>
      </c>
      <c r="M2081" s="77" t="str">
        <f>VLOOKUP(DESPESAS[[#This Row],[Plano de Contas]],BASE!$B$3:$H$119,7,FALSE)</f>
        <v>RAFAEL</v>
      </c>
    </row>
    <row r="2082" spans="1:13" x14ac:dyDescent="0.25">
      <c r="A2082" s="74">
        <v>198923</v>
      </c>
      <c r="B2082" s="75" t="s">
        <v>281</v>
      </c>
      <c r="C2082" s="75" t="s">
        <v>1665</v>
      </c>
      <c r="D2082" s="76">
        <v>46081</v>
      </c>
      <c r="E2082" s="75" t="s">
        <v>959</v>
      </c>
      <c r="F2082" s="74">
        <v>1986.28</v>
      </c>
      <c r="G2082" s="75" t="s">
        <v>627</v>
      </c>
      <c r="H2082" s="77" t="str">
        <f>VLOOKUP(DESPESAS[[#This Row],[Plano de Contas]],BASE!$B$3:$D$119,3,FALSE)</f>
        <v>Salarios e Ordenados (Adm)</v>
      </c>
      <c r="I2082" s="77" t="str">
        <f>IFERROR(VLOOKUP(DESPESAS[[#This Row],[Fornecedor]],Tabela2[],2,FALSE),"")</f>
        <v/>
      </c>
      <c r="J2082" s="77" t="str">
        <f>IFERROR(VLOOKUP(DESPESAS[[#This Row],[Plano de Contas]],BASE!$B$3:$F$119,4,FALSE),"")</f>
        <v>4 - GASTOS COM PESSOAL</v>
      </c>
      <c r="K2082" s="77" t="str">
        <f>IFERROR(VLOOKUP(DESPESAS[[#This Row],[Plano de Contas]],BASE!$B$3:$H$119,5,FALSE),"")</f>
        <v>DH</v>
      </c>
      <c r="L2082" s="77">
        <f>IFERROR(VLOOKUP(DESPESAS[[#This Row],[Plano de Contas]],BASE!$B$3:$H$119,6,FALSE),"")</f>
        <v>0</v>
      </c>
      <c r="M2082" s="77" t="str">
        <f>VLOOKUP(DESPESAS[[#This Row],[Plano de Contas]],BASE!$B$3:$H$119,7,FALSE)</f>
        <v>RAFAEL</v>
      </c>
    </row>
    <row r="2083" spans="1:13" x14ac:dyDescent="0.25">
      <c r="A2083" s="74">
        <v>198924</v>
      </c>
      <c r="B2083" s="75" t="s">
        <v>281</v>
      </c>
      <c r="C2083" s="75" t="s">
        <v>1665</v>
      </c>
      <c r="D2083" s="76">
        <v>46081</v>
      </c>
      <c r="E2083" s="75" t="s">
        <v>469</v>
      </c>
      <c r="F2083" s="74">
        <v>2011.37</v>
      </c>
      <c r="G2083" s="75" t="s">
        <v>430</v>
      </c>
      <c r="H2083" s="77" t="str">
        <f>VLOOKUP(DESPESAS[[#This Row],[Plano de Contas]],BASE!$B$3:$D$119,3,FALSE)</f>
        <v>Salarios e Ordenados MOD</v>
      </c>
      <c r="I2083" s="77" t="str">
        <f>IFERROR(VLOOKUP(DESPESAS[[#This Row],[Fornecedor]],Tabela2[],2,FALSE),"")</f>
        <v/>
      </c>
      <c r="J2083" s="77" t="str">
        <f>IFERROR(VLOOKUP(DESPESAS[[#This Row],[Plano de Contas]],BASE!$B$3:$F$119,4,FALSE),"")</f>
        <v>2 - CUSTOS DIRETOS</v>
      </c>
      <c r="K2083" s="77" t="str">
        <f>IFERROR(VLOOKUP(DESPESAS[[#This Row],[Plano de Contas]],BASE!$B$3:$H$119,5,FALSE),"")</f>
        <v>DH</v>
      </c>
      <c r="L2083" s="77" t="str">
        <f>IFERROR(VLOOKUP(DESPESAS[[#This Row],[Plano de Contas]],BASE!$B$3:$H$119,6,FALSE),"")</f>
        <v>CUSTO MÃO DE OBRA DIRETA</v>
      </c>
      <c r="M2083" s="77" t="str">
        <f>VLOOKUP(DESPESAS[[#This Row],[Plano de Contas]],BASE!$B$3:$H$119,7,FALSE)</f>
        <v>RAFAEL</v>
      </c>
    </row>
    <row r="2084" spans="1:13" x14ac:dyDescent="0.25">
      <c r="A2084" s="74">
        <v>198925</v>
      </c>
      <c r="B2084" s="75" t="s">
        <v>281</v>
      </c>
      <c r="C2084" s="75" t="s">
        <v>1665</v>
      </c>
      <c r="D2084" s="76">
        <v>46081</v>
      </c>
      <c r="E2084" s="75" t="s">
        <v>958</v>
      </c>
      <c r="F2084" s="74">
        <v>2394.5700000000002</v>
      </c>
      <c r="G2084" s="75" t="s">
        <v>627</v>
      </c>
      <c r="H2084" s="77" t="str">
        <f>VLOOKUP(DESPESAS[[#This Row],[Plano de Contas]],BASE!$B$3:$D$119,3,FALSE)</f>
        <v>Salarios e Ordenados (Adm)</v>
      </c>
      <c r="I2084" s="77" t="str">
        <f>IFERROR(VLOOKUP(DESPESAS[[#This Row],[Fornecedor]],Tabela2[],2,FALSE),"")</f>
        <v/>
      </c>
      <c r="J2084" s="77" t="str">
        <f>IFERROR(VLOOKUP(DESPESAS[[#This Row],[Plano de Contas]],BASE!$B$3:$F$119,4,FALSE),"")</f>
        <v>4 - GASTOS COM PESSOAL</v>
      </c>
      <c r="K2084" s="77" t="str">
        <f>IFERROR(VLOOKUP(DESPESAS[[#This Row],[Plano de Contas]],BASE!$B$3:$H$119,5,FALSE),"")</f>
        <v>DH</v>
      </c>
      <c r="L2084" s="77">
        <f>IFERROR(VLOOKUP(DESPESAS[[#This Row],[Plano de Contas]],BASE!$B$3:$H$119,6,FALSE),"")</f>
        <v>0</v>
      </c>
      <c r="M2084" s="77" t="str">
        <f>VLOOKUP(DESPESAS[[#This Row],[Plano de Contas]],BASE!$B$3:$H$119,7,FALSE)</f>
        <v>RAFAEL</v>
      </c>
    </row>
    <row r="2085" spans="1:13" x14ac:dyDescent="0.25">
      <c r="A2085" s="74">
        <v>198926</v>
      </c>
      <c r="B2085" s="75" t="s">
        <v>281</v>
      </c>
      <c r="C2085" s="75" t="s">
        <v>1665</v>
      </c>
      <c r="D2085" s="76">
        <v>46081</v>
      </c>
      <c r="E2085" s="75" t="s">
        <v>957</v>
      </c>
      <c r="F2085" s="74">
        <v>2443.91</v>
      </c>
      <c r="G2085" s="75" t="s">
        <v>430</v>
      </c>
      <c r="H2085" s="77" t="str">
        <f>VLOOKUP(DESPESAS[[#This Row],[Plano de Contas]],BASE!$B$3:$D$119,3,FALSE)</f>
        <v>Salarios e Ordenados MOD</v>
      </c>
      <c r="I2085" s="77" t="str">
        <f>IFERROR(VLOOKUP(DESPESAS[[#This Row],[Fornecedor]],Tabela2[],2,FALSE),"")</f>
        <v/>
      </c>
      <c r="J2085" s="77" t="str">
        <f>IFERROR(VLOOKUP(DESPESAS[[#This Row],[Plano de Contas]],BASE!$B$3:$F$119,4,FALSE),"")</f>
        <v>2 - CUSTOS DIRETOS</v>
      </c>
      <c r="K2085" s="77" t="str">
        <f>IFERROR(VLOOKUP(DESPESAS[[#This Row],[Plano de Contas]],BASE!$B$3:$H$119,5,FALSE),"")</f>
        <v>DH</v>
      </c>
      <c r="L2085" s="77" t="str">
        <f>IFERROR(VLOOKUP(DESPESAS[[#This Row],[Plano de Contas]],BASE!$B$3:$H$119,6,FALSE),"")</f>
        <v>CUSTO MÃO DE OBRA DIRETA</v>
      </c>
      <c r="M2085" s="77" t="str">
        <f>VLOOKUP(DESPESAS[[#This Row],[Plano de Contas]],BASE!$B$3:$H$119,7,FALSE)</f>
        <v>RAFAEL</v>
      </c>
    </row>
    <row r="2086" spans="1:13" x14ac:dyDescent="0.25">
      <c r="A2086" s="74">
        <v>198927</v>
      </c>
      <c r="B2086" s="75" t="s">
        <v>281</v>
      </c>
      <c r="C2086" s="75" t="s">
        <v>1665</v>
      </c>
      <c r="D2086" s="76">
        <v>46081</v>
      </c>
      <c r="E2086" s="75" t="s">
        <v>845</v>
      </c>
      <c r="F2086" s="74">
        <v>3196</v>
      </c>
      <c r="G2086" s="75" t="s">
        <v>430</v>
      </c>
      <c r="H2086" s="77" t="str">
        <f>VLOOKUP(DESPESAS[[#This Row],[Plano de Contas]],BASE!$B$3:$D$119,3,FALSE)</f>
        <v>Salarios e Ordenados MOD</v>
      </c>
      <c r="I2086" s="77" t="str">
        <f>IFERROR(VLOOKUP(DESPESAS[[#This Row],[Fornecedor]],Tabela2[],2,FALSE),"")</f>
        <v/>
      </c>
      <c r="J2086" s="77" t="str">
        <f>IFERROR(VLOOKUP(DESPESAS[[#This Row],[Plano de Contas]],BASE!$B$3:$F$119,4,FALSE),"")</f>
        <v>2 - CUSTOS DIRETOS</v>
      </c>
      <c r="K2086" s="77" t="str">
        <f>IFERROR(VLOOKUP(DESPESAS[[#This Row],[Plano de Contas]],BASE!$B$3:$H$119,5,FALSE),"")</f>
        <v>DH</v>
      </c>
      <c r="L2086" s="77" t="str">
        <f>IFERROR(VLOOKUP(DESPESAS[[#This Row],[Plano de Contas]],BASE!$B$3:$H$119,6,FALSE),"")</f>
        <v>CUSTO MÃO DE OBRA DIRETA</v>
      </c>
      <c r="M2086" s="77" t="str">
        <f>VLOOKUP(DESPESAS[[#This Row],[Plano de Contas]],BASE!$B$3:$H$119,7,FALSE)</f>
        <v>RAFAEL</v>
      </c>
    </row>
    <row r="2087" spans="1:13" x14ac:dyDescent="0.25">
      <c r="A2087" s="74">
        <v>198928</v>
      </c>
      <c r="B2087" s="75" t="s">
        <v>281</v>
      </c>
      <c r="C2087" s="75" t="s">
        <v>1665</v>
      </c>
      <c r="D2087" s="76">
        <v>46081</v>
      </c>
      <c r="E2087" s="75" t="s">
        <v>956</v>
      </c>
      <c r="F2087" s="74">
        <v>1986.28</v>
      </c>
      <c r="G2087" s="75" t="s">
        <v>430</v>
      </c>
      <c r="H2087" s="77" t="str">
        <f>VLOOKUP(DESPESAS[[#This Row],[Plano de Contas]],BASE!$B$3:$D$119,3,FALSE)</f>
        <v>Salarios e Ordenados MOD</v>
      </c>
      <c r="I2087" s="77" t="str">
        <f>IFERROR(VLOOKUP(DESPESAS[[#This Row],[Fornecedor]],Tabela2[],2,FALSE),"")</f>
        <v/>
      </c>
      <c r="J2087" s="77" t="str">
        <f>IFERROR(VLOOKUP(DESPESAS[[#This Row],[Plano de Contas]],BASE!$B$3:$F$119,4,FALSE),"")</f>
        <v>2 - CUSTOS DIRETOS</v>
      </c>
      <c r="K2087" s="77" t="str">
        <f>IFERROR(VLOOKUP(DESPESAS[[#This Row],[Plano de Contas]],BASE!$B$3:$H$119,5,FALSE),"")</f>
        <v>DH</v>
      </c>
      <c r="L2087" s="77" t="str">
        <f>IFERROR(VLOOKUP(DESPESAS[[#This Row],[Plano de Contas]],BASE!$B$3:$H$119,6,FALSE),"")</f>
        <v>CUSTO MÃO DE OBRA DIRETA</v>
      </c>
      <c r="M2087" s="77" t="str">
        <f>VLOOKUP(DESPESAS[[#This Row],[Plano de Contas]],BASE!$B$3:$H$119,7,FALSE)</f>
        <v>RAFAEL</v>
      </c>
    </row>
    <row r="2088" spans="1:13" x14ac:dyDescent="0.25">
      <c r="A2088" s="74">
        <v>198929</v>
      </c>
      <c r="B2088" s="75" t="s">
        <v>281</v>
      </c>
      <c r="C2088" s="75" t="s">
        <v>1665</v>
      </c>
      <c r="D2088" s="76">
        <v>46081</v>
      </c>
      <c r="E2088" s="75" t="s">
        <v>766</v>
      </c>
      <c r="F2088" s="74">
        <v>2394.83</v>
      </c>
      <c r="G2088" s="75" t="s">
        <v>430</v>
      </c>
      <c r="H2088" s="77" t="str">
        <f>VLOOKUP(DESPESAS[[#This Row],[Plano de Contas]],BASE!$B$3:$D$119,3,FALSE)</f>
        <v>Salarios e Ordenados MOD</v>
      </c>
      <c r="I2088" s="77" t="str">
        <f>IFERROR(VLOOKUP(DESPESAS[[#This Row],[Fornecedor]],Tabela2[],2,FALSE),"")</f>
        <v/>
      </c>
      <c r="J2088" s="77" t="str">
        <f>IFERROR(VLOOKUP(DESPESAS[[#This Row],[Plano de Contas]],BASE!$B$3:$F$119,4,FALSE),"")</f>
        <v>2 - CUSTOS DIRETOS</v>
      </c>
      <c r="K2088" s="77" t="str">
        <f>IFERROR(VLOOKUP(DESPESAS[[#This Row],[Plano de Contas]],BASE!$B$3:$H$119,5,FALSE),"")</f>
        <v>DH</v>
      </c>
      <c r="L2088" s="77" t="str">
        <f>IFERROR(VLOOKUP(DESPESAS[[#This Row],[Plano de Contas]],BASE!$B$3:$H$119,6,FALSE),"")</f>
        <v>CUSTO MÃO DE OBRA DIRETA</v>
      </c>
      <c r="M2088" s="77" t="str">
        <f>VLOOKUP(DESPESAS[[#This Row],[Plano de Contas]],BASE!$B$3:$H$119,7,FALSE)</f>
        <v>RAFAEL</v>
      </c>
    </row>
    <row r="2089" spans="1:13" x14ac:dyDescent="0.25">
      <c r="A2089" s="74">
        <v>198930</v>
      </c>
      <c r="B2089" s="75" t="s">
        <v>281</v>
      </c>
      <c r="C2089" s="75" t="s">
        <v>1665</v>
      </c>
      <c r="D2089" s="76">
        <v>46081</v>
      </c>
      <c r="E2089" s="75" t="s">
        <v>955</v>
      </c>
      <c r="F2089" s="74">
        <v>2426.59</v>
      </c>
      <c r="G2089" s="75" t="s">
        <v>430</v>
      </c>
      <c r="H2089" s="77" t="str">
        <f>VLOOKUP(DESPESAS[[#This Row],[Plano de Contas]],BASE!$B$3:$D$119,3,FALSE)</f>
        <v>Salarios e Ordenados MOD</v>
      </c>
      <c r="I2089" s="77" t="str">
        <f>IFERROR(VLOOKUP(DESPESAS[[#This Row],[Fornecedor]],Tabela2[],2,FALSE),"")</f>
        <v/>
      </c>
      <c r="J2089" s="77" t="str">
        <f>IFERROR(VLOOKUP(DESPESAS[[#This Row],[Plano de Contas]],BASE!$B$3:$F$119,4,FALSE),"")</f>
        <v>2 - CUSTOS DIRETOS</v>
      </c>
      <c r="K2089" s="77" t="str">
        <f>IFERROR(VLOOKUP(DESPESAS[[#This Row],[Plano de Contas]],BASE!$B$3:$H$119,5,FALSE),"")</f>
        <v>DH</v>
      </c>
      <c r="L2089" s="77" t="str">
        <f>IFERROR(VLOOKUP(DESPESAS[[#This Row],[Plano de Contas]],BASE!$B$3:$H$119,6,FALSE),"")</f>
        <v>CUSTO MÃO DE OBRA DIRETA</v>
      </c>
      <c r="M2089" s="77" t="str">
        <f>VLOOKUP(DESPESAS[[#This Row],[Plano de Contas]],BASE!$B$3:$H$119,7,FALSE)</f>
        <v>RAFAEL</v>
      </c>
    </row>
    <row r="2090" spans="1:13" x14ac:dyDescent="0.25">
      <c r="A2090" s="74">
        <v>198931</v>
      </c>
      <c r="B2090" s="75" t="s">
        <v>281</v>
      </c>
      <c r="C2090" s="75" t="s">
        <v>1665</v>
      </c>
      <c r="D2090" s="76">
        <v>46081</v>
      </c>
      <c r="E2090" s="75" t="s">
        <v>953</v>
      </c>
      <c r="F2090" s="74">
        <v>2364.3200000000002</v>
      </c>
      <c r="G2090" s="75" t="s">
        <v>430</v>
      </c>
      <c r="H2090" s="77" t="str">
        <f>VLOOKUP(DESPESAS[[#This Row],[Plano de Contas]],BASE!$B$3:$D$119,3,FALSE)</f>
        <v>Salarios e Ordenados MOD</v>
      </c>
      <c r="I2090" s="77" t="str">
        <f>IFERROR(VLOOKUP(DESPESAS[[#This Row],[Fornecedor]],Tabela2[],2,FALSE),"")</f>
        <v/>
      </c>
      <c r="J2090" s="77" t="str">
        <f>IFERROR(VLOOKUP(DESPESAS[[#This Row],[Plano de Contas]],BASE!$B$3:$F$119,4,FALSE),"")</f>
        <v>2 - CUSTOS DIRETOS</v>
      </c>
      <c r="K2090" s="77" t="str">
        <f>IFERROR(VLOOKUP(DESPESAS[[#This Row],[Plano de Contas]],BASE!$B$3:$H$119,5,FALSE),"")</f>
        <v>DH</v>
      </c>
      <c r="L2090" s="77" t="str">
        <f>IFERROR(VLOOKUP(DESPESAS[[#This Row],[Plano de Contas]],BASE!$B$3:$H$119,6,FALSE),"")</f>
        <v>CUSTO MÃO DE OBRA DIRETA</v>
      </c>
      <c r="M2090" s="77" t="str">
        <f>VLOOKUP(DESPESAS[[#This Row],[Plano de Contas]],BASE!$B$3:$H$119,7,FALSE)</f>
        <v>RAFAEL</v>
      </c>
    </row>
    <row r="2091" spans="1:13" x14ac:dyDescent="0.25">
      <c r="A2091" s="74">
        <v>198932</v>
      </c>
      <c r="B2091" s="75" t="s">
        <v>281</v>
      </c>
      <c r="C2091" s="75" t="s">
        <v>1665</v>
      </c>
      <c r="D2091" s="76">
        <v>46081</v>
      </c>
      <c r="E2091" s="75" t="s">
        <v>952</v>
      </c>
      <c r="F2091" s="74">
        <v>2105.04</v>
      </c>
      <c r="G2091" s="75" t="s">
        <v>430</v>
      </c>
      <c r="H2091" s="77" t="str">
        <f>VLOOKUP(DESPESAS[[#This Row],[Plano de Contas]],BASE!$B$3:$D$119,3,FALSE)</f>
        <v>Salarios e Ordenados MOD</v>
      </c>
      <c r="I2091" s="77" t="str">
        <f>IFERROR(VLOOKUP(DESPESAS[[#This Row],[Fornecedor]],Tabela2[],2,FALSE),"")</f>
        <v/>
      </c>
      <c r="J2091" s="77" t="str">
        <f>IFERROR(VLOOKUP(DESPESAS[[#This Row],[Plano de Contas]],BASE!$B$3:$F$119,4,FALSE),"")</f>
        <v>2 - CUSTOS DIRETOS</v>
      </c>
      <c r="K2091" s="77" t="str">
        <f>IFERROR(VLOOKUP(DESPESAS[[#This Row],[Plano de Contas]],BASE!$B$3:$H$119,5,FALSE),"")</f>
        <v>DH</v>
      </c>
      <c r="L2091" s="77" t="str">
        <f>IFERROR(VLOOKUP(DESPESAS[[#This Row],[Plano de Contas]],BASE!$B$3:$H$119,6,FALSE),"")</f>
        <v>CUSTO MÃO DE OBRA DIRETA</v>
      </c>
      <c r="M2091" s="77" t="str">
        <f>VLOOKUP(DESPESAS[[#This Row],[Plano de Contas]],BASE!$B$3:$H$119,7,FALSE)</f>
        <v>RAFAEL</v>
      </c>
    </row>
    <row r="2092" spans="1:13" x14ac:dyDescent="0.25">
      <c r="A2092" s="74">
        <v>198933</v>
      </c>
      <c r="B2092" s="75" t="s">
        <v>281</v>
      </c>
      <c r="C2092" s="75" t="s">
        <v>1665</v>
      </c>
      <c r="D2092" s="76">
        <v>46081</v>
      </c>
      <c r="E2092" s="75" t="s">
        <v>951</v>
      </c>
      <c r="F2092" s="74">
        <v>2041.21</v>
      </c>
      <c r="G2092" s="75" t="s">
        <v>430</v>
      </c>
      <c r="H2092" s="77" t="str">
        <f>VLOOKUP(DESPESAS[[#This Row],[Plano de Contas]],BASE!$B$3:$D$119,3,FALSE)</f>
        <v>Salarios e Ordenados MOD</v>
      </c>
      <c r="I2092" s="77" t="str">
        <f>IFERROR(VLOOKUP(DESPESAS[[#This Row],[Fornecedor]],Tabela2[],2,FALSE),"")</f>
        <v/>
      </c>
      <c r="J2092" s="77" t="str">
        <f>IFERROR(VLOOKUP(DESPESAS[[#This Row],[Plano de Contas]],BASE!$B$3:$F$119,4,FALSE),"")</f>
        <v>2 - CUSTOS DIRETOS</v>
      </c>
      <c r="K2092" s="77" t="str">
        <f>IFERROR(VLOOKUP(DESPESAS[[#This Row],[Plano de Contas]],BASE!$B$3:$H$119,5,FALSE),"")</f>
        <v>DH</v>
      </c>
      <c r="L2092" s="77" t="str">
        <f>IFERROR(VLOOKUP(DESPESAS[[#This Row],[Plano de Contas]],BASE!$B$3:$H$119,6,FALSE),"")</f>
        <v>CUSTO MÃO DE OBRA DIRETA</v>
      </c>
      <c r="M2092" s="77" t="str">
        <f>VLOOKUP(DESPESAS[[#This Row],[Plano de Contas]],BASE!$B$3:$H$119,7,FALSE)</f>
        <v>RAFAEL</v>
      </c>
    </row>
    <row r="2093" spans="1:13" x14ac:dyDescent="0.25">
      <c r="A2093" s="74">
        <v>198934</v>
      </c>
      <c r="B2093" s="75" t="s">
        <v>281</v>
      </c>
      <c r="C2093" s="75" t="s">
        <v>1665</v>
      </c>
      <c r="D2093" s="76">
        <v>46081</v>
      </c>
      <c r="E2093" s="75" t="s">
        <v>950</v>
      </c>
      <c r="F2093" s="74">
        <v>2066.64</v>
      </c>
      <c r="G2093" s="75" t="s">
        <v>430</v>
      </c>
      <c r="H2093" s="77" t="str">
        <f>VLOOKUP(DESPESAS[[#This Row],[Plano de Contas]],BASE!$B$3:$D$119,3,FALSE)</f>
        <v>Salarios e Ordenados MOD</v>
      </c>
      <c r="I2093" s="77" t="str">
        <f>IFERROR(VLOOKUP(DESPESAS[[#This Row],[Fornecedor]],Tabela2[],2,FALSE),"")</f>
        <v/>
      </c>
      <c r="J2093" s="77" t="str">
        <f>IFERROR(VLOOKUP(DESPESAS[[#This Row],[Plano de Contas]],BASE!$B$3:$F$119,4,FALSE),"")</f>
        <v>2 - CUSTOS DIRETOS</v>
      </c>
      <c r="K2093" s="77" t="str">
        <f>IFERROR(VLOOKUP(DESPESAS[[#This Row],[Plano de Contas]],BASE!$B$3:$H$119,5,FALSE),"")</f>
        <v>DH</v>
      </c>
      <c r="L2093" s="77" t="str">
        <f>IFERROR(VLOOKUP(DESPESAS[[#This Row],[Plano de Contas]],BASE!$B$3:$H$119,6,FALSE),"")</f>
        <v>CUSTO MÃO DE OBRA DIRETA</v>
      </c>
      <c r="M2093" s="77" t="str">
        <f>VLOOKUP(DESPESAS[[#This Row],[Plano de Contas]],BASE!$B$3:$H$119,7,FALSE)</f>
        <v>RAFAEL</v>
      </c>
    </row>
    <row r="2094" spans="1:13" x14ac:dyDescent="0.25">
      <c r="A2094" s="74">
        <v>198935</v>
      </c>
      <c r="B2094" s="75" t="s">
        <v>232</v>
      </c>
      <c r="C2094" s="75" t="s">
        <v>1665</v>
      </c>
      <c r="D2094" s="76">
        <v>46081</v>
      </c>
      <c r="E2094" s="75" t="s">
        <v>899</v>
      </c>
      <c r="F2094" s="74">
        <v>3120.44</v>
      </c>
      <c r="G2094" s="75" t="s">
        <v>430</v>
      </c>
      <c r="H2094" s="77" t="str">
        <f>VLOOKUP(DESPESAS[[#This Row],[Plano de Contas]],BASE!$B$3:$D$119,3,FALSE)</f>
        <v>Salarios e Ordenados MOD</v>
      </c>
      <c r="I2094" s="77" t="str">
        <f>IFERROR(VLOOKUP(DESPESAS[[#This Row],[Fornecedor]],Tabela2[],2,FALSE),"")</f>
        <v/>
      </c>
      <c r="J2094" s="77" t="str">
        <f>IFERROR(VLOOKUP(DESPESAS[[#This Row],[Plano de Contas]],BASE!$B$3:$F$119,4,FALSE),"")</f>
        <v>2 - CUSTOS DIRETOS</v>
      </c>
      <c r="K2094" s="77" t="str">
        <f>IFERROR(VLOOKUP(DESPESAS[[#This Row],[Plano de Contas]],BASE!$B$3:$H$119,5,FALSE),"")</f>
        <v>DH</v>
      </c>
      <c r="L2094" s="77" t="str">
        <f>IFERROR(VLOOKUP(DESPESAS[[#This Row],[Plano de Contas]],BASE!$B$3:$H$119,6,FALSE),"")</f>
        <v>CUSTO MÃO DE OBRA DIRETA</v>
      </c>
      <c r="M2094" s="77" t="str">
        <f>VLOOKUP(DESPESAS[[#This Row],[Plano de Contas]],BASE!$B$3:$H$119,7,FALSE)</f>
        <v>RAFAEL</v>
      </c>
    </row>
    <row r="2095" spans="1:13" x14ac:dyDescent="0.25">
      <c r="A2095" s="74">
        <v>198936</v>
      </c>
      <c r="B2095" s="75" t="s">
        <v>232</v>
      </c>
      <c r="C2095" s="75" t="s">
        <v>1665</v>
      </c>
      <c r="D2095" s="76">
        <v>46081</v>
      </c>
      <c r="E2095" s="75" t="s">
        <v>898</v>
      </c>
      <c r="F2095" s="74">
        <v>2091.3200000000002</v>
      </c>
      <c r="G2095" s="75" t="s">
        <v>430</v>
      </c>
      <c r="H2095" s="77" t="str">
        <f>VLOOKUP(DESPESAS[[#This Row],[Plano de Contas]],BASE!$B$3:$D$119,3,FALSE)</f>
        <v>Salarios e Ordenados MOD</v>
      </c>
      <c r="I2095" s="77" t="str">
        <f>IFERROR(VLOOKUP(DESPESAS[[#This Row],[Fornecedor]],Tabela2[],2,FALSE),"")</f>
        <v/>
      </c>
      <c r="J2095" s="77" t="str">
        <f>IFERROR(VLOOKUP(DESPESAS[[#This Row],[Plano de Contas]],BASE!$B$3:$F$119,4,FALSE),"")</f>
        <v>2 - CUSTOS DIRETOS</v>
      </c>
      <c r="K2095" s="77" t="str">
        <f>IFERROR(VLOOKUP(DESPESAS[[#This Row],[Plano de Contas]],BASE!$B$3:$H$119,5,FALSE),"")</f>
        <v>DH</v>
      </c>
      <c r="L2095" s="77" t="str">
        <f>IFERROR(VLOOKUP(DESPESAS[[#This Row],[Plano de Contas]],BASE!$B$3:$H$119,6,FALSE),"")</f>
        <v>CUSTO MÃO DE OBRA DIRETA</v>
      </c>
      <c r="M2095" s="77" t="str">
        <f>VLOOKUP(DESPESAS[[#This Row],[Plano de Contas]],BASE!$B$3:$H$119,7,FALSE)</f>
        <v>RAFAEL</v>
      </c>
    </row>
    <row r="2096" spans="1:13" x14ac:dyDescent="0.25">
      <c r="A2096" s="74">
        <v>198937</v>
      </c>
      <c r="B2096" s="75" t="s">
        <v>232</v>
      </c>
      <c r="C2096" s="75" t="s">
        <v>1665</v>
      </c>
      <c r="D2096" s="76">
        <v>46081</v>
      </c>
      <c r="E2096" s="75" t="s">
        <v>897</v>
      </c>
      <c r="F2096" s="74">
        <v>3298.44</v>
      </c>
      <c r="G2096" s="75" t="s">
        <v>430</v>
      </c>
      <c r="H2096" s="77" t="str">
        <f>VLOOKUP(DESPESAS[[#This Row],[Plano de Contas]],BASE!$B$3:$D$119,3,FALSE)</f>
        <v>Salarios e Ordenados MOD</v>
      </c>
      <c r="I2096" s="77" t="str">
        <f>IFERROR(VLOOKUP(DESPESAS[[#This Row],[Fornecedor]],Tabela2[],2,FALSE),"")</f>
        <v/>
      </c>
      <c r="J2096" s="77" t="str">
        <f>IFERROR(VLOOKUP(DESPESAS[[#This Row],[Plano de Contas]],BASE!$B$3:$F$119,4,FALSE),"")</f>
        <v>2 - CUSTOS DIRETOS</v>
      </c>
      <c r="K2096" s="77" t="str">
        <f>IFERROR(VLOOKUP(DESPESAS[[#This Row],[Plano de Contas]],BASE!$B$3:$H$119,5,FALSE),"")</f>
        <v>DH</v>
      </c>
      <c r="L2096" s="77" t="str">
        <f>IFERROR(VLOOKUP(DESPESAS[[#This Row],[Plano de Contas]],BASE!$B$3:$H$119,6,FALSE),"")</f>
        <v>CUSTO MÃO DE OBRA DIRETA</v>
      </c>
      <c r="M2096" s="77" t="str">
        <f>VLOOKUP(DESPESAS[[#This Row],[Plano de Contas]],BASE!$B$3:$H$119,7,FALSE)</f>
        <v>RAFAEL</v>
      </c>
    </row>
    <row r="2097" spans="1:13" x14ac:dyDescent="0.25">
      <c r="A2097" s="74">
        <v>198938</v>
      </c>
      <c r="B2097" s="75" t="s">
        <v>232</v>
      </c>
      <c r="C2097" s="75" t="s">
        <v>1665</v>
      </c>
      <c r="D2097" s="76">
        <v>46081</v>
      </c>
      <c r="E2097" s="75" t="s">
        <v>896</v>
      </c>
      <c r="F2097" s="74">
        <v>2033.34</v>
      </c>
      <c r="G2097" s="75" t="s">
        <v>653</v>
      </c>
      <c r="H2097" s="77" t="str">
        <f>VLOOKUP(DESPESAS[[#This Row],[Plano de Contas]],BASE!$B$3:$D$119,3,FALSE)</f>
        <v>Salarios e Ordenados CIF</v>
      </c>
      <c r="I2097" s="77" t="str">
        <f>IFERROR(VLOOKUP(DESPESAS[[#This Row],[Fornecedor]],Tabela2[],2,FALSE),"")</f>
        <v/>
      </c>
      <c r="J2097" s="77" t="str">
        <f>IFERROR(VLOOKUP(DESPESAS[[#This Row],[Plano de Contas]],BASE!$B$3:$F$119,4,FALSE),"")</f>
        <v>3 - CUSTOS INDIRETOS</v>
      </c>
      <c r="K2097" s="77" t="str">
        <f>IFERROR(VLOOKUP(DESPESAS[[#This Row],[Plano de Contas]],BASE!$B$3:$H$119,5,FALSE),"")</f>
        <v>DH</v>
      </c>
      <c r="L2097" s="77" t="str">
        <f>IFERROR(VLOOKUP(DESPESAS[[#This Row],[Plano de Contas]],BASE!$B$3:$H$119,6,FALSE),"")</f>
        <v>CUSTO MÃO DE OBRA DIRETA</v>
      </c>
      <c r="M2097" s="77" t="str">
        <f>VLOOKUP(DESPESAS[[#This Row],[Plano de Contas]],BASE!$B$3:$H$119,7,FALSE)</f>
        <v>RAFAEL</v>
      </c>
    </row>
    <row r="2098" spans="1:13" x14ac:dyDescent="0.25">
      <c r="A2098" s="74">
        <v>198939</v>
      </c>
      <c r="B2098" s="75" t="s">
        <v>232</v>
      </c>
      <c r="C2098" s="75" t="s">
        <v>1665</v>
      </c>
      <c r="D2098" s="76">
        <v>46081</v>
      </c>
      <c r="E2098" s="75" t="s">
        <v>474</v>
      </c>
      <c r="F2098" s="74">
        <v>2991.95</v>
      </c>
      <c r="G2098" s="75" t="s">
        <v>627</v>
      </c>
      <c r="H2098" s="77" t="str">
        <f>VLOOKUP(DESPESAS[[#This Row],[Plano de Contas]],BASE!$B$3:$D$119,3,FALSE)</f>
        <v>Salarios e Ordenados (Adm)</v>
      </c>
      <c r="I2098" s="77" t="str">
        <f>IFERROR(VLOOKUP(DESPESAS[[#This Row],[Fornecedor]],Tabela2[],2,FALSE),"")</f>
        <v/>
      </c>
      <c r="J2098" s="77" t="str">
        <f>IFERROR(VLOOKUP(DESPESAS[[#This Row],[Plano de Contas]],BASE!$B$3:$F$119,4,FALSE),"")</f>
        <v>4 - GASTOS COM PESSOAL</v>
      </c>
      <c r="K2098" s="77" t="str">
        <f>IFERROR(VLOOKUP(DESPESAS[[#This Row],[Plano de Contas]],BASE!$B$3:$H$119,5,FALSE),"")</f>
        <v>DH</v>
      </c>
      <c r="L2098" s="77">
        <f>IFERROR(VLOOKUP(DESPESAS[[#This Row],[Plano de Contas]],BASE!$B$3:$H$119,6,FALSE),"")</f>
        <v>0</v>
      </c>
      <c r="M2098" s="77" t="str">
        <f>VLOOKUP(DESPESAS[[#This Row],[Plano de Contas]],BASE!$B$3:$H$119,7,FALSE)</f>
        <v>RAFAEL</v>
      </c>
    </row>
    <row r="2099" spans="1:13" x14ac:dyDescent="0.25">
      <c r="A2099" s="74">
        <v>198940</v>
      </c>
      <c r="B2099" s="75" t="s">
        <v>232</v>
      </c>
      <c r="C2099" s="75" t="s">
        <v>1665</v>
      </c>
      <c r="D2099" s="76">
        <v>46081</v>
      </c>
      <c r="E2099" s="75" t="s">
        <v>895</v>
      </c>
      <c r="F2099" s="74">
        <v>2482.9499999999998</v>
      </c>
      <c r="G2099" s="75" t="s">
        <v>430</v>
      </c>
      <c r="H2099" s="77" t="str">
        <f>VLOOKUP(DESPESAS[[#This Row],[Plano de Contas]],BASE!$B$3:$D$119,3,FALSE)</f>
        <v>Salarios e Ordenados MOD</v>
      </c>
      <c r="I2099" s="77" t="str">
        <f>IFERROR(VLOOKUP(DESPESAS[[#This Row],[Fornecedor]],Tabela2[],2,FALSE),"")</f>
        <v/>
      </c>
      <c r="J2099" s="77" t="str">
        <f>IFERROR(VLOOKUP(DESPESAS[[#This Row],[Plano de Contas]],BASE!$B$3:$F$119,4,FALSE),"")</f>
        <v>2 - CUSTOS DIRETOS</v>
      </c>
      <c r="K2099" s="77" t="str">
        <f>IFERROR(VLOOKUP(DESPESAS[[#This Row],[Plano de Contas]],BASE!$B$3:$H$119,5,FALSE),"")</f>
        <v>DH</v>
      </c>
      <c r="L2099" s="77" t="str">
        <f>IFERROR(VLOOKUP(DESPESAS[[#This Row],[Plano de Contas]],BASE!$B$3:$H$119,6,FALSE),"")</f>
        <v>CUSTO MÃO DE OBRA DIRETA</v>
      </c>
      <c r="M2099" s="77" t="str">
        <f>VLOOKUP(DESPESAS[[#This Row],[Plano de Contas]],BASE!$B$3:$H$119,7,FALSE)</f>
        <v>RAFAEL</v>
      </c>
    </row>
    <row r="2100" spans="1:13" x14ac:dyDescent="0.25">
      <c r="A2100" s="74">
        <v>198941</v>
      </c>
      <c r="B2100" s="75" t="s">
        <v>232</v>
      </c>
      <c r="C2100" s="75" t="s">
        <v>1665</v>
      </c>
      <c r="D2100" s="76">
        <v>46081</v>
      </c>
      <c r="E2100" s="75" t="s">
        <v>894</v>
      </c>
      <c r="F2100" s="74">
        <v>3949.5</v>
      </c>
      <c r="G2100" s="75" t="s">
        <v>430</v>
      </c>
      <c r="H2100" s="77" t="str">
        <f>VLOOKUP(DESPESAS[[#This Row],[Plano de Contas]],BASE!$B$3:$D$119,3,FALSE)</f>
        <v>Salarios e Ordenados MOD</v>
      </c>
      <c r="I2100" s="77" t="str">
        <f>IFERROR(VLOOKUP(DESPESAS[[#This Row],[Fornecedor]],Tabela2[],2,FALSE),"")</f>
        <v/>
      </c>
      <c r="J2100" s="77" t="str">
        <f>IFERROR(VLOOKUP(DESPESAS[[#This Row],[Plano de Contas]],BASE!$B$3:$F$119,4,FALSE),"")</f>
        <v>2 - CUSTOS DIRETOS</v>
      </c>
      <c r="K2100" s="77" t="str">
        <f>IFERROR(VLOOKUP(DESPESAS[[#This Row],[Plano de Contas]],BASE!$B$3:$H$119,5,FALSE),"")</f>
        <v>DH</v>
      </c>
      <c r="L2100" s="77" t="str">
        <f>IFERROR(VLOOKUP(DESPESAS[[#This Row],[Plano de Contas]],BASE!$B$3:$H$119,6,FALSE),"")</f>
        <v>CUSTO MÃO DE OBRA DIRETA</v>
      </c>
      <c r="M2100" s="77" t="str">
        <f>VLOOKUP(DESPESAS[[#This Row],[Plano de Contas]],BASE!$B$3:$H$119,7,FALSE)</f>
        <v>RAFAEL</v>
      </c>
    </row>
    <row r="2101" spans="1:13" x14ac:dyDescent="0.25">
      <c r="A2101" s="74">
        <v>198942</v>
      </c>
      <c r="B2101" s="75" t="s">
        <v>232</v>
      </c>
      <c r="C2101" s="75" t="s">
        <v>1665</v>
      </c>
      <c r="D2101" s="76">
        <v>46081</v>
      </c>
      <c r="E2101" s="75" t="s">
        <v>893</v>
      </c>
      <c r="F2101" s="74">
        <v>2425.4299999999998</v>
      </c>
      <c r="G2101" s="75" t="s">
        <v>653</v>
      </c>
      <c r="H2101" s="77" t="str">
        <f>VLOOKUP(DESPESAS[[#This Row],[Plano de Contas]],BASE!$B$3:$D$119,3,FALSE)</f>
        <v>Salarios e Ordenados CIF</v>
      </c>
      <c r="I2101" s="77" t="str">
        <f>IFERROR(VLOOKUP(DESPESAS[[#This Row],[Fornecedor]],Tabela2[],2,FALSE),"")</f>
        <v/>
      </c>
      <c r="J2101" s="77" t="str">
        <f>IFERROR(VLOOKUP(DESPESAS[[#This Row],[Plano de Contas]],BASE!$B$3:$F$119,4,FALSE),"")</f>
        <v>3 - CUSTOS INDIRETOS</v>
      </c>
      <c r="K2101" s="77" t="str">
        <f>IFERROR(VLOOKUP(DESPESAS[[#This Row],[Plano de Contas]],BASE!$B$3:$H$119,5,FALSE),"")</f>
        <v>DH</v>
      </c>
      <c r="L2101" s="77" t="str">
        <f>IFERROR(VLOOKUP(DESPESAS[[#This Row],[Plano de Contas]],BASE!$B$3:$H$119,6,FALSE),"")</f>
        <v>CUSTO MÃO DE OBRA DIRETA</v>
      </c>
      <c r="M2101" s="77" t="str">
        <f>VLOOKUP(DESPESAS[[#This Row],[Plano de Contas]],BASE!$B$3:$H$119,7,FALSE)</f>
        <v>RAFAEL</v>
      </c>
    </row>
    <row r="2102" spans="1:13" x14ac:dyDescent="0.25">
      <c r="A2102" s="74">
        <v>198943</v>
      </c>
      <c r="B2102" s="75" t="s">
        <v>232</v>
      </c>
      <c r="C2102" s="75" t="s">
        <v>1665</v>
      </c>
      <c r="D2102" s="76">
        <v>46081</v>
      </c>
      <c r="E2102" s="75" t="s">
        <v>892</v>
      </c>
      <c r="F2102" s="74">
        <v>2987.71</v>
      </c>
      <c r="G2102" s="75" t="s">
        <v>430</v>
      </c>
      <c r="H2102" s="77" t="str">
        <f>VLOOKUP(DESPESAS[[#This Row],[Plano de Contas]],BASE!$B$3:$D$119,3,FALSE)</f>
        <v>Salarios e Ordenados MOD</v>
      </c>
      <c r="I2102" s="77" t="str">
        <f>IFERROR(VLOOKUP(DESPESAS[[#This Row],[Fornecedor]],Tabela2[],2,FALSE),"")</f>
        <v/>
      </c>
      <c r="J2102" s="77" t="str">
        <f>IFERROR(VLOOKUP(DESPESAS[[#This Row],[Plano de Contas]],BASE!$B$3:$F$119,4,FALSE),"")</f>
        <v>2 - CUSTOS DIRETOS</v>
      </c>
      <c r="K2102" s="77" t="str">
        <f>IFERROR(VLOOKUP(DESPESAS[[#This Row],[Plano de Contas]],BASE!$B$3:$H$119,5,FALSE),"")</f>
        <v>DH</v>
      </c>
      <c r="L2102" s="77" t="str">
        <f>IFERROR(VLOOKUP(DESPESAS[[#This Row],[Plano de Contas]],BASE!$B$3:$H$119,6,FALSE),"")</f>
        <v>CUSTO MÃO DE OBRA DIRETA</v>
      </c>
      <c r="M2102" s="77" t="str">
        <f>VLOOKUP(DESPESAS[[#This Row],[Plano de Contas]],BASE!$B$3:$H$119,7,FALSE)</f>
        <v>RAFAEL</v>
      </c>
    </row>
    <row r="2103" spans="1:13" x14ac:dyDescent="0.25">
      <c r="A2103" s="74">
        <v>198944</v>
      </c>
      <c r="B2103" s="75" t="s">
        <v>232</v>
      </c>
      <c r="C2103" s="75" t="s">
        <v>1665</v>
      </c>
      <c r="D2103" s="76">
        <v>46081</v>
      </c>
      <c r="E2103" s="75" t="s">
        <v>1379</v>
      </c>
      <c r="F2103" s="74">
        <v>2201.96</v>
      </c>
      <c r="G2103" s="75" t="s">
        <v>430</v>
      </c>
      <c r="H2103" s="77" t="str">
        <f>VLOOKUP(DESPESAS[[#This Row],[Plano de Contas]],BASE!$B$3:$D$119,3,FALSE)</f>
        <v>Salarios e Ordenados MOD</v>
      </c>
      <c r="I2103" s="77" t="str">
        <f>IFERROR(VLOOKUP(DESPESAS[[#This Row],[Fornecedor]],Tabela2[],2,FALSE),"")</f>
        <v/>
      </c>
      <c r="J2103" s="77" t="str">
        <f>IFERROR(VLOOKUP(DESPESAS[[#This Row],[Plano de Contas]],BASE!$B$3:$F$119,4,FALSE),"")</f>
        <v>2 - CUSTOS DIRETOS</v>
      </c>
      <c r="K2103" s="77" t="str">
        <f>IFERROR(VLOOKUP(DESPESAS[[#This Row],[Plano de Contas]],BASE!$B$3:$H$119,5,FALSE),"")</f>
        <v>DH</v>
      </c>
      <c r="L2103" s="77" t="str">
        <f>IFERROR(VLOOKUP(DESPESAS[[#This Row],[Plano de Contas]],BASE!$B$3:$H$119,6,FALSE),"")</f>
        <v>CUSTO MÃO DE OBRA DIRETA</v>
      </c>
      <c r="M2103" s="77" t="str">
        <f>VLOOKUP(DESPESAS[[#This Row],[Plano de Contas]],BASE!$B$3:$H$119,7,FALSE)</f>
        <v>RAFAEL</v>
      </c>
    </row>
    <row r="2104" spans="1:13" x14ac:dyDescent="0.25">
      <c r="A2104" s="74">
        <v>198945</v>
      </c>
      <c r="B2104" s="75" t="s">
        <v>232</v>
      </c>
      <c r="C2104" s="75" t="s">
        <v>1665</v>
      </c>
      <c r="D2104" s="76">
        <v>46081</v>
      </c>
      <c r="E2104" s="75" t="s">
        <v>226</v>
      </c>
      <c r="F2104" s="74">
        <v>3185.46</v>
      </c>
      <c r="G2104" s="75" t="s">
        <v>653</v>
      </c>
      <c r="H2104" s="77" t="str">
        <f>VLOOKUP(DESPESAS[[#This Row],[Plano de Contas]],BASE!$B$3:$D$119,3,FALSE)</f>
        <v>Salarios e Ordenados CIF</v>
      </c>
      <c r="I2104" s="77" t="str">
        <f>IFERROR(VLOOKUP(DESPESAS[[#This Row],[Fornecedor]],Tabela2[],2,FALSE),"")</f>
        <v/>
      </c>
      <c r="J2104" s="77" t="str">
        <f>IFERROR(VLOOKUP(DESPESAS[[#This Row],[Plano de Contas]],BASE!$B$3:$F$119,4,FALSE),"")</f>
        <v>3 - CUSTOS INDIRETOS</v>
      </c>
      <c r="K2104" s="77" t="str">
        <f>IFERROR(VLOOKUP(DESPESAS[[#This Row],[Plano de Contas]],BASE!$B$3:$H$119,5,FALSE),"")</f>
        <v>DH</v>
      </c>
      <c r="L2104" s="77" t="str">
        <f>IFERROR(VLOOKUP(DESPESAS[[#This Row],[Plano de Contas]],BASE!$B$3:$H$119,6,FALSE),"")</f>
        <v>CUSTO MÃO DE OBRA DIRETA</v>
      </c>
      <c r="M2104" s="77" t="str">
        <f>VLOOKUP(DESPESAS[[#This Row],[Plano de Contas]],BASE!$B$3:$H$119,7,FALSE)</f>
        <v>RAFAEL</v>
      </c>
    </row>
    <row r="2105" spans="1:13" x14ac:dyDescent="0.25">
      <c r="A2105" s="74">
        <v>198946</v>
      </c>
      <c r="B2105" s="75" t="s">
        <v>232</v>
      </c>
      <c r="C2105" s="75" t="s">
        <v>1665</v>
      </c>
      <c r="D2105" s="76">
        <v>46081</v>
      </c>
      <c r="E2105" s="75" t="s">
        <v>891</v>
      </c>
      <c r="F2105" s="74">
        <v>2347.46</v>
      </c>
      <c r="G2105" s="75" t="s">
        <v>430</v>
      </c>
      <c r="H2105" s="77" t="str">
        <f>VLOOKUP(DESPESAS[[#This Row],[Plano de Contas]],BASE!$B$3:$D$119,3,FALSE)</f>
        <v>Salarios e Ordenados MOD</v>
      </c>
      <c r="I2105" s="77" t="str">
        <f>IFERROR(VLOOKUP(DESPESAS[[#This Row],[Fornecedor]],Tabela2[],2,FALSE),"")</f>
        <v/>
      </c>
      <c r="J2105" s="77" t="str">
        <f>IFERROR(VLOOKUP(DESPESAS[[#This Row],[Plano de Contas]],BASE!$B$3:$F$119,4,FALSE),"")</f>
        <v>2 - CUSTOS DIRETOS</v>
      </c>
      <c r="K2105" s="77" t="str">
        <f>IFERROR(VLOOKUP(DESPESAS[[#This Row],[Plano de Contas]],BASE!$B$3:$H$119,5,FALSE),"")</f>
        <v>DH</v>
      </c>
      <c r="L2105" s="77" t="str">
        <f>IFERROR(VLOOKUP(DESPESAS[[#This Row],[Plano de Contas]],BASE!$B$3:$H$119,6,FALSE),"")</f>
        <v>CUSTO MÃO DE OBRA DIRETA</v>
      </c>
      <c r="M2105" s="77" t="str">
        <f>VLOOKUP(DESPESAS[[#This Row],[Plano de Contas]],BASE!$B$3:$H$119,7,FALSE)</f>
        <v>RAFAEL</v>
      </c>
    </row>
    <row r="2106" spans="1:13" x14ac:dyDescent="0.25">
      <c r="A2106" s="74">
        <v>198947</v>
      </c>
      <c r="B2106" s="75" t="s">
        <v>232</v>
      </c>
      <c r="C2106" s="75" t="s">
        <v>1665</v>
      </c>
      <c r="D2106" s="76">
        <v>46081</v>
      </c>
      <c r="E2106" s="75" t="s">
        <v>371</v>
      </c>
      <c r="F2106" s="74">
        <v>2482.0500000000002</v>
      </c>
      <c r="G2106" s="75" t="s">
        <v>653</v>
      </c>
      <c r="H2106" s="77" t="str">
        <f>VLOOKUP(DESPESAS[[#This Row],[Plano de Contas]],BASE!$B$3:$D$119,3,FALSE)</f>
        <v>Salarios e Ordenados CIF</v>
      </c>
      <c r="I2106" s="77" t="str">
        <f>IFERROR(VLOOKUP(DESPESAS[[#This Row],[Fornecedor]],Tabela2[],2,FALSE),"")</f>
        <v/>
      </c>
      <c r="J2106" s="77" t="str">
        <f>IFERROR(VLOOKUP(DESPESAS[[#This Row],[Plano de Contas]],BASE!$B$3:$F$119,4,FALSE),"")</f>
        <v>3 - CUSTOS INDIRETOS</v>
      </c>
      <c r="K2106" s="77" t="str">
        <f>IFERROR(VLOOKUP(DESPESAS[[#This Row],[Plano de Contas]],BASE!$B$3:$H$119,5,FALSE),"")</f>
        <v>DH</v>
      </c>
      <c r="L2106" s="77" t="str">
        <f>IFERROR(VLOOKUP(DESPESAS[[#This Row],[Plano de Contas]],BASE!$B$3:$H$119,6,FALSE),"")</f>
        <v>CUSTO MÃO DE OBRA DIRETA</v>
      </c>
      <c r="M2106" s="77" t="str">
        <f>VLOOKUP(DESPESAS[[#This Row],[Plano de Contas]],BASE!$B$3:$H$119,7,FALSE)</f>
        <v>RAFAEL</v>
      </c>
    </row>
    <row r="2107" spans="1:13" x14ac:dyDescent="0.25">
      <c r="A2107" s="74">
        <v>198948</v>
      </c>
      <c r="B2107" s="75" t="s">
        <v>232</v>
      </c>
      <c r="C2107" s="75" t="s">
        <v>1665</v>
      </c>
      <c r="D2107" s="76">
        <v>46081</v>
      </c>
      <c r="E2107" s="75" t="s">
        <v>890</v>
      </c>
      <c r="F2107" s="74">
        <v>868.94</v>
      </c>
      <c r="G2107" s="75" t="s">
        <v>627</v>
      </c>
      <c r="H2107" s="77" t="str">
        <f>VLOOKUP(DESPESAS[[#This Row],[Plano de Contas]],BASE!$B$3:$D$119,3,FALSE)</f>
        <v>Salarios e Ordenados (Adm)</v>
      </c>
      <c r="I2107" s="77" t="str">
        <f>IFERROR(VLOOKUP(DESPESAS[[#This Row],[Fornecedor]],Tabela2[],2,FALSE),"")</f>
        <v/>
      </c>
      <c r="J2107" s="77" t="str">
        <f>IFERROR(VLOOKUP(DESPESAS[[#This Row],[Plano de Contas]],BASE!$B$3:$F$119,4,FALSE),"")</f>
        <v>4 - GASTOS COM PESSOAL</v>
      </c>
      <c r="K2107" s="77" t="str">
        <f>IFERROR(VLOOKUP(DESPESAS[[#This Row],[Plano de Contas]],BASE!$B$3:$H$119,5,FALSE),"")</f>
        <v>DH</v>
      </c>
      <c r="L2107" s="77">
        <f>IFERROR(VLOOKUP(DESPESAS[[#This Row],[Plano de Contas]],BASE!$B$3:$H$119,6,FALSE),"")</f>
        <v>0</v>
      </c>
      <c r="M2107" s="77" t="str">
        <f>VLOOKUP(DESPESAS[[#This Row],[Plano de Contas]],BASE!$B$3:$H$119,7,FALSE)</f>
        <v>RAFAEL</v>
      </c>
    </row>
    <row r="2108" spans="1:13" x14ac:dyDescent="0.25">
      <c r="A2108" s="74">
        <v>198949</v>
      </c>
      <c r="B2108" s="75" t="s">
        <v>232</v>
      </c>
      <c r="C2108" s="75" t="s">
        <v>1665</v>
      </c>
      <c r="D2108" s="76">
        <v>46081</v>
      </c>
      <c r="E2108" s="75" t="s">
        <v>889</v>
      </c>
      <c r="F2108" s="74">
        <v>2885.65</v>
      </c>
      <c r="G2108" s="75" t="s">
        <v>430</v>
      </c>
      <c r="H2108" s="77" t="str">
        <f>VLOOKUP(DESPESAS[[#This Row],[Plano de Contas]],BASE!$B$3:$D$119,3,FALSE)</f>
        <v>Salarios e Ordenados MOD</v>
      </c>
      <c r="I2108" s="77" t="str">
        <f>IFERROR(VLOOKUP(DESPESAS[[#This Row],[Fornecedor]],Tabela2[],2,FALSE),"")</f>
        <v/>
      </c>
      <c r="J2108" s="77" t="str">
        <f>IFERROR(VLOOKUP(DESPESAS[[#This Row],[Plano de Contas]],BASE!$B$3:$F$119,4,FALSE),"")</f>
        <v>2 - CUSTOS DIRETOS</v>
      </c>
      <c r="K2108" s="77" t="str">
        <f>IFERROR(VLOOKUP(DESPESAS[[#This Row],[Plano de Contas]],BASE!$B$3:$H$119,5,FALSE),"")</f>
        <v>DH</v>
      </c>
      <c r="L2108" s="77" t="str">
        <f>IFERROR(VLOOKUP(DESPESAS[[#This Row],[Plano de Contas]],BASE!$B$3:$H$119,6,FALSE),"")</f>
        <v>CUSTO MÃO DE OBRA DIRETA</v>
      </c>
      <c r="M2108" s="77" t="str">
        <f>VLOOKUP(DESPESAS[[#This Row],[Plano de Contas]],BASE!$B$3:$H$119,7,FALSE)</f>
        <v>RAFAEL</v>
      </c>
    </row>
    <row r="2109" spans="1:13" x14ac:dyDescent="0.25">
      <c r="A2109" s="74">
        <v>198950</v>
      </c>
      <c r="B2109" s="75" t="s">
        <v>232</v>
      </c>
      <c r="C2109" s="75" t="s">
        <v>1665</v>
      </c>
      <c r="D2109" s="76">
        <v>46081</v>
      </c>
      <c r="E2109" s="75" t="s">
        <v>888</v>
      </c>
      <c r="F2109" s="74">
        <v>4408.75</v>
      </c>
      <c r="G2109" s="75" t="s">
        <v>627</v>
      </c>
      <c r="H2109" s="77" t="str">
        <f>VLOOKUP(DESPESAS[[#This Row],[Plano de Contas]],BASE!$B$3:$D$119,3,FALSE)</f>
        <v>Salarios e Ordenados (Adm)</v>
      </c>
      <c r="I2109" s="77" t="str">
        <f>IFERROR(VLOOKUP(DESPESAS[[#This Row],[Fornecedor]],Tabela2[],2,FALSE),"")</f>
        <v/>
      </c>
      <c r="J2109" s="77" t="str">
        <f>IFERROR(VLOOKUP(DESPESAS[[#This Row],[Plano de Contas]],BASE!$B$3:$F$119,4,FALSE),"")</f>
        <v>4 - GASTOS COM PESSOAL</v>
      </c>
      <c r="K2109" s="77" t="str">
        <f>IFERROR(VLOOKUP(DESPESAS[[#This Row],[Plano de Contas]],BASE!$B$3:$H$119,5,FALSE),"")</f>
        <v>DH</v>
      </c>
      <c r="L2109" s="77">
        <f>IFERROR(VLOOKUP(DESPESAS[[#This Row],[Plano de Contas]],BASE!$B$3:$H$119,6,FALSE),"")</f>
        <v>0</v>
      </c>
      <c r="M2109" s="77" t="str">
        <f>VLOOKUP(DESPESAS[[#This Row],[Plano de Contas]],BASE!$B$3:$H$119,7,FALSE)</f>
        <v>RAFAEL</v>
      </c>
    </row>
    <row r="2110" spans="1:13" x14ac:dyDescent="0.25">
      <c r="A2110" s="74">
        <v>198951</v>
      </c>
      <c r="B2110" s="75" t="s">
        <v>232</v>
      </c>
      <c r="C2110" s="75" t="s">
        <v>1665</v>
      </c>
      <c r="D2110" s="76">
        <v>46081</v>
      </c>
      <c r="E2110" s="75" t="s">
        <v>753</v>
      </c>
      <c r="F2110" s="74">
        <v>2136.23</v>
      </c>
      <c r="G2110" s="75" t="s">
        <v>627</v>
      </c>
      <c r="H2110" s="77" t="str">
        <f>VLOOKUP(DESPESAS[[#This Row],[Plano de Contas]],BASE!$B$3:$D$119,3,FALSE)</f>
        <v>Salarios e Ordenados (Adm)</v>
      </c>
      <c r="I2110" s="77" t="str">
        <f>IFERROR(VLOOKUP(DESPESAS[[#This Row],[Fornecedor]],Tabela2[],2,FALSE),"")</f>
        <v/>
      </c>
      <c r="J2110" s="77" t="str">
        <f>IFERROR(VLOOKUP(DESPESAS[[#This Row],[Plano de Contas]],BASE!$B$3:$F$119,4,FALSE),"")</f>
        <v>4 - GASTOS COM PESSOAL</v>
      </c>
      <c r="K2110" s="77" t="str">
        <f>IFERROR(VLOOKUP(DESPESAS[[#This Row],[Plano de Contas]],BASE!$B$3:$H$119,5,FALSE),"")</f>
        <v>DH</v>
      </c>
      <c r="L2110" s="77">
        <f>IFERROR(VLOOKUP(DESPESAS[[#This Row],[Plano de Contas]],BASE!$B$3:$H$119,6,FALSE),"")</f>
        <v>0</v>
      </c>
      <c r="M2110" s="77" t="str">
        <f>VLOOKUP(DESPESAS[[#This Row],[Plano de Contas]],BASE!$B$3:$H$119,7,FALSE)</f>
        <v>RAFAEL</v>
      </c>
    </row>
    <row r="2111" spans="1:13" x14ac:dyDescent="0.25">
      <c r="A2111" s="74">
        <v>198952</v>
      </c>
      <c r="B2111" s="75" t="s">
        <v>232</v>
      </c>
      <c r="C2111" s="75" t="s">
        <v>1665</v>
      </c>
      <c r="D2111" s="76">
        <v>46081</v>
      </c>
      <c r="E2111" s="75" t="s">
        <v>887</v>
      </c>
      <c r="F2111" s="74">
        <v>4045.07</v>
      </c>
      <c r="G2111" s="75" t="s">
        <v>430</v>
      </c>
      <c r="H2111" s="77" t="str">
        <f>VLOOKUP(DESPESAS[[#This Row],[Plano de Contas]],BASE!$B$3:$D$119,3,FALSE)</f>
        <v>Salarios e Ordenados MOD</v>
      </c>
      <c r="I2111" s="77" t="str">
        <f>IFERROR(VLOOKUP(DESPESAS[[#This Row],[Fornecedor]],Tabela2[],2,FALSE),"")</f>
        <v/>
      </c>
      <c r="J2111" s="77" t="str">
        <f>IFERROR(VLOOKUP(DESPESAS[[#This Row],[Plano de Contas]],BASE!$B$3:$F$119,4,FALSE),"")</f>
        <v>2 - CUSTOS DIRETOS</v>
      </c>
      <c r="K2111" s="77" t="str">
        <f>IFERROR(VLOOKUP(DESPESAS[[#This Row],[Plano de Contas]],BASE!$B$3:$H$119,5,FALSE),"")</f>
        <v>DH</v>
      </c>
      <c r="L2111" s="77" t="str">
        <f>IFERROR(VLOOKUP(DESPESAS[[#This Row],[Plano de Contas]],BASE!$B$3:$H$119,6,FALSE),"")</f>
        <v>CUSTO MÃO DE OBRA DIRETA</v>
      </c>
      <c r="M2111" s="77" t="str">
        <f>VLOOKUP(DESPESAS[[#This Row],[Plano de Contas]],BASE!$B$3:$H$119,7,FALSE)</f>
        <v>RAFAEL</v>
      </c>
    </row>
    <row r="2112" spans="1:13" x14ac:dyDescent="0.25">
      <c r="A2112" s="74">
        <v>198953</v>
      </c>
      <c r="B2112" s="75" t="s">
        <v>232</v>
      </c>
      <c r="C2112" s="75" t="s">
        <v>1665</v>
      </c>
      <c r="D2112" s="76">
        <v>46081</v>
      </c>
      <c r="E2112" s="75" t="s">
        <v>886</v>
      </c>
      <c r="F2112" s="74">
        <v>1680.04</v>
      </c>
      <c r="G2112" s="75" t="s">
        <v>430</v>
      </c>
      <c r="H2112" s="77" t="str">
        <f>VLOOKUP(DESPESAS[[#This Row],[Plano de Contas]],BASE!$B$3:$D$119,3,FALSE)</f>
        <v>Salarios e Ordenados MOD</v>
      </c>
      <c r="I2112" s="77" t="str">
        <f>IFERROR(VLOOKUP(DESPESAS[[#This Row],[Fornecedor]],Tabela2[],2,FALSE),"")</f>
        <v/>
      </c>
      <c r="J2112" s="77" t="str">
        <f>IFERROR(VLOOKUP(DESPESAS[[#This Row],[Plano de Contas]],BASE!$B$3:$F$119,4,FALSE),"")</f>
        <v>2 - CUSTOS DIRETOS</v>
      </c>
      <c r="K2112" s="77" t="str">
        <f>IFERROR(VLOOKUP(DESPESAS[[#This Row],[Plano de Contas]],BASE!$B$3:$H$119,5,FALSE),"")</f>
        <v>DH</v>
      </c>
      <c r="L2112" s="77" t="str">
        <f>IFERROR(VLOOKUP(DESPESAS[[#This Row],[Plano de Contas]],BASE!$B$3:$H$119,6,FALSE),"")</f>
        <v>CUSTO MÃO DE OBRA DIRETA</v>
      </c>
      <c r="M2112" s="77" t="str">
        <f>VLOOKUP(DESPESAS[[#This Row],[Plano de Contas]],BASE!$B$3:$H$119,7,FALSE)</f>
        <v>RAFAEL</v>
      </c>
    </row>
    <row r="2113" spans="1:13" x14ac:dyDescent="0.25">
      <c r="A2113" s="74">
        <v>198954</v>
      </c>
      <c r="B2113" s="75" t="s">
        <v>232</v>
      </c>
      <c r="C2113" s="75" t="s">
        <v>1665</v>
      </c>
      <c r="D2113" s="76">
        <v>46081</v>
      </c>
      <c r="E2113" s="75" t="s">
        <v>885</v>
      </c>
      <c r="F2113" s="74">
        <v>2770.66</v>
      </c>
      <c r="G2113" s="75" t="s">
        <v>430</v>
      </c>
      <c r="H2113" s="77" t="str">
        <f>VLOOKUP(DESPESAS[[#This Row],[Plano de Contas]],BASE!$B$3:$D$119,3,FALSE)</f>
        <v>Salarios e Ordenados MOD</v>
      </c>
      <c r="I2113" s="77" t="str">
        <f>IFERROR(VLOOKUP(DESPESAS[[#This Row],[Fornecedor]],Tabela2[],2,FALSE),"")</f>
        <v/>
      </c>
      <c r="J2113" s="77" t="str">
        <f>IFERROR(VLOOKUP(DESPESAS[[#This Row],[Plano de Contas]],BASE!$B$3:$F$119,4,FALSE),"")</f>
        <v>2 - CUSTOS DIRETOS</v>
      </c>
      <c r="K2113" s="77" t="str">
        <f>IFERROR(VLOOKUP(DESPESAS[[#This Row],[Plano de Contas]],BASE!$B$3:$H$119,5,FALSE),"")</f>
        <v>DH</v>
      </c>
      <c r="L2113" s="77" t="str">
        <f>IFERROR(VLOOKUP(DESPESAS[[#This Row],[Plano de Contas]],BASE!$B$3:$H$119,6,FALSE),"")</f>
        <v>CUSTO MÃO DE OBRA DIRETA</v>
      </c>
      <c r="M2113" s="77" t="str">
        <f>VLOOKUP(DESPESAS[[#This Row],[Plano de Contas]],BASE!$B$3:$H$119,7,FALSE)</f>
        <v>RAFAEL</v>
      </c>
    </row>
    <row r="2114" spans="1:13" x14ac:dyDescent="0.25">
      <c r="A2114" s="74">
        <v>198955</v>
      </c>
      <c r="B2114" s="75" t="s">
        <v>232</v>
      </c>
      <c r="C2114" s="75" t="s">
        <v>1665</v>
      </c>
      <c r="D2114" s="76">
        <v>46081</v>
      </c>
      <c r="E2114" s="75" t="s">
        <v>884</v>
      </c>
      <c r="F2114" s="74">
        <v>416.81</v>
      </c>
      <c r="G2114" s="75" t="s">
        <v>430</v>
      </c>
      <c r="H2114" s="77" t="str">
        <f>VLOOKUP(DESPESAS[[#This Row],[Plano de Contas]],BASE!$B$3:$D$119,3,FALSE)</f>
        <v>Salarios e Ordenados MOD</v>
      </c>
      <c r="I2114" s="77" t="str">
        <f>IFERROR(VLOOKUP(DESPESAS[[#This Row],[Fornecedor]],Tabela2[],2,FALSE),"")</f>
        <v/>
      </c>
      <c r="J2114" s="77" t="str">
        <f>IFERROR(VLOOKUP(DESPESAS[[#This Row],[Plano de Contas]],BASE!$B$3:$F$119,4,FALSE),"")</f>
        <v>2 - CUSTOS DIRETOS</v>
      </c>
      <c r="K2114" s="77" t="str">
        <f>IFERROR(VLOOKUP(DESPESAS[[#This Row],[Plano de Contas]],BASE!$B$3:$H$119,5,FALSE),"")</f>
        <v>DH</v>
      </c>
      <c r="L2114" s="77" t="str">
        <f>IFERROR(VLOOKUP(DESPESAS[[#This Row],[Plano de Contas]],BASE!$B$3:$H$119,6,FALSE),"")</f>
        <v>CUSTO MÃO DE OBRA DIRETA</v>
      </c>
      <c r="M2114" s="77" t="str">
        <f>VLOOKUP(DESPESAS[[#This Row],[Plano de Contas]],BASE!$B$3:$H$119,7,FALSE)</f>
        <v>RAFAEL</v>
      </c>
    </row>
    <row r="2115" spans="1:13" x14ac:dyDescent="0.25">
      <c r="A2115" s="74">
        <v>198956</v>
      </c>
      <c r="B2115" s="75" t="s">
        <v>232</v>
      </c>
      <c r="C2115" s="75" t="s">
        <v>1665</v>
      </c>
      <c r="D2115" s="76">
        <v>46081</v>
      </c>
      <c r="E2115" s="75" t="s">
        <v>883</v>
      </c>
      <c r="F2115" s="74">
        <v>714.95</v>
      </c>
      <c r="G2115" s="75" t="s">
        <v>627</v>
      </c>
      <c r="H2115" s="77" t="str">
        <f>VLOOKUP(DESPESAS[[#This Row],[Plano de Contas]],BASE!$B$3:$D$119,3,FALSE)</f>
        <v>Salarios e Ordenados (Adm)</v>
      </c>
      <c r="I2115" s="77" t="str">
        <f>IFERROR(VLOOKUP(DESPESAS[[#This Row],[Fornecedor]],Tabela2[],2,FALSE),"")</f>
        <v/>
      </c>
      <c r="J2115" s="77" t="str">
        <f>IFERROR(VLOOKUP(DESPESAS[[#This Row],[Plano de Contas]],BASE!$B$3:$F$119,4,FALSE),"")</f>
        <v>4 - GASTOS COM PESSOAL</v>
      </c>
      <c r="K2115" s="77" t="str">
        <f>IFERROR(VLOOKUP(DESPESAS[[#This Row],[Plano de Contas]],BASE!$B$3:$H$119,5,FALSE),"")</f>
        <v>DH</v>
      </c>
      <c r="L2115" s="77">
        <f>IFERROR(VLOOKUP(DESPESAS[[#This Row],[Plano de Contas]],BASE!$B$3:$H$119,6,FALSE),"")</f>
        <v>0</v>
      </c>
      <c r="M2115" s="77" t="str">
        <f>VLOOKUP(DESPESAS[[#This Row],[Plano de Contas]],BASE!$B$3:$H$119,7,FALSE)</f>
        <v>RAFAEL</v>
      </c>
    </row>
    <row r="2116" spans="1:13" x14ac:dyDescent="0.25">
      <c r="A2116" s="74">
        <v>198957</v>
      </c>
      <c r="B2116" s="75" t="s">
        <v>232</v>
      </c>
      <c r="C2116" s="75" t="s">
        <v>1665</v>
      </c>
      <c r="D2116" s="76">
        <v>46081</v>
      </c>
      <c r="E2116" s="75" t="s">
        <v>882</v>
      </c>
      <c r="F2116" s="74">
        <v>404.3</v>
      </c>
      <c r="G2116" s="75" t="s">
        <v>430</v>
      </c>
      <c r="H2116" s="77" t="str">
        <f>VLOOKUP(DESPESAS[[#This Row],[Plano de Contas]],BASE!$B$3:$D$119,3,FALSE)</f>
        <v>Salarios e Ordenados MOD</v>
      </c>
      <c r="I2116" s="77" t="str">
        <f>IFERROR(VLOOKUP(DESPESAS[[#This Row],[Fornecedor]],Tabela2[],2,FALSE),"")</f>
        <v/>
      </c>
      <c r="J2116" s="77" t="str">
        <f>IFERROR(VLOOKUP(DESPESAS[[#This Row],[Plano de Contas]],BASE!$B$3:$F$119,4,FALSE),"")</f>
        <v>2 - CUSTOS DIRETOS</v>
      </c>
      <c r="K2116" s="77" t="str">
        <f>IFERROR(VLOOKUP(DESPESAS[[#This Row],[Plano de Contas]],BASE!$B$3:$H$119,5,FALSE),"")</f>
        <v>DH</v>
      </c>
      <c r="L2116" s="77" t="str">
        <f>IFERROR(VLOOKUP(DESPESAS[[#This Row],[Plano de Contas]],BASE!$B$3:$H$119,6,FALSE),"")</f>
        <v>CUSTO MÃO DE OBRA DIRETA</v>
      </c>
      <c r="M2116" s="77" t="str">
        <f>VLOOKUP(DESPESAS[[#This Row],[Plano de Contas]],BASE!$B$3:$H$119,7,FALSE)</f>
        <v>RAFAEL</v>
      </c>
    </row>
    <row r="2117" spans="1:13" x14ac:dyDescent="0.25">
      <c r="A2117" s="74">
        <v>198958</v>
      </c>
      <c r="B2117" s="75" t="s">
        <v>232</v>
      </c>
      <c r="C2117" s="75" t="s">
        <v>1665</v>
      </c>
      <c r="D2117" s="76">
        <v>46081</v>
      </c>
      <c r="E2117" s="75" t="s">
        <v>881</v>
      </c>
      <c r="F2117" s="74">
        <v>2001.47</v>
      </c>
      <c r="G2117" s="75" t="s">
        <v>430</v>
      </c>
      <c r="H2117" s="77" t="str">
        <f>VLOOKUP(DESPESAS[[#This Row],[Plano de Contas]],BASE!$B$3:$D$119,3,FALSE)</f>
        <v>Salarios e Ordenados MOD</v>
      </c>
      <c r="I2117" s="77" t="str">
        <f>IFERROR(VLOOKUP(DESPESAS[[#This Row],[Fornecedor]],Tabela2[],2,FALSE),"")</f>
        <v/>
      </c>
      <c r="J2117" s="77" t="str">
        <f>IFERROR(VLOOKUP(DESPESAS[[#This Row],[Plano de Contas]],BASE!$B$3:$F$119,4,FALSE),"")</f>
        <v>2 - CUSTOS DIRETOS</v>
      </c>
      <c r="K2117" s="77" t="str">
        <f>IFERROR(VLOOKUP(DESPESAS[[#This Row],[Plano de Contas]],BASE!$B$3:$H$119,5,FALSE),"")</f>
        <v>DH</v>
      </c>
      <c r="L2117" s="77" t="str">
        <f>IFERROR(VLOOKUP(DESPESAS[[#This Row],[Plano de Contas]],BASE!$B$3:$H$119,6,FALSE),"")</f>
        <v>CUSTO MÃO DE OBRA DIRETA</v>
      </c>
      <c r="M2117" s="77" t="str">
        <f>VLOOKUP(DESPESAS[[#This Row],[Plano de Contas]],BASE!$B$3:$H$119,7,FALSE)</f>
        <v>RAFAEL</v>
      </c>
    </row>
    <row r="2118" spans="1:13" x14ac:dyDescent="0.25">
      <c r="A2118" s="74">
        <v>198959</v>
      </c>
      <c r="B2118" s="75" t="s">
        <v>232</v>
      </c>
      <c r="C2118" s="75" t="s">
        <v>1665</v>
      </c>
      <c r="D2118" s="76">
        <v>46081</v>
      </c>
      <c r="E2118" s="75" t="s">
        <v>880</v>
      </c>
      <c r="F2118" s="74">
        <v>3416.51</v>
      </c>
      <c r="G2118" s="75" t="s">
        <v>430</v>
      </c>
      <c r="H2118" s="77" t="str">
        <f>VLOOKUP(DESPESAS[[#This Row],[Plano de Contas]],BASE!$B$3:$D$119,3,FALSE)</f>
        <v>Salarios e Ordenados MOD</v>
      </c>
      <c r="I2118" s="77" t="str">
        <f>IFERROR(VLOOKUP(DESPESAS[[#This Row],[Fornecedor]],Tabela2[],2,FALSE),"")</f>
        <v/>
      </c>
      <c r="J2118" s="77" t="str">
        <f>IFERROR(VLOOKUP(DESPESAS[[#This Row],[Plano de Contas]],BASE!$B$3:$F$119,4,FALSE),"")</f>
        <v>2 - CUSTOS DIRETOS</v>
      </c>
      <c r="K2118" s="77" t="str">
        <f>IFERROR(VLOOKUP(DESPESAS[[#This Row],[Plano de Contas]],BASE!$B$3:$H$119,5,FALSE),"")</f>
        <v>DH</v>
      </c>
      <c r="L2118" s="77" t="str">
        <f>IFERROR(VLOOKUP(DESPESAS[[#This Row],[Plano de Contas]],BASE!$B$3:$H$119,6,FALSE),"")</f>
        <v>CUSTO MÃO DE OBRA DIRETA</v>
      </c>
      <c r="M2118" s="77" t="str">
        <f>VLOOKUP(DESPESAS[[#This Row],[Plano de Contas]],BASE!$B$3:$H$119,7,FALSE)</f>
        <v>RAFAEL</v>
      </c>
    </row>
    <row r="2119" spans="1:13" x14ac:dyDescent="0.25">
      <c r="A2119" s="74">
        <v>198960</v>
      </c>
      <c r="B2119" s="75" t="s">
        <v>232</v>
      </c>
      <c r="C2119" s="75" t="s">
        <v>1665</v>
      </c>
      <c r="D2119" s="76">
        <v>46081</v>
      </c>
      <c r="E2119" s="75" t="s">
        <v>879</v>
      </c>
      <c r="F2119" s="74">
        <v>4011.49</v>
      </c>
      <c r="G2119" s="75" t="s">
        <v>653</v>
      </c>
      <c r="H2119" s="77" t="str">
        <f>VLOOKUP(DESPESAS[[#This Row],[Plano de Contas]],BASE!$B$3:$D$119,3,FALSE)</f>
        <v>Salarios e Ordenados CIF</v>
      </c>
      <c r="I2119" s="77" t="str">
        <f>IFERROR(VLOOKUP(DESPESAS[[#This Row],[Fornecedor]],Tabela2[],2,FALSE),"")</f>
        <v/>
      </c>
      <c r="J2119" s="77" t="str">
        <f>IFERROR(VLOOKUP(DESPESAS[[#This Row],[Plano de Contas]],BASE!$B$3:$F$119,4,FALSE),"")</f>
        <v>3 - CUSTOS INDIRETOS</v>
      </c>
      <c r="K2119" s="77" t="str">
        <f>IFERROR(VLOOKUP(DESPESAS[[#This Row],[Plano de Contas]],BASE!$B$3:$H$119,5,FALSE),"")</f>
        <v>DH</v>
      </c>
      <c r="L2119" s="77" t="str">
        <f>IFERROR(VLOOKUP(DESPESAS[[#This Row],[Plano de Contas]],BASE!$B$3:$H$119,6,FALSE),"")</f>
        <v>CUSTO MÃO DE OBRA DIRETA</v>
      </c>
      <c r="M2119" s="77" t="str">
        <f>VLOOKUP(DESPESAS[[#This Row],[Plano de Contas]],BASE!$B$3:$H$119,7,FALSE)</f>
        <v>RAFAEL</v>
      </c>
    </row>
    <row r="2120" spans="1:13" x14ac:dyDescent="0.25">
      <c r="A2120" s="74">
        <v>198961</v>
      </c>
      <c r="B2120" s="75" t="s">
        <v>232</v>
      </c>
      <c r="C2120" s="75" t="s">
        <v>1665</v>
      </c>
      <c r="D2120" s="76">
        <v>46081</v>
      </c>
      <c r="E2120" s="75" t="s">
        <v>878</v>
      </c>
      <c r="F2120" s="74">
        <v>4034.58</v>
      </c>
      <c r="G2120" s="75" t="s">
        <v>627</v>
      </c>
      <c r="H2120" s="77" t="str">
        <f>VLOOKUP(DESPESAS[[#This Row],[Plano de Contas]],BASE!$B$3:$D$119,3,FALSE)</f>
        <v>Salarios e Ordenados (Adm)</v>
      </c>
      <c r="I2120" s="77" t="str">
        <f>IFERROR(VLOOKUP(DESPESAS[[#This Row],[Fornecedor]],Tabela2[],2,FALSE),"")</f>
        <v/>
      </c>
      <c r="J2120" s="77" t="str">
        <f>IFERROR(VLOOKUP(DESPESAS[[#This Row],[Plano de Contas]],BASE!$B$3:$F$119,4,FALSE),"")</f>
        <v>4 - GASTOS COM PESSOAL</v>
      </c>
      <c r="K2120" s="77" t="str">
        <f>IFERROR(VLOOKUP(DESPESAS[[#This Row],[Plano de Contas]],BASE!$B$3:$H$119,5,FALSE),"")</f>
        <v>DH</v>
      </c>
      <c r="L2120" s="77">
        <f>IFERROR(VLOOKUP(DESPESAS[[#This Row],[Plano de Contas]],BASE!$B$3:$H$119,6,FALSE),"")</f>
        <v>0</v>
      </c>
      <c r="M2120" s="77" t="str">
        <f>VLOOKUP(DESPESAS[[#This Row],[Plano de Contas]],BASE!$B$3:$H$119,7,FALSE)</f>
        <v>RAFAEL</v>
      </c>
    </row>
    <row r="2121" spans="1:13" x14ac:dyDescent="0.25">
      <c r="A2121" s="74">
        <v>198962</v>
      </c>
      <c r="B2121" s="75" t="s">
        <v>232</v>
      </c>
      <c r="C2121" s="75" t="s">
        <v>1665</v>
      </c>
      <c r="D2121" s="76">
        <v>46081</v>
      </c>
      <c r="E2121" s="75" t="s">
        <v>877</v>
      </c>
      <c r="F2121" s="74">
        <v>1573.94</v>
      </c>
      <c r="G2121" s="75" t="s">
        <v>430</v>
      </c>
      <c r="H2121" s="77" t="str">
        <f>VLOOKUP(DESPESAS[[#This Row],[Plano de Contas]],BASE!$B$3:$D$119,3,FALSE)</f>
        <v>Salarios e Ordenados MOD</v>
      </c>
      <c r="I2121" s="77" t="str">
        <f>IFERROR(VLOOKUP(DESPESAS[[#This Row],[Fornecedor]],Tabela2[],2,FALSE),"")</f>
        <v/>
      </c>
      <c r="J2121" s="77" t="str">
        <f>IFERROR(VLOOKUP(DESPESAS[[#This Row],[Plano de Contas]],BASE!$B$3:$F$119,4,FALSE),"")</f>
        <v>2 - CUSTOS DIRETOS</v>
      </c>
      <c r="K2121" s="77" t="str">
        <f>IFERROR(VLOOKUP(DESPESAS[[#This Row],[Plano de Contas]],BASE!$B$3:$H$119,5,FALSE),"")</f>
        <v>DH</v>
      </c>
      <c r="L2121" s="77" t="str">
        <f>IFERROR(VLOOKUP(DESPESAS[[#This Row],[Plano de Contas]],BASE!$B$3:$H$119,6,FALSE),"")</f>
        <v>CUSTO MÃO DE OBRA DIRETA</v>
      </c>
      <c r="M2121" s="77" t="str">
        <f>VLOOKUP(DESPESAS[[#This Row],[Plano de Contas]],BASE!$B$3:$H$119,7,FALSE)</f>
        <v>RAFAEL</v>
      </c>
    </row>
    <row r="2122" spans="1:13" x14ac:dyDescent="0.25">
      <c r="A2122" s="74">
        <v>198963</v>
      </c>
      <c r="B2122" s="75" t="s">
        <v>232</v>
      </c>
      <c r="C2122" s="75" t="s">
        <v>1665</v>
      </c>
      <c r="D2122" s="76">
        <v>46081</v>
      </c>
      <c r="E2122" s="75" t="s">
        <v>876</v>
      </c>
      <c r="F2122" s="74">
        <v>2051.56</v>
      </c>
      <c r="G2122" s="75" t="s">
        <v>430</v>
      </c>
      <c r="H2122" s="77" t="str">
        <f>VLOOKUP(DESPESAS[[#This Row],[Plano de Contas]],BASE!$B$3:$D$119,3,FALSE)</f>
        <v>Salarios e Ordenados MOD</v>
      </c>
      <c r="I2122" s="77" t="str">
        <f>IFERROR(VLOOKUP(DESPESAS[[#This Row],[Fornecedor]],Tabela2[],2,FALSE),"")</f>
        <v/>
      </c>
      <c r="J2122" s="77" t="str">
        <f>IFERROR(VLOOKUP(DESPESAS[[#This Row],[Plano de Contas]],BASE!$B$3:$F$119,4,FALSE),"")</f>
        <v>2 - CUSTOS DIRETOS</v>
      </c>
      <c r="K2122" s="77" t="str">
        <f>IFERROR(VLOOKUP(DESPESAS[[#This Row],[Plano de Contas]],BASE!$B$3:$H$119,5,FALSE),"")</f>
        <v>DH</v>
      </c>
      <c r="L2122" s="77" t="str">
        <f>IFERROR(VLOOKUP(DESPESAS[[#This Row],[Plano de Contas]],BASE!$B$3:$H$119,6,FALSE),"")</f>
        <v>CUSTO MÃO DE OBRA DIRETA</v>
      </c>
      <c r="M2122" s="77" t="str">
        <f>VLOOKUP(DESPESAS[[#This Row],[Plano de Contas]],BASE!$B$3:$H$119,7,FALSE)</f>
        <v>RAFAEL</v>
      </c>
    </row>
    <row r="2123" spans="1:13" x14ac:dyDescent="0.25">
      <c r="A2123" s="74">
        <v>198964</v>
      </c>
      <c r="B2123" s="75" t="s">
        <v>232</v>
      </c>
      <c r="C2123" s="75" t="s">
        <v>1665</v>
      </c>
      <c r="D2123" s="76">
        <v>46081</v>
      </c>
      <c r="E2123" s="75" t="s">
        <v>875</v>
      </c>
      <c r="F2123" s="74">
        <v>2139.35</v>
      </c>
      <c r="G2123" s="75" t="s">
        <v>430</v>
      </c>
      <c r="H2123" s="77" t="str">
        <f>VLOOKUP(DESPESAS[[#This Row],[Plano de Contas]],BASE!$B$3:$D$119,3,FALSE)</f>
        <v>Salarios e Ordenados MOD</v>
      </c>
      <c r="I2123" s="77" t="str">
        <f>IFERROR(VLOOKUP(DESPESAS[[#This Row],[Fornecedor]],Tabela2[],2,FALSE),"")</f>
        <v/>
      </c>
      <c r="J2123" s="77" t="str">
        <f>IFERROR(VLOOKUP(DESPESAS[[#This Row],[Plano de Contas]],BASE!$B$3:$F$119,4,FALSE),"")</f>
        <v>2 - CUSTOS DIRETOS</v>
      </c>
      <c r="K2123" s="77" t="str">
        <f>IFERROR(VLOOKUP(DESPESAS[[#This Row],[Plano de Contas]],BASE!$B$3:$H$119,5,FALSE),"")</f>
        <v>DH</v>
      </c>
      <c r="L2123" s="77" t="str">
        <f>IFERROR(VLOOKUP(DESPESAS[[#This Row],[Plano de Contas]],BASE!$B$3:$H$119,6,FALSE),"")</f>
        <v>CUSTO MÃO DE OBRA DIRETA</v>
      </c>
      <c r="M2123" s="77" t="str">
        <f>VLOOKUP(DESPESAS[[#This Row],[Plano de Contas]],BASE!$B$3:$H$119,7,FALSE)</f>
        <v>RAFAEL</v>
      </c>
    </row>
    <row r="2124" spans="1:13" x14ac:dyDescent="0.25">
      <c r="A2124" s="74">
        <v>198965</v>
      </c>
      <c r="B2124" s="75" t="s">
        <v>232</v>
      </c>
      <c r="C2124" s="75" t="s">
        <v>1665</v>
      </c>
      <c r="D2124" s="76">
        <v>46081</v>
      </c>
      <c r="E2124" s="75" t="s">
        <v>874</v>
      </c>
      <c r="F2124" s="74">
        <v>864.2</v>
      </c>
      <c r="G2124" s="75" t="s">
        <v>627</v>
      </c>
      <c r="H2124" s="77" t="str">
        <f>VLOOKUP(DESPESAS[[#This Row],[Plano de Contas]],BASE!$B$3:$D$119,3,FALSE)</f>
        <v>Salarios e Ordenados (Adm)</v>
      </c>
      <c r="I2124" s="77" t="str">
        <f>IFERROR(VLOOKUP(DESPESAS[[#This Row],[Fornecedor]],Tabela2[],2,FALSE),"")</f>
        <v/>
      </c>
      <c r="J2124" s="77" t="str">
        <f>IFERROR(VLOOKUP(DESPESAS[[#This Row],[Plano de Contas]],BASE!$B$3:$F$119,4,FALSE),"")</f>
        <v>4 - GASTOS COM PESSOAL</v>
      </c>
      <c r="K2124" s="77" t="str">
        <f>IFERROR(VLOOKUP(DESPESAS[[#This Row],[Plano de Contas]],BASE!$B$3:$H$119,5,FALSE),"")</f>
        <v>DH</v>
      </c>
      <c r="L2124" s="77">
        <f>IFERROR(VLOOKUP(DESPESAS[[#This Row],[Plano de Contas]],BASE!$B$3:$H$119,6,FALSE),"")</f>
        <v>0</v>
      </c>
      <c r="M2124" s="77" t="str">
        <f>VLOOKUP(DESPESAS[[#This Row],[Plano de Contas]],BASE!$B$3:$H$119,7,FALSE)</f>
        <v>RAFAEL</v>
      </c>
    </row>
    <row r="2125" spans="1:13" x14ac:dyDescent="0.25">
      <c r="A2125" s="74">
        <v>198966</v>
      </c>
      <c r="B2125" s="75" t="s">
        <v>232</v>
      </c>
      <c r="C2125" s="75" t="s">
        <v>1665</v>
      </c>
      <c r="D2125" s="76">
        <v>46081</v>
      </c>
      <c r="E2125" s="75" t="s">
        <v>873</v>
      </c>
      <c r="F2125" s="74">
        <v>2457.19</v>
      </c>
      <c r="G2125" s="75" t="s">
        <v>627</v>
      </c>
      <c r="H2125" s="77" t="str">
        <f>VLOOKUP(DESPESAS[[#This Row],[Plano de Contas]],BASE!$B$3:$D$119,3,FALSE)</f>
        <v>Salarios e Ordenados (Adm)</v>
      </c>
      <c r="I2125" s="77" t="str">
        <f>IFERROR(VLOOKUP(DESPESAS[[#This Row],[Fornecedor]],Tabela2[],2,FALSE),"")</f>
        <v/>
      </c>
      <c r="J2125" s="77" t="str">
        <f>IFERROR(VLOOKUP(DESPESAS[[#This Row],[Plano de Contas]],BASE!$B$3:$F$119,4,FALSE),"")</f>
        <v>4 - GASTOS COM PESSOAL</v>
      </c>
      <c r="K2125" s="77" t="str">
        <f>IFERROR(VLOOKUP(DESPESAS[[#This Row],[Plano de Contas]],BASE!$B$3:$H$119,5,FALSE),"")</f>
        <v>DH</v>
      </c>
      <c r="L2125" s="77">
        <f>IFERROR(VLOOKUP(DESPESAS[[#This Row],[Plano de Contas]],BASE!$B$3:$H$119,6,FALSE),"")</f>
        <v>0</v>
      </c>
      <c r="M2125" s="77" t="str">
        <f>VLOOKUP(DESPESAS[[#This Row],[Plano de Contas]],BASE!$B$3:$H$119,7,FALSE)</f>
        <v>RAFAEL</v>
      </c>
    </row>
    <row r="2126" spans="1:13" x14ac:dyDescent="0.25">
      <c r="A2126" s="74">
        <v>198967</v>
      </c>
      <c r="B2126" s="75" t="s">
        <v>232</v>
      </c>
      <c r="C2126" s="75" t="s">
        <v>1665</v>
      </c>
      <c r="D2126" s="76">
        <v>46081</v>
      </c>
      <c r="E2126" s="75" t="s">
        <v>872</v>
      </c>
      <c r="F2126" s="74">
        <v>2328.19</v>
      </c>
      <c r="G2126" s="75" t="s">
        <v>430</v>
      </c>
      <c r="H2126" s="77" t="str">
        <f>VLOOKUP(DESPESAS[[#This Row],[Plano de Contas]],BASE!$B$3:$D$119,3,FALSE)</f>
        <v>Salarios e Ordenados MOD</v>
      </c>
      <c r="I2126" s="77" t="str">
        <f>IFERROR(VLOOKUP(DESPESAS[[#This Row],[Fornecedor]],Tabela2[],2,FALSE),"")</f>
        <v/>
      </c>
      <c r="J2126" s="77" t="str">
        <f>IFERROR(VLOOKUP(DESPESAS[[#This Row],[Plano de Contas]],BASE!$B$3:$F$119,4,FALSE),"")</f>
        <v>2 - CUSTOS DIRETOS</v>
      </c>
      <c r="K2126" s="77" t="str">
        <f>IFERROR(VLOOKUP(DESPESAS[[#This Row],[Plano de Contas]],BASE!$B$3:$H$119,5,FALSE),"")</f>
        <v>DH</v>
      </c>
      <c r="L2126" s="77" t="str">
        <f>IFERROR(VLOOKUP(DESPESAS[[#This Row],[Plano de Contas]],BASE!$B$3:$H$119,6,FALSE),"")</f>
        <v>CUSTO MÃO DE OBRA DIRETA</v>
      </c>
      <c r="M2126" s="77" t="str">
        <f>VLOOKUP(DESPESAS[[#This Row],[Plano de Contas]],BASE!$B$3:$H$119,7,FALSE)</f>
        <v>RAFAEL</v>
      </c>
    </row>
    <row r="2127" spans="1:13" x14ac:dyDescent="0.25">
      <c r="A2127" s="74">
        <v>198968</v>
      </c>
      <c r="B2127" s="75" t="s">
        <v>232</v>
      </c>
      <c r="C2127" s="75" t="s">
        <v>1665</v>
      </c>
      <c r="D2127" s="76">
        <v>46081</v>
      </c>
      <c r="E2127" s="75" t="s">
        <v>871</v>
      </c>
      <c r="F2127" s="74">
        <v>2233.0500000000002</v>
      </c>
      <c r="G2127" s="75" t="s">
        <v>430</v>
      </c>
      <c r="H2127" s="77" t="str">
        <f>VLOOKUP(DESPESAS[[#This Row],[Plano de Contas]],BASE!$B$3:$D$119,3,FALSE)</f>
        <v>Salarios e Ordenados MOD</v>
      </c>
      <c r="I2127" s="77" t="str">
        <f>IFERROR(VLOOKUP(DESPESAS[[#This Row],[Fornecedor]],Tabela2[],2,FALSE),"")</f>
        <v/>
      </c>
      <c r="J2127" s="77" t="str">
        <f>IFERROR(VLOOKUP(DESPESAS[[#This Row],[Plano de Contas]],BASE!$B$3:$F$119,4,FALSE),"")</f>
        <v>2 - CUSTOS DIRETOS</v>
      </c>
      <c r="K2127" s="77" t="str">
        <f>IFERROR(VLOOKUP(DESPESAS[[#This Row],[Plano de Contas]],BASE!$B$3:$H$119,5,FALSE),"")</f>
        <v>DH</v>
      </c>
      <c r="L2127" s="77" t="str">
        <f>IFERROR(VLOOKUP(DESPESAS[[#This Row],[Plano de Contas]],BASE!$B$3:$H$119,6,FALSE),"")</f>
        <v>CUSTO MÃO DE OBRA DIRETA</v>
      </c>
      <c r="M2127" s="77" t="str">
        <f>VLOOKUP(DESPESAS[[#This Row],[Plano de Contas]],BASE!$B$3:$H$119,7,FALSE)</f>
        <v>RAFAEL</v>
      </c>
    </row>
    <row r="2128" spans="1:13" x14ac:dyDescent="0.25">
      <c r="A2128" s="74">
        <v>198969</v>
      </c>
      <c r="B2128" s="75" t="s">
        <v>232</v>
      </c>
      <c r="C2128" s="75" t="s">
        <v>1665</v>
      </c>
      <c r="D2128" s="76">
        <v>46081</v>
      </c>
      <c r="E2128" s="75" t="s">
        <v>870</v>
      </c>
      <c r="F2128" s="74">
        <v>3006.73</v>
      </c>
      <c r="G2128" s="75" t="s">
        <v>627</v>
      </c>
      <c r="H2128" s="77" t="str">
        <f>VLOOKUP(DESPESAS[[#This Row],[Plano de Contas]],BASE!$B$3:$D$119,3,FALSE)</f>
        <v>Salarios e Ordenados (Adm)</v>
      </c>
      <c r="I2128" s="77" t="str">
        <f>IFERROR(VLOOKUP(DESPESAS[[#This Row],[Fornecedor]],Tabela2[],2,FALSE),"")</f>
        <v/>
      </c>
      <c r="J2128" s="77" t="str">
        <f>IFERROR(VLOOKUP(DESPESAS[[#This Row],[Plano de Contas]],BASE!$B$3:$F$119,4,FALSE),"")</f>
        <v>4 - GASTOS COM PESSOAL</v>
      </c>
      <c r="K2128" s="77" t="str">
        <f>IFERROR(VLOOKUP(DESPESAS[[#This Row],[Plano de Contas]],BASE!$B$3:$H$119,5,FALSE),"")</f>
        <v>DH</v>
      </c>
      <c r="L2128" s="77">
        <f>IFERROR(VLOOKUP(DESPESAS[[#This Row],[Plano de Contas]],BASE!$B$3:$H$119,6,FALSE),"")</f>
        <v>0</v>
      </c>
      <c r="M2128" s="77" t="str">
        <f>VLOOKUP(DESPESAS[[#This Row],[Plano de Contas]],BASE!$B$3:$H$119,7,FALSE)</f>
        <v>RAFAEL</v>
      </c>
    </row>
    <row r="2129" spans="1:13" x14ac:dyDescent="0.25">
      <c r="A2129" s="74">
        <v>198970</v>
      </c>
      <c r="B2129" s="75" t="s">
        <v>232</v>
      </c>
      <c r="C2129" s="75" t="s">
        <v>1665</v>
      </c>
      <c r="D2129" s="76">
        <v>46081</v>
      </c>
      <c r="E2129" s="75" t="s">
        <v>869</v>
      </c>
      <c r="F2129" s="74">
        <v>2452.29</v>
      </c>
      <c r="G2129" s="75" t="s">
        <v>430</v>
      </c>
      <c r="H2129" s="77" t="str">
        <f>VLOOKUP(DESPESAS[[#This Row],[Plano de Contas]],BASE!$B$3:$D$119,3,FALSE)</f>
        <v>Salarios e Ordenados MOD</v>
      </c>
      <c r="I2129" s="77" t="str">
        <f>IFERROR(VLOOKUP(DESPESAS[[#This Row],[Fornecedor]],Tabela2[],2,FALSE),"")</f>
        <v/>
      </c>
      <c r="J2129" s="77" t="str">
        <f>IFERROR(VLOOKUP(DESPESAS[[#This Row],[Plano de Contas]],BASE!$B$3:$F$119,4,FALSE),"")</f>
        <v>2 - CUSTOS DIRETOS</v>
      </c>
      <c r="K2129" s="77" t="str">
        <f>IFERROR(VLOOKUP(DESPESAS[[#This Row],[Plano de Contas]],BASE!$B$3:$H$119,5,FALSE),"")</f>
        <v>DH</v>
      </c>
      <c r="L2129" s="77" t="str">
        <f>IFERROR(VLOOKUP(DESPESAS[[#This Row],[Plano de Contas]],BASE!$B$3:$H$119,6,FALSE),"")</f>
        <v>CUSTO MÃO DE OBRA DIRETA</v>
      </c>
      <c r="M2129" s="77" t="str">
        <f>VLOOKUP(DESPESAS[[#This Row],[Plano de Contas]],BASE!$B$3:$H$119,7,FALSE)</f>
        <v>RAFAEL</v>
      </c>
    </row>
    <row r="2130" spans="1:13" x14ac:dyDescent="0.25">
      <c r="A2130" s="74">
        <v>198971</v>
      </c>
      <c r="B2130" s="75" t="s">
        <v>232</v>
      </c>
      <c r="C2130" s="75" t="s">
        <v>1665</v>
      </c>
      <c r="D2130" s="76">
        <v>46081</v>
      </c>
      <c r="E2130" s="75" t="s">
        <v>868</v>
      </c>
      <c r="F2130" s="74">
        <v>2124.41</v>
      </c>
      <c r="G2130" s="75" t="s">
        <v>430</v>
      </c>
      <c r="H2130" s="77" t="str">
        <f>VLOOKUP(DESPESAS[[#This Row],[Plano de Contas]],BASE!$B$3:$D$119,3,FALSE)</f>
        <v>Salarios e Ordenados MOD</v>
      </c>
      <c r="I2130" s="77" t="str">
        <f>IFERROR(VLOOKUP(DESPESAS[[#This Row],[Fornecedor]],Tabela2[],2,FALSE),"")</f>
        <v/>
      </c>
      <c r="J2130" s="77" t="str">
        <f>IFERROR(VLOOKUP(DESPESAS[[#This Row],[Plano de Contas]],BASE!$B$3:$F$119,4,FALSE),"")</f>
        <v>2 - CUSTOS DIRETOS</v>
      </c>
      <c r="K2130" s="77" t="str">
        <f>IFERROR(VLOOKUP(DESPESAS[[#This Row],[Plano de Contas]],BASE!$B$3:$H$119,5,FALSE),"")</f>
        <v>DH</v>
      </c>
      <c r="L2130" s="77" t="str">
        <f>IFERROR(VLOOKUP(DESPESAS[[#This Row],[Plano de Contas]],BASE!$B$3:$H$119,6,FALSE),"")</f>
        <v>CUSTO MÃO DE OBRA DIRETA</v>
      </c>
      <c r="M2130" s="77" t="str">
        <f>VLOOKUP(DESPESAS[[#This Row],[Plano de Contas]],BASE!$B$3:$H$119,7,FALSE)</f>
        <v>RAFAEL</v>
      </c>
    </row>
    <row r="2131" spans="1:13" x14ac:dyDescent="0.25">
      <c r="A2131" s="74">
        <v>198972</v>
      </c>
      <c r="B2131" s="75" t="s">
        <v>232</v>
      </c>
      <c r="C2131" s="75" t="s">
        <v>1665</v>
      </c>
      <c r="D2131" s="76">
        <v>46081</v>
      </c>
      <c r="E2131" s="75" t="s">
        <v>867</v>
      </c>
      <c r="F2131" s="74">
        <v>404.04</v>
      </c>
      <c r="G2131" s="75" t="s">
        <v>430</v>
      </c>
      <c r="H2131" s="77" t="str">
        <f>VLOOKUP(DESPESAS[[#This Row],[Plano de Contas]],BASE!$B$3:$D$119,3,FALSE)</f>
        <v>Salarios e Ordenados MOD</v>
      </c>
      <c r="I2131" s="77" t="str">
        <f>IFERROR(VLOOKUP(DESPESAS[[#This Row],[Fornecedor]],Tabela2[],2,FALSE),"")</f>
        <v/>
      </c>
      <c r="J2131" s="77" t="str">
        <f>IFERROR(VLOOKUP(DESPESAS[[#This Row],[Plano de Contas]],BASE!$B$3:$F$119,4,FALSE),"")</f>
        <v>2 - CUSTOS DIRETOS</v>
      </c>
      <c r="K2131" s="77" t="str">
        <f>IFERROR(VLOOKUP(DESPESAS[[#This Row],[Plano de Contas]],BASE!$B$3:$H$119,5,FALSE),"")</f>
        <v>DH</v>
      </c>
      <c r="L2131" s="77" t="str">
        <f>IFERROR(VLOOKUP(DESPESAS[[#This Row],[Plano de Contas]],BASE!$B$3:$H$119,6,FALSE),"")</f>
        <v>CUSTO MÃO DE OBRA DIRETA</v>
      </c>
      <c r="M2131" s="77" t="str">
        <f>VLOOKUP(DESPESAS[[#This Row],[Plano de Contas]],BASE!$B$3:$H$119,7,FALSE)</f>
        <v>RAFAEL</v>
      </c>
    </row>
    <row r="2132" spans="1:13" x14ac:dyDescent="0.25">
      <c r="A2132" s="74">
        <v>198973</v>
      </c>
      <c r="B2132" s="75" t="s">
        <v>232</v>
      </c>
      <c r="C2132" s="75" t="s">
        <v>1665</v>
      </c>
      <c r="D2132" s="76">
        <v>46081</v>
      </c>
      <c r="E2132" s="75" t="s">
        <v>866</v>
      </c>
      <c r="F2132" s="74">
        <v>2696.14</v>
      </c>
      <c r="G2132" s="75" t="s">
        <v>627</v>
      </c>
      <c r="H2132" s="77" t="str">
        <f>VLOOKUP(DESPESAS[[#This Row],[Plano de Contas]],BASE!$B$3:$D$119,3,FALSE)</f>
        <v>Salarios e Ordenados (Adm)</v>
      </c>
      <c r="I2132" s="77" t="str">
        <f>IFERROR(VLOOKUP(DESPESAS[[#This Row],[Fornecedor]],Tabela2[],2,FALSE),"")</f>
        <v/>
      </c>
      <c r="J2132" s="77" t="str">
        <f>IFERROR(VLOOKUP(DESPESAS[[#This Row],[Plano de Contas]],BASE!$B$3:$F$119,4,FALSE),"")</f>
        <v>4 - GASTOS COM PESSOAL</v>
      </c>
      <c r="K2132" s="77" t="str">
        <f>IFERROR(VLOOKUP(DESPESAS[[#This Row],[Plano de Contas]],BASE!$B$3:$H$119,5,FALSE),"")</f>
        <v>DH</v>
      </c>
      <c r="L2132" s="77">
        <f>IFERROR(VLOOKUP(DESPESAS[[#This Row],[Plano de Contas]],BASE!$B$3:$H$119,6,FALSE),"")</f>
        <v>0</v>
      </c>
      <c r="M2132" s="77" t="str">
        <f>VLOOKUP(DESPESAS[[#This Row],[Plano de Contas]],BASE!$B$3:$H$119,7,FALSE)</f>
        <v>RAFAEL</v>
      </c>
    </row>
    <row r="2133" spans="1:13" x14ac:dyDescent="0.25">
      <c r="A2133" s="74">
        <v>198974</v>
      </c>
      <c r="B2133" s="75" t="s">
        <v>281</v>
      </c>
      <c r="C2133" s="75" t="s">
        <v>278</v>
      </c>
      <c r="D2133" s="76">
        <v>46085</v>
      </c>
      <c r="E2133" s="75" t="s">
        <v>845</v>
      </c>
      <c r="F2133" s="74">
        <v>1207.8</v>
      </c>
      <c r="G2133" s="75" t="s">
        <v>276</v>
      </c>
      <c r="H2133" s="77" t="str">
        <f>VLOOKUP(DESPESAS[[#This Row],[Plano de Contas]],BASE!$B$3:$D$119,3,FALSE)</f>
        <v>Férias MOD</v>
      </c>
      <c r="I2133" s="77" t="str">
        <f>IFERROR(VLOOKUP(DESPESAS[[#This Row],[Fornecedor]],Tabela2[],2,FALSE),"")</f>
        <v/>
      </c>
      <c r="J2133" s="77" t="str">
        <f>IFERROR(VLOOKUP(DESPESAS[[#This Row],[Plano de Contas]],BASE!$B$3:$F$119,4,FALSE),"")</f>
        <v>2 - CUSTOS DIRETOS</v>
      </c>
      <c r="K2133" s="77" t="str">
        <f>IFERROR(VLOOKUP(DESPESAS[[#This Row],[Plano de Contas]],BASE!$B$3:$H$119,5,FALSE),"")</f>
        <v>DH</v>
      </c>
      <c r="L2133" s="77" t="str">
        <f>IFERROR(VLOOKUP(DESPESAS[[#This Row],[Plano de Contas]],BASE!$B$3:$H$119,6,FALSE),"")</f>
        <v>CUSTO MÃO DE OBRA DIRETA</v>
      </c>
      <c r="M2133" s="77" t="str">
        <f>VLOOKUP(DESPESAS[[#This Row],[Plano de Contas]],BASE!$B$3:$H$119,7,FALSE)</f>
        <v>RAFAEL</v>
      </c>
    </row>
    <row r="2134" spans="1:13" x14ac:dyDescent="0.25">
      <c r="A2134" s="74">
        <v>198975</v>
      </c>
      <c r="B2134" s="75" t="s">
        <v>232</v>
      </c>
      <c r="C2134" s="75" t="s">
        <v>1713</v>
      </c>
      <c r="D2134" s="76">
        <v>46056</v>
      </c>
      <c r="E2134" s="75" t="s">
        <v>327</v>
      </c>
      <c r="F2134" s="74">
        <v>221.59</v>
      </c>
      <c r="G2134" s="75" t="s">
        <v>326</v>
      </c>
      <c r="H2134" s="77" t="str">
        <f>VLOOKUP(DESPESAS[[#This Row],[Plano de Contas]],BASE!$B$3:$D$119,3,FALSE)</f>
        <v>Frete sobre Compras</v>
      </c>
      <c r="I2134" s="77" t="str">
        <f>IFERROR(VLOOKUP(DESPESAS[[#This Row],[Fornecedor]],Tabela2[],2,FALSE),"")</f>
        <v>SERVIÇOS FRETE</v>
      </c>
      <c r="J2134" s="77" t="str">
        <f>IFERROR(VLOOKUP(DESPESAS[[#This Row],[Plano de Contas]],BASE!$B$3:$F$119,4,FALSE),"")</f>
        <v>1 - CPV</v>
      </c>
      <c r="K2134" s="77" t="str">
        <f>IFERROR(VLOOKUP(DESPESAS[[#This Row],[Plano de Contas]],BASE!$B$3:$H$119,5,FALSE),"")</f>
        <v>COMPRAS</v>
      </c>
      <c r="L2134" s="77">
        <f>IFERROR(VLOOKUP(DESPESAS[[#This Row],[Plano de Contas]],BASE!$B$3:$H$119,6,FALSE),"")</f>
        <v>0</v>
      </c>
      <c r="M2134" s="77" t="str">
        <f>VLOOKUP(DESPESAS[[#This Row],[Plano de Contas]],BASE!$B$3:$H$119,7,FALSE)</f>
        <v>MYLENA</v>
      </c>
    </row>
    <row r="2135" spans="1:13" x14ac:dyDescent="0.25">
      <c r="A2135" s="74">
        <v>198977</v>
      </c>
      <c r="B2135" s="75" t="s">
        <v>279</v>
      </c>
      <c r="C2135" s="75" t="s">
        <v>1712</v>
      </c>
      <c r="D2135" s="76">
        <v>46081</v>
      </c>
      <c r="E2135" s="75" t="s">
        <v>900</v>
      </c>
      <c r="F2135" s="74">
        <v>1061.73</v>
      </c>
      <c r="G2135" s="75" t="s">
        <v>653</v>
      </c>
      <c r="H2135" s="77" t="str">
        <f>VLOOKUP(DESPESAS[[#This Row],[Plano de Contas]],BASE!$B$3:$D$119,3,FALSE)</f>
        <v>Salarios e Ordenados CIF</v>
      </c>
      <c r="I2135" s="77" t="str">
        <f>IFERROR(VLOOKUP(DESPESAS[[#This Row],[Fornecedor]],Tabela2[],2,FALSE),"")</f>
        <v/>
      </c>
      <c r="J2135" s="77" t="str">
        <f>IFERROR(VLOOKUP(DESPESAS[[#This Row],[Plano de Contas]],BASE!$B$3:$F$119,4,FALSE),"")</f>
        <v>3 - CUSTOS INDIRETOS</v>
      </c>
      <c r="K2135" s="77" t="str">
        <f>IFERROR(VLOOKUP(DESPESAS[[#This Row],[Plano de Contas]],BASE!$B$3:$H$119,5,FALSE),"")</f>
        <v>DH</v>
      </c>
      <c r="L2135" s="77" t="str">
        <f>IFERROR(VLOOKUP(DESPESAS[[#This Row],[Plano de Contas]],BASE!$B$3:$H$119,6,FALSE),"")</f>
        <v>CUSTO MÃO DE OBRA DIRETA</v>
      </c>
      <c r="M2135" s="77" t="str">
        <f>VLOOKUP(DESPESAS[[#This Row],[Plano de Contas]],BASE!$B$3:$H$119,7,FALSE)</f>
        <v>RAFAEL</v>
      </c>
    </row>
    <row r="2136" spans="1:13" x14ac:dyDescent="0.25">
      <c r="A2136" s="74">
        <v>198978</v>
      </c>
      <c r="B2136" s="75" t="s">
        <v>279</v>
      </c>
      <c r="C2136" s="75" t="s">
        <v>1665</v>
      </c>
      <c r="D2136" s="76">
        <v>46081</v>
      </c>
      <c r="E2136" s="75" t="s">
        <v>944</v>
      </c>
      <c r="F2136" s="74">
        <v>1499.67</v>
      </c>
      <c r="G2136" s="75" t="s">
        <v>430</v>
      </c>
      <c r="H2136" s="77" t="str">
        <f>VLOOKUP(DESPESAS[[#This Row],[Plano de Contas]],BASE!$B$3:$D$119,3,FALSE)</f>
        <v>Salarios e Ordenados MOD</v>
      </c>
      <c r="I2136" s="77" t="str">
        <f>IFERROR(VLOOKUP(DESPESAS[[#This Row],[Fornecedor]],Tabela2[],2,FALSE),"")</f>
        <v/>
      </c>
      <c r="J2136" s="77" t="str">
        <f>IFERROR(VLOOKUP(DESPESAS[[#This Row],[Plano de Contas]],BASE!$B$3:$F$119,4,FALSE),"")</f>
        <v>2 - CUSTOS DIRETOS</v>
      </c>
      <c r="K2136" s="77" t="str">
        <f>IFERROR(VLOOKUP(DESPESAS[[#This Row],[Plano de Contas]],BASE!$B$3:$H$119,5,FALSE),"")</f>
        <v>DH</v>
      </c>
      <c r="L2136" s="77" t="str">
        <f>IFERROR(VLOOKUP(DESPESAS[[#This Row],[Plano de Contas]],BASE!$B$3:$H$119,6,FALSE),"")</f>
        <v>CUSTO MÃO DE OBRA DIRETA</v>
      </c>
      <c r="M2136" s="77" t="str">
        <f>VLOOKUP(DESPESAS[[#This Row],[Plano de Contas]],BASE!$B$3:$H$119,7,FALSE)</f>
        <v>RAFAEL</v>
      </c>
    </row>
    <row r="2137" spans="1:13" x14ac:dyDescent="0.25">
      <c r="A2137" s="74">
        <v>198979</v>
      </c>
      <c r="B2137" s="75" t="s">
        <v>279</v>
      </c>
      <c r="C2137" s="75" t="s">
        <v>1665</v>
      </c>
      <c r="D2137" s="76">
        <v>46081</v>
      </c>
      <c r="E2137" s="75" t="s">
        <v>943</v>
      </c>
      <c r="F2137" s="74">
        <v>2076.5100000000002</v>
      </c>
      <c r="G2137" s="75" t="s">
        <v>627</v>
      </c>
      <c r="H2137" s="77" t="str">
        <f>VLOOKUP(DESPESAS[[#This Row],[Plano de Contas]],BASE!$B$3:$D$119,3,FALSE)</f>
        <v>Salarios e Ordenados (Adm)</v>
      </c>
      <c r="I2137" s="77" t="str">
        <f>IFERROR(VLOOKUP(DESPESAS[[#This Row],[Fornecedor]],Tabela2[],2,FALSE),"")</f>
        <v/>
      </c>
      <c r="J2137" s="77" t="str">
        <f>IFERROR(VLOOKUP(DESPESAS[[#This Row],[Plano de Contas]],BASE!$B$3:$F$119,4,FALSE),"")</f>
        <v>4 - GASTOS COM PESSOAL</v>
      </c>
      <c r="K2137" s="77" t="str">
        <f>IFERROR(VLOOKUP(DESPESAS[[#This Row],[Plano de Contas]],BASE!$B$3:$H$119,5,FALSE),"")</f>
        <v>DH</v>
      </c>
      <c r="L2137" s="77">
        <f>IFERROR(VLOOKUP(DESPESAS[[#This Row],[Plano de Contas]],BASE!$B$3:$H$119,6,FALSE),"")</f>
        <v>0</v>
      </c>
      <c r="M2137" s="77" t="str">
        <f>VLOOKUP(DESPESAS[[#This Row],[Plano de Contas]],BASE!$B$3:$H$119,7,FALSE)</f>
        <v>RAFAEL</v>
      </c>
    </row>
    <row r="2138" spans="1:13" x14ac:dyDescent="0.25">
      <c r="A2138" s="74">
        <v>198980</v>
      </c>
      <c r="B2138" s="75" t="s">
        <v>279</v>
      </c>
      <c r="C2138" s="75" t="s">
        <v>1665</v>
      </c>
      <c r="D2138" s="76">
        <v>46081</v>
      </c>
      <c r="E2138" s="75" t="s">
        <v>942</v>
      </c>
      <c r="F2138" s="74">
        <v>3300.44</v>
      </c>
      <c r="G2138" s="75" t="s">
        <v>430</v>
      </c>
      <c r="H2138" s="77" t="str">
        <f>VLOOKUP(DESPESAS[[#This Row],[Plano de Contas]],BASE!$B$3:$D$119,3,FALSE)</f>
        <v>Salarios e Ordenados MOD</v>
      </c>
      <c r="I2138" s="77" t="str">
        <f>IFERROR(VLOOKUP(DESPESAS[[#This Row],[Fornecedor]],Tabela2[],2,FALSE),"")</f>
        <v/>
      </c>
      <c r="J2138" s="77" t="str">
        <f>IFERROR(VLOOKUP(DESPESAS[[#This Row],[Plano de Contas]],BASE!$B$3:$F$119,4,FALSE),"")</f>
        <v>2 - CUSTOS DIRETOS</v>
      </c>
      <c r="K2138" s="77" t="str">
        <f>IFERROR(VLOOKUP(DESPESAS[[#This Row],[Plano de Contas]],BASE!$B$3:$H$119,5,FALSE),"")</f>
        <v>DH</v>
      </c>
      <c r="L2138" s="77" t="str">
        <f>IFERROR(VLOOKUP(DESPESAS[[#This Row],[Plano de Contas]],BASE!$B$3:$H$119,6,FALSE),"")</f>
        <v>CUSTO MÃO DE OBRA DIRETA</v>
      </c>
      <c r="M2138" s="77" t="str">
        <f>VLOOKUP(DESPESAS[[#This Row],[Plano de Contas]],BASE!$B$3:$H$119,7,FALSE)</f>
        <v>RAFAEL</v>
      </c>
    </row>
    <row r="2139" spans="1:13" x14ac:dyDescent="0.25">
      <c r="A2139" s="74">
        <v>198981</v>
      </c>
      <c r="B2139" s="75" t="s">
        <v>279</v>
      </c>
      <c r="C2139" s="75" t="s">
        <v>1665</v>
      </c>
      <c r="D2139" s="76">
        <v>46081</v>
      </c>
      <c r="E2139" s="75" t="s">
        <v>941</v>
      </c>
      <c r="F2139" s="74">
        <v>2605.89</v>
      </c>
      <c r="G2139" s="75" t="s">
        <v>430</v>
      </c>
      <c r="H2139" s="77" t="str">
        <f>VLOOKUP(DESPESAS[[#This Row],[Plano de Contas]],BASE!$B$3:$D$119,3,FALSE)</f>
        <v>Salarios e Ordenados MOD</v>
      </c>
      <c r="I2139" s="77" t="str">
        <f>IFERROR(VLOOKUP(DESPESAS[[#This Row],[Fornecedor]],Tabela2[],2,FALSE),"")</f>
        <v/>
      </c>
      <c r="J2139" s="77" t="str">
        <f>IFERROR(VLOOKUP(DESPESAS[[#This Row],[Plano de Contas]],BASE!$B$3:$F$119,4,FALSE),"")</f>
        <v>2 - CUSTOS DIRETOS</v>
      </c>
      <c r="K2139" s="77" t="str">
        <f>IFERROR(VLOOKUP(DESPESAS[[#This Row],[Plano de Contas]],BASE!$B$3:$H$119,5,FALSE),"")</f>
        <v>DH</v>
      </c>
      <c r="L2139" s="77" t="str">
        <f>IFERROR(VLOOKUP(DESPESAS[[#This Row],[Plano de Contas]],BASE!$B$3:$H$119,6,FALSE),"")</f>
        <v>CUSTO MÃO DE OBRA DIRETA</v>
      </c>
      <c r="M2139" s="77" t="str">
        <f>VLOOKUP(DESPESAS[[#This Row],[Plano de Contas]],BASE!$B$3:$H$119,7,FALSE)</f>
        <v>RAFAEL</v>
      </c>
    </row>
    <row r="2140" spans="1:13" x14ac:dyDescent="0.25">
      <c r="A2140" s="74">
        <v>198982</v>
      </c>
      <c r="B2140" s="75" t="s">
        <v>279</v>
      </c>
      <c r="C2140" s="75" t="s">
        <v>1665</v>
      </c>
      <c r="D2140" s="76">
        <v>46081</v>
      </c>
      <c r="E2140" s="75" t="s">
        <v>940</v>
      </c>
      <c r="F2140" s="74">
        <v>4136.7299999999996</v>
      </c>
      <c r="G2140" s="75" t="s">
        <v>430</v>
      </c>
      <c r="H2140" s="77" t="str">
        <f>VLOOKUP(DESPESAS[[#This Row],[Plano de Contas]],BASE!$B$3:$D$119,3,FALSE)</f>
        <v>Salarios e Ordenados MOD</v>
      </c>
      <c r="I2140" s="77" t="str">
        <f>IFERROR(VLOOKUP(DESPESAS[[#This Row],[Fornecedor]],Tabela2[],2,FALSE),"")</f>
        <v/>
      </c>
      <c r="J2140" s="77" t="str">
        <f>IFERROR(VLOOKUP(DESPESAS[[#This Row],[Plano de Contas]],BASE!$B$3:$F$119,4,FALSE),"")</f>
        <v>2 - CUSTOS DIRETOS</v>
      </c>
      <c r="K2140" s="77" t="str">
        <f>IFERROR(VLOOKUP(DESPESAS[[#This Row],[Plano de Contas]],BASE!$B$3:$H$119,5,FALSE),"")</f>
        <v>DH</v>
      </c>
      <c r="L2140" s="77" t="str">
        <f>IFERROR(VLOOKUP(DESPESAS[[#This Row],[Plano de Contas]],BASE!$B$3:$H$119,6,FALSE),"")</f>
        <v>CUSTO MÃO DE OBRA DIRETA</v>
      </c>
      <c r="M2140" s="77" t="str">
        <f>VLOOKUP(DESPESAS[[#This Row],[Plano de Contas]],BASE!$B$3:$H$119,7,FALSE)</f>
        <v>RAFAEL</v>
      </c>
    </row>
    <row r="2141" spans="1:13" x14ac:dyDescent="0.25">
      <c r="A2141" s="74">
        <v>198983</v>
      </c>
      <c r="B2141" s="75" t="s">
        <v>279</v>
      </c>
      <c r="C2141" s="75" t="s">
        <v>1665</v>
      </c>
      <c r="D2141" s="76">
        <v>46081</v>
      </c>
      <c r="E2141" s="75" t="s">
        <v>754</v>
      </c>
      <c r="F2141" s="74">
        <v>1937.48</v>
      </c>
      <c r="G2141" s="75" t="s">
        <v>627</v>
      </c>
      <c r="H2141" s="77" t="str">
        <f>VLOOKUP(DESPESAS[[#This Row],[Plano de Contas]],BASE!$B$3:$D$119,3,FALSE)</f>
        <v>Salarios e Ordenados (Adm)</v>
      </c>
      <c r="I2141" s="77" t="str">
        <f>IFERROR(VLOOKUP(DESPESAS[[#This Row],[Fornecedor]],Tabela2[],2,FALSE),"")</f>
        <v/>
      </c>
      <c r="J2141" s="77" t="str">
        <f>IFERROR(VLOOKUP(DESPESAS[[#This Row],[Plano de Contas]],BASE!$B$3:$F$119,4,FALSE),"")</f>
        <v>4 - GASTOS COM PESSOAL</v>
      </c>
      <c r="K2141" s="77" t="str">
        <f>IFERROR(VLOOKUP(DESPESAS[[#This Row],[Plano de Contas]],BASE!$B$3:$H$119,5,FALSE),"")</f>
        <v>DH</v>
      </c>
      <c r="L2141" s="77">
        <f>IFERROR(VLOOKUP(DESPESAS[[#This Row],[Plano de Contas]],BASE!$B$3:$H$119,6,FALSE),"")</f>
        <v>0</v>
      </c>
      <c r="M2141" s="77" t="str">
        <f>VLOOKUP(DESPESAS[[#This Row],[Plano de Contas]],BASE!$B$3:$H$119,7,FALSE)</f>
        <v>RAFAEL</v>
      </c>
    </row>
    <row r="2142" spans="1:13" x14ac:dyDescent="0.25">
      <c r="A2142" s="74">
        <v>198985</v>
      </c>
      <c r="B2142" s="75" t="s">
        <v>279</v>
      </c>
      <c r="C2142" s="75" t="s">
        <v>1665</v>
      </c>
      <c r="D2142" s="76">
        <v>46081</v>
      </c>
      <c r="E2142" s="75" t="s">
        <v>765</v>
      </c>
      <c r="F2142" s="74">
        <v>2708.15</v>
      </c>
      <c r="G2142" s="75" t="s">
        <v>430</v>
      </c>
      <c r="H2142" s="77" t="str">
        <f>VLOOKUP(DESPESAS[[#This Row],[Plano de Contas]],BASE!$B$3:$D$119,3,FALSE)</f>
        <v>Salarios e Ordenados MOD</v>
      </c>
      <c r="I2142" s="77" t="str">
        <f>IFERROR(VLOOKUP(DESPESAS[[#This Row],[Fornecedor]],Tabela2[],2,FALSE),"")</f>
        <v/>
      </c>
      <c r="J2142" s="77" t="str">
        <f>IFERROR(VLOOKUP(DESPESAS[[#This Row],[Plano de Contas]],BASE!$B$3:$F$119,4,FALSE),"")</f>
        <v>2 - CUSTOS DIRETOS</v>
      </c>
      <c r="K2142" s="77" t="str">
        <f>IFERROR(VLOOKUP(DESPESAS[[#This Row],[Plano de Contas]],BASE!$B$3:$H$119,5,FALSE),"")</f>
        <v>DH</v>
      </c>
      <c r="L2142" s="77" t="str">
        <f>IFERROR(VLOOKUP(DESPESAS[[#This Row],[Plano de Contas]],BASE!$B$3:$H$119,6,FALSE),"")</f>
        <v>CUSTO MÃO DE OBRA DIRETA</v>
      </c>
      <c r="M2142" s="77" t="str">
        <f>VLOOKUP(DESPESAS[[#This Row],[Plano de Contas]],BASE!$B$3:$H$119,7,FALSE)</f>
        <v>RAFAEL</v>
      </c>
    </row>
    <row r="2143" spans="1:13" x14ac:dyDescent="0.25">
      <c r="A2143" s="74">
        <v>198986</v>
      </c>
      <c r="B2143" s="75" t="s">
        <v>279</v>
      </c>
      <c r="C2143" s="75" t="s">
        <v>1665</v>
      </c>
      <c r="D2143" s="76">
        <v>46081</v>
      </c>
      <c r="E2143" s="75" t="s">
        <v>938</v>
      </c>
      <c r="F2143" s="74">
        <v>4276.3599999999997</v>
      </c>
      <c r="G2143" s="75" t="s">
        <v>430</v>
      </c>
      <c r="H2143" s="77" t="str">
        <f>VLOOKUP(DESPESAS[[#This Row],[Plano de Contas]],BASE!$B$3:$D$119,3,FALSE)</f>
        <v>Salarios e Ordenados MOD</v>
      </c>
      <c r="I2143" s="77" t="str">
        <f>IFERROR(VLOOKUP(DESPESAS[[#This Row],[Fornecedor]],Tabela2[],2,FALSE),"")</f>
        <v/>
      </c>
      <c r="J2143" s="77" t="str">
        <f>IFERROR(VLOOKUP(DESPESAS[[#This Row],[Plano de Contas]],BASE!$B$3:$F$119,4,FALSE),"")</f>
        <v>2 - CUSTOS DIRETOS</v>
      </c>
      <c r="K2143" s="77" t="str">
        <f>IFERROR(VLOOKUP(DESPESAS[[#This Row],[Plano de Contas]],BASE!$B$3:$H$119,5,FALSE),"")</f>
        <v>DH</v>
      </c>
      <c r="L2143" s="77" t="str">
        <f>IFERROR(VLOOKUP(DESPESAS[[#This Row],[Plano de Contas]],BASE!$B$3:$H$119,6,FALSE),"")</f>
        <v>CUSTO MÃO DE OBRA DIRETA</v>
      </c>
      <c r="M2143" s="77" t="str">
        <f>VLOOKUP(DESPESAS[[#This Row],[Plano de Contas]],BASE!$B$3:$H$119,7,FALSE)</f>
        <v>RAFAEL</v>
      </c>
    </row>
    <row r="2144" spans="1:13" x14ac:dyDescent="0.25">
      <c r="A2144" s="74">
        <v>198987</v>
      </c>
      <c r="B2144" s="75" t="s">
        <v>279</v>
      </c>
      <c r="C2144" s="75" t="s">
        <v>1665</v>
      </c>
      <c r="D2144" s="76">
        <v>46081</v>
      </c>
      <c r="E2144" s="75" t="s">
        <v>937</v>
      </c>
      <c r="F2144" s="74">
        <v>3376.01</v>
      </c>
      <c r="G2144" s="75" t="s">
        <v>430</v>
      </c>
      <c r="H2144" s="77" t="str">
        <f>VLOOKUP(DESPESAS[[#This Row],[Plano de Contas]],BASE!$B$3:$D$119,3,FALSE)</f>
        <v>Salarios e Ordenados MOD</v>
      </c>
      <c r="I2144" s="77" t="str">
        <f>IFERROR(VLOOKUP(DESPESAS[[#This Row],[Fornecedor]],Tabela2[],2,FALSE),"")</f>
        <v/>
      </c>
      <c r="J2144" s="77" t="str">
        <f>IFERROR(VLOOKUP(DESPESAS[[#This Row],[Plano de Contas]],BASE!$B$3:$F$119,4,FALSE),"")</f>
        <v>2 - CUSTOS DIRETOS</v>
      </c>
      <c r="K2144" s="77" t="str">
        <f>IFERROR(VLOOKUP(DESPESAS[[#This Row],[Plano de Contas]],BASE!$B$3:$H$119,5,FALSE),"")</f>
        <v>DH</v>
      </c>
      <c r="L2144" s="77" t="str">
        <f>IFERROR(VLOOKUP(DESPESAS[[#This Row],[Plano de Contas]],BASE!$B$3:$H$119,6,FALSE),"")</f>
        <v>CUSTO MÃO DE OBRA DIRETA</v>
      </c>
      <c r="M2144" s="77" t="str">
        <f>VLOOKUP(DESPESAS[[#This Row],[Plano de Contas]],BASE!$B$3:$H$119,7,FALSE)</f>
        <v>RAFAEL</v>
      </c>
    </row>
    <row r="2145" spans="1:13" x14ac:dyDescent="0.25">
      <c r="A2145" s="74">
        <v>198988</v>
      </c>
      <c r="B2145" s="75" t="s">
        <v>279</v>
      </c>
      <c r="C2145" s="75" t="s">
        <v>1665</v>
      </c>
      <c r="D2145" s="76">
        <v>46081</v>
      </c>
      <c r="E2145" s="75" t="s">
        <v>936</v>
      </c>
      <c r="F2145" s="74">
        <v>2534.13</v>
      </c>
      <c r="G2145" s="75" t="s">
        <v>430</v>
      </c>
      <c r="H2145" s="77" t="str">
        <f>VLOOKUP(DESPESAS[[#This Row],[Plano de Contas]],BASE!$B$3:$D$119,3,FALSE)</f>
        <v>Salarios e Ordenados MOD</v>
      </c>
      <c r="I2145" s="77" t="str">
        <f>IFERROR(VLOOKUP(DESPESAS[[#This Row],[Fornecedor]],Tabela2[],2,FALSE),"")</f>
        <v/>
      </c>
      <c r="J2145" s="77" t="str">
        <f>IFERROR(VLOOKUP(DESPESAS[[#This Row],[Plano de Contas]],BASE!$B$3:$F$119,4,FALSE),"")</f>
        <v>2 - CUSTOS DIRETOS</v>
      </c>
      <c r="K2145" s="77" t="str">
        <f>IFERROR(VLOOKUP(DESPESAS[[#This Row],[Plano de Contas]],BASE!$B$3:$H$119,5,FALSE),"")</f>
        <v>DH</v>
      </c>
      <c r="L2145" s="77" t="str">
        <f>IFERROR(VLOOKUP(DESPESAS[[#This Row],[Plano de Contas]],BASE!$B$3:$H$119,6,FALSE),"")</f>
        <v>CUSTO MÃO DE OBRA DIRETA</v>
      </c>
      <c r="M2145" s="77" t="str">
        <f>VLOOKUP(DESPESAS[[#This Row],[Plano de Contas]],BASE!$B$3:$H$119,7,FALSE)</f>
        <v>RAFAEL</v>
      </c>
    </row>
    <row r="2146" spans="1:13" x14ac:dyDescent="0.25">
      <c r="A2146" s="74">
        <v>198989</v>
      </c>
      <c r="B2146" s="75" t="s">
        <v>279</v>
      </c>
      <c r="C2146" s="75" t="s">
        <v>1665</v>
      </c>
      <c r="D2146" s="76">
        <v>46081</v>
      </c>
      <c r="E2146" s="75" t="s">
        <v>764</v>
      </c>
      <c r="F2146" s="74">
        <v>3103.74</v>
      </c>
      <c r="G2146" s="75" t="s">
        <v>430</v>
      </c>
      <c r="H2146" s="77" t="str">
        <f>VLOOKUP(DESPESAS[[#This Row],[Plano de Contas]],BASE!$B$3:$D$119,3,FALSE)</f>
        <v>Salarios e Ordenados MOD</v>
      </c>
      <c r="I2146" s="77" t="str">
        <f>IFERROR(VLOOKUP(DESPESAS[[#This Row],[Fornecedor]],Tabela2[],2,FALSE),"")</f>
        <v/>
      </c>
      <c r="J2146" s="77" t="str">
        <f>IFERROR(VLOOKUP(DESPESAS[[#This Row],[Plano de Contas]],BASE!$B$3:$F$119,4,FALSE),"")</f>
        <v>2 - CUSTOS DIRETOS</v>
      </c>
      <c r="K2146" s="77" t="str">
        <f>IFERROR(VLOOKUP(DESPESAS[[#This Row],[Plano de Contas]],BASE!$B$3:$H$119,5,FALSE),"")</f>
        <v>DH</v>
      </c>
      <c r="L2146" s="77" t="str">
        <f>IFERROR(VLOOKUP(DESPESAS[[#This Row],[Plano de Contas]],BASE!$B$3:$H$119,6,FALSE),"")</f>
        <v>CUSTO MÃO DE OBRA DIRETA</v>
      </c>
      <c r="M2146" s="77" t="str">
        <f>VLOOKUP(DESPESAS[[#This Row],[Plano de Contas]],BASE!$B$3:$H$119,7,FALSE)</f>
        <v>RAFAEL</v>
      </c>
    </row>
    <row r="2147" spans="1:13" x14ac:dyDescent="0.25">
      <c r="A2147" s="74">
        <v>198990</v>
      </c>
      <c r="B2147" s="75" t="s">
        <v>279</v>
      </c>
      <c r="C2147" s="75" t="s">
        <v>1665</v>
      </c>
      <c r="D2147" s="76">
        <v>46081</v>
      </c>
      <c r="E2147" s="75" t="s">
        <v>935</v>
      </c>
      <c r="F2147" s="74">
        <v>2202.11</v>
      </c>
      <c r="G2147" s="75" t="s">
        <v>430</v>
      </c>
      <c r="H2147" s="77" t="str">
        <f>VLOOKUP(DESPESAS[[#This Row],[Plano de Contas]],BASE!$B$3:$D$119,3,FALSE)</f>
        <v>Salarios e Ordenados MOD</v>
      </c>
      <c r="I2147" s="77" t="str">
        <f>IFERROR(VLOOKUP(DESPESAS[[#This Row],[Fornecedor]],Tabela2[],2,FALSE),"")</f>
        <v/>
      </c>
      <c r="J2147" s="77" t="str">
        <f>IFERROR(VLOOKUP(DESPESAS[[#This Row],[Plano de Contas]],BASE!$B$3:$F$119,4,FALSE),"")</f>
        <v>2 - CUSTOS DIRETOS</v>
      </c>
      <c r="K2147" s="77" t="str">
        <f>IFERROR(VLOOKUP(DESPESAS[[#This Row],[Plano de Contas]],BASE!$B$3:$H$119,5,FALSE),"")</f>
        <v>DH</v>
      </c>
      <c r="L2147" s="77" t="str">
        <f>IFERROR(VLOOKUP(DESPESAS[[#This Row],[Plano de Contas]],BASE!$B$3:$H$119,6,FALSE),"")</f>
        <v>CUSTO MÃO DE OBRA DIRETA</v>
      </c>
      <c r="M2147" s="77" t="str">
        <f>VLOOKUP(DESPESAS[[#This Row],[Plano de Contas]],BASE!$B$3:$H$119,7,FALSE)</f>
        <v>RAFAEL</v>
      </c>
    </row>
    <row r="2148" spans="1:13" x14ac:dyDescent="0.25">
      <c r="A2148" s="74">
        <v>198991</v>
      </c>
      <c r="B2148" s="75" t="s">
        <v>279</v>
      </c>
      <c r="C2148" s="75" t="s">
        <v>1665</v>
      </c>
      <c r="D2148" s="76">
        <v>46081</v>
      </c>
      <c r="E2148" s="75" t="s">
        <v>934</v>
      </c>
      <c r="F2148" s="74">
        <v>2646.9</v>
      </c>
      <c r="G2148" s="75" t="s">
        <v>430</v>
      </c>
      <c r="H2148" s="77" t="str">
        <f>VLOOKUP(DESPESAS[[#This Row],[Plano de Contas]],BASE!$B$3:$D$119,3,FALSE)</f>
        <v>Salarios e Ordenados MOD</v>
      </c>
      <c r="I2148" s="77" t="str">
        <f>IFERROR(VLOOKUP(DESPESAS[[#This Row],[Fornecedor]],Tabela2[],2,FALSE),"")</f>
        <v/>
      </c>
      <c r="J2148" s="77" t="str">
        <f>IFERROR(VLOOKUP(DESPESAS[[#This Row],[Plano de Contas]],BASE!$B$3:$F$119,4,FALSE),"")</f>
        <v>2 - CUSTOS DIRETOS</v>
      </c>
      <c r="K2148" s="77" t="str">
        <f>IFERROR(VLOOKUP(DESPESAS[[#This Row],[Plano de Contas]],BASE!$B$3:$H$119,5,FALSE),"")</f>
        <v>DH</v>
      </c>
      <c r="L2148" s="77" t="str">
        <f>IFERROR(VLOOKUP(DESPESAS[[#This Row],[Plano de Contas]],BASE!$B$3:$H$119,6,FALSE),"")</f>
        <v>CUSTO MÃO DE OBRA DIRETA</v>
      </c>
      <c r="M2148" s="77" t="str">
        <f>VLOOKUP(DESPESAS[[#This Row],[Plano de Contas]],BASE!$B$3:$H$119,7,FALSE)</f>
        <v>RAFAEL</v>
      </c>
    </row>
    <row r="2149" spans="1:13" x14ac:dyDescent="0.25">
      <c r="A2149" s="74">
        <v>198992</v>
      </c>
      <c r="B2149" s="75" t="s">
        <v>279</v>
      </c>
      <c r="C2149" s="75" t="s">
        <v>1665</v>
      </c>
      <c r="D2149" s="76">
        <v>46081</v>
      </c>
      <c r="E2149" s="75" t="s">
        <v>933</v>
      </c>
      <c r="F2149" s="74">
        <v>3741.57</v>
      </c>
      <c r="G2149" s="75" t="s">
        <v>430</v>
      </c>
      <c r="H2149" s="77" t="str">
        <f>VLOOKUP(DESPESAS[[#This Row],[Plano de Contas]],BASE!$B$3:$D$119,3,FALSE)</f>
        <v>Salarios e Ordenados MOD</v>
      </c>
      <c r="I2149" s="77" t="str">
        <f>IFERROR(VLOOKUP(DESPESAS[[#This Row],[Fornecedor]],Tabela2[],2,FALSE),"")</f>
        <v/>
      </c>
      <c r="J2149" s="77" t="str">
        <f>IFERROR(VLOOKUP(DESPESAS[[#This Row],[Plano de Contas]],BASE!$B$3:$F$119,4,FALSE),"")</f>
        <v>2 - CUSTOS DIRETOS</v>
      </c>
      <c r="K2149" s="77" t="str">
        <f>IFERROR(VLOOKUP(DESPESAS[[#This Row],[Plano de Contas]],BASE!$B$3:$H$119,5,FALSE),"")</f>
        <v>DH</v>
      </c>
      <c r="L2149" s="77" t="str">
        <f>IFERROR(VLOOKUP(DESPESAS[[#This Row],[Plano de Contas]],BASE!$B$3:$H$119,6,FALSE),"")</f>
        <v>CUSTO MÃO DE OBRA DIRETA</v>
      </c>
      <c r="M2149" s="77" t="str">
        <f>VLOOKUP(DESPESAS[[#This Row],[Plano de Contas]],BASE!$B$3:$H$119,7,FALSE)</f>
        <v>RAFAEL</v>
      </c>
    </row>
    <row r="2150" spans="1:13" x14ac:dyDescent="0.25">
      <c r="A2150" s="74">
        <v>198993</v>
      </c>
      <c r="B2150" s="75" t="s">
        <v>279</v>
      </c>
      <c r="C2150" s="75" t="s">
        <v>1665</v>
      </c>
      <c r="D2150" s="76">
        <v>46081</v>
      </c>
      <c r="E2150" s="75" t="s">
        <v>932</v>
      </c>
      <c r="F2150" s="74">
        <v>2605.62</v>
      </c>
      <c r="G2150" s="75" t="s">
        <v>430</v>
      </c>
      <c r="H2150" s="77" t="str">
        <f>VLOOKUP(DESPESAS[[#This Row],[Plano de Contas]],BASE!$B$3:$D$119,3,FALSE)</f>
        <v>Salarios e Ordenados MOD</v>
      </c>
      <c r="I2150" s="77" t="str">
        <f>IFERROR(VLOOKUP(DESPESAS[[#This Row],[Fornecedor]],Tabela2[],2,FALSE),"")</f>
        <v/>
      </c>
      <c r="J2150" s="77" t="str">
        <f>IFERROR(VLOOKUP(DESPESAS[[#This Row],[Plano de Contas]],BASE!$B$3:$F$119,4,FALSE),"")</f>
        <v>2 - CUSTOS DIRETOS</v>
      </c>
      <c r="K2150" s="77" t="str">
        <f>IFERROR(VLOOKUP(DESPESAS[[#This Row],[Plano de Contas]],BASE!$B$3:$H$119,5,FALSE),"")</f>
        <v>DH</v>
      </c>
      <c r="L2150" s="77" t="str">
        <f>IFERROR(VLOOKUP(DESPESAS[[#This Row],[Plano de Contas]],BASE!$B$3:$H$119,6,FALSE),"")</f>
        <v>CUSTO MÃO DE OBRA DIRETA</v>
      </c>
      <c r="M2150" s="77" t="str">
        <f>VLOOKUP(DESPESAS[[#This Row],[Plano de Contas]],BASE!$B$3:$H$119,7,FALSE)</f>
        <v>RAFAEL</v>
      </c>
    </row>
    <row r="2151" spans="1:13" x14ac:dyDescent="0.25">
      <c r="A2151" s="74">
        <v>198994</v>
      </c>
      <c r="B2151" s="75" t="s">
        <v>279</v>
      </c>
      <c r="C2151" s="75" t="s">
        <v>1665</v>
      </c>
      <c r="D2151" s="76">
        <v>46081</v>
      </c>
      <c r="E2151" s="75" t="s">
        <v>931</v>
      </c>
      <c r="F2151" s="74">
        <v>3303.04</v>
      </c>
      <c r="G2151" s="75" t="s">
        <v>430</v>
      </c>
      <c r="H2151" s="77" t="str">
        <f>VLOOKUP(DESPESAS[[#This Row],[Plano de Contas]],BASE!$B$3:$D$119,3,FALSE)</f>
        <v>Salarios e Ordenados MOD</v>
      </c>
      <c r="I2151" s="77" t="str">
        <f>IFERROR(VLOOKUP(DESPESAS[[#This Row],[Fornecedor]],Tabela2[],2,FALSE),"")</f>
        <v/>
      </c>
      <c r="J2151" s="77" t="str">
        <f>IFERROR(VLOOKUP(DESPESAS[[#This Row],[Plano de Contas]],BASE!$B$3:$F$119,4,FALSE),"")</f>
        <v>2 - CUSTOS DIRETOS</v>
      </c>
      <c r="K2151" s="77" t="str">
        <f>IFERROR(VLOOKUP(DESPESAS[[#This Row],[Plano de Contas]],BASE!$B$3:$H$119,5,FALSE),"")</f>
        <v>DH</v>
      </c>
      <c r="L2151" s="77" t="str">
        <f>IFERROR(VLOOKUP(DESPESAS[[#This Row],[Plano de Contas]],BASE!$B$3:$H$119,6,FALSE),"")</f>
        <v>CUSTO MÃO DE OBRA DIRETA</v>
      </c>
      <c r="M2151" s="77" t="str">
        <f>VLOOKUP(DESPESAS[[#This Row],[Plano de Contas]],BASE!$B$3:$H$119,7,FALSE)</f>
        <v>RAFAEL</v>
      </c>
    </row>
    <row r="2152" spans="1:13" x14ac:dyDescent="0.25">
      <c r="A2152" s="74">
        <v>198995</v>
      </c>
      <c r="B2152" s="75" t="s">
        <v>279</v>
      </c>
      <c r="C2152" s="75" t="s">
        <v>1665</v>
      </c>
      <c r="D2152" s="76">
        <v>46081</v>
      </c>
      <c r="E2152" s="75" t="s">
        <v>930</v>
      </c>
      <c r="F2152" s="74">
        <v>3004.64</v>
      </c>
      <c r="G2152" s="75" t="s">
        <v>430</v>
      </c>
      <c r="H2152" s="77" t="str">
        <f>VLOOKUP(DESPESAS[[#This Row],[Plano de Contas]],BASE!$B$3:$D$119,3,FALSE)</f>
        <v>Salarios e Ordenados MOD</v>
      </c>
      <c r="I2152" s="77" t="str">
        <f>IFERROR(VLOOKUP(DESPESAS[[#This Row],[Fornecedor]],Tabela2[],2,FALSE),"")</f>
        <v/>
      </c>
      <c r="J2152" s="77" t="str">
        <f>IFERROR(VLOOKUP(DESPESAS[[#This Row],[Plano de Contas]],BASE!$B$3:$F$119,4,FALSE),"")</f>
        <v>2 - CUSTOS DIRETOS</v>
      </c>
      <c r="K2152" s="77" t="str">
        <f>IFERROR(VLOOKUP(DESPESAS[[#This Row],[Plano de Contas]],BASE!$B$3:$H$119,5,FALSE),"")</f>
        <v>DH</v>
      </c>
      <c r="L2152" s="77" t="str">
        <f>IFERROR(VLOOKUP(DESPESAS[[#This Row],[Plano de Contas]],BASE!$B$3:$H$119,6,FALSE),"")</f>
        <v>CUSTO MÃO DE OBRA DIRETA</v>
      </c>
      <c r="M2152" s="77" t="str">
        <f>VLOOKUP(DESPESAS[[#This Row],[Plano de Contas]],BASE!$B$3:$H$119,7,FALSE)</f>
        <v>RAFAEL</v>
      </c>
    </row>
    <row r="2153" spans="1:13" x14ac:dyDescent="0.25">
      <c r="A2153" s="74">
        <v>198996</v>
      </c>
      <c r="B2153" s="75" t="s">
        <v>279</v>
      </c>
      <c r="C2153" s="75" t="s">
        <v>1665</v>
      </c>
      <c r="D2153" s="76">
        <v>46081</v>
      </c>
      <c r="E2153" s="75" t="s">
        <v>929</v>
      </c>
      <c r="F2153" s="74">
        <v>3555.82</v>
      </c>
      <c r="G2153" s="75" t="s">
        <v>430</v>
      </c>
      <c r="H2153" s="77" t="str">
        <f>VLOOKUP(DESPESAS[[#This Row],[Plano de Contas]],BASE!$B$3:$D$119,3,FALSE)</f>
        <v>Salarios e Ordenados MOD</v>
      </c>
      <c r="I2153" s="77" t="str">
        <f>IFERROR(VLOOKUP(DESPESAS[[#This Row],[Fornecedor]],Tabela2[],2,FALSE),"")</f>
        <v/>
      </c>
      <c r="J2153" s="77" t="str">
        <f>IFERROR(VLOOKUP(DESPESAS[[#This Row],[Plano de Contas]],BASE!$B$3:$F$119,4,FALSE),"")</f>
        <v>2 - CUSTOS DIRETOS</v>
      </c>
      <c r="K2153" s="77" t="str">
        <f>IFERROR(VLOOKUP(DESPESAS[[#This Row],[Plano de Contas]],BASE!$B$3:$H$119,5,FALSE),"")</f>
        <v>DH</v>
      </c>
      <c r="L2153" s="77" t="str">
        <f>IFERROR(VLOOKUP(DESPESAS[[#This Row],[Plano de Contas]],BASE!$B$3:$H$119,6,FALSE),"")</f>
        <v>CUSTO MÃO DE OBRA DIRETA</v>
      </c>
      <c r="M2153" s="77" t="str">
        <f>VLOOKUP(DESPESAS[[#This Row],[Plano de Contas]],BASE!$B$3:$H$119,7,FALSE)</f>
        <v>RAFAEL</v>
      </c>
    </row>
    <row r="2154" spans="1:13" x14ac:dyDescent="0.25">
      <c r="A2154" s="74">
        <v>198997</v>
      </c>
      <c r="B2154" s="75" t="s">
        <v>279</v>
      </c>
      <c r="C2154" s="75" t="s">
        <v>1665</v>
      </c>
      <c r="D2154" s="76">
        <v>46081</v>
      </c>
      <c r="E2154" s="75" t="s">
        <v>928</v>
      </c>
      <c r="F2154" s="74">
        <v>2985.64</v>
      </c>
      <c r="G2154" s="75" t="s">
        <v>430</v>
      </c>
      <c r="H2154" s="77" t="str">
        <f>VLOOKUP(DESPESAS[[#This Row],[Plano de Contas]],BASE!$B$3:$D$119,3,FALSE)</f>
        <v>Salarios e Ordenados MOD</v>
      </c>
      <c r="I2154" s="77" t="str">
        <f>IFERROR(VLOOKUP(DESPESAS[[#This Row],[Fornecedor]],Tabela2[],2,FALSE),"")</f>
        <v/>
      </c>
      <c r="J2154" s="77" t="str">
        <f>IFERROR(VLOOKUP(DESPESAS[[#This Row],[Plano de Contas]],BASE!$B$3:$F$119,4,FALSE),"")</f>
        <v>2 - CUSTOS DIRETOS</v>
      </c>
      <c r="K2154" s="77" t="str">
        <f>IFERROR(VLOOKUP(DESPESAS[[#This Row],[Plano de Contas]],BASE!$B$3:$H$119,5,FALSE),"")</f>
        <v>DH</v>
      </c>
      <c r="L2154" s="77" t="str">
        <f>IFERROR(VLOOKUP(DESPESAS[[#This Row],[Plano de Contas]],BASE!$B$3:$H$119,6,FALSE),"")</f>
        <v>CUSTO MÃO DE OBRA DIRETA</v>
      </c>
      <c r="M2154" s="77" t="str">
        <f>VLOOKUP(DESPESAS[[#This Row],[Plano de Contas]],BASE!$B$3:$H$119,7,FALSE)</f>
        <v>RAFAEL</v>
      </c>
    </row>
    <row r="2155" spans="1:13" x14ac:dyDescent="0.25">
      <c r="A2155" s="74">
        <v>198998</v>
      </c>
      <c r="B2155" s="75" t="s">
        <v>279</v>
      </c>
      <c r="C2155" s="75" t="s">
        <v>1665</v>
      </c>
      <c r="D2155" s="76">
        <v>46081</v>
      </c>
      <c r="E2155" s="75" t="s">
        <v>484</v>
      </c>
      <c r="F2155" s="74">
        <v>1931.24</v>
      </c>
      <c r="G2155" s="75" t="s">
        <v>627</v>
      </c>
      <c r="H2155" s="77" t="str">
        <f>VLOOKUP(DESPESAS[[#This Row],[Plano de Contas]],BASE!$B$3:$D$119,3,FALSE)</f>
        <v>Salarios e Ordenados (Adm)</v>
      </c>
      <c r="I2155" s="77" t="str">
        <f>IFERROR(VLOOKUP(DESPESAS[[#This Row],[Fornecedor]],Tabela2[],2,FALSE),"")</f>
        <v/>
      </c>
      <c r="J2155" s="77" t="str">
        <f>IFERROR(VLOOKUP(DESPESAS[[#This Row],[Plano de Contas]],BASE!$B$3:$F$119,4,FALSE),"")</f>
        <v>4 - GASTOS COM PESSOAL</v>
      </c>
      <c r="K2155" s="77" t="str">
        <f>IFERROR(VLOOKUP(DESPESAS[[#This Row],[Plano de Contas]],BASE!$B$3:$H$119,5,FALSE),"")</f>
        <v>DH</v>
      </c>
      <c r="L2155" s="77">
        <f>IFERROR(VLOOKUP(DESPESAS[[#This Row],[Plano de Contas]],BASE!$B$3:$H$119,6,FALSE),"")</f>
        <v>0</v>
      </c>
      <c r="M2155" s="77" t="str">
        <f>VLOOKUP(DESPESAS[[#This Row],[Plano de Contas]],BASE!$B$3:$H$119,7,FALSE)</f>
        <v>RAFAEL</v>
      </c>
    </row>
    <row r="2156" spans="1:13" x14ac:dyDescent="0.25">
      <c r="A2156" s="74">
        <v>198999</v>
      </c>
      <c r="B2156" s="75" t="s">
        <v>279</v>
      </c>
      <c r="C2156" s="75" t="s">
        <v>1665</v>
      </c>
      <c r="D2156" s="76">
        <v>46081</v>
      </c>
      <c r="E2156" s="75" t="s">
        <v>927</v>
      </c>
      <c r="F2156" s="74">
        <v>2394.23</v>
      </c>
      <c r="G2156" s="75" t="s">
        <v>430</v>
      </c>
      <c r="H2156" s="77" t="str">
        <f>VLOOKUP(DESPESAS[[#This Row],[Plano de Contas]],BASE!$B$3:$D$119,3,FALSE)</f>
        <v>Salarios e Ordenados MOD</v>
      </c>
      <c r="I2156" s="77" t="str">
        <f>IFERROR(VLOOKUP(DESPESAS[[#This Row],[Fornecedor]],Tabela2[],2,FALSE),"")</f>
        <v/>
      </c>
      <c r="J2156" s="77" t="str">
        <f>IFERROR(VLOOKUP(DESPESAS[[#This Row],[Plano de Contas]],BASE!$B$3:$F$119,4,FALSE),"")</f>
        <v>2 - CUSTOS DIRETOS</v>
      </c>
      <c r="K2156" s="77" t="str">
        <f>IFERROR(VLOOKUP(DESPESAS[[#This Row],[Plano de Contas]],BASE!$B$3:$H$119,5,FALSE),"")</f>
        <v>DH</v>
      </c>
      <c r="L2156" s="77" t="str">
        <f>IFERROR(VLOOKUP(DESPESAS[[#This Row],[Plano de Contas]],BASE!$B$3:$H$119,6,FALSE),"")</f>
        <v>CUSTO MÃO DE OBRA DIRETA</v>
      </c>
      <c r="M2156" s="77" t="str">
        <f>VLOOKUP(DESPESAS[[#This Row],[Plano de Contas]],BASE!$B$3:$H$119,7,FALSE)</f>
        <v>RAFAEL</v>
      </c>
    </row>
    <row r="2157" spans="1:13" x14ac:dyDescent="0.25">
      <c r="A2157" s="74">
        <v>199000</v>
      </c>
      <c r="B2157" s="75" t="s">
        <v>279</v>
      </c>
      <c r="C2157" s="75" t="s">
        <v>1665</v>
      </c>
      <c r="D2157" s="76">
        <v>46081</v>
      </c>
      <c r="E2157" s="75" t="s">
        <v>762</v>
      </c>
      <c r="F2157" s="74">
        <v>1889.62</v>
      </c>
      <c r="G2157" s="75" t="s">
        <v>430</v>
      </c>
      <c r="H2157" s="77" t="str">
        <f>VLOOKUP(DESPESAS[[#This Row],[Plano de Contas]],BASE!$B$3:$D$119,3,FALSE)</f>
        <v>Salarios e Ordenados MOD</v>
      </c>
      <c r="I2157" s="77" t="str">
        <f>IFERROR(VLOOKUP(DESPESAS[[#This Row],[Fornecedor]],Tabela2[],2,FALSE),"")</f>
        <v/>
      </c>
      <c r="J2157" s="77" t="str">
        <f>IFERROR(VLOOKUP(DESPESAS[[#This Row],[Plano de Contas]],BASE!$B$3:$F$119,4,FALSE),"")</f>
        <v>2 - CUSTOS DIRETOS</v>
      </c>
      <c r="K2157" s="77" t="str">
        <f>IFERROR(VLOOKUP(DESPESAS[[#This Row],[Plano de Contas]],BASE!$B$3:$H$119,5,FALSE),"")</f>
        <v>DH</v>
      </c>
      <c r="L2157" s="77" t="str">
        <f>IFERROR(VLOOKUP(DESPESAS[[#This Row],[Plano de Contas]],BASE!$B$3:$H$119,6,FALSE),"")</f>
        <v>CUSTO MÃO DE OBRA DIRETA</v>
      </c>
      <c r="M2157" s="77" t="str">
        <f>VLOOKUP(DESPESAS[[#This Row],[Plano de Contas]],BASE!$B$3:$H$119,7,FALSE)</f>
        <v>RAFAEL</v>
      </c>
    </row>
    <row r="2158" spans="1:13" x14ac:dyDescent="0.25">
      <c r="A2158" s="74">
        <v>199001</v>
      </c>
      <c r="B2158" s="75" t="s">
        <v>279</v>
      </c>
      <c r="C2158" s="75" t="s">
        <v>1665</v>
      </c>
      <c r="D2158" s="76">
        <v>46081</v>
      </c>
      <c r="E2158" s="75" t="s">
        <v>926</v>
      </c>
      <c r="F2158" s="74">
        <v>3171.24</v>
      </c>
      <c r="G2158" s="75" t="s">
        <v>627</v>
      </c>
      <c r="H2158" s="77" t="str">
        <f>VLOOKUP(DESPESAS[[#This Row],[Plano de Contas]],BASE!$B$3:$D$119,3,FALSE)</f>
        <v>Salarios e Ordenados (Adm)</v>
      </c>
      <c r="I2158" s="77" t="str">
        <f>IFERROR(VLOOKUP(DESPESAS[[#This Row],[Fornecedor]],Tabela2[],2,FALSE),"")</f>
        <v/>
      </c>
      <c r="J2158" s="77" t="str">
        <f>IFERROR(VLOOKUP(DESPESAS[[#This Row],[Plano de Contas]],BASE!$B$3:$F$119,4,FALSE),"")</f>
        <v>4 - GASTOS COM PESSOAL</v>
      </c>
      <c r="K2158" s="77" t="str">
        <f>IFERROR(VLOOKUP(DESPESAS[[#This Row],[Plano de Contas]],BASE!$B$3:$H$119,5,FALSE),"")</f>
        <v>DH</v>
      </c>
      <c r="L2158" s="77">
        <f>IFERROR(VLOOKUP(DESPESAS[[#This Row],[Plano de Contas]],BASE!$B$3:$H$119,6,FALSE),"")</f>
        <v>0</v>
      </c>
      <c r="M2158" s="77" t="str">
        <f>VLOOKUP(DESPESAS[[#This Row],[Plano de Contas]],BASE!$B$3:$H$119,7,FALSE)</f>
        <v>RAFAEL</v>
      </c>
    </row>
    <row r="2159" spans="1:13" x14ac:dyDescent="0.25">
      <c r="A2159" s="74">
        <v>199002</v>
      </c>
      <c r="B2159" s="75" t="s">
        <v>279</v>
      </c>
      <c r="C2159" s="75" t="s">
        <v>1665</v>
      </c>
      <c r="D2159" s="76">
        <v>46081</v>
      </c>
      <c r="E2159" s="75" t="s">
        <v>925</v>
      </c>
      <c r="F2159" s="74">
        <v>2964.62</v>
      </c>
      <c r="G2159" s="75" t="s">
        <v>430</v>
      </c>
      <c r="H2159" s="77" t="str">
        <f>VLOOKUP(DESPESAS[[#This Row],[Plano de Contas]],BASE!$B$3:$D$119,3,FALSE)</f>
        <v>Salarios e Ordenados MOD</v>
      </c>
      <c r="I2159" s="77" t="str">
        <f>IFERROR(VLOOKUP(DESPESAS[[#This Row],[Fornecedor]],Tabela2[],2,FALSE),"")</f>
        <v/>
      </c>
      <c r="J2159" s="77" t="str">
        <f>IFERROR(VLOOKUP(DESPESAS[[#This Row],[Plano de Contas]],BASE!$B$3:$F$119,4,FALSE),"")</f>
        <v>2 - CUSTOS DIRETOS</v>
      </c>
      <c r="K2159" s="77" t="str">
        <f>IFERROR(VLOOKUP(DESPESAS[[#This Row],[Plano de Contas]],BASE!$B$3:$H$119,5,FALSE),"")</f>
        <v>DH</v>
      </c>
      <c r="L2159" s="77" t="str">
        <f>IFERROR(VLOOKUP(DESPESAS[[#This Row],[Plano de Contas]],BASE!$B$3:$H$119,6,FALSE),"")</f>
        <v>CUSTO MÃO DE OBRA DIRETA</v>
      </c>
      <c r="M2159" s="77" t="str">
        <f>VLOOKUP(DESPESAS[[#This Row],[Plano de Contas]],BASE!$B$3:$H$119,7,FALSE)</f>
        <v>RAFAEL</v>
      </c>
    </row>
    <row r="2160" spans="1:13" x14ac:dyDescent="0.25">
      <c r="A2160" s="74">
        <v>199003</v>
      </c>
      <c r="B2160" s="75" t="s">
        <v>279</v>
      </c>
      <c r="C2160" s="75" t="s">
        <v>1665</v>
      </c>
      <c r="D2160" s="76">
        <v>46081</v>
      </c>
      <c r="E2160" s="75" t="s">
        <v>924</v>
      </c>
      <c r="F2160" s="74">
        <v>4604.57</v>
      </c>
      <c r="G2160" s="75" t="s">
        <v>627</v>
      </c>
      <c r="H2160" s="77" t="str">
        <f>VLOOKUP(DESPESAS[[#This Row],[Plano de Contas]],BASE!$B$3:$D$119,3,FALSE)</f>
        <v>Salarios e Ordenados (Adm)</v>
      </c>
      <c r="I2160" s="77" t="str">
        <f>IFERROR(VLOOKUP(DESPESAS[[#This Row],[Fornecedor]],Tabela2[],2,FALSE),"")</f>
        <v/>
      </c>
      <c r="J2160" s="77" t="str">
        <f>IFERROR(VLOOKUP(DESPESAS[[#This Row],[Plano de Contas]],BASE!$B$3:$F$119,4,FALSE),"")</f>
        <v>4 - GASTOS COM PESSOAL</v>
      </c>
      <c r="K2160" s="77" t="str">
        <f>IFERROR(VLOOKUP(DESPESAS[[#This Row],[Plano de Contas]],BASE!$B$3:$H$119,5,FALSE),"")</f>
        <v>DH</v>
      </c>
      <c r="L2160" s="77">
        <f>IFERROR(VLOOKUP(DESPESAS[[#This Row],[Plano de Contas]],BASE!$B$3:$H$119,6,FALSE),"")</f>
        <v>0</v>
      </c>
      <c r="M2160" s="77" t="str">
        <f>VLOOKUP(DESPESAS[[#This Row],[Plano de Contas]],BASE!$B$3:$H$119,7,FALSE)</f>
        <v>RAFAEL</v>
      </c>
    </row>
    <row r="2161" spans="1:13" x14ac:dyDescent="0.25">
      <c r="A2161" s="74">
        <v>199004</v>
      </c>
      <c r="B2161" s="75" t="s">
        <v>279</v>
      </c>
      <c r="C2161" s="75" t="s">
        <v>1665</v>
      </c>
      <c r="D2161" s="76">
        <v>46081</v>
      </c>
      <c r="E2161" s="75" t="s">
        <v>923</v>
      </c>
      <c r="F2161" s="74">
        <v>2770.34</v>
      </c>
      <c r="G2161" s="75" t="s">
        <v>430</v>
      </c>
      <c r="H2161" s="77" t="str">
        <f>VLOOKUP(DESPESAS[[#This Row],[Plano de Contas]],BASE!$B$3:$D$119,3,FALSE)</f>
        <v>Salarios e Ordenados MOD</v>
      </c>
      <c r="I2161" s="77" t="str">
        <f>IFERROR(VLOOKUP(DESPESAS[[#This Row],[Fornecedor]],Tabela2[],2,FALSE),"")</f>
        <v/>
      </c>
      <c r="J2161" s="77" t="str">
        <f>IFERROR(VLOOKUP(DESPESAS[[#This Row],[Plano de Contas]],BASE!$B$3:$F$119,4,FALSE),"")</f>
        <v>2 - CUSTOS DIRETOS</v>
      </c>
      <c r="K2161" s="77" t="str">
        <f>IFERROR(VLOOKUP(DESPESAS[[#This Row],[Plano de Contas]],BASE!$B$3:$H$119,5,FALSE),"")</f>
        <v>DH</v>
      </c>
      <c r="L2161" s="77" t="str">
        <f>IFERROR(VLOOKUP(DESPESAS[[#This Row],[Plano de Contas]],BASE!$B$3:$H$119,6,FALSE),"")</f>
        <v>CUSTO MÃO DE OBRA DIRETA</v>
      </c>
      <c r="M2161" s="77" t="str">
        <f>VLOOKUP(DESPESAS[[#This Row],[Plano de Contas]],BASE!$B$3:$H$119,7,FALSE)</f>
        <v>RAFAEL</v>
      </c>
    </row>
    <row r="2162" spans="1:13" x14ac:dyDescent="0.25">
      <c r="A2162" s="74">
        <v>199005</v>
      </c>
      <c r="B2162" s="75" t="s">
        <v>279</v>
      </c>
      <c r="C2162" s="75" t="s">
        <v>1665</v>
      </c>
      <c r="D2162" s="76">
        <v>46081</v>
      </c>
      <c r="E2162" s="75" t="s">
        <v>922</v>
      </c>
      <c r="F2162" s="74">
        <v>1582.65</v>
      </c>
      <c r="G2162" s="75" t="s">
        <v>430</v>
      </c>
      <c r="H2162" s="77" t="str">
        <f>VLOOKUP(DESPESAS[[#This Row],[Plano de Contas]],BASE!$B$3:$D$119,3,FALSE)</f>
        <v>Salarios e Ordenados MOD</v>
      </c>
      <c r="I2162" s="77" t="str">
        <f>IFERROR(VLOOKUP(DESPESAS[[#This Row],[Fornecedor]],Tabela2[],2,FALSE),"")</f>
        <v/>
      </c>
      <c r="J2162" s="77" t="str">
        <f>IFERROR(VLOOKUP(DESPESAS[[#This Row],[Plano de Contas]],BASE!$B$3:$F$119,4,FALSE),"")</f>
        <v>2 - CUSTOS DIRETOS</v>
      </c>
      <c r="K2162" s="77" t="str">
        <f>IFERROR(VLOOKUP(DESPESAS[[#This Row],[Plano de Contas]],BASE!$B$3:$H$119,5,FALSE),"")</f>
        <v>DH</v>
      </c>
      <c r="L2162" s="77" t="str">
        <f>IFERROR(VLOOKUP(DESPESAS[[#This Row],[Plano de Contas]],BASE!$B$3:$H$119,6,FALSE),"")</f>
        <v>CUSTO MÃO DE OBRA DIRETA</v>
      </c>
      <c r="M2162" s="77" t="str">
        <f>VLOOKUP(DESPESAS[[#This Row],[Plano de Contas]],BASE!$B$3:$H$119,7,FALSE)</f>
        <v>RAFAEL</v>
      </c>
    </row>
    <row r="2163" spans="1:13" x14ac:dyDescent="0.25">
      <c r="A2163" s="74">
        <v>199006</v>
      </c>
      <c r="B2163" s="75" t="s">
        <v>279</v>
      </c>
      <c r="C2163" s="75" t="s">
        <v>1665</v>
      </c>
      <c r="D2163" s="76">
        <v>46081</v>
      </c>
      <c r="E2163" s="75" t="s">
        <v>921</v>
      </c>
      <c r="F2163" s="74">
        <v>2151.3200000000002</v>
      </c>
      <c r="G2163" s="75" t="s">
        <v>653</v>
      </c>
      <c r="H2163" s="77" t="str">
        <f>VLOOKUP(DESPESAS[[#This Row],[Plano de Contas]],BASE!$B$3:$D$119,3,FALSE)</f>
        <v>Salarios e Ordenados CIF</v>
      </c>
      <c r="I2163" s="77" t="str">
        <f>IFERROR(VLOOKUP(DESPESAS[[#This Row],[Fornecedor]],Tabela2[],2,FALSE),"")</f>
        <v/>
      </c>
      <c r="J2163" s="77" t="str">
        <f>IFERROR(VLOOKUP(DESPESAS[[#This Row],[Plano de Contas]],BASE!$B$3:$F$119,4,FALSE),"")</f>
        <v>3 - CUSTOS INDIRETOS</v>
      </c>
      <c r="K2163" s="77" t="str">
        <f>IFERROR(VLOOKUP(DESPESAS[[#This Row],[Plano de Contas]],BASE!$B$3:$H$119,5,FALSE),"")</f>
        <v>DH</v>
      </c>
      <c r="L2163" s="77" t="str">
        <f>IFERROR(VLOOKUP(DESPESAS[[#This Row],[Plano de Contas]],BASE!$B$3:$H$119,6,FALSE),"")</f>
        <v>CUSTO MÃO DE OBRA DIRETA</v>
      </c>
      <c r="M2163" s="77" t="str">
        <f>VLOOKUP(DESPESAS[[#This Row],[Plano de Contas]],BASE!$B$3:$H$119,7,FALSE)</f>
        <v>RAFAEL</v>
      </c>
    </row>
    <row r="2164" spans="1:13" x14ac:dyDescent="0.25">
      <c r="A2164" s="74">
        <v>199007</v>
      </c>
      <c r="B2164" s="75" t="s">
        <v>279</v>
      </c>
      <c r="C2164" s="75" t="s">
        <v>1665</v>
      </c>
      <c r="D2164" s="76">
        <v>46081</v>
      </c>
      <c r="E2164" s="75" t="s">
        <v>920</v>
      </c>
      <c r="F2164" s="74">
        <v>2364.16</v>
      </c>
      <c r="G2164" s="75" t="s">
        <v>430</v>
      </c>
      <c r="H2164" s="77" t="str">
        <f>VLOOKUP(DESPESAS[[#This Row],[Plano de Contas]],BASE!$B$3:$D$119,3,FALSE)</f>
        <v>Salarios e Ordenados MOD</v>
      </c>
      <c r="I2164" s="77" t="str">
        <f>IFERROR(VLOOKUP(DESPESAS[[#This Row],[Fornecedor]],Tabela2[],2,FALSE),"")</f>
        <v/>
      </c>
      <c r="J2164" s="77" t="str">
        <f>IFERROR(VLOOKUP(DESPESAS[[#This Row],[Plano de Contas]],BASE!$B$3:$F$119,4,FALSE),"")</f>
        <v>2 - CUSTOS DIRETOS</v>
      </c>
      <c r="K2164" s="77" t="str">
        <f>IFERROR(VLOOKUP(DESPESAS[[#This Row],[Plano de Contas]],BASE!$B$3:$H$119,5,FALSE),"")</f>
        <v>DH</v>
      </c>
      <c r="L2164" s="77" t="str">
        <f>IFERROR(VLOOKUP(DESPESAS[[#This Row],[Plano de Contas]],BASE!$B$3:$H$119,6,FALSE),"")</f>
        <v>CUSTO MÃO DE OBRA DIRETA</v>
      </c>
      <c r="M2164" s="77" t="str">
        <f>VLOOKUP(DESPESAS[[#This Row],[Plano de Contas]],BASE!$B$3:$H$119,7,FALSE)</f>
        <v>RAFAEL</v>
      </c>
    </row>
    <row r="2165" spans="1:13" x14ac:dyDescent="0.25">
      <c r="A2165" s="74">
        <v>199008</v>
      </c>
      <c r="B2165" s="75" t="s">
        <v>279</v>
      </c>
      <c r="C2165" s="75" t="s">
        <v>1665</v>
      </c>
      <c r="D2165" s="76">
        <v>46081</v>
      </c>
      <c r="E2165" s="75" t="s">
        <v>919</v>
      </c>
      <c r="F2165" s="74">
        <v>1790.11</v>
      </c>
      <c r="G2165" s="75" t="s">
        <v>430</v>
      </c>
      <c r="H2165" s="77" t="str">
        <f>VLOOKUP(DESPESAS[[#This Row],[Plano de Contas]],BASE!$B$3:$D$119,3,FALSE)</f>
        <v>Salarios e Ordenados MOD</v>
      </c>
      <c r="I2165" s="77" t="str">
        <f>IFERROR(VLOOKUP(DESPESAS[[#This Row],[Fornecedor]],Tabela2[],2,FALSE),"")</f>
        <v/>
      </c>
      <c r="J2165" s="77" t="str">
        <f>IFERROR(VLOOKUP(DESPESAS[[#This Row],[Plano de Contas]],BASE!$B$3:$F$119,4,FALSE),"")</f>
        <v>2 - CUSTOS DIRETOS</v>
      </c>
      <c r="K2165" s="77" t="str">
        <f>IFERROR(VLOOKUP(DESPESAS[[#This Row],[Plano de Contas]],BASE!$B$3:$H$119,5,FALSE),"")</f>
        <v>DH</v>
      </c>
      <c r="L2165" s="77" t="str">
        <f>IFERROR(VLOOKUP(DESPESAS[[#This Row],[Plano de Contas]],BASE!$B$3:$H$119,6,FALSE),"")</f>
        <v>CUSTO MÃO DE OBRA DIRETA</v>
      </c>
      <c r="M2165" s="77" t="str">
        <f>VLOOKUP(DESPESAS[[#This Row],[Plano de Contas]],BASE!$B$3:$H$119,7,FALSE)</f>
        <v>RAFAEL</v>
      </c>
    </row>
    <row r="2166" spans="1:13" x14ac:dyDescent="0.25">
      <c r="A2166" s="74">
        <v>199009</v>
      </c>
      <c r="B2166" s="75" t="s">
        <v>279</v>
      </c>
      <c r="C2166" s="75" t="s">
        <v>1665</v>
      </c>
      <c r="D2166" s="76">
        <v>46081</v>
      </c>
      <c r="E2166" s="75" t="s">
        <v>918</v>
      </c>
      <c r="F2166" s="74">
        <v>3079.5</v>
      </c>
      <c r="G2166" s="75" t="s">
        <v>430</v>
      </c>
      <c r="H2166" s="77" t="str">
        <f>VLOOKUP(DESPESAS[[#This Row],[Plano de Contas]],BASE!$B$3:$D$119,3,FALSE)</f>
        <v>Salarios e Ordenados MOD</v>
      </c>
      <c r="I2166" s="77" t="str">
        <f>IFERROR(VLOOKUP(DESPESAS[[#This Row],[Fornecedor]],Tabela2[],2,FALSE),"")</f>
        <v/>
      </c>
      <c r="J2166" s="77" t="str">
        <f>IFERROR(VLOOKUP(DESPESAS[[#This Row],[Plano de Contas]],BASE!$B$3:$F$119,4,FALSE),"")</f>
        <v>2 - CUSTOS DIRETOS</v>
      </c>
      <c r="K2166" s="77" t="str">
        <f>IFERROR(VLOOKUP(DESPESAS[[#This Row],[Plano de Contas]],BASE!$B$3:$H$119,5,FALSE),"")</f>
        <v>DH</v>
      </c>
      <c r="L2166" s="77" t="str">
        <f>IFERROR(VLOOKUP(DESPESAS[[#This Row],[Plano de Contas]],BASE!$B$3:$H$119,6,FALSE),"")</f>
        <v>CUSTO MÃO DE OBRA DIRETA</v>
      </c>
      <c r="M2166" s="77" t="str">
        <f>VLOOKUP(DESPESAS[[#This Row],[Plano de Contas]],BASE!$B$3:$H$119,7,FALSE)</f>
        <v>RAFAEL</v>
      </c>
    </row>
    <row r="2167" spans="1:13" x14ac:dyDescent="0.25">
      <c r="A2167" s="74">
        <v>199010</v>
      </c>
      <c r="B2167" s="75" t="s">
        <v>279</v>
      </c>
      <c r="C2167" s="75" t="s">
        <v>1665</v>
      </c>
      <c r="D2167" s="76">
        <v>46081</v>
      </c>
      <c r="E2167" s="75" t="s">
        <v>917</v>
      </c>
      <c r="F2167" s="74">
        <v>2313.86</v>
      </c>
      <c r="G2167" s="75" t="s">
        <v>627</v>
      </c>
      <c r="H2167" s="77" t="str">
        <f>VLOOKUP(DESPESAS[[#This Row],[Plano de Contas]],BASE!$B$3:$D$119,3,FALSE)</f>
        <v>Salarios e Ordenados (Adm)</v>
      </c>
      <c r="I2167" s="77" t="str">
        <f>IFERROR(VLOOKUP(DESPESAS[[#This Row],[Fornecedor]],Tabela2[],2,FALSE),"")</f>
        <v/>
      </c>
      <c r="J2167" s="77" t="str">
        <f>IFERROR(VLOOKUP(DESPESAS[[#This Row],[Plano de Contas]],BASE!$B$3:$F$119,4,FALSE),"")</f>
        <v>4 - GASTOS COM PESSOAL</v>
      </c>
      <c r="K2167" s="77" t="str">
        <f>IFERROR(VLOOKUP(DESPESAS[[#This Row],[Plano de Contas]],BASE!$B$3:$H$119,5,FALSE),"")</f>
        <v>DH</v>
      </c>
      <c r="L2167" s="77">
        <f>IFERROR(VLOOKUP(DESPESAS[[#This Row],[Plano de Contas]],BASE!$B$3:$H$119,6,FALSE),"")</f>
        <v>0</v>
      </c>
      <c r="M2167" s="77" t="str">
        <f>VLOOKUP(DESPESAS[[#This Row],[Plano de Contas]],BASE!$B$3:$H$119,7,FALSE)</f>
        <v>RAFAEL</v>
      </c>
    </row>
    <row r="2168" spans="1:13" x14ac:dyDescent="0.25">
      <c r="A2168" s="74">
        <v>199011</v>
      </c>
      <c r="B2168" s="75" t="s">
        <v>279</v>
      </c>
      <c r="C2168" s="75" t="s">
        <v>1665</v>
      </c>
      <c r="D2168" s="76">
        <v>46081</v>
      </c>
      <c r="E2168" s="75" t="s">
        <v>752</v>
      </c>
      <c r="F2168" s="74">
        <v>7284.86</v>
      </c>
      <c r="G2168" s="75" t="s">
        <v>627</v>
      </c>
      <c r="H2168" s="77" t="str">
        <f>VLOOKUP(DESPESAS[[#This Row],[Plano de Contas]],BASE!$B$3:$D$119,3,FALSE)</f>
        <v>Salarios e Ordenados (Adm)</v>
      </c>
      <c r="I2168" s="77" t="str">
        <f>IFERROR(VLOOKUP(DESPESAS[[#This Row],[Fornecedor]],Tabela2[],2,FALSE),"")</f>
        <v/>
      </c>
      <c r="J2168" s="77" t="str">
        <f>IFERROR(VLOOKUP(DESPESAS[[#This Row],[Plano de Contas]],BASE!$B$3:$F$119,4,FALSE),"")</f>
        <v>4 - GASTOS COM PESSOAL</v>
      </c>
      <c r="K2168" s="77" t="str">
        <f>IFERROR(VLOOKUP(DESPESAS[[#This Row],[Plano de Contas]],BASE!$B$3:$H$119,5,FALSE),"")</f>
        <v>DH</v>
      </c>
      <c r="L2168" s="77">
        <f>IFERROR(VLOOKUP(DESPESAS[[#This Row],[Plano de Contas]],BASE!$B$3:$H$119,6,FALSE),"")</f>
        <v>0</v>
      </c>
      <c r="M2168" s="77" t="str">
        <f>VLOOKUP(DESPESAS[[#This Row],[Plano de Contas]],BASE!$B$3:$H$119,7,FALSE)</f>
        <v>RAFAEL</v>
      </c>
    </row>
    <row r="2169" spans="1:13" x14ac:dyDescent="0.25">
      <c r="A2169" s="74">
        <v>199012</v>
      </c>
      <c r="B2169" s="75" t="s">
        <v>279</v>
      </c>
      <c r="C2169" s="75" t="s">
        <v>1665</v>
      </c>
      <c r="D2169" s="76">
        <v>46081</v>
      </c>
      <c r="E2169" s="75" t="s">
        <v>916</v>
      </c>
      <c r="F2169" s="74">
        <v>4133.32</v>
      </c>
      <c r="G2169" s="75" t="s">
        <v>627</v>
      </c>
      <c r="H2169" s="77" t="str">
        <f>VLOOKUP(DESPESAS[[#This Row],[Plano de Contas]],BASE!$B$3:$D$119,3,FALSE)</f>
        <v>Salarios e Ordenados (Adm)</v>
      </c>
      <c r="I2169" s="77" t="str">
        <f>IFERROR(VLOOKUP(DESPESAS[[#This Row],[Fornecedor]],Tabela2[],2,FALSE),"")</f>
        <v/>
      </c>
      <c r="J2169" s="77" t="str">
        <f>IFERROR(VLOOKUP(DESPESAS[[#This Row],[Plano de Contas]],BASE!$B$3:$F$119,4,FALSE),"")</f>
        <v>4 - GASTOS COM PESSOAL</v>
      </c>
      <c r="K2169" s="77" t="str">
        <f>IFERROR(VLOOKUP(DESPESAS[[#This Row],[Plano de Contas]],BASE!$B$3:$H$119,5,FALSE),"")</f>
        <v>DH</v>
      </c>
      <c r="L2169" s="77">
        <f>IFERROR(VLOOKUP(DESPESAS[[#This Row],[Plano de Contas]],BASE!$B$3:$H$119,6,FALSE),"")</f>
        <v>0</v>
      </c>
      <c r="M2169" s="77" t="str">
        <f>VLOOKUP(DESPESAS[[#This Row],[Plano de Contas]],BASE!$B$3:$H$119,7,FALSE)</f>
        <v>RAFAEL</v>
      </c>
    </row>
    <row r="2170" spans="1:13" x14ac:dyDescent="0.25">
      <c r="A2170" s="74">
        <v>199013</v>
      </c>
      <c r="B2170" s="75" t="s">
        <v>279</v>
      </c>
      <c r="C2170" s="75" t="s">
        <v>1665</v>
      </c>
      <c r="D2170" s="76">
        <v>46081</v>
      </c>
      <c r="E2170" s="75" t="s">
        <v>900</v>
      </c>
      <c r="F2170" s="74">
        <v>2514.44</v>
      </c>
      <c r="G2170" s="75" t="s">
        <v>653</v>
      </c>
      <c r="H2170" s="77" t="str">
        <f>VLOOKUP(DESPESAS[[#This Row],[Plano de Contas]],BASE!$B$3:$D$119,3,FALSE)</f>
        <v>Salarios e Ordenados CIF</v>
      </c>
      <c r="I2170" s="77" t="str">
        <f>IFERROR(VLOOKUP(DESPESAS[[#This Row],[Fornecedor]],Tabela2[],2,FALSE),"")</f>
        <v/>
      </c>
      <c r="J2170" s="77" t="str">
        <f>IFERROR(VLOOKUP(DESPESAS[[#This Row],[Plano de Contas]],BASE!$B$3:$F$119,4,FALSE),"")</f>
        <v>3 - CUSTOS INDIRETOS</v>
      </c>
      <c r="K2170" s="77" t="str">
        <f>IFERROR(VLOOKUP(DESPESAS[[#This Row],[Plano de Contas]],BASE!$B$3:$H$119,5,FALSE),"")</f>
        <v>DH</v>
      </c>
      <c r="L2170" s="77" t="str">
        <f>IFERROR(VLOOKUP(DESPESAS[[#This Row],[Plano de Contas]],BASE!$B$3:$H$119,6,FALSE),"")</f>
        <v>CUSTO MÃO DE OBRA DIRETA</v>
      </c>
      <c r="M2170" s="77" t="str">
        <f>VLOOKUP(DESPESAS[[#This Row],[Plano de Contas]],BASE!$B$3:$H$119,7,FALSE)</f>
        <v>RAFAEL</v>
      </c>
    </row>
    <row r="2171" spans="1:13" x14ac:dyDescent="0.25">
      <c r="A2171" s="74">
        <v>199014</v>
      </c>
      <c r="B2171" s="75" t="s">
        <v>279</v>
      </c>
      <c r="C2171" s="75" t="s">
        <v>1665</v>
      </c>
      <c r="D2171" s="76">
        <v>46081</v>
      </c>
      <c r="E2171" s="75" t="s">
        <v>915</v>
      </c>
      <c r="F2171" s="74">
        <v>3337.38</v>
      </c>
      <c r="G2171" s="75" t="s">
        <v>430</v>
      </c>
      <c r="H2171" s="77" t="str">
        <f>VLOOKUP(DESPESAS[[#This Row],[Plano de Contas]],BASE!$B$3:$D$119,3,FALSE)</f>
        <v>Salarios e Ordenados MOD</v>
      </c>
      <c r="I2171" s="77" t="str">
        <f>IFERROR(VLOOKUP(DESPESAS[[#This Row],[Fornecedor]],Tabela2[],2,FALSE),"")</f>
        <v/>
      </c>
      <c r="J2171" s="77" t="str">
        <f>IFERROR(VLOOKUP(DESPESAS[[#This Row],[Plano de Contas]],BASE!$B$3:$F$119,4,FALSE),"")</f>
        <v>2 - CUSTOS DIRETOS</v>
      </c>
      <c r="K2171" s="77" t="str">
        <f>IFERROR(VLOOKUP(DESPESAS[[#This Row],[Plano de Contas]],BASE!$B$3:$H$119,5,FALSE),"")</f>
        <v>DH</v>
      </c>
      <c r="L2171" s="77" t="str">
        <f>IFERROR(VLOOKUP(DESPESAS[[#This Row],[Plano de Contas]],BASE!$B$3:$H$119,6,FALSE),"")</f>
        <v>CUSTO MÃO DE OBRA DIRETA</v>
      </c>
      <c r="M2171" s="77" t="str">
        <f>VLOOKUP(DESPESAS[[#This Row],[Plano de Contas]],BASE!$B$3:$H$119,7,FALSE)</f>
        <v>RAFAEL</v>
      </c>
    </row>
    <row r="2172" spans="1:13" x14ac:dyDescent="0.25">
      <c r="A2172" s="74">
        <v>199015</v>
      </c>
      <c r="B2172" s="75" t="s">
        <v>279</v>
      </c>
      <c r="C2172" s="75" t="s">
        <v>1665</v>
      </c>
      <c r="D2172" s="76">
        <v>46081</v>
      </c>
      <c r="E2172" s="75" t="s">
        <v>914</v>
      </c>
      <c r="F2172" s="74">
        <v>3168.79</v>
      </c>
      <c r="G2172" s="75" t="s">
        <v>653</v>
      </c>
      <c r="H2172" s="77" t="str">
        <f>VLOOKUP(DESPESAS[[#This Row],[Plano de Contas]],BASE!$B$3:$D$119,3,FALSE)</f>
        <v>Salarios e Ordenados CIF</v>
      </c>
      <c r="I2172" s="77" t="str">
        <f>IFERROR(VLOOKUP(DESPESAS[[#This Row],[Fornecedor]],Tabela2[],2,FALSE),"")</f>
        <v/>
      </c>
      <c r="J2172" s="77" t="str">
        <f>IFERROR(VLOOKUP(DESPESAS[[#This Row],[Plano de Contas]],BASE!$B$3:$F$119,4,FALSE),"")</f>
        <v>3 - CUSTOS INDIRETOS</v>
      </c>
      <c r="K2172" s="77" t="str">
        <f>IFERROR(VLOOKUP(DESPESAS[[#This Row],[Plano de Contas]],BASE!$B$3:$H$119,5,FALSE),"")</f>
        <v>DH</v>
      </c>
      <c r="L2172" s="77" t="str">
        <f>IFERROR(VLOOKUP(DESPESAS[[#This Row],[Plano de Contas]],BASE!$B$3:$H$119,6,FALSE),"")</f>
        <v>CUSTO MÃO DE OBRA DIRETA</v>
      </c>
      <c r="M2172" s="77" t="str">
        <f>VLOOKUP(DESPESAS[[#This Row],[Plano de Contas]],BASE!$B$3:$H$119,7,FALSE)</f>
        <v>RAFAEL</v>
      </c>
    </row>
    <row r="2173" spans="1:13" x14ac:dyDescent="0.25">
      <c r="A2173" s="74">
        <v>199016</v>
      </c>
      <c r="B2173" s="75" t="s">
        <v>279</v>
      </c>
      <c r="C2173" s="75" t="s">
        <v>1665</v>
      </c>
      <c r="D2173" s="76">
        <v>46081</v>
      </c>
      <c r="E2173" s="75" t="s">
        <v>913</v>
      </c>
      <c r="F2173" s="74">
        <v>3428.33</v>
      </c>
      <c r="G2173" s="75" t="s">
        <v>430</v>
      </c>
      <c r="H2173" s="77" t="str">
        <f>VLOOKUP(DESPESAS[[#This Row],[Plano de Contas]],BASE!$B$3:$D$119,3,FALSE)</f>
        <v>Salarios e Ordenados MOD</v>
      </c>
      <c r="I2173" s="77" t="str">
        <f>IFERROR(VLOOKUP(DESPESAS[[#This Row],[Fornecedor]],Tabela2[],2,FALSE),"")</f>
        <v/>
      </c>
      <c r="J2173" s="77" t="str">
        <f>IFERROR(VLOOKUP(DESPESAS[[#This Row],[Plano de Contas]],BASE!$B$3:$F$119,4,FALSE),"")</f>
        <v>2 - CUSTOS DIRETOS</v>
      </c>
      <c r="K2173" s="77" t="str">
        <f>IFERROR(VLOOKUP(DESPESAS[[#This Row],[Plano de Contas]],BASE!$B$3:$H$119,5,FALSE),"")</f>
        <v>DH</v>
      </c>
      <c r="L2173" s="77" t="str">
        <f>IFERROR(VLOOKUP(DESPESAS[[#This Row],[Plano de Contas]],BASE!$B$3:$H$119,6,FALSE),"")</f>
        <v>CUSTO MÃO DE OBRA DIRETA</v>
      </c>
      <c r="M2173" s="77" t="str">
        <f>VLOOKUP(DESPESAS[[#This Row],[Plano de Contas]],BASE!$B$3:$H$119,7,FALSE)</f>
        <v>RAFAEL</v>
      </c>
    </row>
    <row r="2174" spans="1:13" x14ac:dyDescent="0.25">
      <c r="A2174" s="74">
        <v>199017</v>
      </c>
      <c r="B2174" s="75" t="s">
        <v>279</v>
      </c>
      <c r="C2174" s="75" t="s">
        <v>1665</v>
      </c>
      <c r="D2174" s="76">
        <v>46081</v>
      </c>
      <c r="E2174" s="75" t="s">
        <v>850</v>
      </c>
      <c r="F2174" s="74">
        <v>3405.12</v>
      </c>
      <c r="G2174" s="75" t="s">
        <v>430</v>
      </c>
      <c r="H2174" s="77" t="str">
        <f>VLOOKUP(DESPESAS[[#This Row],[Plano de Contas]],BASE!$B$3:$D$119,3,FALSE)</f>
        <v>Salarios e Ordenados MOD</v>
      </c>
      <c r="I2174" s="77" t="str">
        <f>IFERROR(VLOOKUP(DESPESAS[[#This Row],[Fornecedor]],Tabela2[],2,FALSE),"")</f>
        <v/>
      </c>
      <c r="J2174" s="77" t="str">
        <f>IFERROR(VLOOKUP(DESPESAS[[#This Row],[Plano de Contas]],BASE!$B$3:$F$119,4,FALSE),"")</f>
        <v>2 - CUSTOS DIRETOS</v>
      </c>
      <c r="K2174" s="77" t="str">
        <f>IFERROR(VLOOKUP(DESPESAS[[#This Row],[Plano de Contas]],BASE!$B$3:$H$119,5,FALSE),"")</f>
        <v>DH</v>
      </c>
      <c r="L2174" s="77" t="str">
        <f>IFERROR(VLOOKUP(DESPESAS[[#This Row],[Plano de Contas]],BASE!$B$3:$H$119,6,FALSE),"")</f>
        <v>CUSTO MÃO DE OBRA DIRETA</v>
      </c>
      <c r="M2174" s="77" t="str">
        <f>VLOOKUP(DESPESAS[[#This Row],[Plano de Contas]],BASE!$B$3:$H$119,7,FALSE)</f>
        <v>RAFAEL</v>
      </c>
    </row>
    <row r="2175" spans="1:13" x14ac:dyDescent="0.25">
      <c r="A2175" s="74">
        <v>199018</v>
      </c>
      <c r="B2175" s="75" t="s">
        <v>279</v>
      </c>
      <c r="C2175" s="75" t="s">
        <v>1665</v>
      </c>
      <c r="D2175" s="76">
        <v>46081</v>
      </c>
      <c r="E2175" s="75" t="s">
        <v>912</v>
      </c>
      <c r="F2175" s="74">
        <v>3665.3</v>
      </c>
      <c r="G2175" s="75" t="s">
        <v>430</v>
      </c>
      <c r="H2175" s="77" t="str">
        <f>VLOOKUP(DESPESAS[[#This Row],[Plano de Contas]],BASE!$B$3:$D$119,3,FALSE)</f>
        <v>Salarios e Ordenados MOD</v>
      </c>
      <c r="I2175" s="77" t="str">
        <f>IFERROR(VLOOKUP(DESPESAS[[#This Row],[Fornecedor]],Tabela2[],2,FALSE),"")</f>
        <v/>
      </c>
      <c r="J2175" s="77" t="str">
        <f>IFERROR(VLOOKUP(DESPESAS[[#This Row],[Plano de Contas]],BASE!$B$3:$F$119,4,FALSE),"")</f>
        <v>2 - CUSTOS DIRETOS</v>
      </c>
      <c r="K2175" s="77" t="str">
        <f>IFERROR(VLOOKUP(DESPESAS[[#This Row],[Plano de Contas]],BASE!$B$3:$H$119,5,FALSE),"")</f>
        <v>DH</v>
      </c>
      <c r="L2175" s="77" t="str">
        <f>IFERROR(VLOOKUP(DESPESAS[[#This Row],[Plano de Contas]],BASE!$B$3:$H$119,6,FALSE),"")</f>
        <v>CUSTO MÃO DE OBRA DIRETA</v>
      </c>
      <c r="M2175" s="77" t="str">
        <f>VLOOKUP(DESPESAS[[#This Row],[Plano de Contas]],BASE!$B$3:$H$119,7,FALSE)</f>
        <v>RAFAEL</v>
      </c>
    </row>
    <row r="2176" spans="1:13" x14ac:dyDescent="0.25">
      <c r="A2176" s="74">
        <v>199019</v>
      </c>
      <c r="B2176" s="75" t="s">
        <v>279</v>
      </c>
      <c r="C2176" s="75" t="s">
        <v>1665</v>
      </c>
      <c r="D2176" s="76">
        <v>46081</v>
      </c>
      <c r="E2176" s="75" t="s">
        <v>911</v>
      </c>
      <c r="F2176" s="74">
        <v>1841.07</v>
      </c>
      <c r="G2176" s="75" t="s">
        <v>430</v>
      </c>
      <c r="H2176" s="77" t="str">
        <f>VLOOKUP(DESPESAS[[#This Row],[Plano de Contas]],BASE!$B$3:$D$119,3,FALSE)</f>
        <v>Salarios e Ordenados MOD</v>
      </c>
      <c r="I2176" s="77" t="str">
        <f>IFERROR(VLOOKUP(DESPESAS[[#This Row],[Fornecedor]],Tabela2[],2,FALSE),"")</f>
        <v/>
      </c>
      <c r="J2176" s="77" t="str">
        <f>IFERROR(VLOOKUP(DESPESAS[[#This Row],[Plano de Contas]],BASE!$B$3:$F$119,4,FALSE),"")</f>
        <v>2 - CUSTOS DIRETOS</v>
      </c>
      <c r="K2176" s="77" t="str">
        <f>IFERROR(VLOOKUP(DESPESAS[[#This Row],[Plano de Contas]],BASE!$B$3:$H$119,5,FALSE),"")</f>
        <v>DH</v>
      </c>
      <c r="L2176" s="77" t="str">
        <f>IFERROR(VLOOKUP(DESPESAS[[#This Row],[Plano de Contas]],BASE!$B$3:$H$119,6,FALSE),"")</f>
        <v>CUSTO MÃO DE OBRA DIRETA</v>
      </c>
      <c r="M2176" s="77" t="str">
        <f>VLOOKUP(DESPESAS[[#This Row],[Plano de Contas]],BASE!$B$3:$H$119,7,FALSE)</f>
        <v>RAFAEL</v>
      </c>
    </row>
    <row r="2177" spans="1:13" x14ac:dyDescent="0.25">
      <c r="A2177" s="74">
        <v>199020</v>
      </c>
      <c r="B2177" s="75" t="s">
        <v>279</v>
      </c>
      <c r="C2177" s="75" t="s">
        <v>1665</v>
      </c>
      <c r="D2177" s="76">
        <v>46081</v>
      </c>
      <c r="E2177" s="75" t="s">
        <v>277</v>
      </c>
      <c r="F2177" s="74">
        <v>2460.7199999999998</v>
      </c>
      <c r="G2177" s="75" t="s">
        <v>430</v>
      </c>
      <c r="H2177" s="77" t="str">
        <f>VLOOKUP(DESPESAS[[#This Row],[Plano de Contas]],BASE!$B$3:$D$119,3,FALSE)</f>
        <v>Salarios e Ordenados MOD</v>
      </c>
      <c r="I2177" s="77" t="str">
        <f>IFERROR(VLOOKUP(DESPESAS[[#This Row],[Fornecedor]],Tabela2[],2,FALSE),"")</f>
        <v/>
      </c>
      <c r="J2177" s="77" t="str">
        <f>IFERROR(VLOOKUP(DESPESAS[[#This Row],[Plano de Contas]],BASE!$B$3:$F$119,4,FALSE),"")</f>
        <v>2 - CUSTOS DIRETOS</v>
      </c>
      <c r="K2177" s="77" t="str">
        <f>IFERROR(VLOOKUP(DESPESAS[[#This Row],[Plano de Contas]],BASE!$B$3:$H$119,5,FALSE),"")</f>
        <v>DH</v>
      </c>
      <c r="L2177" s="77" t="str">
        <f>IFERROR(VLOOKUP(DESPESAS[[#This Row],[Plano de Contas]],BASE!$B$3:$H$119,6,FALSE),"")</f>
        <v>CUSTO MÃO DE OBRA DIRETA</v>
      </c>
      <c r="M2177" s="77" t="str">
        <f>VLOOKUP(DESPESAS[[#This Row],[Plano de Contas]],BASE!$B$3:$H$119,7,FALSE)</f>
        <v>RAFAEL</v>
      </c>
    </row>
    <row r="2178" spans="1:13" x14ac:dyDescent="0.25">
      <c r="A2178" s="74">
        <v>199021</v>
      </c>
      <c r="B2178" s="75" t="s">
        <v>279</v>
      </c>
      <c r="C2178" s="75" t="s">
        <v>1665</v>
      </c>
      <c r="D2178" s="76">
        <v>46081</v>
      </c>
      <c r="E2178" s="75" t="s">
        <v>910</v>
      </c>
      <c r="F2178" s="74">
        <v>2162.02</v>
      </c>
      <c r="G2178" s="75" t="s">
        <v>627</v>
      </c>
      <c r="H2178" s="77" t="str">
        <f>VLOOKUP(DESPESAS[[#This Row],[Plano de Contas]],BASE!$B$3:$D$119,3,FALSE)</f>
        <v>Salarios e Ordenados (Adm)</v>
      </c>
      <c r="I2178" s="77" t="str">
        <f>IFERROR(VLOOKUP(DESPESAS[[#This Row],[Fornecedor]],Tabela2[],2,FALSE),"")</f>
        <v/>
      </c>
      <c r="J2178" s="77" t="str">
        <f>IFERROR(VLOOKUP(DESPESAS[[#This Row],[Plano de Contas]],BASE!$B$3:$F$119,4,FALSE),"")</f>
        <v>4 - GASTOS COM PESSOAL</v>
      </c>
      <c r="K2178" s="77" t="str">
        <f>IFERROR(VLOOKUP(DESPESAS[[#This Row],[Plano de Contas]],BASE!$B$3:$H$119,5,FALSE),"")</f>
        <v>DH</v>
      </c>
      <c r="L2178" s="77">
        <f>IFERROR(VLOOKUP(DESPESAS[[#This Row],[Plano de Contas]],BASE!$B$3:$H$119,6,FALSE),"")</f>
        <v>0</v>
      </c>
      <c r="M2178" s="77" t="str">
        <f>VLOOKUP(DESPESAS[[#This Row],[Plano de Contas]],BASE!$B$3:$H$119,7,FALSE)</f>
        <v>RAFAEL</v>
      </c>
    </row>
    <row r="2179" spans="1:13" x14ac:dyDescent="0.25">
      <c r="A2179" s="74">
        <v>199022</v>
      </c>
      <c r="B2179" s="75" t="s">
        <v>279</v>
      </c>
      <c r="C2179" s="75" t="s">
        <v>1665</v>
      </c>
      <c r="D2179" s="76">
        <v>46081</v>
      </c>
      <c r="E2179" s="75" t="s">
        <v>909</v>
      </c>
      <c r="F2179" s="74">
        <v>3205.85</v>
      </c>
      <c r="G2179" s="75" t="s">
        <v>430</v>
      </c>
      <c r="H2179" s="77" t="str">
        <f>VLOOKUP(DESPESAS[[#This Row],[Plano de Contas]],BASE!$B$3:$D$119,3,FALSE)</f>
        <v>Salarios e Ordenados MOD</v>
      </c>
      <c r="I2179" s="77" t="str">
        <f>IFERROR(VLOOKUP(DESPESAS[[#This Row],[Fornecedor]],Tabela2[],2,FALSE),"")</f>
        <v/>
      </c>
      <c r="J2179" s="77" t="str">
        <f>IFERROR(VLOOKUP(DESPESAS[[#This Row],[Plano de Contas]],BASE!$B$3:$F$119,4,FALSE),"")</f>
        <v>2 - CUSTOS DIRETOS</v>
      </c>
      <c r="K2179" s="77" t="str">
        <f>IFERROR(VLOOKUP(DESPESAS[[#This Row],[Plano de Contas]],BASE!$B$3:$H$119,5,FALSE),"")</f>
        <v>DH</v>
      </c>
      <c r="L2179" s="77" t="str">
        <f>IFERROR(VLOOKUP(DESPESAS[[#This Row],[Plano de Contas]],BASE!$B$3:$H$119,6,FALSE),"")</f>
        <v>CUSTO MÃO DE OBRA DIRETA</v>
      </c>
      <c r="M2179" s="77" t="str">
        <f>VLOOKUP(DESPESAS[[#This Row],[Plano de Contas]],BASE!$B$3:$H$119,7,FALSE)</f>
        <v>RAFAEL</v>
      </c>
    </row>
    <row r="2180" spans="1:13" x14ac:dyDescent="0.25">
      <c r="A2180" s="74">
        <v>199023</v>
      </c>
      <c r="B2180" s="75" t="s">
        <v>279</v>
      </c>
      <c r="C2180" s="75" t="s">
        <v>1665</v>
      </c>
      <c r="D2180" s="76">
        <v>46081</v>
      </c>
      <c r="E2180" s="75" t="s">
        <v>908</v>
      </c>
      <c r="F2180" s="74">
        <v>3101.17</v>
      </c>
      <c r="G2180" s="75" t="s">
        <v>430</v>
      </c>
      <c r="H2180" s="77" t="str">
        <f>VLOOKUP(DESPESAS[[#This Row],[Plano de Contas]],BASE!$B$3:$D$119,3,FALSE)</f>
        <v>Salarios e Ordenados MOD</v>
      </c>
      <c r="I2180" s="77" t="str">
        <f>IFERROR(VLOOKUP(DESPESAS[[#This Row],[Fornecedor]],Tabela2[],2,FALSE),"")</f>
        <v/>
      </c>
      <c r="J2180" s="77" t="str">
        <f>IFERROR(VLOOKUP(DESPESAS[[#This Row],[Plano de Contas]],BASE!$B$3:$F$119,4,FALSE),"")</f>
        <v>2 - CUSTOS DIRETOS</v>
      </c>
      <c r="K2180" s="77" t="str">
        <f>IFERROR(VLOOKUP(DESPESAS[[#This Row],[Plano de Contas]],BASE!$B$3:$H$119,5,FALSE),"")</f>
        <v>DH</v>
      </c>
      <c r="L2180" s="77" t="str">
        <f>IFERROR(VLOOKUP(DESPESAS[[#This Row],[Plano de Contas]],BASE!$B$3:$H$119,6,FALSE),"")</f>
        <v>CUSTO MÃO DE OBRA DIRETA</v>
      </c>
      <c r="M2180" s="77" t="str">
        <f>VLOOKUP(DESPESAS[[#This Row],[Plano de Contas]],BASE!$B$3:$H$119,7,FALSE)</f>
        <v>RAFAEL</v>
      </c>
    </row>
    <row r="2181" spans="1:13" x14ac:dyDescent="0.25">
      <c r="A2181" s="74">
        <v>199024</v>
      </c>
      <c r="B2181" s="75" t="s">
        <v>279</v>
      </c>
      <c r="C2181" s="75" t="s">
        <v>1665</v>
      </c>
      <c r="D2181" s="76">
        <v>46081</v>
      </c>
      <c r="E2181" s="75" t="s">
        <v>847</v>
      </c>
      <c r="F2181" s="74">
        <v>3542.88</v>
      </c>
      <c r="G2181" s="75" t="s">
        <v>430</v>
      </c>
      <c r="H2181" s="77" t="str">
        <f>VLOOKUP(DESPESAS[[#This Row],[Plano de Contas]],BASE!$B$3:$D$119,3,FALSE)</f>
        <v>Salarios e Ordenados MOD</v>
      </c>
      <c r="I2181" s="77" t="str">
        <f>IFERROR(VLOOKUP(DESPESAS[[#This Row],[Fornecedor]],Tabela2[],2,FALSE),"")</f>
        <v/>
      </c>
      <c r="J2181" s="77" t="str">
        <f>IFERROR(VLOOKUP(DESPESAS[[#This Row],[Plano de Contas]],BASE!$B$3:$F$119,4,FALSE),"")</f>
        <v>2 - CUSTOS DIRETOS</v>
      </c>
      <c r="K2181" s="77" t="str">
        <f>IFERROR(VLOOKUP(DESPESAS[[#This Row],[Plano de Contas]],BASE!$B$3:$H$119,5,FALSE),"")</f>
        <v>DH</v>
      </c>
      <c r="L2181" s="77" t="str">
        <f>IFERROR(VLOOKUP(DESPESAS[[#This Row],[Plano de Contas]],BASE!$B$3:$H$119,6,FALSE),"")</f>
        <v>CUSTO MÃO DE OBRA DIRETA</v>
      </c>
      <c r="M2181" s="77" t="str">
        <f>VLOOKUP(DESPESAS[[#This Row],[Plano de Contas]],BASE!$B$3:$H$119,7,FALSE)</f>
        <v>RAFAEL</v>
      </c>
    </row>
    <row r="2182" spans="1:13" x14ac:dyDescent="0.25">
      <c r="A2182" s="74">
        <v>199025</v>
      </c>
      <c r="B2182" s="75" t="s">
        <v>279</v>
      </c>
      <c r="C2182" s="75" t="s">
        <v>1665</v>
      </c>
      <c r="D2182" s="76">
        <v>46081</v>
      </c>
      <c r="E2182" s="75" t="s">
        <v>907</v>
      </c>
      <c r="F2182" s="74">
        <v>3776.6</v>
      </c>
      <c r="G2182" s="75" t="s">
        <v>430</v>
      </c>
      <c r="H2182" s="77" t="str">
        <f>VLOOKUP(DESPESAS[[#This Row],[Plano de Contas]],BASE!$B$3:$D$119,3,FALSE)</f>
        <v>Salarios e Ordenados MOD</v>
      </c>
      <c r="I2182" s="77" t="str">
        <f>IFERROR(VLOOKUP(DESPESAS[[#This Row],[Fornecedor]],Tabela2[],2,FALSE),"")</f>
        <v/>
      </c>
      <c r="J2182" s="77" t="str">
        <f>IFERROR(VLOOKUP(DESPESAS[[#This Row],[Plano de Contas]],BASE!$B$3:$F$119,4,FALSE),"")</f>
        <v>2 - CUSTOS DIRETOS</v>
      </c>
      <c r="K2182" s="77" t="str">
        <f>IFERROR(VLOOKUP(DESPESAS[[#This Row],[Plano de Contas]],BASE!$B$3:$H$119,5,FALSE),"")</f>
        <v>DH</v>
      </c>
      <c r="L2182" s="77" t="str">
        <f>IFERROR(VLOOKUP(DESPESAS[[#This Row],[Plano de Contas]],BASE!$B$3:$H$119,6,FALSE),"")</f>
        <v>CUSTO MÃO DE OBRA DIRETA</v>
      </c>
      <c r="M2182" s="77" t="str">
        <f>VLOOKUP(DESPESAS[[#This Row],[Plano de Contas]],BASE!$B$3:$H$119,7,FALSE)</f>
        <v>RAFAEL</v>
      </c>
    </row>
    <row r="2183" spans="1:13" x14ac:dyDescent="0.25">
      <c r="A2183" s="74">
        <v>199026</v>
      </c>
      <c r="B2183" s="75" t="s">
        <v>279</v>
      </c>
      <c r="C2183" s="75" t="s">
        <v>1665</v>
      </c>
      <c r="D2183" s="76">
        <v>46081</v>
      </c>
      <c r="E2183" s="75" t="s">
        <v>906</v>
      </c>
      <c r="F2183" s="74">
        <v>1954.7</v>
      </c>
      <c r="G2183" s="75" t="s">
        <v>627</v>
      </c>
      <c r="H2183" s="77" t="str">
        <f>VLOOKUP(DESPESAS[[#This Row],[Plano de Contas]],BASE!$B$3:$D$119,3,FALSE)</f>
        <v>Salarios e Ordenados (Adm)</v>
      </c>
      <c r="I2183" s="77" t="str">
        <f>IFERROR(VLOOKUP(DESPESAS[[#This Row],[Fornecedor]],Tabela2[],2,FALSE),"")</f>
        <v/>
      </c>
      <c r="J2183" s="77" t="str">
        <f>IFERROR(VLOOKUP(DESPESAS[[#This Row],[Plano de Contas]],BASE!$B$3:$F$119,4,FALSE),"")</f>
        <v>4 - GASTOS COM PESSOAL</v>
      </c>
      <c r="K2183" s="77" t="str">
        <f>IFERROR(VLOOKUP(DESPESAS[[#This Row],[Plano de Contas]],BASE!$B$3:$H$119,5,FALSE),"")</f>
        <v>DH</v>
      </c>
      <c r="L2183" s="77">
        <f>IFERROR(VLOOKUP(DESPESAS[[#This Row],[Plano de Contas]],BASE!$B$3:$H$119,6,FALSE),"")</f>
        <v>0</v>
      </c>
      <c r="M2183" s="77" t="str">
        <f>VLOOKUP(DESPESAS[[#This Row],[Plano de Contas]],BASE!$B$3:$H$119,7,FALSE)</f>
        <v>RAFAEL</v>
      </c>
    </row>
    <row r="2184" spans="1:13" x14ac:dyDescent="0.25">
      <c r="A2184" s="74">
        <v>199027</v>
      </c>
      <c r="B2184" s="75" t="s">
        <v>279</v>
      </c>
      <c r="C2184" s="75" t="s">
        <v>1665</v>
      </c>
      <c r="D2184" s="76">
        <v>46081</v>
      </c>
      <c r="E2184" s="75" t="s">
        <v>905</v>
      </c>
      <c r="F2184" s="74">
        <v>3721.86</v>
      </c>
      <c r="G2184" s="75" t="s">
        <v>430</v>
      </c>
      <c r="H2184" s="77" t="str">
        <f>VLOOKUP(DESPESAS[[#This Row],[Plano de Contas]],BASE!$B$3:$D$119,3,FALSE)</f>
        <v>Salarios e Ordenados MOD</v>
      </c>
      <c r="I2184" s="77" t="str">
        <f>IFERROR(VLOOKUP(DESPESAS[[#This Row],[Fornecedor]],Tabela2[],2,FALSE),"")</f>
        <v/>
      </c>
      <c r="J2184" s="77" t="str">
        <f>IFERROR(VLOOKUP(DESPESAS[[#This Row],[Plano de Contas]],BASE!$B$3:$F$119,4,FALSE),"")</f>
        <v>2 - CUSTOS DIRETOS</v>
      </c>
      <c r="K2184" s="77" t="str">
        <f>IFERROR(VLOOKUP(DESPESAS[[#This Row],[Plano de Contas]],BASE!$B$3:$H$119,5,FALSE),"")</f>
        <v>DH</v>
      </c>
      <c r="L2184" s="77" t="str">
        <f>IFERROR(VLOOKUP(DESPESAS[[#This Row],[Plano de Contas]],BASE!$B$3:$H$119,6,FALSE),"")</f>
        <v>CUSTO MÃO DE OBRA DIRETA</v>
      </c>
      <c r="M2184" s="77" t="str">
        <f>VLOOKUP(DESPESAS[[#This Row],[Plano de Contas]],BASE!$B$3:$H$119,7,FALSE)</f>
        <v>RAFAEL</v>
      </c>
    </row>
    <row r="2185" spans="1:13" x14ac:dyDescent="0.25">
      <c r="A2185" s="74">
        <v>199028</v>
      </c>
      <c r="B2185" s="75" t="s">
        <v>279</v>
      </c>
      <c r="C2185" s="75" t="s">
        <v>1665</v>
      </c>
      <c r="D2185" s="76">
        <v>46081</v>
      </c>
      <c r="E2185" s="75" t="s">
        <v>904</v>
      </c>
      <c r="F2185" s="74">
        <v>2575.67</v>
      </c>
      <c r="G2185" s="75" t="s">
        <v>627</v>
      </c>
      <c r="H2185" s="77" t="str">
        <f>VLOOKUP(DESPESAS[[#This Row],[Plano de Contas]],BASE!$B$3:$D$119,3,FALSE)</f>
        <v>Salarios e Ordenados (Adm)</v>
      </c>
      <c r="I2185" s="77" t="str">
        <f>IFERROR(VLOOKUP(DESPESAS[[#This Row],[Fornecedor]],Tabela2[],2,FALSE),"")</f>
        <v/>
      </c>
      <c r="J2185" s="77" t="str">
        <f>IFERROR(VLOOKUP(DESPESAS[[#This Row],[Plano de Contas]],BASE!$B$3:$F$119,4,FALSE),"")</f>
        <v>4 - GASTOS COM PESSOAL</v>
      </c>
      <c r="K2185" s="77" t="str">
        <f>IFERROR(VLOOKUP(DESPESAS[[#This Row],[Plano de Contas]],BASE!$B$3:$H$119,5,FALSE),"")</f>
        <v>DH</v>
      </c>
      <c r="L2185" s="77">
        <f>IFERROR(VLOOKUP(DESPESAS[[#This Row],[Plano de Contas]],BASE!$B$3:$H$119,6,FALSE),"")</f>
        <v>0</v>
      </c>
      <c r="M2185" s="77" t="str">
        <f>VLOOKUP(DESPESAS[[#This Row],[Plano de Contas]],BASE!$B$3:$H$119,7,FALSE)</f>
        <v>RAFAEL</v>
      </c>
    </row>
    <row r="2186" spans="1:13" x14ac:dyDescent="0.25">
      <c r="A2186" s="74">
        <v>199029</v>
      </c>
      <c r="B2186" s="75" t="s">
        <v>279</v>
      </c>
      <c r="C2186" s="75" t="s">
        <v>1665</v>
      </c>
      <c r="D2186" s="76">
        <v>46081</v>
      </c>
      <c r="E2186" s="75" t="s">
        <v>903</v>
      </c>
      <c r="F2186" s="74">
        <v>2625.89</v>
      </c>
      <c r="G2186" s="75" t="s">
        <v>430</v>
      </c>
      <c r="H2186" s="77" t="str">
        <f>VLOOKUP(DESPESAS[[#This Row],[Plano de Contas]],BASE!$B$3:$D$119,3,FALSE)</f>
        <v>Salarios e Ordenados MOD</v>
      </c>
      <c r="I2186" s="77" t="str">
        <f>IFERROR(VLOOKUP(DESPESAS[[#This Row],[Fornecedor]],Tabela2[],2,FALSE),"")</f>
        <v/>
      </c>
      <c r="J2186" s="77" t="str">
        <f>IFERROR(VLOOKUP(DESPESAS[[#This Row],[Plano de Contas]],BASE!$B$3:$F$119,4,FALSE),"")</f>
        <v>2 - CUSTOS DIRETOS</v>
      </c>
      <c r="K2186" s="77" t="str">
        <f>IFERROR(VLOOKUP(DESPESAS[[#This Row],[Plano de Contas]],BASE!$B$3:$H$119,5,FALSE),"")</f>
        <v>DH</v>
      </c>
      <c r="L2186" s="77" t="str">
        <f>IFERROR(VLOOKUP(DESPESAS[[#This Row],[Plano de Contas]],BASE!$B$3:$H$119,6,FALSE),"")</f>
        <v>CUSTO MÃO DE OBRA DIRETA</v>
      </c>
      <c r="M2186" s="77" t="str">
        <f>VLOOKUP(DESPESAS[[#This Row],[Plano de Contas]],BASE!$B$3:$H$119,7,FALSE)</f>
        <v>RAFAEL</v>
      </c>
    </row>
    <row r="2187" spans="1:13" x14ac:dyDescent="0.25">
      <c r="A2187" s="74">
        <v>199030</v>
      </c>
      <c r="B2187" s="75" t="s">
        <v>279</v>
      </c>
      <c r="C2187" s="75" t="s">
        <v>1665</v>
      </c>
      <c r="D2187" s="76">
        <v>46081</v>
      </c>
      <c r="E2187" s="75" t="s">
        <v>843</v>
      </c>
      <c r="F2187" s="74">
        <v>4545.47</v>
      </c>
      <c r="G2187" s="75" t="s">
        <v>627</v>
      </c>
      <c r="H2187" s="77" t="str">
        <f>VLOOKUP(DESPESAS[[#This Row],[Plano de Contas]],BASE!$B$3:$D$119,3,FALSE)</f>
        <v>Salarios e Ordenados (Adm)</v>
      </c>
      <c r="I2187" s="77" t="str">
        <f>IFERROR(VLOOKUP(DESPESAS[[#This Row],[Fornecedor]],Tabela2[],2,FALSE),"")</f>
        <v/>
      </c>
      <c r="J2187" s="77" t="str">
        <f>IFERROR(VLOOKUP(DESPESAS[[#This Row],[Plano de Contas]],BASE!$B$3:$F$119,4,FALSE),"")</f>
        <v>4 - GASTOS COM PESSOAL</v>
      </c>
      <c r="K2187" s="77" t="str">
        <f>IFERROR(VLOOKUP(DESPESAS[[#This Row],[Plano de Contas]],BASE!$B$3:$H$119,5,FALSE),"")</f>
        <v>DH</v>
      </c>
      <c r="L2187" s="77">
        <f>IFERROR(VLOOKUP(DESPESAS[[#This Row],[Plano de Contas]],BASE!$B$3:$H$119,6,FALSE),"")</f>
        <v>0</v>
      </c>
      <c r="M2187" s="77" t="str">
        <f>VLOOKUP(DESPESAS[[#This Row],[Plano de Contas]],BASE!$B$3:$H$119,7,FALSE)</f>
        <v>RAFAEL</v>
      </c>
    </row>
    <row r="2188" spans="1:13" x14ac:dyDescent="0.25">
      <c r="A2188" s="74">
        <v>199031</v>
      </c>
      <c r="B2188" s="75" t="s">
        <v>279</v>
      </c>
      <c r="C2188" s="75" t="s">
        <v>1665</v>
      </c>
      <c r="D2188" s="76">
        <v>46081</v>
      </c>
      <c r="E2188" s="75" t="s">
        <v>902</v>
      </c>
      <c r="F2188" s="74">
        <v>2804.81</v>
      </c>
      <c r="G2188" s="75" t="s">
        <v>430</v>
      </c>
      <c r="H2188" s="77" t="str">
        <f>VLOOKUP(DESPESAS[[#This Row],[Plano de Contas]],BASE!$B$3:$D$119,3,FALSE)</f>
        <v>Salarios e Ordenados MOD</v>
      </c>
      <c r="I2188" s="77" t="str">
        <f>IFERROR(VLOOKUP(DESPESAS[[#This Row],[Fornecedor]],Tabela2[],2,FALSE),"")</f>
        <v/>
      </c>
      <c r="J2188" s="77" t="str">
        <f>IFERROR(VLOOKUP(DESPESAS[[#This Row],[Plano de Contas]],BASE!$B$3:$F$119,4,FALSE),"")</f>
        <v>2 - CUSTOS DIRETOS</v>
      </c>
      <c r="K2188" s="77" t="str">
        <f>IFERROR(VLOOKUP(DESPESAS[[#This Row],[Plano de Contas]],BASE!$B$3:$H$119,5,FALSE),"")</f>
        <v>DH</v>
      </c>
      <c r="L2188" s="77" t="str">
        <f>IFERROR(VLOOKUP(DESPESAS[[#This Row],[Plano de Contas]],BASE!$B$3:$H$119,6,FALSE),"")</f>
        <v>CUSTO MÃO DE OBRA DIRETA</v>
      </c>
      <c r="M2188" s="77" t="str">
        <f>VLOOKUP(DESPESAS[[#This Row],[Plano de Contas]],BASE!$B$3:$H$119,7,FALSE)</f>
        <v>RAFAEL</v>
      </c>
    </row>
    <row r="2189" spans="1:13" x14ac:dyDescent="0.25">
      <c r="A2189" s="74">
        <v>199033</v>
      </c>
      <c r="B2189" s="75" t="s">
        <v>221</v>
      </c>
      <c r="C2189" s="75" t="s">
        <v>1711</v>
      </c>
      <c r="D2189" s="76">
        <v>46085</v>
      </c>
      <c r="E2189" s="75" t="s">
        <v>1710</v>
      </c>
      <c r="F2189" s="74">
        <v>670</v>
      </c>
      <c r="G2189" s="75" t="s">
        <v>854</v>
      </c>
      <c r="H2189" s="77" t="str">
        <f>VLOOKUP(DESPESAS[[#This Row],[Plano de Contas]],BASE!$B$3:$D$119,3,FALSE)</f>
        <v>Confraternização</v>
      </c>
      <c r="I2189" s="77" t="str">
        <f>IFERROR(VLOOKUP(DESPESAS[[#This Row],[Fornecedor]],Tabela2[],2,FALSE),"")</f>
        <v/>
      </c>
      <c r="J2189" s="77" t="str">
        <f>IFERROR(VLOOKUP(DESPESAS[[#This Row],[Plano de Contas]],BASE!$B$3:$F$119,4,FALSE),"")</f>
        <v>4 - GASTOS COM PESSOAL</v>
      </c>
      <c r="K2189" s="77" t="str">
        <f>IFERROR(VLOOKUP(DESPESAS[[#This Row],[Plano de Contas]],BASE!$B$3:$H$119,5,FALSE),"")</f>
        <v>DH</v>
      </c>
      <c r="L2189" s="77">
        <f>IFERROR(VLOOKUP(DESPESAS[[#This Row],[Plano de Contas]],BASE!$B$3:$H$119,6,FALSE),"")</f>
        <v>0</v>
      </c>
      <c r="M2189" s="77" t="str">
        <f>VLOOKUP(DESPESAS[[#This Row],[Plano de Contas]],BASE!$B$3:$H$119,7,FALSE)</f>
        <v>MYLENA</v>
      </c>
    </row>
    <row r="2190" spans="1:13" x14ac:dyDescent="0.25">
      <c r="A2190" s="74">
        <v>199034</v>
      </c>
      <c r="B2190" s="75" t="s">
        <v>221</v>
      </c>
      <c r="C2190" s="75" t="s">
        <v>1709</v>
      </c>
      <c r="D2190" s="76">
        <v>46085</v>
      </c>
      <c r="E2190" s="75" t="s">
        <v>1708</v>
      </c>
      <c r="F2190" s="74">
        <v>2840</v>
      </c>
      <c r="G2190" s="75" t="s">
        <v>247</v>
      </c>
      <c r="H2190" s="77" t="str">
        <f>VLOOKUP(DESPESAS[[#This Row],[Plano de Contas]],BASE!$B$3:$D$119,3,FALSE)</f>
        <v>Manutenção com veiculos</v>
      </c>
      <c r="I2190" s="77" t="str">
        <f>IFERROR(VLOOKUP(DESPESAS[[#This Row],[Fornecedor]],Tabela2[],2,FALSE),"")</f>
        <v/>
      </c>
      <c r="J2190" s="77" t="str">
        <f>IFERROR(VLOOKUP(DESPESAS[[#This Row],[Plano de Contas]],BASE!$B$3:$F$119,4,FALSE),"")</f>
        <v>6 - DESPESA COM VENDAS</v>
      </c>
      <c r="K2190" s="77" t="str">
        <f>IFERROR(VLOOKUP(DESPESAS[[#This Row],[Plano de Contas]],BASE!$B$3:$H$119,5,FALSE),"")</f>
        <v>LOGÍSTICA</v>
      </c>
      <c r="L2190" s="77">
        <f>IFERROR(VLOOKUP(DESPESAS[[#This Row],[Plano de Contas]],BASE!$B$3:$H$119,6,FALSE),"")</f>
        <v>0</v>
      </c>
      <c r="M2190" s="77" t="str">
        <f>VLOOKUP(DESPESAS[[#This Row],[Plano de Contas]],BASE!$B$3:$H$119,7,FALSE)</f>
        <v>MYLENA</v>
      </c>
    </row>
    <row r="2191" spans="1:13" x14ac:dyDescent="0.25">
      <c r="A2191" s="74">
        <v>199035</v>
      </c>
      <c r="B2191" s="75" t="s">
        <v>221</v>
      </c>
      <c r="C2191" s="75" t="s">
        <v>1707</v>
      </c>
      <c r="D2191" s="76">
        <v>46073</v>
      </c>
      <c r="E2191" s="75" t="s">
        <v>347</v>
      </c>
      <c r="F2191" s="74">
        <v>169.3</v>
      </c>
      <c r="G2191" s="75" t="s">
        <v>324</v>
      </c>
      <c r="H2191" s="77" t="str">
        <f>VLOOKUP(DESPESAS[[#This Row],[Plano de Contas]],BASE!$B$3:$D$119,3,FALSE)</f>
        <v>Cursos e Treinamentos CIF</v>
      </c>
      <c r="I2191" s="77" t="str">
        <f>IFERROR(VLOOKUP(DESPESAS[[#This Row],[Fornecedor]],Tabela2[],2,FALSE),"")</f>
        <v/>
      </c>
      <c r="J2191" s="77" t="str">
        <f>IFERROR(VLOOKUP(DESPESAS[[#This Row],[Plano de Contas]],BASE!$B$3:$F$119,4,FALSE),"")</f>
        <v>3 - CUSTOS INDIRETOS</v>
      </c>
      <c r="K2191" s="77" t="str">
        <f>IFERROR(VLOOKUP(DESPESAS[[#This Row],[Plano de Contas]],BASE!$B$3:$H$119,5,FALSE),"")</f>
        <v>DH</v>
      </c>
      <c r="L2191" s="77">
        <f>IFERROR(VLOOKUP(DESPESAS[[#This Row],[Plano de Contas]],BASE!$B$3:$H$119,6,FALSE),"")</f>
        <v>0</v>
      </c>
      <c r="M2191" s="77" t="str">
        <f>VLOOKUP(DESPESAS[[#This Row],[Plano de Contas]],BASE!$B$3:$H$119,7,FALSE)</f>
        <v>FÁBIO</v>
      </c>
    </row>
    <row r="2192" spans="1:13" x14ac:dyDescent="0.25">
      <c r="A2192" s="74">
        <v>199036</v>
      </c>
      <c r="B2192" s="75" t="s">
        <v>221</v>
      </c>
      <c r="C2192" s="75" t="s">
        <v>1706</v>
      </c>
      <c r="D2192" s="76">
        <v>46073</v>
      </c>
      <c r="E2192" s="75" t="s">
        <v>347</v>
      </c>
      <c r="F2192" s="74">
        <v>499</v>
      </c>
      <c r="G2192" s="75" t="s">
        <v>324</v>
      </c>
      <c r="H2192" s="77" t="str">
        <f>VLOOKUP(DESPESAS[[#This Row],[Plano de Contas]],BASE!$B$3:$D$119,3,FALSE)</f>
        <v>Cursos e Treinamentos CIF</v>
      </c>
      <c r="I2192" s="77" t="str">
        <f>IFERROR(VLOOKUP(DESPESAS[[#This Row],[Fornecedor]],Tabela2[],2,FALSE),"")</f>
        <v/>
      </c>
      <c r="J2192" s="77" t="str">
        <f>IFERROR(VLOOKUP(DESPESAS[[#This Row],[Plano de Contas]],BASE!$B$3:$F$119,4,FALSE),"")</f>
        <v>3 - CUSTOS INDIRETOS</v>
      </c>
      <c r="K2192" s="77" t="str">
        <f>IFERROR(VLOOKUP(DESPESAS[[#This Row],[Plano de Contas]],BASE!$B$3:$H$119,5,FALSE),"")</f>
        <v>DH</v>
      </c>
      <c r="L2192" s="77">
        <f>IFERROR(VLOOKUP(DESPESAS[[#This Row],[Plano de Contas]],BASE!$B$3:$H$119,6,FALSE),"")</f>
        <v>0</v>
      </c>
      <c r="M2192" s="77" t="str">
        <f>VLOOKUP(DESPESAS[[#This Row],[Plano de Contas]],BASE!$B$3:$H$119,7,FALSE)</f>
        <v>FÁBIO</v>
      </c>
    </row>
    <row r="2193" spans="1:13" x14ac:dyDescent="0.25">
      <c r="A2193" s="74">
        <v>199037</v>
      </c>
      <c r="B2193" s="75" t="s">
        <v>221</v>
      </c>
      <c r="C2193" s="75" t="s">
        <v>1706</v>
      </c>
      <c r="D2193" s="76">
        <v>46073</v>
      </c>
      <c r="E2193" s="75" t="s">
        <v>347</v>
      </c>
      <c r="F2193" s="74">
        <v>183.6</v>
      </c>
      <c r="G2193" s="75" t="s">
        <v>324</v>
      </c>
      <c r="H2193" s="77" t="str">
        <f>VLOOKUP(DESPESAS[[#This Row],[Plano de Contas]],BASE!$B$3:$D$119,3,FALSE)</f>
        <v>Cursos e Treinamentos CIF</v>
      </c>
      <c r="I2193" s="77" t="str">
        <f>IFERROR(VLOOKUP(DESPESAS[[#This Row],[Fornecedor]],Tabela2[],2,FALSE),"")</f>
        <v/>
      </c>
      <c r="J2193" s="77" t="str">
        <f>IFERROR(VLOOKUP(DESPESAS[[#This Row],[Plano de Contas]],BASE!$B$3:$F$119,4,FALSE),"")</f>
        <v>3 - CUSTOS INDIRETOS</v>
      </c>
      <c r="K2193" s="77" t="str">
        <f>IFERROR(VLOOKUP(DESPESAS[[#This Row],[Plano de Contas]],BASE!$B$3:$H$119,5,FALSE),"")</f>
        <v>DH</v>
      </c>
      <c r="L2193" s="77">
        <f>IFERROR(VLOOKUP(DESPESAS[[#This Row],[Plano de Contas]],BASE!$B$3:$H$119,6,FALSE),"")</f>
        <v>0</v>
      </c>
      <c r="M2193" s="77" t="str">
        <f>VLOOKUP(DESPESAS[[#This Row],[Plano de Contas]],BASE!$B$3:$H$119,7,FALSE)</f>
        <v>FÁBIO</v>
      </c>
    </row>
    <row r="2194" spans="1:13" x14ac:dyDescent="0.25">
      <c r="A2194" s="74">
        <v>199038</v>
      </c>
      <c r="B2194" s="75" t="s">
        <v>221</v>
      </c>
      <c r="C2194" s="75" t="s">
        <v>1706</v>
      </c>
      <c r="D2194" s="76">
        <v>46085</v>
      </c>
      <c r="E2194" s="75" t="s">
        <v>347</v>
      </c>
      <c r="F2194" s="74">
        <v>47.4</v>
      </c>
      <c r="G2194" s="75" t="s">
        <v>324</v>
      </c>
      <c r="H2194" s="77" t="str">
        <f>VLOOKUP(DESPESAS[[#This Row],[Plano de Contas]],BASE!$B$3:$D$119,3,FALSE)</f>
        <v>Cursos e Treinamentos CIF</v>
      </c>
      <c r="I2194" s="77" t="str">
        <f>IFERROR(VLOOKUP(DESPESAS[[#This Row],[Fornecedor]],Tabela2[],2,FALSE),"")</f>
        <v/>
      </c>
      <c r="J2194" s="77" t="str">
        <f>IFERROR(VLOOKUP(DESPESAS[[#This Row],[Plano de Contas]],BASE!$B$3:$F$119,4,FALSE),"")</f>
        <v>3 - CUSTOS INDIRETOS</v>
      </c>
      <c r="K2194" s="77" t="str">
        <f>IFERROR(VLOOKUP(DESPESAS[[#This Row],[Plano de Contas]],BASE!$B$3:$H$119,5,FALSE),"")</f>
        <v>DH</v>
      </c>
      <c r="L2194" s="77">
        <f>IFERROR(VLOOKUP(DESPESAS[[#This Row],[Plano de Contas]],BASE!$B$3:$H$119,6,FALSE),"")</f>
        <v>0</v>
      </c>
      <c r="M2194" s="77" t="str">
        <f>VLOOKUP(DESPESAS[[#This Row],[Plano de Contas]],BASE!$B$3:$H$119,7,FALSE)</f>
        <v>FÁBIO</v>
      </c>
    </row>
    <row r="2195" spans="1:13" x14ac:dyDescent="0.25">
      <c r="A2195" s="74">
        <v>199039</v>
      </c>
      <c r="B2195" s="75" t="s">
        <v>221</v>
      </c>
      <c r="C2195" s="75" t="s">
        <v>1705</v>
      </c>
      <c r="D2195" s="76">
        <v>46085</v>
      </c>
      <c r="E2195" s="75" t="s">
        <v>245</v>
      </c>
      <c r="F2195" s="74">
        <v>44</v>
      </c>
      <c r="G2195" s="75" t="s">
        <v>218</v>
      </c>
      <c r="H2195" s="77" t="str">
        <f>VLOOKUP(DESPESAS[[#This Row],[Plano de Contas]],BASE!$B$3:$D$119,3,FALSE)</f>
        <v>Manutenção de Equipamentos (Prod)</v>
      </c>
      <c r="I2195" s="77" t="str">
        <f>IFERROR(VLOOKUP(DESPESAS[[#This Row],[Fornecedor]],Tabela2[],2,FALSE),"")</f>
        <v>FERRAGENS GERAIS</v>
      </c>
      <c r="J2195" s="77" t="str">
        <f>IFERROR(VLOOKUP(DESPESAS[[#This Row],[Plano de Contas]],BASE!$B$3:$F$119,4,FALSE),"")</f>
        <v>3 - CUSTOS INDIRETOS</v>
      </c>
      <c r="K2195" s="77" t="str">
        <f>IFERROR(VLOOKUP(DESPESAS[[#This Row],[Plano de Contas]],BASE!$B$3:$H$119,5,FALSE),"")</f>
        <v>MANUTENÇÃO / TI</v>
      </c>
      <c r="L2195" s="77">
        <f>IFERROR(VLOOKUP(DESPESAS[[#This Row],[Plano de Contas]],BASE!$B$3:$H$119,6,FALSE),"")</f>
        <v>0</v>
      </c>
      <c r="M2195" s="77" t="str">
        <f>VLOOKUP(DESPESAS[[#This Row],[Plano de Contas]],BASE!$B$3:$H$119,7,FALSE)</f>
        <v>RAFAEL</v>
      </c>
    </row>
    <row r="2196" spans="1:13" x14ac:dyDescent="0.25">
      <c r="A2196" s="74">
        <v>199040</v>
      </c>
      <c r="B2196" s="75" t="s">
        <v>221</v>
      </c>
      <c r="C2196" s="75" t="s">
        <v>1704</v>
      </c>
      <c r="D2196" s="76">
        <v>46085</v>
      </c>
      <c r="E2196" s="75" t="s">
        <v>242</v>
      </c>
      <c r="F2196" s="74">
        <v>31.51</v>
      </c>
      <c r="G2196" s="75" t="s">
        <v>259</v>
      </c>
      <c r="H2196" s="77" t="str">
        <f>VLOOKUP(DESPESAS[[#This Row],[Plano de Contas]],BASE!$B$3:$D$119,3,FALSE)</f>
        <v>Manutenção Predial CIF</v>
      </c>
      <c r="I2196" s="77" t="str">
        <f>IFERROR(VLOOKUP(DESPESAS[[#This Row],[Fornecedor]],Tabela2[],2,FALSE),"")</f>
        <v/>
      </c>
      <c r="J2196" s="77" t="str">
        <f>IFERROR(VLOOKUP(DESPESAS[[#This Row],[Plano de Contas]],BASE!$B$3:$F$119,4,FALSE),"")</f>
        <v>3 - CUSTOS INDIRETOS</v>
      </c>
      <c r="K2196" s="77" t="str">
        <f>IFERROR(VLOOKUP(DESPESAS[[#This Row],[Plano de Contas]],BASE!$B$3:$H$119,5,FALSE),"")</f>
        <v>MANUTENÇÃO / TI</v>
      </c>
      <c r="L2196" s="77">
        <f>IFERROR(VLOOKUP(DESPESAS[[#This Row],[Plano de Contas]],BASE!$B$3:$H$119,6,FALSE),"")</f>
        <v>0</v>
      </c>
      <c r="M2196" s="77" t="str">
        <f>VLOOKUP(DESPESAS[[#This Row],[Plano de Contas]],BASE!$B$3:$H$119,7,FALSE)</f>
        <v>FÁBIO</v>
      </c>
    </row>
    <row r="2197" spans="1:13" x14ac:dyDescent="0.25">
      <c r="A2197" s="74">
        <v>199042</v>
      </c>
      <c r="B2197" s="75" t="s">
        <v>221</v>
      </c>
      <c r="C2197" s="75" t="s">
        <v>1703</v>
      </c>
      <c r="D2197" s="76">
        <v>46081</v>
      </c>
      <c r="E2197" s="75" t="s">
        <v>1702</v>
      </c>
      <c r="F2197" s="74">
        <v>285</v>
      </c>
      <c r="G2197" s="75" t="s">
        <v>218</v>
      </c>
      <c r="H2197" s="77" t="str">
        <f>VLOOKUP(DESPESAS[[#This Row],[Plano de Contas]],BASE!$B$3:$D$119,3,FALSE)</f>
        <v>Manutenção de Equipamentos (Prod)</v>
      </c>
      <c r="I2197" s="77" t="str">
        <f>IFERROR(VLOOKUP(DESPESAS[[#This Row],[Fornecedor]],Tabela2[],2,FALSE),"")</f>
        <v/>
      </c>
      <c r="J2197" s="77" t="str">
        <f>IFERROR(VLOOKUP(DESPESAS[[#This Row],[Plano de Contas]],BASE!$B$3:$F$119,4,FALSE),"")</f>
        <v>3 - CUSTOS INDIRETOS</v>
      </c>
      <c r="K2197" s="77" t="str">
        <f>IFERROR(VLOOKUP(DESPESAS[[#This Row],[Plano de Contas]],BASE!$B$3:$H$119,5,FALSE),"")</f>
        <v>MANUTENÇÃO / TI</v>
      </c>
      <c r="L2197" s="77">
        <f>IFERROR(VLOOKUP(DESPESAS[[#This Row],[Plano de Contas]],BASE!$B$3:$H$119,6,FALSE),"")</f>
        <v>0</v>
      </c>
      <c r="M2197" s="77" t="str">
        <f>VLOOKUP(DESPESAS[[#This Row],[Plano de Contas]],BASE!$B$3:$H$119,7,FALSE)</f>
        <v>RAFAEL</v>
      </c>
    </row>
    <row r="2198" spans="1:13" x14ac:dyDescent="0.25">
      <c r="A2198" s="74">
        <v>199043</v>
      </c>
      <c r="B2198" s="75" t="s">
        <v>221</v>
      </c>
      <c r="C2198" s="75" t="s">
        <v>1701</v>
      </c>
      <c r="D2198" s="76">
        <v>46081</v>
      </c>
      <c r="E2198" s="75" t="s">
        <v>424</v>
      </c>
      <c r="F2198" s="74">
        <v>278.70999999999998</v>
      </c>
      <c r="G2198" s="75" t="s">
        <v>423</v>
      </c>
      <c r="H2198" s="77" t="str">
        <f>VLOOKUP(DESPESAS[[#This Row],[Plano de Contas]],BASE!$B$3:$D$119,3,FALSE)</f>
        <v>Combustíveis (Adm)</v>
      </c>
      <c r="I2198" s="77" t="str">
        <f>IFERROR(VLOOKUP(DESPESAS[[#This Row],[Fornecedor]],Tabela2[],2,FALSE),"")</f>
        <v/>
      </c>
      <c r="J2198" s="77" t="str">
        <f>IFERROR(VLOOKUP(DESPESAS[[#This Row],[Plano de Contas]],BASE!$B$3:$F$119,4,FALSE),"")</f>
        <v>5 - DESPESAS ADMINISTRATIVAS</v>
      </c>
      <c r="K2198" s="77" t="str">
        <f>IFERROR(VLOOKUP(DESPESAS[[#This Row],[Plano de Contas]],BASE!$B$3:$H$119,5,FALSE),"")</f>
        <v>LOGÍSTICA</v>
      </c>
      <c r="L2198" s="77">
        <f>IFERROR(VLOOKUP(DESPESAS[[#This Row],[Plano de Contas]],BASE!$B$3:$H$119,6,FALSE),"")</f>
        <v>0</v>
      </c>
      <c r="M2198" s="77" t="str">
        <f>VLOOKUP(DESPESAS[[#This Row],[Plano de Contas]],BASE!$B$3:$H$119,7,FALSE)</f>
        <v>LETÍCIA</v>
      </c>
    </row>
    <row r="2199" spans="1:13" x14ac:dyDescent="0.25">
      <c r="A2199" s="74">
        <v>199044</v>
      </c>
      <c r="B2199" s="75" t="s">
        <v>221</v>
      </c>
      <c r="C2199" s="75" t="s">
        <v>1700</v>
      </c>
      <c r="D2199" s="76">
        <v>46081</v>
      </c>
      <c r="E2199" s="75" t="s">
        <v>347</v>
      </c>
      <c r="F2199" s="74">
        <v>250</v>
      </c>
      <c r="G2199" s="75" t="s">
        <v>247</v>
      </c>
      <c r="H2199" s="77" t="str">
        <f>VLOOKUP(DESPESAS[[#This Row],[Plano de Contas]],BASE!$B$3:$D$119,3,FALSE)</f>
        <v>Manutenção com veiculos</v>
      </c>
      <c r="I2199" s="77" t="str">
        <f>IFERROR(VLOOKUP(DESPESAS[[#This Row],[Fornecedor]],Tabela2[],2,FALSE),"")</f>
        <v/>
      </c>
      <c r="J2199" s="77" t="str">
        <f>IFERROR(VLOOKUP(DESPESAS[[#This Row],[Plano de Contas]],BASE!$B$3:$F$119,4,FALSE),"")</f>
        <v>6 - DESPESA COM VENDAS</v>
      </c>
      <c r="K2199" s="77" t="str">
        <f>IFERROR(VLOOKUP(DESPESAS[[#This Row],[Plano de Contas]],BASE!$B$3:$H$119,5,FALSE),"")</f>
        <v>LOGÍSTICA</v>
      </c>
      <c r="L2199" s="77">
        <f>IFERROR(VLOOKUP(DESPESAS[[#This Row],[Plano de Contas]],BASE!$B$3:$H$119,6,FALSE),"")</f>
        <v>0</v>
      </c>
      <c r="M2199" s="77" t="str">
        <f>VLOOKUP(DESPESAS[[#This Row],[Plano de Contas]],BASE!$B$3:$H$119,7,FALSE)</f>
        <v>MYLENA</v>
      </c>
    </row>
    <row r="2200" spans="1:13" x14ac:dyDescent="0.25">
      <c r="A2200" s="74">
        <v>199046</v>
      </c>
      <c r="B2200" s="75" t="s">
        <v>221</v>
      </c>
      <c r="C2200" s="75" t="s">
        <v>1699</v>
      </c>
      <c r="D2200" s="76">
        <v>46081</v>
      </c>
      <c r="E2200" s="75" t="s">
        <v>424</v>
      </c>
      <c r="F2200" s="74">
        <v>86</v>
      </c>
      <c r="G2200" s="75" t="s">
        <v>222</v>
      </c>
      <c r="H2200" s="77" t="str">
        <f>VLOOKUP(DESPESAS[[#This Row],[Plano de Contas]],BASE!$B$3:$D$119,3,FALSE)</f>
        <v>Alimentação</v>
      </c>
      <c r="I2200" s="77" t="str">
        <f>IFERROR(VLOOKUP(DESPESAS[[#This Row],[Fornecedor]],Tabela2[],2,FALSE),"")</f>
        <v/>
      </c>
      <c r="J2200" s="77" t="str">
        <f>IFERROR(VLOOKUP(DESPESAS[[#This Row],[Plano de Contas]],BASE!$B$3:$F$119,4,FALSE),"")</f>
        <v>5 - DESPESAS ADMINISTRATIVAS</v>
      </c>
      <c r="K2200" s="77" t="str">
        <f>IFERROR(VLOOKUP(DESPESAS[[#This Row],[Plano de Contas]],BASE!$B$3:$H$119,5,FALSE),"")</f>
        <v>FINANCEIRO</v>
      </c>
      <c r="L2200" s="77">
        <f>IFERROR(VLOOKUP(DESPESAS[[#This Row],[Plano de Contas]],BASE!$B$3:$H$119,6,FALSE),"")</f>
        <v>0</v>
      </c>
      <c r="M2200" s="77" t="str">
        <f>VLOOKUP(DESPESAS[[#This Row],[Plano de Contas]],BASE!$B$3:$H$119,7,FALSE)</f>
        <v>MYLENA</v>
      </c>
    </row>
    <row r="2201" spans="1:13" x14ac:dyDescent="0.25">
      <c r="A2201" s="74">
        <v>199047</v>
      </c>
      <c r="B2201" s="75" t="s">
        <v>221</v>
      </c>
      <c r="C2201" s="75" t="s">
        <v>1698</v>
      </c>
      <c r="D2201" s="76">
        <v>46082</v>
      </c>
      <c r="E2201" s="75" t="s">
        <v>1089</v>
      </c>
      <c r="F2201" s="74">
        <v>155.88</v>
      </c>
      <c r="G2201" s="75" t="s">
        <v>854</v>
      </c>
      <c r="H2201" s="77" t="str">
        <f>VLOOKUP(DESPESAS[[#This Row],[Plano de Contas]],BASE!$B$3:$D$119,3,FALSE)</f>
        <v>Confraternização</v>
      </c>
      <c r="I2201" s="77" t="str">
        <f>IFERROR(VLOOKUP(DESPESAS[[#This Row],[Fornecedor]],Tabela2[],2,FALSE),"")</f>
        <v/>
      </c>
      <c r="J2201" s="77" t="str">
        <f>IFERROR(VLOOKUP(DESPESAS[[#This Row],[Plano de Contas]],BASE!$B$3:$F$119,4,FALSE),"")</f>
        <v>4 - GASTOS COM PESSOAL</v>
      </c>
      <c r="K2201" s="77" t="str">
        <f>IFERROR(VLOOKUP(DESPESAS[[#This Row],[Plano de Contas]],BASE!$B$3:$H$119,5,FALSE),"")</f>
        <v>DH</v>
      </c>
      <c r="L2201" s="77">
        <f>IFERROR(VLOOKUP(DESPESAS[[#This Row],[Plano de Contas]],BASE!$B$3:$H$119,6,FALSE),"")</f>
        <v>0</v>
      </c>
      <c r="M2201" s="77" t="str">
        <f>VLOOKUP(DESPESAS[[#This Row],[Plano de Contas]],BASE!$B$3:$H$119,7,FALSE)</f>
        <v>MYLENA</v>
      </c>
    </row>
    <row r="2202" spans="1:13" x14ac:dyDescent="0.25">
      <c r="A2202" s="74">
        <v>199048</v>
      </c>
      <c r="B2202" s="75" t="s">
        <v>221</v>
      </c>
      <c r="C2202" s="75" t="s">
        <v>1697</v>
      </c>
      <c r="D2202" s="76">
        <v>46082</v>
      </c>
      <c r="E2202" s="75" t="s">
        <v>1089</v>
      </c>
      <c r="F2202" s="74">
        <v>13.38</v>
      </c>
      <c r="G2202" s="75" t="s">
        <v>1006</v>
      </c>
      <c r="H2202" s="77" t="str">
        <f>VLOOKUP(DESPESAS[[#This Row],[Plano de Contas]],BASE!$B$3:$D$119,3,FALSE)</f>
        <v>Material de Limpeza (Adm)</v>
      </c>
      <c r="I2202" s="77" t="str">
        <f>IFERROR(VLOOKUP(DESPESAS[[#This Row],[Fornecedor]],Tabela2[],2,FALSE),"")</f>
        <v/>
      </c>
      <c r="J2202" s="77" t="str">
        <f>IFERROR(VLOOKUP(DESPESAS[[#This Row],[Plano de Contas]],BASE!$B$3:$F$119,4,FALSE),"")</f>
        <v>5 - DESPESAS ADMINISTRATIVAS</v>
      </c>
      <c r="K2202" s="77" t="str">
        <f>IFERROR(VLOOKUP(DESPESAS[[#This Row],[Plano de Contas]],BASE!$B$3:$H$119,5,FALSE),"")</f>
        <v>ADMINISTRATIVO</v>
      </c>
      <c r="L2202" s="77">
        <f>IFERROR(VLOOKUP(DESPESAS[[#This Row],[Plano de Contas]],BASE!$B$3:$H$119,6,FALSE),"")</f>
        <v>0</v>
      </c>
      <c r="M2202" s="77" t="str">
        <f>VLOOKUP(DESPESAS[[#This Row],[Plano de Contas]],BASE!$B$3:$H$119,7,FALSE)</f>
        <v>MYLENA</v>
      </c>
    </row>
    <row r="2203" spans="1:13" x14ac:dyDescent="0.25">
      <c r="A2203" s="74">
        <v>199049</v>
      </c>
      <c r="B2203" s="75" t="s">
        <v>221</v>
      </c>
      <c r="C2203" s="75" t="s">
        <v>1696</v>
      </c>
      <c r="D2203" s="76">
        <v>46085</v>
      </c>
      <c r="E2203" s="75" t="s">
        <v>245</v>
      </c>
      <c r="F2203" s="74">
        <v>200</v>
      </c>
      <c r="G2203" s="75" t="s">
        <v>244</v>
      </c>
      <c r="H2203" s="77" t="str">
        <f>VLOOKUP(DESPESAS[[#This Row],[Plano de Contas]],BASE!$B$3:$D$119,3,FALSE)</f>
        <v>Material de Expediente (Prod)</v>
      </c>
      <c r="I2203" s="77" t="str">
        <f>IFERROR(VLOOKUP(DESPESAS[[#This Row],[Fornecedor]],Tabela2[],2,FALSE),"")</f>
        <v>FERRAGENS GERAIS</v>
      </c>
      <c r="J2203" s="77" t="str">
        <f>IFERROR(VLOOKUP(DESPESAS[[#This Row],[Plano de Contas]],BASE!$B$3:$F$119,4,FALSE),"")</f>
        <v>2 - CUSTOS DIRETOS</v>
      </c>
      <c r="K2203" s="77" t="str">
        <f>IFERROR(VLOOKUP(DESPESAS[[#This Row],[Plano de Contas]],BASE!$B$3:$H$119,5,FALSE),"")</f>
        <v>PRODUÇÃO</v>
      </c>
      <c r="L2203" s="77">
        <f>IFERROR(VLOOKUP(DESPESAS[[#This Row],[Plano de Contas]],BASE!$B$3:$H$119,6,FALSE),"")</f>
        <v>0</v>
      </c>
      <c r="M2203" s="77" t="str">
        <f>VLOOKUP(DESPESAS[[#This Row],[Plano de Contas]],BASE!$B$3:$H$119,7,FALSE)</f>
        <v>RAFAEL</v>
      </c>
    </row>
    <row r="2204" spans="1:13" x14ac:dyDescent="0.25">
      <c r="A2204" s="74">
        <v>199050</v>
      </c>
      <c r="B2204" s="75" t="s">
        <v>221</v>
      </c>
      <c r="C2204" s="75" t="s">
        <v>1695</v>
      </c>
      <c r="D2204" s="76">
        <v>46085</v>
      </c>
      <c r="E2204" s="75" t="s">
        <v>640</v>
      </c>
      <c r="F2204" s="74">
        <v>1370.85</v>
      </c>
      <c r="G2204" s="75" t="s">
        <v>365</v>
      </c>
      <c r="H2204" s="77" t="str">
        <f>VLOOKUP(DESPESAS[[#This Row],[Plano de Contas]],BASE!$B$3:$D$119,3,FALSE)</f>
        <v>Pró-Labore</v>
      </c>
      <c r="I2204" s="77" t="str">
        <f>IFERROR(VLOOKUP(DESPESAS[[#This Row],[Fornecedor]],Tabela2[],2,FALSE),"")</f>
        <v/>
      </c>
      <c r="J2204" s="77" t="str">
        <f>IFERROR(VLOOKUP(DESPESAS[[#This Row],[Plano de Contas]],BASE!$B$3:$F$119,4,FALSE),"")</f>
        <v>4 - GASTOS COM PESSOAL</v>
      </c>
      <c r="K2204" s="77" t="str">
        <f>IFERROR(VLOOKUP(DESPESAS[[#This Row],[Plano de Contas]],BASE!$B$3:$H$119,5,FALSE),"")</f>
        <v>DIRETORIA</v>
      </c>
      <c r="L2204" s="77">
        <f>IFERROR(VLOOKUP(DESPESAS[[#This Row],[Plano de Contas]],BASE!$B$3:$H$119,6,FALSE),"")</f>
        <v>0</v>
      </c>
      <c r="M2204" s="77" t="str">
        <f>VLOOKUP(DESPESAS[[#This Row],[Plano de Contas]],BASE!$B$3:$H$119,7,FALSE)</f>
        <v>FÁBIO</v>
      </c>
    </row>
    <row r="2205" spans="1:13" x14ac:dyDescent="0.25">
      <c r="A2205" s="74">
        <v>199051</v>
      </c>
      <c r="B2205" s="75" t="s">
        <v>221</v>
      </c>
      <c r="C2205" s="75" t="s">
        <v>1694</v>
      </c>
      <c r="D2205" s="76">
        <v>46085</v>
      </c>
      <c r="E2205" s="75" t="s">
        <v>640</v>
      </c>
      <c r="F2205" s="74">
        <v>1406.31</v>
      </c>
      <c r="G2205" s="75" t="s">
        <v>365</v>
      </c>
      <c r="H2205" s="77" t="str">
        <f>VLOOKUP(DESPESAS[[#This Row],[Plano de Contas]],BASE!$B$3:$D$119,3,FALSE)</f>
        <v>Pró-Labore</v>
      </c>
      <c r="I2205" s="77" t="str">
        <f>IFERROR(VLOOKUP(DESPESAS[[#This Row],[Fornecedor]],Tabela2[],2,FALSE),"")</f>
        <v/>
      </c>
      <c r="J2205" s="77" t="str">
        <f>IFERROR(VLOOKUP(DESPESAS[[#This Row],[Plano de Contas]],BASE!$B$3:$F$119,4,FALSE),"")</f>
        <v>4 - GASTOS COM PESSOAL</v>
      </c>
      <c r="K2205" s="77" t="str">
        <f>IFERROR(VLOOKUP(DESPESAS[[#This Row],[Plano de Contas]],BASE!$B$3:$H$119,5,FALSE),"")</f>
        <v>DIRETORIA</v>
      </c>
      <c r="L2205" s="77">
        <f>IFERROR(VLOOKUP(DESPESAS[[#This Row],[Plano de Contas]],BASE!$B$3:$H$119,6,FALSE),"")</f>
        <v>0</v>
      </c>
      <c r="M2205" s="77" t="str">
        <f>VLOOKUP(DESPESAS[[#This Row],[Plano de Contas]],BASE!$B$3:$H$119,7,FALSE)</f>
        <v>FÁBIO</v>
      </c>
    </row>
    <row r="2206" spans="1:13" x14ac:dyDescent="0.25">
      <c r="A2206" s="74">
        <v>199052</v>
      </c>
      <c r="B2206" s="75" t="s">
        <v>221</v>
      </c>
      <c r="C2206" s="75" t="s">
        <v>1693</v>
      </c>
      <c r="D2206" s="76">
        <v>46085</v>
      </c>
      <c r="E2206" s="75" t="s">
        <v>640</v>
      </c>
      <c r="F2206" s="74">
        <v>976.85</v>
      </c>
      <c r="G2206" s="75" t="s">
        <v>365</v>
      </c>
      <c r="H2206" s="77" t="str">
        <f>VLOOKUP(DESPESAS[[#This Row],[Plano de Contas]],BASE!$B$3:$D$119,3,FALSE)</f>
        <v>Pró-Labore</v>
      </c>
      <c r="I2206" s="77" t="str">
        <f>IFERROR(VLOOKUP(DESPESAS[[#This Row],[Fornecedor]],Tabela2[],2,FALSE),"")</f>
        <v/>
      </c>
      <c r="J2206" s="77" t="str">
        <f>IFERROR(VLOOKUP(DESPESAS[[#This Row],[Plano de Contas]],BASE!$B$3:$F$119,4,FALSE),"")</f>
        <v>4 - GASTOS COM PESSOAL</v>
      </c>
      <c r="K2206" s="77" t="str">
        <f>IFERROR(VLOOKUP(DESPESAS[[#This Row],[Plano de Contas]],BASE!$B$3:$H$119,5,FALSE),"")</f>
        <v>DIRETORIA</v>
      </c>
      <c r="L2206" s="77">
        <f>IFERROR(VLOOKUP(DESPESAS[[#This Row],[Plano de Contas]],BASE!$B$3:$H$119,6,FALSE),"")</f>
        <v>0</v>
      </c>
      <c r="M2206" s="77" t="str">
        <f>VLOOKUP(DESPESAS[[#This Row],[Plano de Contas]],BASE!$B$3:$H$119,7,FALSE)</f>
        <v>FÁBIO</v>
      </c>
    </row>
    <row r="2207" spans="1:13" x14ac:dyDescent="0.25">
      <c r="A2207" s="74">
        <v>199053</v>
      </c>
      <c r="B2207" s="75" t="s">
        <v>232</v>
      </c>
      <c r="C2207" s="75" t="s">
        <v>1692</v>
      </c>
      <c r="D2207" s="76">
        <v>46085</v>
      </c>
      <c r="E2207" s="75" t="s">
        <v>230</v>
      </c>
      <c r="F2207" s="74">
        <v>1029.81</v>
      </c>
      <c r="G2207" s="75" t="s">
        <v>251</v>
      </c>
      <c r="H2207" s="77" t="str">
        <f>VLOOKUP(DESPESAS[[#This Row],[Plano de Contas]],BASE!$B$3:$D$119,3,FALSE)</f>
        <v>Juros Pagos - Antecipação de Crédito</v>
      </c>
      <c r="I2207" s="77" t="str">
        <f>IFERROR(VLOOKUP(DESPESAS[[#This Row],[Fornecedor]],Tabela2[],2,FALSE),"")</f>
        <v/>
      </c>
      <c r="J2207" s="77" t="str">
        <f>IFERROR(VLOOKUP(DESPESAS[[#This Row],[Plano de Contas]],BASE!$B$3:$F$119,4,FALSE),"")</f>
        <v>8 - DESPESAS FINANCEIRAS</v>
      </c>
      <c r="K2207" s="77" t="str">
        <f>IFERROR(VLOOKUP(DESPESAS[[#This Row],[Plano de Contas]],BASE!$B$3:$H$119,5,FALSE),"")</f>
        <v>FINANCEIRO</v>
      </c>
      <c r="L2207" s="77">
        <f>IFERROR(VLOOKUP(DESPESAS[[#This Row],[Plano de Contas]],BASE!$B$3:$H$119,6,FALSE),"")</f>
        <v>0</v>
      </c>
      <c r="M2207" s="77" t="str">
        <f>VLOOKUP(DESPESAS[[#This Row],[Plano de Contas]],BASE!$B$3:$H$119,7,FALSE)</f>
        <v>LETÍCIA</v>
      </c>
    </row>
    <row r="2208" spans="1:13" x14ac:dyDescent="0.25">
      <c r="A2208" s="74">
        <v>199054</v>
      </c>
      <c r="B2208" s="75" t="s">
        <v>221</v>
      </c>
      <c r="C2208" s="75" t="s">
        <v>1691</v>
      </c>
      <c r="D2208" s="76">
        <v>46085</v>
      </c>
      <c r="E2208" s="75" t="s">
        <v>640</v>
      </c>
      <c r="F2208" s="74">
        <v>808.51</v>
      </c>
      <c r="G2208" s="75" t="s">
        <v>365</v>
      </c>
      <c r="H2208" s="77" t="str">
        <f>VLOOKUP(DESPESAS[[#This Row],[Plano de Contas]],BASE!$B$3:$D$119,3,FALSE)</f>
        <v>Pró-Labore</v>
      </c>
      <c r="I2208" s="77" t="str">
        <f>IFERROR(VLOOKUP(DESPESAS[[#This Row],[Fornecedor]],Tabela2[],2,FALSE),"")</f>
        <v/>
      </c>
      <c r="J2208" s="77" t="str">
        <f>IFERROR(VLOOKUP(DESPESAS[[#This Row],[Plano de Contas]],BASE!$B$3:$F$119,4,FALSE),"")</f>
        <v>4 - GASTOS COM PESSOAL</v>
      </c>
      <c r="K2208" s="77" t="str">
        <f>IFERROR(VLOOKUP(DESPESAS[[#This Row],[Plano de Contas]],BASE!$B$3:$H$119,5,FALSE),"")</f>
        <v>DIRETORIA</v>
      </c>
      <c r="L2208" s="77">
        <f>IFERROR(VLOOKUP(DESPESAS[[#This Row],[Plano de Contas]],BASE!$B$3:$H$119,6,FALSE),"")</f>
        <v>0</v>
      </c>
      <c r="M2208" s="77" t="str">
        <f>VLOOKUP(DESPESAS[[#This Row],[Plano de Contas]],BASE!$B$3:$H$119,7,FALSE)</f>
        <v>FÁBIO</v>
      </c>
    </row>
    <row r="2209" spans="1:13" x14ac:dyDescent="0.25">
      <c r="A2209" s="74">
        <v>199055</v>
      </c>
      <c r="B2209" s="75" t="s">
        <v>232</v>
      </c>
      <c r="C2209" s="75" t="s">
        <v>1690</v>
      </c>
      <c r="D2209" s="76">
        <v>46085</v>
      </c>
      <c r="E2209" s="75" t="s">
        <v>230</v>
      </c>
      <c r="F2209" s="74">
        <v>167.21</v>
      </c>
      <c r="G2209" s="75" t="s">
        <v>229</v>
      </c>
      <c r="H2209" s="77" t="str">
        <f>VLOOKUP(DESPESAS[[#This Row],[Plano de Contas]],BASE!$B$3:$D$119,3,FALSE)</f>
        <v>Despesas Bancarias</v>
      </c>
      <c r="I2209" s="77" t="str">
        <f>IFERROR(VLOOKUP(DESPESAS[[#This Row],[Fornecedor]],Tabela2[],2,FALSE),"")</f>
        <v/>
      </c>
      <c r="J2209" s="77" t="str">
        <f>IFERROR(VLOOKUP(DESPESAS[[#This Row],[Plano de Contas]],BASE!$B$3:$F$119,4,FALSE),"")</f>
        <v>8 - DESPESAS FINANCEIRAS</v>
      </c>
      <c r="K2209" s="77" t="str">
        <f>IFERROR(VLOOKUP(DESPESAS[[#This Row],[Plano de Contas]],BASE!$B$3:$H$119,5,FALSE),"")</f>
        <v>FINANCEIRO</v>
      </c>
      <c r="L2209" s="77">
        <f>IFERROR(VLOOKUP(DESPESAS[[#This Row],[Plano de Contas]],BASE!$B$3:$H$119,6,FALSE),"")</f>
        <v>0</v>
      </c>
      <c r="M2209" s="77" t="str">
        <f>VLOOKUP(DESPESAS[[#This Row],[Plano de Contas]],BASE!$B$3:$H$119,7,FALSE)</f>
        <v>LETÍCIA</v>
      </c>
    </row>
    <row r="2210" spans="1:13" x14ac:dyDescent="0.25">
      <c r="A2210" s="74">
        <v>199056</v>
      </c>
      <c r="B2210" s="75" t="s">
        <v>232</v>
      </c>
      <c r="C2210" s="75" t="s">
        <v>1689</v>
      </c>
      <c r="D2210" s="76">
        <v>46085</v>
      </c>
      <c r="E2210" s="75" t="s">
        <v>230</v>
      </c>
      <c r="F2210" s="74">
        <v>114.2</v>
      </c>
      <c r="G2210" s="75" t="s">
        <v>229</v>
      </c>
      <c r="H2210" s="77" t="str">
        <f>VLOOKUP(DESPESAS[[#This Row],[Plano de Contas]],BASE!$B$3:$D$119,3,FALSE)</f>
        <v>Despesas Bancarias</v>
      </c>
      <c r="I2210" s="77" t="str">
        <f>IFERROR(VLOOKUP(DESPESAS[[#This Row],[Fornecedor]],Tabela2[],2,FALSE),"")</f>
        <v/>
      </c>
      <c r="J2210" s="77" t="str">
        <f>IFERROR(VLOOKUP(DESPESAS[[#This Row],[Plano de Contas]],BASE!$B$3:$F$119,4,FALSE),"")</f>
        <v>8 - DESPESAS FINANCEIRAS</v>
      </c>
      <c r="K2210" s="77" t="str">
        <f>IFERROR(VLOOKUP(DESPESAS[[#This Row],[Plano de Contas]],BASE!$B$3:$H$119,5,FALSE),"")</f>
        <v>FINANCEIRO</v>
      </c>
      <c r="L2210" s="77">
        <f>IFERROR(VLOOKUP(DESPESAS[[#This Row],[Plano de Contas]],BASE!$B$3:$H$119,6,FALSE),"")</f>
        <v>0</v>
      </c>
      <c r="M2210" s="77" t="str">
        <f>VLOOKUP(DESPESAS[[#This Row],[Plano de Contas]],BASE!$B$3:$H$119,7,FALSE)</f>
        <v>LETÍCIA</v>
      </c>
    </row>
    <row r="2211" spans="1:13" x14ac:dyDescent="0.25">
      <c r="A2211" s="74">
        <v>199057</v>
      </c>
      <c r="B2211" s="75" t="s">
        <v>221</v>
      </c>
      <c r="C2211" s="75" t="s">
        <v>1688</v>
      </c>
      <c r="D2211" s="76">
        <v>46085</v>
      </c>
      <c r="E2211" s="75" t="s">
        <v>640</v>
      </c>
      <c r="F2211" s="74">
        <v>1286.3699999999999</v>
      </c>
      <c r="G2211" s="75" t="s">
        <v>365</v>
      </c>
      <c r="H2211" s="77" t="str">
        <f>VLOOKUP(DESPESAS[[#This Row],[Plano de Contas]],BASE!$B$3:$D$119,3,FALSE)</f>
        <v>Pró-Labore</v>
      </c>
      <c r="I2211" s="77" t="str">
        <f>IFERROR(VLOOKUP(DESPESAS[[#This Row],[Fornecedor]],Tabela2[],2,FALSE),"")</f>
        <v/>
      </c>
      <c r="J2211" s="77" t="str">
        <f>IFERROR(VLOOKUP(DESPESAS[[#This Row],[Plano de Contas]],BASE!$B$3:$F$119,4,FALSE),"")</f>
        <v>4 - GASTOS COM PESSOAL</v>
      </c>
      <c r="K2211" s="77" t="str">
        <f>IFERROR(VLOOKUP(DESPESAS[[#This Row],[Plano de Contas]],BASE!$B$3:$H$119,5,FALSE),"")</f>
        <v>DIRETORIA</v>
      </c>
      <c r="L2211" s="77">
        <f>IFERROR(VLOOKUP(DESPESAS[[#This Row],[Plano de Contas]],BASE!$B$3:$H$119,6,FALSE),"")</f>
        <v>0</v>
      </c>
      <c r="M2211" s="77" t="str">
        <f>VLOOKUP(DESPESAS[[#This Row],[Plano de Contas]],BASE!$B$3:$H$119,7,FALSE)</f>
        <v>FÁBIO</v>
      </c>
    </row>
    <row r="2212" spans="1:13" x14ac:dyDescent="0.25">
      <c r="A2212" s="74">
        <v>199058</v>
      </c>
      <c r="B2212" s="75" t="s">
        <v>221</v>
      </c>
      <c r="C2212" s="75" t="s">
        <v>1687</v>
      </c>
      <c r="D2212" s="76">
        <v>46085</v>
      </c>
      <c r="E2212" s="75" t="s">
        <v>1145</v>
      </c>
      <c r="F2212" s="74">
        <v>470.4</v>
      </c>
      <c r="G2212" s="75" t="s">
        <v>572</v>
      </c>
      <c r="H2212" s="77" t="str">
        <f>VLOOKUP(DESPESAS[[#This Row],[Plano de Contas]],BASE!$B$3:$D$119,3,FALSE)</f>
        <v>Comissões sobre Vendas Externo</v>
      </c>
      <c r="I2212" s="77" t="str">
        <f>IFERROR(VLOOKUP(DESPESAS[[#This Row],[Fornecedor]],Tabela2[],2,FALSE),"")</f>
        <v/>
      </c>
      <c r="J2212" s="77" t="str">
        <f>IFERROR(VLOOKUP(DESPESAS[[#This Row],[Plano de Contas]],BASE!$B$3:$F$119,4,FALSE),"")</f>
        <v>6 - DESPESA COM VENDAS</v>
      </c>
      <c r="K2212" s="77" t="str">
        <f>IFERROR(VLOOKUP(DESPESAS[[#This Row],[Plano de Contas]],BASE!$B$3:$H$119,5,FALSE),"")</f>
        <v>COMERCIAL</v>
      </c>
      <c r="L2212" s="77">
        <f>IFERROR(VLOOKUP(DESPESAS[[#This Row],[Plano de Contas]],BASE!$B$3:$H$119,6,FALSE),"")</f>
        <v>0</v>
      </c>
      <c r="M2212" s="77" t="str">
        <f>VLOOKUP(DESPESAS[[#This Row],[Plano de Contas]],BASE!$B$3:$H$119,7,FALSE)</f>
        <v>LETÍCIA</v>
      </c>
    </row>
    <row r="2213" spans="1:13" x14ac:dyDescent="0.25">
      <c r="A2213" s="74">
        <v>199059</v>
      </c>
      <c r="B2213" s="75" t="s">
        <v>279</v>
      </c>
      <c r="C2213" s="75" t="s">
        <v>1686</v>
      </c>
      <c r="D2213" s="76">
        <v>46086</v>
      </c>
      <c r="E2213" s="75" t="s">
        <v>230</v>
      </c>
      <c r="F2213" s="74">
        <v>3.95</v>
      </c>
      <c r="G2213" s="75" t="s">
        <v>229</v>
      </c>
      <c r="H2213" s="77" t="str">
        <f>VLOOKUP(DESPESAS[[#This Row],[Plano de Contas]],BASE!$B$3:$D$119,3,FALSE)</f>
        <v>Despesas Bancarias</v>
      </c>
      <c r="I2213" s="77" t="str">
        <f>IFERROR(VLOOKUP(DESPESAS[[#This Row],[Fornecedor]],Tabela2[],2,FALSE),"")</f>
        <v/>
      </c>
      <c r="J2213" s="77" t="str">
        <f>IFERROR(VLOOKUP(DESPESAS[[#This Row],[Plano de Contas]],BASE!$B$3:$F$119,4,FALSE),"")</f>
        <v>8 - DESPESAS FINANCEIRAS</v>
      </c>
      <c r="K2213" s="77" t="str">
        <f>IFERROR(VLOOKUP(DESPESAS[[#This Row],[Plano de Contas]],BASE!$B$3:$H$119,5,FALSE),"")</f>
        <v>FINANCEIRO</v>
      </c>
      <c r="L2213" s="77">
        <f>IFERROR(VLOOKUP(DESPESAS[[#This Row],[Plano de Contas]],BASE!$B$3:$H$119,6,FALSE),"")</f>
        <v>0</v>
      </c>
      <c r="M2213" s="77" t="str">
        <f>VLOOKUP(DESPESAS[[#This Row],[Plano de Contas]],BASE!$B$3:$H$119,7,FALSE)</f>
        <v>LETÍCIA</v>
      </c>
    </row>
    <row r="2214" spans="1:13" x14ac:dyDescent="0.25">
      <c r="A2214" s="74">
        <v>199060</v>
      </c>
      <c r="B2214" s="75" t="s">
        <v>232</v>
      </c>
      <c r="C2214" s="75" t="s">
        <v>1685</v>
      </c>
      <c r="D2214" s="76">
        <v>46085</v>
      </c>
      <c r="E2214" s="75" t="s">
        <v>230</v>
      </c>
      <c r="F2214" s="74">
        <v>10.27</v>
      </c>
      <c r="G2214" s="75" t="s">
        <v>229</v>
      </c>
      <c r="H2214" s="77" t="str">
        <f>VLOOKUP(DESPESAS[[#This Row],[Plano de Contas]],BASE!$B$3:$D$119,3,FALSE)</f>
        <v>Despesas Bancarias</v>
      </c>
      <c r="I2214" s="77" t="str">
        <f>IFERROR(VLOOKUP(DESPESAS[[#This Row],[Fornecedor]],Tabela2[],2,FALSE),"")</f>
        <v/>
      </c>
      <c r="J2214" s="77" t="str">
        <f>IFERROR(VLOOKUP(DESPESAS[[#This Row],[Plano de Contas]],BASE!$B$3:$F$119,4,FALSE),"")</f>
        <v>8 - DESPESAS FINANCEIRAS</v>
      </c>
      <c r="K2214" s="77" t="str">
        <f>IFERROR(VLOOKUP(DESPESAS[[#This Row],[Plano de Contas]],BASE!$B$3:$H$119,5,FALSE),"")</f>
        <v>FINANCEIRO</v>
      </c>
      <c r="L2214" s="77">
        <f>IFERROR(VLOOKUP(DESPESAS[[#This Row],[Plano de Contas]],BASE!$B$3:$H$119,6,FALSE),"")</f>
        <v>0</v>
      </c>
      <c r="M2214" s="77" t="str">
        <f>VLOOKUP(DESPESAS[[#This Row],[Plano de Contas]],BASE!$B$3:$H$119,7,FALSE)</f>
        <v>LETÍCIA</v>
      </c>
    </row>
    <row r="2215" spans="1:13" x14ac:dyDescent="0.25">
      <c r="A2215" s="74">
        <v>199061</v>
      </c>
      <c r="B2215" s="75" t="s">
        <v>232</v>
      </c>
      <c r="C2215" s="75" t="s">
        <v>1684</v>
      </c>
      <c r="D2215" s="76">
        <v>46086</v>
      </c>
      <c r="E2215" s="75" t="s">
        <v>230</v>
      </c>
      <c r="F2215" s="74">
        <v>2.5499999999999998</v>
      </c>
      <c r="G2215" s="75" t="s">
        <v>229</v>
      </c>
      <c r="H2215" s="77" t="str">
        <f>VLOOKUP(DESPESAS[[#This Row],[Plano de Contas]],BASE!$B$3:$D$119,3,FALSE)</f>
        <v>Despesas Bancarias</v>
      </c>
      <c r="I2215" s="77" t="str">
        <f>IFERROR(VLOOKUP(DESPESAS[[#This Row],[Fornecedor]],Tabela2[],2,FALSE),"")</f>
        <v/>
      </c>
      <c r="J2215" s="77" t="str">
        <f>IFERROR(VLOOKUP(DESPESAS[[#This Row],[Plano de Contas]],BASE!$B$3:$F$119,4,FALSE),"")</f>
        <v>8 - DESPESAS FINANCEIRAS</v>
      </c>
      <c r="K2215" s="77" t="str">
        <f>IFERROR(VLOOKUP(DESPESAS[[#This Row],[Plano de Contas]],BASE!$B$3:$H$119,5,FALSE),"")</f>
        <v>FINANCEIRO</v>
      </c>
      <c r="L2215" s="77">
        <f>IFERROR(VLOOKUP(DESPESAS[[#This Row],[Plano de Contas]],BASE!$B$3:$H$119,6,FALSE),"")</f>
        <v>0</v>
      </c>
      <c r="M2215" s="77" t="str">
        <f>VLOOKUP(DESPESAS[[#This Row],[Plano de Contas]],BASE!$B$3:$H$119,7,FALSE)</f>
        <v>LETÍCIA</v>
      </c>
    </row>
    <row r="2216" spans="1:13" x14ac:dyDescent="0.25">
      <c r="A2216" s="74">
        <v>199062</v>
      </c>
      <c r="B2216" s="75" t="s">
        <v>281</v>
      </c>
      <c r="C2216" s="75" t="s">
        <v>1683</v>
      </c>
      <c r="D2216" s="76">
        <v>46085</v>
      </c>
      <c r="E2216" s="75" t="s">
        <v>230</v>
      </c>
      <c r="F2216" s="74">
        <v>3.16</v>
      </c>
      <c r="G2216" s="75" t="s">
        <v>229</v>
      </c>
      <c r="H2216" s="77" t="str">
        <f>VLOOKUP(DESPESAS[[#This Row],[Plano de Contas]],BASE!$B$3:$D$119,3,FALSE)</f>
        <v>Despesas Bancarias</v>
      </c>
      <c r="I2216" s="77" t="str">
        <f>IFERROR(VLOOKUP(DESPESAS[[#This Row],[Fornecedor]],Tabela2[],2,FALSE),"")</f>
        <v/>
      </c>
      <c r="J2216" s="77" t="str">
        <f>IFERROR(VLOOKUP(DESPESAS[[#This Row],[Plano de Contas]],BASE!$B$3:$F$119,4,FALSE),"")</f>
        <v>8 - DESPESAS FINANCEIRAS</v>
      </c>
      <c r="K2216" s="77" t="str">
        <f>IFERROR(VLOOKUP(DESPESAS[[#This Row],[Plano de Contas]],BASE!$B$3:$H$119,5,FALSE),"")</f>
        <v>FINANCEIRO</v>
      </c>
      <c r="L2216" s="77">
        <f>IFERROR(VLOOKUP(DESPESAS[[#This Row],[Plano de Contas]],BASE!$B$3:$H$119,6,FALSE),"")</f>
        <v>0</v>
      </c>
      <c r="M2216" s="77" t="str">
        <f>VLOOKUP(DESPESAS[[#This Row],[Plano de Contas]],BASE!$B$3:$H$119,7,FALSE)</f>
        <v>LETÍCIA</v>
      </c>
    </row>
    <row r="2217" spans="1:13" x14ac:dyDescent="0.25">
      <c r="A2217" s="74">
        <v>199063</v>
      </c>
      <c r="B2217" s="75" t="s">
        <v>232</v>
      </c>
      <c r="C2217" s="75" t="s">
        <v>1682</v>
      </c>
      <c r="D2217" s="76">
        <v>46086</v>
      </c>
      <c r="E2217" s="75" t="s">
        <v>566</v>
      </c>
      <c r="F2217" s="74">
        <v>2830.41</v>
      </c>
      <c r="G2217" s="75" t="s">
        <v>561</v>
      </c>
      <c r="H2217" s="77" t="str">
        <f>VLOOKUP(DESPESAS[[#This Row],[Plano de Contas]],BASE!$B$3:$D$119,3,FALSE)</f>
        <v>Sistemas de Informação</v>
      </c>
      <c r="I2217" s="77" t="str">
        <f>IFERROR(VLOOKUP(DESPESAS[[#This Row],[Fornecedor]],Tabela2[],2,FALSE),"")</f>
        <v>TOPSOLID</v>
      </c>
      <c r="J2217" s="77" t="str">
        <f>IFERROR(VLOOKUP(DESPESAS[[#This Row],[Plano de Contas]],BASE!$B$3:$F$119,4,FALSE),"")</f>
        <v>7 - SERVIÇOS DE TERCEIROS</v>
      </c>
      <c r="K2217" s="77" t="str">
        <f>IFERROR(VLOOKUP(DESPESAS[[#This Row],[Plano de Contas]],BASE!$B$3:$H$119,5,FALSE),"")</f>
        <v>MANUTENÇÃO / TI</v>
      </c>
      <c r="L2217" s="77">
        <f>IFERROR(VLOOKUP(DESPESAS[[#This Row],[Plano de Contas]],BASE!$B$3:$H$119,6,FALSE),"")</f>
        <v>0</v>
      </c>
      <c r="M2217" s="77" t="str">
        <f>VLOOKUP(DESPESAS[[#This Row],[Plano de Contas]],BASE!$B$3:$H$119,7,FALSE)</f>
        <v>LETÍCIA</v>
      </c>
    </row>
    <row r="2218" spans="1:13" x14ac:dyDescent="0.25">
      <c r="A2218" s="74">
        <v>199064</v>
      </c>
      <c r="B2218" s="75" t="s">
        <v>281</v>
      </c>
      <c r="C2218" s="75" t="s">
        <v>1681</v>
      </c>
      <c r="D2218" s="76">
        <v>46086</v>
      </c>
      <c r="E2218" s="75" t="s">
        <v>1680</v>
      </c>
      <c r="F2218" s="74">
        <v>4483.63</v>
      </c>
      <c r="G2218" s="75" t="s">
        <v>473</v>
      </c>
      <c r="H2218" s="77" t="str">
        <f>VLOOKUP(DESPESAS[[#This Row],[Plano de Contas]],BASE!$B$3:$D$119,3,FALSE)</f>
        <v>Rescisões (Adm)</v>
      </c>
      <c r="I2218" s="77" t="str">
        <f>IFERROR(VLOOKUP(DESPESAS[[#This Row],[Fornecedor]],Tabela2[],2,FALSE),"")</f>
        <v/>
      </c>
      <c r="J2218" s="77" t="str">
        <f>IFERROR(VLOOKUP(DESPESAS[[#This Row],[Plano de Contas]],BASE!$B$3:$F$119,4,FALSE),"")</f>
        <v>4 - GASTOS COM PESSOAL</v>
      </c>
      <c r="K2218" s="77" t="str">
        <f>IFERROR(VLOOKUP(DESPESAS[[#This Row],[Plano de Contas]],BASE!$B$3:$H$119,5,FALSE),"")</f>
        <v>DH</v>
      </c>
      <c r="L2218" s="77">
        <f>IFERROR(VLOOKUP(DESPESAS[[#This Row],[Plano de Contas]],BASE!$B$3:$H$119,6,FALSE),"")</f>
        <v>0</v>
      </c>
      <c r="M2218" s="77" t="str">
        <f>VLOOKUP(DESPESAS[[#This Row],[Plano de Contas]],BASE!$B$3:$H$119,7,FALSE)</f>
        <v>RAFAEL</v>
      </c>
    </row>
    <row r="2219" spans="1:13" x14ac:dyDescent="0.25">
      <c r="A2219" s="74">
        <v>199065</v>
      </c>
      <c r="B2219" s="75" t="s">
        <v>281</v>
      </c>
      <c r="C2219" s="75" t="s">
        <v>373</v>
      </c>
      <c r="D2219" s="76">
        <v>46086</v>
      </c>
      <c r="E2219" s="75" t="s">
        <v>1680</v>
      </c>
      <c r="F2219" s="74">
        <v>7444.64</v>
      </c>
      <c r="G2219" s="75" t="s">
        <v>473</v>
      </c>
      <c r="H2219" s="77" t="str">
        <f>VLOOKUP(DESPESAS[[#This Row],[Plano de Contas]],BASE!$B$3:$D$119,3,FALSE)</f>
        <v>Rescisões (Adm)</v>
      </c>
      <c r="I2219" s="77" t="str">
        <f>IFERROR(VLOOKUP(DESPESAS[[#This Row],[Fornecedor]],Tabela2[],2,FALSE),"")</f>
        <v/>
      </c>
      <c r="J2219" s="77" t="str">
        <f>IFERROR(VLOOKUP(DESPESAS[[#This Row],[Plano de Contas]],BASE!$B$3:$F$119,4,FALSE),"")</f>
        <v>4 - GASTOS COM PESSOAL</v>
      </c>
      <c r="K2219" s="77" t="str">
        <f>IFERROR(VLOOKUP(DESPESAS[[#This Row],[Plano de Contas]],BASE!$B$3:$H$119,5,FALSE),"")</f>
        <v>DH</v>
      </c>
      <c r="L2219" s="77">
        <f>IFERROR(VLOOKUP(DESPESAS[[#This Row],[Plano de Contas]],BASE!$B$3:$H$119,6,FALSE),"")</f>
        <v>0</v>
      </c>
      <c r="M2219" s="77" t="str">
        <f>VLOOKUP(DESPESAS[[#This Row],[Plano de Contas]],BASE!$B$3:$H$119,7,FALSE)</f>
        <v>RAFAEL</v>
      </c>
    </row>
    <row r="2220" spans="1:13" x14ac:dyDescent="0.25">
      <c r="A2220" s="74">
        <v>199066</v>
      </c>
      <c r="B2220" s="75" t="s">
        <v>232</v>
      </c>
      <c r="C2220" s="75" t="s">
        <v>1679</v>
      </c>
      <c r="D2220" s="76">
        <v>46086</v>
      </c>
      <c r="E2220" s="75" t="s">
        <v>566</v>
      </c>
      <c r="F2220" s="74">
        <v>500.86</v>
      </c>
      <c r="G2220" s="75" t="s">
        <v>561</v>
      </c>
      <c r="H2220" s="77" t="str">
        <f>VLOOKUP(DESPESAS[[#This Row],[Plano de Contas]],BASE!$B$3:$D$119,3,FALSE)</f>
        <v>Sistemas de Informação</v>
      </c>
      <c r="I2220" s="77" t="str">
        <f>IFERROR(VLOOKUP(DESPESAS[[#This Row],[Fornecedor]],Tabela2[],2,FALSE),"")</f>
        <v>TOPSOLID</v>
      </c>
      <c r="J2220" s="77" t="str">
        <f>IFERROR(VLOOKUP(DESPESAS[[#This Row],[Plano de Contas]],BASE!$B$3:$F$119,4,FALSE),"")</f>
        <v>7 - SERVIÇOS DE TERCEIROS</v>
      </c>
      <c r="K2220" s="77" t="str">
        <f>IFERROR(VLOOKUP(DESPESAS[[#This Row],[Plano de Contas]],BASE!$B$3:$H$119,5,FALSE),"")</f>
        <v>MANUTENÇÃO / TI</v>
      </c>
      <c r="L2220" s="77">
        <f>IFERROR(VLOOKUP(DESPESAS[[#This Row],[Plano de Contas]],BASE!$B$3:$H$119,6,FALSE),"")</f>
        <v>0</v>
      </c>
      <c r="M2220" s="77" t="str">
        <f>VLOOKUP(DESPESAS[[#This Row],[Plano de Contas]],BASE!$B$3:$H$119,7,FALSE)</f>
        <v>LETÍCIA</v>
      </c>
    </row>
    <row r="2221" spans="1:13" x14ac:dyDescent="0.25">
      <c r="A2221" s="74">
        <v>199067</v>
      </c>
      <c r="B2221" s="75" t="s">
        <v>232</v>
      </c>
      <c r="C2221" s="75" t="s">
        <v>1678</v>
      </c>
      <c r="D2221" s="76">
        <v>46086</v>
      </c>
      <c r="E2221" s="75" t="s">
        <v>619</v>
      </c>
      <c r="F2221" s="74">
        <v>480.95</v>
      </c>
      <c r="G2221" s="75" t="s">
        <v>218</v>
      </c>
      <c r="H2221" s="77" t="str">
        <f>VLOOKUP(DESPESAS[[#This Row],[Plano de Contas]],BASE!$B$3:$D$119,3,FALSE)</f>
        <v>Manutenção de Equipamentos (Prod)</v>
      </c>
      <c r="I2221" s="77" t="str">
        <f>IFERROR(VLOOKUP(DESPESAS[[#This Row],[Fornecedor]],Tabela2[],2,FALSE),"")</f>
        <v>MAQUINAS DE COSTURA</v>
      </c>
      <c r="J2221" s="77" t="str">
        <f>IFERROR(VLOOKUP(DESPESAS[[#This Row],[Plano de Contas]],BASE!$B$3:$F$119,4,FALSE),"")</f>
        <v>3 - CUSTOS INDIRETOS</v>
      </c>
      <c r="K2221" s="77" t="str">
        <f>IFERROR(VLOOKUP(DESPESAS[[#This Row],[Plano de Contas]],BASE!$B$3:$H$119,5,FALSE),"")</f>
        <v>MANUTENÇÃO / TI</v>
      </c>
      <c r="L2221" s="77">
        <f>IFERROR(VLOOKUP(DESPESAS[[#This Row],[Plano de Contas]],BASE!$B$3:$H$119,6,FALSE),"")</f>
        <v>0</v>
      </c>
      <c r="M2221" s="77" t="str">
        <f>VLOOKUP(DESPESAS[[#This Row],[Plano de Contas]],BASE!$B$3:$H$119,7,FALSE)</f>
        <v>RAFAEL</v>
      </c>
    </row>
    <row r="2222" spans="1:13" x14ac:dyDescent="0.25">
      <c r="A2222" s="74">
        <v>199068</v>
      </c>
      <c r="B2222" s="75" t="s">
        <v>221</v>
      </c>
      <c r="C2222" s="75" t="s">
        <v>1677</v>
      </c>
      <c r="D2222" s="76">
        <v>46081</v>
      </c>
      <c r="E2222" s="75" t="s">
        <v>762</v>
      </c>
      <c r="F2222" s="74">
        <v>495</v>
      </c>
      <c r="G2222" s="75" t="s">
        <v>568</v>
      </c>
      <c r="H2222" s="77" t="str">
        <f>VLOOKUP(DESPESAS[[#This Row],[Plano de Contas]],BASE!$B$3:$D$119,3,FALSE)</f>
        <v>Carregamento</v>
      </c>
      <c r="I2222" s="77" t="str">
        <f>IFERROR(VLOOKUP(DESPESAS[[#This Row],[Fornecedor]],Tabela2[],2,FALSE),"")</f>
        <v/>
      </c>
      <c r="J2222" s="77" t="str">
        <f>IFERROR(VLOOKUP(DESPESAS[[#This Row],[Plano de Contas]],BASE!$B$3:$F$119,4,FALSE),"")</f>
        <v>6 - DESPESA COM VENDAS</v>
      </c>
      <c r="K2222" s="77" t="str">
        <f>IFERROR(VLOOKUP(DESPESAS[[#This Row],[Plano de Contas]],BASE!$B$3:$H$119,5,FALSE),"")</f>
        <v>LOGÍSTICA</v>
      </c>
      <c r="L2222" s="77">
        <f>IFERROR(VLOOKUP(DESPESAS[[#This Row],[Plano de Contas]],BASE!$B$3:$H$119,6,FALSE),"")</f>
        <v>0</v>
      </c>
      <c r="M2222" s="77" t="str">
        <f>VLOOKUP(DESPESAS[[#This Row],[Plano de Contas]],BASE!$B$3:$H$119,7,FALSE)</f>
        <v>MYLENA</v>
      </c>
    </row>
    <row r="2223" spans="1:13" x14ac:dyDescent="0.25">
      <c r="A2223" s="74">
        <v>199069</v>
      </c>
      <c r="B2223" s="75" t="s">
        <v>221</v>
      </c>
      <c r="C2223" s="75" t="s">
        <v>1677</v>
      </c>
      <c r="D2223" s="76">
        <v>46081</v>
      </c>
      <c r="E2223" s="75" t="s">
        <v>850</v>
      </c>
      <c r="F2223" s="74">
        <v>495</v>
      </c>
      <c r="G2223" s="75" t="s">
        <v>568</v>
      </c>
      <c r="H2223" s="77" t="str">
        <f>VLOOKUP(DESPESAS[[#This Row],[Plano de Contas]],BASE!$B$3:$D$119,3,FALSE)</f>
        <v>Carregamento</v>
      </c>
      <c r="I2223" s="77" t="str">
        <f>IFERROR(VLOOKUP(DESPESAS[[#This Row],[Fornecedor]],Tabela2[],2,FALSE),"")</f>
        <v/>
      </c>
      <c r="J2223" s="77" t="str">
        <f>IFERROR(VLOOKUP(DESPESAS[[#This Row],[Plano de Contas]],BASE!$B$3:$F$119,4,FALSE),"")</f>
        <v>6 - DESPESA COM VENDAS</v>
      </c>
      <c r="K2223" s="77" t="str">
        <f>IFERROR(VLOOKUP(DESPESAS[[#This Row],[Plano de Contas]],BASE!$B$3:$H$119,5,FALSE),"")</f>
        <v>LOGÍSTICA</v>
      </c>
      <c r="L2223" s="77">
        <f>IFERROR(VLOOKUP(DESPESAS[[#This Row],[Plano de Contas]],BASE!$B$3:$H$119,6,FALSE),"")</f>
        <v>0</v>
      </c>
      <c r="M2223" s="77" t="str">
        <f>VLOOKUP(DESPESAS[[#This Row],[Plano de Contas]],BASE!$B$3:$H$119,7,FALSE)</f>
        <v>MYLENA</v>
      </c>
    </row>
    <row r="2224" spans="1:13" x14ac:dyDescent="0.25">
      <c r="A2224" s="74">
        <v>199070</v>
      </c>
      <c r="B2224" s="75" t="s">
        <v>221</v>
      </c>
      <c r="C2224" s="75" t="s">
        <v>1677</v>
      </c>
      <c r="D2224" s="76">
        <v>46081</v>
      </c>
      <c r="E2224" s="75" t="s">
        <v>847</v>
      </c>
      <c r="F2224" s="74">
        <v>495</v>
      </c>
      <c r="G2224" s="75" t="s">
        <v>568</v>
      </c>
      <c r="H2224" s="77" t="str">
        <f>VLOOKUP(DESPESAS[[#This Row],[Plano de Contas]],BASE!$B$3:$D$119,3,FALSE)</f>
        <v>Carregamento</v>
      </c>
      <c r="I2224" s="77" t="str">
        <f>IFERROR(VLOOKUP(DESPESAS[[#This Row],[Fornecedor]],Tabela2[],2,FALSE),"")</f>
        <v/>
      </c>
      <c r="J2224" s="77" t="str">
        <f>IFERROR(VLOOKUP(DESPESAS[[#This Row],[Plano de Contas]],BASE!$B$3:$F$119,4,FALSE),"")</f>
        <v>6 - DESPESA COM VENDAS</v>
      </c>
      <c r="K2224" s="77" t="str">
        <f>IFERROR(VLOOKUP(DESPESAS[[#This Row],[Plano de Contas]],BASE!$B$3:$H$119,5,FALSE),"")</f>
        <v>LOGÍSTICA</v>
      </c>
      <c r="L2224" s="77">
        <f>IFERROR(VLOOKUP(DESPESAS[[#This Row],[Plano de Contas]],BASE!$B$3:$H$119,6,FALSE),"")</f>
        <v>0</v>
      </c>
      <c r="M2224" s="77" t="str">
        <f>VLOOKUP(DESPESAS[[#This Row],[Plano de Contas]],BASE!$B$3:$H$119,7,FALSE)</f>
        <v>MYLENA</v>
      </c>
    </row>
    <row r="2225" spans="1:13" x14ac:dyDescent="0.25">
      <c r="A2225" s="74">
        <v>199071</v>
      </c>
      <c r="B2225" s="75" t="s">
        <v>221</v>
      </c>
      <c r="C2225" s="75" t="s">
        <v>1676</v>
      </c>
      <c r="D2225" s="76">
        <v>46081</v>
      </c>
      <c r="E2225" s="75" t="s">
        <v>850</v>
      </c>
      <c r="F2225" s="74">
        <v>40</v>
      </c>
      <c r="G2225" s="75" t="s">
        <v>568</v>
      </c>
      <c r="H2225" s="77" t="str">
        <f>VLOOKUP(DESPESAS[[#This Row],[Plano de Contas]],BASE!$B$3:$D$119,3,FALSE)</f>
        <v>Carregamento</v>
      </c>
      <c r="I2225" s="77" t="str">
        <f>IFERROR(VLOOKUP(DESPESAS[[#This Row],[Fornecedor]],Tabela2[],2,FALSE),"")</f>
        <v/>
      </c>
      <c r="J2225" s="77" t="str">
        <f>IFERROR(VLOOKUP(DESPESAS[[#This Row],[Plano de Contas]],BASE!$B$3:$F$119,4,FALSE),"")</f>
        <v>6 - DESPESA COM VENDAS</v>
      </c>
      <c r="K2225" s="77" t="str">
        <f>IFERROR(VLOOKUP(DESPESAS[[#This Row],[Plano de Contas]],BASE!$B$3:$H$119,5,FALSE),"")</f>
        <v>LOGÍSTICA</v>
      </c>
      <c r="L2225" s="77">
        <f>IFERROR(VLOOKUP(DESPESAS[[#This Row],[Plano de Contas]],BASE!$B$3:$H$119,6,FALSE),"")</f>
        <v>0</v>
      </c>
      <c r="M2225" s="77" t="str">
        <f>VLOOKUP(DESPESAS[[#This Row],[Plano de Contas]],BASE!$B$3:$H$119,7,FALSE)</f>
        <v>MYLENA</v>
      </c>
    </row>
    <row r="2226" spans="1:13" x14ac:dyDescent="0.25">
      <c r="A2226" s="74">
        <v>199072</v>
      </c>
      <c r="B2226" s="75" t="s">
        <v>221</v>
      </c>
      <c r="C2226" s="75" t="s">
        <v>1676</v>
      </c>
      <c r="D2226" s="76">
        <v>46081</v>
      </c>
      <c r="E2226" s="75" t="s">
        <v>843</v>
      </c>
      <c r="F2226" s="74">
        <v>40</v>
      </c>
      <c r="G2226" s="75" t="s">
        <v>568</v>
      </c>
      <c r="H2226" s="77" t="str">
        <f>VLOOKUP(DESPESAS[[#This Row],[Plano de Contas]],BASE!$B$3:$D$119,3,FALSE)</f>
        <v>Carregamento</v>
      </c>
      <c r="I2226" s="77" t="str">
        <f>IFERROR(VLOOKUP(DESPESAS[[#This Row],[Fornecedor]],Tabela2[],2,FALSE),"")</f>
        <v/>
      </c>
      <c r="J2226" s="77" t="str">
        <f>IFERROR(VLOOKUP(DESPESAS[[#This Row],[Plano de Contas]],BASE!$B$3:$F$119,4,FALSE),"")</f>
        <v>6 - DESPESA COM VENDAS</v>
      </c>
      <c r="K2226" s="77" t="str">
        <f>IFERROR(VLOOKUP(DESPESAS[[#This Row],[Plano de Contas]],BASE!$B$3:$H$119,5,FALSE),"")</f>
        <v>LOGÍSTICA</v>
      </c>
      <c r="L2226" s="77">
        <f>IFERROR(VLOOKUP(DESPESAS[[#This Row],[Plano de Contas]],BASE!$B$3:$H$119,6,FALSE),"")</f>
        <v>0</v>
      </c>
      <c r="M2226" s="77" t="str">
        <f>VLOOKUP(DESPESAS[[#This Row],[Plano de Contas]],BASE!$B$3:$H$119,7,FALSE)</f>
        <v>MYLENA</v>
      </c>
    </row>
    <row r="2227" spans="1:13" x14ac:dyDescent="0.25">
      <c r="A2227" s="74">
        <v>199073</v>
      </c>
      <c r="B2227" s="75" t="s">
        <v>221</v>
      </c>
      <c r="C2227" s="75" t="s">
        <v>1676</v>
      </c>
      <c r="D2227" s="76">
        <v>46081</v>
      </c>
      <c r="E2227" s="75" t="s">
        <v>845</v>
      </c>
      <c r="F2227" s="74">
        <v>90</v>
      </c>
      <c r="G2227" s="75" t="s">
        <v>568</v>
      </c>
      <c r="H2227" s="77" t="str">
        <f>VLOOKUP(DESPESAS[[#This Row],[Plano de Contas]],BASE!$B$3:$D$119,3,FALSE)</f>
        <v>Carregamento</v>
      </c>
      <c r="I2227" s="77" t="str">
        <f>IFERROR(VLOOKUP(DESPESAS[[#This Row],[Fornecedor]],Tabela2[],2,FALSE),"")</f>
        <v/>
      </c>
      <c r="J2227" s="77" t="str">
        <f>IFERROR(VLOOKUP(DESPESAS[[#This Row],[Plano de Contas]],BASE!$B$3:$F$119,4,FALSE),"")</f>
        <v>6 - DESPESA COM VENDAS</v>
      </c>
      <c r="K2227" s="77" t="str">
        <f>IFERROR(VLOOKUP(DESPESAS[[#This Row],[Plano de Contas]],BASE!$B$3:$H$119,5,FALSE),"")</f>
        <v>LOGÍSTICA</v>
      </c>
      <c r="L2227" s="77">
        <f>IFERROR(VLOOKUP(DESPESAS[[#This Row],[Plano de Contas]],BASE!$B$3:$H$119,6,FALSE),"")</f>
        <v>0</v>
      </c>
      <c r="M2227" s="77" t="str">
        <f>VLOOKUP(DESPESAS[[#This Row],[Plano de Contas]],BASE!$B$3:$H$119,7,FALSE)</f>
        <v>MYLENA</v>
      </c>
    </row>
    <row r="2228" spans="1:13" x14ac:dyDescent="0.25">
      <c r="A2228" s="74">
        <v>199074</v>
      </c>
      <c r="B2228" s="75" t="s">
        <v>221</v>
      </c>
      <c r="C2228" s="75" t="s">
        <v>1676</v>
      </c>
      <c r="D2228" s="76">
        <v>46081</v>
      </c>
      <c r="E2228" s="75" t="s">
        <v>964</v>
      </c>
      <c r="F2228" s="74">
        <v>90</v>
      </c>
      <c r="G2228" s="75" t="s">
        <v>568</v>
      </c>
      <c r="H2228" s="77" t="str">
        <f>VLOOKUP(DESPESAS[[#This Row],[Plano de Contas]],BASE!$B$3:$D$119,3,FALSE)</f>
        <v>Carregamento</v>
      </c>
      <c r="I2228" s="77" t="str">
        <f>IFERROR(VLOOKUP(DESPESAS[[#This Row],[Fornecedor]],Tabela2[],2,FALSE),"")</f>
        <v/>
      </c>
      <c r="J2228" s="77" t="str">
        <f>IFERROR(VLOOKUP(DESPESAS[[#This Row],[Plano de Contas]],BASE!$B$3:$F$119,4,FALSE),"")</f>
        <v>6 - DESPESA COM VENDAS</v>
      </c>
      <c r="K2228" s="77" t="str">
        <f>IFERROR(VLOOKUP(DESPESAS[[#This Row],[Plano de Contas]],BASE!$B$3:$H$119,5,FALSE),"")</f>
        <v>LOGÍSTICA</v>
      </c>
      <c r="L2228" s="77">
        <f>IFERROR(VLOOKUP(DESPESAS[[#This Row],[Plano de Contas]],BASE!$B$3:$H$119,6,FALSE),"")</f>
        <v>0</v>
      </c>
      <c r="M2228" s="77" t="str">
        <f>VLOOKUP(DESPESAS[[#This Row],[Plano de Contas]],BASE!$B$3:$H$119,7,FALSE)</f>
        <v>MYLENA</v>
      </c>
    </row>
    <row r="2229" spans="1:13" x14ac:dyDescent="0.25">
      <c r="A2229" s="74">
        <v>199075</v>
      </c>
      <c r="B2229" s="75" t="s">
        <v>221</v>
      </c>
      <c r="C2229" s="75" t="s">
        <v>1675</v>
      </c>
      <c r="D2229" s="76">
        <v>46081</v>
      </c>
      <c r="E2229" s="75" t="s">
        <v>847</v>
      </c>
      <c r="F2229" s="74">
        <v>120</v>
      </c>
      <c r="G2229" s="75" t="s">
        <v>568</v>
      </c>
      <c r="H2229" s="77" t="str">
        <f>VLOOKUP(DESPESAS[[#This Row],[Plano de Contas]],BASE!$B$3:$D$119,3,FALSE)</f>
        <v>Carregamento</v>
      </c>
      <c r="I2229" s="77" t="str">
        <f>IFERROR(VLOOKUP(DESPESAS[[#This Row],[Fornecedor]],Tabela2[],2,FALSE),"")</f>
        <v/>
      </c>
      <c r="J2229" s="77" t="str">
        <f>IFERROR(VLOOKUP(DESPESAS[[#This Row],[Plano de Contas]],BASE!$B$3:$F$119,4,FALSE),"")</f>
        <v>6 - DESPESA COM VENDAS</v>
      </c>
      <c r="K2229" s="77" t="str">
        <f>IFERROR(VLOOKUP(DESPESAS[[#This Row],[Plano de Contas]],BASE!$B$3:$H$119,5,FALSE),"")</f>
        <v>LOGÍSTICA</v>
      </c>
      <c r="L2229" s="77">
        <f>IFERROR(VLOOKUP(DESPESAS[[#This Row],[Plano de Contas]],BASE!$B$3:$H$119,6,FALSE),"")</f>
        <v>0</v>
      </c>
      <c r="M2229" s="77" t="str">
        <f>VLOOKUP(DESPESAS[[#This Row],[Plano de Contas]],BASE!$B$3:$H$119,7,FALSE)</f>
        <v>MYLENA</v>
      </c>
    </row>
    <row r="2230" spans="1:13" x14ac:dyDescent="0.25">
      <c r="A2230" s="74">
        <v>199076</v>
      </c>
      <c r="B2230" s="75" t="s">
        <v>221</v>
      </c>
      <c r="C2230" s="75" t="s">
        <v>1674</v>
      </c>
      <c r="D2230" s="76">
        <v>46081</v>
      </c>
      <c r="E2230" s="75" t="s">
        <v>843</v>
      </c>
      <c r="F2230" s="74">
        <v>315</v>
      </c>
      <c r="G2230" s="75" t="s">
        <v>568</v>
      </c>
      <c r="H2230" s="77" t="str">
        <f>VLOOKUP(DESPESAS[[#This Row],[Plano de Contas]],BASE!$B$3:$D$119,3,FALSE)</f>
        <v>Carregamento</v>
      </c>
      <c r="I2230" s="77" t="str">
        <f>IFERROR(VLOOKUP(DESPESAS[[#This Row],[Fornecedor]],Tabela2[],2,FALSE),"")</f>
        <v/>
      </c>
      <c r="J2230" s="77" t="str">
        <f>IFERROR(VLOOKUP(DESPESAS[[#This Row],[Plano de Contas]],BASE!$B$3:$F$119,4,FALSE),"")</f>
        <v>6 - DESPESA COM VENDAS</v>
      </c>
      <c r="K2230" s="77" t="str">
        <f>IFERROR(VLOOKUP(DESPESAS[[#This Row],[Plano de Contas]],BASE!$B$3:$H$119,5,FALSE),"")</f>
        <v>LOGÍSTICA</v>
      </c>
      <c r="L2230" s="77">
        <f>IFERROR(VLOOKUP(DESPESAS[[#This Row],[Plano de Contas]],BASE!$B$3:$H$119,6,FALSE),"")</f>
        <v>0</v>
      </c>
      <c r="M2230" s="77" t="str">
        <f>VLOOKUP(DESPESAS[[#This Row],[Plano de Contas]],BASE!$B$3:$H$119,7,FALSE)</f>
        <v>MYLENA</v>
      </c>
    </row>
    <row r="2231" spans="1:13" x14ac:dyDescent="0.25">
      <c r="A2231" s="74">
        <v>199077</v>
      </c>
      <c r="B2231" s="75" t="s">
        <v>232</v>
      </c>
      <c r="C2231" s="75" t="s">
        <v>1673</v>
      </c>
      <c r="D2231" s="76">
        <v>46086</v>
      </c>
      <c r="E2231" s="75" t="s">
        <v>774</v>
      </c>
      <c r="F2231" s="74">
        <v>146.33000000000001</v>
      </c>
      <c r="G2231" s="75" t="s">
        <v>259</v>
      </c>
      <c r="H2231" s="77" t="str">
        <f>VLOOKUP(DESPESAS[[#This Row],[Plano de Contas]],BASE!$B$3:$D$119,3,FALSE)</f>
        <v>Manutenção Predial CIF</v>
      </c>
      <c r="I2231" s="77" t="str">
        <f>IFERROR(VLOOKUP(DESPESAS[[#This Row],[Fornecedor]],Tabela2[],2,FALSE),"")</f>
        <v/>
      </c>
      <c r="J2231" s="77" t="str">
        <f>IFERROR(VLOOKUP(DESPESAS[[#This Row],[Plano de Contas]],BASE!$B$3:$F$119,4,FALSE),"")</f>
        <v>3 - CUSTOS INDIRETOS</v>
      </c>
      <c r="K2231" s="77" t="str">
        <f>IFERROR(VLOOKUP(DESPESAS[[#This Row],[Plano de Contas]],BASE!$B$3:$H$119,5,FALSE),"")</f>
        <v>MANUTENÇÃO / TI</v>
      </c>
      <c r="L2231" s="77">
        <f>IFERROR(VLOOKUP(DESPESAS[[#This Row],[Plano de Contas]],BASE!$B$3:$H$119,6,FALSE),"")</f>
        <v>0</v>
      </c>
      <c r="M2231" s="77" t="str">
        <f>VLOOKUP(DESPESAS[[#This Row],[Plano de Contas]],BASE!$B$3:$H$119,7,FALSE)</f>
        <v>FÁBIO</v>
      </c>
    </row>
    <row r="2232" spans="1:13" x14ac:dyDescent="0.25">
      <c r="A2232" s="74">
        <v>199078</v>
      </c>
      <c r="B2232" s="75" t="s">
        <v>221</v>
      </c>
      <c r="C2232" s="75" t="s">
        <v>1672</v>
      </c>
      <c r="D2232" s="76">
        <v>46086</v>
      </c>
      <c r="E2232" s="75" t="s">
        <v>399</v>
      </c>
      <c r="F2232" s="74">
        <v>52.08</v>
      </c>
      <c r="G2232" s="75" t="s">
        <v>1342</v>
      </c>
      <c r="H2232" s="77" t="str">
        <f>VLOOKUP(DESPESAS[[#This Row],[Plano de Contas]],BASE!$B$3:$D$119,3,FALSE)</f>
        <v>Copa</v>
      </c>
      <c r="I2232" s="77" t="str">
        <f>IFERROR(VLOOKUP(DESPESAS[[#This Row],[Fornecedor]],Tabela2[],2,FALSE),"")</f>
        <v/>
      </c>
      <c r="J2232" s="77" t="str">
        <f>IFERROR(VLOOKUP(DESPESAS[[#This Row],[Plano de Contas]],BASE!$B$3:$F$119,4,FALSE),"")</f>
        <v>5 - DESPESAS ADMINISTRATIVAS</v>
      </c>
      <c r="K2232" s="77" t="str">
        <f>IFERROR(VLOOKUP(DESPESAS[[#This Row],[Plano de Contas]],BASE!$B$3:$H$119,5,FALSE),"")</f>
        <v>ADMINISTRATIVO</v>
      </c>
      <c r="L2232" s="77">
        <f>IFERROR(VLOOKUP(DESPESAS[[#This Row],[Plano de Contas]],BASE!$B$3:$H$119,6,FALSE),"")</f>
        <v>0</v>
      </c>
      <c r="M2232" s="77" t="str">
        <f>VLOOKUP(DESPESAS[[#This Row],[Plano de Contas]],BASE!$B$3:$H$119,7,FALSE)</f>
        <v>LETÍCIA</v>
      </c>
    </row>
    <row r="2233" spans="1:13" x14ac:dyDescent="0.25">
      <c r="A2233" s="74">
        <v>199080</v>
      </c>
      <c r="B2233" s="75" t="s">
        <v>232</v>
      </c>
      <c r="C2233" s="75" t="s">
        <v>1671</v>
      </c>
      <c r="D2233" s="76">
        <v>46086</v>
      </c>
      <c r="E2233" s="75" t="s">
        <v>230</v>
      </c>
      <c r="F2233" s="74">
        <v>637.49</v>
      </c>
      <c r="G2233" s="75" t="s">
        <v>229</v>
      </c>
      <c r="H2233" s="77" t="str">
        <f>VLOOKUP(DESPESAS[[#This Row],[Plano de Contas]],BASE!$B$3:$D$119,3,FALSE)</f>
        <v>Despesas Bancarias</v>
      </c>
      <c r="I2233" s="77" t="str">
        <f>IFERROR(VLOOKUP(DESPESAS[[#This Row],[Fornecedor]],Tabela2[],2,FALSE),"")</f>
        <v/>
      </c>
      <c r="J2233" s="77" t="str">
        <f>IFERROR(VLOOKUP(DESPESAS[[#This Row],[Plano de Contas]],BASE!$B$3:$F$119,4,FALSE),"")</f>
        <v>8 - DESPESAS FINANCEIRAS</v>
      </c>
      <c r="K2233" s="77" t="str">
        <f>IFERROR(VLOOKUP(DESPESAS[[#This Row],[Plano de Contas]],BASE!$B$3:$H$119,5,FALSE),"")</f>
        <v>FINANCEIRO</v>
      </c>
      <c r="L2233" s="77">
        <f>IFERROR(VLOOKUP(DESPESAS[[#This Row],[Plano de Contas]],BASE!$B$3:$H$119,6,FALSE),"")</f>
        <v>0</v>
      </c>
      <c r="M2233" s="77" t="str">
        <f>VLOOKUP(DESPESAS[[#This Row],[Plano de Contas]],BASE!$B$3:$H$119,7,FALSE)</f>
        <v>LETÍCIA</v>
      </c>
    </row>
    <row r="2234" spans="1:13" x14ac:dyDescent="0.25">
      <c r="A2234" s="74">
        <v>199081</v>
      </c>
      <c r="B2234" s="75" t="s">
        <v>232</v>
      </c>
      <c r="C2234" s="75" t="s">
        <v>1670</v>
      </c>
      <c r="D2234" s="76">
        <v>46086</v>
      </c>
      <c r="E2234" s="75" t="s">
        <v>230</v>
      </c>
      <c r="F2234" s="74">
        <v>414.75</v>
      </c>
      <c r="G2234" s="75" t="s">
        <v>229</v>
      </c>
      <c r="H2234" s="77" t="str">
        <f>VLOOKUP(DESPESAS[[#This Row],[Plano de Contas]],BASE!$B$3:$D$119,3,FALSE)</f>
        <v>Despesas Bancarias</v>
      </c>
      <c r="I2234" s="77" t="str">
        <f>IFERROR(VLOOKUP(DESPESAS[[#This Row],[Fornecedor]],Tabela2[],2,FALSE),"")</f>
        <v/>
      </c>
      <c r="J2234" s="77" t="str">
        <f>IFERROR(VLOOKUP(DESPESAS[[#This Row],[Plano de Contas]],BASE!$B$3:$F$119,4,FALSE),"")</f>
        <v>8 - DESPESAS FINANCEIRAS</v>
      </c>
      <c r="K2234" s="77" t="str">
        <f>IFERROR(VLOOKUP(DESPESAS[[#This Row],[Plano de Contas]],BASE!$B$3:$H$119,5,FALSE),"")</f>
        <v>FINANCEIRO</v>
      </c>
      <c r="L2234" s="77">
        <f>IFERROR(VLOOKUP(DESPESAS[[#This Row],[Plano de Contas]],BASE!$B$3:$H$119,6,FALSE),"")</f>
        <v>0</v>
      </c>
      <c r="M2234" s="77" t="str">
        <f>VLOOKUP(DESPESAS[[#This Row],[Plano de Contas]],BASE!$B$3:$H$119,7,FALSE)</f>
        <v>LETÍCIA</v>
      </c>
    </row>
    <row r="2235" spans="1:13" x14ac:dyDescent="0.25">
      <c r="A2235" s="74">
        <v>199082</v>
      </c>
      <c r="B2235" s="75" t="s">
        <v>232</v>
      </c>
      <c r="C2235" s="75" t="s">
        <v>1669</v>
      </c>
      <c r="D2235" s="76">
        <v>46086</v>
      </c>
      <c r="E2235" s="75" t="s">
        <v>230</v>
      </c>
      <c r="F2235" s="74">
        <v>3995.08</v>
      </c>
      <c r="G2235" s="75" t="s">
        <v>251</v>
      </c>
      <c r="H2235" s="77" t="str">
        <f>VLOOKUP(DESPESAS[[#This Row],[Plano de Contas]],BASE!$B$3:$D$119,3,FALSE)</f>
        <v>Juros Pagos - Antecipação de Crédito</v>
      </c>
      <c r="I2235" s="77" t="str">
        <f>IFERROR(VLOOKUP(DESPESAS[[#This Row],[Fornecedor]],Tabela2[],2,FALSE),"")</f>
        <v/>
      </c>
      <c r="J2235" s="77" t="str">
        <f>IFERROR(VLOOKUP(DESPESAS[[#This Row],[Plano de Contas]],BASE!$B$3:$F$119,4,FALSE),"")</f>
        <v>8 - DESPESAS FINANCEIRAS</v>
      </c>
      <c r="K2235" s="77" t="str">
        <f>IFERROR(VLOOKUP(DESPESAS[[#This Row],[Plano de Contas]],BASE!$B$3:$H$119,5,FALSE),"")</f>
        <v>FINANCEIRO</v>
      </c>
      <c r="L2235" s="77">
        <f>IFERROR(VLOOKUP(DESPESAS[[#This Row],[Plano de Contas]],BASE!$B$3:$H$119,6,FALSE),"")</f>
        <v>0</v>
      </c>
      <c r="M2235" s="77" t="str">
        <f>VLOOKUP(DESPESAS[[#This Row],[Plano de Contas]],BASE!$B$3:$H$119,7,FALSE)</f>
        <v>LETÍCIA</v>
      </c>
    </row>
    <row r="2236" spans="1:13" x14ac:dyDescent="0.25">
      <c r="A2236" s="74">
        <v>199083</v>
      </c>
      <c r="B2236" s="75" t="s">
        <v>232</v>
      </c>
      <c r="C2236" s="75" t="s">
        <v>1666</v>
      </c>
      <c r="D2236" s="76">
        <v>46086</v>
      </c>
      <c r="E2236" s="75" t="s">
        <v>573</v>
      </c>
      <c r="F2236" s="74">
        <v>3076.24</v>
      </c>
      <c r="G2236" s="75" t="s">
        <v>572</v>
      </c>
      <c r="H2236" s="77" t="str">
        <f>VLOOKUP(DESPESAS[[#This Row],[Plano de Contas]],BASE!$B$3:$D$119,3,FALSE)</f>
        <v>Comissões sobre Vendas Externo</v>
      </c>
      <c r="I2236" s="77" t="str">
        <f>IFERROR(VLOOKUP(DESPESAS[[#This Row],[Fornecedor]],Tabela2[],2,FALSE),"")</f>
        <v/>
      </c>
      <c r="J2236" s="77" t="str">
        <f>IFERROR(VLOOKUP(DESPESAS[[#This Row],[Plano de Contas]],BASE!$B$3:$F$119,4,FALSE),"")</f>
        <v>6 - DESPESA COM VENDAS</v>
      </c>
      <c r="K2236" s="77" t="str">
        <f>IFERROR(VLOOKUP(DESPESAS[[#This Row],[Plano de Contas]],BASE!$B$3:$H$119,5,FALSE),"")</f>
        <v>COMERCIAL</v>
      </c>
      <c r="L2236" s="77">
        <f>IFERROR(VLOOKUP(DESPESAS[[#This Row],[Plano de Contas]],BASE!$B$3:$H$119,6,FALSE),"")</f>
        <v>0</v>
      </c>
      <c r="M2236" s="77" t="str">
        <f>VLOOKUP(DESPESAS[[#This Row],[Plano de Contas]],BASE!$B$3:$H$119,7,FALSE)</f>
        <v>LETÍCIA</v>
      </c>
    </row>
    <row r="2237" spans="1:13" x14ac:dyDescent="0.25">
      <c r="A2237" s="74">
        <v>199084</v>
      </c>
      <c r="B2237" s="75" t="s">
        <v>232</v>
      </c>
      <c r="C2237" s="75" t="s">
        <v>1666</v>
      </c>
      <c r="D2237" s="76">
        <v>46086</v>
      </c>
      <c r="E2237" s="75" t="s">
        <v>790</v>
      </c>
      <c r="F2237" s="74">
        <v>852.77</v>
      </c>
      <c r="G2237" s="75" t="s">
        <v>572</v>
      </c>
      <c r="H2237" s="77" t="str">
        <f>VLOOKUP(DESPESAS[[#This Row],[Plano de Contas]],BASE!$B$3:$D$119,3,FALSE)</f>
        <v>Comissões sobre Vendas Externo</v>
      </c>
      <c r="I2237" s="77" t="str">
        <f>IFERROR(VLOOKUP(DESPESAS[[#This Row],[Fornecedor]],Tabela2[],2,FALSE),"")</f>
        <v/>
      </c>
      <c r="J2237" s="77" t="str">
        <f>IFERROR(VLOOKUP(DESPESAS[[#This Row],[Plano de Contas]],BASE!$B$3:$F$119,4,FALSE),"")</f>
        <v>6 - DESPESA COM VENDAS</v>
      </c>
      <c r="K2237" s="77" t="str">
        <f>IFERROR(VLOOKUP(DESPESAS[[#This Row],[Plano de Contas]],BASE!$B$3:$H$119,5,FALSE),"")</f>
        <v>COMERCIAL</v>
      </c>
      <c r="L2237" s="77">
        <f>IFERROR(VLOOKUP(DESPESAS[[#This Row],[Plano de Contas]],BASE!$B$3:$H$119,6,FALSE),"")</f>
        <v>0</v>
      </c>
      <c r="M2237" s="77" t="str">
        <f>VLOOKUP(DESPESAS[[#This Row],[Plano de Contas]],BASE!$B$3:$H$119,7,FALSE)</f>
        <v>LETÍCIA</v>
      </c>
    </row>
    <row r="2238" spans="1:13" x14ac:dyDescent="0.25">
      <c r="A2238" s="74">
        <v>199086</v>
      </c>
      <c r="B2238" s="75" t="s">
        <v>232</v>
      </c>
      <c r="C2238" s="75" t="s">
        <v>1666</v>
      </c>
      <c r="D2238" s="76">
        <v>46086</v>
      </c>
      <c r="E2238" s="75" t="s">
        <v>789</v>
      </c>
      <c r="F2238" s="74">
        <v>2104.7800000000002</v>
      </c>
      <c r="G2238" s="75" t="s">
        <v>572</v>
      </c>
      <c r="H2238" s="77" t="str">
        <f>VLOOKUP(DESPESAS[[#This Row],[Plano de Contas]],BASE!$B$3:$D$119,3,FALSE)</f>
        <v>Comissões sobre Vendas Externo</v>
      </c>
      <c r="I2238" s="77" t="str">
        <f>IFERROR(VLOOKUP(DESPESAS[[#This Row],[Fornecedor]],Tabela2[],2,FALSE),"")</f>
        <v/>
      </c>
      <c r="J2238" s="77" t="str">
        <f>IFERROR(VLOOKUP(DESPESAS[[#This Row],[Plano de Contas]],BASE!$B$3:$F$119,4,FALSE),"")</f>
        <v>6 - DESPESA COM VENDAS</v>
      </c>
      <c r="K2238" s="77" t="str">
        <f>IFERROR(VLOOKUP(DESPESAS[[#This Row],[Plano de Contas]],BASE!$B$3:$H$119,5,FALSE),"")</f>
        <v>COMERCIAL</v>
      </c>
      <c r="L2238" s="77">
        <f>IFERROR(VLOOKUP(DESPESAS[[#This Row],[Plano de Contas]],BASE!$B$3:$H$119,6,FALSE),"")</f>
        <v>0</v>
      </c>
      <c r="M2238" s="77" t="str">
        <f>VLOOKUP(DESPESAS[[#This Row],[Plano de Contas]],BASE!$B$3:$H$119,7,FALSE)</f>
        <v>LETÍCIA</v>
      </c>
    </row>
    <row r="2239" spans="1:13" x14ac:dyDescent="0.25">
      <c r="A2239" s="74">
        <v>199087</v>
      </c>
      <c r="B2239" s="75" t="s">
        <v>232</v>
      </c>
      <c r="C2239" s="75" t="s">
        <v>1666</v>
      </c>
      <c r="D2239" s="76">
        <v>46086</v>
      </c>
      <c r="E2239" s="75" t="s">
        <v>788</v>
      </c>
      <c r="F2239" s="74">
        <v>2018.96</v>
      </c>
      <c r="G2239" s="75" t="s">
        <v>572</v>
      </c>
      <c r="H2239" s="77" t="str">
        <f>VLOOKUP(DESPESAS[[#This Row],[Plano de Contas]],BASE!$B$3:$D$119,3,FALSE)</f>
        <v>Comissões sobre Vendas Externo</v>
      </c>
      <c r="I2239" s="77" t="str">
        <f>IFERROR(VLOOKUP(DESPESAS[[#This Row],[Fornecedor]],Tabela2[],2,FALSE),"")</f>
        <v/>
      </c>
      <c r="J2239" s="77" t="str">
        <f>IFERROR(VLOOKUP(DESPESAS[[#This Row],[Plano de Contas]],BASE!$B$3:$F$119,4,FALSE),"")</f>
        <v>6 - DESPESA COM VENDAS</v>
      </c>
      <c r="K2239" s="77" t="str">
        <f>IFERROR(VLOOKUP(DESPESAS[[#This Row],[Plano de Contas]],BASE!$B$3:$H$119,5,FALSE),"")</f>
        <v>COMERCIAL</v>
      </c>
      <c r="L2239" s="77">
        <f>IFERROR(VLOOKUP(DESPESAS[[#This Row],[Plano de Contas]],BASE!$B$3:$H$119,6,FALSE),"")</f>
        <v>0</v>
      </c>
      <c r="M2239" s="77" t="str">
        <f>VLOOKUP(DESPESAS[[#This Row],[Plano de Contas]],BASE!$B$3:$H$119,7,FALSE)</f>
        <v>LETÍCIA</v>
      </c>
    </row>
    <row r="2240" spans="1:13" x14ac:dyDescent="0.25">
      <c r="A2240" s="74">
        <v>199088</v>
      </c>
      <c r="B2240" s="75" t="s">
        <v>232</v>
      </c>
      <c r="C2240" s="75" t="s">
        <v>1666</v>
      </c>
      <c r="D2240" s="76">
        <v>46086</v>
      </c>
      <c r="E2240" s="75" t="s">
        <v>787</v>
      </c>
      <c r="F2240" s="74">
        <v>1119.24</v>
      </c>
      <c r="G2240" s="75" t="s">
        <v>572</v>
      </c>
      <c r="H2240" s="77" t="str">
        <f>VLOOKUP(DESPESAS[[#This Row],[Plano de Contas]],BASE!$B$3:$D$119,3,FALSE)</f>
        <v>Comissões sobre Vendas Externo</v>
      </c>
      <c r="I2240" s="77" t="str">
        <f>IFERROR(VLOOKUP(DESPESAS[[#This Row],[Fornecedor]],Tabela2[],2,FALSE),"")</f>
        <v/>
      </c>
      <c r="J2240" s="77" t="str">
        <f>IFERROR(VLOOKUP(DESPESAS[[#This Row],[Plano de Contas]],BASE!$B$3:$F$119,4,FALSE),"")</f>
        <v>6 - DESPESA COM VENDAS</v>
      </c>
      <c r="K2240" s="77" t="str">
        <f>IFERROR(VLOOKUP(DESPESAS[[#This Row],[Plano de Contas]],BASE!$B$3:$H$119,5,FALSE),"")</f>
        <v>COMERCIAL</v>
      </c>
      <c r="L2240" s="77">
        <f>IFERROR(VLOOKUP(DESPESAS[[#This Row],[Plano de Contas]],BASE!$B$3:$H$119,6,FALSE),"")</f>
        <v>0</v>
      </c>
      <c r="M2240" s="77" t="str">
        <f>VLOOKUP(DESPESAS[[#This Row],[Plano de Contas]],BASE!$B$3:$H$119,7,FALSE)</f>
        <v>LETÍCIA</v>
      </c>
    </row>
    <row r="2241" spans="1:13" x14ac:dyDescent="0.25">
      <c r="A2241" s="74">
        <v>199089</v>
      </c>
      <c r="B2241" s="75" t="s">
        <v>232</v>
      </c>
      <c r="C2241" s="75" t="s">
        <v>1666</v>
      </c>
      <c r="D2241" s="76">
        <v>46086</v>
      </c>
      <c r="E2241" s="75" t="s">
        <v>786</v>
      </c>
      <c r="F2241" s="74">
        <v>312.14</v>
      </c>
      <c r="G2241" s="75" t="s">
        <v>572</v>
      </c>
      <c r="H2241" s="77" t="str">
        <f>VLOOKUP(DESPESAS[[#This Row],[Plano de Contas]],BASE!$B$3:$D$119,3,FALSE)</f>
        <v>Comissões sobre Vendas Externo</v>
      </c>
      <c r="I2241" s="77" t="str">
        <f>IFERROR(VLOOKUP(DESPESAS[[#This Row],[Fornecedor]],Tabela2[],2,FALSE),"")</f>
        <v/>
      </c>
      <c r="J2241" s="77" t="str">
        <f>IFERROR(VLOOKUP(DESPESAS[[#This Row],[Plano de Contas]],BASE!$B$3:$F$119,4,FALSE),"")</f>
        <v>6 - DESPESA COM VENDAS</v>
      </c>
      <c r="K2241" s="77" t="str">
        <f>IFERROR(VLOOKUP(DESPESAS[[#This Row],[Plano de Contas]],BASE!$B$3:$H$119,5,FALSE),"")</f>
        <v>COMERCIAL</v>
      </c>
      <c r="L2241" s="77">
        <f>IFERROR(VLOOKUP(DESPESAS[[#This Row],[Plano de Contas]],BASE!$B$3:$H$119,6,FALSE),"")</f>
        <v>0</v>
      </c>
      <c r="M2241" s="77" t="str">
        <f>VLOOKUP(DESPESAS[[#This Row],[Plano de Contas]],BASE!$B$3:$H$119,7,FALSE)</f>
        <v>LETÍCIA</v>
      </c>
    </row>
    <row r="2242" spans="1:13" x14ac:dyDescent="0.25">
      <c r="A2242" s="74">
        <v>199090</v>
      </c>
      <c r="B2242" s="75" t="s">
        <v>232</v>
      </c>
      <c r="C2242" s="75" t="s">
        <v>1666</v>
      </c>
      <c r="D2242" s="76">
        <v>46086</v>
      </c>
      <c r="E2242" s="75" t="s">
        <v>785</v>
      </c>
      <c r="F2242" s="74">
        <v>3372.6</v>
      </c>
      <c r="G2242" s="75" t="s">
        <v>572</v>
      </c>
      <c r="H2242" s="77" t="str">
        <f>VLOOKUP(DESPESAS[[#This Row],[Plano de Contas]],BASE!$B$3:$D$119,3,FALSE)</f>
        <v>Comissões sobre Vendas Externo</v>
      </c>
      <c r="I2242" s="77" t="str">
        <f>IFERROR(VLOOKUP(DESPESAS[[#This Row],[Fornecedor]],Tabela2[],2,FALSE),"")</f>
        <v/>
      </c>
      <c r="J2242" s="77" t="str">
        <f>IFERROR(VLOOKUP(DESPESAS[[#This Row],[Plano de Contas]],BASE!$B$3:$F$119,4,FALSE),"")</f>
        <v>6 - DESPESA COM VENDAS</v>
      </c>
      <c r="K2242" s="77" t="str">
        <f>IFERROR(VLOOKUP(DESPESAS[[#This Row],[Plano de Contas]],BASE!$B$3:$H$119,5,FALSE),"")</f>
        <v>COMERCIAL</v>
      </c>
      <c r="L2242" s="77">
        <f>IFERROR(VLOOKUP(DESPESAS[[#This Row],[Plano de Contas]],BASE!$B$3:$H$119,6,FALSE),"")</f>
        <v>0</v>
      </c>
      <c r="M2242" s="77" t="str">
        <f>VLOOKUP(DESPESAS[[#This Row],[Plano de Contas]],BASE!$B$3:$H$119,7,FALSE)</f>
        <v>LETÍCIA</v>
      </c>
    </row>
    <row r="2243" spans="1:13" x14ac:dyDescent="0.25">
      <c r="A2243" s="74">
        <v>199091</v>
      </c>
      <c r="B2243" s="75" t="s">
        <v>232</v>
      </c>
      <c r="C2243" s="75" t="s">
        <v>1666</v>
      </c>
      <c r="D2243" s="76">
        <v>46086</v>
      </c>
      <c r="E2243" s="75" t="s">
        <v>784</v>
      </c>
      <c r="F2243" s="74">
        <v>4801.1099999999997</v>
      </c>
      <c r="G2243" s="75" t="s">
        <v>572</v>
      </c>
      <c r="H2243" s="77" t="str">
        <f>VLOOKUP(DESPESAS[[#This Row],[Plano de Contas]],BASE!$B$3:$D$119,3,FALSE)</f>
        <v>Comissões sobre Vendas Externo</v>
      </c>
      <c r="I2243" s="77" t="str">
        <f>IFERROR(VLOOKUP(DESPESAS[[#This Row],[Fornecedor]],Tabela2[],2,FALSE),"")</f>
        <v/>
      </c>
      <c r="J2243" s="77" t="str">
        <f>IFERROR(VLOOKUP(DESPESAS[[#This Row],[Plano de Contas]],BASE!$B$3:$F$119,4,FALSE),"")</f>
        <v>6 - DESPESA COM VENDAS</v>
      </c>
      <c r="K2243" s="77" t="str">
        <f>IFERROR(VLOOKUP(DESPESAS[[#This Row],[Plano de Contas]],BASE!$B$3:$H$119,5,FALSE),"")</f>
        <v>COMERCIAL</v>
      </c>
      <c r="L2243" s="77">
        <f>IFERROR(VLOOKUP(DESPESAS[[#This Row],[Plano de Contas]],BASE!$B$3:$H$119,6,FALSE),"")</f>
        <v>0</v>
      </c>
      <c r="M2243" s="77" t="str">
        <f>VLOOKUP(DESPESAS[[#This Row],[Plano de Contas]],BASE!$B$3:$H$119,7,FALSE)</f>
        <v>LETÍCIA</v>
      </c>
    </row>
    <row r="2244" spans="1:13" x14ac:dyDescent="0.25">
      <c r="A2244" s="74">
        <v>199092</v>
      </c>
      <c r="B2244" s="75" t="s">
        <v>232</v>
      </c>
      <c r="C2244" s="75" t="s">
        <v>1666</v>
      </c>
      <c r="D2244" s="76">
        <v>46086</v>
      </c>
      <c r="E2244" s="75" t="s">
        <v>791</v>
      </c>
      <c r="F2244" s="74">
        <v>2270.5</v>
      </c>
      <c r="G2244" s="75" t="s">
        <v>572</v>
      </c>
      <c r="H2244" s="77" t="str">
        <f>VLOOKUP(DESPESAS[[#This Row],[Plano de Contas]],BASE!$B$3:$D$119,3,FALSE)</f>
        <v>Comissões sobre Vendas Externo</v>
      </c>
      <c r="I2244" s="77" t="str">
        <f>IFERROR(VLOOKUP(DESPESAS[[#This Row],[Fornecedor]],Tabela2[],2,FALSE),"")</f>
        <v/>
      </c>
      <c r="J2244" s="77" t="str">
        <f>IFERROR(VLOOKUP(DESPESAS[[#This Row],[Plano de Contas]],BASE!$B$3:$F$119,4,FALSE),"")</f>
        <v>6 - DESPESA COM VENDAS</v>
      </c>
      <c r="K2244" s="77" t="str">
        <f>IFERROR(VLOOKUP(DESPESAS[[#This Row],[Plano de Contas]],BASE!$B$3:$H$119,5,FALSE),"")</f>
        <v>COMERCIAL</v>
      </c>
      <c r="L2244" s="77">
        <f>IFERROR(VLOOKUP(DESPESAS[[#This Row],[Plano de Contas]],BASE!$B$3:$H$119,6,FALSE),"")</f>
        <v>0</v>
      </c>
      <c r="M2244" s="77" t="str">
        <f>VLOOKUP(DESPESAS[[#This Row],[Plano de Contas]],BASE!$B$3:$H$119,7,FALSE)</f>
        <v>LETÍCIA</v>
      </c>
    </row>
    <row r="2245" spans="1:13" x14ac:dyDescent="0.25">
      <c r="A2245" s="74">
        <v>199093</v>
      </c>
      <c r="B2245" s="75" t="s">
        <v>221</v>
      </c>
      <c r="C2245" s="75" t="s">
        <v>1666</v>
      </c>
      <c r="D2245" s="76">
        <v>46086</v>
      </c>
      <c r="E2245" s="75" t="s">
        <v>573</v>
      </c>
      <c r="F2245" s="74">
        <v>385.86</v>
      </c>
      <c r="G2245" s="75" t="s">
        <v>572</v>
      </c>
      <c r="H2245" s="77" t="str">
        <f>VLOOKUP(DESPESAS[[#This Row],[Plano de Contas]],BASE!$B$3:$D$119,3,FALSE)</f>
        <v>Comissões sobre Vendas Externo</v>
      </c>
      <c r="I2245" s="77" t="str">
        <f>IFERROR(VLOOKUP(DESPESAS[[#This Row],[Fornecedor]],Tabela2[],2,FALSE),"")</f>
        <v/>
      </c>
      <c r="J2245" s="77" t="str">
        <f>IFERROR(VLOOKUP(DESPESAS[[#This Row],[Plano de Contas]],BASE!$B$3:$F$119,4,FALSE),"")</f>
        <v>6 - DESPESA COM VENDAS</v>
      </c>
      <c r="K2245" s="77" t="str">
        <f>IFERROR(VLOOKUP(DESPESAS[[#This Row],[Plano de Contas]],BASE!$B$3:$H$119,5,FALSE),"")</f>
        <v>COMERCIAL</v>
      </c>
      <c r="L2245" s="77">
        <f>IFERROR(VLOOKUP(DESPESAS[[#This Row],[Plano de Contas]],BASE!$B$3:$H$119,6,FALSE),"")</f>
        <v>0</v>
      </c>
      <c r="M2245" s="77" t="str">
        <f>VLOOKUP(DESPESAS[[#This Row],[Plano de Contas]],BASE!$B$3:$H$119,7,FALSE)</f>
        <v>LETÍCIA</v>
      </c>
    </row>
    <row r="2246" spans="1:13" x14ac:dyDescent="0.25">
      <c r="A2246" s="74">
        <v>199094</v>
      </c>
      <c r="B2246" s="75" t="s">
        <v>221</v>
      </c>
      <c r="C2246" s="75" t="s">
        <v>1666</v>
      </c>
      <c r="D2246" s="76">
        <v>46086</v>
      </c>
      <c r="E2246" s="75" t="s">
        <v>788</v>
      </c>
      <c r="F2246" s="74">
        <v>49.7</v>
      </c>
      <c r="G2246" s="75" t="s">
        <v>572</v>
      </c>
      <c r="H2246" s="77" t="str">
        <f>VLOOKUP(DESPESAS[[#This Row],[Plano de Contas]],BASE!$B$3:$D$119,3,FALSE)</f>
        <v>Comissões sobre Vendas Externo</v>
      </c>
      <c r="I2246" s="77" t="str">
        <f>IFERROR(VLOOKUP(DESPESAS[[#This Row],[Fornecedor]],Tabela2[],2,FALSE),"")</f>
        <v/>
      </c>
      <c r="J2246" s="77" t="str">
        <f>IFERROR(VLOOKUP(DESPESAS[[#This Row],[Plano de Contas]],BASE!$B$3:$F$119,4,FALSE),"")</f>
        <v>6 - DESPESA COM VENDAS</v>
      </c>
      <c r="K2246" s="77" t="str">
        <f>IFERROR(VLOOKUP(DESPESAS[[#This Row],[Plano de Contas]],BASE!$B$3:$H$119,5,FALSE),"")</f>
        <v>COMERCIAL</v>
      </c>
      <c r="L2246" s="77">
        <f>IFERROR(VLOOKUP(DESPESAS[[#This Row],[Plano de Contas]],BASE!$B$3:$H$119,6,FALSE),"")</f>
        <v>0</v>
      </c>
      <c r="M2246" s="77" t="str">
        <f>VLOOKUP(DESPESAS[[#This Row],[Plano de Contas]],BASE!$B$3:$H$119,7,FALSE)</f>
        <v>LETÍCIA</v>
      </c>
    </row>
    <row r="2247" spans="1:13" x14ac:dyDescent="0.25">
      <c r="A2247" s="74">
        <v>199095</v>
      </c>
      <c r="B2247" s="75" t="s">
        <v>221</v>
      </c>
      <c r="C2247" s="75" t="s">
        <v>1666</v>
      </c>
      <c r="D2247" s="76">
        <v>46086</v>
      </c>
      <c r="E2247" s="75" t="s">
        <v>787</v>
      </c>
      <c r="F2247" s="74">
        <v>884.86</v>
      </c>
      <c r="G2247" s="75" t="s">
        <v>572</v>
      </c>
      <c r="H2247" s="77" t="str">
        <f>VLOOKUP(DESPESAS[[#This Row],[Plano de Contas]],BASE!$B$3:$D$119,3,FALSE)</f>
        <v>Comissões sobre Vendas Externo</v>
      </c>
      <c r="I2247" s="77" t="str">
        <f>IFERROR(VLOOKUP(DESPESAS[[#This Row],[Fornecedor]],Tabela2[],2,FALSE),"")</f>
        <v/>
      </c>
      <c r="J2247" s="77" t="str">
        <f>IFERROR(VLOOKUP(DESPESAS[[#This Row],[Plano de Contas]],BASE!$B$3:$F$119,4,FALSE),"")</f>
        <v>6 - DESPESA COM VENDAS</v>
      </c>
      <c r="K2247" s="77" t="str">
        <f>IFERROR(VLOOKUP(DESPESAS[[#This Row],[Plano de Contas]],BASE!$B$3:$H$119,5,FALSE),"")</f>
        <v>COMERCIAL</v>
      </c>
      <c r="L2247" s="77">
        <f>IFERROR(VLOOKUP(DESPESAS[[#This Row],[Plano de Contas]],BASE!$B$3:$H$119,6,FALSE),"")</f>
        <v>0</v>
      </c>
      <c r="M2247" s="77" t="str">
        <f>VLOOKUP(DESPESAS[[#This Row],[Plano de Contas]],BASE!$B$3:$H$119,7,FALSE)</f>
        <v>LETÍCIA</v>
      </c>
    </row>
    <row r="2248" spans="1:13" x14ac:dyDescent="0.25">
      <c r="A2248" s="74">
        <v>199096</v>
      </c>
      <c r="B2248" s="75" t="s">
        <v>221</v>
      </c>
      <c r="C2248" s="75" t="s">
        <v>1666</v>
      </c>
      <c r="D2248" s="76">
        <v>46086</v>
      </c>
      <c r="E2248" s="75" t="s">
        <v>785</v>
      </c>
      <c r="F2248" s="74">
        <v>459.57</v>
      </c>
      <c r="G2248" s="75" t="s">
        <v>572</v>
      </c>
      <c r="H2248" s="77" t="str">
        <f>VLOOKUP(DESPESAS[[#This Row],[Plano de Contas]],BASE!$B$3:$D$119,3,FALSE)</f>
        <v>Comissões sobre Vendas Externo</v>
      </c>
      <c r="I2248" s="77" t="str">
        <f>IFERROR(VLOOKUP(DESPESAS[[#This Row],[Fornecedor]],Tabela2[],2,FALSE),"")</f>
        <v/>
      </c>
      <c r="J2248" s="77" t="str">
        <f>IFERROR(VLOOKUP(DESPESAS[[#This Row],[Plano de Contas]],BASE!$B$3:$F$119,4,FALSE),"")</f>
        <v>6 - DESPESA COM VENDAS</v>
      </c>
      <c r="K2248" s="77" t="str">
        <f>IFERROR(VLOOKUP(DESPESAS[[#This Row],[Plano de Contas]],BASE!$B$3:$H$119,5,FALSE),"")</f>
        <v>COMERCIAL</v>
      </c>
      <c r="L2248" s="77">
        <f>IFERROR(VLOOKUP(DESPESAS[[#This Row],[Plano de Contas]],BASE!$B$3:$H$119,6,FALSE),"")</f>
        <v>0</v>
      </c>
      <c r="M2248" s="77" t="str">
        <f>VLOOKUP(DESPESAS[[#This Row],[Plano de Contas]],BASE!$B$3:$H$119,7,FALSE)</f>
        <v>LETÍCIA</v>
      </c>
    </row>
    <row r="2249" spans="1:13" x14ac:dyDescent="0.25">
      <c r="A2249" s="74">
        <v>199097</v>
      </c>
      <c r="B2249" s="75" t="s">
        <v>221</v>
      </c>
      <c r="C2249" s="75" t="s">
        <v>1666</v>
      </c>
      <c r="D2249" s="76">
        <v>46086</v>
      </c>
      <c r="E2249" s="75" t="s">
        <v>784</v>
      </c>
      <c r="F2249" s="74">
        <v>1884.95</v>
      </c>
      <c r="G2249" s="75" t="s">
        <v>572</v>
      </c>
      <c r="H2249" s="77" t="str">
        <f>VLOOKUP(DESPESAS[[#This Row],[Plano de Contas]],BASE!$B$3:$D$119,3,FALSE)</f>
        <v>Comissões sobre Vendas Externo</v>
      </c>
      <c r="I2249" s="77" t="str">
        <f>IFERROR(VLOOKUP(DESPESAS[[#This Row],[Fornecedor]],Tabela2[],2,FALSE),"")</f>
        <v/>
      </c>
      <c r="J2249" s="77" t="str">
        <f>IFERROR(VLOOKUP(DESPESAS[[#This Row],[Plano de Contas]],BASE!$B$3:$F$119,4,FALSE),"")</f>
        <v>6 - DESPESA COM VENDAS</v>
      </c>
      <c r="K2249" s="77" t="str">
        <f>IFERROR(VLOOKUP(DESPESAS[[#This Row],[Plano de Contas]],BASE!$B$3:$H$119,5,FALSE),"")</f>
        <v>COMERCIAL</v>
      </c>
      <c r="L2249" s="77">
        <f>IFERROR(VLOOKUP(DESPESAS[[#This Row],[Plano de Contas]],BASE!$B$3:$H$119,6,FALSE),"")</f>
        <v>0</v>
      </c>
      <c r="M2249" s="77" t="str">
        <f>VLOOKUP(DESPESAS[[#This Row],[Plano de Contas]],BASE!$B$3:$H$119,7,FALSE)</f>
        <v>LETÍCIA</v>
      </c>
    </row>
    <row r="2250" spans="1:13" x14ac:dyDescent="0.25">
      <c r="A2250" s="74">
        <v>199098</v>
      </c>
      <c r="B2250" s="75" t="s">
        <v>281</v>
      </c>
      <c r="C2250" s="75" t="s">
        <v>1666</v>
      </c>
      <c r="D2250" s="76">
        <v>46086</v>
      </c>
      <c r="E2250" s="75" t="s">
        <v>790</v>
      </c>
      <c r="F2250" s="74">
        <v>577.75</v>
      </c>
      <c r="G2250" s="75" t="s">
        <v>572</v>
      </c>
      <c r="H2250" s="77" t="str">
        <f>VLOOKUP(DESPESAS[[#This Row],[Plano de Contas]],BASE!$B$3:$D$119,3,FALSE)</f>
        <v>Comissões sobre Vendas Externo</v>
      </c>
      <c r="I2250" s="77" t="str">
        <f>IFERROR(VLOOKUP(DESPESAS[[#This Row],[Fornecedor]],Tabela2[],2,FALSE),"")</f>
        <v/>
      </c>
      <c r="J2250" s="77" t="str">
        <f>IFERROR(VLOOKUP(DESPESAS[[#This Row],[Plano de Contas]],BASE!$B$3:$F$119,4,FALSE),"")</f>
        <v>6 - DESPESA COM VENDAS</v>
      </c>
      <c r="K2250" s="77" t="str">
        <f>IFERROR(VLOOKUP(DESPESAS[[#This Row],[Plano de Contas]],BASE!$B$3:$H$119,5,FALSE),"")</f>
        <v>COMERCIAL</v>
      </c>
      <c r="L2250" s="77">
        <f>IFERROR(VLOOKUP(DESPESAS[[#This Row],[Plano de Contas]],BASE!$B$3:$H$119,6,FALSE),"")</f>
        <v>0</v>
      </c>
      <c r="M2250" s="77" t="str">
        <f>VLOOKUP(DESPESAS[[#This Row],[Plano de Contas]],BASE!$B$3:$H$119,7,FALSE)</f>
        <v>LETÍCIA</v>
      </c>
    </row>
    <row r="2251" spans="1:13" x14ac:dyDescent="0.25">
      <c r="A2251" s="74">
        <v>199099</v>
      </c>
      <c r="B2251" s="75" t="s">
        <v>281</v>
      </c>
      <c r="C2251" s="75" t="s">
        <v>1666</v>
      </c>
      <c r="D2251" s="76">
        <v>46086</v>
      </c>
      <c r="E2251" s="75" t="s">
        <v>788</v>
      </c>
      <c r="F2251" s="74">
        <v>1346.18</v>
      </c>
      <c r="G2251" s="75" t="s">
        <v>572</v>
      </c>
      <c r="H2251" s="77" t="str">
        <f>VLOOKUP(DESPESAS[[#This Row],[Plano de Contas]],BASE!$B$3:$D$119,3,FALSE)</f>
        <v>Comissões sobre Vendas Externo</v>
      </c>
      <c r="I2251" s="77" t="str">
        <f>IFERROR(VLOOKUP(DESPESAS[[#This Row],[Fornecedor]],Tabela2[],2,FALSE),"")</f>
        <v/>
      </c>
      <c r="J2251" s="77" t="str">
        <f>IFERROR(VLOOKUP(DESPESAS[[#This Row],[Plano de Contas]],BASE!$B$3:$F$119,4,FALSE),"")</f>
        <v>6 - DESPESA COM VENDAS</v>
      </c>
      <c r="K2251" s="77" t="str">
        <f>IFERROR(VLOOKUP(DESPESAS[[#This Row],[Plano de Contas]],BASE!$B$3:$H$119,5,FALSE),"")</f>
        <v>COMERCIAL</v>
      </c>
      <c r="L2251" s="77">
        <f>IFERROR(VLOOKUP(DESPESAS[[#This Row],[Plano de Contas]],BASE!$B$3:$H$119,6,FALSE),"")</f>
        <v>0</v>
      </c>
      <c r="M2251" s="77" t="str">
        <f>VLOOKUP(DESPESAS[[#This Row],[Plano de Contas]],BASE!$B$3:$H$119,7,FALSE)</f>
        <v>LETÍCIA</v>
      </c>
    </row>
    <row r="2252" spans="1:13" x14ac:dyDescent="0.25">
      <c r="A2252" s="74">
        <v>199100</v>
      </c>
      <c r="B2252" s="75" t="s">
        <v>281</v>
      </c>
      <c r="C2252" s="75" t="s">
        <v>1666</v>
      </c>
      <c r="D2252" s="76">
        <v>46086</v>
      </c>
      <c r="E2252" s="75" t="s">
        <v>787</v>
      </c>
      <c r="F2252" s="74">
        <v>175.5</v>
      </c>
      <c r="G2252" s="75" t="s">
        <v>572</v>
      </c>
      <c r="H2252" s="77" t="str">
        <f>VLOOKUP(DESPESAS[[#This Row],[Plano de Contas]],BASE!$B$3:$D$119,3,FALSE)</f>
        <v>Comissões sobre Vendas Externo</v>
      </c>
      <c r="I2252" s="77" t="str">
        <f>IFERROR(VLOOKUP(DESPESAS[[#This Row],[Fornecedor]],Tabela2[],2,FALSE),"")</f>
        <v/>
      </c>
      <c r="J2252" s="77" t="str">
        <f>IFERROR(VLOOKUP(DESPESAS[[#This Row],[Plano de Contas]],BASE!$B$3:$F$119,4,FALSE),"")</f>
        <v>6 - DESPESA COM VENDAS</v>
      </c>
      <c r="K2252" s="77" t="str">
        <f>IFERROR(VLOOKUP(DESPESAS[[#This Row],[Plano de Contas]],BASE!$B$3:$H$119,5,FALSE),"")</f>
        <v>COMERCIAL</v>
      </c>
      <c r="L2252" s="77">
        <f>IFERROR(VLOOKUP(DESPESAS[[#This Row],[Plano de Contas]],BASE!$B$3:$H$119,6,FALSE),"")</f>
        <v>0</v>
      </c>
      <c r="M2252" s="77" t="str">
        <f>VLOOKUP(DESPESAS[[#This Row],[Plano de Contas]],BASE!$B$3:$H$119,7,FALSE)</f>
        <v>LETÍCIA</v>
      </c>
    </row>
    <row r="2253" spans="1:13" x14ac:dyDescent="0.25">
      <c r="A2253" s="74">
        <v>199101</v>
      </c>
      <c r="B2253" s="75" t="s">
        <v>221</v>
      </c>
      <c r="C2253" s="75" t="s">
        <v>1668</v>
      </c>
      <c r="D2253" s="76">
        <v>46086</v>
      </c>
      <c r="E2253" s="75" t="s">
        <v>1667</v>
      </c>
      <c r="F2253" s="74">
        <v>500</v>
      </c>
      <c r="G2253" s="75" t="s">
        <v>430</v>
      </c>
      <c r="H2253" s="77" t="str">
        <f>VLOOKUP(DESPESAS[[#This Row],[Plano de Contas]],BASE!$B$3:$D$119,3,FALSE)</f>
        <v>Salarios e Ordenados MOD</v>
      </c>
      <c r="I2253" s="77" t="str">
        <f>IFERROR(VLOOKUP(DESPESAS[[#This Row],[Fornecedor]],Tabela2[],2,FALSE),"")</f>
        <v/>
      </c>
      <c r="J2253" s="77" t="str">
        <f>IFERROR(VLOOKUP(DESPESAS[[#This Row],[Plano de Contas]],BASE!$B$3:$F$119,4,FALSE),"")</f>
        <v>2 - CUSTOS DIRETOS</v>
      </c>
      <c r="K2253" s="77" t="str">
        <f>IFERROR(VLOOKUP(DESPESAS[[#This Row],[Plano de Contas]],BASE!$B$3:$H$119,5,FALSE),"")</f>
        <v>DH</v>
      </c>
      <c r="L2253" s="77" t="str">
        <f>IFERROR(VLOOKUP(DESPESAS[[#This Row],[Plano de Contas]],BASE!$B$3:$H$119,6,FALSE),"")</f>
        <v>CUSTO MÃO DE OBRA DIRETA</v>
      </c>
      <c r="M2253" s="77" t="str">
        <f>VLOOKUP(DESPESAS[[#This Row],[Plano de Contas]],BASE!$B$3:$H$119,7,FALSE)</f>
        <v>RAFAEL</v>
      </c>
    </row>
    <row r="2254" spans="1:13" x14ac:dyDescent="0.25">
      <c r="A2254" s="74">
        <v>199102</v>
      </c>
      <c r="B2254" s="75" t="s">
        <v>281</v>
      </c>
      <c r="C2254" s="75" t="s">
        <v>1666</v>
      </c>
      <c r="D2254" s="76">
        <v>46086</v>
      </c>
      <c r="E2254" s="75" t="s">
        <v>786</v>
      </c>
      <c r="F2254" s="74">
        <v>553.02</v>
      </c>
      <c r="G2254" s="75" t="s">
        <v>572</v>
      </c>
      <c r="H2254" s="77" t="str">
        <f>VLOOKUP(DESPESAS[[#This Row],[Plano de Contas]],BASE!$B$3:$D$119,3,FALSE)</f>
        <v>Comissões sobre Vendas Externo</v>
      </c>
      <c r="I2254" s="77" t="str">
        <f>IFERROR(VLOOKUP(DESPESAS[[#This Row],[Fornecedor]],Tabela2[],2,FALSE),"")</f>
        <v/>
      </c>
      <c r="J2254" s="77" t="str">
        <f>IFERROR(VLOOKUP(DESPESAS[[#This Row],[Plano de Contas]],BASE!$B$3:$F$119,4,FALSE),"")</f>
        <v>6 - DESPESA COM VENDAS</v>
      </c>
      <c r="K2254" s="77" t="str">
        <f>IFERROR(VLOOKUP(DESPESAS[[#This Row],[Plano de Contas]],BASE!$B$3:$H$119,5,FALSE),"")</f>
        <v>COMERCIAL</v>
      </c>
      <c r="L2254" s="77">
        <f>IFERROR(VLOOKUP(DESPESAS[[#This Row],[Plano de Contas]],BASE!$B$3:$H$119,6,FALSE),"")</f>
        <v>0</v>
      </c>
      <c r="M2254" s="77" t="str">
        <f>VLOOKUP(DESPESAS[[#This Row],[Plano de Contas]],BASE!$B$3:$H$119,7,FALSE)</f>
        <v>LETÍCIA</v>
      </c>
    </row>
    <row r="2255" spans="1:13" x14ac:dyDescent="0.25">
      <c r="A2255" s="74">
        <v>199103</v>
      </c>
      <c r="B2255" s="75" t="s">
        <v>281</v>
      </c>
      <c r="C2255" s="75" t="s">
        <v>1666</v>
      </c>
      <c r="D2255" s="76">
        <v>46086</v>
      </c>
      <c r="E2255" s="75" t="s">
        <v>784</v>
      </c>
      <c r="F2255" s="74">
        <v>668.84</v>
      </c>
      <c r="G2255" s="75" t="s">
        <v>572</v>
      </c>
      <c r="H2255" s="77" t="str">
        <f>VLOOKUP(DESPESAS[[#This Row],[Plano de Contas]],BASE!$B$3:$D$119,3,FALSE)</f>
        <v>Comissões sobre Vendas Externo</v>
      </c>
      <c r="I2255" s="77" t="str">
        <f>IFERROR(VLOOKUP(DESPESAS[[#This Row],[Fornecedor]],Tabela2[],2,FALSE),"")</f>
        <v/>
      </c>
      <c r="J2255" s="77" t="str">
        <f>IFERROR(VLOOKUP(DESPESAS[[#This Row],[Plano de Contas]],BASE!$B$3:$F$119,4,FALSE),"")</f>
        <v>6 - DESPESA COM VENDAS</v>
      </c>
      <c r="K2255" s="77" t="str">
        <f>IFERROR(VLOOKUP(DESPESAS[[#This Row],[Plano de Contas]],BASE!$B$3:$H$119,5,FALSE),"")</f>
        <v>COMERCIAL</v>
      </c>
      <c r="L2255" s="77">
        <f>IFERROR(VLOOKUP(DESPESAS[[#This Row],[Plano de Contas]],BASE!$B$3:$H$119,6,FALSE),"")</f>
        <v>0</v>
      </c>
      <c r="M2255" s="77" t="str">
        <f>VLOOKUP(DESPESAS[[#This Row],[Plano de Contas]],BASE!$B$3:$H$119,7,FALSE)</f>
        <v>LETÍCIA</v>
      </c>
    </row>
    <row r="2256" spans="1:13" x14ac:dyDescent="0.25">
      <c r="A2256" s="74">
        <v>199104</v>
      </c>
      <c r="B2256" s="75" t="s">
        <v>279</v>
      </c>
      <c r="C2256" s="75" t="s">
        <v>1666</v>
      </c>
      <c r="D2256" s="76">
        <v>46086</v>
      </c>
      <c r="E2256" s="75" t="s">
        <v>573</v>
      </c>
      <c r="F2256" s="74">
        <v>608.47</v>
      </c>
      <c r="G2256" s="75" t="s">
        <v>572</v>
      </c>
      <c r="H2256" s="77" t="str">
        <f>VLOOKUP(DESPESAS[[#This Row],[Plano de Contas]],BASE!$B$3:$D$119,3,FALSE)</f>
        <v>Comissões sobre Vendas Externo</v>
      </c>
      <c r="I2256" s="77" t="str">
        <f>IFERROR(VLOOKUP(DESPESAS[[#This Row],[Fornecedor]],Tabela2[],2,FALSE),"")</f>
        <v/>
      </c>
      <c r="J2256" s="77" t="str">
        <f>IFERROR(VLOOKUP(DESPESAS[[#This Row],[Plano de Contas]],BASE!$B$3:$F$119,4,FALSE),"")</f>
        <v>6 - DESPESA COM VENDAS</v>
      </c>
      <c r="K2256" s="77" t="str">
        <f>IFERROR(VLOOKUP(DESPESAS[[#This Row],[Plano de Contas]],BASE!$B$3:$H$119,5,FALSE),"")</f>
        <v>COMERCIAL</v>
      </c>
      <c r="L2256" s="77">
        <f>IFERROR(VLOOKUP(DESPESAS[[#This Row],[Plano de Contas]],BASE!$B$3:$H$119,6,FALSE),"")</f>
        <v>0</v>
      </c>
      <c r="M2256" s="77" t="str">
        <f>VLOOKUP(DESPESAS[[#This Row],[Plano de Contas]],BASE!$B$3:$H$119,7,FALSE)</f>
        <v>LETÍCIA</v>
      </c>
    </row>
    <row r="2257" spans="1:13" x14ac:dyDescent="0.25">
      <c r="A2257" s="74">
        <v>199105</v>
      </c>
      <c r="B2257" s="75" t="s">
        <v>279</v>
      </c>
      <c r="C2257" s="75" t="s">
        <v>1666</v>
      </c>
      <c r="D2257" s="76">
        <v>46086</v>
      </c>
      <c r="E2257" s="75" t="s">
        <v>790</v>
      </c>
      <c r="F2257" s="74">
        <v>927.28</v>
      </c>
      <c r="G2257" s="75" t="s">
        <v>572</v>
      </c>
      <c r="H2257" s="77" t="str">
        <f>VLOOKUP(DESPESAS[[#This Row],[Plano de Contas]],BASE!$B$3:$D$119,3,FALSE)</f>
        <v>Comissões sobre Vendas Externo</v>
      </c>
      <c r="I2257" s="77" t="str">
        <f>IFERROR(VLOOKUP(DESPESAS[[#This Row],[Fornecedor]],Tabela2[],2,FALSE),"")</f>
        <v/>
      </c>
      <c r="J2257" s="77" t="str">
        <f>IFERROR(VLOOKUP(DESPESAS[[#This Row],[Plano de Contas]],BASE!$B$3:$F$119,4,FALSE),"")</f>
        <v>6 - DESPESA COM VENDAS</v>
      </c>
      <c r="K2257" s="77" t="str">
        <f>IFERROR(VLOOKUP(DESPESAS[[#This Row],[Plano de Contas]],BASE!$B$3:$H$119,5,FALSE),"")</f>
        <v>COMERCIAL</v>
      </c>
      <c r="L2257" s="77">
        <f>IFERROR(VLOOKUP(DESPESAS[[#This Row],[Plano de Contas]],BASE!$B$3:$H$119,6,FALSE),"")</f>
        <v>0</v>
      </c>
      <c r="M2257" s="77" t="str">
        <f>VLOOKUP(DESPESAS[[#This Row],[Plano de Contas]],BASE!$B$3:$H$119,7,FALSE)</f>
        <v>LETÍCIA</v>
      </c>
    </row>
    <row r="2258" spans="1:13" x14ac:dyDescent="0.25">
      <c r="A2258" s="74">
        <v>199106</v>
      </c>
      <c r="B2258" s="75" t="s">
        <v>279</v>
      </c>
      <c r="C2258" s="75" t="s">
        <v>1666</v>
      </c>
      <c r="D2258" s="76">
        <v>46086</v>
      </c>
      <c r="E2258" s="75" t="s">
        <v>789</v>
      </c>
      <c r="F2258" s="74">
        <v>752.61</v>
      </c>
      <c r="G2258" s="75" t="s">
        <v>572</v>
      </c>
      <c r="H2258" s="77" t="str">
        <f>VLOOKUP(DESPESAS[[#This Row],[Plano de Contas]],BASE!$B$3:$D$119,3,FALSE)</f>
        <v>Comissões sobre Vendas Externo</v>
      </c>
      <c r="I2258" s="77" t="str">
        <f>IFERROR(VLOOKUP(DESPESAS[[#This Row],[Fornecedor]],Tabela2[],2,FALSE),"")</f>
        <v/>
      </c>
      <c r="J2258" s="77" t="str">
        <f>IFERROR(VLOOKUP(DESPESAS[[#This Row],[Plano de Contas]],BASE!$B$3:$F$119,4,FALSE),"")</f>
        <v>6 - DESPESA COM VENDAS</v>
      </c>
      <c r="K2258" s="77" t="str">
        <f>IFERROR(VLOOKUP(DESPESAS[[#This Row],[Plano de Contas]],BASE!$B$3:$H$119,5,FALSE),"")</f>
        <v>COMERCIAL</v>
      </c>
      <c r="L2258" s="77">
        <f>IFERROR(VLOOKUP(DESPESAS[[#This Row],[Plano de Contas]],BASE!$B$3:$H$119,6,FALSE),"")</f>
        <v>0</v>
      </c>
      <c r="M2258" s="77" t="str">
        <f>VLOOKUP(DESPESAS[[#This Row],[Plano de Contas]],BASE!$B$3:$H$119,7,FALSE)</f>
        <v>LETÍCIA</v>
      </c>
    </row>
    <row r="2259" spans="1:13" x14ac:dyDescent="0.25">
      <c r="A2259" s="74">
        <v>199107</v>
      </c>
      <c r="B2259" s="75" t="s">
        <v>279</v>
      </c>
      <c r="C2259" s="75" t="s">
        <v>1666</v>
      </c>
      <c r="D2259" s="76">
        <v>46086</v>
      </c>
      <c r="E2259" s="75" t="s">
        <v>788</v>
      </c>
      <c r="F2259" s="74">
        <v>300</v>
      </c>
      <c r="G2259" s="75" t="s">
        <v>572</v>
      </c>
      <c r="H2259" s="77" t="str">
        <f>VLOOKUP(DESPESAS[[#This Row],[Plano de Contas]],BASE!$B$3:$D$119,3,FALSE)</f>
        <v>Comissões sobre Vendas Externo</v>
      </c>
      <c r="I2259" s="77" t="str">
        <f>IFERROR(VLOOKUP(DESPESAS[[#This Row],[Fornecedor]],Tabela2[],2,FALSE),"")</f>
        <v/>
      </c>
      <c r="J2259" s="77" t="str">
        <f>IFERROR(VLOOKUP(DESPESAS[[#This Row],[Plano de Contas]],BASE!$B$3:$F$119,4,FALSE),"")</f>
        <v>6 - DESPESA COM VENDAS</v>
      </c>
      <c r="K2259" s="77" t="str">
        <f>IFERROR(VLOOKUP(DESPESAS[[#This Row],[Plano de Contas]],BASE!$B$3:$H$119,5,FALSE),"")</f>
        <v>COMERCIAL</v>
      </c>
      <c r="L2259" s="77">
        <f>IFERROR(VLOOKUP(DESPESAS[[#This Row],[Plano de Contas]],BASE!$B$3:$H$119,6,FALSE),"")</f>
        <v>0</v>
      </c>
      <c r="M2259" s="77" t="str">
        <f>VLOOKUP(DESPESAS[[#This Row],[Plano de Contas]],BASE!$B$3:$H$119,7,FALSE)</f>
        <v>LETÍCIA</v>
      </c>
    </row>
    <row r="2260" spans="1:13" x14ac:dyDescent="0.25">
      <c r="A2260" s="74">
        <v>199108</v>
      </c>
      <c r="B2260" s="75" t="s">
        <v>279</v>
      </c>
      <c r="C2260" s="75" t="s">
        <v>1666</v>
      </c>
      <c r="D2260" s="76">
        <v>46086</v>
      </c>
      <c r="E2260" s="75" t="s">
        <v>787</v>
      </c>
      <c r="F2260" s="74">
        <v>1297.26</v>
      </c>
      <c r="G2260" s="75" t="s">
        <v>572</v>
      </c>
      <c r="H2260" s="77" t="str">
        <f>VLOOKUP(DESPESAS[[#This Row],[Plano de Contas]],BASE!$B$3:$D$119,3,FALSE)</f>
        <v>Comissões sobre Vendas Externo</v>
      </c>
      <c r="I2260" s="77" t="str">
        <f>IFERROR(VLOOKUP(DESPESAS[[#This Row],[Fornecedor]],Tabela2[],2,FALSE),"")</f>
        <v/>
      </c>
      <c r="J2260" s="77" t="str">
        <f>IFERROR(VLOOKUP(DESPESAS[[#This Row],[Plano de Contas]],BASE!$B$3:$F$119,4,FALSE),"")</f>
        <v>6 - DESPESA COM VENDAS</v>
      </c>
      <c r="K2260" s="77" t="str">
        <f>IFERROR(VLOOKUP(DESPESAS[[#This Row],[Plano de Contas]],BASE!$B$3:$H$119,5,FALSE),"")</f>
        <v>COMERCIAL</v>
      </c>
      <c r="L2260" s="77">
        <f>IFERROR(VLOOKUP(DESPESAS[[#This Row],[Plano de Contas]],BASE!$B$3:$H$119,6,FALSE),"")</f>
        <v>0</v>
      </c>
      <c r="M2260" s="77" t="str">
        <f>VLOOKUP(DESPESAS[[#This Row],[Plano de Contas]],BASE!$B$3:$H$119,7,FALSE)</f>
        <v>LETÍCIA</v>
      </c>
    </row>
    <row r="2261" spans="1:13" x14ac:dyDescent="0.25">
      <c r="A2261" s="74">
        <v>199109</v>
      </c>
      <c r="B2261" s="75" t="s">
        <v>279</v>
      </c>
      <c r="C2261" s="75" t="s">
        <v>1666</v>
      </c>
      <c r="D2261" s="76">
        <v>46086</v>
      </c>
      <c r="E2261" s="75" t="s">
        <v>786</v>
      </c>
      <c r="F2261" s="74">
        <v>174.16</v>
      </c>
      <c r="G2261" s="75" t="s">
        <v>572</v>
      </c>
      <c r="H2261" s="77" t="str">
        <f>VLOOKUP(DESPESAS[[#This Row],[Plano de Contas]],BASE!$B$3:$D$119,3,FALSE)</f>
        <v>Comissões sobre Vendas Externo</v>
      </c>
      <c r="I2261" s="77" t="str">
        <f>IFERROR(VLOOKUP(DESPESAS[[#This Row],[Fornecedor]],Tabela2[],2,FALSE),"")</f>
        <v/>
      </c>
      <c r="J2261" s="77" t="str">
        <f>IFERROR(VLOOKUP(DESPESAS[[#This Row],[Plano de Contas]],BASE!$B$3:$F$119,4,FALSE),"")</f>
        <v>6 - DESPESA COM VENDAS</v>
      </c>
      <c r="K2261" s="77" t="str">
        <f>IFERROR(VLOOKUP(DESPESAS[[#This Row],[Plano de Contas]],BASE!$B$3:$H$119,5,FALSE),"")</f>
        <v>COMERCIAL</v>
      </c>
      <c r="L2261" s="77">
        <f>IFERROR(VLOOKUP(DESPESAS[[#This Row],[Plano de Contas]],BASE!$B$3:$H$119,6,FALSE),"")</f>
        <v>0</v>
      </c>
      <c r="M2261" s="77" t="str">
        <f>VLOOKUP(DESPESAS[[#This Row],[Plano de Contas]],BASE!$B$3:$H$119,7,FALSE)</f>
        <v>LETÍCIA</v>
      </c>
    </row>
    <row r="2262" spans="1:13" x14ac:dyDescent="0.25">
      <c r="A2262" s="74">
        <v>199110</v>
      </c>
      <c r="B2262" s="75" t="s">
        <v>279</v>
      </c>
      <c r="C2262" s="75" t="s">
        <v>1666</v>
      </c>
      <c r="D2262" s="76">
        <v>46086</v>
      </c>
      <c r="E2262" s="75" t="s">
        <v>785</v>
      </c>
      <c r="F2262" s="74">
        <v>970.61</v>
      </c>
      <c r="G2262" s="75" t="s">
        <v>572</v>
      </c>
      <c r="H2262" s="77" t="str">
        <f>VLOOKUP(DESPESAS[[#This Row],[Plano de Contas]],BASE!$B$3:$D$119,3,FALSE)</f>
        <v>Comissões sobre Vendas Externo</v>
      </c>
      <c r="I2262" s="77" t="str">
        <f>IFERROR(VLOOKUP(DESPESAS[[#This Row],[Fornecedor]],Tabela2[],2,FALSE),"")</f>
        <v/>
      </c>
      <c r="J2262" s="77" t="str">
        <f>IFERROR(VLOOKUP(DESPESAS[[#This Row],[Plano de Contas]],BASE!$B$3:$F$119,4,FALSE),"")</f>
        <v>6 - DESPESA COM VENDAS</v>
      </c>
      <c r="K2262" s="77" t="str">
        <f>IFERROR(VLOOKUP(DESPESAS[[#This Row],[Plano de Contas]],BASE!$B$3:$H$119,5,FALSE),"")</f>
        <v>COMERCIAL</v>
      </c>
      <c r="L2262" s="77">
        <f>IFERROR(VLOOKUP(DESPESAS[[#This Row],[Plano de Contas]],BASE!$B$3:$H$119,6,FALSE),"")</f>
        <v>0</v>
      </c>
      <c r="M2262" s="77" t="str">
        <f>VLOOKUP(DESPESAS[[#This Row],[Plano de Contas]],BASE!$B$3:$H$119,7,FALSE)</f>
        <v>LETÍCIA</v>
      </c>
    </row>
    <row r="2263" spans="1:13" x14ac:dyDescent="0.25">
      <c r="A2263" s="74">
        <v>199111</v>
      </c>
      <c r="B2263" s="75" t="s">
        <v>279</v>
      </c>
      <c r="C2263" s="75" t="s">
        <v>1666</v>
      </c>
      <c r="D2263" s="76">
        <v>46086</v>
      </c>
      <c r="E2263" s="75" t="s">
        <v>784</v>
      </c>
      <c r="F2263" s="74">
        <v>316.87</v>
      </c>
      <c r="G2263" s="75" t="s">
        <v>572</v>
      </c>
      <c r="H2263" s="77" t="str">
        <f>VLOOKUP(DESPESAS[[#This Row],[Plano de Contas]],BASE!$B$3:$D$119,3,FALSE)</f>
        <v>Comissões sobre Vendas Externo</v>
      </c>
      <c r="I2263" s="77" t="str">
        <f>IFERROR(VLOOKUP(DESPESAS[[#This Row],[Fornecedor]],Tabela2[],2,FALSE),"")</f>
        <v/>
      </c>
      <c r="J2263" s="77" t="str">
        <f>IFERROR(VLOOKUP(DESPESAS[[#This Row],[Plano de Contas]],BASE!$B$3:$F$119,4,FALSE),"")</f>
        <v>6 - DESPESA COM VENDAS</v>
      </c>
      <c r="K2263" s="77" t="str">
        <f>IFERROR(VLOOKUP(DESPESAS[[#This Row],[Plano de Contas]],BASE!$B$3:$H$119,5,FALSE),"")</f>
        <v>COMERCIAL</v>
      </c>
      <c r="L2263" s="77">
        <f>IFERROR(VLOOKUP(DESPESAS[[#This Row],[Plano de Contas]],BASE!$B$3:$H$119,6,FALSE),"")</f>
        <v>0</v>
      </c>
      <c r="M2263" s="77" t="str">
        <f>VLOOKUP(DESPESAS[[#This Row],[Plano de Contas]],BASE!$B$3:$H$119,7,FALSE)</f>
        <v>LETÍCIA</v>
      </c>
    </row>
    <row r="2264" spans="1:13" x14ac:dyDescent="0.25">
      <c r="A2264" s="74">
        <v>199112</v>
      </c>
      <c r="B2264" s="75" t="s">
        <v>279</v>
      </c>
      <c r="C2264" s="75" t="s">
        <v>1666</v>
      </c>
      <c r="D2264" s="76">
        <v>46086</v>
      </c>
      <c r="E2264" s="75" t="s">
        <v>791</v>
      </c>
      <c r="F2264" s="74">
        <v>603.14</v>
      </c>
      <c r="G2264" s="75" t="s">
        <v>572</v>
      </c>
      <c r="H2264" s="77" t="str">
        <f>VLOOKUP(DESPESAS[[#This Row],[Plano de Contas]],BASE!$B$3:$D$119,3,FALSE)</f>
        <v>Comissões sobre Vendas Externo</v>
      </c>
      <c r="I2264" s="77" t="str">
        <f>IFERROR(VLOOKUP(DESPESAS[[#This Row],[Fornecedor]],Tabela2[],2,FALSE),"")</f>
        <v/>
      </c>
      <c r="J2264" s="77" t="str">
        <f>IFERROR(VLOOKUP(DESPESAS[[#This Row],[Plano de Contas]],BASE!$B$3:$F$119,4,FALSE),"")</f>
        <v>6 - DESPESA COM VENDAS</v>
      </c>
      <c r="K2264" s="77" t="str">
        <f>IFERROR(VLOOKUP(DESPESAS[[#This Row],[Plano de Contas]],BASE!$B$3:$H$119,5,FALSE),"")</f>
        <v>COMERCIAL</v>
      </c>
      <c r="L2264" s="77">
        <f>IFERROR(VLOOKUP(DESPESAS[[#This Row],[Plano de Contas]],BASE!$B$3:$H$119,6,FALSE),"")</f>
        <v>0</v>
      </c>
      <c r="M2264" s="77" t="str">
        <f>VLOOKUP(DESPESAS[[#This Row],[Plano de Contas]],BASE!$B$3:$H$119,7,FALSE)</f>
        <v>LETÍCIA</v>
      </c>
    </row>
    <row r="2265" spans="1:13" x14ac:dyDescent="0.25">
      <c r="A2265" s="74">
        <v>199113</v>
      </c>
      <c r="B2265" s="75" t="s">
        <v>279</v>
      </c>
      <c r="C2265" s="75" t="s">
        <v>1665</v>
      </c>
      <c r="D2265" s="76">
        <v>46081</v>
      </c>
      <c r="E2265" s="75" t="s">
        <v>939</v>
      </c>
      <c r="F2265" s="74">
        <v>1087.78</v>
      </c>
      <c r="G2265" s="75" t="s">
        <v>430</v>
      </c>
      <c r="H2265" s="77" t="str">
        <f>VLOOKUP(DESPESAS[[#This Row],[Plano de Contas]],BASE!$B$3:$D$119,3,FALSE)</f>
        <v>Salarios e Ordenados MOD</v>
      </c>
      <c r="I2265" s="77" t="str">
        <f>IFERROR(VLOOKUP(DESPESAS[[#This Row],[Fornecedor]],Tabela2[],2,FALSE),"")</f>
        <v/>
      </c>
      <c r="J2265" s="77" t="str">
        <f>IFERROR(VLOOKUP(DESPESAS[[#This Row],[Plano de Contas]],BASE!$B$3:$F$119,4,FALSE),"")</f>
        <v>2 - CUSTOS DIRETOS</v>
      </c>
      <c r="K2265" s="77" t="str">
        <f>IFERROR(VLOOKUP(DESPESAS[[#This Row],[Plano de Contas]],BASE!$B$3:$H$119,5,FALSE),"")</f>
        <v>DH</v>
      </c>
      <c r="L2265" s="77" t="str">
        <f>IFERROR(VLOOKUP(DESPESAS[[#This Row],[Plano de Contas]],BASE!$B$3:$H$119,6,FALSE),"")</f>
        <v>CUSTO MÃO DE OBRA DIRETA</v>
      </c>
      <c r="M2265" s="77" t="str">
        <f>VLOOKUP(DESPESAS[[#This Row],[Plano de Contas]],BASE!$B$3:$H$119,7,FALSE)</f>
        <v>RAFAEL</v>
      </c>
    </row>
    <row r="2266" spans="1:13" x14ac:dyDescent="0.25">
      <c r="A2266" s="74">
        <v>199114</v>
      </c>
      <c r="B2266" s="75" t="s">
        <v>281</v>
      </c>
      <c r="C2266" s="75" t="s">
        <v>1664</v>
      </c>
      <c r="D2266" s="76">
        <v>46086</v>
      </c>
      <c r="E2266" s="75" t="s">
        <v>954</v>
      </c>
      <c r="F2266" s="74">
        <v>1205.6400000000001</v>
      </c>
      <c r="G2266" s="75" t="s">
        <v>276</v>
      </c>
      <c r="H2266" s="77" t="str">
        <f>VLOOKUP(DESPESAS[[#This Row],[Plano de Contas]],BASE!$B$3:$D$119,3,FALSE)</f>
        <v>Férias MOD</v>
      </c>
      <c r="I2266" s="77" t="str">
        <f>IFERROR(VLOOKUP(DESPESAS[[#This Row],[Fornecedor]],Tabela2[],2,FALSE),"")</f>
        <v/>
      </c>
      <c r="J2266" s="77" t="str">
        <f>IFERROR(VLOOKUP(DESPESAS[[#This Row],[Plano de Contas]],BASE!$B$3:$F$119,4,FALSE),"")</f>
        <v>2 - CUSTOS DIRETOS</v>
      </c>
      <c r="K2266" s="77" t="str">
        <f>IFERROR(VLOOKUP(DESPESAS[[#This Row],[Plano de Contas]],BASE!$B$3:$H$119,5,FALSE),"")</f>
        <v>DH</v>
      </c>
      <c r="L2266" s="77" t="str">
        <f>IFERROR(VLOOKUP(DESPESAS[[#This Row],[Plano de Contas]],BASE!$B$3:$H$119,6,FALSE),"")</f>
        <v>CUSTO MÃO DE OBRA DIRETA</v>
      </c>
      <c r="M2266" s="77" t="str">
        <f>VLOOKUP(DESPESAS[[#This Row],[Plano de Contas]],BASE!$B$3:$H$119,7,FALSE)</f>
        <v>RAFAEL</v>
      </c>
    </row>
    <row r="2267" spans="1:13" x14ac:dyDescent="0.25">
      <c r="A2267" s="74">
        <v>199115</v>
      </c>
      <c r="B2267" s="75" t="s">
        <v>232</v>
      </c>
      <c r="C2267" s="75" t="s">
        <v>1643</v>
      </c>
      <c r="D2267" s="76">
        <v>46081</v>
      </c>
      <c r="E2267" s="75" t="s">
        <v>540</v>
      </c>
      <c r="F2267" s="74">
        <v>19830.12</v>
      </c>
      <c r="G2267" s="75" t="s">
        <v>539</v>
      </c>
      <c r="H2267" s="77" t="str">
        <f>VLOOKUP(DESPESAS[[#This Row],[Plano de Contas]],BASE!$B$3:$D$119,3,FALSE)</f>
        <v>Royalties</v>
      </c>
      <c r="I2267" s="77" t="str">
        <f>IFERROR(VLOOKUP(DESPESAS[[#This Row],[Fornecedor]],Tabela2[],2,FALSE),"")</f>
        <v/>
      </c>
      <c r="J2267" s="77" t="str">
        <f>IFERROR(VLOOKUP(DESPESAS[[#This Row],[Plano de Contas]],BASE!$B$3:$F$119,4,FALSE),"")</f>
        <v>6 - DESPESA COM VENDAS</v>
      </c>
      <c r="K2267" s="77" t="str">
        <f>IFERROR(VLOOKUP(DESPESAS[[#This Row],[Plano de Contas]],BASE!$B$3:$H$119,5,FALSE),"")</f>
        <v>COMERCIAL</v>
      </c>
      <c r="L2267" s="77">
        <f>IFERROR(VLOOKUP(DESPESAS[[#This Row],[Plano de Contas]],BASE!$B$3:$H$119,6,FALSE),"")</f>
        <v>0</v>
      </c>
      <c r="M2267" s="77" t="str">
        <f>VLOOKUP(DESPESAS[[#This Row],[Plano de Contas]],BASE!$B$3:$H$119,7,FALSE)</f>
        <v>LETÍCIA</v>
      </c>
    </row>
    <row r="2268" spans="1:13" x14ac:dyDescent="0.25">
      <c r="A2268" s="74">
        <v>199116</v>
      </c>
      <c r="B2268" s="75" t="s">
        <v>232</v>
      </c>
      <c r="C2268" s="75" t="s">
        <v>1643</v>
      </c>
      <c r="D2268" s="76">
        <v>46081</v>
      </c>
      <c r="E2268" s="75" t="s">
        <v>796</v>
      </c>
      <c r="F2268" s="74">
        <v>2762.61</v>
      </c>
      <c r="G2268" s="75" t="s">
        <v>539</v>
      </c>
      <c r="H2268" s="77" t="str">
        <f>VLOOKUP(DESPESAS[[#This Row],[Plano de Contas]],BASE!$B$3:$D$119,3,FALSE)</f>
        <v>Royalties</v>
      </c>
      <c r="I2268" s="77" t="str">
        <f>IFERROR(VLOOKUP(DESPESAS[[#This Row],[Fornecedor]],Tabela2[],2,FALSE),"")</f>
        <v/>
      </c>
      <c r="J2268" s="77" t="str">
        <f>IFERROR(VLOOKUP(DESPESAS[[#This Row],[Plano de Contas]],BASE!$B$3:$F$119,4,FALSE),"")</f>
        <v>6 - DESPESA COM VENDAS</v>
      </c>
      <c r="K2268" s="77" t="str">
        <f>IFERROR(VLOOKUP(DESPESAS[[#This Row],[Plano de Contas]],BASE!$B$3:$H$119,5,FALSE),"")</f>
        <v>COMERCIAL</v>
      </c>
      <c r="L2268" s="77">
        <f>IFERROR(VLOOKUP(DESPESAS[[#This Row],[Plano de Contas]],BASE!$B$3:$H$119,6,FALSE),"")</f>
        <v>0</v>
      </c>
      <c r="M2268" s="77" t="str">
        <f>VLOOKUP(DESPESAS[[#This Row],[Plano de Contas]],BASE!$B$3:$H$119,7,FALSE)</f>
        <v>LETÍCIA</v>
      </c>
    </row>
    <row r="2269" spans="1:13" x14ac:dyDescent="0.25">
      <c r="A2269" s="74">
        <v>199117</v>
      </c>
      <c r="B2269" s="75" t="s">
        <v>232</v>
      </c>
      <c r="C2269" s="75" t="s">
        <v>1643</v>
      </c>
      <c r="D2269" s="76">
        <v>46081</v>
      </c>
      <c r="E2269" s="75" t="s">
        <v>795</v>
      </c>
      <c r="F2269" s="74">
        <v>7557.86</v>
      </c>
      <c r="G2269" s="75" t="s">
        <v>539</v>
      </c>
      <c r="H2269" s="77" t="str">
        <f>VLOOKUP(DESPESAS[[#This Row],[Plano de Contas]],BASE!$B$3:$D$119,3,FALSE)</f>
        <v>Royalties</v>
      </c>
      <c r="I2269" s="77" t="str">
        <f>IFERROR(VLOOKUP(DESPESAS[[#This Row],[Fornecedor]],Tabela2[],2,FALSE),"")</f>
        <v/>
      </c>
      <c r="J2269" s="77" t="str">
        <f>IFERROR(VLOOKUP(DESPESAS[[#This Row],[Plano de Contas]],BASE!$B$3:$F$119,4,FALSE),"")</f>
        <v>6 - DESPESA COM VENDAS</v>
      </c>
      <c r="K2269" s="77" t="str">
        <f>IFERROR(VLOOKUP(DESPESAS[[#This Row],[Plano de Contas]],BASE!$B$3:$H$119,5,FALSE),"")</f>
        <v>COMERCIAL</v>
      </c>
      <c r="L2269" s="77">
        <f>IFERROR(VLOOKUP(DESPESAS[[#This Row],[Plano de Contas]],BASE!$B$3:$H$119,6,FALSE),"")</f>
        <v>0</v>
      </c>
      <c r="M2269" s="77" t="str">
        <f>VLOOKUP(DESPESAS[[#This Row],[Plano de Contas]],BASE!$B$3:$H$119,7,FALSE)</f>
        <v>LETÍCIA</v>
      </c>
    </row>
    <row r="2270" spans="1:13" x14ac:dyDescent="0.25">
      <c r="A2270" s="74">
        <v>199118</v>
      </c>
      <c r="B2270" s="75" t="s">
        <v>232</v>
      </c>
      <c r="C2270" s="75" t="s">
        <v>1643</v>
      </c>
      <c r="D2270" s="76">
        <v>46081</v>
      </c>
      <c r="E2270" s="75" t="s">
        <v>800</v>
      </c>
      <c r="F2270" s="74">
        <v>800.45</v>
      </c>
      <c r="G2270" s="75" t="s">
        <v>539</v>
      </c>
      <c r="H2270" s="77" t="str">
        <f>VLOOKUP(DESPESAS[[#This Row],[Plano de Contas]],BASE!$B$3:$D$119,3,FALSE)</f>
        <v>Royalties</v>
      </c>
      <c r="I2270" s="77" t="str">
        <f>IFERROR(VLOOKUP(DESPESAS[[#This Row],[Fornecedor]],Tabela2[],2,FALSE),"")</f>
        <v/>
      </c>
      <c r="J2270" s="77" t="str">
        <f>IFERROR(VLOOKUP(DESPESAS[[#This Row],[Plano de Contas]],BASE!$B$3:$F$119,4,FALSE),"")</f>
        <v>6 - DESPESA COM VENDAS</v>
      </c>
      <c r="K2270" s="77" t="str">
        <f>IFERROR(VLOOKUP(DESPESAS[[#This Row],[Plano de Contas]],BASE!$B$3:$H$119,5,FALSE),"")</f>
        <v>COMERCIAL</v>
      </c>
      <c r="L2270" s="77">
        <f>IFERROR(VLOOKUP(DESPESAS[[#This Row],[Plano de Contas]],BASE!$B$3:$H$119,6,FALSE),"")</f>
        <v>0</v>
      </c>
      <c r="M2270" s="77" t="str">
        <f>VLOOKUP(DESPESAS[[#This Row],[Plano de Contas]],BASE!$B$3:$H$119,7,FALSE)</f>
        <v>LETÍCIA</v>
      </c>
    </row>
    <row r="2271" spans="1:13" x14ac:dyDescent="0.25">
      <c r="A2271" s="74">
        <v>199119</v>
      </c>
      <c r="B2271" s="75" t="s">
        <v>232</v>
      </c>
      <c r="C2271" s="75" t="s">
        <v>1643</v>
      </c>
      <c r="D2271" s="76">
        <v>46081</v>
      </c>
      <c r="E2271" s="75" t="s">
        <v>799</v>
      </c>
      <c r="F2271" s="74">
        <v>325.57</v>
      </c>
      <c r="G2271" s="75" t="s">
        <v>539</v>
      </c>
      <c r="H2271" s="77" t="str">
        <f>VLOOKUP(DESPESAS[[#This Row],[Plano de Contas]],BASE!$B$3:$D$119,3,FALSE)</f>
        <v>Royalties</v>
      </c>
      <c r="I2271" s="77" t="str">
        <f>IFERROR(VLOOKUP(DESPESAS[[#This Row],[Fornecedor]],Tabela2[],2,FALSE),"")</f>
        <v/>
      </c>
      <c r="J2271" s="77" t="str">
        <f>IFERROR(VLOOKUP(DESPESAS[[#This Row],[Plano de Contas]],BASE!$B$3:$F$119,4,FALSE),"")</f>
        <v>6 - DESPESA COM VENDAS</v>
      </c>
      <c r="K2271" s="77" t="str">
        <f>IFERROR(VLOOKUP(DESPESAS[[#This Row],[Plano de Contas]],BASE!$B$3:$H$119,5,FALSE),"")</f>
        <v>COMERCIAL</v>
      </c>
      <c r="L2271" s="77">
        <f>IFERROR(VLOOKUP(DESPESAS[[#This Row],[Plano de Contas]],BASE!$B$3:$H$119,6,FALSE),"")</f>
        <v>0</v>
      </c>
      <c r="M2271" s="77" t="str">
        <f>VLOOKUP(DESPESAS[[#This Row],[Plano de Contas]],BASE!$B$3:$H$119,7,FALSE)</f>
        <v>LETÍCIA</v>
      </c>
    </row>
    <row r="2272" spans="1:13" x14ac:dyDescent="0.25">
      <c r="A2272" s="74">
        <v>199120</v>
      </c>
      <c r="B2272" s="75" t="s">
        <v>232</v>
      </c>
      <c r="C2272" s="75" t="s">
        <v>1643</v>
      </c>
      <c r="D2272" s="76">
        <v>46081</v>
      </c>
      <c r="E2272" s="75" t="s">
        <v>1644</v>
      </c>
      <c r="F2272" s="74">
        <v>174.24</v>
      </c>
      <c r="G2272" s="75" t="s">
        <v>539</v>
      </c>
      <c r="H2272" s="77" t="str">
        <f>VLOOKUP(DESPESAS[[#This Row],[Plano de Contas]],BASE!$B$3:$D$119,3,FALSE)</f>
        <v>Royalties</v>
      </c>
      <c r="I2272" s="77" t="str">
        <f>IFERROR(VLOOKUP(DESPESAS[[#This Row],[Fornecedor]],Tabela2[],2,FALSE),"")</f>
        <v/>
      </c>
      <c r="J2272" s="77" t="str">
        <f>IFERROR(VLOOKUP(DESPESAS[[#This Row],[Plano de Contas]],BASE!$B$3:$F$119,4,FALSE),"")</f>
        <v>6 - DESPESA COM VENDAS</v>
      </c>
      <c r="K2272" s="77" t="str">
        <f>IFERROR(VLOOKUP(DESPESAS[[#This Row],[Plano de Contas]],BASE!$B$3:$H$119,5,FALSE),"")</f>
        <v>COMERCIAL</v>
      </c>
      <c r="L2272" s="77">
        <f>IFERROR(VLOOKUP(DESPESAS[[#This Row],[Plano de Contas]],BASE!$B$3:$H$119,6,FALSE),"")</f>
        <v>0</v>
      </c>
      <c r="M2272" s="77" t="str">
        <f>VLOOKUP(DESPESAS[[#This Row],[Plano de Contas]],BASE!$B$3:$H$119,7,FALSE)</f>
        <v>LETÍCIA</v>
      </c>
    </row>
    <row r="2273" spans="1:13" x14ac:dyDescent="0.25">
      <c r="A2273" s="74">
        <v>199121</v>
      </c>
      <c r="B2273" s="75" t="s">
        <v>232</v>
      </c>
      <c r="C2273" s="75" t="s">
        <v>1643</v>
      </c>
      <c r="D2273" s="76">
        <v>46081</v>
      </c>
      <c r="E2273" s="75" t="s">
        <v>797</v>
      </c>
      <c r="F2273" s="74">
        <v>308.85000000000002</v>
      </c>
      <c r="G2273" s="75" t="s">
        <v>539</v>
      </c>
      <c r="H2273" s="77" t="str">
        <f>VLOOKUP(DESPESAS[[#This Row],[Plano de Contas]],BASE!$B$3:$D$119,3,FALSE)</f>
        <v>Royalties</v>
      </c>
      <c r="I2273" s="77" t="str">
        <f>IFERROR(VLOOKUP(DESPESAS[[#This Row],[Fornecedor]],Tabela2[],2,FALSE),"")</f>
        <v/>
      </c>
      <c r="J2273" s="77" t="str">
        <f>IFERROR(VLOOKUP(DESPESAS[[#This Row],[Plano de Contas]],BASE!$B$3:$F$119,4,FALSE),"")</f>
        <v>6 - DESPESA COM VENDAS</v>
      </c>
      <c r="K2273" s="77" t="str">
        <f>IFERROR(VLOOKUP(DESPESAS[[#This Row],[Plano de Contas]],BASE!$B$3:$H$119,5,FALSE),"")</f>
        <v>COMERCIAL</v>
      </c>
      <c r="L2273" s="77">
        <f>IFERROR(VLOOKUP(DESPESAS[[#This Row],[Plano de Contas]],BASE!$B$3:$H$119,6,FALSE),"")</f>
        <v>0</v>
      </c>
      <c r="M2273" s="77" t="str">
        <f>VLOOKUP(DESPESAS[[#This Row],[Plano de Contas]],BASE!$B$3:$H$119,7,FALSE)</f>
        <v>LETÍCIA</v>
      </c>
    </row>
    <row r="2274" spans="1:13" x14ac:dyDescent="0.25">
      <c r="A2274" s="74">
        <v>199122</v>
      </c>
      <c r="B2274" s="75" t="s">
        <v>232</v>
      </c>
      <c r="C2274" s="75" t="s">
        <v>1643</v>
      </c>
      <c r="D2274" s="76">
        <v>46081</v>
      </c>
      <c r="E2274" s="75" t="s">
        <v>793</v>
      </c>
      <c r="F2274" s="74">
        <v>449.23</v>
      </c>
      <c r="G2274" s="75" t="s">
        <v>539</v>
      </c>
      <c r="H2274" s="77" t="str">
        <f>VLOOKUP(DESPESAS[[#This Row],[Plano de Contas]],BASE!$B$3:$D$119,3,FALSE)</f>
        <v>Royalties</v>
      </c>
      <c r="I2274" s="77" t="str">
        <f>IFERROR(VLOOKUP(DESPESAS[[#This Row],[Fornecedor]],Tabela2[],2,FALSE),"")</f>
        <v/>
      </c>
      <c r="J2274" s="77" t="str">
        <f>IFERROR(VLOOKUP(DESPESAS[[#This Row],[Plano de Contas]],BASE!$B$3:$F$119,4,FALSE),"")</f>
        <v>6 - DESPESA COM VENDAS</v>
      </c>
      <c r="K2274" s="77" t="str">
        <f>IFERROR(VLOOKUP(DESPESAS[[#This Row],[Plano de Contas]],BASE!$B$3:$H$119,5,FALSE),"")</f>
        <v>COMERCIAL</v>
      </c>
      <c r="L2274" s="77">
        <f>IFERROR(VLOOKUP(DESPESAS[[#This Row],[Plano de Contas]],BASE!$B$3:$H$119,6,FALSE),"")</f>
        <v>0</v>
      </c>
      <c r="M2274" s="77" t="str">
        <f>VLOOKUP(DESPESAS[[#This Row],[Plano de Contas]],BASE!$B$3:$H$119,7,FALSE)</f>
        <v>LETÍCIA</v>
      </c>
    </row>
    <row r="2275" spans="1:13" x14ac:dyDescent="0.25">
      <c r="A2275" s="74">
        <v>199123</v>
      </c>
      <c r="B2275" s="75" t="s">
        <v>232</v>
      </c>
      <c r="C2275" s="75" t="s">
        <v>1643</v>
      </c>
      <c r="D2275" s="76">
        <v>46081</v>
      </c>
      <c r="E2275" s="75" t="s">
        <v>794</v>
      </c>
      <c r="F2275" s="74">
        <v>1376.5</v>
      </c>
      <c r="G2275" s="75" t="s">
        <v>539</v>
      </c>
      <c r="H2275" s="77" t="str">
        <f>VLOOKUP(DESPESAS[[#This Row],[Plano de Contas]],BASE!$B$3:$D$119,3,FALSE)</f>
        <v>Royalties</v>
      </c>
      <c r="I2275" s="77" t="str">
        <f>IFERROR(VLOOKUP(DESPESAS[[#This Row],[Fornecedor]],Tabela2[],2,FALSE),"")</f>
        <v/>
      </c>
      <c r="J2275" s="77" t="str">
        <f>IFERROR(VLOOKUP(DESPESAS[[#This Row],[Plano de Contas]],BASE!$B$3:$F$119,4,FALSE),"")</f>
        <v>6 - DESPESA COM VENDAS</v>
      </c>
      <c r="K2275" s="77" t="str">
        <f>IFERROR(VLOOKUP(DESPESAS[[#This Row],[Plano de Contas]],BASE!$B$3:$H$119,5,FALSE),"")</f>
        <v>COMERCIAL</v>
      </c>
      <c r="L2275" s="77">
        <f>IFERROR(VLOOKUP(DESPESAS[[#This Row],[Plano de Contas]],BASE!$B$3:$H$119,6,FALSE),"")</f>
        <v>0</v>
      </c>
      <c r="M2275" s="77" t="str">
        <f>VLOOKUP(DESPESAS[[#This Row],[Plano de Contas]],BASE!$B$3:$H$119,7,FALSE)</f>
        <v>LETÍCIA</v>
      </c>
    </row>
    <row r="2276" spans="1:13" x14ac:dyDescent="0.25">
      <c r="A2276" s="74">
        <v>199124</v>
      </c>
      <c r="B2276" s="75" t="s">
        <v>232</v>
      </c>
      <c r="C2276" s="75" t="s">
        <v>1663</v>
      </c>
      <c r="D2276" s="76">
        <v>46087</v>
      </c>
      <c r="E2276" s="75" t="s">
        <v>230</v>
      </c>
      <c r="F2276" s="74">
        <v>239.67</v>
      </c>
      <c r="G2276" s="75" t="s">
        <v>229</v>
      </c>
      <c r="H2276" s="77" t="str">
        <f>VLOOKUP(DESPESAS[[#This Row],[Plano de Contas]],BASE!$B$3:$D$119,3,FALSE)</f>
        <v>Despesas Bancarias</v>
      </c>
      <c r="I2276" s="77" t="str">
        <f>IFERROR(VLOOKUP(DESPESAS[[#This Row],[Fornecedor]],Tabela2[],2,FALSE),"")</f>
        <v/>
      </c>
      <c r="J2276" s="77" t="str">
        <f>IFERROR(VLOOKUP(DESPESAS[[#This Row],[Plano de Contas]],BASE!$B$3:$F$119,4,FALSE),"")</f>
        <v>8 - DESPESAS FINANCEIRAS</v>
      </c>
      <c r="K2276" s="77" t="str">
        <f>IFERROR(VLOOKUP(DESPESAS[[#This Row],[Plano de Contas]],BASE!$B$3:$H$119,5,FALSE),"")</f>
        <v>FINANCEIRO</v>
      </c>
      <c r="L2276" s="77">
        <f>IFERROR(VLOOKUP(DESPESAS[[#This Row],[Plano de Contas]],BASE!$B$3:$H$119,6,FALSE),"")</f>
        <v>0</v>
      </c>
      <c r="M2276" s="77" t="str">
        <f>VLOOKUP(DESPESAS[[#This Row],[Plano de Contas]],BASE!$B$3:$H$119,7,FALSE)</f>
        <v>LETÍCIA</v>
      </c>
    </row>
    <row r="2277" spans="1:13" x14ac:dyDescent="0.25">
      <c r="A2277" s="74">
        <v>199125</v>
      </c>
      <c r="B2277" s="75" t="s">
        <v>232</v>
      </c>
      <c r="C2277" s="75" t="s">
        <v>1662</v>
      </c>
      <c r="D2277" s="76">
        <v>46086</v>
      </c>
      <c r="E2277" s="75" t="s">
        <v>230</v>
      </c>
      <c r="F2277" s="74">
        <v>9.48</v>
      </c>
      <c r="G2277" s="75" t="s">
        <v>229</v>
      </c>
      <c r="H2277" s="77" t="str">
        <f>VLOOKUP(DESPESAS[[#This Row],[Plano de Contas]],BASE!$B$3:$D$119,3,FALSE)</f>
        <v>Despesas Bancarias</v>
      </c>
      <c r="I2277" s="77" t="str">
        <f>IFERROR(VLOOKUP(DESPESAS[[#This Row],[Fornecedor]],Tabela2[],2,FALSE),"")</f>
        <v/>
      </c>
      <c r="J2277" s="77" t="str">
        <f>IFERROR(VLOOKUP(DESPESAS[[#This Row],[Plano de Contas]],BASE!$B$3:$F$119,4,FALSE),"")</f>
        <v>8 - DESPESAS FINANCEIRAS</v>
      </c>
      <c r="K2277" s="77" t="str">
        <f>IFERROR(VLOOKUP(DESPESAS[[#This Row],[Plano de Contas]],BASE!$B$3:$H$119,5,FALSE),"")</f>
        <v>FINANCEIRO</v>
      </c>
      <c r="L2277" s="77">
        <f>IFERROR(VLOOKUP(DESPESAS[[#This Row],[Plano de Contas]],BASE!$B$3:$H$119,6,FALSE),"")</f>
        <v>0</v>
      </c>
      <c r="M2277" s="77" t="str">
        <f>VLOOKUP(DESPESAS[[#This Row],[Plano de Contas]],BASE!$B$3:$H$119,7,FALSE)</f>
        <v>LETÍCIA</v>
      </c>
    </row>
    <row r="2278" spans="1:13" x14ac:dyDescent="0.25">
      <c r="A2278" s="74">
        <v>199126</v>
      </c>
      <c r="B2278" s="75" t="s">
        <v>232</v>
      </c>
      <c r="C2278" s="75" t="s">
        <v>1661</v>
      </c>
      <c r="D2278" s="76">
        <v>46087</v>
      </c>
      <c r="E2278" s="75" t="s">
        <v>230</v>
      </c>
      <c r="F2278" s="74">
        <v>1.58</v>
      </c>
      <c r="G2278" s="75" t="s">
        <v>229</v>
      </c>
      <c r="H2278" s="77" t="str">
        <f>VLOOKUP(DESPESAS[[#This Row],[Plano de Contas]],BASE!$B$3:$D$119,3,FALSE)</f>
        <v>Despesas Bancarias</v>
      </c>
      <c r="I2278" s="77" t="str">
        <f>IFERROR(VLOOKUP(DESPESAS[[#This Row],[Fornecedor]],Tabela2[],2,FALSE),"")</f>
        <v/>
      </c>
      <c r="J2278" s="77" t="str">
        <f>IFERROR(VLOOKUP(DESPESAS[[#This Row],[Plano de Contas]],BASE!$B$3:$F$119,4,FALSE),"")</f>
        <v>8 - DESPESAS FINANCEIRAS</v>
      </c>
      <c r="K2278" s="77" t="str">
        <f>IFERROR(VLOOKUP(DESPESAS[[#This Row],[Plano de Contas]],BASE!$B$3:$H$119,5,FALSE),"")</f>
        <v>FINANCEIRO</v>
      </c>
      <c r="L2278" s="77">
        <f>IFERROR(VLOOKUP(DESPESAS[[#This Row],[Plano de Contas]],BASE!$B$3:$H$119,6,FALSE),"")</f>
        <v>0</v>
      </c>
      <c r="M2278" s="77" t="str">
        <f>VLOOKUP(DESPESAS[[#This Row],[Plano de Contas]],BASE!$B$3:$H$119,7,FALSE)</f>
        <v>LETÍCIA</v>
      </c>
    </row>
    <row r="2279" spans="1:13" x14ac:dyDescent="0.25">
      <c r="A2279" s="74">
        <v>199127</v>
      </c>
      <c r="B2279" s="75" t="s">
        <v>232</v>
      </c>
      <c r="C2279" s="75" t="s">
        <v>1660</v>
      </c>
      <c r="D2279" s="76">
        <v>46086</v>
      </c>
      <c r="E2279" s="75" t="s">
        <v>230</v>
      </c>
      <c r="F2279" s="74">
        <v>4.74</v>
      </c>
      <c r="G2279" s="75" t="s">
        <v>229</v>
      </c>
      <c r="H2279" s="77" t="str">
        <f>VLOOKUP(DESPESAS[[#This Row],[Plano de Contas]],BASE!$B$3:$D$119,3,FALSE)</f>
        <v>Despesas Bancarias</v>
      </c>
      <c r="I2279" s="77" t="str">
        <f>IFERROR(VLOOKUP(DESPESAS[[#This Row],[Fornecedor]],Tabela2[],2,FALSE),"")</f>
        <v/>
      </c>
      <c r="J2279" s="77" t="str">
        <f>IFERROR(VLOOKUP(DESPESAS[[#This Row],[Plano de Contas]],BASE!$B$3:$F$119,4,FALSE),"")</f>
        <v>8 - DESPESAS FINANCEIRAS</v>
      </c>
      <c r="K2279" s="77" t="str">
        <f>IFERROR(VLOOKUP(DESPESAS[[#This Row],[Plano de Contas]],BASE!$B$3:$H$119,5,FALSE),"")</f>
        <v>FINANCEIRO</v>
      </c>
      <c r="L2279" s="77">
        <f>IFERROR(VLOOKUP(DESPESAS[[#This Row],[Plano de Contas]],BASE!$B$3:$H$119,6,FALSE),"")</f>
        <v>0</v>
      </c>
      <c r="M2279" s="77" t="str">
        <f>VLOOKUP(DESPESAS[[#This Row],[Plano de Contas]],BASE!$B$3:$H$119,7,FALSE)</f>
        <v>LETÍCIA</v>
      </c>
    </row>
    <row r="2280" spans="1:13" x14ac:dyDescent="0.25">
      <c r="A2280" s="74">
        <v>199128</v>
      </c>
      <c r="B2280" s="75" t="s">
        <v>232</v>
      </c>
      <c r="C2280" s="75" t="s">
        <v>1659</v>
      </c>
      <c r="D2280" s="76">
        <v>46086</v>
      </c>
      <c r="E2280" s="75" t="s">
        <v>230</v>
      </c>
      <c r="F2280" s="74">
        <v>0.79</v>
      </c>
      <c r="G2280" s="75" t="s">
        <v>229</v>
      </c>
      <c r="H2280" s="77" t="str">
        <f>VLOOKUP(DESPESAS[[#This Row],[Plano de Contas]],BASE!$B$3:$D$119,3,FALSE)</f>
        <v>Despesas Bancarias</v>
      </c>
      <c r="I2280" s="77" t="str">
        <f>IFERROR(VLOOKUP(DESPESAS[[#This Row],[Fornecedor]],Tabela2[],2,FALSE),"")</f>
        <v/>
      </c>
      <c r="J2280" s="77" t="str">
        <f>IFERROR(VLOOKUP(DESPESAS[[#This Row],[Plano de Contas]],BASE!$B$3:$F$119,4,FALSE),"")</f>
        <v>8 - DESPESAS FINANCEIRAS</v>
      </c>
      <c r="K2280" s="77" t="str">
        <f>IFERROR(VLOOKUP(DESPESAS[[#This Row],[Plano de Contas]],BASE!$B$3:$H$119,5,FALSE),"")</f>
        <v>FINANCEIRO</v>
      </c>
      <c r="L2280" s="77">
        <f>IFERROR(VLOOKUP(DESPESAS[[#This Row],[Plano de Contas]],BASE!$B$3:$H$119,6,FALSE),"")</f>
        <v>0</v>
      </c>
      <c r="M2280" s="77" t="str">
        <f>VLOOKUP(DESPESAS[[#This Row],[Plano de Contas]],BASE!$B$3:$H$119,7,FALSE)</f>
        <v>LETÍCIA</v>
      </c>
    </row>
    <row r="2281" spans="1:13" x14ac:dyDescent="0.25">
      <c r="A2281" s="74">
        <v>199129</v>
      </c>
      <c r="B2281" s="75" t="s">
        <v>221</v>
      </c>
      <c r="C2281" s="75" t="s">
        <v>1658</v>
      </c>
      <c r="D2281" s="76">
        <v>46086</v>
      </c>
      <c r="E2281" s="75" t="s">
        <v>1394</v>
      </c>
      <c r="F2281" s="74">
        <v>0.95</v>
      </c>
      <c r="G2281" s="75" t="s">
        <v>229</v>
      </c>
      <c r="H2281" s="77" t="str">
        <f>VLOOKUP(DESPESAS[[#This Row],[Plano de Contas]],BASE!$B$3:$D$119,3,FALSE)</f>
        <v>Despesas Bancarias</v>
      </c>
      <c r="I2281" s="77" t="str">
        <f>IFERROR(VLOOKUP(DESPESAS[[#This Row],[Fornecedor]],Tabela2[],2,FALSE),"")</f>
        <v/>
      </c>
      <c r="J2281" s="77" t="str">
        <f>IFERROR(VLOOKUP(DESPESAS[[#This Row],[Plano de Contas]],BASE!$B$3:$F$119,4,FALSE),"")</f>
        <v>8 - DESPESAS FINANCEIRAS</v>
      </c>
      <c r="K2281" s="77" t="str">
        <f>IFERROR(VLOOKUP(DESPESAS[[#This Row],[Plano de Contas]],BASE!$B$3:$H$119,5,FALSE),"")</f>
        <v>FINANCEIRO</v>
      </c>
      <c r="L2281" s="77">
        <f>IFERROR(VLOOKUP(DESPESAS[[#This Row],[Plano de Contas]],BASE!$B$3:$H$119,6,FALSE),"")</f>
        <v>0</v>
      </c>
      <c r="M2281" s="77" t="str">
        <f>VLOOKUP(DESPESAS[[#This Row],[Plano de Contas]],BASE!$B$3:$H$119,7,FALSE)</f>
        <v>LETÍCIA</v>
      </c>
    </row>
    <row r="2282" spans="1:13" x14ac:dyDescent="0.25">
      <c r="A2282" s="74">
        <v>199130</v>
      </c>
      <c r="B2282" s="75" t="s">
        <v>221</v>
      </c>
      <c r="C2282" s="75" t="s">
        <v>1657</v>
      </c>
      <c r="D2282" s="76">
        <v>46056</v>
      </c>
      <c r="E2282" s="75" t="s">
        <v>361</v>
      </c>
      <c r="F2282" s="74">
        <v>183.6</v>
      </c>
      <c r="G2282" s="75" t="s">
        <v>247</v>
      </c>
      <c r="H2282" s="77" t="str">
        <f>VLOOKUP(DESPESAS[[#This Row],[Plano de Contas]],BASE!$B$3:$D$119,3,FALSE)</f>
        <v>Manutenção com veiculos</v>
      </c>
      <c r="I2282" s="77" t="str">
        <f>IFERROR(VLOOKUP(DESPESAS[[#This Row],[Fornecedor]],Tabela2[],2,FALSE),"")</f>
        <v/>
      </c>
      <c r="J2282" s="77" t="str">
        <f>IFERROR(VLOOKUP(DESPESAS[[#This Row],[Plano de Contas]],BASE!$B$3:$F$119,4,FALSE),"")</f>
        <v>6 - DESPESA COM VENDAS</v>
      </c>
      <c r="K2282" s="77" t="str">
        <f>IFERROR(VLOOKUP(DESPESAS[[#This Row],[Plano de Contas]],BASE!$B$3:$H$119,5,FALSE),"")</f>
        <v>LOGÍSTICA</v>
      </c>
      <c r="L2282" s="77">
        <f>IFERROR(VLOOKUP(DESPESAS[[#This Row],[Plano de Contas]],BASE!$B$3:$H$119,6,FALSE),"")</f>
        <v>0</v>
      </c>
      <c r="M2282" s="77" t="str">
        <f>VLOOKUP(DESPESAS[[#This Row],[Plano de Contas]],BASE!$B$3:$H$119,7,FALSE)</f>
        <v>MYLENA</v>
      </c>
    </row>
    <row r="2283" spans="1:13" x14ac:dyDescent="0.25">
      <c r="A2283" s="74">
        <v>199132</v>
      </c>
      <c r="B2283" s="75" t="s">
        <v>221</v>
      </c>
      <c r="C2283" s="75" t="s">
        <v>1656</v>
      </c>
      <c r="D2283" s="76">
        <v>46087</v>
      </c>
      <c r="E2283" s="75" t="s">
        <v>361</v>
      </c>
      <c r="F2283" s="74">
        <v>398.16</v>
      </c>
      <c r="G2283" s="75" t="s">
        <v>331</v>
      </c>
      <c r="H2283" s="77" t="str">
        <f>VLOOKUP(DESPESAS[[#This Row],[Plano de Contas]],BASE!$B$3:$D$119,3,FALSE)</f>
        <v>Manutenção Predial (Adm)</v>
      </c>
      <c r="I2283" s="77" t="str">
        <f>IFERROR(VLOOKUP(DESPESAS[[#This Row],[Fornecedor]],Tabela2[],2,FALSE),"")</f>
        <v/>
      </c>
      <c r="J2283" s="77" t="str">
        <f>IFERROR(VLOOKUP(DESPESAS[[#This Row],[Plano de Contas]],BASE!$B$3:$F$119,4,FALSE),"")</f>
        <v>4 - GASTOS COM PESSOAL</v>
      </c>
      <c r="K2283" s="77" t="str">
        <f>IFERROR(VLOOKUP(DESPESAS[[#This Row],[Plano de Contas]],BASE!$B$3:$H$119,5,FALSE),"")</f>
        <v>MANUTENÇÃO / TI</v>
      </c>
      <c r="L2283" s="77">
        <f>IFERROR(VLOOKUP(DESPESAS[[#This Row],[Plano de Contas]],BASE!$B$3:$H$119,6,FALSE),"")</f>
        <v>0</v>
      </c>
      <c r="M2283" s="77" t="str">
        <f>VLOOKUP(DESPESAS[[#This Row],[Plano de Contas]],BASE!$B$3:$H$119,7,FALSE)</f>
        <v>FÁBIO</v>
      </c>
    </row>
    <row r="2284" spans="1:13" x14ac:dyDescent="0.25">
      <c r="A2284" s="74">
        <v>199133</v>
      </c>
      <c r="B2284" s="75" t="s">
        <v>221</v>
      </c>
      <c r="C2284" s="75" t="s">
        <v>1655</v>
      </c>
      <c r="D2284" s="76">
        <v>46057</v>
      </c>
      <c r="E2284" s="75" t="s">
        <v>361</v>
      </c>
      <c r="F2284" s="74">
        <v>110.97</v>
      </c>
      <c r="G2284" s="75" t="s">
        <v>331</v>
      </c>
      <c r="H2284" s="77" t="str">
        <f>VLOOKUP(DESPESAS[[#This Row],[Plano de Contas]],BASE!$B$3:$D$119,3,FALSE)</f>
        <v>Manutenção Predial (Adm)</v>
      </c>
      <c r="I2284" s="77" t="str">
        <f>IFERROR(VLOOKUP(DESPESAS[[#This Row],[Fornecedor]],Tabela2[],2,FALSE),"")</f>
        <v/>
      </c>
      <c r="J2284" s="77" t="str">
        <f>IFERROR(VLOOKUP(DESPESAS[[#This Row],[Plano de Contas]],BASE!$B$3:$F$119,4,FALSE),"")</f>
        <v>4 - GASTOS COM PESSOAL</v>
      </c>
      <c r="K2284" s="77" t="str">
        <f>IFERROR(VLOOKUP(DESPESAS[[#This Row],[Plano de Contas]],BASE!$B$3:$H$119,5,FALSE),"")</f>
        <v>MANUTENÇÃO / TI</v>
      </c>
      <c r="L2284" s="77">
        <f>IFERROR(VLOOKUP(DESPESAS[[#This Row],[Plano de Contas]],BASE!$B$3:$H$119,6,FALSE),"")</f>
        <v>0</v>
      </c>
      <c r="M2284" s="77" t="str">
        <f>VLOOKUP(DESPESAS[[#This Row],[Plano de Contas]],BASE!$B$3:$H$119,7,FALSE)</f>
        <v>FÁBIO</v>
      </c>
    </row>
    <row r="2285" spans="1:13" x14ac:dyDescent="0.25">
      <c r="A2285" s="74">
        <v>199136</v>
      </c>
      <c r="B2285" s="75" t="s">
        <v>221</v>
      </c>
      <c r="C2285" s="75" t="s">
        <v>1654</v>
      </c>
      <c r="D2285" s="76">
        <v>46057</v>
      </c>
      <c r="E2285" s="75" t="s">
        <v>361</v>
      </c>
      <c r="F2285" s="74">
        <v>161.91</v>
      </c>
      <c r="G2285" s="75" t="s">
        <v>331</v>
      </c>
      <c r="H2285" s="77" t="str">
        <f>VLOOKUP(DESPESAS[[#This Row],[Plano de Contas]],BASE!$B$3:$D$119,3,FALSE)</f>
        <v>Manutenção Predial (Adm)</v>
      </c>
      <c r="I2285" s="77" t="str">
        <f>IFERROR(VLOOKUP(DESPESAS[[#This Row],[Fornecedor]],Tabela2[],2,FALSE),"")</f>
        <v/>
      </c>
      <c r="J2285" s="77" t="str">
        <f>IFERROR(VLOOKUP(DESPESAS[[#This Row],[Plano de Contas]],BASE!$B$3:$F$119,4,FALSE),"")</f>
        <v>4 - GASTOS COM PESSOAL</v>
      </c>
      <c r="K2285" s="77" t="str">
        <f>IFERROR(VLOOKUP(DESPESAS[[#This Row],[Plano de Contas]],BASE!$B$3:$H$119,5,FALSE),"")</f>
        <v>MANUTENÇÃO / TI</v>
      </c>
      <c r="L2285" s="77">
        <f>IFERROR(VLOOKUP(DESPESAS[[#This Row],[Plano de Contas]],BASE!$B$3:$H$119,6,FALSE),"")</f>
        <v>0</v>
      </c>
      <c r="M2285" s="77" t="str">
        <f>VLOOKUP(DESPESAS[[#This Row],[Plano de Contas]],BASE!$B$3:$H$119,7,FALSE)</f>
        <v>FÁBIO</v>
      </c>
    </row>
    <row r="2286" spans="1:13" x14ac:dyDescent="0.25">
      <c r="A2286" s="74">
        <v>199137</v>
      </c>
      <c r="B2286" s="75" t="s">
        <v>279</v>
      </c>
      <c r="C2286" s="75" t="s">
        <v>1653</v>
      </c>
      <c r="D2286" s="76">
        <v>46087</v>
      </c>
      <c r="E2286" s="75" t="s">
        <v>230</v>
      </c>
      <c r="F2286" s="74">
        <v>539.07000000000005</v>
      </c>
      <c r="G2286" s="75" t="s">
        <v>229</v>
      </c>
      <c r="H2286" s="77" t="str">
        <f>VLOOKUP(DESPESAS[[#This Row],[Plano de Contas]],BASE!$B$3:$D$119,3,FALSE)</f>
        <v>Despesas Bancarias</v>
      </c>
      <c r="I2286" s="77" t="str">
        <f>IFERROR(VLOOKUP(DESPESAS[[#This Row],[Fornecedor]],Tabela2[],2,FALSE),"")</f>
        <v/>
      </c>
      <c r="J2286" s="77" t="str">
        <f>IFERROR(VLOOKUP(DESPESAS[[#This Row],[Plano de Contas]],BASE!$B$3:$F$119,4,FALSE),"")</f>
        <v>8 - DESPESAS FINANCEIRAS</v>
      </c>
      <c r="K2286" s="77" t="str">
        <f>IFERROR(VLOOKUP(DESPESAS[[#This Row],[Plano de Contas]],BASE!$B$3:$H$119,5,FALSE),"")</f>
        <v>FINANCEIRO</v>
      </c>
      <c r="L2286" s="77">
        <f>IFERROR(VLOOKUP(DESPESAS[[#This Row],[Plano de Contas]],BASE!$B$3:$H$119,6,FALSE),"")</f>
        <v>0</v>
      </c>
      <c r="M2286" s="77" t="str">
        <f>VLOOKUP(DESPESAS[[#This Row],[Plano de Contas]],BASE!$B$3:$H$119,7,FALSE)</f>
        <v>LETÍCIA</v>
      </c>
    </row>
    <row r="2287" spans="1:13" x14ac:dyDescent="0.25">
      <c r="A2287" s="74">
        <v>199138</v>
      </c>
      <c r="B2287" s="75" t="s">
        <v>232</v>
      </c>
      <c r="C2287" s="75" t="s">
        <v>1652</v>
      </c>
      <c r="D2287" s="76">
        <v>46087</v>
      </c>
      <c r="E2287" s="75" t="s">
        <v>490</v>
      </c>
      <c r="F2287" s="74">
        <v>516</v>
      </c>
      <c r="G2287" s="75" t="s">
        <v>247</v>
      </c>
      <c r="H2287" s="77" t="str">
        <f>VLOOKUP(DESPESAS[[#This Row],[Plano de Contas]],BASE!$B$3:$D$119,3,FALSE)</f>
        <v>Manutenção com veiculos</v>
      </c>
      <c r="I2287" s="77" t="str">
        <f>IFERROR(VLOOKUP(DESPESAS[[#This Row],[Fornecedor]],Tabela2[],2,FALSE),"")</f>
        <v/>
      </c>
      <c r="J2287" s="77" t="str">
        <f>IFERROR(VLOOKUP(DESPESAS[[#This Row],[Plano de Contas]],BASE!$B$3:$F$119,4,FALSE),"")</f>
        <v>6 - DESPESA COM VENDAS</v>
      </c>
      <c r="K2287" s="77" t="str">
        <f>IFERROR(VLOOKUP(DESPESAS[[#This Row],[Plano de Contas]],BASE!$B$3:$H$119,5,FALSE),"")</f>
        <v>LOGÍSTICA</v>
      </c>
      <c r="L2287" s="77">
        <f>IFERROR(VLOOKUP(DESPESAS[[#This Row],[Plano de Contas]],BASE!$B$3:$H$119,6,FALSE),"")</f>
        <v>0</v>
      </c>
      <c r="M2287" s="77" t="str">
        <f>VLOOKUP(DESPESAS[[#This Row],[Plano de Contas]],BASE!$B$3:$H$119,7,FALSE)</f>
        <v>MYLENA</v>
      </c>
    </row>
    <row r="2288" spans="1:13" x14ac:dyDescent="0.25">
      <c r="A2288" s="74">
        <v>199139</v>
      </c>
      <c r="B2288" s="75" t="s">
        <v>279</v>
      </c>
      <c r="C2288" s="75" t="s">
        <v>1651</v>
      </c>
      <c r="D2288" s="76">
        <v>46087</v>
      </c>
      <c r="E2288" s="75" t="s">
        <v>230</v>
      </c>
      <c r="F2288" s="74">
        <v>508.81</v>
      </c>
      <c r="G2288" s="75" t="s">
        <v>229</v>
      </c>
      <c r="H2288" s="77" t="str">
        <f>VLOOKUP(DESPESAS[[#This Row],[Plano de Contas]],BASE!$B$3:$D$119,3,FALSE)</f>
        <v>Despesas Bancarias</v>
      </c>
      <c r="I2288" s="77" t="str">
        <f>IFERROR(VLOOKUP(DESPESAS[[#This Row],[Fornecedor]],Tabela2[],2,FALSE),"")</f>
        <v/>
      </c>
      <c r="J2288" s="77" t="str">
        <f>IFERROR(VLOOKUP(DESPESAS[[#This Row],[Plano de Contas]],BASE!$B$3:$F$119,4,FALSE),"")</f>
        <v>8 - DESPESAS FINANCEIRAS</v>
      </c>
      <c r="K2288" s="77" t="str">
        <f>IFERROR(VLOOKUP(DESPESAS[[#This Row],[Plano de Contas]],BASE!$B$3:$H$119,5,FALSE),"")</f>
        <v>FINANCEIRO</v>
      </c>
      <c r="L2288" s="77">
        <f>IFERROR(VLOOKUP(DESPESAS[[#This Row],[Plano de Contas]],BASE!$B$3:$H$119,6,FALSE),"")</f>
        <v>0</v>
      </c>
      <c r="M2288" s="77" t="str">
        <f>VLOOKUP(DESPESAS[[#This Row],[Plano de Contas]],BASE!$B$3:$H$119,7,FALSE)</f>
        <v>LETÍCIA</v>
      </c>
    </row>
    <row r="2289" spans="1:13" x14ac:dyDescent="0.25">
      <c r="A2289" s="74">
        <v>199140</v>
      </c>
      <c r="B2289" s="75" t="s">
        <v>279</v>
      </c>
      <c r="C2289" s="75" t="s">
        <v>1640</v>
      </c>
      <c r="D2289" s="76">
        <v>46087</v>
      </c>
      <c r="E2289" s="75" t="s">
        <v>230</v>
      </c>
      <c r="F2289" s="74">
        <v>3317.88</v>
      </c>
      <c r="G2289" s="75" t="s">
        <v>251</v>
      </c>
      <c r="H2289" s="77" t="str">
        <f>VLOOKUP(DESPESAS[[#This Row],[Plano de Contas]],BASE!$B$3:$D$119,3,FALSE)</f>
        <v>Juros Pagos - Antecipação de Crédito</v>
      </c>
      <c r="I2289" s="77" t="str">
        <f>IFERROR(VLOOKUP(DESPESAS[[#This Row],[Fornecedor]],Tabela2[],2,FALSE),"")</f>
        <v/>
      </c>
      <c r="J2289" s="77" t="str">
        <f>IFERROR(VLOOKUP(DESPESAS[[#This Row],[Plano de Contas]],BASE!$B$3:$F$119,4,FALSE),"")</f>
        <v>8 - DESPESAS FINANCEIRAS</v>
      </c>
      <c r="K2289" s="77" t="str">
        <f>IFERROR(VLOOKUP(DESPESAS[[#This Row],[Plano de Contas]],BASE!$B$3:$H$119,5,FALSE),"")</f>
        <v>FINANCEIRO</v>
      </c>
      <c r="L2289" s="77">
        <f>IFERROR(VLOOKUP(DESPESAS[[#This Row],[Plano de Contas]],BASE!$B$3:$H$119,6,FALSE),"")</f>
        <v>0</v>
      </c>
      <c r="M2289" s="77" t="str">
        <f>VLOOKUP(DESPESAS[[#This Row],[Plano de Contas]],BASE!$B$3:$H$119,7,FALSE)</f>
        <v>LETÍCIA</v>
      </c>
    </row>
    <row r="2290" spans="1:13" x14ac:dyDescent="0.25">
      <c r="A2290" s="74">
        <v>199141</v>
      </c>
      <c r="B2290" s="75" t="s">
        <v>221</v>
      </c>
      <c r="C2290" s="75" t="s">
        <v>1650</v>
      </c>
      <c r="D2290" s="76">
        <v>46087</v>
      </c>
      <c r="E2290" s="75" t="s">
        <v>361</v>
      </c>
      <c r="F2290" s="74">
        <v>49.64</v>
      </c>
      <c r="G2290" s="75" t="s">
        <v>331</v>
      </c>
      <c r="H2290" s="77" t="str">
        <f>VLOOKUP(DESPESAS[[#This Row],[Plano de Contas]],BASE!$B$3:$D$119,3,FALSE)</f>
        <v>Manutenção Predial (Adm)</v>
      </c>
      <c r="I2290" s="77" t="str">
        <f>IFERROR(VLOOKUP(DESPESAS[[#This Row],[Fornecedor]],Tabela2[],2,FALSE),"")</f>
        <v/>
      </c>
      <c r="J2290" s="77" t="str">
        <f>IFERROR(VLOOKUP(DESPESAS[[#This Row],[Plano de Contas]],BASE!$B$3:$F$119,4,FALSE),"")</f>
        <v>4 - GASTOS COM PESSOAL</v>
      </c>
      <c r="K2290" s="77" t="str">
        <f>IFERROR(VLOOKUP(DESPESAS[[#This Row],[Plano de Contas]],BASE!$B$3:$H$119,5,FALSE),"")</f>
        <v>MANUTENÇÃO / TI</v>
      </c>
      <c r="L2290" s="77">
        <f>IFERROR(VLOOKUP(DESPESAS[[#This Row],[Plano de Contas]],BASE!$B$3:$H$119,6,FALSE),"")</f>
        <v>0</v>
      </c>
      <c r="M2290" s="77" t="str">
        <f>VLOOKUP(DESPESAS[[#This Row],[Plano de Contas]],BASE!$B$3:$H$119,7,FALSE)</f>
        <v>FÁBIO</v>
      </c>
    </row>
    <row r="2291" spans="1:13" x14ac:dyDescent="0.25">
      <c r="A2291" s="74">
        <v>199142</v>
      </c>
      <c r="B2291" s="75" t="s">
        <v>221</v>
      </c>
      <c r="C2291" s="75" t="s">
        <v>1649</v>
      </c>
      <c r="D2291" s="76">
        <v>46057</v>
      </c>
      <c r="E2291" s="75" t="s">
        <v>361</v>
      </c>
      <c r="F2291" s="74">
        <v>96.6</v>
      </c>
      <c r="G2291" s="75" t="s">
        <v>331</v>
      </c>
      <c r="H2291" s="77" t="str">
        <f>VLOOKUP(DESPESAS[[#This Row],[Plano de Contas]],BASE!$B$3:$D$119,3,FALSE)</f>
        <v>Manutenção Predial (Adm)</v>
      </c>
      <c r="I2291" s="77" t="str">
        <f>IFERROR(VLOOKUP(DESPESAS[[#This Row],[Fornecedor]],Tabela2[],2,FALSE),"")</f>
        <v/>
      </c>
      <c r="J2291" s="77" t="str">
        <f>IFERROR(VLOOKUP(DESPESAS[[#This Row],[Plano de Contas]],BASE!$B$3:$F$119,4,FALSE),"")</f>
        <v>4 - GASTOS COM PESSOAL</v>
      </c>
      <c r="K2291" s="77" t="str">
        <f>IFERROR(VLOOKUP(DESPESAS[[#This Row],[Plano de Contas]],BASE!$B$3:$H$119,5,FALSE),"")</f>
        <v>MANUTENÇÃO / TI</v>
      </c>
      <c r="L2291" s="77">
        <f>IFERROR(VLOOKUP(DESPESAS[[#This Row],[Plano de Contas]],BASE!$B$3:$H$119,6,FALSE),"")</f>
        <v>0</v>
      </c>
      <c r="M2291" s="77" t="str">
        <f>VLOOKUP(DESPESAS[[#This Row],[Plano de Contas]],BASE!$B$3:$H$119,7,FALSE)</f>
        <v>FÁBIO</v>
      </c>
    </row>
    <row r="2292" spans="1:13" x14ac:dyDescent="0.25">
      <c r="A2292" s="74">
        <v>199143</v>
      </c>
      <c r="B2292" s="75" t="s">
        <v>221</v>
      </c>
      <c r="C2292" s="75" t="s">
        <v>1648</v>
      </c>
      <c r="D2292" s="76">
        <v>46057</v>
      </c>
      <c r="E2292" s="75" t="s">
        <v>361</v>
      </c>
      <c r="F2292" s="74">
        <v>430.2</v>
      </c>
      <c r="G2292" s="75" t="s">
        <v>331</v>
      </c>
      <c r="H2292" s="77" t="str">
        <f>VLOOKUP(DESPESAS[[#This Row],[Plano de Contas]],BASE!$B$3:$D$119,3,FALSE)</f>
        <v>Manutenção Predial (Adm)</v>
      </c>
      <c r="I2292" s="77" t="str">
        <f>IFERROR(VLOOKUP(DESPESAS[[#This Row],[Fornecedor]],Tabela2[],2,FALSE),"")</f>
        <v/>
      </c>
      <c r="J2292" s="77" t="str">
        <f>IFERROR(VLOOKUP(DESPESAS[[#This Row],[Plano de Contas]],BASE!$B$3:$F$119,4,FALSE),"")</f>
        <v>4 - GASTOS COM PESSOAL</v>
      </c>
      <c r="K2292" s="77" t="str">
        <f>IFERROR(VLOOKUP(DESPESAS[[#This Row],[Plano de Contas]],BASE!$B$3:$H$119,5,FALSE),"")</f>
        <v>MANUTENÇÃO / TI</v>
      </c>
      <c r="L2292" s="77">
        <f>IFERROR(VLOOKUP(DESPESAS[[#This Row],[Plano de Contas]],BASE!$B$3:$H$119,6,FALSE),"")</f>
        <v>0</v>
      </c>
      <c r="M2292" s="77" t="str">
        <f>VLOOKUP(DESPESAS[[#This Row],[Plano de Contas]],BASE!$B$3:$H$119,7,FALSE)</f>
        <v>FÁBIO</v>
      </c>
    </row>
    <row r="2293" spans="1:13" x14ac:dyDescent="0.25">
      <c r="A2293" s="74">
        <v>199145</v>
      </c>
      <c r="B2293" s="75" t="s">
        <v>279</v>
      </c>
      <c r="C2293" s="75" t="s">
        <v>1643</v>
      </c>
      <c r="D2293" s="76">
        <v>46081</v>
      </c>
      <c r="E2293" s="75" t="s">
        <v>540</v>
      </c>
      <c r="F2293" s="74">
        <v>3802</v>
      </c>
      <c r="G2293" s="75" t="s">
        <v>539</v>
      </c>
      <c r="H2293" s="77" t="str">
        <f>VLOOKUP(DESPESAS[[#This Row],[Plano de Contas]],BASE!$B$3:$D$119,3,FALSE)</f>
        <v>Royalties</v>
      </c>
      <c r="I2293" s="77" t="str">
        <f>IFERROR(VLOOKUP(DESPESAS[[#This Row],[Fornecedor]],Tabela2[],2,FALSE),"")</f>
        <v/>
      </c>
      <c r="J2293" s="77" t="str">
        <f>IFERROR(VLOOKUP(DESPESAS[[#This Row],[Plano de Contas]],BASE!$B$3:$F$119,4,FALSE),"")</f>
        <v>6 - DESPESA COM VENDAS</v>
      </c>
      <c r="K2293" s="77" t="str">
        <f>IFERROR(VLOOKUP(DESPESAS[[#This Row],[Plano de Contas]],BASE!$B$3:$H$119,5,FALSE),"")</f>
        <v>COMERCIAL</v>
      </c>
      <c r="L2293" s="77">
        <f>IFERROR(VLOOKUP(DESPESAS[[#This Row],[Plano de Contas]],BASE!$B$3:$H$119,6,FALSE),"")</f>
        <v>0</v>
      </c>
      <c r="M2293" s="77" t="str">
        <f>VLOOKUP(DESPESAS[[#This Row],[Plano de Contas]],BASE!$B$3:$H$119,7,FALSE)</f>
        <v>LETÍCIA</v>
      </c>
    </row>
    <row r="2294" spans="1:13" x14ac:dyDescent="0.25">
      <c r="A2294" s="74">
        <v>199147</v>
      </c>
      <c r="B2294" s="75" t="s">
        <v>232</v>
      </c>
      <c r="C2294" s="75" t="s">
        <v>1647</v>
      </c>
      <c r="D2294" s="76">
        <v>46087</v>
      </c>
      <c r="E2294" s="75" t="s">
        <v>490</v>
      </c>
      <c r="F2294" s="74">
        <v>260.89999999999998</v>
      </c>
      <c r="G2294" s="75" t="s">
        <v>489</v>
      </c>
      <c r="H2294" s="77" t="str">
        <f>VLOOKUP(DESPESAS[[#This Row],[Plano de Contas]],BASE!$B$3:$D$119,3,FALSE)</f>
        <v>Material de Limpeza CIF</v>
      </c>
      <c r="I2294" s="77" t="str">
        <f>IFERROR(VLOOKUP(DESPESAS[[#This Row],[Fornecedor]],Tabela2[],2,FALSE),"")</f>
        <v/>
      </c>
      <c r="J2294" s="77" t="str">
        <f>IFERROR(VLOOKUP(DESPESAS[[#This Row],[Plano de Contas]],BASE!$B$3:$F$119,4,FALSE),"")</f>
        <v>3 - CUSTOS INDIRETOS</v>
      </c>
      <c r="K2294" s="77" t="str">
        <f>IFERROR(VLOOKUP(DESPESAS[[#This Row],[Plano de Contas]],BASE!$B$3:$H$119,5,FALSE),"")</f>
        <v>COMPRAS</v>
      </c>
      <c r="L2294" s="77">
        <f>IFERROR(VLOOKUP(DESPESAS[[#This Row],[Plano de Contas]],BASE!$B$3:$H$119,6,FALSE),"")</f>
        <v>0</v>
      </c>
      <c r="M2294" s="77" t="str">
        <f>VLOOKUP(DESPESAS[[#This Row],[Plano de Contas]],BASE!$B$3:$H$119,7,FALSE)</f>
        <v>MYLENA</v>
      </c>
    </row>
    <row r="2295" spans="1:13" x14ac:dyDescent="0.25">
      <c r="A2295" s="74">
        <v>199148</v>
      </c>
      <c r="B2295" s="75" t="s">
        <v>232</v>
      </c>
      <c r="C2295" s="75" t="s">
        <v>1646</v>
      </c>
      <c r="D2295" s="76">
        <v>46087</v>
      </c>
      <c r="E2295" s="75" t="s">
        <v>490</v>
      </c>
      <c r="F2295" s="74">
        <v>145.6</v>
      </c>
      <c r="G2295" s="75" t="s">
        <v>1006</v>
      </c>
      <c r="H2295" s="77" t="str">
        <f>VLOOKUP(DESPESAS[[#This Row],[Plano de Contas]],BASE!$B$3:$D$119,3,FALSE)</f>
        <v>Material de Limpeza (Adm)</v>
      </c>
      <c r="I2295" s="77" t="str">
        <f>IFERROR(VLOOKUP(DESPESAS[[#This Row],[Fornecedor]],Tabela2[],2,FALSE),"")</f>
        <v/>
      </c>
      <c r="J2295" s="77" t="str">
        <f>IFERROR(VLOOKUP(DESPESAS[[#This Row],[Plano de Contas]],BASE!$B$3:$F$119,4,FALSE),"")</f>
        <v>5 - DESPESAS ADMINISTRATIVAS</v>
      </c>
      <c r="K2295" s="77" t="str">
        <f>IFERROR(VLOOKUP(DESPESAS[[#This Row],[Plano de Contas]],BASE!$B$3:$H$119,5,FALSE),"")</f>
        <v>ADMINISTRATIVO</v>
      </c>
      <c r="L2295" s="77">
        <f>IFERROR(VLOOKUP(DESPESAS[[#This Row],[Plano de Contas]],BASE!$B$3:$H$119,6,FALSE),"")</f>
        <v>0</v>
      </c>
      <c r="M2295" s="77" t="str">
        <f>VLOOKUP(DESPESAS[[#This Row],[Plano de Contas]],BASE!$B$3:$H$119,7,FALSE)</f>
        <v>MYLENA</v>
      </c>
    </row>
    <row r="2296" spans="1:13" x14ac:dyDescent="0.25">
      <c r="A2296" s="74">
        <v>199149</v>
      </c>
      <c r="B2296" s="75" t="s">
        <v>279</v>
      </c>
      <c r="C2296" s="75" t="s">
        <v>1643</v>
      </c>
      <c r="D2296" s="76">
        <v>46081</v>
      </c>
      <c r="E2296" s="75" t="s">
        <v>795</v>
      </c>
      <c r="F2296" s="74">
        <v>1921.29</v>
      </c>
      <c r="G2296" s="75" t="s">
        <v>539</v>
      </c>
      <c r="H2296" s="77" t="str">
        <f>VLOOKUP(DESPESAS[[#This Row],[Plano de Contas]],BASE!$B$3:$D$119,3,FALSE)</f>
        <v>Royalties</v>
      </c>
      <c r="I2296" s="77" t="str">
        <f>IFERROR(VLOOKUP(DESPESAS[[#This Row],[Fornecedor]],Tabela2[],2,FALSE),"")</f>
        <v/>
      </c>
      <c r="J2296" s="77" t="str">
        <f>IFERROR(VLOOKUP(DESPESAS[[#This Row],[Plano de Contas]],BASE!$B$3:$F$119,4,FALSE),"")</f>
        <v>6 - DESPESA COM VENDAS</v>
      </c>
      <c r="K2296" s="77" t="str">
        <f>IFERROR(VLOOKUP(DESPESAS[[#This Row],[Plano de Contas]],BASE!$B$3:$H$119,5,FALSE),"")</f>
        <v>COMERCIAL</v>
      </c>
      <c r="L2296" s="77">
        <f>IFERROR(VLOOKUP(DESPESAS[[#This Row],[Plano de Contas]],BASE!$B$3:$H$119,6,FALSE),"")</f>
        <v>0</v>
      </c>
      <c r="M2296" s="77" t="str">
        <f>VLOOKUP(DESPESAS[[#This Row],[Plano de Contas]],BASE!$B$3:$H$119,7,FALSE)</f>
        <v>LETÍCIA</v>
      </c>
    </row>
    <row r="2297" spans="1:13" x14ac:dyDescent="0.25">
      <c r="A2297" s="74">
        <v>199150</v>
      </c>
      <c r="B2297" s="75" t="s">
        <v>279</v>
      </c>
      <c r="C2297" s="75" t="s">
        <v>1643</v>
      </c>
      <c r="D2297" s="76">
        <v>46081</v>
      </c>
      <c r="E2297" s="75" t="s">
        <v>800</v>
      </c>
      <c r="F2297" s="74">
        <v>152.47999999999999</v>
      </c>
      <c r="G2297" s="75" t="s">
        <v>539</v>
      </c>
      <c r="H2297" s="77" t="str">
        <f>VLOOKUP(DESPESAS[[#This Row],[Plano de Contas]],BASE!$B$3:$D$119,3,FALSE)</f>
        <v>Royalties</v>
      </c>
      <c r="I2297" s="77" t="str">
        <f>IFERROR(VLOOKUP(DESPESAS[[#This Row],[Fornecedor]],Tabela2[],2,FALSE),"")</f>
        <v/>
      </c>
      <c r="J2297" s="77" t="str">
        <f>IFERROR(VLOOKUP(DESPESAS[[#This Row],[Plano de Contas]],BASE!$B$3:$F$119,4,FALSE),"")</f>
        <v>6 - DESPESA COM VENDAS</v>
      </c>
      <c r="K2297" s="77" t="str">
        <f>IFERROR(VLOOKUP(DESPESAS[[#This Row],[Plano de Contas]],BASE!$B$3:$H$119,5,FALSE),"")</f>
        <v>COMERCIAL</v>
      </c>
      <c r="L2297" s="77">
        <f>IFERROR(VLOOKUP(DESPESAS[[#This Row],[Plano de Contas]],BASE!$B$3:$H$119,6,FALSE),"")</f>
        <v>0</v>
      </c>
      <c r="M2297" s="77" t="str">
        <f>VLOOKUP(DESPESAS[[#This Row],[Plano de Contas]],BASE!$B$3:$H$119,7,FALSE)</f>
        <v>LETÍCIA</v>
      </c>
    </row>
    <row r="2298" spans="1:13" x14ac:dyDescent="0.25">
      <c r="A2298" s="74">
        <v>199151</v>
      </c>
      <c r="B2298" s="75" t="s">
        <v>281</v>
      </c>
      <c r="C2298" s="75" t="s">
        <v>1643</v>
      </c>
      <c r="D2298" s="76">
        <v>46081</v>
      </c>
      <c r="E2298" s="75" t="s">
        <v>540</v>
      </c>
      <c r="F2298" s="74">
        <v>1058.48</v>
      </c>
      <c r="G2298" s="75" t="s">
        <v>539</v>
      </c>
      <c r="H2298" s="77" t="str">
        <f>VLOOKUP(DESPESAS[[#This Row],[Plano de Contas]],BASE!$B$3:$D$119,3,FALSE)</f>
        <v>Royalties</v>
      </c>
      <c r="I2298" s="77" t="str">
        <f>IFERROR(VLOOKUP(DESPESAS[[#This Row],[Fornecedor]],Tabela2[],2,FALSE),"")</f>
        <v/>
      </c>
      <c r="J2298" s="77" t="str">
        <f>IFERROR(VLOOKUP(DESPESAS[[#This Row],[Plano de Contas]],BASE!$B$3:$F$119,4,FALSE),"")</f>
        <v>6 - DESPESA COM VENDAS</v>
      </c>
      <c r="K2298" s="77" t="str">
        <f>IFERROR(VLOOKUP(DESPESAS[[#This Row],[Plano de Contas]],BASE!$B$3:$H$119,5,FALSE),"")</f>
        <v>COMERCIAL</v>
      </c>
      <c r="L2298" s="77">
        <f>IFERROR(VLOOKUP(DESPESAS[[#This Row],[Plano de Contas]],BASE!$B$3:$H$119,6,FALSE),"")</f>
        <v>0</v>
      </c>
      <c r="M2298" s="77" t="str">
        <f>VLOOKUP(DESPESAS[[#This Row],[Plano de Contas]],BASE!$B$3:$H$119,7,FALSE)</f>
        <v>LETÍCIA</v>
      </c>
    </row>
    <row r="2299" spans="1:13" x14ac:dyDescent="0.25">
      <c r="A2299" s="74">
        <v>199152</v>
      </c>
      <c r="B2299" s="75" t="s">
        <v>281</v>
      </c>
      <c r="C2299" s="75" t="s">
        <v>1645</v>
      </c>
      <c r="D2299" s="76">
        <v>46081</v>
      </c>
      <c r="E2299" s="75" t="s">
        <v>795</v>
      </c>
      <c r="F2299" s="74">
        <v>503.27</v>
      </c>
      <c r="G2299" s="75" t="s">
        <v>539</v>
      </c>
      <c r="H2299" s="77" t="str">
        <f>VLOOKUP(DESPESAS[[#This Row],[Plano de Contas]],BASE!$B$3:$D$119,3,FALSE)</f>
        <v>Royalties</v>
      </c>
      <c r="I2299" s="77" t="str">
        <f>IFERROR(VLOOKUP(DESPESAS[[#This Row],[Fornecedor]],Tabela2[],2,FALSE),"")</f>
        <v/>
      </c>
      <c r="J2299" s="77" t="str">
        <f>IFERROR(VLOOKUP(DESPESAS[[#This Row],[Plano de Contas]],BASE!$B$3:$F$119,4,FALSE),"")</f>
        <v>6 - DESPESA COM VENDAS</v>
      </c>
      <c r="K2299" s="77" t="str">
        <f>IFERROR(VLOOKUP(DESPESAS[[#This Row],[Plano de Contas]],BASE!$B$3:$H$119,5,FALSE),"")</f>
        <v>COMERCIAL</v>
      </c>
      <c r="L2299" s="77">
        <f>IFERROR(VLOOKUP(DESPESAS[[#This Row],[Plano de Contas]],BASE!$B$3:$H$119,6,FALSE),"")</f>
        <v>0</v>
      </c>
      <c r="M2299" s="77" t="str">
        <f>VLOOKUP(DESPESAS[[#This Row],[Plano de Contas]],BASE!$B$3:$H$119,7,FALSE)</f>
        <v>LETÍCIA</v>
      </c>
    </row>
    <row r="2300" spans="1:13" x14ac:dyDescent="0.25">
      <c r="A2300" s="74">
        <v>199153</v>
      </c>
      <c r="B2300" s="75" t="s">
        <v>281</v>
      </c>
      <c r="C2300" s="75" t="s">
        <v>1643</v>
      </c>
      <c r="D2300" s="76">
        <v>46081</v>
      </c>
      <c r="E2300" s="75" t="s">
        <v>1644</v>
      </c>
      <c r="F2300" s="74">
        <v>269.11</v>
      </c>
      <c r="G2300" s="75" t="s">
        <v>539</v>
      </c>
      <c r="H2300" s="77" t="str">
        <f>VLOOKUP(DESPESAS[[#This Row],[Plano de Contas]],BASE!$B$3:$D$119,3,FALSE)</f>
        <v>Royalties</v>
      </c>
      <c r="I2300" s="77" t="str">
        <f>IFERROR(VLOOKUP(DESPESAS[[#This Row],[Fornecedor]],Tabela2[],2,FALSE),"")</f>
        <v/>
      </c>
      <c r="J2300" s="77" t="str">
        <f>IFERROR(VLOOKUP(DESPESAS[[#This Row],[Plano de Contas]],BASE!$B$3:$F$119,4,FALSE),"")</f>
        <v>6 - DESPESA COM VENDAS</v>
      </c>
      <c r="K2300" s="77" t="str">
        <f>IFERROR(VLOOKUP(DESPESAS[[#This Row],[Plano de Contas]],BASE!$B$3:$H$119,5,FALSE),"")</f>
        <v>COMERCIAL</v>
      </c>
      <c r="L2300" s="77">
        <f>IFERROR(VLOOKUP(DESPESAS[[#This Row],[Plano de Contas]],BASE!$B$3:$H$119,6,FALSE),"")</f>
        <v>0</v>
      </c>
      <c r="M2300" s="77" t="str">
        <f>VLOOKUP(DESPESAS[[#This Row],[Plano de Contas]],BASE!$B$3:$H$119,7,FALSE)</f>
        <v>LETÍCIA</v>
      </c>
    </row>
    <row r="2301" spans="1:13" x14ac:dyDescent="0.25">
      <c r="A2301" s="74">
        <v>199154</v>
      </c>
      <c r="B2301" s="75" t="s">
        <v>281</v>
      </c>
      <c r="C2301" s="75" t="s">
        <v>1643</v>
      </c>
      <c r="D2301" s="76">
        <v>46081</v>
      </c>
      <c r="E2301" s="75" t="s">
        <v>797</v>
      </c>
      <c r="F2301" s="74">
        <v>2615.06</v>
      </c>
      <c r="G2301" s="75" t="s">
        <v>539</v>
      </c>
      <c r="H2301" s="77" t="str">
        <f>VLOOKUP(DESPESAS[[#This Row],[Plano de Contas]],BASE!$B$3:$D$119,3,FALSE)</f>
        <v>Royalties</v>
      </c>
      <c r="I2301" s="77" t="str">
        <f>IFERROR(VLOOKUP(DESPESAS[[#This Row],[Fornecedor]],Tabela2[],2,FALSE),"")</f>
        <v/>
      </c>
      <c r="J2301" s="77" t="str">
        <f>IFERROR(VLOOKUP(DESPESAS[[#This Row],[Plano de Contas]],BASE!$B$3:$F$119,4,FALSE),"")</f>
        <v>6 - DESPESA COM VENDAS</v>
      </c>
      <c r="K2301" s="77" t="str">
        <f>IFERROR(VLOOKUP(DESPESAS[[#This Row],[Plano de Contas]],BASE!$B$3:$H$119,5,FALSE),"")</f>
        <v>COMERCIAL</v>
      </c>
      <c r="L2301" s="77">
        <f>IFERROR(VLOOKUP(DESPESAS[[#This Row],[Plano de Contas]],BASE!$B$3:$H$119,6,FALSE),"")</f>
        <v>0</v>
      </c>
      <c r="M2301" s="77" t="str">
        <f>VLOOKUP(DESPESAS[[#This Row],[Plano de Contas]],BASE!$B$3:$H$119,7,FALSE)</f>
        <v>LETÍCIA</v>
      </c>
    </row>
    <row r="2302" spans="1:13" x14ac:dyDescent="0.25">
      <c r="A2302" s="74">
        <v>199155</v>
      </c>
      <c r="B2302" s="75" t="s">
        <v>281</v>
      </c>
      <c r="C2302" s="75" t="s">
        <v>1643</v>
      </c>
      <c r="D2302" s="76">
        <v>46081</v>
      </c>
      <c r="E2302" s="75" t="s">
        <v>793</v>
      </c>
      <c r="F2302" s="74">
        <v>1537.91</v>
      </c>
      <c r="G2302" s="75" t="s">
        <v>539</v>
      </c>
      <c r="H2302" s="77" t="str">
        <f>VLOOKUP(DESPESAS[[#This Row],[Plano de Contas]],BASE!$B$3:$D$119,3,FALSE)</f>
        <v>Royalties</v>
      </c>
      <c r="I2302" s="77" t="str">
        <f>IFERROR(VLOOKUP(DESPESAS[[#This Row],[Fornecedor]],Tabela2[],2,FALSE),"")</f>
        <v/>
      </c>
      <c r="J2302" s="77" t="str">
        <f>IFERROR(VLOOKUP(DESPESAS[[#This Row],[Plano de Contas]],BASE!$B$3:$F$119,4,FALSE),"")</f>
        <v>6 - DESPESA COM VENDAS</v>
      </c>
      <c r="K2302" s="77" t="str">
        <f>IFERROR(VLOOKUP(DESPESAS[[#This Row],[Plano de Contas]],BASE!$B$3:$H$119,5,FALSE),"")</f>
        <v>COMERCIAL</v>
      </c>
      <c r="L2302" s="77">
        <f>IFERROR(VLOOKUP(DESPESAS[[#This Row],[Plano de Contas]],BASE!$B$3:$H$119,6,FALSE),"")</f>
        <v>0</v>
      </c>
      <c r="M2302" s="77" t="str">
        <f>VLOOKUP(DESPESAS[[#This Row],[Plano de Contas]],BASE!$B$3:$H$119,7,FALSE)</f>
        <v>LETÍCIA</v>
      </c>
    </row>
    <row r="2303" spans="1:13" x14ac:dyDescent="0.25">
      <c r="A2303" s="74">
        <v>199156</v>
      </c>
      <c r="B2303" s="75" t="s">
        <v>232</v>
      </c>
      <c r="C2303" s="75" t="s">
        <v>1642</v>
      </c>
      <c r="D2303" s="76">
        <v>46087</v>
      </c>
      <c r="E2303" s="75" t="s">
        <v>230</v>
      </c>
      <c r="F2303" s="74">
        <v>361.93</v>
      </c>
      <c r="G2303" s="75" t="s">
        <v>229</v>
      </c>
      <c r="H2303" s="77" t="str">
        <f>VLOOKUP(DESPESAS[[#This Row],[Plano de Contas]],BASE!$B$3:$D$119,3,FALSE)</f>
        <v>Despesas Bancarias</v>
      </c>
      <c r="I2303" s="77" t="str">
        <f>IFERROR(VLOOKUP(DESPESAS[[#This Row],[Fornecedor]],Tabela2[],2,FALSE),"")</f>
        <v/>
      </c>
      <c r="J2303" s="77" t="str">
        <f>IFERROR(VLOOKUP(DESPESAS[[#This Row],[Plano de Contas]],BASE!$B$3:$F$119,4,FALSE),"")</f>
        <v>8 - DESPESAS FINANCEIRAS</v>
      </c>
      <c r="K2303" s="77" t="str">
        <f>IFERROR(VLOOKUP(DESPESAS[[#This Row],[Plano de Contas]],BASE!$B$3:$H$119,5,FALSE),"")</f>
        <v>FINANCEIRO</v>
      </c>
      <c r="L2303" s="77">
        <f>IFERROR(VLOOKUP(DESPESAS[[#This Row],[Plano de Contas]],BASE!$B$3:$H$119,6,FALSE),"")</f>
        <v>0</v>
      </c>
      <c r="M2303" s="77" t="str">
        <f>VLOOKUP(DESPESAS[[#This Row],[Plano de Contas]],BASE!$B$3:$H$119,7,FALSE)</f>
        <v>LETÍCIA</v>
      </c>
    </row>
    <row r="2304" spans="1:13" x14ac:dyDescent="0.25">
      <c r="A2304" s="74">
        <v>199157</v>
      </c>
      <c r="B2304" s="75" t="s">
        <v>232</v>
      </c>
      <c r="C2304" s="75" t="s">
        <v>1641</v>
      </c>
      <c r="D2304" s="76">
        <v>46087</v>
      </c>
      <c r="E2304" s="75" t="s">
        <v>230</v>
      </c>
      <c r="F2304" s="74">
        <v>602.87</v>
      </c>
      <c r="G2304" s="75" t="s">
        <v>229</v>
      </c>
      <c r="H2304" s="77" t="str">
        <f>VLOOKUP(DESPESAS[[#This Row],[Plano de Contas]],BASE!$B$3:$D$119,3,FALSE)</f>
        <v>Despesas Bancarias</v>
      </c>
      <c r="I2304" s="77" t="str">
        <f>IFERROR(VLOOKUP(DESPESAS[[#This Row],[Fornecedor]],Tabela2[],2,FALSE),"")</f>
        <v/>
      </c>
      <c r="J2304" s="77" t="str">
        <f>IFERROR(VLOOKUP(DESPESAS[[#This Row],[Plano de Contas]],BASE!$B$3:$F$119,4,FALSE),"")</f>
        <v>8 - DESPESAS FINANCEIRAS</v>
      </c>
      <c r="K2304" s="77" t="str">
        <f>IFERROR(VLOOKUP(DESPESAS[[#This Row],[Plano de Contas]],BASE!$B$3:$H$119,5,FALSE),"")</f>
        <v>FINANCEIRO</v>
      </c>
      <c r="L2304" s="77">
        <f>IFERROR(VLOOKUP(DESPESAS[[#This Row],[Plano de Contas]],BASE!$B$3:$H$119,6,FALSE),"")</f>
        <v>0</v>
      </c>
      <c r="M2304" s="77" t="str">
        <f>VLOOKUP(DESPESAS[[#This Row],[Plano de Contas]],BASE!$B$3:$H$119,7,FALSE)</f>
        <v>LETÍCIA</v>
      </c>
    </row>
    <row r="2305" spans="1:13" x14ac:dyDescent="0.25">
      <c r="A2305" s="74">
        <v>199158</v>
      </c>
      <c r="B2305" s="75" t="s">
        <v>232</v>
      </c>
      <c r="C2305" s="75" t="s">
        <v>1640</v>
      </c>
      <c r="D2305" s="76">
        <v>46087</v>
      </c>
      <c r="E2305" s="75" t="s">
        <v>230</v>
      </c>
      <c r="F2305" s="74">
        <v>2140.19</v>
      </c>
      <c r="G2305" s="75" t="s">
        <v>251</v>
      </c>
      <c r="H2305" s="77" t="str">
        <f>VLOOKUP(DESPESAS[[#This Row],[Plano de Contas]],BASE!$B$3:$D$119,3,FALSE)</f>
        <v>Juros Pagos - Antecipação de Crédito</v>
      </c>
      <c r="I2305" s="77" t="str">
        <f>IFERROR(VLOOKUP(DESPESAS[[#This Row],[Fornecedor]],Tabela2[],2,FALSE),"")</f>
        <v/>
      </c>
      <c r="J2305" s="77" t="str">
        <f>IFERROR(VLOOKUP(DESPESAS[[#This Row],[Plano de Contas]],BASE!$B$3:$F$119,4,FALSE),"")</f>
        <v>8 - DESPESAS FINANCEIRAS</v>
      </c>
      <c r="K2305" s="77" t="str">
        <f>IFERROR(VLOOKUP(DESPESAS[[#This Row],[Plano de Contas]],BASE!$B$3:$H$119,5,FALSE),"")</f>
        <v>FINANCEIRO</v>
      </c>
      <c r="L2305" s="77">
        <f>IFERROR(VLOOKUP(DESPESAS[[#This Row],[Plano de Contas]],BASE!$B$3:$H$119,6,FALSE),"")</f>
        <v>0</v>
      </c>
      <c r="M2305" s="77" t="str">
        <f>VLOOKUP(DESPESAS[[#This Row],[Plano de Contas]],BASE!$B$3:$H$119,7,FALSE)</f>
        <v>LETÍCIA</v>
      </c>
    </row>
    <row r="2306" spans="1:13" x14ac:dyDescent="0.25">
      <c r="A2306" s="74">
        <v>199160</v>
      </c>
      <c r="B2306" s="75" t="s">
        <v>221</v>
      </c>
      <c r="C2306" s="75" t="s">
        <v>1639</v>
      </c>
      <c r="D2306" s="76">
        <v>46087</v>
      </c>
      <c r="E2306" s="75" t="s">
        <v>245</v>
      </c>
      <c r="F2306" s="74">
        <v>105</v>
      </c>
      <c r="G2306" s="75" t="s">
        <v>244</v>
      </c>
      <c r="H2306" s="77" t="str">
        <f>VLOOKUP(DESPESAS[[#This Row],[Plano de Contas]],BASE!$B$3:$D$119,3,FALSE)</f>
        <v>Material de Expediente (Prod)</v>
      </c>
      <c r="I2306" s="77" t="str">
        <f>IFERROR(VLOOKUP(DESPESAS[[#This Row],[Fornecedor]],Tabela2[],2,FALSE),"")</f>
        <v>FERRAGENS GERAIS</v>
      </c>
      <c r="J2306" s="77" t="str">
        <f>IFERROR(VLOOKUP(DESPESAS[[#This Row],[Plano de Contas]],BASE!$B$3:$F$119,4,FALSE),"")</f>
        <v>2 - CUSTOS DIRETOS</v>
      </c>
      <c r="K2306" s="77" t="str">
        <f>IFERROR(VLOOKUP(DESPESAS[[#This Row],[Plano de Contas]],BASE!$B$3:$H$119,5,FALSE),"")</f>
        <v>PRODUÇÃO</v>
      </c>
      <c r="L2306" s="77">
        <f>IFERROR(VLOOKUP(DESPESAS[[#This Row],[Plano de Contas]],BASE!$B$3:$H$119,6,FALSE),"")</f>
        <v>0</v>
      </c>
      <c r="M2306" s="77" t="str">
        <f>VLOOKUP(DESPESAS[[#This Row],[Plano de Contas]],BASE!$B$3:$H$119,7,FALSE)</f>
        <v>RAFAEL</v>
      </c>
    </row>
    <row r="2307" spans="1:13" x14ac:dyDescent="0.25">
      <c r="A2307" s="74">
        <v>199161</v>
      </c>
      <c r="B2307" s="75" t="s">
        <v>281</v>
      </c>
      <c r="C2307" s="75" t="s">
        <v>1638</v>
      </c>
      <c r="D2307" s="76">
        <v>46087</v>
      </c>
      <c r="E2307" s="75" t="s">
        <v>960</v>
      </c>
      <c r="F2307" s="74">
        <v>2933</v>
      </c>
      <c r="G2307" s="75" t="s">
        <v>430</v>
      </c>
      <c r="H2307" s="77" t="str">
        <f>VLOOKUP(DESPESAS[[#This Row],[Plano de Contas]],BASE!$B$3:$D$119,3,FALSE)</f>
        <v>Salarios e Ordenados MOD</v>
      </c>
      <c r="I2307" s="77" t="str">
        <f>IFERROR(VLOOKUP(DESPESAS[[#This Row],[Fornecedor]],Tabela2[],2,FALSE),"")</f>
        <v/>
      </c>
      <c r="J2307" s="77" t="str">
        <f>IFERROR(VLOOKUP(DESPESAS[[#This Row],[Plano de Contas]],BASE!$B$3:$F$119,4,FALSE),"")</f>
        <v>2 - CUSTOS DIRETOS</v>
      </c>
      <c r="K2307" s="77" t="str">
        <f>IFERROR(VLOOKUP(DESPESAS[[#This Row],[Plano de Contas]],BASE!$B$3:$H$119,5,FALSE),"")</f>
        <v>DH</v>
      </c>
      <c r="L2307" s="77" t="str">
        <f>IFERROR(VLOOKUP(DESPESAS[[#This Row],[Plano de Contas]],BASE!$B$3:$H$119,6,FALSE),"")</f>
        <v>CUSTO MÃO DE OBRA DIRETA</v>
      </c>
      <c r="M2307" s="77" t="str">
        <f>VLOOKUP(DESPESAS[[#This Row],[Plano de Contas]],BASE!$B$3:$H$119,7,FALSE)</f>
        <v>RAFAEL</v>
      </c>
    </row>
    <row r="2308" spans="1:13" x14ac:dyDescent="0.25">
      <c r="A2308" s="74">
        <v>199162</v>
      </c>
      <c r="B2308" s="75" t="s">
        <v>221</v>
      </c>
      <c r="C2308" s="75" t="s">
        <v>1637</v>
      </c>
      <c r="D2308" s="76">
        <v>46087</v>
      </c>
      <c r="E2308" s="75" t="s">
        <v>1636</v>
      </c>
      <c r="F2308" s="74">
        <v>25</v>
      </c>
      <c r="G2308" s="75" t="s">
        <v>420</v>
      </c>
      <c r="H2308" s="77" t="str">
        <f>VLOOKUP(DESPESAS[[#This Row],[Plano de Contas]],BASE!$B$3:$D$119,3,FALSE)</f>
        <v>Material de Expediente (Adm)</v>
      </c>
      <c r="I2308" s="77" t="str">
        <f>IFERROR(VLOOKUP(DESPESAS[[#This Row],[Fornecedor]],Tabela2[],2,FALSE),"")</f>
        <v/>
      </c>
      <c r="J2308" s="77" t="str">
        <f>IFERROR(VLOOKUP(DESPESAS[[#This Row],[Plano de Contas]],BASE!$B$3:$F$119,4,FALSE),"")</f>
        <v>5 - DESPESAS ADMINISTRATIVAS</v>
      </c>
      <c r="K2308" s="77" t="str">
        <f>IFERROR(VLOOKUP(DESPESAS[[#This Row],[Plano de Contas]],BASE!$B$3:$H$119,5,FALSE),"")</f>
        <v>ADMINISTRATIVO</v>
      </c>
      <c r="L2308" s="77">
        <f>IFERROR(VLOOKUP(DESPESAS[[#This Row],[Plano de Contas]],BASE!$B$3:$H$119,6,FALSE),"")</f>
        <v>0</v>
      </c>
      <c r="M2308" s="77" t="str">
        <f>VLOOKUP(DESPESAS[[#This Row],[Plano de Contas]],BASE!$B$3:$H$119,7,FALSE)</f>
        <v>LETÍCIA</v>
      </c>
    </row>
    <row r="2309" spans="1:13" x14ac:dyDescent="0.25">
      <c r="A2309" s="74">
        <v>199163</v>
      </c>
      <c r="B2309" s="75" t="s">
        <v>232</v>
      </c>
      <c r="C2309" s="75" t="s">
        <v>1635</v>
      </c>
      <c r="D2309" s="76">
        <v>46090</v>
      </c>
      <c r="E2309" s="75" t="s">
        <v>1438</v>
      </c>
      <c r="F2309" s="74">
        <v>168.3</v>
      </c>
      <c r="G2309" s="75" t="s">
        <v>218</v>
      </c>
      <c r="H2309" s="77" t="str">
        <f>VLOOKUP(DESPESAS[[#This Row],[Plano de Contas]],BASE!$B$3:$D$119,3,FALSE)</f>
        <v>Manutenção de Equipamentos (Prod)</v>
      </c>
      <c r="I2309" s="77" t="str">
        <f>IFERROR(VLOOKUP(DESPESAS[[#This Row],[Fornecedor]],Tabela2[],2,FALSE),"")</f>
        <v>MATERIAIS PNEUMATICOS</v>
      </c>
      <c r="J2309" s="77" t="str">
        <f>IFERROR(VLOOKUP(DESPESAS[[#This Row],[Plano de Contas]],BASE!$B$3:$F$119,4,FALSE),"")</f>
        <v>3 - CUSTOS INDIRETOS</v>
      </c>
      <c r="K2309" s="77" t="str">
        <f>IFERROR(VLOOKUP(DESPESAS[[#This Row],[Plano de Contas]],BASE!$B$3:$H$119,5,FALSE),"")</f>
        <v>MANUTENÇÃO / TI</v>
      </c>
      <c r="L2309" s="77">
        <f>IFERROR(VLOOKUP(DESPESAS[[#This Row],[Plano de Contas]],BASE!$B$3:$H$119,6,FALSE),"")</f>
        <v>0</v>
      </c>
      <c r="M2309" s="77" t="str">
        <f>VLOOKUP(DESPESAS[[#This Row],[Plano de Contas]],BASE!$B$3:$H$119,7,FALSE)</f>
        <v>RAFAEL</v>
      </c>
    </row>
    <row r="2310" spans="1:13" x14ac:dyDescent="0.25">
      <c r="A2310" s="74">
        <v>199164</v>
      </c>
      <c r="B2310" s="75" t="s">
        <v>232</v>
      </c>
      <c r="C2310" s="75" t="s">
        <v>1634</v>
      </c>
      <c r="D2310" s="76">
        <v>46090</v>
      </c>
      <c r="E2310" s="75" t="s">
        <v>230</v>
      </c>
      <c r="F2310" s="74">
        <v>26.61</v>
      </c>
      <c r="G2310" s="75" t="s">
        <v>251</v>
      </c>
      <c r="H2310" s="77" t="str">
        <f>VLOOKUP(DESPESAS[[#This Row],[Plano de Contas]],BASE!$B$3:$D$119,3,FALSE)</f>
        <v>Juros Pagos - Antecipação de Crédito</v>
      </c>
      <c r="I2310" s="77" t="str">
        <f>IFERROR(VLOOKUP(DESPESAS[[#This Row],[Fornecedor]],Tabela2[],2,FALSE),"")</f>
        <v/>
      </c>
      <c r="J2310" s="77" t="str">
        <f>IFERROR(VLOOKUP(DESPESAS[[#This Row],[Plano de Contas]],BASE!$B$3:$F$119,4,FALSE),"")</f>
        <v>8 - DESPESAS FINANCEIRAS</v>
      </c>
      <c r="K2310" s="77" t="str">
        <f>IFERROR(VLOOKUP(DESPESAS[[#This Row],[Plano de Contas]],BASE!$B$3:$H$119,5,FALSE),"")</f>
        <v>FINANCEIRO</v>
      </c>
      <c r="L2310" s="77">
        <f>IFERROR(VLOOKUP(DESPESAS[[#This Row],[Plano de Contas]],BASE!$B$3:$H$119,6,FALSE),"")</f>
        <v>0</v>
      </c>
      <c r="M2310" s="77" t="str">
        <f>VLOOKUP(DESPESAS[[#This Row],[Plano de Contas]],BASE!$B$3:$H$119,7,FALSE)</f>
        <v>LETÍCIA</v>
      </c>
    </row>
    <row r="2311" spans="1:13" x14ac:dyDescent="0.25">
      <c r="A2311" s="74">
        <v>199165</v>
      </c>
      <c r="B2311" s="75" t="s">
        <v>232</v>
      </c>
      <c r="C2311" s="75" t="s">
        <v>1633</v>
      </c>
      <c r="D2311" s="76">
        <v>46090</v>
      </c>
      <c r="E2311" s="75" t="s">
        <v>230</v>
      </c>
      <c r="F2311" s="74">
        <v>10.46</v>
      </c>
      <c r="G2311" s="75" t="s">
        <v>251</v>
      </c>
      <c r="H2311" s="77" t="str">
        <f>VLOOKUP(DESPESAS[[#This Row],[Plano de Contas]],BASE!$B$3:$D$119,3,FALSE)</f>
        <v>Juros Pagos - Antecipação de Crédito</v>
      </c>
      <c r="I2311" s="77" t="str">
        <f>IFERROR(VLOOKUP(DESPESAS[[#This Row],[Fornecedor]],Tabela2[],2,FALSE),"")</f>
        <v/>
      </c>
      <c r="J2311" s="77" t="str">
        <f>IFERROR(VLOOKUP(DESPESAS[[#This Row],[Plano de Contas]],BASE!$B$3:$F$119,4,FALSE),"")</f>
        <v>8 - DESPESAS FINANCEIRAS</v>
      </c>
      <c r="K2311" s="77" t="str">
        <f>IFERROR(VLOOKUP(DESPESAS[[#This Row],[Plano de Contas]],BASE!$B$3:$H$119,5,FALSE),"")</f>
        <v>FINANCEIRO</v>
      </c>
      <c r="L2311" s="77">
        <f>IFERROR(VLOOKUP(DESPESAS[[#This Row],[Plano de Contas]],BASE!$B$3:$H$119,6,FALSE),"")</f>
        <v>0</v>
      </c>
      <c r="M2311" s="77" t="str">
        <f>VLOOKUP(DESPESAS[[#This Row],[Plano de Contas]],BASE!$B$3:$H$119,7,FALSE)</f>
        <v>LETÍCIA</v>
      </c>
    </row>
    <row r="2312" spans="1:13" x14ac:dyDescent="0.25">
      <c r="A2312" s="74">
        <v>199166</v>
      </c>
      <c r="B2312" s="75" t="s">
        <v>232</v>
      </c>
      <c r="C2312" s="75" t="s">
        <v>1632</v>
      </c>
      <c r="D2312" s="76">
        <v>46087</v>
      </c>
      <c r="E2312" s="75" t="s">
        <v>230</v>
      </c>
      <c r="F2312" s="74">
        <v>5.53</v>
      </c>
      <c r="G2312" s="75" t="s">
        <v>236</v>
      </c>
      <c r="H2312" s="77" t="str">
        <f>VLOOKUP(DESPESAS[[#This Row],[Plano de Contas]],BASE!$B$3:$D$119,3,FALSE)</f>
        <v>Despesas de Cobranca</v>
      </c>
      <c r="I2312" s="77" t="str">
        <f>IFERROR(VLOOKUP(DESPESAS[[#This Row],[Fornecedor]],Tabela2[],2,FALSE),"")</f>
        <v/>
      </c>
      <c r="J2312" s="77" t="str">
        <f>IFERROR(VLOOKUP(DESPESAS[[#This Row],[Plano de Contas]],BASE!$B$3:$F$119,4,FALSE),"")</f>
        <v>8 - DESPESAS FINANCEIRAS</v>
      </c>
      <c r="K2312" s="77" t="str">
        <f>IFERROR(VLOOKUP(DESPESAS[[#This Row],[Plano de Contas]],BASE!$B$3:$H$119,5,FALSE),"")</f>
        <v>FINANCEIRO</v>
      </c>
      <c r="L2312" s="77">
        <f>IFERROR(VLOOKUP(DESPESAS[[#This Row],[Plano de Contas]],BASE!$B$3:$H$119,6,FALSE),"")</f>
        <v>0</v>
      </c>
      <c r="M2312" s="77" t="str">
        <f>VLOOKUP(DESPESAS[[#This Row],[Plano de Contas]],BASE!$B$3:$H$119,7,FALSE)</f>
        <v>LETÍCIA</v>
      </c>
    </row>
    <row r="2313" spans="1:13" x14ac:dyDescent="0.25">
      <c r="A2313" s="74">
        <v>199167</v>
      </c>
      <c r="B2313" s="75" t="s">
        <v>279</v>
      </c>
      <c r="C2313" s="75" t="s">
        <v>1631</v>
      </c>
      <c r="D2313" s="76">
        <v>46087</v>
      </c>
      <c r="E2313" s="75" t="s">
        <v>230</v>
      </c>
      <c r="F2313" s="74">
        <v>0.79</v>
      </c>
      <c r="G2313" s="75" t="s">
        <v>229</v>
      </c>
      <c r="H2313" s="77" t="str">
        <f>VLOOKUP(DESPESAS[[#This Row],[Plano de Contas]],BASE!$B$3:$D$119,3,FALSE)</f>
        <v>Despesas Bancarias</v>
      </c>
      <c r="I2313" s="77" t="str">
        <f>IFERROR(VLOOKUP(DESPESAS[[#This Row],[Fornecedor]],Tabela2[],2,FALSE),"")</f>
        <v/>
      </c>
      <c r="J2313" s="77" t="str">
        <f>IFERROR(VLOOKUP(DESPESAS[[#This Row],[Plano de Contas]],BASE!$B$3:$F$119,4,FALSE),"")</f>
        <v>8 - DESPESAS FINANCEIRAS</v>
      </c>
      <c r="K2313" s="77" t="str">
        <f>IFERROR(VLOOKUP(DESPESAS[[#This Row],[Plano de Contas]],BASE!$B$3:$H$119,5,FALSE),"")</f>
        <v>FINANCEIRO</v>
      </c>
      <c r="L2313" s="77">
        <f>IFERROR(VLOOKUP(DESPESAS[[#This Row],[Plano de Contas]],BASE!$B$3:$H$119,6,FALSE),"")</f>
        <v>0</v>
      </c>
      <c r="M2313" s="77" t="str">
        <f>VLOOKUP(DESPESAS[[#This Row],[Plano de Contas]],BASE!$B$3:$H$119,7,FALSE)</f>
        <v>LETÍCIA</v>
      </c>
    </row>
    <row r="2314" spans="1:13" x14ac:dyDescent="0.25">
      <c r="A2314" s="74">
        <v>199168</v>
      </c>
      <c r="B2314" s="75" t="s">
        <v>279</v>
      </c>
      <c r="C2314" s="75" t="s">
        <v>1630</v>
      </c>
      <c r="D2314" s="76">
        <v>46090</v>
      </c>
      <c r="E2314" s="75" t="s">
        <v>230</v>
      </c>
      <c r="F2314" s="74">
        <v>0.95</v>
      </c>
      <c r="G2314" s="75" t="s">
        <v>229</v>
      </c>
      <c r="H2314" s="77" t="str">
        <f>VLOOKUP(DESPESAS[[#This Row],[Plano de Contas]],BASE!$B$3:$D$119,3,FALSE)</f>
        <v>Despesas Bancarias</v>
      </c>
      <c r="I2314" s="77" t="str">
        <f>IFERROR(VLOOKUP(DESPESAS[[#This Row],[Fornecedor]],Tabela2[],2,FALSE),"")</f>
        <v/>
      </c>
      <c r="J2314" s="77" t="str">
        <f>IFERROR(VLOOKUP(DESPESAS[[#This Row],[Plano de Contas]],BASE!$B$3:$F$119,4,FALSE),"")</f>
        <v>8 - DESPESAS FINANCEIRAS</v>
      </c>
      <c r="K2314" s="77" t="str">
        <f>IFERROR(VLOOKUP(DESPESAS[[#This Row],[Plano de Contas]],BASE!$B$3:$H$119,5,FALSE),"")</f>
        <v>FINANCEIRO</v>
      </c>
      <c r="L2314" s="77">
        <f>IFERROR(VLOOKUP(DESPESAS[[#This Row],[Plano de Contas]],BASE!$B$3:$H$119,6,FALSE),"")</f>
        <v>0</v>
      </c>
      <c r="M2314" s="77" t="str">
        <f>VLOOKUP(DESPESAS[[#This Row],[Plano de Contas]],BASE!$B$3:$H$119,7,FALSE)</f>
        <v>LETÍCIA</v>
      </c>
    </row>
    <row r="2315" spans="1:13" x14ac:dyDescent="0.25">
      <c r="A2315" s="74">
        <v>199169</v>
      </c>
      <c r="B2315" s="75" t="s">
        <v>232</v>
      </c>
      <c r="C2315" s="75" t="s">
        <v>1629</v>
      </c>
      <c r="D2315" s="76">
        <v>46090</v>
      </c>
      <c r="E2315" s="75" t="s">
        <v>322</v>
      </c>
      <c r="F2315" s="74">
        <v>15908.45</v>
      </c>
      <c r="G2315" s="75" t="s">
        <v>218</v>
      </c>
      <c r="H2315" s="77" t="str">
        <f>VLOOKUP(DESPESAS[[#This Row],[Plano de Contas]],BASE!$B$3:$D$119,3,FALSE)</f>
        <v>Manutenção de Equipamentos (Prod)</v>
      </c>
      <c r="I2315" s="77" t="str">
        <f>IFERROR(VLOOKUP(DESPESAS[[#This Row],[Fornecedor]],Tabela2[],2,FALSE),"")</f>
        <v>CNC TECIDO</v>
      </c>
      <c r="J2315" s="77" t="str">
        <f>IFERROR(VLOOKUP(DESPESAS[[#This Row],[Plano de Contas]],BASE!$B$3:$F$119,4,FALSE),"")</f>
        <v>3 - CUSTOS INDIRETOS</v>
      </c>
      <c r="K2315" s="77" t="str">
        <f>IFERROR(VLOOKUP(DESPESAS[[#This Row],[Plano de Contas]],BASE!$B$3:$H$119,5,FALSE),"")</f>
        <v>MANUTENÇÃO / TI</v>
      </c>
      <c r="L2315" s="77">
        <f>IFERROR(VLOOKUP(DESPESAS[[#This Row],[Plano de Contas]],BASE!$B$3:$H$119,6,FALSE),"")</f>
        <v>0</v>
      </c>
      <c r="M2315" s="77" t="str">
        <f>VLOOKUP(DESPESAS[[#This Row],[Plano de Contas]],BASE!$B$3:$H$119,7,FALSE)</f>
        <v>RAFAEL</v>
      </c>
    </row>
    <row r="2316" spans="1:13" x14ac:dyDescent="0.25">
      <c r="A2316" s="74">
        <v>199170</v>
      </c>
      <c r="B2316" s="75" t="s">
        <v>232</v>
      </c>
      <c r="C2316" s="75" t="s">
        <v>1628</v>
      </c>
      <c r="D2316" s="76">
        <v>46090</v>
      </c>
      <c r="E2316" s="75" t="s">
        <v>1627</v>
      </c>
      <c r="F2316" s="74">
        <v>374</v>
      </c>
      <c r="G2316" s="75" t="s">
        <v>1388</v>
      </c>
      <c r="H2316" s="77" t="str">
        <f>VLOOKUP(DESPESAS[[#This Row],[Plano de Contas]],BASE!$B$3:$D$119,3,FALSE)</f>
        <v>Fretes</v>
      </c>
      <c r="I2316" s="77" t="str">
        <f>IFERROR(VLOOKUP(DESPESAS[[#This Row],[Fornecedor]],Tabela2[],2,FALSE),"")</f>
        <v/>
      </c>
      <c r="J2316" s="77" t="str">
        <f>IFERROR(VLOOKUP(DESPESAS[[#This Row],[Plano de Contas]],BASE!$B$3:$F$119,4,FALSE),"")</f>
        <v>6 - DESPESA COM VENDAS</v>
      </c>
      <c r="K2316" s="77" t="str">
        <f>IFERROR(VLOOKUP(DESPESAS[[#This Row],[Plano de Contas]],BASE!$B$3:$H$119,5,FALSE),"")</f>
        <v>LOGÍSTICA</v>
      </c>
      <c r="L2316" s="77">
        <f>IFERROR(VLOOKUP(DESPESAS[[#This Row],[Plano de Contas]],BASE!$B$3:$H$119,6,FALSE),"")</f>
        <v>0</v>
      </c>
      <c r="M2316" s="77" t="str">
        <f>VLOOKUP(DESPESAS[[#This Row],[Plano de Contas]],BASE!$B$3:$H$119,7,FALSE)</f>
        <v>MYLENA</v>
      </c>
    </row>
    <row r="2317" spans="1:13" x14ac:dyDescent="0.25">
      <c r="A2317" s="74">
        <v>199171</v>
      </c>
      <c r="B2317" s="75" t="s">
        <v>232</v>
      </c>
      <c r="C2317" s="75" t="s">
        <v>1626</v>
      </c>
      <c r="D2317" s="76">
        <v>46086</v>
      </c>
      <c r="E2317" s="75" t="s">
        <v>230</v>
      </c>
      <c r="F2317" s="74">
        <v>22.41</v>
      </c>
      <c r="G2317" s="75" t="s">
        <v>236</v>
      </c>
      <c r="H2317" s="77" t="str">
        <f>VLOOKUP(DESPESAS[[#This Row],[Plano de Contas]],BASE!$B$3:$D$119,3,FALSE)</f>
        <v>Despesas de Cobranca</v>
      </c>
      <c r="I2317" s="77" t="str">
        <f>IFERROR(VLOOKUP(DESPESAS[[#This Row],[Fornecedor]],Tabela2[],2,FALSE),"")</f>
        <v/>
      </c>
      <c r="J2317" s="77" t="str">
        <f>IFERROR(VLOOKUP(DESPESAS[[#This Row],[Plano de Contas]],BASE!$B$3:$F$119,4,FALSE),"")</f>
        <v>8 - DESPESAS FINANCEIRAS</v>
      </c>
      <c r="K2317" s="77" t="str">
        <f>IFERROR(VLOOKUP(DESPESAS[[#This Row],[Plano de Contas]],BASE!$B$3:$H$119,5,FALSE),"")</f>
        <v>FINANCEIRO</v>
      </c>
      <c r="L2317" s="77">
        <f>IFERROR(VLOOKUP(DESPESAS[[#This Row],[Plano de Contas]],BASE!$B$3:$H$119,6,FALSE),"")</f>
        <v>0</v>
      </c>
      <c r="M2317" s="77" t="str">
        <f>VLOOKUP(DESPESAS[[#This Row],[Plano de Contas]],BASE!$B$3:$H$119,7,FALSE)</f>
        <v>LETÍCIA</v>
      </c>
    </row>
    <row r="2318" spans="1:13" x14ac:dyDescent="0.25">
      <c r="A2318" s="74">
        <v>199173</v>
      </c>
      <c r="B2318" s="75" t="s">
        <v>221</v>
      </c>
      <c r="C2318" s="75" t="s">
        <v>1625</v>
      </c>
      <c r="D2318" s="76">
        <v>46090</v>
      </c>
      <c r="E2318" s="75" t="s">
        <v>540</v>
      </c>
      <c r="F2318" s="74">
        <v>5570.59</v>
      </c>
      <c r="G2318" s="75" t="s">
        <v>360</v>
      </c>
      <c r="H2318" s="77" t="str">
        <f>VLOOKUP(DESPESAS[[#This Row],[Plano de Contas]],BASE!$B$3:$D$119,3,FALSE)</f>
        <v>Publicidade e Propaganda</v>
      </c>
      <c r="I2318" s="77" t="str">
        <f>IFERROR(VLOOKUP(DESPESAS[[#This Row],[Fornecedor]],Tabela2[],2,FALSE),"")</f>
        <v/>
      </c>
      <c r="J2318" s="77" t="str">
        <f>IFERROR(VLOOKUP(DESPESAS[[#This Row],[Plano de Contas]],BASE!$B$3:$F$119,4,FALSE),"")</f>
        <v>6 - DESPESA COM VENDAS</v>
      </c>
      <c r="K2318" s="77" t="str">
        <f>IFERROR(VLOOKUP(DESPESAS[[#This Row],[Plano de Contas]],BASE!$B$3:$H$119,5,FALSE),"")</f>
        <v>COMERCIAL</v>
      </c>
      <c r="L2318" s="77">
        <f>IFERROR(VLOOKUP(DESPESAS[[#This Row],[Plano de Contas]],BASE!$B$3:$H$119,6,FALSE),"")</f>
        <v>0</v>
      </c>
      <c r="M2318" s="77" t="str">
        <f>VLOOKUP(DESPESAS[[#This Row],[Plano de Contas]],BASE!$B$3:$H$119,7,FALSE)</f>
        <v>THAIS</v>
      </c>
    </row>
    <row r="2319" spans="1:13" x14ac:dyDescent="0.25">
      <c r="A2319" s="74">
        <v>199174</v>
      </c>
      <c r="B2319" s="75" t="s">
        <v>232</v>
      </c>
      <c r="C2319" s="75" t="s">
        <v>1624</v>
      </c>
      <c r="D2319" s="76">
        <v>46087</v>
      </c>
      <c r="E2319" s="75" t="s">
        <v>230</v>
      </c>
      <c r="F2319" s="74">
        <v>0.95</v>
      </c>
      <c r="G2319" s="75" t="s">
        <v>229</v>
      </c>
      <c r="H2319" s="77" t="str">
        <f>VLOOKUP(DESPESAS[[#This Row],[Plano de Contas]],BASE!$B$3:$D$119,3,FALSE)</f>
        <v>Despesas Bancarias</v>
      </c>
      <c r="I2319" s="77" t="str">
        <f>IFERROR(VLOOKUP(DESPESAS[[#This Row],[Fornecedor]],Tabela2[],2,FALSE),"")</f>
        <v/>
      </c>
      <c r="J2319" s="77" t="str">
        <f>IFERROR(VLOOKUP(DESPESAS[[#This Row],[Plano de Contas]],BASE!$B$3:$F$119,4,FALSE),"")</f>
        <v>8 - DESPESAS FINANCEIRAS</v>
      </c>
      <c r="K2319" s="77" t="str">
        <f>IFERROR(VLOOKUP(DESPESAS[[#This Row],[Plano de Contas]],BASE!$B$3:$H$119,5,FALSE),"")</f>
        <v>FINANCEIRO</v>
      </c>
      <c r="L2319" s="77">
        <f>IFERROR(VLOOKUP(DESPESAS[[#This Row],[Plano de Contas]],BASE!$B$3:$H$119,6,FALSE),"")</f>
        <v>0</v>
      </c>
      <c r="M2319" s="77" t="str">
        <f>VLOOKUP(DESPESAS[[#This Row],[Plano de Contas]],BASE!$B$3:$H$119,7,FALSE)</f>
        <v>LETÍCIA</v>
      </c>
    </row>
    <row r="2320" spans="1:13" x14ac:dyDescent="0.25">
      <c r="A2320" s="74">
        <v>199175</v>
      </c>
      <c r="B2320" s="75" t="s">
        <v>232</v>
      </c>
      <c r="C2320" s="75" t="s">
        <v>1623</v>
      </c>
      <c r="D2320" s="76">
        <v>46083</v>
      </c>
      <c r="E2320" s="75" t="s">
        <v>409</v>
      </c>
      <c r="F2320" s="74">
        <v>268.61</v>
      </c>
      <c r="G2320" s="75" t="s">
        <v>326</v>
      </c>
      <c r="H2320" s="77" t="str">
        <f>VLOOKUP(DESPESAS[[#This Row],[Plano de Contas]],BASE!$B$3:$D$119,3,FALSE)</f>
        <v>Frete sobre Compras</v>
      </c>
      <c r="I2320" s="77" t="str">
        <f>IFERROR(VLOOKUP(DESPESAS[[#This Row],[Fornecedor]],Tabela2[],2,FALSE),"")</f>
        <v>SERVIÇOS FRETE</v>
      </c>
      <c r="J2320" s="77" t="str">
        <f>IFERROR(VLOOKUP(DESPESAS[[#This Row],[Plano de Contas]],BASE!$B$3:$F$119,4,FALSE),"")</f>
        <v>1 - CPV</v>
      </c>
      <c r="K2320" s="77" t="str">
        <f>IFERROR(VLOOKUP(DESPESAS[[#This Row],[Plano de Contas]],BASE!$B$3:$H$119,5,FALSE),"")</f>
        <v>COMPRAS</v>
      </c>
      <c r="L2320" s="77">
        <f>IFERROR(VLOOKUP(DESPESAS[[#This Row],[Plano de Contas]],BASE!$B$3:$H$119,6,FALSE),"")</f>
        <v>0</v>
      </c>
      <c r="M2320" s="77" t="str">
        <f>VLOOKUP(DESPESAS[[#This Row],[Plano de Contas]],BASE!$B$3:$H$119,7,FALSE)</f>
        <v>MYLENA</v>
      </c>
    </row>
    <row r="2321" spans="1:13" x14ac:dyDescent="0.25">
      <c r="A2321" s="74">
        <v>199176</v>
      </c>
      <c r="B2321" s="75" t="s">
        <v>232</v>
      </c>
      <c r="C2321" s="75" t="s">
        <v>1622</v>
      </c>
      <c r="D2321" s="76">
        <v>46083</v>
      </c>
      <c r="E2321" s="75" t="s">
        <v>409</v>
      </c>
      <c r="F2321" s="74">
        <v>146.77000000000001</v>
      </c>
      <c r="G2321" s="75" t="s">
        <v>326</v>
      </c>
      <c r="H2321" s="77" t="str">
        <f>VLOOKUP(DESPESAS[[#This Row],[Plano de Contas]],BASE!$B$3:$D$119,3,FALSE)</f>
        <v>Frete sobre Compras</v>
      </c>
      <c r="I2321" s="77" t="str">
        <f>IFERROR(VLOOKUP(DESPESAS[[#This Row],[Fornecedor]],Tabela2[],2,FALSE),"")</f>
        <v>SERVIÇOS FRETE</v>
      </c>
      <c r="J2321" s="77" t="str">
        <f>IFERROR(VLOOKUP(DESPESAS[[#This Row],[Plano de Contas]],BASE!$B$3:$F$119,4,FALSE),"")</f>
        <v>1 - CPV</v>
      </c>
      <c r="K2321" s="77" t="str">
        <f>IFERROR(VLOOKUP(DESPESAS[[#This Row],[Plano de Contas]],BASE!$B$3:$H$119,5,FALSE),"")</f>
        <v>COMPRAS</v>
      </c>
      <c r="L2321" s="77">
        <f>IFERROR(VLOOKUP(DESPESAS[[#This Row],[Plano de Contas]],BASE!$B$3:$H$119,6,FALSE),"")</f>
        <v>0</v>
      </c>
      <c r="M2321" s="77" t="str">
        <f>VLOOKUP(DESPESAS[[#This Row],[Plano de Contas]],BASE!$B$3:$H$119,7,FALSE)</f>
        <v>MYLENA</v>
      </c>
    </row>
    <row r="2322" spans="1:13" x14ac:dyDescent="0.25">
      <c r="A2322" s="74">
        <v>199177</v>
      </c>
      <c r="B2322" s="75" t="s">
        <v>221</v>
      </c>
      <c r="C2322" s="75" t="s">
        <v>1617</v>
      </c>
      <c r="D2322" s="76">
        <v>46090</v>
      </c>
      <c r="E2322" s="75" t="s">
        <v>754</v>
      </c>
      <c r="F2322" s="74">
        <v>5464.21</v>
      </c>
      <c r="G2322" s="75" t="s">
        <v>751</v>
      </c>
      <c r="H2322" s="77" t="str">
        <f>VLOOKUP(DESPESAS[[#This Row],[Plano de Contas]],BASE!$B$3:$D$119,3,FALSE)</f>
        <v>Comissões sobre Vendas Interno</v>
      </c>
      <c r="I2322" s="77" t="str">
        <f>IFERROR(VLOOKUP(DESPESAS[[#This Row],[Fornecedor]],Tabela2[],2,FALSE),"")</f>
        <v/>
      </c>
      <c r="J2322" s="77" t="str">
        <f>IFERROR(VLOOKUP(DESPESAS[[#This Row],[Plano de Contas]],BASE!$B$3:$F$119,4,FALSE),"")</f>
        <v>6 - DESPESA COM VENDAS</v>
      </c>
      <c r="K2322" s="77" t="str">
        <f>IFERROR(VLOOKUP(DESPESAS[[#This Row],[Plano de Contas]],BASE!$B$3:$H$119,5,FALSE),"")</f>
        <v>COMERCIAL</v>
      </c>
      <c r="L2322" s="77">
        <f>IFERROR(VLOOKUP(DESPESAS[[#This Row],[Plano de Contas]],BASE!$B$3:$H$119,6,FALSE),"")</f>
        <v>0</v>
      </c>
      <c r="M2322" s="77" t="str">
        <f>VLOOKUP(DESPESAS[[#This Row],[Plano de Contas]],BASE!$B$3:$H$119,7,FALSE)</f>
        <v>LETÍCIA</v>
      </c>
    </row>
    <row r="2323" spans="1:13" x14ac:dyDescent="0.25">
      <c r="A2323" s="74">
        <v>199178</v>
      </c>
      <c r="B2323" s="75" t="s">
        <v>232</v>
      </c>
      <c r="C2323" s="75" t="s">
        <v>1621</v>
      </c>
      <c r="D2323" s="76">
        <v>46083</v>
      </c>
      <c r="E2323" s="75" t="s">
        <v>409</v>
      </c>
      <c r="F2323" s="74">
        <v>295.48</v>
      </c>
      <c r="G2323" s="75" t="s">
        <v>326</v>
      </c>
      <c r="H2323" s="77" t="str">
        <f>VLOOKUP(DESPESAS[[#This Row],[Plano de Contas]],BASE!$B$3:$D$119,3,FALSE)</f>
        <v>Frete sobre Compras</v>
      </c>
      <c r="I2323" s="77" t="str">
        <f>IFERROR(VLOOKUP(DESPESAS[[#This Row],[Fornecedor]],Tabela2[],2,FALSE),"")</f>
        <v>SERVIÇOS FRETE</v>
      </c>
      <c r="J2323" s="77" t="str">
        <f>IFERROR(VLOOKUP(DESPESAS[[#This Row],[Plano de Contas]],BASE!$B$3:$F$119,4,FALSE),"")</f>
        <v>1 - CPV</v>
      </c>
      <c r="K2323" s="77" t="str">
        <f>IFERROR(VLOOKUP(DESPESAS[[#This Row],[Plano de Contas]],BASE!$B$3:$H$119,5,FALSE),"")</f>
        <v>COMPRAS</v>
      </c>
      <c r="L2323" s="77">
        <f>IFERROR(VLOOKUP(DESPESAS[[#This Row],[Plano de Contas]],BASE!$B$3:$H$119,6,FALSE),"")</f>
        <v>0</v>
      </c>
      <c r="M2323" s="77" t="str">
        <f>VLOOKUP(DESPESAS[[#This Row],[Plano de Contas]],BASE!$B$3:$H$119,7,FALSE)</f>
        <v>MYLENA</v>
      </c>
    </row>
    <row r="2324" spans="1:13" x14ac:dyDescent="0.25">
      <c r="A2324" s="74">
        <v>199179</v>
      </c>
      <c r="B2324" s="75" t="s">
        <v>232</v>
      </c>
      <c r="C2324" s="75" t="s">
        <v>1620</v>
      </c>
      <c r="D2324" s="76">
        <v>46083</v>
      </c>
      <c r="E2324" s="75" t="s">
        <v>1619</v>
      </c>
      <c r="F2324" s="74">
        <v>195.1</v>
      </c>
      <c r="G2324" s="75" t="s">
        <v>326</v>
      </c>
      <c r="H2324" s="77" t="str">
        <f>VLOOKUP(DESPESAS[[#This Row],[Plano de Contas]],BASE!$B$3:$D$119,3,FALSE)</f>
        <v>Frete sobre Compras</v>
      </c>
      <c r="I2324" s="77" t="str">
        <f>IFERROR(VLOOKUP(DESPESAS[[#This Row],[Fornecedor]],Tabela2[],2,FALSE),"")</f>
        <v/>
      </c>
      <c r="J2324" s="77" t="str">
        <f>IFERROR(VLOOKUP(DESPESAS[[#This Row],[Plano de Contas]],BASE!$B$3:$F$119,4,FALSE),"")</f>
        <v>1 - CPV</v>
      </c>
      <c r="K2324" s="77" t="str">
        <f>IFERROR(VLOOKUP(DESPESAS[[#This Row],[Plano de Contas]],BASE!$B$3:$H$119,5,FALSE),"")</f>
        <v>COMPRAS</v>
      </c>
      <c r="L2324" s="77">
        <f>IFERROR(VLOOKUP(DESPESAS[[#This Row],[Plano de Contas]],BASE!$B$3:$H$119,6,FALSE),"")</f>
        <v>0</v>
      </c>
      <c r="M2324" s="77" t="str">
        <f>VLOOKUP(DESPESAS[[#This Row],[Plano de Contas]],BASE!$B$3:$H$119,7,FALSE)</f>
        <v>MYLENA</v>
      </c>
    </row>
    <row r="2325" spans="1:13" x14ac:dyDescent="0.25">
      <c r="A2325" s="74">
        <v>199180</v>
      </c>
      <c r="B2325" s="75" t="s">
        <v>232</v>
      </c>
      <c r="C2325" s="75" t="s">
        <v>1618</v>
      </c>
      <c r="D2325" s="76">
        <v>46085</v>
      </c>
      <c r="E2325" s="75" t="s">
        <v>409</v>
      </c>
      <c r="F2325" s="74">
        <v>825.8</v>
      </c>
      <c r="G2325" s="75" t="s">
        <v>326</v>
      </c>
      <c r="H2325" s="77" t="str">
        <f>VLOOKUP(DESPESAS[[#This Row],[Plano de Contas]],BASE!$B$3:$D$119,3,FALSE)</f>
        <v>Frete sobre Compras</v>
      </c>
      <c r="I2325" s="77" t="str">
        <f>IFERROR(VLOOKUP(DESPESAS[[#This Row],[Fornecedor]],Tabela2[],2,FALSE),"")</f>
        <v>SERVIÇOS FRETE</v>
      </c>
      <c r="J2325" s="77" t="str">
        <f>IFERROR(VLOOKUP(DESPESAS[[#This Row],[Plano de Contas]],BASE!$B$3:$F$119,4,FALSE),"")</f>
        <v>1 - CPV</v>
      </c>
      <c r="K2325" s="77" t="str">
        <f>IFERROR(VLOOKUP(DESPESAS[[#This Row],[Plano de Contas]],BASE!$B$3:$H$119,5,FALSE),"")</f>
        <v>COMPRAS</v>
      </c>
      <c r="L2325" s="77">
        <f>IFERROR(VLOOKUP(DESPESAS[[#This Row],[Plano de Contas]],BASE!$B$3:$H$119,6,FALSE),"")</f>
        <v>0</v>
      </c>
      <c r="M2325" s="77" t="str">
        <f>VLOOKUP(DESPESAS[[#This Row],[Plano de Contas]],BASE!$B$3:$H$119,7,FALSE)</f>
        <v>MYLENA</v>
      </c>
    </row>
    <row r="2326" spans="1:13" x14ac:dyDescent="0.25">
      <c r="A2326" s="74">
        <v>199181</v>
      </c>
      <c r="B2326" s="75" t="s">
        <v>221</v>
      </c>
      <c r="C2326" s="75" t="s">
        <v>1617</v>
      </c>
      <c r="D2326" s="76">
        <v>46090</v>
      </c>
      <c r="E2326" s="75" t="s">
        <v>752</v>
      </c>
      <c r="F2326" s="74">
        <v>5051.6000000000004</v>
      </c>
      <c r="G2326" s="75" t="s">
        <v>751</v>
      </c>
      <c r="H2326" s="77" t="str">
        <f>VLOOKUP(DESPESAS[[#This Row],[Plano de Contas]],BASE!$B$3:$D$119,3,FALSE)</f>
        <v>Comissões sobre Vendas Interno</v>
      </c>
      <c r="I2326" s="77" t="str">
        <f>IFERROR(VLOOKUP(DESPESAS[[#This Row],[Fornecedor]],Tabela2[],2,FALSE),"")</f>
        <v/>
      </c>
      <c r="J2326" s="77" t="str">
        <f>IFERROR(VLOOKUP(DESPESAS[[#This Row],[Plano de Contas]],BASE!$B$3:$F$119,4,FALSE),"")</f>
        <v>6 - DESPESA COM VENDAS</v>
      </c>
      <c r="K2326" s="77" t="str">
        <f>IFERROR(VLOOKUP(DESPESAS[[#This Row],[Plano de Contas]],BASE!$B$3:$H$119,5,FALSE),"")</f>
        <v>COMERCIAL</v>
      </c>
      <c r="L2326" s="77">
        <f>IFERROR(VLOOKUP(DESPESAS[[#This Row],[Plano de Contas]],BASE!$B$3:$H$119,6,FALSE),"")</f>
        <v>0</v>
      </c>
      <c r="M2326" s="77" t="str">
        <f>VLOOKUP(DESPESAS[[#This Row],[Plano de Contas]],BASE!$B$3:$H$119,7,FALSE)</f>
        <v>LETÍCIA</v>
      </c>
    </row>
    <row r="2327" spans="1:13" x14ac:dyDescent="0.25">
      <c r="A2327" s="74">
        <v>199183</v>
      </c>
      <c r="B2327" s="75" t="s">
        <v>232</v>
      </c>
      <c r="C2327" s="75" t="s">
        <v>1616</v>
      </c>
      <c r="D2327" s="76">
        <v>46090</v>
      </c>
      <c r="E2327" s="75" t="s">
        <v>327</v>
      </c>
      <c r="F2327" s="74">
        <v>488.25</v>
      </c>
      <c r="G2327" s="75" t="s">
        <v>326</v>
      </c>
      <c r="H2327" s="77" t="str">
        <f>VLOOKUP(DESPESAS[[#This Row],[Plano de Contas]],BASE!$B$3:$D$119,3,FALSE)</f>
        <v>Frete sobre Compras</v>
      </c>
      <c r="I2327" s="77" t="str">
        <f>IFERROR(VLOOKUP(DESPESAS[[#This Row],[Fornecedor]],Tabela2[],2,FALSE),"")</f>
        <v>SERVIÇOS FRETE</v>
      </c>
      <c r="J2327" s="77" t="str">
        <f>IFERROR(VLOOKUP(DESPESAS[[#This Row],[Plano de Contas]],BASE!$B$3:$F$119,4,FALSE),"")</f>
        <v>1 - CPV</v>
      </c>
      <c r="K2327" s="77" t="str">
        <f>IFERROR(VLOOKUP(DESPESAS[[#This Row],[Plano de Contas]],BASE!$B$3:$H$119,5,FALSE),"")</f>
        <v>COMPRAS</v>
      </c>
      <c r="L2327" s="77">
        <f>IFERROR(VLOOKUP(DESPESAS[[#This Row],[Plano de Contas]],BASE!$B$3:$H$119,6,FALSE),"")</f>
        <v>0</v>
      </c>
      <c r="M2327" s="77" t="str">
        <f>VLOOKUP(DESPESAS[[#This Row],[Plano de Contas]],BASE!$B$3:$H$119,7,FALSE)</f>
        <v>MYLENA</v>
      </c>
    </row>
    <row r="2328" spans="1:13" x14ac:dyDescent="0.25">
      <c r="A2328" s="74">
        <v>199185</v>
      </c>
      <c r="B2328" s="75" t="s">
        <v>221</v>
      </c>
      <c r="C2328" s="75" t="s">
        <v>1615</v>
      </c>
      <c r="D2328" s="76">
        <v>46090</v>
      </c>
      <c r="E2328" s="75" t="s">
        <v>239</v>
      </c>
      <c r="F2328" s="74">
        <v>2533.46</v>
      </c>
      <c r="G2328" s="75" t="s">
        <v>238</v>
      </c>
      <c r="H2328" s="77" t="str">
        <f>VLOOKUP(DESPESAS[[#This Row],[Plano de Contas]],BASE!$B$3:$D$119,3,FALSE)</f>
        <v>Consultoria Comercial</v>
      </c>
      <c r="I2328" s="77" t="str">
        <f>IFERROR(VLOOKUP(DESPESAS[[#This Row],[Fornecedor]],Tabela2[],2,FALSE),"")</f>
        <v/>
      </c>
      <c r="J2328" s="77" t="str">
        <f>IFERROR(VLOOKUP(DESPESAS[[#This Row],[Plano de Contas]],BASE!$B$3:$F$119,4,FALSE),"")</f>
        <v>6 - DESPESA COM VENDAS</v>
      </c>
      <c r="K2328" s="77" t="str">
        <f>IFERROR(VLOOKUP(DESPESAS[[#This Row],[Plano de Contas]],BASE!$B$3:$H$119,5,FALSE),"")</f>
        <v>COMERCIAL</v>
      </c>
      <c r="L2328" s="77">
        <f>IFERROR(VLOOKUP(DESPESAS[[#This Row],[Plano de Contas]],BASE!$B$3:$H$119,6,FALSE),"")</f>
        <v>0</v>
      </c>
      <c r="M2328" s="77" t="str">
        <f>VLOOKUP(DESPESAS[[#This Row],[Plano de Contas]],BASE!$B$3:$H$119,7,FALSE)</f>
        <v>LETÍCIA</v>
      </c>
    </row>
    <row r="2329" spans="1:13" x14ac:dyDescent="0.25">
      <c r="A2329" s="74">
        <v>199186</v>
      </c>
      <c r="B2329" s="75" t="s">
        <v>232</v>
      </c>
      <c r="C2329" s="75" t="s">
        <v>1614</v>
      </c>
      <c r="D2329" s="76">
        <v>46090</v>
      </c>
      <c r="E2329" s="75" t="s">
        <v>409</v>
      </c>
      <c r="F2329" s="74">
        <v>110.34</v>
      </c>
      <c r="G2329" s="75" t="s">
        <v>326</v>
      </c>
      <c r="H2329" s="77" t="str">
        <f>VLOOKUP(DESPESAS[[#This Row],[Plano de Contas]],BASE!$B$3:$D$119,3,FALSE)</f>
        <v>Frete sobre Compras</v>
      </c>
      <c r="I2329" s="77" t="str">
        <f>IFERROR(VLOOKUP(DESPESAS[[#This Row],[Fornecedor]],Tabela2[],2,FALSE),"")</f>
        <v>SERVIÇOS FRETE</v>
      </c>
      <c r="J2329" s="77" t="str">
        <f>IFERROR(VLOOKUP(DESPESAS[[#This Row],[Plano de Contas]],BASE!$B$3:$F$119,4,FALSE),"")</f>
        <v>1 - CPV</v>
      </c>
      <c r="K2329" s="77" t="str">
        <f>IFERROR(VLOOKUP(DESPESAS[[#This Row],[Plano de Contas]],BASE!$B$3:$H$119,5,FALSE),"")</f>
        <v>COMPRAS</v>
      </c>
      <c r="L2329" s="77">
        <f>IFERROR(VLOOKUP(DESPESAS[[#This Row],[Plano de Contas]],BASE!$B$3:$H$119,6,FALSE),"")</f>
        <v>0</v>
      </c>
      <c r="M2329" s="77" t="str">
        <f>VLOOKUP(DESPESAS[[#This Row],[Plano de Contas]],BASE!$B$3:$H$119,7,FALSE)</f>
        <v>MYLENA</v>
      </c>
    </row>
    <row r="2330" spans="1:13" x14ac:dyDescent="0.25">
      <c r="A2330" s="74">
        <v>199187</v>
      </c>
      <c r="B2330" s="75" t="s">
        <v>232</v>
      </c>
      <c r="C2330" s="75" t="s">
        <v>1613</v>
      </c>
      <c r="D2330" s="76">
        <v>46090</v>
      </c>
      <c r="E2330" s="75" t="s">
        <v>409</v>
      </c>
      <c r="F2330" s="74">
        <v>115.06</v>
      </c>
      <c r="G2330" s="75" t="s">
        <v>326</v>
      </c>
      <c r="H2330" s="77" t="str">
        <f>VLOOKUP(DESPESAS[[#This Row],[Plano de Contas]],BASE!$B$3:$D$119,3,FALSE)</f>
        <v>Frete sobre Compras</v>
      </c>
      <c r="I2330" s="77" t="str">
        <f>IFERROR(VLOOKUP(DESPESAS[[#This Row],[Fornecedor]],Tabela2[],2,FALSE),"")</f>
        <v>SERVIÇOS FRETE</v>
      </c>
      <c r="J2330" s="77" t="str">
        <f>IFERROR(VLOOKUP(DESPESAS[[#This Row],[Plano de Contas]],BASE!$B$3:$F$119,4,FALSE),"")</f>
        <v>1 - CPV</v>
      </c>
      <c r="K2330" s="77" t="str">
        <f>IFERROR(VLOOKUP(DESPESAS[[#This Row],[Plano de Contas]],BASE!$B$3:$H$119,5,FALSE),"")</f>
        <v>COMPRAS</v>
      </c>
      <c r="L2330" s="77">
        <f>IFERROR(VLOOKUP(DESPESAS[[#This Row],[Plano de Contas]],BASE!$B$3:$H$119,6,FALSE),"")</f>
        <v>0</v>
      </c>
      <c r="M2330" s="77" t="str">
        <f>VLOOKUP(DESPESAS[[#This Row],[Plano de Contas]],BASE!$B$3:$H$119,7,FALSE)</f>
        <v>MYLENA</v>
      </c>
    </row>
    <row r="2331" spans="1:13" x14ac:dyDescent="0.25">
      <c r="A2331" s="74">
        <v>199188</v>
      </c>
      <c r="B2331" s="75" t="s">
        <v>232</v>
      </c>
      <c r="C2331" s="75" t="s">
        <v>1612</v>
      </c>
      <c r="D2331" s="76">
        <v>46090</v>
      </c>
      <c r="E2331" s="75" t="s">
        <v>409</v>
      </c>
      <c r="F2331" s="74">
        <v>143.63999999999999</v>
      </c>
      <c r="G2331" s="75" t="s">
        <v>326</v>
      </c>
      <c r="H2331" s="77" t="str">
        <f>VLOOKUP(DESPESAS[[#This Row],[Plano de Contas]],BASE!$B$3:$D$119,3,FALSE)</f>
        <v>Frete sobre Compras</v>
      </c>
      <c r="I2331" s="77" t="str">
        <f>IFERROR(VLOOKUP(DESPESAS[[#This Row],[Fornecedor]],Tabela2[],2,FALSE),"")</f>
        <v>SERVIÇOS FRETE</v>
      </c>
      <c r="J2331" s="77" t="str">
        <f>IFERROR(VLOOKUP(DESPESAS[[#This Row],[Plano de Contas]],BASE!$B$3:$F$119,4,FALSE),"")</f>
        <v>1 - CPV</v>
      </c>
      <c r="K2331" s="77" t="str">
        <f>IFERROR(VLOOKUP(DESPESAS[[#This Row],[Plano de Contas]],BASE!$B$3:$H$119,5,FALSE),"")</f>
        <v>COMPRAS</v>
      </c>
      <c r="L2331" s="77">
        <f>IFERROR(VLOOKUP(DESPESAS[[#This Row],[Plano de Contas]],BASE!$B$3:$H$119,6,FALSE),"")</f>
        <v>0</v>
      </c>
      <c r="M2331" s="77" t="str">
        <f>VLOOKUP(DESPESAS[[#This Row],[Plano de Contas]],BASE!$B$3:$H$119,7,FALSE)</f>
        <v>MYLENA</v>
      </c>
    </row>
    <row r="2332" spans="1:13" x14ac:dyDescent="0.25">
      <c r="A2332" s="74">
        <v>199189</v>
      </c>
      <c r="B2332" s="75" t="s">
        <v>232</v>
      </c>
      <c r="C2332" s="75" t="s">
        <v>1611</v>
      </c>
      <c r="D2332" s="76">
        <v>46081</v>
      </c>
      <c r="E2332" s="75" t="s">
        <v>831</v>
      </c>
      <c r="F2332" s="74">
        <v>18493.240000000002</v>
      </c>
      <c r="G2332" s="75" t="s">
        <v>830</v>
      </c>
      <c r="H2332" s="77" t="str">
        <f>VLOOKUP(DESPESAS[[#This Row],[Plano de Contas]],BASE!$B$3:$D$119,3,FALSE)</f>
        <v>ICMS</v>
      </c>
      <c r="I2332" s="77" t="str">
        <f>IFERROR(VLOOKUP(DESPESAS[[#This Row],[Fornecedor]],Tabela2[],2,FALSE),"")</f>
        <v/>
      </c>
      <c r="J2332" s="77" t="str">
        <f>IFERROR(VLOOKUP(DESPESAS[[#This Row],[Plano de Contas]],BASE!$B$3:$F$119,4,FALSE),"")</f>
        <v>0 - TRIBUTOS</v>
      </c>
      <c r="K2332" s="77" t="str">
        <f>IFERROR(VLOOKUP(DESPESAS[[#This Row],[Plano de Contas]],BASE!$B$3:$H$119,5,FALSE),"")</f>
        <v>FINANCEIRO</v>
      </c>
      <c r="L2332" s="77">
        <f>IFERROR(VLOOKUP(DESPESAS[[#This Row],[Plano de Contas]],BASE!$B$3:$H$119,6,FALSE),"")</f>
        <v>0</v>
      </c>
      <c r="M2332" s="77" t="str">
        <f>VLOOKUP(DESPESAS[[#This Row],[Plano de Contas]],BASE!$B$3:$H$119,7,FALSE)</f>
        <v>LETÍCIA</v>
      </c>
    </row>
    <row r="2333" spans="1:13" x14ac:dyDescent="0.25">
      <c r="A2333" s="74">
        <v>199190</v>
      </c>
      <c r="B2333" s="75" t="s">
        <v>232</v>
      </c>
      <c r="C2333" s="75" t="s">
        <v>1610</v>
      </c>
      <c r="D2333" s="76">
        <v>46081</v>
      </c>
      <c r="E2333" s="75" t="s">
        <v>825</v>
      </c>
      <c r="F2333" s="74">
        <v>14761.73</v>
      </c>
      <c r="G2333" s="75" t="s">
        <v>834</v>
      </c>
      <c r="H2333" s="77" t="str">
        <f>VLOOKUP(DESPESAS[[#This Row],[Plano de Contas]],BASE!$B$3:$D$119,3,FALSE)</f>
        <v>IPI</v>
      </c>
      <c r="I2333" s="77" t="str">
        <f>IFERROR(VLOOKUP(DESPESAS[[#This Row],[Fornecedor]],Tabela2[],2,FALSE),"")</f>
        <v/>
      </c>
      <c r="J2333" s="77" t="str">
        <f>IFERROR(VLOOKUP(DESPESAS[[#This Row],[Plano de Contas]],BASE!$B$3:$F$119,4,FALSE),"")</f>
        <v>0 - TRIBUTOS</v>
      </c>
      <c r="K2333" s="77" t="str">
        <f>IFERROR(VLOOKUP(DESPESAS[[#This Row],[Plano de Contas]],BASE!$B$3:$H$119,5,FALSE),"")</f>
        <v>FINANCEIRO</v>
      </c>
      <c r="L2333" s="77">
        <f>IFERROR(VLOOKUP(DESPESAS[[#This Row],[Plano de Contas]],BASE!$B$3:$H$119,6,FALSE),"")</f>
        <v>0</v>
      </c>
      <c r="M2333" s="77" t="str">
        <f>VLOOKUP(DESPESAS[[#This Row],[Plano de Contas]],BASE!$B$3:$H$119,7,FALSE)</f>
        <v>LETÍCIA</v>
      </c>
    </row>
    <row r="2334" spans="1:13" x14ac:dyDescent="0.25">
      <c r="A2334" s="74">
        <v>199191</v>
      </c>
      <c r="B2334" s="75" t="s">
        <v>232</v>
      </c>
      <c r="C2334" s="75" t="s">
        <v>1609</v>
      </c>
      <c r="D2334" s="76">
        <v>46081</v>
      </c>
      <c r="E2334" s="75" t="s">
        <v>825</v>
      </c>
      <c r="F2334" s="74">
        <v>496.96</v>
      </c>
      <c r="G2334" s="75" t="s">
        <v>836</v>
      </c>
      <c r="H2334" s="77" t="str">
        <f>VLOOKUP(DESPESAS[[#This Row],[Plano de Contas]],BASE!$B$3:$D$119,3,FALSE)</f>
        <v>PIS</v>
      </c>
      <c r="I2334" s="77" t="str">
        <f>IFERROR(VLOOKUP(DESPESAS[[#This Row],[Fornecedor]],Tabela2[],2,FALSE),"")</f>
        <v/>
      </c>
      <c r="J2334" s="77" t="str">
        <f>IFERROR(VLOOKUP(DESPESAS[[#This Row],[Plano de Contas]],BASE!$B$3:$F$119,4,FALSE),"")</f>
        <v>0 - TRIBUTOS</v>
      </c>
      <c r="K2334" s="77" t="str">
        <f>IFERROR(VLOOKUP(DESPESAS[[#This Row],[Plano de Contas]],BASE!$B$3:$H$119,5,FALSE),"")</f>
        <v>FINANCEIRO</v>
      </c>
      <c r="L2334" s="77">
        <f>IFERROR(VLOOKUP(DESPESAS[[#This Row],[Plano de Contas]],BASE!$B$3:$H$119,6,FALSE),"")</f>
        <v>0</v>
      </c>
      <c r="M2334" s="77" t="str">
        <f>VLOOKUP(DESPESAS[[#This Row],[Plano de Contas]],BASE!$B$3:$H$119,7,FALSE)</f>
        <v>LETÍCIA</v>
      </c>
    </row>
    <row r="2335" spans="1:13" x14ac:dyDescent="0.25">
      <c r="A2335" s="74">
        <v>199192</v>
      </c>
      <c r="B2335" s="75" t="s">
        <v>232</v>
      </c>
      <c r="C2335" s="75" t="s">
        <v>1608</v>
      </c>
      <c r="D2335" s="76">
        <v>46081</v>
      </c>
      <c r="E2335" s="75" t="s">
        <v>825</v>
      </c>
      <c r="F2335" s="74">
        <v>2460.61</v>
      </c>
      <c r="G2335" s="75" t="s">
        <v>839</v>
      </c>
      <c r="H2335" s="77" t="str">
        <f>VLOOKUP(DESPESAS[[#This Row],[Plano de Contas]],BASE!$B$3:$D$119,3,FALSE)</f>
        <v>COFINS</v>
      </c>
      <c r="I2335" s="77" t="str">
        <f>IFERROR(VLOOKUP(DESPESAS[[#This Row],[Fornecedor]],Tabela2[],2,FALSE),"")</f>
        <v/>
      </c>
      <c r="J2335" s="77" t="str">
        <f>IFERROR(VLOOKUP(DESPESAS[[#This Row],[Plano de Contas]],BASE!$B$3:$F$119,4,FALSE),"")</f>
        <v>0 - TRIBUTOS</v>
      </c>
      <c r="K2335" s="77" t="str">
        <f>IFERROR(VLOOKUP(DESPESAS[[#This Row],[Plano de Contas]],BASE!$B$3:$H$119,5,FALSE),"")</f>
        <v>FINANCEIRO</v>
      </c>
      <c r="L2335" s="77">
        <f>IFERROR(VLOOKUP(DESPESAS[[#This Row],[Plano de Contas]],BASE!$B$3:$H$119,6,FALSE),"")</f>
        <v>0</v>
      </c>
      <c r="M2335" s="77" t="str">
        <f>VLOOKUP(DESPESAS[[#This Row],[Plano de Contas]],BASE!$B$3:$H$119,7,FALSE)</f>
        <v>LETÍCIA</v>
      </c>
    </row>
    <row r="2336" spans="1:13" x14ac:dyDescent="0.25">
      <c r="A2336" s="74">
        <v>199193</v>
      </c>
      <c r="B2336" s="75" t="s">
        <v>232</v>
      </c>
      <c r="C2336" s="75" t="s">
        <v>1605</v>
      </c>
      <c r="D2336" s="76">
        <v>46081</v>
      </c>
      <c r="E2336" s="75" t="s">
        <v>825</v>
      </c>
      <c r="F2336" s="74">
        <v>1480.09</v>
      </c>
      <c r="G2336" s="75" t="s">
        <v>824</v>
      </c>
      <c r="H2336" s="77" t="str">
        <f>VLOOKUP(DESPESAS[[#This Row],[Plano de Contas]],BASE!$B$3:$D$119,3,FALSE)</f>
        <v>Outros Impostos</v>
      </c>
      <c r="I2336" s="77" t="str">
        <f>IFERROR(VLOOKUP(DESPESAS[[#This Row],[Fornecedor]],Tabela2[],2,FALSE),"")</f>
        <v/>
      </c>
      <c r="J2336" s="77" t="str">
        <f>IFERROR(VLOOKUP(DESPESAS[[#This Row],[Plano de Contas]],BASE!$B$3:$F$119,4,FALSE),"")</f>
        <v>0 - TRIBUTOS</v>
      </c>
      <c r="K2336" s="77" t="str">
        <f>IFERROR(VLOOKUP(DESPESAS[[#This Row],[Plano de Contas]],BASE!$B$3:$H$119,5,FALSE),"")</f>
        <v>FINANCEIRO</v>
      </c>
      <c r="L2336" s="77">
        <f>IFERROR(VLOOKUP(DESPESAS[[#This Row],[Plano de Contas]],BASE!$B$3:$H$119,6,FALSE),"")</f>
        <v>0</v>
      </c>
      <c r="M2336" s="77" t="str">
        <f>VLOOKUP(DESPESAS[[#This Row],[Plano de Contas]],BASE!$B$3:$H$119,7,FALSE)</f>
        <v>LETÍCIA</v>
      </c>
    </row>
    <row r="2337" spans="1:13" x14ac:dyDescent="0.25">
      <c r="A2337" s="74">
        <v>199194</v>
      </c>
      <c r="B2337" s="75" t="s">
        <v>281</v>
      </c>
      <c r="C2337" s="75" t="s">
        <v>1606</v>
      </c>
      <c r="D2337" s="76">
        <v>46081</v>
      </c>
      <c r="E2337" s="75" t="s">
        <v>828</v>
      </c>
      <c r="F2337" s="74">
        <v>31013.35</v>
      </c>
      <c r="G2337" s="75" t="s">
        <v>827</v>
      </c>
      <c r="H2337" s="77" t="str">
        <f>VLOOKUP(DESPESAS[[#This Row],[Plano de Contas]],BASE!$B$3:$D$119,3,FALSE)</f>
        <v>Simples Nacional</v>
      </c>
      <c r="I2337" s="77" t="str">
        <f>IFERROR(VLOOKUP(DESPESAS[[#This Row],[Fornecedor]],Tabela2[],2,FALSE),"")</f>
        <v/>
      </c>
      <c r="J2337" s="77" t="str">
        <f>IFERROR(VLOOKUP(DESPESAS[[#This Row],[Plano de Contas]],BASE!$B$3:$F$119,4,FALSE),"")</f>
        <v>0 - TRIBUTOS</v>
      </c>
      <c r="K2337" s="77" t="str">
        <f>IFERROR(VLOOKUP(DESPESAS[[#This Row],[Plano de Contas]],BASE!$B$3:$H$119,5,FALSE),"")</f>
        <v>FINANCEIRO</v>
      </c>
      <c r="L2337" s="77">
        <f>IFERROR(VLOOKUP(DESPESAS[[#This Row],[Plano de Contas]],BASE!$B$3:$H$119,6,FALSE),"")</f>
        <v>0</v>
      </c>
      <c r="M2337" s="77" t="str">
        <f>VLOOKUP(DESPESAS[[#This Row],[Plano de Contas]],BASE!$B$3:$H$119,7,FALSE)</f>
        <v>LETÍCIA</v>
      </c>
    </row>
    <row r="2338" spans="1:13" x14ac:dyDescent="0.25">
      <c r="A2338" s="74">
        <v>199195</v>
      </c>
      <c r="B2338" s="75" t="s">
        <v>281</v>
      </c>
      <c r="C2338" s="75" t="s">
        <v>1607</v>
      </c>
      <c r="D2338" s="76">
        <v>46081</v>
      </c>
      <c r="E2338" s="75" t="s">
        <v>831</v>
      </c>
      <c r="F2338" s="74">
        <v>482.08</v>
      </c>
      <c r="G2338" s="75" t="s">
        <v>830</v>
      </c>
      <c r="H2338" s="77" t="str">
        <f>VLOOKUP(DESPESAS[[#This Row],[Plano de Contas]],BASE!$B$3:$D$119,3,FALSE)</f>
        <v>ICMS</v>
      </c>
      <c r="I2338" s="77" t="str">
        <f>IFERROR(VLOOKUP(DESPESAS[[#This Row],[Fornecedor]],Tabela2[],2,FALSE),"")</f>
        <v/>
      </c>
      <c r="J2338" s="77" t="str">
        <f>IFERROR(VLOOKUP(DESPESAS[[#This Row],[Plano de Contas]],BASE!$B$3:$F$119,4,FALSE),"")</f>
        <v>0 - TRIBUTOS</v>
      </c>
      <c r="K2338" s="77" t="str">
        <f>IFERROR(VLOOKUP(DESPESAS[[#This Row],[Plano de Contas]],BASE!$B$3:$H$119,5,FALSE),"")</f>
        <v>FINANCEIRO</v>
      </c>
      <c r="L2338" s="77">
        <f>IFERROR(VLOOKUP(DESPESAS[[#This Row],[Plano de Contas]],BASE!$B$3:$H$119,6,FALSE),"")</f>
        <v>0</v>
      </c>
      <c r="M2338" s="77" t="str">
        <f>VLOOKUP(DESPESAS[[#This Row],[Plano de Contas]],BASE!$B$3:$H$119,7,FALSE)</f>
        <v>LETÍCIA</v>
      </c>
    </row>
    <row r="2339" spans="1:13" x14ac:dyDescent="0.25">
      <c r="A2339" s="74">
        <v>199196</v>
      </c>
      <c r="B2339" s="75" t="s">
        <v>279</v>
      </c>
      <c r="C2339" s="75" t="s">
        <v>1606</v>
      </c>
      <c r="D2339" s="76">
        <v>46081</v>
      </c>
      <c r="E2339" s="75" t="s">
        <v>828</v>
      </c>
      <c r="F2339" s="74">
        <v>40706.410000000003</v>
      </c>
      <c r="G2339" s="75" t="s">
        <v>827</v>
      </c>
      <c r="H2339" s="77" t="str">
        <f>VLOOKUP(DESPESAS[[#This Row],[Plano de Contas]],BASE!$B$3:$D$119,3,FALSE)</f>
        <v>Simples Nacional</v>
      </c>
      <c r="I2339" s="77" t="str">
        <f>IFERROR(VLOOKUP(DESPESAS[[#This Row],[Fornecedor]],Tabela2[],2,FALSE),"")</f>
        <v/>
      </c>
      <c r="J2339" s="77" t="str">
        <f>IFERROR(VLOOKUP(DESPESAS[[#This Row],[Plano de Contas]],BASE!$B$3:$F$119,4,FALSE),"")</f>
        <v>0 - TRIBUTOS</v>
      </c>
      <c r="K2339" s="77" t="str">
        <f>IFERROR(VLOOKUP(DESPESAS[[#This Row],[Plano de Contas]],BASE!$B$3:$H$119,5,FALSE),"")</f>
        <v>FINANCEIRO</v>
      </c>
      <c r="L2339" s="77">
        <f>IFERROR(VLOOKUP(DESPESAS[[#This Row],[Plano de Contas]],BASE!$B$3:$H$119,6,FALSE),"")</f>
        <v>0</v>
      </c>
      <c r="M2339" s="77" t="str">
        <f>VLOOKUP(DESPESAS[[#This Row],[Plano de Contas]],BASE!$B$3:$H$119,7,FALSE)</f>
        <v>LETÍCIA</v>
      </c>
    </row>
    <row r="2340" spans="1:13" x14ac:dyDescent="0.25">
      <c r="A2340" s="74">
        <v>199197</v>
      </c>
      <c r="B2340" s="75" t="s">
        <v>279</v>
      </c>
      <c r="C2340" s="75" t="s">
        <v>1605</v>
      </c>
      <c r="D2340" s="76">
        <v>46081</v>
      </c>
      <c r="E2340" s="75" t="s">
        <v>825</v>
      </c>
      <c r="F2340" s="74">
        <v>10</v>
      </c>
      <c r="G2340" s="75" t="s">
        <v>824</v>
      </c>
      <c r="H2340" s="77" t="str">
        <f>VLOOKUP(DESPESAS[[#This Row],[Plano de Contas]],BASE!$B$3:$D$119,3,FALSE)</f>
        <v>Outros Impostos</v>
      </c>
      <c r="I2340" s="77" t="str">
        <f>IFERROR(VLOOKUP(DESPESAS[[#This Row],[Fornecedor]],Tabela2[],2,FALSE),"")</f>
        <v/>
      </c>
      <c r="J2340" s="77" t="str">
        <f>IFERROR(VLOOKUP(DESPESAS[[#This Row],[Plano de Contas]],BASE!$B$3:$F$119,4,FALSE),"")</f>
        <v>0 - TRIBUTOS</v>
      </c>
      <c r="K2340" s="77" t="str">
        <f>IFERROR(VLOOKUP(DESPESAS[[#This Row],[Plano de Contas]],BASE!$B$3:$H$119,5,FALSE),"")</f>
        <v>FINANCEIRO</v>
      </c>
      <c r="L2340" s="77">
        <f>IFERROR(VLOOKUP(DESPESAS[[#This Row],[Plano de Contas]],BASE!$B$3:$H$119,6,FALSE),"")</f>
        <v>0</v>
      </c>
      <c r="M2340" s="77" t="str">
        <f>VLOOKUP(DESPESAS[[#This Row],[Plano de Contas]],BASE!$B$3:$H$119,7,FALSE)</f>
        <v>LETÍCIA</v>
      </c>
    </row>
    <row r="2341" spans="1:13" x14ac:dyDescent="0.25">
      <c r="A2341" s="74">
        <v>199198</v>
      </c>
      <c r="B2341" s="75" t="s">
        <v>232</v>
      </c>
      <c r="C2341" s="75" t="s">
        <v>1604</v>
      </c>
      <c r="D2341" s="76">
        <v>46090</v>
      </c>
      <c r="E2341" s="75" t="s">
        <v>1076</v>
      </c>
      <c r="F2341" s="74">
        <v>136.35</v>
      </c>
      <c r="G2341" s="75" t="s">
        <v>1075</v>
      </c>
      <c r="H2341" s="77" t="str">
        <f>VLOOKUP(DESPESAS[[#This Row],[Plano de Contas]],BASE!$B$3:$D$119,3,FALSE)</f>
        <v>Fretes Ass. Técnica</v>
      </c>
      <c r="I2341" s="77" t="str">
        <f>IFERROR(VLOOKUP(DESPESAS[[#This Row],[Fornecedor]],Tabela2[],2,FALSE),"")</f>
        <v/>
      </c>
      <c r="J2341" s="77" t="str">
        <f>IFERROR(VLOOKUP(DESPESAS[[#This Row],[Plano de Contas]],BASE!$B$3:$F$119,4,FALSE),"")</f>
        <v>6 - DESPESA COM VENDAS</v>
      </c>
      <c r="K2341" s="77" t="str">
        <f>IFERROR(VLOOKUP(DESPESAS[[#This Row],[Plano de Contas]],BASE!$B$3:$H$119,5,FALSE),"")</f>
        <v>LOGÍSTICA</v>
      </c>
      <c r="L2341" s="77">
        <f>IFERROR(VLOOKUP(DESPESAS[[#This Row],[Plano de Contas]],BASE!$B$3:$H$119,6,FALSE),"")</f>
        <v>0</v>
      </c>
      <c r="M2341" s="77" t="str">
        <f>VLOOKUP(DESPESAS[[#This Row],[Plano de Contas]],BASE!$B$3:$H$119,7,FALSE)</f>
        <v>MYLENA</v>
      </c>
    </row>
    <row r="2342" spans="1:13" x14ac:dyDescent="0.25">
      <c r="A2342" s="74">
        <v>199200</v>
      </c>
      <c r="B2342" s="75" t="s">
        <v>232</v>
      </c>
      <c r="C2342" s="75" t="s">
        <v>1603</v>
      </c>
      <c r="D2342" s="76">
        <v>46083</v>
      </c>
      <c r="E2342" s="75" t="s">
        <v>1602</v>
      </c>
      <c r="F2342" s="74">
        <v>1198</v>
      </c>
      <c r="G2342" s="75" t="s">
        <v>241</v>
      </c>
      <c r="H2342" s="77" t="str">
        <f>VLOOKUP(DESPESAS[[#This Row],[Plano de Contas]],BASE!$B$3:$D$119,3,FALSE)</f>
        <v>Combustiveis Frota</v>
      </c>
      <c r="I2342" s="77" t="str">
        <f>IFERROR(VLOOKUP(DESPESAS[[#This Row],[Fornecedor]],Tabela2[],2,FALSE),"")</f>
        <v/>
      </c>
      <c r="J2342" s="77" t="str">
        <f>IFERROR(VLOOKUP(DESPESAS[[#This Row],[Plano de Contas]],BASE!$B$3:$F$119,4,FALSE),"")</f>
        <v>6 - DESPESA COM VENDAS</v>
      </c>
      <c r="K2342" s="77" t="str">
        <f>IFERROR(VLOOKUP(DESPESAS[[#This Row],[Plano de Contas]],BASE!$B$3:$H$119,5,FALSE),"")</f>
        <v>LOGÍSTICA</v>
      </c>
      <c r="L2342" s="77">
        <f>IFERROR(VLOOKUP(DESPESAS[[#This Row],[Plano de Contas]],BASE!$B$3:$H$119,6,FALSE),"")</f>
        <v>0</v>
      </c>
      <c r="M2342" s="77" t="str">
        <f>VLOOKUP(DESPESAS[[#This Row],[Plano de Contas]],BASE!$B$3:$H$119,7,FALSE)</f>
        <v>MYLENA</v>
      </c>
    </row>
    <row r="2343" spans="1:13" x14ac:dyDescent="0.25">
      <c r="A2343" s="74">
        <v>199201</v>
      </c>
      <c r="B2343" s="75" t="s">
        <v>232</v>
      </c>
      <c r="C2343" s="75" t="s">
        <v>1601</v>
      </c>
      <c r="D2343" s="76">
        <v>46084</v>
      </c>
      <c r="E2343" s="75" t="s">
        <v>1600</v>
      </c>
      <c r="F2343" s="74">
        <v>1152</v>
      </c>
      <c r="G2343" s="75" t="s">
        <v>241</v>
      </c>
      <c r="H2343" s="77" t="str">
        <f>VLOOKUP(DESPESAS[[#This Row],[Plano de Contas]],BASE!$B$3:$D$119,3,FALSE)</f>
        <v>Combustiveis Frota</v>
      </c>
      <c r="I2343" s="77" t="str">
        <f>IFERROR(VLOOKUP(DESPESAS[[#This Row],[Fornecedor]],Tabela2[],2,FALSE),"")</f>
        <v/>
      </c>
      <c r="J2343" s="77" t="str">
        <f>IFERROR(VLOOKUP(DESPESAS[[#This Row],[Plano de Contas]],BASE!$B$3:$F$119,4,FALSE),"")</f>
        <v>6 - DESPESA COM VENDAS</v>
      </c>
      <c r="K2343" s="77" t="str">
        <f>IFERROR(VLOOKUP(DESPESAS[[#This Row],[Plano de Contas]],BASE!$B$3:$H$119,5,FALSE),"")</f>
        <v>LOGÍSTICA</v>
      </c>
      <c r="L2343" s="77">
        <f>IFERROR(VLOOKUP(DESPESAS[[#This Row],[Plano de Contas]],BASE!$B$3:$H$119,6,FALSE),"")</f>
        <v>0</v>
      </c>
      <c r="M2343" s="77" t="str">
        <f>VLOOKUP(DESPESAS[[#This Row],[Plano de Contas]],BASE!$B$3:$H$119,7,FALSE)</f>
        <v>MYLENA</v>
      </c>
    </row>
    <row r="2344" spans="1:13" x14ac:dyDescent="0.25">
      <c r="A2344" s="74">
        <v>199202</v>
      </c>
      <c r="B2344" s="75" t="s">
        <v>221</v>
      </c>
      <c r="C2344" s="75" t="s">
        <v>1346</v>
      </c>
      <c r="D2344" s="76">
        <v>46090</v>
      </c>
      <c r="E2344" s="75" t="s">
        <v>855</v>
      </c>
      <c r="F2344" s="74">
        <v>76</v>
      </c>
      <c r="G2344" s="75" t="s">
        <v>374</v>
      </c>
      <c r="H2344" s="77" t="str">
        <f>VLOOKUP(DESPESAS[[#This Row],[Plano de Contas]],BASE!$B$3:$D$119,3,FALSE)</f>
        <v>Consultoria Empresarial</v>
      </c>
      <c r="I2344" s="77" t="str">
        <f>IFERROR(VLOOKUP(DESPESAS[[#This Row],[Fornecedor]],Tabela2[],2,FALSE),"")</f>
        <v/>
      </c>
      <c r="J2344" s="77" t="str">
        <f>IFERROR(VLOOKUP(DESPESAS[[#This Row],[Plano de Contas]],BASE!$B$3:$F$119,4,FALSE),"")</f>
        <v>7 - SERVIÇOS DE TERCEIROS</v>
      </c>
      <c r="K2344" s="77" t="str">
        <f>IFERROR(VLOOKUP(DESPESAS[[#This Row],[Plano de Contas]],BASE!$B$3:$H$119,5,FALSE),"")</f>
        <v>FINANCEIRO</v>
      </c>
      <c r="L2344" s="77">
        <f>IFERROR(VLOOKUP(DESPESAS[[#This Row],[Plano de Contas]],BASE!$B$3:$H$119,6,FALSE),"")</f>
        <v>0</v>
      </c>
      <c r="M2344" s="77" t="str">
        <f>VLOOKUP(DESPESAS[[#This Row],[Plano de Contas]],BASE!$B$3:$H$119,7,FALSE)</f>
        <v>LETÍCIA</v>
      </c>
    </row>
    <row r="2345" spans="1:13" x14ac:dyDescent="0.25">
      <c r="A2345" s="74">
        <v>199203</v>
      </c>
      <c r="B2345" s="75" t="s">
        <v>232</v>
      </c>
      <c r="C2345" s="75" t="s">
        <v>1599</v>
      </c>
      <c r="D2345" s="76">
        <v>46087</v>
      </c>
      <c r="E2345" s="75" t="s">
        <v>1598</v>
      </c>
      <c r="F2345" s="74">
        <v>619</v>
      </c>
      <c r="G2345" s="75" t="s">
        <v>241</v>
      </c>
      <c r="H2345" s="77" t="str">
        <f>VLOOKUP(DESPESAS[[#This Row],[Plano de Contas]],BASE!$B$3:$D$119,3,FALSE)</f>
        <v>Combustiveis Frota</v>
      </c>
      <c r="I2345" s="77" t="str">
        <f>IFERROR(VLOOKUP(DESPESAS[[#This Row],[Fornecedor]],Tabela2[],2,FALSE),"")</f>
        <v/>
      </c>
      <c r="J2345" s="77" t="str">
        <f>IFERROR(VLOOKUP(DESPESAS[[#This Row],[Plano de Contas]],BASE!$B$3:$F$119,4,FALSE),"")</f>
        <v>6 - DESPESA COM VENDAS</v>
      </c>
      <c r="K2345" s="77" t="str">
        <f>IFERROR(VLOOKUP(DESPESAS[[#This Row],[Plano de Contas]],BASE!$B$3:$H$119,5,FALSE),"")</f>
        <v>LOGÍSTICA</v>
      </c>
      <c r="L2345" s="77">
        <f>IFERROR(VLOOKUP(DESPESAS[[#This Row],[Plano de Contas]],BASE!$B$3:$H$119,6,FALSE),"")</f>
        <v>0</v>
      </c>
      <c r="M2345" s="77" t="str">
        <f>VLOOKUP(DESPESAS[[#This Row],[Plano de Contas]],BASE!$B$3:$H$119,7,FALSE)</f>
        <v>MYLENA</v>
      </c>
    </row>
    <row r="2346" spans="1:13" x14ac:dyDescent="0.25">
      <c r="A2346" s="74">
        <v>199204</v>
      </c>
      <c r="B2346" s="75" t="s">
        <v>232</v>
      </c>
      <c r="C2346" s="75" t="s">
        <v>1597</v>
      </c>
      <c r="D2346" s="76">
        <v>46083</v>
      </c>
      <c r="E2346" s="75" t="s">
        <v>1595</v>
      </c>
      <c r="F2346" s="74">
        <v>58.18</v>
      </c>
      <c r="G2346" s="75" t="s">
        <v>241</v>
      </c>
      <c r="H2346" s="77" t="str">
        <f>VLOOKUP(DESPESAS[[#This Row],[Plano de Contas]],BASE!$B$3:$D$119,3,FALSE)</f>
        <v>Combustiveis Frota</v>
      </c>
      <c r="I2346" s="77" t="str">
        <f>IFERROR(VLOOKUP(DESPESAS[[#This Row],[Fornecedor]],Tabela2[],2,FALSE),"")</f>
        <v/>
      </c>
      <c r="J2346" s="77" t="str">
        <f>IFERROR(VLOOKUP(DESPESAS[[#This Row],[Plano de Contas]],BASE!$B$3:$F$119,4,FALSE),"")</f>
        <v>6 - DESPESA COM VENDAS</v>
      </c>
      <c r="K2346" s="77" t="str">
        <f>IFERROR(VLOOKUP(DESPESAS[[#This Row],[Plano de Contas]],BASE!$B$3:$H$119,5,FALSE),"")</f>
        <v>LOGÍSTICA</v>
      </c>
      <c r="L2346" s="77">
        <f>IFERROR(VLOOKUP(DESPESAS[[#This Row],[Plano de Contas]],BASE!$B$3:$H$119,6,FALSE),"")</f>
        <v>0</v>
      </c>
      <c r="M2346" s="77" t="str">
        <f>VLOOKUP(DESPESAS[[#This Row],[Plano de Contas]],BASE!$B$3:$H$119,7,FALSE)</f>
        <v>MYLENA</v>
      </c>
    </row>
    <row r="2347" spans="1:13" x14ac:dyDescent="0.25">
      <c r="A2347" s="74">
        <v>199205</v>
      </c>
      <c r="B2347" s="75" t="s">
        <v>232</v>
      </c>
      <c r="C2347" s="75" t="s">
        <v>1596</v>
      </c>
      <c r="D2347" s="76">
        <v>46083</v>
      </c>
      <c r="E2347" s="75" t="s">
        <v>1595</v>
      </c>
      <c r="F2347" s="74">
        <v>2124.8000000000002</v>
      </c>
      <c r="G2347" s="75" t="s">
        <v>241</v>
      </c>
      <c r="H2347" s="77" t="str">
        <f>VLOOKUP(DESPESAS[[#This Row],[Plano de Contas]],BASE!$B$3:$D$119,3,FALSE)</f>
        <v>Combustiveis Frota</v>
      </c>
      <c r="I2347" s="77" t="str">
        <f>IFERROR(VLOOKUP(DESPESAS[[#This Row],[Fornecedor]],Tabela2[],2,FALSE),"")</f>
        <v/>
      </c>
      <c r="J2347" s="77" t="str">
        <f>IFERROR(VLOOKUP(DESPESAS[[#This Row],[Plano de Contas]],BASE!$B$3:$F$119,4,FALSE),"")</f>
        <v>6 - DESPESA COM VENDAS</v>
      </c>
      <c r="K2347" s="77" t="str">
        <f>IFERROR(VLOOKUP(DESPESAS[[#This Row],[Plano de Contas]],BASE!$B$3:$H$119,5,FALSE),"")</f>
        <v>LOGÍSTICA</v>
      </c>
      <c r="L2347" s="77">
        <f>IFERROR(VLOOKUP(DESPESAS[[#This Row],[Plano de Contas]],BASE!$B$3:$H$119,6,FALSE),"")</f>
        <v>0</v>
      </c>
      <c r="M2347" s="77" t="str">
        <f>VLOOKUP(DESPESAS[[#This Row],[Plano de Contas]],BASE!$B$3:$H$119,7,FALSE)</f>
        <v>MYLENA</v>
      </c>
    </row>
    <row r="2348" spans="1:13" x14ac:dyDescent="0.25">
      <c r="A2348" s="74">
        <v>199206</v>
      </c>
      <c r="B2348" s="75" t="s">
        <v>232</v>
      </c>
      <c r="C2348" s="75" t="s">
        <v>1594</v>
      </c>
      <c r="D2348" s="76">
        <v>46085</v>
      </c>
      <c r="E2348" s="75" t="s">
        <v>1234</v>
      </c>
      <c r="F2348" s="74">
        <v>741.32</v>
      </c>
      <c r="G2348" s="75" t="s">
        <v>241</v>
      </c>
      <c r="H2348" s="77" t="str">
        <f>VLOOKUP(DESPESAS[[#This Row],[Plano de Contas]],BASE!$B$3:$D$119,3,FALSE)</f>
        <v>Combustiveis Frota</v>
      </c>
      <c r="I2348" s="77" t="str">
        <f>IFERROR(VLOOKUP(DESPESAS[[#This Row],[Fornecedor]],Tabela2[],2,FALSE),"")</f>
        <v/>
      </c>
      <c r="J2348" s="77" t="str">
        <f>IFERROR(VLOOKUP(DESPESAS[[#This Row],[Plano de Contas]],BASE!$B$3:$F$119,4,FALSE),"")</f>
        <v>6 - DESPESA COM VENDAS</v>
      </c>
      <c r="K2348" s="77" t="str">
        <f>IFERROR(VLOOKUP(DESPESAS[[#This Row],[Plano de Contas]],BASE!$B$3:$H$119,5,FALSE),"")</f>
        <v>LOGÍSTICA</v>
      </c>
      <c r="L2348" s="77">
        <f>IFERROR(VLOOKUP(DESPESAS[[#This Row],[Plano de Contas]],BASE!$B$3:$H$119,6,FALSE),"")</f>
        <v>0</v>
      </c>
      <c r="M2348" s="77" t="str">
        <f>VLOOKUP(DESPESAS[[#This Row],[Plano de Contas]],BASE!$B$3:$H$119,7,FALSE)</f>
        <v>MYLENA</v>
      </c>
    </row>
    <row r="2349" spans="1:13" x14ac:dyDescent="0.25">
      <c r="A2349" s="74">
        <v>199207</v>
      </c>
      <c r="B2349" s="75" t="s">
        <v>232</v>
      </c>
      <c r="C2349" s="75" t="s">
        <v>1593</v>
      </c>
      <c r="D2349" s="76">
        <v>46086</v>
      </c>
      <c r="E2349" s="75" t="s">
        <v>391</v>
      </c>
      <c r="F2349" s="74">
        <v>50.93</v>
      </c>
      <c r="G2349" s="75" t="s">
        <v>241</v>
      </c>
      <c r="H2349" s="77" t="str">
        <f>VLOOKUP(DESPESAS[[#This Row],[Plano de Contas]],BASE!$B$3:$D$119,3,FALSE)</f>
        <v>Combustiveis Frota</v>
      </c>
      <c r="I2349" s="77" t="str">
        <f>IFERROR(VLOOKUP(DESPESAS[[#This Row],[Fornecedor]],Tabela2[],2,FALSE),"")</f>
        <v/>
      </c>
      <c r="J2349" s="77" t="str">
        <f>IFERROR(VLOOKUP(DESPESAS[[#This Row],[Plano de Contas]],BASE!$B$3:$F$119,4,FALSE),"")</f>
        <v>6 - DESPESA COM VENDAS</v>
      </c>
      <c r="K2349" s="77" t="str">
        <f>IFERROR(VLOOKUP(DESPESAS[[#This Row],[Plano de Contas]],BASE!$B$3:$H$119,5,FALSE),"")</f>
        <v>LOGÍSTICA</v>
      </c>
      <c r="L2349" s="77">
        <f>IFERROR(VLOOKUP(DESPESAS[[#This Row],[Plano de Contas]],BASE!$B$3:$H$119,6,FALSE),"")</f>
        <v>0</v>
      </c>
      <c r="M2349" s="77" t="str">
        <f>VLOOKUP(DESPESAS[[#This Row],[Plano de Contas]],BASE!$B$3:$H$119,7,FALSE)</f>
        <v>MYLENA</v>
      </c>
    </row>
    <row r="2350" spans="1:13" x14ac:dyDescent="0.25">
      <c r="A2350" s="74">
        <v>199208</v>
      </c>
      <c r="B2350" s="75" t="s">
        <v>232</v>
      </c>
      <c r="C2350" s="75" t="s">
        <v>1592</v>
      </c>
      <c r="D2350" s="76">
        <v>46086</v>
      </c>
      <c r="E2350" s="75" t="s">
        <v>391</v>
      </c>
      <c r="F2350" s="74">
        <v>645.99</v>
      </c>
      <c r="G2350" s="75" t="s">
        <v>241</v>
      </c>
      <c r="H2350" s="77" t="str">
        <f>VLOOKUP(DESPESAS[[#This Row],[Plano de Contas]],BASE!$B$3:$D$119,3,FALSE)</f>
        <v>Combustiveis Frota</v>
      </c>
      <c r="I2350" s="77" t="str">
        <f>IFERROR(VLOOKUP(DESPESAS[[#This Row],[Fornecedor]],Tabela2[],2,FALSE),"")</f>
        <v/>
      </c>
      <c r="J2350" s="77" t="str">
        <f>IFERROR(VLOOKUP(DESPESAS[[#This Row],[Plano de Contas]],BASE!$B$3:$F$119,4,FALSE),"")</f>
        <v>6 - DESPESA COM VENDAS</v>
      </c>
      <c r="K2350" s="77" t="str">
        <f>IFERROR(VLOOKUP(DESPESAS[[#This Row],[Plano de Contas]],BASE!$B$3:$H$119,5,FALSE),"")</f>
        <v>LOGÍSTICA</v>
      </c>
      <c r="L2350" s="77">
        <f>IFERROR(VLOOKUP(DESPESAS[[#This Row],[Plano de Contas]],BASE!$B$3:$H$119,6,FALSE),"")</f>
        <v>0</v>
      </c>
      <c r="M2350" s="77" t="str">
        <f>VLOOKUP(DESPESAS[[#This Row],[Plano de Contas]],BASE!$B$3:$H$119,7,FALSE)</f>
        <v>MYLENA</v>
      </c>
    </row>
    <row r="2351" spans="1:13" x14ac:dyDescent="0.25">
      <c r="A2351" s="74">
        <v>199209</v>
      </c>
      <c r="B2351" s="75" t="s">
        <v>232</v>
      </c>
      <c r="C2351" s="75" t="s">
        <v>1591</v>
      </c>
      <c r="D2351" s="76">
        <v>46085</v>
      </c>
      <c r="E2351" s="75" t="s">
        <v>1590</v>
      </c>
      <c r="F2351" s="74">
        <v>676.08</v>
      </c>
      <c r="G2351" s="75" t="s">
        <v>241</v>
      </c>
      <c r="H2351" s="77" t="str">
        <f>VLOOKUP(DESPESAS[[#This Row],[Plano de Contas]],BASE!$B$3:$D$119,3,FALSE)</f>
        <v>Combustiveis Frota</v>
      </c>
      <c r="I2351" s="77" t="str">
        <f>IFERROR(VLOOKUP(DESPESAS[[#This Row],[Fornecedor]],Tabela2[],2,FALSE),"")</f>
        <v/>
      </c>
      <c r="J2351" s="77" t="str">
        <f>IFERROR(VLOOKUP(DESPESAS[[#This Row],[Plano de Contas]],BASE!$B$3:$F$119,4,FALSE),"")</f>
        <v>6 - DESPESA COM VENDAS</v>
      </c>
      <c r="K2351" s="77" t="str">
        <f>IFERROR(VLOOKUP(DESPESAS[[#This Row],[Plano de Contas]],BASE!$B$3:$H$119,5,FALSE),"")</f>
        <v>LOGÍSTICA</v>
      </c>
      <c r="L2351" s="77">
        <f>IFERROR(VLOOKUP(DESPESAS[[#This Row],[Plano de Contas]],BASE!$B$3:$H$119,6,FALSE),"")</f>
        <v>0</v>
      </c>
      <c r="M2351" s="77" t="str">
        <f>VLOOKUP(DESPESAS[[#This Row],[Plano de Contas]],BASE!$B$3:$H$119,7,FALSE)</f>
        <v>MYLENA</v>
      </c>
    </row>
    <row r="2352" spans="1:13" x14ac:dyDescent="0.25">
      <c r="A2352" s="74">
        <v>199210</v>
      </c>
      <c r="B2352" s="75" t="s">
        <v>232</v>
      </c>
      <c r="C2352" s="75" t="s">
        <v>1589</v>
      </c>
      <c r="D2352" s="76">
        <v>46112</v>
      </c>
      <c r="E2352" s="75" t="s">
        <v>290</v>
      </c>
      <c r="F2352" s="74">
        <v>8155.15</v>
      </c>
      <c r="G2352" s="75" t="s">
        <v>823</v>
      </c>
      <c r="H2352" s="77" t="str">
        <f>VLOOKUP(DESPESAS[[#This Row],[Plano de Contas]],BASE!$B$3:$D$119,3,FALSE)</f>
        <v>Energia Eletrica (Prod)</v>
      </c>
      <c r="I2352" s="77" t="str">
        <f>IFERROR(VLOOKUP(DESPESAS[[#This Row],[Fornecedor]],Tabela2[],2,FALSE),"")</f>
        <v/>
      </c>
      <c r="J2352" s="77" t="str">
        <f>IFERROR(VLOOKUP(DESPESAS[[#This Row],[Plano de Contas]],BASE!$B$3:$F$119,4,FALSE),"")</f>
        <v>2 - CUSTOS DIRETOS</v>
      </c>
      <c r="K2352" s="77" t="str">
        <f>IFERROR(VLOOKUP(DESPESAS[[#This Row],[Plano de Contas]],BASE!$B$3:$H$119,5,FALSE),"")</f>
        <v>PRODUÇÃO</v>
      </c>
      <c r="L2352" s="77">
        <f>IFERROR(VLOOKUP(DESPESAS[[#This Row],[Plano de Contas]],BASE!$B$3:$H$119,6,FALSE),"")</f>
        <v>0</v>
      </c>
      <c r="M2352" s="77" t="str">
        <f>VLOOKUP(DESPESAS[[#This Row],[Plano de Contas]],BASE!$B$3:$H$119,7,FALSE)</f>
        <v>RAFAEL</v>
      </c>
    </row>
    <row r="2353" spans="1:13" x14ac:dyDescent="0.25">
      <c r="A2353" s="74">
        <v>199211</v>
      </c>
      <c r="B2353" s="75" t="s">
        <v>232</v>
      </c>
      <c r="C2353" s="75" t="s">
        <v>1588</v>
      </c>
      <c r="D2353" s="76">
        <v>46137</v>
      </c>
      <c r="E2353" s="75" t="s">
        <v>1587</v>
      </c>
      <c r="F2353" s="74">
        <v>970</v>
      </c>
      <c r="G2353" s="75" t="s">
        <v>561</v>
      </c>
      <c r="H2353" s="77" t="str">
        <f>VLOOKUP(DESPESAS[[#This Row],[Plano de Contas]],BASE!$B$3:$D$119,3,FALSE)</f>
        <v>Sistemas de Informação</v>
      </c>
      <c r="I2353" s="77" t="str">
        <f>IFERROR(VLOOKUP(DESPESAS[[#This Row],[Fornecedor]],Tabela2[],2,FALSE),"")</f>
        <v>CASOCA</v>
      </c>
      <c r="J2353" s="77" t="str">
        <f>IFERROR(VLOOKUP(DESPESAS[[#This Row],[Plano de Contas]],BASE!$B$3:$F$119,4,FALSE),"")</f>
        <v>7 - SERVIÇOS DE TERCEIROS</v>
      </c>
      <c r="K2353" s="77" t="str">
        <f>IFERROR(VLOOKUP(DESPESAS[[#This Row],[Plano de Contas]],BASE!$B$3:$H$119,5,FALSE),"")</f>
        <v>MANUTENÇÃO / TI</v>
      </c>
      <c r="L2353" s="77">
        <f>IFERROR(VLOOKUP(DESPESAS[[#This Row],[Plano de Contas]],BASE!$B$3:$H$119,6,FALSE),"")</f>
        <v>0</v>
      </c>
      <c r="M2353" s="77" t="str">
        <f>VLOOKUP(DESPESAS[[#This Row],[Plano de Contas]],BASE!$B$3:$H$119,7,FALSE)</f>
        <v>LETÍCIA</v>
      </c>
    </row>
    <row r="2354" spans="1:13" x14ac:dyDescent="0.25">
      <c r="A2354" s="74">
        <v>199223</v>
      </c>
      <c r="B2354" s="75" t="s">
        <v>232</v>
      </c>
      <c r="C2354" s="75" t="s">
        <v>1586</v>
      </c>
      <c r="D2354" s="76">
        <v>46090</v>
      </c>
      <c r="E2354" s="75" t="s">
        <v>1585</v>
      </c>
      <c r="F2354" s="74">
        <v>1710.88</v>
      </c>
      <c r="G2354" s="75" t="s">
        <v>244</v>
      </c>
      <c r="H2354" s="77" t="str">
        <f>VLOOKUP(DESPESAS[[#This Row],[Plano de Contas]],BASE!$B$3:$D$119,3,FALSE)</f>
        <v>Material de Expediente (Prod)</v>
      </c>
      <c r="I2354" s="77" t="str">
        <f>IFERROR(VLOOKUP(DESPESAS[[#This Row],[Fornecedor]],Tabela2[],2,FALSE),"")</f>
        <v/>
      </c>
      <c r="J2354" s="77" t="str">
        <f>IFERROR(VLOOKUP(DESPESAS[[#This Row],[Plano de Contas]],BASE!$B$3:$F$119,4,FALSE),"")</f>
        <v>2 - CUSTOS DIRETOS</v>
      </c>
      <c r="K2354" s="77" t="str">
        <f>IFERROR(VLOOKUP(DESPESAS[[#This Row],[Plano de Contas]],BASE!$B$3:$H$119,5,FALSE),"")</f>
        <v>PRODUÇÃO</v>
      </c>
      <c r="L2354" s="77">
        <f>IFERROR(VLOOKUP(DESPESAS[[#This Row],[Plano de Contas]],BASE!$B$3:$H$119,6,FALSE),"")</f>
        <v>0</v>
      </c>
      <c r="M2354" s="77" t="str">
        <f>VLOOKUP(DESPESAS[[#This Row],[Plano de Contas]],BASE!$B$3:$H$119,7,FALSE)</f>
        <v>RAFAEL</v>
      </c>
    </row>
    <row r="2355" spans="1:13" x14ac:dyDescent="0.25">
      <c r="A2355" s="74">
        <v>199225</v>
      </c>
      <c r="B2355" s="75" t="s">
        <v>281</v>
      </c>
      <c r="C2355" s="75" t="s">
        <v>1584</v>
      </c>
      <c r="D2355" s="76">
        <v>46090</v>
      </c>
      <c r="E2355" s="75" t="s">
        <v>1583</v>
      </c>
      <c r="F2355" s="74">
        <v>364</v>
      </c>
      <c r="G2355" s="75" t="s">
        <v>1582</v>
      </c>
      <c r="H2355" s="77" t="str">
        <f>VLOOKUP(DESPESAS[[#This Row],[Plano de Contas]],BASE!$B$3:$D$119,3,FALSE)</f>
        <v>Contabilidade</v>
      </c>
      <c r="I2355" s="77" t="str">
        <f>IFERROR(VLOOKUP(DESPESAS[[#This Row],[Fornecedor]],Tabela2[],2,FALSE),"")</f>
        <v/>
      </c>
      <c r="J2355" s="77" t="str">
        <f>IFERROR(VLOOKUP(DESPESAS[[#This Row],[Plano de Contas]],BASE!$B$3:$F$119,4,FALSE),"")</f>
        <v>7 - SERVIÇOS DE TERCEIROS</v>
      </c>
      <c r="K2355" s="77" t="str">
        <f>IFERROR(VLOOKUP(DESPESAS[[#This Row],[Plano de Contas]],BASE!$B$3:$H$119,5,FALSE),"")</f>
        <v>FINANCEIRO</v>
      </c>
      <c r="L2355" s="77">
        <f>IFERROR(VLOOKUP(DESPESAS[[#This Row],[Plano de Contas]],BASE!$B$3:$H$119,6,FALSE),"")</f>
        <v>0</v>
      </c>
      <c r="M2355" s="77" t="str">
        <f>VLOOKUP(DESPESAS[[#This Row],[Plano de Contas]],BASE!$B$3:$H$119,7,FALSE)</f>
        <v>LETÍCIA</v>
      </c>
    </row>
    <row r="2356" spans="1:13" x14ac:dyDescent="0.25">
      <c r="A2356" s="74">
        <v>199226</v>
      </c>
      <c r="B2356" s="75" t="s">
        <v>221</v>
      </c>
      <c r="C2356" s="75" t="s">
        <v>1581</v>
      </c>
      <c r="D2356" s="76">
        <v>46091</v>
      </c>
      <c r="E2356" s="75" t="s">
        <v>239</v>
      </c>
      <c r="F2356" s="74">
        <v>5230.5</v>
      </c>
      <c r="G2356" s="75" t="s">
        <v>238</v>
      </c>
      <c r="H2356" s="77" t="str">
        <f>VLOOKUP(DESPESAS[[#This Row],[Plano de Contas]],BASE!$B$3:$D$119,3,FALSE)</f>
        <v>Consultoria Comercial</v>
      </c>
      <c r="I2356" s="77" t="str">
        <f>IFERROR(VLOOKUP(DESPESAS[[#This Row],[Fornecedor]],Tabela2[],2,FALSE),"")</f>
        <v/>
      </c>
      <c r="J2356" s="77" t="str">
        <f>IFERROR(VLOOKUP(DESPESAS[[#This Row],[Plano de Contas]],BASE!$B$3:$F$119,4,FALSE),"")</f>
        <v>6 - DESPESA COM VENDAS</v>
      </c>
      <c r="K2356" s="77" t="str">
        <f>IFERROR(VLOOKUP(DESPESAS[[#This Row],[Plano de Contas]],BASE!$B$3:$H$119,5,FALSE),"")</f>
        <v>COMERCIAL</v>
      </c>
      <c r="L2356" s="77">
        <f>IFERROR(VLOOKUP(DESPESAS[[#This Row],[Plano de Contas]],BASE!$B$3:$H$119,6,FALSE),"")</f>
        <v>0</v>
      </c>
      <c r="M2356" s="77" t="str">
        <f>VLOOKUP(DESPESAS[[#This Row],[Plano de Contas]],BASE!$B$3:$H$119,7,FALSE)</f>
        <v>LETÍCIA</v>
      </c>
    </row>
    <row r="2357" spans="1:13" x14ac:dyDescent="0.25">
      <c r="A2357" s="74">
        <v>199227</v>
      </c>
      <c r="B2357" s="75" t="s">
        <v>221</v>
      </c>
      <c r="C2357" s="75" t="s">
        <v>1581</v>
      </c>
      <c r="D2357" s="76">
        <v>46122</v>
      </c>
      <c r="E2357" s="75" t="s">
        <v>239</v>
      </c>
      <c r="F2357" s="74">
        <v>5230.5</v>
      </c>
      <c r="G2357" s="75" t="s">
        <v>238</v>
      </c>
      <c r="H2357" s="77" t="str">
        <f>VLOOKUP(DESPESAS[[#This Row],[Plano de Contas]],BASE!$B$3:$D$119,3,FALSE)</f>
        <v>Consultoria Comercial</v>
      </c>
      <c r="I2357" s="77" t="str">
        <f>IFERROR(VLOOKUP(DESPESAS[[#This Row],[Fornecedor]],Tabela2[],2,FALSE),"")</f>
        <v/>
      </c>
      <c r="J2357" s="77" t="str">
        <f>IFERROR(VLOOKUP(DESPESAS[[#This Row],[Plano de Contas]],BASE!$B$3:$F$119,4,FALSE),"")</f>
        <v>6 - DESPESA COM VENDAS</v>
      </c>
      <c r="K2357" s="77" t="str">
        <f>IFERROR(VLOOKUP(DESPESAS[[#This Row],[Plano de Contas]],BASE!$B$3:$H$119,5,FALSE),"")</f>
        <v>COMERCIAL</v>
      </c>
      <c r="L2357" s="77">
        <f>IFERROR(VLOOKUP(DESPESAS[[#This Row],[Plano de Contas]],BASE!$B$3:$H$119,6,FALSE),"")</f>
        <v>0</v>
      </c>
      <c r="M2357" s="77" t="str">
        <f>VLOOKUP(DESPESAS[[#This Row],[Plano de Contas]],BASE!$B$3:$H$119,7,FALSE)</f>
        <v>LETÍCIA</v>
      </c>
    </row>
    <row r="2358" spans="1:13" x14ac:dyDescent="0.25">
      <c r="A2358" s="74">
        <v>199228</v>
      </c>
      <c r="B2358" s="75" t="s">
        <v>221</v>
      </c>
      <c r="C2358" s="75" t="s">
        <v>1581</v>
      </c>
      <c r="D2358" s="76">
        <v>46152</v>
      </c>
      <c r="E2358" s="75" t="s">
        <v>239</v>
      </c>
      <c r="F2358" s="74">
        <v>5230.5</v>
      </c>
      <c r="G2358" s="75" t="s">
        <v>238</v>
      </c>
      <c r="H2358" s="77" t="str">
        <f>VLOOKUP(DESPESAS[[#This Row],[Plano de Contas]],BASE!$B$3:$D$119,3,FALSE)</f>
        <v>Consultoria Comercial</v>
      </c>
      <c r="I2358" s="77" t="str">
        <f>IFERROR(VLOOKUP(DESPESAS[[#This Row],[Fornecedor]],Tabela2[],2,FALSE),"")</f>
        <v/>
      </c>
      <c r="J2358" s="77" t="str">
        <f>IFERROR(VLOOKUP(DESPESAS[[#This Row],[Plano de Contas]],BASE!$B$3:$F$119,4,FALSE),"")</f>
        <v>6 - DESPESA COM VENDAS</v>
      </c>
      <c r="K2358" s="77" t="str">
        <f>IFERROR(VLOOKUP(DESPESAS[[#This Row],[Plano de Contas]],BASE!$B$3:$H$119,5,FALSE),"")</f>
        <v>COMERCIAL</v>
      </c>
      <c r="L2358" s="77">
        <f>IFERROR(VLOOKUP(DESPESAS[[#This Row],[Plano de Contas]],BASE!$B$3:$H$119,6,FALSE),"")</f>
        <v>0</v>
      </c>
      <c r="M2358" s="77" t="str">
        <f>VLOOKUP(DESPESAS[[#This Row],[Plano de Contas]],BASE!$B$3:$H$119,7,FALSE)</f>
        <v>LETÍCIA</v>
      </c>
    </row>
    <row r="2359" spans="1:13" x14ac:dyDescent="0.25">
      <c r="A2359" s="74">
        <v>199238</v>
      </c>
      <c r="B2359" s="75" t="s">
        <v>221</v>
      </c>
      <c r="C2359" s="75" t="s">
        <v>1580</v>
      </c>
      <c r="D2359" s="76">
        <v>46091</v>
      </c>
      <c r="E2359" s="75" t="s">
        <v>239</v>
      </c>
      <c r="F2359" s="74">
        <v>1106.4000000000001</v>
      </c>
      <c r="G2359" s="75" t="s">
        <v>238</v>
      </c>
      <c r="H2359" s="77" t="str">
        <f>VLOOKUP(DESPESAS[[#This Row],[Plano de Contas]],BASE!$B$3:$D$119,3,FALSE)</f>
        <v>Consultoria Comercial</v>
      </c>
      <c r="I2359" s="77" t="str">
        <f>IFERROR(VLOOKUP(DESPESAS[[#This Row],[Fornecedor]],Tabela2[],2,FALSE),"")</f>
        <v/>
      </c>
      <c r="J2359" s="77" t="str">
        <f>IFERROR(VLOOKUP(DESPESAS[[#This Row],[Plano de Contas]],BASE!$B$3:$F$119,4,FALSE),"")</f>
        <v>6 - DESPESA COM VENDAS</v>
      </c>
      <c r="K2359" s="77" t="str">
        <f>IFERROR(VLOOKUP(DESPESAS[[#This Row],[Plano de Contas]],BASE!$B$3:$H$119,5,FALSE),"")</f>
        <v>COMERCIAL</v>
      </c>
      <c r="L2359" s="77">
        <f>IFERROR(VLOOKUP(DESPESAS[[#This Row],[Plano de Contas]],BASE!$B$3:$H$119,6,FALSE),"")</f>
        <v>0</v>
      </c>
      <c r="M2359" s="77" t="str">
        <f>VLOOKUP(DESPESAS[[#This Row],[Plano de Contas]],BASE!$B$3:$H$119,7,FALSE)</f>
        <v>LETÍCIA</v>
      </c>
    </row>
    <row r="2360" spans="1:13" x14ac:dyDescent="0.25">
      <c r="A2360" s="74">
        <v>199239</v>
      </c>
      <c r="B2360" s="75" t="s">
        <v>221</v>
      </c>
      <c r="C2360" s="75" t="s">
        <v>1580</v>
      </c>
      <c r="D2360" s="76">
        <v>46122</v>
      </c>
      <c r="E2360" s="75" t="s">
        <v>239</v>
      </c>
      <c r="F2360" s="74">
        <v>1106.4000000000001</v>
      </c>
      <c r="G2360" s="75" t="s">
        <v>238</v>
      </c>
      <c r="H2360" s="77" t="str">
        <f>VLOOKUP(DESPESAS[[#This Row],[Plano de Contas]],BASE!$B$3:$D$119,3,FALSE)</f>
        <v>Consultoria Comercial</v>
      </c>
      <c r="I2360" s="77" t="str">
        <f>IFERROR(VLOOKUP(DESPESAS[[#This Row],[Fornecedor]],Tabela2[],2,FALSE),"")</f>
        <v/>
      </c>
      <c r="J2360" s="77" t="str">
        <f>IFERROR(VLOOKUP(DESPESAS[[#This Row],[Plano de Contas]],BASE!$B$3:$F$119,4,FALSE),"")</f>
        <v>6 - DESPESA COM VENDAS</v>
      </c>
      <c r="K2360" s="77" t="str">
        <f>IFERROR(VLOOKUP(DESPESAS[[#This Row],[Plano de Contas]],BASE!$B$3:$H$119,5,FALSE),"")</f>
        <v>COMERCIAL</v>
      </c>
      <c r="L2360" s="77">
        <f>IFERROR(VLOOKUP(DESPESAS[[#This Row],[Plano de Contas]],BASE!$B$3:$H$119,6,FALSE),"")</f>
        <v>0</v>
      </c>
      <c r="M2360" s="77" t="str">
        <f>VLOOKUP(DESPESAS[[#This Row],[Plano de Contas]],BASE!$B$3:$H$119,7,FALSE)</f>
        <v>LETÍCIA</v>
      </c>
    </row>
    <row r="2361" spans="1:13" x14ac:dyDescent="0.25">
      <c r="A2361" s="74">
        <v>199240</v>
      </c>
      <c r="B2361" s="75" t="s">
        <v>221</v>
      </c>
      <c r="C2361" s="75" t="s">
        <v>1580</v>
      </c>
      <c r="D2361" s="76">
        <v>46152</v>
      </c>
      <c r="E2361" s="75" t="s">
        <v>239</v>
      </c>
      <c r="F2361" s="74">
        <v>1106.4000000000001</v>
      </c>
      <c r="G2361" s="75" t="s">
        <v>238</v>
      </c>
      <c r="H2361" s="77" t="str">
        <f>VLOOKUP(DESPESAS[[#This Row],[Plano de Contas]],BASE!$B$3:$D$119,3,FALSE)</f>
        <v>Consultoria Comercial</v>
      </c>
      <c r="I2361" s="77" t="str">
        <f>IFERROR(VLOOKUP(DESPESAS[[#This Row],[Fornecedor]],Tabela2[],2,FALSE),"")</f>
        <v/>
      </c>
      <c r="J2361" s="77" t="str">
        <f>IFERROR(VLOOKUP(DESPESAS[[#This Row],[Plano de Contas]],BASE!$B$3:$F$119,4,FALSE),"")</f>
        <v>6 - DESPESA COM VENDAS</v>
      </c>
      <c r="K2361" s="77" t="str">
        <f>IFERROR(VLOOKUP(DESPESAS[[#This Row],[Plano de Contas]],BASE!$B$3:$H$119,5,FALSE),"")</f>
        <v>COMERCIAL</v>
      </c>
      <c r="L2361" s="77">
        <f>IFERROR(VLOOKUP(DESPESAS[[#This Row],[Plano de Contas]],BASE!$B$3:$H$119,6,FALSE),"")</f>
        <v>0</v>
      </c>
      <c r="M2361" s="77" t="str">
        <f>VLOOKUP(DESPESAS[[#This Row],[Plano de Contas]],BASE!$B$3:$H$119,7,FALSE)</f>
        <v>LETÍCIA</v>
      </c>
    </row>
    <row r="2362" spans="1:13" x14ac:dyDescent="0.25">
      <c r="A2362" s="74">
        <v>199243</v>
      </c>
      <c r="B2362" s="75" t="s">
        <v>221</v>
      </c>
      <c r="C2362" s="75" t="s">
        <v>1579</v>
      </c>
      <c r="D2362" s="76">
        <v>46090</v>
      </c>
      <c r="E2362" s="75" t="s">
        <v>239</v>
      </c>
      <c r="F2362" s="74">
        <v>461</v>
      </c>
      <c r="G2362" s="75" t="s">
        <v>238</v>
      </c>
      <c r="H2362" s="77" t="str">
        <f>VLOOKUP(DESPESAS[[#This Row],[Plano de Contas]],BASE!$B$3:$D$119,3,FALSE)</f>
        <v>Consultoria Comercial</v>
      </c>
      <c r="I2362" s="77" t="str">
        <f>IFERROR(VLOOKUP(DESPESAS[[#This Row],[Fornecedor]],Tabela2[],2,FALSE),"")</f>
        <v/>
      </c>
      <c r="J2362" s="77" t="str">
        <f>IFERROR(VLOOKUP(DESPESAS[[#This Row],[Plano de Contas]],BASE!$B$3:$F$119,4,FALSE),"")</f>
        <v>6 - DESPESA COM VENDAS</v>
      </c>
      <c r="K2362" s="77" t="str">
        <f>IFERROR(VLOOKUP(DESPESAS[[#This Row],[Plano de Contas]],BASE!$B$3:$H$119,5,FALSE),"")</f>
        <v>COMERCIAL</v>
      </c>
      <c r="L2362" s="77">
        <f>IFERROR(VLOOKUP(DESPESAS[[#This Row],[Plano de Contas]],BASE!$B$3:$H$119,6,FALSE),"")</f>
        <v>0</v>
      </c>
      <c r="M2362" s="77" t="str">
        <f>VLOOKUP(DESPESAS[[#This Row],[Plano de Contas]],BASE!$B$3:$H$119,7,FALSE)</f>
        <v>LETÍCIA</v>
      </c>
    </row>
    <row r="2363" spans="1:13" x14ac:dyDescent="0.25">
      <c r="A2363" s="74">
        <v>199257</v>
      </c>
      <c r="B2363" s="75" t="s">
        <v>221</v>
      </c>
      <c r="C2363" s="75" t="s">
        <v>1578</v>
      </c>
      <c r="D2363" s="76">
        <v>46090</v>
      </c>
      <c r="E2363" s="75" t="s">
        <v>256</v>
      </c>
      <c r="F2363" s="74">
        <v>36</v>
      </c>
      <c r="G2363" s="75" t="s">
        <v>255</v>
      </c>
      <c r="H2363" s="77" t="str">
        <f>VLOOKUP(DESPESAS[[#This Row],[Plano de Contas]],BASE!$B$3:$D$119,3,FALSE)</f>
        <v>Mostruário de Tecido</v>
      </c>
      <c r="I2363" s="77" t="str">
        <f>IFERROR(VLOOKUP(DESPESAS[[#This Row],[Fornecedor]],Tabela2[],2,FALSE),"")</f>
        <v/>
      </c>
      <c r="J2363" s="77" t="str">
        <f>IFERROR(VLOOKUP(DESPESAS[[#This Row],[Plano de Contas]],BASE!$B$3:$F$119,4,FALSE),"")</f>
        <v>6 - DESPESA COM VENDAS</v>
      </c>
      <c r="K2363" s="77" t="str">
        <f>IFERROR(VLOOKUP(DESPESAS[[#This Row],[Plano de Contas]],BASE!$B$3:$H$119,5,FALSE),"")</f>
        <v>COMERCIAL</v>
      </c>
      <c r="L2363" s="77">
        <f>IFERROR(VLOOKUP(DESPESAS[[#This Row],[Plano de Contas]],BASE!$B$3:$H$119,6,FALSE),"")</f>
        <v>0</v>
      </c>
      <c r="M2363" s="77" t="str">
        <f>VLOOKUP(DESPESAS[[#This Row],[Plano de Contas]],BASE!$B$3:$H$119,7,FALSE)</f>
        <v>LETÍCIA</v>
      </c>
    </row>
    <row r="2364" spans="1:13" x14ac:dyDescent="0.25">
      <c r="A2364" s="74">
        <v>199258</v>
      </c>
      <c r="B2364" s="75" t="s">
        <v>221</v>
      </c>
      <c r="C2364" s="75" t="s">
        <v>1577</v>
      </c>
      <c r="D2364" s="76">
        <v>46090</v>
      </c>
      <c r="E2364" s="75" t="s">
        <v>256</v>
      </c>
      <c r="F2364" s="74">
        <v>413.76</v>
      </c>
      <c r="G2364" s="75" t="s">
        <v>255</v>
      </c>
      <c r="H2364" s="77" t="str">
        <f>VLOOKUP(DESPESAS[[#This Row],[Plano de Contas]],BASE!$B$3:$D$119,3,FALSE)</f>
        <v>Mostruário de Tecido</v>
      </c>
      <c r="I2364" s="77" t="str">
        <f>IFERROR(VLOOKUP(DESPESAS[[#This Row],[Fornecedor]],Tabela2[],2,FALSE),"")</f>
        <v/>
      </c>
      <c r="J2364" s="77" t="str">
        <f>IFERROR(VLOOKUP(DESPESAS[[#This Row],[Plano de Contas]],BASE!$B$3:$F$119,4,FALSE),"")</f>
        <v>6 - DESPESA COM VENDAS</v>
      </c>
      <c r="K2364" s="77" t="str">
        <f>IFERROR(VLOOKUP(DESPESAS[[#This Row],[Plano de Contas]],BASE!$B$3:$H$119,5,FALSE),"")</f>
        <v>COMERCIAL</v>
      </c>
      <c r="L2364" s="77">
        <f>IFERROR(VLOOKUP(DESPESAS[[#This Row],[Plano de Contas]],BASE!$B$3:$H$119,6,FALSE),"")</f>
        <v>0</v>
      </c>
      <c r="M2364" s="77" t="str">
        <f>VLOOKUP(DESPESAS[[#This Row],[Plano de Contas]],BASE!$B$3:$H$119,7,FALSE)</f>
        <v>LETÍCIA</v>
      </c>
    </row>
    <row r="2365" spans="1:13" x14ac:dyDescent="0.25">
      <c r="A2365" s="74">
        <v>199259</v>
      </c>
      <c r="B2365" s="75" t="s">
        <v>221</v>
      </c>
      <c r="C2365" s="75" t="s">
        <v>1576</v>
      </c>
      <c r="D2365" s="76">
        <v>46090</v>
      </c>
      <c r="E2365" s="75" t="s">
        <v>256</v>
      </c>
      <c r="F2365" s="74">
        <v>49.5</v>
      </c>
      <c r="G2365" s="75" t="s">
        <v>255</v>
      </c>
      <c r="H2365" s="77" t="str">
        <f>VLOOKUP(DESPESAS[[#This Row],[Plano de Contas]],BASE!$B$3:$D$119,3,FALSE)</f>
        <v>Mostruário de Tecido</v>
      </c>
      <c r="I2365" s="77" t="str">
        <f>IFERROR(VLOOKUP(DESPESAS[[#This Row],[Fornecedor]],Tabela2[],2,FALSE),"")</f>
        <v/>
      </c>
      <c r="J2365" s="77" t="str">
        <f>IFERROR(VLOOKUP(DESPESAS[[#This Row],[Plano de Contas]],BASE!$B$3:$F$119,4,FALSE),"")</f>
        <v>6 - DESPESA COM VENDAS</v>
      </c>
      <c r="K2365" s="77" t="str">
        <f>IFERROR(VLOOKUP(DESPESAS[[#This Row],[Plano de Contas]],BASE!$B$3:$H$119,5,FALSE),"")</f>
        <v>COMERCIAL</v>
      </c>
      <c r="L2365" s="77">
        <f>IFERROR(VLOOKUP(DESPESAS[[#This Row],[Plano de Contas]],BASE!$B$3:$H$119,6,FALSE),"")</f>
        <v>0</v>
      </c>
      <c r="M2365" s="77" t="str">
        <f>VLOOKUP(DESPESAS[[#This Row],[Plano de Contas]],BASE!$B$3:$H$119,7,FALSE)</f>
        <v>LETÍCIA</v>
      </c>
    </row>
    <row r="2366" spans="1:13" x14ac:dyDescent="0.25">
      <c r="A2366" s="74">
        <v>199261</v>
      </c>
      <c r="B2366" s="75" t="s">
        <v>232</v>
      </c>
      <c r="C2366" s="75" t="s">
        <v>1575</v>
      </c>
      <c r="D2366" s="76">
        <v>46091</v>
      </c>
      <c r="E2366" s="75" t="s">
        <v>1574</v>
      </c>
      <c r="F2366" s="74">
        <v>5230.5</v>
      </c>
      <c r="G2366" s="75" t="s">
        <v>238</v>
      </c>
      <c r="H2366" s="77" t="str">
        <f>VLOOKUP(DESPESAS[[#This Row],[Plano de Contas]],BASE!$B$3:$D$119,3,FALSE)</f>
        <v>Consultoria Comercial</v>
      </c>
      <c r="I2366" s="77" t="str">
        <f>IFERROR(VLOOKUP(DESPESAS[[#This Row],[Fornecedor]],Tabela2[],2,FALSE),"")</f>
        <v/>
      </c>
      <c r="J2366" s="77" t="str">
        <f>IFERROR(VLOOKUP(DESPESAS[[#This Row],[Plano de Contas]],BASE!$B$3:$F$119,4,FALSE),"")</f>
        <v>6 - DESPESA COM VENDAS</v>
      </c>
      <c r="K2366" s="77" t="str">
        <f>IFERROR(VLOOKUP(DESPESAS[[#This Row],[Plano de Contas]],BASE!$B$3:$H$119,5,FALSE),"")</f>
        <v>COMERCIAL</v>
      </c>
      <c r="L2366" s="77">
        <f>IFERROR(VLOOKUP(DESPESAS[[#This Row],[Plano de Contas]],BASE!$B$3:$H$119,6,FALSE),"")</f>
        <v>0</v>
      </c>
      <c r="M2366" s="77" t="str">
        <f>VLOOKUP(DESPESAS[[#This Row],[Plano de Contas]],BASE!$B$3:$H$119,7,FALSE)</f>
        <v>LETÍCIA</v>
      </c>
    </row>
    <row r="2367" spans="1:13" x14ac:dyDescent="0.25">
      <c r="A2367" s="74">
        <v>199262</v>
      </c>
      <c r="B2367" s="75" t="s">
        <v>232</v>
      </c>
      <c r="C2367" s="75" t="s">
        <v>1575</v>
      </c>
      <c r="D2367" s="76">
        <v>46122</v>
      </c>
      <c r="E2367" s="75" t="s">
        <v>1574</v>
      </c>
      <c r="F2367" s="74">
        <v>5230.5</v>
      </c>
      <c r="G2367" s="75" t="s">
        <v>238</v>
      </c>
      <c r="H2367" s="77" t="str">
        <f>VLOOKUP(DESPESAS[[#This Row],[Plano de Contas]],BASE!$B$3:$D$119,3,FALSE)</f>
        <v>Consultoria Comercial</v>
      </c>
      <c r="I2367" s="77" t="str">
        <f>IFERROR(VLOOKUP(DESPESAS[[#This Row],[Fornecedor]],Tabela2[],2,FALSE),"")</f>
        <v/>
      </c>
      <c r="J2367" s="77" t="str">
        <f>IFERROR(VLOOKUP(DESPESAS[[#This Row],[Plano de Contas]],BASE!$B$3:$F$119,4,FALSE),"")</f>
        <v>6 - DESPESA COM VENDAS</v>
      </c>
      <c r="K2367" s="77" t="str">
        <f>IFERROR(VLOOKUP(DESPESAS[[#This Row],[Plano de Contas]],BASE!$B$3:$H$119,5,FALSE),"")</f>
        <v>COMERCIAL</v>
      </c>
      <c r="L2367" s="77">
        <f>IFERROR(VLOOKUP(DESPESAS[[#This Row],[Plano de Contas]],BASE!$B$3:$H$119,6,FALSE),"")</f>
        <v>0</v>
      </c>
      <c r="M2367" s="77" t="str">
        <f>VLOOKUP(DESPESAS[[#This Row],[Plano de Contas]],BASE!$B$3:$H$119,7,FALSE)</f>
        <v>LETÍCIA</v>
      </c>
    </row>
    <row r="2368" spans="1:13" x14ac:dyDescent="0.25">
      <c r="A2368" s="74">
        <v>199263</v>
      </c>
      <c r="B2368" s="75" t="s">
        <v>232</v>
      </c>
      <c r="C2368" s="75" t="s">
        <v>1575</v>
      </c>
      <c r="D2368" s="76">
        <v>46152</v>
      </c>
      <c r="E2368" s="75" t="s">
        <v>1574</v>
      </c>
      <c r="F2368" s="74">
        <v>5230.5</v>
      </c>
      <c r="G2368" s="75" t="s">
        <v>238</v>
      </c>
      <c r="H2368" s="77" t="str">
        <f>VLOOKUP(DESPESAS[[#This Row],[Plano de Contas]],BASE!$B$3:$D$119,3,FALSE)</f>
        <v>Consultoria Comercial</v>
      </c>
      <c r="I2368" s="77" t="str">
        <f>IFERROR(VLOOKUP(DESPESAS[[#This Row],[Fornecedor]],Tabela2[],2,FALSE),"")</f>
        <v/>
      </c>
      <c r="J2368" s="77" t="str">
        <f>IFERROR(VLOOKUP(DESPESAS[[#This Row],[Plano de Contas]],BASE!$B$3:$F$119,4,FALSE),"")</f>
        <v>6 - DESPESA COM VENDAS</v>
      </c>
      <c r="K2368" s="77" t="str">
        <f>IFERROR(VLOOKUP(DESPESAS[[#This Row],[Plano de Contas]],BASE!$B$3:$H$119,5,FALSE),"")</f>
        <v>COMERCIAL</v>
      </c>
      <c r="L2368" s="77">
        <f>IFERROR(VLOOKUP(DESPESAS[[#This Row],[Plano de Contas]],BASE!$B$3:$H$119,6,FALSE),"")</f>
        <v>0</v>
      </c>
      <c r="M2368" s="77" t="str">
        <f>VLOOKUP(DESPESAS[[#This Row],[Plano de Contas]],BASE!$B$3:$H$119,7,FALSE)</f>
        <v>LETÍCIA</v>
      </c>
    </row>
    <row r="2369" spans="1:13" x14ac:dyDescent="0.25">
      <c r="A2369" s="74">
        <v>199273</v>
      </c>
      <c r="B2369" s="75" t="s">
        <v>221</v>
      </c>
      <c r="C2369" s="75" t="s">
        <v>1573</v>
      </c>
      <c r="D2369" s="76">
        <v>46085</v>
      </c>
      <c r="E2369" s="75" t="s">
        <v>226</v>
      </c>
      <c r="F2369" s="74">
        <v>20</v>
      </c>
      <c r="G2369" s="75" t="s">
        <v>225</v>
      </c>
      <c r="H2369" s="77" t="str">
        <f>VLOOKUP(DESPESAS[[#This Row],[Plano de Contas]],BASE!$B$3:$D$119,3,FALSE)</f>
        <v>Despesas de Outros Gastos Não Operacionais</v>
      </c>
      <c r="I2369" s="77" t="str">
        <f>IFERROR(VLOOKUP(DESPESAS[[#This Row],[Fornecedor]],Tabela2[],2,FALSE),"")</f>
        <v/>
      </c>
      <c r="J2369" s="77" t="str">
        <f>IFERROR(VLOOKUP(DESPESAS[[#This Row],[Plano de Contas]],BASE!$B$3:$F$119,4,FALSE),"")</f>
        <v>8 - DESPESAS FINANCEIRAS</v>
      </c>
      <c r="K2369" s="77" t="str">
        <f>IFERROR(VLOOKUP(DESPESAS[[#This Row],[Plano de Contas]],BASE!$B$3:$H$119,5,FALSE),"")</f>
        <v>FINANCEIRO</v>
      </c>
      <c r="L2369" s="77">
        <f>IFERROR(VLOOKUP(DESPESAS[[#This Row],[Plano de Contas]],BASE!$B$3:$H$119,6,FALSE),"")</f>
        <v>0</v>
      </c>
      <c r="M2369" s="77" t="str">
        <f>VLOOKUP(DESPESAS[[#This Row],[Plano de Contas]],BASE!$B$3:$H$119,7,FALSE)</f>
        <v>LETÍCIA</v>
      </c>
    </row>
    <row r="2370" spans="1:13" x14ac:dyDescent="0.25">
      <c r="A2370" s="74">
        <v>199274</v>
      </c>
      <c r="B2370" s="75" t="s">
        <v>232</v>
      </c>
      <c r="C2370" s="75" t="s">
        <v>1572</v>
      </c>
      <c r="D2370" s="76">
        <v>46090</v>
      </c>
      <c r="E2370" s="75" t="s">
        <v>1571</v>
      </c>
      <c r="F2370" s="74">
        <v>240</v>
      </c>
      <c r="G2370" s="75" t="s">
        <v>244</v>
      </c>
      <c r="H2370" s="77" t="str">
        <f>VLOOKUP(DESPESAS[[#This Row],[Plano de Contas]],BASE!$B$3:$D$119,3,FALSE)</f>
        <v>Material de Expediente (Prod)</v>
      </c>
      <c r="I2370" s="77" t="str">
        <f>IFERROR(VLOOKUP(DESPESAS[[#This Row],[Fornecedor]],Tabela2[],2,FALSE),"")</f>
        <v/>
      </c>
      <c r="J2370" s="77" t="str">
        <f>IFERROR(VLOOKUP(DESPESAS[[#This Row],[Plano de Contas]],BASE!$B$3:$F$119,4,FALSE),"")</f>
        <v>2 - CUSTOS DIRETOS</v>
      </c>
      <c r="K2370" s="77" t="str">
        <f>IFERROR(VLOOKUP(DESPESAS[[#This Row],[Plano de Contas]],BASE!$B$3:$H$119,5,FALSE),"")</f>
        <v>PRODUÇÃO</v>
      </c>
      <c r="L2370" s="77">
        <f>IFERROR(VLOOKUP(DESPESAS[[#This Row],[Plano de Contas]],BASE!$B$3:$H$119,6,FALSE),"")</f>
        <v>0</v>
      </c>
      <c r="M2370" s="77" t="str">
        <f>VLOOKUP(DESPESAS[[#This Row],[Plano de Contas]],BASE!$B$3:$H$119,7,FALSE)</f>
        <v>RAFAEL</v>
      </c>
    </row>
    <row r="2371" spans="1:13" x14ac:dyDescent="0.25">
      <c r="A2371" s="74">
        <v>199275</v>
      </c>
      <c r="B2371" s="75" t="s">
        <v>221</v>
      </c>
      <c r="C2371" s="75" t="s">
        <v>1570</v>
      </c>
      <c r="D2371" s="76">
        <v>46090</v>
      </c>
      <c r="E2371" s="75" t="s">
        <v>361</v>
      </c>
      <c r="F2371" s="74">
        <v>34.9</v>
      </c>
      <c r="G2371" s="75" t="s">
        <v>324</v>
      </c>
      <c r="H2371" s="77" t="str">
        <f>VLOOKUP(DESPESAS[[#This Row],[Plano de Contas]],BASE!$B$3:$D$119,3,FALSE)</f>
        <v>Cursos e Treinamentos CIF</v>
      </c>
      <c r="I2371" s="77" t="str">
        <f>IFERROR(VLOOKUP(DESPESAS[[#This Row],[Fornecedor]],Tabela2[],2,FALSE),"")</f>
        <v/>
      </c>
      <c r="J2371" s="77" t="str">
        <f>IFERROR(VLOOKUP(DESPESAS[[#This Row],[Plano de Contas]],BASE!$B$3:$F$119,4,FALSE),"")</f>
        <v>3 - CUSTOS INDIRETOS</v>
      </c>
      <c r="K2371" s="77" t="str">
        <f>IFERROR(VLOOKUP(DESPESAS[[#This Row],[Plano de Contas]],BASE!$B$3:$H$119,5,FALSE),"")</f>
        <v>DH</v>
      </c>
      <c r="L2371" s="77">
        <f>IFERROR(VLOOKUP(DESPESAS[[#This Row],[Plano de Contas]],BASE!$B$3:$H$119,6,FALSE),"")</f>
        <v>0</v>
      </c>
      <c r="M2371" s="77" t="str">
        <f>VLOOKUP(DESPESAS[[#This Row],[Plano de Contas]],BASE!$B$3:$H$119,7,FALSE)</f>
        <v>FÁBIO</v>
      </c>
    </row>
    <row r="2372" spans="1:13" x14ac:dyDescent="0.25">
      <c r="A2372" s="74">
        <v>199276</v>
      </c>
      <c r="B2372" s="75" t="s">
        <v>221</v>
      </c>
      <c r="C2372" s="75" t="s">
        <v>1569</v>
      </c>
      <c r="D2372" s="76">
        <v>46090</v>
      </c>
      <c r="E2372" s="75" t="s">
        <v>442</v>
      </c>
      <c r="F2372" s="74">
        <v>2200</v>
      </c>
      <c r="G2372" s="75" t="s">
        <v>262</v>
      </c>
      <c r="H2372" s="77" t="str">
        <f>VLOOKUP(DESPESAS[[#This Row],[Plano de Contas]],BASE!$B$3:$D$119,3,FALSE)</f>
        <v>Fretes Karams</v>
      </c>
      <c r="I2372" s="77" t="str">
        <f>IFERROR(VLOOKUP(DESPESAS[[#This Row],[Fornecedor]],Tabela2[],2,FALSE),"")</f>
        <v/>
      </c>
      <c r="J2372" s="77" t="str">
        <f>IFERROR(VLOOKUP(DESPESAS[[#This Row],[Plano de Contas]],BASE!$B$3:$F$119,4,FALSE),"")</f>
        <v>6 - DESPESA COM VENDAS</v>
      </c>
      <c r="K2372" s="77" t="str">
        <f>IFERROR(VLOOKUP(DESPESAS[[#This Row],[Plano de Contas]],BASE!$B$3:$H$119,5,FALSE),"")</f>
        <v>LOGÍSTICA</v>
      </c>
      <c r="L2372" s="77">
        <f>IFERROR(VLOOKUP(DESPESAS[[#This Row],[Plano de Contas]],BASE!$B$3:$H$119,6,FALSE),"")</f>
        <v>0</v>
      </c>
      <c r="M2372" s="77" t="str">
        <f>VLOOKUP(DESPESAS[[#This Row],[Plano de Contas]],BASE!$B$3:$H$119,7,FALSE)</f>
        <v>MYLENA</v>
      </c>
    </row>
    <row r="2373" spans="1:13" x14ac:dyDescent="0.25">
      <c r="A2373" s="74">
        <v>199277</v>
      </c>
      <c r="B2373" s="75" t="s">
        <v>221</v>
      </c>
      <c r="C2373" s="75" t="s">
        <v>1568</v>
      </c>
      <c r="D2373" s="76">
        <v>46087</v>
      </c>
      <c r="E2373" s="75" t="s">
        <v>242</v>
      </c>
      <c r="F2373" s="74">
        <v>2671.66</v>
      </c>
      <c r="G2373" s="75" t="s">
        <v>241</v>
      </c>
      <c r="H2373" s="77" t="str">
        <f>VLOOKUP(DESPESAS[[#This Row],[Plano de Contas]],BASE!$B$3:$D$119,3,FALSE)</f>
        <v>Combustiveis Frota</v>
      </c>
      <c r="I2373" s="77" t="str">
        <f>IFERROR(VLOOKUP(DESPESAS[[#This Row],[Fornecedor]],Tabela2[],2,FALSE),"")</f>
        <v/>
      </c>
      <c r="J2373" s="77" t="str">
        <f>IFERROR(VLOOKUP(DESPESAS[[#This Row],[Plano de Contas]],BASE!$B$3:$F$119,4,FALSE),"")</f>
        <v>6 - DESPESA COM VENDAS</v>
      </c>
      <c r="K2373" s="77" t="str">
        <f>IFERROR(VLOOKUP(DESPESAS[[#This Row],[Plano de Contas]],BASE!$B$3:$H$119,5,FALSE),"")</f>
        <v>LOGÍSTICA</v>
      </c>
      <c r="L2373" s="77">
        <f>IFERROR(VLOOKUP(DESPESAS[[#This Row],[Plano de Contas]],BASE!$B$3:$H$119,6,FALSE),"")</f>
        <v>0</v>
      </c>
      <c r="M2373" s="77" t="str">
        <f>VLOOKUP(DESPESAS[[#This Row],[Plano de Contas]],BASE!$B$3:$H$119,7,FALSE)</f>
        <v>MYLENA</v>
      </c>
    </row>
    <row r="2374" spans="1:13" x14ac:dyDescent="0.25">
      <c r="A2374" s="74">
        <v>199278</v>
      </c>
      <c r="B2374" s="75" t="s">
        <v>221</v>
      </c>
      <c r="C2374" s="75" t="s">
        <v>1567</v>
      </c>
      <c r="D2374" s="76">
        <v>46090</v>
      </c>
      <c r="E2374" s="75" t="s">
        <v>268</v>
      </c>
      <c r="F2374" s="74">
        <v>1075</v>
      </c>
      <c r="G2374" s="75" t="s">
        <v>262</v>
      </c>
      <c r="H2374" s="77" t="str">
        <f>VLOOKUP(DESPESAS[[#This Row],[Plano de Contas]],BASE!$B$3:$D$119,3,FALSE)</f>
        <v>Fretes Karams</v>
      </c>
      <c r="I2374" s="77" t="str">
        <f>IFERROR(VLOOKUP(DESPESAS[[#This Row],[Fornecedor]],Tabela2[],2,FALSE),"")</f>
        <v/>
      </c>
      <c r="J2374" s="77" t="str">
        <f>IFERROR(VLOOKUP(DESPESAS[[#This Row],[Plano de Contas]],BASE!$B$3:$F$119,4,FALSE),"")</f>
        <v>6 - DESPESA COM VENDAS</v>
      </c>
      <c r="K2374" s="77" t="str">
        <f>IFERROR(VLOOKUP(DESPESAS[[#This Row],[Plano de Contas]],BASE!$B$3:$H$119,5,FALSE),"")</f>
        <v>LOGÍSTICA</v>
      </c>
      <c r="L2374" s="77">
        <f>IFERROR(VLOOKUP(DESPESAS[[#This Row],[Plano de Contas]],BASE!$B$3:$H$119,6,FALSE),"")</f>
        <v>0</v>
      </c>
      <c r="M2374" s="77" t="str">
        <f>VLOOKUP(DESPESAS[[#This Row],[Plano de Contas]],BASE!$B$3:$H$119,7,FALSE)</f>
        <v>MYLENA</v>
      </c>
    </row>
    <row r="2375" spans="1:13" x14ac:dyDescent="0.25">
      <c r="A2375" s="74">
        <v>199279</v>
      </c>
      <c r="B2375" s="75" t="s">
        <v>221</v>
      </c>
      <c r="C2375" s="75" t="s">
        <v>1566</v>
      </c>
      <c r="D2375" s="76">
        <v>46087</v>
      </c>
      <c r="E2375" s="75" t="s">
        <v>242</v>
      </c>
      <c r="F2375" s="74">
        <v>602.23</v>
      </c>
      <c r="G2375" s="75" t="s">
        <v>241</v>
      </c>
      <c r="H2375" s="77" t="str">
        <f>VLOOKUP(DESPESAS[[#This Row],[Plano de Contas]],BASE!$B$3:$D$119,3,FALSE)</f>
        <v>Combustiveis Frota</v>
      </c>
      <c r="I2375" s="77" t="str">
        <f>IFERROR(VLOOKUP(DESPESAS[[#This Row],[Fornecedor]],Tabela2[],2,FALSE),"")</f>
        <v/>
      </c>
      <c r="J2375" s="77" t="str">
        <f>IFERROR(VLOOKUP(DESPESAS[[#This Row],[Plano de Contas]],BASE!$B$3:$F$119,4,FALSE),"")</f>
        <v>6 - DESPESA COM VENDAS</v>
      </c>
      <c r="K2375" s="77" t="str">
        <f>IFERROR(VLOOKUP(DESPESAS[[#This Row],[Plano de Contas]],BASE!$B$3:$H$119,5,FALSE),"")</f>
        <v>LOGÍSTICA</v>
      </c>
      <c r="L2375" s="77">
        <f>IFERROR(VLOOKUP(DESPESAS[[#This Row],[Plano de Contas]],BASE!$B$3:$H$119,6,FALSE),"")</f>
        <v>0</v>
      </c>
      <c r="M2375" s="77" t="str">
        <f>VLOOKUP(DESPESAS[[#This Row],[Plano de Contas]],BASE!$B$3:$H$119,7,FALSE)</f>
        <v>MYLENA</v>
      </c>
    </row>
    <row r="2376" spans="1:13" x14ac:dyDescent="0.25">
      <c r="A2376" s="74">
        <v>199280</v>
      </c>
      <c r="B2376" s="75" t="s">
        <v>232</v>
      </c>
      <c r="C2376" s="75" t="s">
        <v>1565</v>
      </c>
      <c r="D2376" s="76">
        <v>46081</v>
      </c>
      <c r="E2376" s="75" t="s">
        <v>437</v>
      </c>
      <c r="F2376" s="74">
        <v>8068.23</v>
      </c>
      <c r="G2376" s="75" t="s">
        <v>779</v>
      </c>
      <c r="H2376" s="77" t="str">
        <f>VLOOKUP(DESPESAS[[#This Row],[Plano de Contas]],BASE!$B$3:$D$119,3,FALSE)</f>
        <v>FGTS MOD</v>
      </c>
      <c r="I2376" s="77" t="str">
        <f>IFERROR(VLOOKUP(DESPESAS[[#This Row],[Fornecedor]],Tabela2[],2,FALSE),"")</f>
        <v/>
      </c>
      <c r="J2376" s="77" t="str">
        <f>IFERROR(VLOOKUP(DESPESAS[[#This Row],[Plano de Contas]],BASE!$B$3:$F$119,4,FALSE),"")</f>
        <v>2 - CUSTOS DIRETOS</v>
      </c>
      <c r="K2376" s="77" t="str">
        <f>IFERROR(VLOOKUP(DESPESAS[[#This Row],[Plano de Contas]],BASE!$B$3:$H$119,5,FALSE),"")</f>
        <v>DH</v>
      </c>
      <c r="L2376" s="77" t="str">
        <f>IFERROR(VLOOKUP(DESPESAS[[#This Row],[Plano de Contas]],BASE!$B$3:$H$119,6,FALSE),"")</f>
        <v>CUSTO MÃO DE OBRA DIRETA</v>
      </c>
      <c r="M2376" s="77" t="str">
        <f>VLOOKUP(DESPESAS[[#This Row],[Plano de Contas]],BASE!$B$3:$H$119,7,FALSE)</f>
        <v>RAFAEL</v>
      </c>
    </row>
    <row r="2377" spans="1:13" x14ac:dyDescent="0.25">
      <c r="A2377" s="74">
        <v>199281</v>
      </c>
      <c r="B2377" s="75" t="s">
        <v>232</v>
      </c>
      <c r="C2377" s="75" t="s">
        <v>1564</v>
      </c>
      <c r="D2377" s="76">
        <v>46081</v>
      </c>
      <c r="E2377" s="75" t="s">
        <v>437</v>
      </c>
      <c r="F2377" s="74">
        <v>2370.79</v>
      </c>
      <c r="G2377" s="75" t="s">
        <v>781</v>
      </c>
      <c r="H2377" s="77" t="str">
        <f>VLOOKUP(DESPESAS[[#This Row],[Plano de Contas]],BASE!$B$3:$D$119,3,FALSE)</f>
        <v>FGTS CIF</v>
      </c>
      <c r="I2377" s="77" t="str">
        <f>IFERROR(VLOOKUP(DESPESAS[[#This Row],[Fornecedor]],Tabela2[],2,FALSE),"")</f>
        <v/>
      </c>
      <c r="J2377" s="77" t="str">
        <f>IFERROR(VLOOKUP(DESPESAS[[#This Row],[Plano de Contas]],BASE!$B$3:$F$119,4,FALSE),"")</f>
        <v>3 - CUSTOS INDIRETOS</v>
      </c>
      <c r="K2377" s="77" t="str">
        <f>IFERROR(VLOOKUP(DESPESAS[[#This Row],[Plano de Contas]],BASE!$B$3:$H$119,5,FALSE),"")</f>
        <v>DH</v>
      </c>
      <c r="L2377" s="77" t="str">
        <f>IFERROR(VLOOKUP(DESPESAS[[#This Row],[Plano de Contas]],BASE!$B$3:$H$119,6,FALSE),"")</f>
        <v>CUSTO MÃO DE OBRA DIRETA</v>
      </c>
      <c r="M2377" s="77" t="str">
        <f>VLOOKUP(DESPESAS[[#This Row],[Plano de Contas]],BASE!$B$3:$H$119,7,FALSE)</f>
        <v>RAFAEL</v>
      </c>
    </row>
    <row r="2378" spans="1:13" x14ac:dyDescent="0.25">
      <c r="A2378" s="74">
        <v>199282</v>
      </c>
      <c r="B2378" s="75" t="s">
        <v>232</v>
      </c>
      <c r="C2378" s="75" t="s">
        <v>1563</v>
      </c>
      <c r="D2378" s="76">
        <v>46081</v>
      </c>
      <c r="E2378" s="75" t="s">
        <v>437</v>
      </c>
      <c r="F2378" s="74">
        <v>2516.52</v>
      </c>
      <c r="G2378" s="75" t="s">
        <v>436</v>
      </c>
      <c r="H2378" s="77" t="str">
        <f>VLOOKUP(DESPESAS[[#This Row],[Plano de Contas]],BASE!$B$3:$D$119,3,FALSE)</f>
        <v>FGTS (Adm)</v>
      </c>
      <c r="I2378" s="77" t="str">
        <f>IFERROR(VLOOKUP(DESPESAS[[#This Row],[Fornecedor]],Tabela2[],2,FALSE),"")</f>
        <v/>
      </c>
      <c r="J2378" s="77" t="str">
        <f>IFERROR(VLOOKUP(DESPESAS[[#This Row],[Plano de Contas]],BASE!$B$3:$F$119,4,FALSE),"")</f>
        <v>4 - GASTOS COM PESSOAL</v>
      </c>
      <c r="K2378" s="77" t="str">
        <f>IFERROR(VLOOKUP(DESPESAS[[#This Row],[Plano de Contas]],BASE!$B$3:$H$119,5,FALSE),"")</f>
        <v>DH</v>
      </c>
      <c r="L2378" s="77">
        <f>IFERROR(VLOOKUP(DESPESAS[[#This Row],[Plano de Contas]],BASE!$B$3:$H$119,6,FALSE),"")</f>
        <v>0</v>
      </c>
      <c r="M2378" s="77" t="str">
        <f>VLOOKUP(DESPESAS[[#This Row],[Plano de Contas]],BASE!$B$3:$H$119,7,FALSE)</f>
        <v>RAFAEL</v>
      </c>
    </row>
    <row r="2379" spans="1:13" x14ac:dyDescent="0.25">
      <c r="A2379" s="74">
        <v>199283</v>
      </c>
      <c r="B2379" s="75" t="s">
        <v>279</v>
      </c>
      <c r="C2379" s="75" t="s">
        <v>1563</v>
      </c>
      <c r="D2379" s="76">
        <v>46081</v>
      </c>
      <c r="E2379" s="75" t="s">
        <v>437</v>
      </c>
      <c r="F2379" s="74">
        <v>6599.04</v>
      </c>
      <c r="G2379" s="75" t="s">
        <v>436</v>
      </c>
      <c r="H2379" s="77" t="str">
        <f>VLOOKUP(DESPESAS[[#This Row],[Plano de Contas]],BASE!$B$3:$D$119,3,FALSE)</f>
        <v>FGTS (Adm)</v>
      </c>
      <c r="I2379" s="77" t="str">
        <f>IFERROR(VLOOKUP(DESPESAS[[#This Row],[Fornecedor]],Tabela2[],2,FALSE),"")</f>
        <v/>
      </c>
      <c r="J2379" s="77" t="str">
        <f>IFERROR(VLOOKUP(DESPESAS[[#This Row],[Plano de Contas]],BASE!$B$3:$F$119,4,FALSE),"")</f>
        <v>4 - GASTOS COM PESSOAL</v>
      </c>
      <c r="K2379" s="77" t="str">
        <f>IFERROR(VLOOKUP(DESPESAS[[#This Row],[Plano de Contas]],BASE!$B$3:$H$119,5,FALSE),"")</f>
        <v>DH</v>
      </c>
      <c r="L2379" s="77">
        <f>IFERROR(VLOOKUP(DESPESAS[[#This Row],[Plano de Contas]],BASE!$B$3:$H$119,6,FALSE),"")</f>
        <v>0</v>
      </c>
      <c r="M2379" s="77" t="str">
        <f>VLOOKUP(DESPESAS[[#This Row],[Plano de Contas]],BASE!$B$3:$H$119,7,FALSE)</f>
        <v>RAFAEL</v>
      </c>
    </row>
    <row r="2380" spans="1:13" x14ac:dyDescent="0.25">
      <c r="A2380" s="74">
        <v>199284</v>
      </c>
      <c r="B2380" s="75" t="s">
        <v>279</v>
      </c>
      <c r="C2380" s="75" t="s">
        <v>1564</v>
      </c>
      <c r="D2380" s="76">
        <v>46081</v>
      </c>
      <c r="E2380" s="75" t="s">
        <v>437</v>
      </c>
      <c r="F2380" s="74">
        <v>2093.31</v>
      </c>
      <c r="G2380" s="75" t="s">
        <v>781</v>
      </c>
      <c r="H2380" s="77" t="str">
        <f>VLOOKUP(DESPESAS[[#This Row],[Plano de Contas]],BASE!$B$3:$D$119,3,FALSE)</f>
        <v>FGTS CIF</v>
      </c>
      <c r="I2380" s="77" t="str">
        <f>IFERROR(VLOOKUP(DESPESAS[[#This Row],[Fornecedor]],Tabela2[],2,FALSE),"")</f>
        <v/>
      </c>
      <c r="J2380" s="77" t="str">
        <f>IFERROR(VLOOKUP(DESPESAS[[#This Row],[Plano de Contas]],BASE!$B$3:$F$119,4,FALSE),"")</f>
        <v>3 - CUSTOS INDIRETOS</v>
      </c>
      <c r="K2380" s="77" t="str">
        <f>IFERROR(VLOOKUP(DESPESAS[[#This Row],[Plano de Contas]],BASE!$B$3:$H$119,5,FALSE),"")</f>
        <v>DH</v>
      </c>
      <c r="L2380" s="77" t="str">
        <f>IFERROR(VLOOKUP(DESPESAS[[#This Row],[Plano de Contas]],BASE!$B$3:$H$119,6,FALSE),"")</f>
        <v>CUSTO MÃO DE OBRA DIRETA</v>
      </c>
      <c r="M2380" s="77" t="str">
        <f>VLOOKUP(DESPESAS[[#This Row],[Plano de Contas]],BASE!$B$3:$H$119,7,FALSE)</f>
        <v>RAFAEL</v>
      </c>
    </row>
    <row r="2381" spans="1:13" x14ac:dyDescent="0.25">
      <c r="A2381" s="74">
        <v>199285</v>
      </c>
      <c r="B2381" s="75" t="s">
        <v>279</v>
      </c>
      <c r="C2381" s="75" t="s">
        <v>1565</v>
      </c>
      <c r="D2381" s="76">
        <v>46081</v>
      </c>
      <c r="E2381" s="75" t="s">
        <v>437</v>
      </c>
      <c r="F2381" s="74">
        <v>21801.77</v>
      </c>
      <c r="G2381" s="75" t="s">
        <v>779</v>
      </c>
      <c r="H2381" s="77" t="str">
        <f>VLOOKUP(DESPESAS[[#This Row],[Plano de Contas]],BASE!$B$3:$D$119,3,FALSE)</f>
        <v>FGTS MOD</v>
      </c>
      <c r="I2381" s="77" t="str">
        <f>IFERROR(VLOOKUP(DESPESAS[[#This Row],[Fornecedor]],Tabela2[],2,FALSE),"")</f>
        <v/>
      </c>
      <c r="J2381" s="77" t="str">
        <f>IFERROR(VLOOKUP(DESPESAS[[#This Row],[Plano de Contas]],BASE!$B$3:$F$119,4,FALSE),"")</f>
        <v>2 - CUSTOS DIRETOS</v>
      </c>
      <c r="K2381" s="77" t="str">
        <f>IFERROR(VLOOKUP(DESPESAS[[#This Row],[Plano de Contas]],BASE!$B$3:$H$119,5,FALSE),"")</f>
        <v>DH</v>
      </c>
      <c r="L2381" s="77" t="str">
        <f>IFERROR(VLOOKUP(DESPESAS[[#This Row],[Plano de Contas]],BASE!$B$3:$H$119,6,FALSE),"")</f>
        <v>CUSTO MÃO DE OBRA DIRETA</v>
      </c>
      <c r="M2381" s="77" t="str">
        <f>VLOOKUP(DESPESAS[[#This Row],[Plano de Contas]],BASE!$B$3:$H$119,7,FALSE)</f>
        <v>RAFAEL</v>
      </c>
    </row>
    <row r="2382" spans="1:13" x14ac:dyDescent="0.25">
      <c r="A2382" s="74">
        <v>199286</v>
      </c>
      <c r="B2382" s="75" t="s">
        <v>279</v>
      </c>
      <c r="C2382" s="75" t="s">
        <v>1562</v>
      </c>
      <c r="D2382" s="76">
        <v>46081</v>
      </c>
      <c r="E2382" s="75" t="s">
        <v>768</v>
      </c>
      <c r="F2382" s="74">
        <v>13156.05</v>
      </c>
      <c r="G2382" s="75" t="s">
        <v>767</v>
      </c>
      <c r="H2382" s="77" t="str">
        <f>VLOOKUP(DESPESAS[[#This Row],[Plano de Contas]],BASE!$B$3:$D$119,3,FALSE)</f>
        <v>INSS MOD</v>
      </c>
      <c r="I2382" s="77" t="str">
        <f>IFERROR(VLOOKUP(DESPESAS[[#This Row],[Fornecedor]],Tabela2[],2,FALSE),"")</f>
        <v/>
      </c>
      <c r="J2382" s="77" t="str">
        <f>IFERROR(VLOOKUP(DESPESAS[[#This Row],[Plano de Contas]],BASE!$B$3:$F$119,4,FALSE),"")</f>
        <v>2 - CUSTOS DIRETOS</v>
      </c>
      <c r="K2382" s="77" t="str">
        <f>IFERROR(VLOOKUP(DESPESAS[[#This Row],[Plano de Contas]],BASE!$B$3:$H$119,5,FALSE),"")</f>
        <v>DH</v>
      </c>
      <c r="L2382" s="77" t="str">
        <f>IFERROR(VLOOKUP(DESPESAS[[#This Row],[Plano de Contas]],BASE!$B$3:$H$119,6,FALSE),"")</f>
        <v>CUSTO MÃO DE OBRA DIRETA</v>
      </c>
      <c r="M2382" s="77" t="str">
        <f>VLOOKUP(DESPESAS[[#This Row],[Plano de Contas]],BASE!$B$3:$H$119,7,FALSE)</f>
        <v>RAFAEL</v>
      </c>
    </row>
    <row r="2383" spans="1:13" x14ac:dyDescent="0.25">
      <c r="A2383" s="74">
        <v>199287</v>
      </c>
      <c r="B2383" s="75" t="s">
        <v>279</v>
      </c>
      <c r="C2383" s="75" t="s">
        <v>1561</v>
      </c>
      <c r="D2383" s="76">
        <v>46081</v>
      </c>
      <c r="E2383" s="75" t="s">
        <v>768</v>
      </c>
      <c r="F2383" s="74">
        <v>1053.8699999999999</v>
      </c>
      <c r="G2383" s="75" t="s">
        <v>770</v>
      </c>
      <c r="H2383" s="77" t="str">
        <f>VLOOKUP(DESPESAS[[#This Row],[Plano de Contas]],BASE!$B$3:$D$119,3,FALSE)</f>
        <v>INSS CIF</v>
      </c>
      <c r="I2383" s="77" t="str">
        <f>IFERROR(VLOOKUP(DESPESAS[[#This Row],[Fornecedor]],Tabela2[],2,FALSE),"")</f>
        <v/>
      </c>
      <c r="J2383" s="77" t="str">
        <f>IFERROR(VLOOKUP(DESPESAS[[#This Row],[Plano de Contas]],BASE!$B$3:$F$119,4,FALSE),"")</f>
        <v>3 - CUSTOS INDIRETOS</v>
      </c>
      <c r="K2383" s="77" t="str">
        <f>IFERROR(VLOOKUP(DESPESAS[[#This Row],[Plano de Contas]],BASE!$B$3:$H$119,5,FALSE),"")</f>
        <v>DH</v>
      </c>
      <c r="L2383" s="77" t="str">
        <f>IFERROR(VLOOKUP(DESPESAS[[#This Row],[Plano de Contas]],BASE!$B$3:$H$119,6,FALSE),"")</f>
        <v>CUSTO MÃO DE OBRA DIRETA</v>
      </c>
      <c r="M2383" s="77" t="str">
        <f>VLOOKUP(DESPESAS[[#This Row],[Plano de Contas]],BASE!$B$3:$H$119,7,FALSE)</f>
        <v>RAFAEL</v>
      </c>
    </row>
    <row r="2384" spans="1:13" x14ac:dyDescent="0.25">
      <c r="A2384" s="74">
        <v>199288</v>
      </c>
      <c r="B2384" s="75" t="s">
        <v>279</v>
      </c>
      <c r="C2384" s="75" t="s">
        <v>1560</v>
      </c>
      <c r="D2384" s="76">
        <v>46081</v>
      </c>
      <c r="E2384" s="75" t="s">
        <v>768</v>
      </c>
      <c r="F2384" s="74">
        <v>5187.68</v>
      </c>
      <c r="G2384" s="75" t="s">
        <v>772</v>
      </c>
      <c r="H2384" s="77" t="str">
        <f>VLOOKUP(DESPESAS[[#This Row],[Plano de Contas]],BASE!$B$3:$D$119,3,FALSE)</f>
        <v>INSS (Adm)</v>
      </c>
      <c r="I2384" s="77" t="str">
        <f>IFERROR(VLOOKUP(DESPESAS[[#This Row],[Fornecedor]],Tabela2[],2,FALSE),"")</f>
        <v/>
      </c>
      <c r="J2384" s="77" t="str">
        <f>IFERROR(VLOOKUP(DESPESAS[[#This Row],[Plano de Contas]],BASE!$B$3:$F$119,4,FALSE),"")</f>
        <v>4 - GASTOS COM PESSOAL</v>
      </c>
      <c r="K2384" s="77" t="str">
        <f>IFERROR(VLOOKUP(DESPESAS[[#This Row],[Plano de Contas]],BASE!$B$3:$H$119,5,FALSE),"")</f>
        <v>DH</v>
      </c>
      <c r="L2384" s="77">
        <f>IFERROR(VLOOKUP(DESPESAS[[#This Row],[Plano de Contas]],BASE!$B$3:$H$119,6,FALSE),"")</f>
        <v>0</v>
      </c>
      <c r="M2384" s="77" t="str">
        <f>VLOOKUP(DESPESAS[[#This Row],[Plano de Contas]],BASE!$B$3:$H$119,7,FALSE)</f>
        <v>RAFAEL</v>
      </c>
    </row>
    <row r="2385" spans="1:13" x14ac:dyDescent="0.25">
      <c r="A2385" s="74">
        <v>199289</v>
      </c>
      <c r="B2385" s="75" t="s">
        <v>281</v>
      </c>
      <c r="C2385" s="75" t="s">
        <v>1562</v>
      </c>
      <c r="D2385" s="76">
        <v>46081</v>
      </c>
      <c r="E2385" s="75" t="s">
        <v>768</v>
      </c>
      <c r="F2385" s="74">
        <v>2863.59</v>
      </c>
      <c r="G2385" s="75" t="s">
        <v>767</v>
      </c>
      <c r="H2385" s="77" t="str">
        <f>VLOOKUP(DESPESAS[[#This Row],[Plano de Contas]],BASE!$B$3:$D$119,3,FALSE)</f>
        <v>INSS MOD</v>
      </c>
      <c r="I2385" s="77" t="str">
        <f>IFERROR(VLOOKUP(DESPESAS[[#This Row],[Fornecedor]],Tabela2[],2,FALSE),"")</f>
        <v/>
      </c>
      <c r="J2385" s="77" t="str">
        <f>IFERROR(VLOOKUP(DESPESAS[[#This Row],[Plano de Contas]],BASE!$B$3:$F$119,4,FALSE),"")</f>
        <v>2 - CUSTOS DIRETOS</v>
      </c>
      <c r="K2385" s="77" t="str">
        <f>IFERROR(VLOOKUP(DESPESAS[[#This Row],[Plano de Contas]],BASE!$B$3:$H$119,5,FALSE),"")</f>
        <v>DH</v>
      </c>
      <c r="L2385" s="77" t="str">
        <f>IFERROR(VLOOKUP(DESPESAS[[#This Row],[Plano de Contas]],BASE!$B$3:$H$119,6,FALSE),"")</f>
        <v>CUSTO MÃO DE OBRA DIRETA</v>
      </c>
      <c r="M2385" s="77" t="str">
        <f>VLOOKUP(DESPESAS[[#This Row],[Plano de Contas]],BASE!$B$3:$H$119,7,FALSE)</f>
        <v>RAFAEL</v>
      </c>
    </row>
    <row r="2386" spans="1:13" x14ac:dyDescent="0.25">
      <c r="A2386" s="74">
        <v>199290</v>
      </c>
      <c r="B2386" s="75" t="s">
        <v>281</v>
      </c>
      <c r="C2386" s="75" t="s">
        <v>1561</v>
      </c>
      <c r="D2386" s="76">
        <v>46081</v>
      </c>
      <c r="E2386" s="75" t="s">
        <v>768</v>
      </c>
      <c r="F2386" s="74">
        <v>877.25</v>
      </c>
      <c r="G2386" s="75" t="s">
        <v>770</v>
      </c>
      <c r="H2386" s="77" t="str">
        <f>VLOOKUP(DESPESAS[[#This Row],[Plano de Contas]],BASE!$B$3:$D$119,3,FALSE)</f>
        <v>INSS CIF</v>
      </c>
      <c r="I2386" s="77" t="str">
        <f>IFERROR(VLOOKUP(DESPESAS[[#This Row],[Fornecedor]],Tabela2[],2,FALSE),"")</f>
        <v/>
      </c>
      <c r="J2386" s="77" t="str">
        <f>IFERROR(VLOOKUP(DESPESAS[[#This Row],[Plano de Contas]],BASE!$B$3:$F$119,4,FALSE),"")</f>
        <v>3 - CUSTOS INDIRETOS</v>
      </c>
      <c r="K2386" s="77" t="str">
        <f>IFERROR(VLOOKUP(DESPESAS[[#This Row],[Plano de Contas]],BASE!$B$3:$H$119,5,FALSE),"")</f>
        <v>DH</v>
      </c>
      <c r="L2386" s="77" t="str">
        <f>IFERROR(VLOOKUP(DESPESAS[[#This Row],[Plano de Contas]],BASE!$B$3:$H$119,6,FALSE),"")</f>
        <v>CUSTO MÃO DE OBRA DIRETA</v>
      </c>
      <c r="M2386" s="77" t="str">
        <f>VLOOKUP(DESPESAS[[#This Row],[Plano de Contas]],BASE!$B$3:$H$119,7,FALSE)</f>
        <v>RAFAEL</v>
      </c>
    </row>
    <row r="2387" spans="1:13" x14ac:dyDescent="0.25">
      <c r="A2387" s="74">
        <v>199291</v>
      </c>
      <c r="B2387" s="75" t="s">
        <v>281</v>
      </c>
      <c r="C2387" s="75" t="s">
        <v>1560</v>
      </c>
      <c r="D2387" s="76">
        <v>46081</v>
      </c>
      <c r="E2387" s="75" t="s">
        <v>768</v>
      </c>
      <c r="F2387" s="74">
        <v>842.66</v>
      </c>
      <c r="G2387" s="75" t="s">
        <v>772</v>
      </c>
      <c r="H2387" s="77" t="str">
        <f>VLOOKUP(DESPESAS[[#This Row],[Plano de Contas]],BASE!$B$3:$D$119,3,FALSE)</f>
        <v>INSS (Adm)</v>
      </c>
      <c r="I2387" s="77" t="str">
        <f>IFERROR(VLOOKUP(DESPESAS[[#This Row],[Fornecedor]],Tabela2[],2,FALSE),"")</f>
        <v/>
      </c>
      <c r="J2387" s="77" t="str">
        <f>IFERROR(VLOOKUP(DESPESAS[[#This Row],[Plano de Contas]],BASE!$B$3:$F$119,4,FALSE),"")</f>
        <v>4 - GASTOS COM PESSOAL</v>
      </c>
      <c r="K2387" s="77" t="str">
        <f>IFERROR(VLOOKUP(DESPESAS[[#This Row],[Plano de Contas]],BASE!$B$3:$H$119,5,FALSE),"")</f>
        <v>DH</v>
      </c>
      <c r="L2387" s="77">
        <f>IFERROR(VLOOKUP(DESPESAS[[#This Row],[Plano de Contas]],BASE!$B$3:$H$119,6,FALSE),"")</f>
        <v>0</v>
      </c>
      <c r="M2387" s="77" t="str">
        <f>VLOOKUP(DESPESAS[[#This Row],[Plano de Contas]],BASE!$B$3:$H$119,7,FALSE)</f>
        <v>RAFAEL</v>
      </c>
    </row>
    <row r="2388" spans="1:13" x14ac:dyDescent="0.25">
      <c r="A2388" s="74">
        <v>199292</v>
      </c>
      <c r="B2388" s="75" t="s">
        <v>281</v>
      </c>
      <c r="C2388" s="75" t="s">
        <v>1565</v>
      </c>
      <c r="D2388" s="76">
        <v>46081</v>
      </c>
      <c r="E2388" s="75" t="s">
        <v>437</v>
      </c>
      <c r="F2388" s="74">
        <v>2866.5</v>
      </c>
      <c r="G2388" s="75" t="s">
        <v>779</v>
      </c>
      <c r="H2388" s="77" t="str">
        <f>VLOOKUP(DESPESAS[[#This Row],[Plano de Contas]],BASE!$B$3:$D$119,3,FALSE)</f>
        <v>FGTS MOD</v>
      </c>
      <c r="I2388" s="77" t="str">
        <f>IFERROR(VLOOKUP(DESPESAS[[#This Row],[Fornecedor]],Tabela2[],2,FALSE),"")</f>
        <v/>
      </c>
      <c r="J2388" s="77" t="str">
        <f>IFERROR(VLOOKUP(DESPESAS[[#This Row],[Plano de Contas]],BASE!$B$3:$F$119,4,FALSE),"")</f>
        <v>2 - CUSTOS DIRETOS</v>
      </c>
      <c r="K2388" s="77" t="str">
        <f>IFERROR(VLOOKUP(DESPESAS[[#This Row],[Plano de Contas]],BASE!$B$3:$H$119,5,FALSE),"")</f>
        <v>DH</v>
      </c>
      <c r="L2388" s="77" t="str">
        <f>IFERROR(VLOOKUP(DESPESAS[[#This Row],[Plano de Contas]],BASE!$B$3:$H$119,6,FALSE),"")</f>
        <v>CUSTO MÃO DE OBRA DIRETA</v>
      </c>
      <c r="M2388" s="77" t="str">
        <f>VLOOKUP(DESPESAS[[#This Row],[Plano de Contas]],BASE!$B$3:$H$119,7,FALSE)</f>
        <v>RAFAEL</v>
      </c>
    </row>
    <row r="2389" spans="1:13" x14ac:dyDescent="0.25">
      <c r="A2389" s="74">
        <v>199293</v>
      </c>
      <c r="B2389" s="75" t="s">
        <v>281</v>
      </c>
      <c r="C2389" s="75" t="s">
        <v>1564</v>
      </c>
      <c r="D2389" s="76">
        <v>46081</v>
      </c>
      <c r="E2389" s="75" t="s">
        <v>437</v>
      </c>
      <c r="F2389" s="74">
        <v>787.56</v>
      </c>
      <c r="G2389" s="75" t="s">
        <v>781</v>
      </c>
      <c r="H2389" s="77" t="str">
        <f>VLOOKUP(DESPESAS[[#This Row],[Plano de Contas]],BASE!$B$3:$D$119,3,FALSE)</f>
        <v>FGTS CIF</v>
      </c>
      <c r="I2389" s="77" t="str">
        <f>IFERROR(VLOOKUP(DESPESAS[[#This Row],[Fornecedor]],Tabela2[],2,FALSE),"")</f>
        <v/>
      </c>
      <c r="J2389" s="77" t="str">
        <f>IFERROR(VLOOKUP(DESPESAS[[#This Row],[Plano de Contas]],BASE!$B$3:$F$119,4,FALSE),"")</f>
        <v>3 - CUSTOS INDIRETOS</v>
      </c>
      <c r="K2389" s="77" t="str">
        <f>IFERROR(VLOOKUP(DESPESAS[[#This Row],[Plano de Contas]],BASE!$B$3:$H$119,5,FALSE),"")</f>
        <v>DH</v>
      </c>
      <c r="L2389" s="77" t="str">
        <f>IFERROR(VLOOKUP(DESPESAS[[#This Row],[Plano de Contas]],BASE!$B$3:$H$119,6,FALSE),"")</f>
        <v>CUSTO MÃO DE OBRA DIRETA</v>
      </c>
      <c r="M2389" s="77" t="str">
        <f>VLOOKUP(DESPESAS[[#This Row],[Plano de Contas]],BASE!$B$3:$H$119,7,FALSE)</f>
        <v>RAFAEL</v>
      </c>
    </row>
    <row r="2390" spans="1:13" x14ac:dyDescent="0.25">
      <c r="A2390" s="74">
        <v>199294</v>
      </c>
      <c r="B2390" s="75" t="s">
        <v>281</v>
      </c>
      <c r="C2390" s="75" t="s">
        <v>1563</v>
      </c>
      <c r="D2390" s="76">
        <v>46081</v>
      </c>
      <c r="E2390" s="75" t="s">
        <v>437</v>
      </c>
      <c r="F2390" s="74">
        <v>558.15</v>
      </c>
      <c r="G2390" s="75" t="s">
        <v>436</v>
      </c>
      <c r="H2390" s="77" t="str">
        <f>VLOOKUP(DESPESAS[[#This Row],[Plano de Contas]],BASE!$B$3:$D$119,3,FALSE)</f>
        <v>FGTS (Adm)</v>
      </c>
      <c r="I2390" s="77" t="str">
        <f>IFERROR(VLOOKUP(DESPESAS[[#This Row],[Fornecedor]],Tabela2[],2,FALSE),"")</f>
        <v/>
      </c>
      <c r="J2390" s="77" t="str">
        <f>IFERROR(VLOOKUP(DESPESAS[[#This Row],[Plano de Contas]],BASE!$B$3:$F$119,4,FALSE),"")</f>
        <v>4 - GASTOS COM PESSOAL</v>
      </c>
      <c r="K2390" s="77" t="str">
        <f>IFERROR(VLOOKUP(DESPESAS[[#This Row],[Plano de Contas]],BASE!$B$3:$H$119,5,FALSE),"")</f>
        <v>DH</v>
      </c>
      <c r="L2390" s="77">
        <f>IFERROR(VLOOKUP(DESPESAS[[#This Row],[Plano de Contas]],BASE!$B$3:$H$119,6,FALSE),"")</f>
        <v>0</v>
      </c>
      <c r="M2390" s="77" t="str">
        <f>VLOOKUP(DESPESAS[[#This Row],[Plano de Contas]],BASE!$B$3:$H$119,7,FALSE)</f>
        <v>RAFAEL</v>
      </c>
    </row>
    <row r="2391" spans="1:13" x14ac:dyDescent="0.25">
      <c r="A2391" s="74">
        <v>199295</v>
      </c>
      <c r="B2391" s="75" t="s">
        <v>232</v>
      </c>
      <c r="C2391" s="75" t="s">
        <v>1562</v>
      </c>
      <c r="D2391" s="76">
        <v>46081</v>
      </c>
      <c r="E2391" s="75" t="s">
        <v>768</v>
      </c>
      <c r="F2391" s="74">
        <v>26780.799999999999</v>
      </c>
      <c r="G2391" s="75" t="s">
        <v>767</v>
      </c>
      <c r="H2391" s="77" t="str">
        <f>VLOOKUP(DESPESAS[[#This Row],[Plano de Contas]],BASE!$B$3:$D$119,3,FALSE)</f>
        <v>INSS MOD</v>
      </c>
      <c r="I2391" s="77" t="str">
        <f>IFERROR(VLOOKUP(DESPESAS[[#This Row],[Fornecedor]],Tabela2[],2,FALSE),"")</f>
        <v/>
      </c>
      <c r="J2391" s="77" t="str">
        <f>IFERROR(VLOOKUP(DESPESAS[[#This Row],[Plano de Contas]],BASE!$B$3:$F$119,4,FALSE),"")</f>
        <v>2 - CUSTOS DIRETOS</v>
      </c>
      <c r="K2391" s="77" t="str">
        <f>IFERROR(VLOOKUP(DESPESAS[[#This Row],[Plano de Contas]],BASE!$B$3:$H$119,5,FALSE),"")</f>
        <v>DH</v>
      </c>
      <c r="L2391" s="77" t="str">
        <f>IFERROR(VLOOKUP(DESPESAS[[#This Row],[Plano de Contas]],BASE!$B$3:$H$119,6,FALSE),"")</f>
        <v>CUSTO MÃO DE OBRA DIRETA</v>
      </c>
      <c r="M2391" s="77" t="str">
        <f>VLOOKUP(DESPESAS[[#This Row],[Plano de Contas]],BASE!$B$3:$H$119,7,FALSE)</f>
        <v>RAFAEL</v>
      </c>
    </row>
    <row r="2392" spans="1:13" x14ac:dyDescent="0.25">
      <c r="A2392" s="74">
        <v>199296</v>
      </c>
      <c r="B2392" s="75" t="s">
        <v>232</v>
      </c>
      <c r="C2392" s="75" t="s">
        <v>1561</v>
      </c>
      <c r="D2392" s="76">
        <v>46081</v>
      </c>
      <c r="E2392" s="75" t="s">
        <v>768</v>
      </c>
      <c r="F2392" s="74">
        <v>6366.64</v>
      </c>
      <c r="G2392" s="75" t="s">
        <v>770</v>
      </c>
      <c r="H2392" s="77" t="str">
        <f>VLOOKUP(DESPESAS[[#This Row],[Plano de Contas]],BASE!$B$3:$D$119,3,FALSE)</f>
        <v>INSS CIF</v>
      </c>
      <c r="I2392" s="77" t="str">
        <f>IFERROR(VLOOKUP(DESPESAS[[#This Row],[Fornecedor]],Tabela2[],2,FALSE),"")</f>
        <v/>
      </c>
      <c r="J2392" s="77" t="str">
        <f>IFERROR(VLOOKUP(DESPESAS[[#This Row],[Plano de Contas]],BASE!$B$3:$F$119,4,FALSE),"")</f>
        <v>3 - CUSTOS INDIRETOS</v>
      </c>
      <c r="K2392" s="77" t="str">
        <f>IFERROR(VLOOKUP(DESPESAS[[#This Row],[Plano de Contas]],BASE!$B$3:$H$119,5,FALSE),"")</f>
        <v>DH</v>
      </c>
      <c r="L2392" s="77" t="str">
        <f>IFERROR(VLOOKUP(DESPESAS[[#This Row],[Plano de Contas]],BASE!$B$3:$H$119,6,FALSE),"")</f>
        <v>CUSTO MÃO DE OBRA DIRETA</v>
      </c>
      <c r="M2392" s="77" t="str">
        <f>VLOOKUP(DESPESAS[[#This Row],[Plano de Contas]],BASE!$B$3:$H$119,7,FALSE)</f>
        <v>RAFAEL</v>
      </c>
    </row>
    <row r="2393" spans="1:13" x14ac:dyDescent="0.25">
      <c r="A2393" s="74">
        <v>199297</v>
      </c>
      <c r="B2393" s="75" t="s">
        <v>232</v>
      </c>
      <c r="C2393" s="75" t="s">
        <v>1560</v>
      </c>
      <c r="D2393" s="76">
        <v>46081</v>
      </c>
      <c r="E2393" s="75" t="s">
        <v>768</v>
      </c>
      <c r="F2393" s="74">
        <v>11554.44</v>
      </c>
      <c r="G2393" s="75" t="s">
        <v>772</v>
      </c>
      <c r="H2393" s="77" t="str">
        <f>VLOOKUP(DESPESAS[[#This Row],[Plano de Contas]],BASE!$B$3:$D$119,3,FALSE)</f>
        <v>INSS (Adm)</v>
      </c>
      <c r="I2393" s="77" t="str">
        <f>IFERROR(VLOOKUP(DESPESAS[[#This Row],[Fornecedor]],Tabela2[],2,FALSE),"")</f>
        <v/>
      </c>
      <c r="J2393" s="77" t="str">
        <f>IFERROR(VLOOKUP(DESPESAS[[#This Row],[Plano de Contas]],BASE!$B$3:$F$119,4,FALSE),"")</f>
        <v>4 - GASTOS COM PESSOAL</v>
      </c>
      <c r="K2393" s="77" t="str">
        <f>IFERROR(VLOOKUP(DESPESAS[[#This Row],[Plano de Contas]],BASE!$B$3:$H$119,5,FALSE),"")</f>
        <v>DH</v>
      </c>
      <c r="L2393" s="77">
        <f>IFERROR(VLOOKUP(DESPESAS[[#This Row],[Plano de Contas]],BASE!$B$3:$H$119,6,FALSE),"")</f>
        <v>0</v>
      </c>
      <c r="M2393" s="77" t="str">
        <f>VLOOKUP(DESPESAS[[#This Row],[Plano de Contas]],BASE!$B$3:$H$119,7,FALSE)</f>
        <v>RAFAEL</v>
      </c>
    </row>
    <row r="2394" spans="1:13" x14ac:dyDescent="0.25">
      <c r="A2394" s="74">
        <v>199299</v>
      </c>
      <c r="B2394" s="75" t="s">
        <v>221</v>
      </c>
      <c r="C2394" s="75" t="s">
        <v>1559</v>
      </c>
      <c r="D2394" s="76">
        <v>46090</v>
      </c>
      <c r="E2394" s="75" t="s">
        <v>347</v>
      </c>
      <c r="F2394" s="74">
        <v>8200</v>
      </c>
      <c r="G2394" s="75" t="s">
        <v>1318</v>
      </c>
      <c r="H2394" s="77" t="str">
        <f>VLOOKUP(DESPESAS[[#This Row],[Plano de Contas]],BASE!$B$3:$D$119,3,FALSE)</f>
        <v>Feiras e Eventos</v>
      </c>
      <c r="I2394" s="77" t="str">
        <f>IFERROR(VLOOKUP(DESPESAS[[#This Row],[Fornecedor]],Tabela2[],2,FALSE),"")</f>
        <v/>
      </c>
      <c r="J2394" s="77" t="str">
        <f>IFERROR(VLOOKUP(DESPESAS[[#This Row],[Plano de Contas]],BASE!$B$3:$F$119,4,FALSE),"")</f>
        <v>6 - DESPESA COM VENDAS</v>
      </c>
      <c r="K2394" s="77" t="str">
        <f>IFERROR(VLOOKUP(DESPESAS[[#This Row],[Plano de Contas]],BASE!$B$3:$H$119,5,FALSE),"")</f>
        <v>COMERCIAL</v>
      </c>
      <c r="L2394" s="77">
        <f>IFERROR(VLOOKUP(DESPESAS[[#This Row],[Plano de Contas]],BASE!$B$3:$H$119,6,FALSE),"")</f>
        <v>0</v>
      </c>
      <c r="M2394" s="77" t="str">
        <f>VLOOKUP(DESPESAS[[#This Row],[Plano de Contas]],BASE!$B$3:$H$119,7,FALSE)</f>
        <v>THAIS</v>
      </c>
    </row>
    <row r="2395" spans="1:13" x14ac:dyDescent="0.25">
      <c r="A2395" s="74">
        <v>199300</v>
      </c>
      <c r="B2395" s="75" t="s">
        <v>232</v>
      </c>
      <c r="C2395" s="75" t="s">
        <v>1558</v>
      </c>
      <c r="D2395" s="76">
        <v>46090</v>
      </c>
      <c r="E2395" s="75" t="s">
        <v>230</v>
      </c>
      <c r="F2395" s="74">
        <v>1501.45</v>
      </c>
      <c r="G2395" s="75" t="s">
        <v>251</v>
      </c>
      <c r="H2395" s="77" t="str">
        <f>VLOOKUP(DESPESAS[[#This Row],[Plano de Contas]],BASE!$B$3:$D$119,3,FALSE)</f>
        <v>Juros Pagos - Antecipação de Crédito</v>
      </c>
      <c r="I2395" s="77" t="str">
        <f>IFERROR(VLOOKUP(DESPESAS[[#This Row],[Fornecedor]],Tabela2[],2,FALSE),"")</f>
        <v/>
      </c>
      <c r="J2395" s="77" t="str">
        <f>IFERROR(VLOOKUP(DESPESAS[[#This Row],[Plano de Contas]],BASE!$B$3:$F$119,4,FALSE),"")</f>
        <v>8 - DESPESAS FINANCEIRAS</v>
      </c>
      <c r="K2395" s="77" t="str">
        <f>IFERROR(VLOOKUP(DESPESAS[[#This Row],[Plano de Contas]],BASE!$B$3:$H$119,5,FALSE),"")</f>
        <v>FINANCEIRO</v>
      </c>
      <c r="L2395" s="77">
        <f>IFERROR(VLOOKUP(DESPESAS[[#This Row],[Plano de Contas]],BASE!$B$3:$H$119,6,FALSE),"")</f>
        <v>0</v>
      </c>
      <c r="M2395" s="77" t="str">
        <f>VLOOKUP(DESPESAS[[#This Row],[Plano de Contas]],BASE!$B$3:$H$119,7,FALSE)</f>
        <v>LETÍCIA</v>
      </c>
    </row>
    <row r="2396" spans="1:13" x14ac:dyDescent="0.25">
      <c r="A2396" s="74">
        <v>199301</v>
      </c>
      <c r="B2396" s="75" t="s">
        <v>232</v>
      </c>
      <c r="C2396" s="75" t="s">
        <v>1557</v>
      </c>
      <c r="D2396" s="76">
        <v>46090</v>
      </c>
      <c r="E2396" s="75" t="s">
        <v>230</v>
      </c>
      <c r="F2396" s="74">
        <v>246.19</v>
      </c>
      <c r="G2396" s="75" t="s">
        <v>229</v>
      </c>
      <c r="H2396" s="77" t="str">
        <f>VLOOKUP(DESPESAS[[#This Row],[Plano de Contas]],BASE!$B$3:$D$119,3,FALSE)</f>
        <v>Despesas Bancarias</v>
      </c>
      <c r="I2396" s="77" t="str">
        <f>IFERROR(VLOOKUP(DESPESAS[[#This Row],[Fornecedor]],Tabela2[],2,FALSE),"")</f>
        <v/>
      </c>
      <c r="J2396" s="77" t="str">
        <f>IFERROR(VLOOKUP(DESPESAS[[#This Row],[Plano de Contas]],BASE!$B$3:$F$119,4,FALSE),"")</f>
        <v>8 - DESPESAS FINANCEIRAS</v>
      </c>
      <c r="K2396" s="77" t="str">
        <f>IFERROR(VLOOKUP(DESPESAS[[#This Row],[Plano de Contas]],BASE!$B$3:$H$119,5,FALSE),"")</f>
        <v>FINANCEIRO</v>
      </c>
      <c r="L2396" s="77">
        <f>IFERROR(VLOOKUP(DESPESAS[[#This Row],[Plano de Contas]],BASE!$B$3:$H$119,6,FALSE),"")</f>
        <v>0</v>
      </c>
      <c r="M2396" s="77" t="str">
        <f>VLOOKUP(DESPESAS[[#This Row],[Plano de Contas]],BASE!$B$3:$H$119,7,FALSE)</f>
        <v>LETÍCIA</v>
      </c>
    </row>
    <row r="2397" spans="1:13" x14ac:dyDescent="0.25">
      <c r="A2397" s="74">
        <v>199302</v>
      </c>
      <c r="B2397" s="75" t="s">
        <v>232</v>
      </c>
      <c r="C2397" s="75" t="s">
        <v>1556</v>
      </c>
      <c r="D2397" s="76">
        <v>46090</v>
      </c>
      <c r="E2397" s="75" t="s">
        <v>230</v>
      </c>
      <c r="F2397" s="74">
        <v>209.39</v>
      </c>
      <c r="G2397" s="75" t="s">
        <v>229</v>
      </c>
      <c r="H2397" s="77" t="str">
        <f>VLOOKUP(DESPESAS[[#This Row],[Plano de Contas]],BASE!$B$3:$D$119,3,FALSE)</f>
        <v>Despesas Bancarias</v>
      </c>
      <c r="I2397" s="77" t="str">
        <f>IFERROR(VLOOKUP(DESPESAS[[#This Row],[Fornecedor]],Tabela2[],2,FALSE),"")</f>
        <v/>
      </c>
      <c r="J2397" s="77" t="str">
        <f>IFERROR(VLOOKUP(DESPESAS[[#This Row],[Plano de Contas]],BASE!$B$3:$F$119,4,FALSE),"")</f>
        <v>8 - DESPESAS FINANCEIRAS</v>
      </c>
      <c r="K2397" s="77" t="str">
        <f>IFERROR(VLOOKUP(DESPESAS[[#This Row],[Plano de Contas]],BASE!$B$3:$H$119,5,FALSE),"")</f>
        <v>FINANCEIRO</v>
      </c>
      <c r="L2397" s="77">
        <f>IFERROR(VLOOKUP(DESPESAS[[#This Row],[Plano de Contas]],BASE!$B$3:$H$119,6,FALSE),"")</f>
        <v>0</v>
      </c>
      <c r="M2397" s="77" t="str">
        <f>VLOOKUP(DESPESAS[[#This Row],[Plano de Contas]],BASE!$B$3:$H$119,7,FALSE)</f>
        <v>LETÍCIA</v>
      </c>
    </row>
    <row r="2398" spans="1:13" x14ac:dyDescent="0.25">
      <c r="A2398" s="74">
        <v>199303</v>
      </c>
      <c r="B2398" s="75" t="s">
        <v>221</v>
      </c>
      <c r="C2398" s="75" t="s">
        <v>1554</v>
      </c>
      <c r="D2398" s="76">
        <v>46097</v>
      </c>
      <c r="E2398" s="75" t="s">
        <v>347</v>
      </c>
      <c r="F2398" s="74">
        <v>189</v>
      </c>
      <c r="G2398" s="75" t="s">
        <v>360</v>
      </c>
      <c r="H2398" s="77" t="str">
        <f>VLOOKUP(DESPESAS[[#This Row],[Plano de Contas]],BASE!$B$3:$D$119,3,FALSE)</f>
        <v>Publicidade e Propaganda</v>
      </c>
      <c r="I2398" s="77" t="str">
        <f>IFERROR(VLOOKUP(DESPESAS[[#This Row],[Fornecedor]],Tabela2[],2,FALSE),"")</f>
        <v/>
      </c>
      <c r="J2398" s="77" t="str">
        <f>IFERROR(VLOOKUP(DESPESAS[[#This Row],[Plano de Contas]],BASE!$B$3:$F$119,4,FALSE),"")</f>
        <v>6 - DESPESA COM VENDAS</v>
      </c>
      <c r="K2398" s="77" t="str">
        <f>IFERROR(VLOOKUP(DESPESAS[[#This Row],[Plano de Contas]],BASE!$B$3:$H$119,5,FALSE),"")</f>
        <v>COMERCIAL</v>
      </c>
      <c r="L2398" s="77">
        <f>IFERROR(VLOOKUP(DESPESAS[[#This Row],[Plano de Contas]],BASE!$B$3:$H$119,6,FALSE),"")</f>
        <v>0</v>
      </c>
      <c r="M2398" s="77" t="str">
        <f>VLOOKUP(DESPESAS[[#This Row],[Plano de Contas]],BASE!$B$3:$H$119,7,FALSE)</f>
        <v>THAIS</v>
      </c>
    </row>
    <row r="2399" spans="1:13" x14ac:dyDescent="0.25">
      <c r="A2399" s="74">
        <v>199304</v>
      </c>
      <c r="B2399" s="75" t="s">
        <v>221</v>
      </c>
      <c r="C2399" s="75" t="s">
        <v>1555</v>
      </c>
      <c r="D2399" s="76">
        <v>46128</v>
      </c>
      <c r="E2399" s="75" t="s">
        <v>347</v>
      </c>
      <c r="F2399" s="74">
        <v>189</v>
      </c>
      <c r="G2399" s="75" t="s">
        <v>360</v>
      </c>
      <c r="H2399" s="77" t="str">
        <f>VLOOKUP(DESPESAS[[#This Row],[Plano de Contas]],BASE!$B$3:$D$119,3,FALSE)</f>
        <v>Publicidade e Propaganda</v>
      </c>
      <c r="I2399" s="77" t="str">
        <f>IFERROR(VLOOKUP(DESPESAS[[#This Row],[Fornecedor]],Tabela2[],2,FALSE),"")</f>
        <v/>
      </c>
      <c r="J2399" s="77" t="str">
        <f>IFERROR(VLOOKUP(DESPESAS[[#This Row],[Plano de Contas]],BASE!$B$3:$F$119,4,FALSE),"")</f>
        <v>6 - DESPESA COM VENDAS</v>
      </c>
      <c r="K2399" s="77" t="str">
        <f>IFERROR(VLOOKUP(DESPESAS[[#This Row],[Plano de Contas]],BASE!$B$3:$H$119,5,FALSE),"")</f>
        <v>COMERCIAL</v>
      </c>
      <c r="L2399" s="77">
        <f>IFERROR(VLOOKUP(DESPESAS[[#This Row],[Plano de Contas]],BASE!$B$3:$H$119,6,FALSE),"")</f>
        <v>0</v>
      </c>
      <c r="M2399" s="77" t="str">
        <f>VLOOKUP(DESPESAS[[#This Row],[Plano de Contas]],BASE!$B$3:$H$119,7,FALSE)</f>
        <v>THAIS</v>
      </c>
    </row>
    <row r="2400" spans="1:13" x14ac:dyDescent="0.25">
      <c r="A2400" s="74">
        <v>199315</v>
      </c>
      <c r="B2400" s="75" t="s">
        <v>232</v>
      </c>
      <c r="C2400" s="75" t="s">
        <v>1553</v>
      </c>
      <c r="D2400" s="76">
        <v>46090</v>
      </c>
      <c r="E2400" s="75" t="s">
        <v>230</v>
      </c>
      <c r="F2400" s="74">
        <v>34.76</v>
      </c>
      <c r="G2400" s="75" t="s">
        <v>229</v>
      </c>
      <c r="H2400" s="77" t="str">
        <f>VLOOKUP(DESPESAS[[#This Row],[Plano de Contas]],BASE!$B$3:$D$119,3,FALSE)</f>
        <v>Despesas Bancarias</v>
      </c>
      <c r="I2400" s="77" t="str">
        <f>IFERROR(VLOOKUP(DESPESAS[[#This Row],[Fornecedor]],Tabela2[],2,FALSE),"")</f>
        <v/>
      </c>
      <c r="J2400" s="77" t="str">
        <f>IFERROR(VLOOKUP(DESPESAS[[#This Row],[Plano de Contas]],BASE!$B$3:$F$119,4,FALSE),"")</f>
        <v>8 - DESPESAS FINANCEIRAS</v>
      </c>
      <c r="K2400" s="77" t="str">
        <f>IFERROR(VLOOKUP(DESPESAS[[#This Row],[Plano de Contas]],BASE!$B$3:$H$119,5,FALSE),"")</f>
        <v>FINANCEIRO</v>
      </c>
      <c r="L2400" s="77">
        <f>IFERROR(VLOOKUP(DESPESAS[[#This Row],[Plano de Contas]],BASE!$B$3:$H$119,6,FALSE),"")</f>
        <v>0</v>
      </c>
      <c r="M2400" s="77" t="str">
        <f>VLOOKUP(DESPESAS[[#This Row],[Plano de Contas]],BASE!$B$3:$H$119,7,FALSE)</f>
        <v>LETÍCIA</v>
      </c>
    </row>
    <row r="2401" spans="1:13" x14ac:dyDescent="0.25">
      <c r="A2401" s="74">
        <v>199316</v>
      </c>
      <c r="B2401" s="75" t="s">
        <v>279</v>
      </c>
      <c r="C2401" s="75" t="s">
        <v>1552</v>
      </c>
      <c r="D2401" s="76">
        <v>46090</v>
      </c>
      <c r="E2401" s="75" t="s">
        <v>230</v>
      </c>
      <c r="F2401" s="74">
        <v>8.69</v>
      </c>
      <c r="G2401" s="75" t="s">
        <v>229</v>
      </c>
      <c r="H2401" s="77" t="str">
        <f>VLOOKUP(DESPESAS[[#This Row],[Plano de Contas]],BASE!$B$3:$D$119,3,FALSE)</f>
        <v>Despesas Bancarias</v>
      </c>
      <c r="I2401" s="77" t="str">
        <f>IFERROR(VLOOKUP(DESPESAS[[#This Row],[Fornecedor]],Tabela2[],2,FALSE),"")</f>
        <v/>
      </c>
      <c r="J2401" s="77" t="str">
        <f>IFERROR(VLOOKUP(DESPESAS[[#This Row],[Plano de Contas]],BASE!$B$3:$F$119,4,FALSE),"")</f>
        <v>8 - DESPESAS FINANCEIRAS</v>
      </c>
      <c r="K2401" s="77" t="str">
        <f>IFERROR(VLOOKUP(DESPESAS[[#This Row],[Plano de Contas]],BASE!$B$3:$H$119,5,FALSE),"")</f>
        <v>FINANCEIRO</v>
      </c>
      <c r="L2401" s="77">
        <f>IFERROR(VLOOKUP(DESPESAS[[#This Row],[Plano de Contas]],BASE!$B$3:$H$119,6,FALSE),"")</f>
        <v>0</v>
      </c>
      <c r="M2401" s="77" t="str">
        <f>VLOOKUP(DESPESAS[[#This Row],[Plano de Contas]],BASE!$B$3:$H$119,7,FALSE)</f>
        <v>LETÍCIA</v>
      </c>
    </row>
    <row r="2402" spans="1:13" x14ac:dyDescent="0.25">
      <c r="A2402" s="74">
        <v>199317</v>
      </c>
      <c r="B2402" s="75" t="s">
        <v>281</v>
      </c>
      <c r="C2402" s="75" t="s">
        <v>1551</v>
      </c>
      <c r="D2402" s="76">
        <v>46090</v>
      </c>
      <c r="E2402" s="75" t="s">
        <v>230</v>
      </c>
      <c r="F2402" s="74">
        <v>5.53</v>
      </c>
      <c r="G2402" s="75" t="s">
        <v>229</v>
      </c>
      <c r="H2402" s="77" t="str">
        <f>VLOOKUP(DESPESAS[[#This Row],[Plano de Contas]],BASE!$B$3:$D$119,3,FALSE)</f>
        <v>Despesas Bancarias</v>
      </c>
      <c r="I2402" s="77" t="str">
        <f>IFERROR(VLOOKUP(DESPESAS[[#This Row],[Fornecedor]],Tabela2[],2,FALSE),"")</f>
        <v/>
      </c>
      <c r="J2402" s="77" t="str">
        <f>IFERROR(VLOOKUP(DESPESAS[[#This Row],[Plano de Contas]],BASE!$B$3:$F$119,4,FALSE),"")</f>
        <v>8 - DESPESAS FINANCEIRAS</v>
      </c>
      <c r="K2402" s="77" t="str">
        <f>IFERROR(VLOOKUP(DESPESAS[[#This Row],[Plano de Contas]],BASE!$B$3:$H$119,5,FALSE),"")</f>
        <v>FINANCEIRO</v>
      </c>
      <c r="L2402" s="77">
        <f>IFERROR(VLOOKUP(DESPESAS[[#This Row],[Plano de Contas]],BASE!$B$3:$H$119,6,FALSE),"")</f>
        <v>0</v>
      </c>
      <c r="M2402" s="77" t="str">
        <f>VLOOKUP(DESPESAS[[#This Row],[Plano de Contas]],BASE!$B$3:$H$119,7,FALSE)</f>
        <v>LETÍCIA</v>
      </c>
    </row>
    <row r="2403" spans="1:13" x14ac:dyDescent="0.25">
      <c r="A2403" s="74">
        <v>199318</v>
      </c>
      <c r="B2403" s="75" t="s">
        <v>221</v>
      </c>
      <c r="C2403" s="75" t="s">
        <v>1550</v>
      </c>
      <c r="D2403" s="76">
        <v>46090</v>
      </c>
      <c r="E2403" s="75" t="s">
        <v>1394</v>
      </c>
      <c r="F2403" s="74">
        <v>7.6</v>
      </c>
      <c r="G2403" s="75" t="s">
        <v>229</v>
      </c>
      <c r="H2403" s="77" t="str">
        <f>VLOOKUP(DESPESAS[[#This Row],[Plano de Contas]],BASE!$B$3:$D$119,3,FALSE)</f>
        <v>Despesas Bancarias</v>
      </c>
      <c r="I2403" s="77" t="str">
        <f>IFERROR(VLOOKUP(DESPESAS[[#This Row],[Fornecedor]],Tabela2[],2,FALSE),"")</f>
        <v/>
      </c>
      <c r="J2403" s="77" t="str">
        <f>IFERROR(VLOOKUP(DESPESAS[[#This Row],[Plano de Contas]],BASE!$B$3:$F$119,4,FALSE),"")</f>
        <v>8 - DESPESAS FINANCEIRAS</v>
      </c>
      <c r="K2403" s="77" t="str">
        <f>IFERROR(VLOOKUP(DESPESAS[[#This Row],[Plano de Contas]],BASE!$B$3:$H$119,5,FALSE),"")</f>
        <v>FINANCEIRO</v>
      </c>
      <c r="L2403" s="77">
        <f>IFERROR(VLOOKUP(DESPESAS[[#This Row],[Plano de Contas]],BASE!$B$3:$H$119,6,FALSE),"")</f>
        <v>0</v>
      </c>
      <c r="M2403" s="77" t="str">
        <f>VLOOKUP(DESPESAS[[#This Row],[Plano de Contas]],BASE!$B$3:$H$119,7,FALSE)</f>
        <v>LETÍCIA</v>
      </c>
    </row>
    <row r="2404" spans="1:13" x14ac:dyDescent="0.25">
      <c r="A2404" s="74">
        <v>199319</v>
      </c>
      <c r="B2404" s="75" t="s">
        <v>221</v>
      </c>
      <c r="C2404" s="75" t="s">
        <v>1549</v>
      </c>
      <c r="D2404" s="76">
        <v>46091</v>
      </c>
      <c r="E2404" s="75" t="s">
        <v>338</v>
      </c>
      <c r="F2404" s="74">
        <v>252</v>
      </c>
      <c r="G2404" s="75" t="s">
        <v>337</v>
      </c>
      <c r="H2404" s="77" t="str">
        <f>VLOOKUP(DESPESAS[[#This Row],[Plano de Contas]],BASE!$B$3:$D$119,3,FALSE)</f>
        <v>Vigilancia e Seguranca</v>
      </c>
      <c r="I2404" s="77" t="str">
        <f>IFERROR(VLOOKUP(DESPESAS[[#This Row],[Fornecedor]],Tabela2[],2,FALSE),"")</f>
        <v/>
      </c>
      <c r="J2404" s="77" t="str">
        <f>IFERROR(VLOOKUP(DESPESAS[[#This Row],[Plano de Contas]],BASE!$B$3:$F$119,4,FALSE),"")</f>
        <v>7 - SERVIÇOS DE TERCEIROS</v>
      </c>
      <c r="K2404" s="77" t="str">
        <f>IFERROR(VLOOKUP(DESPESAS[[#This Row],[Plano de Contas]],BASE!$B$3:$H$119,5,FALSE),"")</f>
        <v>FINANCEIRO</v>
      </c>
      <c r="L2404" s="77">
        <f>IFERROR(VLOOKUP(DESPESAS[[#This Row],[Plano de Contas]],BASE!$B$3:$H$119,6,FALSE),"")</f>
        <v>0</v>
      </c>
      <c r="M2404" s="77" t="str">
        <f>VLOOKUP(DESPESAS[[#This Row],[Plano de Contas]],BASE!$B$3:$H$119,7,FALSE)</f>
        <v>LETÍCIA</v>
      </c>
    </row>
    <row r="2405" spans="1:13" x14ac:dyDescent="0.25">
      <c r="A2405" s="74">
        <v>199321</v>
      </c>
      <c r="B2405" s="75" t="s">
        <v>221</v>
      </c>
      <c r="C2405" s="75" t="s">
        <v>1548</v>
      </c>
      <c r="D2405" s="76">
        <v>46091</v>
      </c>
      <c r="E2405" s="75" t="s">
        <v>402</v>
      </c>
      <c r="F2405" s="74">
        <v>1364</v>
      </c>
      <c r="G2405" s="75" t="s">
        <v>262</v>
      </c>
      <c r="H2405" s="77" t="str">
        <f>VLOOKUP(DESPESAS[[#This Row],[Plano de Contas]],BASE!$B$3:$D$119,3,FALSE)</f>
        <v>Fretes Karams</v>
      </c>
      <c r="I2405" s="77" t="str">
        <f>IFERROR(VLOOKUP(DESPESAS[[#This Row],[Fornecedor]],Tabela2[],2,FALSE),"")</f>
        <v/>
      </c>
      <c r="J2405" s="77" t="str">
        <f>IFERROR(VLOOKUP(DESPESAS[[#This Row],[Plano de Contas]],BASE!$B$3:$F$119,4,FALSE),"")</f>
        <v>6 - DESPESA COM VENDAS</v>
      </c>
      <c r="K2405" s="77" t="str">
        <f>IFERROR(VLOOKUP(DESPESAS[[#This Row],[Plano de Contas]],BASE!$B$3:$H$119,5,FALSE),"")</f>
        <v>LOGÍSTICA</v>
      </c>
      <c r="L2405" s="77">
        <f>IFERROR(VLOOKUP(DESPESAS[[#This Row],[Plano de Contas]],BASE!$B$3:$H$119,6,FALSE),"")</f>
        <v>0</v>
      </c>
      <c r="M2405" s="77" t="str">
        <f>VLOOKUP(DESPESAS[[#This Row],[Plano de Contas]],BASE!$B$3:$H$119,7,FALSE)</f>
        <v>MYLENA</v>
      </c>
    </row>
    <row r="2406" spans="1:13" x14ac:dyDescent="0.25">
      <c r="A2406" s="74">
        <v>199322</v>
      </c>
      <c r="B2406" s="75" t="s">
        <v>221</v>
      </c>
      <c r="C2406" s="75" t="s">
        <v>1547</v>
      </c>
      <c r="D2406" s="76">
        <v>46086</v>
      </c>
      <c r="E2406" s="75" t="s">
        <v>242</v>
      </c>
      <c r="F2406" s="74">
        <v>76.55</v>
      </c>
      <c r="G2406" s="75" t="s">
        <v>241</v>
      </c>
      <c r="H2406" s="77" t="str">
        <f>VLOOKUP(DESPESAS[[#This Row],[Plano de Contas]],BASE!$B$3:$D$119,3,FALSE)</f>
        <v>Combustiveis Frota</v>
      </c>
      <c r="I2406" s="77" t="str">
        <f>IFERROR(VLOOKUP(DESPESAS[[#This Row],[Fornecedor]],Tabela2[],2,FALSE),"")</f>
        <v/>
      </c>
      <c r="J2406" s="77" t="str">
        <f>IFERROR(VLOOKUP(DESPESAS[[#This Row],[Plano de Contas]],BASE!$B$3:$F$119,4,FALSE),"")</f>
        <v>6 - DESPESA COM VENDAS</v>
      </c>
      <c r="K2406" s="77" t="str">
        <f>IFERROR(VLOOKUP(DESPESAS[[#This Row],[Plano de Contas]],BASE!$B$3:$H$119,5,FALSE),"")</f>
        <v>LOGÍSTICA</v>
      </c>
      <c r="L2406" s="77">
        <f>IFERROR(VLOOKUP(DESPESAS[[#This Row],[Plano de Contas]],BASE!$B$3:$H$119,6,FALSE),"")</f>
        <v>0</v>
      </c>
      <c r="M2406" s="77" t="str">
        <f>VLOOKUP(DESPESAS[[#This Row],[Plano de Contas]],BASE!$B$3:$H$119,7,FALSE)</f>
        <v>MYLENA</v>
      </c>
    </row>
    <row r="2407" spans="1:13" x14ac:dyDescent="0.25">
      <c r="A2407" s="74">
        <v>199323</v>
      </c>
      <c r="B2407" s="75" t="s">
        <v>221</v>
      </c>
      <c r="C2407" s="75" t="s">
        <v>1546</v>
      </c>
      <c r="D2407" s="76">
        <v>46086</v>
      </c>
      <c r="E2407" s="75" t="s">
        <v>242</v>
      </c>
      <c r="F2407" s="74">
        <v>2893.52</v>
      </c>
      <c r="G2407" s="75" t="s">
        <v>241</v>
      </c>
      <c r="H2407" s="77" t="str">
        <f>VLOOKUP(DESPESAS[[#This Row],[Plano de Contas]],BASE!$B$3:$D$119,3,FALSE)</f>
        <v>Combustiveis Frota</v>
      </c>
      <c r="I2407" s="77" t="str">
        <f>IFERROR(VLOOKUP(DESPESAS[[#This Row],[Fornecedor]],Tabela2[],2,FALSE),"")</f>
        <v/>
      </c>
      <c r="J2407" s="77" t="str">
        <f>IFERROR(VLOOKUP(DESPESAS[[#This Row],[Plano de Contas]],BASE!$B$3:$F$119,4,FALSE),"")</f>
        <v>6 - DESPESA COM VENDAS</v>
      </c>
      <c r="K2407" s="77" t="str">
        <f>IFERROR(VLOOKUP(DESPESAS[[#This Row],[Plano de Contas]],BASE!$B$3:$H$119,5,FALSE),"")</f>
        <v>LOGÍSTICA</v>
      </c>
      <c r="L2407" s="77">
        <f>IFERROR(VLOOKUP(DESPESAS[[#This Row],[Plano de Contas]],BASE!$B$3:$H$119,6,FALSE),"")</f>
        <v>0</v>
      </c>
      <c r="M2407" s="77" t="str">
        <f>VLOOKUP(DESPESAS[[#This Row],[Plano de Contas]],BASE!$B$3:$H$119,7,FALSE)</f>
        <v>MYLENA</v>
      </c>
    </row>
    <row r="2408" spans="1:13" x14ac:dyDescent="0.25">
      <c r="A2408" s="74">
        <v>199324</v>
      </c>
      <c r="B2408" s="75" t="s">
        <v>232</v>
      </c>
      <c r="C2408" s="75" t="s">
        <v>1545</v>
      </c>
      <c r="D2408" s="76">
        <v>46091</v>
      </c>
      <c r="E2408" s="75" t="s">
        <v>1544</v>
      </c>
      <c r="F2408" s="74">
        <v>400</v>
      </c>
      <c r="G2408" s="75" t="s">
        <v>294</v>
      </c>
      <c r="H2408" s="77" t="str">
        <f>VLOOKUP(DESPESAS[[#This Row],[Plano de Contas]],BASE!$B$3:$D$119,3,FALSE)</f>
        <v>Insumos de Clientes</v>
      </c>
      <c r="I2408" s="77" t="str">
        <f>IFERROR(VLOOKUP(DESPESAS[[#This Row],[Fornecedor]],Tabela2[],2,FALSE),"")</f>
        <v/>
      </c>
      <c r="J2408" s="77" t="str">
        <f>IFERROR(VLOOKUP(DESPESAS[[#This Row],[Plano de Contas]],BASE!$B$3:$F$119,4,FALSE),"")</f>
        <v>8 - DESPESAS FINANCEIRAS</v>
      </c>
      <c r="K2408" s="77" t="str">
        <f>IFERROR(VLOOKUP(DESPESAS[[#This Row],[Plano de Contas]],BASE!$B$3:$H$119,5,FALSE),"")</f>
        <v>COMERCIAL</v>
      </c>
      <c r="L2408" s="77">
        <f>IFERROR(VLOOKUP(DESPESAS[[#This Row],[Plano de Contas]],BASE!$B$3:$H$119,6,FALSE),"")</f>
        <v>0</v>
      </c>
      <c r="M2408" s="77" t="str">
        <f>VLOOKUP(DESPESAS[[#This Row],[Plano de Contas]],BASE!$B$3:$H$119,7,FALSE)</f>
        <v>LETÍCIA</v>
      </c>
    </row>
    <row r="2409" spans="1:13" x14ac:dyDescent="0.25">
      <c r="A2409" s="74">
        <v>199326</v>
      </c>
      <c r="B2409" s="75" t="s">
        <v>281</v>
      </c>
      <c r="C2409" s="75" t="s">
        <v>1543</v>
      </c>
      <c r="D2409" s="76">
        <v>46091</v>
      </c>
      <c r="E2409" s="75" t="s">
        <v>361</v>
      </c>
      <c r="F2409" s="74">
        <v>43</v>
      </c>
      <c r="G2409" s="75" t="s">
        <v>259</v>
      </c>
      <c r="H2409" s="77" t="str">
        <f>VLOOKUP(DESPESAS[[#This Row],[Plano de Contas]],BASE!$B$3:$D$119,3,FALSE)</f>
        <v>Manutenção Predial CIF</v>
      </c>
      <c r="I2409" s="77" t="str">
        <f>IFERROR(VLOOKUP(DESPESAS[[#This Row],[Fornecedor]],Tabela2[],2,FALSE),"")</f>
        <v/>
      </c>
      <c r="J2409" s="77" t="str">
        <f>IFERROR(VLOOKUP(DESPESAS[[#This Row],[Plano de Contas]],BASE!$B$3:$F$119,4,FALSE),"")</f>
        <v>3 - CUSTOS INDIRETOS</v>
      </c>
      <c r="K2409" s="77" t="str">
        <f>IFERROR(VLOOKUP(DESPESAS[[#This Row],[Plano de Contas]],BASE!$B$3:$H$119,5,FALSE),"")</f>
        <v>MANUTENÇÃO / TI</v>
      </c>
      <c r="L2409" s="77">
        <f>IFERROR(VLOOKUP(DESPESAS[[#This Row],[Plano de Contas]],BASE!$B$3:$H$119,6,FALSE),"")</f>
        <v>0</v>
      </c>
      <c r="M2409" s="77" t="str">
        <f>VLOOKUP(DESPESAS[[#This Row],[Plano de Contas]],BASE!$B$3:$H$119,7,FALSE)</f>
        <v>FÁBIO</v>
      </c>
    </row>
    <row r="2410" spans="1:13" x14ac:dyDescent="0.25">
      <c r="A2410" s="74">
        <v>199327</v>
      </c>
      <c r="B2410" s="75" t="s">
        <v>281</v>
      </c>
      <c r="C2410" s="75" t="s">
        <v>1542</v>
      </c>
      <c r="D2410" s="76">
        <v>46091</v>
      </c>
      <c r="E2410" s="75" t="s">
        <v>361</v>
      </c>
      <c r="F2410" s="74">
        <v>175.29</v>
      </c>
      <c r="G2410" s="75" t="s">
        <v>259</v>
      </c>
      <c r="H2410" s="77" t="str">
        <f>VLOOKUP(DESPESAS[[#This Row],[Plano de Contas]],BASE!$B$3:$D$119,3,FALSE)</f>
        <v>Manutenção Predial CIF</v>
      </c>
      <c r="I2410" s="77" t="str">
        <f>IFERROR(VLOOKUP(DESPESAS[[#This Row],[Fornecedor]],Tabela2[],2,FALSE),"")</f>
        <v/>
      </c>
      <c r="J2410" s="77" t="str">
        <f>IFERROR(VLOOKUP(DESPESAS[[#This Row],[Plano de Contas]],BASE!$B$3:$F$119,4,FALSE),"")</f>
        <v>3 - CUSTOS INDIRETOS</v>
      </c>
      <c r="K2410" s="77" t="str">
        <f>IFERROR(VLOOKUP(DESPESAS[[#This Row],[Plano de Contas]],BASE!$B$3:$H$119,5,FALSE),"")</f>
        <v>MANUTENÇÃO / TI</v>
      </c>
      <c r="L2410" s="77">
        <f>IFERROR(VLOOKUP(DESPESAS[[#This Row],[Plano de Contas]],BASE!$B$3:$H$119,6,FALSE),"")</f>
        <v>0</v>
      </c>
      <c r="M2410" s="77" t="str">
        <f>VLOOKUP(DESPESAS[[#This Row],[Plano de Contas]],BASE!$B$3:$H$119,7,FALSE)</f>
        <v>FÁBIO</v>
      </c>
    </row>
    <row r="2411" spans="1:13" x14ac:dyDescent="0.25">
      <c r="A2411" s="74">
        <v>199328</v>
      </c>
      <c r="B2411" s="75" t="s">
        <v>281</v>
      </c>
      <c r="C2411" s="75" t="s">
        <v>1541</v>
      </c>
      <c r="D2411" s="76">
        <v>46091</v>
      </c>
      <c r="E2411" s="75" t="s">
        <v>361</v>
      </c>
      <c r="F2411" s="74">
        <v>346.54</v>
      </c>
      <c r="G2411" s="75" t="s">
        <v>693</v>
      </c>
      <c r="H2411" s="77" t="str">
        <f>VLOOKUP(DESPESAS[[#This Row],[Plano de Contas]],BASE!$B$3:$D$119,3,FALSE)</f>
        <v>Computadores e Periféricos</v>
      </c>
      <c r="I2411" s="77" t="str">
        <f>IFERROR(VLOOKUP(DESPESAS[[#This Row],[Fornecedor]],Tabela2[],2,FALSE),"")</f>
        <v/>
      </c>
      <c r="J2411" s="77" t="str">
        <f>IFERROR(VLOOKUP(DESPESAS[[#This Row],[Plano de Contas]],BASE!$B$3:$F$119,4,FALSE),"")</f>
        <v>9 - INVESTIMENTOS</v>
      </c>
      <c r="K2411" s="77" t="str">
        <f>IFERROR(VLOOKUP(DESPESAS[[#This Row],[Plano de Contas]],BASE!$B$3:$H$119,5,FALSE),"")</f>
        <v>MANUTENÇÃO / TI</v>
      </c>
      <c r="L2411" s="77">
        <f>IFERROR(VLOOKUP(DESPESAS[[#This Row],[Plano de Contas]],BASE!$B$3:$H$119,6,FALSE),"")</f>
        <v>0</v>
      </c>
      <c r="M2411" s="77" t="str">
        <f>VLOOKUP(DESPESAS[[#This Row],[Plano de Contas]],BASE!$B$3:$H$119,7,FALSE)</f>
        <v>RAFAEL</v>
      </c>
    </row>
    <row r="2412" spans="1:13" x14ac:dyDescent="0.25">
      <c r="A2412" s="74">
        <v>199329</v>
      </c>
      <c r="B2412" s="75" t="s">
        <v>281</v>
      </c>
      <c r="C2412" s="75" t="s">
        <v>1540</v>
      </c>
      <c r="D2412" s="76">
        <v>46091</v>
      </c>
      <c r="E2412" s="75" t="s">
        <v>361</v>
      </c>
      <c r="F2412" s="74">
        <v>29.94</v>
      </c>
      <c r="G2412" s="75" t="s">
        <v>218</v>
      </c>
      <c r="H2412" s="77" t="str">
        <f>VLOOKUP(DESPESAS[[#This Row],[Plano de Contas]],BASE!$B$3:$D$119,3,FALSE)</f>
        <v>Manutenção de Equipamentos (Prod)</v>
      </c>
      <c r="I2412" s="77" t="str">
        <f>IFERROR(VLOOKUP(DESPESAS[[#This Row],[Fornecedor]],Tabela2[],2,FALSE),"")</f>
        <v/>
      </c>
      <c r="J2412" s="77" t="str">
        <f>IFERROR(VLOOKUP(DESPESAS[[#This Row],[Plano de Contas]],BASE!$B$3:$F$119,4,FALSE),"")</f>
        <v>3 - CUSTOS INDIRETOS</v>
      </c>
      <c r="K2412" s="77" t="str">
        <f>IFERROR(VLOOKUP(DESPESAS[[#This Row],[Plano de Contas]],BASE!$B$3:$H$119,5,FALSE),"")</f>
        <v>MANUTENÇÃO / TI</v>
      </c>
      <c r="L2412" s="77">
        <f>IFERROR(VLOOKUP(DESPESAS[[#This Row],[Plano de Contas]],BASE!$B$3:$H$119,6,FALSE),"")</f>
        <v>0</v>
      </c>
      <c r="M2412" s="77" t="str">
        <f>VLOOKUP(DESPESAS[[#This Row],[Plano de Contas]],BASE!$B$3:$H$119,7,FALSE)</f>
        <v>RAFAEL</v>
      </c>
    </row>
    <row r="2413" spans="1:13" x14ac:dyDescent="0.25">
      <c r="A2413" s="74">
        <v>199332</v>
      </c>
      <c r="B2413" s="75" t="s">
        <v>281</v>
      </c>
      <c r="C2413" s="75" t="s">
        <v>1539</v>
      </c>
      <c r="D2413" s="76">
        <v>46091</v>
      </c>
      <c r="E2413" s="75" t="s">
        <v>361</v>
      </c>
      <c r="F2413" s="74">
        <v>332.4</v>
      </c>
      <c r="G2413" s="75" t="s">
        <v>588</v>
      </c>
      <c r="H2413" s="77" t="str">
        <f>VLOOKUP(DESPESAS[[#This Row],[Plano de Contas]],BASE!$B$3:$D$119,3,FALSE)</f>
        <v>Maquinas e Equipamentos</v>
      </c>
      <c r="I2413" s="77" t="str">
        <f>IFERROR(VLOOKUP(DESPESAS[[#This Row],[Fornecedor]],Tabela2[],2,FALSE),"")</f>
        <v/>
      </c>
      <c r="J2413" s="77" t="str">
        <f>IFERROR(VLOOKUP(DESPESAS[[#This Row],[Plano de Contas]],BASE!$B$3:$F$119,4,FALSE),"")</f>
        <v>9 - INVESTIMENTOS</v>
      </c>
      <c r="K2413" s="77" t="str">
        <f>IFERROR(VLOOKUP(DESPESAS[[#This Row],[Plano de Contas]],BASE!$B$3:$H$119,5,FALSE),"")</f>
        <v>MANUTENÇÃO / TI</v>
      </c>
      <c r="L2413" s="77">
        <f>IFERROR(VLOOKUP(DESPESAS[[#This Row],[Plano de Contas]],BASE!$B$3:$H$119,6,FALSE),"")</f>
        <v>0</v>
      </c>
      <c r="M2413" s="77" t="str">
        <f>VLOOKUP(DESPESAS[[#This Row],[Plano de Contas]],BASE!$B$3:$H$119,7,FALSE)</f>
        <v>RAFAEL</v>
      </c>
    </row>
    <row r="2414" spans="1:13" x14ac:dyDescent="0.25">
      <c r="A2414" s="74">
        <v>199333</v>
      </c>
      <c r="B2414" s="75" t="s">
        <v>281</v>
      </c>
      <c r="C2414" s="75" t="s">
        <v>1538</v>
      </c>
      <c r="D2414" s="76">
        <v>46091</v>
      </c>
      <c r="E2414" s="75" t="s">
        <v>361</v>
      </c>
      <c r="F2414" s="74">
        <v>949.99</v>
      </c>
      <c r="G2414" s="75" t="s">
        <v>693</v>
      </c>
      <c r="H2414" s="77" t="str">
        <f>VLOOKUP(DESPESAS[[#This Row],[Plano de Contas]],BASE!$B$3:$D$119,3,FALSE)</f>
        <v>Computadores e Periféricos</v>
      </c>
      <c r="I2414" s="77" t="str">
        <f>IFERROR(VLOOKUP(DESPESAS[[#This Row],[Fornecedor]],Tabela2[],2,FALSE),"")</f>
        <v/>
      </c>
      <c r="J2414" s="77" t="str">
        <f>IFERROR(VLOOKUP(DESPESAS[[#This Row],[Plano de Contas]],BASE!$B$3:$F$119,4,FALSE),"")</f>
        <v>9 - INVESTIMENTOS</v>
      </c>
      <c r="K2414" s="77" t="str">
        <f>IFERROR(VLOOKUP(DESPESAS[[#This Row],[Plano de Contas]],BASE!$B$3:$H$119,5,FALSE),"")</f>
        <v>MANUTENÇÃO / TI</v>
      </c>
      <c r="L2414" s="77">
        <f>IFERROR(VLOOKUP(DESPESAS[[#This Row],[Plano de Contas]],BASE!$B$3:$H$119,6,FALSE),"")</f>
        <v>0</v>
      </c>
      <c r="M2414" s="77" t="str">
        <f>VLOOKUP(DESPESAS[[#This Row],[Plano de Contas]],BASE!$B$3:$H$119,7,FALSE)</f>
        <v>RAFAEL</v>
      </c>
    </row>
    <row r="2415" spans="1:13" x14ac:dyDescent="0.25">
      <c r="A2415" s="74">
        <v>199334</v>
      </c>
      <c r="B2415" s="75" t="s">
        <v>281</v>
      </c>
      <c r="C2415" s="75" t="s">
        <v>1537</v>
      </c>
      <c r="D2415" s="76">
        <v>46091</v>
      </c>
      <c r="E2415" s="75" t="s">
        <v>361</v>
      </c>
      <c r="F2415" s="74">
        <v>156.24</v>
      </c>
      <c r="G2415" s="75" t="s">
        <v>244</v>
      </c>
      <c r="H2415" s="77" t="str">
        <f>VLOOKUP(DESPESAS[[#This Row],[Plano de Contas]],BASE!$B$3:$D$119,3,FALSE)</f>
        <v>Material de Expediente (Prod)</v>
      </c>
      <c r="I2415" s="77" t="str">
        <f>IFERROR(VLOOKUP(DESPESAS[[#This Row],[Fornecedor]],Tabela2[],2,FALSE),"")</f>
        <v/>
      </c>
      <c r="J2415" s="77" t="str">
        <f>IFERROR(VLOOKUP(DESPESAS[[#This Row],[Plano de Contas]],BASE!$B$3:$F$119,4,FALSE),"")</f>
        <v>2 - CUSTOS DIRETOS</v>
      </c>
      <c r="K2415" s="77" t="str">
        <f>IFERROR(VLOOKUP(DESPESAS[[#This Row],[Plano de Contas]],BASE!$B$3:$H$119,5,FALSE),"")</f>
        <v>PRODUÇÃO</v>
      </c>
      <c r="L2415" s="77">
        <f>IFERROR(VLOOKUP(DESPESAS[[#This Row],[Plano de Contas]],BASE!$B$3:$H$119,6,FALSE),"")</f>
        <v>0</v>
      </c>
      <c r="M2415" s="77" t="str">
        <f>VLOOKUP(DESPESAS[[#This Row],[Plano de Contas]],BASE!$B$3:$H$119,7,FALSE)</f>
        <v>RAFAEL</v>
      </c>
    </row>
    <row r="2416" spans="1:13" x14ac:dyDescent="0.25">
      <c r="A2416" s="74">
        <v>199335</v>
      </c>
      <c r="B2416" s="75" t="s">
        <v>281</v>
      </c>
      <c r="C2416" s="75" t="s">
        <v>1536</v>
      </c>
      <c r="D2416" s="76">
        <v>46091</v>
      </c>
      <c r="E2416" s="75" t="s">
        <v>361</v>
      </c>
      <c r="F2416" s="74">
        <v>392.9</v>
      </c>
      <c r="G2416" s="75" t="s">
        <v>588</v>
      </c>
      <c r="H2416" s="77" t="str">
        <f>VLOOKUP(DESPESAS[[#This Row],[Plano de Contas]],BASE!$B$3:$D$119,3,FALSE)</f>
        <v>Maquinas e Equipamentos</v>
      </c>
      <c r="I2416" s="77" t="str">
        <f>IFERROR(VLOOKUP(DESPESAS[[#This Row],[Fornecedor]],Tabela2[],2,FALSE),"")</f>
        <v/>
      </c>
      <c r="J2416" s="77" t="str">
        <f>IFERROR(VLOOKUP(DESPESAS[[#This Row],[Plano de Contas]],BASE!$B$3:$F$119,4,FALSE),"")</f>
        <v>9 - INVESTIMENTOS</v>
      </c>
      <c r="K2416" s="77" t="str">
        <f>IFERROR(VLOOKUP(DESPESAS[[#This Row],[Plano de Contas]],BASE!$B$3:$H$119,5,FALSE),"")</f>
        <v>MANUTENÇÃO / TI</v>
      </c>
      <c r="L2416" s="77">
        <f>IFERROR(VLOOKUP(DESPESAS[[#This Row],[Plano de Contas]],BASE!$B$3:$H$119,6,FALSE),"")</f>
        <v>0</v>
      </c>
      <c r="M2416" s="77" t="str">
        <f>VLOOKUP(DESPESAS[[#This Row],[Plano de Contas]],BASE!$B$3:$H$119,7,FALSE)</f>
        <v>RAFAEL</v>
      </c>
    </row>
    <row r="2417" spans="1:13" x14ac:dyDescent="0.25">
      <c r="A2417" s="74">
        <v>199336</v>
      </c>
      <c r="B2417" s="75" t="s">
        <v>281</v>
      </c>
      <c r="C2417" s="75" t="s">
        <v>1535</v>
      </c>
      <c r="D2417" s="76">
        <v>46091</v>
      </c>
      <c r="E2417" s="75" t="s">
        <v>361</v>
      </c>
      <c r="F2417" s="74">
        <v>71.069999999999993</v>
      </c>
      <c r="G2417" s="75" t="s">
        <v>420</v>
      </c>
      <c r="H2417" s="77" t="str">
        <f>VLOOKUP(DESPESAS[[#This Row],[Plano de Contas]],BASE!$B$3:$D$119,3,FALSE)</f>
        <v>Material de Expediente (Adm)</v>
      </c>
      <c r="I2417" s="77" t="str">
        <f>IFERROR(VLOOKUP(DESPESAS[[#This Row],[Fornecedor]],Tabela2[],2,FALSE),"")</f>
        <v/>
      </c>
      <c r="J2417" s="77" t="str">
        <f>IFERROR(VLOOKUP(DESPESAS[[#This Row],[Plano de Contas]],BASE!$B$3:$F$119,4,FALSE),"")</f>
        <v>5 - DESPESAS ADMINISTRATIVAS</v>
      </c>
      <c r="K2417" s="77" t="str">
        <f>IFERROR(VLOOKUP(DESPESAS[[#This Row],[Plano de Contas]],BASE!$B$3:$H$119,5,FALSE),"")</f>
        <v>ADMINISTRATIVO</v>
      </c>
      <c r="L2417" s="77">
        <f>IFERROR(VLOOKUP(DESPESAS[[#This Row],[Plano de Contas]],BASE!$B$3:$H$119,6,FALSE),"")</f>
        <v>0</v>
      </c>
      <c r="M2417" s="77" t="str">
        <f>VLOOKUP(DESPESAS[[#This Row],[Plano de Contas]],BASE!$B$3:$H$119,7,FALSE)</f>
        <v>LETÍCIA</v>
      </c>
    </row>
    <row r="2418" spans="1:13" x14ac:dyDescent="0.25">
      <c r="A2418" s="74">
        <v>199337</v>
      </c>
      <c r="B2418" s="75" t="s">
        <v>281</v>
      </c>
      <c r="C2418" s="75" t="s">
        <v>1534</v>
      </c>
      <c r="D2418" s="76">
        <v>46091</v>
      </c>
      <c r="E2418" s="75" t="s">
        <v>361</v>
      </c>
      <c r="F2418" s="74">
        <v>39.9</v>
      </c>
      <c r="G2418" s="75" t="s">
        <v>244</v>
      </c>
      <c r="H2418" s="77" t="str">
        <f>VLOOKUP(DESPESAS[[#This Row],[Plano de Contas]],BASE!$B$3:$D$119,3,FALSE)</f>
        <v>Material de Expediente (Prod)</v>
      </c>
      <c r="I2418" s="77" t="str">
        <f>IFERROR(VLOOKUP(DESPESAS[[#This Row],[Fornecedor]],Tabela2[],2,FALSE),"")</f>
        <v/>
      </c>
      <c r="J2418" s="77" t="str">
        <f>IFERROR(VLOOKUP(DESPESAS[[#This Row],[Plano de Contas]],BASE!$B$3:$F$119,4,FALSE),"")</f>
        <v>2 - CUSTOS DIRETOS</v>
      </c>
      <c r="K2418" s="77" t="str">
        <f>IFERROR(VLOOKUP(DESPESAS[[#This Row],[Plano de Contas]],BASE!$B$3:$H$119,5,FALSE),"")</f>
        <v>PRODUÇÃO</v>
      </c>
      <c r="L2418" s="77">
        <f>IFERROR(VLOOKUP(DESPESAS[[#This Row],[Plano de Contas]],BASE!$B$3:$H$119,6,FALSE),"")</f>
        <v>0</v>
      </c>
      <c r="M2418" s="77" t="str">
        <f>VLOOKUP(DESPESAS[[#This Row],[Plano de Contas]],BASE!$B$3:$H$119,7,FALSE)</f>
        <v>RAFAEL</v>
      </c>
    </row>
    <row r="2419" spans="1:13" x14ac:dyDescent="0.25">
      <c r="A2419" s="74">
        <v>199338</v>
      </c>
      <c r="B2419" s="75" t="s">
        <v>281</v>
      </c>
      <c r="C2419" s="75" t="s">
        <v>1533</v>
      </c>
      <c r="D2419" s="76">
        <v>46091</v>
      </c>
      <c r="E2419" s="75" t="s">
        <v>361</v>
      </c>
      <c r="F2419" s="74">
        <v>645.53</v>
      </c>
      <c r="G2419" s="75" t="s">
        <v>588</v>
      </c>
      <c r="H2419" s="77" t="str">
        <f>VLOOKUP(DESPESAS[[#This Row],[Plano de Contas]],BASE!$B$3:$D$119,3,FALSE)</f>
        <v>Maquinas e Equipamentos</v>
      </c>
      <c r="I2419" s="77" t="str">
        <f>IFERROR(VLOOKUP(DESPESAS[[#This Row],[Fornecedor]],Tabela2[],2,FALSE),"")</f>
        <v/>
      </c>
      <c r="J2419" s="77" t="str">
        <f>IFERROR(VLOOKUP(DESPESAS[[#This Row],[Plano de Contas]],BASE!$B$3:$F$119,4,FALSE),"")</f>
        <v>9 - INVESTIMENTOS</v>
      </c>
      <c r="K2419" s="77" t="str">
        <f>IFERROR(VLOOKUP(DESPESAS[[#This Row],[Plano de Contas]],BASE!$B$3:$H$119,5,FALSE),"")</f>
        <v>MANUTENÇÃO / TI</v>
      </c>
      <c r="L2419" s="77">
        <f>IFERROR(VLOOKUP(DESPESAS[[#This Row],[Plano de Contas]],BASE!$B$3:$H$119,6,FALSE),"")</f>
        <v>0</v>
      </c>
      <c r="M2419" s="77" t="str">
        <f>VLOOKUP(DESPESAS[[#This Row],[Plano de Contas]],BASE!$B$3:$H$119,7,FALSE)</f>
        <v>RAFAEL</v>
      </c>
    </row>
    <row r="2420" spans="1:13" x14ac:dyDescent="0.25">
      <c r="A2420" s="74">
        <v>199339</v>
      </c>
      <c r="B2420" s="75" t="s">
        <v>281</v>
      </c>
      <c r="C2420" s="75" t="s">
        <v>1532</v>
      </c>
      <c r="D2420" s="76">
        <v>46091</v>
      </c>
      <c r="E2420" s="75" t="s">
        <v>361</v>
      </c>
      <c r="F2420" s="74">
        <v>193.4</v>
      </c>
      <c r="G2420" s="75" t="s">
        <v>218</v>
      </c>
      <c r="H2420" s="77" t="str">
        <f>VLOOKUP(DESPESAS[[#This Row],[Plano de Contas]],BASE!$B$3:$D$119,3,FALSE)</f>
        <v>Manutenção de Equipamentos (Prod)</v>
      </c>
      <c r="I2420" s="77" t="str">
        <f>IFERROR(VLOOKUP(DESPESAS[[#This Row],[Fornecedor]],Tabela2[],2,FALSE),"")</f>
        <v/>
      </c>
      <c r="J2420" s="77" t="str">
        <f>IFERROR(VLOOKUP(DESPESAS[[#This Row],[Plano de Contas]],BASE!$B$3:$F$119,4,FALSE),"")</f>
        <v>3 - CUSTOS INDIRETOS</v>
      </c>
      <c r="K2420" s="77" t="str">
        <f>IFERROR(VLOOKUP(DESPESAS[[#This Row],[Plano de Contas]],BASE!$B$3:$H$119,5,FALSE),"")</f>
        <v>MANUTENÇÃO / TI</v>
      </c>
      <c r="L2420" s="77">
        <f>IFERROR(VLOOKUP(DESPESAS[[#This Row],[Plano de Contas]],BASE!$B$3:$H$119,6,FALSE),"")</f>
        <v>0</v>
      </c>
      <c r="M2420" s="77" t="str">
        <f>VLOOKUP(DESPESAS[[#This Row],[Plano de Contas]],BASE!$B$3:$H$119,7,FALSE)</f>
        <v>RAFAEL</v>
      </c>
    </row>
    <row r="2421" spans="1:13" x14ac:dyDescent="0.25">
      <c r="A2421" s="74">
        <v>199340</v>
      </c>
      <c r="B2421" s="75" t="s">
        <v>281</v>
      </c>
      <c r="C2421" s="75" t="s">
        <v>1531</v>
      </c>
      <c r="D2421" s="76">
        <v>46091</v>
      </c>
      <c r="E2421" s="75" t="s">
        <v>361</v>
      </c>
      <c r="F2421" s="74">
        <v>260</v>
      </c>
      <c r="G2421" s="75" t="s">
        <v>588</v>
      </c>
      <c r="H2421" s="77" t="str">
        <f>VLOOKUP(DESPESAS[[#This Row],[Plano de Contas]],BASE!$B$3:$D$119,3,FALSE)</f>
        <v>Maquinas e Equipamentos</v>
      </c>
      <c r="I2421" s="77" t="str">
        <f>IFERROR(VLOOKUP(DESPESAS[[#This Row],[Fornecedor]],Tabela2[],2,FALSE),"")</f>
        <v/>
      </c>
      <c r="J2421" s="77" t="str">
        <f>IFERROR(VLOOKUP(DESPESAS[[#This Row],[Plano de Contas]],BASE!$B$3:$F$119,4,FALSE),"")</f>
        <v>9 - INVESTIMENTOS</v>
      </c>
      <c r="K2421" s="77" t="str">
        <f>IFERROR(VLOOKUP(DESPESAS[[#This Row],[Plano de Contas]],BASE!$B$3:$H$119,5,FALSE),"")</f>
        <v>MANUTENÇÃO / TI</v>
      </c>
      <c r="L2421" s="77">
        <f>IFERROR(VLOOKUP(DESPESAS[[#This Row],[Plano de Contas]],BASE!$B$3:$H$119,6,FALSE),"")</f>
        <v>0</v>
      </c>
      <c r="M2421" s="77" t="str">
        <f>VLOOKUP(DESPESAS[[#This Row],[Plano de Contas]],BASE!$B$3:$H$119,7,FALSE)</f>
        <v>RAFAEL</v>
      </c>
    </row>
    <row r="2422" spans="1:13" x14ac:dyDescent="0.25">
      <c r="A2422" s="74">
        <v>199341</v>
      </c>
      <c r="B2422" s="75" t="s">
        <v>281</v>
      </c>
      <c r="C2422" s="75" t="s">
        <v>1530</v>
      </c>
      <c r="D2422" s="76">
        <v>46091</v>
      </c>
      <c r="E2422" s="75" t="s">
        <v>361</v>
      </c>
      <c r="F2422" s="74">
        <v>96.31</v>
      </c>
      <c r="G2422" s="75" t="s">
        <v>588</v>
      </c>
      <c r="H2422" s="77" t="str">
        <f>VLOOKUP(DESPESAS[[#This Row],[Plano de Contas]],BASE!$B$3:$D$119,3,FALSE)</f>
        <v>Maquinas e Equipamentos</v>
      </c>
      <c r="I2422" s="77" t="str">
        <f>IFERROR(VLOOKUP(DESPESAS[[#This Row],[Fornecedor]],Tabela2[],2,FALSE),"")</f>
        <v/>
      </c>
      <c r="J2422" s="77" t="str">
        <f>IFERROR(VLOOKUP(DESPESAS[[#This Row],[Plano de Contas]],BASE!$B$3:$F$119,4,FALSE),"")</f>
        <v>9 - INVESTIMENTOS</v>
      </c>
      <c r="K2422" s="77" t="str">
        <f>IFERROR(VLOOKUP(DESPESAS[[#This Row],[Plano de Contas]],BASE!$B$3:$H$119,5,FALSE),"")</f>
        <v>MANUTENÇÃO / TI</v>
      </c>
      <c r="L2422" s="77">
        <f>IFERROR(VLOOKUP(DESPESAS[[#This Row],[Plano de Contas]],BASE!$B$3:$H$119,6,FALSE),"")</f>
        <v>0</v>
      </c>
      <c r="M2422" s="77" t="str">
        <f>VLOOKUP(DESPESAS[[#This Row],[Plano de Contas]],BASE!$B$3:$H$119,7,FALSE)</f>
        <v>RAFAEL</v>
      </c>
    </row>
    <row r="2423" spans="1:13" x14ac:dyDescent="0.25">
      <c r="A2423" s="74">
        <v>199342</v>
      </c>
      <c r="B2423" s="75" t="s">
        <v>281</v>
      </c>
      <c r="C2423" s="75" t="s">
        <v>1529</v>
      </c>
      <c r="D2423" s="76">
        <v>46091</v>
      </c>
      <c r="E2423" s="75" t="s">
        <v>361</v>
      </c>
      <c r="F2423" s="74">
        <v>78.989999999999995</v>
      </c>
      <c r="G2423" s="75" t="s">
        <v>693</v>
      </c>
      <c r="H2423" s="77" t="str">
        <f>VLOOKUP(DESPESAS[[#This Row],[Plano de Contas]],BASE!$B$3:$D$119,3,FALSE)</f>
        <v>Computadores e Periféricos</v>
      </c>
      <c r="I2423" s="77" t="str">
        <f>IFERROR(VLOOKUP(DESPESAS[[#This Row],[Fornecedor]],Tabela2[],2,FALSE),"")</f>
        <v/>
      </c>
      <c r="J2423" s="77" t="str">
        <f>IFERROR(VLOOKUP(DESPESAS[[#This Row],[Plano de Contas]],BASE!$B$3:$F$119,4,FALSE),"")</f>
        <v>9 - INVESTIMENTOS</v>
      </c>
      <c r="K2423" s="77" t="str">
        <f>IFERROR(VLOOKUP(DESPESAS[[#This Row],[Plano de Contas]],BASE!$B$3:$H$119,5,FALSE),"")</f>
        <v>MANUTENÇÃO / TI</v>
      </c>
      <c r="L2423" s="77">
        <f>IFERROR(VLOOKUP(DESPESAS[[#This Row],[Plano de Contas]],BASE!$B$3:$H$119,6,FALSE),"")</f>
        <v>0</v>
      </c>
      <c r="M2423" s="77" t="str">
        <f>VLOOKUP(DESPESAS[[#This Row],[Plano de Contas]],BASE!$B$3:$H$119,7,FALSE)</f>
        <v>RAFAEL</v>
      </c>
    </row>
    <row r="2424" spans="1:13" x14ac:dyDescent="0.25">
      <c r="A2424" s="74">
        <v>199344</v>
      </c>
      <c r="B2424" s="75" t="s">
        <v>221</v>
      </c>
      <c r="C2424" s="75" t="s">
        <v>1528</v>
      </c>
      <c r="D2424" s="76">
        <v>46091</v>
      </c>
      <c r="E2424" s="75" t="s">
        <v>307</v>
      </c>
      <c r="F2424" s="74">
        <v>695</v>
      </c>
      <c r="G2424" s="75" t="s">
        <v>588</v>
      </c>
      <c r="H2424" s="77" t="str">
        <f>VLOOKUP(DESPESAS[[#This Row],[Plano de Contas]],BASE!$B$3:$D$119,3,FALSE)</f>
        <v>Maquinas e Equipamentos</v>
      </c>
      <c r="I2424" s="77" t="str">
        <f>IFERROR(VLOOKUP(DESPESAS[[#This Row],[Fornecedor]],Tabela2[],2,FALSE),"")</f>
        <v>FERRAGENS GERAIS</v>
      </c>
      <c r="J2424" s="77" t="str">
        <f>IFERROR(VLOOKUP(DESPESAS[[#This Row],[Plano de Contas]],BASE!$B$3:$F$119,4,FALSE),"")</f>
        <v>9 - INVESTIMENTOS</v>
      </c>
      <c r="K2424" s="77" t="str">
        <f>IFERROR(VLOOKUP(DESPESAS[[#This Row],[Plano de Contas]],BASE!$B$3:$H$119,5,FALSE),"")</f>
        <v>MANUTENÇÃO / TI</v>
      </c>
      <c r="L2424" s="77">
        <f>IFERROR(VLOOKUP(DESPESAS[[#This Row],[Plano de Contas]],BASE!$B$3:$H$119,6,FALSE),"")</f>
        <v>0</v>
      </c>
      <c r="M2424" s="77" t="str">
        <f>VLOOKUP(DESPESAS[[#This Row],[Plano de Contas]],BASE!$B$3:$H$119,7,FALSE)</f>
        <v>RAFAEL</v>
      </c>
    </row>
    <row r="2425" spans="1:13" x14ac:dyDescent="0.25">
      <c r="A2425" s="74">
        <v>199345</v>
      </c>
      <c r="B2425" s="75" t="s">
        <v>281</v>
      </c>
      <c r="C2425" s="75" t="s">
        <v>1527</v>
      </c>
      <c r="D2425" s="76">
        <v>46091</v>
      </c>
      <c r="E2425" s="75" t="s">
        <v>361</v>
      </c>
      <c r="F2425" s="74">
        <v>165</v>
      </c>
      <c r="G2425" s="75" t="s">
        <v>218</v>
      </c>
      <c r="H2425" s="77" t="str">
        <f>VLOOKUP(DESPESAS[[#This Row],[Plano de Contas]],BASE!$B$3:$D$119,3,FALSE)</f>
        <v>Manutenção de Equipamentos (Prod)</v>
      </c>
      <c r="I2425" s="77" t="str">
        <f>IFERROR(VLOOKUP(DESPESAS[[#This Row],[Fornecedor]],Tabela2[],2,FALSE),"")</f>
        <v/>
      </c>
      <c r="J2425" s="77" t="str">
        <f>IFERROR(VLOOKUP(DESPESAS[[#This Row],[Plano de Contas]],BASE!$B$3:$F$119,4,FALSE),"")</f>
        <v>3 - CUSTOS INDIRETOS</v>
      </c>
      <c r="K2425" s="77" t="str">
        <f>IFERROR(VLOOKUP(DESPESAS[[#This Row],[Plano de Contas]],BASE!$B$3:$H$119,5,FALSE),"")</f>
        <v>MANUTENÇÃO / TI</v>
      </c>
      <c r="L2425" s="77">
        <f>IFERROR(VLOOKUP(DESPESAS[[#This Row],[Plano de Contas]],BASE!$B$3:$H$119,6,FALSE),"")</f>
        <v>0</v>
      </c>
      <c r="M2425" s="77" t="str">
        <f>VLOOKUP(DESPESAS[[#This Row],[Plano de Contas]],BASE!$B$3:$H$119,7,FALSE)</f>
        <v>RAFAEL</v>
      </c>
    </row>
    <row r="2426" spans="1:13" x14ac:dyDescent="0.25">
      <c r="A2426" s="74">
        <v>199346</v>
      </c>
      <c r="B2426" s="75" t="s">
        <v>281</v>
      </c>
      <c r="C2426" s="75" t="s">
        <v>1526</v>
      </c>
      <c r="D2426" s="76">
        <v>46091</v>
      </c>
      <c r="E2426" s="75" t="s">
        <v>361</v>
      </c>
      <c r="F2426" s="74">
        <v>111.24</v>
      </c>
      <c r="G2426" s="75" t="s">
        <v>244</v>
      </c>
      <c r="H2426" s="77" t="str">
        <f>VLOOKUP(DESPESAS[[#This Row],[Plano de Contas]],BASE!$B$3:$D$119,3,FALSE)</f>
        <v>Material de Expediente (Prod)</v>
      </c>
      <c r="I2426" s="77" t="str">
        <f>IFERROR(VLOOKUP(DESPESAS[[#This Row],[Fornecedor]],Tabela2[],2,FALSE),"")</f>
        <v/>
      </c>
      <c r="J2426" s="77" t="str">
        <f>IFERROR(VLOOKUP(DESPESAS[[#This Row],[Plano de Contas]],BASE!$B$3:$F$119,4,FALSE),"")</f>
        <v>2 - CUSTOS DIRETOS</v>
      </c>
      <c r="K2426" s="77" t="str">
        <f>IFERROR(VLOOKUP(DESPESAS[[#This Row],[Plano de Contas]],BASE!$B$3:$H$119,5,FALSE),"")</f>
        <v>PRODUÇÃO</v>
      </c>
      <c r="L2426" s="77">
        <f>IFERROR(VLOOKUP(DESPESAS[[#This Row],[Plano de Contas]],BASE!$B$3:$H$119,6,FALSE),"")</f>
        <v>0</v>
      </c>
      <c r="M2426" s="77" t="str">
        <f>VLOOKUP(DESPESAS[[#This Row],[Plano de Contas]],BASE!$B$3:$H$119,7,FALSE)</f>
        <v>RAFAEL</v>
      </c>
    </row>
    <row r="2427" spans="1:13" x14ac:dyDescent="0.25">
      <c r="A2427" s="74">
        <v>199347</v>
      </c>
      <c r="B2427" s="75" t="s">
        <v>281</v>
      </c>
      <c r="C2427" s="75" t="s">
        <v>1525</v>
      </c>
      <c r="D2427" s="76">
        <v>46091</v>
      </c>
      <c r="E2427" s="75" t="s">
        <v>361</v>
      </c>
      <c r="F2427" s="74">
        <v>219.96</v>
      </c>
      <c r="G2427" s="75" t="s">
        <v>693</v>
      </c>
      <c r="H2427" s="77" t="str">
        <f>VLOOKUP(DESPESAS[[#This Row],[Plano de Contas]],BASE!$B$3:$D$119,3,FALSE)</f>
        <v>Computadores e Periféricos</v>
      </c>
      <c r="I2427" s="77" t="str">
        <f>IFERROR(VLOOKUP(DESPESAS[[#This Row],[Fornecedor]],Tabela2[],2,FALSE),"")</f>
        <v/>
      </c>
      <c r="J2427" s="77" t="str">
        <f>IFERROR(VLOOKUP(DESPESAS[[#This Row],[Plano de Contas]],BASE!$B$3:$F$119,4,FALSE),"")</f>
        <v>9 - INVESTIMENTOS</v>
      </c>
      <c r="K2427" s="77" t="str">
        <f>IFERROR(VLOOKUP(DESPESAS[[#This Row],[Plano de Contas]],BASE!$B$3:$H$119,5,FALSE),"")</f>
        <v>MANUTENÇÃO / TI</v>
      </c>
      <c r="L2427" s="77">
        <f>IFERROR(VLOOKUP(DESPESAS[[#This Row],[Plano de Contas]],BASE!$B$3:$H$119,6,FALSE),"")</f>
        <v>0</v>
      </c>
      <c r="M2427" s="77" t="str">
        <f>VLOOKUP(DESPESAS[[#This Row],[Plano de Contas]],BASE!$B$3:$H$119,7,FALSE)</f>
        <v>RAFAEL</v>
      </c>
    </row>
    <row r="2428" spans="1:13" x14ac:dyDescent="0.25">
      <c r="A2428" s="74">
        <v>199348</v>
      </c>
      <c r="B2428" s="75" t="s">
        <v>281</v>
      </c>
      <c r="C2428" s="75" t="s">
        <v>1524</v>
      </c>
      <c r="D2428" s="76">
        <v>46091</v>
      </c>
      <c r="E2428" s="75" t="s">
        <v>361</v>
      </c>
      <c r="F2428" s="74">
        <v>123.8</v>
      </c>
      <c r="G2428" s="75" t="s">
        <v>693</v>
      </c>
      <c r="H2428" s="77" t="str">
        <f>VLOOKUP(DESPESAS[[#This Row],[Plano de Contas]],BASE!$B$3:$D$119,3,FALSE)</f>
        <v>Computadores e Periféricos</v>
      </c>
      <c r="I2428" s="77" t="str">
        <f>IFERROR(VLOOKUP(DESPESAS[[#This Row],[Fornecedor]],Tabela2[],2,FALSE),"")</f>
        <v/>
      </c>
      <c r="J2428" s="77" t="str">
        <f>IFERROR(VLOOKUP(DESPESAS[[#This Row],[Plano de Contas]],BASE!$B$3:$F$119,4,FALSE),"")</f>
        <v>9 - INVESTIMENTOS</v>
      </c>
      <c r="K2428" s="77" t="str">
        <f>IFERROR(VLOOKUP(DESPESAS[[#This Row],[Plano de Contas]],BASE!$B$3:$H$119,5,FALSE),"")</f>
        <v>MANUTENÇÃO / TI</v>
      </c>
      <c r="L2428" s="77">
        <f>IFERROR(VLOOKUP(DESPESAS[[#This Row],[Plano de Contas]],BASE!$B$3:$H$119,6,FALSE),"")</f>
        <v>0</v>
      </c>
      <c r="M2428" s="77" t="str">
        <f>VLOOKUP(DESPESAS[[#This Row],[Plano de Contas]],BASE!$B$3:$H$119,7,FALSE)</f>
        <v>RAFAEL</v>
      </c>
    </row>
    <row r="2429" spans="1:13" x14ac:dyDescent="0.25">
      <c r="A2429" s="74">
        <v>199349</v>
      </c>
      <c r="B2429" s="75" t="s">
        <v>281</v>
      </c>
      <c r="C2429" s="75" t="s">
        <v>1523</v>
      </c>
      <c r="D2429" s="76">
        <v>46091</v>
      </c>
      <c r="E2429" s="75" t="s">
        <v>361</v>
      </c>
      <c r="F2429" s="74">
        <v>188</v>
      </c>
      <c r="G2429" s="75" t="s">
        <v>693</v>
      </c>
      <c r="H2429" s="77" t="str">
        <f>VLOOKUP(DESPESAS[[#This Row],[Plano de Contas]],BASE!$B$3:$D$119,3,FALSE)</f>
        <v>Computadores e Periféricos</v>
      </c>
      <c r="I2429" s="77" t="str">
        <f>IFERROR(VLOOKUP(DESPESAS[[#This Row],[Fornecedor]],Tabela2[],2,FALSE),"")</f>
        <v/>
      </c>
      <c r="J2429" s="77" t="str">
        <f>IFERROR(VLOOKUP(DESPESAS[[#This Row],[Plano de Contas]],BASE!$B$3:$F$119,4,FALSE),"")</f>
        <v>9 - INVESTIMENTOS</v>
      </c>
      <c r="K2429" s="77" t="str">
        <f>IFERROR(VLOOKUP(DESPESAS[[#This Row],[Plano de Contas]],BASE!$B$3:$H$119,5,FALSE),"")</f>
        <v>MANUTENÇÃO / TI</v>
      </c>
      <c r="L2429" s="77">
        <f>IFERROR(VLOOKUP(DESPESAS[[#This Row],[Plano de Contas]],BASE!$B$3:$H$119,6,FALSE),"")</f>
        <v>0</v>
      </c>
      <c r="M2429" s="77" t="str">
        <f>VLOOKUP(DESPESAS[[#This Row],[Plano de Contas]],BASE!$B$3:$H$119,7,FALSE)</f>
        <v>RAFAEL</v>
      </c>
    </row>
    <row r="2430" spans="1:13" x14ac:dyDescent="0.25">
      <c r="A2430" s="74">
        <v>199350</v>
      </c>
      <c r="B2430" s="75" t="s">
        <v>281</v>
      </c>
      <c r="C2430" s="75" t="s">
        <v>1522</v>
      </c>
      <c r="D2430" s="76">
        <v>46091</v>
      </c>
      <c r="E2430" s="75" t="s">
        <v>361</v>
      </c>
      <c r="F2430" s="74">
        <v>98.1</v>
      </c>
      <c r="G2430" s="75" t="s">
        <v>693</v>
      </c>
      <c r="H2430" s="77" t="str">
        <f>VLOOKUP(DESPESAS[[#This Row],[Plano de Contas]],BASE!$B$3:$D$119,3,FALSE)</f>
        <v>Computadores e Periféricos</v>
      </c>
      <c r="I2430" s="77" t="str">
        <f>IFERROR(VLOOKUP(DESPESAS[[#This Row],[Fornecedor]],Tabela2[],2,FALSE),"")</f>
        <v/>
      </c>
      <c r="J2430" s="77" t="str">
        <f>IFERROR(VLOOKUP(DESPESAS[[#This Row],[Plano de Contas]],BASE!$B$3:$F$119,4,FALSE),"")</f>
        <v>9 - INVESTIMENTOS</v>
      </c>
      <c r="K2430" s="77" t="str">
        <f>IFERROR(VLOOKUP(DESPESAS[[#This Row],[Plano de Contas]],BASE!$B$3:$H$119,5,FALSE),"")</f>
        <v>MANUTENÇÃO / TI</v>
      </c>
      <c r="L2430" s="77">
        <f>IFERROR(VLOOKUP(DESPESAS[[#This Row],[Plano de Contas]],BASE!$B$3:$H$119,6,FALSE),"")</f>
        <v>0</v>
      </c>
      <c r="M2430" s="77" t="str">
        <f>VLOOKUP(DESPESAS[[#This Row],[Plano de Contas]],BASE!$B$3:$H$119,7,FALSE)</f>
        <v>RAFAEL</v>
      </c>
    </row>
    <row r="2431" spans="1:13" x14ac:dyDescent="0.25">
      <c r="A2431" s="74">
        <v>199351</v>
      </c>
      <c r="B2431" s="75" t="s">
        <v>281</v>
      </c>
      <c r="C2431" s="75" t="s">
        <v>1521</v>
      </c>
      <c r="D2431" s="76">
        <v>46091</v>
      </c>
      <c r="E2431" s="75" t="s">
        <v>361</v>
      </c>
      <c r="F2431" s="74">
        <v>114</v>
      </c>
      <c r="G2431" s="75" t="s">
        <v>693</v>
      </c>
      <c r="H2431" s="77" t="str">
        <f>VLOOKUP(DESPESAS[[#This Row],[Plano de Contas]],BASE!$B$3:$D$119,3,FALSE)</f>
        <v>Computadores e Periféricos</v>
      </c>
      <c r="I2431" s="77" t="str">
        <f>IFERROR(VLOOKUP(DESPESAS[[#This Row],[Fornecedor]],Tabela2[],2,FALSE),"")</f>
        <v/>
      </c>
      <c r="J2431" s="77" t="str">
        <f>IFERROR(VLOOKUP(DESPESAS[[#This Row],[Plano de Contas]],BASE!$B$3:$F$119,4,FALSE),"")</f>
        <v>9 - INVESTIMENTOS</v>
      </c>
      <c r="K2431" s="77" t="str">
        <f>IFERROR(VLOOKUP(DESPESAS[[#This Row],[Plano de Contas]],BASE!$B$3:$H$119,5,FALSE),"")</f>
        <v>MANUTENÇÃO / TI</v>
      </c>
      <c r="L2431" s="77">
        <f>IFERROR(VLOOKUP(DESPESAS[[#This Row],[Plano de Contas]],BASE!$B$3:$H$119,6,FALSE),"")</f>
        <v>0</v>
      </c>
      <c r="M2431" s="77" t="str">
        <f>VLOOKUP(DESPESAS[[#This Row],[Plano de Contas]],BASE!$B$3:$H$119,7,FALSE)</f>
        <v>RAFAEL</v>
      </c>
    </row>
    <row r="2432" spans="1:13" x14ac:dyDescent="0.25">
      <c r="A2432" s="74">
        <v>199352</v>
      </c>
      <c r="B2432" s="75" t="s">
        <v>281</v>
      </c>
      <c r="C2432" s="75" t="s">
        <v>1520</v>
      </c>
      <c r="D2432" s="76">
        <v>46091</v>
      </c>
      <c r="E2432" s="75" t="s">
        <v>361</v>
      </c>
      <c r="F2432" s="74">
        <v>56</v>
      </c>
      <c r="G2432" s="75" t="s">
        <v>693</v>
      </c>
      <c r="H2432" s="77" t="str">
        <f>VLOOKUP(DESPESAS[[#This Row],[Plano de Contas]],BASE!$B$3:$D$119,3,FALSE)</f>
        <v>Computadores e Periféricos</v>
      </c>
      <c r="I2432" s="77" t="str">
        <f>IFERROR(VLOOKUP(DESPESAS[[#This Row],[Fornecedor]],Tabela2[],2,FALSE),"")</f>
        <v/>
      </c>
      <c r="J2432" s="77" t="str">
        <f>IFERROR(VLOOKUP(DESPESAS[[#This Row],[Plano de Contas]],BASE!$B$3:$F$119,4,FALSE),"")</f>
        <v>9 - INVESTIMENTOS</v>
      </c>
      <c r="K2432" s="77" t="str">
        <f>IFERROR(VLOOKUP(DESPESAS[[#This Row],[Plano de Contas]],BASE!$B$3:$H$119,5,FALSE),"")</f>
        <v>MANUTENÇÃO / TI</v>
      </c>
      <c r="L2432" s="77">
        <f>IFERROR(VLOOKUP(DESPESAS[[#This Row],[Plano de Contas]],BASE!$B$3:$H$119,6,FALSE),"")</f>
        <v>0</v>
      </c>
      <c r="M2432" s="77" t="str">
        <f>VLOOKUP(DESPESAS[[#This Row],[Plano de Contas]],BASE!$B$3:$H$119,7,FALSE)</f>
        <v>RAFAEL</v>
      </c>
    </row>
    <row r="2433" spans="1:13" x14ac:dyDescent="0.25">
      <c r="A2433" s="74">
        <v>199353</v>
      </c>
      <c r="B2433" s="75" t="s">
        <v>221</v>
      </c>
      <c r="C2433" s="75" t="s">
        <v>1519</v>
      </c>
      <c r="D2433" s="76">
        <v>46090</v>
      </c>
      <c r="E2433" s="75" t="s">
        <v>467</v>
      </c>
      <c r="F2433" s="74">
        <v>30</v>
      </c>
      <c r="G2433" s="75" t="s">
        <v>225</v>
      </c>
      <c r="H2433" s="77" t="str">
        <f>VLOOKUP(DESPESAS[[#This Row],[Plano de Contas]],BASE!$B$3:$D$119,3,FALSE)</f>
        <v>Despesas de Outros Gastos Não Operacionais</v>
      </c>
      <c r="I2433" s="77" t="str">
        <f>IFERROR(VLOOKUP(DESPESAS[[#This Row],[Fornecedor]],Tabela2[],2,FALSE),"")</f>
        <v/>
      </c>
      <c r="J2433" s="77" t="str">
        <f>IFERROR(VLOOKUP(DESPESAS[[#This Row],[Plano de Contas]],BASE!$B$3:$F$119,4,FALSE),"")</f>
        <v>8 - DESPESAS FINANCEIRAS</v>
      </c>
      <c r="K2433" s="77" t="str">
        <f>IFERROR(VLOOKUP(DESPESAS[[#This Row],[Plano de Contas]],BASE!$B$3:$H$119,5,FALSE),"")</f>
        <v>FINANCEIRO</v>
      </c>
      <c r="L2433" s="77">
        <f>IFERROR(VLOOKUP(DESPESAS[[#This Row],[Plano de Contas]],BASE!$B$3:$H$119,6,FALSE),"")</f>
        <v>0</v>
      </c>
      <c r="M2433" s="77" t="str">
        <f>VLOOKUP(DESPESAS[[#This Row],[Plano de Contas]],BASE!$B$3:$H$119,7,FALSE)</f>
        <v>LETÍCIA</v>
      </c>
    </row>
    <row r="2434" spans="1:13" x14ac:dyDescent="0.25">
      <c r="A2434" s="74">
        <v>199354</v>
      </c>
      <c r="B2434" s="75" t="s">
        <v>221</v>
      </c>
      <c r="C2434" s="75" t="s">
        <v>1518</v>
      </c>
      <c r="D2434" s="76">
        <v>46090</v>
      </c>
      <c r="E2434" s="75" t="s">
        <v>242</v>
      </c>
      <c r="F2434" s="74">
        <v>704.06</v>
      </c>
      <c r="G2434" s="75" t="s">
        <v>241</v>
      </c>
      <c r="H2434" s="77" t="str">
        <f>VLOOKUP(DESPESAS[[#This Row],[Plano de Contas]],BASE!$B$3:$D$119,3,FALSE)</f>
        <v>Combustiveis Frota</v>
      </c>
      <c r="I2434" s="77" t="str">
        <f>IFERROR(VLOOKUP(DESPESAS[[#This Row],[Fornecedor]],Tabela2[],2,FALSE),"")</f>
        <v/>
      </c>
      <c r="J2434" s="77" t="str">
        <f>IFERROR(VLOOKUP(DESPESAS[[#This Row],[Plano de Contas]],BASE!$B$3:$F$119,4,FALSE),"")</f>
        <v>6 - DESPESA COM VENDAS</v>
      </c>
      <c r="K2434" s="77" t="str">
        <f>IFERROR(VLOOKUP(DESPESAS[[#This Row],[Plano de Contas]],BASE!$B$3:$H$119,5,FALSE),"")</f>
        <v>LOGÍSTICA</v>
      </c>
      <c r="L2434" s="77">
        <f>IFERROR(VLOOKUP(DESPESAS[[#This Row],[Plano de Contas]],BASE!$B$3:$H$119,6,FALSE),"")</f>
        <v>0</v>
      </c>
      <c r="M2434" s="77" t="str">
        <f>VLOOKUP(DESPESAS[[#This Row],[Plano de Contas]],BASE!$B$3:$H$119,7,FALSE)</f>
        <v>MYLENA</v>
      </c>
    </row>
    <row r="2435" spans="1:13" x14ac:dyDescent="0.25">
      <c r="A2435" s="74">
        <v>199355</v>
      </c>
      <c r="B2435" s="75" t="s">
        <v>221</v>
      </c>
      <c r="C2435" s="75" t="s">
        <v>1517</v>
      </c>
      <c r="D2435" s="76">
        <v>46091</v>
      </c>
      <c r="E2435" s="75" t="s">
        <v>265</v>
      </c>
      <c r="F2435" s="74">
        <v>49.4</v>
      </c>
      <c r="G2435" s="75" t="s">
        <v>262</v>
      </c>
      <c r="H2435" s="77" t="str">
        <f>VLOOKUP(DESPESAS[[#This Row],[Plano de Contas]],BASE!$B$3:$D$119,3,FALSE)</f>
        <v>Fretes Karams</v>
      </c>
      <c r="I2435" s="77" t="str">
        <f>IFERROR(VLOOKUP(DESPESAS[[#This Row],[Fornecedor]],Tabela2[],2,FALSE),"")</f>
        <v/>
      </c>
      <c r="J2435" s="77" t="str">
        <f>IFERROR(VLOOKUP(DESPESAS[[#This Row],[Plano de Contas]],BASE!$B$3:$F$119,4,FALSE),"")</f>
        <v>6 - DESPESA COM VENDAS</v>
      </c>
      <c r="K2435" s="77" t="str">
        <f>IFERROR(VLOOKUP(DESPESAS[[#This Row],[Plano de Contas]],BASE!$B$3:$H$119,5,FALSE),"")</f>
        <v>LOGÍSTICA</v>
      </c>
      <c r="L2435" s="77">
        <f>IFERROR(VLOOKUP(DESPESAS[[#This Row],[Plano de Contas]],BASE!$B$3:$H$119,6,FALSE),"")</f>
        <v>0</v>
      </c>
      <c r="M2435" s="77" t="str">
        <f>VLOOKUP(DESPESAS[[#This Row],[Plano de Contas]],BASE!$B$3:$H$119,7,FALSE)</f>
        <v>MYLENA</v>
      </c>
    </row>
    <row r="2436" spans="1:13" x14ac:dyDescent="0.25">
      <c r="A2436" s="74">
        <v>199356</v>
      </c>
      <c r="B2436" s="75" t="s">
        <v>221</v>
      </c>
      <c r="C2436" s="75" t="s">
        <v>1516</v>
      </c>
      <c r="D2436" s="76">
        <v>46084</v>
      </c>
      <c r="E2436" s="75" t="s">
        <v>242</v>
      </c>
      <c r="F2436" s="74">
        <v>570.39</v>
      </c>
      <c r="G2436" s="75" t="s">
        <v>241</v>
      </c>
      <c r="H2436" s="77" t="str">
        <f>VLOOKUP(DESPESAS[[#This Row],[Plano de Contas]],BASE!$B$3:$D$119,3,FALSE)</f>
        <v>Combustiveis Frota</v>
      </c>
      <c r="I2436" s="77" t="str">
        <f>IFERROR(VLOOKUP(DESPESAS[[#This Row],[Fornecedor]],Tabela2[],2,FALSE),"")</f>
        <v/>
      </c>
      <c r="J2436" s="77" t="str">
        <f>IFERROR(VLOOKUP(DESPESAS[[#This Row],[Plano de Contas]],BASE!$B$3:$F$119,4,FALSE),"")</f>
        <v>6 - DESPESA COM VENDAS</v>
      </c>
      <c r="K2436" s="77" t="str">
        <f>IFERROR(VLOOKUP(DESPESAS[[#This Row],[Plano de Contas]],BASE!$B$3:$H$119,5,FALSE),"")</f>
        <v>LOGÍSTICA</v>
      </c>
      <c r="L2436" s="77">
        <f>IFERROR(VLOOKUP(DESPESAS[[#This Row],[Plano de Contas]],BASE!$B$3:$H$119,6,FALSE),"")</f>
        <v>0</v>
      </c>
      <c r="M2436" s="77" t="str">
        <f>VLOOKUP(DESPESAS[[#This Row],[Plano de Contas]],BASE!$B$3:$H$119,7,FALSE)</f>
        <v>MYLENA</v>
      </c>
    </row>
    <row r="2437" spans="1:13" x14ac:dyDescent="0.25">
      <c r="A2437" s="74">
        <v>199357</v>
      </c>
      <c r="B2437" s="75" t="s">
        <v>221</v>
      </c>
      <c r="C2437" s="75" t="s">
        <v>1515</v>
      </c>
      <c r="D2437" s="76">
        <v>46090</v>
      </c>
      <c r="E2437" s="75" t="s">
        <v>242</v>
      </c>
      <c r="F2437" s="74">
        <v>129.80000000000001</v>
      </c>
      <c r="G2437" s="75" t="s">
        <v>241</v>
      </c>
      <c r="H2437" s="77" t="str">
        <f>VLOOKUP(DESPESAS[[#This Row],[Plano de Contas]],BASE!$B$3:$D$119,3,FALSE)</f>
        <v>Combustiveis Frota</v>
      </c>
      <c r="I2437" s="77" t="str">
        <f>IFERROR(VLOOKUP(DESPESAS[[#This Row],[Fornecedor]],Tabela2[],2,FALSE),"")</f>
        <v/>
      </c>
      <c r="J2437" s="77" t="str">
        <f>IFERROR(VLOOKUP(DESPESAS[[#This Row],[Plano de Contas]],BASE!$B$3:$F$119,4,FALSE),"")</f>
        <v>6 - DESPESA COM VENDAS</v>
      </c>
      <c r="K2437" s="77" t="str">
        <f>IFERROR(VLOOKUP(DESPESAS[[#This Row],[Plano de Contas]],BASE!$B$3:$H$119,5,FALSE),"")</f>
        <v>LOGÍSTICA</v>
      </c>
      <c r="L2437" s="77">
        <f>IFERROR(VLOOKUP(DESPESAS[[#This Row],[Plano de Contas]],BASE!$B$3:$H$119,6,FALSE),"")</f>
        <v>0</v>
      </c>
      <c r="M2437" s="77" t="str">
        <f>VLOOKUP(DESPESAS[[#This Row],[Plano de Contas]],BASE!$B$3:$H$119,7,FALSE)</f>
        <v>MYLENA</v>
      </c>
    </row>
    <row r="2438" spans="1:13" x14ac:dyDescent="0.25">
      <c r="A2438" s="74">
        <v>199358</v>
      </c>
      <c r="B2438" s="75" t="s">
        <v>221</v>
      </c>
      <c r="C2438" s="75" t="s">
        <v>447</v>
      </c>
      <c r="D2438" s="76">
        <v>46090</v>
      </c>
      <c r="E2438" s="75" t="s">
        <v>446</v>
      </c>
      <c r="F2438" s="74">
        <v>143</v>
      </c>
      <c r="G2438" s="75" t="s">
        <v>374</v>
      </c>
      <c r="H2438" s="77" t="str">
        <f>VLOOKUP(DESPESAS[[#This Row],[Plano de Contas]],BASE!$B$3:$D$119,3,FALSE)</f>
        <v>Consultoria Empresarial</v>
      </c>
      <c r="I2438" s="77" t="str">
        <f>IFERROR(VLOOKUP(DESPESAS[[#This Row],[Fornecedor]],Tabela2[],2,FALSE),"")</f>
        <v/>
      </c>
      <c r="J2438" s="77" t="str">
        <f>IFERROR(VLOOKUP(DESPESAS[[#This Row],[Plano de Contas]],BASE!$B$3:$F$119,4,FALSE),"")</f>
        <v>7 - SERVIÇOS DE TERCEIROS</v>
      </c>
      <c r="K2438" s="77" t="str">
        <f>IFERROR(VLOOKUP(DESPESAS[[#This Row],[Plano de Contas]],BASE!$B$3:$H$119,5,FALSE),"")</f>
        <v>FINANCEIRO</v>
      </c>
      <c r="L2438" s="77">
        <f>IFERROR(VLOOKUP(DESPESAS[[#This Row],[Plano de Contas]],BASE!$B$3:$H$119,6,FALSE),"")</f>
        <v>0</v>
      </c>
      <c r="M2438" s="77" t="str">
        <f>VLOOKUP(DESPESAS[[#This Row],[Plano de Contas]],BASE!$B$3:$H$119,7,FALSE)</f>
        <v>LETÍCIA</v>
      </c>
    </row>
    <row r="2439" spans="1:13" x14ac:dyDescent="0.25">
      <c r="A2439" s="74">
        <v>199359</v>
      </c>
      <c r="B2439" s="75" t="s">
        <v>221</v>
      </c>
      <c r="C2439" s="75" t="s">
        <v>1504</v>
      </c>
      <c r="D2439" s="76">
        <v>46091</v>
      </c>
      <c r="E2439" s="75" t="s">
        <v>223</v>
      </c>
      <c r="F2439" s="74">
        <v>191</v>
      </c>
      <c r="G2439" s="75" t="s">
        <v>374</v>
      </c>
      <c r="H2439" s="77" t="str">
        <f>VLOOKUP(DESPESAS[[#This Row],[Plano de Contas]],BASE!$B$3:$D$119,3,FALSE)</f>
        <v>Consultoria Empresarial</v>
      </c>
      <c r="I2439" s="77" t="str">
        <f>IFERROR(VLOOKUP(DESPESAS[[#This Row],[Fornecedor]],Tabela2[],2,FALSE),"")</f>
        <v/>
      </c>
      <c r="J2439" s="77" t="str">
        <f>IFERROR(VLOOKUP(DESPESAS[[#This Row],[Plano de Contas]],BASE!$B$3:$F$119,4,FALSE),"")</f>
        <v>7 - SERVIÇOS DE TERCEIROS</v>
      </c>
      <c r="K2439" s="77" t="str">
        <f>IFERROR(VLOOKUP(DESPESAS[[#This Row],[Plano de Contas]],BASE!$B$3:$H$119,5,FALSE),"")</f>
        <v>FINANCEIRO</v>
      </c>
      <c r="L2439" s="77">
        <f>IFERROR(VLOOKUP(DESPESAS[[#This Row],[Plano de Contas]],BASE!$B$3:$H$119,6,FALSE),"")</f>
        <v>0</v>
      </c>
      <c r="M2439" s="77" t="str">
        <f>VLOOKUP(DESPESAS[[#This Row],[Plano de Contas]],BASE!$B$3:$H$119,7,FALSE)</f>
        <v>LETÍCIA</v>
      </c>
    </row>
    <row r="2440" spans="1:13" x14ac:dyDescent="0.25">
      <c r="A2440" s="74">
        <v>199360</v>
      </c>
      <c r="B2440" s="75" t="s">
        <v>686</v>
      </c>
      <c r="C2440" s="75" t="s">
        <v>1514</v>
      </c>
      <c r="D2440" s="76">
        <v>46091</v>
      </c>
      <c r="E2440" s="75" t="s">
        <v>325</v>
      </c>
      <c r="F2440" s="74">
        <v>1280</v>
      </c>
      <c r="G2440" s="75" t="s">
        <v>225</v>
      </c>
      <c r="H2440" s="77" t="str">
        <f>VLOOKUP(DESPESAS[[#This Row],[Plano de Contas]],BASE!$B$3:$D$119,3,FALSE)</f>
        <v>Despesas de Outros Gastos Não Operacionais</v>
      </c>
      <c r="I2440" s="77" t="str">
        <f>IFERROR(VLOOKUP(DESPESAS[[#This Row],[Fornecedor]],Tabela2[],2,FALSE),"")</f>
        <v/>
      </c>
      <c r="J2440" s="77" t="str">
        <f>IFERROR(VLOOKUP(DESPESAS[[#This Row],[Plano de Contas]],BASE!$B$3:$F$119,4,FALSE),"")</f>
        <v>8 - DESPESAS FINANCEIRAS</v>
      </c>
      <c r="K2440" s="77" t="str">
        <f>IFERROR(VLOOKUP(DESPESAS[[#This Row],[Plano de Contas]],BASE!$B$3:$H$119,5,FALSE),"")</f>
        <v>FINANCEIRO</v>
      </c>
      <c r="L2440" s="77">
        <f>IFERROR(VLOOKUP(DESPESAS[[#This Row],[Plano de Contas]],BASE!$B$3:$H$119,6,FALSE),"")</f>
        <v>0</v>
      </c>
      <c r="M2440" s="77" t="str">
        <f>VLOOKUP(DESPESAS[[#This Row],[Plano de Contas]],BASE!$B$3:$H$119,7,FALSE)</f>
        <v>LETÍCIA</v>
      </c>
    </row>
    <row r="2441" spans="1:13" x14ac:dyDescent="0.25">
      <c r="A2441" s="74">
        <v>199361</v>
      </c>
      <c r="B2441" s="75" t="s">
        <v>279</v>
      </c>
      <c r="C2441" s="75" t="s">
        <v>763</v>
      </c>
      <c r="D2441" s="76">
        <v>46092</v>
      </c>
      <c r="E2441" s="75" t="s">
        <v>921</v>
      </c>
      <c r="F2441" s="74">
        <v>1207.19</v>
      </c>
      <c r="G2441" s="75" t="s">
        <v>1027</v>
      </c>
      <c r="H2441" s="77" t="str">
        <f>VLOOKUP(DESPESAS[[#This Row],[Plano de Contas]],BASE!$B$3:$D$119,3,FALSE)</f>
        <v>Férias CIF</v>
      </c>
      <c r="I2441" s="77" t="str">
        <f>IFERROR(VLOOKUP(DESPESAS[[#This Row],[Fornecedor]],Tabela2[],2,FALSE),"")</f>
        <v/>
      </c>
      <c r="J2441" s="77" t="str">
        <f>IFERROR(VLOOKUP(DESPESAS[[#This Row],[Plano de Contas]],BASE!$B$3:$F$119,4,FALSE),"")</f>
        <v>3 - CUSTOS INDIRETOS</v>
      </c>
      <c r="K2441" s="77" t="str">
        <f>IFERROR(VLOOKUP(DESPESAS[[#This Row],[Plano de Contas]],BASE!$B$3:$H$119,5,FALSE),"")</f>
        <v>DH</v>
      </c>
      <c r="L2441" s="77" t="str">
        <f>IFERROR(VLOOKUP(DESPESAS[[#This Row],[Plano de Contas]],BASE!$B$3:$H$119,6,FALSE),"")</f>
        <v>CUSTO MÃO DE OBRA DIRETA</v>
      </c>
      <c r="M2441" s="77" t="str">
        <f>VLOOKUP(DESPESAS[[#This Row],[Plano de Contas]],BASE!$B$3:$H$119,7,FALSE)</f>
        <v>RAFAEL</v>
      </c>
    </row>
    <row r="2442" spans="1:13" x14ac:dyDescent="0.25">
      <c r="A2442" s="74">
        <v>199362</v>
      </c>
      <c r="B2442" s="75" t="s">
        <v>232</v>
      </c>
      <c r="C2442" s="75" t="s">
        <v>1513</v>
      </c>
      <c r="D2442" s="76">
        <v>46091</v>
      </c>
      <c r="E2442" s="75" t="s">
        <v>230</v>
      </c>
      <c r="F2442" s="74">
        <v>3.95</v>
      </c>
      <c r="G2442" s="75" t="s">
        <v>229</v>
      </c>
      <c r="H2442" s="77" t="str">
        <f>VLOOKUP(DESPESAS[[#This Row],[Plano de Contas]],BASE!$B$3:$D$119,3,FALSE)</f>
        <v>Despesas Bancarias</v>
      </c>
      <c r="I2442" s="77" t="str">
        <f>IFERROR(VLOOKUP(DESPESAS[[#This Row],[Fornecedor]],Tabela2[],2,FALSE),"")</f>
        <v/>
      </c>
      <c r="J2442" s="77" t="str">
        <f>IFERROR(VLOOKUP(DESPESAS[[#This Row],[Plano de Contas]],BASE!$B$3:$F$119,4,FALSE),"")</f>
        <v>8 - DESPESAS FINANCEIRAS</v>
      </c>
      <c r="K2442" s="77" t="str">
        <f>IFERROR(VLOOKUP(DESPESAS[[#This Row],[Plano de Contas]],BASE!$B$3:$H$119,5,FALSE),"")</f>
        <v>FINANCEIRO</v>
      </c>
      <c r="L2442" s="77">
        <f>IFERROR(VLOOKUP(DESPESAS[[#This Row],[Plano de Contas]],BASE!$B$3:$H$119,6,FALSE),"")</f>
        <v>0</v>
      </c>
      <c r="M2442" s="77" t="str">
        <f>VLOOKUP(DESPESAS[[#This Row],[Plano de Contas]],BASE!$B$3:$H$119,7,FALSE)</f>
        <v>LETÍCIA</v>
      </c>
    </row>
    <row r="2443" spans="1:13" x14ac:dyDescent="0.25">
      <c r="A2443" s="74">
        <v>199363</v>
      </c>
      <c r="B2443" s="75" t="s">
        <v>232</v>
      </c>
      <c r="C2443" s="75" t="s">
        <v>1512</v>
      </c>
      <c r="D2443" s="76">
        <v>46092</v>
      </c>
      <c r="E2443" s="75" t="s">
        <v>230</v>
      </c>
      <c r="F2443" s="74">
        <v>4.84</v>
      </c>
      <c r="G2443" s="75" t="s">
        <v>229</v>
      </c>
      <c r="H2443" s="77" t="str">
        <f>VLOOKUP(DESPESAS[[#This Row],[Plano de Contas]],BASE!$B$3:$D$119,3,FALSE)</f>
        <v>Despesas Bancarias</v>
      </c>
      <c r="I2443" s="77" t="str">
        <f>IFERROR(VLOOKUP(DESPESAS[[#This Row],[Fornecedor]],Tabela2[],2,FALSE),"")</f>
        <v/>
      </c>
      <c r="J2443" s="77" t="str">
        <f>IFERROR(VLOOKUP(DESPESAS[[#This Row],[Plano de Contas]],BASE!$B$3:$F$119,4,FALSE),"")</f>
        <v>8 - DESPESAS FINANCEIRAS</v>
      </c>
      <c r="K2443" s="77" t="str">
        <f>IFERROR(VLOOKUP(DESPESAS[[#This Row],[Plano de Contas]],BASE!$B$3:$H$119,5,FALSE),"")</f>
        <v>FINANCEIRO</v>
      </c>
      <c r="L2443" s="77">
        <f>IFERROR(VLOOKUP(DESPESAS[[#This Row],[Plano de Contas]],BASE!$B$3:$H$119,6,FALSE),"")</f>
        <v>0</v>
      </c>
      <c r="M2443" s="77" t="str">
        <f>VLOOKUP(DESPESAS[[#This Row],[Plano de Contas]],BASE!$B$3:$H$119,7,FALSE)</f>
        <v>LETÍCIA</v>
      </c>
    </row>
    <row r="2444" spans="1:13" x14ac:dyDescent="0.25">
      <c r="A2444" s="74">
        <v>199364</v>
      </c>
      <c r="B2444" s="75" t="s">
        <v>232</v>
      </c>
      <c r="C2444" s="75" t="s">
        <v>1511</v>
      </c>
      <c r="D2444" s="76">
        <v>46092</v>
      </c>
      <c r="E2444" s="75" t="s">
        <v>230</v>
      </c>
      <c r="F2444" s="74">
        <v>48.16</v>
      </c>
      <c r="G2444" s="75" t="s">
        <v>251</v>
      </c>
      <c r="H2444" s="77" t="str">
        <f>VLOOKUP(DESPESAS[[#This Row],[Plano de Contas]],BASE!$B$3:$D$119,3,FALSE)</f>
        <v>Juros Pagos - Antecipação de Crédito</v>
      </c>
      <c r="I2444" s="77" t="str">
        <f>IFERROR(VLOOKUP(DESPESAS[[#This Row],[Fornecedor]],Tabela2[],2,FALSE),"")</f>
        <v/>
      </c>
      <c r="J2444" s="77" t="str">
        <f>IFERROR(VLOOKUP(DESPESAS[[#This Row],[Plano de Contas]],BASE!$B$3:$F$119,4,FALSE),"")</f>
        <v>8 - DESPESAS FINANCEIRAS</v>
      </c>
      <c r="K2444" s="77" t="str">
        <f>IFERROR(VLOOKUP(DESPESAS[[#This Row],[Plano de Contas]],BASE!$B$3:$H$119,5,FALSE),"")</f>
        <v>FINANCEIRO</v>
      </c>
      <c r="L2444" s="77">
        <f>IFERROR(VLOOKUP(DESPESAS[[#This Row],[Plano de Contas]],BASE!$B$3:$H$119,6,FALSE),"")</f>
        <v>0</v>
      </c>
      <c r="M2444" s="77" t="str">
        <f>VLOOKUP(DESPESAS[[#This Row],[Plano de Contas]],BASE!$B$3:$H$119,7,FALSE)</f>
        <v>LETÍCIA</v>
      </c>
    </row>
    <row r="2445" spans="1:13" x14ac:dyDescent="0.25">
      <c r="A2445" s="74">
        <v>199365</v>
      </c>
      <c r="B2445" s="75" t="s">
        <v>221</v>
      </c>
      <c r="C2445" s="75" t="s">
        <v>1510</v>
      </c>
      <c r="D2445" s="76">
        <v>46092</v>
      </c>
      <c r="E2445" s="75" t="s">
        <v>256</v>
      </c>
      <c r="F2445" s="74">
        <v>965.44</v>
      </c>
      <c r="G2445" s="75" t="s">
        <v>255</v>
      </c>
      <c r="H2445" s="77" t="str">
        <f>VLOOKUP(DESPESAS[[#This Row],[Plano de Contas]],BASE!$B$3:$D$119,3,FALSE)</f>
        <v>Mostruário de Tecido</v>
      </c>
      <c r="I2445" s="77" t="str">
        <f>IFERROR(VLOOKUP(DESPESAS[[#This Row],[Fornecedor]],Tabela2[],2,FALSE),"")</f>
        <v/>
      </c>
      <c r="J2445" s="77" t="str">
        <f>IFERROR(VLOOKUP(DESPESAS[[#This Row],[Plano de Contas]],BASE!$B$3:$F$119,4,FALSE),"")</f>
        <v>6 - DESPESA COM VENDAS</v>
      </c>
      <c r="K2445" s="77" t="str">
        <f>IFERROR(VLOOKUP(DESPESAS[[#This Row],[Plano de Contas]],BASE!$B$3:$H$119,5,FALSE),"")</f>
        <v>COMERCIAL</v>
      </c>
      <c r="L2445" s="77">
        <f>IFERROR(VLOOKUP(DESPESAS[[#This Row],[Plano de Contas]],BASE!$B$3:$H$119,6,FALSE),"")</f>
        <v>0</v>
      </c>
      <c r="M2445" s="77" t="str">
        <f>VLOOKUP(DESPESAS[[#This Row],[Plano de Contas]],BASE!$B$3:$H$119,7,FALSE)</f>
        <v>LETÍCIA</v>
      </c>
    </row>
    <row r="2446" spans="1:13" x14ac:dyDescent="0.25">
      <c r="A2446" s="74">
        <v>199366</v>
      </c>
      <c r="B2446" s="75" t="s">
        <v>279</v>
      </c>
      <c r="C2446" s="75" t="s">
        <v>610</v>
      </c>
      <c r="D2446" s="76">
        <v>46091</v>
      </c>
      <c r="E2446" s="75" t="s">
        <v>230</v>
      </c>
      <c r="F2446" s="74">
        <v>239.67</v>
      </c>
      <c r="G2446" s="75" t="s">
        <v>229</v>
      </c>
      <c r="H2446" s="77" t="str">
        <f>VLOOKUP(DESPESAS[[#This Row],[Plano de Contas]],BASE!$B$3:$D$119,3,FALSE)</f>
        <v>Despesas Bancarias</v>
      </c>
      <c r="I2446" s="77" t="str">
        <f>IFERROR(VLOOKUP(DESPESAS[[#This Row],[Fornecedor]],Tabela2[],2,FALSE),"")</f>
        <v/>
      </c>
      <c r="J2446" s="77" t="str">
        <f>IFERROR(VLOOKUP(DESPESAS[[#This Row],[Plano de Contas]],BASE!$B$3:$F$119,4,FALSE),"")</f>
        <v>8 - DESPESAS FINANCEIRAS</v>
      </c>
      <c r="K2446" s="77" t="str">
        <f>IFERROR(VLOOKUP(DESPESAS[[#This Row],[Plano de Contas]],BASE!$B$3:$H$119,5,FALSE),"")</f>
        <v>FINANCEIRO</v>
      </c>
      <c r="L2446" s="77">
        <f>IFERROR(VLOOKUP(DESPESAS[[#This Row],[Plano de Contas]],BASE!$B$3:$H$119,6,FALSE),"")</f>
        <v>0</v>
      </c>
      <c r="M2446" s="77" t="str">
        <f>VLOOKUP(DESPESAS[[#This Row],[Plano de Contas]],BASE!$B$3:$H$119,7,FALSE)</f>
        <v>LETÍCIA</v>
      </c>
    </row>
    <row r="2447" spans="1:13" x14ac:dyDescent="0.25">
      <c r="A2447" s="74">
        <v>199367</v>
      </c>
      <c r="B2447" s="75" t="s">
        <v>279</v>
      </c>
      <c r="C2447" s="75" t="s">
        <v>1509</v>
      </c>
      <c r="D2447" s="76">
        <v>46091</v>
      </c>
      <c r="E2447" s="75" t="s">
        <v>230</v>
      </c>
      <c r="F2447" s="74">
        <v>1.58</v>
      </c>
      <c r="G2447" s="75" t="s">
        <v>229</v>
      </c>
      <c r="H2447" s="77" t="str">
        <f>VLOOKUP(DESPESAS[[#This Row],[Plano de Contas]],BASE!$B$3:$D$119,3,FALSE)</f>
        <v>Despesas Bancarias</v>
      </c>
      <c r="I2447" s="77" t="str">
        <f>IFERROR(VLOOKUP(DESPESAS[[#This Row],[Fornecedor]],Tabela2[],2,FALSE),"")</f>
        <v/>
      </c>
      <c r="J2447" s="77" t="str">
        <f>IFERROR(VLOOKUP(DESPESAS[[#This Row],[Plano de Contas]],BASE!$B$3:$F$119,4,FALSE),"")</f>
        <v>8 - DESPESAS FINANCEIRAS</v>
      </c>
      <c r="K2447" s="77" t="str">
        <f>IFERROR(VLOOKUP(DESPESAS[[#This Row],[Plano de Contas]],BASE!$B$3:$H$119,5,FALSE),"")</f>
        <v>FINANCEIRO</v>
      </c>
      <c r="L2447" s="77">
        <f>IFERROR(VLOOKUP(DESPESAS[[#This Row],[Plano de Contas]],BASE!$B$3:$H$119,6,FALSE),"")</f>
        <v>0</v>
      </c>
      <c r="M2447" s="77" t="str">
        <f>VLOOKUP(DESPESAS[[#This Row],[Plano de Contas]],BASE!$B$3:$H$119,7,FALSE)</f>
        <v>LETÍCIA</v>
      </c>
    </row>
    <row r="2448" spans="1:13" x14ac:dyDescent="0.25">
      <c r="A2448" s="74">
        <v>199368</v>
      </c>
      <c r="B2448" s="75" t="s">
        <v>281</v>
      </c>
      <c r="C2448" s="75" t="s">
        <v>1508</v>
      </c>
      <c r="D2448" s="76">
        <v>46091</v>
      </c>
      <c r="E2448" s="75" t="s">
        <v>230</v>
      </c>
      <c r="F2448" s="74">
        <v>1.58</v>
      </c>
      <c r="G2448" s="75" t="s">
        <v>229</v>
      </c>
      <c r="H2448" s="77" t="str">
        <f>VLOOKUP(DESPESAS[[#This Row],[Plano de Contas]],BASE!$B$3:$D$119,3,FALSE)</f>
        <v>Despesas Bancarias</v>
      </c>
      <c r="I2448" s="77" t="str">
        <f>IFERROR(VLOOKUP(DESPESAS[[#This Row],[Fornecedor]],Tabela2[],2,FALSE),"")</f>
        <v/>
      </c>
      <c r="J2448" s="77" t="str">
        <f>IFERROR(VLOOKUP(DESPESAS[[#This Row],[Plano de Contas]],BASE!$B$3:$F$119,4,FALSE),"")</f>
        <v>8 - DESPESAS FINANCEIRAS</v>
      </c>
      <c r="K2448" s="77" t="str">
        <f>IFERROR(VLOOKUP(DESPESAS[[#This Row],[Plano de Contas]],BASE!$B$3:$H$119,5,FALSE),"")</f>
        <v>FINANCEIRO</v>
      </c>
      <c r="L2448" s="77">
        <f>IFERROR(VLOOKUP(DESPESAS[[#This Row],[Plano de Contas]],BASE!$B$3:$H$119,6,FALSE),"")</f>
        <v>0</v>
      </c>
      <c r="M2448" s="77" t="str">
        <f>VLOOKUP(DESPESAS[[#This Row],[Plano de Contas]],BASE!$B$3:$H$119,7,FALSE)</f>
        <v>LETÍCIA</v>
      </c>
    </row>
    <row r="2449" spans="1:13" x14ac:dyDescent="0.25">
      <c r="A2449" s="74">
        <v>199370</v>
      </c>
      <c r="B2449" s="75" t="s">
        <v>232</v>
      </c>
      <c r="C2449" s="75" t="s">
        <v>1507</v>
      </c>
      <c r="D2449" s="76">
        <v>46092</v>
      </c>
      <c r="E2449" s="75" t="s">
        <v>1506</v>
      </c>
      <c r="F2449" s="74">
        <v>1580</v>
      </c>
      <c r="G2449" s="75" t="s">
        <v>1037</v>
      </c>
      <c r="H2449" s="77" t="str">
        <f>VLOOKUP(DESPESAS[[#This Row],[Plano de Contas]],BASE!$B$3:$D$119,3,FALSE)</f>
        <v>Construções e Reformas</v>
      </c>
      <c r="I2449" s="77" t="str">
        <f>IFERROR(VLOOKUP(DESPESAS[[#This Row],[Fornecedor]],Tabela2[],2,FALSE),"")</f>
        <v/>
      </c>
      <c r="J2449" s="77" t="str">
        <f>IFERROR(VLOOKUP(DESPESAS[[#This Row],[Plano de Contas]],BASE!$B$3:$F$119,4,FALSE),"")</f>
        <v>9 - INVESTIMENTOS</v>
      </c>
      <c r="K2449" s="77" t="str">
        <f>IFERROR(VLOOKUP(DESPESAS[[#This Row],[Plano de Contas]],BASE!$B$3:$H$119,5,FALSE),"")</f>
        <v>MANUTENÇÃO / TI</v>
      </c>
      <c r="L2449" s="77">
        <f>IFERROR(VLOOKUP(DESPESAS[[#This Row],[Plano de Contas]],BASE!$B$3:$H$119,6,FALSE),"")</f>
        <v>0</v>
      </c>
      <c r="M2449" s="77" t="str">
        <f>VLOOKUP(DESPESAS[[#This Row],[Plano de Contas]],BASE!$B$3:$H$119,7,FALSE)</f>
        <v>FÁBIO</v>
      </c>
    </row>
    <row r="2450" spans="1:13" x14ac:dyDescent="0.25">
      <c r="A2450" s="74">
        <v>199371</v>
      </c>
      <c r="B2450" s="75" t="s">
        <v>221</v>
      </c>
      <c r="C2450" s="75" t="s">
        <v>1504</v>
      </c>
      <c r="D2450" s="76">
        <v>46091</v>
      </c>
      <c r="E2450" s="75" t="s">
        <v>1505</v>
      </c>
      <c r="F2450" s="74">
        <v>93</v>
      </c>
      <c r="G2450" s="75" t="s">
        <v>374</v>
      </c>
      <c r="H2450" s="77" t="str">
        <f>VLOOKUP(DESPESAS[[#This Row],[Plano de Contas]],BASE!$B$3:$D$119,3,FALSE)</f>
        <v>Consultoria Empresarial</v>
      </c>
      <c r="I2450" s="77" t="str">
        <f>IFERROR(VLOOKUP(DESPESAS[[#This Row],[Fornecedor]],Tabela2[],2,FALSE),"")</f>
        <v/>
      </c>
      <c r="J2450" s="77" t="str">
        <f>IFERROR(VLOOKUP(DESPESAS[[#This Row],[Plano de Contas]],BASE!$B$3:$F$119,4,FALSE),"")</f>
        <v>7 - SERVIÇOS DE TERCEIROS</v>
      </c>
      <c r="K2450" s="77" t="str">
        <f>IFERROR(VLOOKUP(DESPESAS[[#This Row],[Plano de Contas]],BASE!$B$3:$H$119,5,FALSE),"")</f>
        <v>FINANCEIRO</v>
      </c>
      <c r="L2450" s="77">
        <f>IFERROR(VLOOKUP(DESPESAS[[#This Row],[Plano de Contas]],BASE!$B$3:$H$119,6,FALSE),"")</f>
        <v>0</v>
      </c>
      <c r="M2450" s="77" t="str">
        <f>VLOOKUP(DESPESAS[[#This Row],[Plano de Contas]],BASE!$B$3:$H$119,7,FALSE)</f>
        <v>LETÍCIA</v>
      </c>
    </row>
    <row r="2451" spans="1:13" x14ac:dyDescent="0.25">
      <c r="A2451" s="74">
        <v>199372</v>
      </c>
      <c r="B2451" s="75" t="s">
        <v>221</v>
      </c>
      <c r="C2451" s="75" t="s">
        <v>1504</v>
      </c>
      <c r="D2451" s="76">
        <v>46091</v>
      </c>
      <c r="E2451" s="75" t="s">
        <v>1503</v>
      </c>
      <c r="F2451" s="74">
        <v>45</v>
      </c>
      <c r="G2451" s="75" t="s">
        <v>374</v>
      </c>
      <c r="H2451" s="77" t="str">
        <f>VLOOKUP(DESPESAS[[#This Row],[Plano de Contas]],BASE!$B$3:$D$119,3,FALSE)</f>
        <v>Consultoria Empresarial</v>
      </c>
      <c r="I2451" s="77" t="str">
        <f>IFERROR(VLOOKUP(DESPESAS[[#This Row],[Fornecedor]],Tabela2[],2,FALSE),"")</f>
        <v/>
      </c>
      <c r="J2451" s="77" t="str">
        <f>IFERROR(VLOOKUP(DESPESAS[[#This Row],[Plano de Contas]],BASE!$B$3:$F$119,4,FALSE),"")</f>
        <v>7 - SERVIÇOS DE TERCEIROS</v>
      </c>
      <c r="K2451" s="77" t="str">
        <f>IFERROR(VLOOKUP(DESPESAS[[#This Row],[Plano de Contas]],BASE!$B$3:$H$119,5,FALSE),"")</f>
        <v>FINANCEIRO</v>
      </c>
      <c r="L2451" s="77">
        <f>IFERROR(VLOOKUP(DESPESAS[[#This Row],[Plano de Contas]],BASE!$B$3:$H$119,6,FALSE),"")</f>
        <v>0</v>
      </c>
      <c r="M2451" s="77" t="str">
        <f>VLOOKUP(DESPESAS[[#This Row],[Plano de Contas]],BASE!$B$3:$H$119,7,FALSE)</f>
        <v>LETÍCIA</v>
      </c>
    </row>
    <row r="2452" spans="1:13" x14ac:dyDescent="0.25">
      <c r="A2452" s="74">
        <v>199373</v>
      </c>
      <c r="B2452" s="75" t="s">
        <v>232</v>
      </c>
      <c r="C2452" s="75" t="s">
        <v>1502</v>
      </c>
      <c r="D2452" s="76">
        <v>46092</v>
      </c>
      <c r="E2452" s="75" t="s">
        <v>409</v>
      </c>
      <c r="F2452" s="74">
        <v>390.63</v>
      </c>
      <c r="G2452" s="75" t="s">
        <v>326</v>
      </c>
      <c r="H2452" s="77" t="str">
        <f>VLOOKUP(DESPESAS[[#This Row],[Plano de Contas]],BASE!$B$3:$D$119,3,FALSE)</f>
        <v>Frete sobre Compras</v>
      </c>
      <c r="I2452" s="77" t="str">
        <f>IFERROR(VLOOKUP(DESPESAS[[#This Row],[Fornecedor]],Tabela2[],2,FALSE),"")</f>
        <v>SERVIÇOS FRETE</v>
      </c>
      <c r="J2452" s="77" t="str">
        <f>IFERROR(VLOOKUP(DESPESAS[[#This Row],[Plano de Contas]],BASE!$B$3:$F$119,4,FALSE),"")</f>
        <v>1 - CPV</v>
      </c>
      <c r="K2452" s="77" t="str">
        <f>IFERROR(VLOOKUP(DESPESAS[[#This Row],[Plano de Contas]],BASE!$B$3:$H$119,5,FALSE),"")</f>
        <v>COMPRAS</v>
      </c>
      <c r="L2452" s="77">
        <f>IFERROR(VLOOKUP(DESPESAS[[#This Row],[Plano de Contas]],BASE!$B$3:$H$119,6,FALSE),"")</f>
        <v>0</v>
      </c>
      <c r="M2452" s="77" t="str">
        <f>VLOOKUP(DESPESAS[[#This Row],[Plano de Contas]],BASE!$B$3:$H$119,7,FALSE)</f>
        <v>MYLENA</v>
      </c>
    </row>
    <row r="2453" spans="1:13" x14ac:dyDescent="0.25">
      <c r="A2453" s="74">
        <v>199374</v>
      </c>
      <c r="B2453" s="75" t="s">
        <v>232</v>
      </c>
      <c r="C2453" s="75" t="s">
        <v>1501</v>
      </c>
      <c r="D2453" s="76">
        <v>46092</v>
      </c>
      <c r="E2453" s="75" t="s">
        <v>409</v>
      </c>
      <c r="F2453" s="74">
        <v>386.42</v>
      </c>
      <c r="G2453" s="75" t="s">
        <v>326</v>
      </c>
      <c r="H2453" s="77" t="str">
        <f>VLOOKUP(DESPESAS[[#This Row],[Plano de Contas]],BASE!$B$3:$D$119,3,FALSE)</f>
        <v>Frete sobre Compras</v>
      </c>
      <c r="I2453" s="77" t="str">
        <f>IFERROR(VLOOKUP(DESPESAS[[#This Row],[Fornecedor]],Tabela2[],2,FALSE),"")</f>
        <v>SERVIÇOS FRETE</v>
      </c>
      <c r="J2453" s="77" t="str">
        <f>IFERROR(VLOOKUP(DESPESAS[[#This Row],[Plano de Contas]],BASE!$B$3:$F$119,4,FALSE),"")</f>
        <v>1 - CPV</v>
      </c>
      <c r="K2453" s="77" t="str">
        <f>IFERROR(VLOOKUP(DESPESAS[[#This Row],[Plano de Contas]],BASE!$B$3:$H$119,5,FALSE),"")</f>
        <v>COMPRAS</v>
      </c>
      <c r="L2453" s="77">
        <f>IFERROR(VLOOKUP(DESPESAS[[#This Row],[Plano de Contas]],BASE!$B$3:$H$119,6,FALSE),"")</f>
        <v>0</v>
      </c>
      <c r="M2453" s="77" t="str">
        <f>VLOOKUP(DESPESAS[[#This Row],[Plano de Contas]],BASE!$B$3:$H$119,7,FALSE)</f>
        <v>MYLENA</v>
      </c>
    </row>
    <row r="2454" spans="1:13" x14ac:dyDescent="0.25">
      <c r="A2454" s="74">
        <v>199375</v>
      </c>
      <c r="B2454" s="75" t="s">
        <v>232</v>
      </c>
      <c r="C2454" s="75" t="s">
        <v>1500</v>
      </c>
      <c r="D2454" s="76">
        <v>46092</v>
      </c>
      <c r="E2454" s="75" t="s">
        <v>409</v>
      </c>
      <c r="F2454" s="74">
        <v>110.56</v>
      </c>
      <c r="G2454" s="75" t="s">
        <v>326</v>
      </c>
      <c r="H2454" s="77" t="str">
        <f>VLOOKUP(DESPESAS[[#This Row],[Plano de Contas]],BASE!$B$3:$D$119,3,FALSE)</f>
        <v>Frete sobre Compras</v>
      </c>
      <c r="I2454" s="77" t="str">
        <f>IFERROR(VLOOKUP(DESPESAS[[#This Row],[Fornecedor]],Tabela2[],2,FALSE),"")</f>
        <v>SERVIÇOS FRETE</v>
      </c>
      <c r="J2454" s="77" t="str">
        <f>IFERROR(VLOOKUP(DESPESAS[[#This Row],[Plano de Contas]],BASE!$B$3:$F$119,4,FALSE),"")</f>
        <v>1 - CPV</v>
      </c>
      <c r="K2454" s="77" t="str">
        <f>IFERROR(VLOOKUP(DESPESAS[[#This Row],[Plano de Contas]],BASE!$B$3:$H$119,5,FALSE),"")</f>
        <v>COMPRAS</v>
      </c>
      <c r="L2454" s="77">
        <f>IFERROR(VLOOKUP(DESPESAS[[#This Row],[Plano de Contas]],BASE!$B$3:$H$119,6,FALSE),"")</f>
        <v>0</v>
      </c>
      <c r="M2454" s="77" t="str">
        <f>VLOOKUP(DESPESAS[[#This Row],[Plano de Contas]],BASE!$B$3:$H$119,7,FALSE)</f>
        <v>MYLENA</v>
      </c>
    </row>
    <row r="2455" spans="1:13" x14ac:dyDescent="0.25">
      <c r="A2455" s="74">
        <v>199376</v>
      </c>
      <c r="B2455" s="75" t="s">
        <v>232</v>
      </c>
      <c r="C2455" s="75" t="s">
        <v>1499</v>
      </c>
      <c r="D2455" s="76">
        <v>46092</v>
      </c>
      <c r="E2455" s="75" t="s">
        <v>409</v>
      </c>
      <c r="F2455" s="74">
        <v>145.69999999999999</v>
      </c>
      <c r="G2455" s="75" t="s">
        <v>326</v>
      </c>
      <c r="H2455" s="77" t="str">
        <f>VLOOKUP(DESPESAS[[#This Row],[Plano de Contas]],BASE!$B$3:$D$119,3,FALSE)</f>
        <v>Frete sobre Compras</v>
      </c>
      <c r="I2455" s="77" t="str">
        <f>IFERROR(VLOOKUP(DESPESAS[[#This Row],[Fornecedor]],Tabela2[],2,FALSE),"")</f>
        <v>SERVIÇOS FRETE</v>
      </c>
      <c r="J2455" s="77" t="str">
        <f>IFERROR(VLOOKUP(DESPESAS[[#This Row],[Plano de Contas]],BASE!$B$3:$F$119,4,FALSE),"")</f>
        <v>1 - CPV</v>
      </c>
      <c r="K2455" s="77" t="str">
        <f>IFERROR(VLOOKUP(DESPESAS[[#This Row],[Plano de Contas]],BASE!$B$3:$H$119,5,FALSE),"")</f>
        <v>COMPRAS</v>
      </c>
      <c r="L2455" s="77">
        <f>IFERROR(VLOOKUP(DESPESAS[[#This Row],[Plano de Contas]],BASE!$B$3:$H$119,6,FALSE),"")</f>
        <v>0</v>
      </c>
      <c r="M2455" s="77" t="str">
        <f>VLOOKUP(DESPESAS[[#This Row],[Plano de Contas]],BASE!$B$3:$H$119,7,FALSE)</f>
        <v>MYLENA</v>
      </c>
    </row>
    <row r="2456" spans="1:13" x14ac:dyDescent="0.25">
      <c r="A2456" s="74">
        <v>199377</v>
      </c>
      <c r="B2456" s="75" t="s">
        <v>232</v>
      </c>
      <c r="C2456" s="75" t="s">
        <v>1498</v>
      </c>
      <c r="D2456" s="76">
        <v>46092</v>
      </c>
      <c r="E2456" s="75" t="s">
        <v>409</v>
      </c>
      <c r="F2456" s="74">
        <v>149.66999999999999</v>
      </c>
      <c r="G2456" s="75" t="s">
        <v>326</v>
      </c>
      <c r="H2456" s="77" t="str">
        <f>VLOOKUP(DESPESAS[[#This Row],[Plano de Contas]],BASE!$B$3:$D$119,3,FALSE)</f>
        <v>Frete sobre Compras</v>
      </c>
      <c r="I2456" s="77" t="str">
        <f>IFERROR(VLOOKUP(DESPESAS[[#This Row],[Fornecedor]],Tabela2[],2,FALSE),"")</f>
        <v>SERVIÇOS FRETE</v>
      </c>
      <c r="J2456" s="77" t="str">
        <f>IFERROR(VLOOKUP(DESPESAS[[#This Row],[Plano de Contas]],BASE!$B$3:$F$119,4,FALSE),"")</f>
        <v>1 - CPV</v>
      </c>
      <c r="K2456" s="77" t="str">
        <f>IFERROR(VLOOKUP(DESPESAS[[#This Row],[Plano de Contas]],BASE!$B$3:$H$119,5,FALSE),"")</f>
        <v>COMPRAS</v>
      </c>
      <c r="L2456" s="77">
        <f>IFERROR(VLOOKUP(DESPESAS[[#This Row],[Plano de Contas]],BASE!$B$3:$H$119,6,FALSE),"")</f>
        <v>0</v>
      </c>
      <c r="M2456" s="77" t="str">
        <f>VLOOKUP(DESPESAS[[#This Row],[Plano de Contas]],BASE!$B$3:$H$119,7,FALSE)</f>
        <v>MYLENA</v>
      </c>
    </row>
    <row r="2457" spans="1:13" x14ac:dyDescent="0.25">
      <c r="A2457" s="74">
        <v>199378</v>
      </c>
      <c r="B2457" s="75" t="s">
        <v>232</v>
      </c>
      <c r="C2457" s="75" t="s">
        <v>1497</v>
      </c>
      <c r="D2457" s="76">
        <v>46092</v>
      </c>
      <c r="E2457" s="75" t="s">
        <v>409</v>
      </c>
      <c r="F2457" s="74">
        <v>108.99</v>
      </c>
      <c r="G2457" s="75" t="s">
        <v>326</v>
      </c>
      <c r="H2457" s="77" t="str">
        <f>VLOOKUP(DESPESAS[[#This Row],[Plano de Contas]],BASE!$B$3:$D$119,3,FALSE)</f>
        <v>Frete sobre Compras</v>
      </c>
      <c r="I2457" s="77" t="str">
        <f>IFERROR(VLOOKUP(DESPESAS[[#This Row],[Fornecedor]],Tabela2[],2,FALSE),"")</f>
        <v>SERVIÇOS FRETE</v>
      </c>
      <c r="J2457" s="77" t="str">
        <f>IFERROR(VLOOKUP(DESPESAS[[#This Row],[Plano de Contas]],BASE!$B$3:$F$119,4,FALSE),"")</f>
        <v>1 - CPV</v>
      </c>
      <c r="K2457" s="77" t="str">
        <f>IFERROR(VLOOKUP(DESPESAS[[#This Row],[Plano de Contas]],BASE!$B$3:$H$119,5,FALSE),"")</f>
        <v>COMPRAS</v>
      </c>
      <c r="L2457" s="77">
        <f>IFERROR(VLOOKUP(DESPESAS[[#This Row],[Plano de Contas]],BASE!$B$3:$H$119,6,FALSE),"")</f>
        <v>0</v>
      </c>
      <c r="M2457" s="77" t="str">
        <f>VLOOKUP(DESPESAS[[#This Row],[Plano de Contas]],BASE!$B$3:$H$119,7,FALSE)</f>
        <v>MYLENA</v>
      </c>
    </row>
    <row r="2458" spans="1:13" x14ac:dyDescent="0.25">
      <c r="A2458" s="74">
        <v>199379</v>
      </c>
      <c r="B2458" s="75" t="s">
        <v>232</v>
      </c>
      <c r="C2458" s="75" t="s">
        <v>1496</v>
      </c>
      <c r="D2458" s="76">
        <v>46092</v>
      </c>
      <c r="E2458" s="75" t="s">
        <v>409</v>
      </c>
      <c r="F2458" s="74">
        <v>115.45</v>
      </c>
      <c r="G2458" s="75" t="s">
        <v>326</v>
      </c>
      <c r="H2458" s="77" t="str">
        <f>VLOOKUP(DESPESAS[[#This Row],[Plano de Contas]],BASE!$B$3:$D$119,3,FALSE)</f>
        <v>Frete sobre Compras</v>
      </c>
      <c r="I2458" s="77" t="str">
        <f>IFERROR(VLOOKUP(DESPESAS[[#This Row],[Fornecedor]],Tabela2[],2,FALSE),"")</f>
        <v>SERVIÇOS FRETE</v>
      </c>
      <c r="J2458" s="77" t="str">
        <f>IFERROR(VLOOKUP(DESPESAS[[#This Row],[Plano de Contas]],BASE!$B$3:$F$119,4,FALSE),"")</f>
        <v>1 - CPV</v>
      </c>
      <c r="K2458" s="77" t="str">
        <f>IFERROR(VLOOKUP(DESPESAS[[#This Row],[Plano de Contas]],BASE!$B$3:$H$119,5,FALSE),"")</f>
        <v>COMPRAS</v>
      </c>
      <c r="L2458" s="77">
        <f>IFERROR(VLOOKUP(DESPESAS[[#This Row],[Plano de Contas]],BASE!$B$3:$H$119,6,FALSE),"")</f>
        <v>0</v>
      </c>
      <c r="M2458" s="77" t="str">
        <f>VLOOKUP(DESPESAS[[#This Row],[Plano de Contas]],BASE!$B$3:$H$119,7,FALSE)</f>
        <v>MYLENA</v>
      </c>
    </row>
    <row r="2459" spans="1:13" x14ac:dyDescent="0.25">
      <c r="A2459" s="74">
        <v>199380</v>
      </c>
      <c r="B2459" s="75" t="s">
        <v>232</v>
      </c>
      <c r="C2459" s="75" t="s">
        <v>1495</v>
      </c>
      <c r="D2459" s="76">
        <v>46084</v>
      </c>
      <c r="E2459" s="75" t="s">
        <v>327</v>
      </c>
      <c r="F2459" s="74">
        <v>185.05</v>
      </c>
      <c r="G2459" s="75" t="s">
        <v>326</v>
      </c>
      <c r="H2459" s="77" t="str">
        <f>VLOOKUP(DESPESAS[[#This Row],[Plano de Contas]],BASE!$B$3:$D$119,3,FALSE)</f>
        <v>Frete sobre Compras</v>
      </c>
      <c r="I2459" s="77" t="str">
        <f>IFERROR(VLOOKUP(DESPESAS[[#This Row],[Fornecedor]],Tabela2[],2,FALSE),"")</f>
        <v>SERVIÇOS FRETE</v>
      </c>
      <c r="J2459" s="77" t="str">
        <f>IFERROR(VLOOKUP(DESPESAS[[#This Row],[Plano de Contas]],BASE!$B$3:$F$119,4,FALSE),"")</f>
        <v>1 - CPV</v>
      </c>
      <c r="K2459" s="77" t="str">
        <f>IFERROR(VLOOKUP(DESPESAS[[#This Row],[Plano de Contas]],BASE!$B$3:$H$119,5,FALSE),"")</f>
        <v>COMPRAS</v>
      </c>
      <c r="L2459" s="77">
        <f>IFERROR(VLOOKUP(DESPESAS[[#This Row],[Plano de Contas]],BASE!$B$3:$H$119,6,FALSE),"")</f>
        <v>0</v>
      </c>
      <c r="M2459" s="77" t="str">
        <f>VLOOKUP(DESPESAS[[#This Row],[Plano de Contas]],BASE!$B$3:$H$119,7,FALSE)</f>
        <v>MYLENA</v>
      </c>
    </row>
    <row r="2460" spans="1:13" x14ac:dyDescent="0.25">
      <c r="A2460" s="74">
        <v>199381</v>
      </c>
      <c r="B2460" s="75" t="s">
        <v>232</v>
      </c>
      <c r="C2460" s="75" t="s">
        <v>1494</v>
      </c>
      <c r="D2460" s="76">
        <v>46092</v>
      </c>
      <c r="E2460" s="75" t="s">
        <v>327</v>
      </c>
      <c r="F2460" s="74">
        <v>193.19</v>
      </c>
      <c r="G2460" s="75" t="s">
        <v>326</v>
      </c>
      <c r="H2460" s="77" t="str">
        <f>VLOOKUP(DESPESAS[[#This Row],[Plano de Contas]],BASE!$B$3:$D$119,3,FALSE)</f>
        <v>Frete sobre Compras</v>
      </c>
      <c r="I2460" s="77" t="str">
        <f>IFERROR(VLOOKUP(DESPESAS[[#This Row],[Fornecedor]],Tabela2[],2,FALSE),"")</f>
        <v>SERVIÇOS FRETE</v>
      </c>
      <c r="J2460" s="77" t="str">
        <f>IFERROR(VLOOKUP(DESPESAS[[#This Row],[Plano de Contas]],BASE!$B$3:$F$119,4,FALSE),"")</f>
        <v>1 - CPV</v>
      </c>
      <c r="K2460" s="77" t="str">
        <f>IFERROR(VLOOKUP(DESPESAS[[#This Row],[Plano de Contas]],BASE!$B$3:$H$119,5,FALSE),"")</f>
        <v>COMPRAS</v>
      </c>
      <c r="L2460" s="77">
        <f>IFERROR(VLOOKUP(DESPESAS[[#This Row],[Plano de Contas]],BASE!$B$3:$H$119,6,FALSE),"")</f>
        <v>0</v>
      </c>
      <c r="M2460" s="77" t="str">
        <f>VLOOKUP(DESPESAS[[#This Row],[Plano de Contas]],BASE!$B$3:$H$119,7,FALSE)</f>
        <v>MYLENA</v>
      </c>
    </row>
    <row r="2461" spans="1:13" x14ac:dyDescent="0.25">
      <c r="A2461" s="74">
        <v>199383</v>
      </c>
      <c r="B2461" s="75" t="s">
        <v>232</v>
      </c>
      <c r="C2461" s="75" t="s">
        <v>1493</v>
      </c>
      <c r="D2461" s="76">
        <v>46092</v>
      </c>
      <c r="E2461" s="75" t="s">
        <v>1492</v>
      </c>
      <c r="F2461" s="74">
        <v>2326.9499999999998</v>
      </c>
      <c r="G2461" s="75" t="s">
        <v>244</v>
      </c>
      <c r="H2461" s="77" t="str">
        <f>VLOOKUP(DESPESAS[[#This Row],[Plano de Contas]],BASE!$B$3:$D$119,3,FALSE)</f>
        <v>Material de Expediente (Prod)</v>
      </c>
      <c r="I2461" s="77" t="str">
        <f>IFERROR(VLOOKUP(DESPESAS[[#This Row],[Fornecedor]],Tabela2[],2,FALSE),"")</f>
        <v/>
      </c>
      <c r="J2461" s="77" t="str">
        <f>IFERROR(VLOOKUP(DESPESAS[[#This Row],[Plano de Contas]],BASE!$B$3:$F$119,4,FALSE),"")</f>
        <v>2 - CUSTOS DIRETOS</v>
      </c>
      <c r="K2461" s="77" t="str">
        <f>IFERROR(VLOOKUP(DESPESAS[[#This Row],[Plano de Contas]],BASE!$B$3:$H$119,5,FALSE),"")</f>
        <v>PRODUÇÃO</v>
      </c>
      <c r="L2461" s="77">
        <f>IFERROR(VLOOKUP(DESPESAS[[#This Row],[Plano de Contas]],BASE!$B$3:$H$119,6,FALSE),"")</f>
        <v>0</v>
      </c>
      <c r="M2461" s="77" t="str">
        <f>VLOOKUP(DESPESAS[[#This Row],[Plano de Contas]],BASE!$B$3:$H$119,7,FALSE)</f>
        <v>RAFAEL</v>
      </c>
    </row>
    <row r="2462" spans="1:13" x14ac:dyDescent="0.25">
      <c r="A2462" s="74">
        <v>199384</v>
      </c>
      <c r="B2462" s="75" t="s">
        <v>232</v>
      </c>
      <c r="C2462" s="75" t="s">
        <v>1491</v>
      </c>
      <c r="D2462" s="76">
        <v>46092</v>
      </c>
      <c r="E2462" s="75" t="s">
        <v>1206</v>
      </c>
      <c r="F2462" s="74">
        <v>180</v>
      </c>
      <c r="G2462" s="75" t="s">
        <v>247</v>
      </c>
      <c r="H2462" s="77" t="str">
        <f>VLOOKUP(DESPESAS[[#This Row],[Plano de Contas]],BASE!$B$3:$D$119,3,FALSE)</f>
        <v>Manutenção com veiculos</v>
      </c>
      <c r="I2462" s="77" t="str">
        <f>IFERROR(VLOOKUP(DESPESAS[[#This Row],[Fornecedor]],Tabela2[],2,FALSE),"")</f>
        <v/>
      </c>
      <c r="J2462" s="77" t="str">
        <f>IFERROR(VLOOKUP(DESPESAS[[#This Row],[Plano de Contas]],BASE!$B$3:$F$119,4,FALSE),"")</f>
        <v>6 - DESPESA COM VENDAS</v>
      </c>
      <c r="K2462" s="77" t="str">
        <f>IFERROR(VLOOKUP(DESPESAS[[#This Row],[Plano de Contas]],BASE!$B$3:$H$119,5,FALSE),"")</f>
        <v>LOGÍSTICA</v>
      </c>
      <c r="L2462" s="77">
        <f>IFERROR(VLOOKUP(DESPESAS[[#This Row],[Plano de Contas]],BASE!$B$3:$H$119,6,FALSE),"")</f>
        <v>0</v>
      </c>
      <c r="M2462" s="77" t="str">
        <f>VLOOKUP(DESPESAS[[#This Row],[Plano de Contas]],BASE!$B$3:$H$119,7,FALSE)</f>
        <v>MYLENA</v>
      </c>
    </row>
    <row r="2463" spans="1:13" x14ac:dyDescent="0.25">
      <c r="A2463" s="74">
        <v>199385</v>
      </c>
      <c r="B2463" s="75" t="s">
        <v>232</v>
      </c>
      <c r="C2463" s="75" t="s">
        <v>1490</v>
      </c>
      <c r="D2463" s="76">
        <v>46092</v>
      </c>
      <c r="E2463" s="75" t="s">
        <v>1206</v>
      </c>
      <c r="F2463" s="74">
        <v>100</v>
      </c>
      <c r="G2463" s="75" t="s">
        <v>247</v>
      </c>
      <c r="H2463" s="77" t="str">
        <f>VLOOKUP(DESPESAS[[#This Row],[Plano de Contas]],BASE!$B$3:$D$119,3,FALSE)</f>
        <v>Manutenção com veiculos</v>
      </c>
      <c r="I2463" s="77" t="str">
        <f>IFERROR(VLOOKUP(DESPESAS[[#This Row],[Fornecedor]],Tabela2[],2,FALSE),"")</f>
        <v/>
      </c>
      <c r="J2463" s="77" t="str">
        <f>IFERROR(VLOOKUP(DESPESAS[[#This Row],[Plano de Contas]],BASE!$B$3:$F$119,4,FALSE),"")</f>
        <v>6 - DESPESA COM VENDAS</v>
      </c>
      <c r="K2463" s="77" t="str">
        <f>IFERROR(VLOOKUP(DESPESAS[[#This Row],[Plano de Contas]],BASE!$B$3:$H$119,5,FALSE),"")</f>
        <v>LOGÍSTICA</v>
      </c>
      <c r="L2463" s="77">
        <f>IFERROR(VLOOKUP(DESPESAS[[#This Row],[Plano de Contas]],BASE!$B$3:$H$119,6,FALSE),"")</f>
        <v>0</v>
      </c>
      <c r="M2463" s="77" t="str">
        <f>VLOOKUP(DESPESAS[[#This Row],[Plano de Contas]],BASE!$B$3:$H$119,7,FALSE)</f>
        <v>MYLENA</v>
      </c>
    </row>
    <row r="2464" spans="1:13" x14ac:dyDescent="0.25">
      <c r="A2464" s="74">
        <v>199386</v>
      </c>
      <c r="B2464" s="75" t="s">
        <v>221</v>
      </c>
      <c r="C2464" s="75" t="s">
        <v>1489</v>
      </c>
      <c r="D2464" s="76">
        <v>46092</v>
      </c>
      <c r="E2464" s="75" t="s">
        <v>1262</v>
      </c>
      <c r="F2464" s="74">
        <v>40</v>
      </c>
      <c r="G2464" s="75" t="s">
        <v>247</v>
      </c>
      <c r="H2464" s="77" t="str">
        <f>VLOOKUP(DESPESAS[[#This Row],[Plano de Contas]],BASE!$B$3:$D$119,3,FALSE)</f>
        <v>Manutenção com veiculos</v>
      </c>
      <c r="I2464" s="77" t="str">
        <f>IFERROR(VLOOKUP(DESPESAS[[#This Row],[Fornecedor]],Tabela2[],2,FALSE),"")</f>
        <v/>
      </c>
      <c r="J2464" s="77" t="str">
        <f>IFERROR(VLOOKUP(DESPESAS[[#This Row],[Plano de Contas]],BASE!$B$3:$F$119,4,FALSE),"")</f>
        <v>6 - DESPESA COM VENDAS</v>
      </c>
      <c r="K2464" s="77" t="str">
        <f>IFERROR(VLOOKUP(DESPESAS[[#This Row],[Plano de Contas]],BASE!$B$3:$H$119,5,FALSE),"")</f>
        <v>LOGÍSTICA</v>
      </c>
      <c r="L2464" s="77">
        <f>IFERROR(VLOOKUP(DESPESAS[[#This Row],[Plano de Contas]],BASE!$B$3:$H$119,6,FALSE),"")</f>
        <v>0</v>
      </c>
      <c r="M2464" s="77" t="str">
        <f>VLOOKUP(DESPESAS[[#This Row],[Plano de Contas]],BASE!$B$3:$H$119,7,FALSE)</f>
        <v>MYLENA</v>
      </c>
    </row>
    <row r="2465" spans="1:13" x14ac:dyDescent="0.25">
      <c r="A2465" s="74">
        <v>199387</v>
      </c>
      <c r="B2465" s="75" t="s">
        <v>232</v>
      </c>
      <c r="C2465" s="75" t="s">
        <v>763</v>
      </c>
      <c r="D2465" s="76">
        <v>46092</v>
      </c>
      <c r="E2465" s="75" t="s">
        <v>753</v>
      </c>
      <c r="F2465" s="74">
        <v>1372.31</v>
      </c>
      <c r="G2465" s="75" t="s">
        <v>483</v>
      </c>
      <c r="H2465" s="77" t="str">
        <f>VLOOKUP(DESPESAS[[#This Row],[Plano de Contas]],BASE!$B$3:$D$119,3,FALSE)</f>
        <v>Ferias (Adm)</v>
      </c>
      <c r="I2465" s="77" t="str">
        <f>IFERROR(VLOOKUP(DESPESAS[[#This Row],[Fornecedor]],Tabela2[],2,FALSE),"")</f>
        <v/>
      </c>
      <c r="J2465" s="77" t="str">
        <f>IFERROR(VLOOKUP(DESPESAS[[#This Row],[Plano de Contas]],BASE!$B$3:$F$119,4,FALSE),"")</f>
        <v>4 - GASTOS COM PESSOAL</v>
      </c>
      <c r="K2465" s="77" t="str">
        <f>IFERROR(VLOOKUP(DESPESAS[[#This Row],[Plano de Contas]],BASE!$B$3:$H$119,5,FALSE),"")</f>
        <v>DH</v>
      </c>
      <c r="L2465" s="77">
        <f>IFERROR(VLOOKUP(DESPESAS[[#This Row],[Plano de Contas]],BASE!$B$3:$H$119,6,FALSE),"")</f>
        <v>0</v>
      </c>
      <c r="M2465" s="77" t="str">
        <f>VLOOKUP(DESPESAS[[#This Row],[Plano de Contas]],BASE!$B$3:$H$119,7,FALSE)</f>
        <v>RAFAEL</v>
      </c>
    </row>
    <row r="2466" spans="1:13" x14ac:dyDescent="0.25">
      <c r="A2466" s="74">
        <v>199388</v>
      </c>
      <c r="B2466" s="75" t="s">
        <v>221</v>
      </c>
      <c r="C2466" s="75" t="s">
        <v>1488</v>
      </c>
      <c r="D2466" s="76">
        <v>46092</v>
      </c>
      <c r="E2466" s="75" t="s">
        <v>1487</v>
      </c>
      <c r="F2466" s="74">
        <v>140</v>
      </c>
      <c r="G2466" s="75" t="s">
        <v>719</v>
      </c>
      <c r="H2466" s="77" t="str">
        <f>VLOOKUP(DESPESAS[[#This Row],[Plano de Contas]],BASE!$B$3:$D$119,3,FALSE)</f>
        <v>Outros Serviços de Terceiros</v>
      </c>
      <c r="I2466" s="77" t="str">
        <f>IFERROR(VLOOKUP(DESPESAS[[#This Row],[Fornecedor]],Tabela2[],2,FALSE),"")</f>
        <v/>
      </c>
      <c r="J2466" s="77" t="str">
        <f>IFERROR(VLOOKUP(DESPESAS[[#This Row],[Plano de Contas]],BASE!$B$3:$F$119,4,FALSE),"")</f>
        <v>7 - SERVIÇOS DE TERCEIROS</v>
      </c>
      <c r="K2466" s="77" t="str">
        <f>IFERROR(VLOOKUP(DESPESAS[[#This Row],[Plano de Contas]],BASE!$B$3:$H$119,5,FALSE),"")</f>
        <v>FINANCEIRO</v>
      </c>
      <c r="L2466" s="77">
        <f>IFERROR(VLOOKUP(DESPESAS[[#This Row],[Plano de Contas]],BASE!$B$3:$H$119,6,FALSE),"")</f>
        <v>0</v>
      </c>
      <c r="M2466" s="77" t="str">
        <f>VLOOKUP(DESPESAS[[#This Row],[Plano de Contas]],BASE!$B$3:$H$119,7,FALSE)</f>
        <v>LETÍCIA</v>
      </c>
    </row>
    <row r="2467" spans="1:13" x14ac:dyDescent="0.25">
      <c r="A2467" s="74">
        <v>199389</v>
      </c>
      <c r="B2467" s="75" t="s">
        <v>221</v>
      </c>
      <c r="C2467" s="75" t="s">
        <v>1486</v>
      </c>
      <c r="D2467" s="76">
        <v>46092</v>
      </c>
      <c r="E2467" s="75" t="s">
        <v>239</v>
      </c>
      <c r="F2467" s="74">
        <v>133.19999999999999</v>
      </c>
      <c r="G2467" s="75" t="s">
        <v>238</v>
      </c>
      <c r="H2467" s="77" t="str">
        <f>VLOOKUP(DESPESAS[[#This Row],[Plano de Contas]],BASE!$B$3:$D$119,3,FALSE)</f>
        <v>Consultoria Comercial</v>
      </c>
      <c r="I2467" s="77" t="str">
        <f>IFERROR(VLOOKUP(DESPESAS[[#This Row],[Fornecedor]],Tabela2[],2,FALSE),"")</f>
        <v/>
      </c>
      <c r="J2467" s="77" t="str">
        <f>IFERROR(VLOOKUP(DESPESAS[[#This Row],[Plano de Contas]],BASE!$B$3:$F$119,4,FALSE),"")</f>
        <v>6 - DESPESA COM VENDAS</v>
      </c>
      <c r="K2467" s="77" t="str">
        <f>IFERROR(VLOOKUP(DESPESAS[[#This Row],[Plano de Contas]],BASE!$B$3:$H$119,5,FALSE),"")</f>
        <v>COMERCIAL</v>
      </c>
      <c r="L2467" s="77">
        <f>IFERROR(VLOOKUP(DESPESAS[[#This Row],[Plano de Contas]],BASE!$B$3:$H$119,6,FALSE),"")</f>
        <v>0</v>
      </c>
      <c r="M2467" s="77" t="str">
        <f>VLOOKUP(DESPESAS[[#This Row],[Plano de Contas]],BASE!$B$3:$H$119,7,FALSE)</f>
        <v>LETÍCIA</v>
      </c>
    </row>
    <row r="2468" spans="1:13" x14ac:dyDescent="0.25">
      <c r="A2468" s="74">
        <v>199391</v>
      </c>
      <c r="B2468" s="75" t="s">
        <v>232</v>
      </c>
      <c r="C2468" s="75" t="s">
        <v>1485</v>
      </c>
      <c r="D2468" s="76">
        <v>46091</v>
      </c>
      <c r="E2468" s="75" t="s">
        <v>391</v>
      </c>
      <c r="F2468" s="74">
        <v>635</v>
      </c>
      <c r="G2468" s="75" t="s">
        <v>241</v>
      </c>
      <c r="H2468" s="77" t="str">
        <f>VLOOKUP(DESPESAS[[#This Row],[Plano de Contas]],BASE!$B$3:$D$119,3,FALSE)</f>
        <v>Combustiveis Frota</v>
      </c>
      <c r="I2468" s="77" t="str">
        <f>IFERROR(VLOOKUP(DESPESAS[[#This Row],[Fornecedor]],Tabela2[],2,FALSE),"")</f>
        <v/>
      </c>
      <c r="J2468" s="77" t="str">
        <f>IFERROR(VLOOKUP(DESPESAS[[#This Row],[Plano de Contas]],BASE!$B$3:$F$119,4,FALSE),"")</f>
        <v>6 - DESPESA COM VENDAS</v>
      </c>
      <c r="K2468" s="77" t="str">
        <f>IFERROR(VLOOKUP(DESPESAS[[#This Row],[Plano de Contas]],BASE!$B$3:$H$119,5,FALSE),"")</f>
        <v>LOGÍSTICA</v>
      </c>
      <c r="L2468" s="77">
        <f>IFERROR(VLOOKUP(DESPESAS[[#This Row],[Plano de Contas]],BASE!$B$3:$H$119,6,FALSE),"")</f>
        <v>0</v>
      </c>
      <c r="M2468" s="77" t="str">
        <f>VLOOKUP(DESPESAS[[#This Row],[Plano de Contas]],BASE!$B$3:$H$119,7,FALSE)</f>
        <v>MYLENA</v>
      </c>
    </row>
    <row r="2469" spans="1:13" x14ac:dyDescent="0.25">
      <c r="A2469" s="74">
        <v>199392</v>
      </c>
      <c r="B2469" s="75" t="s">
        <v>232</v>
      </c>
      <c r="C2469" s="75" t="s">
        <v>1484</v>
      </c>
      <c r="D2469" s="76">
        <v>46090</v>
      </c>
      <c r="E2469" s="75" t="s">
        <v>1063</v>
      </c>
      <c r="F2469" s="74">
        <v>67.400000000000006</v>
      </c>
      <c r="G2469" s="75" t="s">
        <v>241</v>
      </c>
      <c r="H2469" s="77" t="str">
        <f>VLOOKUP(DESPESAS[[#This Row],[Plano de Contas]],BASE!$B$3:$D$119,3,FALSE)</f>
        <v>Combustiveis Frota</v>
      </c>
      <c r="I2469" s="77" t="str">
        <f>IFERROR(VLOOKUP(DESPESAS[[#This Row],[Fornecedor]],Tabela2[],2,FALSE),"")</f>
        <v/>
      </c>
      <c r="J2469" s="77" t="str">
        <f>IFERROR(VLOOKUP(DESPESAS[[#This Row],[Plano de Contas]],BASE!$B$3:$F$119,4,FALSE),"")</f>
        <v>6 - DESPESA COM VENDAS</v>
      </c>
      <c r="K2469" s="77" t="str">
        <f>IFERROR(VLOOKUP(DESPESAS[[#This Row],[Plano de Contas]],BASE!$B$3:$H$119,5,FALSE),"")</f>
        <v>LOGÍSTICA</v>
      </c>
      <c r="L2469" s="77">
        <f>IFERROR(VLOOKUP(DESPESAS[[#This Row],[Plano de Contas]],BASE!$B$3:$H$119,6,FALSE),"")</f>
        <v>0</v>
      </c>
      <c r="M2469" s="77" t="str">
        <f>VLOOKUP(DESPESAS[[#This Row],[Plano de Contas]],BASE!$B$3:$H$119,7,FALSE)</f>
        <v>MYLENA</v>
      </c>
    </row>
    <row r="2470" spans="1:13" x14ac:dyDescent="0.25">
      <c r="A2470" s="74">
        <v>199393</v>
      </c>
      <c r="B2470" s="75" t="s">
        <v>221</v>
      </c>
      <c r="C2470" s="75" t="s">
        <v>1483</v>
      </c>
      <c r="D2470" s="76">
        <v>46092</v>
      </c>
      <c r="E2470" s="75" t="s">
        <v>317</v>
      </c>
      <c r="F2470" s="74">
        <v>120</v>
      </c>
      <c r="G2470" s="75" t="s">
        <v>244</v>
      </c>
      <c r="H2470" s="77" t="str">
        <f>VLOOKUP(DESPESAS[[#This Row],[Plano de Contas]],BASE!$B$3:$D$119,3,FALSE)</f>
        <v>Material de Expediente (Prod)</v>
      </c>
      <c r="I2470" s="77" t="str">
        <f>IFERROR(VLOOKUP(DESPESAS[[#This Row],[Fornecedor]],Tabela2[],2,FALSE),"")</f>
        <v/>
      </c>
      <c r="J2470" s="77" t="str">
        <f>IFERROR(VLOOKUP(DESPESAS[[#This Row],[Plano de Contas]],BASE!$B$3:$F$119,4,FALSE),"")</f>
        <v>2 - CUSTOS DIRETOS</v>
      </c>
      <c r="K2470" s="77" t="str">
        <f>IFERROR(VLOOKUP(DESPESAS[[#This Row],[Plano de Contas]],BASE!$B$3:$H$119,5,FALSE),"")</f>
        <v>PRODUÇÃO</v>
      </c>
      <c r="L2470" s="77">
        <f>IFERROR(VLOOKUP(DESPESAS[[#This Row],[Plano de Contas]],BASE!$B$3:$H$119,6,FALSE),"")</f>
        <v>0</v>
      </c>
      <c r="M2470" s="77" t="str">
        <f>VLOOKUP(DESPESAS[[#This Row],[Plano de Contas]],BASE!$B$3:$H$119,7,FALSE)</f>
        <v>RAFAEL</v>
      </c>
    </row>
    <row r="2471" spans="1:13" x14ac:dyDescent="0.25">
      <c r="A2471" s="74">
        <v>199394</v>
      </c>
      <c r="B2471" s="75" t="s">
        <v>221</v>
      </c>
      <c r="C2471" s="75" t="s">
        <v>1482</v>
      </c>
      <c r="D2471" s="76">
        <v>46092</v>
      </c>
      <c r="E2471" s="75" t="s">
        <v>307</v>
      </c>
      <c r="F2471" s="74">
        <v>24</v>
      </c>
      <c r="G2471" s="75" t="s">
        <v>259</v>
      </c>
      <c r="H2471" s="77" t="str">
        <f>VLOOKUP(DESPESAS[[#This Row],[Plano de Contas]],BASE!$B$3:$D$119,3,FALSE)</f>
        <v>Manutenção Predial CIF</v>
      </c>
      <c r="I2471" s="77" t="str">
        <f>IFERROR(VLOOKUP(DESPESAS[[#This Row],[Fornecedor]],Tabela2[],2,FALSE),"")</f>
        <v>FERRAGENS GERAIS</v>
      </c>
      <c r="J2471" s="77" t="str">
        <f>IFERROR(VLOOKUP(DESPESAS[[#This Row],[Plano de Contas]],BASE!$B$3:$F$119,4,FALSE),"")</f>
        <v>3 - CUSTOS INDIRETOS</v>
      </c>
      <c r="K2471" s="77" t="str">
        <f>IFERROR(VLOOKUP(DESPESAS[[#This Row],[Plano de Contas]],BASE!$B$3:$H$119,5,FALSE),"")</f>
        <v>MANUTENÇÃO / TI</v>
      </c>
      <c r="L2471" s="77">
        <f>IFERROR(VLOOKUP(DESPESAS[[#This Row],[Plano de Contas]],BASE!$B$3:$H$119,6,FALSE),"")</f>
        <v>0</v>
      </c>
      <c r="M2471" s="77" t="str">
        <f>VLOOKUP(DESPESAS[[#This Row],[Plano de Contas]],BASE!$B$3:$H$119,7,FALSE)</f>
        <v>FÁBIO</v>
      </c>
    </row>
    <row r="2472" spans="1:13" x14ac:dyDescent="0.25">
      <c r="A2472" s="74">
        <v>199395</v>
      </c>
      <c r="B2472" s="75" t="s">
        <v>221</v>
      </c>
      <c r="C2472" s="75" t="s">
        <v>1481</v>
      </c>
      <c r="D2472" s="76">
        <v>46092</v>
      </c>
      <c r="E2472" s="75" t="s">
        <v>413</v>
      </c>
      <c r="F2472" s="74">
        <v>524</v>
      </c>
      <c r="G2472" s="75" t="s">
        <v>262</v>
      </c>
      <c r="H2472" s="77" t="str">
        <f>VLOOKUP(DESPESAS[[#This Row],[Plano de Contas]],BASE!$B$3:$D$119,3,FALSE)</f>
        <v>Fretes Karams</v>
      </c>
      <c r="I2472" s="77" t="str">
        <f>IFERROR(VLOOKUP(DESPESAS[[#This Row],[Fornecedor]],Tabela2[],2,FALSE),"")</f>
        <v/>
      </c>
      <c r="J2472" s="77" t="str">
        <f>IFERROR(VLOOKUP(DESPESAS[[#This Row],[Plano de Contas]],BASE!$B$3:$F$119,4,FALSE),"")</f>
        <v>6 - DESPESA COM VENDAS</v>
      </c>
      <c r="K2472" s="77" t="str">
        <f>IFERROR(VLOOKUP(DESPESAS[[#This Row],[Plano de Contas]],BASE!$B$3:$H$119,5,FALSE),"")</f>
        <v>LOGÍSTICA</v>
      </c>
      <c r="L2472" s="77">
        <f>IFERROR(VLOOKUP(DESPESAS[[#This Row],[Plano de Contas]],BASE!$B$3:$H$119,6,FALSE),"")</f>
        <v>0</v>
      </c>
      <c r="M2472" s="77" t="str">
        <f>VLOOKUP(DESPESAS[[#This Row],[Plano de Contas]],BASE!$B$3:$H$119,7,FALSE)</f>
        <v>MYLENA</v>
      </c>
    </row>
    <row r="2473" spans="1:13" x14ac:dyDescent="0.25">
      <c r="A2473" s="74">
        <v>199396</v>
      </c>
      <c r="B2473" s="75" t="s">
        <v>221</v>
      </c>
      <c r="C2473" s="75" t="s">
        <v>1480</v>
      </c>
      <c r="D2473" s="76">
        <v>46092</v>
      </c>
      <c r="E2473" s="75" t="s">
        <v>242</v>
      </c>
      <c r="F2473" s="74">
        <v>3468.33</v>
      </c>
      <c r="G2473" s="75" t="s">
        <v>241</v>
      </c>
      <c r="H2473" s="77" t="str">
        <f>VLOOKUP(DESPESAS[[#This Row],[Plano de Contas]],BASE!$B$3:$D$119,3,FALSE)</f>
        <v>Combustiveis Frota</v>
      </c>
      <c r="I2473" s="77" t="str">
        <f>IFERROR(VLOOKUP(DESPESAS[[#This Row],[Fornecedor]],Tabela2[],2,FALSE),"")</f>
        <v/>
      </c>
      <c r="J2473" s="77" t="str">
        <f>IFERROR(VLOOKUP(DESPESAS[[#This Row],[Plano de Contas]],BASE!$B$3:$F$119,4,FALSE),"")</f>
        <v>6 - DESPESA COM VENDAS</v>
      </c>
      <c r="K2473" s="77" t="str">
        <f>IFERROR(VLOOKUP(DESPESAS[[#This Row],[Plano de Contas]],BASE!$B$3:$H$119,5,FALSE),"")</f>
        <v>LOGÍSTICA</v>
      </c>
      <c r="L2473" s="77">
        <f>IFERROR(VLOOKUP(DESPESAS[[#This Row],[Plano de Contas]],BASE!$B$3:$H$119,6,FALSE),"")</f>
        <v>0</v>
      </c>
      <c r="M2473" s="77" t="str">
        <f>VLOOKUP(DESPESAS[[#This Row],[Plano de Contas]],BASE!$B$3:$H$119,7,FALSE)</f>
        <v>MYLENA</v>
      </c>
    </row>
    <row r="2474" spans="1:13" x14ac:dyDescent="0.25">
      <c r="A2474" s="74">
        <v>199397</v>
      </c>
      <c r="B2474" s="75" t="s">
        <v>221</v>
      </c>
      <c r="C2474" s="75" t="s">
        <v>1479</v>
      </c>
      <c r="D2474" s="76">
        <v>46092</v>
      </c>
      <c r="E2474" s="75" t="s">
        <v>402</v>
      </c>
      <c r="F2474" s="74">
        <v>940</v>
      </c>
      <c r="G2474" s="75" t="s">
        <v>262</v>
      </c>
      <c r="H2474" s="77" t="str">
        <f>VLOOKUP(DESPESAS[[#This Row],[Plano de Contas]],BASE!$B$3:$D$119,3,FALSE)</f>
        <v>Fretes Karams</v>
      </c>
      <c r="I2474" s="77" t="str">
        <f>IFERROR(VLOOKUP(DESPESAS[[#This Row],[Fornecedor]],Tabela2[],2,FALSE),"")</f>
        <v/>
      </c>
      <c r="J2474" s="77" t="str">
        <f>IFERROR(VLOOKUP(DESPESAS[[#This Row],[Plano de Contas]],BASE!$B$3:$F$119,4,FALSE),"")</f>
        <v>6 - DESPESA COM VENDAS</v>
      </c>
      <c r="K2474" s="77" t="str">
        <f>IFERROR(VLOOKUP(DESPESAS[[#This Row],[Plano de Contas]],BASE!$B$3:$H$119,5,FALSE),"")</f>
        <v>LOGÍSTICA</v>
      </c>
      <c r="L2474" s="77">
        <f>IFERROR(VLOOKUP(DESPESAS[[#This Row],[Plano de Contas]],BASE!$B$3:$H$119,6,FALSE),"")</f>
        <v>0</v>
      </c>
      <c r="M2474" s="77" t="str">
        <f>VLOOKUP(DESPESAS[[#This Row],[Plano de Contas]],BASE!$B$3:$H$119,7,FALSE)</f>
        <v>MYLENA</v>
      </c>
    </row>
    <row r="2475" spans="1:13" x14ac:dyDescent="0.25">
      <c r="A2475" s="74">
        <v>199398</v>
      </c>
      <c r="B2475" s="75" t="s">
        <v>232</v>
      </c>
      <c r="C2475" s="75" t="s">
        <v>1478</v>
      </c>
      <c r="D2475" s="76">
        <v>46092</v>
      </c>
      <c r="E2475" s="75" t="s">
        <v>230</v>
      </c>
      <c r="F2475" s="74">
        <v>58.45</v>
      </c>
      <c r="G2475" s="75" t="s">
        <v>229</v>
      </c>
      <c r="H2475" s="77" t="str">
        <f>VLOOKUP(DESPESAS[[#This Row],[Plano de Contas]],BASE!$B$3:$D$119,3,FALSE)</f>
        <v>Despesas Bancarias</v>
      </c>
      <c r="I2475" s="77" t="str">
        <f>IFERROR(VLOOKUP(DESPESAS[[#This Row],[Fornecedor]],Tabela2[],2,FALSE),"")</f>
        <v/>
      </c>
      <c r="J2475" s="77" t="str">
        <f>IFERROR(VLOOKUP(DESPESAS[[#This Row],[Plano de Contas]],BASE!$B$3:$F$119,4,FALSE),"")</f>
        <v>8 - DESPESAS FINANCEIRAS</v>
      </c>
      <c r="K2475" s="77" t="str">
        <f>IFERROR(VLOOKUP(DESPESAS[[#This Row],[Plano de Contas]],BASE!$B$3:$H$119,5,FALSE),"")</f>
        <v>FINANCEIRO</v>
      </c>
      <c r="L2475" s="77">
        <f>IFERROR(VLOOKUP(DESPESAS[[#This Row],[Plano de Contas]],BASE!$B$3:$H$119,6,FALSE),"")</f>
        <v>0</v>
      </c>
      <c r="M2475" s="77" t="str">
        <f>VLOOKUP(DESPESAS[[#This Row],[Plano de Contas]],BASE!$B$3:$H$119,7,FALSE)</f>
        <v>LETÍCIA</v>
      </c>
    </row>
    <row r="2476" spans="1:13" x14ac:dyDescent="0.25">
      <c r="A2476" s="74">
        <v>199399</v>
      </c>
      <c r="B2476" s="75" t="s">
        <v>232</v>
      </c>
      <c r="C2476" s="75" t="s">
        <v>1477</v>
      </c>
      <c r="D2476" s="76">
        <v>46092</v>
      </c>
      <c r="E2476" s="75" t="s">
        <v>230</v>
      </c>
      <c r="F2476" s="74">
        <v>37.909999999999997</v>
      </c>
      <c r="G2476" s="75" t="s">
        <v>229</v>
      </c>
      <c r="H2476" s="77" t="str">
        <f>VLOOKUP(DESPESAS[[#This Row],[Plano de Contas]],BASE!$B$3:$D$119,3,FALSE)</f>
        <v>Despesas Bancarias</v>
      </c>
      <c r="I2476" s="77" t="str">
        <f>IFERROR(VLOOKUP(DESPESAS[[#This Row],[Fornecedor]],Tabela2[],2,FALSE),"")</f>
        <v/>
      </c>
      <c r="J2476" s="77" t="str">
        <f>IFERROR(VLOOKUP(DESPESAS[[#This Row],[Plano de Contas]],BASE!$B$3:$F$119,4,FALSE),"")</f>
        <v>8 - DESPESAS FINANCEIRAS</v>
      </c>
      <c r="K2476" s="77" t="str">
        <f>IFERROR(VLOOKUP(DESPESAS[[#This Row],[Plano de Contas]],BASE!$B$3:$H$119,5,FALSE),"")</f>
        <v>FINANCEIRO</v>
      </c>
      <c r="L2476" s="77">
        <f>IFERROR(VLOOKUP(DESPESAS[[#This Row],[Plano de Contas]],BASE!$B$3:$H$119,6,FALSE),"")</f>
        <v>0</v>
      </c>
      <c r="M2476" s="77" t="str">
        <f>VLOOKUP(DESPESAS[[#This Row],[Plano de Contas]],BASE!$B$3:$H$119,7,FALSE)</f>
        <v>LETÍCIA</v>
      </c>
    </row>
    <row r="2477" spans="1:13" x14ac:dyDescent="0.25">
      <c r="A2477" s="74">
        <v>199400</v>
      </c>
      <c r="B2477" s="75" t="s">
        <v>232</v>
      </c>
      <c r="C2477" s="75" t="s">
        <v>1476</v>
      </c>
      <c r="D2477" s="76">
        <v>46092</v>
      </c>
      <c r="E2477" s="75" t="s">
        <v>230</v>
      </c>
      <c r="F2477" s="74">
        <v>366.3</v>
      </c>
      <c r="G2477" s="75" t="s">
        <v>251</v>
      </c>
      <c r="H2477" s="77" t="str">
        <f>VLOOKUP(DESPESAS[[#This Row],[Plano de Contas]],BASE!$B$3:$D$119,3,FALSE)</f>
        <v>Juros Pagos - Antecipação de Crédito</v>
      </c>
      <c r="I2477" s="77" t="str">
        <f>IFERROR(VLOOKUP(DESPESAS[[#This Row],[Fornecedor]],Tabela2[],2,FALSE),"")</f>
        <v/>
      </c>
      <c r="J2477" s="77" t="str">
        <f>IFERROR(VLOOKUP(DESPESAS[[#This Row],[Plano de Contas]],BASE!$B$3:$F$119,4,FALSE),"")</f>
        <v>8 - DESPESAS FINANCEIRAS</v>
      </c>
      <c r="K2477" s="77" t="str">
        <f>IFERROR(VLOOKUP(DESPESAS[[#This Row],[Plano de Contas]],BASE!$B$3:$H$119,5,FALSE),"")</f>
        <v>FINANCEIRO</v>
      </c>
      <c r="L2477" s="77">
        <f>IFERROR(VLOOKUP(DESPESAS[[#This Row],[Plano de Contas]],BASE!$B$3:$H$119,6,FALSE),"")</f>
        <v>0</v>
      </c>
      <c r="M2477" s="77" t="str">
        <f>VLOOKUP(DESPESAS[[#This Row],[Plano de Contas]],BASE!$B$3:$H$119,7,FALSE)</f>
        <v>LETÍCIA</v>
      </c>
    </row>
    <row r="2478" spans="1:13" x14ac:dyDescent="0.25">
      <c r="A2478" s="74">
        <v>199401</v>
      </c>
      <c r="B2478" s="75" t="s">
        <v>232</v>
      </c>
      <c r="C2478" s="75" t="s">
        <v>1475</v>
      </c>
      <c r="D2478" s="76">
        <v>46092</v>
      </c>
      <c r="E2478" s="75" t="s">
        <v>230</v>
      </c>
      <c r="F2478" s="74">
        <v>0.99</v>
      </c>
      <c r="G2478" s="75" t="s">
        <v>229</v>
      </c>
      <c r="H2478" s="77" t="str">
        <f>VLOOKUP(DESPESAS[[#This Row],[Plano de Contas]],BASE!$B$3:$D$119,3,FALSE)</f>
        <v>Despesas Bancarias</v>
      </c>
      <c r="I2478" s="77" t="str">
        <f>IFERROR(VLOOKUP(DESPESAS[[#This Row],[Fornecedor]],Tabela2[],2,FALSE),"")</f>
        <v/>
      </c>
      <c r="J2478" s="77" t="str">
        <f>IFERROR(VLOOKUP(DESPESAS[[#This Row],[Plano de Contas]],BASE!$B$3:$F$119,4,FALSE),"")</f>
        <v>8 - DESPESAS FINANCEIRAS</v>
      </c>
      <c r="K2478" s="77" t="str">
        <f>IFERROR(VLOOKUP(DESPESAS[[#This Row],[Plano de Contas]],BASE!$B$3:$H$119,5,FALSE),"")</f>
        <v>FINANCEIRO</v>
      </c>
      <c r="L2478" s="77">
        <f>IFERROR(VLOOKUP(DESPESAS[[#This Row],[Plano de Contas]],BASE!$B$3:$H$119,6,FALSE),"")</f>
        <v>0</v>
      </c>
      <c r="M2478" s="77" t="str">
        <f>VLOOKUP(DESPESAS[[#This Row],[Plano de Contas]],BASE!$B$3:$H$119,7,FALSE)</f>
        <v>LETÍCIA</v>
      </c>
    </row>
    <row r="2479" spans="1:13" x14ac:dyDescent="0.25">
      <c r="A2479" s="74">
        <v>199402</v>
      </c>
      <c r="B2479" s="75" t="s">
        <v>232</v>
      </c>
      <c r="C2479" s="75" t="s">
        <v>1474</v>
      </c>
      <c r="D2479" s="76">
        <v>46092</v>
      </c>
      <c r="E2479" s="75" t="s">
        <v>230</v>
      </c>
      <c r="F2479" s="74">
        <v>11.06</v>
      </c>
      <c r="G2479" s="75" t="s">
        <v>229</v>
      </c>
      <c r="H2479" s="77" t="str">
        <f>VLOOKUP(DESPESAS[[#This Row],[Plano de Contas]],BASE!$B$3:$D$119,3,FALSE)</f>
        <v>Despesas Bancarias</v>
      </c>
      <c r="I2479" s="77" t="str">
        <f>IFERROR(VLOOKUP(DESPESAS[[#This Row],[Fornecedor]],Tabela2[],2,FALSE),"")</f>
        <v/>
      </c>
      <c r="J2479" s="77" t="str">
        <f>IFERROR(VLOOKUP(DESPESAS[[#This Row],[Plano de Contas]],BASE!$B$3:$F$119,4,FALSE),"")</f>
        <v>8 - DESPESAS FINANCEIRAS</v>
      </c>
      <c r="K2479" s="77" t="str">
        <f>IFERROR(VLOOKUP(DESPESAS[[#This Row],[Plano de Contas]],BASE!$B$3:$H$119,5,FALSE),"")</f>
        <v>FINANCEIRO</v>
      </c>
      <c r="L2479" s="77">
        <f>IFERROR(VLOOKUP(DESPESAS[[#This Row],[Plano de Contas]],BASE!$B$3:$H$119,6,FALSE),"")</f>
        <v>0</v>
      </c>
      <c r="M2479" s="77" t="str">
        <f>VLOOKUP(DESPESAS[[#This Row],[Plano de Contas]],BASE!$B$3:$H$119,7,FALSE)</f>
        <v>LETÍCIA</v>
      </c>
    </row>
    <row r="2480" spans="1:13" x14ac:dyDescent="0.25">
      <c r="A2480" s="74">
        <v>199403</v>
      </c>
      <c r="B2480" s="75" t="s">
        <v>232</v>
      </c>
      <c r="C2480" s="75" t="s">
        <v>1473</v>
      </c>
      <c r="D2480" s="76">
        <v>46093</v>
      </c>
      <c r="E2480" s="75" t="s">
        <v>230</v>
      </c>
      <c r="F2480" s="74">
        <v>2.08</v>
      </c>
      <c r="G2480" s="75" t="s">
        <v>229</v>
      </c>
      <c r="H2480" s="77" t="str">
        <f>VLOOKUP(DESPESAS[[#This Row],[Plano de Contas]],BASE!$B$3:$D$119,3,FALSE)</f>
        <v>Despesas Bancarias</v>
      </c>
      <c r="I2480" s="77" t="str">
        <f>IFERROR(VLOOKUP(DESPESAS[[#This Row],[Fornecedor]],Tabela2[],2,FALSE),"")</f>
        <v/>
      </c>
      <c r="J2480" s="77" t="str">
        <f>IFERROR(VLOOKUP(DESPESAS[[#This Row],[Plano de Contas]],BASE!$B$3:$F$119,4,FALSE),"")</f>
        <v>8 - DESPESAS FINANCEIRAS</v>
      </c>
      <c r="K2480" s="77" t="str">
        <f>IFERROR(VLOOKUP(DESPESAS[[#This Row],[Plano de Contas]],BASE!$B$3:$H$119,5,FALSE),"")</f>
        <v>FINANCEIRO</v>
      </c>
      <c r="L2480" s="77">
        <f>IFERROR(VLOOKUP(DESPESAS[[#This Row],[Plano de Contas]],BASE!$B$3:$H$119,6,FALSE),"")</f>
        <v>0</v>
      </c>
      <c r="M2480" s="77" t="str">
        <f>VLOOKUP(DESPESAS[[#This Row],[Plano de Contas]],BASE!$B$3:$H$119,7,FALSE)</f>
        <v>LETÍCIA</v>
      </c>
    </row>
    <row r="2481" spans="1:13" x14ac:dyDescent="0.25">
      <c r="A2481" s="74">
        <v>199404</v>
      </c>
      <c r="B2481" s="75" t="s">
        <v>279</v>
      </c>
      <c r="C2481" s="75" t="s">
        <v>1472</v>
      </c>
      <c r="D2481" s="76">
        <v>46092</v>
      </c>
      <c r="E2481" s="75" t="s">
        <v>230</v>
      </c>
      <c r="F2481" s="74">
        <v>4.74</v>
      </c>
      <c r="G2481" s="75" t="s">
        <v>229</v>
      </c>
      <c r="H2481" s="77" t="str">
        <f>VLOOKUP(DESPESAS[[#This Row],[Plano de Contas]],BASE!$B$3:$D$119,3,FALSE)</f>
        <v>Despesas Bancarias</v>
      </c>
      <c r="I2481" s="77" t="str">
        <f>IFERROR(VLOOKUP(DESPESAS[[#This Row],[Fornecedor]],Tabela2[],2,FALSE),"")</f>
        <v/>
      </c>
      <c r="J2481" s="77" t="str">
        <f>IFERROR(VLOOKUP(DESPESAS[[#This Row],[Plano de Contas]],BASE!$B$3:$F$119,4,FALSE),"")</f>
        <v>8 - DESPESAS FINANCEIRAS</v>
      </c>
      <c r="K2481" s="77" t="str">
        <f>IFERROR(VLOOKUP(DESPESAS[[#This Row],[Plano de Contas]],BASE!$B$3:$H$119,5,FALSE),"")</f>
        <v>FINANCEIRO</v>
      </c>
      <c r="L2481" s="77">
        <f>IFERROR(VLOOKUP(DESPESAS[[#This Row],[Plano de Contas]],BASE!$B$3:$H$119,6,FALSE),"")</f>
        <v>0</v>
      </c>
      <c r="M2481" s="77" t="str">
        <f>VLOOKUP(DESPESAS[[#This Row],[Plano de Contas]],BASE!$B$3:$H$119,7,FALSE)</f>
        <v>LETÍCIA</v>
      </c>
    </row>
    <row r="2482" spans="1:13" x14ac:dyDescent="0.25">
      <c r="A2482" s="74">
        <v>199405</v>
      </c>
      <c r="B2482" s="75" t="s">
        <v>279</v>
      </c>
      <c r="C2482" s="75" t="s">
        <v>1471</v>
      </c>
      <c r="D2482" s="76">
        <v>46093</v>
      </c>
      <c r="E2482" s="75" t="s">
        <v>230</v>
      </c>
      <c r="F2482" s="74">
        <v>1</v>
      </c>
      <c r="G2482" s="75" t="s">
        <v>229</v>
      </c>
      <c r="H2482" s="77" t="str">
        <f>VLOOKUP(DESPESAS[[#This Row],[Plano de Contas]],BASE!$B$3:$D$119,3,FALSE)</f>
        <v>Despesas Bancarias</v>
      </c>
      <c r="I2482" s="77" t="str">
        <f>IFERROR(VLOOKUP(DESPESAS[[#This Row],[Fornecedor]],Tabela2[],2,FALSE),"")</f>
        <v/>
      </c>
      <c r="J2482" s="77" t="str">
        <f>IFERROR(VLOOKUP(DESPESAS[[#This Row],[Plano de Contas]],BASE!$B$3:$F$119,4,FALSE),"")</f>
        <v>8 - DESPESAS FINANCEIRAS</v>
      </c>
      <c r="K2482" s="77" t="str">
        <f>IFERROR(VLOOKUP(DESPESAS[[#This Row],[Plano de Contas]],BASE!$B$3:$H$119,5,FALSE),"")</f>
        <v>FINANCEIRO</v>
      </c>
      <c r="L2482" s="77">
        <f>IFERROR(VLOOKUP(DESPESAS[[#This Row],[Plano de Contas]],BASE!$B$3:$H$119,6,FALSE),"")</f>
        <v>0</v>
      </c>
      <c r="M2482" s="77" t="str">
        <f>VLOOKUP(DESPESAS[[#This Row],[Plano de Contas]],BASE!$B$3:$H$119,7,FALSE)</f>
        <v>LETÍCIA</v>
      </c>
    </row>
    <row r="2483" spans="1:13" x14ac:dyDescent="0.25">
      <c r="A2483" s="74">
        <v>199406</v>
      </c>
      <c r="B2483" s="75" t="s">
        <v>281</v>
      </c>
      <c r="C2483" s="75" t="s">
        <v>1470</v>
      </c>
      <c r="D2483" s="76">
        <v>46092</v>
      </c>
      <c r="E2483" s="75" t="s">
        <v>230</v>
      </c>
      <c r="F2483" s="74">
        <v>0.79</v>
      </c>
      <c r="G2483" s="75" t="s">
        <v>229</v>
      </c>
      <c r="H2483" s="77" t="str">
        <f>VLOOKUP(DESPESAS[[#This Row],[Plano de Contas]],BASE!$B$3:$D$119,3,FALSE)</f>
        <v>Despesas Bancarias</v>
      </c>
      <c r="I2483" s="77" t="str">
        <f>IFERROR(VLOOKUP(DESPESAS[[#This Row],[Fornecedor]],Tabela2[],2,FALSE),"")</f>
        <v/>
      </c>
      <c r="J2483" s="77" t="str">
        <f>IFERROR(VLOOKUP(DESPESAS[[#This Row],[Plano de Contas]],BASE!$B$3:$F$119,4,FALSE),"")</f>
        <v>8 - DESPESAS FINANCEIRAS</v>
      </c>
      <c r="K2483" s="77" t="str">
        <f>IFERROR(VLOOKUP(DESPESAS[[#This Row],[Plano de Contas]],BASE!$B$3:$H$119,5,FALSE),"")</f>
        <v>FINANCEIRO</v>
      </c>
      <c r="L2483" s="77">
        <f>IFERROR(VLOOKUP(DESPESAS[[#This Row],[Plano de Contas]],BASE!$B$3:$H$119,6,FALSE),"")</f>
        <v>0</v>
      </c>
      <c r="M2483" s="77" t="str">
        <f>VLOOKUP(DESPESAS[[#This Row],[Plano de Contas]],BASE!$B$3:$H$119,7,FALSE)</f>
        <v>LETÍCIA</v>
      </c>
    </row>
    <row r="2484" spans="1:13" x14ac:dyDescent="0.25">
      <c r="A2484" s="74">
        <v>199407</v>
      </c>
      <c r="B2484" s="75" t="s">
        <v>221</v>
      </c>
      <c r="C2484" s="75" t="s">
        <v>1469</v>
      </c>
      <c r="D2484" s="76">
        <v>46092</v>
      </c>
      <c r="E2484" s="75" t="s">
        <v>1394</v>
      </c>
      <c r="F2484" s="74">
        <v>2.85</v>
      </c>
      <c r="G2484" s="75" t="s">
        <v>229</v>
      </c>
      <c r="H2484" s="77" t="str">
        <f>VLOOKUP(DESPESAS[[#This Row],[Plano de Contas]],BASE!$B$3:$D$119,3,FALSE)</f>
        <v>Despesas Bancarias</v>
      </c>
      <c r="I2484" s="77" t="str">
        <f>IFERROR(VLOOKUP(DESPESAS[[#This Row],[Fornecedor]],Tabela2[],2,FALSE),"")</f>
        <v/>
      </c>
      <c r="J2484" s="77" t="str">
        <f>IFERROR(VLOOKUP(DESPESAS[[#This Row],[Plano de Contas]],BASE!$B$3:$F$119,4,FALSE),"")</f>
        <v>8 - DESPESAS FINANCEIRAS</v>
      </c>
      <c r="K2484" s="77" t="str">
        <f>IFERROR(VLOOKUP(DESPESAS[[#This Row],[Plano de Contas]],BASE!$B$3:$H$119,5,FALSE),"")</f>
        <v>FINANCEIRO</v>
      </c>
      <c r="L2484" s="77">
        <f>IFERROR(VLOOKUP(DESPESAS[[#This Row],[Plano de Contas]],BASE!$B$3:$H$119,6,FALSE),"")</f>
        <v>0</v>
      </c>
      <c r="M2484" s="77" t="str">
        <f>VLOOKUP(DESPESAS[[#This Row],[Plano de Contas]],BASE!$B$3:$H$119,7,FALSE)</f>
        <v>LETÍCIA</v>
      </c>
    </row>
    <row r="2485" spans="1:13" x14ac:dyDescent="0.25">
      <c r="A2485" s="74">
        <v>199408</v>
      </c>
      <c r="B2485" s="75" t="s">
        <v>221</v>
      </c>
      <c r="C2485" s="75" t="s">
        <v>1468</v>
      </c>
      <c r="D2485" s="76">
        <v>46093</v>
      </c>
      <c r="E2485" s="75" t="s">
        <v>537</v>
      </c>
      <c r="F2485" s="74">
        <v>148.5</v>
      </c>
      <c r="G2485" s="75" t="s">
        <v>244</v>
      </c>
      <c r="H2485" s="77" t="str">
        <f>VLOOKUP(DESPESAS[[#This Row],[Plano de Contas]],BASE!$B$3:$D$119,3,FALSE)</f>
        <v>Material de Expediente (Prod)</v>
      </c>
      <c r="I2485" s="77" t="str">
        <f>IFERROR(VLOOKUP(DESPESAS[[#This Row],[Fornecedor]],Tabela2[],2,FALSE),"")</f>
        <v/>
      </c>
      <c r="J2485" s="77" t="str">
        <f>IFERROR(VLOOKUP(DESPESAS[[#This Row],[Plano de Contas]],BASE!$B$3:$F$119,4,FALSE),"")</f>
        <v>2 - CUSTOS DIRETOS</v>
      </c>
      <c r="K2485" s="77" t="str">
        <f>IFERROR(VLOOKUP(DESPESAS[[#This Row],[Plano de Contas]],BASE!$B$3:$H$119,5,FALSE),"")</f>
        <v>PRODUÇÃO</v>
      </c>
      <c r="L2485" s="77">
        <f>IFERROR(VLOOKUP(DESPESAS[[#This Row],[Plano de Contas]],BASE!$B$3:$H$119,6,FALSE),"")</f>
        <v>0</v>
      </c>
      <c r="M2485" s="77" t="str">
        <f>VLOOKUP(DESPESAS[[#This Row],[Plano de Contas]],BASE!$B$3:$H$119,7,FALSE)</f>
        <v>RAFAEL</v>
      </c>
    </row>
    <row r="2486" spans="1:13" x14ac:dyDescent="0.25">
      <c r="A2486" s="74">
        <v>199409</v>
      </c>
      <c r="B2486" s="75" t="s">
        <v>221</v>
      </c>
      <c r="C2486" s="75" t="s">
        <v>1467</v>
      </c>
      <c r="D2486" s="76">
        <v>46093</v>
      </c>
      <c r="E2486" s="75" t="s">
        <v>1466</v>
      </c>
      <c r="F2486" s="74">
        <v>500</v>
      </c>
      <c r="G2486" s="75" t="s">
        <v>374</v>
      </c>
      <c r="H2486" s="77" t="str">
        <f>VLOOKUP(DESPESAS[[#This Row],[Plano de Contas]],BASE!$B$3:$D$119,3,FALSE)</f>
        <v>Consultoria Empresarial</v>
      </c>
      <c r="I2486" s="77" t="str">
        <f>IFERROR(VLOOKUP(DESPESAS[[#This Row],[Fornecedor]],Tabela2[],2,FALSE),"")</f>
        <v/>
      </c>
      <c r="J2486" s="77" t="str">
        <f>IFERROR(VLOOKUP(DESPESAS[[#This Row],[Plano de Contas]],BASE!$B$3:$F$119,4,FALSE),"")</f>
        <v>7 - SERVIÇOS DE TERCEIROS</v>
      </c>
      <c r="K2486" s="77" t="str">
        <f>IFERROR(VLOOKUP(DESPESAS[[#This Row],[Plano de Contas]],BASE!$B$3:$H$119,5,FALSE),"")</f>
        <v>FINANCEIRO</v>
      </c>
      <c r="L2486" s="77">
        <f>IFERROR(VLOOKUP(DESPESAS[[#This Row],[Plano de Contas]],BASE!$B$3:$H$119,6,FALSE),"")</f>
        <v>0</v>
      </c>
      <c r="M2486" s="77" t="str">
        <f>VLOOKUP(DESPESAS[[#This Row],[Plano de Contas]],BASE!$B$3:$H$119,7,FALSE)</f>
        <v>LETÍCIA</v>
      </c>
    </row>
    <row r="2487" spans="1:13" x14ac:dyDescent="0.25">
      <c r="A2487" s="74">
        <v>199410</v>
      </c>
      <c r="B2487" s="75" t="s">
        <v>232</v>
      </c>
      <c r="C2487" s="75" t="s">
        <v>1465</v>
      </c>
      <c r="D2487" s="76">
        <v>46124</v>
      </c>
      <c r="E2487" s="75" t="s">
        <v>1463</v>
      </c>
      <c r="F2487" s="74">
        <v>7000</v>
      </c>
      <c r="G2487" s="75" t="s">
        <v>1462</v>
      </c>
      <c r="H2487" s="77" t="str">
        <f>VLOOKUP(DESPESAS[[#This Row],[Plano de Contas]],BASE!$B$3:$D$119,3,FALSE)</f>
        <v>Consultoria Tributaria</v>
      </c>
      <c r="I2487" s="77" t="str">
        <f>IFERROR(VLOOKUP(DESPESAS[[#This Row],[Fornecedor]],Tabela2[],2,FALSE),"")</f>
        <v/>
      </c>
      <c r="J2487" s="77" t="str">
        <f>IFERROR(VLOOKUP(DESPESAS[[#This Row],[Plano de Contas]],BASE!$B$3:$F$119,4,FALSE),"")</f>
        <v>7 - SERVIÇOS DE TERCEIROS</v>
      </c>
      <c r="K2487" s="77" t="str">
        <f>IFERROR(VLOOKUP(DESPESAS[[#This Row],[Plano de Contas]],BASE!$B$3:$H$119,5,FALSE),"")</f>
        <v>FINANCEIRO</v>
      </c>
      <c r="L2487" s="77">
        <f>IFERROR(VLOOKUP(DESPESAS[[#This Row],[Plano de Contas]],BASE!$B$3:$H$119,6,FALSE),"")</f>
        <v>0</v>
      </c>
      <c r="M2487" s="77" t="str">
        <f>VLOOKUP(DESPESAS[[#This Row],[Plano de Contas]],BASE!$B$3:$H$119,7,FALSE)</f>
        <v>LETÍCIA</v>
      </c>
    </row>
    <row r="2488" spans="1:13" x14ac:dyDescent="0.25">
      <c r="A2488" s="74">
        <v>199415</v>
      </c>
      <c r="B2488" s="75" t="s">
        <v>232</v>
      </c>
      <c r="C2488" s="75" t="s">
        <v>1464</v>
      </c>
      <c r="D2488" s="76">
        <v>46086</v>
      </c>
      <c r="E2488" s="75" t="s">
        <v>327</v>
      </c>
      <c r="F2488" s="74">
        <v>316.33</v>
      </c>
      <c r="G2488" s="75" t="s">
        <v>326</v>
      </c>
      <c r="H2488" s="77" t="str">
        <f>VLOOKUP(DESPESAS[[#This Row],[Plano de Contas]],BASE!$B$3:$D$119,3,FALSE)</f>
        <v>Frete sobre Compras</v>
      </c>
      <c r="I2488" s="77" t="str">
        <f>IFERROR(VLOOKUP(DESPESAS[[#This Row],[Fornecedor]],Tabela2[],2,FALSE),"")</f>
        <v>SERVIÇOS FRETE</v>
      </c>
      <c r="J2488" s="77" t="str">
        <f>IFERROR(VLOOKUP(DESPESAS[[#This Row],[Plano de Contas]],BASE!$B$3:$F$119,4,FALSE),"")</f>
        <v>1 - CPV</v>
      </c>
      <c r="K2488" s="77" t="str">
        <f>IFERROR(VLOOKUP(DESPESAS[[#This Row],[Plano de Contas]],BASE!$B$3:$H$119,5,FALSE),"")</f>
        <v>COMPRAS</v>
      </c>
      <c r="L2488" s="77">
        <f>IFERROR(VLOOKUP(DESPESAS[[#This Row],[Plano de Contas]],BASE!$B$3:$H$119,6,FALSE),"")</f>
        <v>0</v>
      </c>
      <c r="M2488" s="77" t="str">
        <f>VLOOKUP(DESPESAS[[#This Row],[Plano de Contas]],BASE!$B$3:$H$119,7,FALSE)</f>
        <v>MYLENA</v>
      </c>
    </row>
    <row r="2489" spans="1:13" x14ac:dyDescent="0.25">
      <c r="A2489" s="74">
        <v>199423</v>
      </c>
      <c r="B2489" s="75" t="s">
        <v>232</v>
      </c>
      <c r="C2489" s="75" t="s">
        <v>1461</v>
      </c>
      <c r="D2489" s="76">
        <v>46090</v>
      </c>
      <c r="E2489" s="75" t="s">
        <v>409</v>
      </c>
      <c r="F2489" s="74">
        <v>487.16</v>
      </c>
      <c r="G2489" s="75" t="s">
        <v>326</v>
      </c>
      <c r="H2489" s="77" t="str">
        <f>VLOOKUP(DESPESAS[[#This Row],[Plano de Contas]],BASE!$B$3:$D$119,3,FALSE)</f>
        <v>Frete sobre Compras</v>
      </c>
      <c r="I2489" s="77" t="str">
        <f>IFERROR(VLOOKUP(DESPESAS[[#This Row],[Fornecedor]],Tabela2[],2,FALSE),"")</f>
        <v>SERVIÇOS FRETE</v>
      </c>
      <c r="J2489" s="77" t="str">
        <f>IFERROR(VLOOKUP(DESPESAS[[#This Row],[Plano de Contas]],BASE!$B$3:$F$119,4,FALSE),"")</f>
        <v>1 - CPV</v>
      </c>
      <c r="K2489" s="77" t="str">
        <f>IFERROR(VLOOKUP(DESPESAS[[#This Row],[Plano de Contas]],BASE!$B$3:$H$119,5,FALSE),"")</f>
        <v>COMPRAS</v>
      </c>
      <c r="L2489" s="77">
        <f>IFERROR(VLOOKUP(DESPESAS[[#This Row],[Plano de Contas]],BASE!$B$3:$H$119,6,FALSE),"")</f>
        <v>0</v>
      </c>
      <c r="M2489" s="77" t="str">
        <f>VLOOKUP(DESPESAS[[#This Row],[Plano de Contas]],BASE!$B$3:$H$119,7,FALSE)</f>
        <v>MYLENA</v>
      </c>
    </row>
    <row r="2490" spans="1:13" x14ac:dyDescent="0.25">
      <c r="A2490" s="74">
        <v>199424</v>
      </c>
      <c r="B2490" s="75" t="s">
        <v>232</v>
      </c>
      <c r="C2490" s="75" t="s">
        <v>1460</v>
      </c>
      <c r="D2490" s="76">
        <v>46082</v>
      </c>
      <c r="E2490" s="75" t="s">
        <v>640</v>
      </c>
      <c r="F2490" s="74">
        <v>322.89999999999998</v>
      </c>
      <c r="G2490" s="75" t="s">
        <v>365</v>
      </c>
      <c r="H2490" s="77" t="str">
        <f>VLOOKUP(DESPESAS[[#This Row],[Plano de Contas]],BASE!$B$3:$D$119,3,FALSE)</f>
        <v>Pró-Labore</v>
      </c>
      <c r="I2490" s="77" t="str">
        <f>IFERROR(VLOOKUP(DESPESAS[[#This Row],[Fornecedor]],Tabela2[],2,FALSE),"")</f>
        <v/>
      </c>
      <c r="J2490" s="77" t="str">
        <f>IFERROR(VLOOKUP(DESPESAS[[#This Row],[Plano de Contas]],BASE!$B$3:$F$119,4,FALSE),"")</f>
        <v>4 - GASTOS COM PESSOAL</v>
      </c>
      <c r="K2490" s="77" t="str">
        <f>IFERROR(VLOOKUP(DESPESAS[[#This Row],[Plano de Contas]],BASE!$B$3:$H$119,5,FALSE),"")</f>
        <v>DIRETORIA</v>
      </c>
      <c r="L2490" s="77">
        <f>IFERROR(VLOOKUP(DESPESAS[[#This Row],[Plano de Contas]],BASE!$B$3:$H$119,6,FALSE),"")</f>
        <v>0</v>
      </c>
      <c r="M2490" s="77" t="str">
        <f>VLOOKUP(DESPESAS[[#This Row],[Plano de Contas]],BASE!$B$3:$H$119,7,FALSE)</f>
        <v>FÁBIO</v>
      </c>
    </row>
    <row r="2491" spans="1:13" x14ac:dyDescent="0.25">
      <c r="A2491" s="74">
        <v>199425</v>
      </c>
      <c r="B2491" s="75" t="s">
        <v>232</v>
      </c>
      <c r="C2491" s="75" t="s">
        <v>1459</v>
      </c>
      <c r="D2491" s="76">
        <v>46082</v>
      </c>
      <c r="E2491" s="75" t="s">
        <v>640</v>
      </c>
      <c r="F2491" s="74">
        <v>400.26</v>
      </c>
      <c r="G2491" s="75" t="s">
        <v>627</v>
      </c>
      <c r="H2491" s="77" t="str">
        <f>VLOOKUP(DESPESAS[[#This Row],[Plano de Contas]],BASE!$B$3:$D$119,3,FALSE)</f>
        <v>Salarios e Ordenados (Adm)</v>
      </c>
      <c r="I2491" s="77" t="str">
        <f>IFERROR(VLOOKUP(DESPESAS[[#This Row],[Fornecedor]],Tabela2[],2,FALSE),"")</f>
        <v/>
      </c>
      <c r="J2491" s="77" t="str">
        <f>IFERROR(VLOOKUP(DESPESAS[[#This Row],[Plano de Contas]],BASE!$B$3:$F$119,4,FALSE),"")</f>
        <v>4 - GASTOS COM PESSOAL</v>
      </c>
      <c r="K2491" s="77" t="str">
        <f>IFERROR(VLOOKUP(DESPESAS[[#This Row],[Plano de Contas]],BASE!$B$3:$H$119,5,FALSE),"")</f>
        <v>DH</v>
      </c>
      <c r="L2491" s="77">
        <f>IFERROR(VLOOKUP(DESPESAS[[#This Row],[Plano de Contas]],BASE!$B$3:$H$119,6,FALSE),"")</f>
        <v>0</v>
      </c>
      <c r="M2491" s="77" t="str">
        <f>VLOOKUP(DESPESAS[[#This Row],[Plano de Contas]],BASE!$B$3:$H$119,7,FALSE)</f>
        <v>RAFAEL</v>
      </c>
    </row>
    <row r="2492" spans="1:13" x14ac:dyDescent="0.25">
      <c r="A2492" s="74">
        <v>199426</v>
      </c>
      <c r="B2492" s="75" t="s">
        <v>232</v>
      </c>
      <c r="C2492" s="75" t="s">
        <v>1458</v>
      </c>
      <c r="D2492" s="76">
        <v>46082</v>
      </c>
      <c r="E2492" s="75" t="s">
        <v>640</v>
      </c>
      <c r="F2492" s="74">
        <v>1069.99</v>
      </c>
      <c r="G2492" s="75" t="s">
        <v>430</v>
      </c>
      <c r="H2492" s="77" t="str">
        <f>VLOOKUP(DESPESAS[[#This Row],[Plano de Contas]],BASE!$B$3:$D$119,3,FALSE)</f>
        <v>Salarios e Ordenados MOD</v>
      </c>
      <c r="I2492" s="77" t="str">
        <f>IFERROR(VLOOKUP(DESPESAS[[#This Row],[Fornecedor]],Tabela2[],2,FALSE),"")</f>
        <v/>
      </c>
      <c r="J2492" s="77" t="str">
        <f>IFERROR(VLOOKUP(DESPESAS[[#This Row],[Plano de Contas]],BASE!$B$3:$F$119,4,FALSE),"")</f>
        <v>2 - CUSTOS DIRETOS</v>
      </c>
      <c r="K2492" s="77" t="str">
        <f>IFERROR(VLOOKUP(DESPESAS[[#This Row],[Plano de Contas]],BASE!$B$3:$H$119,5,FALSE),"")</f>
        <v>DH</v>
      </c>
      <c r="L2492" s="77" t="str">
        <f>IFERROR(VLOOKUP(DESPESAS[[#This Row],[Plano de Contas]],BASE!$B$3:$H$119,6,FALSE),"")</f>
        <v>CUSTO MÃO DE OBRA DIRETA</v>
      </c>
      <c r="M2492" s="77" t="str">
        <f>VLOOKUP(DESPESAS[[#This Row],[Plano de Contas]],BASE!$B$3:$H$119,7,FALSE)</f>
        <v>RAFAEL</v>
      </c>
    </row>
    <row r="2493" spans="1:13" x14ac:dyDescent="0.25">
      <c r="A2493" s="74">
        <v>199427</v>
      </c>
      <c r="B2493" s="75" t="s">
        <v>232</v>
      </c>
      <c r="C2493" s="75" t="s">
        <v>1457</v>
      </c>
      <c r="D2493" s="76">
        <v>46082</v>
      </c>
      <c r="E2493" s="75" t="s">
        <v>640</v>
      </c>
      <c r="F2493" s="74">
        <v>184.09</v>
      </c>
      <c r="G2493" s="75" t="s">
        <v>644</v>
      </c>
      <c r="H2493" s="77" t="str">
        <f>VLOOKUP(DESPESAS[[#This Row],[Plano de Contas]],BASE!$B$3:$D$119,3,FALSE)</f>
        <v>Gratificações (Adm)</v>
      </c>
      <c r="I2493" s="77" t="str">
        <f>IFERROR(VLOOKUP(DESPESAS[[#This Row],[Fornecedor]],Tabela2[],2,FALSE),"")</f>
        <v/>
      </c>
      <c r="J2493" s="77" t="str">
        <f>IFERROR(VLOOKUP(DESPESAS[[#This Row],[Plano de Contas]],BASE!$B$3:$F$119,4,FALSE),"")</f>
        <v>4 - GASTOS COM PESSOAL</v>
      </c>
      <c r="K2493" s="77" t="str">
        <f>IFERROR(VLOOKUP(DESPESAS[[#This Row],[Plano de Contas]],BASE!$B$3:$H$119,5,FALSE),"")</f>
        <v>DH</v>
      </c>
      <c r="L2493" s="77">
        <f>IFERROR(VLOOKUP(DESPESAS[[#This Row],[Plano de Contas]],BASE!$B$3:$H$119,6,FALSE),"")</f>
        <v>0</v>
      </c>
      <c r="M2493" s="77" t="str">
        <f>VLOOKUP(DESPESAS[[#This Row],[Plano de Contas]],BASE!$B$3:$H$119,7,FALSE)</f>
        <v>RAFAEL</v>
      </c>
    </row>
    <row r="2494" spans="1:13" x14ac:dyDescent="0.25">
      <c r="A2494" s="74">
        <v>199428</v>
      </c>
      <c r="B2494" s="75" t="s">
        <v>232</v>
      </c>
      <c r="C2494" s="75" t="s">
        <v>1456</v>
      </c>
      <c r="D2494" s="76">
        <v>46082</v>
      </c>
      <c r="E2494" s="75" t="s">
        <v>640</v>
      </c>
      <c r="F2494" s="74">
        <v>574</v>
      </c>
      <c r="G2494" s="75" t="s">
        <v>642</v>
      </c>
      <c r="H2494" s="77" t="str">
        <f>VLOOKUP(DESPESAS[[#This Row],[Plano de Contas]],BASE!$B$3:$D$119,3,FALSE)</f>
        <v>Gratificacoes MOD</v>
      </c>
      <c r="I2494" s="77" t="str">
        <f>IFERROR(VLOOKUP(DESPESAS[[#This Row],[Fornecedor]],Tabela2[],2,FALSE),"")</f>
        <v/>
      </c>
      <c r="J2494" s="77" t="str">
        <f>IFERROR(VLOOKUP(DESPESAS[[#This Row],[Plano de Contas]],BASE!$B$3:$F$119,4,FALSE),"")</f>
        <v>2 - CUSTOS DIRETOS</v>
      </c>
      <c r="K2494" s="77" t="str">
        <f>IFERROR(VLOOKUP(DESPESAS[[#This Row],[Plano de Contas]],BASE!$B$3:$H$119,5,FALSE),"")</f>
        <v>DH</v>
      </c>
      <c r="L2494" s="77" t="str">
        <f>IFERROR(VLOOKUP(DESPESAS[[#This Row],[Plano de Contas]],BASE!$B$3:$H$119,6,FALSE),"")</f>
        <v>CUSTO MÃO DE OBRA DIRETA</v>
      </c>
      <c r="M2494" s="77" t="str">
        <f>VLOOKUP(DESPESAS[[#This Row],[Plano de Contas]],BASE!$B$3:$H$119,7,FALSE)</f>
        <v>RAFAEL</v>
      </c>
    </row>
    <row r="2495" spans="1:13" x14ac:dyDescent="0.25">
      <c r="A2495" s="74">
        <v>199429</v>
      </c>
      <c r="B2495" s="75" t="s">
        <v>232</v>
      </c>
      <c r="C2495" s="75" t="s">
        <v>1453</v>
      </c>
      <c r="D2495" s="76">
        <v>46082</v>
      </c>
      <c r="E2495" s="75" t="s">
        <v>640</v>
      </c>
      <c r="F2495" s="74">
        <v>486.93</v>
      </c>
      <c r="G2495" s="75" t="s">
        <v>627</v>
      </c>
      <c r="H2495" s="77" t="str">
        <f>VLOOKUP(DESPESAS[[#This Row],[Plano de Contas]],BASE!$B$3:$D$119,3,FALSE)</f>
        <v>Salarios e Ordenados (Adm)</v>
      </c>
      <c r="I2495" s="77" t="str">
        <f>IFERROR(VLOOKUP(DESPESAS[[#This Row],[Fornecedor]],Tabela2[],2,FALSE),"")</f>
        <v/>
      </c>
      <c r="J2495" s="77" t="str">
        <f>IFERROR(VLOOKUP(DESPESAS[[#This Row],[Plano de Contas]],BASE!$B$3:$F$119,4,FALSE),"")</f>
        <v>4 - GASTOS COM PESSOAL</v>
      </c>
      <c r="K2495" s="77" t="str">
        <f>IFERROR(VLOOKUP(DESPESAS[[#This Row],[Plano de Contas]],BASE!$B$3:$H$119,5,FALSE),"")</f>
        <v>DH</v>
      </c>
      <c r="L2495" s="77">
        <f>IFERROR(VLOOKUP(DESPESAS[[#This Row],[Plano de Contas]],BASE!$B$3:$H$119,6,FALSE),"")</f>
        <v>0</v>
      </c>
      <c r="M2495" s="77" t="str">
        <f>VLOOKUP(DESPESAS[[#This Row],[Plano de Contas]],BASE!$B$3:$H$119,7,FALSE)</f>
        <v>RAFAEL</v>
      </c>
    </row>
    <row r="2496" spans="1:13" x14ac:dyDescent="0.25">
      <c r="A2496" s="74">
        <v>199430</v>
      </c>
      <c r="B2496" s="75" t="s">
        <v>232</v>
      </c>
      <c r="C2496" s="75" t="s">
        <v>1451</v>
      </c>
      <c r="D2496" s="76">
        <v>46082</v>
      </c>
      <c r="E2496" s="75" t="s">
        <v>640</v>
      </c>
      <c r="F2496" s="74">
        <v>310.33</v>
      </c>
      <c r="G2496" s="75" t="s">
        <v>430</v>
      </c>
      <c r="H2496" s="77" t="str">
        <f>VLOOKUP(DESPESAS[[#This Row],[Plano de Contas]],BASE!$B$3:$D$119,3,FALSE)</f>
        <v>Salarios e Ordenados MOD</v>
      </c>
      <c r="I2496" s="77" t="str">
        <f>IFERROR(VLOOKUP(DESPESAS[[#This Row],[Fornecedor]],Tabela2[],2,FALSE),"")</f>
        <v/>
      </c>
      <c r="J2496" s="77" t="str">
        <f>IFERROR(VLOOKUP(DESPESAS[[#This Row],[Plano de Contas]],BASE!$B$3:$F$119,4,FALSE),"")</f>
        <v>2 - CUSTOS DIRETOS</v>
      </c>
      <c r="K2496" s="77" t="str">
        <f>IFERROR(VLOOKUP(DESPESAS[[#This Row],[Plano de Contas]],BASE!$B$3:$H$119,5,FALSE),"")</f>
        <v>DH</v>
      </c>
      <c r="L2496" s="77" t="str">
        <f>IFERROR(VLOOKUP(DESPESAS[[#This Row],[Plano de Contas]],BASE!$B$3:$H$119,6,FALSE),"")</f>
        <v>CUSTO MÃO DE OBRA DIRETA</v>
      </c>
      <c r="M2496" s="77" t="str">
        <f>VLOOKUP(DESPESAS[[#This Row],[Plano de Contas]],BASE!$B$3:$H$119,7,FALSE)</f>
        <v>RAFAEL</v>
      </c>
    </row>
    <row r="2497" spans="1:13" x14ac:dyDescent="0.25">
      <c r="A2497" s="74">
        <v>199431</v>
      </c>
      <c r="B2497" s="75" t="s">
        <v>232</v>
      </c>
      <c r="C2497" s="75" t="s">
        <v>1450</v>
      </c>
      <c r="D2497" s="76">
        <v>46082</v>
      </c>
      <c r="E2497" s="75" t="s">
        <v>640</v>
      </c>
      <c r="F2497" s="74">
        <v>321.14999999999998</v>
      </c>
      <c r="G2497" s="75" t="s">
        <v>644</v>
      </c>
      <c r="H2497" s="77" t="str">
        <f>VLOOKUP(DESPESAS[[#This Row],[Plano de Contas]],BASE!$B$3:$D$119,3,FALSE)</f>
        <v>Gratificações (Adm)</v>
      </c>
      <c r="I2497" s="77" t="str">
        <f>IFERROR(VLOOKUP(DESPESAS[[#This Row],[Fornecedor]],Tabela2[],2,FALSE),"")</f>
        <v/>
      </c>
      <c r="J2497" s="77" t="str">
        <f>IFERROR(VLOOKUP(DESPESAS[[#This Row],[Plano de Contas]],BASE!$B$3:$F$119,4,FALSE),"")</f>
        <v>4 - GASTOS COM PESSOAL</v>
      </c>
      <c r="K2497" s="77" t="str">
        <f>IFERROR(VLOOKUP(DESPESAS[[#This Row],[Plano de Contas]],BASE!$B$3:$H$119,5,FALSE),"")</f>
        <v>DH</v>
      </c>
      <c r="L2497" s="77">
        <f>IFERROR(VLOOKUP(DESPESAS[[#This Row],[Plano de Contas]],BASE!$B$3:$H$119,6,FALSE),"")</f>
        <v>0</v>
      </c>
      <c r="M2497" s="77" t="str">
        <f>VLOOKUP(DESPESAS[[#This Row],[Plano de Contas]],BASE!$B$3:$H$119,7,FALSE)</f>
        <v>RAFAEL</v>
      </c>
    </row>
    <row r="2498" spans="1:13" x14ac:dyDescent="0.25">
      <c r="A2498" s="74">
        <v>199432</v>
      </c>
      <c r="B2498" s="75" t="s">
        <v>232</v>
      </c>
      <c r="C2498" s="75" t="s">
        <v>1448</v>
      </c>
      <c r="D2498" s="76">
        <v>46082</v>
      </c>
      <c r="E2498" s="75" t="s">
        <v>640</v>
      </c>
      <c r="F2498" s="74">
        <v>170.8</v>
      </c>
      <c r="G2498" s="75" t="s">
        <v>642</v>
      </c>
      <c r="H2498" s="77" t="str">
        <f>VLOOKUP(DESPESAS[[#This Row],[Plano de Contas]],BASE!$B$3:$D$119,3,FALSE)</f>
        <v>Gratificacoes MOD</v>
      </c>
      <c r="I2498" s="77" t="str">
        <f>IFERROR(VLOOKUP(DESPESAS[[#This Row],[Fornecedor]],Tabela2[],2,FALSE),"")</f>
        <v/>
      </c>
      <c r="J2498" s="77" t="str">
        <f>IFERROR(VLOOKUP(DESPESAS[[#This Row],[Plano de Contas]],BASE!$B$3:$F$119,4,FALSE),"")</f>
        <v>2 - CUSTOS DIRETOS</v>
      </c>
      <c r="K2498" s="77" t="str">
        <f>IFERROR(VLOOKUP(DESPESAS[[#This Row],[Plano de Contas]],BASE!$B$3:$H$119,5,FALSE),"")</f>
        <v>DH</v>
      </c>
      <c r="L2498" s="77" t="str">
        <f>IFERROR(VLOOKUP(DESPESAS[[#This Row],[Plano de Contas]],BASE!$B$3:$H$119,6,FALSE),"")</f>
        <v>CUSTO MÃO DE OBRA DIRETA</v>
      </c>
      <c r="M2498" s="77" t="str">
        <f>VLOOKUP(DESPESAS[[#This Row],[Plano de Contas]],BASE!$B$3:$H$119,7,FALSE)</f>
        <v>RAFAEL</v>
      </c>
    </row>
    <row r="2499" spans="1:13" x14ac:dyDescent="0.25">
      <c r="A2499" s="74">
        <v>199433</v>
      </c>
      <c r="B2499" s="75" t="s">
        <v>232</v>
      </c>
      <c r="C2499" s="75" t="s">
        <v>1455</v>
      </c>
      <c r="D2499" s="76">
        <v>46082</v>
      </c>
      <c r="E2499" s="75" t="s">
        <v>640</v>
      </c>
      <c r="F2499" s="74">
        <v>279.83999999999997</v>
      </c>
      <c r="G2499" s="75" t="s">
        <v>653</v>
      </c>
      <c r="H2499" s="77" t="str">
        <f>VLOOKUP(DESPESAS[[#This Row],[Plano de Contas]],BASE!$B$3:$D$119,3,FALSE)</f>
        <v>Salarios e Ordenados CIF</v>
      </c>
      <c r="I2499" s="77" t="str">
        <f>IFERROR(VLOOKUP(DESPESAS[[#This Row],[Fornecedor]],Tabela2[],2,FALSE),"")</f>
        <v/>
      </c>
      <c r="J2499" s="77" t="str">
        <f>IFERROR(VLOOKUP(DESPESAS[[#This Row],[Plano de Contas]],BASE!$B$3:$F$119,4,FALSE),"")</f>
        <v>3 - CUSTOS INDIRETOS</v>
      </c>
      <c r="K2499" s="77" t="str">
        <f>IFERROR(VLOOKUP(DESPESAS[[#This Row],[Plano de Contas]],BASE!$B$3:$H$119,5,FALSE),"")</f>
        <v>DH</v>
      </c>
      <c r="L2499" s="77" t="str">
        <f>IFERROR(VLOOKUP(DESPESAS[[#This Row],[Plano de Contas]],BASE!$B$3:$H$119,6,FALSE),"")</f>
        <v>CUSTO MÃO DE OBRA DIRETA</v>
      </c>
      <c r="M2499" s="77" t="str">
        <f>VLOOKUP(DESPESAS[[#This Row],[Plano de Contas]],BASE!$B$3:$H$119,7,FALSE)</f>
        <v>RAFAEL</v>
      </c>
    </row>
    <row r="2500" spans="1:13" x14ac:dyDescent="0.25">
      <c r="A2500" s="74">
        <v>199434</v>
      </c>
      <c r="B2500" s="75" t="s">
        <v>232</v>
      </c>
      <c r="C2500" s="75" t="s">
        <v>1454</v>
      </c>
      <c r="D2500" s="76">
        <v>46082</v>
      </c>
      <c r="E2500" s="75" t="s">
        <v>640</v>
      </c>
      <c r="F2500" s="74">
        <v>279.82</v>
      </c>
      <c r="G2500" s="75" t="s">
        <v>649</v>
      </c>
      <c r="H2500" s="77" t="str">
        <f>VLOOKUP(DESPESAS[[#This Row],[Plano de Contas]],BASE!$B$3:$D$119,3,FALSE)</f>
        <v>Gratificações CIF</v>
      </c>
      <c r="I2500" s="77" t="str">
        <f>IFERROR(VLOOKUP(DESPESAS[[#This Row],[Fornecedor]],Tabela2[],2,FALSE),"")</f>
        <v/>
      </c>
      <c r="J2500" s="77" t="str">
        <f>IFERROR(VLOOKUP(DESPESAS[[#This Row],[Plano de Contas]],BASE!$B$3:$F$119,4,FALSE),"")</f>
        <v>3 - CUSTOS INDIRETOS</v>
      </c>
      <c r="K2500" s="77" t="str">
        <f>IFERROR(VLOOKUP(DESPESAS[[#This Row],[Plano de Contas]],BASE!$B$3:$H$119,5,FALSE),"")</f>
        <v>DH</v>
      </c>
      <c r="L2500" s="77" t="str">
        <f>IFERROR(VLOOKUP(DESPESAS[[#This Row],[Plano de Contas]],BASE!$B$3:$H$119,6,FALSE),"")</f>
        <v>CUSTO MÃO DE OBRA DIRETA</v>
      </c>
      <c r="M2500" s="77" t="str">
        <f>VLOOKUP(DESPESAS[[#This Row],[Plano de Contas]],BASE!$B$3:$H$119,7,FALSE)</f>
        <v>RAFAEL</v>
      </c>
    </row>
    <row r="2501" spans="1:13" x14ac:dyDescent="0.25">
      <c r="A2501" s="74">
        <v>199435</v>
      </c>
      <c r="B2501" s="75" t="s">
        <v>232</v>
      </c>
      <c r="C2501" s="75" t="s">
        <v>665</v>
      </c>
      <c r="D2501" s="76">
        <v>46082</v>
      </c>
      <c r="E2501" s="75" t="s">
        <v>640</v>
      </c>
      <c r="F2501" s="74">
        <v>178.07</v>
      </c>
      <c r="G2501" s="75" t="s">
        <v>627</v>
      </c>
      <c r="H2501" s="77" t="str">
        <f>VLOOKUP(DESPESAS[[#This Row],[Plano de Contas]],BASE!$B$3:$D$119,3,FALSE)</f>
        <v>Salarios e Ordenados (Adm)</v>
      </c>
      <c r="I2501" s="77" t="str">
        <f>IFERROR(VLOOKUP(DESPESAS[[#This Row],[Fornecedor]],Tabela2[],2,FALSE),"")</f>
        <v/>
      </c>
      <c r="J2501" s="77" t="str">
        <f>IFERROR(VLOOKUP(DESPESAS[[#This Row],[Plano de Contas]],BASE!$B$3:$F$119,4,FALSE),"")</f>
        <v>4 - GASTOS COM PESSOAL</v>
      </c>
      <c r="K2501" s="77" t="str">
        <f>IFERROR(VLOOKUP(DESPESAS[[#This Row],[Plano de Contas]],BASE!$B$3:$H$119,5,FALSE),"")</f>
        <v>DH</v>
      </c>
      <c r="L2501" s="77">
        <f>IFERROR(VLOOKUP(DESPESAS[[#This Row],[Plano de Contas]],BASE!$B$3:$H$119,6,FALSE),"")</f>
        <v>0</v>
      </c>
      <c r="M2501" s="77" t="str">
        <f>VLOOKUP(DESPESAS[[#This Row],[Plano de Contas]],BASE!$B$3:$H$119,7,FALSE)</f>
        <v>RAFAEL</v>
      </c>
    </row>
    <row r="2502" spans="1:13" x14ac:dyDescent="0.25">
      <c r="A2502" s="74">
        <v>199436</v>
      </c>
      <c r="B2502" s="75" t="s">
        <v>232</v>
      </c>
      <c r="C2502" s="75" t="s">
        <v>664</v>
      </c>
      <c r="D2502" s="76">
        <v>46082</v>
      </c>
      <c r="E2502" s="75" t="s">
        <v>640</v>
      </c>
      <c r="F2502" s="74">
        <v>62.5</v>
      </c>
      <c r="G2502" s="75" t="s">
        <v>430</v>
      </c>
      <c r="H2502" s="77" t="str">
        <f>VLOOKUP(DESPESAS[[#This Row],[Plano de Contas]],BASE!$B$3:$D$119,3,FALSE)</f>
        <v>Salarios e Ordenados MOD</v>
      </c>
      <c r="I2502" s="77" t="str">
        <f>IFERROR(VLOOKUP(DESPESAS[[#This Row],[Fornecedor]],Tabela2[],2,FALSE),"")</f>
        <v/>
      </c>
      <c r="J2502" s="77" t="str">
        <f>IFERROR(VLOOKUP(DESPESAS[[#This Row],[Plano de Contas]],BASE!$B$3:$F$119,4,FALSE),"")</f>
        <v>2 - CUSTOS DIRETOS</v>
      </c>
      <c r="K2502" s="77" t="str">
        <f>IFERROR(VLOOKUP(DESPESAS[[#This Row],[Plano de Contas]],BASE!$B$3:$H$119,5,FALSE),"")</f>
        <v>DH</v>
      </c>
      <c r="L2502" s="77" t="str">
        <f>IFERROR(VLOOKUP(DESPESAS[[#This Row],[Plano de Contas]],BASE!$B$3:$H$119,6,FALSE),"")</f>
        <v>CUSTO MÃO DE OBRA DIRETA</v>
      </c>
      <c r="M2502" s="77" t="str">
        <f>VLOOKUP(DESPESAS[[#This Row],[Plano de Contas]],BASE!$B$3:$H$119,7,FALSE)</f>
        <v>RAFAEL</v>
      </c>
    </row>
    <row r="2503" spans="1:13" x14ac:dyDescent="0.25">
      <c r="A2503" s="74">
        <v>199437</v>
      </c>
      <c r="B2503" s="75" t="s">
        <v>279</v>
      </c>
      <c r="C2503" s="75" t="s">
        <v>1453</v>
      </c>
      <c r="D2503" s="76">
        <v>46082</v>
      </c>
      <c r="E2503" s="75" t="s">
        <v>640</v>
      </c>
      <c r="F2503" s="74">
        <v>259.67</v>
      </c>
      <c r="G2503" s="75" t="s">
        <v>627</v>
      </c>
      <c r="H2503" s="77" t="str">
        <f>VLOOKUP(DESPESAS[[#This Row],[Plano de Contas]],BASE!$B$3:$D$119,3,FALSE)</f>
        <v>Salarios e Ordenados (Adm)</v>
      </c>
      <c r="I2503" s="77" t="str">
        <f>IFERROR(VLOOKUP(DESPESAS[[#This Row],[Fornecedor]],Tabela2[],2,FALSE),"")</f>
        <v/>
      </c>
      <c r="J2503" s="77" t="str">
        <f>IFERROR(VLOOKUP(DESPESAS[[#This Row],[Plano de Contas]],BASE!$B$3:$F$119,4,FALSE),"")</f>
        <v>4 - GASTOS COM PESSOAL</v>
      </c>
      <c r="K2503" s="77" t="str">
        <f>IFERROR(VLOOKUP(DESPESAS[[#This Row],[Plano de Contas]],BASE!$B$3:$H$119,5,FALSE),"")</f>
        <v>DH</v>
      </c>
      <c r="L2503" s="77">
        <f>IFERROR(VLOOKUP(DESPESAS[[#This Row],[Plano de Contas]],BASE!$B$3:$H$119,6,FALSE),"")</f>
        <v>0</v>
      </c>
      <c r="M2503" s="77" t="str">
        <f>VLOOKUP(DESPESAS[[#This Row],[Plano de Contas]],BASE!$B$3:$H$119,7,FALSE)</f>
        <v>RAFAEL</v>
      </c>
    </row>
    <row r="2504" spans="1:13" x14ac:dyDescent="0.25">
      <c r="A2504" s="74">
        <v>199438</v>
      </c>
      <c r="B2504" s="75" t="s">
        <v>279</v>
      </c>
      <c r="C2504" s="75" t="s">
        <v>1452</v>
      </c>
      <c r="D2504" s="76">
        <v>46082</v>
      </c>
      <c r="E2504" s="75" t="s">
        <v>640</v>
      </c>
      <c r="F2504" s="74">
        <v>315.42</v>
      </c>
      <c r="G2504" s="75" t="s">
        <v>653</v>
      </c>
      <c r="H2504" s="77" t="str">
        <f>VLOOKUP(DESPESAS[[#This Row],[Plano de Contas]],BASE!$B$3:$D$119,3,FALSE)</f>
        <v>Salarios e Ordenados CIF</v>
      </c>
      <c r="I2504" s="77" t="str">
        <f>IFERROR(VLOOKUP(DESPESAS[[#This Row],[Fornecedor]],Tabela2[],2,FALSE),"")</f>
        <v/>
      </c>
      <c r="J2504" s="77" t="str">
        <f>IFERROR(VLOOKUP(DESPESAS[[#This Row],[Plano de Contas]],BASE!$B$3:$F$119,4,FALSE),"")</f>
        <v>3 - CUSTOS INDIRETOS</v>
      </c>
      <c r="K2504" s="77" t="str">
        <f>IFERROR(VLOOKUP(DESPESAS[[#This Row],[Plano de Contas]],BASE!$B$3:$H$119,5,FALSE),"")</f>
        <v>DH</v>
      </c>
      <c r="L2504" s="77" t="str">
        <f>IFERROR(VLOOKUP(DESPESAS[[#This Row],[Plano de Contas]],BASE!$B$3:$H$119,6,FALSE),"")</f>
        <v>CUSTO MÃO DE OBRA DIRETA</v>
      </c>
      <c r="M2504" s="77" t="str">
        <f>VLOOKUP(DESPESAS[[#This Row],[Plano de Contas]],BASE!$B$3:$H$119,7,FALSE)</f>
        <v>RAFAEL</v>
      </c>
    </row>
    <row r="2505" spans="1:13" x14ac:dyDescent="0.25">
      <c r="A2505" s="74">
        <v>199439</v>
      </c>
      <c r="B2505" s="75" t="s">
        <v>279</v>
      </c>
      <c r="C2505" s="75" t="s">
        <v>1451</v>
      </c>
      <c r="D2505" s="76">
        <v>46082</v>
      </c>
      <c r="E2505" s="75" t="s">
        <v>640</v>
      </c>
      <c r="F2505" s="74">
        <v>348.24</v>
      </c>
      <c r="G2505" s="75" t="s">
        <v>430</v>
      </c>
      <c r="H2505" s="77" t="str">
        <f>VLOOKUP(DESPESAS[[#This Row],[Plano de Contas]],BASE!$B$3:$D$119,3,FALSE)</f>
        <v>Salarios e Ordenados MOD</v>
      </c>
      <c r="I2505" s="77" t="str">
        <f>IFERROR(VLOOKUP(DESPESAS[[#This Row],[Fornecedor]],Tabela2[],2,FALSE),"")</f>
        <v/>
      </c>
      <c r="J2505" s="77" t="str">
        <f>IFERROR(VLOOKUP(DESPESAS[[#This Row],[Plano de Contas]],BASE!$B$3:$F$119,4,FALSE),"")</f>
        <v>2 - CUSTOS DIRETOS</v>
      </c>
      <c r="K2505" s="77" t="str">
        <f>IFERROR(VLOOKUP(DESPESAS[[#This Row],[Plano de Contas]],BASE!$B$3:$H$119,5,FALSE),"")</f>
        <v>DH</v>
      </c>
      <c r="L2505" s="77" t="str">
        <f>IFERROR(VLOOKUP(DESPESAS[[#This Row],[Plano de Contas]],BASE!$B$3:$H$119,6,FALSE),"")</f>
        <v>CUSTO MÃO DE OBRA DIRETA</v>
      </c>
      <c r="M2505" s="77" t="str">
        <f>VLOOKUP(DESPESAS[[#This Row],[Plano de Contas]],BASE!$B$3:$H$119,7,FALSE)</f>
        <v>RAFAEL</v>
      </c>
    </row>
    <row r="2506" spans="1:13" x14ac:dyDescent="0.25">
      <c r="A2506" s="74">
        <v>199440</v>
      </c>
      <c r="B2506" s="75" t="s">
        <v>279</v>
      </c>
      <c r="C2506" s="75" t="s">
        <v>1450</v>
      </c>
      <c r="D2506" s="76">
        <v>46082</v>
      </c>
      <c r="E2506" s="75" t="s">
        <v>640</v>
      </c>
      <c r="F2506" s="74">
        <v>259.67</v>
      </c>
      <c r="G2506" s="75" t="s">
        <v>644</v>
      </c>
      <c r="H2506" s="77" t="str">
        <f>VLOOKUP(DESPESAS[[#This Row],[Plano de Contas]],BASE!$B$3:$D$119,3,FALSE)</f>
        <v>Gratificações (Adm)</v>
      </c>
      <c r="I2506" s="77" t="str">
        <f>IFERROR(VLOOKUP(DESPESAS[[#This Row],[Fornecedor]],Tabela2[],2,FALSE),"")</f>
        <v/>
      </c>
      <c r="J2506" s="77" t="str">
        <f>IFERROR(VLOOKUP(DESPESAS[[#This Row],[Plano de Contas]],BASE!$B$3:$F$119,4,FALSE),"")</f>
        <v>4 - GASTOS COM PESSOAL</v>
      </c>
      <c r="K2506" s="77" t="str">
        <f>IFERROR(VLOOKUP(DESPESAS[[#This Row],[Plano de Contas]],BASE!$B$3:$H$119,5,FALSE),"")</f>
        <v>DH</v>
      </c>
      <c r="L2506" s="77">
        <f>IFERROR(VLOOKUP(DESPESAS[[#This Row],[Plano de Contas]],BASE!$B$3:$H$119,6,FALSE),"")</f>
        <v>0</v>
      </c>
      <c r="M2506" s="77" t="str">
        <f>VLOOKUP(DESPESAS[[#This Row],[Plano de Contas]],BASE!$B$3:$H$119,7,FALSE)</f>
        <v>RAFAEL</v>
      </c>
    </row>
    <row r="2507" spans="1:13" x14ac:dyDescent="0.25">
      <c r="A2507" s="74">
        <v>199441</v>
      </c>
      <c r="B2507" s="75" t="s">
        <v>279</v>
      </c>
      <c r="C2507" s="75" t="s">
        <v>1449</v>
      </c>
      <c r="D2507" s="76">
        <v>46082</v>
      </c>
      <c r="E2507" s="75" t="s">
        <v>640</v>
      </c>
      <c r="F2507" s="74">
        <v>149.63999999999999</v>
      </c>
      <c r="G2507" s="75" t="s">
        <v>649</v>
      </c>
      <c r="H2507" s="77" t="str">
        <f>VLOOKUP(DESPESAS[[#This Row],[Plano de Contas]],BASE!$B$3:$D$119,3,FALSE)</f>
        <v>Gratificações CIF</v>
      </c>
      <c r="I2507" s="77" t="str">
        <f>IFERROR(VLOOKUP(DESPESAS[[#This Row],[Fornecedor]],Tabela2[],2,FALSE),"")</f>
        <v/>
      </c>
      <c r="J2507" s="77" t="str">
        <f>IFERROR(VLOOKUP(DESPESAS[[#This Row],[Plano de Contas]],BASE!$B$3:$F$119,4,FALSE),"")</f>
        <v>3 - CUSTOS INDIRETOS</v>
      </c>
      <c r="K2507" s="77" t="str">
        <f>IFERROR(VLOOKUP(DESPESAS[[#This Row],[Plano de Contas]],BASE!$B$3:$H$119,5,FALSE),"")</f>
        <v>DH</v>
      </c>
      <c r="L2507" s="77" t="str">
        <f>IFERROR(VLOOKUP(DESPESAS[[#This Row],[Plano de Contas]],BASE!$B$3:$H$119,6,FALSE),"")</f>
        <v>CUSTO MÃO DE OBRA DIRETA</v>
      </c>
      <c r="M2507" s="77" t="str">
        <f>VLOOKUP(DESPESAS[[#This Row],[Plano de Contas]],BASE!$B$3:$H$119,7,FALSE)</f>
        <v>RAFAEL</v>
      </c>
    </row>
    <row r="2508" spans="1:13" x14ac:dyDescent="0.25">
      <c r="A2508" s="74">
        <v>199442</v>
      </c>
      <c r="B2508" s="75" t="s">
        <v>279</v>
      </c>
      <c r="C2508" s="75" t="s">
        <v>1448</v>
      </c>
      <c r="D2508" s="76">
        <v>46082</v>
      </c>
      <c r="E2508" s="75" t="s">
        <v>640</v>
      </c>
      <c r="F2508" s="74">
        <v>208.71</v>
      </c>
      <c r="G2508" s="75" t="s">
        <v>642</v>
      </c>
      <c r="H2508" s="77" t="str">
        <f>VLOOKUP(DESPESAS[[#This Row],[Plano de Contas]],BASE!$B$3:$D$119,3,FALSE)</f>
        <v>Gratificacoes MOD</v>
      </c>
      <c r="I2508" s="77" t="str">
        <f>IFERROR(VLOOKUP(DESPESAS[[#This Row],[Fornecedor]],Tabela2[],2,FALSE),"")</f>
        <v/>
      </c>
      <c r="J2508" s="77" t="str">
        <f>IFERROR(VLOOKUP(DESPESAS[[#This Row],[Plano de Contas]],BASE!$B$3:$F$119,4,FALSE),"")</f>
        <v>2 - CUSTOS DIRETOS</v>
      </c>
      <c r="K2508" s="77" t="str">
        <f>IFERROR(VLOOKUP(DESPESAS[[#This Row],[Plano de Contas]],BASE!$B$3:$H$119,5,FALSE),"")</f>
        <v>DH</v>
      </c>
      <c r="L2508" s="77" t="str">
        <f>IFERROR(VLOOKUP(DESPESAS[[#This Row],[Plano de Contas]],BASE!$B$3:$H$119,6,FALSE),"")</f>
        <v>CUSTO MÃO DE OBRA DIRETA</v>
      </c>
      <c r="M2508" s="77" t="str">
        <f>VLOOKUP(DESPESAS[[#This Row],[Plano de Contas]],BASE!$B$3:$H$119,7,FALSE)</f>
        <v>RAFAEL</v>
      </c>
    </row>
    <row r="2509" spans="1:13" x14ac:dyDescent="0.25">
      <c r="A2509" s="74">
        <v>199443</v>
      </c>
      <c r="B2509" s="75" t="s">
        <v>279</v>
      </c>
      <c r="C2509" s="75" t="s">
        <v>1447</v>
      </c>
      <c r="D2509" s="76">
        <v>46082</v>
      </c>
      <c r="E2509" s="75" t="s">
        <v>640</v>
      </c>
      <c r="F2509" s="74">
        <v>2561.9</v>
      </c>
      <c r="G2509" s="75" t="s">
        <v>627</v>
      </c>
      <c r="H2509" s="77" t="str">
        <f>VLOOKUP(DESPESAS[[#This Row],[Plano de Contas]],BASE!$B$3:$D$119,3,FALSE)</f>
        <v>Salarios e Ordenados (Adm)</v>
      </c>
      <c r="I2509" s="77" t="str">
        <f>IFERROR(VLOOKUP(DESPESAS[[#This Row],[Fornecedor]],Tabela2[],2,FALSE),"")</f>
        <v/>
      </c>
      <c r="J2509" s="77" t="str">
        <f>IFERROR(VLOOKUP(DESPESAS[[#This Row],[Plano de Contas]],BASE!$B$3:$F$119,4,FALSE),"")</f>
        <v>4 - GASTOS COM PESSOAL</v>
      </c>
      <c r="K2509" s="77" t="str">
        <f>IFERROR(VLOOKUP(DESPESAS[[#This Row],[Plano de Contas]],BASE!$B$3:$H$119,5,FALSE),"")</f>
        <v>DH</v>
      </c>
      <c r="L2509" s="77">
        <f>IFERROR(VLOOKUP(DESPESAS[[#This Row],[Plano de Contas]],BASE!$B$3:$H$119,6,FALSE),"")</f>
        <v>0</v>
      </c>
      <c r="M2509" s="77" t="str">
        <f>VLOOKUP(DESPESAS[[#This Row],[Plano de Contas]],BASE!$B$3:$H$119,7,FALSE)</f>
        <v>RAFAEL</v>
      </c>
    </row>
    <row r="2510" spans="1:13" x14ac:dyDescent="0.25">
      <c r="A2510" s="74">
        <v>199444</v>
      </c>
      <c r="B2510" s="75" t="s">
        <v>279</v>
      </c>
      <c r="C2510" s="75" t="s">
        <v>1446</v>
      </c>
      <c r="D2510" s="76">
        <v>46082</v>
      </c>
      <c r="E2510" s="75" t="s">
        <v>640</v>
      </c>
      <c r="F2510" s="74">
        <v>1066.93</v>
      </c>
      <c r="G2510" s="75" t="s">
        <v>430</v>
      </c>
      <c r="H2510" s="77" t="str">
        <f>VLOOKUP(DESPESAS[[#This Row],[Plano de Contas]],BASE!$B$3:$D$119,3,FALSE)</f>
        <v>Salarios e Ordenados MOD</v>
      </c>
      <c r="I2510" s="77" t="str">
        <f>IFERROR(VLOOKUP(DESPESAS[[#This Row],[Fornecedor]],Tabela2[],2,FALSE),"")</f>
        <v/>
      </c>
      <c r="J2510" s="77" t="str">
        <f>IFERROR(VLOOKUP(DESPESAS[[#This Row],[Plano de Contas]],BASE!$B$3:$F$119,4,FALSE),"")</f>
        <v>2 - CUSTOS DIRETOS</v>
      </c>
      <c r="K2510" s="77" t="str">
        <f>IFERROR(VLOOKUP(DESPESAS[[#This Row],[Plano de Contas]],BASE!$B$3:$H$119,5,FALSE),"")</f>
        <v>DH</v>
      </c>
      <c r="L2510" s="77" t="str">
        <f>IFERROR(VLOOKUP(DESPESAS[[#This Row],[Plano de Contas]],BASE!$B$3:$H$119,6,FALSE),"")</f>
        <v>CUSTO MÃO DE OBRA DIRETA</v>
      </c>
      <c r="M2510" s="77" t="str">
        <f>VLOOKUP(DESPESAS[[#This Row],[Plano de Contas]],BASE!$B$3:$H$119,7,FALSE)</f>
        <v>RAFAEL</v>
      </c>
    </row>
    <row r="2511" spans="1:13" x14ac:dyDescent="0.25">
      <c r="A2511" s="74">
        <v>199445</v>
      </c>
      <c r="B2511" s="75" t="s">
        <v>279</v>
      </c>
      <c r="C2511" s="75" t="s">
        <v>1445</v>
      </c>
      <c r="D2511" s="76">
        <v>46082</v>
      </c>
      <c r="E2511" s="75" t="s">
        <v>640</v>
      </c>
      <c r="F2511" s="74">
        <v>1215.33</v>
      </c>
      <c r="G2511" s="75" t="s">
        <v>644</v>
      </c>
      <c r="H2511" s="77" t="str">
        <f>VLOOKUP(DESPESAS[[#This Row],[Plano de Contas]],BASE!$B$3:$D$119,3,FALSE)</f>
        <v>Gratificações (Adm)</v>
      </c>
      <c r="I2511" s="77" t="str">
        <f>IFERROR(VLOOKUP(DESPESAS[[#This Row],[Fornecedor]],Tabela2[],2,FALSE),"")</f>
        <v/>
      </c>
      <c r="J2511" s="77" t="str">
        <f>IFERROR(VLOOKUP(DESPESAS[[#This Row],[Plano de Contas]],BASE!$B$3:$F$119,4,FALSE),"")</f>
        <v>4 - GASTOS COM PESSOAL</v>
      </c>
      <c r="K2511" s="77" t="str">
        <f>IFERROR(VLOOKUP(DESPESAS[[#This Row],[Plano de Contas]],BASE!$B$3:$H$119,5,FALSE),"")</f>
        <v>DH</v>
      </c>
      <c r="L2511" s="77">
        <f>IFERROR(VLOOKUP(DESPESAS[[#This Row],[Plano de Contas]],BASE!$B$3:$H$119,6,FALSE),"")</f>
        <v>0</v>
      </c>
      <c r="M2511" s="77" t="str">
        <f>VLOOKUP(DESPESAS[[#This Row],[Plano de Contas]],BASE!$B$3:$H$119,7,FALSE)</f>
        <v>RAFAEL</v>
      </c>
    </row>
    <row r="2512" spans="1:13" x14ac:dyDescent="0.25">
      <c r="A2512" s="74">
        <v>199446</v>
      </c>
      <c r="B2512" s="75" t="s">
        <v>279</v>
      </c>
      <c r="C2512" s="75" t="s">
        <v>1444</v>
      </c>
      <c r="D2512" s="76">
        <v>46082</v>
      </c>
      <c r="E2512" s="75" t="s">
        <v>640</v>
      </c>
      <c r="F2512" s="74">
        <v>634.59</v>
      </c>
      <c r="G2512" s="75" t="s">
        <v>642</v>
      </c>
      <c r="H2512" s="77" t="str">
        <f>VLOOKUP(DESPESAS[[#This Row],[Plano de Contas]],BASE!$B$3:$D$119,3,FALSE)</f>
        <v>Gratificacoes MOD</v>
      </c>
      <c r="I2512" s="77" t="str">
        <f>IFERROR(VLOOKUP(DESPESAS[[#This Row],[Fornecedor]],Tabela2[],2,FALSE),"")</f>
        <v/>
      </c>
      <c r="J2512" s="77" t="str">
        <f>IFERROR(VLOOKUP(DESPESAS[[#This Row],[Plano de Contas]],BASE!$B$3:$F$119,4,FALSE),"")</f>
        <v>2 - CUSTOS DIRETOS</v>
      </c>
      <c r="K2512" s="77" t="str">
        <f>IFERROR(VLOOKUP(DESPESAS[[#This Row],[Plano de Contas]],BASE!$B$3:$H$119,5,FALSE),"")</f>
        <v>DH</v>
      </c>
      <c r="L2512" s="77" t="str">
        <f>IFERROR(VLOOKUP(DESPESAS[[#This Row],[Plano de Contas]],BASE!$B$3:$H$119,6,FALSE),"")</f>
        <v>CUSTO MÃO DE OBRA DIRETA</v>
      </c>
      <c r="M2512" s="77" t="str">
        <f>VLOOKUP(DESPESAS[[#This Row],[Plano de Contas]],BASE!$B$3:$H$119,7,FALSE)</f>
        <v>RAFAEL</v>
      </c>
    </row>
    <row r="2513" spans="1:13" x14ac:dyDescent="0.25">
      <c r="A2513" s="74">
        <v>199447</v>
      </c>
      <c r="B2513" s="75" t="s">
        <v>279</v>
      </c>
      <c r="C2513" s="75" t="s">
        <v>665</v>
      </c>
      <c r="D2513" s="76">
        <v>46082</v>
      </c>
      <c r="E2513" s="75" t="s">
        <v>640</v>
      </c>
      <c r="F2513" s="74">
        <v>1237.6099999999999</v>
      </c>
      <c r="G2513" s="75" t="s">
        <v>627</v>
      </c>
      <c r="H2513" s="77" t="str">
        <f>VLOOKUP(DESPESAS[[#This Row],[Plano de Contas]],BASE!$B$3:$D$119,3,FALSE)</f>
        <v>Salarios e Ordenados (Adm)</v>
      </c>
      <c r="I2513" s="77" t="str">
        <f>IFERROR(VLOOKUP(DESPESAS[[#This Row],[Fornecedor]],Tabela2[],2,FALSE),"")</f>
        <v/>
      </c>
      <c r="J2513" s="77" t="str">
        <f>IFERROR(VLOOKUP(DESPESAS[[#This Row],[Plano de Contas]],BASE!$B$3:$F$119,4,FALSE),"")</f>
        <v>4 - GASTOS COM PESSOAL</v>
      </c>
      <c r="K2513" s="77" t="str">
        <f>IFERROR(VLOOKUP(DESPESAS[[#This Row],[Plano de Contas]],BASE!$B$3:$H$119,5,FALSE),"")</f>
        <v>DH</v>
      </c>
      <c r="L2513" s="77">
        <f>IFERROR(VLOOKUP(DESPESAS[[#This Row],[Plano de Contas]],BASE!$B$3:$H$119,6,FALSE),"")</f>
        <v>0</v>
      </c>
      <c r="M2513" s="77" t="str">
        <f>VLOOKUP(DESPESAS[[#This Row],[Plano de Contas]],BASE!$B$3:$H$119,7,FALSE)</f>
        <v>RAFAEL</v>
      </c>
    </row>
    <row r="2514" spans="1:13" x14ac:dyDescent="0.25">
      <c r="A2514" s="74">
        <v>199448</v>
      </c>
      <c r="B2514" s="75" t="s">
        <v>221</v>
      </c>
      <c r="C2514" s="75" t="s">
        <v>1443</v>
      </c>
      <c r="D2514" s="76">
        <v>46093</v>
      </c>
      <c r="E2514" s="75" t="s">
        <v>242</v>
      </c>
      <c r="F2514" s="74">
        <v>2395.66</v>
      </c>
      <c r="G2514" s="75" t="s">
        <v>241</v>
      </c>
      <c r="H2514" s="77" t="str">
        <f>VLOOKUP(DESPESAS[[#This Row],[Plano de Contas]],BASE!$B$3:$D$119,3,FALSE)</f>
        <v>Combustiveis Frota</v>
      </c>
      <c r="I2514" s="77" t="str">
        <f>IFERROR(VLOOKUP(DESPESAS[[#This Row],[Fornecedor]],Tabela2[],2,FALSE),"")</f>
        <v/>
      </c>
      <c r="J2514" s="77" t="str">
        <f>IFERROR(VLOOKUP(DESPESAS[[#This Row],[Plano de Contas]],BASE!$B$3:$F$119,4,FALSE),"")</f>
        <v>6 - DESPESA COM VENDAS</v>
      </c>
      <c r="K2514" s="77" t="str">
        <f>IFERROR(VLOOKUP(DESPESAS[[#This Row],[Plano de Contas]],BASE!$B$3:$H$119,5,FALSE),"")</f>
        <v>LOGÍSTICA</v>
      </c>
      <c r="L2514" s="77">
        <f>IFERROR(VLOOKUP(DESPESAS[[#This Row],[Plano de Contas]],BASE!$B$3:$H$119,6,FALSE),"")</f>
        <v>0</v>
      </c>
      <c r="M2514" s="77" t="str">
        <f>VLOOKUP(DESPESAS[[#This Row],[Plano de Contas]],BASE!$B$3:$H$119,7,FALSE)</f>
        <v>MYLENA</v>
      </c>
    </row>
    <row r="2515" spans="1:13" x14ac:dyDescent="0.25">
      <c r="A2515" s="74">
        <v>199449</v>
      </c>
      <c r="B2515" s="75" t="s">
        <v>232</v>
      </c>
      <c r="C2515" s="75" t="s">
        <v>1442</v>
      </c>
      <c r="D2515" s="76">
        <v>46093</v>
      </c>
      <c r="E2515" s="75" t="s">
        <v>1438</v>
      </c>
      <c r="F2515" s="74">
        <v>1545</v>
      </c>
      <c r="G2515" s="75" t="s">
        <v>218</v>
      </c>
      <c r="H2515" s="77" t="str">
        <f>VLOOKUP(DESPESAS[[#This Row],[Plano de Contas]],BASE!$B$3:$D$119,3,FALSE)</f>
        <v>Manutenção de Equipamentos (Prod)</v>
      </c>
      <c r="I2515" s="77" t="str">
        <f>IFERROR(VLOOKUP(DESPESAS[[#This Row],[Fornecedor]],Tabela2[],2,FALSE),"")</f>
        <v>MATERIAIS PNEUMATICOS</v>
      </c>
      <c r="J2515" s="77" t="str">
        <f>IFERROR(VLOOKUP(DESPESAS[[#This Row],[Plano de Contas]],BASE!$B$3:$F$119,4,FALSE),"")</f>
        <v>3 - CUSTOS INDIRETOS</v>
      </c>
      <c r="K2515" s="77" t="str">
        <f>IFERROR(VLOOKUP(DESPESAS[[#This Row],[Plano de Contas]],BASE!$B$3:$H$119,5,FALSE),"")</f>
        <v>MANUTENÇÃO / TI</v>
      </c>
      <c r="L2515" s="77">
        <f>IFERROR(VLOOKUP(DESPESAS[[#This Row],[Plano de Contas]],BASE!$B$3:$H$119,6,FALSE),"")</f>
        <v>0</v>
      </c>
      <c r="M2515" s="77" t="str">
        <f>VLOOKUP(DESPESAS[[#This Row],[Plano de Contas]],BASE!$B$3:$H$119,7,FALSE)</f>
        <v>RAFAEL</v>
      </c>
    </row>
    <row r="2516" spans="1:13" x14ac:dyDescent="0.25">
      <c r="A2516" s="74">
        <v>199450</v>
      </c>
      <c r="B2516" s="75" t="s">
        <v>232</v>
      </c>
      <c r="C2516" s="75" t="s">
        <v>1441</v>
      </c>
      <c r="D2516" s="76">
        <v>46093</v>
      </c>
      <c r="E2516" s="75" t="s">
        <v>1440</v>
      </c>
      <c r="F2516" s="74">
        <v>3572.23</v>
      </c>
      <c r="G2516" s="75" t="s">
        <v>561</v>
      </c>
      <c r="H2516" s="77" t="str">
        <f>VLOOKUP(DESPESAS[[#This Row],[Plano de Contas]],BASE!$B$3:$D$119,3,FALSE)</f>
        <v>Sistemas de Informação</v>
      </c>
      <c r="I2516" s="77" t="str">
        <f>IFERROR(VLOOKUP(DESPESAS[[#This Row],[Fornecedor]],Tabela2[],2,FALSE),"")</f>
        <v>ACCION</v>
      </c>
      <c r="J2516" s="77" t="str">
        <f>IFERROR(VLOOKUP(DESPESAS[[#This Row],[Plano de Contas]],BASE!$B$3:$F$119,4,FALSE),"")</f>
        <v>7 - SERVIÇOS DE TERCEIROS</v>
      </c>
      <c r="K2516" s="77" t="str">
        <f>IFERROR(VLOOKUP(DESPESAS[[#This Row],[Plano de Contas]],BASE!$B$3:$H$119,5,FALSE),"")</f>
        <v>MANUTENÇÃO / TI</v>
      </c>
      <c r="L2516" s="77">
        <f>IFERROR(VLOOKUP(DESPESAS[[#This Row],[Plano de Contas]],BASE!$B$3:$H$119,6,FALSE),"")</f>
        <v>0</v>
      </c>
      <c r="M2516" s="77" t="str">
        <f>VLOOKUP(DESPESAS[[#This Row],[Plano de Contas]],BASE!$B$3:$H$119,7,FALSE)</f>
        <v>LETÍCIA</v>
      </c>
    </row>
    <row r="2517" spans="1:13" x14ac:dyDescent="0.25">
      <c r="A2517" s="74">
        <v>199451</v>
      </c>
      <c r="B2517" s="75" t="s">
        <v>232</v>
      </c>
      <c r="C2517" s="75" t="s">
        <v>3761</v>
      </c>
      <c r="D2517" s="76">
        <v>46147</v>
      </c>
      <c r="E2517" s="75" t="s">
        <v>1440</v>
      </c>
      <c r="F2517" s="74">
        <v>3572.23</v>
      </c>
      <c r="G2517" s="75" t="s">
        <v>561</v>
      </c>
      <c r="H2517" s="77" t="str">
        <f>VLOOKUP(DESPESAS[[#This Row],[Plano de Contas]],BASE!$B$3:$D$119,3,FALSE)</f>
        <v>Sistemas de Informação</v>
      </c>
      <c r="I2517" s="77" t="str">
        <f>IFERROR(VLOOKUP(DESPESAS[[#This Row],[Fornecedor]],Tabela2[],2,FALSE),"")</f>
        <v>ACCION</v>
      </c>
      <c r="J2517" s="77" t="str">
        <f>IFERROR(VLOOKUP(DESPESAS[[#This Row],[Plano de Contas]],BASE!$B$3:$F$119,4,FALSE),"")</f>
        <v>7 - SERVIÇOS DE TERCEIROS</v>
      </c>
      <c r="K2517" s="77" t="str">
        <f>IFERROR(VLOOKUP(DESPESAS[[#This Row],[Plano de Contas]],BASE!$B$3:$H$119,5,FALSE),"")</f>
        <v>MANUTENÇÃO / TI</v>
      </c>
      <c r="L2517" s="77">
        <f>IFERROR(VLOOKUP(DESPESAS[[#This Row],[Plano de Contas]],BASE!$B$3:$H$119,6,FALSE),"")</f>
        <v>0</v>
      </c>
      <c r="M2517" s="77" t="str">
        <f>VLOOKUP(DESPESAS[[#This Row],[Plano de Contas]],BASE!$B$3:$H$119,7,FALSE)</f>
        <v>LETÍCIA</v>
      </c>
    </row>
    <row r="2518" spans="1:13" x14ac:dyDescent="0.25">
      <c r="A2518" s="74">
        <v>199461</v>
      </c>
      <c r="B2518" s="75" t="s">
        <v>232</v>
      </c>
      <c r="C2518" s="75" t="s">
        <v>1439</v>
      </c>
      <c r="D2518" s="76">
        <v>46093</v>
      </c>
      <c r="E2518" s="75" t="s">
        <v>1438</v>
      </c>
      <c r="F2518" s="74">
        <v>6558</v>
      </c>
      <c r="G2518" s="75" t="s">
        <v>218</v>
      </c>
      <c r="H2518" s="77" t="str">
        <f>VLOOKUP(DESPESAS[[#This Row],[Plano de Contas]],BASE!$B$3:$D$119,3,FALSE)</f>
        <v>Manutenção de Equipamentos (Prod)</v>
      </c>
      <c r="I2518" s="77" t="str">
        <f>IFERROR(VLOOKUP(DESPESAS[[#This Row],[Fornecedor]],Tabela2[],2,FALSE),"")</f>
        <v>MATERIAIS PNEUMATICOS</v>
      </c>
      <c r="J2518" s="77" t="str">
        <f>IFERROR(VLOOKUP(DESPESAS[[#This Row],[Plano de Contas]],BASE!$B$3:$F$119,4,FALSE),"")</f>
        <v>3 - CUSTOS INDIRETOS</v>
      </c>
      <c r="K2518" s="77" t="str">
        <f>IFERROR(VLOOKUP(DESPESAS[[#This Row],[Plano de Contas]],BASE!$B$3:$H$119,5,FALSE),"")</f>
        <v>MANUTENÇÃO / TI</v>
      </c>
      <c r="L2518" s="77">
        <f>IFERROR(VLOOKUP(DESPESAS[[#This Row],[Plano de Contas]],BASE!$B$3:$H$119,6,FALSE),"")</f>
        <v>0</v>
      </c>
      <c r="M2518" s="77" t="str">
        <f>VLOOKUP(DESPESAS[[#This Row],[Plano de Contas]],BASE!$B$3:$H$119,7,FALSE)</f>
        <v>RAFAEL</v>
      </c>
    </row>
    <row r="2519" spans="1:13" x14ac:dyDescent="0.25">
      <c r="A2519" s="74">
        <v>199462</v>
      </c>
      <c r="B2519" s="75" t="s">
        <v>232</v>
      </c>
      <c r="C2519" s="75" t="s">
        <v>1067</v>
      </c>
      <c r="D2519" s="76">
        <v>46093</v>
      </c>
      <c r="E2519" s="75" t="s">
        <v>1438</v>
      </c>
      <c r="F2519" s="74">
        <v>3640</v>
      </c>
      <c r="G2519" s="75" t="s">
        <v>218</v>
      </c>
      <c r="H2519" s="77" t="str">
        <f>VLOOKUP(DESPESAS[[#This Row],[Plano de Contas]],BASE!$B$3:$D$119,3,FALSE)</f>
        <v>Manutenção de Equipamentos (Prod)</v>
      </c>
      <c r="I2519" s="77" t="str">
        <f>IFERROR(VLOOKUP(DESPESAS[[#This Row],[Fornecedor]],Tabela2[],2,FALSE),"")</f>
        <v>MATERIAIS PNEUMATICOS</v>
      </c>
      <c r="J2519" s="77" t="str">
        <f>IFERROR(VLOOKUP(DESPESAS[[#This Row],[Plano de Contas]],BASE!$B$3:$F$119,4,FALSE),"")</f>
        <v>3 - CUSTOS INDIRETOS</v>
      </c>
      <c r="K2519" s="77" t="str">
        <f>IFERROR(VLOOKUP(DESPESAS[[#This Row],[Plano de Contas]],BASE!$B$3:$H$119,5,FALSE),"")</f>
        <v>MANUTENÇÃO / TI</v>
      </c>
      <c r="L2519" s="77">
        <f>IFERROR(VLOOKUP(DESPESAS[[#This Row],[Plano de Contas]],BASE!$B$3:$H$119,6,FALSE),"")</f>
        <v>0</v>
      </c>
      <c r="M2519" s="77" t="str">
        <f>VLOOKUP(DESPESAS[[#This Row],[Plano de Contas]],BASE!$B$3:$H$119,7,FALSE)</f>
        <v>RAFAEL</v>
      </c>
    </row>
    <row r="2520" spans="1:13" x14ac:dyDescent="0.25">
      <c r="A2520" s="74">
        <v>199463</v>
      </c>
      <c r="B2520" s="75" t="s">
        <v>232</v>
      </c>
      <c r="C2520" s="75" t="s">
        <v>1437</v>
      </c>
      <c r="D2520" s="76">
        <v>46093</v>
      </c>
      <c r="E2520" s="75" t="s">
        <v>327</v>
      </c>
      <c r="F2520" s="74">
        <v>93.1</v>
      </c>
      <c r="G2520" s="75" t="s">
        <v>244</v>
      </c>
      <c r="H2520" s="77" t="str">
        <f>VLOOKUP(DESPESAS[[#This Row],[Plano de Contas]],BASE!$B$3:$D$119,3,FALSE)</f>
        <v>Material de Expediente (Prod)</v>
      </c>
      <c r="I2520" s="77" t="str">
        <f>IFERROR(VLOOKUP(DESPESAS[[#This Row],[Fornecedor]],Tabela2[],2,FALSE),"")</f>
        <v>SERVIÇOS FRETE</v>
      </c>
      <c r="J2520" s="77" t="str">
        <f>IFERROR(VLOOKUP(DESPESAS[[#This Row],[Plano de Contas]],BASE!$B$3:$F$119,4,FALSE),"")</f>
        <v>2 - CUSTOS DIRETOS</v>
      </c>
      <c r="K2520" s="77" t="str">
        <f>IFERROR(VLOOKUP(DESPESAS[[#This Row],[Plano de Contas]],BASE!$B$3:$H$119,5,FALSE),"")</f>
        <v>PRODUÇÃO</v>
      </c>
      <c r="L2520" s="77">
        <f>IFERROR(VLOOKUP(DESPESAS[[#This Row],[Plano de Contas]],BASE!$B$3:$H$119,6,FALSE),"")</f>
        <v>0</v>
      </c>
      <c r="M2520" s="77" t="str">
        <f>VLOOKUP(DESPESAS[[#This Row],[Plano de Contas]],BASE!$B$3:$H$119,7,FALSE)</f>
        <v>RAFAEL</v>
      </c>
    </row>
    <row r="2521" spans="1:13" x14ac:dyDescent="0.25">
      <c r="A2521" s="74">
        <v>199464</v>
      </c>
      <c r="B2521" s="75" t="s">
        <v>232</v>
      </c>
      <c r="C2521" s="75" t="s">
        <v>1436</v>
      </c>
      <c r="D2521" s="76">
        <v>46093</v>
      </c>
      <c r="E2521" s="75" t="s">
        <v>1435</v>
      </c>
      <c r="F2521" s="74">
        <v>1848</v>
      </c>
      <c r="G2521" s="75" t="s">
        <v>244</v>
      </c>
      <c r="H2521" s="77" t="str">
        <f>VLOOKUP(DESPESAS[[#This Row],[Plano de Contas]],BASE!$B$3:$D$119,3,FALSE)</f>
        <v>Material de Expediente (Prod)</v>
      </c>
      <c r="I2521" s="77" t="str">
        <f>IFERROR(VLOOKUP(DESPESAS[[#This Row],[Fornecedor]],Tabela2[],2,FALSE),"")</f>
        <v/>
      </c>
      <c r="J2521" s="77" t="str">
        <f>IFERROR(VLOOKUP(DESPESAS[[#This Row],[Plano de Contas]],BASE!$B$3:$F$119,4,FALSE),"")</f>
        <v>2 - CUSTOS DIRETOS</v>
      </c>
      <c r="K2521" s="77" t="str">
        <f>IFERROR(VLOOKUP(DESPESAS[[#This Row],[Plano de Contas]],BASE!$B$3:$H$119,5,FALSE),"")</f>
        <v>PRODUÇÃO</v>
      </c>
      <c r="L2521" s="77">
        <f>IFERROR(VLOOKUP(DESPESAS[[#This Row],[Plano de Contas]],BASE!$B$3:$H$119,6,FALSE),"")</f>
        <v>0</v>
      </c>
      <c r="M2521" s="77" t="str">
        <f>VLOOKUP(DESPESAS[[#This Row],[Plano de Contas]],BASE!$B$3:$H$119,7,FALSE)</f>
        <v>RAFAEL</v>
      </c>
    </row>
    <row r="2522" spans="1:13" x14ac:dyDescent="0.25">
      <c r="A2522" s="74">
        <v>199465</v>
      </c>
      <c r="B2522" s="75" t="s">
        <v>232</v>
      </c>
      <c r="C2522" s="75" t="s">
        <v>1434</v>
      </c>
      <c r="D2522" s="76">
        <v>46093</v>
      </c>
      <c r="E2522" s="75" t="s">
        <v>327</v>
      </c>
      <c r="F2522" s="74">
        <v>93.8</v>
      </c>
      <c r="G2522" s="75" t="s">
        <v>244</v>
      </c>
      <c r="H2522" s="77" t="str">
        <f>VLOOKUP(DESPESAS[[#This Row],[Plano de Contas]],BASE!$B$3:$D$119,3,FALSE)</f>
        <v>Material de Expediente (Prod)</v>
      </c>
      <c r="I2522" s="77" t="str">
        <f>IFERROR(VLOOKUP(DESPESAS[[#This Row],[Fornecedor]],Tabela2[],2,FALSE),"")</f>
        <v>SERVIÇOS FRETE</v>
      </c>
      <c r="J2522" s="77" t="str">
        <f>IFERROR(VLOOKUP(DESPESAS[[#This Row],[Plano de Contas]],BASE!$B$3:$F$119,4,FALSE),"")</f>
        <v>2 - CUSTOS DIRETOS</v>
      </c>
      <c r="K2522" s="77" t="str">
        <f>IFERROR(VLOOKUP(DESPESAS[[#This Row],[Plano de Contas]],BASE!$B$3:$H$119,5,FALSE),"")</f>
        <v>PRODUÇÃO</v>
      </c>
      <c r="L2522" s="77">
        <f>IFERROR(VLOOKUP(DESPESAS[[#This Row],[Plano de Contas]],BASE!$B$3:$H$119,6,FALSE),"")</f>
        <v>0</v>
      </c>
      <c r="M2522" s="77" t="str">
        <f>VLOOKUP(DESPESAS[[#This Row],[Plano de Contas]],BASE!$B$3:$H$119,7,FALSE)</f>
        <v>RAFAEL</v>
      </c>
    </row>
    <row r="2523" spans="1:13" x14ac:dyDescent="0.25">
      <c r="A2523" s="74">
        <v>199466</v>
      </c>
      <c r="B2523" s="75" t="s">
        <v>232</v>
      </c>
      <c r="C2523" s="75" t="s">
        <v>1433</v>
      </c>
      <c r="D2523" s="76">
        <v>46093</v>
      </c>
      <c r="E2523" s="75" t="s">
        <v>499</v>
      </c>
      <c r="F2523" s="74">
        <v>174.76</v>
      </c>
      <c r="G2523" s="75" t="s">
        <v>218</v>
      </c>
      <c r="H2523" s="77" t="str">
        <f>VLOOKUP(DESPESAS[[#This Row],[Plano de Contas]],BASE!$B$3:$D$119,3,FALSE)</f>
        <v>Manutenção de Equipamentos (Prod)</v>
      </c>
      <c r="I2523" s="77" t="str">
        <f>IFERROR(VLOOKUP(DESPESAS[[#This Row],[Fornecedor]],Tabela2[],2,FALSE),"")</f>
        <v/>
      </c>
      <c r="J2523" s="77" t="str">
        <f>IFERROR(VLOOKUP(DESPESAS[[#This Row],[Plano de Contas]],BASE!$B$3:$F$119,4,FALSE),"")</f>
        <v>3 - CUSTOS INDIRETOS</v>
      </c>
      <c r="K2523" s="77" t="str">
        <f>IFERROR(VLOOKUP(DESPESAS[[#This Row],[Plano de Contas]],BASE!$B$3:$H$119,5,FALSE),"")</f>
        <v>MANUTENÇÃO / TI</v>
      </c>
      <c r="L2523" s="77">
        <f>IFERROR(VLOOKUP(DESPESAS[[#This Row],[Plano de Contas]],BASE!$B$3:$H$119,6,FALSE),"")</f>
        <v>0</v>
      </c>
      <c r="M2523" s="77" t="str">
        <f>VLOOKUP(DESPESAS[[#This Row],[Plano de Contas]],BASE!$B$3:$H$119,7,FALSE)</f>
        <v>RAFAEL</v>
      </c>
    </row>
    <row r="2524" spans="1:13" x14ac:dyDescent="0.25">
      <c r="A2524" s="74">
        <v>199467</v>
      </c>
      <c r="B2524" s="75" t="s">
        <v>232</v>
      </c>
      <c r="C2524" s="75" t="s">
        <v>1432</v>
      </c>
      <c r="D2524" s="76">
        <v>46093</v>
      </c>
      <c r="E2524" s="75" t="s">
        <v>1206</v>
      </c>
      <c r="F2524" s="74">
        <v>285</v>
      </c>
      <c r="G2524" s="75" t="s">
        <v>247</v>
      </c>
      <c r="H2524" s="77" t="str">
        <f>VLOOKUP(DESPESAS[[#This Row],[Plano de Contas]],BASE!$B$3:$D$119,3,FALSE)</f>
        <v>Manutenção com veiculos</v>
      </c>
      <c r="I2524" s="77" t="str">
        <f>IFERROR(VLOOKUP(DESPESAS[[#This Row],[Fornecedor]],Tabela2[],2,FALSE),"")</f>
        <v/>
      </c>
      <c r="J2524" s="77" t="str">
        <f>IFERROR(VLOOKUP(DESPESAS[[#This Row],[Plano de Contas]],BASE!$B$3:$F$119,4,FALSE),"")</f>
        <v>6 - DESPESA COM VENDAS</v>
      </c>
      <c r="K2524" s="77" t="str">
        <f>IFERROR(VLOOKUP(DESPESAS[[#This Row],[Plano de Contas]],BASE!$B$3:$H$119,5,FALSE),"")</f>
        <v>LOGÍSTICA</v>
      </c>
      <c r="L2524" s="77">
        <f>IFERROR(VLOOKUP(DESPESAS[[#This Row],[Plano de Contas]],BASE!$B$3:$H$119,6,FALSE),"")</f>
        <v>0</v>
      </c>
      <c r="M2524" s="77" t="str">
        <f>VLOOKUP(DESPESAS[[#This Row],[Plano de Contas]],BASE!$B$3:$H$119,7,FALSE)</f>
        <v>MYLENA</v>
      </c>
    </row>
    <row r="2525" spans="1:13" x14ac:dyDescent="0.25">
      <c r="A2525" s="74">
        <v>199468</v>
      </c>
      <c r="B2525" s="75" t="s">
        <v>232</v>
      </c>
      <c r="C2525" s="75" t="s">
        <v>1431</v>
      </c>
      <c r="D2525" s="76">
        <v>46093</v>
      </c>
      <c r="E2525" s="75" t="s">
        <v>1206</v>
      </c>
      <c r="F2525" s="74">
        <v>315</v>
      </c>
      <c r="G2525" s="75" t="s">
        <v>247</v>
      </c>
      <c r="H2525" s="77" t="str">
        <f>VLOOKUP(DESPESAS[[#This Row],[Plano de Contas]],BASE!$B$3:$D$119,3,FALSE)</f>
        <v>Manutenção com veiculos</v>
      </c>
      <c r="I2525" s="77" t="str">
        <f>IFERROR(VLOOKUP(DESPESAS[[#This Row],[Fornecedor]],Tabela2[],2,FALSE),"")</f>
        <v/>
      </c>
      <c r="J2525" s="77" t="str">
        <f>IFERROR(VLOOKUP(DESPESAS[[#This Row],[Plano de Contas]],BASE!$B$3:$F$119,4,FALSE),"")</f>
        <v>6 - DESPESA COM VENDAS</v>
      </c>
      <c r="K2525" s="77" t="str">
        <f>IFERROR(VLOOKUP(DESPESAS[[#This Row],[Plano de Contas]],BASE!$B$3:$H$119,5,FALSE),"")</f>
        <v>LOGÍSTICA</v>
      </c>
      <c r="L2525" s="77">
        <f>IFERROR(VLOOKUP(DESPESAS[[#This Row],[Plano de Contas]],BASE!$B$3:$H$119,6,FALSE),"")</f>
        <v>0</v>
      </c>
      <c r="M2525" s="77" t="str">
        <f>VLOOKUP(DESPESAS[[#This Row],[Plano de Contas]],BASE!$B$3:$H$119,7,FALSE)</f>
        <v>MYLENA</v>
      </c>
    </row>
    <row r="2526" spans="1:13" x14ac:dyDescent="0.25">
      <c r="A2526" s="74">
        <v>199469</v>
      </c>
      <c r="B2526" s="75" t="s">
        <v>232</v>
      </c>
      <c r="C2526" s="75" t="s">
        <v>1430</v>
      </c>
      <c r="D2526" s="76">
        <v>46093</v>
      </c>
      <c r="E2526" s="75" t="s">
        <v>615</v>
      </c>
      <c r="F2526" s="74">
        <v>181</v>
      </c>
      <c r="G2526" s="75" t="s">
        <v>218</v>
      </c>
      <c r="H2526" s="77" t="str">
        <f>VLOOKUP(DESPESAS[[#This Row],[Plano de Contas]],BASE!$B$3:$D$119,3,FALSE)</f>
        <v>Manutenção de Equipamentos (Prod)</v>
      </c>
      <c r="I2526" s="77" t="str">
        <f>IFERROR(VLOOKUP(DESPESAS[[#This Row],[Fornecedor]],Tabela2[],2,FALSE),"")</f>
        <v>MANUTENÇÕES FERRAMENTAS</v>
      </c>
      <c r="J2526" s="77" t="str">
        <f>IFERROR(VLOOKUP(DESPESAS[[#This Row],[Plano de Contas]],BASE!$B$3:$F$119,4,FALSE),"")</f>
        <v>3 - CUSTOS INDIRETOS</v>
      </c>
      <c r="K2526" s="77" t="str">
        <f>IFERROR(VLOOKUP(DESPESAS[[#This Row],[Plano de Contas]],BASE!$B$3:$H$119,5,FALSE),"")</f>
        <v>MANUTENÇÃO / TI</v>
      </c>
      <c r="L2526" s="77">
        <f>IFERROR(VLOOKUP(DESPESAS[[#This Row],[Plano de Contas]],BASE!$B$3:$H$119,6,FALSE),"")</f>
        <v>0</v>
      </c>
      <c r="M2526" s="77" t="str">
        <f>VLOOKUP(DESPESAS[[#This Row],[Plano de Contas]],BASE!$B$3:$H$119,7,FALSE)</f>
        <v>RAFAEL</v>
      </c>
    </row>
    <row r="2527" spans="1:13" x14ac:dyDescent="0.25">
      <c r="A2527" s="74">
        <v>199470</v>
      </c>
      <c r="B2527" s="75" t="s">
        <v>232</v>
      </c>
      <c r="C2527" s="75" t="s">
        <v>1429</v>
      </c>
      <c r="D2527" s="76">
        <v>46093</v>
      </c>
      <c r="E2527" s="75" t="s">
        <v>615</v>
      </c>
      <c r="F2527" s="74">
        <v>64</v>
      </c>
      <c r="G2527" s="75" t="s">
        <v>218</v>
      </c>
      <c r="H2527" s="77" t="str">
        <f>VLOOKUP(DESPESAS[[#This Row],[Plano de Contas]],BASE!$B$3:$D$119,3,FALSE)</f>
        <v>Manutenção de Equipamentos (Prod)</v>
      </c>
      <c r="I2527" s="77" t="str">
        <f>IFERROR(VLOOKUP(DESPESAS[[#This Row],[Fornecedor]],Tabela2[],2,FALSE),"")</f>
        <v>MANUTENÇÕES FERRAMENTAS</v>
      </c>
      <c r="J2527" s="77" t="str">
        <f>IFERROR(VLOOKUP(DESPESAS[[#This Row],[Plano de Contas]],BASE!$B$3:$F$119,4,FALSE),"")</f>
        <v>3 - CUSTOS INDIRETOS</v>
      </c>
      <c r="K2527" s="77" t="str">
        <f>IFERROR(VLOOKUP(DESPESAS[[#This Row],[Plano de Contas]],BASE!$B$3:$H$119,5,FALSE),"")</f>
        <v>MANUTENÇÃO / TI</v>
      </c>
      <c r="L2527" s="77">
        <f>IFERROR(VLOOKUP(DESPESAS[[#This Row],[Plano de Contas]],BASE!$B$3:$H$119,6,FALSE),"")</f>
        <v>0</v>
      </c>
      <c r="M2527" s="77" t="str">
        <f>VLOOKUP(DESPESAS[[#This Row],[Plano de Contas]],BASE!$B$3:$H$119,7,FALSE)</f>
        <v>RAFAEL</v>
      </c>
    </row>
    <row r="2528" spans="1:13" x14ac:dyDescent="0.25">
      <c r="A2528" s="74">
        <v>199471</v>
      </c>
      <c r="B2528" s="75" t="s">
        <v>232</v>
      </c>
      <c r="C2528" s="75" t="s">
        <v>1428</v>
      </c>
      <c r="D2528" s="76">
        <v>46093</v>
      </c>
      <c r="E2528" s="75" t="s">
        <v>230</v>
      </c>
      <c r="F2528" s="74">
        <v>15.8</v>
      </c>
      <c r="G2528" s="75" t="s">
        <v>229</v>
      </c>
      <c r="H2528" s="77" t="str">
        <f>VLOOKUP(DESPESAS[[#This Row],[Plano de Contas]],BASE!$B$3:$D$119,3,FALSE)</f>
        <v>Despesas Bancarias</v>
      </c>
      <c r="I2528" s="77" t="str">
        <f>IFERROR(VLOOKUP(DESPESAS[[#This Row],[Fornecedor]],Tabela2[],2,FALSE),"")</f>
        <v/>
      </c>
      <c r="J2528" s="77" t="str">
        <f>IFERROR(VLOOKUP(DESPESAS[[#This Row],[Plano de Contas]],BASE!$B$3:$F$119,4,FALSE),"")</f>
        <v>8 - DESPESAS FINANCEIRAS</v>
      </c>
      <c r="K2528" s="77" t="str">
        <f>IFERROR(VLOOKUP(DESPESAS[[#This Row],[Plano de Contas]],BASE!$B$3:$H$119,5,FALSE),"")</f>
        <v>FINANCEIRO</v>
      </c>
      <c r="L2528" s="77">
        <f>IFERROR(VLOOKUP(DESPESAS[[#This Row],[Plano de Contas]],BASE!$B$3:$H$119,6,FALSE),"")</f>
        <v>0</v>
      </c>
      <c r="M2528" s="77" t="str">
        <f>VLOOKUP(DESPESAS[[#This Row],[Plano de Contas]],BASE!$B$3:$H$119,7,FALSE)</f>
        <v>LETÍCIA</v>
      </c>
    </row>
    <row r="2529" spans="1:13" x14ac:dyDescent="0.25">
      <c r="A2529" s="74">
        <v>199472</v>
      </c>
      <c r="B2529" s="75" t="s">
        <v>232</v>
      </c>
      <c r="C2529" s="75" t="s">
        <v>1427</v>
      </c>
      <c r="D2529" s="76">
        <v>46094</v>
      </c>
      <c r="E2529" s="75" t="s">
        <v>230</v>
      </c>
      <c r="F2529" s="74">
        <v>6.77</v>
      </c>
      <c r="G2529" s="75" t="s">
        <v>229</v>
      </c>
      <c r="H2529" s="77" t="str">
        <f>VLOOKUP(DESPESAS[[#This Row],[Plano de Contas]],BASE!$B$3:$D$119,3,FALSE)</f>
        <v>Despesas Bancarias</v>
      </c>
      <c r="I2529" s="77" t="str">
        <f>IFERROR(VLOOKUP(DESPESAS[[#This Row],[Fornecedor]],Tabela2[],2,FALSE),"")</f>
        <v/>
      </c>
      <c r="J2529" s="77" t="str">
        <f>IFERROR(VLOOKUP(DESPESAS[[#This Row],[Plano de Contas]],BASE!$B$3:$F$119,4,FALSE),"")</f>
        <v>8 - DESPESAS FINANCEIRAS</v>
      </c>
      <c r="K2529" s="77" t="str">
        <f>IFERROR(VLOOKUP(DESPESAS[[#This Row],[Plano de Contas]],BASE!$B$3:$H$119,5,FALSE),"")</f>
        <v>FINANCEIRO</v>
      </c>
      <c r="L2529" s="77">
        <f>IFERROR(VLOOKUP(DESPESAS[[#This Row],[Plano de Contas]],BASE!$B$3:$H$119,6,FALSE),"")</f>
        <v>0</v>
      </c>
      <c r="M2529" s="77" t="str">
        <f>VLOOKUP(DESPESAS[[#This Row],[Plano de Contas]],BASE!$B$3:$H$119,7,FALSE)</f>
        <v>LETÍCIA</v>
      </c>
    </row>
    <row r="2530" spans="1:13" x14ac:dyDescent="0.25">
      <c r="A2530" s="74">
        <v>199473</v>
      </c>
      <c r="B2530" s="75" t="s">
        <v>232</v>
      </c>
      <c r="C2530" s="75" t="s">
        <v>1426</v>
      </c>
      <c r="D2530" s="76">
        <v>46094</v>
      </c>
      <c r="E2530" s="75" t="s">
        <v>230</v>
      </c>
      <c r="F2530" s="74">
        <v>64.680000000000007</v>
      </c>
      <c r="G2530" s="75" t="s">
        <v>251</v>
      </c>
      <c r="H2530" s="77" t="str">
        <f>VLOOKUP(DESPESAS[[#This Row],[Plano de Contas]],BASE!$B$3:$D$119,3,FALSE)</f>
        <v>Juros Pagos - Antecipação de Crédito</v>
      </c>
      <c r="I2530" s="77" t="str">
        <f>IFERROR(VLOOKUP(DESPESAS[[#This Row],[Fornecedor]],Tabela2[],2,FALSE),"")</f>
        <v/>
      </c>
      <c r="J2530" s="77" t="str">
        <f>IFERROR(VLOOKUP(DESPESAS[[#This Row],[Plano de Contas]],BASE!$B$3:$F$119,4,FALSE),"")</f>
        <v>8 - DESPESAS FINANCEIRAS</v>
      </c>
      <c r="K2530" s="77" t="str">
        <f>IFERROR(VLOOKUP(DESPESAS[[#This Row],[Plano de Contas]],BASE!$B$3:$H$119,5,FALSE),"")</f>
        <v>FINANCEIRO</v>
      </c>
      <c r="L2530" s="77">
        <f>IFERROR(VLOOKUP(DESPESAS[[#This Row],[Plano de Contas]],BASE!$B$3:$H$119,6,FALSE),"")</f>
        <v>0</v>
      </c>
      <c r="M2530" s="77" t="str">
        <f>VLOOKUP(DESPESAS[[#This Row],[Plano de Contas]],BASE!$B$3:$H$119,7,FALSE)</f>
        <v>LETÍCIA</v>
      </c>
    </row>
    <row r="2531" spans="1:13" x14ac:dyDescent="0.25">
      <c r="A2531" s="74">
        <v>199474</v>
      </c>
      <c r="B2531" s="75" t="s">
        <v>281</v>
      </c>
      <c r="C2531" s="75" t="s">
        <v>1425</v>
      </c>
      <c r="D2531" s="76">
        <v>46093</v>
      </c>
      <c r="E2531" s="75" t="s">
        <v>230</v>
      </c>
      <c r="F2531" s="74">
        <v>0.79</v>
      </c>
      <c r="G2531" s="75" t="s">
        <v>229</v>
      </c>
      <c r="H2531" s="77" t="str">
        <f>VLOOKUP(DESPESAS[[#This Row],[Plano de Contas]],BASE!$B$3:$D$119,3,FALSE)</f>
        <v>Despesas Bancarias</v>
      </c>
      <c r="I2531" s="77" t="str">
        <f>IFERROR(VLOOKUP(DESPESAS[[#This Row],[Fornecedor]],Tabela2[],2,FALSE),"")</f>
        <v/>
      </c>
      <c r="J2531" s="77" t="str">
        <f>IFERROR(VLOOKUP(DESPESAS[[#This Row],[Plano de Contas]],BASE!$B$3:$F$119,4,FALSE),"")</f>
        <v>8 - DESPESAS FINANCEIRAS</v>
      </c>
      <c r="K2531" s="77" t="str">
        <f>IFERROR(VLOOKUP(DESPESAS[[#This Row],[Plano de Contas]],BASE!$B$3:$H$119,5,FALSE),"")</f>
        <v>FINANCEIRO</v>
      </c>
      <c r="L2531" s="77">
        <f>IFERROR(VLOOKUP(DESPESAS[[#This Row],[Plano de Contas]],BASE!$B$3:$H$119,6,FALSE),"")</f>
        <v>0</v>
      </c>
      <c r="M2531" s="77" t="str">
        <f>VLOOKUP(DESPESAS[[#This Row],[Plano de Contas]],BASE!$B$3:$H$119,7,FALSE)</f>
        <v>LETÍCIA</v>
      </c>
    </row>
    <row r="2532" spans="1:13" x14ac:dyDescent="0.25">
      <c r="A2532" s="74">
        <v>199475</v>
      </c>
      <c r="B2532" s="75" t="s">
        <v>221</v>
      </c>
      <c r="C2532" s="75" t="s">
        <v>1424</v>
      </c>
      <c r="D2532" s="76">
        <v>46093</v>
      </c>
      <c r="E2532" s="75" t="s">
        <v>1394</v>
      </c>
      <c r="F2532" s="74">
        <v>10.45</v>
      </c>
      <c r="G2532" s="75" t="s">
        <v>229</v>
      </c>
      <c r="H2532" s="77" t="str">
        <f>VLOOKUP(DESPESAS[[#This Row],[Plano de Contas]],BASE!$B$3:$D$119,3,FALSE)</f>
        <v>Despesas Bancarias</v>
      </c>
      <c r="I2532" s="77" t="str">
        <f>IFERROR(VLOOKUP(DESPESAS[[#This Row],[Fornecedor]],Tabela2[],2,FALSE),"")</f>
        <v/>
      </c>
      <c r="J2532" s="77" t="str">
        <f>IFERROR(VLOOKUP(DESPESAS[[#This Row],[Plano de Contas]],BASE!$B$3:$F$119,4,FALSE),"")</f>
        <v>8 - DESPESAS FINANCEIRAS</v>
      </c>
      <c r="K2532" s="77" t="str">
        <f>IFERROR(VLOOKUP(DESPESAS[[#This Row],[Plano de Contas]],BASE!$B$3:$H$119,5,FALSE),"")</f>
        <v>FINANCEIRO</v>
      </c>
      <c r="L2532" s="77">
        <f>IFERROR(VLOOKUP(DESPESAS[[#This Row],[Plano de Contas]],BASE!$B$3:$H$119,6,FALSE),"")</f>
        <v>0</v>
      </c>
      <c r="M2532" s="77" t="str">
        <f>VLOOKUP(DESPESAS[[#This Row],[Plano de Contas]],BASE!$B$3:$H$119,7,FALSE)</f>
        <v>LETÍCIA</v>
      </c>
    </row>
    <row r="2533" spans="1:13" x14ac:dyDescent="0.25">
      <c r="A2533" s="74">
        <v>199476</v>
      </c>
      <c r="B2533" s="75" t="s">
        <v>281</v>
      </c>
      <c r="C2533" s="75" t="s">
        <v>1423</v>
      </c>
      <c r="D2533" s="76">
        <v>46094</v>
      </c>
      <c r="E2533" s="75" t="s">
        <v>961</v>
      </c>
      <c r="F2533" s="74">
        <v>250.89</v>
      </c>
      <c r="G2533" s="75" t="s">
        <v>1027</v>
      </c>
      <c r="H2533" s="77" t="str">
        <f>VLOOKUP(DESPESAS[[#This Row],[Plano de Contas]],BASE!$B$3:$D$119,3,FALSE)</f>
        <v>Férias CIF</v>
      </c>
      <c r="I2533" s="77" t="str">
        <f>IFERROR(VLOOKUP(DESPESAS[[#This Row],[Fornecedor]],Tabela2[],2,FALSE),"")</f>
        <v/>
      </c>
      <c r="J2533" s="77" t="str">
        <f>IFERROR(VLOOKUP(DESPESAS[[#This Row],[Plano de Contas]],BASE!$B$3:$F$119,4,FALSE),"")</f>
        <v>3 - CUSTOS INDIRETOS</v>
      </c>
      <c r="K2533" s="77" t="str">
        <f>IFERROR(VLOOKUP(DESPESAS[[#This Row],[Plano de Contas]],BASE!$B$3:$H$119,5,FALSE),"")</f>
        <v>DH</v>
      </c>
      <c r="L2533" s="77" t="str">
        <f>IFERROR(VLOOKUP(DESPESAS[[#This Row],[Plano de Contas]],BASE!$B$3:$H$119,6,FALSE),"")</f>
        <v>CUSTO MÃO DE OBRA DIRETA</v>
      </c>
      <c r="M2533" s="77" t="str">
        <f>VLOOKUP(DESPESAS[[#This Row],[Plano de Contas]],BASE!$B$3:$H$119,7,FALSE)</f>
        <v>RAFAEL</v>
      </c>
    </row>
    <row r="2534" spans="1:13" x14ac:dyDescent="0.25">
      <c r="A2534" s="74">
        <v>199477</v>
      </c>
      <c r="B2534" s="75" t="s">
        <v>232</v>
      </c>
      <c r="C2534" s="75" t="s">
        <v>1422</v>
      </c>
      <c r="D2534" s="76">
        <v>46094</v>
      </c>
      <c r="E2534" s="75" t="s">
        <v>230</v>
      </c>
      <c r="F2534" s="74">
        <v>380.7</v>
      </c>
      <c r="G2534" s="75" t="s">
        <v>229</v>
      </c>
      <c r="H2534" s="77" t="str">
        <f>VLOOKUP(DESPESAS[[#This Row],[Plano de Contas]],BASE!$B$3:$D$119,3,FALSE)</f>
        <v>Despesas Bancarias</v>
      </c>
      <c r="I2534" s="77" t="str">
        <f>IFERROR(VLOOKUP(DESPESAS[[#This Row],[Fornecedor]],Tabela2[],2,FALSE),"")</f>
        <v/>
      </c>
      <c r="J2534" s="77" t="str">
        <f>IFERROR(VLOOKUP(DESPESAS[[#This Row],[Plano de Contas]],BASE!$B$3:$F$119,4,FALSE),"")</f>
        <v>8 - DESPESAS FINANCEIRAS</v>
      </c>
      <c r="K2534" s="77" t="str">
        <f>IFERROR(VLOOKUP(DESPESAS[[#This Row],[Plano de Contas]],BASE!$B$3:$H$119,5,FALSE),"")</f>
        <v>FINANCEIRO</v>
      </c>
      <c r="L2534" s="77">
        <f>IFERROR(VLOOKUP(DESPESAS[[#This Row],[Plano de Contas]],BASE!$B$3:$H$119,6,FALSE),"")</f>
        <v>0</v>
      </c>
      <c r="M2534" s="77" t="str">
        <f>VLOOKUP(DESPESAS[[#This Row],[Plano de Contas]],BASE!$B$3:$H$119,7,FALSE)</f>
        <v>LETÍCIA</v>
      </c>
    </row>
    <row r="2535" spans="1:13" x14ac:dyDescent="0.25">
      <c r="A2535" s="74">
        <v>199478</v>
      </c>
      <c r="B2535" s="75" t="s">
        <v>232</v>
      </c>
      <c r="C2535" s="75" t="s">
        <v>1421</v>
      </c>
      <c r="D2535" s="76">
        <v>46094</v>
      </c>
      <c r="E2535" s="75" t="s">
        <v>230</v>
      </c>
      <c r="F2535" s="74">
        <v>200.6</v>
      </c>
      <c r="G2535" s="75" t="s">
        <v>229</v>
      </c>
      <c r="H2535" s="77" t="str">
        <f>VLOOKUP(DESPESAS[[#This Row],[Plano de Contas]],BASE!$B$3:$D$119,3,FALSE)</f>
        <v>Despesas Bancarias</v>
      </c>
      <c r="I2535" s="77" t="str">
        <f>IFERROR(VLOOKUP(DESPESAS[[#This Row],[Fornecedor]],Tabela2[],2,FALSE),"")</f>
        <v/>
      </c>
      <c r="J2535" s="77" t="str">
        <f>IFERROR(VLOOKUP(DESPESAS[[#This Row],[Plano de Contas]],BASE!$B$3:$F$119,4,FALSE),"")</f>
        <v>8 - DESPESAS FINANCEIRAS</v>
      </c>
      <c r="K2535" s="77" t="str">
        <f>IFERROR(VLOOKUP(DESPESAS[[#This Row],[Plano de Contas]],BASE!$B$3:$H$119,5,FALSE),"")</f>
        <v>FINANCEIRO</v>
      </c>
      <c r="L2535" s="77">
        <f>IFERROR(VLOOKUP(DESPESAS[[#This Row],[Plano de Contas]],BASE!$B$3:$H$119,6,FALSE),"")</f>
        <v>0</v>
      </c>
      <c r="M2535" s="77" t="str">
        <f>VLOOKUP(DESPESAS[[#This Row],[Plano de Contas]],BASE!$B$3:$H$119,7,FALSE)</f>
        <v>LETÍCIA</v>
      </c>
    </row>
    <row r="2536" spans="1:13" x14ac:dyDescent="0.25">
      <c r="A2536" s="74">
        <v>199479</v>
      </c>
      <c r="B2536" s="75" t="s">
        <v>232</v>
      </c>
      <c r="C2536" s="75" t="s">
        <v>1420</v>
      </c>
      <c r="D2536" s="76">
        <v>46094</v>
      </c>
      <c r="E2536" s="75" t="s">
        <v>230</v>
      </c>
      <c r="F2536" s="74">
        <v>2426.8000000000002</v>
      </c>
      <c r="G2536" s="75" t="s">
        <v>251</v>
      </c>
      <c r="H2536" s="77" t="str">
        <f>VLOOKUP(DESPESAS[[#This Row],[Plano de Contas]],BASE!$B$3:$D$119,3,FALSE)</f>
        <v>Juros Pagos - Antecipação de Crédito</v>
      </c>
      <c r="I2536" s="77" t="str">
        <f>IFERROR(VLOOKUP(DESPESAS[[#This Row],[Fornecedor]],Tabela2[],2,FALSE),"")</f>
        <v/>
      </c>
      <c r="J2536" s="77" t="str">
        <f>IFERROR(VLOOKUP(DESPESAS[[#This Row],[Plano de Contas]],BASE!$B$3:$F$119,4,FALSE),"")</f>
        <v>8 - DESPESAS FINANCEIRAS</v>
      </c>
      <c r="K2536" s="77" t="str">
        <f>IFERROR(VLOOKUP(DESPESAS[[#This Row],[Plano de Contas]],BASE!$B$3:$H$119,5,FALSE),"")</f>
        <v>FINANCEIRO</v>
      </c>
      <c r="L2536" s="77">
        <f>IFERROR(VLOOKUP(DESPESAS[[#This Row],[Plano de Contas]],BASE!$B$3:$H$119,6,FALSE),"")</f>
        <v>0</v>
      </c>
      <c r="M2536" s="77" t="str">
        <f>VLOOKUP(DESPESAS[[#This Row],[Plano de Contas]],BASE!$B$3:$H$119,7,FALSE)</f>
        <v>LETÍCIA</v>
      </c>
    </row>
    <row r="2537" spans="1:13" x14ac:dyDescent="0.25">
      <c r="A2537" s="74">
        <v>199480</v>
      </c>
      <c r="B2537" s="75" t="s">
        <v>232</v>
      </c>
      <c r="C2537" s="75" t="s">
        <v>1419</v>
      </c>
      <c r="D2537" s="76">
        <v>46094</v>
      </c>
      <c r="E2537" s="75" t="s">
        <v>347</v>
      </c>
      <c r="F2537" s="74">
        <v>104.13</v>
      </c>
      <c r="G2537" s="75" t="s">
        <v>583</v>
      </c>
      <c r="H2537" s="77" t="str">
        <f>VLOOKUP(DESPESAS[[#This Row],[Plano de Contas]],BASE!$B$3:$D$119,3,FALSE)</f>
        <v>Multas de Trânsito</v>
      </c>
      <c r="I2537" s="77" t="str">
        <f>IFERROR(VLOOKUP(DESPESAS[[#This Row],[Fornecedor]],Tabela2[],2,FALSE),"")</f>
        <v/>
      </c>
      <c r="J2537" s="77" t="str">
        <f>IFERROR(VLOOKUP(DESPESAS[[#This Row],[Plano de Contas]],BASE!$B$3:$F$119,4,FALSE),"")</f>
        <v>6 - DESPESA COM VENDAS</v>
      </c>
      <c r="K2537" s="77" t="str">
        <f>IFERROR(VLOOKUP(DESPESAS[[#This Row],[Plano de Contas]],BASE!$B$3:$H$119,5,FALSE),"")</f>
        <v>LOGÍSTICA</v>
      </c>
      <c r="L2537" s="77">
        <f>IFERROR(VLOOKUP(DESPESAS[[#This Row],[Plano de Contas]],BASE!$B$3:$H$119,6,FALSE),"")</f>
        <v>0</v>
      </c>
      <c r="M2537" s="77" t="str">
        <f>VLOOKUP(DESPESAS[[#This Row],[Plano de Contas]],BASE!$B$3:$H$119,7,FALSE)</f>
        <v>MYLENA</v>
      </c>
    </row>
    <row r="2538" spans="1:13" x14ac:dyDescent="0.25">
      <c r="A2538" s="74">
        <v>199481</v>
      </c>
      <c r="B2538" s="75" t="s">
        <v>232</v>
      </c>
      <c r="C2538" s="75" t="s">
        <v>1418</v>
      </c>
      <c r="D2538" s="76">
        <v>46094</v>
      </c>
      <c r="E2538" s="75" t="s">
        <v>347</v>
      </c>
      <c r="F2538" s="74">
        <v>586.92999999999995</v>
      </c>
      <c r="G2538" s="75" t="s">
        <v>583</v>
      </c>
      <c r="H2538" s="77" t="str">
        <f>VLOOKUP(DESPESAS[[#This Row],[Plano de Contas]],BASE!$B$3:$D$119,3,FALSE)</f>
        <v>Multas de Trânsito</v>
      </c>
      <c r="I2538" s="77" t="str">
        <f>IFERROR(VLOOKUP(DESPESAS[[#This Row],[Fornecedor]],Tabela2[],2,FALSE),"")</f>
        <v/>
      </c>
      <c r="J2538" s="77" t="str">
        <f>IFERROR(VLOOKUP(DESPESAS[[#This Row],[Plano de Contas]],BASE!$B$3:$F$119,4,FALSE),"")</f>
        <v>6 - DESPESA COM VENDAS</v>
      </c>
      <c r="K2538" s="77" t="str">
        <f>IFERROR(VLOOKUP(DESPESAS[[#This Row],[Plano de Contas]],BASE!$B$3:$H$119,5,FALSE),"")</f>
        <v>LOGÍSTICA</v>
      </c>
      <c r="L2538" s="77">
        <f>IFERROR(VLOOKUP(DESPESAS[[#This Row],[Plano de Contas]],BASE!$B$3:$H$119,6,FALSE),"")</f>
        <v>0</v>
      </c>
      <c r="M2538" s="77" t="str">
        <f>VLOOKUP(DESPESAS[[#This Row],[Plano de Contas]],BASE!$B$3:$H$119,7,FALSE)</f>
        <v>MYLENA</v>
      </c>
    </row>
    <row r="2539" spans="1:13" x14ac:dyDescent="0.25">
      <c r="A2539" s="74">
        <v>199482</v>
      </c>
      <c r="B2539" s="75" t="s">
        <v>232</v>
      </c>
      <c r="C2539" s="75" t="s">
        <v>1417</v>
      </c>
      <c r="D2539" s="76">
        <v>46094</v>
      </c>
      <c r="E2539" s="75" t="s">
        <v>347</v>
      </c>
      <c r="F2539" s="74">
        <v>130.16</v>
      </c>
      <c r="G2539" s="75" t="s">
        <v>583</v>
      </c>
      <c r="H2539" s="77" t="str">
        <f>VLOOKUP(DESPESAS[[#This Row],[Plano de Contas]],BASE!$B$3:$D$119,3,FALSE)</f>
        <v>Multas de Trânsito</v>
      </c>
      <c r="I2539" s="77" t="str">
        <f>IFERROR(VLOOKUP(DESPESAS[[#This Row],[Fornecedor]],Tabela2[],2,FALSE),"")</f>
        <v/>
      </c>
      <c r="J2539" s="77" t="str">
        <f>IFERROR(VLOOKUP(DESPESAS[[#This Row],[Plano de Contas]],BASE!$B$3:$F$119,4,FALSE),"")</f>
        <v>6 - DESPESA COM VENDAS</v>
      </c>
      <c r="K2539" s="77" t="str">
        <f>IFERROR(VLOOKUP(DESPESAS[[#This Row],[Plano de Contas]],BASE!$B$3:$H$119,5,FALSE),"")</f>
        <v>LOGÍSTICA</v>
      </c>
      <c r="L2539" s="77">
        <f>IFERROR(VLOOKUP(DESPESAS[[#This Row],[Plano de Contas]],BASE!$B$3:$H$119,6,FALSE),"")</f>
        <v>0</v>
      </c>
      <c r="M2539" s="77" t="str">
        <f>VLOOKUP(DESPESAS[[#This Row],[Plano de Contas]],BASE!$B$3:$H$119,7,FALSE)</f>
        <v>MYLENA</v>
      </c>
    </row>
    <row r="2540" spans="1:13" x14ac:dyDescent="0.25">
      <c r="A2540" s="74">
        <v>199483</v>
      </c>
      <c r="B2540" s="75" t="s">
        <v>232</v>
      </c>
      <c r="C2540" s="75" t="s">
        <v>1416</v>
      </c>
      <c r="D2540" s="76">
        <v>46094</v>
      </c>
      <c r="E2540" s="75" t="s">
        <v>347</v>
      </c>
      <c r="F2540" s="74">
        <v>293.45999999999998</v>
      </c>
      <c r="G2540" s="75" t="s">
        <v>583</v>
      </c>
      <c r="H2540" s="77" t="str">
        <f>VLOOKUP(DESPESAS[[#This Row],[Plano de Contas]],BASE!$B$3:$D$119,3,FALSE)</f>
        <v>Multas de Trânsito</v>
      </c>
      <c r="I2540" s="77" t="str">
        <f>IFERROR(VLOOKUP(DESPESAS[[#This Row],[Fornecedor]],Tabela2[],2,FALSE),"")</f>
        <v/>
      </c>
      <c r="J2540" s="77" t="str">
        <f>IFERROR(VLOOKUP(DESPESAS[[#This Row],[Plano de Contas]],BASE!$B$3:$F$119,4,FALSE),"")</f>
        <v>6 - DESPESA COM VENDAS</v>
      </c>
      <c r="K2540" s="77" t="str">
        <f>IFERROR(VLOOKUP(DESPESAS[[#This Row],[Plano de Contas]],BASE!$B$3:$H$119,5,FALSE),"")</f>
        <v>LOGÍSTICA</v>
      </c>
      <c r="L2540" s="77">
        <f>IFERROR(VLOOKUP(DESPESAS[[#This Row],[Plano de Contas]],BASE!$B$3:$H$119,6,FALSE),"")</f>
        <v>0</v>
      </c>
      <c r="M2540" s="77" t="str">
        <f>VLOOKUP(DESPESAS[[#This Row],[Plano de Contas]],BASE!$B$3:$H$119,7,FALSE)</f>
        <v>MYLENA</v>
      </c>
    </row>
    <row r="2541" spans="1:13" x14ac:dyDescent="0.25">
      <c r="A2541" s="74">
        <v>199484</v>
      </c>
      <c r="B2541" s="75" t="s">
        <v>232</v>
      </c>
      <c r="C2541" s="75" t="s">
        <v>1415</v>
      </c>
      <c r="D2541" s="76">
        <v>46094</v>
      </c>
      <c r="E2541" s="75" t="s">
        <v>347</v>
      </c>
      <c r="F2541" s="74">
        <v>156.18</v>
      </c>
      <c r="G2541" s="75" t="s">
        <v>583</v>
      </c>
      <c r="H2541" s="77" t="str">
        <f>VLOOKUP(DESPESAS[[#This Row],[Plano de Contas]],BASE!$B$3:$D$119,3,FALSE)</f>
        <v>Multas de Trânsito</v>
      </c>
      <c r="I2541" s="77" t="str">
        <f>IFERROR(VLOOKUP(DESPESAS[[#This Row],[Fornecedor]],Tabela2[],2,FALSE),"")</f>
        <v/>
      </c>
      <c r="J2541" s="77" t="str">
        <f>IFERROR(VLOOKUP(DESPESAS[[#This Row],[Plano de Contas]],BASE!$B$3:$F$119,4,FALSE),"")</f>
        <v>6 - DESPESA COM VENDAS</v>
      </c>
      <c r="K2541" s="77" t="str">
        <f>IFERROR(VLOOKUP(DESPESAS[[#This Row],[Plano de Contas]],BASE!$B$3:$H$119,5,FALSE),"")</f>
        <v>LOGÍSTICA</v>
      </c>
      <c r="L2541" s="77">
        <f>IFERROR(VLOOKUP(DESPESAS[[#This Row],[Plano de Contas]],BASE!$B$3:$H$119,6,FALSE),"")</f>
        <v>0</v>
      </c>
      <c r="M2541" s="77" t="str">
        <f>VLOOKUP(DESPESAS[[#This Row],[Plano de Contas]],BASE!$B$3:$H$119,7,FALSE)</f>
        <v>MYLENA</v>
      </c>
    </row>
    <row r="2542" spans="1:13" x14ac:dyDescent="0.25">
      <c r="A2542" s="74">
        <v>199485</v>
      </c>
      <c r="B2542" s="75" t="s">
        <v>221</v>
      </c>
      <c r="C2542" s="75" t="s">
        <v>1414</v>
      </c>
      <c r="D2542" s="76">
        <v>46094</v>
      </c>
      <c r="E2542" s="75" t="s">
        <v>570</v>
      </c>
      <c r="F2542" s="74">
        <v>10000</v>
      </c>
      <c r="G2542" s="75" t="s">
        <v>365</v>
      </c>
      <c r="H2542" s="77" t="str">
        <f>VLOOKUP(DESPESAS[[#This Row],[Plano de Contas]],BASE!$B$3:$D$119,3,FALSE)</f>
        <v>Pró-Labore</v>
      </c>
      <c r="I2542" s="77" t="str">
        <f>IFERROR(VLOOKUP(DESPESAS[[#This Row],[Fornecedor]],Tabela2[],2,FALSE),"")</f>
        <v/>
      </c>
      <c r="J2542" s="77" t="str">
        <f>IFERROR(VLOOKUP(DESPESAS[[#This Row],[Plano de Contas]],BASE!$B$3:$F$119,4,FALSE),"")</f>
        <v>4 - GASTOS COM PESSOAL</v>
      </c>
      <c r="K2542" s="77" t="str">
        <f>IFERROR(VLOOKUP(DESPESAS[[#This Row],[Plano de Contas]],BASE!$B$3:$H$119,5,FALSE),"")</f>
        <v>DIRETORIA</v>
      </c>
      <c r="L2542" s="77">
        <f>IFERROR(VLOOKUP(DESPESAS[[#This Row],[Plano de Contas]],BASE!$B$3:$H$119,6,FALSE),"")</f>
        <v>0</v>
      </c>
      <c r="M2542" s="77" t="str">
        <f>VLOOKUP(DESPESAS[[#This Row],[Plano de Contas]],BASE!$B$3:$H$119,7,FALSE)</f>
        <v>FÁBIO</v>
      </c>
    </row>
    <row r="2543" spans="1:13" x14ac:dyDescent="0.25">
      <c r="A2543" s="74">
        <v>199488</v>
      </c>
      <c r="B2543" s="75" t="s">
        <v>279</v>
      </c>
      <c r="C2543" s="75" t="s">
        <v>1414</v>
      </c>
      <c r="D2543" s="76">
        <v>46094</v>
      </c>
      <c r="E2543" s="75" t="s">
        <v>368</v>
      </c>
      <c r="F2543" s="74">
        <v>2900</v>
      </c>
      <c r="G2543" s="75" t="s">
        <v>365</v>
      </c>
      <c r="H2543" s="77" t="str">
        <f>VLOOKUP(DESPESAS[[#This Row],[Plano de Contas]],BASE!$B$3:$D$119,3,FALSE)</f>
        <v>Pró-Labore</v>
      </c>
      <c r="I2543" s="77" t="str">
        <f>IFERROR(VLOOKUP(DESPESAS[[#This Row],[Fornecedor]],Tabela2[],2,FALSE),"")</f>
        <v/>
      </c>
      <c r="J2543" s="77" t="str">
        <f>IFERROR(VLOOKUP(DESPESAS[[#This Row],[Plano de Contas]],BASE!$B$3:$F$119,4,FALSE),"")</f>
        <v>4 - GASTOS COM PESSOAL</v>
      </c>
      <c r="K2543" s="77" t="str">
        <f>IFERROR(VLOOKUP(DESPESAS[[#This Row],[Plano de Contas]],BASE!$B$3:$H$119,5,FALSE),"")</f>
        <v>DIRETORIA</v>
      </c>
      <c r="L2543" s="77">
        <f>IFERROR(VLOOKUP(DESPESAS[[#This Row],[Plano de Contas]],BASE!$B$3:$H$119,6,FALSE),"")</f>
        <v>0</v>
      </c>
      <c r="M2543" s="77" t="str">
        <f>VLOOKUP(DESPESAS[[#This Row],[Plano de Contas]],BASE!$B$3:$H$119,7,FALSE)</f>
        <v>FÁBIO</v>
      </c>
    </row>
    <row r="2544" spans="1:13" x14ac:dyDescent="0.25">
      <c r="A2544" s="74">
        <v>199489</v>
      </c>
      <c r="B2544" s="75" t="s">
        <v>221</v>
      </c>
      <c r="C2544" s="75" t="s">
        <v>1414</v>
      </c>
      <c r="D2544" s="76">
        <v>46094</v>
      </c>
      <c r="E2544" s="75" t="s">
        <v>366</v>
      </c>
      <c r="F2544" s="74">
        <v>10000</v>
      </c>
      <c r="G2544" s="75" t="s">
        <v>365</v>
      </c>
      <c r="H2544" s="77" t="str">
        <f>VLOOKUP(DESPESAS[[#This Row],[Plano de Contas]],BASE!$B$3:$D$119,3,FALSE)</f>
        <v>Pró-Labore</v>
      </c>
      <c r="I2544" s="77" t="str">
        <f>IFERROR(VLOOKUP(DESPESAS[[#This Row],[Fornecedor]],Tabela2[],2,FALSE),"")</f>
        <v/>
      </c>
      <c r="J2544" s="77" t="str">
        <f>IFERROR(VLOOKUP(DESPESAS[[#This Row],[Plano de Contas]],BASE!$B$3:$F$119,4,FALSE),"")</f>
        <v>4 - GASTOS COM PESSOAL</v>
      </c>
      <c r="K2544" s="77" t="str">
        <f>IFERROR(VLOOKUP(DESPESAS[[#This Row],[Plano de Contas]],BASE!$B$3:$H$119,5,FALSE),"")</f>
        <v>DIRETORIA</v>
      </c>
      <c r="L2544" s="77">
        <f>IFERROR(VLOOKUP(DESPESAS[[#This Row],[Plano de Contas]],BASE!$B$3:$H$119,6,FALSE),"")</f>
        <v>0</v>
      </c>
      <c r="M2544" s="77" t="str">
        <f>VLOOKUP(DESPESAS[[#This Row],[Plano de Contas]],BASE!$B$3:$H$119,7,FALSE)</f>
        <v>FÁBIO</v>
      </c>
    </row>
    <row r="2545" spans="1:13" x14ac:dyDescent="0.25">
      <c r="A2545" s="74">
        <v>199490</v>
      </c>
      <c r="B2545" s="75" t="s">
        <v>232</v>
      </c>
      <c r="C2545" s="75" t="s">
        <v>1413</v>
      </c>
      <c r="D2545" s="76">
        <v>46097</v>
      </c>
      <c r="E2545" s="75" t="s">
        <v>1372</v>
      </c>
      <c r="F2545" s="74">
        <v>220</v>
      </c>
      <c r="G2545" s="75" t="s">
        <v>247</v>
      </c>
      <c r="H2545" s="77" t="str">
        <f>VLOOKUP(DESPESAS[[#This Row],[Plano de Contas]],BASE!$B$3:$D$119,3,FALSE)</f>
        <v>Manutenção com veiculos</v>
      </c>
      <c r="I2545" s="77" t="str">
        <f>IFERROR(VLOOKUP(DESPESAS[[#This Row],[Fornecedor]],Tabela2[],2,FALSE),"")</f>
        <v/>
      </c>
      <c r="J2545" s="77" t="str">
        <f>IFERROR(VLOOKUP(DESPESAS[[#This Row],[Plano de Contas]],BASE!$B$3:$F$119,4,FALSE),"")</f>
        <v>6 - DESPESA COM VENDAS</v>
      </c>
      <c r="K2545" s="77" t="str">
        <f>IFERROR(VLOOKUP(DESPESAS[[#This Row],[Plano de Contas]],BASE!$B$3:$H$119,5,FALSE),"")</f>
        <v>LOGÍSTICA</v>
      </c>
      <c r="L2545" s="77">
        <f>IFERROR(VLOOKUP(DESPESAS[[#This Row],[Plano de Contas]],BASE!$B$3:$H$119,6,FALSE),"")</f>
        <v>0</v>
      </c>
      <c r="M2545" s="77" t="str">
        <f>VLOOKUP(DESPESAS[[#This Row],[Plano de Contas]],BASE!$B$3:$H$119,7,FALSE)</f>
        <v>MYLENA</v>
      </c>
    </row>
    <row r="2546" spans="1:13" x14ac:dyDescent="0.25">
      <c r="A2546" s="74">
        <v>199491</v>
      </c>
      <c r="B2546" s="75" t="s">
        <v>221</v>
      </c>
      <c r="C2546" s="75" t="s">
        <v>1412</v>
      </c>
      <c r="D2546" s="76">
        <v>46097</v>
      </c>
      <c r="E2546" s="75" t="s">
        <v>287</v>
      </c>
      <c r="F2546" s="74">
        <v>800</v>
      </c>
      <c r="G2546" s="75" t="s">
        <v>247</v>
      </c>
      <c r="H2546" s="77" t="str">
        <f>VLOOKUP(DESPESAS[[#This Row],[Plano de Contas]],BASE!$B$3:$D$119,3,FALSE)</f>
        <v>Manutenção com veiculos</v>
      </c>
      <c r="I2546" s="77" t="str">
        <f>IFERROR(VLOOKUP(DESPESAS[[#This Row],[Fornecedor]],Tabela2[],2,FALSE),"")</f>
        <v/>
      </c>
      <c r="J2546" s="77" t="str">
        <f>IFERROR(VLOOKUP(DESPESAS[[#This Row],[Plano de Contas]],BASE!$B$3:$F$119,4,FALSE),"")</f>
        <v>6 - DESPESA COM VENDAS</v>
      </c>
      <c r="K2546" s="77" t="str">
        <f>IFERROR(VLOOKUP(DESPESAS[[#This Row],[Plano de Contas]],BASE!$B$3:$H$119,5,FALSE),"")</f>
        <v>LOGÍSTICA</v>
      </c>
      <c r="L2546" s="77">
        <f>IFERROR(VLOOKUP(DESPESAS[[#This Row],[Plano de Contas]],BASE!$B$3:$H$119,6,FALSE),"")</f>
        <v>0</v>
      </c>
      <c r="M2546" s="77" t="str">
        <f>VLOOKUP(DESPESAS[[#This Row],[Plano de Contas]],BASE!$B$3:$H$119,7,FALSE)</f>
        <v>MYLENA</v>
      </c>
    </row>
    <row r="2547" spans="1:13" x14ac:dyDescent="0.25">
      <c r="A2547" s="74">
        <v>199492</v>
      </c>
      <c r="B2547" s="75" t="s">
        <v>221</v>
      </c>
      <c r="C2547" s="75" t="s">
        <v>1411</v>
      </c>
      <c r="D2547" s="76">
        <v>46097</v>
      </c>
      <c r="E2547" s="75" t="s">
        <v>338</v>
      </c>
      <c r="F2547" s="74">
        <v>35</v>
      </c>
      <c r="G2547" s="75" t="s">
        <v>337</v>
      </c>
      <c r="H2547" s="77" t="str">
        <f>VLOOKUP(DESPESAS[[#This Row],[Plano de Contas]],BASE!$B$3:$D$119,3,FALSE)</f>
        <v>Vigilancia e Seguranca</v>
      </c>
      <c r="I2547" s="77" t="str">
        <f>IFERROR(VLOOKUP(DESPESAS[[#This Row],[Fornecedor]],Tabela2[],2,FALSE),"")</f>
        <v/>
      </c>
      <c r="J2547" s="77" t="str">
        <f>IFERROR(VLOOKUP(DESPESAS[[#This Row],[Plano de Contas]],BASE!$B$3:$F$119,4,FALSE),"")</f>
        <v>7 - SERVIÇOS DE TERCEIROS</v>
      </c>
      <c r="K2547" s="77" t="str">
        <f>IFERROR(VLOOKUP(DESPESAS[[#This Row],[Plano de Contas]],BASE!$B$3:$H$119,5,FALSE),"")</f>
        <v>FINANCEIRO</v>
      </c>
      <c r="L2547" s="77">
        <f>IFERROR(VLOOKUP(DESPESAS[[#This Row],[Plano de Contas]],BASE!$B$3:$H$119,6,FALSE),"")</f>
        <v>0</v>
      </c>
      <c r="M2547" s="77" t="str">
        <f>VLOOKUP(DESPESAS[[#This Row],[Plano de Contas]],BASE!$B$3:$H$119,7,FALSE)</f>
        <v>LETÍCIA</v>
      </c>
    </row>
    <row r="2548" spans="1:13" x14ac:dyDescent="0.25">
      <c r="A2548" s="74">
        <v>199493</v>
      </c>
      <c r="B2548" s="75" t="s">
        <v>232</v>
      </c>
      <c r="C2548" s="75" t="s">
        <v>1410</v>
      </c>
      <c r="D2548" s="76">
        <v>46094</v>
      </c>
      <c r="E2548" s="75" t="s">
        <v>230</v>
      </c>
      <c r="F2548" s="74">
        <v>5.53</v>
      </c>
      <c r="G2548" s="75" t="s">
        <v>229</v>
      </c>
      <c r="H2548" s="77" t="str">
        <f>VLOOKUP(DESPESAS[[#This Row],[Plano de Contas]],BASE!$B$3:$D$119,3,FALSE)</f>
        <v>Despesas Bancarias</v>
      </c>
      <c r="I2548" s="77" t="str">
        <f>IFERROR(VLOOKUP(DESPESAS[[#This Row],[Fornecedor]],Tabela2[],2,FALSE),"")</f>
        <v/>
      </c>
      <c r="J2548" s="77" t="str">
        <f>IFERROR(VLOOKUP(DESPESAS[[#This Row],[Plano de Contas]],BASE!$B$3:$F$119,4,FALSE),"")</f>
        <v>8 - DESPESAS FINANCEIRAS</v>
      </c>
      <c r="K2548" s="77" t="str">
        <f>IFERROR(VLOOKUP(DESPESAS[[#This Row],[Plano de Contas]],BASE!$B$3:$H$119,5,FALSE),"")</f>
        <v>FINANCEIRO</v>
      </c>
      <c r="L2548" s="77">
        <f>IFERROR(VLOOKUP(DESPESAS[[#This Row],[Plano de Contas]],BASE!$B$3:$H$119,6,FALSE),"")</f>
        <v>0</v>
      </c>
      <c r="M2548" s="77" t="str">
        <f>VLOOKUP(DESPESAS[[#This Row],[Plano de Contas]],BASE!$B$3:$H$119,7,FALSE)</f>
        <v>LETÍCIA</v>
      </c>
    </row>
    <row r="2549" spans="1:13" x14ac:dyDescent="0.25">
      <c r="A2549" s="74">
        <v>199494</v>
      </c>
      <c r="B2549" s="75" t="s">
        <v>232</v>
      </c>
      <c r="C2549" s="75" t="s">
        <v>1409</v>
      </c>
      <c r="D2549" s="76">
        <v>46097</v>
      </c>
      <c r="E2549" s="75" t="s">
        <v>230</v>
      </c>
      <c r="F2549" s="74">
        <v>1.1599999999999999</v>
      </c>
      <c r="G2549" s="75" t="s">
        <v>229</v>
      </c>
      <c r="H2549" s="77" t="str">
        <f>VLOOKUP(DESPESAS[[#This Row],[Plano de Contas]],BASE!$B$3:$D$119,3,FALSE)</f>
        <v>Despesas Bancarias</v>
      </c>
      <c r="I2549" s="77" t="str">
        <f>IFERROR(VLOOKUP(DESPESAS[[#This Row],[Fornecedor]],Tabela2[],2,FALSE),"")</f>
        <v/>
      </c>
      <c r="J2549" s="77" t="str">
        <f>IFERROR(VLOOKUP(DESPESAS[[#This Row],[Plano de Contas]],BASE!$B$3:$F$119,4,FALSE),"")</f>
        <v>8 - DESPESAS FINANCEIRAS</v>
      </c>
      <c r="K2549" s="77" t="str">
        <f>IFERROR(VLOOKUP(DESPESAS[[#This Row],[Plano de Contas]],BASE!$B$3:$H$119,5,FALSE),"")</f>
        <v>FINANCEIRO</v>
      </c>
      <c r="L2549" s="77">
        <f>IFERROR(VLOOKUP(DESPESAS[[#This Row],[Plano de Contas]],BASE!$B$3:$H$119,6,FALSE),"")</f>
        <v>0</v>
      </c>
      <c r="M2549" s="77" t="str">
        <f>VLOOKUP(DESPESAS[[#This Row],[Plano de Contas]],BASE!$B$3:$H$119,7,FALSE)</f>
        <v>LETÍCIA</v>
      </c>
    </row>
    <row r="2550" spans="1:13" x14ac:dyDescent="0.25">
      <c r="A2550" s="74">
        <v>199495</v>
      </c>
      <c r="B2550" s="75" t="s">
        <v>232</v>
      </c>
      <c r="C2550" s="75" t="s">
        <v>1408</v>
      </c>
      <c r="D2550" s="76">
        <v>46097</v>
      </c>
      <c r="E2550" s="75" t="s">
        <v>1407</v>
      </c>
      <c r="F2550" s="74">
        <v>1814.6</v>
      </c>
      <c r="G2550" s="75" t="s">
        <v>1318</v>
      </c>
      <c r="H2550" s="77" t="str">
        <f>VLOOKUP(DESPESAS[[#This Row],[Plano de Contas]],BASE!$B$3:$D$119,3,FALSE)</f>
        <v>Feiras e Eventos</v>
      </c>
      <c r="I2550" s="77" t="str">
        <f>IFERROR(VLOOKUP(DESPESAS[[#This Row],[Fornecedor]],Tabela2[],2,FALSE),"")</f>
        <v/>
      </c>
      <c r="J2550" s="77" t="str">
        <f>IFERROR(VLOOKUP(DESPESAS[[#This Row],[Plano de Contas]],BASE!$B$3:$F$119,4,FALSE),"")</f>
        <v>6 - DESPESA COM VENDAS</v>
      </c>
      <c r="K2550" s="77" t="str">
        <f>IFERROR(VLOOKUP(DESPESAS[[#This Row],[Plano de Contas]],BASE!$B$3:$H$119,5,FALSE),"")</f>
        <v>COMERCIAL</v>
      </c>
      <c r="L2550" s="77">
        <f>IFERROR(VLOOKUP(DESPESAS[[#This Row],[Plano de Contas]],BASE!$B$3:$H$119,6,FALSE),"")</f>
        <v>0</v>
      </c>
      <c r="M2550" s="77" t="str">
        <f>VLOOKUP(DESPESAS[[#This Row],[Plano de Contas]],BASE!$B$3:$H$119,7,FALSE)</f>
        <v>THAIS</v>
      </c>
    </row>
    <row r="2551" spans="1:13" x14ac:dyDescent="0.25">
      <c r="A2551" s="74">
        <v>199496</v>
      </c>
      <c r="B2551" s="75" t="s">
        <v>232</v>
      </c>
      <c r="C2551" s="75" t="s">
        <v>1406</v>
      </c>
      <c r="D2551" s="76">
        <v>46097</v>
      </c>
      <c r="E2551" s="75" t="s">
        <v>230</v>
      </c>
      <c r="F2551" s="74">
        <v>454.96</v>
      </c>
      <c r="G2551" s="75" t="s">
        <v>546</v>
      </c>
      <c r="H2551" s="77" t="str">
        <f>VLOOKUP(DESPESAS[[#This Row],[Plano de Contas]],BASE!$B$3:$D$119,3,FALSE)</f>
        <v>Seguro de Vida MOD</v>
      </c>
      <c r="I2551" s="77" t="str">
        <f>IFERROR(VLOOKUP(DESPESAS[[#This Row],[Fornecedor]],Tabela2[],2,FALSE),"")</f>
        <v/>
      </c>
      <c r="J2551" s="77" t="str">
        <f>IFERROR(VLOOKUP(DESPESAS[[#This Row],[Plano de Contas]],BASE!$B$3:$F$119,4,FALSE),"")</f>
        <v>2 - CUSTOS DIRETOS</v>
      </c>
      <c r="K2551" s="77" t="str">
        <f>IFERROR(VLOOKUP(DESPESAS[[#This Row],[Plano de Contas]],BASE!$B$3:$H$119,5,FALSE),"")</f>
        <v>DH</v>
      </c>
      <c r="L2551" s="77" t="str">
        <f>IFERROR(VLOOKUP(DESPESAS[[#This Row],[Plano de Contas]],BASE!$B$3:$H$119,6,FALSE),"")</f>
        <v>CUSTO MÃO DE OBRA DIRETA</v>
      </c>
      <c r="M2551" s="77" t="str">
        <f>VLOOKUP(DESPESAS[[#This Row],[Plano de Contas]],BASE!$B$3:$H$119,7,FALSE)</f>
        <v>RAFAEL</v>
      </c>
    </row>
    <row r="2552" spans="1:13" x14ac:dyDescent="0.25">
      <c r="A2552" s="74">
        <v>199497</v>
      </c>
      <c r="B2552" s="75" t="s">
        <v>232</v>
      </c>
      <c r="C2552" s="75" t="s">
        <v>1405</v>
      </c>
      <c r="D2552" s="76">
        <v>46097</v>
      </c>
      <c r="E2552" s="75" t="s">
        <v>230</v>
      </c>
      <c r="F2552" s="74">
        <v>189.57</v>
      </c>
      <c r="G2552" s="75" t="s">
        <v>542</v>
      </c>
      <c r="H2552" s="77" t="str">
        <f>VLOOKUP(DESPESAS[[#This Row],[Plano de Contas]],BASE!$B$3:$D$119,3,FALSE)</f>
        <v>Seguro de Vida (Adm)</v>
      </c>
      <c r="I2552" s="77" t="str">
        <f>IFERROR(VLOOKUP(DESPESAS[[#This Row],[Fornecedor]],Tabela2[],2,FALSE),"")</f>
        <v/>
      </c>
      <c r="J2552" s="77" t="str">
        <f>IFERROR(VLOOKUP(DESPESAS[[#This Row],[Plano de Contas]],BASE!$B$3:$F$119,4,FALSE),"")</f>
        <v>4 - GASTOS COM PESSOAL</v>
      </c>
      <c r="K2552" s="77" t="str">
        <f>IFERROR(VLOOKUP(DESPESAS[[#This Row],[Plano de Contas]],BASE!$B$3:$H$119,5,FALSE),"")</f>
        <v>DH</v>
      </c>
      <c r="L2552" s="77">
        <f>IFERROR(VLOOKUP(DESPESAS[[#This Row],[Plano de Contas]],BASE!$B$3:$H$119,6,FALSE),"")</f>
        <v>0</v>
      </c>
      <c r="M2552" s="77" t="str">
        <f>VLOOKUP(DESPESAS[[#This Row],[Plano de Contas]],BASE!$B$3:$H$119,7,FALSE)</f>
        <v>RAFAEL</v>
      </c>
    </row>
    <row r="2553" spans="1:13" x14ac:dyDescent="0.25">
      <c r="A2553" s="74">
        <v>199498</v>
      </c>
      <c r="B2553" s="75" t="s">
        <v>232</v>
      </c>
      <c r="C2553" s="75" t="s">
        <v>1404</v>
      </c>
      <c r="D2553" s="76">
        <v>46097</v>
      </c>
      <c r="E2553" s="75" t="s">
        <v>230</v>
      </c>
      <c r="F2553" s="74">
        <v>94.78</v>
      </c>
      <c r="G2553" s="75" t="s">
        <v>544</v>
      </c>
      <c r="H2553" s="77" t="str">
        <f>VLOOKUP(DESPESAS[[#This Row],[Plano de Contas]],BASE!$B$3:$D$119,3,FALSE)</f>
        <v>Seguro de Vida CIF</v>
      </c>
      <c r="I2553" s="77" t="str">
        <f>IFERROR(VLOOKUP(DESPESAS[[#This Row],[Fornecedor]],Tabela2[],2,FALSE),"")</f>
        <v/>
      </c>
      <c r="J2553" s="77" t="str">
        <f>IFERROR(VLOOKUP(DESPESAS[[#This Row],[Plano de Contas]],BASE!$B$3:$F$119,4,FALSE),"")</f>
        <v>3 - CUSTOS INDIRETOS</v>
      </c>
      <c r="K2553" s="77" t="str">
        <f>IFERROR(VLOOKUP(DESPESAS[[#This Row],[Plano de Contas]],BASE!$B$3:$H$119,5,FALSE),"")</f>
        <v>DH</v>
      </c>
      <c r="L2553" s="77" t="str">
        <f>IFERROR(VLOOKUP(DESPESAS[[#This Row],[Plano de Contas]],BASE!$B$3:$H$119,6,FALSE),"")</f>
        <v>CUSTO MÃO DE OBRA DIRETA</v>
      </c>
      <c r="M2553" s="77" t="str">
        <f>VLOOKUP(DESPESAS[[#This Row],[Plano de Contas]],BASE!$B$3:$H$119,7,FALSE)</f>
        <v>RAFAEL</v>
      </c>
    </row>
    <row r="2554" spans="1:13" x14ac:dyDescent="0.25">
      <c r="A2554" s="74">
        <v>199500</v>
      </c>
      <c r="B2554" s="75" t="s">
        <v>281</v>
      </c>
      <c r="C2554" s="75" t="s">
        <v>1400</v>
      </c>
      <c r="D2554" s="76">
        <v>46094</v>
      </c>
      <c r="E2554" s="75" t="s">
        <v>230</v>
      </c>
      <c r="F2554" s="74">
        <v>1.58</v>
      </c>
      <c r="G2554" s="75" t="s">
        <v>229</v>
      </c>
      <c r="H2554" s="77" t="str">
        <f>VLOOKUP(DESPESAS[[#This Row],[Plano de Contas]],BASE!$B$3:$D$119,3,FALSE)</f>
        <v>Despesas Bancarias</v>
      </c>
      <c r="I2554" s="77" t="str">
        <f>IFERROR(VLOOKUP(DESPESAS[[#This Row],[Fornecedor]],Tabela2[],2,FALSE),"")</f>
        <v/>
      </c>
      <c r="J2554" s="77" t="str">
        <f>IFERROR(VLOOKUP(DESPESAS[[#This Row],[Plano de Contas]],BASE!$B$3:$F$119,4,FALSE),"")</f>
        <v>8 - DESPESAS FINANCEIRAS</v>
      </c>
      <c r="K2554" s="77" t="str">
        <f>IFERROR(VLOOKUP(DESPESAS[[#This Row],[Plano de Contas]],BASE!$B$3:$H$119,5,FALSE),"")</f>
        <v>FINANCEIRO</v>
      </c>
      <c r="L2554" s="77">
        <f>IFERROR(VLOOKUP(DESPESAS[[#This Row],[Plano de Contas]],BASE!$B$3:$H$119,6,FALSE),"")</f>
        <v>0</v>
      </c>
      <c r="M2554" s="77" t="str">
        <f>VLOOKUP(DESPESAS[[#This Row],[Plano de Contas]],BASE!$B$3:$H$119,7,FALSE)</f>
        <v>LETÍCIA</v>
      </c>
    </row>
    <row r="2555" spans="1:13" x14ac:dyDescent="0.25">
      <c r="A2555" s="74">
        <v>199501</v>
      </c>
      <c r="B2555" s="75" t="s">
        <v>281</v>
      </c>
      <c r="C2555" s="75" t="s">
        <v>1403</v>
      </c>
      <c r="D2555" s="76">
        <v>46097</v>
      </c>
      <c r="E2555" s="75" t="s">
        <v>230</v>
      </c>
      <c r="F2555" s="74">
        <v>62.36</v>
      </c>
      <c r="G2555" s="75" t="s">
        <v>542</v>
      </c>
      <c r="H2555" s="77" t="str">
        <f>VLOOKUP(DESPESAS[[#This Row],[Plano de Contas]],BASE!$B$3:$D$119,3,FALSE)</f>
        <v>Seguro de Vida (Adm)</v>
      </c>
      <c r="I2555" s="77" t="str">
        <f>IFERROR(VLOOKUP(DESPESAS[[#This Row],[Fornecedor]],Tabela2[],2,FALSE),"")</f>
        <v/>
      </c>
      <c r="J2555" s="77" t="str">
        <f>IFERROR(VLOOKUP(DESPESAS[[#This Row],[Plano de Contas]],BASE!$B$3:$F$119,4,FALSE),"")</f>
        <v>4 - GASTOS COM PESSOAL</v>
      </c>
      <c r="K2555" s="77" t="str">
        <f>IFERROR(VLOOKUP(DESPESAS[[#This Row],[Plano de Contas]],BASE!$B$3:$H$119,5,FALSE),"")</f>
        <v>DH</v>
      </c>
      <c r="L2555" s="77">
        <f>IFERROR(VLOOKUP(DESPESAS[[#This Row],[Plano de Contas]],BASE!$B$3:$H$119,6,FALSE),"")</f>
        <v>0</v>
      </c>
      <c r="M2555" s="77" t="str">
        <f>VLOOKUP(DESPESAS[[#This Row],[Plano de Contas]],BASE!$B$3:$H$119,7,FALSE)</f>
        <v>RAFAEL</v>
      </c>
    </row>
    <row r="2556" spans="1:13" x14ac:dyDescent="0.25">
      <c r="A2556" s="74">
        <v>199502</v>
      </c>
      <c r="B2556" s="75" t="s">
        <v>281</v>
      </c>
      <c r="C2556" s="75" t="s">
        <v>1402</v>
      </c>
      <c r="D2556" s="76">
        <v>46097</v>
      </c>
      <c r="E2556" s="75" t="s">
        <v>230</v>
      </c>
      <c r="F2556" s="74">
        <v>62.36</v>
      </c>
      <c r="G2556" s="75" t="s">
        <v>544</v>
      </c>
      <c r="H2556" s="77" t="str">
        <f>VLOOKUP(DESPESAS[[#This Row],[Plano de Contas]],BASE!$B$3:$D$119,3,FALSE)</f>
        <v>Seguro de Vida CIF</v>
      </c>
      <c r="I2556" s="77" t="str">
        <f>IFERROR(VLOOKUP(DESPESAS[[#This Row],[Fornecedor]],Tabela2[],2,FALSE),"")</f>
        <v/>
      </c>
      <c r="J2556" s="77" t="str">
        <f>IFERROR(VLOOKUP(DESPESAS[[#This Row],[Plano de Contas]],BASE!$B$3:$F$119,4,FALSE),"")</f>
        <v>3 - CUSTOS INDIRETOS</v>
      </c>
      <c r="K2556" s="77" t="str">
        <f>IFERROR(VLOOKUP(DESPESAS[[#This Row],[Plano de Contas]],BASE!$B$3:$H$119,5,FALSE),"")</f>
        <v>DH</v>
      </c>
      <c r="L2556" s="77" t="str">
        <f>IFERROR(VLOOKUP(DESPESAS[[#This Row],[Plano de Contas]],BASE!$B$3:$H$119,6,FALSE),"")</f>
        <v>CUSTO MÃO DE OBRA DIRETA</v>
      </c>
      <c r="M2556" s="77" t="str">
        <f>VLOOKUP(DESPESAS[[#This Row],[Plano de Contas]],BASE!$B$3:$H$119,7,FALSE)</f>
        <v>RAFAEL</v>
      </c>
    </row>
    <row r="2557" spans="1:13" x14ac:dyDescent="0.25">
      <c r="A2557" s="74">
        <v>199503</v>
      </c>
      <c r="B2557" s="75" t="s">
        <v>281</v>
      </c>
      <c r="C2557" s="75" t="s">
        <v>1401</v>
      </c>
      <c r="D2557" s="76">
        <v>46097</v>
      </c>
      <c r="E2557" s="75" t="s">
        <v>230</v>
      </c>
      <c r="F2557" s="74">
        <v>405.32</v>
      </c>
      <c r="G2557" s="75" t="s">
        <v>546</v>
      </c>
      <c r="H2557" s="77" t="str">
        <f>VLOOKUP(DESPESAS[[#This Row],[Plano de Contas]],BASE!$B$3:$D$119,3,FALSE)</f>
        <v>Seguro de Vida MOD</v>
      </c>
      <c r="I2557" s="77" t="str">
        <f>IFERROR(VLOOKUP(DESPESAS[[#This Row],[Fornecedor]],Tabela2[],2,FALSE),"")</f>
        <v/>
      </c>
      <c r="J2557" s="77" t="str">
        <f>IFERROR(VLOOKUP(DESPESAS[[#This Row],[Plano de Contas]],BASE!$B$3:$F$119,4,FALSE),"")</f>
        <v>2 - CUSTOS DIRETOS</v>
      </c>
      <c r="K2557" s="77" t="str">
        <f>IFERROR(VLOOKUP(DESPESAS[[#This Row],[Plano de Contas]],BASE!$B$3:$H$119,5,FALSE),"")</f>
        <v>DH</v>
      </c>
      <c r="L2557" s="77" t="str">
        <f>IFERROR(VLOOKUP(DESPESAS[[#This Row],[Plano de Contas]],BASE!$B$3:$H$119,6,FALSE),"")</f>
        <v>CUSTO MÃO DE OBRA DIRETA</v>
      </c>
      <c r="M2557" s="77" t="str">
        <f>VLOOKUP(DESPESAS[[#This Row],[Plano de Contas]],BASE!$B$3:$H$119,7,FALSE)</f>
        <v>RAFAEL</v>
      </c>
    </row>
    <row r="2558" spans="1:13" x14ac:dyDescent="0.25">
      <c r="A2558" s="74">
        <v>199504</v>
      </c>
      <c r="B2558" s="75" t="s">
        <v>279</v>
      </c>
      <c r="C2558" s="75" t="s">
        <v>1400</v>
      </c>
      <c r="D2558" s="76">
        <v>46094</v>
      </c>
      <c r="E2558" s="75" t="s">
        <v>230</v>
      </c>
      <c r="F2558" s="74">
        <v>1.58</v>
      </c>
      <c r="G2558" s="75" t="s">
        <v>229</v>
      </c>
      <c r="H2558" s="77" t="str">
        <f>VLOOKUP(DESPESAS[[#This Row],[Plano de Contas]],BASE!$B$3:$D$119,3,FALSE)</f>
        <v>Despesas Bancarias</v>
      </c>
      <c r="I2558" s="77" t="str">
        <f>IFERROR(VLOOKUP(DESPESAS[[#This Row],[Fornecedor]],Tabela2[],2,FALSE),"")</f>
        <v/>
      </c>
      <c r="J2558" s="77" t="str">
        <f>IFERROR(VLOOKUP(DESPESAS[[#This Row],[Plano de Contas]],BASE!$B$3:$F$119,4,FALSE),"")</f>
        <v>8 - DESPESAS FINANCEIRAS</v>
      </c>
      <c r="K2558" s="77" t="str">
        <f>IFERROR(VLOOKUP(DESPESAS[[#This Row],[Plano de Contas]],BASE!$B$3:$H$119,5,FALSE),"")</f>
        <v>FINANCEIRO</v>
      </c>
      <c r="L2558" s="77">
        <f>IFERROR(VLOOKUP(DESPESAS[[#This Row],[Plano de Contas]],BASE!$B$3:$H$119,6,FALSE),"")</f>
        <v>0</v>
      </c>
      <c r="M2558" s="77" t="str">
        <f>VLOOKUP(DESPESAS[[#This Row],[Plano de Contas]],BASE!$B$3:$H$119,7,FALSE)</f>
        <v>LETÍCIA</v>
      </c>
    </row>
    <row r="2559" spans="1:13" x14ac:dyDescent="0.25">
      <c r="A2559" s="74">
        <v>199505</v>
      </c>
      <c r="B2559" s="75" t="s">
        <v>279</v>
      </c>
      <c r="C2559" s="75" t="s">
        <v>1399</v>
      </c>
      <c r="D2559" s="76">
        <v>46097</v>
      </c>
      <c r="E2559" s="75" t="s">
        <v>230</v>
      </c>
      <c r="F2559" s="74">
        <v>344.69</v>
      </c>
      <c r="G2559" s="75" t="s">
        <v>542</v>
      </c>
      <c r="H2559" s="77" t="str">
        <f>VLOOKUP(DESPESAS[[#This Row],[Plano de Contas]],BASE!$B$3:$D$119,3,FALSE)</f>
        <v>Seguro de Vida (Adm)</v>
      </c>
      <c r="I2559" s="77" t="str">
        <f>IFERROR(VLOOKUP(DESPESAS[[#This Row],[Fornecedor]],Tabela2[],2,FALSE),"")</f>
        <v/>
      </c>
      <c r="J2559" s="77" t="str">
        <f>IFERROR(VLOOKUP(DESPESAS[[#This Row],[Plano de Contas]],BASE!$B$3:$F$119,4,FALSE),"")</f>
        <v>4 - GASTOS COM PESSOAL</v>
      </c>
      <c r="K2559" s="77" t="str">
        <f>IFERROR(VLOOKUP(DESPESAS[[#This Row],[Plano de Contas]],BASE!$B$3:$H$119,5,FALSE),"")</f>
        <v>DH</v>
      </c>
      <c r="L2559" s="77">
        <f>IFERROR(VLOOKUP(DESPESAS[[#This Row],[Plano de Contas]],BASE!$B$3:$H$119,6,FALSE),"")</f>
        <v>0</v>
      </c>
      <c r="M2559" s="77" t="str">
        <f>VLOOKUP(DESPESAS[[#This Row],[Plano de Contas]],BASE!$B$3:$H$119,7,FALSE)</f>
        <v>RAFAEL</v>
      </c>
    </row>
    <row r="2560" spans="1:13" x14ac:dyDescent="0.25">
      <c r="A2560" s="74">
        <v>199506</v>
      </c>
      <c r="B2560" s="75" t="s">
        <v>279</v>
      </c>
      <c r="C2560" s="75" t="s">
        <v>1398</v>
      </c>
      <c r="D2560" s="76">
        <v>46097</v>
      </c>
      <c r="E2560" s="75" t="s">
        <v>230</v>
      </c>
      <c r="F2560" s="74">
        <v>114.9</v>
      </c>
      <c r="G2560" s="75" t="s">
        <v>544</v>
      </c>
      <c r="H2560" s="77" t="str">
        <f>VLOOKUP(DESPESAS[[#This Row],[Plano de Contas]],BASE!$B$3:$D$119,3,FALSE)</f>
        <v>Seguro de Vida CIF</v>
      </c>
      <c r="I2560" s="77" t="str">
        <f>IFERROR(VLOOKUP(DESPESAS[[#This Row],[Fornecedor]],Tabela2[],2,FALSE),"")</f>
        <v/>
      </c>
      <c r="J2560" s="77" t="str">
        <f>IFERROR(VLOOKUP(DESPESAS[[#This Row],[Plano de Contas]],BASE!$B$3:$F$119,4,FALSE),"")</f>
        <v>3 - CUSTOS INDIRETOS</v>
      </c>
      <c r="K2560" s="77" t="str">
        <f>IFERROR(VLOOKUP(DESPESAS[[#This Row],[Plano de Contas]],BASE!$B$3:$H$119,5,FALSE),"")</f>
        <v>DH</v>
      </c>
      <c r="L2560" s="77" t="str">
        <f>IFERROR(VLOOKUP(DESPESAS[[#This Row],[Plano de Contas]],BASE!$B$3:$H$119,6,FALSE),"")</f>
        <v>CUSTO MÃO DE OBRA DIRETA</v>
      </c>
      <c r="M2560" s="77" t="str">
        <f>VLOOKUP(DESPESAS[[#This Row],[Plano de Contas]],BASE!$B$3:$H$119,7,FALSE)</f>
        <v>RAFAEL</v>
      </c>
    </row>
    <row r="2561" spans="1:13" x14ac:dyDescent="0.25">
      <c r="A2561" s="74">
        <v>199507</v>
      </c>
      <c r="B2561" s="75" t="s">
        <v>279</v>
      </c>
      <c r="C2561" s="75" t="s">
        <v>165</v>
      </c>
      <c r="D2561" s="76">
        <v>46097</v>
      </c>
      <c r="E2561" s="75" t="s">
        <v>230</v>
      </c>
      <c r="F2561" s="74">
        <v>1120.25</v>
      </c>
      <c r="G2561" s="75" t="s">
        <v>546</v>
      </c>
      <c r="H2561" s="77" t="str">
        <f>VLOOKUP(DESPESAS[[#This Row],[Plano de Contas]],BASE!$B$3:$D$119,3,FALSE)</f>
        <v>Seguro de Vida MOD</v>
      </c>
      <c r="I2561" s="77" t="str">
        <f>IFERROR(VLOOKUP(DESPESAS[[#This Row],[Fornecedor]],Tabela2[],2,FALSE),"")</f>
        <v/>
      </c>
      <c r="J2561" s="77" t="str">
        <f>IFERROR(VLOOKUP(DESPESAS[[#This Row],[Plano de Contas]],BASE!$B$3:$F$119,4,FALSE),"")</f>
        <v>2 - CUSTOS DIRETOS</v>
      </c>
      <c r="K2561" s="77" t="str">
        <f>IFERROR(VLOOKUP(DESPESAS[[#This Row],[Plano de Contas]],BASE!$B$3:$H$119,5,FALSE),"")</f>
        <v>DH</v>
      </c>
      <c r="L2561" s="77" t="str">
        <f>IFERROR(VLOOKUP(DESPESAS[[#This Row],[Plano de Contas]],BASE!$B$3:$H$119,6,FALSE),"")</f>
        <v>CUSTO MÃO DE OBRA DIRETA</v>
      </c>
      <c r="M2561" s="77" t="str">
        <f>VLOOKUP(DESPESAS[[#This Row],[Plano de Contas]],BASE!$B$3:$H$119,7,FALSE)</f>
        <v>RAFAEL</v>
      </c>
    </row>
    <row r="2562" spans="1:13" x14ac:dyDescent="0.25">
      <c r="A2562" s="74">
        <v>199508</v>
      </c>
      <c r="B2562" s="75" t="s">
        <v>232</v>
      </c>
      <c r="C2562" s="75" t="s">
        <v>1397</v>
      </c>
      <c r="D2562" s="76">
        <v>46097</v>
      </c>
      <c r="E2562" s="75" t="s">
        <v>327</v>
      </c>
      <c r="F2562" s="74">
        <v>299.58</v>
      </c>
      <c r="G2562" s="75" t="s">
        <v>326</v>
      </c>
      <c r="H2562" s="77" t="str">
        <f>VLOOKUP(DESPESAS[[#This Row],[Plano de Contas]],BASE!$B$3:$D$119,3,FALSE)</f>
        <v>Frete sobre Compras</v>
      </c>
      <c r="I2562" s="77" t="str">
        <f>IFERROR(VLOOKUP(DESPESAS[[#This Row],[Fornecedor]],Tabela2[],2,FALSE),"")</f>
        <v>SERVIÇOS FRETE</v>
      </c>
      <c r="J2562" s="77" t="str">
        <f>IFERROR(VLOOKUP(DESPESAS[[#This Row],[Plano de Contas]],BASE!$B$3:$F$119,4,FALSE),"")</f>
        <v>1 - CPV</v>
      </c>
      <c r="K2562" s="77" t="str">
        <f>IFERROR(VLOOKUP(DESPESAS[[#This Row],[Plano de Contas]],BASE!$B$3:$H$119,5,FALSE),"")</f>
        <v>COMPRAS</v>
      </c>
      <c r="L2562" s="77">
        <f>IFERROR(VLOOKUP(DESPESAS[[#This Row],[Plano de Contas]],BASE!$B$3:$H$119,6,FALSE),"")</f>
        <v>0</v>
      </c>
      <c r="M2562" s="77" t="str">
        <f>VLOOKUP(DESPESAS[[#This Row],[Plano de Contas]],BASE!$B$3:$H$119,7,FALSE)</f>
        <v>MYLENA</v>
      </c>
    </row>
    <row r="2563" spans="1:13" x14ac:dyDescent="0.25">
      <c r="A2563" s="74">
        <v>199509</v>
      </c>
      <c r="B2563" s="75" t="s">
        <v>232</v>
      </c>
      <c r="C2563" s="75" t="s">
        <v>1396</v>
      </c>
      <c r="D2563" s="76">
        <v>46097</v>
      </c>
      <c r="E2563" s="75" t="s">
        <v>327</v>
      </c>
      <c r="F2563" s="74">
        <v>404.51</v>
      </c>
      <c r="G2563" s="75" t="s">
        <v>326</v>
      </c>
      <c r="H2563" s="77" t="str">
        <f>VLOOKUP(DESPESAS[[#This Row],[Plano de Contas]],BASE!$B$3:$D$119,3,FALSE)</f>
        <v>Frete sobre Compras</v>
      </c>
      <c r="I2563" s="77" t="str">
        <f>IFERROR(VLOOKUP(DESPESAS[[#This Row],[Fornecedor]],Tabela2[],2,FALSE),"")</f>
        <v>SERVIÇOS FRETE</v>
      </c>
      <c r="J2563" s="77" t="str">
        <f>IFERROR(VLOOKUP(DESPESAS[[#This Row],[Plano de Contas]],BASE!$B$3:$F$119,4,FALSE),"")</f>
        <v>1 - CPV</v>
      </c>
      <c r="K2563" s="77" t="str">
        <f>IFERROR(VLOOKUP(DESPESAS[[#This Row],[Plano de Contas]],BASE!$B$3:$H$119,5,FALSE),"")</f>
        <v>COMPRAS</v>
      </c>
      <c r="L2563" s="77">
        <f>IFERROR(VLOOKUP(DESPESAS[[#This Row],[Plano de Contas]],BASE!$B$3:$H$119,6,FALSE),"")</f>
        <v>0</v>
      </c>
      <c r="M2563" s="77" t="str">
        <f>VLOOKUP(DESPESAS[[#This Row],[Plano de Contas]],BASE!$B$3:$H$119,7,FALSE)</f>
        <v>MYLENA</v>
      </c>
    </row>
    <row r="2564" spans="1:13" x14ac:dyDescent="0.25">
      <c r="A2564" s="74">
        <v>199510</v>
      </c>
      <c r="B2564" s="75" t="s">
        <v>221</v>
      </c>
      <c r="C2564" s="75" t="s">
        <v>1395</v>
      </c>
      <c r="D2564" s="76">
        <v>46094</v>
      </c>
      <c r="E2564" s="75" t="s">
        <v>1394</v>
      </c>
      <c r="F2564" s="74">
        <v>0.95</v>
      </c>
      <c r="G2564" s="75" t="s">
        <v>229</v>
      </c>
      <c r="H2564" s="77" t="str">
        <f>VLOOKUP(DESPESAS[[#This Row],[Plano de Contas]],BASE!$B$3:$D$119,3,FALSE)</f>
        <v>Despesas Bancarias</v>
      </c>
      <c r="I2564" s="77" t="str">
        <f>IFERROR(VLOOKUP(DESPESAS[[#This Row],[Fornecedor]],Tabela2[],2,FALSE),"")</f>
        <v/>
      </c>
      <c r="J2564" s="77" t="str">
        <f>IFERROR(VLOOKUP(DESPESAS[[#This Row],[Plano de Contas]],BASE!$B$3:$F$119,4,FALSE),"")</f>
        <v>8 - DESPESAS FINANCEIRAS</v>
      </c>
      <c r="K2564" s="77" t="str">
        <f>IFERROR(VLOOKUP(DESPESAS[[#This Row],[Plano de Contas]],BASE!$B$3:$H$119,5,FALSE),"")</f>
        <v>FINANCEIRO</v>
      </c>
      <c r="L2564" s="77">
        <f>IFERROR(VLOOKUP(DESPESAS[[#This Row],[Plano de Contas]],BASE!$B$3:$H$119,6,FALSE),"")</f>
        <v>0</v>
      </c>
      <c r="M2564" s="77" t="str">
        <f>VLOOKUP(DESPESAS[[#This Row],[Plano de Contas]],BASE!$B$3:$H$119,7,FALSE)</f>
        <v>LETÍCIA</v>
      </c>
    </row>
    <row r="2565" spans="1:13" x14ac:dyDescent="0.25">
      <c r="A2565" s="74">
        <v>199512</v>
      </c>
      <c r="B2565" s="75" t="s">
        <v>232</v>
      </c>
      <c r="C2565" s="75" t="s">
        <v>1393</v>
      </c>
      <c r="D2565" s="76">
        <v>46097</v>
      </c>
      <c r="E2565" s="75" t="s">
        <v>589</v>
      </c>
      <c r="F2565" s="74">
        <v>2740</v>
      </c>
      <c r="G2565" s="75" t="s">
        <v>588</v>
      </c>
      <c r="H2565" s="77" t="str">
        <f>VLOOKUP(DESPESAS[[#This Row],[Plano de Contas]],BASE!$B$3:$D$119,3,FALSE)</f>
        <v>Maquinas e Equipamentos</v>
      </c>
      <c r="I2565" s="77" t="str">
        <f>IFERROR(VLOOKUP(DESPESAS[[#This Row],[Fornecedor]],Tabela2[],2,FALSE),"")</f>
        <v>COMPRESSORES</v>
      </c>
      <c r="J2565" s="77" t="str">
        <f>IFERROR(VLOOKUP(DESPESAS[[#This Row],[Plano de Contas]],BASE!$B$3:$F$119,4,FALSE),"")</f>
        <v>9 - INVESTIMENTOS</v>
      </c>
      <c r="K2565" s="77" t="str">
        <f>IFERROR(VLOOKUP(DESPESAS[[#This Row],[Plano de Contas]],BASE!$B$3:$H$119,5,FALSE),"")</f>
        <v>MANUTENÇÃO / TI</v>
      </c>
      <c r="L2565" s="77">
        <f>IFERROR(VLOOKUP(DESPESAS[[#This Row],[Plano de Contas]],BASE!$B$3:$H$119,6,FALSE),"")</f>
        <v>0</v>
      </c>
      <c r="M2565" s="77" t="str">
        <f>VLOOKUP(DESPESAS[[#This Row],[Plano de Contas]],BASE!$B$3:$H$119,7,FALSE)</f>
        <v>RAFAEL</v>
      </c>
    </row>
    <row r="2566" spans="1:13" x14ac:dyDescent="0.25">
      <c r="A2566" s="74">
        <v>199513</v>
      </c>
      <c r="B2566" s="75" t="s">
        <v>221</v>
      </c>
      <c r="C2566" s="75" t="s">
        <v>1392</v>
      </c>
      <c r="D2566" s="76">
        <v>46097</v>
      </c>
      <c r="E2566" s="75" t="s">
        <v>219</v>
      </c>
      <c r="F2566" s="74">
        <v>300</v>
      </c>
      <c r="G2566" s="75" t="s">
        <v>218</v>
      </c>
      <c r="H2566" s="77" t="str">
        <f>VLOOKUP(DESPESAS[[#This Row],[Plano de Contas]],BASE!$B$3:$D$119,3,FALSE)</f>
        <v>Manutenção de Equipamentos (Prod)</v>
      </c>
      <c r="I2566" s="77" t="str">
        <f>IFERROR(VLOOKUP(DESPESAS[[#This Row],[Fornecedor]],Tabela2[],2,FALSE),"")</f>
        <v>MAQUINAS DE COSTURA</v>
      </c>
      <c r="J2566" s="77" t="str">
        <f>IFERROR(VLOOKUP(DESPESAS[[#This Row],[Plano de Contas]],BASE!$B$3:$F$119,4,FALSE),"")</f>
        <v>3 - CUSTOS INDIRETOS</v>
      </c>
      <c r="K2566" s="77" t="str">
        <f>IFERROR(VLOOKUP(DESPESAS[[#This Row],[Plano de Contas]],BASE!$B$3:$H$119,5,FALSE),"")</f>
        <v>MANUTENÇÃO / TI</v>
      </c>
      <c r="L2566" s="77">
        <f>IFERROR(VLOOKUP(DESPESAS[[#This Row],[Plano de Contas]],BASE!$B$3:$H$119,6,FALSE),"")</f>
        <v>0</v>
      </c>
      <c r="M2566" s="77" t="str">
        <f>VLOOKUP(DESPESAS[[#This Row],[Plano de Contas]],BASE!$B$3:$H$119,7,FALSE)</f>
        <v>RAFAEL</v>
      </c>
    </row>
    <row r="2567" spans="1:13" x14ac:dyDescent="0.25">
      <c r="A2567" s="74">
        <v>199514</v>
      </c>
      <c r="B2567" s="75" t="s">
        <v>232</v>
      </c>
      <c r="C2567" s="75" t="s">
        <v>1391</v>
      </c>
      <c r="D2567" s="76">
        <v>46097</v>
      </c>
      <c r="E2567" s="75" t="s">
        <v>260</v>
      </c>
      <c r="F2567" s="74">
        <v>528</v>
      </c>
      <c r="G2567" s="75" t="s">
        <v>244</v>
      </c>
      <c r="H2567" s="77" t="str">
        <f>VLOOKUP(DESPESAS[[#This Row],[Plano de Contas]],BASE!$B$3:$D$119,3,FALSE)</f>
        <v>Material de Expediente (Prod)</v>
      </c>
      <c r="I2567" s="77" t="str">
        <f>IFERROR(VLOOKUP(DESPESAS[[#This Row],[Fornecedor]],Tabela2[],2,FALSE),"")</f>
        <v>PEÇAS DE FERRAMENTAS</v>
      </c>
      <c r="J2567" s="77" t="str">
        <f>IFERROR(VLOOKUP(DESPESAS[[#This Row],[Plano de Contas]],BASE!$B$3:$F$119,4,FALSE),"")</f>
        <v>2 - CUSTOS DIRETOS</v>
      </c>
      <c r="K2567" s="77" t="str">
        <f>IFERROR(VLOOKUP(DESPESAS[[#This Row],[Plano de Contas]],BASE!$B$3:$H$119,5,FALSE),"")</f>
        <v>PRODUÇÃO</v>
      </c>
      <c r="L2567" s="77">
        <f>IFERROR(VLOOKUP(DESPESAS[[#This Row],[Plano de Contas]],BASE!$B$3:$H$119,6,FALSE),"")</f>
        <v>0</v>
      </c>
      <c r="M2567" s="77" t="str">
        <f>VLOOKUP(DESPESAS[[#This Row],[Plano de Contas]],BASE!$B$3:$H$119,7,FALSE)</f>
        <v>RAFAEL</v>
      </c>
    </row>
    <row r="2568" spans="1:13" x14ac:dyDescent="0.25">
      <c r="A2568" s="74">
        <v>199515</v>
      </c>
      <c r="B2568" s="75" t="s">
        <v>232</v>
      </c>
      <c r="C2568" s="75" t="s">
        <v>1390</v>
      </c>
      <c r="D2568" s="76">
        <v>46097</v>
      </c>
      <c r="E2568" s="75" t="s">
        <v>1389</v>
      </c>
      <c r="F2568" s="74">
        <v>335</v>
      </c>
      <c r="G2568" s="75" t="s">
        <v>1388</v>
      </c>
      <c r="H2568" s="77" t="str">
        <f>VLOOKUP(DESPESAS[[#This Row],[Plano de Contas]],BASE!$B$3:$D$119,3,FALSE)</f>
        <v>Fretes</v>
      </c>
      <c r="I2568" s="77" t="str">
        <f>IFERROR(VLOOKUP(DESPESAS[[#This Row],[Fornecedor]],Tabela2[],2,FALSE),"")</f>
        <v/>
      </c>
      <c r="J2568" s="77" t="str">
        <f>IFERROR(VLOOKUP(DESPESAS[[#This Row],[Plano de Contas]],BASE!$B$3:$F$119,4,FALSE),"")</f>
        <v>6 - DESPESA COM VENDAS</v>
      </c>
      <c r="K2568" s="77" t="str">
        <f>IFERROR(VLOOKUP(DESPESAS[[#This Row],[Plano de Contas]],BASE!$B$3:$H$119,5,FALSE),"")</f>
        <v>LOGÍSTICA</v>
      </c>
      <c r="L2568" s="77">
        <f>IFERROR(VLOOKUP(DESPESAS[[#This Row],[Plano de Contas]],BASE!$B$3:$H$119,6,FALSE),"")</f>
        <v>0</v>
      </c>
      <c r="M2568" s="77" t="str">
        <f>VLOOKUP(DESPESAS[[#This Row],[Plano de Contas]],BASE!$B$3:$H$119,7,FALSE)</f>
        <v>MYLENA</v>
      </c>
    </row>
    <row r="2569" spans="1:13" x14ac:dyDescent="0.25">
      <c r="A2569" s="74">
        <v>199516</v>
      </c>
      <c r="B2569" s="75" t="s">
        <v>221</v>
      </c>
      <c r="C2569" s="75" t="s">
        <v>1387</v>
      </c>
      <c r="D2569" s="76">
        <v>46097</v>
      </c>
      <c r="E2569" s="75" t="s">
        <v>375</v>
      </c>
      <c r="F2569" s="74">
        <v>283.54000000000002</v>
      </c>
      <c r="G2569" s="75" t="s">
        <v>374</v>
      </c>
      <c r="H2569" s="77" t="str">
        <f>VLOOKUP(DESPESAS[[#This Row],[Plano de Contas]],BASE!$B$3:$D$119,3,FALSE)</f>
        <v>Consultoria Empresarial</v>
      </c>
      <c r="I2569" s="77" t="str">
        <f>IFERROR(VLOOKUP(DESPESAS[[#This Row],[Fornecedor]],Tabela2[],2,FALSE),"")</f>
        <v/>
      </c>
      <c r="J2569" s="77" t="str">
        <f>IFERROR(VLOOKUP(DESPESAS[[#This Row],[Plano de Contas]],BASE!$B$3:$F$119,4,FALSE),"")</f>
        <v>7 - SERVIÇOS DE TERCEIROS</v>
      </c>
      <c r="K2569" s="77" t="str">
        <f>IFERROR(VLOOKUP(DESPESAS[[#This Row],[Plano de Contas]],BASE!$B$3:$H$119,5,FALSE),"")</f>
        <v>FINANCEIRO</v>
      </c>
      <c r="L2569" s="77">
        <f>IFERROR(VLOOKUP(DESPESAS[[#This Row],[Plano de Contas]],BASE!$B$3:$H$119,6,FALSE),"")</f>
        <v>0</v>
      </c>
      <c r="M2569" s="77" t="str">
        <f>VLOOKUP(DESPESAS[[#This Row],[Plano de Contas]],BASE!$B$3:$H$119,7,FALSE)</f>
        <v>LETÍCIA</v>
      </c>
    </row>
    <row r="2570" spans="1:13" x14ac:dyDescent="0.25">
      <c r="A2570" s="74">
        <v>199517</v>
      </c>
      <c r="B2570" s="75" t="s">
        <v>221</v>
      </c>
      <c r="C2570" s="75" t="s">
        <v>1386</v>
      </c>
      <c r="D2570" s="76">
        <v>46067</v>
      </c>
      <c r="E2570" s="75" t="s">
        <v>1262</v>
      </c>
      <c r="F2570" s="74">
        <v>2969.6</v>
      </c>
      <c r="G2570" s="75" t="s">
        <v>241</v>
      </c>
      <c r="H2570" s="77" t="str">
        <f>VLOOKUP(DESPESAS[[#This Row],[Plano de Contas]],BASE!$B$3:$D$119,3,FALSE)</f>
        <v>Combustiveis Frota</v>
      </c>
      <c r="I2570" s="77" t="str">
        <f>IFERROR(VLOOKUP(DESPESAS[[#This Row],[Fornecedor]],Tabela2[],2,FALSE),"")</f>
        <v/>
      </c>
      <c r="J2570" s="77" t="str">
        <f>IFERROR(VLOOKUP(DESPESAS[[#This Row],[Plano de Contas]],BASE!$B$3:$F$119,4,FALSE),"")</f>
        <v>6 - DESPESA COM VENDAS</v>
      </c>
      <c r="K2570" s="77" t="str">
        <f>IFERROR(VLOOKUP(DESPESAS[[#This Row],[Plano de Contas]],BASE!$B$3:$H$119,5,FALSE),"")</f>
        <v>LOGÍSTICA</v>
      </c>
      <c r="L2570" s="77">
        <f>IFERROR(VLOOKUP(DESPESAS[[#This Row],[Plano de Contas]],BASE!$B$3:$H$119,6,FALSE),"")</f>
        <v>0</v>
      </c>
      <c r="M2570" s="77" t="str">
        <f>VLOOKUP(DESPESAS[[#This Row],[Plano de Contas]],BASE!$B$3:$H$119,7,FALSE)</f>
        <v>MYLENA</v>
      </c>
    </row>
    <row r="2571" spans="1:13" x14ac:dyDescent="0.25">
      <c r="A2571" s="74">
        <v>199518</v>
      </c>
      <c r="B2571" s="75" t="s">
        <v>232</v>
      </c>
      <c r="C2571" s="75" t="s">
        <v>1385</v>
      </c>
      <c r="D2571" s="76">
        <v>46097</v>
      </c>
      <c r="E2571" s="75" t="s">
        <v>471</v>
      </c>
      <c r="F2571" s="74">
        <v>278</v>
      </c>
      <c r="G2571" s="75" t="s">
        <v>244</v>
      </c>
      <c r="H2571" s="77" t="str">
        <f>VLOOKUP(DESPESAS[[#This Row],[Plano de Contas]],BASE!$B$3:$D$119,3,FALSE)</f>
        <v>Material de Expediente (Prod)</v>
      </c>
      <c r="I2571" s="77" t="str">
        <f>IFERROR(VLOOKUP(DESPESAS[[#This Row],[Fornecedor]],Tabela2[],2,FALSE),"")</f>
        <v/>
      </c>
      <c r="J2571" s="77" t="str">
        <f>IFERROR(VLOOKUP(DESPESAS[[#This Row],[Plano de Contas]],BASE!$B$3:$F$119,4,FALSE),"")</f>
        <v>2 - CUSTOS DIRETOS</v>
      </c>
      <c r="K2571" s="77" t="str">
        <f>IFERROR(VLOOKUP(DESPESAS[[#This Row],[Plano de Contas]],BASE!$B$3:$H$119,5,FALSE),"")</f>
        <v>PRODUÇÃO</v>
      </c>
      <c r="L2571" s="77">
        <f>IFERROR(VLOOKUP(DESPESAS[[#This Row],[Plano de Contas]],BASE!$B$3:$H$119,6,FALSE),"")</f>
        <v>0</v>
      </c>
      <c r="M2571" s="77" t="str">
        <f>VLOOKUP(DESPESAS[[#This Row],[Plano de Contas]],BASE!$B$3:$H$119,7,FALSE)</f>
        <v>RAFAEL</v>
      </c>
    </row>
    <row r="2572" spans="1:13" x14ac:dyDescent="0.25">
      <c r="A2572" s="74">
        <v>199519</v>
      </c>
      <c r="B2572" s="75" t="s">
        <v>232</v>
      </c>
      <c r="C2572" s="75" t="s">
        <v>1384</v>
      </c>
      <c r="D2572" s="76">
        <v>46097</v>
      </c>
      <c r="E2572" s="75" t="s">
        <v>471</v>
      </c>
      <c r="F2572" s="74">
        <v>1385</v>
      </c>
      <c r="G2572" s="75" t="s">
        <v>1285</v>
      </c>
      <c r="H2572" s="77" t="str">
        <f>VLOOKUP(DESPESAS[[#This Row],[Plano de Contas]],BASE!$B$3:$D$119,3,FALSE)</f>
        <v>Moveis e Utensilios</v>
      </c>
      <c r="I2572" s="77" t="str">
        <f>IFERROR(VLOOKUP(DESPESAS[[#This Row],[Fornecedor]],Tabela2[],2,FALSE),"")</f>
        <v/>
      </c>
      <c r="J2572" s="77" t="str">
        <f>IFERROR(VLOOKUP(DESPESAS[[#This Row],[Plano de Contas]],BASE!$B$3:$F$119,4,FALSE),"")</f>
        <v>9 - INVESTIMENTOS</v>
      </c>
      <c r="K2572" s="77" t="str">
        <f>IFERROR(VLOOKUP(DESPESAS[[#This Row],[Plano de Contas]],BASE!$B$3:$H$119,5,FALSE),"")</f>
        <v>ADMINISTRATIVO</v>
      </c>
      <c r="L2572" s="77">
        <f>IFERROR(VLOOKUP(DESPESAS[[#This Row],[Plano de Contas]],BASE!$B$3:$H$119,6,FALSE),"")</f>
        <v>0</v>
      </c>
      <c r="M2572" s="77" t="str">
        <f>VLOOKUP(DESPESAS[[#This Row],[Plano de Contas]],BASE!$B$3:$H$119,7,FALSE)</f>
        <v>RAFAEL</v>
      </c>
    </row>
    <row r="2573" spans="1:13" x14ac:dyDescent="0.25">
      <c r="A2573" s="74">
        <v>199521</v>
      </c>
      <c r="B2573" s="75" t="s">
        <v>232</v>
      </c>
      <c r="C2573" s="75" t="s">
        <v>1383</v>
      </c>
      <c r="D2573" s="76">
        <v>46098</v>
      </c>
      <c r="E2573" s="75" t="s">
        <v>230</v>
      </c>
      <c r="F2573" s="74">
        <v>0.62</v>
      </c>
      <c r="G2573" s="75" t="s">
        <v>229</v>
      </c>
      <c r="H2573" s="77" t="str">
        <f>VLOOKUP(DESPESAS[[#This Row],[Plano de Contas]],BASE!$B$3:$D$119,3,FALSE)</f>
        <v>Despesas Bancarias</v>
      </c>
      <c r="I2573" s="77" t="str">
        <f>IFERROR(VLOOKUP(DESPESAS[[#This Row],[Fornecedor]],Tabela2[],2,FALSE),"")</f>
        <v/>
      </c>
      <c r="J2573" s="77" t="str">
        <f>IFERROR(VLOOKUP(DESPESAS[[#This Row],[Plano de Contas]],BASE!$B$3:$F$119,4,FALSE),"")</f>
        <v>8 - DESPESAS FINANCEIRAS</v>
      </c>
      <c r="K2573" s="77" t="str">
        <f>IFERROR(VLOOKUP(DESPESAS[[#This Row],[Plano de Contas]],BASE!$B$3:$H$119,5,FALSE),"")</f>
        <v>FINANCEIRO</v>
      </c>
      <c r="L2573" s="77">
        <f>IFERROR(VLOOKUP(DESPESAS[[#This Row],[Plano de Contas]],BASE!$B$3:$H$119,6,FALSE),"")</f>
        <v>0</v>
      </c>
      <c r="M2573" s="77" t="str">
        <f>VLOOKUP(DESPESAS[[#This Row],[Plano de Contas]],BASE!$B$3:$H$119,7,FALSE)</f>
        <v>LETÍCIA</v>
      </c>
    </row>
    <row r="2574" spans="1:13" x14ac:dyDescent="0.25">
      <c r="A2574" s="74">
        <v>199523</v>
      </c>
      <c r="B2574" s="75" t="s">
        <v>232</v>
      </c>
      <c r="C2574" s="75" t="s">
        <v>1382</v>
      </c>
      <c r="D2574" s="76">
        <v>46097</v>
      </c>
      <c r="E2574" s="75" t="s">
        <v>230</v>
      </c>
      <c r="F2574" s="74">
        <v>18.96</v>
      </c>
      <c r="G2574" s="75" t="s">
        <v>236</v>
      </c>
      <c r="H2574" s="77" t="str">
        <f>VLOOKUP(DESPESAS[[#This Row],[Plano de Contas]],BASE!$B$3:$D$119,3,FALSE)</f>
        <v>Despesas de Cobranca</v>
      </c>
      <c r="I2574" s="77" t="str">
        <f>IFERROR(VLOOKUP(DESPESAS[[#This Row],[Fornecedor]],Tabela2[],2,FALSE),"")</f>
        <v/>
      </c>
      <c r="J2574" s="77" t="str">
        <f>IFERROR(VLOOKUP(DESPESAS[[#This Row],[Plano de Contas]],BASE!$B$3:$F$119,4,FALSE),"")</f>
        <v>8 - DESPESAS FINANCEIRAS</v>
      </c>
      <c r="K2574" s="77" t="str">
        <f>IFERROR(VLOOKUP(DESPESAS[[#This Row],[Plano de Contas]],BASE!$B$3:$H$119,5,FALSE),"")</f>
        <v>FINANCEIRO</v>
      </c>
      <c r="L2574" s="77">
        <f>IFERROR(VLOOKUP(DESPESAS[[#This Row],[Plano de Contas]],BASE!$B$3:$H$119,6,FALSE),"")</f>
        <v>0</v>
      </c>
      <c r="M2574" s="77" t="str">
        <f>VLOOKUP(DESPESAS[[#This Row],[Plano de Contas]],BASE!$B$3:$H$119,7,FALSE)</f>
        <v>LETÍCIA</v>
      </c>
    </row>
    <row r="2575" spans="1:13" x14ac:dyDescent="0.25">
      <c r="A2575" s="74">
        <v>199524</v>
      </c>
      <c r="B2575" s="75" t="s">
        <v>281</v>
      </c>
      <c r="C2575" s="75" t="s">
        <v>1381</v>
      </c>
      <c r="D2575" s="76">
        <v>46097</v>
      </c>
      <c r="E2575" s="75" t="s">
        <v>230</v>
      </c>
      <c r="F2575" s="74">
        <v>3.16</v>
      </c>
      <c r="G2575" s="75" t="s">
        <v>236</v>
      </c>
      <c r="H2575" s="77" t="str">
        <f>VLOOKUP(DESPESAS[[#This Row],[Plano de Contas]],BASE!$B$3:$D$119,3,FALSE)</f>
        <v>Despesas de Cobranca</v>
      </c>
      <c r="I2575" s="77" t="str">
        <f>IFERROR(VLOOKUP(DESPESAS[[#This Row],[Fornecedor]],Tabela2[],2,FALSE),"")</f>
        <v/>
      </c>
      <c r="J2575" s="77" t="str">
        <f>IFERROR(VLOOKUP(DESPESAS[[#This Row],[Plano de Contas]],BASE!$B$3:$F$119,4,FALSE),"")</f>
        <v>8 - DESPESAS FINANCEIRAS</v>
      </c>
      <c r="K2575" s="77" t="str">
        <f>IFERROR(VLOOKUP(DESPESAS[[#This Row],[Plano de Contas]],BASE!$B$3:$H$119,5,FALSE),"")</f>
        <v>FINANCEIRO</v>
      </c>
      <c r="L2575" s="77">
        <f>IFERROR(VLOOKUP(DESPESAS[[#This Row],[Plano de Contas]],BASE!$B$3:$H$119,6,FALSE),"")</f>
        <v>0</v>
      </c>
      <c r="M2575" s="77" t="str">
        <f>VLOOKUP(DESPESAS[[#This Row],[Plano de Contas]],BASE!$B$3:$H$119,7,FALSE)</f>
        <v>LETÍCIA</v>
      </c>
    </row>
    <row r="2576" spans="1:13" x14ac:dyDescent="0.25">
      <c r="A2576" s="74">
        <v>199525</v>
      </c>
      <c r="B2576" s="75" t="s">
        <v>221</v>
      </c>
      <c r="C2576" s="75" t="s">
        <v>1380</v>
      </c>
      <c r="D2576" s="76">
        <v>46097</v>
      </c>
      <c r="E2576" s="75" t="s">
        <v>575</v>
      </c>
      <c r="F2576" s="74">
        <v>9.65</v>
      </c>
      <c r="G2576" s="75" t="s">
        <v>229</v>
      </c>
      <c r="H2576" s="77" t="str">
        <f>VLOOKUP(DESPESAS[[#This Row],[Plano de Contas]],BASE!$B$3:$D$119,3,FALSE)</f>
        <v>Despesas Bancarias</v>
      </c>
      <c r="I2576" s="77" t="str">
        <f>IFERROR(VLOOKUP(DESPESAS[[#This Row],[Fornecedor]],Tabela2[],2,FALSE),"")</f>
        <v/>
      </c>
      <c r="J2576" s="77" t="str">
        <f>IFERROR(VLOOKUP(DESPESAS[[#This Row],[Plano de Contas]],BASE!$B$3:$F$119,4,FALSE),"")</f>
        <v>8 - DESPESAS FINANCEIRAS</v>
      </c>
      <c r="K2576" s="77" t="str">
        <f>IFERROR(VLOOKUP(DESPESAS[[#This Row],[Plano de Contas]],BASE!$B$3:$H$119,5,FALSE),"")</f>
        <v>FINANCEIRO</v>
      </c>
      <c r="L2576" s="77">
        <f>IFERROR(VLOOKUP(DESPESAS[[#This Row],[Plano de Contas]],BASE!$B$3:$H$119,6,FALSE),"")</f>
        <v>0</v>
      </c>
      <c r="M2576" s="77" t="str">
        <f>VLOOKUP(DESPESAS[[#This Row],[Plano de Contas]],BASE!$B$3:$H$119,7,FALSE)</f>
        <v>LETÍCIA</v>
      </c>
    </row>
    <row r="2577" spans="1:13" x14ac:dyDescent="0.25">
      <c r="A2577" s="74">
        <v>199527</v>
      </c>
      <c r="B2577" s="75" t="s">
        <v>232</v>
      </c>
      <c r="C2577" s="75" t="s">
        <v>373</v>
      </c>
      <c r="D2577" s="76">
        <v>46098</v>
      </c>
      <c r="E2577" s="75" t="s">
        <v>1379</v>
      </c>
      <c r="F2577" s="74">
        <v>394.44</v>
      </c>
      <c r="G2577" s="75" t="s">
        <v>1378</v>
      </c>
      <c r="H2577" s="77" t="str">
        <f>VLOOKUP(DESPESAS[[#This Row],[Plano de Contas]],BASE!$B$3:$D$119,3,FALSE)</f>
        <v>Rescisões MOD</v>
      </c>
      <c r="I2577" s="77" t="str">
        <f>IFERROR(VLOOKUP(DESPESAS[[#This Row],[Fornecedor]],Tabela2[],2,FALSE),"")</f>
        <v/>
      </c>
      <c r="J2577" s="77" t="str">
        <f>IFERROR(VLOOKUP(DESPESAS[[#This Row],[Plano de Contas]],BASE!$B$3:$F$119,4,FALSE),"")</f>
        <v>2 - CUSTOS DIRETOS</v>
      </c>
      <c r="K2577" s="77" t="str">
        <f>IFERROR(VLOOKUP(DESPESAS[[#This Row],[Plano de Contas]],BASE!$B$3:$H$119,5,FALSE),"")</f>
        <v>DH</v>
      </c>
      <c r="L2577" s="77">
        <f>IFERROR(VLOOKUP(DESPESAS[[#This Row],[Plano de Contas]],BASE!$B$3:$H$119,6,FALSE),"")</f>
        <v>0</v>
      </c>
      <c r="M2577" s="77" t="str">
        <f>VLOOKUP(DESPESAS[[#This Row],[Plano de Contas]],BASE!$B$3:$H$119,7,FALSE)</f>
        <v>RAFAEL</v>
      </c>
    </row>
    <row r="2578" spans="1:13" x14ac:dyDescent="0.25">
      <c r="A2578" s="74">
        <v>199530</v>
      </c>
      <c r="B2578" s="75" t="s">
        <v>232</v>
      </c>
      <c r="C2578" s="75" t="s">
        <v>1377</v>
      </c>
      <c r="D2578" s="76">
        <v>46127</v>
      </c>
      <c r="E2578" s="75" t="s">
        <v>1376</v>
      </c>
      <c r="F2578" s="74">
        <v>10900</v>
      </c>
      <c r="G2578" s="75" t="s">
        <v>1318</v>
      </c>
      <c r="H2578" s="77" t="str">
        <f>VLOOKUP(DESPESAS[[#This Row],[Plano de Contas]],BASE!$B$3:$D$119,3,FALSE)</f>
        <v>Feiras e Eventos</v>
      </c>
      <c r="I2578" s="77" t="str">
        <f>IFERROR(VLOOKUP(DESPESAS[[#This Row],[Fornecedor]],Tabela2[],2,FALSE),"")</f>
        <v/>
      </c>
      <c r="J2578" s="77" t="str">
        <f>IFERROR(VLOOKUP(DESPESAS[[#This Row],[Plano de Contas]],BASE!$B$3:$F$119,4,FALSE),"")</f>
        <v>6 - DESPESA COM VENDAS</v>
      </c>
      <c r="K2578" s="77" t="str">
        <f>IFERROR(VLOOKUP(DESPESAS[[#This Row],[Plano de Contas]],BASE!$B$3:$H$119,5,FALSE),"")</f>
        <v>COMERCIAL</v>
      </c>
      <c r="L2578" s="77">
        <f>IFERROR(VLOOKUP(DESPESAS[[#This Row],[Plano de Contas]],BASE!$B$3:$H$119,6,FALSE),"")</f>
        <v>0</v>
      </c>
      <c r="M2578" s="77" t="str">
        <f>VLOOKUP(DESPESAS[[#This Row],[Plano de Contas]],BASE!$B$3:$H$119,7,FALSE)</f>
        <v>THAIS</v>
      </c>
    </row>
    <row r="2579" spans="1:13" x14ac:dyDescent="0.25">
      <c r="A2579" s="74">
        <v>199531</v>
      </c>
      <c r="B2579" s="75" t="s">
        <v>232</v>
      </c>
      <c r="C2579" s="75" t="s">
        <v>1377</v>
      </c>
      <c r="D2579" s="76">
        <v>46142</v>
      </c>
      <c r="E2579" s="75" t="s">
        <v>1376</v>
      </c>
      <c r="F2579" s="74">
        <v>10900</v>
      </c>
      <c r="G2579" s="75" t="s">
        <v>1318</v>
      </c>
      <c r="H2579" s="77" t="str">
        <f>VLOOKUP(DESPESAS[[#This Row],[Plano de Contas]],BASE!$B$3:$D$119,3,FALSE)</f>
        <v>Feiras e Eventos</v>
      </c>
      <c r="I2579" s="77" t="str">
        <f>IFERROR(VLOOKUP(DESPESAS[[#This Row],[Fornecedor]],Tabela2[],2,FALSE),"")</f>
        <v/>
      </c>
      <c r="J2579" s="77" t="str">
        <f>IFERROR(VLOOKUP(DESPESAS[[#This Row],[Plano de Contas]],BASE!$B$3:$F$119,4,FALSE),"")</f>
        <v>6 - DESPESA COM VENDAS</v>
      </c>
      <c r="K2579" s="77" t="str">
        <f>IFERROR(VLOOKUP(DESPESAS[[#This Row],[Plano de Contas]],BASE!$B$3:$H$119,5,FALSE),"")</f>
        <v>COMERCIAL</v>
      </c>
      <c r="L2579" s="77">
        <f>IFERROR(VLOOKUP(DESPESAS[[#This Row],[Plano de Contas]],BASE!$B$3:$H$119,6,FALSE),"")</f>
        <v>0</v>
      </c>
      <c r="M2579" s="77" t="str">
        <f>VLOOKUP(DESPESAS[[#This Row],[Plano de Contas]],BASE!$B$3:$H$119,7,FALSE)</f>
        <v>THAIS</v>
      </c>
    </row>
    <row r="2580" spans="1:13" x14ac:dyDescent="0.25">
      <c r="A2580" s="74">
        <v>199542</v>
      </c>
      <c r="B2580" s="75" t="s">
        <v>232</v>
      </c>
      <c r="C2580" s="75" t="s">
        <v>3762</v>
      </c>
      <c r="D2580" s="76">
        <v>46153</v>
      </c>
      <c r="E2580" s="75" t="s">
        <v>3763</v>
      </c>
      <c r="F2580" s="74">
        <v>1371.67</v>
      </c>
      <c r="G2580" s="75" t="s">
        <v>561</v>
      </c>
      <c r="H2580" s="77" t="str">
        <f>VLOOKUP(DESPESAS[[#This Row],[Plano de Contas]],BASE!$B$3:$D$119,3,FALSE)</f>
        <v>Sistemas de Informação</v>
      </c>
      <c r="I2580" s="77" t="str">
        <f>IFERROR(VLOOKUP(DESPESAS[[#This Row],[Fornecedor]],Tabela2[],2,FALSE),"")</f>
        <v/>
      </c>
      <c r="J2580" s="77" t="str">
        <f>IFERROR(VLOOKUP(DESPESAS[[#This Row],[Plano de Contas]],BASE!$B$3:$F$119,4,FALSE),"")</f>
        <v>7 - SERVIÇOS DE TERCEIROS</v>
      </c>
      <c r="K2580" s="77" t="str">
        <f>IFERROR(VLOOKUP(DESPESAS[[#This Row],[Plano de Contas]],BASE!$B$3:$H$119,5,FALSE),"")</f>
        <v>MANUTENÇÃO / TI</v>
      </c>
      <c r="L2580" s="77">
        <f>IFERROR(VLOOKUP(DESPESAS[[#This Row],[Plano de Contas]],BASE!$B$3:$H$119,6,FALSE),"")</f>
        <v>0</v>
      </c>
      <c r="M2580" s="77" t="str">
        <f>VLOOKUP(DESPESAS[[#This Row],[Plano de Contas]],BASE!$B$3:$H$119,7,FALSE)</f>
        <v>LETÍCIA</v>
      </c>
    </row>
    <row r="2581" spans="1:13" x14ac:dyDescent="0.25">
      <c r="A2581" s="74">
        <v>199566</v>
      </c>
      <c r="B2581" s="75" t="s">
        <v>232</v>
      </c>
      <c r="C2581" s="75" t="s">
        <v>1375</v>
      </c>
      <c r="D2581" s="76">
        <v>46098</v>
      </c>
      <c r="E2581" s="75" t="s">
        <v>589</v>
      </c>
      <c r="F2581" s="74">
        <v>205.6</v>
      </c>
      <c r="G2581" s="75" t="s">
        <v>247</v>
      </c>
      <c r="H2581" s="77" t="str">
        <f>VLOOKUP(DESPESAS[[#This Row],[Plano de Contas]],BASE!$B$3:$D$119,3,FALSE)</f>
        <v>Manutenção com veiculos</v>
      </c>
      <c r="I2581" s="77" t="str">
        <f>IFERROR(VLOOKUP(DESPESAS[[#This Row],[Fornecedor]],Tabela2[],2,FALSE),"")</f>
        <v>COMPRESSORES</v>
      </c>
      <c r="J2581" s="77" t="str">
        <f>IFERROR(VLOOKUP(DESPESAS[[#This Row],[Plano de Contas]],BASE!$B$3:$F$119,4,FALSE),"")</f>
        <v>6 - DESPESA COM VENDAS</v>
      </c>
      <c r="K2581" s="77" t="str">
        <f>IFERROR(VLOOKUP(DESPESAS[[#This Row],[Plano de Contas]],BASE!$B$3:$H$119,5,FALSE),"")</f>
        <v>LOGÍSTICA</v>
      </c>
      <c r="L2581" s="77">
        <f>IFERROR(VLOOKUP(DESPESAS[[#This Row],[Plano de Contas]],BASE!$B$3:$H$119,6,FALSE),"")</f>
        <v>0</v>
      </c>
      <c r="M2581" s="77" t="str">
        <f>VLOOKUP(DESPESAS[[#This Row],[Plano de Contas]],BASE!$B$3:$H$119,7,FALSE)</f>
        <v>MYLENA</v>
      </c>
    </row>
    <row r="2582" spans="1:13" x14ac:dyDescent="0.25">
      <c r="A2582" s="74">
        <v>199567</v>
      </c>
      <c r="B2582" s="75" t="s">
        <v>232</v>
      </c>
      <c r="C2582" s="75" t="s">
        <v>3764</v>
      </c>
      <c r="D2582" s="76">
        <v>46143</v>
      </c>
      <c r="E2582" s="75" t="s">
        <v>3763</v>
      </c>
      <c r="F2582" s="74">
        <v>123.65</v>
      </c>
      <c r="G2582" s="75" t="s">
        <v>561</v>
      </c>
      <c r="H2582" s="77" t="str">
        <f>VLOOKUP(DESPESAS[[#This Row],[Plano de Contas]],BASE!$B$3:$D$119,3,FALSE)</f>
        <v>Sistemas de Informação</v>
      </c>
      <c r="I2582" s="77" t="str">
        <f>IFERROR(VLOOKUP(DESPESAS[[#This Row],[Fornecedor]],Tabela2[],2,FALSE),"")</f>
        <v/>
      </c>
      <c r="J2582" s="77" t="str">
        <f>IFERROR(VLOOKUP(DESPESAS[[#This Row],[Plano de Contas]],BASE!$B$3:$F$119,4,FALSE),"")</f>
        <v>7 - SERVIÇOS DE TERCEIROS</v>
      </c>
      <c r="K2582" s="77" t="str">
        <f>IFERROR(VLOOKUP(DESPESAS[[#This Row],[Plano de Contas]],BASE!$B$3:$H$119,5,FALSE),"")</f>
        <v>MANUTENÇÃO / TI</v>
      </c>
      <c r="L2582" s="77">
        <f>IFERROR(VLOOKUP(DESPESAS[[#This Row],[Plano de Contas]],BASE!$B$3:$H$119,6,FALSE),"")</f>
        <v>0</v>
      </c>
      <c r="M2582" s="77" t="str">
        <f>VLOOKUP(DESPESAS[[#This Row],[Plano de Contas]],BASE!$B$3:$H$119,7,FALSE)</f>
        <v>LETÍCIA</v>
      </c>
    </row>
    <row r="2583" spans="1:13" x14ac:dyDescent="0.25">
      <c r="A2583" s="74">
        <v>199591</v>
      </c>
      <c r="B2583" s="75" t="s">
        <v>221</v>
      </c>
      <c r="C2583" s="75" t="s">
        <v>1374</v>
      </c>
      <c r="D2583" s="76">
        <v>46098</v>
      </c>
      <c r="E2583" s="75" t="s">
        <v>320</v>
      </c>
      <c r="F2583" s="74">
        <v>220</v>
      </c>
      <c r="G2583" s="75" t="s">
        <v>222</v>
      </c>
      <c r="H2583" s="77" t="str">
        <f>VLOOKUP(DESPESAS[[#This Row],[Plano de Contas]],BASE!$B$3:$D$119,3,FALSE)</f>
        <v>Alimentação</v>
      </c>
      <c r="I2583" s="77" t="str">
        <f>IFERROR(VLOOKUP(DESPESAS[[#This Row],[Fornecedor]],Tabela2[],2,FALSE),"")</f>
        <v/>
      </c>
      <c r="J2583" s="77" t="str">
        <f>IFERROR(VLOOKUP(DESPESAS[[#This Row],[Plano de Contas]],BASE!$B$3:$F$119,4,FALSE),"")</f>
        <v>5 - DESPESAS ADMINISTRATIVAS</v>
      </c>
      <c r="K2583" s="77" t="str">
        <f>IFERROR(VLOOKUP(DESPESAS[[#This Row],[Plano de Contas]],BASE!$B$3:$H$119,5,FALSE),"")</f>
        <v>FINANCEIRO</v>
      </c>
      <c r="L2583" s="77">
        <f>IFERROR(VLOOKUP(DESPESAS[[#This Row],[Plano de Contas]],BASE!$B$3:$H$119,6,FALSE),"")</f>
        <v>0</v>
      </c>
      <c r="M2583" s="77" t="str">
        <f>VLOOKUP(DESPESAS[[#This Row],[Plano de Contas]],BASE!$B$3:$H$119,7,FALSE)</f>
        <v>MYLENA</v>
      </c>
    </row>
    <row r="2584" spans="1:13" x14ac:dyDescent="0.25">
      <c r="A2584" s="74">
        <v>199592</v>
      </c>
      <c r="B2584" s="75" t="s">
        <v>232</v>
      </c>
      <c r="C2584" s="75" t="s">
        <v>1373</v>
      </c>
      <c r="D2584" s="76">
        <v>46098</v>
      </c>
      <c r="E2584" s="75" t="s">
        <v>1372</v>
      </c>
      <c r="F2584" s="74">
        <v>900</v>
      </c>
      <c r="G2584" s="75" t="s">
        <v>247</v>
      </c>
      <c r="H2584" s="77" t="str">
        <f>VLOOKUP(DESPESAS[[#This Row],[Plano de Contas]],BASE!$B$3:$D$119,3,FALSE)</f>
        <v>Manutenção com veiculos</v>
      </c>
      <c r="I2584" s="77" t="str">
        <f>IFERROR(VLOOKUP(DESPESAS[[#This Row],[Fornecedor]],Tabela2[],2,FALSE),"")</f>
        <v/>
      </c>
      <c r="J2584" s="77" t="str">
        <f>IFERROR(VLOOKUP(DESPESAS[[#This Row],[Plano de Contas]],BASE!$B$3:$F$119,4,FALSE),"")</f>
        <v>6 - DESPESA COM VENDAS</v>
      </c>
      <c r="K2584" s="77" t="str">
        <f>IFERROR(VLOOKUP(DESPESAS[[#This Row],[Plano de Contas]],BASE!$B$3:$H$119,5,FALSE),"")</f>
        <v>LOGÍSTICA</v>
      </c>
      <c r="L2584" s="77">
        <f>IFERROR(VLOOKUP(DESPESAS[[#This Row],[Plano de Contas]],BASE!$B$3:$H$119,6,FALSE),"")</f>
        <v>0</v>
      </c>
      <c r="M2584" s="77" t="str">
        <f>VLOOKUP(DESPESAS[[#This Row],[Plano de Contas]],BASE!$B$3:$H$119,7,FALSE)</f>
        <v>MYLENA</v>
      </c>
    </row>
    <row r="2585" spans="1:13" x14ac:dyDescent="0.25">
      <c r="A2585" s="74">
        <v>199593</v>
      </c>
      <c r="B2585" s="75" t="s">
        <v>221</v>
      </c>
      <c r="C2585" s="75" t="s">
        <v>1371</v>
      </c>
      <c r="D2585" s="76">
        <v>46098</v>
      </c>
      <c r="E2585" s="75" t="s">
        <v>268</v>
      </c>
      <c r="F2585" s="74">
        <v>213.65</v>
      </c>
      <c r="G2585" s="75" t="s">
        <v>262</v>
      </c>
      <c r="H2585" s="77" t="str">
        <f>VLOOKUP(DESPESAS[[#This Row],[Plano de Contas]],BASE!$B$3:$D$119,3,FALSE)</f>
        <v>Fretes Karams</v>
      </c>
      <c r="I2585" s="77" t="str">
        <f>IFERROR(VLOOKUP(DESPESAS[[#This Row],[Fornecedor]],Tabela2[],2,FALSE),"")</f>
        <v/>
      </c>
      <c r="J2585" s="77" t="str">
        <f>IFERROR(VLOOKUP(DESPESAS[[#This Row],[Plano de Contas]],BASE!$B$3:$F$119,4,FALSE),"")</f>
        <v>6 - DESPESA COM VENDAS</v>
      </c>
      <c r="K2585" s="77" t="str">
        <f>IFERROR(VLOOKUP(DESPESAS[[#This Row],[Plano de Contas]],BASE!$B$3:$H$119,5,FALSE),"")</f>
        <v>LOGÍSTICA</v>
      </c>
      <c r="L2585" s="77">
        <f>IFERROR(VLOOKUP(DESPESAS[[#This Row],[Plano de Contas]],BASE!$B$3:$H$119,6,FALSE),"")</f>
        <v>0</v>
      </c>
      <c r="M2585" s="77" t="str">
        <f>VLOOKUP(DESPESAS[[#This Row],[Plano de Contas]],BASE!$B$3:$H$119,7,FALSE)</f>
        <v>MYLENA</v>
      </c>
    </row>
    <row r="2586" spans="1:13" x14ac:dyDescent="0.25">
      <c r="A2586" s="74">
        <v>199594</v>
      </c>
      <c r="B2586" s="75" t="s">
        <v>221</v>
      </c>
      <c r="C2586" s="75" t="s">
        <v>1370</v>
      </c>
      <c r="D2586" s="76">
        <v>46098</v>
      </c>
      <c r="E2586" s="75" t="s">
        <v>242</v>
      </c>
      <c r="F2586" s="74">
        <v>997.74</v>
      </c>
      <c r="G2586" s="75" t="s">
        <v>241</v>
      </c>
      <c r="H2586" s="77" t="str">
        <f>VLOOKUP(DESPESAS[[#This Row],[Plano de Contas]],BASE!$B$3:$D$119,3,FALSE)</f>
        <v>Combustiveis Frota</v>
      </c>
      <c r="I2586" s="77" t="str">
        <f>IFERROR(VLOOKUP(DESPESAS[[#This Row],[Fornecedor]],Tabela2[],2,FALSE),"")</f>
        <v/>
      </c>
      <c r="J2586" s="77" t="str">
        <f>IFERROR(VLOOKUP(DESPESAS[[#This Row],[Plano de Contas]],BASE!$B$3:$F$119,4,FALSE),"")</f>
        <v>6 - DESPESA COM VENDAS</v>
      </c>
      <c r="K2586" s="77" t="str">
        <f>IFERROR(VLOOKUP(DESPESAS[[#This Row],[Plano de Contas]],BASE!$B$3:$H$119,5,FALSE),"")</f>
        <v>LOGÍSTICA</v>
      </c>
      <c r="L2586" s="77">
        <f>IFERROR(VLOOKUP(DESPESAS[[#This Row],[Plano de Contas]],BASE!$B$3:$H$119,6,FALSE),"")</f>
        <v>0</v>
      </c>
      <c r="M2586" s="77" t="str">
        <f>VLOOKUP(DESPESAS[[#This Row],[Plano de Contas]],BASE!$B$3:$H$119,7,FALSE)</f>
        <v>MYLENA</v>
      </c>
    </row>
    <row r="2587" spans="1:13" x14ac:dyDescent="0.25">
      <c r="A2587" s="74">
        <v>199595</v>
      </c>
      <c r="B2587" s="75" t="s">
        <v>221</v>
      </c>
      <c r="C2587" s="75" t="s">
        <v>1369</v>
      </c>
      <c r="D2587" s="76">
        <v>46098</v>
      </c>
      <c r="E2587" s="75" t="s">
        <v>442</v>
      </c>
      <c r="F2587" s="74">
        <v>2224</v>
      </c>
      <c r="G2587" s="75" t="s">
        <v>262</v>
      </c>
      <c r="H2587" s="77" t="str">
        <f>VLOOKUP(DESPESAS[[#This Row],[Plano de Contas]],BASE!$B$3:$D$119,3,FALSE)</f>
        <v>Fretes Karams</v>
      </c>
      <c r="I2587" s="77" t="str">
        <f>IFERROR(VLOOKUP(DESPESAS[[#This Row],[Fornecedor]],Tabela2[],2,FALSE),"")</f>
        <v/>
      </c>
      <c r="J2587" s="77" t="str">
        <f>IFERROR(VLOOKUP(DESPESAS[[#This Row],[Plano de Contas]],BASE!$B$3:$F$119,4,FALSE),"")</f>
        <v>6 - DESPESA COM VENDAS</v>
      </c>
      <c r="K2587" s="77" t="str">
        <f>IFERROR(VLOOKUP(DESPESAS[[#This Row],[Plano de Contas]],BASE!$B$3:$H$119,5,FALSE),"")</f>
        <v>LOGÍSTICA</v>
      </c>
      <c r="L2587" s="77">
        <f>IFERROR(VLOOKUP(DESPESAS[[#This Row],[Plano de Contas]],BASE!$B$3:$H$119,6,FALSE),"")</f>
        <v>0</v>
      </c>
      <c r="M2587" s="77" t="str">
        <f>VLOOKUP(DESPESAS[[#This Row],[Plano de Contas]],BASE!$B$3:$H$119,7,FALSE)</f>
        <v>MYLENA</v>
      </c>
    </row>
    <row r="2588" spans="1:13" x14ac:dyDescent="0.25">
      <c r="A2588" s="74">
        <v>199596</v>
      </c>
      <c r="B2588" s="75" t="s">
        <v>221</v>
      </c>
      <c r="C2588" s="75" t="s">
        <v>1368</v>
      </c>
      <c r="D2588" s="76">
        <v>46098</v>
      </c>
      <c r="E2588" s="75" t="s">
        <v>1262</v>
      </c>
      <c r="F2588" s="74">
        <v>4144.6899999999996</v>
      </c>
      <c r="G2588" s="75" t="s">
        <v>241</v>
      </c>
      <c r="H2588" s="77" t="str">
        <f>VLOOKUP(DESPESAS[[#This Row],[Plano de Contas]],BASE!$B$3:$D$119,3,FALSE)</f>
        <v>Combustiveis Frota</v>
      </c>
      <c r="I2588" s="77" t="str">
        <f>IFERROR(VLOOKUP(DESPESAS[[#This Row],[Fornecedor]],Tabela2[],2,FALSE),"")</f>
        <v/>
      </c>
      <c r="J2588" s="77" t="str">
        <f>IFERROR(VLOOKUP(DESPESAS[[#This Row],[Plano de Contas]],BASE!$B$3:$F$119,4,FALSE),"")</f>
        <v>6 - DESPESA COM VENDAS</v>
      </c>
      <c r="K2588" s="77" t="str">
        <f>IFERROR(VLOOKUP(DESPESAS[[#This Row],[Plano de Contas]],BASE!$B$3:$H$119,5,FALSE),"")</f>
        <v>LOGÍSTICA</v>
      </c>
      <c r="L2588" s="77">
        <f>IFERROR(VLOOKUP(DESPESAS[[#This Row],[Plano de Contas]],BASE!$B$3:$H$119,6,FALSE),"")</f>
        <v>0</v>
      </c>
      <c r="M2588" s="77" t="str">
        <f>VLOOKUP(DESPESAS[[#This Row],[Plano de Contas]],BASE!$B$3:$H$119,7,FALSE)</f>
        <v>MYLENA</v>
      </c>
    </row>
    <row r="2589" spans="1:13" x14ac:dyDescent="0.25">
      <c r="A2589" s="74">
        <v>199597</v>
      </c>
      <c r="B2589" s="75" t="s">
        <v>221</v>
      </c>
      <c r="C2589" s="75" t="s">
        <v>1367</v>
      </c>
      <c r="D2589" s="76">
        <v>46098</v>
      </c>
      <c r="E2589" s="75" t="s">
        <v>442</v>
      </c>
      <c r="F2589" s="74">
        <v>1479.83</v>
      </c>
      <c r="G2589" s="75" t="s">
        <v>247</v>
      </c>
      <c r="H2589" s="77" t="str">
        <f>VLOOKUP(DESPESAS[[#This Row],[Plano de Contas]],BASE!$B$3:$D$119,3,FALSE)</f>
        <v>Manutenção com veiculos</v>
      </c>
      <c r="I2589" s="77" t="str">
        <f>IFERROR(VLOOKUP(DESPESAS[[#This Row],[Fornecedor]],Tabela2[],2,FALSE),"")</f>
        <v/>
      </c>
      <c r="J2589" s="77" t="str">
        <f>IFERROR(VLOOKUP(DESPESAS[[#This Row],[Plano de Contas]],BASE!$B$3:$F$119,4,FALSE),"")</f>
        <v>6 - DESPESA COM VENDAS</v>
      </c>
      <c r="K2589" s="77" t="str">
        <f>IFERROR(VLOOKUP(DESPESAS[[#This Row],[Plano de Contas]],BASE!$B$3:$H$119,5,FALSE),"")</f>
        <v>LOGÍSTICA</v>
      </c>
      <c r="L2589" s="77">
        <f>IFERROR(VLOOKUP(DESPESAS[[#This Row],[Plano de Contas]],BASE!$B$3:$H$119,6,FALSE),"")</f>
        <v>0</v>
      </c>
      <c r="M2589" s="77" t="str">
        <f>VLOOKUP(DESPESAS[[#This Row],[Plano de Contas]],BASE!$B$3:$H$119,7,FALSE)</f>
        <v>MYLENA</v>
      </c>
    </row>
    <row r="2590" spans="1:13" x14ac:dyDescent="0.25">
      <c r="A2590" s="74">
        <v>199599</v>
      </c>
      <c r="B2590" s="75" t="s">
        <v>221</v>
      </c>
      <c r="C2590" s="75" t="s">
        <v>1366</v>
      </c>
      <c r="D2590" s="76">
        <v>46098</v>
      </c>
      <c r="E2590" s="75" t="s">
        <v>265</v>
      </c>
      <c r="F2590" s="74">
        <v>97</v>
      </c>
      <c r="G2590" s="75" t="s">
        <v>262</v>
      </c>
      <c r="H2590" s="77" t="str">
        <f>VLOOKUP(DESPESAS[[#This Row],[Plano de Contas]],BASE!$B$3:$D$119,3,FALSE)</f>
        <v>Fretes Karams</v>
      </c>
      <c r="I2590" s="77" t="str">
        <f>IFERROR(VLOOKUP(DESPESAS[[#This Row],[Fornecedor]],Tabela2[],2,FALSE),"")</f>
        <v/>
      </c>
      <c r="J2590" s="77" t="str">
        <f>IFERROR(VLOOKUP(DESPESAS[[#This Row],[Plano de Contas]],BASE!$B$3:$F$119,4,FALSE),"")</f>
        <v>6 - DESPESA COM VENDAS</v>
      </c>
      <c r="K2590" s="77" t="str">
        <f>IFERROR(VLOOKUP(DESPESAS[[#This Row],[Plano de Contas]],BASE!$B$3:$H$119,5,FALSE),"")</f>
        <v>LOGÍSTICA</v>
      </c>
      <c r="L2590" s="77">
        <f>IFERROR(VLOOKUP(DESPESAS[[#This Row],[Plano de Contas]],BASE!$B$3:$H$119,6,FALSE),"")</f>
        <v>0</v>
      </c>
      <c r="M2590" s="77" t="str">
        <f>VLOOKUP(DESPESAS[[#This Row],[Plano de Contas]],BASE!$B$3:$H$119,7,FALSE)</f>
        <v>MYLENA</v>
      </c>
    </row>
    <row r="2591" spans="1:13" x14ac:dyDescent="0.25">
      <c r="A2591" s="74">
        <v>199600</v>
      </c>
      <c r="B2591" s="75" t="s">
        <v>221</v>
      </c>
      <c r="C2591" s="75" t="s">
        <v>1365</v>
      </c>
      <c r="D2591" s="76">
        <v>46098</v>
      </c>
      <c r="E2591" s="75" t="s">
        <v>242</v>
      </c>
      <c r="F2591" s="74">
        <v>56.83</v>
      </c>
      <c r="G2591" s="75" t="s">
        <v>241</v>
      </c>
      <c r="H2591" s="77" t="str">
        <f>VLOOKUP(DESPESAS[[#This Row],[Plano de Contas]],BASE!$B$3:$D$119,3,FALSE)</f>
        <v>Combustiveis Frota</v>
      </c>
      <c r="I2591" s="77" t="str">
        <f>IFERROR(VLOOKUP(DESPESAS[[#This Row],[Fornecedor]],Tabela2[],2,FALSE),"")</f>
        <v/>
      </c>
      <c r="J2591" s="77" t="str">
        <f>IFERROR(VLOOKUP(DESPESAS[[#This Row],[Plano de Contas]],BASE!$B$3:$F$119,4,FALSE),"")</f>
        <v>6 - DESPESA COM VENDAS</v>
      </c>
      <c r="K2591" s="77" t="str">
        <f>IFERROR(VLOOKUP(DESPESAS[[#This Row],[Plano de Contas]],BASE!$B$3:$H$119,5,FALSE),"")</f>
        <v>LOGÍSTICA</v>
      </c>
      <c r="L2591" s="77">
        <f>IFERROR(VLOOKUP(DESPESAS[[#This Row],[Plano de Contas]],BASE!$B$3:$H$119,6,FALSE),"")</f>
        <v>0</v>
      </c>
      <c r="M2591" s="77" t="str">
        <f>VLOOKUP(DESPESAS[[#This Row],[Plano de Contas]],BASE!$B$3:$H$119,7,FALSE)</f>
        <v>MYLENA</v>
      </c>
    </row>
    <row r="2592" spans="1:13" x14ac:dyDescent="0.25">
      <c r="A2592" s="74">
        <v>199601</v>
      </c>
      <c r="B2592" s="75" t="s">
        <v>221</v>
      </c>
      <c r="C2592" s="75" t="s">
        <v>1364</v>
      </c>
      <c r="D2592" s="76">
        <v>46098</v>
      </c>
      <c r="E2592" s="75" t="s">
        <v>242</v>
      </c>
      <c r="F2592" s="74">
        <v>801.43</v>
      </c>
      <c r="G2592" s="75" t="s">
        <v>241</v>
      </c>
      <c r="H2592" s="77" t="str">
        <f>VLOOKUP(DESPESAS[[#This Row],[Plano de Contas]],BASE!$B$3:$D$119,3,FALSE)</f>
        <v>Combustiveis Frota</v>
      </c>
      <c r="I2592" s="77" t="str">
        <f>IFERROR(VLOOKUP(DESPESAS[[#This Row],[Fornecedor]],Tabela2[],2,FALSE),"")</f>
        <v/>
      </c>
      <c r="J2592" s="77" t="str">
        <f>IFERROR(VLOOKUP(DESPESAS[[#This Row],[Plano de Contas]],BASE!$B$3:$F$119,4,FALSE),"")</f>
        <v>6 - DESPESA COM VENDAS</v>
      </c>
      <c r="K2592" s="77" t="str">
        <f>IFERROR(VLOOKUP(DESPESAS[[#This Row],[Plano de Contas]],BASE!$B$3:$H$119,5,FALSE),"")</f>
        <v>LOGÍSTICA</v>
      </c>
      <c r="L2592" s="77">
        <f>IFERROR(VLOOKUP(DESPESAS[[#This Row],[Plano de Contas]],BASE!$B$3:$H$119,6,FALSE),"")</f>
        <v>0</v>
      </c>
      <c r="M2592" s="77" t="str">
        <f>VLOOKUP(DESPESAS[[#This Row],[Plano de Contas]],BASE!$B$3:$H$119,7,FALSE)</f>
        <v>MYLENA</v>
      </c>
    </row>
    <row r="2593" spans="1:13" x14ac:dyDescent="0.25">
      <c r="A2593" s="74">
        <v>199602</v>
      </c>
      <c r="B2593" s="75" t="s">
        <v>232</v>
      </c>
      <c r="C2593" s="75" t="s">
        <v>1363</v>
      </c>
      <c r="D2593" s="76">
        <v>46098</v>
      </c>
      <c r="E2593" s="75" t="s">
        <v>596</v>
      </c>
      <c r="F2593" s="74">
        <v>561</v>
      </c>
      <c r="G2593" s="75" t="s">
        <v>294</v>
      </c>
      <c r="H2593" s="77" t="str">
        <f>VLOOKUP(DESPESAS[[#This Row],[Plano de Contas]],BASE!$B$3:$D$119,3,FALSE)</f>
        <v>Insumos de Clientes</v>
      </c>
      <c r="I2593" s="77" t="str">
        <f>IFERROR(VLOOKUP(DESPESAS[[#This Row],[Fornecedor]],Tabela2[],2,FALSE),"")</f>
        <v/>
      </c>
      <c r="J2593" s="77" t="str">
        <f>IFERROR(VLOOKUP(DESPESAS[[#This Row],[Plano de Contas]],BASE!$B$3:$F$119,4,FALSE),"")</f>
        <v>8 - DESPESAS FINANCEIRAS</v>
      </c>
      <c r="K2593" s="77" t="str">
        <f>IFERROR(VLOOKUP(DESPESAS[[#This Row],[Plano de Contas]],BASE!$B$3:$H$119,5,FALSE),"")</f>
        <v>COMERCIAL</v>
      </c>
      <c r="L2593" s="77">
        <f>IFERROR(VLOOKUP(DESPESAS[[#This Row],[Plano de Contas]],BASE!$B$3:$H$119,6,FALSE),"")</f>
        <v>0</v>
      </c>
      <c r="M2593" s="77" t="str">
        <f>VLOOKUP(DESPESAS[[#This Row],[Plano de Contas]],BASE!$B$3:$H$119,7,FALSE)</f>
        <v>LETÍCIA</v>
      </c>
    </row>
    <row r="2594" spans="1:13" x14ac:dyDescent="0.25">
      <c r="A2594" s="74">
        <v>199603</v>
      </c>
      <c r="B2594" s="75" t="s">
        <v>232</v>
      </c>
      <c r="C2594" s="75" t="s">
        <v>1362</v>
      </c>
      <c r="D2594" s="76">
        <v>46098</v>
      </c>
      <c r="E2594" s="75" t="s">
        <v>230</v>
      </c>
      <c r="F2594" s="74">
        <v>30.32</v>
      </c>
      <c r="G2594" s="75" t="s">
        <v>229</v>
      </c>
      <c r="H2594" s="77" t="str">
        <f>VLOOKUP(DESPESAS[[#This Row],[Plano de Contas]],BASE!$B$3:$D$119,3,FALSE)</f>
        <v>Despesas Bancarias</v>
      </c>
      <c r="I2594" s="77" t="str">
        <f>IFERROR(VLOOKUP(DESPESAS[[#This Row],[Fornecedor]],Tabela2[],2,FALSE),"")</f>
        <v/>
      </c>
      <c r="J2594" s="77" t="str">
        <f>IFERROR(VLOOKUP(DESPESAS[[#This Row],[Plano de Contas]],BASE!$B$3:$F$119,4,FALSE),"")</f>
        <v>8 - DESPESAS FINANCEIRAS</v>
      </c>
      <c r="K2594" s="77" t="str">
        <f>IFERROR(VLOOKUP(DESPESAS[[#This Row],[Plano de Contas]],BASE!$B$3:$H$119,5,FALSE),"")</f>
        <v>FINANCEIRO</v>
      </c>
      <c r="L2594" s="77">
        <f>IFERROR(VLOOKUP(DESPESAS[[#This Row],[Plano de Contas]],BASE!$B$3:$H$119,6,FALSE),"")</f>
        <v>0</v>
      </c>
      <c r="M2594" s="77" t="str">
        <f>VLOOKUP(DESPESAS[[#This Row],[Plano de Contas]],BASE!$B$3:$H$119,7,FALSE)</f>
        <v>LETÍCIA</v>
      </c>
    </row>
    <row r="2595" spans="1:13" x14ac:dyDescent="0.25">
      <c r="A2595" s="74">
        <v>199604</v>
      </c>
      <c r="B2595" s="75" t="s">
        <v>232</v>
      </c>
      <c r="C2595" s="75" t="s">
        <v>1361</v>
      </c>
      <c r="D2595" s="76">
        <v>46098</v>
      </c>
      <c r="E2595" s="75" t="s">
        <v>230</v>
      </c>
      <c r="F2595" s="74">
        <v>24.65</v>
      </c>
      <c r="G2595" s="75" t="s">
        <v>229</v>
      </c>
      <c r="H2595" s="77" t="str">
        <f>VLOOKUP(DESPESAS[[#This Row],[Plano de Contas]],BASE!$B$3:$D$119,3,FALSE)</f>
        <v>Despesas Bancarias</v>
      </c>
      <c r="I2595" s="77" t="str">
        <f>IFERROR(VLOOKUP(DESPESAS[[#This Row],[Fornecedor]],Tabela2[],2,FALSE),"")</f>
        <v/>
      </c>
      <c r="J2595" s="77" t="str">
        <f>IFERROR(VLOOKUP(DESPESAS[[#This Row],[Plano de Contas]],BASE!$B$3:$F$119,4,FALSE),"")</f>
        <v>8 - DESPESAS FINANCEIRAS</v>
      </c>
      <c r="K2595" s="77" t="str">
        <f>IFERROR(VLOOKUP(DESPESAS[[#This Row],[Plano de Contas]],BASE!$B$3:$H$119,5,FALSE),"")</f>
        <v>FINANCEIRO</v>
      </c>
      <c r="L2595" s="77">
        <f>IFERROR(VLOOKUP(DESPESAS[[#This Row],[Plano de Contas]],BASE!$B$3:$H$119,6,FALSE),"")</f>
        <v>0</v>
      </c>
      <c r="M2595" s="77" t="str">
        <f>VLOOKUP(DESPESAS[[#This Row],[Plano de Contas]],BASE!$B$3:$H$119,7,FALSE)</f>
        <v>LETÍCIA</v>
      </c>
    </row>
    <row r="2596" spans="1:13" x14ac:dyDescent="0.25">
      <c r="A2596" s="74">
        <v>199605</v>
      </c>
      <c r="B2596" s="75" t="s">
        <v>232</v>
      </c>
      <c r="C2596" s="75" t="s">
        <v>1360</v>
      </c>
      <c r="D2596" s="76">
        <v>46098</v>
      </c>
      <c r="E2596" s="75" t="s">
        <v>230</v>
      </c>
      <c r="F2596" s="74">
        <v>186.8</v>
      </c>
      <c r="G2596" s="75" t="s">
        <v>251</v>
      </c>
      <c r="H2596" s="77" t="str">
        <f>VLOOKUP(DESPESAS[[#This Row],[Plano de Contas]],BASE!$B$3:$D$119,3,FALSE)</f>
        <v>Juros Pagos - Antecipação de Crédito</v>
      </c>
      <c r="I2596" s="77" t="str">
        <f>IFERROR(VLOOKUP(DESPESAS[[#This Row],[Fornecedor]],Tabela2[],2,FALSE),"")</f>
        <v/>
      </c>
      <c r="J2596" s="77" t="str">
        <f>IFERROR(VLOOKUP(DESPESAS[[#This Row],[Plano de Contas]],BASE!$B$3:$F$119,4,FALSE),"")</f>
        <v>8 - DESPESAS FINANCEIRAS</v>
      </c>
      <c r="K2596" s="77" t="str">
        <f>IFERROR(VLOOKUP(DESPESAS[[#This Row],[Plano de Contas]],BASE!$B$3:$H$119,5,FALSE),"")</f>
        <v>FINANCEIRO</v>
      </c>
      <c r="L2596" s="77">
        <f>IFERROR(VLOOKUP(DESPESAS[[#This Row],[Plano de Contas]],BASE!$B$3:$H$119,6,FALSE),"")</f>
        <v>0</v>
      </c>
      <c r="M2596" s="77" t="str">
        <f>VLOOKUP(DESPESAS[[#This Row],[Plano de Contas]],BASE!$B$3:$H$119,7,FALSE)</f>
        <v>LETÍCIA</v>
      </c>
    </row>
    <row r="2597" spans="1:13" x14ac:dyDescent="0.25">
      <c r="A2597" s="74">
        <v>199606</v>
      </c>
      <c r="B2597" s="75" t="s">
        <v>232</v>
      </c>
      <c r="C2597" s="75" t="s">
        <v>1359</v>
      </c>
      <c r="D2597" s="76">
        <v>46093</v>
      </c>
      <c r="E2597" s="75" t="s">
        <v>409</v>
      </c>
      <c r="F2597" s="74">
        <v>128.85</v>
      </c>
      <c r="G2597" s="75" t="s">
        <v>326</v>
      </c>
      <c r="H2597" s="77" t="str">
        <f>VLOOKUP(DESPESAS[[#This Row],[Plano de Contas]],BASE!$B$3:$D$119,3,FALSE)</f>
        <v>Frete sobre Compras</v>
      </c>
      <c r="I2597" s="77" t="str">
        <f>IFERROR(VLOOKUP(DESPESAS[[#This Row],[Fornecedor]],Tabela2[],2,FALSE),"")</f>
        <v>SERVIÇOS FRETE</v>
      </c>
      <c r="J2597" s="77" t="str">
        <f>IFERROR(VLOOKUP(DESPESAS[[#This Row],[Plano de Contas]],BASE!$B$3:$F$119,4,FALSE),"")</f>
        <v>1 - CPV</v>
      </c>
      <c r="K2597" s="77" t="str">
        <f>IFERROR(VLOOKUP(DESPESAS[[#This Row],[Plano de Contas]],BASE!$B$3:$H$119,5,FALSE),"")</f>
        <v>COMPRAS</v>
      </c>
      <c r="L2597" s="77">
        <f>IFERROR(VLOOKUP(DESPESAS[[#This Row],[Plano de Contas]],BASE!$B$3:$H$119,6,FALSE),"")</f>
        <v>0</v>
      </c>
      <c r="M2597" s="77" t="str">
        <f>VLOOKUP(DESPESAS[[#This Row],[Plano de Contas]],BASE!$B$3:$H$119,7,FALSE)</f>
        <v>MYLENA</v>
      </c>
    </row>
    <row r="2598" spans="1:13" x14ac:dyDescent="0.25">
      <c r="A2598" s="74">
        <v>199607</v>
      </c>
      <c r="B2598" s="75" t="s">
        <v>232</v>
      </c>
      <c r="C2598" s="75" t="s">
        <v>1358</v>
      </c>
      <c r="D2598" s="76">
        <v>46099</v>
      </c>
      <c r="E2598" s="75" t="s">
        <v>409</v>
      </c>
      <c r="F2598" s="74">
        <v>216.11</v>
      </c>
      <c r="G2598" s="75" t="s">
        <v>326</v>
      </c>
      <c r="H2598" s="77" t="str">
        <f>VLOOKUP(DESPESAS[[#This Row],[Plano de Contas]],BASE!$B$3:$D$119,3,FALSE)</f>
        <v>Frete sobre Compras</v>
      </c>
      <c r="I2598" s="77" t="str">
        <f>IFERROR(VLOOKUP(DESPESAS[[#This Row],[Fornecedor]],Tabela2[],2,FALSE),"")</f>
        <v>SERVIÇOS FRETE</v>
      </c>
      <c r="J2598" s="77" t="str">
        <f>IFERROR(VLOOKUP(DESPESAS[[#This Row],[Plano de Contas]],BASE!$B$3:$F$119,4,FALSE),"")</f>
        <v>1 - CPV</v>
      </c>
      <c r="K2598" s="77" t="str">
        <f>IFERROR(VLOOKUP(DESPESAS[[#This Row],[Plano de Contas]],BASE!$B$3:$H$119,5,FALSE),"")</f>
        <v>COMPRAS</v>
      </c>
      <c r="L2598" s="77">
        <f>IFERROR(VLOOKUP(DESPESAS[[#This Row],[Plano de Contas]],BASE!$B$3:$H$119,6,FALSE),"")</f>
        <v>0</v>
      </c>
      <c r="M2598" s="77" t="str">
        <f>VLOOKUP(DESPESAS[[#This Row],[Plano de Contas]],BASE!$B$3:$H$119,7,FALSE)</f>
        <v>MYLENA</v>
      </c>
    </row>
    <row r="2599" spans="1:13" x14ac:dyDescent="0.25">
      <c r="A2599" s="74">
        <v>199608</v>
      </c>
      <c r="B2599" s="75" t="s">
        <v>232</v>
      </c>
      <c r="C2599" s="75" t="s">
        <v>1357</v>
      </c>
      <c r="D2599" s="76">
        <v>46098</v>
      </c>
      <c r="E2599" s="75" t="s">
        <v>230</v>
      </c>
      <c r="F2599" s="74">
        <v>27.57</v>
      </c>
      <c r="G2599" s="75" t="s">
        <v>229</v>
      </c>
      <c r="H2599" s="77" t="str">
        <f>VLOOKUP(DESPESAS[[#This Row],[Plano de Contas]],BASE!$B$3:$D$119,3,FALSE)</f>
        <v>Despesas Bancarias</v>
      </c>
      <c r="I2599" s="77" t="str">
        <f>IFERROR(VLOOKUP(DESPESAS[[#This Row],[Fornecedor]],Tabela2[],2,FALSE),"")</f>
        <v/>
      </c>
      <c r="J2599" s="77" t="str">
        <f>IFERROR(VLOOKUP(DESPESAS[[#This Row],[Plano de Contas]],BASE!$B$3:$F$119,4,FALSE),"")</f>
        <v>8 - DESPESAS FINANCEIRAS</v>
      </c>
      <c r="K2599" s="77" t="str">
        <f>IFERROR(VLOOKUP(DESPESAS[[#This Row],[Plano de Contas]],BASE!$B$3:$H$119,5,FALSE),"")</f>
        <v>FINANCEIRO</v>
      </c>
      <c r="L2599" s="77">
        <f>IFERROR(VLOOKUP(DESPESAS[[#This Row],[Plano de Contas]],BASE!$B$3:$H$119,6,FALSE),"")</f>
        <v>0</v>
      </c>
      <c r="M2599" s="77" t="str">
        <f>VLOOKUP(DESPESAS[[#This Row],[Plano de Contas]],BASE!$B$3:$H$119,7,FALSE)</f>
        <v>LETÍCIA</v>
      </c>
    </row>
    <row r="2600" spans="1:13" x14ac:dyDescent="0.25">
      <c r="A2600" s="74">
        <v>199609</v>
      </c>
      <c r="B2600" s="75" t="s">
        <v>232</v>
      </c>
      <c r="C2600" s="75" t="s">
        <v>1356</v>
      </c>
      <c r="D2600" s="76">
        <v>46098</v>
      </c>
      <c r="E2600" s="75" t="s">
        <v>230</v>
      </c>
      <c r="F2600" s="74">
        <v>7.9</v>
      </c>
      <c r="G2600" s="75" t="s">
        <v>236</v>
      </c>
      <c r="H2600" s="77" t="str">
        <f>VLOOKUP(DESPESAS[[#This Row],[Plano de Contas]],BASE!$B$3:$D$119,3,FALSE)</f>
        <v>Despesas de Cobranca</v>
      </c>
      <c r="I2600" s="77" t="str">
        <f>IFERROR(VLOOKUP(DESPESAS[[#This Row],[Fornecedor]],Tabela2[],2,FALSE),"")</f>
        <v/>
      </c>
      <c r="J2600" s="77" t="str">
        <f>IFERROR(VLOOKUP(DESPESAS[[#This Row],[Plano de Contas]],BASE!$B$3:$F$119,4,FALSE),"")</f>
        <v>8 - DESPESAS FINANCEIRAS</v>
      </c>
      <c r="K2600" s="77" t="str">
        <f>IFERROR(VLOOKUP(DESPESAS[[#This Row],[Plano de Contas]],BASE!$B$3:$H$119,5,FALSE),"")</f>
        <v>FINANCEIRO</v>
      </c>
      <c r="L2600" s="77">
        <f>IFERROR(VLOOKUP(DESPESAS[[#This Row],[Plano de Contas]],BASE!$B$3:$H$119,6,FALSE),"")</f>
        <v>0</v>
      </c>
      <c r="M2600" s="77" t="str">
        <f>VLOOKUP(DESPESAS[[#This Row],[Plano de Contas]],BASE!$B$3:$H$119,7,FALSE)</f>
        <v>LETÍCIA</v>
      </c>
    </row>
    <row r="2601" spans="1:13" x14ac:dyDescent="0.25">
      <c r="A2601" s="74">
        <v>199610</v>
      </c>
      <c r="B2601" s="75" t="s">
        <v>232</v>
      </c>
      <c r="C2601" s="75" t="s">
        <v>1355</v>
      </c>
      <c r="D2601" s="76">
        <v>46099</v>
      </c>
      <c r="E2601" s="75" t="s">
        <v>230</v>
      </c>
      <c r="F2601" s="74">
        <v>1.22</v>
      </c>
      <c r="G2601" s="75" t="s">
        <v>229</v>
      </c>
      <c r="H2601" s="77" t="str">
        <f>VLOOKUP(DESPESAS[[#This Row],[Plano de Contas]],BASE!$B$3:$D$119,3,FALSE)</f>
        <v>Despesas Bancarias</v>
      </c>
      <c r="I2601" s="77" t="str">
        <f>IFERROR(VLOOKUP(DESPESAS[[#This Row],[Fornecedor]],Tabela2[],2,FALSE),"")</f>
        <v/>
      </c>
      <c r="J2601" s="77" t="str">
        <f>IFERROR(VLOOKUP(DESPESAS[[#This Row],[Plano de Contas]],BASE!$B$3:$F$119,4,FALSE),"")</f>
        <v>8 - DESPESAS FINANCEIRAS</v>
      </c>
      <c r="K2601" s="77" t="str">
        <f>IFERROR(VLOOKUP(DESPESAS[[#This Row],[Plano de Contas]],BASE!$B$3:$H$119,5,FALSE),"")</f>
        <v>FINANCEIRO</v>
      </c>
      <c r="L2601" s="77">
        <f>IFERROR(VLOOKUP(DESPESAS[[#This Row],[Plano de Contas]],BASE!$B$3:$H$119,6,FALSE),"")</f>
        <v>0</v>
      </c>
      <c r="M2601" s="77" t="str">
        <f>VLOOKUP(DESPESAS[[#This Row],[Plano de Contas]],BASE!$B$3:$H$119,7,FALSE)</f>
        <v>LETÍCIA</v>
      </c>
    </row>
    <row r="2602" spans="1:13" x14ac:dyDescent="0.25">
      <c r="A2602" s="74">
        <v>199611</v>
      </c>
      <c r="B2602" s="75" t="s">
        <v>232</v>
      </c>
      <c r="C2602" s="75" t="s">
        <v>1354</v>
      </c>
      <c r="D2602" s="76">
        <v>46098</v>
      </c>
      <c r="E2602" s="75" t="s">
        <v>230</v>
      </c>
      <c r="F2602" s="74">
        <v>3.8</v>
      </c>
      <c r="G2602" s="75" t="s">
        <v>229</v>
      </c>
      <c r="H2602" s="77" t="str">
        <f>VLOOKUP(DESPESAS[[#This Row],[Plano de Contas]],BASE!$B$3:$D$119,3,FALSE)</f>
        <v>Despesas Bancarias</v>
      </c>
      <c r="I2602" s="77" t="str">
        <f>IFERROR(VLOOKUP(DESPESAS[[#This Row],[Fornecedor]],Tabela2[],2,FALSE),"")</f>
        <v/>
      </c>
      <c r="J2602" s="77" t="str">
        <f>IFERROR(VLOOKUP(DESPESAS[[#This Row],[Plano de Contas]],BASE!$B$3:$F$119,4,FALSE),"")</f>
        <v>8 - DESPESAS FINANCEIRAS</v>
      </c>
      <c r="K2602" s="77" t="str">
        <f>IFERROR(VLOOKUP(DESPESAS[[#This Row],[Plano de Contas]],BASE!$B$3:$H$119,5,FALSE),"")</f>
        <v>FINANCEIRO</v>
      </c>
      <c r="L2602" s="77">
        <f>IFERROR(VLOOKUP(DESPESAS[[#This Row],[Plano de Contas]],BASE!$B$3:$H$119,6,FALSE),"")</f>
        <v>0</v>
      </c>
      <c r="M2602" s="77" t="str">
        <f>VLOOKUP(DESPESAS[[#This Row],[Plano de Contas]],BASE!$B$3:$H$119,7,FALSE)</f>
        <v>LETÍCIA</v>
      </c>
    </row>
    <row r="2603" spans="1:13" x14ac:dyDescent="0.25">
      <c r="A2603" s="74">
        <v>199612</v>
      </c>
      <c r="B2603" s="75" t="s">
        <v>232</v>
      </c>
      <c r="C2603" s="75" t="s">
        <v>1353</v>
      </c>
      <c r="D2603" s="76">
        <v>46098</v>
      </c>
      <c r="E2603" s="75" t="s">
        <v>230</v>
      </c>
      <c r="F2603" s="74">
        <v>7.38</v>
      </c>
      <c r="G2603" s="75" t="s">
        <v>356</v>
      </c>
      <c r="H2603" s="77" t="str">
        <f>VLOOKUP(DESPESAS[[#This Row],[Plano de Contas]],BASE!$B$3:$D$119,3,FALSE)</f>
        <v>Despesas Cartorárias</v>
      </c>
      <c r="I2603" s="77" t="str">
        <f>IFERROR(VLOOKUP(DESPESAS[[#This Row],[Fornecedor]],Tabela2[],2,FALSE),"")</f>
        <v/>
      </c>
      <c r="J2603" s="77" t="str">
        <f>IFERROR(VLOOKUP(DESPESAS[[#This Row],[Plano de Contas]],BASE!$B$3:$F$119,4,FALSE),"")</f>
        <v>5 - DESPESAS ADMINISTRATIVAS</v>
      </c>
      <c r="K2603" s="77" t="str">
        <f>IFERROR(VLOOKUP(DESPESAS[[#This Row],[Plano de Contas]],BASE!$B$3:$H$119,5,FALSE),"")</f>
        <v>FINANCEIRO</v>
      </c>
      <c r="L2603" s="77">
        <f>IFERROR(VLOOKUP(DESPESAS[[#This Row],[Plano de Contas]],BASE!$B$3:$H$119,6,FALSE),"")</f>
        <v>0</v>
      </c>
      <c r="M2603" s="77" t="str">
        <f>VLOOKUP(DESPESAS[[#This Row],[Plano de Contas]],BASE!$B$3:$H$119,7,FALSE)</f>
        <v>LETÍCIA</v>
      </c>
    </row>
    <row r="2604" spans="1:13" x14ac:dyDescent="0.25">
      <c r="A2604" s="74">
        <v>199613</v>
      </c>
      <c r="B2604" s="75" t="s">
        <v>232</v>
      </c>
      <c r="C2604" s="75" t="s">
        <v>1352</v>
      </c>
      <c r="D2604" s="76">
        <v>46099</v>
      </c>
      <c r="E2604" s="75" t="s">
        <v>230</v>
      </c>
      <c r="F2604" s="74">
        <v>12.91</v>
      </c>
      <c r="G2604" s="75" t="s">
        <v>251</v>
      </c>
      <c r="H2604" s="77" t="str">
        <f>VLOOKUP(DESPESAS[[#This Row],[Plano de Contas]],BASE!$B$3:$D$119,3,FALSE)</f>
        <v>Juros Pagos - Antecipação de Crédito</v>
      </c>
      <c r="I2604" s="77" t="str">
        <f>IFERROR(VLOOKUP(DESPESAS[[#This Row],[Fornecedor]],Tabela2[],2,FALSE),"")</f>
        <v/>
      </c>
      <c r="J2604" s="77" t="str">
        <f>IFERROR(VLOOKUP(DESPESAS[[#This Row],[Plano de Contas]],BASE!$B$3:$F$119,4,FALSE),"")</f>
        <v>8 - DESPESAS FINANCEIRAS</v>
      </c>
      <c r="K2604" s="77" t="str">
        <f>IFERROR(VLOOKUP(DESPESAS[[#This Row],[Plano de Contas]],BASE!$B$3:$H$119,5,FALSE),"")</f>
        <v>FINANCEIRO</v>
      </c>
      <c r="L2604" s="77">
        <f>IFERROR(VLOOKUP(DESPESAS[[#This Row],[Plano de Contas]],BASE!$B$3:$H$119,6,FALSE),"")</f>
        <v>0</v>
      </c>
      <c r="M2604" s="77" t="str">
        <f>VLOOKUP(DESPESAS[[#This Row],[Plano de Contas]],BASE!$B$3:$H$119,7,FALSE)</f>
        <v>LETÍCIA</v>
      </c>
    </row>
    <row r="2605" spans="1:13" x14ac:dyDescent="0.25">
      <c r="A2605" s="74">
        <v>199614</v>
      </c>
      <c r="B2605" s="75" t="s">
        <v>279</v>
      </c>
      <c r="C2605" s="75" t="s">
        <v>1351</v>
      </c>
      <c r="D2605" s="76">
        <v>46098</v>
      </c>
      <c r="E2605" s="75" t="s">
        <v>230</v>
      </c>
      <c r="F2605" s="74">
        <v>0.79</v>
      </c>
      <c r="G2605" s="75" t="s">
        <v>236</v>
      </c>
      <c r="H2605" s="77" t="str">
        <f>VLOOKUP(DESPESAS[[#This Row],[Plano de Contas]],BASE!$B$3:$D$119,3,FALSE)</f>
        <v>Despesas de Cobranca</v>
      </c>
      <c r="I2605" s="77" t="str">
        <f>IFERROR(VLOOKUP(DESPESAS[[#This Row],[Fornecedor]],Tabela2[],2,FALSE),"")</f>
        <v/>
      </c>
      <c r="J2605" s="77" t="str">
        <f>IFERROR(VLOOKUP(DESPESAS[[#This Row],[Plano de Contas]],BASE!$B$3:$F$119,4,FALSE),"")</f>
        <v>8 - DESPESAS FINANCEIRAS</v>
      </c>
      <c r="K2605" s="77" t="str">
        <f>IFERROR(VLOOKUP(DESPESAS[[#This Row],[Plano de Contas]],BASE!$B$3:$H$119,5,FALSE),"")</f>
        <v>FINANCEIRO</v>
      </c>
      <c r="L2605" s="77">
        <f>IFERROR(VLOOKUP(DESPESAS[[#This Row],[Plano de Contas]],BASE!$B$3:$H$119,6,FALSE),"")</f>
        <v>0</v>
      </c>
      <c r="M2605" s="77" t="str">
        <f>VLOOKUP(DESPESAS[[#This Row],[Plano de Contas]],BASE!$B$3:$H$119,7,FALSE)</f>
        <v>LETÍCIA</v>
      </c>
    </row>
    <row r="2606" spans="1:13" x14ac:dyDescent="0.25">
      <c r="A2606" s="74">
        <v>199615</v>
      </c>
      <c r="B2606" s="75" t="s">
        <v>279</v>
      </c>
      <c r="C2606" s="75" t="s">
        <v>1350</v>
      </c>
      <c r="D2606" s="76">
        <v>46099</v>
      </c>
      <c r="E2606" s="75" t="s">
        <v>230</v>
      </c>
      <c r="F2606" s="74">
        <v>1.92</v>
      </c>
      <c r="G2606" s="75" t="s">
        <v>229</v>
      </c>
      <c r="H2606" s="77" t="str">
        <f>VLOOKUP(DESPESAS[[#This Row],[Plano de Contas]],BASE!$B$3:$D$119,3,FALSE)</f>
        <v>Despesas Bancarias</v>
      </c>
      <c r="I2606" s="77" t="str">
        <f>IFERROR(VLOOKUP(DESPESAS[[#This Row],[Fornecedor]],Tabela2[],2,FALSE),"")</f>
        <v/>
      </c>
      <c r="J2606" s="77" t="str">
        <f>IFERROR(VLOOKUP(DESPESAS[[#This Row],[Plano de Contas]],BASE!$B$3:$F$119,4,FALSE),"")</f>
        <v>8 - DESPESAS FINANCEIRAS</v>
      </c>
      <c r="K2606" s="77" t="str">
        <f>IFERROR(VLOOKUP(DESPESAS[[#This Row],[Plano de Contas]],BASE!$B$3:$H$119,5,FALSE),"")</f>
        <v>FINANCEIRO</v>
      </c>
      <c r="L2606" s="77">
        <f>IFERROR(VLOOKUP(DESPESAS[[#This Row],[Plano de Contas]],BASE!$B$3:$H$119,6,FALSE),"")</f>
        <v>0</v>
      </c>
      <c r="M2606" s="77" t="str">
        <f>VLOOKUP(DESPESAS[[#This Row],[Plano de Contas]],BASE!$B$3:$H$119,7,FALSE)</f>
        <v>LETÍCIA</v>
      </c>
    </row>
    <row r="2607" spans="1:13" x14ac:dyDescent="0.25">
      <c r="A2607" s="74">
        <v>199616</v>
      </c>
      <c r="B2607" s="75" t="s">
        <v>279</v>
      </c>
      <c r="C2607" s="75" t="s">
        <v>1349</v>
      </c>
      <c r="D2607" s="76">
        <v>46099</v>
      </c>
      <c r="E2607" s="75" t="s">
        <v>230</v>
      </c>
      <c r="F2607" s="74">
        <v>19.7</v>
      </c>
      <c r="G2607" s="75" t="s">
        <v>251</v>
      </c>
      <c r="H2607" s="77" t="str">
        <f>VLOOKUP(DESPESAS[[#This Row],[Plano de Contas]],BASE!$B$3:$D$119,3,FALSE)</f>
        <v>Juros Pagos - Antecipação de Crédito</v>
      </c>
      <c r="I2607" s="77" t="str">
        <f>IFERROR(VLOOKUP(DESPESAS[[#This Row],[Fornecedor]],Tabela2[],2,FALSE),"")</f>
        <v/>
      </c>
      <c r="J2607" s="77" t="str">
        <f>IFERROR(VLOOKUP(DESPESAS[[#This Row],[Plano de Contas]],BASE!$B$3:$F$119,4,FALSE),"")</f>
        <v>8 - DESPESAS FINANCEIRAS</v>
      </c>
      <c r="K2607" s="77" t="str">
        <f>IFERROR(VLOOKUP(DESPESAS[[#This Row],[Plano de Contas]],BASE!$B$3:$H$119,5,FALSE),"")</f>
        <v>FINANCEIRO</v>
      </c>
      <c r="L2607" s="77">
        <f>IFERROR(VLOOKUP(DESPESAS[[#This Row],[Plano de Contas]],BASE!$B$3:$H$119,6,FALSE),"")</f>
        <v>0</v>
      </c>
      <c r="M2607" s="77" t="str">
        <f>VLOOKUP(DESPESAS[[#This Row],[Plano de Contas]],BASE!$B$3:$H$119,7,FALSE)</f>
        <v>LETÍCIA</v>
      </c>
    </row>
    <row r="2608" spans="1:13" x14ac:dyDescent="0.25">
      <c r="A2608" s="74">
        <v>199617</v>
      </c>
      <c r="B2608" s="75" t="s">
        <v>281</v>
      </c>
      <c r="C2608" s="75" t="s">
        <v>1348</v>
      </c>
      <c r="D2608" s="76">
        <v>46098</v>
      </c>
      <c r="E2608" s="75" t="s">
        <v>230</v>
      </c>
      <c r="F2608" s="74">
        <v>9.19</v>
      </c>
      <c r="G2608" s="75" t="s">
        <v>356</v>
      </c>
      <c r="H2608" s="77" t="str">
        <f>VLOOKUP(DESPESAS[[#This Row],[Plano de Contas]],BASE!$B$3:$D$119,3,FALSE)</f>
        <v>Despesas Cartorárias</v>
      </c>
      <c r="I2608" s="77" t="str">
        <f>IFERROR(VLOOKUP(DESPESAS[[#This Row],[Fornecedor]],Tabela2[],2,FALSE),"")</f>
        <v/>
      </c>
      <c r="J2608" s="77" t="str">
        <f>IFERROR(VLOOKUP(DESPESAS[[#This Row],[Plano de Contas]],BASE!$B$3:$F$119,4,FALSE),"")</f>
        <v>5 - DESPESAS ADMINISTRATIVAS</v>
      </c>
      <c r="K2608" s="77" t="str">
        <f>IFERROR(VLOOKUP(DESPESAS[[#This Row],[Plano de Contas]],BASE!$B$3:$H$119,5,FALSE),"")</f>
        <v>FINANCEIRO</v>
      </c>
      <c r="L2608" s="77">
        <f>IFERROR(VLOOKUP(DESPESAS[[#This Row],[Plano de Contas]],BASE!$B$3:$H$119,6,FALSE),"")</f>
        <v>0</v>
      </c>
      <c r="M2608" s="77" t="str">
        <f>VLOOKUP(DESPESAS[[#This Row],[Plano de Contas]],BASE!$B$3:$H$119,7,FALSE)</f>
        <v>LETÍCIA</v>
      </c>
    </row>
    <row r="2609" spans="1:13" x14ac:dyDescent="0.25">
      <c r="A2609" s="74">
        <v>199618</v>
      </c>
      <c r="B2609" s="75" t="s">
        <v>281</v>
      </c>
      <c r="C2609" s="75" t="s">
        <v>1347</v>
      </c>
      <c r="D2609" s="76">
        <v>46098</v>
      </c>
      <c r="E2609" s="75" t="s">
        <v>230</v>
      </c>
      <c r="F2609" s="74">
        <v>2.46</v>
      </c>
      <c r="G2609" s="75" t="s">
        <v>356</v>
      </c>
      <c r="H2609" s="77" t="str">
        <f>VLOOKUP(DESPESAS[[#This Row],[Plano de Contas]],BASE!$B$3:$D$119,3,FALSE)</f>
        <v>Despesas Cartorárias</v>
      </c>
      <c r="I2609" s="77" t="str">
        <f>IFERROR(VLOOKUP(DESPESAS[[#This Row],[Fornecedor]],Tabela2[],2,FALSE),"")</f>
        <v/>
      </c>
      <c r="J2609" s="77" t="str">
        <f>IFERROR(VLOOKUP(DESPESAS[[#This Row],[Plano de Contas]],BASE!$B$3:$F$119,4,FALSE),"")</f>
        <v>5 - DESPESAS ADMINISTRATIVAS</v>
      </c>
      <c r="K2609" s="77" t="str">
        <f>IFERROR(VLOOKUP(DESPESAS[[#This Row],[Plano de Contas]],BASE!$B$3:$H$119,5,FALSE),"")</f>
        <v>FINANCEIRO</v>
      </c>
      <c r="L2609" s="77">
        <f>IFERROR(VLOOKUP(DESPESAS[[#This Row],[Plano de Contas]],BASE!$B$3:$H$119,6,FALSE),"")</f>
        <v>0</v>
      </c>
      <c r="M2609" s="77" t="str">
        <f>VLOOKUP(DESPESAS[[#This Row],[Plano de Contas]],BASE!$B$3:$H$119,7,FALSE)</f>
        <v>LETÍCIA</v>
      </c>
    </row>
    <row r="2610" spans="1:13" x14ac:dyDescent="0.25">
      <c r="A2610" s="74">
        <v>199619</v>
      </c>
      <c r="B2610" s="75" t="s">
        <v>221</v>
      </c>
      <c r="C2610" s="75" t="s">
        <v>1346</v>
      </c>
      <c r="D2610" s="76">
        <v>46090</v>
      </c>
      <c r="E2610" s="75" t="s">
        <v>1345</v>
      </c>
      <c r="F2610" s="74">
        <v>369</v>
      </c>
      <c r="G2610" s="75" t="s">
        <v>374</v>
      </c>
      <c r="H2610" s="77" t="str">
        <f>VLOOKUP(DESPESAS[[#This Row],[Plano de Contas]],BASE!$B$3:$D$119,3,FALSE)</f>
        <v>Consultoria Empresarial</v>
      </c>
      <c r="I2610" s="77" t="str">
        <f>IFERROR(VLOOKUP(DESPESAS[[#This Row],[Fornecedor]],Tabela2[],2,FALSE),"")</f>
        <v/>
      </c>
      <c r="J2610" s="77" t="str">
        <f>IFERROR(VLOOKUP(DESPESAS[[#This Row],[Plano de Contas]],BASE!$B$3:$F$119,4,FALSE),"")</f>
        <v>7 - SERVIÇOS DE TERCEIROS</v>
      </c>
      <c r="K2610" s="77" t="str">
        <f>IFERROR(VLOOKUP(DESPESAS[[#This Row],[Plano de Contas]],BASE!$B$3:$H$119,5,FALSE),"")</f>
        <v>FINANCEIRO</v>
      </c>
      <c r="L2610" s="77">
        <f>IFERROR(VLOOKUP(DESPESAS[[#This Row],[Plano de Contas]],BASE!$B$3:$H$119,6,FALSE),"")</f>
        <v>0</v>
      </c>
      <c r="M2610" s="77" t="str">
        <f>VLOOKUP(DESPESAS[[#This Row],[Plano de Contas]],BASE!$B$3:$H$119,7,FALSE)</f>
        <v>LETÍCIA</v>
      </c>
    </row>
    <row r="2611" spans="1:13" x14ac:dyDescent="0.25">
      <c r="A2611" s="74">
        <v>199621</v>
      </c>
      <c r="B2611" s="75" t="s">
        <v>221</v>
      </c>
      <c r="C2611" s="75" t="s">
        <v>1344</v>
      </c>
      <c r="D2611" s="76">
        <v>46104</v>
      </c>
      <c r="E2611" s="75" t="s">
        <v>347</v>
      </c>
      <c r="F2611" s="74">
        <v>98.55</v>
      </c>
      <c r="G2611" s="75" t="s">
        <v>1342</v>
      </c>
      <c r="H2611" s="77" t="str">
        <f>VLOOKUP(DESPESAS[[#This Row],[Plano de Contas]],BASE!$B$3:$D$119,3,FALSE)</f>
        <v>Copa</v>
      </c>
      <c r="I2611" s="77" t="str">
        <f>IFERROR(VLOOKUP(DESPESAS[[#This Row],[Fornecedor]],Tabela2[],2,FALSE),"")</f>
        <v/>
      </c>
      <c r="J2611" s="77" t="str">
        <f>IFERROR(VLOOKUP(DESPESAS[[#This Row],[Plano de Contas]],BASE!$B$3:$F$119,4,FALSE),"")</f>
        <v>5 - DESPESAS ADMINISTRATIVAS</v>
      </c>
      <c r="K2611" s="77" t="str">
        <f>IFERROR(VLOOKUP(DESPESAS[[#This Row],[Plano de Contas]],BASE!$B$3:$H$119,5,FALSE),"")</f>
        <v>ADMINISTRATIVO</v>
      </c>
      <c r="L2611" s="77">
        <f>IFERROR(VLOOKUP(DESPESAS[[#This Row],[Plano de Contas]],BASE!$B$3:$H$119,6,FALSE),"")</f>
        <v>0</v>
      </c>
      <c r="M2611" s="77" t="str">
        <f>VLOOKUP(DESPESAS[[#This Row],[Plano de Contas]],BASE!$B$3:$H$119,7,FALSE)</f>
        <v>LETÍCIA</v>
      </c>
    </row>
    <row r="2612" spans="1:13" x14ac:dyDescent="0.25">
      <c r="A2612" s="74">
        <v>199622</v>
      </c>
      <c r="B2612" s="75" t="s">
        <v>221</v>
      </c>
      <c r="C2612" s="75" t="s">
        <v>1343</v>
      </c>
      <c r="D2612" s="76">
        <v>46135</v>
      </c>
      <c r="E2612" s="75" t="s">
        <v>347</v>
      </c>
      <c r="F2612" s="74">
        <v>98.55</v>
      </c>
      <c r="G2612" s="75" t="s">
        <v>1342</v>
      </c>
      <c r="H2612" s="77" t="str">
        <f>VLOOKUP(DESPESAS[[#This Row],[Plano de Contas]],BASE!$B$3:$D$119,3,FALSE)</f>
        <v>Copa</v>
      </c>
      <c r="I2612" s="77" t="str">
        <f>IFERROR(VLOOKUP(DESPESAS[[#This Row],[Fornecedor]],Tabela2[],2,FALSE),"")</f>
        <v/>
      </c>
      <c r="J2612" s="77" t="str">
        <f>IFERROR(VLOOKUP(DESPESAS[[#This Row],[Plano de Contas]],BASE!$B$3:$F$119,4,FALSE),"")</f>
        <v>5 - DESPESAS ADMINISTRATIVAS</v>
      </c>
      <c r="K2612" s="77" t="str">
        <f>IFERROR(VLOOKUP(DESPESAS[[#This Row],[Plano de Contas]],BASE!$B$3:$H$119,5,FALSE),"")</f>
        <v>ADMINISTRATIVO</v>
      </c>
      <c r="L2612" s="77">
        <f>IFERROR(VLOOKUP(DESPESAS[[#This Row],[Plano de Contas]],BASE!$B$3:$H$119,6,FALSE),"")</f>
        <v>0</v>
      </c>
      <c r="M2612" s="77" t="str">
        <f>VLOOKUP(DESPESAS[[#This Row],[Plano de Contas]],BASE!$B$3:$H$119,7,FALSE)</f>
        <v>LETÍCIA</v>
      </c>
    </row>
    <row r="2613" spans="1:13" x14ac:dyDescent="0.25">
      <c r="A2613" s="74">
        <v>199625</v>
      </c>
      <c r="B2613" s="75" t="s">
        <v>221</v>
      </c>
      <c r="C2613" s="75" t="s">
        <v>1317</v>
      </c>
      <c r="D2613" s="76">
        <v>46104</v>
      </c>
      <c r="E2613" s="75" t="s">
        <v>347</v>
      </c>
      <c r="F2613" s="74">
        <v>1089.8699999999999</v>
      </c>
      <c r="G2613" s="75" t="s">
        <v>1318</v>
      </c>
      <c r="H2613" s="77" t="str">
        <f>VLOOKUP(DESPESAS[[#This Row],[Plano de Contas]],BASE!$B$3:$D$119,3,FALSE)</f>
        <v>Feiras e Eventos</v>
      </c>
      <c r="I2613" s="77" t="str">
        <f>IFERROR(VLOOKUP(DESPESAS[[#This Row],[Fornecedor]],Tabela2[],2,FALSE),"")</f>
        <v/>
      </c>
      <c r="J2613" s="77" t="str">
        <f>IFERROR(VLOOKUP(DESPESAS[[#This Row],[Plano de Contas]],BASE!$B$3:$F$119,4,FALSE),"")</f>
        <v>6 - DESPESA COM VENDAS</v>
      </c>
      <c r="K2613" s="77" t="str">
        <f>IFERROR(VLOOKUP(DESPESAS[[#This Row],[Plano de Contas]],BASE!$B$3:$H$119,5,FALSE),"")</f>
        <v>COMERCIAL</v>
      </c>
      <c r="L2613" s="77">
        <f>IFERROR(VLOOKUP(DESPESAS[[#This Row],[Plano de Contas]],BASE!$B$3:$H$119,6,FALSE),"")</f>
        <v>0</v>
      </c>
      <c r="M2613" s="77" t="str">
        <f>VLOOKUP(DESPESAS[[#This Row],[Plano de Contas]],BASE!$B$3:$H$119,7,FALSE)</f>
        <v>THAIS</v>
      </c>
    </row>
    <row r="2614" spans="1:13" x14ac:dyDescent="0.25">
      <c r="A2614" s="74">
        <v>199626</v>
      </c>
      <c r="B2614" s="75" t="s">
        <v>221</v>
      </c>
      <c r="C2614" s="75" t="s">
        <v>1316</v>
      </c>
      <c r="D2614" s="76">
        <v>46135</v>
      </c>
      <c r="E2614" s="75" t="s">
        <v>347</v>
      </c>
      <c r="F2614" s="74">
        <v>1089.8699999999999</v>
      </c>
      <c r="G2614" s="75" t="s">
        <v>1318</v>
      </c>
      <c r="H2614" s="77" t="str">
        <f>VLOOKUP(DESPESAS[[#This Row],[Plano de Contas]],BASE!$B$3:$D$119,3,FALSE)</f>
        <v>Feiras e Eventos</v>
      </c>
      <c r="I2614" s="77" t="str">
        <f>IFERROR(VLOOKUP(DESPESAS[[#This Row],[Fornecedor]],Tabela2[],2,FALSE),"")</f>
        <v/>
      </c>
      <c r="J2614" s="77" t="str">
        <f>IFERROR(VLOOKUP(DESPESAS[[#This Row],[Plano de Contas]],BASE!$B$3:$F$119,4,FALSE),"")</f>
        <v>6 - DESPESA COM VENDAS</v>
      </c>
      <c r="K2614" s="77" t="str">
        <f>IFERROR(VLOOKUP(DESPESAS[[#This Row],[Plano de Contas]],BASE!$B$3:$H$119,5,FALSE),"")</f>
        <v>COMERCIAL</v>
      </c>
      <c r="L2614" s="77">
        <f>IFERROR(VLOOKUP(DESPESAS[[#This Row],[Plano de Contas]],BASE!$B$3:$H$119,6,FALSE),"")</f>
        <v>0</v>
      </c>
      <c r="M2614" s="77" t="str">
        <f>VLOOKUP(DESPESAS[[#This Row],[Plano de Contas]],BASE!$B$3:$H$119,7,FALSE)</f>
        <v>THAIS</v>
      </c>
    </row>
    <row r="2615" spans="1:13" x14ac:dyDescent="0.25">
      <c r="A2615" s="74">
        <v>199631</v>
      </c>
      <c r="B2615" s="75" t="s">
        <v>221</v>
      </c>
      <c r="C2615" s="75" t="s">
        <v>1341</v>
      </c>
      <c r="D2615" s="76">
        <v>46099</v>
      </c>
      <c r="E2615" s="75" t="s">
        <v>320</v>
      </c>
      <c r="F2615" s="74">
        <v>194</v>
      </c>
      <c r="G2615" s="75" t="s">
        <v>222</v>
      </c>
      <c r="H2615" s="77" t="str">
        <f>VLOOKUP(DESPESAS[[#This Row],[Plano de Contas]],BASE!$B$3:$D$119,3,FALSE)</f>
        <v>Alimentação</v>
      </c>
      <c r="I2615" s="77" t="str">
        <f>IFERROR(VLOOKUP(DESPESAS[[#This Row],[Fornecedor]],Tabela2[],2,FALSE),"")</f>
        <v/>
      </c>
      <c r="J2615" s="77" t="str">
        <f>IFERROR(VLOOKUP(DESPESAS[[#This Row],[Plano de Contas]],BASE!$B$3:$F$119,4,FALSE),"")</f>
        <v>5 - DESPESAS ADMINISTRATIVAS</v>
      </c>
      <c r="K2615" s="77" t="str">
        <f>IFERROR(VLOOKUP(DESPESAS[[#This Row],[Plano de Contas]],BASE!$B$3:$H$119,5,FALSE),"")</f>
        <v>FINANCEIRO</v>
      </c>
      <c r="L2615" s="77">
        <f>IFERROR(VLOOKUP(DESPESAS[[#This Row],[Plano de Contas]],BASE!$B$3:$H$119,6,FALSE),"")</f>
        <v>0</v>
      </c>
      <c r="M2615" s="77" t="str">
        <f>VLOOKUP(DESPESAS[[#This Row],[Plano de Contas]],BASE!$B$3:$H$119,7,FALSE)</f>
        <v>MYLENA</v>
      </c>
    </row>
    <row r="2616" spans="1:13" x14ac:dyDescent="0.25">
      <c r="A2616" s="74">
        <v>199633</v>
      </c>
      <c r="B2616" s="75" t="s">
        <v>221</v>
      </c>
      <c r="C2616" s="75" t="s">
        <v>445</v>
      </c>
      <c r="D2616" s="76">
        <v>46099</v>
      </c>
      <c r="E2616" s="75" t="s">
        <v>347</v>
      </c>
      <c r="F2616" s="74">
        <v>9.9</v>
      </c>
      <c r="G2616" s="75" t="s">
        <v>229</v>
      </c>
      <c r="H2616" s="77" t="str">
        <f>VLOOKUP(DESPESAS[[#This Row],[Plano de Contas]],BASE!$B$3:$D$119,3,FALSE)</f>
        <v>Despesas Bancarias</v>
      </c>
      <c r="I2616" s="77" t="str">
        <f>IFERROR(VLOOKUP(DESPESAS[[#This Row],[Fornecedor]],Tabela2[],2,FALSE),"")</f>
        <v/>
      </c>
      <c r="J2616" s="77" t="str">
        <f>IFERROR(VLOOKUP(DESPESAS[[#This Row],[Plano de Contas]],BASE!$B$3:$F$119,4,FALSE),"")</f>
        <v>8 - DESPESAS FINANCEIRAS</v>
      </c>
      <c r="K2616" s="77" t="str">
        <f>IFERROR(VLOOKUP(DESPESAS[[#This Row],[Plano de Contas]],BASE!$B$3:$H$119,5,FALSE),"")</f>
        <v>FINANCEIRO</v>
      </c>
      <c r="L2616" s="77">
        <f>IFERROR(VLOOKUP(DESPESAS[[#This Row],[Plano de Contas]],BASE!$B$3:$H$119,6,FALSE),"")</f>
        <v>0</v>
      </c>
      <c r="M2616" s="77" t="str">
        <f>VLOOKUP(DESPESAS[[#This Row],[Plano de Contas]],BASE!$B$3:$H$119,7,FALSE)</f>
        <v>LETÍCIA</v>
      </c>
    </row>
    <row r="2617" spans="1:13" x14ac:dyDescent="0.25">
      <c r="A2617" s="74">
        <v>199634</v>
      </c>
      <c r="B2617" s="75" t="s">
        <v>232</v>
      </c>
      <c r="C2617" s="75" t="s">
        <v>1340</v>
      </c>
      <c r="D2617" s="76">
        <v>46099</v>
      </c>
      <c r="E2617" s="75" t="s">
        <v>1339</v>
      </c>
      <c r="F2617" s="74">
        <v>182.87</v>
      </c>
      <c r="G2617" s="75" t="s">
        <v>294</v>
      </c>
      <c r="H2617" s="77" t="str">
        <f>VLOOKUP(DESPESAS[[#This Row],[Plano de Contas]],BASE!$B$3:$D$119,3,FALSE)</f>
        <v>Insumos de Clientes</v>
      </c>
      <c r="I2617" s="77" t="str">
        <f>IFERROR(VLOOKUP(DESPESAS[[#This Row],[Fornecedor]],Tabela2[],2,FALSE),"")</f>
        <v/>
      </c>
      <c r="J2617" s="77" t="str">
        <f>IFERROR(VLOOKUP(DESPESAS[[#This Row],[Plano de Contas]],BASE!$B$3:$F$119,4,FALSE),"")</f>
        <v>8 - DESPESAS FINANCEIRAS</v>
      </c>
      <c r="K2617" s="77" t="str">
        <f>IFERROR(VLOOKUP(DESPESAS[[#This Row],[Plano de Contas]],BASE!$B$3:$H$119,5,FALSE),"")</f>
        <v>COMERCIAL</v>
      </c>
      <c r="L2617" s="77">
        <f>IFERROR(VLOOKUP(DESPESAS[[#This Row],[Plano de Contas]],BASE!$B$3:$H$119,6,FALSE),"")</f>
        <v>0</v>
      </c>
      <c r="M2617" s="77" t="str">
        <f>VLOOKUP(DESPESAS[[#This Row],[Plano de Contas]],BASE!$B$3:$H$119,7,FALSE)</f>
        <v>LETÍCIA</v>
      </c>
    </row>
    <row r="2618" spans="1:13" x14ac:dyDescent="0.25">
      <c r="A2618" s="74">
        <v>199635</v>
      </c>
      <c r="B2618" s="75" t="s">
        <v>232</v>
      </c>
      <c r="C2618" s="75" t="s">
        <v>1338</v>
      </c>
      <c r="D2618" s="76">
        <v>46099</v>
      </c>
      <c r="E2618" s="75" t="s">
        <v>230</v>
      </c>
      <c r="F2618" s="74">
        <v>996.2</v>
      </c>
      <c r="G2618" s="75" t="s">
        <v>251</v>
      </c>
      <c r="H2618" s="77" t="str">
        <f>VLOOKUP(DESPESAS[[#This Row],[Plano de Contas]],BASE!$B$3:$D$119,3,FALSE)</f>
        <v>Juros Pagos - Antecipação de Crédito</v>
      </c>
      <c r="I2618" s="77" t="str">
        <f>IFERROR(VLOOKUP(DESPESAS[[#This Row],[Fornecedor]],Tabela2[],2,FALSE),"")</f>
        <v/>
      </c>
      <c r="J2618" s="77" t="str">
        <f>IFERROR(VLOOKUP(DESPESAS[[#This Row],[Plano de Contas]],BASE!$B$3:$F$119,4,FALSE),"")</f>
        <v>8 - DESPESAS FINANCEIRAS</v>
      </c>
      <c r="K2618" s="77" t="str">
        <f>IFERROR(VLOOKUP(DESPESAS[[#This Row],[Plano de Contas]],BASE!$B$3:$H$119,5,FALSE),"")</f>
        <v>FINANCEIRO</v>
      </c>
      <c r="L2618" s="77">
        <f>IFERROR(VLOOKUP(DESPESAS[[#This Row],[Plano de Contas]],BASE!$B$3:$H$119,6,FALSE),"")</f>
        <v>0</v>
      </c>
      <c r="M2618" s="77" t="str">
        <f>VLOOKUP(DESPESAS[[#This Row],[Plano de Contas]],BASE!$B$3:$H$119,7,FALSE)</f>
        <v>LETÍCIA</v>
      </c>
    </row>
    <row r="2619" spans="1:13" x14ac:dyDescent="0.25">
      <c r="A2619" s="74">
        <v>199636</v>
      </c>
      <c r="B2619" s="75" t="s">
        <v>232</v>
      </c>
      <c r="C2619" s="75" t="s">
        <v>1337</v>
      </c>
      <c r="D2619" s="76">
        <v>46099</v>
      </c>
      <c r="E2619" s="75" t="s">
        <v>230</v>
      </c>
      <c r="F2619" s="74">
        <v>159.16</v>
      </c>
      <c r="G2619" s="75" t="s">
        <v>229</v>
      </c>
      <c r="H2619" s="77" t="str">
        <f>VLOOKUP(DESPESAS[[#This Row],[Plano de Contas]],BASE!$B$3:$D$119,3,FALSE)</f>
        <v>Despesas Bancarias</v>
      </c>
      <c r="I2619" s="77" t="str">
        <f>IFERROR(VLOOKUP(DESPESAS[[#This Row],[Fornecedor]],Tabela2[],2,FALSE),"")</f>
        <v/>
      </c>
      <c r="J2619" s="77" t="str">
        <f>IFERROR(VLOOKUP(DESPESAS[[#This Row],[Plano de Contas]],BASE!$B$3:$F$119,4,FALSE),"")</f>
        <v>8 - DESPESAS FINANCEIRAS</v>
      </c>
      <c r="K2619" s="77" t="str">
        <f>IFERROR(VLOOKUP(DESPESAS[[#This Row],[Plano de Contas]],BASE!$B$3:$H$119,5,FALSE),"")</f>
        <v>FINANCEIRO</v>
      </c>
      <c r="L2619" s="77">
        <f>IFERROR(VLOOKUP(DESPESAS[[#This Row],[Plano de Contas]],BASE!$B$3:$H$119,6,FALSE),"")</f>
        <v>0</v>
      </c>
      <c r="M2619" s="77" t="str">
        <f>VLOOKUP(DESPESAS[[#This Row],[Plano de Contas]],BASE!$B$3:$H$119,7,FALSE)</f>
        <v>LETÍCIA</v>
      </c>
    </row>
    <row r="2620" spans="1:13" x14ac:dyDescent="0.25">
      <c r="A2620" s="74">
        <v>199637</v>
      </c>
      <c r="B2620" s="75" t="s">
        <v>232</v>
      </c>
      <c r="C2620" s="75" t="s">
        <v>1336</v>
      </c>
      <c r="D2620" s="76">
        <v>46099</v>
      </c>
      <c r="E2620" s="75" t="s">
        <v>230</v>
      </c>
      <c r="F2620" s="74">
        <v>103.11</v>
      </c>
      <c r="G2620" s="75" t="s">
        <v>229</v>
      </c>
      <c r="H2620" s="77" t="str">
        <f>VLOOKUP(DESPESAS[[#This Row],[Plano de Contas]],BASE!$B$3:$D$119,3,FALSE)</f>
        <v>Despesas Bancarias</v>
      </c>
      <c r="I2620" s="77" t="str">
        <f>IFERROR(VLOOKUP(DESPESAS[[#This Row],[Fornecedor]],Tabela2[],2,FALSE),"")</f>
        <v/>
      </c>
      <c r="J2620" s="77" t="str">
        <f>IFERROR(VLOOKUP(DESPESAS[[#This Row],[Plano de Contas]],BASE!$B$3:$F$119,4,FALSE),"")</f>
        <v>8 - DESPESAS FINANCEIRAS</v>
      </c>
      <c r="K2620" s="77" t="str">
        <f>IFERROR(VLOOKUP(DESPESAS[[#This Row],[Plano de Contas]],BASE!$B$3:$H$119,5,FALSE),"")</f>
        <v>FINANCEIRO</v>
      </c>
      <c r="L2620" s="77">
        <f>IFERROR(VLOOKUP(DESPESAS[[#This Row],[Plano de Contas]],BASE!$B$3:$H$119,6,FALSE),"")</f>
        <v>0</v>
      </c>
      <c r="M2620" s="77" t="str">
        <f>VLOOKUP(DESPESAS[[#This Row],[Plano de Contas]],BASE!$B$3:$H$119,7,FALSE)</f>
        <v>LETÍCIA</v>
      </c>
    </row>
    <row r="2621" spans="1:13" x14ac:dyDescent="0.25">
      <c r="A2621" s="74">
        <v>199638</v>
      </c>
      <c r="B2621" s="75" t="s">
        <v>232</v>
      </c>
      <c r="C2621" s="75" t="s">
        <v>1335</v>
      </c>
      <c r="D2621" s="76">
        <v>46099</v>
      </c>
      <c r="E2621" s="75" t="s">
        <v>1334</v>
      </c>
      <c r="F2621" s="74">
        <v>1852.03</v>
      </c>
      <c r="G2621" s="75" t="s">
        <v>294</v>
      </c>
      <c r="H2621" s="77" t="str">
        <f>VLOOKUP(DESPESAS[[#This Row],[Plano de Contas]],BASE!$B$3:$D$119,3,FALSE)</f>
        <v>Insumos de Clientes</v>
      </c>
      <c r="I2621" s="77" t="str">
        <f>IFERROR(VLOOKUP(DESPESAS[[#This Row],[Fornecedor]],Tabela2[],2,FALSE),"")</f>
        <v/>
      </c>
      <c r="J2621" s="77" t="str">
        <f>IFERROR(VLOOKUP(DESPESAS[[#This Row],[Plano de Contas]],BASE!$B$3:$F$119,4,FALSE),"")</f>
        <v>8 - DESPESAS FINANCEIRAS</v>
      </c>
      <c r="K2621" s="77" t="str">
        <f>IFERROR(VLOOKUP(DESPESAS[[#This Row],[Plano de Contas]],BASE!$B$3:$H$119,5,FALSE),"")</f>
        <v>COMERCIAL</v>
      </c>
      <c r="L2621" s="77">
        <f>IFERROR(VLOOKUP(DESPESAS[[#This Row],[Plano de Contas]],BASE!$B$3:$H$119,6,FALSE),"")</f>
        <v>0</v>
      </c>
      <c r="M2621" s="77" t="str">
        <f>VLOOKUP(DESPESAS[[#This Row],[Plano de Contas]],BASE!$B$3:$H$119,7,FALSE)</f>
        <v>LETÍCIA</v>
      </c>
    </row>
    <row r="2622" spans="1:13" x14ac:dyDescent="0.25">
      <c r="A2622" s="74">
        <v>199639</v>
      </c>
      <c r="B2622" s="75" t="s">
        <v>221</v>
      </c>
      <c r="C2622" s="75" t="s">
        <v>1333</v>
      </c>
      <c r="D2622" s="76">
        <v>46099</v>
      </c>
      <c r="E2622" s="75" t="s">
        <v>242</v>
      </c>
      <c r="F2622" s="74">
        <v>45.12</v>
      </c>
      <c r="G2622" s="75" t="s">
        <v>244</v>
      </c>
      <c r="H2622" s="77" t="str">
        <f>VLOOKUP(DESPESAS[[#This Row],[Plano de Contas]],BASE!$B$3:$D$119,3,FALSE)</f>
        <v>Material de Expediente (Prod)</v>
      </c>
      <c r="I2622" s="77" t="str">
        <f>IFERROR(VLOOKUP(DESPESAS[[#This Row],[Fornecedor]],Tabela2[],2,FALSE),"")</f>
        <v/>
      </c>
      <c r="J2622" s="77" t="str">
        <f>IFERROR(VLOOKUP(DESPESAS[[#This Row],[Plano de Contas]],BASE!$B$3:$F$119,4,FALSE),"")</f>
        <v>2 - CUSTOS DIRETOS</v>
      </c>
      <c r="K2622" s="77" t="str">
        <f>IFERROR(VLOOKUP(DESPESAS[[#This Row],[Plano de Contas]],BASE!$B$3:$H$119,5,FALSE),"")</f>
        <v>PRODUÇÃO</v>
      </c>
      <c r="L2622" s="77">
        <f>IFERROR(VLOOKUP(DESPESAS[[#This Row],[Plano de Contas]],BASE!$B$3:$H$119,6,FALSE),"")</f>
        <v>0</v>
      </c>
      <c r="M2622" s="77" t="str">
        <f>VLOOKUP(DESPESAS[[#This Row],[Plano de Contas]],BASE!$B$3:$H$119,7,FALSE)</f>
        <v>RAFAEL</v>
      </c>
    </row>
    <row r="2623" spans="1:13" x14ac:dyDescent="0.25">
      <c r="A2623" s="74">
        <v>199640</v>
      </c>
      <c r="B2623" s="75" t="s">
        <v>221</v>
      </c>
      <c r="C2623" s="75" t="s">
        <v>1332</v>
      </c>
      <c r="D2623" s="76">
        <v>46099</v>
      </c>
      <c r="E2623" s="75" t="s">
        <v>242</v>
      </c>
      <c r="F2623" s="74">
        <v>44.41</v>
      </c>
      <c r="G2623" s="75" t="s">
        <v>259</v>
      </c>
      <c r="H2623" s="77" t="str">
        <f>VLOOKUP(DESPESAS[[#This Row],[Plano de Contas]],BASE!$B$3:$D$119,3,FALSE)</f>
        <v>Manutenção Predial CIF</v>
      </c>
      <c r="I2623" s="77" t="str">
        <f>IFERROR(VLOOKUP(DESPESAS[[#This Row],[Fornecedor]],Tabela2[],2,FALSE),"")</f>
        <v/>
      </c>
      <c r="J2623" s="77" t="str">
        <f>IFERROR(VLOOKUP(DESPESAS[[#This Row],[Plano de Contas]],BASE!$B$3:$F$119,4,FALSE),"")</f>
        <v>3 - CUSTOS INDIRETOS</v>
      </c>
      <c r="K2623" s="77" t="str">
        <f>IFERROR(VLOOKUP(DESPESAS[[#This Row],[Plano de Contas]],BASE!$B$3:$H$119,5,FALSE),"")</f>
        <v>MANUTENÇÃO / TI</v>
      </c>
      <c r="L2623" s="77">
        <f>IFERROR(VLOOKUP(DESPESAS[[#This Row],[Plano de Contas]],BASE!$B$3:$H$119,6,FALSE),"")</f>
        <v>0</v>
      </c>
      <c r="M2623" s="77" t="str">
        <f>VLOOKUP(DESPESAS[[#This Row],[Plano de Contas]],BASE!$B$3:$H$119,7,FALSE)</f>
        <v>FÁBIO</v>
      </c>
    </row>
    <row r="2624" spans="1:13" x14ac:dyDescent="0.25">
      <c r="A2624" s="74">
        <v>199641</v>
      </c>
      <c r="B2624" s="75" t="s">
        <v>232</v>
      </c>
      <c r="C2624" s="75" t="s">
        <v>1331</v>
      </c>
      <c r="D2624" s="76">
        <v>46099</v>
      </c>
      <c r="E2624" s="75" t="s">
        <v>230</v>
      </c>
      <c r="F2624" s="74">
        <v>9.48</v>
      </c>
      <c r="G2624" s="75" t="s">
        <v>236</v>
      </c>
      <c r="H2624" s="77" t="str">
        <f>VLOOKUP(DESPESAS[[#This Row],[Plano de Contas]],BASE!$B$3:$D$119,3,FALSE)</f>
        <v>Despesas de Cobranca</v>
      </c>
      <c r="I2624" s="77" t="str">
        <f>IFERROR(VLOOKUP(DESPESAS[[#This Row],[Fornecedor]],Tabela2[],2,FALSE),"")</f>
        <v/>
      </c>
      <c r="J2624" s="77" t="str">
        <f>IFERROR(VLOOKUP(DESPESAS[[#This Row],[Plano de Contas]],BASE!$B$3:$F$119,4,FALSE),"")</f>
        <v>8 - DESPESAS FINANCEIRAS</v>
      </c>
      <c r="K2624" s="77" t="str">
        <f>IFERROR(VLOOKUP(DESPESAS[[#This Row],[Plano de Contas]],BASE!$B$3:$H$119,5,FALSE),"")</f>
        <v>FINANCEIRO</v>
      </c>
      <c r="L2624" s="77">
        <f>IFERROR(VLOOKUP(DESPESAS[[#This Row],[Plano de Contas]],BASE!$B$3:$H$119,6,FALSE),"")</f>
        <v>0</v>
      </c>
      <c r="M2624" s="77" t="str">
        <f>VLOOKUP(DESPESAS[[#This Row],[Plano de Contas]],BASE!$B$3:$H$119,7,FALSE)</f>
        <v>LETÍCIA</v>
      </c>
    </row>
    <row r="2625" spans="1:13" x14ac:dyDescent="0.25">
      <c r="A2625" s="74">
        <v>199642</v>
      </c>
      <c r="B2625" s="75" t="s">
        <v>232</v>
      </c>
      <c r="C2625" s="75" t="s">
        <v>1330</v>
      </c>
      <c r="D2625" s="76">
        <v>46100</v>
      </c>
      <c r="E2625" s="75" t="s">
        <v>230</v>
      </c>
      <c r="F2625" s="74">
        <v>3.49</v>
      </c>
      <c r="G2625" s="75" t="s">
        <v>229</v>
      </c>
      <c r="H2625" s="77" t="str">
        <f>VLOOKUP(DESPESAS[[#This Row],[Plano de Contas]],BASE!$B$3:$D$119,3,FALSE)</f>
        <v>Despesas Bancarias</v>
      </c>
      <c r="I2625" s="77" t="str">
        <f>IFERROR(VLOOKUP(DESPESAS[[#This Row],[Fornecedor]],Tabela2[],2,FALSE),"")</f>
        <v/>
      </c>
      <c r="J2625" s="77" t="str">
        <f>IFERROR(VLOOKUP(DESPESAS[[#This Row],[Plano de Contas]],BASE!$B$3:$F$119,4,FALSE),"")</f>
        <v>8 - DESPESAS FINANCEIRAS</v>
      </c>
      <c r="K2625" s="77" t="str">
        <f>IFERROR(VLOOKUP(DESPESAS[[#This Row],[Plano de Contas]],BASE!$B$3:$H$119,5,FALSE),"")</f>
        <v>FINANCEIRO</v>
      </c>
      <c r="L2625" s="77">
        <f>IFERROR(VLOOKUP(DESPESAS[[#This Row],[Plano de Contas]],BASE!$B$3:$H$119,6,FALSE),"")</f>
        <v>0</v>
      </c>
      <c r="M2625" s="77" t="str">
        <f>VLOOKUP(DESPESAS[[#This Row],[Plano de Contas]],BASE!$B$3:$H$119,7,FALSE)</f>
        <v>LETÍCIA</v>
      </c>
    </row>
    <row r="2626" spans="1:13" x14ac:dyDescent="0.25">
      <c r="A2626" s="74">
        <v>199643</v>
      </c>
      <c r="B2626" s="75" t="s">
        <v>281</v>
      </c>
      <c r="C2626" s="75" t="s">
        <v>1329</v>
      </c>
      <c r="D2626" s="76">
        <v>46099</v>
      </c>
      <c r="E2626" s="75" t="s">
        <v>230</v>
      </c>
      <c r="F2626" s="74">
        <v>0.79</v>
      </c>
      <c r="G2626" s="75" t="s">
        <v>236</v>
      </c>
      <c r="H2626" s="77" t="str">
        <f>VLOOKUP(DESPESAS[[#This Row],[Plano de Contas]],BASE!$B$3:$D$119,3,FALSE)</f>
        <v>Despesas de Cobranca</v>
      </c>
      <c r="I2626" s="77" t="str">
        <f>IFERROR(VLOOKUP(DESPESAS[[#This Row],[Fornecedor]],Tabela2[],2,FALSE),"")</f>
        <v/>
      </c>
      <c r="J2626" s="77" t="str">
        <f>IFERROR(VLOOKUP(DESPESAS[[#This Row],[Plano de Contas]],BASE!$B$3:$F$119,4,FALSE),"")</f>
        <v>8 - DESPESAS FINANCEIRAS</v>
      </c>
      <c r="K2626" s="77" t="str">
        <f>IFERROR(VLOOKUP(DESPESAS[[#This Row],[Plano de Contas]],BASE!$B$3:$H$119,5,FALSE),"")</f>
        <v>FINANCEIRO</v>
      </c>
      <c r="L2626" s="77">
        <f>IFERROR(VLOOKUP(DESPESAS[[#This Row],[Plano de Contas]],BASE!$B$3:$H$119,6,FALSE),"")</f>
        <v>0</v>
      </c>
      <c r="M2626" s="77" t="str">
        <f>VLOOKUP(DESPESAS[[#This Row],[Plano de Contas]],BASE!$B$3:$H$119,7,FALSE)</f>
        <v>LETÍCIA</v>
      </c>
    </row>
    <row r="2627" spans="1:13" x14ac:dyDescent="0.25">
      <c r="A2627" s="74">
        <v>199644</v>
      </c>
      <c r="B2627" s="75" t="s">
        <v>232</v>
      </c>
      <c r="C2627" s="75" t="s">
        <v>1328</v>
      </c>
      <c r="D2627" s="76">
        <v>46100</v>
      </c>
      <c r="E2627" s="75" t="s">
        <v>230</v>
      </c>
      <c r="F2627" s="74">
        <v>25.17</v>
      </c>
      <c r="G2627" s="75" t="s">
        <v>229</v>
      </c>
      <c r="H2627" s="77" t="str">
        <f>VLOOKUP(DESPESAS[[#This Row],[Plano de Contas]],BASE!$B$3:$D$119,3,FALSE)</f>
        <v>Despesas Bancarias</v>
      </c>
      <c r="I2627" s="77" t="str">
        <f>IFERROR(VLOOKUP(DESPESAS[[#This Row],[Fornecedor]],Tabela2[],2,FALSE),"")</f>
        <v/>
      </c>
      <c r="J2627" s="77" t="str">
        <f>IFERROR(VLOOKUP(DESPESAS[[#This Row],[Plano de Contas]],BASE!$B$3:$F$119,4,FALSE),"")</f>
        <v>8 - DESPESAS FINANCEIRAS</v>
      </c>
      <c r="K2627" s="77" t="str">
        <f>IFERROR(VLOOKUP(DESPESAS[[#This Row],[Plano de Contas]],BASE!$B$3:$H$119,5,FALSE),"")</f>
        <v>FINANCEIRO</v>
      </c>
      <c r="L2627" s="77">
        <f>IFERROR(VLOOKUP(DESPESAS[[#This Row],[Plano de Contas]],BASE!$B$3:$H$119,6,FALSE),"")</f>
        <v>0</v>
      </c>
      <c r="M2627" s="77" t="str">
        <f>VLOOKUP(DESPESAS[[#This Row],[Plano de Contas]],BASE!$B$3:$H$119,7,FALSE)</f>
        <v>LETÍCIA</v>
      </c>
    </row>
    <row r="2628" spans="1:13" x14ac:dyDescent="0.25">
      <c r="A2628" s="74">
        <v>199645</v>
      </c>
      <c r="B2628" s="75" t="s">
        <v>221</v>
      </c>
      <c r="C2628" s="75" t="s">
        <v>1327</v>
      </c>
      <c r="D2628" s="76">
        <v>46099</v>
      </c>
      <c r="E2628" s="75" t="s">
        <v>230</v>
      </c>
      <c r="F2628" s="74">
        <v>12.35</v>
      </c>
      <c r="G2628" s="75" t="s">
        <v>236</v>
      </c>
      <c r="H2628" s="77" t="str">
        <f>VLOOKUP(DESPESAS[[#This Row],[Plano de Contas]],BASE!$B$3:$D$119,3,FALSE)</f>
        <v>Despesas de Cobranca</v>
      </c>
      <c r="I2628" s="77" t="str">
        <f>IFERROR(VLOOKUP(DESPESAS[[#This Row],[Fornecedor]],Tabela2[],2,FALSE),"")</f>
        <v/>
      </c>
      <c r="J2628" s="77" t="str">
        <f>IFERROR(VLOOKUP(DESPESAS[[#This Row],[Plano de Contas]],BASE!$B$3:$F$119,4,FALSE),"")</f>
        <v>8 - DESPESAS FINANCEIRAS</v>
      </c>
      <c r="K2628" s="77" t="str">
        <f>IFERROR(VLOOKUP(DESPESAS[[#This Row],[Plano de Contas]],BASE!$B$3:$H$119,5,FALSE),"")</f>
        <v>FINANCEIRO</v>
      </c>
      <c r="L2628" s="77">
        <f>IFERROR(VLOOKUP(DESPESAS[[#This Row],[Plano de Contas]],BASE!$B$3:$H$119,6,FALSE),"")</f>
        <v>0</v>
      </c>
      <c r="M2628" s="77" t="str">
        <f>VLOOKUP(DESPESAS[[#This Row],[Plano de Contas]],BASE!$B$3:$H$119,7,FALSE)</f>
        <v>LETÍCIA</v>
      </c>
    </row>
    <row r="2629" spans="1:13" x14ac:dyDescent="0.25">
      <c r="A2629" s="74">
        <v>199646</v>
      </c>
      <c r="B2629" s="75" t="s">
        <v>279</v>
      </c>
      <c r="C2629" s="75" t="s">
        <v>1326</v>
      </c>
      <c r="D2629" s="76">
        <v>46099</v>
      </c>
      <c r="E2629" s="75" t="s">
        <v>230</v>
      </c>
      <c r="F2629" s="74">
        <v>3.16</v>
      </c>
      <c r="G2629" s="75" t="s">
        <v>236</v>
      </c>
      <c r="H2629" s="77" t="str">
        <f>VLOOKUP(DESPESAS[[#This Row],[Plano de Contas]],BASE!$B$3:$D$119,3,FALSE)</f>
        <v>Despesas de Cobranca</v>
      </c>
      <c r="I2629" s="77" t="str">
        <f>IFERROR(VLOOKUP(DESPESAS[[#This Row],[Fornecedor]],Tabela2[],2,FALSE),"")</f>
        <v/>
      </c>
      <c r="J2629" s="77" t="str">
        <f>IFERROR(VLOOKUP(DESPESAS[[#This Row],[Plano de Contas]],BASE!$B$3:$F$119,4,FALSE),"")</f>
        <v>8 - DESPESAS FINANCEIRAS</v>
      </c>
      <c r="K2629" s="77" t="str">
        <f>IFERROR(VLOOKUP(DESPESAS[[#This Row],[Plano de Contas]],BASE!$B$3:$H$119,5,FALSE),"")</f>
        <v>FINANCEIRO</v>
      </c>
      <c r="L2629" s="77">
        <f>IFERROR(VLOOKUP(DESPESAS[[#This Row],[Plano de Contas]],BASE!$B$3:$H$119,6,FALSE),"")</f>
        <v>0</v>
      </c>
      <c r="M2629" s="77" t="str">
        <f>VLOOKUP(DESPESAS[[#This Row],[Plano de Contas]],BASE!$B$3:$H$119,7,FALSE)</f>
        <v>LETÍCIA</v>
      </c>
    </row>
    <row r="2630" spans="1:13" x14ac:dyDescent="0.25">
      <c r="A2630" s="74">
        <v>199647</v>
      </c>
      <c r="B2630" s="75" t="s">
        <v>279</v>
      </c>
      <c r="C2630" s="75" t="s">
        <v>1325</v>
      </c>
      <c r="D2630" s="76">
        <v>46100</v>
      </c>
      <c r="E2630" s="75" t="s">
        <v>230</v>
      </c>
      <c r="F2630" s="74">
        <v>0.65</v>
      </c>
      <c r="G2630" s="75" t="s">
        <v>229</v>
      </c>
      <c r="H2630" s="77" t="str">
        <f>VLOOKUP(DESPESAS[[#This Row],[Plano de Contas]],BASE!$B$3:$D$119,3,FALSE)</f>
        <v>Despesas Bancarias</v>
      </c>
      <c r="I2630" s="77" t="str">
        <f>IFERROR(VLOOKUP(DESPESAS[[#This Row],[Fornecedor]],Tabela2[],2,FALSE),"")</f>
        <v/>
      </c>
      <c r="J2630" s="77" t="str">
        <f>IFERROR(VLOOKUP(DESPESAS[[#This Row],[Plano de Contas]],BASE!$B$3:$F$119,4,FALSE),"")</f>
        <v>8 - DESPESAS FINANCEIRAS</v>
      </c>
      <c r="K2630" s="77" t="str">
        <f>IFERROR(VLOOKUP(DESPESAS[[#This Row],[Plano de Contas]],BASE!$B$3:$H$119,5,FALSE),"")</f>
        <v>FINANCEIRO</v>
      </c>
      <c r="L2630" s="77">
        <f>IFERROR(VLOOKUP(DESPESAS[[#This Row],[Plano de Contas]],BASE!$B$3:$H$119,6,FALSE),"")</f>
        <v>0</v>
      </c>
      <c r="M2630" s="77" t="str">
        <f>VLOOKUP(DESPESAS[[#This Row],[Plano de Contas]],BASE!$B$3:$H$119,7,FALSE)</f>
        <v>LETÍCIA</v>
      </c>
    </row>
    <row r="2631" spans="1:13" x14ac:dyDescent="0.25">
      <c r="A2631" s="74">
        <v>199648</v>
      </c>
      <c r="B2631" s="75" t="s">
        <v>221</v>
      </c>
      <c r="C2631" s="75" t="s">
        <v>1324</v>
      </c>
      <c r="D2631" s="76">
        <v>46100</v>
      </c>
      <c r="E2631" s="75" t="s">
        <v>245</v>
      </c>
      <c r="F2631" s="74">
        <v>110</v>
      </c>
      <c r="G2631" s="75" t="s">
        <v>331</v>
      </c>
      <c r="H2631" s="77" t="str">
        <f>VLOOKUP(DESPESAS[[#This Row],[Plano de Contas]],BASE!$B$3:$D$119,3,FALSE)</f>
        <v>Manutenção Predial (Adm)</v>
      </c>
      <c r="I2631" s="77" t="str">
        <f>IFERROR(VLOOKUP(DESPESAS[[#This Row],[Fornecedor]],Tabela2[],2,FALSE),"")</f>
        <v>FERRAGENS GERAIS</v>
      </c>
      <c r="J2631" s="77" t="str">
        <f>IFERROR(VLOOKUP(DESPESAS[[#This Row],[Plano de Contas]],BASE!$B$3:$F$119,4,FALSE),"")</f>
        <v>4 - GASTOS COM PESSOAL</v>
      </c>
      <c r="K2631" s="77" t="str">
        <f>IFERROR(VLOOKUP(DESPESAS[[#This Row],[Plano de Contas]],BASE!$B$3:$H$119,5,FALSE),"")</f>
        <v>MANUTENÇÃO / TI</v>
      </c>
      <c r="L2631" s="77">
        <f>IFERROR(VLOOKUP(DESPESAS[[#This Row],[Plano de Contas]],BASE!$B$3:$H$119,6,FALSE),"")</f>
        <v>0</v>
      </c>
      <c r="M2631" s="77" t="str">
        <f>VLOOKUP(DESPESAS[[#This Row],[Plano de Contas]],BASE!$B$3:$H$119,7,FALSE)</f>
        <v>FÁBIO</v>
      </c>
    </row>
    <row r="2632" spans="1:13" x14ac:dyDescent="0.25">
      <c r="A2632" s="74">
        <v>199649</v>
      </c>
      <c r="B2632" s="75" t="s">
        <v>221</v>
      </c>
      <c r="C2632" s="75" t="s">
        <v>1323</v>
      </c>
      <c r="D2632" s="76">
        <v>46099</v>
      </c>
      <c r="E2632" s="75" t="s">
        <v>226</v>
      </c>
      <c r="F2632" s="74">
        <v>15</v>
      </c>
      <c r="G2632" s="75" t="s">
        <v>225</v>
      </c>
      <c r="H2632" s="77" t="str">
        <f>VLOOKUP(DESPESAS[[#This Row],[Plano de Contas]],BASE!$B$3:$D$119,3,FALSE)</f>
        <v>Despesas de Outros Gastos Não Operacionais</v>
      </c>
      <c r="I2632" s="77" t="str">
        <f>IFERROR(VLOOKUP(DESPESAS[[#This Row],[Fornecedor]],Tabela2[],2,FALSE),"")</f>
        <v/>
      </c>
      <c r="J2632" s="77" t="str">
        <f>IFERROR(VLOOKUP(DESPESAS[[#This Row],[Plano de Contas]],BASE!$B$3:$F$119,4,FALSE),"")</f>
        <v>8 - DESPESAS FINANCEIRAS</v>
      </c>
      <c r="K2632" s="77" t="str">
        <f>IFERROR(VLOOKUP(DESPESAS[[#This Row],[Plano de Contas]],BASE!$B$3:$H$119,5,FALSE),"")</f>
        <v>FINANCEIRO</v>
      </c>
      <c r="L2632" s="77">
        <f>IFERROR(VLOOKUP(DESPESAS[[#This Row],[Plano de Contas]],BASE!$B$3:$H$119,6,FALSE),"")</f>
        <v>0</v>
      </c>
      <c r="M2632" s="77" t="str">
        <f>VLOOKUP(DESPESAS[[#This Row],[Plano de Contas]],BASE!$B$3:$H$119,7,FALSE)</f>
        <v>LETÍCIA</v>
      </c>
    </row>
    <row r="2633" spans="1:13" x14ac:dyDescent="0.25">
      <c r="A2633" s="74">
        <v>199650</v>
      </c>
      <c r="B2633" s="75" t="s">
        <v>221</v>
      </c>
      <c r="C2633" s="75" t="s">
        <v>1323</v>
      </c>
      <c r="D2633" s="76">
        <v>46100</v>
      </c>
      <c r="E2633" s="75" t="s">
        <v>226</v>
      </c>
      <c r="F2633" s="74">
        <v>5</v>
      </c>
      <c r="G2633" s="75" t="s">
        <v>225</v>
      </c>
      <c r="H2633" s="77" t="str">
        <f>VLOOKUP(DESPESAS[[#This Row],[Plano de Contas]],BASE!$B$3:$D$119,3,FALSE)</f>
        <v>Despesas de Outros Gastos Não Operacionais</v>
      </c>
      <c r="I2633" s="77" t="str">
        <f>IFERROR(VLOOKUP(DESPESAS[[#This Row],[Fornecedor]],Tabela2[],2,FALSE),"")</f>
        <v/>
      </c>
      <c r="J2633" s="77" t="str">
        <f>IFERROR(VLOOKUP(DESPESAS[[#This Row],[Plano de Contas]],BASE!$B$3:$F$119,4,FALSE),"")</f>
        <v>8 - DESPESAS FINANCEIRAS</v>
      </c>
      <c r="K2633" s="77" t="str">
        <f>IFERROR(VLOOKUP(DESPESAS[[#This Row],[Plano de Contas]],BASE!$B$3:$H$119,5,FALSE),"")</f>
        <v>FINANCEIRO</v>
      </c>
      <c r="L2633" s="77">
        <f>IFERROR(VLOOKUP(DESPESAS[[#This Row],[Plano de Contas]],BASE!$B$3:$H$119,6,FALSE),"")</f>
        <v>0</v>
      </c>
      <c r="M2633" s="77" t="str">
        <f>VLOOKUP(DESPESAS[[#This Row],[Plano de Contas]],BASE!$B$3:$H$119,7,FALSE)</f>
        <v>LETÍCIA</v>
      </c>
    </row>
    <row r="2634" spans="1:13" x14ac:dyDescent="0.25">
      <c r="A2634" s="74">
        <v>199651</v>
      </c>
      <c r="B2634" s="75" t="s">
        <v>221</v>
      </c>
      <c r="C2634" s="75" t="s">
        <v>1322</v>
      </c>
      <c r="D2634" s="76">
        <v>46100</v>
      </c>
      <c r="E2634" s="75" t="s">
        <v>245</v>
      </c>
      <c r="F2634" s="74">
        <v>99.3</v>
      </c>
      <c r="G2634" s="75" t="s">
        <v>218</v>
      </c>
      <c r="H2634" s="77" t="str">
        <f>VLOOKUP(DESPESAS[[#This Row],[Plano de Contas]],BASE!$B$3:$D$119,3,FALSE)</f>
        <v>Manutenção de Equipamentos (Prod)</v>
      </c>
      <c r="I2634" s="77" t="str">
        <f>IFERROR(VLOOKUP(DESPESAS[[#This Row],[Fornecedor]],Tabela2[],2,FALSE),"")</f>
        <v>FERRAGENS GERAIS</v>
      </c>
      <c r="J2634" s="77" t="str">
        <f>IFERROR(VLOOKUP(DESPESAS[[#This Row],[Plano de Contas]],BASE!$B$3:$F$119,4,FALSE),"")</f>
        <v>3 - CUSTOS INDIRETOS</v>
      </c>
      <c r="K2634" s="77" t="str">
        <f>IFERROR(VLOOKUP(DESPESAS[[#This Row],[Plano de Contas]],BASE!$B$3:$H$119,5,FALSE),"")</f>
        <v>MANUTENÇÃO / TI</v>
      </c>
      <c r="L2634" s="77">
        <f>IFERROR(VLOOKUP(DESPESAS[[#This Row],[Plano de Contas]],BASE!$B$3:$H$119,6,FALSE),"")</f>
        <v>0</v>
      </c>
      <c r="M2634" s="77" t="str">
        <f>VLOOKUP(DESPESAS[[#This Row],[Plano de Contas]],BASE!$B$3:$H$119,7,FALSE)</f>
        <v>RAFAEL</v>
      </c>
    </row>
    <row r="2635" spans="1:13" x14ac:dyDescent="0.25">
      <c r="A2635" s="74">
        <v>199653</v>
      </c>
      <c r="B2635" s="75" t="s">
        <v>221</v>
      </c>
      <c r="C2635" s="75" t="s">
        <v>1321</v>
      </c>
      <c r="D2635" s="76">
        <v>46099</v>
      </c>
      <c r="E2635" s="75" t="s">
        <v>342</v>
      </c>
      <c r="F2635" s="74">
        <v>286.10000000000002</v>
      </c>
      <c r="G2635" s="75" t="s">
        <v>420</v>
      </c>
      <c r="H2635" s="77" t="str">
        <f>VLOOKUP(DESPESAS[[#This Row],[Plano de Contas]],BASE!$B$3:$D$119,3,FALSE)</f>
        <v>Material de Expediente (Adm)</v>
      </c>
      <c r="I2635" s="77" t="str">
        <f>IFERROR(VLOOKUP(DESPESAS[[#This Row],[Fornecedor]],Tabela2[],2,FALSE),"")</f>
        <v/>
      </c>
      <c r="J2635" s="77" t="str">
        <f>IFERROR(VLOOKUP(DESPESAS[[#This Row],[Plano de Contas]],BASE!$B$3:$F$119,4,FALSE),"")</f>
        <v>5 - DESPESAS ADMINISTRATIVAS</v>
      </c>
      <c r="K2635" s="77" t="str">
        <f>IFERROR(VLOOKUP(DESPESAS[[#This Row],[Plano de Contas]],BASE!$B$3:$H$119,5,FALSE),"")</f>
        <v>ADMINISTRATIVO</v>
      </c>
      <c r="L2635" s="77">
        <f>IFERROR(VLOOKUP(DESPESAS[[#This Row],[Plano de Contas]],BASE!$B$3:$H$119,6,FALSE),"")</f>
        <v>0</v>
      </c>
      <c r="M2635" s="77" t="str">
        <f>VLOOKUP(DESPESAS[[#This Row],[Plano de Contas]],BASE!$B$3:$H$119,7,FALSE)</f>
        <v>LETÍCIA</v>
      </c>
    </row>
    <row r="2636" spans="1:13" x14ac:dyDescent="0.25">
      <c r="A2636" s="74">
        <v>199654</v>
      </c>
      <c r="B2636" s="75" t="s">
        <v>221</v>
      </c>
      <c r="C2636" s="75" t="s">
        <v>1320</v>
      </c>
      <c r="D2636" s="76">
        <v>46099</v>
      </c>
      <c r="E2636" s="75" t="s">
        <v>342</v>
      </c>
      <c r="F2636" s="74">
        <v>249.9</v>
      </c>
      <c r="G2636" s="75" t="s">
        <v>244</v>
      </c>
      <c r="H2636" s="77" t="str">
        <f>VLOOKUP(DESPESAS[[#This Row],[Plano de Contas]],BASE!$B$3:$D$119,3,FALSE)</f>
        <v>Material de Expediente (Prod)</v>
      </c>
      <c r="I2636" s="77" t="str">
        <f>IFERROR(VLOOKUP(DESPESAS[[#This Row],[Fornecedor]],Tabela2[],2,FALSE),"")</f>
        <v/>
      </c>
      <c r="J2636" s="77" t="str">
        <f>IFERROR(VLOOKUP(DESPESAS[[#This Row],[Plano de Contas]],BASE!$B$3:$F$119,4,FALSE),"")</f>
        <v>2 - CUSTOS DIRETOS</v>
      </c>
      <c r="K2636" s="77" t="str">
        <f>IFERROR(VLOOKUP(DESPESAS[[#This Row],[Plano de Contas]],BASE!$B$3:$H$119,5,FALSE),"")</f>
        <v>PRODUÇÃO</v>
      </c>
      <c r="L2636" s="77">
        <f>IFERROR(VLOOKUP(DESPESAS[[#This Row],[Plano de Contas]],BASE!$B$3:$H$119,6,FALSE),"")</f>
        <v>0</v>
      </c>
      <c r="M2636" s="77" t="str">
        <f>VLOOKUP(DESPESAS[[#This Row],[Plano de Contas]],BASE!$B$3:$H$119,7,FALSE)</f>
        <v>RAFAEL</v>
      </c>
    </row>
    <row r="2637" spans="1:13" x14ac:dyDescent="0.25">
      <c r="A2637" s="74">
        <v>199655</v>
      </c>
      <c r="B2637" s="75" t="s">
        <v>221</v>
      </c>
      <c r="C2637" s="75" t="s">
        <v>1319</v>
      </c>
      <c r="D2637" s="76">
        <v>46099</v>
      </c>
      <c r="E2637" s="75" t="s">
        <v>342</v>
      </c>
      <c r="F2637" s="74">
        <v>148</v>
      </c>
      <c r="G2637" s="75" t="s">
        <v>1318</v>
      </c>
      <c r="H2637" s="77" t="str">
        <f>VLOOKUP(DESPESAS[[#This Row],[Plano de Contas]],BASE!$B$3:$D$119,3,FALSE)</f>
        <v>Feiras e Eventos</v>
      </c>
      <c r="I2637" s="77" t="str">
        <f>IFERROR(VLOOKUP(DESPESAS[[#This Row],[Fornecedor]],Tabela2[],2,FALSE),"")</f>
        <v/>
      </c>
      <c r="J2637" s="77" t="str">
        <f>IFERROR(VLOOKUP(DESPESAS[[#This Row],[Plano de Contas]],BASE!$B$3:$F$119,4,FALSE),"")</f>
        <v>6 - DESPESA COM VENDAS</v>
      </c>
      <c r="K2637" s="77" t="str">
        <f>IFERROR(VLOOKUP(DESPESAS[[#This Row],[Plano de Contas]],BASE!$B$3:$H$119,5,FALSE),"")</f>
        <v>COMERCIAL</v>
      </c>
      <c r="L2637" s="77">
        <f>IFERROR(VLOOKUP(DESPESAS[[#This Row],[Plano de Contas]],BASE!$B$3:$H$119,6,FALSE),"")</f>
        <v>0</v>
      </c>
      <c r="M2637" s="77" t="str">
        <f>VLOOKUP(DESPESAS[[#This Row],[Plano de Contas]],BASE!$B$3:$H$119,7,FALSE)</f>
        <v>THAIS</v>
      </c>
    </row>
    <row r="2638" spans="1:13" x14ac:dyDescent="0.25">
      <c r="A2638" s="74">
        <v>199657</v>
      </c>
      <c r="B2638" s="75" t="s">
        <v>221</v>
      </c>
      <c r="C2638" s="75" t="s">
        <v>1317</v>
      </c>
      <c r="D2638" s="76">
        <v>46135</v>
      </c>
      <c r="E2638" s="75" t="s">
        <v>347</v>
      </c>
      <c r="F2638" s="74">
        <v>105.8</v>
      </c>
      <c r="G2638" s="75" t="s">
        <v>747</v>
      </c>
      <c r="H2638" s="77" t="str">
        <f>VLOOKUP(DESPESAS[[#This Row],[Plano de Contas]],BASE!$B$3:$D$119,3,FALSE)</f>
        <v>Cursos e Treinamentos (Adm)</v>
      </c>
      <c r="I2638" s="77" t="str">
        <f>IFERROR(VLOOKUP(DESPESAS[[#This Row],[Fornecedor]],Tabela2[],2,FALSE),"")</f>
        <v/>
      </c>
      <c r="J2638" s="77" t="str">
        <f>IFERROR(VLOOKUP(DESPESAS[[#This Row],[Plano de Contas]],BASE!$B$3:$F$119,4,FALSE),"")</f>
        <v>4 - GASTOS COM PESSOAL</v>
      </c>
      <c r="K2638" s="77" t="str">
        <f>IFERROR(VLOOKUP(DESPESAS[[#This Row],[Plano de Contas]],BASE!$B$3:$H$119,5,FALSE),"")</f>
        <v>DIRETORIA</v>
      </c>
      <c r="L2638" s="77">
        <f>IFERROR(VLOOKUP(DESPESAS[[#This Row],[Plano de Contas]],BASE!$B$3:$H$119,6,FALSE),"")</f>
        <v>0</v>
      </c>
      <c r="M2638" s="77" t="str">
        <f>VLOOKUP(DESPESAS[[#This Row],[Plano de Contas]],BASE!$B$3:$H$119,7,FALSE)</f>
        <v>FÁBIO</v>
      </c>
    </row>
    <row r="2639" spans="1:13" x14ac:dyDescent="0.25">
      <c r="A2639" s="74">
        <v>199663</v>
      </c>
      <c r="B2639" s="75" t="s">
        <v>221</v>
      </c>
      <c r="C2639" s="75" t="s">
        <v>1315</v>
      </c>
      <c r="D2639" s="76">
        <v>46135</v>
      </c>
      <c r="E2639" s="75" t="s">
        <v>347</v>
      </c>
      <c r="F2639" s="74">
        <v>482.95</v>
      </c>
      <c r="G2639" s="75" t="s">
        <v>747</v>
      </c>
      <c r="H2639" s="77" t="str">
        <f>VLOOKUP(DESPESAS[[#This Row],[Plano de Contas]],BASE!$B$3:$D$119,3,FALSE)</f>
        <v>Cursos e Treinamentos (Adm)</v>
      </c>
      <c r="I2639" s="77" t="str">
        <f>IFERROR(VLOOKUP(DESPESAS[[#This Row],[Fornecedor]],Tabela2[],2,FALSE),"")</f>
        <v/>
      </c>
      <c r="J2639" s="77" t="str">
        <f>IFERROR(VLOOKUP(DESPESAS[[#This Row],[Plano de Contas]],BASE!$B$3:$F$119,4,FALSE),"")</f>
        <v>4 - GASTOS COM PESSOAL</v>
      </c>
      <c r="K2639" s="77" t="str">
        <f>IFERROR(VLOOKUP(DESPESAS[[#This Row],[Plano de Contas]],BASE!$B$3:$H$119,5,FALSE),"")</f>
        <v>DIRETORIA</v>
      </c>
      <c r="L2639" s="77">
        <f>IFERROR(VLOOKUP(DESPESAS[[#This Row],[Plano de Contas]],BASE!$B$3:$H$119,6,FALSE),"")</f>
        <v>0</v>
      </c>
      <c r="M2639" s="77" t="str">
        <f>VLOOKUP(DESPESAS[[#This Row],[Plano de Contas]],BASE!$B$3:$H$119,7,FALSE)</f>
        <v>FÁBIO</v>
      </c>
    </row>
    <row r="2640" spans="1:13" x14ac:dyDescent="0.25">
      <c r="A2640" s="74">
        <v>199667</v>
      </c>
      <c r="B2640" s="75" t="s">
        <v>221</v>
      </c>
      <c r="C2640" s="75" t="s">
        <v>1314</v>
      </c>
      <c r="D2640" s="76">
        <v>46100</v>
      </c>
      <c r="E2640" s="75" t="s">
        <v>399</v>
      </c>
      <c r="F2640" s="74">
        <v>10.75</v>
      </c>
      <c r="G2640" s="75" t="s">
        <v>1006</v>
      </c>
      <c r="H2640" s="77" t="str">
        <f>VLOOKUP(DESPESAS[[#This Row],[Plano de Contas]],BASE!$B$3:$D$119,3,FALSE)</f>
        <v>Material de Limpeza (Adm)</v>
      </c>
      <c r="I2640" s="77" t="str">
        <f>IFERROR(VLOOKUP(DESPESAS[[#This Row],[Fornecedor]],Tabela2[],2,FALSE),"")</f>
        <v/>
      </c>
      <c r="J2640" s="77" t="str">
        <f>IFERROR(VLOOKUP(DESPESAS[[#This Row],[Plano de Contas]],BASE!$B$3:$F$119,4,FALSE),"")</f>
        <v>5 - DESPESAS ADMINISTRATIVAS</v>
      </c>
      <c r="K2640" s="77" t="str">
        <f>IFERROR(VLOOKUP(DESPESAS[[#This Row],[Plano de Contas]],BASE!$B$3:$H$119,5,FALSE),"")</f>
        <v>ADMINISTRATIVO</v>
      </c>
      <c r="L2640" s="77">
        <f>IFERROR(VLOOKUP(DESPESAS[[#This Row],[Plano de Contas]],BASE!$B$3:$H$119,6,FALSE),"")</f>
        <v>0</v>
      </c>
      <c r="M2640" s="77" t="str">
        <f>VLOOKUP(DESPESAS[[#This Row],[Plano de Contas]],BASE!$B$3:$H$119,7,FALSE)</f>
        <v>MYLENA</v>
      </c>
    </row>
    <row r="2641" spans="1:13" x14ac:dyDescent="0.25">
      <c r="A2641" s="74">
        <v>199680</v>
      </c>
      <c r="B2641" s="75" t="s">
        <v>221</v>
      </c>
      <c r="C2641" s="75" t="s">
        <v>1313</v>
      </c>
      <c r="D2641" s="76">
        <v>46100</v>
      </c>
      <c r="E2641" s="75" t="s">
        <v>239</v>
      </c>
      <c r="F2641" s="74">
        <v>131.66999999999999</v>
      </c>
      <c r="G2641" s="75" t="s">
        <v>238</v>
      </c>
      <c r="H2641" s="77" t="str">
        <f>VLOOKUP(DESPESAS[[#This Row],[Plano de Contas]],BASE!$B$3:$D$119,3,FALSE)</f>
        <v>Consultoria Comercial</v>
      </c>
      <c r="I2641" s="77" t="str">
        <f>IFERROR(VLOOKUP(DESPESAS[[#This Row],[Fornecedor]],Tabela2[],2,FALSE),"")</f>
        <v/>
      </c>
      <c r="J2641" s="77" t="str">
        <f>IFERROR(VLOOKUP(DESPESAS[[#This Row],[Plano de Contas]],BASE!$B$3:$F$119,4,FALSE),"")</f>
        <v>6 - DESPESA COM VENDAS</v>
      </c>
      <c r="K2641" s="77" t="str">
        <f>IFERROR(VLOOKUP(DESPESAS[[#This Row],[Plano de Contas]],BASE!$B$3:$H$119,5,FALSE),"")</f>
        <v>COMERCIAL</v>
      </c>
      <c r="L2641" s="77">
        <f>IFERROR(VLOOKUP(DESPESAS[[#This Row],[Plano de Contas]],BASE!$B$3:$H$119,6,FALSE),"")</f>
        <v>0</v>
      </c>
      <c r="M2641" s="77" t="str">
        <f>VLOOKUP(DESPESAS[[#This Row],[Plano de Contas]],BASE!$B$3:$H$119,7,FALSE)</f>
        <v>LETÍCIA</v>
      </c>
    </row>
    <row r="2642" spans="1:13" x14ac:dyDescent="0.25">
      <c r="A2642" s="74">
        <v>199681</v>
      </c>
      <c r="B2642" s="75" t="s">
        <v>232</v>
      </c>
      <c r="C2642" s="75" t="s">
        <v>1312</v>
      </c>
      <c r="D2642" s="76">
        <v>46100</v>
      </c>
      <c r="E2642" s="75" t="s">
        <v>1311</v>
      </c>
      <c r="F2642" s="74">
        <v>5019.53</v>
      </c>
      <c r="G2642" s="75" t="s">
        <v>218</v>
      </c>
      <c r="H2642" s="77" t="str">
        <f>VLOOKUP(DESPESAS[[#This Row],[Plano de Contas]],BASE!$B$3:$D$119,3,FALSE)</f>
        <v>Manutenção de Equipamentos (Prod)</v>
      </c>
      <c r="I2642" s="77" t="str">
        <f>IFERROR(VLOOKUP(DESPESAS[[#This Row],[Fornecedor]],Tabela2[],2,FALSE),"")</f>
        <v>PEÇAS GRAMPEADORES BEA</v>
      </c>
      <c r="J2642" s="77" t="str">
        <f>IFERROR(VLOOKUP(DESPESAS[[#This Row],[Plano de Contas]],BASE!$B$3:$F$119,4,FALSE),"")</f>
        <v>3 - CUSTOS INDIRETOS</v>
      </c>
      <c r="K2642" s="77" t="str">
        <f>IFERROR(VLOOKUP(DESPESAS[[#This Row],[Plano de Contas]],BASE!$B$3:$H$119,5,FALSE),"")</f>
        <v>MANUTENÇÃO / TI</v>
      </c>
      <c r="L2642" s="77">
        <f>IFERROR(VLOOKUP(DESPESAS[[#This Row],[Plano de Contas]],BASE!$B$3:$H$119,6,FALSE),"")</f>
        <v>0</v>
      </c>
      <c r="M2642" s="77" t="str">
        <f>VLOOKUP(DESPESAS[[#This Row],[Plano de Contas]],BASE!$B$3:$H$119,7,FALSE)</f>
        <v>RAFAEL</v>
      </c>
    </row>
    <row r="2643" spans="1:13" x14ac:dyDescent="0.25">
      <c r="A2643" s="74">
        <v>199682</v>
      </c>
      <c r="B2643" s="75" t="s">
        <v>232</v>
      </c>
      <c r="C2643" s="75" t="s">
        <v>1310</v>
      </c>
      <c r="D2643" s="76">
        <v>46100</v>
      </c>
      <c r="E2643" s="75" t="s">
        <v>230</v>
      </c>
      <c r="F2643" s="74">
        <v>9.48</v>
      </c>
      <c r="G2643" s="75" t="s">
        <v>236</v>
      </c>
      <c r="H2643" s="77" t="str">
        <f>VLOOKUP(DESPESAS[[#This Row],[Plano de Contas]],BASE!$B$3:$D$119,3,FALSE)</f>
        <v>Despesas de Cobranca</v>
      </c>
      <c r="I2643" s="77" t="str">
        <f>IFERROR(VLOOKUP(DESPESAS[[#This Row],[Fornecedor]],Tabela2[],2,FALSE),"")</f>
        <v/>
      </c>
      <c r="J2643" s="77" t="str">
        <f>IFERROR(VLOOKUP(DESPESAS[[#This Row],[Plano de Contas]],BASE!$B$3:$F$119,4,FALSE),"")</f>
        <v>8 - DESPESAS FINANCEIRAS</v>
      </c>
      <c r="K2643" s="77" t="str">
        <f>IFERROR(VLOOKUP(DESPESAS[[#This Row],[Plano de Contas]],BASE!$B$3:$H$119,5,FALSE),"")</f>
        <v>FINANCEIRO</v>
      </c>
      <c r="L2643" s="77">
        <f>IFERROR(VLOOKUP(DESPESAS[[#This Row],[Plano de Contas]],BASE!$B$3:$H$119,6,FALSE),"")</f>
        <v>0</v>
      </c>
      <c r="M2643" s="77" t="str">
        <f>VLOOKUP(DESPESAS[[#This Row],[Plano de Contas]],BASE!$B$3:$H$119,7,FALSE)</f>
        <v>LETÍCIA</v>
      </c>
    </row>
    <row r="2644" spans="1:13" x14ac:dyDescent="0.25">
      <c r="A2644" s="74">
        <v>199683</v>
      </c>
      <c r="B2644" s="75" t="s">
        <v>232</v>
      </c>
      <c r="C2644" s="75" t="s">
        <v>1309</v>
      </c>
      <c r="D2644" s="76">
        <v>46101</v>
      </c>
      <c r="E2644" s="75" t="s">
        <v>230</v>
      </c>
      <c r="F2644" s="74">
        <v>3.85</v>
      </c>
      <c r="G2644" s="75" t="s">
        <v>229</v>
      </c>
      <c r="H2644" s="77" t="str">
        <f>VLOOKUP(DESPESAS[[#This Row],[Plano de Contas]],BASE!$B$3:$D$119,3,FALSE)</f>
        <v>Despesas Bancarias</v>
      </c>
      <c r="I2644" s="77" t="str">
        <f>IFERROR(VLOOKUP(DESPESAS[[#This Row],[Fornecedor]],Tabela2[],2,FALSE),"")</f>
        <v/>
      </c>
      <c r="J2644" s="77" t="str">
        <f>IFERROR(VLOOKUP(DESPESAS[[#This Row],[Plano de Contas]],BASE!$B$3:$F$119,4,FALSE),"")</f>
        <v>8 - DESPESAS FINANCEIRAS</v>
      </c>
      <c r="K2644" s="77" t="str">
        <f>IFERROR(VLOOKUP(DESPESAS[[#This Row],[Plano de Contas]],BASE!$B$3:$H$119,5,FALSE),"")</f>
        <v>FINANCEIRO</v>
      </c>
      <c r="L2644" s="77">
        <f>IFERROR(VLOOKUP(DESPESAS[[#This Row],[Plano de Contas]],BASE!$B$3:$H$119,6,FALSE),"")</f>
        <v>0</v>
      </c>
      <c r="M2644" s="77" t="str">
        <f>VLOOKUP(DESPESAS[[#This Row],[Plano de Contas]],BASE!$B$3:$H$119,7,FALSE)</f>
        <v>LETÍCIA</v>
      </c>
    </row>
    <row r="2645" spans="1:13" x14ac:dyDescent="0.25">
      <c r="A2645" s="74">
        <v>199684</v>
      </c>
      <c r="B2645" s="75" t="s">
        <v>232</v>
      </c>
      <c r="C2645" s="75" t="s">
        <v>1308</v>
      </c>
      <c r="D2645" s="76">
        <v>46101</v>
      </c>
      <c r="E2645" s="75" t="s">
        <v>230</v>
      </c>
      <c r="F2645" s="74">
        <v>35.31</v>
      </c>
      <c r="G2645" s="75" t="s">
        <v>251</v>
      </c>
      <c r="H2645" s="77" t="str">
        <f>VLOOKUP(DESPESAS[[#This Row],[Plano de Contas]],BASE!$B$3:$D$119,3,FALSE)</f>
        <v>Juros Pagos - Antecipação de Crédito</v>
      </c>
      <c r="I2645" s="77" t="str">
        <f>IFERROR(VLOOKUP(DESPESAS[[#This Row],[Fornecedor]],Tabela2[],2,FALSE),"")</f>
        <v/>
      </c>
      <c r="J2645" s="77" t="str">
        <f>IFERROR(VLOOKUP(DESPESAS[[#This Row],[Plano de Contas]],BASE!$B$3:$F$119,4,FALSE),"")</f>
        <v>8 - DESPESAS FINANCEIRAS</v>
      </c>
      <c r="K2645" s="77" t="str">
        <f>IFERROR(VLOOKUP(DESPESAS[[#This Row],[Plano de Contas]],BASE!$B$3:$H$119,5,FALSE),"")</f>
        <v>FINANCEIRO</v>
      </c>
      <c r="L2645" s="77">
        <f>IFERROR(VLOOKUP(DESPESAS[[#This Row],[Plano de Contas]],BASE!$B$3:$H$119,6,FALSE),"")</f>
        <v>0</v>
      </c>
      <c r="M2645" s="77" t="str">
        <f>VLOOKUP(DESPESAS[[#This Row],[Plano de Contas]],BASE!$B$3:$H$119,7,FALSE)</f>
        <v>LETÍCIA</v>
      </c>
    </row>
    <row r="2646" spans="1:13" x14ac:dyDescent="0.25">
      <c r="A2646" s="74">
        <v>199685</v>
      </c>
      <c r="B2646" s="75" t="s">
        <v>232</v>
      </c>
      <c r="C2646" s="75" t="s">
        <v>1307</v>
      </c>
      <c r="D2646" s="76">
        <v>46100</v>
      </c>
      <c r="E2646" s="75" t="s">
        <v>230</v>
      </c>
      <c r="F2646" s="74">
        <v>1.58</v>
      </c>
      <c r="G2646" s="75" t="s">
        <v>229</v>
      </c>
      <c r="H2646" s="77" t="str">
        <f>VLOOKUP(DESPESAS[[#This Row],[Plano de Contas]],BASE!$B$3:$D$119,3,FALSE)</f>
        <v>Despesas Bancarias</v>
      </c>
      <c r="I2646" s="77" t="str">
        <f>IFERROR(VLOOKUP(DESPESAS[[#This Row],[Fornecedor]],Tabela2[],2,FALSE),"")</f>
        <v/>
      </c>
      <c r="J2646" s="77" t="str">
        <f>IFERROR(VLOOKUP(DESPESAS[[#This Row],[Plano de Contas]],BASE!$B$3:$F$119,4,FALSE),"")</f>
        <v>8 - DESPESAS FINANCEIRAS</v>
      </c>
      <c r="K2646" s="77" t="str">
        <f>IFERROR(VLOOKUP(DESPESAS[[#This Row],[Plano de Contas]],BASE!$B$3:$H$119,5,FALSE),"")</f>
        <v>FINANCEIRO</v>
      </c>
      <c r="L2646" s="77">
        <f>IFERROR(VLOOKUP(DESPESAS[[#This Row],[Plano de Contas]],BASE!$B$3:$H$119,6,FALSE),"")</f>
        <v>0</v>
      </c>
      <c r="M2646" s="77" t="str">
        <f>VLOOKUP(DESPESAS[[#This Row],[Plano de Contas]],BASE!$B$3:$H$119,7,FALSE)</f>
        <v>LETÍCIA</v>
      </c>
    </row>
    <row r="2647" spans="1:13" x14ac:dyDescent="0.25">
      <c r="A2647" s="74">
        <v>199686</v>
      </c>
      <c r="B2647" s="75" t="s">
        <v>232</v>
      </c>
      <c r="C2647" s="75" t="s">
        <v>1306</v>
      </c>
      <c r="D2647" s="76">
        <v>46100</v>
      </c>
      <c r="E2647" s="75" t="s">
        <v>230</v>
      </c>
      <c r="F2647" s="74">
        <v>11.65</v>
      </c>
      <c r="G2647" s="75" t="s">
        <v>356</v>
      </c>
      <c r="H2647" s="77" t="str">
        <f>VLOOKUP(DESPESAS[[#This Row],[Plano de Contas]],BASE!$B$3:$D$119,3,FALSE)</f>
        <v>Despesas Cartorárias</v>
      </c>
      <c r="I2647" s="77" t="str">
        <f>IFERROR(VLOOKUP(DESPESAS[[#This Row],[Fornecedor]],Tabela2[],2,FALSE),"")</f>
        <v/>
      </c>
      <c r="J2647" s="77" t="str">
        <f>IFERROR(VLOOKUP(DESPESAS[[#This Row],[Plano de Contas]],BASE!$B$3:$F$119,4,FALSE),"")</f>
        <v>5 - DESPESAS ADMINISTRATIVAS</v>
      </c>
      <c r="K2647" s="77" t="str">
        <f>IFERROR(VLOOKUP(DESPESAS[[#This Row],[Plano de Contas]],BASE!$B$3:$H$119,5,FALSE),"")</f>
        <v>FINANCEIRO</v>
      </c>
      <c r="L2647" s="77">
        <f>IFERROR(VLOOKUP(DESPESAS[[#This Row],[Plano de Contas]],BASE!$B$3:$H$119,6,FALSE),"")</f>
        <v>0</v>
      </c>
      <c r="M2647" s="77" t="str">
        <f>VLOOKUP(DESPESAS[[#This Row],[Plano de Contas]],BASE!$B$3:$H$119,7,FALSE)</f>
        <v>LETÍCIA</v>
      </c>
    </row>
    <row r="2648" spans="1:13" x14ac:dyDescent="0.25">
      <c r="A2648" s="74">
        <v>199687</v>
      </c>
      <c r="B2648" s="75" t="s">
        <v>279</v>
      </c>
      <c r="C2648" s="75" t="s">
        <v>1306</v>
      </c>
      <c r="D2648" s="76">
        <v>46100</v>
      </c>
      <c r="E2648" s="75" t="s">
        <v>230</v>
      </c>
      <c r="F2648" s="74">
        <v>1.58</v>
      </c>
      <c r="G2648" s="75" t="s">
        <v>236</v>
      </c>
      <c r="H2648" s="77" t="str">
        <f>VLOOKUP(DESPESAS[[#This Row],[Plano de Contas]],BASE!$B$3:$D$119,3,FALSE)</f>
        <v>Despesas de Cobranca</v>
      </c>
      <c r="I2648" s="77" t="str">
        <f>IFERROR(VLOOKUP(DESPESAS[[#This Row],[Fornecedor]],Tabela2[],2,FALSE),"")</f>
        <v/>
      </c>
      <c r="J2648" s="77" t="str">
        <f>IFERROR(VLOOKUP(DESPESAS[[#This Row],[Plano de Contas]],BASE!$B$3:$F$119,4,FALSE),"")</f>
        <v>8 - DESPESAS FINANCEIRAS</v>
      </c>
      <c r="K2648" s="77" t="str">
        <f>IFERROR(VLOOKUP(DESPESAS[[#This Row],[Plano de Contas]],BASE!$B$3:$H$119,5,FALSE),"")</f>
        <v>FINANCEIRO</v>
      </c>
      <c r="L2648" s="77">
        <f>IFERROR(VLOOKUP(DESPESAS[[#This Row],[Plano de Contas]],BASE!$B$3:$H$119,6,FALSE),"")</f>
        <v>0</v>
      </c>
      <c r="M2648" s="77" t="str">
        <f>VLOOKUP(DESPESAS[[#This Row],[Plano de Contas]],BASE!$B$3:$H$119,7,FALSE)</f>
        <v>LETÍCIA</v>
      </c>
    </row>
    <row r="2649" spans="1:13" x14ac:dyDescent="0.25">
      <c r="A2649" s="74">
        <v>199688</v>
      </c>
      <c r="B2649" s="75" t="s">
        <v>279</v>
      </c>
      <c r="C2649" s="75" t="s">
        <v>1305</v>
      </c>
      <c r="D2649" s="76">
        <v>46101</v>
      </c>
      <c r="E2649" s="75" t="s">
        <v>230</v>
      </c>
      <c r="F2649" s="74">
        <v>1.31</v>
      </c>
      <c r="G2649" s="75" t="s">
        <v>229</v>
      </c>
      <c r="H2649" s="77" t="str">
        <f>VLOOKUP(DESPESAS[[#This Row],[Plano de Contas]],BASE!$B$3:$D$119,3,FALSE)</f>
        <v>Despesas Bancarias</v>
      </c>
      <c r="I2649" s="77" t="str">
        <f>IFERROR(VLOOKUP(DESPESAS[[#This Row],[Fornecedor]],Tabela2[],2,FALSE),"")</f>
        <v/>
      </c>
      <c r="J2649" s="77" t="str">
        <f>IFERROR(VLOOKUP(DESPESAS[[#This Row],[Plano de Contas]],BASE!$B$3:$F$119,4,FALSE),"")</f>
        <v>8 - DESPESAS FINANCEIRAS</v>
      </c>
      <c r="K2649" s="77" t="str">
        <f>IFERROR(VLOOKUP(DESPESAS[[#This Row],[Plano de Contas]],BASE!$B$3:$H$119,5,FALSE),"")</f>
        <v>FINANCEIRO</v>
      </c>
      <c r="L2649" s="77">
        <f>IFERROR(VLOOKUP(DESPESAS[[#This Row],[Plano de Contas]],BASE!$B$3:$H$119,6,FALSE),"")</f>
        <v>0</v>
      </c>
      <c r="M2649" s="77" t="str">
        <f>VLOOKUP(DESPESAS[[#This Row],[Plano de Contas]],BASE!$B$3:$H$119,7,FALSE)</f>
        <v>LETÍCIA</v>
      </c>
    </row>
    <row r="2650" spans="1:13" x14ac:dyDescent="0.25">
      <c r="A2650" s="74">
        <v>199689</v>
      </c>
      <c r="B2650" s="75" t="s">
        <v>279</v>
      </c>
      <c r="C2650" s="75" t="s">
        <v>1304</v>
      </c>
      <c r="D2650" s="76">
        <v>46101</v>
      </c>
      <c r="E2650" s="75" t="s">
        <v>230</v>
      </c>
      <c r="F2650" s="74">
        <v>13.33</v>
      </c>
      <c r="G2650" s="75" t="s">
        <v>251</v>
      </c>
      <c r="H2650" s="77" t="str">
        <f>VLOOKUP(DESPESAS[[#This Row],[Plano de Contas]],BASE!$B$3:$D$119,3,FALSE)</f>
        <v>Juros Pagos - Antecipação de Crédito</v>
      </c>
      <c r="I2650" s="77" t="str">
        <f>IFERROR(VLOOKUP(DESPESAS[[#This Row],[Fornecedor]],Tabela2[],2,FALSE),"")</f>
        <v/>
      </c>
      <c r="J2650" s="77" t="str">
        <f>IFERROR(VLOOKUP(DESPESAS[[#This Row],[Plano de Contas]],BASE!$B$3:$F$119,4,FALSE),"")</f>
        <v>8 - DESPESAS FINANCEIRAS</v>
      </c>
      <c r="K2650" s="77" t="str">
        <f>IFERROR(VLOOKUP(DESPESAS[[#This Row],[Plano de Contas]],BASE!$B$3:$H$119,5,FALSE),"")</f>
        <v>FINANCEIRO</v>
      </c>
      <c r="L2650" s="77">
        <f>IFERROR(VLOOKUP(DESPESAS[[#This Row],[Plano de Contas]],BASE!$B$3:$H$119,6,FALSE),"")</f>
        <v>0</v>
      </c>
      <c r="M2650" s="77" t="str">
        <f>VLOOKUP(DESPESAS[[#This Row],[Plano de Contas]],BASE!$B$3:$H$119,7,FALSE)</f>
        <v>LETÍCIA</v>
      </c>
    </row>
    <row r="2651" spans="1:13" x14ac:dyDescent="0.25">
      <c r="A2651" s="74">
        <v>199690</v>
      </c>
      <c r="B2651" s="75" t="s">
        <v>232</v>
      </c>
      <c r="C2651" s="75" t="s">
        <v>1303</v>
      </c>
      <c r="D2651" s="76">
        <v>46100</v>
      </c>
      <c r="E2651" s="75" t="s">
        <v>230</v>
      </c>
      <c r="F2651" s="74">
        <v>6.65</v>
      </c>
      <c r="G2651" s="75" t="s">
        <v>236</v>
      </c>
      <c r="H2651" s="77" t="str">
        <f>VLOOKUP(DESPESAS[[#This Row],[Plano de Contas]],BASE!$B$3:$D$119,3,FALSE)</f>
        <v>Despesas de Cobranca</v>
      </c>
      <c r="I2651" s="77" t="str">
        <f>IFERROR(VLOOKUP(DESPESAS[[#This Row],[Fornecedor]],Tabela2[],2,FALSE),"")</f>
        <v/>
      </c>
      <c r="J2651" s="77" t="str">
        <f>IFERROR(VLOOKUP(DESPESAS[[#This Row],[Plano de Contas]],BASE!$B$3:$F$119,4,FALSE),"")</f>
        <v>8 - DESPESAS FINANCEIRAS</v>
      </c>
      <c r="K2651" s="77" t="str">
        <f>IFERROR(VLOOKUP(DESPESAS[[#This Row],[Plano de Contas]],BASE!$B$3:$H$119,5,FALSE),"")</f>
        <v>FINANCEIRO</v>
      </c>
      <c r="L2651" s="77">
        <f>IFERROR(VLOOKUP(DESPESAS[[#This Row],[Plano de Contas]],BASE!$B$3:$H$119,6,FALSE),"")</f>
        <v>0</v>
      </c>
      <c r="M2651" s="77" t="str">
        <f>VLOOKUP(DESPESAS[[#This Row],[Plano de Contas]],BASE!$B$3:$H$119,7,FALSE)</f>
        <v>LETÍCIA</v>
      </c>
    </row>
    <row r="2652" spans="1:13" x14ac:dyDescent="0.25">
      <c r="A2652" s="74">
        <v>199691</v>
      </c>
      <c r="B2652" s="75" t="s">
        <v>221</v>
      </c>
      <c r="C2652" s="75" t="s">
        <v>1302</v>
      </c>
      <c r="D2652" s="76">
        <v>46101</v>
      </c>
      <c r="E2652" s="75" t="s">
        <v>1262</v>
      </c>
      <c r="F2652" s="74">
        <v>156.93</v>
      </c>
      <c r="G2652" s="75" t="s">
        <v>747</v>
      </c>
      <c r="H2652" s="77" t="str">
        <f>VLOOKUP(DESPESAS[[#This Row],[Plano de Contas]],BASE!$B$3:$D$119,3,FALSE)</f>
        <v>Cursos e Treinamentos (Adm)</v>
      </c>
      <c r="I2652" s="77" t="str">
        <f>IFERROR(VLOOKUP(DESPESAS[[#This Row],[Fornecedor]],Tabela2[],2,FALSE),"")</f>
        <v/>
      </c>
      <c r="J2652" s="77" t="str">
        <f>IFERROR(VLOOKUP(DESPESAS[[#This Row],[Plano de Contas]],BASE!$B$3:$F$119,4,FALSE),"")</f>
        <v>4 - GASTOS COM PESSOAL</v>
      </c>
      <c r="K2652" s="77" t="str">
        <f>IFERROR(VLOOKUP(DESPESAS[[#This Row],[Plano de Contas]],BASE!$B$3:$H$119,5,FALSE),"")</f>
        <v>DIRETORIA</v>
      </c>
      <c r="L2652" s="77">
        <f>IFERROR(VLOOKUP(DESPESAS[[#This Row],[Plano de Contas]],BASE!$B$3:$H$119,6,FALSE),"")</f>
        <v>0</v>
      </c>
      <c r="M2652" s="77" t="str">
        <f>VLOOKUP(DESPESAS[[#This Row],[Plano de Contas]],BASE!$B$3:$H$119,7,FALSE)</f>
        <v>FÁBIO</v>
      </c>
    </row>
    <row r="2653" spans="1:13" x14ac:dyDescent="0.25">
      <c r="A2653" s="74">
        <v>199692</v>
      </c>
      <c r="B2653" s="75" t="s">
        <v>221</v>
      </c>
      <c r="C2653" s="75" t="s">
        <v>1301</v>
      </c>
      <c r="D2653" s="76">
        <v>46101</v>
      </c>
      <c r="E2653" s="75" t="s">
        <v>256</v>
      </c>
      <c r="F2653" s="74">
        <v>1792.96</v>
      </c>
      <c r="G2653" s="75" t="s">
        <v>255</v>
      </c>
      <c r="H2653" s="77" t="str">
        <f>VLOOKUP(DESPESAS[[#This Row],[Plano de Contas]],BASE!$B$3:$D$119,3,FALSE)</f>
        <v>Mostruário de Tecido</v>
      </c>
      <c r="I2653" s="77" t="str">
        <f>IFERROR(VLOOKUP(DESPESAS[[#This Row],[Fornecedor]],Tabela2[],2,FALSE),"")</f>
        <v/>
      </c>
      <c r="J2653" s="77" t="str">
        <f>IFERROR(VLOOKUP(DESPESAS[[#This Row],[Plano de Contas]],BASE!$B$3:$F$119,4,FALSE),"")</f>
        <v>6 - DESPESA COM VENDAS</v>
      </c>
      <c r="K2653" s="77" t="str">
        <f>IFERROR(VLOOKUP(DESPESAS[[#This Row],[Plano de Contas]],BASE!$B$3:$H$119,5,FALSE),"")</f>
        <v>COMERCIAL</v>
      </c>
      <c r="L2653" s="77">
        <f>IFERROR(VLOOKUP(DESPESAS[[#This Row],[Plano de Contas]],BASE!$B$3:$H$119,6,FALSE),"")</f>
        <v>0</v>
      </c>
      <c r="M2653" s="77" t="str">
        <f>VLOOKUP(DESPESAS[[#This Row],[Plano de Contas]],BASE!$B$3:$H$119,7,FALSE)</f>
        <v>LETÍCIA</v>
      </c>
    </row>
    <row r="2654" spans="1:13" x14ac:dyDescent="0.25">
      <c r="A2654" s="74">
        <v>199693</v>
      </c>
      <c r="B2654" s="75" t="s">
        <v>232</v>
      </c>
      <c r="C2654" s="75" t="s">
        <v>1300</v>
      </c>
      <c r="D2654" s="76">
        <v>46101</v>
      </c>
      <c r="E2654" s="75" t="s">
        <v>230</v>
      </c>
      <c r="F2654" s="74">
        <v>704.71</v>
      </c>
      <c r="G2654" s="75" t="s">
        <v>229</v>
      </c>
      <c r="H2654" s="77" t="str">
        <f>VLOOKUP(DESPESAS[[#This Row],[Plano de Contas]],BASE!$B$3:$D$119,3,FALSE)</f>
        <v>Despesas Bancarias</v>
      </c>
      <c r="I2654" s="77" t="str">
        <f>IFERROR(VLOOKUP(DESPESAS[[#This Row],[Fornecedor]],Tabela2[],2,FALSE),"")</f>
        <v/>
      </c>
      <c r="J2654" s="77" t="str">
        <f>IFERROR(VLOOKUP(DESPESAS[[#This Row],[Plano de Contas]],BASE!$B$3:$F$119,4,FALSE),"")</f>
        <v>8 - DESPESAS FINANCEIRAS</v>
      </c>
      <c r="K2654" s="77" t="str">
        <f>IFERROR(VLOOKUP(DESPESAS[[#This Row],[Plano de Contas]],BASE!$B$3:$H$119,5,FALSE),"")</f>
        <v>FINANCEIRO</v>
      </c>
      <c r="L2654" s="77">
        <f>IFERROR(VLOOKUP(DESPESAS[[#This Row],[Plano de Contas]],BASE!$B$3:$H$119,6,FALSE),"")</f>
        <v>0</v>
      </c>
      <c r="M2654" s="77" t="str">
        <f>VLOOKUP(DESPESAS[[#This Row],[Plano de Contas]],BASE!$B$3:$H$119,7,FALSE)</f>
        <v>LETÍCIA</v>
      </c>
    </row>
    <row r="2655" spans="1:13" x14ac:dyDescent="0.25">
      <c r="A2655" s="74">
        <v>199694</v>
      </c>
      <c r="B2655" s="75" t="s">
        <v>232</v>
      </c>
      <c r="C2655" s="75" t="s">
        <v>1299</v>
      </c>
      <c r="D2655" s="76">
        <v>46101</v>
      </c>
      <c r="E2655" s="75" t="s">
        <v>230</v>
      </c>
      <c r="F2655" s="74">
        <v>417.44</v>
      </c>
      <c r="G2655" s="75" t="s">
        <v>229</v>
      </c>
      <c r="H2655" s="77" t="str">
        <f>VLOOKUP(DESPESAS[[#This Row],[Plano de Contas]],BASE!$B$3:$D$119,3,FALSE)</f>
        <v>Despesas Bancarias</v>
      </c>
      <c r="I2655" s="77" t="str">
        <f>IFERROR(VLOOKUP(DESPESAS[[#This Row],[Fornecedor]],Tabela2[],2,FALSE),"")</f>
        <v/>
      </c>
      <c r="J2655" s="77" t="str">
        <f>IFERROR(VLOOKUP(DESPESAS[[#This Row],[Plano de Contas]],BASE!$B$3:$F$119,4,FALSE),"")</f>
        <v>8 - DESPESAS FINANCEIRAS</v>
      </c>
      <c r="K2655" s="77" t="str">
        <f>IFERROR(VLOOKUP(DESPESAS[[#This Row],[Plano de Contas]],BASE!$B$3:$H$119,5,FALSE),"")</f>
        <v>FINANCEIRO</v>
      </c>
      <c r="L2655" s="77">
        <f>IFERROR(VLOOKUP(DESPESAS[[#This Row],[Plano de Contas]],BASE!$B$3:$H$119,6,FALSE),"")</f>
        <v>0</v>
      </c>
      <c r="M2655" s="77" t="str">
        <f>VLOOKUP(DESPESAS[[#This Row],[Plano de Contas]],BASE!$B$3:$H$119,7,FALSE)</f>
        <v>LETÍCIA</v>
      </c>
    </row>
    <row r="2656" spans="1:13" x14ac:dyDescent="0.25">
      <c r="A2656" s="74">
        <v>199695</v>
      </c>
      <c r="B2656" s="75" t="s">
        <v>232</v>
      </c>
      <c r="C2656" s="75" t="s">
        <v>1298</v>
      </c>
      <c r="D2656" s="76">
        <v>46101</v>
      </c>
      <c r="E2656" s="75" t="s">
        <v>230</v>
      </c>
      <c r="F2656" s="74">
        <v>4452.37</v>
      </c>
      <c r="G2656" s="75" t="s">
        <v>251</v>
      </c>
      <c r="H2656" s="77" t="str">
        <f>VLOOKUP(DESPESAS[[#This Row],[Plano de Contas]],BASE!$B$3:$D$119,3,FALSE)</f>
        <v>Juros Pagos - Antecipação de Crédito</v>
      </c>
      <c r="I2656" s="77" t="str">
        <f>IFERROR(VLOOKUP(DESPESAS[[#This Row],[Fornecedor]],Tabela2[],2,FALSE),"")</f>
        <v/>
      </c>
      <c r="J2656" s="77" t="str">
        <f>IFERROR(VLOOKUP(DESPESAS[[#This Row],[Plano de Contas]],BASE!$B$3:$F$119,4,FALSE),"")</f>
        <v>8 - DESPESAS FINANCEIRAS</v>
      </c>
      <c r="K2656" s="77" t="str">
        <f>IFERROR(VLOOKUP(DESPESAS[[#This Row],[Plano de Contas]],BASE!$B$3:$H$119,5,FALSE),"")</f>
        <v>FINANCEIRO</v>
      </c>
      <c r="L2656" s="77">
        <f>IFERROR(VLOOKUP(DESPESAS[[#This Row],[Plano de Contas]],BASE!$B$3:$H$119,6,FALSE),"")</f>
        <v>0</v>
      </c>
      <c r="M2656" s="77" t="str">
        <f>VLOOKUP(DESPESAS[[#This Row],[Plano de Contas]],BASE!$B$3:$H$119,7,FALSE)</f>
        <v>LETÍCIA</v>
      </c>
    </row>
    <row r="2657" spans="1:13" x14ac:dyDescent="0.25">
      <c r="A2657" s="74">
        <v>199696</v>
      </c>
      <c r="B2657" s="75" t="s">
        <v>221</v>
      </c>
      <c r="C2657" s="75" t="s">
        <v>1297</v>
      </c>
      <c r="D2657" s="76">
        <v>46101</v>
      </c>
      <c r="E2657" s="75" t="s">
        <v>256</v>
      </c>
      <c r="F2657" s="74">
        <v>58</v>
      </c>
      <c r="G2657" s="75" t="s">
        <v>255</v>
      </c>
      <c r="H2657" s="77" t="str">
        <f>VLOOKUP(DESPESAS[[#This Row],[Plano de Contas]],BASE!$B$3:$D$119,3,FALSE)</f>
        <v>Mostruário de Tecido</v>
      </c>
      <c r="I2657" s="77" t="str">
        <f>IFERROR(VLOOKUP(DESPESAS[[#This Row],[Fornecedor]],Tabela2[],2,FALSE),"")</f>
        <v/>
      </c>
      <c r="J2657" s="77" t="str">
        <f>IFERROR(VLOOKUP(DESPESAS[[#This Row],[Plano de Contas]],BASE!$B$3:$F$119,4,FALSE),"")</f>
        <v>6 - DESPESA COM VENDAS</v>
      </c>
      <c r="K2657" s="77" t="str">
        <f>IFERROR(VLOOKUP(DESPESAS[[#This Row],[Plano de Contas]],BASE!$B$3:$H$119,5,FALSE),"")</f>
        <v>COMERCIAL</v>
      </c>
      <c r="L2657" s="77">
        <f>IFERROR(VLOOKUP(DESPESAS[[#This Row],[Plano de Contas]],BASE!$B$3:$H$119,6,FALSE),"")</f>
        <v>0</v>
      </c>
      <c r="M2657" s="77" t="str">
        <f>VLOOKUP(DESPESAS[[#This Row],[Plano de Contas]],BASE!$B$3:$H$119,7,FALSE)</f>
        <v>LETÍCIA</v>
      </c>
    </row>
    <row r="2658" spans="1:13" x14ac:dyDescent="0.25">
      <c r="A2658" s="74">
        <v>199697</v>
      </c>
      <c r="B2658" s="75" t="s">
        <v>232</v>
      </c>
      <c r="C2658" s="75" t="s">
        <v>1296</v>
      </c>
      <c r="D2658" s="76">
        <v>46101</v>
      </c>
      <c r="E2658" s="75" t="s">
        <v>391</v>
      </c>
      <c r="F2658" s="74">
        <v>906.84</v>
      </c>
      <c r="G2658" s="75" t="s">
        <v>241</v>
      </c>
      <c r="H2658" s="77" t="str">
        <f>VLOOKUP(DESPESAS[[#This Row],[Plano de Contas]],BASE!$B$3:$D$119,3,FALSE)</f>
        <v>Combustiveis Frota</v>
      </c>
      <c r="I2658" s="77" t="str">
        <f>IFERROR(VLOOKUP(DESPESAS[[#This Row],[Fornecedor]],Tabela2[],2,FALSE),"")</f>
        <v/>
      </c>
      <c r="J2658" s="77" t="str">
        <f>IFERROR(VLOOKUP(DESPESAS[[#This Row],[Plano de Contas]],BASE!$B$3:$F$119,4,FALSE),"")</f>
        <v>6 - DESPESA COM VENDAS</v>
      </c>
      <c r="K2658" s="77" t="str">
        <f>IFERROR(VLOOKUP(DESPESAS[[#This Row],[Plano de Contas]],BASE!$B$3:$H$119,5,FALSE),"")</f>
        <v>LOGÍSTICA</v>
      </c>
      <c r="L2658" s="77">
        <f>IFERROR(VLOOKUP(DESPESAS[[#This Row],[Plano de Contas]],BASE!$B$3:$H$119,6,FALSE),"")</f>
        <v>0</v>
      </c>
      <c r="M2658" s="77" t="str">
        <f>VLOOKUP(DESPESAS[[#This Row],[Plano de Contas]],BASE!$B$3:$H$119,7,FALSE)</f>
        <v>MYLENA</v>
      </c>
    </row>
    <row r="2659" spans="1:13" x14ac:dyDescent="0.25">
      <c r="A2659" s="74">
        <v>199698</v>
      </c>
      <c r="B2659" s="75" t="s">
        <v>232</v>
      </c>
      <c r="C2659" s="75" t="s">
        <v>1295</v>
      </c>
      <c r="D2659" s="76">
        <v>46101</v>
      </c>
      <c r="E2659" s="75" t="s">
        <v>230</v>
      </c>
      <c r="F2659" s="74">
        <v>1.58</v>
      </c>
      <c r="G2659" s="75" t="s">
        <v>236</v>
      </c>
      <c r="H2659" s="77" t="str">
        <f>VLOOKUP(DESPESAS[[#This Row],[Plano de Contas]],BASE!$B$3:$D$119,3,FALSE)</f>
        <v>Despesas de Cobranca</v>
      </c>
      <c r="I2659" s="77" t="str">
        <f>IFERROR(VLOOKUP(DESPESAS[[#This Row],[Fornecedor]],Tabela2[],2,FALSE),"")</f>
        <v/>
      </c>
      <c r="J2659" s="77" t="str">
        <f>IFERROR(VLOOKUP(DESPESAS[[#This Row],[Plano de Contas]],BASE!$B$3:$F$119,4,FALSE),"")</f>
        <v>8 - DESPESAS FINANCEIRAS</v>
      </c>
      <c r="K2659" s="77" t="str">
        <f>IFERROR(VLOOKUP(DESPESAS[[#This Row],[Plano de Contas]],BASE!$B$3:$H$119,5,FALSE),"")</f>
        <v>FINANCEIRO</v>
      </c>
      <c r="L2659" s="77">
        <f>IFERROR(VLOOKUP(DESPESAS[[#This Row],[Plano de Contas]],BASE!$B$3:$H$119,6,FALSE),"")</f>
        <v>0</v>
      </c>
      <c r="M2659" s="77" t="str">
        <f>VLOOKUP(DESPESAS[[#This Row],[Plano de Contas]],BASE!$B$3:$H$119,7,FALSE)</f>
        <v>LETÍCIA</v>
      </c>
    </row>
    <row r="2660" spans="1:13" x14ac:dyDescent="0.25">
      <c r="A2660" s="74">
        <v>199699</v>
      </c>
      <c r="B2660" s="75" t="s">
        <v>232</v>
      </c>
      <c r="C2660" s="75" t="s">
        <v>1294</v>
      </c>
      <c r="D2660" s="76">
        <v>46104</v>
      </c>
      <c r="E2660" s="75" t="s">
        <v>230</v>
      </c>
      <c r="F2660" s="74">
        <v>3.69</v>
      </c>
      <c r="G2660" s="75" t="s">
        <v>229</v>
      </c>
      <c r="H2660" s="77" t="str">
        <f>VLOOKUP(DESPESAS[[#This Row],[Plano de Contas]],BASE!$B$3:$D$119,3,FALSE)</f>
        <v>Despesas Bancarias</v>
      </c>
      <c r="I2660" s="77" t="str">
        <f>IFERROR(VLOOKUP(DESPESAS[[#This Row],[Fornecedor]],Tabela2[],2,FALSE),"")</f>
        <v/>
      </c>
      <c r="J2660" s="77" t="str">
        <f>IFERROR(VLOOKUP(DESPESAS[[#This Row],[Plano de Contas]],BASE!$B$3:$F$119,4,FALSE),"")</f>
        <v>8 - DESPESAS FINANCEIRAS</v>
      </c>
      <c r="K2660" s="77" t="str">
        <f>IFERROR(VLOOKUP(DESPESAS[[#This Row],[Plano de Contas]],BASE!$B$3:$H$119,5,FALSE),"")</f>
        <v>FINANCEIRO</v>
      </c>
      <c r="L2660" s="77">
        <f>IFERROR(VLOOKUP(DESPESAS[[#This Row],[Plano de Contas]],BASE!$B$3:$H$119,6,FALSE),"")</f>
        <v>0</v>
      </c>
      <c r="M2660" s="77" t="str">
        <f>VLOOKUP(DESPESAS[[#This Row],[Plano de Contas]],BASE!$B$3:$H$119,7,FALSE)</f>
        <v>LETÍCIA</v>
      </c>
    </row>
    <row r="2661" spans="1:13" x14ac:dyDescent="0.25">
      <c r="A2661" s="74">
        <v>199700</v>
      </c>
      <c r="B2661" s="75" t="s">
        <v>232</v>
      </c>
      <c r="C2661" s="75" t="s">
        <v>1293</v>
      </c>
      <c r="D2661" s="76">
        <v>46104</v>
      </c>
      <c r="E2661" s="75" t="s">
        <v>230</v>
      </c>
      <c r="F2661" s="74">
        <v>6.6</v>
      </c>
      <c r="G2661" s="75" t="s">
        <v>229</v>
      </c>
      <c r="H2661" s="77" t="str">
        <f>VLOOKUP(DESPESAS[[#This Row],[Plano de Contas]],BASE!$B$3:$D$119,3,FALSE)</f>
        <v>Despesas Bancarias</v>
      </c>
      <c r="I2661" s="77" t="str">
        <f>IFERROR(VLOOKUP(DESPESAS[[#This Row],[Fornecedor]],Tabela2[],2,FALSE),"")</f>
        <v/>
      </c>
      <c r="J2661" s="77" t="str">
        <f>IFERROR(VLOOKUP(DESPESAS[[#This Row],[Plano de Contas]],BASE!$B$3:$F$119,4,FALSE),"")</f>
        <v>8 - DESPESAS FINANCEIRAS</v>
      </c>
      <c r="K2661" s="77" t="str">
        <f>IFERROR(VLOOKUP(DESPESAS[[#This Row],[Plano de Contas]],BASE!$B$3:$H$119,5,FALSE),"")</f>
        <v>FINANCEIRO</v>
      </c>
      <c r="L2661" s="77">
        <f>IFERROR(VLOOKUP(DESPESAS[[#This Row],[Plano de Contas]],BASE!$B$3:$H$119,6,FALSE),"")</f>
        <v>0</v>
      </c>
      <c r="M2661" s="77" t="str">
        <f>VLOOKUP(DESPESAS[[#This Row],[Plano de Contas]],BASE!$B$3:$H$119,7,FALSE)</f>
        <v>LETÍCIA</v>
      </c>
    </row>
    <row r="2662" spans="1:13" x14ac:dyDescent="0.25">
      <c r="A2662" s="74">
        <v>199701</v>
      </c>
      <c r="B2662" s="75" t="s">
        <v>232</v>
      </c>
      <c r="C2662" s="75" t="s">
        <v>1292</v>
      </c>
      <c r="D2662" s="76">
        <v>46104</v>
      </c>
      <c r="E2662" s="75" t="s">
        <v>230</v>
      </c>
      <c r="F2662" s="74">
        <v>68.52</v>
      </c>
      <c r="G2662" s="75" t="s">
        <v>251</v>
      </c>
      <c r="H2662" s="77" t="str">
        <f>VLOOKUP(DESPESAS[[#This Row],[Plano de Contas]],BASE!$B$3:$D$119,3,FALSE)</f>
        <v>Juros Pagos - Antecipação de Crédito</v>
      </c>
      <c r="I2662" s="77" t="str">
        <f>IFERROR(VLOOKUP(DESPESAS[[#This Row],[Fornecedor]],Tabela2[],2,FALSE),"")</f>
        <v/>
      </c>
      <c r="J2662" s="77" t="str">
        <f>IFERROR(VLOOKUP(DESPESAS[[#This Row],[Plano de Contas]],BASE!$B$3:$F$119,4,FALSE),"")</f>
        <v>8 - DESPESAS FINANCEIRAS</v>
      </c>
      <c r="K2662" s="77" t="str">
        <f>IFERROR(VLOOKUP(DESPESAS[[#This Row],[Plano de Contas]],BASE!$B$3:$H$119,5,FALSE),"")</f>
        <v>FINANCEIRO</v>
      </c>
      <c r="L2662" s="77">
        <f>IFERROR(VLOOKUP(DESPESAS[[#This Row],[Plano de Contas]],BASE!$B$3:$H$119,6,FALSE),"")</f>
        <v>0</v>
      </c>
      <c r="M2662" s="77" t="str">
        <f>VLOOKUP(DESPESAS[[#This Row],[Plano de Contas]],BASE!$B$3:$H$119,7,FALSE)</f>
        <v>LETÍCIA</v>
      </c>
    </row>
    <row r="2663" spans="1:13" x14ac:dyDescent="0.25">
      <c r="A2663" s="74">
        <v>199702</v>
      </c>
      <c r="B2663" s="75" t="s">
        <v>279</v>
      </c>
      <c r="C2663" s="75" t="s">
        <v>1291</v>
      </c>
      <c r="D2663" s="76">
        <v>46101</v>
      </c>
      <c r="E2663" s="75" t="s">
        <v>230</v>
      </c>
      <c r="F2663" s="74">
        <v>0.79</v>
      </c>
      <c r="G2663" s="75" t="s">
        <v>236</v>
      </c>
      <c r="H2663" s="77" t="str">
        <f>VLOOKUP(DESPESAS[[#This Row],[Plano de Contas]],BASE!$B$3:$D$119,3,FALSE)</f>
        <v>Despesas de Cobranca</v>
      </c>
      <c r="I2663" s="77" t="str">
        <f>IFERROR(VLOOKUP(DESPESAS[[#This Row],[Fornecedor]],Tabela2[],2,FALSE),"")</f>
        <v/>
      </c>
      <c r="J2663" s="77" t="str">
        <f>IFERROR(VLOOKUP(DESPESAS[[#This Row],[Plano de Contas]],BASE!$B$3:$F$119,4,FALSE),"")</f>
        <v>8 - DESPESAS FINANCEIRAS</v>
      </c>
      <c r="K2663" s="77" t="str">
        <f>IFERROR(VLOOKUP(DESPESAS[[#This Row],[Plano de Contas]],BASE!$B$3:$H$119,5,FALSE),"")</f>
        <v>FINANCEIRO</v>
      </c>
      <c r="L2663" s="77">
        <f>IFERROR(VLOOKUP(DESPESAS[[#This Row],[Plano de Contas]],BASE!$B$3:$H$119,6,FALSE),"")</f>
        <v>0</v>
      </c>
      <c r="M2663" s="77" t="str">
        <f>VLOOKUP(DESPESAS[[#This Row],[Plano de Contas]],BASE!$B$3:$H$119,7,FALSE)</f>
        <v>LETÍCIA</v>
      </c>
    </row>
    <row r="2664" spans="1:13" x14ac:dyDescent="0.25">
      <c r="A2664" s="74">
        <v>199703</v>
      </c>
      <c r="B2664" s="75" t="s">
        <v>279</v>
      </c>
      <c r="C2664" s="75" t="s">
        <v>1290</v>
      </c>
      <c r="D2664" s="76">
        <v>46104</v>
      </c>
      <c r="E2664" s="75" t="s">
        <v>230</v>
      </c>
      <c r="F2664" s="74">
        <v>2.4500000000000002</v>
      </c>
      <c r="G2664" s="75" t="s">
        <v>229</v>
      </c>
      <c r="H2664" s="77" t="str">
        <f>VLOOKUP(DESPESAS[[#This Row],[Plano de Contas]],BASE!$B$3:$D$119,3,FALSE)</f>
        <v>Despesas Bancarias</v>
      </c>
      <c r="I2664" s="77" t="str">
        <f>IFERROR(VLOOKUP(DESPESAS[[#This Row],[Fornecedor]],Tabela2[],2,FALSE),"")</f>
        <v/>
      </c>
      <c r="J2664" s="77" t="str">
        <f>IFERROR(VLOOKUP(DESPESAS[[#This Row],[Plano de Contas]],BASE!$B$3:$F$119,4,FALSE),"")</f>
        <v>8 - DESPESAS FINANCEIRAS</v>
      </c>
      <c r="K2664" s="77" t="str">
        <f>IFERROR(VLOOKUP(DESPESAS[[#This Row],[Plano de Contas]],BASE!$B$3:$H$119,5,FALSE),"")</f>
        <v>FINANCEIRO</v>
      </c>
      <c r="L2664" s="77">
        <f>IFERROR(VLOOKUP(DESPESAS[[#This Row],[Plano de Contas]],BASE!$B$3:$H$119,6,FALSE),"")</f>
        <v>0</v>
      </c>
      <c r="M2664" s="77" t="str">
        <f>VLOOKUP(DESPESAS[[#This Row],[Plano de Contas]],BASE!$B$3:$H$119,7,FALSE)</f>
        <v>LETÍCIA</v>
      </c>
    </row>
    <row r="2665" spans="1:13" x14ac:dyDescent="0.25">
      <c r="A2665" s="74">
        <v>199704</v>
      </c>
      <c r="B2665" s="75" t="s">
        <v>281</v>
      </c>
      <c r="C2665" s="75" t="s">
        <v>1289</v>
      </c>
      <c r="D2665" s="76">
        <v>46101</v>
      </c>
      <c r="E2665" s="75" t="s">
        <v>230</v>
      </c>
      <c r="F2665" s="74">
        <v>79</v>
      </c>
      <c r="G2665" s="75" t="s">
        <v>229</v>
      </c>
      <c r="H2665" s="77" t="str">
        <f>VLOOKUP(DESPESAS[[#This Row],[Plano de Contas]],BASE!$B$3:$D$119,3,FALSE)</f>
        <v>Despesas Bancarias</v>
      </c>
      <c r="I2665" s="77" t="str">
        <f>IFERROR(VLOOKUP(DESPESAS[[#This Row],[Fornecedor]],Tabela2[],2,FALSE),"")</f>
        <v/>
      </c>
      <c r="J2665" s="77" t="str">
        <f>IFERROR(VLOOKUP(DESPESAS[[#This Row],[Plano de Contas]],BASE!$B$3:$F$119,4,FALSE),"")</f>
        <v>8 - DESPESAS FINANCEIRAS</v>
      </c>
      <c r="K2665" s="77" t="str">
        <f>IFERROR(VLOOKUP(DESPESAS[[#This Row],[Plano de Contas]],BASE!$B$3:$H$119,5,FALSE),"")</f>
        <v>FINANCEIRO</v>
      </c>
      <c r="L2665" s="77">
        <f>IFERROR(VLOOKUP(DESPESAS[[#This Row],[Plano de Contas]],BASE!$B$3:$H$119,6,FALSE),"")</f>
        <v>0</v>
      </c>
      <c r="M2665" s="77" t="str">
        <f>VLOOKUP(DESPESAS[[#This Row],[Plano de Contas]],BASE!$B$3:$H$119,7,FALSE)</f>
        <v>LETÍCIA</v>
      </c>
    </row>
    <row r="2666" spans="1:13" x14ac:dyDescent="0.25">
      <c r="A2666" s="74">
        <v>199705</v>
      </c>
      <c r="B2666" s="75" t="s">
        <v>221</v>
      </c>
      <c r="C2666" s="75" t="s">
        <v>1288</v>
      </c>
      <c r="D2666" s="76">
        <v>46101</v>
      </c>
      <c r="E2666" s="75" t="s">
        <v>575</v>
      </c>
      <c r="F2666" s="74">
        <v>1.9</v>
      </c>
      <c r="G2666" s="75" t="s">
        <v>229</v>
      </c>
      <c r="H2666" s="77" t="str">
        <f>VLOOKUP(DESPESAS[[#This Row],[Plano de Contas]],BASE!$B$3:$D$119,3,FALSE)</f>
        <v>Despesas Bancarias</v>
      </c>
      <c r="I2666" s="77" t="str">
        <f>IFERROR(VLOOKUP(DESPESAS[[#This Row],[Fornecedor]],Tabela2[],2,FALSE),"")</f>
        <v/>
      </c>
      <c r="J2666" s="77" t="str">
        <f>IFERROR(VLOOKUP(DESPESAS[[#This Row],[Plano de Contas]],BASE!$B$3:$F$119,4,FALSE),"")</f>
        <v>8 - DESPESAS FINANCEIRAS</v>
      </c>
      <c r="K2666" s="77" t="str">
        <f>IFERROR(VLOOKUP(DESPESAS[[#This Row],[Plano de Contas]],BASE!$B$3:$H$119,5,FALSE),"")</f>
        <v>FINANCEIRO</v>
      </c>
      <c r="L2666" s="77">
        <f>IFERROR(VLOOKUP(DESPESAS[[#This Row],[Plano de Contas]],BASE!$B$3:$H$119,6,FALSE),"")</f>
        <v>0</v>
      </c>
      <c r="M2666" s="77" t="str">
        <f>VLOOKUP(DESPESAS[[#This Row],[Plano de Contas]],BASE!$B$3:$H$119,7,FALSE)</f>
        <v>LETÍCIA</v>
      </c>
    </row>
    <row r="2667" spans="1:13" x14ac:dyDescent="0.25">
      <c r="A2667" s="74">
        <v>199706</v>
      </c>
      <c r="B2667" s="75" t="s">
        <v>221</v>
      </c>
      <c r="C2667" s="75" t="s">
        <v>1287</v>
      </c>
      <c r="D2667" s="76">
        <v>46104</v>
      </c>
      <c r="E2667" s="75" t="s">
        <v>1286</v>
      </c>
      <c r="F2667" s="74">
        <v>2700</v>
      </c>
      <c r="G2667" s="75" t="s">
        <v>1285</v>
      </c>
      <c r="H2667" s="77" t="str">
        <f>VLOOKUP(DESPESAS[[#This Row],[Plano de Contas]],BASE!$B$3:$D$119,3,FALSE)</f>
        <v>Moveis e Utensilios</v>
      </c>
      <c r="I2667" s="77" t="str">
        <f>IFERROR(VLOOKUP(DESPESAS[[#This Row],[Fornecedor]],Tabela2[],2,FALSE),"")</f>
        <v/>
      </c>
      <c r="J2667" s="77" t="str">
        <f>IFERROR(VLOOKUP(DESPESAS[[#This Row],[Plano de Contas]],BASE!$B$3:$F$119,4,FALSE),"")</f>
        <v>9 - INVESTIMENTOS</v>
      </c>
      <c r="K2667" s="77" t="str">
        <f>IFERROR(VLOOKUP(DESPESAS[[#This Row],[Plano de Contas]],BASE!$B$3:$H$119,5,FALSE),"")</f>
        <v>ADMINISTRATIVO</v>
      </c>
      <c r="L2667" s="77">
        <f>IFERROR(VLOOKUP(DESPESAS[[#This Row],[Plano de Contas]],BASE!$B$3:$H$119,6,FALSE),"")</f>
        <v>0</v>
      </c>
      <c r="M2667" s="77" t="str">
        <f>VLOOKUP(DESPESAS[[#This Row],[Plano de Contas]],BASE!$B$3:$H$119,7,FALSE)</f>
        <v>RAFAEL</v>
      </c>
    </row>
    <row r="2668" spans="1:13" x14ac:dyDescent="0.25">
      <c r="A2668" s="74">
        <v>199707</v>
      </c>
      <c r="B2668" s="75" t="s">
        <v>221</v>
      </c>
      <c r="C2668" s="75" t="s">
        <v>1284</v>
      </c>
      <c r="D2668" s="76">
        <v>46104</v>
      </c>
      <c r="E2668" s="75" t="s">
        <v>1282</v>
      </c>
      <c r="F2668" s="74">
        <v>2333.33</v>
      </c>
      <c r="G2668" s="75" t="s">
        <v>225</v>
      </c>
      <c r="H2668" s="77" t="str">
        <f>VLOOKUP(DESPESAS[[#This Row],[Plano de Contas]],BASE!$B$3:$D$119,3,FALSE)</f>
        <v>Despesas de Outros Gastos Não Operacionais</v>
      </c>
      <c r="I2668" s="77" t="str">
        <f>IFERROR(VLOOKUP(DESPESAS[[#This Row],[Fornecedor]],Tabela2[],2,FALSE),"")</f>
        <v/>
      </c>
      <c r="J2668" s="77" t="str">
        <f>IFERROR(VLOOKUP(DESPESAS[[#This Row],[Plano de Contas]],BASE!$B$3:$F$119,4,FALSE),"")</f>
        <v>8 - DESPESAS FINANCEIRAS</v>
      </c>
      <c r="K2668" s="77" t="str">
        <f>IFERROR(VLOOKUP(DESPESAS[[#This Row],[Plano de Contas]],BASE!$B$3:$H$119,5,FALSE),"")</f>
        <v>FINANCEIRO</v>
      </c>
      <c r="L2668" s="77">
        <f>IFERROR(VLOOKUP(DESPESAS[[#This Row],[Plano de Contas]],BASE!$B$3:$H$119,6,FALSE),"")</f>
        <v>0</v>
      </c>
      <c r="M2668" s="77" t="str">
        <f>VLOOKUP(DESPESAS[[#This Row],[Plano de Contas]],BASE!$B$3:$H$119,7,FALSE)</f>
        <v>LETÍCIA</v>
      </c>
    </row>
    <row r="2669" spans="1:13" x14ac:dyDescent="0.25">
      <c r="A2669" s="74">
        <v>199708</v>
      </c>
      <c r="B2669" s="75" t="s">
        <v>221</v>
      </c>
      <c r="C2669" s="75" t="s">
        <v>1283</v>
      </c>
      <c r="D2669" s="76">
        <v>46132</v>
      </c>
      <c r="E2669" s="75" t="s">
        <v>1282</v>
      </c>
      <c r="F2669" s="74">
        <v>2333</v>
      </c>
      <c r="G2669" s="75" t="s">
        <v>225</v>
      </c>
      <c r="H2669" s="77" t="str">
        <f>VLOOKUP(DESPESAS[[#This Row],[Plano de Contas]],BASE!$B$3:$D$119,3,FALSE)</f>
        <v>Despesas de Outros Gastos Não Operacionais</v>
      </c>
      <c r="I2669" s="77" t="str">
        <f>IFERROR(VLOOKUP(DESPESAS[[#This Row],[Fornecedor]],Tabela2[],2,FALSE),"")</f>
        <v/>
      </c>
      <c r="J2669" s="77" t="str">
        <f>IFERROR(VLOOKUP(DESPESAS[[#This Row],[Plano de Contas]],BASE!$B$3:$F$119,4,FALSE),"")</f>
        <v>8 - DESPESAS FINANCEIRAS</v>
      </c>
      <c r="K2669" s="77" t="str">
        <f>IFERROR(VLOOKUP(DESPESAS[[#This Row],[Plano de Contas]],BASE!$B$3:$H$119,5,FALSE),"")</f>
        <v>FINANCEIRO</v>
      </c>
      <c r="L2669" s="77">
        <f>IFERROR(VLOOKUP(DESPESAS[[#This Row],[Plano de Contas]],BASE!$B$3:$H$119,6,FALSE),"")</f>
        <v>0</v>
      </c>
      <c r="M2669" s="77" t="str">
        <f>VLOOKUP(DESPESAS[[#This Row],[Plano de Contas]],BASE!$B$3:$H$119,7,FALSE)</f>
        <v>LETÍCIA</v>
      </c>
    </row>
    <row r="2670" spans="1:13" x14ac:dyDescent="0.25">
      <c r="A2670" s="74">
        <v>199709</v>
      </c>
      <c r="B2670" s="75" t="s">
        <v>232</v>
      </c>
      <c r="C2670" s="75" t="s">
        <v>1281</v>
      </c>
      <c r="D2670" s="76">
        <v>46135</v>
      </c>
      <c r="E2670" s="75" t="s">
        <v>260</v>
      </c>
      <c r="F2670" s="74">
        <v>412</v>
      </c>
      <c r="G2670" s="75" t="s">
        <v>588</v>
      </c>
      <c r="H2670" s="77" t="str">
        <f>VLOOKUP(DESPESAS[[#This Row],[Plano de Contas]],BASE!$B$3:$D$119,3,FALSE)</f>
        <v>Maquinas e Equipamentos</v>
      </c>
      <c r="I2670" s="77" t="str">
        <f>IFERROR(VLOOKUP(DESPESAS[[#This Row],[Fornecedor]],Tabela2[],2,FALSE),"")</f>
        <v>PEÇAS DE FERRAMENTAS</v>
      </c>
      <c r="J2670" s="77" t="str">
        <f>IFERROR(VLOOKUP(DESPESAS[[#This Row],[Plano de Contas]],BASE!$B$3:$F$119,4,FALSE),"")</f>
        <v>9 - INVESTIMENTOS</v>
      </c>
      <c r="K2670" s="77" t="str">
        <f>IFERROR(VLOOKUP(DESPESAS[[#This Row],[Plano de Contas]],BASE!$B$3:$H$119,5,FALSE),"")</f>
        <v>MANUTENÇÃO / TI</v>
      </c>
      <c r="L2670" s="77">
        <f>IFERROR(VLOOKUP(DESPESAS[[#This Row],[Plano de Contas]],BASE!$B$3:$H$119,6,FALSE),"")</f>
        <v>0</v>
      </c>
      <c r="M2670" s="77" t="str">
        <f>VLOOKUP(DESPESAS[[#This Row],[Plano de Contas]],BASE!$B$3:$H$119,7,FALSE)</f>
        <v>RAFAEL</v>
      </c>
    </row>
    <row r="2671" spans="1:13" x14ac:dyDescent="0.25">
      <c r="A2671" s="74">
        <v>199721</v>
      </c>
      <c r="B2671" s="75" t="s">
        <v>221</v>
      </c>
      <c r="C2671" s="75" t="s">
        <v>1280</v>
      </c>
      <c r="D2671" s="76">
        <v>46104</v>
      </c>
      <c r="E2671" s="75" t="s">
        <v>720</v>
      </c>
      <c r="F2671" s="74">
        <v>200</v>
      </c>
      <c r="G2671" s="75" t="s">
        <v>719</v>
      </c>
      <c r="H2671" s="77" t="str">
        <f>VLOOKUP(DESPESAS[[#This Row],[Plano de Contas]],BASE!$B$3:$D$119,3,FALSE)</f>
        <v>Outros Serviços de Terceiros</v>
      </c>
      <c r="I2671" s="77" t="str">
        <f>IFERROR(VLOOKUP(DESPESAS[[#This Row],[Fornecedor]],Tabela2[],2,FALSE),"")</f>
        <v/>
      </c>
      <c r="J2671" s="77" t="str">
        <f>IFERROR(VLOOKUP(DESPESAS[[#This Row],[Plano de Contas]],BASE!$B$3:$F$119,4,FALSE),"")</f>
        <v>7 - SERVIÇOS DE TERCEIROS</v>
      </c>
      <c r="K2671" s="77" t="str">
        <f>IFERROR(VLOOKUP(DESPESAS[[#This Row],[Plano de Contas]],BASE!$B$3:$H$119,5,FALSE),"")</f>
        <v>FINANCEIRO</v>
      </c>
      <c r="L2671" s="77">
        <f>IFERROR(VLOOKUP(DESPESAS[[#This Row],[Plano de Contas]],BASE!$B$3:$H$119,6,FALSE),"")</f>
        <v>0</v>
      </c>
      <c r="M2671" s="77" t="str">
        <f>VLOOKUP(DESPESAS[[#This Row],[Plano de Contas]],BASE!$B$3:$H$119,7,FALSE)</f>
        <v>LETÍCIA</v>
      </c>
    </row>
    <row r="2672" spans="1:13" x14ac:dyDescent="0.25">
      <c r="A2672" s="74">
        <v>199722</v>
      </c>
      <c r="B2672" s="75" t="s">
        <v>221</v>
      </c>
      <c r="C2672" s="75" t="s">
        <v>1279</v>
      </c>
      <c r="D2672" s="76">
        <v>46104</v>
      </c>
      <c r="E2672" s="75" t="s">
        <v>720</v>
      </c>
      <c r="F2672" s="74">
        <v>200</v>
      </c>
      <c r="G2672" s="75" t="s">
        <v>719</v>
      </c>
      <c r="H2672" s="77" t="str">
        <f>VLOOKUP(DESPESAS[[#This Row],[Plano de Contas]],BASE!$B$3:$D$119,3,FALSE)</f>
        <v>Outros Serviços de Terceiros</v>
      </c>
      <c r="I2672" s="77" t="str">
        <f>IFERROR(VLOOKUP(DESPESAS[[#This Row],[Fornecedor]],Tabela2[],2,FALSE),"")</f>
        <v/>
      </c>
      <c r="J2672" s="77" t="str">
        <f>IFERROR(VLOOKUP(DESPESAS[[#This Row],[Plano de Contas]],BASE!$B$3:$F$119,4,FALSE),"")</f>
        <v>7 - SERVIÇOS DE TERCEIROS</v>
      </c>
      <c r="K2672" s="77" t="str">
        <f>IFERROR(VLOOKUP(DESPESAS[[#This Row],[Plano de Contas]],BASE!$B$3:$H$119,5,FALSE),"")</f>
        <v>FINANCEIRO</v>
      </c>
      <c r="L2672" s="77">
        <f>IFERROR(VLOOKUP(DESPESAS[[#This Row],[Plano de Contas]],BASE!$B$3:$H$119,6,FALSE),"")</f>
        <v>0</v>
      </c>
      <c r="M2672" s="77" t="str">
        <f>VLOOKUP(DESPESAS[[#This Row],[Plano de Contas]],BASE!$B$3:$H$119,7,FALSE)</f>
        <v>LETÍCIA</v>
      </c>
    </row>
    <row r="2673" spans="1:13" x14ac:dyDescent="0.25">
      <c r="A2673" s="74">
        <v>199723</v>
      </c>
      <c r="B2673" s="75" t="s">
        <v>221</v>
      </c>
      <c r="C2673" s="75" t="s">
        <v>1278</v>
      </c>
      <c r="D2673" s="76">
        <v>46104</v>
      </c>
      <c r="E2673" s="75" t="s">
        <v>720</v>
      </c>
      <c r="F2673" s="74">
        <v>100</v>
      </c>
      <c r="G2673" s="75" t="s">
        <v>719</v>
      </c>
      <c r="H2673" s="77" t="str">
        <f>VLOOKUP(DESPESAS[[#This Row],[Plano de Contas]],BASE!$B$3:$D$119,3,FALSE)</f>
        <v>Outros Serviços de Terceiros</v>
      </c>
      <c r="I2673" s="77" t="str">
        <f>IFERROR(VLOOKUP(DESPESAS[[#This Row],[Fornecedor]],Tabela2[],2,FALSE),"")</f>
        <v/>
      </c>
      <c r="J2673" s="77" t="str">
        <f>IFERROR(VLOOKUP(DESPESAS[[#This Row],[Plano de Contas]],BASE!$B$3:$F$119,4,FALSE),"")</f>
        <v>7 - SERVIÇOS DE TERCEIROS</v>
      </c>
      <c r="K2673" s="77" t="str">
        <f>IFERROR(VLOOKUP(DESPESAS[[#This Row],[Plano de Contas]],BASE!$B$3:$H$119,5,FALSE),"")</f>
        <v>FINANCEIRO</v>
      </c>
      <c r="L2673" s="77">
        <f>IFERROR(VLOOKUP(DESPESAS[[#This Row],[Plano de Contas]],BASE!$B$3:$H$119,6,FALSE),"")</f>
        <v>0</v>
      </c>
      <c r="M2673" s="77" t="str">
        <f>VLOOKUP(DESPESAS[[#This Row],[Plano de Contas]],BASE!$B$3:$H$119,7,FALSE)</f>
        <v>LETÍCIA</v>
      </c>
    </row>
    <row r="2674" spans="1:13" x14ac:dyDescent="0.25">
      <c r="A2674" s="74">
        <v>199726</v>
      </c>
      <c r="B2674" s="75" t="s">
        <v>232</v>
      </c>
      <c r="C2674" s="75" t="s">
        <v>981</v>
      </c>
      <c r="D2674" s="76">
        <v>46104</v>
      </c>
      <c r="E2674" s="75" t="s">
        <v>1277</v>
      </c>
      <c r="F2674" s="74">
        <v>110</v>
      </c>
      <c r="G2674" s="75" t="s">
        <v>979</v>
      </c>
      <c r="H2674" s="77" t="str">
        <f>VLOOKUP(DESPESAS[[#This Row],[Plano de Contas]],BASE!$B$3:$D$119,3,FALSE)</f>
        <v>Assistência Médica MOD</v>
      </c>
      <c r="I2674" s="77" t="str">
        <f>IFERROR(VLOOKUP(DESPESAS[[#This Row],[Fornecedor]],Tabela2[],2,FALSE),"")</f>
        <v/>
      </c>
      <c r="J2674" s="77" t="str">
        <f>IFERROR(VLOOKUP(DESPESAS[[#This Row],[Plano de Contas]],BASE!$B$3:$F$119,4,FALSE),"")</f>
        <v>2 - CUSTOS DIRETOS</v>
      </c>
      <c r="K2674" s="77" t="str">
        <f>IFERROR(VLOOKUP(DESPESAS[[#This Row],[Plano de Contas]],BASE!$B$3:$H$119,5,FALSE),"")</f>
        <v>DH</v>
      </c>
      <c r="L2674" s="77" t="str">
        <f>IFERROR(VLOOKUP(DESPESAS[[#This Row],[Plano de Contas]],BASE!$B$3:$H$119,6,FALSE),"")</f>
        <v>CUSTO MÃO DE OBRA DIRETA</v>
      </c>
      <c r="M2674" s="77" t="str">
        <f>VLOOKUP(DESPESAS[[#This Row],[Plano de Contas]],BASE!$B$3:$H$119,7,FALSE)</f>
        <v>RAFAEL</v>
      </c>
    </row>
    <row r="2675" spans="1:13" x14ac:dyDescent="0.25">
      <c r="A2675" s="74">
        <v>199727</v>
      </c>
      <c r="B2675" s="75" t="s">
        <v>281</v>
      </c>
      <c r="C2675" s="75" t="s">
        <v>981</v>
      </c>
      <c r="D2675" s="76">
        <v>46104</v>
      </c>
      <c r="E2675" s="75" t="s">
        <v>1277</v>
      </c>
      <c r="F2675" s="74">
        <v>32</v>
      </c>
      <c r="G2675" s="75" t="s">
        <v>979</v>
      </c>
      <c r="H2675" s="77" t="str">
        <f>VLOOKUP(DESPESAS[[#This Row],[Plano de Contas]],BASE!$B$3:$D$119,3,FALSE)</f>
        <v>Assistência Médica MOD</v>
      </c>
      <c r="I2675" s="77" t="str">
        <f>IFERROR(VLOOKUP(DESPESAS[[#This Row],[Fornecedor]],Tabela2[],2,FALSE),"")</f>
        <v/>
      </c>
      <c r="J2675" s="77" t="str">
        <f>IFERROR(VLOOKUP(DESPESAS[[#This Row],[Plano de Contas]],BASE!$B$3:$F$119,4,FALSE),"")</f>
        <v>2 - CUSTOS DIRETOS</v>
      </c>
      <c r="K2675" s="77" t="str">
        <f>IFERROR(VLOOKUP(DESPESAS[[#This Row],[Plano de Contas]],BASE!$B$3:$H$119,5,FALSE),"")</f>
        <v>DH</v>
      </c>
      <c r="L2675" s="77" t="str">
        <f>IFERROR(VLOOKUP(DESPESAS[[#This Row],[Plano de Contas]],BASE!$B$3:$H$119,6,FALSE),"")</f>
        <v>CUSTO MÃO DE OBRA DIRETA</v>
      </c>
      <c r="M2675" s="77" t="str">
        <f>VLOOKUP(DESPESAS[[#This Row],[Plano de Contas]],BASE!$B$3:$H$119,7,FALSE)</f>
        <v>RAFAEL</v>
      </c>
    </row>
    <row r="2676" spans="1:13" x14ac:dyDescent="0.25">
      <c r="A2676" s="74">
        <v>199729</v>
      </c>
      <c r="B2676" s="75" t="s">
        <v>279</v>
      </c>
      <c r="C2676" s="75" t="s">
        <v>981</v>
      </c>
      <c r="D2676" s="76">
        <v>46104</v>
      </c>
      <c r="E2676" s="75" t="s">
        <v>1277</v>
      </c>
      <c r="F2676" s="74">
        <v>207.9</v>
      </c>
      <c r="G2676" s="75" t="s">
        <v>979</v>
      </c>
      <c r="H2676" s="77" t="str">
        <f>VLOOKUP(DESPESAS[[#This Row],[Plano de Contas]],BASE!$B$3:$D$119,3,FALSE)</f>
        <v>Assistência Médica MOD</v>
      </c>
      <c r="I2676" s="77" t="str">
        <f>IFERROR(VLOOKUP(DESPESAS[[#This Row],[Fornecedor]],Tabela2[],2,FALSE),"")</f>
        <v/>
      </c>
      <c r="J2676" s="77" t="str">
        <f>IFERROR(VLOOKUP(DESPESAS[[#This Row],[Plano de Contas]],BASE!$B$3:$F$119,4,FALSE),"")</f>
        <v>2 - CUSTOS DIRETOS</v>
      </c>
      <c r="K2676" s="77" t="str">
        <f>IFERROR(VLOOKUP(DESPESAS[[#This Row],[Plano de Contas]],BASE!$B$3:$H$119,5,FALSE),"")</f>
        <v>DH</v>
      </c>
      <c r="L2676" s="77" t="str">
        <f>IFERROR(VLOOKUP(DESPESAS[[#This Row],[Plano de Contas]],BASE!$B$3:$H$119,6,FALSE),"")</f>
        <v>CUSTO MÃO DE OBRA DIRETA</v>
      </c>
      <c r="M2676" s="77" t="str">
        <f>VLOOKUP(DESPESAS[[#This Row],[Plano de Contas]],BASE!$B$3:$H$119,7,FALSE)</f>
        <v>RAFAEL</v>
      </c>
    </row>
    <row r="2677" spans="1:13" x14ac:dyDescent="0.25">
      <c r="A2677" s="74">
        <v>199730</v>
      </c>
      <c r="B2677" s="75" t="s">
        <v>221</v>
      </c>
      <c r="C2677" s="75" t="s">
        <v>1276</v>
      </c>
      <c r="D2677" s="76">
        <v>46104</v>
      </c>
      <c r="E2677" s="75" t="s">
        <v>338</v>
      </c>
      <c r="F2677" s="74">
        <v>31.5</v>
      </c>
      <c r="G2677" s="75" t="s">
        <v>337</v>
      </c>
      <c r="H2677" s="77" t="str">
        <f>VLOOKUP(DESPESAS[[#This Row],[Plano de Contas]],BASE!$B$3:$D$119,3,FALSE)</f>
        <v>Vigilancia e Seguranca</v>
      </c>
      <c r="I2677" s="77" t="str">
        <f>IFERROR(VLOOKUP(DESPESAS[[#This Row],[Fornecedor]],Tabela2[],2,FALSE),"")</f>
        <v/>
      </c>
      <c r="J2677" s="77" t="str">
        <f>IFERROR(VLOOKUP(DESPESAS[[#This Row],[Plano de Contas]],BASE!$B$3:$F$119,4,FALSE),"")</f>
        <v>7 - SERVIÇOS DE TERCEIROS</v>
      </c>
      <c r="K2677" s="77" t="str">
        <f>IFERROR(VLOOKUP(DESPESAS[[#This Row],[Plano de Contas]],BASE!$B$3:$H$119,5,FALSE),"")</f>
        <v>FINANCEIRO</v>
      </c>
      <c r="L2677" s="77">
        <f>IFERROR(VLOOKUP(DESPESAS[[#This Row],[Plano de Contas]],BASE!$B$3:$H$119,6,FALSE),"")</f>
        <v>0</v>
      </c>
      <c r="M2677" s="77" t="str">
        <f>VLOOKUP(DESPESAS[[#This Row],[Plano de Contas]],BASE!$B$3:$H$119,7,FALSE)</f>
        <v>LETÍCIA</v>
      </c>
    </row>
    <row r="2678" spans="1:13" x14ac:dyDescent="0.25">
      <c r="A2678" s="74">
        <v>199731</v>
      </c>
      <c r="B2678" s="75" t="s">
        <v>232</v>
      </c>
      <c r="C2678" s="75" t="s">
        <v>1275</v>
      </c>
      <c r="D2678" s="76">
        <v>46104</v>
      </c>
      <c r="E2678" s="75" t="s">
        <v>260</v>
      </c>
      <c r="F2678" s="74">
        <v>74</v>
      </c>
      <c r="G2678" s="75" t="s">
        <v>244</v>
      </c>
      <c r="H2678" s="77" t="str">
        <f>VLOOKUP(DESPESAS[[#This Row],[Plano de Contas]],BASE!$B$3:$D$119,3,FALSE)</f>
        <v>Material de Expediente (Prod)</v>
      </c>
      <c r="I2678" s="77" t="str">
        <f>IFERROR(VLOOKUP(DESPESAS[[#This Row],[Fornecedor]],Tabela2[],2,FALSE),"")</f>
        <v>PEÇAS DE FERRAMENTAS</v>
      </c>
      <c r="J2678" s="77" t="str">
        <f>IFERROR(VLOOKUP(DESPESAS[[#This Row],[Plano de Contas]],BASE!$B$3:$F$119,4,FALSE),"")</f>
        <v>2 - CUSTOS DIRETOS</v>
      </c>
      <c r="K2678" s="77" t="str">
        <f>IFERROR(VLOOKUP(DESPESAS[[#This Row],[Plano de Contas]],BASE!$B$3:$H$119,5,FALSE),"")</f>
        <v>PRODUÇÃO</v>
      </c>
      <c r="L2678" s="77">
        <f>IFERROR(VLOOKUP(DESPESAS[[#This Row],[Plano de Contas]],BASE!$B$3:$H$119,6,FALSE),"")</f>
        <v>0</v>
      </c>
      <c r="M2678" s="77" t="str">
        <f>VLOOKUP(DESPESAS[[#This Row],[Plano de Contas]],BASE!$B$3:$H$119,7,FALSE)</f>
        <v>RAFAEL</v>
      </c>
    </row>
    <row r="2679" spans="1:13" x14ac:dyDescent="0.25">
      <c r="A2679" s="74">
        <v>199732</v>
      </c>
      <c r="B2679" s="75" t="s">
        <v>232</v>
      </c>
      <c r="C2679" s="75" t="s">
        <v>1274</v>
      </c>
      <c r="D2679" s="76">
        <v>46104</v>
      </c>
      <c r="E2679" s="75" t="s">
        <v>230</v>
      </c>
      <c r="F2679" s="74">
        <v>284.66000000000003</v>
      </c>
      <c r="G2679" s="75" t="s">
        <v>229</v>
      </c>
      <c r="H2679" s="77" t="str">
        <f>VLOOKUP(DESPESAS[[#This Row],[Plano de Contas]],BASE!$B$3:$D$119,3,FALSE)</f>
        <v>Despesas Bancarias</v>
      </c>
      <c r="I2679" s="77" t="str">
        <f>IFERROR(VLOOKUP(DESPESAS[[#This Row],[Fornecedor]],Tabela2[],2,FALSE),"")</f>
        <v/>
      </c>
      <c r="J2679" s="77" t="str">
        <f>IFERROR(VLOOKUP(DESPESAS[[#This Row],[Plano de Contas]],BASE!$B$3:$F$119,4,FALSE),"")</f>
        <v>8 - DESPESAS FINANCEIRAS</v>
      </c>
      <c r="K2679" s="77" t="str">
        <f>IFERROR(VLOOKUP(DESPESAS[[#This Row],[Plano de Contas]],BASE!$B$3:$H$119,5,FALSE),"")</f>
        <v>FINANCEIRO</v>
      </c>
      <c r="L2679" s="77">
        <f>IFERROR(VLOOKUP(DESPESAS[[#This Row],[Plano de Contas]],BASE!$B$3:$H$119,6,FALSE),"")</f>
        <v>0</v>
      </c>
      <c r="M2679" s="77" t="str">
        <f>VLOOKUP(DESPESAS[[#This Row],[Plano de Contas]],BASE!$B$3:$H$119,7,FALSE)</f>
        <v>LETÍCIA</v>
      </c>
    </row>
    <row r="2680" spans="1:13" x14ac:dyDescent="0.25">
      <c r="A2680" s="74">
        <v>199733</v>
      </c>
      <c r="B2680" s="75" t="s">
        <v>232</v>
      </c>
      <c r="C2680" s="75" t="s">
        <v>1273</v>
      </c>
      <c r="D2680" s="76">
        <v>46104</v>
      </c>
      <c r="E2680" s="75" t="s">
        <v>230</v>
      </c>
      <c r="F2680" s="74">
        <v>355.45</v>
      </c>
      <c r="G2680" s="75" t="s">
        <v>229</v>
      </c>
      <c r="H2680" s="77" t="str">
        <f>VLOOKUP(DESPESAS[[#This Row],[Plano de Contas]],BASE!$B$3:$D$119,3,FALSE)</f>
        <v>Despesas Bancarias</v>
      </c>
      <c r="I2680" s="77" t="str">
        <f>IFERROR(VLOOKUP(DESPESAS[[#This Row],[Fornecedor]],Tabela2[],2,FALSE),"")</f>
        <v/>
      </c>
      <c r="J2680" s="77" t="str">
        <f>IFERROR(VLOOKUP(DESPESAS[[#This Row],[Plano de Contas]],BASE!$B$3:$F$119,4,FALSE),"")</f>
        <v>8 - DESPESAS FINANCEIRAS</v>
      </c>
      <c r="K2680" s="77" t="str">
        <f>IFERROR(VLOOKUP(DESPESAS[[#This Row],[Plano de Contas]],BASE!$B$3:$H$119,5,FALSE),"")</f>
        <v>FINANCEIRO</v>
      </c>
      <c r="L2680" s="77">
        <f>IFERROR(VLOOKUP(DESPESAS[[#This Row],[Plano de Contas]],BASE!$B$3:$H$119,6,FALSE),"")</f>
        <v>0</v>
      </c>
      <c r="M2680" s="77" t="str">
        <f>VLOOKUP(DESPESAS[[#This Row],[Plano de Contas]],BASE!$B$3:$H$119,7,FALSE)</f>
        <v>LETÍCIA</v>
      </c>
    </row>
    <row r="2681" spans="1:13" x14ac:dyDescent="0.25">
      <c r="A2681" s="74">
        <v>199735</v>
      </c>
      <c r="B2681" s="75" t="s">
        <v>232</v>
      </c>
      <c r="C2681" s="75" t="s">
        <v>1272</v>
      </c>
      <c r="D2681" s="76">
        <v>46104</v>
      </c>
      <c r="E2681" s="75" t="s">
        <v>1271</v>
      </c>
      <c r="F2681" s="74">
        <v>778</v>
      </c>
      <c r="G2681" s="75" t="s">
        <v>241</v>
      </c>
      <c r="H2681" s="77" t="str">
        <f>VLOOKUP(DESPESAS[[#This Row],[Plano de Contas]],BASE!$B$3:$D$119,3,FALSE)</f>
        <v>Combustiveis Frota</v>
      </c>
      <c r="I2681" s="77" t="str">
        <f>IFERROR(VLOOKUP(DESPESAS[[#This Row],[Fornecedor]],Tabela2[],2,FALSE),"")</f>
        <v/>
      </c>
      <c r="J2681" s="77" t="str">
        <f>IFERROR(VLOOKUP(DESPESAS[[#This Row],[Plano de Contas]],BASE!$B$3:$F$119,4,FALSE),"")</f>
        <v>6 - DESPESA COM VENDAS</v>
      </c>
      <c r="K2681" s="77" t="str">
        <f>IFERROR(VLOOKUP(DESPESAS[[#This Row],[Plano de Contas]],BASE!$B$3:$H$119,5,FALSE),"")</f>
        <v>LOGÍSTICA</v>
      </c>
      <c r="L2681" s="77">
        <f>IFERROR(VLOOKUP(DESPESAS[[#This Row],[Plano de Contas]],BASE!$B$3:$H$119,6,FALSE),"")</f>
        <v>0</v>
      </c>
      <c r="M2681" s="77" t="str">
        <f>VLOOKUP(DESPESAS[[#This Row],[Plano de Contas]],BASE!$B$3:$H$119,7,FALSE)</f>
        <v>MYLENA</v>
      </c>
    </row>
    <row r="2682" spans="1:13" x14ac:dyDescent="0.25">
      <c r="A2682" s="74">
        <v>199736</v>
      </c>
      <c r="B2682" s="75" t="s">
        <v>232</v>
      </c>
      <c r="C2682" s="75" t="s">
        <v>1270</v>
      </c>
      <c r="D2682" s="76">
        <v>46104</v>
      </c>
      <c r="E2682" s="75" t="s">
        <v>1269</v>
      </c>
      <c r="F2682" s="74">
        <v>2157</v>
      </c>
      <c r="G2682" s="75" t="s">
        <v>241</v>
      </c>
      <c r="H2682" s="77" t="str">
        <f>VLOOKUP(DESPESAS[[#This Row],[Plano de Contas]],BASE!$B$3:$D$119,3,FALSE)</f>
        <v>Combustiveis Frota</v>
      </c>
      <c r="I2682" s="77" t="str">
        <f>IFERROR(VLOOKUP(DESPESAS[[#This Row],[Fornecedor]],Tabela2[],2,FALSE),"")</f>
        <v/>
      </c>
      <c r="J2682" s="77" t="str">
        <f>IFERROR(VLOOKUP(DESPESAS[[#This Row],[Plano de Contas]],BASE!$B$3:$F$119,4,FALSE),"")</f>
        <v>6 - DESPESA COM VENDAS</v>
      </c>
      <c r="K2682" s="77" t="str">
        <f>IFERROR(VLOOKUP(DESPESAS[[#This Row],[Plano de Contas]],BASE!$B$3:$H$119,5,FALSE),"")</f>
        <v>LOGÍSTICA</v>
      </c>
      <c r="L2682" s="77">
        <f>IFERROR(VLOOKUP(DESPESAS[[#This Row],[Plano de Contas]],BASE!$B$3:$H$119,6,FALSE),"")</f>
        <v>0</v>
      </c>
      <c r="M2682" s="77" t="str">
        <f>VLOOKUP(DESPESAS[[#This Row],[Plano de Contas]],BASE!$B$3:$H$119,7,FALSE)</f>
        <v>MYLENA</v>
      </c>
    </row>
    <row r="2683" spans="1:13" x14ac:dyDescent="0.25">
      <c r="A2683" s="74">
        <v>199737</v>
      </c>
      <c r="B2683" s="75" t="s">
        <v>221</v>
      </c>
      <c r="C2683" s="75" t="s">
        <v>1268</v>
      </c>
      <c r="D2683" s="76">
        <v>46104</v>
      </c>
      <c r="E2683" s="75" t="s">
        <v>442</v>
      </c>
      <c r="F2683" s="74">
        <v>2290</v>
      </c>
      <c r="G2683" s="75" t="s">
        <v>262</v>
      </c>
      <c r="H2683" s="77" t="str">
        <f>VLOOKUP(DESPESAS[[#This Row],[Plano de Contas]],BASE!$B$3:$D$119,3,FALSE)</f>
        <v>Fretes Karams</v>
      </c>
      <c r="I2683" s="77" t="str">
        <f>IFERROR(VLOOKUP(DESPESAS[[#This Row],[Fornecedor]],Tabela2[],2,FALSE),"")</f>
        <v/>
      </c>
      <c r="J2683" s="77" t="str">
        <f>IFERROR(VLOOKUP(DESPESAS[[#This Row],[Plano de Contas]],BASE!$B$3:$F$119,4,FALSE),"")</f>
        <v>6 - DESPESA COM VENDAS</v>
      </c>
      <c r="K2683" s="77" t="str">
        <f>IFERROR(VLOOKUP(DESPESAS[[#This Row],[Plano de Contas]],BASE!$B$3:$H$119,5,FALSE),"")</f>
        <v>LOGÍSTICA</v>
      </c>
      <c r="L2683" s="77">
        <f>IFERROR(VLOOKUP(DESPESAS[[#This Row],[Plano de Contas]],BASE!$B$3:$H$119,6,FALSE),"")</f>
        <v>0</v>
      </c>
      <c r="M2683" s="77" t="str">
        <f>VLOOKUP(DESPESAS[[#This Row],[Plano de Contas]],BASE!$B$3:$H$119,7,FALSE)</f>
        <v>MYLENA</v>
      </c>
    </row>
    <row r="2684" spans="1:13" x14ac:dyDescent="0.25">
      <c r="A2684" s="74">
        <v>199738</v>
      </c>
      <c r="B2684" s="75" t="s">
        <v>221</v>
      </c>
      <c r="C2684" s="75" t="s">
        <v>1267</v>
      </c>
      <c r="D2684" s="76">
        <v>46104</v>
      </c>
      <c r="E2684" s="75" t="s">
        <v>442</v>
      </c>
      <c r="F2684" s="74">
        <v>126</v>
      </c>
      <c r="G2684" s="75" t="s">
        <v>247</v>
      </c>
      <c r="H2684" s="77" t="str">
        <f>VLOOKUP(DESPESAS[[#This Row],[Plano de Contas]],BASE!$B$3:$D$119,3,FALSE)</f>
        <v>Manutenção com veiculos</v>
      </c>
      <c r="I2684" s="77" t="str">
        <f>IFERROR(VLOOKUP(DESPESAS[[#This Row],[Fornecedor]],Tabela2[],2,FALSE),"")</f>
        <v/>
      </c>
      <c r="J2684" s="77" t="str">
        <f>IFERROR(VLOOKUP(DESPESAS[[#This Row],[Plano de Contas]],BASE!$B$3:$F$119,4,FALSE),"")</f>
        <v>6 - DESPESA COM VENDAS</v>
      </c>
      <c r="K2684" s="77" t="str">
        <f>IFERROR(VLOOKUP(DESPESAS[[#This Row],[Plano de Contas]],BASE!$B$3:$H$119,5,FALSE),"")</f>
        <v>LOGÍSTICA</v>
      </c>
      <c r="L2684" s="77">
        <f>IFERROR(VLOOKUP(DESPESAS[[#This Row],[Plano de Contas]],BASE!$B$3:$H$119,6,FALSE),"")</f>
        <v>0</v>
      </c>
      <c r="M2684" s="77" t="str">
        <f>VLOOKUP(DESPESAS[[#This Row],[Plano de Contas]],BASE!$B$3:$H$119,7,FALSE)</f>
        <v>MYLENA</v>
      </c>
    </row>
    <row r="2685" spans="1:13" x14ac:dyDescent="0.25">
      <c r="A2685" s="74">
        <v>199739</v>
      </c>
      <c r="B2685" s="75" t="s">
        <v>221</v>
      </c>
      <c r="C2685" s="75" t="s">
        <v>1266</v>
      </c>
      <c r="D2685" s="76">
        <v>46104</v>
      </c>
      <c r="E2685" s="75" t="s">
        <v>242</v>
      </c>
      <c r="F2685" s="74">
        <v>3766.61</v>
      </c>
      <c r="G2685" s="75" t="s">
        <v>241</v>
      </c>
      <c r="H2685" s="77" t="str">
        <f>VLOOKUP(DESPESAS[[#This Row],[Plano de Contas]],BASE!$B$3:$D$119,3,FALSE)</f>
        <v>Combustiveis Frota</v>
      </c>
      <c r="I2685" s="77" t="str">
        <f>IFERROR(VLOOKUP(DESPESAS[[#This Row],[Fornecedor]],Tabela2[],2,FALSE),"")</f>
        <v/>
      </c>
      <c r="J2685" s="77" t="str">
        <f>IFERROR(VLOOKUP(DESPESAS[[#This Row],[Plano de Contas]],BASE!$B$3:$F$119,4,FALSE),"")</f>
        <v>6 - DESPESA COM VENDAS</v>
      </c>
      <c r="K2685" s="77" t="str">
        <f>IFERROR(VLOOKUP(DESPESAS[[#This Row],[Plano de Contas]],BASE!$B$3:$H$119,5,FALSE),"")</f>
        <v>LOGÍSTICA</v>
      </c>
      <c r="L2685" s="77">
        <f>IFERROR(VLOOKUP(DESPESAS[[#This Row],[Plano de Contas]],BASE!$B$3:$H$119,6,FALSE),"")</f>
        <v>0</v>
      </c>
      <c r="M2685" s="77" t="str">
        <f>VLOOKUP(DESPESAS[[#This Row],[Plano de Contas]],BASE!$B$3:$H$119,7,FALSE)</f>
        <v>MYLENA</v>
      </c>
    </row>
    <row r="2686" spans="1:13" x14ac:dyDescent="0.25">
      <c r="A2686" s="74">
        <v>199740</v>
      </c>
      <c r="B2686" s="75" t="s">
        <v>221</v>
      </c>
      <c r="C2686" s="75" t="s">
        <v>1265</v>
      </c>
      <c r="D2686" s="76">
        <v>46104</v>
      </c>
      <c r="E2686" s="75" t="s">
        <v>502</v>
      </c>
      <c r="F2686" s="74">
        <v>220</v>
      </c>
      <c r="G2686" s="75" t="s">
        <v>241</v>
      </c>
      <c r="H2686" s="77" t="str">
        <f>VLOOKUP(DESPESAS[[#This Row],[Plano de Contas]],BASE!$B$3:$D$119,3,FALSE)</f>
        <v>Combustiveis Frota</v>
      </c>
      <c r="I2686" s="77" t="str">
        <f>IFERROR(VLOOKUP(DESPESAS[[#This Row],[Fornecedor]],Tabela2[],2,FALSE),"")</f>
        <v/>
      </c>
      <c r="J2686" s="77" t="str">
        <f>IFERROR(VLOOKUP(DESPESAS[[#This Row],[Plano de Contas]],BASE!$B$3:$F$119,4,FALSE),"")</f>
        <v>6 - DESPESA COM VENDAS</v>
      </c>
      <c r="K2686" s="77" t="str">
        <f>IFERROR(VLOOKUP(DESPESAS[[#This Row],[Plano de Contas]],BASE!$B$3:$H$119,5,FALSE),"")</f>
        <v>LOGÍSTICA</v>
      </c>
      <c r="L2686" s="77">
        <f>IFERROR(VLOOKUP(DESPESAS[[#This Row],[Plano de Contas]],BASE!$B$3:$H$119,6,FALSE),"")</f>
        <v>0</v>
      </c>
      <c r="M2686" s="77" t="str">
        <f>VLOOKUP(DESPESAS[[#This Row],[Plano de Contas]],BASE!$B$3:$H$119,7,FALSE)</f>
        <v>MYLENA</v>
      </c>
    </row>
    <row r="2687" spans="1:13" x14ac:dyDescent="0.25">
      <c r="A2687" s="74">
        <v>199741</v>
      </c>
      <c r="B2687" s="75" t="s">
        <v>221</v>
      </c>
      <c r="C2687" s="75" t="s">
        <v>1264</v>
      </c>
      <c r="D2687" s="76">
        <v>46104</v>
      </c>
      <c r="E2687" s="75" t="s">
        <v>413</v>
      </c>
      <c r="F2687" s="74">
        <v>1991.9</v>
      </c>
      <c r="G2687" s="75" t="s">
        <v>262</v>
      </c>
      <c r="H2687" s="77" t="str">
        <f>VLOOKUP(DESPESAS[[#This Row],[Plano de Contas]],BASE!$B$3:$D$119,3,FALSE)</f>
        <v>Fretes Karams</v>
      </c>
      <c r="I2687" s="77" t="str">
        <f>IFERROR(VLOOKUP(DESPESAS[[#This Row],[Fornecedor]],Tabela2[],2,FALSE),"")</f>
        <v/>
      </c>
      <c r="J2687" s="77" t="str">
        <f>IFERROR(VLOOKUP(DESPESAS[[#This Row],[Plano de Contas]],BASE!$B$3:$F$119,4,FALSE),"")</f>
        <v>6 - DESPESA COM VENDAS</v>
      </c>
      <c r="K2687" s="77" t="str">
        <f>IFERROR(VLOOKUP(DESPESAS[[#This Row],[Plano de Contas]],BASE!$B$3:$H$119,5,FALSE),"")</f>
        <v>LOGÍSTICA</v>
      </c>
      <c r="L2687" s="77">
        <f>IFERROR(VLOOKUP(DESPESAS[[#This Row],[Plano de Contas]],BASE!$B$3:$H$119,6,FALSE),"")</f>
        <v>0</v>
      </c>
      <c r="M2687" s="77" t="str">
        <f>VLOOKUP(DESPESAS[[#This Row],[Plano de Contas]],BASE!$B$3:$H$119,7,FALSE)</f>
        <v>MYLENA</v>
      </c>
    </row>
    <row r="2688" spans="1:13" x14ac:dyDescent="0.25">
      <c r="A2688" s="74">
        <v>199742</v>
      </c>
      <c r="B2688" s="75" t="s">
        <v>221</v>
      </c>
      <c r="C2688" s="75" t="s">
        <v>1263</v>
      </c>
      <c r="D2688" s="76">
        <v>46104</v>
      </c>
      <c r="E2688" s="75" t="s">
        <v>1262</v>
      </c>
      <c r="F2688" s="74">
        <v>3638.72</v>
      </c>
      <c r="G2688" s="75" t="s">
        <v>241</v>
      </c>
      <c r="H2688" s="77" t="str">
        <f>VLOOKUP(DESPESAS[[#This Row],[Plano de Contas]],BASE!$B$3:$D$119,3,FALSE)</f>
        <v>Combustiveis Frota</v>
      </c>
      <c r="I2688" s="77" t="str">
        <f>IFERROR(VLOOKUP(DESPESAS[[#This Row],[Fornecedor]],Tabela2[],2,FALSE),"")</f>
        <v/>
      </c>
      <c r="J2688" s="77" t="str">
        <f>IFERROR(VLOOKUP(DESPESAS[[#This Row],[Plano de Contas]],BASE!$B$3:$F$119,4,FALSE),"")</f>
        <v>6 - DESPESA COM VENDAS</v>
      </c>
      <c r="K2688" s="77" t="str">
        <f>IFERROR(VLOOKUP(DESPESAS[[#This Row],[Plano de Contas]],BASE!$B$3:$H$119,5,FALSE),"")</f>
        <v>LOGÍSTICA</v>
      </c>
      <c r="L2688" s="77">
        <f>IFERROR(VLOOKUP(DESPESAS[[#This Row],[Plano de Contas]],BASE!$B$3:$H$119,6,FALSE),"")</f>
        <v>0</v>
      </c>
      <c r="M2688" s="77" t="str">
        <f>VLOOKUP(DESPESAS[[#This Row],[Plano de Contas]],BASE!$B$3:$H$119,7,FALSE)</f>
        <v>MYLENA</v>
      </c>
    </row>
    <row r="2689" spans="1:13" x14ac:dyDescent="0.25">
      <c r="A2689" s="74">
        <v>199743</v>
      </c>
      <c r="B2689" s="75" t="s">
        <v>221</v>
      </c>
      <c r="C2689" s="75" t="s">
        <v>1261</v>
      </c>
      <c r="D2689" s="76">
        <v>46104</v>
      </c>
      <c r="E2689" s="75" t="s">
        <v>265</v>
      </c>
      <c r="F2689" s="74">
        <v>80.2</v>
      </c>
      <c r="G2689" s="75" t="s">
        <v>262</v>
      </c>
      <c r="H2689" s="77" t="str">
        <f>VLOOKUP(DESPESAS[[#This Row],[Plano de Contas]],BASE!$B$3:$D$119,3,FALSE)</f>
        <v>Fretes Karams</v>
      </c>
      <c r="I2689" s="77" t="str">
        <f>IFERROR(VLOOKUP(DESPESAS[[#This Row],[Fornecedor]],Tabela2[],2,FALSE),"")</f>
        <v/>
      </c>
      <c r="J2689" s="77" t="str">
        <f>IFERROR(VLOOKUP(DESPESAS[[#This Row],[Plano de Contas]],BASE!$B$3:$F$119,4,FALSE),"")</f>
        <v>6 - DESPESA COM VENDAS</v>
      </c>
      <c r="K2689" s="77" t="str">
        <f>IFERROR(VLOOKUP(DESPESAS[[#This Row],[Plano de Contas]],BASE!$B$3:$H$119,5,FALSE),"")</f>
        <v>LOGÍSTICA</v>
      </c>
      <c r="L2689" s="77">
        <f>IFERROR(VLOOKUP(DESPESAS[[#This Row],[Plano de Contas]],BASE!$B$3:$H$119,6,FALSE),"")</f>
        <v>0</v>
      </c>
      <c r="M2689" s="77" t="str">
        <f>VLOOKUP(DESPESAS[[#This Row],[Plano de Contas]],BASE!$B$3:$H$119,7,FALSE)</f>
        <v>MYLENA</v>
      </c>
    </row>
    <row r="2690" spans="1:13" x14ac:dyDescent="0.25">
      <c r="A2690" s="74">
        <v>199744</v>
      </c>
      <c r="B2690" s="75" t="s">
        <v>221</v>
      </c>
      <c r="C2690" s="75" t="s">
        <v>1260</v>
      </c>
      <c r="D2690" s="76">
        <v>46104</v>
      </c>
      <c r="E2690" s="75" t="s">
        <v>242</v>
      </c>
      <c r="F2690" s="74">
        <v>161.59</v>
      </c>
      <c r="G2690" s="75" t="s">
        <v>241</v>
      </c>
      <c r="H2690" s="77" t="str">
        <f>VLOOKUP(DESPESAS[[#This Row],[Plano de Contas]],BASE!$B$3:$D$119,3,FALSE)</f>
        <v>Combustiveis Frota</v>
      </c>
      <c r="I2690" s="77" t="str">
        <f>IFERROR(VLOOKUP(DESPESAS[[#This Row],[Fornecedor]],Tabela2[],2,FALSE),"")</f>
        <v/>
      </c>
      <c r="J2690" s="77" t="str">
        <f>IFERROR(VLOOKUP(DESPESAS[[#This Row],[Plano de Contas]],BASE!$B$3:$F$119,4,FALSE),"")</f>
        <v>6 - DESPESA COM VENDAS</v>
      </c>
      <c r="K2690" s="77" t="str">
        <f>IFERROR(VLOOKUP(DESPESAS[[#This Row],[Plano de Contas]],BASE!$B$3:$H$119,5,FALSE),"")</f>
        <v>LOGÍSTICA</v>
      </c>
      <c r="L2690" s="77">
        <f>IFERROR(VLOOKUP(DESPESAS[[#This Row],[Plano de Contas]],BASE!$B$3:$H$119,6,FALSE),"")</f>
        <v>0</v>
      </c>
      <c r="M2690" s="77" t="str">
        <f>VLOOKUP(DESPESAS[[#This Row],[Plano de Contas]],BASE!$B$3:$H$119,7,FALSE)</f>
        <v>MYLENA</v>
      </c>
    </row>
    <row r="2691" spans="1:13" x14ac:dyDescent="0.25">
      <c r="A2691" s="74">
        <v>199745</v>
      </c>
      <c r="B2691" s="75" t="s">
        <v>221</v>
      </c>
      <c r="C2691" s="75" t="s">
        <v>1259</v>
      </c>
      <c r="D2691" s="76">
        <v>46104</v>
      </c>
      <c r="E2691" s="75" t="s">
        <v>242</v>
      </c>
      <c r="F2691" s="74">
        <v>759.99</v>
      </c>
      <c r="G2691" s="75" t="s">
        <v>241</v>
      </c>
      <c r="H2691" s="77" t="str">
        <f>VLOOKUP(DESPESAS[[#This Row],[Plano de Contas]],BASE!$B$3:$D$119,3,FALSE)</f>
        <v>Combustiveis Frota</v>
      </c>
      <c r="I2691" s="77" t="str">
        <f>IFERROR(VLOOKUP(DESPESAS[[#This Row],[Fornecedor]],Tabela2[],2,FALSE),"")</f>
        <v/>
      </c>
      <c r="J2691" s="77" t="str">
        <f>IFERROR(VLOOKUP(DESPESAS[[#This Row],[Plano de Contas]],BASE!$B$3:$F$119,4,FALSE),"")</f>
        <v>6 - DESPESA COM VENDAS</v>
      </c>
      <c r="K2691" s="77" t="str">
        <f>IFERROR(VLOOKUP(DESPESAS[[#This Row],[Plano de Contas]],BASE!$B$3:$H$119,5,FALSE),"")</f>
        <v>LOGÍSTICA</v>
      </c>
      <c r="L2691" s="77">
        <f>IFERROR(VLOOKUP(DESPESAS[[#This Row],[Plano de Contas]],BASE!$B$3:$H$119,6,FALSE),"")</f>
        <v>0</v>
      </c>
      <c r="M2691" s="77" t="str">
        <f>VLOOKUP(DESPESAS[[#This Row],[Plano de Contas]],BASE!$B$3:$H$119,7,FALSE)</f>
        <v>MYLENA</v>
      </c>
    </row>
    <row r="2692" spans="1:13" x14ac:dyDescent="0.25">
      <c r="A2692" s="74">
        <v>199747</v>
      </c>
      <c r="B2692" s="75" t="s">
        <v>232</v>
      </c>
      <c r="C2692" s="75" t="s">
        <v>763</v>
      </c>
      <c r="D2692" s="76">
        <v>46105</v>
      </c>
      <c r="E2692" s="75" t="s">
        <v>894</v>
      </c>
      <c r="F2692" s="74">
        <v>3206.88</v>
      </c>
      <c r="G2692" s="75" t="s">
        <v>276</v>
      </c>
      <c r="H2692" s="77" t="str">
        <f>VLOOKUP(DESPESAS[[#This Row],[Plano de Contas]],BASE!$B$3:$D$119,3,FALSE)</f>
        <v>Férias MOD</v>
      </c>
      <c r="I2692" s="77" t="str">
        <f>IFERROR(VLOOKUP(DESPESAS[[#This Row],[Fornecedor]],Tabela2[],2,FALSE),"")</f>
        <v/>
      </c>
      <c r="J2692" s="77" t="str">
        <f>IFERROR(VLOOKUP(DESPESAS[[#This Row],[Plano de Contas]],BASE!$B$3:$F$119,4,FALSE),"")</f>
        <v>2 - CUSTOS DIRETOS</v>
      </c>
      <c r="K2692" s="77" t="str">
        <f>IFERROR(VLOOKUP(DESPESAS[[#This Row],[Plano de Contas]],BASE!$B$3:$H$119,5,FALSE),"")</f>
        <v>DH</v>
      </c>
      <c r="L2692" s="77" t="str">
        <f>IFERROR(VLOOKUP(DESPESAS[[#This Row],[Plano de Contas]],BASE!$B$3:$H$119,6,FALSE),"")</f>
        <v>CUSTO MÃO DE OBRA DIRETA</v>
      </c>
      <c r="M2692" s="77" t="str">
        <f>VLOOKUP(DESPESAS[[#This Row],[Plano de Contas]],BASE!$B$3:$H$119,7,FALSE)</f>
        <v>RAFAEL</v>
      </c>
    </row>
    <row r="2693" spans="1:13" x14ac:dyDescent="0.25">
      <c r="A2693" s="74">
        <v>199748</v>
      </c>
      <c r="B2693" s="75" t="s">
        <v>232</v>
      </c>
      <c r="C2693" s="75" t="s">
        <v>1258</v>
      </c>
      <c r="D2693" s="76">
        <v>46104</v>
      </c>
      <c r="E2693" s="75" t="s">
        <v>230</v>
      </c>
      <c r="F2693" s="74">
        <v>5.7</v>
      </c>
      <c r="G2693" s="75" t="s">
        <v>229</v>
      </c>
      <c r="H2693" s="77" t="str">
        <f>VLOOKUP(DESPESAS[[#This Row],[Plano de Contas]],BASE!$B$3:$D$119,3,FALSE)</f>
        <v>Despesas Bancarias</v>
      </c>
      <c r="I2693" s="77" t="str">
        <f>IFERROR(VLOOKUP(DESPESAS[[#This Row],[Fornecedor]],Tabela2[],2,FALSE),"")</f>
        <v/>
      </c>
      <c r="J2693" s="77" t="str">
        <f>IFERROR(VLOOKUP(DESPESAS[[#This Row],[Plano de Contas]],BASE!$B$3:$F$119,4,FALSE),"")</f>
        <v>8 - DESPESAS FINANCEIRAS</v>
      </c>
      <c r="K2693" s="77" t="str">
        <f>IFERROR(VLOOKUP(DESPESAS[[#This Row],[Plano de Contas]],BASE!$B$3:$H$119,5,FALSE),"")</f>
        <v>FINANCEIRO</v>
      </c>
      <c r="L2693" s="77">
        <f>IFERROR(VLOOKUP(DESPESAS[[#This Row],[Plano de Contas]],BASE!$B$3:$H$119,6,FALSE),"")</f>
        <v>0</v>
      </c>
      <c r="M2693" s="77" t="str">
        <f>VLOOKUP(DESPESAS[[#This Row],[Plano de Contas]],BASE!$B$3:$H$119,7,FALSE)</f>
        <v>LETÍCIA</v>
      </c>
    </row>
    <row r="2694" spans="1:13" x14ac:dyDescent="0.25">
      <c r="A2694" s="74">
        <v>199749</v>
      </c>
      <c r="B2694" s="75" t="s">
        <v>232</v>
      </c>
      <c r="C2694" s="75" t="s">
        <v>1257</v>
      </c>
      <c r="D2694" s="76">
        <v>46104</v>
      </c>
      <c r="E2694" s="75" t="s">
        <v>230</v>
      </c>
      <c r="F2694" s="74">
        <v>25.28</v>
      </c>
      <c r="G2694" s="75" t="s">
        <v>236</v>
      </c>
      <c r="H2694" s="77" t="str">
        <f>VLOOKUP(DESPESAS[[#This Row],[Plano de Contas]],BASE!$B$3:$D$119,3,FALSE)</f>
        <v>Despesas de Cobranca</v>
      </c>
      <c r="I2694" s="77" t="str">
        <f>IFERROR(VLOOKUP(DESPESAS[[#This Row],[Fornecedor]],Tabela2[],2,FALSE),"")</f>
        <v/>
      </c>
      <c r="J2694" s="77" t="str">
        <f>IFERROR(VLOOKUP(DESPESAS[[#This Row],[Plano de Contas]],BASE!$B$3:$F$119,4,FALSE),"")</f>
        <v>8 - DESPESAS FINANCEIRAS</v>
      </c>
      <c r="K2694" s="77" t="str">
        <f>IFERROR(VLOOKUP(DESPESAS[[#This Row],[Plano de Contas]],BASE!$B$3:$H$119,5,FALSE),"")</f>
        <v>FINANCEIRO</v>
      </c>
      <c r="L2694" s="77">
        <f>IFERROR(VLOOKUP(DESPESAS[[#This Row],[Plano de Contas]],BASE!$B$3:$H$119,6,FALSE),"")</f>
        <v>0</v>
      </c>
      <c r="M2694" s="77" t="str">
        <f>VLOOKUP(DESPESAS[[#This Row],[Plano de Contas]],BASE!$B$3:$H$119,7,FALSE)</f>
        <v>LETÍCIA</v>
      </c>
    </row>
    <row r="2695" spans="1:13" x14ac:dyDescent="0.25">
      <c r="A2695" s="74">
        <v>199750</v>
      </c>
      <c r="B2695" s="75" t="s">
        <v>232</v>
      </c>
      <c r="C2695" s="75" t="s">
        <v>1256</v>
      </c>
      <c r="D2695" s="76">
        <v>46105</v>
      </c>
      <c r="E2695" s="75" t="s">
        <v>230</v>
      </c>
      <c r="F2695" s="74">
        <v>1.47</v>
      </c>
      <c r="G2695" s="75" t="s">
        <v>229</v>
      </c>
      <c r="H2695" s="77" t="str">
        <f>VLOOKUP(DESPESAS[[#This Row],[Plano de Contas]],BASE!$B$3:$D$119,3,FALSE)</f>
        <v>Despesas Bancarias</v>
      </c>
      <c r="I2695" s="77" t="str">
        <f>IFERROR(VLOOKUP(DESPESAS[[#This Row],[Fornecedor]],Tabela2[],2,FALSE),"")</f>
        <v/>
      </c>
      <c r="J2695" s="77" t="str">
        <f>IFERROR(VLOOKUP(DESPESAS[[#This Row],[Plano de Contas]],BASE!$B$3:$F$119,4,FALSE),"")</f>
        <v>8 - DESPESAS FINANCEIRAS</v>
      </c>
      <c r="K2695" s="77" t="str">
        <f>IFERROR(VLOOKUP(DESPESAS[[#This Row],[Plano de Contas]],BASE!$B$3:$H$119,5,FALSE),"")</f>
        <v>FINANCEIRO</v>
      </c>
      <c r="L2695" s="77">
        <f>IFERROR(VLOOKUP(DESPESAS[[#This Row],[Plano de Contas]],BASE!$B$3:$H$119,6,FALSE),"")</f>
        <v>0</v>
      </c>
      <c r="M2695" s="77" t="str">
        <f>VLOOKUP(DESPESAS[[#This Row],[Plano de Contas]],BASE!$B$3:$H$119,7,FALSE)</f>
        <v>LETÍCIA</v>
      </c>
    </row>
    <row r="2696" spans="1:13" x14ac:dyDescent="0.25">
      <c r="A2696" s="74">
        <v>199751</v>
      </c>
      <c r="B2696" s="75" t="s">
        <v>232</v>
      </c>
      <c r="C2696" s="75" t="s">
        <v>1255</v>
      </c>
      <c r="D2696" s="76">
        <v>46104</v>
      </c>
      <c r="E2696" s="75" t="s">
        <v>230</v>
      </c>
      <c r="F2696" s="74">
        <v>1730.73</v>
      </c>
      <c r="G2696" s="75" t="s">
        <v>251</v>
      </c>
      <c r="H2696" s="77" t="str">
        <f>VLOOKUP(DESPESAS[[#This Row],[Plano de Contas]],BASE!$B$3:$D$119,3,FALSE)</f>
        <v>Juros Pagos - Antecipação de Crédito</v>
      </c>
      <c r="I2696" s="77" t="str">
        <f>IFERROR(VLOOKUP(DESPESAS[[#This Row],[Fornecedor]],Tabela2[],2,FALSE),"")</f>
        <v/>
      </c>
      <c r="J2696" s="77" t="str">
        <f>IFERROR(VLOOKUP(DESPESAS[[#This Row],[Plano de Contas]],BASE!$B$3:$F$119,4,FALSE),"")</f>
        <v>8 - DESPESAS FINANCEIRAS</v>
      </c>
      <c r="K2696" s="77" t="str">
        <f>IFERROR(VLOOKUP(DESPESAS[[#This Row],[Plano de Contas]],BASE!$B$3:$H$119,5,FALSE),"")</f>
        <v>FINANCEIRO</v>
      </c>
      <c r="L2696" s="77">
        <f>IFERROR(VLOOKUP(DESPESAS[[#This Row],[Plano de Contas]],BASE!$B$3:$H$119,6,FALSE),"")</f>
        <v>0</v>
      </c>
      <c r="M2696" s="77" t="str">
        <f>VLOOKUP(DESPESAS[[#This Row],[Plano de Contas]],BASE!$B$3:$H$119,7,FALSE)</f>
        <v>LETÍCIA</v>
      </c>
    </row>
    <row r="2697" spans="1:13" x14ac:dyDescent="0.25">
      <c r="A2697" s="74">
        <v>199752</v>
      </c>
      <c r="B2697" s="75" t="s">
        <v>279</v>
      </c>
      <c r="C2697" s="75" t="s">
        <v>1254</v>
      </c>
      <c r="D2697" s="76">
        <v>46104</v>
      </c>
      <c r="E2697" s="75" t="s">
        <v>230</v>
      </c>
      <c r="F2697" s="74">
        <v>9.48</v>
      </c>
      <c r="G2697" s="75" t="s">
        <v>236</v>
      </c>
      <c r="H2697" s="77" t="str">
        <f>VLOOKUP(DESPESAS[[#This Row],[Plano de Contas]],BASE!$B$3:$D$119,3,FALSE)</f>
        <v>Despesas de Cobranca</v>
      </c>
      <c r="I2697" s="77" t="str">
        <f>IFERROR(VLOOKUP(DESPESAS[[#This Row],[Fornecedor]],Tabela2[],2,FALSE),"")</f>
        <v/>
      </c>
      <c r="J2697" s="77" t="str">
        <f>IFERROR(VLOOKUP(DESPESAS[[#This Row],[Plano de Contas]],BASE!$B$3:$F$119,4,FALSE),"")</f>
        <v>8 - DESPESAS FINANCEIRAS</v>
      </c>
      <c r="K2697" s="77" t="str">
        <f>IFERROR(VLOOKUP(DESPESAS[[#This Row],[Plano de Contas]],BASE!$B$3:$H$119,5,FALSE),"")</f>
        <v>FINANCEIRO</v>
      </c>
      <c r="L2697" s="77">
        <f>IFERROR(VLOOKUP(DESPESAS[[#This Row],[Plano de Contas]],BASE!$B$3:$H$119,6,FALSE),"")</f>
        <v>0</v>
      </c>
      <c r="M2697" s="77" t="str">
        <f>VLOOKUP(DESPESAS[[#This Row],[Plano de Contas]],BASE!$B$3:$H$119,7,FALSE)</f>
        <v>LETÍCIA</v>
      </c>
    </row>
    <row r="2698" spans="1:13" x14ac:dyDescent="0.25">
      <c r="A2698" s="74">
        <v>199753</v>
      </c>
      <c r="B2698" s="75" t="s">
        <v>281</v>
      </c>
      <c r="C2698" s="75" t="s">
        <v>1253</v>
      </c>
      <c r="D2698" s="76">
        <v>46104</v>
      </c>
      <c r="E2698" s="75" t="s">
        <v>230</v>
      </c>
      <c r="F2698" s="74">
        <v>0.79</v>
      </c>
      <c r="G2698" s="75" t="s">
        <v>229</v>
      </c>
      <c r="H2698" s="77" t="str">
        <f>VLOOKUP(DESPESAS[[#This Row],[Plano de Contas]],BASE!$B$3:$D$119,3,FALSE)</f>
        <v>Despesas Bancarias</v>
      </c>
      <c r="I2698" s="77" t="str">
        <f>IFERROR(VLOOKUP(DESPESAS[[#This Row],[Fornecedor]],Tabela2[],2,FALSE),"")</f>
        <v/>
      </c>
      <c r="J2698" s="77" t="str">
        <f>IFERROR(VLOOKUP(DESPESAS[[#This Row],[Plano de Contas]],BASE!$B$3:$F$119,4,FALSE),"")</f>
        <v>8 - DESPESAS FINANCEIRAS</v>
      </c>
      <c r="K2698" s="77" t="str">
        <f>IFERROR(VLOOKUP(DESPESAS[[#This Row],[Plano de Contas]],BASE!$B$3:$H$119,5,FALSE),"")</f>
        <v>FINANCEIRO</v>
      </c>
      <c r="L2698" s="77">
        <f>IFERROR(VLOOKUP(DESPESAS[[#This Row],[Plano de Contas]],BASE!$B$3:$H$119,6,FALSE),"")</f>
        <v>0</v>
      </c>
      <c r="M2698" s="77" t="str">
        <f>VLOOKUP(DESPESAS[[#This Row],[Plano de Contas]],BASE!$B$3:$H$119,7,FALSE)</f>
        <v>LETÍCIA</v>
      </c>
    </row>
    <row r="2699" spans="1:13" x14ac:dyDescent="0.25">
      <c r="A2699" s="74">
        <v>199754</v>
      </c>
      <c r="B2699" s="75" t="s">
        <v>221</v>
      </c>
      <c r="C2699" s="75" t="s">
        <v>1252</v>
      </c>
      <c r="D2699" s="76">
        <v>46105</v>
      </c>
      <c r="E2699" s="75" t="s">
        <v>1251</v>
      </c>
      <c r="F2699" s="74">
        <v>250</v>
      </c>
      <c r="G2699" s="75" t="s">
        <v>244</v>
      </c>
      <c r="H2699" s="77" t="str">
        <f>VLOOKUP(DESPESAS[[#This Row],[Plano de Contas]],BASE!$B$3:$D$119,3,FALSE)</f>
        <v>Material de Expediente (Prod)</v>
      </c>
      <c r="I2699" s="77" t="str">
        <f>IFERROR(VLOOKUP(DESPESAS[[#This Row],[Fornecedor]],Tabela2[],2,FALSE),"")</f>
        <v/>
      </c>
      <c r="J2699" s="77" t="str">
        <f>IFERROR(VLOOKUP(DESPESAS[[#This Row],[Plano de Contas]],BASE!$B$3:$F$119,4,FALSE),"")</f>
        <v>2 - CUSTOS DIRETOS</v>
      </c>
      <c r="K2699" s="77" t="str">
        <f>IFERROR(VLOOKUP(DESPESAS[[#This Row],[Plano de Contas]],BASE!$B$3:$H$119,5,FALSE),"")</f>
        <v>PRODUÇÃO</v>
      </c>
      <c r="L2699" s="77">
        <f>IFERROR(VLOOKUP(DESPESAS[[#This Row],[Plano de Contas]],BASE!$B$3:$H$119,6,FALSE),"")</f>
        <v>0</v>
      </c>
      <c r="M2699" s="77" t="str">
        <f>VLOOKUP(DESPESAS[[#This Row],[Plano de Contas]],BASE!$B$3:$H$119,7,FALSE)</f>
        <v>RAFAEL</v>
      </c>
    </row>
    <row r="2700" spans="1:13" x14ac:dyDescent="0.25">
      <c r="A2700" s="74">
        <v>199755</v>
      </c>
      <c r="B2700" s="75" t="s">
        <v>221</v>
      </c>
      <c r="C2700" s="75" t="s">
        <v>1250</v>
      </c>
      <c r="D2700" s="76">
        <v>46105</v>
      </c>
      <c r="E2700" s="75" t="s">
        <v>402</v>
      </c>
      <c r="F2700" s="74">
        <v>1455</v>
      </c>
      <c r="G2700" s="75" t="s">
        <v>262</v>
      </c>
      <c r="H2700" s="77" t="str">
        <f>VLOOKUP(DESPESAS[[#This Row],[Plano de Contas]],BASE!$B$3:$D$119,3,FALSE)</f>
        <v>Fretes Karams</v>
      </c>
      <c r="I2700" s="77" t="str">
        <f>IFERROR(VLOOKUP(DESPESAS[[#This Row],[Fornecedor]],Tabela2[],2,FALSE),"")</f>
        <v/>
      </c>
      <c r="J2700" s="77" t="str">
        <f>IFERROR(VLOOKUP(DESPESAS[[#This Row],[Plano de Contas]],BASE!$B$3:$F$119,4,FALSE),"")</f>
        <v>6 - DESPESA COM VENDAS</v>
      </c>
      <c r="K2700" s="77" t="str">
        <f>IFERROR(VLOOKUP(DESPESAS[[#This Row],[Plano de Contas]],BASE!$B$3:$H$119,5,FALSE),"")</f>
        <v>LOGÍSTICA</v>
      </c>
      <c r="L2700" s="77">
        <f>IFERROR(VLOOKUP(DESPESAS[[#This Row],[Plano de Contas]],BASE!$B$3:$H$119,6,FALSE),"")</f>
        <v>0</v>
      </c>
      <c r="M2700" s="77" t="str">
        <f>VLOOKUP(DESPESAS[[#This Row],[Plano de Contas]],BASE!$B$3:$H$119,7,FALSE)</f>
        <v>MYLENA</v>
      </c>
    </row>
    <row r="2701" spans="1:13" x14ac:dyDescent="0.25">
      <c r="A2701" s="74">
        <v>199756</v>
      </c>
      <c r="B2701" s="75" t="s">
        <v>221</v>
      </c>
      <c r="C2701" s="75" t="s">
        <v>1249</v>
      </c>
      <c r="D2701" s="76">
        <v>46105</v>
      </c>
      <c r="E2701" s="75" t="s">
        <v>268</v>
      </c>
      <c r="F2701" s="74">
        <v>57</v>
      </c>
      <c r="G2701" s="75" t="s">
        <v>262</v>
      </c>
      <c r="H2701" s="77" t="str">
        <f>VLOOKUP(DESPESAS[[#This Row],[Plano de Contas]],BASE!$B$3:$D$119,3,FALSE)</f>
        <v>Fretes Karams</v>
      </c>
      <c r="I2701" s="77" t="str">
        <f>IFERROR(VLOOKUP(DESPESAS[[#This Row],[Fornecedor]],Tabela2[],2,FALSE),"")</f>
        <v/>
      </c>
      <c r="J2701" s="77" t="str">
        <f>IFERROR(VLOOKUP(DESPESAS[[#This Row],[Plano de Contas]],BASE!$B$3:$F$119,4,FALSE),"")</f>
        <v>6 - DESPESA COM VENDAS</v>
      </c>
      <c r="K2701" s="77" t="str">
        <f>IFERROR(VLOOKUP(DESPESAS[[#This Row],[Plano de Contas]],BASE!$B$3:$H$119,5,FALSE),"")</f>
        <v>LOGÍSTICA</v>
      </c>
      <c r="L2701" s="77">
        <f>IFERROR(VLOOKUP(DESPESAS[[#This Row],[Plano de Contas]],BASE!$B$3:$H$119,6,FALSE),"")</f>
        <v>0</v>
      </c>
      <c r="M2701" s="77" t="str">
        <f>VLOOKUP(DESPESAS[[#This Row],[Plano de Contas]],BASE!$B$3:$H$119,7,FALSE)</f>
        <v>MYLENA</v>
      </c>
    </row>
    <row r="2702" spans="1:13" x14ac:dyDescent="0.25">
      <c r="A2702" s="74">
        <v>199757</v>
      </c>
      <c r="B2702" s="75" t="s">
        <v>221</v>
      </c>
      <c r="C2702" s="75" t="s">
        <v>1248</v>
      </c>
      <c r="D2702" s="76">
        <v>46105</v>
      </c>
      <c r="E2702" s="75" t="s">
        <v>467</v>
      </c>
      <c r="F2702" s="74">
        <v>30</v>
      </c>
      <c r="G2702" s="75" t="s">
        <v>225</v>
      </c>
      <c r="H2702" s="77" t="str">
        <f>VLOOKUP(DESPESAS[[#This Row],[Plano de Contas]],BASE!$B$3:$D$119,3,FALSE)</f>
        <v>Despesas de Outros Gastos Não Operacionais</v>
      </c>
      <c r="I2702" s="77" t="str">
        <f>IFERROR(VLOOKUP(DESPESAS[[#This Row],[Fornecedor]],Tabela2[],2,FALSE),"")</f>
        <v/>
      </c>
      <c r="J2702" s="77" t="str">
        <f>IFERROR(VLOOKUP(DESPESAS[[#This Row],[Plano de Contas]],BASE!$B$3:$F$119,4,FALSE),"")</f>
        <v>8 - DESPESAS FINANCEIRAS</v>
      </c>
      <c r="K2702" s="77" t="str">
        <f>IFERROR(VLOOKUP(DESPESAS[[#This Row],[Plano de Contas]],BASE!$B$3:$H$119,5,FALSE),"")</f>
        <v>FINANCEIRO</v>
      </c>
      <c r="L2702" s="77">
        <f>IFERROR(VLOOKUP(DESPESAS[[#This Row],[Plano de Contas]],BASE!$B$3:$H$119,6,FALSE),"")</f>
        <v>0</v>
      </c>
      <c r="M2702" s="77" t="str">
        <f>VLOOKUP(DESPESAS[[#This Row],[Plano de Contas]],BASE!$B$3:$H$119,7,FALSE)</f>
        <v>LETÍCIA</v>
      </c>
    </row>
    <row r="2703" spans="1:13" x14ac:dyDescent="0.25">
      <c r="A2703" s="74">
        <v>199758</v>
      </c>
      <c r="B2703" s="75" t="s">
        <v>221</v>
      </c>
      <c r="C2703" s="75" t="s">
        <v>1247</v>
      </c>
      <c r="D2703" s="76">
        <v>46104</v>
      </c>
      <c r="E2703" s="75" t="s">
        <v>242</v>
      </c>
      <c r="F2703" s="74">
        <v>40.9</v>
      </c>
      <c r="G2703" s="75" t="s">
        <v>241</v>
      </c>
      <c r="H2703" s="77" t="str">
        <f>VLOOKUP(DESPESAS[[#This Row],[Plano de Contas]],BASE!$B$3:$D$119,3,FALSE)</f>
        <v>Combustiveis Frota</v>
      </c>
      <c r="I2703" s="77" t="str">
        <f>IFERROR(VLOOKUP(DESPESAS[[#This Row],[Fornecedor]],Tabela2[],2,FALSE),"")</f>
        <v/>
      </c>
      <c r="J2703" s="77" t="str">
        <f>IFERROR(VLOOKUP(DESPESAS[[#This Row],[Plano de Contas]],BASE!$B$3:$F$119,4,FALSE),"")</f>
        <v>6 - DESPESA COM VENDAS</v>
      </c>
      <c r="K2703" s="77" t="str">
        <f>IFERROR(VLOOKUP(DESPESAS[[#This Row],[Plano de Contas]],BASE!$B$3:$H$119,5,FALSE),"")</f>
        <v>LOGÍSTICA</v>
      </c>
      <c r="L2703" s="77">
        <f>IFERROR(VLOOKUP(DESPESAS[[#This Row],[Plano de Contas]],BASE!$B$3:$H$119,6,FALSE),"")</f>
        <v>0</v>
      </c>
      <c r="M2703" s="77" t="str">
        <f>VLOOKUP(DESPESAS[[#This Row],[Plano de Contas]],BASE!$B$3:$H$119,7,FALSE)</f>
        <v>MYLENA</v>
      </c>
    </row>
    <row r="2704" spans="1:13" x14ac:dyDescent="0.25">
      <c r="A2704" s="74">
        <v>199759</v>
      </c>
      <c r="B2704" s="75" t="s">
        <v>221</v>
      </c>
      <c r="C2704" s="75" t="s">
        <v>1246</v>
      </c>
      <c r="D2704" s="76">
        <v>46104</v>
      </c>
      <c r="E2704" s="75" t="s">
        <v>242</v>
      </c>
      <c r="F2704" s="74">
        <v>574.11</v>
      </c>
      <c r="G2704" s="75" t="s">
        <v>241</v>
      </c>
      <c r="H2704" s="77" t="str">
        <f>VLOOKUP(DESPESAS[[#This Row],[Plano de Contas]],BASE!$B$3:$D$119,3,FALSE)</f>
        <v>Combustiveis Frota</v>
      </c>
      <c r="I2704" s="77" t="str">
        <f>IFERROR(VLOOKUP(DESPESAS[[#This Row],[Fornecedor]],Tabela2[],2,FALSE),"")</f>
        <v/>
      </c>
      <c r="J2704" s="77" t="str">
        <f>IFERROR(VLOOKUP(DESPESAS[[#This Row],[Plano de Contas]],BASE!$B$3:$F$119,4,FALSE),"")</f>
        <v>6 - DESPESA COM VENDAS</v>
      </c>
      <c r="K2704" s="77" t="str">
        <f>IFERROR(VLOOKUP(DESPESAS[[#This Row],[Plano de Contas]],BASE!$B$3:$H$119,5,FALSE),"")</f>
        <v>LOGÍSTICA</v>
      </c>
      <c r="L2704" s="77">
        <f>IFERROR(VLOOKUP(DESPESAS[[#This Row],[Plano de Contas]],BASE!$B$3:$H$119,6,FALSE),"")</f>
        <v>0</v>
      </c>
      <c r="M2704" s="77" t="str">
        <f>VLOOKUP(DESPESAS[[#This Row],[Plano de Contas]],BASE!$B$3:$H$119,7,FALSE)</f>
        <v>MYLENA</v>
      </c>
    </row>
    <row r="2705" spans="1:13" x14ac:dyDescent="0.25">
      <c r="A2705" s="74">
        <v>199760</v>
      </c>
      <c r="B2705" s="75" t="s">
        <v>221</v>
      </c>
      <c r="C2705" s="75" t="s">
        <v>1245</v>
      </c>
      <c r="D2705" s="76">
        <v>46098</v>
      </c>
      <c r="E2705" s="75" t="s">
        <v>242</v>
      </c>
      <c r="F2705" s="74">
        <v>65.959999999999994</v>
      </c>
      <c r="G2705" s="75" t="s">
        <v>241</v>
      </c>
      <c r="H2705" s="77" t="str">
        <f>VLOOKUP(DESPESAS[[#This Row],[Plano de Contas]],BASE!$B$3:$D$119,3,FALSE)</f>
        <v>Combustiveis Frota</v>
      </c>
      <c r="I2705" s="77" t="str">
        <f>IFERROR(VLOOKUP(DESPESAS[[#This Row],[Fornecedor]],Tabela2[],2,FALSE),"")</f>
        <v/>
      </c>
      <c r="J2705" s="77" t="str">
        <f>IFERROR(VLOOKUP(DESPESAS[[#This Row],[Plano de Contas]],BASE!$B$3:$F$119,4,FALSE),"")</f>
        <v>6 - DESPESA COM VENDAS</v>
      </c>
      <c r="K2705" s="77" t="str">
        <f>IFERROR(VLOOKUP(DESPESAS[[#This Row],[Plano de Contas]],BASE!$B$3:$H$119,5,FALSE),"")</f>
        <v>LOGÍSTICA</v>
      </c>
      <c r="L2705" s="77">
        <f>IFERROR(VLOOKUP(DESPESAS[[#This Row],[Plano de Contas]],BASE!$B$3:$H$119,6,FALSE),"")</f>
        <v>0</v>
      </c>
      <c r="M2705" s="77" t="str">
        <f>VLOOKUP(DESPESAS[[#This Row],[Plano de Contas]],BASE!$B$3:$H$119,7,FALSE)</f>
        <v>MYLENA</v>
      </c>
    </row>
    <row r="2706" spans="1:13" x14ac:dyDescent="0.25">
      <c r="A2706" s="74">
        <v>199761</v>
      </c>
      <c r="B2706" s="75" t="s">
        <v>221</v>
      </c>
      <c r="C2706" s="75" t="s">
        <v>1244</v>
      </c>
      <c r="D2706" s="76">
        <v>46098</v>
      </c>
      <c r="E2706" s="75" t="s">
        <v>242</v>
      </c>
      <c r="F2706" s="74">
        <v>3190.84</v>
      </c>
      <c r="G2706" s="75" t="s">
        <v>241</v>
      </c>
      <c r="H2706" s="77" t="str">
        <f>VLOOKUP(DESPESAS[[#This Row],[Plano de Contas]],BASE!$B$3:$D$119,3,FALSE)</f>
        <v>Combustiveis Frota</v>
      </c>
      <c r="I2706" s="77" t="str">
        <f>IFERROR(VLOOKUP(DESPESAS[[#This Row],[Fornecedor]],Tabela2[],2,FALSE),"")</f>
        <v/>
      </c>
      <c r="J2706" s="77" t="str">
        <f>IFERROR(VLOOKUP(DESPESAS[[#This Row],[Plano de Contas]],BASE!$B$3:$F$119,4,FALSE),"")</f>
        <v>6 - DESPESA COM VENDAS</v>
      </c>
      <c r="K2706" s="77" t="str">
        <f>IFERROR(VLOOKUP(DESPESAS[[#This Row],[Plano de Contas]],BASE!$B$3:$H$119,5,FALSE),"")</f>
        <v>LOGÍSTICA</v>
      </c>
      <c r="L2706" s="77">
        <f>IFERROR(VLOOKUP(DESPESAS[[#This Row],[Plano de Contas]],BASE!$B$3:$H$119,6,FALSE),"")</f>
        <v>0</v>
      </c>
      <c r="M2706" s="77" t="str">
        <f>VLOOKUP(DESPESAS[[#This Row],[Plano de Contas]],BASE!$B$3:$H$119,7,FALSE)</f>
        <v>MYLENA</v>
      </c>
    </row>
    <row r="2707" spans="1:13" x14ac:dyDescent="0.25">
      <c r="A2707" s="74">
        <v>199762</v>
      </c>
      <c r="B2707" s="75" t="s">
        <v>221</v>
      </c>
      <c r="C2707" s="75" t="s">
        <v>1243</v>
      </c>
      <c r="D2707" s="76">
        <v>46102</v>
      </c>
      <c r="E2707" s="75" t="s">
        <v>242</v>
      </c>
      <c r="F2707" s="74">
        <v>22.68</v>
      </c>
      <c r="G2707" s="75" t="s">
        <v>241</v>
      </c>
      <c r="H2707" s="77" t="str">
        <f>VLOOKUP(DESPESAS[[#This Row],[Plano de Contas]],BASE!$B$3:$D$119,3,FALSE)</f>
        <v>Combustiveis Frota</v>
      </c>
      <c r="I2707" s="77" t="str">
        <f>IFERROR(VLOOKUP(DESPESAS[[#This Row],[Fornecedor]],Tabela2[],2,FALSE),"")</f>
        <v/>
      </c>
      <c r="J2707" s="77" t="str">
        <f>IFERROR(VLOOKUP(DESPESAS[[#This Row],[Plano de Contas]],BASE!$B$3:$F$119,4,FALSE),"")</f>
        <v>6 - DESPESA COM VENDAS</v>
      </c>
      <c r="K2707" s="77" t="str">
        <f>IFERROR(VLOOKUP(DESPESAS[[#This Row],[Plano de Contas]],BASE!$B$3:$H$119,5,FALSE),"")</f>
        <v>LOGÍSTICA</v>
      </c>
      <c r="L2707" s="77">
        <f>IFERROR(VLOOKUP(DESPESAS[[#This Row],[Plano de Contas]],BASE!$B$3:$H$119,6,FALSE),"")</f>
        <v>0</v>
      </c>
      <c r="M2707" s="77" t="str">
        <f>VLOOKUP(DESPESAS[[#This Row],[Plano de Contas]],BASE!$B$3:$H$119,7,FALSE)</f>
        <v>MYLENA</v>
      </c>
    </row>
    <row r="2708" spans="1:13" x14ac:dyDescent="0.25">
      <c r="A2708" s="74">
        <v>199763</v>
      </c>
      <c r="B2708" s="75" t="s">
        <v>221</v>
      </c>
      <c r="C2708" s="75" t="s">
        <v>1242</v>
      </c>
      <c r="D2708" s="76">
        <v>46102</v>
      </c>
      <c r="E2708" s="75" t="s">
        <v>242</v>
      </c>
      <c r="F2708" s="74">
        <v>2742.57</v>
      </c>
      <c r="G2708" s="75" t="s">
        <v>241</v>
      </c>
      <c r="H2708" s="77" t="str">
        <f>VLOOKUP(DESPESAS[[#This Row],[Plano de Contas]],BASE!$B$3:$D$119,3,FALSE)</f>
        <v>Combustiveis Frota</v>
      </c>
      <c r="I2708" s="77" t="str">
        <f>IFERROR(VLOOKUP(DESPESAS[[#This Row],[Fornecedor]],Tabela2[],2,FALSE),"")</f>
        <v/>
      </c>
      <c r="J2708" s="77" t="str">
        <f>IFERROR(VLOOKUP(DESPESAS[[#This Row],[Plano de Contas]],BASE!$B$3:$F$119,4,FALSE),"")</f>
        <v>6 - DESPESA COM VENDAS</v>
      </c>
      <c r="K2708" s="77" t="str">
        <f>IFERROR(VLOOKUP(DESPESAS[[#This Row],[Plano de Contas]],BASE!$B$3:$H$119,5,FALSE),"")</f>
        <v>LOGÍSTICA</v>
      </c>
      <c r="L2708" s="77">
        <f>IFERROR(VLOOKUP(DESPESAS[[#This Row],[Plano de Contas]],BASE!$B$3:$H$119,6,FALSE),"")</f>
        <v>0</v>
      </c>
      <c r="M2708" s="77" t="str">
        <f>VLOOKUP(DESPESAS[[#This Row],[Plano de Contas]],BASE!$B$3:$H$119,7,FALSE)</f>
        <v>MYLENA</v>
      </c>
    </row>
    <row r="2709" spans="1:13" x14ac:dyDescent="0.25">
      <c r="A2709" s="74">
        <v>199764</v>
      </c>
      <c r="B2709" s="75" t="s">
        <v>221</v>
      </c>
      <c r="C2709" s="75" t="s">
        <v>1241</v>
      </c>
      <c r="D2709" s="76">
        <v>46105</v>
      </c>
      <c r="E2709" s="75" t="s">
        <v>1240</v>
      </c>
      <c r="F2709" s="74">
        <v>600</v>
      </c>
      <c r="G2709" s="75" t="s">
        <v>218</v>
      </c>
      <c r="H2709" s="77" t="str">
        <f>VLOOKUP(DESPESAS[[#This Row],[Plano de Contas]],BASE!$B$3:$D$119,3,FALSE)</f>
        <v>Manutenção de Equipamentos (Prod)</v>
      </c>
      <c r="I2709" s="77" t="str">
        <f>IFERROR(VLOOKUP(DESPESAS[[#This Row],[Fornecedor]],Tabela2[],2,FALSE),"")</f>
        <v/>
      </c>
      <c r="J2709" s="77" t="str">
        <f>IFERROR(VLOOKUP(DESPESAS[[#This Row],[Plano de Contas]],BASE!$B$3:$F$119,4,FALSE),"")</f>
        <v>3 - CUSTOS INDIRETOS</v>
      </c>
      <c r="K2709" s="77" t="str">
        <f>IFERROR(VLOOKUP(DESPESAS[[#This Row],[Plano de Contas]],BASE!$B$3:$H$119,5,FALSE),"")</f>
        <v>MANUTENÇÃO / TI</v>
      </c>
      <c r="L2709" s="77">
        <f>IFERROR(VLOOKUP(DESPESAS[[#This Row],[Plano de Contas]],BASE!$B$3:$H$119,6,FALSE),"")</f>
        <v>0</v>
      </c>
      <c r="M2709" s="77" t="str">
        <f>VLOOKUP(DESPESAS[[#This Row],[Plano de Contas]],BASE!$B$3:$H$119,7,FALSE)</f>
        <v>RAFAEL</v>
      </c>
    </row>
    <row r="2710" spans="1:13" x14ac:dyDescent="0.25">
      <c r="A2710" s="74">
        <v>199765</v>
      </c>
      <c r="B2710" s="75" t="s">
        <v>232</v>
      </c>
      <c r="C2710" s="75" t="s">
        <v>1239</v>
      </c>
      <c r="D2710" s="76">
        <v>46105</v>
      </c>
      <c r="E2710" s="75" t="s">
        <v>303</v>
      </c>
      <c r="F2710" s="74">
        <v>2664</v>
      </c>
      <c r="G2710" s="75" t="s">
        <v>247</v>
      </c>
      <c r="H2710" s="77" t="str">
        <f>VLOOKUP(DESPESAS[[#This Row],[Plano de Contas]],BASE!$B$3:$D$119,3,FALSE)</f>
        <v>Manutenção com veiculos</v>
      </c>
      <c r="I2710" s="77" t="str">
        <f>IFERROR(VLOOKUP(DESPESAS[[#This Row],[Fornecedor]],Tabela2[],2,FALSE),"")</f>
        <v/>
      </c>
      <c r="J2710" s="77" t="str">
        <f>IFERROR(VLOOKUP(DESPESAS[[#This Row],[Plano de Contas]],BASE!$B$3:$F$119,4,FALSE),"")</f>
        <v>6 - DESPESA COM VENDAS</v>
      </c>
      <c r="K2710" s="77" t="str">
        <f>IFERROR(VLOOKUP(DESPESAS[[#This Row],[Plano de Contas]],BASE!$B$3:$H$119,5,FALSE),"")</f>
        <v>LOGÍSTICA</v>
      </c>
      <c r="L2710" s="77">
        <f>IFERROR(VLOOKUP(DESPESAS[[#This Row],[Plano de Contas]],BASE!$B$3:$H$119,6,FALSE),"")</f>
        <v>0</v>
      </c>
      <c r="M2710" s="77" t="str">
        <f>VLOOKUP(DESPESAS[[#This Row],[Plano de Contas]],BASE!$B$3:$H$119,7,FALSE)</f>
        <v>MYLENA</v>
      </c>
    </row>
    <row r="2711" spans="1:13" x14ac:dyDescent="0.25">
      <c r="A2711" s="74">
        <v>199766</v>
      </c>
      <c r="B2711" s="75" t="s">
        <v>221</v>
      </c>
      <c r="C2711" s="75" t="s">
        <v>1238</v>
      </c>
      <c r="D2711" s="76">
        <v>46105</v>
      </c>
      <c r="E2711" s="75" t="s">
        <v>226</v>
      </c>
      <c r="F2711" s="74">
        <v>35</v>
      </c>
      <c r="G2711" s="75" t="s">
        <v>360</v>
      </c>
      <c r="H2711" s="77" t="str">
        <f>VLOOKUP(DESPESAS[[#This Row],[Plano de Contas]],BASE!$B$3:$D$119,3,FALSE)</f>
        <v>Publicidade e Propaganda</v>
      </c>
      <c r="I2711" s="77" t="str">
        <f>IFERROR(VLOOKUP(DESPESAS[[#This Row],[Fornecedor]],Tabela2[],2,FALSE),"")</f>
        <v/>
      </c>
      <c r="J2711" s="77" t="str">
        <f>IFERROR(VLOOKUP(DESPESAS[[#This Row],[Plano de Contas]],BASE!$B$3:$F$119,4,FALSE),"")</f>
        <v>6 - DESPESA COM VENDAS</v>
      </c>
      <c r="K2711" s="77" t="str">
        <f>IFERROR(VLOOKUP(DESPESAS[[#This Row],[Plano de Contas]],BASE!$B$3:$H$119,5,FALSE),"")</f>
        <v>COMERCIAL</v>
      </c>
      <c r="L2711" s="77">
        <f>IFERROR(VLOOKUP(DESPESAS[[#This Row],[Plano de Contas]],BASE!$B$3:$H$119,6,FALSE),"")</f>
        <v>0</v>
      </c>
      <c r="M2711" s="77" t="str">
        <f>VLOOKUP(DESPESAS[[#This Row],[Plano de Contas]],BASE!$B$3:$H$119,7,FALSE)</f>
        <v>THAIS</v>
      </c>
    </row>
    <row r="2712" spans="1:13" x14ac:dyDescent="0.25">
      <c r="A2712" s="74">
        <v>199767</v>
      </c>
      <c r="B2712" s="75" t="s">
        <v>232</v>
      </c>
      <c r="C2712" s="75" t="s">
        <v>1237</v>
      </c>
      <c r="D2712" s="76">
        <v>46101</v>
      </c>
      <c r="E2712" s="75" t="s">
        <v>1236</v>
      </c>
      <c r="F2712" s="74">
        <v>57.05</v>
      </c>
      <c r="G2712" s="75" t="s">
        <v>241</v>
      </c>
      <c r="H2712" s="77" t="str">
        <f>VLOOKUP(DESPESAS[[#This Row],[Plano de Contas]],BASE!$B$3:$D$119,3,FALSE)</f>
        <v>Combustiveis Frota</v>
      </c>
      <c r="I2712" s="77" t="str">
        <f>IFERROR(VLOOKUP(DESPESAS[[#This Row],[Fornecedor]],Tabela2[],2,FALSE),"")</f>
        <v/>
      </c>
      <c r="J2712" s="77" t="str">
        <f>IFERROR(VLOOKUP(DESPESAS[[#This Row],[Plano de Contas]],BASE!$B$3:$F$119,4,FALSE),"")</f>
        <v>6 - DESPESA COM VENDAS</v>
      </c>
      <c r="K2712" s="77" t="str">
        <f>IFERROR(VLOOKUP(DESPESAS[[#This Row],[Plano de Contas]],BASE!$B$3:$H$119,5,FALSE),"")</f>
        <v>LOGÍSTICA</v>
      </c>
      <c r="L2712" s="77">
        <f>IFERROR(VLOOKUP(DESPESAS[[#This Row],[Plano de Contas]],BASE!$B$3:$H$119,6,FALSE),"")</f>
        <v>0</v>
      </c>
      <c r="M2712" s="77" t="str">
        <f>VLOOKUP(DESPESAS[[#This Row],[Plano de Contas]],BASE!$B$3:$H$119,7,FALSE)</f>
        <v>MYLENA</v>
      </c>
    </row>
    <row r="2713" spans="1:13" x14ac:dyDescent="0.25">
      <c r="A2713" s="74">
        <v>199768</v>
      </c>
      <c r="B2713" s="75" t="s">
        <v>232</v>
      </c>
      <c r="C2713" s="75" t="s">
        <v>1235</v>
      </c>
      <c r="D2713" s="76">
        <v>46099</v>
      </c>
      <c r="E2713" s="75" t="s">
        <v>1234</v>
      </c>
      <c r="F2713" s="74">
        <v>1498</v>
      </c>
      <c r="G2713" s="75" t="s">
        <v>241</v>
      </c>
      <c r="H2713" s="77" t="str">
        <f>VLOOKUP(DESPESAS[[#This Row],[Plano de Contas]],BASE!$B$3:$D$119,3,FALSE)</f>
        <v>Combustiveis Frota</v>
      </c>
      <c r="I2713" s="77" t="str">
        <f>IFERROR(VLOOKUP(DESPESAS[[#This Row],[Fornecedor]],Tabela2[],2,FALSE),"")</f>
        <v/>
      </c>
      <c r="J2713" s="77" t="str">
        <f>IFERROR(VLOOKUP(DESPESAS[[#This Row],[Plano de Contas]],BASE!$B$3:$F$119,4,FALSE),"")</f>
        <v>6 - DESPESA COM VENDAS</v>
      </c>
      <c r="K2713" s="77" t="str">
        <f>IFERROR(VLOOKUP(DESPESAS[[#This Row],[Plano de Contas]],BASE!$B$3:$H$119,5,FALSE),"")</f>
        <v>LOGÍSTICA</v>
      </c>
      <c r="L2713" s="77">
        <f>IFERROR(VLOOKUP(DESPESAS[[#This Row],[Plano de Contas]],BASE!$B$3:$H$119,6,FALSE),"")</f>
        <v>0</v>
      </c>
      <c r="M2713" s="77" t="str">
        <f>VLOOKUP(DESPESAS[[#This Row],[Plano de Contas]],BASE!$B$3:$H$119,7,FALSE)</f>
        <v>MYLENA</v>
      </c>
    </row>
    <row r="2714" spans="1:13" x14ac:dyDescent="0.25">
      <c r="A2714" s="74">
        <v>199769</v>
      </c>
      <c r="B2714" s="75" t="s">
        <v>232</v>
      </c>
      <c r="C2714" s="75" t="s">
        <v>1233</v>
      </c>
      <c r="D2714" s="76">
        <v>46105</v>
      </c>
      <c r="E2714" s="75" t="s">
        <v>755</v>
      </c>
      <c r="F2714" s="74">
        <v>450</v>
      </c>
      <c r="G2714" s="75" t="s">
        <v>561</v>
      </c>
      <c r="H2714" s="77" t="str">
        <f>VLOOKUP(DESPESAS[[#This Row],[Plano de Contas]],BASE!$B$3:$D$119,3,FALSE)</f>
        <v>Sistemas de Informação</v>
      </c>
      <c r="I2714" s="77" t="str">
        <f>IFERROR(VLOOKUP(DESPESAS[[#This Row],[Fornecedor]],Tabela2[],2,FALSE),"")</f>
        <v/>
      </c>
      <c r="J2714" s="77" t="str">
        <f>IFERROR(VLOOKUP(DESPESAS[[#This Row],[Plano de Contas]],BASE!$B$3:$F$119,4,FALSE),"")</f>
        <v>7 - SERVIÇOS DE TERCEIROS</v>
      </c>
      <c r="K2714" s="77" t="str">
        <f>IFERROR(VLOOKUP(DESPESAS[[#This Row],[Plano de Contas]],BASE!$B$3:$H$119,5,FALSE),"")</f>
        <v>MANUTENÇÃO / TI</v>
      </c>
      <c r="L2714" s="77">
        <f>IFERROR(VLOOKUP(DESPESAS[[#This Row],[Plano de Contas]],BASE!$B$3:$H$119,6,FALSE),"")</f>
        <v>0</v>
      </c>
      <c r="M2714" s="77" t="str">
        <f>VLOOKUP(DESPESAS[[#This Row],[Plano de Contas]],BASE!$B$3:$H$119,7,FALSE)</f>
        <v>LETÍCIA</v>
      </c>
    </row>
    <row r="2715" spans="1:13" x14ac:dyDescent="0.25">
      <c r="A2715" s="74">
        <v>199771</v>
      </c>
      <c r="B2715" s="75" t="s">
        <v>221</v>
      </c>
      <c r="C2715" s="75" t="s">
        <v>1232</v>
      </c>
      <c r="D2715" s="76">
        <v>46105</v>
      </c>
      <c r="E2715" s="75" t="s">
        <v>1145</v>
      </c>
      <c r="F2715" s="74">
        <v>7688.2</v>
      </c>
      <c r="G2715" s="75" t="s">
        <v>572</v>
      </c>
      <c r="H2715" s="77" t="str">
        <f>VLOOKUP(DESPESAS[[#This Row],[Plano de Contas]],BASE!$B$3:$D$119,3,FALSE)</f>
        <v>Comissões sobre Vendas Externo</v>
      </c>
      <c r="I2715" s="77" t="str">
        <f>IFERROR(VLOOKUP(DESPESAS[[#This Row],[Fornecedor]],Tabela2[],2,FALSE),"")</f>
        <v/>
      </c>
      <c r="J2715" s="77" t="str">
        <f>IFERROR(VLOOKUP(DESPESAS[[#This Row],[Plano de Contas]],BASE!$B$3:$F$119,4,FALSE),"")</f>
        <v>6 - DESPESA COM VENDAS</v>
      </c>
      <c r="K2715" s="77" t="str">
        <f>IFERROR(VLOOKUP(DESPESAS[[#This Row],[Plano de Contas]],BASE!$B$3:$H$119,5,FALSE),"")</f>
        <v>COMERCIAL</v>
      </c>
      <c r="L2715" s="77">
        <f>IFERROR(VLOOKUP(DESPESAS[[#This Row],[Plano de Contas]],BASE!$B$3:$H$119,6,FALSE),"")</f>
        <v>0</v>
      </c>
      <c r="M2715" s="77" t="str">
        <f>VLOOKUP(DESPESAS[[#This Row],[Plano de Contas]],BASE!$B$3:$H$119,7,FALSE)</f>
        <v>LETÍCIA</v>
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6" s="76">
        <v>46125</v>
      </c>
      <c r="E2716" s="75" t="s">
        <v>1229</v>
      </c>
      <c r="F2716" s="74">
        <v>118.65</v>
      </c>
      <c r="G2716" s="75" t="s">
        <v>480</v>
      </c>
      <c r="H2716" s="77" t="str">
        <f>VLOOKUP(DESPESAS[[#This Row],[Plano de Contas]],BASE!$B$3:$D$119,3,FALSE)</f>
        <v>Viagens e Estadias c/ Vendas</v>
      </c>
      <c r="I2716" s="77" t="str">
        <f>IFERROR(VLOOKUP(DESPESAS[[#This Row],[Fornecedor]],Tabela2[],2,FALSE),"")</f>
        <v/>
      </c>
      <c r="J2716" s="77" t="str">
        <f>IFERROR(VLOOKUP(DESPESAS[[#This Row],[Plano de Contas]],BASE!$B$3:$F$119,4,FALSE),"")</f>
        <v>6 - DESPESA COM VENDAS</v>
      </c>
      <c r="K2716" s="77" t="str">
        <f>IFERROR(VLOOKUP(DESPESAS[[#This Row],[Plano de Contas]],BASE!$B$3:$H$119,5,FALSE),"")</f>
        <v>COMERCIAL</v>
      </c>
      <c r="L2716" s="77">
        <f>IFERROR(VLOOKUP(DESPESAS[[#This Row],[Plano de Contas]],BASE!$B$3:$H$119,6,FALSE),"")</f>
        <v>0</v>
      </c>
      <c r="M2716" s="77" t="str">
        <f>VLOOKUP(DESPESAS[[#This Row],[Plano de Contas]],BASE!$B$3:$H$119,7,FALSE)</f>
        <v>LETÍCIA</v>
      </c>
    </row>
    <row r="2717" spans="1:13" x14ac:dyDescent="0.25">
      <c r="A2717" s="74">
        <v>199775</v>
      </c>
      <c r="B2717" s="75" t="s">
        <v>221</v>
      </c>
      <c r="C2717" s="75" t="s">
        <v>1231</v>
      </c>
      <c r="D2717" s="76">
        <v>46105</v>
      </c>
      <c r="E2717" s="75" t="s">
        <v>1022</v>
      </c>
      <c r="F2717" s="74">
        <v>3404.64</v>
      </c>
      <c r="G2717" s="75" t="s">
        <v>374</v>
      </c>
      <c r="H2717" s="77" t="str">
        <f>VLOOKUP(DESPESAS[[#This Row],[Plano de Contas]],BASE!$B$3:$D$119,3,FALSE)</f>
        <v>Consultoria Empresarial</v>
      </c>
      <c r="I2717" s="77" t="str">
        <f>IFERROR(VLOOKUP(DESPESAS[[#This Row],[Fornecedor]],Tabela2[],2,FALSE),"")</f>
        <v/>
      </c>
      <c r="J2717" s="77" t="str">
        <f>IFERROR(VLOOKUP(DESPESAS[[#This Row],[Plano de Contas]],BASE!$B$3:$F$119,4,FALSE),"")</f>
        <v>7 - SERVIÇOS DE TERCEIROS</v>
      </c>
      <c r="K2717" s="77" t="str">
        <f>IFERROR(VLOOKUP(DESPESAS[[#This Row],[Plano de Contas]],BASE!$B$3:$H$119,5,FALSE),"")</f>
        <v>FINANCEIRO</v>
      </c>
      <c r="L2717" s="77">
        <f>IFERROR(VLOOKUP(DESPESAS[[#This Row],[Plano de Contas]],BASE!$B$3:$H$119,6,FALSE),"")</f>
        <v>0</v>
      </c>
      <c r="M2717" s="77" t="str">
        <f>VLOOKUP(DESPESAS[[#This Row],[Plano de Contas]],BASE!$B$3:$H$119,7,FALSE)</f>
        <v>LETÍCIA</v>
      </c>
    </row>
    <row r="2718" spans="1:13" x14ac:dyDescent="0.25">
      <c r="A2718" s="74">
        <v>199781</v>
      </c>
      <c r="B2718" s="75" t="s">
        <v>232</v>
      </c>
      <c r="C2718" s="75" t="s">
        <v>1228</v>
      </c>
      <c r="D2718" s="76">
        <v>46094</v>
      </c>
      <c r="E2718" s="75" t="s">
        <v>327</v>
      </c>
      <c r="F2718" s="74">
        <v>488.25</v>
      </c>
      <c r="G2718" s="75" t="s">
        <v>326</v>
      </c>
      <c r="H2718" s="77" t="str">
        <f>VLOOKUP(DESPESAS[[#This Row],[Plano de Contas]],BASE!$B$3:$D$119,3,FALSE)</f>
        <v>Frete sobre Compras</v>
      </c>
      <c r="I2718" s="77" t="str">
        <f>IFERROR(VLOOKUP(DESPESAS[[#This Row],[Fornecedor]],Tabela2[],2,FALSE),"")</f>
        <v>SERVIÇOS FRETE</v>
      </c>
      <c r="J2718" s="77" t="str">
        <f>IFERROR(VLOOKUP(DESPESAS[[#This Row],[Plano de Contas]],BASE!$B$3:$F$119,4,FALSE),"")</f>
        <v>1 - CPV</v>
      </c>
      <c r="K2718" s="77" t="str">
        <f>IFERROR(VLOOKUP(DESPESAS[[#This Row],[Plano de Contas]],BASE!$B$3:$H$119,5,FALSE),"")</f>
        <v>COMPRAS</v>
      </c>
      <c r="L2718" s="77">
        <f>IFERROR(VLOOKUP(DESPESAS[[#This Row],[Plano de Contas]],BASE!$B$3:$H$119,6,FALSE),"")</f>
        <v>0</v>
      </c>
      <c r="M2718" s="77" t="str">
        <f>VLOOKUP(DESPESAS[[#This Row],[Plano de Contas]],BASE!$B$3:$H$119,7,FALSE)</f>
        <v>MYLENA</v>
      </c>
    </row>
    <row r="2719" spans="1:13" x14ac:dyDescent="0.25">
      <c r="A2719" s="74">
        <v>199782</v>
      </c>
      <c r="B2719" s="75" t="s">
        <v>232</v>
      </c>
      <c r="C2719" s="75" t="s">
        <v>1227</v>
      </c>
      <c r="D2719" s="76">
        <v>46098</v>
      </c>
      <c r="E2719" s="75" t="s">
        <v>327</v>
      </c>
      <c r="F2719" s="74">
        <v>211.85</v>
      </c>
      <c r="G2719" s="75" t="s">
        <v>326</v>
      </c>
      <c r="H2719" s="77" t="str">
        <f>VLOOKUP(DESPESAS[[#This Row],[Plano de Contas]],BASE!$B$3:$D$119,3,FALSE)</f>
        <v>Frete sobre Compras</v>
      </c>
      <c r="I2719" s="77" t="str">
        <f>IFERROR(VLOOKUP(DESPESAS[[#This Row],[Fornecedor]],Tabela2[],2,FALSE),"")</f>
        <v>SERVIÇOS FRETE</v>
      </c>
      <c r="J2719" s="77" t="str">
        <f>IFERROR(VLOOKUP(DESPESAS[[#This Row],[Plano de Contas]],BASE!$B$3:$F$119,4,FALSE),"")</f>
        <v>1 - CPV</v>
      </c>
      <c r="K2719" s="77" t="str">
        <f>IFERROR(VLOOKUP(DESPESAS[[#This Row],[Plano de Contas]],BASE!$B$3:$H$119,5,FALSE),"")</f>
        <v>COMPRAS</v>
      </c>
      <c r="L2719" s="77">
        <f>IFERROR(VLOOKUP(DESPESAS[[#This Row],[Plano de Contas]],BASE!$B$3:$H$119,6,FALSE),"")</f>
        <v>0</v>
      </c>
      <c r="M2719" s="77" t="str">
        <f>VLOOKUP(DESPESAS[[#This Row],[Plano de Contas]],BASE!$B$3:$H$119,7,FALSE)</f>
        <v>MYLENA</v>
      </c>
    </row>
    <row r="2720" spans="1:13" x14ac:dyDescent="0.25">
      <c r="A2720" s="74">
        <v>199783</v>
      </c>
      <c r="B2720" s="75" t="s">
        <v>232</v>
      </c>
      <c r="C2720" s="75" t="s">
        <v>1226</v>
      </c>
      <c r="D2720" s="76">
        <v>46100</v>
      </c>
      <c r="E2720" s="75" t="s">
        <v>409</v>
      </c>
      <c r="F2720" s="74">
        <v>117.8</v>
      </c>
      <c r="G2720" s="75" t="s">
        <v>326</v>
      </c>
      <c r="H2720" s="77" t="str">
        <f>VLOOKUP(DESPESAS[[#This Row],[Plano de Contas]],BASE!$B$3:$D$119,3,FALSE)</f>
        <v>Frete sobre Compras</v>
      </c>
      <c r="I2720" s="77" t="str">
        <f>IFERROR(VLOOKUP(DESPESAS[[#This Row],[Fornecedor]],Tabela2[],2,FALSE),"")</f>
        <v>SERVIÇOS FRETE</v>
      </c>
      <c r="J2720" s="77" t="str">
        <f>IFERROR(VLOOKUP(DESPESAS[[#This Row],[Plano de Contas]],BASE!$B$3:$F$119,4,FALSE),"")</f>
        <v>1 - CPV</v>
      </c>
      <c r="K2720" s="77" t="str">
        <f>IFERROR(VLOOKUP(DESPESAS[[#This Row],[Plano de Contas]],BASE!$B$3:$H$119,5,FALSE),"")</f>
        <v>COMPRAS</v>
      </c>
      <c r="L2720" s="77">
        <f>IFERROR(VLOOKUP(DESPESAS[[#This Row],[Plano de Contas]],BASE!$B$3:$H$119,6,FALSE),"")</f>
        <v>0</v>
      </c>
      <c r="M2720" s="77" t="str">
        <f>VLOOKUP(DESPESAS[[#This Row],[Plano de Contas]],BASE!$B$3:$H$119,7,FALSE)</f>
        <v>MYLENA</v>
      </c>
    </row>
    <row r="2721" spans="1:13" x14ac:dyDescent="0.25">
      <c r="A2721" s="74">
        <v>199784</v>
      </c>
      <c r="B2721" s="75" t="s">
        <v>232</v>
      </c>
      <c r="C2721" s="75" t="s">
        <v>1225</v>
      </c>
      <c r="D2721" s="76">
        <v>46105</v>
      </c>
      <c r="E2721" s="75" t="s">
        <v>230</v>
      </c>
      <c r="F2721" s="74">
        <v>65.31</v>
      </c>
      <c r="G2721" s="75" t="s">
        <v>229</v>
      </c>
      <c r="H2721" s="77" t="str">
        <f>VLOOKUP(DESPESAS[[#This Row],[Plano de Contas]],BASE!$B$3:$D$119,3,FALSE)</f>
        <v>Despesas Bancarias</v>
      </c>
      <c r="I2721" s="77" t="str">
        <f>IFERROR(VLOOKUP(DESPESAS[[#This Row],[Fornecedor]],Tabela2[],2,FALSE),"")</f>
        <v/>
      </c>
      <c r="J2721" s="77" t="str">
        <f>IFERROR(VLOOKUP(DESPESAS[[#This Row],[Plano de Contas]],BASE!$B$3:$F$119,4,FALSE),"")</f>
        <v>8 - DESPESAS FINANCEIRAS</v>
      </c>
      <c r="K2721" s="77" t="str">
        <f>IFERROR(VLOOKUP(DESPESAS[[#This Row],[Plano de Contas]],BASE!$B$3:$H$119,5,FALSE),"")</f>
        <v>FINANCEIRO</v>
      </c>
      <c r="L2721" s="77">
        <f>IFERROR(VLOOKUP(DESPESAS[[#This Row],[Plano de Contas]],BASE!$B$3:$H$119,6,FALSE),"")</f>
        <v>0</v>
      </c>
      <c r="M2721" s="77" t="str">
        <f>VLOOKUP(DESPESAS[[#This Row],[Plano de Contas]],BASE!$B$3:$H$119,7,FALSE)</f>
        <v>LETÍCIA</v>
      </c>
    </row>
    <row r="2722" spans="1:13" x14ac:dyDescent="0.25">
      <c r="A2722" s="74">
        <v>199785</v>
      </c>
      <c r="B2722" s="75" t="s">
        <v>232</v>
      </c>
      <c r="C2722" s="75" t="s">
        <v>1224</v>
      </c>
      <c r="D2722" s="76">
        <v>46105</v>
      </c>
      <c r="E2722" s="75" t="s">
        <v>230</v>
      </c>
      <c r="F2722" s="74">
        <v>64.63</v>
      </c>
      <c r="G2722" s="75" t="s">
        <v>229</v>
      </c>
      <c r="H2722" s="77" t="str">
        <f>VLOOKUP(DESPESAS[[#This Row],[Plano de Contas]],BASE!$B$3:$D$119,3,FALSE)</f>
        <v>Despesas Bancarias</v>
      </c>
      <c r="I2722" s="77" t="str">
        <f>IFERROR(VLOOKUP(DESPESAS[[#This Row],[Fornecedor]],Tabela2[],2,FALSE),"")</f>
        <v/>
      </c>
      <c r="J2722" s="77" t="str">
        <f>IFERROR(VLOOKUP(DESPESAS[[#This Row],[Plano de Contas]],BASE!$B$3:$F$119,4,FALSE),"")</f>
        <v>8 - DESPESAS FINANCEIRAS</v>
      </c>
      <c r="K2722" s="77" t="str">
        <f>IFERROR(VLOOKUP(DESPESAS[[#This Row],[Plano de Contas]],BASE!$B$3:$H$119,5,FALSE),"")</f>
        <v>FINANCEIRO</v>
      </c>
      <c r="L2722" s="77">
        <f>IFERROR(VLOOKUP(DESPESAS[[#This Row],[Plano de Contas]],BASE!$B$3:$H$119,6,FALSE),"")</f>
        <v>0</v>
      </c>
      <c r="M2722" s="77" t="str">
        <f>VLOOKUP(DESPESAS[[#This Row],[Plano de Contas]],BASE!$B$3:$H$119,7,FALSE)</f>
        <v>LETÍCIA</v>
      </c>
    </row>
    <row r="2723" spans="1:13" x14ac:dyDescent="0.25">
      <c r="A2723" s="74">
        <v>199786</v>
      </c>
      <c r="B2723" s="75" t="s">
        <v>232</v>
      </c>
      <c r="C2723" s="75" t="s">
        <v>1223</v>
      </c>
      <c r="D2723" s="76">
        <v>46105</v>
      </c>
      <c r="E2723" s="75" t="s">
        <v>230</v>
      </c>
      <c r="F2723" s="74">
        <v>402.62</v>
      </c>
      <c r="G2723" s="75" t="s">
        <v>251</v>
      </c>
      <c r="H2723" s="77" t="str">
        <f>VLOOKUP(DESPESAS[[#This Row],[Plano de Contas]],BASE!$B$3:$D$119,3,FALSE)</f>
        <v>Juros Pagos - Antecipação de Crédito</v>
      </c>
      <c r="I2723" s="77" t="str">
        <f>IFERROR(VLOOKUP(DESPESAS[[#This Row],[Fornecedor]],Tabela2[],2,FALSE),"")</f>
        <v/>
      </c>
      <c r="J2723" s="77" t="str">
        <f>IFERROR(VLOOKUP(DESPESAS[[#This Row],[Plano de Contas]],BASE!$B$3:$F$119,4,FALSE),"")</f>
        <v>8 - DESPESAS FINANCEIRAS</v>
      </c>
      <c r="K2723" s="77" t="str">
        <f>IFERROR(VLOOKUP(DESPESAS[[#This Row],[Plano de Contas]],BASE!$B$3:$H$119,5,FALSE),"")</f>
        <v>FINANCEIRO</v>
      </c>
      <c r="L2723" s="77">
        <f>IFERROR(VLOOKUP(DESPESAS[[#This Row],[Plano de Contas]],BASE!$B$3:$H$119,6,FALSE),"")</f>
        <v>0</v>
      </c>
      <c r="M2723" s="77" t="str">
        <f>VLOOKUP(DESPESAS[[#This Row],[Plano de Contas]],BASE!$B$3:$H$119,7,FALSE)</f>
        <v>LETÍCIA</v>
      </c>
    </row>
    <row r="2724" spans="1:13" x14ac:dyDescent="0.25">
      <c r="A2724" s="74">
        <v>199787</v>
      </c>
      <c r="B2724" s="75" t="s">
        <v>232</v>
      </c>
      <c r="C2724" s="75" t="s">
        <v>1222</v>
      </c>
      <c r="D2724" s="76">
        <v>46100</v>
      </c>
      <c r="E2724" s="75" t="s">
        <v>409</v>
      </c>
      <c r="F2724" s="74">
        <v>109.69</v>
      </c>
      <c r="G2724" s="75" t="s">
        <v>326</v>
      </c>
      <c r="H2724" s="77" t="str">
        <f>VLOOKUP(DESPESAS[[#This Row],[Plano de Contas]],BASE!$B$3:$D$119,3,FALSE)</f>
        <v>Frete sobre Compras</v>
      </c>
      <c r="I2724" s="77" t="str">
        <f>IFERROR(VLOOKUP(DESPESAS[[#This Row],[Fornecedor]],Tabela2[],2,FALSE),"")</f>
        <v>SERVIÇOS FRETE</v>
      </c>
      <c r="J2724" s="77" t="str">
        <f>IFERROR(VLOOKUP(DESPESAS[[#This Row],[Plano de Contas]],BASE!$B$3:$F$119,4,FALSE),"")</f>
        <v>1 - CPV</v>
      </c>
      <c r="K2724" s="77" t="str">
        <f>IFERROR(VLOOKUP(DESPESAS[[#This Row],[Plano de Contas]],BASE!$B$3:$H$119,5,FALSE),"")</f>
        <v>COMPRAS</v>
      </c>
      <c r="L2724" s="77">
        <f>IFERROR(VLOOKUP(DESPESAS[[#This Row],[Plano de Contas]],BASE!$B$3:$H$119,6,FALSE),"")</f>
        <v>0</v>
      </c>
      <c r="M2724" s="77" t="str">
        <f>VLOOKUP(DESPESAS[[#This Row],[Plano de Contas]],BASE!$B$3:$H$119,7,FALSE)</f>
        <v>MYLENA</v>
      </c>
    </row>
    <row r="2725" spans="1:13" x14ac:dyDescent="0.25">
      <c r="A2725" s="74">
        <v>199788</v>
      </c>
      <c r="B2725" s="75" t="s">
        <v>232</v>
      </c>
      <c r="C2725" s="75" t="s">
        <v>1221</v>
      </c>
      <c r="D2725" s="76">
        <v>46100</v>
      </c>
      <c r="E2725" s="75" t="s">
        <v>409</v>
      </c>
      <c r="F2725" s="74">
        <v>111.23</v>
      </c>
      <c r="G2725" s="75" t="s">
        <v>326</v>
      </c>
      <c r="H2725" s="77" t="str">
        <f>VLOOKUP(DESPESAS[[#This Row],[Plano de Contas]],BASE!$B$3:$D$119,3,FALSE)</f>
        <v>Frete sobre Compras</v>
      </c>
      <c r="I2725" s="77" t="str">
        <f>IFERROR(VLOOKUP(DESPESAS[[#This Row],[Fornecedor]],Tabela2[],2,FALSE),"")</f>
        <v>SERVIÇOS FRETE</v>
      </c>
      <c r="J2725" s="77" t="str">
        <f>IFERROR(VLOOKUP(DESPESAS[[#This Row],[Plano de Contas]],BASE!$B$3:$F$119,4,FALSE),"")</f>
        <v>1 - CPV</v>
      </c>
      <c r="K2725" s="77" t="str">
        <f>IFERROR(VLOOKUP(DESPESAS[[#This Row],[Plano de Contas]],BASE!$B$3:$H$119,5,FALSE),"")</f>
        <v>COMPRAS</v>
      </c>
      <c r="L2725" s="77">
        <f>IFERROR(VLOOKUP(DESPESAS[[#This Row],[Plano de Contas]],BASE!$B$3:$H$119,6,FALSE),"")</f>
        <v>0</v>
      </c>
      <c r="M2725" s="77" t="str">
        <f>VLOOKUP(DESPESAS[[#This Row],[Plano de Contas]],BASE!$B$3:$H$119,7,FALSE)</f>
        <v>MYLENA</v>
      </c>
    </row>
    <row r="2726" spans="1:13" x14ac:dyDescent="0.25">
      <c r="A2726" s="74">
        <v>199789</v>
      </c>
      <c r="B2726" s="75" t="s">
        <v>232</v>
      </c>
      <c r="C2726" s="75" t="s">
        <v>1220</v>
      </c>
      <c r="D2726" s="76">
        <v>46105</v>
      </c>
      <c r="E2726" s="75" t="s">
        <v>409</v>
      </c>
      <c r="F2726" s="74">
        <v>434.24</v>
      </c>
      <c r="G2726" s="75" t="s">
        <v>326</v>
      </c>
      <c r="H2726" s="77" t="str">
        <f>VLOOKUP(DESPESAS[[#This Row],[Plano de Contas]],BASE!$B$3:$D$119,3,FALSE)</f>
        <v>Frete sobre Compras</v>
      </c>
      <c r="I2726" s="77" t="str">
        <f>IFERROR(VLOOKUP(DESPESAS[[#This Row],[Fornecedor]],Tabela2[],2,FALSE),"")</f>
        <v>SERVIÇOS FRETE</v>
      </c>
      <c r="J2726" s="77" t="str">
        <f>IFERROR(VLOOKUP(DESPESAS[[#This Row],[Plano de Contas]],BASE!$B$3:$F$119,4,FALSE),"")</f>
        <v>1 - CPV</v>
      </c>
      <c r="K2726" s="77" t="str">
        <f>IFERROR(VLOOKUP(DESPESAS[[#This Row],[Plano de Contas]],BASE!$B$3:$H$119,5,FALSE),"")</f>
        <v>COMPRAS</v>
      </c>
      <c r="L2726" s="77">
        <f>IFERROR(VLOOKUP(DESPESAS[[#This Row],[Plano de Contas]],BASE!$B$3:$H$119,6,FALSE),"")</f>
        <v>0</v>
      </c>
      <c r="M2726" s="77" t="str">
        <f>VLOOKUP(DESPESAS[[#This Row],[Plano de Contas]],BASE!$B$3:$H$119,7,FALSE)</f>
        <v>MYLENA</v>
      </c>
    </row>
    <row r="2727" spans="1:13" x14ac:dyDescent="0.25">
      <c r="A2727" s="74">
        <v>199790</v>
      </c>
      <c r="B2727" s="75" t="s">
        <v>232</v>
      </c>
      <c r="C2727" s="75" t="s">
        <v>1219</v>
      </c>
      <c r="D2727" s="76">
        <v>46093</v>
      </c>
      <c r="E2727" s="75" t="s">
        <v>499</v>
      </c>
      <c r="F2727" s="74">
        <v>168.31</v>
      </c>
      <c r="G2727" s="75" t="s">
        <v>326</v>
      </c>
      <c r="H2727" s="77" t="str">
        <f>VLOOKUP(DESPESAS[[#This Row],[Plano de Contas]],BASE!$B$3:$D$119,3,FALSE)</f>
        <v>Frete sobre Compras</v>
      </c>
      <c r="I2727" s="77" t="str">
        <f>IFERROR(VLOOKUP(DESPESAS[[#This Row],[Fornecedor]],Tabela2[],2,FALSE),"")</f>
        <v/>
      </c>
      <c r="J2727" s="77" t="str">
        <f>IFERROR(VLOOKUP(DESPESAS[[#This Row],[Plano de Contas]],BASE!$B$3:$F$119,4,FALSE),"")</f>
        <v>1 - CPV</v>
      </c>
      <c r="K2727" s="77" t="str">
        <f>IFERROR(VLOOKUP(DESPESAS[[#This Row],[Plano de Contas]],BASE!$B$3:$H$119,5,FALSE),"")</f>
        <v>COMPRAS</v>
      </c>
      <c r="L2727" s="77">
        <f>IFERROR(VLOOKUP(DESPESAS[[#This Row],[Plano de Contas]],BASE!$B$3:$H$119,6,FALSE),"")</f>
        <v>0</v>
      </c>
      <c r="M2727" s="77" t="str">
        <f>VLOOKUP(DESPESAS[[#This Row],[Plano de Contas]],BASE!$B$3:$H$119,7,FALSE)</f>
        <v>MYLENA</v>
      </c>
    </row>
    <row r="2728" spans="1:13" x14ac:dyDescent="0.25">
      <c r="A2728" s="74">
        <v>199791</v>
      </c>
      <c r="B2728" s="75" t="s">
        <v>232</v>
      </c>
      <c r="C2728" s="75" t="s">
        <v>1218</v>
      </c>
      <c r="D2728" s="76">
        <v>46092</v>
      </c>
      <c r="E2728" s="75" t="s">
        <v>329</v>
      </c>
      <c r="F2728" s="74">
        <v>149.31</v>
      </c>
      <c r="G2728" s="75" t="s">
        <v>326</v>
      </c>
      <c r="H2728" s="77" t="str">
        <f>VLOOKUP(DESPESAS[[#This Row],[Plano de Contas]],BASE!$B$3:$D$119,3,FALSE)</f>
        <v>Frete sobre Compras</v>
      </c>
      <c r="I2728" s="77" t="str">
        <f>IFERROR(VLOOKUP(DESPESAS[[#This Row],[Fornecedor]],Tabela2[],2,FALSE),"")</f>
        <v/>
      </c>
      <c r="J2728" s="77" t="str">
        <f>IFERROR(VLOOKUP(DESPESAS[[#This Row],[Plano de Contas]],BASE!$B$3:$F$119,4,FALSE),"")</f>
        <v>1 - CPV</v>
      </c>
      <c r="K2728" s="77" t="str">
        <f>IFERROR(VLOOKUP(DESPESAS[[#This Row],[Plano de Contas]],BASE!$B$3:$H$119,5,FALSE),"")</f>
        <v>COMPRAS</v>
      </c>
      <c r="L2728" s="77">
        <f>IFERROR(VLOOKUP(DESPESAS[[#This Row],[Plano de Contas]],BASE!$B$3:$H$119,6,FALSE),"")</f>
        <v>0</v>
      </c>
      <c r="M2728" s="77" t="str">
        <f>VLOOKUP(DESPESAS[[#This Row],[Plano de Contas]],BASE!$B$3:$H$119,7,FALSE)</f>
        <v>MYLENA</v>
      </c>
    </row>
    <row r="2729" spans="1:13" x14ac:dyDescent="0.25">
      <c r="A2729" s="74">
        <v>199792</v>
      </c>
      <c r="B2729" s="75" t="s">
        <v>232</v>
      </c>
      <c r="C2729" s="75" t="s">
        <v>1217</v>
      </c>
      <c r="D2729" s="76">
        <v>46092</v>
      </c>
      <c r="E2729" s="75" t="s">
        <v>327</v>
      </c>
      <c r="F2729" s="74">
        <v>155.9</v>
      </c>
      <c r="G2729" s="75" t="s">
        <v>326</v>
      </c>
      <c r="H2729" s="77" t="str">
        <f>VLOOKUP(DESPESAS[[#This Row],[Plano de Contas]],BASE!$B$3:$D$119,3,FALSE)</f>
        <v>Frete sobre Compras</v>
      </c>
      <c r="I2729" s="77" t="str">
        <f>IFERROR(VLOOKUP(DESPESAS[[#This Row],[Fornecedor]],Tabela2[],2,FALSE),"")</f>
        <v>SERVIÇOS FRETE</v>
      </c>
      <c r="J2729" s="77" t="str">
        <f>IFERROR(VLOOKUP(DESPESAS[[#This Row],[Plano de Contas]],BASE!$B$3:$F$119,4,FALSE),"")</f>
        <v>1 - CPV</v>
      </c>
      <c r="K2729" s="77" t="str">
        <f>IFERROR(VLOOKUP(DESPESAS[[#This Row],[Plano de Contas]],BASE!$B$3:$H$119,5,FALSE),"")</f>
        <v>COMPRAS</v>
      </c>
      <c r="L2729" s="77">
        <f>IFERROR(VLOOKUP(DESPESAS[[#This Row],[Plano de Contas]],BASE!$B$3:$H$119,6,FALSE),"")</f>
        <v>0</v>
      </c>
      <c r="M2729" s="77" t="str">
        <f>VLOOKUP(DESPESAS[[#This Row],[Plano de Contas]],BASE!$B$3:$H$119,7,FALSE)</f>
        <v>MYLENA</v>
      </c>
    </row>
    <row r="2730" spans="1:13" x14ac:dyDescent="0.25">
      <c r="A2730" s="74">
        <v>199793</v>
      </c>
      <c r="B2730" s="75" t="s">
        <v>232</v>
      </c>
      <c r="C2730" s="75" t="s">
        <v>1216</v>
      </c>
      <c r="D2730" s="76">
        <v>46093</v>
      </c>
      <c r="E2730" s="75" t="s">
        <v>327</v>
      </c>
      <c r="F2730" s="74">
        <v>202.31</v>
      </c>
      <c r="G2730" s="75" t="s">
        <v>326</v>
      </c>
      <c r="H2730" s="77" t="str">
        <f>VLOOKUP(DESPESAS[[#This Row],[Plano de Contas]],BASE!$B$3:$D$119,3,FALSE)</f>
        <v>Frete sobre Compras</v>
      </c>
      <c r="I2730" s="77" t="str">
        <f>IFERROR(VLOOKUP(DESPESAS[[#This Row],[Fornecedor]],Tabela2[],2,FALSE),"")</f>
        <v>SERVIÇOS FRETE</v>
      </c>
      <c r="J2730" s="77" t="str">
        <f>IFERROR(VLOOKUP(DESPESAS[[#This Row],[Plano de Contas]],BASE!$B$3:$F$119,4,FALSE),"")</f>
        <v>1 - CPV</v>
      </c>
      <c r="K2730" s="77" t="str">
        <f>IFERROR(VLOOKUP(DESPESAS[[#This Row],[Plano de Contas]],BASE!$B$3:$H$119,5,FALSE),"")</f>
        <v>COMPRAS</v>
      </c>
      <c r="L2730" s="77">
        <f>IFERROR(VLOOKUP(DESPESAS[[#This Row],[Plano de Contas]],BASE!$B$3:$H$119,6,FALSE),"")</f>
        <v>0</v>
      </c>
      <c r="M2730" s="77" t="str">
        <f>VLOOKUP(DESPESAS[[#This Row],[Plano de Contas]],BASE!$B$3:$H$119,7,FALSE)</f>
        <v>MYLENA</v>
      </c>
    </row>
    <row r="2731" spans="1:13" x14ac:dyDescent="0.25">
      <c r="A2731" s="74">
        <v>199794</v>
      </c>
      <c r="B2731" s="75" t="s">
        <v>232</v>
      </c>
      <c r="C2731" s="75" t="s">
        <v>1215</v>
      </c>
      <c r="D2731" s="76">
        <v>46094</v>
      </c>
      <c r="E2731" s="75" t="s">
        <v>409</v>
      </c>
      <c r="F2731" s="74">
        <v>103.06</v>
      </c>
      <c r="G2731" s="75" t="s">
        <v>326</v>
      </c>
      <c r="H2731" s="77" t="str">
        <f>VLOOKUP(DESPESAS[[#This Row],[Plano de Contas]],BASE!$B$3:$D$119,3,FALSE)</f>
        <v>Frete sobre Compras</v>
      </c>
      <c r="I2731" s="77" t="str">
        <f>IFERROR(VLOOKUP(DESPESAS[[#This Row],[Fornecedor]],Tabela2[],2,FALSE),"")</f>
        <v>SERVIÇOS FRETE</v>
      </c>
      <c r="J2731" s="77" t="str">
        <f>IFERROR(VLOOKUP(DESPESAS[[#This Row],[Plano de Contas]],BASE!$B$3:$F$119,4,FALSE),"")</f>
        <v>1 - CPV</v>
      </c>
      <c r="K2731" s="77" t="str">
        <f>IFERROR(VLOOKUP(DESPESAS[[#This Row],[Plano de Contas]],BASE!$B$3:$H$119,5,FALSE),"")</f>
        <v>COMPRAS</v>
      </c>
      <c r="L2731" s="77">
        <f>IFERROR(VLOOKUP(DESPESAS[[#This Row],[Plano de Contas]],BASE!$B$3:$H$119,6,FALSE),"")</f>
        <v>0</v>
      </c>
      <c r="M2731" s="77" t="str">
        <f>VLOOKUP(DESPESAS[[#This Row],[Plano de Contas]],BASE!$B$3:$H$119,7,FALSE)</f>
        <v>MYLENA</v>
      </c>
    </row>
    <row r="2732" spans="1:13" x14ac:dyDescent="0.25">
      <c r="A2732" s="74">
        <v>199795</v>
      </c>
      <c r="B2732" s="75" t="s">
        <v>232</v>
      </c>
      <c r="C2732" s="75" t="s">
        <v>1214</v>
      </c>
      <c r="D2732" s="76">
        <v>46105</v>
      </c>
      <c r="E2732" s="75" t="s">
        <v>327</v>
      </c>
      <c r="F2732" s="74">
        <v>105.19</v>
      </c>
      <c r="G2732" s="75" t="s">
        <v>326</v>
      </c>
      <c r="H2732" s="77" t="str">
        <f>VLOOKUP(DESPESAS[[#This Row],[Plano de Contas]],BASE!$B$3:$D$119,3,FALSE)</f>
        <v>Frete sobre Compras</v>
      </c>
      <c r="I2732" s="77" t="str">
        <f>IFERROR(VLOOKUP(DESPESAS[[#This Row],[Fornecedor]],Tabela2[],2,FALSE),"")</f>
        <v>SERVIÇOS FRETE</v>
      </c>
      <c r="J2732" s="77" t="str">
        <f>IFERROR(VLOOKUP(DESPESAS[[#This Row],[Plano de Contas]],BASE!$B$3:$F$119,4,FALSE),"")</f>
        <v>1 - CPV</v>
      </c>
      <c r="K2732" s="77" t="str">
        <f>IFERROR(VLOOKUP(DESPESAS[[#This Row],[Plano de Contas]],BASE!$B$3:$H$119,5,FALSE),"")</f>
        <v>COMPRAS</v>
      </c>
      <c r="L2732" s="77">
        <f>IFERROR(VLOOKUP(DESPESAS[[#This Row],[Plano de Contas]],BASE!$B$3:$H$119,6,FALSE),"")</f>
        <v>0</v>
      </c>
      <c r="M2732" s="77" t="str">
        <f>VLOOKUP(DESPESAS[[#This Row],[Plano de Contas]],BASE!$B$3:$H$119,7,FALSE)</f>
        <v>MYLENA</v>
      </c>
    </row>
    <row r="2733" spans="1:13" x14ac:dyDescent="0.25">
      <c r="A2733" s="74">
        <v>199796</v>
      </c>
      <c r="B2733" s="75" t="s">
        <v>232</v>
      </c>
      <c r="C2733" s="75" t="s">
        <v>1213</v>
      </c>
      <c r="D2733" s="76">
        <v>46100</v>
      </c>
      <c r="E2733" s="75" t="s">
        <v>327</v>
      </c>
      <c r="F2733" s="74">
        <v>142.65</v>
      </c>
      <c r="G2733" s="75" t="s">
        <v>326</v>
      </c>
      <c r="H2733" s="77" t="str">
        <f>VLOOKUP(DESPESAS[[#This Row],[Plano de Contas]],BASE!$B$3:$D$119,3,FALSE)</f>
        <v>Frete sobre Compras</v>
      </c>
      <c r="I2733" s="77" t="str">
        <f>IFERROR(VLOOKUP(DESPESAS[[#This Row],[Fornecedor]],Tabela2[],2,FALSE),"")</f>
        <v>SERVIÇOS FRETE</v>
      </c>
      <c r="J2733" s="77" t="str">
        <f>IFERROR(VLOOKUP(DESPESAS[[#This Row],[Plano de Contas]],BASE!$B$3:$F$119,4,FALSE),"")</f>
        <v>1 - CPV</v>
      </c>
      <c r="K2733" s="77" t="str">
        <f>IFERROR(VLOOKUP(DESPESAS[[#This Row],[Plano de Contas]],BASE!$B$3:$H$119,5,FALSE),"")</f>
        <v>COMPRAS</v>
      </c>
      <c r="L2733" s="77">
        <f>IFERROR(VLOOKUP(DESPESAS[[#This Row],[Plano de Contas]],BASE!$B$3:$H$119,6,FALSE),"")</f>
        <v>0</v>
      </c>
      <c r="M2733" s="77" t="str">
        <f>VLOOKUP(DESPESAS[[#This Row],[Plano de Contas]],BASE!$B$3:$H$119,7,FALSE)</f>
        <v>MYLENA</v>
      </c>
    </row>
    <row r="2734" spans="1:13" x14ac:dyDescent="0.25">
      <c r="A2734" s="74">
        <v>199797</v>
      </c>
      <c r="B2734" s="75" t="s">
        <v>221</v>
      </c>
      <c r="C2734" s="75" t="s">
        <v>1212</v>
      </c>
      <c r="D2734" s="76">
        <v>46105</v>
      </c>
      <c r="E2734" s="75" t="s">
        <v>320</v>
      </c>
      <c r="F2734" s="74">
        <v>117</v>
      </c>
      <c r="G2734" s="75" t="s">
        <v>222</v>
      </c>
      <c r="H2734" s="77" t="str">
        <f>VLOOKUP(DESPESAS[[#This Row],[Plano de Contas]],BASE!$B$3:$D$119,3,FALSE)</f>
        <v>Alimentação</v>
      </c>
      <c r="I2734" s="77" t="str">
        <f>IFERROR(VLOOKUP(DESPESAS[[#This Row],[Fornecedor]],Tabela2[],2,FALSE),"")</f>
        <v/>
      </c>
      <c r="J2734" s="77" t="str">
        <f>IFERROR(VLOOKUP(DESPESAS[[#This Row],[Plano de Contas]],BASE!$B$3:$F$119,4,FALSE),"")</f>
        <v>5 - DESPESAS ADMINISTRATIVAS</v>
      </c>
      <c r="K2734" s="77" t="str">
        <f>IFERROR(VLOOKUP(DESPESAS[[#This Row],[Plano de Contas]],BASE!$B$3:$H$119,5,FALSE),"")</f>
        <v>FINANCEIRO</v>
      </c>
      <c r="L2734" s="77">
        <f>IFERROR(VLOOKUP(DESPESAS[[#This Row],[Plano de Contas]],BASE!$B$3:$H$119,6,FALSE),"")</f>
        <v>0</v>
      </c>
      <c r="M2734" s="77" t="str">
        <f>VLOOKUP(DESPESAS[[#This Row],[Plano de Contas]],BASE!$B$3:$H$119,7,FALSE)</f>
        <v>MYLENA</v>
      </c>
    </row>
    <row r="2735" spans="1:13" x14ac:dyDescent="0.25">
      <c r="A2735" s="74">
        <v>199798</v>
      </c>
      <c r="B2735" s="75" t="s">
        <v>281</v>
      </c>
      <c r="C2735" s="75" t="s">
        <v>1211</v>
      </c>
      <c r="D2735" s="76">
        <v>46094</v>
      </c>
      <c r="E2735" s="75" t="s">
        <v>409</v>
      </c>
      <c r="F2735" s="74">
        <v>131.94</v>
      </c>
      <c r="G2735" s="75" t="s">
        <v>326</v>
      </c>
      <c r="H2735" s="77" t="str">
        <f>VLOOKUP(DESPESAS[[#This Row],[Plano de Contas]],BASE!$B$3:$D$119,3,FALSE)</f>
        <v>Frete sobre Compras</v>
      </c>
      <c r="I2735" s="77" t="str">
        <f>IFERROR(VLOOKUP(DESPESAS[[#This Row],[Fornecedor]],Tabela2[],2,FALSE),"")</f>
        <v>SERVIÇOS FRETE</v>
      </c>
      <c r="J2735" s="77" t="str">
        <f>IFERROR(VLOOKUP(DESPESAS[[#This Row],[Plano de Contas]],BASE!$B$3:$F$119,4,FALSE),"")</f>
        <v>1 - CPV</v>
      </c>
      <c r="K2735" s="77" t="str">
        <f>IFERROR(VLOOKUP(DESPESAS[[#This Row],[Plano de Contas]],BASE!$B$3:$H$119,5,FALSE),"")</f>
        <v>COMPRAS</v>
      </c>
      <c r="L2735" s="77">
        <f>IFERROR(VLOOKUP(DESPESAS[[#This Row],[Plano de Contas]],BASE!$B$3:$H$119,6,FALSE),"")</f>
        <v>0</v>
      </c>
      <c r="M2735" s="77" t="str">
        <f>VLOOKUP(DESPESAS[[#This Row],[Plano de Contas]],BASE!$B$3:$H$119,7,FALSE)</f>
        <v>MYLENA</v>
      </c>
    </row>
    <row r="2736" spans="1:13" x14ac:dyDescent="0.25">
      <c r="A2736" s="74">
        <v>199799</v>
      </c>
      <c r="B2736" s="75" t="s">
        <v>281</v>
      </c>
      <c r="C2736" s="75" t="s">
        <v>1210</v>
      </c>
      <c r="D2736" s="76">
        <v>46087</v>
      </c>
      <c r="E2736" s="75" t="s">
        <v>327</v>
      </c>
      <c r="F2736" s="74">
        <v>306</v>
      </c>
      <c r="G2736" s="75" t="s">
        <v>326</v>
      </c>
      <c r="H2736" s="77" t="str">
        <f>VLOOKUP(DESPESAS[[#This Row],[Plano de Contas]],BASE!$B$3:$D$119,3,FALSE)</f>
        <v>Frete sobre Compras</v>
      </c>
      <c r="I2736" s="77" t="str">
        <f>IFERROR(VLOOKUP(DESPESAS[[#This Row],[Fornecedor]],Tabela2[],2,FALSE),"")</f>
        <v>SERVIÇOS FRETE</v>
      </c>
      <c r="J2736" s="77" t="str">
        <f>IFERROR(VLOOKUP(DESPESAS[[#This Row],[Plano de Contas]],BASE!$B$3:$F$119,4,FALSE),"")</f>
        <v>1 - CPV</v>
      </c>
      <c r="K2736" s="77" t="str">
        <f>IFERROR(VLOOKUP(DESPESAS[[#This Row],[Plano de Contas]],BASE!$B$3:$H$119,5,FALSE),"")</f>
        <v>COMPRAS</v>
      </c>
      <c r="L2736" s="77">
        <f>IFERROR(VLOOKUP(DESPESAS[[#This Row],[Plano de Contas]],BASE!$B$3:$H$119,6,FALSE),"")</f>
        <v>0</v>
      </c>
      <c r="M2736" s="77" t="str">
        <f>VLOOKUP(DESPESAS[[#This Row],[Plano de Contas]],BASE!$B$3:$H$119,7,FALSE)</f>
        <v>MYLENA</v>
      </c>
    </row>
    <row r="2737" spans="1:13" x14ac:dyDescent="0.25">
      <c r="A2737" s="74">
        <v>199800</v>
      </c>
      <c r="B2737" s="75" t="s">
        <v>221</v>
      </c>
      <c r="C2737" s="75" t="s">
        <v>1209</v>
      </c>
      <c r="D2737" s="76">
        <v>46105</v>
      </c>
      <c r="E2737" s="75" t="s">
        <v>347</v>
      </c>
      <c r="F2737" s="74">
        <v>130.5</v>
      </c>
      <c r="G2737" s="75" t="s">
        <v>225</v>
      </c>
      <c r="H2737" s="77" t="str">
        <f>VLOOKUP(DESPESAS[[#This Row],[Plano de Contas]],BASE!$B$3:$D$119,3,FALSE)</f>
        <v>Despesas de Outros Gastos Não Operacionais</v>
      </c>
      <c r="I2737" s="77" t="str">
        <f>IFERROR(VLOOKUP(DESPESAS[[#This Row],[Fornecedor]],Tabela2[],2,FALSE),"")</f>
        <v/>
      </c>
      <c r="J2737" s="77" t="str">
        <f>IFERROR(VLOOKUP(DESPESAS[[#This Row],[Plano de Contas]],BASE!$B$3:$F$119,4,FALSE),"")</f>
        <v>8 - DESPESAS FINANCEIRAS</v>
      </c>
      <c r="K2737" s="77" t="str">
        <f>IFERROR(VLOOKUP(DESPESAS[[#This Row],[Plano de Contas]],BASE!$B$3:$H$119,5,FALSE),"")</f>
        <v>FINANCEIRO</v>
      </c>
      <c r="L2737" s="77">
        <f>IFERROR(VLOOKUP(DESPESAS[[#This Row],[Plano de Contas]],BASE!$B$3:$H$119,6,FALSE),"")</f>
        <v>0</v>
      </c>
      <c r="M2737" s="77" t="str">
        <f>VLOOKUP(DESPESAS[[#This Row],[Plano de Contas]],BASE!$B$3:$H$119,7,FALSE)</f>
        <v>LETÍCIA</v>
      </c>
    </row>
    <row r="2738" spans="1:13" x14ac:dyDescent="0.25">
      <c r="A2738" s="74">
        <v>199801</v>
      </c>
      <c r="B2738" s="75" t="s">
        <v>232</v>
      </c>
      <c r="C2738" s="75" t="s">
        <v>1208</v>
      </c>
      <c r="D2738" s="76">
        <v>46106</v>
      </c>
      <c r="E2738" s="75" t="s">
        <v>1206</v>
      </c>
      <c r="F2738" s="74">
        <v>140</v>
      </c>
      <c r="G2738" s="75" t="s">
        <v>247</v>
      </c>
      <c r="H2738" s="77" t="str">
        <f>VLOOKUP(DESPESAS[[#This Row],[Plano de Contas]],BASE!$B$3:$D$119,3,FALSE)</f>
        <v>Manutenção com veiculos</v>
      </c>
      <c r="I2738" s="77" t="str">
        <f>IFERROR(VLOOKUP(DESPESAS[[#This Row],[Fornecedor]],Tabela2[],2,FALSE),"")</f>
        <v/>
      </c>
      <c r="J2738" s="77" t="str">
        <f>IFERROR(VLOOKUP(DESPESAS[[#This Row],[Plano de Contas]],BASE!$B$3:$F$119,4,FALSE),"")</f>
        <v>6 - DESPESA COM VENDAS</v>
      </c>
      <c r="K2738" s="77" t="str">
        <f>IFERROR(VLOOKUP(DESPESAS[[#This Row],[Plano de Contas]],BASE!$B$3:$H$119,5,FALSE),"")</f>
        <v>LOGÍSTICA</v>
      </c>
      <c r="L2738" s="77">
        <f>IFERROR(VLOOKUP(DESPESAS[[#This Row],[Plano de Contas]],BASE!$B$3:$H$119,6,FALSE),"")</f>
        <v>0</v>
      </c>
      <c r="M2738" s="77" t="str">
        <f>VLOOKUP(DESPESAS[[#This Row],[Plano de Contas]],BASE!$B$3:$H$119,7,FALSE)</f>
        <v>MYLENA</v>
      </c>
    </row>
    <row r="2739" spans="1:13" x14ac:dyDescent="0.25">
      <c r="A2739" s="74">
        <v>199803</v>
      </c>
      <c r="B2739" s="75" t="s">
        <v>232</v>
      </c>
      <c r="C2739" s="75" t="s">
        <v>1207</v>
      </c>
      <c r="D2739" s="76">
        <v>46106</v>
      </c>
      <c r="E2739" s="75" t="s">
        <v>1206</v>
      </c>
      <c r="F2739" s="74">
        <v>120</v>
      </c>
      <c r="G2739" s="75" t="s">
        <v>247</v>
      </c>
      <c r="H2739" s="77" t="str">
        <f>VLOOKUP(DESPESAS[[#This Row],[Plano de Contas]],BASE!$B$3:$D$119,3,FALSE)</f>
        <v>Manutenção com veiculos</v>
      </c>
      <c r="I2739" s="77" t="str">
        <f>IFERROR(VLOOKUP(DESPESAS[[#This Row],[Fornecedor]],Tabela2[],2,FALSE),"")</f>
        <v/>
      </c>
      <c r="J2739" s="77" t="str">
        <f>IFERROR(VLOOKUP(DESPESAS[[#This Row],[Plano de Contas]],BASE!$B$3:$F$119,4,FALSE),"")</f>
        <v>6 - DESPESA COM VENDAS</v>
      </c>
      <c r="K2739" s="77" t="str">
        <f>IFERROR(VLOOKUP(DESPESAS[[#This Row],[Plano de Contas]],BASE!$B$3:$H$119,5,FALSE),"")</f>
        <v>LOGÍSTICA</v>
      </c>
      <c r="L2739" s="77">
        <f>IFERROR(VLOOKUP(DESPESAS[[#This Row],[Plano de Contas]],BASE!$B$3:$H$119,6,FALSE),"")</f>
        <v>0</v>
      </c>
      <c r="M2739" s="77" t="str">
        <f>VLOOKUP(DESPESAS[[#This Row],[Plano de Contas]],BASE!$B$3:$H$119,7,FALSE)</f>
        <v>MYLENA</v>
      </c>
    </row>
    <row r="2740" spans="1:13" x14ac:dyDescent="0.25">
      <c r="A2740" s="74">
        <v>199804</v>
      </c>
      <c r="B2740" s="75" t="s">
        <v>232</v>
      </c>
      <c r="C2740" s="75" t="s">
        <v>1205</v>
      </c>
      <c r="D2740" s="76">
        <v>46105</v>
      </c>
      <c r="E2740" s="75" t="s">
        <v>230</v>
      </c>
      <c r="F2740" s="74">
        <v>82.71</v>
      </c>
      <c r="G2740" s="75" t="s">
        <v>356</v>
      </c>
      <c r="H2740" s="77" t="str">
        <f>VLOOKUP(DESPESAS[[#This Row],[Plano de Contas]],BASE!$B$3:$D$119,3,FALSE)</f>
        <v>Despesas Cartorárias</v>
      </c>
      <c r="I2740" s="77" t="str">
        <f>IFERROR(VLOOKUP(DESPESAS[[#This Row],[Fornecedor]],Tabela2[],2,FALSE),"")</f>
        <v/>
      </c>
      <c r="J2740" s="77" t="str">
        <f>IFERROR(VLOOKUP(DESPESAS[[#This Row],[Plano de Contas]],BASE!$B$3:$F$119,4,FALSE),"")</f>
        <v>5 - DESPESAS ADMINISTRATIVAS</v>
      </c>
      <c r="K2740" s="77" t="str">
        <f>IFERROR(VLOOKUP(DESPESAS[[#This Row],[Plano de Contas]],BASE!$B$3:$H$119,5,FALSE),"")</f>
        <v>FINANCEIRO</v>
      </c>
      <c r="L2740" s="77">
        <f>IFERROR(VLOOKUP(DESPESAS[[#This Row],[Plano de Contas]],BASE!$B$3:$H$119,6,FALSE),"")</f>
        <v>0</v>
      </c>
      <c r="M2740" s="77" t="str">
        <f>VLOOKUP(DESPESAS[[#This Row],[Plano de Contas]],BASE!$B$3:$H$119,7,FALSE)</f>
        <v>LETÍCIA</v>
      </c>
    </row>
    <row r="2741" spans="1:13" x14ac:dyDescent="0.25">
      <c r="A2741" s="74">
        <v>199805</v>
      </c>
      <c r="B2741" s="75" t="s">
        <v>232</v>
      </c>
      <c r="C2741" s="75" t="s">
        <v>1204</v>
      </c>
      <c r="D2741" s="76">
        <v>46105</v>
      </c>
      <c r="E2741" s="75" t="s">
        <v>230</v>
      </c>
      <c r="F2741" s="74">
        <v>22.14</v>
      </c>
      <c r="G2741" s="75" t="s">
        <v>356</v>
      </c>
      <c r="H2741" s="77" t="str">
        <f>VLOOKUP(DESPESAS[[#This Row],[Plano de Contas]],BASE!$B$3:$D$119,3,FALSE)</f>
        <v>Despesas Cartorárias</v>
      </c>
      <c r="I2741" s="77" t="str">
        <f>IFERROR(VLOOKUP(DESPESAS[[#This Row],[Fornecedor]],Tabela2[],2,FALSE),"")</f>
        <v/>
      </c>
      <c r="J2741" s="77" t="str">
        <f>IFERROR(VLOOKUP(DESPESAS[[#This Row],[Plano de Contas]],BASE!$B$3:$F$119,4,FALSE),"")</f>
        <v>5 - DESPESAS ADMINISTRATIVAS</v>
      </c>
      <c r="K2741" s="77" t="str">
        <f>IFERROR(VLOOKUP(DESPESAS[[#This Row],[Plano de Contas]],BASE!$B$3:$H$119,5,FALSE),"")</f>
        <v>FINANCEIRO</v>
      </c>
      <c r="L2741" s="77">
        <f>IFERROR(VLOOKUP(DESPESAS[[#This Row],[Plano de Contas]],BASE!$B$3:$H$119,6,FALSE),"")</f>
        <v>0</v>
      </c>
      <c r="M2741" s="77" t="str">
        <f>VLOOKUP(DESPESAS[[#This Row],[Plano de Contas]],BASE!$B$3:$H$119,7,FALSE)</f>
        <v>LETÍCIA</v>
      </c>
    </row>
    <row r="2742" spans="1:13" x14ac:dyDescent="0.25">
      <c r="A2742" s="74">
        <v>199806</v>
      </c>
      <c r="B2742" s="75" t="s">
        <v>232</v>
      </c>
      <c r="C2742" s="75" t="s">
        <v>1203</v>
      </c>
      <c r="D2742" s="76">
        <v>46105</v>
      </c>
      <c r="E2742" s="75" t="s">
        <v>230</v>
      </c>
      <c r="F2742" s="74">
        <v>3.16</v>
      </c>
      <c r="G2742" s="75" t="s">
        <v>236</v>
      </c>
      <c r="H2742" s="77" t="str">
        <f>VLOOKUP(DESPESAS[[#This Row],[Plano de Contas]],BASE!$B$3:$D$119,3,FALSE)</f>
        <v>Despesas de Cobranca</v>
      </c>
      <c r="I2742" s="77" t="str">
        <f>IFERROR(VLOOKUP(DESPESAS[[#This Row],[Fornecedor]],Tabela2[],2,FALSE),"")</f>
        <v/>
      </c>
      <c r="J2742" s="77" t="str">
        <f>IFERROR(VLOOKUP(DESPESAS[[#This Row],[Plano de Contas]],BASE!$B$3:$F$119,4,FALSE),"")</f>
        <v>8 - DESPESAS FINANCEIRAS</v>
      </c>
      <c r="K2742" s="77" t="str">
        <f>IFERROR(VLOOKUP(DESPESAS[[#This Row],[Plano de Contas]],BASE!$B$3:$H$119,5,FALSE),"")</f>
        <v>FINANCEIRO</v>
      </c>
      <c r="L2742" s="77">
        <f>IFERROR(VLOOKUP(DESPESAS[[#This Row],[Plano de Contas]],BASE!$B$3:$H$119,6,FALSE),"")</f>
        <v>0</v>
      </c>
      <c r="M2742" s="77" t="str">
        <f>VLOOKUP(DESPESAS[[#This Row],[Plano de Contas]],BASE!$B$3:$H$119,7,FALSE)</f>
        <v>LETÍCIA</v>
      </c>
    </row>
    <row r="2743" spans="1:13" x14ac:dyDescent="0.25">
      <c r="A2743" s="74">
        <v>199807</v>
      </c>
      <c r="B2743" s="75" t="s">
        <v>232</v>
      </c>
      <c r="C2743" s="75" t="s">
        <v>1202</v>
      </c>
      <c r="D2743" s="76">
        <v>46106</v>
      </c>
      <c r="E2743" s="75" t="s">
        <v>230</v>
      </c>
      <c r="F2743" s="74">
        <v>1.32</v>
      </c>
      <c r="G2743" s="75" t="s">
        <v>229</v>
      </c>
      <c r="H2743" s="77" t="str">
        <f>VLOOKUP(DESPESAS[[#This Row],[Plano de Contas]],BASE!$B$3:$D$119,3,FALSE)</f>
        <v>Despesas Bancarias</v>
      </c>
      <c r="I2743" s="77" t="str">
        <f>IFERROR(VLOOKUP(DESPESAS[[#This Row],[Fornecedor]],Tabela2[],2,FALSE),"")</f>
        <v/>
      </c>
      <c r="J2743" s="77" t="str">
        <f>IFERROR(VLOOKUP(DESPESAS[[#This Row],[Plano de Contas]],BASE!$B$3:$F$119,4,FALSE),"")</f>
        <v>8 - DESPESAS FINANCEIRAS</v>
      </c>
      <c r="K2743" s="77" t="str">
        <f>IFERROR(VLOOKUP(DESPESAS[[#This Row],[Plano de Contas]],BASE!$B$3:$H$119,5,FALSE),"")</f>
        <v>FINANCEIRO</v>
      </c>
      <c r="L2743" s="77">
        <f>IFERROR(VLOOKUP(DESPESAS[[#This Row],[Plano de Contas]],BASE!$B$3:$H$119,6,FALSE),"")</f>
        <v>0</v>
      </c>
      <c r="M2743" s="77" t="str">
        <f>VLOOKUP(DESPESAS[[#This Row],[Plano de Contas]],BASE!$B$3:$H$119,7,FALSE)</f>
        <v>LETÍCIA</v>
      </c>
    </row>
    <row r="2744" spans="1:13" x14ac:dyDescent="0.25">
      <c r="A2744" s="74">
        <v>199808</v>
      </c>
      <c r="B2744" s="75" t="s">
        <v>232</v>
      </c>
      <c r="C2744" s="75" t="s">
        <v>1201</v>
      </c>
      <c r="D2744" s="76">
        <v>46106</v>
      </c>
      <c r="E2744" s="75" t="s">
        <v>230</v>
      </c>
      <c r="F2744" s="74">
        <v>13.41</v>
      </c>
      <c r="G2744" s="75" t="s">
        <v>251</v>
      </c>
      <c r="H2744" s="77" t="str">
        <f>VLOOKUP(DESPESAS[[#This Row],[Plano de Contas]],BASE!$B$3:$D$119,3,FALSE)</f>
        <v>Juros Pagos - Antecipação de Crédito</v>
      </c>
      <c r="I2744" s="77" t="str">
        <f>IFERROR(VLOOKUP(DESPESAS[[#This Row],[Fornecedor]],Tabela2[],2,FALSE),"")</f>
        <v/>
      </c>
      <c r="J2744" s="77" t="str">
        <f>IFERROR(VLOOKUP(DESPESAS[[#This Row],[Plano de Contas]],BASE!$B$3:$F$119,4,FALSE),"")</f>
        <v>8 - DESPESAS FINANCEIRAS</v>
      </c>
      <c r="K2744" s="77" t="str">
        <f>IFERROR(VLOOKUP(DESPESAS[[#This Row],[Plano de Contas]],BASE!$B$3:$H$119,5,FALSE),"")</f>
        <v>FINANCEIRO</v>
      </c>
      <c r="L2744" s="77">
        <f>IFERROR(VLOOKUP(DESPESAS[[#This Row],[Plano de Contas]],BASE!$B$3:$H$119,6,FALSE),"")</f>
        <v>0</v>
      </c>
      <c r="M2744" s="77" t="str">
        <f>VLOOKUP(DESPESAS[[#This Row],[Plano de Contas]],BASE!$B$3:$H$119,7,FALSE)</f>
        <v>LETÍCIA</v>
      </c>
    </row>
    <row r="2745" spans="1:13" x14ac:dyDescent="0.25">
      <c r="A2745" s="74">
        <v>199809</v>
      </c>
      <c r="B2745" s="75" t="s">
        <v>281</v>
      </c>
      <c r="C2745" s="75" t="s">
        <v>1200</v>
      </c>
      <c r="D2745" s="76">
        <v>46105</v>
      </c>
      <c r="E2745" s="75" t="s">
        <v>230</v>
      </c>
      <c r="F2745" s="74">
        <v>0.79</v>
      </c>
      <c r="G2745" s="75" t="s">
        <v>236</v>
      </c>
      <c r="H2745" s="77" t="str">
        <f>VLOOKUP(DESPESAS[[#This Row],[Plano de Contas]],BASE!$B$3:$D$119,3,FALSE)</f>
        <v>Despesas de Cobranca</v>
      </c>
      <c r="I2745" s="77" t="str">
        <f>IFERROR(VLOOKUP(DESPESAS[[#This Row],[Fornecedor]],Tabela2[],2,FALSE),"")</f>
        <v/>
      </c>
      <c r="J2745" s="77" t="str">
        <f>IFERROR(VLOOKUP(DESPESAS[[#This Row],[Plano de Contas]],BASE!$B$3:$F$119,4,FALSE),"")</f>
        <v>8 - DESPESAS FINANCEIRAS</v>
      </c>
      <c r="K2745" s="77" t="str">
        <f>IFERROR(VLOOKUP(DESPESAS[[#This Row],[Plano de Contas]],BASE!$B$3:$H$119,5,FALSE),"")</f>
        <v>FINANCEIRO</v>
      </c>
      <c r="L2745" s="77">
        <f>IFERROR(VLOOKUP(DESPESAS[[#This Row],[Plano de Contas]],BASE!$B$3:$H$119,6,FALSE),"")</f>
        <v>0</v>
      </c>
      <c r="M2745" s="77" t="str">
        <f>VLOOKUP(DESPESAS[[#This Row],[Plano de Contas]],BASE!$B$3:$H$119,7,FALSE)</f>
        <v>LETÍCIA</v>
      </c>
    </row>
    <row r="2746" spans="1:13" x14ac:dyDescent="0.25">
      <c r="A2746" s="74">
        <v>199812</v>
      </c>
      <c r="B2746" s="75" t="s">
        <v>232</v>
      </c>
      <c r="C2746" s="75" t="s">
        <v>1199</v>
      </c>
      <c r="D2746" s="76">
        <v>46106</v>
      </c>
      <c r="E2746" s="75" t="s">
        <v>563</v>
      </c>
      <c r="F2746" s="74">
        <v>1898</v>
      </c>
      <c r="G2746" s="75" t="s">
        <v>247</v>
      </c>
      <c r="H2746" s="77" t="str">
        <f>VLOOKUP(DESPESAS[[#This Row],[Plano de Contas]],BASE!$B$3:$D$119,3,FALSE)</f>
        <v>Manutenção com veiculos</v>
      </c>
      <c r="I2746" s="77" t="str">
        <f>IFERROR(VLOOKUP(DESPESAS[[#This Row],[Fornecedor]],Tabela2[],2,FALSE),"")</f>
        <v/>
      </c>
      <c r="J2746" s="77" t="str">
        <f>IFERROR(VLOOKUP(DESPESAS[[#This Row],[Plano de Contas]],BASE!$B$3:$F$119,4,FALSE),"")</f>
        <v>6 - DESPESA COM VENDAS</v>
      </c>
      <c r="K2746" s="77" t="str">
        <f>IFERROR(VLOOKUP(DESPESAS[[#This Row],[Plano de Contas]],BASE!$B$3:$H$119,5,FALSE),"")</f>
        <v>LOGÍSTICA</v>
      </c>
      <c r="L2746" s="77">
        <f>IFERROR(VLOOKUP(DESPESAS[[#This Row],[Plano de Contas]],BASE!$B$3:$H$119,6,FALSE),"")</f>
        <v>0</v>
      </c>
      <c r="M2746" s="77" t="str">
        <f>VLOOKUP(DESPESAS[[#This Row],[Plano de Contas]],BASE!$B$3:$H$119,7,FALSE)</f>
        <v>MYLENA</v>
      </c>
    </row>
    <row r="2747" spans="1:13" x14ac:dyDescent="0.25">
      <c r="A2747" s="74">
        <v>199813</v>
      </c>
      <c r="B2747" s="75" t="s">
        <v>221</v>
      </c>
      <c r="C2747" s="75" t="s">
        <v>1198</v>
      </c>
      <c r="D2747" s="76">
        <v>46106</v>
      </c>
      <c r="E2747" s="75" t="s">
        <v>537</v>
      </c>
      <c r="F2747" s="74">
        <v>45</v>
      </c>
      <c r="G2747" s="75" t="s">
        <v>1006</v>
      </c>
      <c r="H2747" s="77" t="str">
        <f>VLOOKUP(DESPESAS[[#This Row],[Plano de Contas]],BASE!$B$3:$D$119,3,FALSE)</f>
        <v>Material de Limpeza (Adm)</v>
      </c>
      <c r="I2747" s="77" t="str">
        <f>IFERROR(VLOOKUP(DESPESAS[[#This Row],[Fornecedor]],Tabela2[],2,FALSE),"")</f>
        <v/>
      </c>
      <c r="J2747" s="77" t="str">
        <f>IFERROR(VLOOKUP(DESPESAS[[#This Row],[Plano de Contas]],BASE!$B$3:$F$119,4,FALSE),"")</f>
        <v>5 - DESPESAS ADMINISTRATIVAS</v>
      </c>
      <c r="K2747" s="77" t="str">
        <f>IFERROR(VLOOKUP(DESPESAS[[#This Row],[Plano de Contas]],BASE!$B$3:$H$119,5,FALSE),"")</f>
        <v>ADMINISTRATIVO</v>
      </c>
      <c r="L2747" s="77">
        <f>IFERROR(VLOOKUP(DESPESAS[[#This Row],[Plano de Contas]],BASE!$B$3:$H$119,6,FALSE),"")</f>
        <v>0</v>
      </c>
      <c r="M2747" s="77" t="str">
        <f>VLOOKUP(DESPESAS[[#This Row],[Plano de Contas]],BASE!$B$3:$H$119,7,FALSE)</f>
        <v>MYLENA</v>
      </c>
    </row>
    <row r="2748" spans="1:13" x14ac:dyDescent="0.25">
      <c r="A2748" s="74">
        <v>199814</v>
      </c>
      <c r="B2748" s="75" t="s">
        <v>221</v>
      </c>
      <c r="C2748" s="75" t="s">
        <v>1197</v>
      </c>
      <c r="D2748" s="76">
        <v>46106</v>
      </c>
      <c r="E2748" s="75" t="s">
        <v>219</v>
      </c>
      <c r="F2748" s="74">
        <v>350</v>
      </c>
      <c r="G2748" s="75" t="s">
        <v>218</v>
      </c>
      <c r="H2748" s="77" t="str">
        <f>VLOOKUP(DESPESAS[[#This Row],[Plano de Contas]],BASE!$B$3:$D$119,3,FALSE)</f>
        <v>Manutenção de Equipamentos (Prod)</v>
      </c>
      <c r="I2748" s="77" t="str">
        <f>IFERROR(VLOOKUP(DESPESAS[[#This Row],[Fornecedor]],Tabela2[],2,FALSE),"")</f>
        <v>MAQUINAS DE COSTURA</v>
      </c>
      <c r="J2748" s="77" t="str">
        <f>IFERROR(VLOOKUP(DESPESAS[[#This Row],[Plano de Contas]],BASE!$B$3:$F$119,4,FALSE),"")</f>
        <v>3 - CUSTOS INDIRETOS</v>
      </c>
      <c r="K2748" s="77" t="str">
        <f>IFERROR(VLOOKUP(DESPESAS[[#This Row],[Plano de Contas]],BASE!$B$3:$H$119,5,FALSE),"")</f>
        <v>MANUTENÇÃO / TI</v>
      </c>
      <c r="L2748" s="77">
        <f>IFERROR(VLOOKUP(DESPESAS[[#This Row],[Plano de Contas]],BASE!$B$3:$H$119,6,FALSE),"")</f>
        <v>0</v>
      </c>
      <c r="M2748" s="77" t="str">
        <f>VLOOKUP(DESPESAS[[#This Row],[Plano de Contas]],BASE!$B$3:$H$119,7,FALSE)</f>
        <v>RAFAEL</v>
      </c>
    </row>
    <row r="2749" spans="1:13" x14ac:dyDescent="0.25">
      <c r="A2749" s="74">
        <v>199815</v>
      </c>
      <c r="B2749" s="75" t="s">
        <v>281</v>
      </c>
      <c r="C2749" s="75" t="s">
        <v>1196</v>
      </c>
      <c r="D2749" s="76">
        <v>46106</v>
      </c>
      <c r="E2749" s="75" t="s">
        <v>369</v>
      </c>
      <c r="F2749" s="74">
        <v>5530</v>
      </c>
      <c r="G2749" s="75" t="s">
        <v>365</v>
      </c>
      <c r="H2749" s="77" t="str">
        <f>VLOOKUP(DESPESAS[[#This Row],[Plano de Contas]],BASE!$B$3:$D$119,3,FALSE)</f>
        <v>Pró-Labore</v>
      </c>
      <c r="I2749" s="77" t="str">
        <f>IFERROR(VLOOKUP(DESPESAS[[#This Row],[Fornecedor]],Tabela2[],2,FALSE),"")</f>
        <v/>
      </c>
      <c r="J2749" s="77" t="str">
        <f>IFERROR(VLOOKUP(DESPESAS[[#This Row],[Plano de Contas]],BASE!$B$3:$F$119,4,FALSE),"")</f>
        <v>4 - GASTOS COM PESSOAL</v>
      </c>
      <c r="K2749" s="77" t="str">
        <f>IFERROR(VLOOKUP(DESPESAS[[#This Row],[Plano de Contas]],BASE!$B$3:$H$119,5,FALSE),"")</f>
        <v>DIRETORIA</v>
      </c>
      <c r="L2749" s="77">
        <f>IFERROR(VLOOKUP(DESPESAS[[#This Row],[Plano de Contas]],BASE!$B$3:$H$119,6,FALSE),"")</f>
        <v>0</v>
      </c>
      <c r="M2749" s="77" t="str">
        <f>VLOOKUP(DESPESAS[[#This Row],[Plano de Contas]],BASE!$B$3:$H$119,7,FALSE)</f>
        <v>FÁBIO</v>
      </c>
    </row>
    <row r="2750" spans="1:13" x14ac:dyDescent="0.25">
      <c r="A2750" s="74">
        <v>199816</v>
      </c>
      <c r="B2750" s="75" t="s">
        <v>232</v>
      </c>
      <c r="C2750" s="75" t="s">
        <v>1193</v>
      </c>
      <c r="D2750" s="76">
        <v>46137</v>
      </c>
      <c r="E2750" s="75" t="s">
        <v>1192</v>
      </c>
      <c r="F2750" s="74">
        <v>7000</v>
      </c>
      <c r="G2750" s="75" t="s">
        <v>374</v>
      </c>
      <c r="H2750" s="77" t="str">
        <f>VLOOKUP(DESPESAS[[#This Row],[Plano de Contas]],BASE!$B$3:$D$119,3,FALSE)</f>
        <v>Consultoria Empresarial</v>
      </c>
      <c r="I2750" s="77" t="str">
        <f>IFERROR(VLOOKUP(DESPESAS[[#This Row],[Fornecedor]],Tabela2[],2,FALSE),"")</f>
        <v/>
      </c>
      <c r="J2750" s="77" t="str">
        <f>IFERROR(VLOOKUP(DESPESAS[[#This Row],[Plano de Contas]],BASE!$B$3:$F$119,4,FALSE),"")</f>
        <v>7 - SERVIÇOS DE TERCEIROS</v>
      </c>
      <c r="K2750" s="77" t="str">
        <f>IFERROR(VLOOKUP(DESPESAS[[#This Row],[Plano de Contas]],BASE!$B$3:$H$119,5,FALSE),"")</f>
        <v>FINANCEIRO</v>
      </c>
      <c r="L2750" s="77">
        <f>IFERROR(VLOOKUP(DESPESAS[[#This Row],[Plano de Contas]],BASE!$B$3:$H$119,6,FALSE),"")</f>
        <v>0</v>
      </c>
      <c r="M2750" s="77" t="str">
        <f>VLOOKUP(DESPESAS[[#This Row],[Plano de Contas]],BASE!$B$3:$H$119,7,FALSE)</f>
        <v>LETÍCIA</v>
      </c>
    </row>
    <row r="2751" spans="1:13" x14ac:dyDescent="0.25">
      <c r="A2751" s="74">
        <v>199817</v>
      </c>
      <c r="B2751" s="75" t="s">
        <v>221</v>
      </c>
      <c r="C2751" s="75" t="s">
        <v>1195</v>
      </c>
      <c r="D2751" s="76">
        <v>46106</v>
      </c>
      <c r="E2751" s="75" t="s">
        <v>338</v>
      </c>
      <c r="F2751" s="74">
        <v>252</v>
      </c>
      <c r="G2751" s="75" t="s">
        <v>337</v>
      </c>
      <c r="H2751" s="77" t="str">
        <f>VLOOKUP(DESPESAS[[#This Row],[Plano de Contas]],BASE!$B$3:$D$119,3,FALSE)</f>
        <v>Vigilancia e Seguranca</v>
      </c>
      <c r="I2751" s="77" t="str">
        <f>IFERROR(VLOOKUP(DESPESAS[[#This Row],[Fornecedor]],Tabela2[],2,FALSE),"")</f>
        <v/>
      </c>
      <c r="J2751" s="77" t="str">
        <f>IFERROR(VLOOKUP(DESPESAS[[#This Row],[Plano de Contas]],BASE!$B$3:$F$119,4,FALSE),"")</f>
        <v>7 - SERVIÇOS DE TERCEIROS</v>
      </c>
      <c r="K2751" s="77" t="str">
        <f>IFERROR(VLOOKUP(DESPESAS[[#This Row],[Plano de Contas]],BASE!$B$3:$H$119,5,FALSE),"")</f>
        <v>FINANCEIRO</v>
      </c>
      <c r="L2751" s="77">
        <f>IFERROR(VLOOKUP(DESPESAS[[#This Row],[Plano de Contas]],BASE!$B$3:$H$119,6,FALSE),"")</f>
        <v>0</v>
      </c>
      <c r="M2751" s="77" t="str">
        <f>VLOOKUP(DESPESAS[[#This Row],[Plano de Contas]],BASE!$B$3:$H$119,7,FALSE)</f>
        <v>LETÍCIA</v>
      </c>
    </row>
    <row r="2752" spans="1:13" x14ac:dyDescent="0.25">
      <c r="A2752" s="74">
        <v>199818</v>
      </c>
      <c r="B2752" s="75" t="s">
        <v>221</v>
      </c>
      <c r="C2752" s="75" t="s">
        <v>1194</v>
      </c>
      <c r="D2752" s="76">
        <v>46106</v>
      </c>
      <c r="E2752" s="75" t="s">
        <v>301</v>
      </c>
      <c r="F2752" s="74">
        <v>160</v>
      </c>
      <c r="G2752" s="75" t="s">
        <v>247</v>
      </c>
      <c r="H2752" s="77" t="str">
        <f>VLOOKUP(DESPESAS[[#This Row],[Plano de Contas]],BASE!$B$3:$D$119,3,FALSE)</f>
        <v>Manutenção com veiculos</v>
      </c>
      <c r="I2752" s="77" t="str">
        <f>IFERROR(VLOOKUP(DESPESAS[[#This Row],[Fornecedor]],Tabela2[],2,FALSE),"")</f>
        <v/>
      </c>
      <c r="J2752" s="77" t="str">
        <f>IFERROR(VLOOKUP(DESPESAS[[#This Row],[Plano de Contas]],BASE!$B$3:$F$119,4,FALSE),"")</f>
        <v>6 - DESPESA COM VENDAS</v>
      </c>
      <c r="K2752" s="77" t="str">
        <f>IFERROR(VLOOKUP(DESPESAS[[#This Row],[Plano de Contas]],BASE!$B$3:$H$119,5,FALSE),"")</f>
        <v>LOGÍSTICA</v>
      </c>
      <c r="L2752" s="77">
        <f>IFERROR(VLOOKUP(DESPESAS[[#This Row],[Plano de Contas]],BASE!$B$3:$H$119,6,FALSE),"")</f>
        <v>0</v>
      </c>
      <c r="M2752" s="77" t="str">
        <f>VLOOKUP(DESPESAS[[#This Row],[Plano de Contas]],BASE!$B$3:$H$119,7,FALSE)</f>
        <v>MYLENA</v>
      </c>
    </row>
    <row r="2753" spans="1:13" x14ac:dyDescent="0.25">
      <c r="A2753" s="74">
        <v>199830</v>
      </c>
      <c r="B2753" s="75" t="s">
        <v>221</v>
      </c>
      <c r="C2753" s="75" t="s">
        <v>1191</v>
      </c>
      <c r="D2753" s="76">
        <v>46106</v>
      </c>
      <c r="E2753" s="75" t="s">
        <v>1190</v>
      </c>
      <c r="F2753" s="74">
        <v>115</v>
      </c>
      <c r="G2753" s="75" t="s">
        <v>244</v>
      </c>
      <c r="H2753" s="77" t="str">
        <f>VLOOKUP(DESPESAS[[#This Row],[Plano de Contas]],BASE!$B$3:$D$119,3,FALSE)</f>
        <v>Material de Expediente (Prod)</v>
      </c>
      <c r="I2753" s="77" t="str">
        <f>IFERROR(VLOOKUP(DESPESAS[[#This Row],[Fornecedor]],Tabela2[],2,FALSE),"")</f>
        <v/>
      </c>
      <c r="J2753" s="77" t="str">
        <f>IFERROR(VLOOKUP(DESPESAS[[#This Row],[Plano de Contas]],BASE!$B$3:$F$119,4,FALSE),"")</f>
        <v>2 - CUSTOS DIRETOS</v>
      </c>
      <c r="K2753" s="77" t="str">
        <f>IFERROR(VLOOKUP(DESPESAS[[#This Row],[Plano de Contas]],BASE!$B$3:$H$119,5,FALSE),"")</f>
        <v>PRODUÇÃO</v>
      </c>
      <c r="L2753" s="77">
        <f>IFERROR(VLOOKUP(DESPESAS[[#This Row],[Plano de Contas]],BASE!$B$3:$H$119,6,FALSE),"")</f>
        <v>0</v>
      </c>
      <c r="M2753" s="77" t="str">
        <f>VLOOKUP(DESPESAS[[#This Row],[Plano de Contas]],BASE!$B$3:$H$119,7,FALSE)</f>
        <v>RAFAEL</v>
      </c>
    </row>
    <row r="2754" spans="1:13" x14ac:dyDescent="0.25">
      <c r="A2754" s="74">
        <v>199831</v>
      </c>
      <c r="B2754" s="75" t="s">
        <v>221</v>
      </c>
      <c r="C2754" s="75" t="s">
        <v>1189</v>
      </c>
      <c r="D2754" s="76">
        <v>46106</v>
      </c>
      <c r="E2754" s="75" t="s">
        <v>245</v>
      </c>
      <c r="F2754" s="74">
        <v>53</v>
      </c>
      <c r="G2754" s="75" t="s">
        <v>218</v>
      </c>
      <c r="H2754" s="77" t="str">
        <f>VLOOKUP(DESPESAS[[#This Row],[Plano de Contas]],BASE!$B$3:$D$119,3,FALSE)</f>
        <v>Manutenção de Equipamentos (Prod)</v>
      </c>
      <c r="I2754" s="77" t="str">
        <f>IFERROR(VLOOKUP(DESPESAS[[#This Row],[Fornecedor]],Tabela2[],2,FALSE),"")</f>
        <v>FERRAGENS GERAIS</v>
      </c>
      <c r="J2754" s="77" t="str">
        <f>IFERROR(VLOOKUP(DESPESAS[[#This Row],[Plano de Contas]],BASE!$B$3:$F$119,4,FALSE),"")</f>
        <v>3 - CUSTOS INDIRETOS</v>
      </c>
      <c r="K2754" s="77" t="str">
        <f>IFERROR(VLOOKUP(DESPESAS[[#This Row],[Plano de Contas]],BASE!$B$3:$H$119,5,FALSE),"")</f>
        <v>MANUTENÇÃO / TI</v>
      </c>
      <c r="L2754" s="77">
        <f>IFERROR(VLOOKUP(DESPESAS[[#This Row],[Plano de Contas]],BASE!$B$3:$H$119,6,FALSE),"")</f>
        <v>0</v>
      </c>
      <c r="M2754" s="77" t="str">
        <f>VLOOKUP(DESPESAS[[#This Row],[Plano de Contas]],BASE!$B$3:$H$119,7,FALSE)</f>
        <v>RAFAEL</v>
      </c>
    </row>
    <row r="2755" spans="1:13" x14ac:dyDescent="0.25">
      <c r="A2755" s="74">
        <v>199832</v>
      </c>
      <c r="B2755" s="75" t="s">
        <v>232</v>
      </c>
      <c r="C2755" s="75" t="s">
        <v>1188</v>
      </c>
      <c r="D2755" s="76">
        <v>46106</v>
      </c>
      <c r="E2755" s="75" t="s">
        <v>340</v>
      </c>
      <c r="F2755" s="74">
        <v>4000</v>
      </c>
      <c r="G2755" s="75" t="s">
        <v>326</v>
      </c>
      <c r="H2755" s="77" t="str">
        <f>VLOOKUP(DESPESAS[[#This Row],[Plano de Contas]],BASE!$B$3:$D$119,3,FALSE)</f>
        <v>Frete sobre Compras</v>
      </c>
      <c r="I2755" s="77" t="str">
        <f>IFERROR(VLOOKUP(DESPESAS[[#This Row],[Fornecedor]],Tabela2[],2,FALSE),"")</f>
        <v/>
      </c>
      <c r="J2755" s="77" t="str">
        <f>IFERROR(VLOOKUP(DESPESAS[[#This Row],[Plano de Contas]],BASE!$B$3:$F$119,4,FALSE),"")</f>
        <v>1 - CPV</v>
      </c>
      <c r="K2755" s="77" t="str">
        <f>IFERROR(VLOOKUP(DESPESAS[[#This Row],[Plano de Contas]],BASE!$B$3:$H$119,5,FALSE),"")</f>
        <v>COMPRAS</v>
      </c>
      <c r="L2755" s="77">
        <f>IFERROR(VLOOKUP(DESPESAS[[#This Row],[Plano de Contas]],BASE!$B$3:$H$119,6,FALSE),"")</f>
        <v>0</v>
      </c>
      <c r="M2755" s="77" t="str">
        <f>VLOOKUP(DESPESAS[[#This Row],[Plano de Contas]],BASE!$B$3:$H$119,7,FALSE)</f>
        <v>MYLENA</v>
      </c>
    </row>
    <row r="2756" spans="1:13" x14ac:dyDescent="0.25">
      <c r="A2756" s="74">
        <v>199833</v>
      </c>
      <c r="B2756" s="75" t="s">
        <v>221</v>
      </c>
      <c r="C2756" s="75" t="s">
        <v>1187</v>
      </c>
      <c r="D2756" s="76">
        <v>46091</v>
      </c>
      <c r="E2756" s="75" t="s">
        <v>1186</v>
      </c>
      <c r="F2756" s="74">
        <v>472.73</v>
      </c>
      <c r="G2756" s="75" t="s">
        <v>324</v>
      </c>
      <c r="H2756" s="77" t="str">
        <f>VLOOKUP(DESPESAS[[#This Row],[Plano de Contas]],BASE!$B$3:$D$119,3,FALSE)</f>
        <v>Cursos e Treinamentos CIF</v>
      </c>
      <c r="I2756" s="77" t="str">
        <f>IFERROR(VLOOKUP(DESPESAS[[#This Row],[Fornecedor]],Tabela2[],2,FALSE),"")</f>
        <v/>
      </c>
      <c r="J2756" s="77" t="str">
        <f>IFERROR(VLOOKUP(DESPESAS[[#This Row],[Plano de Contas]],BASE!$B$3:$F$119,4,FALSE),"")</f>
        <v>3 - CUSTOS INDIRETOS</v>
      </c>
      <c r="K2756" s="77" t="str">
        <f>IFERROR(VLOOKUP(DESPESAS[[#This Row],[Plano de Contas]],BASE!$B$3:$H$119,5,FALSE),"")</f>
        <v>DH</v>
      </c>
      <c r="L2756" s="77">
        <f>IFERROR(VLOOKUP(DESPESAS[[#This Row],[Plano de Contas]],BASE!$B$3:$H$119,6,FALSE),"")</f>
        <v>0</v>
      </c>
      <c r="M2756" s="77" t="str">
        <f>VLOOKUP(DESPESAS[[#This Row],[Plano de Contas]],BASE!$B$3:$H$119,7,FALSE)</f>
        <v>FÁBIO</v>
      </c>
    </row>
    <row r="2757" spans="1:13" x14ac:dyDescent="0.25">
      <c r="A2757" s="74">
        <v>199834</v>
      </c>
      <c r="B2757" s="75" t="s">
        <v>221</v>
      </c>
      <c r="C2757" s="75" t="s">
        <v>1185</v>
      </c>
      <c r="D2757" s="76">
        <v>46106</v>
      </c>
      <c r="E2757" s="75" t="s">
        <v>256</v>
      </c>
      <c r="F2757" s="74">
        <v>800</v>
      </c>
      <c r="G2757" s="75" t="s">
        <v>255</v>
      </c>
      <c r="H2757" s="77" t="str">
        <f>VLOOKUP(DESPESAS[[#This Row],[Plano de Contas]],BASE!$B$3:$D$119,3,FALSE)</f>
        <v>Mostruário de Tecido</v>
      </c>
      <c r="I2757" s="77" t="str">
        <f>IFERROR(VLOOKUP(DESPESAS[[#This Row],[Fornecedor]],Tabela2[],2,FALSE),"")</f>
        <v/>
      </c>
      <c r="J2757" s="77" t="str">
        <f>IFERROR(VLOOKUP(DESPESAS[[#This Row],[Plano de Contas]],BASE!$B$3:$F$119,4,FALSE),"")</f>
        <v>6 - DESPESA COM VENDAS</v>
      </c>
      <c r="K2757" s="77" t="str">
        <f>IFERROR(VLOOKUP(DESPESAS[[#This Row],[Plano de Contas]],BASE!$B$3:$H$119,5,FALSE),"")</f>
        <v>COMERCIAL</v>
      </c>
      <c r="L2757" s="77">
        <f>IFERROR(VLOOKUP(DESPESAS[[#This Row],[Plano de Contas]],BASE!$B$3:$H$119,6,FALSE),"")</f>
        <v>0</v>
      </c>
      <c r="M2757" s="77" t="str">
        <f>VLOOKUP(DESPESAS[[#This Row],[Plano de Contas]],BASE!$B$3:$H$119,7,FALSE)</f>
        <v>LETÍCIA</v>
      </c>
    </row>
    <row r="2758" spans="1:13" x14ac:dyDescent="0.25">
      <c r="A2758" s="74">
        <v>199837</v>
      </c>
      <c r="B2758" s="75" t="s">
        <v>279</v>
      </c>
      <c r="C2758" s="75" t="s">
        <v>1184</v>
      </c>
      <c r="D2758" s="76">
        <v>46106</v>
      </c>
      <c r="E2758" s="75" t="s">
        <v>230</v>
      </c>
      <c r="F2758" s="74">
        <v>79.209999999999994</v>
      </c>
      <c r="G2758" s="75" t="s">
        <v>229</v>
      </c>
      <c r="H2758" s="77" t="str">
        <f>VLOOKUP(DESPESAS[[#This Row],[Plano de Contas]],BASE!$B$3:$D$119,3,FALSE)</f>
        <v>Despesas Bancarias</v>
      </c>
      <c r="I2758" s="77" t="str">
        <f>IFERROR(VLOOKUP(DESPESAS[[#This Row],[Fornecedor]],Tabela2[],2,FALSE),"")</f>
        <v/>
      </c>
      <c r="J2758" s="77" t="str">
        <f>IFERROR(VLOOKUP(DESPESAS[[#This Row],[Plano de Contas]],BASE!$B$3:$F$119,4,FALSE),"")</f>
        <v>8 - DESPESAS FINANCEIRAS</v>
      </c>
      <c r="K2758" s="77" t="str">
        <f>IFERROR(VLOOKUP(DESPESAS[[#This Row],[Plano de Contas]],BASE!$B$3:$H$119,5,FALSE),"")</f>
        <v>FINANCEIRO</v>
      </c>
      <c r="L2758" s="77">
        <f>IFERROR(VLOOKUP(DESPESAS[[#This Row],[Plano de Contas]],BASE!$B$3:$H$119,6,FALSE),"")</f>
        <v>0</v>
      </c>
      <c r="M2758" s="77" t="str">
        <f>VLOOKUP(DESPESAS[[#This Row],[Plano de Contas]],BASE!$B$3:$H$119,7,FALSE)</f>
        <v>LETÍCIA</v>
      </c>
    </row>
    <row r="2759" spans="1:13" x14ac:dyDescent="0.25">
      <c r="A2759" s="74">
        <v>199838</v>
      </c>
      <c r="B2759" s="75" t="s">
        <v>279</v>
      </c>
      <c r="C2759" s="75" t="s">
        <v>1183</v>
      </c>
      <c r="D2759" s="76">
        <v>46106</v>
      </c>
      <c r="E2759" s="75" t="s">
        <v>230</v>
      </c>
      <c r="F2759" s="74">
        <v>62.59</v>
      </c>
      <c r="G2759" s="75" t="s">
        <v>229</v>
      </c>
      <c r="H2759" s="77" t="str">
        <f>VLOOKUP(DESPESAS[[#This Row],[Plano de Contas]],BASE!$B$3:$D$119,3,FALSE)</f>
        <v>Despesas Bancarias</v>
      </c>
      <c r="I2759" s="77" t="str">
        <f>IFERROR(VLOOKUP(DESPESAS[[#This Row],[Fornecedor]],Tabela2[],2,FALSE),"")</f>
        <v/>
      </c>
      <c r="J2759" s="77" t="str">
        <f>IFERROR(VLOOKUP(DESPESAS[[#This Row],[Plano de Contas]],BASE!$B$3:$F$119,4,FALSE),"")</f>
        <v>8 - DESPESAS FINANCEIRAS</v>
      </c>
      <c r="K2759" s="77" t="str">
        <f>IFERROR(VLOOKUP(DESPESAS[[#This Row],[Plano de Contas]],BASE!$B$3:$H$119,5,FALSE),"")</f>
        <v>FINANCEIRO</v>
      </c>
      <c r="L2759" s="77">
        <f>IFERROR(VLOOKUP(DESPESAS[[#This Row],[Plano de Contas]],BASE!$B$3:$H$119,6,FALSE),"")</f>
        <v>0</v>
      </c>
      <c r="M2759" s="77" t="str">
        <f>VLOOKUP(DESPESAS[[#This Row],[Plano de Contas]],BASE!$B$3:$H$119,7,FALSE)</f>
        <v>LETÍCIA</v>
      </c>
    </row>
    <row r="2760" spans="1:13" x14ac:dyDescent="0.25">
      <c r="A2760" s="74">
        <v>199839</v>
      </c>
      <c r="B2760" s="75" t="s">
        <v>279</v>
      </c>
      <c r="C2760" s="75" t="s">
        <v>1180</v>
      </c>
      <c r="D2760" s="76">
        <v>46106</v>
      </c>
      <c r="E2760" s="75" t="s">
        <v>230</v>
      </c>
      <c r="F2760" s="74">
        <v>485.58</v>
      </c>
      <c r="G2760" s="75" t="s">
        <v>251</v>
      </c>
      <c r="H2760" s="77" t="str">
        <f>VLOOKUP(DESPESAS[[#This Row],[Plano de Contas]],BASE!$B$3:$D$119,3,FALSE)</f>
        <v>Juros Pagos - Antecipação de Crédito</v>
      </c>
      <c r="I2760" s="77" t="str">
        <f>IFERROR(VLOOKUP(DESPESAS[[#This Row],[Fornecedor]],Tabela2[],2,FALSE),"")</f>
        <v/>
      </c>
      <c r="J2760" s="77" t="str">
        <f>IFERROR(VLOOKUP(DESPESAS[[#This Row],[Plano de Contas]],BASE!$B$3:$F$119,4,FALSE),"")</f>
        <v>8 - DESPESAS FINANCEIRAS</v>
      </c>
      <c r="K2760" s="77" t="str">
        <f>IFERROR(VLOOKUP(DESPESAS[[#This Row],[Plano de Contas]],BASE!$B$3:$H$119,5,FALSE),"")</f>
        <v>FINANCEIRO</v>
      </c>
      <c r="L2760" s="77">
        <f>IFERROR(VLOOKUP(DESPESAS[[#This Row],[Plano de Contas]],BASE!$B$3:$H$119,6,FALSE),"")</f>
        <v>0</v>
      </c>
      <c r="M2760" s="77" t="str">
        <f>VLOOKUP(DESPESAS[[#This Row],[Plano de Contas]],BASE!$B$3:$H$119,7,FALSE)</f>
        <v>LETÍCIA</v>
      </c>
    </row>
    <row r="2761" spans="1:13" x14ac:dyDescent="0.25">
      <c r="A2761" s="74">
        <v>199840</v>
      </c>
      <c r="B2761" s="75" t="s">
        <v>232</v>
      </c>
      <c r="C2761" s="75" t="s">
        <v>1182</v>
      </c>
      <c r="D2761" s="76">
        <v>46106</v>
      </c>
      <c r="E2761" s="75" t="s">
        <v>230</v>
      </c>
      <c r="F2761" s="74">
        <v>209.83</v>
      </c>
      <c r="G2761" s="75" t="s">
        <v>229</v>
      </c>
      <c r="H2761" s="77" t="str">
        <f>VLOOKUP(DESPESAS[[#This Row],[Plano de Contas]],BASE!$B$3:$D$119,3,FALSE)</f>
        <v>Despesas Bancarias</v>
      </c>
      <c r="I2761" s="77" t="str">
        <f>IFERROR(VLOOKUP(DESPESAS[[#This Row],[Fornecedor]],Tabela2[],2,FALSE),"")</f>
        <v/>
      </c>
      <c r="J2761" s="77" t="str">
        <f>IFERROR(VLOOKUP(DESPESAS[[#This Row],[Plano de Contas]],BASE!$B$3:$F$119,4,FALSE),"")</f>
        <v>8 - DESPESAS FINANCEIRAS</v>
      </c>
      <c r="K2761" s="77" t="str">
        <f>IFERROR(VLOOKUP(DESPESAS[[#This Row],[Plano de Contas]],BASE!$B$3:$H$119,5,FALSE),"")</f>
        <v>FINANCEIRO</v>
      </c>
      <c r="L2761" s="77">
        <f>IFERROR(VLOOKUP(DESPESAS[[#This Row],[Plano de Contas]],BASE!$B$3:$H$119,6,FALSE),"")</f>
        <v>0</v>
      </c>
      <c r="M2761" s="77" t="str">
        <f>VLOOKUP(DESPESAS[[#This Row],[Plano de Contas]],BASE!$B$3:$H$119,7,FALSE)</f>
        <v>LETÍCIA</v>
      </c>
    </row>
    <row r="2762" spans="1:13" x14ac:dyDescent="0.25">
      <c r="A2762" s="74">
        <v>199841</v>
      </c>
      <c r="B2762" s="75" t="s">
        <v>232</v>
      </c>
      <c r="C2762" s="75" t="s">
        <v>1181</v>
      </c>
      <c r="D2762" s="76">
        <v>46106</v>
      </c>
      <c r="E2762" s="75" t="s">
        <v>230</v>
      </c>
      <c r="F2762" s="74">
        <v>128.12</v>
      </c>
      <c r="G2762" s="75" t="s">
        <v>229</v>
      </c>
      <c r="H2762" s="77" t="str">
        <f>VLOOKUP(DESPESAS[[#This Row],[Plano de Contas]],BASE!$B$3:$D$119,3,FALSE)</f>
        <v>Despesas Bancarias</v>
      </c>
      <c r="I2762" s="77" t="str">
        <f>IFERROR(VLOOKUP(DESPESAS[[#This Row],[Fornecedor]],Tabela2[],2,FALSE),"")</f>
        <v/>
      </c>
      <c r="J2762" s="77" t="str">
        <f>IFERROR(VLOOKUP(DESPESAS[[#This Row],[Plano de Contas]],BASE!$B$3:$F$119,4,FALSE),"")</f>
        <v>8 - DESPESAS FINANCEIRAS</v>
      </c>
      <c r="K2762" s="77" t="str">
        <f>IFERROR(VLOOKUP(DESPESAS[[#This Row],[Plano de Contas]],BASE!$B$3:$H$119,5,FALSE),"")</f>
        <v>FINANCEIRO</v>
      </c>
      <c r="L2762" s="77">
        <f>IFERROR(VLOOKUP(DESPESAS[[#This Row],[Plano de Contas]],BASE!$B$3:$H$119,6,FALSE),"")</f>
        <v>0</v>
      </c>
      <c r="M2762" s="77" t="str">
        <f>VLOOKUP(DESPESAS[[#This Row],[Plano de Contas]],BASE!$B$3:$H$119,7,FALSE)</f>
        <v>LETÍCIA</v>
      </c>
    </row>
    <row r="2763" spans="1:13" x14ac:dyDescent="0.25">
      <c r="A2763" s="74">
        <v>199842</v>
      </c>
      <c r="B2763" s="75" t="s">
        <v>232</v>
      </c>
      <c r="C2763" s="75" t="s">
        <v>1180</v>
      </c>
      <c r="D2763" s="76">
        <v>46106</v>
      </c>
      <c r="E2763" s="75" t="s">
        <v>230</v>
      </c>
      <c r="F2763" s="74">
        <v>1320.55</v>
      </c>
      <c r="G2763" s="75" t="s">
        <v>251</v>
      </c>
      <c r="H2763" s="77" t="str">
        <f>VLOOKUP(DESPESAS[[#This Row],[Plano de Contas]],BASE!$B$3:$D$119,3,FALSE)</f>
        <v>Juros Pagos - Antecipação de Crédito</v>
      </c>
      <c r="I2763" s="77" t="str">
        <f>IFERROR(VLOOKUP(DESPESAS[[#This Row],[Fornecedor]],Tabela2[],2,FALSE),"")</f>
        <v/>
      </c>
      <c r="J2763" s="77" t="str">
        <f>IFERROR(VLOOKUP(DESPESAS[[#This Row],[Plano de Contas]],BASE!$B$3:$F$119,4,FALSE),"")</f>
        <v>8 - DESPESAS FINANCEIRAS</v>
      </c>
      <c r="K2763" s="77" t="str">
        <f>IFERROR(VLOOKUP(DESPESAS[[#This Row],[Plano de Contas]],BASE!$B$3:$H$119,5,FALSE),"")</f>
        <v>FINANCEIRO</v>
      </c>
      <c r="L2763" s="77">
        <f>IFERROR(VLOOKUP(DESPESAS[[#This Row],[Plano de Contas]],BASE!$B$3:$H$119,6,FALSE),"")</f>
        <v>0</v>
      </c>
      <c r="M2763" s="77" t="str">
        <f>VLOOKUP(DESPESAS[[#This Row],[Plano de Contas]],BASE!$B$3:$H$119,7,FALSE)</f>
        <v>LETÍCIA</v>
      </c>
    </row>
    <row r="2764" spans="1:13" x14ac:dyDescent="0.25">
      <c r="A2764" s="74">
        <v>199843</v>
      </c>
      <c r="B2764" s="75" t="s">
        <v>221</v>
      </c>
      <c r="C2764" s="75" t="s">
        <v>1179</v>
      </c>
      <c r="D2764" s="76">
        <v>46106</v>
      </c>
      <c r="E2764" s="75" t="s">
        <v>1177</v>
      </c>
      <c r="F2764" s="74">
        <v>510</v>
      </c>
      <c r="G2764" s="75" t="s">
        <v>247</v>
      </c>
      <c r="H2764" s="77" t="str">
        <f>VLOOKUP(DESPESAS[[#This Row],[Plano de Contas]],BASE!$B$3:$D$119,3,FALSE)</f>
        <v>Manutenção com veiculos</v>
      </c>
      <c r="I2764" s="77" t="str">
        <f>IFERROR(VLOOKUP(DESPESAS[[#This Row],[Fornecedor]],Tabela2[],2,FALSE),"")</f>
        <v/>
      </c>
      <c r="J2764" s="77" t="str">
        <f>IFERROR(VLOOKUP(DESPESAS[[#This Row],[Plano de Contas]],BASE!$B$3:$F$119,4,FALSE),"")</f>
        <v>6 - DESPESA COM VENDAS</v>
      </c>
      <c r="K2764" s="77" t="str">
        <f>IFERROR(VLOOKUP(DESPESAS[[#This Row],[Plano de Contas]],BASE!$B$3:$H$119,5,FALSE),"")</f>
        <v>LOGÍSTICA</v>
      </c>
      <c r="L2764" s="77">
        <f>IFERROR(VLOOKUP(DESPESAS[[#This Row],[Plano de Contas]],BASE!$B$3:$H$119,6,FALSE),"")</f>
        <v>0</v>
      </c>
      <c r="M2764" s="77" t="str">
        <f>VLOOKUP(DESPESAS[[#This Row],[Plano de Contas]],BASE!$B$3:$H$119,7,FALSE)</f>
        <v>MYLENA</v>
      </c>
    </row>
    <row r="2765" spans="1:13" x14ac:dyDescent="0.25">
      <c r="A2765" s="74">
        <v>199844</v>
      </c>
      <c r="B2765" s="75" t="s">
        <v>221</v>
      </c>
      <c r="C2765" s="75" t="s">
        <v>1178</v>
      </c>
      <c r="D2765" s="76">
        <v>46106</v>
      </c>
      <c r="E2765" s="75" t="s">
        <v>1177</v>
      </c>
      <c r="F2765" s="74">
        <v>485</v>
      </c>
      <c r="G2765" s="75" t="s">
        <v>247</v>
      </c>
      <c r="H2765" s="77" t="str">
        <f>VLOOKUP(DESPESAS[[#This Row],[Plano de Contas]],BASE!$B$3:$D$119,3,FALSE)</f>
        <v>Manutenção com veiculos</v>
      </c>
      <c r="I2765" s="77" t="str">
        <f>IFERROR(VLOOKUP(DESPESAS[[#This Row],[Fornecedor]],Tabela2[],2,FALSE),"")</f>
        <v/>
      </c>
      <c r="J2765" s="77" t="str">
        <f>IFERROR(VLOOKUP(DESPESAS[[#This Row],[Plano de Contas]],BASE!$B$3:$F$119,4,FALSE),"")</f>
        <v>6 - DESPESA COM VENDAS</v>
      </c>
      <c r="K2765" s="77" t="str">
        <f>IFERROR(VLOOKUP(DESPESAS[[#This Row],[Plano de Contas]],BASE!$B$3:$H$119,5,FALSE),"")</f>
        <v>LOGÍSTICA</v>
      </c>
      <c r="L2765" s="77">
        <f>IFERROR(VLOOKUP(DESPESAS[[#This Row],[Plano de Contas]],BASE!$B$3:$H$119,6,FALSE),"")</f>
        <v>0</v>
      </c>
      <c r="M2765" s="77" t="str">
        <f>VLOOKUP(DESPESAS[[#This Row],[Plano de Contas]],BASE!$B$3:$H$119,7,FALSE)</f>
        <v>MYLENA</v>
      </c>
    </row>
    <row r="2766" spans="1:13" x14ac:dyDescent="0.25">
      <c r="A2766" s="74">
        <v>199845</v>
      </c>
      <c r="B2766" s="75" t="s">
        <v>232</v>
      </c>
      <c r="C2766" s="75" t="s">
        <v>1176</v>
      </c>
      <c r="D2766" s="76">
        <v>46106</v>
      </c>
      <c r="E2766" s="75" t="s">
        <v>230</v>
      </c>
      <c r="F2766" s="74">
        <v>6.32</v>
      </c>
      <c r="G2766" s="75" t="s">
        <v>229</v>
      </c>
      <c r="H2766" s="77" t="str">
        <f>VLOOKUP(DESPESAS[[#This Row],[Plano de Contas]],BASE!$B$3:$D$119,3,FALSE)</f>
        <v>Despesas Bancarias</v>
      </c>
      <c r="I2766" s="77" t="str">
        <f>IFERROR(VLOOKUP(DESPESAS[[#This Row],[Fornecedor]],Tabela2[],2,FALSE),"")</f>
        <v/>
      </c>
      <c r="J2766" s="77" t="str">
        <f>IFERROR(VLOOKUP(DESPESAS[[#This Row],[Plano de Contas]],BASE!$B$3:$F$119,4,FALSE),"")</f>
        <v>8 - DESPESAS FINANCEIRAS</v>
      </c>
      <c r="K2766" s="77" t="str">
        <f>IFERROR(VLOOKUP(DESPESAS[[#This Row],[Plano de Contas]],BASE!$B$3:$H$119,5,FALSE),"")</f>
        <v>FINANCEIRO</v>
      </c>
      <c r="L2766" s="77">
        <f>IFERROR(VLOOKUP(DESPESAS[[#This Row],[Plano de Contas]],BASE!$B$3:$H$119,6,FALSE),"")</f>
        <v>0</v>
      </c>
      <c r="M2766" s="77" t="str">
        <f>VLOOKUP(DESPESAS[[#This Row],[Plano de Contas]],BASE!$B$3:$H$119,7,FALSE)</f>
        <v>LETÍCIA</v>
      </c>
    </row>
    <row r="2767" spans="1:13" x14ac:dyDescent="0.25">
      <c r="A2767" s="74">
        <v>199846</v>
      </c>
      <c r="B2767" s="75" t="s">
        <v>232</v>
      </c>
      <c r="C2767" s="75" t="s">
        <v>1175</v>
      </c>
      <c r="D2767" s="76">
        <v>46107</v>
      </c>
      <c r="E2767" s="75" t="s">
        <v>230</v>
      </c>
      <c r="F2767" s="74">
        <v>4.08</v>
      </c>
      <c r="G2767" s="75" t="s">
        <v>229</v>
      </c>
      <c r="H2767" s="77" t="str">
        <f>VLOOKUP(DESPESAS[[#This Row],[Plano de Contas]],BASE!$B$3:$D$119,3,FALSE)</f>
        <v>Despesas Bancarias</v>
      </c>
      <c r="I2767" s="77" t="str">
        <f>IFERROR(VLOOKUP(DESPESAS[[#This Row],[Fornecedor]],Tabela2[],2,FALSE),"")</f>
        <v/>
      </c>
      <c r="J2767" s="77" t="str">
        <f>IFERROR(VLOOKUP(DESPESAS[[#This Row],[Plano de Contas]],BASE!$B$3:$F$119,4,FALSE),"")</f>
        <v>8 - DESPESAS FINANCEIRAS</v>
      </c>
      <c r="K2767" s="77" t="str">
        <f>IFERROR(VLOOKUP(DESPESAS[[#This Row],[Plano de Contas]],BASE!$B$3:$H$119,5,FALSE),"")</f>
        <v>FINANCEIRO</v>
      </c>
      <c r="L2767" s="77">
        <f>IFERROR(VLOOKUP(DESPESAS[[#This Row],[Plano de Contas]],BASE!$B$3:$H$119,6,FALSE),"")</f>
        <v>0</v>
      </c>
      <c r="M2767" s="77" t="str">
        <f>VLOOKUP(DESPESAS[[#This Row],[Plano de Contas]],BASE!$B$3:$H$119,7,FALSE)</f>
        <v>LETÍCIA</v>
      </c>
    </row>
    <row r="2768" spans="1:13" x14ac:dyDescent="0.25">
      <c r="A2768" s="74">
        <v>199847</v>
      </c>
      <c r="B2768" s="75" t="s">
        <v>232</v>
      </c>
      <c r="C2768" s="75" t="s">
        <v>1174</v>
      </c>
      <c r="D2768" s="76">
        <v>46107</v>
      </c>
      <c r="E2768" s="75" t="s">
        <v>230</v>
      </c>
      <c r="F2768" s="74">
        <v>42.24</v>
      </c>
      <c r="G2768" s="75" t="s">
        <v>251</v>
      </c>
      <c r="H2768" s="77" t="str">
        <f>VLOOKUP(DESPESAS[[#This Row],[Plano de Contas]],BASE!$B$3:$D$119,3,FALSE)</f>
        <v>Juros Pagos - Antecipação de Crédito</v>
      </c>
      <c r="I2768" s="77" t="str">
        <f>IFERROR(VLOOKUP(DESPESAS[[#This Row],[Fornecedor]],Tabela2[],2,FALSE),"")</f>
        <v/>
      </c>
      <c r="J2768" s="77" t="str">
        <f>IFERROR(VLOOKUP(DESPESAS[[#This Row],[Plano de Contas]],BASE!$B$3:$F$119,4,FALSE),"")</f>
        <v>8 - DESPESAS FINANCEIRAS</v>
      </c>
      <c r="K2768" s="77" t="str">
        <f>IFERROR(VLOOKUP(DESPESAS[[#This Row],[Plano de Contas]],BASE!$B$3:$H$119,5,FALSE),"")</f>
        <v>FINANCEIRO</v>
      </c>
      <c r="L2768" s="77">
        <f>IFERROR(VLOOKUP(DESPESAS[[#This Row],[Plano de Contas]],BASE!$B$3:$H$119,6,FALSE),"")</f>
        <v>0</v>
      </c>
      <c r="M2768" s="77" t="str">
        <f>VLOOKUP(DESPESAS[[#This Row],[Plano de Contas]],BASE!$B$3:$H$119,7,FALSE)</f>
        <v>LETÍCIA</v>
      </c>
    </row>
    <row r="2769" spans="1:13" x14ac:dyDescent="0.25">
      <c r="A2769" s="74">
        <v>199848</v>
      </c>
      <c r="B2769" s="75" t="s">
        <v>281</v>
      </c>
      <c r="C2769" s="75" t="s">
        <v>1173</v>
      </c>
      <c r="D2769" s="76">
        <v>46106</v>
      </c>
      <c r="E2769" s="75" t="s">
        <v>230</v>
      </c>
      <c r="F2769" s="74">
        <v>1.58</v>
      </c>
      <c r="G2769" s="75" t="s">
        <v>236</v>
      </c>
      <c r="H2769" s="77" t="str">
        <f>VLOOKUP(DESPESAS[[#This Row],[Plano de Contas]],BASE!$B$3:$D$119,3,FALSE)</f>
        <v>Despesas de Cobranca</v>
      </c>
      <c r="I2769" s="77" t="str">
        <f>IFERROR(VLOOKUP(DESPESAS[[#This Row],[Fornecedor]],Tabela2[],2,FALSE),"")</f>
        <v/>
      </c>
      <c r="J2769" s="77" t="str">
        <f>IFERROR(VLOOKUP(DESPESAS[[#This Row],[Plano de Contas]],BASE!$B$3:$F$119,4,FALSE),"")</f>
        <v>8 - DESPESAS FINANCEIRAS</v>
      </c>
      <c r="K2769" s="77" t="str">
        <f>IFERROR(VLOOKUP(DESPESAS[[#This Row],[Plano de Contas]],BASE!$B$3:$H$119,5,FALSE),"")</f>
        <v>FINANCEIRO</v>
      </c>
      <c r="L2769" s="77">
        <f>IFERROR(VLOOKUP(DESPESAS[[#This Row],[Plano de Contas]],BASE!$B$3:$H$119,6,FALSE),"")</f>
        <v>0</v>
      </c>
      <c r="M2769" s="77" t="str">
        <f>VLOOKUP(DESPESAS[[#This Row],[Plano de Contas]],BASE!$B$3:$H$119,7,FALSE)</f>
        <v>LETÍCIA</v>
      </c>
    </row>
    <row r="2770" spans="1:13" x14ac:dyDescent="0.25">
      <c r="A2770" s="74">
        <v>199849</v>
      </c>
      <c r="B2770" s="75" t="s">
        <v>279</v>
      </c>
      <c r="C2770" s="75" t="s">
        <v>1172</v>
      </c>
      <c r="D2770" s="76">
        <v>46106</v>
      </c>
      <c r="E2770" s="75" t="s">
        <v>230</v>
      </c>
      <c r="F2770" s="74">
        <v>3.16</v>
      </c>
      <c r="G2770" s="75" t="s">
        <v>236</v>
      </c>
      <c r="H2770" s="77" t="str">
        <f>VLOOKUP(DESPESAS[[#This Row],[Plano de Contas]],BASE!$B$3:$D$119,3,FALSE)</f>
        <v>Despesas de Cobranca</v>
      </c>
      <c r="I2770" s="77" t="str">
        <f>IFERROR(VLOOKUP(DESPESAS[[#This Row],[Fornecedor]],Tabela2[],2,FALSE),"")</f>
        <v/>
      </c>
      <c r="J2770" s="77" t="str">
        <f>IFERROR(VLOOKUP(DESPESAS[[#This Row],[Plano de Contas]],BASE!$B$3:$F$119,4,FALSE),"")</f>
        <v>8 - DESPESAS FINANCEIRAS</v>
      </c>
      <c r="K2770" s="77" t="str">
        <f>IFERROR(VLOOKUP(DESPESAS[[#This Row],[Plano de Contas]],BASE!$B$3:$H$119,5,FALSE),"")</f>
        <v>FINANCEIRO</v>
      </c>
      <c r="L2770" s="77">
        <f>IFERROR(VLOOKUP(DESPESAS[[#This Row],[Plano de Contas]],BASE!$B$3:$H$119,6,FALSE),"")</f>
        <v>0</v>
      </c>
      <c r="M2770" s="77" t="str">
        <f>VLOOKUP(DESPESAS[[#This Row],[Plano de Contas]],BASE!$B$3:$H$119,7,FALSE)</f>
        <v>LETÍCIA</v>
      </c>
    </row>
    <row r="2771" spans="1:13" x14ac:dyDescent="0.25">
      <c r="A2771" s="74">
        <v>199850</v>
      </c>
      <c r="B2771" s="75" t="s">
        <v>221</v>
      </c>
      <c r="C2771" s="75" t="s">
        <v>1171</v>
      </c>
      <c r="D2771" s="76">
        <v>46106</v>
      </c>
      <c r="E2771" s="75" t="s">
        <v>575</v>
      </c>
      <c r="F2771" s="74">
        <v>2.85</v>
      </c>
      <c r="G2771" s="75" t="s">
        <v>229</v>
      </c>
      <c r="H2771" s="77" t="str">
        <f>VLOOKUP(DESPESAS[[#This Row],[Plano de Contas]],BASE!$B$3:$D$119,3,FALSE)</f>
        <v>Despesas Bancarias</v>
      </c>
      <c r="I2771" s="77" t="str">
        <f>IFERROR(VLOOKUP(DESPESAS[[#This Row],[Fornecedor]],Tabela2[],2,FALSE),"")</f>
        <v/>
      </c>
      <c r="J2771" s="77" t="str">
        <f>IFERROR(VLOOKUP(DESPESAS[[#This Row],[Plano de Contas]],BASE!$B$3:$F$119,4,FALSE),"")</f>
        <v>8 - DESPESAS FINANCEIRAS</v>
      </c>
      <c r="K2771" s="77" t="str">
        <f>IFERROR(VLOOKUP(DESPESAS[[#This Row],[Plano de Contas]],BASE!$B$3:$H$119,5,FALSE),"")</f>
        <v>FINANCEIRO</v>
      </c>
      <c r="L2771" s="77">
        <f>IFERROR(VLOOKUP(DESPESAS[[#This Row],[Plano de Contas]],BASE!$B$3:$H$119,6,FALSE),"")</f>
        <v>0</v>
      </c>
      <c r="M2771" s="77" t="str">
        <f>VLOOKUP(DESPESAS[[#This Row],[Plano de Contas]],BASE!$B$3:$H$119,7,FALSE)</f>
        <v>LETÍCIA</v>
      </c>
    </row>
    <row r="2772" spans="1:13" x14ac:dyDescent="0.25">
      <c r="A2772" s="74">
        <v>199851</v>
      </c>
      <c r="B2772" s="75" t="s">
        <v>279</v>
      </c>
      <c r="C2772" s="75" t="s">
        <v>1170</v>
      </c>
      <c r="D2772" s="76">
        <v>46107</v>
      </c>
      <c r="E2772" s="75" t="s">
        <v>1169</v>
      </c>
      <c r="F2772" s="74">
        <v>88.64</v>
      </c>
      <c r="G2772" s="75" t="s">
        <v>1075</v>
      </c>
      <c r="H2772" s="77" t="str">
        <f>VLOOKUP(DESPESAS[[#This Row],[Plano de Contas]],BASE!$B$3:$D$119,3,FALSE)</f>
        <v>Fretes Ass. Técnica</v>
      </c>
      <c r="I2772" s="77" t="str">
        <f>IFERROR(VLOOKUP(DESPESAS[[#This Row],[Fornecedor]],Tabela2[],2,FALSE),"")</f>
        <v/>
      </c>
      <c r="J2772" s="77" t="str">
        <f>IFERROR(VLOOKUP(DESPESAS[[#This Row],[Plano de Contas]],BASE!$B$3:$F$119,4,FALSE),"")</f>
        <v>6 - DESPESA COM VENDAS</v>
      </c>
      <c r="K2772" s="77" t="str">
        <f>IFERROR(VLOOKUP(DESPESAS[[#This Row],[Plano de Contas]],BASE!$B$3:$H$119,5,FALSE),"")</f>
        <v>LOGÍSTICA</v>
      </c>
      <c r="L2772" s="77">
        <f>IFERROR(VLOOKUP(DESPESAS[[#This Row],[Plano de Contas]],BASE!$B$3:$H$119,6,FALSE),"")</f>
        <v>0</v>
      </c>
      <c r="M2772" s="77" t="str">
        <f>VLOOKUP(DESPESAS[[#This Row],[Plano de Contas]],BASE!$B$3:$H$119,7,FALSE)</f>
        <v>MYLENA</v>
      </c>
    </row>
    <row r="2773" spans="1:13" x14ac:dyDescent="0.25">
      <c r="A2773" s="74">
        <v>199852</v>
      </c>
      <c r="B2773" s="75" t="s">
        <v>221</v>
      </c>
      <c r="C2773" s="75" t="s">
        <v>1168</v>
      </c>
      <c r="D2773" s="76">
        <v>46102</v>
      </c>
      <c r="E2773" s="75" t="s">
        <v>242</v>
      </c>
      <c r="F2773" s="74">
        <v>295.79000000000002</v>
      </c>
      <c r="G2773" s="75" t="s">
        <v>423</v>
      </c>
      <c r="H2773" s="77" t="str">
        <f>VLOOKUP(DESPESAS[[#This Row],[Plano de Contas]],BASE!$B$3:$D$119,3,FALSE)</f>
        <v>Combustíveis (Adm)</v>
      </c>
      <c r="I2773" s="77" t="str">
        <f>IFERROR(VLOOKUP(DESPESAS[[#This Row],[Fornecedor]],Tabela2[],2,FALSE),"")</f>
        <v/>
      </c>
      <c r="J2773" s="77" t="str">
        <f>IFERROR(VLOOKUP(DESPESAS[[#This Row],[Plano de Contas]],BASE!$B$3:$F$119,4,FALSE),"")</f>
        <v>5 - DESPESAS ADMINISTRATIVAS</v>
      </c>
      <c r="K2773" s="77" t="str">
        <f>IFERROR(VLOOKUP(DESPESAS[[#This Row],[Plano de Contas]],BASE!$B$3:$H$119,5,FALSE),"")</f>
        <v>LOGÍSTICA</v>
      </c>
      <c r="L2773" s="77">
        <f>IFERROR(VLOOKUP(DESPESAS[[#This Row],[Plano de Contas]],BASE!$B$3:$H$119,6,FALSE),"")</f>
        <v>0</v>
      </c>
      <c r="M2773" s="77" t="str">
        <f>VLOOKUP(DESPESAS[[#This Row],[Plano de Contas]],BASE!$B$3:$H$119,7,FALSE)</f>
        <v>LETÍCIA</v>
      </c>
    </row>
    <row r="2774" spans="1:13" x14ac:dyDescent="0.25">
      <c r="A2774" s="74">
        <v>199854</v>
      </c>
      <c r="B2774" s="75" t="s">
        <v>221</v>
      </c>
      <c r="C2774" s="75" t="s">
        <v>1167</v>
      </c>
      <c r="D2774" s="76">
        <v>46107</v>
      </c>
      <c r="E2774" s="75" t="s">
        <v>265</v>
      </c>
      <c r="F2774" s="74">
        <v>500</v>
      </c>
      <c r="G2774" s="75" t="s">
        <v>262</v>
      </c>
      <c r="H2774" s="77" t="str">
        <f>VLOOKUP(DESPESAS[[#This Row],[Plano de Contas]],BASE!$B$3:$D$119,3,FALSE)</f>
        <v>Fretes Karams</v>
      </c>
      <c r="I2774" s="77" t="str">
        <f>IFERROR(VLOOKUP(DESPESAS[[#This Row],[Fornecedor]],Tabela2[],2,FALSE),"")</f>
        <v/>
      </c>
      <c r="J2774" s="77" t="str">
        <f>IFERROR(VLOOKUP(DESPESAS[[#This Row],[Plano de Contas]],BASE!$B$3:$F$119,4,FALSE),"")</f>
        <v>6 - DESPESA COM VENDAS</v>
      </c>
      <c r="K2774" s="77" t="str">
        <f>IFERROR(VLOOKUP(DESPESAS[[#This Row],[Plano de Contas]],BASE!$B$3:$H$119,5,FALSE),"")</f>
        <v>LOGÍSTICA</v>
      </c>
      <c r="L2774" s="77">
        <f>IFERROR(VLOOKUP(DESPESAS[[#This Row],[Plano de Contas]],BASE!$B$3:$H$119,6,FALSE),"")</f>
        <v>0</v>
      </c>
      <c r="M2774" s="77" t="str">
        <f>VLOOKUP(DESPESAS[[#This Row],[Plano de Contas]],BASE!$B$3:$H$119,7,FALSE)</f>
        <v>MYLENA</v>
      </c>
    </row>
    <row r="2775" spans="1:13" x14ac:dyDescent="0.25">
      <c r="A2775" s="74">
        <v>199855</v>
      </c>
      <c r="B2775" s="75" t="s">
        <v>221</v>
      </c>
      <c r="C2775" s="75" t="s">
        <v>1166</v>
      </c>
      <c r="D2775" s="76">
        <v>46102</v>
      </c>
      <c r="E2775" s="75" t="s">
        <v>242</v>
      </c>
      <c r="F2775" s="74">
        <v>33.58</v>
      </c>
      <c r="G2775" s="75" t="s">
        <v>241</v>
      </c>
      <c r="H2775" s="77" t="str">
        <f>VLOOKUP(DESPESAS[[#This Row],[Plano de Contas]],BASE!$B$3:$D$119,3,FALSE)</f>
        <v>Combustiveis Frota</v>
      </c>
      <c r="I2775" s="77" t="str">
        <f>IFERROR(VLOOKUP(DESPESAS[[#This Row],[Fornecedor]],Tabela2[],2,FALSE),"")</f>
        <v/>
      </c>
      <c r="J2775" s="77" t="str">
        <f>IFERROR(VLOOKUP(DESPESAS[[#This Row],[Plano de Contas]],BASE!$B$3:$F$119,4,FALSE),"")</f>
        <v>6 - DESPESA COM VENDAS</v>
      </c>
      <c r="K2775" s="77" t="str">
        <f>IFERROR(VLOOKUP(DESPESAS[[#This Row],[Plano de Contas]],BASE!$B$3:$H$119,5,FALSE),"")</f>
        <v>LOGÍSTICA</v>
      </c>
      <c r="L2775" s="77">
        <f>IFERROR(VLOOKUP(DESPESAS[[#This Row],[Plano de Contas]],BASE!$B$3:$H$119,6,FALSE),"")</f>
        <v>0</v>
      </c>
      <c r="M2775" s="77" t="str">
        <f>VLOOKUP(DESPESAS[[#This Row],[Plano de Contas]],BASE!$B$3:$H$119,7,FALSE)</f>
        <v>MYLENA</v>
      </c>
    </row>
    <row r="2776" spans="1:13" x14ac:dyDescent="0.25">
      <c r="A2776" s="74">
        <v>199856</v>
      </c>
      <c r="B2776" s="75" t="s">
        <v>221</v>
      </c>
      <c r="C2776" s="75" t="s">
        <v>1165</v>
      </c>
      <c r="D2776" s="76">
        <v>46102</v>
      </c>
      <c r="E2776" s="75" t="s">
        <v>242</v>
      </c>
      <c r="F2776" s="74">
        <v>161.44</v>
      </c>
      <c r="G2776" s="75" t="s">
        <v>241</v>
      </c>
      <c r="H2776" s="77" t="str">
        <f>VLOOKUP(DESPESAS[[#This Row],[Plano de Contas]],BASE!$B$3:$D$119,3,FALSE)</f>
        <v>Combustiveis Frota</v>
      </c>
      <c r="I2776" s="77" t="str">
        <f>IFERROR(VLOOKUP(DESPESAS[[#This Row],[Fornecedor]],Tabela2[],2,FALSE),"")</f>
        <v/>
      </c>
      <c r="J2776" s="77" t="str">
        <f>IFERROR(VLOOKUP(DESPESAS[[#This Row],[Plano de Contas]],BASE!$B$3:$F$119,4,FALSE),"")</f>
        <v>6 - DESPESA COM VENDAS</v>
      </c>
      <c r="K2776" s="77" t="str">
        <f>IFERROR(VLOOKUP(DESPESAS[[#This Row],[Plano de Contas]],BASE!$B$3:$H$119,5,FALSE),"")</f>
        <v>LOGÍSTICA</v>
      </c>
      <c r="L2776" s="77">
        <f>IFERROR(VLOOKUP(DESPESAS[[#This Row],[Plano de Contas]],BASE!$B$3:$H$119,6,FALSE),"")</f>
        <v>0</v>
      </c>
      <c r="M2776" s="77" t="str">
        <f>VLOOKUP(DESPESAS[[#This Row],[Plano de Contas]],BASE!$B$3:$H$119,7,FALSE)</f>
        <v>MYLENA</v>
      </c>
    </row>
    <row r="2777" spans="1:13" x14ac:dyDescent="0.25">
      <c r="A2777" s="74">
        <v>199857</v>
      </c>
      <c r="B2777" s="75" t="s">
        <v>221</v>
      </c>
      <c r="C2777" s="75" t="s">
        <v>1164</v>
      </c>
      <c r="D2777" s="76">
        <v>46107</v>
      </c>
      <c r="E2777" s="75" t="s">
        <v>265</v>
      </c>
      <c r="F2777" s="74">
        <v>72.400000000000006</v>
      </c>
      <c r="G2777" s="75" t="s">
        <v>262</v>
      </c>
      <c r="H2777" s="77" t="str">
        <f>VLOOKUP(DESPESAS[[#This Row],[Plano de Contas]],BASE!$B$3:$D$119,3,FALSE)</f>
        <v>Fretes Karams</v>
      </c>
      <c r="I2777" s="77" t="str">
        <f>IFERROR(VLOOKUP(DESPESAS[[#This Row],[Fornecedor]],Tabela2[],2,FALSE),"")</f>
        <v/>
      </c>
      <c r="J2777" s="77" t="str">
        <f>IFERROR(VLOOKUP(DESPESAS[[#This Row],[Plano de Contas]],BASE!$B$3:$F$119,4,FALSE),"")</f>
        <v>6 - DESPESA COM VENDAS</v>
      </c>
      <c r="K2777" s="77" t="str">
        <f>IFERROR(VLOOKUP(DESPESAS[[#This Row],[Plano de Contas]],BASE!$B$3:$H$119,5,FALSE),"")</f>
        <v>LOGÍSTICA</v>
      </c>
      <c r="L2777" s="77">
        <f>IFERROR(VLOOKUP(DESPESAS[[#This Row],[Plano de Contas]],BASE!$B$3:$H$119,6,FALSE),"")</f>
        <v>0</v>
      </c>
      <c r="M2777" s="77" t="str">
        <f>VLOOKUP(DESPESAS[[#This Row],[Plano de Contas]],BASE!$B$3:$H$119,7,FALSE)</f>
        <v>MYLENA</v>
      </c>
    </row>
    <row r="2778" spans="1:13" x14ac:dyDescent="0.25">
      <c r="A2778" s="74">
        <v>199858</v>
      </c>
      <c r="B2778" s="75" t="s">
        <v>221</v>
      </c>
      <c r="C2778" s="75" t="s">
        <v>1163</v>
      </c>
      <c r="D2778" s="76">
        <v>46105</v>
      </c>
      <c r="E2778" s="75" t="s">
        <v>242</v>
      </c>
      <c r="F2778" s="74">
        <v>52.12</v>
      </c>
      <c r="G2778" s="75" t="s">
        <v>241</v>
      </c>
      <c r="H2778" s="77" t="str">
        <f>VLOOKUP(DESPESAS[[#This Row],[Plano de Contas]],BASE!$B$3:$D$119,3,FALSE)</f>
        <v>Combustiveis Frota</v>
      </c>
      <c r="I2778" s="77" t="str">
        <f>IFERROR(VLOOKUP(DESPESAS[[#This Row],[Fornecedor]],Tabela2[],2,FALSE),"")</f>
        <v/>
      </c>
      <c r="J2778" s="77" t="str">
        <f>IFERROR(VLOOKUP(DESPESAS[[#This Row],[Plano de Contas]],BASE!$B$3:$F$119,4,FALSE),"")</f>
        <v>6 - DESPESA COM VENDAS</v>
      </c>
      <c r="K2778" s="77" t="str">
        <f>IFERROR(VLOOKUP(DESPESAS[[#This Row],[Plano de Contas]],BASE!$B$3:$H$119,5,FALSE),"")</f>
        <v>LOGÍSTICA</v>
      </c>
      <c r="L2778" s="77">
        <f>IFERROR(VLOOKUP(DESPESAS[[#This Row],[Plano de Contas]],BASE!$B$3:$H$119,6,FALSE),"")</f>
        <v>0</v>
      </c>
      <c r="M2778" s="77" t="str">
        <f>VLOOKUP(DESPESAS[[#This Row],[Plano de Contas]],BASE!$B$3:$H$119,7,FALSE)</f>
        <v>MYLENA</v>
      </c>
    </row>
    <row r="2779" spans="1:13" x14ac:dyDescent="0.25">
      <c r="A2779" s="74">
        <v>199859</v>
      </c>
      <c r="B2779" s="75" t="s">
        <v>221</v>
      </c>
      <c r="C2779" s="75" t="s">
        <v>1162</v>
      </c>
      <c r="D2779" s="76">
        <v>46106</v>
      </c>
      <c r="E2779" s="75" t="s">
        <v>242</v>
      </c>
      <c r="F2779" s="74">
        <v>841.5</v>
      </c>
      <c r="G2779" s="75" t="s">
        <v>241</v>
      </c>
      <c r="H2779" s="77" t="str">
        <f>VLOOKUP(DESPESAS[[#This Row],[Plano de Contas]],BASE!$B$3:$D$119,3,FALSE)</f>
        <v>Combustiveis Frota</v>
      </c>
      <c r="I2779" s="77" t="str">
        <f>IFERROR(VLOOKUP(DESPESAS[[#This Row],[Fornecedor]],Tabela2[],2,FALSE),"")</f>
        <v/>
      </c>
      <c r="J2779" s="77" t="str">
        <f>IFERROR(VLOOKUP(DESPESAS[[#This Row],[Plano de Contas]],BASE!$B$3:$F$119,4,FALSE),"")</f>
        <v>6 - DESPESA COM VENDAS</v>
      </c>
      <c r="K2779" s="77" t="str">
        <f>IFERROR(VLOOKUP(DESPESAS[[#This Row],[Plano de Contas]],BASE!$B$3:$H$119,5,FALSE),"")</f>
        <v>LOGÍSTICA</v>
      </c>
      <c r="L2779" s="77">
        <f>IFERROR(VLOOKUP(DESPESAS[[#This Row],[Plano de Contas]],BASE!$B$3:$H$119,6,FALSE),"")</f>
        <v>0</v>
      </c>
      <c r="M2779" s="77" t="str">
        <f>VLOOKUP(DESPESAS[[#This Row],[Plano de Contas]],BASE!$B$3:$H$119,7,FALSE)</f>
        <v>MYLENA</v>
      </c>
    </row>
    <row r="2780" spans="1:13" x14ac:dyDescent="0.25">
      <c r="A2780" s="74">
        <v>199860</v>
      </c>
      <c r="B2780" s="75" t="s">
        <v>221</v>
      </c>
      <c r="C2780" s="75" t="s">
        <v>1161</v>
      </c>
      <c r="D2780" s="76">
        <v>46105</v>
      </c>
      <c r="E2780" s="75" t="s">
        <v>242</v>
      </c>
      <c r="F2780" s="74">
        <v>712.39</v>
      </c>
      <c r="G2780" s="75" t="s">
        <v>241</v>
      </c>
      <c r="H2780" s="77" t="str">
        <f>VLOOKUP(DESPESAS[[#This Row],[Plano de Contas]],BASE!$B$3:$D$119,3,FALSE)</f>
        <v>Combustiveis Frota</v>
      </c>
      <c r="I2780" s="77" t="str">
        <f>IFERROR(VLOOKUP(DESPESAS[[#This Row],[Fornecedor]],Tabela2[],2,FALSE),"")</f>
        <v/>
      </c>
      <c r="J2780" s="77" t="str">
        <f>IFERROR(VLOOKUP(DESPESAS[[#This Row],[Plano de Contas]],BASE!$B$3:$F$119,4,FALSE),"")</f>
        <v>6 - DESPESA COM VENDAS</v>
      </c>
      <c r="K2780" s="77" t="str">
        <f>IFERROR(VLOOKUP(DESPESAS[[#This Row],[Plano de Contas]],BASE!$B$3:$H$119,5,FALSE),"")</f>
        <v>LOGÍSTICA</v>
      </c>
      <c r="L2780" s="77">
        <f>IFERROR(VLOOKUP(DESPESAS[[#This Row],[Plano de Contas]],BASE!$B$3:$H$119,6,FALSE),"")</f>
        <v>0</v>
      </c>
      <c r="M2780" s="77" t="str">
        <f>VLOOKUP(DESPESAS[[#This Row],[Plano de Contas]],BASE!$B$3:$H$119,7,FALSE)</f>
        <v>MYLENA</v>
      </c>
    </row>
    <row r="2781" spans="1:13" x14ac:dyDescent="0.25">
      <c r="A2781" s="74">
        <v>199861</v>
      </c>
      <c r="B2781" s="75" t="s">
        <v>232</v>
      </c>
      <c r="C2781" s="75" t="s">
        <v>1160</v>
      </c>
      <c r="D2781" s="76">
        <v>46107</v>
      </c>
      <c r="E2781" s="75" t="s">
        <v>1159</v>
      </c>
      <c r="F2781" s="74">
        <v>858.51</v>
      </c>
      <c r="G2781" s="75" t="s">
        <v>241</v>
      </c>
      <c r="H2781" s="77" t="str">
        <f>VLOOKUP(DESPESAS[[#This Row],[Plano de Contas]],BASE!$B$3:$D$119,3,FALSE)</f>
        <v>Combustiveis Frota</v>
      </c>
      <c r="I2781" s="77" t="str">
        <f>IFERROR(VLOOKUP(DESPESAS[[#This Row],[Fornecedor]],Tabela2[],2,FALSE),"")</f>
        <v/>
      </c>
      <c r="J2781" s="77" t="str">
        <f>IFERROR(VLOOKUP(DESPESAS[[#This Row],[Plano de Contas]],BASE!$B$3:$F$119,4,FALSE),"")</f>
        <v>6 - DESPESA COM VENDAS</v>
      </c>
      <c r="K2781" s="77" t="str">
        <f>IFERROR(VLOOKUP(DESPESAS[[#This Row],[Plano de Contas]],BASE!$B$3:$H$119,5,FALSE),"")</f>
        <v>LOGÍSTICA</v>
      </c>
      <c r="L2781" s="77">
        <f>IFERROR(VLOOKUP(DESPESAS[[#This Row],[Plano de Contas]],BASE!$B$3:$H$119,6,FALSE),"")</f>
        <v>0</v>
      </c>
      <c r="M2781" s="77" t="str">
        <f>VLOOKUP(DESPESAS[[#This Row],[Plano de Contas]],BASE!$B$3:$H$119,7,FALSE)</f>
        <v>MYLENA</v>
      </c>
    </row>
    <row r="2782" spans="1:13" x14ac:dyDescent="0.25">
      <c r="A2782" s="74">
        <v>199862</v>
      </c>
      <c r="B2782" s="75" t="s">
        <v>232</v>
      </c>
      <c r="C2782" s="75" t="s">
        <v>1158</v>
      </c>
      <c r="D2782" s="76">
        <v>46107</v>
      </c>
      <c r="E2782" s="75" t="s">
        <v>1157</v>
      </c>
      <c r="F2782" s="74">
        <v>567.70000000000005</v>
      </c>
      <c r="G2782" s="75" t="s">
        <v>241</v>
      </c>
      <c r="H2782" s="77" t="str">
        <f>VLOOKUP(DESPESAS[[#This Row],[Plano de Contas]],BASE!$B$3:$D$119,3,FALSE)</f>
        <v>Combustiveis Frota</v>
      </c>
      <c r="I2782" s="77" t="str">
        <f>IFERROR(VLOOKUP(DESPESAS[[#This Row],[Fornecedor]],Tabela2[],2,FALSE),"")</f>
        <v/>
      </c>
      <c r="J2782" s="77" t="str">
        <f>IFERROR(VLOOKUP(DESPESAS[[#This Row],[Plano de Contas]],BASE!$B$3:$F$119,4,FALSE),"")</f>
        <v>6 - DESPESA COM VENDAS</v>
      </c>
      <c r="K2782" s="77" t="str">
        <f>IFERROR(VLOOKUP(DESPESAS[[#This Row],[Plano de Contas]],BASE!$B$3:$H$119,5,FALSE),"")</f>
        <v>LOGÍSTICA</v>
      </c>
      <c r="L2782" s="77">
        <f>IFERROR(VLOOKUP(DESPESAS[[#This Row],[Plano de Contas]],BASE!$B$3:$H$119,6,FALSE),"")</f>
        <v>0</v>
      </c>
      <c r="M2782" s="77" t="str">
        <f>VLOOKUP(DESPESAS[[#This Row],[Plano de Contas]],BASE!$B$3:$H$119,7,FALSE)</f>
        <v>MYLENA</v>
      </c>
    </row>
    <row r="2783" spans="1:13" x14ac:dyDescent="0.25">
      <c r="A2783" s="74">
        <v>199863</v>
      </c>
      <c r="B2783" s="75" t="s">
        <v>232</v>
      </c>
      <c r="C2783" s="75" t="s">
        <v>1156</v>
      </c>
      <c r="D2783" s="76">
        <v>46111</v>
      </c>
      <c r="E2783" s="75" t="s">
        <v>703</v>
      </c>
      <c r="F2783" s="74">
        <v>2443.09</v>
      </c>
      <c r="G2783" s="75" t="s">
        <v>1148</v>
      </c>
      <c r="H2783" s="77" t="str">
        <f>VLOOKUP(DESPESAS[[#This Row],[Plano de Contas]],BASE!$B$3:$D$119,3,FALSE)</f>
        <v>Pedágio Frota</v>
      </c>
      <c r="I2783" s="77" t="str">
        <f>IFERROR(VLOOKUP(DESPESAS[[#This Row],[Fornecedor]],Tabela2[],2,FALSE),"")</f>
        <v/>
      </c>
      <c r="J2783" s="77" t="str">
        <f>IFERROR(VLOOKUP(DESPESAS[[#This Row],[Plano de Contas]],BASE!$B$3:$F$119,4,FALSE),"")</f>
        <v>6 - DESPESA COM VENDAS</v>
      </c>
      <c r="K2783" s="77" t="str">
        <f>IFERROR(VLOOKUP(DESPESAS[[#This Row],[Plano de Contas]],BASE!$B$3:$H$119,5,FALSE),"")</f>
        <v>LOGÍSTICA</v>
      </c>
      <c r="L2783" s="77">
        <f>IFERROR(VLOOKUP(DESPESAS[[#This Row],[Plano de Contas]],BASE!$B$3:$H$119,6,FALSE),"")</f>
        <v>0</v>
      </c>
      <c r="M2783" s="77" t="str">
        <f>VLOOKUP(DESPESAS[[#This Row],[Plano de Contas]],BASE!$B$3:$H$119,7,FALSE)</f>
        <v>MYLENA</v>
      </c>
    </row>
    <row r="2784" spans="1:13" x14ac:dyDescent="0.25">
      <c r="A2784" s="74">
        <v>199864</v>
      </c>
      <c r="B2784" s="75" t="s">
        <v>232</v>
      </c>
      <c r="C2784" s="75" t="s">
        <v>1155</v>
      </c>
      <c r="D2784" s="76">
        <v>46111</v>
      </c>
      <c r="E2784" s="75" t="s">
        <v>703</v>
      </c>
      <c r="F2784" s="74">
        <v>3692.39</v>
      </c>
      <c r="G2784" s="75" t="s">
        <v>1148</v>
      </c>
      <c r="H2784" s="77" t="str">
        <f>VLOOKUP(DESPESAS[[#This Row],[Plano de Contas]],BASE!$B$3:$D$119,3,FALSE)</f>
        <v>Pedágio Frota</v>
      </c>
      <c r="I2784" s="77" t="str">
        <f>IFERROR(VLOOKUP(DESPESAS[[#This Row],[Fornecedor]],Tabela2[],2,FALSE),"")</f>
        <v/>
      </c>
      <c r="J2784" s="77" t="str">
        <f>IFERROR(VLOOKUP(DESPESAS[[#This Row],[Plano de Contas]],BASE!$B$3:$F$119,4,FALSE),"")</f>
        <v>6 - DESPESA COM VENDAS</v>
      </c>
      <c r="K2784" s="77" t="str">
        <f>IFERROR(VLOOKUP(DESPESAS[[#This Row],[Plano de Contas]],BASE!$B$3:$H$119,5,FALSE),"")</f>
        <v>LOGÍSTICA</v>
      </c>
      <c r="L2784" s="77">
        <f>IFERROR(VLOOKUP(DESPESAS[[#This Row],[Plano de Contas]],BASE!$B$3:$H$119,6,FALSE),"")</f>
        <v>0</v>
      </c>
      <c r="M2784" s="77" t="str">
        <f>VLOOKUP(DESPESAS[[#This Row],[Plano de Contas]],BASE!$B$3:$H$119,7,FALSE)</f>
        <v>MYLENA</v>
      </c>
    </row>
    <row r="2785" spans="1:13" x14ac:dyDescent="0.25">
      <c r="A2785" s="74">
        <v>199865</v>
      </c>
      <c r="B2785" s="75" t="s">
        <v>232</v>
      </c>
      <c r="C2785" s="75" t="s">
        <v>1154</v>
      </c>
      <c r="D2785" s="76">
        <v>46111</v>
      </c>
      <c r="E2785" s="75" t="s">
        <v>703</v>
      </c>
      <c r="F2785" s="74">
        <v>49.8</v>
      </c>
      <c r="G2785" s="75" t="s">
        <v>1148</v>
      </c>
      <c r="H2785" s="77" t="str">
        <f>VLOOKUP(DESPESAS[[#This Row],[Plano de Contas]],BASE!$B$3:$D$119,3,FALSE)</f>
        <v>Pedágio Frota</v>
      </c>
      <c r="I2785" s="77" t="str">
        <f>IFERROR(VLOOKUP(DESPESAS[[#This Row],[Fornecedor]],Tabela2[],2,FALSE),"")</f>
        <v/>
      </c>
      <c r="J2785" s="77" t="str">
        <f>IFERROR(VLOOKUP(DESPESAS[[#This Row],[Plano de Contas]],BASE!$B$3:$F$119,4,FALSE),"")</f>
        <v>6 - DESPESA COM VENDAS</v>
      </c>
      <c r="K2785" s="77" t="str">
        <f>IFERROR(VLOOKUP(DESPESAS[[#This Row],[Plano de Contas]],BASE!$B$3:$H$119,5,FALSE),"")</f>
        <v>LOGÍSTICA</v>
      </c>
      <c r="L2785" s="77">
        <f>IFERROR(VLOOKUP(DESPESAS[[#This Row],[Plano de Contas]],BASE!$B$3:$H$119,6,FALSE),"")</f>
        <v>0</v>
      </c>
      <c r="M2785" s="77" t="str">
        <f>VLOOKUP(DESPESAS[[#This Row],[Plano de Contas]],BASE!$B$3:$H$119,7,FALSE)</f>
        <v>MYLENA</v>
      </c>
    </row>
    <row r="2786" spans="1:13" x14ac:dyDescent="0.25">
      <c r="A2786" s="74">
        <v>199866</v>
      </c>
      <c r="B2786" s="75" t="s">
        <v>232</v>
      </c>
      <c r="C2786" s="75" t="s">
        <v>1153</v>
      </c>
      <c r="D2786" s="76">
        <v>46111</v>
      </c>
      <c r="E2786" s="75" t="s">
        <v>703</v>
      </c>
      <c r="F2786" s="74">
        <v>87.9</v>
      </c>
      <c r="G2786" s="75" t="s">
        <v>1148</v>
      </c>
      <c r="H2786" s="77" t="str">
        <f>VLOOKUP(DESPESAS[[#This Row],[Plano de Contas]],BASE!$B$3:$D$119,3,FALSE)</f>
        <v>Pedágio Frota</v>
      </c>
      <c r="I2786" s="77" t="str">
        <f>IFERROR(VLOOKUP(DESPESAS[[#This Row],[Fornecedor]],Tabela2[],2,FALSE),"")</f>
        <v/>
      </c>
      <c r="J2786" s="77" t="str">
        <f>IFERROR(VLOOKUP(DESPESAS[[#This Row],[Plano de Contas]],BASE!$B$3:$F$119,4,FALSE),"")</f>
        <v>6 - DESPESA COM VENDAS</v>
      </c>
      <c r="K2786" s="77" t="str">
        <f>IFERROR(VLOOKUP(DESPESAS[[#This Row],[Plano de Contas]],BASE!$B$3:$H$119,5,FALSE),"")</f>
        <v>LOGÍSTICA</v>
      </c>
      <c r="L2786" s="77">
        <f>IFERROR(VLOOKUP(DESPESAS[[#This Row],[Plano de Contas]],BASE!$B$3:$H$119,6,FALSE),"")</f>
        <v>0</v>
      </c>
      <c r="M2786" s="77" t="str">
        <f>VLOOKUP(DESPESAS[[#This Row],[Plano de Contas]],BASE!$B$3:$H$119,7,FALSE)</f>
        <v>MYLENA</v>
      </c>
    </row>
    <row r="2787" spans="1:13" x14ac:dyDescent="0.25">
      <c r="A2787" s="74">
        <v>199867</v>
      </c>
      <c r="B2787" s="75" t="s">
        <v>232</v>
      </c>
      <c r="C2787" s="75" t="s">
        <v>1152</v>
      </c>
      <c r="D2787" s="76">
        <v>46111</v>
      </c>
      <c r="E2787" s="75" t="s">
        <v>703</v>
      </c>
      <c r="F2787" s="74">
        <v>621.99</v>
      </c>
      <c r="G2787" s="75" t="s">
        <v>1148</v>
      </c>
      <c r="H2787" s="77" t="str">
        <f>VLOOKUP(DESPESAS[[#This Row],[Plano de Contas]],BASE!$B$3:$D$119,3,FALSE)</f>
        <v>Pedágio Frota</v>
      </c>
      <c r="I2787" s="77" t="str">
        <f>IFERROR(VLOOKUP(DESPESAS[[#This Row],[Fornecedor]],Tabela2[],2,FALSE),"")</f>
        <v/>
      </c>
      <c r="J2787" s="77" t="str">
        <f>IFERROR(VLOOKUP(DESPESAS[[#This Row],[Plano de Contas]],BASE!$B$3:$F$119,4,FALSE),"")</f>
        <v>6 - DESPESA COM VENDAS</v>
      </c>
      <c r="K2787" s="77" t="str">
        <f>IFERROR(VLOOKUP(DESPESAS[[#This Row],[Plano de Contas]],BASE!$B$3:$H$119,5,FALSE),"")</f>
        <v>LOGÍSTICA</v>
      </c>
      <c r="L2787" s="77">
        <f>IFERROR(VLOOKUP(DESPESAS[[#This Row],[Plano de Contas]],BASE!$B$3:$H$119,6,FALSE),"")</f>
        <v>0</v>
      </c>
      <c r="M2787" s="77" t="str">
        <f>VLOOKUP(DESPESAS[[#This Row],[Plano de Contas]],BASE!$B$3:$H$119,7,FALSE)</f>
        <v>MYLENA</v>
      </c>
    </row>
    <row r="2788" spans="1:13" x14ac:dyDescent="0.25">
      <c r="A2788" s="74">
        <v>199868</v>
      </c>
      <c r="B2788" s="75" t="s">
        <v>232</v>
      </c>
      <c r="C2788" s="75" t="s">
        <v>1151</v>
      </c>
      <c r="D2788" s="76">
        <v>46111</v>
      </c>
      <c r="E2788" s="75" t="s">
        <v>703</v>
      </c>
      <c r="F2788" s="74">
        <v>2804.24</v>
      </c>
      <c r="G2788" s="75" t="s">
        <v>1148</v>
      </c>
      <c r="H2788" s="77" t="str">
        <f>VLOOKUP(DESPESAS[[#This Row],[Plano de Contas]],BASE!$B$3:$D$119,3,FALSE)</f>
        <v>Pedágio Frota</v>
      </c>
      <c r="I2788" s="77" t="str">
        <f>IFERROR(VLOOKUP(DESPESAS[[#This Row],[Fornecedor]],Tabela2[],2,FALSE),"")</f>
        <v/>
      </c>
      <c r="J2788" s="77" t="str">
        <f>IFERROR(VLOOKUP(DESPESAS[[#This Row],[Plano de Contas]],BASE!$B$3:$F$119,4,FALSE),"")</f>
        <v>6 - DESPESA COM VENDAS</v>
      </c>
      <c r="K2788" s="77" t="str">
        <f>IFERROR(VLOOKUP(DESPESAS[[#This Row],[Plano de Contas]],BASE!$B$3:$H$119,5,FALSE),"")</f>
        <v>LOGÍSTICA</v>
      </c>
      <c r="L2788" s="77">
        <f>IFERROR(VLOOKUP(DESPESAS[[#This Row],[Plano de Contas]],BASE!$B$3:$H$119,6,FALSE),"")</f>
        <v>0</v>
      </c>
      <c r="M2788" s="77" t="str">
        <f>VLOOKUP(DESPESAS[[#This Row],[Plano de Contas]],BASE!$B$3:$H$119,7,FALSE)</f>
        <v>MYLENA</v>
      </c>
    </row>
    <row r="2789" spans="1:13" x14ac:dyDescent="0.25">
      <c r="A2789" s="74">
        <v>199869</v>
      </c>
      <c r="B2789" s="75" t="s">
        <v>232</v>
      </c>
      <c r="C2789" s="75" t="s">
        <v>1150</v>
      </c>
      <c r="D2789" s="76">
        <v>46111</v>
      </c>
      <c r="E2789" s="75" t="s">
        <v>703</v>
      </c>
      <c r="F2789" s="74">
        <v>49.8</v>
      </c>
      <c r="G2789" s="75" t="s">
        <v>1148</v>
      </c>
      <c r="H2789" s="77" t="str">
        <f>VLOOKUP(DESPESAS[[#This Row],[Plano de Contas]],BASE!$B$3:$D$119,3,FALSE)</f>
        <v>Pedágio Frota</v>
      </c>
      <c r="I2789" s="77" t="str">
        <f>IFERROR(VLOOKUP(DESPESAS[[#This Row],[Fornecedor]],Tabela2[],2,FALSE),"")</f>
        <v/>
      </c>
      <c r="J2789" s="77" t="str">
        <f>IFERROR(VLOOKUP(DESPESAS[[#This Row],[Plano de Contas]],BASE!$B$3:$F$119,4,FALSE),"")</f>
        <v>6 - DESPESA COM VENDAS</v>
      </c>
      <c r="K2789" s="77" t="str">
        <f>IFERROR(VLOOKUP(DESPESAS[[#This Row],[Plano de Contas]],BASE!$B$3:$H$119,5,FALSE),"")</f>
        <v>LOGÍSTICA</v>
      </c>
      <c r="L2789" s="77">
        <f>IFERROR(VLOOKUP(DESPESAS[[#This Row],[Plano de Contas]],BASE!$B$3:$H$119,6,FALSE),"")</f>
        <v>0</v>
      </c>
      <c r="M2789" s="77" t="str">
        <f>VLOOKUP(DESPESAS[[#This Row],[Plano de Contas]],BASE!$B$3:$H$119,7,FALSE)</f>
        <v>MYLENA</v>
      </c>
    </row>
    <row r="2790" spans="1:13" x14ac:dyDescent="0.25">
      <c r="A2790" s="74">
        <v>199870</v>
      </c>
      <c r="B2790" s="75" t="s">
        <v>232</v>
      </c>
      <c r="C2790" s="75" t="s">
        <v>1149</v>
      </c>
      <c r="D2790" s="76">
        <v>46111</v>
      </c>
      <c r="E2790" s="75" t="s">
        <v>703</v>
      </c>
      <c r="F2790" s="74">
        <v>192.71</v>
      </c>
      <c r="G2790" s="75" t="s">
        <v>1148</v>
      </c>
      <c r="H2790" s="77" t="str">
        <f>VLOOKUP(DESPESAS[[#This Row],[Plano de Contas]],BASE!$B$3:$D$119,3,FALSE)</f>
        <v>Pedágio Frota</v>
      </c>
      <c r="I2790" s="77" t="str">
        <f>IFERROR(VLOOKUP(DESPESAS[[#This Row],[Fornecedor]],Tabela2[],2,FALSE),"")</f>
        <v/>
      </c>
      <c r="J2790" s="77" t="str">
        <f>IFERROR(VLOOKUP(DESPESAS[[#This Row],[Plano de Contas]],BASE!$B$3:$F$119,4,FALSE),"")</f>
        <v>6 - DESPESA COM VENDAS</v>
      </c>
      <c r="K2790" s="77" t="str">
        <f>IFERROR(VLOOKUP(DESPESAS[[#This Row],[Plano de Contas]],BASE!$B$3:$H$119,5,FALSE),"")</f>
        <v>LOGÍSTICA</v>
      </c>
      <c r="L2790" s="77">
        <f>IFERROR(VLOOKUP(DESPESAS[[#This Row],[Plano de Contas]],BASE!$B$3:$H$119,6,FALSE),"")</f>
        <v>0</v>
      </c>
      <c r="M2790" s="77" t="str">
        <f>VLOOKUP(DESPESAS[[#This Row],[Plano de Contas]],BASE!$B$3:$H$119,7,FALSE)</f>
        <v>MYLENA</v>
      </c>
    </row>
    <row r="2791" spans="1:13" x14ac:dyDescent="0.25">
      <c r="A2791" s="74">
        <v>199871</v>
      </c>
      <c r="B2791" s="75" t="s">
        <v>232</v>
      </c>
      <c r="C2791" s="75" t="s">
        <v>704</v>
      </c>
      <c r="D2791" s="76">
        <v>46111</v>
      </c>
      <c r="E2791" s="75" t="s">
        <v>703</v>
      </c>
      <c r="F2791" s="74">
        <v>16.73</v>
      </c>
      <c r="G2791" s="75" t="s">
        <v>1148</v>
      </c>
      <c r="H2791" s="77" t="str">
        <f>VLOOKUP(DESPESAS[[#This Row],[Plano de Contas]],BASE!$B$3:$D$119,3,FALSE)</f>
        <v>Pedágio Frota</v>
      </c>
      <c r="I2791" s="77" t="str">
        <f>IFERROR(VLOOKUP(DESPESAS[[#This Row],[Fornecedor]],Tabela2[],2,FALSE),"")</f>
        <v/>
      </c>
      <c r="J2791" s="77" t="str">
        <f>IFERROR(VLOOKUP(DESPESAS[[#This Row],[Plano de Contas]],BASE!$B$3:$F$119,4,FALSE),"")</f>
        <v>6 - DESPESA COM VENDAS</v>
      </c>
      <c r="K2791" s="77" t="str">
        <f>IFERROR(VLOOKUP(DESPESAS[[#This Row],[Plano de Contas]],BASE!$B$3:$H$119,5,FALSE),"")</f>
        <v>LOGÍSTICA</v>
      </c>
      <c r="L2791" s="77">
        <f>IFERROR(VLOOKUP(DESPESAS[[#This Row],[Plano de Contas]],BASE!$B$3:$H$119,6,FALSE),"")</f>
        <v>0</v>
      </c>
      <c r="M2791" s="77" t="str">
        <f>VLOOKUP(DESPESAS[[#This Row],[Plano de Contas]],BASE!$B$3:$H$119,7,FALSE)</f>
        <v>MYLENA</v>
      </c>
    </row>
    <row r="2792" spans="1:13" x14ac:dyDescent="0.25">
      <c r="A2792" s="74">
        <v>199872</v>
      </c>
      <c r="B2792" s="75" t="s">
        <v>232</v>
      </c>
      <c r="C2792" s="75" t="s">
        <v>1147</v>
      </c>
      <c r="D2792" s="76">
        <v>46107</v>
      </c>
      <c r="E2792" s="75" t="s">
        <v>573</v>
      </c>
      <c r="F2792" s="74">
        <v>1096.2</v>
      </c>
      <c r="G2792" s="75" t="s">
        <v>572</v>
      </c>
      <c r="H2792" s="77" t="str">
        <f>VLOOKUP(DESPESAS[[#This Row],[Plano de Contas]],BASE!$B$3:$D$119,3,FALSE)</f>
        <v>Comissões sobre Vendas Externo</v>
      </c>
      <c r="I2792" s="77" t="str">
        <f>IFERROR(VLOOKUP(DESPESAS[[#This Row],[Fornecedor]],Tabela2[],2,FALSE),"")</f>
        <v/>
      </c>
      <c r="J2792" s="77" t="str">
        <f>IFERROR(VLOOKUP(DESPESAS[[#This Row],[Plano de Contas]],BASE!$B$3:$F$119,4,FALSE),"")</f>
        <v>6 - DESPESA COM VENDAS</v>
      </c>
      <c r="K2792" s="77" t="str">
        <f>IFERROR(VLOOKUP(DESPESAS[[#This Row],[Plano de Contas]],BASE!$B$3:$H$119,5,FALSE),"")</f>
        <v>COMERCIAL</v>
      </c>
      <c r="L2792" s="77">
        <f>IFERROR(VLOOKUP(DESPESAS[[#This Row],[Plano de Contas]],BASE!$B$3:$H$119,6,FALSE),"")</f>
        <v>0</v>
      </c>
      <c r="M2792" s="77" t="str">
        <f>VLOOKUP(DESPESAS[[#This Row],[Plano de Contas]],BASE!$B$3:$H$119,7,FALSE)</f>
        <v>LETÍCIA</v>
      </c>
    </row>
    <row r="2793" spans="1:13" x14ac:dyDescent="0.25">
      <c r="A2793" s="74">
        <v>199873</v>
      </c>
      <c r="B2793" s="75" t="s">
        <v>232</v>
      </c>
      <c r="C2793" s="75" t="s">
        <v>1147</v>
      </c>
      <c r="D2793" s="76">
        <v>46107</v>
      </c>
      <c r="E2793" s="75" t="s">
        <v>790</v>
      </c>
      <c r="F2793" s="74">
        <v>1469.98</v>
      </c>
      <c r="G2793" s="75" t="s">
        <v>572</v>
      </c>
      <c r="H2793" s="77" t="str">
        <f>VLOOKUP(DESPESAS[[#This Row],[Plano de Contas]],BASE!$B$3:$D$119,3,FALSE)</f>
        <v>Comissões sobre Vendas Externo</v>
      </c>
      <c r="I2793" s="77" t="str">
        <f>IFERROR(VLOOKUP(DESPESAS[[#This Row],[Fornecedor]],Tabela2[],2,FALSE),"")</f>
        <v/>
      </c>
      <c r="J2793" s="77" t="str">
        <f>IFERROR(VLOOKUP(DESPESAS[[#This Row],[Plano de Contas]],BASE!$B$3:$F$119,4,FALSE),"")</f>
        <v>6 - DESPESA COM VENDAS</v>
      </c>
      <c r="K2793" s="77" t="str">
        <f>IFERROR(VLOOKUP(DESPESAS[[#This Row],[Plano de Contas]],BASE!$B$3:$H$119,5,FALSE),"")</f>
        <v>COMERCIAL</v>
      </c>
      <c r="L2793" s="77">
        <f>IFERROR(VLOOKUP(DESPESAS[[#This Row],[Plano de Contas]],BASE!$B$3:$H$119,6,FALSE),"")</f>
        <v>0</v>
      </c>
      <c r="M2793" s="77" t="str">
        <f>VLOOKUP(DESPESAS[[#This Row],[Plano de Contas]],BASE!$B$3:$H$119,7,FALSE)</f>
        <v>LETÍCIA</v>
      </c>
    </row>
    <row r="2794" spans="1:13" x14ac:dyDescent="0.25">
      <c r="A2794" s="74">
        <v>199874</v>
      </c>
      <c r="B2794" s="75" t="s">
        <v>232</v>
      </c>
      <c r="C2794" s="75" t="s">
        <v>1147</v>
      </c>
      <c r="D2794" s="76">
        <v>46107</v>
      </c>
      <c r="E2794" s="75" t="s">
        <v>789</v>
      </c>
      <c r="F2794" s="74">
        <v>9591.08</v>
      </c>
      <c r="G2794" s="75" t="s">
        <v>572</v>
      </c>
      <c r="H2794" s="77" t="str">
        <f>VLOOKUP(DESPESAS[[#This Row],[Plano de Contas]],BASE!$B$3:$D$119,3,FALSE)</f>
        <v>Comissões sobre Vendas Externo</v>
      </c>
      <c r="I2794" s="77" t="str">
        <f>IFERROR(VLOOKUP(DESPESAS[[#This Row],[Fornecedor]],Tabela2[],2,FALSE),"")</f>
        <v/>
      </c>
      <c r="J2794" s="77" t="str">
        <f>IFERROR(VLOOKUP(DESPESAS[[#This Row],[Plano de Contas]],BASE!$B$3:$F$119,4,FALSE),"")</f>
        <v>6 - DESPESA COM VENDAS</v>
      </c>
      <c r="K2794" s="77" t="str">
        <f>IFERROR(VLOOKUP(DESPESAS[[#This Row],[Plano de Contas]],BASE!$B$3:$H$119,5,FALSE),"")</f>
        <v>COMERCIAL</v>
      </c>
      <c r="L2794" s="77">
        <f>IFERROR(VLOOKUP(DESPESAS[[#This Row],[Plano de Contas]],BASE!$B$3:$H$119,6,FALSE),"")</f>
        <v>0</v>
      </c>
      <c r="M2794" s="77" t="str">
        <f>VLOOKUP(DESPESAS[[#This Row],[Plano de Contas]],BASE!$B$3:$H$119,7,FALSE)</f>
        <v>LETÍCIA</v>
      </c>
    </row>
    <row r="2795" spans="1:13" x14ac:dyDescent="0.25">
      <c r="A2795" s="74">
        <v>199875</v>
      </c>
      <c r="B2795" s="75" t="s">
        <v>232</v>
      </c>
      <c r="C2795" s="75" t="s">
        <v>1147</v>
      </c>
      <c r="D2795" s="76">
        <v>46107</v>
      </c>
      <c r="E2795" s="75" t="s">
        <v>788</v>
      </c>
      <c r="F2795" s="74">
        <v>2354.7800000000002</v>
      </c>
      <c r="G2795" s="75" t="s">
        <v>572</v>
      </c>
      <c r="H2795" s="77" t="str">
        <f>VLOOKUP(DESPESAS[[#This Row],[Plano de Contas]],BASE!$B$3:$D$119,3,FALSE)</f>
        <v>Comissões sobre Vendas Externo</v>
      </c>
      <c r="I2795" s="77" t="str">
        <f>IFERROR(VLOOKUP(DESPESAS[[#This Row],[Fornecedor]],Tabela2[],2,FALSE),"")</f>
        <v/>
      </c>
      <c r="J2795" s="77" t="str">
        <f>IFERROR(VLOOKUP(DESPESAS[[#This Row],[Plano de Contas]],BASE!$B$3:$F$119,4,FALSE),"")</f>
        <v>6 - DESPESA COM VENDAS</v>
      </c>
      <c r="K2795" s="77" t="str">
        <f>IFERROR(VLOOKUP(DESPESAS[[#This Row],[Plano de Contas]],BASE!$B$3:$H$119,5,FALSE),"")</f>
        <v>COMERCIAL</v>
      </c>
      <c r="L2795" s="77">
        <f>IFERROR(VLOOKUP(DESPESAS[[#This Row],[Plano de Contas]],BASE!$B$3:$H$119,6,FALSE),"")</f>
        <v>0</v>
      </c>
      <c r="M2795" s="77" t="str">
        <f>VLOOKUP(DESPESAS[[#This Row],[Plano de Contas]],BASE!$B$3:$H$119,7,FALSE)</f>
        <v>LETÍCIA</v>
      </c>
    </row>
    <row r="2796" spans="1:13" x14ac:dyDescent="0.25">
      <c r="A2796" s="74">
        <v>199876</v>
      </c>
      <c r="B2796" s="75" t="s">
        <v>232</v>
      </c>
      <c r="C2796" s="75" t="s">
        <v>1147</v>
      </c>
      <c r="D2796" s="76">
        <v>46107</v>
      </c>
      <c r="E2796" s="75" t="s">
        <v>787</v>
      </c>
      <c r="F2796" s="74">
        <v>505.25</v>
      </c>
      <c r="G2796" s="75" t="s">
        <v>572</v>
      </c>
      <c r="H2796" s="77" t="str">
        <f>VLOOKUP(DESPESAS[[#This Row],[Plano de Contas]],BASE!$B$3:$D$119,3,FALSE)</f>
        <v>Comissões sobre Vendas Externo</v>
      </c>
      <c r="I2796" s="77" t="str">
        <f>IFERROR(VLOOKUP(DESPESAS[[#This Row],[Fornecedor]],Tabela2[],2,FALSE),"")</f>
        <v/>
      </c>
      <c r="J2796" s="77" t="str">
        <f>IFERROR(VLOOKUP(DESPESAS[[#This Row],[Plano de Contas]],BASE!$B$3:$F$119,4,FALSE),"")</f>
        <v>6 - DESPESA COM VENDAS</v>
      </c>
      <c r="K2796" s="77" t="str">
        <f>IFERROR(VLOOKUP(DESPESAS[[#This Row],[Plano de Contas]],BASE!$B$3:$H$119,5,FALSE),"")</f>
        <v>COMERCIAL</v>
      </c>
      <c r="L2796" s="77">
        <f>IFERROR(VLOOKUP(DESPESAS[[#This Row],[Plano de Contas]],BASE!$B$3:$H$119,6,FALSE),"")</f>
        <v>0</v>
      </c>
      <c r="M2796" s="77" t="str">
        <f>VLOOKUP(DESPESAS[[#This Row],[Plano de Contas]],BASE!$B$3:$H$119,7,FALSE)</f>
        <v>LETÍCIA</v>
      </c>
    </row>
    <row r="2797" spans="1:13" x14ac:dyDescent="0.25">
      <c r="A2797" s="74">
        <v>199877</v>
      </c>
      <c r="B2797" s="75" t="s">
        <v>232</v>
      </c>
      <c r="C2797" s="75" t="s">
        <v>1147</v>
      </c>
      <c r="D2797" s="76">
        <v>46107</v>
      </c>
      <c r="E2797" s="75" t="s">
        <v>786</v>
      </c>
      <c r="F2797" s="74">
        <v>421.67</v>
      </c>
      <c r="G2797" s="75" t="s">
        <v>572</v>
      </c>
      <c r="H2797" s="77" t="str">
        <f>VLOOKUP(DESPESAS[[#This Row],[Plano de Contas]],BASE!$B$3:$D$119,3,FALSE)</f>
        <v>Comissões sobre Vendas Externo</v>
      </c>
      <c r="I2797" s="77" t="str">
        <f>IFERROR(VLOOKUP(DESPESAS[[#This Row],[Fornecedor]],Tabela2[],2,FALSE),"")</f>
        <v/>
      </c>
      <c r="J2797" s="77" t="str">
        <f>IFERROR(VLOOKUP(DESPESAS[[#This Row],[Plano de Contas]],BASE!$B$3:$F$119,4,FALSE),"")</f>
        <v>6 - DESPESA COM VENDAS</v>
      </c>
      <c r="K2797" s="77" t="str">
        <f>IFERROR(VLOOKUP(DESPESAS[[#This Row],[Plano de Contas]],BASE!$B$3:$H$119,5,FALSE),"")</f>
        <v>COMERCIAL</v>
      </c>
      <c r="L2797" s="77">
        <f>IFERROR(VLOOKUP(DESPESAS[[#This Row],[Plano de Contas]],BASE!$B$3:$H$119,6,FALSE),"")</f>
        <v>0</v>
      </c>
      <c r="M2797" s="77" t="str">
        <f>VLOOKUP(DESPESAS[[#This Row],[Plano de Contas]],BASE!$B$3:$H$119,7,FALSE)</f>
        <v>LETÍCIA</v>
      </c>
    </row>
    <row r="2798" spans="1:13" x14ac:dyDescent="0.25">
      <c r="A2798" s="74">
        <v>199878</v>
      </c>
      <c r="B2798" s="75" t="s">
        <v>232</v>
      </c>
      <c r="C2798" s="75" t="s">
        <v>1147</v>
      </c>
      <c r="D2798" s="76">
        <v>46107</v>
      </c>
      <c r="E2798" s="75" t="s">
        <v>785</v>
      </c>
      <c r="F2798" s="74">
        <v>6073.86</v>
      </c>
      <c r="G2798" s="75" t="s">
        <v>572</v>
      </c>
      <c r="H2798" s="77" t="str">
        <f>VLOOKUP(DESPESAS[[#This Row],[Plano de Contas]],BASE!$B$3:$D$119,3,FALSE)</f>
        <v>Comissões sobre Vendas Externo</v>
      </c>
      <c r="I2798" s="77" t="str">
        <f>IFERROR(VLOOKUP(DESPESAS[[#This Row],[Fornecedor]],Tabela2[],2,FALSE),"")</f>
        <v/>
      </c>
      <c r="J2798" s="77" t="str">
        <f>IFERROR(VLOOKUP(DESPESAS[[#This Row],[Plano de Contas]],BASE!$B$3:$F$119,4,FALSE),"")</f>
        <v>6 - DESPESA COM VENDAS</v>
      </c>
      <c r="K2798" s="77" t="str">
        <f>IFERROR(VLOOKUP(DESPESAS[[#This Row],[Plano de Contas]],BASE!$B$3:$H$119,5,FALSE),"")</f>
        <v>COMERCIAL</v>
      </c>
      <c r="L2798" s="77">
        <f>IFERROR(VLOOKUP(DESPESAS[[#This Row],[Plano de Contas]],BASE!$B$3:$H$119,6,FALSE),"")</f>
        <v>0</v>
      </c>
      <c r="M2798" s="77" t="str">
        <f>VLOOKUP(DESPESAS[[#This Row],[Plano de Contas]],BASE!$B$3:$H$119,7,FALSE)</f>
        <v>LETÍCIA</v>
      </c>
    </row>
    <row r="2799" spans="1:13" x14ac:dyDescent="0.25">
      <c r="A2799" s="74">
        <v>199879</v>
      </c>
      <c r="B2799" s="75" t="s">
        <v>232</v>
      </c>
      <c r="C2799" s="75" t="s">
        <v>1147</v>
      </c>
      <c r="D2799" s="76">
        <v>46107</v>
      </c>
      <c r="E2799" s="75" t="s">
        <v>784</v>
      </c>
      <c r="F2799" s="74">
        <v>3861.41</v>
      </c>
      <c r="G2799" s="75" t="s">
        <v>572</v>
      </c>
      <c r="H2799" s="77" t="str">
        <f>VLOOKUP(DESPESAS[[#This Row],[Plano de Contas]],BASE!$B$3:$D$119,3,FALSE)</f>
        <v>Comissões sobre Vendas Externo</v>
      </c>
      <c r="I2799" s="77" t="str">
        <f>IFERROR(VLOOKUP(DESPESAS[[#This Row],[Fornecedor]],Tabela2[],2,FALSE),"")</f>
        <v/>
      </c>
      <c r="J2799" s="77" t="str">
        <f>IFERROR(VLOOKUP(DESPESAS[[#This Row],[Plano de Contas]],BASE!$B$3:$F$119,4,FALSE),"")</f>
        <v>6 - DESPESA COM VENDAS</v>
      </c>
      <c r="K2799" s="77" t="str">
        <f>IFERROR(VLOOKUP(DESPESAS[[#This Row],[Plano de Contas]],BASE!$B$3:$H$119,5,FALSE),"")</f>
        <v>COMERCIAL</v>
      </c>
      <c r="L2799" s="77">
        <f>IFERROR(VLOOKUP(DESPESAS[[#This Row],[Plano de Contas]],BASE!$B$3:$H$119,6,FALSE),"")</f>
        <v>0</v>
      </c>
      <c r="M2799" s="77" t="str">
        <f>VLOOKUP(DESPESAS[[#This Row],[Plano de Contas]],BASE!$B$3:$H$119,7,FALSE)</f>
        <v>LETÍCIA</v>
      </c>
    </row>
    <row r="2800" spans="1:13" x14ac:dyDescent="0.25">
      <c r="A2800" s="74">
        <v>199880</v>
      </c>
      <c r="B2800" s="75" t="s">
        <v>232</v>
      </c>
      <c r="C2800" s="75" t="s">
        <v>1147</v>
      </c>
      <c r="D2800" s="76">
        <v>46107</v>
      </c>
      <c r="E2800" s="75" t="s">
        <v>791</v>
      </c>
      <c r="F2800" s="74">
        <v>2952.21</v>
      </c>
      <c r="G2800" s="75" t="s">
        <v>572</v>
      </c>
      <c r="H2800" s="77" t="str">
        <f>VLOOKUP(DESPESAS[[#This Row],[Plano de Contas]],BASE!$B$3:$D$119,3,FALSE)</f>
        <v>Comissões sobre Vendas Externo</v>
      </c>
      <c r="I2800" s="77" t="str">
        <f>IFERROR(VLOOKUP(DESPESAS[[#This Row],[Fornecedor]],Tabela2[],2,FALSE),"")</f>
        <v/>
      </c>
      <c r="J2800" s="77" t="str">
        <f>IFERROR(VLOOKUP(DESPESAS[[#This Row],[Plano de Contas]],BASE!$B$3:$F$119,4,FALSE),"")</f>
        <v>6 - DESPESA COM VENDAS</v>
      </c>
      <c r="K2800" s="77" t="str">
        <f>IFERROR(VLOOKUP(DESPESAS[[#This Row],[Plano de Contas]],BASE!$B$3:$H$119,5,FALSE),"")</f>
        <v>COMERCIAL</v>
      </c>
      <c r="L2800" s="77">
        <f>IFERROR(VLOOKUP(DESPESAS[[#This Row],[Plano de Contas]],BASE!$B$3:$H$119,6,FALSE),"")</f>
        <v>0</v>
      </c>
      <c r="M2800" s="77" t="str">
        <f>VLOOKUP(DESPESAS[[#This Row],[Plano de Contas]],BASE!$B$3:$H$119,7,FALSE)</f>
        <v>LETÍCIA</v>
      </c>
    </row>
    <row r="2801" spans="1:13" x14ac:dyDescent="0.25">
      <c r="A2801" s="74">
        <v>199881</v>
      </c>
      <c r="B2801" s="75" t="s">
        <v>221</v>
      </c>
      <c r="C2801" s="75" t="s">
        <v>1147</v>
      </c>
      <c r="D2801" s="76">
        <v>46107</v>
      </c>
      <c r="E2801" s="75" t="s">
        <v>573</v>
      </c>
      <c r="F2801" s="74">
        <v>98.25</v>
      </c>
      <c r="G2801" s="75" t="s">
        <v>572</v>
      </c>
      <c r="H2801" s="77" t="str">
        <f>VLOOKUP(DESPESAS[[#This Row],[Plano de Contas]],BASE!$B$3:$D$119,3,FALSE)</f>
        <v>Comissões sobre Vendas Externo</v>
      </c>
      <c r="I2801" s="77" t="str">
        <f>IFERROR(VLOOKUP(DESPESAS[[#This Row],[Fornecedor]],Tabela2[],2,FALSE),"")</f>
        <v/>
      </c>
      <c r="J2801" s="77" t="str">
        <f>IFERROR(VLOOKUP(DESPESAS[[#This Row],[Plano de Contas]],BASE!$B$3:$F$119,4,FALSE),"")</f>
        <v>6 - DESPESA COM VENDAS</v>
      </c>
      <c r="K2801" s="77" t="str">
        <f>IFERROR(VLOOKUP(DESPESAS[[#This Row],[Plano de Contas]],BASE!$B$3:$H$119,5,FALSE),"")</f>
        <v>COMERCIAL</v>
      </c>
      <c r="L2801" s="77">
        <f>IFERROR(VLOOKUP(DESPESAS[[#This Row],[Plano de Contas]],BASE!$B$3:$H$119,6,FALSE),"")</f>
        <v>0</v>
      </c>
      <c r="M2801" s="77" t="str">
        <f>VLOOKUP(DESPESAS[[#This Row],[Plano de Contas]],BASE!$B$3:$H$119,7,FALSE)</f>
        <v>LETÍCIA</v>
      </c>
    </row>
    <row r="2802" spans="1:13" x14ac:dyDescent="0.25">
      <c r="A2802" s="74">
        <v>199882</v>
      </c>
      <c r="B2802" s="75" t="s">
        <v>221</v>
      </c>
      <c r="C2802" s="75" t="s">
        <v>1147</v>
      </c>
      <c r="D2802" s="76">
        <v>46107</v>
      </c>
      <c r="E2802" s="75" t="s">
        <v>790</v>
      </c>
      <c r="F2802" s="74">
        <v>344.37</v>
      </c>
      <c r="G2802" s="75" t="s">
        <v>572</v>
      </c>
      <c r="H2802" s="77" t="str">
        <f>VLOOKUP(DESPESAS[[#This Row],[Plano de Contas]],BASE!$B$3:$D$119,3,FALSE)</f>
        <v>Comissões sobre Vendas Externo</v>
      </c>
      <c r="I2802" s="77" t="str">
        <f>IFERROR(VLOOKUP(DESPESAS[[#This Row],[Fornecedor]],Tabela2[],2,FALSE),"")</f>
        <v/>
      </c>
      <c r="J2802" s="77" t="str">
        <f>IFERROR(VLOOKUP(DESPESAS[[#This Row],[Plano de Contas]],BASE!$B$3:$F$119,4,FALSE),"")</f>
        <v>6 - DESPESA COM VENDAS</v>
      </c>
      <c r="K2802" s="77" t="str">
        <f>IFERROR(VLOOKUP(DESPESAS[[#This Row],[Plano de Contas]],BASE!$B$3:$H$119,5,FALSE),"")</f>
        <v>COMERCIAL</v>
      </c>
      <c r="L2802" s="77">
        <f>IFERROR(VLOOKUP(DESPESAS[[#This Row],[Plano de Contas]],BASE!$B$3:$H$119,6,FALSE),"")</f>
        <v>0</v>
      </c>
      <c r="M2802" s="77" t="str">
        <f>VLOOKUP(DESPESAS[[#This Row],[Plano de Contas]],BASE!$B$3:$H$119,7,FALSE)</f>
        <v>LETÍCIA</v>
      </c>
    </row>
    <row r="2803" spans="1:13" x14ac:dyDescent="0.25">
      <c r="A2803" s="74">
        <v>199883</v>
      </c>
      <c r="B2803" s="75" t="s">
        <v>221</v>
      </c>
      <c r="C2803" s="75" t="s">
        <v>1147</v>
      </c>
      <c r="D2803" s="76">
        <v>46107</v>
      </c>
      <c r="E2803" s="75" t="s">
        <v>789</v>
      </c>
      <c r="F2803" s="74">
        <v>2228.2199999999998</v>
      </c>
      <c r="G2803" s="75" t="s">
        <v>572</v>
      </c>
      <c r="H2803" s="77" t="str">
        <f>VLOOKUP(DESPESAS[[#This Row],[Plano de Contas]],BASE!$B$3:$D$119,3,FALSE)</f>
        <v>Comissões sobre Vendas Externo</v>
      </c>
      <c r="I2803" s="77" t="str">
        <f>IFERROR(VLOOKUP(DESPESAS[[#This Row],[Fornecedor]],Tabela2[],2,FALSE),"")</f>
        <v/>
      </c>
      <c r="J2803" s="77" t="str">
        <f>IFERROR(VLOOKUP(DESPESAS[[#This Row],[Plano de Contas]],BASE!$B$3:$F$119,4,FALSE),"")</f>
        <v>6 - DESPESA COM VENDAS</v>
      </c>
      <c r="K2803" s="77" t="str">
        <f>IFERROR(VLOOKUP(DESPESAS[[#This Row],[Plano de Contas]],BASE!$B$3:$H$119,5,FALSE),"")</f>
        <v>COMERCIAL</v>
      </c>
      <c r="L2803" s="77">
        <f>IFERROR(VLOOKUP(DESPESAS[[#This Row],[Plano de Contas]],BASE!$B$3:$H$119,6,FALSE),"")</f>
        <v>0</v>
      </c>
      <c r="M2803" s="77" t="str">
        <f>VLOOKUP(DESPESAS[[#This Row],[Plano de Contas]],BASE!$B$3:$H$119,7,FALSE)</f>
        <v>LETÍCIA</v>
      </c>
    </row>
    <row r="2804" spans="1:13" x14ac:dyDescent="0.25">
      <c r="A2804" s="74">
        <v>199884</v>
      </c>
      <c r="B2804" s="75" t="s">
        <v>221</v>
      </c>
      <c r="C2804" s="75" t="s">
        <v>1147</v>
      </c>
      <c r="D2804" s="76">
        <v>46107</v>
      </c>
      <c r="E2804" s="75" t="s">
        <v>785</v>
      </c>
      <c r="F2804" s="74">
        <v>417.64</v>
      </c>
      <c r="G2804" s="75" t="s">
        <v>572</v>
      </c>
      <c r="H2804" s="77" t="str">
        <f>VLOOKUP(DESPESAS[[#This Row],[Plano de Contas]],BASE!$B$3:$D$119,3,FALSE)</f>
        <v>Comissões sobre Vendas Externo</v>
      </c>
      <c r="I2804" s="77" t="str">
        <f>IFERROR(VLOOKUP(DESPESAS[[#This Row],[Fornecedor]],Tabela2[],2,FALSE),"")</f>
        <v/>
      </c>
      <c r="J2804" s="77" t="str">
        <f>IFERROR(VLOOKUP(DESPESAS[[#This Row],[Plano de Contas]],BASE!$B$3:$F$119,4,FALSE),"")</f>
        <v>6 - DESPESA COM VENDAS</v>
      </c>
      <c r="K2804" s="77" t="str">
        <f>IFERROR(VLOOKUP(DESPESAS[[#This Row],[Plano de Contas]],BASE!$B$3:$H$119,5,FALSE),"")</f>
        <v>COMERCIAL</v>
      </c>
      <c r="L2804" s="77">
        <f>IFERROR(VLOOKUP(DESPESAS[[#This Row],[Plano de Contas]],BASE!$B$3:$H$119,6,FALSE),"")</f>
        <v>0</v>
      </c>
      <c r="M2804" s="77" t="str">
        <f>VLOOKUP(DESPESAS[[#This Row],[Plano de Contas]],BASE!$B$3:$H$119,7,FALSE)</f>
        <v>LETÍCIA</v>
      </c>
    </row>
    <row r="2805" spans="1:13" x14ac:dyDescent="0.25">
      <c r="A2805" s="74">
        <v>199885</v>
      </c>
      <c r="B2805" s="75" t="s">
        <v>221</v>
      </c>
      <c r="C2805" s="75" t="s">
        <v>1147</v>
      </c>
      <c r="D2805" s="76">
        <v>46107</v>
      </c>
      <c r="E2805" s="75" t="s">
        <v>784</v>
      </c>
      <c r="F2805" s="74">
        <v>2486.23</v>
      </c>
      <c r="G2805" s="75" t="s">
        <v>572</v>
      </c>
      <c r="H2805" s="77" t="str">
        <f>VLOOKUP(DESPESAS[[#This Row],[Plano de Contas]],BASE!$B$3:$D$119,3,FALSE)</f>
        <v>Comissões sobre Vendas Externo</v>
      </c>
      <c r="I2805" s="77" t="str">
        <f>IFERROR(VLOOKUP(DESPESAS[[#This Row],[Fornecedor]],Tabela2[],2,FALSE),"")</f>
        <v/>
      </c>
      <c r="J2805" s="77" t="str">
        <f>IFERROR(VLOOKUP(DESPESAS[[#This Row],[Plano de Contas]],BASE!$B$3:$F$119,4,FALSE),"")</f>
        <v>6 - DESPESA COM VENDAS</v>
      </c>
      <c r="K2805" s="77" t="str">
        <f>IFERROR(VLOOKUP(DESPESAS[[#This Row],[Plano de Contas]],BASE!$B$3:$H$119,5,FALSE),"")</f>
        <v>COMERCIAL</v>
      </c>
      <c r="L2805" s="77">
        <f>IFERROR(VLOOKUP(DESPESAS[[#This Row],[Plano de Contas]],BASE!$B$3:$H$119,6,FALSE),"")</f>
        <v>0</v>
      </c>
      <c r="M2805" s="77" t="str">
        <f>VLOOKUP(DESPESAS[[#This Row],[Plano de Contas]],BASE!$B$3:$H$119,7,FALSE)</f>
        <v>LETÍCIA</v>
      </c>
    </row>
    <row r="2806" spans="1:13" x14ac:dyDescent="0.25">
      <c r="A2806" s="74">
        <v>199886</v>
      </c>
      <c r="B2806" s="75" t="s">
        <v>221</v>
      </c>
      <c r="C2806" s="75" t="s">
        <v>1147</v>
      </c>
      <c r="D2806" s="76">
        <v>46107</v>
      </c>
      <c r="E2806" s="75" t="s">
        <v>791</v>
      </c>
      <c r="F2806" s="74">
        <v>873.88</v>
      </c>
      <c r="G2806" s="75" t="s">
        <v>572</v>
      </c>
      <c r="H2806" s="77" t="str">
        <f>VLOOKUP(DESPESAS[[#This Row],[Plano de Contas]],BASE!$B$3:$D$119,3,FALSE)</f>
        <v>Comissões sobre Vendas Externo</v>
      </c>
      <c r="I2806" s="77" t="str">
        <f>IFERROR(VLOOKUP(DESPESAS[[#This Row],[Fornecedor]],Tabela2[],2,FALSE),"")</f>
        <v/>
      </c>
      <c r="J2806" s="77" t="str">
        <f>IFERROR(VLOOKUP(DESPESAS[[#This Row],[Plano de Contas]],BASE!$B$3:$F$119,4,FALSE),"")</f>
        <v>6 - DESPESA COM VENDAS</v>
      </c>
      <c r="K2806" s="77" t="str">
        <f>IFERROR(VLOOKUP(DESPESAS[[#This Row],[Plano de Contas]],BASE!$B$3:$H$119,5,FALSE),"")</f>
        <v>COMERCIAL</v>
      </c>
      <c r="L2806" s="77">
        <f>IFERROR(VLOOKUP(DESPESAS[[#This Row],[Plano de Contas]],BASE!$B$3:$H$119,6,FALSE),"")</f>
        <v>0</v>
      </c>
      <c r="M2806" s="77" t="str">
        <f>VLOOKUP(DESPESAS[[#This Row],[Plano de Contas]],BASE!$B$3:$H$119,7,FALSE)</f>
        <v>LETÍCIA</v>
      </c>
    </row>
    <row r="2807" spans="1:13" x14ac:dyDescent="0.25">
      <c r="A2807" s="74">
        <v>199887</v>
      </c>
      <c r="B2807" s="75" t="s">
        <v>281</v>
      </c>
      <c r="C2807" s="75" t="s">
        <v>1147</v>
      </c>
      <c r="D2807" s="76">
        <v>46107</v>
      </c>
      <c r="E2807" s="75" t="s">
        <v>573</v>
      </c>
      <c r="F2807" s="74">
        <v>617.5</v>
      </c>
      <c r="G2807" s="75" t="s">
        <v>572</v>
      </c>
      <c r="H2807" s="77" t="str">
        <f>VLOOKUP(DESPESAS[[#This Row],[Plano de Contas]],BASE!$B$3:$D$119,3,FALSE)</f>
        <v>Comissões sobre Vendas Externo</v>
      </c>
      <c r="I2807" s="77" t="str">
        <f>IFERROR(VLOOKUP(DESPESAS[[#This Row],[Fornecedor]],Tabela2[],2,FALSE),"")</f>
        <v/>
      </c>
      <c r="J2807" s="77" t="str">
        <f>IFERROR(VLOOKUP(DESPESAS[[#This Row],[Plano de Contas]],BASE!$B$3:$F$119,4,FALSE),"")</f>
        <v>6 - DESPESA COM VENDAS</v>
      </c>
      <c r="K2807" s="77" t="str">
        <f>IFERROR(VLOOKUP(DESPESAS[[#This Row],[Plano de Contas]],BASE!$B$3:$H$119,5,FALSE),"")</f>
        <v>COMERCIAL</v>
      </c>
      <c r="L2807" s="77">
        <f>IFERROR(VLOOKUP(DESPESAS[[#This Row],[Plano de Contas]],BASE!$B$3:$H$119,6,FALSE),"")</f>
        <v>0</v>
      </c>
      <c r="M2807" s="77" t="str">
        <f>VLOOKUP(DESPESAS[[#This Row],[Plano de Contas]],BASE!$B$3:$H$119,7,FALSE)</f>
        <v>LETÍCIA</v>
      </c>
    </row>
    <row r="2808" spans="1:13" x14ac:dyDescent="0.25">
      <c r="A2808" s="74">
        <v>199888</v>
      </c>
      <c r="B2808" s="75" t="s">
        <v>281</v>
      </c>
      <c r="C2808" s="75" t="s">
        <v>1147</v>
      </c>
      <c r="D2808" s="76">
        <v>46107</v>
      </c>
      <c r="E2808" s="75" t="s">
        <v>790</v>
      </c>
      <c r="F2808" s="74">
        <v>650.33000000000004</v>
      </c>
      <c r="G2808" s="75" t="s">
        <v>572</v>
      </c>
      <c r="H2808" s="77" t="str">
        <f>VLOOKUP(DESPESAS[[#This Row],[Plano de Contas]],BASE!$B$3:$D$119,3,FALSE)</f>
        <v>Comissões sobre Vendas Externo</v>
      </c>
      <c r="I2808" s="77" t="str">
        <f>IFERROR(VLOOKUP(DESPESAS[[#This Row],[Fornecedor]],Tabela2[],2,FALSE),"")</f>
        <v/>
      </c>
      <c r="J2808" s="77" t="str">
        <f>IFERROR(VLOOKUP(DESPESAS[[#This Row],[Plano de Contas]],BASE!$B$3:$F$119,4,FALSE),"")</f>
        <v>6 - DESPESA COM VENDAS</v>
      </c>
      <c r="K2808" s="77" t="str">
        <f>IFERROR(VLOOKUP(DESPESAS[[#This Row],[Plano de Contas]],BASE!$B$3:$H$119,5,FALSE),"")</f>
        <v>COMERCIAL</v>
      </c>
      <c r="L2808" s="77">
        <f>IFERROR(VLOOKUP(DESPESAS[[#This Row],[Plano de Contas]],BASE!$B$3:$H$119,6,FALSE),"")</f>
        <v>0</v>
      </c>
      <c r="M2808" s="77" t="str">
        <f>VLOOKUP(DESPESAS[[#This Row],[Plano de Contas]],BASE!$B$3:$H$119,7,FALSE)</f>
        <v>LETÍCIA</v>
      </c>
    </row>
    <row r="2809" spans="1:13" x14ac:dyDescent="0.25">
      <c r="A2809" s="74">
        <v>199889</v>
      </c>
      <c r="B2809" s="75" t="s">
        <v>281</v>
      </c>
      <c r="C2809" s="75" t="s">
        <v>1147</v>
      </c>
      <c r="D2809" s="76">
        <v>46107</v>
      </c>
      <c r="E2809" s="75" t="s">
        <v>789</v>
      </c>
      <c r="F2809" s="74">
        <v>1452.65</v>
      </c>
      <c r="G2809" s="75" t="s">
        <v>572</v>
      </c>
      <c r="H2809" s="77" t="str">
        <f>VLOOKUP(DESPESAS[[#This Row],[Plano de Contas]],BASE!$B$3:$D$119,3,FALSE)</f>
        <v>Comissões sobre Vendas Externo</v>
      </c>
      <c r="I2809" s="77" t="str">
        <f>IFERROR(VLOOKUP(DESPESAS[[#This Row],[Fornecedor]],Tabela2[],2,FALSE),"")</f>
        <v/>
      </c>
      <c r="J2809" s="77" t="str">
        <f>IFERROR(VLOOKUP(DESPESAS[[#This Row],[Plano de Contas]],BASE!$B$3:$F$119,4,FALSE),"")</f>
        <v>6 - DESPESA COM VENDAS</v>
      </c>
      <c r="K2809" s="77" t="str">
        <f>IFERROR(VLOOKUP(DESPESAS[[#This Row],[Plano de Contas]],BASE!$B$3:$H$119,5,FALSE),"")</f>
        <v>COMERCIAL</v>
      </c>
      <c r="L2809" s="77">
        <f>IFERROR(VLOOKUP(DESPESAS[[#This Row],[Plano de Contas]],BASE!$B$3:$H$119,6,FALSE),"")</f>
        <v>0</v>
      </c>
      <c r="M2809" s="77" t="str">
        <f>VLOOKUP(DESPESAS[[#This Row],[Plano de Contas]],BASE!$B$3:$H$119,7,FALSE)</f>
        <v>LETÍCIA</v>
      </c>
    </row>
    <row r="2810" spans="1:13" x14ac:dyDescent="0.25">
      <c r="A2810" s="74">
        <v>199890</v>
      </c>
      <c r="B2810" s="75" t="s">
        <v>281</v>
      </c>
      <c r="C2810" s="75" t="s">
        <v>1147</v>
      </c>
      <c r="D2810" s="76">
        <v>46107</v>
      </c>
      <c r="E2810" s="75" t="s">
        <v>788</v>
      </c>
      <c r="F2810" s="74">
        <v>1153.51</v>
      </c>
      <c r="G2810" s="75" t="s">
        <v>572</v>
      </c>
      <c r="H2810" s="77" t="str">
        <f>VLOOKUP(DESPESAS[[#This Row],[Plano de Contas]],BASE!$B$3:$D$119,3,FALSE)</f>
        <v>Comissões sobre Vendas Externo</v>
      </c>
      <c r="I2810" s="77" t="str">
        <f>IFERROR(VLOOKUP(DESPESAS[[#This Row],[Fornecedor]],Tabela2[],2,FALSE),"")</f>
        <v/>
      </c>
      <c r="J2810" s="77" t="str">
        <f>IFERROR(VLOOKUP(DESPESAS[[#This Row],[Plano de Contas]],BASE!$B$3:$F$119,4,FALSE),"")</f>
        <v>6 - DESPESA COM VENDAS</v>
      </c>
      <c r="K2810" s="77" t="str">
        <f>IFERROR(VLOOKUP(DESPESAS[[#This Row],[Plano de Contas]],BASE!$B$3:$H$119,5,FALSE),"")</f>
        <v>COMERCIAL</v>
      </c>
      <c r="L2810" s="77">
        <f>IFERROR(VLOOKUP(DESPESAS[[#This Row],[Plano de Contas]],BASE!$B$3:$H$119,6,FALSE),"")</f>
        <v>0</v>
      </c>
      <c r="M2810" s="77" t="str">
        <f>VLOOKUP(DESPESAS[[#This Row],[Plano de Contas]],BASE!$B$3:$H$119,7,FALSE)</f>
        <v>LETÍCIA</v>
      </c>
    </row>
    <row r="2811" spans="1:13" x14ac:dyDescent="0.25">
      <c r="A2811" s="74">
        <v>199891</v>
      </c>
      <c r="B2811" s="75" t="s">
        <v>281</v>
      </c>
      <c r="C2811" s="75" t="s">
        <v>1147</v>
      </c>
      <c r="D2811" s="76">
        <v>46107</v>
      </c>
      <c r="E2811" s="75" t="s">
        <v>787</v>
      </c>
      <c r="F2811" s="74">
        <v>190.31</v>
      </c>
      <c r="G2811" s="75" t="s">
        <v>572</v>
      </c>
      <c r="H2811" s="77" t="str">
        <f>VLOOKUP(DESPESAS[[#This Row],[Plano de Contas]],BASE!$B$3:$D$119,3,FALSE)</f>
        <v>Comissões sobre Vendas Externo</v>
      </c>
      <c r="I2811" s="77" t="str">
        <f>IFERROR(VLOOKUP(DESPESAS[[#This Row],[Fornecedor]],Tabela2[],2,FALSE),"")</f>
        <v/>
      </c>
      <c r="J2811" s="77" t="str">
        <f>IFERROR(VLOOKUP(DESPESAS[[#This Row],[Plano de Contas]],BASE!$B$3:$F$119,4,FALSE),"")</f>
        <v>6 - DESPESA COM VENDAS</v>
      </c>
      <c r="K2811" s="77" t="str">
        <f>IFERROR(VLOOKUP(DESPESAS[[#This Row],[Plano de Contas]],BASE!$B$3:$H$119,5,FALSE),"")</f>
        <v>COMERCIAL</v>
      </c>
      <c r="L2811" s="77">
        <f>IFERROR(VLOOKUP(DESPESAS[[#This Row],[Plano de Contas]],BASE!$B$3:$H$119,6,FALSE),"")</f>
        <v>0</v>
      </c>
      <c r="M2811" s="77" t="str">
        <f>VLOOKUP(DESPESAS[[#This Row],[Plano de Contas]],BASE!$B$3:$H$119,7,FALSE)</f>
        <v>LETÍCIA</v>
      </c>
    </row>
    <row r="2812" spans="1:13" x14ac:dyDescent="0.25">
      <c r="A2812" s="74">
        <v>199892</v>
      </c>
      <c r="B2812" s="75" t="s">
        <v>281</v>
      </c>
      <c r="C2812" s="75" t="s">
        <v>1147</v>
      </c>
      <c r="D2812" s="76">
        <v>46107</v>
      </c>
      <c r="E2812" s="75" t="s">
        <v>786</v>
      </c>
      <c r="F2812" s="74">
        <v>314.29000000000002</v>
      </c>
      <c r="G2812" s="75" t="s">
        <v>572</v>
      </c>
      <c r="H2812" s="77" t="str">
        <f>VLOOKUP(DESPESAS[[#This Row],[Plano de Contas]],BASE!$B$3:$D$119,3,FALSE)</f>
        <v>Comissões sobre Vendas Externo</v>
      </c>
      <c r="I2812" s="77" t="str">
        <f>IFERROR(VLOOKUP(DESPESAS[[#This Row],[Fornecedor]],Tabela2[],2,FALSE),"")</f>
        <v/>
      </c>
      <c r="J2812" s="77" t="str">
        <f>IFERROR(VLOOKUP(DESPESAS[[#This Row],[Plano de Contas]],BASE!$B$3:$F$119,4,FALSE),"")</f>
        <v>6 - DESPESA COM VENDAS</v>
      </c>
      <c r="K2812" s="77" t="str">
        <f>IFERROR(VLOOKUP(DESPESAS[[#This Row],[Plano de Contas]],BASE!$B$3:$H$119,5,FALSE),"")</f>
        <v>COMERCIAL</v>
      </c>
      <c r="L2812" s="77">
        <f>IFERROR(VLOOKUP(DESPESAS[[#This Row],[Plano de Contas]],BASE!$B$3:$H$119,6,FALSE),"")</f>
        <v>0</v>
      </c>
      <c r="M2812" s="77" t="str">
        <f>VLOOKUP(DESPESAS[[#This Row],[Plano de Contas]],BASE!$B$3:$H$119,7,FALSE)</f>
        <v>LETÍCIA</v>
      </c>
    </row>
    <row r="2813" spans="1:13" x14ac:dyDescent="0.25">
      <c r="A2813" s="74">
        <v>199893</v>
      </c>
      <c r="B2813" s="75" t="s">
        <v>281</v>
      </c>
      <c r="C2813" s="75" t="s">
        <v>1147</v>
      </c>
      <c r="D2813" s="76">
        <v>46107</v>
      </c>
      <c r="E2813" s="75" t="s">
        <v>784</v>
      </c>
      <c r="F2813" s="74">
        <v>342.71</v>
      </c>
      <c r="G2813" s="75" t="s">
        <v>572</v>
      </c>
      <c r="H2813" s="77" t="str">
        <f>VLOOKUP(DESPESAS[[#This Row],[Plano de Contas]],BASE!$B$3:$D$119,3,FALSE)</f>
        <v>Comissões sobre Vendas Externo</v>
      </c>
      <c r="I2813" s="77" t="str">
        <f>IFERROR(VLOOKUP(DESPESAS[[#This Row],[Fornecedor]],Tabela2[],2,FALSE),"")</f>
        <v/>
      </c>
      <c r="J2813" s="77" t="str">
        <f>IFERROR(VLOOKUP(DESPESAS[[#This Row],[Plano de Contas]],BASE!$B$3:$F$119,4,FALSE),"")</f>
        <v>6 - DESPESA COM VENDAS</v>
      </c>
      <c r="K2813" s="77" t="str">
        <f>IFERROR(VLOOKUP(DESPESAS[[#This Row],[Plano de Contas]],BASE!$B$3:$H$119,5,FALSE),"")</f>
        <v>COMERCIAL</v>
      </c>
      <c r="L2813" s="77">
        <f>IFERROR(VLOOKUP(DESPESAS[[#This Row],[Plano de Contas]],BASE!$B$3:$H$119,6,FALSE),"")</f>
        <v>0</v>
      </c>
      <c r="M2813" s="77" t="str">
        <f>VLOOKUP(DESPESAS[[#This Row],[Plano de Contas]],BASE!$B$3:$H$119,7,FALSE)</f>
        <v>LETÍCIA</v>
      </c>
    </row>
    <row r="2814" spans="1:13" x14ac:dyDescent="0.25">
      <c r="A2814" s="74">
        <v>199894</v>
      </c>
      <c r="B2814" s="75" t="s">
        <v>281</v>
      </c>
      <c r="C2814" s="75" t="s">
        <v>1147</v>
      </c>
      <c r="D2814" s="76">
        <v>46107</v>
      </c>
      <c r="E2814" s="75" t="s">
        <v>791</v>
      </c>
      <c r="F2814" s="74">
        <v>661.54</v>
      </c>
      <c r="G2814" s="75" t="s">
        <v>572</v>
      </c>
      <c r="H2814" s="77" t="str">
        <f>VLOOKUP(DESPESAS[[#This Row],[Plano de Contas]],BASE!$B$3:$D$119,3,FALSE)</f>
        <v>Comissões sobre Vendas Externo</v>
      </c>
      <c r="I2814" s="77" t="str">
        <f>IFERROR(VLOOKUP(DESPESAS[[#This Row],[Fornecedor]],Tabela2[],2,FALSE),"")</f>
        <v/>
      </c>
      <c r="J2814" s="77" t="str">
        <f>IFERROR(VLOOKUP(DESPESAS[[#This Row],[Plano de Contas]],BASE!$B$3:$F$119,4,FALSE),"")</f>
        <v>6 - DESPESA COM VENDAS</v>
      </c>
      <c r="K2814" s="77" t="str">
        <f>IFERROR(VLOOKUP(DESPESAS[[#This Row],[Plano de Contas]],BASE!$B$3:$H$119,5,FALSE),"")</f>
        <v>COMERCIAL</v>
      </c>
      <c r="L2814" s="77">
        <f>IFERROR(VLOOKUP(DESPESAS[[#This Row],[Plano de Contas]],BASE!$B$3:$H$119,6,FALSE),"")</f>
        <v>0</v>
      </c>
      <c r="M2814" s="77" t="str">
        <f>VLOOKUP(DESPESAS[[#This Row],[Plano de Contas]],BASE!$B$3:$H$119,7,FALSE)</f>
        <v>LETÍCIA</v>
      </c>
    </row>
    <row r="2815" spans="1:13" x14ac:dyDescent="0.25">
      <c r="A2815" s="74">
        <v>199895</v>
      </c>
      <c r="B2815" s="75" t="s">
        <v>279</v>
      </c>
      <c r="C2815" s="75" t="s">
        <v>1147</v>
      </c>
      <c r="D2815" s="76">
        <v>46107</v>
      </c>
      <c r="E2815" s="75" t="s">
        <v>573</v>
      </c>
      <c r="F2815" s="74">
        <v>404.05</v>
      </c>
      <c r="G2815" s="75" t="s">
        <v>572</v>
      </c>
      <c r="H2815" s="77" t="str">
        <f>VLOOKUP(DESPESAS[[#This Row],[Plano de Contas]],BASE!$B$3:$D$119,3,FALSE)</f>
        <v>Comissões sobre Vendas Externo</v>
      </c>
      <c r="I2815" s="77" t="str">
        <f>IFERROR(VLOOKUP(DESPESAS[[#This Row],[Fornecedor]],Tabela2[],2,FALSE),"")</f>
        <v/>
      </c>
      <c r="J2815" s="77" t="str">
        <f>IFERROR(VLOOKUP(DESPESAS[[#This Row],[Plano de Contas]],BASE!$B$3:$F$119,4,FALSE),"")</f>
        <v>6 - DESPESA COM VENDAS</v>
      </c>
      <c r="K2815" s="77" t="str">
        <f>IFERROR(VLOOKUP(DESPESAS[[#This Row],[Plano de Contas]],BASE!$B$3:$H$119,5,FALSE),"")</f>
        <v>COMERCIAL</v>
      </c>
      <c r="L2815" s="77">
        <f>IFERROR(VLOOKUP(DESPESAS[[#This Row],[Plano de Contas]],BASE!$B$3:$H$119,6,FALSE),"")</f>
        <v>0</v>
      </c>
      <c r="M2815" s="77" t="str">
        <f>VLOOKUP(DESPESAS[[#This Row],[Plano de Contas]],BASE!$B$3:$H$119,7,FALSE)</f>
        <v>LETÍCIA</v>
      </c>
    </row>
    <row r="2816" spans="1:13" x14ac:dyDescent="0.25">
      <c r="A2816" s="74">
        <v>199896</v>
      </c>
      <c r="B2816" s="75" t="s">
        <v>279</v>
      </c>
      <c r="C2816" s="75" t="s">
        <v>1147</v>
      </c>
      <c r="D2816" s="76">
        <v>46107</v>
      </c>
      <c r="E2816" s="75" t="s">
        <v>789</v>
      </c>
      <c r="F2816" s="74">
        <v>545.52</v>
      </c>
      <c r="G2816" s="75" t="s">
        <v>572</v>
      </c>
      <c r="H2816" s="77" t="str">
        <f>VLOOKUP(DESPESAS[[#This Row],[Plano de Contas]],BASE!$B$3:$D$119,3,FALSE)</f>
        <v>Comissões sobre Vendas Externo</v>
      </c>
      <c r="I2816" s="77" t="str">
        <f>IFERROR(VLOOKUP(DESPESAS[[#This Row],[Fornecedor]],Tabela2[],2,FALSE),"")</f>
        <v/>
      </c>
      <c r="J2816" s="77" t="str">
        <f>IFERROR(VLOOKUP(DESPESAS[[#This Row],[Plano de Contas]],BASE!$B$3:$F$119,4,FALSE),"")</f>
        <v>6 - DESPESA COM VENDAS</v>
      </c>
      <c r="K2816" s="77" t="str">
        <f>IFERROR(VLOOKUP(DESPESAS[[#This Row],[Plano de Contas]],BASE!$B$3:$H$119,5,FALSE),"")</f>
        <v>COMERCIAL</v>
      </c>
      <c r="L2816" s="77">
        <f>IFERROR(VLOOKUP(DESPESAS[[#This Row],[Plano de Contas]],BASE!$B$3:$H$119,6,FALSE),"")</f>
        <v>0</v>
      </c>
      <c r="M2816" s="77" t="str">
        <f>VLOOKUP(DESPESAS[[#This Row],[Plano de Contas]],BASE!$B$3:$H$119,7,FALSE)</f>
        <v>LETÍCIA</v>
      </c>
    </row>
    <row r="2817" spans="1:13" x14ac:dyDescent="0.25">
      <c r="A2817" s="74">
        <v>199897</v>
      </c>
      <c r="B2817" s="75" t="s">
        <v>279</v>
      </c>
      <c r="C2817" s="75" t="s">
        <v>1147</v>
      </c>
      <c r="D2817" s="76">
        <v>46107</v>
      </c>
      <c r="E2817" s="75" t="s">
        <v>788</v>
      </c>
      <c r="F2817" s="74">
        <v>1734.52</v>
      </c>
      <c r="G2817" s="75" t="s">
        <v>572</v>
      </c>
      <c r="H2817" s="77" t="str">
        <f>VLOOKUP(DESPESAS[[#This Row],[Plano de Contas]],BASE!$B$3:$D$119,3,FALSE)</f>
        <v>Comissões sobre Vendas Externo</v>
      </c>
      <c r="I2817" s="77" t="str">
        <f>IFERROR(VLOOKUP(DESPESAS[[#This Row],[Fornecedor]],Tabela2[],2,FALSE),"")</f>
        <v/>
      </c>
      <c r="J2817" s="77" t="str">
        <f>IFERROR(VLOOKUP(DESPESAS[[#This Row],[Plano de Contas]],BASE!$B$3:$F$119,4,FALSE),"")</f>
        <v>6 - DESPESA COM VENDAS</v>
      </c>
      <c r="K2817" s="77" t="str">
        <f>IFERROR(VLOOKUP(DESPESAS[[#This Row],[Plano de Contas]],BASE!$B$3:$H$119,5,FALSE),"")</f>
        <v>COMERCIAL</v>
      </c>
      <c r="L2817" s="77">
        <f>IFERROR(VLOOKUP(DESPESAS[[#This Row],[Plano de Contas]],BASE!$B$3:$H$119,6,FALSE),"")</f>
        <v>0</v>
      </c>
      <c r="M2817" s="77" t="str">
        <f>VLOOKUP(DESPESAS[[#This Row],[Plano de Contas]],BASE!$B$3:$H$119,7,FALSE)</f>
        <v>LETÍCIA</v>
      </c>
    </row>
    <row r="2818" spans="1:13" x14ac:dyDescent="0.25">
      <c r="A2818" s="74">
        <v>199898</v>
      </c>
      <c r="B2818" s="75" t="s">
        <v>279</v>
      </c>
      <c r="C2818" s="75" t="s">
        <v>1147</v>
      </c>
      <c r="D2818" s="76">
        <v>46107</v>
      </c>
      <c r="E2818" s="75" t="s">
        <v>787</v>
      </c>
      <c r="F2818" s="74">
        <v>675.98</v>
      </c>
      <c r="G2818" s="75" t="s">
        <v>572</v>
      </c>
      <c r="H2818" s="77" t="str">
        <f>VLOOKUP(DESPESAS[[#This Row],[Plano de Contas]],BASE!$B$3:$D$119,3,FALSE)</f>
        <v>Comissões sobre Vendas Externo</v>
      </c>
      <c r="I2818" s="77" t="str">
        <f>IFERROR(VLOOKUP(DESPESAS[[#This Row],[Fornecedor]],Tabela2[],2,FALSE),"")</f>
        <v/>
      </c>
      <c r="J2818" s="77" t="str">
        <f>IFERROR(VLOOKUP(DESPESAS[[#This Row],[Plano de Contas]],BASE!$B$3:$F$119,4,FALSE),"")</f>
        <v>6 - DESPESA COM VENDAS</v>
      </c>
      <c r="K2818" s="77" t="str">
        <f>IFERROR(VLOOKUP(DESPESAS[[#This Row],[Plano de Contas]],BASE!$B$3:$H$119,5,FALSE),"")</f>
        <v>COMERCIAL</v>
      </c>
      <c r="L2818" s="77">
        <f>IFERROR(VLOOKUP(DESPESAS[[#This Row],[Plano de Contas]],BASE!$B$3:$H$119,6,FALSE),"")</f>
        <v>0</v>
      </c>
      <c r="M2818" s="77" t="str">
        <f>VLOOKUP(DESPESAS[[#This Row],[Plano de Contas]],BASE!$B$3:$H$119,7,FALSE)</f>
        <v>LETÍCIA</v>
      </c>
    </row>
    <row r="2819" spans="1:13" x14ac:dyDescent="0.25">
      <c r="A2819" s="74">
        <v>199899</v>
      </c>
      <c r="B2819" s="75" t="s">
        <v>279</v>
      </c>
      <c r="C2819" s="75" t="s">
        <v>1147</v>
      </c>
      <c r="D2819" s="76">
        <v>46107</v>
      </c>
      <c r="E2819" s="75" t="s">
        <v>786</v>
      </c>
      <c r="F2819" s="74">
        <v>89.28</v>
      </c>
      <c r="G2819" s="75" t="s">
        <v>572</v>
      </c>
      <c r="H2819" s="77" t="str">
        <f>VLOOKUP(DESPESAS[[#This Row],[Plano de Contas]],BASE!$B$3:$D$119,3,FALSE)</f>
        <v>Comissões sobre Vendas Externo</v>
      </c>
      <c r="I2819" s="77" t="str">
        <f>IFERROR(VLOOKUP(DESPESAS[[#This Row],[Fornecedor]],Tabela2[],2,FALSE),"")</f>
        <v/>
      </c>
      <c r="J2819" s="77" t="str">
        <f>IFERROR(VLOOKUP(DESPESAS[[#This Row],[Plano de Contas]],BASE!$B$3:$F$119,4,FALSE),"")</f>
        <v>6 - DESPESA COM VENDAS</v>
      </c>
      <c r="K2819" s="77" t="str">
        <f>IFERROR(VLOOKUP(DESPESAS[[#This Row],[Plano de Contas]],BASE!$B$3:$H$119,5,FALSE),"")</f>
        <v>COMERCIAL</v>
      </c>
      <c r="L2819" s="77">
        <f>IFERROR(VLOOKUP(DESPESAS[[#This Row],[Plano de Contas]],BASE!$B$3:$H$119,6,FALSE),"")</f>
        <v>0</v>
      </c>
      <c r="M2819" s="77" t="str">
        <f>VLOOKUP(DESPESAS[[#This Row],[Plano de Contas]],BASE!$B$3:$H$119,7,FALSE)</f>
        <v>LETÍCIA</v>
      </c>
    </row>
    <row r="2820" spans="1:13" x14ac:dyDescent="0.25">
      <c r="A2820" s="74">
        <v>199900</v>
      </c>
      <c r="B2820" s="75" t="s">
        <v>279</v>
      </c>
      <c r="C2820" s="75" t="s">
        <v>1147</v>
      </c>
      <c r="D2820" s="76">
        <v>46107</v>
      </c>
      <c r="E2820" s="75" t="s">
        <v>785</v>
      </c>
      <c r="F2820" s="74">
        <v>143.16</v>
      </c>
      <c r="G2820" s="75" t="s">
        <v>572</v>
      </c>
      <c r="H2820" s="77" t="str">
        <f>VLOOKUP(DESPESAS[[#This Row],[Plano de Contas]],BASE!$B$3:$D$119,3,FALSE)</f>
        <v>Comissões sobre Vendas Externo</v>
      </c>
      <c r="I2820" s="77" t="str">
        <f>IFERROR(VLOOKUP(DESPESAS[[#This Row],[Fornecedor]],Tabela2[],2,FALSE),"")</f>
        <v/>
      </c>
      <c r="J2820" s="77" t="str">
        <f>IFERROR(VLOOKUP(DESPESAS[[#This Row],[Plano de Contas]],BASE!$B$3:$F$119,4,FALSE),"")</f>
        <v>6 - DESPESA COM VENDAS</v>
      </c>
      <c r="K2820" s="77" t="str">
        <f>IFERROR(VLOOKUP(DESPESAS[[#This Row],[Plano de Contas]],BASE!$B$3:$H$119,5,FALSE),"")</f>
        <v>COMERCIAL</v>
      </c>
      <c r="L2820" s="77">
        <f>IFERROR(VLOOKUP(DESPESAS[[#This Row],[Plano de Contas]],BASE!$B$3:$H$119,6,FALSE),"")</f>
        <v>0</v>
      </c>
      <c r="M2820" s="77" t="str">
        <f>VLOOKUP(DESPESAS[[#This Row],[Plano de Contas]],BASE!$B$3:$H$119,7,FALSE)</f>
        <v>LETÍCIA</v>
      </c>
    </row>
    <row r="2821" spans="1:13" x14ac:dyDescent="0.25">
      <c r="A2821" s="74">
        <v>199901</v>
      </c>
      <c r="B2821" s="75" t="s">
        <v>279</v>
      </c>
      <c r="C2821" s="75" t="s">
        <v>1147</v>
      </c>
      <c r="D2821" s="76">
        <v>46107</v>
      </c>
      <c r="E2821" s="75" t="s">
        <v>784</v>
      </c>
      <c r="F2821" s="74">
        <v>3083.7</v>
      </c>
      <c r="G2821" s="75" t="s">
        <v>572</v>
      </c>
      <c r="H2821" s="77" t="str">
        <f>VLOOKUP(DESPESAS[[#This Row],[Plano de Contas]],BASE!$B$3:$D$119,3,FALSE)</f>
        <v>Comissões sobre Vendas Externo</v>
      </c>
      <c r="I2821" s="77" t="str">
        <f>IFERROR(VLOOKUP(DESPESAS[[#This Row],[Fornecedor]],Tabela2[],2,FALSE),"")</f>
        <v/>
      </c>
      <c r="J2821" s="77" t="str">
        <f>IFERROR(VLOOKUP(DESPESAS[[#This Row],[Plano de Contas]],BASE!$B$3:$F$119,4,FALSE),"")</f>
        <v>6 - DESPESA COM VENDAS</v>
      </c>
      <c r="K2821" s="77" t="str">
        <f>IFERROR(VLOOKUP(DESPESAS[[#This Row],[Plano de Contas]],BASE!$B$3:$H$119,5,FALSE),"")</f>
        <v>COMERCIAL</v>
      </c>
      <c r="L2821" s="77">
        <f>IFERROR(VLOOKUP(DESPESAS[[#This Row],[Plano de Contas]],BASE!$B$3:$H$119,6,FALSE),"")</f>
        <v>0</v>
      </c>
      <c r="M2821" s="77" t="str">
        <f>VLOOKUP(DESPESAS[[#This Row],[Plano de Contas]],BASE!$B$3:$H$119,7,FALSE)</f>
        <v>LETÍCIA</v>
      </c>
    </row>
    <row r="2822" spans="1:13" x14ac:dyDescent="0.25">
      <c r="A2822" s="74">
        <v>199903</v>
      </c>
      <c r="B2822" s="75" t="s">
        <v>221</v>
      </c>
      <c r="C2822" s="75" t="s">
        <v>1146</v>
      </c>
      <c r="D2822" s="76">
        <v>46107</v>
      </c>
      <c r="E2822" s="75" t="s">
        <v>1145</v>
      </c>
      <c r="F2822" s="74">
        <v>481.4</v>
      </c>
      <c r="G2822" s="75" t="s">
        <v>572</v>
      </c>
      <c r="H2822" s="77" t="str">
        <f>VLOOKUP(DESPESAS[[#This Row],[Plano de Contas]],BASE!$B$3:$D$119,3,FALSE)</f>
        <v>Comissões sobre Vendas Externo</v>
      </c>
      <c r="I2822" s="77" t="str">
        <f>IFERROR(VLOOKUP(DESPESAS[[#This Row],[Fornecedor]],Tabela2[],2,FALSE),"")</f>
        <v/>
      </c>
      <c r="J2822" s="77" t="str">
        <f>IFERROR(VLOOKUP(DESPESAS[[#This Row],[Plano de Contas]],BASE!$B$3:$F$119,4,FALSE),"")</f>
        <v>6 - DESPESA COM VENDAS</v>
      </c>
      <c r="K2822" s="77" t="str">
        <f>IFERROR(VLOOKUP(DESPESAS[[#This Row],[Plano de Contas]],BASE!$B$3:$H$119,5,FALSE),"")</f>
        <v>COMERCIAL</v>
      </c>
      <c r="L2822" s="77">
        <f>IFERROR(VLOOKUP(DESPESAS[[#This Row],[Plano de Contas]],BASE!$B$3:$H$119,6,FALSE),"")</f>
        <v>0</v>
      </c>
      <c r="M2822" s="77" t="str">
        <f>VLOOKUP(DESPESAS[[#This Row],[Plano de Contas]],BASE!$B$3:$H$119,7,FALSE)</f>
        <v>LETÍCIA</v>
      </c>
    </row>
    <row r="2823" spans="1:13" x14ac:dyDescent="0.25">
      <c r="A2823" s="74">
        <v>199905</v>
      </c>
      <c r="B2823" s="75" t="s">
        <v>221</v>
      </c>
      <c r="C2823" s="75" t="s">
        <v>1144</v>
      </c>
      <c r="D2823" s="76">
        <v>46107</v>
      </c>
      <c r="E2823" s="75" t="s">
        <v>223</v>
      </c>
      <c r="F2823" s="74">
        <v>107</v>
      </c>
      <c r="G2823" s="75" t="s">
        <v>568</v>
      </c>
      <c r="H2823" s="77" t="str">
        <f>VLOOKUP(DESPESAS[[#This Row],[Plano de Contas]],BASE!$B$3:$D$119,3,FALSE)</f>
        <v>Carregamento</v>
      </c>
      <c r="I2823" s="77" t="str">
        <f>IFERROR(VLOOKUP(DESPESAS[[#This Row],[Fornecedor]],Tabela2[],2,FALSE),"")</f>
        <v/>
      </c>
      <c r="J2823" s="77" t="str">
        <f>IFERROR(VLOOKUP(DESPESAS[[#This Row],[Plano de Contas]],BASE!$B$3:$F$119,4,FALSE),"")</f>
        <v>6 - DESPESA COM VENDAS</v>
      </c>
      <c r="K2823" s="77" t="str">
        <f>IFERROR(VLOOKUP(DESPESAS[[#This Row],[Plano de Contas]],BASE!$B$3:$H$119,5,FALSE),"")</f>
        <v>LOGÍSTICA</v>
      </c>
      <c r="L2823" s="77">
        <f>IFERROR(VLOOKUP(DESPESAS[[#This Row],[Plano de Contas]],BASE!$B$3:$H$119,6,FALSE),"")</f>
        <v>0</v>
      </c>
      <c r="M2823" s="77" t="str">
        <f>VLOOKUP(DESPESAS[[#This Row],[Plano de Contas]],BASE!$B$3:$H$119,7,FALSE)</f>
        <v>MYLENA</v>
      </c>
    </row>
    <row r="2824" spans="1:13" x14ac:dyDescent="0.25">
      <c r="A2824" s="74">
        <v>199906</v>
      </c>
      <c r="B2824" s="75" t="s">
        <v>221</v>
      </c>
      <c r="C2824" s="75" t="s">
        <v>1143</v>
      </c>
      <c r="D2824" s="76">
        <v>46107</v>
      </c>
      <c r="E2824" s="75" t="s">
        <v>320</v>
      </c>
      <c r="F2824" s="74">
        <v>76</v>
      </c>
      <c r="G2824" s="75" t="s">
        <v>222</v>
      </c>
      <c r="H2824" s="77" t="str">
        <f>VLOOKUP(DESPESAS[[#This Row],[Plano de Contas]],BASE!$B$3:$D$119,3,FALSE)</f>
        <v>Alimentação</v>
      </c>
      <c r="I2824" s="77" t="str">
        <f>IFERROR(VLOOKUP(DESPESAS[[#This Row],[Fornecedor]],Tabela2[],2,FALSE),"")</f>
        <v/>
      </c>
      <c r="J2824" s="77" t="str">
        <f>IFERROR(VLOOKUP(DESPESAS[[#This Row],[Plano de Contas]],BASE!$B$3:$F$119,4,FALSE),"")</f>
        <v>5 - DESPESAS ADMINISTRATIVAS</v>
      </c>
      <c r="K2824" s="77" t="str">
        <f>IFERROR(VLOOKUP(DESPESAS[[#This Row],[Plano de Contas]],BASE!$B$3:$H$119,5,FALSE),"")</f>
        <v>FINANCEIRO</v>
      </c>
      <c r="L2824" s="77">
        <f>IFERROR(VLOOKUP(DESPESAS[[#This Row],[Plano de Contas]],BASE!$B$3:$H$119,6,FALSE),"")</f>
        <v>0</v>
      </c>
      <c r="M2824" s="77" t="str">
        <f>VLOOKUP(DESPESAS[[#This Row],[Plano de Contas]],BASE!$B$3:$H$119,7,FALSE)</f>
        <v>MYLENA</v>
      </c>
    </row>
    <row r="2825" spans="1:13" x14ac:dyDescent="0.25">
      <c r="A2825" s="74">
        <v>199907</v>
      </c>
      <c r="B2825" s="75" t="s">
        <v>232</v>
      </c>
      <c r="C2825" s="75" t="s">
        <v>1142</v>
      </c>
      <c r="D2825" s="76">
        <v>46107</v>
      </c>
      <c r="E2825" s="75" t="s">
        <v>230</v>
      </c>
      <c r="F2825" s="74">
        <v>1502.16</v>
      </c>
      <c r="G2825" s="75" t="s">
        <v>251</v>
      </c>
      <c r="H2825" s="77" t="str">
        <f>VLOOKUP(DESPESAS[[#This Row],[Plano de Contas]],BASE!$B$3:$D$119,3,FALSE)</f>
        <v>Juros Pagos - Antecipação de Crédito</v>
      </c>
      <c r="I2825" s="77" t="str">
        <f>IFERROR(VLOOKUP(DESPESAS[[#This Row],[Fornecedor]],Tabela2[],2,FALSE),"")</f>
        <v/>
      </c>
      <c r="J2825" s="77" t="str">
        <f>IFERROR(VLOOKUP(DESPESAS[[#This Row],[Plano de Contas]],BASE!$B$3:$F$119,4,FALSE),"")</f>
        <v>8 - DESPESAS FINANCEIRAS</v>
      </c>
      <c r="K2825" s="77" t="str">
        <f>IFERROR(VLOOKUP(DESPESAS[[#This Row],[Plano de Contas]],BASE!$B$3:$H$119,5,FALSE),"")</f>
        <v>FINANCEIRO</v>
      </c>
      <c r="L2825" s="77">
        <f>IFERROR(VLOOKUP(DESPESAS[[#This Row],[Plano de Contas]],BASE!$B$3:$H$119,6,FALSE),"")</f>
        <v>0</v>
      </c>
      <c r="M2825" s="77" t="str">
        <f>VLOOKUP(DESPESAS[[#This Row],[Plano de Contas]],BASE!$B$3:$H$119,7,FALSE)</f>
        <v>LETÍCIA</v>
      </c>
    </row>
    <row r="2826" spans="1:13" x14ac:dyDescent="0.25">
      <c r="A2826" s="74">
        <v>199908</v>
      </c>
      <c r="B2826" s="75" t="s">
        <v>232</v>
      </c>
      <c r="C2826" s="75" t="s">
        <v>1141</v>
      </c>
      <c r="D2826" s="76">
        <v>46107</v>
      </c>
      <c r="E2826" s="75" t="s">
        <v>230</v>
      </c>
      <c r="F2826" s="74">
        <v>239.6</v>
      </c>
      <c r="G2826" s="75" t="s">
        <v>229</v>
      </c>
      <c r="H2826" s="77" t="str">
        <f>VLOOKUP(DESPESAS[[#This Row],[Plano de Contas]],BASE!$B$3:$D$119,3,FALSE)</f>
        <v>Despesas Bancarias</v>
      </c>
      <c r="I2826" s="77" t="str">
        <f>IFERROR(VLOOKUP(DESPESAS[[#This Row],[Fornecedor]],Tabela2[],2,FALSE),"")</f>
        <v/>
      </c>
      <c r="J2826" s="77" t="str">
        <f>IFERROR(VLOOKUP(DESPESAS[[#This Row],[Plano de Contas]],BASE!$B$3:$F$119,4,FALSE),"")</f>
        <v>8 - DESPESAS FINANCEIRAS</v>
      </c>
      <c r="K2826" s="77" t="str">
        <f>IFERROR(VLOOKUP(DESPESAS[[#This Row],[Plano de Contas]],BASE!$B$3:$H$119,5,FALSE),"")</f>
        <v>FINANCEIRO</v>
      </c>
      <c r="L2826" s="77">
        <f>IFERROR(VLOOKUP(DESPESAS[[#This Row],[Plano de Contas]],BASE!$B$3:$H$119,6,FALSE),"")</f>
        <v>0</v>
      </c>
      <c r="M2826" s="77" t="str">
        <f>VLOOKUP(DESPESAS[[#This Row],[Plano de Contas]],BASE!$B$3:$H$119,7,FALSE)</f>
        <v>LETÍCIA</v>
      </c>
    </row>
    <row r="2827" spans="1:13" x14ac:dyDescent="0.25">
      <c r="A2827" s="74">
        <v>199909</v>
      </c>
      <c r="B2827" s="75" t="s">
        <v>232</v>
      </c>
      <c r="C2827" s="75" t="s">
        <v>1140</v>
      </c>
      <c r="D2827" s="76">
        <v>46107</v>
      </c>
      <c r="E2827" s="75" t="s">
        <v>230</v>
      </c>
      <c r="F2827" s="74">
        <v>154.55000000000001</v>
      </c>
      <c r="G2827" s="75" t="s">
        <v>229</v>
      </c>
      <c r="H2827" s="77" t="str">
        <f>VLOOKUP(DESPESAS[[#This Row],[Plano de Contas]],BASE!$B$3:$D$119,3,FALSE)</f>
        <v>Despesas Bancarias</v>
      </c>
      <c r="I2827" s="77" t="str">
        <f>IFERROR(VLOOKUP(DESPESAS[[#This Row],[Fornecedor]],Tabela2[],2,FALSE),"")</f>
        <v/>
      </c>
      <c r="J2827" s="77" t="str">
        <f>IFERROR(VLOOKUP(DESPESAS[[#This Row],[Plano de Contas]],BASE!$B$3:$F$119,4,FALSE),"")</f>
        <v>8 - DESPESAS FINANCEIRAS</v>
      </c>
      <c r="K2827" s="77" t="str">
        <f>IFERROR(VLOOKUP(DESPESAS[[#This Row],[Plano de Contas]],BASE!$B$3:$H$119,5,FALSE),"")</f>
        <v>FINANCEIRO</v>
      </c>
      <c r="L2827" s="77">
        <f>IFERROR(VLOOKUP(DESPESAS[[#This Row],[Plano de Contas]],BASE!$B$3:$H$119,6,FALSE),"")</f>
        <v>0</v>
      </c>
      <c r="M2827" s="77" t="str">
        <f>VLOOKUP(DESPESAS[[#This Row],[Plano de Contas]],BASE!$B$3:$H$119,7,FALSE)</f>
        <v>LETÍCIA</v>
      </c>
    </row>
    <row r="2828" spans="1:13" x14ac:dyDescent="0.25">
      <c r="A2828" s="74">
        <v>199910</v>
      </c>
      <c r="B2828" s="75" t="s">
        <v>221</v>
      </c>
      <c r="C2828" s="75" t="s">
        <v>1139</v>
      </c>
      <c r="D2828" s="76">
        <v>46107</v>
      </c>
      <c r="E2828" s="75" t="s">
        <v>1138</v>
      </c>
      <c r="F2828" s="74">
        <v>400</v>
      </c>
      <c r="G2828" s="75" t="s">
        <v>719</v>
      </c>
      <c r="H2828" s="77" t="str">
        <f>VLOOKUP(DESPESAS[[#This Row],[Plano de Contas]],BASE!$B$3:$D$119,3,FALSE)</f>
        <v>Outros Serviços de Terceiros</v>
      </c>
      <c r="I2828" s="77" t="str">
        <f>IFERROR(VLOOKUP(DESPESAS[[#This Row],[Fornecedor]],Tabela2[],2,FALSE),"")</f>
        <v/>
      </c>
      <c r="J2828" s="77" t="str">
        <f>IFERROR(VLOOKUP(DESPESAS[[#This Row],[Plano de Contas]],BASE!$B$3:$F$119,4,FALSE),"")</f>
        <v>7 - SERVIÇOS DE TERCEIROS</v>
      </c>
      <c r="K2828" s="77" t="str">
        <f>IFERROR(VLOOKUP(DESPESAS[[#This Row],[Plano de Contas]],BASE!$B$3:$H$119,5,FALSE),"")</f>
        <v>FINANCEIRO</v>
      </c>
      <c r="L2828" s="77">
        <f>IFERROR(VLOOKUP(DESPESAS[[#This Row],[Plano de Contas]],BASE!$B$3:$H$119,6,FALSE),"")</f>
        <v>0</v>
      </c>
      <c r="M2828" s="77" t="str">
        <f>VLOOKUP(DESPESAS[[#This Row],[Plano de Contas]],BASE!$B$3:$H$119,7,FALSE)</f>
        <v>LETÍCIA</v>
      </c>
    </row>
    <row r="2829" spans="1:13" x14ac:dyDescent="0.25">
      <c r="A2829" s="74">
        <v>199911</v>
      </c>
      <c r="B2829" s="75" t="s">
        <v>232</v>
      </c>
      <c r="C2829" s="75" t="s">
        <v>1135</v>
      </c>
      <c r="D2829" s="76">
        <v>46108</v>
      </c>
      <c r="E2829" s="75" t="s">
        <v>1132</v>
      </c>
      <c r="F2829" s="74">
        <v>1175</v>
      </c>
      <c r="G2829" s="75" t="s">
        <v>644</v>
      </c>
      <c r="H2829" s="77" t="str">
        <f>VLOOKUP(DESPESAS[[#This Row],[Plano de Contas]],BASE!$B$3:$D$119,3,FALSE)</f>
        <v>Gratificações (Adm)</v>
      </c>
      <c r="I2829" s="77" t="str">
        <f>IFERROR(VLOOKUP(DESPESAS[[#This Row],[Fornecedor]],Tabela2[],2,FALSE),"")</f>
        <v/>
      </c>
      <c r="J2829" s="77" t="str">
        <f>IFERROR(VLOOKUP(DESPESAS[[#This Row],[Plano de Contas]],BASE!$B$3:$F$119,4,FALSE),"")</f>
        <v>4 - GASTOS COM PESSOAL</v>
      </c>
      <c r="K2829" s="77" t="str">
        <f>IFERROR(VLOOKUP(DESPESAS[[#This Row],[Plano de Contas]],BASE!$B$3:$H$119,5,FALSE),"")</f>
        <v>DH</v>
      </c>
      <c r="L2829" s="77">
        <f>IFERROR(VLOOKUP(DESPESAS[[#This Row],[Plano de Contas]],BASE!$B$3:$H$119,6,FALSE),"")</f>
        <v>0</v>
      </c>
      <c r="M2829" s="77" t="str">
        <f>VLOOKUP(DESPESAS[[#This Row],[Plano de Contas]],BASE!$B$3:$H$119,7,FALSE)</f>
        <v>RAFAEL</v>
      </c>
    </row>
    <row r="2830" spans="1:13" x14ac:dyDescent="0.25">
      <c r="A2830" s="74">
        <v>199912</v>
      </c>
      <c r="B2830" s="75" t="s">
        <v>232</v>
      </c>
      <c r="C2830" s="75" t="s">
        <v>1136</v>
      </c>
      <c r="D2830" s="76">
        <v>46108</v>
      </c>
      <c r="E2830" s="75" t="s">
        <v>1132</v>
      </c>
      <c r="F2830" s="74">
        <v>600</v>
      </c>
      <c r="G2830" s="75" t="s">
        <v>649</v>
      </c>
      <c r="H2830" s="77" t="str">
        <f>VLOOKUP(DESPESAS[[#This Row],[Plano de Contas]],BASE!$B$3:$D$119,3,FALSE)</f>
        <v>Gratificações CIF</v>
      </c>
      <c r="I2830" s="77" t="str">
        <f>IFERROR(VLOOKUP(DESPESAS[[#This Row],[Fornecedor]],Tabela2[],2,FALSE),"")</f>
        <v/>
      </c>
      <c r="J2830" s="77" t="str">
        <f>IFERROR(VLOOKUP(DESPESAS[[#This Row],[Plano de Contas]],BASE!$B$3:$F$119,4,FALSE),"")</f>
        <v>3 - CUSTOS INDIRETOS</v>
      </c>
      <c r="K2830" s="77" t="str">
        <f>IFERROR(VLOOKUP(DESPESAS[[#This Row],[Plano de Contas]],BASE!$B$3:$H$119,5,FALSE),"")</f>
        <v>DH</v>
      </c>
      <c r="L2830" s="77" t="str">
        <f>IFERROR(VLOOKUP(DESPESAS[[#This Row],[Plano de Contas]],BASE!$B$3:$H$119,6,FALSE),"")</f>
        <v>CUSTO MÃO DE OBRA DIRETA</v>
      </c>
      <c r="M2830" s="77" t="str">
        <f>VLOOKUP(DESPESAS[[#This Row],[Plano de Contas]],BASE!$B$3:$H$119,7,FALSE)</f>
        <v>RAFAEL</v>
      </c>
    </row>
    <row r="2831" spans="1:13" x14ac:dyDescent="0.25">
      <c r="A2831" s="74">
        <v>199913</v>
      </c>
      <c r="B2831" s="75" t="s">
        <v>232</v>
      </c>
      <c r="C2831" s="75" t="s">
        <v>1137</v>
      </c>
      <c r="D2831" s="76">
        <v>46108</v>
      </c>
      <c r="E2831" s="75" t="s">
        <v>1132</v>
      </c>
      <c r="F2831" s="74">
        <v>2175</v>
      </c>
      <c r="G2831" s="75" t="s">
        <v>642</v>
      </c>
      <c r="H2831" s="77" t="str">
        <f>VLOOKUP(DESPESAS[[#This Row],[Plano de Contas]],BASE!$B$3:$D$119,3,FALSE)</f>
        <v>Gratificacoes MOD</v>
      </c>
      <c r="I2831" s="77" t="str">
        <f>IFERROR(VLOOKUP(DESPESAS[[#This Row],[Fornecedor]],Tabela2[],2,FALSE),"")</f>
        <v/>
      </c>
      <c r="J2831" s="77" t="str">
        <f>IFERROR(VLOOKUP(DESPESAS[[#This Row],[Plano de Contas]],BASE!$B$3:$F$119,4,FALSE),"")</f>
        <v>2 - CUSTOS DIRETOS</v>
      </c>
      <c r="K2831" s="77" t="str">
        <f>IFERROR(VLOOKUP(DESPESAS[[#This Row],[Plano de Contas]],BASE!$B$3:$H$119,5,FALSE),"")</f>
        <v>DH</v>
      </c>
      <c r="L2831" s="77" t="str">
        <f>IFERROR(VLOOKUP(DESPESAS[[#This Row],[Plano de Contas]],BASE!$B$3:$H$119,6,FALSE),"")</f>
        <v>CUSTO MÃO DE OBRA DIRETA</v>
      </c>
      <c r="M2831" s="77" t="str">
        <f>VLOOKUP(DESPESAS[[#This Row],[Plano de Contas]],BASE!$B$3:$H$119,7,FALSE)</f>
        <v>RAFAEL</v>
      </c>
    </row>
    <row r="2832" spans="1:13" x14ac:dyDescent="0.25">
      <c r="A2832" s="74">
        <v>199915</v>
      </c>
      <c r="B2832" s="75" t="s">
        <v>232</v>
      </c>
      <c r="C2832" s="75" t="s">
        <v>1134</v>
      </c>
      <c r="D2832" s="76">
        <v>46054</v>
      </c>
      <c r="E2832" s="75" t="s">
        <v>1132</v>
      </c>
      <c r="F2832" s="74">
        <v>360</v>
      </c>
      <c r="G2832" s="75" t="s">
        <v>649</v>
      </c>
      <c r="H2832" s="77" t="str">
        <f>VLOOKUP(DESPESAS[[#This Row],[Plano de Contas]],BASE!$B$3:$D$119,3,FALSE)</f>
        <v>Gratificações CIF</v>
      </c>
      <c r="I2832" s="77" t="str">
        <f>IFERROR(VLOOKUP(DESPESAS[[#This Row],[Fornecedor]],Tabela2[],2,FALSE),"")</f>
        <v/>
      </c>
      <c r="J2832" s="77" t="str">
        <f>IFERROR(VLOOKUP(DESPESAS[[#This Row],[Plano de Contas]],BASE!$B$3:$F$119,4,FALSE),"")</f>
        <v>3 - CUSTOS INDIRETOS</v>
      </c>
      <c r="K2832" s="77" t="str">
        <f>IFERROR(VLOOKUP(DESPESAS[[#This Row],[Plano de Contas]],BASE!$B$3:$H$119,5,FALSE),"")</f>
        <v>DH</v>
      </c>
      <c r="L2832" s="77" t="str">
        <f>IFERROR(VLOOKUP(DESPESAS[[#This Row],[Plano de Contas]],BASE!$B$3:$H$119,6,FALSE),"")</f>
        <v>CUSTO MÃO DE OBRA DIRETA</v>
      </c>
      <c r="M2832" s="77" t="str">
        <f>VLOOKUP(DESPESAS[[#This Row],[Plano de Contas]],BASE!$B$3:$H$119,7,FALSE)</f>
        <v>RAFAEL</v>
      </c>
    </row>
    <row r="2833" spans="1:13" x14ac:dyDescent="0.25">
      <c r="A2833" s="74">
        <v>199916</v>
      </c>
      <c r="B2833" s="75" t="s">
        <v>232</v>
      </c>
      <c r="C2833" s="75" t="s">
        <v>1133</v>
      </c>
      <c r="D2833" s="76">
        <v>46054</v>
      </c>
      <c r="E2833" s="75" t="s">
        <v>1132</v>
      </c>
      <c r="F2833" s="74">
        <v>751.3</v>
      </c>
      <c r="G2833" s="75" t="s">
        <v>642</v>
      </c>
      <c r="H2833" s="77" t="str">
        <f>VLOOKUP(DESPESAS[[#This Row],[Plano de Contas]],BASE!$B$3:$D$119,3,FALSE)</f>
        <v>Gratificacoes MOD</v>
      </c>
      <c r="I2833" s="77" t="str">
        <f>IFERROR(VLOOKUP(DESPESAS[[#This Row],[Fornecedor]],Tabela2[],2,FALSE),"")</f>
        <v/>
      </c>
      <c r="J2833" s="77" t="str">
        <f>IFERROR(VLOOKUP(DESPESAS[[#This Row],[Plano de Contas]],BASE!$B$3:$F$119,4,FALSE),"")</f>
        <v>2 - CUSTOS DIRETOS</v>
      </c>
      <c r="K2833" s="77" t="str">
        <f>IFERROR(VLOOKUP(DESPESAS[[#This Row],[Plano de Contas]],BASE!$B$3:$H$119,5,FALSE),"")</f>
        <v>DH</v>
      </c>
      <c r="L2833" s="77" t="str">
        <f>IFERROR(VLOOKUP(DESPESAS[[#This Row],[Plano de Contas]],BASE!$B$3:$H$119,6,FALSE),"")</f>
        <v>CUSTO MÃO DE OBRA DIRETA</v>
      </c>
      <c r="M2833" s="77" t="str">
        <f>VLOOKUP(DESPESAS[[#This Row],[Plano de Contas]],BASE!$B$3:$H$119,7,FALSE)</f>
        <v>RAFAEL</v>
      </c>
    </row>
    <row r="2834" spans="1:13" x14ac:dyDescent="0.25">
      <c r="A2834" s="74">
        <v>199917</v>
      </c>
      <c r="B2834" s="75" t="s">
        <v>281</v>
      </c>
      <c r="C2834" s="75" t="s">
        <v>1134</v>
      </c>
      <c r="D2834" s="76">
        <v>46054</v>
      </c>
      <c r="E2834" s="75" t="s">
        <v>1132</v>
      </c>
      <c r="F2834" s="74">
        <v>100</v>
      </c>
      <c r="G2834" s="75" t="s">
        <v>649</v>
      </c>
      <c r="H2834" s="77" t="str">
        <f>VLOOKUP(DESPESAS[[#This Row],[Plano de Contas]],BASE!$B$3:$D$119,3,FALSE)</f>
        <v>Gratificações CIF</v>
      </c>
      <c r="I2834" s="77" t="str">
        <f>IFERROR(VLOOKUP(DESPESAS[[#This Row],[Fornecedor]],Tabela2[],2,FALSE),"")</f>
        <v/>
      </c>
      <c r="J2834" s="77" t="str">
        <f>IFERROR(VLOOKUP(DESPESAS[[#This Row],[Plano de Contas]],BASE!$B$3:$F$119,4,FALSE),"")</f>
        <v>3 - CUSTOS INDIRETOS</v>
      </c>
      <c r="K2834" s="77" t="str">
        <f>IFERROR(VLOOKUP(DESPESAS[[#This Row],[Plano de Contas]],BASE!$B$3:$H$119,5,FALSE),"")</f>
        <v>DH</v>
      </c>
      <c r="L2834" s="77" t="str">
        <f>IFERROR(VLOOKUP(DESPESAS[[#This Row],[Plano de Contas]],BASE!$B$3:$H$119,6,FALSE),"")</f>
        <v>CUSTO MÃO DE OBRA DIRETA</v>
      </c>
      <c r="M2834" s="77" t="str">
        <f>VLOOKUP(DESPESAS[[#This Row],[Plano de Contas]],BASE!$B$3:$H$119,7,FALSE)</f>
        <v>RAFAEL</v>
      </c>
    </row>
    <row r="2835" spans="1:13" x14ac:dyDescent="0.25">
      <c r="A2835" s="74">
        <v>199918</v>
      </c>
      <c r="B2835" s="75" t="s">
        <v>281</v>
      </c>
      <c r="C2835" s="75" t="s">
        <v>1135</v>
      </c>
      <c r="D2835" s="76">
        <v>46105</v>
      </c>
      <c r="E2835" s="75" t="s">
        <v>1132</v>
      </c>
      <c r="F2835" s="74">
        <v>150</v>
      </c>
      <c r="G2835" s="75" t="s">
        <v>644</v>
      </c>
      <c r="H2835" s="77" t="str">
        <f>VLOOKUP(DESPESAS[[#This Row],[Plano de Contas]],BASE!$B$3:$D$119,3,FALSE)</f>
        <v>Gratificações (Adm)</v>
      </c>
      <c r="I2835" s="77" t="str">
        <f>IFERROR(VLOOKUP(DESPESAS[[#This Row],[Fornecedor]],Tabela2[],2,FALSE),"")</f>
        <v/>
      </c>
      <c r="J2835" s="77" t="str">
        <f>IFERROR(VLOOKUP(DESPESAS[[#This Row],[Plano de Contas]],BASE!$B$3:$F$119,4,FALSE),"")</f>
        <v>4 - GASTOS COM PESSOAL</v>
      </c>
      <c r="K2835" s="77" t="str">
        <f>IFERROR(VLOOKUP(DESPESAS[[#This Row],[Plano de Contas]],BASE!$B$3:$H$119,5,FALSE),"")</f>
        <v>DH</v>
      </c>
      <c r="L2835" s="77">
        <f>IFERROR(VLOOKUP(DESPESAS[[#This Row],[Plano de Contas]],BASE!$B$3:$H$119,6,FALSE),"")</f>
        <v>0</v>
      </c>
      <c r="M2835" s="77" t="str">
        <f>VLOOKUP(DESPESAS[[#This Row],[Plano de Contas]],BASE!$B$3:$H$119,7,FALSE)</f>
        <v>RAFAEL</v>
      </c>
    </row>
    <row r="2836" spans="1:13" x14ac:dyDescent="0.25">
      <c r="A2836" s="74">
        <v>199919</v>
      </c>
      <c r="B2836" s="75" t="s">
        <v>281</v>
      </c>
      <c r="C2836" s="75" t="s">
        <v>1136</v>
      </c>
      <c r="D2836" s="76">
        <v>46105</v>
      </c>
      <c r="E2836" s="75" t="s">
        <v>1132</v>
      </c>
      <c r="F2836" s="74">
        <v>135</v>
      </c>
      <c r="G2836" s="75" t="s">
        <v>649</v>
      </c>
      <c r="H2836" s="77" t="str">
        <f>VLOOKUP(DESPESAS[[#This Row],[Plano de Contas]],BASE!$B$3:$D$119,3,FALSE)</f>
        <v>Gratificações CIF</v>
      </c>
      <c r="I2836" s="77" t="str">
        <f>IFERROR(VLOOKUP(DESPESAS[[#This Row],[Fornecedor]],Tabela2[],2,FALSE),"")</f>
        <v/>
      </c>
      <c r="J2836" s="77" t="str">
        <f>IFERROR(VLOOKUP(DESPESAS[[#This Row],[Plano de Contas]],BASE!$B$3:$F$119,4,FALSE),"")</f>
        <v>3 - CUSTOS INDIRETOS</v>
      </c>
      <c r="K2836" s="77" t="str">
        <f>IFERROR(VLOOKUP(DESPESAS[[#This Row],[Plano de Contas]],BASE!$B$3:$H$119,5,FALSE),"")</f>
        <v>DH</v>
      </c>
      <c r="L2836" s="77" t="str">
        <f>IFERROR(VLOOKUP(DESPESAS[[#This Row],[Plano de Contas]],BASE!$B$3:$H$119,6,FALSE),"")</f>
        <v>CUSTO MÃO DE OBRA DIRETA</v>
      </c>
      <c r="M2836" s="77" t="str">
        <f>VLOOKUP(DESPESAS[[#This Row],[Plano de Contas]],BASE!$B$3:$H$119,7,FALSE)</f>
        <v>RAFAEL</v>
      </c>
    </row>
    <row r="2837" spans="1:13" x14ac:dyDescent="0.25">
      <c r="A2837" s="74">
        <v>199920</v>
      </c>
      <c r="B2837" s="75" t="s">
        <v>281</v>
      </c>
      <c r="C2837" s="75" t="s">
        <v>1137</v>
      </c>
      <c r="D2837" s="76">
        <v>46105</v>
      </c>
      <c r="E2837" s="75" t="s">
        <v>1132</v>
      </c>
      <c r="F2837" s="74">
        <v>860</v>
      </c>
      <c r="G2837" s="75" t="s">
        <v>642</v>
      </c>
      <c r="H2837" s="77" t="str">
        <f>VLOOKUP(DESPESAS[[#This Row],[Plano de Contas]],BASE!$B$3:$D$119,3,FALSE)</f>
        <v>Gratificacoes MOD</v>
      </c>
      <c r="I2837" s="77" t="str">
        <f>IFERROR(VLOOKUP(DESPESAS[[#This Row],[Fornecedor]],Tabela2[],2,FALSE),"")</f>
        <v/>
      </c>
      <c r="J2837" s="77" t="str">
        <f>IFERROR(VLOOKUP(DESPESAS[[#This Row],[Plano de Contas]],BASE!$B$3:$F$119,4,FALSE),"")</f>
        <v>2 - CUSTOS DIRETOS</v>
      </c>
      <c r="K2837" s="77" t="str">
        <f>IFERROR(VLOOKUP(DESPESAS[[#This Row],[Plano de Contas]],BASE!$B$3:$H$119,5,FALSE),"")</f>
        <v>DH</v>
      </c>
      <c r="L2837" s="77" t="str">
        <f>IFERROR(VLOOKUP(DESPESAS[[#This Row],[Plano de Contas]],BASE!$B$3:$H$119,6,FALSE),"")</f>
        <v>CUSTO MÃO DE OBRA DIRETA</v>
      </c>
      <c r="M2837" s="77" t="str">
        <f>VLOOKUP(DESPESAS[[#This Row],[Plano de Contas]],BASE!$B$3:$H$119,7,FALSE)</f>
        <v>RAFAEL</v>
      </c>
    </row>
    <row r="2838" spans="1:13" x14ac:dyDescent="0.25">
      <c r="A2838" s="74">
        <v>199921</v>
      </c>
      <c r="B2838" s="75" t="s">
        <v>279</v>
      </c>
      <c r="C2838" s="75" t="s">
        <v>1137</v>
      </c>
      <c r="D2838" s="76">
        <v>46105</v>
      </c>
      <c r="E2838" s="75" t="s">
        <v>1132</v>
      </c>
      <c r="F2838" s="74">
        <v>3600</v>
      </c>
      <c r="G2838" s="75" t="s">
        <v>642</v>
      </c>
      <c r="H2838" s="77" t="str">
        <f>VLOOKUP(DESPESAS[[#This Row],[Plano de Contas]],BASE!$B$3:$D$119,3,FALSE)</f>
        <v>Gratificacoes MOD</v>
      </c>
      <c r="I2838" s="77" t="str">
        <f>IFERROR(VLOOKUP(DESPESAS[[#This Row],[Fornecedor]],Tabela2[],2,FALSE),"")</f>
        <v/>
      </c>
      <c r="J2838" s="77" t="str">
        <f>IFERROR(VLOOKUP(DESPESAS[[#This Row],[Plano de Contas]],BASE!$B$3:$F$119,4,FALSE),"")</f>
        <v>2 - CUSTOS DIRETOS</v>
      </c>
      <c r="K2838" s="77" t="str">
        <f>IFERROR(VLOOKUP(DESPESAS[[#This Row],[Plano de Contas]],BASE!$B$3:$H$119,5,FALSE),"")</f>
        <v>DH</v>
      </c>
      <c r="L2838" s="77" t="str">
        <f>IFERROR(VLOOKUP(DESPESAS[[#This Row],[Plano de Contas]],BASE!$B$3:$H$119,6,FALSE),"")</f>
        <v>CUSTO MÃO DE OBRA DIRETA</v>
      </c>
      <c r="M2838" s="77" t="str">
        <f>VLOOKUP(DESPESAS[[#This Row],[Plano de Contas]],BASE!$B$3:$H$119,7,FALSE)</f>
        <v>RAFAEL</v>
      </c>
    </row>
    <row r="2839" spans="1:13" x14ac:dyDescent="0.25">
      <c r="A2839" s="74">
        <v>199922</v>
      </c>
      <c r="B2839" s="75" t="s">
        <v>279</v>
      </c>
      <c r="C2839" s="75" t="s">
        <v>1136</v>
      </c>
      <c r="D2839" s="76">
        <v>46105</v>
      </c>
      <c r="E2839" s="75" t="s">
        <v>1132</v>
      </c>
      <c r="F2839" s="74">
        <v>425</v>
      </c>
      <c r="G2839" s="75" t="s">
        <v>649</v>
      </c>
      <c r="H2839" s="77" t="str">
        <f>VLOOKUP(DESPESAS[[#This Row],[Plano de Contas]],BASE!$B$3:$D$119,3,FALSE)</f>
        <v>Gratificações CIF</v>
      </c>
      <c r="I2839" s="77" t="str">
        <f>IFERROR(VLOOKUP(DESPESAS[[#This Row],[Fornecedor]],Tabela2[],2,FALSE),"")</f>
        <v/>
      </c>
      <c r="J2839" s="77" t="str">
        <f>IFERROR(VLOOKUP(DESPESAS[[#This Row],[Plano de Contas]],BASE!$B$3:$F$119,4,FALSE),"")</f>
        <v>3 - CUSTOS INDIRETOS</v>
      </c>
      <c r="K2839" s="77" t="str">
        <f>IFERROR(VLOOKUP(DESPESAS[[#This Row],[Plano de Contas]],BASE!$B$3:$H$119,5,FALSE),"")</f>
        <v>DH</v>
      </c>
      <c r="L2839" s="77" t="str">
        <f>IFERROR(VLOOKUP(DESPESAS[[#This Row],[Plano de Contas]],BASE!$B$3:$H$119,6,FALSE),"")</f>
        <v>CUSTO MÃO DE OBRA DIRETA</v>
      </c>
      <c r="M2839" s="77" t="str">
        <f>VLOOKUP(DESPESAS[[#This Row],[Plano de Contas]],BASE!$B$3:$H$119,7,FALSE)</f>
        <v>RAFAEL</v>
      </c>
    </row>
    <row r="2840" spans="1:13" x14ac:dyDescent="0.25">
      <c r="A2840" s="74">
        <v>199923</v>
      </c>
      <c r="B2840" s="75" t="s">
        <v>279</v>
      </c>
      <c r="C2840" s="75" t="s">
        <v>1135</v>
      </c>
      <c r="D2840" s="76">
        <v>46105</v>
      </c>
      <c r="E2840" s="75" t="s">
        <v>1132</v>
      </c>
      <c r="F2840" s="74">
        <v>1650</v>
      </c>
      <c r="G2840" s="75" t="s">
        <v>644</v>
      </c>
      <c r="H2840" s="77" t="str">
        <f>VLOOKUP(DESPESAS[[#This Row],[Plano de Contas]],BASE!$B$3:$D$119,3,FALSE)</f>
        <v>Gratificações (Adm)</v>
      </c>
      <c r="I2840" s="77" t="str">
        <f>IFERROR(VLOOKUP(DESPESAS[[#This Row],[Fornecedor]],Tabela2[],2,FALSE),"")</f>
        <v/>
      </c>
      <c r="J2840" s="77" t="str">
        <f>IFERROR(VLOOKUP(DESPESAS[[#This Row],[Plano de Contas]],BASE!$B$3:$F$119,4,FALSE),"")</f>
        <v>4 - GASTOS COM PESSOAL</v>
      </c>
      <c r="K2840" s="77" t="str">
        <f>IFERROR(VLOOKUP(DESPESAS[[#This Row],[Plano de Contas]],BASE!$B$3:$H$119,5,FALSE),"")</f>
        <v>DH</v>
      </c>
      <c r="L2840" s="77">
        <f>IFERROR(VLOOKUP(DESPESAS[[#This Row],[Plano de Contas]],BASE!$B$3:$H$119,6,FALSE),"")</f>
        <v>0</v>
      </c>
      <c r="M2840" s="77" t="str">
        <f>VLOOKUP(DESPESAS[[#This Row],[Plano de Contas]],BASE!$B$3:$H$119,7,FALSE)</f>
        <v>RAFAEL</v>
      </c>
    </row>
    <row r="2841" spans="1:13" x14ac:dyDescent="0.25">
      <c r="A2841" s="74">
        <v>199924</v>
      </c>
      <c r="B2841" s="75" t="s">
        <v>279</v>
      </c>
      <c r="C2841" s="75" t="s">
        <v>1134</v>
      </c>
      <c r="D2841" s="76">
        <v>46054</v>
      </c>
      <c r="E2841" s="75" t="s">
        <v>1132</v>
      </c>
      <c r="F2841" s="74">
        <v>200</v>
      </c>
      <c r="G2841" s="75" t="s">
        <v>649</v>
      </c>
      <c r="H2841" s="77" t="str">
        <f>VLOOKUP(DESPESAS[[#This Row],[Plano de Contas]],BASE!$B$3:$D$119,3,FALSE)</f>
        <v>Gratificações CIF</v>
      </c>
      <c r="I2841" s="77" t="str">
        <f>IFERROR(VLOOKUP(DESPESAS[[#This Row],[Fornecedor]],Tabela2[],2,FALSE),"")</f>
        <v/>
      </c>
      <c r="J2841" s="77" t="str">
        <f>IFERROR(VLOOKUP(DESPESAS[[#This Row],[Plano de Contas]],BASE!$B$3:$F$119,4,FALSE),"")</f>
        <v>3 - CUSTOS INDIRETOS</v>
      </c>
      <c r="K2841" s="77" t="str">
        <f>IFERROR(VLOOKUP(DESPESAS[[#This Row],[Plano de Contas]],BASE!$B$3:$H$119,5,FALSE),"")</f>
        <v>DH</v>
      </c>
      <c r="L2841" s="77" t="str">
        <f>IFERROR(VLOOKUP(DESPESAS[[#This Row],[Plano de Contas]],BASE!$B$3:$H$119,6,FALSE),"")</f>
        <v>CUSTO MÃO DE OBRA DIRETA</v>
      </c>
      <c r="M2841" s="77" t="str">
        <f>VLOOKUP(DESPESAS[[#This Row],[Plano de Contas]],BASE!$B$3:$H$119,7,FALSE)</f>
        <v>RAFAEL</v>
      </c>
    </row>
    <row r="2842" spans="1:13" x14ac:dyDescent="0.25">
      <c r="A2842" s="74">
        <v>199925</v>
      </c>
      <c r="B2842" s="75" t="s">
        <v>279</v>
      </c>
      <c r="C2842" s="75" t="s">
        <v>1133</v>
      </c>
      <c r="D2842" s="76">
        <v>46054</v>
      </c>
      <c r="E2842" s="75" t="s">
        <v>1132</v>
      </c>
      <c r="F2842" s="74">
        <v>800</v>
      </c>
      <c r="G2842" s="75" t="s">
        <v>642</v>
      </c>
      <c r="H2842" s="77" t="str">
        <f>VLOOKUP(DESPESAS[[#This Row],[Plano de Contas]],BASE!$B$3:$D$119,3,FALSE)</f>
        <v>Gratificacoes MOD</v>
      </c>
      <c r="I2842" s="77" t="str">
        <f>IFERROR(VLOOKUP(DESPESAS[[#This Row],[Fornecedor]],Tabela2[],2,FALSE),"")</f>
        <v/>
      </c>
      <c r="J2842" s="77" t="str">
        <f>IFERROR(VLOOKUP(DESPESAS[[#This Row],[Plano de Contas]],BASE!$B$3:$F$119,4,FALSE),"")</f>
        <v>2 - CUSTOS DIRETOS</v>
      </c>
      <c r="K2842" s="77" t="str">
        <f>IFERROR(VLOOKUP(DESPESAS[[#This Row],[Plano de Contas]],BASE!$B$3:$H$119,5,FALSE),"")</f>
        <v>DH</v>
      </c>
      <c r="L2842" s="77" t="str">
        <f>IFERROR(VLOOKUP(DESPESAS[[#This Row],[Plano de Contas]],BASE!$B$3:$H$119,6,FALSE),"")</f>
        <v>CUSTO MÃO DE OBRA DIRETA</v>
      </c>
      <c r="M2842" s="77" t="str">
        <f>VLOOKUP(DESPESAS[[#This Row],[Plano de Contas]],BASE!$B$3:$H$119,7,FALSE)</f>
        <v>RAFAEL</v>
      </c>
    </row>
    <row r="2843" spans="1:13" x14ac:dyDescent="0.25">
      <c r="A2843" s="74">
        <v>199926</v>
      </c>
      <c r="B2843" s="75" t="s">
        <v>232</v>
      </c>
      <c r="C2843" s="75" t="s">
        <v>1131</v>
      </c>
      <c r="D2843" s="76">
        <v>46107</v>
      </c>
      <c r="E2843" s="75" t="s">
        <v>230</v>
      </c>
      <c r="F2843" s="74">
        <v>2.46</v>
      </c>
      <c r="G2843" s="75" t="s">
        <v>356</v>
      </c>
      <c r="H2843" s="77" t="str">
        <f>VLOOKUP(DESPESAS[[#This Row],[Plano de Contas]],BASE!$B$3:$D$119,3,FALSE)</f>
        <v>Despesas Cartorárias</v>
      </c>
      <c r="I2843" s="77" t="str">
        <f>IFERROR(VLOOKUP(DESPESAS[[#This Row],[Fornecedor]],Tabela2[],2,FALSE),"")</f>
        <v/>
      </c>
      <c r="J2843" s="77" t="str">
        <f>IFERROR(VLOOKUP(DESPESAS[[#This Row],[Plano de Contas]],BASE!$B$3:$F$119,4,FALSE),"")</f>
        <v>5 - DESPESAS ADMINISTRATIVAS</v>
      </c>
      <c r="K2843" s="77" t="str">
        <f>IFERROR(VLOOKUP(DESPESAS[[#This Row],[Plano de Contas]],BASE!$B$3:$H$119,5,FALSE),"")</f>
        <v>FINANCEIRO</v>
      </c>
      <c r="L2843" s="77">
        <f>IFERROR(VLOOKUP(DESPESAS[[#This Row],[Plano de Contas]],BASE!$B$3:$H$119,6,FALSE),"")</f>
        <v>0</v>
      </c>
      <c r="M2843" s="77" t="str">
        <f>VLOOKUP(DESPESAS[[#This Row],[Plano de Contas]],BASE!$B$3:$H$119,7,FALSE)</f>
        <v>LETÍCIA</v>
      </c>
    </row>
    <row r="2844" spans="1:13" x14ac:dyDescent="0.25">
      <c r="A2844" s="74">
        <v>199927</v>
      </c>
      <c r="B2844" s="75" t="s">
        <v>232</v>
      </c>
      <c r="C2844" s="75" t="s">
        <v>1130</v>
      </c>
      <c r="D2844" s="76">
        <v>46108</v>
      </c>
      <c r="E2844" s="75" t="s">
        <v>230</v>
      </c>
      <c r="F2844" s="74">
        <v>11.06</v>
      </c>
      <c r="G2844" s="75" t="s">
        <v>251</v>
      </c>
      <c r="H2844" s="77" t="str">
        <f>VLOOKUP(DESPESAS[[#This Row],[Plano de Contas]],BASE!$B$3:$D$119,3,FALSE)</f>
        <v>Juros Pagos - Antecipação de Crédito</v>
      </c>
      <c r="I2844" s="77" t="str">
        <f>IFERROR(VLOOKUP(DESPESAS[[#This Row],[Fornecedor]],Tabela2[],2,FALSE),"")</f>
        <v/>
      </c>
      <c r="J2844" s="77" t="str">
        <f>IFERROR(VLOOKUP(DESPESAS[[#This Row],[Plano de Contas]],BASE!$B$3:$F$119,4,FALSE),"")</f>
        <v>8 - DESPESAS FINANCEIRAS</v>
      </c>
      <c r="K2844" s="77" t="str">
        <f>IFERROR(VLOOKUP(DESPESAS[[#This Row],[Plano de Contas]],BASE!$B$3:$H$119,5,FALSE),"")</f>
        <v>FINANCEIRO</v>
      </c>
      <c r="L2844" s="77">
        <f>IFERROR(VLOOKUP(DESPESAS[[#This Row],[Plano de Contas]],BASE!$B$3:$H$119,6,FALSE),"")</f>
        <v>0</v>
      </c>
      <c r="M2844" s="77" t="str">
        <f>VLOOKUP(DESPESAS[[#This Row],[Plano de Contas]],BASE!$B$3:$H$119,7,FALSE)</f>
        <v>LETÍCIA</v>
      </c>
    </row>
    <row r="2845" spans="1:13" x14ac:dyDescent="0.25">
      <c r="A2845" s="74">
        <v>199928</v>
      </c>
      <c r="B2845" s="75" t="s">
        <v>232</v>
      </c>
      <c r="C2845" s="75" t="s">
        <v>1129</v>
      </c>
      <c r="D2845" s="76">
        <v>46108</v>
      </c>
      <c r="E2845" s="75" t="s">
        <v>230</v>
      </c>
      <c r="F2845" s="74">
        <v>0.65</v>
      </c>
      <c r="G2845" s="75" t="s">
        <v>229</v>
      </c>
      <c r="H2845" s="77" t="str">
        <f>VLOOKUP(DESPESAS[[#This Row],[Plano de Contas]],BASE!$B$3:$D$119,3,FALSE)</f>
        <v>Despesas Bancarias</v>
      </c>
      <c r="I2845" s="77" t="str">
        <f>IFERROR(VLOOKUP(DESPESAS[[#This Row],[Fornecedor]],Tabela2[],2,FALSE),"")</f>
        <v/>
      </c>
      <c r="J2845" s="77" t="str">
        <f>IFERROR(VLOOKUP(DESPESAS[[#This Row],[Plano de Contas]],BASE!$B$3:$F$119,4,FALSE),"")</f>
        <v>8 - DESPESAS FINANCEIRAS</v>
      </c>
      <c r="K2845" s="77" t="str">
        <f>IFERROR(VLOOKUP(DESPESAS[[#This Row],[Plano de Contas]],BASE!$B$3:$H$119,5,FALSE),"")</f>
        <v>FINANCEIRO</v>
      </c>
      <c r="L2845" s="77">
        <f>IFERROR(VLOOKUP(DESPESAS[[#This Row],[Plano de Contas]],BASE!$B$3:$H$119,6,FALSE),"")</f>
        <v>0</v>
      </c>
      <c r="M2845" s="77" t="str">
        <f>VLOOKUP(DESPESAS[[#This Row],[Plano de Contas]],BASE!$B$3:$H$119,7,FALSE)</f>
        <v>LETÍCIA</v>
      </c>
    </row>
    <row r="2846" spans="1:13" x14ac:dyDescent="0.25">
      <c r="A2846" s="74">
        <v>199929</v>
      </c>
      <c r="B2846" s="75" t="s">
        <v>232</v>
      </c>
      <c r="C2846" s="75" t="s">
        <v>1128</v>
      </c>
      <c r="D2846" s="76">
        <v>46108</v>
      </c>
      <c r="E2846" s="75" t="s">
        <v>230</v>
      </c>
      <c r="F2846" s="74">
        <v>5.62</v>
      </c>
      <c r="G2846" s="75" t="s">
        <v>251</v>
      </c>
      <c r="H2846" s="77" t="str">
        <f>VLOOKUP(DESPESAS[[#This Row],[Plano de Contas]],BASE!$B$3:$D$119,3,FALSE)</f>
        <v>Juros Pagos - Antecipação de Crédito</v>
      </c>
      <c r="I2846" s="77" t="str">
        <f>IFERROR(VLOOKUP(DESPESAS[[#This Row],[Fornecedor]],Tabela2[],2,FALSE),"")</f>
        <v/>
      </c>
      <c r="J2846" s="77" t="str">
        <f>IFERROR(VLOOKUP(DESPESAS[[#This Row],[Plano de Contas]],BASE!$B$3:$F$119,4,FALSE),"")</f>
        <v>8 - DESPESAS FINANCEIRAS</v>
      </c>
      <c r="K2846" s="77" t="str">
        <f>IFERROR(VLOOKUP(DESPESAS[[#This Row],[Plano de Contas]],BASE!$B$3:$H$119,5,FALSE),"")</f>
        <v>FINANCEIRO</v>
      </c>
      <c r="L2846" s="77">
        <f>IFERROR(VLOOKUP(DESPESAS[[#This Row],[Plano de Contas]],BASE!$B$3:$H$119,6,FALSE),"")</f>
        <v>0</v>
      </c>
      <c r="M2846" s="77" t="str">
        <f>VLOOKUP(DESPESAS[[#This Row],[Plano de Contas]],BASE!$B$3:$H$119,7,FALSE)</f>
        <v>LETÍCIA</v>
      </c>
    </row>
    <row r="2847" spans="1:13" x14ac:dyDescent="0.25">
      <c r="A2847" s="74">
        <v>199930</v>
      </c>
      <c r="B2847" s="75" t="s">
        <v>232</v>
      </c>
      <c r="C2847" s="75" t="s">
        <v>1127</v>
      </c>
      <c r="D2847" s="76">
        <v>46107</v>
      </c>
      <c r="E2847" s="75" t="s">
        <v>230</v>
      </c>
      <c r="F2847" s="74">
        <v>0.95</v>
      </c>
      <c r="G2847" s="75" t="s">
        <v>236</v>
      </c>
      <c r="H2847" s="77" t="str">
        <f>VLOOKUP(DESPESAS[[#This Row],[Plano de Contas]],BASE!$B$3:$D$119,3,FALSE)</f>
        <v>Despesas de Cobranca</v>
      </c>
      <c r="I2847" s="77" t="str">
        <f>IFERROR(VLOOKUP(DESPESAS[[#This Row],[Fornecedor]],Tabela2[],2,FALSE),"")</f>
        <v/>
      </c>
      <c r="J2847" s="77" t="str">
        <f>IFERROR(VLOOKUP(DESPESAS[[#This Row],[Plano de Contas]],BASE!$B$3:$F$119,4,FALSE),"")</f>
        <v>8 - DESPESAS FINANCEIRAS</v>
      </c>
      <c r="K2847" s="77" t="str">
        <f>IFERROR(VLOOKUP(DESPESAS[[#This Row],[Plano de Contas]],BASE!$B$3:$H$119,5,FALSE),"")</f>
        <v>FINANCEIRO</v>
      </c>
      <c r="L2847" s="77">
        <f>IFERROR(VLOOKUP(DESPESAS[[#This Row],[Plano de Contas]],BASE!$B$3:$H$119,6,FALSE),"")</f>
        <v>0</v>
      </c>
      <c r="M2847" s="77" t="str">
        <f>VLOOKUP(DESPESAS[[#This Row],[Plano de Contas]],BASE!$B$3:$H$119,7,FALSE)</f>
        <v>LETÍCIA</v>
      </c>
    </row>
    <row r="2848" spans="1:13" x14ac:dyDescent="0.25">
      <c r="A2848" s="74">
        <v>199931</v>
      </c>
      <c r="B2848" s="75" t="s">
        <v>279</v>
      </c>
      <c r="C2848" s="75" t="s">
        <v>1126</v>
      </c>
      <c r="D2848" s="76">
        <v>46107</v>
      </c>
      <c r="E2848" s="75" t="s">
        <v>230</v>
      </c>
      <c r="F2848" s="74">
        <v>0.79</v>
      </c>
      <c r="G2848" s="75" t="s">
        <v>236</v>
      </c>
      <c r="H2848" s="77" t="str">
        <f>VLOOKUP(DESPESAS[[#This Row],[Plano de Contas]],BASE!$B$3:$D$119,3,FALSE)</f>
        <v>Despesas de Cobranca</v>
      </c>
      <c r="I2848" s="77" t="str">
        <f>IFERROR(VLOOKUP(DESPESAS[[#This Row],[Fornecedor]],Tabela2[],2,FALSE),"")</f>
        <v/>
      </c>
      <c r="J2848" s="77" t="str">
        <f>IFERROR(VLOOKUP(DESPESAS[[#This Row],[Plano de Contas]],BASE!$B$3:$F$119,4,FALSE),"")</f>
        <v>8 - DESPESAS FINANCEIRAS</v>
      </c>
      <c r="K2848" s="77" t="str">
        <f>IFERROR(VLOOKUP(DESPESAS[[#This Row],[Plano de Contas]],BASE!$B$3:$H$119,5,FALSE),"")</f>
        <v>FINANCEIRO</v>
      </c>
      <c r="L2848" s="77">
        <f>IFERROR(VLOOKUP(DESPESAS[[#This Row],[Plano de Contas]],BASE!$B$3:$H$119,6,FALSE),"")</f>
        <v>0</v>
      </c>
      <c r="M2848" s="77" t="str">
        <f>VLOOKUP(DESPESAS[[#This Row],[Plano de Contas]],BASE!$B$3:$H$119,7,FALSE)</f>
        <v>LETÍCIA</v>
      </c>
    </row>
    <row r="2849" spans="1:13" x14ac:dyDescent="0.25">
      <c r="A2849" s="74">
        <v>199932</v>
      </c>
      <c r="B2849" s="75" t="s">
        <v>232</v>
      </c>
      <c r="C2849" s="75" t="s">
        <v>1125</v>
      </c>
      <c r="D2849" s="76">
        <v>46108</v>
      </c>
      <c r="E2849" s="75" t="s">
        <v>303</v>
      </c>
      <c r="F2849" s="74">
        <v>327</v>
      </c>
      <c r="G2849" s="75" t="s">
        <v>247</v>
      </c>
      <c r="H2849" s="77" t="str">
        <f>VLOOKUP(DESPESAS[[#This Row],[Plano de Contas]],BASE!$B$3:$D$119,3,FALSE)</f>
        <v>Manutenção com veiculos</v>
      </c>
      <c r="I2849" s="77" t="str">
        <f>IFERROR(VLOOKUP(DESPESAS[[#This Row],[Fornecedor]],Tabela2[],2,FALSE),"")</f>
        <v/>
      </c>
      <c r="J2849" s="77" t="str">
        <f>IFERROR(VLOOKUP(DESPESAS[[#This Row],[Plano de Contas]],BASE!$B$3:$F$119,4,FALSE),"")</f>
        <v>6 - DESPESA COM VENDAS</v>
      </c>
      <c r="K2849" s="77" t="str">
        <f>IFERROR(VLOOKUP(DESPESAS[[#This Row],[Plano de Contas]],BASE!$B$3:$H$119,5,FALSE),"")</f>
        <v>LOGÍSTICA</v>
      </c>
      <c r="L2849" s="77">
        <f>IFERROR(VLOOKUP(DESPESAS[[#This Row],[Plano de Contas]],BASE!$B$3:$H$119,6,FALSE),"")</f>
        <v>0</v>
      </c>
      <c r="M2849" s="77" t="str">
        <f>VLOOKUP(DESPESAS[[#This Row],[Plano de Contas]],BASE!$B$3:$H$119,7,FALSE)</f>
        <v>MYLENA</v>
      </c>
    </row>
    <row r="2850" spans="1:13" x14ac:dyDescent="0.25">
      <c r="A2850" s="74">
        <v>199934</v>
      </c>
      <c r="B2850" s="75" t="s">
        <v>221</v>
      </c>
      <c r="C2850" s="75" t="s">
        <v>1124</v>
      </c>
      <c r="D2850" s="76">
        <v>46108</v>
      </c>
      <c r="E2850" s="75" t="s">
        <v>256</v>
      </c>
      <c r="F2850" s="74">
        <v>689.6</v>
      </c>
      <c r="G2850" s="75" t="s">
        <v>255</v>
      </c>
      <c r="H2850" s="77" t="str">
        <f>VLOOKUP(DESPESAS[[#This Row],[Plano de Contas]],BASE!$B$3:$D$119,3,FALSE)</f>
        <v>Mostruário de Tecido</v>
      </c>
      <c r="I2850" s="77" t="str">
        <f>IFERROR(VLOOKUP(DESPESAS[[#This Row],[Fornecedor]],Tabela2[],2,FALSE),"")</f>
        <v/>
      </c>
      <c r="J2850" s="77" t="str">
        <f>IFERROR(VLOOKUP(DESPESAS[[#This Row],[Plano de Contas]],BASE!$B$3:$F$119,4,FALSE),"")</f>
        <v>6 - DESPESA COM VENDAS</v>
      </c>
      <c r="K2850" s="77" t="str">
        <f>IFERROR(VLOOKUP(DESPESAS[[#This Row],[Plano de Contas]],BASE!$B$3:$H$119,5,FALSE),"")</f>
        <v>COMERCIAL</v>
      </c>
      <c r="L2850" s="77">
        <f>IFERROR(VLOOKUP(DESPESAS[[#This Row],[Plano de Contas]],BASE!$B$3:$H$119,6,FALSE),"")</f>
        <v>0</v>
      </c>
      <c r="M2850" s="77" t="str">
        <f>VLOOKUP(DESPESAS[[#This Row],[Plano de Contas]],BASE!$B$3:$H$119,7,FALSE)</f>
        <v>LETÍCIA</v>
      </c>
    </row>
    <row r="2851" spans="1:13" x14ac:dyDescent="0.25">
      <c r="A2851" s="74">
        <v>199935</v>
      </c>
      <c r="B2851" s="75" t="s">
        <v>232</v>
      </c>
      <c r="C2851" s="75" t="s">
        <v>1123</v>
      </c>
      <c r="D2851" s="76">
        <v>46108</v>
      </c>
      <c r="E2851" s="75" t="s">
        <v>260</v>
      </c>
      <c r="F2851" s="74">
        <v>162</v>
      </c>
      <c r="G2851" s="75" t="s">
        <v>588</v>
      </c>
      <c r="H2851" s="77" t="str">
        <f>VLOOKUP(DESPESAS[[#This Row],[Plano de Contas]],BASE!$B$3:$D$119,3,FALSE)</f>
        <v>Maquinas e Equipamentos</v>
      </c>
      <c r="I2851" s="77" t="str">
        <f>IFERROR(VLOOKUP(DESPESAS[[#This Row],[Fornecedor]],Tabela2[],2,FALSE),"")</f>
        <v>PEÇAS DE FERRAMENTAS</v>
      </c>
      <c r="J2851" s="77" t="str">
        <f>IFERROR(VLOOKUP(DESPESAS[[#This Row],[Plano de Contas]],BASE!$B$3:$F$119,4,FALSE),"")</f>
        <v>9 - INVESTIMENTOS</v>
      </c>
      <c r="K2851" s="77" t="str">
        <f>IFERROR(VLOOKUP(DESPESAS[[#This Row],[Plano de Contas]],BASE!$B$3:$H$119,5,FALSE),"")</f>
        <v>MANUTENÇÃO / TI</v>
      </c>
      <c r="L2851" s="77">
        <f>IFERROR(VLOOKUP(DESPESAS[[#This Row],[Plano de Contas]],BASE!$B$3:$H$119,6,FALSE),"")</f>
        <v>0</v>
      </c>
      <c r="M2851" s="77" t="str">
        <f>VLOOKUP(DESPESAS[[#This Row],[Plano de Contas]],BASE!$B$3:$H$119,7,FALSE)</f>
        <v>RAFAEL</v>
      </c>
    </row>
    <row r="2852" spans="1:13" x14ac:dyDescent="0.25">
      <c r="A2852" s="74">
        <v>199936</v>
      </c>
      <c r="B2852" s="75" t="s">
        <v>232</v>
      </c>
      <c r="C2852" s="75" t="s">
        <v>1122</v>
      </c>
      <c r="D2852" s="76">
        <v>46108</v>
      </c>
      <c r="E2852" s="75" t="s">
        <v>1121</v>
      </c>
      <c r="F2852" s="74">
        <v>1286.8399999999999</v>
      </c>
      <c r="G2852" s="75" t="s">
        <v>241</v>
      </c>
      <c r="H2852" s="77" t="str">
        <f>VLOOKUP(DESPESAS[[#This Row],[Plano de Contas]],BASE!$B$3:$D$119,3,FALSE)</f>
        <v>Combustiveis Frota</v>
      </c>
      <c r="I2852" s="77" t="str">
        <f>IFERROR(VLOOKUP(DESPESAS[[#This Row],[Fornecedor]],Tabela2[],2,FALSE),"")</f>
        <v/>
      </c>
      <c r="J2852" s="77" t="str">
        <f>IFERROR(VLOOKUP(DESPESAS[[#This Row],[Plano de Contas]],BASE!$B$3:$F$119,4,FALSE),"")</f>
        <v>6 - DESPESA COM VENDAS</v>
      </c>
      <c r="K2852" s="77" t="str">
        <f>IFERROR(VLOOKUP(DESPESAS[[#This Row],[Plano de Contas]],BASE!$B$3:$H$119,5,FALSE),"")</f>
        <v>LOGÍSTICA</v>
      </c>
      <c r="L2852" s="77">
        <f>IFERROR(VLOOKUP(DESPESAS[[#This Row],[Plano de Contas]],BASE!$B$3:$H$119,6,FALSE),"")</f>
        <v>0</v>
      </c>
      <c r="M2852" s="77" t="str">
        <f>VLOOKUP(DESPESAS[[#This Row],[Plano de Contas]],BASE!$B$3:$H$119,7,FALSE)</f>
        <v>MYLENA</v>
      </c>
    </row>
    <row r="2853" spans="1:13" x14ac:dyDescent="0.25">
      <c r="A2853" s="74">
        <v>199937</v>
      </c>
      <c r="B2853" s="75" t="s">
        <v>232</v>
      </c>
      <c r="C2853" s="75" t="s">
        <v>1120</v>
      </c>
      <c r="D2853" s="76">
        <v>46108</v>
      </c>
      <c r="E2853" s="75" t="s">
        <v>389</v>
      </c>
      <c r="F2853" s="74">
        <v>127.04</v>
      </c>
      <c r="G2853" s="75" t="s">
        <v>241</v>
      </c>
      <c r="H2853" s="77" t="str">
        <f>VLOOKUP(DESPESAS[[#This Row],[Plano de Contas]],BASE!$B$3:$D$119,3,FALSE)</f>
        <v>Combustiveis Frota</v>
      </c>
      <c r="I2853" s="77" t="str">
        <f>IFERROR(VLOOKUP(DESPESAS[[#This Row],[Fornecedor]],Tabela2[],2,FALSE),"")</f>
        <v/>
      </c>
      <c r="J2853" s="77" t="str">
        <f>IFERROR(VLOOKUP(DESPESAS[[#This Row],[Plano de Contas]],BASE!$B$3:$F$119,4,FALSE),"")</f>
        <v>6 - DESPESA COM VENDAS</v>
      </c>
      <c r="K2853" s="77" t="str">
        <f>IFERROR(VLOOKUP(DESPESAS[[#This Row],[Plano de Contas]],BASE!$B$3:$H$119,5,FALSE),"")</f>
        <v>LOGÍSTICA</v>
      </c>
      <c r="L2853" s="77">
        <f>IFERROR(VLOOKUP(DESPESAS[[#This Row],[Plano de Contas]],BASE!$B$3:$H$119,6,FALSE),"")</f>
        <v>0</v>
      </c>
      <c r="M2853" s="77" t="str">
        <f>VLOOKUP(DESPESAS[[#This Row],[Plano de Contas]],BASE!$B$3:$H$119,7,FALSE)</f>
        <v>MYLENA</v>
      </c>
    </row>
    <row r="2854" spans="1:13" x14ac:dyDescent="0.25">
      <c r="A2854" s="74">
        <v>199938</v>
      </c>
      <c r="B2854" s="75" t="s">
        <v>232</v>
      </c>
      <c r="C2854" s="75" t="s">
        <v>1119</v>
      </c>
      <c r="D2854" s="76">
        <v>46108</v>
      </c>
      <c r="E2854" s="75" t="s">
        <v>739</v>
      </c>
      <c r="F2854" s="74">
        <v>1482.86</v>
      </c>
      <c r="G2854" s="75" t="s">
        <v>241</v>
      </c>
      <c r="H2854" s="77" t="str">
        <f>VLOOKUP(DESPESAS[[#This Row],[Plano de Contas]],BASE!$B$3:$D$119,3,FALSE)</f>
        <v>Combustiveis Frota</v>
      </c>
      <c r="I2854" s="77" t="str">
        <f>IFERROR(VLOOKUP(DESPESAS[[#This Row],[Fornecedor]],Tabela2[],2,FALSE),"")</f>
        <v/>
      </c>
      <c r="J2854" s="77" t="str">
        <f>IFERROR(VLOOKUP(DESPESAS[[#This Row],[Plano de Contas]],BASE!$B$3:$F$119,4,FALSE),"")</f>
        <v>6 - DESPESA COM VENDAS</v>
      </c>
      <c r="K2854" s="77" t="str">
        <f>IFERROR(VLOOKUP(DESPESAS[[#This Row],[Plano de Contas]],BASE!$B$3:$H$119,5,FALSE),"")</f>
        <v>LOGÍSTICA</v>
      </c>
      <c r="L2854" s="77">
        <f>IFERROR(VLOOKUP(DESPESAS[[#This Row],[Plano de Contas]],BASE!$B$3:$H$119,6,FALSE),"")</f>
        <v>0</v>
      </c>
      <c r="M2854" s="77" t="str">
        <f>VLOOKUP(DESPESAS[[#This Row],[Plano de Contas]],BASE!$B$3:$H$119,7,FALSE)</f>
        <v>MYLENA</v>
      </c>
    </row>
    <row r="2855" spans="1:13" x14ac:dyDescent="0.25">
      <c r="A2855" s="74">
        <v>199939</v>
      </c>
      <c r="B2855" s="75" t="s">
        <v>232</v>
      </c>
      <c r="C2855" s="75" t="s">
        <v>1118</v>
      </c>
      <c r="D2855" s="76">
        <v>46108</v>
      </c>
      <c r="E2855" s="75" t="s">
        <v>739</v>
      </c>
      <c r="F2855" s="74">
        <v>77.760000000000005</v>
      </c>
      <c r="G2855" s="75" t="s">
        <v>241</v>
      </c>
      <c r="H2855" s="77" t="str">
        <f>VLOOKUP(DESPESAS[[#This Row],[Plano de Contas]],BASE!$B$3:$D$119,3,FALSE)</f>
        <v>Combustiveis Frota</v>
      </c>
      <c r="I2855" s="77" t="str">
        <f>IFERROR(VLOOKUP(DESPESAS[[#This Row],[Fornecedor]],Tabela2[],2,FALSE),"")</f>
        <v/>
      </c>
      <c r="J2855" s="77" t="str">
        <f>IFERROR(VLOOKUP(DESPESAS[[#This Row],[Plano de Contas]],BASE!$B$3:$F$119,4,FALSE),"")</f>
        <v>6 - DESPESA COM VENDAS</v>
      </c>
      <c r="K2855" s="77" t="str">
        <f>IFERROR(VLOOKUP(DESPESAS[[#This Row],[Plano de Contas]],BASE!$B$3:$H$119,5,FALSE),"")</f>
        <v>LOGÍSTICA</v>
      </c>
      <c r="L2855" s="77">
        <f>IFERROR(VLOOKUP(DESPESAS[[#This Row],[Plano de Contas]],BASE!$B$3:$H$119,6,FALSE),"")</f>
        <v>0</v>
      </c>
      <c r="M2855" s="77" t="str">
        <f>VLOOKUP(DESPESAS[[#This Row],[Plano de Contas]],BASE!$B$3:$H$119,7,FALSE)</f>
        <v>MYLENA</v>
      </c>
    </row>
    <row r="2856" spans="1:13" x14ac:dyDescent="0.25">
      <c r="A2856" s="74">
        <v>199940</v>
      </c>
      <c r="B2856" s="75" t="s">
        <v>221</v>
      </c>
      <c r="C2856" s="75" t="s">
        <v>1117</v>
      </c>
      <c r="D2856" s="76">
        <v>46108</v>
      </c>
      <c r="E2856" s="75" t="s">
        <v>301</v>
      </c>
      <c r="F2856" s="74">
        <v>160</v>
      </c>
      <c r="G2856" s="75" t="s">
        <v>247</v>
      </c>
      <c r="H2856" s="77" t="str">
        <f>VLOOKUP(DESPESAS[[#This Row],[Plano de Contas]],BASE!$B$3:$D$119,3,FALSE)</f>
        <v>Manutenção com veiculos</v>
      </c>
      <c r="I2856" s="77" t="str">
        <f>IFERROR(VLOOKUP(DESPESAS[[#This Row],[Fornecedor]],Tabela2[],2,FALSE),"")</f>
        <v/>
      </c>
      <c r="J2856" s="77" t="str">
        <f>IFERROR(VLOOKUP(DESPESAS[[#This Row],[Plano de Contas]],BASE!$B$3:$F$119,4,FALSE),"")</f>
        <v>6 - DESPESA COM VENDAS</v>
      </c>
      <c r="K2856" s="77" t="str">
        <f>IFERROR(VLOOKUP(DESPESAS[[#This Row],[Plano de Contas]],BASE!$B$3:$H$119,5,FALSE),"")</f>
        <v>LOGÍSTICA</v>
      </c>
      <c r="L2856" s="77">
        <f>IFERROR(VLOOKUP(DESPESAS[[#This Row],[Plano de Contas]],BASE!$B$3:$H$119,6,FALSE),"")</f>
        <v>0</v>
      </c>
      <c r="M2856" s="77" t="str">
        <f>VLOOKUP(DESPESAS[[#This Row],[Plano de Contas]],BASE!$B$3:$H$119,7,FALSE)</f>
        <v>MYLENA</v>
      </c>
    </row>
    <row r="2857" spans="1:13" x14ac:dyDescent="0.25">
      <c r="A2857" s="74">
        <v>199941</v>
      </c>
      <c r="B2857" s="75" t="s">
        <v>221</v>
      </c>
      <c r="C2857" s="75" t="s">
        <v>1116</v>
      </c>
      <c r="D2857" s="76">
        <v>46108</v>
      </c>
      <c r="E2857" s="75" t="s">
        <v>301</v>
      </c>
      <c r="F2857" s="74">
        <v>40</v>
      </c>
      <c r="G2857" s="75" t="s">
        <v>247</v>
      </c>
      <c r="H2857" s="77" t="str">
        <f>VLOOKUP(DESPESAS[[#This Row],[Plano de Contas]],BASE!$B$3:$D$119,3,FALSE)</f>
        <v>Manutenção com veiculos</v>
      </c>
      <c r="I2857" s="77" t="str">
        <f>IFERROR(VLOOKUP(DESPESAS[[#This Row],[Fornecedor]],Tabela2[],2,FALSE),"")</f>
        <v/>
      </c>
      <c r="J2857" s="77" t="str">
        <f>IFERROR(VLOOKUP(DESPESAS[[#This Row],[Plano de Contas]],BASE!$B$3:$F$119,4,FALSE),"")</f>
        <v>6 - DESPESA COM VENDAS</v>
      </c>
      <c r="K2857" s="77" t="str">
        <f>IFERROR(VLOOKUP(DESPESAS[[#This Row],[Plano de Contas]],BASE!$B$3:$H$119,5,FALSE),"")</f>
        <v>LOGÍSTICA</v>
      </c>
      <c r="L2857" s="77">
        <f>IFERROR(VLOOKUP(DESPESAS[[#This Row],[Plano de Contas]],BASE!$B$3:$H$119,6,FALSE),"")</f>
        <v>0</v>
      </c>
      <c r="M2857" s="77" t="str">
        <f>VLOOKUP(DESPESAS[[#This Row],[Plano de Contas]],BASE!$B$3:$H$119,7,FALSE)</f>
        <v>MYLENA</v>
      </c>
    </row>
    <row r="2858" spans="1:13" x14ac:dyDescent="0.25">
      <c r="A2858" s="74">
        <v>199942</v>
      </c>
      <c r="B2858" s="75" t="s">
        <v>221</v>
      </c>
      <c r="C2858" s="75" t="s">
        <v>1115</v>
      </c>
      <c r="D2858" s="76">
        <v>46108</v>
      </c>
      <c r="E2858" s="75" t="s">
        <v>413</v>
      </c>
      <c r="F2858" s="74">
        <v>1720</v>
      </c>
      <c r="G2858" s="75" t="s">
        <v>262</v>
      </c>
      <c r="H2858" s="77" t="str">
        <f>VLOOKUP(DESPESAS[[#This Row],[Plano de Contas]],BASE!$B$3:$D$119,3,FALSE)</f>
        <v>Fretes Karams</v>
      </c>
      <c r="I2858" s="77" t="str">
        <f>IFERROR(VLOOKUP(DESPESAS[[#This Row],[Fornecedor]],Tabela2[],2,FALSE),"")</f>
        <v/>
      </c>
      <c r="J2858" s="77" t="str">
        <f>IFERROR(VLOOKUP(DESPESAS[[#This Row],[Plano de Contas]],BASE!$B$3:$F$119,4,FALSE),"")</f>
        <v>6 - DESPESA COM VENDAS</v>
      </c>
      <c r="K2858" s="77" t="str">
        <f>IFERROR(VLOOKUP(DESPESAS[[#This Row],[Plano de Contas]],BASE!$B$3:$H$119,5,FALSE),"")</f>
        <v>LOGÍSTICA</v>
      </c>
      <c r="L2858" s="77">
        <f>IFERROR(VLOOKUP(DESPESAS[[#This Row],[Plano de Contas]],BASE!$B$3:$H$119,6,FALSE),"")</f>
        <v>0</v>
      </c>
      <c r="M2858" s="77" t="str">
        <f>VLOOKUP(DESPESAS[[#This Row],[Plano de Contas]],BASE!$B$3:$H$119,7,FALSE)</f>
        <v>MYLENA</v>
      </c>
    </row>
    <row r="2859" spans="1:13" x14ac:dyDescent="0.25">
      <c r="A2859" s="74">
        <v>199943</v>
      </c>
      <c r="B2859" s="75" t="s">
        <v>221</v>
      </c>
      <c r="C2859" s="75" t="s">
        <v>1114</v>
      </c>
      <c r="D2859" s="76">
        <v>46108</v>
      </c>
      <c r="E2859" s="75" t="s">
        <v>242</v>
      </c>
      <c r="F2859" s="74">
        <v>2732.4</v>
      </c>
      <c r="G2859" s="75" t="s">
        <v>241</v>
      </c>
      <c r="H2859" s="77" t="str">
        <f>VLOOKUP(DESPESAS[[#This Row],[Plano de Contas]],BASE!$B$3:$D$119,3,FALSE)</f>
        <v>Combustiveis Frota</v>
      </c>
      <c r="I2859" s="77" t="str">
        <f>IFERROR(VLOOKUP(DESPESAS[[#This Row],[Fornecedor]],Tabela2[],2,FALSE),"")</f>
        <v/>
      </c>
      <c r="J2859" s="77" t="str">
        <f>IFERROR(VLOOKUP(DESPESAS[[#This Row],[Plano de Contas]],BASE!$B$3:$F$119,4,FALSE),"")</f>
        <v>6 - DESPESA COM VENDAS</v>
      </c>
      <c r="K2859" s="77" t="str">
        <f>IFERROR(VLOOKUP(DESPESAS[[#This Row],[Plano de Contas]],BASE!$B$3:$H$119,5,FALSE),"")</f>
        <v>LOGÍSTICA</v>
      </c>
      <c r="L2859" s="77">
        <f>IFERROR(VLOOKUP(DESPESAS[[#This Row],[Plano de Contas]],BASE!$B$3:$H$119,6,FALSE),"")</f>
        <v>0</v>
      </c>
      <c r="M2859" s="77" t="str">
        <f>VLOOKUP(DESPESAS[[#This Row],[Plano de Contas]],BASE!$B$3:$H$119,7,FALSE)</f>
        <v>MYLENA</v>
      </c>
    </row>
    <row r="2860" spans="1:13" x14ac:dyDescent="0.25">
      <c r="A2860" s="74">
        <v>199944</v>
      </c>
      <c r="B2860" s="75" t="s">
        <v>221</v>
      </c>
      <c r="C2860" s="75" t="s">
        <v>1113</v>
      </c>
      <c r="D2860" s="76">
        <v>46108</v>
      </c>
      <c r="E2860" s="75" t="s">
        <v>1112</v>
      </c>
      <c r="F2860" s="74">
        <v>5300</v>
      </c>
      <c r="G2860" s="75" t="s">
        <v>259</v>
      </c>
      <c r="H2860" s="77" t="str">
        <f>VLOOKUP(DESPESAS[[#This Row],[Plano de Contas]],BASE!$B$3:$D$119,3,FALSE)</f>
        <v>Manutenção Predial CIF</v>
      </c>
      <c r="I2860" s="77" t="str">
        <f>IFERROR(VLOOKUP(DESPESAS[[#This Row],[Fornecedor]],Tabela2[],2,FALSE),"")</f>
        <v/>
      </c>
      <c r="J2860" s="77" t="str">
        <f>IFERROR(VLOOKUP(DESPESAS[[#This Row],[Plano de Contas]],BASE!$B$3:$F$119,4,FALSE),"")</f>
        <v>3 - CUSTOS INDIRETOS</v>
      </c>
      <c r="K2860" s="77" t="str">
        <f>IFERROR(VLOOKUP(DESPESAS[[#This Row],[Plano de Contas]],BASE!$B$3:$H$119,5,FALSE),"")</f>
        <v>MANUTENÇÃO / TI</v>
      </c>
      <c r="L2860" s="77">
        <f>IFERROR(VLOOKUP(DESPESAS[[#This Row],[Plano de Contas]],BASE!$B$3:$H$119,6,FALSE),"")</f>
        <v>0</v>
      </c>
      <c r="M2860" s="77" t="str">
        <f>VLOOKUP(DESPESAS[[#This Row],[Plano de Contas]],BASE!$B$3:$H$119,7,FALSE)</f>
        <v>FÁBIO</v>
      </c>
    </row>
    <row r="2861" spans="1:13" x14ac:dyDescent="0.25">
      <c r="A2861" s="74">
        <v>199945</v>
      </c>
      <c r="B2861" s="75" t="s">
        <v>232</v>
      </c>
      <c r="C2861" s="75" t="s">
        <v>1111</v>
      </c>
      <c r="D2861" s="76">
        <v>46108</v>
      </c>
      <c r="E2861" s="75" t="s">
        <v>230</v>
      </c>
      <c r="F2861" s="74">
        <v>91.66</v>
      </c>
      <c r="G2861" s="75" t="s">
        <v>229</v>
      </c>
      <c r="H2861" s="77" t="str">
        <f>VLOOKUP(DESPESAS[[#This Row],[Plano de Contas]],BASE!$B$3:$D$119,3,FALSE)</f>
        <v>Despesas Bancarias</v>
      </c>
      <c r="I2861" s="77" t="str">
        <f>IFERROR(VLOOKUP(DESPESAS[[#This Row],[Fornecedor]],Tabela2[],2,FALSE),"")</f>
        <v/>
      </c>
      <c r="J2861" s="77" t="str">
        <f>IFERROR(VLOOKUP(DESPESAS[[#This Row],[Plano de Contas]],BASE!$B$3:$F$119,4,FALSE),"")</f>
        <v>8 - DESPESAS FINANCEIRAS</v>
      </c>
      <c r="K2861" s="77" t="str">
        <f>IFERROR(VLOOKUP(DESPESAS[[#This Row],[Plano de Contas]],BASE!$B$3:$H$119,5,FALSE),"")</f>
        <v>FINANCEIRO</v>
      </c>
      <c r="L2861" s="77">
        <f>IFERROR(VLOOKUP(DESPESAS[[#This Row],[Plano de Contas]],BASE!$B$3:$H$119,6,FALSE),"")</f>
        <v>0</v>
      </c>
      <c r="M2861" s="77" t="str">
        <f>VLOOKUP(DESPESAS[[#This Row],[Plano de Contas]],BASE!$B$3:$H$119,7,FALSE)</f>
        <v>LETÍCIA</v>
      </c>
    </row>
    <row r="2862" spans="1:13" x14ac:dyDescent="0.25">
      <c r="A2862" s="74">
        <v>199946</v>
      </c>
      <c r="B2862" s="75" t="s">
        <v>232</v>
      </c>
      <c r="C2862" s="75" t="s">
        <v>1110</v>
      </c>
      <c r="D2862" s="76">
        <v>46108</v>
      </c>
      <c r="E2862" s="75" t="s">
        <v>230</v>
      </c>
      <c r="F2862" s="74">
        <v>64.83</v>
      </c>
      <c r="G2862" s="75" t="s">
        <v>229</v>
      </c>
      <c r="H2862" s="77" t="str">
        <f>VLOOKUP(DESPESAS[[#This Row],[Plano de Contas]],BASE!$B$3:$D$119,3,FALSE)</f>
        <v>Despesas Bancarias</v>
      </c>
      <c r="I2862" s="77" t="str">
        <f>IFERROR(VLOOKUP(DESPESAS[[#This Row],[Fornecedor]],Tabela2[],2,FALSE),"")</f>
        <v/>
      </c>
      <c r="J2862" s="77" t="str">
        <f>IFERROR(VLOOKUP(DESPESAS[[#This Row],[Plano de Contas]],BASE!$B$3:$F$119,4,FALSE),"")</f>
        <v>8 - DESPESAS FINANCEIRAS</v>
      </c>
      <c r="K2862" s="77" t="str">
        <f>IFERROR(VLOOKUP(DESPESAS[[#This Row],[Plano de Contas]],BASE!$B$3:$H$119,5,FALSE),"")</f>
        <v>FINANCEIRO</v>
      </c>
      <c r="L2862" s="77">
        <f>IFERROR(VLOOKUP(DESPESAS[[#This Row],[Plano de Contas]],BASE!$B$3:$H$119,6,FALSE),"")</f>
        <v>0</v>
      </c>
      <c r="M2862" s="77" t="str">
        <f>VLOOKUP(DESPESAS[[#This Row],[Plano de Contas]],BASE!$B$3:$H$119,7,FALSE)</f>
        <v>LETÍCIA</v>
      </c>
    </row>
    <row r="2863" spans="1:13" x14ac:dyDescent="0.25">
      <c r="A2863" s="74">
        <v>199947</v>
      </c>
      <c r="B2863" s="75" t="s">
        <v>232</v>
      </c>
      <c r="C2863" s="75" t="s">
        <v>1109</v>
      </c>
      <c r="D2863" s="76">
        <v>46108</v>
      </c>
      <c r="E2863" s="75" t="s">
        <v>230</v>
      </c>
      <c r="F2863" s="74">
        <v>570.73</v>
      </c>
      <c r="G2863" s="75" t="s">
        <v>251</v>
      </c>
      <c r="H2863" s="77" t="str">
        <f>VLOOKUP(DESPESAS[[#This Row],[Plano de Contas]],BASE!$B$3:$D$119,3,FALSE)</f>
        <v>Juros Pagos - Antecipação de Crédito</v>
      </c>
      <c r="I2863" s="77" t="str">
        <f>IFERROR(VLOOKUP(DESPESAS[[#This Row],[Fornecedor]],Tabela2[],2,FALSE),"")</f>
        <v/>
      </c>
      <c r="J2863" s="77" t="str">
        <f>IFERROR(VLOOKUP(DESPESAS[[#This Row],[Plano de Contas]],BASE!$B$3:$F$119,4,FALSE),"")</f>
        <v>8 - DESPESAS FINANCEIRAS</v>
      </c>
      <c r="K2863" s="77" t="str">
        <f>IFERROR(VLOOKUP(DESPESAS[[#This Row],[Plano de Contas]],BASE!$B$3:$H$119,5,FALSE),"")</f>
        <v>FINANCEIRO</v>
      </c>
      <c r="L2863" s="77">
        <f>IFERROR(VLOOKUP(DESPESAS[[#This Row],[Plano de Contas]],BASE!$B$3:$H$119,6,FALSE),"")</f>
        <v>0</v>
      </c>
      <c r="M2863" s="77" t="str">
        <f>VLOOKUP(DESPESAS[[#This Row],[Plano de Contas]],BASE!$B$3:$H$119,7,FALSE)</f>
        <v>LETÍCIA</v>
      </c>
    </row>
    <row r="2864" spans="1:13" x14ac:dyDescent="0.25">
      <c r="A2864" s="74">
        <v>199948</v>
      </c>
      <c r="B2864" s="75" t="s">
        <v>232</v>
      </c>
      <c r="C2864" s="75" t="s">
        <v>1108</v>
      </c>
      <c r="D2864" s="76">
        <v>46108</v>
      </c>
      <c r="E2864" s="75" t="s">
        <v>1107</v>
      </c>
      <c r="F2864" s="74">
        <v>1879.93</v>
      </c>
      <c r="G2864" s="75" t="s">
        <v>719</v>
      </c>
      <c r="H2864" s="77" t="str">
        <f>VLOOKUP(DESPESAS[[#This Row],[Plano de Contas]],BASE!$B$3:$D$119,3,FALSE)</f>
        <v>Outros Serviços de Terceiros</v>
      </c>
      <c r="I2864" s="77" t="str">
        <f>IFERROR(VLOOKUP(DESPESAS[[#This Row],[Fornecedor]],Tabela2[],2,FALSE),"")</f>
        <v/>
      </c>
      <c r="J2864" s="77" t="str">
        <f>IFERROR(VLOOKUP(DESPESAS[[#This Row],[Plano de Contas]],BASE!$B$3:$F$119,4,FALSE),"")</f>
        <v>7 - SERVIÇOS DE TERCEIROS</v>
      </c>
      <c r="K2864" s="77" t="str">
        <f>IFERROR(VLOOKUP(DESPESAS[[#This Row],[Plano de Contas]],BASE!$B$3:$H$119,5,FALSE),"")</f>
        <v>FINANCEIRO</v>
      </c>
      <c r="L2864" s="77">
        <f>IFERROR(VLOOKUP(DESPESAS[[#This Row],[Plano de Contas]],BASE!$B$3:$H$119,6,FALSE),"")</f>
        <v>0</v>
      </c>
      <c r="M2864" s="77" t="str">
        <f>VLOOKUP(DESPESAS[[#This Row],[Plano de Contas]],BASE!$B$3:$H$119,7,FALSE)</f>
        <v>LETÍCIA</v>
      </c>
    </row>
    <row r="2865" spans="1:13" x14ac:dyDescent="0.25">
      <c r="A2865" s="74">
        <v>199949</v>
      </c>
      <c r="B2865" s="75" t="s">
        <v>221</v>
      </c>
      <c r="C2865" s="75" t="s">
        <v>1106</v>
      </c>
      <c r="D2865" s="76">
        <v>46111</v>
      </c>
      <c r="E2865" s="75" t="s">
        <v>1105</v>
      </c>
      <c r="F2865" s="74">
        <v>80</v>
      </c>
      <c r="G2865" s="75" t="s">
        <v>244</v>
      </c>
      <c r="H2865" s="77" t="str">
        <f>VLOOKUP(DESPESAS[[#This Row],[Plano de Contas]],BASE!$B$3:$D$119,3,FALSE)</f>
        <v>Material de Expediente (Prod)</v>
      </c>
      <c r="I2865" s="77" t="str">
        <f>IFERROR(VLOOKUP(DESPESAS[[#This Row],[Fornecedor]],Tabela2[],2,FALSE),"")</f>
        <v/>
      </c>
      <c r="J2865" s="77" t="str">
        <f>IFERROR(VLOOKUP(DESPESAS[[#This Row],[Plano de Contas]],BASE!$B$3:$F$119,4,FALSE),"")</f>
        <v>2 - CUSTOS DIRETOS</v>
      </c>
      <c r="K2865" s="77" t="str">
        <f>IFERROR(VLOOKUP(DESPESAS[[#This Row],[Plano de Contas]],BASE!$B$3:$H$119,5,FALSE),"")</f>
        <v>PRODUÇÃO</v>
      </c>
      <c r="L2865" s="77">
        <f>IFERROR(VLOOKUP(DESPESAS[[#This Row],[Plano de Contas]],BASE!$B$3:$H$119,6,FALSE),"")</f>
        <v>0</v>
      </c>
      <c r="M2865" s="77" t="str">
        <f>VLOOKUP(DESPESAS[[#This Row],[Plano de Contas]],BASE!$B$3:$H$119,7,FALSE)</f>
        <v>RAFAEL</v>
      </c>
    </row>
    <row r="2866" spans="1:13" x14ac:dyDescent="0.25">
      <c r="A2866" s="74">
        <v>199951</v>
      </c>
      <c r="B2866" s="75" t="s">
        <v>232</v>
      </c>
      <c r="C2866" s="75" t="s">
        <v>1104</v>
      </c>
      <c r="D2866" s="76">
        <v>46111</v>
      </c>
      <c r="E2866" s="75" t="s">
        <v>675</v>
      </c>
      <c r="F2866" s="74">
        <v>406</v>
      </c>
      <c r="G2866" s="75" t="s">
        <v>244</v>
      </c>
      <c r="H2866" s="77" t="str">
        <f>VLOOKUP(DESPESAS[[#This Row],[Plano de Contas]],BASE!$B$3:$D$119,3,FALSE)</f>
        <v>Material de Expediente (Prod)</v>
      </c>
      <c r="I2866" s="77" t="str">
        <f>IFERROR(VLOOKUP(DESPESAS[[#This Row],[Fornecedor]],Tabela2[],2,FALSE),"")</f>
        <v/>
      </c>
      <c r="J2866" s="77" t="str">
        <f>IFERROR(VLOOKUP(DESPESAS[[#This Row],[Plano de Contas]],BASE!$B$3:$F$119,4,FALSE),"")</f>
        <v>2 - CUSTOS DIRETOS</v>
      </c>
      <c r="K2866" s="77" t="str">
        <f>IFERROR(VLOOKUP(DESPESAS[[#This Row],[Plano de Contas]],BASE!$B$3:$H$119,5,FALSE),"")</f>
        <v>PRODUÇÃO</v>
      </c>
      <c r="L2866" s="77">
        <f>IFERROR(VLOOKUP(DESPESAS[[#This Row],[Plano de Contas]],BASE!$B$3:$H$119,6,FALSE),"")</f>
        <v>0</v>
      </c>
      <c r="M2866" s="77" t="str">
        <f>VLOOKUP(DESPESAS[[#This Row],[Plano de Contas]],BASE!$B$3:$H$119,7,FALSE)</f>
        <v>RAFAEL</v>
      </c>
    </row>
    <row r="2867" spans="1:13" x14ac:dyDescent="0.25">
      <c r="A2867" s="74">
        <v>199952</v>
      </c>
      <c r="B2867" s="75" t="s">
        <v>232</v>
      </c>
      <c r="C2867" s="75" t="s">
        <v>1103</v>
      </c>
      <c r="D2867" s="76">
        <v>46108</v>
      </c>
      <c r="E2867" s="75" t="s">
        <v>230</v>
      </c>
      <c r="F2867" s="74">
        <v>23.7</v>
      </c>
      <c r="G2867" s="75" t="s">
        <v>236</v>
      </c>
      <c r="H2867" s="77" t="str">
        <f>VLOOKUP(DESPESAS[[#This Row],[Plano de Contas]],BASE!$B$3:$D$119,3,FALSE)</f>
        <v>Despesas de Cobranca</v>
      </c>
      <c r="I2867" s="77" t="str">
        <f>IFERROR(VLOOKUP(DESPESAS[[#This Row],[Fornecedor]],Tabela2[],2,FALSE),"")</f>
        <v/>
      </c>
      <c r="J2867" s="77" t="str">
        <f>IFERROR(VLOOKUP(DESPESAS[[#This Row],[Plano de Contas]],BASE!$B$3:$F$119,4,FALSE),"")</f>
        <v>8 - DESPESAS FINANCEIRAS</v>
      </c>
      <c r="K2867" s="77" t="str">
        <f>IFERROR(VLOOKUP(DESPESAS[[#This Row],[Plano de Contas]],BASE!$B$3:$H$119,5,FALSE),"")</f>
        <v>FINANCEIRO</v>
      </c>
      <c r="L2867" s="77">
        <f>IFERROR(VLOOKUP(DESPESAS[[#This Row],[Plano de Contas]],BASE!$B$3:$H$119,6,FALSE),"")</f>
        <v>0</v>
      </c>
      <c r="M2867" s="77" t="str">
        <f>VLOOKUP(DESPESAS[[#This Row],[Plano de Contas]],BASE!$B$3:$H$119,7,FALSE)</f>
        <v>LETÍCIA</v>
      </c>
    </row>
    <row r="2868" spans="1:13" x14ac:dyDescent="0.25">
      <c r="A2868" s="74">
        <v>199953</v>
      </c>
      <c r="B2868" s="75" t="s">
        <v>232</v>
      </c>
      <c r="C2868" s="75" t="s">
        <v>1102</v>
      </c>
      <c r="D2868" s="76">
        <v>46111</v>
      </c>
      <c r="E2868" s="75" t="s">
        <v>230</v>
      </c>
      <c r="F2868" s="74">
        <v>0.47</v>
      </c>
      <c r="G2868" s="75" t="s">
        <v>229</v>
      </c>
      <c r="H2868" s="77" t="str">
        <f>VLOOKUP(DESPESAS[[#This Row],[Plano de Contas]],BASE!$B$3:$D$119,3,FALSE)</f>
        <v>Despesas Bancarias</v>
      </c>
      <c r="I2868" s="77" t="str">
        <f>IFERROR(VLOOKUP(DESPESAS[[#This Row],[Fornecedor]],Tabela2[],2,FALSE),"")</f>
        <v/>
      </c>
      <c r="J2868" s="77" t="str">
        <f>IFERROR(VLOOKUP(DESPESAS[[#This Row],[Plano de Contas]],BASE!$B$3:$F$119,4,FALSE),"")</f>
        <v>8 - DESPESAS FINANCEIRAS</v>
      </c>
      <c r="K2868" s="77" t="str">
        <f>IFERROR(VLOOKUP(DESPESAS[[#This Row],[Plano de Contas]],BASE!$B$3:$H$119,5,FALSE),"")</f>
        <v>FINANCEIRO</v>
      </c>
      <c r="L2868" s="77">
        <f>IFERROR(VLOOKUP(DESPESAS[[#This Row],[Plano de Contas]],BASE!$B$3:$H$119,6,FALSE),"")</f>
        <v>0</v>
      </c>
      <c r="M2868" s="77" t="str">
        <f>VLOOKUP(DESPESAS[[#This Row],[Plano de Contas]],BASE!$B$3:$H$119,7,FALSE)</f>
        <v>LETÍCIA</v>
      </c>
    </row>
    <row r="2869" spans="1:13" x14ac:dyDescent="0.25">
      <c r="A2869" s="74">
        <v>199954</v>
      </c>
      <c r="B2869" s="75" t="s">
        <v>281</v>
      </c>
      <c r="C2869" s="75" t="s">
        <v>1056</v>
      </c>
      <c r="D2869" s="76">
        <v>46111</v>
      </c>
      <c r="E2869" s="75" t="s">
        <v>230</v>
      </c>
      <c r="F2869" s="74">
        <v>5.53</v>
      </c>
      <c r="G2869" s="75" t="s">
        <v>236</v>
      </c>
      <c r="H2869" s="77" t="str">
        <f>VLOOKUP(DESPESAS[[#This Row],[Plano de Contas]],BASE!$B$3:$D$119,3,FALSE)</f>
        <v>Despesas de Cobranca</v>
      </c>
      <c r="I2869" s="77" t="str">
        <f>IFERROR(VLOOKUP(DESPESAS[[#This Row],[Fornecedor]],Tabela2[],2,FALSE),"")</f>
        <v/>
      </c>
      <c r="J2869" s="77" t="str">
        <f>IFERROR(VLOOKUP(DESPESAS[[#This Row],[Plano de Contas]],BASE!$B$3:$F$119,4,FALSE),"")</f>
        <v>8 - DESPESAS FINANCEIRAS</v>
      </c>
      <c r="K2869" s="77" t="str">
        <f>IFERROR(VLOOKUP(DESPESAS[[#This Row],[Plano de Contas]],BASE!$B$3:$H$119,5,FALSE),"")</f>
        <v>FINANCEIRO</v>
      </c>
      <c r="L2869" s="77">
        <f>IFERROR(VLOOKUP(DESPESAS[[#This Row],[Plano de Contas]],BASE!$B$3:$H$119,6,FALSE),"")</f>
        <v>0</v>
      </c>
      <c r="M2869" s="77" t="str">
        <f>VLOOKUP(DESPESAS[[#This Row],[Plano de Contas]],BASE!$B$3:$H$119,7,FALSE)</f>
        <v>LETÍCIA</v>
      </c>
    </row>
    <row r="2870" spans="1:13" x14ac:dyDescent="0.25">
      <c r="A2870" s="74">
        <v>199955</v>
      </c>
      <c r="B2870" s="75" t="s">
        <v>221</v>
      </c>
      <c r="C2870" s="75" t="s">
        <v>1101</v>
      </c>
      <c r="D2870" s="76">
        <v>46111</v>
      </c>
      <c r="E2870" s="75" t="s">
        <v>675</v>
      </c>
      <c r="F2870" s="74">
        <v>100</v>
      </c>
      <c r="G2870" s="75" t="s">
        <v>244</v>
      </c>
      <c r="H2870" s="77" t="str">
        <f>VLOOKUP(DESPESAS[[#This Row],[Plano de Contas]],BASE!$B$3:$D$119,3,FALSE)</f>
        <v>Material de Expediente (Prod)</v>
      </c>
      <c r="I2870" s="77" t="str">
        <f>IFERROR(VLOOKUP(DESPESAS[[#This Row],[Fornecedor]],Tabela2[],2,FALSE),"")</f>
        <v/>
      </c>
      <c r="J2870" s="77" t="str">
        <f>IFERROR(VLOOKUP(DESPESAS[[#This Row],[Plano de Contas]],BASE!$B$3:$F$119,4,FALSE),"")</f>
        <v>2 - CUSTOS DIRETOS</v>
      </c>
      <c r="K2870" s="77" t="str">
        <f>IFERROR(VLOOKUP(DESPESAS[[#This Row],[Plano de Contas]],BASE!$B$3:$H$119,5,FALSE),"")</f>
        <v>PRODUÇÃO</v>
      </c>
      <c r="L2870" s="77">
        <f>IFERROR(VLOOKUP(DESPESAS[[#This Row],[Plano de Contas]],BASE!$B$3:$H$119,6,FALSE),"")</f>
        <v>0</v>
      </c>
      <c r="M2870" s="77" t="str">
        <f>VLOOKUP(DESPESAS[[#This Row],[Plano de Contas]],BASE!$B$3:$H$119,7,FALSE)</f>
        <v>RAFAEL</v>
      </c>
    </row>
    <row r="2871" spans="1:13" x14ac:dyDescent="0.25">
      <c r="A2871" s="74">
        <v>199956</v>
      </c>
      <c r="B2871" s="75" t="s">
        <v>279</v>
      </c>
      <c r="C2871" s="75" t="s">
        <v>1100</v>
      </c>
      <c r="D2871" s="76">
        <v>46111</v>
      </c>
      <c r="E2871" s="75" t="s">
        <v>230</v>
      </c>
      <c r="F2871" s="74">
        <v>7.55</v>
      </c>
      <c r="G2871" s="75" t="s">
        <v>251</v>
      </c>
      <c r="H2871" s="77" t="str">
        <f>VLOOKUP(DESPESAS[[#This Row],[Plano de Contas]],BASE!$B$3:$D$119,3,FALSE)</f>
        <v>Juros Pagos - Antecipação de Crédito</v>
      </c>
      <c r="I2871" s="77" t="str">
        <f>IFERROR(VLOOKUP(DESPESAS[[#This Row],[Fornecedor]],Tabela2[],2,FALSE),"")</f>
        <v/>
      </c>
      <c r="J2871" s="77" t="str">
        <f>IFERROR(VLOOKUP(DESPESAS[[#This Row],[Plano de Contas]],BASE!$B$3:$F$119,4,FALSE),"")</f>
        <v>8 - DESPESAS FINANCEIRAS</v>
      </c>
      <c r="K2871" s="77" t="str">
        <f>IFERROR(VLOOKUP(DESPESAS[[#This Row],[Plano de Contas]],BASE!$B$3:$H$119,5,FALSE),"")</f>
        <v>FINANCEIRO</v>
      </c>
      <c r="L2871" s="77">
        <f>IFERROR(VLOOKUP(DESPESAS[[#This Row],[Plano de Contas]],BASE!$B$3:$H$119,6,FALSE),"")</f>
        <v>0</v>
      </c>
      <c r="M2871" s="77" t="str">
        <f>VLOOKUP(DESPESAS[[#This Row],[Plano de Contas]],BASE!$B$3:$H$119,7,FALSE)</f>
        <v>LETÍCIA</v>
      </c>
    </row>
    <row r="2872" spans="1:13" x14ac:dyDescent="0.25">
      <c r="A2872" s="74">
        <v>199957</v>
      </c>
      <c r="B2872" s="75" t="s">
        <v>232</v>
      </c>
      <c r="C2872" s="75" t="s">
        <v>1099</v>
      </c>
      <c r="D2872" s="76">
        <v>46108</v>
      </c>
      <c r="E2872" s="75" t="s">
        <v>347</v>
      </c>
      <c r="F2872" s="74">
        <v>11</v>
      </c>
      <c r="G2872" s="75" t="s">
        <v>225</v>
      </c>
      <c r="H2872" s="77" t="str">
        <f>VLOOKUP(DESPESAS[[#This Row],[Plano de Contas]],BASE!$B$3:$D$119,3,FALSE)</f>
        <v>Despesas de Outros Gastos Não Operacionais</v>
      </c>
      <c r="I2872" s="77" t="str">
        <f>IFERROR(VLOOKUP(DESPESAS[[#This Row],[Fornecedor]],Tabela2[],2,FALSE),"")</f>
        <v/>
      </c>
      <c r="J2872" s="77" t="str">
        <f>IFERROR(VLOOKUP(DESPESAS[[#This Row],[Plano de Contas]],BASE!$B$3:$F$119,4,FALSE),"")</f>
        <v>8 - DESPESAS FINANCEIRAS</v>
      </c>
      <c r="K2872" s="77" t="str">
        <f>IFERROR(VLOOKUP(DESPESAS[[#This Row],[Plano de Contas]],BASE!$B$3:$H$119,5,FALSE),"")</f>
        <v>FINANCEIRO</v>
      </c>
      <c r="L2872" s="77">
        <f>IFERROR(VLOOKUP(DESPESAS[[#This Row],[Plano de Contas]],BASE!$B$3:$H$119,6,FALSE),"")</f>
        <v>0</v>
      </c>
      <c r="M2872" s="77" t="str">
        <f>VLOOKUP(DESPESAS[[#This Row],[Plano de Contas]],BASE!$B$3:$H$119,7,FALSE)</f>
        <v>LETÍCIA</v>
      </c>
    </row>
    <row r="2873" spans="1:13" x14ac:dyDescent="0.25">
      <c r="A2873" s="74">
        <v>199958</v>
      </c>
      <c r="B2873" s="75" t="s">
        <v>279</v>
      </c>
      <c r="C2873" s="75" t="s">
        <v>1098</v>
      </c>
      <c r="D2873" s="76">
        <v>46111</v>
      </c>
      <c r="E2873" s="75" t="s">
        <v>230</v>
      </c>
      <c r="F2873" s="74">
        <v>0.74</v>
      </c>
      <c r="G2873" s="75" t="s">
        <v>229</v>
      </c>
      <c r="H2873" s="77" t="str">
        <f>VLOOKUP(DESPESAS[[#This Row],[Plano de Contas]],BASE!$B$3:$D$119,3,FALSE)</f>
        <v>Despesas Bancarias</v>
      </c>
      <c r="I2873" s="77" t="str">
        <f>IFERROR(VLOOKUP(DESPESAS[[#This Row],[Fornecedor]],Tabela2[],2,FALSE),"")</f>
        <v/>
      </c>
      <c r="J2873" s="77" t="str">
        <f>IFERROR(VLOOKUP(DESPESAS[[#This Row],[Plano de Contas]],BASE!$B$3:$F$119,4,FALSE),"")</f>
        <v>8 - DESPESAS FINANCEIRAS</v>
      </c>
      <c r="K2873" s="77" t="str">
        <f>IFERROR(VLOOKUP(DESPESAS[[#This Row],[Plano de Contas]],BASE!$B$3:$H$119,5,FALSE),"")</f>
        <v>FINANCEIRO</v>
      </c>
      <c r="L2873" s="77">
        <f>IFERROR(VLOOKUP(DESPESAS[[#This Row],[Plano de Contas]],BASE!$B$3:$H$119,6,FALSE),"")</f>
        <v>0</v>
      </c>
      <c r="M2873" s="77" t="str">
        <f>VLOOKUP(DESPESAS[[#This Row],[Plano de Contas]],BASE!$B$3:$H$119,7,FALSE)</f>
        <v>LETÍCIA</v>
      </c>
    </row>
    <row r="2874" spans="1:13" x14ac:dyDescent="0.25">
      <c r="A2874" s="74">
        <v>199959</v>
      </c>
      <c r="B2874" s="75" t="s">
        <v>279</v>
      </c>
      <c r="C2874" s="75" t="s">
        <v>1097</v>
      </c>
      <c r="D2874" s="76">
        <v>46108</v>
      </c>
      <c r="E2874" s="75" t="s">
        <v>230</v>
      </c>
      <c r="F2874" s="74">
        <v>1.58</v>
      </c>
      <c r="G2874" s="75" t="s">
        <v>236</v>
      </c>
      <c r="H2874" s="77" t="str">
        <f>VLOOKUP(DESPESAS[[#This Row],[Plano de Contas]],BASE!$B$3:$D$119,3,FALSE)</f>
        <v>Despesas de Cobranca</v>
      </c>
      <c r="I2874" s="77" t="str">
        <f>IFERROR(VLOOKUP(DESPESAS[[#This Row],[Fornecedor]],Tabela2[],2,FALSE),"")</f>
        <v/>
      </c>
      <c r="J2874" s="77" t="str">
        <f>IFERROR(VLOOKUP(DESPESAS[[#This Row],[Plano de Contas]],BASE!$B$3:$F$119,4,FALSE),"")</f>
        <v>8 - DESPESAS FINANCEIRAS</v>
      </c>
      <c r="K2874" s="77" t="str">
        <f>IFERROR(VLOOKUP(DESPESAS[[#This Row],[Plano de Contas]],BASE!$B$3:$H$119,5,FALSE),"")</f>
        <v>FINANCEIRO</v>
      </c>
      <c r="L2874" s="77">
        <f>IFERROR(VLOOKUP(DESPESAS[[#This Row],[Plano de Contas]],BASE!$B$3:$H$119,6,FALSE),"")</f>
        <v>0</v>
      </c>
      <c r="M2874" s="77" t="str">
        <f>VLOOKUP(DESPESAS[[#This Row],[Plano de Contas]],BASE!$B$3:$H$119,7,FALSE)</f>
        <v>LETÍCIA</v>
      </c>
    </row>
    <row r="2875" spans="1:13" x14ac:dyDescent="0.25">
      <c r="A2875" s="74">
        <v>199960</v>
      </c>
      <c r="B2875" s="75" t="s">
        <v>232</v>
      </c>
      <c r="C2875" s="75" t="s">
        <v>1096</v>
      </c>
      <c r="D2875" s="76">
        <v>46108</v>
      </c>
      <c r="E2875" s="75" t="s">
        <v>230</v>
      </c>
      <c r="F2875" s="74">
        <v>0.95</v>
      </c>
      <c r="G2875" s="75" t="s">
        <v>229</v>
      </c>
      <c r="H2875" s="77" t="str">
        <f>VLOOKUP(DESPESAS[[#This Row],[Plano de Contas]],BASE!$B$3:$D$119,3,FALSE)</f>
        <v>Despesas Bancarias</v>
      </c>
      <c r="I2875" s="77" t="str">
        <f>IFERROR(VLOOKUP(DESPESAS[[#This Row],[Fornecedor]],Tabela2[],2,FALSE),"")</f>
        <v/>
      </c>
      <c r="J2875" s="77" t="str">
        <f>IFERROR(VLOOKUP(DESPESAS[[#This Row],[Plano de Contas]],BASE!$B$3:$F$119,4,FALSE),"")</f>
        <v>8 - DESPESAS FINANCEIRAS</v>
      </c>
      <c r="K2875" s="77" t="str">
        <f>IFERROR(VLOOKUP(DESPESAS[[#This Row],[Plano de Contas]],BASE!$B$3:$H$119,5,FALSE),"")</f>
        <v>FINANCEIRO</v>
      </c>
      <c r="L2875" s="77">
        <f>IFERROR(VLOOKUP(DESPESAS[[#This Row],[Plano de Contas]],BASE!$B$3:$H$119,6,FALSE),"")</f>
        <v>0</v>
      </c>
      <c r="M2875" s="77" t="str">
        <f>VLOOKUP(DESPESAS[[#This Row],[Plano de Contas]],BASE!$B$3:$H$119,7,FALSE)</f>
        <v>LETÍCIA</v>
      </c>
    </row>
    <row r="2876" spans="1:13" x14ac:dyDescent="0.25">
      <c r="A2876" s="74">
        <v>199961</v>
      </c>
      <c r="B2876" s="75" t="s">
        <v>221</v>
      </c>
      <c r="C2876" s="75" t="s">
        <v>1095</v>
      </c>
      <c r="D2876" s="76">
        <v>46111</v>
      </c>
      <c r="E2876" s="75" t="s">
        <v>265</v>
      </c>
      <c r="F2876" s="74">
        <v>78</v>
      </c>
      <c r="G2876" s="75" t="s">
        <v>262</v>
      </c>
      <c r="H2876" s="77" t="str">
        <f>VLOOKUP(DESPESAS[[#This Row],[Plano de Contas]],BASE!$B$3:$D$119,3,FALSE)</f>
        <v>Fretes Karams</v>
      </c>
      <c r="I2876" s="77" t="str">
        <f>IFERROR(VLOOKUP(DESPESAS[[#This Row],[Fornecedor]],Tabela2[],2,FALSE),"")</f>
        <v/>
      </c>
      <c r="J2876" s="77" t="str">
        <f>IFERROR(VLOOKUP(DESPESAS[[#This Row],[Plano de Contas]],BASE!$B$3:$F$119,4,FALSE),"")</f>
        <v>6 - DESPESA COM VENDAS</v>
      </c>
      <c r="K2876" s="77" t="str">
        <f>IFERROR(VLOOKUP(DESPESAS[[#This Row],[Plano de Contas]],BASE!$B$3:$H$119,5,FALSE),"")</f>
        <v>LOGÍSTICA</v>
      </c>
      <c r="L2876" s="77">
        <f>IFERROR(VLOOKUP(DESPESAS[[#This Row],[Plano de Contas]],BASE!$B$3:$H$119,6,FALSE),"")</f>
        <v>0</v>
      </c>
      <c r="M2876" s="77" t="str">
        <f>VLOOKUP(DESPESAS[[#This Row],[Plano de Contas]],BASE!$B$3:$H$119,7,FALSE)</f>
        <v>MYLENA</v>
      </c>
    </row>
    <row r="2877" spans="1:13" x14ac:dyDescent="0.25">
      <c r="A2877" s="74">
        <v>199962</v>
      </c>
      <c r="B2877" s="75" t="s">
        <v>221</v>
      </c>
      <c r="C2877" s="75" t="s">
        <v>1094</v>
      </c>
      <c r="D2877" s="76">
        <v>46111</v>
      </c>
      <c r="E2877" s="75" t="s">
        <v>242</v>
      </c>
      <c r="F2877" s="74">
        <v>953.28</v>
      </c>
      <c r="G2877" s="75" t="s">
        <v>247</v>
      </c>
      <c r="H2877" s="77" t="str">
        <f>VLOOKUP(DESPESAS[[#This Row],[Plano de Contas]],BASE!$B$3:$D$119,3,FALSE)</f>
        <v>Manutenção com veiculos</v>
      </c>
      <c r="I2877" s="77" t="str">
        <f>IFERROR(VLOOKUP(DESPESAS[[#This Row],[Fornecedor]],Tabela2[],2,FALSE),"")</f>
        <v/>
      </c>
      <c r="J2877" s="77" t="str">
        <f>IFERROR(VLOOKUP(DESPESAS[[#This Row],[Plano de Contas]],BASE!$B$3:$F$119,4,FALSE),"")</f>
        <v>6 - DESPESA COM VENDAS</v>
      </c>
      <c r="K2877" s="77" t="str">
        <f>IFERROR(VLOOKUP(DESPESAS[[#This Row],[Plano de Contas]],BASE!$B$3:$H$119,5,FALSE),"")</f>
        <v>LOGÍSTICA</v>
      </c>
      <c r="L2877" s="77">
        <f>IFERROR(VLOOKUP(DESPESAS[[#This Row],[Plano de Contas]],BASE!$B$3:$H$119,6,FALSE),"")</f>
        <v>0</v>
      </c>
      <c r="M2877" s="77" t="str">
        <f>VLOOKUP(DESPESAS[[#This Row],[Plano de Contas]],BASE!$B$3:$H$119,7,FALSE)</f>
        <v>MYLENA</v>
      </c>
    </row>
    <row r="2878" spans="1:13" x14ac:dyDescent="0.25">
      <c r="A2878" s="74">
        <v>199963</v>
      </c>
      <c r="B2878" s="75" t="s">
        <v>232</v>
      </c>
      <c r="C2878" s="75" t="s">
        <v>1093</v>
      </c>
      <c r="D2878" s="76">
        <v>46111</v>
      </c>
      <c r="E2878" s="75" t="s">
        <v>1091</v>
      </c>
      <c r="F2878" s="74">
        <v>3392.13</v>
      </c>
      <c r="G2878" s="75" t="s">
        <v>247</v>
      </c>
      <c r="H2878" s="77" t="str">
        <f>VLOOKUP(DESPESAS[[#This Row],[Plano de Contas]],BASE!$B$3:$D$119,3,FALSE)</f>
        <v>Manutenção com veiculos</v>
      </c>
      <c r="I2878" s="77" t="str">
        <f>IFERROR(VLOOKUP(DESPESAS[[#This Row],[Fornecedor]],Tabela2[],2,FALSE),"")</f>
        <v/>
      </c>
      <c r="J2878" s="77" t="str">
        <f>IFERROR(VLOOKUP(DESPESAS[[#This Row],[Plano de Contas]],BASE!$B$3:$F$119,4,FALSE),"")</f>
        <v>6 - DESPESA COM VENDAS</v>
      </c>
      <c r="K2878" s="77" t="str">
        <f>IFERROR(VLOOKUP(DESPESAS[[#This Row],[Plano de Contas]],BASE!$B$3:$H$119,5,FALSE),"")</f>
        <v>LOGÍSTICA</v>
      </c>
      <c r="L2878" s="77">
        <f>IFERROR(VLOOKUP(DESPESAS[[#This Row],[Plano de Contas]],BASE!$B$3:$H$119,6,FALSE),"")</f>
        <v>0</v>
      </c>
      <c r="M2878" s="77" t="str">
        <f>VLOOKUP(DESPESAS[[#This Row],[Plano de Contas]],BASE!$B$3:$H$119,7,FALSE)</f>
        <v>MYLENA</v>
      </c>
    </row>
    <row r="2879" spans="1:13" x14ac:dyDescent="0.25">
      <c r="A2879" s="74">
        <v>199964</v>
      </c>
      <c r="B2879" s="75" t="s">
        <v>232</v>
      </c>
      <c r="C2879" s="75" t="s">
        <v>1092</v>
      </c>
      <c r="D2879" s="76">
        <v>46111</v>
      </c>
      <c r="E2879" s="75" t="s">
        <v>1091</v>
      </c>
      <c r="F2879" s="74">
        <v>2257.87</v>
      </c>
      <c r="G2879" s="75" t="s">
        <v>247</v>
      </c>
      <c r="H2879" s="77" t="str">
        <f>VLOOKUP(DESPESAS[[#This Row],[Plano de Contas]],BASE!$B$3:$D$119,3,FALSE)</f>
        <v>Manutenção com veiculos</v>
      </c>
      <c r="I2879" s="77" t="str">
        <f>IFERROR(VLOOKUP(DESPESAS[[#This Row],[Fornecedor]],Tabela2[],2,FALSE),"")</f>
        <v/>
      </c>
      <c r="J2879" s="77" t="str">
        <f>IFERROR(VLOOKUP(DESPESAS[[#This Row],[Plano de Contas]],BASE!$B$3:$F$119,4,FALSE),"")</f>
        <v>6 - DESPESA COM VENDAS</v>
      </c>
      <c r="K2879" s="77" t="str">
        <f>IFERROR(VLOOKUP(DESPESAS[[#This Row],[Plano de Contas]],BASE!$B$3:$H$119,5,FALSE),"")</f>
        <v>LOGÍSTICA</v>
      </c>
      <c r="L2879" s="77">
        <f>IFERROR(VLOOKUP(DESPESAS[[#This Row],[Plano de Contas]],BASE!$B$3:$H$119,6,FALSE),"")</f>
        <v>0</v>
      </c>
      <c r="M2879" s="77" t="str">
        <f>VLOOKUP(DESPESAS[[#This Row],[Plano de Contas]],BASE!$B$3:$H$119,7,FALSE)</f>
        <v>MYLENA</v>
      </c>
    </row>
    <row r="2880" spans="1:13" x14ac:dyDescent="0.25">
      <c r="A2880" s="74">
        <v>199965</v>
      </c>
      <c r="B2880" s="75" t="s">
        <v>221</v>
      </c>
      <c r="C2880" s="75" t="s">
        <v>1090</v>
      </c>
      <c r="D2880" s="76">
        <v>46111</v>
      </c>
      <c r="E2880" s="75" t="s">
        <v>1089</v>
      </c>
      <c r="F2880" s="74">
        <v>154.47999999999999</v>
      </c>
      <c r="G2880" s="75" t="s">
        <v>854</v>
      </c>
      <c r="H2880" s="77" t="str">
        <f>VLOOKUP(DESPESAS[[#This Row],[Plano de Contas]],BASE!$B$3:$D$119,3,FALSE)</f>
        <v>Confraternização</v>
      </c>
      <c r="I2880" s="77" t="str">
        <f>IFERROR(VLOOKUP(DESPESAS[[#This Row],[Fornecedor]],Tabela2[],2,FALSE),"")</f>
        <v/>
      </c>
      <c r="J2880" s="77" t="str">
        <f>IFERROR(VLOOKUP(DESPESAS[[#This Row],[Plano de Contas]],BASE!$B$3:$F$119,4,FALSE),"")</f>
        <v>4 - GASTOS COM PESSOAL</v>
      </c>
      <c r="K2880" s="77" t="str">
        <f>IFERROR(VLOOKUP(DESPESAS[[#This Row],[Plano de Contas]],BASE!$B$3:$H$119,5,FALSE),"")</f>
        <v>DH</v>
      </c>
      <c r="L2880" s="77">
        <f>IFERROR(VLOOKUP(DESPESAS[[#This Row],[Plano de Contas]],BASE!$B$3:$H$119,6,FALSE),"")</f>
        <v>0</v>
      </c>
      <c r="M2880" s="77" t="str">
        <f>VLOOKUP(DESPESAS[[#This Row],[Plano de Contas]],BASE!$B$3:$H$119,7,FALSE)</f>
        <v>MYLENA</v>
      </c>
    </row>
    <row r="2881" spans="1:13" x14ac:dyDescent="0.25">
      <c r="A2881" s="74">
        <v>199966</v>
      </c>
      <c r="B2881" s="75" t="s">
        <v>221</v>
      </c>
      <c r="C2881" s="75" t="s">
        <v>1088</v>
      </c>
      <c r="D2881" s="76">
        <v>46111</v>
      </c>
      <c r="E2881" s="75" t="s">
        <v>347</v>
      </c>
      <c r="F2881" s="74">
        <v>142.80000000000001</v>
      </c>
      <c r="G2881" s="75" t="s">
        <v>222</v>
      </c>
      <c r="H2881" s="77" t="str">
        <f>VLOOKUP(DESPESAS[[#This Row],[Plano de Contas]],BASE!$B$3:$D$119,3,FALSE)</f>
        <v>Alimentação</v>
      </c>
      <c r="I2881" s="77" t="str">
        <f>IFERROR(VLOOKUP(DESPESAS[[#This Row],[Fornecedor]],Tabela2[],2,FALSE),"")</f>
        <v/>
      </c>
      <c r="J2881" s="77" t="str">
        <f>IFERROR(VLOOKUP(DESPESAS[[#This Row],[Plano de Contas]],BASE!$B$3:$F$119,4,FALSE),"")</f>
        <v>5 - DESPESAS ADMINISTRATIVAS</v>
      </c>
      <c r="K2881" s="77" t="str">
        <f>IFERROR(VLOOKUP(DESPESAS[[#This Row],[Plano de Contas]],BASE!$B$3:$H$119,5,FALSE),"")</f>
        <v>FINANCEIRO</v>
      </c>
      <c r="L2881" s="77">
        <f>IFERROR(VLOOKUP(DESPESAS[[#This Row],[Plano de Contas]],BASE!$B$3:$H$119,6,FALSE),"")</f>
        <v>0</v>
      </c>
      <c r="M2881" s="77" t="str">
        <f>VLOOKUP(DESPESAS[[#This Row],[Plano de Contas]],BASE!$B$3:$H$119,7,FALSE)</f>
        <v>MYLENA</v>
      </c>
    </row>
    <row r="2882" spans="1:13" x14ac:dyDescent="0.25">
      <c r="A2882" s="74">
        <v>199967</v>
      </c>
      <c r="B2882" s="75" t="s">
        <v>221</v>
      </c>
      <c r="C2882" s="75" t="s">
        <v>1087</v>
      </c>
      <c r="D2882" s="76">
        <v>46111</v>
      </c>
      <c r="E2882" s="75" t="s">
        <v>242</v>
      </c>
      <c r="F2882" s="74">
        <v>165.64</v>
      </c>
      <c r="G2882" s="75" t="s">
        <v>423</v>
      </c>
      <c r="H2882" s="77" t="str">
        <f>VLOOKUP(DESPESAS[[#This Row],[Plano de Contas]],BASE!$B$3:$D$119,3,FALSE)</f>
        <v>Combustíveis (Adm)</v>
      </c>
      <c r="I2882" s="77" t="str">
        <f>IFERROR(VLOOKUP(DESPESAS[[#This Row],[Fornecedor]],Tabela2[],2,FALSE),"")</f>
        <v/>
      </c>
      <c r="J2882" s="77" t="str">
        <f>IFERROR(VLOOKUP(DESPESAS[[#This Row],[Plano de Contas]],BASE!$B$3:$F$119,4,FALSE),"")</f>
        <v>5 - DESPESAS ADMINISTRATIVAS</v>
      </c>
      <c r="K2882" s="77" t="str">
        <f>IFERROR(VLOOKUP(DESPESAS[[#This Row],[Plano de Contas]],BASE!$B$3:$H$119,5,FALSE),"")</f>
        <v>LOGÍSTICA</v>
      </c>
      <c r="L2882" s="77">
        <f>IFERROR(VLOOKUP(DESPESAS[[#This Row],[Plano de Contas]],BASE!$B$3:$H$119,6,FALSE),"")</f>
        <v>0</v>
      </c>
      <c r="M2882" s="77" t="str">
        <f>VLOOKUP(DESPESAS[[#This Row],[Plano de Contas]],BASE!$B$3:$H$119,7,FALSE)</f>
        <v>LETÍCIA</v>
      </c>
    </row>
    <row r="2883" spans="1:13" x14ac:dyDescent="0.25">
      <c r="A2883" s="74">
        <v>199968</v>
      </c>
      <c r="B2883" s="75" t="s">
        <v>232</v>
      </c>
      <c r="C2883" s="75" t="s">
        <v>1086</v>
      </c>
      <c r="D2883" s="76">
        <v>46111</v>
      </c>
      <c r="E2883" s="75" t="s">
        <v>759</v>
      </c>
      <c r="F2883" s="74">
        <v>2500</v>
      </c>
      <c r="G2883" s="75" t="s">
        <v>218</v>
      </c>
      <c r="H2883" s="77" t="str">
        <f>VLOOKUP(DESPESAS[[#This Row],[Plano de Contas]],BASE!$B$3:$D$119,3,FALSE)</f>
        <v>Manutenção de Equipamentos (Prod)</v>
      </c>
      <c r="I2883" s="77" t="str">
        <f>IFERROR(VLOOKUP(DESPESAS[[#This Row],[Fornecedor]],Tabela2[],2,FALSE),"")</f>
        <v/>
      </c>
      <c r="J2883" s="77" t="str">
        <f>IFERROR(VLOOKUP(DESPESAS[[#This Row],[Plano de Contas]],BASE!$B$3:$F$119,4,FALSE),"")</f>
        <v>3 - CUSTOS INDIRETOS</v>
      </c>
      <c r="K2883" s="77" t="str">
        <f>IFERROR(VLOOKUP(DESPESAS[[#This Row],[Plano de Contas]],BASE!$B$3:$H$119,5,FALSE),"")</f>
        <v>MANUTENÇÃO / TI</v>
      </c>
      <c r="L2883" s="77">
        <f>IFERROR(VLOOKUP(DESPESAS[[#This Row],[Plano de Contas]],BASE!$B$3:$H$119,6,FALSE),"")</f>
        <v>0</v>
      </c>
      <c r="M2883" s="77" t="str">
        <f>VLOOKUP(DESPESAS[[#This Row],[Plano de Contas]],BASE!$B$3:$H$119,7,FALSE)</f>
        <v>RAFAEL</v>
      </c>
    </row>
    <row r="2884" spans="1:13" x14ac:dyDescent="0.25">
      <c r="A2884" s="74">
        <v>199969</v>
      </c>
      <c r="B2884" s="75" t="s">
        <v>221</v>
      </c>
      <c r="C2884" s="75" t="s">
        <v>1085</v>
      </c>
      <c r="D2884" s="76">
        <v>46111</v>
      </c>
      <c r="E2884" s="75" t="s">
        <v>442</v>
      </c>
      <c r="F2884" s="74">
        <v>1841</v>
      </c>
      <c r="G2884" s="75" t="s">
        <v>262</v>
      </c>
      <c r="H2884" s="77" t="str">
        <f>VLOOKUP(DESPESAS[[#This Row],[Plano de Contas]],BASE!$B$3:$D$119,3,FALSE)</f>
        <v>Fretes Karams</v>
      </c>
      <c r="I2884" s="77" t="str">
        <f>IFERROR(VLOOKUP(DESPESAS[[#This Row],[Fornecedor]],Tabela2[],2,FALSE),"")</f>
        <v/>
      </c>
      <c r="J2884" s="77" t="str">
        <f>IFERROR(VLOOKUP(DESPESAS[[#This Row],[Plano de Contas]],BASE!$B$3:$F$119,4,FALSE),"")</f>
        <v>6 - DESPESA COM VENDAS</v>
      </c>
      <c r="K2884" s="77" t="str">
        <f>IFERROR(VLOOKUP(DESPESAS[[#This Row],[Plano de Contas]],BASE!$B$3:$H$119,5,FALSE),"")</f>
        <v>LOGÍSTICA</v>
      </c>
      <c r="L2884" s="77">
        <f>IFERROR(VLOOKUP(DESPESAS[[#This Row],[Plano de Contas]],BASE!$B$3:$H$119,6,FALSE),"")</f>
        <v>0</v>
      </c>
      <c r="M2884" s="77" t="str">
        <f>VLOOKUP(DESPESAS[[#This Row],[Plano de Contas]],BASE!$B$3:$H$119,7,FALSE)</f>
        <v>MYLENA</v>
      </c>
    </row>
    <row r="2885" spans="1:13" x14ac:dyDescent="0.25">
      <c r="A2885" s="74">
        <v>199970</v>
      </c>
      <c r="B2885" s="75" t="s">
        <v>232</v>
      </c>
      <c r="C2885" s="75" t="s">
        <v>1084</v>
      </c>
      <c r="D2885" s="76">
        <v>46106</v>
      </c>
      <c r="E2885" s="75" t="s">
        <v>375</v>
      </c>
      <c r="F2885" s="74">
        <v>5008.41</v>
      </c>
      <c r="G2885" s="75" t="s">
        <v>374</v>
      </c>
      <c r="H2885" s="77" t="str">
        <f>VLOOKUP(DESPESAS[[#This Row],[Plano de Contas]],BASE!$B$3:$D$119,3,FALSE)</f>
        <v>Consultoria Empresarial</v>
      </c>
      <c r="I2885" s="77" t="str">
        <f>IFERROR(VLOOKUP(DESPESAS[[#This Row],[Fornecedor]],Tabela2[],2,FALSE),"")</f>
        <v/>
      </c>
      <c r="J2885" s="77" t="str">
        <f>IFERROR(VLOOKUP(DESPESAS[[#This Row],[Plano de Contas]],BASE!$B$3:$F$119,4,FALSE),"")</f>
        <v>7 - SERVIÇOS DE TERCEIROS</v>
      </c>
      <c r="K2885" s="77" t="str">
        <f>IFERROR(VLOOKUP(DESPESAS[[#This Row],[Plano de Contas]],BASE!$B$3:$H$119,5,FALSE),"")</f>
        <v>FINANCEIRO</v>
      </c>
      <c r="L2885" s="77">
        <f>IFERROR(VLOOKUP(DESPESAS[[#This Row],[Plano de Contas]],BASE!$B$3:$H$119,6,FALSE),"")</f>
        <v>0</v>
      </c>
      <c r="M2885" s="77" t="str">
        <f>VLOOKUP(DESPESAS[[#This Row],[Plano de Contas]],BASE!$B$3:$H$119,7,FALSE)</f>
        <v>LETÍCIA</v>
      </c>
    </row>
    <row r="2886" spans="1:13" x14ac:dyDescent="0.25">
      <c r="A2886" s="74">
        <v>199971</v>
      </c>
      <c r="B2886" s="75" t="s">
        <v>232</v>
      </c>
      <c r="C2886" s="75" t="s">
        <v>1083</v>
      </c>
      <c r="D2886" s="76">
        <v>46117</v>
      </c>
      <c r="E2886" s="75" t="s">
        <v>375</v>
      </c>
      <c r="F2886" s="74">
        <v>5008.41</v>
      </c>
      <c r="G2886" s="75" t="s">
        <v>374</v>
      </c>
      <c r="H2886" s="77" t="str">
        <f>VLOOKUP(DESPESAS[[#This Row],[Plano de Contas]],BASE!$B$3:$D$119,3,FALSE)</f>
        <v>Consultoria Empresarial</v>
      </c>
      <c r="I2886" s="77" t="str">
        <f>IFERROR(VLOOKUP(DESPESAS[[#This Row],[Fornecedor]],Tabela2[],2,FALSE),"")</f>
        <v/>
      </c>
      <c r="J2886" s="77" t="str">
        <f>IFERROR(VLOOKUP(DESPESAS[[#This Row],[Plano de Contas]],BASE!$B$3:$F$119,4,FALSE),"")</f>
        <v>7 - SERVIÇOS DE TERCEIROS</v>
      </c>
      <c r="K2886" s="77" t="str">
        <f>IFERROR(VLOOKUP(DESPESAS[[#This Row],[Plano de Contas]],BASE!$B$3:$H$119,5,FALSE),"")</f>
        <v>FINANCEIRO</v>
      </c>
      <c r="L2886" s="77">
        <f>IFERROR(VLOOKUP(DESPESAS[[#This Row],[Plano de Contas]],BASE!$B$3:$H$119,6,FALSE),"")</f>
        <v>0</v>
      </c>
      <c r="M2886" s="77" t="str">
        <f>VLOOKUP(DESPESAS[[#This Row],[Plano de Contas]],BASE!$B$3:$H$119,7,FALSE)</f>
        <v>LETÍCIA</v>
      </c>
    </row>
    <row r="2887" spans="1:13" x14ac:dyDescent="0.25">
      <c r="A2887" s="74">
        <v>199972</v>
      </c>
      <c r="B2887" s="75" t="s">
        <v>232</v>
      </c>
      <c r="C2887" s="75" t="s">
        <v>1082</v>
      </c>
      <c r="D2887" s="76">
        <v>46127</v>
      </c>
      <c r="E2887" s="75" t="s">
        <v>375</v>
      </c>
      <c r="F2887" s="74">
        <v>5008.41</v>
      </c>
      <c r="G2887" s="75" t="s">
        <v>374</v>
      </c>
      <c r="H2887" s="77" t="str">
        <f>VLOOKUP(DESPESAS[[#This Row],[Plano de Contas]],BASE!$B$3:$D$119,3,FALSE)</f>
        <v>Consultoria Empresarial</v>
      </c>
      <c r="I2887" s="77" t="str">
        <f>IFERROR(VLOOKUP(DESPESAS[[#This Row],[Fornecedor]],Tabela2[],2,FALSE),"")</f>
        <v/>
      </c>
      <c r="J2887" s="77" t="str">
        <f>IFERROR(VLOOKUP(DESPESAS[[#This Row],[Plano de Contas]],BASE!$B$3:$F$119,4,FALSE),"")</f>
        <v>7 - SERVIÇOS DE TERCEIROS</v>
      </c>
      <c r="K2887" s="77" t="str">
        <f>IFERROR(VLOOKUP(DESPESAS[[#This Row],[Plano de Contas]],BASE!$B$3:$H$119,5,FALSE),"")</f>
        <v>FINANCEIRO</v>
      </c>
      <c r="L2887" s="77">
        <f>IFERROR(VLOOKUP(DESPESAS[[#This Row],[Plano de Contas]],BASE!$B$3:$H$119,6,FALSE),"")</f>
        <v>0</v>
      </c>
      <c r="M2887" s="77" t="str">
        <f>VLOOKUP(DESPESAS[[#This Row],[Plano de Contas]],BASE!$B$3:$H$119,7,FALSE)</f>
        <v>LETÍCIA</v>
      </c>
    </row>
    <row r="2888" spans="1:13" x14ac:dyDescent="0.25">
      <c r="A2888" s="74">
        <v>199973</v>
      </c>
      <c r="B2888" s="75" t="s">
        <v>232</v>
      </c>
      <c r="C2888" s="75" t="s">
        <v>1081</v>
      </c>
      <c r="D2888" s="76">
        <v>46137</v>
      </c>
      <c r="E2888" s="75" t="s">
        <v>375</v>
      </c>
      <c r="F2888" s="74">
        <v>5008.41</v>
      </c>
      <c r="G2888" s="75" t="s">
        <v>374</v>
      </c>
      <c r="H2888" s="77" t="str">
        <f>VLOOKUP(DESPESAS[[#This Row],[Plano de Contas]],BASE!$B$3:$D$119,3,FALSE)</f>
        <v>Consultoria Empresarial</v>
      </c>
      <c r="I2888" s="77" t="str">
        <f>IFERROR(VLOOKUP(DESPESAS[[#This Row],[Fornecedor]],Tabela2[],2,FALSE),"")</f>
        <v/>
      </c>
      <c r="J2888" s="77" t="str">
        <f>IFERROR(VLOOKUP(DESPESAS[[#This Row],[Plano de Contas]],BASE!$B$3:$F$119,4,FALSE),"")</f>
        <v>7 - SERVIÇOS DE TERCEIROS</v>
      </c>
      <c r="K2888" s="77" t="str">
        <f>IFERROR(VLOOKUP(DESPESAS[[#This Row],[Plano de Contas]],BASE!$B$3:$H$119,5,FALSE),"")</f>
        <v>FINANCEIRO</v>
      </c>
      <c r="L2888" s="77">
        <f>IFERROR(VLOOKUP(DESPESAS[[#This Row],[Plano de Contas]],BASE!$B$3:$H$119,6,FALSE),"")</f>
        <v>0</v>
      </c>
      <c r="M2888" s="77" t="str">
        <f>VLOOKUP(DESPESAS[[#This Row],[Plano de Contas]],BASE!$B$3:$H$119,7,FALSE)</f>
        <v>LETÍCIA</v>
      </c>
    </row>
    <row r="2889" spans="1:13" x14ac:dyDescent="0.25">
      <c r="A2889" s="74">
        <v>199974</v>
      </c>
      <c r="B2889" s="75" t="s">
        <v>232</v>
      </c>
      <c r="C2889" s="75" t="s">
        <v>3765</v>
      </c>
      <c r="D2889" s="76">
        <v>46147</v>
      </c>
      <c r="E2889" s="75" t="s">
        <v>375</v>
      </c>
      <c r="F2889" s="74">
        <v>5008.41</v>
      </c>
      <c r="G2889" s="75" t="s">
        <v>374</v>
      </c>
      <c r="H2889" s="77" t="str">
        <f>VLOOKUP(DESPESAS[[#This Row],[Plano de Contas]],BASE!$B$3:$D$119,3,FALSE)</f>
        <v>Consultoria Empresarial</v>
      </c>
      <c r="I2889" s="77" t="str">
        <f>IFERROR(VLOOKUP(DESPESAS[[#This Row],[Fornecedor]],Tabela2[],2,FALSE),"")</f>
        <v/>
      </c>
      <c r="J2889" s="77" t="str">
        <f>IFERROR(VLOOKUP(DESPESAS[[#This Row],[Plano de Contas]],BASE!$B$3:$F$119,4,FALSE),"")</f>
        <v>7 - SERVIÇOS DE TERCEIROS</v>
      </c>
      <c r="K2889" s="77" t="str">
        <f>IFERROR(VLOOKUP(DESPESAS[[#This Row],[Plano de Contas]],BASE!$B$3:$H$119,5,FALSE),"")</f>
        <v>FINANCEIRO</v>
      </c>
      <c r="L2889" s="77">
        <f>IFERROR(VLOOKUP(DESPESAS[[#This Row],[Plano de Contas]],BASE!$B$3:$H$119,6,FALSE),"")</f>
        <v>0</v>
      </c>
      <c r="M2889" s="77" t="str">
        <f>VLOOKUP(DESPESAS[[#This Row],[Plano de Contas]],BASE!$B$3:$H$119,7,FALSE)</f>
        <v>LETÍCIA</v>
      </c>
    </row>
    <row r="2890" spans="1:13" x14ac:dyDescent="0.25">
      <c r="A2890" s="74">
        <v>200002</v>
      </c>
      <c r="B2890" s="75" t="s">
        <v>232</v>
      </c>
      <c r="C2890" s="75" t="s">
        <v>1080</v>
      </c>
      <c r="D2890" s="76">
        <v>46112</v>
      </c>
      <c r="E2890" s="75" t="s">
        <v>1079</v>
      </c>
      <c r="F2890" s="74">
        <v>351</v>
      </c>
      <c r="G2890" s="75" t="s">
        <v>1078</v>
      </c>
      <c r="H2890" s="77" t="str">
        <f>VLOOKUP(DESPESAS[[#This Row],[Plano de Contas]],BASE!$B$3:$D$119,3,FALSE)</f>
        <v>SPC/Serasa/Associacao</v>
      </c>
      <c r="I2890" s="77" t="str">
        <f>IFERROR(VLOOKUP(DESPESAS[[#This Row],[Fornecedor]],Tabela2[],2,FALSE),"")</f>
        <v/>
      </c>
      <c r="J2890" s="77" t="str">
        <f>IFERROR(VLOOKUP(DESPESAS[[#This Row],[Plano de Contas]],BASE!$B$3:$F$119,4,FALSE),"")</f>
        <v>5 - DESPESAS ADMINISTRATIVAS</v>
      </c>
      <c r="K2890" s="77" t="str">
        <f>IFERROR(VLOOKUP(DESPESAS[[#This Row],[Plano de Contas]],BASE!$B$3:$H$119,5,FALSE),"")</f>
        <v>FINANCEIRO</v>
      </c>
      <c r="L2890" s="77">
        <f>IFERROR(VLOOKUP(DESPESAS[[#This Row],[Plano de Contas]],BASE!$B$3:$H$119,6,FALSE),"")</f>
        <v>0</v>
      </c>
      <c r="M2890" s="77" t="str">
        <f>VLOOKUP(DESPESAS[[#This Row],[Plano de Contas]],BASE!$B$3:$H$119,7,FALSE)</f>
        <v>LETÍCIA</v>
      </c>
    </row>
    <row r="2891" spans="1:13" x14ac:dyDescent="0.25">
      <c r="A2891" s="74">
        <v>200003</v>
      </c>
      <c r="B2891" s="75" t="s">
        <v>232</v>
      </c>
      <c r="C2891" s="75" t="s">
        <v>1077</v>
      </c>
      <c r="D2891" s="76">
        <v>46111</v>
      </c>
      <c r="E2891" s="75" t="s">
        <v>1076</v>
      </c>
      <c r="F2891" s="74">
        <v>195.82</v>
      </c>
      <c r="G2891" s="75" t="s">
        <v>1075</v>
      </c>
      <c r="H2891" s="77" t="str">
        <f>VLOOKUP(DESPESAS[[#This Row],[Plano de Contas]],BASE!$B$3:$D$119,3,FALSE)</f>
        <v>Fretes Ass. Técnica</v>
      </c>
      <c r="I2891" s="77" t="str">
        <f>IFERROR(VLOOKUP(DESPESAS[[#This Row],[Fornecedor]],Tabela2[],2,FALSE),"")</f>
        <v/>
      </c>
      <c r="J2891" s="77" t="str">
        <f>IFERROR(VLOOKUP(DESPESAS[[#This Row],[Plano de Contas]],BASE!$B$3:$F$119,4,FALSE),"")</f>
        <v>6 - DESPESA COM VENDAS</v>
      </c>
      <c r="K2891" s="77" t="str">
        <f>IFERROR(VLOOKUP(DESPESAS[[#This Row],[Plano de Contas]],BASE!$B$3:$H$119,5,FALSE),"")</f>
        <v>LOGÍSTICA</v>
      </c>
      <c r="L2891" s="77">
        <f>IFERROR(VLOOKUP(DESPESAS[[#This Row],[Plano de Contas]],BASE!$B$3:$H$119,6,FALSE),"")</f>
        <v>0</v>
      </c>
      <c r="M2891" s="77" t="str">
        <f>VLOOKUP(DESPESAS[[#This Row],[Plano de Contas]],BASE!$B$3:$H$119,7,FALSE)</f>
        <v>MYLENA</v>
      </c>
    </row>
    <row r="2892" spans="1:13" x14ac:dyDescent="0.25">
      <c r="A2892" s="74">
        <v>200004</v>
      </c>
      <c r="B2892" s="75" t="s">
        <v>232</v>
      </c>
      <c r="C2892" s="75" t="s">
        <v>1074</v>
      </c>
      <c r="D2892" s="76">
        <v>46118</v>
      </c>
      <c r="E2892" s="75" t="s">
        <v>607</v>
      </c>
      <c r="F2892" s="74">
        <v>2197.0500000000002</v>
      </c>
      <c r="G2892" s="75" t="s">
        <v>244</v>
      </c>
      <c r="H2892" s="77" t="str">
        <f>VLOOKUP(DESPESAS[[#This Row],[Plano de Contas]],BASE!$B$3:$D$119,3,FALSE)</f>
        <v>Material de Expediente (Prod)</v>
      </c>
      <c r="I2892" s="77" t="str">
        <f>IFERROR(VLOOKUP(DESPESAS[[#This Row],[Fornecedor]],Tabela2[],2,FALSE),"")</f>
        <v>FERRAGENS GERAIS</v>
      </c>
      <c r="J2892" s="77" t="str">
        <f>IFERROR(VLOOKUP(DESPESAS[[#This Row],[Plano de Contas]],BASE!$B$3:$F$119,4,FALSE),"")</f>
        <v>2 - CUSTOS DIRETOS</v>
      </c>
      <c r="K2892" s="77" t="str">
        <f>IFERROR(VLOOKUP(DESPESAS[[#This Row],[Plano de Contas]],BASE!$B$3:$H$119,5,FALSE),"")</f>
        <v>PRODUÇÃO</v>
      </c>
      <c r="L2892" s="77">
        <f>IFERROR(VLOOKUP(DESPESAS[[#This Row],[Plano de Contas]],BASE!$B$3:$H$119,6,FALSE),"")</f>
        <v>0</v>
      </c>
      <c r="M2892" s="77" t="str">
        <f>VLOOKUP(DESPESAS[[#This Row],[Plano de Contas]],BASE!$B$3:$H$119,7,FALSE)</f>
        <v>RAFAEL</v>
      </c>
    </row>
    <row r="2893" spans="1:13" x14ac:dyDescent="0.25">
      <c r="A2893" s="74">
        <v>200005</v>
      </c>
      <c r="B2893" s="75" t="s">
        <v>221</v>
      </c>
      <c r="C2893" s="75" t="s">
        <v>1073</v>
      </c>
      <c r="D2893" s="76">
        <v>46111</v>
      </c>
      <c r="E2893" s="75" t="s">
        <v>375</v>
      </c>
      <c r="F2893" s="74">
        <v>459.38</v>
      </c>
      <c r="G2893" s="75" t="s">
        <v>374</v>
      </c>
      <c r="H2893" s="77" t="str">
        <f>VLOOKUP(DESPESAS[[#This Row],[Plano de Contas]],BASE!$B$3:$D$119,3,FALSE)</f>
        <v>Consultoria Empresarial</v>
      </c>
      <c r="I2893" s="77" t="str">
        <f>IFERROR(VLOOKUP(DESPESAS[[#This Row],[Fornecedor]],Tabela2[],2,FALSE),"")</f>
        <v/>
      </c>
      <c r="J2893" s="77" t="str">
        <f>IFERROR(VLOOKUP(DESPESAS[[#This Row],[Plano de Contas]],BASE!$B$3:$F$119,4,FALSE),"")</f>
        <v>7 - SERVIÇOS DE TERCEIROS</v>
      </c>
      <c r="K2893" s="77" t="str">
        <f>IFERROR(VLOOKUP(DESPESAS[[#This Row],[Plano de Contas]],BASE!$B$3:$H$119,5,FALSE),"")</f>
        <v>FINANCEIRO</v>
      </c>
      <c r="L2893" s="77">
        <f>IFERROR(VLOOKUP(DESPESAS[[#This Row],[Plano de Contas]],BASE!$B$3:$H$119,6,FALSE),"")</f>
        <v>0</v>
      </c>
      <c r="M2893" s="77" t="str">
        <f>VLOOKUP(DESPESAS[[#This Row],[Plano de Contas]],BASE!$B$3:$H$119,7,FALSE)</f>
        <v>LETÍCIA</v>
      </c>
    </row>
    <row r="2894" spans="1:13" x14ac:dyDescent="0.25">
      <c r="A2894" s="74">
        <v>200006</v>
      </c>
      <c r="B2894" s="75" t="s">
        <v>221</v>
      </c>
      <c r="C2894" s="75" t="s">
        <v>1072</v>
      </c>
      <c r="D2894" s="76">
        <v>46112</v>
      </c>
      <c r="E2894" s="75" t="s">
        <v>768</v>
      </c>
      <c r="F2894" s="74">
        <v>178.31</v>
      </c>
      <c r="G2894" s="75" t="s">
        <v>772</v>
      </c>
      <c r="H2894" s="77" t="str">
        <f>VLOOKUP(DESPESAS[[#This Row],[Plano de Contas]],BASE!$B$3:$D$119,3,FALSE)</f>
        <v>INSS (Adm)</v>
      </c>
      <c r="I2894" s="77" t="str">
        <f>IFERROR(VLOOKUP(DESPESAS[[#This Row],[Fornecedor]],Tabela2[],2,FALSE),"")</f>
        <v/>
      </c>
      <c r="J2894" s="77" t="str">
        <f>IFERROR(VLOOKUP(DESPESAS[[#This Row],[Plano de Contas]],BASE!$B$3:$F$119,4,FALSE),"")</f>
        <v>4 - GASTOS COM PESSOAL</v>
      </c>
      <c r="K2894" s="77" t="str">
        <f>IFERROR(VLOOKUP(DESPESAS[[#This Row],[Plano de Contas]],BASE!$B$3:$H$119,5,FALSE),"")</f>
        <v>DH</v>
      </c>
      <c r="L2894" s="77">
        <f>IFERROR(VLOOKUP(DESPESAS[[#This Row],[Plano de Contas]],BASE!$B$3:$H$119,6,FALSE),"")</f>
        <v>0</v>
      </c>
      <c r="M2894" s="77" t="str">
        <f>VLOOKUP(DESPESAS[[#This Row],[Plano de Contas]],BASE!$B$3:$H$119,7,FALSE)</f>
        <v>RAFAEL</v>
      </c>
    </row>
    <row r="2895" spans="1:13" x14ac:dyDescent="0.25">
      <c r="A2895" s="74">
        <v>200007</v>
      </c>
      <c r="B2895" s="75" t="s">
        <v>221</v>
      </c>
      <c r="C2895" s="75" t="s">
        <v>1071</v>
      </c>
      <c r="D2895" s="76">
        <v>46111</v>
      </c>
      <c r="E2895" s="75" t="s">
        <v>239</v>
      </c>
      <c r="F2895" s="74">
        <v>141.76</v>
      </c>
      <c r="G2895" s="75" t="s">
        <v>238</v>
      </c>
      <c r="H2895" s="77" t="str">
        <f>VLOOKUP(DESPESAS[[#This Row],[Plano de Contas]],BASE!$B$3:$D$119,3,FALSE)</f>
        <v>Consultoria Comercial</v>
      </c>
      <c r="I2895" s="77" t="str">
        <f>IFERROR(VLOOKUP(DESPESAS[[#This Row],[Fornecedor]],Tabela2[],2,FALSE),"")</f>
        <v/>
      </c>
      <c r="J2895" s="77" t="str">
        <f>IFERROR(VLOOKUP(DESPESAS[[#This Row],[Plano de Contas]],BASE!$B$3:$F$119,4,FALSE),"")</f>
        <v>6 - DESPESA COM VENDAS</v>
      </c>
      <c r="K2895" s="77" t="str">
        <f>IFERROR(VLOOKUP(DESPESAS[[#This Row],[Plano de Contas]],BASE!$B$3:$H$119,5,FALSE),"")</f>
        <v>COMERCIAL</v>
      </c>
      <c r="L2895" s="77">
        <f>IFERROR(VLOOKUP(DESPESAS[[#This Row],[Plano de Contas]],BASE!$B$3:$H$119,6,FALSE),"")</f>
        <v>0</v>
      </c>
      <c r="M2895" s="77" t="str">
        <f>VLOOKUP(DESPESAS[[#This Row],[Plano de Contas]],BASE!$B$3:$H$119,7,FALSE)</f>
        <v>LETÍCIA</v>
      </c>
    </row>
    <row r="2896" spans="1:13" x14ac:dyDescent="0.25">
      <c r="A2896" s="74">
        <v>200009</v>
      </c>
      <c r="B2896" s="75" t="s">
        <v>221</v>
      </c>
      <c r="C2896" s="75" t="s">
        <v>1070</v>
      </c>
      <c r="D2896" s="76">
        <v>46109</v>
      </c>
      <c r="E2896" s="75" t="s">
        <v>242</v>
      </c>
      <c r="F2896" s="74">
        <v>3296.34</v>
      </c>
      <c r="G2896" s="75" t="s">
        <v>241</v>
      </c>
      <c r="H2896" s="77" t="str">
        <f>VLOOKUP(DESPESAS[[#This Row],[Plano de Contas]],BASE!$B$3:$D$119,3,FALSE)</f>
        <v>Combustiveis Frota</v>
      </c>
      <c r="I2896" s="77" t="str">
        <f>IFERROR(VLOOKUP(DESPESAS[[#This Row],[Fornecedor]],Tabela2[],2,FALSE),"")</f>
        <v/>
      </c>
      <c r="J2896" s="77" t="str">
        <f>IFERROR(VLOOKUP(DESPESAS[[#This Row],[Plano de Contas]],BASE!$B$3:$F$119,4,FALSE),"")</f>
        <v>6 - DESPESA COM VENDAS</v>
      </c>
      <c r="K2896" s="77" t="str">
        <f>IFERROR(VLOOKUP(DESPESAS[[#This Row],[Plano de Contas]],BASE!$B$3:$H$119,5,FALSE),"")</f>
        <v>LOGÍSTICA</v>
      </c>
      <c r="L2896" s="77">
        <f>IFERROR(VLOOKUP(DESPESAS[[#This Row],[Plano de Contas]],BASE!$B$3:$H$119,6,FALSE),"")</f>
        <v>0</v>
      </c>
      <c r="M2896" s="77" t="str">
        <f>VLOOKUP(DESPESAS[[#This Row],[Plano de Contas]],BASE!$B$3:$H$119,7,FALSE)</f>
        <v>MYLENA</v>
      </c>
    </row>
    <row r="2897" spans="1:13" x14ac:dyDescent="0.25">
      <c r="A2897" s="74">
        <v>200010</v>
      </c>
      <c r="B2897" s="75" t="s">
        <v>232</v>
      </c>
      <c r="C2897" s="75" t="s">
        <v>1069</v>
      </c>
      <c r="D2897" s="76">
        <v>46111</v>
      </c>
      <c r="E2897" s="75" t="s">
        <v>230</v>
      </c>
      <c r="F2897" s="74">
        <v>1126.18</v>
      </c>
      <c r="G2897" s="75" t="s">
        <v>251</v>
      </c>
      <c r="H2897" s="77" t="str">
        <f>VLOOKUP(DESPESAS[[#This Row],[Plano de Contas]],BASE!$B$3:$D$119,3,FALSE)</f>
        <v>Juros Pagos - Antecipação de Crédito</v>
      </c>
      <c r="I2897" s="77" t="str">
        <f>IFERROR(VLOOKUP(DESPESAS[[#This Row],[Fornecedor]],Tabela2[],2,FALSE),"")</f>
        <v/>
      </c>
      <c r="J2897" s="77" t="str">
        <f>IFERROR(VLOOKUP(DESPESAS[[#This Row],[Plano de Contas]],BASE!$B$3:$F$119,4,FALSE),"")</f>
        <v>8 - DESPESAS FINANCEIRAS</v>
      </c>
      <c r="K2897" s="77" t="str">
        <f>IFERROR(VLOOKUP(DESPESAS[[#This Row],[Plano de Contas]],BASE!$B$3:$H$119,5,FALSE),"")</f>
        <v>FINANCEIRO</v>
      </c>
      <c r="L2897" s="77">
        <f>IFERROR(VLOOKUP(DESPESAS[[#This Row],[Plano de Contas]],BASE!$B$3:$H$119,6,FALSE),"")</f>
        <v>0</v>
      </c>
      <c r="M2897" s="77" t="str">
        <f>VLOOKUP(DESPESAS[[#This Row],[Plano de Contas]],BASE!$B$3:$H$119,7,FALSE)</f>
        <v>LETÍCIA</v>
      </c>
    </row>
    <row r="2898" spans="1:13" x14ac:dyDescent="0.25">
      <c r="A2898" s="74">
        <v>200011</v>
      </c>
      <c r="B2898" s="75" t="s">
        <v>232</v>
      </c>
      <c r="C2898" s="75" t="s">
        <v>1068</v>
      </c>
      <c r="D2898" s="76">
        <v>46111</v>
      </c>
      <c r="E2898" s="75" t="s">
        <v>230</v>
      </c>
      <c r="F2898" s="74">
        <v>180.16</v>
      </c>
      <c r="G2898" s="75" t="s">
        <v>229</v>
      </c>
      <c r="H2898" s="77" t="str">
        <f>VLOOKUP(DESPESAS[[#This Row],[Plano de Contas]],BASE!$B$3:$D$119,3,FALSE)</f>
        <v>Despesas Bancarias</v>
      </c>
      <c r="I2898" s="77" t="str">
        <f>IFERROR(VLOOKUP(DESPESAS[[#This Row],[Fornecedor]],Tabela2[],2,FALSE),"")</f>
        <v/>
      </c>
      <c r="J2898" s="77" t="str">
        <f>IFERROR(VLOOKUP(DESPESAS[[#This Row],[Plano de Contas]],BASE!$B$3:$F$119,4,FALSE),"")</f>
        <v>8 - DESPESAS FINANCEIRAS</v>
      </c>
      <c r="K2898" s="77" t="str">
        <f>IFERROR(VLOOKUP(DESPESAS[[#This Row],[Plano de Contas]],BASE!$B$3:$H$119,5,FALSE),"")</f>
        <v>FINANCEIRO</v>
      </c>
      <c r="L2898" s="77">
        <f>IFERROR(VLOOKUP(DESPESAS[[#This Row],[Plano de Contas]],BASE!$B$3:$H$119,6,FALSE),"")</f>
        <v>0</v>
      </c>
      <c r="M2898" s="77" t="str">
        <f>VLOOKUP(DESPESAS[[#This Row],[Plano de Contas]],BASE!$B$3:$H$119,7,FALSE)</f>
        <v>LETÍCIA</v>
      </c>
    </row>
    <row r="2899" spans="1:13" x14ac:dyDescent="0.25">
      <c r="A2899" s="74">
        <v>200012</v>
      </c>
      <c r="B2899" s="75" t="s">
        <v>232</v>
      </c>
      <c r="C2899" s="75" t="s">
        <v>1067</v>
      </c>
      <c r="D2899" s="76">
        <v>46111</v>
      </c>
      <c r="E2899" s="75" t="s">
        <v>230</v>
      </c>
      <c r="F2899" s="74">
        <v>125.93</v>
      </c>
      <c r="G2899" s="75" t="s">
        <v>229</v>
      </c>
      <c r="H2899" s="77" t="str">
        <f>VLOOKUP(DESPESAS[[#This Row],[Plano de Contas]],BASE!$B$3:$D$119,3,FALSE)</f>
        <v>Despesas Bancarias</v>
      </c>
      <c r="I2899" s="77" t="str">
        <f>IFERROR(VLOOKUP(DESPESAS[[#This Row],[Fornecedor]],Tabela2[],2,FALSE),"")</f>
        <v/>
      </c>
      <c r="J2899" s="77" t="str">
        <f>IFERROR(VLOOKUP(DESPESAS[[#This Row],[Plano de Contas]],BASE!$B$3:$F$119,4,FALSE),"")</f>
        <v>8 - DESPESAS FINANCEIRAS</v>
      </c>
      <c r="K2899" s="77" t="str">
        <f>IFERROR(VLOOKUP(DESPESAS[[#This Row],[Plano de Contas]],BASE!$B$3:$H$119,5,FALSE),"")</f>
        <v>FINANCEIRO</v>
      </c>
      <c r="L2899" s="77">
        <f>IFERROR(VLOOKUP(DESPESAS[[#This Row],[Plano de Contas]],BASE!$B$3:$H$119,6,FALSE),"")</f>
        <v>0</v>
      </c>
      <c r="M2899" s="77" t="str">
        <f>VLOOKUP(DESPESAS[[#This Row],[Plano de Contas]],BASE!$B$3:$H$119,7,FALSE)</f>
        <v>LETÍCIA</v>
      </c>
    </row>
    <row r="2900" spans="1:13" x14ac:dyDescent="0.25">
      <c r="A2900" s="74">
        <v>200013</v>
      </c>
      <c r="B2900" s="75" t="s">
        <v>232</v>
      </c>
      <c r="C2900" s="75" t="s">
        <v>1066</v>
      </c>
      <c r="D2900" s="76">
        <v>46111</v>
      </c>
      <c r="E2900" s="75" t="s">
        <v>394</v>
      </c>
      <c r="F2900" s="74">
        <v>2796.5</v>
      </c>
      <c r="G2900" s="75" t="s">
        <v>241</v>
      </c>
      <c r="H2900" s="77" t="str">
        <f>VLOOKUP(DESPESAS[[#This Row],[Plano de Contas]],BASE!$B$3:$D$119,3,FALSE)</f>
        <v>Combustiveis Frota</v>
      </c>
      <c r="I2900" s="77" t="str">
        <f>IFERROR(VLOOKUP(DESPESAS[[#This Row],[Fornecedor]],Tabela2[],2,FALSE),"")</f>
        <v/>
      </c>
      <c r="J2900" s="77" t="str">
        <f>IFERROR(VLOOKUP(DESPESAS[[#This Row],[Plano de Contas]],BASE!$B$3:$F$119,4,FALSE),"")</f>
        <v>6 - DESPESA COM VENDAS</v>
      </c>
      <c r="K2900" s="77" t="str">
        <f>IFERROR(VLOOKUP(DESPESAS[[#This Row],[Plano de Contas]],BASE!$B$3:$H$119,5,FALSE),"")</f>
        <v>LOGÍSTICA</v>
      </c>
      <c r="L2900" s="77">
        <f>IFERROR(VLOOKUP(DESPESAS[[#This Row],[Plano de Contas]],BASE!$B$3:$H$119,6,FALSE),"")</f>
        <v>0</v>
      </c>
      <c r="M2900" s="77" t="str">
        <f>VLOOKUP(DESPESAS[[#This Row],[Plano de Contas]],BASE!$B$3:$H$119,7,FALSE)</f>
        <v>MYLENA</v>
      </c>
    </row>
    <row r="2901" spans="1:13" x14ac:dyDescent="0.25">
      <c r="A2901" s="74">
        <v>200014</v>
      </c>
      <c r="B2901" s="75" t="s">
        <v>232</v>
      </c>
      <c r="C2901" s="75" t="s">
        <v>1065</v>
      </c>
      <c r="D2901" s="76">
        <v>46111</v>
      </c>
      <c r="E2901" s="75" t="s">
        <v>1063</v>
      </c>
      <c r="F2901" s="74">
        <v>1153.5</v>
      </c>
      <c r="G2901" s="75" t="s">
        <v>241</v>
      </c>
      <c r="H2901" s="77" t="str">
        <f>VLOOKUP(DESPESAS[[#This Row],[Plano de Contas]],BASE!$B$3:$D$119,3,FALSE)</f>
        <v>Combustiveis Frota</v>
      </c>
      <c r="I2901" s="77" t="str">
        <f>IFERROR(VLOOKUP(DESPESAS[[#This Row],[Fornecedor]],Tabela2[],2,FALSE),"")</f>
        <v/>
      </c>
      <c r="J2901" s="77" t="str">
        <f>IFERROR(VLOOKUP(DESPESAS[[#This Row],[Plano de Contas]],BASE!$B$3:$F$119,4,FALSE),"")</f>
        <v>6 - DESPESA COM VENDAS</v>
      </c>
      <c r="K2901" s="77" t="str">
        <f>IFERROR(VLOOKUP(DESPESAS[[#This Row],[Plano de Contas]],BASE!$B$3:$H$119,5,FALSE),"")</f>
        <v>LOGÍSTICA</v>
      </c>
      <c r="L2901" s="77">
        <f>IFERROR(VLOOKUP(DESPESAS[[#This Row],[Plano de Contas]],BASE!$B$3:$H$119,6,FALSE),"")</f>
        <v>0</v>
      </c>
      <c r="M2901" s="77" t="str">
        <f>VLOOKUP(DESPESAS[[#This Row],[Plano de Contas]],BASE!$B$3:$H$119,7,FALSE)</f>
        <v>MYLENA</v>
      </c>
    </row>
    <row r="2902" spans="1:13" x14ac:dyDescent="0.25">
      <c r="A2902" s="74">
        <v>200015</v>
      </c>
      <c r="B2902" s="75" t="s">
        <v>232</v>
      </c>
      <c r="C2902" s="75" t="s">
        <v>1064</v>
      </c>
      <c r="D2902" s="76">
        <v>46111</v>
      </c>
      <c r="E2902" s="75" t="s">
        <v>1063</v>
      </c>
      <c r="F2902" s="74">
        <v>105.89</v>
      </c>
      <c r="G2902" s="75" t="s">
        <v>241</v>
      </c>
      <c r="H2902" s="77" t="str">
        <f>VLOOKUP(DESPESAS[[#This Row],[Plano de Contas]],BASE!$B$3:$D$119,3,FALSE)</f>
        <v>Combustiveis Frota</v>
      </c>
      <c r="I2902" s="77" t="str">
        <f>IFERROR(VLOOKUP(DESPESAS[[#This Row],[Fornecedor]],Tabela2[],2,FALSE),"")</f>
        <v/>
      </c>
      <c r="J2902" s="77" t="str">
        <f>IFERROR(VLOOKUP(DESPESAS[[#This Row],[Plano de Contas]],BASE!$B$3:$F$119,4,FALSE),"")</f>
        <v>6 - DESPESA COM VENDAS</v>
      </c>
      <c r="K2902" s="77" t="str">
        <f>IFERROR(VLOOKUP(DESPESAS[[#This Row],[Plano de Contas]],BASE!$B$3:$H$119,5,FALSE),"")</f>
        <v>LOGÍSTICA</v>
      </c>
      <c r="L2902" s="77">
        <f>IFERROR(VLOOKUP(DESPESAS[[#This Row],[Plano de Contas]],BASE!$B$3:$H$119,6,FALSE),"")</f>
        <v>0</v>
      </c>
      <c r="M2902" s="77" t="str">
        <f>VLOOKUP(DESPESAS[[#This Row],[Plano de Contas]],BASE!$B$3:$H$119,7,FALSE)</f>
        <v>MYLENA</v>
      </c>
    </row>
    <row r="2903" spans="1:13" x14ac:dyDescent="0.25">
      <c r="A2903" s="74">
        <v>200016</v>
      </c>
      <c r="B2903" s="75" t="s">
        <v>221</v>
      </c>
      <c r="C2903" s="75" t="s">
        <v>1062</v>
      </c>
      <c r="D2903" s="76">
        <v>46111</v>
      </c>
      <c r="E2903" s="75" t="s">
        <v>413</v>
      </c>
      <c r="F2903" s="74">
        <v>1036</v>
      </c>
      <c r="G2903" s="75" t="s">
        <v>262</v>
      </c>
      <c r="H2903" s="77" t="str">
        <f>VLOOKUP(DESPESAS[[#This Row],[Plano de Contas]],BASE!$B$3:$D$119,3,FALSE)</f>
        <v>Fretes Karams</v>
      </c>
      <c r="I2903" s="77" t="str">
        <f>IFERROR(VLOOKUP(DESPESAS[[#This Row],[Fornecedor]],Tabela2[],2,FALSE),"")</f>
        <v/>
      </c>
      <c r="J2903" s="77" t="str">
        <f>IFERROR(VLOOKUP(DESPESAS[[#This Row],[Plano de Contas]],BASE!$B$3:$F$119,4,FALSE),"")</f>
        <v>6 - DESPESA COM VENDAS</v>
      </c>
      <c r="K2903" s="77" t="str">
        <f>IFERROR(VLOOKUP(DESPESAS[[#This Row],[Plano de Contas]],BASE!$B$3:$H$119,5,FALSE),"")</f>
        <v>LOGÍSTICA</v>
      </c>
      <c r="L2903" s="77">
        <f>IFERROR(VLOOKUP(DESPESAS[[#This Row],[Plano de Contas]],BASE!$B$3:$H$119,6,FALSE),"")</f>
        <v>0</v>
      </c>
      <c r="M2903" s="77" t="str">
        <f>VLOOKUP(DESPESAS[[#This Row],[Plano de Contas]],BASE!$B$3:$H$119,7,FALSE)</f>
        <v>MYLENA</v>
      </c>
    </row>
    <row r="2904" spans="1:13" x14ac:dyDescent="0.25">
      <c r="A2904" s="74">
        <v>200017</v>
      </c>
      <c r="B2904" s="75" t="s">
        <v>221</v>
      </c>
      <c r="C2904" s="75" t="s">
        <v>1061</v>
      </c>
      <c r="D2904" s="76">
        <v>46111</v>
      </c>
      <c r="E2904" s="75" t="s">
        <v>242</v>
      </c>
      <c r="F2904" s="74">
        <v>3064.23</v>
      </c>
      <c r="G2904" s="75" t="s">
        <v>241</v>
      </c>
      <c r="H2904" s="77" t="str">
        <f>VLOOKUP(DESPESAS[[#This Row],[Plano de Contas]],BASE!$B$3:$D$119,3,FALSE)</f>
        <v>Combustiveis Frota</v>
      </c>
      <c r="I2904" s="77" t="str">
        <f>IFERROR(VLOOKUP(DESPESAS[[#This Row],[Fornecedor]],Tabela2[],2,FALSE),"")</f>
        <v/>
      </c>
      <c r="J2904" s="77" t="str">
        <f>IFERROR(VLOOKUP(DESPESAS[[#This Row],[Plano de Contas]],BASE!$B$3:$F$119,4,FALSE),"")</f>
        <v>6 - DESPESA COM VENDAS</v>
      </c>
      <c r="K2904" s="77" t="str">
        <f>IFERROR(VLOOKUP(DESPESAS[[#This Row],[Plano de Contas]],BASE!$B$3:$H$119,5,FALSE),"")</f>
        <v>LOGÍSTICA</v>
      </c>
      <c r="L2904" s="77">
        <f>IFERROR(VLOOKUP(DESPESAS[[#This Row],[Plano de Contas]],BASE!$B$3:$H$119,6,FALSE),"")</f>
        <v>0</v>
      </c>
      <c r="M2904" s="77" t="str">
        <f>VLOOKUP(DESPESAS[[#This Row],[Plano de Contas]],BASE!$B$3:$H$119,7,FALSE)</f>
        <v>MYLENA</v>
      </c>
    </row>
    <row r="2905" spans="1:13" x14ac:dyDescent="0.25">
      <c r="A2905" s="74">
        <v>200018</v>
      </c>
      <c r="B2905" s="75" t="s">
        <v>232</v>
      </c>
      <c r="C2905" s="75" t="s">
        <v>1060</v>
      </c>
      <c r="D2905" s="76">
        <v>46112</v>
      </c>
      <c r="E2905" s="75" t="s">
        <v>625</v>
      </c>
      <c r="F2905" s="74">
        <v>104</v>
      </c>
      <c r="G2905" s="75" t="s">
        <v>247</v>
      </c>
      <c r="H2905" s="77" t="str">
        <f>VLOOKUP(DESPESAS[[#This Row],[Plano de Contas]],BASE!$B$3:$D$119,3,FALSE)</f>
        <v>Manutenção com veiculos</v>
      </c>
      <c r="I2905" s="77" t="str">
        <f>IFERROR(VLOOKUP(DESPESAS[[#This Row],[Fornecedor]],Tabela2[],2,FALSE),"")</f>
        <v/>
      </c>
      <c r="J2905" s="77" t="str">
        <f>IFERROR(VLOOKUP(DESPESAS[[#This Row],[Plano de Contas]],BASE!$B$3:$F$119,4,FALSE),"")</f>
        <v>6 - DESPESA COM VENDAS</v>
      </c>
      <c r="K2905" s="77" t="str">
        <f>IFERROR(VLOOKUP(DESPESAS[[#This Row],[Plano de Contas]],BASE!$B$3:$H$119,5,FALSE),"")</f>
        <v>LOGÍSTICA</v>
      </c>
      <c r="L2905" s="77">
        <f>IFERROR(VLOOKUP(DESPESAS[[#This Row],[Plano de Contas]],BASE!$B$3:$H$119,6,FALSE),"")</f>
        <v>0</v>
      </c>
      <c r="M2905" s="77" t="str">
        <f>VLOOKUP(DESPESAS[[#This Row],[Plano de Contas]],BASE!$B$3:$H$119,7,FALSE)</f>
        <v>MYLENA</v>
      </c>
    </row>
    <row r="2906" spans="1:13" x14ac:dyDescent="0.25">
      <c r="A2906" s="74">
        <v>200019</v>
      </c>
      <c r="B2906" s="75" t="s">
        <v>232</v>
      </c>
      <c r="C2906" s="75" t="s">
        <v>1059</v>
      </c>
      <c r="D2906" s="76">
        <v>46111</v>
      </c>
      <c r="E2906" s="75" t="s">
        <v>230</v>
      </c>
      <c r="F2906" s="74">
        <v>0.88</v>
      </c>
      <c r="G2906" s="75" t="s">
        <v>229</v>
      </c>
      <c r="H2906" s="77" t="str">
        <f>VLOOKUP(DESPESAS[[#This Row],[Plano de Contas]],BASE!$B$3:$D$119,3,FALSE)</f>
        <v>Despesas Bancarias</v>
      </c>
      <c r="I2906" s="77" t="str">
        <f>IFERROR(VLOOKUP(DESPESAS[[#This Row],[Fornecedor]],Tabela2[],2,FALSE),"")</f>
        <v/>
      </c>
      <c r="J2906" s="77" t="str">
        <f>IFERROR(VLOOKUP(DESPESAS[[#This Row],[Plano de Contas]],BASE!$B$3:$F$119,4,FALSE),"")</f>
        <v>8 - DESPESAS FINANCEIRAS</v>
      </c>
      <c r="K2906" s="77" t="str">
        <f>IFERROR(VLOOKUP(DESPESAS[[#This Row],[Plano de Contas]],BASE!$B$3:$H$119,5,FALSE),"")</f>
        <v>FINANCEIRO</v>
      </c>
      <c r="L2906" s="77">
        <f>IFERROR(VLOOKUP(DESPESAS[[#This Row],[Plano de Contas]],BASE!$B$3:$H$119,6,FALSE),"")</f>
        <v>0</v>
      </c>
      <c r="M2906" s="77" t="str">
        <f>VLOOKUP(DESPESAS[[#This Row],[Plano de Contas]],BASE!$B$3:$H$119,7,FALSE)</f>
        <v>LETÍCIA</v>
      </c>
    </row>
    <row r="2907" spans="1:13" x14ac:dyDescent="0.25">
      <c r="A2907" s="74">
        <v>200020</v>
      </c>
      <c r="B2907" s="75" t="s">
        <v>232</v>
      </c>
      <c r="C2907" s="75" t="s">
        <v>1056</v>
      </c>
      <c r="D2907" s="76">
        <v>46111</v>
      </c>
      <c r="E2907" s="75" t="s">
        <v>230</v>
      </c>
      <c r="F2907" s="74">
        <v>5.53</v>
      </c>
      <c r="G2907" s="75" t="s">
        <v>236</v>
      </c>
      <c r="H2907" s="77" t="str">
        <f>VLOOKUP(DESPESAS[[#This Row],[Plano de Contas]],BASE!$B$3:$D$119,3,FALSE)</f>
        <v>Despesas de Cobranca</v>
      </c>
      <c r="I2907" s="77" t="str">
        <f>IFERROR(VLOOKUP(DESPESAS[[#This Row],[Fornecedor]],Tabela2[],2,FALSE),"")</f>
        <v/>
      </c>
      <c r="J2907" s="77" t="str">
        <f>IFERROR(VLOOKUP(DESPESAS[[#This Row],[Plano de Contas]],BASE!$B$3:$F$119,4,FALSE),"")</f>
        <v>8 - DESPESAS FINANCEIRAS</v>
      </c>
      <c r="K2907" s="77" t="str">
        <f>IFERROR(VLOOKUP(DESPESAS[[#This Row],[Plano de Contas]],BASE!$B$3:$H$119,5,FALSE),"")</f>
        <v>FINANCEIRO</v>
      </c>
      <c r="L2907" s="77">
        <f>IFERROR(VLOOKUP(DESPESAS[[#This Row],[Plano de Contas]],BASE!$B$3:$H$119,6,FALSE),"")</f>
        <v>0</v>
      </c>
      <c r="M2907" s="77" t="str">
        <f>VLOOKUP(DESPESAS[[#This Row],[Plano de Contas]],BASE!$B$3:$H$119,7,FALSE)</f>
        <v>LETÍCIA</v>
      </c>
    </row>
    <row r="2908" spans="1:13" x14ac:dyDescent="0.25">
      <c r="A2908" s="74">
        <v>200021</v>
      </c>
      <c r="B2908" s="75" t="s">
        <v>232</v>
      </c>
      <c r="C2908" s="75" t="s">
        <v>1058</v>
      </c>
      <c r="D2908" s="76">
        <v>46111</v>
      </c>
      <c r="E2908" s="75" t="s">
        <v>230</v>
      </c>
      <c r="F2908" s="74">
        <v>194.23</v>
      </c>
      <c r="G2908" s="75" t="s">
        <v>356</v>
      </c>
      <c r="H2908" s="77" t="str">
        <f>VLOOKUP(DESPESAS[[#This Row],[Plano de Contas]],BASE!$B$3:$D$119,3,FALSE)</f>
        <v>Despesas Cartorárias</v>
      </c>
      <c r="I2908" s="77" t="str">
        <f>IFERROR(VLOOKUP(DESPESAS[[#This Row],[Fornecedor]],Tabela2[],2,FALSE),"")</f>
        <v/>
      </c>
      <c r="J2908" s="77" t="str">
        <f>IFERROR(VLOOKUP(DESPESAS[[#This Row],[Plano de Contas]],BASE!$B$3:$F$119,4,FALSE),"")</f>
        <v>5 - DESPESAS ADMINISTRATIVAS</v>
      </c>
      <c r="K2908" s="77" t="str">
        <f>IFERROR(VLOOKUP(DESPESAS[[#This Row],[Plano de Contas]],BASE!$B$3:$H$119,5,FALSE),"")</f>
        <v>FINANCEIRO</v>
      </c>
      <c r="L2908" s="77">
        <f>IFERROR(VLOOKUP(DESPESAS[[#This Row],[Plano de Contas]],BASE!$B$3:$H$119,6,FALSE),"")</f>
        <v>0</v>
      </c>
      <c r="M2908" s="77" t="str">
        <f>VLOOKUP(DESPESAS[[#This Row],[Plano de Contas]],BASE!$B$3:$H$119,7,FALSE)</f>
        <v>LETÍCIA</v>
      </c>
    </row>
    <row r="2909" spans="1:13" x14ac:dyDescent="0.25">
      <c r="A2909" s="74">
        <v>200022</v>
      </c>
      <c r="B2909" s="75" t="s">
        <v>232</v>
      </c>
      <c r="C2909" s="75" t="s">
        <v>1057</v>
      </c>
      <c r="D2909" s="76">
        <v>46111</v>
      </c>
      <c r="E2909" s="75" t="s">
        <v>230</v>
      </c>
      <c r="F2909" s="74">
        <v>26.86</v>
      </c>
      <c r="G2909" s="75" t="s">
        <v>236</v>
      </c>
      <c r="H2909" s="77" t="str">
        <f>VLOOKUP(DESPESAS[[#This Row],[Plano de Contas]],BASE!$B$3:$D$119,3,FALSE)</f>
        <v>Despesas de Cobranca</v>
      </c>
      <c r="I2909" s="77" t="str">
        <f>IFERROR(VLOOKUP(DESPESAS[[#This Row],[Fornecedor]],Tabela2[],2,FALSE),"")</f>
        <v/>
      </c>
      <c r="J2909" s="77" t="str">
        <f>IFERROR(VLOOKUP(DESPESAS[[#This Row],[Plano de Contas]],BASE!$B$3:$F$119,4,FALSE),"")</f>
        <v>8 - DESPESAS FINANCEIRAS</v>
      </c>
      <c r="K2909" s="77" t="str">
        <f>IFERROR(VLOOKUP(DESPESAS[[#This Row],[Plano de Contas]],BASE!$B$3:$H$119,5,FALSE),"")</f>
        <v>FINANCEIRO</v>
      </c>
      <c r="L2909" s="77">
        <f>IFERROR(VLOOKUP(DESPESAS[[#This Row],[Plano de Contas]],BASE!$B$3:$H$119,6,FALSE),"")</f>
        <v>0</v>
      </c>
      <c r="M2909" s="77" t="str">
        <f>VLOOKUP(DESPESAS[[#This Row],[Plano de Contas]],BASE!$B$3:$H$119,7,FALSE)</f>
        <v>LETÍCIA</v>
      </c>
    </row>
    <row r="2910" spans="1:13" x14ac:dyDescent="0.25">
      <c r="A2910" s="74">
        <v>200023</v>
      </c>
      <c r="B2910" s="75" t="s">
        <v>232</v>
      </c>
      <c r="C2910" s="75" t="s">
        <v>1011</v>
      </c>
      <c r="D2910" s="76">
        <v>46112</v>
      </c>
      <c r="E2910" s="75" t="s">
        <v>230</v>
      </c>
      <c r="F2910" s="74">
        <v>1.34</v>
      </c>
      <c r="G2910" s="75" t="s">
        <v>229</v>
      </c>
      <c r="H2910" s="77" t="str">
        <f>VLOOKUP(DESPESAS[[#This Row],[Plano de Contas]],BASE!$B$3:$D$119,3,FALSE)</f>
        <v>Despesas Bancarias</v>
      </c>
      <c r="I2910" s="77" t="str">
        <f>IFERROR(VLOOKUP(DESPESAS[[#This Row],[Fornecedor]],Tabela2[],2,FALSE),"")</f>
        <v/>
      </c>
      <c r="J2910" s="77" t="str">
        <f>IFERROR(VLOOKUP(DESPESAS[[#This Row],[Plano de Contas]],BASE!$B$3:$F$119,4,FALSE),"")</f>
        <v>8 - DESPESAS FINANCEIRAS</v>
      </c>
      <c r="K2910" s="77" t="str">
        <f>IFERROR(VLOOKUP(DESPESAS[[#This Row],[Plano de Contas]],BASE!$B$3:$H$119,5,FALSE),"")</f>
        <v>FINANCEIRO</v>
      </c>
      <c r="L2910" s="77">
        <f>IFERROR(VLOOKUP(DESPESAS[[#This Row],[Plano de Contas]],BASE!$B$3:$H$119,6,FALSE),"")</f>
        <v>0</v>
      </c>
      <c r="M2910" s="77" t="str">
        <f>VLOOKUP(DESPESAS[[#This Row],[Plano de Contas]],BASE!$B$3:$H$119,7,FALSE)</f>
        <v>LETÍCIA</v>
      </c>
    </row>
    <row r="2911" spans="1:13" x14ac:dyDescent="0.25">
      <c r="A2911" s="74">
        <v>200024</v>
      </c>
      <c r="B2911" s="75" t="s">
        <v>279</v>
      </c>
      <c r="C2911" s="75" t="s">
        <v>1056</v>
      </c>
      <c r="D2911" s="76">
        <v>46111</v>
      </c>
      <c r="E2911" s="75" t="s">
        <v>230</v>
      </c>
      <c r="F2911" s="74">
        <v>5.53</v>
      </c>
      <c r="G2911" s="75" t="s">
        <v>236</v>
      </c>
      <c r="H2911" s="77" t="str">
        <f>VLOOKUP(DESPESAS[[#This Row],[Plano de Contas]],BASE!$B$3:$D$119,3,FALSE)</f>
        <v>Despesas de Cobranca</v>
      </c>
      <c r="I2911" s="77" t="str">
        <f>IFERROR(VLOOKUP(DESPESAS[[#This Row],[Fornecedor]],Tabela2[],2,FALSE),"")</f>
        <v/>
      </c>
      <c r="J2911" s="77" t="str">
        <f>IFERROR(VLOOKUP(DESPESAS[[#This Row],[Plano de Contas]],BASE!$B$3:$F$119,4,FALSE),"")</f>
        <v>8 - DESPESAS FINANCEIRAS</v>
      </c>
      <c r="K2911" s="77" t="str">
        <f>IFERROR(VLOOKUP(DESPESAS[[#This Row],[Plano de Contas]],BASE!$B$3:$H$119,5,FALSE),"")</f>
        <v>FINANCEIRO</v>
      </c>
      <c r="L2911" s="77">
        <f>IFERROR(VLOOKUP(DESPESAS[[#This Row],[Plano de Contas]],BASE!$B$3:$H$119,6,FALSE),"")</f>
        <v>0</v>
      </c>
      <c r="M2911" s="77" t="str">
        <f>VLOOKUP(DESPESAS[[#This Row],[Plano de Contas]],BASE!$B$3:$H$119,7,FALSE)</f>
        <v>LETÍCIA</v>
      </c>
    </row>
    <row r="2912" spans="1:13" x14ac:dyDescent="0.25">
      <c r="A2912" s="74">
        <v>200025</v>
      </c>
      <c r="B2912" s="75" t="s">
        <v>279</v>
      </c>
      <c r="C2912" s="75" t="s">
        <v>1055</v>
      </c>
      <c r="D2912" s="76">
        <v>46112</v>
      </c>
      <c r="E2912" s="75" t="s">
        <v>230</v>
      </c>
      <c r="F2912" s="74">
        <v>1.61</v>
      </c>
      <c r="G2912" s="75" t="s">
        <v>229</v>
      </c>
      <c r="H2912" s="77" t="str">
        <f>VLOOKUP(DESPESAS[[#This Row],[Plano de Contas]],BASE!$B$3:$D$119,3,FALSE)</f>
        <v>Despesas Bancarias</v>
      </c>
      <c r="I2912" s="77" t="str">
        <f>IFERROR(VLOOKUP(DESPESAS[[#This Row],[Fornecedor]],Tabela2[],2,FALSE),"")</f>
        <v/>
      </c>
      <c r="J2912" s="77" t="str">
        <f>IFERROR(VLOOKUP(DESPESAS[[#This Row],[Plano de Contas]],BASE!$B$3:$F$119,4,FALSE),"")</f>
        <v>8 - DESPESAS FINANCEIRAS</v>
      </c>
      <c r="K2912" s="77" t="str">
        <f>IFERROR(VLOOKUP(DESPESAS[[#This Row],[Plano de Contas]],BASE!$B$3:$H$119,5,FALSE),"")</f>
        <v>FINANCEIRO</v>
      </c>
      <c r="L2912" s="77">
        <f>IFERROR(VLOOKUP(DESPESAS[[#This Row],[Plano de Contas]],BASE!$B$3:$H$119,6,FALSE),"")</f>
        <v>0</v>
      </c>
      <c r="M2912" s="77" t="str">
        <f>VLOOKUP(DESPESAS[[#This Row],[Plano de Contas]],BASE!$B$3:$H$119,7,FALSE)</f>
        <v>LETÍCIA</v>
      </c>
    </row>
    <row r="2913" spans="1:13" x14ac:dyDescent="0.25">
      <c r="A2913" s="74">
        <v>200026</v>
      </c>
      <c r="B2913" s="75" t="s">
        <v>232</v>
      </c>
      <c r="C2913" s="75" t="s">
        <v>1054</v>
      </c>
      <c r="D2913" s="76">
        <v>46111</v>
      </c>
      <c r="E2913" s="75" t="s">
        <v>230</v>
      </c>
      <c r="F2913" s="74">
        <v>5.7</v>
      </c>
      <c r="G2913" s="75" t="s">
        <v>236</v>
      </c>
      <c r="H2913" s="77" t="str">
        <f>VLOOKUP(DESPESAS[[#This Row],[Plano de Contas]],BASE!$B$3:$D$119,3,FALSE)</f>
        <v>Despesas de Cobranca</v>
      </c>
      <c r="I2913" s="77" t="str">
        <f>IFERROR(VLOOKUP(DESPESAS[[#This Row],[Fornecedor]],Tabela2[],2,FALSE),"")</f>
        <v/>
      </c>
      <c r="J2913" s="77" t="str">
        <f>IFERROR(VLOOKUP(DESPESAS[[#This Row],[Plano de Contas]],BASE!$B$3:$F$119,4,FALSE),"")</f>
        <v>8 - DESPESAS FINANCEIRAS</v>
      </c>
      <c r="K2913" s="77" t="str">
        <f>IFERROR(VLOOKUP(DESPESAS[[#This Row],[Plano de Contas]],BASE!$B$3:$H$119,5,FALSE),"")</f>
        <v>FINANCEIRO</v>
      </c>
      <c r="L2913" s="77">
        <f>IFERROR(VLOOKUP(DESPESAS[[#This Row],[Plano de Contas]],BASE!$B$3:$H$119,6,FALSE),"")</f>
        <v>0</v>
      </c>
      <c r="M2913" s="77" t="str">
        <f>VLOOKUP(DESPESAS[[#This Row],[Plano de Contas]],BASE!$B$3:$H$119,7,FALSE)</f>
        <v>LETÍCIA</v>
      </c>
    </row>
    <row r="2914" spans="1:13" x14ac:dyDescent="0.25">
      <c r="A2914" s="74">
        <v>200027</v>
      </c>
      <c r="B2914" s="75" t="s">
        <v>232</v>
      </c>
      <c r="C2914" s="75" t="s">
        <v>1053</v>
      </c>
      <c r="D2914" s="76">
        <v>46112</v>
      </c>
      <c r="E2914" s="75" t="s">
        <v>1052</v>
      </c>
      <c r="F2914" s="74">
        <v>40000</v>
      </c>
      <c r="G2914" s="75" t="s">
        <v>1051</v>
      </c>
      <c r="H2914" s="77" t="str">
        <f>VLOOKUP(DESPESAS[[#This Row],[Plano de Contas]],BASE!$B$3:$D$119,3,FALSE)</f>
        <v>Remessa de Industrialização</v>
      </c>
      <c r="I2914" s="77" t="str">
        <f>IFERROR(VLOOKUP(DESPESAS[[#This Row],[Fornecedor]],Tabela2[],2,FALSE),"")</f>
        <v/>
      </c>
      <c r="J2914" s="77">
        <f>IFERROR(VLOOKUP(DESPESAS[[#This Row],[Plano de Contas]],BASE!$B$3:$F$119,4,FALSE),"")</f>
        <v>0</v>
      </c>
      <c r="K2914" s="77">
        <f>IFERROR(VLOOKUP(DESPESAS[[#This Row],[Plano de Contas]],BASE!$B$3:$H$119,5,FALSE),"")</f>
        <v>0</v>
      </c>
      <c r="L2914" s="77">
        <f>IFERROR(VLOOKUP(DESPESAS[[#This Row],[Plano de Contas]],BASE!$B$3:$H$119,6,FALSE),"")</f>
        <v>0</v>
      </c>
      <c r="M2914" s="77" t="str">
        <f>VLOOKUP(DESPESAS[[#This Row],[Plano de Contas]],BASE!$B$3:$H$119,7,FALSE)</f>
        <v>NINGUÉM</v>
      </c>
    </row>
    <row r="2915" spans="1:13" x14ac:dyDescent="0.25">
      <c r="A2915" s="74">
        <v>200028</v>
      </c>
      <c r="B2915" s="75" t="s">
        <v>281</v>
      </c>
      <c r="C2915" s="75" t="s">
        <v>1050</v>
      </c>
      <c r="D2915" s="76">
        <v>46111</v>
      </c>
      <c r="E2915" s="75" t="s">
        <v>230</v>
      </c>
      <c r="F2915" s="74">
        <v>7.11</v>
      </c>
      <c r="G2915" s="75" t="s">
        <v>236</v>
      </c>
      <c r="H2915" s="77" t="str">
        <f>VLOOKUP(DESPESAS[[#This Row],[Plano de Contas]],BASE!$B$3:$D$119,3,FALSE)</f>
        <v>Despesas de Cobranca</v>
      </c>
      <c r="I2915" s="77" t="str">
        <f>IFERROR(VLOOKUP(DESPESAS[[#This Row],[Fornecedor]],Tabela2[],2,FALSE),"")</f>
        <v/>
      </c>
      <c r="J2915" s="77" t="str">
        <f>IFERROR(VLOOKUP(DESPESAS[[#This Row],[Plano de Contas]],BASE!$B$3:$F$119,4,FALSE),"")</f>
        <v>8 - DESPESAS FINANCEIRAS</v>
      </c>
      <c r="K2915" s="77" t="str">
        <f>IFERROR(VLOOKUP(DESPESAS[[#This Row],[Plano de Contas]],BASE!$B$3:$H$119,5,FALSE),"")</f>
        <v>FINANCEIRO</v>
      </c>
      <c r="L2915" s="77">
        <f>IFERROR(VLOOKUP(DESPESAS[[#This Row],[Plano de Contas]],BASE!$B$3:$H$119,6,FALSE),"")</f>
        <v>0</v>
      </c>
      <c r="M2915" s="77" t="str">
        <f>VLOOKUP(DESPESAS[[#This Row],[Plano de Contas]],BASE!$B$3:$H$119,7,FALSE)</f>
        <v>LETÍCIA</v>
      </c>
    </row>
    <row r="2916" spans="1:13" x14ac:dyDescent="0.25">
      <c r="A2916" s="74">
        <v>200029</v>
      </c>
      <c r="B2916" s="75" t="s">
        <v>232</v>
      </c>
      <c r="C2916" s="75" t="s">
        <v>1049</v>
      </c>
      <c r="D2916" s="76">
        <v>46107</v>
      </c>
      <c r="E2916" s="75" t="s">
        <v>329</v>
      </c>
      <c r="F2916" s="74">
        <v>144.6</v>
      </c>
      <c r="G2916" s="75" t="s">
        <v>326</v>
      </c>
      <c r="H2916" s="77" t="str">
        <f>VLOOKUP(DESPESAS[[#This Row],[Plano de Contas]],BASE!$B$3:$D$119,3,FALSE)</f>
        <v>Frete sobre Compras</v>
      </c>
      <c r="I2916" s="77" t="str">
        <f>IFERROR(VLOOKUP(DESPESAS[[#This Row],[Fornecedor]],Tabela2[],2,FALSE),"")</f>
        <v/>
      </c>
      <c r="J2916" s="77" t="str">
        <f>IFERROR(VLOOKUP(DESPESAS[[#This Row],[Plano de Contas]],BASE!$B$3:$F$119,4,FALSE),"")</f>
        <v>1 - CPV</v>
      </c>
      <c r="K2916" s="77" t="str">
        <f>IFERROR(VLOOKUP(DESPESAS[[#This Row],[Plano de Contas]],BASE!$B$3:$H$119,5,FALSE),"")</f>
        <v>COMPRAS</v>
      </c>
      <c r="L2916" s="77">
        <f>IFERROR(VLOOKUP(DESPESAS[[#This Row],[Plano de Contas]],BASE!$B$3:$H$119,6,FALSE),"")</f>
        <v>0</v>
      </c>
      <c r="M2916" s="77" t="str">
        <f>VLOOKUP(DESPESAS[[#This Row],[Plano de Contas]],BASE!$B$3:$H$119,7,FALSE)</f>
        <v>MYLENA</v>
      </c>
    </row>
    <row r="2917" spans="1:13" x14ac:dyDescent="0.25">
      <c r="A2917" s="74">
        <v>200030</v>
      </c>
      <c r="B2917" s="75" t="s">
        <v>232</v>
      </c>
      <c r="C2917" s="75" t="s">
        <v>1048</v>
      </c>
      <c r="D2917" s="76">
        <v>46108</v>
      </c>
      <c r="E2917" s="75" t="s">
        <v>327</v>
      </c>
      <c r="F2917" s="74">
        <v>515.98</v>
      </c>
      <c r="G2917" s="75" t="s">
        <v>326</v>
      </c>
      <c r="H2917" s="77" t="str">
        <f>VLOOKUP(DESPESAS[[#This Row],[Plano de Contas]],BASE!$B$3:$D$119,3,FALSE)</f>
        <v>Frete sobre Compras</v>
      </c>
      <c r="I2917" s="77" t="str">
        <f>IFERROR(VLOOKUP(DESPESAS[[#This Row],[Fornecedor]],Tabela2[],2,FALSE),"")</f>
        <v>SERVIÇOS FRETE</v>
      </c>
      <c r="J2917" s="77" t="str">
        <f>IFERROR(VLOOKUP(DESPESAS[[#This Row],[Plano de Contas]],BASE!$B$3:$F$119,4,FALSE),"")</f>
        <v>1 - CPV</v>
      </c>
      <c r="K2917" s="77" t="str">
        <f>IFERROR(VLOOKUP(DESPESAS[[#This Row],[Plano de Contas]],BASE!$B$3:$H$119,5,FALSE),"")</f>
        <v>COMPRAS</v>
      </c>
      <c r="L2917" s="77">
        <f>IFERROR(VLOOKUP(DESPESAS[[#This Row],[Plano de Contas]],BASE!$B$3:$H$119,6,FALSE),"")</f>
        <v>0</v>
      </c>
      <c r="M2917" s="77" t="str">
        <f>VLOOKUP(DESPESAS[[#This Row],[Plano de Contas]],BASE!$B$3:$H$119,7,FALSE)</f>
        <v>MYLENA</v>
      </c>
    </row>
    <row r="2918" spans="1:13" x14ac:dyDescent="0.25">
      <c r="A2918" s="74">
        <v>200031</v>
      </c>
      <c r="B2918" s="75" t="s">
        <v>232</v>
      </c>
      <c r="C2918" s="75" t="s">
        <v>1047</v>
      </c>
      <c r="D2918" s="76">
        <v>46106</v>
      </c>
      <c r="E2918" s="75" t="s">
        <v>327</v>
      </c>
      <c r="F2918" s="74">
        <v>113.38</v>
      </c>
      <c r="G2918" s="75" t="s">
        <v>326</v>
      </c>
      <c r="H2918" s="77" t="str">
        <f>VLOOKUP(DESPESAS[[#This Row],[Plano de Contas]],BASE!$B$3:$D$119,3,FALSE)</f>
        <v>Frete sobre Compras</v>
      </c>
      <c r="I2918" s="77" t="str">
        <f>IFERROR(VLOOKUP(DESPESAS[[#This Row],[Fornecedor]],Tabela2[],2,FALSE),"")</f>
        <v>SERVIÇOS FRETE</v>
      </c>
      <c r="J2918" s="77" t="str">
        <f>IFERROR(VLOOKUP(DESPESAS[[#This Row],[Plano de Contas]],BASE!$B$3:$F$119,4,FALSE),"")</f>
        <v>1 - CPV</v>
      </c>
      <c r="K2918" s="77" t="str">
        <f>IFERROR(VLOOKUP(DESPESAS[[#This Row],[Plano de Contas]],BASE!$B$3:$H$119,5,FALSE),"")</f>
        <v>COMPRAS</v>
      </c>
      <c r="L2918" s="77">
        <f>IFERROR(VLOOKUP(DESPESAS[[#This Row],[Plano de Contas]],BASE!$B$3:$H$119,6,FALSE),"")</f>
        <v>0</v>
      </c>
      <c r="M2918" s="77" t="str">
        <f>VLOOKUP(DESPESAS[[#This Row],[Plano de Contas]],BASE!$B$3:$H$119,7,FALSE)</f>
        <v>MYLENA</v>
      </c>
    </row>
    <row r="2919" spans="1:13" x14ac:dyDescent="0.25">
      <c r="A2919" s="74">
        <v>200033</v>
      </c>
      <c r="B2919" s="75" t="s">
        <v>232</v>
      </c>
      <c r="C2919" s="75" t="s">
        <v>1046</v>
      </c>
      <c r="D2919" s="76">
        <v>46101</v>
      </c>
      <c r="E2919" s="75" t="s">
        <v>329</v>
      </c>
      <c r="F2919" s="74">
        <v>128.13</v>
      </c>
      <c r="G2919" s="75" t="s">
        <v>326</v>
      </c>
      <c r="H2919" s="77" t="str">
        <f>VLOOKUP(DESPESAS[[#This Row],[Plano de Contas]],BASE!$B$3:$D$119,3,FALSE)</f>
        <v>Frete sobre Compras</v>
      </c>
      <c r="I2919" s="77" t="str">
        <f>IFERROR(VLOOKUP(DESPESAS[[#This Row],[Fornecedor]],Tabela2[],2,FALSE),"")</f>
        <v/>
      </c>
      <c r="J2919" s="77" t="str">
        <f>IFERROR(VLOOKUP(DESPESAS[[#This Row],[Plano de Contas]],BASE!$B$3:$F$119,4,FALSE),"")</f>
        <v>1 - CPV</v>
      </c>
      <c r="K2919" s="77" t="str">
        <f>IFERROR(VLOOKUP(DESPESAS[[#This Row],[Plano de Contas]],BASE!$B$3:$H$119,5,FALSE),"")</f>
        <v>COMPRAS</v>
      </c>
      <c r="L2919" s="77">
        <f>IFERROR(VLOOKUP(DESPESAS[[#This Row],[Plano de Contas]],BASE!$B$3:$H$119,6,FALSE),"")</f>
        <v>0</v>
      </c>
      <c r="M2919" s="77" t="str">
        <f>VLOOKUP(DESPESAS[[#This Row],[Plano de Contas]],BASE!$B$3:$H$119,7,FALSE)</f>
        <v>MYLENA</v>
      </c>
    </row>
    <row r="2920" spans="1:13" x14ac:dyDescent="0.25">
      <c r="A2920" s="74">
        <v>200034</v>
      </c>
      <c r="B2920" s="75" t="s">
        <v>232</v>
      </c>
      <c r="C2920" s="75" t="s">
        <v>1045</v>
      </c>
      <c r="D2920" s="76">
        <v>46112</v>
      </c>
      <c r="E2920" s="75" t="s">
        <v>409</v>
      </c>
      <c r="F2920" s="74">
        <v>147.05000000000001</v>
      </c>
      <c r="G2920" s="75" t="s">
        <v>326</v>
      </c>
      <c r="H2920" s="77" t="str">
        <f>VLOOKUP(DESPESAS[[#This Row],[Plano de Contas]],BASE!$B$3:$D$119,3,FALSE)</f>
        <v>Frete sobre Compras</v>
      </c>
      <c r="I2920" s="77" t="str">
        <f>IFERROR(VLOOKUP(DESPESAS[[#This Row],[Fornecedor]],Tabela2[],2,FALSE),"")</f>
        <v>SERVIÇOS FRETE</v>
      </c>
      <c r="J2920" s="77" t="str">
        <f>IFERROR(VLOOKUP(DESPESAS[[#This Row],[Plano de Contas]],BASE!$B$3:$F$119,4,FALSE),"")</f>
        <v>1 - CPV</v>
      </c>
      <c r="K2920" s="77" t="str">
        <f>IFERROR(VLOOKUP(DESPESAS[[#This Row],[Plano de Contas]],BASE!$B$3:$H$119,5,FALSE),"")</f>
        <v>COMPRAS</v>
      </c>
      <c r="L2920" s="77">
        <f>IFERROR(VLOOKUP(DESPESAS[[#This Row],[Plano de Contas]],BASE!$B$3:$H$119,6,FALSE),"")</f>
        <v>0</v>
      </c>
      <c r="M2920" s="77" t="str">
        <f>VLOOKUP(DESPESAS[[#This Row],[Plano de Contas]],BASE!$B$3:$H$119,7,FALSE)</f>
        <v>MYLENA</v>
      </c>
    </row>
    <row r="2921" spans="1:13" x14ac:dyDescent="0.25">
      <c r="A2921" s="74">
        <v>200035</v>
      </c>
      <c r="B2921" s="75" t="s">
        <v>232</v>
      </c>
      <c r="C2921" s="75" t="s">
        <v>1044</v>
      </c>
      <c r="D2921" s="76">
        <v>46107</v>
      </c>
      <c r="E2921" s="75" t="s">
        <v>409</v>
      </c>
      <c r="F2921" s="74">
        <v>123.32</v>
      </c>
      <c r="G2921" s="75" t="s">
        <v>326</v>
      </c>
      <c r="H2921" s="77" t="str">
        <f>VLOOKUP(DESPESAS[[#This Row],[Plano de Contas]],BASE!$B$3:$D$119,3,FALSE)</f>
        <v>Frete sobre Compras</v>
      </c>
      <c r="I2921" s="77" t="str">
        <f>IFERROR(VLOOKUP(DESPESAS[[#This Row],[Fornecedor]],Tabela2[],2,FALSE),"")</f>
        <v>SERVIÇOS FRETE</v>
      </c>
      <c r="J2921" s="77" t="str">
        <f>IFERROR(VLOOKUP(DESPESAS[[#This Row],[Plano de Contas]],BASE!$B$3:$F$119,4,FALSE),"")</f>
        <v>1 - CPV</v>
      </c>
      <c r="K2921" s="77" t="str">
        <f>IFERROR(VLOOKUP(DESPESAS[[#This Row],[Plano de Contas]],BASE!$B$3:$H$119,5,FALSE),"")</f>
        <v>COMPRAS</v>
      </c>
      <c r="L2921" s="77">
        <f>IFERROR(VLOOKUP(DESPESAS[[#This Row],[Plano de Contas]],BASE!$B$3:$H$119,6,FALSE),"")</f>
        <v>0</v>
      </c>
      <c r="M2921" s="77" t="str">
        <f>VLOOKUP(DESPESAS[[#This Row],[Plano de Contas]],BASE!$B$3:$H$119,7,FALSE)</f>
        <v>MYLENA</v>
      </c>
    </row>
    <row r="2922" spans="1:13" x14ac:dyDescent="0.25">
      <c r="A2922" s="74">
        <v>200036</v>
      </c>
      <c r="B2922" s="75" t="s">
        <v>232</v>
      </c>
      <c r="C2922" s="75" t="s">
        <v>1043</v>
      </c>
      <c r="D2922" s="76">
        <v>46101</v>
      </c>
      <c r="E2922" s="75" t="s">
        <v>327</v>
      </c>
      <c r="F2922" s="74">
        <v>329.84</v>
      </c>
      <c r="G2922" s="75" t="s">
        <v>326</v>
      </c>
      <c r="H2922" s="77" t="str">
        <f>VLOOKUP(DESPESAS[[#This Row],[Plano de Contas]],BASE!$B$3:$D$119,3,FALSE)</f>
        <v>Frete sobre Compras</v>
      </c>
      <c r="I2922" s="77" t="str">
        <f>IFERROR(VLOOKUP(DESPESAS[[#This Row],[Fornecedor]],Tabela2[],2,FALSE),"")</f>
        <v>SERVIÇOS FRETE</v>
      </c>
      <c r="J2922" s="77" t="str">
        <f>IFERROR(VLOOKUP(DESPESAS[[#This Row],[Plano de Contas]],BASE!$B$3:$F$119,4,FALSE),"")</f>
        <v>1 - CPV</v>
      </c>
      <c r="K2922" s="77" t="str">
        <f>IFERROR(VLOOKUP(DESPESAS[[#This Row],[Plano de Contas]],BASE!$B$3:$H$119,5,FALSE),"")</f>
        <v>COMPRAS</v>
      </c>
      <c r="L2922" s="77">
        <f>IFERROR(VLOOKUP(DESPESAS[[#This Row],[Plano de Contas]],BASE!$B$3:$H$119,6,FALSE),"")</f>
        <v>0</v>
      </c>
      <c r="M2922" s="77" t="str">
        <f>VLOOKUP(DESPESAS[[#This Row],[Plano de Contas]],BASE!$B$3:$H$119,7,FALSE)</f>
        <v>MYLENA</v>
      </c>
    </row>
    <row r="2923" spans="1:13" x14ac:dyDescent="0.25">
      <c r="A2923" s="74">
        <v>200037</v>
      </c>
      <c r="B2923" s="75" t="s">
        <v>232</v>
      </c>
      <c r="C2923" s="75" t="s">
        <v>1042</v>
      </c>
      <c r="D2923" s="76">
        <v>46112</v>
      </c>
      <c r="E2923" s="75" t="s">
        <v>327</v>
      </c>
      <c r="F2923" s="74">
        <v>520.38</v>
      </c>
      <c r="G2923" s="75" t="s">
        <v>326</v>
      </c>
      <c r="H2923" s="77" t="str">
        <f>VLOOKUP(DESPESAS[[#This Row],[Plano de Contas]],BASE!$B$3:$D$119,3,FALSE)</f>
        <v>Frete sobre Compras</v>
      </c>
      <c r="I2923" s="77" t="str">
        <f>IFERROR(VLOOKUP(DESPESAS[[#This Row],[Fornecedor]],Tabela2[],2,FALSE),"")</f>
        <v>SERVIÇOS FRETE</v>
      </c>
      <c r="J2923" s="77" t="str">
        <f>IFERROR(VLOOKUP(DESPESAS[[#This Row],[Plano de Contas]],BASE!$B$3:$F$119,4,FALSE),"")</f>
        <v>1 - CPV</v>
      </c>
      <c r="K2923" s="77" t="str">
        <f>IFERROR(VLOOKUP(DESPESAS[[#This Row],[Plano de Contas]],BASE!$B$3:$H$119,5,FALSE),"")</f>
        <v>COMPRAS</v>
      </c>
      <c r="L2923" s="77">
        <f>IFERROR(VLOOKUP(DESPESAS[[#This Row],[Plano de Contas]],BASE!$B$3:$H$119,6,FALSE),"")</f>
        <v>0</v>
      </c>
      <c r="M2923" s="77" t="str">
        <f>VLOOKUP(DESPESAS[[#This Row],[Plano de Contas]],BASE!$B$3:$H$119,7,FALSE)</f>
        <v>MYLENA</v>
      </c>
    </row>
    <row r="2924" spans="1:13" x14ac:dyDescent="0.25">
      <c r="A2924" s="74">
        <v>200038</v>
      </c>
      <c r="B2924" s="75" t="s">
        <v>232</v>
      </c>
      <c r="C2924" s="75" t="s">
        <v>1041</v>
      </c>
      <c r="D2924" s="76">
        <v>46112</v>
      </c>
      <c r="E2924" s="75" t="s">
        <v>409</v>
      </c>
      <c r="F2924" s="74">
        <v>299.23</v>
      </c>
      <c r="G2924" s="75" t="s">
        <v>326</v>
      </c>
      <c r="H2924" s="77" t="str">
        <f>VLOOKUP(DESPESAS[[#This Row],[Plano de Contas]],BASE!$B$3:$D$119,3,FALSE)</f>
        <v>Frete sobre Compras</v>
      </c>
      <c r="I2924" s="77" t="str">
        <f>IFERROR(VLOOKUP(DESPESAS[[#This Row],[Fornecedor]],Tabela2[],2,FALSE),"")</f>
        <v>SERVIÇOS FRETE</v>
      </c>
      <c r="J2924" s="77" t="str">
        <f>IFERROR(VLOOKUP(DESPESAS[[#This Row],[Plano de Contas]],BASE!$B$3:$F$119,4,FALSE),"")</f>
        <v>1 - CPV</v>
      </c>
      <c r="K2924" s="77" t="str">
        <f>IFERROR(VLOOKUP(DESPESAS[[#This Row],[Plano de Contas]],BASE!$B$3:$H$119,5,FALSE),"")</f>
        <v>COMPRAS</v>
      </c>
      <c r="L2924" s="77">
        <f>IFERROR(VLOOKUP(DESPESAS[[#This Row],[Plano de Contas]],BASE!$B$3:$H$119,6,FALSE),"")</f>
        <v>0</v>
      </c>
      <c r="M2924" s="77" t="str">
        <f>VLOOKUP(DESPESAS[[#This Row],[Plano de Contas]],BASE!$B$3:$H$119,7,FALSE)</f>
        <v>MYLENA</v>
      </c>
    </row>
    <row r="2925" spans="1:13" x14ac:dyDescent="0.25">
      <c r="A2925" s="74">
        <v>200039</v>
      </c>
      <c r="B2925" s="75" t="s">
        <v>232</v>
      </c>
      <c r="C2925" s="75" t="s">
        <v>3766</v>
      </c>
      <c r="D2925" s="76">
        <v>46143</v>
      </c>
      <c r="E2925" s="75" t="s">
        <v>347</v>
      </c>
      <c r="F2925" s="74">
        <v>104.12</v>
      </c>
      <c r="G2925" s="75" t="s">
        <v>583</v>
      </c>
      <c r="H2925" s="77" t="str">
        <f>VLOOKUP(DESPESAS[[#This Row],[Plano de Contas]],BASE!$B$3:$D$119,3,FALSE)</f>
        <v>Multas de Trânsito</v>
      </c>
      <c r="I2925" s="77" t="str">
        <f>IFERROR(VLOOKUP(DESPESAS[[#This Row],[Fornecedor]],Tabela2[],2,FALSE),"")</f>
        <v/>
      </c>
      <c r="J2925" s="77" t="str">
        <f>IFERROR(VLOOKUP(DESPESAS[[#This Row],[Plano de Contas]],BASE!$B$3:$F$119,4,FALSE),"")</f>
        <v>6 - DESPESA COM VENDAS</v>
      </c>
      <c r="K2925" s="77" t="str">
        <f>IFERROR(VLOOKUP(DESPESAS[[#This Row],[Plano de Contas]],BASE!$B$3:$H$119,5,FALSE),"")</f>
        <v>LOGÍSTICA</v>
      </c>
      <c r="L2925" s="77">
        <f>IFERROR(VLOOKUP(DESPESAS[[#This Row],[Plano de Contas]],BASE!$B$3:$H$119,6,FALSE),"")</f>
        <v>0</v>
      </c>
      <c r="M2925" s="77" t="str">
        <f>VLOOKUP(DESPESAS[[#This Row],[Plano de Contas]],BASE!$B$3:$H$119,7,FALSE)</f>
        <v>MYLENA</v>
      </c>
    </row>
    <row r="2926" spans="1:13" x14ac:dyDescent="0.25">
      <c r="A2926" s="74">
        <v>200040</v>
      </c>
      <c r="B2926" s="75" t="s">
        <v>232</v>
      </c>
      <c r="C2926" s="75" t="s">
        <v>1040</v>
      </c>
      <c r="D2926" s="76">
        <v>46104</v>
      </c>
      <c r="E2926" s="75" t="s">
        <v>409</v>
      </c>
      <c r="F2926" s="74">
        <v>121.65</v>
      </c>
      <c r="G2926" s="75" t="s">
        <v>326</v>
      </c>
      <c r="H2926" s="77" t="str">
        <f>VLOOKUP(DESPESAS[[#This Row],[Plano de Contas]],BASE!$B$3:$D$119,3,FALSE)</f>
        <v>Frete sobre Compras</v>
      </c>
      <c r="I2926" s="77" t="str">
        <f>IFERROR(VLOOKUP(DESPESAS[[#This Row],[Fornecedor]],Tabela2[],2,FALSE),"")</f>
        <v>SERVIÇOS FRETE</v>
      </c>
      <c r="J2926" s="77" t="str">
        <f>IFERROR(VLOOKUP(DESPESAS[[#This Row],[Plano de Contas]],BASE!$B$3:$F$119,4,FALSE),"")</f>
        <v>1 - CPV</v>
      </c>
      <c r="K2926" s="77" t="str">
        <f>IFERROR(VLOOKUP(DESPESAS[[#This Row],[Plano de Contas]],BASE!$B$3:$H$119,5,FALSE),"")</f>
        <v>COMPRAS</v>
      </c>
      <c r="L2926" s="77">
        <f>IFERROR(VLOOKUP(DESPESAS[[#This Row],[Plano de Contas]],BASE!$B$3:$H$119,6,FALSE),"")</f>
        <v>0</v>
      </c>
      <c r="M2926" s="77" t="str">
        <f>VLOOKUP(DESPESAS[[#This Row],[Plano de Contas]],BASE!$B$3:$H$119,7,FALSE)</f>
        <v>MYLENA</v>
      </c>
    </row>
    <row r="2927" spans="1:13" x14ac:dyDescent="0.25">
      <c r="A2927" s="74">
        <v>200041</v>
      </c>
      <c r="B2927" s="75" t="s">
        <v>232</v>
      </c>
      <c r="C2927" s="75" t="s">
        <v>1039</v>
      </c>
      <c r="D2927" s="76">
        <v>46112</v>
      </c>
      <c r="E2927" s="75" t="s">
        <v>409</v>
      </c>
      <c r="F2927" s="74">
        <v>120.32</v>
      </c>
      <c r="G2927" s="75" t="s">
        <v>326</v>
      </c>
      <c r="H2927" s="77" t="str">
        <f>VLOOKUP(DESPESAS[[#This Row],[Plano de Contas]],BASE!$B$3:$D$119,3,FALSE)</f>
        <v>Frete sobre Compras</v>
      </c>
      <c r="I2927" s="77" t="str">
        <f>IFERROR(VLOOKUP(DESPESAS[[#This Row],[Fornecedor]],Tabela2[],2,FALSE),"")</f>
        <v>SERVIÇOS FRETE</v>
      </c>
      <c r="J2927" s="77" t="str">
        <f>IFERROR(VLOOKUP(DESPESAS[[#This Row],[Plano de Contas]],BASE!$B$3:$F$119,4,FALSE),"")</f>
        <v>1 - CPV</v>
      </c>
      <c r="K2927" s="77" t="str">
        <f>IFERROR(VLOOKUP(DESPESAS[[#This Row],[Plano de Contas]],BASE!$B$3:$H$119,5,FALSE),"")</f>
        <v>COMPRAS</v>
      </c>
      <c r="L2927" s="77">
        <f>IFERROR(VLOOKUP(DESPESAS[[#This Row],[Plano de Contas]],BASE!$B$3:$H$119,6,FALSE),"")</f>
        <v>0</v>
      </c>
      <c r="M2927" s="77" t="str">
        <f>VLOOKUP(DESPESAS[[#This Row],[Plano de Contas]],BASE!$B$3:$H$119,7,FALSE)</f>
        <v>MYLENA</v>
      </c>
    </row>
    <row r="2928" spans="1:13" x14ac:dyDescent="0.25">
      <c r="A2928" s="74">
        <v>200043</v>
      </c>
      <c r="B2928" s="75" t="s">
        <v>221</v>
      </c>
      <c r="C2928" s="75" t="s">
        <v>1038</v>
      </c>
      <c r="D2928" s="76">
        <v>46036</v>
      </c>
      <c r="E2928" s="75" t="s">
        <v>317</v>
      </c>
      <c r="F2928" s="74">
        <v>540</v>
      </c>
      <c r="G2928" s="75" t="s">
        <v>1037</v>
      </c>
      <c r="H2928" s="77" t="str">
        <f>VLOOKUP(DESPESAS[[#This Row],[Plano de Contas]],BASE!$B$3:$D$119,3,FALSE)</f>
        <v>Construções e Reformas</v>
      </c>
      <c r="I2928" s="77" t="str">
        <f>IFERROR(VLOOKUP(DESPESAS[[#This Row],[Fornecedor]],Tabela2[],2,FALSE),"")</f>
        <v/>
      </c>
      <c r="J2928" s="77" t="str">
        <f>IFERROR(VLOOKUP(DESPESAS[[#This Row],[Plano de Contas]],BASE!$B$3:$F$119,4,FALSE),"")</f>
        <v>9 - INVESTIMENTOS</v>
      </c>
      <c r="K2928" s="77" t="str">
        <f>IFERROR(VLOOKUP(DESPESAS[[#This Row],[Plano de Contas]],BASE!$B$3:$H$119,5,FALSE),"")</f>
        <v>MANUTENÇÃO / TI</v>
      </c>
      <c r="L2928" s="77">
        <f>IFERROR(VLOOKUP(DESPESAS[[#This Row],[Plano de Contas]],BASE!$B$3:$H$119,6,FALSE),"")</f>
        <v>0</v>
      </c>
      <c r="M2928" s="77" t="str">
        <f>VLOOKUP(DESPESAS[[#This Row],[Plano de Contas]],BASE!$B$3:$H$119,7,FALSE)</f>
        <v>FÁBIO</v>
      </c>
    </row>
    <row r="2929" spans="1:13" x14ac:dyDescent="0.25">
      <c r="A2929" s="74">
        <v>200044</v>
      </c>
      <c r="B2929" s="75" t="s">
        <v>221</v>
      </c>
      <c r="C2929" s="75" t="s">
        <v>1036</v>
      </c>
      <c r="D2929" s="76">
        <v>46063</v>
      </c>
      <c r="E2929" s="75" t="s">
        <v>245</v>
      </c>
      <c r="F2929" s="74">
        <v>264</v>
      </c>
      <c r="G2929" s="75" t="s">
        <v>218</v>
      </c>
      <c r="H2929" s="77" t="str">
        <f>VLOOKUP(DESPESAS[[#This Row],[Plano de Contas]],BASE!$B$3:$D$119,3,FALSE)</f>
        <v>Manutenção de Equipamentos (Prod)</v>
      </c>
      <c r="I2929" s="77" t="str">
        <f>IFERROR(VLOOKUP(DESPESAS[[#This Row],[Fornecedor]],Tabela2[],2,FALSE),"")</f>
        <v>FERRAGENS GERAIS</v>
      </c>
      <c r="J2929" s="77" t="str">
        <f>IFERROR(VLOOKUP(DESPESAS[[#This Row],[Plano de Contas]],BASE!$B$3:$F$119,4,FALSE),"")</f>
        <v>3 - CUSTOS INDIRETOS</v>
      </c>
      <c r="K2929" s="77" t="str">
        <f>IFERROR(VLOOKUP(DESPESAS[[#This Row],[Plano de Contas]],BASE!$B$3:$H$119,5,FALSE),"")</f>
        <v>MANUTENÇÃO / TI</v>
      </c>
      <c r="L2929" s="77">
        <f>IFERROR(VLOOKUP(DESPESAS[[#This Row],[Plano de Contas]],BASE!$B$3:$H$119,6,FALSE),"")</f>
        <v>0</v>
      </c>
      <c r="M2929" s="77" t="str">
        <f>VLOOKUP(DESPESAS[[#This Row],[Plano de Contas]],BASE!$B$3:$H$119,7,FALSE)</f>
        <v>RAFAEL</v>
      </c>
    </row>
    <row r="2930" spans="1:13" x14ac:dyDescent="0.25">
      <c r="A2930" s="74">
        <v>200045</v>
      </c>
      <c r="B2930" s="75" t="s">
        <v>221</v>
      </c>
      <c r="C2930" s="75" t="s">
        <v>1035</v>
      </c>
      <c r="D2930" s="76">
        <v>46112</v>
      </c>
      <c r="E2930" s="75" t="s">
        <v>755</v>
      </c>
      <c r="F2930" s="74">
        <v>150</v>
      </c>
      <c r="G2930" s="75" t="s">
        <v>561</v>
      </c>
      <c r="H2930" s="77" t="str">
        <f>VLOOKUP(DESPESAS[[#This Row],[Plano de Contas]],BASE!$B$3:$D$119,3,FALSE)</f>
        <v>Sistemas de Informação</v>
      </c>
      <c r="I2930" s="77" t="str">
        <f>IFERROR(VLOOKUP(DESPESAS[[#This Row],[Fornecedor]],Tabela2[],2,FALSE),"")</f>
        <v/>
      </c>
      <c r="J2930" s="77" t="str">
        <f>IFERROR(VLOOKUP(DESPESAS[[#This Row],[Plano de Contas]],BASE!$B$3:$F$119,4,FALSE),"")</f>
        <v>7 - SERVIÇOS DE TERCEIROS</v>
      </c>
      <c r="K2930" s="77" t="str">
        <f>IFERROR(VLOOKUP(DESPESAS[[#This Row],[Plano de Contas]],BASE!$B$3:$H$119,5,FALSE),"")</f>
        <v>MANUTENÇÃO / TI</v>
      </c>
      <c r="L2930" s="77">
        <f>IFERROR(VLOOKUP(DESPESAS[[#This Row],[Plano de Contas]],BASE!$B$3:$H$119,6,FALSE),"")</f>
        <v>0</v>
      </c>
      <c r="M2930" s="77" t="str">
        <f>VLOOKUP(DESPESAS[[#This Row],[Plano de Contas]],BASE!$B$3:$H$119,7,FALSE)</f>
        <v>LETÍCIA</v>
      </c>
    </row>
    <row r="2931" spans="1:13" x14ac:dyDescent="0.25">
      <c r="A2931" s="74">
        <v>200046</v>
      </c>
      <c r="B2931" s="75" t="s">
        <v>232</v>
      </c>
      <c r="C2931" s="75" t="s">
        <v>1034</v>
      </c>
      <c r="D2931" s="76">
        <v>46112</v>
      </c>
      <c r="E2931" s="75" t="s">
        <v>347</v>
      </c>
      <c r="F2931" s="74">
        <v>293.47000000000003</v>
      </c>
      <c r="G2931" s="75" t="s">
        <v>583</v>
      </c>
      <c r="H2931" s="77" t="str">
        <f>VLOOKUP(DESPESAS[[#This Row],[Plano de Contas]],BASE!$B$3:$D$119,3,FALSE)</f>
        <v>Multas de Trânsito</v>
      </c>
      <c r="I2931" s="77" t="str">
        <f>IFERROR(VLOOKUP(DESPESAS[[#This Row],[Fornecedor]],Tabela2[],2,FALSE),"")</f>
        <v/>
      </c>
      <c r="J2931" s="77" t="str">
        <f>IFERROR(VLOOKUP(DESPESAS[[#This Row],[Plano de Contas]],BASE!$B$3:$F$119,4,FALSE),"")</f>
        <v>6 - DESPESA COM VENDAS</v>
      </c>
      <c r="K2931" s="77" t="str">
        <f>IFERROR(VLOOKUP(DESPESAS[[#This Row],[Plano de Contas]],BASE!$B$3:$H$119,5,FALSE),"")</f>
        <v>LOGÍSTICA</v>
      </c>
      <c r="L2931" s="77">
        <f>IFERROR(VLOOKUP(DESPESAS[[#This Row],[Plano de Contas]],BASE!$B$3:$H$119,6,FALSE),"")</f>
        <v>0</v>
      </c>
      <c r="M2931" s="77" t="str">
        <f>VLOOKUP(DESPESAS[[#This Row],[Plano de Contas]],BASE!$B$3:$H$119,7,FALSE)</f>
        <v>MYLENA</v>
      </c>
    </row>
    <row r="2932" spans="1:13" x14ac:dyDescent="0.25">
      <c r="A2932" s="74">
        <v>200047</v>
      </c>
      <c r="B2932" s="75" t="s">
        <v>221</v>
      </c>
      <c r="C2932" s="75" t="s">
        <v>1033</v>
      </c>
      <c r="D2932" s="76">
        <v>46112</v>
      </c>
      <c r="E2932" s="75" t="s">
        <v>245</v>
      </c>
      <c r="F2932" s="74">
        <v>4.5</v>
      </c>
      <c r="G2932" s="75" t="s">
        <v>244</v>
      </c>
      <c r="H2932" s="77" t="str">
        <f>VLOOKUP(DESPESAS[[#This Row],[Plano de Contas]],BASE!$B$3:$D$119,3,FALSE)</f>
        <v>Material de Expediente (Prod)</v>
      </c>
      <c r="I2932" s="77" t="str">
        <f>IFERROR(VLOOKUP(DESPESAS[[#This Row],[Fornecedor]],Tabela2[],2,FALSE),"")</f>
        <v>FERRAGENS GERAIS</v>
      </c>
      <c r="J2932" s="77" t="str">
        <f>IFERROR(VLOOKUP(DESPESAS[[#This Row],[Plano de Contas]],BASE!$B$3:$F$119,4,FALSE),"")</f>
        <v>2 - CUSTOS DIRETOS</v>
      </c>
      <c r="K2932" s="77" t="str">
        <f>IFERROR(VLOOKUP(DESPESAS[[#This Row],[Plano de Contas]],BASE!$B$3:$H$119,5,FALSE),"")</f>
        <v>PRODUÇÃO</v>
      </c>
      <c r="L2932" s="77">
        <f>IFERROR(VLOOKUP(DESPESAS[[#This Row],[Plano de Contas]],BASE!$B$3:$H$119,6,FALSE),"")</f>
        <v>0</v>
      </c>
      <c r="M2932" s="77" t="str">
        <f>VLOOKUP(DESPESAS[[#This Row],[Plano de Contas]],BASE!$B$3:$H$119,7,FALSE)</f>
        <v>RAFAEL</v>
      </c>
    </row>
    <row r="2933" spans="1:13" x14ac:dyDescent="0.25">
      <c r="A2933" s="74">
        <v>200048</v>
      </c>
      <c r="B2933" s="75" t="s">
        <v>221</v>
      </c>
      <c r="C2933" s="75" t="s">
        <v>1032</v>
      </c>
      <c r="D2933" s="76">
        <v>46112</v>
      </c>
      <c r="E2933" s="75" t="s">
        <v>245</v>
      </c>
      <c r="F2933" s="74">
        <v>58</v>
      </c>
      <c r="G2933" s="75" t="s">
        <v>244</v>
      </c>
      <c r="H2933" s="77" t="str">
        <f>VLOOKUP(DESPESAS[[#This Row],[Plano de Contas]],BASE!$B$3:$D$119,3,FALSE)</f>
        <v>Material de Expediente (Prod)</v>
      </c>
      <c r="I2933" s="77" t="str">
        <f>IFERROR(VLOOKUP(DESPESAS[[#This Row],[Fornecedor]],Tabela2[],2,FALSE),"")</f>
        <v>FERRAGENS GERAIS</v>
      </c>
      <c r="J2933" s="77" t="str">
        <f>IFERROR(VLOOKUP(DESPESAS[[#This Row],[Plano de Contas]],BASE!$B$3:$F$119,4,FALSE),"")</f>
        <v>2 - CUSTOS DIRETOS</v>
      </c>
      <c r="K2933" s="77" t="str">
        <f>IFERROR(VLOOKUP(DESPESAS[[#This Row],[Plano de Contas]],BASE!$B$3:$H$119,5,FALSE),"")</f>
        <v>PRODUÇÃO</v>
      </c>
      <c r="L2933" s="77">
        <f>IFERROR(VLOOKUP(DESPESAS[[#This Row],[Plano de Contas]],BASE!$B$3:$H$119,6,FALSE),"")</f>
        <v>0</v>
      </c>
      <c r="M2933" s="77" t="str">
        <f>VLOOKUP(DESPESAS[[#This Row],[Plano de Contas]],BASE!$B$3:$H$119,7,FALSE)</f>
        <v>RAFAEL</v>
      </c>
    </row>
    <row r="2934" spans="1:13" x14ac:dyDescent="0.25">
      <c r="A2934" s="74">
        <v>200049</v>
      </c>
      <c r="B2934" s="75" t="s">
        <v>221</v>
      </c>
      <c r="C2934" s="75" t="s">
        <v>1031</v>
      </c>
      <c r="D2934" s="76">
        <v>46112</v>
      </c>
      <c r="E2934" s="75" t="s">
        <v>245</v>
      </c>
      <c r="F2934" s="74">
        <v>16</v>
      </c>
      <c r="G2934" s="75" t="s">
        <v>218</v>
      </c>
      <c r="H2934" s="77" t="str">
        <f>VLOOKUP(DESPESAS[[#This Row],[Plano de Contas]],BASE!$B$3:$D$119,3,FALSE)</f>
        <v>Manutenção de Equipamentos (Prod)</v>
      </c>
      <c r="I2934" s="77" t="str">
        <f>IFERROR(VLOOKUP(DESPESAS[[#This Row],[Fornecedor]],Tabela2[],2,FALSE),"")</f>
        <v>FERRAGENS GERAIS</v>
      </c>
      <c r="J2934" s="77" t="str">
        <f>IFERROR(VLOOKUP(DESPESAS[[#This Row],[Plano de Contas]],BASE!$B$3:$F$119,4,FALSE),"")</f>
        <v>3 - CUSTOS INDIRETOS</v>
      </c>
      <c r="K2934" s="77" t="str">
        <f>IFERROR(VLOOKUP(DESPESAS[[#This Row],[Plano de Contas]],BASE!$B$3:$H$119,5,FALSE),"")</f>
        <v>MANUTENÇÃO / TI</v>
      </c>
      <c r="L2934" s="77">
        <f>IFERROR(VLOOKUP(DESPESAS[[#This Row],[Plano de Contas]],BASE!$B$3:$H$119,6,FALSE),"")</f>
        <v>0</v>
      </c>
      <c r="M2934" s="77" t="str">
        <f>VLOOKUP(DESPESAS[[#This Row],[Plano de Contas]],BASE!$B$3:$H$119,7,FALSE)</f>
        <v>RAFAEL</v>
      </c>
    </row>
    <row r="2935" spans="1:13" x14ac:dyDescent="0.25">
      <c r="A2935" s="74">
        <v>200050</v>
      </c>
      <c r="B2935" s="75" t="s">
        <v>221</v>
      </c>
      <c r="C2935" s="75" t="s">
        <v>1030</v>
      </c>
      <c r="D2935" s="76">
        <v>46112</v>
      </c>
      <c r="E2935" s="75" t="s">
        <v>245</v>
      </c>
      <c r="F2935" s="74">
        <v>18</v>
      </c>
      <c r="G2935" s="75" t="s">
        <v>218</v>
      </c>
      <c r="H2935" s="77" t="str">
        <f>VLOOKUP(DESPESAS[[#This Row],[Plano de Contas]],BASE!$B$3:$D$119,3,FALSE)</f>
        <v>Manutenção de Equipamentos (Prod)</v>
      </c>
      <c r="I2935" s="77" t="str">
        <f>IFERROR(VLOOKUP(DESPESAS[[#This Row],[Fornecedor]],Tabela2[],2,FALSE),"")</f>
        <v>FERRAGENS GERAIS</v>
      </c>
      <c r="J2935" s="77" t="str">
        <f>IFERROR(VLOOKUP(DESPESAS[[#This Row],[Plano de Contas]],BASE!$B$3:$F$119,4,FALSE),"")</f>
        <v>3 - CUSTOS INDIRETOS</v>
      </c>
      <c r="K2935" s="77" t="str">
        <f>IFERROR(VLOOKUP(DESPESAS[[#This Row],[Plano de Contas]],BASE!$B$3:$H$119,5,FALSE),"")</f>
        <v>MANUTENÇÃO / TI</v>
      </c>
      <c r="L2935" s="77">
        <f>IFERROR(VLOOKUP(DESPESAS[[#This Row],[Plano de Contas]],BASE!$B$3:$H$119,6,FALSE),"")</f>
        <v>0</v>
      </c>
      <c r="M2935" s="77" t="str">
        <f>VLOOKUP(DESPESAS[[#This Row],[Plano de Contas]],BASE!$B$3:$H$119,7,FALSE)</f>
        <v>RAFAEL</v>
      </c>
    </row>
    <row r="2936" spans="1:13" x14ac:dyDescent="0.25">
      <c r="A2936" s="74">
        <v>200051</v>
      </c>
      <c r="B2936" s="75" t="s">
        <v>232</v>
      </c>
      <c r="C2936" s="75" t="s">
        <v>1029</v>
      </c>
      <c r="D2936" s="76">
        <v>46113</v>
      </c>
      <c r="E2936" s="75" t="s">
        <v>1028</v>
      </c>
      <c r="F2936" s="74">
        <v>99.8</v>
      </c>
      <c r="G2936" s="75" t="s">
        <v>489</v>
      </c>
      <c r="H2936" s="77" t="str">
        <f>VLOOKUP(DESPESAS[[#This Row],[Plano de Contas]],BASE!$B$3:$D$119,3,FALSE)</f>
        <v>Material de Limpeza CIF</v>
      </c>
      <c r="I2936" s="77" t="str">
        <f>IFERROR(VLOOKUP(DESPESAS[[#This Row],[Fornecedor]],Tabela2[],2,FALSE),"")</f>
        <v/>
      </c>
      <c r="J2936" s="77" t="str">
        <f>IFERROR(VLOOKUP(DESPESAS[[#This Row],[Plano de Contas]],BASE!$B$3:$F$119,4,FALSE),"")</f>
        <v>3 - CUSTOS INDIRETOS</v>
      </c>
      <c r="K2936" s="77" t="str">
        <f>IFERROR(VLOOKUP(DESPESAS[[#This Row],[Plano de Contas]],BASE!$B$3:$H$119,5,FALSE),"")</f>
        <v>COMPRAS</v>
      </c>
      <c r="L2936" s="77">
        <f>IFERROR(VLOOKUP(DESPESAS[[#This Row],[Plano de Contas]],BASE!$B$3:$H$119,6,FALSE),"")</f>
        <v>0</v>
      </c>
      <c r="M2936" s="77" t="str">
        <f>VLOOKUP(DESPESAS[[#This Row],[Plano de Contas]],BASE!$B$3:$H$119,7,FALSE)</f>
        <v>MYLENA</v>
      </c>
    </row>
    <row r="2937" spans="1:13" x14ac:dyDescent="0.25">
      <c r="A2937" s="74">
        <v>200054</v>
      </c>
      <c r="B2937" s="75" t="s">
        <v>232</v>
      </c>
      <c r="C2937" s="75" t="s">
        <v>763</v>
      </c>
      <c r="D2937" s="76">
        <v>46113</v>
      </c>
      <c r="E2937" s="75" t="s">
        <v>896</v>
      </c>
      <c r="F2937" s="74">
        <v>1316.22</v>
      </c>
      <c r="G2937" s="75" t="s">
        <v>1027</v>
      </c>
      <c r="H2937" s="77" t="str">
        <f>VLOOKUP(DESPESAS[[#This Row],[Plano de Contas]],BASE!$B$3:$D$119,3,FALSE)</f>
        <v>Férias CIF</v>
      </c>
      <c r="I2937" s="77" t="str">
        <f>IFERROR(VLOOKUP(DESPESAS[[#This Row],[Fornecedor]],Tabela2[],2,FALSE),"")</f>
        <v/>
      </c>
      <c r="J2937" s="77" t="str">
        <f>IFERROR(VLOOKUP(DESPESAS[[#This Row],[Plano de Contas]],BASE!$B$3:$F$119,4,FALSE),"")</f>
        <v>3 - CUSTOS INDIRETOS</v>
      </c>
      <c r="K2937" s="77" t="str">
        <f>IFERROR(VLOOKUP(DESPESAS[[#This Row],[Plano de Contas]],BASE!$B$3:$H$119,5,FALSE),"")</f>
        <v>DH</v>
      </c>
      <c r="L2937" s="77" t="str">
        <f>IFERROR(VLOOKUP(DESPESAS[[#This Row],[Plano de Contas]],BASE!$B$3:$H$119,6,FALSE),"")</f>
        <v>CUSTO MÃO DE OBRA DIRETA</v>
      </c>
      <c r="M2937" s="77" t="str">
        <f>VLOOKUP(DESPESAS[[#This Row],[Plano de Contas]],BASE!$B$3:$H$119,7,FALSE)</f>
        <v>RAFAEL</v>
      </c>
    </row>
    <row r="2938" spans="1:13" x14ac:dyDescent="0.25">
      <c r="A2938" s="74">
        <v>200055</v>
      </c>
      <c r="B2938" s="75" t="s">
        <v>686</v>
      </c>
      <c r="C2938" s="75" t="s">
        <v>1024</v>
      </c>
      <c r="D2938" s="76">
        <v>46094</v>
      </c>
      <c r="E2938" s="75" t="s">
        <v>1025</v>
      </c>
      <c r="F2938" s="74">
        <v>169.87</v>
      </c>
      <c r="G2938" s="75" t="s">
        <v>747</v>
      </c>
      <c r="H2938" s="77" t="str">
        <f>VLOOKUP(DESPESAS[[#This Row],[Plano de Contas]],BASE!$B$3:$D$119,3,FALSE)</f>
        <v>Cursos e Treinamentos (Adm)</v>
      </c>
      <c r="I2938" s="77" t="str">
        <f>IFERROR(VLOOKUP(DESPESAS[[#This Row],[Fornecedor]],Tabela2[],2,FALSE),"")</f>
        <v/>
      </c>
      <c r="J2938" s="77" t="str">
        <f>IFERROR(VLOOKUP(DESPESAS[[#This Row],[Plano de Contas]],BASE!$B$3:$F$119,4,FALSE),"")</f>
        <v>4 - GASTOS COM PESSOAL</v>
      </c>
      <c r="K2938" s="77" t="str">
        <f>IFERROR(VLOOKUP(DESPESAS[[#This Row],[Plano de Contas]],BASE!$B$3:$H$119,5,FALSE),"")</f>
        <v>DIRETORIA</v>
      </c>
      <c r="L2938" s="77">
        <f>IFERROR(VLOOKUP(DESPESAS[[#This Row],[Plano de Contas]],BASE!$B$3:$H$119,6,FALSE),"")</f>
        <v>0</v>
      </c>
      <c r="M2938" s="77" t="str">
        <f>VLOOKUP(DESPESAS[[#This Row],[Plano de Contas]],BASE!$B$3:$H$119,7,FALSE)</f>
        <v>FÁBIO</v>
      </c>
    </row>
    <row r="2939" spans="1:13" x14ac:dyDescent="0.25">
      <c r="A2939" s="74">
        <v>200056</v>
      </c>
      <c r="B2939" s="75" t="s">
        <v>221</v>
      </c>
      <c r="C2939" s="75" t="s">
        <v>1026</v>
      </c>
      <c r="D2939" s="76">
        <v>46112</v>
      </c>
      <c r="E2939" s="75" t="s">
        <v>242</v>
      </c>
      <c r="F2939" s="74">
        <v>319.20999999999998</v>
      </c>
      <c r="G2939" s="75" t="s">
        <v>423</v>
      </c>
      <c r="H2939" s="77" t="str">
        <f>VLOOKUP(DESPESAS[[#This Row],[Plano de Contas]],BASE!$B$3:$D$119,3,FALSE)</f>
        <v>Combustíveis (Adm)</v>
      </c>
      <c r="I2939" s="77" t="str">
        <f>IFERROR(VLOOKUP(DESPESAS[[#This Row],[Fornecedor]],Tabela2[],2,FALSE),"")</f>
        <v/>
      </c>
      <c r="J2939" s="77" t="str">
        <f>IFERROR(VLOOKUP(DESPESAS[[#This Row],[Plano de Contas]],BASE!$B$3:$F$119,4,FALSE),"")</f>
        <v>5 - DESPESAS ADMINISTRATIVAS</v>
      </c>
      <c r="K2939" s="77" t="str">
        <f>IFERROR(VLOOKUP(DESPESAS[[#This Row],[Plano de Contas]],BASE!$B$3:$H$119,5,FALSE),"")</f>
        <v>LOGÍSTICA</v>
      </c>
      <c r="L2939" s="77">
        <f>IFERROR(VLOOKUP(DESPESAS[[#This Row],[Plano de Contas]],BASE!$B$3:$H$119,6,FALSE),"")</f>
        <v>0</v>
      </c>
      <c r="M2939" s="77" t="str">
        <f>VLOOKUP(DESPESAS[[#This Row],[Plano de Contas]],BASE!$B$3:$H$119,7,FALSE)</f>
        <v>LETÍCIA</v>
      </c>
    </row>
    <row r="2940" spans="1:13" x14ac:dyDescent="0.25">
      <c r="A2940" s="74">
        <v>200057</v>
      </c>
      <c r="B2940" s="75" t="s">
        <v>232</v>
      </c>
      <c r="C2940" s="75" t="s">
        <v>763</v>
      </c>
      <c r="D2940" s="76">
        <v>46114</v>
      </c>
      <c r="E2940" s="75" t="s">
        <v>886</v>
      </c>
      <c r="F2940" s="74">
        <v>1260.3499999999999</v>
      </c>
      <c r="G2940" s="75" t="s">
        <v>276</v>
      </c>
      <c r="H2940" s="77" t="str">
        <f>VLOOKUP(DESPESAS[[#This Row],[Plano de Contas]],BASE!$B$3:$D$119,3,FALSE)</f>
        <v>Férias MOD</v>
      </c>
      <c r="I2940" s="77" t="str">
        <f>IFERROR(VLOOKUP(DESPESAS[[#This Row],[Fornecedor]],Tabela2[],2,FALSE),"")</f>
        <v/>
      </c>
      <c r="J2940" s="77" t="str">
        <f>IFERROR(VLOOKUP(DESPESAS[[#This Row],[Plano de Contas]],BASE!$B$3:$F$119,4,FALSE),"")</f>
        <v>2 - CUSTOS DIRETOS</v>
      </c>
      <c r="K2940" s="77" t="str">
        <f>IFERROR(VLOOKUP(DESPESAS[[#This Row],[Plano de Contas]],BASE!$B$3:$H$119,5,FALSE),"")</f>
        <v>DH</v>
      </c>
      <c r="L2940" s="77" t="str">
        <f>IFERROR(VLOOKUP(DESPESAS[[#This Row],[Plano de Contas]],BASE!$B$3:$H$119,6,FALSE),"")</f>
        <v>CUSTO MÃO DE OBRA DIRETA</v>
      </c>
      <c r="M2940" s="77" t="str">
        <f>VLOOKUP(DESPESAS[[#This Row],[Plano de Contas]],BASE!$B$3:$H$119,7,FALSE)</f>
        <v>RAFAEL</v>
      </c>
    </row>
    <row r="2941" spans="1:13" x14ac:dyDescent="0.25">
      <c r="A2941" s="74">
        <v>200058</v>
      </c>
      <c r="B2941" s="75" t="s">
        <v>686</v>
      </c>
      <c r="C2941" s="75" t="s">
        <v>1024</v>
      </c>
      <c r="D2941" s="76">
        <v>46125</v>
      </c>
      <c r="E2941" s="75" t="s">
        <v>1025</v>
      </c>
      <c r="F2941" s="74">
        <v>169.87</v>
      </c>
      <c r="G2941" s="75" t="s">
        <v>747</v>
      </c>
      <c r="H2941" s="77" t="str">
        <f>VLOOKUP(DESPESAS[[#This Row],[Plano de Contas]],BASE!$B$3:$D$119,3,FALSE)</f>
        <v>Cursos e Treinamentos (Adm)</v>
      </c>
      <c r="I2941" s="77" t="str">
        <f>IFERROR(VLOOKUP(DESPESAS[[#This Row],[Fornecedor]],Tabela2[],2,FALSE),"")</f>
        <v/>
      </c>
      <c r="J2941" s="77" t="str">
        <f>IFERROR(VLOOKUP(DESPESAS[[#This Row],[Plano de Contas]],BASE!$B$3:$F$119,4,FALSE),"")</f>
        <v>4 - GASTOS COM PESSOAL</v>
      </c>
      <c r="K2941" s="77" t="str">
        <f>IFERROR(VLOOKUP(DESPESAS[[#This Row],[Plano de Contas]],BASE!$B$3:$H$119,5,FALSE),"")</f>
        <v>DIRETORIA</v>
      </c>
      <c r="L2941" s="77">
        <f>IFERROR(VLOOKUP(DESPESAS[[#This Row],[Plano de Contas]],BASE!$B$3:$H$119,6,FALSE),"")</f>
        <v>0</v>
      </c>
      <c r="M2941" s="77" t="str">
        <f>VLOOKUP(DESPESAS[[#This Row],[Plano de Contas]],BASE!$B$3:$H$119,7,FALSE)</f>
        <v>FÁBIO</v>
      </c>
    </row>
    <row r="2942" spans="1:13" x14ac:dyDescent="0.25">
      <c r="A2942" s="74">
        <v>200062</v>
      </c>
      <c r="B2942" s="75" t="s">
        <v>686</v>
      </c>
      <c r="C2942" s="75" t="s">
        <v>1023</v>
      </c>
      <c r="D2942" s="76">
        <v>46094</v>
      </c>
      <c r="E2942" s="75" t="s">
        <v>1025</v>
      </c>
      <c r="F2942" s="74">
        <v>84.94</v>
      </c>
      <c r="G2942" s="75" t="s">
        <v>365</v>
      </c>
      <c r="H2942" s="77" t="str">
        <f>VLOOKUP(DESPESAS[[#This Row],[Plano de Contas]],BASE!$B$3:$D$119,3,FALSE)</f>
        <v>Pró-Labore</v>
      </c>
      <c r="I2942" s="77" t="str">
        <f>IFERROR(VLOOKUP(DESPESAS[[#This Row],[Fornecedor]],Tabela2[],2,FALSE),"")</f>
        <v/>
      </c>
      <c r="J2942" s="77" t="str">
        <f>IFERROR(VLOOKUP(DESPESAS[[#This Row],[Plano de Contas]],BASE!$B$3:$F$119,4,FALSE),"")</f>
        <v>4 - GASTOS COM PESSOAL</v>
      </c>
      <c r="K2942" s="77" t="str">
        <f>IFERROR(VLOOKUP(DESPESAS[[#This Row],[Plano de Contas]],BASE!$B$3:$H$119,5,FALSE),"")</f>
        <v>DIRETORIA</v>
      </c>
      <c r="L2942" s="77">
        <f>IFERROR(VLOOKUP(DESPESAS[[#This Row],[Plano de Contas]],BASE!$B$3:$H$119,6,FALSE),"")</f>
        <v>0</v>
      </c>
      <c r="M2942" s="77" t="str">
        <f>VLOOKUP(DESPESAS[[#This Row],[Plano de Contas]],BASE!$B$3:$H$119,7,FALSE)</f>
        <v>FÁBIO</v>
      </c>
    </row>
    <row r="2943" spans="1:13" x14ac:dyDescent="0.25">
      <c r="A2943" s="74">
        <v>200064</v>
      </c>
      <c r="B2943" s="75" t="s">
        <v>686</v>
      </c>
      <c r="C2943" s="75" t="s">
        <v>1023</v>
      </c>
      <c r="D2943" s="76">
        <v>46125</v>
      </c>
      <c r="E2943" s="75" t="s">
        <v>1025</v>
      </c>
      <c r="F2943" s="74">
        <v>84.94</v>
      </c>
      <c r="G2943" s="75" t="s">
        <v>365</v>
      </c>
      <c r="H2943" s="77" t="str">
        <f>VLOOKUP(DESPESAS[[#This Row],[Plano de Contas]],BASE!$B$3:$D$119,3,FALSE)</f>
        <v>Pró-Labore</v>
      </c>
      <c r="I2943" s="77" t="str">
        <f>IFERROR(VLOOKUP(DESPESAS[[#This Row],[Fornecedor]],Tabela2[],2,FALSE),"")</f>
        <v/>
      </c>
      <c r="J2943" s="77" t="str">
        <f>IFERROR(VLOOKUP(DESPESAS[[#This Row],[Plano de Contas]],BASE!$B$3:$F$119,4,FALSE),"")</f>
        <v>4 - GASTOS COM PESSOAL</v>
      </c>
      <c r="K2943" s="77" t="str">
        <f>IFERROR(VLOOKUP(DESPESAS[[#This Row],[Plano de Contas]],BASE!$B$3:$H$119,5,FALSE),"")</f>
        <v>DIRETORIA</v>
      </c>
      <c r="L2943" s="77">
        <f>IFERROR(VLOOKUP(DESPESAS[[#This Row],[Plano de Contas]],BASE!$B$3:$H$119,6,FALSE),"")</f>
        <v>0</v>
      </c>
      <c r="M2943" s="77" t="str">
        <f>VLOOKUP(DESPESAS[[#This Row],[Plano de Contas]],BASE!$B$3:$H$119,7,FALSE)</f>
        <v>FÁBIO</v>
      </c>
    </row>
    <row r="2944" spans="1:13" x14ac:dyDescent="0.25">
      <c r="A2944" s="74">
        <v>200069</v>
      </c>
      <c r="B2944" s="75" t="s">
        <v>686</v>
      </c>
      <c r="C2944" s="75" t="s">
        <v>1024</v>
      </c>
      <c r="D2944" s="76">
        <v>46094</v>
      </c>
      <c r="E2944" s="75" t="s">
        <v>1022</v>
      </c>
      <c r="F2944" s="74">
        <v>250.98</v>
      </c>
      <c r="G2944" s="75" t="s">
        <v>747</v>
      </c>
      <c r="H2944" s="77" t="str">
        <f>VLOOKUP(DESPESAS[[#This Row],[Plano de Contas]],BASE!$B$3:$D$119,3,FALSE)</f>
        <v>Cursos e Treinamentos (Adm)</v>
      </c>
      <c r="I2944" s="77" t="str">
        <f>IFERROR(VLOOKUP(DESPESAS[[#This Row],[Fornecedor]],Tabela2[],2,FALSE),"")</f>
        <v/>
      </c>
      <c r="J2944" s="77" t="str">
        <f>IFERROR(VLOOKUP(DESPESAS[[#This Row],[Plano de Contas]],BASE!$B$3:$F$119,4,FALSE),"")</f>
        <v>4 - GASTOS COM PESSOAL</v>
      </c>
      <c r="K2944" s="77" t="str">
        <f>IFERROR(VLOOKUP(DESPESAS[[#This Row],[Plano de Contas]],BASE!$B$3:$H$119,5,FALSE),"")</f>
        <v>DIRETORIA</v>
      </c>
      <c r="L2944" s="77">
        <f>IFERROR(VLOOKUP(DESPESAS[[#This Row],[Plano de Contas]],BASE!$B$3:$H$119,6,FALSE),"")</f>
        <v>0</v>
      </c>
      <c r="M2944" s="77" t="str">
        <f>VLOOKUP(DESPESAS[[#This Row],[Plano de Contas]],BASE!$B$3:$H$119,7,FALSE)</f>
        <v>FÁBIO</v>
      </c>
    </row>
    <row r="2945" spans="1:13" x14ac:dyDescent="0.25">
      <c r="A2945" s="74">
        <v>200070</v>
      </c>
      <c r="B2945" s="75" t="s">
        <v>686</v>
      </c>
      <c r="C2945" s="75" t="s">
        <v>1024</v>
      </c>
      <c r="D2945" s="76">
        <v>46125</v>
      </c>
      <c r="E2945" s="75" t="s">
        <v>1022</v>
      </c>
      <c r="F2945" s="74">
        <v>250.98</v>
      </c>
      <c r="G2945" s="75" t="s">
        <v>747</v>
      </c>
      <c r="H2945" s="77" t="str">
        <f>VLOOKUP(DESPESAS[[#This Row],[Plano de Contas]],BASE!$B$3:$D$119,3,FALSE)</f>
        <v>Cursos e Treinamentos (Adm)</v>
      </c>
      <c r="I2945" s="77" t="str">
        <f>IFERROR(VLOOKUP(DESPESAS[[#This Row],[Fornecedor]],Tabela2[],2,FALSE),"")</f>
        <v/>
      </c>
      <c r="J2945" s="77" t="str">
        <f>IFERROR(VLOOKUP(DESPESAS[[#This Row],[Plano de Contas]],BASE!$B$3:$F$119,4,FALSE),"")</f>
        <v>4 - GASTOS COM PESSOAL</v>
      </c>
      <c r="K2945" s="77" t="str">
        <f>IFERROR(VLOOKUP(DESPESAS[[#This Row],[Plano de Contas]],BASE!$B$3:$H$119,5,FALSE),"")</f>
        <v>DIRETORIA</v>
      </c>
      <c r="L2945" s="77">
        <f>IFERROR(VLOOKUP(DESPESAS[[#This Row],[Plano de Contas]],BASE!$B$3:$H$119,6,FALSE),"")</f>
        <v>0</v>
      </c>
      <c r="M2945" s="77" t="str">
        <f>VLOOKUP(DESPESAS[[#This Row],[Plano de Contas]],BASE!$B$3:$H$119,7,FALSE)</f>
        <v>FÁBIO</v>
      </c>
    </row>
    <row r="2946" spans="1:13" x14ac:dyDescent="0.25">
      <c r="A2946" s="74">
        <v>200074</v>
      </c>
      <c r="B2946" s="75" t="s">
        <v>686</v>
      </c>
      <c r="C2946" s="75" t="s">
        <v>1023</v>
      </c>
      <c r="D2946" s="76">
        <v>46094</v>
      </c>
      <c r="E2946" s="75" t="s">
        <v>1022</v>
      </c>
      <c r="F2946" s="74">
        <v>125.49</v>
      </c>
      <c r="G2946" s="75" t="s">
        <v>365</v>
      </c>
      <c r="H2946" s="77" t="str">
        <f>VLOOKUP(DESPESAS[[#This Row],[Plano de Contas]],BASE!$B$3:$D$119,3,FALSE)</f>
        <v>Pró-Labore</v>
      </c>
      <c r="I2946" s="77" t="str">
        <f>IFERROR(VLOOKUP(DESPESAS[[#This Row],[Fornecedor]],Tabela2[],2,FALSE),"")</f>
        <v/>
      </c>
      <c r="J2946" s="77" t="str">
        <f>IFERROR(VLOOKUP(DESPESAS[[#This Row],[Plano de Contas]],BASE!$B$3:$F$119,4,FALSE),"")</f>
        <v>4 - GASTOS COM PESSOAL</v>
      </c>
      <c r="K2946" s="77" t="str">
        <f>IFERROR(VLOOKUP(DESPESAS[[#This Row],[Plano de Contas]],BASE!$B$3:$H$119,5,FALSE),"")</f>
        <v>DIRETORIA</v>
      </c>
      <c r="L2946" s="77">
        <f>IFERROR(VLOOKUP(DESPESAS[[#This Row],[Plano de Contas]],BASE!$B$3:$H$119,6,FALSE),"")</f>
        <v>0</v>
      </c>
      <c r="M2946" s="77" t="str">
        <f>VLOOKUP(DESPESAS[[#This Row],[Plano de Contas]],BASE!$B$3:$H$119,7,FALSE)</f>
        <v>FÁBIO</v>
      </c>
    </row>
    <row r="2947" spans="1:13" x14ac:dyDescent="0.25">
      <c r="A2947" s="74">
        <v>200075</v>
      </c>
      <c r="B2947" s="75" t="s">
        <v>686</v>
      </c>
      <c r="C2947" s="75" t="s">
        <v>1023</v>
      </c>
      <c r="D2947" s="76">
        <v>46125</v>
      </c>
      <c r="E2947" s="75" t="s">
        <v>1022</v>
      </c>
      <c r="F2947" s="74">
        <v>125.49</v>
      </c>
      <c r="G2947" s="75" t="s">
        <v>365</v>
      </c>
      <c r="H2947" s="77" t="str">
        <f>VLOOKUP(DESPESAS[[#This Row],[Plano de Contas]],BASE!$B$3:$D$119,3,FALSE)</f>
        <v>Pró-Labore</v>
      </c>
      <c r="I2947" s="77" t="str">
        <f>IFERROR(VLOOKUP(DESPESAS[[#This Row],[Fornecedor]],Tabela2[],2,FALSE),"")</f>
        <v/>
      </c>
      <c r="J2947" s="77" t="str">
        <f>IFERROR(VLOOKUP(DESPESAS[[#This Row],[Plano de Contas]],BASE!$B$3:$F$119,4,FALSE),"")</f>
        <v>4 - GASTOS COM PESSOAL</v>
      </c>
      <c r="K2947" s="77" t="str">
        <f>IFERROR(VLOOKUP(DESPESAS[[#This Row],[Plano de Contas]],BASE!$B$3:$H$119,5,FALSE),"")</f>
        <v>DIRETORIA</v>
      </c>
      <c r="L2947" s="77">
        <f>IFERROR(VLOOKUP(DESPESAS[[#This Row],[Plano de Contas]],BASE!$B$3:$H$119,6,FALSE),"")</f>
        <v>0</v>
      </c>
      <c r="M2947" s="77" t="str">
        <f>VLOOKUP(DESPESAS[[#This Row],[Plano de Contas]],BASE!$B$3:$H$119,7,FALSE)</f>
        <v>FÁBIO</v>
      </c>
    </row>
    <row r="2948" spans="1:13" x14ac:dyDescent="0.25">
      <c r="A2948" s="74">
        <v>200078</v>
      </c>
      <c r="B2948" s="75" t="s">
        <v>281</v>
      </c>
      <c r="C2948" s="75" t="s">
        <v>1021</v>
      </c>
      <c r="D2948" s="76">
        <v>46114</v>
      </c>
      <c r="E2948" s="75" t="s">
        <v>490</v>
      </c>
      <c r="F2948" s="74">
        <v>235.6</v>
      </c>
      <c r="G2948" s="75" t="s">
        <v>1006</v>
      </c>
      <c r="H2948" s="77" t="str">
        <f>VLOOKUP(DESPESAS[[#This Row],[Plano de Contas]],BASE!$B$3:$D$119,3,FALSE)</f>
        <v>Material de Limpeza (Adm)</v>
      </c>
      <c r="I2948" s="77" t="str">
        <f>IFERROR(VLOOKUP(DESPESAS[[#This Row],[Fornecedor]],Tabela2[],2,FALSE),"")</f>
        <v/>
      </c>
      <c r="J2948" s="77" t="str">
        <f>IFERROR(VLOOKUP(DESPESAS[[#This Row],[Plano de Contas]],BASE!$B$3:$F$119,4,FALSE),"")</f>
        <v>5 - DESPESAS ADMINISTRATIVAS</v>
      </c>
      <c r="K2948" s="77" t="str">
        <f>IFERROR(VLOOKUP(DESPESAS[[#This Row],[Plano de Contas]],BASE!$B$3:$H$119,5,FALSE),"")</f>
        <v>ADMINISTRATIVO</v>
      </c>
      <c r="L2948" s="77">
        <f>IFERROR(VLOOKUP(DESPESAS[[#This Row],[Plano de Contas]],BASE!$B$3:$H$119,6,FALSE),"")</f>
        <v>0</v>
      </c>
      <c r="M2948" s="77" t="str">
        <f>VLOOKUP(DESPESAS[[#This Row],[Plano de Contas]],BASE!$B$3:$H$119,7,FALSE)</f>
        <v>MYLENA</v>
      </c>
    </row>
    <row r="2949" spans="1:13" x14ac:dyDescent="0.25">
      <c r="A2949" s="74">
        <v>200079</v>
      </c>
      <c r="B2949" s="75" t="s">
        <v>281</v>
      </c>
      <c r="C2949" s="75" t="s">
        <v>1020</v>
      </c>
      <c r="D2949" s="76">
        <v>46114</v>
      </c>
      <c r="E2949" s="75" t="s">
        <v>490</v>
      </c>
      <c r="F2949" s="74">
        <v>376.8</v>
      </c>
      <c r="G2949" s="75" t="s">
        <v>489</v>
      </c>
      <c r="H2949" s="77" t="str">
        <f>VLOOKUP(DESPESAS[[#This Row],[Plano de Contas]],BASE!$B$3:$D$119,3,FALSE)</f>
        <v>Material de Limpeza CIF</v>
      </c>
      <c r="I2949" s="77" t="str">
        <f>IFERROR(VLOOKUP(DESPESAS[[#This Row],[Fornecedor]],Tabela2[],2,FALSE),"")</f>
        <v/>
      </c>
      <c r="J2949" s="77" t="str">
        <f>IFERROR(VLOOKUP(DESPESAS[[#This Row],[Plano de Contas]],BASE!$B$3:$F$119,4,FALSE),"")</f>
        <v>3 - CUSTOS INDIRETOS</v>
      </c>
      <c r="K2949" s="77" t="str">
        <f>IFERROR(VLOOKUP(DESPESAS[[#This Row],[Plano de Contas]],BASE!$B$3:$H$119,5,FALSE),"")</f>
        <v>COMPRAS</v>
      </c>
      <c r="L2949" s="77">
        <f>IFERROR(VLOOKUP(DESPESAS[[#This Row],[Plano de Contas]],BASE!$B$3:$H$119,6,FALSE),"")</f>
        <v>0</v>
      </c>
      <c r="M2949" s="77" t="str">
        <f>VLOOKUP(DESPESAS[[#This Row],[Plano de Contas]],BASE!$B$3:$H$119,7,FALSE)</f>
        <v>MYLENA</v>
      </c>
    </row>
    <row r="2950" spans="1:13" x14ac:dyDescent="0.25">
      <c r="A2950" s="74">
        <v>200080</v>
      </c>
      <c r="B2950" s="75" t="s">
        <v>279</v>
      </c>
      <c r="C2950" s="75" t="s">
        <v>763</v>
      </c>
      <c r="D2950" s="76">
        <v>46113</v>
      </c>
      <c r="E2950" s="75" t="s">
        <v>944</v>
      </c>
      <c r="F2950" s="74">
        <v>1018.59</v>
      </c>
      <c r="G2950" s="75" t="s">
        <v>276</v>
      </c>
      <c r="H2950" s="77" t="str">
        <f>VLOOKUP(DESPESAS[[#This Row],[Plano de Contas]],BASE!$B$3:$D$119,3,FALSE)</f>
        <v>Férias MOD</v>
      </c>
      <c r="I2950" s="77" t="str">
        <f>IFERROR(VLOOKUP(DESPESAS[[#This Row],[Fornecedor]],Tabela2[],2,FALSE),"")</f>
        <v/>
      </c>
      <c r="J2950" s="77" t="str">
        <f>IFERROR(VLOOKUP(DESPESAS[[#This Row],[Plano de Contas]],BASE!$B$3:$F$119,4,FALSE),"")</f>
        <v>2 - CUSTOS DIRETOS</v>
      </c>
      <c r="K2950" s="77" t="str">
        <f>IFERROR(VLOOKUP(DESPESAS[[#This Row],[Plano de Contas]],BASE!$B$3:$H$119,5,FALSE),"")</f>
        <v>DH</v>
      </c>
      <c r="L2950" s="77" t="str">
        <f>IFERROR(VLOOKUP(DESPESAS[[#This Row],[Plano de Contas]],BASE!$B$3:$H$119,6,FALSE),"")</f>
        <v>CUSTO MÃO DE OBRA DIRETA</v>
      </c>
      <c r="M2950" s="77" t="str">
        <f>VLOOKUP(DESPESAS[[#This Row],[Plano de Contas]],BASE!$B$3:$H$119,7,FALSE)</f>
        <v>RAFAEL</v>
      </c>
    </row>
    <row r="2951" spans="1:13" x14ac:dyDescent="0.25">
      <c r="A2951" s="74">
        <v>200081</v>
      </c>
      <c r="B2951" s="75" t="s">
        <v>279</v>
      </c>
      <c r="C2951" s="75" t="s">
        <v>763</v>
      </c>
      <c r="D2951" s="76">
        <v>46113</v>
      </c>
      <c r="E2951" s="75" t="s">
        <v>941</v>
      </c>
      <c r="F2951" s="74">
        <v>2521.77</v>
      </c>
      <c r="G2951" s="75" t="s">
        <v>276</v>
      </c>
      <c r="H2951" s="77" t="str">
        <f>VLOOKUP(DESPESAS[[#This Row],[Plano de Contas]],BASE!$B$3:$D$119,3,FALSE)</f>
        <v>Férias MOD</v>
      </c>
      <c r="I2951" s="77" t="str">
        <f>IFERROR(VLOOKUP(DESPESAS[[#This Row],[Fornecedor]],Tabela2[],2,FALSE),"")</f>
        <v/>
      </c>
      <c r="J2951" s="77" t="str">
        <f>IFERROR(VLOOKUP(DESPESAS[[#This Row],[Plano de Contas]],BASE!$B$3:$F$119,4,FALSE),"")</f>
        <v>2 - CUSTOS DIRETOS</v>
      </c>
      <c r="K2951" s="77" t="str">
        <f>IFERROR(VLOOKUP(DESPESAS[[#This Row],[Plano de Contas]],BASE!$B$3:$H$119,5,FALSE),"")</f>
        <v>DH</v>
      </c>
      <c r="L2951" s="77" t="str">
        <f>IFERROR(VLOOKUP(DESPESAS[[#This Row],[Plano de Contas]],BASE!$B$3:$H$119,6,FALSE),"")</f>
        <v>CUSTO MÃO DE OBRA DIRETA</v>
      </c>
      <c r="M2951" s="77" t="str">
        <f>VLOOKUP(DESPESAS[[#This Row],[Plano de Contas]],BASE!$B$3:$H$119,7,FALSE)</f>
        <v>RAFAEL</v>
      </c>
    </row>
    <row r="2952" spans="1:13" x14ac:dyDescent="0.25">
      <c r="A2952" s="74">
        <v>200082</v>
      </c>
      <c r="B2952" s="75" t="s">
        <v>279</v>
      </c>
      <c r="C2952" s="75" t="s">
        <v>278</v>
      </c>
      <c r="D2952" s="76">
        <v>46113</v>
      </c>
      <c r="E2952" s="75" t="s">
        <v>928</v>
      </c>
      <c r="F2952" s="74">
        <v>1050.3699999999999</v>
      </c>
      <c r="G2952" s="75" t="s">
        <v>276</v>
      </c>
      <c r="H2952" s="77" t="str">
        <f>VLOOKUP(DESPESAS[[#This Row],[Plano de Contas]],BASE!$B$3:$D$119,3,FALSE)</f>
        <v>Férias MOD</v>
      </c>
      <c r="I2952" s="77" t="str">
        <f>IFERROR(VLOOKUP(DESPESAS[[#This Row],[Fornecedor]],Tabela2[],2,FALSE),"")</f>
        <v/>
      </c>
      <c r="J2952" s="77" t="str">
        <f>IFERROR(VLOOKUP(DESPESAS[[#This Row],[Plano de Contas]],BASE!$B$3:$F$119,4,FALSE),"")</f>
        <v>2 - CUSTOS DIRETOS</v>
      </c>
      <c r="K2952" s="77" t="str">
        <f>IFERROR(VLOOKUP(DESPESAS[[#This Row],[Plano de Contas]],BASE!$B$3:$H$119,5,FALSE),"")</f>
        <v>DH</v>
      </c>
      <c r="L2952" s="77" t="str">
        <f>IFERROR(VLOOKUP(DESPESAS[[#This Row],[Plano de Contas]],BASE!$B$3:$H$119,6,FALSE),"")</f>
        <v>CUSTO MÃO DE OBRA DIRETA</v>
      </c>
      <c r="M2952" s="77" t="str">
        <f>VLOOKUP(DESPESAS[[#This Row],[Plano de Contas]],BASE!$B$3:$H$119,7,FALSE)</f>
        <v>RAFAEL</v>
      </c>
    </row>
    <row r="2953" spans="1:13" x14ac:dyDescent="0.25">
      <c r="A2953" s="74">
        <v>200083</v>
      </c>
      <c r="B2953" s="75" t="s">
        <v>279</v>
      </c>
      <c r="C2953" s="75" t="s">
        <v>278</v>
      </c>
      <c r="D2953" s="76">
        <v>46113</v>
      </c>
      <c r="E2953" s="75" t="s">
        <v>850</v>
      </c>
      <c r="F2953" s="74">
        <v>1346.54</v>
      </c>
      <c r="G2953" s="75" t="s">
        <v>276</v>
      </c>
      <c r="H2953" s="77" t="str">
        <f>VLOOKUP(DESPESAS[[#This Row],[Plano de Contas]],BASE!$B$3:$D$119,3,FALSE)</f>
        <v>Férias MOD</v>
      </c>
      <c r="I2953" s="77" t="str">
        <f>IFERROR(VLOOKUP(DESPESAS[[#This Row],[Fornecedor]],Tabela2[],2,FALSE),"")</f>
        <v/>
      </c>
      <c r="J2953" s="77" t="str">
        <f>IFERROR(VLOOKUP(DESPESAS[[#This Row],[Plano de Contas]],BASE!$B$3:$F$119,4,FALSE),"")</f>
        <v>2 - CUSTOS DIRETOS</v>
      </c>
      <c r="K2953" s="77" t="str">
        <f>IFERROR(VLOOKUP(DESPESAS[[#This Row],[Plano de Contas]],BASE!$B$3:$H$119,5,FALSE),"")</f>
        <v>DH</v>
      </c>
      <c r="L2953" s="77" t="str">
        <f>IFERROR(VLOOKUP(DESPESAS[[#This Row],[Plano de Contas]],BASE!$B$3:$H$119,6,FALSE),"")</f>
        <v>CUSTO MÃO DE OBRA DIRETA</v>
      </c>
      <c r="M2953" s="77" t="str">
        <f>VLOOKUP(DESPESAS[[#This Row],[Plano de Contas]],BASE!$B$3:$H$119,7,FALSE)</f>
        <v>RAFAEL</v>
      </c>
    </row>
    <row r="2954" spans="1:13" x14ac:dyDescent="0.25">
      <c r="A2954" s="74">
        <v>200084</v>
      </c>
      <c r="B2954" s="75" t="s">
        <v>232</v>
      </c>
      <c r="C2954" s="75" t="s">
        <v>1019</v>
      </c>
      <c r="D2954" s="76">
        <v>46113</v>
      </c>
      <c r="E2954" s="75" t="s">
        <v>260</v>
      </c>
      <c r="F2954" s="74">
        <v>440</v>
      </c>
      <c r="G2954" s="75" t="s">
        <v>244</v>
      </c>
      <c r="H2954" s="77" t="str">
        <f>VLOOKUP(DESPESAS[[#This Row],[Plano de Contas]],BASE!$B$3:$D$119,3,FALSE)</f>
        <v>Material de Expediente (Prod)</v>
      </c>
      <c r="I2954" s="77" t="str">
        <f>IFERROR(VLOOKUP(DESPESAS[[#This Row],[Fornecedor]],Tabela2[],2,FALSE),"")</f>
        <v>PEÇAS DE FERRAMENTAS</v>
      </c>
      <c r="J2954" s="77" t="str">
        <f>IFERROR(VLOOKUP(DESPESAS[[#This Row],[Plano de Contas]],BASE!$B$3:$F$119,4,FALSE),"")</f>
        <v>2 - CUSTOS DIRETOS</v>
      </c>
      <c r="K2954" s="77" t="str">
        <f>IFERROR(VLOOKUP(DESPESAS[[#This Row],[Plano de Contas]],BASE!$B$3:$H$119,5,FALSE),"")</f>
        <v>PRODUÇÃO</v>
      </c>
      <c r="L2954" s="77">
        <f>IFERROR(VLOOKUP(DESPESAS[[#This Row],[Plano de Contas]],BASE!$B$3:$H$119,6,FALSE),"")</f>
        <v>0</v>
      </c>
      <c r="M2954" s="77" t="str">
        <f>VLOOKUP(DESPESAS[[#This Row],[Plano de Contas]],BASE!$B$3:$H$119,7,FALSE)</f>
        <v>RAFAEL</v>
      </c>
    </row>
    <row r="2955" spans="1:13" x14ac:dyDescent="0.25">
      <c r="A2955" s="74">
        <v>200085</v>
      </c>
      <c r="B2955" s="75" t="s">
        <v>232</v>
      </c>
      <c r="C2955" s="75" t="s">
        <v>1018</v>
      </c>
      <c r="D2955" s="76">
        <v>46112</v>
      </c>
      <c r="E2955" s="75" t="s">
        <v>230</v>
      </c>
      <c r="F2955" s="74">
        <v>1.28</v>
      </c>
      <c r="G2955" s="75" t="s">
        <v>229</v>
      </c>
      <c r="H2955" s="77" t="str">
        <f>VLOOKUP(DESPESAS[[#This Row],[Plano de Contas]],BASE!$B$3:$D$119,3,FALSE)</f>
        <v>Despesas Bancarias</v>
      </c>
      <c r="I2955" s="77" t="str">
        <f>IFERROR(VLOOKUP(DESPESAS[[#This Row],[Fornecedor]],Tabela2[],2,FALSE),"")</f>
        <v/>
      </c>
      <c r="J2955" s="77" t="str">
        <f>IFERROR(VLOOKUP(DESPESAS[[#This Row],[Plano de Contas]],BASE!$B$3:$F$119,4,FALSE),"")</f>
        <v>8 - DESPESAS FINANCEIRAS</v>
      </c>
      <c r="K2955" s="77" t="str">
        <f>IFERROR(VLOOKUP(DESPESAS[[#This Row],[Plano de Contas]],BASE!$B$3:$H$119,5,FALSE),"")</f>
        <v>FINANCEIRO</v>
      </c>
      <c r="L2955" s="77">
        <f>IFERROR(VLOOKUP(DESPESAS[[#This Row],[Plano de Contas]],BASE!$B$3:$H$119,6,FALSE),"")</f>
        <v>0</v>
      </c>
      <c r="M2955" s="77" t="str">
        <f>VLOOKUP(DESPESAS[[#This Row],[Plano de Contas]],BASE!$B$3:$H$119,7,FALSE)</f>
        <v>LETÍCIA</v>
      </c>
    </row>
    <row r="2956" spans="1:13" x14ac:dyDescent="0.25">
      <c r="A2956" s="74">
        <v>200086</v>
      </c>
      <c r="B2956" s="75" t="s">
        <v>232</v>
      </c>
      <c r="C2956" s="75" t="s">
        <v>1017</v>
      </c>
      <c r="D2956" s="76">
        <v>46112</v>
      </c>
      <c r="E2956" s="75" t="s">
        <v>230</v>
      </c>
      <c r="F2956" s="74">
        <v>4.21</v>
      </c>
      <c r="G2956" s="75" t="s">
        <v>251</v>
      </c>
      <c r="H2956" s="77" t="str">
        <f>VLOOKUP(DESPESAS[[#This Row],[Plano de Contas]],BASE!$B$3:$D$119,3,FALSE)</f>
        <v>Juros Pagos - Antecipação de Crédito</v>
      </c>
      <c r="I2956" s="77" t="str">
        <f>IFERROR(VLOOKUP(DESPESAS[[#This Row],[Fornecedor]],Tabela2[],2,FALSE),"")</f>
        <v/>
      </c>
      <c r="J2956" s="77" t="str">
        <f>IFERROR(VLOOKUP(DESPESAS[[#This Row],[Plano de Contas]],BASE!$B$3:$F$119,4,FALSE),"")</f>
        <v>8 - DESPESAS FINANCEIRAS</v>
      </c>
      <c r="K2956" s="77" t="str">
        <f>IFERROR(VLOOKUP(DESPESAS[[#This Row],[Plano de Contas]],BASE!$B$3:$H$119,5,FALSE),"")</f>
        <v>FINANCEIRO</v>
      </c>
      <c r="L2956" s="77">
        <f>IFERROR(VLOOKUP(DESPESAS[[#This Row],[Plano de Contas]],BASE!$B$3:$H$119,6,FALSE),"")</f>
        <v>0</v>
      </c>
      <c r="M2956" s="77" t="str">
        <f>VLOOKUP(DESPESAS[[#This Row],[Plano de Contas]],BASE!$B$3:$H$119,7,FALSE)</f>
        <v>LETÍCIA</v>
      </c>
    </row>
    <row r="2957" spans="1:13" x14ac:dyDescent="0.25">
      <c r="A2957" s="74">
        <v>200087</v>
      </c>
      <c r="B2957" s="75" t="s">
        <v>232</v>
      </c>
      <c r="C2957" s="75" t="s">
        <v>1016</v>
      </c>
      <c r="D2957" s="76">
        <v>46112</v>
      </c>
      <c r="E2957" s="75" t="s">
        <v>230</v>
      </c>
      <c r="F2957" s="74">
        <v>13.43</v>
      </c>
      <c r="G2957" s="75" t="s">
        <v>236</v>
      </c>
      <c r="H2957" s="77" t="str">
        <f>VLOOKUP(DESPESAS[[#This Row],[Plano de Contas]],BASE!$B$3:$D$119,3,FALSE)</f>
        <v>Despesas de Cobranca</v>
      </c>
      <c r="I2957" s="77" t="str">
        <f>IFERROR(VLOOKUP(DESPESAS[[#This Row],[Fornecedor]],Tabela2[],2,FALSE),"")</f>
        <v/>
      </c>
      <c r="J2957" s="77" t="str">
        <f>IFERROR(VLOOKUP(DESPESAS[[#This Row],[Plano de Contas]],BASE!$B$3:$F$119,4,FALSE),"")</f>
        <v>8 - DESPESAS FINANCEIRAS</v>
      </c>
      <c r="K2957" s="77" t="str">
        <f>IFERROR(VLOOKUP(DESPESAS[[#This Row],[Plano de Contas]],BASE!$B$3:$H$119,5,FALSE),"")</f>
        <v>FINANCEIRO</v>
      </c>
      <c r="L2957" s="77">
        <f>IFERROR(VLOOKUP(DESPESAS[[#This Row],[Plano de Contas]],BASE!$B$3:$H$119,6,FALSE),"")</f>
        <v>0</v>
      </c>
      <c r="M2957" s="77" t="str">
        <f>VLOOKUP(DESPESAS[[#This Row],[Plano de Contas]],BASE!$B$3:$H$119,7,FALSE)</f>
        <v>LETÍCIA</v>
      </c>
    </row>
    <row r="2958" spans="1:13" x14ac:dyDescent="0.25">
      <c r="A2958" s="74">
        <v>200088</v>
      </c>
      <c r="B2958" s="75" t="s">
        <v>232</v>
      </c>
      <c r="C2958" s="75" t="s">
        <v>1015</v>
      </c>
      <c r="D2958" s="76">
        <v>46113</v>
      </c>
      <c r="E2958" s="75" t="s">
        <v>230</v>
      </c>
      <c r="F2958" s="74">
        <v>0.44</v>
      </c>
      <c r="G2958" s="75" t="s">
        <v>229</v>
      </c>
      <c r="H2958" s="77" t="str">
        <f>VLOOKUP(DESPESAS[[#This Row],[Plano de Contas]],BASE!$B$3:$D$119,3,FALSE)</f>
        <v>Despesas Bancarias</v>
      </c>
      <c r="I2958" s="77" t="str">
        <f>IFERROR(VLOOKUP(DESPESAS[[#This Row],[Fornecedor]],Tabela2[],2,FALSE),"")</f>
        <v/>
      </c>
      <c r="J2958" s="77" t="str">
        <f>IFERROR(VLOOKUP(DESPESAS[[#This Row],[Plano de Contas]],BASE!$B$3:$F$119,4,FALSE),"")</f>
        <v>8 - DESPESAS FINANCEIRAS</v>
      </c>
      <c r="K2958" s="77" t="str">
        <f>IFERROR(VLOOKUP(DESPESAS[[#This Row],[Plano de Contas]],BASE!$B$3:$H$119,5,FALSE),"")</f>
        <v>FINANCEIRO</v>
      </c>
      <c r="L2958" s="77">
        <f>IFERROR(VLOOKUP(DESPESAS[[#This Row],[Plano de Contas]],BASE!$B$3:$H$119,6,FALSE),"")</f>
        <v>0</v>
      </c>
      <c r="M2958" s="77" t="str">
        <f>VLOOKUP(DESPESAS[[#This Row],[Plano de Contas]],BASE!$B$3:$H$119,7,FALSE)</f>
        <v>LETÍCIA</v>
      </c>
    </row>
    <row r="2959" spans="1:13" x14ac:dyDescent="0.25">
      <c r="A2959" s="74">
        <v>200089</v>
      </c>
      <c r="B2959" s="75" t="s">
        <v>281</v>
      </c>
      <c r="C2959" s="75" t="s">
        <v>1014</v>
      </c>
      <c r="D2959" s="76">
        <v>46112</v>
      </c>
      <c r="E2959" s="75" t="s">
        <v>230</v>
      </c>
      <c r="F2959" s="74">
        <v>2.37</v>
      </c>
      <c r="G2959" s="75" t="s">
        <v>236</v>
      </c>
      <c r="H2959" s="77" t="str">
        <f>VLOOKUP(DESPESAS[[#This Row],[Plano de Contas]],BASE!$B$3:$D$119,3,FALSE)</f>
        <v>Despesas de Cobranca</v>
      </c>
      <c r="I2959" s="77" t="str">
        <f>IFERROR(VLOOKUP(DESPESAS[[#This Row],[Fornecedor]],Tabela2[],2,FALSE),"")</f>
        <v/>
      </c>
      <c r="J2959" s="77" t="str">
        <f>IFERROR(VLOOKUP(DESPESAS[[#This Row],[Plano de Contas]],BASE!$B$3:$F$119,4,FALSE),"")</f>
        <v>8 - DESPESAS FINANCEIRAS</v>
      </c>
      <c r="K2959" s="77" t="str">
        <f>IFERROR(VLOOKUP(DESPESAS[[#This Row],[Plano de Contas]],BASE!$B$3:$H$119,5,FALSE),"")</f>
        <v>FINANCEIRO</v>
      </c>
      <c r="L2959" s="77">
        <f>IFERROR(VLOOKUP(DESPESAS[[#This Row],[Plano de Contas]],BASE!$B$3:$H$119,6,FALSE),"")</f>
        <v>0</v>
      </c>
      <c r="M2959" s="77" t="str">
        <f>VLOOKUP(DESPESAS[[#This Row],[Plano de Contas]],BASE!$B$3:$H$119,7,FALSE)</f>
        <v>LETÍCIA</v>
      </c>
    </row>
    <row r="2960" spans="1:13" x14ac:dyDescent="0.25">
      <c r="A2960" s="74">
        <v>200090</v>
      </c>
      <c r="B2960" s="75" t="s">
        <v>232</v>
      </c>
      <c r="C2960" s="75" t="s">
        <v>1013</v>
      </c>
      <c r="D2960" s="76">
        <v>46112</v>
      </c>
      <c r="E2960" s="75" t="s">
        <v>230</v>
      </c>
      <c r="F2960" s="74">
        <v>2.85</v>
      </c>
      <c r="G2960" s="75" t="s">
        <v>236</v>
      </c>
      <c r="H2960" s="77" t="str">
        <f>VLOOKUP(DESPESAS[[#This Row],[Plano de Contas]],BASE!$B$3:$D$119,3,FALSE)</f>
        <v>Despesas de Cobranca</v>
      </c>
      <c r="I2960" s="77" t="str">
        <f>IFERROR(VLOOKUP(DESPESAS[[#This Row],[Fornecedor]],Tabela2[],2,FALSE),"")</f>
        <v/>
      </c>
      <c r="J2960" s="77" t="str">
        <f>IFERROR(VLOOKUP(DESPESAS[[#This Row],[Plano de Contas]],BASE!$B$3:$F$119,4,FALSE),"")</f>
        <v>8 - DESPESAS FINANCEIRAS</v>
      </c>
      <c r="K2960" s="77" t="str">
        <f>IFERROR(VLOOKUP(DESPESAS[[#This Row],[Plano de Contas]],BASE!$B$3:$H$119,5,FALSE),"")</f>
        <v>FINANCEIRO</v>
      </c>
      <c r="L2960" s="77">
        <f>IFERROR(VLOOKUP(DESPESAS[[#This Row],[Plano de Contas]],BASE!$B$3:$H$119,6,FALSE),"")</f>
        <v>0</v>
      </c>
      <c r="M2960" s="77" t="str">
        <f>VLOOKUP(DESPESAS[[#This Row],[Plano de Contas]],BASE!$B$3:$H$119,7,FALSE)</f>
        <v>LETÍCIA</v>
      </c>
    </row>
    <row r="2961" spans="1:13" x14ac:dyDescent="0.25">
      <c r="A2961" s="74">
        <v>200091</v>
      </c>
      <c r="B2961" s="75" t="s">
        <v>279</v>
      </c>
      <c r="C2961" s="75" t="s">
        <v>1012</v>
      </c>
      <c r="D2961" s="76">
        <v>46112</v>
      </c>
      <c r="E2961" s="75" t="s">
        <v>230</v>
      </c>
      <c r="F2961" s="74">
        <v>14.28</v>
      </c>
      <c r="G2961" s="75" t="s">
        <v>251</v>
      </c>
      <c r="H2961" s="77" t="str">
        <f>VLOOKUP(DESPESAS[[#This Row],[Plano de Contas]],BASE!$B$3:$D$119,3,FALSE)</f>
        <v>Juros Pagos - Antecipação de Crédito</v>
      </c>
      <c r="I2961" s="77" t="str">
        <f>IFERROR(VLOOKUP(DESPESAS[[#This Row],[Fornecedor]],Tabela2[],2,FALSE),"")</f>
        <v/>
      </c>
      <c r="J2961" s="77" t="str">
        <f>IFERROR(VLOOKUP(DESPESAS[[#This Row],[Plano de Contas]],BASE!$B$3:$F$119,4,FALSE),"")</f>
        <v>8 - DESPESAS FINANCEIRAS</v>
      </c>
      <c r="K2961" s="77" t="str">
        <f>IFERROR(VLOOKUP(DESPESAS[[#This Row],[Plano de Contas]],BASE!$B$3:$H$119,5,FALSE),"")</f>
        <v>FINANCEIRO</v>
      </c>
      <c r="L2961" s="77">
        <f>IFERROR(VLOOKUP(DESPESAS[[#This Row],[Plano de Contas]],BASE!$B$3:$H$119,6,FALSE),"")</f>
        <v>0</v>
      </c>
      <c r="M2961" s="77" t="str">
        <f>VLOOKUP(DESPESAS[[#This Row],[Plano de Contas]],BASE!$B$3:$H$119,7,FALSE)</f>
        <v>LETÍCIA</v>
      </c>
    </row>
    <row r="2962" spans="1:13" x14ac:dyDescent="0.25">
      <c r="A2962" s="74">
        <v>200092</v>
      </c>
      <c r="B2962" s="75" t="s">
        <v>279</v>
      </c>
      <c r="C2962" s="75" t="s">
        <v>1011</v>
      </c>
      <c r="D2962" s="76">
        <v>46112</v>
      </c>
      <c r="E2962" s="75" t="s">
        <v>230</v>
      </c>
      <c r="F2962" s="74">
        <v>1.34</v>
      </c>
      <c r="G2962" s="75" t="s">
        <v>229</v>
      </c>
      <c r="H2962" s="77" t="str">
        <f>VLOOKUP(DESPESAS[[#This Row],[Plano de Contas]],BASE!$B$3:$D$119,3,FALSE)</f>
        <v>Despesas Bancarias</v>
      </c>
      <c r="I2962" s="77" t="str">
        <f>IFERROR(VLOOKUP(DESPESAS[[#This Row],[Fornecedor]],Tabela2[],2,FALSE),"")</f>
        <v/>
      </c>
      <c r="J2962" s="77" t="str">
        <f>IFERROR(VLOOKUP(DESPESAS[[#This Row],[Plano de Contas]],BASE!$B$3:$F$119,4,FALSE),"")</f>
        <v>8 - DESPESAS FINANCEIRAS</v>
      </c>
      <c r="K2962" s="77" t="str">
        <f>IFERROR(VLOOKUP(DESPESAS[[#This Row],[Plano de Contas]],BASE!$B$3:$H$119,5,FALSE),"")</f>
        <v>FINANCEIRO</v>
      </c>
      <c r="L2962" s="77">
        <f>IFERROR(VLOOKUP(DESPESAS[[#This Row],[Plano de Contas]],BASE!$B$3:$H$119,6,FALSE),"")</f>
        <v>0</v>
      </c>
      <c r="M2962" s="77" t="str">
        <f>VLOOKUP(DESPESAS[[#This Row],[Plano de Contas]],BASE!$B$3:$H$119,7,FALSE)</f>
        <v>LETÍCIA</v>
      </c>
    </row>
    <row r="2963" spans="1:13" x14ac:dyDescent="0.25">
      <c r="A2963" s="74">
        <v>200093</v>
      </c>
      <c r="B2963" s="75" t="s">
        <v>279</v>
      </c>
      <c r="C2963" s="75" t="s">
        <v>1010</v>
      </c>
      <c r="D2963" s="76">
        <v>46112</v>
      </c>
      <c r="E2963" s="75" t="s">
        <v>230</v>
      </c>
      <c r="F2963" s="74">
        <v>1.58</v>
      </c>
      <c r="G2963" s="75" t="s">
        <v>236</v>
      </c>
      <c r="H2963" s="77" t="str">
        <f>VLOOKUP(DESPESAS[[#This Row],[Plano de Contas]],BASE!$B$3:$D$119,3,FALSE)</f>
        <v>Despesas de Cobranca</v>
      </c>
      <c r="I2963" s="77" t="str">
        <f>IFERROR(VLOOKUP(DESPESAS[[#This Row],[Fornecedor]],Tabela2[],2,FALSE),"")</f>
        <v/>
      </c>
      <c r="J2963" s="77" t="str">
        <f>IFERROR(VLOOKUP(DESPESAS[[#This Row],[Plano de Contas]],BASE!$B$3:$F$119,4,FALSE),"")</f>
        <v>8 - DESPESAS FINANCEIRAS</v>
      </c>
      <c r="K2963" s="77" t="str">
        <f>IFERROR(VLOOKUP(DESPESAS[[#This Row],[Plano de Contas]],BASE!$B$3:$H$119,5,FALSE),"")</f>
        <v>FINANCEIRO</v>
      </c>
      <c r="L2963" s="77">
        <f>IFERROR(VLOOKUP(DESPESAS[[#This Row],[Plano de Contas]],BASE!$B$3:$H$119,6,FALSE),"")</f>
        <v>0</v>
      </c>
      <c r="M2963" s="77" t="str">
        <f>VLOOKUP(DESPESAS[[#This Row],[Plano de Contas]],BASE!$B$3:$H$119,7,FALSE)</f>
        <v>LETÍCIA</v>
      </c>
    </row>
    <row r="2964" spans="1:13" x14ac:dyDescent="0.25">
      <c r="A2964" s="74">
        <v>200094</v>
      </c>
      <c r="B2964" s="75" t="s">
        <v>279</v>
      </c>
      <c r="C2964" s="75" t="s">
        <v>578</v>
      </c>
      <c r="D2964" s="76">
        <v>46113</v>
      </c>
      <c r="E2964" s="75" t="s">
        <v>230</v>
      </c>
      <c r="F2964" s="74">
        <v>0.09</v>
      </c>
      <c r="G2964" s="75" t="s">
        <v>229</v>
      </c>
      <c r="H2964" s="77" t="str">
        <f>VLOOKUP(DESPESAS[[#This Row],[Plano de Contas]],BASE!$B$3:$D$119,3,FALSE)</f>
        <v>Despesas Bancarias</v>
      </c>
      <c r="I2964" s="77" t="str">
        <f>IFERROR(VLOOKUP(DESPESAS[[#This Row],[Fornecedor]],Tabela2[],2,FALSE),"")</f>
        <v/>
      </c>
      <c r="J2964" s="77" t="str">
        <f>IFERROR(VLOOKUP(DESPESAS[[#This Row],[Plano de Contas]],BASE!$B$3:$F$119,4,FALSE),"")</f>
        <v>8 - DESPESAS FINANCEIRAS</v>
      </c>
      <c r="K2964" s="77" t="str">
        <f>IFERROR(VLOOKUP(DESPESAS[[#This Row],[Plano de Contas]],BASE!$B$3:$H$119,5,FALSE),"")</f>
        <v>FINANCEIRO</v>
      </c>
      <c r="L2964" s="77">
        <f>IFERROR(VLOOKUP(DESPESAS[[#This Row],[Plano de Contas]],BASE!$B$3:$H$119,6,FALSE),"")</f>
        <v>0</v>
      </c>
      <c r="M2964" s="77" t="str">
        <f>VLOOKUP(DESPESAS[[#This Row],[Plano de Contas]],BASE!$B$3:$H$119,7,FALSE)</f>
        <v>LETÍCIA</v>
      </c>
    </row>
    <row r="2965" spans="1:13" x14ac:dyDescent="0.25">
      <c r="A2965" s="74">
        <v>200096</v>
      </c>
      <c r="B2965" s="75" t="s">
        <v>281</v>
      </c>
      <c r="C2965" s="75" t="s">
        <v>1009</v>
      </c>
      <c r="D2965" s="76">
        <v>46113</v>
      </c>
      <c r="E2965" s="75" t="s">
        <v>1007</v>
      </c>
      <c r="F2965" s="74">
        <v>762.5</v>
      </c>
      <c r="G2965" s="75" t="s">
        <v>489</v>
      </c>
      <c r="H2965" s="77" t="str">
        <f>VLOOKUP(DESPESAS[[#This Row],[Plano de Contas]],BASE!$B$3:$D$119,3,FALSE)</f>
        <v>Material de Limpeza CIF</v>
      </c>
      <c r="I2965" s="77" t="str">
        <f>IFERROR(VLOOKUP(DESPESAS[[#This Row],[Fornecedor]],Tabela2[],2,FALSE),"")</f>
        <v/>
      </c>
      <c r="J2965" s="77" t="str">
        <f>IFERROR(VLOOKUP(DESPESAS[[#This Row],[Plano de Contas]],BASE!$B$3:$F$119,4,FALSE),"")</f>
        <v>3 - CUSTOS INDIRETOS</v>
      </c>
      <c r="K2965" s="77" t="str">
        <f>IFERROR(VLOOKUP(DESPESAS[[#This Row],[Plano de Contas]],BASE!$B$3:$H$119,5,FALSE),"")</f>
        <v>COMPRAS</v>
      </c>
      <c r="L2965" s="77">
        <f>IFERROR(VLOOKUP(DESPESAS[[#This Row],[Plano de Contas]],BASE!$B$3:$H$119,6,FALSE),"")</f>
        <v>0</v>
      </c>
      <c r="M2965" s="77" t="str">
        <f>VLOOKUP(DESPESAS[[#This Row],[Plano de Contas]],BASE!$B$3:$H$119,7,FALSE)</f>
        <v>MYLENA</v>
      </c>
    </row>
    <row r="2966" spans="1:13" x14ac:dyDescent="0.25">
      <c r="A2966" s="74">
        <v>200097</v>
      </c>
      <c r="B2966" s="75" t="s">
        <v>281</v>
      </c>
      <c r="C2966" s="75" t="s">
        <v>1008</v>
      </c>
      <c r="D2966" s="76">
        <v>46113</v>
      </c>
      <c r="E2966" s="75" t="s">
        <v>1007</v>
      </c>
      <c r="F2966" s="74">
        <v>212.5</v>
      </c>
      <c r="G2966" s="75" t="s">
        <v>1006</v>
      </c>
      <c r="H2966" s="77" t="str">
        <f>VLOOKUP(DESPESAS[[#This Row],[Plano de Contas]],BASE!$B$3:$D$119,3,FALSE)</f>
        <v>Material de Limpeza (Adm)</v>
      </c>
      <c r="I2966" s="77" t="str">
        <f>IFERROR(VLOOKUP(DESPESAS[[#This Row],[Fornecedor]],Tabela2[],2,FALSE),"")</f>
        <v/>
      </c>
      <c r="J2966" s="77" t="str">
        <f>IFERROR(VLOOKUP(DESPESAS[[#This Row],[Plano de Contas]],BASE!$B$3:$F$119,4,FALSE),"")</f>
        <v>5 - DESPESAS ADMINISTRATIVAS</v>
      </c>
      <c r="K2966" s="77" t="str">
        <f>IFERROR(VLOOKUP(DESPESAS[[#This Row],[Plano de Contas]],BASE!$B$3:$H$119,5,FALSE),"")</f>
        <v>ADMINISTRATIVO</v>
      </c>
      <c r="L2966" s="77">
        <f>IFERROR(VLOOKUP(DESPESAS[[#This Row],[Plano de Contas]],BASE!$B$3:$H$119,6,FALSE),"")</f>
        <v>0</v>
      </c>
      <c r="M2966" s="77" t="str">
        <f>VLOOKUP(DESPESAS[[#This Row],[Plano de Contas]],BASE!$B$3:$H$119,7,FALSE)</f>
        <v>MYLENA</v>
      </c>
    </row>
    <row r="2967" spans="1:13" x14ac:dyDescent="0.25">
      <c r="A2967" s="74">
        <v>200098</v>
      </c>
      <c r="B2967" s="75" t="s">
        <v>221</v>
      </c>
      <c r="C2967" s="75" t="s">
        <v>1005</v>
      </c>
      <c r="D2967" s="76">
        <v>46113</v>
      </c>
      <c r="E2967" s="75" t="s">
        <v>1004</v>
      </c>
      <c r="F2967" s="74">
        <v>60</v>
      </c>
      <c r="G2967" s="75" t="s">
        <v>218</v>
      </c>
      <c r="H2967" s="77" t="str">
        <f>VLOOKUP(DESPESAS[[#This Row],[Plano de Contas]],BASE!$B$3:$D$119,3,FALSE)</f>
        <v>Manutenção de Equipamentos (Prod)</v>
      </c>
      <c r="I2967" s="77" t="str">
        <f>IFERROR(VLOOKUP(DESPESAS[[#This Row],[Fornecedor]],Tabela2[],2,FALSE),"")</f>
        <v/>
      </c>
      <c r="J2967" s="77" t="str">
        <f>IFERROR(VLOOKUP(DESPESAS[[#This Row],[Plano de Contas]],BASE!$B$3:$F$119,4,FALSE),"")</f>
        <v>3 - CUSTOS INDIRETOS</v>
      </c>
      <c r="K2967" s="77" t="str">
        <f>IFERROR(VLOOKUP(DESPESAS[[#This Row],[Plano de Contas]],BASE!$B$3:$H$119,5,FALSE),"")</f>
        <v>MANUTENÇÃO / TI</v>
      </c>
      <c r="L2967" s="77">
        <f>IFERROR(VLOOKUP(DESPESAS[[#This Row],[Plano de Contas]],BASE!$B$3:$H$119,6,FALSE),"")</f>
        <v>0</v>
      </c>
      <c r="M2967" s="77" t="str">
        <f>VLOOKUP(DESPESAS[[#This Row],[Plano de Contas]],BASE!$B$3:$H$119,7,FALSE)</f>
        <v>RAFAEL</v>
      </c>
    </row>
    <row r="2968" spans="1:13" x14ac:dyDescent="0.25">
      <c r="A2968" s="74">
        <v>200099</v>
      </c>
      <c r="B2968" s="75" t="s">
        <v>221</v>
      </c>
      <c r="C2968" s="75" t="s">
        <v>1003</v>
      </c>
      <c r="D2968" s="76">
        <v>46113</v>
      </c>
      <c r="E2968" s="75" t="s">
        <v>245</v>
      </c>
      <c r="F2968" s="74">
        <v>32.5</v>
      </c>
      <c r="G2968" s="75" t="s">
        <v>218</v>
      </c>
      <c r="H2968" s="77" t="str">
        <f>VLOOKUP(DESPESAS[[#This Row],[Plano de Contas]],BASE!$B$3:$D$119,3,FALSE)</f>
        <v>Manutenção de Equipamentos (Prod)</v>
      </c>
      <c r="I2968" s="77" t="str">
        <f>IFERROR(VLOOKUP(DESPESAS[[#This Row],[Fornecedor]],Tabela2[],2,FALSE),"")</f>
        <v>FERRAGENS GERAIS</v>
      </c>
      <c r="J2968" s="77" t="str">
        <f>IFERROR(VLOOKUP(DESPESAS[[#This Row],[Plano de Contas]],BASE!$B$3:$F$119,4,FALSE),"")</f>
        <v>3 - CUSTOS INDIRETOS</v>
      </c>
      <c r="K2968" s="77" t="str">
        <f>IFERROR(VLOOKUP(DESPESAS[[#This Row],[Plano de Contas]],BASE!$B$3:$H$119,5,FALSE),"")</f>
        <v>MANUTENÇÃO / TI</v>
      </c>
      <c r="L2968" s="77">
        <f>IFERROR(VLOOKUP(DESPESAS[[#This Row],[Plano de Contas]],BASE!$B$3:$H$119,6,FALSE),"")</f>
        <v>0</v>
      </c>
      <c r="M2968" s="77" t="str">
        <f>VLOOKUP(DESPESAS[[#This Row],[Plano de Contas]],BASE!$B$3:$H$119,7,FALSE)</f>
        <v>RAFAEL</v>
      </c>
    </row>
    <row r="2969" spans="1:13" x14ac:dyDescent="0.25">
      <c r="A2969" s="74">
        <v>200100</v>
      </c>
      <c r="B2969" s="75" t="s">
        <v>221</v>
      </c>
      <c r="C2969" s="75" t="s">
        <v>1002</v>
      </c>
      <c r="D2969" s="76">
        <v>46113</v>
      </c>
      <c r="E2969" s="75" t="s">
        <v>245</v>
      </c>
      <c r="F2969" s="74">
        <v>39</v>
      </c>
      <c r="G2969" s="75" t="s">
        <v>588</v>
      </c>
      <c r="H2969" s="77" t="str">
        <f>VLOOKUP(DESPESAS[[#This Row],[Plano de Contas]],BASE!$B$3:$D$119,3,FALSE)</f>
        <v>Maquinas e Equipamentos</v>
      </c>
      <c r="I2969" s="77" t="str">
        <f>IFERROR(VLOOKUP(DESPESAS[[#This Row],[Fornecedor]],Tabela2[],2,FALSE),"")</f>
        <v>FERRAGENS GERAIS</v>
      </c>
      <c r="J2969" s="77" t="str">
        <f>IFERROR(VLOOKUP(DESPESAS[[#This Row],[Plano de Contas]],BASE!$B$3:$F$119,4,FALSE),"")</f>
        <v>9 - INVESTIMENTOS</v>
      </c>
      <c r="K2969" s="77" t="str">
        <f>IFERROR(VLOOKUP(DESPESAS[[#This Row],[Plano de Contas]],BASE!$B$3:$H$119,5,FALSE),"")</f>
        <v>MANUTENÇÃO / TI</v>
      </c>
      <c r="L2969" s="77">
        <f>IFERROR(VLOOKUP(DESPESAS[[#This Row],[Plano de Contas]],BASE!$B$3:$H$119,6,FALSE),"")</f>
        <v>0</v>
      </c>
      <c r="M2969" s="77" t="str">
        <f>VLOOKUP(DESPESAS[[#This Row],[Plano de Contas]],BASE!$B$3:$H$119,7,FALSE)</f>
        <v>RAFAEL</v>
      </c>
    </row>
    <row r="2970" spans="1:13" x14ac:dyDescent="0.25">
      <c r="A2970" s="74">
        <v>200101</v>
      </c>
      <c r="B2970" s="75" t="s">
        <v>281</v>
      </c>
      <c r="C2970" s="75" t="s">
        <v>1001</v>
      </c>
      <c r="D2970" s="76">
        <v>46113</v>
      </c>
      <c r="E2970" s="75" t="s">
        <v>369</v>
      </c>
      <c r="F2970" s="74">
        <v>6000</v>
      </c>
      <c r="G2970" s="75" t="s">
        <v>365</v>
      </c>
      <c r="H2970" s="77" t="str">
        <f>VLOOKUP(DESPESAS[[#This Row],[Plano de Contas]],BASE!$B$3:$D$119,3,FALSE)</f>
        <v>Pró-Labore</v>
      </c>
      <c r="I2970" s="77" t="str">
        <f>IFERROR(VLOOKUP(DESPESAS[[#This Row],[Fornecedor]],Tabela2[],2,FALSE),"")</f>
        <v/>
      </c>
      <c r="J2970" s="77" t="str">
        <f>IFERROR(VLOOKUP(DESPESAS[[#This Row],[Plano de Contas]],BASE!$B$3:$F$119,4,FALSE),"")</f>
        <v>4 - GASTOS COM PESSOAL</v>
      </c>
      <c r="K2970" s="77" t="str">
        <f>IFERROR(VLOOKUP(DESPESAS[[#This Row],[Plano de Contas]],BASE!$B$3:$H$119,5,FALSE),"")</f>
        <v>DIRETORIA</v>
      </c>
      <c r="L2970" s="77">
        <f>IFERROR(VLOOKUP(DESPESAS[[#This Row],[Plano de Contas]],BASE!$B$3:$H$119,6,FALSE),"")</f>
        <v>0</v>
      </c>
      <c r="M2970" s="77" t="str">
        <f>VLOOKUP(DESPESAS[[#This Row],[Plano de Contas]],BASE!$B$3:$H$119,7,FALSE)</f>
        <v>FÁBIO</v>
      </c>
    </row>
    <row r="2971" spans="1:13" x14ac:dyDescent="0.25">
      <c r="A2971" s="74">
        <v>200102</v>
      </c>
      <c r="B2971" s="75" t="s">
        <v>232</v>
      </c>
      <c r="C2971" s="75" t="s">
        <v>1000</v>
      </c>
      <c r="D2971" s="76">
        <v>46112</v>
      </c>
      <c r="E2971" s="75" t="s">
        <v>999</v>
      </c>
      <c r="F2971" s="74">
        <v>11468.96</v>
      </c>
      <c r="G2971" s="75" t="s">
        <v>218</v>
      </c>
      <c r="H2971" s="77" t="str">
        <f>VLOOKUP(DESPESAS[[#This Row],[Plano de Contas]],BASE!$B$3:$D$119,3,FALSE)</f>
        <v>Manutenção de Equipamentos (Prod)</v>
      </c>
      <c r="I2971" s="77" t="str">
        <f>IFERROR(VLOOKUP(DESPESAS[[#This Row],[Fornecedor]],Tabela2[],2,FALSE),"")</f>
        <v>CNC TECIDO</v>
      </c>
      <c r="J2971" s="77" t="str">
        <f>IFERROR(VLOOKUP(DESPESAS[[#This Row],[Plano de Contas]],BASE!$B$3:$F$119,4,FALSE),"")</f>
        <v>3 - CUSTOS INDIRETOS</v>
      </c>
      <c r="K2971" s="77" t="str">
        <f>IFERROR(VLOOKUP(DESPESAS[[#This Row],[Plano de Contas]],BASE!$B$3:$H$119,5,FALSE),"")</f>
        <v>MANUTENÇÃO / TI</v>
      </c>
      <c r="L2971" s="77">
        <f>IFERROR(VLOOKUP(DESPESAS[[#This Row],[Plano de Contas]],BASE!$B$3:$H$119,6,FALSE),"")</f>
        <v>0</v>
      </c>
      <c r="M2971" s="77" t="str">
        <f>VLOOKUP(DESPESAS[[#This Row],[Plano de Contas]],BASE!$B$3:$H$119,7,FALSE)</f>
        <v>RAFAEL</v>
      </c>
    </row>
    <row r="2972" spans="1:13" x14ac:dyDescent="0.25">
      <c r="A2972" s="74">
        <v>200103</v>
      </c>
      <c r="B2972" s="75" t="s">
        <v>232</v>
      </c>
      <c r="C2972" s="75" t="s">
        <v>763</v>
      </c>
      <c r="D2972" s="76">
        <v>46113</v>
      </c>
      <c r="E2972" s="75" t="s">
        <v>892</v>
      </c>
      <c r="F2972" s="74">
        <v>2134.1999999999998</v>
      </c>
      <c r="G2972" s="75" t="s">
        <v>276</v>
      </c>
      <c r="H2972" s="77" t="str">
        <f>VLOOKUP(DESPESAS[[#This Row],[Plano de Contas]],BASE!$B$3:$D$119,3,FALSE)</f>
        <v>Férias MOD</v>
      </c>
      <c r="I2972" s="77" t="str">
        <f>IFERROR(VLOOKUP(DESPESAS[[#This Row],[Fornecedor]],Tabela2[],2,FALSE),"")</f>
        <v/>
      </c>
      <c r="J2972" s="77" t="str">
        <f>IFERROR(VLOOKUP(DESPESAS[[#This Row],[Plano de Contas]],BASE!$B$3:$F$119,4,FALSE),"")</f>
        <v>2 - CUSTOS DIRETOS</v>
      </c>
      <c r="K2972" s="77" t="str">
        <f>IFERROR(VLOOKUP(DESPESAS[[#This Row],[Plano de Contas]],BASE!$B$3:$H$119,5,FALSE),"")</f>
        <v>DH</v>
      </c>
      <c r="L2972" s="77" t="str">
        <f>IFERROR(VLOOKUP(DESPESAS[[#This Row],[Plano de Contas]],BASE!$B$3:$H$119,6,FALSE),"")</f>
        <v>CUSTO MÃO DE OBRA DIRETA</v>
      </c>
      <c r="M2972" s="77" t="str">
        <f>VLOOKUP(DESPESAS[[#This Row],[Plano de Contas]],BASE!$B$3:$H$119,7,FALSE)</f>
        <v>RAFAEL</v>
      </c>
    </row>
    <row r="2973" spans="1:13" x14ac:dyDescent="0.25">
      <c r="A2973" s="74">
        <v>200104</v>
      </c>
      <c r="B2973" s="75" t="s">
        <v>232</v>
      </c>
      <c r="C2973" s="75" t="s">
        <v>998</v>
      </c>
      <c r="D2973" s="76">
        <v>46113</v>
      </c>
      <c r="E2973" s="75" t="s">
        <v>992</v>
      </c>
      <c r="F2973" s="74">
        <v>4634.37</v>
      </c>
      <c r="G2973" s="75" t="s">
        <v>294</v>
      </c>
      <c r="H2973" s="77" t="str">
        <f>VLOOKUP(DESPESAS[[#This Row],[Plano de Contas]],BASE!$B$3:$D$119,3,FALSE)</f>
        <v>Insumos de Clientes</v>
      </c>
      <c r="I2973" s="77" t="str">
        <f>IFERROR(VLOOKUP(DESPESAS[[#This Row],[Fornecedor]],Tabela2[],2,FALSE),"")</f>
        <v/>
      </c>
      <c r="J2973" s="77" t="str">
        <f>IFERROR(VLOOKUP(DESPESAS[[#This Row],[Plano de Contas]],BASE!$B$3:$F$119,4,FALSE),"")</f>
        <v>8 - DESPESAS FINANCEIRAS</v>
      </c>
      <c r="K2973" s="77" t="str">
        <f>IFERROR(VLOOKUP(DESPESAS[[#This Row],[Plano de Contas]],BASE!$B$3:$H$119,5,FALSE),"")</f>
        <v>COMERCIAL</v>
      </c>
      <c r="L2973" s="77">
        <f>IFERROR(VLOOKUP(DESPESAS[[#This Row],[Plano de Contas]],BASE!$B$3:$H$119,6,FALSE),"")</f>
        <v>0</v>
      </c>
      <c r="M2973" s="77" t="str">
        <f>VLOOKUP(DESPESAS[[#This Row],[Plano de Contas]],BASE!$B$3:$H$119,7,FALSE)</f>
        <v>LETÍCIA</v>
      </c>
    </row>
    <row r="2974" spans="1:13" x14ac:dyDescent="0.25">
      <c r="A2974" s="74">
        <v>200105</v>
      </c>
      <c r="B2974" s="75" t="s">
        <v>221</v>
      </c>
      <c r="C2974" s="75" t="s">
        <v>997</v>
      </c>
      <c r="D2974" s="76">
        <v>46113</v>
      </c>
      <c r="E2974" s="75" t="s">
        <v>996</v>
      </c>
      <c r="F2974" s="74">
        <v>60</v>
      </c>
      <c r="G2974" s="75" t="s">
        <v>244</v>
      </c>
      <c r="H2974" s="77" t="str">
        <f>VLOOKUP(DESPESAS[[#This Row],[Plano de Contas]],BASE!$B$3:$D$119,3,FALSE)</f>
        <v>Material de Expediente (Prod)</v>
      </c>
      <c r="I2974" s="77" t="str">
        <f>IFERROR(VLOOKUP(DESPESAS[[#This Row],[Fornecedor]],Tabela2[],2,FALSE),"")</f>
        <v/>
      </c>
      <c r="J2974" s="77" t="str">
        <f>IFERROR(VLOOKUP(DESPESAS[[#This Row],[Plano de Contas]],BASE!$B$3:$F$119,4,FALSE),"")</f>
        <v>2 - CUSTOS DIRETOS</v>
      </c>
      <c r="K2974" s="77" t="str">
        <f>IFERROR(VLOOKUP(DESPESAS[[#This Row],[Plano de Contas]],BASE!$B$3:$H$119,5,FALSE),"")</f>
        <v>PRODUÇÃO</v>
      </c>
      <c r="L2974" s="77">
        <f>IFERROR(VLOOKUP(DESPESAS[[#This Row],[Plano de Contas]],BASE!$B$3:$H$119,6,FALSE),"")</f>
        <v>0</v>
      </c>
      <c r="M2974" s="77" t="str">
        <f>VLOOKUP(DESPESAS[[#This Row],[Plano de Contas]],BASE!$B$3:$H$119,7,FALSE)</f>
        <v>RAFAEL</v>
      </c>
    </row>
    <row r="2975" spans="1:13" x14ac:dyDescent="0.25">
      <c r="A2975" s="74">
        <v>200106</v>
      </c>
      <c r="B2975" s="75" t="s">
        <v>221</v>
      </c>
      <c r="C2975" s="75" t="s">
        <v>995</v>
      </c>
      <c r="D2975" s="76">
        <v>46112</v>
      </c>
      <c r="E2975" s="75" t="s">
        <v>970</v>
      </c>
      <c r="F2975" s="74">
        <v>70</v>
      </c>
      <c r="G2975" s="75" t="s">
        <v>489</v>
      </c>
      <c r="H2975" s="77" t="str">
        <f>VLOOKUP(DESPESAS[[#This Row],[Plano de Contas]],BASE!$B$3:$D$119,3,FALSE)</f>
        <v>Material de Limpeza CIF</v>
      </c>
      <c r="I2975" s="77" t="str">
        <f>IFERROR(VLOOKUP(DESPESAS[[#This Row],[Fornecedor]],Tabela2[],2,FALSE),"")</f>
        <v/>
      </c>
      <c r="J2975" s="77" t="str">
        <f>IFERROR(VLOOKUP(DESPESAS[[#This Row],[Plano de Contas]],BASE!$B$3:$F$119,4,FALSE),"")</f>
        <v>3 - CUSTOS INDIRETOS</v>
      </c>
      <c r="K2975" s="77" t="str">
        <f>IFERROR(VLOOKUP(DESPESAS[[#This Row],[Plano de Contas]],BASE!$B$3:$H$119,5,FALSE),"")</f>
        <v>COMPRAS</v>
      </c>
      <c r="L2975" s="77">
        <f>IFERROR(VLOOKUP(DESPESAS[[#This Row],[Plano de Contas]],BASE!$B$3:$H$119,6,FALSE),"")</f>
        <v>0</v>
      </c>
      <c r="M2975" s="77" t="str">
        <f>VLOOKUP(DESPESAS[[#This Row],[Plano de Contas]],BASE!$B$3:$H$119,7,FALSE)</f>
        <v>MYLENA</v>
      </c>
    </row>
    <row r="2976" spans="1:13" x14ac:dyDescent="0.25">
      <c r="A2976" s="74">
        <v>200107</v>
      </c>
      <c r="B2976" s="75" t="s">
        <v>221</v>
      </c>
      <c r="C2976" s="75" t="s">
        <v>994</v>
      </c>
      <c r="D2976" s="76">
        <v>46112</v>
      </c>
      <c r="E2976" s="75" t="s">
        <v>970</v>
      </c>
      <c r="F2976" s="74">
        <v>35</v>
      </c>
      <c r="G2976" s="75" t="s">
        <v>218</v>
      </c>
      <c r="H2976" s="77" t="str">
        <f>VLOOKUP(DESPESAS[[#This Row],[Plano de Contas]],BASE!$B$3:$D$119,3,FALSE)</f>
        <v>Manutenção de Equipamentos (Prod)</v>
      </c>
      <c r="I2976" s="77" t="str">
        <f>IFERROR(VLOOKUP(DESPESAS[[#This Row],[Fornecedor]],Tabela2[],2,FALSE),"")</f>
        <v/>
      </c>
      <c r="J2976" s="77" t="str">
        <f>IFERROR(VLOOKUP(DESPESAS[[#This Row],[Plano de Contas]],BASE!$B$3:$F$119,4,FALSE),"")</f>
        <v>3 - CUSTOS INDIRETOS</v>
      </c>
      <c r="K2976" s="77" t="str">
        <f>IFERROR(VLOOKUP(DESPESAS[[#This Row],[Plano de Contas]],BASE!$B$3:$H$119,5,FALSE),"")</f>
        <v>MANUTENÇÃO / TI</v>
      </c>
      <c r="L2976" s="77">
        <f>IFERROR(VLOOKUP(DESPESAS[[#This Row],[Plano de Contas]],BASE!$B$3:$H$119,6,FALSE),"")</f>
        <v>0</v>
      </c>
      <c r="M2976" s="77" t="str">
        <f>VLOOKUP(DESPESAS[[#This Row],[Plano de Contas]],BASE!$B$3:$H$119,7,FALSE)</f>
        <v>RAFAEL</v>
      </c>
    </row>
    <row r="2977" spans="1:13" x14ac:dyDescent="0.25">
      <c r="A2977" s="74">
        <v>200108</v>
      </c>
      <c r="B2977" s="75" t="s">
        <v>232</v>
      </c>
      <c r="C2977" s="75" t="s">
        <v>993</v>
      </c>
      <c r="D2977" s="76">
        <v>46113</v>
      </c>
      <c r="E2977" s="75" t="s">
        <v>992</v>
      </c>
      <c r="F2977" s="74">
        <v>739.44</v>
      </c>
      <c r="G2977" s="75" t="s">
        <v>294</v>
      </c>
      <c r="H2977" s="77" t="str">
        <f>VLOOKUP(DESPESAS[[#This Row],[Plano de Contas]],BASE!$B$3:$D$119,3,FALSE)</f>
        <v>Insumos de Clientes</v>
      </c>
      <c r="I2977" s="77" t="str">
        <f>IFERROR(VLOOKUP(DESPESAS[[#This Row],[Fornecedor]],Tabela2[],2,FALSE),"")</f>
        <v/>
      </c>
      <c r="J2977" s="77" t="str">
        <f>IFERROR(VLOOKUP(DESPESAS[[#This Row],[Plano de Contas]],BASE!$B$3:$F$119,4,FALSE),"")</f>
        <v>8 - DESPESAS FINANCEIRAS</v>
      </c>
      <c r="K2977" s="77" t="str">
        <f>IFERROR(VLOOKUP(DESPESAS[[#This Row],[Plano de Contas]],BASE!$B$3:$H$119,5,FALSE),"")</f>
        <v>COMERCIAL</v>
      </c>
      <c r="L2977" s="77">
        <f>IFERROR(VLOOKUP(DESPESAS[[#This Row],[Plano de Contas]],BASE!$B$3:$H$119,6,FALSE),"")</f>
        <v>0</v>
      </c>
      <c r="M2977" s="77" t="str">
        <f>VLOOKUP(DESPESAS[[#This Row],[Plano de Contas]],BASE!$B$3:$H$119,7,FALSE)</f>
        <v>LETÍCIA</v>
      </c>
    </row>
    <row r="2978" spans="1:13" x14ac:dyDescent="0.25">
      <c r="A2978" s="74">
        <v>200109</v>
      </c>
      <c r="B2978" s="75" t="s">
        <v>232</v>
      </c>
      <c r="C2978" s="75" t="s">
        <v>991</v>
      </c>
      <c r="D2978" s="76">
        <v>46113</v>
      </c>
      <c r="E2978" s="75" t="s">
        <v>230</v>
      </c>
      <c r="F2978" s="74">
        <v>1109.07</v>
      </c>
      <c r="G2978" s="75" t="s">
        <v>251</v>
      </c>
      <c r="H2978" s="77" t="str">
        <f>VLOOKUP(DESPESAS[[#This Row],[Plano de Contas]],BASE!$B$3:$D$119,3,FALSE)</f>
        <v>Juros Pagos - Antecipação de Crédito</v>
      </c>
      <c r="I2978" s="77" t="str">
        <f>IFERROR(VLOOKUP(DESPESAS[[#This Row],[Fornecedor]],Tabela2[],2,FALSE),"")</f>
        <v/>
      </c>
      <c r="J2978" s="77" t="str">
        <f>IFERROR(VLOOKUP(DESPESAS[[#This Row],[Plano de Contas]],BASE!$B$3:$F$119,4,FALSE),"")</f>
        <v>8 - DESPESAS FINANCEIRAS</v>
      </c>
      <c r="K2978" s="77" t="str">
        <f>IFERROR(VLOOKUP(DESPESAS[[#This Row],[Plano de Contas]],BASE!$B$3:$H$119,5,FALSE),"")</f>
        <v>FINANCEIRO</v>
      </c>
      <c r="L2978" s="77">
        <f>IFERROR(VLOOKUP(DESPESAS[[#This Row],[Plano de Contas]],BASE!$B$3:$H$119,6,FALSE),"")</f>
        <v>0</v>
      </c>
      <c r="M2978" s="77" t="str">
        <f>VLOOKUP(DESPESAS[[#This Row],[Plano de Contas]],BASE!$B$3:$H$119,7,FALSE)</f>
        <v>LETÍCIA</v>
      </c>
    </row>
    <row r="2979" spans="1:13" x14ac:dyDescent="0.25">
      <c r="A2979" s="74">
        <v>200110</v>
      </c>
      <c r="B2979" s="75" t="s">
        <v>232</v>
      </c>
      <c r="C2979" s="75" t="s">
        <v>990</v>
      </c>
      <c r="D2979" s="76">
        <v>46113</v>
      </c>
      <c r="E2979" s="75" t="s">
        <v>230</v>
      </c>
      <c r="F2979" s="74">
        <v>175.98</v>
      </c>
      <c r="G2979" s="75" t="s">
        <v>229</v>
      </c>
      <c r="H2979" s="77" t="str">
        <f>VLOOKUP(DESPESAS[[#This Row],[Plano de Contas]],BASE!$B$3:$D$119,3,FALSE)</f>
        <v>Despesas Bancarias</v>
      </c>
      <c r="I2979" s="77" t="str">
        <f>IFERROR(VLOOKUP(DESPESAS[[#This Row],[Fornecedor]],Tabela2[],2,FALSE),"")</f>
        <v/>
      </c>
      <c r="J2979" s="77" t="str">
        <f>IFERROR(VLOOKUP(DESPESAS[[#This Row],[Plano de Contas]],BASE!$B$3:$F$119,4,FALSE),"")</f>
        <v>8 - DESPESAS FINANCEIRAS</v>
      </c>
      <c r="K2979" s="77" t="str">
        <f>IFERROR(VLOOKUP(DESPESAS[[#This Row],[Plano de Contas]],BASE!$B$3:$H$119,5,FALSE),"")</f>
        <v>FINANCEIRO</v>
      </c>
      <c r="L2979" s="77">
        <f>IFERROR(VLOOKUP(DESPESAS[[#This Row],[Plano de Contas]],BASE!$B$3:$H$119,6,FALSE),"")</f>
        <v>0</v>
      </c>
      <c r="M2979" s="77" t="str">
        <f>VLOOKUP(DESPESAS[[#This Row],[Plano de Contas]],BASE!$B$3:$H$119,7,FALSE)</f>
        <v>LETÍCIA</v>
      </c>
    </row>
    <row r="2980" spans="1:13" x14ac:dyDescent="0.25">
      <c r="A2980" s="74">
        <v>200111</v>
      </c>
      <c r="B2980" s="75" t="s">
        <v>232</v>
      </c>
      <c r="C2980" s="75" t="s">
        <v>989</v>
      </c>
      <c r="D2980" s="76">
        <v>46113</v>
      </c>
      <c r="E2980" s="75" t="s">
        <v>230</v>
      </c>
      <c r="F2980" s="74">
        <v>95.05</v>
      </c>
      <c r="G2980" s="75" t="s">
        <v>229</v>
      </c>
      <c r="H2980" s="77" t="str">
        <f>VLOOKUP(DESPESAS[[#This Row],[Plano de Contas]],BASE!$B$3:$D$119,3,FALSE)</f>
        <v>Despesas Bancarias</v>
      </c>
      <c r="I2980" s="77" t="str">
        <f>IFERROR(VLOOKUP(DESPESAS[[#This Row],[Fornecedor]],Tabela2[],2,FALSE),"")</f>
        <v/>
      </c>
      <c r="J2980" s="77" t="str">
        <f>IFERROR(VLOOKUP(DESPESAS[[#This Row],[Plano de Contas]],BASE!$B$3:$F$119,4,FALSE),"")</f>
        <v>8 - DESPESAS FINANCEIRAS</v>
      </c>
      <c r="K2980" s="77" t="str">
        <f>IFERROR(VLOOKUP(DESPESAS[[#This Row],[Plano de Contas]],BASE!$B$3:$H$119,5,FALSE),"")</f>
        <v>FINANCEIRO</v>
      </c>
      <c r="L2980" s="77">
        <f>IFERROR(VLOOKUP(DESPESAS[[#This Row],[Plano de Contas]],BASE!$B$3:$H$119,6,FALSE),"")</f>
        <v>0</v>
      </c>
      <c r="M2980" s="77" t="str">
        <f>VLOOKUP(DESPESAS[[#This Row],[Plano de Contas]],BASE!$B$3:$H$119,7,FALSE)</f>
        <v>LETÍCIA</v>
      </c>
    </row>
    <row r="2981" spans="1:13" x14ac:dyDescent="0.25">
      <c r="A2981" s="74">
        <v>200112</v>
      </c>
      <c r="B2981" s="75" t="s">
        <v>221</v>
      </c>
      <c r="C2981" s="75" t="s">
        <v>988</v>
      </c>
      <c r="D2981" s="76">
        <v>46113</v>
      </c>
      <c r="E2981" s="75" t="s">
        <v>640</v>
      </c>
      <c r="F2981" s="74">
        <v>1370.85</v>
      </c>
      <c r="G2981" s="75" t="s">
        <v>365</v>
      </c>
      <c r="H2981" s="77" t="str">
        <f>VLOOKUP(DESPESAS[[#This Row],[Plano de Contas]],BASE!$B$3:$D$119,3,FALSE)</f>
        <v>Pró-Labore</v>
      </c>
      <c r="I2981" s="77" t="str">
        <f>IFERROR(VLOOKUP(DESPESAS[[#This Row],[Fornecedor]],Tabela2[],2,FALSE),"")</f>
        <v/>
      </c>
      <c r="J2981" s="77" t="str">
        <f>IFERROR(VLOOKUP(DESPESAS[[#This Row],[Plano de Contas]],BASE!$B$3:$F$119,4,FALSE),"")</f>
        <v>4 - GASTOS COM PESSOAL</v>
      </c>
      <c r="K2981" s="77" t="str">
        <f>IFERROR(VLOOKUP(DESPESAS[[#This Row],[Plano de Contas]],BASE!$B$3:$H$119,5,FALSE),"")</f>
        <v>DIRETORIA</v>
      </c>
      <c r="L2981" s="77">
        <f>IFERROR(VLOOKUP(DESPESAS[[#This Row],[Plano de Contas]],BASE!$B$3:$H$119,6,FALSE),"")</f>
        <v>0</v>
      </c>
      <c r="M2981" s="77" t="str">
        <f>VLOOKUP(DESPESAS[[#This Row],[Plano de Contas]],BASE!$B$3:$H$119,7,FALSE)</f>
        <v>FÁBIO</v>
      </c>
    </row>
    <row r="2982" spans="1:13" x14ac:dyDescent="0.25">
      <c r="A2982" s="74">
        <v>200113</v>
      </c>
      <c r="B2982" s="75" t="s">
        <v>221</v>
      </c>
      <c r="C2982" s="75" t="s">
        <v>987</v>
      </c>
      <c r="D2982" s="76">
        <v>46113</v>
      </c>
      <c r="E2982" s="75" t="s">
        <v>640</v>
      </c>
      <c r="F2982" s="74">
        <v>1408.35</v>
      </c>
      <c r="G2982" s="75" t="s">
        <v>365</v>
      </c>
      <c r="H2982" s="77" t="str">
        <f>VLOOKUP(DESPESAS[[#This Row],[Plano de Contas]],BASE!$B$3:$D$119,3,FALSE)</f>
        <v>Pró-Labore</v>
      </c>
      <c r="I2982" s="77" t="str">
        <f>IFERROR(VLOOKUP(DESPESAS[[#This Row],[Fornecedor]],Tabela2[],2,FALSE),"")</f>
        <v/>
      </c>
      <c r="J2982" s="77" t="str">
        <f>IFERROR(VLOOKUP(DESPESAS[[#This Row],[Plano de Contas]],BASE!$B$3:$F$119,4,FALSE),"")</f>
        <v>4 - GASTOS COM PESSOAL</v>
      </c>
      <c r="K2982" s="77" t="str">
        <f>IFERROR(VLOOKUP(DESPESAS[[#This Row],[Plano de Contas]],BASE!$B$3:$H$119,5,FALSE),"")</f>
        <v>DIRETORIA</v>
      </c>
      <c r="L2982" s="77">
        <f>IFERROR(VLOOKUP(DESPESAS[[#This Row],[Plano de Contas]],BASE!$B$3:$H$119,6,FALSE),"")</f>
        <v>0</v>
      </c>
      <c r="M2982" s="77" t="str">
        <f>VLOOKUP(DESPESAS[[#This Row],[Plano de Contas]],BASE!$B$3:$H$119,7,FALSE)</f>
        <v>FÁBIO</v>
      </c>
    </row>
    <row r="2983" spans="1:13" x14ac:dyDescent="0.25">
      <c r="A2983" s="74">
        <v>200114</v>
      </c>
      <c r="B2983" s="75" t="s">
        <v>221</v>
      </c>
      <c r="C2983" s="75" t="s">
        <v>986</v>
      </c>
      <c r="D2983" s="76">
        <v>46113</v>
      </c>
      <c r="E2983" s="75" t="s">
        <v>640</v>
      </c>
      <c r="F2983" s="74">
        <v>1100.4000000000001</v>
      </c>
      <c r="G2983" s="75" t="s">
        <v>365</v>
      </c>
      <c r="H2983" s="77" t="str">
        <f>VLOOKUP(DESPESAS[[#This Row],[Plano de Contas]],BASE!$B$3:$D$119,3,FALSE)</f>
        <v>Pró-Labore</v>
      </c>
      <c r="I2983" s="77" t="str">
        <f>IFERROR(VLOOKUP(DESPESAS[[#This Row],[Fornecedor]],Tabela2[],2,FALSE),"")</f>
        <v/>
      </c>
      <c r="J2983" s="77" t="str">
        <f>IFERROR(VLOOKUP(DESPESAS[[#This Row],[Plano de Contas]],BASE!$B$3:$F$119,4,FALSE),"")</f>
        <v>4 - GASTOS COM PESSOAL</v>
      </c>
      <c r="K2983" s="77" t="str">
        <f>IFERROR(VLOOKUP(DESPESAS[[#This Row],[Plano de Contas]],BASE!$B$3:$H$119,5,FALSE),"")</f>
        <v>DIRETORIA</v>
      </c>
      <c r="L2983" s="77">
        <f>IFERROR(VLOOKUP(DESPESAS[[#This Row],[Plano de Contas]],BASE!$B$3:$H$119,6,FALSE),"")</f>
        <v>0</v>
      </c>
      <c r="M2983" s="77" t="str">
        <f>VLOOKUP(DESPESAS[[#This Row],[Plano de Contas]],BASE!$B$3:$H$119,7,FALSE)</f>
        <v>FÁBIO</v>
      </c>
    </row>
    <row r="2984" spans="1:13" x14ac:dyDescent="0.25">
      <c r="A2984" s="74">
        <v>200115</v>
      </c>
      <c r="B2984" s="75" t="s">
        <v>221</v>
      </c>
      <c r="C2984" s="75" t="s">
        <v>985</v>
      </c>
      <c r="D2984" s="76">
        <v>46113</v>
      </c>
      <c r="E2984" s="75" t="s">
        <v>640</v>
      </c>
      <c r="F2984" s="74">
        <v>808.51</v>
      </c>
      <c r="G2984" s="75" t="s">
        <v>365</v>
      </c>
      <c r="H2984" s="77" t="str">
        <f>VLOOKUP(DESPESAS[[#This Row],[Plano de Contas]],BASE!$B$3:$D$119,3,FALSE)</f>
        <v>Pró-Labore</v>
      </c>
      <c r="I2984" s="77" t="str">
        <f>IFERROR(VLOOKUP(DESPESAS[[#This Row],[Fornecedor]],Tabela2[],2,FALSE),"")</f>
        <v/>
      </c>
      <c r="J2984" s="77" t="str">
        <f>IFERROR(VLOOKUP(DESPESAS[[#This Row],[Plano de Contas]],BASE!$B$3:$F$119,4,FALSE),"")</f>
        <v>4 - GASTOS COM PESSOAL</v>
      </c>
      <c r="K2984" s="77" t="str">
        <f>IFERROR(VLOOKUP(DESPESAS[[#This Row],[Plano de Contas]],BASE!$B$3:$H$119,5,FALSE),"")</f>
        <v>DIRETORIA</v>
      </c>
      <c r="L2984" s="77">
        <f>IFERROR(VLOOKUP(DESPESAS[[#This Row],[Plano de Contas]],BASE!$B$3:$H$119,6,FALSE),"")</f>
        <v>0</v>
      </c>
      <c r="M2984" s="77" t="str">
        <f>VLOOKUP(DESPESAS[[#This Row],[Plano de Contas]],BASE!$B$3:$H$119,7,FALSE)</f>
        <v>FÁBIO</v>
      </c>
    </row>
    <row r="2985" spans="1:13" x14ac:dyDescent="0.25">
      <c r="A2985" s="74">
        <v>200116</v>
      </c>
      <c r="B2985" s="75" t="s">
        <v>221</v>
      </c>
      <c r="C2985" s="75" t="s">
        <v>984</v>
      </c>
      <c r="D2985" s="76">
        <v>46113</v>
      </c>
      <c r="E2985" s="75" t="s">
        <v>640</v>
      </c>
      <c r="F2985" s="74">
        <v>1477.83</v>
      </c>
      <c r="G2985" s="75" t="s">
        <v>365</v>
      </c>
      <c r="H2985" s="77" t="str">
        <f>VLOOKUP(DESPESAS[[#This Row],[Plano de Contas]],BASE!$B$3:$D$119,3,FALSE)</f>
        <v>Pró-Labore</v>
      </c>
      <c r="I2985" s="77" t="str">
        <f>IFERROR(VLOOKUP(DESPESAS[[#This Row],[Fornecedor]],Tabela2[],2,FALSE),"")</f>
        <v/>
      </c>
      <c r="J2985" s="77" t="str">
        <f>IFERROR(VLOOKUP(DESPESAS[[#This Row],[Plano de Contas]],BASE!$B$3:$F$119,4,FALSE),"")</f>
        <v>4 - GASTOS COM PESSOAL</v>
      </c>
      <c r="K2985" s="77" t="str">
        <f>IFERROR(VLOOKUP(DESPESAS[[#This Row],[Plano de Contas]],BASE!$B$3:$H$119,5,FALSE),"")</f>
        <v>DIRETORIA</v>
      </c>
      <c r="L2985" s="77">
        <f>IFERROR(VLOOKUP(DESPESAS[[#This Row],[Plano de Contas]],BASE!$B$3:$H$119,6,FALSE),"")</f>
        <v>0</v>
      </c>
      <c r="M2985" s="77" t="str">
        <f>VLOOKUP(DESPESAS[[#This Row],[Plano de Contas]],BASE!$B$3:$H$119,7,FALSE)</f>
        <v>FÁBIO</v>
      </c>
    </row>
    <row r="2986" spans="1:13" x14ac:dyDescent="0.25">
      <c r="A2986" s="74">
        <v>200117</v>
      </c>
      <c r="B2986" s="75" t="s">
        <v>221</v>
      </c>
      <c r="C2986" s="75" t="s">
        <v>983</v>
      </c>
      <c r="D2986" s="76">
        <v>46113</v>
      </c>
      <c r="E2986" s="75" t="s">
        <v>245</v>
      </c>
      <c r="F2986" s="74">
        <v>44</v>
      </c>
      <c r="G2986" s="75" t="s">
        <v>337</v>
      </c>
      <c r="H2986" s="77" t="str">
        <f>VLOOKUP(DESPESAS[[#This Row],[Plano de Contas]],BASE!$B$3:$D$119,3,FALSE)</f>
        <v>Vigilancia e Seguranca</v>
      </c>
      <c r="I2986" s="77" t="str">
        <f>IFERROR(VLOOKUP(DESPESAS[[#This Row],[Fornecedor]],Tabela2[],2,FALSE),"")</f>
        <v>FERRAGENS GERAIS</v>
      </c>
      <c r="J2986" s="77" t="str">
        <f>IFERROR(VLOOKUP(DESPESAS[[#This Row],[Plano de Contas]],BASE!$B$3:$F$119,4,FALSE),"")</f>
        <v>7 - SERVIÇOS DE TERCEIROS</v>
      </c>
      <c r="K2986" s="77" t="str">
        <f>IFERROR(VLOOKUP(DESPESAS[[#This Row],[Plano de Contas]],BASE!$B$3:$H$119,5,FALSE),"")</f>
        <v>FINANCEIRO</v>
      </c>
      <c r="L2986" s="77">
        <f>IFERROR(VLOOKUP(DESPESAS[[#This Row],[Plano de Contas]],BASE!$B$3:$H$119,6,FALSE),"")</f>
        <v>0</v>
      </c>
      <c r="M2986" s="77" t="str">
        <f>VLOOKUP(DESPESAS[[#This Row],[Plano de Contas]],BASE!$B$3:$H$119,7,FALSE)</f>
        <v>LETÍCIA</v>
      </c>
    </row>
    <row r="2987" spans="1:13" x14ac:dyDescent="0.25">
      <c r="A2987" s="74">
        <v>200118</v>
      </c>
      <c r="B2987" s="75" t="s">
        <v>221</v>
      </c>
      <c r="C2987" s="75" t="s">
        <v>982</v>
      </c>
      <c r="D2987" s="76">
        <v>46114</v>
      </c>
      <c r="E2987" s="75" t="s">
        <v>631</v>
      </c>
      <c r="F2987" s="74">
        <v>75</v>
      </c>
      <c r="G2987" s="75" t="s">
        <v>630</v>
      </c>
      <c r="H2987" s="77" t="str">
        <f>VLOOKUP(DESPESAS[[#This Row],[Plano de Contas]],BASE!$B$3:$D$119,3,FALSE)</f>
        <v>Assistência Médica CIF</v>
      </c>
      <c r="I2987" s="77" t="str">
        <f>IFERROR(VLOOKUP(DESPESAS[[#This Row],[Fornecedor]],Tabela2[],2,FALSE),"")</f>
        <v/>
      </c>
      <c r="J2987" s="77" t="str">
        <f>IFERROR(VLOOKUP(DESPESAS[[#This Row],[Plano de Contas]],BASE!$B$3:$F$119,4,FALSE),"")</f>
        <v>3 - CUSTOS INDIRETOS</v>
      </c>
      <c r="K2987" s="77" t="str">
        <f>IFERROR(VLOOKUP(DESPESAS[[#This Row],[Plano de Contas]],BASE!$B$3:$H$119,5,FALSE),"")</f>
        <v>DH</v>
      </c>
      <c r="L2987" s="77">
        <f>IFERROR(VLOOKUP(DESPESAS[[#This Row],[Plano de Contas]],BASE!$B$3:$H$119,6,FALSE),"")</f>
        <v>0</v>
      </c>
      <c r="M2987" s="77" t="str">
        <f>VLOOKUP(DESPESAS[[#This Row],[Plano de Contas]],BASE!$B$3:$H$119,7,FALSE)</f>
        <v>RAFAEL</v>
      </c>
    </row>
    <row r="2988" spans="1:13" x14ac:dyDescent="0.25">
      <c r="A2988" s="74">
        <v>200119</v>
      </c>
      <c r="B2988" s="75" t="s">
        <v>221</v>
      </c>
      <c r="C2988" s="75" t="s">
        <v>981</v>
      </c>
      <c r="D2988" s="76">
        <v>46114</v>
      </c>
      <c r="E2988" s="75" t="s">
        <v>980</v>
      </c>
      <c r="F2988" s="74">
        <v>420</v>
      </c>
      <c r="G2988" s="75" t="s">
        <v>979</v>
      </c>
      <c r="H2988" s="77" t="str">
        <f>VLOOKUP(DESPESAS[[#This Row],[Plano de Contas]],BASE!$B$3:$D$119,3,FALSE)</f>
        <v>Assistência Médica MOD</v>
      </c>
      <c r="I2988" s="77" t="str">
        <f>IFERROR(VLOOKUP(DESPESAS[[#This Row],[Fornecedor]],Tabela2[],2,FALSE),"")</f>
        <v/>
      </c>
      <c r="J2988" s="77" t="str">
        <f>IFERROR(VLOOKUP(DESPESAS[[#This Row],[Plano de Contas]],BASE!$B$3:$F$119,4,FALSE),"")</f>
        <v>2 - CUSTOS DIRETOS</v>
      </c>
      <c r="K2988" s="77" t="str">
        <f>IFERROR(VLOOKUP(DESPESAS[[#This Row],[Plano de Contas]],BASE!$B$3:$H$119,5,FALSE),"")</f>
        <v>DH</v>
      </c>
      <c r="L2988" s="77" t="str">
        <f>IFERROR(VLOOKUP(DESPESAS[[#This Row],[Plano de Contas]],BASE!$B$3:$H$119,6,FALSE),"")</f>
        <v>CUSTO MÃO DE OBRA DIRETA</v>
      </c>
      <c r="M2988" s="77" t="str">
        <f>VLOOKUP(DESPESAS[[#This Row],[Plano de Contas]],BASE!$B$3:$H$119,7,FALSE)</f>
        <v>RAFAEL</v>
      </c>
    </row>
    <row r="2989" spans="1:13" x14ac:dyDescent="0.25">
      <c r="A2989" s="74">
        <v>200120</v>
      </c>
      <c r="B2989" s="75" t="s">
        <v>232</v>
      </c>
      <c r="C2989" s="75" t="s">
        <v>978</v>
      </c>
      <c r="D2989" s="76">
        <v>46113</v>
      </c>
      <c r="E2989" s="75" t="s">
        <v>230</v>
      </c>
      <c r="F2989" s="74">
        <v>12.64</v>
      </c>
      <c r="G2989" s="75" t="s">
        <v>236</v>
      </c>
      <c r="H2989" s="77" t="str">
        <f>VLOOKUP(DESPESAS[[#This Row],[Plano de Contas]],BASE!$B$3:$D$119,3,FALSE)</f>
        <v>Despesas de Cobranca</v>
      </c>
      <c r="I2989" s="77" t="str">
        <f>IFERROR(VLOOKUP(DESPESAS[[#This Row],[Fornecedor]],Tabela2[],2,FALSE),"")</f>
        <v/>
      </c>
      <c r="J2989" s="77" t="str">
        <f>IFERROR(VLOOKUP(DESPESAS[[#This Row],[Plano de Contas]],BASE!$B$3:$F$119,4,FALSE),"")</f>
        <v>8 - DESPESAS FINANCEIRAS</v>
      </c>
      <c r="K2989" s="77" t="str">
        <f>IFERROR(VLOOKUP(DESPESAS[[#This Row],[Plano de Contas]],BASE!$B$3:$H$119,5,FALSE),"")</f>
        <v>FINANCEIRO</v>
      </c>
      <c r="L2989" s="77">
        <f>IFERROR(VLOOKUP(DESPESAS[[#This Row],[Plano de Contas]],BASE!$B$3:$H$119,6,FALSE),"")</f>
        <v>0</v>
      </c>
      <c r="M2989" s="77" t="str">
        <f>VLOOKUP(DESPESAS[[#This Row],[Plano de Contas]],BASE!$B$3:$H$119,7,FALSE)</f>
        <v>LETÍCIA</v>
      </c>
    </row>
    <row r="2990" spans="1:13" x14ac:dyDescent="0.25">
      <c r="A2990" s="74">
        <v>200121</v>
      </c>
      <c r="B2990" s="75" t="s">
        <v>232</v>
      </c>
      <c r="C2990" s="75" t="s">
        <v>977</v>
      </c>
      <c r="D2990" s="76">
        <v>46114</v>
      </c>
      <c r="E2990" s="75" t="s">
        <v>230</v>
      </c>
      <c r="F2990" s="74">
        <v>1.9</v>
      </c>
      <c r="G2990" s="75" t="s">
        <v>229</v>
      </c>
      <c r="H2990" s="77" t="str">
        <f>VLOOKUP(DESPESAS[[#This Row],[Plano de Contas]],BASE!$B$3:$D$119,3,FALSE)</f>
        <v>Despesas Bancarias</v>
      </c>
      <c r="I2990" s="77" t="str">
        <f>IFERROR(VLOOKUP(DESPESAS[[#This Row],[Fornecedor]],Tabela2[],2,FALSE),"")</f>
        <v/>
      </c>
      <c r="J2990" s="77" t="str">
        <f>IFERROR(VLOOKUP(DESPESAS[[#This Row],[Plano de Contas]],BASE!$B$3:$F$119,4,FALSE),"")</f>
        <v>8 - DESPESAS FINANCEIRAS</v>
      </c>
      <c r="K2990" s="77" t="str">
        <f>IFERROR(VLOOKUP(DESPESAS[[#This Row],[Plano de Contas]],BASE!$B$3:$H$119,5,FALSE),"")</f>
        <v>FINANCEIRO</v>
      </c>
      <c r="L2990" s="77">
        <f>IFERROR(VLOOKUP(DESPESAS[[#This Row],[Plano de Contas]],BASE!$B$3:$H$119,6,FALSE),"")</f>
        <v>0</v>
      </c>
      <c r="M2990" s="77" t="str">
        <f>VLOOKUP(DESPESAS[[#This Row],[Plano de Contas]],BASE!$B$3:$H$119,7,FALSE)</f>
        <v>LETÍCIA</v>
      </c>
    </row>
    <row r="2991" spans="1:13" x14ac:dyDescent="0.25">
      <c r="A2991" s="74">
        <v>200122</v>
      </c>
      <c r="B2991" s="75" t="s">
        <v>281</v>
      </c>
      <c r="C2991" s="75" t="s">
        <v>976</v>
      </c>
      <c r="D2991" s="76">
        <v>46113</v>
      </c>
      <c r="E2991" s="75" t="s">
        <v>230</v>
      </c>
      <c r="F2991" s="74">
        <v>0.04</v>
      </c>
      <c r="G2991" s="75" t="s">
        <v>229</v>
      </c>
      <c r="H2991" s="77" t="str">
        <f>VLOOKUP(DESPESAS[[#This Row],[Plano de Contas]],BASE!$B$3:$D$119,3,FALSE)</f>
        <v>Despesas Bancarias</v>
      </c>
      <c r="I2991" s="77" t="str">
        <f>IFERROR(VLOOKUP(DESPESAS[[#This Row],[Fornecedor]],Tabela2[],2,FALSE),"")</f>
        <v/>
      </c>
      <c r="J2991" s="77" t="str">
        <f>IFERROR(VLOOKUP(DESPESAS[[#This Row],[Plano de Contas]],BASE!$B$3:$F$119,4,FALSE),"")</f>
        <v>8 - DESPESAS FINANCEIRAS</v>
      </c>
      <c r="K2991" s="77" t="str">
        <f>IFERROR(VLOOKUP(DESPESAS[[#This Row],[Plano de Contas]],BASE!$B$3:$H$119,5,FALSE),"")</f>
        <v>FINANCEIRO</v>
      </c>
      <c r="L2991" s="77">
        <f>IFERROR(VLOOKUP(DESPESAS[[#This Row],[Plano de Contas]],BASE!$B$3:$H$119,6,FALSE),"")</f>
        <v>0</v>
      </c>
      <c r="M2991" s="77" t="str">
        <f>VLOOKUP(DESPESAS[[#This Row],[Plano de Contas]],BASE!$B$3:$H$119,7,FALSE)</f>
        <v>LETÍCIA</v>
      </c>
    </row>
    <row r="2992" spans="1:13" x14ac:dyDescent="0.25">
      <c r="A2992" s="74">
        <v>200123</v>
      </c>
      <c r="B2992" s="75" t="s">
        <v>281</v>
      </c>
      <c r="C2992" s="75" t="s">
        <v>975</v>
      </c>
      <c r="D2992" s="76">
        <v>46113</v>
      </c>
      <c r="E2992" s="75" t="s">
        <v>230</v>
      </c>
      <c r="F2992" s="74">
        <v>0.79</v>
      </c>
      <c r="G2992" s="75" t="s">
        <v>236</v>
      </c>
      <c r="H2992" s="77" t="str">
        <f>VLOOKUP(DESPESAS[[#This Row],[Plano de Contas]],BASE!$B$3:$D$119,3,FALSE)</f>
        <v>Despesas de Cobranca</v>
      </c>
      <c r="I2992" s="77" t="str">
        <f>IFERROR(VLOOKUP(DESPESAS[[#This Row],[Fornecedor]],Tabela2[],2,FALSE),"")</f>
        <v/>
      </c>
      <c r="J2992" s="77" t="str">
        <f>IFERROR(VLOOKUP(DESPESAS[[#This Row],[Plano de Contas]],BASE!$B$3:$F$119,4,FALSE),"")</f>
        <v>8 - DESPESAS FINANCEIRAS</v>
      </c>
      <c r="K2992" s="77" t="str">
        <f>IFERROR(VLOOKUP(DESPESAS[[#This Row],[Plano de Contas]],BASE!$B$3:$H$119,5,FALSE),"")</f>
        <v>FINANCEIRO</v>
      </c>
      <c r="L2992" s="77">
        <f>IFERROR(VLOOKUP(DESPESAS[[#This Row],[Plano de Contas]],BASE!$B$3:$H$119,6,FALSE),"")</f>
        <v>0</v>
      </c>
      <c r="M2992" s="77" t="str">
        <f>VLOOKUP(DESPESAS[[#This Row],[Plano de Contas]],BASE!$B$3:$H$119,7,FALSE)</f>
        <v>LETÍCIA</v>
      </c>
    </row>
    <row r="2993" spans="1:13" x14ac:dyDescent="0.25">
      <c r="A2993" s="74">
        <v>200124</v>
      </c>
      <c r="B2993" s="75" t="s">
        <v>232</v>
      </c>
      <c r="C2993" s="75" t="s">
        <v>974</v>
      </c>
      <c r="D2993" s="76">
        <v>46113</v>
      </c>
      <c r="E2993" s="75" t="s">
        <v>575</v>
      </c>
      <c r="F2993" s="74">
        <v>1.9</v>
      </c>
      <c r="G2993" s="75" t="s">
        <v>236</v>
      </c>
      <c r="H2993" s="77" t="str">
        <f>VLOOKUP(DESPESAS[[#This Row],[Plano de Contas]],BASE!$B$3:$D$119,3,FALSE)</f>
        <v>Despesas de Cobranca</v>
      </c>
      <c r="I2993" s="77" t="str">
        <f>IFERROR(VLOOKUP(DESPESAS[[#This Row],[Fornecedor]],Tabela2[],2,FALSE),"")</f>
        <v/>
      </c>
      <c r="J2993" s="77" t="str">
        <f>IFERROR(VLOOKUP(DESPESAS[[#This Row],[Plano de Contas]],BASE!$B$3:$F$119,4,FALSE),"")</f>
        <v>8 - DESPESAS FINANCEIRAS</v>
      </c>
      <c r="K2993" s="77" t="str">
        <f>IFERROR(VLOOKUP(DESPESAS[[#This Row],[Plano de Contas]],BASE!$B$3:$H$119,5,FALSE),"")</f>
        <v>FINANCEIRO</v>
      </c>
      <c r="L2993" s="77">
        <f>IFERROR(VLOOKUP(DESPESAS[[#This Row],[Plano de Contas]],BASE!$B$3:$H$119,6,FALSE),"")</f>
        <v>0</v>
      </c>
      <c r="M2993" s="77" t="str">
        <f>VLOOKUP(DESPESAS[[#This Row],[Plano de Contas]],BASE!$B$3:$H$119,7,FALSE)</f>
        <v>LETÍCIA</v>
      </c>
    </row>
    <row r="2994" spans="1:13" x14ac:dyDescent="0.25">
      <c r="A2994" s="74">
        <v>200125</v>
      </c>
      <c r="B2994" s="75" t="s">
        <v>232</v>
      </c>
      <c r="C2994" s="75" t="s">
        <v>973</v>
      </c>
      <c r="D2994" s="76">
        <v>46113</v>
      </c>
      <c r="E2994" s="75" t="s">
        <v>230</v>
      </c>
      <c r="F2994" s="74">
        <v>60</v>
      </c>
      <c r="G2994" s="75" t="s">
        <v>229</v>
      </c>
      <c r="H2994" s="77" t="str">
        <f>VLOOKUP(DESPESAS[[#This Row],[Plano de Contas]],BASE!$B$3:$D$119,3,FALSE)</f>
        <v>Despesas Bancarias</v>
      </c>
      <c r="I2994" s="77" t="str">
        <f>IFERROR(VLOOKUP(DESPESAS[[#This Row],[Fornecedor]],Tabela2[],2,FALSE),"")</f>
        <v/>
      </c>
      <c r="J2994" s="77" t="str">
        <f>IFERROR(VLOOKUP(DESPESAS[[#This Row],[Plano de Contas]],BASE!$B$3:$F$119,4,FALSE),"")</f>
        <v>8 - DESPESAS FINANCEIRAS</v>
      </c>
      <c r="K2994" s="77" t="str">
        <f>IFERROR(VLOOKUP(DESPESAS[[#This Row],[Plano de Contas]],BASE!$B$3:$H$119,5,FALSE),"")</f>
        <v>FINANCEIRO</v>
      </c>
      <c r="L2994" s="77">
        <f>IFERROR(VLOOKUP(DESPESAS[[#This Row],[Plano de Contas]],BASE!$B$3:$H$119,6,FALSE),"")</f>
        <v>0</v>
      </c>
      <c r="M2994" s="77" t="str">
        <f>VLOOKUP(DESPESAS[[#This Row],[Plano de Contas]],BASE!$B$3:$H$119,7,FALSE)</f>
        <v>LETÍCIA</v>
      </c>
    </row>
    <row r="2995" spans="1:13" x14ac:dyDescent="0.25">
      <c r="A2995" s="74">
        <v>200126</v>
      </c>
      <c r="B2995" s="75" t="s">
        <v>279</v>
      </c>
      <c r="C2995" s="75" t="s">
        <v>972</v>
      </c>
      <c r="D2995" s="76">
        <v>46114</v>
      </c>
      <c r="E2995" s="75" t="s">
        <v>904</v>
      </c>
      <c r="F2995" s="74">
        <v>795.7</v>
      </c>
      <c r="G2995" s="75" t="s">
        <v>276</v>
      </c>
      <c r="H2995" s="77" t="str">
        <f>VLOOKUP(DESPESAS[[#This Row],[Plano de Contas]],BASE!$B$3:$D$119,3,FALSE)</f>
        <v>Férias MOD</v>
      </c>
      <c r="I2995" s="77" t="str">
        <f>IFERROR(VLOOKUP(DESPESAS[[#This Row],[Fornecedor]],Tabela2[],2,FALSE),"")</f>
        <v/>
      </c>
      <c r="J2995" s="77" t="str">
        <f>IFERROR(VLOOKUP(DESPESAS[[#This Row],[Plano de Contas]],BASE!$B$3:$F$119,4,FALSE),"")</f>
        <v>2 - CUSTOS DIRETOS</v>
      </c>
      <c r="K2995" s="77" t="str">
        <f>IFERROR(VLOOKUP(DESPESAS[[#This Row],[Plano de Contas]],BASE!$B$3:$H$119,5,FALSE),"")</f>
        <v>DH</v>
      </c>
      <c r="L2995" s="77" t="str">
        <f>IFERROR(VLOOKUP(DESPESAS[[#This Row],[Plano de Contas]],BASE!$B$3:$H$119,6,FALSE),"")</f>
        <v>CUSTO MÃO DE OBRA DIRETA</v>
      </c>
      <c r="M2995" s="77" t="str">
        <f>VLOOKUP(DESPESAS[[#This Row],[Plano de Contas]],BASE!$B$3:$H$119,7,FALSE)</f>
        <v>RAFAEL</v>
      </c>
    </row>
    <row r="2996" spans="1:13" x14ac:dyDescent="0.25">
      <c r="A2996" s="74">
        <v>200127</v>
      </c>
      <c r="B2996" s="75" t="s">
        <v>279</v>
      </c>
      <c r="C2996" s="75" t="s">
        <v>763</v>
      </c>
      <c r="D2996" s="76">
        <v>46114</v>
      </c>
      <c r="E2996" s="75" t="s">
        <v>917</v>
      </c>
      <c r="F2996" s="74">
        <v>1529.83</v>
      </c>
      <c r="G2996" s="75" t="s">
        <v>483</v>
      </c>
      <c r="H2996" s="77" t="str">
        <f>VLOOKUP(DESPESAS[[#This Row],[Plano de Contas]],BASE!$B$3:$D$119,3,FALSE)</f>
        <v>Ferias (Adm)</v>
      </c>
      <c r="I2996" s="77" t="str">
        <f>IFERROR(VLOOKUP(DESPESAS[[#This Row],[Fornecedor]],Tabela2[],2,FALSE),"")</f>
        <v/>
      </c>
      <c r="J2996" s="77" t="str">
        <f>IFERROR(VLOOKUP(DESPESAS[[#This Row],[Plano de Contas]],BASE!$B$3:$F$119,4,FALSE),"")</f>
        <v>4 - GASTOS COM PESSOAL</v>
      </c>
      <c r="K2996" s="77" t="str">
        <f>IFERROR(VLOOKUP(DESPESAS[[#This Row],[Plano de Contas]],BASE!$B$3:$H$119,5,FALSE),"")</f>
        <v>DH</v>
      </c>
      <c r="L2996" s="77">
        <f>IFERROR(VLOOKUP(DESPESAS[[#This Row],[Plano de Contas]],BASE!$B$3:$H$119,6,FALSE),"")</f>
        <v>0</v>
      </c>
      <c r="M2996" s="77" t="str">
        <f>VLOOKUP(DESPESAS[[#This Row],[Plano de Contas]],BASE!$B$3:$H$119,7,FALSE)</f>
        <v>RAFAEL</v>
      </c>
    </row>
    <row r="2997" spans="1:13" x14ac:dyDescent="0.25">
      <c r="A2997" s="74">
        <v>200128</v>
      </c>
      <c r="B2997" s="75" t="s">
        <v>221</v>
      </c>
      <c r="C2997" s="75" t="s">
        <v>971</v>
      </c>
      <c r="D2997" s="76">
        <v>46114</v>
      </c>
      <c r="E2997" s="75" t="s">
        <v>970</v>
      </c>
      <c r="F2997" s="74">
        <v>50</v>
      </c>
      <c r="G2997" s="75" t="s">
        <v>244</v>
      </c>
      <c r="H2997" s="77" t="str">
        <f>VLOOKUP(DESPESAS[[#This Row],[Plano de Contas]],BASE!$B$3:$D$119,3,FALSE)</f>
        <v>Material de Expediente (Prod)</v>
      </c>
      <c r="I2997" s="77" t="str">
        <f>IFERROR(VLOOKUP(DESPESAS[[#This Row],[Fornecedor]],Tabela2[],2,FALSE),"")</f>
        <v/>
      </c>
      <c r="J2997" s="77" t="str">
        <f>IFERROR(VLOOKUP(DESPESAS[[#This Row],[Plano de Contas]],BASE!$B$3:$F$119,4,FALSE),"")</f>
        <v>2 - CUSTOS DIRETOS</v>
      </c>
      <c r="K2997" s="77" t="str">
        <f>IFERROR(VLOOKUP(DESPESAS[[#This Row],[Plano de Contas]],BASE!$B$3:$H$119,5,FALSE),"")</f>
        <v>PRODUÇÃO</v>
      </c>
      <c r="L2997" s="77">
        <f>IFERROR(VLOOKUP(DESPESAS[[#This Row],[Plano de Contas]],BASE!$B$3:$H$119,6,FALSE),"")</f>
        <v>0</v>
      </c>
      <c r="M2997" s="77" t="str">
        <f>VLOOKUP(DESPESAS[[#This Row],[Plano de Contas]],BASE!$B$3:$H$119,7,FALSE)</f>
        <v>RAFAEL</v>
      </c>
    </row>
    <row r="2998" spans="1:13" x14ac:dyDescent="0.25">
      <c r="A2998" s="74">
        <v>200129</v>
      </c>
      <c r="B2998" s="75" t="s">
        <v>221</v>
      </c>
      <c r="C2998" s="75" t="s">
        <v>969</v>
      </c>
      <c r="D2998" s="76">
        <v>46114</v>
      </c>
      <c r="E2998" s="75" t="s">
        <v>968</v>
      </c>
      <c r="F2998" s="74">
        <v>76.8</v>
      </c>
      <c r="G2998" s="75" t="s">
        <v>222</v>
      </c>
      <c r="H2998" s="77" t="str">
        <f>VLOOKUP(DESPESAS[[#This Row],[Plano de Contas]],BASE!$B$3:$D$119,3,FALSE)</f>
        <v>Alimentação</v>
      </c>
      <c r="I2998" s="77" t="str">
        <f>IFERROR(VLOOKUP(DESPESAS[[#This Row],[Fornecedor]],Tabela2[],2,FALSE),"")</f>
        <v/>
      </c>
      <c r="J2998" s="77" t="str">
        <f>IFERROR(VLOOKUP(DESPESAS[[#This Row],[Plano de Contas]],BASE!$B$3:$F$119,4,FALSE),"")</f>
        <v>5 - DESPESAS ADMINISTRATIVAS</v>
      </c>
      <c r="K2998" s="77" t="str">
        <f>IFERROR(VLOOKUP(DESPESAS[[#This Row],[Plano de Contas]],BASE!$B$3:$H$119,5,FALSE),"")</f>
        <v>FINANCEIRO</v>
      </c>
      <c r="L2998" s="77">
        <f>IFERROR(VLOOKUP(DESPESAS[[#This Row],[Plano de Contas]],BASE!$B$3:$H$119,6,FALSE),"")</f>
        <v>0</v>
      </c>
      <c r="M2998" s="77" t="str">
        <f>VLOOKUP(DESPESAS[[#This Row],[Plano de Contas]],BASE!$B$3:$H$119,7,FALSE)</f>
        <v>MYLENA</v>
      </c>
    </row>
    <row r="2999" spans="1:13" x14ac:dyDescent="0.25">
      <c r="A2999" s="74">
        <v>200130</v>
      </c>
      <c r="B2999" s="75" t="s">
        <v>221</v>
      </c>
      <c r="C2999" s="75" t="s">
        <v>967</v>
      </c>
      <c r="D2999" s="76">
        <v>46114</v>
      </c>
      <c r="E2999" s="75" t="s">
        <v>570</v>
      </c>
      <c r="F2999" s="74">
        <v>6000</v>
      </c>
      <c r="G2999" s="75" t="s">
        <v>365</v>
      </c>
      <c r="H2999" s="77" t="str">
        <f>VLOOKUP(DESPESAS[[#This Row],[Plano de Contas]],BASE!$B$3:$D$119,3,FALSE)</f>
        <v>Pró-Labore</v>
      </c>
      <c r="I2999" s="77" t="str">
        <f>IFERROR(VLOOKUP(DESPESAS[[#This Row],[Fornecedor]],Tabela2[],2,FALSE),"")</f>
        <v/>
      </c>
      <c r="J2999" s="77" t="str">
        <f>IFERROR(VLOOKUP(DESPESAS[[#This Row],[Plano de Contas]],BASE!$B$3:$F$119,4,FALSE),"")</f>
        <v>4 - GASTOS COM PESSOAL</v>
      </c>
      <c r="K2999" s="77" t="str">
        <f>IFERROR(VLOOKUP(DESPESAS[[#This Row],[Plano de Contas]],BASE!$B$3:$H$119,5,FALSE),"")</f>
        <v>DIRETORIA</v>
      </c>
      <c r="L2999" s="77">
        <f>IFERROR(VLOOKUP(DESPESAS[[#This Row],[Plano de Contas]],BASE!$B$3:$H$119,6,FALSE),"")</f>
        <v>0</v>
      </c>
      <c r="M2999" s="77" t="str">
        <f>VLOOKUP(DESPESAS[[#This Row],[Plano de Contas]],BASE!$B$3:$H$119,7,FALSE)</f>
        <v>FÁBIO</v>
      </c>
    </row>
    <row r="3000" spans="1:13" x14ac:dyDescent="0.25">
      <c r="A3000" s="74">
        <v>200131</v>
      </c>
      <c r="B3000" s="75" t="s">
        <v>279</v>
      </c>
      <c r="C3000" s="75" t="s">
        <v>967</v>
      </c>
      <c r="D3000" s="76">
        <v>46114</v>
      </c>
      <c r="E3000" s="75" t="s">
        <v>368</v>
      </c>
      <c r="F3000" s="74">
        <v>6000</v>
      </c>
      <c r="G3000" s="75" t="s">
        <v>365</v>
      </c>
      <c r="H3000" s="77" t="str">
        <f>VLOOKUP(DESPESAS[[#This Row],[Plano de Contas]],BASE!$B$3:$D$119,3,FALSE)</f>
        <v>Pró-Labore</v>
      </c>
      <c r="I3000" s="77" t="str">
        <f>IFERROR(VLOOKUP(DESPESAS[[#This Row],[Fornecedor]],Tabela2[],2,FALSE),"")</f>
        <v/>
      </c>
      <c r="J3000" s="77" t="str">
        <f>IFERROR(VLOOKUP(DESPESAS[[#This Row],[Plano de Contas]],BASE!$B$3:$F$119,4,FALSE),"")</f>
        <v>4 - GASTOS COM PESSOAL</v>
      </c>
      <c r="K3000" s="77" t="str">
        <f>IFERROR(VLOOKUP(DESPESAS[[#This Row],[Plano de Contas]],BASE!$B$3:$H$119,5,FALSE),"")</f>
        <v>DIRETORIA</v>
      </c>
      <c r="L3000" s="77">
        <f>IFERROR(VLOOKUP(DESPESAS[[#This Row],[Plano de Contas]],BASE!$B$3:$H$119,6,FALSE),"")</f>
        <v>0</v>
      </c>
      <c r="M3000" s="77" t="str">
        <f>VLOOKUP(DESPESAS[[#This Row],[Plano de Contas]],BASE!$B$3:$H$119,7,FALSE)</f>
        <v>FÁBIO</v>
      </c>
    </row>
    <row r="3001" spans="1:13" x14ac:dyDescent="0.25">
      <c r="A3001" s="74">
        <v>200132</v>
      </c>
      <c r="B3001" s="75" t="s">
        <v>221</v>
      </c>
      <c r="C3001" s="75" t="s">
        <v>967</v>
      </c>
      <c r="D3001" s="76">
        <v>46114</v>
      </c>
      <c r="E3001" s="75" t="s">
        <v>366</v>
      </c>
      <c r="F3001" s="74">
        <v>6000</v>
      </c>
      <c r="G3001" s="75" t="s">
        <v>365</v>
      </c>
      <c r="H3001" s="77" t="str">
        <f>VLOOKUP(DESPESAS[[#This Row],[Plano de Contas]],BASE!$B$3:$D$119,3,FALSE)</f>
        <v>Pró-Labore</v>
      </c>
      <c r="I3001" s="77" t="str">
        <f>IFERROR(VLOOKUP(DESPESAS[[#This Row],[Fornecedor]],Tabela2[],2,FALSE),"")</f>
        <v/>
      </c>
      <c r="J3001" s="77" t="str">
        <f>IFERROR(VLOOKUP(DESPESAS[[#This Row],[Plano de Contas]],BASE!$B$3:$F$119,4,FALSE),"")</f>
        <v>4 - GASTOS COM PESSOAL</v>
      </c>
      <c r="K3001" s="77" t="str">
        <f>IFERROR(VLOOKUP(DESPESAS[[#This Row],[Plano de Contas]],BASE!$B$3:$H$119,5,FALSE),"")</f>
        <v>DIRETORIA</v>
      </c>
      <c r="L3001" s="77">
        <f>IFERROR(VLOOKUP(DESPESAS[[#This Row],[Plano de Contas]],BASE!$B$3:$H$119,6,FALSE),"")</f>
        <v>0</v>
      </c>
      <c r="M3001" s="77" t="str">
        <f>VLOOKUP(DESPESAS[[#This Row],[Plano de Contas]],BASE!$B$3:$H$119,7,FALSE)</f>
        <v>FÁBIO</v>
      </c>
    </row>
    <row r="3002" spans="1:13" x14ac:dyDescent="0.25">
      <c r="A3002" s="74">
        <v>200133</v>
      </c>
      <c r="B3002" s="75" t="s">
        <v>221</v>
      </c>
      <c r="C3002" s="75" t="s">
        <v>966</v>
      </c>
      <c r="D3002" s="76">
        <v>46114</v>
      </c>
      <c r="E3002" s="75" t="s">
        <v>256</v>
      </c>
      <c r="F3002" s="74">
        <v>1441.65</v>
      </c>
      <c r="G3002" s="75" t="s">
        <v>255</v>
      </c>
      <c r="H3002" s="77" t="str">
        <f>VLOOKUP(DESPESAS[[#This Row],[Plano de Contas]],BASE!$B$3:$D$119,3,FALSE)</f>
        <v>Mostruário de Tecido</v>
      </c>
      <c r="I3002" s="77" t="str">
        <f>IFERROR(VLOOKUP(DESPESAS[[#This Row],[Fornecedor]],Tabela2[],2,FALSE),"")</f>
        <v/>
      </c>
      <c r="J3002" s="77" t="str">
        <f>IFERROR(VLOOKUP(DESPESAS[[#This Row],[Plano de Contas]],BASE!$B$3:$F$119,4,FALSE),"")</f>
        <v>6 - DESPESA COM VENDAS</v>
      </c>
      <c r="K3002" s="77" t="str">
        <f>IFERROR(VLOOKUP(DESPESAS[[#This Row],[Plano de Contas]],BASE!$B$3:$H$119,5,FALSE),"")</f>
        <v>COMERCIAL</v>
      </c>
      <c r="L3002" s="77">
        <f>IFERROR(VLOOKUP(DESPESAS[[#This Row],[Plano de Contas]],BASE!$B$3:$H$119,6,FALSE),"")</f>
        <v>0</v>
      </c>
      <c r="M3002" s="77" t="str">
        <f>VLOOKUP(DESPESAS[[#This Row],[Plano de Contas]],BASE!$B$3:$H$119,7,FALSE)</f>
        <v>LETÍCIA</v>
      </c>
    </row>
    <row r="3003" spans="1:13" x14ac:dyDescent="0.25">
      <c r="A3003" s="74">
        <v>200134</v>
      </c>
      <c r="B3003" s="75" t="s">
        <v>221</v>
      </c>
      <c r="C3003" s="75" t="s">
        <v>965</v>
      </c>
      <c r="D3003" s="76">
        <v>46112</v>
      </c>
      <c r="E3003" s="75" t="s">
        <v>219</v>
      </c>
      <c r="F3003" s="74">
        <v>160</v>
      </c>
      <c r="G3003" s="75" t="s">
        <v>218</v>
      </c>
      <c r="H3003" s="77" t="str">
        <f>VLOOKUP(DESPESAS[[#This Row],[Plano de Contas]],BASE!$B$3:$D$119,3,FALSE)</f>
        <v>Manutenção de Equipamentos (Prod)</v>
      </c>
      <c r="I3003" s="77" t="str">
        <f>IFERROR(VLOOKUP(DESPESAS[[#This Row],[Fornecedor]],Tabela2[],2,FALSE),"")</f>
        <v>MAQUINAS DE COSTURA</v>
      </c>
      <c r="J3003" s="77" t="str">
        <f>IFERROR(VLOOKUP(DESPESAS[[#This Row],[Plano de Contas]],BASE!$B$3:$F$119,4,FALSE),"")</f>
        <v>3 - CUSTOS INDIRETOS</v>
      </c>
      <c r="K3003" s="77" t="str">
        <f>IFERROR(VLOOKUP(DESPESAS[[#This Row],[Plano de Contas]],BASE!$B$3:$H$119,5,FALSE),"")</f>
        <v>MANUTENÇÃO / TI</v>
      </c>
      <c r="L3003" s="77">
        <f>IFERROR(VLOOKUP(DESPESAS[[#This Row],[Plano de Contas]],BASE!$B$3:$H$119,6,FALSE),"")</f>
        <v>0</v>
      </c>
      <c r="M3003" s="77" t="str">
        <f>VLOOKUP(DESPESAS[[#This Row],[Plano de Contas]],BASE!$B$3:$H$119,7,FALSE)</f>
        <v>RAFAEL</v>
      </c>
    </row>
    <row r="3004" spans="1:13" x14ac:dyDescent="0.25">
      <c r="A3004" s="74">
        <v>200135</v>
      </c>
      <c r="B3004" s="75" t="s">
        <v>281</v>
      </c>
      <c r="C3004" s="75" t="s">
        <v>865</v>
      </c>
      <c r="D3004" s="76">
        <v>46112</v>
      </c>
      <c r="E3004" s="75" t="s">
        <v>964</v>
      </c>
      <c r="F3004" s="74">
        <v>2174.35</v>
      </c>
      <c r="G3004" s="75" t="s">
        <v>430</v>
      </c>
      <c r="H3004" s="77" t="str">
        <f>VLOOKUP(DESPESAS[[#This Row],[Plano de Contas]],BASE!$B$3:$D$119,3,FALSE)</f>
        <v>Salarios e Ordenados MOD</v>
      </c>
      <c r="I3004" s="77" t="str">
        <f>IFERROR(VLOOKUP(DESPESAS[[#This Row],[Fornecedor]],Tabela2[],2,FALSE),"")</f>
        <v/>
      </c>
      <c r="J3004" s="77" t="str">
        <f>IFERROR(VLOOKUP(DESPESAS[[#This Row],[Plano de Contas]],BASE!$B$3:$F$119,4,FALSE),"")</f>
        <v>2 - CUSTOS DIRETOS</v>
      </c>
      <c r="K3004" s="77" t="str">
        <f>IFERROR(VLOOKUP(DESPESAS[[#This Row],[Plano de Contas]],BASE!$B$3:$H$119,5,FALSE),"")</f>
        <v>DH</v>
      </c>
      <c r="L3004" s="77" t="str">
        <f>IFERROR(VLOOKUP(DESPESAS[[#This Row],[Plano de Contas]],BASE!$B$3:$H$119,6,FALSE),"")</f>
        <v>CUSTO MÃO DE OBRA DIRETA</v>
      </c>
      <c r="M3004" s="77" t="str">
        <f>VLOOKUP(DESPESAS[[#This Row],[Plano de Contas]],BASE!$B$3:$H$119,7,FALSE)</f>
        <v>RAFAEL</v>
      </c>
    </row>
    <row r="3005" spans="1:13" x14ac:dyDescent="0.25">
      <c r="A3005" s="74">
        <v>200136</v>
      </c>
      <c r="B3005" s="75" t="s">
        <v>281</v>
      </c>
      <c r="C3005" s="75" t="s">
        <v>865</v>
      </c>
      <c r="D3005" s="76">
        <v>46112</v>
      </c>
      <c r="E3005" s="75" t="s">
        <v>963</v>
      </c>
      <c r="F3005" s="74">
        <v>2859.02</v>
      </c>
      <c r="G3005" s="75" t="s">
        <v>430</v>
      </c>
      <c r="H3005" s="77" t="str">
        <f>VLOOKUP(DESPESAS[[#This Row],[Plano de Contas]],BASE!$B$3:$D$119,3,FALSE)</f>
        <v>Salarios e Ordenados MOD</v>
      </c>
      <c r="I3005" s="77" t="str">
        <f>IFERROR(VLOOKUP(DESPESAS[[#This Row],[Fornecedor]],Tabela2[],2,FALSE),"")</f>
        <v/>
      </c>
      <c r="J3005" s="77" t="str">
        <f>IFERROR(VLOOKUP(DESPESAS[[#This Row],[Plano de Contas]],BASE!$B$3:$F$119,4,FALSE),"")</f>
        <v>2 - CUSTOS DIRETOS</v>
      </c>
      <c r="K3005" s="77" t="str">
        <f>IFERROR(VLOOKUP(DESPESAS[[#This Row],[Plano de Contas]],BASE!$B$3:$H$119,5,FALSE),"")</f>
        <v>DH</v>
      </c>
      <c r="L3005" s="77" t="str">
        <f>IFERROR(VLOOKUP(DESPESAS[[#This Row],[Plano de Contas]],BASE!$B$3:$H$119,6,FALSE),"")</f>
        <v>CUSTO MÃO DE OBRA DIRETA</v>
      </c>
      <c r="M3005" s="77" t="str">
        <f>VLOOKUP(DESPESAS[[#This Row],[Plano de Contas]],BASE!$B$3:$H$119,7,FALSE)</f>
        <v>RAFAEL</v>
      </c>
    </row>
    <row r="3006" spans="1:13" x14ac:dyDescent="0.25">
      <c r="A3006" s="74">
        <v>200137</v>
      </c>
      <c r="B3006" s="75" t="s">
        <v>281</v>
      </c>
      <c r="C3006" s="75" t="s">
        <v>865</v>
      </c>
      <c r="D3006" s="76">
        <v>46112</v>
      </c>
      <c r="E3006" s="75" t="s">
        <v>962</v>
      </c>
      <c r="F3006" s="74">
        <v>4014.36</v>
      </c>
      <c r="G3006" s="75" t="s">
        <v>653</v>
      </c>
      <c r="H3006" s="77" t="str">
        <f>VLOOKUP(DESPESAS[[#This Row],[Plano de Contas]],BASE!$B$3:$D$119,3,FALSE)</f>
        <v>Salarios e Ordenados CIF</v>
      </c>
      <c r="I3006" s="77" t="str">
        <f>IFERROR(VLOOKUP(DESPESAS[[#This Row],[Fornecedor]],Tabela2[],2,FALSE),"")</f>
        <v/>
      </c>
      <c r="J3006" s="77" t="str">
        <f>IFERROR(VLOOKUP(DESPESAS[[#This Row],[Plano de Contas]],BASE!$B$3:$F$119,4,FALSE),"")</f>
        <v>3 - CUSTOS INDIRETOS</v>
      </c>
      <c r="K3006" s="77" t="str">
        <f>IFERROR(VLOOKUP(DESPESAS[[#This Row],[Plano de Contas]],BASE!$B$3:$H$119,5,FALSE),"")</f>
        <v>DH</v>
      </c>
      <c r="L3006" s="77" t="str">
        <f>IFERROR(VLOOKUP(DESPESAS[[#This Row],[Plano de Contas]],BASE!$B$3:$H$119,6,FALSE),"")</f>
        <v>CUSTO MÃO DE OBRA DIRETA</v>
      </c>
      <c r="M3006" s="77" t="str">
        <f>VLOOKUP(DESPESAS[[#This Row],[Plano de Contas]],BASE!$B$3:$H$119,7,FALSE)</f>
        <v>RAFAEL</v>
      </c>
    </row>
    <row r="3007" spans="1:13" x14ac:dyDescent="0.25">
      <c r="A3007" s="74">
        <v>200138</v>
      </c>
      <c r="B3007" s="75" t="s">
        <v>281</v>
      </c>
      <c r="C3007" s="75" t="s">
        <v>865</v>
      </c>
      <c r="D3007" s="76">
        <v>46112</v>
      </c>
      <c r="E3007" s="75" t="s">
        <v>961</v>
      </c>
      <c r="F3007" s="74">
        <v>2013.15</v>
      </c>
      <c r="G3007" s="75" t="s">
        <v>653</v>
      </c>
      <c r="H3007" s="77" t="str">
        <f>VLOOKUP(DESPESAS[[#This Row],[Plano de Contas]],BASE!$B$3:$D$119,3,FALSE)</f>
        <v>Salarios e Ordenados CIF</v>
      </c>
      <c r="I3007" s="77" t="str">
        <f>IFERROR(VLOOKUP(DESPESAS[[#This Row],[Fornecedor]],Tabela2[],2,FALSE),"")</f>
        <v/>
      </c>
      <c r="J3007" s="77" t="str">
        <f>IFERROR(VLOOKUP(DESPESAS[[#This Row],[Plano de Contas]],BASE!$B$3:$F$119,4,FALSE),"")</f>
        <v>3 - CUSTOS INDIRETOS</v>
      </c>
      <c r="K3007" s="77" t="str">
        <f>IFERROR(VLOOKUP(DESPESAS[[#This Row],[Plano de Contas]],BASE!$B$3:$H$119,5,FALSE),"")</f>
        <v>DH</v>
      </c>
      <c r="L3007" s="77" t="str">
        <f>IFERROR(VLOOKUP(DESPESAS[[#This Row],[Plano de Contas]],BASE!$B$3:$H$119,6,FALSE),"")</f>
        <v>CUSTO MÃO DE OBRA DIRETA</v>
      </c>
      <c r="M3007" s="77" t="str">
        <f>VLOOKUP(DESPESAS[[#This Row],[Plano de Contas]],BASE!$B$3:$H$119,7,FALSE)</f>
        <v>RAFAEL</v>
      </c>
    </row>
    <row r="3008" spans="1:13" x14ac:dyDescent="0.25">
      <c r="A3008" s="74">
        <v>200139</v>
      </c>
      <c r="B3008" s="75" t="s">
        <v>281</v>
      </c>
      <c r="C3008" s="75" t="s">
        <v>865</v>
      </c>
      <c r="D3008" s="76">
        <v>46112</v>
      </c>
      <c r="E3008" s="75" t="s">
        <v>960</v>
      </c>
      <c r="F3008" s="74">
        <v>2799.31</v>
      </c>
      <c r="G3008" s="75" t="s">
        <v>430</v>
      </c>
      <c r="H3008" s="77" t="str">
        <f>VLOOKUP(DESPESAS[[#This Row],[Plano de Contas]],BASE!$B$3:$D$119,3,FALSE)</f>
        <v>Salarios e Ordenados MOD</v>
      </c>
      <c r="I3008" s="77" t="str">
        <f>IFERROR(VLOOKUP(DESPESAS[[#This Row],[Fornecedor]],Tabela2[],2,FALSE),"")</f>
        <v/>
      </c>
      <c r="J3008" s="77" t="str">
        <f>IFERROR(VLOOKUP(DESPESAS[[#This Row],[Plano de Contas]],BASE!$B$3:$F$119,4,FALSE),"")</f>
        <v>2 - CUSTOS DIRETOS</v>
      </c>
      <c r="K3008" s="77" t="str">
        <f>IFERROR(VLOOKUP(DESPESAS[[#This Row],[Plano de Contas]],BASE!$B$3:$H$119,5,FALSE),"")</f>
        <v>DH</v>
      </c>
      <c r="L3008" s="77" t="str">
        <f>IFERROR(VLOOKUP(DESPESAS[[#This Row],[Plano de Contas]],BASE!$B$3:$H$119,6,FALSE),"")</f>
        <v>CUSTO MÃO DE OBRA DIRETA</v>
      </c>
      <c r="M3008" s="77" t="str">
        <f>VLOOKUP(DESPESAS[[#This Row],[Plano de Contas]],BASE!$B$3:$H$119,7,FALSE)</f>
        <v>RAFAEL</v>
      </c>
    </row>
    <row r="3009" spans="1:13" x14ac:dyDescent="0.25">
      <c r="A3009" s="74">
        <v>200140</v>
      </c>
      <c r="B3009" s="75" t="s">
        <v>281</v>
      </c>
      <c r="C3009" s="75" t="s">
        <v>865</v>
      </c>
      <c r="D3009" s="76">
        <v>46112</v>
      </c>
      <c r="E3009" s="75" t="s">
        <v>959</v>
      </c>
      <c r="F3009" s="74">
        <v>1986.28</v>
      </c>
      <c r="G3009" s="75" t="s">
        <v>627</v>
      </c>
      <c r="H3009" s="77" t="str">
        <f>VLOOKUP(DESPESAS[[#This Row],[Plano de Contas]],BASE!$B$3:$D$119,3,FALSE)</f>
        <v>Salarios e Ordenados (Adm)</v>
      </c>
      <c r="I3009" s="77" t="str">
        <f>IFERROR(VLOOKUP(DESPESAS[[#This Row],[Fornecedor]],Tabela2[],2,FALSE),"")</f>
        <v/>
      </c>
      <c r="J3009" s="77" t="str">
        <f>IFERROR(VLOOKUP(DESPESAS[[#This Row],[Plano de Contas]],BASE!$B$3:$F$119,4,FALSE),"")</f>
        <v>4 - GASTOS COM PESSOAL</v>
      </c>
      <c r="K3009" s="77" t="str">
        <f>IFERROR(VLOOKUP(DESPESAS[[#This Row],[Plano de Contas]],BASE!$B$3:$H$119,5,FALSE),"")</f>
        <v>DH</v>
      </c>
      <c r="L3009" s="77">
        <f>IFERROR(VLOOKUP(DESPESAS[[#This Row],[Plano de Contas]],BASE!$B$3:$H$119,6,FALSE),"")</f>
        <v>0</v>
      </c>
      <c r="M3009" s="77" t="str">
        <f>VLOOKUP(DESPESAS[[#This Row],[Plano de Contas]],BASE!$B$3:$H$119,7,FALSE)</f>
        <v>RAFAEL</v>
      </c>
    </row>
    <row r="3010" spans="1:13" x14ac:dyDescent="0.25">
      <c r="A3010" s="74">
        <v>200141</v>
      </c>
      <c r="B3010" s="75" t="s">
        <v>281</v>
      </c>
      <c r="C3010" s="75" t="s">
        <v>865</v>
      </c>
      <c r="D3010" s="76">
        <v>46112</v>
      </c>
      <c r="E3010" s="75" t="s">
        <v>469</v>
      </c>
      <c r="F3010" s="74">
        <v>2241.56</v>
      </c>
      <c r="G3010" s="75" t="s">
        <v>430</v>
      </c>
      <c r="H3010" s="77" t="str">
        <f>VLOOKUP(DESPESAS[[#This Row],[Plano de Contas]],BASE!$B$3:$D$119,3,FALSE)</f>
        <v>Salarios e Ordenados MOD</v>
      </c>
      <c r="I3010" s="77" t="str">
        <f>IFERROR(VLOOKUP(DESPESAS[[#This Row],[Fornecedor]],Tabela2[],2,FALSE),"")</f>
        <v/>
      </c>
      <c r="J3010" s="77" t="str">
        <f>IFERROR(VLOOKUP(DESPESAS[[#This Row],[Plano de Contas]],BASE!$B$3:$F$119,4,FALSE),"")</f>
        <v>2 - CUSTOS DIRETOS</v>
      </c>
      <c r="K3010" s="77" t="str">
        <f>IFERROR(VLOOKUP(DESPESAS[[#This Row],[Plano de Contas]],BASE!$B$3:$H$119,5,FALSE),"")</f>
        <v>DH</v>
      </c>
      <c r="L3010" s="77" t="str">
        <f>IFERROR(VLOOKUP(DESPESAS[[#This Row],[Plano de Contas]],BASE!$B$3:$H$119,6,FALSE),"")</f>
        <v>CUSTO MÃO DE OBRA DIRETA</v>
      </c>
      <c r="M3010" s="77" t="str">
        <f>VLOOKUP(DESPESAS[[#This Row],[Plano de Contas]],BASE!$B$3:$H$119,7,FALSE)</f>
        <v>RAFAEL</v>
      </c>
    </row>
    <row r="3011" spans="1:13" x14ac:dyDescent="0.25">
      <c r="A3011" s="74">
        <v>200142</v>
      </c>
      <c r="B3011" s="75" t="s">
        <v>281</v>
      </c>
      <c r="C3011" s="75" t="s">
        <v>865</v>
      </c>
      <c r="D3011" s="76">
        <v>46112</v>
      </c>
      <c r="E3011" s="75" t="s">
        <v>958</v>
      </c>
      <c r="F3011" s="74">
        <v>2394.5700000000002</v>
      </c>
      <c r="G3011" s="75" t="s">
        <v>627</v>
      </c>
      <c r="H3011" s="77" t="str">
        <f>VLOOKUP(DESPESAS[[#This Row],[Plano de Contas]],BASE!$B$3:$D$119,3,FALSE)</f>
        <v>Salarios e Ordenados (Adm)</v>
      </c>
      <c r="I3011" s="77" t="str">
        <f>IFERROR(VLOOKUP(DESPESAS[[#This Row],[Fornecedor]],Tabela2[],2,FALSE),"")</f>
        <v/>
      </c>
      <c r="J3011" s="77" t="str">
        <f>IFERROR(VLOOKUP(DESPESAS[[#This Row],[Plano de Contas]],BASE!$B$3:$F$119,4,FALSE),"")</f>
        <v>4 - GASTOS COM PESSOAL</v>
      </c>
      <c r="K3011" s="77" t="str">
        <f>IFERROR(VLOOKUP(DESPESAS[[#This Row],[Plano de Contas]],BASE!$B$3:$H$119,5,FALSE),"")</f>
        <v>DH</v>
      </c>
      <c r="L3011" s="77">
        <f>IFERROR(VLOOKUP(DESPESAS[[#This Row],[Plano de Contas]],BASE!$B$3:$H$119,6,FALSE),"")</f>
        <v>0</v>
      </c>
      <c r="M3011" s="77" t="str">
        <f>VLOOKUP(DESPESAS[[#This Row],[Plano de Contas]],BASE!$B$3:$H$119,7,FALSE)</f>
        <v>RAFAEL</v>
      </c>
    </row>
    <row r="3012" spans="1:13" x14ac:dyDescent="0.25">
      <c r="A3012" s="74">
        <v>200143</v>
      </c>
      <c r="B3012" s="75" t="s">
        <v>281</v>
      </c>
      <c r="C3012" s="75" t="s">
        <v>865</v>
      </c>
      <c r="D3012" s="76">
        <v>46112</v>
      </c>
      <c r="E3012" s="75" t="s">
        <v>957</v>
      </c>
      <c r="F3012" s="74">
        <v>2440.2600000000002</v>
      </c>
      <c r="G3012" s="75" t="s">
        <v>430</v>
      </c>
      <c r="H3012" s="77" t="str">
        <f>VLOOKUP(DESPESAS[[#This Row],[Plano de Contas]],BASE!$B$3:$D$119,3,FALSE)</f>
        <v>Salarios e Ordenados MOD</v>
      </c>
      <c r="I3012" s="77" t="str">
        <f>IFERROR(VLOOKUP(DESPESAS[[#This Row],[Fornecedor]],Tabela2[],2,FALSE),"")</f>
        <v/>
      </c>
      <c r="J3012" s="77" t="str">
        <f>IFERROR(VLOOKUP(DESPESAS[[#This Row],[Plano de Contas]],BASE!$B$3:$F$119,4,FALSE),"")</f>
        <v>2 - CUSTOS DIRETOS</v>
      </c>
      <c r="K3012" s="77" t="str">
        <f>IFERROR(VLOOKUP(DESPESAS[[#This Row],[Plano de Contas]],BASE!$B$3:$H$119,5,FALSE),"")</f>
        <v>DH</v>
      </c>
      <c r="L3012" s="77" t="str">
        <f>IFERROR(VLOOKUP(DESPESAS[[#This Row],[Plano de Contas]],BASE!$B$3:$H$119,6,FALSE),"")</f>
        <v>CUSTO MÃO DE OBRA DIRETA</v>
      </c>
      <c r="M3012" s="77" t="str">
        <f>VLOOKUP(DESPESAS[[#This Row],[Plano de Contas]],BASE!$B$3:$H$119,7,FALSE)</f>
        <v>RAFAEL</v>
      </c>
    </row>
    <row r="3013" spans="1:13" x14ac:dyDescent="0.25">
      <c r="A3013" s="74">
        <v>200144</v>
      </c>
      <c r="B3013" s="75" t="s">
        <v>281</v>
      </c>
      <c r="C3013" s="75" t="s">
        <v>865</v>
      </c>
      <c r="D3013" s="76">
        <v>46112</v>
      </c>
      <c r="E3013" s="75" t="s">
        <v>845</v>
      </c>
      <c r="F3013" s="74">
        <v>2323.7199999999998</v>
      </c>
      <c r="G3013" s="75" t="s">
        <v>430</v>
      </c>
      <c r="H3013" s="77" t="str">
        <f>VLOOKUP(DESPESAS[[#This Row],[Plano de Contas]],BASE!$B$3:$D$119,3,FALSE)</f>
        <v>Salarios e Ordenados MOD</v>
      </c>
      <c r="I3013" s="77" t="str">
        <f>IFERROR(VLOOKUP(DESPESAS[[#This Row],[Fornecedor]],Tabela2[],2,FALSE),"")</f>
        <v/>
      </c>
      <c r="J3013" s="77" t="str">
        <f>IFERROR(VLOOKUP(DESPESAS[[#This Row],[Plano de Contas]],BASE!$B$3:$F$119,4,FALSE),"")</f>
        <v>2 - CUSTOS DIRETOS</v>
      </c>
      <c r="K3013" s="77" t="str">
        <f>IFERROR(VLOOKUP(DESPESAS[[#This Row],[Plano de Contas]],BASE!$B$3:$H$119,5,FALSE),"")</f>
        <v>DH</v>
      </c>
      <c r="L3013" s="77" t="str">
        <f>IFERROR(VLOOKUP(DESPESAS[[#This Row],[Plano de Contas]],BASE!$B$3:$H$119,6,FALSE),"")</f>
        <v>CUSTO MÃO DE OBRA DIRETA</v>
      </c>
      <c r="M3013" s="77" t="str">
        <f>VLOOKUP(DESPESAS[[#This Row],[Plano de Contas]],BASE!$B$3:$H$119,7,FALSE)</f>
        <v>RAFAEL</v>
      </c>
    </row>
    <row r="3014" spans="1:13" x14ac:dyDescent="0.25">
      <c r="A3014" s="74">
        <v>200145</v>
      </c>
      <c r="B3014" s="75" t="s">
        <v>281</v>
      </c>
      <c r="C3014" s="75" t="s">
        <v>865</v>
      </c>
      <c r="D3014" s="76">
        <v>46112</v>
      </c>
      <c r="E3014" s="75" t="s">
        <v>956</v>
      </c>
      <c r="F3014" s="74">
        <v>1986.28</v>
      </c>
      <c r="G3014" s="75" t="s">
        <v>430</v>
      </c>
      <c r="H3014" s="77" t="str">
        <f>VLOOKUP(DESPESAS[[#This Row],[Plano de Contas]],BASE!$B$3:$D$119,3,FALSE)</f>
        <v>Salarios e Ordenados MOD</v>
      </c>
      <c r="I3014" s="77" t="str">
        <f>IFERROR(VLOOKUP(DESPESAS[[#This Row],[Fornecedor]],Tabela2[],2,FALSE),"")</f>
        <v/>
      </c>
      <c r="J3014" s="77" t="str">
        <f>IFERROR(VLOOKUP(DESPESAS[[#This Row],[Plano de Contas]],BASE!$B$3:$F$119,4,FALSE),"")</f>
        <v>2 - CUSTOS DIRETOS</v>
      </c>
      <c r="K3014" s="77" t="str">
        <f>IFERROR(VLOOKUP(DESPESAS[[#This Row],[Plano de Contas]],BASE!$B$3:$H$119,5,FALSE),"")</f>
        <v>DH</v>
      </c>
      <c r="L3014" s="77" t="str">
        <f>IFERROR(VLOOKUP(DESPESAS[[#This Row],[Plano de Contas]],BASE!$B$3:$H$119,6,FALSE),"")</f>
        <v>CUSTO MÃO DE OBRA DIRETA</v>
      </c>
      <c r="M3014" s="77" t="str">
        <f>VLOOKUP(DESPESAS[[#This Row],[Plano de Contas]],BASE!$B$3:$H$119,7,FALSE)</f>
        <v>RAFAEL</v>
      </c>
    </row>
    <row r="3015" spans="1:13" x14ac:dyDescent="0.25">
      <c r="A3015" s="74">
        <v>200146</v>
      </c>
      <c r="B3015" s="75" t="s">
        <v>281</v>
      </c>
      <c r="C3015" s="75" t="s">
        <v>865</v>
      </c>
      <c r="D3015" s="76">
        <v>46112</v>
      </c>
      <c r="E3015" s="75" t="s">
        <v>766</v>
      </c>
      <c r="F3015" s="74">
        <v>2464.73</v>
      </c>
      <c r="G3015" s="75" t="s">
        <v>430</v>
      </c>
      <c r="H3015" s="77" t="str">
        <f>VLOOKUP(DESPESAS[[#This Row],[Plano de Contas]],BASE!$B$3:$D$119,3,FALSE)</f>
        <v>Salarios e Ordenados MOD</v>
      </c>
      <c r="I3015" s="77" t="str">
        <f>IFERROR(VLOOKUP(DESPESAS[[#This Row],[Fornecedor]],Tabela2[],2,FALSE),"")</f>
        <v/>
      </c>
      <c r="J3015" s="77" t="str">
        <f>IFERROR(VLOOKUP(DESPESAS[[#This Row],[Plano de Contas]],BASE!$B$3:$F$119,4,FALSE),"")</f>
        <v>2 - CUSTOS DIRETOS</v>
      </c>
      <c r="K3015" s="77" t="str">
        <f>IFERROR(VLOOKUP(DESPESAS[[#This Row],[Plano de Contas]],BASE!$B$3:$H$119,5,FALSE),"")</f>
        <v>DH</v>
      </c>
      <c r="L3015" s="77" t="str">
        <f>IFERROR(VLOOKUP(DESPESAS[[#This Row],[Plano de Contas]],BASE!$B$3:$H$119,6,FALSE),"")</f>
        <v>CUSTO MÃO DE OBRA DIRETA</v>
      </c>
      <c r="M3015" s="77" t="str">
        <f>VLOOKUP(DESPESAS[[#This Row],[Plano de Contas]],BASE!$B$3:$H$119,7,FALSE)</f>
        <v>RAFAEL</v>
      </c>
    </row>
    <row r="3016" spans="1:13" x14ac:dyDescent="0.25">
      <c r="A3016" s="74">
        <v>200147</v>
      </c>
      <c r="B3016" s="75" t="s">
        <v>281</v>
      </c>
      <c r="C3016" s="75" t="s">
        <v>865</v>
      </c>
      <c r="D3016" s="76">
        <v>46112</v>
      </c>
      <c r="E3016" s="75" t="s">
        <v>955</v>
      </c>
      <c r="F3016" s="74">
        <v>2736.1</v>
      </c>
      <c r="G3016" s="75" t="s">
        <v>430</v>
      </c>
      <c r="H3016" s="77" t="str">
        <f>VLOOKUP(DESPESAS[[#This Row],[Plano de Contas]],BASE!$B$3:$D$119,3,FALSE)</f>
        <v>Salarios e Ordenados MOD</v>
      </c>
      <c r="I3016" s="77" t="str">
        <f>IFERROR(VLOOKUP(DESPESAS[[#This Row],[Fornecedor]],Tabela2[],2,FALSE),"")</f>
        <v/>
      </c>
      <c r="J3016" s="77" t="str">
        <f>IFERROR(VLOOKUP(DESPESAS[[#This Row],[Plano de Contas]],BASE!$B$3:$F$119,4,FALSE),"")</f>
        <v>2 - CUSTOS DIRETOS</v>
      </c>
      <c r="K3016" s="77" t="str">
        <f>IFERROR(VLOOKUP(DESPESAS[[#This Row],[Plano de Contas]],BASE!$B$3:$H$119,5,FALSE),"")</f>
        <v>DH</v>
      </c>
      <c r="L3016" s="77" t="str">
        <f>IFERROR(VLOOKUP(DESPESAS[[#This Row],[Plano de Contas]],BASE!$B$3:$H$119,6,FALSE),"")</f>
        <v>CUSTO MÃO DE OBRA DIRETA</v>
      </c>
      <c r="M3016" s="77" t="str">
        <f>VLOOKUP(DESPESAS[[#This Row],[Plano de Contas]],BASE!$B$3:$H$119,7,FALSE)</f>
        <v>RAFAEL</v>
      </c>
    </row>
    <row r="3017" spans="1:13" x14ac:dyDescent="0.25">
      <c r="A3017" s="74">
        <v>200148</v>
      </c>
      <c r="B3017" s="75" t="s">
        <v>281</v>
      </c>
      <c r="C3017" s="75" t="s">
        <v>865</v>
      </c>
      <c r="D3017" s="76">
        <v>46112</v>
      </c>
      <c r="E3017" s="75" t="s">
        <v>954</v>
      </c>
      <c r="F3017" s="74">
        <v>1068.01</v>
      </c>
      <c r="G3017" s="75" t="s">
        <v>430</v>
      </c>
      <c r="H3017" s="77" t="str">
        <f>VLOOKUP(DESPESAS[[#This Row],[Plano de Contas]],BASE!$B$3:$D$119,3,FALSE)</f>
        <v>Salarios e Ordenados MOD</v>
      </c>
      <c r="I3017" s="77" t="str">
        <f>IFERROR(VLOOKUP(DESPESAS[[#This Row],[Fornecedor]],Tabela2[],2,FALSE),"")</f>
        <v/>
      </c>
      <c r="J3017" s="77" t="str">
        <f>IFERROR(VLOOKUP(DESPESAS[[#This Row],[Plano de Contas]],BASE!$B$3:$F$119,4,FALSE),"")</f>
        <v>2 - CUSTOS DIRETOS</v>
      </c>
      <c r="K3017" s="77" t="str">
        <f>IFERROR(VLOOKUP(DESPESAS[[#This Row],[Plano de Contas]],BASE!$B$3:$H$119,5,FALSE),"")</f>
        <v>DH</v>
      </c>
      <c r="L3017" s="77" t="str">
        <f>IFERROR(VLOOKUP(DESPESAS[[#This Row],[Plano de Contas]],BASE!$B$3:$H$119,6,FALSE),"")</f>
        <v>CUSTO MÃO DE OBRA DIRETA</v>
      </c>
      <c r="M3017" s="77" t="str">
        <f>VLOOKUP(DESPESAS[[#This Row],[Plano de Contas]],BASE!$B$3:$H$119,7,FALSE)</f>
        <v>RAFAEL</v>
      </c>
    </row>
    <row r="3018" spans="1:13" x14ac:dyDescent="0.25">
      <c r="A3018" s="74">
        <v>200149</v>
      </c>
      <c r="B3018" s="75" t="s">
        <v>281</v>
      </c>
      <c r="C3018" s="75" t="s">
        <v>865</v>
      </c>
      <c r="D3018" s="76">
        <v>46112</v>
      </c>
      <c r="E3018" s="75" t="s">
        <v>953</v>
      </c>
      <c r="F3018" s="74">
        <v>2460.44</v>
      </c>
      <c r="G3018" s="75" t="s">
        <v>430</v>
      </c>
      <c r="H3018" s="77" t="str">
        <f>VLOOKUP(DESPESAS[[#This Row],[Plano de Contas]],BASE!$B$3:$D$119,3,FALSE)</f>
        <v>Salarios e Ordenados MOD</v>
      </c>
      <c r="I3018" s="77" t="str">
        <f>IFERROR(VLOOKUP(DESPESAS[[#This Row],[Fornecedor]],Tabela2[],2,FALSE),"")</f>
        <v/>
      </c>
      <c r="J3018" s="77" t="str">
        <f>IFERROR(VLOOKUP(DESPESAS[[#This Row],[Plano de Contas]],BASE!$B$3:$F$119,4,FALSE),"")</f>
        <v>2 - CUSTOS DIRETOS</v>
      </c>
      <c r="K3018" s="77" t="str">
        <f>IFERROR(VLOOKUP(DESPESAS[[#This Row],[Plano de Contas]],BASE!$B$3:$H$119,5,FALSE),"")</f>
        <v>DH</v>
      </c>
      <c r="L3018" s="77" t="str">
        <f>IFERROR(VLOOKUP(DESPESAS[[#This Row],[Plano de Contas]],BASE!$B$3:$H$119,6,FALSE),"")</f>
        <v>CUSTO MÃO DE OBRA DIRETA</v>
      </c>
      <c r="M3018" s="77" t="str">
        <f>VLOOKUP(DESPESAS[[#This Row],[Plano de Contas]],BASE!$B$3:$H$119,7,FALSE)</f>
        <v>RAFAEL</v>
      </c>
    </row>
    <row r="3019" spans="1:13" x14ac:dyDescent="0.25">
      <c r="A3019" s="74">
        <v>200150</v>
      </c>
      <c r="B3019" s="75" t="s">
        <v>281</v>
      </c>
      <c r="C3019" s="75" t="s">
        <v>865</v>
      </c>
      <c r="D3019" s="76">
        <v>46112</v>
      </c>
      <c r="E3019" s="75" t="s">
        <v>952</v>
      </c>
      <c r="F3019" s="74">
        <v>2606.31</v>
      </c>
      <c r="G3019" s="75" t="s">
        <v>430</v>
      </c>
      <c r="H3019" s="77" t="str">
        <f>VLOOKUP(DESPESAS[[#This Row],[Plano de Contas]],BASE!$B$3:$D$119,3,FALSE)</f>
        <v>Salarios e Ordenados MOD</v>
      </c>
      <c r="I3019" s="77" t="str">
        <f>IFERROR(VLOOKUP(DESPESAS[[#This Row],[Fornecedor]],Tabela2[],2,FALSE),"")</f>
        <v/>
      </c>
      <c r="J3019" s="77" t="str">
        <f>IFERROR(VLOOKUP(DESPESAS[[#This Row],[Plano de Contas]],BASE!$B$3:$F$119,4,FALSE),"")</f>
        <v>2 - CUSTOS DIRETOS</v>
      </c>
      <c r="K3019" s="77" t="str">
        <f>IFERROR(VLOOKUP(DESPESAS[[#This Row],[Plano de Contas]],BASE!$B$3:$H$119,5,FALSE),"")</f>
        <v>DH</v>
      </c>
      <c r="L3019" s="77" t="str">
        <f>IFERROR(VLOOKUP(DESPESAS[[#This Row],[Plano de Contas]],BASE!$B$3:$H$119,6,FALSE),"")</f>
        <v>CUSTO MÃO DE OBRA DIRETA</v>
      </c>
      <c r="M3019" s="77" t="str">
        <f>VLOOKUP(DESPESAS[[#This Row],[Plano de Contas]],BASE!$B$3:$H$119,7,FALSE)</f>
        <v>RAFAEL</v>
      </c>
    </row>
    <row r="3020" spans="1:13" x14ac:dyDescent="0.25">
      <c r="A3020" s="74">
        <v>200151</v>
      </c>
      <c r="B3020" s="75" t="s">
        <v>281</v>
      </c>
      <c r="C3020" s="75" t="s">
        <v>865</v>
      </c>
      <c r="D3020" s="76">
        <v>46112</v>
      </c>
      <c r="E3020" s="75" t="s">
        <v>951</v>
      </c>
      <c r="F3020" s="74">
        <v>2002.55</v>
      </c>
      <c r="G3020" s="75" t="s">
        <v>430</v>
      </c>
      <c r="H3020" s="77" t="str">
        <f>VLOOKUP(DESPESAS[[#This Row],[Plano de Contas]],BASE!$B$3:$D$119,3,FALSE)</f>
        <v>Salarios e Ordenados MOD</v>
      </c>
      <c r="I3020" s="77" t="str">
        <f>IFERROR(VLOOKUP(DESPESAS[[#This Row],[Fornecedor]],Tabela2[],2,FALSE),"")</f>
        <v/>
      </c>
      <c r="J3020" s="77" t="str">
        <f>IFERROR(VLOOKUP(DESPESAS[[#This Row],[Plano de Contas]],BASE!$B$3:$F$119,4,FALSE),"")</f>
        <v>2 - CUSTOS DIRETOS</v>
      </c>
      <c r="K3020" s="77" t="str">
        <f>IFERROR(VLOOKUP(DESPESAS[[#This Row],[Plano de Contas]],BASE!$B$3:$H$119,5,FALSE),"")</f>
        <v>DH</v>
      </c>
      <c r="L3020" s="77" t="str">
        <f>IFERROR(VLOOKUP(DESPESAS[[#This Row],[Plano de Contas]],BASE!$B$3:$H$119,6,FALSE),"")</f>
        <v>CUSTO MÃO DE OBRA DIRETA</v>
      </c>
      <c r="M3020" s="77" t="str">
        <f>VLOOKUP(DESPESAS[[#This Row],[Plano de Contas]],BASE!$B$3:$H$119,7,FALSE)</f>
        <v>RAFAEL</v>
      </c>
    </row>
    <row r="3021" spans="1:13" x14ac:dyDescent="0.25">
      <c r="A3021" s="74">
        <v>200152</v>
      </c>
      <c r="B3021" s="75" t="s">
        <v>281</v>
      </c>
      <c r="C3021" s="75" t="s">
        <v>865</v>
      </c>
      <c r="D3021" s="76">
        <v>46112</v>
      </c>
      <c r="E3021" s="75" t="s">
        <v>950</v>
      </c>
      <c r="F3021" s="74">
        <v>2157.27</v>
      </c>
      <c r="G3021" s="75" t="s">
        <v>430</v>
      </c>
      <c r="H3021" s="77" t="str">
        <f>VLOOKUP(DESPESAS[[#This Row],[Plano de Contas]],BASE!$B$3:$D$119,3,FALSE)</f>
        <v>Salarios e Ordenados MOD</v>
      </c>
      <c r="I3021" s="77" t="str">
        <f>IFERROR(VLOOKUP(DESPESAS[[#This Row],[Fornecedor]],Tabela2[],2,FALSE),"")</f>
        <v/>
      </c>
      <c r="J3021" s="77" t="str">
        <f>IFERROR(VLOOKUP(DESPESAS[[#This Row],[Plano de Contas]],BASE!$B$3:$F$119,4,FALSE),"")</f>
        <v>2 - CUSTOS DIRETOS</v>
      </c>
      <c r="K3021" s="77" t="str">
        <f>IFERROR(VLOOKUP(DESPESAS[[#This Row],[Plano de Contas]],BASE!$B$3:$H$119,5,FALSE),"")</f>
        <v>DH</v>
      </c>
      <c r="L3021" s="77" t="str">
        <f>IFERROR(VLOOKUP(DESPESAS[[#This Row],[Plano de Contas]],BASE!$B$3:$H$119,6,FALSE),"")</f>
        <v>CUSTO MÃO DE OBRA DIRETA</v>
      </c>
      <c r="M3021" s="77" t="str">
        <f>VLOOKUP(DESPESAS[[#This Row],[Plano de Contas]],BASE!$B$3:$H$119,7,FALSE)</f>
        <v>RAFAEL</v>
      </c>
    </row>
    <row r="3022" spans="1:13" x14ac:dyDescent="0.25">
      <c r="A3022" s="74">
        <v>200153</v>
      </c>
      <c r="B3022" s="75" t="s">
        <v>232</v>
      </c>
      <c r="C3022" s="75" t="s">
        <v>949</v>
      </c>
      <c r="D3022" s="76">
        <v>46114</v>
      </c>
      <c r="E3022" s="75" t="s">
        <v>948</v>
      </c>
      <c r="F3022" s="74">
        <v>2315.75</v>
      </c>
      <c r="G3022" s="75" t="s">
        <v>294</v>
      </c>
      <c r="H3022" s="77" t="str">
        <f>VLOOKUP(DESPESAS[[#This Row],[Plano de Contas]],BASE!$B$3:$D$119,3,FALSE)</f>
        <v>Insumos de Clientes</v>
      </c>
      <c r="I3022" s="77" t="str">
        <f>IFERROR(VLOOKUP(DESPESAS[[#This Row],[Fornecedor]],Tabela2[],2,FALSE),"")</f>
        <v/>
      </c>
      <c r="J3022" s="77" t="str">
        <f>IFERROR(VLOOKUP(DESPESAS[[#This Row],[Plano de Contas]],BASE!$B$3:$F$119,4,FALSE),"")</f>
        <v>8 - DESPESAS FINANCEIRAS</v>
      </c>
      <c r="K3022" s="77" t="str">
        <f>IFERROR(VLOOKUP(DESPESAS[[#This Row],[Plano de Contas]],BASE!$B$3:$H$119,5,FALSE),"")</f>
        <v>COMERCIAL</v>
      </c>
      <c r="L3022" s="77">
        <f>IFERROR(VLOOKUP(DESPESAS[[#This Row],[Plano de Contas]],BASE!$B$3:$H$119,6,FALSE),"")</f>
        <v>0</v>
      </c>
      <c r="M3022" s="77" t="str">
        <f>VLOOKUP(DESPESAS[[#This Row],[Plano de Contas]],BASE!$B$3:$H$119,7,FALSE)</f>
        <v>LETÍCIA</v>
      </c>
    </row>
    <row r="3023" spans="1:13" x14ac:dyDescent="0.25">
      <c r="A3023" s="74">
        <v>200155</v>
      </c>
      <c r="B3023" s="75" t="s">
        <v>232</v>
      </c>
      <c r="C3023" s="75" t="s">
        <v>947</v>
      </c>
      <c r="D3023" s="76">
        <v>46114</v>
      </c>
      <c r="E3023" s="75" t="s">
        <v>230</v>
      </c>
      <c r="F3023" s="74">
        <v>3414.23</v>
      </c>
      <c r="G3023" s="75" t="s">
        <v>251</v>
      </c>
      <c r="H3023" s="77" t="str">
        <f>VLOOKUP(DESPESAS[[#This Row],[Plano de Contas]],BASE!$B$3:$D$119,3,FALSE)</f>
        <v>Juros Pagos - Antecipação de Crédito</v>
      </c>
      <c r="I3023" s="77" t="str">
        <f>IFERROR(VLOOKUP(DESPESAS[[#This Row],[Fornecedor]],Tabela2[],2,FALSE),"")</f>
        <v/>
      </c>
      <c r="J3023" s="77" t="str">
        <f>IFERROR(VLOOKUP(DESPESAS[[#This Row],[Plano de Contas]],BASE!$B$3:$F$119,4,FALSE),"")</f>
        <v>8 - DESPESAS FINANCEIRAS</v>
      </c>
      <c r="K3023" s="77" t="str">
        <f>IFERROR(VLOOKUP(DESPESAS[[#This Row],[Plano de Contas]],BASE!$B$3:$H$119,5,FALSE),"")</f>
        <v>FINANCEIRO</v>
      </c>
      <c r="L3023" s="77">
        <f>IFERROR(VLOOKUP(DESPESAS[[#This Row],[Plano de Contas]],BASE!$B$3:$H$119,6,FALSE),"")</f>
        <v>0</v>
      </c>
      <c r="M3023" s="77" t="str">
        <f>VLOOKUP(DESPESAS[[#This Row],[Plano de Contas]],BASE!$B$3:$H$119,7,FALSE)</f>
        <v>LETÍCIA</v>
      </c>
    </row>
    <row r="3024" spans="1:13" x14ac:dyDescent="0.25">
      <c r="A3024" s="74">
        <v>200156</v>
      </c>
      <c r="B3024" s="75" t="s">
        <v>232</v>
      </c>
      <c r="C3024" s="75" t="s">
        <v>946</v>
      </c>
      <c r="D3024" s="76">
        <v>46114</v>
      </c>
      <c r="E3024" s="75" t="s">
        <v>230</v>
      </c>
      <c r="F3024" s="74">
        <v>530.80999999999995</v>
      </c>
      <c r="G3024" s="75" t="s">
        <v>229</v>
      </c>
      <c r="H3024" s="77" t="str">
        <f>VLOOKUP(DESPESAS[[#This Row],[Plano de Contas]],BASE!$B$3:$D$119,3,FALSE)</f>
        <v>Despesas Bancarias</v>
      </c>
      <c r="I3024" s="77" t="str">
        <f>IFERROR(VLOOKUP(DESPESAS[[#This Row],[Fornecedor]],Tabela2[],2,FALSE),"")</f>
        <v/>
      </c>
      <c r="J3024" s="77" t="str">
        <f>IFERROR(VLOOKUP(DESPESAS[[#This Row],[Plano de Contas]],BASE!$B$3:$F$119,4,FALSE),"")</f>
        <v>8 - DESPESAS FINANCEIRAS</v>
      </c>
      <c r="K3024" s="77" t="str">
        <f>IFERROR(VLOOKUP(DESPESAS[[#This Row],[Plano de Contas]],BASE!$B$3:$H$119,5,FALSE),"")</f>
        <v>FINANCEIRO</v>
      </c>
      <c r="L3024" s="77">
        <f>IFERROR(VLOOKUP(DESPESAS[[#This Row],[Plano de Contas]],BASE!$B$3:$H$119,6,FALSE),"")</f>
        <v>0</v>
      </c>
      <c r="M3024" s="77" t="str">
        <f>VLOOKUP(DESPESAS[[#This Row],[Plano de Contas]],BASE!$B$3:$H$119,7,FALSE)</f>
        <v>LETÍCIA</v>
      </c>
    </row>
    <row r="3025" spans="1:13" x14ac:dyDescent="0.25">
      <c r="A3025" s="74">
        <v>200157</v>
      </c>
      <c r="B3025" s="75" t="s">
        <v>232</v>
      </c>
      <c r="C3025" s="75" t="s">
        <v>945</v>
      </c>
      <c r="D3025" s="76">
        <v>46114</v>
      </c>
      <c r="E3025" s="75" t="s">
        <v>230</v>
      </c>
      <c r="F3025" s="74">
        <v>247.91</v>
      </c>
      <c r="G3025" s="75" t="s">
        <v>229</v>
      </c>
      <c r="H3025" s="77" t="str">
        <f>VLOOKUP(DESPESAS[[#This Row],[Plano de Contas]],BASE!$B$3:$D$119,3,FALSE)</f>
        <v>Despesas Bancarias</v>
      </c>
      <c r="I3025" s="77" t="str">
        <f>IFERROR(VLOOKUP(DESPESAS[[#This Row],[Fornecedor]],Tabela2[],2,FALSE),"")</f>
        <v/>
      </c>
      <c r="J3025" s="77" t="str">
        <f>IFERROR(VLOOKUP(DESPESAS[[#This Row],[Plano de Contas]],BASE!$B$3:$F$119,4,FALSE),"")</f>
        <v>8 - DESPESAS FINANCEIRAS</v>
      </c>
      <c r="K3025" s="77" t="str">
        <f>IFERROR(VLOOKUP(DESPESAS[[#This Row],[Plano de Contas]],BASE!$B$3:$H$119,5,FALSE),"")</f>
        <v>FINANCEIRO</v>
      </c>
      <c r="L3025" s="77">
        <f>IFERROR(VLOOKUP(DESPESAS[[#This Row],[Plano de Contas]],BASE!$B$3:$H$119,6,FALSE),"")</f>
        <v>0</v>
      </c>
      <c r="M3025" s="77" t="str">
        <f>VLOOKUP(DESPESAS[[#This Row],[Plano de Contas]],BASE!$B$3:$H$119,7,FALSE)</f>
        <v>LETÍCIA</v>
      </c>
    </row>
    <row r="3026" spans="1:13" x14ac:dyDescent="0.25">
      <c r="A3026" s="74">
        <v>200158</v>
      </c>
      <c r="B3026" s="75" t="s">
        <v>279</v>
      </c>
      <c r="C3026" s="75" t="s">
        <v>865</v>
      </c>
      <c r="D3026" s="76">
        <v>46112</v>
      </c>
      <c r="E3026" s="75" t="s">
        <v>900</v>
      </c>
      <c r="F3026" s="74">
        <v>2514.44</v>
      </c>
      <c r="G3026" s="75" t="s">
        <v>653</v>
      </c>
      <c r="H3026" s="77" t="str">
        <f>VLOOKUP(DESPESAS[[#This Row],[Plano de Contas]],BASE!$B$3:$D$119,3,FALSE)</f>
        <v>Salarios e Ordenados CIF</v>
      </c>
      <c r="I3026" s="77" t="str">
        <f>IFERROR(VLOOKUP(DESPESAS[[#This Row],[Fornecedor]],Tabela2[],2,FALSE),"")</f>
        <v/>
      </c>
      <c r="J3026" s="77" t="str">
        <f>IFERROR(VLOOKUP(DESPESAS[[#This Row],[Plano de Contas]],BASE!$B$3:$F$119,4,FALSE),"")</f>
        <v>3 - CUSTOS INDIRETOS</v>
      </c>
      <c r="K3026" s="77" t="str">
        <f>IFERROR(VLOOKUP(DESPESAS[[#This Row],[Plano de Contas]],BASE!$B$3:$H$119,5,FALSE),"")</f>
        <v>DH</v>
      </c>
      <c r="L3026" s="77" t="str">
        <f>IFERROR(VLOOKUP(DESPESAS[[#This Row],[Plano de Contas]],BASE!$B$3:$H$119,6,FALSE),"")</f>
        <v>CUSTO MÃO DE OBRA DIRETA</v>
      </c>
      <c r="M3026" s="77" t="str">
        <f>VLOOKUP(DESPESAS[[#This Row],[Plano de Contas]],BASE!$B$3:$H$119,7,FALSE)</f>
        <v>RAFAEL</v>
      </c>
    </row>
    <row r="3027" spans="1:13" x14ac:dyDescent="0.25">
      <c r="A3027" s="74">
        <v>200159</v>
      </c>
      <c r="B3027" s="75" t="s">
        <v>279</v>
      </c>
      <c r="C3027" s="75" t="s">
        <v>865</v>
      </c>
      <c r="D3027" s="76">
        <v>46112</v>
      </c>
      <c r="E3027" s="75" t="s">
        <v>944</v>
      </c>
      <c r="F3027" s="74">
        <v>1501.06</v>
      </c>
      <c r="G3027" s="75" t="s">
        <v>430</v>
      </c>
      <c r="H3027" s="77" t="str">
        <f>VLOOKUP(DESPESAS[[#This Row],[Plano de Contas]],BASE!$B$3:$D$119,3,FALSE)</f>
        <v>Salarios e Ordenados MOD</v>
      </c>
      <c r="I3027" s="77" t="str">
        <f>IFERROR(VLOOKUP(DESPESAS[[#This Row],[Fornecedor]],Tabela2[],2,FALSE),"")</f>
        <v/>
      </c>
      <c r="J3027" s="77" t="str">
        <f>IFERROR(VLOOKUP(DESPESAS[[#This Row],[Plano de Contas]],BASE!$B$3:$F$119,4,FALSE),"")</f>
        <v>2 - CUSTOS DIRETOS</v>
      </c>
      <c r="K3027" s="77" t="str">
        <f>IFERROR(VLOOKUP(DESPESAS[[#This Row],[Plano de Contas]],BASE!$B$3:$H$119,5,FALSE),"")</f>
        <v>DH</v>
      </c>
      <c r="L3027" s="77" t="str">
        <f>IFERROR(VLOOKUP(DESPESAS[[#This Row],[Plano de Contas]],BASE!$B$3:$H$119,6,FALSE),"")</f>
        <v>CUSTO MÃO DE OBRA DIRETA</v>
      </c>
      <c r="M3027" s="77" t="str">
        <f>VLOOKUP(DESPESAS[[#This Row],[Plano de Contas]],BASE!$B$3:$H$119,7,FALSE)</f>
        <v>RAFAEL</v>
      </c>
    </row>
    <row r="3028" spans="1:13" x14ac:dyDescent="0.25">
      <c r="A3028" s="74">
        <v>200160</v>
      </c>
      <c r="B3028" s="75" t="s">
        <v>279</v>
      </c>
      <c r="C3028" s="75" t="s">
        <v>865</v>
      </c>
      <c r="D3028" s="76">
        <v>46112</v>
      </c>
      <c r="E3028" s="75" t="s">
        <v>943</v>
      </c>
      <c r="F3028" s="74">
        <v>2611.5700000000002</v>
      </c>
      <c r="G3028" s="75" t="s">
        <v>627</v>
      </c>
      <c r="H3028" s="77" t="str">
        <f>VLOOKUP(DESPESAS[[#This Row],[Plano de Contas]],BASE!$B$3:$D$119,3,FALSE)</f>
        <v>Salarios e Ordenados (Adm)</v>
      </c>
      <c r="I3028" s="77" t="str">
        <f>IFERROR(VLOOKUP(DESPESAS[[#This Row],[Fornecedor]],Tabela2[],2,FALSE),"")</f>
        <v/>
      </c>
      <c r="J3028" s="77" t="str">
        <f>IFERROR(VLOOKUP(DESPESAS[[#This Row],[Plano de Contas]],BASE!$B$3:$F$119,4,FALSE),"")</f>
        <v>4 - GASTOS COM PESSOAL</v>
      </c>
      <c r="K3028" s="77" t="str">
        <f>IFERROR(VLOOKUP(DESPESAS[[#This Row],[Plano de Contas]],BASE!$B$3:$H$119,5,FALSE),"")</f>
        <v>DH</v>
      </c>
      <c r="L3028" s="77">
        <f>IFERROR(VLOOKUP(DESPESAS[[#This Row],[Plano de Contas]],BASE!$B$3:$H$119,6,FALSE),"")</f>
        <v>0</v>
      </c>
      <c r="M3028" s="77" t="str">
        <f>VLOOKUP(DESPESAS[[#This Row],[Plano de Contas]],BASE!$B$3:$H$119,7,FALSE)</f>
        <v>RAFAEL</v>
      </c>
    </row>
    <row r="3029" spans="1:13" x14ac:dyDescent="0.25">
      <c r="A3029" s="74">
        <v>200161</v>
      </c>
      <c r="B3029" s="75" t="s">
        <v>279</v>
      </c>
      <c r="C3029" s="75" t="s">
        <v>865</v>
      </c>
      <c r="D3029" s="76">
        <v>46112</v>
      </c>
      <c r="E3029" s="75" t="s">
        <v>942</v>
      </c>
      <c r="F3029" s="74">
        <v>3694.39</v>
      </c>
      <c r="G3029" s="75" t="s">
        <v>430</v>
      </c>
      <c r="H3029" s="77" t="str">
        <f>VLOOKUP(DESPESAS[[#This Row],[Plano de Contas]],BASE!$B$3:$D$119,3,FALSE)</f>
        <v>Salarios e Ordenados MOD</v>
      </c>
      <c r="I3029" s="77" t="str">
        <f>IFERROR(VLOOKUP(DESPESAS[[#This Row],[Fornecedor]],Tabela2[],2,FALSE),"")</f>
        <v/>
      </c>
      <c r="J3029" s="77" t="str">
        <f>IFERROR(VLOOKUP(DESPESAS[[#This Row],[Plano de Contas]],BASE!$B$3:$F$119,4,FALSE),"")</f>
        <v>2 - CUSTOS DIRETOS</v>
      </c>
      <c r="K3029" s="77" t="str">
        <f>IFERROR(VLOOKUP(DESPESAS[[#This Row],[Plano de Contas]],BASE!$B$3:$H$119,5,FALSE),"")</f>
        <v>DH</v>
      </c>
      <c r="L3029" s="77" t="str">
        <f>IFERROR(VLOOKUP(DESPESAS[[#This Row],[Plano de Contas]],BASE!$B$3:$H$119,6,FALSE),"")</f>
        <v>CUSTO MÃO DE OBRA DIRETA</v>
      </c>
      <c r="M3029" s="77" t="str">
        <f>VLOOKUP(DESPESAS[[#This Row],[Plano de Contas]],BASE!$B$3:$H$119,7,FALSE)</f>
        <v>RAFAEL</v>
      </c>
    </row>
    <row r="3030" spans="1:13" x14ac:dyDescent="0.25">
      <c r="A3030" s="74">
        <v>200162</v>
      </c>
      <c r="B3030" s="75" t="s">
        <v>279</v>
      </c>
      <c r="C3030" s="75" t="s">
        <v>865</v>
      </c>
      <c r="D3030" s="76">
        <v>46112</v>
      </c>
      <c r="E3030" s="75" t="s">
        <v>941</v>
      </c>
      <c r="F3030" s="74">
        <v>2791.8</v>
      </c>
      <c r="G3030" s="75" t="s">
        <v>430</v>
      </c>
      <c r="H3030" s="77" t="str">
        <f>VLOOKUP(DESPESAS[[#This Row],[Plano de Contas]],BASE!$B$3:$D$119,3,FALSE)</f>
        <v>Salarios e Ordenados MOD</v>
      </c>
      <c r="I3030" s="77" t="str">
        <f>IFERROR(VLOOKUP(DESPESAS[[#This Row],[Fornecedor]],Tabela2[],2,FALSE),"")</f>
        <v/>
      </c>
      <c r="J3030" s="77" t="str">
        <f>IFERROR(VLOOKUP(DESPESAS[[#This Row],[Plano de Contas]],BASE!$B$3:$F$119,4,FALSE),"")</f>
        <v>2 - CUSTOS DIRETOS</v>
      </c>
      <c r="K3030" s="77" t="str">
        <f>IFERROR(VLOOKUP(DESPESAS[[#This Row],[Plano de Contas]],BASE!$B$3:$H$119,5,FALSE),"")</f>
        <v>DH</v>
      </c>
      <c r="L3030" s="77" t="str">
        <f>IFERROR(VLOOKUP(DESPESAS[[#This Row],[Plano de Contas]],BASE!$B$3:$H$119,6,FALSE),"")</f>
        <v>CUSTO MÃO DE OBRA DIRETA</v>
      </c>
      <c r="M3030" s="77" t="str">
        <f>VLOOKUP(DESPESAS[[#This Row],[Plano de Contas]],BASE!$B$3:$H$119,7,FALSE)</f>
        <v>RAFAEL</v>
      </c>
    </row>
    <row r="3031" spans="1:13" x14ac:dyDescent="0.25">
      <c r="A3031" s="74">
        <v>200163</v>
      </c>
      <c r="B3031" s="75" t="s">
        <v>279</v>
      </c>
      <c r="C3031" s="75" t="s">
        <v>865</v>
      </c>
      <c r="D3031" s="76">
        <v>46112</v>
      </c>
      <c r="E3031" s="75" t="s">
        <v>940</v>
      </c>
      <c r="F3031" s="74">
        <v>4639.26</v>
      </c>
      <c r="G3031" s="75" t="s">
        <v>430</v>
      </c>
      <c r="H3031" s="77" t="str">
        <f>VLOOKUP(DESPESAS[[#This Row],[Plano de Contas]],BASE!$B$3:$D$119,3,FALSE)</f>
        <v>Salarios e Ordenados MOD</v>
      </c>
      <c r="I3031" s="77" t="str">
        <f>IFERROR(VLOOKUP(DESPESAS[[#This Row],[Fornecedor]],Tabela2[],2,FALSE),"")</f>
        <v/>
      </c>
      <c r="J3031" s="77" t="str">
        <f>IFERROR(VLOOKUP(DESPESAS[[#This Row],[Plano de Contas]],BASE!$B$3:$F$119,4,FALSE),"")</f>
        <v>2 - CUSTOS DIRETOS</v>
      </c>
      <c r="K3031" s="77" t="str">
        <f>IFERROR(VLOOKUP(DESPESAS[[#This Row],[Plano de Contas]],BASE!$B$3:$H$119,5,FALSE),"")</f>
        <v>DH</v>
      </c>
      <c r="L3031" s="77" t="str">
        <f>IFERROR(VLOOKUP(DESPESAS[[#This Row],[Plano de Contas]],BASE!$B$3:$H$119,6,FALSE),"")</f>
        <v>CUSTO MÃO DE OBRA DIRETA</v>
      </c>
      <c r="M3031" s="77" t="str">
        <f>VLOOKUP(DESPESAS[[#This Row],[Plano de Contas]],BASE!$B$3:$H$119,7,FALSE)</f>
        <v>RAFAEL</v>
      </c>
    </row>
    <row r="3032" spans="1:13" x14ac:dyDescent="0.25">
      <c r="A3032" s="74">
        <v>200164</v>
      </c>
      <c r="B3032" s="75" t="s">
        <v>279</v>
      </c>
      <c r="C3032" s="75" t="s">
        <v>865</v>
      </c>
      <c r="D3032" s="76">
        <v>46112</v>
      </c>
      <c r="E3032" s="75" t="s">
        <v>754</v>
      </c>
      <c r="F3032" s="74">
        <v>2282.58</v>
      </c>
      <c r="G3032" s="75" t="s">
        <v>627</v>
      </c>
      <c r="H3032" s="77" t="str">
        <f>VLOOKUP(DESPESAS[[#This Row],[Plano de Contas]],BASE!$B$3:$D$119,3,FALSE)</f>
        <v>Salarios e Ordenados (Adm)</v>
      </c>
      <c r="I3032" s="77" t="str">
        <f>IFERROR(VLOOKUP(DESPESAS[[#This Row],[Fornecedor]],Tabela2[],2,FALSE),"")</f>
        <v/>
      </c>
      <c r="J3032" s="77" t="str">
        <f>IFERROR(VLOOKUP(DESPESAS[[#This Row],[Plano de Contas]],BASE!$B$3:$F$119,4,FALSE),"")</f>
        <v>4 - GASTOS COM PESSOAL</v>
      </c>
      <c r="K3032" s="77" t="str">
        <f>IFERROR(VLOOKUP(DESPESAS[[#This Row],[Plano de Contas]],BASE!$B$3:$H$119,5,FALSE),"")</f>
        <v>DH</v>
      </c>
      <c r="L3032" s="77">
        <f>IFERROR(VLOOKUP(DESPESAS[[#This Row],[Plano de Contas]],BASE!$B$3:$H$119,6,FALSE),"")</f>
        <v>0</v>
      </c>
      <c r="M3032" s="77" t="str">
        <f>VLOOKUP(DESPESAS[[#This Row],[Plano de Contas]],BASE!$B$3:$H$119,7,FALSE)</f>
        <v>RAFAEL</v>
      </c>
    </row>
    <row r="3033" spans="1:13" x14ac:dyDescent="0.25">
      <c r="A3033" s="74">
        <v>200165</v>
      </c>
      <c r="B3033" s="75" t="s">
        <v>279</v>
      </c>
      <c r="C3033" s="75" t="s">
        <v>865</v>
      </c>
      <c r="D3033" s="76">
        <v>46112</v>
      </c>
      <c r="E3033" s="75" t="s">
        <v>939</v>
      </c>
      <c r="F3033" s="74">
        <v>2321.3000000000002</v>
      </c>
      <c r="G3033" s="75" t="s">
        <v>430</v>
      </c>
      <c r="H3033" s="77" t="str">
        <f>VLOOKUP(DESPESAS[[#This Row],[Plano de Contas]],BASE!$B$3:$D$119,3,FALSE)</f>
        <v>Salarios e Ordenados MOD</v>
      </c>
      <c r="I3033" s="77" t="str">
        <f>IFERROR(VLOOKUP(DESPESAS[[#This Row],[Fornecedor]],Tabela2[],2,FALSE),"")</f>
        <v/>
      </c>
      <c r="J3033" s="77" t="str">
        <f>IFERROR(VLOOKUP(DESPESAS[[#This Row],[Plano de Contas]],BASE!$B$3:$F$119,4,FALSE),"")</f>
        <v>2 - CUSTOS DIRETOS</v>
      </c>
      <c r="K3033" s="77" t="str">
        <f>IFERROR(VLOOKUP(DESPESAS[[#This Row],[Plano de Contas]],BASE!$B$3:$H$119,5,FALSE),"")</f>
        <v>DH</v>
      </c>
      <c r="L3033" s="77" t="str">
        <f>IFERROR(VLOOKUP(DESPESAS[[#This Row],[Plano de Contas]],BASE!$B$3:$H$119,6,FALSE),"")</f>
        <v>CUSTO MÃO DE OBRA DIRETA</v>
      </c>
      <c r="M3033" s="77" t="str">
        <f>VLOOKUP(DESPESAS[[#This Row],[Plano de Contas]],BASE!$B$3:$H$119,7,FALSE)</f>
        <v>RAFAEL</v>
      </c>
    </row>
    <row r="3034" spans="1:13" x14ac:dyDescent="0.25">
      <c r="A3034" s="74">
        <v>200166</v>
      </c>
      <c r="B3034" s="75" t="s">
        <v>279</v>
      </c>
      <c r="C3034" s="75" t="s">
        <v>865</v>
      </c>
      <c r="D3034" s="76">
        <v>46112</v>
      </c>
      <c r="E3034" s="75" t="s">
        <v>765</v>
      </c>
      <c r="F3034" s="74">
        <v>2709.68</v>
      </c>
      <c r="G3034" s="75" t="s">
        <v>430</v>
      </c>
      <c r="H3034" s="77" t="str">
        <f>VLOOKUP(DESPESAS[[#This Row],[Plano de Contas]],BASE!$B$3:$D$119,3,FALSE)</f>
        <v>Salarios e Ordenados MOD</v>
      </c>
      <c r="I3034" s="77" t="str">
        <f>IFERROR(VLOOKUP(DESPESAS[[#This Row],[Fornecedor]],Tabela2[],2,FALSE),"")</f>
        <v/>
      </c>
      <c r="J3034" s="77" t="str">
        <f>IFERROR(VLOOKUP(DESPESAS[[#This Row],[Plano de Contas]],BASE!$B$3:$F$119,4,FALSE),"")</f>
        <v>2 - CUSTOS DIRETOS</v>
      </c>
      <c r="K3034" s="77" t="str">
        <f>IFERROR(VLOOKUP(DESPESAS[[#This Row],[Plano de Contas]],BASE!$B$3:$H$119,5,FALSE),"")</f>
        <v>DH</v>
      </c>
      <c r="L3034" s="77" t="str">
        <f>IFERROR(VLOOKUP(DESPESAS[[#This Row],[Plano de Contas]],BASE!$B$3:$H$119,6,FALSE),"")</f>
        <v>CUSTO MÃO DE OBRA DIRETA</v>
      </c>
      <c r="M3034" s="77" t="str">
        <f>VLOOKUP(DESPESAS[[#This Row],[Plano de Contas]],BASE!$B$3:$H$119,7,FALSE)</f>
        <v>RAFAEL</v>
      </c>
    </row>
    <row r="3035" spans="1:13" x14ac:dyDescent="0.25">
      <c r="A3035" s="74">
        <v>200167</v>
      </c>
      <c r="B3035" s="75" t="s">
        <v>279</v>
      </c>
      <c r="C3035" s="75" t="s">
        <v>865</v>
      </c>
      <c r="D3035" s="76">
        <v>46112</v>
      </c>
      <c r="E3035" s="75" t="s">
        <v>938</v>
      </c>
      <c r="F3035" s="74">
        <v>4490.6099999999997</v>
      </c>
      <c r="G3035" s="75" t="s">
        <v>430</v>
      </c>
      <c r="H3035" s="77" t="str">
        <f>VLOOKUP(DESPESAS[[#This Row],[Plano de Contas]],BASE!$B$3:$D$119,3,FALSE)</f>
        <v>Salarios e Ordenados MOD</v>
      </c>
      <c r="I3035" s="77" t="str">
        <f>IFERROR(VLOOKUP(DESPESAS[[#This Row],[Fornecedor]],Tabela2[],2,FALSE),"")</f>
        <v/>
      </c>
      <c r="J3035" s="77" t="str">
        <f>IFERROR(VLOOKUP(DESPESAS[[#This Row],[Plano de Contas]],BASE!$B$3:$F$119,4,FALSE),"")</f>
        <v>2 - CUSTOS DIRETOS</v>
      </c>
      <c r="K3035" s="77" t="str">
        <f>IFERROR(VLOOKUP(DESPESAS[[#This Row],[Plano de Contas]],BASE!$B$3:$H$119,5,FALSE),"")</f>
        <v>DH</v>
      </c>
      <c r="L3035" s="77" t="str">
        <f>IFERROR(VLOOKUP(DESPESAS[[#This Row],[Plano de Contas]],BASE!$B$3:$H$119,6,FALSE),"")</f>
        <v>CUSTO MÃO DE OBRA DIRETA</v>
      </c>
      <c r="M3035" s="77" t="str">
        <f>VLOOKUP(DESPESAS[[#This Row],[Plano de Contas]],BASE!$B$3:$H$119,7,FALSE)</f>
        <v>RAFAEL</v>
      </c>
    </row>
    <row r="3036" spans="1:13" x14ac:dyDescent="0.25">
      <c r="A3036" s="74">
        <v>200168</v>
      </c>
      <c r="B3036" s="75" t="s">
        <v>279</v>
      </c>
      <c r="C3036" s="75" t="s">
        <v>865</v>
      </c>
      <c r="D3036" s="76">
        <v>46112</v>
      </c>
      <c r="E3036" s="75" t="s">
        <v>937</v>
      </c>
      <c r="F3036" s="74">
        <v>4031.14</v>
      </c>
      <c r="G3036" s="75" t="s">
        <v>430</v>
      </c>
      <c r="H3036" s="77" t="str">
        <f>VLOOKUP(DESPESAS[[#This Row],[Plano de Contas]],BASE!$B$3:$D$119,3,FALSE)</f>
        <v>Salarios e Ordenados MOD</v>
      </c>
      <c r="I3036" s="77" t="str">
        <f>IFERROR(VLOOKUP(DESPESAS[[#This Row],[Fornecedor]],Tabela2[],2,FALSE),"")</f>
        <v/>
      </c>
      <c r="J3036" s="77" t="str">
        <f>IFERROR(VLOOKUP(DESPESAS[[#This Row],[Plano de Contas]],BASE!$B$3:$F$119,4,FALSE),"")</f>
        <v>2 - CUSTOS DIRETOS</v>
      </c>
      <c r="K3036" s="77" t="str">
        <f>IFERROR(VLOOKUP(DESPESAS[[#This Row],[Plano de Contas]],BASE!$B$3:$H$119,5,FALSE),"")</f>
        <v>DH</v>
      </c>
      <c r="L3036" s="77" t="str">
        <f>IFERROR(VLOOKUP(DESPESAS[[#This Row],[Plano de Contas]],BASE!$B$3:$H$119,6,FALSE),"")</f>
        <v>CUSTO MÃO DE OBRA DIRETA</v>
      </c>
      <c r="M3036" s="77" t="str">
        <f>VLOOKUP(DESPESAS[[#This Row],[Plano de Contas]],BASE!$B$3:$H$119,7,FALSE)</f>
        <v>RAFAEL</v>
      </c>
    </row>
    <row r="3037" spans="1:13" x14ac:dyDescent="0.25">
      <c r="A3037" s="74">
        <v>200169</v>
      </c>
      <c r="B3037" s="75" t="s">
        <v>279</v>
      </c>
      <c r="C3037" s="75" t="s">
        <v>865</v>
      </c>
      <c r="D3037" s="76">
        <v>46112</v>
      </c>
      <c r="E3037" s="75" t="s">
        <v>936</v>
      </c>
      <c r="F3037" s="74">
        <v>2639.21</v>
      </c>
      <c r="G3037" s="75" t="s">
        <v>430</v>
      </c>
      <c r="H3037" s="77" t="str">
        <f>VLOOKUP(DESPESAS[[#This Row],[Plano de Contas]],BASE!$B$3:$D$119,3,FALSE)</f>
        <v>Salarios e Ordenados MOD</v>
      </c>
      <c r="I3037" s="77" t="str">
        <f>IFERROR(VLOOKUP(DESPESAS[[#This Row],[Fornecedor]],Tabela2[],2,FALSE),"")</f>
        <v/>
      </c>
      <c r="J3037" s="77" t="str">
        <f>IFERROR(VLOOKUP(DESPESAS[[#This Row],[Plano de Contas]],BASE!$B$3:$F$119,4,FALSE),"")</f>
        <v>2 - CUSTOS DIRETOS</v>
      </c>
      <c r="K3037" s="77" t="str">
        <f>IFERROR(VLOOKUP(DESPESAS[[#This Row],[Plano de Contas]],BASE!$B$3:$H$119,5,FALSE),"")</f>
        <v>DH</v>
      </c>
      <c r="L3037" s="77" t="str">
        <f>IFERROR(VLOOKUP(DESPESAS[[#This Row],[Plano de Contas]],BASE!$B$3:$H$119,6,FALSE),"")</f>
        <v>CUSTO MÃO DE OBRA DIRETA</v>
      </c>
      <c r="M3037" s="77" t="str">
        <f>VLOOKUP(DESPESAS[[#This Row],[Plano de Contas]],BASE!$B$3:$H$119,7,FALSE)</f>
        <v>RAFAEL</v>
      </c>
    </row>
    <row r="3038" spans="1:13" x14ac:dyDescent="0.25">
      <c r="A3038" s="74">
        <v>200170</v>
      </c>
      <c r="B3038" s="75" t="s">
        <v>279</v>
      </c>
      <c r="C3038" s="75" t="s">
        <v>865</v>
      </c>
      <c r="D3038" s="76">
        <v>46112</v>
      </c>
      <c r="E3038" s="75" t="s">
        <v>764</v>
      </c>
      <c r="F3038" s="74">
        <v>2581.75</v>
      </c>
      <c r="G3038" s="75" t="s">
        <v>430</v>
      </c>
      <c r="H3038" s="77" t="str">
        <f>VLOOKUP(DESPESAS[[#This Row],[Plano de Contas]],BASE!$B$3:$D$119,3,FALSE)</f>
        <v>Salarios e Ordenados MOD</v>
      </c>
      <c r="I3038" s="77" t="str">
        <f>IFERROR(VLOOKUP(DESPESAS[[#This Row],[Fornecedor]],Tabela2[],2,FALSE),"")</f>
        <v/>
      </c>
      <c r="J3038" s="77" t="str">
        <f>IFERROR(VLOOKUP(DESPESAS[[#This Row],[Plano de Contas]],BASE!$B$3:$F$119,4,FALSE),"")</f>
        <v>2 - CUSTOS DIRETOS</v>
      </c>
      <c r="K3038" s="77" t="str">
        <f>IFERROR(VLOOKUP(DESPESAS[[#This Row],[Plano de Contas]],BASE!$B$3:$H$119,5,FALSE),"")</f>
        <v>DH</v>
      </c>
      <c r="L3038" s="77" t="str">
        <f>IFERROR(VLOOKUP(DESPESAS[[#This Row],[Plano de Contas]],BASE!$B$3:$H$119,6,FALSE),"")</f>
        <v>CUSTO MÃO DE OBRA DIRETA</v>
      </c>
      <c r="M3038" s="77" t="str">
        <f>VLOOKUP(DESPESAS[[#This Row],[Plano de Contas]],BASE!$B$3:$H$119,7,FALSE)</f>
        <v>RAFAEL</v>
      </c>
    </row>
    <row r="3039" spans="1:13" x14ac:dyDescent="0.25">
      <c r="A3039" s="74">
        <v>200171</v>
      </c>
      <c r="B3039" s="75" t="s">
        <v>279</v>
      </c>
      <c r="C3039" s="75" t="s">
        <v>865</v>
      </c>
      <c r="D3039" s="76">
        <v>46112</v>
      </c>
      <c r="E3039" s="75" t="s">
        <v>935</v>
      </c>
      <c r="F3039" s="74">
        <v>2051.96</v>
      </c>
      <c r="G3039" s="75" t="s">
        <v>430</v>
      </c>
      <c r="H3039" s="77" t="str">
        <f>VLOOKUP(DESPESAS[[#This Row],[Plano de Contas]],BASE!$B$3:$D$119,3,FALSE)</f>
        <v>Salarios e Ordenados MOD</v>
      </c>
      <c r="I3039" s="77" t="str">
        <f>IFERROR(VLOOKUP(DESPESAS[[#This Row],[Fornecedor]],Tabela2[],2,FALSE),"")</f>
        <v/>
      </c>
      <c r="J3039" s="77" t="str">
        <f>IFERROR(VLOOKUP(DESPESAS[[#This Row],[Plano de Contas]],BASE!$B$3:$F$119,4,FALSE),"")</f>
        <v>2 - CUSTOS DIRETOS</v>
      </c>
      <c r="K3039" s="77" t="str">
        <f>IFERROR(VLOOKUP(DESPESAS[[#This Row],[Plano de Contas]],BASE!$B$3:$H$119,5,FALSE),"")</f>
        <v>DH</v>
      </c>
      <c r="L3039" s="77" t="str">
        <f>IFERROR(VLOOKUP(DESPESAS[[#This Row],[Plano de Contas]],BASE!$B$3:$H$119,6,FALSE),"")</f>
        <v>CUSTO MÃO DE OBRA DIRETA</v>
      </c>
      <c r="M3039" s="77" t="str">
        <f>VLOOKUP(DESPESAS[[#This Row],[Plano de Contas]],BASE!$B$3:$H$119,7,FALSE)</f>
        <v>RAFAEL</v>
      </c>
    </row>
    <row r="3040" spans="1:13" x14ac:dyDescent="0.25">
      <c r="A3040" s="74">
        <v>200172</v>
      </c>
      <c r="B3040" s="75" t="s">
        <v>279</v>
      </c>
      <c r="C3040" s="75" t="s">
        <v>865</v>
      </c>
      <c r="D3040" s="76">
        <v>46112</v>
      </c>
      <c r="E3040" s="75" t="s">
        <v>934</v>
      </c>
      <c r="F3040" s="74">
        <v>2555.44</v>
      </c>
      <c r="G3040" s="75" t="s">
        <v>430</v>
      </c>
      <c r="H3040" s="77" t="str">
        <f>VLOOKUP(DESPESAS[[#This Row],[Plano de Contas]],BASE!$B$3:$D$119,3,FALSE)</f>
        <v>Salarios e Ordenados MOD</v>
      </c>
      <c r="I3040" s="77" t="str">
        <f>IFERROR(VLOOKUP(DESPESAS[[#This Row],[Fornecedor]],Tabela2[],2,FALSE),"")</f>
        <v/>
      </c>
      <c r="J3040" s="77" t="str">
        <f>IFERROR(VLOOKUP(DESPESAS[[#This Row],[Plano de Contas]],BASE!$B$3:$F$119,4,FALSE),"")</f>
        <v>2 - CUSTOS DIRETOS</v>
      </c>
      <c r="K3040" s="77" t="str">
        <f>IFERROR(VLOOKUP(DESPESAS[[#This Row],[Plano de Contas]],BASE!$B$3:$H$119,5,FALSE),"")</f>
        <v>DH</v>
      </c>
      <c r="L3040" s="77" t="str">
        <f>IFERROR(VLOOKUP(DESPESAS[[#This Row],[Plano de Contas]],BASE!$B$3:$H$119,6,FALSE),"")</f>
        <v>CUSTO MÃO DE OBRA DIRETA</v>
      </c>
      <c r="M3040" s="77" t="str">
        <f>VLOOKUP(DESPESAS[[#This Row],[Plano de Contas]],BASE!$B$3:$H$119,7,FALSE)</f>
        <v>RAFAEL</v>
      </c>
    </row>
    <row r="3041" spans="1:13" x14ac:dyDescent="0.25">
      <c r="A3041" s="74">
        <v>200173</v>
      </c>
      <c r="B3041" s="75" t="s">
        <v>279</v>
      </c>
      <c r="C3041" s="75" t="s">
        <v>865</v>
      </c>
      <c r="D3041" s="76">
        <v>46112</v>
      </c>
      <c r="E3041" s="75" t="s">
        <v>933</v>
      </c>
      <c r="F3041" s="74">
        <v>3528.01</v>
      </c>
      <c r="G3041" s="75" t="s">
        <v>430</v>
      </c>
      <c r="H3041" s="77" t="str">
        <f>VLOOKUP(DESPESAS[[#This Row],[Plano de Contas]],BASE!$B$3:$D$119,3,FALSE)</f>
        <v>Salarios e Ordenados MOD</v>
      </c>
      <c r="I3041" s="77" t="str">
        <f>IFERROR(VLOOKUP(DESPESAS[[#This Row],[Fornecedor]],Tabela2[],2,FALSE),"")</f>
        <v/>
      </c>
      <c r="J3041" s="77" t="str">
        <f>IFERROR(VLOOKUP(DESPESAS[[#This Row],[Plano de Contas]],BASE!$B$3:$F$119,4,FALSE),"")</f>
        <v>2 - CUSTOS DIRETOS</v>
      </c>
      <c r="K3041" s="77" t="str">
        <f>IFERROR(VLOOKUP(DESPESAS[[#This Row],[Plano de Contas]],BASE!$B$3:$H$119,5,FALSE),"")</f>
        <v>DH</v>
      </c>
      <c r="L3041" s="77" t="str">
        <f>IFERROR(VLOOKUP(DESPESAS[[#This Row],[Plano de Contas]],BASE!$B$3:$H$119,6,FALSE),"")</f>
        <v>CUSTO MÃO DE OBRA DIRETA</v>
      </c>
      <c r="M3041" s="77" t="str">
        <f>VLOOKUP(DESPESAS[[#This Row],[Plano de Contas]],BASE!$B$3:$H$119,7,FALSE)</f>
        <v>RAFAEL</v>
      </c>
    </row>
    <row r="3042" spans="1:13" x14ac:dyDescent="0.25">
      <c r="A3042" s="74">
        <v>200174</v>
      </c>
      <c r="B3042" s="75" t="s">
        <v>279</v>
      </c>
      <c r="C3042" s="75" t="s">
        <v>865</v>
      </c>
      <c r="D3042" s="76">
        <v>46112</v>
      </c>
      <c r="E3042" s="75" t="s">
        <v>431</v>
      </c>
      <c r="F3042" s="74">
        <v>1402.67</v>
      </c>
      <c r="G3042" s="75" t="s">
        <v>430</v>
      </c>
      <c r="H3042" s="77" t="str">
        <f>VLOOKUP(DESPESAS[[#This Row],[Plano de Contas]],BASE!$B$3:$D$119,3,FALSE)</f>
        <v>Salarios e Ordenados MOD</v>
      </c>
      <c r="I3042" s="77" t="str">
        <f>IFERROR(VLOOKUP(DESPESAS[[#This Row],[Fornecedor]],Tabela2[],2,FALSE),"")</f>
        <v/>
      </c>
      <c r="J3042" s="77" t="str">
        <f>IFERROR(VLOOKUP(DESPESAS[[#This Row],[Plano de Contas]],BASE!$B$3:$F$119,4,FALSE),"")</f>
        <v>2 - CUSTOS DIRETOS</v>
      </c>
      <c r="K3042" s="77" t="str">
        <f>IFERROR(VLOOKUP(DESPESAS[[#This Row],[Plano de Contas]],BASE!$B$3:$H$119,5,FALSE),"")</f>
        <v>DH</v>
      </c>
      <c r="L3042" s="77" t="str">
        <f>IFERROR(VLOOKUP(DESPESAS[[#This Row],[Plano de Contas]],BASE!$B$3:$H$119,6,FALSE),"")</f>
        <v>CUSTO MÃO DE OBRA DIRETA</v>
      </c>
      <c r="M3042" s="77" t="str">
        <f>VLOOKUP(DESPESAS[[#This Row],[Plano de Contas]],BASE!$B$3:$H$119,7,FALSE)</f>
        <v>RAFAEL</v>
      </c>
    </row>
    <row r="3043" spans="1:13" x14ac:dyDescent="0.25">
      <c r="A3043" s="74">
        <v>200175</v>
      </c>
      <c r="B3043" s="75" t="s">
        <v>279</v>
      </c>
      <c r="C3043" s="75" t="s">
        <v>865</v>
      </c>
      <c r="D3043" s="76">
        <v>46112</v>
      </c>
      <c r="E3043" s="75" t="s">
        <v>932</v>
      </c>
      <c r="F3043" s="74">
        <v>2705.85</v>
      </c>
      <c r="G3043" s="75" t="s">
        <v>430</v>
      </c>
      <c r="H3043" s="77" t="str">
        <f>VLOOKUP(DESPESAS[[#This Row],[Plano de Contas]],BASE!$B$3:$D$119,3,FALSE)</f>
        <v>Salarios e Ordenados MOD</v>
      </c>
      <c r="I3043" s="77" t="str">
        <f>IFERROR(VLOOKUP(DESPESAS[[#This Row],[Fornecedor]],Tabela2[],2,FALSE),"")</f>
        <v/>
      </c>
      <c r="J3043" s="77" t="str">
        <f>IFERROR(VLOOKUP(DESPESAS[[#This Row],[Plano de Contas]],BASE!$B$3:$F$119,4,FALSE),"")</f>
        <v>2 - CUSTOS DIRETOS</v>
      </c>
      <c r="K3043" s="77" t="str">
        <f>IFERROR(VLOOKUP(DESPESAS[[#This Row],[Plano de Contas]],BASE!$B$3:$H$119,5,FALSE),"")</f>
        <v>DH</v>
      </c>
      <c r="L3043" s="77" t="str">
        <f>IFERROR(VLOOKUP(DESPESAS[[#This Row],[Plano de Contas]],BASE!$B$3:$H$119,6,FALSE),"")</f>
        <v>CUSTO MÃO DE OBRA DIRETA</v>
      </c>
      <c r="M3043" s="77" t="str">
        <f>VLOOKUP(DESPESAS[[#This Row],[Plano de Contas]],BASE!$B$3:$H$119,7,FALSE)</f>
        <v>RAFAEL</v>
      </c>
    </row>
    <row r="3044" spans="1:13" x14ac:dyDescent="0.25">
      <c r="A3044" s="74">
        <v>200176</v>
      </c>
      <c r="B3044" s="75" t="s">
        <v>279</v>
      </c>
      <c r="C3044" s="75" t="s">
        <v>865</v>
      </c>
      <c r="D3044" s="76">
        <v>46112</v>
      </c>
      <c r="E3044" s="75" t="s">
        <v>931</v>
      </c>
      <c r="F3044" s="74">
        <v>3659.22</v>
      </c>
      <c r="G3044" s="75" t="s">
        <v>430</v>
      </c>
      <c r="H3044" s="77" t="str">
        <f>VLOOKUP(DESPESAS[[#This Row],[Plano de Contas]],BASE!$B$3:$D$119,3,FALSE)</f>
        <v>Salarios e Ordenados MOD</v>
      </c>
      <c r="I3044" s="77" t="str">
        <f>IFERROR(VLOOKUP(DESPESAS[[#This Row],[Fornecedor]],Tabela2[],2,FALSE),"")</f>
        <v/>
      </c>
      <c r="J3044" s="77" t="str">
        <f>IFERROR(VLOOKUP(DESPESAS[[#This Row],[Plano de Contas]],BASE!$B$3:$F$119,4,FALSE),"")</f>
        <v>2 - CUSTOS DIRETOS</v>
      </c>
      <c r="K3044" s="77" t="str">
        <f>IFERROR(VLOOKUP(DESPESAS[[#This Row],[Plano de Contas]],BASE!$B$3:$H$119,5,FALSE),"")</f>
        <v>DH</v>
      </c>
      <c r="L3044" s="77" t="str">
        <f>IFERROR(VLOOKUP(DESPESAS[[#This Row],[Plano de Contas]],BASE!$B$3:$H$119,6,FALSE),"")</f>
        <v>CUSTO MÃO DE OBRA DIRETA</v>
      </c>
      <c r="M3044" s="77" t="str">
        <f>VLOOKUP(DESPESAS[[#This Row],[Plano de Contas]],BASE!$B$3:$H$119,7,FALSE)</f>
        <v>RAFAEL</v>
      </c>
    </row>
    <row r="3045" spans="1:13" x14ac:dyDescent="0.25">
      <c r="A3045" s="74">
        <v>200177</v>
      </c>
      <c r="B3045" s="75" t="s">
        <v>279</v>
      </c>
      <c r="C3045" s="75" t="s">
        <v>865</v>
      </c>
      <c r="D3045" s="76">
        <v>46112</v>
      </c>
      <c r="E3045" s="75" t="s">
        <v>930</v>
      </c>
      <c r="F3045" s="74">
        <v>2947.99</v>
      </c>
      <c r="G3045" s="75" t="s">
        <v>430</v>
      </c>
      <c r="H3045" s="77" t="str">
        <f>VLOOKUP(DESPESAS[[#This Row],[Plano de Contas]],BASE!$B$3:$D$119,3,FALSE)</f>
        <v>Salarios e Ordenados MOD</v>
      </c>
      <c r="I3045" s="77" t="str">
        <f>IFERROR(VLOOKUP(DESPESAS[[#This Row],[Fornecedor]],Tabela2[],2,FALSE),"")</f>
        <v/>
      </c>
      <c r="J3045" s="77" t="str">
        <f>IFERROR(VLOOKUP(DESPESAS[[#This Row],[Plano de Contas]],BASE!$B$3:$F$119,4,FALSE),"")</f>
        <v>2 - CUSTOS DIRETOS</v>
      </c>
      <c r="K3045" s="77" t="str">
        <f>IFERROR(VLOOKUP(DESPESAS[[#This Row],[Plano de Contas]],BASE!$B$3:$H$119,5,FALSE),"")</f>
        <v>DH</v>
      </c>
      <c r="L3045" s="77" t="str">
        <f>IFERROR(VLOOKUP(DESPESAS[[#This Row],[Plano de Contas]],BASE!$B$3:$H$119,6,FALSE),"")</f>
        <v>CUSTO MÃO DE OBRA DIRETA</v>
      </c>
      <c r="M3045" s="77" t="str">
        <f>VLOOKUP(DESPESAS[[#This Row],[Plano de Contas]],BASE!$B$3:$H$119,7,FALSE)</f>
        <v>RAFAEL</v>
      </c>
    </row>
    <row r="3046" spans="1:13" x14ac:dyDescent="0.25">
      <c r="A3046" s="74">
        <v>200178</v>
      </c>
      <c r="B3046" s="75" t="s">
        <v>279</v>
      </c>
      <c r="C3046" s="75" t="s">
        <v>865</v>
      </c>
      <c r="D3046" s="76">
        <v>46112</v>
      </c>
      <c r="E3046" s="75" t="s">
        <v>929</v>
      </c>
      <c r="F3046" s="74">
        <v>3717.02</v>
      </c>
      <c r="G3046" s="75" t="s">
        <v>430</v>
      </c>
      <c r="H3046" s="77" t="str">
        <f>VLOOKUP(DESPESAS[[#This Row],[Plano de Contas]],BASE!$B$3:$D$119,3,FALSE)</f>
        <v>Salarios e Ordenados MOD</v>
      </c>
      <c r="I3046" s="77" t="str">
        <f>IFERROR(VLOOKUP(DESPESAS[[#This Row],[Fornecedor]],Tabela2[],2,FALSE),"")</f>
        <v/>
      </c>
      <c r="J3046" s="77" t="str">
        <f>IFERROR(VLOOKUP(DESPESAS[[#This Row],[Plano de Contas]],BASE!$B$3:$F$119,4,FALSE),"")</f>
        <v>2 - CUSTOS DIRETOS</v>
      </c>
      <c r="K3046" s="77" t="str">
        <f>IFERROR(VLOOKUP(DESPESAS[[#This Row],[Plano de Contas]],BASE!$B$3:$H$119,5,FALSE),"")</f>
        <v>DH</v>
      </c>
      <c r="L3046" s="77" t="str">
        <f>IFERROR(VLOOKUP(DESPESAS[[#This Row],[Plano de Contas]],BASE!$B$3:$H$119,6,FALSE),"")</f>
        <v>CUSTO MÃO DE OBRA DIRETA</v>
      </c>
      <c r="M3046" s="77" t="str">
        <f>VLOOKUP(DESPESAS[[#This Row],[Plano de Contas]],BASE!$B$3:$H$119,7,FALSE)</f>
        <v>RAFAEL</v>
      </c>
    </row>
    <row r="3047" spans="1:13" x14ac:dyDescent="0.25">
      <c r="A3047" s="74">
        <v>200179</v>
      </c>
      <c r="B3047" s="75" t="s">
        <v>279</v>
      </c>
      <c r="C3047" s="75" t="s">
        <v>865</v>
      </c>
      <c r="D3047" s="76">
        <v>46112</v>
      </c>
      <c r="E3047" s="75" t="s">
        <v>928</v>
      </c>
      <c r="F3047" s="74">
        <v>3123.53</v>
      </c>
      <c r="G3047" s="75" t="s">
        <v>430</v>
      </c>
      <c r="H3047" s="77" t="str">
        <f>VLOOKUP(DESPESAS[[#This Row],[Plano de Contas]],BASE!$B$3:$D$119,3,FALSE)</f>
        <v>Salarios e Ordenados MOD</v>
      </c>
      <c r="I3047" s="77" t="str">
        <f>IFERROR(VLOOKUP(DESPESAS[[#This Row],[Fornecedor]],Tabela2[],2,FALSE),"")</f>
        <v/>
      </c>
      <c r="J3047" s="77" t="str">
        <f>IFERROR(VLOOKUP(DESPESAS[[#This Row],[Plano de Contas]],BASE!$B$3:$F$119,4,FALSE),"")</f>
        <v>2 - CUSTOS DIRETOS</v>
      </c>
      <c r="K3047" s="77" t="str">
        <f>IFERROR(VLOOKUP(DESPESAS[[#This Row],[Plano de Contas]],BASE!$B$3:$H$119,5,FALSE),"")</f>
        <v>DH</v>
      </c>
      <c r="L3047" s="77" t="str">
        <f>IFERROR(VLOOKUP(DESPESAS[[#This Row],[Plano de Contas]],BASE!$B$3:$H$119,6,FALSE),"")</f>
        <v>CUSTO MÃO DE OBRA DIRETA</v>
      </c>
      <c r="M3047" s="77" t="str">
        <f>VLOOKUP(DESPESAS[[#This Row],[Plano de Contas]],BASE!$B$3:$H$119,7,FALSE)</f>
        <v>RAFAEL</v>
      </c>
    </row>
    <row r="3048" spans="1:13" x14ac:dyDescent="0.25">
      <c r="A3048" s="74">
        <v>200180</v>
      </c>
      <c r="B3048" s="75" t="s">
        <v>279</v>
      </c>
      <c r="C3048" s="75" t="s">
        <v>865</v>
      </c>
      <c r="D3048" s="76">
        <v>46112</v>
      </c>
      <c r="E3048" s="75" t="s">
        <v>484</v>
      </c>
      <c r="F3048" s="74">
        <v>1969.43</v>
      </c>
      <c r="G3048" s="75" t="s">
        <v>627</v>
      </c>
      <c r="H3048" s="77" t="str">
        <f>VLOOKUP(DESPESAS[[#This Row],[Plano de Contas]],BASE!$B$3:$D$119,3,FALSE)</f>
        <v>Salarios e Ordenados (Adm)</v>
      </c>
      <c r="I3048" s="77" t="str">
        <f>IFERROR(VLOOKUP(DESPESAS[[#This Row],[Fornecedor]],Tabela2[],2,FALSE),"")</f>
        <v/>
      </c>
      <c r="J3048" s="77" t="str">
        <f>IFERROR(VLOOKUP(DESPESAS[[#This Row],[Plano de Contas]],BASE!$B$3:$F$119,4,FALSE),"")</f>
        <v>4 - GASTOS COM PESSOAL</v>
      </c>
      <c r="K3048" s="77" t="str">
        <f>IFERROR(VLOOKUP(DESPESAS[[#This Row],[Plano de Contas]],BASE!$B$3:$H$119,5,FALSE),"")</f>
        <v>DH</v>
      </c>
      <c r="L3048" s="77">
        <f>IFERROR(VLOOKUP(DESPESAS[[#This Row],[Plano de Contas]],BASE!$B$3:$H$119,6,FALSE),"")</f>
        <v>0</v>
      </c>
      <c r="M3048" s="77" t="str">
        <f>VLOOKUP(DESPESAS[[#This Row],[Plano de Contas]],BASE!$B$3:$H$119,7,FALSE)</f>
        <v>RAFAEL</v>
      </c>
    </row>
    <row r="3049" spans="1:13" x14ac:dyDescent="0.25">
      <c r="A3049" s="74">
        <v>200181</v>
      </c>
      <c r="B3049" s="75" t="s">
        <v>279</v>
      </c>
      <c r="C3049" s="75" t="s">
        <v>865</v>
      </c>
      <c r="D3049" s="76">
        <v>46112</v>
      </c>
      <c r="E3049" s="75" t="s">
        <v>927</v>
      </c>
      <c r="F3049" s="74">
        <v>2376.8200000000002</v>
      </c>
      <c r="G3049" s="75" t="s">
        <v>430</v>
      </c>
      <c r="H3049" s="77" t="str">
        <f>VLOOKUP(DESPESAS[[#This Row],[Plano de Contas]],BASE!$B$3:$D$119,3,FALSE)</f>
        <v>Salarios e Ordenados MOD</v>
      </c>
      <c r="I3049" s="77" t="str">
        <f>IFERROR(VLOOKUP(DESPESAS[[#This Row],[Fornecedor]],Tabela2[],2,FALSE),"")</f>
        <v/>
      </c>
      <c r="J3049" s="77" t="str">
        <f>IFERROR(VLOOKUP(DESPESAS[[#This Row],[Plano de Contas]],BASE!$B$3:$F$119,4,FALSE),"")</f>
        <v>2 - CUSTOS DIRETOS</v>
      </c>
      <c r="K3049" s="77" t="str">
        <f>IFERROR(VLOOKUP(DESPESAS[[#This Row],[Plano de Contas]],BASE!$B$3:$H$119,5,FALSE),"")</f>
        <v>DH</v>
      </c>
      <c r="L3049" s="77" t="str">
        <f>IFERROR(VLOOKUP(DESPESAS[[#This Row],[Plano de Contas]],BASE!$B$3:$H$119,6,FALSE),"")</f>
        <v>CUSTO MÃO DE OBRA DIRETA</v>
      </c>
      <c r="M3049" s="77" t="str">
        <f>VLOOKUP(DESPESAS[[#This Row],[Plano de Contas]],BASE!$B$3:$H$119,7,FALSE)</f>
        <v>RAFAEL</v>
      </c>
    </row>
    <row r="3050" spans="1:13" x14ac:dyDescent="0.25">
      <c r="A3050" s="74">
        <v>200182</v>
      </c>
      <c r="B3050" s="75" t="s">
        <v>279</v>
      </c>
      <c r="C3050" s="75" t="s">
        <v>865</v>
      </c>
      <c r="D3050" s="76">
        <v>46112</v>
      </c>
      <c r="E3050" s="75" t="s">
        <v>762</v>
      </c>
      <c r="F3050" s="74">
        <v>1905.59</v>
      </c>
      <c r="G3050" s="75" t="s">
        <v>430</v>
      </c>
      <c r="H3050" s="77" t="str">
        <f>VLOOKUP(DESPESAS[[#This Row],[Plano de Contas]],BASE!$B$3:$D$119,3,FALSE)</f>
        <v>Salarios e Ordenados MOD</v>
      </c>
      <c r="I3050" s="77" t="str">
        <f>IFERROR(VLOOKUP(DESPESAS[[#This Row],[Fornecedor]],Tabela2[],2,FALSE),"")</f>
        <v/>
      </c>
      <c r="J3050" s="77" t="str">
        <f>IFERROR(VLOOKUP(DESPESAS[[#This Row],[Plano de Contas]],BASE!$B$3:$F$119,4,FALSE),"")</f>
        <v>2 - CUSTOS DIRETOS</v>
      </c>
      <c r="K3050" s="77" t="str">
        <f>IFERROR(VLOOKUP(DESPESAS[[#This Row],[Plano de Contas]],BASE!$B$3:$H$119,5,FALSE),"")</f>
        <v>DH</v>
      </c>
      <c r="L3050" s="77" t="str">
        <f>IFERROR(VLOOKUP(DESPESAS[[#This Row],[Plano de Contas]],BASE!$B$3:$H$119,6,FALSE),"")</f>
        <v>CUSTO MÃO DE OBRA DIRETA</v>
      </c>
      <c r="M3050" s="77" t="str">
        <f>VLOOKUP(DESPESAS[[#This Row],[Plano de Contas]],BASE!$B$3:$H$119,7,FALSE)</f>
        <v>RAFAEL</v>
      </c>
    </row>
    <row r="3051" spans="1:13" x14ac:dyDescent="0.25">
      <c r="A3051" s="74">
        <v>200183</v>
      </c>
      <c r="B3051" s="75" t="s">
        <v>279</v>
      </c>
      <c r="C3051" s="75" t="s">
        <v>865</v>
      </c>
      <c r="D3051" s="76">
        <v>46112</v>
      </c>
      <c r="E3051" s="75" t="s">
        <v>926</v>
      </c>
      <c r="F3051" s="74">
        <v>3022.81</v>
      </c>
      <c r="G3051" s="75" t="s">
        <v>627</v>
      </c>
      <c r="H3051" s="77" t="str">
        <f>VLOOKUP(DESPESAS[[#This Row],[Plano de Contas]],BASE!$B$3:$D$119,3,FALSE)</f>
        <v>Salarios e Ordenados (Adm)</v>
      </c>
      <c r="I3051" s="77" t="str">
        <f>IFERROR(VLOOKUP(DESPESAS[[#This Row],[Fornecedor]],Tabela2[],2,FALSE),"")</f>
        <v/>
      </c>
      <c r="J3051" s="77" t="str">
        <f>IFERROR(VLOOKUP(DESPESAS[[#This Row],[Plano de Contas]],BASE!$B$3:$F$119,4,FALSE),"")</f>
        <v>4 - GASTOS COM PESSOAL</v>
      </c>
      <c r="K3051" s="77" t="str">
        <f>IFERROR(VLOOKUP(DESPESAS[[#This Row],[Plano de Contas]],BASE!$B$3:$H$119,5,FALSE),"")</f>
        <v>DH</v>
      </c>
      <c r="L3051" s="77">
        <f>IFERROR(VLOOKUP(DESPESAS[[#This Row],[Plano de Contas]],BASE!$B$3:$H$119,6,FALSE),"")</f>
        <v>0</v>
      </c>
      <c r="M3051" s="77" t="str">
        <f>VLOOKUP(DESPESAS[[#This Row],[Plano de Contas]],BASE!$B$3:$H$119,7,FALSE)</f>
        <v>RAFAEL</v>
      </c>
    </row>
    <row r="3052" spans="1:13" x14ac:dyDescent="0.25">
      <c r="A3052" s="74">
        <v>200184</v>
      </c>
      <c r="B3052" s="75" t="s">
        <v>279</v>
      </c>
      <c r="C3052" s="75" t="s">
        <v>865</v>
      </c>
      <c r="D3052" s="76">
        <v>46112</v>
      </c>
      <c r="E3052" s="75" t="s">
        <v>925</v>
      </c>
      <c r="F3052" s="74">
        <v>3003.28</v>
      </c>
      <c r="G3052" s="75" t="s">
        <v>430</v>
      </c>
      <c r="H3052" s="77" t="str">
        <f>VLOOKUP(DESPESAS[[#This Row],[Plano de Contas]],BASE!$B$3:$D$119,3,FALSE)</f>
        <v>Salarios e Ordenados MOD</v>
      </c>
      <c r="I3052" s="77" t="str">
        <f>IFERROR(VLOOKUP(DESPESAS[[#This Row],[Fornecedor]],Tabela2[],2,FALSE),"")</f>
        <v/>
      </c>
      <c r="J3052" s="77" t="str">
        <f>IFERROR(VLOOKUP(DESPESAS[[#This Row],[Plano de Contas]],BASE!$B$3:$F$119,4,FALSE),"")</f>
        <v>2 - CUSTOS DIRETOS</v>
      </c>
      <c r="K3052" s="77" t="str">
        <f>IFERROR(VLOOKUP(DESPESAS[[#This Row],[Plano de Contas]],BASE!$B$3:$H$119,5,FALSE),"")</f>
        <v>DH</v>
      </c>
      <c r="L3052" s="77" t="str">
        <f>IFERROR(VLOOKUP(DESPESAS[[#This Row],[Plano de Contas]],BASE!$B$3:$H$119,6,FALSE),"")</f>
        <v>CUSTO MÃO DE OBRA DIRETA</v>
      </c>
      <c r="M3052" s="77" t="str">
        <f>VLOOKUP(DESPESAS[[#This Row],[Plano de Contas]],BASE!$B$3:$H$119,7,FALSE)</f>
        <v>RAFAEL</v>
      </c>
    </row>
    <row r="3053" spans="1:13" x14ac:dyDescent="0.25">
      <c r="A3053" s="74">
        <v>200185</v>
      </c>
      <c r="B3053" s="75" t="s">
        <v>279</v>
      </c>
      <c r="C3053" s="75" t="s">
        <v>865</v>
      </c>
      <c r="D3053" s="76">
        <v>46112</v>
      </c>
      <c r="E3053" s="75" t="s">
        <v>924</v>
      </c>
      <c r="F3053" s="74">
        <v>4455.03</v>
      </c>
      <c r="G3053" s="75" t="s">
        <v>627</v>
      </c>
      <c r="H3053" s="77" t="str">
        <f>VLOOKUP(DESPESAS[[#This Row],[Plano de Contas]],BASE!$B$3:$D$119,3,FALSE)</f>
        <v>Salarios e Ordenados (Adm)</v>
      </c>
      <c r="I3053" s="77" t="str">
        <f>IFERROR(VLOOKUP(DESPESAS[[#This Row],[Fornecedor]],Tabela2[],2,FALSE),"")</f>
        <v/>
      </c>
      <c r="J3053" s="77" t="str">
        <f>IFERROR(VLOOKUP(DESPESAS[[#This Row],[Plano de Contas]],BASE!$B$3:$F$119,4,FALSE),"")</f>
        <v>4 - GASTOS COM PESSOAL</v>
      </c>
      <c r="K3053" s="77" t="str">
        <f>IFERROR(VLOOKUP(DESPESAS[[#This Row],[Plano de Contas]],BASE!$B$3:$H$119,5,FALSE),"")</f>
        <v>DH</v>
      </c>
      <c r="L3053" s="77">
        <f>IFERROR(VLOOKUP(DESPESAS[[#This Row],[Plano de Contas]],BASE!$B$3:$H$119,6,FALSE),"")</f>
        <v>0</v>
      </c>
      <c r="M3053" s="77" t="str">
        <f>VLOOKUP(DESPESAS[[#This Row],[Plano de Contas]],BASE!$B$3:$H$119,7,FALSE)</f>
        <v>RAFAEL</v>
      </c>
    </row>
    <row r="3054" spans="1:13" x14ac:dyDescent="0.25">
      <c r="A3054" s="74">
        <v>200186</v>
      </c>
      <c r="B3054" s="75" t="s">
        <v>279</v>
      </c>
      <c r="C3054" s="75" t="s">
        <v>865</v>
      </c>
      <c r="D3054" s="76">
        <v>46112</v>
      </c>
      <c r="E3054" s="75" t="s">
        <v>923</v>
      </c>
      <c r="F3054" s="74">
        <v>2747.42</v>
      </c>
      <c r="G3054" s="75" t="s">
        <v>430</v>
      </c>
      <c r="H3054" s="77" t="str">
        <f>VLOOKUP(DESPESAS[[#This Row],[Plano de Contas]],BASE!$B$3:$D$119,3,FALSE)</f>
        <v>Salarios e Ordenados MOD</v>
      </c>
      <c r="I3054" s="77" t="str">
        <f>IFERROR(VLOOKUP(DESPESAS[[#This Row],[Fornecedor]],Tabela2[],2,FALSE),"")</f>
        <v/>
      </c>
      <c r="J3054" s="77" t="str">
        <f>IFERROR(VLOOKUP(DESPESAS[[#This Row],[Plano de Contas]],BASE!$B$3:$F$119,4,FALSE),"")</f>
        <v>2 - CUSTOS DIRETOS</v>
      </c>
      <c r="K3054" s="77" t="str">
        <f>IFERROR(VLOOKUP(DESPESAS[[#This Row],[Plano de Contas]],BASE!$B$3:$H$119,5,FALSE),"")</f>
        <v>DH</v>
      </c>
      <c r="L3054" s="77" t="str">
        <f>IFERROR(VLOOKUP(DESPESAS[[#This Row],[Plano de Contas]],BASE!$B$3:$H$119,6,FALSE),"")</f>
        <v>CUSTO MÃO DE OBRA DIRETA</v>
      </c>
      <c r="M3054" s="77" t="str">
        <f>VLOOKUP(DESPESAS[[#This Row],[Plano de Contas]],BASE!$B$3:$H$119,7,FALSE)</f>
        <v>RAFAEL</v>
      </c>
    </row>
    <row r="3055" spans="1:13" x14ac:dyDescent="0.25">
      <c r="A3055" s="74">
        <v>200187</v>
      </c>
      <c r="B3055" s="75" t="s">
        <v>279</v>
      </c>
      <c r="C3055" s="75" t="s">
        <v>865</v>
      </c>
      <c r="D3055" s="76">
        <v>46112</v>
      </c>
      <c r="E3055" s="75" t="s">
        <v>922</v>
      </c>
      <c r="F3055" s="74">
        <v>1562.35</v>
      </c>
      <c r="G3055" s="75" t="s">
        <v>430</v>
      </c>
      <c r="H3055" s="77" t="str">
        <f>VLOOKUP(DESPESAS[[#This Row],[Plano de Contas]],BASE!$B$3:$D$119,3,FALSE)</f>
        <v>Salarios e Ordenados MOD</v>
      </c>
      <c r="I3055" s="77" t="str">
        <f>IFERROR(VLOOKUP(DESPESAS[[#This Row],[Fornecedor]],Tabela2[],2,FALSE),"")</f>
        <v/>
      </c>
      <c r="J3055" s="77" t="str">
        <f>IFERROR(VLOOKUP(DESPESAS[[#This Row],[Plano de Contas]],BASE!$B$3:$F$119,4,FALSE),"")</f>
        <v>2 - CUSTOS DIRETOS</v>
      </c>
      <c r="K3055" s="77" t="str">
        <f>IFERROR(VLOOKUP(DESPESAS[[#This Row],[Plano de Contas]],BASE!$B$3:$H$119,5,FALSE),"")</f>
        <v>DH</v>
      </c>
      <c r="L3055" s="77" t="str">
        <f>IFERROR(VLOOKUP(DESPESAS[[#This Row],[Plano de Contas]],BASE!$B$3:$H$119,6,FALSE),"")</f>
        <v>CUSTO MÃO DE OBRA DIRETA</v>
      </c>
      <c r="M3055" s="77" t="str">
        <f>VLOOKUP(DESPESAS[[#This Row],[Plano de Contas]],BASE!$B$3:$H$119,7,FALSE)</f>
        <v>RAFAEL</v>
      </c>
    </row>
    <row r="3056" spans="1:13" x14ac:dyDescent="0.25">
      <c r="A3056" s="74">
        <v>200188</v>
      </c>
      <c r="B3056" s="75" t="s">
        <v>279</v>
      </c>
      <c r="C3056" s="75" t="s">
        <v>865</v>
      </c>
      <c r="D3056" s="76">
        <v>46112</v>
      </c>
      <c r="E3056" s="75" t="s">
        <v>921</v>
      </c>
      <c r="F3056" s="74">
        <v>1384.37</v>
      </c>
      <c r="G3056" s="75" t="s">
        <v>653</v>
      </c>
      <c r="H3056" s="77" t="str">
        <f>VLOOKUP(DESPESAS[[#This Row],[Plano de Contas]],BASE!$B$3:$D$119,3,FALSE)</f>
        <v>Salarios e Ordenados CIF</v>
      </c>
      <c r="I3056" s="77" t="str">
        <f>IFERROR(VLOOKUP(DESPESAS[[#This Row],[Fornecedor]],Tabela2[],2,FALSE),"")</f>
        <v/>
      </c>
      <c r="J3056" s="77" t="str">
        <f>IFERROR(VLOOKUP(DESPESAS[[#This Row],[Plano de Contas]],BASE!$B$3:$F$119,4,FALSE),"")</f>
        <v>3 - CUSTOS INDIRETOS</v>
      </c>
      <c r="K3056" s="77" t="str">
        <f>IFERROR(VLOOKUP(DESPESAS[[#This Row],[Plano de Contas]],BASE!$B$3:$H$119,5,FALSE),"")</f>
        <v>DH</v>
      </c>
      <c r="L3056" s="77" t="str">
        <f>IFERROR(VLOOKUP(DESPESAS[[#This Row],[Plano de Contas]],BASE!$B$3:$H$119,6,FALSE),"")</f>
        <v>CUSTO MÃO DE OBRA DIRETA</v>
      </c>
      <c r="M3056" s="77" t="str">
        <f>VLOOKUP(DESPESAS[[#This Row],[Plano de Contas]],BASE!$B$3:$H$119,7,FALSE)</f>
        <v>RAFAEL</v>
      </c>
    </row>
    <row r="3057" spans="1:13" x14ac:dyDescent="0.25">
      <c r="A3057" s="74">
        <v>200189</v>
      </c>
      <c r="B3057" s="75" t="s">
        <v>279</v>
      </c>
      <c r="C3057" s="75" t="s">
        <v>865</v>
      </c>
      <c r="D3057" s="76">
        <v>46112</v>
      </c>
      <c r="E3057" s="75" t="s">
        <v>920</v>
      </c>
      <c r="F3057" s="74">
        <v>2866.45</v>
      </c>
      <c r="G3057" s="75" t="s">
        <v>430</v>
      </c>
      <c r="H3057" s="77" t="str">
        <f>VLOOKUP(DESPESAS[[#This Row],[Plano de Contas]],BASE!$B$3:$D$119,3,FALSE)</f>
        <v>Salarios e Ordenados MOD</v>
      </c>
      <c r="I3057" s="77" t="str">
        <f>IFERROR(VLOOKUP(DESPESAS[[#This Row],[Fornecedor]],Tabela2[],2,FALSE),"")</f>
        <v/>
      </c>
      <c r="J3057" s="77" t="str">
        <f>IFERROR(VLOOKUP(DESPESAS[[#This Row],[Plano de Contas]],BASE!$B$3:$F$119,4,FALSE),"")</f>
        <v>2 - CUSTOS DIRETOS</v>
      </c>
      <c r="K3057" s="77" t="str">
        <f>IFERROR(VLOOKUP(DESPESAS[[#This Row],[Plano de Contas]],BASE!$B$3:$H$119,5,FALSE),"")</f>
        <v>DH</v>
      </c>
      <c r="L3057" s="77" t="str">
        <f>IFERROR(VLOOKUP(DESPESAS[[#This Row],[Plano de Contas]],BASE!$B$3:$H$119,6,FALSE),"")</f>
        <v>CUSTO MÃO DE OBRA DIRETA</v>
      </c>
      <c r="M3057" s="77" t="str">
        <f>VLOOKUP(DESPESAS[[#This Row],[Plano de Contas]],BASE!$B$3:$H$119,7,FALSE)</f>
        <v>RAFAEL</v>
      </c>
    </row>
    <row r="3058" spans="1:13" x14ac:dyDescent="0.25">
      <c r="A3058" s="74">
        <v>200190</v>
      </c>
      <c r="B3058" s="75" t="s">
        <v>279</v>
      </c>
      <c r="C3058" s="75" t="s">
        <v>865</v>
      </c>
      <c r="D3058" s="76">
        <v>46112</v>
      </c>
      <c r="E3058" s="75" t="s">
        <v>919</v>
      </c>
      <c r="F3058" s="74">
        <v>1793.23</v>
      </c>
      <c r="G3058" s="75" t="s">
        <v>430</v>
      </c>
      <c r="H3058" s="77" t="str">
        <f>VLOOKUP(DESPESAS[[#This Row],[Plano de Contas]],BASE!$B$3:$D$119,3,FALSE)</f>
        <v>Salarios e Ordenados MOD</v>
      </c>
      <c r="I3058" s="77" t="str">
        <f>IFERROR(VLOOKUP(DESPESAS[[#This Row],[Fornecedor]],Tabela2[],2,FALSE),"")</f>
        <v/>
      </c>
      <c r="J3058" s="77" t="str">
        <f>IFERROR(VLOOKUP(DESPESAS[[#This Row],[Plano de Contas]],BASE!$B$3:$F$119,4,FALSE),"")</f>
        <v>2 - CUSTOS DIRETOS</v>
      </c>
      <c r="K3058" s="77" t="str">
        <f>IFERROR(VLOOKUP(DESPESAS[[#This Row],[Plano de Contas]],BASE!$B$3:$H$119,5,FALSE),"")</f>
        <v>DH</v>
      </c>
      <c r="L3058" s="77" t="str">
        <f>IFERROR(VLOOKUP(DESPESAS[[#This Row],[Plano de Contas]],BASE!$B$3:$H$119,6,FALSE),"")</f>
        <v>CUSTO MÃO DE OBRA DIRETA</v>
      </c>
      <c r="M3058" s="77" t="str">
        <f>VLOOKUP(DESPESAS[[#This Row],[Plano de Contas]],BASE!$B$3:$H$119,7,FALSE)</f>
        <v>RAFAEL</v>
      </c>
    </row>
    <row r="3059" spans="1:13" x14ac:dyDescent="0.25">
      <c r="A3059" s="74">
        <v>200191</v>
      </c>
      <c r="B3059" s="75" t="s">
        <v>279</v>
      </c>
      <c r="C3059" s="75" t="s">
        <v>865</v>
      </c>
      <c r="D3059" s="76">
        <v>46112</v>
      </c>
      <c r="E3059" s="75" t="s">
        <v>918</v>
      </c>
      <c r="F3059" s="74">
        <v>3382.62</v>
      </c>
      <c r="G3059" s="75" t="s">
        <v>430</v>
      </c>
      <c r="H3059" s="77" t="str">
        <f>VLOOKUP(DESPESAS[[#This Row],[Plano de Contas]],BASE!$B$3:$D$119,3,FALSE)</f>
        <v>Salarios e Ordenados MOD</v>
      </c>
      <c r="I3059" s="77" t="str">
        <f>IFERROR(VLOOKUP(DESPESAS[[#This Row],[Fornecedor]],Tabela2[],2,FALSE),"")</f>
        <v/>
      </c>
      <c r="J3059" s="77" t="str">
        <f>IFERROR(VLOOKUP(DESPESAS[[#This Row],[Plano de Contas]],BASE!$B$3:$F$119,4,FALSE),"")</f>
        <v>2 - CUSTOS DIRETOS</v>
      </c>
      <c r="K3059" s="77" t="str">
        <f>IFERROR(VLOOKUP(DESPESAS[[#This Row],[Plano de Contas]],BASE!$B$3:$H$119,5,FALSE),"")</f>
        <v>DH</v>
      </c>
      <c r="L3059" s="77" t="str">
        <f>IFERROR(VLOOKUP(DESPESAS[[#This Row],[Plano de Contas]],BASE!$B$3:$H$119,6,FALSE),"")</f>
        <v>CUSTO MÃO DE OBRA DIRETA</v>
      </c>
      <c r="M3059" s="77" t="str">
        <f>VLOOKUP(DESPESAS[[#This Row],[Plano de Contas]],BASE!$B$3:$H$119,7,FALSE)</f>
        <v>RAFAEL</v>
      </c>
    </row>
    <row r="3060" spans="1:13" x14ac:dyDescent="0.25">
      <c r="A3060" s="74">
        <v>200192</v>
      </c>
      <c r="B3060" s="75" t="s">
        <v>279</v>
      </c>
      <c r="C3060" s="75" t="s">
        <v>865</v>
      </c>
      <c r="D3060" s="76">
        <v>46112</v>
      </c>
      <c r="E3060" s="75" t="s">
        <v>917</v>
      </c>
      <c r="F3060" s="74">
        <v>2313.86</v>
      </c>
      <c r="G3060" s="75" t="s">
        <v>627</v>
      </c>
      <c r="H3060" s="77" t="str">
        <f>VLOOKUP(DESPESAS[[#This Row],[Plano de Contas]],BASE!$B$3:$D$119,3,FALSE)</f>
        <v>Salarios e Ordenados (Adm)</v>
      </c>
      <c r="I3060" s="77" t="str">
        <f>IFERROR(VLOOKUP(DESPESAS[[#This Row],[Fornecedor]],Tabela2[],2,FALSE),"")</f>
        <v/>
      </c>
      <c r="J3060" s="77" t="str">
        <f>IFERROR(VLOOKUP(DESPESAS[[#This Row],[Plano de Contas]],BASE!$B$3:$F$119,4,FALSE),"")</f>
        <v>4 - GASTOS COM PESSOAL</v>
      </c>
      <c r="K3060" s="77" t="str">
        <f>IFERROR(VLOOKUP(DESPESAS[[#This Row],[Plano de Contas]],BASE!$B$3:$H$119,5,FALSE),"")</f>
        <v>DH</v>
      </c>
      <c r="L3060" s="77">
        <f>IFERROR(VLOOKUP(DESPESAS[[#This Row],[Plano de Contas]],BASE!$B$3:$H$119,6,FALSE),"")</f>
        <v>0</v>
      </c>
      <c r="M3060" s="77" t="str">
        <f>VLOOKUP(DESPESAS[[#This Row],[Plano de Contas]],BASE!$B$3:$H$119,7,FALSE)</f>
        <v>RAFAEL</v>
      </c>
    </row>
    <row r="3061" spans="1:13" x14ac:dyDescent="0.25">
      <c r="A3061" s="74">
        <v>200193</v>
      </c>
      <c r="B3061" s="75" t="s">
        <v>279</v>
      </c>
      <c r="C3061" s="75" t="s">
        <v>865</v>
      </c>
      <c r="D3061" s="76">
        <v>46112</v>
      </c>
      <c r="E3061" s="75" t="s">
        <v>752</v>
      </c>
      <c r="F3061" s="74">
        <v>7140.76</v>
      </c>
      <c r="G3061" s="75" t="s">
        <v>627</v>
      </c>
      <c r="H3061" s="77" t="str">
        <f>VLOOKUP(DESPESAS[[#This Row],[Plano de Contas]],BASE!$B$3:$D$119,3,FALSE)</f>
        <v>Salarios e Ordenados (Adm)</v>
      </c>
      <c r="I3061" s="77" t="str">
        <f>IFERROR(VLOOKUP(DESPESAS[[#This Row],[Fornecedor]],Tabela2[],2,FALSE),"")</f>
        <v/>
      </c>
      <c r="J3061" s="77" t="str">
        <f>IFERROR(VLOOKUP(DESPESAS[[#This Row],[Plano de Contas]],BASE!$B$3:$F$119,4,FALSE),"")</f>
        <v>4 - GASTOS COM PESSOAL</v>
      </c>
      <c r="K3061" s="77" t="str">
        <f>IFERROR(VLOOKUP(DESPESAS[[#This Row],[Plano de Contas]],BASE!$B$3:$H$119,5,FALSE),"")</f>
        <v>DH</v>
      </c>
      <c r="L3061" s="77">
        <f>IFERROR(VLOOKUP(DESPESAS[[#This Row],[Plano de Contas]],BASE!$B$3:$H$119,6,FALSE),"")</f>
        <v>0</v>
      </c>
      <c r="M3061" s="77" t="str">
        <f>VLOOKUP(DESPESAS[[#This Row],[Plano de Contas]],BASE!$B$3:$H$119,7,FALSE)</f>
        <v>RAFAEL</v>
      </c>
    </row>
    <row r="3062" spans="1:13" x14ac:dyDescent="0.25">
      <c r="A3062" s="74">
        <v>200194</v>
      </c>
      <c r="B3062" s="75" t="s">
        <v>279</v>
      </c>
      <c r="C3062" s="75" t="s">
        <v>865</v>
      </c>
      <c r="D3062" s="76">
        <v>46112</v>
      </c>
      <c r="E3062" s="75" t="s">
        <v>916</v>
      </c>
      <c r="F3062" s="74">
        <v>4133.32</v>
      </c>
      <c r="G3062" s="75" t="s">
        <v>627</v>
      </c>
      <c r="H3062" s="77" t="str">
        <f>VLOOKUP(DESPESAS[[#This Row],[Plano de Contas]],BASE!$B$3:$D$119,3,FALSE)</f>
        <v>Salarios e Ordenados (Adm)</v>
      </c>
      <c r="I3062" s="77" t="str">
        <f>IFERROR(VLOOKUP(DESPESAS[[#This Row],[Fornecedor]],Tabela2[],2,FALSE),"")</f>
        <v/>
      </c>
      <c r="J3062" s="77" t="str">
        <f>IFERROR(VLOOKUP(DESPESAS[[#This Row],[Plano de Contas]],BASE!$B$3:$F$119,4,FALSE),"")</f>
        <v>4 - GASTOS COM PESSOAL</v>
      </c>
      <c r="K3062" s="77" t="str">
        <f>IFERROR(VLOOKUP(DESPESAS[[#This Row],[Plano de Contas]],BASE!$B$3:$H$119,5,FALSE),"")</f>
        <v>DH</v>
      </c>
      <c r="L3062" s="77">
        <f>IFERROR(VLOOKUP(DESPESAS[[#This Row],[Plano de Contas]],BASE!$B$3:$H$119,6,FALSE),"")</f>
        <v>0</v>
      </c>
      <c r="M3062" s="77" t="str">
        <f>VLOOKUP(DESPESAS[[#This Row],[Plano de Contas]],BASE!$B$3:$H$119,7,FALSE)</f>
        <v>RAFAEL</v>
      </c>
    </row>
    <row r="3063" spans="1:13" x14ac:dyDescent="0.25">
      <c r="A3063" s="74">
        <v>200195</v>
      </c>
      <c r="B3063" s="75" t="s">
        <v>279</v>
      </c>
      <c r="C3063" s="75" t="s">
        <v>865</v>
      </c>
      <c r="D3063" s="76">
        <v>46112</v>
      </c>
      <c r="E3063" s="75" t="s">
        <v>915</v>
      </c>
      <c r="F3063" s="74">
        <v>3476.14</v>
      </c>
      <c r="G3063" s="75" t="s">
        <v>430</v>
      </c>
      <c r="H3063" s="77" t="str">
        <f>VLOOKUP(DESPESAS[[#This Row],[Plano de Contas]],BASE!$B$3:$D$119,3,FALSE)</f>
        <v>Salarios e Ordenados MOD</v>
      </c>
      <c r="I3063" s="77" t="str">
        <f>IFERROR(VLOOKUP(DESPESAS[[#This Row],[Fornecedor]],Tabela2[],2,FALSE),"")</f>
        <v/>
      </c>
      <c r="J3063" s="77" t="str">
        <f>IFERROR(VLOOKUP(DESPESAS[[#This Row],[Plano de Contas]],BASE!$B$3:$F$119,4,FALSE),"")</f>
        <v>2 - CUSTOS DIRETOS</v>
      </c>
      <c r="K3063" s="77" t="str">
        <f>IFERROR(VLOOKUP(DESPESAS[[#This Row],[Plano de Contas]],BASE!$B$3:$H$119,5,FALSE),"")</f>
        <v>DH</v>
      </c>
      <c r="L3063" s="77" t="str">
        <f>IFERROR(VLOOKUP(DESPESAS[[#This Row],[Plano de Contas]],BASE!$B$3:$H$119,6,FALSE),"")</f>
        <v>CUSTO MÃO DE OBRA DIRETA</v>
      </c>
      <c r="M3063" s="77" t="str">
        <f>VLOOKUP(DESPESAS[[#This Row],[Plano de Contas]],BASE!$B$3:$H$119,7,FALSE)</f>
        <v>RAFAEL</v>
      </c>
    </row>
    <row r="3064" spans="1:13" x14ac:dyDescent="0.25">
      <c r="A3064" s="74">
        <v>200196</v>
      </c>
      <c r="B3064" s="75" t="s">
        <v>279</v>
      </c>
      <c r="C3064" s="75" t="s">
        <v>865</v>
      </c>
      <c r="D3064" s="76">
        <v>46112</v>
      </c>
      <c r="E3064" s="75" t="s">
        <v>914</v>
      </c>
      <c r="F3064" s="74">
        <v>2951.55</v>
      </c>
      <c r="G3064" s="75" t="s">
        <v>653</v>
      </c>
      <c r="H3064" s="77" t="str">
        <f>VLOOKUP(DESPESAS[[#This Row],[Plano de Contas]],BASE!$B$3:$D$119,3,FALSE)</f>
        <v>Salarios e Ordenados CIF</v>
      </c>
      <c r="I3064" s="77" t="str">
        <f>IFERROR(VLOOKUP(DESPESAS[[#This Row],[Fornecedor]],Tabela2[],2,FALSE),"")</f>
        <v/>
      </c>
      <c r="J3064" s="77" t="str">
        <f>IFERROR(VLOOKUP(DESPESAS[[#This Row],[Plano de Contas]],BASE!$B$3:$F$119,4,FALSE),"")</f>
        <v>3 - CUSTOS INDIRETOS</v>
      </c>
      <c r="K3064" s="77" t="str">
        <f>IFERROR(VLOOKUP(DESPESAS[[#This Row],[Plano de Contas]],BASE!$B$3:$H$119,5,FALSE),"")</f>
        <v>DH</v>
      </c>
      <c r="L3064" s="77" t="str">
        <f>IFERROR(VLOOKUP(DESPESAS[[#This Row],[Plano de Contas]],BASE!$B$3:$H$119,6,FALSE),"")</f>
        <v>CUSTO MÃO DE OBRA DIRETA</v>
      </c>
      <c r="M3064" s="77" t="str">
        <f>VLOOKUP(DESPESAS[[#This Row],[Plano de Contas]],BASE!$B$3:$H$119,7,FALSE)</f>
        <v>RAFAEL</v>
      </c>
    </row>
    <row r="3065" spans="1:13" x14ac:dyDescent="0.25">
      <c r="A3065" s="74">
        <v>200197</v>
      </c>
      <c r="B3065" s="75" t="s">
        <v>279</v>
      </c>
      <c r="C3065" s="75" t="s">
        <v>865</v>
      </c>
      <c r="D3065" s="76">
        <v>46112</v>
      </c>
      <c r="E3065" s="75" t="s">
        <v>913</v>
      </c>
      <c r="F3065" s="74">
        <v>3623.86</v>
      </c>
      <c r="G3065" s="75" t="s">
        <v>430</v>
      </c>
      <c r="H3065" s="77" t="str">
        <f>VLOOKUP(DESPESAS[[#This Row],[Plano de Contas]],BASE!$B$3:$D$119,3,FALSE)</f>
        <v>Salarios e Ordenados MOD</v>
      </c>
      <c r="I3065" s="77" t="str">
        <f>IFERROR(VLOOKUP(DESPESAS[[#This Row],[Fornecedor]],Tabela2[],2,FALSE),"")</f>
        <v/>
      </c>
      <c r="J3065" s="77" t="str">
        <f>IFERROR(VLOOKUP(DESPESAS[[#This Row],[Plano de Contas]],BASE!$B$3:$F$119,4,FALSE),"")</f>
        <v>2 - CUSTOS DIRETOS</v>
      </c>
      <c r="K3065" s="77" t="str">
        <f>IFERROR(VLOOKUP(DESPESAS[[#This Row],[Plano de Contas]],BASE!$B$3:$H$119,5,FALSE),"")</f>
        <v>DH</v>
      </c>
      <c r="L3065" s="77" t="str">
        <f>IFERROR(VLOOKUP(DESPESAS[[#This Row],[Plano de Contas]],BASE!$B$3:$H$119,6,FALSE),"")</f>
        <v>CUSTO MÃO DE OBRA DIRETA</v>
      </c>
      <c r="M3065" s="77" t="str">
        <f>VLOOKUP(DESPESAS[[#This Row],[Plano de Contas]],BASE!$B$3:$H$119,7,FALSE)</f>
        <v>RAFAEL</v>
      </c>
    </row>
    <row r="3066" spans="1:13" x14ac:dyDescent="0.25">
      <c r="A3066" s="74">
        <v>200198</v>
      </c>
      <c r="B3066" s="75" t="s">
        <v>279</v>
      </c>
      <c r="C3066" s="75" t="s">
        <v>865</v>
      </c>
      <c r="D3066" s="76">
        <v>46112</v>
      </c>
      <c r="E3066" s="75" t="s">
        <v>850</v>
      </c>
      <c r="F3066" s="74">
        <v>3594.16</v>
      </c>
      <c r="G3066" s="75" t="s">
        <v>430</v>
      </c>
      <c r="H3066" s="77" t="str">
        <f>VLOOKUP(DESPESAS[[#This Row],[Plano de Contas]],BASE!$B$3:$D$119,3,FALSE)</f>
        <v>Salarios e Ordenados MOD</v>
      </c>
      <c r="I3066" s="77" t="str">
        <f>IFERROR(VLOOKUP(DESPESAS[[#This Row],[Fornecedor]],Tabela2[],2,FALSE),"")</f>
        <v/>
      </c>
      <c r="J3066" s="77" t="str">
        <f>IFERROR(VLOOKUP(DESPESAS[[#This Row],[Plano de Contas]],BASE!$B$3:$F$119,4,FALSE),"")</f>
        <v>2 - CUSTOS DIRETOS</v>
      </c>
      <c r="K3066" s="77" t="str">
        <f>IFERROR(VLOOKUP(DESPESAS[[#This Row],[Plano de Contas]],BASE!$B$3:$H$119,5,FALSE),"")</f>
        <v>DH</v>
      </c>
      <c r="L3066" s="77" t="str">
        <f>IFERROR(VLOOKUP(DESPESAS[[#This Row],[Plano de Contas]],BASE!$B$3:$H$119,6,FALSE),"")</f>
        <v>CUSTO MÃO DE OBRA DIRETA</v>
      </c>
      <c r="M3066" s="77" t="str">
        <f>VLOOKUP(DESPESAS[[#This Row],[Plano de Contas]],BASE!$B$3:$H$119,7,FALSE)</f>
        <v>RAFAEL</v>
      </c>
    </row>
    <row r="3067" spans="1:13" x14ac:dyDescent="0.25">
      <c r="A3067" s="74">
        <v>200199</v>
      </c>
      <c r="B3067" s="75" t="s">
        <v>279</v>
      </c>
      <c r="C3067" s="75" t="s">
        <v>865</v>
      </c>
      <c r="D3067" s="76">
        <v>46112</v>
      </c>
      <c r="E3067" s="75" t="s">
        <v>912</v>
      </c>
      <c r="F3067" s="74">
        <v>2944.73</v>
      </c>
      <c r="G3067" s="75" t="s">
        <v>430</v>
      </c>
      <c r="H3067" s="77" t="str">
        <f>VLOOKUP(DESPESAS[[#This Row],[Plano de Contas]],BASE!$B$3:$D$119,3,FALSE)</f>
        <v>Salarios e Ordenados MOD</v>
      </c>
      <c r="I3067" s="77" t="str">
        <f>IFERROR(VLOOKUP(DESPESAS[[#This Row],[Fornecedor]],Tabela2[],2,FALSE),"")</f>
        <v/>
      </c>
      <c r="J3067" s="77" t="str">
        <f>IFERROR(VLOOKUP(DESPESAS[[#This Row],[Plano de Contas]],BASE!$B$3:$F$119,4,FALSE),"")</f>
        <v>2 - CUSTOS DIRETOS</v>
      </c>
      <c r="K3067" s="77" t="str">
        <f>IFERROR(VLOOKUP(DESPESAS[[#This Row],[Plano de Contas]],BASE!$B$3:$H$119,5,FALSE),"")</f>
        <v>DH</v>
      </c>
      <c r="L3067" s="77" t="str">
        <f>IFERROR(VLOOKUP(DESPESAS[[#This Row],[Plano de Contas]],BASE!$B$3:$H$119,6,FALSE),"")</f>
        <v>CUSTO MÃO DE OBRA DIRETA</v>
      </c>
      <c r="M3067" s="77" t="str">
        <f>VLOOKUP(DESPESAS[[#This Row],[Plano de Contas]],BASE!$B$3:$H$119,7,FALSE)</f>
        <v>RAFAEL</v>
      </c>
    </row>
    <row r="3068" spans="1:13" x14ac:dyDescent="0.25">
      <c r="A3068" s="74">
        <v>200200</v>
      </c>
      <c r="B3068" s="75" t="s">
        <v>279</v>
      </c>
      <c r="C3068" s="75" t="s">
        <v>865</v>
      </c>
      <c r="D3068" s="76">
        <v>46112</v>
      </c>
      <c r="E3068" s="75" t="s">
        <v>911</v>
      </c>
      <c r="F3068" s="74">
        <v>1671.37</v>
      </c>
      <c r="G3068" s="75" t="s">
        <v>430</v>
      </c>
      <c r="H3068" s="77" t="str">
        <f>VLOOKUP(DESPESAS[[#This Row],[Plano de Contas]],BASE!$B$3:$D$119,3,FALSE)</f>
        <v>Salarios e Ordenados MOD</v>
      </c>
      <c r="I3068" s="77" t="str">
        <f>IFERROR(VLOOKUP(DESPESAS[[#This Row],[Fornecedor]],Tabela2[],2,FALSE),"")</f>
        <v/>
      </c>
      <c r="J3068" s="77" t="str">
        <f>IFERROR(VLOOKUP(DESPESAS[[#This Row],[Plano de Contas]],BASE!$B$3:$F$119,4,FALSE),"")</f>
        <v>2 - CUSTOS DIRETOS</v>
      </c>
      <c r="K3068" s="77" t="str">
        <f>IFERROR(VLOOKUP(DESPESAS[[#This Row],[Plano de Contas]],BASE!$B$3:$H$119,5,FALSE),"")</f>
        <v>DH</v>
      </c>
      <c r="L3068" s="77" t="str">
        <f>IFERROR(VLOOKUP(DESPESAS[[#This Row],[Plano de Contas]],BASE!$B$3:$H$119,6,FALSE),"")</f>
        <v>CUSTO MÃO DE OBRA DIRETA</v>
      </c>
      <c r="M3068" s="77" t="str">
        <f>VLOOKUP(DESPESAS[[#This Row],[Plano de Contas]],BASE!$B$3:$H$119,7,FALSE)</f>
        <v>RAFAEL</v>
      </c>
    </row>
    <row r="3069" spans="1:13" x14ac:dyDescent="0.25">
      <c r="A3069" s="74">
        <v>200201</v>
      </c>
      <c r="B3069" s="75" t="s">
        <v>279</v>
      </c>
      <c r="C3069" s="75" t="s">
        <v>865</v>
      </c>
      <c r="D3069" s="76">
        <v>46112</v>
      </c>
      <c r="E3069" s="75" t="s">
        <v>277</v>
      </c>
      <c r="F3069" s="74">
        <v>2595.02</v>
      </c>
      <c r="G3069" s="75" t="s">
        <v>430</v>
      </c>
      <c r="H3069" s="77" t="str">
        <f>VLOOKUP(DESPESAS[[#This Row],[Plano de Contas]],BASE!$B$3:$D$119,3,FALSE)</f>
        <v>Salarios e Ordenados MOD</v>
      </c>
      <c r="I3069" s="77" t="str">
        <f>IFERROR(VLOOKUP(DESPESAS[[#This Row],[Fornecedor]],Tabela2[],2,FALSE),"")</f>
        <v/>
      </c>
      <c r="J3069" s="77" t="str">
        <f>IFERROR(VLOOKUP(DESPESAS[[#This Row],[Plano de Contas]],BASE!$B$3:$F$119,4,FALSE),"")</f>
        <v>2 - CUSTOS DIRETOS</v>
      </c>
      <c r="K3069" s="77" t="str">
        <f>IFERROR(VLOOKUP(DESPESAS[[#This Row],[Plano de Contas]],BASE!$B$3:$H$119,5,FALSE),"")</f>
        <v>DH</v>
      </c>
      <c r="L3069" s="77" t="str">
        <f>IFERROR(VLOOKUP(DESPESAS[[#This Row],[Plano de Contas]],BASE!$B$3:$H$119,6,FALSE),"")</f>
        <v>CUSTO MÃO DE OBRA DIRETA</v>
      </c>
      <c r="M3069" s="77" t="str">
        <f>VLOOKUP(DESPESAS[[#This Row],[Plano de Contas]],BASE!$B$3:$H$119,7,FALSE)</f>
        <v>RAFAEL</v>
      </c>
    </row>
    <row r="3070" spans="1:13" x14ac:dyDescent="0.25">
      <c r="A3070" s="74">
        <v>200202</v>
      </c>
      <c r="B3070" s="75" t="s">
        <v>279</v>
      </c>
      <c r="C3070" s="75" t="s">
        <v>865</v>
      </c>
      <c r="D3070" s="76">
        <v>46112</v>
      </c>
      <c r="E3070" s="75" t="s">
        <v>910</v>
      </c>
      <c r="F3070" s="74">
        <v>2278.17</v>
      </c>
      <c r="G3070" s="75" t="s">
        <v>627</v>
      </c>
      <c r="H3070" s="77" t="str">
        <f>VLOOKUP(DESPESAS[[#This Row],[Plano de Contas]],BASE!$B$3:$D$119,3,FALSE)</f>
        <v>Salarios e Ordenados (Adm)</v>
      </c>
      <c r="I3070" s="77" t="str">
        <f>IFERROR(VLOOKUP(DESPESAS[[#This Row],[Fornecedor]],Tabela2[],2,FALSE),"")</f>
        <v/>
      </c>
      <c r="J3070" s="77" t="str">
        <f>IFERROR(VLOOKUP(DESPESAS[[#This Row],[Plano de Contas]],BASE!$B$3:$F$119,4,FALSE),"")</f>
        <v>4 - GASTOS COM PESSOAL</v>
      </c>
      <c r="K3070" s="77" t="str">
        <f>IFERROR(VLOOKUP(DESPESAS[[#This Row],[Plano de Contas]],BASE!$B$3:$H$119,5,FALSE),"")</f>
        <v>DH</v>
      </c>
      <c r="L3070" s="77">
        <f>IFERROR(VLOOKUP(DESPESAS[[#This Row],[Plano de Contas]],BASE!$B$3:$H$119,6,FALSE),"")</f>
        <v>0</v>
      </c>
      <c r="M3070" s="77" t="str">
        <f>VLOOKUP(DESPESAS[[#This Row],[Plano de Contas]],BASE!$B$3:$H$119,7,FALSE)</f>
        <v>RAFAEL</v>
      </c>
    </row>
    <row r="3071" spans="1:13" x14ac:dyDescent="0.25">
      <c r="A3071" s="74">
        <v>200203</v>
      </c>
      <c r="B3071" s="75" t="s">
        <v>279</v>
      </c>
      <c r="C3071" s="75" t="s">
        <v>865</v>
      </c>
      <c r="D3071" s="76">
        <v>46112</v>
      </c>
      <c r="E3071" s="75" t="s">
        <v>909</v>
      </c>
      <c r="F3071" s="74">
        <v>3020.03</v>
      </c>
      <c r="G3071" s="75" t="s">
        <v>430</v>
      </c>
      <c r="H3071" s="77" t="str">
        <f>VLOOKUP(DESPESAS[[#This Row],[Plano de Contas]],BASE!$B$3:$D$119,3,FALSE)</f>
        <v>Salarios e Ordenados MOD</v>
      </c>
      <c r="I3071" s="77" t="str">
        <f>IFERROR(VLOOKUP(DESPESAS[[#This Row],[Fornecedor]],Tabela2[],2,FALSE),"")</f>
        <v/>
      </c>
      <c r="J3071" s="77" t="str">
        <f>IFERROR(VLOOKUP(DESPESAS[[#This Row],[Plano de Contas]],BASE!$B$3:$F$119,4,FALSE),"")</f>
        <v>2 - CUSTOS DIRETOS</v>
      </c>
      <c r="K3071" s="77" t="str">
        <f>IFERROR(VLOOKUP(DESPESAS[[#This Row],[Plano de Contas]],BASE!$B$3:$H$119,5,FALSE),"")</f>
        <v>DH</v>
      </c>
      <c r="L3071" s="77" t="str">
        <f>IFERROR(VLOOKUP(DESPESAS[[#This Row],[Plano de Contas]],BASE!$B$3:$H$119,6,FALSE),"")</f>
        <v>CUSTO MÃO DE OBRA DIRETA</v>
      </c>
      <c r="M3071" s="77" t="str">
        <f>VLOOKUP(DESPESAS[[#This Row],[Plano de Contas]],BASE!$B$3:$H$119,7,FALSE)</f>
        <v>RAFAEL</v>
      </c>
    </row>
    <row r="3072" spans="1:13" x14ac:dyDescent="0.25">
      <c r="A3072" s="74">
        <v>200204</v>
      </c>
      <c r="B3072" s="75" t="s">
        <v>279</v>
      </c>
      <c r="C3072" s="75" t="s">
        <v>865</v>
      </c>
      <c r="D3072" s="76">
        <v>46112</v>
      </c>
      <c r="E3072" s="75" t="s">
        <v>908</v>
      </c>
      <c r="F3072" s="74">
        <v>3021.41</v>
      </c>
      <c r="G3072" s="75" t="s">
        <v>430</v>
      </c>
      <c r="H3072" s="77" t="str">
        <f>VLOOKUP(DESPESAS[[#This Row],[Plano de Contas]],BASE!$B$3:$D$119,3,FALSE)</f>
        <v>Salarios e Ordenados MOD</v>
      </c>
      <c r="I3072" s="77" t="str">
        <f>IFERROR(VLOOKUP(DESPESAS[[#This Row],[Fornecedor]],Tabela2[],2,FALSE),"")</f>
        <v/>
      </c>
      <c r="J3072" s="77" t="str">
        <f>IFERROR(VLOOKUP(DESPESAS[[#This Row],[Plano de Contas]],BASE!$B$3:$F$119,4,FALSE),"")</f>
        <v>2 - CUSTOS DIRETOS</v>
      </c>
      <c r="K3072" s="77" t="str">
        <f>IFERROR(VLOOKUP(DESPESAS[[#This Row],[Plano de Contas]],BASE!$B$3:$H$119,5,FALSE),"")</f>
        <v>DH</v>
      </c>
      <c r="L3072" s="77" t="str">
        <f>IFERROR(VLOOKUP(DESPESAS[[#This Row],[Plano de Contas]],BASE!$B$3:$H$119,6,FALSE),"")</f>
        <v>CUSTO MÃO DE OBRA DIRETA</v>
      </c>
      <c r="M3072" s="77" t="str">
        <f>VLOOKUP(DESPESAS[[#This Row],[Plano de Contas]],BASE!$B$3:$H$119,7,FALSE)</f>
        <v>RAFAEL</v>
      </c>
    </row>
    <row r="3073" spans="1:13" x14ac:dyDescent="0.25">
      <c r="A3073" s="74">
        <v>200205</v>
      </c>
      <c r="B3073" s="75" t="s">
        <v>279</v>
      </c>
      <c r="C3073" s="75" t="s">
        <v>865</v>
      </c>
      <c r="D3073" s="76">
        <v>46112</v>
      </c>
      <c r="E3073" s="75" t="s">
        <v>847</v>
      </c>
      <c r="F3073" s="74">
        <v>3524.54</v>
      </c>
      <c r="G3073" s="75" t="s">
        <v>430</v>
      </c>
      <c r="H3073" s="77" t="str">
        <f>VLOOKUP(DESPESAS[[#This Row],[Plano de Contas]],BASE!$B$3:$D$119,3,FALSE)</f>
        <v>Salarios e Ordenados MOD</v>
      </c>
      <c r="I3073" s="77" t="str">
        <f>IFERROR(VLOOKUP(DESPESAS[[#This Row],[Fornecedor]],Tabela2[],2,FALSE),"")</f>
        <v/>
      </c>
      <c r="J3073" s="77" t="str">
        <f>IFERROR(VLOOKUP(DESPESAS[[#This Row],[Plano de Contas]],BASE!$B$3:$F$119,4,FALSE),"")</f>
        <v>2 - CUSTOS DIRETOS</v>
      </c>
      <c r="K3073" s="77" t="str">
        <f>IFERROR(VLOOKUP(DESPESAS[[#This Row],[Plano de Contas]],BASE!$B$3:$H$119,5,FALSE),"")</f>
        <v>DH</v>
      </c>
      <c r="L3073" s="77" t="str">
        <f>IFERROR(VLOOKUP(DESPESAS[[#This Row],[Plano de Contas]],BASE!$B$3:$H$119,6,FALSE),"")</f>
        <v>CUSTO MÃO DE OBRA DIRETA</v>
      </c>
      <c r="M3073" s="77" t="str">
        <f>VLOOKUP(DESPESAS[[#This Row],[Plano de Contas]],BASE!$B$3:$H$119,7,FALSE)</f>
        <v>RAFAEL</v>
      </c>
    </row>
    <row r="3074" spans="1:13" x14ac:dyDescent="0.25">
      <c r="A3074" s="74">
        <v>200206</v>
      </c>
      <c r="B3074" s="75" t="s">
        <v>279</v>
      </c>
      <c r="C3074" s="75" t="s">
        <v>865</v>
      </c>
      <c r="D3074" s="76">
        <v>46112</v>
      </c>
      <c r="E3074" s="75" t="s">
        <v>907</v>
      </c>
      <c r="F3074" s="74">
        <v>4056.65</v>
      </c>
      <c r="G3074" s="75" t="s">
        <v>430</v>
      </c>
      <c r="H3074" s="77" t="str">
        <f>VLOOKUP(DESPESAS[[#This Row],[Plano de Contas]],BASE!$B$3:$D$119,3,FALSE)</f>
        <v>Salarios e Ordenados MOD</v>
      </c>
      <c r="I3074" s="77" t="str">
        <f>IFERROR(VLOOKUP(DESPESAS[[#This Row],[Fornecedor]],Tabela2[],2,FALSE),"")</f>
        <v/>
      </c>
      <c r="J3074" s="77" t="str">
        <f>IFERROR(VLOOKUP(DESPESAS[[#This Row],[Plano de Contas]],BASE!$B$3:$F$119,4,FALSE),"")</f>
        <v>2 - CUSTOS DIRETOS</v>
      </c>
      <c r="K3074" s="77" t="str">
        <f>IFERROR(VLOOKUP(DESPESAS[[#This Row],[Plano de Contas]],BASE!$B$3:$H$119,5,FALSE),"")</f>
        <v>DH</v>
      </c>
      <c r="L3074" s="77" t="str">
        <f>IFERROR(VLOOKUP(DESPESAS[[#This Row],[Plano de Contas]],BASE!$B$3:$H$119,6,FALSE),"")</f>
        <v>CUSTO MÃO DE OBRA DIRETA</v>
      </c>
      <c r="M3074" s="77" t="str">
        <f>VLOOKUP(DESPESAS[[#This Row],[Plano de Contas]],BASE!$B$3:$H$119,7,FALSE)</f>
        <v>RAFAEL</v>
      </c>
    </row>
    <row r="3075" spans="1:13" x14ac:dyDescent="0.25">
      <c r="A3075" s="74">
        <v>200207</v>
      </c>
      <c r="B3075" s="75" t="s">
        <v>279</v>
      </c>
      <c r="C3075" s="75" t="s">
        <v>865</v>
      </c>
      <c r="D3075" s="76">
        <v>46112</v>
      </c>
      <c r="E3075" s="75" t="s">
        <v>906</v>
      </c>
      <c r="F3075" s="74">
        <v>2054.19</v>
      </c>
      <c r="G3075" s="75" t="s">
        <v>627</v>
      </c>
      <c r="H3075" s="77" t="str">
        <f>VLOOKUP(DESPESAS[[#This Row],[Plano de Contas]],BASE!$B$3:$D$119,3,FALSE)</f>
        <v>Salarios e Ordenados (Adm)</v>
      </c>
      <c r="I3075" s="77" t="str">
        <f>IFERROR(VLOOKUP(DESPESAS[[#This Row],[Fornecedor]],Tabela2[],2,FALSE),"")</f>
        <v/>
      </c>
      <c r="J3075" s="77" t="str">
        <f>IFERROR(VLOOKUP(DESPESAS[[#This Row],[Plano de Contas]],BASE!$B$3:$F$119,4,FALSE),"")</f>
        <v>4 - GASTOS COM PESSOAL</v>
      </c>
      <c r="K3075" s="77" t="str">
        <f>IFERROR(VLOOKUP(DESPESAS[[#This Row],[Plano de Contas]],BASE!$B$3:$H$119,5,FALSE),"")</f>
        <v>DH</v>
      </c>
      <c r="L3075" s="77">
        <f>IFERROR(VLOOKUP(DESPESAS[[#This Row],[Plano de Contas]],BASE!$B$3:$H$119,6,FALSE),"")</f>
        <v>0</v>
      </c>
      <c r="M3075" s="77" t="str">
        <f>VLOOKUP(DESPESAS[[#This Row],[Plano de Contas]],BASE!$B$3:$H$119,7,FALSE)</f>
        <v>RAFAEL</v>
      </c>
    </row>
    <row r="3076" spans="1:13" x14ac:dyDescent="0.25">
      <c r="A3076" s="74">
        <v>200208</v>
      </c>
      <c r="B3076" s="75" t="s">
        <v>279</v>
      </c>
      <c r="C3076" s="75" t="s">
        <v>865</v>
      </c>
      <c r="D3076" s="76">
        <v>46112</v>
      </c>
      <c r="E3076" s="75" t="s">
        <v>905</v>
      </c>
      <c r="F3076" s="74">
        <v>3732.86</v>
      </c>
      <c r="G3076" s="75" t="s">
        <v>430</v>
      </c>
      <c r="H3076" s="77" t="str">
        <f>VLOOKUP(DESPESAS[[#This Row],[Plano de Contas]],BASE!$B$3:$D$119,3,FALSE)</f>
        <v>Salarios e Ordenados MOD</v>
      </c>
      <c r="I3076" s="77" t="str">
        <f>IFERROR(VLOOKUP(DESPESAS[[#This Row],[Fornecedor]],Tabela2[],2,FALSE),"")</f>
        <v/>
      </c>
      <c r="J3076" s="77" t="str">
        <f>IFERROR(VLOOKUP(DESPESAS[[#This Row],[Plano de Contas]],BASE!$B$3:$F$119,4,FALSE),"")</f>
        <v>2 - CUSTOS DIRETOS</v>
      </c>
      <c r="K3076" s="77" t="str">
        <f>IFERROR(VLOOKUP(DESPESAS[[#This Row],[Plano de Contas]],BASE!$B$3:$H$119,5,FALSE),"")</f>
        <v>DH</v>
      </c>
      <c r="L3076" s="77" t="str">
        <f>IFERROR(VLOOKUP(DESPESAS[[#This Row],[Plano de Contas]],BASE!$B$3:$H$119,6,FALSE),"")</f>
        <v>CUSTO MÃO DE OBRA DIRETA</v>
      </c>
      <c r="M3076" s="77" t="str">
        <f>VLOOKUP(DESPESAS[[#This Row],[Plano de Contas]],BASE!$B$3:$H$119,7,FALSE)</f>
        <v>RAFAEL</v>
      </c>
    </row>
    <row r="3077" spans="1:13" x14ac:dyDescent="0.25">
      <c r="A3077" s="74">
        <v>200209</v>
      </c>
      <c r="B3077" s="75" t="s">
        <v>279</v>
      </c>
      <c r="C3077" s="75" t="s">
        <v>865</v>
      </c>
      <c r="D3077" s="76">
        <v>46112</v>
      </c>
      <c r="E3077" s="75" t="s">
        <v>904</v>
      </c>
      <c r="F3077" s="74">
        <v>1914.64</v>
      </c>
      <c r="G3077" s="75" t="s">
        <v>627</v>
      </c>
      <c r="H3077" s="77" t="str">
        <f>VLOOKUP(DESPESAS[[#This Row],[Plano de Contas]],BASE!$B$3:$D$119,3,FALSE)</f>
        <v>Salarios e Ordenados (Adm)</v>
      </c>
      <c r="I3077" s="77" t="str">
        <f>IFERROR(VLOOKUP(DESPESAS[[#This Row],[Fornecedor]],Tabela2[],2,FALSE),"")</f>
        <v/>
      </c>
      <c r="J3077" s="77" t="str">
        <f>IFERROR(VLOOKUP(DESPESAS[[#This Row],[Plano de Contas]],BASE!$B$3:$F$119,4,FALSE),"")</f>
        <v>4 - GASTOS COM PESSOAL</v>
      </c>
      <c r="K3077" s="77" t="str">
        <f>IFERROR(VLOOKUP(DESPESAS[[#This Row],[Plano de Contas]],BASE!$B$3:$H$119,5,FALSE),"")</f>
        <v>DH</v>
      </c>
      <c r="L3077" s="77">
        <f>IFERROR(VLOOKUP(DESPESAS[[#This Row],[Plano de Contas]],BASE!$B$3:$H$119,6,FALSE),"")</f>
        <v>0</v>
      </c>
      <c r="M3077" s="77" t="str">
        <f>VLOOKUP(DESPESAS[[#This Row],[Plano de Contas]],BASE!$B$3:$H$119,7,FALSE)</f>
        <v>RAFAEL</v>
      </c>
    </row>
    <row r="3078" spans="1:13" x14ac:dyDescent="0.25">
      <c r="A3078" s="74">
        <v>200210</v>
      </c>
      <c r="B3078" s="75" t="s">
        <v>279</v>
      </c>
      <c r="C3078" s="75" t="s">
        <v>865</v>
      </c>
      <c r="D3078" s="76">
        <v>46112</v>
      </c>
      <c r="E3078" s="75" t="s">
        <v>903</v>
      </c>
      <c r="F3078" s="74">
        <v>2447.44</v>
      </c>
      <c r="G3078" s="75" t="s">
        <v>430</v>
      </c>
      <c r="H3078" s="77" t="str">
        <f>VLOOKUP(DESPESAS[[#This Row],[Plano de Contas]],BASE!$B$3:$D$119,3,FALSE)</f>
        <v>Salarios e Ordenados MOD</v>
      </c>
      <c r="I3078" s="77" t="str">
        <f>IFERROR(VLOOKUP(DESPESAS[[#This Row],[Fornecedor]],Tabela2[],2,FALSE),"")</f>
        <v/>
      </c>
      <c r="J3078" s="77" t="str">
        <f>IFERROR(VLOOKUP(DESPESAS[[#This Row],[Plano de Contas]],BASE!$B$3:$F$119,4,FALSE),"")</f>
        <v>2 - CUSTOS DIRETOS</v>
      </c>
      <c r="K3078" s="77" t="str">
        <f>IFERROR(VLOOKUP(DESPESAS[[#This Row],[Plano de Contas]],BASE!$B$3:$H$119,5,FALSE),"")</f>
        <v>DH</v>
      </c>
      <c r="L3078" s="77" t="str">
        <f>IFERROR(VLOOKUP(DESPESAS[[#This Row],[Plano de Contas]],BASE!$B$3:$H$119,6,FALSE),"")</f>
        <v>CUSTO MÃO DE OBRA DIRETA</v>
      </c>
      <c r="M3078" s="77" t="str">
        <f>VLOOKUP(DESPESAS[[#This Row],[Plano de Contas]],BASE!$B$3:$H$119,7,FALSE)</f>
        <v>RAFAEL</v>
      </c>
    </row>
    <row r="3079" spans="1:13" x14ac:dyDescent="0.25">
      <c r="A3079" s="74">
        <v>200211</v>
      </c>
      <c r="B3079" s="75" t="s">
        <v>279</v>
      </c>
      <c r="C3079" s="75" t="s">
        <v>865</v>
      </c>
      <c r="D3079" s="76">
        <v>46112</v>
      </c>
      <c r="E3079" s="75" t="s">
        <v>843</v>
      </c>
      <c r="F3079" s="74">
        <v>4633.41</v>
      </c>
      <c r="G3079" s="75" t="s">
        <v>627</v>
      </c>
      <c r="H3079" s="77" t="str">
        <f>VLOOKUP(DESPESAS[[#This Row],[Plano de Contas]],BASE!$B$3:$D$119,3,FALSE)</f>
        <v>Salarios e Ordenados (Adm)</v>
      </c>
      <c r="I3079" s="77" t="str">
        <f>IFERROR(VLOOKUP(DESPESAS[[#This Row],[Fornecedor]],Tabela2[],2,FALSE),"")</f>
        <v/>
      </c>
      <c r="J3079" s="77" t="str">
        <f>IFERROR(VLOOKUP(DESPESAS[[#This Row],[Plano de Contas]],BASE!$B$3:$F$119,4,FALSE),"")</f>
        <v>4 - GASTOS COM PESSOAL</v>
      </c>
      <c r="K3079" s="77" t="str">
        <f>IFERROR(VLOOKUP(DESPESAS[[#This Row],[Plano de Contas]],BASE!$B$3:$H$119,5,FALSE),"")</f>
        <v>DH</v>
      </c>
      <c r="L3079" s="77">
        <f>IFERROR(VLOOKUP(DESPESAS[[#This Row],[Plano de Contas]],BASE!$B$3:$H$119,6,FALSE),"")</f>
        <v>0</v>
      </c>
      <c r="M3079" s="77" t="str">
        <f>VLOOKUP(DESPESAS[[#This Row],[Plano de Contas]],BASE!$B$3:$H$119,7,FALSE)</f>
        <v>RAFAEL</v>
      </c>
    </row>
    <row r="3080" spans="1:13" x14ac:dyDescent="0.25">
      <c r="A3080" s="74">
        <v>200212</v>
      </c>
      <c r="B3080" s="75" t="s">
        <v>279</v>
      </c>
      <c r="C3080" s="75" t="s">
        <v>865</v>
      </c>
      <c r="D3080" s="76">
        <v>46112</v>
      </c>
      <c r="E3080" s="75" t="s">
        <v>902</v>
      </c>
      <c r="F3080" s="74">
        <v>2891.21</v>
      </c>
      <c r="G3080" s="75" t="s">
        <v>430</v>
      </c>
      <c r="H3080" s="77" t="str">
        <f>VLOOKUP(DESPESAS[[#This Row],[Plano de Contas]],BASE!$B$3:$D$119,3,FALSE)</f>
        <v>Salarios e Ordenados MOD</v>
      </c>
      <c r="I3080" s="77" t="str">
        <f>IFERROR(VLOOKUP(DESPESAS[[#This Row],[Fornecedor]],Tabela2[],2,FALSE),"")</f>
        <v/>
      </c>
      <c r="J3080" s="77" t="str">
        <f>IFERROR(VLOOKUP(DESPESAS[[#This Row],[Plano de Contas]],BASE!$B$3:$F$119,4,FALSE),"")</f>
        <v>2 - CUSTOS DIRETOS</v>
      </c>
      <c r="K3080" s="77" t="str">
        <f>IFERROR(VLOOKUP(DESPESAS[[#This Row],[Plano de Contas]],BASE!$B$3:$H$119,5,FALSE),"")</f>
        <v>DH</v>
      </c>
      <c r="L3080" s="77" t="str">
        <f>IFERROR(VLOOKUP(DESPESAS[[#This Row],[Plano de Contas]],BASE!$B$3:$H$119,6,FALSE),"")</f>
        <v>CUSTO MÃO DE OBRA DIRETA</v>
      </c>
      <c r="M3080" s="77" t="str">
        <f>VLOOKUP(DESPESAS[[#This Row],[Plano de Contas]],BASE!$B$3:$H$119,7,FALSE)</f>
        <v>RAFAEL</v>
      </c>
    </row>
    <row r="3081" spans="1:13" x14ac:dyDescent="0.25">
      <c r="A3081" s="74">
        <v>200213</v>
      </c>
      <c r="B3081" s="75" t="s">
        <v>279</v>
      </c>
      <c r="C3081" s="75" t="s">
        <v>901</v>
      </c>
      <c r="D3081" s="76">
        <v>46112</v>
      </c>
      <c r="E3081" s="75" t="s">
        <v>900</v>
      </c>
      <c r="F3081" s="74">
        <v>1061.73</v>
      </c>
      <c r="G3081" s="75" t="s">
        <v>653</v>
      </c>
      <c r="H3081" s="77" t="str">
        <f>VLOOKUP(DESPESAS[[#This Row],[Plano de Contas]],BASE!$B$3:$D$119,3,FALSE)</f>
        <v>Salarios e Ordenados CIF</v>
      </c>
      <c r="I3081" s="77" t="str">
        <f>IFERROR(VLOOKUP(DESPESAS[[#This Row],[Fornecedor]],Tabela2[],2,FALSE),"")</f>
        <v/>
      </c>
      <c r="J3081" s="77" t="str">
        <f>IFERROR(VLOOKUP(DESPESAS[[#This Row],[Plano de Contas]],BASE!$B$3:$F$119,4,FALSE),"")</f>
        <v>3 - CUSTOS INDIRETOS</v>
      </c>
      <c r="K3081" s="77" t="str">
        <f>IFERROR(VLOOKUP(DESPESAS[[#This Row],[Plano de Contas]],BASE!$B$3:$H$119,5,FALSE),"")</f>
        <v>DH</v>
      </c>
      <c r="L3081" s="77" t="str">
        <f>IFERROR(VLOOKUP(DESPESAS[[#This Row],[Plano de Contas]],BASE!$B$3:$H$119,6,FALSE),"")</f>
        <v>CUSTO MÃO DE OBRA DIRETA</v>
      </c>
      <c r="M3081" s="77" t="str">
        <f>VLOOKUP(DESPESAS[[#This Row],[Plano de Contas]],BASE!$B$3:$H$119,7,FALSE)</f>
        <v>RAFAEL</v>
      </c>
    </row>
    <row r="3082" spans="1:13" x14ac:dyDescent="0.25">
      <c r="A3082" s="74">
        <v>200214</v>
      </c>
      <c r="B3082" s="75" t="s">
        <v>232</v>
      </c>
      <c r="C3082" s="75" t="s">
        <v>865</v>
      </c>
      <c r="D3082" s="76">
        <v>46112</v>
      </c>
      <c r="E3082" s="75" t="s">
        <v>899</v>
      </c>
      <c r="F3082" s="74">
        <v>2395.33</v>
      </c>
      <c r="G3082" s="75" t="s">
        <v>430</v>
      </c>
      <c r="H3082" s="77" t="str">
        <f>VLOOKUP(DESPESAS[[#This Row],[Plano de Contas]],BASE!$B$3:$D$119,3,FALSE)</f>
        <v>Salarios e Ordenados MOD</v>
      </c>
      <c r="I3082" s="77" t="str">
        <f>IFERROR(VLOOKUP(DESPESAS[[#This Row],[Fornecedor]],Tabela2[],2,FALSE),"")</f>
        <v/>
      </c>
      <c r="J3082" s="77" t="str">
        <f>IFERROR(VLOOKUP(DESPESAS[[#This Row],[Plano de Contas]],BASE!$B$3:$F$119,4,FALSE),"")</f>
        <v>2 - CUSTOS DIRETOS</v>
      </c>
      <c r="K3082" s="77" t="str">
        <f>IFERROR(VLOOKUP(DESPESAS[[#This Row],[Plano de Contas]],BASE!$B$3:$H$119,5,FALSE),"")</f>
        <v>DH</v>
      </c>
      <c r="L3082" s="77" t="str">
        <f>IFERROR(VLOOKUP(DESPESAS[[#This Row],[Plano de Contas]],BASE!$B$3:$H$119,6,FALSE),"")</f>
        <v>CUSTO MÃO DE OBRA DIRETA</v>
      </c>
      <c r="M3082" s="77" t="str">
        <f>VLOOKUP(DESPESAS[[#This Row],[Plano de Contas]],BASE!$B$3:$H$119,7,FALSE)</f>
        <v>RAFAEL</v>
      </c>
    </row>
    <row r="3083" spans="1:13" x14ac:dyDescent="0.25">
      <c r="A3083" s="74">
        <v>200215</v>
      </c>
      <c r="B3083" s="75" t="s">
        <v>232</v>
      </c>
      <c r="C3083" s="75" t="s">
        <v>865</v>
      </c>
      <c r="D3083" s="76">
        <v>46112</v>
      </c>
      <c r="E3083" s="75" t="s">
        <v>898</v>
      </c>
      <c r="F3083" s="74">
        <v>1263.06</v>
      </c>
      <c r="G3083" s="75" t="s">
        <v>430</v>
      </c>
      <c r="H3083" s="77" t="str">
        <f>VLOOKUP(DESPESAS[[#This Row],[Plano de Contas]],BASE!$B$3:$D$119,3,FALSE)</f>
        <v>Salarios e Ordenados MOD</v>
      </c>
      <c r="I3083" s="77" t="str">
        <f>IFERROR(VLOOKUP(DESPESAS[[#This Row],[Fornecedor]],Tabela2[],2,FALSE),"")</f>
        <v/>
      </c>
      <c r="J3083" s="77" t="str">
        <f>IFERROR(VLOOKUP(DESPESAS[[#This Row],[Plano de Contas]],BASE!$B$3:$F$119,4,FALSE),"")</f>
        <v>2 - CUSTOS DIRETOS</v>
      </c>
      <c r="K3083" s="77" t="str">
        <f>IFERROR(VLOOKUP(DESPESAS[[#This Row],[Plano de Contas]],BASE!$B$3:$H$119,5,FALSE),"")</f>
        <v>DH</v>
      </c>
      <c r="L3083" s="77" t="str">
        <f>IFERROR(VLOOKUP(DESPESAS[[#This Row],[Plano de Contas]],BASE!$B$3:$H$119,6,FALSE),"")</f>
        <v>CUSTO MÃO DE OBRA DIRETA</v>
      </c>
      <c r="M3083" s="77" t="str">
        <f>VLOOKUP(DESPESAS[[#This Row],[Plano de Contas]],BASE!$B$3:$H$119,7,FALSE)</f>
        <v>RAFAEL</v>
      </c>
    </row>
    <row r="3084" spans="1:13" x14ac:dyDescent="0.25">
      <c r="A3084" s="74">
        <v>200216</v>
      </c>
      <c r="B3084" s="75" t="s">
        <v>232</v>
      </c>
      <c r="C3084" s="75" t="s">
        <v>865</v>
      </c>
      <c r="D3084" s="76">
        <v>46112</v>
      </c>
      <c r="E3084" s="75" t="s">
        <v>897</v>
      </c>
      <c r="F3084" s="74">
        <v>3039.24</v>
      </c>
      <c r="G3084" s="75" t="s">
        <v>430</v>
      </c>
      <c r="H3084" s="77" t="str">
        <f>VLOOKUP(DESPESAS[[#This Row],[Plano de Contas]],BASE!$B$3:$D$119,3,FALSE)</f>
        <v>Salarios e Ordenados MOD</v>
      </c>
      <c r="I3084" s="77" t="str">
        <f>IFERROR(VLOOKUP(DESPESAS[[#This Row],[Fornecedor]],Tabela2[],2,FALSE),"")</f>
        <v/>
      </c>
      <c r="J3084" s="77" t="str">
        <f>IFERROR(VLOOKUP(DESPESAS[[#This Row],[Plano de Contas]],BASE!$B$3:$F$119,4,FALSE),"")</f>
        <v>2 - CUSTOS DIRETOS</v>
      </c>
      <c r="K3084" s="77" t="str">
        <f>IFERROR(VLOOKUP(DESPESAS[[#This Row],[Plano de Contas]],BASE!$B$3:$H$119,5,FALSE),"")</f>
        <v>DH</v>
      </c>
      <c r="L3084" s="77" t="str">
        <f>IFERROR(VLOOKUP(DESPESAS[[#This Row],[Plano de Contas]],BASE!$B$3:$H$119,6,FALSE),"")</f>
        <v>CUSTO MÃO DE OBRA DIRETA</v>
      </c>
      <c r="M3084" s="77" t="str">
        <f>VLOOKUP(DESPESAS[[#This Row],[Plano de Contas]],BASE!$B$3:$H$119,7,FALSE)</f>
        <v>RAFAEL</v>
      </c>
    </row>
    <row r="3085" spans="1:13" x14ac:dyDescent="0.25">
      <c r="A3085" s="74">
        <v>200217</v>
      </c>
      <c r="B3085" s="75" t="s">
        <v>232</v>
      </c>
      <c r="C3085" s="75" t="s">
        <v>865</v>
      </c>
      <c r="D3085" s="76">
        <v>46112</v>
      </c>
      <c r="E3085" s="75" t="s">
        <v>896</v>
      </c>
      <c r="F3085" s="74">
        <v>1835.61</v>
      </c>
      <c r="G3085" s="75" t="s">
        <v>653</v>
      </c>
      <c r="H3085" s="77" t="str">
        <f>VLOOKUP(DESPESAS[[#This Row],[Plano de Contas]],BASE!$B$3:$D$119,3,FALSE)</f>
        <v>Salarios e Ordenados CIF</v>
      </c>
      <c r="I3085" s="77" t="str">
        <f>IFERROR(VLOOKUP(DESPESAS[[#This Row],[Fornecedor]],Tabela2[],2,FALSE),"")</f>
        <v/>
      </c>
      <c r="J3085" s="77" t="str">
        <f>IFERROR(VLOOKUP(DESPESAS[[#This Row],[Plano de Contas]],BASE!$B$3:$F$119,4,FALSE),"")</f>
        <v>3 - CUSTOS INDIRETOS</v>
      </c>
      <c r="K3085" s="77" t="str">
        <f>IFERROR(VLOOKUP(DESPESAS[[#This Row],[Plano de Contas]],BASE!$B$3:$H$119,5,FALSE),"")</f>
        <v>DH</v>
      </c>
      <c r="L3085" s="77" t="str">
        <f>IFERROR(VLOOKUP(DESPESAS[[#This Row],[Plano de Contas]],BASE!$B$3:$H$119,6,FALSE),"")</f>
        <v>CUSTO MÃO DE OBRA DIRETA</v>
      </c>
      <c r="M3085" s="77" t="str">
        <f>VLOOKUP(DESPESAS[[#This Row],[Plano de Contas]],BASE!$B$3:$H$119,7,FALSE)</f>
        <v>RAFAEL</v>
      </c>
    </row>
    <row r="3086" spans="1:13" x14ac:dyDescent="0.25">
      <c r="A3086" s="74">
        <v>200218</v>
      </c>
      <c r="B3086" s="75" t="s">
        <v>232</v>
      </c>
      <c r="C3086" s="75" t="s">
        <v>865</v>
      </c>
      <c r="D3086" s="76">
        <v>46112</v>
      </c>
      <c r="E3086" s="75" t="s">
        <v>474</v>
      </c>
      <c r="F3086" s="74">
        <v>2991.95</v>
      </c>
      <c r="G3086" s="75" t="s">
        <v>627</v>
      </c>
      <c r="H3086" s="77" t="str">
        <f>VLOOKUP(DESPESAS[[#This Row],[Plano de Contas]],BASE!$B$3:$D$119,3,FALSE)</f>
        <v>Salarios e Ordenados (Adm)</v>
      </c>
      <c r="I3086" s="77" t="str">
        <f>IFERROR(VLOOKUP(DESPESAS[[#This Row],[Fornecedor]],Tabela2[],2,FALSE),"")</f>
        <v/>
      </c>
      <c r="J3086" s="77" t="str">
        <f>IFERROR(VLOOKUP(DESPESAS[[#This Row],[Plano de Contas]],BASE!$B$3:$F$119,4,FALSE),"")</f>
        <v>4 - GASTOS COM PESSOAL</v>
      </c>
      <c r="K3086" s="77" t="str">
        <f>IFERROR(VLOOKUP(DESPESAS[[#This Row],[Plano de Contas]],BASE!$B$3:$H$119,5,FALSE),"")</f>
        <v>DH</v>
      </c>
      <c r="L3086" s="77">
        <f>IFERROR(VLOOKUP(DESPESAS[[#This Row],[Plano de Contas]],BASE!$B$3:$H$119,6,FALSE),"")</f>
        <v>0</v>
      </c>
      <c r="M3086" s="77" t="str">
        <f>VLOOKUP(DESPESAS[[#This Row],[Plano de Contas]],BASE!$B$3:$H$119,7,FALSE)</f>
        <v>RAFAEL</v>
      </c>
    </row>
    <row r="3087" spans="1:13" x14ac:dyDescent="0.25">
      <c r="A3087" s="74">
        <v>200219</v>
      </c>
      <c r="B3087" s="75" t="s">
        <v>232</v>
      </c>
      <c r="C3087" s="75" t="s">
        <v>865</v>
      </c>
      <c r="D3087" s="76">
        <v>46112</v>
      </c>
      <c r="E3087" s="75" t="s">
        <v>895</v>
      </c>
      <c r="F3087" s="74">
        <v>3633.18</v>
      </c>
      <c r="G3087" s="75" t="s">
        <v>430</v>
      </c>
      <c r="H3087" s="77" t="str">
        <f>VLOOKUP(DESPESAS[[#This Row],[Plano de Contas]],BASE!$B$3:$D$119,3,FALSE)</f>
        <v>Salarios e Ordenados MOD</v>
      </c>
      <c r="I3087" s="77" t="str">
        <f>IFERROR(VLOOKUP(DESPESAS[[#This Row],[Fornecedor]],Tabela2[],2,FALSE),"")</f>
        <v/>
      </c>
      <c r="J3087" s="77" t="str">
        <f>IFERROR(VLOOKUP(DESPESAS[[#This Row],[Plano de Contas]],BASE!$B$3:$F$119,4,FALSE),"")</f>
        <v>2 - CUSTOS DIRETOS</v>
      </c>
      <c r="K3087" s="77" t="str">
        <f>IFERROR(VLOOKUP(DESPESAS[[#This Row],[Plano de Contas]],BASE!$B$3:$H$119,5,FALSE),"")</f>
        <v>DH</v>
      </c>
      <c r="L3087" s="77" t="str">
        <f>IFERROR(VLOOKUP(DESPESAS[[#This Row],[Plano de Contas]],BASE!$B$3:$H$119,6,FALSE),"")</f>
        <v>CUSTO MÃO DE OBRA DIRETA</v>
      </c>
      <c r="M3087" s="77" t="str">
        <f>VLOOKUP(DESPESAS[[#This Row],[Plano de Contas]],BASE!$B$3:$H$119,7,FALSE)</f>
        <v>RAFAEL</v>
      </c>
    </row>
    <row r="3088" spans="1:13" x14ac:dyDescent="0.25">
      <c r="A3088" s="74">
        <v>200220</v>
      </c>
      <c r="B3088" s="75" t="s">
        <v>232</v>
      </c>
      <c r="C3088" s="75" t="s">
        <v>865</v>
      </c>
      <c r="D3088" s="76">
        <v>46112</v>
      </c>
      <c r="E3088" s="75" t="s">
        <v>894</v>
      </c>
      <c r="F3088" s="74">
        <v>4000.76</v>
      </c>
      <c r="G3088" s="75" t="s">
        <v>430</v>
      </c>
      <c r="H3088" s="77" t="str">
        <f>VLOOKUP(DESPESAS[[#This Row],[Plano de Contas]],BASE!$B$3:$D$119,3,FALSE)</f>
        <v>Salarios e Ordenados MOD</v>
      </c>
      <c r="I3088" s="77" t="str">
        <f>IFERROR(VLOOKUP(DESPESAS[[#This Row],[Fornecedor]],Tabela2[],2,FALSE),"")</f>
        <v/>
      </c>
      <c r="J3088" s="77" t="str">
        <f>IFERROR(VLOOKUP(DESPESAS[[#This Row],[Plano de Contas]],BASE!$B$3:$F$119,4,FALSE),"")</f>
        <v>2 - CUSTOS DIRETOS</v>
      </c>
      <c r="K3088" s="77" t="str">
        <f>IFERROR(VLOOKUP(DESPESAS[[#This Row],[Plano de Contas]],BASE!$B$3:$H$119,5,FALSE),"")</f>
        <v>DH</v>
      </c>
      <c r="L3088" s="77" t="str">
        <f>IFERROR(VLOOKUP(DESPESAS[[#This Row],[Plano de Contas]],BASE!$B$3:$H$119,6,FALSE),"")</f>
        <v>CUSTO MÃO DE OBRA DIRETA</v>
      </c>
      <c r="M3088" s="77" t="str">
        <f>VLOOKUP(DESPESAS[[#This Row],[Plano de Contas]],BASE!$B$3:$H$119,7,FALSE)</f>
        <v>RAFAEL</v>
      </c>
    </row>
    <row r="3089" spans="1:13" x14ac:dyDescent="0.25">
      <c r="A3089" s="74">
        <v>200221</v>
      </c>
      <c r="B3089" s="75" t="s">
        <v>232</v>
      </c>
      <c r="C3089" s="75" t="s">
        <v>865</v>
      </c>
      <c r="D3089" s="76">
        <v>46112</v>
      </c>
      <c r="E3089" s="75" t="s">
        <v>893</v>
      </c>
      <c r="F3089" s="74">
        <v>2425.4299999999998</v>
      </c>
      <c r="G3089" s="75" t="s">
        <v>653</v>
      </c>
      <c r="H3089" s="77" t="str">
        <f>VLOOKUP(DESPESAS[[#This Row],[Plano de Contas]],BASE!$B$3:$D$119,3,FALSE)</f>
        <v>Salarios e Ordenados CIF</v>
      </c>
      <c r="I3089" s="77" t="str">
        <f>IFERROR(VLOOKUP(DESPESAS[[#This Row],[Fornecedor]],Tabela2[],2,FALSE),"")</f>
        <v/>
      </c>
      <c r="J3089" s="77" t="str">
        <f>IFERROR(VLOOKUP(DESPESAS[[#This Row],[Plano de Contas]],BASE!$B$3:$F$119,4,FALSE),"")</f>
        <v>3 - CUSTOS INDIRETOS</v>
      </c>
      <c r="K3089" s="77" t="str">
        <f>IFERROR(VLOOKUP(DESPESAS[[#This Row],[Plano de Contas]],BASE!$B$3:$H$119,5,FALSE),"")</f>
        <v>DH</v>
      </c>
      <c r="L3089" s="77" t="str">
        <f>IFERROR(VLOOKUP(DESPESAS[[#This Row],[Plano de Contas]],BASE!$B$3:$H$119,6,FALSE),"")</f>
        <v>CUSTO MÃO DE OBRA DIRETA</v>
      </c>
      <c r="M3089" s="77" t="str">
        <f>VLOOKUP(DESPESAS[[#This Row],[Plano de Contas]],BASE!$B$3:$H$119,7,FALSE)</f>
        <v>RAFAEL</v>
      </c>
    </row>
    <row r="3090" spans="1:13" x14ac:dyDescent="0.25">
      <c r="A3090" s="74">
        <v>200222</v>
      </c>
      <c r="B3090" s="75" t="s">
        <v>232</v>
      </c>
      <c r="C3090" s="75" t="s">
        <v>865</v>
      </c>
      <c r="D3090" s="76">
        <v>46112</v>
      </c>
      <c r="E3090" s="75" t="s">
        <v>892</v>
      </c>
      <c r="F3090" s="74">
        <v>3187.61</v>
      </c>
      <c r="G3090" s="75" t="s">
        <v>430</v>
      </c>
      <c r="H3090" s="77" t="str">
        <f>VLOOKUP(DESPESAS[[#This Row],[Plano de Contas]],BASE!$B$3:$D$119,3,FALSE)</f>
        <v>Salarios e Ordenados MOD</v>
      </c>
      <c r="I3090" s="77" t="str">
        <f>IFERROR(VLOOKUP(DESPESAS[[#This Row],[Fornecedor]],Tabela2[],2,FALSE),"")</f>
        <v/>
      </c>
      <c r="J3090" s="77" t="str">
        <f>IFERROR(VLOOKUP(DESPESAS[[#This Row],[Plano de Contas]],BASE!$B$3:$F$119,4,FALSE),"")</f>
        <v>2 - CUSTOS DIRETOS</v>
      </c>
      <c r="K3090" s="77" t="str">
        <f>IFERROR(VLOOKUP(DESPESAS[[#This Row],[Plano de Contas]],BASE!$B$3:$H$119,5,FALSE),"")</f>
        <v>DH</v>
      </c>
      <c r="L3090" s="77" t="str">
        <f>IFERROR(VLOOKUP(DESPESAS[[#This Row],[Plano de Contas]],BASE!$B$3:$H$119,6,FALSE),"")</f>
        <v>CUSTO MÃO DE OBRA DIRETA</v>
      </c>
      <c r="M3090" s="77" t="str">
        <f>VLOOKUP(DESPESAS[[#This Row],[Plano de Contas]],BASE!$B$3:$H$119,7,FALSE)</f>
        <v>RAFAEL</v>
      </c>
    </row>
    <row r="3091" spans="1:13" x14ac:dyDescent="0.25">
      <c r="A3091" s="74">
        <v>200223</v>
      </c>
      <c r="B3091" s="75" t="s">
        <v>232</v>
      </c>
      <c r="C3091" s="75" t="s">
        <v>865</v>
      </c>
      <c r="D3091" s="76">
        <v>46112</v>
      </c>
      <c r="E3091" s="75" t="s">
        <v>226</v>
      </c>
      <c r="F3091" s="74">
        <v>3185.46</v>
      </c>
      <c r="G3091" s="75" t="s">
        <v>653</v>
      </c>
      <c r="H3091" s="77" t="str">
        <f>VLOOKUP(DESPESAS[[#This Row],[Plano de Contas]],BASE!$B$3:$D$119,3,FALSE)</f>
        <v>Salarios e Ordenados CIF</v>
      </c>
      <c r="I3091" s="77" t="str">
        <f>IFERROR(VLOOKUP(DESPESAS[[#This Row],[Fornecedor]],Tabela2[],2,FALSE),"")</f>
        <v/>
      </c>
      <c r="J3091" s="77" t="str">
        <f>IFERROR(VLOOKUP(DESPESAS[[#This Row],[Plano de Contas]],BASE!$B$3:$F$119,4,FALSE),"")</f>
        <v>3 - CUSTOS INDIRETOS</v>
      </c>
      <c r="K3091" s="77" t="str">
        <f>IFERROR(VLOOKUP(DESPESAS[[#This Row],[Plano de Contas]],BASE!$B$3:$H$119,5,FALSE),"")</f>
        <v>DH</v>
      </c>
      <c r="L3091" s="77" t="str">
        <f>IFERROR(VLOOKUP(DESPESAS[[#This Row],[Plano de Contas]],BASE!$B$3:$H$119,6,FALSE),"")</f>
        <v>CUSTO MÃO DE OBRA DIRETA</v>
      </c>
      <c r="M3091" s="77" t="str">
        <f>VLOOKUP(DESPESAS[[#This Row],[Plano de Contas]],BASE!$B$3:$H$119,7,FALSE)</f>
        <v>RAFAEL</v>
      </c>
    </row>
    <row r="3092" spans="1:13" x14ac:dyDescent="0.25">
      <c r="A3092" s="74">
        <v>200224</v>
      </c>
      <c r="B3092" s="75" t="s">
        <v>232</v>
      </c>
      <c r="C3092" s="75" t="s">
        <v>865</v>
      </c>
      <c r="D3092" s="76">
        <v>46112</v>
      </c>
      <c r="E3092" s="75" t="s">
        <v>891</v>
      </c>
      <c r="F3092" s="74">
        <v>2563.88</v>
      </c>
      <c r="G3092" s="75" t="s">
        <v>430</v>
      </c>
      <c r="H3092" s="77" t="str">
        <f>VLOOKUP(DESPESAS[[#This Row],[Plano de Contas]],BASE!$B$3:$D$119,3,FALSE)</f>
        <v>Salarios e Ordenados MOD</v>
      </c>
      <c r="I3092" s="77" t="str">
        <f>IFERROR(VLOOKUP(DESPESAS[[#This Row],[Fornecedor]],Tabela2[],2,FALSE),"")</f>
        <v/>
      </c>
      <c r="J3092" s="77" t="str">
        <f>IFERROR(VLOOKUP(DESPESAS[[#This Row],[Plano de Contas]],BASE!$B$3:$F$119,4,FALSE),"")</f>
        <v>2 - CUSTOS DIRETOS</v>
      </c>
      <c r="K3092" s="77" t="str">
        <f>IFERROR(VLOOKUP(DESPESAS[[#This Row],[Plano de Contas]],BASE!$B$3:$H$119,5,FALSE),"")</f>
        <v>DH</v>
      </c>
      <c r="L3092" s="77" t="str">
        <f>IFERROR(VLOOKUP(DESPESAS[[#This Row],[Plano de Contas]],BASE!$B$3:$H$119,6,FALSE),"")</f>
        <v>CUSTO MÃO DE OBRA DIRETA</v>
      </c>
      <c r="M3092" s="77" t="str">
        <f>VLOOKUP(DESPESAS[[#This Row],[Plano de Contas]],BASE!$B$3:$H$119,7,FALSE)</f>
        <v>RAFAEL</v>
      </c>
    </row>
    <row r="3093" spans="1:13" x14ac:dyDescent="0.25">
      <c r="A3093" s="74">
        <v>200225</v>
      </c>
      <c r="B3093" s="75" t="s">
        <v>232</v>
      </c>
      <c r="C3093" s="75" t="s">
        <v>865</v>
      </c>
      <c r="D3093" s="76">
        <v>46112</v>
      </c>
      <c r="E3093" s="75" t="s">
        <v>371</v>
      </c>
      <c r="F3093" s="74">
        <v>2482.0500000000002</v>
      </c>
      <c r="G3093" s="75" t="s">
        <v>653</v>
      </c>
      <c r="H3093" s="77" t="str">
        <f>VLOOKUP(DESPESAS[[#This Row],[Plano de Contas]],BASE!$B$3:$D$119,3,FALSE)</f>
        <v>Salarios e Ordenados CIF</v>
      </c>
      <c r="I3093" s="77" t="str">
        <f>IFERROR(VLOOKUP(DESPESAS[[#This Row],[Fornecedor]],Tabela2[],2,FALSE),"")</f>
        <v/>
      </c>
      <c r="J3093" s="77" t="str">
        <f>IFERROR(VLOOKUP(DESPESAS[[#This Row],[Plano de Contas]],BASE!$B$3:$F$119,4,FALSE),"")</f>
        <v>3 - CUSTOS INDIRETOS</v>
      </c>
      <c r="K3093" s="77" t="str">
        <f>IFERROR(VLOOKUP(DESPESAS[[#This Row],[Plano de Contas]],BASE!$B$3:$H$119,5,FALSE),"")</f>
        <v>DH</v>
      </c>
      <c r="L3093" s="77" t="str">
        <f>IFERROR(VLOOKUP(DESPESAS[[#This Row],[Plano de Contas]],BASE!$B$3:$H$119,6,FALSE),"")</f>
        <v>CUSTO MÃO DE OBRA DIRETA</v>
      </c>
      <c r="M3093" s="77" t="str">
        <f>VLOOKUP(DESPESAS[[#This Row],[Plano de Contas]],BASE!$B$3:$H$119,7,FALSE)</f>
        <v>RAFAEL</v>
      </c>
    </row>
    <row r="3094" spans="1:13" x14ac:dyDescent="0.25">
      <c r="A3094" s="74">
        <v>200226</v>
      </c>
      <c r="B3094" s="75" t="s">
        <v>232</v>
      </c>
      <c r="C3094" s="75" t="s">
        <v>865</v>
      </c>
      <c r="D3094" s="76">
        <v>46112</v>
      </c>
      <c r="E3094" s="75" t="s">
        <v>890</v>
      </c>
      <c r="F3094" s="74">
        <v>893.69</v>
      </c>
      <c r="G3094" s="75" t="s">
        <v>627</v>
      </c>
      <c r="H3094" s="77" t="str">
        <f>VLOOKUP(DESPESAS[[#This Row],[Plano de Contas]],BASE!$B$3:$D$119,3,FALSE)</f>
        <v>Salarios e Ordenados (Adm)</v>
      </c>
      <c r="I3094" s="77" t="str">
        <f>IFERROR(VLOOKUP(DESPESAS[[#This Row],[Fornecedor]],Tabela2[],2,FALSE),"")</f>
        <v/>
      </c>
      <c r="J3094" s="77" t="str">
        <f>IFERROR(VLOOKUP(DESPESAS[[#This Row],[Plano de Contas]],BASE!$B$3:$F$119,4,FALSE),"")</f>
        <v>4 - GASTOS COM PESSOAL</v>
      </c>
      <c r="K3094" s="77" t="str">
        <f>IFERROR(VLOOKUP(DESPESAS[[#This Row],[Plano de Contas]],BASE!$B$3:$H$119,5,FALSE),"")</f>
        <v>DH</v>
      </c>
      <c r="L3094" s="77">
        <f>IFERROR(VLOOKUP(DESPESAS[[#This Row],[Plano de Contas]],BASE!$B$3:$H$119,6,FALSE),"")</f>
        <v>0</v>
      </c>
      <c r="M3094" s="77" t="str">
        <f>VLOOKUP(DESPESAS[[#This Row],[Plano de Contas]],BASE!$B$3:$H$119,7,FALSE)</f>
        <v>RAFAEL</v>
      </c>
    </row>
    <row r="3095" spans="1:13" x14ac:dyDescent="0.25">
      <c r="A3095" s="74">
        <v>200227</v>
      </c>
      <c r="B3095" s="75" t="s">
        <v>232</v>
      </c>
      <c r="C3095" s="75" t="s">
        <v>865</v>
      </c>
      <c r="D3095" s="76">
        <v>46112</v>
      </c>
      <c r="E3095" s="75" t="s">
        <v>889</v>
      </c>
      <c r="F3095" s="74">
        <v>3307.79</v>
      </c>
      <c r="G3095" s="75" t="s">
        <v>430</v>
      </c>
      <c r="H3095" s="77" t="str">
        <f>VLOOKUP(DESPESAS[[#This Row],[Plano de Contas]],BASE!$B$3:$D$119,3,FALSE)</f>
        <v>Salarios e Ordenados MOD</v>
      </c>
      <c r="I3095" s="77" t="str">
        <f>IFERROR(VLOOKUP(DESPESAS[[#This Row],[Fornecedor]],Tabela2[],2,FALSE),"")</f>
        <v/>
      </c>
      <c r="J3095" s="77" t="str">
        <f>IFERROR(VLOOKUP(DESPESAS[[#This Row],[Plano de Contas]],BASE!$B$3:$F$119,4,FALSE),"")</f>
        <v>2 - CUSTOS DIRETOS</v>
      </c>
      <c r="K3095" s="77" t="str">
        <f>IFERROR(VLOOKUP(DESPESAS[[#This Row],[Plano de Contas]],BASE!$B$3:$H$119,5,FALSE),"")</f>
        <v>DH</v>
      </c>
      <c r="L3095" s="77" t="str">
        <f>IFERROR(VLOOKUP(DESPESAS[[#This Row],[Plano de Contas]],BASE!$B$3:$H$119,6,FALSE),"")</f>
        <v>CUSTO MÃO DE OBRA DIRETA</v>
      </c>
      <c r="M3095" s="77" t="str">
        <f>VLOOKUP(DESPESAS[[#This Row],[Plano de Contas]],BASE!$B$3:$H$119,7,FALSE)</f>
        <v>RAFAEL</v>
      </c>
    </row>
    <row r="3096" spans="1:13" x14ac:dyDescent="0.25">
      <c r="A3096" s="74">
        <v>200228</v>
      </c>
      <c r="B3096" s="75" t="s">
        <v>232</v>
      </c>
      <c r="C3096" s="75" t="s">
        <v>865</v>
      </c>
      <c r="D3096" s="76">
        <v>46112</v>
      </c>
      <c r="E3096" s="75" t="s">
        <v>888</v>
      </c>
      <c r="F3096" s="74">
        <v>4408.75</v>
      </c>
      <c r="G3096" s="75" t="s">
        <v>627</v>
      </c>
      <c r="H3096" s="77" t="str">
        <f>VLOOKUP(DESPESAS[[#This Row],[Plano de Contas]],BASE!$B$3:$D$119,3,FALSE)</f>
        <v>Salarios e Ordenados (Adm)</v>
      </c>
      <c r="I3096" s="77" t="str">
        <f>IFERROR(VLOOKUP(DESPESAS[[#This Row],[Fornecedor]],Tabela2[],2,FALSE),"")</f>
        <v/>
      </c>
      <c r="J3096" s="77" t="str">
        <f>IFERROR(VLOOKUP(DESPESAS[[#This Row],[Plano de Contas]],BASE!$B$3:$F$119,4,FALSE),"")</f>
        <v>4 - GASTOS COM PESSOAL</v>
      </c>
      <c r="K3096" s="77" t="str">
        <f>IFERROR(VLOOKUP(DESPESAS[[#This Row],[Plano de Contas]],BASE!$B$3:$H$119,5,FALSE),"")</f>
        <v>DH</v>
      </c>
      <c r="L3096" s="77">
        <f>IFERROR(VLOOKUP(DESPESAS[[#This Row],[Plano de Contas]],BASE!$B$3:$H$119,6,FALSE),"")</f>
        <v>0</v>
      </c>
      <c r="M3096" s="77" t="str">
        <f>VLOOKUP(DESPESAS[[#This Row],[Plano de Contas]],BASE!$B$3:$H$119,7,FALSE)</f>
        <v>RAFAEL</v>
      </c>
    </row>
    <row r="3097" spans="1:13" x14ac:dyDescent="0.25">
      <c r="A3097" s="74">
        <v>200229</v>
      </c>
      <c r="B3097" s="75" t="s">
        <v>232</v>
      </c>
      <c r="C3097" s="75" t="s">
        <v>865</v>
      </c>
      <c r="D3097" s="76">
        <v>46112</v>
      </c>
      <c r="E3097" s="75" t="s">
        <v>753</v>
      </c>
      <c r="F3097" s="74">
        <v>1101.43</v>
      </c>
      <c r="G3097" s="75" t="s">
        <v>627</v>
      </c>
      <c r="H3097" s="77" t="str">
        <f>VLOOKUP(DESPESAS[[#This Row],[Plano de Contas]],BASE!$B$3:$D$119,3,FALSE)</f>
        <v>Salarios e Ordenados (Adm)</v>
      </c>
      <c r="I3097" s="77" t="str">
        <f>IFERROR(VLOOKUP(DESPESAS[[#This Row],[Fornecedor]],Tabela2[],2,FALSE),"")</f>
        <v/>
      </c>
      <c r="J3097" s="77" t="str">
        <f>IFERROR(VLOOKUP(DESPESAS[[#This Row],[Plano de Contas]],BASE!$B$3:$F$119,4,FALSE),"")</f>
        <v>4 - GASTOS COM PESSOAL</v>
      </c>
      <c r="K3097" s="77" t="str">
        <f>IFERROR(VLOOKUP(DESPESAS[[#This Row],[Plano de Contas]],BASE!$B$3:$H$119,5,FALSE),"")</f>
        <v>DH</v>
      </c>
      <c r="L3097" s="77">
        <f>IFERROR(VLOOKUP(DESPESAS[[#This Row],[Plano de Contas]],BASE!$B$3:$H$119,6,FALSE),"")</f>
        <v>0</v>
      </c>
      <c r="M3097" s="77" t="str">
        <f>VLOOKUP(DESPESAS[[#This Row],[Plano de Contas]],BASE!$B$3:$H$119,7,FALSE)</f>
        <v>RAFAEL</v>
      </c>
    </row>
    <row r="3098" spans="1:13" x14ac:dyDescent="0.25">
      <c r="A3098" s="74">
        <v>200230</v>
      </c>
      <c r="B3098" s="75" t="s">
        <v>232</v>
      </c>
      <c r="C3098" s="75" t="s">
        <v>865</v>
      </c>
      <c r="D3098" s="76">
        <v>46112</v>
      </c>
      <c r="E3098" s="75" t="s">
        <v>887</v>
      </c>
      <c r="F3098" s="74">
        <v>4326.3599999999997</v>
      </c>
      <c r="G3098" s="75" t="s">
        <v>430</v>
      </c>
      <c r="H3098" s="77" t="str">
        <f>VLOOKUP(DESPESAS[[#This Row],[Plano de Contas]],BASE!$B$3:$D$119,3,FALSE)</f>
        <v>Salarios e Ordenados MOD</v>
      </c>
      <c r="I3098" s="77" t="str">
        <f>IFERROR(VLOOKUP(DESPESAS[[#This Row],[Fornecedor]],Tabela2[],2,FALSE),"")</f>
        <v/>
      </c>
      <c r="J3098" s="77" t="str">
        <f>IFERROR(VLOOKUP(DESPESAS[[#This Row],[Plano de Contas]],BASE!$B$3:$F$119,4,FALSE),"")</f>
        <v>2 - CUSTOS DIRETOS</v>
      </c>
      <c r="K3098" s="77" t="str">
        <f>IFERROR(VLOOKUP(DESPESAS[[#This Row],[Plano de Contas]],BASE!$B$3:$H$119,5,FALSE),"")</f>
        <v>DH</v>
      </c>
      <c r="L3098" s="77" t="str">
        <f>IFERROR(VLOOKUP(DESPESAS[[#This Row],[Plano de Contas]],BASE!$B$3:$H$119,6,FALSE),"")</f>
        <v>CUSTO MÃO DE OBRA DIRETA</v>
      </c>
      <c r="M3098" s="77" t="str">
        <f>VLOOKUP(DESPESAS[[#This Row],[Plano de Contas]],BASE!$B$3:$H$119,7,FALSE)</f>
        <v>RAFAEL</v>
      </c>
    </row>
    <row r="3099" spans="1:13" x14ac:dyDescent="0.25">
      <c r="A3099" s="74">
        <v>200231</v>
      </c>
      <c r="B3099" s="75" t="s">
        <v>232</v>
      </c>
      <c r="C3099" s="75" t="s">
        <v>865</v>
      </c>
      <c r="D3099" s="76">
        <v>46112</v>
      </c>
      <c r="E3099" s="75" t="s">
        <v>886</v>
      </c>
      <c r="F3099" s="74">
        <v>1851.14</v>
      </c>
      <c r="G3099" s="75" t="s">
        <v>430</v>
      </c>
      <c r="H3099" s="77" t="str">
        <f>VLOOKUP(DESPESAS[[#This Row],[Plano de Contas]],BASE!$B$3:$D$119,3,FALSE)</f>
        <v>Salarios e Ordenados MOD</v>
      </c>
      <c r="I3099" s="77" t="str">
        <f>IFERROR(VLOOKUP(DESPESAS[[#This Row],[Fornecedor]],Tabela2[],2,FALSE),"")</f>
        <v/>
      </c>
      <c r="J3099" s="77" t="str">
        <f>IFERROR(VLOOKUP(DESPESAS[[#This Row],[Plano de Contas]],BASE!$B$3:$F$119,4,FALSE),"")</f>
        <v>2 - CUSTOS DIRETOS</v>
      </c>
      <c r="K3099" s="77" t="str">
        <f>IFERROR(VLOOKUP(DESPESAS[[#This Row],[Plano de Contas]],BASE!$B$3:$H$119,5,FALSE),"")</f>
        <v>DH</v>
      </c>
      <c r="L3099" s="77" t="str">
        <f>IFERROR(VLOOKUP(DESPESAS[[#This Row],[Plano de Contas]],BASE!$B$3:$H$119,6,FALSE),"")</f>
        <v>CUSTO MÃO DE OBRA DIRETA</v>
      </c>
      <c r="M3099" s="77" t="str">
        <f>VLOOKUP(DESPESAS[[#This Row],[Plano de Contas]],BASE!$B$3:$H$119,7,FALSE)</f>
        <v>RAFAEL</v>
      </c>
    </row>
    <row r="3100" spans="1:13" x14ac:dyDescent="0.25">
      <c r="A3100" s="74">
        <v>200232</v>
      </c>
      <c r="B3100" s="75" t="s">
        <v>232</v>
      </c>
      <c r="C3100" s="75" t="s">
        <v>865</v>
      </c>
      <c r="D3100" s="76">
        <v>46112</v>
      </c>
      <c r="E3100" s="75" t="s">
        <v>885</v>
      </c>
      <c r="F3100" s="74">
        <v>2664.1</v>
      </c>
      <c r="G3100" s="75" t="s">
        <v>430</v>
      </c>
      <c r="H3100" s="77" t="str">
        <f>VLOOKUP(DESPESAS[[#This Row],[Plano de Contas]],BASE!$B$3:$D$119,3,FALSE)</f>
        <v>Salarios e Ordenados MOD</v>
      </c>
      <c r="I3100" s="77" t="str">
        <f>IFERROR(VLOOKUP(DESPESAS[[#This Row],[Fornecedor]],Tabela2[],2,FALSE),"")</f>
        <v/>
      </c>
      <c r="J3100" s="77" t="str">
        <f>IFERROR(VLOOKUP(DESPESAS[[#This Row],[Plano de Contas]],BASE!$B$3:$F$119,4,FALSE),"")</f>
        <v>2 - CUSTOS DIRETOS</v>
      </c>
      <c r="K3100" s="77" t="str">
        <f>IFERROR(VLOOKUP(DESPESAS[[#This Row],[Plano de Contas]],BASE!$B$3:$H$119,5,FALSE),"")</f>
        <v>DH</v>
      </c>
      <c r="L3100" s="77" t="str">
        <f>IFERROR(VLOOKUP(DESPESAS[[#This Row],[Plano de Contas]],BASE!$B$3:$H$119,6,FALSE),"")</f>
        <v>CUSTO MÃO DE OBRA DIRETA</v>
      </c>
      <c r="M3100" s="77" t="str">
        <f>VLOOKUP(DESPESAS[[#This Row],[Plano de Contas]],BASE!$B$3:$H$119,7,FALSE)</f>
        <v>RAFAEL</v>
      </c>
    </row>
    <row r="3101" spans="1:13" x14ac:dyDescent="0.25">
      <c r="A3101" s="74">
        <v>200233</v>
      </c>
      <c r="B3101" s="75" t="s">
        <v>232</v>
      </c>
      <c r="C3101" s="75" t="s">
        <v>865</v>
      </c>
      <c r="D3101" s="76">
        <v>46112</v>
      </c>
      <c r="E3101" s="75" t="s">
        <v>884</v>
      </c>
      <c r="F3101" s="74">
        <v>2042.86</v>
      </c>
      <c r="G3101" s="75" t="s">
        <v>430</v>
      </c>
      <c r="H3101" s="77" t="str">
        <f>VLOOKUP(DESPESAS[[#This Row],[Plano de Contas]],BASE!$B$3:$D$119,3,FALSE)</f>
        <v>Salarios e Ordenados MOD</v>
      </c>
      <c r="I3101" s="77" t="str">
        <f>IFERROR(VLOOKUP(DESPESAS[[#This Row],[Fornecedor]],Tabela2[],2,FALSE),"")</f>
        <v/>
      </c>
      <c r="J3101" s="77" t="str">
        <f>IFERROR(VLOOKUP(DESPESAS[[#This Row],[Plano de Contas]],BASE!$B$3:$F$119,4,FALSE),"")</f>
        <v>2 - CUSTOS DIRETOS</v>
      </c>
      <c r="K3101" s="77" t="str">
        <f>IFERROR(VLOOKUP(DESPESAS[[#This Row],[Plano de Contas]],BASE!$B$3:$H$119,5,FALSE),"")</f>
        <v>DH</v>
      </c>
      <c r="L3101" s="77" t="str">
        <f>IFERROR(VLOOKUP(DESPESAS[[#This Row],[Plano de Contas]],BASE!$B$3:$H$119,6,FALSE),"")</f>
        <v>CUSTO MÃO DE OBRA DIRETA</v>
      </c>
      <c r="M3101" s="77" t="str">
        <f>VLOOKUP(DESPESAS[[#This Row],[Plano de Contas]],BASE!$B$3:$H$119,7,FALSE)</f>
        <v>RAFAEL</v>
      </c>
    </row>
    <row r="3102" spans="1:13" x14ac:dyDescent="0.25">
      <c r="A3102" s="74">
        <v>200234</v>
      </c>
      <c r="B3102" s="75" t="s">
        <v>232</v>
      </c>
      <c r="C3102" s="75" t="s">
        <v>865</v>
      </c>
      <c r="D3102" s="76">
        <v>46112</v>
      </c>
      <c r="E3102" s="75" t="s">
        <v>883</v>
      </c>
      <c r="F3102" s="74">
        <v>849.01</v>
      </c>
      <c r="G3102" s="75" t="s">
        <v>627</v>
      </c>
      <c r="H3102" s="77" t="str">
        <f>VLOOKUP(DESPESAS[[#This Row],[Plano de Contas]],BASE!$B$3:$D$119,3,FALSE)</f>
        <v>Salarios e Ordenados (Adm)</v>
      </c>
      <c r="I3102" s="77" t="str">
        <f>IFERROR(VLOOKUP(DESPESAS[[#This Row],[Fornecedor]],Tabela2[],2,FALSE),"")</f>
        <v/>
      </c>
      <c r="J3102" s="77" t="str">
        <f>IFERROR(VLOOKUP(DESPESAS[[#This Row],[Plano de Contas]],BASE!$B$3:$F$119,4,FALSE),"")</f>
        <v>4 - GASTOS COM PESSOAL</v>
      </c>
      <c r="K3102" s="77" t="str">
        <f>IFERROR(VLOOKUP(DESPESAS[[#This Row],[Plano de Contas]],BASE!$B$3:$H$119,5,FALSE),"")</f>
        <v>DH</v>
      </c>
      <c r="L3102" s="77">
        <f>IFERROR(VLOOKUP(DESPESAS[[#This Row],[Plano de Contas]],BASE!$B$3:$H$119,6,FALSE),"")</f>
        <v>0</v>
      </c>
      <c r="M3102" s="77" t="str">
        <f>VLOOKUP(DESPESAS[[#This Row],[Plano de Contas]],BASE!$B$3:$H$119,7,FALSE)</f>
        <v>RAFAEL</v>
      </c>
    </row>
    <row r="3103" spans="1:13" x14ac:dyDescent="0.25">
      <c r="A3103" s="74">
        <v>200235</v>
      </c>
      <c r="B3103" s="75" t="s">
        <v>232</v>
      </c>
      <c r="C3103" s="75" t="s">
        <v>865</v>
      </c>
      <c r="D3103" s="76">
        <v>46112</v>
      </c>
      <c r="E3103" s="75" t="s">
        <v>882</v>
      </c>
      <c r="F3103" s="74">
        <v>1990.48</v>
      </c>
      <c r="G3103" s="75" t="s">
        <v>430</v>
      </c>
      <c r="H3103" s="77" t="str">
        <f>VLOOKUP(DESPESAS[[#This Row],[Plano de Contas]],BASE!$B$3:$D$119,3,FALSE)</f>
        <v>Salarios e Ordenados MOD</v>
      </c>
      <c r="I3103" s="77" t="str">
        <f>IFERROR(VLOOKUP(DESPESAS[[#This Row],[Fornecedor]],Tabela2[],2,FALSE),"")</f>
        <v/>
      </c>
      <c r="J3103" s="77" t="str">
        <f>IFERROR(VLOOKUP(DESPESAS[[#This Row],[Plano de Contas]],BASE!$B$3:$F$119,4,FALSE),"")</f>
        <v>2 - CUSTOS DIRETOS</v>
      </c>
      <c r="K3103" s="77" t="str">
        <f>IFERROR(VLOOKUP(DESPESAS[[#This Row],[Plano de Contas]],BASE!$B$3:$H$119,5,FALSE),"")</f>
        <v>DH</v>
      </c>
      <c r="L3103" s="77" t="str">
        <f>IFERROR(VLOOKUP(DESPESAS[[#This Row],[Plano de Contas]],BASE!$B$3:$H$119,6,FALSE),"")</f>
        <v>CUSTO MÃO DE OBRA DIRETA</v>
      </c>
      <c r="M3103" s="77" t="str">
        <f>VLOOKUP(DESPESAS[[#This Row],[Plano de Contas]],BASE!$B$3:$H$119,7,FALSE)</f>
        <v>RAFAEL</v>
      </c>
    </row>
    <row r="3104" spans="1:13" x14ac:dyDescent="0.25">
      <c r="A3104" s="74">
        <v>200236</v>
      </c>
      <c r="B3104" s="75" t="s">
        <v>232</v>
      </c>
      <c r="C3104" s="75" t="s">
        <v>865</v>
      </c>
      <c r="D3104" s="76">
        <v>46112</v>
      </c>
      <c r="E3104" s="75" t="s">
        <v>881</v>
      </c>
      <c r="F3104" s="74">
        <v>2069.06</v>
      </c>
      <c r="G3104" s="75" t="s">
        <v>430</v>
      </c>
      <c r="H3104" s="77" t="str">
        <f>VLOOKUP(DESPESAS[[#This Row],[Plano de Contas]],BASE!$B$3:$D$119,3,FALSE)</f>
        <v>Salarios e Ordenados MOD</v>
      </c>
      <c r="I3104" s="77" t="str">
        <f>IFERROR(VLOOKUP(DESPESAS[[#This Row],[Fornecedor]],Tabela2[],2,FALSE),"")</f>
        <v/>
      </c>
      <c r="J3104" s="77" t="str">
        <f>IFERROR(VLOOKUP(DESPESAS[[#This Row],[Plano de Contas]],BASE!$B$3:$F$119,4,FALSE),"")</f>
        <v>2 - CUSTOS DIRETOS</v>
      </c>
      <c r="K3104" s="77" t="str">
        <f>IFERROR(VLOOKUP(DESPESAS[[#This Row],[Plano de Contas]],BASE!$B$3:$H$119,5,FALSE),"")</f>
        <v>DH</v>
      </c>
      <c r="L3104" s="77" t="str">
        <f>IFERROR(VLOOKUP(DESPESAS[[#This Row],[Plano de Contas]],BASE!$B$3:$H$119,6,FALSE),"")</f>
        <v>CUSTO MÃO DE OBRA DIRETA</v>
      </c>
      <c r="M3104" s="77" t="str">
        <f>VLOOKUP(DESPESAS[[#This Row],[Plano de Contas]],BASE!$B$3:$H$119,7,FALSE)</f>
        <v>RAFAEL</v>
      </c>
    </row>
    <row r="3105" spans="1:13" x14ac:dyDescent="0.25">
      <c r="A3105" s="74">
        <v>200237</v>
      </c>
      <c r="B3105" s="75" t="s">
        <v>232</v>
      </c>
      <c r="C3105" s="75" t="s">
        <v>865</v>
      </c>
      <c r="D3105" s="76">
        <v>46112</v>
      </c>
      <c r="E3105" s="75" t="s">
        <v>880</v>
      </c>
      <c r="F3105" s="74">
        <v>3425.67</v>
      </c>
      <c r="G3105" s="75" t="s">
        <v>430</v>
      </c>
      <c r="H3105" s="77" t="str">
        <f>VLOOKUP(DESPESAS[[#This Row],[Plano de Contas]],BASE!$B$3:$D$119,3,FALSE)</f>
        <v>Salarios e Ordenados MOD</v>
      </c>
      <c r="I3105" s="77" t="str">
        <f>IFERROR(VLOOKUP(DESPESAS[[#This Row],[Fornecedor]],Tabela2[],2,FALSE),"")</f>
        <v/>
      </c>
      <c r="J3105" s="77" t="str">
        <f>IFERROR(VLOOKUP(DESPESAS[[#This Row],[Plano de Contas]],BASE!$B$3:$F$119,4,FALSE),"")</f>
        <v>2 - CUSTOS DIRETOS</v>
      </c>
      <c r="K3105" s="77" t="str">
        <f>IFERROR(VLOOKUP(DESPESAS[[#This Row],[Plano de Contas]],BASE!$B$3:$H$119,5,FALSE),"")</f>
        <v>DH</v>
      </c>
      <c r="L3105" s="77" t="str">
        <f>IFERROR(VLOOKUP(DESPESAS[[#This Row],[Plano de Contas]],BASE!$B$3:$H$119,6,FALSE),"")</f>
        <v>CUSTO MÃO DE OBRA DIRETA</v>
      </c>
      <c r="M3105" s="77" t="str">
        <f>VLOOKUP(DESPESAS[[#This Row],[Plano de Contas]],BASE!$B$3:$H$119,7,FALSE)</f>
        <v>RAFAEL</v>
      </c>
    </row>
    <row r="3106" spans="1:13" x14ac:dyDescent="0.25">
      <c r="A3106" s="74">
        <v>200238</v>
      </c>
      <c r="B3106" s="75" t="s">
        <v>232</v>
      </c>
      <c r="C3106" s="75" t="s">
        <v>865</v>
      </c>
      <c r="D3106" s="76">
        <v>46112</v>
      </c>
      <c r="E3106" s="75" t="s">
        <v>879</v>
      </c>
      <c r="F3106" s="74">
        <v>4011.49</v>
      </c>
      <c r="G3106" s="75" t="s">
        <v>653</v>
      </c>
      <c r="H3106" s="77" t="str">
        <f>VLOOKUP(DESPESAS[[#This Row],[Plano de Contas]],BASE!$B$3:$D$119,3,FALSE)</f>
        <v>Salarios e Ordenados CIF</v>
      </c>
      <c r="I3106" s="77" t="str">
        <f>IFERROR(VLOOKUP(DESPESAS[[#This Row],[Fornecedor]],Tabela2[],2,FALSE),"")</f>
        <v/>
      </c>
      <c r="J3106" s="77" t="str">
        <f>IFERROR(VLOOKUP(DESPESAS[[#This Row],[Plano de Contas]],BASE!$B$3:$F$119,4,FALSE),"")</f>
        <v>3 - CUSTOS INDIRETOS</v>
      </c>
      <c r="K3106" s="77" t="str">
        <f>IFERROR(VLOOKUP(DESPESAS[[#This Row],[Plano de Contas]],BASE!$B$3:$H$119,5,FALSE),"")</f>
        <v>DH</v>
      </c>
      <c r="L3106" s="77" t="str">
        <f>IFERROR(VLOOKUP(DESPESAS[[#This Row],[Plano de Contas]],BASE!$B$3:$H$119,6,FALSE),"")</f>
        <v>CUSTO MÃO DE OBRA DIRETA</v>
      </c>
      <c r="M3106" s="77" t="str">
        <f>VLOOKUP(DESPESAS[[#This Row],[Plano de Contas]],BASE!$B$3:$H$119,7,FALSE)</f>
        <v>RAFAEL</v>
      </c>
    </row>
    <row r="3107" spans="1:13" x14ac:dyDescent="0.25">
      <c r="A3107" s="74">
        <v>200239</v>
      </c>
      <c r="B3107" s="75" t="s">
        <v>232</v>
      </c>
      <c r="C3107" s="75" t="s">
        <v>865</v>
      </c>
      <c r="D3107" s="76">
        <v>46112</v>
      </c>
      <c r="E3107" s="75" t="s">
        <v>878</v>
      </c>
      <c r="F3107" s="74">
        <v>4034.58</v>
      </c>
      <c r="G3107" s="75" t="s">
        <v>627</v>
      </c>
      <c r="H3107" s="77" t="str">
        <f>VLOOKUP(DESPESAS[[#This Row],[Plano de Contas]],BASE!$B$3:$D$119,3,FALSE)</f>
        <v>Salarios e Ordenados (Adm)</v>
      </c>
      <c r="I3107" s="77" t="str">
        <f>IFERROR(VLOOKUP(DESPESAS[[#This Row],[Fornecedor]],Tabela2[],2,FALSE),"")</f>
        <v/>
      </c>
      <c r="J3107" s="77" t="str">
        <f>IFERROR(VLOOKUP(DESPESAS[[#This Row],[Plano de Contas]],BASE!$B$3:$F$119,4,FALSE),"")</f>
        <v>4 - GASTOS COM PESSOAL</v>
      </c>
      <c r="K3107" s="77" t="str">
        <f>IFERROR(VLOOKUP(DESPESAS[[#This Row],[Plano de Contas]],BASE!$B$3:$H$119,5,FALSE),"")</f>
        <v>DH</v>
      </c>
      <c r="L3107" s="77">
        <f>IFERROR(VLOOKUP(DESPESAS[[#This Row],[Plano de Contas]],BASE!$B$3:$H$119,6,FALSE),"")</f>
        <v>0</v>
      </c>
      <c r="M3107" s="77" t="str">
        <f>VLOOKUP(DESPESAS[[#This Row],[Plano de Contas]],BASE!$B$3:$H$119,7,FALSE)</f>
        <v>RAFAEL</v>
      </c>
    </row>
    <row r="3108" spans="1:13" x14ac:dyDescent="0.25">
      <c r="A3108" s="74">
        <v>200240</v>
      </c>
      <c r="B3108" s="75" t="s">
        <v>232</v>
      </c>
      <c r="C3108" s="75" t="s">
        <v>865</v>
      </c>
      <c r="D3108" s="76">
        <v>46112</v>
      </c>
      <c r="E3108" s="75" t="s">
        <v>877</v>
      </c>
      <c r="F3108" s="74">
        <v>1972.52</v>
      </c>
      <c r="G3108" s="75" t="s">
        <v>430</v>
      </c>
      <c r="H3108" s="77" t="str">
        <f>VLOOKUP(DESPESAS[[#This Row],[Plano de Contas]],BASE!$B$3:$D$119,3,FALSE)</f>
        <v>Salarios e Ordenados MOD</v>
      </c>
      <c r="I3108" s="77" t="str">
        <f>IFERROR(VLOOKUP(DESPESAS[[#This Row],[Fornecedor]],Tabela2[],2,FALSE),"")</f>
        <v/>
      </c>
      <c r="J3108" s="77" t="str">
        <f>IFERROR(VLOOKUP(DESPESAS[[#This Row],[Plano de Contas]],BASE!$B$3:$F$119,4,FALSE),"")</f>
        <v>2 - CUSTOS DIRETOS</v>
      </c>
      <c r="K3108" s="77" t="str">
        <f>IFERROR(VLOOKUP(DESPESAS[[#This Row],[Plano de Contas]],BASE!$B$3:$H$119,5,FALSE),"")</f>
        <v>DH</v>
      </c>
      <c r="L3108" s="77" t="str">
        <f>IFERROR(VLOOKUP(DESPESAS[[#This Row],[Plano de Contas]],BASE!$B$3:$H$119,6,FALSE),"")</f>
        <v>CUSTO MÃO DE OBRA DIRETA</v>
      </c>
      <c r="M3108" s="77" t="str">
        <f>VLOOKUP(DESPESAS[[#This Row],[Plano de Contas]],BASE!$B$3:$H$119,7,FALSE)</f>
        <v>RAFAEL</v>
      </c>
    </row>
    <row r="3109" spans="1:13" x14ac:dyDescent="0.25">
      <c r="A3109" s="74">
        <v>200241</v>
      </c>
      <c r="B3109" s="75" t="s">
        <v>232</v>
      </c>
      <c r="C3109" s="75" t="s">
        <v>865</v>
      </c>
      <c r="D3109" s="76">
        <v>46112</v>
      </c>
      <c r="E3109" s="75" t="s">
        <v>876</v>
      </c>
      <c r="F3109" s="74">
        <v>2021.85</v>
      </c>
      <c r="G3109" s="75" t="s">
        <v>430</v>
      </c>
      <c r="H3109" s="77" t="str">
        <f>VLOOKUP(DESPESAS[[#This Row],[Plano de Contas]],BASE!$B$3:$D$119,3,FALSE)</f>
        <v>Salarios e Ordenados MOD</v>
      </c>
      <c r="I3109" s="77" t="str">
        <f>IFERROR(VLOOKUP(DESPESAS[[#This Row],[Fornecedor]],Tabela2[],2,FALSE),"")</f>
        <v/>
      </c>
      <c r="J3109" s="77" t="str">
        <f>IFERROR(VLOOKUP(DESPESAS[[#This Row],[Plano de Contas]],BASE!$B$3:$F$119,4,FALSE),"")</f>
        <v>2 - CUSTOS DIRETOS</v>
      </c>
      <c r="K3109" s="77" t="str">
        <f>IFERROR(VLOOKUP(DESPESAS[[#This Row],[Plano de Contas]],BASE!$B$3:$H$119,5,FALSE),"")</f>
        <v>DH</v>
      </c>
      <c r="L3109" s="77" t="str">
        <f>IFERROR(VLOOKUP(DESPESAS[[#This Row],[Plano de Contas]],BASE!$B$3:$H$119,6,FALSE),"")</f>
        <v>CUSTO MÃO DE OBRA DIRETA</v>
      </c>
      <c r="M3109" s="77" t="str">
        <f>VLOOKUP(DESPESAS[[#This Row],[Plano de Contas]],BASE!$B$3:$H$119,7,FALSE)</f>
        <v>RAFAEL</v>
      </c>
    </row>
    <row r="3110" spans="1:13" x14ac:dyDescent="0.25">
      <c r="A3110" s="74">
        <v>200242</v>
      </c>
      <c r="B3110" s="75" t="s">
        <v>232</v>
      </c>
      <c r="C3110" s="75" t="s">
        <v>865</v>
      </c>
      <c r="D3110" s="76">
        <v>46112</v>
      </c>
      <c r="E3110" s="75" t="s">
        <v>875</v>
      </c>
      <c r="F3110" s="74">
        <v>411.69</v>
      </c>
      <c r="G3110" s="75" t="s">
        <v>430</v>
      </c>
      <c r="H3110" s="77" t="str">
        <f>VLOOKUP(DESPESAS[[#This Row],[Plano de Contas]],BASE!$B$3:$D$119,3,FALSE)</f>
        <v>Salarios e Ordenados MOD</v>
      </c>
      <c r="I3110" s="77" t="str">
        <f>IFERROR(VLOOKUP(DESPESAS[[#This Row],[Fornecedor]],Tabela2[],2,FALSE),"")</f>
        <v/>
      </c>
      <c r="J3110" s="77" t="str">
        <f>IFERROR(VLOOKUP(DESPESAS[[#This Row],[Plano de Contas]],BASE!$B$3:$F$119,4,FALSE),"")</f>
        <v>2 - CUSTOS DIRETOS</v>
      </c>
      <c r="K3110" s="77" t="str">
        <f>IFERROR(VLOOKUP(DESPESAS[[#This Row],[Plano de Contas]],BASE!$B$3:$H$119,5,FALSE),"")</f>
        <v>DH</v>
      </c>
      <c r="L3110" s="77" t="str">
        <f>IFERROR(VLOOKUP(DESPESAS[[#This Row],[Plano de Contas]],BASE!$B$3:$H$119,6,FALSE),"")</f>
        <v>CUSTO MÃO DE OBRA DIRETA</v>
      </c>
      <c r="M3110" s="77" t="str">
        <f>VLOOKUP(DESPESAS[[#This Row],[Plano de Contas]],BASE!$B$3:$H$119,7,FALSE)</f>
        <v>RAFAEL</v>
      </c>
    </row>
    <row r="3111" spans="1:13" x14ac:dyDescent="0.25">
      <c r="A3111" s="74">
        <v>200243</v>
      </c>
      <c r="B3111" s="75" t="s">
        <v>232</v>
      </c>
      <c r="C3111" s="75" t="s">
        <v>865</v>
      </c>
      <c r="D3111" s="76">
        <v>46112</v>
      </c>
      <c r="E3111" s="75" t="s">
        <v>874</v>
      </c>
      <c r="F3111" s="74">
        <v>1986.28</v>
      </c>
      <c r="G3111" s="75" t="s">
        <v>627</v>
      </c>
      <c r="H3111" s="77" t="str">
        <f>VLOOKUP(DESPESAS[[#This Row],[Plano de Contas]],BASE!$B$3:$D$119,3,FALSE)</f>
        <v>Salarios e Ordenados (Adm)</v>
      </c>
      <c r="I3111" s="77" t="str">
        <f>IFERROR(VLOOKUP(DESPESAS[[#This Row],[Fornecedor]],Tabela2[],2,FALSE),"")</f>
        <v/>
      </c>
      <c r="J3111" s="77" t="str">
        <f>IFERROR(VLOOKUP(DESPESAS[[#This Row],[Plano de Contas]],BASE!$B$3:$F$119,4,FALSE),"")</f>
        <v>4 - GASTOS COM PESSOAL</v>
      </c>
      <c r="K3111" s="77" t="str">
        <f>IFERROR(VLOOKUP(DESPESAS[[#This Row],[Plano de Contas]],BASE!$B$3:$H$119,5,FALSE),"")</f>
        <v>DH</v>
      </c>
      <c r="L3111" s="77">
        <f>IFERROR(VLOOKUP(DESPESAS[[#This Row],[Plano de Contas]],BASE!$B$3:$H$119,6,FALSE),"")</f>
        <v>0</v>
      </c>
      <c r="M3111" s="77" t="str">
        <f>VLOOKUP(DESPESAS[[#This Row],[Plano de Contas]],BASE!$B$3:$H$119,7,FALSE)</f>
        <v>RAFAEL</v>
      </c>
    </row>
    <row r="3112" spans="1:13" x14ac:dyDescent="0.25">
      <c r="A3112" s="74">
        <v>200244</v>
      </c>
      <c r="B3112" s="75" t="s">
        <v>232</v>
      </c>
      <c r="C3112" s="75" t="s">
        <v>865</v>
      </c>
      <c r="D3112" s="76">
        <v>46112</v>
      </c>
      <c r="E3112" s="75" t="s">
        <v>873</v>
      </c>
      <c r="F3112" s="74">
        <v>2457.19</v>
      </c>
      <c r="G3112" s="75" t="s">
        <v>627</v>
      </c>
      <c r="H3112" s="77" t="str">
        <f>VLOOKUP(DESPESAS[[#This Row],[Plano de Contas]],BASE!$B$3:$D$119,3,FALSE)</f>
        <v>Salarios e Ordenados (Adm)</v>
      </c>
      <c r="I3112" s="77" t="str">
        <f>IFERROR(VLOOKUP(DESPESAS[[#This Row],[Fornecedor]],Tabela2[],2,FALSE),"")</f>
        <v/>
      </c>
      <c r="J3112" s="77" t="str">
        <f>IFERROR(VLOOKUP(DESPESAS[[#This Row],[Plano de Contas]],BASE!$B$3:$F$119,4,FALSE),"")</f>
        <v>4 - GASTOS COM PESSOAL</v>
      </c>
      <c r="K3112" s="77" t="str">
        <f>IFERROR(VLOOKUP(DESPESAS[[#This Row],[Plano de Contas]],BASE!$B$3:$H$119,5,FALSE),"")</f>
        <v>DH</v>
      </c>
      <c r="L3112" s="77">
        <f>IFERROR(VLOOKUP(DESPESAS[[#This Row],[Plano de Contas]],BASE!$B$3:$H$119,6,FALSE),"")</f>
        <v>0</v>
      </c>
      <c r="M3112" s="77" t="str">
        <f>VLOOKUP(DESPESAS[[#This Row],[Plano de Contas]],BASE!$B$3:$H$119,7,FALSE)</f>
        <v>RAFAEL</v>
      </c>
    </row>
    <row r="3113" spans="1:13" x14ac:dyDescent="0.25">
      <c r="A3113" s="74">
        <v>200245</v>
      </c>
      <c r="B3113" s="75" t="s">
        <v>232</v>
      </c>
      <c r="C3113" s="75" t="s">
        <v>865</v>
      </c>
      <c r="D3113" s="76">
        <v>46112</v>
      </c>
      <c r="E3113" s="75" t="s">
        <v>872</v>
      </c>
      <c r="F3113" s="74">
        <v>2372.0500000000002</v>
      </c>
      <c r="G3113" s="75" t="s">
        <v>430</v>
      </c>
      <c r="H3113" s="77" t="str">
        <f>VLOOKUP(DESPESAS[[#This Row],[Plano de Contas]],BASE!$B$3:$D$119,3,FALSE)</f>
        <v>Salarios e Ordenados MOD</v>
      </c>
      <c r="I3113" s="77" t="str">
        <f>IFERROR(VLOOKUP(DESPESAS[[#This Row],[Fornecedor]],Tabela2[],2,FALSE),"")</f>
        <v/>
      </c>
      <c r="J3113" s="77" t="str">
        <f>IFERROR(VLOOKUP(DESPESAS[[#This Row],[Plano de Contas]],BASE!$B$3:$F$119,4,FALSE),"")</f>
        <v>2 - CUSTOS DIRETOS</v>
      </c>
      <c r="K3113" s="77" t="str">
        <f>IFERROR(VLOOKUP(DESPESAS[[#This Row],[Plano de Contas]],BASE!$B$3:$H$119,5,FALSE),"")</f>
        <v>DH</v>
      </c>
      <c r="L3113" s="77" t="str">
        <f>IFERROR(VLOOKUP(DESPESAS[[#This Row],[Plano de Contas]],BASE!$B$3:$H$119,6,FALSE),"")</f>
        <v>CUSTO MÃO DE OBRA DIRETA</v>
      </c>
      <c r="M3113" s="77" t="str">
        <f>VLOOKUP(DESPESAS[[#This Row],[Plano de Contas]],BASE!$B$3:$H$119,7,FALSE)</f>
        <v>RAFAEL</v>
      </c>
    </row>
    <row r="3114" spans="1:13" x14ac:dyDescent="0.25">
      <c r="A3114" s="74">
        <v>200246</v>
      </c>
      <c r="B3114" s="75" t="s">
        <v>232</v>
      </c>
      <c r="C3114" s="75" t="s">
        <v>865</v>
      </c>
      <c r="D3114" s="76">
        <v>46112</v>
      </c>
      <c r="E3114" s="75" t="s">
        <v>871</v>
      </c>
      <c r="F3114" s="74">
        <v>2462.81</v>
      </c>
      <c r="G3114" s="75" t="s">
        <v>430</v>
      </c>
      <c r="H3114" s="77" t="str">
        <f>VLOOKUP(DESPESAS[[#This Row],[Plano de Contas]],BASE!$B$3:$D$119,3,FALSE)</f>
        <v>Salarios e Ordenados MOD</v>
      </c>
      <c r="I3114" s="77" t="str">
        <f>IFERROR(VLOOKUP(DESPESAS[[#This Row],[Fornecedor]],Tabela2[],2,FALSE),"")</f>
        <v/>
      </c>
      <c r="J3114" s="77" t="str">
        <f>IFERROR(VLOOKUP(DESPESAS[[#This Row],[Plano de Contas]],BASE!$B$3:$F$119,4,FALSE),"")</f>
        <v>2 - CUSTOS DIRETOS</v>
      </c>
      <c r="K3114" s="77" t="str">
        <f>IFERROR(VLOOKUP(DESPESAS[[#This Row],[Plano de Contas]],BASE!$B$3:$H$119,5,FALSE),"")</f>
        <v>DH</v>
      </c>
      <c r="L3114" s="77" t="str">
        <f>IFERROR(VLOOKUP(DESPESAS[[#This Row],[Plano de Contas]],BASE!$B$3:$H$119,6,FALSE),"")</f>
        <v>CUSTO MÃO DE OBRA DIRETA</v>
      </c>
      <c r="M3114" s="77" t="str">
        <f>VLOOKUP(DESPESAS[[#This Row],[Plano de Contas]],BASE!$B$3:$H$119,7,FALSE)</f>
        <v>RAFAEL</v>
      </c>
    </row>
    <row r="3115" spans="1:13" x14ac:dyDescent="0.25">
      <c r="A3115" s="74">
        <v>200247</v>
      </c>
      <c r="B3115" s="75" t="s">
        <v>232</v>
      </c>
      <c r="C3115" s="75" t="s">
        <v>865</v>
      </c>
      <c r="D3115" s="76">
        <v>46112</v>
      </c>
      <c r="E3115" s="75" t="s">
        <v>870</v>
      </c>
      <c r="F3115" s="74">
        <v>2936.3</v>
      </c>
      <c r="G3115" s="75" t="s">
        <v>627</v>
      </c>
      <c r="H3115" s="77" t="str">
        <f>VLOOKUP(DESPESAS[[#This Row],[Plano de Contas]],BASE!$B$3:$D$119,3,FALSE)</f>
        <v>Salarios e Ordenados (Adm)</v>
      </c>
      <c r="I3115" s="77" t="str">
        <f>IFERROR(VLOOKUP(DESPESAS[[#This Row],[Fornecedor]],Tabela2[],2,FALSE),"")</f>
        <v/>
      </c>
      <c r="J3115" s="77" t="str">
        <f>IFERROR(VLOOKUP(DESPESAS[[#This Row],[Plano de Contas]],BASE!$B$3:$F$119,4,FALSE),"")</f>
        <v>4 - GASTOS COM PESSOAL</v>
      </c>
      <c r="K3115" s="77" t="str">
        <f>IFERROR(VLOOKUP(DESPESAS[[#This Row],[Plano de Contas]],BASE!$B$3:$H$119,5,FALSE),"")</f>
        <v>DH</v>
      </c>
      <c r="L3115" s="77">
        <f>IFERROR(VLOOKUP(DESPESAS[[#This Row],[Plano de Contas]],BASE!$B$3:$H$119,6,FALSE),"")</f>
        <v>0</v>
      </c>
      <c r="M3115" s="77" t="str">
        <f>VLOOKUP(DESPESAS[[#This Row],[Plano de Contas]],BASE!$B$3:$H$119,7,FALSE)</f>
        <v>RAFAEL</v>
      </c>
    </row>
    <row r="3116" spans="1:13" x14ac:dyDescent="0.25">
      <c r="A3116" s="74">
        <v>200248</v>
      </c>
      <c r="B3116" s="75" t="s">
        <v>232</v>
      </c>
      <c r="C3116" s="75" t="s">
        <v>865</v>
      </c>
      <c r="D3116" s="76">
        <v>46112</v>
      </c>
      <c r="E3116" s="75" t="s">
        <v>869</v>
      </c>
      <c r="F3116" s="74">
        <v>1221.6300000000001</v>
      </c>
      <c r="G3116" s="75" t="s">
        <v>430</v>
      </c>
      <c r="H3116" s="77" t="str">
        <f>VLOOKUP(DESPESAS[[#This Row],[Plano de Contas]],BASE!$B$3:$D$119,3,FALSE)</f>
        <v>Salarios e Ordenados MOD</v>
      </c>
      <c r="I3116" s="77" t="str">
        <f>IFERROR(VLOOKUP(DESPESAS[[#This Row],[Fornecedor]],Tabela2[],2,FALSE),"")</f>
        <v/>
      </c>
      <c r="J3116" s="77" t="str">
        <f>IFERROR(VLOOKUP(DESPESAS[[#This Row],[Plano de Contas]],BASE!$B$3:$F$119,4,FALSE),"")</f>
        <v>2 - CUSTOS DIRETOS</v>
      </c>
      <c r="K3116" s="77" t="str">
        <f>IFERROR(VLOOKUP(DESPESAS[[#This Row],[Plano de Contas]],BASE!$B$3:$H$119,5,FALSE),"")</f>
        <v>DH</v>
      </c>
      <c r="L3116" s="77" t="str">
        <f>IFERROR(VLOOKUP(DESPESAS[[#This Row],[Plano de Contas]],BASE!$B$3:$H$119,6,FALSE),"")</f>
        <v>CUSTO MÃO DE OBRA DIRETA</v>
      </c>
      <c r="M3116" s="77" t="str">
        <f>VLOOKUP(DESPESAS[[#This Row],[Plano de Contas]],BASE!$B$3:$H$119,7,FALSE)</f>
        <v>RAFAEL</v>
      </c>
    </row>
    <row r="3117" spans="1:13" x14ac:dyDescent="0.25">
      <c r="A3117" s="74">
        <v>200249</v>
      </c>
      <c r="B3117" s="75" t="s">
        <v>232</v>
      </c>
      <c r="C3117" s="75" t="s">
        <v>865</v>
      </c>
      <c r="D3117" s="76">
        <v>46112</v>
      </c>
      <c r="E3117" s="75" t="s">
        <v>868</v>
      </c>
      <c r="F3117" s="74">
        <v>2161</v>
      </c>
      <c r="G3117" s="75" t="s">
        <v>430</v>
      </c>
      <c r="H3117" s="77" t="str">
        <f>VLOOKUP(DESPESAS[[#This Row],[Plano de Contas]],BASE!$B$3:$D$119,3,FALSE)</f>
        <v>Salarios e Ordenados MOD</v>
      </c>
      <c r="I3117" s="77" t="str">
        <f>IFERROR(VLOOKUP(DESPESAS[[#This Row],[Fornecedor]],Tabela2[],2,FALSE),"")</f>
        <v/>
      </c>
      <c r="J3117" s="77" t="str">
        <f>IFERROR(VLOOKUP(DESPESAS[[#This Row],[Plano de Contas]],BASE!$B$3:$F$119,4,FALSE),"")</f>
        <v>2 - CUSTOS DIRETOS</v>
      </c>
      <c r="K3117" s="77" t="str">
        <f>IFERROR(VLOOKUP(DESPESAS[[#This Row],[Plano de Contas]],BASE!$B$3:$H$119,5,FALSE),"")</f>
        <v>DH</v>
      </c>
      <c r="L3117" s="77" t="str">
        <f>IFERROR(VLOOKUP(DESPESAS[[#This Row],[Plano de Contas]],BASE!$B$3:$H$119,6,FALSE),"")</f>
        <v>CUSTO MÃO DE OBRA DIRETA</v>
      </c>
      <c r="M3117" s="77" t="str">
        <f>VLOOKUP(DESPESAS[[#This Row],[Plano de Contas]],BASE!$B$3:$H$119,7,FALSE)</f>
        <v>RAFAEL</v>
      </c>
    </row>
    <row r="3118" spans="1:13" x14ac:dyDescent="0.25">
      <c r="A3118" s="74">
        <v>200250</v>
      </c>
      <c r="B3118" s="75" t="s">
        <v>232</v>
      </c>
      <c r="C3118" s="75" t="s">
        <v>865</v>
      </c>
      <c r="D3118" s="76">
        <v>46112</v>
      </c>
      <c r="E3118" s="75" t="s">
        <v>867</v>
      </c>
      <c r="F3118" s="74">
        <v>2000.16</v>
      </c>
      <c r="G3118" s="75" t="s">
        <v>430</v>
      </c>
      <c r="H3118" s="77" t="str">
        <f>VLOOKUP(DESPESAS[[#This Row],[Plano de Contas]],BASE!$B$3:$D$119,3,FALSE)</f>
        <v>Salarios e Ordenados MOD</v>
      </c>
      <c r="I3118" s="77" t="str">
        <f>IFERROR(VLOOKUP(DESPESAS[[#This Row],[Fornecedor]],Tabela2[],2,FALSE),"")</f>
        <v/>
      </c>
      <c r="J3118" s="77" t="str">
        <f>IFERROR(VLOOKUP(DESPESAS[[#This Row],[Plano de Contas]],BASE!$B$3:$F$119,4,FALSE),"")</f>
        <v>2 - CUSTOS DIRETOS</v>
      </c>
      <c r="K3118" s="77" t="str">
        <f>IFERROR(VLOOKUP(DESPESAS[[#This Row],[Plano de Contas]],BASE!$B$3:$H$119,5,FALSE),"")</f>
        <v>DH</v>
      </c>
      <c r="L3118" s="77" t="str">
        <f>IFERROR(VLOOKUP(DESPESAS[[#This Row],[Plano de Contas]],BASE!$B$3:$H$119,6,FALSE),"")</f>
        <v>CUSTO MÃO DE OBRA DIRETA</v>
      </c>
      <c r="M3118" s="77" t="str">
        <f>VLOOKUP(DESPESAS[[#This Row],[Plano de Contas]],BASE!$B$3:$H$119,7,FALSE)</f>
        <v>RAFAEL</v>
      </c>
    </row>
    <row r="3119" spans="1:13" x14ac:dyDescent="0.25">
      <c r="A3119" s="74">
        <v>200251</v>
      </c>
      <c r="B3119" s="75" t="s">
        <v>232</v>
      </c>
      <c r="C3119" s="75" t="s">
        <v>865</v>
      </c>
      <c r="D3119" s="76">
        <v>46112</v>
      </c>
      <c r="E3119" s="75" t="s">
        <v>866</v>
      </c>
      <c r="F3119" s="74">
        <v>2696.14</v>
      </c>
      <c r="G3119" s="75" t="s">
        <v>627</v>
      </c>
      <c r="H3119" s="77" t="str">
        <f>VLOOKUP(DESPESAS[[#This Row],[Plano de Contas]],BASE!$B$3:$D$119,3,FALSE)</f>
        <v>Salarios e Ordenados (Adm)</v>
      </c>
      <c r="I3119" s="77" t="str">
        <f>IFERROR(VLOOKUP(DESPESAS[[#This Row],[Fornecedor]],Tabela2[],2,FALSE),"")</f>
        <v/>
      </c>
      <c r="J3119" s="77" t="str">
        <f>IFERROR(VLOOKUP(DESPESAS[[#This Row],[Plano de Contas]],BASE!$B$3:$F$119,4,FALSE),"")</f>
        <v>4 - GASTOS COM PESSOAL</v>
      </c>
      <c r="K3119" s="77" t="str">
        <f>IFERROR(VLOOKUP(DESPESAS[[#This Row],[Plano de Contas]],BASE!$B$3:$H$119,5,FALSE),"")</f>
        <v>DH</v>
      </c>
      <c r="L3119" s="77">
        <f>IFERROR(VLOOKUP(DESPESAS[[#This Row],[Plano de Contas]],BASE!$B$3:$H$119,6,FALSE),"")</f>
        <v>0</v>
      </c>
      <c r="M3119" s="77" t="str">
        <f>VLOOKUP(DESPESAS[[#This Row],[Plano de Contas]],BASE!$B$3:$H$119,7,FALSE)</f>
        <v>RAFAEL</v>
      </c>
    </row>
    <row r="3120" spans="1:13" x14ac:dyDescent="0.25">
      <c r="A3120" s="74">
        <v>200252</v>
      </c>
      <c r="B3120" s="75" t="s">
        <v>232</v>
      </c>
      <c r="C3120" s="75" t="s">
        <v>865</v>
      </c>
      <c r="D3120" s="76">
        <v>46112</v>
      </c>
      <c r="E3120" s="75" t="s">
        <v>864</v>
      </c>
      <c r="F3120" s="74">
        <v>2006.81</v>
      </c>
      <c r="G3120" s="75" t="s">
        <v>430</v>
      </c>
      <c r="H3120" s="77" t="str">
        <f>VLOOKUP(DESPESAS[[#This Row],[Plano de Contas]],BASE!$B$3:$D$119,3,FALSE)</f>
        <v>Salarios e Ordenados MOD</v>
      </c>
      <c r="I3120" s="77" t="str">
        <f>IFERROR(VLOOKUP(DESPESAS[[#This Row],[Fornecedor]],Tabela2[],2,FALSE),"")</f>
        <v/>
      </c>
      <c r="J3120" s="77" t="str">
        <f>IFERROR(VLOOKUP(DESPESAS[[#This Row],[Plano de Contas]],BASE!$B$3:$F$119,4,FALSE),"")</f>
        <v>2 - CUSTOS DIRETOS</v>
      </c>
      <c r="K3120" s="77" t="str">
        <f>IFERROR(VLOOKUP(DESPESAS[[#This Row],[Plano de Contas]],BASE!$B$3:$H$119,5,FALSE),"")</f>
        <v>DH</v>
      </c>
      <c r="L3120" s="77" t="str">
        <f>IFERROR(VLOOKUP(DESPESAS[[#This Row],[Plano de Contas]],BASE!$B$3:$H$119,6,FALSE),"")</f>
        <v>CUSTO MÃO DE OBRA DIRETA</v>
      </c>
      <c r="M3120" s="77" t="str">
        <f>VLOOKUP(DESPESAS[[#This Row],[Plano de Contas]],BASE!$B$3:$H$119,7,FALSE)</f>
        <v>RAFAEL</v>
      </c>
    </row>
    <row r="3121" spans="1:13" x14ac:dyDescent="0.25">
      <c r="A3121" s="74">
        <v>200253</v>
      </c>
      <c r="B3121" s="75" t="s">
        <v>232</v>
      </c>
      <c r="C3121" s="75" t="s">
        <v>863</v>
      </c>
      <c r="D3121" s="76">
        <v>46114</v>
      </c>
      <c r="E3121" s="75" t="s">
        <v>230</v>
      </c>
      <c r="F3121" s="74">
        <v>7.11</v>
      </c>
      <c r="G3121" s="75" t="s">
        <v>236</v>
      </c>
      <c r="H3121" s="77" t="str">
        <f>VLOOKUP(DESPESAS[[#This Row],[Plano de Contas]],BASE!$B$3:$D$119,3,FALSE)</f>
        <v>Despesas de Cobranca</v>
      </c>
      <c r="I3121" s="77" t="str">
        <f>IFERROR(VLOOKUP(DESPESAS[[#This Row],[Fornecedor]],Tabela2[],2,FALSE),"")</f>
        <v/>
      </c>
      <c r="J3121" s="77" t="str">
        <f>IFERROR(VLOOKUP(DESPESAS[[#This Row],[Plano de Contas]],BASE!$B$3:$F$119,4,FALSE),"")</f>
        <v>8 - DESPESAS FINANCEIRAS</v>
      </c>
      <c r="K3121" s="77" t="str">
        <f>IFERROR(VLOOKUP(DESPESAS[[#This Row],[Plano de Contas]],BASE!$B$3:$H$119,5,FALSE),"")</f>
        <v>FINANCEIRO</v>
      </c>
      <c r="L3121" s="77">
        <f>IFERROR(VLOOKUP(DESPESAS[[#This Row],[Plano de Contas]],BASE!$B$3:$H$119,6,FALSE),"")</f>
        <v>0</v>
      </c>
      <c r="M3121" s="77" t="str">
        <f>VLOOKUP(DESPESAS[[#This Row],[Plano de Contas]],BASE!$B$3:$H$119,7,FALSE)</f>
        <v>LETÍCIA</v>
      </c>
    </row>
    <row r="3122" spans="1:13" x14ac:dyDescent="0.25">
      <c r="A3122" s="74">
        <v>200254</v>
      </c>
      <c r="B3122" s="75" t="s">
        <v>279</v>
      </c>
      <c r="C3122" s="75" t="s">
        <v>862</v>
      </c>
      <c r="D3122" s="76">
        <v>46114</v>
      </c>
      <c r="E3122" s="75" t="s">
        <v>230</v>
      </c>
      <c r="F3122" s="74">
        <v>2.37</v>
      </c>
      <c r="G3122" s="75" t="s">
        <v>236</v>
      </c>
      <c r="H3122" s="77" t="str">
        <f>VLOOKUP(DESPESAS[[#This Row],[Plano de Contas]],BASE!$B$3:$D$119,3,FALSE)</f>
        <v>Despesas de Cobranca</v>
      </c>
      <c r="I3122" s="77" t="str">
        <f>IFERROR(VLOOKUP(DESPESAS[[#This Row],[Fornecedor]],Tabela2[],2,FALSE),"")</f>
        <v/>
      </c>
      <c r="J3122" s="77" t="str">
        <f>IFERROR(VLOOKUP(DESPESAS[[#This Row],[Plano de Contas]],BASE!$B$3:$F$119,4,FALSE),"")</f>
        <v>8 - DESPESAS FINANCEIRAS</v>
      </c>
      <c r="K3122" s="77" t="str">
        <f>IFERROR(VLOOKUP(DESPESAS[[#This Row],[Plano de Contas]],BASE!$B$3:$H$119,5,FALSE),"")</f>
        <v>FINANCEIRO</v>
      </c>
      <c r="L3122" s="77">
        <f>IFERROR(VLOOKUP(DESPESAS[[#This Row],[Plano de Contas]],BASE!$B$3:$H$119,6,FALSE),"")</f>
        <v>0</v>
      </c>
      <c r="M3122" s="77" t="str">
        <f>VLOOKUP(DESPESAS[[#This Row],[Plano de Contas]],BASE!$B$3:$H$119,7,FALSE)</f>
        <v>LETÍCIA</v>
      </c>
    </row>
    <row r="3123" spans="1:13" x14ac:dyDescent="0.25">
      <c r="A3123" s="74">
        <v>200255</v>
      </c>
      <c r="B3123" s="75" t="s">
        <v>279</v>
      </c>
      <c r="C3123" s="75" t="s">
        <v>861</v>
      </c>
      <c r="D3123" s="76">
        <v>46118</v>
      </c>
      <c r="E3123" s="75" t="s">
        <v>230</v>
      </c>
      <c r="F3123" s="74">
        <v>2.97</v>
      </c>
      <c r="G3123" s="75" t="s">
        <v>229</v>
      </c>
      <c r="H3123" s="77" t="str">
        <f>VLOOKUP(DESPESAS[[#This Row],[Plano de Contas]],BASE!$B$3:$D$119,3,FALSE)</f>
        <v>Despesas Bancarias</v>
      </c>
      <c r="I3123" s="77" t="str">
        <f>IFERROR(VLOOKUP(DESPESAS[[#This Row],[Fornecedor]],Tabela2[],2,FALSE),"")</f>
        <v/>
      </c>
      <c r="J3123" s="77" t="str">
        <f>IFERROR(VLOOKUP(DESPESAS[[#This Row],[Plano de Contas]],BASE!$B$3:$F$119,4,FALSE),"")</f>
        <v>8 - DESPESAS FINANCEIRAS</v>
      </c>
      <c r="K3123" s="77" t="str">
        <f>IFERROR(VLOOKUP(DESPESAS[[#This Row],[Plano de Contas]],BASE!$B$3:$H$119,5,FALSE),"")</f>
        <v>FINANCEIRO</v>
      </c>
      <c r="L3123" s="77">
        <f>IFERROR(VLOOKUP(DESPESAS[[#This Row],[Plano de Contas]],BASE!$B$3:$H$119,6,FALSE),"")</f>
        <v>0</v>
      </c>
      <c r="M3123" s="77" t="str">
        <f>VLOOKUP(DESPESAS[[#This Row],[Plano de Contas]],BASE!$B$3:$H$119,7,FALSE)</f>
        <v>LETÍCIA</v>
      </c>
    </row>
    <row r="3124" spans="1:13" x14ac:dyDescent="0.25">
      <c r="A3124" s="74">
        <v>200256</v>
      </c>
      <c r="B3124" s="75" t="s">
        <v>281</v>
      </c>
      <c r="C3124" s="75" t="s">
        <v>860</v>
      </c>
      <c r="D3124" s="76">
        <v>46114</v>
      </c>
      <c r="E3124" s="75" t="s">
        <v>230</v>
      </c>
      <c r="F3124" s="74">
        <v>0.79</v>
      </c>
      <c r="G3124" s="75" t="s">
        <v>236</v>
      </c>
      <c r="H3124" s="77" t="str">
        <f>VLOOKUP(DESPESAS[[#This Row],[Plano de Contas]],BASE!$B$3:$D$119,3,FALSE)</f>
        <v>Despesas de Cobranca</v>
      </c>
      <c r="I3124" s="77" t="str">
        <f>IFERROR(VLOOKUP(DESPESAS[[#This Row],[Fornecedor]],Tabela2[],2,FALSE),"")</f>
        <v/>
      </c>
      <c r="J3124" s="77" t="str">
        <f>IFERROR(VLOOKUP(DESPESAS[[#This Row],[Plano de Contas]],BASE!$B$3:$F$119,4,FALSE),"")</f>
        <v>8 - DESPESAS FINANCEIRAS</v>
      </c>
      <c r="K3124" s="77" t="str">
        <f>IFERROR(VLOOKUP(DESPESAS[[#This Row],[Plano de Contas]],BASE!$B$3:$H$119,5,FALSE),"")</f>
        <v>FINANCEIRO</v>
      </c>
      <c r="L3124" s="77">
        <f>IFERROR(VLOOKUP(DESPESAS[[#This Row],[Plano de Contas]],BASE!$B$3:$H$119,6,FALSE),"")</f>
        <v>0</v>
      </c>
      <c r="M3124" s="77" t="str">
        <f>VLOOKUP(DESPESAS[[#This Row],[Plano de Contas]],BASE!$B$3:$H$119,7,FALSE)</f>
        <v>LETÍCIA</v>
      </c>
    </row>
    <row r="3125" spans="1:13" x14ac:dyDescent="0.25">
      <c r="A3125" s="74">
        <v>200257</v>
      </c>
      <c r="B3125" s="75" t="s">
        <v>232</v>
      </c>
      <c r="C3125" s="75" t="s">
        <v>859</v>
      </c>
      <c r="D3125" s="76">
        <v>46114</v>
      </c>
      <c r="E3125" s="75" t="s">
        <v>230</v>
      </c>
      <c r="F3125" s="74">
        <v>0.95</v>
      </c>
      <c r="G3125" s="75" t="s">
        <v>236</v>
      </c>
      <c r="H3125" s="77" t="str">
        <f>VLOOKUP(DESPESAS[[#This Row],[Plano de Contas]],BASE!$B$3:$D$119,3,FALSE)</f>
        <v>Despesas de Cobranca</v>
      </c>
      <c r="I3125" s="77" t="str">
        <f>IFERROR(VLOOKUP(DESPESAS[[#This Row],[Fornecedor]],Tabela2[],2,FALSE),"")</f>
        <v/>
      </c>
      <c r="J3125" s="77" t="str">
        <f>IFERROR(VLOOKUP(DESPESAS[[#This Row],[Plano de Contas]],BASE!$B$3:$F$119,4,FALSE),"")</f>
        <v>8 - DESPESAS FINANCEIRAS</v>
      </c>
      <c r="K3125" s="77" t="str">
        <f>IFERROR(VLOOKUP(DESPESAS[[#This Row],[Plano de Contas]],BASE!$B$3:$H$119,5,FALSE),"")</f>
        <v>FINANCEIRO</v>
      </c>
      <c r="L3125" s="77">
        <f>IFERROR(VLOOKUP(DESPESAS[[#This Row],[Plano de Contas]],BASE!$B$3:$H$119,6,FALSE),"")</f>
        <v>0</v>
      </c>
      <c r="M3125" s="77" t="str">
        <f>VLOOKUP(DESPESAS[[#This Row],[Plano de Contas]],BASE!$B$3:$H$119,7,FALSE)</f>
        <v>LETÍCIA</v>
      </c>
    </row>
    <row r="3126" spans="1:13" x14ac:dyDescent="0.25">
      <c r="A3126" s="74">
        <v>200258</v>
      </c>
      <c r="B3126" s="75" t="s">
        <v>221</v>
      </c>
      <c r="C3126" s="75" t="s">
        <v>858</v>
      </c>
      <c r="D3126" s="76">
        <v>46118</v>
      </c>
      <c r="E3126" s="75" t="s">
        <v>338</v>
      </c>
      <c r="F3126" s="74">
        <v>112</v>
      </c>
      <c r="G3126" s="75" t="s">
        <v>259</v>
      </c>
      <c r="H3126" s="77" t="str">
        <f>VLOOKUP(DESPESAS[[#This Row],[Plano de Contas]],BASE!$B$3:$D$119,3,FALSE)</f>
        <v>Manutenção Predial CIF</v>
      </c>
      <c r="I3126" s="77" t="str">
        <f>IFERROR(VLOOKUP(DESPESAS[[#This Row],[Fornecedor]],Tabela2[],2,FALSE),"")</f>
        <v/>
      </c>
      <c r="J3126" s="77" t="str">
        <f>IFERROR(VLOOKUP(DESPESAS[[#This Row],[Plano de Contas]],BASE!$B$3:$F$119,4,FALSE),"")</f>
        <v>3 - CUSTOS INDIRETOS</v>
      </c>
      <c r="K3126" s="77" t="str">
        <f>IFERROR(VLOOKUP(DESPESAS[[#This Row],[Plano de Contas]],BASE!$B$3:$H$119,5,FALSE),"")</f>
        <v>MANUTENÇÃO / TI</v>
      </c>
      <c r="L3126" s="77">
        <f>IFERROR(VLOOKUP(DESPESAS[[#This Row],[Plano de Contas]],BASE!$B$3:$H$119,6,FALSE),"")</f>
        <v>0</v>
      </c>
      <c r="M3126" s="77" t="str">
        <f>VLOOKUP(DESPESAS[[#This Row],[Plano de Contas]],BASE!$B$3:$H$119,7,FALSE)</f>
        <v>FÁBIO</v>
      </c>
    </row>
    <row r="3127" spans="1:13" x14ac:dyDescent="0.25">
      <c r="A3127" s="74">
        <v>200259</v>
      </c>
      <c r="B3127" s="75" t="s">
        <v>221</v>
      </c>
      <c r="C3127" s="75" t="s">
        <v>857</v>
      </c>
      <c r="D3127" s="76">
        <v>46114</v>
      </c>
      <c r="E3127" s="75" t="s">
        <v>320</v>
      </c>
      <c r="F3127" s="74">
        <v>120</v>
      </c>
      <c r="G3127" s="75" t="s">
        <v>222</v>
      </c>
      <c r="H3127" s="77" t="str">
        <f>VLOOKUP(DESPESAS[[#This Row],[Plano de Contas]],BASE!$B$3:$D$119,3,FALSE)</f>
        <v>Alimentação</v>
      </c>
      <c r="I3127" s="77" t="str">
        <f>IFERROR(VLOOKUP(DESPESAS[[#This Row],[Fornecedor]],Tabela2[],2,FALSE),"")</f>
        <v/>
      </c>
      <c r="J3127" s="77" t="str">
        <f>IFERROR(VLOOKUP(DESPESAS[[#This Row],[Plano de Contas]],BASE!$B$3:$F$119,4,FALSE),"")</f>
        <v>5 - DESPESAS ADMINISTRATIVAS</v>
      </c>
      <c r="K3127" s="77" t="str">
        <f>IFERROR(VLOOKUP(DESPESAS[[#This Row],[Plano de Contas]],BASE!$B$3:$H$119,5,FALSE),"")</f>
        <v>FINANCEIRO</v>
      </c>
      <c r="L3127" s="77">
        <f>IFERROR(VLOOKUP(DESPESAS[[#This Row],[Plano de Contas]],BASE!$B$3:$H$119,6,FALSE),"")</f>
        <v>0</v>
      </c>
      <c r="M3127" s="77" t="str">
        <f>VLOOKUP(DESPESAS[[#This Row],[Plano de Contas]],BASE!$B$3:$H$119,7,FALSE)</f>
        <v>MYLENA</v>
      </c>
    </row>
    <row r="3128" spans="1:13" x14ac:dyDescent="0.25">
      <c r="A3128" s="74">
        <v>200260</v>
      </c>
      <c r="B3128" s="75" t="s">
        <v>221</v>
      </c>
      <c r="C3128" s="75" t="s">
        <v>856</v>
      </c>
      <c r="D3128" s="76">
        <v>46118</v>
      </c>
      <c r="E3128" s="75" t="s">
        <v>855</v>
      </c>
      <c r="F3128" s="74">
        <v>85</v>
      </c>
      <c r="G3128" s="75" t="s">
        <v>854</v>
      </c>
      <c r="H3128" s="77" t="str">
        <f>VLOOKUP(DESPESAS[[#This Row],[Plano de Contas]],BASE!$B$3:$D$119,3,FALSE)</f>
        <v>Confraternização</v>
      </c>
      <c r="I3128" s="77" t="str">
        <f>IFERROR(VLOOKUP(DESPESAS[[#This Row],[Fornecedor]],Tabela2[],2,FALSE),"")</f>
        <v/>
      </c>
      <c r="J3128" s="77" t="str">
        <f>IFERROR(VLOOKUP(DESPESAS[[#This Row],[Plano de Contas]],BASE!$B$3:$F$119,4,FALSE),"")</f>
        <v>4 - GASTOS COM PESSOAL</v>
      </c>
      <c r="K3128" s="77" t="str">
        <f>IFERROR(VLOOKUP(DESPESAS[[#This Row],[Plano de Contas]],BASE!$B$3:$H$119,5,FALSE),"")</f>
        <v>DH</v>
      </c>
      <c r="L3128" s="77">
        <f>IFERROR(VLOOKUP(DESPESAS[[#This Row],[Plano de Contas]],BASE!$B$3:$H$119,6,FALSE),"")</f>
        <v>0</v>
      </c>
      <c r="M3128" s="77" t="str">
        <f>VLOOKUP(DESPESAS[[#This Row],[Plano de Contas]],BASE!$B$3:$H$119,7,FALSE)</f>
        <v>MYLENA</v>
      </c>
    </row>
    <row r="3129" spans="1:13" x14ac:dyDescent="0.25">
      <c r="A3129" s="74">
        <v>200262</v>
      </c>
      <c r="B3129" s="75" t="s">
        <v>221</v>
      </c>
      <c r="C3129" s="75" t="s">
        <v>853</v>
      </c>
      <c r="D3129" s="76">
        <v>46114</v>
      </c>
      <c r="E3129" s="75" t="s">
        <v>399</v>
      </c>
      <c r="F3129" s="74">
        <v>26.7</v>
      </c>
      <c r="G3129" s="75" t="s">
        <v>222</v>
      </c>
      <c r="H3129" s="77" t="str">
        <f>VLOOKUP(DESPESAS[[#This Row],[Plano de Contas]],BASE!$B$3:$D$119,3,FALSE)</f>
        <v>Alimentação</v>
      </c>
      <c r="I3129" s="77" t="str">
        <f>IFERROR(VLOOKUP(DESPESAS[[#This Row],[Fornecedor]],Tabela2[],2,FALSE),"")</f>
        <v/>
      </c>
      <c r="J3129" s="77" t="str">
        <f>IFERROR(VLOOKUP(DESPESAS[[#This Row],[Plano de Contas]],BASE!$B$3:$F$119,4,FALSE),"")</f>
        <v>5 - DESPESAS ADMINISTRATIVAS</v>
      </c>
      <c r="K3129" s="77" t="str">
        <f>IFERROR(VLOOKUP(DESPESAS[[#This Row],[Plano de Contas]],BASE!$B$3:$H$119,5,FALSE),"")</f>
        <v>FINANCEIRO</v>
      </c>
      <c r="L3129" s="77">
        <f>IFERROR(VLOOKUP(DESPESAS[[#This Row],[Plano de Contas]],BASE!$B$3:$H$119,6,FALSE),"")</f>
        <v>0</v>
      </c>
      <c r="M3129" s="77" t="str">
        <f>VLOOKUP(DESPESAS[[#This Row],[Plano de Contas]],BASE!$B$3:$H$119,7,FALSE)</f>
        <v>MYLENA</v>
      </c>
    </row>
    <row r="3130" spans="1:13" x14ac:dyDescent="0.25">
      <c r="A3130" s="74">
        <v>200263</v>
      </c>
      <c r="B3130" s="75" t="s">
        <v>221</v>
      </c>
      <c r="C3130" s="75" t="s">
        <v>852</v>
      </c>
      <c r="D3130" s="76">
        <v>46112</v>
      </c>
      <c r="E3130" s="75" t="s">
        <v>762</v>
      </c>
      <c r="F3130" s="74">
        <v>675</v>
      </c>
      <c r="G3130" s="75" t="s">
        <v>568</v>
      </c>
      <c r="H3130" s="77" t="str">
        <f>VLOOKUP(DESPESAS[[#This Row],[Plano de Contas]],BASE!$B$3:$D$119,3,FALSE)</f>
        <v>Carregamento</v>
      </c>
      <c r="I3130" s="77" t="str">
        <f>IFERROR(VLOOKUP(DESPESAS[[#This Row],[Fornecedor]],Tabela2[],2,FALSE),"")</f>
        <v/>
      </c>
      <c r="J3130" s="77" t="str">
        <f>IFERROR(VLOOKUP(DESPESAS[[#This Row],[Plano de Contas]],BASE!$B$3:$F$119,4,FALSE),"")</f>
        <v>6 - DESPESA COM VENDAS</v>
      </c>
      <c r="K3130" s="77" t="str">
        <f>IFERROR(VLOOKUP(DESPESAS[[#This Row],[Plano de Contas]],BASE!$B$3:$H$119,5,FALSE),"")</f>
        <v>LOGÍSTICA</v>
      </c>
      <c r="L3130" s="77">
        <f>IFERROR(VLOOKUP(DESPESAS[[#This Row],[Plano de Contas]],BASE!$B$3:$H$119,6,FALSE),"")</f>
        <v>0</v>
      </c>
      <c r="M3130" s="77" t="str">
        <f>VLOOKUP(DESPESAS[[#This Row],[Plano de Contas]],BASE!$B$3:$H$119,7,FALSE)</f>
        <v>MYLENA</v>
      </c>
    </row>
    <row r="3131" spans="1:13" x14ac:dyDescent="0.25">
      <c r="A3131" s="74">
        <v>200264</v>
      </c>
      <c r="B3131" s="75" t="s">
        <v>221</v>
      </c>
      <c r="C3131" s="75" t="s">
        <v>852</v>
      </c>
      <c r="D3131" s="76">
        <v>46112</v>
      </c>
      <c r="E3131" s="75" t="s">
        <v>850</v>
      </c>
      <c r="F3131" s="74">
        <v>675</v>
      </c>
      <c r="G3131" s="75" t="s">
        <v>568</v>
      </c>
      <c r="H3131" s="77" t="str">
        <f>VLOOKUP(DESPESAS[[#This Row],[Plano de Contas]],BASE!$B$3:$D$119,3,FALSE)</f>
        <v>Carregamento</v>
      </c>
      <c r="I3131" s="77" t="str">
        <f>IFERROR(VLOOKUP(DESPESAS[[#This Row],[Fornecedor]],Tabela2[],2,FALSE),"")</f>
        <v/>
      </c>
      <c r="J3131" s="77" t="str">
        <f>IFERROR(VLOOKUP(DESPESAS[[#This Row],[Plano de Contas]],BASE!$B$3:$F$119,4,FALSE),"")</f>
        <v>6 - DESPESA COM VENDAS</v>
      </c>
      <c r="K3131" s="77" t="str">
        <f>IFERROR(VLOOKUP(DESPESAS[[#This Row],[Plano de Contas]],BASE!$B$3:$H$119,5,FALSE),"")</f>
        <v>LOGÍSTICA</v>
      </c>
      <c r="L3131" s="77">
        <f>IFERROR(VLOOKUP(DESPESAS[[#This Row],[Plano de Contas]],BASE!$B$3:$H$119,6,FALSE),"")</f>
        <v>0</v>
      </c>
      <c r="M3131" s="77" t="str">
        <f>VLOOKUP(DESPESAS[[#This Row],[Plano de Contas]],BASE!$B$3:$H$119,7,FALSE)</f>
        <v>MYLENA</v>
      </c>
    </row>
    <row r="3132" spans="1:13" x14ac:dyDescent="0.25">
      <c r="A3132" s="74">
        <v>200265</v>
      </c>
      <c r="B3132" s="75" t="s">
        <v>221</v>
      </c>
      <c r="C3132" s="75" t="s">
        <v>852</v>
      </c>
      <c r="D3132" s="76">
        <v>46112</v>
      </c>
      <c r="E3132" s="75" t="s">
        <v>847</v>
      </c>
      <c r="F3132" s="74">
        <v>675</v>
      </c>
      <c r="G3132" s="75" t="s">
        <v>568</v>
      </c>
      <c r="H3132" s="77" t="str">
        <f>VLOOKUP(DESPESAS[[#This Row],[Plano de Contas]],BASE!$B$3:$D$119,3,FALSE)</f>
        <v>Carregamento</v>
      </c>
      <c r="I3132" s="77" t="str">
        <f>IFERROR(VLOOKUP(DESPESAS[[#This Row],[Fornecedor]],Tabela2[],2,FALSE),"")</f>
        <v/>
      </c>
      <c r="J3132" s="77" t="str">
        <f>IFERROR(VLOOKUP(DESPESAS[[#This Row],[Plano de Contas]],BASE!$B$3:$F$119,4,FALSE),"")</f>
        <v>6 - DESPESA COM VENDAS</v>
      </c>
      <c r="K3132" s="77" t="str">
        <f>IFERROR(VLOOKUP(DESPESAS[[#This Row],[Plano de Contas]],BASE!$B$3:$H$119,5,FALSE),"")</f>
        <v>LOGÍSTICA</v>
      </c>
      <c r="L3132" s="77">
        <f>IFERROR(VLOOKUP(DESPESAS[[#This Row],[Plano de Contas]],BASE!$B$3:$H$119,6,FALSE),"")</f>
        <v>0</v>
      </c>
      <c r="M3132" s="77" t="str">
        <f>VLOOKUP(DESPESAS[[#This Row],[Plano de Contas]],BASE!$B$3:$H$119,7,FALSE)</f>
        <v>MYLENA</v>
      </c>
    </row>
    <row r="3133" spans="1:13" x14ac:dyDescent="0.25">
      <c r="A3133" s="74">
        <v>200266</v>
      </c>
      <c r="B3133" s="75" t="s">
        <v>221</v>
      </c>
      <c r="C3133" s="75" t="s">
        <v>851</v>
      </c>
      <c r="D3133" s="76">
        <v>46112</v>
      </c>
      <c r="E3133" s="75" t="s">
        <v>762</v>
      </c>
      <c r="F3133" s="74">
        <v>20</v>
      </c>
      <c r="G3133" s="75" t="s">
        <v>568</v>
      </c>
      <c r="H3133" s="77" t="str">
        <f>VLOOKUP(DESPESAS[[#This Row],[Plano de Contas]],BASE!$B$3:$D$119,3,FALSE)</f>
        <v>Carregamento</v>
      </c>
      <c r="I3133" s="77" t="str">
        <f>IFERROR(VLOOKUP(DESPESAS[[#This Row],[Fornecedor]],Tabela2[],2,FALSE),"")</f>
        <v/>
      </c>
      <c r="J3133" s="77" t="str">
        <f>IFERROR(VLOOKUP(DESPESAS[[#This Row],[Plano de Contas]],BASE!$B$3:$F$119,4,FALSE),"")</f>
        <v>6 - DESPESA COM VENDAS</v>
      </c>
      <c r="K3133" s="77" t="str">
        <f>IFERROR(VLOOKUP(DESPESAS[[#This Row],[Plano de Contas]],BASE!$B$3:$H$119,5,FALSE),"")</f>
        <v>LOGÍSTICA</v>
      </c>
      <c r="L3133" s="77">
        <f>IFERROR(VLOOKUP(DESPESAS[[#This Row],[Plano de Contas]],BASE!$B$3:$H$119,6,FALSE),"")</f>
        <v>0</v>
      </c>
      <c r="M3133" s="77" t="str">
        <f>VLOOKUP(DESPESAS[[#This Row],[Plano de Contas]],BASE!$B$3:$H$119,7,FALSE)</f>
        <v>MYLENA</v>
      </c>
    </row>
    <row r="3134" spans="1:13" x14ac:dyDescent="0.25">
      <c r="A3134" s="74">
        <v>200267</v>
      </c>
      <c r="B3134" s="75" t="s">
        <v>221</v>
      </c>
      <c r="C3134" s="75" t="s">
        <v>851</v>
      </c>
      <c r="D3134" s="76">
        <v>46112</v>
      </c>
      <c r="E3134" s="75" t="s">
        <v>850</v>
      </c>
      <c r="F3134" s="74">
        <v>20</v>
      </c>
      <c r="G3134" s="75" t="s">
        <v>568</v>
      </c>
      <c r="H3134" s="77" t="str">
        <f>VLOOKUP(DESPESAS[[#This Row],[Plano de Contas]],BASE!$B$3:$D$119,3,FALSE)</f>
        <v>Carregamento</v>
      </c>
      <c r="I3134" s="77" t="str">
        <f>IFERROR(VLOOKUP(DESPESAS[[#This Row],[Fornecedor]],Tabela2[],2,FALSE),"")</f>
        <v/>
      </c>
      <c r="J3134" s="77" t="str">
        <f>IFERROR(VLOOKUP(DESPESAS[[#This Row],[Plano de Contas]],BASE!$B$3:$F$119,4,FALSE),"")</f>
        <v>6 - DESPESA COM VENDAS</v>
      </c>
      <c r="K3134" s="77" t="str">
        <f>IFERROR(VLOOKUP(DESPESAS[[#This Row],[Plano de Contas]],BASE!$B$3:$H$119,5,FALSE),"")</f>
        <v>LOGÍSTICA</v>
      </c>
      <c r="L3134" s="77">
        <f>IFERROR(VLOOKUP(DESPESAS[[#This Row],[Plano de Contas]],BASE!$B$3:$H$119,6,FALSE),"")</f>
        <v>0</v>
      </c>
      <c r="M3134" s="77" t="str">
        <f>VLOOKUP(DESPESAS[[#This Row],[Plano de Contas]],BASE!$B$3:$H$119,7,FALSE)</f>
        <v>MYLENA</v>
      </c>
    </row>
    <row r="3135" spans="1:13" x14ac:dyDescent="0.25">
      <c r="A3135" s="74">
        <v>200268</v>
      </c>
      <c r="B3135" s="75" t="s">
        <v>221</v>
      </c>
      <c r="C3135" s="75" t="s">
        <v>849</v>
      </c>
      <c r="D3135" s="76">
        <v>46112</v>
      </c>
      <c r="E3135" s="75" t="s">
        <v>843</v>
      </c>
      <c r="F3135" s="74">
        <v>40</v>
      </c>
      <c r="G3135" s="75" t="s">
        <v>568</v>
      </c>
      <c r="H3135" s="77" t="str">
        <f>VLOOKUP(DESPESAS[[#This Row],[Plano de Contas]],BASE!$B$3:$D$119,3,FALSE)</f>
        <v>Carregamento</v>
      </c>
      <c r="I3135" s="77" t="str">
        <f>IFERROR(VLOOKUP(DESPESAS[[#This Row],[Fornecedor]],Tabela2[],2,FALSE),"")</f>
        <v/>
      </c>
      <c r="J3135" s="77" t="str">
        <f>IFERROR(VLOOKUP(DESPESAS[[#This Row],[Plano de Contas]],BASE!$B$3:$F$119,4,FALSE),"")</f>
        <v>6 - DESPESA COM VENDAS</v>
      </c>
      <c r="K3135" s="77" t="str">
        <f>IFERROR(VLOOKUP(DESPESAS[[#This Row],[Plano de Contas]],BASE!$B$3:$H$119,5,FALSE),"")</f>
        <v>LOGÍSTICA</v>
      </c>
      <c r="L3135" s="77">
        <f>IFERROR(VLOOKUP(DESPESAS[[#This Row],[Plano de Contas]],BASE!$B$3:$H$119,6,FALSE),"")</f>
        <v>0</v>
      </c>
      <c r="M3135" s="77" t="str">
        <f>VLOOKUP(DESPESAS[[#This Row],[Plano de Contas]],BASE!$B$3:$H$119,7,FALSE)</f>
        <v>MYLENA</v>
      </c>
    </row>
    <row r="3136" spans="1:13" x14ac:dyDescent="0.25">
      <c r="A3136" s="74">
        <v>200269</v>
      </c>
      <c r="B3136" s="75" t="s">
        <v>221</v>
      </c>
      <c r="C3136" s="75" t="s">
        <v>848</v>
      </c>
      <c r="D3136" s="76">
        <v>46112</v>
      </c>
      <c r="E3136" s="75" t="s">
        <v>847</v>
      </c>
      <c r="F3136" s="74">
        <v>80</v>
      </c>
      <c r="G3136" s="75" t="s">
        <v>568</v>
      </c>
      <c r="H3136" s="77" t="str">
        <f>VLOOKUP(DESPESAS[[#This Row],[Plano de Contas]],BASE!$B$3:$D$119,3,FALSE)</f>
        <v>Carregamento</v>
      </c>
      <c r="I3136" s="77" t="str">
        <f>IFERROR(VLOOKUP(DESPESAS[[#This Row],[Fornecedor]],Tabela2[],2,FALSE),"")</f>
        <v/>
      </c>
      <c r="J3136" s="77" t="str">
        <f>IFERROR(VLOOKUP(DESPESAS[[#This Row],[Plano de Contas]],BASE!$B$3:$F$119,4,FALSE),"")</f>
        <v>6 - DESPESA COM VENDAS</v>
      </c>
      <c r="K3136" s="77" t="str">
        <f>IFERROR(VLOOKUP(DESPESAS[[#This Row],[Plano de Contas]],BASE!$B$3:$H$119,5,FALSE),"")</f>
        <v>LOGÍSTICA</v>
      </c>
      <c r="L3136" s="77">
        <f>IFERROR(VLOOKUP(DESPESAS[[#This Row],[Plano de Contas]],BASE!$B$3:$H$119,6,FALSE),"")</f>
        <v>0</v>
      </c>
      <c r="M3136" s="77" t="str">
        <f>VLOOKUP(DESPESAS[[#This Row],[Plano de Contas]],BASE!$B$3:$H$119,7,FALSE)</f>
        <v>MYLENA</v>
      </c>
    </row>
    <row r="3137" spans="1:13" x14ac:dyDescent="0.25">
      <c r="A3137" s="74">
        <v>200270</v>
      </c>
      <c r="B3137" s="75" t="s">
        <v>221</v>
      </c>
      <c r="C3137" s="75" t="s">
        <v>846</v>
      </c>
      <c r="D3137" s="76">
        <v>46112</v>
      </c>
      <c r="E3137" s="75" t="s">
        <v>845</v>
      </c>
      <c r="F3137" s="74">
        <v>270</v>
      </c>
      <c r="G3137" s="75" t="s">
        <v>568</v>
      </c>
      <c r="H3137" s="77" t="str">
        <f>VLOOKUP(DESPESAS[[#This Row],[Plano de Contas]],BASE!$B$3:$D$119,3,FALSE)</f>
        <v>Carregamento</v>
      </c>
      <c r="I3137" s="77" t="str">
        <f>IFERROR(VLOOKUP(DESPESAS[[#This Row],[Fornecedor]],Tabela2[],2,FALSE),"")</f>
        <v/>
      </c>
      <c r="J3137" s="77" t="str">
        <f>IFERROR(VLOOKUP(DESPESAS[[#This Row],[Plano de Contas]],BASE!$B$3:$F$119,4,FALSE),"")</f>
        <v>6 - DESPESA COM VENDAS</v>
      </c>
      <c r="K3137" s="77" t="str">
        <f>IFERROR(VLOOKUP(DESPESAS[[#This Row],[Plano de Contas]],BASE!$B$3:$H$119,5,FALSE),"")</f>
        <v>LOGÍSTICA</v>
      </c>
      <c r="L3137" s="77">
        <f>IFERROR(VLOOKUP(DESPESAS[[#This Row],[Plano de Contas]],BASE!$B$3:$H$119,6,FALSE),"")</f>
        <v>0</v>
      </c>
      <c r="M3137" s="77" t="str">
        <f>VLOOKUP(DESPESAS[[#This Row],[Plano de Contas]],BASE!$B$3:$H$119,7,FALSE)</f>
        <v>MYLENA</v>
      </c>
    </row>
    <row r="3138" spans="1:13" x14ac:dyDescent="0.25">
      <c r="A3138" s="74">
        <v>200271</v>
      </c>
      <c r="B3138" s="75" t="s">
        <v>221</v>
      </c>
      <c r="C3138" s="75" t="s">
        <v>844</v>
      </c>
      <c r="D3138" s="76">
        <v>46112</v>
      </c>
      <c r="E3138" s="75" t="s">
        <v>843</v>
      </c>
      <c r="F3138" s="74">
        <v>405</v>
      </c>
      <c r="G3138" s="75" t="s">
        <v>568</v>
      </c>
      <c r="H3138" s="77" t="str">
        <f>VLOOKUP(DESPESAS[[#This Row],[Plano de Contas]],BASE!$B$3:$D$119,3,FALSE)</f>
        <v>Carregamento</v>
      </c>
      <c r="I3138" s="77" t="str">
        <f>IFERROR(VLOOKUP(DESPESAS[[#This Row],[Fornecedor]],Tabela2[],2,FALSE),"")</f>
        <v/>
      </c>
      <c r="J3138" s="77" t="str">
        <f>IFERROR(VLOOKUP(DESPESAS[[#This Row],[Plano de Contas]],BASE!$B$3:$F$119,4,FALSE),"")</f>
        <v>6 - DESPESA COM VENDAS</v>
      </c>
      <c r="K3138" s="77" t="str">
        <f>IFERROR(VLOOKUP(DESPESAS[[#This Row],[Plano de Contas]],BASE!$B$3:$H$119,5,FALSE),"")</f>
        <v>LOGÍSTICA</v>
      </c>
      <c r="L3138" s="77">
        <f>IFERROR(VLOOKUP(DESPESAS[[#This Row],[Plano de Contas]],BASE!$B$3:$H$119,6,FALSE),"")</f>
        <v>0</v>
      </c>
      <c r="M3138" s="77" t="str">
        <f>VLOOKUP(DESPESAS[[#This Row],[Plano de Contas]],BASE!$B$3:$H$119,7,FALSE)</f>
        <v>MYLENA</v>
      </c>
    </row>
    <row r="3139" spans="1:13" x14ac:dyDescent="0.25">
      <c r="A3139" s="74">
        <v>200272</v>
      </c>
      <c r="B3139" s="75" t="s">
        <v>232</v>
      </c>
      <c r="C3139" s="75" t="s">
        <v>826</v>
      </c>
      <c r="D3139" s="76">
        <v>46112</v>
      </c>
      <c r="E3139" s="75" t="s">
        <v>825</v>
      </c>
      <c r="F3139" s="74">
        <v>10.11</v>
      </c>
      <c r="G3139" s="75" t="s">
        <v>824</v>
      </c>
      <c r="H3139" s="77" t="str">
        <f>VLOOKUP(DESPESAS[[#This Row],[Plano de Contas]],BASE!$B$3:$D$119,3,FALSE)</f>
        <v>Outros Impostos</v>
      </c>
      <c r="I3139" s="77" t="str">
        <f>IFERROR(VLOOKUP(DESPESAS[[#This Row],[Fornecedor]],Tabela2[],2,FALSE),"")</f>
        <v/>
      </c>
      <c r="J3139" s="77" t="str">
        <f>IFERROR(VLOOKUP(DESPESAS[[#This Row],[Plano de Contas]],BASE!$B$3:$F$119,4,FALSE),"")</f>
        <v>0 - TRIBUTOS</v>
      </c>
      <c r="K3139" s="77" t="str">
        <f>IFERROR(VLOOKUP(DESPESAS[[#This Row],[Plano de Contas]],BASE!$B$3:$H$119,5,FALSE),"")</f>
        <v>FINANCEIRO</v>
      </c>
      <c r="L3139" s="77">
        <f>IFERROR(VLOOKUP(DESPESAS[[#This Row],[Plano de Contas]],BASE!$B$3:$H$119,6,FALSE),"")</f>
        <v>0</v>
      </c>
      <c r="M3139" s="77" t="str">
        <f>VLOOKUP(DESPESAS[[#This Row],[Plano de Contas]],BASE!$B$3:$H$119,7,FALSE)</f>
        <v>LETÍCIA</v>
      </c>
    </row>
    <row r="3140" spans="1:13" x14ac:dyDescent="0.25">
      <c r="A3140" s="74">
        <v>200273</v>
      </c>
      <c r="B3140" s="75" t="s">
        <v>232</v>
      </c>
      <c r="C3140" s="75" t="s">
        <v>842</v>
      </c>
      <c r="D3140" s="76">
        <v>46112</v>
      </c>
      <c r="E3140" s="75" t="s">
        <v>825</v>
      </c>
      <c r="F3140" s="74">
        <v>1772.42</v>
      </c>
      <c r="G3140" s="75" t="s">
        <v>824</v>
      </c>
      <c r="H3140" s="77" t="str">
        <f>VLOOKUP(DESPESAS[[#This Row],[Plano de Contas]],BASE!$B$3:$D$119,3,FALSE)</f>
        <v>Outros Impostos</v>
      </c>
      <c r="I3140" s="77" t="str">
        <f>IFERROR(VLOOKUP(DESPESAS[[#This Row],[Fornecedor]],Tabela2[],2,FALSE),"")</f>
        <v/>
      </c>
      <c r="J3140" s="77" t="str">
        <f>IFERROR(VLOOKUP(DESPESAS[[#This Row],[Plano de Contas]],BASE!$B$3:$F$119,4,FALSE),"")</f>
        <v>0 - TRIBUTOS</v>
      </c>
      <c r="K3140" s="77" t="str">
        <f>IFERROR(VLOOKUP(DESPESAS[[#This Row],[Plano de Contas]],BASE!$B$3:$H$119,5,FALSE),"")</f>
        <v>FINANCEIRO</v>
      </c>
      <c r="L3140" s="77">
        <f>IFERROR(VLOOKUP(DESPESAS[[#This Row],[Plano de Contas]],BASE!$B$3:$H$119,6,FALSE),"")</f>
        <v>0</v>
      </c>
      <c r="M3140" s="77" t="str">
        <f>VLOOKUP(DESPESAS[[#This Row],[Plano de Contas]],BASE!$B$3:$H$119,7,FALSE)</f>
        <v>LETÍCIA</v>
      </c>
    </row>
    <row r="3141" spans="1:13" x14ac:dyDescent="0.25">
      <c r="A3141" s="74">
        <v>200274</v>
      </c>
      <c r="B3141" s="75" t="s">
        <v>232</v>
      </c>
      <c r="C3141" s="75" t="s">
        <v>841</v>
      </c>
      <c r="D3141" s="76">
        <v>46112</v>
      </c>
      <c r="E3141" s="75" t="s">
        <v>831</v>
      </c>
      <c r="F3141" s="74">
        <v>38738.720000000001</v>
      </c>
      <c r="G3141" s="75" t="s">
        <v>830</v>
      </c>
      <c r="H3141" s="77" t="str">
        <f>VLOOKUP(DESPESAS[[#This Row],[Plano de Contas]],BASE!$B$3:$D$119,3,FALSE)</f>
        <v>ICMS</v>
      </c>
      <c r="I3141" s="77" t="str">
        <f>IFERROR(VLOOKUP(DESPESAS[[#This Row],[Fornecedor]],Tabela2[],2,FALSE),"")</f>
        <v/>
      </c>
      <c r="J3141" s="77" t="str">
        <f>IFERROR(VLOOKUP(DESPESAS[[#This Row],[Plano de Contas]],BASE!$B$3:$F$119,4,FALSE),"")</f>
        <v>0 - TRIBUTOS</v>
      </c>
      <c r="K3141" s="77" t="str">
        <f>IFERROR(VLOOKUP(DESPESAS[[#This Row],[Plano de Contas]],BASE!$B$3:$H$119,5,FALSE),"")</f>
        <v>FINANCEIRO</v>
      </c>
      <c r="L3141" s="77">
        <f>IFERROR(VLOOKUP(DESPESAS[[#This Row],[Plano de Contas]],BASE!$B$3:$H$119,6,FALSE),"")</f>
        <v>0</v>
      </c>
      <c r="M3141" s="77" t="str">
        <f>VLOOKUP(DESPESAS[[#This Row],[Plano de Contas]],BASE!$B$3:$H$119,7,FALSE)</f>
        <v>LETÍCIA</v>
      </c>
    </row>
    <row r="3142" spans="1:13" x14ac:dyDescent="0.25">
      <c r="A3142" s="74">
        <v>200275</v>
      </c>
      <c r="B3142" s="75" t="s">
        <v>232</v>
      </c>
      <c r="C3142" s="75" t="s">
        <v>840</v>
      </c>
      <c r="D3142" s="76">
        <v>46112</v>
      </c>
      <c r="E3142" s="75" t="s">
        <v>825</v>
      </c>
      <c r="F3142" s="74">
        <v>15906.25</v>
      </c>
      <c r="G3142" s="75" t="s">
        <v>839</v>
      </c>
      <c r="H3142" s="77" t="str">
        <f>VLOOKUP(DESPESAS[[#This Row],[Plano de Contas]],BASE!$B$3:$D$119,3,FALSE)</f>
        <v>COFINS</v>
      </c>
      <c r="I3142" s="77" t="str">
        <f>IFERROR(VLOOKUP(DESPESAS[[#This Row],[Fornecedor]],Tabela2[],2,FALSE),"")</f>
        <v/>
      </c>
      <c r="J3142" s="77" t="str">
        <f>IFERROR(VLOOKUP(DESPESAS[[#This Row],[Plano de Contas]],BASE!$B$3:$F$119,4,FALSE),"")</f>
        <v>0 - TRIBUTOS</v>
      </c>
      <c r="K3142" s="77" t="str">
        <f>IFERROR(VLOOKUP(DESPESAS[[#This Row],[Plano de Contas]],BASE!$B$3:$H$119,5,FALSE),"")</f>
        <v>FINANCEIRO</v>
      </c>
      <c r="L3142" s="77">
        <f>IFERROR(VLOOKUP(DESPESAS[[#This Row],[Plano de Contas]],BASE!$B$3:$H$119,6,FALSE),"")</f>
        <v>0</v>
      </c>
      <c r="M3142" s="77" t="str">
        <f>VLOOKUP(DESPESAS[[#This Row],[Plano de Contas]],BASE!$B$3:$H$119,7,FALSE)</f>
        <v>LETÍCIA</v>
      </c>
    </row>
    <row r="3143" spans="1:13" x14ac:dyDescent="0.25">
      <c r="A3143" s="74">
        <v>200276</v>
      </c>
      <c r="B3143" s="75" t="s">
        <v>232</v>
      </c>
      <c r="C3143" s="75" t="s">
        <v>838</v>
      </c>
      <c r="D3143" s="76">
        <v>46118</v>
      </c>
      <c r="E3143" s="75" t="s">
        <v>230</v>
      </c>
      <c r="F3143" s="74">
        <v>239.67</v>
      </c>
      <c r="G3143" s="75" t="s">
        <v>229</v>
      </c>
      <c r="H3143" s="77" t="str">
        <f>VLOOKUP(DESPESAS[[#This Row],[Plano de Contas]],BASE!$B$3:$D$119,3,FALSE)</f>
        <v>Despesas Bancarias</v>
      </c>
      <c r="I3143" s="77" t="str">
        <f>IFERROR(VLOOKUP(DESPESAS[[#This Row],[Fornecedor]],Tabela2[],2,FALSE),"")</f>
        <v/>
      </c>
      <c r="J3143" s="77" t="str">
        <f>IFERROR(VLOOKUP(DESPESAS[[#This Row],[Plano de Contas]],BASE!$B$3:$F$119,4,FALSE),"")</f>
        <v>8 - DESPESAS FINANCEIRAS</v>
      </c>
      <c r="K3143" s="77" t="str">
        <f>IFERROR(VLOOKUP(DESPESAS[[#This Row],[Plano de Contas]],BASE!$B$3:$H$119,5,FALSE),"")</f>
        <v>FINANCEIRO</v>
      </c>
      <c r="L3143" s="77">
        <f>IFERROR(VLOOKUP(DESPESAS[[#This Row],[Plano de Contas]],BASE!$B$3:$H$119,6,FALSE),"")</f>
        <v>0</v>
      </c>
      <c r="M3143" s="77" t="str">
        <f>VLOOKUP(DESPESAS[[#This Row],[Plano de Contas]],BASE!$B$3:$H$119,7,FALSE)</f>
        <v>LETÍCIA</v>
      </c>
    </row>
    <row r="3144" spans="1:13" x14ac:dyDescent="0.25">
      <c r="A3144" s="74">
        <v>200277</v>
      </c>
      <c r="B3144" s="75" t="s">
        <v>232</v>
      </c>
      <c r="C3144" s="75" t="s">
        <v>837</v>
      </c>
      <c r="D3144" s="76">
        <v>46112</v>
      </c>
      <c r="E3144" s="75" t="s">
        <v>825</v>
      </c>
      <c r="F3144" s="74">
        <v>3431.3</v>
      </c>
      <c r="G3144" s="75" t="s">
        <v>836</v>
      </c>
      <c r="H3144" s="77" t="str">
        <f>VLOOKUP(DESPESAS[[#This Row],[Plano de Contas]],BASE!$B$3:$D$119,3,FALSE)</f>
        <v>PIS</v>
      </c>
      <c r="I3144" s="77" t="str">
        <f>IFERROR(VLOOKUP(DESPESAS[[#This Row],[Fornecedor]],Tabela2[],2,FALSE),"")</f>
        <v/>
      </c>
      <c r="J3144" s="77" t="str">
        <f>IFERROR(VLOOKUP(DESPESAS[[#This Row],[Plano de Contas]],BASE!$B$3:$F$119,4,FALSE),"")</f>
        <v>0 - TRIBUTOS</v>
      </c>
      <c r="K3144" s="77" t="str">
        <f>IFERROR(VLOOKUP(DESPESAS[[#This Row],[Plano de Contas]],BASE!$B$3:$H$119,5,FALSE),"")</f>
        <v>FINANCEIRO</v>
      </c>
      <c r="L3144" s="77">
        <f>IFERROR(VLOOKUP(DESPESAS[[#This Row],[Plano de Contas]],BASE!$B$3:$H$119,6,FALSE),"")</f>
        <v>0</v>
      </c>
      <c r="M3144" s="77" t="str">
        <f>VLOOKUP(DESPESAS[[#This Row],[Plano de Contas]],BASE!$B$3:$H$119,7,FALSE)</f>
        <v>LETÍCIA</v>
      </c>
    </row>
    <row r="3145" spans="1:13" x14ac:dyDescent="0.25">
      <c r="A3145" s="74">
        <v>200278</v>
      </c>
      <c r="B3145" s="75" t="s">
        <v>232</v>
      </c>
      <c r="C3145" s="75" t="s">
        <v>835</v>
      </c>
      <c r="D3145" s="76">
        <v>46112</v>
      </c>
      <c r="E3145" s="75" t="s">
        <v>825</v>
      </c>
      <c r="F3145" s="74">
        <v>22197.7</v>
      </c>
      <c r="G3145" s="75" t="s">
        <v>834</v>
      </c>
      <c r="H3145" s="77" t="str">
        <f>VLOOKUP(DESPESAS[[#This Row],[Plano de Contas]],BASE!$B$3:$D$119,3,FALSE)</f>
        <v>IPI</v>
      </c>
      <c r="I3145" s="77" t="str">
        <f>IFERROR(VLOOKUP(DESPESAS[[#This Row],[Fornecedor]],Tabela2[],2,FALSE),"")</f>
        <v/>
      </c>
      <c r="J3145" s="77" t="str">
        <f>IFERROR(VLOOKUP(DESPESAS[[#This Row],[Plano de Contas]],BASE!$B$3:$F$119,4,FALSE),"")</f>
        <v>0 - TRIBUTOS</v>
      </c>
      <c r="K3145" s="77" t="str">
        <f>IFERROR(VLOOKUP(DESPESAS[[#This Row],[Plano de Contas]],BASE!$B$3:$H$119,5,FALSE),"")</f>
        <v>FINANCEIRO</v>
      </c>
      <c r="L3145" s="77">
        <f>IFERROR(VLOOKUP(DESPESAS[[#This Row],[Plano de Contas]],BASE!$B$3:$H$119,6,FALSE),"")</f>
        <v>0</v>
      </c>
      <c r="M3145" s="77" t="str">
        <f>VLOOKUP(DESPESAS[[#This Row],[Plano de Contas]],BASE!$B$3:$H$119,7,FALSE)</f>
        <v>LETÍCIA</v>
      </c>
    </row>
    <row r="3146" spans="1:13" x14ac:dyDescent="0.25">
      <c r="A3146" s="74">
        <v>200279</v>
      </c>
      <c r="B3146" s="75" t="s">
        <v>281</v>
      </c>
      <c r="C3146" s="75" t="s">
        <v>829</v>
      </c>
      <c r="D3146" s="76">
        <v>46112</v>
      </c>
      <c r="E3146" s="75" t="s">
        <v>828</v>
      </c>
      <c r="F3146" s="74">
        <v>40651.730000000003</v>
      </c>
      <c r="G3146" s="75" t="s">
        <v>827</v>
      </c>
      <c r="H3146" s="77" t="str">
        <f>VLOOKUP(DESPESAS[[#This Row],[Plano de Contas]],BASE!$B$3:$D$119,3,FALSE)</f>
        <v>Simples Nacional</v>
      </c>
      <c r="I3146" s="77" t="str">
        <f>IFERROR(VLOOKUP(DESPESAS[[#This Row],[Fornecedor]],Tabela2[],2,FALSE),"")</f>
        <v/>
      </c>
      <c r="J3146" s="77" t="str">
        <f>IFERROR(VLOOKUP(DESPESAS[[#This Row],[Plano de Contas]],BASE!$B$3:$F$119,4,FALSE),"")</f>
        <v>0 - TRIBUTOS</v>
      </c>
      <c r="K3146" s="77" t="str">
        <f>IFERROR(VLOOKUP(DESPESAS[[#This Row],[Plano de Contas]],BASE!$B$3:$H$119,5,FALSE),"")</f>
        <v>FINANCEIRO</v>
      </c>
      <c r="L3146" s="77">
        <f>IFERROR(VLOOKUP(DESPESAS[[#This Row],[Plano de Contas]],BASE!$B$3:$H$119,6,FALSE),"")</f>
        <v>0</v>
      </c>
      <c r="M3146" s="77" t="str">
        <f>VLOOKUP(DESPESAS[[#This Row],[Plano de Contas]],BASE!$B$3:$H$119,7,FALSE)</f>
        <v>LETÍCIA</v>
      </c>
    </row>
    <row r="3147" spans="1:13" x14ac:dyDescent="0.25">
      <c r="A3147" s="74">
        <v>200280</v>
      </c>
      <c r="B3147" s="75" t="s">
        <v>281</v>
      </c>
      <c r="C3147" s="75" t="s">
        <v>833</v>
      </c>
      <c r="D3147" s="76">
        <v>46112</v>
      </c>
      <c r="E3147" s="75" t="s">
        <v>831</v>
      </c>
      <c r="F3147" s="74">
        <v>138.68</v>
      </c>
      <c r="G3147" s="75" t="s">
        <v>830</v>
      </c>
      <c r="H3147" s="77" t="str">
        <f>VLOOKUP(DESPESAS[[#This Row],[Plano de Contas]],BASE!$B$3:$D$119,3,FALSE)</f>
        <v>ICMS</v>
      </c>
      <c r="I3147" s="77" t="str">
        <f>IFERROR(VLOOKUP(DESPESAS[[#This Row],[Fornecedor]],Tabela2[],2,FALSE),"")</f>
        <v/>
      </c>
      <c r="J3147" s="77" t="str">
        <f>IFERROR(VLOOKUP(DESPESAS[[#This Row],[Plano de Contas]],BASE!$B$3:$F$119,4,FALSE),"")</f>
        <v>0 - TRIBUTOS</v>
      </c>
      <c r="K3147" s="77" t="str">
        <f>IFERROR(VLOOKUP(DESPESAS[[#This Row],[Plano de Contas]],BASE!$B$3:$H$119,5,FALSE),"")</f>
        <v>FINANCEIRO</v>
      </c>
      <c r="L3147" s="77">
        <f>IFERROR(VLOOKUP(DESPESAS[[#This Row],[Plano de Contas]],BASE!$B$3:$H$119,6,FALSE),"")</f>
        <v>0</v>
      </c>
      <c r="M3147" s="77" t="str">
        <f>VLOOKUP(DESPESAS[[#This Row],[Plano de Contas]],BASE!$B$3:$H$119,7,FALSE)</f>
        <v>LETÍCIA</v>
      </c>
    </row>
    <row r="3148" spans="1:13" x14ac:dyDescent="0.25">
      <c r="A3148" s="74">
        <v>200281</v>
      </c>
      <c r="B3148" s="75" t="s">
        <v>281</v>
      </c>
      <c r="C3148" s="75" t="s">
        <v>832</v>
      </c>
      <c r="D3148" s="76">
        <v>46112</v>
      </c>
      <c r="E3148" s="75" t="s">
        <v>831</v>
      </c>
      <c r="F3148" s="74">
        <v>179.66</v>
      </c>
      <c r="G3148" s="75" t="s">
        <v>830</v>
      </c>
      <c r="H3148" s="77" t="str">
        <f>VLOOKUP(DESPESAS[[#This Row],[Plano de Contas]],BASE!$B$3:$D$119,3,FALSE)</f>
        <v>ICMS</v>
      </c>
      <c r="I3148" s="77" t="str">
        <f>IFERROR(VLOOKUP(DESPESAS[[#This Row],[Fornecedor]],Tabela2[],2,FALSE),"")</f>
        <v/>
      </c>
      <c r="J3148" s="77" t="str">
        <f>IFERROR(VLOOKUP(DESPESAS[[#This Row],[Plano de Contas]],BASE!$B$3:$F$119,4,FALSE),"")</f>
        <v>0 - TRIBUTOS</v>
      </c>
      <c r="K3148" s="77" t="str">
        <f>IFERROR(VLOOKUP(DESPESAS[[#This Row],[Plano de Contas]],BASE!$B$3:$H$119,5,FALSE),"")</f>
        <v>FINANCEIRO</v>
      </c>
      <c r="L3148" s="77">
        <f>IFERROR(VLOOKUP(DESPESAS[[#This Row],[Plano de Contas]],BASE!$B$3:$H$119,6,FALSE),"")</f>
        <v>0</v>
      </c>
      <c r="M3148" s="77" t="str">
        <f>VLOOKUP(DESPESAS[[#This Row],[Plano de Contas]],BASE!$B$3:$H$119,7,FALSE)</f>
        <v>LETÍCIA</v>
      </c>
    </row>
    <row r="3149" spans="1:13" x14ac:dyDescent="0.25">
      <c r="A3149" s="74">
        <v>200282</v>
      </c>
      <c r="B3149" s="75" t="s">
        <v>279</v>
      </c>
      <c r="C3149" s="75" t="s">
        <v>829</v>
      </c>
      <c r="D3149" s="76">
        <v>46112</v>
      </c>
      <c r="E3149" s="75" t="s">
        <v>828</v>
      </c>
      <c r="F3149" s="74">
        <v>40512.76</v>
      </c>
      <c r="G3149" s="75" t="s">
        <v>827</v>
      </c>
      <c r="H3149" s="77" t="str">
        <f>VLOOKUP(DESPESAS[[#This Row],[Plano de Contas]],BASE!$B$3:$D$119,3,FALSE)</f>
        <v>Simples Nacional</v>
      </c>
      <c r="I3149" s="77" t="str">
        <f>IFERROR(VLOOKUP(DESPESAS[[#This Row],[Fornecedor]],Tabela2[],2,FALSE),"")</f>
        <v/>
      </c>
      <c r="J3149" s="77" t="str">
        <f>IFERROR(VLOOKUP(DESPESAS[[#This Row],[Plano de Contas]],BASE!$B$3:$F$119,4,FALSE),"")</f>
        <v>0 - TRIBUTOS</v>
      </c>
      <c r="K3149" s="77" t="str">
        <f>IFERROR(VLOOKUP(DESPESAS[[#This Row],[Plano de Contas]],BASE!$B$3:$H$119,5,FALSE),"")</f>
        <v>FINANCEIRO</v>
      </c>
      <c r="L3149" s="77">
        <f>IFERROR(VLOOKUP(DESPESAS[[#This Row],[Plano de Contas]],BASE!$B$3:$H$119,6,FALSE),"")</f>
        <v>0</v>
      </c>
      <c r="M3149" s="77" t="str">
        <f>VLOOKUP(DESPESAS[[#This Row],[Plano de Contas]],BASE!$B$3:$H$119,7,FALSE)</f>
        <v>LETÍCIA</v>
      </c>
    </row>
    <row r="3150" spans="1:13" x14ac:dyDescent="0.25">
      <c r="A3150" s="74">
        <v>200283</v>
      </c>
      <c r="B3150" s="75" t="s">
        <v>279</v>
      </c>
      <c r="C3150" s="75" t="s">
        <v>826</v>
      </c>
      <c r="D3150" s="76">
        <v>46112</v>
      </c>
      <c r="E3150" s="75" t="s">
        <v>825</v>
      </c>
      <c r="F3150" s="74">
        <v>10.1</v>
      </c>
      <c r="G3150" s="75" t="s">
        <v>824</v>
      </c>
      <c r="H3150" s="77" t="str">
        <f>VLOOKUP(DESPESAS[[#This Row],[Plano de Contas]],BASE!$B$3:$D$119,3,FALSE)</f>
        <v>Outros Impostos</v>
      </c>
      <c r="I3150" s="77" t="str">
        <f>IFERROR(VLOOKUP(DESPESAS[[#This Row],[Fornecedor]],Tabela2[],2,FALSE),"")</f>
        <v/>
      </c>
      <c r="J3150" s="77" t="str">
        <f>IFERROR(VLOOKUP(DESPESAS[[#This Row],[Plano de Contas]],BASE!$B$3:$F$119,4,FALSE),"")</f>
        <v>0 - TRIBUTOS</v>
      </c>
      <c r="K3150" s="77" t="str">
        <f>IFERROR(VLOOKUP(DESPESAS[[#This Row],[Plano de Contas]],BASE!$B$3:$H$119,5,FALSE),"")</f>
        <v>FINANCEIRO</v>
      </c>
      <c r="L3150" s="77">
        <f>IFERROR(VLOOKUP(DESPESAS[[#This Row],[Plano de Contas]],BASE!$B$3:$H$119,6,FALSE),"")</f>
        <v>0</v>
      </c>
      <c r="M3150" s="77" t="str">
        <f>VLOOKUP(DESPESAS[[#This Row],[Plano de Contas]],BASE!$B$3:$H$119,7,FALSE)</f>
        <v>LETÍCIA</v>
      </c>
    </row>
    <row r="3151" spans="1:13" x14ac:dyDescent="0.25">
      <c r="A3151" s="74">
        <v>200284</v>
      </c>
      <c r="B3151" s="75" t="s">
        <v>232</v>
      </c>
      <c r="C3151" s="75" t="s">
        <v>3723</v>
      </c>
      <c r="D3151" s="76">
        <v>46142</v>
      </c>
      <c r="E3151" s="75" t="s">
        <v>290</v>
      </c>
      <c r="F3151" s="74">
        <v>8554.02</v>
      </c>
      <c r="G3151" s="75" t="s">
        <v>823</v>
      </c>
      <c r="H3151" s="77" t="str">
        <f>VLOOKUP(DESPESAS[[#This Row],[Plano de Contas]],BASE!$B$3:$D$119,3,FALSE)</f>
        <v>Energia Eletrica (Prod)</v>
      </c>
      <c r="I3151" s="77" t="str">
        <f>IFERROR(VLOOKUP(DESPESAS[[#This Row],[Fornecedor]],Tabela2[],2,FALSE),"")</f>
        <v/>
      </c>
      <c r="J3151" s="77" t="str">
        <f>IFERROR(VLOOKUP(DESPESAS[[#This Row],[Plano de Contas]],BASE!$B$3:$F$119,4,FALSE),"")</f>
        <v>2 - CUSTOS DIRETOS</v>
      </c>
      <c r="K3151" s="77" t="str">
        <f>IFERROR(VLOOKUP(DESPESAS[[#This Row],[Plano de Contas]],BASE!$B$3:$H$119,5,FALSE),"")</f>
        <v>PRODUÇÃO</v>
      </c>
      <c r="L3151" s="77">
        <f>IFERROR(VLOOKUP(DESPESAS[[#This Row],[Plano de Contas]],BASE!$B$3:$H$119,6,FALSE),"")</f>
        <v>0</v>
      </c>
      <c r="M3151" s="77" t="str">
        <f>VLOOKUP(DESPESAS[[#This Row],[Plano de Contas]],BASE!$B$3:$H$119,7,FALSE)</f>
        <v>RAFAEL</v>
      </c>
    </row>
    <row r="3152" spans="1:13" x14ac:dyDescent="0.25">
      <c r="A3152" s="74">
        <v>200285</v>
      </c>
      <c r="B3152" s="75" t="s">
        <v>232</v>
      </c>
      <c r="C3152" s="75" t="s">
        <v>822</v>
      </c>
      <c r="D3152" s="76">
        <v>46118</v>
      </c>
      <c r="E3152" s="75" t="s">
        <v>230</v>
      </c>
      <c r="F3152" s="74">
        <v>4351.7299999999996</v>
      </c>
      <c r="G3152" s="75" t="s">
        <v>251</v>
      </c>
      <c r="H3152" s="77" t="str">
        <f>VLOOKUP(DESPESAS[[#This Row],[Plano de Contas]],BASE!$B$3:$D$119,3,FALSE)</f>
        <v>Juros Pagos - Antecipação de Crédito</v>
      </c>
      <c r="I3152" s="77" t="str">
        <f>IFERROR(VLOOKUP(DESPESAS[[#This Row],[Fornecedor]],Tabela2[],2,FALSE),"")</f>
        <v/>
      </c>
      <c r="J3152" s="77" t="str">
        <f>IFERROR(VLOOKUP(DESPESAS[[#This Row],[Plano de Contas]],BASE!$B$3:$F$119,4,FALSE),"")</f>
        <v>8 - DESPESAS FINANCEIRAS</v>
      </c>
      <c r="K3152" s="77" t="str">
        <f>IFERROR(VLOOKUP(DESPESAS[[#This Row],[Plano de Contas]],BASE!$B$3:$H$119,5,FALSE),"")</f>
        <v>FINANCEIRO</v>
      </c>
      <c r="L3152" s="77">
        <f>IFERROR(VLOOKUP(DESPESAS[[#This Row],[Plano de Contas]],BASE!$B$3:$H$119,6,FALSE),"")</f>
        <v>0</v>
      </c>
      <c r="M3152" s="77" t="str">
        <f>VLOOKUP(DESPESAS[[#This Row],[Plano de Contas]],BASE!$B$3:$H$119,7,FALSE)</f>
        <v>LETÍCIA</v>
      </c>
    </row>
    <row r="3153" spans="1:13" x14ac:dyDescent="0.25">
      <c r="A3153" s="74">
        <v>200286</v>
      </c>
      <c r="B3153" s="75" t="s">
        <v>232</v>
      </c>
      <c r="C3153" s="75" t="s">
        <v>821</v>
      </c>
      <c r="D3153" s="76">
        <v>46118</v>
      </c>
      <c r="E3153" s="75" t="s">
        <v>230</v>
      </c>
      <c r="F3153" s="74">
        <v>704.43</v>
      </c>
      <c r="G3153" s="75" t="s">
        <v>229</v>
      </c>
      <c r="H3153" s="77" t="str">
        <f>VLOOKUP(DESPESAS[[#This Row],[Plano de Contas]],BASE!$B$3:$D$119,3,FALSE)</f>
        <v>Despesas Bancarias</v>
      </c>
      <c r="I3153" s="77" t="str">
        <f>IFERROR(VLOOKUP(DESPESAS[[#This Row],[Fornecedor]],Tabela2[],2,FALSE),"")</f>
        <v/>
      </c>
      <c r="J3153" s="77" t="str">
        <f>IFERROR(VLOOKUP(DESPESAS[[#This Row],[Plano de Contas]],BASE!$B$3:$F$119,4,FALSE),"")</f>
        <v>8 - DESPESAS FINANCEIRAS</v>
      </c>
      <c r="K3153" s="77" t="str">
        <f>IFERROR(VLOOKUP(DESPESAS[[#This Row],[Plano de Contas]],BASE!$B$3:$H$119,5,FALSE),"")</f>
        <v>FINANCEIRO</v>
      </c>
      <c r="L3153" s="77">
        <f>IFERROR(VLOOKUP(DESPESAS[[#This Row],[Plano de Contas]],BASE!$B$3:$H$119,6,FALSE),"")</f>
        <v>0</v>
      </c>
      <c r="M3153" s="77" t="str">
        <f>VLOOKUP(DESPESAS[[#This Row],[Plano de Contas]],BASE!$B$3:$H$119,7,FALSE)</f>
        <v>LETÍCIA</v>
      </c>
    </row>
    <row r="3154" spans="1:13" x14ac:dyDescent="0.25">
      <c r="A3154" s="74">
        <v>200287</v>
      </c>
      <c r="B3154" s="75" t="s">
        <v>232</v>
      </c>
      <c r="C3154" s="75" t="s">
        <v>820</v>
      </c>
      <c r="D3154" s="76">
        <v>46118</v>
      </c>
      <c r="E3154" s="75" t="s">
        <v>230</v>
      </c>
      <c r="F3154" s="74">
        <v>537.27</v>
      </c>
      <c r="G3154" s="75" t="s">
        <v>229</v>
      </c>
      <c r="H3154" s="77" t="str">
        <f>VLOOKUP(DESPESAS[[#This Row],[Plano de Contas]],BASE!$B$3:$D$119,3,FALSE)</f>
        <v>Despesas Bancarias</v>
      </c>
      <c r="I3154" s="77" t="str">
        <f>IFERROR(VLOOKUP(DESPESAS[[#This Row],[Fornecedor]],Tabela2[],2,FALSE),"")</f>
        <v/>
      </c>
      <c r="J3154" s="77" t="str">
        <f>IFERROR(VLOOKUP(DESPESAS[[#This Row],[Plano de Contas]],BASE!$B$3:$F$119,4,FALSE),"")</f>
        <v>8 - DESPESAS FINANCEIRAS</v>
      </c>
      <c r="K3154" s="77" t="str">
        <f>IFERROR(VLOOKUP(DESPESAS[[#This Row],[Plano de Contas]],BASE!$B$3:$H$119,5,FALSE),"")</f>
        <v>FINANCEIRO</v>
      </c>
      <c r="L3154" s="77">
        <f>IFERROR(VLOOKUP(DESPESAS[[#This Row],[Plano de Contas]],BASE!$B$3:$H$119,6,FALSE),"")</f>
        <v>0</v>
      </c>
      <c r="M3154" s="77" t="str">
        <f>VLOOKUP(DESPESAS[[#This Row],[Plano de Contas]],BASE!$B$3:$H$119,7,FALSE)</f>
        <v>LETÍCIA</v>
      </c>
    </row>
    <row r="3155" spans="1:13" x14ac:dyDescent="0.25">
      <c r="A3155" s="74">
        <v>200288</v>
      </c>
      <c r="B3155" s="75" t="s">
        <v>221</v>
      </c>
      <c r="C3155" s="75" t="s">
        <v>819</v>
      </c>
      <c r="D3155" s="76">
        <v>46118</v>
      </c>
      <c r="E3155" s="75" t="s">
        <v>239</v>
      </c>
      <c r="F3155" s="74">
        <v>141.76</v>
      </c>
      <c r="G3155" s="75" t="s">
        <v>238</v>
      </c>
      <c r="H3155" s="77" t="str">
        <f>VLOOKUP(DESPESAS[[#This Row],[Plano de Contas]],BASE!$B$3:$D$119,3,FALSE)</f>
        <v>Consultoria Comercial</v>
      </c>
      <c r="I3155" s="77" t="str">
        <f>IFERROR(VLOOKUP(DESPESAS[[#This Row],[Fornecedor]],Tabela2[],2,FALSE),"")</f>
        <v/>
      </c>
      <c r="J3155" s="77" t="str">
        <f>IFERROR(VLOOKUP(DESPESAS[[#This Row],[Plano de Contas]],BASE!$B$3:$F$119,4,FALSE),"")</f>
        <v>6 - DESPESA COM VENDAS</v>
      </c>
      <c r="K3155" s="77" t="str">
        <f>IFERROR(VLOOKUP(DESPESAS[[#This Row],[Plano de Contas]],BASE!$B$3:$H$119,5,FALSE),"")</f>
        <v>COMERCIAL</v>
      </c>
      <c r="L3155" s="77">
        <f>IFERROR(VLOOKUP(DESPESAS[[#This Row],[Plano de Contas]],BASE!$B$3:$H$119,6,FALSE),"")</f>
        <v>0</v>
      </c>
      <c r="M3155" s="77" t="str">
        <f>VLOOKUP(DESPESAS[[#This Row],[Plano de Contas]],BASE!$B$3:$H$119,7,FALSE)</f>
        <v>LETÍCIA</v>
      </c>
    </row>
    <row r="3156" spans="1:13" x14ac:dyDescent="0.25">
      <c r="A3156" s="74">
        <v>200290</v>
      </c>
      <c r="B3156" s="75" t="s">
        <v>232</v>
      </c>
      <c r="C3156" s="75" t="s">
        <v>818</v>
      </c>
      <c r="D3156" s="76">
        <v>46122</v>
      </c>
      <c r="E3156" s="75" t="s">
        <v>816</v>
      </c>
      <c r="F3156" s="74">
        <v>111</v>
      </c>
      <c r="G3156" s="75" t="s">
        <v>815</v>
      </c>
      <c r="H3156" s="77" t="str">
        <f>VLOOKUP(DESPESAS[[#This Row],[Plano de Contas]],BASE!$B$3:$D$119,3,FALSE)</f>
        <v>Rastreamento de frota</v>
      </c>
      <c r="I3156" s="77" t="str">
        <f>IFERROR(VLOOKUP(DESPESAS[[#This Row],[Fornecedor]],Tabela2[],2,FALSE),"")</f>
        <v/>
      </c>
      <c r="J3156" s="77" t="str">
        <f>IFERROR(VLOOKUP(DESPESAS[[#This Row],[Plano de Contas]],BASE!$B$3:$F$119,4,FALSE),"")</f>
        <v>5 - DESPESAS ADMINISTRATIVAS</v>
      </c>
      <c r="K3156" s="77" t="str">
        <f>IFERROR(VLOOKUP(DESPESAS[[#This Row],[Plano de Contas]],BASE!$B$3:$H$119,5,FALSE),"")</f>
        <v>LOGÍSTICA</v>
      </c>
      <c r="L3156" s="77">
        <f>IFERROR(VLOOKUP(DESPESAS[[#This Row],[Plano de Contas]],BASE!$B$3:$H$119,6,FALSE),"")</f>
        <v>0</v>
      </c>
      <c r="M3156" s="77" t="str">
        <f>VLOOKUP(DESPESAS[[#This Row],[Plano de Contas]],BASE!$B$3:$H$119,7,FALSE)</f>
        <v>MYLENA</v>
      </c>
    </row>
    <row r="3157" spans="1:13" x14ac:dyDescent="0.25">
      <c r="A3157" s="74">
        <v>200291</v>
      </c>
      <c r="B3157" s="75" t="s">
        <v>221</v>
      </c>
      <c r="C3157" s="75" t="s">
        <v>817</v>
      </c>
      <c r="D3157" s="76">
        <v>46122</v>
      </c>
      <c r="E3157" s="75" t="s">
        <v>816</v>
      </c>
      <c r="F3157" s="74">
        <v>259</v>
      </c>
      <c r="G3157" s="75" t="s">
        <v>815</v>
      </c>
      <c r="H3157" s="77" t="str">
        <f>VLOOKUP(DESPESAS[[#This Row],[Plano de Contas]],BASE!$B$3:$D$119,3,FALSE)</f>
        <v>Rastreamento de frota</v>
      </c>
      <c r="I3157" s="77" t="str">
        <f>IFERROR(VLOOKUP(DESPESAS[[#This Row],[Fornecedor]],Tabela2[],2,FALSE),"")</f>
        <v/>
      </c>
      <c r="J3157" s="77" t="str">
        <f>IFERROR(VLOOKUP(DESPESAS[[#This Row],[Plano de Contas]],BASE!$B$3:$F$119,4,FALSE),"")</f>
        <v>5 - DESPESAS ADMINISTRATIVAS</v>
      </c>
      <c r="K3157" s="77" t="str">
        <f>IFERROR(VLOOKUP(DESPESAS[[#This Row],[Plano de Contas]],BASE!$B$3:$H$119,5,FALSE),"")</f>
        <v>LOGÍSTICA</v>
      </c>
      <c r="L3157" s="77">
        <f>IFERROR(VLOOKUP(DESPESAS[[#This Row],[Plano de Contas]],BASE!$B$3:$H$119,6,FALSE),"")</f>
        <v>0</v>
      </c>
      <c r="M3157" s="77" t="str">
        <f>VLOOKUP(DESPESAS[[#This Row],[Plano de Contas]],BASE!$B$3:$H$119,7,FALSE)</f>
        <v>MYLENA</v>
      </c>
    </row>
    <row r="3158" spans="1:13" x14ac:dyDescent="0.25">
      <c r="A3158" s="74">
        <v>200292</v>
      </c>
      <c r="B3158" s="75" t="s">
        <v>221</v>
      </c>
      <c r="C3158" s="75" t="s">
        <v>814</v>
      </c>
      <c r="D3158" s="76">
        <v>46118</v>
      </c>
      <c r="E3158" s="75" t="s">
        <v>320</v>
      </c>
      <c r="F3158" s="74">
        <v>79</v>
      </c>
      <c r="G3158" s="75" t="s">
        <v>238</v>
      </c>
      <c r="H3158" s="77" t="str">
        <f>VLOOKUP(DESPESAS[[#This Row],[Plano de Contas]],BASE!$B$3:$D$119,3,FALSE)</f>
        <v>Consultoria Comercial</v>
      </c>
      <c r="I3158" s="77" t="str">
        <f>IFERROR(VLOOKUP(DESPESAS[[#This Row],[Fornecedor]],Tabela2[],2,FALSE),"")</f>
        <v/>
      </c>
      <c r="J3158" s="77" t="str">
        <f>IFERROR(VLOOKUP(DESPESAS[[#This Row],[Plano de Contas]],BASE!$B$3:$F$119,4,FALSE),"")</f>
        <v>6 - DESPESA COM VENDAS</v>
      </c>
      <c r="K3158" s="77" t="str">
        <f>IFERROR(VLOOKUP(DESPESAS[[#This Row],[Plano de Contas]],BASE!$B$3:$H$119,5,FALSE),"")</f>
        <v>COMERCIAL</v>
      </c>
      <c r="L3158" s="77">
        <f>IFERROR(VLOOKUP(DESPESAS[[#This Row],[Plano de Contas]],BASE!$B$3:$H$119,6,FALSE),"")</f>
        <v>0</v>
      </c>
      <c r="M3158" s="77" t="str">
        <f>VLOOKUP(DESPESAS[[#This Row],[Plano de Contas]],BASE!$B$3:$H$119,7,FALSE)</f>
        <v>LETÍCIA</v>
      </c>
    </row>
    <row r="3159" spans="1:13" x14ac:dyDescent="0.25">
      <c r="A3159" s="74">
        <v>200293</v>
      </c>
      <c r="B3159" s="75" t="s">
        <v>232</v>
      </c>
      <c r="C3159" s="75" t="s">
        <v>813</v>
      </c>
      <c r="D3159" s="76">
        <v>46118</v>
      </c>
      <c r="E3159" s="75" t="s">
        <v>230</v>
      </c>
      <c r="F3159" s="74">
        <v>27.65</v>
      </c>
      <c r="G3159" s="75" t="s">
        <v>236</v>
      </c>
      <c r="H3159" s="77" t="str">
        <f>VLOOKUP(DESPESAS[[#This Row],[Plano de Contas]],BASE!$B$3:$D$119,3,FALSE)</f>
        <v>Despesas de Cobranca</v>
      </c>
      <c r="I3159" s="77" t="str">
        <f>IFERROR(VLOOKUP(DESPESAS[[#This Row],[Fornecedor]],Tabela2[],2,FALSE),"")</f>
        <v/>
      </c>
      <c r="J3159" s="77" t="str">
        <f>IFERROR(VLOOKUP(DESPESAS[[#This Row],[Plano de Contas]],BASE!$B$3:$F$119,4,FALSE),"")</f>
        <v>8 - DESPESAS FINANCEIRAS</v>
      </c>
      <c r="K3159" s="77" t="str">
        <f>IFERROR(VLOOKUP(DESPESAS[[#This Row],[Plano de Contas]],BASE!$B$3:$H$119,5,FALSE),"")</f>
        <v>FINANCEIRO</v>
      </c>
      <c r="L3159" s="77">
        <f>IFERROR(VLOOKUP(DESPESAS[[#This Row],[Plano de Contas]],BASE!$B$3:$H$119,6,FALSE),"")</f>
        <v>0</v>
      </c>
      <c r="M3159" s="77" t="str">
        <f>VLOOKUP(DESPESAS[[#This Row],[Plano de Contas]],BASE!$B$3:$H$119,7,FALSE)</f>
        <v>LETÍCIA</v>
      </c>
    </row>
    <row r="3160" spans="1:13" x14ac:dyDescent="0.25">
      <c r="A3160" s="74">
        <v>200294</v>
      </c>
      <c r="B3160" s="75" t="s">
        <v>279</v>
      </c>
      <c r="C3160" s="75" t="s">
        <v>812</v>
      </c>
      <c r="D3160" s="76">
        <v>46118</v>
      </c>
      <c r="E3160" s="75" t="s">
        <v>230</v>
      </c>
      <c r="F3160" s="74">
        <v>10.27</v>
      </c>
      <c r="G3160" s="75" t="s">
        <v>236</v>
      </c>
      <c r="H3160" s="77" t="str">
        <f>VLOOKUP(DESPESAS[[#This Row],[Plano de Contas]],BASE!$B$3:$D$119,3,FALSE)</f>
        <v>Despesas de Cobranca</v>
      </c>
      <c r="I3160" s="77" t="str">
        <f>IFERROR(VLOOKUP(DESPESAS[[#This Row],[Fornecedor]],Tabela2[],2,FALSE),"")</f>
        <v/>
      </c>
      <c r="J3160" s="77" t="str">
        <f>IFERROR(VLOOKUP(DESPESAS[[#This Row],[Plano de Contas]],BASE!$B$3:$F$119,4,FALSE),"")</f>
        <v>8 - DESPESAS FINANCEIRAS</v>
      </c>
      <c r="K3160" s="77" t="str">
        <f>IFERROR(VLOOKUP(DESPESAS[[#This Row],[Plano de Contas]],BASE!$B$3:$H$119,5,FALSE),"")</f>
        <v>FINANCEIRO</v>
      </c>
      <c r="L3160" s="77">
        <f>IFERROR(VLOOKUP(DESPESAS[[#This Row],[Plano de Contas]],BASE!$B$3:$H$119,6,FALSE),"")</f>
        <v>0</v>
      </c>
      <c r="M3160" s="77" t="str">
        <f>VLOOKUP(DESPESAS[[#This Row],[Plano de Contas]],BASE!$B$3:$H$119,7,FALSE)</f>
        <v>LETÍCIA</v>
      </c>
    </row>
    <row r="3161" spans="1:13" x14ac:dyDescent="0.25">
      <c r="A3161" s="74">
        <v>200295</v>
      </c>
      <c r="B3161" s="75" t="s">
        <v>281</v>
      </c>
      <c r="C3161" s="75" t="s">
        <v>811</v>
      </c>
      <c r="D3161" s="76">
        <v>46118</v>
      </c>
      <c r="E3161" s="75" t="s">
        <v>230</v>
      </c>
      <c r="F3161" s="74">
        <v>5.53</v>
      </c>
      <c r="G3161" s="75" t="s">
        <v>236</v>
      </c>
      <c r="H3161" s="77" t="str">
        <f>VLOOKUP(DESPESAS[[#This Row],[Plano de Contas]],BASE!$B$3:$D$119,3,FALSE)</f>
        <v>Despesas de Cobranca</v>
      </c>
      <c r="I3161" s="77" t="str">
        <f>IFERROR(VLOOKUP(DESPESAS[[#This Row],[Fornecedor]],Tabela2[],2,FALSE),"")</f>
        <v/>
      </c>
      <c r="J3161" s="77" t="str">
        <f>IFERROR(VLOOKUP(DESPESAS[[#This Row],[Plano de Contas]],BASE!$B$3:$F$119,4,FALSE),"")</f>
        <v>8 - DESPESAS FINANCEIRAS</v>
      </c>
      <c r="K3161" s="77" t="str">
        <f>IFERROR(VLOOKUP(DESPESAS[[#This Row],[Plano de Contas]],BASE!$B$3:$H$119,5,FALSE),"")</f>
        <v>FINANCEIRO</v>
      </c>
      <c r="L3161" s="77">
        <f>IFERROR(VLOOKUP(DESPESAS[[#This Row],[Plano de Contas]],BASE!$B$3:$H$119,6,FALSE),"")</f>
        <v>0</v>
      </c>
      <c r="M3161" s="77" t="str">
        <f>VLOOKUP(DESPESAS[[#This Row],[Plano de Contas]],BASE!$B$3:$H$119,7,FALSE)</f>
        <v>LETÍCIA</v>
      </c>
    </row>
    <row r="3162" spans="1:13" x14ac:dyDescent="0.25">
      <c r="A3162" s="74">
        <v>200296</v>
      </c>
      <c r="B3162" s="75" t="s">
        <v>221</v>
      </c>
      <c r="C3162" s="75" t="s">
        <v>810</v>
      </c>
      <c r="D3162" s="76">
        <v>46118</v>
      </c>
      <c r="E3162" s="75" t="s">
        <v>230</v>
      </c>
      <c r="F3162" s="74">
        <v>3.8</v>
      </c>
      <c r="G3162" s="75" t="s">
        <v>236</v>
      </c>
      <c r="H3162" s="77" t="str">
        <f>VLOOKUP(DESPESAS[[#This Row],[Plano de Contas]],BASE!$B$3:$D$119,3,FALSE)</f>
        <v>Despesas de Cobranca</v>
      </c>
      <c r="I3162" s="77" t="str">
        <f>IFERROR(VLOOKUP(DESPESAS[[#This Row],[Fornecedor]],Tabela2[],2,FALSE),"")</f>
        <v/>
      </c>
      <c r="J3162" s="77" t="str">
        <f>IFERROR(VLOOKUP(DESPESAS[[#This Row],[Plano de Contas]],BASE!$B$3:$F$119,4,FALSE),"")</f>
        <v>8 - DESPESAS FINANCEIRAS</v>
      </c>
      <c r="K3162" s="77" t="str">
        <f>IFERROR(VLOOKUP(DESPESAS[[#This Row],[Plano de Contas]],BASE!$B$3:$H$119,5,FALSE),"")</f>
        <v>FINANCEIRO</v>
      </c>
      <c r="L3162" s="77">
        <f>IFERROR(VLOOKUP(DESPESAS[[#This Row],[Plano de Contas]],BASE!$B$3:$H$119,6,FALSE),"")</f>
        <v>0</v>
      </c>
      <c r="M3162" s="77" t="str">
        <f>VLOOKUP(DESPESAS[[#This Row],[Plano de Contas]],BASE!$B$3:$H$119,7,FALSE)</f>
        <v>LETÍCIA</v>
      </c>
    </row>
    <row r="3163" spans="1:13" x14ac:dyDescent="0.25">
      <c r="A3163" s="74">
        <v>200297</v>
      </c>
      <c r="B3163" s="75" t="s">
        <v>232</v>
      </c>
      <c r="C3163" s="75" t="s">
        <v>806</v>
      </c>
      <c r="D3163" s="76">
        <v>46119</v>
      </c>
      <c r="E3163" s="75" t="s">
        <v>230</v>
      </c>
      <c r="F3163" s="74">
        <v>2614.89</v>
      </c>
      <c r="G3163" s="75" t="s">
        <v>251</v>
      </c>
      <c r="H3163" s="77" t="str">
        <f>VLOOKUP(DESPESAS[[#This Row],[Plano de Contas]],BASE!$B$3:$D$119,3,FALSE)</f>
        <v>Juros Pagos - Antecipação de Crédito</v>
      </c>
      <c r="I3163" s="77" t="str">
        <f>IFERROR(VLOOKUP(DESPESAS[[#This Row],[Fornecedor]],Tabela2[],2,FALSE),"")</f>
        <v/>
      </c>
      <c r="J3163" s="77" t="str">
        <f>IFERROR(VLOOKUP(DESPESAS[[#This Row],[Plano de Contas]],BASE!$B$3:$F$119,4,FALSE),"")</f>
        <v>8 - DESPESAS FINANCEIRAS</v>
      </c>
      <c r="K3163" s="77" t="str">
        <f>IFERROR(VLOOKUP(DESPESAS[[#This Row],[Plano de Contas]],BASE!$B$3:$H$119,5,FALSE),"")</f>
        <v>FINANCEIRO</v>
      </c>
      <c r="L3163" s="77">
        <f>IFERROR(VLOOKUP(DESPESAS[[#This Row],[Plano de Contas]],BASE!$B$3:$H$119,6,FALSE),"")</f>
        <v>0</v>
      </c>
      <c r="M3163" s="77" t="str">
        <f>VLOOKUP(DESPESAS[[#This Row],[Plano de Contas]],BASE!$B$3:$H$119,7,FALSE)</f>
        <v>LETÍCIA</v>
      </c>
    </row>
    <row r="3164" spans="1:13" x14ac:dyDescent="0.25">
      <c r="A3164" s="74">
        <v>200298</v>
      </c>
      <c r="B3164" s="75" t="s">
        <v>232</v>
      </c>
      <c r="C3164" s="75" t="s">
        <v>809</v>
      </c>
      <c r="D3164" s="76">
        <v>46119</v>
      </c>
      <c r="E3164" s="75" t="s">
        <v>230</v>
      </c>
      <c r="F3164" s="74">
        <v>450.98</v>
      </c>
      <c r="G3164" s="75" t="s">
        <v>229</v>
      </c>
      <c r="H3164" s="77" t="str">
        <f>VLOOKUP(DESPESAS[[#This Row],[Plano de Contas]],BASE!$B$3:$D$119,3,FALSE)</f>
        <v>Despesas Bancarias</v>
      </c>
      <c r="I3164" s="77" t="str">
        <f>IFERROR(VLOOKUP(DESPESAS[[#This Row],[Fornecedor]],Tabela2[],2,FALSE),"")</f>
        <v/>
      </c>
      <c r="J3164" s="77" t="str">
        <f>IFERROR(VLOOKUP(DESPESAS[[#This Row],[Plano de Contas]],BASE!$B$3:$F$119,4,FALSE),"")</f>
        <v>8 - DESPESAS FINANCEIRAS</v>
      </c>
      <c r="K3164" s="77" t="str">
        <f>IFERROR(VLOOKUP(DESPESAS[[#This Row],[Plano de Contas]],BASE!$B$3:$H$119,5,FALSE),"")</f>
        <v>FINANCEIRO</v>
      </c>
      <c r="L3164" s="77">
        <f>IFERROR(VLOOKUP(DESPESAS[[#This Row],[Plano de Contas]],BASE!$B$3:$H$119,6,FALSE),"")</f>
        <v>0</v>
      </c>
      <c r="M3164" s="77" t="str">
        <f>VLOOKUP(DESPESAS[[#This Row],[Plano de Contas]],BASE!$B$3:$H$119,7,FALSE)</f>
        <v>LETÍCIA</v>
      </c>
    </row>
    <row r="3165" spans="1:13" x14ac:dyDescent="0.25">
      <c r="A3165" s="74">
        <v>200299</v>
      </c>
      <c r="B3165" s="75" t="s">
        <v>232</v>
      </c>
      <c r="C3165" s="75" t="s">
        <v>808</v>
      </c>
      <c r="D3165" s="76">
        <v>46119</v>
      </c>
      <c r="E3165" s="75" t="s">
        <v>230</v>
      </c>
      <c r="F3165" s="74">
        <v>845.97</v>
      </c>
      <c r="G3165" s="75" t="s">
        <v>229</v>
      </c>
      <c r="H3165" s="77" t="str">
        <f>VLOOKUP(DESPESAS[[#This Row],[Plano de Contas]],BASE!$B$3:$D$119,3,FALSE)</f>
        <v>Despesas Bancarias</v>
      </c>
      <c r="I3165" s="77" t="str">
        <f>IFERROR(VLOOKUP(DESPESAS[[#This Row],[Fornecedor]],Tabela2[],2,FALSE),"")</f>
        <v/>
      </c>
      <c r="J3165" s="77" t="str">
        <f>IFERROR(VLOOKUP(DESPESAS[[#This Row],[Plano de Contas]],BASE!$B$3:$F$119,4,FALSE),"")</f>
        <v>8 - DESPESAS FINANCEIRAS</v>
      </c>
      <c r="K3165" s="77" t="str">
        <f>IFERROR(VLOOKUP(DESPESAS[[#This Row],[Plano de Contas]],BASE!$B$3:$H$119,5,FALSE),"")</f>
        <v>FINANCEIRO</v>
      </c>
      <c r="L3165" s="77">
        <f>IFERROR(VLOOKUP(DESPESAS[[#This Row],[Plano de Contas]],BASE!$B$3:$H$119,6,FALSE),"")</f>
        <v>0</v>
      </c>
      <c r="M3165" s="77" t="str">
        <f>VLOOKUP(DESPESAS[[#This Row],[Plano de Contas]],BASE!$B$3:$H$119,7,FALSE)</f>
        <v>LETÍCIA</v>
      </c>
    </row>
    <row r="3166" spans="1:13" x14ac:dyDescent="0.25">
      <c r="A3166" s="74">
        <v>200300</v>
      </c>
      <c r="B3166" s="75" t="s">
        <v>221</v>
      </c>
      <c r="C3166" s="75" t="s">
        <v>807</v>
      </c>
      <c r="D3166" s="76">
        <v>46119</v>
      </c>
      <c r="E3166" s="75" t="s">
        <v>219</v>
      </c>
      <c r="F3166" s="74">
        <v>620</v>
      </c>
      <c r="G3166" s="75" t="s">
        <v>218</v>
      </c>
      <c r="H3166" s="77" t="str">
        <f>VLOOKUP(DESPESAS[[#This Row],[Plano de Contas]],BASE!$B$3:$D$119,3,FALSE)</f>
        <v>Manutenção de Equipamentos (Prod)</v>
      </c>
      <c r="I3166" s="77" t="str">
        <f>IFERROR(VLOOKUP(DESPESAS[[#This Row],[Fornecedor]],Tabela2[],2,FALSE),"")</f>
        <v>MAQUINAS DE COSTURA</v>
      </c>
      <c r="J3166" s="77" t="str">
        <f>IFERROR(VLOOKUP(DESPESAS[[#This Row],[Plano de Contas]],BASE!$B$3:$F$119,4,FALSE),"")</f>
        <v>3 - CUSTOS INDIRETOS</v>
      </c>
      <c r="K3166" s="77" t="str">
        <f>IFERROR(VLOOKUP(DESPESAS[[#This Row],[Plano de Contas]],BASE!$B$3:$H$119,5,FALSE),"")</f>
        <v>MANUTENÇÃO / TI</v>
      </c>
      <c r="L3166" s="77">
        <f>IFERROR(VLOOKUP(DESPESAS[[#This Row],[Plano de Contas]],BASE!$B$3:$H$119,6,FALSE),"")</f>
        <v>0</v>
      </c>
      <c r="M3166" s="77" t="str">
        <f>VLOOKUP(DESPESAS[[#This Row],[Plano de Contas]],BASE!$B$3:$H$119,7,FALSE)</f>
        <v>RAFAEL</v>
      </c>
    </row>
    <row r="3167" spans="1:13" x14ac:dyDescent="0.25">
      <c r="A3167" s="74">
        <v>200301</v>
      </c>
      <c r="B3167" s="75" t="s">
        <v>279</v>
      </c>
      <c r="C3167" s="75" t="s">
        <v>806</v>
      </c>
      <c r="D3167" s="76">
        <v>46119</v>
      </c>
      <c r="E3167" s="75" t="s">
        <v>230</v>
      </c>
      <c r="F3167" s="74">
        <v>1484.53</v>
      </c>
      <c r="G3167" s="75" t="s">
        <v>251</v>
      </c>
      <c r="H3167" s="77" t="str">
        <f>VLOOKUP(DESPESAS[[#This Row],[Plano de Contas]],BASE!$B$3:$D$119,3,FALSE)</f>
        <v>Juros Pagos - Antecipação de Crédito</v>
      </c>
      <c r="I3167" s="77" t="str">
        <f>IFERROR(VLOOKUP(DESPESAS[[#This Row],[Fornecedor]],Tabela2[],2,FALSE),"")</f>
        <v/>
      </c>
      <c r="J3167" s="77" t="str">
        <f>IFERROR(VLOOKUP(DESPESAS[[#This Row],[Plano de Contas]],BASE!$B$3:$F$119,4,FALSE),"")</f>
        <v>8 - DESPESAS FINANCEIRAS</v>
      </c>
      <c r="K3167" s="77" t="str">
        <f>IFERROR(VLOOKUP(DESPESAS[[#This Row],[Plano de Contas]],BASE!$B$3:$H$119,5,FALSE),"")</f>
        <v>FINANCEIRO</v>
      </c>
      <c r="L3167" s="77">
        <f>IFERROR(VLOOKUP(DESPESAS[[#This Row],[Plano de Contas]],BASE!$B$3:$H$119,6,FALSE),"")</f>
        <v>0</v>
      </c>
      <c r="M3167" s="77" t="str">
        <f>VLOOKUP(DESPESAS[[#This Row],[Plano de Contas]],BASE!$B$3:$H$119,7,FALSE)</f>
        <v>LETÍCIA</v>
      </c>
    </row>
    <row r="3168" spans="1:13" x14ac:dyDescent="0.25">
      <c r="A3168" s="74">
        <v>200302</v>
      </c>
      <c r="B3168" s="75" t="s">
        <v>279</v>
      </c>
      <c r="C3168" s="75" t="s">
        <v>805</v>
      </c>
      <c r="D3168" s="76">
        <v>46119</v>
      </c>
      <c r="E3168" s="75" t="s">
        <v>230</v>
      </c>
      <c r="F3168" s="74">
        <v>237.19</v>
      </c>
      <c r="G3168" s="75" t="s">
        <v>229</v>
      </c>
      <c r="H3168" s="77" t="str">
        <f>VLOOKUP(DESPESAS[[#This Row],[Plano de Contas]],BASE!$B$3:$D$119,3,FALSE)</f>
        <v>Despesas Bancarias</v>
      </c>
      <c r="I3168" s="77" t="str">
        <f>IFERROR(VLOOKUP(DESPESAS[[#This Row],[Fornecedor]],Tabela2[],2,FALSE),"")</f>
        <v/>
      </c>
      <c r="J3168" s="77" t="str">
        <f>IFERROR(VLOOKUP(DESPESAS[[#This Row],[Plano de Contas]],BASE!$B$3:$F$119,4,FALSE),"")</f>
        <v>8 - DESPESAS FINANCEIRAS</v>
      </c>
      <c r="K3168" s="77" t="str">
        <f>IFERROR(VLOOKUP(DESPESAS[[#This Row],[Plano de Contas]],BASE!$B$3:$H$119,5,FALSE),"")</f>
        <v>FINANCEIRO</v>
      </c>
      <c r="L3168" s="77">
        <f>IFERROR(VLOOKUP(DESPESAS[[#This Row],[Plano de Contas]],BASE!$B$3:$H$119,6,FALSE),"")</f>
        <v>0</v>
      </c>
      <c r="M3168" s="77" t="str">
        <f>VLOOKUP(DESPESAS[[#This Row],[Plano de Contas]],BASE!$B$3:$H$119,7,FALSE)</f>
        <v>LETÍCIA</v>
      </c>
    </row>
    <row r="3169" spans="1:13" x14ac:dyDescent="0.25">
      <c r="A3169" s="74">
        <v>200303</v>
      </c>
      <c r="B3169" s="75" t="s">
        <v>279</v>
      </c>
      <c r="C3169" s="75" t="s">
        <v>804</v>
      </c>
      <c r="D3169" s="76">
        <v>46119</v>
      </c>
      <c r="E3169" s="75" t="s">
        <v>230</v>
      </c>
      <c r="F3169" s="74">
        <v>179.75</v>
      </c>
      <c r="G3169" s="75" t="s">
        <v>229</v>
      </c>
      <c r="H3169" s="77" t="str">
        <f>VLOOKUP(DESPESAS[[#This Row],[Plano de Contas]],BASE!$B$3:$D$119,3,FALSE)</f>
        <v>Despesas Bancarias</v>
      </c>
      <c r="I3169" s="77" t="str">
        <f>IFERROR(VLOOKUP(DESPESAS[[#This Row],[Fornecedor]],Tabela2[],2,FALSE),"")</f>
        <v/>
      </c>
      <c r="J3169" s="77" t="str">
        <f>IFERROR(VLOOKUP(DESPESAS[[#This Row],[Plano de Contas]],BASE!$B$3:$F$119,4,FALSE),"")</f>
        <v>8 - DESPESAS FINANCEIRAS</v>
      </c>
      <c r="K3169" s="77" t="str">
        <f>IFERROR(VLOOKUP(DESPESAS[[#This Row],[Plano de Contas]],BASE!$B$3:$H$119,5,FALSE),"")</f>
        <v>FINANCEIRO</v>
      </c>
      <c r="L3169" s="77">
        <f>IFERROR(VLOOKUP(DESPESAS[[#This Row],[Plano de Contas]],BASE!$B$3:$H$119,6,FALSE),"")</f>
        <v>0</v>
      </c>
      <c r="M3169" s="77" t="str">
        <f>VLOOKUP(DESPESAS[[#This Row],[Plano de Contas]],BASE!$B$3:$H$119,7,FALSE)</f>
        <v>LETÍCIA</v>
      </c>
    </row>
    <row r="3170" spans="1:13" x14ac:dyDescent="0.25">
      <c r="A3170" s="74">
        <v>200304</v>
      </c>
      <c r="B3170" s="75" t="s">
        <v>232</v>
      </c>
      <c r="C3170" s="75" t="s">
        <v>803</v>
      </c>
      <c r="D3170" s="76">
        <v>46119</v>
      </c>
      <c r="E3170" s="75" t="s">
        <v>802</v>
      </c>
      <c r="F3170" s="74">
        <v>6500</v>
      </c>
      <c r="G3170" s="75" t="s">
        <v>572</v>
      </c>
      <c r="H3170" s="77" t="str">
        <f>VLOOKUP(DESPESAS[[#This Row],[Plano de Contas]],BASE!$B$3:$D$119,3,FALSE)</f>
        <v>Comissões sobre Vendas Externo</v>
      </c>
      <c r="I3170" s="77" t="str">
        <f>IFERROR(VLOOKUP(DESPESAS[[#This Row],[Fornecedor]],Tabela2[],2,FALSE),"")</f>
        <v/>
      </c>
      <c r="J3170" s="77" t="str">
        <f>IFERROR(VLOOKUP(DESPESAS[[#This Row],[Plano de Contas]],BASE!$B$3:$F$119,4,FALSE),"")</f>
        <v>6 - DESPESA COM VENDAS</v>
      </c>
      <c r="K3170" s="77" t="str">
        <f>IFERROR(VLOOKUP(DESPESAS[[#This Row],[Plano de Contas]],BASE!$B$3:$H$119,5,FALSE),"")</f>
        <v>COMERCIAL</v>
      </c>
      <c r="L3170" s="77">
        <f>IFERROR(VLOOKUP(DESPESAS[[#This Row],[Plano de Contas]],BASE!$B$3:$H$119,6,FALSE),"")</f>
        <v>0</v>
      </c>
      <c r="M3170" s="77" t="str">
        <f>VLOOKUP(DESPESAS[[#This Row],[Plano de Contas]],BASE!$B$3:$H$119,7,FALSE)</f>
        <v>LETÍCIA</v>
      </c>
    </row>
    <row r="3171" spans="1:13" x14ac:dyDescent="0.25">
      <c r="A3171" s="74">
        <v>200305</v>
      </c>
      <c r="B3171" s="75" t="s">
        <v>232</v>
      </c>
      <c r="C3171" s="75" t="s">
        <v>541</v>
      </c>
      <c r="D3171" s="76">
        <v>46112</v>
      </c>
      <c r="E3171" s="75" t="s">
        <v>801</v>
      </c>
      <c r="F3171" s="74">
        <v>139.31</v>
      </c>
      <c r="G3171" s="75" t="s">
        <v>539</v>
      </c>
      <c r="H3171" s="77" t="str">
        <f>VLOOKUP(DESPESAS[[#This Row],[Plano de Contas]],BASE!$B$3:$D$119,3,FALSE)</f>
        <v>Royalties</v>
      </c>
      <c r="I3171" s="77" t="str">
        <f>IFERROR(VLOOKUP(DESPESAS[[#This Row],[Fornecedor]],Tabela2[],2,FALSE),"")</f>
        <v/>
      </c>
      <c r="J3171" s="77" t="str">
        <f>IFERROR(VLOOKUP(DESPESAS[[#This Row],[Plano de Contas]],BASE!$B$3:$F$119,4,FALSE),"")</f>
        <v>6 - DESPESA COM VENDAS</v>
      </c>
      <c r="K3171" s="77" t="str">
        <f>IFERROR(VLOOKUP(DESPESAS[[#This Row],[Plano de Contas]],BASE!$B$3:$H$119,5,FALSE),"")</f>
        <v>COMERCIAL</v>
      </c>
      <c r="L3171" s="77">
        <f>IFERROR(VLOOKUP(DESPESAS[[#This Row],[Plano de Contas]],BASE!$B$3:$H$119,6,FALSE),"")</f>
        <v>0</v>
      </c>
      <c r="M3171" s="77" t="str">
        <f>VLOOKUP(DESPESAS[[#This Row],[Plano de Contas]],BASE!$B$3:$H$119,7,FALSE)</f>
        <v>LETÍCIA</v>
      </c>
    </row>
    <row r="3172" spans="1:13" x14ac:dyDescent="0.25">
      <c r="A3172" s="74">
        <v>200307</v>
      </c>
      <c r="B3172" s="75" t="s">
        <v>232</v>
      </c>
      <c r="C3172" s="75" t="s">
        <v>541</v>
      </c>
      <c r="D3172" s="76">
        <v>46112</v>
      </c>
      <c r="E3172" s="75" t="s">
        <v>796</v>
      </c>
      <c r="F3172" s="74">
        <v>611.17999999999995</v>
      </c>
      <c r="G3172" s="75" t="s">
        <v>539</v>
      </c>
      <c r="H3172" s="77" t="str">
        <f>VLOOKUP(DESPESAS[[#This Row],[Plano de Contas]],BASE!$B$3:$D$119,3,FALSE)</f>
        <v>Royalties</v>
      </c>
      <c r="I3172" s="77" t="str">
        <f>IFERROR(VLOOKUP(DESPESAS[[#This Row],[Fornecedor]],Tabela2[],2,FALSE),"")</f>
        <v/>
      </c>
      <c r="J3172" s="77" t="str">
        <f>IFERROR(VLOOKUP(DESPESAS[[#This Row],[Plano de Contas]],BASE!$B$3:$F$119,4,FALSE),"")</f>
        <v>6 - DESPESA COM VENDAS</v>
      </c>
      <c r="K3172" s="77" t="str">
        <f>IFERROR(VLOOKUP(DESPESAS[[#This Row],[Plano de Contas]],BASE!$B$3:$H$119,5,FALSE),"")</f>
        <v>COMERCIAL</v>
      </c>
      <c r="L3172" s="77">
        <f>IFERROR(VLOOKUP(DESPESAS[[#This Row],[Plano de Contas]],BASE!$B$3:$H$119,6,FALSE),"")</f>
        <v>0</v>
      </c>
      <c r="M3172" s="77" t="str">
        <f>VLOOKUP(DESPESAS[[#This Row],[Plano de Contas]],BASE!$B$3:$H$119,7,FALSE)</f>
        <v>LETÍCIA</v>
      </c>
    </row>
    <row r="3173" spans="1:13" x14ac:dyDescent="0.25">
      <c r="A3173" s="74">
        <v>200308</v>
      </c>
      <c r="B3173" s="75" t="s">
        <v>232</v>
      </c>
      <c r="C3173" s="75" t="s">
        <v>541</v>
      </c>
      <c r="D3173" s="76">
        <v>46112</v>
      </c>
      <c r="E3173" s="75" t="s">
        <v>795</v>
      </c>
      <c r="F3173" s="74">
        <v>9025.76</v>
      </c>
      <c r="G3173" s="75" t="s">
        <v>539</v>
      </c>
      <c r="H3173" s="77" t="str">
        <f>VLOOKUP(DESPESAS[[#This Row],[Plano de Contas]],BASE!$B$3:$D$119,3,FALSE)</f>
        <v>Royalties</v>
      </c>
      <c r="I3173" s="77" t="str">
        <f>IFERROR(VLOOKUP(DESPESAS[[#This Row],[Fornecedor]],Tabela2[],2,FALSE),"")</f>
        <v/>
      </c>
      <c r="J3173" s="77" t="str">
        <f>IFERROR(VLOOKUP(DESPESAS[[#This Row],[Plano de Contas]],BASE!$B$3:$F$119,4,FALSE),"")</f>
        <v>6 - DESPESA COM VENDAS</v>
      </c>
      <c r="K3173" s="77" t="str">
        <f>IFERROR(VLOOKUP(DESPESAS[[#This Row],[Plano de Contas]],BASE!$B$3:$H$119,5,FALSE),"")</f>
        <v>COMERCIAL</v>
      </c>
      <c r="L3173" s="77">
        <f>IFERROR(VLOOKUP(DESPESAS[[#This Row],[Plano de Contas]],BASE!$B$3:$H$119,6,FALSE),"")</f>
        <v>0</v>
      </c>
      <c r="M3173" s="77" t="str">
        <f>VLOOKUP(DESPESAS[[#This Row],[Plano de Contas]],BASE!$B$3:$H$119,7,FALSE)</f>
        <v>LETÍCIA</v>
      </c>
    </row>
    <row r="3174" spans="1:13" x14ac:dyDescent="0.25">
      <c r="A3174" s="74">
        <v>200309</v>
      </c>
      <c r="B3174" s="75" t="s">
        <v>232</v>
      </c>
      <c r="C3174" s="75" t="s">
        <v>541</v>
      </c>
      <c r="D3174" s="76">
        <v>46112</v>
      </c>
      <c r="E3174" s="75" t="s">
        <v>800</v>
      </c>
      <c r="F3174" s="74">
        <v>212.79</v>
      </c>
      <c r="G3174" s="75" t="s">
        <v>539</v>
      </c>
      <c r="H3174" s="77" t="str">
        <f>VLOOKUP(DESPESAS[[#This Row],[Plano de Contas]],BASE!$B$3:$D$119,3,FALSE)</f>
        <v>Royalties</v>
      </c>
      <c r="I3174" s="77" t="str">
        <f>IFERROR(VLOOKUP(DESPESAS[[#This Row],[Fornecedor]],Tabela2[],2,FALSE),"")</f>
        <v/>
      </c>
      <c r="J3174" s="77" t="str">
        <f>IFERROR(VLOOKUP(DESPESAS[[#This Row],[Plano de Contas]],BASE!$B$3:$F$119,4,FALSE),"")</f>
        <v>6 - DESPESA COM VENDAS</v>
      </c>
      <c r="K3174" s="77" t="str">
        <f>IFERROR(VLOOKUP(DESPESAS[[#This Row],[Plano de Contas]],BASE!$B$3:$H$119,5,FALSE),"")</f>
        <v>COMERCIAL</v>
      </c>
      <c r="L3174" s="77">
        <f>IFERROR(VLOOKUP(DESPESAS[[#This Row],[Plano de Contas]],BASE!$B$3:$H$119,6,FALSE),"")</f>
        <v>0</v>
      </c>
      <c r="M3174" s="77" t="str">
        <f>VLOOKUP(DESPESAS[[#This Row],[Plano de Contas]],BASE!$B$3:$H$119,7,FALSE)</f>
        <v>LETÍCIA</v>
      </c>
    </row>
    <row r="3175" spans="1:13" x14ac:dyDescent="0.25">
      <c r="A3175" s="74">
        <v>200310</v>
      </c>
      <c r="B3175" s="75" t="s">
        <v>232</v>
      </c>
      <c r="C3175" s="75" t="s">
        <v>541</v>
      </c>
      <c r="D3175" s="76">
        <v>46112</v>
      </c>
      <c r="E3175" s="75" t="s">
        <v>799</v>
      </c>
      <c r="F3175" s="74">
        <v>141.35</v>
      </c>
      <c r="G3175" s="75" t="s">
        <v>539</v>
      </c>
      <c r="H3175" s="77" t="str">
        <f>VLOOKUP(DESPESAS[[#This Row],[Plano de Contas]],BASE!$B$3:$D$119,3,FALSE)</f>
        <v>Royalties</v>
      </c>
      <c r="I3175" s="77" t="str">
        <f>IFERROR(VLOOKUP(DESPESAS[[#This Row],[Fornecedor]],Tabela2[],2,FALSE),"")</f>
        <v/>
      </c>
      <c r="J3175" s="77" t="str">
        <f>IFERROR(VLOOKUP(DESPESAS[[#This Row],[Plano de Contas]],BASE!$B$3:$F$119,4,FALSE),"")</f>
        <v>6 - DESPESA COM VENDAS</v>
      </c>
      <c r="K3175" s="77" t="str">
        <f>IFERROR(VLOOKUP(DESPESAS[[#This Row],[Plano de Contas]],BASE!$B$3:$H$119,5,FALSE),"")</f>
        <v>COMERCIAL</v>
      </c>
      <c r="L3175" s="77">
        <f>IFERROR(VLOOKUP(DESPESAS[[#This Row],[Plano de Contas]],BASE!$B$3:$H$119,6,FALSE),"")</f>
        <v>0</v>
      </c>
      <c r="M3175" s="77" t="str">
        <f>VLOOKUP(DESPESAS[[#This Row],[Plano de Contas]],BASE!$B$3:$H$119,7,FALSE)</f>
        <v>LETÍCIA</v>
      </c>
    </row>
    <row r="3176" spans="1:13" x14ac:dyDescent="0.25">
      <c r="A3176" s="74">
        <v>200311</v>
      </c>
      <c r="B3176" s="75" t="s">
        <v>232</v>
      </c>
      <c r="C3176" s="75" t="s">
        <v>541</v>
      </c>
      <c r="D3176" s="76">
        <v>46112</v>
      </c>
      <c r="E3176" s="75" t="s">
        <v>798</v>
      </c>
      <c r="F3176" s="74">
        <v>318</v>
      </c>
      <c r="G3176" s="75" t="s">
        <v>539</v>
      </c>
      <c r="H3176" s="77" t="str">
        <f>VLOOKUP(DESPESAS[[#This Row],[Plano de Contas]],BASE!$B$3:$D$119,3,FALSE)</f>
        <v>Royalties</v>
      </c>
      <c r="I3176" s="77" t="str">
        <f>IFERROR(VLOOKUP(DESPESAS[[#This Row],[Fornecedor]],Tabela2[],2,FALSE),"")</f>
        <v/>
      </c>
      <c r="J3176" s="77" t="str">
        <f>IFERROR(VLOOKUP(DESPESAS[[#This Row],[Plano de Contas]],BASE!$B$3:$F$119,4,FALSE),"")</f>
        <v>6 - DESPESA COM VENDAS</v>
      </c>
      <c r="K3176" s="77" t="str">
        <f>IFERROR(VLOOKUP(DESPESAS[[#This Row],[Plano de Contas]],BASE!$B$3:$H$119,5,FALSE),"")</f>
        <v>COMERCIAL</v>
      </c>
      <c r="L3176" s="77">
        <f>IFERROR(VLOOKUP(DESPESAS[[#This Row],[Plano de Contas]],BASE!$B$3:$H$119,6,FALSE),"")</f>
        <v>0</v>
      </c>
      <c r="M3176" s="77" t="str">
        <f>VLOOKUP(DESPESAS[[#This Row],[Plano de Contas]],BASE!$B$3:$H$119,7,FALSE)</f>
        <v>LETÍCIA</v>
      </c>
    </row>
    <row r="3177" spans="1:13" x14ac:dyDescent="0.25">
      <c r="A3177" s="74">
        <v>200313</v>
      </c>
      <c r="B3177" s="75" t="s">
        <v>232</v>
      </c>
      <c r="C3177" s="75" t="s">
        <v>541</v>
      </c>
      <c r="D3177" s="76">
        <v>46112</v>
      </c>
      <c r="E3177" s="75" t="s">
        <v>797</v>
      </c>
      <c r="F3177" s="74">
        <v>4269.93</v>
      </c>
      <c r="G3177" s="75" t="s">
        <v>539</v>
      </c>
      <c r="H3177" s="77" t="str">
        <f>VLOOKUP(DESPESAS[[#This Row],[Plano de Contas]],BASE!$B$3:$D$119,3,FALSE)</f>
        <v>Royalties</v>
      </c>
      <c r="I3177" s="77" t="str">
        <f>IFERROR(VLOOKUP(DESPESAS[[#This Row],[Fornecedor]],Tabela2[],2,FALSE),"")</f>
        <v/>
      </c>
      <c r="J3177" s="77" t="str">
        <f>IFERROR(VLOOKUP(DESPESAS[[#This Row],[Plano de Contas]],BASE!$B$3:$F$119,4,FALSE),"")</f>
        <v>6 - DESPESA COM VENDAS</v>
      </c>
      <c r="K3177" s="77" t="str">
        <f>IFERROR(VLOOKUP(DESPESAS[[#This Row],[Plano de Contas]],BASE!$B$3:$H$119,5,FALSE),"")</f>
        <v>COMERCIAL</v>
      </c>
      <c r="L3177" s="77">
        <f>IFERROR(VLOOKUP(DESPESAS[[#This Row],[Plano de Contas]],BASE!$B$3:$H$119,6,FALSE),"")</f>
        <v>0</v>
      </c>
      <c r="M3177" s="77" t="str">
        <f>VLOOKUP(DESPESAS[[#This Row],[Plano de Contas]],BASE!$B$3:$H$119,7,FALSE)</f>
        <v>LETÍCIA</v>
      </c>
    </row>
    <row r="3178" spans="1:13" x14ac:dyDescent="0.25">
      <c r="A3178" s="74">
        <v>200315</v>
      </c>
      <c r="B3178" s="75" t="s">
        <v>232</v>
      </c>
      <c r="C3178" s="75" t="s">
        <v>541</v>
      </c>
      <c r="D3178" s="76">
        <v>46112</v>
      </c>
      <c r="E3178" s="75" t="s">
        <v>794</v>
      </c>
      <c r="F3178" s="74">
        <v>2388.11</v>
      </c>
      <c r="G3178" s="75" t="s">
        <v>539</v>
      </c>
      <c r="H3178" s="77" t="str">
        <f>VLOOKUP(DESPESAS[[#This Row],[Plano de Contas]],BASE!$B$3:$D$119,3,FALSE)</f>
        <v>Royalties</v>
      </c>
      <c r="I3178" s="77" t="str">
        <f>IFERROR(VLOOKUP(DESPESAS[[#This Row],[Fornecedor]],Tabela2[],2,FALSE),"")</f>
        <v/>
      </c>
      <c r="J3178" s="77" t="str">
        <f>IFERROR(VLOOKUP(DESPESAS[[#This Row],[Plano de Contas]],BASE!$B$3:$F$119,4,FALSE),"")</f>
        <v>6 - DESPESA COM VENDAS</v>
      </c>
      <c r="K3178" s="77" t="str">
        <f>IFERROR(VLOOKUP(DESPESAS[[#This Row],[Plano de Contas]],BASE!$B$3:$H$119,5,FALSE),"")</f>
        <v>COMERCIAL</v>
      </c>
      <c r="L3178" s="77">
        <f>IFERROR(VLOOKUP(DESPESAS[[#This Row],[Plano de Contas]],BASE!$B$3:$H$119,6,FALSE),"")</f>
        <v>0</v>
      </c>
      <c r="M3178" s="77" t="str">
        <f>VLOOKUP(DESPESAS[[#This Row],[Plano de Contas]],BASE!$B$3:$H$119,7,FALSE)</f>
        <v>LETÍCIA</v>
      </c>
    </row>
    <row r="3179" spans="1:13" x14ac:dyDescent="0.25">
      <c r="A3179" s="74">
        <v>200317</v>
      </c>
      <c r="B3179" s="75" t="s">
        <v>281</v>
      </c>
      <c r="C3179" s="75" t="s">
        <v>541</v>
      </c>
      <c r="D3179" s="76">
        <v>46112</v>
      </c>
      <c r="E3179" s="75" t="s">
        <v>540</v>
      </c>
      <c r="F3179" s="74">
        <v>2378.4299999999998</v>
      </c>
      <c r="G3179" s="75" t="s">
        <v>539</v>
      </c>
      <c r="H3179" s="77" t="str">
        <f>VLOOKUP(DESPESAS[[#This Row],[Plano de Contas]],BASE!$B$3:$D$119,3,FALSE)</f>
        <v>Royalties</v>
      </c>
      <c r="I3179" s="77" t="str">
        <f>IFERROR(VLOOKUP(DESPESAS[[#This Row],[Fornecedor]],Tabela2[],2,FALSE),"")</f>
        <v/>
      </c>
      <c r="J3179" s="77" t="str">
        <f>IFERROR(VLOOKUP(DESPESAS[[#This Row],[Plano de Contas]],BASE!$B$3:$F$119,4,FALSE),"")</f>
        <v>6 - DESPESA COM VENDAS</v>
      </c>
      <c r="K3179" s="77" t="str">
        <f>IFERROR(VLOOKUP(DESPESAS[[#This Row],[Plano de Contas]],BASE!$B$3:$H$119,5,FALSE),"")</f>
        <v>COMERCIAL</v>
      </c>
      <c r="L3179" s="77">
        <f>IFERROR(VLOOKUP(DESPESAS[[#This Row],[Plano de Contas]],BASE!$B$3:$H$119,6,FALSE),"")</f>
        <v>0</v>
      </c>
      <c r="M3179" s="77" t="str">
        <f>VLOOKUP(DESPESAS[[#This Row],[Plano de Contas]],BASE!$B$3:$H$119,7,FALSE)</f>
        <v>LETÍCIA</v>
      </c>
    </row>
    <row r="3180" spans="1:13" x14ac:dyDescent="0.25">
      <c r="A3180" s="74">
        <v>200318</v>
      </c>
      <c r="B3180" s="75" t="s">
        <v>281</v>
      </c>
      <c r="C3180" s="75" t="s">
        <v>541</v>
      </c>
      <c r="D3180" s="76">
        <v>46112</v>
      </c>
      <c r="E3180" s="75" t="s">
        <v>795</v>
      </c>
      <c r="F3180" s="74">
        <v>776.09</v>
      </c>
      <c r="G3180" s="75" t="s">
        <v>539</v>
      </c>
      <c r="H3180" s="77" t="str">
        <f>VLOOKUP(DESPESAS[[#This Row],[Plano de Contas]],BASE!$B$3:$D$119,3,FALSE)</f>
        <v>Royalties</v>
      </c>
      <c r="I3180" s="77" t="str">
        <f>IFERROR(VLOOKUP(DESPESAS[[#This Row],[Fornecedor]],Tabela2[],2,FALSE),"")</f>
        <v/>
      </c>
      <c r="J3180" s="77" t="str">
        <f>IFERROR(VLOOKUP(DESPESAS[[#This Row],[Plano de Contas]],BASE!$B$3:$F$119,4,FALSE),"")</f>
        <v>6 - DESPESA COM VENDAS</v>
      </c>
      <c r="K3180" s="77" t="str">
        <f>IFERROR(VLOOKUP(DESPESAS[[#This Row],[Plano de Contas]],BASE!$B$3:$H$119,5,FALSE),"")</f>
        <v>COMERCIAL</v>
      </c>
      <c r="L3180" s="77">
        <f>IFERROR(VLOOKUP(DESPESAS[[#This Row],[Plano de Contas]],BASE!$B$3:$H$119,6,FALSE),"")</f>
        <v>0</v>
      </c>
      <c r="M3180" s="77" t="str">
        <f>VLOOKUP(DESPESAS[[#This Row],[Plano de Contas]],BASE!$B$3:$H$119,7,FALSE)</f>
        <v>LETÍCIA</v>
      </c>
    </row>
    <row r="3181" spans="1:13" x14ac:dyDescent="0.25">
      <c r="A3181" s="74">
        <v>200319</v>
      </c>
      <c r="B3181" s="75" t="s">
        <v>281</v>
      </c>
      <c r="C3181" s="75" t="s">
        <v>541</v>
      </c>
      <c r="D3181" s="76">
        <v>46112</v>
      </c>
      <c r="E3181" s="75" t="s">
        <v>797</v>
      </c>
      <c r="F3181" s="74">
        <v>3663.34</v>
      </c>
      <c r="G3181" s="75" t="s">
        <v>539</v>
      </c>
      <c r="H3181" s="77" t="str">
        <f>VLOOKUP(DESPESAS[[#This Row],[Plano de Contas]],BASE!$B$3:$D$119,3,FALSE)</f>
        <v>Royalties</v>
      </c>
      <c r="I3181" s="77" t="str">
        <f>IFERROR(VLOOKUP(DESPESAS[[#This Row],[Fornecedor]],Tabela2[],2,FALSE),"")</f>
        <v/>
      </c>
      <c r="J3181" s="77" t="str">
        <f>IFERROR(VLOOKUP(DESPESAS[[#This Row],[Plano de Contas]],BASE!$B$3:$F$119,4,FALSE),"")</f>
        <v>6 - DESPESA COM VENDAS</v>
      </c>
      <c r="K3181" s="77" t="str">
        <f>IFERROR(VLOOKUP(DESPESAS[[#This Row],[Plano de Contas]],BASE!$B$3:$H$119,5,FALSE),"")</f>
        <v>COMERCIAL</v>
      </c>
      <c r="L3181" s="77">
        <f>IFERROR(VLOOKUP(DESPESAS[[#This Row],[Plano de Contas]],BASE!$B$3:$H$119,6,FALSE),"")</f>
        <v>0</v>
      </c>
      <c r="M3181" s="77" t="str">
        <f>VLOOKUP(DESPESAS[[#This Row],[Plano de Contas]],BASE!$B$3:$H$119,7,FALSE)</f>
        <v>LETÍCIA</v>
      </c>
    </row>
    <row r="3182" spans="1:13" x14ac:dyDescent="0.25">
      <c r="A3182" s="74">
        <v>200320</v>
      </c>
      <c r="B3182" s="75" t="s">
        <v>281</v>
      </c>
      <c r="C3182" s="75" t="s">
        <v>541</v>
      </c>
      <c r="D3182" s="76">
        <v>46112</v>
      </c>
      <c r="E3182" s="75" t="s">
        <v>793</v>
      </c>
      <c r="F3182" s="74">
        <v>3459.76</v>
      </c>
      <c r="G3182" s="75" t="s">
        <v>539</v>
      </c>
      <c r="H3182" s="77" t="str">
        <f>VLOOKUP(DESPESAS[[#This Row],[Plano de Contas]],BASE!$B$3:$D$119,3,FALSE)</f>
        <v>Royalties</v>
      </c>
      <c r="I3182" s="77" t="str">
        <f>IFERROR(VLOOKUP(DESPESAS[[#This Row],[Fornecedor]],Tabela2[],2,FALSE),"")</f>
        <v/>
      </c>
      <c r="J3182" s="77" t="str">
        <f>IFERROR(VLOOKUP(DESPESAS[[#This Row],[Plano de Contas]],BASE!$B$3:$F$119,4,FALSE),"")</f>
        <v>6 - DESPESA COM VENDAS</v>
      </c>
      <c r="K3182" s="77" t="str">
        <f>IFERROR(VLOOKUP(DESPESAS[[#This Row],[Plano de Contas]],BASE!$B$3:$H$119,5,FALSE),"")</f>
        <v>COMERCIAL</v>
      </c>
      <c r="L3182" s="77">
        <f>IFERROR(VLOOKUP(DESPESAS[[#This Row],[Plano de Contas]],BASE!$B$3:$H$119,6,FALSE),"")</f>
        <v>0</v>
      </c>
      <c r="M3182" s="77" t="str">
        <f>VLOOKUP(DESPESAS[[#This Row],[Plano de Contas]],BASE!$B$3:$H$119,7,FALSE)</f>
        <v>LETÍCIA</v>
      </c>
    </row>
    <row r="3183" spans="1:13" x14ac:dyDescent="0.25">
      <c r="A3183" s="74">
        <v>200321</v>
      </c>
      <c r="B3183" s="75" t="s">
        <v>279</v>
      </c>
      <c r="C3183" s="75" t="s">
        <v>541</v>
      </c>
      <c r="D3183" s="76">
        <v>46112</v>
      </c>
      <c r="E3183" s="75" t="s">
        <v>540</v>
      </c>
      <c r="F3183" s="74">
        <v>1737.36</v>
      </c>
      <c r="G3183" s="75" t="s">
        <v>539</v>
      </c>
      <c r="H3183" s="77" t="str">
        <f>VLOOKUP(DESPESAS[[#This Row],[Plano de Contas]],BASE!$B$3:$D$119,3,FALSE)</f>
        <v>Royalties</v>
      </c>
      <c r="I3183" s="77" t="str">
        <f>IFERROR(VLOOKUP(DESPESAS[[#This Row],[Fornecedor]],Tabela2[],2,FALSE),"")</f>
        <v/>
      </c>
      <c r="J3183" s="77" t="str">
        <f>IFERROR(VLOOKUP(DESPESAS[[#This Row],[Plano de Contas]],BASE!$B$3:$F$119,4,FALSE),"")</f>
        <v>6 - DESPESA COM VENDAS</v>
      </c>
      <c r="K3183" s="77" t="str">
        <f>IFERROR(VLOOKUP(DESPESAS[[#This Row],[Plano de Contas]],BASE!$B$3:$H$119,5,FALSE),"")</f>
        <v>COMERCIAL</v>
      </c>
      <c r="L3183" s="77">
        <f>IFERROR(VLOOKUP(DESPESAS[[#This Row],[Plano de Contas]],BASE!$B$3:$H$119,6,FALSE),"")</f>
        <v>0</v>
      </c>
      <c r="M3183" s="77" t="str">
        <f>VLOOKUP(DESPESAS[[#This Row],[Plano de Contas]],BASE!$B$3:$H$119,7,FALSE)</f>
        <v>LETÍCIA</v>
      </c>
    </row>
    <row r="3184" spans="1:13" x14ac:dyDescent="0.25">
      <c r="A3184" s="74">
        <v>200322</v>
      </c>
      <c r="B3184" s="75" t="s">
        <v>279</v>
      </c>
      <c r="C3184" s="75" t="s">
        <v>541</v>
      </c>
      <c r="D3184" s="76">
        <v>46112</v>
      </c>
      <c r="E3184" s="75" t="s">
        <v>796</v>
      </c>
      <c r="F3184" s="74">
        <v>322.56</v>
      </c>
      <c r="G3184" s="75" t="s">
        <v>539</v>
      </c>
      <c r="H3184" s="77" t="str">
        <f>VLOOKUP(DESPESAS[[#This Row],[Plano de Contas]],BASE!$B$3:$D$119,3,FALSE)</f>
        <v>Royalties</v>
      </c>
      <c r="I3184" s="77" t="str">
        <f>IFERROR(VLOOKUP(DESPESAS[[#This Row],[Fornecedor]],Tabela2[],2,FALSE),"")</f>
        <v/>
      </c>
      <c r="J3184" s="77" t="str">
        <f>IFERROR(VLOOKUP(DESPESAS[[#This Row],[Plano de Contas]],BASE!$B$3:$F$119,4,FALSE),"")</f>
        <v>6 - DESPESA COM VENDAS</v>
      </c>
      <c r="K3184" s="77" t="str">
        <f>IFERROR(VLOOKUP(DESPESAS[[#This Row],[Plano de Contas]],BASE!$B$3:$H$119,5,FALSE),"")</f>
        <v>COMERCIAL</v>
      </c>
      <c r="L3184" s="77">
        <f>IFERROR(VLOOKUP(DESPESAS[[#This Row],[Plano de Contas]],BASE!$B$3:$H$119,6,FALSE),"")</f>
        <v>0</v>
      </c>
      <c r="M3184" s="77" t="str">
        <f>VLOOKUP(DESPESAS[[#This Row],[Plano de Contas]],BASE!$B$3:$H$119,7,FALSE)</f>
        <v>LETÍCIA</v>
      </c>
    </row>
    <row r="3185" spans="1:13" x14ac:dyDescent="0.25">
      <c r="A3185" s="74">
        <v>200323</v>
      </c>
      <c r="B3185" s="75" t="s">
        <v>279</v>
      </c>
      <c r="C3185" s="75" t="s">
        <v>541</v>
      </c>
      <c r="D3185" s="76">
        <v>46112</v>
      </c>
      <c r="E3185" s="75" t="s">
        <v>795</v>
      </c>
      <c r="F3185" s="74">
        <v>1853.69</v>
      </c>
      <c r="G3185" s="75" t="s">
        <v>539</v>
      </c>
      <c r="H3185" s="77" t="str">
        <f>VLOOKUP(DESPESAS[[#This Row],[Plano de Contas]],BASE!$B$3:$D$119,3,FALSE)</f>
        <v>Royalties</v>
      </c>
      <c r="I3185" s="77" t="str">
        <f>IFERROR(VLOOKUP(DESPESAS[[#This Row],[Fornecedor]],Tabela2[],2,FALSE),"")</f>
        <v/>
      </c>
      <c r="J3185" s="77" t="str">
        <f>IFERROR(VLOOKUP(DESPESAS[[#This Row],[Plano de Contas]],BASE!$B$3:$F$119,4,FALSE),"")</f>
        <v>6 - DESPESA COM VENDAS</v>
      </c>
      <c r="K3185" s="77" t="str">
        <f>IFERROR(VLOOKUP(DESPESAS[[#This Row],[Plano de Contas]],BASE!$B$3:$H$119,5,FALSE),"")</f>
        <v>COMERCIAL</v>
      </c>
      <c r="L3185" s="77">
        <f>IFERROR(VLOOKUP(DESPESAS[[#This Row],[Plano de Contas]],BASE!$B$3:$H$119,6,FALSE),"")</f>
        <v>0</v>
      </c>
      <c r="M3185" s="77" t="str">
        <f>VLOOKUP(DESPESAS[[#This Row],[Plano de Contas]],BASE!$B$3:$H$119,7,FALSE)</f>
        <v>LETÍCIA</v>
      </c>
    </row>
    <row r="3186" spans="1:13" x14ac:dyDescent="0.25">
      <c r="A3186" s="74">
        <v>200325</v>
      </c>
      <c r="B3186" s="75" t="s">
        <v>279</v>
      </c>
      <c r="C3186" s="75" t="s">
        <v>541</v>
      </c>
      <c r="D3186" s="76">
        <v>46112</v>
      </c>
      <c r="E3186" s="75" t="s">
        <v>794</v>
      </c>
      <c r="F3186" s="74">
        <v>207.4</v>
      </c>
      <c r="G3186" s="75" t="s">
        <v>539</v>
      </c>
      <c r="H3186" s="77" t="str">
        <f>VLOOKUP(DESPESAS[[#This Row],[Plano de Contas]],BASE!$B$3:$D$119,3,FALSE)</f>
        <v>Royalties</v>
      </c>
      <c r="I3186" s="77" t="str">
        <f>IFERROR(VLOOKUP(DESPESAS[[#This Row],[Fornecedor]],Tabela2[],2,FALSE),"")</f>
        <v/>
      </c>
      <c r="J3186" s="77" t="str">
        <f>IFERROR(VLOOKUP(DESPESAS[[#This Row],[Plano de Contas]],BASE!$B$3:$F$119,4,FALSE),"")</f>
        <v>6 - DESPESA COM VENDAS</v>
      </c>
      <c r="K3186" s="77" t="str">
        <f>IFERROR(VLOOKUP(DESPESAS[[#This Row],[Plano de Contas]],BASE!$B$3:$H$119,5,FALSE),"")</f>
        <v>COMERCIAL</v>
      </c>
      <c r="L3186" s="77">
        <f>IFERROR(VLOOKUP(DESPESAS[[#This Row],[Plano de Contas]],BASE!$B$3:$H$119,6,FALSE),"")</f>
        <v>0</v>
      </c>
      <c r="M3186" s="77" t="str">
        <f>VLOOKUP(DESPESAS[[#This Row],[Plano de Contas]],BASE!$B$3:$H$119,7,FALSE)</f>
        <v>LETÍCIA</v>
      </c>
    </row>
    <row r="3187" spans="1:13" x14ac:dyDescent="0.25">
      <c r="A3187" s="74">
        <v>200327</v>
      </c>
      <c r="B3187" s="75" t="s">
        <v>279</v>
      </c>
      <c r="C3187" s="75" t="s">
        <v>541</v>
      </c>
      <c r="D3187" s="76">
        <v>46112</v>
      </c>
      <c r="E3187" s="75" t="s">
        <v>793</v>
      </c>
      <c r="F3187" s="74">
        <v>195.27</v>
      </c>
      <c r="G3187" s="75" t="s">
        <v>539</v>
      </c>
      <c r="H3187" s="77" t="str">
        <f>VLOOKUP(DESPESAS[[#This Row],[Plano de Contas]],BASE!$B$3:$D$119,3,FALSE)</f>
        <v>Royalties</v>
      </c>
      <c r="I3187" s="77" t="str">
        <f>IFERROR(VLOOKUP(DESPESAS[[#This Row],[Fornecedor]],Tabela2[],2,FALSE),"")</f>
        <v/>
      </c>
      <c r="J3187" s="77" t="str">
        <f>IFERROR(VLOOKUP(DESPESAS[[#This Row],[Plano de Contas]],BASE!$B$3:$F$119,4,FALSE),"")</f>
        <v>6 - DESPESA COM VENDAS</v>
      </c>
      <c r="K3187" s="77" t="str">
        <f>IFERROR(VLOOKUP(DESPESAS[[#This Row],[Plano de Contas]],BASE!$B$3:$H$119,5,FALSE),"")</f>
        <v>COMERCIAL</v>
      </c>
      <c r="L3187" s="77">
        <f>IFERROR(VLOOKUP(DESPESAS[[#This Row],[Plano de Contas]],BASE!$B$3:$H$119,6,FALSE),"")</f>
        <v>0</v>
      </c>
      <c r="M3187" s="77" t="str">
        <f>VLOOKUP(DESPESAS[[#This Row],[Plano de Contas]],BASE!$B$3:$H$119,7,FALSE)</f>
        <v>LETÍCIA</v>
      </c>
    </row>
    <row r="3188" spans="1:13" x14ac:dyDescent="0.25">
      <c r="A3188" s="74">
        <v>200328</v>
      </c>
      <c r="B3188" s="75" t="s">
        <v>232</v>
      </c>
      <c r="C3188" s="75" t="s">
        <v>541</v>
      </c>
      <c r="D3188" s="76">
        <v>46112</v>
      </c>
      <c r="E3188" s="75" t="s">
        <v>793</v>
      </c>
      <c r="F3188" s="74">
        <v>777.57</v>
      </c>
      <c r="G3188" s="75" t="s">
        <v>539</v>
      </c>
      <c r="H3188" s="77" t="str">
        <f>VLOOKUP(DESPESAS[[#This Row],[Plano de Contas]],BASE!$B$3:$D$119,3,FALSE)</f>
        <v>Royalties</v>
      </c>
      <c r="I3188" s="77" t="str">
        <f>IFERROR(VLOOKUP(DESPESAS[[#This Row],[Fornecedor]],Tabela2[],2,FALSE),"")</f>
        <v/>
      </c>
      <c r="J3188" s="77" t="str">
        <f>IFERROR(VLOOKUP(DESPESAS[[#This Row],[Plano de Contas]],BASE!$B$3:$F$119,4,FALSE),"")</f>
        <v>6 - DESPESA COM VENDAS</v>
      </c>
      <c r="K3188" s="77" t="str">
        <f>IFERROR(VLOOKUP(DESPESAS[[#This Row],[Plano de Contas]],BASE!$B$3:$H$119,5,FALSE),"")</f>
        <v>COMERCIAL</v>
      </c>
      <c r="L3188" s="77">
        <f>IFERROR(VLOOKUP(DESPESAS[[#This Row],[Plano de Contas]],BASE!$B$3:$H$119,6,FALSE),"")</f>
        <v>0</v>
      </c>
      <c r="M3188" s="77" t="str">
        <f>VLOOKUP(DESPESAS[[#This Row],[Plano de Contas]],BASE!$B$3:$H$119,7,FALSE)</f>
        <v>LETÍCIA</v>
      </c>
    </row>
    <row r="3189" spans="1:13" x14ac:dyDescent="0.25">
      <c r="A3189" s="74">
        <v>200329</v>
      </c>
      <c r="B3189" s="75" t="s">
        <v>281</v>
      </c>
      <c r="C3189" s="75" t="s">
        <v>541</v>
      </c>
      <c r="D3189" s="76">
        <v>46112</v>
      </c>
      <c r="E3189" s="75" t="s">
        <v>792</v>
      </c>
      <c r="F3189" s="74">
        <v>303.69</v>
      </c>
      <c r="G3189" s="75" t="s">
        <v>539</v>
      </c>
      <c r="H3189" s="77" t="str">
        <f>VLOOKUP(DESPESAS[[#This Row],[Plano de Contas]],BASE!$B$3:$D$119,3,FALSE)</f>
        <v>Royalties</v>
      </c>
      <c r="I3189" s="77" t="str">
        <f>IFERROR(VLOOKUP(DESPESAS[[#This Row],[Fornecedor]],Tabela2[],2,FALSE),"")</f>
        <v/>
      </c>
      <c r="J3189" s="77" t="str">
        <f>IFERROR(VLOOKUP(DESPESAS[[#This Row],[Plano de Contas]],BASE!$B$3:$F$119,4,FALSE),"")</f>
        <v>6 - DESPESA COM VENDAS</v>
      </c>
      <c r="K3189" s="77" t="str">
        <f>IFERROR(VLOOKUP(DESPESAS[[#This Row],[Plano de Contas]],BASE!$B$3:$H$119,5,FALSE),"")</f>
        <v>COMERCIAL</v>
      </c>
      <c r="L3189" s="77">
        <f>IFERROR(VLOOKUP(DESPESAS[[#This Row],[Plano de Contas]],BASE!$B$3:$H$119,6,FALSE),"")</f>
        <v>0</v>
      </c>
      <c r="M3189" s="77" t="str">
        <f>VLOOKUP(DESPESAS[[#This Row],[Plano de Contas]],BASE!$B$3:$H$119,7,FALSE)</f>
        <v>LETÍCIA</v>
      </c>
    </row>
    <row r="3190" spans="1:13" x14ac:dyDescent="0.25">
      <c r="A3190" s="74">
        <v>200350</v>
      </c>
      <c r="B3190" s="75" t="s">
        <v>232</v>
      </c>
      <c r="C3190" s="75" t="s">
        <v>574</v>
      </c>
      <c r="D3190" s="76">
        <v>46119</v>
      </c>
      <c r="E3190" s="75" t="s">
        <v>573</v>
      </c>
      <c r="F3190" s="74">
        <v>1280.26</v>
      </c>
      <c r="G3190" s="75" t="s">
        <v>572</v>
      </c>
      <c r="H3190" s="77" t="str">
        <f>VLOOKUP(DESPESAS[[#This Row],[Plano de Contas]],BASE!$B$3:$D$119,3,FALSE)</f>
        <v>Comissões sobre Vendas Externo</v>
      </c>
      <c r="I3190" s="77" t="str">
        <f>IFERROR(VLOOKUP(DESPESAS[[#This Row],[Fornecedor]],Tabela2[],2,FALSE),"")</f>
        <v/>
      </c>
      <c r="J3190" s="77" t="str">
        <f>IFERROR(VLOOKUP(DESPESAS[[#This Row],[Plano de Contas]],BASE!$B$3:$F$119,4,FALSE),"")</f>
        <v>6 - DESPESA COM VENDAS</v>
      </c>
      <c r="K3190" s="77" t="str">
        <f>IFERROR(VLOOKUP(DESPESAS[[#This Row],[Plano de Contas]],BASE!$B$3:$H$119,5,FALSE),"")</f>
        <v>COMERCIAL</v>
      </c>
      <c r="L3190" s="77">
        <f>IFERROR(VLOOKUP(DESPESAS[[#This Row],[Plano de Contas]],BASE!$B$3:$H$119,6,FALSE),"")</f>
        <v>0</v>
      </c>
      <c r="M3190" s="77" t="str">
        <f>VLOOKUP(DESPESAS[[#This Row],[Plano de Contas]],BASE!$B$3:$H$119,7,FALSE)</f>
        <v>LETÍCIA</v>
      </c>
    </row>
    <row r="3191" spans="1:13" x14ac:dyDescent="0.25">
      <c r="A3191" s="74">
        <v>200351</v>
      </c>
      <c r="B3191" s="75" t="s">
        <v>232</v>
      </c>
      <c r="C3191" s="75" t="s">
        <v>574</v>
      </c>
      <c r="D3191" s="76">
        <v>46119</v>
      </c>
      <c r="E3191" s="75" t="s">
        <v>790</v>
      </c>
      <c r="F3191" s="74">
        <v>1331.48</v>
      </c>
      <c r="G3191" s="75" t="s">
        <v>572</v>
      </c>
      <c r="H3191" s="77" t="str">
        <f>VLOOKUP(DESPESAS[[#This Row],[Plano de Contas]],BASE!$B$3:$D$119,3,FALSE)</f>
        <v>Comissões sobre Vendas Externo</v>
      </c>
      <c r="I3191" s="77" t="str">
        <f>IFERROR(VLOOKUP(DESPESAS[[#This Row],[Fornecedor]],Tabela2[],2,FALSE),"")</f>
        <v/>
      </c>
      <c r="J3191" s="77" t="str">
        <f>IFERROR(VLOOKUP(DESPESAS[[#This Row],[Plano de Contas]],BASE!$B$3:$F$119,4,FALSE),"")</f>
        <v>6 - DESPESA COM VENDAS</v>
      </c>
      <c r="K3191" s="77" t="str">
        <f>IFERROR(VLOOKUP(DESPESAS[[#This Row],[Plano de Contas]],BASE!$B$3:$H$119,5,FALSE),"")</f>
        <v>COMERCIAL</v>
      </c>
      <c r="L3191" s="77">
        <f>IFERROR(VLOOKUP(DESPESAS[[#This Row],[Plano de Contas]],BASE!$B$3:$H$119,6,FALSE),"")</f>
        <v>0</v>
      </c>
      <c r="M3191" s="77" t="str">
        <f>VLOOKUP(DESPESAS[[#This Row],[Plano de Contas]],BASE!$B$3:$H$119,7,FALSE)</f>
        <v>LETÍCIA</v>
      </c>
    </row>
    <row r="3192" spans="1:13" x14ac:dyDescent="0.25">
      <c r="A3192" s="74">
        <v>200352</v>
      </c>
      <c r="B3192" s="75" t="s">
        <v>232</v>
      </c>
      <c r="C3192" s="75" t="s">
        <v>574</v>
      </c>
      <c r="D3192" s="76">
        <v>46119</v>
      </c>
      <c r="E3192" s="75" t="s">
        <v>789</v>
      </c>
      <c r="F3192" s="74">
        <v>8715.49</v>
      </c>
      <c r="G3192" s="75" t="s">
        <v>572</v>
      </c>
      <c r="H3192" s="77" t="str">
        <f>VLOOKUP(DESPESAS[[#This Row],[Plano de Contas]],BASE!$B$3:$D$119,3,FALSE)</f>
        <v>Comissões sobre Vendas Externo</v>
      </c>
      <c r="I3192" s="77" t="str">
        <f>IFERROR(VLOOKUP(DESPESAS[[#This Row],[Fornecedor]],Tabela2[],2,FALSE),"")</f>
        <v/>
      </c>
      <c r="J3192" s="77" t="str">
        <f>IFERROR(VLOOKUP(DESPESAS[[#This Row],[Plano de Contas]],BASE!$B$3:$F$119,4,FALSE),"")</f>
        <v>6 - DESPESA COM VENDAS</v>
      </c>
      <c r="K3192" s="77" t="str">
        <f>IFERROR(VLOOKUP(DESPESAS[[#This Row],[Plano de Contas]],BASE!$B$3:$H$119,5,FALSE),"")</f>
        <v>COMERCIAL</v>
      </c>
      <c r="L3192" s="77">
        <f>IFERROR(VLOOKUP(DESPESAS[[#This Row],[Plano de Contas]],BASE!$B$3:$H$119,6,FALSE),"")</f>
        <v>0</v>
      </c>
      <c r="M3192" s="77" t="str">
        <f>VLOOKUP(DESPESAS[[#This Row],[Plano de Contas]],BASE!$B$3:$H$119,7,FALSE)</f>
        <v>LETÍCIA</v>
      </c>
    </row>
    <row r="3193" spans="1:13" x14ac:dyDescent="0.25">
      <c r="A3193" s="74">
        <v>200353</v>
      </c>
      <c r="B3193" s="75" t="s">
        <v>232</v>
      </c>
      <c r="C3193" s="75" t="s">
        <v>574</v>
      </c>
      <c r="D3193" s="76">
        <v>46119</v>
      </c>
      <c r="E3193" s="75" t="s">
        <v>788</v>
      </c>
      <c r="F3193" s="74">
        <v>2273.37</v>
      </c>
      <c r="G3193" s="75" t="s">
        <v>572</v>
      </c>
      <c r="H3193" s="77" t="str">
        <f>VLOOKUP(DESPESAS[[#This Row],[Plano de Contas]],BASE!$B$3:$D$119,3,FALSE)</f>
        <v>Comissões sobre Vendas Externo</v>
      </c>
      <c r="I3193" s="77" t="str">
        <f>IFERROR(VLOOKUP(DESPESAS[[#This Row],[Fornecedor]],Tabela2[],2,FALSE),"")</f>
        <v/>
      </c>
      <c r="J3193" s="77" t="str">
        <f>IFERROR(VLOOKUP(DESPESAS[[#This Row],[Plano de Contas]],BASE!$B$3:$F$119,4,FALSE),"")</f>
        <v>6 - DESPESA COM VENDAS</v>
      </c>
      <c r="K3193" s="77" t="str">
        <f>IFERROR(VLOOKUP(DESPESAS[[#This Row],[Plano de Contas]],BASE!$B$3:$H$119,5,FALSE),"")</f>
        <v>COMERCIAL</v>
      </c>
      <c r="L3193" s="77">
        <f>IFERROR(VLOOKUP(DESPESAS[[#This Row],[Plano de Contas]],BASE!$B$3:$H$119,6,FALSE),"")</f>
        <v>0</v>
      </c>
      <c r="M3193" s="77" t="str">
        <f>VLOOKUP(DESPESAS[[#This Row],[Plano de Contas]],BASE!$B$3:$H$119,7,FALSE)</f>
        <v>LETÍCIA</v>
      </c>
    </row>
    <row r="3194" spans="1:13" x14ac:dyDescent="0.25">
      <c r="A3194" s="74">
        <v>200354</v>
      </c>
      <c r="B3194" s="75" t="s">
        <v>232</v>
      </c>
      <c r="C3194" s="75" t="s">
        <v>574</v>
      </c>
      <c r="D3194" s="76">
        <v>46119</v>
      </c>
      <c r="E3194" s="75" t="s">
        <v>787</v>
      </c>
      <c r="F3194" s="74">
        <v>492.21</v>
      </c>
      <c r="G3194" s="75" t="s">
        <v>572</v>
      </c>
      <c r="H3194" s="77" t="str">
        <f>VLOOKUP(DESPESAS[[#This Row],[Plano de Contas]],BASE!$B$3:$D$119,3,FALSE)</f>
        <v>Comissões sobre Vendas Externo</v>
      </c>
      <c r="I3194" s="77" t="str">
        <f>IFERROR(VLOOKUP(DESPESAS[[#This Row],[Fornecedor]],Tabela2[],2,FALSE),"")</f>
        <v/>
      </c>
      <c r="J3194" s="77" t="str">
        <f>IFERROR(VLOOKUP(DESPESAS[[#This Row],[Plano de Contas]],BASE!$B$3:$F$119,4,FALSE),"")</f>
        <v>6 - DESPESA COM VENDAS</v>
      </c>
      <c r="K3194" s="77" t="str">
        <f>IFERROR(VLOOKUP(DESPESAS[[#This Row],[Plano de Contas]],BASE!$B$3:$H$119,5,FALSE),"")</f>
        <v>COMERCIAL</v>
      </c>
      <c r="L3194" s="77">
        <f>IFERROR(VLOOKUP(DESPESAS[[#This Row],[Plano de Contas]],BASE!$B$3:$H$119,6,FALSE),"")</f>
        <v>0</v>
      </c>
      <c r="M3194" s="77" t="str">
        <f>VLOOKUP(DESPESAS[[#This Row],[Plano de Contas]],BASE!$B$3:$H$119,7,FALSE)</f>
        <v>LETÍCIA</v>
      </c>
    </row>
    <row r="3195" spans="1:13" x14ac:dyDescent="0.25">
      <c r="A3195" s="74">
        <v>200355</v>
      </c>
      <c r="B3195" s="75" t="s">
        <v>232</v>
      </c>
      <c r="C3195" s="75" t="s">
        <v>574</v>
      </c>
      <c r="D3195" s="76">
        <v>46119</v>
      </c>
      <c r="E3195" s="75" t="s">
        <v>786</v>
      </c>
      <c r="F3195" s="74">
        <v>238.35</v>
      </c>
      <c r="G3195" s="75" t="s">
        <v>572</v>
      </c>
      <c r="H3195" s="77" t="str">
        <f>VLOOKUP(DESPESAS[[#This Row],[Plano de Contas]],BASE!$B$3:$D$119,3,FALSE)</f>
        <v>Comissões sobre Vendas Externo</v>
      </c>
      <c r="I3195" s="77" t="str">
        <f>IFERROR(VLOOKUP(DESPESAS[[#This Row],[Fornecedor]],Tabela2[],2,FALSE),"")</f>
        <v/>
      </c>
      <c r="J3195" s="77" t="str">
        <f>IFERROR(VLOOKUP(DESPESAS[[#This Row],[Plano de Contas]],BASE!$B$3:$F$119,4,FALSE),"")</f>
        <v>6 - DESPESA COM VENDAS</v>
      </c>
      <c r="K3195" s="77" t="str">
        <f>IFERROR(VLOOKUP(DESPESAS[[#This Row],[Plano de Contas]],BASE!$B$3:$H$119,5,FALSE),"")</f>
        <v>COMERCIAL</v>
      </c>
      <c r="L3195" s="77">
        <f>IFERROR(VLOOKUP(DESPESAS[[#This Row],[Plano de Contas]],BASE!$B$3:$H$119,6,FALSE),"")</f>
        <v>0</v>
      </c>
      <c r="M3195" s="77" t="str">
        <f>VLOOKUP(DESPESAS[[#This Row],[Plano de Contas]],BASE!$B$3:$H$119,7,FALSE)</f>
        <v>LETÍCIA</v>
      </c>
    </row>
    <row r="3196" spans="1:13" x14ac:dyDescent="0.25">
      <c r="A3196" s="74">
        <v>200356</v>
      </c>
      <c r="B3196" s="75" t="s">
        <v>232</v>
      </c>
      <c r="C3196" s="75" t="s">
        <v>574</v>
      </c>
      <c r="D3196" s="76">
        <v>46119</v>
      </c>
      <c r="E3196" s="75" t="s">
        <v>785</v>
      </c>
      <c r="F3196" s="74">
        <v>3367.31</v>
      </c>
      <c r="G3196" s="75" t="s">
        <v>572</v>
      </c>
      <c r="H3196" s="77" t="str">
        <f>VLOOKUP(DESPESAS[[#This Row],[Plano de Contas]],BASE!$B$3:$D$119,3,FALSE)</f>
        <v>Comissões sobre Vendas Externo</v>
      </c>
      <c r="I3196" s="77" t="str">
        <f>IFERROR(VLOOKUP(DESPESAS[[#This Row],[Fornecedor]],Tabela2[],2,FALSE),"")</f>
        <v/>
      </c>
      <c r="J3196" s="77" t="str">
        <f>IFERROR(VLOOKUP(DESPESAS[[#This Row],[Plano de Contas]],BASE!$B$3:$F$119,4,FALSE),"")</f>
        <v>6 - DESPESA COM VENDAS</v>
      </c>
      <c r="K3196" s="77" t="str">
        <f>IFERROR(VLOOKUP(DESPESAS[[#This Row],[Plano de Contas]],BASE!$B$3:$H$119,5,FALSE),"")</f>
        <v>COMERCIAL</v>
      </c>
      <c r="L3196" s="77">
        <f>IFERROR(VLOOKUP(DESPESAS[[#This Row],[Plano de Contas]],BASE!$B$3:$H$119,6,FALSE),"")</f>
        <v>0</v>
      </c>
      <c r="M3196" s="77" t="str">
        <f>VLOOKUP(DESPESAS[[#This Row],[Plano de Contas]],BASE!$B$3:$H$119,7,FALSE)</f>
        <v>LETÍCIA</v>
      </c>
    </row>
    <row r="3197" spans="1:13" x14ac:dyDescent="0.25">
      <c r="A3197" s="74">
        <v>200357</v>
      </c>
      <c r="B3197" s="75" t="s">
        <v>232</v>
      </c>
      <c r="C3197" s="75" t="s">
        <v>574</v>
      </c>
      <c r="D3197" s="76">
        <v>46119</v>
      </c>
      <c r="E3197" s="75" t="s">
        <v>784</v>
      </c>
      <c r="F3197" s="74">
        <v>5352.09</v>
      </c>
      <c r="G3197" s="75" t="s">
        <v>572</v>
      </c>
      <c r="H3197" s="77" t="str">
        <f>VLOOKUP(DESPESAS[[#This Row],[Plano de Contas]],BASE!$B$3:$D$119,3,FALSE)</f>
        <v>Comissões sobre Vendas Externo</v>
      </c>
      <c r="I3197" s="77" t="str">
        <f>IFERROR(VLOOKUP(DESPESAS[[#This Row],[Fornecedor]],Tabela2[],2,FALSE),"")</f>
        <v/>
      </c>
      <c r="J3197" s="77" t="str">
        <f>IFERROR(VLOOKUP(DESPESAS[[#This Row],[Plano de Contas]],BASE!$B$3:$F$119,4,FALSE),"")</f>
        <v>6 - DESPESA COM VENDAS</v>
      </c>
      <c r="K3197" s="77" t="str">
        <f>IFERROR(VLOOKUP(DESPESAS[[#This Row],[Plano de Contas]],BASE!$B$3:$H$119,5,FALSE),"")</f>
        <v>COMERCIAL</v>
      </c>
      <c r="L3197" s="77">
        <f>IFERROR(VLOOKUP(DESPESAS[[#This Row],[Plano de Contas]],BASE!$B$3:$H$119,6,FALSE),"")</f>
        <v>0</v>
      </c>
      <c r="M3197" s="77" t="str">
        <f>VLOOKUP(DESPESAS[[#This Row],[Plano de Contas]],BASE!$B$3:$H$119,7,FALSE)</f>
        <v>LETÍCIA</v>
      </c>
    </row>
    <row r="3198" spans="1:13" x14ac:dyDescent="0.25">
      <c r="A3198" s="74">
        <v>200358</v>
      </c>
      <c r="B3198" s="75" t="s">
        <v>232</v>
      </c>
      <c r="C3198" s="75" t="s">
        <v>574</v>
      </c>
      <c r="D3198" s="76">
        <v>46119</v>
      </c>
      <c r="E3198" s="75" t="s">
        <v>791</v>
      </c>
      <c r="F3198" s="74">
        <v>3686.34</v>
      </c>
      <c r="G3198" s="75" t="s">
        <v>572</v>
      </c>
      <c r="H3198" s="77" t="str">
        <f>VLOOKUP(DESPESAS[[#This Row],[Plano de Contas]],BASE!$B$3:$D$119,3,FALSE)</f>
        <v>Comissões sobre Vendas Externo</v>
      </c>
      <c r="I3198" s="77" t="str">
        <f>IFERROR(VLOOKUP(DESPESAS[[#This Row],[Fornecedor]],Tabela2[],2,FALSE),"")</f>
        <v/>
      </c>
      <c r="J3198" s="77" t="str">
        <f>IFERROR(VLOOKUP(DESPESAS[[#This Row],[Plano de Contas]],BASE!$B$3:$F$119,4,FALSE),"")</f>
        <v>6 - DESPESA COM VENDAS</v>
      </c>
      <c r="K3198" s="77" t="str">
        <f>IFERROR(VLOOKUP(DESPESAS[[#This Row],[Plano de Contas]],BASE!$B$3:$H$119,5,FALSE),"")</f>
        <v>COMERCIAL</v>
      </c>
      <c r="L3198" s="77">
        <f>IFERROR(VLOOKUP(DESPESAS[[#This Row],[Plano de Contas]],BASE!$B$3:$H$119,6,FALSE),"")</f>
        <v>0</v>
      </c>
      <c r="M3198" s="77" t="str">
        <f>VLOOKUP(DESPESAS[[#This Row],[Plano de Contas]],BASE!$B$3:$H$119,7,FALSE)</f>
        <v>LETÍCIA</v>
      </c>
    </row>
    <row r="3199" spans="1:13" x14ac:dyDescent="0.25">
      <c r="A3199" s="74">
        <v>200359</v>
      </c>
      <c r="B3199" s="75" t="s">
        <v>221</v>
      </c>
      <c r="C3199" s="75" t="s">
        <v>574</v>
      </c>
      <c r="D3199" s="76">
        <v>46119</v>
      </c>
      <c r="E3199" s="75" t="s">
        <v>573</v>
      </c>
      <c r="F3199" s="74">
        <v>220.98</v>
      </c>
      <c r="G3199" s="75" t="s">
        <v>572</v>
      </c>
      <c r="H3199" s="77" t="str">
        <f>VLOOKUP(DESPESAS[[#This Row],[Plano de Contas]],BASE!$B$3:$D$119,3,FALSE)</f>
        <v>Comissões sobre Vendas Externo</v>
      </c>
      <c r="I3199" s="77" t="str">
        <f>IFERROR(VLOOKUP(DESPESAS[[#This Row],[Fornecedor]],Tabela2[],2,FALSE),"")</f>
        <v/>
      </c>
      <c r="J3199" s="77" t="str">
        <f>IFERROR(VLOOKUP(DESPESAS[[#This Row],[Plano de Contas]],BASE!$B$3:$F$119,4,FALSE),"")</f>
        <v>6 - DESPESA COM VENDAS</v>
      </c>
      <c r="K3199" s="77" t="str">
        <f>IFERROR(VLOOKUP(DESPESAS[[#This Row],[Plano de Contas]],BASE!$B$3:$H$119,5,FALSE),"")</f>
        <v>COMERCIAL</v>
      </c>
      <c r="L3199" s="77">
        <f>IFERROR(VLOOKUP(DESPESAS[[#This Row],[Plano de Contas]],BASE!$B$3:$H$119,6,FALSE),"")</f>
        <v>0</v>
      </c>
      <c r="M3199" s="77" t="str">
        <f>VLOOKUP(DESPESAS[[#This Row],[Plano de Contas]],BASE!$B$3:$H$119,7,FALSE)</f>
        <v>LETÍCIA</v>
      </c>
    </row>
    <row r="3200" spans="1:13" x14ac:dyDescent="0.25">
      <c r="A3200" s="74">
        <v>200360</v>
      </c>
      <c r="B3200" s="75" t="s">
        <v>221</v>
      </c>
      <c r="C3200" s="75" t="s">
        <v>574</v>
      </c>
      <c r="D3200" s="76">
        <v>46119</v>
      </c>
      <c r="E3200" s="75" t="s">
        <v>789</v>
      </c>
      <c r="F3200" s="74">
        <v>1314.91</v>
      </c>
      <c r="G3200" s="75" t="s">
        <v>572</v>
      </c>
      <c r="H3200" s="77" t="str">
        <f>VLOOKUP(DESPESAS[[#This Row],[Plano de Contas]],BASE!$B$3:$D$119,3,FALSE)</f>
        <v>Comissões sobre Vendas Externo</v>
      </c>
      <c r="I3200" s="77" t="str">
        <f>IFERROR(VLOOKUP(DESPESAS[[#This Row],[Fornecedor]],Tabela2[],2,FALSE),"")</f>
        <v/>
      </c>
      <c r="J3200" s="77" t="str">
        <f>IFERROR(VLOOKUP(DESPESAS[[#This Row],[Plano de Contas]],BASE!$B$3:$F$119,4,FALSE),"")</f>
        <v>6 - DESPESA COM VENDAS</v>
      </c>
      <c r="K3200" s="77" t="str">
        <f>IFERROR(VLOOKUP(DESPESAS[[#This Row],[Plano de Contas]],BASE!$B$3:$H$119,5,FALSE),"")</f>
        <v>COMERCIAL</v>
      </c>
      <c r="L3200" s="77">
        <f>IFERROR(VLOOKUP(DESPESAS[[#This Row],[Plano de Contas]],BASE!$B$3:$H$119,6,FALSE),"")</f>
        <v>0</v>
      </c>
      <c r="M3200" s="77" t="str">
        <f>VLOOKUP(DESPESAS[[#This Row],[Plano de Contas]],BASE!$B$3:$H$119,7,FALSE)</f>
        <v>LETÍCIA</v>
      </c>
    </row>
    <row r="3201" spans="1:13" x14ac:dyDescent="0.25">
      <c r="A3201" s="74">
        <v>200361</v>
      </c>
      <c r="B3201" s="75" t="s">
        <v>221</v>
      </c>
      <c r="C3201" s="75" t="s">
        <v>574</v>
      </c>
      <c r="D3201" s="76">
        <v>46119</v>
      </c>
      <c r="E3201" s="75" t="s">
        <v>788</v>
      </c>
      <c r="F3201" s="74">
        <v>49.7</v>
      </c>
      <c r="G3201" s="75" t="s">
        <v>572</v>
      </c>
      <c r="H3201" s="77" t="str">
        <f>VLOOKUP(DESPESAS[[#This Row],[Plano de Contas]],BASE!$B$3:$D$119,3,FALSE)</f>
        <v>Comissões sobre Vendas Externo</v>
      </c>
      <c r="I3201" s="77" t="str">
        <f>IFERROR(VLOOKUP(DESPESAS[[#This Row],[Fornecedor]],Tabela2[],2,FALSE),"")</f>
        <v/>
      </c>
      <c r="J3201" s="77" t="str">
        <f>IFERROR(VLOOKUP(DESPESAS[[#This Row],[Plano de Contas]],BASE!$B$3:$F$119,4,FALSE),"")</f>
        <v>6 - DESPESA COM VENDAS</v>
      </c>
      <c r="K3201" s="77" t="str">
        <f>IFERROR(VLOOKUP(DESPESAS[[#This Row],[Plano de Contas]],BASE!$B$3:$H$119,5,FALSE),"")</f>
        <v>COMERCIAL</v>
      </c>
      <c r="L3201" s="77">
        <f>IFERROR(VLOOKUP(DESPESAS[[#This Row],[Plano de Contas]],BASE!$B$3:$H$119,6,FALSE),"")</f>
        <v>0</v>
      </c>
      <c r="M3201" s="77" t="str">
        <f>VLOOKUP(DESPESAS[[#This Row],[Plano de Contas]],BASE!$B$3:$H$119,7,FALSE)</f>
        <v>LETÍCIA</v>
      </c>
    </row>
    <row r="3202" spans="1:13" x14ac:dyDescent="0.25">
      <c r="A3202" s="74">
        <v>200362</v>
      </c>
      <c r="B3202" s="75" t="s">
        <v>221</v>
      </c>
      <c r="C3202" s="75" t="s">
        <v>574</v>
      </c>
      <c r="D3202" s="76">
        <v>46119</v>
      </c>
      <c r="E3202" s="75" t="s">
        <v>787</v>
      </c>
      <c r="F3202" s="74">
        <v>495.26</v>
      </c>
      <c r="G3202" s="75" t="s">
        <v>572</v>
      </c>
      <c r="H3202" s="77" t="str">
        <f>VLOOKUP(DESPESAS[[#This Row],[Plano de Contas]],BASE!$B$3:$D$119,3,FALSE)</f>
        <v>Comissões sobre Vendas Externo</v>
      </c>
      <c r="I3202" s="77" t="str">
        <f>IFERROR(VLOOKUP(DESPESAS[[#This Row],[Fornecedor]],Tabela2[],2,FALSE),"")</f>
        <v/>
      </c>
      <c r="J3202" s="77" t="str">
        <f>IFERROR(VLOOKUP(DESPESAS[[#This Row],[Plano de Contas]],BASE!$B$3:$F$119,4,FALSE),"")</f>
        <v>6 - DESPESA COM VENDAS</v>
      </c>
      <c r="K3202" s="77" t="str">
        <f>IFERROR(VLOOKUP(DESPESAS[[#This Row],[Plano de Contas]],BASE!$B$3:$H$119,5,FALSE),"")</f>
        <v>COMERCIAL</v>
      </c>
      <c r="L3202" s="77">
        <f>IFERROR(VLOOKUP(DESPESAS[[#This Row],[Plano de Contas]],BASE!$B$3:$H$119,6,FALSE),"")</f>
        <v>0</v>
      </c>
      <c r="M3202" s="77" t="str">
        <f>VLOOKUP(DESPESAS[[#This Row],[Plano de Contas]],BASE!$B$3:$H$119,7,FALSE)</f>
        <v>LETÍCIA</v>
      </c>
    </row>
    <row r="3203" spans="1:13" x14ac:dyDescent="0.25">
      <c r="A3203" s="74">
        <v>200363</v>
      </c>
      <c r="B3203" s="75" t="s">
        <v>221</v>
      </c>
      <c r="C3203" s="75" t="s">
        <v>574</v>
      </c>
      <c r="D3203" s="76">
        <v>46119</v>
      </c>
      <c r="E3203" s="75" t="s">
        <v>784</v>
      </c>
      <c r="F3203" s="74">
        <v>872.49</v>
      </c>
      <c r="G3203" s="75" t="s">
        <v>572</v>
      </c>
      <c r="H3203" s="77" t="str">
        <f>VLOOKUP(DESPESAS[[#This Row],[Plano de Contas]],BASE!$B$3:$D$119,3,FALSE)</f>
        <v>Comissões sobre Vendas Externo</v>
      </c>
      <c r="I3203" s="77" t="str">
        <f>IFERROR(VLOOKUP(DESPESAS[[#This Row],[Fornecedor]],Tabela2[],2,FALSE),"")</f>
        <v/>
      </c>
      <c r="J3203" s="77" t="str">
        <f>IFERROR(VLOOKUP(DESPESAS[[#This Row],[Plano de Contas]],BASE!$B$3:$F$119,4,FALSE),"")</f>
        <v>6 - DESPESA COM VENDAS</v>
      </c>
      <c r="K3203" s="77" t="str">
        <f>IFERROR(VLOOKUP(DESPESAS[[#This Row],[Plano de Contas]],BASE!$B$3:$H$119,5,FALSE),"")</f>
        <v>COMERCIAL</v>
      </c>
      <c r="L3203" s="77">
        <f>IFERROR(VLOOKUP(DESPESAS[[#This Row],[Plano de Contas]],BASE!$B$3:$H$119,6,FALSE),"")</f>
        <v>0</v>
      </c>
      <c r="M3203" s="77" t="str">
        <f>VLOOKUP(DESPESAS[[#This Row],[Plano de Contas]],BASE!$B$3:$H$119,7,FALSE)</f>
        <v>LETÍCIA</v>
      </c>
    </row>
    <row r="3204" spans="1:13" x14ac:dyDescent="0.25">
      <c r="A3204" s="74">
        <v>200364</v>
      </c>
      <c r="B3204" s="75" t="s">
        <v>221</v>
      </c>
      <c r="C3204" s="75" t="s">
        <v>574</v>
      </c>
      <c r="D3204" s="76">
        <v>46119</v>
      </c>
      <c r="E3204" s="75" t="s">
        <v>791</v>
      </c>
      <c r="F3204" s="74">
        <v>916.08</v>
      </c>
      <c r="G3204" s="75" t="s">
        <v>572</v>
      </c>
      <c r="H3204" s="77" t="str">
        <f>VLOOKUP(DESPESAS[[#This Row],[Plano de Contas]],BASE!$B$3:$D$119,3,FALSE)</f>
        <v>Comissões sobre Vendas Externo</v>
      </c>
      <c r="I3204" s="77" t="str">
        <f>IFERROR(VLOOKUP(DESPESAS[[#This Row],[Fornecedor]],Tabela2[],2,FALSE),"")</f>
        <v/>
      </c>
      <c r="J3204" s="77" t="str">
        <f>IFERROR(VLOOKUP(DESPESAS[[#This Row],[Plano de Contas]],BASE!$B$3:$F$119,4,FALSE),"")</f>
        <v>6 - DESPESA COM VENDAS</v>
      </c>
      <c r="K3204" s="77" t="str">
        <f>IFERROR(VLOOKUP(DESPESAS[[#This Row],[Plano de Contas]],BASE!$B$3:$H$119,5,FALSE),"")</f>
        <v>COMERCIAL</v>
      </c>
      <c r="L3204" s="77">
        <f>IFERROR(VLOOKUP(DESPESAS[[#This Row],[Plano de Contas]],BASE!$B$3:$H$119,6,FALSE),"")</f>
        <v>0</v>
      </c>
      <c r="M3204" s="77" t="str">
        <f>VLOOKUP(DESPESAS[[#This Row],[Plano de Contas]],BASE!$B$3:$H$119,7,FALSE)</f>
        <v>LETÍCIA</v>
      </c>
    </row>
    <row r="3205" spans="1:13" x14ac:dyDescent="0.25">
      <c r="A3205" s="74">
        <v>200365</v>
      </c>
      <c r="B3205" s="75" t="s">
        <v>281</v>
      </c>
      <c r="C3205" s="75" t="s">
        <v>574</v>
      </c>
      <c r="D3205" s="76">
        <v>46119</v>
      </c>
      <c r="E3205" s="75" t="s">
        <v>573</v>
      </c>
      <c r="F3205" s="74">
        <v>1045.27</v>
      </c>
      <c r="G3205" s="75" t="s">
        <v>572</v>
      </c>
      <c r="H3205" s="77" t="str">
        <f>VLOOKUP(DESPESAS[[#This Row],[Plano de Contas]],BASE!$B$3:$D$119,3,FALSE)</f>
        <v>Comissões sobre Vendas Externo</v>
      </c>
      <c r="I3205" s="77" t="str">
        <f>IFERROR(VLOOKUP(DESPESAS[[#This Row],[Fornecedor]],Tabela2[],2,FALSE),"")</f>
        <v/>
      </c>
      <c r="J3205" s="77" t="str">
        <f>IFERROR(VLOOKUP(DESPESAS[[#This Row],[Plano de Contas]],BASE!$B$3:$F$119,4,FALSE),"")</f>
        <v>6 - DESPESA COM VENDAS</v>
      </c>
      <c r="K3205" s="77" t="str">
        <f>IFERROR(VLOOKUP(DESPESAS[[#This Row],[Plano de Contas]],BASE!$B$3:$H$119,5,FALSE),"")</f>
        <v>COMERCIAL</v>
      </c>
      <c r="L3205" s="77">
        <f>IFERROR(VLOOKUP(DESPESAS[[#This Row],[Plano de Contas]],BASE!$B$3:$H$119,6,FALSE),"")</f>
        <v>0</v>
      </c>
      <c r="M3205" s="77" t="str">
        <f>VLOOKUP(DESPESAS[[#This Row],[Plano de Contas]],BASE!$B$3:$H$119,7,FALSE)</f>
        <v>LETÍCIA</v>
      </c>
    </row>
    <row r="3206" spans="1:13" x14ac:dyDescent="0.25">
      <c r="A3206" s="74">
        <v>200366</v>
      </c>
      <c r="B3206" s="75" t="s">
        <v>281</v>
      </c>
      <c r="C3206" s="75" t="s">
        <v>574</v>
      </c>
      <c r="D3206" s="76">
        <v>46119</v>
      </c>
      <c r="E3206" s="75" t="s">
        <v>790</v>
      </c>
      <c r="F3206" s="74">
        <v>88.17</v>
      </c>
      <c r="G3206" s="75" t="s">
        <v>572</v>
      </c>
      <c r="H3206" s="77" t="str">
        <f>VLOOKUP(DESPESAS[[#This Row],[Plano de Contas]],BASE!$B$3:$D$119,3,FALSE)</f>
        <v>Comissões sobre Vendas Externo</v>
      </c>
      <c r="I3206" s="77" t="str">
        <f>IFERROR(VLOOKUP(DESPESAS[[#This Row],[Fornecedor]],Tabela2[],2,FALSE),"")</f>
        <v/>
      </c>
      <c r="J3206" s="77" t="str">
        <f>IFERROR(VLOOKUP(DESPESAS[[#This Row],[Plano de Contas]],BASE!$B$3:$F$119,4,FALSE),"")</f>
        <v>6 - DESPESA COM VENDAS</v>
      </c>
      <c r="K3206" s="77" t="str">
        <f>IFERROR(VLOOKUP(DESPESAS[[#This Row],[Plano de Contas]],BASE!$B$3:$H$119,5,FALSE),"")</f>
        <v>COMERCIAL</v>
      </c>
      <c r="L3206" s="77">
        <f>IFERROR(VLOOKUP(DESPESAS[[#This Row],[Plano de Contas]],BASE!$B$3:$H$119,6,FALSE),"")</f>
        <v>0</v>
      </c>
      <c r="M3206" s="77" t="str">
        <f>VLOOKUP(DESPESAS[[#This Row],[Plano de Contas]],BASE!$B$3:$H$119,7,FALSE)</f>
        <v>LETÍCIA</v>
      </c>
    </row>
    <row r="3207" spans="1:13" x14ac:dyDescent="0.25">
      <c r="A3207" s="74">
        <v>200367</v>
      </c>
      <c r="B3207" s="75" t="s">
        <v>281</v>
      </c>
      <c r="C3207" s="75" t="s">
        <v>574</v>
      </c>
      <c r="D3207" s="76">
        <v>46119</v>
      </c>
      <c r="E3207" s="75" t="s">
        <v>789</v>
      </c>
      <c r="F3207" s="74">
        <v>1838.11</v>
      </c>
      <c r="G3207" s="75" t="s">
        <v>572</v>
      </c>
      <c r="H3207" s="77" t="str">
        <f>VLOOKUP(DESPESAS[[#This Row],[Plano de Contas]],BASE!$B$3:$D$119,3,FALSE)</f>
        <v>Comissões sobre Vendas Externo</v>
      </c>
      <c r="I3207" s="77" t="str">
        <f>IFERROR(VLOOKUP(DESPESAS[[#This Row],[Fornecedor]],Tabela2[],2,FALSE),"")</f>
        <v/>
      </c>
      <c r="J3207" s="77" t="str">
        <f>IFERROR(VLOOKUP(DESPESAS[[#This Row],[Plano de Contas]],BASE!$B$3:$F$119,4,FALSE),"")</f>
        <v>6 - DESPESA COM VENDAS</v>
      </c>
      <c r="K3207" s="77" t="str">
        <f>IFERROR(VLOOKUP(DESPESAS[[#This Row],[Plano de Contas]],BASE!$B$3:$H$119,5,FALSE),"")</f>
        <v>COMERCIAL</v>
      </c>
      <c r="L3207" s="77">
        <f>IFERROR(VLOOKUP(DESPESAS[[#This Row],[Plano de Contas]],BASE!$B$3:$H$119,6,FALSE),"")</f>
        <v>0</v>
      </c>
      <c r="M3207" s="77" t="str">
        <f>VLOOKUP(DESPESAS[[#This Row],[Plano de Contas]],BASE!$B$3:$H$119,7,FALSE)</f>
        <v>LETÍCIA</v>
      </c>
    </row>
    <row r="3208" spans="1:13" x14ac:dyDescent="0.25">
      <c r="A3208" s="74">
        <v>200368</v>
      </c>
      <c r="B3208" s="75" t="s">
        <v>281</v>
      </c>
      <c r="C3208" s="75" t="s">
        <v>574</v>
      </c>
      <c r="D3208" s="76">
        <v>46119</v>
      </c>
      <c r="E3208" s="75" t="s">
        <v>788</v>
      </c>
      <c r="F3208" s="74">
        <v>1536.5</v>
      </c>
      <c r="G3208" s="75" t="s">
        <v>572</v>
      </c>
      <c r="H3208" s="77" t="str">
        <f>VLOOKUP(DESPESAS[[#This Row],[Plano de Contas]],BASE!$B$3:$D$119,3,FALSE)</f>
        <v>Comissões sobre Vendas Externo</v>
      </c>
      <c r="I3208" s="77" t="str">
        <f>IFERROR(VLOOKUP(DESPESAS[[#This Row],[Fornecedor]],Tabela2[],2,FALSE),"")</f>
        <v/>
      </c>
      <c r="J3208" s="77" t="str">
        <f>IFERROR(VLOOKUP(DESPESAS[[#This Row],[Plano de Contas]],BASE!$B$3:$F$119,4,FALSE),"")</f>
        <v>6 - DESPESA COM VENDAS</v>
      </c>
      <c r="K3208" s="77" t="str">
        <f>IFERROR(VLOOKUP(DESPESAS[[#This Row],[Plano de Contas]],BASE!$B$3:$H$119,5,FALSE),"")</f>
        <v>COMERCIAL</v>
      </c>
      <c r="L3208" s="77">
        <f>IFERROR(VLOOKUP(DESPESAS[[#This Row],[Plano de Contas]],BASE!$B$3:$H$119,6,FALSE),"")</f>
        <v>0</v>
      </c>
      <c r="M3208" s="77" t="str">
        <f>VLOOKUP(DESPESAS[[#This Row],[Plano de Contas]],BASE!$B$3:$H$119,7,FALSE)</f>
        <v>LETÍCIA</v>
      </c>
    </row>
    <row r="3209" spans="1:13" x14ac:dyDescent="0.25">
      <c r="A3209" s="74">
        <v>200369</v>
      </c>
      <c r="B3209" s="75" t="s">
        <v>281</v>
      </c>
      <c r="C3209" s="75" t="s">
        <v>574</v>
      </c>
      <c r="D3209" s="76">
        <v>46119</v>
      </c>
      <c r="E3209" s="75" t="s">
        <v>787</v>
      </c>
      <c r="F3209" s="74">
        <v>850.38</v>
      </c>
      <c r="G3209" s="75" t="s">
        <v>572</v>
      </c>
      <c r="H3209" s="77" t="str">
        <f>VLOOKUP(DESPESAS[[#This Row],[Plano de Contas]],BASE!$B$3:$D$119,3,FALSE)</f>
        <v>Comissões sobre Vendas Externo</v>
      </c>
      <c r="I3209" s="77" t="str">
        <f>IFERROR(VLOOKUP(DESPESAS[[#This Row],[Fornecedor]],Tabela2[],2,FALSE),"")</f>
        <v/>
      </c>
      <c r="J3209" s="77" t="str">
        <f>IFERROR(VLOOKUP(DESPESAS[[#This Row],[Plano de Contas]],BASE!$B$3:$F$119,4,FALSE),"")</f>
        <v>6 - DESPESA COM VENDAS</v>
      </c>
      <c r="K3209" s="77" t="str">
        <f>IFERROR(VLOOKUP(DESPESAS[[#This Row],[Plano de Contas]],BASE!$B$3:$H$119,5,FALSE),"")</f>
        <v>COMERCIAL</v>
      </c>
      <c r="L3209" s="77">
        <f>IFERROR(VLOOKUP(DESPESAS[[#This Row],[Plano de Contas]],BASE!$B$3:$H$119,6,FALSE),"")</f>
        <v>0</v>
      </c>
      <c r="M3209" s="77" t="str">
        <f>VLOOKUP(DESPESAS[[#This Row],[Plano de Contas]],BASE!$B$3:$H$119,7,FALSE)</f>
        <v>LETÍCIA</v>
      </c>
    </row>
    <row r="3210" spans="1:13" x14ac:dyDescent="0.25">
      <c r="A3210" s="74">
        <v>200370</v>
      </c>
      <c r="B3210" s="75" t="s">
        <v>281</v>
      </c>
      <c r="C3210" s="75" t="s">
        <v>574</v>
      </c>
      <c r="D3210" s="76">
        <v>46119</v>
      </c>
      <c r="E3210" s="75" t="s">
        <v>786</v>
      </c>
      <c r="F3210" s="74">
        <v>261.89999999999998</v>
      </c>
      <c r="G3210" s="75" t="s">
        <v>572</v>
      </c>
      <c r="H3210" s="77" t="str">
        <f>VLOOKUP(DESPESAS[[#This Row],[Plano de Contas]],BASE!$B$3:$D$119,3,FALSE)</f>
        <v>Comissões sobre Vendas Externo</v>
      </c>
      <c r="I3210" s="77" t="str">
        <f>IFERROR(VLOOKUP(DESPESAS[[#This Row],[Fornecedor]],Tabela2[],2,FALSE),"")</f>
        <v/>
      </c>
      <c r="J3210" s="77" t="str">
        <f>IFERROR(VLOOKUP(DESPESAS[[#This Row],[Plano de Contas]],BASE!$B$3:$F$119,4,FALSE),"")</f>
        <v>6 - DESPESA COM VENDAS</v>
      </c>
      <c r="K3210" s="77" t="str">
        <f>IFERROR(VLOOKUP(DESPESAS[[#This Row],[Plano de Contas]],BASE!$B$3:$H$119,5,FALSE),"")</f>
        <v>COMERCIAL</v>
      </c>
      <c r="L3210" s="77">
        <f>IFERROR(VLOOKUP(DESPESAS[[#This Row],[Plano de Contas]],BASE!$B$3:$H$119,6,FALSE),"")</f>
        <v>0</v>
      </c>
      <c r="M3210" s="77" t="str">
        <f>VLOOKUP(DESPESAS[[#This Row],[Plano de Contas]],BASE!$B$3:$H$119,7,FALSE)</f>
        <v>LETÍCIA</v>
      </c>
    </row>
    <row r="3211" spans="1:13" x14ac:dyDescent="0.25">
      <c r="A3211" s="74">
        <v>200371</v>
      </c>
      <c r="B3211" s="75" t="s">
        <v>281</v>
      </c>
      <c r="C3211" s="75" t="s">
        <v>574</v>
      </c>
      <c r="D3211" s="76">
        <v>46119</v>
      </c>
      <c r="E3211" s="75" t="s">
        <v>784</v>
      </c>
      <c r="F3211" s="74">
        <v>316.11</v>
      </c>
      <c r="G3211" s="75" t="s">
        <v>572</v>
      </c>
      <c r="H3211" s="77" t="str">
        <f>VLOOKUP(DESPESAS[[#This Row],[Plano de Contas]],BASE!$B$3:$D$119,3,FALSE)</f>
        <v>Comissões sobre Vendas Externo</v>
      </c>
      <c r="I3211" s="77" t="str">
        <f>IFERROR(VLOOKUP(DESPESAS[[#This Row],[Fornecedor]],Tabela2[],2,FALSE),"")</f>
        <v/>
      </c>
      <c r="J3211" s="77" t="str">
        <f>IFERROR(VLOOKUP(DESPESAS[[#This Row],[Plano de Contas]],BASE!$B$3:$F$119,4,FALSE),"")</f>
        <v>6 - DESPESA COM VENDAS</v>
      </c>
      <c r="K3211" s="77" t="str">
        <f>IFERROR(VLOOKUP(DESPESAS[[#This Row],[Plano de Contas]],BASE!$B$3:$H$119,5,FALSE),"")</f>
        <v>COMERCIAL</v>
      </c>
      <c r="L3211" s="77">
        <f>IFERROR(VLOOKUP(DESPESAS[[#This Row],[Plano de Contas]],BASE!$B$3:$H$119,6,FALSE),"")</f>
        <v>0</v>
      </c>
      <c r="M3211" s="77" t="str">
        <f>VLOOKUP(DESPESAS[[#This Row],[Plano de Contas]],BASE!$B$3:$H$119,7,FALSE)</f>
        <v>LETÍCIA</v>
      </c>
    </row>
    <row r="3212" spans="1:13" x14ac:dyDescent="0.25">
      <c r="A3212" s="74">
        <v>200373</v>
      </c>
      <c r="B3212" s="75" t="s">
        <v>279</v>
      </c>
      <c r="C3212" s="75" t="s">
        <v>574</v>
      </c>
      <c r="D3212" s="76">
        <v>46119</v>
      </c>
      <c r="E3212" s="75" t="s">
        <v>790</v>
      </c>
      <c r="F3212" s="74">
        <v>769.75</v>
      </c>
      <c r="G3212" s="75" t="s">
        <v>572</v>
      </c>
      <c r="H3212" s="77" t="str">
        <f>VLOOKUP(DESPESAS[[#This Row],[Plano de Contas]],BASE!$B$3:$D$119,3,FALSE)</f>
        <v>Comissões sobre Vendas Externo</v>
      </c>
      <c r="I3212" s="77" t="str">
        <f>IFERROR(VLOOKUP(DESPESAS[[#This Row],[Fornecedor]],Tabela2[],2,FALSE),"")</f>
        <v/>
      </c>
      <c r="J3212" s="77" t="str">
        <f>IFERROR(VLOOKUP(DESPESAS[[#This Row],[Plano de Contas]],BASE!$B$3:$F$119,4,FALSE),"")</f>
        <v>6 - DESPESA COM VENDAS</v>
      </c>
      <c r="K3212" s="77" t="str">
        <f>IFERROR(VLOOKUP(DESPESAS[[#This Row],[Plano de Contas]],BASE!$B$3:$H$119,5,FALSE),"")</f>
        <v>COMERCIAL</v>
      </c>
      <c r="L3212" s="77">
        <f>IFERROR(VLOOKUP(DESPESAS[[#This Row],[Plano de Contas]],BASE!$B$3:$H$119,6,FALSE),"")</f>
        <v>0</v>
      </c>
      <c r="M3212" s="77" t="str">
        <f>VLOOKUP(DESPESAS[[#This Row],[Plano de Contas]],BASE!$B$3:$H$119,7,FALSE)</f>
        <v>LETÍCIA</v>
      </c>
    </row>
    <row r="3213" spans="1:13" x14ac:dyDescent="0.25">
      <c r="A3213" s="74">
        <v>200374</v>
      </c>
      <c r="B3213" s="75" t="s">
        <v>279</v>
      </c>
      <c r="C3213" s="75" t="s">
        <v>574</v>
      </c>
      <c r="D3213" s="76">
        <v>46119</v>
      </c>
      <c r="E3213" s="75" t="s">
        <v>789</v>
      </c>
      <c r="F3213" s="74">
        <v>1131.8900000000001</v>
      </c>
      <c r="G3213" s="75" t="s">
        <v>572</v>
      </c>
      <c r="H3213" s="77" t="str">
        <f>VLOOKUP(DESPESAS[[#This Row],[Plano de Contas]],BASE!$B$3:$D$119,3,FALSE)</f>
        <v>Comissões sobre Vendas Externo</v>
      </c>
      <c r="I3213" s="77" t="str">
        <f>IFERROR(VLOOKUP(DESPESAS[[#This Row],[Fornecedor]],Tabela2[],2,FALSE),"")</f>
        <v/>
      </c>
      <c r="J3213" s="77" t="str">
        <f>IFERROR(VLOOKUP(DESPESAS[[#This Row],[Plano de Contas]],BASE!$B$3:$F$119,4,FALSE),"")</f>
        <v>6 - DESPESA COM VENDAS</v>
      </c>
      <c r="K3213" s="77" t="str">
        <f>IFERROR(VLOOKUP(DESPESAS[[#This Row],[Plano de Contas]],BASE!$B$3:$H$119,5,FALSE),"")</f>
        <v>COMERCIAL</v>
      </c>
      <c r="L3213" s="77">
        <f>IFERROR(VLOOKUP(DESPESAS[[#This Row],[Plano de Contas]],BASE!$B$3:$H$119,6,FALSE),"")</f>
        <v>0</v>
      </c>
      <c r="M3213" s="77" t="str">
        <f>VLOOKUP(DESPESAS[[#This Row],[Plano de Contas]],BASE!$B$3:$H$119,7,FALSE)</f>
        <v>LETÍCIA</v>
      </c>
    </row>
    <row r="3214" spans="1:13" x14ac:dyDescent="0.25">
      <c r="A3214" s="74">
        <v>200375</v>
      </c>
      <c r="B3214" s="75" t="s">
        <v>279</v>
      </c>
      <c r="C3214" s="75" t="s">
        <v>574</v>
      </c>
      <c r="D3214" s="76">
        <v>46119</v>
      </c>
      <c r="E3214" s="75" t="s">
        <v>788</v>
      </c>
      <c r="F3214" s="74">
        <v>3261.27</v>
      </c>
      <c r="G3214" s="75" t="s">
        <v>572</v>
      </c>
      <c r="H3214" s="77" t="str">
        <f>VLOOKUP(DESPESAS[[#This Row],[Plano de Contas]],BASE!$B$3:$D$119,3,FALSE)</f>
        <v>Comissões sobre Vendas Externo</v>
      </c>
      <c r="I3214" s="77" t="str">
        <f>IFERROR(VLOOKUP(DESPESAS[[#This Row],[Fornecedor]],Tabela2[],2,FALSE),"")</f>
        <v/>
      </c>
      <c r="J3214" s="77" t="str">
        <f>IFERROR(VLOOKUP(DESPESAS[[#This Row],[Plano de Contas]],BASE!$B$3:$F$119,4,FALSE),"")</f>
        <v>6 - DESPESA COM VENDAS</v>
      </c>
      <c r="K3214" s="77" t="str">
        <f>IFERROR(VLOOKUP(DESPESAS[[#This Row],[Plano de Contas]],BASE!$B$3:$H$119,5,FALSE),"")</f>
        <v>COMERCIAL</v>
      </c>
      <c r="L3214" s="77">
        <f>IFERROR(VLOOKUP(DESPESAS[[#This Row],[Plano de Contas]],BASE!$B$3:$H$119,6,FALSE),"")</f>
        <v>0</v>
      </c>
      <c r="M3214" s="77" t="str">
        <f>VLOOKUP(DESPESAS[[#This Row],[Plano de Contas]],BASE!$B$3:$H$119,7,FALSE)</f>
        <v>LETÍCIA</v>
      </c>
    </row>
    <row r="3215" spans="1:13" x14ac:dyDescent="0.25">
      <c r="A3215" s="74">
        <v>200376</v>
      </c>
      <c r="B3215" s="75" t="s">
        <v>279</v>
      </c>
      <c r="C3215" s="75" t="s">
        <v>574</v>
      </c>
      <c r="D3215" s="76">
        <v>46119</v>
      </c>
      <c r="E3215" s="75" t="s">
        <v>787</v>
      </c>
      <c r="F3215" s="74">
        <v>2649.49</v>
      </c>
      <c r="G3215" s="75" t="s">
        <v>572</v>
      </c>
      <c r="H3215" s="77" t="str">
        <f>VLOOKUP(DESPESAS[[#This Row],[Plano de Contas]],BASE!$B$3:$D$119,3,FALSE)</f>
        <v>Comissões sobre Vendas Externo</v>
      </c>
      <c r="I3215" s="77" t="str">
        <f>IFERROR(VLOOKUP(DESPESAS[[#This Row],[Fornecedor]],Tabela2[],2,FALSE),"")</f>
        <v/>
      </c>
      <c r="J3215" s="77" t="str">
        <f>IFERROR(VLOOKUP(DESPESAS[[#This Row],[Plano de Contas]],BASE!$B$3:$F$119,4,FALSE),"")</f>
        <v>6 - DESPESA COM VENDAS</v>
      </c>
      <c r="K3215" s="77" t="str">
        <f>IFERROR(VLOOKUP(DESPESAS[[#This Row],[Plano de Contas]],BASE!$B$3:$H$119,5,FALSE),"")</f>
        <v>COMERCIAL</v>
      </c>
      <c r="L3215" s="77">
        <f>IFERROR(VLOOKUP(DESPESAS[[#This Row],[Plano de Contas]],BASE!$B$3:$H$119,6,FALSE),"")</f>
        <v>0</v>
      </c>
      <c r="M3215" s="77" t="str">
        <f>VLOOKUP(DESPESAS[[#This Row],[Plano de Contas]],BASE!$B$3:$H$119,7,FALSE)</f>
        <v>LETÍCIA</v>
      </c>
    </row>
    <row r="3216" spans="1:13" x14ac:dyDescent="0.25">
      <c r="A3216" s="74">
        <v>200377</v>
      </c>
      <c r="B3216" s="75" t="s">
        <v>279</v>
      </c>
      <c r="C3216" s="75" t="s">
        <v>574</v>
      </c>
      <c r="D3216" s="76">
        <v>46119</v>
      </c>
      <c r="E3216" s="75" t="s">
        <v>786</v>
      </c>
      <c r="F3216" s="74">
        <v>707.23</v>
      </c>
      <c r="G3216" s="75" t="s">
        <v>572</v>
      </c>
      <c r="H3216" s="77" t="str">
        <f>VLOOKUP(DESPESAS[[#This Row],[Plano de Contas]],BASE!$B$3:$D$119,3,FALSE)</f>
        <v>Comissões sobre Vendas Externo</v>
      </c>
      <c r="I3216" s="77" t="str">
        <f>IFERROR(VLOOKUP(DESPESAS[[#This Row],[Fornecedor]],Tabela2[],2,FALSE),"")</f>
        <v/>
      </c>
      <c r="J3216" s="77" t="str">
        <f>IFERROR(VLOOKUP(DESPESAS[[#This Row],[Plano de Contas]],BASE!$B$3:$F$119,4,FALSE),"")</f>
        <v>6 - DESPESA COM VENDAS</v>
      </c>
      <c r="K3216" s="77" t="str">
        <f>IFERROR(VLOOKUP(DESPESAS[[#This Row],[Plano de Contas]],BASE!$B$3:$H$119,5,FALSE),"")</f>
        <v>COMERCIAL</v>
      </c>
      <c r="L3216" s="77">
        <f>IFERROR(VLOOKUP(DESPESAS[[#This Row],[Plano de Contas]],BASE!$B$3:$H$119,6,FALSE),"")</f>
        <v>0</v>
      </c>
      <c r="M3216" s="77" t="str">
        <f>VLOOKUP(DESPESAS[[#This Row],[Plano de Contas]],BASE!$B$3:$H$119,7,FALSE)</f>
        <v>LETÍCIA</v>
      </c>
    </row>
    <row r="3217" spans="1:13" x14ac:dyDescent="0.25">
      <c r="A3217" s="74">
        <v>200378</v>
      </c>
      <c r="B3217" s="75" t="s">
        <v>279</v>
      </c>
      <c r="C3217" s="75" t="s">
        <v>574</v>
      </c>
      <c r="D3217" s="76">
        <v>46119</v>
      </c>
      <c r="E3217" s="75" t="s">
        <v>785</v>
      </c>
      <c r="F3217" s="74">
        <v>304.01</v>
      </c>
      <c r="G3217" s="75" t="s">
        <v>572</v>
      </c>
      <c r="H3217" s="77" t="str">
        <f>VLOOKUP(DESPESAS[[#This Row],[Plano de Contas]],BASE!$B$3:$D$119,3,FALSE)</f>
        <v>Comissões sobre Vendas Externo</v>
      </c>
      <c r="I3217" s="77" t="str">
        <f>IFERROR(VLOOKUP(DESPESAS[[#This Row],[Fornecedor]],Tabela2[],2,FALSE),"")</f>
        <v/>
      </c>
      <c r="J3217" s="77" t="str">
        <f>IFERROR(VLOOKUP(DESPESAS[[#This Row],[Plano de Contas]],BASE!$B$3:$F$119,4,FALSE),"")</f>
        <v>6 - DESPESA COM VENDAS</v>
      </c>
      <c r="K3217" s="77" t="str">
        <f>IFERROR(VLOOKUP(DESPESAS[[#This Row],[Plano de Contas]],BASE!$B$3:$H$119,5,FALSE),"")</f>
        <v>COMERCIAL</v>
      </c>
      <c r="L3217" s="77">
        <f>IFERROR(VLOOKUP(DESPESAS[[#This Row],[Plano de Contas]],BASE!$B$3:$H$119,6,FALSE),"")</f>
        <v>0</v>
      </c>
      <c r="M3217" s="77" t="str">
        <f>VLOOKUP(DESPESAS[[#This Row],[Plano de Contas]],BASE!$B$3:$H$119,7,FALSE)</f>
        <v>LETÍCIA</v>
      </c>
    </row>
    <row r="3218" spans="1:13" x14ac:dyDescent="0.25">
      <c r="A3218" s="74">
        <v>200379</v>
      </c>
      <c r="B3218" s="75" t="s">
        <v>279</v>
      </c>
      <c r="C3218" s="75" t="s">
        <v>574</v>
      </c>
      <c r="D3218" s="76">
        <v>46119</v>
      </c>
      <c r="E3218" s="75" t="s">
        <v>784</v>
      </c>
      <c r="F3218" s="74">
        <v>1234.9000000000001</v>
      </c>
      <c r="G3218" s="75" t="s">
        <v>572</v>
      </c>
      <c r="H3218" s="77" t="str">
        <f>VLOOKUP(DESPESAS[[#This Row],[Plano de Contas]],BASE!$B$3:$D$119,3,FALSE)</f>
        <v>Comissões sobre Vendas Externo</v>
      </c>
      <c r="I3218" s="77" t="str">
        <f>IFERROR(VLOOKUP(DESPESAS[[#This Row],[Fornecedor]],Tabela2[],2,FALSE),"")</f>
        <v/>
      </c>
      <c r="J3218" s="77" t="str">
        <f>IFERROR(VLOOKUP(DESPESAS[[#This Row],[Plano de Contas]],BASE!$B$3:$F$119,4,FALSE),"")</f>
        <v>6 - DESPESA COM VENDAS</v>
      </c>
      <c r="K3218" s="77" t="str">
        <f>IFERROR(VLOOKUP(DESPESAS[[#This Row],[Plano de Contas]],BASE!$B$3:$H$119,5,FALSE),"")</f>
        <v>COMERCIAL</v>
      </c>
      <c r="L3218" s="77">
        <f>IFERROR(VLOOKUP(DESPESAS[[#This Row],[Plano de Contas]],BASE!$B$3:$H$119,6,FALSE),"")</f>
        <v>0</v>
      </c>
      <c r="M3218" s="77" t="str">
        <f>VLOOKUP(DESPESAS[[#This Row],[Plano de Contas]],BASE!$B$3:$H$119,7,FALSE)</f>
        <v>LETÍCIA</v>
      </c>
    </row>
    <row r="3219" spans="1:13" x14ac:dyDescent="0.25">
      <c r="A3219" s="74">
        <v>200384</v>
      </c>
      <c r="B3219" s="75" t="s">
        <v>232</v>
      </c>
      <c r="C3219" s="75" t="s">
        <v>782</v>
      </c>
      <c r="D3219" s="76">
        <v>46112</v>
      </c>
      <c r="E3219" s="75" t="s">
        <v>437</v>
      </c>
      <c r="F3219" s="74">
        <v>2353.4</v>
      </c>
      <c r="G3219" s="75" t="s">
        <v>781</v>
      </c>
      <c r="H3219" s="77" t="str">
        <f>VLOOKUP(DESPESAS[[#This Row],[Plano de Contas]],BASE!$B$3:$D$119,3,FALSE)</f>
        <v>FGTS CIF</v>
      </c>
      <c r="I3219" s="77" t="str">
        <f>IFERROR(VLOOKUP(DESPESAS[[#This Row],[Fornecedor]],Tabela2[],2,FALSE),"")</f>
        <v/>
      </c>
      <c r="J3219" s="77" t="str">
        <f>IFERROR(VLOOKUP(DESPESAS[[#This Row],[Plano de Contas]],BASE!$B$3:$F$119,4,FALSE),"")</f>
        <v>3 - CUSTOS INDIRETOS</v>
      </c>
      <c r="K3219" s="77" t="str">
        <f>IFERROR(VLOOKUP(DESPESAS[[#This Row],[Plano de Contas]],BASE!$B$3:$H$119,5,FALSE),"")</f>
        <v>DH</v>
      </c>
      <c r="L3219" s="77" t="str">
        <f>IFERROR(VLOOKUP(DESPESAS[[#This Row],[Plano de Contas]],BASE!$B$3:$H$119,6,FALSE),"")</f>
        <v>CUSTO MÃO DE OBRA DIRETA</v>
      </c>
      <c r="M3219" s="77" t="str">
        <f>VLOOKUP(DESPESAS[[#This Row],[Plano de Contas]],BASE!$B$3:$H$119,7,FALSE)</f>
        <v>RAFAEL</v>
      </c>
    </row>
    <row r="3220" spans="1:13" x14ac:dyDescent="0.25">
      <c r="A3220" s="74">
        <v>200385</v>
      </c>
      <c r="B3220" s="75" t="s">
        <v>232</v>
      </c>
      <c r="C3220" s="75" t="s">
        <v>780</v>
      </c>
      <c r="D3220" s="76">
        <v>46112</v>
      </c>
      <c r="E3220" s="75" t="s">
        <v>437</v>
      </c>
      <c r="F3220" s="74">
        <v>9106.11</v>
      </c>
      <c r="G3220" s="75" t="s">
        <v>779</v>
      </c>
      <c r="H3220" s="77" t="str">
        <f>VLOOKUP(DESPESAS[[#This Row],[Plano de Contas]],BASE!$B$3:$D$119,3,FALSE)</f>
        <v>FGTS MOD</v>
      </c>
      <c r="I3220" s="77" t="str">
        <f>IFERROR(VLOOKUP(DESPESAS[[#This Row],[Fornecedor]],Tabela2[],2,FALSE),"")</f>
        <v/>
      </c>
      <c r="J3220" s="77" t="str">
        <f>IFERROR(VLOOKUP(DESPESAS[[#This Row],[Plano de Contas]],BASE!$B$3:$F$119,4,FALSE),"")</f>
        <v>2 - CUSTOS DIRETOS</v>
      </c>
      <c r="K3220" s="77" t="str">
        <f>IFERROR(VLOOKUP(DESPESAS[[#This Row],[Plano de Contas]],BASE!$B$3:$H$119,5,FALSE),"")</f>
        <v>DH</v>
      </c>
      <c r="L3220" s="77" t="str">
        <f>IFERROR(VLOOKUP(DESPESAS[[#This Row],[Plano de Contas]],BASE!$B$3:$H$119,6,FALSE),"")</f>
        <v>CUSTO MÃO DE OBRA DIRETA</v>
      </c>
      <c r="M3220" s="77" t="str">
        <f>VLOOKUP(DESPESAS[[#This Row],[Plano de Contas]],BASE!$B$3:$H$119,7,FALSE)</f>
        <v>RAFAEL</v>
      </c>
    </row>
    <row r="3221" spans="1:13" x14ac:dyDescent="0.25">
      <c r="A3221" s="74">
        <v>200386</v>
      </c>
      <c r="B3221" s="75" t="s">
        <v>279</v>
      </c>
      <c r="C3221" s="75" t="s">
        <v>438</v>
      </c>
      <c r="D3221" s="76">
        <v>46112</v>
      </c>
      <c r="E3221" s="75" t="s">
        <v>437</v>
      </c>
      <c r="F3221" s="74">
        <v>6064.41</v>
      </c>
      <c r="G3221" s="75" t="s">
        <v>436</v>
      </c>
      <c r="H3221" s="77" t="str">
        <f>VLOOKUP(DESPESAS[[#This Row],[Plano de Contas]],BASE!$B$3:$D$119,3,FALSE)</f>
        <v>FGTS (Adm)</v>
      </c>
      <c r="I3221" s="77" t="str">
        <f>IFERROR(VLOOKUP(DESPESAS[[#This Row],[Fornecedor]],Tabela2[],2,FALSE),"")</f>
        <v/>
      </c>
      <c r="J3221" s="77" t="str">
        <f>IFERROR(VLOOKUP(DESPESAS[[#This Row],[Plano de Contas]],BASE!$B$3:$F$119,4,FALSE),"")</f>
        <v>4 - GASTOS COM PESSOAL</v>
      </c>
      <c r="K3221" s="77" t="str">
        <f>IFERROR(VLOOKUP(DESPESAS[[#This Row],[Plano de Contas]],BASE!$B$3:$H$119,5,FALSE),"")</f>
        <v>DH</v>
      </c>
      <c r="L3221" s="77">
        <f>IFERROR(VLOOKUP(DESPESAS[[#This Row],[Plano de Contas]],BASE!$B$3:$H$119,6,FALSE),"")</f>
        <v>0</v>
      </c>
      <c r="M3221" s="77" t="str">
        <f>VLOOKUP(DESPESAS[[#This Row],[Plano de Contas]],BASE!$B$3:$H$119,7,FALSE)</f>
        <v>RAFAEL</v>
      </c>
    </row>
    <row r="3222" spans="1:13" x14ac:dyDescent="0.25">
      <c r="A3222" s="74">
        <v>200387</v>
      </c>
      <c r="B3222" s="75" t="s">
        <v>279</v>
      </c>
      <c r="C3222" s="75" t="s">
        <v>782</v>
      </c>
      <c r="D3222" s="76">
        <v>46112</v>
      </c>
      <c r="E3222" s="75" t="s">
        <v>437</v>
      </c>
      <c r="F3222" s="74">
        <v>2101.09</v>
      </c>
      <c r="G3222" s="75" t="s">
        <v>781</v>
      </c>
      <c r="H3222" s="77" t="str">
        <f>VLOOKUP(DESPESAS[[#This Row],[Plano de Contas]],BASE!$B$3:$D$119,3,FALSE)</f>
        <v>FGTS CIF</v>
      </c>
      <c r="I3222" s="77" t="str">
        <f>IFERROR(VLOOKUP(DESPESAS[[#This Row],[Fornecedor]],Tabela2[],2,FALSE),"")</f>
        <v/>
      </c>
      <c r="J3222" s="77" t="str">
        <f>IFERROR(VLOOKUP(DESPESAS[[#This Row],[Plano de Contas]],BASE!$B$3:$F$119,4,FALSE),"")</f>
        <v>3 - CUSTOS INDIRETOS</v>
      </c>
      <c r="K3222" s="77" t="str">
        <f>IFERROR(VLOOKUP(DESPESAS[[#This Row],[Plano de Contas]],BASE!$B$3:$H$119,5,FALSE),"")</f>
        <v>DH</v>
      </c>
      <c r="L3222" s="77" t="str">
        <f>IFERROR(VLOOKUP(DESPESAS[[#This Row],[Plano de Contas]],BASE!$B$3:$H$119,6,FALSE),"")</f>
        <v>CUSTO MÃO DE OBRA DIRETA</v>
      </c>
      <c r="M3222" s="77" t="str">
        <f>VLOOKUP(DESPESAS[[#This Row],[Plano de Contas]],BASE!$B$3:$H$119,7,FALSE)</f>
        <v>RAFAEL</v>
      </c>
    </row>
    <row r="3223" spans="1:13" x14ac:dyDescent="0.25">
      <c r="A3223" s="74">
        <v>200388</v>
      </c>
      <c r="B3223" s="75" t="s">
        <v>279</v>
      </c>
      <c r="C3223" s="75" t="s">
        <v>780</v>
      </c>
      <c r="D3223" s="76">
        <v>46112</v>
      </c>
      <c r="E3223" s="75" t="s">
        <v>437</v>
      </c>
      <c r="F3223" s="74">
        <v>22968.560000000001</v>
      </c>
      <c r="G3223" s="75" t="s">
        <v>779</v>
      </c>
      <c r="H3223" s="77" t="str">
        <f>VLOOKUP(DESPESAS[[#This Row],[Plano de Contas]],BASE!$B$3:$D$119,3,FALSE)</f>
        <v>FGTS MOD</v>
      </c>
      <c r="I3223" s="77" t="str">
        <f>IFERROR(VLOOKUP(DESPESAS[[#This Row],[Fornecedor]],Tabela2[],2,FALSE),"")</f>
        <v/>
      </c>
      <c r="J3223" s="77" t="str">
        <f>IFERROR(VLOOKUP(DESPESAS[[#This Row],[Plano de Contas]],BASE!$B$3:$F$119,4,FALSE),"")</f>
        <v>2 - CUSTOS DIRETOS</v>
      </c>
      <c r="K3223" s="77" t="str">
        <f>IFERROR(VLOOKUP(DESPESAS[[#This Row],[Plano de Contas]],BASE!$B$3:$H$119,5,FALSE),"")</f>
        <v>DH</v>
      </c>
      <c r="L3223" s="77" t="str">
        <f>IFERROR(VLOOKUP(DESPESAS[[#This Row],[Plano de Contas]],BASE!$B$3:$H$119,6,FALSE),"")</f>
        <v>CUSTO MÃO DE OBRA DIRETA</v>
      </c>
      <c r="M3223" s="77" t="str">
        <f>VLOOKUP(DESPESAS[[#This Row],[Plano de Contas]],BASE!$B$3:$H$119,7,FALSE)</f>
        <v>RAFAEL</v>
      </c>
    </row>
    <row r="3224" spans="1:13" x14ac:dyDescent="0.25">
      <c r="A3224" s="74">
        <v>200389</v>
      </c>
      <c r="B3224" s="75" t="s">
        <v>281</v>
      </c>
      <c r="C3224" s="75" t="s">
        <v>438</v>
      </c>
      <c r="D3224" s="76">
        <v>46112</v>
      </c>
      <c r="E3224" s="75" t="s">
        <v>437</v>
      </c>
      <c r="F3224" s="74">
        <v>380.85</v>
      </c>
      <c r="G3224" s="75" t="s">
        <v>436</v>
      </c>
      <c r="H3224" s="77" t="str">
        <f>VLOOKUP(DESPESAS[[#This Row],[Plano de Contas]],BASE!$B$3:$D$119,3,FALSE)</f>
        <v>FGTS (Adm)</v>
      </c>
      <c r="I3224" s="77" t="str">
        <f>IFERROR(VLOOKUP(DESPESAS[[#This Row],[Fornecedor]],Tabela2[],2,FALSE),"")</f>
        <v/>
      </c>
      <c r="J3224" s="77" t="str">
        <f>IFERROR(VLOOKUP(DESPESAS[[#This Row],[Plano de Contas]],BASE!$B$3:$F$119,4,FALSE),"")</f>
        <v>4 - GASTOS COM PESSOAL</v>
      </c>
      <c r="K3224" s="77" t="str">
        <f>IFERROR(VLOOKUP(DESPESAS[[#This Row],[Plano de Contas]],BASE!$B$3:$H$119,5,FALSE),"")</f>
        <v>DH</v>
      </c>
      <c r="L3224" s="77">
        <f>IFERROR(VLOOKUP(DESPESAS[[#This Row],[Plano de Contas]],BASE!$B$3:$H$119,6,FALSE),"")</f>
        <v>0</v>
      </c>
      <c r="M3224" s="77" t="str">
        <f>VLOOKUP(DESPESAS[[#This Row],[Plano de Contas]],BASE!$B$3:$H$119,7,FALSE)</f>
        <v>RAFAEL</v>
      </c>
    </row>
    <row r="3225" spans="1:13" x14ac:dyDescent="0.25">
      <c r="A3225" s="74">
        <v>200390</v>
      </c>
      <c r="B3225" s="75" t="s">
        <v>279</v>
      </c>
      <c r="C3225" s="75" t="s">
        <v>783</v>
      </c>
      <c r="D3225" s="76">
        <v>46119</v>
      </c>
      <c r="E3225" s="75" t="s">
        <v>230</v>
      </c>
      <c r="F3225" s="74">
        <v>4.74</v>
      </c>
      <c r="G3225" s="75" t="s">
        <v>236</v>
      </c>
      <c r="H3225" s="77" t="str">
        <f>VLOOKUP(DESPESAS[[#This Row],[Plano de Contas]],BASE!$B$3:$D$119,3,FALSE)</f>
        <v>Despesas de Cobranca</v>
      </c>
      <c r="I3225" s="77" t="str">
        <f>IFERROR(VLOOKUP(DESPESAS[[#This Row],[Fornecedor]],Tabela2[],2,FALSE),"")</f>
        <v/>
      </c>
      <c r="J3225" s="77" t="str">
        <f>IFERROR(VLOOKUP(DESPESAS[[#This Row],[Plano de Contas]],BASE!$B$3:$F$119,4,FALSE),"")</f>
        <v>8 - DESPESAS FINANCEIRAS</v>
      </c>
      <c r="K3225" s="77" t="str">
        <f>IFERROR(VLOOKUP(DESPESAS[[#This Row],[Plano de Contas]],BASE!$B$3:$H$119,5,FALSE),"")</f>
        <v>FINANCEIRO</v>
      </c>
      <c r="L3225" s="77">
        <f>IFERROR(VLOOKUP(DESPESAS[[#This Row],[Plano de Contas]],BASE!$B$3:$H$119,6,FALSE),"")</f>
        <v>0</v>
      </c>
      <c r="M3225" s="77" t="str">
        <f>VLOOKUP(DESPESAS[[#This Row],[Plano de Contas]],BASE!$B$3:$H$119,7,FALSE)</f>
        <v>LETÍCIA</v>
      </c>
    </row>
    <row r="3226" spans="1:13" x14ac:dyDescent="0.25">
      <c r="A3226" s="74">
        <v>200392</v>
      </c>
      <c r="B3226" s="75" t="s">
        <v>281</v>
      </c>
      <c r="C3226" s="75" t="s">
        <v>782</v>
      </c>
      <c r="D3226" s="76">
        <v>46112</v>
      </c>
      <c r="E3226" s="75" t="s">
        <v>437</v>
      </c>
      <c r="F3226" s="74">
        <v>581.19000000000005</v>
      </c>
      <c r="G3226" s="75" t="s">
        <v>781</v>
      </c>
      <c r="H3226" s="77" t="str">
        <f>VLOOKUP(DESPESAS[[#This Row],[Plano de Contas]],BASE!$B$3:$D$119,3,FALSE)</f>
        <v>FGTS CIF</v>
      </c>
      <c r="I3226" s="77" t="str">
        <f>IFERROR(VLOOKUP(DESPESAS[[#This Row],[Fornecedor]],Tabela2[],2,FALSE),"")</f>
        <v/>
      </c>
      <c r="J3226" s="77" t="str">
        <f>IFERROR(VLOOKUP(DESPESAS[[#This Row],[Plano de Contas]],BASE!$B$3:$F$119,4,FALSE),"")</f>
        <v>3 - CUSTOS INDIRETOS</v>
      </c>
      <c r="K3226" s="77" t="str">
        <f>IFERROR(VLOOKUP(DESPESAS[[#This Row],[Plano de Contas]],BASE!$B$3:$H$119,5,FALSE),"")</f>
        <v>DH</v>
      </c>
      <c r="L3226" s="77" t="str">
        <f>IFERROR(VLOOKUP(DESPESAS[[#This Row],[Plano de Contas]],BASE!$B$3:$H$119,6,FALSE),"")</f>
        <v>CUSTO MÃO DE OBRA DIRETA</v>
      </c>
      <c r="M3226" s="77" t="str">
        <f>VLOOKUP(DESPESAS[[#This Row],[Plano de Contas]],BASE!$B$3:$H$119,7,FALSE)</f>
        <v>RAFAEL</v>
      </c>
    </row>
    <row r="3227" spans="1:13" x14ac:dyDescent="0.25">
      <c r="A3227" s="74">
        <v>200393</v>
      </c>
      <c r="B3227" s="75" t="s">
        <v>281</v>
      </c>
      <c r="C3227" s="75" t="s">
        <v>780</v>
      </c>
      <c r="D3227" s="76">
        <v>46112</v>
      </c>
      <c r="E3227" s="75" t="s">
        <v>437</v>
      </c>
      <c r="F3227" s="74">
        <v>3794.97</v>
      </c>
      <c r="G3227" s="75" t="s">
        <v>779</v>
      </c>
      <c r="H3227" s="77" t="str">
        <f>VLOOKUP(DESPESAS[[#This Row],[Plano de Contas]],BASE!$B$3:$D$119,3,FALSE)</f>
        <v>FGTS MOD</v>
      </c>
      <c r="I3227" s="77" t="str">
        <f>IFERROR(VLOOKUP(DESPESAS[[#This Row],[Fornecedor]],Tabela2[],2,FALSE),"")</f>
        <v/>
      </c>
      <c r="J3227" s="77" t="str">
        <f>IFERROR(VLOOKUP(DESPESAS[[#This Row],[Plano de Contas]],BASE!$B$3:$F$119,4,FALSE),"")</f>
        <v>2 - CUSTOS DIRETOS</v>
      </c>
      <c r="K3227" s="77" t="str">
        <f>IFERROR(VLOOKUP(DESPESAS[[#This Row],[Plano de Contas]],BASE!$B$3:$H$119,5,FALSE),"")</f>
        <v>DH</v>
      </c>
      <c r="L3227" s="77" t="str">
        <f>IFERROR(VLOOKUP(DESPESAS[[#This Row],[Plano de Contas]],BASE!$B$3:$H$119,6,FALSE),"")</f>
        <v>CUSTO MÃO DE OBRA DIRETA</v>
      </c>
      <c r="M3227" s="77" t="str">
        <f>VLOOKUP(DESPESAS[[#This Row],[Plano de Contas]],BASE!$B$3:$H$119,7,FALSE)</f>
        <v>RAFAEL</v>
      </c>
    </row>
    <row r="3228" spans="1:13" x14ac:dyDescent="0.25">
      <c r="A3228" s="74">
        <v>200394</v>
      </c>
      <c r="B3228" s="75" t="s">
        <v>281</v>
      </c>
      <c r="C3228" s="75" t="s">
        <v>773</v>
      </c>
      <c r="D3228" s="76">
        <v>46112</v>
      </c>
      <c r="E3228" s="75" t="s">
        <v>768</v>
      </c>
      <c r="F3228" s="74">
        <v>736.43</v>
      </c>
      <c r="G3228" s="75" t="s">
        <v>772</v>
      </c>
      <c r="H3228" s="77" t="str">
        <f>VLOOKUP(DESPESAS[[#This Row],[Plano de Contas]],BASE!$B$3:$D$119,3,FALSE)</f>
        <v>INSS (Adm)</v>
      </c>
      <c r="I3228" s="77" t="str">
        <f>IFERROR(VLOOKUP(DESPESAS[[#This Row],[Fornecedor]],Tabela2[],2,FALSE),"")</f>
        <v/>
      </c>
      <c r="J3228" s="77" t="str">
        <f>IFERROR(VLOOKUP(DESPESAS[[#This Row],[Plano de Contas]],BASE!$B$3:$F$119,4,FALSE),"")</f>
        <v>4 - GASTOS COM PESSOAL</v>
      </c>
      <c r="K3228" s="77" t="str">
        <f>IFERROR(VLOOKUP(DESPESAS[[#This Row],[Plano de Contas]],BASE!$B$3:$H$119,5,FALSE),"")</f>
        <v>DH</v>
      </c>
      <c r="L3228" s="77">
        <f>IFERROR(VLOOKUP(DESPESAS[[#This Row],[Plano de Contas]],BASE!$B$3:$H$119,6,FALSE),"")</f>
        <v>0</v>
      </c>
      <c r="M3228" s="77" t="str">
        <f>VLOOKUP(DESPESAS[[#This Row],[Plano de Contas]],BASE!$B$3:$H$119,7,FALSE)</f>
        <v>RAFAEL</v>
      </c>
    </row>
    <row r="3229" spans="1:13" x14ac:dyDescent="0.25">
      <c r="A3229" s="74">
        <v>200395</v>
      </c>
      <c r="B3229" s="75" t="s">
        <v>281</v>
      </c>
      <c r="C3229" s="75" t="s">
        <v>771</v>
      </c>
      <c r="D3229" s="76">
        <v>46112</v>
      </c>
      <c r="E3229" s="75" t="s">
        <v>768</v>
      </c>
      <c r="F3229" s="74">
        <v>671.21</v>
      </c>
      <c r="G3229" s="75" t="s">
        <v>770</v>
      </c>
      <c r="H3229" s="77" t="str">
        <f>VLOOKUP(DESPESAS[[#This Row],[Plano de Contas]],BASE!$B$3:$D$119,3,FALSE)</f>
        <v>INSS CIF</v>
      </c>
      <c r="I3229" s="77" t="str">
        <f>IFERROR(VLOOKUP(DESPESAS[[#This Row],[Fornecedor]],Tabela2[],2,FALSE),"")</f>
        <v/>
      </c>
      <c r="J3229" s="77" t="str">
        <f>IFERROR(VLOOKUP(DESPESAS[[#This Row],[Plano de Contas]],BASE!$B$3:$F$119,4,FALSE),"")</f>
        <v>3 - CUSTOS INDIRETOS</v>
      </c>
      <c r="K3229" s="77" t="str">
        <f>IFERROR(VLOOKUP(DESPESAS[[#This Row],[Plano de Contas]],BASE!$B$3:$H$119,5,FALSE),"")</f>
        <v>DH</v>
      </c>
      <c r="L3229" s="77" t="str">
        <f>IFERROR(VLOOKUP(DESPESAS[[#This Row],[Plano de Contas]],BASE!$B$3:$H$119,6,FALSE),"")</f>
        <v>CUSTO MÃO DE OBRA DIRETA</v>
      </c>
      <c r="M3229" s="77" t="str">
        <f>VLOOKUP(DESPESAS[[#This Row],[Plano de Contas]],BASE!$B$3:$H$119,7,FALSE)</f>
        <v>RAFAEL</v>
      </c>
    </row>
    <row r="3230" spans="1:13" x14ac:dyDescent="0.25">
      <c r="A3230" s="74">
        <v>200396</v>
      </c>
      <c r="B3230" s="75" t="s">
        <v>281</v>
      </c>
      <c r="C3230" s="75" t="s">
        <v>769</v>
      </c>
      <c r="D3230" s="76">
        <v>46112</v>
      </c>
      <c r="E3230" s="75" t="s">
        <v>768</v>
      </c>
      <c r="F3230" s="74">
        <v>3188.43</v>
      </c>
      <c r="G3230" s="75" t="s">
        <v>767</v>
      </c>
      <c r="H3230" s="77" t="str">
        <f>VLOOKUP(DESPESAS[[#This Row],[Plano de Contas]],BASE!$B$3:$D$119,3,FALSE)</f>
        <v>INSS MOD</v>
      </c>
      <c r="I3230" s="77" t="str">
        <f>IFERROR(VLOOKUP(DESPESAS[[#This Row],[Fornecedor]],Tabela2[],2,FALSE),"")</f>
        <v/>
      </c>
      <c r="J3230" s="77" t="str">
        <f>IFERROR(VLOOKUP(DESPESAS[[#This Row],[Plano de Contas]],BASE!$B$3:$F$119,4,FALSE),"")</f>
        <v>2 - CUSTOS DIRETOS</v>
      </c>
      <c r="K3230" s="77" t="str">
        <f>IFERROR(VLOOKUP(DESPESAS[[#This Row],[Plano de Contas]],BASE!$B$3:$H$119,5,FALSE),"")</f>
        <v>DH</v>
      </c>
      <c r="L3230" s="77" t="str">
        <f>IFERROR(VLOOKUP(DESPESAS[[#This Row],[Plano de Contas]],BASE!$B$3:$H$119,6,FALSE),"")</f>
        <v>CUSTO MÃO DE OBRA DIRETA</v>
      </c>
      <c r="M3230" s="77" t="str">
        <f>VLOOKUP(DESPESAS[[#This Row],[Plano de Contas]],BASE!$B$3:$H$119,7,FALSE)</f>
        <v>RAFAEL</v>
      </c>
    </row>
    <row r="3231" spans="1:13" x14ac:dyDescent="0.25">
      <c r="A3231" s="74">
        <v>200397</v>
      </c>
      <c r="B3231" s="75" t="s">
        <v>232</v>
      </c>
      <c r="C3231" s="75" t="s">
        <v>778</v>
      </c>
      <c r="D3231" s="76">
        <v>46119</v>
      </c>
      <c r="E3231" s="75" t="s">
        <v>230</v>
      </c>
      <c r="F3231" s="74">
        <v>12.64</v>
      </c>
      <c r="G3231" s="75" t="s">
        <v>236</v>
      </c>
      <c r="H3231" s="77" t="str">
        <f>VLOOKUP(DESPESAS[[#This Row],[Plano de Contas]],BASE!$B$3:$D$119,3,FALSE)</f>
        <v>Despesas de Cobranca</v>
      </c>
      <c r="I3231" s="77" t="str">
        <f>IFERROR(VLOOKUP(DESPESAS[[#This Row],[Fornecedor]],Tabela2[],2,FALSE),"")</f>
        <v/>
      </c>
      <c r="J3231" s="77" t="str">
        <f>IFERROR(VLOOKUP(DESPESAS[[#This Row],[Plano de Contas]],BASE!$B$3:$F$119,4,FALSE),"")</f>
        <v>8 - DESPESAS FINANCEIRAS</v>
      </c>
      <c r="K3231" s="77" t="str">
        <f>IFERROR(VLOOKUP(DESPESAS[[#This Row],[Plano de Contas]],BASE!$B$3:$H$119,5,FALSE),"")</f>
        <v>FINANCEIRO</v>
      </c>
      <c r="L3231" s="77">
        <f>IFERROR(VLOOKUP(DESPESAS[[#This Row],[Plano de Contas]],BASE!$B$3:$H$119,6,FALSE),"")</f>
        <v>0</v>
      </c>
      <c r="M3231" s="77" t="str">
        <f>VLOOKUP(DESPESAS[[#This Row],[Plano de Contas]],BASE!$B$3:$H$119,7,FALSE)</f>
        <v>LETÍCIA</v>
      </c>
    </row>
    <row r="3232" spans="1:13" x14ac:dyDescent="0.25">
      <c r="A3232" s="74">
        <v>200398</v>
      </c>
      <c r="B3232" s="75" t="s">
        <v>232</v>
      </c>
      <c r="C3232" s="75" t="s">
        <v>777</v>
      </c>
      <c r="D3232" s="76">
        <v>46120</v>
      </c>
      <c r="E3232" s="75" t="s">
        <v>230</v>
      </c>
      <c r="F3232" s="74">
        <v>5.31</v>
      </c>
      <c r="G3232" s="75" t="s">
        <v>229</v>
      </c>
      <c r="H3232" s="77" t="str">
        <f>VLOOKUP(DESPESAS[[#This Row],[Plano de Contas]],BASE!$B$3:$D$119,3,FALSE)</f>
        <v>Despesas Bancarias</v>
      </c>
      <c r="I3232" s="77" t="str">
        <f>IFERROR(VLOOKUP(DESPESAS[[#This Row],[Fornecedor]],Tabela2[],2,FALSE),"")</f>
        <v/>
      </c>
      <c r="J3232" s="77" t="str">
        <f>IFERROR(VLOOKUP(DESPESAS[[#This Row],[Plano de Contas]],BASE!$B$3:$F$119,4,FALSE),"")</f>
        <v>8 - DESPESAS FINANCEIRAS</v>
      </c>
      <c r="K3232" s="77" t="str">
        <f>IFERROR(VLOOKUP(DESPESAS[[#This Row],[Plano de Contas]],BASE!$B$3:$H$119,5,FALSE),"")</f>
        <v>FINANCEIRO</v>
      </c>
      <c r="L3232" s="77">
        <f>IFERROR(VLOOKUP(DESPESAS[[#This Row],[Plano de Contas]],BASE!$B$3:$H$119,6,FALSE),"")</f>
        <v>0</v>
      </c>
      <c r="M3232" s="77" t="str">
        <f>VLOOKUP(DESPESAS[[#This Row],[Plano de Contas]],BASE!$B$3:$H$119,7,FALSE)</f>
        <v>LETÍCIA</v>
      </c>
    </row>
    <row r="3233" spans="1:13" x14ac:dyDescent="0.25">
      <c r="A3233" s="74">
        <v>200399</v>
      </c>
      <c r="B3233" s="75" t="s">
        <v>279</v>
      </c>
      <c r="C3233" s="75" t="s">
        <v>773</v>
      </c>
      <c r="D3233" s="76">
        <v>46112</v>
      </c>
      <c r="E3233" s="75" t="s">
        <v>768</v>
      </c>
      <c r="F3233" s="74">
        <v>7695.87</v>
      </c>
      <c r="G3233" s="75" t="s">
        <v>772</v>
      </c>
      <c r="H3233" s="77" t="str">
        <f>VLOOKUP(DESPESAS[[#This Row],[Plano de Contas]],BASE!$B$3:$D$119,3,FALSE)</f>
        <v>INSS (Adm)</v>
      </c>
      <c r="I3233" s="77" t="str">
        <f>IFERROR(VLOOKUP(DESPESAS[[#This Row],[Fornecedor]],Tabela2[],2,FALSE),"")</f>
        <v/>
      </c>
      <c r="J3233" s="77" t="str">
        <f>IFERROR(VLOOKUP(DESPESAS[[#This Row],[Plano de Contas]],BASE!$B$3:$F$119,4,FALSE),"")</f>
        <v>4 - GASTOS COM PESSOAL</v>
      </c>
      <c r="K3233" s="77" t="str">
        <f>IFERROR(VLOOKUP(DESPESAS[[#This Row],[Plano de Contas]],BASE!$B$3:$H$119,5,FALSE),"")</f>
        <v>DH</v>
      </c>
      <c r="L3233" s="77">
        <f>IFERROR(VLOOKUP(DESPESAS[[#This Row],[Plano de Contas]],BASE!$B$3:$H$119,6,FALSE),"")</f>
        <v>0</v>
      </c>
      <c r="M3233" s="77" t="str">
        <f>VLOOKUP(DESPESAS[[#This Row],[Plano de Contas]],BASE!$B$3:$H$119,7,FALSE)</f>
        <v>RAFAEL</v>
      </c>
    </row>
    <row r="3234" spans="1:13" x14ac:dyDescent="0.25">
      <c r="A3234" s="74">
        <v>200400</v>
      </c>
      <c r="B3234" s="75" t="s">
        <v>279</v>
      </c>
      <c r="C3234" s="75" t="s">
        <v>771</v>
      </c>
      <c r="D3234" s="76">
        <v>46112</v>
      </c>
      <c r="E3234" s="75" t="s">
        <v>768</v>
      </c>
      <c r="F3234" s="74">
        <v>1065.52</v>
      </c>
      <c r="G3234" s="75" t="s">
        <v>770</v>
      </c>
      <c r="H3234" s="77" t="str">
        <f>VLOOKUP(DESPESAS[[#This Row],[Plano de Contas]],BASE!$B$3:$D$119,3,FALSE)</f>
        <v>INSS CIF</v>
      </c>
      <c r="I3234" s="77" t="str">
        <f>IFERROR(VLOOKUP(DESPESAS[[#This Row],[Fornecedor]],Tabela2[],2,FALSE),"")</f>
        <v/>
      </c>
      <c r="J3234" s="77" t="str">
        <f>IFERROR(VLOOKUP(DESPESAS[[#This Row],[Plano de Contas]],BASE!$B$3:$F$119,4,FALSE),"")</f>
        <v>3 - CUSTOS INDIRETOS</v>
      </c>
      <c r="K3234" s="77" t="str">
        <f>IFERROR(VLOOKUP(DESPESAS[[#This Row],[Plano de Contas]],BASE!$B$3:$H$119,5,FALSE),"")</f>
        <v>DH</v>
      </c>
      <c r="L3234" s="77" t="str">
        <f>IFERROR(VLOOKUP(DESPESAS[[#This Row],[Plano de Contas]],BASE!$B$3:$H$119,6,FALSE),"")</f>
        <v>CUSTO MÃO DE OBRA DIRETA</v>
      </c>
      <c r="M3234" s="77" t="str">
        <f>VLOOKUP(DESPESAS[[#This Row],[Plano de Contas]],BASE!$B$3:$H$119,7,FALSE)</f>
        <v>RAFAEL</v>
      </c>
    </row>
    <row r="3235" spans="1:13" x14ac:dyDescent="0.25">
      <c r="A3235" s="74">
        <v>200401</v>
      </c>
      <c r="B3235" s="75" t="s">
        <v>279</v>
      </c>
      <c r="C3235" s="75" t="s">
        <v>769</v>
      </c>
      <c r="D3235" s="76">
        <v>46112</v>
      </c>
      <c r="E3235" s="75" t="s">
        <v>768</v>
      </c>
      <c r="F3235" s="74">
        <v>13555.57</v>
      </c>
      <c r="G3235" s="75" t="s">
        <v>767</v>
      </c>
      <c r="H3235" s="77" t="str">
        <f>VLOOKUP(DESPESAS[[#This Row],[Plano de Contas]],BASE!$B$3:$D$119,3,FALSE)</f>
        <v>INSS MOD</v>
      </c>
      <c r="I3235" s="77" t="str">
        <f>IFERROR(VLOOKUP(DESPESAS[[#This Row],[Fornecedor]],Tabela2[],2,FALSE),"")</f>
        <v/>
      </c>
      <c r="J3235" s="77" t="str">
        <f>IFERROR(VLOOKUP(DESPESAS[[#This Row],[Plano de Contas]],BASE!$B$3:$F$119,4,FALSE),"")</f>
        <v>2 - CUSTOS DIRETOS</v>
      </c>
      <c r="K3235" s="77" t="str">
        <f>IFERROR(VLOOKUP(DESPESAS[[#This Row],[Plano de Contas]],BASE!$B$3:$H$119,5,FALSE),"")</f>
        <v>DH</v>
      </c>
      <c r="L3235" s="77" t="str">
        <f>IFERROR(VLOOKUP(DESPESAS[[#This Row],[Plano de Contas]],BASE!$B$3:$H$119,6,FALSE),"")</f>
        <v>CUSTO MÃO DE OBRA DIRETA</v>
      </c>
      <c r="M3235" s="77" t="str">
        <f>VLOOKUP(DESPESAS[[#This Row],[Plano de Contas]],BASE!$B$3:$H$119,7,FALSE)</f>
        <v>RAFAEL</v>
      </c>
    </row>
    <row r="3236" spans="1:13" x14ac:dyDescent="0.25">
      <c r="A3236" s="74">
        <v>200402</v>
      </c>
      <c r="B3236" s="75" t="s">
        <v>221</v>
      </c>
      <c r="C3236" s="75" t="s">
        <v>776</v>
      </c>
      <c r="D3236" s="76">
        <v>46120</v>
      </c>
      <c r="E3236" s="75" t="s">
        <v>338</v>
      </c>
      <c r="F3236" s="74">
        <v>374</v>
      </c>
      <c r="G3236" s="75" t="s">
        <v>337</v>
      </c>
      <c r="H3236" s="77" t="str">
        <f>VLOOKUP(DESPESAS[[#This Row],[Plano de Contas]],BASE!$B$3:$D$119,3,FALSE)</f>
        <v>Vigilancia e Seguranca</v>
      </c>
      <c r="I3236" s="77" t="str">
        <f>IFERROR(VLOOKUP(DESPESAS[[#This Row],[Fornecedor]],Tabela2[],2,FALSE),"")</f>
        <v/>
      </c>
      <c r="J3236" s="77" t="str">
        <f>IFERROR(VLOOKUP(DESPESAS[[#This Row],[Plano de Contas]],BASE!$B$3:$F$119,4,FALSE),"")</f>
        <v>7 - SERVIÇOS DE TERCEIROS</v>
      </c>
      <c r="K3236" s="77" t="str">
        <f>IFERROR(VLOOKUP(DESPESAS[[#This Row],[Plano de Contas]],BASE!$B$3:$H$119,5,FALSE),"")</f>
        <v>FINANCEIRO</v>
      </c>
      <c r="L3236" s="77">
        <f>IFERROR(VLOOKUP(DESPESAS[[#This Row],[Plano de Contas]],BASE!$B$3:$H$119,6,FALSE),"")</f>
        <v>0</v>
      </c>
      <c r="M3236" s="77" t="str">
        <f>VLOOKUP(DESPESAS[[#This Row],[Plano de Contas]],BASE!$B$3:$H$119,7,FALSE)</f>
        <v>LETÍCIA</v>
      </c>
    </row>
    <row r="3237" spans="1:13" x14ac:dyDescent="0.25">
      <c r="A3237" s="74">
        <v>200403</v>
      </c>
      <c r="B3237" s="75" t="s">
        <v>232</v>
      </c>
      <c r="C3237" s="75" t="s">
        <v>775</v>
      </c>
      <c r="D3237" s="76">
        <v>46120</v>
      </c>
      <c r="E3237" s="75" t="s">
        <v>774</v>
      </c>
      <c r="F3237" s="74">
        <v>3364.2</v>
      </c>
      <c r="G3237" s="75" t="s">
        <v>259</v>
      </c>
      <c r="H3237" s="77" t="str">
        <f>VLOOKUP(DESPESAS[[#This Row],[Plano de Contas]],BASE!$B$3:$D$119,3,FALSE)</f>
        <v>Manutenção Predial CIF</v>
      </c>
      <c r="I3237" s="77" t="str">
        <f>IFERROR(VLOOKUP(DESPESAS[[#This Row],[Fornecedor]],Tabela2[],2,FALSE),"")</f>
        <v/>
      </c>
      <c r="J3237" s="77" t="str">
        <f>IFERROR(VLOOKUP(DESPESAS[[#This Row],[Plano de Contas]],BASE!$B$3:$F$119,4,FALSE),"")</f>
        <v>3 - CUSTOS INDIRETOS</v>
      </c>
      <c r="K3237" s="77" t="str">
        <f>IFERROR(VLOOKUP(DESPESAS[[#This Row],[Plano de Contas]],BASE!$B$3:$H$119,5,FALSE),"")</f>
        <v>MANUTENÇÃO / TI</v>
      </c>
      <c r="L3237" s="77">
        <f>IFERROR(VLOOKUP(DESPESAS[[#This Row],[Plano de Contas]],BASE!$B$3:$H$119,6,FALSE),"")</f>
        <v>0</v>
      </c>
      <c r="M3237" s="77" t="str">
        <f>VLOOKUP(DESPESAS[[#This Row],[Plano de Contas]],BASE!$B$3:$H$119,7,FALSE)</f>
        <v>FÁBIO</v>
      </c>
    </row>
    <row r="3238" spans="1:13" x14ac:dyDescent="0.25">
      <c r="A3238" s="74">
        <v>200404</v>
      </c>
      <c r="B3238" s="75" t="s">
        <v>232</v>
      </c>
      <c r="C3238" s="75" t="s">
        <v>773</v>
      </c>
      <c r="D3238" s="76">
        <v>46112</v>
      </c>
      <c r="E3238" s="75" t="s">
        <v>768</v>
      </c>
      <c r="F3238" s="74">
        <v>12107.88</v>
      </c>
      <c r="G3238" s="75" t="s">
        <v>772</v>
      </c>
      <c r="H3238" s="77" t="str">
        <f>VLOOKUP(DESPESAS[[#This Row],[Plano de Contas]],BASE!$B$3:$D$119,3,FALSE)</f>
        <v>INSS (Adm)</v>
      </c>
      <c r="I3238" s="77" t="str">
        <f>IFERROR(VLOOKUP(DESPESAS[[#This Row],[Fornecedor]],Tabela2[],2,FALSE),"")</f>
        <v/>
      </c>
      <c r="J3238" s="77" t="str">
        <f>IFERROR(VLOOKUP(DESPESAS[[#This Row],[Plano de Contas]],BASE!$B$3:$F$119,4,FALSE),"")</f>
        <v>4 - GASTOS COM PESSOAL</v>
      </c>
      <c r="K3238" s="77" t="str">
        <f>IFERROR(VLOOKUP(DESPESAS[[#This Row],[Plano de Contas]],BASE!$B$3:$H$119,5,FALSE),"")</f>
        <v>DH</v>
      </c>
      <c r="L3238" s="77">
        <f>IFERROR(VLOOKUP(DESPESAS[[#This Row],[Plano de Contas]],BASE!$B$3:$H$119,6,FALSE),"")</f>
        <v>0</v>
      </c>
      <c r="M3238" s="77" t="str">
        <f>VLOOKUP(DESPESAS[[#This Row],[Plano de Contas]],BASE!$B$3:$H$119,7,FALSE)</f>
        <v>RAFAEL</v>
      </c>
    </row>
    <row r="3239" spans="1:13" x14ac:dyDescent="0.25">
      <c r="A3239" s="74">
        <v>200405</v>
      </c>
      <c r="B3239" s="75" t="s">
        <v>232</v>
      </c>
      <c r="C3239" s="75" t="s">
        <v>771</v>
      </c>
      <c r="D3239" s="76">
        <v>46112</v>
      </c>
      <c r="E3239" s="75" t="s">
        <v>768</v>
      </c>
      <c r="F3239" s="74">
        <v>6269.29</v>
      </c>
      <c r="G3239" s="75" t="s">
        <v>770</v>
      </c>
      <c r="H3239" s="77" t="str">
        <f>VLOOKUP(DESPESAS[[#This Row],[Plano de Contas]],BASE!$B$3:$D$119,3,FALSE)</f>
        <v>INSS CIF</v>
      </c>
      <c r="I3239" s="77" t="str">
        <f>IFERROR(VLOOKUP(DESPESAS[[#This Row],[Fornecedor]],Tabela2[],2,FALSE),"")</f>
        <v/>
      </c>
      <c r="J3239" s="77" t="str">
        <f>IFERROR(VLOOKUP(DESPESAS[[#This Row],[Plano de Contas]],BASE!$B$3:$F$119,4,FALSE),"")</f>
        <v>3 - CUSTOS INDIRETOS</v>
      </c>
      <c r="K3239" s="77" t="str">
        <f>IFERROR(VLOOKUP(DESPESAS[[#This Row],[Plano de Contas]],BASE!$B$3:$H$119,5,FALSE),"")</f>
        <v>DH</v>
      </c>
      <c r="L3239" s="77" t="str">
        <f>IFERROR(VLOOKUP(DESPESAS[[#This Row],[Plano de Contas]],BASE!$B$3:$H$119,6,FALSE),"")</f>
        <v>CUSTO MÃO DE OBRA DIRETA</v>
      </c>
      <c r="M3239" s="77" t="str">
        <f>VLOOKUP(DESPESAS[[#This Row],[Plano de Contas]],BASE!$B$3:$H$119,7,FALSE)</f>
        <v>RAFAEL</v>
      </c>
    </row>
    <row r="3240" spans="1:13" x14ac:dyDescent="0.25">
      <c r="A3240" s="74">
        <v>200406</v>
      </c>
      <c r="B3240" s="75" t="s">
        <v>232</v>
      </c>
      <c r="C3240" s="75" t="s">
        <v>769</v>
      </c>
      <c r="D3240" s="76">
        <v>46112</v>
      </c>
      <c r="E3240" s="75" t="s">
        <v>768</v>
      </c>
      <c r="F3240" s="74">
        <v>28174.66</v>
      </c>
      <c r="G3240" s="75" t="s">
        <v>767</v>
      </c>
      <c r="H3240" s="77" t="str">
        <f>VLOOKUP(DESPESAS[[#This Row],[Plano de Contas]],BASE!$B$3:$D$119,3,FALSE)</f>
        <v>INSS MOD</v>
      </c>
      <c r="I3240" s="77" t="str">
        <f>IFERROR(VLOOKUP(DESPESAS[[#This Row],[Fornecedor]],Tabela2[],2,FALSE),"")</f>
        <v/>
      </c>
      <c r="J3240" s="77" t="str">
        <f>IFERROR(VLOOKUP(DESPESAS[[#This Row],[Plano de Contas]],BASE!$B$3:$F$119,4,FALSE),"")</f>
        <v>2 - CUSTOS DIRETOS</v>
      </c>
      <c r="K3240" s="77" t="str">
        <f>IFERROR(VLOOKUP(DESPESAS[[#This Row],[Plano de Contas]],BASE!$B$3:$H$119,5,FALSE),"")</f>
        <v>DH</v>
      </c>
      <c r="L3240" s="77" t="str">
        <f>IFERROR(VLOOKUP(DESPESAS[[#This Row],[Plano de Contas]],BASE!$B$3:$H$119,6,FALSE),"")</f>
        <v>CUSTO MÃO DE OBRA DIRETA</v>
      </c>
      <c r="M3240" s="77" t="str">
        <f>VLOOKUP(DESPESAS[[#This Row],[Plano de Contas]],BASE!$B$3:$H$119,7,FALSE)</f>
        <v>RAFAEL</v>
      </c>
    </row>
    <row r="3241" spans="1:13" x14ac:dyDescent="0.25">
      <c r="A3241" s="74">
        <v>200408</v>
      </c>
      <c r="B3241" s="75" t="s">
        <v>281</v>
      </c>
      <c r="C3241" s="75" t="s">
        <v>278</v>
      </c>
      <c r="D3241" s="76">
        <v>46120</v>
      </c>
      <c r="E3241" s="75" t="s">
        <v>766</v>
      </c>
      <c r="F3241" s="74">
        <v>757.66</v>
      </c>
      <c r="G3241" s="75" t="s">
        <v>276</v>
      </c>
      <c r="H3241" s="77" t="str">
        <f>VLOOKUP(DESPESAS[[#This Row],[Plano de Contas]],BASE!$B$3:$D$119,3,FALSE)</f>
        <v>Férias MOD</v>
      </c>
      <c r="I3241" s="77" t="str">
        <f>IFERROR(VLOOKUP(DESPESAS[[#This Row],[Fornecedor]],Tabela2[],2,FALSE),"")</f>
        <v/>
      </c>
      <c r="J3241" s="77" t="str">
        <f>IFERROR(VLOOKUP(DESPESAS[[#This Row],[Plano de Contas]],BASE!$B$3:$F$119,4,FALSE),"")</f>
        <v>2 - CUSTOS DIRETOS</v>
      </c>
      <c r="K3241" s="77" t="str">
        <f>IFERROR(VLOOKUP(DESPESAS[[#This Row],[Plano de Contas]],BASE!$B$3:$H$119,5,FALSE),"")</f>
        <v>DH</v>
      </c>
      <c r="L3241" s="77" t="str">
        <f>IFERROR(VLOOKUP(DESPESAS[[#This Row],[Plano de Contas]],BASE!$B$3:$H$119,6,FALSE),"")</f>
        <v>CUSTO MÃO DE OBRA DIRETA</v>
      </c>
      <c r="M3241" s="77" t="str">
        <f>VLOOKUP(DESPESAS[[#This Row],[Plano de Contas]],BASE!$B$3:$H$119,7,FALSE)</f>
        <v>RAFAEL</v>
      </c>
    </row>
    <row r="3242" spans="1:13" x14ac:dyDescent="0.25">
      <c r="A3242" s="74">
        <v>200409</v>
      </c>
      <c r="B3242" s="75" t="s">
        <v>279</v>
      </c>
      <c r="C3242" s="75" t="s">
        <v>763</v>
      </c>
      <c r="D3242" s="76">
        <v>46120</v>
      </c>
      <c r="E3242" s="75" t="s">
        <v>765</v>
      </c>
      <c r="F3242" s="74">
        <v>1789.68</v>
      </c>
      <c r="G3242" s="75" t="s">
        <v>276</v>
      </c>
      <c r="H3242" s="77" t="str">
        <f>VLOOKUP(DESPESAS[[#This Row],[Plano de Contas]],BASE!$B$3:$D$119,3,FALSE)</f>
        <v>Férias MOD</v>
      </c>
      <c r="I3242" s="77" t="str">
        <f>IFERROR(VLOOKUP(DESPESAS[[#This Row],[Fornecedor]],Tabela2[],2,FALSE),"")</f>
        <v/>
      </c>
      <c r="J3242" s="77" t="str">
        <f>IFERROR(VLOOKUP(DESPESAS[[#This Row],[Plano de Contas]],BASE!$B$3:$F$119,4,FALSE),"")</f>
        <v>2 - CUSTOS DIRETOS</v>
      </c>
      <c r="K3242" s="77" t="str">
        <f>IFERROR(VLOOKUP(DESPESAS[[#This Row],[Plano de Contas]],BASE!$B$3:$H$119,5,FALSE),"")</f>
        <v>DH</v>
      </c>
      <c r="L3242" s="77" t="str">
        <f>IFERROR(VLOOKUP(DESPESAS[[#This Row],[Plano de Contas]],BASE!$B$3:$H$119,6,FALSE),"")</f>
        <v>CUSTO MÃO DE OBRA DIRETA</v>
      </c>
      <c r="M3242" s="77" t="str">
        <f>VLOOKUP(DESPESAS[[#This Row],[Plano de Contas]],BASE!$B$3:$H$119,7,FALSE)</f>
        <v>RAFAEL</v>
      </c>
    </row>
    <row r="3243" spans="1:13" x14ac:dyDescent="0.25">
      <c r="A3243" s="74">
        <v>200410</v>
      </c>
      <c r="B3243" s="75" t="s">
        <v>279</v>
      </c>
      <c r="C3243" s="75" t="s">
        <v>763</v>
      </c>
      <c r="D3243" s="76">
        <v>46120</v>
      </c>
      <c r="E3243" s="75" t="s">
        <v>764</v>
      </c>
      <c r="F3243" s="74">
        <v>1896.83</v>
      </c>
      <c r="G3243" s="75" t="s">
        <v>276</v>
      </c>
      <c r="H3243" s="77" t="str">
        <f>VLOOKUP(DESPESAS[[#This Row],[Plano de Contas]],BASE!$B$3:$D$119,3,FALSE)</f>
        <v>Férias MOD</v>
      </c>
      <c r="I3243" s="77" t="str">
        <f>IFERROR(VLOOKUP(DESPESAS[[#This Row],[Fornecedor]],Tabela2[],2,FALSE),"")</f>
        <v/>
      </c>
      <c r="J3243" s="77" t="str">
        <f>IFERROR(VLOOKUP(DESPESAS[[#This Row],[Plano de Contas]],BASE!$B$3:$F$119,4,FALSE),"")</f>
        <v>2 - CUSTOS DIRETOS</v>
      </c>
      <c r="K3243" s="77" t="str">
        <f>IFERROR(VLOOKUP(DESPESAS[[#This Row],[Plano de Contas]],BASE!$B$3:$H$119,5,FALSE),"")</f>
        <v>DH</v>
      </c>
      <c r="L3243" s="77" t="str">
        <f>IFERROR(VLOOKUP(DESPESAS[[#This Row],[Plano de Contas]],BASE!$B$3:$H$119,6,FALSE),"")</f>
        <v>CUSTO MÃO DE OBRA DIRETA</v>
      </c>
      <c r="M3243" s="77" t="str">
        <f>VLOOKUP(DESPESAS[[#This Row],[Plano de Contas]],BASE!$B$3:$H$119,7,FALSE)</f>
        <v>RAFAEL</v>
      </c>
    </row>
    <row r="3244" spans="1:13" x14ac:dyDescent="0.25">
      <c r="A3244" s="74">
        <v>200411</v>
      </c>
      <c r="B3244" s="75" t="s">
        <v>279</v>
      </c>
      <c r="C3244" s="75" t="s">
        <v>763</v>
      </c>
      <c r="D3244" s="76">
        <v>46120</v>
      </c>
      <c r="E3244" s="75" t="s">
        <v>762</v>
      </c>
      <c r="F3244" s="74">
        <v>1352.45</v>
      </c>
      <c r="G3244" s="75" t="s">
        <v>276</v>
      </c>
      <c r="H3244" s="77" t="str">
        <f>VLOOKUP(DESPESAS[[#This Row],[Plano de Contas]],BASE!$B$3:$D$119,3,FALSE)</f>
        <v>Férias MOD</v>
      </c>
      <c r="I3244" s="77" t="str">
        <f>IFERROR(VLOOKUP(DESPESAS[[#This Row],[Fornecedor]],Tabela2[],2,FALSE),"")</f>
        <v/>
      </c>
      <c r="J3244" s="77" t="str">
        <f>IFERROR(VLOOKUP(DESPESAS[[#This Row],[Plano de Contas]],BASE!$B$3:$F$119,4,FALSE),"")</f>
        <v>2 - CUSTOS DIRETOS</v>
      </c>
      <c r="K3244" s="77" t="str">
        <f>IFERROR(VLOOKUP(DESPESAS[[#This Row],[Plano de Contas]],BASE!$B$3:$H$119,5,FALSE),"")</f>
        <v>DH</v>
      </c>
      <c r="L3244" s="77" t="str">
        <f>IFERROR(VLOOKUP(DESPESAS[[#This Row],[Plano de Contas]],BASE!$B$3:$H$119,6,FALSE),"")</f>
        <v>CUSTO MÃO DE OBRA DIRETA</v>
      </c>
      <c r="M3244" s="77" t="str">
        <f>VLOOKUP(DESPESAS[[#This Row],[Plano de Contas]],BASE!$B$3:$H$119,7,FALSE)</f>
        <v>RAFAEL</v>
      </c>
    </row>
    <row r="3245" spans="1:13" x14ac:dyDescent="0.25">
      <c r="A3245" s="74">
        <v>200412</v>
      </c>
      <c r="B3245" s="75" t="s">
        <v>232</v>
      </c>
      <c r="C3245" s="75" t="s">
        <v>761</v>
      </c>
      <c r="D3245" s="76">
        <v>46120</v>
      </c>
      <c r="E3245" s="75" t="s">
        <v>566</v>
      </c>
      <c r="F3245" s="74">
        <v>2830.41</v>
      </c>
      <c r="G3245" s="75" t="s">
        <v>561</v>
      </c>
      <c r="H3245" s="77" t="str">
        <f>VLOOKUP(DESPESAS[[#This Row],[Plano de Contas]],BASE!$B$3:$D$119,3,FALSE)</f>
        <v>Sistemas de Informação</v>
      </c>
      <c r="I3245" s="77" t="str">
        <f>IFERROR(VLOOKUP(DESPESAS[[#This Row],[Fornecedor]],Tabela2[],2,FALSE),"")</f>
        <v>TOPSOLID</v>
      </c>
      <c r="J3245" s="77" t="str">
        <f>IFERROR(VLOOKUP(DESPESAS[[#This Row],[Plano de Contas]],BASE!$B$3:$F$119,4,FALSE),"")</f>
        <v>7 - SERVIÇOS DE TERCEIROS</v>
      </c>
      <c r="K3245" s="77" t="str">
        <f>IFERROR(VLOOKUP(DESPESAS[[#This Row],[Plano de Contas]],BASE!$B$3:$H$119,5,FALSE),"")</f>
        <v>MANUTENÇÃO / TI</v>
      </c>
      <c r="L3245" s="77">
        <f>IFERROR(VLOOKUP(DESPESAS[[#This Row],[Plano de Contas]],BASE!$B$3:$H$119,6,FALSE),"")</f>
        <v>0</v>
      </c>
      <c r="M3245" s="77" t="str">
        <f>VLOOKUP(DESPESAS[[#This Row],[Plano de Contas]],BASE!$B$3:$H$119,7,FALSE)</f>
        <v>LETÍCIA</v>
      </c>
    </row>
    <row r="3246" spans="1:13" x14ac:dyDescent="0.25">
      <c r="A3246" s="74">
        <v>200413</v>
      </c>
      <c r="B3246" s="75" t="s">
        <v>232</v>
      </c>
      <c r="C3246" s="75" t="s">
        <v>760</v>
      </c>
      <c r="D3246" s="76">
        <v>46120</v>
      </c>
      <c r="E3246" s="75" t="s">
        <v>759</v>
      </c>
      <c r="F3246" s="74">
        <v>1400</v>
      </c>
      <c r="G3246" s="75" t="s">
        <v>218</v>
      </c>
      <c r="H3246" s="77" t="str">
        <f>VLOOKUP(DESPESAS[[#This Row],[Plano de Contas]],BASE!$B$3:$D$119,3,FALSE)</f>
        <v>Manutenção de Equipamentos (Prod)</v>
      </c>
      <c r="I3246" s="77" t="str">
        <f>IFERROR(VLOOKUP(DESPESAS[[#This Row],[Fornecedor]],Tabela2[],2,FALSE),"")</f>
        <v/>
      </c>
      <c r="J3246" s="77" t="str">
        <f>IFERROR(VLOOKUP(DESPESAS[[#This Row],[Plano de Contas]],BASE!$B$3:$F$119,4,FALSE),"")</f>
        <v>3 - CUSTOS INDIRETOS</v>
      </c>
      <c r="K3246" s="77" t="str">
        <f>IFERROR(VLOOKUP(DESPESAS[[#This Row],[Plano de Contas]],BASE!$B$3:$H$119,5,FALSE),"")</f>
        <v>MANUTENÇÃO / TI</v>
      </c>
      <c r="L3246" s="77">
        <f>IFERROR(VLOOKUP(DESPESAS[[#This Row],[Plano de Contas]],BASE!$B$3:$H$119,6,FALSE),"")</f>
        <v>0</v>
      </c>
      <c r="M3246" s="77" t="str">
        <f>VLOOKUP(DESPESAS[[#This Row],[Plano de Contas]],BASE!$B$3:$H$119,7,FALSE)</f>
        <v>RAFAEL</v>
      </c>
    </row>
    <row r="3247" spans="1:13" x14ac:dyDescent="0.25">
      <c r="A3247" s="74">
        <v>200415</v>
      </c>
      <c r="B3247" s="75" t="s">
        <v>686</v>
      </c>
      <c r="C3247" s="75" t="s">
        <v>758</v>
      </c>
      <c r="D3247" s="76">
        <v>46120</v>
      </c>
      <c r="E3247" s="75" t="s">
        <v>320</v>
      </c>
      <c r="F3247" s="74">
        <v>277</v>
      </c>
      <c r="G3247" s="75" t="s">
        <v>222</v>
      </c>
      <c r="H3247" s="77" t="str">
        <f>VLOOKUP(DESPESAS[[#This Row],[Plano de Contas]],BASE!$B$3:$D$119,3,FALSE)</f>
        <v>Alimentação</v>
      </c>
      <c r="I3247" s="77" t="str">
        <f>IFERROR(VLOOKUP(DESPESAS[[#This Row],[Fornecedor]],Tabela2[],2,FALSE),"")</f>
        <v/>
      </c>
      <c r="J3247" s="77" t="str">
        <f>IFERROR(VLOOKUP(DESPESAS[[#This Row],[Plano de Contas]],BASE!$B$3:$F$119,4,FALSE),"")</f>
        <v>5 - DESPESAS ADMINISTRATIVAS</v>
      </c>
      <c r="K3247" s="77" t="str">
        <f>IFERROR(VLOOKUP(DESPESAS[[#This Row],[Plano de Contas]],BASE!$B$3:$H$119,5,FALSE),"")</f>
        <v>FINANCEIRO</v>
      </c>
      <c r="L3247" s="77">
        <f>IFERROR(VLOOKUP(DESPESAS[[#This Row],[Plano de Contas]],BASE!$B$3:$H$119,6,FALSE),"")</f>
        <v>0</v>
      </c>
      <c r="M3247" s="77" t="str">
        <f>VLOOKUP(DESPESAS[[#This Row],[Plano de Contas]],BASE!$B$3:$H$119,7,FALSE)</f>
        <v>MYLENA</v>
      </c>
    </row>
    <row r="3248" spans="1:13" x14ac:dyDescent="0.25">
      <c r="A3248" s="74">
        <v>200417</v>
      </c>
      <c r="B3248" s="75" t="s">
        <v>221</v>
      </c>
      <c r="C3248" s="75" t="s">
        <v>757</v>
      </c>
      <c r="D3248" s="76">
        <v>46120</v>
      </c>
      <c r="E3248" s="75" t="s">
        <v>239</v>
      </c>
      <c r="F3248" s="74">
        <v>142.55000000000001</v>
      </c>
      <c r="G3248" s="75" t="s">
        <v>238</v>
      </c>
      <c r="H3248" s="77" t="str">
        <f>VLOOKUP(DESPESAS[[#This Row],[Plano de Contas]],BASE!$B$3:$D$119,3,FALSE)</f>
        <v>Consultoria Comercial</v>
      </c>
      <c r="I3248" s="77" t="str">
        <f>IFERROR(VLOOKUP(DESPESAS[[#This Row],[Fornecedor]],Tabela2[],2,FALSE),"")</f>
        <v/>
      </c>
      <c r="J3248" s="77" t="str">
        <f>IFERROR(VLOOKUP(DESPESAS[[#This Row],[Plano de Contas]],BASE!$B$3:$F$119,4,FALSE),"")</f>
        <v>6 - DESPESA COM VENDAS</v>
      </c>
      <c r="K3248" s="77" t="str">
        <f>IFERROR(VLOOKUP(DESPESAS[[#This Row],[Plano de Contas]],BASE!$B$3:$H$119,5,FALSE),"")</f>
        <v>COMERCIAL</v>
      </c>
      <c r="L3248" s="77">
        <f>IFERROR(VLOOKUP(DESPESAS[[#This Row],[Plano de Contas]],BASE!$B$3:$H$119,6,FALSE),"")</f>
        <v>0</v>
      </c>
      <c r="M3248" s="77" t="str">
        <f>VLOOKUP(DESPESAS[[#This Row],[Plano de Contas]],BASE!$B$3:$H$119,7,FALSE)</f>
        <v>LETÍCIA</v>
      </c>
    </row>
    <row r="3249" spans="1:13" x14ac:dyDescent="0.25">
      <c r="A3249" s="74">
        <v>200418</v>
      </c>
      <c r="B3249" s="75" t="s">
        <v>232</v>
      </c>
      <c r="C3249" s="75" t="s">
        <v>756</v>
      </c>
      <c r="D3249" s="76">
        <v>46120</v>
      </c>
      <c r="E3249" s="75" t="s">
        <v>755</v>
      </c>
      <c r="F3249" s="74">
        <v>450</v>
      </c>
      <c r="G3249" s="75" t="s">
        <v>561</v>
      </c>
      <c r="H3249" s="77" t="str">
        <f>VLOOKUP(DESPESAS[[#This Row],[Plano de Contas]],BASE!$B$3:$D$119,3,FALSE)</f>
        <v>Sistemas de Informação</v>
      </c>
      <c r="I3249" s="77" t="str">
        <f>IFERROR(VLOOKUP(DESPESAS[[#This Row],[Fornecedor]],Tabela2[],2,FALSE),"")</f>
        <v/>
      </c>
      <c r="J3249" s="77" t="str">
        <f>IFERROR(VLOOKUP(DESPESAS[[#This Row],[Plano de Contas]],BASE!$B$3:$F$119,4,FALSE),"")</f>
        <v>7 - SERVIÇOS DE TERCEIROS</v>
      </c>
      <c r="K3249" s="77" t="str">
        <f>IFERROR(VLOOKUP(DESPESAS[[#This Row],[Plano de Contas]],BASE!$B$3:$H$119,5,FALSE),"")</f>
        <v>MANUTENÇÃO / TI</v>
      </c>
      <c r="L3249" s="77">
        <f>IFERROR(VLOOKUP(DESPESAS[[#This Row],[Plano de Contas]],BASE!$B$3:$H$119,6,FALSE),"")</f>
        <v>0</v>
      </c>
      <c r="M3249" s="77" t="str">
        <f>VLOOKUP(DESPESAS[[#This Row],[Plano de Contas]],BASE!$B$3:$H$119,7,FALSE)</f>
        <v>LETÍCIA</v>
      </c>
    </row>
    <row r="3250" spans="1:13" x14ac:dyDescent="0.25">
      <c r="A3250" s="74">
        <v>200419</v>
      </c>
      <c r="B3250" s="75" t="s">
        <v>221</v>
      </c>
      <c r="C3250" s="75" t="s">
        <v>750</v>
      </c>
      <c r="D3250" s="76">
        <v>46120</v>
      </c>
      <c r="E3250" s="75" t="s">
        <v>754</v>
      </c>
      <c r="F3250" s="74">
        <v>502.71</v>
      </c>
      <c r="G3250" s="75" t="s">
        <v>751</v>
      </c>
      <c r="H3250" s="77" t="str">
        <f>VLOOKUP(DESPESAS[[#This Row],[Plano de Contas]],BASE!$B$3:$D$119,3,FALSE)</f>
        <v>Comissões sobre Vendas Interno</v>
      </c>
      <c r="I3250" s="77" t="str">
        <f>IFERROR(VLOOKUP(DESPESAS[[#This Row],[Fornecedor]],Tabela2[],2,FALSE),"")</f>
        <v/>
      </c>
      <c r="J3250" s="77" t="str">
        <f>IFERROR(VLOOKUP(DESPESAS[[#This Row],[Plano de Contas]],BASE!$B$3:$F$119,4,FALSE),"")</f>
        <v>6 - DESPESA COM VENDAS</v>
      </c>
      <c r="K3250" s="77" t="str">
        <f>IFERROR(VLOOKUP(DESPESAS[[#This Row],[Plano de Contas]],BASE!$B$3:$H$119,5,FALSE),"")</f>
        <v>COMERCIAL</v>
      </c>
      <c r="L3250" s="77">
        <f>IFERROR(VLOOKUP(DESPESAS[[#This Row],[Plano de Contas]],BASE!$B$3:$H$119,6,FALSE),"")</f>
        <v>0</v>
      </c>
      <c r="M3250" s="77" t="str">
        <f>VLOOKUP(DESPESAS[[#This Row],[Plano de Contas]],BASE!$B$3:$H$119,7,FALSE)</f>
        <v>LETÍCIA</v>
      </c>
    </row>
    <row r="3251" spans="1:13" x14ac:dyDescent="0.25">
      <c r="A3251" s="74">
        <v>200420</v>
      </c>
      <c r="B3251" s="75" t="s">
        <v>221</v>
      </c>
      <c r="C3251" s="75" t="s">
        <v>750</v>
      </c>
      <c r="D3251" s="76">
        <v>46120</v>
      </c>
      <c r="E3251" s="75" t="s">
        <v>753</v>
      </c>
      <c r="F3251" s="74">
        <v>283.94</v>
      </c>
      <c r="G3251" s="75" t="s">
        <v>751</v>
      </c>
      <c r="H3251" s="77" t="str">
        <f>VLOOKUP(DESPESAS[[#This Row],[Plano de Contas]],BASE!$B$3:$D$119,3,FALSE)</f>
        <v>Comissões sobre Vendas Interno</v>
      </c>
      <c r="I3251" s="77" t="str">
        <f>IFERROR(VLOOKUP(DESPESAS[[#This Row],[Fornecedor]],Tabela2[],2,FALSE),"")</f>
        <v/>
      </c>
      <c r="J3251" s="77" t="str">
        <f>IFERROR(VLOOKUP(DESPESAS[[#This Row],[Plano de Contas]],BASE!$B$3:$F$119,4,FALSE),"")</f>
        <v>6 - DESPESA COM VENDAS</v>
      </c>
      <c r="K3251" s="77" t="str">
        <f>IFERROR(VLOOKUP(DESPESAS[[#This Row],[Plano de Contas]],BASE!$B$3:$H$119,5,FALSE),"")</f>
        <v>COMERCIAL</v>
      </c>
      <c r="L3251" s="77">
        <f>IFERROR(VLOOKUP(DESPESAS[[#This Row],[Plano de Contas]],BASE!$B$3:$H$119,6,FALSE),"")</f>
        <v>0</v>
      </c>
      <c r="M3251" s="77" t="str">
        <f>VLOOKUP(DESPESAS[[#This Row],[Plano de Contas]],BASE!$B$3:$H$119,7,FALSE)</f>
        <v>LETÍCIA</v>
      </c>
    </row>
    <row r="3252" spans="1:13" x14ac:dyDescent="0.25">
      <c r="A3252" s="74">
        <v>200422</v>
      </c>
      <c r="B3252" s="75" t="s">
        <v>221</v>
      </c>
      <c r="C3252" s="75" t="s">
        <v>750</v>
      </c>
      <c r="D3252" s="76">
        <v>46120</v>
      </c>
      <c r="E3252" s="75" t="s">
        <v>752</v>
      </c>
      <c r="F3252" s="74">
        <v>7761.36</v>
      </c>
      <c r="G3252" s="75" t="s">
        <v>751</v>
      </c>
      <c r="H3252" s="77" t="str">
        <f>VLOOKUP(DESPESAS[[#This Row],[Plano de Contas]],BASE!$B$3:$D$119,3,FALSE)</f>
        <v>Comissões sobre Vendas Interno</v>
      </c>
      <c r="I3252" s="77" t="str">
        <f>IFERROR(VLOOKUP(DESPESAS[[#This Row],[Fornecedor]],Tabela2[],2,FALSE),"")</f>
        <v/>
      </c>
      <c r="J3252" s="77" t="str">
        <f>IFERROR(VLOOKUP(DESPESAS[[#This Row],[Plano de Contas]],BASE!$B$3:$F$119,4,FALSE),"")</f>
        <v>6 - DESPESA COM VENDAS</v>
      </c>
      <c r="K3252" s="77" t="str">
        <f>IFERROR(VLOOKUP(DESPESAS[[#This Row],[Plano de Contas]],BASE!$B$3:$H$119,5,FALSE),"")</f>
        <v>COMERCIAL</v>
      </c>
      <c r="L3252" s="77">
        <f>IFERROR(VLOOKUP(DESPESAS[[#This Row],[Plano de Contas]],BASE!$B$3:$H$119,6,FALSE),"")</f>
        <v>0</v>
      </c>
      <c r="M3252" s="77" t="str">
        <f>VLOOKUP(DESPESAS[[#This Row],[Plano de Contas]],BASE!$B$3:$H$119,7,FALSE)</f>
        <v>LETÍCIA</v>
      </c>
    </row>
    <row r="3253" spans="1:13" x14ac:dyDescent="0.25">
      <c r="A3253" s="74">
        <v>200423</v>
      </c>
      <c r="B3253" s="75" t="s">
        <v>221</v>
      </c>
      <c r="C3253" s="75" t="s">
        <v>750</v>
      </c>
      <c r="D3253" s="76">
        <v>46120</v>
      </c>
      <c r="E3253" s="75" t="s">
        <v>239</v>
      </c>
      <c r="F3253" s="74">
        <v>14429.52</v>
      </c>
      <c r="G3253" s="75" t="s">
        <v>238</v>
      </c>
      <c r="H3253" s="77" t="str">
        <f>VLOOKUP(DESPESAS[[#This Row],[Plano de Contas]],BASE!$B$3:$D$119,3,FALSE)</f>
        <v>Consultoria Comercial</v>
      </c>
      <c r="I3253" s="77" t="str">
        <f>IFERROR(VLOOKUP(DESPESAS[[#This Row],[Fornecedor]],Tabela2[],2,FALSE),"")</f>
        <v/>
      </c>
      <c r="J3253" s="77" t="str">
        <f>IFERROR(VLOOKUP(DESPESAS[[#This Row],[Plano de Contas]],BASE!$B$3:$F$119,4,FALSE),"")</f>
        <v>6 - DESPESA COM VENDAS</v>
      </c>
      <c r="K3253" s="77" t="str">
        <f>IFERROR(VLOOKUP(DESPESAS[[#This Row],[Plano de Contas]],BASE!$B$3:$H$119,5,FALSE),"")</f>
        <v>COMERCIAL</v>
      </c>
      <c r="L3253" s="77">
        <f>IFERROR(VLOOKUP(DESPESAS[[#This Row],[Plano de Contas]],BASE!$B$3:$H$119,6,FALSE),"")</f>
        <v>0</v>
      </c>
      <c r="M3253" s="77" t="str">
        <f>VLOOKUP(DESPESAS[[#This Row],[Plano de Contas]],BASE!$B$3:$H$119,7,FALSE)</f>
        <v>LETÍCIA</v>
      </c>
    </row>
    <row r="3254" spans="1:13" x14ac:dyDescent="0.25">
      <c r="A3254" s="74">
        <v>200424</v>
      </c>
      <c r="B3254" s="75" t="s">
        <v>221</v>
      </c>
      <c r="C3254" s="75" t="s">
        <v>749</v>
      </c>
      <c r="D3254" s="76">
        <v>46120</v>
      </c>
      <c r="E3254" s="75" t="s">
        <v>748</v>
      </c>
      <c r="F3254" s="74">
        <v>480</v>
      </c>
      <c r="G3254" s="75" t="s">
        <v>747</v>
      </c>
      <c r="H3254" s="77" t="str">
        <f>VLOOKUP(DESPESAS[[#This Row],[Plano de Contas]],BASE!$B$3:$D$119,3,FALSE)</f>
        <v>Cursos e Treinamentos (Adm)</v>
      </c>
      <c r="I3254" s="77" t="str">
        <f>IFERROR(VLOOKUP(DESPESAS[[#This Row],[Fornecedor]],Tabela2[],2,FALSE),"")</f>
        <v/>
      </c>
      <c r="J3254" s="77" t="str">
        <f>IFERROR(VLOOKUP(DESPESAS[[#This Row],[Plano de Contas]],BASE!$B$3:$F$119,4,FALSE),"")</f>
        <v>4 - GASTOS COM PESSOAL</v>
      </c>
      <c r="K3254" s="77" t="str">
        <f>IFERROR(VLOOKUP(DESPESAS[[#This Row],[Plano de Contas]],BASE!$B$3:$H$119,5,FALSE),"")</f>
        <v>DIRETORIA</v>
      </c>
      <c r="L3254" s="77">
        <f>IFERROR(VLOOKUP(DESPESAS[[#This Row],[Plano de Contas]],BASE!$B$3:$H$119,6,FALSE),"")</f>
        <v>0</v>
      </c>
      <c r="M3254" s="77" t="str">
        <f>VLOOKUP(DESPESAS[[#This Row],[Plano de Contas]],BASE!$B$3:$H$119,7,FALSE)</f>
        <v>FÁBIO</v>
      </c>
    </row>
    <row r="3255" spans="1:13" x14ac:dyDescent="0.25">
      <c r="A3255" s="74">
        <v>200425</v>
      </c>
      <c r="B3255" s="75" t="s">
        <v>232</v>
      </c>
      <c r="C3255" s="75" t="s">
        <v>746</v>
      </c>
      <c r="D3255" s="76">
        <v>46120</v>
      </c>
      <c r="E3255" s="75" t="s">
        <v>745</v>
      </c>
      <c r="F3255" s="74">
        <v>3000</v>
      </c>
      <c r="G3255" s="75" t="s">
        <v>247</v>
      </c>
      <c r="H3255" s="77" t="str">
        <f>VLOOKUP(DESPESAS[[#This Row],[Plano de Contas]],BASE!$B$3:$D$119,3,FALSE)</f>
        <v>Manutenção com veiculos</v>
      </c>
      <c r="I3255" s="77" t="str">
        <f>IFERROR(VLOOKUP(DESPESAS[[#This Row],[Fornecedor]],Tabela2[],2,FALSE),"")</f>
        <v/>
      </c>
      <c r="J3255" s="77" t="str">
        <f>IFERROR(VLOOKUP(DESPESAS[[#This Row],[Plano de Contas]],BASE!$B$3:$F$119,4,FALSE),"")</f>
        <v>6 - DESPESA COM VENDAS</v>
      </c>
      <c r="K3255" s="77" t="str">
        <f>IFERROR(VLOOKUP(DESPESAS[[#This Row],[Plano de Contas]],BASE!$B$3:$H$119,5,FALSE),"")</f>
        <v>LOGÍSTICA</v>
      </c>
      <c r="L3255" s="77">
        <f>IFERROR(VLOOKUP(DESPESAS[[#This Row],[Plano de Contas]],BASE!$B$3:$H$119,6,FALSE),"")</f>
        <v>0</v>
      </c>
      <c r="M3255" s="77" t="str">
        <f>VLOOKUP(DESPESAS[[#This Row],[Plano de Contas]],BASE!$B$3:$H$119,7,FALSE)</f>
        <v>MYLENA</v>
      </c>
    </row>
    <row r="3256" spans="1:13" x14ac:dyDescent="0.25">
      <c r="A3256" s="74">
        <v>200426</v>
      </c>
      <c r="B3256" s="75" t="s">
        <v>232</v>
      </c>
      <c r="C3256" s="75" t="s">
        <v>744</v>
      </c>
      <c r="D3256" s="76">
        <v>46120</v>
      </c>
      <c r="E3256" s="75" t="s">
        <v>391</v>
      </c>
      <c r="F3256" s="74">
        <v>3041.42</v>
      </c>
      <c r="G3256" s="75" t="s">
        <v>241</v>
      </c>
      <c r="H3256" s="77" t="str">
        <f>VLOOKUP(DESPESAS[[#This Row],[Plano de Contas]],BASE!$B$3:$D$119,3,FALSE)</f>
        <v>Combustiveis Frota</v>
      </c>
      <c r="I3256" s="77" t="str">
        <f>IFERROR(VLOOKUP(DESPESAS[[#This Row],[Fornecedor]],Tabela2[],2,FALSE),"")</f>
        <v/>
      </c>
      <c r="J3256" s="77" t="str">
        <f>IFERROR(VLOOKUP(DESPESAS[[#This Row],[Plano de Contas]],BASE!$B$3:$F$119,4,FALSE),"")</f>
        <v>6 - DESPESA COM VENDAS</v>
      </c>
      <c r="K3256" s="77" t="str">
        <f>IFERROR(VLOOKUP(DESPESAS[[#This Row],[Plano de Contas]],BASE!$B$3:$H$119,5,FALSE),"")</f>
        <v>LOGÍSTICA</v>
      </c>
      <c r="L3256" s="77">
        <f>IFERROR(VLOOKUP(DESPESAS[[#This Row],[Plano de Contas]],BASE!$B$3:$H$119,6,FALSE),"")</f>
        <v>0</v>
      </c>
      <c r="M3256" s="77" t="str">
        <f>VLOOKUP(DESPESAS[[#This Row],[Plano de Contas]],BASE!$B$3:$H$119,7,FALSE)</f>
        <v>MYLENA</v>
      </c>
    </row>
    <row r="3257" spans="1:13" x14ac:dyDescent="0.25">
      <c r="A3257" s="74">
        <v>200427</v>
      </c>
      <c r="B3257" s="75" t="s">
        <v>232</v>
      </c>
      <c r="C3257" s="75" t="s">
        <v>743</v>
      </c>
      <c r="D3257" s="76">
        <v>46120</v>
      </c>
      <c r="E3257" s="75" t="s">
        <v>391</v>
      </c>
      <c r="F3257" s="74">
        <v>75.150000000000006</v>
      </c>
      <c r="G3257" s="75" t="s">
        <v>241</v>
      </c>
      <c r="H3257" s="77" t="str">
        <f>VLOOKUP(DESPESAS[[#This Row],[Plano de Contas]],BASE!$B$3:$D$119,3,FALSE)</f>
        <v>Combustiveis Frota</v>
      </c>
      <c r="I3257" s="77" t="str">
        <f>IFERROR(VLOOKUP(DESPESAS[[#This Row],[Fornecedor]],Tabela2[],2,FALSE),"")</f>
        <v/>
      </c>
      <c r="J3257" s="77" t="str">
        <f>IFERROR(VLOOKUP(DESPESAS[[#This Row],[Plano de Contas]],BASE!$B$3:$F$119,4,FALSE),"")</f>
        <v>6 - DESPESA COM VENDAS</v>
      </c>
      <c r="K3257" s="77" t="str">
        <f>IFERROR(VLOOKUP(DESPESAS[[#This Row],[Plano de Contas]],BASE!$B$3:$H$119,5,FALSE),"")</f>
        <v>LOGÍSTICA</v>
      </c>
      <c r="L3257" s="77">
        <f>IFERROR(VLOOKUP(DESPESAS[[#This Row],[Plano de Contas]],BASE!$B$3:$H$119,6,FALSE),"")</f>
        <v>0</v>
      </c>
      <c r="M3257" s="77" t="str">
        <f>VLOOKUP(DESPESAS[[#This Row],[Plano de Contas]],BASE!$B$3:$H$119,7,FALSE)</f>
        <v>MYLENA</v>
      </c>
    </row>
    <row r="3258" spans="1:13" x14ac:dyDescent="0.25">
      <c r="A3258" s="74">
        <v>200428</v>
      </c>
      <c r="B3258" s="75" t="s">
        <v>232</v>
      </c>
      <c r="C3258" s="75" t="s">
        <v>742</v>
      </c>
      <c r="D3258" s="76">
        <v>46120</v>
      </c>
      <c r="E3258" s="75" t="s">
        <v>741</v>
      </c>
      <c r="F3258" s="74">
        <v>1658.58</v>
      </c>
      <c r="G3258" s="75" t="s">
        <v>241</v>
      </c>
      <c r="H3258" s="77" t="str">
        <f>VLOOKUP(DESPESAS[[#This Row],[Plano de Contas]],BASE!$B$3:$D$119,3,FALSE)</f>
        <v>Combustiveis Frota</v>
      </c>
      <c r="I3258" s="77" t="str">
        <f>IFERROR(VLOOKUP(DESPESAS[[#This Row],[Fornecedor]],Tabela2[],2,FALSE),"")</f>
        <v/>
      </c>
      <c r="J3258" s="77" t="str">
        <f>IFERROR(VLOOKUP(DESPESAS[[#This Row],[Plano de Contas]],BASE!$B$3:$F$119,4,FALSE),"")</f>
        <v>6 - DESPESA COM VENDAS</v>
      </c>
      <c r="K3258" s="77" t="str">
        <f>IFERROR(VLOOKUP(DESPESAS[[#This Row],[Plano de Contas]],BASE!$B$3:$H$119,5,FALSE),"")</f>
        <v>LOGÍSTICA</v>
      </c>
      <c r="L3258" s="77">
        <f>IFERROR(VLOOKUP(DESPESAS[[#This Row],[Plano de Contas]],BASE!$B$3:$H$119,6,FALSE),"")</f>
        <v>0</v>
      </c>
      <c r="M3258" s="77" t="str">
        <f>VLOOKUP(DESPESAS[[#This Row],[Plano de Contas]],BASE!$B$3:$H$119,7,FALSE)</f>
        <v>MYLENA</v>
      </c>
    </row>
    <row r="3259" spans="1:13" x14ac:dyDescent="0.25">
      <c r="A3259" s="74">
        <v>200429</v>
      </c>
      <c r="B3259" s="75" t="s">
        <v>232</v>
      </c>
      <c r="C3259" s="75" t="s">
        <v>740</v>
      </c>
      <c r="D3259" s="76">
        <v>46120</v>
      </c>
      <c r="E3259" s="75" t="s">
        <v>739</v>
      </c>
      <c r="F3259" s="74">
        <v>1076.5999999999999</v>
      </c>
      <c r="G3259" s="75" t="s">
        <v>241</v>
      </c>
      <c r="H3259" s="77" t="str">
        <f>VLOOKUP(DESPESAS[[#This Row],[Plano de Contas]],BASE!$B$3:$D$119,3,FALSE)</f>
        <v>Combustiveis Frota</v>
      </c>
      <c r="I3259" s="77" t="str">
        <f>IFERROR(VLOOKUP(DESPESAS[[#This Row],[Fornecedor]],Tabela2[],2,FALSE),"")</f>
        <v/>
      </c>
      <c r="J3259" s="77" t="str">
        <f>IFERROR(VLOOKUP(DESPESAS[[#This Row],[Plano de Contas]],BASE!$B$3:$F$119,4,FALSE),"")</f>
        <v>6 - DESPESA COM VENDAS</v>
      </c>
      <c r="K3259" s="77" t="str">
        <f>IFERROR(VLOOKUP(DESPESAS[[#This Row],[Plano de Contas]],BASE!$B$3:$H$119,5,FALSE),"")</f>
        <v>LOGÍSTICA</v>
      </c>
      <c r="L3259" s="77">
        <f>IFERROR(VLOOKUP(DESPESAS[[#This Row],[Plano de Contas]],BASE!$B$3:$H$119,6,FALSE),"")</f>
        <v>0</v>
      </c>
      <c r="M3259" s="77" t="str">
        <f>VLOOKUP(DESPESAS[[#This Row],[Plano de Contas]],BASE!$B$3:$H$119,7,FALSE)</f>
        <v>MYLENA</v>
      </c>
    </row>
    <row r="3260" spans="1:13" x14ac:dyDescent="0.25">
      <c r="A3260" s="74">
        <v>200430</v>
      </c>
      <c r="B3260" s="75" t="s">
        <v>232</v>
      </c>
      <c r="C3260" s="75" t="s">
        <v>738</v>
      </c>
      <c r="D3260" s="76">
        <v>46121</v>
      </c>
      <c r="E3260" s="75" t="s">
        <v>737</v>
      </c>
      <c r="F3260" s="74">
        <v>1877.5</v>
      </c>
      <c r="G3260" s="75" t="s">
        <v>241</v>
      </c>
      <c r="H3260" s="77" t="str">
        <f>VLOOKUP(DESPESAS[[#This Row],[Plano de Contas]],BASE!$B$3:$D$119,3,FALSE)</f>
        <v>Combustiveis Frota</v>
      </c>
      <c r="I3260" s="77" t="str">
        <f>IFERROR(VLOOKUP(DESPESAS[[#This Row],[Fornecedor]],Tabela2[],2,FALSE),"")</f>
        <v/>
      </c>
      <c r="J3260" s="77" t="str">
        <f>IFERROR(VLOOKUP(DESPESAS[[#This Row],[Plano de Contas]],BASE!$B$3:$F$119,4,FALSE),"")</f>
        <v>6 - DESPESA COM VENDAS</v>
      </c>
      <c r="K3260" s="77" t="str">
        <f>IFERROR(VLOOKUP(DESPESAS[[#This Row],[Plano de Contas]],BASE!$B$3:$H$119,5,FALSE),"")</f>
        <v>LOGÍSTICA</v>
      </c>
      <c r="L3260" s="77">
        <f>IFERROR(VLOOKUP(DESPESAS[[#This Row],[Plano de Contas]],BASE!$B$3:$H$119,6,FALSE),"")</f>
        <v>0</v>
      </c>
      <c r="M3260" s="77" t="str">
        <f>VLOOKUP(DESPESAS[[#This Row],[Plano de Contas]],BASE!$B$3:$H$119,7,FALSE)</f>
        <v>MYLENA</v>
      </c>
    </row>
    <row r="3261" spans="1:13" x14ac:dyDescent="0.25">
      <c r="A3261" s="74">
        <v>200431</v>
      </c>
      <c r="B3261" s="75" t="s">
        <v>232</v>
      </c>
      <c r="C3261" s="75" t="s">
        <v>736</v>
      </c>
      <c r="D3261" s="76">
        <v>46120</v>
      </c>
      <c r="E3261" s="75" t="s">
        <v>389</v>
      </c>
      <c r="F3261" s="74">
        <v>113.7</v>
      </c>
      <c r="G3261" s="75" t="s">
        <v>241</v>
      </c>
      <c r="H3261" s="77" t="str">
        <f>VLOOKUP(DESPESAS[[#This Row],[Plano de Contas]],BASE!$B$3:$D$119,3,FALSE)</f>
        <v>Combustiveis Frota</v>
      </c>
      <c r="I3261" s="77" t="str">
        <f>IFERROR(VLOOKUP(DESPESAS[[#This Row],[Fornecedor]],Tabela2[],2,FALSE),"")</f>
        <v/>
      </c>
      <c r="J3261" s="77" t="str">
        <f>IFERROR(VLOOKUP(DESPESAS[[#This Row],[Plano de Contas]],BASE!$B$3:$F$119,4,FALSE),"")</f>
        <v>6 - DESPESA COM VENDAS</v>
      </c>
      <c r="K3261" s="77" t="str">
        <f>IFERROR(VLOOKUP(DESPESAS[[#This Row],[Plano de Contas]],BASE!$B$3:$H$119,5,FALSE),"")</f>
        <v>LOGÍSTICA</v>
      </c>
      <c r="L3261" s="77">
        <f>IFERROR(VLOOKUP(DESPESAS[[#This Row],[Plano de Contas]],BASE!$B$3:$H$119,6,FALSE),"")</f>
        <v>0</v>
      </c>
      <c r="M3261" s="77" t="str">
        <f>VLOOKUP(DESPESAS[[#This Row],[Plano de Contas]],BASE!$B$3:$H$119,7,FALSE)</f>
        <v>MYLENA</v>
      </c>
    </row>
    <row r="3262" spans="1:13" x14ac:dyDescent="0.25">
      <c r="A3262" s="74">
        <v>200432</v>
      </c>
      <c r="B3262" s="75" t="s">
        <v>232</v>
      </c>
      <c r="C3262" s="75" t="s">
        <v>735</v>
      </c>
      <c r="D3262" s="76">
        <v>46120</v>
      </c>
      <c r="E3262" s="75" t="s">
        <v>734</v>
      </c>
      <c r="F3262" s="74">
        <v>1559.09</v>
      </c>
      <c r="G3262" s="75" t="s">
        <v>241</v>
      </c>
      <c r="H3262" s="77" t="str">
        <f>VLOOKUP(DESPESAS[[#This Row],[Plano de Contas]],BASE!$B$3:$D$119,3,FALSE)</f>
        <v>Combustiveis Frota</v>
      </c>
      <c r="I3262" s="77" t="str">
        <f>IFERROR(VLOOKUP(DESPESAS[[#This Row],[Fornecedor]],Tabela2[],2,FALSE),"")</f>
        <v/>
      </c>
      <c r="J3262" s="77" t="str">
        <f>IFERROR(VLOOKUP(DESPESAS[[#This Row],[Plano de Contas]],BASE!$B$3:$F$119,4,FALSE),"")</f>
        <v>6 - DESPESA COM VENDAS</v>
      </c>
      <c r="K3262" s="77" t="str">
        <f>IFERROR(VLOOKUP(DESPESAS[[#This Row],[Plano de Contas]],BASE!$B$3:$H$119,5,FALSE),"")</f>
        <v>LOGÍSTICA</v>
      </c>
      <c r="L3262" s="77">
        <f>IFERROR(VLOOKUP(DESPESAS[[#This Row],[Plano de Contas]],BASE!$B$3:$H$119,6,FALSE),"")</f>
        <v>0</v>
      </c>
      <c r="M3262" s="77" t="str">
        <f>VLOOKUP(DESPESAS[[#This Row],[Plano de Contas]],BASE!$B$3:$H$119,7,FALSE)</f>
        <v>MYLENA</v>
      </c>
    </row>
    <row r="3263" spans="1:13" x14ac:dyDescent="0.25">
      <c r="A3263" s="74">
        <v>200433</v>
      </c>
      <c r="B3263" s="75" t="s">
        <v>221</v>
      </c>
      <c r="C3263" s="75" t="s">
        <v>733</v>
      </c>
      <c r="D3263" s="76">
        <v>46120</v>
      </c>
      <c r="E3263" s="75" t="s">
        <v>268</v>
      </c>
      <c r="F3263" s="74">
        <v>258.35000000000002</v>
      </c>
      <c r="G3263" s="75" t="s">
        <v>262</v>
      </c>
      <c r="H3263" s="77" t="str">
        <f>VLOOKUP(DESPESAS[[#This Row],[Plano de Contas]],BASE!$B$3:$D$119,3,FALSE)</f>
        <v>Fretes Karams</v>
      </c>
      <c r="I3263" s="77" t="str">
        <f>IFERROR(VLOOKUP(DESPESAS[[#This Row],[Fornecedor]],Tabela2[],2,FALSE),"")</f>
        <v/>
      </c>
      <c r="J3263" s="77" t="str">
        <f>IFERROR(VLOOKUP(DESPESAS[[#This Row],[Plano de Contas]],BASE!$B$3:$F$119,4,FALSE),"")</f>
        <v>6 - DESPESA COM VENDAS</v>
      </c>
      <c r="K3263" s="77" t="str">
        <f>IFERROR(VLOOKUP(DESPESAS[[#This Row],[Plano de Contas]],BASE!$B$3:$H$119,5,FALSE),"")</f>
        <v>LOGÍSTICA</v>
      </c>
      <c r="L3263" s="77">
        <f>IFERROR(VLOOKUP(DESPESAS[[#This Row],[Plano de Contas]],BASE!$B$3:$H$119,6,FALSE),"")</f>
        <v>0</v>
      </c>
      <c r="M3263" s="77" t="str">
        <f>VLOOKUP(DESPESAS[[#This Row],[Plano de Contas]],BASE!$B$3:$H$119,7,FALSE)</f>
        <v>MYLENA</v>
      </c>
    </row>
    <row r="3264" spans="1:13" x14ac:dyDescent="0.25">
      <c r="A3264" s="74">
        <v>200434</v>
      </c>
      <c r="B3264" s="75" t="s">
        <v>221</v>
      </c>
      <c r="C3264" s="75" t="s">
        <v>732</v>
      </c>
      <c r="D3264" s="76">
        <v>46120</v>
      </c>
      <c r="E3264" s="75" t="s">
        <v>242</v>
      </c>
      <c r="F3264" s="74">
        <v>1116.32</v>
      </c>
      <c r="G3264" s="75" t="s">
        <v>241</v>
      </c>
      <c r="H3264" s="77" t="str">
        <f>VLOOKUP(DESPESAS[[#This Row],[Plano de Contas]],BASE!$B$3:$D$119,3,FALSE)</f>
        <v>Combustiveis Frota</v>
      </c>
      <c r="I3264" s="77" t="str">
        <f>IFERROR(VLOOKUP(DESPESAS[[#This Row],[Fornecedor]],Tabela2[],2,FALSE),"")</f>
        <v/>
      </c>
      <c r="J3264" s="77" t="str">
        <f>IFERROR(VLOOKUP(DESPESAS[[#This Row],[Plano de Contas]],BASE!$B$3:$F$119,4,FALSE),"")</f>
        <v>6 - DESPESA COM VENDAS</v>
      </c>
      <c r="K3264" s="77" t="str">
        <f>IFERROR(VLOOKUP(DESPESAS[[#This Row],[Plano de Contas]],BASE!$B$3:$H$119,5,FALSE),"")</f>
        <v>LOGÍSTICA</v>
      </c>
      <c r="L3264" s="77">
        <f>IFERROR(VLOOKUP(DESPESAS[[#This Row],[Plano de Contas]],BASE!$B$3:$H$119,6,FALSE),"")</f>
        <v>0</v>
      </c>
      <c r="M3264" s="77" t="str">
        <f>VLOOKUP(DESPESAS[[#This Row],[Plano de Contas]],BASE!$B$3:$H$119,7,FALSE)</f>
        <v>MYLENA</v>
      </c>
    </row>
    <row r="3265" spans="1:13" x14ac:dyDescent="0.25">
      <c r="A3265" s="74">
        <v>200435</v>
      </c>
      <c r="B3265" s="75" t="s">
        <v>221</v>
      </c>
      <c r="C3265" s="75" t="s">
        <v>731</v>
      </c>
      <c r="D3265" s="76">
        <v>46120</v>
      </c>
      <c r="E3265" s="75" t="s">
        <v>402</v>
      </c>
      <c r="F3265" s="74">
        <v>1660</v>
      </c>
      <c r="G3265" s="75" t="s">
        <v>262</v>
      </c>
      <c r="H3265" s="77" t="str">
        <f>VLOOKUP(DESPESAS[[#This Row],[Plano de Contas]],BASE!$B$3:$D$119,3,FALSE)</f>
        <v>Fretes Karams</v>
      </c>
      <c r="I3265" s="77" t="str">
        <f>IFERROR(VLOOKUP(DESPESAS[[#This Row],[Fornecedor]],Tabela2[],2,FALSE),"")</f>
        <v/>
      </c>
      <c r="J3265" s="77" t="str">
        <f>IFERROR(VLOOKUP(DESPESAS[[#This Row],[Plano de Contas]],BASE!$B$3:$F$119,4,FALSE),"")</f>
        <v>6 - DESPESA COM VENDAS</v>
      </c>
      <c r="K3265" s="77" t="str">
        <f>IFERROR(VLOOKUP(DESPESAS[[#This Row],[Plano de Contas]],BASE!$B$3:$H$119,5,FALSE),"")</f>
        <v>LOGÍSTICA</v>
      </c>
      <c r="L3265" s="77">
        <f>IFERROR(VLOOKUP(DESPESAS[[#This Row],[Plano de Contas]],BASE!$B$3:$H$119,6,FALSE),"")</f>
        <v>0</v>
      </c>
      <c r="M3265" s="77" t="str">
        <f>VLOOKUP(DESPESAS[[#This Row],[Plano de Contas]],BASE!$B$3:$H$119,7,FALSE)</f>
        <v>MYLENA</v>
      </c>
    </row>
    <row r="3266" spans="1:13" x14ac:dyDescent="0.25">
      <c r="A3266" s="74">
        <v>200436</v>
      </c>
      <c r="B3266" s="75" t="s">
        <v>221</v>
      </c>
      <c r="C3266" s="75" t="s">
        <v>730</v>
      </c>
      <c r="D3266" s="76">
        <v>46120</v>
      </c>
      <c r="E3266" s="75" t="s">
        <v>242</v>
      </c>
      <c r="F3266" s="74">
        <v>1152.3399999999999</v>
      </c>
      <c r="G3266" s="75" t="s">
        <v>241</v>
      </c>
      <c r="H3266" s="77" t="str">
        <f>VLOOKUP(DESPESAS[[#This Row],[Plano de Contas]],BASE!$B$3:$D$119,3,FALSE)</f>
        <v>Combustiveis Frota</v>
      </c>
      <c r="I3266" s="77" t="str">
        <f>IFERROR(VLOOKUP(DESPESAS[[#This Row],[Fornecedor]],Tabela2[],2,FALSE),"")</f>
        <v/>
      </c>
      <c r="J3266" s="77" t="str">
        <f>IFERROR(VLOOKUP(DESPESAS[[#This Row],[Plano de Contas]],BASE!$B$3:$F$119,4,FALSE),"")</f>
        <v>6 - DESPESA COM VENDAS</v>
      </c>
      <c r="K3266" s="77" t="str">
        <f>IFERROR(VLOOKUP(DESPESAS[[#This Row],[Plano de Contas]],BASE!$B$3:$H$119,5,FALSE),"")</f>
        <v>LOGÍSTICA</v>
      </c>
      <c r="L3266" s="77">
        <f>IFERROR(VLOOKUP(DESPESAS[[#This Row],[Plano de Contas]],BASE!$B$3:$H$119,6,FALSE),"")</f>
        <v>0</v>
      </c>
      <c r="M3266" s="77" t="str">
        <f>VLOOKUP(DESPESAS[[#This Row],[Plano de Contas]],BASE!$B$3:$H$119,7,FALSE)</f>
        <v>MYLENA</v>
      </c>
    </row>
    <row r="3267" spans="1:13" x14ac:dyDescent="0.25">
      <c r="A3267" s="74">
        <v>200437</v>
      </c>
      <c r="B3267" s="75" t="s">
        <v>232</v>
      </c>
      <c r="C3267" s="75" t="s">
        <v>729</v>
      </c>
      <c r="D3267" s="76">
        <v>46120</v>
      </c>
      <c r="E3267" s="75" t="s">
        <v>230</v>
      </c>
      <c r="F3267" s="74">
        <v>2.37</v>
      </c>
      <c r="G3267" s="75" t="s">
        <v>236</v>
      </c>
      <c r="H3267" s="77" t="str">
        <f>VLOOKUP(DESPESAS[[#This Row],[Plano de Contas]],BASE!$B$3:$D$119,3,FALSE)</f>
        <v>Despesas de Cobranca</v>
      </c>
      <c r="I3267" s="77" t="str">
        <f>IFERROR(VLOOKUP(DESPESAS[[#This Row],[Fornecedor]],Tabela2[],2,FALSE),"")</f>
        <v/>
      </c>
      <c r="J3267" s="77" t="str">
        <f>IFERROR(VLOOKUP(DESPESAS[[#This Row],[Plano de Contas]],BASE!$B$3:$F$119,4,FALSE),"")</f>
        <v>8 - DESPESAS FINANCEIRAS</v>
      </c>
      <c r="K3267" s="77" t="str">
        <f>IFERROR(VLOOKUP(DESPESAS[[#This Row],[Plano de Contas]],BASE!$B$3:$H$119,5,FALSE),"")</f>
        <v>FINANCEIRO</v>
      </c>
      <c r="L3267" s="77">
        <f>IFERROR(VLOOKUP(DESPESAS[[#This Row],[Plano de Contas]],BASE!$B$3:$H$119,6,FALSE),"")</f>
        <v>0</v>
      </c>
      <c r="M3267" s="77" t="str">
        <f>VLOOKUP(DESPESAS[[#This Row],[Plano de Contas]],BASE!$B$3:$H$119,7,FALSE)</f>
        <v>LETÍCIA</v>
      </c>
    </row>
    <row r="3268" spans="1:13" x14ac:dyDescent="0.25">
      <c r="A3268" s="74">
        <v>200438</v>
      </c>
      <c r="B3268" s="75" t="s">
        <v>232</v>
      </c>
      <c r="C3268" s="75" t="s">
        <v>728</v>
      </c>
      <c r="D3268" s="76">
        <v>46121</v>
      </c>
      <c r="E3268" s="75" t="s">
        <v>230</v>
      </c>
      <c r="F3268" s="74">
        <v>1.73</v>
      </c>
      <c r="G3268" s="75" t="s">
        <v>229</v>
      </c>
      <c r="H3268" s="77" t="str">
        <f>VLOOKUP(DESPESAS[[#This Row],[Plano de Contas]],BASE!$B$3:$D$119,3,FALSE)</f>
        <v>Despesas Bancarias</v>
      </c>
      <c r="I3268" s="77" t="str">
        <f>IFERROR(VLOOKUP(DESPESAS[[#This Row],[Fornecedor]],Tabela2[],2,FALSE),"")</f>
        <v/>
      </c>
      <c r="J3268" s="77" t="str">
        <f>IFERROR(VLOOKUP(DESPESAS[[#This Row],[Plano de Contas]],BASE!$B$3:$F$119,4,FALSE),"")</f>
        <v>8 - DESPESAS FINANCEIRAS</v>
      </c>
      <c r="K3268" s="77" t="str">
        <f>IFERROR(VLOOKUP(DESPESAS[[#This Row],[Plano de Contas]],BASE!$B$3:$H$119,5,FALSE),"")</f>
        <v>FINANCEIRO</v>
      </c>
      <c r="L3268" s="77">
        <f>IFERROR(VLOOKUP(DESPESAS[[#This Row],[Plano de Contas]],BASE!$B$3:$H$119,6,FALSE),"")</f>
        <v>0</v>
      </c>
      <c r="M3268" s="77" t="str">
        <f>VLOOKUP(DESPESAS[[#This Row],[Plano de Contas]],BASE!$B$3:$H$119,7,FALSE)</f>
        <v>LETÍCIA</v>
      </c>
    </row>
    <row r="3269" spans="1:13" x14ac:dyDescent="0.25">
      <c r="A3269" s="74">
        <v>200439</v>
      </c>
      <c r="B3269" s="75" t="s">
        <v>232</v>
      </c>
      <c r="C3269" s="75" t="s">
        <v>727</v>
      </c>
      <c r="D3269" s="76">
        <v>46120</v>
      </c>
      <c r="E3269" s="75" t="s">
        <v>230</v>
      </c>
      <c r="F3269" s="74">
        <v>0.95</v>
      </c>
      <c r="G3269" s="75" t="s">
        <v>229</v>
      </c>
      <c r="H3269" s="77" t="str">
        <f>VLOOKUP(DESPESAS[[#This Row],[Plano de Contas]],BASE!$B$3:$D$119,3,FALSE)</f>
        <v>Despesas Bancarias</v>
      </c>
      <c r="I3269" s="77" t="str">
        <f>IFERROR(VLOOKUP(DESPESAS[[#This Row],[Fornecedor]],Tabela2[],2,FALSE),"")</f>
        <v/>
      </c>
      <c r="J3269" s="77" t="str">
        <f>IFERROR(VLOOKUP(DESPESAS[[#This Row],[Plano de Contas]],BASE!$B$3:$F$119,4,FALSE),"")</f>
        <v>8 - DESPESAS FINANCEIRAS</v>
      </c>
      <c r="K3269" s="77" t="str">
        <f>IFERROR(VLOOKUP(DESPESAS[[#This Row],[Plano de Contas]],BASE!$B$3:$H$119,5,FALSE),"")</f>
        <v>FINANCEIRO</v>
      </c>
      <c r="L3269" s="77">
        <f>IFERROR(VLOOKUP(DESPESAS[[#This Row],[Plano de Contas]],BASE!$B$3:$H$119,6,FALSE),"")</f>
        <v>0</v>
      </c>
      <c r="M3269" s="77" t="str">
        <f>VLOOKUP(DESPESAS[[#This Row],[Plano de Contas]],BASE!$B$3:$H$119,7,FALSE)</f>
        <v>LETÍCIA</v>
      </c>
    </row>
    <row r="3270" spans="1:13" x14ac:dyDescent="0.25">
      <c r="A3270" s="74">
        <v>200440</v>
      </c>
      <c r="B3270" s="75" t="s">
        <v>232</v>
      </c>
      <c r="C3270" s="75" t="s">
        <v>726</v>
      </c>
      <c r="D3270" s="76">
        <v>46121</v>
      </c>
      <c r="E3270" s="75" t="s">
        <v>230</v>
      </c>
      <c r="F3270" s="74">
        <v>16.809999999999999</v>
      </c>
      <c r="G3270" s="75" t="s">
        <v>251</v>
      </c>
      <c r="H3270" s="77" t="str">
        <f>VLOOKUP(DESPESAS[[#This Row],[Plano de Contas]],BASE!$B$3:$D$119,3,FALSE)</f>
        <v>Juros Pagos - Antecipação de Crédito</v>
      </c>
      <c r="I3270" s="77" t="str">
        <f>IFERROR(VLOOKUP(DESPESAS[[#This Row],[Fornecedor]],Tabela2[],2,FALSE),"")</f>
        <v/>
      </c>
      <c r="J3270" s="77" t="str">
        <f>IFERROR(VLOOKUP(DESPESAS[[#This Row],[Plano de Contas]],BASE!$B$3:$F$119,4,FALSE),"")</f>
        <v>8 - DESPESAS FINANCEIRAS</v>
      </c>
      <c r="K3270" s="77" t="str">
        <f>IFERROR(VLOOKUP(DESPESAS[[#This Row],[Plano de Contas]],BASE!$B$3:$H$119,5,FALSE),"")</f>
        <v>FINANCEIRO</v>
      </c>
      <c r="L3270" s="77">
        <f>IFERROR(VLOOKUP(DESPESAS[[#This Row],[Plano de Contas]],BASE!$B$3:$H$119,6,FALSE),"")</f>
        <v>0</v>
      </c>
      <c r="M3270" s="77" t="str">
        <f>VLOOKUP(DESPESAS[[#This Row],[Plano de Contas]],BASE!$B$3:$H$119,7,FALSE)</f>
        <v>LETÍCIA</v>
      </c>
    </row>
    <row r="3271" spans="1:13" x14ac:dyDescent="0.25">
      <c r="A3271" s="74">
        <v>200441</v>
      </c>
      <c r="B3271" s="75" t="s">
        <v>279</v>
      </c>
      <c r="C3271" s="75" t="s">
        <v>725</v>
      </c>
      <c r="D3271" s="76">
        <v>46120</v>
      </c>
      <c r="E3271" s="75" t="s">
        <v>230</v>
      </c>
      <c r="F3271" s="74">
        <v>0.79</v>
      </c>
      <c r="G3271" s="75" t="s">
        <v>236</v>
      </c>
      <c r="H3271" s="77" t="str">
        <f>VLOOKUP(DESPESAS[[#This Row],[Plano de Contas]],BASE!$B$3:$D$119,3,FALSE)</f>
        <v>Despesas de Cobranca</v>
      </c>
      <c r="I3271" s="77" t="str">
        <f>IFERROR(VLOOKUP(DESPESAS[[#This Row],[Fornecedor]],Tabela2[],2,FALSE),"")</f>
        <v/>
      </c>
      <c r="J3271" s="77" t="str">
        <f>IFERROR(VLOOKUP(DESPESAS[[#This Row],[Plano de Contas]],BASE!$B$3:$F$119,4,FALSE),"")</f>
        <v>8 - DESPESAS FINANCEIRAS</v>
      </c>
      <c r="K3271" s="77" t="str">
        <f>IFERROR(VLOOKUP(DESPESAS[[#This Row],[Plano de Contas]],BASE!$B$3:$H$119,5,FALSE),"")</f>
        <v>FINANCEIRO</v>
      </c>
      <c r="L3271" s="77">
        <f>IFERROR(VLOOKUP(DESPESAS[[#This Row],[Plano de Contas]],BASE!$B$3:$H$119,6,FALSE),"")</f>
        <v>0</v>
      </c>
      <c r="M3271" s="77" t="str">
        <f>VLOOKUP(DESPESAS[[#This Row],[Plano de Contas]],BASE!$B$3:$H$119,7,FALSE)</f>
        <v>LETÍCIA</v>
      </c>
    </row>
    <row r="3272" spans="1:13" x14ac:dyDescent="0.25">
      <c r="A3272" s="74">
        <v>200442</v>
      </c>
      <c r="B3272" s="75" t="s">
        <v>279</v>
      </c>
      <c r="C3272" s="75" t="s">
        <v>724</v>
      </c>
      <c r="D3272" s="76">
        <v>46120</v>
      </c>
      <c r="E3272" s="75" t="s">
        <v>230</v>
      </c>
      <c r="F3272" s="74">
        <v>0.24</v>
      </c>
      <c r="G3272" s="75" t="s">
        <v>229</v>
      </c>
      <c r="H3272" s="77" t="str">
        <f>VLOOKUP(DESPESAS[[#This Row],[Plano de Contas]],BASE!$B$3:$D$119,3,FALSE)</f>
        <v>Despesas Bancarias</v>
      </c>
      <c r="I3272" s="77" t="str">
        <f>IFERROR(VLOOKUP(DESPESAS[[#This Row],[Fornecedor]],Tabela2[],2,FALSE),"")</f>
        <v/>
      </c>
      <c r="J3272" s="77" t="str">
        <f>IFERROR(VLOOKUP(DESPESAS[[#This Row],[Plano de Contas]],BASE!$B$3:$F$119,4,FALSE),"")</f>
        <v>8 - DESPESAS FINANCEIRAS</v>
      </c>
      <c r="K3272" s="77" t="str">
        <f>IFERROR(VLOOKUP(DESPESAS[[#This Row],[Plano de Contas]],BASE!$B$3:$H$119,5,FALSE),"")</f>
        <v>FINANCEIRO</v>
      </c>
      <c r="L3272" s="77">
        <f>IFERROR(VLOOKUP(DESPESAS[[#This Row],[Plano de Contas]],BASE!$B$3:$H$119,6,FALSE),"")</f>
        <v>0</v>
      </c>
      <c r="M3272" s="77" t="str">
        <f>VLOOKUP(DESPESAS[[#This Row],[Plano de Contas]],BASE!$B$3:$H$119,7,FALSE)</f>
        <v>LETÍCIA</v>
      </c>
    </row>
    <row r="3273" spans="1:13" x14ac:dyDescent="0.25">
      <c r="A3273" s="74">
        <v>200444</v>
      </c>
      <c r="B3273" s="75" t="s">
        <v>221</v>
      </c>
      <c r="C3273" s="75" t="s">
        <v>723</v>
      </c>
      <c r="D3273" s="76">
        <v>46121</v>
      </c>
      <c r="E3273" s="75" t="s">
        <v>287</v>
      </c>
      <c r="F3273" s="74">
        <v>1021</v>
      </c>
      <c r="G3273" s="75" t="s">
        <v>247</v>
      </c>
      <c r="H3273" s="77" t="str">
        <f>VLOOKUP(DESPESAS[[#This Row],[Plano de Contas]],BASE!$B$3:$D$119,3,FALSE)</f>
        <v>Manutenção com veiculos</v>
      </c>
      <c r="I3273" s="77" t="str">
        <f>IFERROR(VLOOKUP(DESPESAS[[#This Row],[Fornecedor]],Tabela2[],2,FALSE),"")</f>
        <v/>
      </c>
      <c r="J3273" s="77" t="str">
        <f>IFERROR(VLOOKUP(DESPESAS[[#This Row],[Plano de Contas]],BASE!$B$3:$F$119,4,FALSE),"")</f>
        <v>6 - DESPESA COM VENDAS</v>
      </c>
      <c r="K3273" s="77" t="str">
        <f>IFERROR(VLOOKUP(DESPESAS[[#This Row],[Plano de Contas]],BASE!$B$3:$H$119,5,FALSE),"")</f>
        <v>LOGÍSTICA</v>
      </c>
      <c r="L3273" s="77">
        <f>IFERROR(VLOOKUP(DESPESAS[[#This Row],[Plano de Contas]],BASE!$B$3:$H$119,6,FALSE),"")</f>
        <v>0</v>
      </c>
      <c r="M3273" s="77" t="str">
        <f>VLOOKUP(DESPESAS[[#This Row],[Plano de Contas]],BASE!$B$3:$H$119,7,FALSE)</f>
        <v>MYLENA</v>
      </c>
    </row>
    <row r="3274" spans="1:13" x14ac:dyDescent="0.25">
      <c r="A3274" s="74">
        <v>200445</v>
      </c>
      <c r="B3274" s="75" t="s">
        <v>221</v>
      </c>
      <c r="C3274" s="75" t="s">
        <v>722</v>
      </c>
      <c r="D3274" s="76">
        <v>46121</v>
      </c>
      <c r="E3274" s="75" t="s">
        <v>707</v>
      </c>
      <c r="F3274" s="74">
        <v>750</v>
      </c>
      <c r="G3274" s="75" t="s">
        <v>259</v>
      </c>
      <c r="H3274" s="77" t="str">
        <f>VLOOKUP(DESPESAS[[#This Row],[Plano de Contas]],BASE!$B$3:$D$119,3,FALSE)</f>
        <v>Manutenção Predial CIF</v>
      </c>
      <c r="I3274" s="77" t="str">
        <f>IFERROR(VLOOKUP(DESPESAS[[#This Row],[Fornecedor]],Tabela2[],2,FALSE),"")</f>
        <v/>
      </c>
      <c r="J3274" s="77" t="str">
        <f>IFERROR(VLOOKUP(DESPESAS[[#This Row],[Plano de Contas]],BASE!$B$3:$F$119,4,FALSE),"")</f>
        <v>3 - CUSTOS INDIRETOS</v>
      </c>
      <c r="K3274" s="77" t="str">
        <f>IFERROR(VLOOKUP(DESPESAS[[#This Row],[Plano de Contas]],BASE!$B$3:$H$119,5,FALSE),"")</f>
        <v>MANUTENÇÃO / TI</v>
      </c>
      <c r="L3274" s="77">
        <f>IFERROR(VLOOKUP(DESPESAS[[#This Row],[Plano de Contas]],BASE!$B$3:$H$119,6,FALSE),"")</f>
        <v>0</v>
      </c>
      <c r="M3274" s="77" t="str">
        <f>VLOOKUP(DESPESAS[[#This Row],[Plano de Contas]],BASE!$B$3:$H$119,7,FALSE)</f>
        <v>FÁBIO</v>
      </c>
    </row>
    <row r="3275" spans="1:13" x14ac:dyDescent="0.25">
      <c r="A3275" s="74">
        <v>200446</v>
      </c>
      <c r="B3275" s="75" t="s">
        <v>221</v>
      </c>
      <c r="C3275" s="75" t="s">
        <v>721</v>
      </c>
      <c r="D3275" s="76">
        <v>46121</v>
      </c>
      <c r="E3275" s="75" t="s">
        <v>720</v>
      </c>
      <c r="F3275" s="74">
        <v>800</v>
      </c>
      <c r="G3275" s="75" t="s">
        <v>719</v>
      </c>
      <c r="H3275" s="77" t="str">
        <f>VLOOKUP(DESPESAS[[#This Row],[Plano de Contas]],BASE!$B$3:$D$119,3,FALSE)</f>
        <v>Outros Serviços de Terceiros</v>
      </c>
      <c r="I3275" s="77" t="str">
        <f>IFERROR(VLOOKUP(DESPESAS[[#This Row],[Fornecedor]],Tabela2[],2,FALSE),"")</f>
        <v/>
      </c>
      <c r="J3275" s="77" t="str">
        <f>IFERROR(VLOOKUP(DESPESAS[[#This Row],[Plano de Contas]],BASE!$B$3:$F$119,4,FALSE),"")</f>
        <v>7 - SERVIÇOS DE TERCEIROS</v>
      </c>
      <c r="K3275" s="77" t="str">
        <f>IFERROR(VLOOKUP(DESPESAS[[#This Row],[Plano de Contas]],BASE!$B$3:$H$119,5,FALSE),"")</f>
        <v>FINANCEIRO</v>
      </c>
      <c r="L3275" s="77">
        <f>IFERROR(VLOOKUP(DESPESAS[[#This Row],[Plano de Contas]],BASE!$B$3:$H$119,6,FALSE),"")</f>
        <v>0</v>
      </c>
      <c r="M3275" s="77" t="str">
        <f>VLOOKUP(DESPESAS[[#This Row],[Plano de Contas]],BASE!$B$3:$H$119,7,FALSE)</f>
        <v>LETÍCIA</v>
      </c>
    </row>
    <row r="3276" spans="1:13" x14ac:dyDescent="0.25">
      <c r="A3276" s="74">
        <v>200448</v>
      </c>
      <c r="B3276" s="75" t="s">
        <v>221</v>
      </c>
      <c r="C3276" s="75" t="s">
        <v>718</v>
      </c>
      <c r="D3276" s="76">
        <v>46121</v>
      </c>
      <c r="E3276" s="75" t="s">
        <v>287</v>
      </c>
      <c r="F3276" s="74">
        <v>67</v>
      </c>
      <c r="G3276" s="75" t="s">
        <v>247</v>
      </c>
      <c r="H3276" s="77" t="str">
        <f>VLOOKUP(DESPESAS[[#This Row],[Plano de Contas]],BASE!$B$3:$D$119,3,FALSE)</f>
        <v>Manutenção com veiculos</v>
      </c>
      <c r="I3276" s="77" t="str">
        <f>IFERROR(VLOOKUP(DESPESAS[[#This Row],[Fornecedor]],Tabela2[],2,FALSE),"")</f>
        <v/>
      </c>
      <c r="J3276" s="77" t="str">
        <f>IFERROR(VLOOKUP(DESPESAS[[#This Row],[Plano de Contas]],BASE!$B$3:$F$119,4,FALSE),"")</f>
        <v>6 - DESPESA COM VENDAS</v>
      </c>
      <c r="K3276" s="77" t="str">
        <f>IFERROR(VLOOKUP(DESPESAS[[#This Row],[Plano de Contas]],BASE!$B$3:$H$119,5,FALSE),"")</f>
        <v>LOGÍSTICA</v>
      </c>
      <c r="L3276" s="77">
        <f>IFERROR(VLOOKUP(DESPESAS[[#This Row],[Plano de Contas]],BASE!$B$3:$H$119,6,FALSE),"")</f>
        <v>0</v>
      </c>
      <c r="M3276" s="77" t="str">
        <f>VLOOKUP(DESPESAS[[#This Row],[Plano de Contas]],BASE!$B$3:$H$119,7,FALSE)</f>
        <v>MYLENA</v>
      </c>
    </row>
    <row r="3277" spans="1:13" x14ac:dyDescent="0.25">
      <c r="A3277" s="74">
        <v>200449</v>
      </c>
      <c r="B3277" s="75" t="s">
        <v>221</v>
      </c>
      <c r="C3277" s="75" t="s">
        <v>717</v>
      </c>
      <c r="D3277" s="76">
        <v>46121</v>
      </c>
      <c r="E3277" s="75" t="s">
        <v>442</v>
      </c>
      <c r="F3277" s="74">
        <v>2536.65</v>
      </c>
      <c r="G3277" s="75" t="s">
        <v>262</v>
      </c>
      <c r="H3277" s="77" t="str">
        <f>VLOOKUP(DESPESAS[[#This Row],[Plano de Contas]],BASE!$B$3:$D$119,3,FALSE)</f>
        <v>Fretes Karams</v>
      </c>
      <c r="I3277" s="77" t="str">
        <f>IFERROR(VLOOKUP(DESPESAS[[#This Row],[Fornecedor]],Tabela2[],2,FALSE),"")</f>
        <v/>
      </c>
      <c r="J3277" s="77" t="str">
        <f>IFERROR(VLOOKUP(DESPESAS[[#This Row],[Plano de Contas]],BASE!$B$3:$F$119,4,FALSE),"")</f>
        <v>6 - DESPESA COM VENDAS</v>
      </c>
      <c r="K3277" s="77" t="str">
        <f>IFERROR(VLOOKUP(DESPESAS[[#This Row],[Plano de Contas]],BASE!$B$3:$H$119,5,FALSE),"")</f>
        <v>LOGÍSTICA</v>
      </c>
      <c r="L3277" s="77">
        <f>IFERROR(VLOOKUP(DESPESAS[[#This Row],[Plano de Contas]],BASE!$B$3:$H$119,6,FALSE),"")</f>
        <v>0</v>
      </c>
      <c r="M3277" s="77" t="str">
        <f>VLOOKUP(DESPESAS[[#This Row],[Plano de Contas]],BASE!$B$3:$H$119,7,FALSE)</f>
        <v>MYLENA</v>
      </c>
    </row>
    <row r="3278" spans="1:13" x14ac:dyDescent="0.25">
      <c r="A3278" s="74">
        <v>200450</v>
      </c>
      <c r="B3278" s="75" t="s">
        <v>221</v>
      </c>
      <c r="C3278" s="75" t="s">
        <v>716</v>
      </c>
      <c r="D3278" s="76">
        <v>46121</v>
      </c>
      <c r="E3278" s="75" t="s">
        <v>707</v>
      </c>
      <c r="F3278" s="74">
        <v>250</v>
      </c>
      <c r="G3278" s="75" t="s">
        <v>259</v>
      </c>
      <c r="H3278" s="77" t="str">
        <f>VLOOKUP(DESPESAS[[#This Row],[Plano de Contas]],BASE!$B$3:$D$119,3,FALSE)</f>
        <v>Manutenção Predial CIF</v>
      </c>
      <c r="I3278" s="77" t="str">
        <f>IFERROR(VLOOKUP(DESPESAS[[#This Row],[Fornecedor]],Tabela2[],2,FALSE),"")</f>
        <v/>
      </c>
      <c r="J3278" s="77" t="str">
        <f>IFERROR(VLOOKUP(DESPESAS[[#This Row],[Plano de Contas]],BASE!$B$3:$F$119,4,FALSE),"")</f>
        <v>3 - CUSTOS INDIRETOS</v>
      </c>
      <c r="K3278" s="77" t="str">
        <f>IFERROR(VLOOKUP(DESPESAS[[#This Row],[Plano de Contas]],BASE!$B$3:$H$119,5,FALSE),"")</f>
        <v>MANUTENÇÃO / TI</v>
      </c>
      <c r="L3278" s="77">
        <f>IFERROR(VLOOKUP(DESPESAS[[#This Row],[Plano de Contas]],BASE!$B$3:$H$119,6,FALSE),"")</f>
        <v>0</v>
      </c>
      <c r="M3278" s="77" t="str">
        <f>VLOOKUP(DESPESAS[[#This Row],[Plano de Contas]],BASE!$B$3:$H$119,7,FALSE)</f>
        <v>FÁBIO</v>
      </c>
    </row>
    <row r="3279" spans="1:13" x14ac:dyDescent="0.25">
      <c r="A3279" s="74">
        <v>200451</v>
      </c>
      <c r="B3279" s="75" t="s">
        <v>221</v>
      </c>
      <c r="C3279" s="75" t="s">
        <v>715</v>
      </c>
      <c r="D3279" s="76">
        <v>46121</v>
      </c>
      <c r="E3279" s="75" t="s">
        <v>707</v>
      </c>
      <c r="F3279" s="74">
        <v>240</v>
      </c>
      <c r="G3279" s="75" t="s">
        <v>259</v>
      </c>
      <c r="H3279" s="77" t="str">
        <f>VLOOKUP(DESPESAS[[#This Row],[Plano de Contas]],BASE!$B$3:$D$119,3,FALSE)</f>
        <v>Manutenção Predial CIF</v>
      </c>
      <c r="I3279" s="77" t="str">
        <f>IFERROR(VLOOKUP(DESPESAS[[#This Row],[Fornecedor]],Tabela2[],2,FALSE),"")</f>
        <v/>
      </c>
      <c r="J3279" s="77" t="str">
        <f>IFERROR(VLOOKUP(DESPESAS[[#This Row],[Plano de Contas]],BASE!$B$3:$F$119,4,FALSE),"")</f>
        <v>3 - CUSTOS INDIRETOS</v>
      </c>
      <c r="K3279" s="77" t="str">
        <f>IFERROR(VLOOKUP(DESPESAS[[#This Row],[Plano de Contas]],BASE!$B$3:$H$119,5,FALSE),"")</f>
        <v>MANUTENÇÃO / TI</v>
      </c>
      <c r="L3279" s="77">
        <f>IFERROR(VLOOKUP(DESPESAS[[#This Row],[Plano de Contas]],BASE!$B$3:$H$119,6,FALSE),"")</f>
        <v>0</v>
      </c>
      <c r="M3279" s="77" t="str">
        <f>VLOOKUP(DESPESAS[[#This Row],[Plano de Contas]],BASE!$B$3:$H$119,7,FALSE)</f>
        <v>FÁBIO</v>
      </c>
    </row>
    <row r="3280" spans="1:13" x14ac:dyDescent="0.25">
      <c r="A3280" s="74">
        <v>200452</v>
      </c>
      <c r="B3280" s="75" t="s">
        <v>221</v>
      </c>
      <c r="C3280" s="75" t="s">
        <v>714</v>
      </c>
      <c r="D3280" s="76">
        <v>46121</v>
      </c>
      <c r="E3280" s="75" t="s">
        <v>242</v>
      </c>
      <c r="F3280" s="74">
        <v>3588.98</v>
      </c>
      <c r="G3280" s="75" t="s">
        <v>241</v>
      </c>
      <c r="H3280" s="77" t="str">
        <f>VLOOKUP(DESPESAS[[#This Row],[Plano de Contas]],BASE!$B$3:$D$119,3,FALSE)</f>
        <v>Combustiveis Frota</v>
      </c>
      <c r="I3280" s="77" t="str">
        <f>IFERROR(VLOOKUP(DESPESAS[[#This Row],[Fornecedor]],Tabela2[],2,FALSE),"")</f>
        <v/>
      </c>
      <c r="J3280" s="77" t="str">
        <f>IFERROR(VLOOKUP(DESPESAS[[#This Row],[Plano de Contas]],BASE!$B$3:$F$119,4,FALSE),"")</f>
        <v>6 - DESPESA COM VENDAS</v>
      </c>
      <c r="K3280" s="77" t="str">
        <f>IFERROR(VLOOKUP(DESPESAS[[#This Row],[Plano de Contas]],BASE!$B$3:$H$119,5,FALSE),"")</f>
        <v>LOGÍSTICA</v>
      </c>
      <c r="L3280" s="77">
        <f>IFERROR(VLOOKUP(DESPESAS[[#This Row],[Plano de Contas]],BASE!$B$3:$H$119,6,FALSE),"")</f>
        <v>0</v>
      </c>
      <c r="M3280" s="77" t="str">
        <f>VLOOKUP(DESPESAS[[#This Row],[Plano de Contas]],BASE!$B$3:$H$119,7,FALSE)</f>
        <v>MYLENA</v>
      </c>
    </row>
    <row r="3281" spans="1:13" x14ac:dyDescent="0.25">
      <c r="A3281" s="74">
        <v>200453</v>
      </c>
      <c r="B3281" s="75" t="s">
        <v>221</v>
      </c>
      <c r="C3281" s="75" t="s">
        <v>713</v>
      </c>
      <c r="D3281" s="76">
        <v>46121</v>
      </c>
      <c r="E3281" s="75" t="s">
        <v>413</v>
      </c>
      <c r="F3281" s="74">
        <v>1548</v>
      </c>
      <c r="G3281" s="75" t="s">
        <v>262</v>
      </c>
      <c r="H3281" s="77" t="str">
        <f>VLOOKUP(DESPESAS[[#This Row],[Plano de Contas]],BASE!$B$3:$D$119,3,FALSE)</f>
        <v>Fretes Karams</v>
      </c>
      <c r="I3281" s="77" t="str">
        <f>IFERROR(VLOOKUP(DESPESAS[[#This Row],[Fornecedor]],Tabela2[],2,FALSE),"")</f>
        <v/>
      </c>
      <c r="J3281" s="77" t="str">
        <f>IFERROR(VLOOKUP(DESPESAS[[#This Row],[Plano de Contas]],BASE!$B$3:$F$119,4,FALSE),"")</f>
        <v>6 - DESPESA COM VENDAS</v>
      </c>
      <c r="K3281" s="77" t="str">
        <f>IFERROR(VLOOKUP(DESPESAS[[#This Row],[Plano de Contas]],BASE!$B$3:$H$119,5,FALSE),"")</f>
        <v>LOGÍSTICA</v>
      </c>
      <c r="L3281" s="77">
        <f>IFERROR(VLOOKUP(DESPESAS[[#This Row],[Plano de Contas]],BASE!$B$3:$H$119,6,FALSE),"")</f>
        <v>0</v>
      </c>
      <c r="M3281" s="77" t="str">
        <f>VLOOKUP(DESPESAS[[#This Row],[Plano de Contas]],BASE!$B$3:$H$119,7,FALSE)</f>
        <v>MYLENA</v>
      </c>
    </row>
    <row r="3282" spans="1:13" x14ac:dyDescent="0.25">
      <c r="A3282" s="74">
        <v>200454</v>
      </c>
      <c r="B3282" s="75" t="s">
        <v>221</v>
      </c>
      <c r="C3282" s="75" t="s">
        <v>712</v>
      </c>
      <c r="D3282" s="76">
        <v>46121</v>
      </c>
      <c r="E3282" s="75" t="s">
        <v>707</v>
      </c>
      <c r="F3282" s="74">
        <v>420</v>
      </c>
      <c r="G3282" s="75" t="s">
        <v>259</v>
      </c>
      <c r="H3282" s="77" t="str">
        <f>VLOOKUP(DESPESAS[[#This Row],[Plano de Contas]],BASE!$B$3:$D$119,3,FALSE)</f>
        <v>Manutenção Predial CIF</v>
      </c>
      <c r="I3282" s="77" t="str">
        <f>IFERROR(VLOOKUP(DESPESAS[[#This Row],[Fornecedor]],Tabela2[],2,FALSE),"")</f>
        <v/>
      </c>
      <c r="J3282" s="77" t="str">
        <f>IFERROR(VLOOKUP(DESPESAS[[#This Row],[Plano de Contas]],BASE!$B$3:$F$119,4,FALSE),"")</f>
        <v>3 - CUSTOS INDIRETOS</v>
      </c>
      <c r="K3282" s="77" t="str">
        <f>IFERROR(VLOOKUP(DESPESAS[[#This Row],[Plano de Contas]],BASE!$B$3:$H$119,5,FALSE),"")</f>
        <v>MANUTENÇÃO / TI</v>
      </c>
      <c r="L3282" s="77">
        <f>IFERROR(VLOOKUP(DESPESAS[[#This Row],[Plano de Contas]],BASE!$B$3:$H$119,6,FALSE),"")</f>
        <v>0</v>
      </c>
      <c r="M3282" s="77" t="str">
        <f>VLOOKUP(DESPESAS[[#This Row],[Plano de Contas]],BASE!$B$3:$H$119,7,FALSE)</f>
        <v>FÁBIO</v>
      </c>
    </row>
    <row r="3283" spans="1:13" x14ac:dyDescent="0.25">
      <c r="A3283" s="74">
        <v>200455</v>
      </c>
      <c r="B3283" s="75" t="s">
        <v>221</v>
      </c>
      <c r="C3283" s="75" t="s">
        <v>711</v>
      </c>
      <c r="D3283" s="76">
        <v>46121</v>
      </c>
      <c r="E3283" s="75" t="s">
        <v>707</v>
      </c>
      <c r="F3283" s="74">
        <v>100</v>
      </c>
      <c r="G3283" s="75" t="s">
        <v>259</v>
      </c>
      <c r="H3283" s="77" t="str">
        <f>VLOOKUP(DESPESAS[[#This Row],[Plano de Contas]],BASE!$B$3:$D$119,3,FALSE)</f>
        <v>Manutenção Predial CIF</v>
      </c>
      <c r="I3283" s="77" t="str">
        <f>IFERROR(VLOOKUP(DESPESAS[[#This Row],[Fornecedor]],Tabela2[],2,FALSE),"")</f>
        <v/>
      </c>
      <c r="J3283" s="77" t="str">
        <f>IFERROR(VLOOKUP(DESPESAS[[#This Row],[Plano de Contas]],BASE!$B$3:$F$119,4,FALSE),"")</f>
        <v>3 - CUSTOS INDIRETOS</v>
      </c>
      <c r="K3283" s="77" t="str">
        <f>IFERROR(VLOOKUP(DESPESAS[[#This Row],[Plano de Contas]],BASE!$B$3:$H$119,5,FALSE),"")</f>
        <v>MANUTENÇÃO / TI</v>
      </c>
      <c r="L3283" s="77">
        <f>IFERROR(VLOOKUP(DESPESAS[[#This Row],[Plano de Contas]],BASE!$B$3:$H$119,6,FALSE),"")</f>
        <v>0</v>
      </c>
      <c r="M3283" s="77" t="str">
        <f>VLOOKUP(DESPESAS[[#This Row],[Plano de Contas]],BASE!$B$3:$H$119,7,FALSE)</f>
        <v>FÁBIO</v>
      </c>
    </row>
    <row r="3284" spans="1:13" x14ac:dyDescent="0.25">
      <c r="A3284" s="74">
        <v>200456</v>
      </c>
      <c r="B3284" s="75" t="s">
        <v>221</v>
      </c>
      <c r="C3284" s="75" t="s">
        <v>710</v>
      </c>
      <c r="D3284" s="76">
        <v>46121</v>
      </c>
      <c r="E3284" s="75" t="s">
        <v>709</v>
      </c>
      <c r="F3284" s="74">
        <v>78.099999999999994</v>
      </c>
      <c r="G3284" s="75" t="s">
        <v>241</v>
      </c>
      <c r="H3284" s="77" t="str">
        <f>VLOOKUP(DESPESAS[[#This Row],[Plano de Contas]],BASE!$B$3:$D$119,3,FALSE)</f>
        <v>Combustiveis Frota</v>
      </c>
      <c r="I3284" s="77" t="str">
        <f>IFERROR(VLOOKUP(DESPESAS[[#This Row],[Fornecedor]],Tabela2[],2,FALSE),"")</f>
        <v/>
      </c>
      <c r="J3284" s="77" t="str">
        <f>IFERROR(VLOOKUP(DESPESAS[[#This Row],[Plano de Contas]],BASE!$B$3:$F$119,4,FALSE),"")</f>
        <v>6 - DESPESA COM VENDAS</v>
      </c>
      <c r="K3284" s="77" t="str">
        <f>IFERROR(VLOOKUP(DESPESAS[[#This Row],[Plano de Contas]],BASE!$B$3:$H$119,5,FALSE),"")</f>
        <v>LOGÍSTICA</v>
      </c>
      <c r="L3284" s="77">
        <f>IFERROR(VLOOKUP(DESPESAS[[#This Row],[Plano de Contas]],BASE!$B$3:$H$119,6,FALSE),"")</f>
        <v>0</v>
      </c>
      <c r="M3284" s="77" t="str">
        <f>VLOOKUP(DESPESAS[[#This Row],[Plano de Contas]],BASE!$B$3:$H$119,7,FALSE)</f>
        <v>MYLENA</v>
      </c>
    </row>
    <row r="3285" spans="1:13" x14ac:dyDescent="0.25">
      <c r="A3285" s="74">
        <v>200457</v>
      </c>
      <c r="B3285" s="75" t="s">
        <v>221</v>
      </c>
      <c r="C3285" s="75" t="s">
        <v>708</v>
      </c>
      <c r="D3285" s="76">
        <v>46121</v>
      </c>
      <c r="E3285" s="75" t="s">
        <v>707</v>
      </c>
      <c r="F3285" s="74">
        <v>390</v>
      </c>
      <c r="G3285" s="75" t="s">
        <v>259</v>
      </c>
      <c r="H3285" s="77" t="str">
        <f>VLOOKUP(DESPESAS[[#This Row],[Plano de Contas]],BASE!$B$3:$D$119,3,FALSE)</f>
        <v>Manutenção Predial CIF</v>
      </c>
      <c r="I3285" s="77" t="str">
        <f>IFERROR(VLOOKUP(DESPESAS[[#This Row],[Fornecedor]],Tabela2[],2,FALSE),"")</f>
        <v/>
      </c>
      <c r="J3285" s="77" t="str">
        <f>IFERROR(VLOOKUP(DESPESAS[[#This Row],[Plano de Contas]],BASE!$B$3:$F$119,4,FALSE),"")</f>
        <v>3 - CUSTOS INDIRETOS</v>
      </c>
      <c r="K3285" s="77" t="str">
        <f>IFERROR(VLOOKUP(DESPESAS[[#This Row],[Plano de Contas]],BASE!$B$3:$H$119,5,FALSE),"")</f>
        <v>MANUTENÇÃO / TI</v>
      </c>
      <c r="L3285" s="77">
        <f>IFERROR(VLOOKUP(DESPESAS[[#This Row],[Plano de Contas]],BASE!$B$3:$H$119,6,FALSE),"")</f>
        <v>0</v>
      </c>
      <c r="M3285" s="77" t="str">
        <f>VLOOKUP(DESPESAS[[#This Row],[Plano de Contas]],BASE!$B$3:$H$119,7,FALSE)</f>
        <v>FÁBIO</v>
      </c>
    </row>
    <row r="3286" spans="1:13" x14ac:dyDescent="0.25">
      <c r="A3286" s="74">
        <v>200458</v>
      </c>
      <c r="B3286" s="75" t="s">
        <v>221</v>
      </c>
      <c r="C3286" s="75" t="s">
        <v>706</v>
      </c>
      <c r="D3286" s="76">
        <v>46121</v>
      </c>
      <c r="E3286" s="75" t="s">
        <v>242</v>
      </c>
      <c r="F3286" s="74">
        <v>3857.42</v>
      </c>
      <c r="G3286" s="75" t="s">
        <v>241</v>
      </c>
      <c r="H3286" s="77" t="str">
        <f>VLOOKUP(DESPESAS[[#This Row],[Plano de Contas]],BASE!$B$3:$D$119,3,FALSE)</f>
        <v>Combustiveis Frota</v>
      </c>
      <c r="I3286" s="77" t="str">
        <f>IFERROR(VLOOKUP(DESPESAS[[#This Row],[Fornecedor]],Tabela2[],2,FALSE),"")</f>
        <v/>
      </c>
      <c r="J3286" s="77" t="str">
        <f>IFERROR(VLOOKUP(DESPESAS[[#This Row],[Plano de Contas]],BASE!$B$3:$F$119,4,FALSE),"")</f>
        <v>6 - DESPESA COM VENDAS</v>
      </c>
      <c r="K3286" s="77" t="str">
        <f>IFERROR(VLOOKUP(DESPESAS[[#This Row],[Plano de Contas]],BASE!$B$3:$H$119,5,FALSE),"")</f>
        <v>LOGÍSTICA</v>
      </c>
      <c r="L3286" s="77">
        <f>IFERROR(VLOOKUP(DESPESAS[[#This Row],[Plano de Contas]],BASE!$B$3:$H$119,6,FALSE),"")</f>
        <v>0</v>
      </c>
      <c r="M3286" s="77" t="str">
        <f>VLOOKUP(DESPESAS[[#This Row],[Plano de Contas]],BASE!$B$3:$H$119,7,FALSE)</f>
        <v>MYLENA</v>
      </c>
    </row>
    <row r="3287" spans="1:13" x14ac:dyDescent="0.25">
      <c r="A3287" s="74">
        <v>200460</v>
      </c>
      <c r="B3287" s="75" t="s">
        <v>232</v>
      </c>
      <c r="C3287" s="75" t="s">
        <v>705</v>
      </c>
      <c r="D3287" s="76">
        <v>46121</v>
      </c>
      <c r="E3287" s="75" t="s">
        <v>394</v>
      </c>
      <c r="F3287" s="74">
        <v>1685</v>
      </c>
      <c r="G3287" s="75" t="s">
        <v>241</v>
      </c>
      <c r="H3287" s="77" t="str">
        <f>VLOOKUP(DESPESAS[[#This Row],[Plano de Contas]],BASE!$B$3:$D$119,3,FALSE)</f>
        <v>Combustiveis Frota</v>
      </c>
      <c r="I3287" s="77" t="str">
        <f>IFERROR(VLOOKUP(DESPESAS[[#This Row],[Fornecedor]],Tabela2[],2,FALSE),"")</f>
        <v/>
      </c>
      <c r="J3287" s="77" t="str">
        <f>IFERROR(VLOOKUP(DESPESAS[[#This Row],[Plano de Contas]],BASE!$B$3:$F$119,4,FALSE),"")</f>
        <v>6 - DESPESA COM VENDAS</v>
      </c>
      <c r="K3287" s="77" t="str">
        <f>IFERROR(VLOOKUP(DESPESAS[[#This Row],[Plano de Contas]],BASE!$B$3:$H$119,5,FALSE),"")</f>
        <v>LOGÍSTICA</v>
      </c>
      <c r="L3287" s="77">
        <f>IFERROR(VLOOKUP(DESPESAS[[#This Row],[Plano de Contas]],BASE!$B$3:$H$119,6,FALSE),"")</f>
        <v>0</v>
      </c>
      <c r="M3287" s="77" t="str">
        <f>VLOOKUP(DESPESAS[[#This Row],[Plano de Contas]],BASE!$B$3:$H$119,7,FALSE)</f>
        <v>MYLENA</v>
      </c>
    </row>
    <row r="3288" spans="1:13" x14ac:dyDescent="0.25">
      <c r="A3288" s="74">
        <v>200461</v>
      </c>
      <c r="B3288" s="75" t="s">
        <v>232</v>
      </c>
      <c r="C3288" s="75" t="s">
        <v>704</v>
      </c>
      <c r="D3288" s="76">
        <v>46121</v>
      </c>
      <c r="E3288" s="75" t="s">
        <v>703</v>
      </c>
      <c r="F3288" s="74">
        <v>66</v>
      </c>
      <c r="G3288" s="75" t="s">
        <v>241</v>
      </c>
      <c r="H3288" s="77" t="str">
        <f>VLOOKUP(DESPESAS[[#This Row],[Plano de Contas]],BASE!$B$3:$D$119,3,FALSE)</f>
        <v>Combustiveis Frota</v>
      </c>
      <c r="I3288" s="77" t="str">
        <f>IFERROR(VLOOKUP(DESPESAS[[#This Row],[Fornecedor]],Tabela2[],2,FALSE),"")</f>
        <v/>
      </c>
      <c r="J3288" s="77" t="str">
        <f>IFERROR(VLOOKUP(DESPESAS[[#This Row],[Plano de Contas]],BASE!$B$3:$F$119,4,FALSE),"")</f>
        <v>6 - DESPESA COM VENDAS</v>
      </c>
      <c r="K3288" s="77" t="str">
        <f>IFERROR(VLOOKUP(DESPESAS[[#This Row],[Plano de Contas]],BASE!$B$3:$H$119,5,FALSE),"")</f>
        <v>LOGÍSTICA</v>
      </c>
      <c r="L3288" s="77">
        <f>IFERROR(VLOOKUP(DESPESAS[[#This Row],[Plano de Contas]],BASE!$B$3:$H$119,6,FALSE),"")</f>
        <v>0</v>
      </c>
      <c r="M3288" s="77" t="str">
        <f>VLOOKUP(DESPESAS[[#This Row],[Plano de Contas]],BASE!$B$3:$H$119,7,FALSE)</f>
        <v>MYLENA</v>
      </c>
    </row>
    <row r="3289" spans="1:13" x14ac:dyDescent="0.25">
      <c r="A3289" s="74">
        <v>200462</v>
      </c>
      <c r="B3289" s="75" t="s">
        <v>281</v>
      </c>
      <c r="C3289" s="75" t="s">
        <v>702</v>
      </c>
      <c r="D3289" s="76">
        <v>46121</v>
      </c>
      <c r="E3289" s="75" t="s">
        <v>361</v>
      </c>
      <c r="F3289" s="74">
        <v>34.909999999999997</v>
      </c>
      <c r="G3289" s="75" t="s">
        <v>244</v>
      </c>
      <c r="H3289" s="77" t="str">
        <f>VLOOKUP(DESPESAS[[#This Row],[Plano de Contas]],BASE!$B$3:$D$119,3,FALSE)</f>
        <v>Material de Expediente (Prod)</v>
      </c>
      <c r="I3289" s="77" t="str">
        <f>IFERROR(VLOOKUP(DESPESAS[[#This Row],[Fornecedor]],Tabela2[],2,FALSE),"")</f>
        <v/>
      </c>
      <c r="J3289" s="77" t="str">
        <f>IFERROR(VLOOKUP(DESPESAS[[#This Row],[Plano de Contas]],BASE!$B$3:$F$119,4,FALSE),"")</f>
        <v>2 - CUSTOS DIRETOS</v>
      </c>
      <c r="K3289" s="77" t="str">
        <f>IFERROR(VLOOKUP(DESPESAS[[#This Row],[Plano de Contas]],BASE!$B$3:$H$119,5,FALSE),"")</f>
        <v>PRODUÇÃO</v>
      </c>
      <c r="L3289" s="77">
        <f>IFERROR(VLOOKUP(DESPESAS[[#This Row],[Plano de Contas]],BASE!$B$3:$H$119,6,FALSE),"")</f>
        <v>0</v>
      </c>
      <c r="M3289" s="77" t="str">
        <f>VLOOKUP(DESPESAS[[#This Row],[Plano de Contas]],BASE!$B$3:$H$119,7,FALSE)</f>
        <v>RAFAEL</v>
      </c>
    </row>
    <row r="3290" spans="1:13" x14ac:dyDescent="0.25">
      <c r="A3290" s="74">
        <v>200463</v>
      </c>
      <c r="B3290" s="75" t="s">
        <v>281</v>
      </c>
      <c r="C3290" s="75" t="s">
        <v>701</v>
      </c>
      <c r="D3290" s="76">
        <v>46121</v>
      </c>
      <c r="E3290" s="75" t="s">
        <v>361</v>
      </c>
      <c r="F3290" s="74">
        <v>197.7</v>
      </c>
      <c r="G3290" s="75" t="s">
        <v>247</v>
      </c>
      <c r="H3290" s="77" t="str">
        <f>VLOOKUP(DESPESAS[[#This Row],[Plano de Contas]],BASE!$B$3:$D$119,3,FALSE)</f>
        <v>Manutenção com veiculos</v>
      </c>
      <c r="I3290" s="77" t="str">
        <f>IFERROR(VLOOKUP(DESPESAS[[#This Row],[Fornecedor]],Tabela2[],2,FALSE),"")</f>
        <v/>
      </c>
      <c r="J3290" s="77" t="str">
        <f>IFERROR(VLOOKUP(DESPESAS[[#This Row],[Plano de Contas]],BASE!$B$3:$F$119,4,FALSE),"")</f>
        <v>6 - DESPESA COM VENDAS</v>
      </c>
      <c r="K3290" s="77" t="str">
        <f>IFERROR(VLOOKUP(DESPESAS[[#This Row],[Plano de Contas]],BASE!$B$3:$H$119,5,FALSE),"")</f>
        <v>LOGÍSTICA</v>
      </c>
      <c r="L3290" s="77">
        <f>IFERROR(VLOOKUP(DESPESAS[[#This Row],[Plano de Contas]],BASE!$B$3:$H$119,6,FALSE),"")</f>
        <v>0</v>
      </c>
      <c r="M3290" s="77" t="str">
        <f>VLOOKUP(DESPESAS[[#This Row],[Plano de Contas]],BASE!$B$3:$H$119,7,FALSE)</f>
        <v>MYLENA</v>
      </c>
    </row>
    <row r="3291" spans="1:13" x14ac:dyDescent="0.25">
      <c r="A3291" s="74">
        <v>200464</v>
      </c>
      <c r="B3291" s="75" t="s">
        <v>281</v>
      </c>
      <c r="C3291" s="75" t="s">
        <v>700</v>
      </c>
      <c r="D3291" s="76">
        <v>46121</v>
      </c>
      <c r="E3291" s="75" t="s">
        <v>361</v>
      </c>
      <c r="F3291" s="74">
        <v>21</v>
      </c>
      <c r="G3291" s="75" t="s">
        <v>693</v>
      </c>
      <c r="H3291" s="77" t="str">
        <f>VLOOKUP(DESPESAS[[#This Row],[Plano de Contas]],BASE!$B$3:$D$119,3,FALSE)</f>
        <v>Computadores e Periféricos</v>
      </c>
      <c r="I3291" s="77" t="str">
        <f>IFERROR(VLOOKUP(DESPESAS[[#This Row],[Fornecedor]],Tabela2[],2,FALSE),"")</f>
        <v/>
      </c>
      <c r="J3291" s="77" t="str">
        <f>IFERROR(VLOOKUP(DESPESAS[[#This Row],[Plano de Contas]],BASE!$B$3:$F$119,4,FALSE),"")</f>
        <v>9 - INVESTIMENTOS</v>
      </c>
      <c r="K3291" s="77" t="str">
        <f>IFERROR(VLOOKUP(DESPESAS[[#This Row],[Plano de Contas]],BASE!$B$3:$H$119,5,FALSE),"")</f>
        <v>MANUTENÇÃO / TI</v>
      </c>
      <c r="L3291" s="77">
        <f>IFERROR(VLOOKUP(DESPESAS[[#This Row],[Plano de Contas]],BASE!$B$3:$H$119,6,FALSE),"")</f>
        <v>0</v>
      </c>
      <c r="M3291" s="77" t="str">
        <f>VLOOKUP(DESPESAS[[#This Row],[Plano de Contas]],BASE!$B$3:$H$119,7,FALSE)</f>
        <v>RAFAEL</v>
      </c>
    </row>
    <row r="3292" spans="1:13" x14ac:dyDescent="0.25">
      <c r="A3292" s="74">
        <v>200465</v>
      </c>
      <c r="B3292" s="75" t="s">
        <v>281</v>
      </c>
      <c r="C3292" s="75" t="s">
        <v>699</v>
      </c>
      <c r="D3292" s="76">
        <v>46121</v>
      </c>
      <c r="E3292" s="75" t="s">
        <v>361</v>
      </c>
      <c r="F3292" s="74">
        <v>35.35</v>
      </c>
      <c r="G3292" s="75" t="s">
        <v>693</v>
      </c>
      <c r="H3292" s="77" t="str">
        <f>VLOOKUP(DESPESAS[[#This Row],[Plano de Contas]],BASE!$B$3:$D$119,3,FALSE)</f>
        <v>Computadores e Periféricos</v>
      </c>
      <c r="I3292" s="77" t="str">
        <f>IFERROR(VLOOKUP(DESPESAS[[#This Row],[Fornecedor]],Tabela2[],2,FALSE),"")</f>
        <v/>
      </c>
      <c r="J3292" s="77" t="str">
        <f>IFERROR(VLOOKUP(DESPESAS[[#This Row],[Plano de Contas]],BASE!$B$3:$F$119,4,FALSE),"")</f>
        <v>9 - INVESTIMENTOS</v>
      </c>
      <c r="K3292" s="77" t="str">
        <f>IFERROR(VLOOKUP(DESPESAS[[#This Row],[Plano de Contas]],BASE!$B$3:$H$119,5,FALSE),"")</f>
        <v>MANUTENÇÃO / TI</v>
      </c>
      <c r="L3292" s="77">
        <f>IFERROR(VLOOKUP(DESPESAS[[#This Row],[Plano de Contas]],BASE!$B$3:$H$119,6,FALSE),"")</f>
        <v>0</v>
      </c>
      <c r="M3292" s="77" t="str">
        <f>VLOOKUP(DESPESAS[[#This Row],[Plano de Contas]],BASE!$B$3:$H$119,7,FALSE)</f>
        <v>RAFAEL</v>
      </c>
    </row>
    <row r="3293" spans="1:13" x14ac:dyDescent="0.25">
      <c r="A3293" s="74">
        <v>200466</v>
      </c>
      <c r="B3293" s="75" t="s">
        <v>281</v>
      </c>
      <c r="C3293" s="75" t="s">
        <v>698</v>
      </c>
      <c r="D3293" s="76">
        <v>46121</v>
      </c>
      <c r="E3293" s="75" t="s">
        <v>361</v>
      </c>
      <c r="F3293" s="74">
        <v>447.16</v>
      </c>
      <c r="G3293" s="75" t="s">
        <v>693</v>
      </c>
      <c r="H3293" s="77" t="str">
        <f>VLOOKUP(DESPESAS[[#This Row],[Plano de Contas]],BASE!$B$3:$D$119,3,FALSE)</f>
        <v>Computadores e Periféricos</v>
      </c>
      <c r="I3293" s="77" t="str">
        <f>IFERROR(VLOOKUP(DESPESAS[[#This Row],[Fornecedor]],Tabela2[],2,FALSE),"")</f>
        <v/>
      </c>
      <c r="J3293" s="77" t="str">
        <f>IFERROR(VLOOKUP(DESPESAS[[#This Row],[Plano de Contas]],BASE!$B$3:$F$119,4,FALSE),"")</f>
        <v>9 - INVESTIMENTOS</v>
      </c>
      <c r="K3293" s="77" t="str">
        <f>IFERROR(VLOOKUP(DESPESAS[[#This Row],[Plano de Contas]],BASE!$B$3:$H$119,5,FALSE),"")</f>
        <v>MANUTENÇÃO / TI</v>
      </c>
      <c r="L3293" s="77">
        <f>IFERROR(VLOOKUP(DESPESAS[[#This Row],[Plano de Contas]],BASE!$B$3:$H$119,6,FALSE),"")</f>
        <v>0</v>
      </c>
      <c r="M3293" s="77" t="str">
        <f>VLOOKUP(DESPESAS[[#This Row],[Plano de Contas]],BASE!$B$3:$H$119,7,FALSE)</f>
        <v>RAFAEL</v>
      </c>
    </row>
    <row r="3294" spans="1:13" x14ac:dyDescent="0.25">
      <c r="A3294" s="74">
        <v>200468</v>
      </c>
      <c r="B3294" s="75" t="s">
        <v>232</v>
      </c>
      <c r="C3294" s="75" t="s">
        <v>690</v>
      </c>
      <c r="D3294" s="76">
        <v>46121</v>
      </c>
      <c r="E3294" s="75" t="s">
        <v>487</v>
      </c>
      <c r="F3294" s="74">
        <v>838.16</v>
      </c>
      <c r="G3294" s="75" t="s">
        <v>486</v>
      </c>
      <c r="H3294" s="77" t="str">
        <f>VLOOKUP(DESPESAS[[#This Row],[Plano de Contas]],BASE!$B$3:$D$119,3,FALSE)</f>
        <v>IPTU e Taxas Municipais CIF</v>
      </c>
      <c r="I3294" s="77" t="str">
        <f>IFERROR(VLOOKUP(DESPESAS[[#This Row],[Fornecedor]],Tabela2[],2,FALSE),"")</f>
        <v/>
      </c>
      <c r="J3294" s="77" t="str">
        <f>IFERROR(VLOOKUP(DESPESAS[[#This Row],[Plano de Contas]],BASE!$B$3:$F$119,4,FALSE),"")</f>
        <v>3 - CUSTOS INDIRETOS</v>
      </c>
      <c r="K3294" s="77" t="str">
        <f>IFERROR(VLOOKUP(DESPESAS[[#This Row],[Plano de Contas]],BASE!$B$3:$H$119,5,FALSE),"")</f>
        <v>FINANCEIRO</v>
      </c>
      <c r="L3294" s="77">
        <f>IFERROR(VLOOKUP(DESPESAS[[#This Row],[Plano de Contas]],BASE!$B$3:$H$119,6,FALSE),"")</f>
        <v>0</v>
      </c>
      <c r="M3294" s="77" t="str">
        <f>VLOOKUP(DESPESAS[[#This Row],[Plano de Contas]],BASE!$B$3:$H$119,7,FALSE)</f>
        <v>LETÍCIA</v>
      </c>
    </row>
    <row r="3295" spans="1:13" x14ac:dyDescent="0.25">
      <c r="A3295" s="74">
        <v>200469</v>
      </c>
      <c r="B3295" s="75" t="s">
        <v>281</v>
      </c>
      <c r="C3295" s="75" t="s">
        <v>697</v>
      </c>
      <c r="D3295" s="76">
        <v>46121</v>
      </c>
      <c r="E3295" s="75" t="s">
        <v>361</v>
      </c>
      <c r="F3295" s="74">
        <v>90.15</v>
      </c>
      <c r="G3295" s="75" t="s">
        <v>420</v>
      </c>
      <c r="H3295" s="77" t="str">
        <f>VLOOKUP(DESPESAS[[#This Row],[Plano de Contas]],BASE!$B$3:$D$119,3,FALSE)</f>
        <v>Material de Expediente (Adm)</v>
      </c>
      <c r="I3295" s="77" t="str">
        <f>IFERROR(VLOOKUP(DESPESAS[[#This Row],[Fornecedor]],Tabela2[],2,FALSE),"")</f>
        <v/>
      </c>
      <c r="J3295" s="77" t="str">
        <f>IFERROR(VLOOKUP(DESPESAS[[#This Row],[Plano de Contas]],BASE!$B$3:$F$119,4,FALSE),"")</f>
        <v>5 - DESPESAS ADMINISTRATIVAS</v>
      </c>
      <c r="K3295" s="77" t="str">
        <f>IFERROR(VLOOKUP(DESPESAS[[#This Row],[Plano de Contas]],BASE!$B$3:$H$119,5,FALSE),"")</f>
        <v>ADMINISTRATIVO</v>
      </c>
      <c r="L3295" s="77">
        <f>IFERROR(VLOOKUP(DESPESAS[[#This Row],[Plano de Contas]],BASE!$B$3:$H$119,6,FALSE),"")</f>
        <v>0</v>
      </c>
      <c r="M3295" s="77" t="str">
        <f>VLOOKUP(DESPESAS[[#This Row],[Plano de Contas]],BASE!$B$3:$H$119,7,FALSE)</f>
        <v>LETÍCIA</v>
      </c>
    </row>
    <row r="3296" spans="1:13" x14ac:dyDescent="0.25">
      <c r="A3296" s="74">
        <v>200470</v>
      </c>
      <c r="B3296" s="75" t="s">
        <v>279</v>
      </c>
      <c r="C3296" s="75" t="s">
        <v>690</v>
      </c>
      <c r="D3296" s="76">
        <v>46121</v>
      </c>
      <c r="E3296" s="75" t="s">
        <v>487</v>
      </c>
      <c r="F3296" s="74">
        <v>838.16</v>
      </c>
      <c r="G3296" s="75" t="s">
        <v>486</v>
      </c>
      <c r="H3296" s="77" t="str">
        <f>VLOOKUP(DESPESAS[[#This Row],[Plano de Contas]],BASE!$B$3:$D$119,3,FALSE)</f>
        <v>IPTU e Taxas Municipais CIF</v>
      </c>
      <c r="I3296" s="77" t="str">
        <f>IFERROR(VLOOKUP(DESPESAS[[#This Row],[Fornecedor]],Tabela2[],2,FALSE),"")</f>
        <v/>
      </c>
      <c r="J3296" s="77" t="str">
        <f>IFERROR(VLOOKUP(DESPESAS[[#This Row],[Plano de Contas]],BASE!$B$3:$F$119,4,FALSE),"")</f>
        <v>3 - CUSTOS INDIRETOS</v>
      </c>
      <c r="K3296" s="77" t="str">
        <f>IFERROR(VLOOKUP(DESPESAS[[#This Row],[Plano de Contas]],BASE!$B$3:$H$119,5,FALSE),"")</f>
        <v>FINANCEIRO</v>
      </c>
      <c r="L3296" s="77">
        <f>IFERROR(VLOOKUP(DESPESAS[[#This Row],[Plano de Contas]],BASE!$B$3:$H$119,6,FALSE),"")</f>
        <v>0</v>
      </c>
      <c r="M3296" s="77" t="str">
        <f>VLOOKUP(DESPESAS[[#This Row],[Plano de Contas]],BASE!$B$3:$H$119,7,FALSE)</f>
        <v>LETÍCIA</v>
      </c>
    </row>
    <row r="3297" spans="1:13" x14ac:dyDescent="0.25">
      <c r="A3297" s="74">
        <v>200472</v>
      </c>
      <c r="B3297" s="75" t="s">
        <v>281</v>
      </c>
      <c r="C3297" s="75" t="s">
        <v>690</v>
      </c>
      <c r="D3297" s="76">
        <v>46121</v>
      </c>
      <c r="E3297" s="75" t="s">
        <v>487</v>
      </c>
      <c r="F3297" s="74">
        <v>419.08</v>
      </c>
      <c r="G3297" s="75" t="s">
        <v>486</v>
      </c>
      <c r="H3297" s="77" t="str">
        <f>VLOOKUP(DESPESAS[[#This Row],[Plano de Contas]],BASE!$B$3:$D$119,3,FALSE)</f>
        <v>IPTU e Taxas Municipais CIF</v>
      </c>
      <c r="I3297" s="77" t="str">
        <f>IFERROR(VLOOKUP(DESPESAS[[#This Row],[Fornecedor]],Tabela2[],2,FALSE),"")</f>
        <v/>
      </c>
      <c r="J3297" s="77" t="str">
        <f>IFERROR(VLOOKUP(DESPESAS[[#This Row],[Plano de Contas]],BASE!$B$3:$F$119,4,FALSE),"")</f>
        <v>3 - CUSTOS INDIRETOS</v>
      </c>
      <c r="K3297" s="77" t="str">
        <f>IFERROR(VLOOKUP(DESPESAS[[#This Row],[Plano de Contas]],BASE!$B$3:$H$119,5,FALSE),"")</f>
        <v>FINANCEIRO</v>
      </c>
      <c r="L3297" s="77">
        <f>IFERROR(VLOOKUP(DESPESAS[[#This Row],[Plano de Contas]],BASE!$B$3:$H$119,6,FALSE),"")</f>
        <v>0</v>
      </c>
      <c r="M3297" s="77" t="str">
        <f>VLOOKUP(DESPESAS[[#This Row],[Plano de Contas]],BASE!$B$3:$H$119,7,FALSE)</f>
        <v>LETÍCIA</v>
      </c>
    </row>
    <row r="3298" spans="1:13" x14ac:dyDescent="0.25">
      <c r="A3298" s="74">
        <v>200473</v>
      </c>
      <c r="B3298" s="75" t="s">
        <v>281</v>
      </c>
      <c r="C3298" s="75" t="s">
        <v>696</v>
      </c>
      <c r="D3298" s="76">
        <v>46121</v>
      </c>
      <c r="E3298" s="75" t="s">
        <v>361</v>
      </c>
      <c r="F3298" s="74">
        <v>179.99</v>
      </c>
      <c r="G3298" s="75" t="s">
        <v>420</v>
      </c>
      <c r="H3298" s="77" t="str">
        <f>VLOOKUP(DESPESAS[[#This Row],[Plano de Contas]],BASE!$B$3:$D$119,3,FALSE)</f>
        <v>Material de Expediente (Adm)</v>
      </c>
      <c r="I3298" s="77" t="str">
        <f>IFERROR(VLOOKUP(DESPESAS[[#This Row],[Fornecedor]],Tabela2[],2,FALSE),"")</f>
        <v/>
      </c>
      <c r="J3298" s="77" t="str">
        <f>IFERROR(VLOOKUP(DESPESAS[[#This Row],[Plano de Contas]],BASE!$B$3:$F$119,4,FALSE),"")</f>
        <v>5 - DESPESAS ADMINISTRATIVAS</v>
      </c>
      <c r="K3298" s="77" t="str">
        <f>IFERROR(VLOOKUP(DESPESAS[[#This Row],[Plano de Contas]],BASE!$B$3:$H$119,5,FALSE),"")</f>
        <v>ADMINISTRATIVO</v>
      </c>
      <c r="L3298" s="77">
        <f>IFERROR(VLOOKUP(DESPESAS[[#This Row],[Plano de Contas]],BASE!$B$3:$H$119,6,FALSE),"")</f>
        <v>0</v>
      </c>
      <c r="M3298" s="77" t="str">
        <f>VLOOKUP(DESPESAS[[#This Row],[Plano de Contas]],BASE!$B$3:$H$119,7,FALSE)</f>
        <v>LETÍCIA</v>
      </c>
    </row>
    <row r="3299" spans="1:13" x14ac:dyDescent="0.25">
      <c r="A3299" s="74">
        <v>200474</v>
      </c>
      <c r="B3299" s="75" t="s">
        <v>221</v>
      </c>
      <c r="C3299" s="75" t="s">
        <v>690</v>
      </c>
      <c r="D3299" s="76">
        <v>46121</v>
      </c>
      <c r="E3299" s="75" t="s">
        <v>487</v>
      </c>
      <c r="F3299" s="74">
        <v>167.63</v>
      </c>
      <c r="G3299" s="75" t="s">
        <v>486</v>
      </c>
      <c r="H3299" s="77" t="str">
        <f>VLOOKUP(DESPESAS[[#This Row],[Plano de Contas]],BASE!$B$3:$D$119,3,FALSE)</f>
        <v>IPTU e Taxas Municipais CIF</v>
      </c>
      <c r="I3299" s="77" t="str">
        <f>IFERROR(VLOOKUP(DESPESAS[[#This Row],[Fornecedor]],Tabela2[],2,FALSE),"")</f>
        <v/>
      </c>
      <c r="J3299" s="77" t="str">
        <f>IFERROR(VLOOKUP(DESPESAS[[#This Row],[Plano de Contas]],BASE!$B$3:$F$119,4,FALSE),"")</f>
        <v>3 - CUSTOS INDIRETOS</v>
      </c>
      <c r="K3299" s="77" t="str">
        <f>IFERROR(VLOOKUP(DESPESAS[[#This Row],[Plano de Contas]],BASE!$B$3:$H$119,5,FALSE),"")</f>
        <v>FINANCEIRO</v>
      </c>
      <c r="L3299" s="77">
        <f>IFERROR(VLOOKUP(DESPESAS[[#This Row],[Plano de Contas]],BASE!$B$3:$H$119,6,FALSE),"")</f>
        <v>0</v>
      </c>
      <c r="M3299" s="77" t="str">
        <f>VLOOKUP(DESPESAS[[#This Row],[Plano de Contas]],BASE!$B$3:$H$119,7,FALSE)</f>
        <v>LETÍCIA</v>
      </c>
    </row>
    <row r="3300" spans="1:13" x14ac:dyDescent="0.25">
      <c r="A3300" s="74">
        <v>200477</v>
      </c>
      <c r="B3300" s="75" t="s">
        <v>281</v>
      </c>
      <c r="C3300" s="75" t="s">
        <v>695</v>
      </c>
      <c r="D3300" s="76">
        <v>46121</v>
      </c>
      <c r="E3300" s="75" t="s">
        <v>361</v>
      </c>
      <c r="F3300" s="74">
        <v>138.72</v>
      </c>
      <c r="G3300" s="75" t="s">
        <v>693</v>
      </c>
      <c r="H3300" s="77" t="str">
        <f>VLOOKUP(DESPESAS[[#This Row],[Plano de Contas]],BASE!$B$3:$D$119,3,FALSE)</f>
        <v>Computadores e Periféricos</v>
      </c>
      <c r="I3300" s="77" t="str">
        <f>IFERROR(VLOOKUP(DESPESAS[[#This Row],[Fornecedor]],Tabela2[],2,FALSE),"")</f>
        <v/>
      </c>
      <c r="J3300" s="77" t="str">
        <f>IFERROR(VLOOKUP(DESPESAS[[#This Row],[Plano de Contas]],BASE!$B$3:$F$119,4,FALSE),"")</f>
        <v>9 - INVESTIMENTOS</v>
      </c>
      <c r="K3300" s="77" t="str">
        <f>IFERROR(VLOOKUP(DESPESAS[[#This Row],[Plano de Contas]],BASE!$B$3:$H$119,5,FALSE),"")</f>
        <v>MANUTENÇÃO / TI</v>
      </c>
      <c r="L3300" s="77">
        <f>IFERROR(VLOOKUP(DESPESAS[[#This Row],[Plano de Contas]],BASE!$B$3:$H$119,6,FALSE),"")</f>
        <v>0</v>
      </c>
      <c r="M3300" s="77" t="str">
        <f>VLOOKUP(DESPESAS[[#This Row],[Plano de Contas]],BASE!$B$3:$H$119,7,FALSE)</f>
        <v>RAFAEL</v>
      </c>
    </row>
    <row r="3301" spans="1:13" x14ac:dyDescent="0.25">
      <c r="A3301" s="74">
        <v>200479</v>
      </c>
      <c r="B3301" s="75" t="s">
        <v>281</v>
      </c>
      <c r="C3301" s="75" t="s">
        <v>694</v>
      </c>
      <c r="D3301" s="76">
        <v>46121</v>
      </c>
      <c r="E3301" s="75" t="s">
        <v>361</v>
      </c>
      <c r="F3301" s="74">
        <v>368</v>
      </c>
      <c r="G3301" s="75" t="s">
        <v>693</v>
      </c>
      <c r="H3301" s="77" t="str">
        <f>VLOOKUP(DESPESAS[[#This Row],[Plano de Contas]],BASE!$B$3:$D$119,3,FALSE)</f>
        <v>Computadores e Periféricos</v>
      </c>
      <c r="I3301" s="77" t="str">
        <f>IFERROR(VLOOKUP(DESPESAS[[#This Row],[Fornecedor]],Tabela2[],2,FALSE),"")</f>
        <v/>
      </c>
      <c r="J3301" s="77" t="str">
        <f>IFERROR(VLOOKUP(DESPESAS[[#This Row],[Plano de Contas]],BASE!$B$3:$F$119,4,FALSE),"")</f>
        <v>9 - INVESTIMENTOS</v>
      </c>
      <c r="K3301" s="77" t="str">
        <f>IFERROR(VLOOKUP(DESPESAS[[#This Row],[Plano de Contas]],BASE!$B$3:$H$119,5,FALSE),"")</f>
        <v>MANUTENÇÃO / TI</v>
      </c>
      <c r="L3301" s="77">
        <f>IFERROR(VLOOKUP(DESPESAS[[#This Row],[Plano de Contas]],BASE!$B$3:$H$119,6,FALSE),"")</f>
        <v>0</v>
      </c>
      <c r="M3301" s="77" t="str">
        <f>VLOOKUP(DESPESAS[[#This Row],[Plano de Contas]],BASE!$B$3:$H$119,7,FALSE)</f>
        <v>RAFAEL</v>
      </c>
    </row>
    <row r="3302" spans="1:13" x14ac:dyDescent="0.25">
      <c r="A3302" s="74">
        <v>200480</v>
      </c>
      <c r="B3302" s="75" t="s">
        <v>232</v>
      </c>
      <c r="C3302" s="75" t="s">
        <v>692</v>
      </c>
      <c r="D3302" s="76">
        <v>46121</v>
      </c>
      <c r="E3302" s="75" t="s">
        <v>691</v>
      </c>
      <c r="F3302" s="74">
        <v>3380</v>
      </c>
      <c r="G3302" s="75" t="s">
        <v>294</v>
      </c>
      <c r="H3302" s="77" t="str">
        <f>VLOOKUP(DESPESAS[[#This Row],[Plano de Contas]],BASE!$B$3:$D$119,3,FALSE)</f>
        <v>Insumos de Clientes</v>
      </c>
      <c r="I3302" s="77" t="str">
        <f>IFERROR(VLOOKUP(DESPESAS[[#This Row],[Fornecedor]],Tabela2[],2,FALSE),"")</f>
        <v/>
      </c>
      <c r="J3302" s="77" t="str">
        <f>IFERROR(VLOOKUP(DESPESAS[[#This Row],[Plano de Contas]],BASE!$B$3:$F$119,4,FALSE),"")</f>
        <v>8 - DESPESAS FINANCEIRAS</v>
      </c>
      <c r="K3302" s="77" t="str">
        <f>IFERROR(VLOOKUP(DESPESAS[[#This Row],[Plano de Contas]],BASE!$B$3:$H$119,5,FALSE),"")</f>
        <v>COMERCIAL</v>
      </c>
      <c r="L3302" s="77">
        <f>IFERROR(VLOOKUP(DESPESAS[[#This Row],[Plano de Contas]],BASE!$B$3:$H$119,6,FALSE),"")</f>
        <v>0</v>
      </c>
      <c r="M3302" s="77" t="str">
        <f>VLOOKUP(DESPESAS[[#This Row],[Plano de Contas]],BASE!$B$3:$H$119,7,FALSE)</f>
        <v>LETÍCIA</v>
      </c>
    </row>
    <row r="3303" spans="1:13" x14ac:dyDescent="0.25">
      <c r="A3303" s="74">
        <v>200482</v>
      </c>
      <c r="B3303" s="75" t="s">
        <v>221</v>
      </c>
      <c r="C3303" s="75" t="s">
        <v>690</v>
      </c>
      <c r="D3303" s="76">
        <v>46121</v>
      </c>
      <c r="E3303" s="75" t="s">
        <v>487</v>
      </c>
      <c r="F3303" s="74">
        <v>167.63</v>
      </c>
      <c r="G3303" s="75" t="s">
        <v>486</v>
      </c>
      <c r="H3303" s="77" t="str">
        <f>VLOOKUP(DESPESAS[[#This Row],[Plano de Contas]],BASE!$B$3:$D$119,3,FALSE)</f>
        <v>IPTU e Taxas Municipais CIF</v>
      </c>
      <c r="I3303" s="77" t="str">
        <f>IFERROR(VLOOKUP(DESPESAS[[#This Row],[Fornecedor]],Tabela2[],2,FALSE),"")</f>
        <v/>
      </c>
      <c r="J3303" s="77" t="str">
        <f>IFERROR(VLOOKUP(DESPESAS[[#This Row],[Plano de Contas]],BASE!$B$3:$F$119,4,FALSE),"")</f>
        <v>3 - CUSTOS INDIRETOS</v>
      </c>
      <c r="K3303" s="77" t="str">
        <f>IFERROR(VLOOKUP(DESPESAS[[#This Row],[Plano de Contas]],BASE!$B$3:$H$119,5,FALSE),"")</f>
        <v>FINANCEIRO</v>
      </c>
      <c r="L3303" s="77">
        <f>IFERROR(VLOOKUP(DESPESAS[[#This Row],[Plano de Contas]],BASE!$B$3:$H$119,6,FALSE),"")</f>
        <v>0</v>
      </c>
      <c r="M3303" s="77" t="str">
        <f>VLOOKUP(DESPESAS[[#This Row],[Plano de Contas]],BASE!$B$3:$H$119,7,FALSE)</f>
        <v>LETÍCIA</v>
      </c>
    </row>
    <row r="3304" spans="1:13" x14ac:dyDescent="0.25">
      <c r="A3304" s="74">
        <v>200483</v>
      </c>
      <c r="B3304" s="75" t="s">
        <v>281</v>
      </c>
      <c r="C3304" s="75" t="s">
        <v>689</v>
      </c>
      <c r="D3304" s="76">
        <v>46121</v>
      </c>
      <c r="E3304" s="75" t="s">
        <v>361</v>
      </c>
      <c r="F3304" s="74">
        <v>267.8</v>
      </c>
      <c r="G3304" s="75" t="s">
        <v>259</v>
      </c>
      <c r="H3304" s="77" t="str">
        <f>VLOOKUP(DESPESAS[[#This Row],[Plano de Contas]],BASE!$B$3:$D$119,3,FALSE)</f>
        <v>Manutenção Predial CIF</v>
      </c>
      <c r="I3304" s="77" t="str">
        <f>IFERROR(VLOOKUP(DESPESAS[[#This Row],[Fornecedor]],Tabela2[],2,FALSE),"")</f>
        <v/>
      </c>
      <c r="J3304" s="77" t="str">
        <f>IFERROR(VLOOKUP(DESPESAS[[#This Row],[Plano de Contas]],BASE!$B$3:$F$119,4,FALSE),"")</f>
        <v>3 - CUSTOS INDIRETOS</v>
      </c>
      <c r="K3304" s="77" t="str">
        <f>IFERROR(VLOOKUP(DESPESAS[[#This Row],[Plano de Contas]],BASE!$B$3:$H$119,5,FALSE),"")</f>
        <v>MANUTENÇÃO / TI</v>
      </c>
      <c r="L3304" s="77">
        <f>IFERROR(VLOOKUP(DESPESAS[[#This Row],[Plano de Contas]],BASE!$B$3:$H$119,6,FALSE),"")</f>
        <v>0</v>
      </c>
      <c r="M3304" s="77" t="str">
        <f>VLOOKUP(DESPESAS[[#This Row],[Plano de Contas]],BASE!$B$3:$H$119,7,FALSE)</f>
        <v>FÁBIO</v>
      </c>
    </row>
    <row r="3305" spans="1:13" x14ac:dyDescent="0.25">
      <c r="A3305" s="74">
        <v>200484</v>
      </c>
      <c r="B3305" s="75" t="s">
        <v>281</v>
      </c>
      <c r="C3305" s="75" t="s">
        <v>688</v>
      </c>
      <c r="D3305" s="76">
        <v>46121</v>
      </c>
      <c r="E3305" s="75" t="s">
        <v>361</v>
      </c>
      <c r="F3305" s="74">
        <v>118.68</v>
      </c>
      <c r="G3305" s="75" t="s">
        <v>420</v>
      </c>
      <c r="H3305" s="77" t="str">
        <f>VLOOKUP(DESPESAS[[#This Row],[Plano de Contas]],BASE!$B$3:$D$119,3,FALSE)</f>
        <v>Material de Expediente (Adm)</v>
      </c>
      <c r="I3305" s="77" t="str">
        <f>IFERROR(VLOOKUP(DESPESAS[[#This Row],[Fornecedor]],Tabela2[],2,FALSE),"")</f>
        <v/>
      </c>
      <c r="J3305" s="77" t="str">
        <f>IFERROR(VLOOKUP(DESPESAS[[#This Row],[Plano de Contas]],BASE!$B$3:$F$119,4,FALSE),"")</f>
        <v>5 - DESPESAS ADMINISTRATIVAS</v>
      </c>
      <c r="K3305" s="77" t="str">
        <f>IFERROR(VLOOKUP(DESPESAS[[#This Row],[Plano de Contas]],BASE!$B$3:$H$119,5,FALSE),"")</f>
        <v>ADMINISTRATIVO</v>
      </c>
      <c r="L3305" s="77">
        <f>IFERROR(VLOOKUP(DESPESAS[[#This Row],[Plano de Contas]],BASE!$B$3:$H$119,6,FALSE),"")</f>
        <v>0</v>
      </c>
      <c r="M3305" s="77" t="str">
        <f>VLOOKUP(DESPESAS[[#This Row],[Plano de Contas]],BASE!$B$3:$H$119,7,FALSE)</f>
        <v>LETÍCIA</v>
      </c>
    </row>
    <row r="3306" spans="1:13" x14ac:dyDescent="0.25">
      <c r="A3306" s="74">
        <v>200485</v>
      </c>
      <c r="B3306" s="75" t="s">
        <v>686</v>
      </c>
      <c r="C3306" s="75" t="s">
        <v>687</v>
      </c>
      <c r="D3306" s="76">
        <v>46121</v>
      </c>
      <c r="E3306" s="75" t="s">
        <v>325</v>
      </c>
      <c r="F3306" s="74">
        <v>1576.06</v>
      </c>
      <c r="G3306" s="75" t="s">
        <v>561</v>
      </c>
      <c r="H3306" s="77" t="str">
        <f>VLOOKUP(DESPESAS[[#This Row],[Plano de Contas]],BASE!$B$3:$D$119,3,FALSE)</f>
        <v>Sistemas de Informação</v>
      </c>
      <c r="I3306" s="77" t="str">
        <f>IFERROR(VLOOKUP(DESPESAS[[#This Row],[Fornecedor]],Tabela2[],2,FALSE),"")</f>
        <v/>
      </c>
      <c r="J3306" s="77" t="str">
        <f>IFERROR(VLOOKUP(DESPESAS[[#This Row],[Plano de Contas]],BASE!$B$3:$F$119,4,FALSE),"")</f>
        <v>7 - SERVIÇOS DE TERCEIROS</v>
      </c>
      <c r="K3306" s="77" t="str">
        <f>IFERROR(VLOOKUP(DESPESAS[[#This Row],[Plano de Contas]],BASE!$B$3:$H$119,5,FALSE),"")</f>
        <v>MANUTENÇÃO / TI</v>
      </c>
      <c r="L3306" s="77">
        <f>IFERROR(VLOOKUP(DESPESAS[[#This Row],[Plano de Contas]],BASE!$B$3:$H$119,6,FALSE),"")</f>
        <v>0</v>
      </c>
      <c r="M3306" s="77" t="str">
        <f>VLOOKUP(DESPESAS[[#This Row],[Plano de Contas]],BASE!$B$3:$H$119,7,FALSE)</f>
        <v>LETÍCIA</v>
      </c>
    </row>
    <row r="3307" spans="1:13" x14ac:dyDescent="0.25">
      <c r="A3307" s="74">
        <v>200486</v>
      </c>
      <c r="B3307" s="75" t="s">
        <v>686</v>
      </c>
      <c r="C3307" s="75" t="s">
        <v>685</v>
      </c>
      <c r="D3307" s="76">
        <v>46121</v>
      </c>
      <c r="E3307" s="75" t="s">
        <v>325</v>
      </c>
      <c r="F3307" s="74">
        <v>55.16</v>
      </c>
      <c r="G3307" s="75" t="s">
        <v>561</v>
      </c>
      <c r="H3307" s="77" t="str">
        <f>VLOOKUP(DESPESAS[[#This Row],[Plano de Contas]],BASE!$B$3:$D$119,3,FALSE)</f>
        <v>Sistemas de Informação</v>
      </c>
      <c r="I3307" s="77" t="str">
        <f>IFERROR(VLOOKUP(DESPESAS[[#This Row],[Fornecedor]],Tabela2[],2,FALSE),"")</f>
        <v/>
      </c>
      <c r="J3307" s="77" t="str">
        <f>IFERROR(VLOOKUP(DESPESAS[[#This Row],[Plano de Contas]],BASE!$B$3:$F$119,4,FALSE),"")</f>
        <v>7 - SERVIÇOS DE TERCEIROS</v>
      </c>
      <c r="K3307" s="77" t="str">
        <f>IFERROR(VLOOKUP(DESPESAS[[#This Row],[Plano de Contas]],BASE!$B$3:$H$119,5,FALSE),"")</f>
        <v>MANUTENÇÃO / TI</v>
      </c>
      <c r="L3307" s="77">
        <f>IFERROR(VLOOKUP(DESPESAS[[#This Row],[Plano de Contas]],BASE!$B$3:$H$119,6,FALSE),"")</f>
        <v>0</v>
      </c>
      <c r="M3307" s="77" t="str">
        <f>VLOOKUP(DESPESAS[[#This Row],[Plano de Contas]],BASE!$B$3:$H$119,7,FALSE)</f>
        <v>LETÍCIA</v>
      </c>
    </row>
    <row r="3308" spans="1:13" x14ac:dyDescent="0.25">
      <c r="A3308" s="74">
        <v>200487</v>
      </c>
      <c r="B3308" s="75" t="s">
        <v>232</v>
      </c>
      <c r="C3308" s="75" t="s">
        <v>684</v>
      </c>
      <c r="D3308" s="76">
        <v>46121</v>
      </c>
      <c r="E3308" s="75" t="s">
        <v>683</v>
      </c>
      <c r="F3308" s="74">
        <v>220</v>
      </c>
      <c r="G3308" s="75" t="s">
        <v>588</v>
      </c>
      <c r="H3308" s="77" t="str">
        <f>VLOOKUP(DESPESAS[[#This Row],[Plano de Contas]],BASE!$B$3:$D$119,3,FALSE)</f>
        <v>Maquinas e Equipamentos</v>
      </c>
      <c r="I3308" s="77" t="str">
        <f>IFERROR(VLOOKUP(DESPESAS[[#This Row],[Fornecedor]],Tabela2[],2,FALSE),"")</f>
        <v/>
      </c>
      <c r="J3308" s="77" t="str">
        <f>IFERROR(VLOOKUP(DESPESAS[[#This Row],[Plano de Contas]],BASE!$B$3:$F$119,4,FALSE),"")</f>
        <v>9 - INVESTIMENTOS</v>
      </c>
      <c r="K3308" s="77" t="str">
        <f>IFERROR(VLOOKUP(DESPESAS[[#This Row],[Plano de Contas]],BASE!$B$3:$H$119,5,FALSE),"")</f>
        <v>MANUTENÇÃO / TI</v>
      </c>
      <c r="L3308" s="77">
        <f>IFERROR(VLOOKUP(DESPESAS[[#This Row],[Plano de Contas]],BASE!$B$3:$H$119,6,FALSE),"")</f>
        <v>0</v>
      </c>
      <c r="M3308" s="77" t="str">
        <f>VLOOKUP(DESPESAS[[#This Row],[Plano de Contas]],BASE!$B$3:$H$119,7,FALSE)</f>
        <v>RAFAEL</v>
      </c>
    </row>
    <row r="3309" spans="1:13" x14ac:dyDescent="0.25">
      <c r="A3309" s="74">
        <v>200488</v>
      </c>
      <c r="B3309" s="75" t="s">
        <v>232</v>
      </c>
      <c r="C3309" s="75" t="s">
        <v>682</v>
      </c>
      <c r="D3309" s="76">
        <v>46121</v>
      </c>
      <c r="E3309" s="75" t="s">
        <v>230</v>
      </c>
      <c r="F3309" s="74">
        <v>233.92</v>
      </c>
      <c r="G3309" s="75" t="s">
        <v>251</v>
      </c>
      <c r="H3309" s="77" t="str">
        <f>VLOOKUP(DESPESAS[[#This Row],[Plano de Contas]],BASE!$B$3:$D$119,3,FALSE)</f>
        <v>Juros Pagos - Antecipação de Crédito</v>
      </c>
      <c r="I3309" s="77" t="str">
        <f>IFERROR(VLOOKUP(DESPESAS[[#This Row],[Fornecedor]],Tabela2[],2,FALSE),"")</f>
        <v/>
      </c>
      <c r="J3309" s="77" t="str">
        <f>IFERROR(VLOOKUP(DESPESAS[[#This Row],[Plano de Contas]],BASE!$B$3:$F$119,4,FALSE),"")</f>
        <v>8 - DESPESAS FINANCEIRAS</v>
      </c>
      <c r="K3309" s="77" t="str">
        <f>IFERROR(VLOOKUP(DESPESAS[[#This Row],[Plano de Contas]],BASE!$B$3:$H$119,5,FALSE),"")</f>
        <v>FINANCEIRO</v>
      </c>
      <c r="L3309" s="77">
        <f>IFERROR(VLOOKUP(DESPESAS[[#This Row],[Plano de Contas]],BASE!$B$3:$H$119,6,FALSE),"")</f>
        <v>0</v>
      </c>
      <c r="M3309" s="77" t="str">
        <f>VLOOKUP(DESPESAS[[#This Row],[Plano de Contas]],BASE!$B$3:$H$119,7,FALSE)</f>
        <v>LETÍCIA</v>
      </c>
    </row>
    <row r="3310" spans="1:13" x14ac:dyDescent="0.25">
      <c r="A3310" s="74">
        <v>200489</v>
      </c>
      <c r="B3310" s="75" t="s">
        <v>232</v>
      </c>
      <c r="C3310" s="75" t="s">
        <v>681</v>
      </c>
      <c r="D3310" s="76">
        <v>46121</v>
      </c>
      <c r="E3310" s="75" t="s">
        <v>230</v>
      </c>
      <c r="F3310" s="74">
        <v>44.07</v>
      </c>
      <c r="G3310" s="75" t="s">
        <v>229</v>
      </c>
      <c r="H3310" s="77" t="str">
        <f>VLOOKUP(DESPESAS[[#This Row],[Plano de Contas]],BASE!$B$3:$D$119,3,FALSE)</f>
        <v>Despesas Bancarias</v>
      </c>
      <c r="I3310" s="77" t="str">
        <f>IFERROR(VLOOKUP(DESPESAS[[#This Row],[Fornecedor]],Tabela2[],2,FALSE),"")</f>
        <v/>
      </c>
      <c r="J3310" s="77" t="str">
        <f>IFERROR(VLOOKUP(DESPESAS[[#This Row],[Plano de Contas]],BASE!$B$3:$F$119,4,FALSE),"")</f>
        <v>8 - DESPESAS FINANCEIRAS</v>
      </c>
      <c r="K3310" s="77" t="str">
        <f>IFERROR(VLOOKUP(DESPESAS[[#This Row],[Plano de Contas]],BASE!$B$3:$H$119,5,FALSE),"")</f>
        <v>FINANCEIRO</v>
      </c>
      <c r="L3310" s="77">
        <f>IFERROR(VLOOKUP(DESPESAS[[#This Row],[Plano de Contas]],BASE!$B$3:$H$119,6,FALSE),"")</f>
        <v>0</v>
      </c>
      <c r="M3310" s="77" t="str">
        <f>VLOOKUP(DESPESAS[[#This Row],[Plano de Contas]],BASE!$B$3:$H$119,7,FALSE)</f>
        <v>LETÍCIA</v>
      </c>
    </row>
    <row r="3311" spans="1:13" x14ac:dyDescent="0.25">
      <c r="A3311" s="74">
        <v>200490</v>
      </c>
      <c r="B3311" s="75" t="s">
        <v>232</v>
      </c>
      <c r="C3311" s="75" t="s">
        <v>680</v>
      </c>
      <c r="D3311" s="76">
        <v>46121</v>
      </c>
      <c r="E3311" s="75" t="s">
        <v>230</v>
      </c>
      <c r="F3311" s="74">
        <v>146.24</v>
      </c>
      <c r="G3311" s="75" t="s">
        <v>229</v>
      </c>
      <c r="H3311" s="77" t="str">
        <f>VLOOKUP(DESPESAS[[#This Row],[Plano de Contas]],BASE!$B$3:$D$119,3,FALSE)</f>
        <v>Despesas Bancarias</v>
      </c>
      <c r="I3311" s="77" t="str">
        <f>IFERROR(VLOOKUP(DESPESAS[[#This Row],[Fornecedor]],Tabela2[],2,FALSE),"")</f>
        <v/>
      </c>
      <c r="J3311" s="77" t="str">
        <f>IFERROR(VLOOKUP(DESPESAS[[#This Row],[Plano de Contas]],BASE!$B$3:$F$119,4,FALSE),"")</f>
        <v>8 - DESPESAS FINANCEIRAS</v>
      </c>
      <c r="K3311" s="77" t="str">
        <f>IFERROR(VLOOKUP(DESPESAS[[#This Row],[Plano de Contas]],BASE!$B$3:$H$119,5,FALSE),"")</f>
        <v>FINANCEIRO</v>
      </c>
      <c r="L3311" s="77">
        <f>IFERROR(VLOOKUP(DESPESAS[[#This Row],[Plano de Contas]],BASE!$B$3:$H$119,6,FALSE),"")</f>
        <v>0</v>
      </c>
      <c r="M3311" s="77" t="str">
        <f>VLOOKUP(DESPESAS[[#This Row],[Plano de Contas]],BASE!$B$3:$H$119,7,FALSE)</f>
        <v>LETÍCIA</v>
      </c>
    </row>
    <row r="3312" spans="1:13" x14ac:dyDescent="0.25">
      <c r="A3312" s="74">
        <v>200491</v>
      </c>
      <c r="B3312" s="75" t="s">
        <v>221</v>
      </c>
      <c r="C3312" s="75" t="s">
        <v>679</v>
      </c>
      <c r="D3312" s="76">
        <v>46121</v>
      </c>
      <c r="E3312" s="75" t="s">
        <v>245</v>
      </c>
      <c r="F3312" s="74">
        <v>56</v>
      </c>
      <c r="G3312" s="75" t="s">
        <v>606</v>
      </c>
      <c r="H3312" s="77" t="str">
        <f>VLOOKUP(DESPESAS[[#This Row],[Plano de Contas]],BASE!$B$3:$D$119,3,FALSE)</f>
        <v>EPIs/Uniformes (Prod)</v>
      </c>
      <c r="I3312" s="77" t="str">
        <f>IFERROR(VLOOKUP(DESPESAS[[#This Row],[Fornecedor]],Tabela2[],2,FALSE),"")</f>
        <v>FERRAGENS GERAIS</v>
      </c>
      <c r="J3312" s="77" t="str">
        <f>IFERROR(VLOOKUP(DESPESAS[[#This Row],[Plano de Contas]],BASE!$B$3:$F$119,4,FALSE),"")</f>
        <v>2 - CUSTOS DIRETOS</v>
      </c>
      <c r="K3312" s="77" t="str">
        <f>IFERROR(VLOOKUP(DESPESAS[[#This Row],[Plano de Contas]],BASE!$B$3:$H$119,5,FALSE),"")</f>
        <v>COMPRAS</v>
      </c>
      <c r="L3312" s="77">
        <f>IFERROR(VLOOKUP(DESPESAS[[#This Row],[Plano de Contas]],BASE!$B$3:$H$119,6,FALSE),"")</f>
        <v>0</v>
      </c>
      <c r="M3312" s="77" t="str">
        <f>VLOOKUP(DESPESAS[[#This Row],[Plano de Contas]],BASE!$B$3:$H$119,7,FALSE)</f>
        <v>RAFAEL</v>
      </c>
    </row>
    <row r="3313" spans="1:13" x14ac:dyDescent="0.25">
      <c r="A3313" s="74">
        <v>200492</v>
      </c>
      <c r="B3313" s="75" t="s">
        <v>221</v>
      </c>
      <c r="C3313" s="75" t="s">
        <v>678</v>
      </c>
      <c r="D3313" s="76">
        <v>46121</v>
      </c>
      <c r="E3313" s="75" t="s">
        <v>677</v>
      </c>
      <c r="F3313" s="74">
        <v>30</v>
      </c>
      <c r="G3313" s="75" t="s">
        <v>244</v>
      </c>
      <c r="H3313" s="77" t="str">
        <f>VLOOKUP(DESPESAS[[#This Row],[Plano de Contas]],BASE!$B$3:$D$119,3,FALSE)</f>
        <v>Material de Expediente (Prod)</v>
      </c>
      <c r="I3313" s="77" t="str">
        <f>IFERROR(VLOOKUP(DESPESAS[[#This Row],[Fornecedor]],Tabela2[],2,FALSE),"")</f>
        <v/>
      </c>
      <c r="J3313" s="77" t="str">
        <f>IFERROR(VLOOKUP(DESPESAS[[#This Row],[Plano de Contas]],BASE!$B$3:$F$119,4,FALSE),"")</f>
        <v>2 - CUSTOS DIRETOS</v>
      </c>
      <c r="K3313" s="77" t="str">
        <f>IFERROR(VLOOKUP(DESPESAS[[#This Row],[Plano de Contas]],BASE!$B$3:$H$119,5,FALSE),"")</f>
        <v>PRODUÇÃO</v>
      </c>
      <c r="L3313" s="77">
        <f>IFERROR(VLOOKUP(DESPESAS[[#This Row],[Plano de Contas]],BASE!$B$3:$H$119,6,FALSE),"")</f>
        <v>0</v>
      </c>
      <c r="M3313" s="77" t="str">
        <f>VLOOKUP(DESPESAS[[#This Row],[Plano de Contas]],BASE!$B$3:$H$119,7,FALSE)</f>
        <v>RAFAEL</v>
      </c>
    </row>
    <row r="3314" spans="1:13" x14ac:dyDescent="0.25">
      <c r="A3314" s="74">
        <v>200493</v>
      </c>
      <c r="B3314" s="75" t="s">
        <v>232</v>
      </c>
      <c r="C3314" s="75" t="s">
        <v>676</v>
      </c>
      <c r="D3314" s="76">
        <v>46121</v>
      </c>
      <c r="E3314" s="75" t="s">
        <v>675</v>
      </c>
      <c r="F3314" s="74">
        <v>380</v>
      </c>
      <c r="G3314" s="75" t="s">
        <v>244</v>
      </c>
      <c r="H3314" s="77" t="str">
        <f>VLOOKUP(DESPESAS[[#This Row],[Plano de Contas]],BASE!$B$3:$D$119,3,FALSE)</f>
        <v>Material de Expediente (Prod)</v>
      </c>
      <c r="I3314" s="77" t="str">
        <f>IFERROR(VLOOKUP(DESPESAS[[#This Row],[Fornecedor]],Tabela2[],2,FALSE),"")</f>
        <v/>
      </c>
      <c r="J3314" s="77" t="str">
        <f>IFERROR(VLOOKUP(DESPESAS[[#This Row],[Plano de Contas]],BASE!$B$3:$F$119,4,FALSE),"")</f>
        <v>2 - CUSTOS DIRETOS</v>
      </c>
      <c r="K3314" s="77" t="str">
        <f>IFERROR(VLOOKUP(DESPESAS[[#This Row],[Plano de Contas]],BASE!$B$3:$H$119,5,FALSE),"")</f>
        <v>PRODUÇÃO</v>
      </c>
      <c r="L3314" s="77">
        <f>IFERROR(VLOOKUP(DESPESAS[[#This Row],[Plano de Contas]],BASE!$B$3:$H$119,6,FALSE),"")</f>
        <v>0</v>
      </c>
      <c r="M3314" s="77" t="str">
        <f>VLOOKUP(DESPESAS[[#This Row],[Plano de Contas]],BASE!$B$3:$H$119,7,FALSE)</f>
        <v>RAFAEL</v>
      </c>
    </row>
    <row r="3315" spans="1:13" x14ac:dyDescent="0.25">
      <c r="A3315" s="74">
        <v>200494</v>
      </c>
      <c r="B3315" s="75" t="s">
        <v>221</v>
      </c>
      <c r="C3315" s="75" t="s">
        <v>674</v>
      </c>
      <c r="D3315" s="76">
        <v>46121</v>
      </c>
      <c r="E3315" s="75" t="s">
        <v>320</v>
      </c>
      <c r="F3315" s="74">
        <v>107</v>
      </c>
      <c r="G3315" s="75" t="s">
        <v>222</v>
      </c>
      <c r="H3315" s="77" t="str">
        <f>VLOOKUP(DESPESAS[[#This Row],[Plano de Contas]],BASE!$B$3:$D$119,3,FALSE)</f>
        <v>Alimentação</v>
      </c>
      <c r="I3315" s="77" t="str">
        <f>IFERROR(VLOOKUP(DESPESAS[[#This Row],[Fornecedor]],Tabela2[],2,FALSE),"")</f>
        <v/>
      </c>
      <c r="J3315" s="77" t="str">
        <f>IFERROR(VLOOKUP(DESPESAS[[#This Row],[Plano de Contas]],BASE!$B$3:$F$119,4,FALSE),"")</f>
        <v>5 - DESPESAS ADMINISTRATIVAS</v>
      </c>
      <c r="K3315" s="77" t="str">
        <f>IFERROR(VLOOKUP(DESPESAS[[#This Row],[Plano de Contas]],BASE!$B$3:$H$119,5,FALSE),"")</f>
        <v>FINANCEIRO</v>
      </c>
      <c r="L3315" s="77">
        <f>IFERROR(VLOOKUP(DESPESAS[[#This Row],[Plano de Contas]],BASE!$B$3:$H$119,6,FALSE),"")</f>
        <v>0</v>
      </c>
      <c r="M3315" s="77" t="str">
        <f>VLOOKUP(DESPESAS[[#This Row],[Plano de Contas]],BASE!$B$3:$H$119,7,FALSE)</f>
        <v>MYLENA</v>
      </c>
    </row>
    <row r="3316" spans="1:13" x14ac:dyDescent="0.25">
      <c r="A3316" s="74">
        <v>200495</v>
      </c>
      <c r="B3316" s="75" t="s">
        <v>221</v>
      </c>
      <c r="C3316" s="75" t="s">
        <v>673</v>
      </c>
      <c r="D3316" s="76">
        <v>46121</v>
      </c>
      <c r="E3316" s="75" t="s">
        <v>301</v>
      </c>
      <c r="F3316" s="74">
        <v>80</v>
      </c>
      <c r="G3316" s="75" t="s">
        <v>247</v>
      </c>
      <c r="H3316" s="77" t="str">
        <f>VLOOKUP(DESPESAS[[#This Row],[Plano de Contas]],BASE!$B$3:$D$119,3,FALSE)</f>
        <v>Manutenção com veiculos</v>
      </c>
      <c r="I3316" s="77" t="str">
        <f>IFERROR(VLOOKUP(DESPESAS[[#This Row],[Fornecedor]],Tabela2[],2,FALSE),"")</f>
        <v/>
      </c>
      <c r="J3316" s="77" t="str">
        <f>IFERROR(VLOOKUP(DESPESAS[[#This Row],[Plano de Contas]],BASE!$B$3:$F$119,4,FALSE),"")</f>
        <v>6 - DESPESA COM VENDAS</v>
      </c>
      <c r="K3316" s="77" t="str">
        <f>IFERROR(VLOOKUP(DESPESAS[[#This Row],[Plano de Contas]],BASE!$B$3:$H$119,5,FALSE),"")</f>
        <v>LOGÍSTICA</v>
      </c>
      <c r="L3316" s="77">
        <f>IFERROR(VLOOKUP(DESPESAS[[#This Row],[Plano de Contas]],BASE!$B$3:$H$119,6,FALSE),"")</f>
        <v>0</v>
      </c>
      <c r="M3316" s="77" t="str">
        <f>VLOOKUP(DESPESAS[[#This Row],[Plano de Contas]],BASE!$B$3:$H$119,7,FALSE)</f>
        <v>MYLENA</v>
      </c>
    </row>
    <row r="3317" spans="1:13" x14ac:dyDescent="0.25">
      <c r="A3317" s="74">
        <v>200496</v>
      </c>
      <c r="B3317" s="75" t="s">
        <v>232</v>
      </c>
      <c r="C3317" s="75" t="s">
        <v>672</v>
      </c>
      <c r="D3317" s="76">
        <v>46121</v>
      </c>
      <c r="E3317" s="75" t="s">
        <v>391</v>
      </c>
      <c r="F3317" s="74">
        <v>1778.04</v>
      </c>
      <c r="G3317" s="75" t="s">
        <v>241</v>
      </c>
      <c r="H3317" s="77" t="str">
        <f>VLOOKUP(DESPESAS[[#This Row],[Plano de Contas]],BASE!$B$3:$D$119,3,FALSE)</f>
        <v>Combustiveis Frota</v>
      </c>
      <c r="I3317" s="77" t="str">
        <f>IFERROR(VLOOKUP(DESPESAS[[#This Row],[Fornecedor]],Tabela2[],2,FALSE),"")</f>
        <v/>
      </c>
      <c r="J3317" s="77" t="str">
        <f>IFERROR(VLOOKUP(DESPESAS[[#This Row],[Plano de Contas]],BASE!$B$3:$F$119,4,FALSE),"")</f>
        <v>6 - DESPESA COM VENDAS</v>
      </c>
      <c r="K3317" s="77" t="str">
        <f>IFERROR(VLOOKUP(DESPESAS[[#This Row],[Plano de Contas]],BASE!$B$3:$H$119,5,FALSE),"")</f>
        <v>LOGÍSTICA</v>
      </c>
      <c r="L3317" s="77">
        <f>IFERROR(VLOOKUP(DESPESAS[[#This Row],[Plano de Contas]],BASE!$B$3:$H$119,6,FALSE),"")</f>
        <v>0</v>
      </c>
      <c r="M3317" s="77" t="str">
        <f>VLOOKUP(DESPESAS[[#This Row],[Plano de Contas]],BASE!$B$3:$H$119,7,FALSE)</f>
        <v>MYLENA</v>
      </c>
    </row>
    <row r="3318" spans="1:13" x14ac:dyDescent="0.25">
      <c r="A3318" s="74">
        <v>200497</v>
      </c>
      <c r="B3318" s="75" t="s">
        <v>232</v>
      </c>
      <c r="C3318" s="75" t="s">
        <v>671</v>
      </c>
      <c r="D3318" s="76">
        <v>46121</v>
      </c>
      <c r="E3318" s="75" t="s">
        <v>669</v>
      </c>
      <c r="F3318" s="74">
        <v>2313.23</v>
      </c>
      <c r="G3318" s="75" t="s">
        <v>241</v>
      </c>
      <c r="H3318" s="77" t="str">
        <f>VLOOKUP(DESPESAS[[#This Row],[Plano de Contas]],BASE!$B$3:$D$119,3,FALSE)</f>
        <v>Combustiveis Frota</v>
      </c>
      <c r="I3318" s="77" t="str">
        <f>IFERROR(VLOOKUP(DESPESAS[[#This Row],[Fornecedor]],Tabela2[],2,FALSE),"")</f>
        <v/>
      </c>
      <c r="J3318" s="77" t="str">
        <f>IFERROR(VLOOKUP(DESPESAS[[#This Row],[Plano de Contas]],BASE!$B$3:$F$119,4,FALSE),"")</f>
        <v>6 - DESPESA COM VENDAS</v>
      </c>
      <c r="K3318" s="77" t="str">
        <f>IFERROR(VLOOKUP(DESPESAS[[#This Row],[Plano de Contas]],BASE!$B$3:$H$119,5,FALSE),"")</f>
        <v>LOGÍSTICA</v>
      </c>
      <c r="L3318" s="77">
        <f>IFERROR(VLOOKUP(DESPESAS[[#This Row],[Plano de Contas]],BASE!$B$3:$H$119,6,FALSE),"")</f>
        <v>0</v>
      </c>
      <c r="M3318" s="77" t="str">
        <f>VLOOKUP(DESPESAS[[#This Row],[Plano de Contas]],BASE!$B$3:$H$119,7,FALSE)</f>
        <v>MYLENA</v>
      </c>
    </row>
    <row r="3319" spans="1:13" x14ac:dyDescent="0.25">
      <c r="A3319" s="74">
        <v>200498</v>
      </c>
      <c r="B3319" s="75" t="s">
        <v>232</v>
      </c>
      <c r="C3319" s="75" t="s">
        <v>670</v>
      </c>
      <c r="D3319" s="76">
        <v>46121</v>
      </c>
      <c r="E3319" s="75" t="s">
        <v>669</v>
      </c>
      <c r="F3319" s="74">
        <v>48.61</v>
      </c>
      <c r="G3319" s="75" t="s">
        <v>241</v>
      </c>
      <c r="H3319" s="77" t="str">
        <f>VLOOKUP(DESPESAS[[#This Row],[Plano de Contas]],BASE!$B$3:$D$119,3,FALSE)</f>
        <v>Combustiveis Frota</v>
      </c>
      <c r="I3319" s="77" t="str">
        <f>IFERROR(VLOOKUP(DESPESAS[[#This Row],[Fornecedor]],Tabela2[],2,FALSE),"")</f>
        <v/>
      </c>
      <c r="J3319" s="77" t="str">
        <f>IFERROR(VLOOKUP(DESPESAS[[#This Row],[Plano de Contas]],BASE!$B$3:$F$119,4,FALSE),"")</f>
        <v>6 - DESPESA COM VENDAS</v>
      </c>
      <c r="K3319" s="77" t="str">
        <f>IFERROR(VLOOKUP(DESPESAS[[#This Row],[Plano de Contas]],BASE!$B$3:$H$119,5,FALSE),"")</f>
        <v>LOGÍSTICA</v>
      </c>
      <c r="L3319" s="77">
        <f>IFERROR(VLOOKUP(DESPESAS[[#This Row],[Plano de Contas]],BASE!$B$3:$H$119,6,FALSE),"")</f>
        <v>0</v>
      </c>
      <c r="M3319" s="77" t="str">
        <f>VLOOKUP(DESPESAS[[#This Row],[Plano de Contas]],BASE!$B$3:$H$119,7,FALSE)</f>
        <v>MYLENA</v>
      </c>
    </row>
    <row r="3320" spans="1:13" x14ac:dyDescent="0.25">
      <c r="A3320" s="74">
        <v>200499</v>
      </c>
      <c r="B3320" s="75" t="s">
        <v>232</v>
      </c>
      <c r="C3320" s="75" t="s">
        <v>668</v>
      </c>
      <c r="D3320" s="76">
        <v>46121</v>
      </c>
      <c r="E3320" s="75" t="s">
        <v>391</v>
      </c>
      <c r="F3320" s="74">
        <v>73</v>
      </c>
      <c r="G3320" s="75" t="s">
        <v>241</v>
      </c>
      <c r="H3320" s="77" t="str">
        <f>VLOOKUP(DESPESAS[[#This Row],[Plano de Contas]],BASE!$B$3:$D$119,3,FALSE)</f>
        <v>Combustiveis Frota</v>
      </c>
      <c r="I3320" s="77" t="str">
        <f>IFERROR(VLOOKUP(DESPESAS[[#This Row],[Fornecedor]],Tabela2[],2,FALSE),"")</f>
        <v/>
      </c>
      <c r="J3320" s="77" t="str">
        <f>IFERROR(VLOOKUP(DESPESAS[[#This Row],[Plano de Contas]],BASE!$B$3:$F$119,4,FALSE),"")</f>
        <v>6 - DESPESA COM VENDAS</v>
      </c>
      <c r="K3320" s="77" t="str">
        <f>IFERROR(VLOOKUP(DESPESAS[[#This Row],[Plano de Contas]],BASE!$B$3:$H$119,5,FALSE),"")</f>
        <v>LOGÍSTICA</v>
      </c>
      <c r="L3320" s="77">
        <f>IFERROR(VLOOKUP(DESPESAS[[#This Row],[Plano de Contas]],BASE!$B$3:$H$119,6,FALSE),"")</f>
        <v>0</v>
      </c>
      <c r="M3320" s="77" t="str">
        <f>VLOOKUP(DESPESAS[[#This Row],[Plano de Contas]],BASE!$B$3:$H$119,7,FALSE)</f>
        <v>MYLENA</v>
      </c>
    </row>
    <row r="3321" spans="1:13" x14ac:dyDescent="0.25">
      <c r="A3321" s="74">
        <v>200500</v>
      </c>
      <c r="B3321" s="75" t="s">
        <v>221</v>
      </c>
      <c r="C3321" s="75" t="s">
        <v>667</v>
      </c>
      <c r="D3321" s="76">
        <v>46121</v>
      </c>
      <c r="E3321" s="75" t="s">
        <v>242</v>
      </c>
      <c r="F3321" s="74">
        <v>364.32</v>
      </c>
      <c r="G3321" s="75" t="s">
        <v>241</v>
      </c>
      <c r="H3321" s="77" t="str">
        <f>VLOOKUP(DESPESAS[[#This Row],[Plano de Contas]],BASE!$B$3:$D$119,3,FALSE)</f>
        <v>Combustiveis Frota</v>
      </c>
      <c r="I3321" s="77" t="str">
        <f>IFERROR(VLOOKUP(DESPESAS[[#This Row],[Fornecedor]],Tabela2[],2,FALSE),"")</f>
        <v/>
      </c>
      <c r="J3321" s="77" t="str">
        <f>IFERROR(VLOOKUP(DESPESAS[[#This Row],[Plano de Contas]],BASE!$B$3:$F$119,4,FALSE),"")</f>
        <v>6 - DESPESA COM VENDAS</v>
      </c>
      <c r="K3321" s="77" t="str">
        <f>IFERROR(VLOOKUP(DESPESAS[[#This Row],[Plano de Contas]],BASE!$B$3:$H$119,5,FALSE),"")</f>
        <v>LOGÍSTICA</v>
      </c>
      <c r="L3321" s="77">
        <f>IFERROR(VLOOKUP(DESPESAS[[#This Row],[Plano de Contas]],BASE!$B$3:$H$119,6,FALSE),"")</f>
        <v>0</v>
      </c>
      <c r="M3321" s="77" t="str">
        <f>VLOOKUP(DESPESAS[[#This Row],[Plano de Contas]],BASE!$B$3:$H$119,7,FALSE)</f>
        <v>MYLENA</v>
      </c>
    </row>
    <row r="3322" spans="1:13" x14ac:dyDescent="0.25">
      <c r="A3322" s="74">
        <v>200501</v>
      </c>
      <c r="B3322" s="75" t="s">
        <v>221</v>
      </c>
      <c r="C3322" s="75" t="s">
        <v>666</v>
      </c>
      <c r="D3322" s="76">
        <v>46121</v>
      </c>
      <c r="E3322" s="75" t="s">
        <v>242</v>
      </c>
      <c r="F3322" s="74">
        <v>498.41</v>
      </c>
      <c r="G3322" s="75" t="s">
        <v>241</v>
      </c>
      <c r="H3322" s="77" t="str">
        <f>VLOOKUP(DESPESAS[[#This Row],[Plano de Contas]],BASE!$B$3:$D$119,3,FALSE)</f>
        <v>Combustiveis Frota</v>
      </c>
      <c r="I3322" s="77" t="str">
        <f>IFERROR(VLOOKUP(DESPESAS[[#This Row],[Fornecedor]],Tabela2[],2,FALSE),"")</f>
        <v/>
      </c>
      <c r="J3322" s="77" t="str">
        <f>IFERROR(VLOOKUP(DESPESAS[[#This Row],[Plano de Contas]],BASE!$B$3:$F$119,4,FALSE),"")</f>
        <v>6 - DESPESA COM VENDAS</v>
      </c>
      <c r="K3322" s="77" t="str">
        <f>IFERROR(VLOOKUP(DESPESAS[[#This Row],[Plano de Contas]],BASE!$B$3:$H$119,5,FALSE),"")</f>
        <v>LOGÍSTICA</v>
      </c>
      <c r="L3322" s="77">
        <f>IFERROR(VLOOKUP(DESPESAS[[#This Row],[Plano de Contas]],BASE!$B$3:$H$119,6,FALSE),"")</f>
        <v>0</v>
      </c>
      <c r="M3322" s="77" t="str">
        <f>VLOOKUP(DESPESAS[[#This Row],[Plano de Contas]],BASE!$B$3:$H$119,7,FALSE)</f>
        <v>MYLENA</v>
      </c>
    </row>
    <row r="3323" spans="1:13" x14ac:dyDescent="0.25">
      <c r="A3323" s="74">
        <v>200502</v>
      </c>
      <c r="B3323" s="75" t="s">
        <v>232</v>
      </c>
      <c r="C3323" s="75" t="s">
        <v>665</v>
      </c>
      <c r="D3323" s="76">
        <v>46113</v>
      </c>
      <c r="E3323" s="75" t="s">
        <v>640</v>
      </c>
      <c r="F3323" s="74">
        <v>96.8</v>
      </c>
      <c r="G3323" s="75" t="s">
        <v>627</v>
      </c>
      <c r="H3323" s="77" t="str">
        <f>VLOOKUP(DESPESAS[[#This Row],[Plano de Contas]],BASE!$B$3:$D$119,3,FALSE)</f>
        <v>Salarios e Ordenados (Adm)</v>
      </c>
      <c r="I3323" s="77" t="str">
        <f>IFERROR(VLOOKUP(DESPESAS[[#This Row],[Fornecedor]],Tabela2[],2,FALSE),"")</f>
        <v/>
      </c>
      <c r="J3323" s="77" t="str">
        <f>IFERROR(VLOOKUP(DESPESAS[[#This Row],[Plano de Contas]],BASE!$B$3:$F$119,4,FALSE),"")</f>
        <v>4 - GASTOS COM PESSOAL</v>
      </c>
      <c r="K3323" s="77" t="str">
        <f>IFERROR(VLOOKUP(DESPESAS[[#This Row],[Plano de Contas]],BASE!$B$3:$H$119,5,FALSE),"")</f>
        <v>DH</v>
      </c>
      <c r="L3323" s="77">
        <f>IFERROR(VLOOKUP(DESPESAS[[#This Row],[Plano de Contas]],BASE!$B$3:$H$119,6,FALSE),"")</f>
        <v>0</v>
      </c>
      <c r="M3323" s="77" t="str">
        <f>VLOOKUP(DESPESAS[[#This Row],[Plano de Contas]],BASE!$B$3:$H$119,7,FALSE)</f>
        <v>RAFAEL</v>
      </c>
    </row>
    <row r="3324" spans="1:13" x14ac:dyDescent="0.25">
      <c r="A3324" s="74">
        <v>200503</v>
      </c>
      <c r="B3324" s="75" t="s">
        <v>232</v>
      </c>
      <c r="C3324" s="75" t="s">
        <v>664</v>
      </c>
      <c r="D3324" s="76">
        <v>46113</v>
      </c>
      <c r="E3324" s="75" t="s">
        <v>640</v>
      </c>
      <c r="F3324" s="74">
        <v>150.24</v>
      </c>
      <c r="G3324" s="75" t="s">
        <v>430</v>
      </c>
      <c r="H3324" s="77" t="str">
        <f>VLOOKUP(DESPESAS[[#This Row],[Plano de Contas]],BASE!$B$3:$D$119,3,FALSE)</f>
        <v>Salarios e Ordenados MOD</v>
      </c>
      <c r="I3324" s="77" t="str">
        <f>IFERROR(VLOOKUP(DESPESAS[[#This Row],[Fornecedor]],Tabela2[],2,FALSE),"")</f>
        <v/>
      </c>
      <c r="J3324" s="77" t="str">
        <f>IFERROR(VLOOKUP(DESPESAS[[#This Row],[Plano de Contas]],BASE!$B$3:$F$119,4,FALSE),"")</f>
        <v>2 - CUSTOS DIRETOS</v>
      </c>
      <c r="K3324" s="77" t="str">
        <f>IFERROR(VLOOKUP(DESPESAS[[#This Row],[Plano de Contas]],BASE!$B$3:$H$119,5,FALSE),"")</f>
        <v>DH</v>
      </c>
      <c r="L3324" s="77" t="str">
        <f>IFERROR(VLOOKUP(DESPESAS[[#This Row],[Plano de Contas]],BASE!$B$3:$H$119,6,FALSE),"")</f>
        <v>CUSTO MÃO DE OBRA DIRETA</v>
      </c>
      <c r="M3324" s="77" t="str">
        <f>VLOOKUP(DESPESAS[[#This Row],[Plano de Contas]],BASE!$B$3:$H$119,7,FALSE)</f>
        <v>RAFAEL</v>
      </c>
    </row>
    <row r="3325" spans="1:13" x14ac:dyDescent="0.25">
      <c r="A3325" s="74">
        <v>200504</v>
      </c>
      <c r="B3325" s="75" t="s">
        <v>232</v>
      </c>
      <c r="C3325" s="75" t="s">
        <v>655</v>
      </c>
      <c r="D3325" s="76">
        <v>46113</v>
      </c>
      <c r="E3325" s="75" t="s">
        <v>640</v>
      </c>
      <c r="F3325" s="74">
        <v>486.93</v>
      </c>
      <c r="G3325" s="75" t="s">
        <v>627</v>
      </c>
      <c r="H3325" s="77" t="str">
        <f>VLOOKUP(DESPESAS[[#This Row],[Plano de Contas]],BASE!$B$3:$D$119,3,FALSE)</f>
        <v>Salarios e Ordenados (Adm)</v>
      </c>
      <c r="I3325" s="77" t="str">
        <f>IFERROR(VLOOKUP(DESPESAS[[#This Row],[Fornecedor]],Tabela2[],2,FALSE),"")</f>
        <v/>
      </c>
      <c r="J3325" s="77" t="str">
        <f>IFERROR(VLOOKUP(DESPESAS[[#This Row],[Plano de Contas]],BASE!$B$3:$F$119,4,FALSE),"")</f>
        <v>4 - GASTOS COM PESSOAL</v>
      </c>
      <c r="K3325" s="77" t="str">
        <f>IFERROR(VLOOKUP(DESPESAS[[#This Row],[Plano de Contas]],BASE!$B$3:$H$119,5,FALSE),"")</f>
        <v>DH</v>
      </c>
      <c r="L3325" s="77">
        <f>IFERROR(VLOOKUP(DESPESAS[[#This Row],[Plano de Contas]],BASE!$B$3:$H$119,6,FALSE),"")</f>
        <v>0</v>
      </c>
      <c r="M3325" s="77" t="str">
        <f>VLOOKUP(DESPESAS[[#This Row],[Plano de Contas]],BASE!$B$3:$H$119,7,FALSE)</f>
        <v>RAFAEL</v>
      </c>
    </row>
    <row r="3326" spans="1:13" x14ac:dyDescent="0.25">
      <c r="A3326" s="74">
        <v>200505</v>
      </c>
      <c r="B3326" s="75" t="s">
        <v>232</v>
      </c>
      <c r="C3326" s="75" t="s">
        <v>652</v>
      </c>
      <c r="D3326" s="76">
        <v>46113</v>
      </c>
      <c r="E3326" s="75" t="s">
        <v>640</v>
      </c>
      <c r="F3326" s="74">
        <v>310.33</v>
      </c>
      <c r="G3326" s="75" t="s">
        <v>430</v>
      </c>
      <c r="H3326" s="77" t="str">
        <f>VLOOKUP(DESPESAS[[#This Row],[Plano de Contas]],BASE!$B$3:$D$119,3,FALSE)</f>
        <v>Salarios e Ordenados MOD</v>
      </c>
      <c r="I3326" s="77" t="str">
        <f>IFERROR(VLOOKUP(DESPESAS[[#This Row],[Fornecedor]],Tabela2[],2,FALSE),"")</f>
        <v/>
      </c>
      <c r="J3326" s="77" t="str">
        <f>IFERROR(VLOOKUP(DESPESAS[[#This Row],[Plano de Contas]],BASE!$B$3:$F$119,4,FALSE),"")</f>
        <v>2 - CUSTOS DIRETOS</v>
      </c>
      <c r="K3326" s="77" t="str">
        <f>IFERROR(VLOOKUP(DESPESAS[[#This Row],[Plano de Contas]],BASE!$B$3:$H$119,5,FALSE),"")</f>
        <v>DH</v>
      </c>
      <c r="L3326" s="77" t="str">
        <f>IFERROR(VLOOKUP(DESPESAS[[#This Row],[Plano de Contas]],BASE!$B$3:$H$119,6,FALSE),"")</f>
        <v>CUSTO MÃO DE OBRA DIRETA</v>
      </c>
      <c r="M3326" s="77" t="str">
        <f>VLOOKUP(DESPESAS[[#This Row],[Plano de Contas]],BASE!$B$3:$H$119,7,FALSE)</f>
        <v>RAFAEL</v>
      </c>
    </row>
    <row r="3327" spans="1:13" x14ac:dyDescent="0.25">
      <c r="A3327" s="74">
        <v>200506</v>
      </c>
      <c r="B3327" s="75" t="s">
        <v>232</v>
      </c>
      <c r="C3327" s="75" t="s">
        <v>651</v>
      </c>
      <c r="D3327" s="76">
        <v>46113</v>
      </c>
      <c r="E3327" s="75" t="s">
        <v>640</v>
      </c>
      <c r="F3327" s="74">
        <v>321.14999999999998</v>
      </c>
      <c r="G3327" s="75" t="s">
        <v>644</v>
      </c>
      <c r="H3327" s="77" t="str">
        <f>VLOOKUP(DESPESAS[[#This Row],[Plano de Contas]],BASE!$B$3:$D$119,3,FALSE)</f>
        <v>Gratificações (Adm)</v>
      </c>
      <c r="I3327" s="77" t="str">
        <f>IFERROR(VLOOKUP(DESPESAS[[#This Row],[Fornecedor]],Tabela2[],2,FALSE),"")</f>
        <v/>
      </c>
      <c r="J3327" s="77" t="str">
        <f>IFERROR(VLOOKUP(DESPESAS[[#This Row],[Plano de Contas]],BASE!$B$3:$F$119,4,FALSE),"")</f>
        <v>4 - GASTOS COM PESSOAL</v>
      </c>
      <c r="K3327" s="77" t="str">
        <f>IFERROR(VLOOKUP(DESPESAS[[#This Row],[Plano de Contas]],BASE!$B$3:$H$119,5,FALSE),"")</f>
        <v>DH</v>
      </c>
      <c r="L3327" s="77">
        <f>IFERROR(VLOOKUP(DESPESAS[[#This Row],[Plano de Contas]],BASE!$B$3:$H$119,6,FALSE),"")</f>
        <v>0</v>
      </c>
      <c r="M3327" s="77" t="str">
        <f>VLOOKUP(DESPESAS[[#This Row],[Plano de Contas]],BASE!$B$3:$H$119,7,FALSE)</f>
        <v>RAFAEL</v>
      </c>
    </row>
    <row r="3328" spans="1:13" x14ac:dyDescent="0.25">
      <c r="A3328" s="74">
        <v>200507</v>
      </c>
      <c r="B3328" s="75" t="s">
        <v>232</v>
      </c>
      <c r="C3328" s="75" t="s">
        <v>648</v>
      </c>
      <c r="D3328" s="76">
        <v>46113</v>
      </c>
      <c r="E3328" s="75" t="s">
        <v>640</v>
      </c>
      <c r="F3328" s="74">
        <v>170.8</v>
      </c>
      <c r="G3328" s="75" t="s">
        <v>642</v>
      </c>
      <c r="H3328" s="77" t="str">
        <f>VLOOKUP(DESPESAS[[#This Row],[Plano de Contas]],BASE!$B$3:$D$119,3,FALSE)</f>
        <v>Gratificacoes MOD</v>
      </c>
      <c r="I3328" s="77" t="str">
        <f>IFERROR(VLOOKUP(DESPESAS[[#This Row],[Fornecedor]],Tabela2[],2,FALSE),"")</f>
        <v/>
      </c>
      <c r="J3328" s="77" t="str">
        <f>IFERROR(VLOOKUP(DESPESAS[[#This Row],[Plano de Contas]],BASE!$B$3:$F$119,4,FALSE),"")</f>
        <v>2 - CUSTOS DIRETOS</v>
      </c>
      <c r="K3328" s="77" t="str">
        <f>IFERROR(VLOOKUP(DESPESAS[[#This Row],[Plano de Contas]],BASE!$B$3:$H$119,5,FALSE),"")</f>
        <v>DH</v>
      </c>
      <c r="L3328" s="77" t="str">
        <f>IFERROR(VLOOKUP(DESPESAS[[#This Row],[Plano de Contas]],BASE!$B$3:$H$119,6,FALSE),"")</f>
        <v>CUSTO MÃO DE OBRA DIRETA</v>
      </c>
      <c r="M3328" s="77" t="str">
        <f>VLOOKUP(DESPESAS[[#This Row],[Plano de Contas]],BASE!$B$3:$H$119,7,FALSE)</f>
        <v>RAFAEL</v>
      </c>
    </row>
    <row r="3329" spans="1:13" x14ac:dyDescent="0.25">
      <c r="A3329" s="74">
        <v>200508</v>
      </c>
      <c r="B3329" s="75" t="s">
        <v>232</v>
      </c>
      <c r="C3329" s="75" t="s">
        <v>663</v>
      </c>
      <c r="D3329" s="76">
        <v>46113</v>
      </c>
      <c r="E3329" s="75" t="s">
        <v>640</v>
      </c>
      <c r="F3329" s="74">
        <v>322.89999999999998</v>
      </c>
      <c r="G3329" s="75" t="s">
        <v>365</v>
      </c>
      <c r="H3329" s="77" t="str">
        <f>VLOOKUP(DESPESAS[[#This Row],[Plano de Contas]],BASE!$B$3:$D$119,3,FALSE)</f>
        <v>Pró-Labore</v>
      </c>
      <c r="I3329" s="77" t="str">
        <f>IFERROR(VLOOKUP(DESPESAS[[#This Row],[Fornecedor]],Tabela2[],2,FALSE),"")</f>
        <v/>
      </c>
      <c r="J3329" s="77" t="str">
        <f>IFERROR(VLOOKUP(DESPESAS[[#This Row],[Plano de Contas]],BASE!$B$3:$F$119,4,FALSE),"")</f>
        <v>4 - GASTOS COM PESSOAL</v>
      </c>
      <c r="K3329" s="77" t="str">
        <f>IFERROR(VLOOKUP(DESPESAS[[#This Row],[Plano de Contas]],BASE!$B$3:$H$119,5,FALSE),"")</f>
        <v>DIRETORIA</v>
      </c>
      <c r="L3329" s="77">
        <f>IFERROR(VLOOKUP(DESPESAS[[#This Row],[Plano de Contas]],BASE!$B$3:$H$119,6,FALSE),"")</f>
        <v>0</v>
      </c>
      <c r="M3329" s="77" t="str">
        <f>VLOOKUP(DESPESAS[[#This Row],[Plano de Contas]],BASE!$B$3:$H$119,7,FALSE)</f>
        <v>FÁBIO</v>
      </c>
    </row>
    <row r="3330" spans="1:13" x14ac:dyDescent="0.25">
      <c r="A3330" s="74">
        <v>200509</v>
      </c>
      <c r="B3330" s="75" t="s">
        <v>232</v>
      </c>
      <c r="C3330" s="75" t="s">
        <v>662</v>
      </c>
      <c r="D3330" s="76">
        <v>46113</v>
      </c>
      <c r="E3330" s="75" t="s">
        <v>640</v>
      </c>
      <c r="F3330" s="74">
        <v>400.26</v>
      </c>
      <c r="G3330" s="75" t="s">
        <v>627</v>
      </c>
      <c r="H3330" s="77" t="str">
        <f>VLOOKUP(DESPESAS[[#This Row],[Plano de Contas]],BASE!$B$3:$D$119,3,FALSE)</f>
        <v>Salarios e Ordenados (Adm)</v>
      </c>
      <c r="I3330" s="77" t="str">
        <f>IFERROR(VLOOKUP(DESPESAS[[#This Row],[Fornecedor]],Tabela2[],2,FALSE),"")</f>
        <v/>
      </c>
      <c r="J3330" s="77" t="str">
        <f>IFERROR(VLOOKUP(DESPESAS[[#This Row],[Plano de Contas]],BASE!$B$3:$F$119,4,FALSE),"")</f>
        <v>4 - GASTOS COM PESSOAL</v>
      </c>
      <c r="K3330" s="77" t="str">
        <f>IFERROR(VLOOKUP(DESPESAS[[#This Row],[Plano de Contas]],BASE!$B$3:$H$119,5,FALSE),"")</f>
        <v>DH</v>
      </c>
      <c r="L3330" s="77">
        <f>IFERROR(VLOOKUP(DESPESAS[[#This Row],[Plano de Contas]],BASE!$B$3:$H$119,6,FALSE),"")</f>
        <v>0</v>
      </c>
      <c r="M3330" s="77" t="str">
        <f>VLOOKUP(DESPESAS[[#This Row],[Plano de Contas]],BASE!$B$3:$H$119,7,FALSE)</f>
        <v>RAFAEL</v>
      </c>
    </row>
    <row r="3331" spans="1:13" x14ac:dyDescent="0.25">
      <c r="A3331" s="74">
        <v>200510</v>
      </c>
      <c r="B3331" s="75" t="s">
        <v>232</v>
      </c>
      <c r="C3331" s="75" t="s">
        <v>661</v>
      </c>
      <c r="D3331" s="76">
        <v>46113</v>
      </c>
      <c r="E3331" s="75" t="s">
        <v>640</v>
      </c>
      <c r="F3331" s="74">
        <v>279.83999999999997</v>
      </c>
      <c r="G3331" s="75" t="s">
        <v>653</v>
      </c>
      <c r="H3331" s="77" t="str">
        <f>VLOOKUP(DESPESAS[[#This Row],[Plano de Contas]],BASE!$B$3:$D$119,3,FALSE)</f>
        <v>Salarios e Ordenados CIF</v>
      </c>
      <c r="I3331" s="77" t="str">
        <f>IFERROR(VLOOKUP(DESPESAS[[#This Row],[Fornecedor]],Tabela2[],2,FALSE),"")</f>
        <v/>
      </c>
      <c r="J3331" s="77" t="str">
        <f>IFERROR(VLOOKUP(DESPESAS[[#This Row],[Plano de Contas]],BASE!$B$3:$F$119,4,FALSE),"")</f>
        <v>3 - CUSTOS INDIRETOS</v>
      </c>
      <c r="K3331" s="77" t="str">
        <f>IFERROR(VLOOKUP(DESPESAS[[#This Row],[Plano de Contas]],BASE!$B$3:$H$119,5,FALSE),"")</f>
        <v>DH</v>
      </c>
      <c r="L3331" s="77" t="str">
        <f>IFERROR(VLOOKUP(DESPESAS[[#This Row],[Plano de Contas]],BASE!$B$3:$H$119,6,FALSE),"")</f>
        <v>CUSTO MÃO DE OBRA DIRETA</v>
      </c>
      <c r="M3331" s="77" t="str">
        <f>VLOOKUP(DESPESAS[[#This Row],[Plano de Contas]],BASE!$B$3:$H$119,7,FALSE)</f>
        <v>RAFAEL</v>
      </c>
    </row>
    <row r="3332" spans="1:13" x14ac:dyDescent="0.25">
      <c r="A3332" s="74">
        <v>200511</v>
      </c>
      <c r="B3332" s="75" t="s">
        <v>232</v>
      </c>
      <c r="C3332" s="75" t="s">
        <v>660</v>
      </c>
      <c r="D3332" s="76">
        <v>46113</v>
      </c>
      <c r="E3332" s="75" t="s">
        <v>640</v>
      </c>
      <c r="F3332" s="74">
        <v>1069.99</v>
      </c>
      <c r="G3332" s="75" t="s">
        <v>430</v>
      </c>
      <c r="H3332" s="77" t="str">
        <f>VLOOKUP(DESPESAS[[#This Row],[Plano de Contas]],BASE!$B$3:$D$119,3,FALSE)</f>
        <v>Salarios e Ordenados MOD</v>
      </c>
      <c r="I3332" s="77" t="str">
        <f>IFERROR(VLOOKUP(DESPESAS[[#This Row],[Fornecedor]],Tabela2[],2,FALSE),"")</f>
        <v/>
      </c>
      <c r="J3332" s="77" t="str">
        <f>IFERROR(VLOOKUP(DESPESAS[[#This Row],[Plano de Contas]],BASE!$B$3:$F$119,4,FALSE),"")</f>
        <v>2 - CUSTOS DIRETOS</v>
      </c>
      <c r="K3332" s="77" t="str">
        <f>IFERROR(VLOOKUP(DESPESAS[[#This Row],[Plano de Contas]],BASE!$B$3:$H$119,5,FALSE),"")</f>
        <v>DH</v>
      </c>
      <c r="L3332" s="77" t="str">
        <f>IFERROR(VLOOKUP(DESPESAS[[#This Row],[Plano de Contas]],BASE!$B$3:$H$119,6,FALSE),"")</f>
        <v>CUSTO MÃO DE OBRA DIRETA</v>
      </c>
      <c r="M3332" s="77" t="str">
        <f>VLOOKUP(DESPESAS[[#This Row],[Plano de Contas]],BASE!$B$3:$H$119,7,FALSE)</f>
        <v>RAFAEL</v>
      </c>
    </row>
    <row r="3333" spans="1:13" x14ac:dyDescent="0.25">
      <c r="A3333" s="74">
        <v>200512</v>
      </c>
      <c r="B3333" s="75" t="s">
        <v>232</v>
      </c>
      <c r="C3333" s="75" t="s">
        <v>659</v>
      </c>
      <c r="D3333" s="76">
        <v>46113</v>
      </c>
      <c r="E3333" s="75" t="s">
        <v>640</v>
      </c>
      <c r="F3333" s="74">
        <v>184.09</v>
      </c>
      <c r="G3333" s="75" t="s">
        <v>644</v>
      </c>
      <c r="H3333" s="77" t="str">
        <f>VLOOKUP(DESPESAS[[#This Row],[Plano de Contas]],BASE!$B$3:$D$119,3,FALSE)</f>
        <v>Gratificações (Adm)</v>
      </c>
      <c r="I3333" s="77" t="str">
        <f>IFERROR(VLOOKUP(DESPESAS[[#This Row],[Fornecedor]],Tabela2[],2,FALSE),"")</f>
        <v/>
      </c>
      <c r="J3333" s="77" t="str">
        <f>IFERROR(VLOOKUP(DESPESAS[[#This Row],[Plano de Contas]],BASE!$B$3:$F$119,4,FALSE),"")</f>
        <v>4 - GASTOS COM PESSOAL</v>
      </c>
      <c r="K3333" s="77" t="str">
        <f>IFERROR(VLOOKUP(DESPESAS[[#This Row],[Plano de Contas]],BASE!$B$3:$H$119,5,FALSE),"")</f>
        <v>DH</v>
      </c>
      <c r="L3333" s="77">
        <f>IFERROR(VLOOKUP(DESPESAS[[#This Row],[Plano de Contas]],BASE!$B$3:$H$119,6,FALSE),"")</f>
        <v>0</v>
      </c>
      <c r="M3333" s="77" t="str">
        <f>VLOOKUP(DESPESAS[[#This Row],[Plano de Contas]],BASE!$B$3:$H$119,7,FALSE)</f>
        <v>RAFAEL</v>
      </c>
    </row>
    <row r="3334" spans="1:13" x14ac:dyDescent="0.25">
      <c r="A3334" s="74">
        <v>200513</v>
      </c>
      <c r="B3334" s="75" t="s">
        <v>232</v>
      </c>
      <c r="C3334" s="75" t="s">
        <v>658</v>
      </c>
      <c r="D3334" s="76">
        <v>46113</v>
      </c>
      <c r="E3334" s="75" t="s">
        <v>640</v>
      </c>
      <c r="F3334" s="74">
        <v>279.82</v>
      </c>
      <c r="G3334" s="75" t="s">
        <v>649</v>
      </c>
      <c r="H3334" s="77" t="str">
        <f>VLOOKUP(DESPESAS[[#This Row],[Plano de Contas]],BASE!$B$3:$D$119,3,FALSE)</f>
        <v>Gratificações CIF</v>
      </c>
      <c r="I3334" s="77" t="str">
        <f>IFERROR(VLOOKUP(DESPESAS[[#This Row],[Fornecedor]],Tabela2[],2,FALSE),"")</f>
        <v/>
      </c>
      <c r="J3334" s="77" t="str">
        <f>IFERROR(VLOOKUP(DESPESAS[[#This Row],[Plano de Contas]],BASE!$B$3:$F$119,4,FALSE),"")</f>
        <v>3 - CUSTOS INDIRETOS</v>
      </c>
      <c r="K3334" s="77" t="str">
        <f>IFERROR(VLOOKUP(DESPESAS[[#This Row],[Plano de Contas]],BASE!$B$3:$H$119,5,FALSE),"")</f>
        <v>DH</v>
      </c>
      <c r="L3334" s="77" t="str">
        <f>IFERROR(VLOOKUP(DESPESAS[[#This Row],[Plano de Contas]],BASE!$B$3:$H$119,6,FALSE),"")</f>
        <v>CUSTO MÃO DE OBRA DIRETA</v>
      </c>
      <c r="M3334" s="77" t="str">
        <f>VLOOKUP(DESPESAS[[#This Row],[Plano de Contas]],BASE!$B$3:$H$119,7,FALSE)</f>
        <v>RAFAEL</v>
      </c>
    </row>
    <row r="3335" spans="1:13" x14ac:dyDescent="0.25">
      <c r="A3335" s="74">
        <v>200514</v>
      </c>
      <c r="B3335" s="75" t="s">
        <v>232</v>
      </c>
      <c r="C3335" s="75" t="s">
        <v>657</v>
      </c>
      <c r="D3335" s="76">
        <v>46113</v>
      </c>
      <c r="E3335" s="75" t="s">
        <v>640</v>
      </c>
      <c r="F3335" s="74">
        <v>574</v>
      </c>
      <c r="G3335" s="75" t="s">
        <v>642</v>
      </c>
      <c r="H3335" s="77" t="str">
        <f>VLOOKUP(DESPESAS[[#This Row],[Plano de Contas]],BASE!$B$3:$D$119,3,FALSE)</f>
        <v>Gratificacoes MOD</v>
      </c>
      <c r="I3335" s="77" t="str">
        <f>IFERROR(VLOOKUP(DESPESAS[[#This Row],[Fornecedor]],Tabela2[],2,FALSE),"")</f>
        <v/>
      </c>
      <c r="J3335" s="77" t="str">
        <f>IFERROR(VLOOKUP(DESPESAS[[#This Row],[Plano de Contas]],BASE!$B$3:$F$119,4,FALSE),"")</f>
        <v>2 - CUSTOS DIRETOS</v>
      </c>
      <c r="K3335" s="77" t="str">
        <f>IFERROR(VLOOKUP(DESPESAS[[#This Row],[Plano de Contas]],BASE!$B$3:$H$119,5,FALSE),"")</f>
        <v>DH</v>
      </c>
      <c r="L3335" s="77" t="str">
        <f>IFERROR(VLOOKUP(DESPESAS[[#This Row],[Plano de Contas]],BASE!$B$3:$H$119,6,FALSE),"")</f>
        <v>CUSTO MÃO DE OBRA DIRETA</v>
      </c>
      <c r="M3335" s="77" t="str">
        <f>VLOOKUP(DESPESAS[[#This Row],[Plano de Contas]],BASE!$B$3:$H$119,7,FALSE)</f>
        <v>RAFAEL</v>
      </c>
    </row>
    <row r="3336" spans="1:13" x14ac:dyDescent="0.25">
      <c r="A3336" s="74">
        <v>200515</v>
      </c>
      <c r="B3336" s="75" t="s">
        <v>232</v>
      </c>
      <c r="C3336" s="75" t="s">
        <v>656</v>
      </c>
      <c r="D3336" s="76">
        <v>46113</v>
      </c>
      <c r="E3336" s="75" t="s">
        <v>640</v>
      </c>
      <c r="F3336" s="74">
        <v>476.9</v>
      </c>
      <c r="G3336" s="75" t="s">
        <v>627</v>
      </c>
      <c r="H3336" s="77" t="str">
        <f>VLOOKUP(DESPESAS[[#This Row],[Plano de Contas]],BASE!$B$3:$D$119,3,FALSE)</f>
        <v>Salarios e Ordenados (Adm)</v>
      </c>
      <c r="I3336" s="77" t="str">
        <f>IFERROR(VLOOKUP(DESPESAS[[#This Row],[Fornecedor]],Tabela2[],2,FALSE),"")</f>
        <v/>
      </c>
      <c r="J3336" s="77" t="str">
        <f>IFERROR(VLOOKUP(DESPESAS[[#This Row],[Plano de Contas]],BASE!$B$3:$F$119,4,FALSE),"")</f>
        <v>4 - GASTOS COM PESSOAL</v>
      </c>
      <c r="K3336" s="77" t="str">
        <f>IFERROR(VLOOKUP(DESPESAS[[#This Row],[Plano de Contas]],BASE!$B$3:$H$119,5,FALSE),"")</f>
        <v>DH</v>
      </c>
      <c r="L3336" s="77">
        <f>IFERROR(VLOOKUP(DESPESAS[[#This Row],[Plano de Contas]],BASE!$B$3:$H$119,6,FALSE),"")</f>
        <v>0</v>
      </c>
      <c r="M3336" s="77" t="str">
        <f>VLOOKUP(DESPESAS[[#This Row],[Plano de Contas]],BASE!$B$3:$H$119,7,FALSE)</f>
        <v>RAFAEL</v>
      </c>
    </row>
    <row r="3337" spans="1:13" x14ac:dyDescent="0.25">
      <c r="A3337" s="74">
        <v>200516</v>
      </c>
      <c r="B3337" s="75" t="s">
        <v>279</v>
      </c>
      <c r="C3337" s="75" t="s">
        <v>655</v>
      </c>
      <c r="D3337" s="76">
        <v>46113</v>
      </c>
      <c r="E3337" s="75" t="s">
        <v>640</v>
      </c>
      <c r="F3337" s="74">
        <v>259.67</v>
      </c>
      <c r="G3337" s="75" t="s">
        <v>627</v>
      </c>
      <c r="H3337" s="77" t="str">
        <f>VLOOKUP(DESPESAS[[#This Row],[Plano de Contas]],BASE!$B$3:$D$119,3,FALSE)</f>
        <v>Salarios e Ordenados (Adm)</v>
      </c>
      <c r="I3337" s="77" t="str">
        <f>IFERROR(VLOOKUP(DESPESAS[[#This Row],[Fornecedor]],Tabela2[],2,FALSE),"")</f>
        <v/>
      </c>
      <c r="J3337" s="77" t="str">
        <f>IFERROR(VLOOKUP(DESPESAS[[#This Row],[Plano de Contas]],BASE!$B$3:$F$119,4,FALSE),"")</f>
        <v>4 - GASTOS COM PESSOAL</v>
      </c>
      <c r="K3337" s="77" t="str">
        <f>IFERROR(VLOOKUP(DESPESAS[[#This Row],[Plano de Contas]],BASE!$B$3:$H$119,5,FALSE),"")</f>
        <v>DH</v>
      </c>
      <c r="L3337" s="77">
        <f>IFERROR(VLOOKUP(DESPESAS[[#This Row],[Plano de Contas]],BASE!$B$3:$H$119,6,FALSE),"")</f>
        <v>0</v>
      </c>
      <c r="M3337" s="77" t="str">
        <f>VLOOKUP(DESPESAS[[#This Row],[Plano de Contas]],BASE!$B$3:$H$119,7,FALSE)</f>
        <v>RAFAEL</v>
      </c>
    </row>
    <row r="3338" spans="1:13" x14ac:dyDescent="0.25">
      <c r="A3338" s="74">
        <v>200517</v>
      </c>
      <c r="B3338" s="75" t="s">
        <v>279</v>
      </c>
      <c r="C3338" s="75" t="s">
        <v>654</v>
      </c>
      <c r="D3338" s="76">
        <v>46113</v>
      </c>
      <c r="E3338" s="75" t="s">
        <v>640</v>
      </c>
      <c r="F3338" s="74">
        <v>315.42</v>
      </c>
      <c r="G3338" s="75" t="s">
        <v>653</v>
      </c>
      <c r="H3338" s="77" t="str">
        <f>VLOOKUP(DESPESAS[[#This Row],[Plano de Contas]],BASE!$B$3:$D$119,3,FALSE)</f>
        <v>Salarios e Ordenados CIF</v>
      </c>
      <c r="I3338" s="77" t="str">
        <f>IFERROR(VLOOKUP(DESPESAS[[#This Row],[Fornecedor]],Tabela2[],2,FALSE),"")</f>
        <v/>
      </c>
      <c r="J3338" s="77" t="str">
        <f>IFERROR(VLOOKUP(DESPESAS[[#This Row],[Plano de Contas]],BASE!$B$3:$F$119,4,FALSE),"")</f>
        <v>3 - CUSTOS INDIRETOS</v>
      </c>
      <c r="K3338" s="77" t="str">
        <f>IFERROR(VLOOKUP(DESPESAS[[#This Row],[Plano de Contas]],BASE!$B$3:$H$119,5,FALSE),"")</f>
        <v>DH</v>
      </c>
      <c r="L3338" s="77" t="str">
        <f>IFERROR(VLOOKUP(DESPESAS[[#This Row],[Plano de Contas]],BASE!$B$3:$H$119,6,FALSE),"")</f>
        <v>CUSTO MÃO DE OBRA DIRETA</v>
      </c>
      <c r="M3338" s="77" t="str">
        <f>VLOOKUP(DESPESAS[[#This Row],[Plano de Contas]],BASE!$B$3:$H$119,7,FALSE)</f>
        <v>RAFAEL</v>
      </c>
    </row>
    <row r="3339" spans="1:13" x14ac:dyDescent="0.25">
      <c r="A3339" s="74">
        <v>200518</v>
      </c>
      <c r="B3339" s="75" t="s">
        <v>279</v>
      </c>
      <c r="C3339" s="75" t="s">
        <v>652</v>
      </c>
      <c r="D3339" s="76">
        <v>46113</v>
      </c>
      <c r="E3339" s="75" t="s">
        <v>640</v>
      </c>
      <c r="F3339" s="74">
        <v>348.24</v>
      </c>
      <c r="G3339" s="75" t="s">
        <v>430</v>
      </c>
      <c r="H3339" s="77" t="str">
        <f>VLOOKUP(DESPESAS[[#This Row],[Plano de Contas]],BASE!$B$3:$D$119,3,FALSE)</f>
        <v>Salarios e Ordenados MOD</v>
      </c>
      <c r="I3339" s="77" t="str">
        <f>IFERROR(VLOOKUP(DESPESAS[[#This Row],[Fornecedor]],Tabela2[],2,FALSE),"")</f>
        <v/>
      </c>
      <c r="J3339" s="77" t="str">
        <f>IFERROR(VLOOKUP(DESPESAS[[#This Row],[Plano de Contas]],BASE!$B$3:$F$119,4,FALSE),"")</f>
        <v>2 - CUSTOS DIRETOS</v>
      </c>
      <c r="K3339" s="77" t="str">
        <f>IFERROR(VLOOKUP(DESPESAS[[#This Row],[Plano de Contas]],BASE!$B$3:$H$119,5,FALSE),"")</f>
        <v>DH</v>
      </c>
      <c r="L3339" s="77" t="str">
        <f>IFERROR(VLOOKUP(DESPESAS[[#This Row],[Plano de Contas]],BASE!$B$3:$H$119,6,FALSE),"")</f>
        <v>CUSTO MÃO DE OBRA DIRETA</v>
      </c>
      <c r="M3339" s="77" t="str">
        <f>VLOOKUP(DESPESAS[[#This Row],[Plano de Contas]],BASE!$B$3:$H$119,7,FALSE)</f>
        <v>RAFAEL</v>
      </c>
    </row>
    <row r="3340" spans="1:13" x14ac:dyDescent="0.25">
      <c r="A3340" s="74">
        <v>200519</v>
      </c>
      <c r="B3340" s="75" t="s">
        <v>279</v>
      </c>
      <c r="C3340" s="75" t="s">
        <v>651</v>
      </c>
      <c r="D3340" s="76">
        <v>46113</v>
      </c>
      <c r="E3340" s="75" t="s">
        <v>640</v>
      </c>
      <c r="F3340" s="74">
        <v>259.67</v>
      </c>
      <c r="G3340" s="75" t="s">
        <v>644</v>
      </c>
      <c r="H3340" s="77" t="str">
        <f>VLOOKUP(DESPESAS[[#This Row],[Plano de Contas]],BASE!$B$3:$D$119,3,FALSE)</f>
        <v>Gratificações (Adm)</v>
      </c>
      <c r="I3340" s="77" t="str">
        <f>IFERROR(VLOOKUP(DESPESAS[[#This Row],[Fornecedor]],Tabela2[],2,FALSE),"")</f>
        <v/>
      </c>
      <c r="J3340" s="77" t="str">
        <f>IFERROR(VLOOKUP(DESPESAS[[#This Row],[Plano de Contas]],BASE!$B$3:$F$119,4,FALSE),"")</f>
        <v>4 - GASTOS COM PESSOAL</v>
      </c>
      <c r="K3340" s="77" t="str">
        <f>IFERROR(VLOOKUP(DESPESAS[[#This Row],[Plano de Contas]],BASE!$B$3:$H$119,5,FALSE),"")</f>
        <v>DH</v>
      </c>
      <c r="L3340" s="77">
        <f>IFERROR(VLOOKUP(DESPESAS[[#This Row],[Plano de Contas]],BASE!$B$3:$H$119,6,FALSE),"")</f>
        <v>0</v>
      </c>
      <c r="M3340" s="77" t="str">
        <f>VLOOKUP(DESPESAS[[#This Row],[Plano de Contas]],BASE!$B$3:$H$119,7,FALSE)</f>
        <v>RAFAEL</v>
      </c>
    </row>
    <row r="3341" spans="1:13" x14ac:dyDescent="0.25">
      <c r="A3341" s="74">
        <v>200520</v>
      </c>
      <c r="B3341" s="75" t="s">
        <v>279</v>
      </c>
      <c r="C3341" s="75" t="s">
        <v>650</v>
      </c>
      <c r="D3341" s="76">
        <v>46113</v>
      </c>
      <c r="E3341" s="75" t="s">
        <v>640</v>
      </c>
      <c r="F3341" s="74">
        <v>149.63999999999999</v>
      </c>
      <c r="G3341" s="75" t="s">
        <v>649</v>
      </c>
      <c r="H3341" s="77" t="str">
        <f>VLOOKUP(DESPESAS[[#This Row],[Plano de Contas]],BASE!$B$3:$D$119,3,FALSE)</f>
        <v>Gratificações CIF</v>
      </c>
      <c r="I3341" s="77" t="str">
        <f>IFERROR(VLOOKUP(DESPESAS[[#This Row],[Fornecedor]],Tabela2[],2,FALSE),"")</f>
        <v/>
      </c>
      <c r="J3341" s="77" t="str">
        <f>IFERROR(VLOOKUP(DESPESAS[[#This Row],[Plano de Contas]],BASE!$B$3:$F$119,4,FALSE),"")</f>
        <v>3 - CUSTOS INDIRETOS</v>
      </c>
      <c r="K3341" s="77" t="str">
        <f>IFERROR(VLOOKUP(DESPESAS[[#This Row],[Plano de Contas]],BASE!$B$3:$H$119,5,FALSE),"")</f>
        <v>DH</v>
      </c>
      <c r="L3341" s="77" t="str">
        <f>IFERROR(VLOOKUP(DESPESAS[[#This Row],[Plano de Contas]],BASE!$B$3:$H$119,6,FALSE),"")</f>
        <v>CUSTO MÃO DE OBRA DIRETA</v>
      </c>
      <c r="M3341" s="77" t="str">
        <f>VLOOKUP(DESPESAS[[#This Row],[Plano de Contas]],BASE!$B$3:$H$119,7,FALSE)</f>
        <v>RAFAEL</v>
      </c>
    </row>
    <row r="3342" spans="1:13" x14ac:dyDescent="0.25">
      <c r="A3342" s="74">
        <v>200521</v>
      </c>
      <c r="B3342" s="75" t="s">
        <v>279</v>
      </c>
      <c r="C3342" s="75" t="s">
        <v>648</v>
      </c>
      <c r="D3342" s="76">
        <v>46113</v>
      </c>
      <c r="E3342" s="75" t="s">
        <v>640</v>
      </c>
      <c r="F3342" s="74">
        <v>208.71</v>
      </c>
      <c r="G3342" s="75" t="s">
        <v>642</v>
      </c>
      <c r="H3342" s="77" t="str">
        <f>VLOOKUP(DESPESAS[[#This Row],[Plano de Contas]],BASE!$B$3:$D$119,3,FALSE)</f>
        <v>Gratificacoes MOD</v>
      </c>
      <c r="I3342" s="77" t="str">
        <f>IFERROR(VLOOKUP(DESPESAS[[#This Row],[Fornecedor]],Tabela2[],2,FALSE),"")</f>
        <v/>
      </c>
      <c r="J3342" s="77" t="str">
        <f>IFERROR(VLOOKUP(DESPESAS[[#This Row],[Plano de Contas]],BASE!$B$3:$F$119,4,FALSE),"")</f>
        <v>2 - CUSTOS DIRETOS</v>
      </c>
      <c r="K3342" s="77" t="str">
        <f>IFERROR(VLOOKUP(DESPESAS[[#This Row],[Plano de Contas]],BASE!$B$3:$H$119,5,FALSE),"")</f>
        <v>DH</v>
      </c>
      <c r="L3342" s="77" t="str">
        <f>IFERROR(VLOOKUP(DESPESAS[[#This Row],[Plano de Contas]],BASE!$B$3:$H$119,6,FALSE),"")</f>
        <v>CUSTO MÃO DE OBRA DIRETA</v>
      </c>
      <c r="M3342" s="77" t="str">
        <f>VLOOKUP(DESPESAS[[#This Row],[Plano de Contas]],BASE!$B$3:$H$119,7,FALSE)</f>
        <v>RAFAEL</v>
      </c>
    </row>
    <row r="3343" spans="1:13" x14ac:dyDescent="0.25">
      <c r="A3343" s="74">
        <v>200522</v>
      </c>
      <c r="B3343" s="75" t="s">
        <v>279</v>
      </c>
      <c r="C3343" s="75" t="s">
        <v>647</v>
      </c>
      <c r="D3343" s="76">
        <v>46113</v>
      </c>
      <c r="E3343" s="75" t="s">
        <v>640</v>
      </c>
      <c r="F3343" s="74">
        <v>2667.13</v>
      </c>
      <c r="G3343" s="75" t="s">
        <v>627</v>
      </c>
      <c r="H3343" s="77" t="str">
        <f>VLOOKUP(DESPESAS[[#This Row],[Plano de Contas]],BASE!$B$3:$D$119,3,FALSE)</f>
        <v>Salarios e Ordenados (Adm)</v>
      </c>
      <c r="I3343" s="77" t="str">
        <f>IFERROR(VLOOKUP(DESPESAS[[#This Row],[Fornecedor]],Tabela2[],2,FALSE),"")</f>
        <v/>
      </c>
      <c r="J3343" s="77" t="str">
        <f>IFERROR(VLOOKUP(DESPESAS[[#This Row],[Plano de Contas]],BASE!$B$3:$F$119,4,FALSE),"")</f>
        <v>4 - GASTOS COM PESSOAL</v>
      </c>
      <c r="K3343" s="77" t="str">
        <f>IFERROR(VLOOKUP(DESPESAS[[#This Row],[Plano de Contas]],BASE!$B$3:$H$119,5,FALSE),"")</f>
        <v>DH</v>
      </c>
      <c r="L3343" s="77">
        <f>IFERROR(VLOOKUP(DESPESAS[[#This Row],[Plano de Contas]],BASE!$B$3:$H$119,6,FALSE),"")</f>
        <v>0</v>
      </c>
      <c r="M3343" s="77" t="str">
        <f>VLOOKUP(DESPESAS[[#This Row],[Plano de Contas]],BASE!$B$3:$H$119,7,FALSE)</f>
        <v>RAFAEL</v>
      </c>
    </row>
    <row r="3344" spans="1:13" x14ac:dyDescent="0.25">
      <c r="A3344" s="74">
        <v>200523</v>
      </c>
      <c r="B3344" s="75" t="s">
        <v>279</v>
      </c>
      <c r="C3344" s="75" t="s">
        <v>646</v>
      </c>
      <c r="D3344" s="76">
        <v>46113</v>
      </c>
      <c r="E3344" s="75" t="s">
        <v>640</v>
      </c>
      <c r="F3344" s="74">
        <v>1066.93</v>
      </c>
      <c r="G3344" s="75" t="s">
        <v>430</v>
      </c>
      <c r="H3344" s="77" t="str">
        <f>VLOOKUP(DESPESAS[[#This Row],[Plano de Contas]],BASE!$B$3:$D$119,3,FALSE)</f>
        <v>Salarios e Ordenados MOD</v>
      </c>
      <c r="I3344" s="77" t="str">
        <f>IFERROR(VLOOKUP(DESPESAS[[#This Row],[Fornecedor]],Tabela2[],2,FALSE),"")</f>
        <v/>
      </c>
      <c r="J3344" s="77" t="str">
        <f>IFERROR(VLOOKUP(DESPESAS[[#This Row],[Plano de Contas]],BASE!$B$3:$F$119,4,FALSE),"")</f>
        <v>2 - CUSTOS DIRETOS</v>
      </c>
      <c r="K3344" s="77" t="str">
        <f>IFERROR(VLOOKUP(DESPESAS[[#This Row],[Plano de Contas]],BASE!$B$3:$H$119,5,FALSE),"")</f>
        <v>DH</v>
      </c>
      <c r="L3344" s="77" t="str">
        <f>IFERROR(VLOOKUP(DESPESAS[[#This Row],[Plano de Contas]],BASE!$B$3:$H$119,6,FALSE),"")</f>
        <v>CUSTO MÃO DE OBRA DIRETA</v>
      </c>
      <c r="M3344" s="77" t="str">
        <f>VLOOKUP(DESPESAS[[#This Row],[Plano de Contas]],BASE!$B$3:$H$119,7,FALSE)</f>
        <v>RAFAEL</v>
      </c>
    </row>
    <row r="3345" spans="1:13" x14ac:dyDescent="0.25">
      <c r="A3345" s="74">
        <v>200524</v>
      </c>
      <c r="B3345" s="75" t="s">
        <v>279</v>
      </c>
      <c r="C3345" s="75" t="s">
        <v>645</v>
      </c>
      <c r="D3345" s="76">
        <v>46113</v>
      </c>
      <c r="E3345" s="75" t="s">
        <v>640</v>
      </c>
      <c r="F3345" s="74">
        <v>1215.33</v>
      </c>
      <c r="G3345" s="75" t="s">
        <v>644</v>
      </c>
      <c r="H3345" s="77" t="str">
        <f>VLOOKUP(DESPESAS[[#This Row],[Plano de Contas]],BASE!$B$3:$D$119,3,FALSE)</f>
        <v>Gratificações (Adm)</v>
      </c>
      <c r="I3345" s="77" t="str">
        <f>IFERROR(VLOOKUP(DESPESAS[[#This Row],[Fornecedor]],Tabela2[],2,FALSE),"")</f>
        <v/>
      </c>
      <c r="J3345" s="77" t="str">
        <f>IFERROR(VLOOKUP(DESPESAS[[#This Row],[Plano de Contas]],BASE!$B$3:$F$119,4,FALSE),"")</f>
        <v>4 - GASTOS COM PESSOAL</v>
      </c>
      <c r="K3345" s="77" t="str">
        <f>IFERROR(VLOOKUP(DESPESAS[[#This Row],[Plano de Contas]],BASE!$B$3:$H$119,5,FALSE),"")</f>
        <v>DH</v>
      </c>
      <c r="L3345" s="77">
        <f>IFERROR(VLOOKUP(DESPESAS[[#This Row],[Plano de Contas]],BASE!$B$3:$H$119,6,FALSE),"")</f>
        <v>0</v>
      </c>
      <c r="M3345" s="77" t="str">
        <f>VLOOKUP(DESPESAS[[#This Row],[Plano de Contas]],BASE!$B$3:$H$119,7,FALSE)</f>
        <v>RAFAEL</v>
      </c>
    </row>
    <row r="3346" spans="1:13" x14ac:dyDescent="0.25">
      <c r="A3346" s="74">
        <v>200525</v>
      </c>
      <c r="B3346" s="75" t="s">
        <v>279</v>
      </c>
      <c r="C3346" s="75" t="s">
        <v>643</v>
      </c>
      <c r="D3346" s="76">
        <v>46113</v>
      </c>
      <c r="E3346" s="75" t="s">
        <v>640</v>
      </c>
      <c r="F3346" s="74">
        <v>634.59</v>
      </c>
      <c r="G3346" s="75" t="s">
        <v>642</v>
      </c>
      <c r="H3346" s="77" t="str">
        <f>VLOOKUP(DESPESAS[[#This Row],[Plano de Contas]],BASE!$B$3:$D$119,3,FALSE)</f>
        <v>Gratificacoes MOD</v>
      </c>
      <c r="I3346" s="77" t="str">
        <f>IFERROR(VLOOKUP(DESPESAS[[#This Row],[Fornecedor]],Tabela2[],2,FALSE),"")</f>
        <v/>
      </c>
      <c r="J3346" s="77" t="str">
        <f>IFERROR(VLOOKUP(DESPESAS[[#This Row],[Plano de Contas]],BASE!$B$3:$F$119,4,FALSE),"")</f>
        <v>2 - CUSTOS DIRETOS</v>
      </c>
      <c r="K3346" s="77" t="str">
        <f>IFERROR(VLOOKUP(DESPESAS[[#This Row],[Plano de Contas]],BASE!$B$3:$H$119,5,FALSE),"")</f>
        <v>DH</v>
      </c>
      <c r="L3346" s="77" t="str">
        <f>IFERROR(VLOOKUP(DESPESAS[[#This Row],[Plano de Contas]],BASE!$B$3:$H$119,6,FALSE),"")</f>
        <v>CUSTO MÃO DE OBRA DIRETA</v>
      </c>
      <c r="M3346" s="77" t="str">
        <f>VLOOKUP(DESPESAS[[#This Row],[Plano de Contas]],BASE!$B$3:$H$119,7,FALSE)</f>
        <v>RAFAEL</v>
      </c>
    </row>
    <row r="3347" spans="1:13" x14ac:dyDescent="0.25">
      <c r="A3347" s="74">
        <v>200526</v>
      </c>
      <c r="B3347" s="75" t="s">
        <v>279</v>
      </c>
      <c r="C3347" s="75" t="s">
        <v>641</v>
      </c>
      <c r="D3347" s="76">
        <v>46113</v>
      </c>
      <c r="E3347" s="75" t="s">
        <v>640</v>
      </c>
      <c r="F3347" s="74">
        <v>975.87</v>
      </c>
      <c r="G3347" s="75" t="s">
        <v>627</v>
      </c>
      <c r="H3347" s="77" t="str">
        <f>VLOOKUP(DESPESAS[[#This Row],[Plano de Contas]],BASE!$B$3:$D$119,3,FALSE)</f>
        <v>Salarios e Ordenados (Adm)</v>
      </c>
      <c r="I3347" s="77" t="str">
        <f>IFERROR(VLOOKUP(DESPESAS[[#This Row],[Fornecedor]],Tabela2[],2,FALSE),"")</f>
        <v/>
      </c>
      <c r="J3347" s="77" t="str">
        <f>IFERROR(VLOOKUP(DESPESAS[[#This Row],[Plano de Contas]],BASE!$B$3:$F$119,4,FALSE),"")</f>
        <v>4 - GASTOS COM PESSOAL</v>
      </c>
      <c r="K3347" s="77" t="str">
        <f>IFERROR(VLOOKUP(DESPESAS[[#This Row],[Plano de Contas]],BASE!$B$3:$H$119,5,FALSE),"")</f>
        <v>DH</v>
      </c>
      <c r="L3347" s="77">
        <f>IFERROR(VLOOKUP(DESPESAS[[#This Row],[Plano de Contas]],BASE!$B$3:$H$119,6,FALSE),"")</f>
        <v>0</v>
      </c>
      <c r="M3347" s="77" t="str">
        <f>VLOOKUP(DESPESAS[[#This Row],[Plano de Contas]],BASE!$B$3:$H$119,7,FALSE)</f>
        <v>RAFAEL</v>
      </c>
    </row>
    <row r="3348" spans="1:13" x14ac:dyDescent="0.25">
      <c r="A3348" s="74">
        <v>200527</v>
      </c>
      <c r="B3348" s="75" t="s">
        <v>232</v>
      </c>
      <c r="C3348" s="75" t="s">
        <v>639</v>
      </c>
      <c r="D3348" s="76">
        <v>46121</v>
      </c>
      <c r="E3348" s="75" t="s">
        <v>230</v>
      </c>
      <c r="F3348" s="74">
        <v>11.85</v>
      </c>
      <c r="G3348" s="75" t="s">
        <v>236</v>
      </c>
      <c r="H3348" s="77" t="str">
        <f>VLOOKUP(DESPESAS[[#This Row],[Plano de Contas]],BASE!$B$3:$D$119,3,FALSE)</f>
        <v>Despesas de Cobranca</v>
      </c>
      <c r="I3348" s="77" t="str">
        <f>IFERROR(VLOOKUP(DESPESAS[[#This Row],[Fornecedor]],Tabela2[],2,FALSE),"")</f>
        <v/>
      </c>
      <c r="J3348" s="77" t="str">
        <f>IFERROR(VLOOKUP(DESPESAS[[#This Row],[Plano de Contas]],BASE!$B$3:$F$119,4,FALSE),"")</f>
        <v>8 - DESPESAS FINANCEIRAS</v>
      </c>
      <c r="K3348" s="77" t="str">
        <f>IFERROR(VLOOKUP(DESPESAS[[#This Row],[Plano de Contas]],BASE!$B$3:$H$119,5,FALSE),"")</f>
        <v>FINANCEIRO</v>
      </c>
      <c r="L3348" s="77">
        <f>IFERROR(VLOOKUP(DESPESAS[[#This Row],[Plano de Contas]],BASE!$B$3:$H$119,6,FALSE),"")</f>
        <v>0</v>
      </c>
      <c r="M3348" s="77" t="str">
        <f>VLOOKUP(DESPESAS[[#This Row],[Plano de Contas]],BASE!$B$3:$H$119,7,FALSE)</f>
        <v>LETÍCIA</v>
      </c>
    </row>
    <row r="3349" spans="1:13" x14ac:dyDescent="0.25">
      <c r="A3349" s="74">
        <v>200528</v>
      </c>
      <c r="B3349" s="75" t="s">
        <v>279</v>
      </c>
      <c r="C3349" s="75" t="s">
        <v>638</v>
      </c>
      <c r="D3349" s="76">
        <v>46121</v>
      </c>
      <c r="E3349" s="75" t="s">
        <v>230</v>
      </c>
      <c r="F3349" s="74">
        <v>0.79</v>
      </c>
      <c r="G3349" s="75" t="s">
        <v>236</v>
      </c>
      <c r="H3349" s="77" t="str">
        <f>VLOOKUP(DESPESAS[[#This Row],[Plano de Contas]],BASE!$B$3:$D$119,3,FALSE)</f>
        <v>Despesas de Cobranca</v>
      </c>
      <c r="I3349" s="77" t="str">
        <f>IFERROR(VLOOKUP(DESPESAS[[#This Row],[Fornecedor]],Tabela2[],2,FALSE),"")</f>
        <v/>
      </c>
      <c r="J3349" s="77" t="str">
        <f>IFERROR(VLOOKUP(DESPESAS[[#This Row],[Plano de Contas]],BASE!$B$3:$F$119,4,FALSE),"")</f>
        <v>8 - DESPESAS FINANCEIRAS</v>
      </c>
      <c r="K3349" s="77" t="str">
        <f>IFERROR(VLOOKUP(DESPESAS[[#This Row],[Plano de Contas]],BASE!$B$3:$H$119,5,FALSE),"")</f>
        <v>FINANCEIRO</v>
      </c>
      <c r="L3349" s="77">
        <f>IFERROR(VLOOKUP(DESPESAS[[#This Row],[Plano de Contas]],BASE!$B$3:$H$119,6,FALSE),"")</f>
        <v>0</v>
      </c>
      <c r="M3349" s="77" t="str">
        <f>VLOOKUP(DESPESAS[[#This Row],[Plano de Contas]],BASE!$B$3:$H$119,7,FALSE)</f>
        <v>LETÍCIA</v>
      </c>
    </row>
    <row r="3350" spans="1:13" x14ac:dyDescent="0.25">
      <c r="A3350" s="74">
        <v>200529</v>
      </c>
      <c r="B3350" s="75" t="s">
        <v>281</v>
      </c>
      <c r="C3350" s="75" t="s">
        <v>637</v>
      </c>
      <c r="D3350" s="76">
        <v>46121</v>
      </c>
      <c r="E3350" s="75" t="s">
        <v>230</v>
      </c>
      <c r="F3350" s="74">
        <v>1.58</v>
      </c>
      <c r="G3350" s="75" t="s">
        <v>236</v>
      </c>
      <c r="H3350" s="77" t="str">
        <f>VLOOKUP(DESPESAS[[#This Row],[Plano de Contas]],BASE!$B$3:$D$119,3,FALSE)</f>
        <v>Despesas de Cobranca</v>
      </c>
      <c r="I3350" s="77" t="str">
        <f>IFERROR(VLOOKUP(DESPESAS[[#This Row],[Fornecedor]],Tabela2[],2,FALSE),"")</f>
        <v/>
      </c>
      <c r="J3350" s="77" t="str">
        <f>IFERROR(VLOOKUP(DESPESAS[[#This Row],[Plano de Contas]],BASE!$B$3:$F$119,4,FALSE),"")</f>
        <v>8 - DESPESAS FINANCEIRAS</v>
      </c>
      <c r="K3350" s="77" t="str">
        <f>IFERROR(VLOOKUP(DESPESAS[[#This Row],[Plano de Contas]],BASE!$B$3:$H$119,5,FALSE),"")</f>
        <v>FINANCEIRO</v>
      </c>
      <c r="L3350" s="77">
        <f>IFERROR(VLOOKUP(DESPESAS[[#This Row],[Plano de Contas]],BASE!$B$3:$H$119,6,FALSE),"")</f>
        <v>0</v>
      </c>
      <c r="M3350" s="77" t="str">
        <f>VLOOKUP(DESPESAS[[#This Row],[Plano de Contas]],BASE!$B$3:$H$119,7,FALSE)</f>
        <v>LETÍCIA</v>
      </c>
    </row>
    <row r="3351" spans="1:13" x14ac:dyDescent="0.25">
      <c r="A3351" s="74">
        <v>200530</v>
      </c>
      <c r="B3351" s="75" t="s">
        <v>221</v>
      </c>
      <c r="C3351" s="75" t="s">
        <v>636</v>
      </c>
      <c r="D3351" s="76">
        <v>46121</v>
      </c>
      <c r="E3351" s="75" t="s">
        <v>575</v>
      </c>
      <c r="F3351" s="74">
        <v>1.9</v>
      </c>
      <c r="G3351" s="75" t="s">
        <v>236</v>
      </c>
      <c r="H3351" s="77" t="str">
        <f>VLOOKUP(DESPESAS[[#This Row],[Plano de Contas]],BASE!$B$3:$D$119,3,FALSE)</f>
        <v>Despesas de Cobranca</v>
      </c>
      <c r="I3351" s="77" t="str">
        <f>IFERROR(VLOOKUP(DESPESAS[[#This Row],[Fornecedor]],Tabela2[],2,FALSE),"")</f>
        <v/>
      </c>
      <c r="J3351" s="77" t="str">
        <f>IFERROR(VLOOKUP(DESPESAS[[#This Row],[Plano de Contas]],BASE!$B$3:$F$119,4,FALSE),"")</f>
        <v>8 - DESPESAS FINANCEIRAS</v>
      </c>
      <c r="K3351" s="77" t="str">
        <f>IFERROR(VLOOKUP(DESPESAS[[#This Row],[Plano de Contas]],BASE!$B$3:$H$119,5,FALSE),"")</f>
        <v>FINANCEIRO</v>
      </c>
      <c r="L3351" s="77">
        <f>IFERROR(VLOOKUP(DESPESAS[[#This Row],[Plano de Contas]],BASE!$B$3:$H$119,6,FALSE),"")</f>
        <v>0</v>
      </c>
      <c r="M3351" s="77" t="str">
        <f>VLOOKUP(DESPESAS[[#This Row],[Plano de Contas]],BASE!$B$3:$H$119,7,FALSE)</f>
        <v>LETÍCIA</v>
      </c>
    </row>
    <row r="3352" spans="1:13" x14ac:dyDescent="0.25">
      <c r="A3352" s="74">
        <v>200531</v>
      </c>
      <c r="B3352" s="75" t="s">
        <v>232</v>
      </c>
      <c r="C3352" s="75" t="s">
        <v>635</v>
      </c>
      <c r="D3352" s="76">
        <v>46122</v>
      </c>
      <c r="E3352" s="75" t="s">
        <v>327</v>
      </c>
      <c r="F3352" s="74">
        <v>143.06</v>
      </c>
      <c r="G3352" s="75" t="s">
        <v>326</v>
      </c>
      <c r="H3352" s="77" t="str">
        <f>VLOOKUP(DESPESAS[[#This Row],[Plano de Contas]],BASE!$B$3:$D$119,3,FALSE)</f>
        <v>Frete sobre Compras</v>
      </c>
      <c r="I3352" s="77" t="str">
        <f>IFERROR(VLOOKUP(DESPESAS[[#This Row],[Fornecedor]],Tabela2[],2,FALSE),"")</f>
        <v>SERVIÇOS FRETE</v>
      </c>
      <c r="J3352" s="77" t="str">
        <f>IFERROR(VLOOKUP(DESPESAS[[#This Row],[Plano de Contas]],BASE!$B$3:$F$119,4,FALSE),"")</f>
        <v>1 - CPV</v>
      </c>
      <c r="K3352" s="77" t="str">
        <f>IFERROR(VLOOKUP(DESPESAS[[#This Row],[Plano de Contas]],BASE!$B$3:$H$119,5,FALSE),"")</f>
        <v>COMPRAS</v>
      </c>
      <c r="L3352" s="77">
        <f>IFERROR(VLOOKUP(DESPESAS[[#This Row],[Plano de Contas]],BASE!$B$3:$H$119,6,FALSE),"")</f>
        <v>0</v>
      </c>
      <c r="M3352" s="77" t="str">
        <f>VLOOKUP(DESPESAS[[#This Row],[Plano de Contas]],BASE!$B$3:$H$119,7,FALSE)</f>
        <v>MYLENA</v>
      </c>
    </row>
    <row r="3353" spans="1:13" x14ac:dyDescent="0.25">
      <c r="A3353" s="74">
        <v>200532</v>
      </c>
      <c r="B3353" s="75" t="s">
        <v>232</v>
      </c>
      <c r="C3353" s="75" t="s">
        <v>634</v>
      </c>
      <c r="D3353" s="76">
        <v>46122</v>
      </c>
      <c r="E3353" s="75" t="s">
        <v>499</v>
      </c>
      <c r="F3353" s="74">
        <v>139.01</v>
      </c>
      <c r="G3353" s="75" t="s">
        <v>326</v>
      </c>
      <c r="H3353" s="77" t="str">
        <f>VLOOKUP(DESPESAS[[#This Row],[Plano de Contas]],BASE!$B$3:$D$119,3,FALSE)</f>
        <v>Frete sobre Compras</v>
      </c>
      <c r="I3353" s="77" t="str">
        <f>IFERROR(VLOOKUP(DESPESAS[[#This Row],[Fornecedor]],Tabela2[],2,FALSE),"")</f>
        <v/>
      </c>
      <c r="J3353" s="77" t="str">
        <f>IFERROR(VLOOKUP(DESPESAS[[#This Row],[Plano de Contas]],BASE!$B$3:$F$119,4,FALSE),"")</f>
        <v>1 - CPV</v>
      </c>
      <c r="K3353" s="77" t="str">
        <f>IFERROR(VLOOKUP(DESPESAS[[#This Row],[Plano de Contas]],BASE!$B$3:$H$119,5,FALSE),"")</f>
        <v>COMPRAS</v>
      </c>
      <c r="L3353" s="77">
        <f>IFERROR(VLOOKUP(DESPESAS[[#This Row],[Plano de Contas]],BASE!$B$3:$H$119,6,FALSE),"")</f>
        <v>0</v>
      </c>
      <c r="M3353" s="77" t="str">
        <f>VLOOKUP(DESPESAS[[#This Row],[Plano de Contas]],BASE!$B$3:$H$119,7,FALSE)</f>
        <v>MYLENA</v>
      </c>
    </row>
    <row r="3354" spans="1:13" x14ac:dyDescent="0.25">
      <c r="A3354" s="74">
        <v>200533</v>
      </c>
      <c r="B3354" s="75" t="s">
        <v>232</v>
      </c>
      <c r="C3354" s="75" t="s">
        <v>633</v>
      </c>
      <c r="D3354" s="76">
        <v>46122</v>
      </c>
      <c r="E3354" s="75" t="s">
        <v>327</v>
      </c>
      <c r="F3354" s="74">
        <v>310.52</v>
      </c>
      <c r="G3354" s="75" t="s">
        <v>326</v>
      </c>
      <c r="H3354" s="77" t="str">
        <f>VLOOKUP(DESPESAS[[#This Row],[Plano de Contas]],BASE!$B$3:$D$119,3,FALSE)</f>
        <v>Frete sobre Compras</v>
      </c>
      <c r="I3354" s="77" t="str">
        <f>IFERROR(VLOOKUP(DESPESAS[[#This Row],[Fornecedor]],Tabela2[],2,FALSE),"")</f>
        <v>SERVIÇOS FRETE</v>
      </c>
      <c r="J3354" s="77" t="str">
        <f>IFERROR(VLOOKUP(DESPESAS[[#This Row],[Plano de Contas]],BASE!$B$3:$F$119,4,FALSE),"")</f>
        <v>1 - CPV</v>
      </c>
      <c r="K3354" s="77" t="str">
        <f>IFERROR(VLOOKUP(DESPESAS[[#This Row],[Plano de Contas]],BASE!$B$3:$H$119,5,FALSE),"")</f>
        <v>COMPRAS</v>
      </c>
      <c r="L3354" s="77">
        <f>IFERROR(VLOOKUP(DESPESAS[[#This Row],[Plano de Contas]],BASE!$B$3:$H$119,6,FALSE),"")</f>
        <v>0</v>
      </c>
      <c r="M3354" s="77" t="str">
        <f>VLOOKUP(DESPESAS[[#This Row],[Plano de Contas]],BASE!$B$3:$H$119,7,FALSE)</f>
        <v>MYLENA</v>
      </c>
    </row>
    <row r="3355" spans="1:13" x14ac:dyDescent="0.25">
      <c r="A3355" s="74">
        <v>200538</v>
      </c>
      <c r="B3355" s="75" t="s">
        <v>221</v>
      </c>
      <c r="C3355" s="75" t="s">
        <v>632</v>
      </c>
      <c r="D3355" s="76">
        <v>46122</v>
      </c>
      <c r="E3355" s="75" t="s">
        <v>631</v>
      </c>
      <c r="F3355" s="74">
        <v>150</v>
      </c>
      <c r="G3355" s="75" t="s">
        <v>630</v>
      </c>
      <c r="H3355" s="77" t="str">
        <f>VLOOKUP(DESPESAS[[#This Row],[Plano de Contas]],BASE!$B$3:$D$119,3,FALSE)</f>
        <v>Assistência Médica CIF</v>
      </c>
      <c r="I3355" s="77" t="str">
        <f>IFERROR(VLOOKUP(DESPESAS[[#This Row],[Fornecedor]],Tabela2[],2,FALSE),"")</f>
        <v/>
      </c>
      <c r="J3355" s="77" t="str">
        <f>IFERROR(VLOOKUP(DESPESAS[[#This Row],[Plano de Contas]],BASE!$B$3:$F$119,4,FALSE),"")</f>
        <v>3 - CUSTOS INDIRETOS</v>
      </c>
      <c r="K3355" s="77" t="str">
        <f>IFERROR(VLOOKUP(DESPESAS[[#This Row],[Plano de Contas]],BASE!$B$3:$H$119,5,FALSE),"")</f>
        <v>DH</v>
      </c>
      <c r="L3355" s="77">
        <f>IFERROR(VLOOKUP(DESPESAS[[#This Row],[Plano de Contas]],BASE!$B$3:$H$119,6,FALSE),"")</f>
        <v>0</v>
      </c>
      <c r="M3355" s="77" t="str">
        <f>VLOOKUP(DESPESAS[[#This Row],[Plano de Contas]],BASE!$B$3:$H$119,7,FALSE)</f>
        <v>RAFAEL</v>
      </c>
    </row>
    <row r="3356" spans="1:13" x14ac:dyDescent="0.25">
      <c r="A3356" s="74">
        <v>200539</v>
      </c>
      <c r="B3356" s="75" t="s">
        <v>232</v>
      </c>
      <c r="C3356" s="75" t="s">
        <v>629</v>
      </c>
      <c r="D3356" s="76">
        <v>46112</v>
      </c>
      <c r="E3356" s="75" t="s">
        <v>628</v>
      </c>
      <c r="F3356" s="74">
        <v>628.5</v>
      </c>
      <c r="G3356" s="75" t="s">
        <v>627</v>
      </c>
      <c r="H3356" s="77" t="str">
        <f>VLOOKUP(DESPESAS[[#This Row],[Plano de Contas]],BASE!$B$3:$D$119,3,FALSE)</f>
        <v>Salarios e Ordenados (Adm)</v>
      </c>
      <c r="I3356" s="77" t="str">
        <f>IFERROR(VLOOKUP(DESPESAS[[#This Row],[Fornecedor]],Tabela2[],2,FALSE),"")</f>
        <v/>
      </c>
      <c r="J3356" s="77" t="str">
        <f>IFERROR(VLOOKUP(DESPESAS[[#This Row],[Plano de Contas]],BASE!$B$3:$F$119,4,FALSE),"")</f>
        <v>4 - GASTOS COM PESSOAL</v>
      </c>
      <c r="K3356" s="77" t="str">
        <f>IFERROR(VLOOKUP(DESPESAS[[#This Row],[Plano de Contas]],BASE!$B$3:$H$119,5,FALSE),"")</f>
        <v>DH</v>
      </c>
      <c r="L3356" s="77">
        <f>IFERROR(VLOOKUP(DESPESAS[[#This Row],[Plano de Contas]],BASE!$B$3:$H$119,6,FALSE),"")</f>
        <v>0</v>
      </c>
      <c r="M3356" s="77" t="str">
        <f>VLOOKUP(DESPESAS[[#This Row],[Plano de Contas]],BASE!$B$3:$H$119,7,FALSE)</f>
        <v>RAFAEL</v>
      </c>
    </row>
    <row r="3357" spans="1:13" x14ac:dyDescent="0.25">
      <c r="A3357" s="74">
        <v>200540</v>
      </c>
      <c r="B3357" s="75" t="s">
        <v>232</v>
      </c>
      <c r="C3357" s="75" t="s">
        <v>3724</v>
      </c>
      <c r="D3357" s="76">
        <v>46142</v>
      </c>
      <c r="E3357" s="75" t="s">
        <v>628</v>
      </c>
      <c r="F3357" s="74">
        <v>628.5</v>
      </c>
      <c r="G3357" s="75" t="s">
        <v>627</v>
      </c>
      <c r="H3357" s="77" t="str">
        <f>VLOOKUP(DESPESAS[[#This Row],[Plano de Contas]],BASE!$B$3:$D$119,3,FALSE)</f>
        <v>Salarios e Ordenados (Adm)</v>
      </c>
      <c r="I3357" s="77" t="str">
        <f>IFERROR(VLOOKUP(DESPESAS[[#This Row],[Fornecedor]],Tabela2[],2,FALSE),"")</f>
        <v/>
      </c>
      <c r="J3357" s="77" t="str">
        <f>IFERROR(VLOOKUP(DESPESAS[[#This Row],[Plano de Contas]],BASE!$B$3:$F$119,4,FALSE),"")</f>
        <v>4 - GASTOS COM PESSOAL</v>
      </c>
      <c r="K3357" s="77" t="str">
        <f>IFERROR(VLOOKUP(DESPESAS[[#This Row],[Plano de Contas]],BASE!$B$3:$H$119,5,FALSE),"")</f>
        <v>DH</v>
      </c>
      <c r="L3357" s="77">
        <f>IFERROR(VLOOKUP(DESPESAS[[#This Row],[Plano de Contas]],BASE!$B$3:$H$119,6,FALSE),"")</f>
        <v>0</v>
      </c>
      <c r="M3357" s="77" t="str">
        <f>VLOOKUP(DESPESAS[[#This Row],[Plano de Contas]],BASE!$B$3:$H$119,7,FALSE)</f>
        <v>RAFAEL</v>
      </c>
    </row>
    <row r="3358" spans="1:13" x14ac:dyDescent="0.25">
      <c r="A3358" s="74">
        <v>200553</v>
      </c>
      <c r="B3358" s="75" t="s">
        <v>232</v>
      </c>
      <c r="C3358" s="75" t="s">
        <v>626</v>
      </c>
      <c r="D3358" s="76">
        <v>46125</v>
      </c>
      <c r="E3358" s="75" t="s">
        <v>625</v>
      </c>
      <c r="F3358" s="74">
        <v>100</v>
      </c>
      <c r="G3358" s="75" t="s">
        <v>247</v>
      </c>
      <c r="H3358" s="77" t="str">
        <f>VLOOKUP(DESPESAS[[#This Row],[Plano de Contas]],BASE!$B$3:$D$119,3,FALSE)</f>
        <v>Manutenção com veiculos</v>
      </c>
      <c r="I3358" s="77" t="str">
        <f>IFERROR(VLOOKUP(DESPESAS[[#This Row],[Fornecedor]],Tabela2[],2,FALSE),"")</f>
        <v/>
      </c>
      <c r="J3358" s="77" t="str">
        <f>IFERROR(VLOOKUP(DESPESAS[[#This Row],[Plano de Contas]],BASE!$B$3:$F$119,4,FALSE),"")</f>
        <v>6 - DESPESA COM VENDAS</v>
      </c>
      <c r="K3358" s="77" t="str">
        <f>IFERROR(VLOOKUP(DESPESAS[[#This Row],[Plano de Contas]],BASE!$B$3:$H$119,5,FALSE),"")</f>
        <v>LOGÍSTICA</v>
      </c>
      <c r="L3358" s="77">
        <f>IFERROR(VLOOKUP(DESPESAS[[#This Row],[Plano de Contas]],BASE!$B$3:$H$119,6,FALSE),"")</f>
        <v>0</v>
      </c>
      <c r="M3358" s="77" t="str">
        <f>VLOOKUP(DESPESAS[[#This Row],[Plano de Contas]],BASE!$B$3:$H$119,7,FALSE)</f>
        <v>MYLENA</v>
      </c>
    </row>
    <row r="3359" spans="1:13" x14ac:dyDescent="0.25">
      <c r="A3359" s="74">
        <v>200554</v>
      </c>
      <c r="B3359" s="75" t="s">
        <v>232</v>
      </c>
      <c r="C3359" s="75" t="s">
        <v>624</v>
      </c>
      <c r="D3359" s="76">
        <v>46125</v>
      </c>
      <c r="E3359" s="75" t="s">
        <v>622</v>
      </c>
      <c r="F3359" s="74">
        <v>650</v>
      </c>
      <c r="G3359" s="75" t="s">
        <v>247</v>
      </c>
      <c r="H3359" s="77" t="str">
        <f>VLOOKUP(DESPESAS[[#This Row],[Plano de Contas]],BASE!$B$3:$D$119,3,FALSE)</f>
        <v>Manutenção com veiculos</v>
      </c>
      <c r="I3359" s="77" t="str">
        <f>IFERROR(VLOOKUP(DESPESAS[[#This Row],[Fornecedor]],Tabela2[],2,FALSE),"")</f>
        <v/>
      </c>
      <c r="J3359" s="77" t="str">
        <f>IFERROR(VLOOKUP(DESPESAS[[#This Row],[Plano de Contas]],BASE!$B$3:$F$119,4,FALSE),"")</f>
        <v>6 - DESPESA COM VENDAS</v>
      </c>
      <c r="K3359" s="77" t="str">
        <f>IFERROR(VLOOKUP(DESPESAS[[#This Row],[Plano de Contas]],BASE!$B$3:$H$119,5,FALSE),"")</f>
        <v>LOGÍSTICA</v>
      </c>
      <c r="L3359" s="77">
        <f>IFERROR(VLOOKUP(DESPESAS[[#This Row],[Plano de Contas]],BASE!$B$3:$H$119,6,FALSE),"")</f>
        <v>0</v>
      </c>
      <c r="M3359" s="77" t="str">
        <f>VLOOKUP(DESPESAS[[#This Row],[Plano de Contas]],BASE!$B$3:$H$119,7,FALSE)</f>
        <v>MYLENA</v>
      </c>
    </row>
    <row r="3360" spans="1:13" x14ac:dyDescent="0.25">
      <c r="A3360" s="74">
        <v>200555</v>
      </c>
      <c r="B3360" s="75" t="s">
        <v>232</v>
      </c>
      <c r="C3360" s="75" t="s">
        <v>623</v>
      </c>
      <c r="D3360" s="76">
        <v>46125</v>
      </c>
      <c r="E3360" s="75" t="s">
        <v>622</v>
      </c>
      <c r="F3360" s="74">
        <v>42.15</v>
      </c>
      <c r="G3360" s="75" t="s">
        <v>247</v>
      </c>
      <c r="H3360" s="77" t="str">
        <f>VLOOKUP(DESPESAS[[#This Row],[Plano de Contas]],BASE!$B$3:$D$119,3,FALSE)</f>
        <v>Manutenção com veiculos</v>
      </c>
      <c r="I3360" s="77" t="str">
        <f>IFERROR(VLOOKUP(DESPESAS[[#This Row],[Fornecedor]],Tabela2[],2,FALSE),"")</f>
        <v/>
      </c>
      <c r="J3360" s="77" t="str">
        <f>IFERROR(VLOOKUP(DESPESAS[[#This Row],[Plano de Contas]],BASE!$B$3:$F$119,4,FALSE),"")</f>
        <v>6 - DESPESA COM VENDAS</v>
      </c>
      <c r="K3360" s="77" t="str">
        <f>IFERROR(VLOOKUP(DESPESAS[[#This Row],[Plano de Contas]],BASE!$B$3:$H$119,5,FALSE),"")</f>
        <v>LOGÍSTICA</v>
      </c>
      <c r="L3360" s="77">
        <f>IFERROR(VLOOKUP(DESPESAS[[#This Row],[Plano de Contas]],BASE!$B$3:$H$119,6,FALSE),"")</f>
        <v>0</v>
      </c>
      <c r="M3360" s="77" t="str">
        <f>VLOOKUP(DESPESAS[[#This Row],[Plano de Contas]],BASE!$B$3:$H$119,7,FALSE)</f>
        <v>MYLENA</v>
      </c>
    </row>
    <row r="3361" spans="1:13" x14ac:dyDescent="0.25">
      <c r="A3361" s="74">
        <v>200556</v>
      </c>
      <c r="B3361" s="75" t="s">
        <v>232</v>
      </c>
      <c r="C3361" s="75" t="s">
        <v>621</v>
      </c>
      <c r="D3361" s="76">
        <v>46125</v>
      </c>
      <c r="E3361" s="75" t="s">
        <v>619</v>
      </c>
      <c r="F3361" s="74">
        <v>345.22</v>
      </c>
      <c r="G3361" s="75" t="s">
        <v>218</v>
      </c>
      <c r="H3361" s="77" t="str">
        <f>VLOOKUP(DESPESAS[[#This Row],[Plano de Contas]],BASE!$B$3:$D$119,3,FALSE)</f>
        <v>Manutenção de Equipamentos (Prod)</v>
      </c>
      <c r="I3361" s="77" t="str">
        <f>IFERROR(VLOOKUP(DESPESAS[[#This Row],[Fornecedor]],Tabela2[],2,FALSE),"")</f>
        <v>MAQUINAS DE COSTURA</v>
      </c>
      <c r="J3361" s="77" t="str">
        <f>IFERROR(VLOOKUP(DESPESAS[[#This Row],[Plano de Contas]],BASE!$B$3:$F$119,4,FALSE),"")</f>
        <v>3 - CUSTOS INDIRETOS</v>
      </c>
      <c r="K3361" s="77" t="str">
        <f>IFERROR(VLOOKUP(DESPESAS[[#This Row],[Plano de Contas]],BASE!$B$3:$H$119,5,FALSE),"")</f>
        <v>MANUTENÇÃO / TI</v>
      </c>
      <c r="L3361" s="77">
        <f>IFERROR(VLOOKUP(DESPESAS[[#This Row],[Plano de Contas]],BASE!$B$3:$H$119,6,FALSE),"")</f>
        <v>0</v>
      </c>
      <c r="M3361" s="77" t="str">
        <f>VLOOKUP(DESPESAS[[#This Row],[Plano de Contas]],BASE!$B$3:$H$119,7,FALSE)</f>
        <v>RAFAEL</v>
      </c>
    </row>
    <row r="3362" spans="1:13" x14ac:dyDescent="0.25">
      <c r="A3362" s="74">
        <v>200557</v>
      </c>
      <c r="B3362" s="75" t="s">
        <v>232</v>
      </c>
      <c r="C3362" s="75" t="s">
        <v>620</v>
      </c>
      <c r="D3362" s="76">
        <v>46125</v>
      </c>
      <c r="E3362" s="75" t="s">
        <v>619</v>
      </c>
      <c r="F3362" s="74">
        <v>281.04000000000002</v>
      </c>
      <c r="G3362" s="75" t="s">
        <v>218</v>
      </c>
      <c r="H3362" s="77" t="str">
        <f>VLOOKUP(DESPESAS[[#This Row],[Plano de Contas]],BASE!$B$3:$D$119,3,FALSE)</f>
        <v>Manutenção de Equipamentos (Prod)</v>
      </c>
      <c r="I3362" s="77" t="str">
        <f>IFERROR(VLOOKUP(DESPESAS[[#This Row],[Fornecedor]],Tabela2[],2,FALSE),"")</f>
        <v>MAQUINAS DE COSTURA</v>
      </c>
      <c r="J3362" s="77" t="str">
        <f>IFERROR(VLOOKUP(DESPESAS[[#This Row],[Plano de Contas]],BASE!$B$3:$F$119,4,FALSE),"")</f>
        <v>3 - CUSTOS INDIRETOS</v>
      </c>
      <c r="K3362" s="77" t="str">
        <f>IFERROR(VLOOKUP(DESPESAS[[#This Row],[Plano de Contas]],BASE!$B$3:$H$119,5,FALSE),"")</f>
        <v>MANUTENÇÃO / TI</v>
      </c>
      <c r="L3362" s="77">
        <f>IFERROR(VLOOKUP(DESPESAS[[#This Row],[Plano de Contas]],BASE!$B$3:$H$119,6,FALSE),"")</f>
        <v>0</v>
      </c>
      <c r="M3362" s="77" t="str">
        <f>VLOOKUP(DESPESAS[[#This Row],[Plano de Contas]],BASE!$B$3:$H$119,7,FALSE)</f>
        <v>RAFAEL</v>
      </c>
    </row>
    <row r="3363" spans="1:13" x14ac:dyDescent="0.25">
      <c r="A3363" s="74">
        <v>200558</v>
      </c>
      <c r="B3363" s="75" t="s">
        <v>232</v>
      </c>
      <c r="C3363" s="75" t="s">
        <v>618</v>
      </c>
      <c r="D3363" s="76">
        <v>46125</v>
      </c>
      <c r="E3363" s="75" t="s">
        <v>409</v>
      </c>
      <c r="F3363" s="74">
        <v>111.6</v>
      </c>
      <c r="G3363" s="75" t="s">
        <v>218</v>
      </c>
      <c r="H3363" s="77" t="str">
        <f>VLOOKUP(DESPESAS[[#This Row],[Plano de Contas]],BASE!$B$3:$D$119,3,FALSE)</f>
        <v>Manutenção de Equipamentos (Prod)</v>
      </c>
      <c r="I3363" s="77" t="str">
        <f>IFERROR(VLOOKUP(DESPESAS[[#This Row],[Fornecedor]],Tabela2[],2,FALSE),"")</f>
        <v>SERVIÇOS FRETE</v>
      </c>
      <c r="J3363" s="77" t="str">
        <f>IFERROR(VLOOKUP(DESPESAS[[#This Row],[Plano de Contas]],BASE!$B$3:$F$119,4,FALSE),"")</f>
        <v>3 - CUSTOS INDIRETOS</v>
      </c>
      <c r="K3363" s="77" t="str">
        <f>IFERROR(VLOOKUP(DESPESAS[[#This Row],[Plano de Contas]],BASE!$B$3:$H$119,5,FALSE),"")</f>
        <v>MANUTENÇÃO / TI</v>
      </c>
      <c r="L3363" s="77">
        <f>IFERROR(VLOOKUP(DESPESAS[[#This Row],[Plano de Contas]],BASE!$B$3:$H$119,6,FALSE),"")</f>
        <v>0</v>
      </c>
      <c r="M3363" s="77" t="str">
        <f>VLOOKUP(DESPESAS[[#This Row],[Plano de Contas]],BASE!$B$3:$H$119,7,FALSE)</f>
        <v>RAFAEL</v>
      </c>
    </row>
    <row r="3364" spans="1:13" x14ac:dyDescent="0.25">
      <c r="A3364" s="74">
        <v>200559</v>
      </c>
      <c r="B3364" s="75" t="s">
        <v>232</v>
      </c>
      <c r="C3364" s="75" t="s">
        <v>617</v>
      </c>
      <c r="D3364" s="76">
        <v>46125</v>
      </c>
      <c r="E3364" s="75" t="s">
        <v>615</v>
      </c>
      <c r="F3364" s="74">
        <v>720</v>
      </c>
      <c r="G3364" s="75" t="s">
        <v>218</v>
      </c>
      <c r="H3364" s="77" t="str">
        <f>VLOOKUP(DESPESAS[[#This Row],[Plano de Contas]],BASE!$B$3:$D$119,3,FALSE)</f>
        <v>Manutenção de Equipamentos (Prod)</v>
      </c>
      <c r="I3364" s="77" t="str">
        <f>IFERROR(VLOOKUP(DESPESAS[[#This Row],[Fornecedor]],Tabela2[],2,FALSE),"")</f>
        <v>MANUTENÇÕES FERRAMENTAS</v>
      </c>
      <c r="J3364" s="77" t="str">
        <f>IFERROR(VLOOKUP(DESPESAS[[#This Row],[Plano de Contas]],BASE!$B$3:$F$119,4,FALSE),"")</f>
        <v>3 - CUSTOS INDIRETOS</v>
      </c>
      <c r="K3364" s="77" t="str">
        <f>IFERROR(VLOOKUP(DESPESAS[[#This Row],[Plano de Contas]],BASE!$B$3:$H$119,5,FALSE),"")</f>
        <v>MANUTENÇÃO / TI</v>
      </c>
      <c r="L3364" s="77">
        <f>IFERROR(VLOOKUP(DESPESAS[[#This Row],[Plano de Contas]],BASE!$B$3:$H$119,6,FALSE),"")</f>
        <v>0</v>
      </c>
      <c r="M3364" s="77" t="str">
        <f>VLOOKUP(DESPESAS[[#This Row],[Plano de Contas]],BASE!$B$3:$H$119,7,FALSE)</f>
        <v>RAFAEL</v>
      </c>
    </row>
    <row r="3365" spans="1:13" x14ac:dyDescent="0.25">
      <c r="A3365" s="74">
        <v>200560</v>
      </c>
      <c r="B3365" s="75" t="s">
        <v>232</v>
      </c>
      <c r="C3365" s="75" t="s">
        <v>616</v>
      </c>
      <c r="D3365" s="76">
        <v>46125</v>
      </c>
      <c r="E3365" s="75" t="s">
        <v>615</v>
      </c>
      <c r="F3365" s="74">
        <v>205</v>
      </c>
      <c r="G3365" s="75" t="s">
        <v>218</v>
      </c>
      <c r="H3365" s="77" t="str">
        <f>VLOOKUP(DESPESAS[[#This Row],[Plano de Contas]],BASE!$B$3:$D$119,3,FALSE)</f>
        <v>Manutenção de Equipamentos (Prod)</v>
      </c>
      <c r="I3365" s="77" t="str">
        <f>IFERROR(VLOOKUP(DESPESAS[[#This Row],[Fornecedor]],Tabela2[],2,FALSE),"")</f>
        <v>MANUTENÇÕES FERRAMENTAS</v>
      </c>
      <c r="J3365" s="77" t="str">
        <f>IFERROR(VLOOKUP(DESPESAS[[#This Row],[Plano de Contas]],BASE!$B$3:$F$119,4,FALSE),"")</f>
        <v>3 - CUSTOS INDIRETOS</v>
      </c>
      <c r="K3365" s="77" t="str">
        <f>IFERROR(VLOOKUP(DESPESAS[[#This Row],[Plano de Contas]],BASE!$B$3:$H$119,5,FALSE),"")</f>
        <v>MANUTENÇÃO / TI</v>
      </c>
      <c r="L3365" s="77">
        <f>IFERROR(VLOOKUP(DESPESAS[[#This Row],[Plano de Contas]],BASE!$B$3:$H$119,6,FALSE),"")</f>
        <v>0</v>
      </c>
      <c r="M3365" s="77" t="str">
        <f>VLOOKUP(DESPESAS[[#This Row],[Plano de Contas]],BASE!$B$3:$H$119,7,FALSE)</f>
        <v>RAFAEL</v>
      </c>
    </row>
    <row r="3366" spans="1:13" x14ac:dyDescent="0.25">
      <c r="A3366" s="74">
        <v>200561</v>
      </c>
      <c r="B3366" s="75" t="s">
        <v>232</v>
      </c>
      <c r="C3366" s="75" t="s">
        <v>614</v>
      </c>
      <c r="D3366" s="76">
        <v>46125</v>
      </c>
      <c r="E3366" s="75" t="s">
        <v>589</v>
      </c>
      <c r="F3366" s="74">
        <v>1869.1</v>
      </c>
      <c r="G3366" s="75" t="s">
        <v>218</v>
      </c>
      <c r="H3366" s="77" t="str">
        <f>VLOOKUP(DESPESAS[[#This Row],[Plano de Contas]],BASE!$B$3:$D$119,3,FALSE)</f>
        <v>Manutenção de Equipamentos (Prod)</v>
      </c>
      <c r="I3366" s="77" t="str">
        <f>IFERROR(VLOOKUP(DESPESAS[[#This Row],[Fornecedor]],Tabela2[],2,FALSE),"")</f>
        <v>COMPRESSORES</v>
      </c>
      <c r="J3366" s="77" t="str">
        <f>IFERROR(VLOOKUP(DESPESAS[[#This Row],[Plano de Contas]],BASE!$B$3:$F$119,4,FALSE),"")</f>
        <v>3 - CUSTOS INDIRETOS</v>
      </c>
      <c r="K3366" s="77" t="str">
        <f>IFERROR(VLOOKUP(DESPESAS[[#This Row],[Plano de Contas]],BASE!$B$3:$H$119,5,FALSE),"")</f>
        <v>MANUTENÇÃO / TI</v>
      </c>
      <c r="L3366" s="77">
        <f>IFERROR(VLOOKUP(DESPESAS[[#This Row],[Plano de Contas]],BASE!$B$3:$H$119,6,FALSE),"")</f>
        <v>0</v>
      </c>
      <c r="M3366" s="77" t="str">
        <f>VLOOKUP(DESPESAS[[#This Row],[Plano de Contas]],BASE!$B$3:$H$119,7,FALSE)</f>
        <v>RAFAEL</v>
      </c>
    </row>
    <row r="3367" spans="1:13" x14ac:dyDescent="0.25">
      <c r="A3367" s="74">
        <v>200562</v>
      </c>
      <c r="B3367" s="75" t="s">
        <v>232</v>
      </c>
      <c r="C3367" s="75" t="s">
        <v>613</v>
      </c>
      <c r="D3367" s="76">
        <v>46122</v>
      </c>
      <c r="E3367" s="75" t="s">
        <v>230</v>
      </c>
      <c r="F3367" s="74">
        <v>12.64</v>
      </c>
      <c r="G3367" s="75" t="s">
        <v>236</v>
      </c>
      <c r="H3367" s="77" t="str">
        <f>VLOOKUP(DESPESAS[[#This Row],[Plano de Contas]],BASE!$B$3:$D$119,3,FALSE)</f>
        <v>Despesas de Cobranca</v>
      </c>
      <c r="I3367" s="77" t="str">
        <f>IFERROR(VLOOKUP(DESPESAS[[#This Row],[Fornecedor]],Tabela2[],2,FALSE),"")</f>
        <v/>
      </c>
      <c r="J3367" s="77" t="str">
        <f>IFERROR(VLOOKUP(DESPESAS[[#This Row],[Plano de Contas]],BASE!$B$3:$F$119,4,FALSE),"")</f>
        <v>8 - DESPESAS FINANCEIRAS</v>
      </c>
      <c r="K3367" s="77" t="str">
        <f>IFERROR(VLOOKUP(DESPESAS[[#This Row],[Plano de Contas]],BASE!$B$3:$H$119,5,FALSE),"")</f>
        <v>FINANCEIRO</v>
      </c>
      <c r="L3367" s="77">
        <f>IFERROR(VLOOKUP(DESPESAS[[#This Row],[Plano de Contas]],BASE!$B$3:$H$119,6,FALSE),"")</f>
        <v>0</v>
      </c>
      <c r="M3367" s="77" t="str">
        <f>VLOOKUP(DESPESAS[[#This Row],[Plano de Contas]],BASE!$B$3:$H$119,7,FALSE)</f>
        <v>LETÍCIA</v>
      </c>
    </row>
    <row r="3368" spans="1:13" x14ac:dyDescent="0.25">
      <c r="A3368" s="74">
        <v>200563</v>
      </c>
      <c r="B3368" s="75" t="s">
        <v>232</v>
      </c>
      <c r="C3368" s="75" t="s">
        <v>612</v>
      </c>
      <c r="D3368" s="76">
        <v>46125</v>
      </c>
      <c r="E3368" s="75" t="s">
        <v>230</v>
      </c>
      <c r="F3368" s="74">
        <v>2.19</v>
      </c>
      <c r="G3368" s="75" t="s">
        <v>229</v>
      </c>
      <c r="H3368" s="77" t="str">
        <f>VLOOKUP(DESPESAS[[#This Row],[Plano de Contas]],BASE!$B$3:$D$119,3,FALSE)</f>
        <v>Despesas Bancarias</v>
      </c>
      <c r="I3368" s="77" t="str">
        <f>IFERROR(VLOOKUP(DESPESAS[[#This Row],[Fornecedor]],Tabela2[],2,FALSE),"")</f>
        <v/>
      </c>
      <c r="J3368" s="77" t="str">
        <f>IFERROR(VLOOKUP(DESPESAS[[#This Row],[Plano de Contas]],BASE!$B$3:$F$119,4,FALSE),"")</f>
        <v>8 - DESPESAS FINANCEIRAS</v>
      </c>
      <c r="K3368" s="77" t="str">
        <f>IFERROR(VLOOKUP(DESPESAS[[#This Row],[Plano de Contas]],BASE!$B$3:$H$119,5,FALSE),"")</f>
        <v>FINANCEIRO</v>
      </c>
      <c r="L3368" s="77">
        <f>IFERROR(VLOOKUP(DESPESAS[[#This Row],[Plano de Contas]],BASE!$B$3:$H$119,6,FALSE),"")</f>
        <v>0</v>
      </c>
      <c r="M3368" s="77" t="str">
        <f>VLOOKUP(DESPESAS[[#This Row],[Plano de Contas]],BASE!$B$3:$H$119,7,FALSE)</f>
        <v>LETÍCIA</v>
      </c>
    </row>
    <row r="3369" spans="1:13" x14ac:dyDescent="0.25">
      <c r="A3369" s="74">
        <v>200564</v>
      </c>
      <c r="B3369" s="75" t="s">
        <v>232</v>
      </c>
      <c r="C3369" s="75" t="s">
        <v>611</v>
      </c>
      <c r="D3369" s="76">
        <v>46125</v>
      </c>
      <c r="E3369" s="75" t="s">
        <v>230</v>
      </c>
      <c r="F3369" s="74">
        <v>22.71</v>
      </c>
      <c r="G3369" s="75" t="s">
        <v>251</v>
      </c>
      <c r="H3369" s="77" t="str">
        <f>VLOOKUP(DESPESAS[[#This Row],[Plano de Contas]],BASE!$B$3:$D$119,3,FALSE)</f>
        <v>Juros Pagos - Antecipação de Crédito</v>
      </c>
      <c r="I3369" s="77" t="str">
        <f>IFERROR(VLOOKUP(DESPESAS[[#This Row],[Fornecedor]],Tabela2[],2,FALSE),"")</f>
        <v/>
      </c>
      <c r="J3369" s="77" t="str">
        <f>IFERROR(VLOOKUP(DESPESAS[[#This Row],[Plano de Contas]],BASE!$B$3:$F$119,4,FALSE),"")</f>
        <v>8 - DESPESAS FINANCEIRAS</v>
      </c>
      <c r="K3369" s="77" t="str">
        <f>IFERROR(VLOOKUP(DESPESAS[[#This Row],[Plano de Contas]],BASE!$B$3:$H$119,5,FALSE),"")</f>
        <v>FINANCEIRO</v>
      </c>
      <c r="L3369" s="77">
        <f>IFERROR(VLOOKUP(DESPESAS[[#This Row],[Plano de Contas]],BASE!$B$3:$H$119,6,FALSE),"")</f>
        <v>0</v>
      </c>
      <c r="M3369" s="77" t="str">
        <f>VLOOKUP(DESPESAS[[#This Row],[Plano de Contas]],BASE!$B$3:$H$119,7,FALSE)</f>
        <v>LETÍCIA</v>
      </c>
    </row>
    <row r="3370" spans="1:13" x14ac:dyDescent="0.25">
      <c r="A3370" s="74">
        <v>200565</v>
      </c>
      <c r="B3370" s="75" t="s">
        <v>232</v>
      </c>
      <c r="C3370" s="75" t="s">
        <v>610</v>
      </c>
      <c r="D3370" s="76">
        <v>46122</v>
      </c>
      <c r="E3370" s="75" t="s">
        <v>230</v>
      </c>
      <c r="F3370" s="74">
        <v>239.67</v>
      </c>
      <c r="G3370" s="75" t="s">
        <v>229</v>
      </c>
      <c r="H3370" s="77" t="str">
        <f>VLOOKUP(DESPESAS[[#This Row],[Plano de Contas]],BASE!$B$3:$D$119,3,FALSE)</f>
        <v>Despesas Bancarias</v>
      </c>
      <c r="I3370" s="77" t="str">
        <f>IFERROR(VLOOKUP(DESPESAS[[#This Row],[Fornecedor]],Tabela2[],2,FALSE),"")</f>
        <v/>
      </c>
      <c r="J3370" s="77" t="str">
        <f>IFERROR(VLOOKUP(DESPESAS[[#This Row],[Plano de Contas]],BASE!$B$3:$F$119,4,FALSE),"")</f>
        <v>8 - DESPESAS FINANCEIRAS</v>
      </c>
      <c r="K3370" s="77" t="str">
        <f>IFERROR(VLOOKUP(DESPESAS[[#This Row],[Plano de Contas]],BASE!$B$3:$H$119,5,FALSE),"")</f>
        <v>FINANCEIRO</v>
      </c>
      <c r="L3370" s="77">
        <f>IFERROR(VLOOKUP(DESPESAS[[#This Row],[Plano de Contas]],BASE!$B$3:$H$119,6,FALSE),"")</f>
        <v>0</v>
      </c>
      <c r="M3370" s="77" t="str">
        <f>VLOOKUP(DESPESAS[[#This Row],[Plano de Contas]],BASE!$B$3:$H$119,7,FALSE)</f>
        <v>LETÍCIA</v>
      </c>
    </row>
    <row r="3371" spans="1:13" x14ac:dyDescent="0.25">
      <c r="A3371" s="74">
        <v>200566</v>
      </c>
      <c r="B3371" s="75" t="s">
        <v>232</v>
      </c>
      <c r="C3371" s="75" t="s">
        <v>609</v>
      </c>
      <c r="D3371" s="76">
        <v>46122</v>
      </c>
      <c r="E3371" s="75" t="s">
        <v>230</v>
      </c>
      <c r="F3371" s="74">
        <v>5</v>
      </c>
      <c r="G3371" s="75" t="s">
        <v>229</v>
      </c>
      <c r="H3371" s="77" t="str">
        <f>VLOOKUP(DESPESAS[[#This Row],[Plano de Contas]],BASE!$B$3:$D$119,3,FALSE)</f>
        <v>Despesas Bancarias</v>
      </c>
      <c r="I3371" s="77" t="str">
        <f>IFERROR(VLOOKUP(DESPESAS[[#This Row],[Fornecedor]],Tabela2[],2,FALSE),"")</f>
        <v/>
      </c>
      <c r="J3371" s="77" t="str">
        <f>IFERROR(VLOOKUP(DESPESAS[[#This Row],[Plano de Contas]],BASE!$B$3:$F$119,4,FALSE),"")</f>
        <v>8 - DESPESAS FINANCEIRAS</v>
      </c>
      <c r="K3371" s="77" t="str">
        <f>IFERROR(VLOOKUP(DESPESAS[[#This Row],[Plano de Contas]],BASE!$B$3:$H$119,5,FALSE),"")</f>
        <v>FINANCEIRO</v>
      </c>
      <c r="L3371" s="77">
        <f>IFERROR(VLOOKUP(DESPESAS[[#This Row],[Plano de Contas]],BASE!$B$3:$H$119,6,FALSE),"")</f>
        <v>0</v>
      </c>
      <c r="M3371" s="77" t="str">
        <f>VLOOKUP(DESPESAS[[#This Row],[Plano de Contas]],BASE!$B$3:$H$119,7,FALSE)</f>
        <v>LETÍCIA</v>
      </c>
    </row>
    <row r="3372" spans="1:13" x14ac:dyDescent="0.25">
      <c r="A3372" s="74">
        <v>200567</v>
      </c>
      <c r="B3372" s="75" t="s">
        <v>232</v>
      </c>
      <c r="C3372" s="75" t="s">
        <v>608</v>
      </c>
      <c r="D3372" s="76">
        <v>46125</v>
      </c>
      <c r="E3372" s="75" t="s">
        <v>607</v>
      </c>
      <c r="F3372" s="74">
        <v>1251.92</v>
      </c>
      <c r="G3372" s="75" t="s">
        <v>606</v>
      </c>
      <c r="H3372" s="77" t="str">
        <f>VLOOKUP(DESPESAS[[#This Row],[Plano de Contas]],BASE!$B$3:$D$119,3,FALSE)</f>
        <v>EPIs/Uniformes (Prod)</v>
      </c>
      <c r="I3372" s="77" t="str">
        <f>IFERROR(VLOOKUP(DESPESAS[[#This Row],[Fornecedor]],Tabela2[],2,FALSE),"")</f>
        <v>FERRAGENS GERAIS</v>
      </c>
      <c r="J3372" s="77" t="str">
        <f>IFERROR(VLOOKUP(DESPESAS[[#This Row],[Plano de Contas]],BASE!$B$3:$F$119,4,FALSE),"")</f>
        <v>2 - CUSTOS DIRETOS</v>
      </c>
      <c r="K3372" s="77" t="str">
        <f>IFERROR(VLOOKUP(DESPESAS[[#This Row],[Plano de Contas]],BASE!$B$3:$H$119,5,FALSE),"")</f>
        <v>COMPRAS</v>
      </c>
      <c r="L3372" s="77">
        <f>IFERROR(VLOOKUP(DESPESAS[[#This Row],[Plano de Contas]],BASE!$B$3:$H$119,6,FALSE),"")</f>
        <v>0</v>
      </c>
      <c r="M3372" s="77" t="str">
        <f>VLOOKUP(DESPESAS[[#This Row],[Plano de Contas]],BASE!$B$3:$H$119,7,FALSE)</f>
        <v>RAFAEL</v>
      </c>
    </row>
    <row r="3373" spans="1:13" x14ac:dyDescent="0.25">
      <c r="A3373" s="74">
        <v>200568</v>
      </c>
      <c r="B3373" s="75" t="s">
        <v>232</v>
      </c>
      <c r="C3373" s="75" t="s">
        <v>605</v>
      </c>
      <c r="D3373" s="76">
        <v>46122</v>
      </c>
      <c r="E3373" s="75" t="s">
        <v>230</v>
      </c>
      <c r="F3373" s="74">
        <v>2.85</v>
      </c>
      <c r="G3373" s="75" t="s">
        <v>251</v>
      </c>
      <c r="H3373" s="77" t="str">
        <f>VLOOKUP(DESPESAS[[#This Row],[Plano de Contas]],BASE!$B$3:$D$119,3,FALSE)</f>
        <v>Juros Pagos - Antecipação de Crédito</v>
      </c>
      <c r="I3373" s="77" t="str">
        <f>IFERROR(VLOOKUP(DESPESAS[[#This Row],[Fornecedor]],Tabela2[],2,FALSE),"")</f>
        <v/>
      </c>
      <c r="J3373" s="77" t="str">
        <f>IFERROR(VLOOKUP(DESPESAS[[#This Row],[Plano de Contas]],BASE!$B$3:$F$119,4,FALSE),"")</f>
        <v>8 - DESPESAS FINANCEIRAS</v>
      </c>
      <c r="K3373" s="77" t="str">
        <f>IFERROR(VLOOKUP(DESPESAS[[#This Row],[Plano de Contas]],BASE!$B$3:$H$119,5,FALSE),"")</f>
        <v>FINANCEIRO</v>
      </c>
      <c r="L3373" s="77">
        <f>IFERROR(VLOOKUP(DESPESAS[[#This Row],[Plano de Contas]],BASE!$B$3:$H$119,6,FALSE),"")</f>
        <v>0</v>
      </c>
      <c r="M3373" s="77" t="str">
        <f>VLOOKUP(DESPESAS[[#This Row],[Plano de Contas]],BASE!$B$3:$H$119,7,FALSE)</f>
        <v>LETÍCIA</v>
      </c>
    </row>
    <row r="3374" spans="1:13" x14ac:dyDescent="0.25">
      <c r="A3374" s="74">
        <v>200569</v>
      </c>
      <c r="B3374" s="75" t="s">
        <v>232</v>
      </c>
      <c r="C3374" s="75" t="s">
        <v>593</v>
      </c>
      <c r="D3374" s="76">
        <v>46125</v>
      </c>
      <c r="E3374" s="75" t="s">
        <v>230</v>
      </c>
      <c r="F3374" s="74">
        <v>1890.41</v>
      </c>
      <c r="G3374" s="75" t="s">
        <v>251</v>
      </c>
      <c r="H3374" s="77" t="str">
        <f>VLOOKUP(DESPESAS[[#This Row],[Plano de Contas]],BASE!$B$3:$D$119,3,FALSE)</f>
        <v>Juros Pagos - Antecipação de Crédito</v>
      </c>
      <c r="I3374" s="77" t="str">
        <f>IFERROR(VLOOKUP(DESPESAS[[#This Row],[Fornecedor]],Tabela2[],2,FALSE),"")</f>
        <v/>
      </c>
      <c r="J3374" s="77" t="str">
        <f>IFERROR(VLOOKUP(DESPESAS[[#This Row],[Plano de Contas]],BASE!$B$3:$F$119,4,FALSE),"")</f>
        <v>8 - DESPESAS FINANCEIRAS</v>
      </c>
      <c r="K3374" s="77" t="str">
        <f>IFERROR(VLOOKUP(DESPESAS[[#This Row],[Plano de Contas]],BASE!$B$3:$H$119,5,FALSE),"")</f>
        <v>FINANCEIRO</v>
      </c>
      <c r="L3374" s="77">
        <f>IFERROR(VLOOKUP(DESPESAS[[#This Row],[Plano de Contas]],BASE!$B$3:$H$119,6,FALSE),"")</f>
        <v>0</v>
      </c>
      <c r="M3374" s="77" t="str">
        <f>VLOOKUP(DESPESAS[[#This Row],[Plano de Contas]],BASE!$B$3:$H$119,7,FALSE)</f>
        <v>LETÍCIA</v>
      </c>
    </row>
    <row r="3375" spans="1:13" x14ac:dyDescent="0.25">
      <c r="A3375" s="74">
        <v>200570</v>
      </c>
      <c r="B3375" s="75" t="s">
        <v>232</v>
      </c>
      <c r="C3375" s="75" t="s">
        <v>604</v>
      </c>
      <c r="D3375" s="76">
        <v>46125</v>
      </c>
      <c r="E3375" s="75" t="s">
        <v>230</v>
      </c>
      <c r="F3375" s="74">
        <v>304.06</v>
      </c>
      <c r="G3375" s="75" t="s">
        <v>229</v>
      </c>
      <c r="H3375" s="77" t="str">
        <f>VLOOKUP(DESPESAS[[#This Row],[Plano de Contas]],BASE!$B$3:$D$119,3,FALSE)</f>
        <v>Despesas Bancarias</v>
      </c>
      <c r="I3375" s="77" t="str">
        <f>IFERROR(VLOOKUP(DESPESAS[[#This Row],[Fornecedor]],Tabela2[],2,FALSE),"")</f>
        <v/>
      </c>
      <c r="J3375" s="77" t="str">
        <f>IFERROR(VLOOKUP(DESPESAS[[#This Row],[Plano de Contas]],BASE!$B$3:$F$119,4,FALSE),"")</f>
        <v>8 - DESPESAS FINANCEIRAS</v>
      </c>
      <c r="K3375" s="77" t="str">
        <f>IFERROR(VLOOKUP(DESPESAS[[#This Row],[Plano de Contas]],BASE!$B$3:$H$119,5,FALSE),"")</f>
        <v>FINANCEIRO</v>
      </c>
      <c r="L3375" s="77">
        <f>IFERROR(VLOOKUP(DESPESAS[[#This Row],[Plano de Contas]],BASE!$B$3:$H$119,6,FALSE),"")</f>
        <v>0</v>
      </c>
      <c r="M3375" s="77" t="str">
        <f>VLOOKUP(DESPESAS[[#This Row],[Plano de Contas]],BASE!$B$3:$H$119,7,FALSE)</f>
        <v>LETÍCIA</v>
      </c>
    </row>
    <row r="3376" spans="1:13" x14ac:dyDescent="0.25">
      <c r="A3376" s="74">
        <v>200571</v>
      </c>
      <c r="B3376" s="75" t="s">
        <v>232</v>
      </c>
      <c r="C3376" s="75" t="s">
        <v>603</v>
      </c>
      <c r="D3376" s="76">
        <v>46125</v>
      </c>
      <c r="E3376" s="75" t="s">
        <v>230</v>
      </c>
      <c r="F3376" s="74">
        <v>228.57</v>
      </c>
      <c r="G3376" s="75" t="s">
        <v>229</v>
      </c>
      <c r="H3376" s="77" t="str">
        <f>VLOOKUP(DESPESAS[[#This Row],[Plano de Contas]],BASE!$B$3:$D$119,3,FALSE)</f>
        <v>Despesas Bancarias</v>
      </c>
      <c r="I3376" s="77" t="str">
        <f>IFERROR(VLOOKUP(DESPESAS[[#This Row],[Fornecedor]],Tabela2[],2,FALSE),"")</f>
        <v/>
      </c>
      <c r="J3376" s="77" t="str">
        <f>IFERROR(VLOOKUP(DESPESAS[[#This Row],[Plano de Contas]],BASE!$B$3:$F$119,4,FALSE),"")</f>
        <v>8 - DESPESAS FINANCEIRAS</v>
      </c>
      <c r="K3376" s="77" t="str">
        <f>IFERROR(VLOOKUP(DESPESAS[[#This Row],[Plano de Contas]],BASE!$B$3:$H$119,5,FALSE),"")</f>
        <v>FINANCEIRO</v>
      </c>
      <c r="L3376" s="77">
        <f>IFERROR(VLOOKUP(DESPESAS[[#This Row],[Plano de Contas]],BASE!$B$3:$H$119,6,FALSE),"")</f>
        <v>0</v>
      </c>
      <c r="M3376" s="77" t="str">
        <f>VLOOKUP(DESPESAS[[#This Row],[Plano de Contas]],BASE!$B$3:$H$119,7,FALSE)</f>
        <v>LETÍCIA</v>
      </c>
    </row>
    <row r="3377" spans="1:13" x14ac:dyDescent="0.25">
      <c r="A3377" s="74">
        <v>200572</v>
      </c>
      <c r="B3377" s="75" t="s">
        <v>232</v>
      </c>
      <c r="C3377" s="75" t="s">
        <v>602</v>
      </c>
      <c r="D3377" s="76">
        <v>46125</v>
      </c>
      <c r="E3377" s="75" t="s">
        <v>601</v>
      </c>
      <c r="F3377" s="74">
        <v>480.72</v>
      </c>
      <c r="G3377" s="75" t="s">
        <v>360</v>
      </c>
      <c r="H3377" s="77" t="str">
        <f>VLOOKUP(DESPESAS[[#This Row],[Plano de Contas]],BASE!$B$3:$D$119,3,FALSE)</f>
        <v>Publicidade e Propaganda</v>
      </c>
      <c r="I3377" s="77" t="str">
        <f>IFERROR(VLOOKUP(DESPESAS[[#This Row],[Fornecedor]],Tabela2[],2,FALSE),"")</f>
        <v/>
      </c>
      <c r="J3377" s="77" t="str">
        <f>IFERROR(VLOOKUP(DESPESAS[[#This Row],[Plano de Contas]],BASE!$B$3:$F$119,4,FALSE),"")</f>
        <v>6 - DESPESA COM VENDAS</v>
      </c>
      <c r="K3377" s="77" t="str">
        <f>IFERROR(VLOOKUP(DESPESAS[[#This Row],[Plano de Contas]],BASE!$B$3:$H$119,5,FALSE),"")</f>
        <v>COMERCIAL</v>
      </c>
      <c r="L3377" s="77">
        <f>IFERROR(VLOOKUP(DESPESAS[[#This Row],[Plano de Contas]],BASE!$B$3:$H$119,6,FALSE),"")</f>
        <v>0</v>
      </c>
      <c r="M3377" s="77" t="str">
        <f>VLOOKUP(DESPESAS[[#This Row],[Plano de Contas]],BASE!$B$3:$H$119,7,FALSE)</f>
        <v>THAIS</v>
      </c>
    </row>
    <row r="3378" spans="1:13" x14ac:dyDescent="0.25">
      <c r="A3378" s="74">
        <v>200573</v>
      </c>
      <c r="B3378" s="75" t="s">
        <v>221</v>
      </c>
      <c r="C3378" s="75" t="s">
        <v>600</v>
      </c>
      <c r="D3378" s="76">
        <v>46125</v>
      </c>
      <c r="E3378" s="75" t="s">
        <v>380</v>
      </c>
      <c r="F3378" s="74">
        <v>60</v>
      </c>
      <c r="G3378" s="75" t="s">
        <v>561</v>
      </c>
      <c r="H3378" s="77" t="str">
        <f>VLOOKUP(DESPESAS[[#This Row],[Plano de Contas]],BASE!$B$3:$D$119,3,FALSE)</f>
        <v>Sistemas de Informação</v>
      </c>
      <c r="I3378" s="77" t="str">
        <f>IFERROR(VLOOKUP(DESPESAS[[#This Row],[Fornecedor]],Tabela2[],2,FALSE),"")</f>
        <v>COMPONENTES T.I</v>
      </c>
      <c r="J3378" s="77" t="str">
        <f>IFERROR(VLOOKUP(DESPESAS[[#This Row],[Plano de Contas]],BASE!$B$3:$F$119,4,FALSE),"")</f>
        <v>7 - SERVIÇOS DE TERCEIROS</v>
      </c>
      <c r="K3378" s="77" t="str">
        <f>IFERROR(VLOOKUP(DESPESAS[[#This Row],[Plano de Contas]],BASE!$B$3:$H$119,5,FALSE),"")</f>
        <v>MANUTENÇÃO / TI</v>
      </c>
      <c r="L3378" s="77">
        <f>IFERROR(VLOOKUP(DESPESAS[[#This Row],[Plano de Contas]],BASE!$B$3:$H$119,6,FALSE),"")</f>
        <v>0</v>
      </c>
      <c r="M3378" s="77" t="str">
        <f>VLOOKUP(DESPESAS[[#This Row],[Plano de Contas]],BASE!$B$3:$H$119,7,FALSE)</f>
        <v>LETÍCIA</v>
      </c>
    </row>
    <row r="3379" spans="1:13" x14ac:dyDescent="0.25">
      <c r="A3379" s="74">
        <v>200574</v>
      </c>
      <c r="B3379" s="75" t="s">
        <v>221</v>
      </c>
      <c r="C3379" s="75" t="s">
        <v>599</v>
      </c>
      <c r="D3379" s="76">
        <v>46125</v>
      </c>
      <c r="E3379" s="75" t="s">
        <v>245</v>
      </c>
      <c r="F3379" s="74">
        <v>104</v>
      </c>
      <c r="G3379" s="75" t="s">
        <v>218</v>
      </c>
      <c r="H3379" s="77" t="str">
        <f>VLOOKUP(DESPESAS[[#This Row],[Plano de Contas]],BASE!$B$3:$D$119,3,FALSE)</f>
        <v>Manutenção de Equipamentos (Prod)</v>
      </c>
      <c r="I3379" s="77" t="str">
        <f>IFERROR(VLOOKUP(DESPESAS[[#This Row],[Fornecedor]],Tabela2[],2,FALSE),"")</f>
        <v>FERRAGENS GERAIS</v>
      </c>
      <c r="J3379" s="77" t="str">
        <f>IFERROR(VLOOKUP(DESPESAS[[#This Row],[Plano de Contas]],BASE!$B$3:$F$119,4,FALSE),"")</f>
        <v>3 - CUSTOS INDIRETOS</v>
      </c>
      <c r="K3379" s="77" t="str">
        <f>IFERROR(VLOOKUP(DESPESAS[[#This Row],[Plano de Contas]],BASE!$B$3:$H$119,5,FALSE),"")</f>
        <v>MANUTENÇÃO / TI</v>
      </c>
      <c r="L3379" s="77">
        <f>IFERROR(VLOOKUP(DESPESAS[[#This Row],[Plano de Contas]],BASE!$B$3:$H$119,6,FALSE),"")</f>
        <v>0</v>
      </c>
      <c r="M3379" s="77" t="str">
        <f>VLOOKUP(DESPESAS[[#This Row],[Plano de Contas]],BASE!$B$3:$H$119,7,FALSE)</f>
        <v>RAFAEL</v>
      </c>
    </row>
    <row r="3380" spans="1:13" x14ac:dyDescent="0.25">
      <c r="A3380" s="74">
        <v>200575</v>
      </c>
      <c r="B3380" s="75" t="s">
        <v>221</v>
      </c>
      <c r="C3380" s="75" t="s">
        <v>598</v>
      </c>
      <c r="D3380" s="76">
        <v>46125</v>
      </c>
      <c r="E3380" s="75" t="s">
        <v>245</v>
      </c>
      <c r="F3380" s="74">
        <v>72</v>
      </c>
      <c r="G3380" s="75" t="s">
        <v>331</v>
      </c>
      <c r="H3380" s="77" t="str">
        <f>VLOOKUP(DESPESAS[[#This Row],[Plano de Contas]],BASE!$B$3:$D$119,3,FALSE)</f>
        <v>Manutenção Predial (Adm)</v>
      </c>
      <c r="I3380" s="77" t="str">
        <f>IFERROR(VLOOKUP(DESPESAS[[#This Row],[Fornecedor]],Tabela2[],2,FALSE),"")</f>
        <v>FERRAGENS GERAIS</v>
      </c>
      <c r="J3380" s="77" t="str">
        <f>IFERROR(VLOOKUP(DESPESAS[[#This Row],[Plano de Contas]],BASE!$B$3:$F$119,4,FALSE),"")</f>
        <v>4 - GASTOS COM PESSOAL</v>
      </c>
      <c r="K3380" s="77" t="str">
        <f>IFERROR(VLOOKUP(DESPESAS[[#This Row],[Plano de Contas]],BASE!$B$3:$H$119,5,FALSE),"")</f>
        <v>MANUTENÇÃO / TI</v>
      </c>
      <c r="L3380" s="77">
        <f>IFERROR(VLOOKUP(DESPESAS[[#This Row],[Plano de Contas]],BASE!$B$3:$H$119,6,FALSE),"")</f>
        <v>0</v>
      </c>
      <c r="M3380" s="77" t="str">
        <f>VLOOKUP(DESPESAS[[#This Row],[Plano de Contas]],BASE!$B$3:$H$119,7,FALSE)</f>
        <v>FÁBIO</v>
      </c>
    </row>
    <row r="3381" spans="1:13" x14ac:dyDescent="0.25">
      <c r="A3381" s="74">
        <v>200576</v>
      </c>
      <c r="B3381" s="75" t="s">
        <v>232</v>
      </c>
      <c r="C3381" s="75" t="s">
        <v>597</v>
      </c>
      <c r="D3381" s="76">
        <v>46125</v>
      </c>
      <c r="E3381" s="75" t="s">
        <v>596</v>
      </c>
      <c r="F3381" s="74">
        <v>4080</v>
      </c>
      <c r="G3381" s="75" t="s">
        <v>294</v>
      </c>
      <c r="H3381" s="77" t="str">
        <f>VLOOKUP(DESPESAS[[#This Row],[Plano de Contas]],BASE!$B$3:$D$119,3,FALSE)</f>
        <v>Insumos de Clientes</v>
      </c>
      <c r="I3381" s="77" t="str">
        <f>IFERROR(VLOOKUP(DESPESAS[[#This Row],[Fornecedor]],Tabela2[],2,FALSE),"")</f>
        <v/>
      </c>
      <c r="J3381" s="77" t="str">
        <f>IFERROR(VLOOKUP(DESPESAS[[#This Row],[Plano de Contas]],BASE!$B$3:$F$119,4,FALSE),"")</f>
        <v>8 - DESPESAS FINANCEIRAS</v>
      </c>
      <c r="K3381" s="77" t="str">
        <f>IFERROR(VLOOKUP(DESPESAS[[#This Row],[Plano de Contas]],BASE!$B$3:$H$119,5,FALSE),"")</f>
        <v>COMERCIAL</v>
      </c>
      <c r="L3381" s="77">
        <f>IFERROR(VLOOKUP(DESPESAS[[#This Row],[Plano de Contas]],BASE!$B$3:$H$119,6,FALSE),"")</f>
        <v>0</v>
      </c>
      <c r="M3381" s="77" t="str">
        <f>VLOOKUP(DESPESAS[[#This Row],[Plano de Contas]],BASE!$B$3:$H$119,7,FALSE)</f>
        <v>LETÍCIA</v>
      </c>
    </row>
    <row r="3382" spans="1:13" x14ac:dyDescent="0.25">
      <c r="A3382" s="74">
        <v>200577</v>
      </c>
      <c r="B3382" s="75" t="s">
        <v>221</v>
      </c>
      <c r="C3382" s="75" t="s">
        <v>595</v>
      </c>
      <c r="D3382" s="76">
        <v>46125</v>
      </c>
      <c r="E3382" s="75" t="s">
        <v>245</v>
      </c>
      <c r="F3382" s="74">
        <v>26</v>
      </c>
      <c r="G3382" s="75" t="s">
        <v>331</v>
      </c>
      <c r="H3382" s="77" t="str">
        <f>VLOOKUP(DESPESAS[[#This Row],[Plano de Contas]],BASE!$B$3:$D$119,3,FALSE)</f>
        <v>Manutenção Predial (Adm)</v>
      </c>
      <c r="I3382" s="77" t="str">
        <f>IFERROR(VLOOKUP(DESPESAS[[#This Row],[Fornecedor]],Tabela2[],2,FALSE),"")</f>
        <v>FERRAGENS GERAIS</v>
      </c>
      <c r="J3382" s="77" t="str">
        <f>IFERROR(VLOOKUP(DESPESAS[[#This Row],[Plano de Contas]],BASE!$B$3:$F$119,4,FALSE),"")</f>
        <v>4 - GASTOS COM PESSOAL</v>
      </c>
      <c r="K3382" s="77" t="str">
        <f>IFERROR(VLOOKUP(DESPESAS[[#This Row],[Plano de Contas]],BASE!$B$3:$H$119,5,FALSE),"")</f>
        <v>MANUTENÇÃO / TI</v>
      </c>
      <c r="L3382" s="77">
        <f>IFERROR(VLOOKUP(DESPESAS[[#This Row],[Plano de Contas]],BASE!$B$3:$H$119,6,FALSE),"")</f>
        <v>0</v>
      </c>
      <c r="M3382" s="77" t="str">
        <f>VLOOKUP(DESPESAS[[#This Row],[Plano de Contas]],BASE!$B$3:$H$119,7,FALSE)</f>
        <v>FÁBIO</v>
      </c>
    </row>
    <row r="3383" spans="1:13" x14ac:dyDescent="0.25">
      <c r="A3383" s="74">
        <v>200578</v>
      </c>
      <c r="B3383" s="75" t="s">
        <v>221</v>
      </c>
      <c r="C3383" s="75" t="s">
        <v>594</v>
      </c>
      <c r="D3383" s="76">
        <v>46125</v>
      </c>
      <c r="E3383" s="75" t="s">
        <v>256</v>
      </c>
      <c r="F3383" s="74">
        <v>812.64</v>
      </c>
      <c r="G3383" s="75" t="s">
        <v>255</v>
      </c>
      <c r="H3383" s="77" t="str">
        <f>VLOOKUP(DESPESAS[[#This Row],[Plano de Contas]],BASE!$B$3:$D$119,3,FALSE)</f>
        <v>Mostruário de Tecido</v>
      </c>
      <c r="I3383" s="77" t="str">
        <f>IFERROR(VLOOKUP(DESPESAS[[#This Row],[Fornecedor]],Tabela2[],2,FALSE),"")</f>
        <v/>
      </c>
      <c r="J3383" s="77" t="str">
        <f>IFERROR(VLOOKUP(DESPESAS[[#This Row],[Plano de Contas]],BASE!$B$3:$F$119,4,FALSE),"")</f>
        <v>6 - DESPESA COM VENDAS</v>
      </c>
      <c r="K3383" s="77" t="str">
        <f>IFERROR(VLOOKUP(DESPESAS[[#This Row],[Plano de Contas]],BASE!$B$3:$H$119,5,FALSE),"")</f>
        <v>COMERCIAL</v>
      </c>
      <c r="L3383" s="77">
        <f>IFERROR(VLOOKUP(DESPESAS[[#This Row],[Plano de Contas]],BASE!$B$3:$H$119,6,FALSE),"")</f>
        <v>0</v>
      </c>
      <c r="M3383" s="77" t="str">
        <f>VLOOKUP(DESPESAS[[#This Row],[Plano de Contas]],BASE!$B$3:$H$119,7,FALSE)</f>
        <v>LETÍCIA</v>
      </c>
    </row>
    <row r="3384" spans="1:13" x14ac:dyDescent="0.25">
      <c r="A3384" s="74">
        <v>200580</v>
      </c>
      <c r="B3384" s="75" t="s">
        <v>232</v>
      </c>
      <c r="C3384" s="75" t="s">
        <v>593</v>
      </c>
      <c r="D3384" s="76">
        <v>46125</v>
      </c>
      <c r="E3384" s="75" t="s">
        <v>230</v>
      </c>
      <c r="F3384" s="74">
        <v>1882.08</v>
      </c>
      <c r="G3384" s="75" t="s">
        <v>251</v>
      </c>
      <c r="H3384" s="77" t="str">
        <f>VLOOKUP(DESPESAS[[#This Row],[Plano de Contas]],BASE!$B$3:$D$119,3,FALSE)</f>
        <v>Juros Pagos - Antecipação de Crédito</v>
      </c>
      <c r="I3384" s="77" t="str">
        <f>IFERROR(VLOOKUP(DESPESAS[[#This Row],[Fornecedor]],Tabela2[],2,FALSE),"")</f>
        <v/>
      </c>
      <c r="J3384" s="77" t="str">
        <f>IFERROR(VLOOKUP(DESPESAS[[#This Row],[Plano de Contas]],BASE!$B$3:$F$119,4,FALSE),"")</f>
        <v>8 - DESPESAS FINANCEIRAS</v>
      </c>
      <c r="K3384" s="77" t="str">
        <f>IFERROR(VLOOKUP(DESPESAS[[#This Row],[Plano de Contas]],BASE!$B$3:$H$119,5,FALSE),"")</f>
        <v>FINANCEIRO</v>
      </c>
      <c r="L3384" s="77">
        <f>IFERROR(VLOOKUP(DESPESAS[[#This Row],[Plano de Contas]],BASE!$B$3:$H$119,6,FALSE),"")</f>
        <v>0</v>
      </c>
      <c r="M3384" s="77" t="str">
        <f>VLOOKUP(DESPESAS[[#This Row],[Plano de Contas]],BASE!$B$3:$H$119,7,FALSE)</f>
        <v>LETÍCIA</v>
      </c>
    </row>
    <row r="3385" spans="1:13" x14ac:dyDescent="0.25">
      <c r="A3385" s="74">
        <v>200581</v>
      </c>
      <c r="B3385" s="75" t="s">
        <v>232</v>
      </c>
      <c r="C3385" s="75" t="s">
        <v>592</v>
      </c>
      <c r="D3385" s="76">
        <v>46125</v>
      </c>
      <c r="E3385" s="75" t="s">
        <v>230</v>
      </c>
      <c r="F3385" s="74">
        <v>302.64</v>
      </c>
      <c r="G3385" s="75" t="s">
        <v>229</v>
      </c>
      <c r="H3385" s="77" t="str">
        <f>VLOOKUP(DESPESAS[[#This Row],[Plano de Contas]],BASE!$B$3:$D$119,3,FALSE)</f>
        <v>Despesas Bancarias</v>
      </c>
      <c r="I3385" s="77" t="str">
        <f>IFERROR(VLOOKUP(DESPESAS[[#This Row],[Fornecedor]],Tabela2[],2,FALSE),"")</f>
        <v/>
      </c>
      <c r="J3385" s="77" t="str">
        <f>IFERROR(VLOOKUP(DESPESAS[[#This Row],[Plano de Contas]],BASE!$B$3:$F$119,4,FALSE),"")</f>
        <v>8 - DESPESAS FINANCEIRAS</v>
      </c>
      <c r="K3385" s="77" t="str">
        <f>IFERROR(VLOOKUP(DESPESAS[[#This Row],[Plano de Contas]],BASE!$B$3:$H$119,5,FALSE),"")</f>
        <v>FINANCEIRO</v>
      </c>
      <c r="L3385" s="77">
        <f>IFERROR(VLOOKUP(DESPESAS[[#This Row],[Plano de Contas]],BASE!$B$3:$H$119,6,FALSE),"")</f>
        <v>0</v>
      </c>
      <c r="M3385" s="77" t="str">
        <f>VLOOKUP(DESPESAS[[#This Row],[Plano de Contas]],BASE!$B$3:$H$119,7,FALSE)</f>
        <v>LETÍCIA</v>
      </c>
    </row>
    <row r="3386" spans="1:13" x14ac:dyDescent="0.25">
      <c r="A3386" s="74">
        <v>200582</v>
      </c>
      <c r="B3386" s="75" t="s">
        <v>232</v>
      </c>
      <c r="C3386" s="75" t="s">
        <v>591</v>
      </c>
      <c r="D3386" s="76">
        <v>46125</v>
      </c>
      <c r="E3386" s="75" t="s">
        <v>230</v>
      </c>
      <c r="F3386" s="74">
        <v>198.45</v>
      </c>
      <c r="G3386" s="75" t="s">
        <v>229</v>
      </c>
      <c r="H3386" s="77" t="str">
        <f>VLOOKUP(DESPESAS[[#This Row],[Plano de Contas]],BASE!$B$3:$D$119,3,FALSE)</f>
        <v>Despesas Bancarias</v>
      </c>
      <c r="I3386" s="77" t="str">
        <f>IFERROR(VLOOKUP(DESPESAS[[#This Row],[Fornecedor]],Tabela2[],2,FALSE),"")</f>
        <v/>
      </c>
      <c r="J3386" s="77" t="str">
        <f>IFERROR(VLOOKUP(DESPESAS[[#This Row],[Plano de Contas]],BASE!$B$3:$F$119,4,FALSE),"")</f>
        <v>8 - DESPESAS FINANCEIRAS</v>
      </c>
      <c r="K3386" s="77" t="str">
        <f>IFERROR(VLOOKUP(DESPESAS[[#This Row],[Plano de Contas]],BASE!$B$3:$H$119,5,FALSE),"")</f>
        <v>FINANCEIRO</v>
      </c>
      <c r="L3386" s="77">
        <f>IFERROR(VLOOKUP(DESPESAS[[#This Row],[Plano de Contas]],BASE!$B$3:$H$119,6,FALSE),"")</f>
        <v>0</v>
      </c>
      <c r="M3386" s="77" t="str">
        <f>VLOOKUP(DESPESAS[[#This Row],[Plano de Contas]],BASE!$B$3:$H$119,7,FALSE)</f>
        <v>LETÍCIA</v>
      </c>
    </row>
    <row r="3387" spans="1:13" x14ac:dyDescent="0.25">
      <c r="A3387" s="74">
        <v>200584</v>
      </c>
      <c r="B3387" s="75" t="s">
        <v>232</v>
      </c>
      <c r="C3387" s="75" t="s">
        <v>590</v>
      </c>
      <c r="D3387" s="76">
        <v>46125</v>
      </c>
      <c r="E3387" s="75" t="s">
        <v>589</v>
      </c>
      <c r="F3387" s="74">
        <v>1301</v>
      </c>
      <c r="G3387" s="75" t="s">
        <v>588</v>
      </c>
      <c r="H3387" s="77" t="str">
        <f>VLOOKUP(DESPESAS[[#This Row],[Plano de Contas]],BASE!$B$3:$D$119,3,FALSE)</f>
        <v>Maquinas e Equipamentos</v>
      </c>
      <c r="I3387" s="77" t="str">
        <f>IFERROR(VLOOKUP(DESPESAS[[#This Row],[Fornecedor]],Tabela2[],2,FALSE),"")</f>
        <v>COMPRESSORES</v>
      </c>
      <c r="J3387" s="77" t="str">
        <f>IFERROR(VLOOKUP(DESPESAS[[#This Row],[Plano de Contas]],BASE!$B$3:$F$119,4,FALSE),"")</f>
        <v>9 - INVESTIMENTOS</v>
      </c>
      <c r="K3387" s="77" t="str">
        <f>IFERROR(VLOOKUP(DESPESAS[[#This Row],[Plano de Contas]],BASE!$B$3:$H$119,5,FALSE),"")</f>
        <v>MANUTENÇÃO / TI</v>
      </c>
      <c r="L3387" s="77">
        <f>IFERROR(VLOOKUP(DESPESAS[[#This Row],[Plano de Contas]],BASE!$B$3:$H$119,6,FALSE),"")</f>
        <v>0</v>
      </c>
      <c r="M3387" s="77" t="str">
        <f>VLOOKUP(DESPESAS[[#This Row],[Plano de Contas]],BASE!$B$3:$H$119,7,FALSE)</f>
        <v>RAFAEL</v>
      </c>
    </row>
    <row r="3388" spans="1:13" x14ac:dyDescent="0.25">
      <c r="A3388" s="74">
        <v>200585</v>
      </c>
      <c r="B3388" s="75" t="s">
        <v>232</v>
      </c>
      <c r="C3388" s="75" t="s">
        <v>587</v>
      </c>
      <c r="D3388" s="76">
        <v>46125</v>
      </c>
      <c r="E3388" s="75" t="s">
        <v>471</v>
      </c>
      <c r="F3388" s="74">
        <v>250</v>
      </c>
      <c r="G3388" s="75" t="s">
        <v>244</v>
      </c>
      <c r="H3388" s="77" t="str">
        <f>VLOOKUP(DESPESAS[[#This Row],[Plano de Contas]],BASE!$B$3:$D$119,3,FALSE)</f>
        <v>Material de Expediente (Prod)</v>
      </c>
      <c r="I3388" s="77" t="str">
        <f>IFERROR(VLOOKUP(DESPESAS[[#This Row],[Fornecedor]],Tabela2[],2,FALSE),"")</f>
        <v/>
      </c>
      <c r="J3388" s="77" t="str">
        <f>IFERROR(VLOOKUP(DESPESAS[[#This Row],[Plano de Contas]],BASE!$B$3:$F$119,4,FALSE),"")</f>
        <v>2 - CUSTOS DIRETOS</v>
      </c>
      <c r="K3388" s="77" t="str">
        <f>IFERROR(VLOOKUP(DESPESAS[[#This Row],[Plano de Contas]],BASE!$B$3:$H$119,5,FALSE),"")</f>
        <v>PRODUÇÃO</v>
      </c>
      <c r="L3388" s="77">
        <f>IFERROR(VLOOKUP(DESPESAS[[#This Row],[Plano de Contas]],BASE!$B$3:$H$119,6,FALSE),"")</f>
        <v>0</v>
      </c>
      <c r="M3388" s="77" t="str">
        <f>VLOOKUP(DESPESAS[[#This Row],[Plano de Contas]],BASE!$B$3:$H$119,7,FALSE)</f>
        <v>RAFAEL</v>
      </c>
    </row>
    <row r="3389" spans="1:13" x14ac:dyDescent="0.25">
      <c r="A3389" s="74">
        <v>200586</v>
      </c>
      <c r="B3389" s="75" t="s">
        <v>232</v>
      </c>
      <c r="C3389" s="75" t="s">
        <v>586</v>
      </c>
      <c r="D3389" s="76">
        <v>46125</v>
      </c>
      <c r="E3389" s="75" t="s">
        <v>347</v>
      </c>
      <c r="F3389" s="74">
        <v>296.39999999999998</v>
      </c>
      <c r="G3389" s="75" t="s">
        <v>583</v>
      </c>
      <c r="H3389" s="77" t="str">
        <f>VLOOKUP(DESPESAS[[#This Row],[Plano de Contas]],BASE!$B$3:$D$119,3,FALSE)</f>
        <v>Multas de Trânsito</v>
      </c>
      <c r="I3389" s="77" t="str">
        <f>IFERROR(VLOOKUP(DESPESAS[[#This Row],[Fornecedor]],Tabela2[],2,FALSE),"")</f>
        <v/>
      </c>
      <c r="J3389" s="77" t="str">
        <f>IFERROR(VLOOKUP(DESPESAS[[#This Row],[Plano de Contas]],BASE!$B$3:$F$119,4,FALSE),"")</f>
        <v>6 - DESPESA COM VENDAS</v>
      </c>
      <c r="K3389" s="77" t="str">
        <f>IFERROR(VLOOKUP(DESPESAS[[#This Row],[Plano de Contas]],BASE!$B$3:$H$119,5,FALSE),"")</f>
        <v>LOGÍSTICA</v>
      </c>
      <c r="L3389" s="77">
        <f>IFERROR(VLOOKUP(DESPESAS[[#This Row],[Plano de Contas]],BASE!$B$3:$H$119,6,FALSE),"")</f>
        <v>0</v>
      </c>
      <c r="M3389" s="77" t="str">
        <f>VLOOKUP(DESPESAS[[#This Row],[Plano de Contas]],BASE!$B$3:$H$119,7,FALSE)</f>
        <v>MYLENA</v>
      </c>
    </row>
    <row r="3390" spans="1:13" x14ac:dyDescent="0.25">
      <c r="A3390" s="74">
        <v>200587</v>
      </c>
      <c r="B3390" s="75" t="s">
        <v>232</v>
      </c>
      <c r="C3390" s="75" t="s">
        <v>585</v>
      </c>
      <c r="D3390" s="76">
        <v>46125</v>
      </c>
      <c r="E3390" s="75" t="s">
        <v>347</v>
      </c>
      <c r="F3390" s="74">
        <v>135.84</v>
      </c>
      <c r="G3390" s="75" t="s">
        <v>583</v>
      </c>
      <c r="H3390" s="77" t="str">
        <f>VLOOKUP(DESPESAS[[#This Row],[Plano de Contas]],BASE!$B$3:$D$119,3,FALSE)</f>
        <v>Multas de Trânsito</v>
      </c>
      <c r="I3390" s="77" t="str">
        <f>IFERROR(VLOOKUP(DESPESAS[[#This Row],[Fornecedor]],Tabela2[],2,FALSE),"")</f>
        <v/>
      </c>
      <c r="J3390" s="77" t="str">
        <f>IFERROR(VLOOKUP(DESPESAS[[#This Row],[Plano de Contas]],BASE!$B$3:$F$119,4,FALSE),"")</f>
        <v>6 - DESPESA COM VENDAS</v>
      </c>
      <c r="K3390" s="77" t="str">
        <f>IFERROR(VLOOKUP(DESPESAS[[#This Row],[Plano de Contas]],BASE!$B$3:$H$119,5,FALSE),"")</f>
        <v>LOGÍSTICA</v>
      </c>
      <c r="L3390" s="77">
        <f>IFERROR(VLOOKUP(DESPESAS[[#This Row],[Plano de Contas]],BASE!$B$3:$H$119,6,FALSE),"")</f>
        <v>0</v>
      </c>
      <c r="M3390" s="77" t="str">
        <f>VLOOKUP(DESPESAS[[#This Row],[Plano de Contas]],BASE!$B$3:$H$119,7,FALSE)</f>
        <v>MYLENA</v>
      </c>
    </row>
    <row r="3391" spans="1:13" x14ac:dyDescent="0.25">
      <c r="A3391" s="74">
        <v>200588</v>
      </c>
      <c r="B3391" s="75" t="s">
        <v>232</v>
      </c>
      <c r="C3391" s="75" t="s">
        <v>584</v>
      </c>
      <c r="D3391" s="76">
        <v>46125</v>
      </c>
      <c r="E3391" s="75" t="s">
        <v>347</v>
      </c>
      <c r="F3391" s="74">
        <v>234.78</v>
      </c>
      <c r="G3391" s="75" t="s">
        <v>583</v>
      </c>
      <c r="H3391" s="77" t="str">
        <f>VLOOKUP(DESPESAS[[#This Row],[Plano de Contas]],BASE!$B$3:$D$119,3,FALSE)</f>
        <v>Multas de Trânsito</v>
      </c>
      <c r="I3391" s="77" t="str">
        <f>IFERROR(VLOOKUP(DESPESAS[[#This Row],[Fornecedor]],Tabela2[],2,FALSE),"")</f>
        <v/>
      </c>
      <c r="J3391" s="77" t="str">
        <f>IFERROR(VLOOKUP(DESPESAS[[#This Row],[Plano de Contas]],BASE!$B$3:$F$119,4,FALSE),"")</f>
        <v>6 - DESPESA COM VENDAS</v>
      </c>
      <c r="K3391" s="77" t="str">
        <f>IFERROR(VLOOKUP(DESPESAS[[#This Row],[Plano de Contas]],BASE!$B$3:$H$119,5,FALSE),"")</f>
        <v>LOGÍSTICA</v>
      </c>
      <c r="L3391" s="77">
        <f>IFERROR(VLOOKUP(DESPESAS[[#This Row],[Plano de Contas]],BASE!$B$3:$H$119,6,FALSE),"")</f>
        <v>0</v>
      </c>
      <c r="M3391" s="77" t="str">
        <f>VLOOKUP(DESPESAS[[#This Row],[Plano de Contas]],BASE!$B$3:$H$119,7,FALSE)</f>
        <v>MYLENA</v>
      </c>
    </row>
    <row r="3392" spans="1:13" x14ac:dyDescent="0.25">
      <c r="A3392" s="74">
        <v>200589</v>
      </c>
      <c r="B3392" s="75" t="s">
        <v>232</v>
      </c>
      <c r="C3392" s="75" t="s">
        <v>582</v>
      </c>
      <c r="D3392" s="76">
        <v>46125</v>
      </c>
      <c r="E3392" s="75" t="s">
        <v>230</v>
      </c>
      <c r="F3392" s="74">
        <v>0.79</v>
      </c>
      <c r="G3392" s="75" t="s">
        <v>236</v>
      </c>
      <c r="H3392" s="77" t="str">
        <f>VLOOKUP(DESPESAS[[#This Row],[Plano de Contas]],BASE!$B$3:$D$119,3,FALSE)</f>
        <v>Despesas de Cobranca</v>
      </c>
      <c r="I3392" s="77" t="str">
        <f>IFERROR(VLOOKUP(DESPESAS[[#This Row],[Fornecedor]],Tabela2[],2,FALSE),"")</f>
        <v/>
      </c>
      <c r="J3392" s="77" t="str">
        <f>IFERROR(VLOOKUP(DESPESAS[[#This Row],[Plano de Contas]],BASE!$B$3:$F$119,4,FALSE),"")</f>
        <v>8 - DESPESAS FINANCEIRAS</v>
      </c>
      <c r="K3392" s="77" t="str">
        <f>IFERROR(VLOOKUP(DESPESAS[[#This Row],[Plano de Contas]],BASE!$B$3:$H$119,5,FALSE),"")</f>
        <v>FINANCEIRO</v>
      </c>
      <c r="L3392" s="77">
        <f>IFERROR(VLOOKUP(DESPESAS[[#This Row],[Plano de Contas]],BASE!$B$3:$H$119,6,FALSE),"")</f>
        <v>0</v>
      </c>
      <c r="M3392" s="77" t="str">
        <f>VLOOKUP(DESPESAS[[#This Row],[Plano de Contas]],BASE!$B$3:$H$119,7,FALSE)</f>
        <v>LETÍCIA</v>
      </c>
    </row>
    <row r="3393" spans="1:13" x14ac:dyDescent="0.25">
      <c r="A3393" s="74">
        <v>200590</v>
      </c>
      <c r="B3393" s="75" t="s">
        <v>232</v>
      </c>
      <c r="C3393" s="75" t="s">
        <v>581</v>
      </c>
      <c r="D3393" s="76">
        <v>46125</v>
      </c>
      <c r="E3393" s="75" t="s">
        <v>230</v>
      </c>
      <c r="F3393" s="74">
        <v>26.07</v>
      </c>
      <c r="G3393" s="75" t="s">
        <v>236</v>
      </c>
      <c r="H3393" s="77" t="str">
        <f>VLOOKUP(DESPESAS[[#This Row],[Plano de Contas]],BASE!$B$3:$D$119,3,FALSE)</f>
        <v>Despesas de Cobranca</v>
      </c>
      <c r="I3393" s="77" t="str">
        <f>IFERROR(VLOOKUP(DESPESAS[[#This Row],[Fornecedor]],Tabela2[],2,FALSE),"")</f>
        <v/>
      </c>
      <c r="J3393" s="77" t="str">
        <f>IFERROR(VLOOKUP(DESPESAS[[#This Row],[Plano de Contas]],BASE!$B$3:$F$119,4,FALSE),"")</f>
        <v>8 - DESPESAS FINANCEIRAS</v>
      </c>
      <c r="K3393" s="77" t="str">
        <f>IFERROR(VLOOKUP(DESPESAS[[#This Row],[Plano de Contas]],BASE!$B$3:$H$119,5,FALSE),"")</f>
        <v>FINANCEIRO</v>
      </c>
      <c r="L3393" s="77">
        <f>IFERROR(VLOOKUP(DESPESAS[[#This Row],[Plano de Contas]],BASE!$B$3:$H$119,6,FALSE),"")</f>
        <v>0</v>
      </c>
      <c r="M3393" s="77" t="str">
        <f>VLOOKUP(DESPESAS[[#This Row],[Plano de Contas]],BASE!$B$3:$H$119,7,FALSE)</f>
        <v>LETÍCIA</v>
      </c>
    </row>
    <row r="3394" spans="1:13" x14ac:dyDescent="0.25">
      <c r="A3394" s="74">
        <v>200591</v>
      </c>
      <c r="B3394" s="75" t="s">
        <v>281</v>
      </c>
      <c r="C3394" s="75" t="s">
        <v>580</v>
      </c>
      <c r="D3394" s="76">
        <v>46125</v>
      </c>
      <c r="E3394" s="75" t="s">
        <v>230</v>
      </c>
      <c r="F3394" s="74">
        <v>7.11</v>
      </c>
      <c r="G3394" s="75" t="s">
        <v>229</v>
      </c>
      <c r="H3394" s="77" t="str">
        <f>VLOOKUP(DESPESAS[[#This Row],[Plano de Contas]],BASE!$B$3:$D$119,3,FALSE)</f>
        <v>Despesas Bancarias</v>
      </c>
      <c r="I3394" s="77" t="str">
        <f>IFERROR(VLOOKUP(DESPESAS[[#This Row],[Fornecedor]],Tabela2[],2,FALSE),"")</f>
        <v/>
      </c>
      <c r="J3394" s="77" t="str">
        <f>IFERROR(VLOOKUP(DESPESAS[[#This Row],[Plano de Contas]],BASE!$B$3:$F$119,4,FALSE),"")</f>
        <v>8 - DESPESAS FINANCEIRAS</v>
      </c>
      <c r="K3394" s="77" t="str">
        <f>IFERROR(VLOOKUP(DESPESAS[[#This Row],[Plano de Contas]],BASE!$B$3:$H$119,5,FALSE),"")</f>
        <v>FINANCEIRO</v>
      </c>
      <c r="L3394" s="77">
        <f>IFERROR(VLOOKUP(DESPESAS[[#This Row],[Plano de Contas]],BASE!$B$3:$H$119,6,FALSE),"")</f>
        <v>0</v>
      </c>
      <c r="M3394" s="77" t="str">
        <f>VLOOKUP(DESPESAS[[#This Row],[Plano de Contas]],BASE!$B$3:$H$119,7,FALSE)</f>
        <v>LETÍCIA</v>
      </c>
    </row>
    <row r="3395" spans="1:13" x14ac:dyDescent="0.25">
      <c r="A3395" s="74">
        <v>200592</v>
      </c>
      <c r="B3395" s="75" t="s">
        <v>281</v>
      </c>
      <c r="C3395" s="75" t="s">
        <v>579</v>
      </c>
      <c r="D3395" s="76">
        <v>46126</v>
      </c>
      <c r="E3395" s="75" t="s">
        <v>230</v>
      </c>
      <c r="F3395" s="74">
        <v>0.79</v>
      </c>
      <c r="G3395" s="75" t="s">
        <v>229</v>
      </c>
      <c r="H3395" s="77" t="str">
        <f>VLOOKUP(DESPESAS[[#This Row],[Plano de Contas]],BASE!$B$3:$D$119,3,FALSE)</f>
        <v>Despesas Bancarias</v>
      </c>
      <c r="I3395" s="77" t="str">
        <f>IFERROR(VLOOKUP(DESPESAS[[#This Row],[Fornecedor]],Tabela2[],2,FALSE),"")</f>
        <v/>
      </c>
      <c r="J3395" s="77" t="str">
        <f>IFERROR(VLOOKUP(DESPESAS[[#This Row],[Plano de Contas]],BASE!$B$3:$F$119,4,FALSE),"")</f>
        <v>8 - DESPESAS FINANCEIRAS</v>
      </c>
      <c r="K3395" s="77" t="str">
        <f>IFERROR(VLOOKUP(DESPESAS[[#This Row],[Plano de Contas]],BASE!$B$3:$H$119,5,FALSE),"")</f>
        <v>FINANCEIRO</v>
      </c>
      <c r="L3395" s="77">
        <f>IFERROR(VLOOKUP(DESPESAS[[#This Row],[Plano de Contas]],BASE!$B$3:$H$119,6,FALSE),"")</f>
        <v>0</v>
      </c>
      <c r="M3395" s="77" t="str">
        <f>VLOOKUP(DESPESAS[[#This Row],[Plano de Contas]],BASE!$B$3:$H$119,7,FALSE)</f>
        <v>LETÍCIA</v>
      </c>
    </row>
    <row r="3396" spans="1:13" x14ac:dyDescent="0.25">
      <c r="A3396" s="74">
        <v>200593</v>
      </c>
      <c r="B3396" s="75" t="s">
        <v>281</v>
      </c>
      <c r="C3396" s="75" t="s">
        <v>578</v>
      </c>
      <c r="D3396" s="76">
        <v>46125</v>
      </c>
      <c r="E3396" s="75" t="s">
        <v>230</v>
      </c>
      <c r="F3396" s="74">
        <v>0.09</v>
      </c>
      <c r="G3396" s="75" t="s">
        <v>229</v>
      </c>
      <c r="H3396" s="77" t="str">
        <f>VLOOKUP(DESPESAS[[#This Row],[Plano de Contas]],BASE!$B$3:$D$119,3,FALSE)</f>
        <v>Despesas Bancarias</v>
      </c>
      <c r="I3396" s="77" t="str">
        <f>IFERROR(VLOOKUP(DESPESAS[[#This Row],[Fornecedor]],Tabela2[],2,FALSE),"")</f>
        <v/>
      </c>
      <c r="J3396" s="77" t="str">
        <f>IFERROR(VLOOKUP(DESPESAS[[#This Row],[Plano de Contas]],BASE!$B$3:$F$119,4,FALSE),"")</f>
        <v>8 - DESPESAS FINANCEIRAS</v>
      </c>
      <c r="K3396" s="77" t="str">
        <f>IFERROR(VLOOKUP(DESPESAS[[#This Row],[Plano de Contas]],BASE!$B$3:$H$119,5,FALSE),"")</f>
        <v>FINANCEIRO</v>
      </c>
      <c r="L3396" s="77">
        <f>IFERROR(VLOOKUP(DESPESAS[[#This Row],[Plano de Contas]],BASE!$B$3:$H$119,6,FALSE),"")</f>
        <v>0</v>
      </c>
      <c r="M3396" s="77" t="str">
        <f>VLOOKUP(DESPESAS[[#This Row],[Plano de Contas]],BASE!$B$3:$H$119,7,FALSE)</f>
        <v>LETÍCIA</v>
      </c>
    </row>
    <row r="3397" spans="1:13" x14ac:dyDescent="0.25">
      <c r="A3397" s="74">
        <v>200594</v>
      </c>
      <c r="B3397" s="75" t="s">
        <v>279</v>
      </c>
      <c r="C3397" s="75" t="s">
        <v>577</v>
      </c>
      <c r="D3397" s="76">
        <v>46125</v>
      </c>
      <c r="E3397" s="75" t="s">
        <v>230</v>
      </c>
      <c r="F3397" s="74">
        <v>1.58</v>
      </c>
      <c r="G3397" s="75" t="s">
        <v>236</v>
      </c>
      <c r="H3397" s="77" t="str">
        <f>VLOOKUP(DESPESAS[[#This Row],[Plano de Contas]],BASE!$B$3:$D$119,3,FALSE)</f>
        <v>Despesas de Cobranca</v>
      </c>
      <c r="I3397" s="77" t="str">
        <f>IFERROR(VLOOKUP(DESPESAS[[#This Row],[Fornecedor]],Tabela2[],2,FALSE),"")</f>
        <v/>
      </c>
      <c r="J3397" s="77" t="str">
        <f>IFERROR(VLOOKUP(DESPESAS[[#This Row],[Plano de Contas]],BASE!$B$3:$F$119,4,FALSE),"")</f>
        <v>8 - DESPESAS FINANCEIRAS</v>
      </c>
      <c r="K3397" s="77" t="str">
        <f>IFERROR(VLOOKUP(DESPESAS[[#This Row],[Plano de Contas]],BASE!$B$3:$H$119,5,FALSE),"")</f>
        <v>FINANCEIRO</v>
      </c>
      <c r="L3397" s="77">
        <f>IFERROR(VLOOKUP(DESPESAS[[#This Row],[Plano de Contas]],BASE!$B$3:$H$119,6,FALSE),"")</f>
        <v>0</v>
      </c>
      <c r="M3397" s="77" t="str">
        <f>VLOOKUP(DESPESAS[[#This Row],[Plano de Contas]],BASE!$B$3:$H$119,7,FALSE)</f>
        <v>LETÍCIA</v>
      </c>
    </row>
    <row r="3398" spans="1:13" x14ac:dyDescent="0.25">
      <c r="A3398" s="74">
        <v>200595</v>
      </c>
      <c r="B3398" s="75" t="s">
        <v>221</v>
      </c>
      <c r="C3398" s="75" t="s">
        <v>576</v>
      </c>
      <c r="D3398" s="76">
        <v>46125</v>
      </c>
      <c r="E3398" s="75" t="s">
        <v>575</v>
      </c>
      <c r="F3398" s="74">
        <v>9.5</v>
      </c>
      <c r="G3398" s="75" t="s">
        <v>236</v>
      </c>
      <c r="H3398" s="77" t="str">
        <f>VLOOKUP(DESPESAS[[#This Row],[Plano de Contas]],BASE!$B$3:$D$119,3,FALSE)</f>
        <v>Despesas de Cobranca</v>
      </c>
      <c r="I3398" s="77" t="str">
        <f>IFERROR(VLOOKUP(DESPESAS[[#This Row],[Fornecedor]],Tabela2[],2,FALSE),"")</f>
        <v/>
      </c>
      <c r="J3398" s="77" t="str">
        <f>IFERROR(VLOOKUP(DESPESAS[[#This Row],[Plano de Contas]],BASE!$B$3:$F$119,4,FALSE),"")</f>
        <v>8 - DESPESAS FINANCEIRAS</v>
      </c>
      <c r="K3398" s="77" t="str">
        <f>IFERROR(VLOOKUP(DESPESAS[[#This Row],[Plano de Contas]],BASE!$B$3:$H$119,5,FALSE),"")</f>
        <v>FINANCEIRO</v>
      </c>
      <c r="L3398" s="77">
        <f>IFERROR(VLOOKUP(DESPESAS[[#This Row],[Plano de Contas]],BASE!$B$3:$H$119,6,FALSE),"")</f>
        <v>0</v>
      </c>
      <c r="M3398" s="77" t="str">
        <f>VLOOKUP(DESPESAS[[#This Row],[Plano de Contas]],BASE!$B$3:$H$119,7,FALSE)</f>
        <v>LETÍCIA</v>
      </c>
    </row>
    <row r="3399" spans="1:13" x14ac:dyDescent="0.25">
      <c r="A3399" s="74">
        <v>200596</v>
      </c>
      <c r="B3399" s="75" t="s">
        <v>279</v>
      </c>
      <c r="C3399" s="75" t="s">
        <v>574</v>
      </c>
      <c r="D3399" s="76">
        <v>46126</v>
      </c>
      <c r="E3399" s="75" t="s">
        <v>573</v>
      </c>
      <c r="F3399" s="74">
        <v>1378.5</v>
      </c>
      <c r="G3399" s="75" t="s">
        <v>572</v>
      </c>
      <c r="H3399" s="77" t="str">
        <f>VLOOKUP(DESPESAS[[#This Row],[Plano de Contas]],BASE!$B$3:$D$119,3,FALSE)</f>
        <v>Comissões sobre Vendas Externo</v>
      </c>
      <c r="I3399" s="77" t="str">
        <f>IFERROR(VLOOKUP(DESPESAS[[#This Row],[Fornecedor]],Tabela2[],2,FALSE),"")</f>
        <v/>
      </c>
      <c r="J3399" s="77" t="str">
        <f>IFERROR(VLOOKUP(DESPESAS[[#This Row],[Plano de Contas]],BASE!$B$3:$F$119,4,FALSE),"")</f>
        <v>6 - DESPESA COM VENDAS</v>
      </c>
      <c r="K3399" s="77" t="str">
        <f>IFERROR(VLOOKUP(DESPESAS[[#This Row],[Plano de Contas]],BASE!$B$3:$H$119,5,FALSE),"")</f>
        <v>COMERCIAL</v>
      </c>
      <c r="L3399" s="77">
        <f>IFERROR(VLOOKUP(DESPESAS[[#This Row],[Plano de Contas]],BASE!$B$3:$H$119,6,FALSE),"")</f>
        <v>0</v>
      </c>
      <c r="M3399" s="77" t="str">
        <f>VLOOKUP(DESPESAS[[#This Row],[Plano de Contas]],BASE!$B$3:$H$119,7,FALSE)</f>
        <v>LETÍCIA</v>
      </c>
    </row>
    <row r="3400" spans="1:13" x14ac:dyDescent="0.25">
      <c r="A3400" s="74">
        <v>200597</v>
      </c>
      <c r="B3400" s="75" t="s">
        <v>221</v>
      </c>
      <c r="C3400" s="75" t="s">
        <v>571</v>
      </c>
      <c r="D3400" s="76">
        <v>46126</v>
      </c>
      <c r="E3400" s="75" t="s">
        <v>570</v>
      </c>
      <c r="F3400" s="74">
        <v>10000</v>
      </c>
      <c r="G3400" s="75" t="s">
        <v>365</v>
      </c>
      <c r="H3400" s="77" t="str">
        <f>VLOOKUP(DESPESAS[[#This Row],[Plano de Contas]],BASE!$B$3:$D$119,3,FALSE)</f>
        <v>Pró-Labore</v>
      </c>
      <c r="I3400" s="77" t="str">
        <f>IFERROR(VLOOKUP(DESPESAS[[#This Row],[Fornecedor]],Tabela2[],2,FALSE),"")</f>
        <v/>
      </c>
      <c r="J3400" s="77" t="str">
        <f>IFERROR(VLOOKUP(DESPESAS[[#This Row],[Plano de Contas]],BASE!$B$3:$F$119,4,FALSE),"")</f>
        <v>4 - GASTOS COM PESSOAL</v>
      </c>
      <c r="K3400" s="77" t="str">
        <f>IFERROR(VLOOKUP(DESPESAS[[#This Row],[Plano de Contas]],BASE!$B$3:$H$119,5,FALSE),"")</f>
        <v>DIRETORIA</v>
      </c>
      <c r="L3400" s="77">
        <f>IFERROR(VLOOKUP(DESPESAS[[#This Row],[Plano de Contas]],BASE!$B$3:$H$119,6,FALSE),"")</f>
        <v>0</v>
      </c>
      <c r="M3400" s="77" t="str">
        <f>VLOOKUP(DESPESAS[[#This Row],[Plano de Contas]],BASE!$B$3:$H$119,7,FALSE)</f>
        <v>FÁBIO</v>
      </c>
    </row>
    <row r="3401" spans="1:13" x14ac:dyDescent="0.25">
      <c r="A3401" s="74">
        <v>200599</v>
      </c>
      <c r="B3401" s="75" t="s">
        <v>221</v>
      </c>
      <c r="C3401" s="75" t="s">
        <v>3767</v>
      </c>
      <c r="D3401" s="76">
        <v>46148</v>
      </c>
      <c r="E3401" s="75" t="s">
        <v>570</v>
      </c>
      <c r="F3401" s="74">
        <v>6000</v>
      </c>
      <c r="G3401" s="75" t="s">
        <v>365</v>
      </c>
      <c r="H3401" s="77" t="str">
        <f>VLOOKUP(DESPESAS[[#This Row],[Plano de Contas]],BASE!$B$3:$D$119,3,FALSE)</f>
        <v>Pró-Labore</v>
      </c>
      <c r="I3401" s="77" t="str">
        <f>IFERROR(VLOOKUP(DESPESAS[[#This Row],[Fornecedor]],Tabela2[],2,FALSE),"")</f>
        <v/>
      </c>
      <c r="J3401" s="77" t="str">
        <f>IFERROR(VLOOKUP(DESPESAS[[#This Row],[Plano de Contas]],BASE!$B$3:$F$119,4,FALSE),"")</f>
        <v>4 - GASTOS COM PESSOAL</v>
      </c>
      <c r="K3401" s="77" t="str">
        <f>IFERROR(VLOOKUP(DESPESAS[[#This Row],[Plano de Contas]],BASE!$B$3:$H$119,5,FALSE),"")</f>
        <v>DIRETORIA</v>
      </c>
      <c r="L3401" s="77">
        <f>IFERROR(VLOOKUP(DESPESAS[[#This Row],[Plano de Contas]],BASE!$B$3:$H$119,6,FALSE),"")</f>
        <v>0</v>
      </c>
      <c r="M3401" s="77" t="str">
        <f>VLOOKUP(DESPESAS[[#This Row],[Plano de Contas]],BASE!$B$3:$H$119,7,FALSE)</f>
        <v>FÁBIO</v>
      </c>
    </row>
    <row r="3402" spans="1:13" x14ac:dyDescent="0.25">
      <c r="A3402" s="74">
        <v>200604</v>
      </c>
      <c r="B3402" s="75" t="s">
        <v>221</v>
      </c>
      <c r="C3402" s="75" t="s">
        <v>569</v>
      </c>
      <c r="D3402" s="76">
        <v>46126</v>
      </c>
      <c r="E3402" s="75" t="s">
        <v>223</v>
      </c>
      <c r="F3402" s="74">
        <v>86</v>
      </c>
      <c r="G3402" s="75" t="s">
        <v>568</v>
      </c>
      <c r="H3402" s="77" t="str">
        <f>VLOOKUP(DESPESAS[[#This Row],[Plano de Contas]],BASE!$B$3:$D$119,3,FALSE)</f>
        <v>Carregamento</v>
      </c>
      <c r="I3402" s="77" t="str">
        <f>IFERROR(VLOOKUP(DESPESAS[[#This Row],[Fornecedor]],Tabela2[],2,FALSE),"")</f>
        <v/>
      </c>
      <c r="J3402" s="77" t="str">
        <f>IFERROR(VLOOKUP(DESPESAS[[#This Row],[Plano de Contas]],BASE!$B$3:$F$119,4,FALSE),"")</f>
        <v>6 - DESPESA COM VENDAS</v>
      </c>
      <c r="K3402" s="77" t="str">
        <f>IFERROR(VLOOKUP(DESPESAS[[#This Row],[Plano de Contas]],BASE!$B$3:$H$119,5,FALSE),"")</f>
        <v>LOGÍSTICA</v>
      </c>
      <c r="L3402" s="77">
        <f>IFERROR(VLOOKUP(DESPESAS[[#This Row],[Plano de Contas]],BASE!$B$3:$H$119,6,FALSE),"")</f>
        <v>0</v>
      </c>
      <c r="M3402" s="77" t="str">
        <f>VLOOKUP(DESPESAS[[#This Row],[Plano de Contas]],BASE!$B$3:$H$119,7,FALSE)</f>
        <v>MYLENA</v>
      </c>
    </row>
    <row r="3403" spans="1:13" x14ac:dyDescent="0.25">
      <c r="A3403" s="74">
        <v>200605</v>
      </c>
      <c r="B3403" s="75" t="s">
        <v>232</v>
      </c>
      <c r="C3403" s="75" t="s">
        <v>567</v>
      </c>
      <c r="D3403" s="76">
        <v>46132</v>
      </c>
      <c r="E3403" s="75" t="s">
        <v>566</v>
      </c>
      <c r="F3403" s="74">
        <v>500.86</v>
      </c>
      <c r="G3403" s="75" t="s">
        <v>561</v>
      </c>
      <c r="H3403" s="77" t="str">
        <f>VLOOKUP(DESPESAS[[#This Row],[Plano de Contas]],BASE!$B$3:$D$119,3,FALSE)</f>
        <v>Sistemas de Informação</v>
      </c>
      <c r="I3403" s="77" t="str">
        <f>IFERROR(VLOOKUP(DESPESAS[[#This Row],[Fornecedor]],Tabela2[],2,FALSE),"")</f>
        <v>TOPSOLID</v>
      </c>
      <c r="J3403" s="77" t="str">
        <f>IFERROR(VLOOKUP(DESPESAS[[#This Row],[Plano de Contas]],BASE!$B$3:$F$119,4,FALSE),"")</f>
        <v>7 - SERVIÇOS DE TERCEIROS</v>
      </c>
      <c r="K3403" s="77" t="str">
        <f>IFERROR(VLOOKUP(DESPESAS[[#This Row],[Plano de Contas]],BASE!$B$3:$H$119,5,FALSE),"")</f>
        <v>MANUTENÇÃO / TI</v>
      </c>
      <c r="L3403" s="77">
        <f>IFERROR(VLOOKUP(DESPESAS[[#This Row],[Plano de Contas]],BASE!$B$3:$H$119,6,FALSE),"")</f>
        <v>0</v>
      </c>
      <c r="M3403" s="77" t="str">
        <f>VLOOKUP(DESPESAS[[#This Row],[Plano de Contas]],BASE!$B$3:$H$119,7,FALSE)</f>
        <v>LETÍCIA</v>
      </c>
    </row>
    <row r="3404" spans="1:13" x14ac:dyDescent="0.25">
      <c r="A3404" s="74">
        <v>200608</v>
      </c>
      <c r="B3404" s="75" t="s">
        <v>221</v>
      </c>
      <c r="C3404" s="75" t="s">
        <v>565</v>
      </c>
      <c r="D3404" s="76">
        <v>46112</v>
      </c>
      <c r="E3404" s="75" t="s">
        <v>481</v>
      </c>
      <c r="F3404" s="74">
        <v>2581.66</v>
      </c>
      <c r="G3404" s="75" t="s">
        <v>480</v>
      </c>
      <c r="H3404" s="77" t="str">
        <f>VLOOKUP(DESPESAS[[#This Row],[Plano de Contas]],BASE!$B$3:$D$119,3,FALSE)</f>
        <v>Viagens e Estadias c/ Vendas</v>
      </c>
      <c r="I3404" s="77" t="str">
        <f>IFERROR(VLOOKUP(DESPESAS[[#This Row],[Fornecedor]],Tabela2[],2,FALSE),"")</f>
        <v/>
      </c>
      <c r="J3404" s="77" t="str">
        <f>IFERROR(VLOOKUP(DESPESAS[[#This Row],[Plano de Contas]],BASE!$B$3:$F$119,4,FALSE),"")</f>
        <v>6 - DESPESA COM VENDAS</v>
      </c>
      <c r="K3404" s="77" t="str">
        <f>IFERROR(VLOOKUP(DESPESAS[[#This Row],[Plano de Contas]],BASE!$B$3:$H$119,5,FALSE),"")</f>
        <v>COMERCIAL</v>
      </c>
      <c r="L3404" s="77">
        <f>IFERROR(VLOOKUP(DESPESAS[[#This Row],[Plano de Contas]],BASE!$B$3:$H$119,6,FALSE),"")</f>
        <v>0</v>
      </c>
      <c r="M3404" s="77" t="str">
        <f>VLOOKUP(DESPESAS[[#This Row],[Plano de Contas]],BASE!$B$3:$H$119,7,FALSE)</f>
        <v>LETÍCIA</v>
      </c>
    </row>
    <row r="3405" spans="1:13" x14ac:dyDescent="0.25">
      <c r="A3405" s="74">
        <v>200609</v>
      </c>
      <c r="B3405" s="75" t="s">
        <v>232</v>
      </c>
      <c r="C3405" s="75" t="s">
        <v>564</v>
      </c>
      <c r="D3405" s="76">
        <v>46126</v>
      </c>
      <c r="E3405" s="75" t="s">
        <v>563</v>
      </c>
      <c r="F3405" s="74">
        <v>252</v>
      </c>
      <c r="G3405" s="75" t="s">
        <v>247</v>
      </c>
      <c r="H3405" s="77" t="str">
        <f>VLOOKUP(DESPESAS[[#This Row],[Plano de Contas]],BASE!$B$3:$D$119,3,FALSE)</f>
        <v>Manutenção com veiculos</v>
      </c>
      <c r="I3405" s="77" t="str">
        <f>IFERROR(VLOOKUP(DESPESAS[[#This Row],[Fornecedor]],Tabela2[],2,FALSE),"")</f>
        <v/>
      </c>
      <c r="J3405" s="77" t="str">
        <f>IFERROR(VLOOKUP(DESPESAS[[#This Row],[Plano de Contas]],BASE!$B$3:$F$119,4,FALSE),"")</f>
        <v>6 - DESPESA COM VENDAS</v>
      </c>
      <c r="K3405" s="77" t="str">
        <f>IFERROR(VLOOKUP(DESPESAS[[#This Row],[Plano de Contas]],BASE!$B$3:$H$119,5,FALSE),"")</f>
        <v>LOGÍSTICA</v>
      </c>
      <c r="L3405" s="77">
        <f>IFERROR(VLOOKUP(DESPESAS[[#This Row],[Plano de Contas]],BASE!$B$3:$H$119,6,FALSE),"")</f>
        <v>0</v>
      </c>
      <c r="M3405" s="77" t="str">
        <f>VLOOKUP(DESPESAS[[#This Row],[Plano de Contas]],BASE!$B$3:$H$119,7,FALSE)</f>
        <v>MYLENA</v>
      </c>
    </row>
    <row r="3406" spans="1:13" x14ac:dyDescent="0.25">
      <c r="A3406" s="74">
        <v>200612</v>
      </c>
      <c r="B3406" s="75" t="s">
        <v>221</v>
      </c>
      <c r="C3406" s="75" t="s">
        <v>562</v>
      </c>
      <c r="D3406" s="76">
        <v>46128</v>
      </c>
      <c r="E3406" s="75" t="s">
        <v>347</v>
      </c>
      <c r="F3406" s="74">
        <v>699</v>
      </c>
      <c r="G3406" s="75" t="s">
        <v>561</v>
      </c>
      <c r="H3406" s="77" t="str">
        <f>VLOOKUP(DESPESAS[[#This Row],[Plano de Contas]],BASE!$B$3:$D$119,3,FALSE)</f>
        <v>Sistemas de Informação</v>
      </c>
      <c r="I3406" s="77" t="str">
        <f>IFERROR(VLOOKUP(DESPESAS[[#This Row],[Fornecedor]],Tabela2[],2,FALSE),"")</f>
        <v/>
      </c>
      <c r="J3406" s="77" t="str">
        <f>IFERROR(VLOOKUP(DESPESAS[[#This Row],[Plano de Contas]],BASE!$B$3:$F$119,4,FALSE),"")</f>
        <v>7 - SERVIÇOS DE TERCEIROS</v>
      </c>
      <c r="K3406" s="77" t="str">
        <f>IFERROR(VLOOKUP(DESPESAS[[#This Row],[Plano de Contas]],BASE!$B$3:$H$119,5,FALSE),"")</f>
        <v>MANUTENÇÃO / TI</v>
      </c>
      <c r="L3406" s="77">
        <f>IFERROR(VLOOKUP(DESPESAS[[#This Row],[Plano de Contas]],BASE!$B$3:$H$119,6,FALSE),"")</f>
        <v>0</v>
      </c>
      <c r="M3406" s="77" t="str">
        <f>VLOOKUP(DESPESAS[[#This Row],[Plano de Contas]],BASE!$B$3:$H$119,7,FALSE)</f>
        <v>LETÍCIA</v>
      </c>
    </row>
    <row r="3407" spans="1:13" x14ac:dyDescent="0.25">
      <c r="A3407" s="74">
        <v>200618</v>
      </c>
      <c r="B3407" s="75" t="s">
        <v>221</v>
      </c>
      <c r="C3407" s="75" t="s">
        <v>560</v>
      </c>
      <c r="D3407" s="76">
        <v>46127</v>
      </c>
      <c r="E3407" s="75" t="s">
        <v>245</v>
      </c>
      <c r="F3407" s="74">
        <v>18</v>
      </c>
      <c r="G3407" s="75" t="s">
        <v>331</v>
      </c>
      <c r="H3407" s="77" t="str">
        <f>VLOOKUP(DESPESAS[[#This Row],[Plano de Contas]],BASE!$B$3:$D$119,3,FALSE)</f>
        <v>Manutenção Predial (Adm)</v>
      </c>
      <c r="I3407" s="77" t="str">
        <f>IFERROR(VLOOKUP(DESPESAS[[#This Row],[Fornecedor]],Tabela2[],2,FALSE),"")</f>
        <v>FERRAGENS GERAIS</v>
      </c>
      <c r="J3407" s="77" t="str">
        <f>IFERROR(VLOOKUP(DESPESAS[[#This Row],[Plano de Contas]],BASE!$B$3:$F$119,4,FALSE),"")</f>
        <v>4 - GASTOS COM PESSOAL</v>
      </c>
      <c r="K3407" s="77" t="str">
        <f>IFERROR(VLOOKUP(DESPESAS[[#This Row],[Plano de Contas]],BASE!$B$3:$H$119,5,FALSE),"")</f>
        <v>MANUTENÇÃO / TI</v>
      </c>
      <c r="L3407" s="77">
        <f>IFERROR(VLOOKUP(DESPESAS[[#This Row],[Plano de Contas]],BASE!$B$3:$H$119,6,FALSE),"")</f>
        <v>0</v>
      </c>
      <c r="M3407" s="77" t="str">
        <f>VLOOKUP(DESPESAS[[#This Row],[Plano de Contas]],BASE!$B$3:$H$119,7,FALSE)</f>
        <v>FÁBIO</v>
      </c>
    </row>
    <row r="3408" spans="1:13" x14ac:dyDescent="0.25">
      <c r="A3408" s="74">
        <v>200619</v>
      </c>
      <c r="B3408" s="75" t="s">
        <v>232</v>
      </c>
      <c r="C3408" s="75" t="s">
        <v>559</v>
      </c>
      <c r="D3408" s="76">
        <v>46126</v>
      </c>
      <c r="E3408" s="75" t="s">
        <v>230</v>
      </c>
      <c r="F3408" s="74">
        <v>3.95</v>
      </c>
      <c r="G3408" s="75" t="s">
        <v>236</v>
      </c>
      <c r="H3408" s="77" t="str">
        <f>VLOOKUP(DESPESAS[[#This Row],[Plano de Contas]],BASE!$B$3:$D$119,3,FALSE)</f>
        <v>Despesas de Cobranca</v>
      </c>
      <c r="I3408" s="77" t="str">
        <f>IFERROR(VLOOKUP(DESPESAS[[#This Row],[Fornecedor]],Tabela2[],2,FALSE),"")</f>
        <v/>
      </c>
      <c r="J3408" s="77" t="str">
        <f>IFERROR(VLOOKUP(DESPESAS[[#This Row],[Plano de Contas]],BASE!$B$3:$F$119,4,FALSE),"")</f>
        <v>8 - DESPESAS FINANCEIRAS</v>
      </c>
      <c r="K3408" s="77" t="str">
        <f>IFERROR(VLOOKUP(DESPESAS[[#This Row],[Plano de Contas]],BASE!$B$3:$H$119,5,FALSE),"")</f>
        <v>FINANCEIRO</v>
      </c>
      <c r="L3408" s="77">
        <f>IFERROR(VLOOKUP(DESPESAS[[#This Row],[Plano de Contas]],BASE!$B$3:$H$119,6,FALSE),"")</f>
        <v>0</v>
      </c>
      <c r="M3408" s="77" t="str">
        <f>VLOOKUP(DESPESAS[[#This Row],[Plano de Contas]],BASE!$B$3:$H$119,7,FALSE)</f>
        <v>LETÍCIA</v>
      </c>
    </row>
    <row r="3409" spans="1:13" x14ac:dyDescent="0.25">
      <c r="A3409" s="74">
        <v>200620</v>
      </c>
      <c r="B3409" s="75" t="s">
        <v>232</v>
      </c>
      <c r="C3409" s="75" t="s">
        <v>558</v>
      </c>
      <c r="D3409" s="76">
        <v>46127</v>
      </c>
      <c r="E3409" s="75" t="s">
        <v>230</v>
      </c>
      <c r="F3409" s="74">
        <v>3.52</v>
      </c>
      <c r="G3409" s="75" t="s">
        <v>229</v>
      </c>
      <c r="H3409" s="77" t="str">
        <f>VLOOKUP(DESPESAS[[#This Row],[Plano de Contas]],BASE!$B$3:$D$119,3,FALSE)</f>
        <v>Despesas Bancarias</v>
      </c>
      <c r="I3409" s="77" t="str">
        <f>IFERROR(VLOOKUP(DESPESAS[[#This Row],[Fornecedor]],Tabela2[],2,FALSE),"")</f>
        <v/>
      </c>
      <c r="J3409" s="77" t="str">
        <f>IFERROR(VLOOKUP(DESPESAS[[#This Row],[Plano de Contas]],BASE!$B$3:$F$119,4,FALSE),"")</f>
        <v>8 - DESPESAS FINANCEIRAS</v>
      </c>
      <c r="K3409" s="77" t="str">
        <f>IFERROR(VLOOKUP(DESPESAS[[#This Row],[Plano de Contas]],BASE!$B$3:$H$119,5,FALSE),"")</f>
        <v>FINANCEIRO</v>
      </c>
      <c r="L3409" s="77">
        <f>IFERROR(VLOOKUP(DESPESAS[[#This Row],[Plano de Contas]],BASE!$B$3:$H$119,6,FALSE),"")</f>
        <v>0</v>
      </c>
      <c r="M3409" s="77" t="str">
        <f>VLOOKUP(DESPESAS[[#This Row],[Plano de Contas]],BASE!$B$3:$H$119,7,FALSE)</f>
        <v>LETÍCIA</v>
      </c>
    </row>
    <row r="3410" spans="1:13" x14ac:dyDescent="0.25">
      <c r="A3410" s="74">
        <v>200621</v>
      </c>
      <c r="B3410" s="75" t="s">
        <v>232</v>
      </c>
      <c r="C3410" s="75" t="s">
        <v>557</v>
      </c>
      <c r="D3410" s="76">
        <v>46126</v>
      </c>
      <c r="E3410" s="75" t="s">
        <v>230</v>
      </c>
      <c r="F3410" s="74">
        <v>0.95</v>
      </c>
      <c r="G3410" s="75" t="s">
        <v>229</v>
      </c>
      <c r="H3410" s="77" t="str">
        <f>VLOOKUP(DESPESAS[[#This Row],[Plano de Contas]],BASE!$B$3:$D$119,3,FALSE)</f>
        <v>Despesas Bancarias</v>
      </c>
      <c r="I3410" s="77" t="str">
        <f>IFERROR(VLOOKUP(DESPESAS[[#This Row],[Fornecedor]],Tabela2[],2,FALSE),"")</f>
        <v/>
      </c>
      <c r="J3410" s="77" t="str">
        <f>IFERROR(VLOOKUP(DESPESAS[[#This Row],[Plano de Contas]],BASE!$B$3:$F$119,4,FALSE),"")</f>
        <v>8 - DESPESAS FINANCEIRAS</v>
      </c>
      <c r="K3410" s="77" t="str">
        <f>IFERROR(VLOOKUP(DESPESAS[[#This Row],[Plano de Contas]],BASE!$B$3:$H$119,5,FALSE),"")</f>
        <v>FINANCEIRO</v>
      </c>
      <c r="L3410" s="77">
        <f>IFERROR(VLOOKUP(DESPESAS[[#This Row],[Plano de Contas]],BASE!$B$3:$H$119,6,FALSE),"")</f>
        <v>0</v>
      </c>
      <c r="M3410" s="77" t="str">
        <f>VLOOKUP(DESPESAS[[#This Row],[Plano de Contas]],BASE!$B$3:$H$119,7,FALSE)</f>
        <v>LETÍCIA</v>
      </c>
    </row>
    <row r="3411" spans="1:13" x14ac:dyDescent="0.25">
      <c r="A3411" s="74">
        <v>200622</v>
      </c>
      <c r="B3411" s="75" t="s">
        <v>232</v>
      </c>
      <c r="C3411" s="75" t="s">
        <v>556</v>
      </c>
      <c r="D3411" s="76">
        <v>46127</v>
      </c>
      <c r="E3411" s="75" t="s">
        <v>230</v>
      </c>
      <c r="F3411" s="74">
        <v>35.450000000000003</v>
      </c>
      <c r="G3411" s="75" t="s">
        <v>251</v>
      </c>
      <c r="H3411" s="77" t="str">
        <f>VLOOKUP(DESPESAS[[#This Row],[Plano de Contas]],BASE!$B$3:$D$119,3,FALSE)</f>
        <v>Juros Pagos - Antecipação de Crédito</v>
      </c>
      <c r="I3411" s="77" t="str">
        <f>IFERROR(VLOOKUP(DESPESAS[[#This Row],[Fornecedor]],Tabela2[],2,FALSE),"")</f>
        <v/>
      </c>
      <c r="J3411" s="77" t="str">
        <f>IFERROR(VLOOKUP(DESPESAS[[#This Row],[Plano de Contas]],BASE!$B$3:$F$119,4,FALSE),"")</f>
        <v>8 - DESPESAS FINANCEIRAS</v>
      </c>
      <c r="K3411" s="77" t="str">
        <f>IFERROR(VLOOKUP(DESPESAS[[#This Row],[Plano de Contas]],BASE!$B$3:$H$119,5,FALSE),"")</f>
        <v>FINANCEIRO</v>
      </c>
      <c r="L3411" s="77">
        <f>IFERROR(VLOOKUP(DESPESAS[[#This Row],[Plano de Contas]],BASE!$B$3:$H$119,6,FALSE),"")</f>
        <v>0</v>
      </c>
      <c r="M3411" s="77" t="str">
        <f>VLOOKUP(DESPESAS[[#This Row],[Plano de Contas]],BASE!$B$3:$H$119,7,FALSE)</f>
        <v>LETÍCIA</v>
      </c>
    </row>
    <row r="3412" spans="1:13" x14ac:dyDescent="0.25">
      <c r="A3412" s="74">
        <v>200623</v>
      </c>
      <c r="B3412" s="75" t="s">
        <v>232</v>
      </c>
      <c r="C3412" s="75" t="s">
        <v>555</v>
      </c>
      <c r="D3412" s="76">
        <v>46127</v>
      </c>
      <c r="E3412" s="75" t="s">
        <v>230</v>
      </c>
      <c r="F3412" s="74">
        <v>492.82</v>
      </c>
      <c r="G3412" s="75" t="s">
        <v>546</v>
      </c>
      <c r="H3412" s="77" t="str">
        <f>VLOOKUP(DESPESAS[[#This Row],[Plano de Contas]],BASE!$B$3:$D$119,3,FALSE)</f>
        <v>Seguro de Vida MOD</v>
      </c>
      <c r="I3412" s="77" t="str">
        <f>IFERROR(VLOOKUP(DESPESAS[[#This Row],[Fornecedor]],Tabela2[],2,FALSE),"")</f>
        <v/>
      </c>
      <c r="J3412" s="77" t="str">
        <f>IFERROR(VLOOKUP(DESPESAS[[#This Row],[Plano de Contas]],BASE!$B$3:$F$119,4,FALSE),"")</f>
        <v>2 - CUSTOS DIRETOS</v>
      </c>
      <c r="K3412" s="77" t="str">
        <f>IFERROR(VLOOKUP(DESPESAS[[#This Row],[Plano de Contas]],BASE!$B$3:$H$119,5,FALSE),"")</f>
        <v>DH</v>
      </c>
      <c r="L3412" s="77" t="str">
        <f>IFERROR(VLOOKUP(DESPESAS[[#This Row],[Plano de Contas]],BASE!$B$3:$H$119,6,FALSE),"")</f>
        <v>CUSTO MÃO DE OBRA DIRETA</v>
      </c>
      <c r="M3412" s="77" t="str">
        <f>VLOOKUP(DESPESAS[[#This Row],[Plano de Contas]],BASE!$B$3:$H$119,7,FALSE)</f>
        <v>RAFAEL</v>
      </c>
    </row>
    <row r="3413" spans="1:13" x14ac:dyDescent="0.25">
      <c r="A3413" s="74">
        <v>200624</v>
      </c>
      <c r="B3413" s="75" t="s">
        <v>232</v>
      </c>
      <c r="C3413" s="75" t="s">
        <v>554</v>
      </c>
      <c r="D3413" s="76">
        <v>46127</v>
      </c>
      <c r="E3413" s="75" t="s">
        <v>230</v>
      </c>
      <c r="F3413" s="74">
        <v>102.67</v>
      </c>
      <c r="G3413" s="75" t="s">
        <v>544</v>
      </c>
      <c r="H3413" s="77" t="str">
        <f>VLOOKUP(DESPESAS[[#This Row],[Plano de Contas]],BASE!$B$3:$D$119,3,FALSE)</f>
        <v>Seguro de Vida CIF</v>
      </c>
      <c r="I3413" s="77" t="str">
        <f>IFERROR(VLOOKUP(DESPESAS[[#This Row],[Fornecedor]],Tabela2[],2,FALSE),"")</f>
        <v/>
      </c>
      <c r="J3413" s="77" t="str">
        <f>IFERROR(VLOOKUP(DESPESAS[[#This Row],[Plano de Contas]],BASE!$B$3:$F$119,4,FALSE),"")</f>
        <v>3 - CUSTOS INDIRETOS</v>
      </c>
      <c r="K3413" s="77" t="str">
        <f>IFERROR(VLOOKUP(DESPESAS[[#This Row],[Plano de Contas]],BASE!$B$3:$H$119,5,FALSE),"")</f>
        <v>DH</v>
      </c>
      <c r="L3413" s="77" t="str">
        <f>IFERROR(VLOOKUP(DESPESAS[[#This Row],[Plano de Contas]],BASE!$B$3:$H$119,6,FALSE),"")</f>
        <v>CUSTO MÃO DE OBRA DIRETA</v>
      </c>
      <c r="M3413" s="77" t="str">
        <f>VLOOKUP(DESPESAS[[#This Row],[Plano de Contas]],BASE!$B$3:$H$119,7,FALSE)</f>
        <v>RAFAEL</v>
      </c>
    </row>
    <row r="3414" spans="1:13" x14ac:dyDescent="0.25">
      <c r="A3414" s="74">
        <v>200625</v>
      </c>
      <c r="B3414" s="75" t="s">
        <v>232</v>
      </c>
      <c r="C3414" s="75" t="s">
        <v>553</v>
      </c>
      <c r="D3414" s="76">
        <v>46127</v>
      </c>
      <c r="E3414" s="75" t="s">
        <v>230</v>
      </c>
      <c r="F3414" s="74">
        <v>205.35</v>
      </c>
      <c r="G3414" s="75" t="s">
        <v>542</v>
      </c>
      <c r="H3414" s="77" t="str">
        <f>VLOOKUP(DESPESAS[[#This Row],[Plano de Contas]],BASE!$B$3:$D$119,3,FALSE)</f>
        <v>Seguro de Vida (Adm)</v>
      </c>
      <c r="I3414" s="77" t="str">
        <f>IFERROR(VLOOKUP(DESPESAS[[#This Row],[Fornecedor]],Tabela2[],2,FALSE),"")</f>
        <v/>
      </c>
      <c r="J3414" s="77" t="str">
        <f>IFERROR(VLOOKUP(DESPESAS[[#This Row],[Plano de Contas]],BASE!$B$3:$F$119,4,FALSE),"")</f>
        <v>4 - GASTOS COM PESSOAL</v>
      </c>
      <c r="K3414" s="77" t="str">
        <f>IFERROR(VLOOKUP(DESPESAS[[#This Row],[Plano de Contas]],BASE!$B$3:$H$119,5,FALSE),"")</f>
        <v>DH</v>
      </c>
      <c r="L3414" s="77">
        <f>IFERROR(VLOOKUP(DESPESAS[[#This Row],[Plano de Contas]],BASE!$B$3:$H$119,6,FALSE),"")</f>
        <v>0</v>
      </c>
      <c r="M3414" s="77" t="str">
        <f>VLOOKUP(DESPESAS[[#This Row],[Plano de Contas]],BASE!$B$3:$H$119,7,FALSE)</f>
        <v>RAFAEL</v>
      </c>
    </row>
    <row r="3415" spans="1:13" x14ac:dyDescent="0.25">
      <c r="A3415" s="74">
        <v>200626</v>
      </c>
      <c r="B3415" s="75" t="s">
        <v>279</v>
      </c>
      <c r="C3415" s="75" t="s">
        <v>552</v>
      </c>
      <c r="D3415" s="76">
        <v>46127</v>
      </c>
      <c r="E3415" s="75" t="s">
        <v>230</v>
      </c>
      <c r="F3415" s="74">
        <v>0.59</v>
      </c>
      <c r="G3415" s="75" t="s">
        <v>229</v>
      </c>
      <c r="H3415" s="77" t="str">
        <f>VLOOKUP(DESPESAS[[#This Row],[Plano de Contas]],BASE!$B$3:$D$119,3,FALSE)</f>
        <v>Despesas Bancarias</v>
      </c>
      <c r="I3415" s="77" t="str">
        <f>IFERROR(VLOOKUP(DESPESAS[[#This Row],[Fornecedor]],Tabela2[],2,FALSE),"")</f>
        <v/>
      </c>
      <c r="J3415" s="77" t="str">
        <f>IFERROR(VLOOKUP(DESPESAS[[#This Row],[Plano de Contas]],BASE!$B$3:$F$119,4,FALSE),"")</f>
        <v>8 - DESPESAS FINANCEIRAS</v>
      </c>
      <c r="K3415" s="77" t="str">
        <f>IFERROR(VLOOKUP(DESPESAS[[#This Row],[Plano de Contas]],BASE!$B$3:$H$119,5,FALSE),"")</f>
        <v>FINANCEIRO</v>
      </c>
      <c r="L3415" s="77">
        <f>IFERROR(VLOOKUP(DESPESAS[[#This Row],[Plano de Contas]],BASE!$B$3:$H$119,6,FALSE),"")</f>
        <v>0</v>
      </c>
      <c r="M3415" s="77" t="str">
        <f>VLOOKUP(DESPESAS[[#This Row],[Plano de Contas]],BASE!$B$3:$H$119,7,FALSE)</f>
        <v>LETÍCIA</v>
      </c>
    </row>
    <row r="3416" spans="1:13" x14ac:dyDescent="0.25">
      <c r="A3416" s="74">
        <v>200627</v>
      </c>
      <c r="B3416" s="75" t="s">
        <v>279</v>
      </c>
      <c r="C3416" s="75" t="s">
        <v>551</v>
      </c>
      <c r="D3416" s="76">
        <v>46127</v>
      </c>
      <c r="E3416" s="75" t="s">
        <v>230</v>
      </c>
      <c r="F3416" s="74">
        <v>6.04</v>
      </c>
      <c r="G3416" s="75" t="s">
        <v>251</v>
      </c>
      <c r="H3416" s="77" t="str">
        <f>VLOOKUP(DESPESAS[[#This Row],[Plano de Contas]],BASE!$B$3:$D$119,3,FALSE)</f>
        <v>Juros Pagos - Antecipação de Crédito</v>
      </c>
      <c r="I3416" s="77" t="str">
        <f>IFERROR(VLOOKUP(DESPESAS[[#This Row],[Fornecedor]],Tabela2[],2,FALSE),"")</f>
        <v/>
      </c>
      <c r="J3416" s="77" t="str">
        <f>IFERROR(VLOOKUP(DESPESAS[[#This Row],[Plano de Contas]],BASE!$B$3:$F$119,4,FALSE),"")</f>
        <v>8 - DESPESAS FINANCEIRAS</v>
      </c>
      <c r="K3416" s="77" t="str">
        <f>IFERROR(VLOOKUP(DESPESAS[[#This Row],[Plano de Contas]],BASE!$B$3:$H$119,5,FALSE),"")</f>
        <v>FINANCEIRO</v>
      </c>
      <c r="L3416" s="77">
        <f>IFERROR(VLOOKUP(DESPESAS[[#This Row],[Plano de Contas]],BASE!$B$3:$H$119,6,FALSE),"")</f>
        <v>0</v>
      </c>
      <c r="M3416" s="77" t="str">
        <f>VLOOKUP(DESPESAS[[#This Row],[Plano de Contas]],BASE!$B$3:$H$119,7,FALSE)</f>
        <v>LETÍCIA</v>
      </c>
    </row>
    <row r="3417" spans="1:13" x14ac:dyDescent="0.25">
      <c r="A3417" s="74">
        <v>200628</v>
      </c>
      <c r="B3417" s="75" t="s">
        <v>279</v>
      </c>
      <c r="C3417" s="75" t="s">
        <v>550</v>
      </c>
      <c r="D3417" s="76">
        <v>46127</v>
      </c>
      <c r="E3417" s="75" t="s">
        <v>230</v>
      </c>
      <c r="F3417" s="74">
        <v>1108.31</v>
      </c>
      <c r="G3417" s="75" t="s">
        <v>546</v>
      </c>
      <c r="H3417" s="77" t="str">
        <f>VLOOKUP(DESPESAS[[#This Row],[Plano de Contas]],BASE!$B$3:$D$119,3,FALSE)</f>
        <v>Seguro de Vida MOD</v>
      </c>
      <c r="I3417" s="77" t="str">
        <f>IFERROR(VLOOKUP(DESPESAS[[#This Row],[Fornecedor]],Tabela2[],2,FALSE),"")</f>
        <v/>
      </c>
      <c r="J3417" s="77" t="str">
        <f>IFERROR(VLOOKUP(DESPESAS[[#This Row],[Plano de Contas]],BASE!$B$3:$F$119,4,FALSE),"")</f>
        <v>2 - CUSTOS DIRETOS</v>
      </c>
      <c r="K3417" s="77" t="str">
        <f>IFERROR(VLOOKUP(DESPESAS[[#This Row],[Plano de Contas]],BASE!$B$3:$H$119,5,FALSE),"")</f>
        <v>DH</v>
      </c>
      <c r="L3417" s="77" t="str">
        <f>IFERROR(VLOOKUP(DESPESAS[[#This Row],[Plano de Contas]],BASE!$B$3:$H$119,6,FALSE),"")</f>
        <v>CUSTO MÃO DE OBRA DIRETA</v>
      </c>
      <c r="M3417" s="77" t="str">
        <f>VLOOKUP(DESPESAS[[#This Row],[Plano de Contas]],BASE!$B$3:$H$119,7,FALSE)</f>
        <v>RAFAEL</v>
      </c>
    </row>
    <row r="3418" spans="1:13" x14ac:dyDescent="0.25">
      <c r="A3418" s="74">
        <v>200629</v>
      </c>
      <c r="B3418" s="75" t="s">
        <v>279</v>
      </c>
      <c r="C3418" s="75" t="s">
        <v>549</v>
      </c>
      <c r="D3418" s="76">
        <v>46127</v>
      </c>
      <c r="E3418" s="75" t="s">
        <v>230</v>
      </c>
      <c r="F3418" s="74">
        <v>110.83</v>
      </c>
      <c r="G3418" s="75" t="s">
        <v>544</v>
      </c>
      <c r="H3418" s="77" t="str">
        <f>VLOOKUP(DESPESAS[[#This Row],[Plano de Contas]],BASE!$B$3:$D$119,3,FALSE)</f>
        <v>Seguro de Vida CIF</v>
      </c>
      <c r="I3418" s="77" t="str">
        <f>IFERROR(VLOOKUP(DESPESAS[[#This Row],[Fornecedor]],Tabela2[],2,FALSE),"")</f>
        <v/>
      </c>
      <c r="J3418" s="77" t="str">
        <f>IFERROR(VLOOKUP(DESPESAS[[#This Row],[Plano de Contas]],BASE!$B$3:$F$119,4,FALSE),"")</f>
        <v>3 - CUSTOS INDIRETOS</v>
      </c>
      <c r="K3418" s="77" t="str">
        <f>IFERROR(VLOOKUP(DESPESAS[[#This Row],[Plano de Contas]],BASE!$B$3:$H$119,5,FALSE),"")</f>
        <v>DH</v>
      </c>
      <c r="L3418" s="77" t="str">
        <f>IFERROR(VLOOKUP(DESPESAS[[#This Row],[Plano de Contas]],BASE!$B$3:$H$119,6,FALSE),"")</f>
        <v>CUSTO MÃO DE OBRA DIRETA</v>
      </c>
      <c r="M3418" s="77" t="str">
        <f>VLOOKUP(DESPESAS[[#This Row],[Plano de Contas]],BASE!$B$3:$H$119,7,FALSE)</f>
        <v>RAFAEL</v>
      </c>
    </row>
    <row r="3419" spans="1:13" x14ac:dyDescent="0.25">
      <c r="A3419" s="74">
        <v>200630</v>
      </c>
      <c r="B3419" s="75" t="s">
        <v>279</v>
      </c>
      <c r="C3419" s="75" t="s">
        <v>548</v>
      </c>
      <c r="D3419" s="76">
        <v>46127</v>
      </c>
      <c r="E3419" s="75" t="s">
        <v>230</v>
      </c>
      <c r="F3419" s="74">
        <v>332.5</v>
      </c>
      <c r="G3419" s="75" t="s">
        <v>542</v>
      </c>
      <c r="H3419" s="77" t="str">
        <f>VLOOKUP(DESPESAS[[#This Row],[Plano de Contas]],BASE!$B$3:$D$119,3,FALSE)</f>
        <v>Seguro de Vida (Adm)</v>
      </c>
      <c r="I3419" s="77" t="str">
        <f>IFERROR(VLOOKUP(DESPESAS[[#This Row],[Fornecedor]],Tabela2[],2,FALSE),"")</f>
        <v/>
      </c>
      <c r="J3419" s="77" t="str">
        <f>IFERROR(VLOOKUP(DESPESAS[[#This Row],[Plano de Contas]],BASE!$B$3:$F$119,4,FALSE),"")</f>
        <v>4 - GASTOS COM PESSOAL</v>
      </c>
      <c r="K3419" s="77" t="str">
        <f>IFERROR(VLOOKUP(DESPESAS[[#This Row],[Plano de Contas]],BASE!$B$3:$H$119,5,FALSE),"")</f>
        <v>DH</v>
      </c>
      <c r="L3419" s="77">
        <f>IFERROR(VLOOKUP(DESPESAS[[#This Row],[Plano de Contas]],BASE!$B$3:$H$119,6,FALSE),"")</f>
        <v>0</v>
      </c>
      <c r="M3419" s="77" t="str">
        <f>VLOOKUP(DESPESAS[[#This Row],[Plano de Contas]],BASE!$B$3:$H$119,7,FALSE)</f>
        <v>RAFAEL</v>
      </c>
    </row>
    <row r="3420" spans="1:13" x14ac:dyDescent="0.25">
      <c r="A3420" s="74">
        <v>200631</v>
      </c>
      <c r="B3420" s="75" t="s">
        <v>281</v>
      </c>
      <c r="C3420" s="75" t="s">
        <v>547</v>
      </c>
      <c r="D3420" s="76">
        <v>46127</v>
      </c>
      <c r="E3420" s="75" t="s">
        <v>230</v>
      </c>
      <c r="F3420" s="74">
        <v>439.47</v>
      </c>
      <c r="G3420" s="75" t="s">
        <v>546</v>
      </c>
      <c r="H3420" s="77" t="str">
        <f>VLOOKUP(DESPESAS[[#This Row],[Plano de Contas]],BASE!$B$3:$D$119,3,FALSE)</f>
        <v>Seguro de Vida MOD</v>
      </c>
      <c r="I3420" s="77" t="str">
        <f>IFERROR(VLOOKUP(DESPESAS[[#This Row],[Fornecedor]],Tabela2[],2,FALSE),"")</f>
        <v/>
      </c>
      <c r="J3420" s="77" t="str">
        <f>IFERROR(VLOOKUP(DESPESAS[[#This Row],[Plano de Contas]],BASE!$B$3:$F$119,4,FALSE),"")</f>
        <v>2 - CUSTOS DIRETOS</v>
      </c>
      <c r="K3420" s="77" t="str">
        <f>IFERROR(VLOOKUP(DESPESAS[[#This Row],[Plano de Contas]],BASE!$B$3:$H$119,5,FALSE),"")</f>
        <v>DH</v>
      </c>
      <c r="L3420" s="77" t="str">
        <f>IFERROR(VLOOKUP(DESPESAS[[#This Row],[Plano de Contas]],BASE!$B$3:$H$119,6,FALSE),"")</f>
        <v>CUSTO MÃO DE OBRA DIRETA</v>
      </c>
      <c r="M3420" s="77" t="str">
        <f>VLOOKUP(DESPESAS[[#This Row],[Plano de Contas]],BASE!$B$3:$H$119,7,FALSE)</f>
        <v>RAFAEL</v>
      </c>
    </row>
    <row r="3421" spans="1:13" x14ac:dyDescent="0.25">
      <c r="A3421" s="74">
        <v>200632</v>
      </c>
      <c r="B3421" s="75" t="s">
        <v>281</v>
      </c>
      <c r="C3421" s="75" t="s">
        <v>545</v>
      </c>
      <c r="D3421" s="76">
        <v>46127</v>
      </c>
      <c r="E3421" s="75" t="s">
        <v>230</v>
      </c>
      <c r="F3421" s="74">
        <v>62.78</v>
      </c>
      <c r="G3421" s="75" t="s">
        <v>544</v>
      </c>
      <c r="H3421" s="77" t="str">
        <f>VLOOKUP(DESPESAS[[#This Row],[Plano de Contas]],BASE!$B$3:$D$119,3,FALSE)</f>
        <v>Seguro de Vida CIF</v>
      </c>
      <c r="I3421" s="77" t="str">
        <f>IFERROR(VLOOKUP(DESPESAS[[#This Row],[Fornecedor]],Tabela2[],2,FALSE),"")</f>
        <v/>
      </c>
      <c r="J3421" s="77" t="str">
        <f>IFERROR(VLOOKUP(DESPESAS[[#This Row],[Plano de Contas]],BASE!$B$3:$F$119,4,FALSE),"")</f>
        <v>3 - CUSTOS INDIRETOS</v>
      </c>
      <c r="K3421" s="77" t="str">
        <f>IFERROR(VLOOKUP(DESPESAS[[#This Row],[Plano de Contas]],BASE!$B$3:$H$119,5,FALSE),"")</f>
        <v>DH</v>
      </c>
      <c r="L3421" s="77" t="str">
        <f>IFERROR(VLOOKUP(DESPESAS[[#This Row],[Plano de Contas]],BASE!$B$3:$H$119,6,FALSE),"")</f>
        <v>CUSTO MÃO DE OBRA DIRETA</v>
      </c>
      <c r="M3421" s="77" t="str">
        <f>VLOOKUP(DESPESAS[[#This Row],[Plano de Contas]],BASE!$B$3:$H$119,7,FALSE)</f>
        <v>RAFAEL</v>
      </c>
    </row>
    <row r="3422" spans="1:13" x14ac:dyDescent="0.25">
      <c r="A3422" s="74">
        <v>200633</v>
      </c>
      <c r="B3422" s="75" t="s">
        <v>281</v>
      </c>
      <c r="C3422" s="75" t="s">
        <v>543</v>
      </c>
      <c r="D3422" s="76">
        <v>46127</v>
      </c>
      <c r="E3422" s="75" t="s">
        <v>230</v>
      </c>
      <c r="F3422" s="74">
        <v>62.78</v>
      </c>
      <c r="G3422" s="75" t="s">
        <v>542</v>
      </c>
      <c r="H3422" s="77" t="str">
        <f>VLOOKUP(DESPESAS[[#This Row],[Plano de Contas]],BASE!$B$3:$D$119,3,FALSE)</f>
        <v>Seguro de Vida (Adm)</v>
      </c>
      <c r="I3422" s="77" t="str">
        <f>IFERROR(VLOOKUP(DESPESAS[[#This Row],[Fornecedor]],Tabela2[],2,FALSE),"")</f>
        <v/>
      </c>
      <c r="J3422" s="77" t="str">
        <f>IFERROR(VLOOKUP(DESPESAS[[#This Row],[Plano de Contas]],BASE!$B$3:$F$119,4,FALSE),"")</f>
        <v>4 - GASTOS COM PESSOAL</v>
      </c>
      <c r="K3422" s="77" t="str">
        <f>IFERROR(VLOOKUP(DESPESAS[[#This Row],[Plano de Contas]],BASE!$B$3:$H$119,5,FALSE),"")</f>
        <v>DH</v>
      </c>
      <c r="L3422" s="77">
        <f>IFERROR(VLOOKUP(DESPESAS[[#This Row],[Plano de Contas]],BASE!$B$3:$H$119,6,FALSE),"")</f>
        <v>0</v>
      </c>
      <c r="M3422" s="77" t="str">
        <f>VLOOKUP(DESPESAS[[#This Row],[Plano de Contas]],BASE!$B$3:$H$119,7,FALSE)</f>
        <v>RAFAEL</v>
      </c>
    </row>
    <row r="3423" spans="1:13" x14ac:dyDescent="0.25">
      <c r="A3423" s="74">
        <v>200634</v>
      </c>
      <c r="B3423" s="75" t="s">
        <v>232</v>
      </c>
      <c r="C3423" s="75" t="s">
        <v>541</v>
      </c>
      <c r="D3423" s="76">
        <v>46112</v>
      </c>
      <c r="E3423" s="75" t="s">
        <v>540</v>
      </c>
      <c r="F3423" s="74">
        <v>28702.61</v>
      </c>
      <c r="G3423" s="75" t="s">
        <v>539</v>
      </c>
      <c r="H3423" s="77" t="str">
        <f>VLOOKUP(DESPESAS[[#This Row],[Plano de Contas]],BASE!$B$3:$D$119,3,FALSE)</f>
        <v>Royalties</v>
      </c>
      <c r="I3423" s="77" t="str">
        <f>IFERROR(VLOOKUP(DESPESAS[[#This Row],[Fornecedor]],Tabela2[],2,FALSE),"")</f>
        <v/>
      </c>
      <c r="J3423" s="77" t="str">
        <f>IFERROR(VLOOKUP(DESPESAS[[#This Row],[Plano de Contas]],BASE!$B$3:$F$119,4,FALSE),"")</f>
        <v>6 - DESPESA COM VENDAS</v>
      </c>
      <c r="K3423" s="77" t="str">
        <f>IFERROR(VLOOKUP(DESPESAS[[#This Row],[Plano de Contas]],BASE!$B$3:$H$119,5,FALSE),"")</f>
        <v>COMERCIAL</v>
      </c>
      <c r="L3423" s="77">
        <f>IFERROR(VLOOKUP(DESPESAS[[#This Row],[Plano de Contas]],BASE!$B$3:$H$119,6,FALSE),"")</f>
        <v>0</v>
      </c>
      <c r="M3423" s="77" t="str">
        <f>VLOOKUP(DESPESAS[[#This Row],[Plano de Contas]],BASE!$B$3:$H$119,7,FALSE)</f>
        <v>LETÍCIA</v>
      </c>
    </row>
    <row r="3424" spans="1:13" x14ac:dyDescent="0.25">
      <c r="A3424" s="74">
        <v>200635</v>
      </c>
      <c r="B3424" s="75" t="s">
        <v>221</v>
      </c>
      <c r="C3424" s="75" t="s">
        <v>538</v>
      </c>
      <c r="D3424" s="76">
        <v>46127</v>
      </c>
      <c r="E3424" s="75" t="s">
        <v>537</v>
      </c>
      <c r="F3424" s="74">
        <v>23.2</v>
      </c>
      <c r="G3424" s="75" t="s">
        <v>360</v>
      </c>
      <c r="H3424" s="77" t="str">
        <f>VLOOKUP(DESPESAS[[#This Row],[Plano de Contas]],BASE!$B$3:$D$119,3,FALSE)</f>
        <v>Publicidade e Propaganda</v>
      </c>
      <c r="I3424" s="77" t="str">
        <f>IFERROR(VLOOKUP(DESPESAS[[#This Row],[Fornecedor]],Tabela2[],2,FALSE),"")</f>
        <v/>
      </c>
      <c r="J3424" s="77" t="str">
        <f>IFERROR(VLOOKUP(DESPESAS[[#This Row],[Plano de Contas]],BASE!$B$3:$F$119,4,FALSE),"")</f>
        <v>6 - DESPESA COM VENDAS</v>
      </c>
      <c r="K3424" s="77" t="str">
        <f>IFERROR(VLOOKUP(DESPESAS[[#This Row],[Plano de Contas]],BASE!$B$3:$H$119,5,FALSE),"")</f>
        <v>COMERCIAL</v>
      </c>
      <c r="L3424" s="77">
        <f>IFERROR(VLOOKUP(DESPESAS[[#This Row],[Plano de Contas]],BASE!$B$3:$H$119,6,FALSE),"")</f>
        <v>0</v>
      </c>
      <c r="M3424" s="77" t="str">
        <f>VLOOKUP(DESPESAS[[#This Row],[Plano de Contas]],BASE!$B$3:$H$119,7,FALSE)</f>
        <v>THAIS</v>
      </c>
    </row>
    <row r="3425" spans="1:13" x14ac:dyDescent="0.25">
      <c r="A3425" s="74">
        <v>200636</v>
      </c>
      <c r="B3425" s="75" t="s">
        <v>221</v>
      </c>
      <c r="C3425" s="75" t="s">
        <v>536</v>
      </c>
      <c r="D3425" s="76">
        <v>46127</v>
      </c>
      <c r="E3425" s="75" t="s">
        <v>245</v>
      </c>
      <c r="F3425" s="74">
        <v>28</v>
      </c>
      <c r="G3425" s="75" t="s">
        <v>244</v>
      </c>
      <c r="H3425" s="77" t="str">
        <f>VLOOKUP(DESPESAS[[#This Row],[Plano de Contas]],BASE!$B$3:$D$119,3,FALSE)</f>
        <v>Material de Expediente (Prod)</v>
      </c>
      <c r="I3425" s="77" t="str">
        <f>IFERROR(VLOOKUP(DESPESAS[[#This Row],[Fornecedor]],Tabela2[],2,FALSE),"")</f>
        <v>FERRAGENS GERAIS</v>
      </c>
      <c r="J3425" s="77" t="str">
        <f>IFERROR(VLOOKUP(DESPESAS[[#This Row],[Plano de Contas]],BASE!$B$3:$F$119,4,FALSE),"")</f>
        <v>2 - CUSTOS DIRETOS</v>
      </c>
      <c r="K3425" s="77" t="str">
        <f>IFERROR(VLOOKUP(DESPESAS[[#This Row],[Plano de Contas]],BASE!$B$3:$H$119,5,FALSE),"")</f>
        <v>PRODUÇÃO</v>
      </c>
      <c r="L3425" s="77">
        <f>IFERROR(VLOOKUP(DESPESAS[[#This Row],[Plano de Contas]],BASE!$B$3:$H$119,6,FALSE),"")</f>
        <v>0</v>
      </c>
      <c r="M3425" s="77" t="str">
        <f>VLOOKUP(DESPESAS[[#This Row],[Plano de Contas]],BASE!$B$3:$H$119,7,FALSE)</f>
        <v>RAFAEL</v>
      </c>
    </row>
    <row r="3426" spans="1:13" x14ac:dyDescent="0.25">
      <c r="A3426" s="74">
        <v>200637</v>
      </c>
      <c r="B3426" s="75" t="s">
        <v>221</v>
      </c>
      <c r="C3426" s="75" t="s">
        <v>535</v>
      </c>
      <c r="D3426" s="76">
        <v>46127</v>
      </c>
      <c r="E3426" s="75" t="s">
        <v>242</v>
      </c>
      <c r="F3426" s="74">
        <v>48.91</v>
      </c>
      <c r="G3426" s="75" t="s">
        <v>244</v>
      </c>
      <c r="H3426" s="77" t="str">
        <f>VLOOKUP(DESPESAS[[#This Row],[Plano de Contas]],BASE!$B$3:$D$119,3,FALSE)</f>
        <v>Material de Expediente (Prod)</v>
      </c>
      <c r="I3426" s="77" t="str">
        <f>IFERROR(VLOOKUP(DESPESAS[[#This Row],[Fornecedor]],Tabela2[],2,FALSE),"")</f>
        <v/>
      </c>
      <c r="J3426" s="77" t="str">
        <f>IFERROR(VLOOKUP(DESPESAS[[#This Row],[Plano de Contas]],BASE!$B$3:$F$119,4,FALSE),"")</f>
        <v>2 - CUSTOS DIRETOS</v>
      </c>
      <c r="K3426" s="77" t="str">
        <f>IFERROR(VLOOKUP(DESPESAS[[#This Row],[Plano de Contas]],BASE!$B$3:$H$119,5,FALSE),"")</f>
        <v>PRODUÇÃO</v>
      </c>
      <c r="L3426" s="77">
        <f>IFERROR(VLOOKUP(DESPESAS[[#This Row],[Plano de Contas]],BASE!$B$3:$H$119,6,FALSE),"")</f>
        <v>0</v>
      </c>
      <c r="M3426" s="77" t="str">
        <f>VLOOKUP(DESPESAS[[#This Row],[Plano de Contas]],BASE!$B$3:$H$119,7,FALSE)</f>
        <v>RAFAEL</v>
      </c>
    </row>
    <row r="3427" spans="1:13" x14ac:dyDescent="0.25">
      <c r="A3427" s="74">
        <v>200638</v>
      </c>
      <c r="B3427" s="75" t="s">
        <v>221</v>
      </c>
      <c r="C3427" s="75" t="s">
        <v>534</v>
      </c>
      <c r="D3427" s="76">
        <v>46127</v>
      </c>
      <c r="E3427" s="75" t="s">
        <v>242</v>
      </c>
      <c r="F3427" s="74">
        <v>33.520000000000003</v>
      </c>
      <c r="G3427" s="75" t="s">
        <v>259</v>
      </c>
      <c r="H3427" s="77" t="str">
        <f>VLOOKUP(DESPESAS[[#This Row],[Plano de Contas]],BASE!$B$3:$D$119,3,FALSE)</f>
        <v>Manutenção Predial CIF</v>
      </c>
      <c r="I3427" s="77" t="str">
        <f>IFERROR(VLOOKUP(DESPESAS[[#This Row],[Fornecedor]],Tabela2[],2,FALSE),"")</f>
        <v/>
      </c>
      <c r="J3427" s="77" t="str">
        <f>IFERROR(VLOOKUP(DESPESAS[[#This Row],[Plano de Contas]],BASE!$B$3:$F$119,4,FALSE),"")</f>
        <v>3 - CUSTOS INDIRETOS</v>
      </c>
      <c r="K3427" s="77" t="str">
        <f>IFERROR(VLOOKUP(DESPESAS[[#This Row],[Plano de Contas]],BASE!$B$3:$H$119,5,FALSE),"")</f>
        <v>MANUTENÇÃO / TI</v>
      </c>
      <c r="L3427" s="77">
        <f>IFERROR(VLOOKUP(DESPESAS[[#This Row],[Plano de Contas]],BASE!$B$3:$H$119,6,FALSE),"")</f>
        <v>0</v>
      </c>
      <c r="M3427" s="77" t="str">
        <f>VLOOKUP(DESPESAS[[#This Row],[Plano de Contas]],BASE!$B$3:$H$119,7,FALSE)</f>
        <v>FÁBIO</v>
      </c>
    </row>
    <row r="3428" spans="1:13" x14ac:dyDescent="0.25">
      <c r="A3428" s="74">
        <v>200639</v>
      </c>
      <c r="B3428" s="75" t="s">
        <v>232</v>
      </c>
      <c r="C3428" s="75" t="s">
        <v>533</v>
      </c>
      <c r="D3428" s="76">
        <v>46127</v>
      </c>
      <c r="E3428" s="75" t="s">
        <v>230</v>
      </c>
      <c r="F3428" s="74">
        <v>1275.68</v>
      </c>
      <c r="G3428" s="75" t="s">
        <v>251</v>
      </c>
      <c r="H3428" s="77" t="str">
        <f>VLOOKUP(DESPESAS[[#This Row],[Plano de Contas]],BASE!$B$3:$D$119,3,FALSE)</f>
        <v>Juros Pagos - Antecipação de Crédito</v>
      </c>
      <c r="I3428" s="77" t="str">
        <f>IFERROR(VLOOKUP(DESPESAS[[#This Row],[Fornecedor]],Tabela2[],2,FALSE),"")</f>
        <v/>
      </c>
      <c r="J3428" s="77" t="str">
        <f>IFERROR(VLOOKUP(DESPESAS[[#This Row],[Plano de Contas]],BASE!$B$3:$F$119,4,FALSE),"")</f>
        <v>8 - DESPESAS FINANCEIRAS</v>
      </c>
      <c r="K3428" s="77" t="str">
        <f>IFERROR(VLOOKUP(DESPESAS[[#This Row],[Plano de Contas]],BASE!$B$3:$H$119,5,FALSE),"")</f>
        <v>FINANCEIRO</v>
      </c>
      <c r="L3428" s="77">
        <f>IFERROR(VLOOKUP(DESPESAS[[#This Row],[Plano de Contas]],BASE!$B$3:$H$119,6,FALSE),"")</f>
        <v>0</v>
      </c>
      <c r="M3428" s="77" t="str">
        <f>VLOOKUP(DESPESAS[[#This Row],[Plano de Contas]],BASE!$B$3:$H$119,7,FALSE)</f>
        <v>LETÍCIA</v>
      </c>
    </row>
    <row r="3429" spans="1:13" x14ac:dyDescent="0.25">
      <c r="A3429" s="74">
        <v>200640</v>
      </c>
      <c r="B3429" s="75" t="s">
        <v>232</v>
      </c>
      <c r="C3429" s="75" t="s">
        <v>532</v>
      </c>
      <c r="D3429" s="76">
        <v>46127</v>
      </c>
      <c r="E3429" s="75" t="s">
        <v>230</v>
      </c>
      <c r="F3429" s="74">
        <v>205.97</v>
      </c>
      <c r="G3429" s="75" t="s">
        <v>229</v>
      </c>
      <c r="H3429" s="77" t="str">
        <f>VLOOKUP(DESPESAS[[#This Row],[Plano de Contas]],BASE!$B$3:$D$119,3,FALSE)</f>
        <v>Despesas Bancarias</v>
      </c>
      <c r="I3429" s="77" t="str">
        <f>IFERROR(VLOOKUP(DESPESAS[[#This Row],[Fornecedor]],Tabela2[],2,FALSE),"")</f>
        <v/>
      </c>
      <c r="J3429" s="77" t="str">
        <f>IFERROR(VLOOKUP(DESPESAS[[#This Row],[Plano de Contas]],BASE!$B$3:$F$119,4,FALSE),"")</f>
        <v>8 - DESPESAS FINANCEIRAS</v>
      </c>
      <c r="K3429" s="77" t="str">
        <f>IFERROR(VLOOKUP(DESPESAS[[#This Row],[Plano de Contas]],BASE!$B$3:$H$119,5,FALSE),"")</f>
        <v>FINANCEIRO</v>
      </c>
      <c r="L3429" s="77">
        <f>IFERROR(VLOOKUP(DESPESAS[[#This Row],[Plano de Contas]],BASE!$B$3:$H$119,6,FALSE),"")</f>
        <v>0</v>
      </c>
      <c r="M3429" s="77" t="str">
        <f>VLOOKUP(DESPESAS[[#This Row],[Plano de Contas]],BASE!$B$3:$H$119,7,FALSE)</f>
        <v>LETÍCIA</v>
      </c>
    </row>
    <row r="3430" spans="1:13" x14ac:dyDescent="0.25">
      <c r="A3430" s="74">
        <v>200641</v>
      </c>
      <c r="B3430" s="75" t="s">
        <v>232</v>
      </c>
      <c r="C3430" s="75" t="s">
        <v>531</v>
      </c>
      <c r="D3430" s="76">
        <v>46127</v>
      </c>
      <c r="E3430" s="75" t="s">
        <v>230</v>
      </c>
      <c r="F3430" s="74">
        <v>158.27000000000001</v>
      </c>
      <c r="G3430" s="75" t="s">
        <v>229</v>
      </c>
      <c r="H3430" s="77" t="str">
        <f>VLOOKUP(DESPESAS[[#This Row],[Plano de Contas]],BASE!$B$3:$D$119,3,FALSE)</f>
        <v>Despesas Bancarias</v>
      </c>
      <c r="I3430" s="77" t="str">
        <f>IFERROR(VLOOKUP(DESPESAS[[#This Row],[Fornecedor]],Tabela2[],2,FALSE),"")</f>
        <v/>
      </c>
      <c r="J3430" s="77" t="str">
        <f>IFERROR(VLOOKUP(DESPESAS[[#This Row],[Plano de Contas]],BASE!$B$3:$F$119,4,FALSE),"")</f>
        <v>8 - DESPESAS FINANCEIRAS</v>
      </c>
      <c r="K3430" s="77" t="str">
        <f>IFERROR(VLOOKUP(DESPESAS[[#This Row],[Plano de Contas]],BASE!$B$3:$H$119,5,FALSE),"")</f>
        <v>FINANCEIRO</v>
      </c>
      <c r="L3430" s="77">
        <f>IFERROR(VLOOKUP(DESPESAS[[#This Row],[Plano de Contas]],BASE!$B$3:$H$119,6,FALSE),"")</f>
        <v>0</v>
      </c>
      <c r="M3430" s="77" t="str">
        <f>VLOOKUP(DESPESAS[[#This Row],[Plano de Contas]],BASE!$B$3:$H$119,7,FALSE)</f>
        <v>LETÍCIA</v>
      </c>
    </row>
    <row r="3431" spans="1:13" x14ac:dyDescent="0.25">
      <c r="A3431" s="74">
        <v>200643</v>
      </c>
      <c r="B3431" s="75" t="s">
        <v>232</v>
      </c>
      <c r="C3431" s="75" t="s">
        <v>530</v>
      </c>
      <c r="D3431" s="76">
        <v>46127</v>
      </c>
      <c r="E3431" s="75" t="s">
        <v>409</v>
      </c>
      <c r="F3431" s="74">
        <v>585.63</v>
      </c>
      <c r="G3431" s="75" t="s">
        <v>326</v>
      </c>
      <c r="H3431" s="77" t="str">
        <f>VLOOKUP(DESPESAS[[#This Row],[Plano de Contas]],BASE!$B$3:$D$119,3,FALSE)</f>
        <v>Frete sobre Compras</v>
      </c>
      <c r="I3431" s="77" t="str">
        <f>IFERROR(VLOOKUP(DESPESAS[[#This Row],[Fornecedor]],Tabela2[],2,FALSE),"")</f>
        <v>SERVIÇOS FRETE</v>
      </c>
      <c r="J3431" s="77" t="str">
        <f>IFERROR(VLOOKUP(DESPESAS[[#This Row],[Plano de Contas]],BASE!$B$3:$F$119,4,FALSE),"")</f>
        <v>1 - CPV</v>
      </c>
      <c r="K3431" s="77" t="str">
        <f>IFERROR(VLOOKUP(DESPESAS[[#This Row],[Plano de Contas]],BASE!$B$3:$H$119,5,FALSE),"")</f>
        <v>COMPRAS</v>
      </c>
      <c r="L3431" s="77">
        <f>IFERROR(VLOOKUP(DESPESAS[[#This Row],[Plano de Contas]],BASE!$B$3:$H$119,6,FALSE),"")</f>
        <v>0</v>
      </c>
      <c r="M3431" s="77" t="str">
        <f>VLOOKUP(DESPESAS[[#This Row],[Plano de Contas]],BASE!$B$3:$H$119,7,FALSE)</f>
        <v>MYLENA</v>
      </c>
    </row>
    <row r="3432" spans="1:13" x14ac:dyDescent="0.25">
      <c r="A3432" s="74">
        <v>200644</v>
      </c>
      <c r="B3432" s="75" t="s">
        <v>232</v>
      </c>
      <c r="C3432" s="75" t="s">
        <v>529</v>
      </c>
      <c r="D3432" s="76">
        <v>46127</v>
      </c>
      <c r="E3432" s="75" t="s">
        <v>409</v>
      </c>
      <c r="F3432" s="74">
        <v>317.99</v>
      </c>
      <c r="G3432" s="75" t="s">
        <v>326</v>
      </c>
      <c r="H3432" s="77" t="str">
        <f>VLOOKUP(DESPESAS[[#This Row],[Plano de Contas]],BASE!$B$3:$D$119,3,FALSE)</f>
        <v>Frete sobre Compras</v>
      </c>
      <c r="I3432" s="77" t="str">
        <f>IFERROR(VLOOKUP(DESPESAS[[#This Row],[Fornecedor]],Tabela2[],2,FALSE),"")</f>
        <v>SERVIÇOS FRETE</v>
      </c>
      <c r="J3432" s="77" t="str">
        <f>IFERROR(VLOOKUP(DESPESAS[[#This Row],[Plano de Contas]],BASE!$B$3:$F$119,4,FALSE),"")</f>
        <v>1 - CPV</v>
      </c>
      <c r="K3432" s="77" t="str">
        <f>IFERROR(VLOOKUP(DESPESAS[[#This Row],[Plano de Contas]],BASE!$B$3:$H$119,5,FALSE),"")</f>
        <v>COMPRAS</v>
      </c>
      <c r="L3432" s="77">
        <f>IFERROR(VLOOKUP(DESPESAS[[#This Row],[Plano de Contas]],BASE!$B$3:$H$119,6,FALSE),"")</f>
        <v>0</v>
      </c>
      <c r="M3432" s="77" t="str">
        <f>VLOOKUP(DESPESAS[[#This Row],[Plano de Contas]],BASE!$B$3:$H$119,7,FALSE)</f>
        <v>MYLENA</v>
      </c>
    </row>
    <row r="3433" spans="1:13" x14ac:dyDescent="0.25">
      <c r="A3433" s="74">
        <v>200645</v>
      </c>
      <c r="B3433" s="75" t="s">
        <v>232</v>
      </c>
      <c r="C3433" s="75" t="s">
        <v>528</v>
      </c>
      <c r="D3433" s="76">
        <v>46127</v>
      </c>
      <c r="E3433" s="75" t="s">
        <v>327</v>
      </c>
      <c r="F3433" s="74">
        <v>518.47</v>
      </c>
      <c r="G3433" s="75" t="s">
        <v>326</v>
      </c>
      <c r="H3433" s="77" t="str">
        <f>VLOOKUP(DESPESAS[[#This Row],[Plano de Contas]],BASE!$B$3:$D$119,3,FALSE)</f>
        <v>Frete sobre Compras</v>
      </c>
      <c r="I3433" s="77" t="str">
        <f>IFERROR(VLOOKUP(DESPESAS[[#This Row],[Fornecedor]],Tabela2[],2,FALSE),"")</f>
        <v>SERVIÇOS FRETE</v>
      </c>
      <c r="J3433" s="77" t="str">
        <f>IFERROR(VLOOKUP(DESPESAS[[#This Row],[Plano de Contas]],BASE!$B$3:$F$119,4,FALSE),"")</f>
        <v>1 - CPV</v>
      </c>
      <c r="K3433" s="77" t="str">
        <f>IFERROR(VLOOKUP(DESPESAS[[#This Row],[Plano de Contas]],BASE!$B$3:$H$119,5,FALSE),"")</f>
        <v>COMPRAS</v>
      </c>
      <c r="L3433" s="77">
        <f>IFERROR(VLOOKUP(DESPESAS[[#This Row],[Plano de Contas]],BASE!$B$3:$H$119,6,FALSE),"")</f>
        <v>0</v>
      </c>
      <c r="M3433" s="77" t="str">
        <f>VLOOKUP(DESPESAS[[#This Row],[Plano de Contas]],BASE!$B$3:$H$119,7,FALSE)</f>
        <v>MYLENA</v>
      </c>
    </row>
    <row r="3434" spans="1:13" x14ac:dyDescent="0.25">
      <c r="A3434" s="74">
        <v>200646</v>
      </c>
      <c r="B3434" s="75" t="s">
        <v>232</v>
      </c>
      <c r="C3434" s="75" t="s">
        <v>527</v>
      </c>
      <c r="D3434" s="76">
        <v>46127</v>
      </c>
      <c r="E3434" s="75" t="s">
        <v>327</v>
      </c>
      <c r="F3434" s="74">
        <v>194.93</v>
      </c>
      <c r="G3434" s="75" t="s">
        <v>326</v>
      </c>
      <c r="H3434" s="77" t="str">
        <f>VLOOKUP(DESPESAS[[#This Row],[Plano de Contas]],BASE!$B$3:$D$119,3,FALSE)</f>
        <v>Frete sobre Compras</v>
      </c>
      <c r="I3434" s="77" t="str">
        <f>IFERROR(VLOOKUP(DESPESAS[[#This Row],[Fornecedor]],Tabela2[],2,FALSE),"")</f>
        <v>SERVIÇOS FRETE</v>
      </c>
      <c r="J3434" s="77" t="str">
        <f>IFERROR(VLOOKUP(DESPESAS[[#This Row],[Plano de Contas]],BASE!$B$3:$F$119,4,FALSE),"")</f>
        <v>1 - CPV</v>
      </c>
      <c r="K3434" s="77" t="str">
        <f>IFERROR(VLOOKUP(DESPESAS[[#This Row],[Plano de Contas]],BASE!$B$3:$H$119,5,FALSE),"")</f>
        <v>COMPRAS</v>
      </c>
      <c r="L3434" s="77">
        <f>IFERROR(VLOOKUP(DESPESAS[[#This Row],[Plano de Contas]],BASE!$B$3:$H$119,6,FALSE),"")</f>
        <v>0</v>
      </c>
      <c r="M3434" s="77" t="str">
        <f>VLOOKUP(DESPESAS[[#This Row],[Plano de Contas]],BASE!$B$3:$H$119,7,FALSE)</f>
        <v>MYLENA</v>
      </c>
    </row>
    <row r="3435" spans="1:13" x14ac:dyDescent="0.25">
      <c r="A3435" s="74">
        <v>200647</v>
      </c>
      <c r="B3435" s="75" t="s">
        <v>232</v>
      </c>
      <c r="C3435" s="75" t="s">
        <v>526</v>
      </c>
      <c r="D3435" s="76">
        <v>46127</v>
      </c>
      <c r="E3435" s="75" t="s">
        <v>327</v>
      </c>
      <c r="F3435" s="74">
        <v>159.78</v>
      </c>
      <c r="G3435" s="75" t="s">
        <v>326</v>
      </c>
      <c r="H3435" s="77" t="str">
        <f>VLOOKUP(DESPESAS[[#This Row],[Plano de Contas]],BASE!$B$3:$D$119,3,FALSE)</f>
        <v>Frete sobre Compras</v>
      </c>
      <c r="I3435" s="77" t="str">
        <f>IFERROR(VLOOKUP(DESPESAS[[#This Row],[Fornecedor]],Tabela2[],2,FALSE),"")</f>
        <v>SERVIÇOS FRETE</v>
      </c>
      <c r="J3435" s="77" t="str">
        <f>IFERROR(VLOOKUP(DESPESAS[[#This Row],[Plano de Contas]],BASE!$B$3:$F$119,4,FALSE),"")</f>
        <v>1 - CPV</v>
      </c>
      <c r="K3435" s="77" t="str">
        <f>IFERROR(VLOOKUP(DESPESAS[[#This Row],[Plano de Contas]],BASE!$B$3:$H$119,5,FALSE),"")</f>
        <v>COMPRAS</v>
      </c>
      <c r="L3435" s="77">
        <f>IFERROR(VLOOKUP(DESPESAS[[#This Row],[Plano de Contas]],BASE!$B$3:$H$119,6,FALSE),"")</f>
        <v>0</v>
      </c>
      <c r="M3435" s="77" t="str">
        <f>VLOOKUP(DESPESAS[[#This Row],[Plano de Contas]],BASE!$B$3:$H$119,7,FALSE)</f>
        <v>MYLENA</v>
      </c>
    </row>
    <row r="3436" spans="1:13" x14ac:dyDescent="0.25">
      <c r="A3436" s="74">
        <v>200648</v>
      </c>
      <c r="B3436" s="75" t="s">
        <v>232</v>
      </c>
      <c r="C3436" s="75" t="s">
        <v>525</v>
      </c>
      <c r="D3436" s="76">
        <v>46127</v>
      </c>
      <c r="E3436" s="75" t="s">
        <v>499</v>
      </c>
      <c r="F3436" s="74">
        <v>187.61</v>
      </c>
      <c r="G3436" s="75" t="s">
        <v>326</v>
      </c>
      <c r="H3436" s="77" t="str">
        <f>VLOOKUP(DESPESAS[[#This Row],[Plano de Contas]],BASE!$B$3:$D$119,3,FALSE)</f>
        <v>Frete sobre Compras</v>
      </c>
      <c r="I3436" s="77" t="str">
        <f>IFERROR(VLOOKUP(DESPESAS[[#This Row],[Fornecedor]],Tabela2[],2,FALSE),"")</f>
        <v/>
      </c>
      <c r="J3436" s="77" t="str">
        <f>IFERROR(VLOOKUP(DESPESAS[[#This Row],[Plano de Contas]],BASE!$B$3:$F$119,4,FALSE),"")</f>
        <v>1 - CPV</v>
      </c>
      <c r="K3436" s="77" t="str">
        <f>IFERROR(VLOOKUP(DESPESAS[[#This Row],[Plano de Contas]],BASE!$B$3:$H$119,5,FALSE),"")</f>
        <v>COMPRAS</v>
      </c>
      <c r="L3436" s="77">
        <f>IFERROR(VLOOKUP(DESPESAS[[#This Row],[Plano de Contas]],BASE!$B$3:$H$119,6,FALSE),"")</f>
        <v>0</v>
      </c>
      <c r="M3436" s="77" t="str">
        <f>VLOOKUP(DESPESAS[[#This Row],[Plano de Contas]],BASE!$B$3:$H$119,7,FALSE)</f>
        <v>MYLENA</v>
      </c>
    </row>
    <row r="3437" spans="1:13" x14ac:dyDescent="0.25">
      <c r="A3437" s="74">
        <v>200649</v>
      </c>
      <c r="B3437" s="75" t="s">
        <v>232</v>
      </c>
      <c r="C3437" s="75" t="s">
        <v>524</v>
      </c>
      <c r="D3437" s="76">
        <v>46127</v>
      </c>
      <c r="E3437" s="75" t="s">
        <v>409</v>
      </c>
      <c r="F3437" s="74">
        <v>149.34</v>
      </c>
      <c r="G3437" s="75" t="s">
        <v>326</v>
      </c>
      <c r="H3437" s="77" t="str">
        <f>VLOOKUP(DESPESAS[[#This Row],[Plano de Contas]],BASE!$B$3:$D$119,3,FALSE)</f>
        <v>Frete sobre Compras</v>
      </c>
      <c r="I3437" s="77" t="str">
        <f>IFERROR(VLOOKUP(DESPESAS[[#This Row],[Fornecedor]],Tabela2[],2,FALSE),"")</f>
        <v>SERVIÇOS FRETE</v>
      </c>
      <c r="J3437" s="77" t="str">
        <f>IFERROR(VLOOKUP(DESPESAS[[#This Row],[Plano de Contas]],BASE!$B$3:$F$119,4,FALSE),"")</f>
        <v>1 - CPV</v>
      </c>
      <c r="K3437" s="77" t="str">
        <f>IFERROR(VLOOKUP(DESPESAS[[#This Row],[Plano de Contas]],BASE!$B$3:$H$119,5,FALSE),"")</f>
        <v>COMPRAS</v>
      </c>
      <c r="L3437" s="77">
        <f>IFERROR(VLOOKUP(DESPESAS[[#This Row],[Plano de Contas]],BASE!$B$3:$H$119,6,FALSE),"")</f>
        <v>0</v>
      </c>
      <c r="M3437" s="77" t="str">
        <f>VLOOKUP(DESPESAS[[#This Row],[Plano de Contas]],BASE!$B$3:$H$119,7,FALSE)</f>
        <v>MYLENA</v>
      </c>
    </row>
    <row r="3438" spans="1:13" x14ac:dyDescent="0.25">
      <c r="A3438" s="74">
        <v>200650</v>
      </c>
      <c r="B3438" s="75" t="s">
        <v>221</v>
      </c>
      <c r="C3438" s="75" t="s">
        <v>523</v>
      </c>
      <c r="D3438" s="76">
        <v>46127</v>
      </c>
      <c r="E3438" s="75" t="s">
        <v>413</v>
      </c>
      <c r="F3438" s="74">
        <v>1230</v>
      </c>
      <c r="G3438" s="75" t="s">
        <v>262</v>
      </c>
      <c r="H3438" s="77" t="str">
        <f>VLOOKUP(DESPESAS[[#This Row],[Plano de Contas]],BASE!$B$3:$D$119,3,FALSE)</f>
        <v>Fretes Karams</v>
      </c>
      <c r="I3438" s="77" t="str">
        <f>IFERROR(VLOOKUP(DESPESAS[[#This Row],[Fornecedor]],Tabela2[],2,FALSE),"")</f>
        <v/>
      </c>
      <c r="J3438" s="77" t="str">
        <f>IFERROR(VLOOKUP(DESPESAS[[#This Row],[Plano de Contas]],BASE!$B$3:$F$119,4,FALSE),"")</f>
        <v>6 - DESPESA COM VENDAS</v>
      </c>
      <c r="K3438" s="77" t="str">
        <f>IFERROR(VLOOKUP(DESPESAS[[#This Row],[Plano de Contas]],BASE!$B$3:$H$119,5,FALSE),"")</f>
        <v>LOGÍSTICA</v>
      </c>
      <c r="L3438" s="77">
        <f>IFERROR(VLOOKUP(DESPESAS[[#This Row],[Plano de Contas]],BASE!$B$3:$H$119,6,FALSE),"")</f>
        <v>0</v>
      </c>
      <c r="M3438" s="77" t="str">
        <f>VLOOKUP(DESPESAS[[#This Row],[Plano de Contas]],BASE!$B$3:$H$119,7,FALSE)</f>
        <v>MYLENA</v>
      </c>
    </row>
    <row r="3439" spans="1:13" x14ac:dyDescent="0.25">
      <c r="A3439" s="74">
        <v>200651</v>
      </c>
      <c r="B3439" s="75" t="s">
        <v>221</v>
      </c>
      <c r="C3439" s="75" t="s">
        <v>522</v>
      </c>
      <c r="D3439" s="76">
        <v>46121</v>
      </c>
      <c r="E3439" s="75" t="s">
        <v>242</v>
      </c>
      <c r="F3439" s="74">
        <v>927.86</v>
      </c>
      <c r="G3439" s="75" t="s">
        <v>241</v>
      </c>
      <c r="H3439" s="77" t="str">
        <f>VLOOKUP(DESPESAS[[#This Row],[Plano de Contas]],BASE!$B$3:$D$119,3,FALSE)</f>
        <v>Combustiveis Frota</v>
      </c>
      <c r="I3439" s="77" t="str">
        <f>IFERROR(VLOOKUP(DESPESAS[[#This Row],[Fornecedor]],Tabela2[],2,FALSE),"")</f>
        <v/>
      </c>
      <c r="J3439" s="77" t="str">
        <f>IFERROR(VLOOKUP(DESPESAS[[#This Row],[Plano de Contas]],BASE!$B$3:$F$119,4,FALSE),"")</f>
        <v>6 - DESPESA COM VENDAS</v>
      </c>
      <c r="K3439" s="77" t="str">
        <f>IFERROR(VLOOKUP(DESPESAS[[#This Row],[Plano de Contas]],BASE!$B$3:$H$119,5,FALSE),"")</f>
        <v>LOGÍSTICA</v>
      </c>
      <c r="L3439" s="77">
        <f>IFERROR(VLOOKUP(DESPESAS[[#This Row],[Plano de Contas]],BASE!$B$3:$H$119,6,FALSE),"")</f>
        <v>0</v>
      </c>
      <c r="M3439" s="77" t="str">
        <f>VLOOKUP(DESPESAS[[#This Row],[Plano de Contas]],BASE!$B$3:$H$119,7,FALSE)</f>
        <v>MYLENA</v>
      </c>
    </row>
    <row r="3440" spans="1:13" x14ac:dyDescent="0.25">
      <c r="A3440" s="74">
        <v>200652</v>
      </c>
      <c r="B3440" s="75" t="s">
        <v>221</v>
      </c>
      <c r="C3440" s="75" t="s">
        <v>521</v>
      </c>
      <c r="D3440" s="76">
        <v>46127</v>
      </c>
      <c r="E3440" s="75" t="s">
        <v>265</v>
      </c>
      <c r="F3440" s="74">
        <v>68</v>
      </c>
      <c r="G3440" s="75" t="s">
        <v>262</v>
      </c>
      <c r="H3440" s="77" t="str">
        <f>VLOOKUP(DESPESAS[[#This Row],[Plano de Contas]],BASE!$B$3:$D$119,3,FALSE)</f>
        <v>Fretes Karams</v>
      </c>
      <c r="I3440" s="77" t="str">
        <f>IFERROR(VLOOKUP(DESPESAS[[#This Row],[Fornecedor]],Tabela2[],2,FALSE),"")</f>
        <v/>
      </c>
      <c r="J3440" s="77" t="str">
        <f>IFERROR(VLOOKUP(DESPESAS[[#This Row],[Plano de Contas]],BASE!$B$3:$F$119,4,FALSE),"")</f>
        <v>6 - DESPESA COM VENDAS</v>
      </c>
      <c r="K3440" s="77" t="str">
        <f>IFERROR(VLOOKUP(DESPESAS[[#This Row],[Plano de Contas]],BASE!$B$3:$H$119,5,FALSE),"")</f>
        <v>LOGÍSTICA</v>
      </c>
      <c r="L3440" s="77">
        <f>IFERROR(VLOOKUP(DESPESAS[[#This Row],[Plano de Contas]],BASE!$B$3:$H$119,6,FALSE),"")</f>
        <v>0</v>
      </c>
      <c r="M3440" s="77" t="str">
        <f>VLOOKUP(DESPESAS[[#This Row],[Plano de Contas]],BASE!$B$3:$H$119,7,FALSE)</f>
        <v>MYLENA</v>
      </c>
    </row>
    <row r="3441" spans="1:13" x14ac:dyDescent="0.25">
      <c r="A3441" s="74">
        <v>200653</v>
      </c>
      <c r="B3441" s="75" t="s">
        <v>221</v>
      </c>
      <c r="C3441" s="75" t="s">
        <v>520</v>
      </c>
      <c r="D3441" s="76">
        <v>46121</v>
      </c>
      <c r="E3441" s="75" t="s">
        <v>242</v>
      </c>
      <c r="F3441" s="74">
        <v>574.4</v>
      </c>
      <c r="G3441" s="75" t="s">
        <v>241</v>
      </c>
      <c r="H3441" s="77" t="str">
        <f>VLOOKUP(DESPESAS[[#This Row],[Plano de Contas]],BASE!$B$3:$D$119,3,FALSE)</f>
        <v>Combustiveis Frota</v>
      </c>
      <c r="I3441" s="77" t="str">
        <f>IFERROR(VLOOKUP(DESPESAS[[#This Row],[Fornecedor]],Tabela2[],2,FALSE),"")</f>
        <v/>
      </c>
      <c r="J3441" s="77" t="str">
        <f>IFERROR(VLOOKUP(DESPESAS[[#This Row],[Plano de Contas]],BASE!$B$3:$F$119,4,FALSE),"")</f>
        <v>6 - DESPESA COM VENDAS</v>
      </c>
      <c r="K3441" s="77" t="str">
        <f>IFERROR(VLOOKUP(DESPESAS[[#This Row],[Plano de Contas]],BASE!$B$3:$H$119,5,FALSE),"")</f>
        <v>LOGÍSTICA</v>
      </c>
      <c r="L3441" s="77">
        <f>IFERROR(VLOOKUP(DESPESAS[[#This Row],[Plano de Contas]],BASE!$B$3:$H$119,6,FALSE),"")</f>
        <v>0</v>
      </c>
      <c r="M3441" s="77" t="str">
        <f>VLOOKUP(DESPESAS[[#This Row],[Plano de Contas]],BASE!$B$3:$H$119,7,FALSE)</f>
        <v>MYLENA</v>
      </c>
    </row>
    <row r="3442" spans="1:13" x14ac:dyDescent="0.25">
      <c r="A3442" s="74">
        <v>200654</v>
      </c>
      <c r="B3442" s="75" t="s">
        <v>221</v>
      </c>
      <c r="C3442" s="75" t="s">
        <v>519</v>
      </c>
      <c r="D3442" s="76">
        <v>46121</v>
      </c>
      <c r="E3442" s="75" t="s">
        <v>242</v>
      </c>
      <c r="F3442" s="74">
        <v>51.16</v>
      </c>
      <c r="G3442" s="75" t="s">
        <v>241</v>
      </c>
      <c r="H3442" s="77" t="str">
        <f>VLOOKUP(DESPESAS[[#This Row],[Plano de Contas]],BASE!$B$3:$D$119,3,FALSE)</f>
        <v>Combustiveis Frota</v>
      </c>
      <c r="I3442" s="77" t="str">
        <f>IFERROR(VLOOKUP(DESPESAS[[#This Row],[Fornecedor]],Tabela2[],2,FALSE),"")</f>
        <v/>
      </c>
      <c r="J3442" s="77" t="str">
        <f>IFERROR(VLOOKUP(DESPESAS[[#This Row],[Plano de Contas]],BASE!$B$3:$F$119,4,FALSE),"")</f>
        <v>6 - DESPESA COM VENDAS</v>
      </c>
      <c r="K3442" s="77" t="str">
        <f>IFERROR(VLOOKUP(DESPESAS[[#This Row],[Plano de Contas]],BASE!$B$3:$H$119,5,FALSE),"")</f>
        <v>LOGÍSTICA</v>
      </c>
      <c r="L3442" s="77">
        <f>IFERROR(VLOOKUP(DESPESAS[[#This Row],[Plano de Contas]],BASE!$B$3:$H$119,6,FALSE),"")</f>
        <v>0</v>
      </c>
      <c r="M3442" s="77" t="str">
        <f>VLOOKUP(DESPESAS[[#This Row],[Plano de Contas]],BASE!$B$3:$H$119,7,FALSE)</f>
        <v>MYLENA</v>
      </c>
    </row>
    <row r="3443" spans="1:13" x14ac:dyDescent="0.25">
      <c r="A3443" s="74">
        <v>200655</v>
      </c>
      <c r="B3443" s="75" t="s">
        <v>221</v>
      </c>
      <c r="C3443" s="75" t="s">
        <v>518</v>
      </c>
      <c r="D3443" s="76">
        <v>46120</v>
      </c>
      <c r="E3443" s="75" t="s">
        <v>242</v>
      </c>
      <c r="F3443" s="74">
        <v>570.96</v>
      </c>
      <c r="G3443" s="75" t="s">
        <v>241</v>
      </c>
      <c r="H3443" s="77" t="str">
        <f>VLOOKUP(DESPESAS[[#This Row],[Plano de Contas]],BASE!$B$3:$D$119,3,FALSE)</f>
        <v>Combustiveis Frota</v>
      </c>
      <c r="I3443" s="77" t="str">
        <f>IFERROR(VLOOKUP(DESPESAS[[#This Row],[Fornecedor]],Tabela2[],2,FALSE),"")</f>
        <v/>
      </c>
      <c r="J3443" s="77" t="str">
        <f>IFERROR(VLOOKUP(DESPESAS[[#This Row],[Plano de Contas]],BASE!$B$3:$F$119,4,FALSE),"")</f>
        <v>6 - DESPESA COM VENDAS</v>
      </c>
      <c r="K3443" s="77" t="str">
        <f>IFERROR(VLOOKUP(DESPESAS[[#This Row],[Plano de Contas]],BASE!$B$3:$H$119,5,FALSE),"")</f>
        <v>LOGÍSTICA</v>
      </c>
      <c r="L3443" s="77">
        <f>IFERROR(VLOOKUP(DESPESAS[[#This Row],[Plano de Contas]],BASE!$B$3:$H$119,6,FALSE),"")</f>
        <v>0</v>
      </c>
      <c r="M3443" s="77" t="str">
        <f>VLOOKUP(DESPESAS[[#This Row],[Plano de Contas]],BASE!$B$3:$H$119,7,FALSE)</f>
        <v>MYLENA</v>
      </c>
    </row>
    <row r="3444" spans="1:13" x14ac:dyDescent="0.25">
      <c r="A3444" s="74">
        <v>200656</v>
      </c>
      <c r="B3444" s="75" t="s">
        <v>232</v>
      </c>
      <c r="C3444" s="75" t="s">
        <v>517</v>
      </c>
      <c r="D3444" s="76">
        <v>46128</v>
      </c>
      <c r="E3444" s="75" t="s">
        <v>475</v>
      </c>
      <c r="F3444" s="74">
        <v>1780</v>
      </c>
      <c r="G3444" s="75" t="s">
        <v>244</v>
      </c>
      <c r="H3444" s="77" t="str">
        <f>VLOOKUP(DESPESAS[[#This Row],[Plano de Contas]],BASE!$B$3:$D$119,3,FALSE)</f>
        <v>Material de Expediente (Prod)</v>
      </c>
      <c r="I3444" s="77" t="str">
        <f>IFERROR(VLOOKUP(DESPESAS[[#This Row],[Fornecedor]],Tabela2[],2,FALSE),"")</f>
        <v/>
      </c>
      <c r="J3444" s="77" t="str">
        <f>IFERROR(VLOOKUP(DESPESAS[[#This Row],[Plano de Contas]],BASE!$B$3:$F$119,4,FALSE),"")</f>
        <v>2 - CUSTOS DIRETOS</v>
      </c>
      <c r="K3444" s="77" t="str">
        <f>IFERROR(VLOOKUP(DESPESAS[[#This Row],[Plano de Contas]],BASE!$B$3:$H$119,5,FALSE),"")</f>
        <v>PRODUÇÃO</v>
      </c>
      <c r="L3444" s="77">
        <f>IFERROR(VLOOKUP(DESPESAS[[#This Row],[Plano de Contas]],BASE!$B$3:$H$119,6,FALSE),"")</f>
        <v>0</v>
      </c>
      <c r="M3444" s="77" t="str">
        <f>VLOOKUP(DESPESAS[[#This Row],[Plano de Contas]],BASE!$B$3:$H$119,7,FALSE)</f>
        <v>RAFAEL</v>
      </c>
    </row>
    <row r="3445" spans="1:13" x14ac:dyDescent="0.25">
      <c r="A3445" s="74">
        <v>200657</v>
      </c>
      <c r="B3445" s="75" t="s">
        <v>232</v>
      </c>
      <c r="C3445" s="75" t="s">
        <v>516</v>
      </c>
      <c r="D3445" s="76">
        <v>46128</v>
      </c>
      <c r="E3445" s="75" t="s">
        <v>409</v>
      </c>
      <c r="F3445" s="74">
        <v>242.43</v>
      </c>
      <c r="G3445" s="75" t="s">
        <v>326</v>
      </c>
      <c r="H3445" s="77" t="str">
        <f>VLOOKUP(DESPESAS[[#This Row],[Plano de Contas]],BASE!$B$3:$D$119,3,FALSE)</f>
        <v>Frete sobre Compras</v>
      </c>
      <c r="I3445" s="77" t="str">
        <f>IFERROR(VLOOKUP(DESPESAS[[#This Row],[Fornecedor]],Tabela2[],2,FALSE),"")</f>
        <v>SERVIÇOS FRETE</v>
      </c>
      <c r="J3445" s="77" t="str">
        <f>IFERROR(VLOOKUP(DESPESAS[[#This Row],[Plano de Contas]],BASE!$B$3:$F$119,4,FALSE),"")</f>
        <v>1 - CPV</v>
      </c>
      <c r="K3445" s="77" t="str">
        <f>IFERROR(VLOOKUP(DESPESAS[[#This Row],[Plano de Contas]],BASE!$B$3:$H$119,5,FALSE),"")</f>
        <v>COMPRAS</v>
      </c>
      <c r="L3445" s="77">
        <f>IFERROR(VLOOKUP(DESPESAS[[#This Row],[Plano de Contas]],BASE!$B$3:$H$119,6,FALSE),"")</f>
        <v>0</v>
      </c>
      <c r="M3445" s="77" t="str">
        <f>VLOOKUP(DESPESAS[[#This Row],[Plano de Contas]],BASE!$B$3:$H$119,7,FALSE)</f>
        <v>MYLENA</v>
      </c>
    </row>
    <row r="3446" spans="1:13" x14ac:dyDescent="0.25">
      <c r="A3446" s="74">
        <v>200658</v>
      </c>
      <c r="B3446" s="75" t="s">
        <v>232</v>
      </c>
      <c r="C3446" s="75" t="s">
        <v>515</v>
      </c>
      <c r="D3446" s="76">
        <v>46128</v>
      </c>
      <c r="E3446" s="75" t="s">
        <v>409</v>
      </c>
      <c r="F3446" s="74">
        <v>117.16</v>
      </c>
      <c r="G3446" s="75" t="s">
        <v>326</v>
      </c>
      <c r="H3446" s="77" t="str">
        <f>VLOOKUP(DESPESAS[[#This Row],[Plano de Contas]],BASE!$B$3:$D$119,3,FALSE)</f>
        <v>Frete sobre Compras</v>
      </c>
      <c r="I3446" s="77" t="str">
        <f>IFERROR(VLOOKUP(DESPESAS[[#This Row],[Fornecedor]],Tabela2[],2,FALSE),"")</f>
        <v>SERVIÇOS FRETE</v>
      </c>
      <c r="J3446" s="77" t="str">
        <f>IFERROR(VLOOKUP(DESPESAS[[#This Row],[Plano de Contas]],BASE!$B$3:$F$119,4,FALSE),"")</f>
        <v>1 - CPV</v>
      </c>
      <c r="K3446" s="77" t="str">
        <f>IFERROR(VLOOKUP(DESPESAS[[#This Row],[Plano de Contas]],BASE!$B$3:$H$119,5,FALSE),"")</f>
        <v>COMPRAS</v>
      </c>
      <c r="L3446" s="77">
        <f>IFERROR(VLOOKUP(DESPESAS[[#This Row],[Plano de Contas]],BASE!$B$3:$H$119,6,FALSE),"")</f>
        <v>0</v>
      </c>
      <c r="M3446" s="77" t="str">
        <f>VLOOKUP(DESPESAS[[#This Row],[Plano de Contas]],BASE!$B$3:$H$119,7,FALSE)</f>
        <v>MYLENA</v>
      </c>
    </row>
    <row r="3447" spans="1:13" x14ac:dyDescent="0.25">
      <c r="A3447" s="74">
        <v>200659</v>
      </c>
      <c r="B3447" s="75" t="s">
        <v>232</v>
      </c>
      <c r="C3447" s="75" t="s">
        <v>514</v>
      </c>
      <c r="D3447" s="76">
        <v>46128</v>
      </c>
      <c r="E3447" s="75" t="s">
        <v>409</v>
      </c>
      <c r="F3447" s="74">
        <v>131.15</v>
      </c>
      <c r="G3447" s="75" t="s">
        <v>326</v>
      </c>
      <c r="H3447" s="77" t="str">
        <f>VLOOKUP(DESPESAS[[#This Row],[Plano de Contas]],BASE!$B$3:$D$119,3,FALSE)</f>
        <v>Frete sobre Compras</v>
      </c>
      <c r="I3447" s="77" t="str">
        <f>IFERROR(VLOOKUP(DESPESAS[[#This Row],[Fornecedor]],Tabela2[],2,FALSE),"")</f>
        <v>SERVIÇOS FRETE</v>
      </c>
      <c r="J3447" s="77" t="str">
        <f>IFERROR(VLOOKUP(DESPESAS[[#This Row],[Plano de Contas]],BASE!$B$3:$F$119,4,FALSE),"")</f>
        <v>1 - CPV</v>
      </c>
      <c r="K3447" s="77" t="str">
        <f>IFERROR(VLOOKUP(DESPESAS[[#This Row],[Plano de Contas]],BASE!$B$3:$H$119,5,FALSE),"")</f>
        <v>COMPRAS</v>
      </c>
      <c r="L3447" s="77">
        <f>IFERROR(VLOOKUP(DESPESAS[[#This Row],[Plano de Contas]],BASE!$B$3:$H$119,6,FALSE),"")</f>
        <v>0</v>
      </c>
      <c r="M3447" s="77" t="str">
        <f>VLOOKUP(DESPESAS[[#This Row],[Plano de Contas]],BASE!$B$3:$H$119,7,FALSE)</f>
        <v>MYLENA</v>
      </c>
    </row>
    <row r="3448" spans="1:13" x14ac:dyDescent="0.25">
      <c r="A3448" s="74">
        <v>200660</v>
      </c>
      <c r="B3448" s="75" t="s">
        <v>232</v>
      </c>
      <c r="C3448" s="75" t="s">
        <v>513</v>
      </c>
      <c r="D3448" s="76">
        <v>46128</v>
      </c>
      <c r="E3448" s="75" t="s">
        <v>409</v>
      </c>
      <c r="F3448" s="74">
        <v>142.34</v>
      </c>
      <c r="G3448" s="75" t="s">
        <v>326</v>
      </c>
      <c r="H3448" s="77" t="str">
        <f>VLOOKUP(DESPESAS[[#This Row],[Plano de Contas]],BASE!$B$3:$D$119,3,FALSE)</f>
        <v>Frete sobre Compras</v>
      </c>
      <c r="I3448" s="77" t="str">
        <f>IFERROR(VLOOKUP(DESPESAS[[#This Row],[Fornecedor]],Tabela2[],2,FALSE),"")</f>
        <v>SERVIÇOS FRETE</v>
      </c>
      <c r="J3448" s="77" t="str">
        <f>IFERROR(VLOOKUP(DESPESAS[[#This Row],[Plano de Contas]],BASE!$B$3:$F$119,4,FALSE),"")</f>
        <v>1 - CPV</v>
      </c>
      <c r="K3448" s="77" t="str">
        <f>IFERROR(VLOOKUP(DESPESAS[[#This Row],[Plano de Contas]],BASE!$B$3:$H$119,5,FALSE),"")</f>
        <v>COMPRAS</v>
      </c>
      <c r="L3448" s="77">
        <f>IFERROR(VLOOKUP(DESPESAS[[#This Row],[Plano de Contas]],BASE!$B$3:$H$119,6,FALSE),"")</f>
        <v>0</v>
      </c>
      <c r="M3448" s="77" t="str">
        <f>VLOOKUP(DESPESAS[[#This Row],[Plano de Contas]],BASE!$B$3:$H$119,7,FALSE)</f>
        <v>MYLENA</v>
      </c>
    </row>
    <row r="3449" spans="1:13" x14ac:dyDescent="0.25">
      <c r="A3449" s="74">
        <v>200661</v>
      </c>
      <c r="B3449" s="75" t="s">
        <v>232</v>
      </c>
      <c r="C3449" s="75" t="s">
        <v>512</v>
      </c>
      <c r="D3449" s="76">
        <v>46128</v>
      </c>
      <c r="E3449" s="75" t="s">
        <v>409</v>
      </c>
      <c r="F3449" s="74">
        <v>121.7</v>
      </c>
      <c r="G3449" s="75" t="s">
        <v>326</v>
      </c>
      <c r="H3449" s="77" t="str">
        <f>VLOOKUP(DESPESAS[[#This Row],[Plano de Contas]],BASE!$B$3:$D$119,3,FALSE)</f>
        <v>Frete sobre Compras</v>
      </c>
      <c r="I3449" s="77" t="str">
        <f>IFERROR(VLOOKUP(DESPESAS[[#This Row],[Fornecedor]],Tabela2[],2,FALSE),"")</f>
        <v>SERVIÇOS FRETE</v>
      </c>
      <c r="J3449" s="77" t="str">
        <f>IFERROR(VLOOKUP(DESPESAS[[#This Row],[Plano de Contas]],BASE!$B$3:$F$119,4,FALSE),"")</f>
        <v>1 - CPV</v>
      </c>
      <c r="K3449" s="77" t="str">
        <f>IFERROR(VLOOKUP(DESPESAS[[#This Row],[Plano de Contas]],BASE!$B$3:$H$119,5,FALSE),"")</f>
        <v>COMPRAS</v>
      </c>
      <c r="L3449" s="77">
        <f>IFERROR(VLOOKUP(DESPESAS[[#This Row],[Plano de Contas]],BASE!$B$3:$H$119,6,FALSE),"")</f>
        <v>0</v>
      </c>
      <c r="M3449" s="77" t="str">
        <f>VLOOKUP(DESPESAS[[#This Row],[Plano de Contas]],BASE!$B$3:$H$119,7,FALSE)</f>
        <v>MYLENA</v>
      </c>
    </row>
    <row r="3450" spans="1:13" x14ac:dyDescent="0.25">
      <c r="A3450" s="74">
        <v>200662</v>
      </c>
      <c r="B3450" s="75" t="s">
        <v>232</v>
      </c>
      <c r="C3450" s="75" t="s">
        <v>511</v>
      </c>
      <c r="D3450" s="76">
        <v>46128</v>
      </c>
      <c r="E3450" s="75" t="s">
        <v>409</v>
      </c>
      <c r="F3450" s="74">
        <v>230.23</v>
      </c>
      <c r="G3450" s="75" t="s">
        <v>326</v>
      </c>
      <c r="H3450" s="77" t="str">
        <f>VLOOKUP(DESPESAS[[#This Row],[Plano de Contas]],BASE!$B$3:$D$119,3,FALSE)</f>
        <v>Frete sobre Compras</v>
      </c>
      <c r="I3450" s="77" t="str">
        <f>IFERROR(VLOOKUP(DESPESAS[[#This Row],[Fornecedor]],Tabela2[],2,FALSE),"")</f>
        <v>SERVIÇOS FRETE</v>
      </c>
      <c r="J3450" s="77" t="str">
        <f>IFERROR(VLOOKUP(DESPESAS[[#This Row],[Plano de Contas]],BASE!$B$3:$F$119,4,FALSE),"")</f>
        <v>1 - CPV</v>
      </c>
      <c r="K3450" s="77" t="str">
        <f>IFERROR(VLOOKUP(DESPESAS[[#This Row],[Plano de Contas]],BASE!$B$3:$H$119,5,FALSE),"")</f>
        <v>COMPRAS</v>
      </c>
      <c r="L3450" s="77">
        <f>IFERROR(VLOOKUP(DESPESAS[[#This Row],[Plano de Contas]],BASE!$B$3:$H$119,6,FALSE),"")</f>
        <v>0</v>
      </c>
      <c r="M3450" s="77" t="str">
        <f>VLOOKUP(DESPESAS[[#This Row],[Plano de Contas]],BASE!$B$3:$H$119,7,FALSE)</f>
        <v>MYLENA</v>
      </c>
    </row>
    <row r="3451" spans="1:13" x14ac:dyDescent="0.25">
      <c r="A3451" s="74">
        <v>200663</v>
      </c>
      <c r="B3451" s="75" t="s">
        <v>232</v>
      </c>
      <c r="C3451" s="75" t="s">
        <v>510</v>
      </c>
      <c r="D3451" s="76">
        <v>46128</v>
      </c>
      <c r="E3451" s="75" t="s">
        <v>409</v>
      </c>
      <c r="F3451" s="74">
        <v>116.1</v>
      </c>
      <c r="G3451" s="75" t="s">
        <v>326</v>
      </c>
      <c r="H3451" s="77" t="str">
        <f>VLOOKUP(DESPESAS[[#This Row],[Plano de Contas]],BASE!$B$3:$D$119,3,FALSE)</f>
        <v>Frete sobre Compras</v>
      </c>
      <c r="I3451" s="77" t="str">
        <f>IFERROR(VLOOKUP(DESPESAS[[#This Row],[Fornecedor]],Tabela2[],2,FALSE),"")</f>
        <v>SERVIÇOS FRETE</v>
      </c>
      <c r="J3451" s="77" t="str">
        <f>IFERROR(VLOOKUP(DESPESAS[[#This Row],[Plano de Contas]],BASE!$B$3:$F$119,4,FALSE),"")</f>
        <v>1 - CPV</v>
      </c>
      <c r="K3451" s="77" t="str">
        <f>IFERROR(VLOOKUP(DESPESAS[[#This Row],[Plano de Contas]],BASE!$B$3:$H$119,5,FALSE),"")</f>
        <v>COMPRAS</v>
      </c>
      <c r="L3451" s="77">
        <f>IFERROR(VLOOKUP(DESPESAS[[#This Row],[Plano de Contas]],BASE!$B$3:$H$119,6,FALSE),"")</f>
        <v>0</v>
      </c>
      <c r="M3451" s="77" t="str">
        <f>VLOOKUP(DESPESAS[[#This Row],[Plano de Contas]],BASE!$B$3:$H$119,7,FALSE)</f>
        <v>MYLENA</v>
      </c>
    </row>
    <row r="3452" spans="1:13" x14ac:dyDescent="0.25">
      <c r="A3452" s="74">
        <v>200664</v>
      </c>
      <c r="B3452" s="75" t="s">
        <v>232</v>
      </c>
      <c r="C3452" s="75" t="s">
        <v>509</v>
      </c>
      <c r="D3452" s="76">
        <v>46128</v>
      </c>
      <c r="E3452" s="75" t="s">
        <v>409</v>
      </c>
      <c r="F3452" s="74">
        <v>286.39</v>
      </c>
      <c r="G3452" s="75" t="s">
        <v>326</v>
      </c>
      <c r="H3452" s="77" t="str">
        <f>VLOOKUP(DESPESAS[[#This Row],[Plano de Contas]],BASE!$B$3:$D$119,3,FALSE)</f>
        <v>Frete sobre Compras</v>
      </c>
      <c r="I3452" s="77" t="str">
        <f>IFERROR(VLOOKUP(DESPESAS[[#This Row],[Fornecedor]],Tabela2[],2,FALSE),"")</f>
        <v>SERVIÇOS FRETE</v>
      </c>
      <c r="J3452" s="77" t="str">
        <f>IFERROR(VLOOKUP(DESPESAS[[#This Row],[Plano de Contas]],BASE!$B$3:$F$119,4,FALSE),"")</f>
        <v>1 - CPV</v>
      </c>
      <c r="K3452" s="77" t="str">
        <f>IFERROR(VLOOKUP(DESPESAS[[#This Row],[Plano de Contas]],BASE!$B$3:$H$119,5,FALSE),"")</f>
        <v>COMPRAS</v>
      </c>
      <c r="L3452" s="77">
        <f>IFERROR(VLOOKUP(DESPESAS[[#This Row],[Plano de Contas]],BASE!$B$3:$H$119,6,FALSE),"")</f>
        <v>0</v>
      </c>
      <c r="M3452" s="77" t="str">
        <f>VLOOKUP(DESPESAS[[#This Row],[Plano de Contas]],BASE!$B$3:$H$119,7,FALSE)</f>
        <v>MYLENA</v>
      </c>
    </row>
    <row r="3453" spans="1:13" x14ac:dyDescent="0.25">
      <c r="A3453" s="74">
        <v>200665</v>
      </c>
      <c r="B3453" s="75" t="s">
        <v>232</v>
      </c>
      <c r="C3453" s="75" t="s">
        <v>508</v>
      </c>
      <c r="D3453" s="76">
        <v>46128</v>
      </c>
      <c r="E3453" s="75" t="s">
        <v>409</v>
      </c>
      <c r="F3453" s="74">
        <v>126.5</v>
      </c>
      <c r="G3453" s="75" t="s">
        <v>326</v>
      </c>
      <c r="H3453" s="77" t="str">
        <f>VLOOKUP(DESPESAS[[#This Row],[Plano de Contas]],BASE!$B$3:$D$119,3,FALSE)</f>
        <v>Frete sobre Compras</v>
      </c>
      <c r="I3453" s="77" t="str">
        <f>IFERROR(VLOOKUP(DESPESAS[[#This Row],[Fornecedor]],Tabela2[],2,FALSE),"")</f>
        <v>SERVIÇOS FRETE</v>
      </c>
      <c r="J3453" s="77" t="str">
        <f>IFERROR(VLOOKUP(DESPESAS[[#This Row],[Plano de Contas]],BASE!$B$3:$F$119,4,FALSE),"")</f>
        <v>1 - CPV</v>
      </c>
      <c r="K3453" s="77" t="str">
        <f>IFERROR(VLOOKUP(DESPESAS[[#This Row],[Plano de Contas]],BASE!$B$3:$H$119,5,FALSE),"")</f>
        <v>COMPRAS</v>
      </c>
      <c r="L3453" s="77">
        <f>IFERROR(VLOOKUP(DESPESAS[[#This Row],[Plano de Contas]],BASE!$B$3:$H$119,6,FALSE),"")</f>
        <v>0</v>
      </c>
      <c r="M3453" s="77" t="str">
        <f>VLOOKUP(DESPESAS[[#This Row],[Plano de Contas]],BASE!$B$3:$H$119,7,FALSE)</f>
        <v>MYLENA</v>
      </c>
    </row>
    <row r="3454" spans="1:13" x14ac:dyDescent="0.25">
      <c r="A3454" s="74">
        <v>200666</v>
      </c>
      <c r="B3454" s="75" t="s">
        <v>232</v>
      </c>
      <c r="C3454" s="75" t="s">
        <v>507</v>
      </c>
      <c r="D3454" s="76">
        <v>46128</v>
      </c>
      <c r="E3454" s="75" t="s">
        <v>409</v>
      </c>
      <c r="F3454" s="74">
        <v>139.69</v>
      </c>
      <c r="G3454" s="75" t="s">
        <v>326</v>
      </c>
      <c r="H3454" s="77" t="str">
        <f>VLOOKUP(DESPESAS[[#This Row],[Plano de Contas]],BASE!$B$3:$D$119,3,FALSE)</f>
        <v>Frete sobre Compras</v>
      </c>
      <c r="I3454" s="77" t="str">
        <f>IFERROR(VLOOKUP(DESPESAS[[#This Row],[Fornecedor]],Tabela2[],2,FALSE),"")</f>
        <v>SERVIÇOS FRETE</v>
      </c>
      <c r="J3454" s="77" t="str">
        <f>IFERROR(VLOOKUP(DESPESAS[[#This Row],[Plano de Contas]],BASE!$B$3:$F$119,4,FALSE),"")</f>
        <v>1 - CPV</v>
      </c>
      <c r="K3454" s="77" t="str">
        <f>IFERROR(VLOOKUP(DESPESAS[[#This Row],[Plano de Contas]],BASE!$B$3:$H$119,5,FALSE),"")</f>
        <v>COMPRAS</v>
      </c>
      <c r="L3454" s="77">
        <f>IFERROR(VLOOKUP(DESPESAS[[#This Row],[Plano de Contas]],BASE!$B$3:$H$119,6,FALSE),"")</f>
        <v>0</v>
      </c>
      <c r="M3454" s="77" t="str">
        <f>VLOOKUP(DESPESAS[[#This Row],[Plano de Contas]],BASE!$B$3:$H$119,7,FALSE)</f>
        <v>MYLENA</v>
      </c>
    </row>
    <row r="3455" spans="1:13" x14ac:dyDescent="0.25">
      <c r="A3455" s="74">
        <v>200667</v>
      </c>
      <c r="B3455" s="75" t="s">
        <v>232</v>
      </c>
      <c r="C3455" s="75" t="s">
        <v>506</v>
      </c>
      <c r="D3455" s="76">
        <v>46128</v>
      </c>
      <c r="E3455" s="75" t="s">
        <v>409</v>
      </c>
      <c r="F3455" s="74">
        <v>113.63</v>
      </c>
      <c r="G3455" s="75" t="s">
        <v>326</v>
      </c>
      <c r="H3455" s="77" t="str">
        <f>VLOOKUP(DESPESAS[[#This Row],[Plano de Contas]],BASE!$B$3:$D$119,3,FALSE)</f>
        <v>Frete sobre Compras</v>
      </c>
      <c r="I3455" s="77" t="str">
        <f>IFERROR(VLOOKUP(DESPESAS[[#This Row],[Fornecedor]],Tabela2[],2,FALSE),"")</f>
        <v>SERVIÇOS FRETE</v>
      </c>
      <c r="J3455" s="77" t="str">
        <f>IFERROR(VLOOKUP(DESPESAS[[#This Row],[Plano de Contas]],BASE!$B$3:$F$119,4,FALSE),"")</f>
        <v>1 - CPV</v>
      </c>
      <c r="K3455" s="77" t="str">
        <f>IFERROR(VLOOKUP(DESPESAS[[#This Row],[Plano de Contas]],BASE!$B$3:$H$119,5,FALSE),"")</f>
        <v>COMPRAS</v>
      </c>
      <c r="L3455" s="77">
        <f>IFERROR(VLOOKUP(DESPESAS[[#This Row],[Plano de Contas]],BASE!$B$3:$H$119,6,FALSE),"")</f>
        <v>0</v>
      </c>
      <c r="M3455" s="77" t="str">
        <f>VLOOKUP(DESPESAS[[#This Row],[Plano de Contas]],BASE!$B$3:$H$119,7,FALSE)</f>
        <v>MYLENA</v>
      </c>
    </row>
    <row r="3456" spans="1:13" x14ac:dyDescent="0.25">
      <c r="A3456" s="74">
        <v>200668</v>
      </c>
      <c r="B3456" s="75" t="s">
        <v>232</v>
      </c>
      <c r="C3456" s="75" t="s">
        <v>505</v>
      </c>
      <c r="D3456" s="76">
        <v>46127</v>
      </c>
      <c r="E3456" s="75" t="s">
        <v>230</v>
      </c>
      <c r="F3456" s="74">
        <v>14.22</v>
      </c>
      <c r="G3456" s="75" t="s">
        <v>236</v>
      </c>
      <c r="H3456" s="77" t="str">
        <f>VLOOKUP(DESPESAS[[#This Row],[Plano de Contas]],BASE!$B$3:$D$119,3,FALSE)</f>
        <v>Despesas de Cobranca</v>
      </c>
      <c r="I3456" s="77" t="str">
        <f>IFERROR(VLOOKUP(DESPESAS[[#This Row],[Fornecedor]],Tabela2[],2,FALSE),"")</f>
        <v/>
      </c>
      <c r="J3456" s="77" t="str">
        <f>IFERROR(VLOOKUP(DESPESAS[[#This Row],[Plano de Contas]],BASE!$B$3:$F$119,4,FALSE),"")</f>
        <v>8 - DESPESAS FINANCEIRAS</v>
      </c>
      <c r="K3456" s="77" t="str">
        <f>IFERROR(VLOOKUP(DESPESAS[[#This Row],[Plano de Contas]],BASE!$B$3:$H$119,5,FALSE),"")</f>
        <v>FINANCEIRO</v>
      </c>
      <c r="L3456" s="77">
        <f>IFERROR(VLOOKUP(DESPESAS[[#This Row],[Plano de Contas]],BASE!$B$3:$H$119,6,FALSE),"")</f>
        <v>0</v>
      </c>
      <c r="M3456" s="77" t="str">
        <f>VLOOKUP(DESPESAS[[#This Row],[Plano de Contas]],BASE!$B$3:$H$119,7,FALSE)</f>
        <v>LETÍCIA</v>
      </c>
    </row>
    <row r="3457" spans="1:13" x14ac:dyDescent="0.25">
      <c r="A3457" s="74">
        <v>200669</v>
      </c>
      <c r="B3457" s="75" t="s">
        <v>232</v>
      </c>
      <c r="C3457" s="75" t="s">
        <v>504</v>
      </c>
      <c r="D3457" s="76">
        <v>46128</v>
      </c>
      <c r="E3457" s="75" t="s">
        <v>230</v>
      </c>
      <c r="F3457" s="74">
        <v>0.14000000000000001</v>
      </c>
      <c r="G3457" s="75" t="s">
        <v>229</v>
      </c>
      <c r="H3457" s="77" t="str">
        <f>VLOOKUP(DESPESAS[[#This Row],[Plano de Contas]],BASE!$B$3:$D$119,3,FALSE)</f>
        <v>Despesas Bancarias</v>
      </c>
      <c r="I3457" s="77" t="str">
        <f>IFERROR(VLOOKUP(DESPESAS[[#This Row],[Fornecedor]],Tabela2[],2,FALSE),"")</f>
        <v/>
      </c>
      <c r="J3457" s="77" t="str">
        <f>IFERROR(VLOOKUP(DESPESAS[[#This Row],[Plano de Contas]],BASE!$B$3:$F$119,4,FALSE),"")</f>
        <v>8 - DESPESAS FINANCEIRAS</v>
      </c>
      <c r="K3457" s="77" t="str">
        <f>IFERROR(VLOOKUP(DESPESAS[[#This Row],[Plano de Contas]],BASE!$B$3:$H$119,5,FALSE),"")</f>
        <v>FINANCEIRO</v>
      </c>
      <c r="L3457" s="77">
        <f>IFERROR(VLOOKUP(DESPESAS[[#This Row],[Plano de Contas]],BASE!$B$3:$H$119,6,FALSE),"")</f>
        <v>0</v>
      </c>
      <c r="M3457" s="77" t="str">
        <f>VLOOKUP(DESPESAS[[#This Row],[Plano de Contas]],BASE!$B$3:$H$119,7,FALSE)</f>
        <v>LETÍCIA</v>
      </c>
    </row>
    <row r="3458" spans="1:13" x14ac:dyDescent="0.25">
      <c r="A3458" s="74">
        <v>200670</v>
      </c>
      <c r="B3458" s="75" t="s">
        <v>221</v>
      </c>
      <c r="C3458" s="75" t="s">
        <v>503</v>
      </c>
      <c r="D3458" s="76">
        <v>46128</v>
      </c>
      <c r="E3458" s="75" t="s">
        <v>502</v>
      </c>
      <c r="F3458" s="74">
        <v>120</v>
      </c>
      <c r="G3458" s="75" t="s">
        <v>423</v>
      </c>
      <c r="H3458" s="77" t="str">
        <f>VLOOKUP(DESPESAS[[#This Row],[Plano de Contas]],BASE!$B$3:$D$119,3,FALSE)</f>
        <v>Combustíveis (Adm)</v>
      </c>
      <c r="I3458" s="77" t="str">
        <f>IFERROR(VLOOKUP(DESPESAS[[#This Row],[Fornecedor]],Tabela2[],2,FALSE),"")</f>
        <v/>
      </c>
      <c r="J3458" s="77" t="str">
        <f>IFERROR(VLOOKUP(DESPESAS[[#This Row],[Plano de Contas]],BASE!$B$3:$F$119,4,FALSE),"")</f>
        <v>5 - DESPESAS ADMINISTRATIVAS</v>
      </c>
      <c r="K3458" s="77" t="str">
        <f>IFERROR(VLOOKUP(DESPESAS[[#This Row],[Plano de Contas]],BASE!$B$3:$H$119,5,FALSE),"")</f>
        <v>LOGÍSTICA</v>
      </c>
      <c r="L3458" s="77">
        <f>IFERROR(VLOOKUP(DESPESAS[[#This Row],[Plano de Contas]],BASE!$B$3:$H$119,6,FALSE),"")</f>
        <v>0</v>
      </c>
      <c r="M3458" s="77" t="str">
        <f>VLOOKUP(DESPESAS[[#This Row],[Plano de Contas]],BASE!$B$3:$H$119,7,FALSE)</f>
        <v>LETÍCIA</v>
      </c>
    </row>
    <row r="3459" spans="1:13" x14ac:dyDescent="0.25">
      <c r="A3459" s="74">
        <v>200671</v>
      </c>
      <c r="B3459" s="75" t="s">
        <v>232</v>
      </c>
      <c r="C3459" s="75" t="s">
        <v>501</v>
      </c>
      <c r="D3459" s="76">
        <v>46128</v>
      </c>
      <c r="E3459" s="75" t="s">
        <v>409</v>
      </c>
      <c r="F3459" s="74">
        <v>146.22</v>
      </c>
      <c r="G3459" s="75" t="s">
        <v>326</v>
      </c>
      <c r="H3459" s="77" t="str">
        <f>VLOOKUP(DESPESAS[[#This Row],[Plano de Contas]],BASE!$B$3:$D$119,3,FALSE)</f>
        <v>Frete sobre Compras</v>
      </c>
      <c r="I3459" s="77" t="str">
        <f>IFERROR(VLOOKUP(DESPESAS[[#This Row],[Fornecedor]],Tabela2[],2,FALSE),"")</f>
        <v>SERVIÇOS FRETE</v>
      </c>
      <c r="J3459" s="77" t="str">
        <f>IFERROR(VLOOKUP(DESPESAS[[#This Row],[Plano de Contas]],BASE!$B$3:$F$119,4,FALSE),"")</f>
        <v>1 - CPV</v>
      </c>
      <c r="K3459" s="77" t="str">
        <f>IFERROR(VLOOKUP(DESPESAS[[#This Row],[Plano de Contas]],BASE!$B$3:$H$119,5,FALSE),"")</f>
        <v>COMPRAS</v>
      </c>
      <c r="L3459" s="77">
        <f>IFERROR(VLOOKUP(DESPESAS[[#This Row],[Plano de Contas]],BASE!$B$3:$H$119,6,FALSE),"")</f>
        <v>0</v>
      </c>
      <c r="M3459" s="77" t="str">
        <f>VLOOKUP(DESPESAS[[#This Row],[Plano de Contas]],BASE!$B$3:$H$119,7,FALSE)</f>
        <v>MYLENA</v>
      </c>
    </row>
    <row r="3460" spans="1:13" x14ac:dyDescent="0.25">
      <c r="A3460" s="74">
        <v>200672</v>
      </c>
      <c r="B3460" s="75" t="s">
        <v>232</v>
      </c>
      <c r="C3460" s="75" t="s">
        <v>500</v>
      </c>
      <c r="D3460" s="76">
        <v>46128</v>
      </c>
      <c r="E3460" s="75" t="s">
        <v>499</v>
      </c>
      <c r="F3460" s="74">
        <v>387.78</v>
      </c>
      <c r="G3460" s="75" t="s">
        <v>326</v>
      </c>
      <c r="H3460" s="77" t="str">
        <f>VLOOKUP(DESPESAS[[#This Row],[Plano de Contas]],BASE!$B$3:$D$119,3,FALSE)</f>
        <v>Frete sobre Compras</v>
      </c>
      <c r="I3460" s="77" t="str">
        <f>IFERROR(VLOOKUP(DESPESAS[[#This Row],[Fornecedor]],Tabela2[],2,FALSE),"")</f>
        <v/>
      </c>
      <c r="J3460" s="77" t="str">
        <f>IFERROR(VLOOKUP(DESPESAS[[#This Row],[Plano de Contas]],BASE!$B$3:$F$119,4,FALSE),"")</f>
        <v>1 - CPV</v>
      </c>
      <c r="K3460" s="77" t="str">
        <f>IFERROR(VLOOKUP(DESPESAS[[#This Row],[Plano de Contas]],BASE!$B$3:$H$119,5,FALSE),"")</f>
        <v>COMPRAS</v>
      </c>
      <c r="L3460" s="77">
        <f>IFERROR(VLOOKUP(DESPESAS[[#This Row],[Plano de Contas]],BASE!$B$3:$H$119,6,FALSE),"")</f>
        <v>0</v>
      </c>
      <c r="M3460" s="77" t="str">
        <f>VLOOKUP(DESPESAS[[#This Row],[Plano de Contas]],BASE!$B$3:$H$119,7,FALSE)</f>
        <v>MYLENA</v>
      </c>
    </row>
    <row r="3461" spans="1:13" x14ac:dyDescent="0.25">
      <c r="A3461" s="74">
        <v>200673</v>
      </c>
      <c r="B3461" s="75" t="s">
        <v>221</v>
      </c>
      <c r="C3461" s="75" t="s">
        <v>498</v>
      </c>
      <c r="D3461" s="76">
        <v>46128</v>
      </c>
      <c r="E3461" s="75" t="s">
        <v>230</v>
      </c>
      <c r="F3461" s="74">
        <v>2.85</v>
      </c>
      <c r="G3461" s="75" t="s">
        <v>229</v>
      </c>
      <c r="H3461" s="77" t="str">
        <f>VLOOKUP(DESPESAS[[#This Row],[Plano de Contas]],BASE!$B$3:$D$119,3,FALSE)</f>
        <v>Despesas Bancarias</v>
      </c>
      <c r="I3461" s="77" t="str">
        <f>IFERROR(VLOOKUP(DESPESAS[[#This Row],[Fornecedor]],Tabela2[],2,FALSE),"")</f>
        <v/>
      </c>
      <c r="J3461" s="77" t="str">
        <f>IFERROR(VLOOKUP(DESPESAS[[#This Row],[Plano de Contas]],BASE!$B$3:$F$119,4,FALSE),"")</f>
        <v>8 - DESPESAS FINANCEIRAS</v>
      </c>
      <c r="K3461" s="77" t="str">
        <f>IFERROR(VLOOKUP(DESPESAS[[#This Row],[Plano de Contas]],BASE!$B$3:$H$119,5,FALSE),"")</f>
        <v>FINANCEIRO</v>
      </c>
      <c r="L3461" s="77">
        <f>IFERROR(VLOOKUP(DESPESAS[[#This Row],[Plano de Contas]],BASE!$B$3:$H$119,6,FALSE),"")</f>
        <v>0</v>
      </c>
      <c r="M3461" s="77" t="str">
        <f>VLOOKUP(DESPESAS[[#This Row],[Plano de Contas]],BASE!$B$3:$H$119,7,FALSE)</f>
        <v>LETÍCIA</v>
      </c>
    </row>
    <row r="3462" spans="1:13" x14ac:dyDescent="0.25">
      <c r="A3462" s="74">
        <v>200674</v>
      </c>
      <c r="B3462" s="75" t="s">
        <v>279</v>
      </c>
      <c r="C3462" s="75" t="s">
        <v>497</v>
      </c>
      <c r="D3462" s="76">
        <v>46127</v>
      </c>
      <c r="E3462" s="75" t="s">
        <v>230</v>
      </c>
      <c r="F3462" s="74">
        <v>2.37</v>
      </c>
      <c r="G3462" s="75" t="s">
        <v>236</v>
      </c>
      <c r="H3462" s="77" t="str">
        <f>VLOOKUP(DESPESAS[[#This Row],[Plano de Contas]],BASE!$B$3:$D$119,3,FALSE)</f>
        <v>Despesas de Cobranca</v>
      </c>
      <c r="I3462" s="77" t="str">
        <f>IFERROR(VLOOKUP(DESPESAS[[#This Row],[Fornecedor]],Tabela2[],2,FALSE),"")</f>
        <v/>
      </c>
      <c r="J3462" s="77" t="str">
        <f>IFERROR(VLOOKUP(DESPESAS[[#This Row],[Plano de Contas]],BASE!$B$3:$F$119,4,FALSE),"")</f>
        <v>8 - DESPESAS FINANCEIRAS</v>
      </c>
      <c r="K3462" s="77" t="str">
        <f>IFERROR(VLOOKUP(DESPESAS[[#This Row],[Plano de Contas]],BASE!$B$3:$H$119,5,FALSE),"")</f>
        <v>FINANCEIRO</v>
      </c>
      <c r="L3462" s="77">
        <f>IFERROR(VLOOKUP(DESPESAS[[#This Row],[Plano de Contas]],BASE!$B$3:$H$119,6,FALSE),"")</f>
        <v>0</v>
      </c>
      <c r="M3462" s="77" t="str">
        <f>VLOOKUP(DESPESAS[[#This Row],[Plano de Contas]],BASE!$B$3:$H$119,7,FALSE)</f>
        <v>LETÍCIA</v>
      </c>
    </row>
    <row r="3463" spans="1:13" x14ac:dyDescent="0.25">
      <c r="A3463" s="74">
        <v>200675</v>
      </c>
      <c r="B3463" s="75" t="s">
        <v>279</v>
      </c>
      <c r="C3463" s="75" t="s">
        <v>496</v>
      </c>
      <c r="D3463" s="76">
        <v>46128</v>
      </c>
      <c r="E3463" s="75" t="s">
        <v>230</v>
      </c>
      <c r="F3463" s="74">
        <v>1.03</v>
      </c>
      <c r="G3463" s="75" t="s">
        <v>229</v>
      </c>
      <c r="H3463" s="77" t="str">
        <f>VLOOKUP(DESPESAS[[#This Row],[Plano de Contas]],BASE!$B$3:$D$119,3,FALSE)</f>
        <v>Despesas Bancarias</v>
      </c>
      <c r="I3463" s="77" t="str">
        <f>IFERROR(VLOOKUP(DESPESAS[[#This Row],[Fornecedor]],Tabela2[],2,FALSE),"")</f>
        <v/>
      </c>
      <c r="J3463" s="77" t="str">
        <f>IFERROR(VLOOKUP(DESPESAS[[#This Row],[Plano de Contas]],BASE!$B$3:$F$119,4,FALSE),"")</f>
        <v>8 - DESPESAS FINANCEIRAS</v>
      </c>
      <c r="K3463" s="77" t="str">
        <f>IFERROR(VLOOKUP(DESPESAS[[#This Row],[Plano de Contas]],BASE!$B$3:$H$119,5,FALSE),"")</f>
        <v>FINANCEIRO</v>
      </c>
      <c r="L3463" s="77">
        <f>IFERROR(VLOOKUP(DESPESAS[[#This Row],[Plano de Contas]],BASE!$B$3:$H$119,6,FALSE),"")</f>
        <v>0</v>
      </c>
      <c r="M3463" s="77" t="str">
        <f>VLOOKUP(DESPESAS[[#This Row],[Plano de Contas]],BASE!$B$3:$H$119,7,FALSE)</f>
        <v>LETÍCIA</v>
      </c>
    </row>
    <row r="3464" spans="1:13" x14ac:dyDescent="0.25">
      <c r="A3464" s="74">
        <v>200676</v>
      </c>
      <c r="B3464" s="75" t="s">
        <v>281</v>
      </c>
      <c r="C3464" s="75" t="s">
        <v>495</v>
      </c>
      <c r="D3464" s="76">
        <v>46127</v>
      </c>
      <c r="E3464" s="75" t="s">
        <v>230</v>
      </c>
      <c r="F3464" s="74">
        <v>1.58</v>
      </c>
      <c r="G3464" s="75" t="s">
        <v>236</v>
      </c>
      <c r="H3464" s="77" t="str">
        <f>VLOOKUP(DESPESAS[[#This Row],[Plano de Contas]],BASE!$B$3:$D$119,3,FALSE)</f>
        <v>Despesas de Cobranca</v>
      </c>
      <c r="I3464" s="77" t="str">
        <f>IFERROR(VLOOKUP(DESPESAS[[#This Row],[Fornecedor]],Tabela2[],2,FALSE),"")</f>
        <v/>
      </c>
      <c r="J3464" s="77" t="str">
        <f>IFERROR(VLOOKUP(DESPESAS[[#This Row],[Plano de Contas]],BASE!$B$3:$F$119,4,FALSE),"")</f>
        <v>8 - DESPESAS FINANCEIRAS</v>
      </c>
      <c r="K3464" s="77" t="str">
        <f>IFERROR(VLOOKUP(DESPESAS[[#This Row],[Plano de Contas]],BASE!$B$3:$H$119,5,FALSE),"")</f>
        <v>FINANCEIRO</v>
      </c>
      <c r="L3464" s="77">
        <f>IFERROR(VLOOKUP(DESPESAS[[#This Row],[Plano de Contas]],BASE!$B$3:$H$119,6,FALSE),"")</f>
        <v>0</v>
      </c>
      <c r="M3464" s="77" t="str">
        <f>VLOOKUP(DESPESAS[[#This Row],[Plano de Contas]],BASE!$B$3:$H$119,7,FALSE)</f>
        <v>LETÍCIA</v>
      </c>
    </row>
    <row r="3465" spans="1:13" x14ac:dyDescent="0.25">
      <c r="A3465" s="74">
        <v>200677</v>
      </c>
      <c r="B3465" s="75" t="s">
        <v>281</v>
      </c>
      <c r="C3465" s="75" t="s">
        <v>494</v>
      </c>
      <c r="D3465" s="76">
        <v>46127</v>
      </c>
      <c r="E3465" s="75" t="s">
        <v>230</v>
      </c>
      <c r="F3465" s="74">
        <v>5</v>
      </c>
      <c r="G3465" s="75" t="s">
        <v>229</v>
      </c>
      <c r="H3465" s="77" t="str">
        <f>VLOOKUP(DESPESAS[[#This Row],[Plano de Contas]],BASE!$B$3:$D$119,3,FALSE)</f>
        <v>Despesas Bancarias</v>
      </c>
      <c r="I3465" s="77" t="str">
        <f>IFERROR(VLOOKUP(DESPESAS[[#This Row],[Fornecedor]],Tabela2[],2,FALSE),"")</f>
        <v/>
      </c>
      <c r="J3465" s="77" t="str">
        <f>IFERROR(VLOOKUP(DESPESAS[[#This Row],[Plano de Contas]],BASE!$B$3:$F$119,4,FALSE),"")</f>
        <v>8 - DESPESAS FINANCEIRAS</v>
      </c>
      <c r="K3465" s="77" t="str">
        <f>IFERROR(VLOOKUP(DESPESAS[[#This Row],[Plano de Contas]],BASE!$B$3:$H$119,5,FALSE),"")</f>
        <v>FINANCEIRO</v>
      </c>
      <c r="L3465" s="77">
        <f>IFERROR(VLOOKUP(DESPESAS[[#This Row],[Plano de Contas]],BASE!$B$3:$H$119,6,FALSE),"")</f>
        <v>0</v>
      </c>
      <c r="M3465" s="77" t="str">
        <f>VLOOKUP(DESPESAS[[#This Row],[Plano de Contas]],BASE!$B$3:$H$119,7,FALSE)</f>
        <v>LETÍCIA</v>
      </c>
    </row>
    <row r="3466" spans="1:13" x14ac:dyDescent="0.25">
      <c r="A3466" s="74">
        <v>200678</v>
      </c>
      <c r="B3466" s="75" t="s">
        <v>221</v>
      </c>
      <c r="C3466" s="75" t="s">
        <v>493</v>
      </c>
      <c r="D3466" s="76">
        <v>46128</v>
      </c>
      <c r="E3466" s="75" t="s">
        <v>492</v>
      </c>
      <c r="F3466" s="74">
        <v>350</v>
      </c>
      <c r="G3466" s="75" t="s">
        <v>259</v>
      </c>
      <c r="H3466" s="77" t="str">
        <f>VLOOKUP(DESPESAS[[#This Row],[Plano de Contas]],BASE!$B$3:$D$119,3,FALSE)</f>
        <v>Manutenção Predial CIF</v>
      </c>
      <c r="I3466" s="77" t="str">
        <f>IFERROR(VLOOKUP(DESPESAS[[#This Row],[Fornecedor]],Tabela2[],2,FALSE),"")</f>
        <v/>
      </c>
      <c r="J3466" s="77" t="str">
        <f>IFERROR(VLOOKUP(DESPESAS[[#This Row],[Plano de Contas]],BASE!$B$3:$F$119,4,FALSE),"")</f>
        <v>3 - CUSTOS INDIRETOS</v>
      </c>
      <c r="K3466" s="77" t="str">
        <f>IFERROR(VLOOKUP(DESPESAS[[#This Row],[Plano de Contas]],BASE!$B$3:$H$119,5,FALSE),"")</f>
        <v>MANUTENÇÃO / TI</v>
      </c>
      <c r="L3466" s="77">
        <f>IFERROR(VLOOKUP(DESPESAS[[#This Row],[Plano de Contas]],BASE!$B$3:$H$119,6,FALSE),"")</f>
        <v>0</v>
      </c>
      <c r="M3466" s="77" t="str">
        <f>VLOOKUP(DESPESAS[[#This Row],[Plano de Contas]],BASE!$B$3:$H$119,7,FALSE)</f>
        <v>FÁBIO</v>
      </c>
    </row>
    <row r="3467" spans="1:13" x14ac:dyDescent="0.25">
      <c r="A3467" s="74">
        <v>200679</v>
      </c>
      <c r="B3467" s="75" t="s">
        <v>281</v>
      </c>
      <c r="C3467" s="75" t="s">
        <v>491</v>
      </c>
      <c r="D3467" s="76">
        <v>46128</v>
      </c>
      <c r="E3467" s="75" t="s">
        <v>490</v>
      </c>
      <c r="F3467" s="74">
        <v>854.5</v>
      </c>
      <c r="G3467" s="75" t="s">
        <v>489</v>
      </c>
      <c r="H3467" s="77" t="str">
        <f>VLOOKUP(DESPESAS[[#This Row],[Plano de Contas]],BASE!$B$3:$D$119,3,FALSE)</f>
        <v>Material de Limpeza CIF</v>
      </c>
      <c r="I3467" s="77" t="str">
        <f>IFERROR(VLOOKUP(DESPESAS[[#This Row],[Fornecedor]],Tabela2[],2,FALSE),"")</f>
        <v/>
      </c>
      <c r="J3467" s="77" t="str">
        <f>IFERROR(VLOOKUP(DESPESAS[[#This Row],[Plano de Contas]],BASE!$B$3:$F$119,4,FALSE),"")</f>
        <v>3 - CUSTOS INDIRETOS</v>
      </c>
      <c r="K3467" s="77" t="str">
        <f>IFERROR(VLOOKUP(DESPESAS[[#This Row],[Plano de Contas]],BASE!$B$3:$H$119,5,FALSE),"")</f>
        <v>COMPRAS</v>
      </c>
      <c r="L3467" s="77">
        <f>IFERROR(VLOOKUP(DESPESAS[[#This Row],[Plano de Contas]],BASE!$B$3:$H$119,6,FALSE),"")</f>
        <v>0</v>
      </c>
      <c r="M3467" s="77" t="str">
        <f>VLOOKUP(DESPESAS[[#This Row],[Plano de Contas]],BASE!$B$3:$H$119,7,FALSE)</f>
        <v>MYLENA</v>
      </c>
    </row>
    <row r="3468" spans="1:13" x14ac:dyDescent="0.25">
      <c r="A3468" s="74">
        <v>200680</v>
      </c>
      <c r="B3468" s="75" t="s">
        <v>221</v>
      </c>
      <c r="C3468" s="75" t="s">
        <v>488</v>
      </c>
      <c r="D3468" s="76">
        <v>46128</v>
      </c>
      <c r="E3468" s="75" t="s">
        <v>487</v>
      </c>
      <c r="F3468" s="74">
        <v>419.08</v>
      </c>
      <c r="G3468" s="75" t="s">
        <v>486</v>
      </c>
      <c r="H3468" s="77" t="str">
        <f>VLOOKUP(DESPESAS[[#This Row],[Plano de Contas]],BASE!$B$3:$D$119,3,FALSE)</f>
        <v>IPTU e Taxas Municipais CIF</v>
      </c>
      <c r="I3468" s="77" t="str">
        <f>IFERROR(VLOOKUP(DESPESAS[[#This Row],[Fornecedor]],Tabela2[],2,FALSE),"")</f>
        <v/>
      </c>
      <c r="J3468" s="77" t="str">
        <f>IFERROR(VLOOKUP(DESPESAS[[#This Row],[Plano de Contas]],BASE!$B$3:$F$119,4,FALSE),"")</f>
        <v>3 - CUSTOS INDIRETOS</v>
      </c>
      <c r="K3468" s="77" t="str">
        <f>IFERROR(VLOOKUP(DESPESAS[[#This Row],[Plano de Contas]],BASE!$B$3:$H$119,5,FALSE),"")</f>
        <v>FINANCEIRO</v>
      </c>
      <c r="L3468" s="77">
        <f>IFERROR(VLOOKUP(DESPESAS[[#This Row],[Plano de Contas]],BASE!$B$3:$H$119,6,FALSE),"")</f>
        <v>0</v>
      </c>
      <c r="M3468" s="77" t="str">
        <f>VLOOKUP(DESPESAS[[#This Row],[Plano de Contas]],BASE!$B$3:$H$119,7,FALSE)</f>
        <v>LETÍCIA</v>
      </c>
    </row>
    <row r="3469" spans="1:13" x14ac:dyDescent="0.25">
      <c r="A3469" s="74">
        <v>200681</v>
      </c>
      <c r="B3469" s="75" t="s">
        <v>279</v>
      </c>
      <c r="C3469" s="75" t="s">
        <v>485</v>
      </c>
      <c r="D3469" s="76">
        <v>46128</v>
      </c>
      <c r="E3469" s="75" t="s">
        <v>484</v>
      </c>
      <c r="F3469" s="74">
        <v>1151.26</v>
      </c>
      <c r="G3469" s="75" t="s">
        <v>483</v>
      </c>
      <c r="H3469" s="77" t="str">
        <f>VLOOKUP(DESPESAS[[#This Row],[Plano de Contas]],BASE!$B$3:$D$119,3,FALSE)</f>
        <v>Ferias (Adm)</v>
      </c>
      <c r="I3469" s="77" t="str">
        <f>IFERROR(VLOOKUP(DESPESAS[[#This Row],[Fornecedor]],Tabela2[],2,FALSE),"")</f>
        <v/>
      </c>
      <c r="J3469" s="77" t="str">
        <f>IFERROR(VLOOKUP(DESPESAS[[#This Row],[Plano de Contas]],BASE!$B$3:$F$119,4,FALSE),"")</f>
        <v>4 - GASTOS COM PESSOAL</v>
      </c>
      <c r="K3469" s="77" t="str">
        <f>IFERROR(VLOOKUP(DESPESAS[[#This Row],[Plano de Contas]],BASE!$B$3:$H$119,5,FALSE),"")</f>
        <v>DH</v>
      </c>
      <c r="L3469" s="77">
        <f>IFERROR(VLOOKUP(DESPESAS[[#This Row],[Plano de Contas]],BASE!$B$3:$H$119,6,FALSE),"")</f>
        <v>0</v>
      </c>
      <c r="M3469" s="77" t="str">
        <f>VLOOKUP(DESPESAS[[#This Row],[Plano de Contas]],BASE!$B$3:$H$119,7,FALSE)</f>
        <v>RAFAEL</v>
      </c>
    </row>
    <row r="3470" spans="1:13" x14ac:dyDescent="0.25">
      <c r="A3470" s="74">
        <v>200682</v>
      </c>
      <c r="B3470" s="75" t="s">
        <v>221</v>
      </c>
      <c r="C3470" s="75" t="s">
        <v>482</v>
      </c>
      <c r="D3470" s="76">
        <v>46128</v>
      </c>
      <c r="E3470" s="75" t="s">
        <v>481</v>
      </c>
      <c r="F3470" s="74">
        <v>2056.96</v>
      </c>
      <c r="G3470" s="75" t="s">
        <v>480</v>
      </c>
      <c r="H3470" s="77" t="str">
        <f>VLOOKUP(DESPESAS[[#This Row],[Plano de Contas]],BASE!$B$3:$D$119,3,FALSE)</f>
        <v>Viagens e Estadias c/ Vendas</v>
      </c>
      <c r="I3470" s="77" t="str">
        <f>IFERROR(VLOOKUP(DESPESAS[[#This Row],[Fornecedor]],Tabela2[],2,FALSE),"")</f>
        <v/>
      </c>
      <c r="J3470" s="77" t="str">
        <f>IFERROR(VLOOKUP(DESPESAS[[#This Row],[Plano de Contas]],BASE!$B$3:$F$119,4,FALSE),"")</f>
        <v>6 - DESPESA COM VENDAS</v>
      </c>
      <c r="K3470" s="77" t="str">
        <f>IFERROR(VLOOKUP(DESPESAS[[#This Row],[Plano de Contas]],BASE!$B$3:$H$119,5,FALSE),"")</f>
        <v>COMERCIAL</v>
      </c>
      <c r="L3470" s="77">
        <f>IFERROR(VLOOKUP(DESPESAS[[#This Row],[Plano de Contas]],BASE!$B$3:$H$119,6,FALSE),"")</f>
        <v>0</v>
      </c>
      <c r="M3470" s="77" t="str">
        <f>VLOOKUP(DESPESAS[[#This Row],[Plano de Contas]],BASE!$B$3:$H$119,7,FALSE)</f>
        <v>LETÍCIA</v>
      </c>
    </row>
    <row r="3471" spans="1:13" x14ac:dyDescent="0.25">
      <c r="A3471" s="74">
        <v>200683</v>
      </c>
      <c r="B3471" s="75" t="s">
        <v>232</v>
      </c>
      <c r="C3471" s="75" t="s">
        <v>479</v>
      </c>
      <c r="D3471" s="76">
        <v>46128</v>
      </c>
      <c r="E3471" s="75" t="s">
        <v>230</v>
      </c>
      <c r="F3471" s="74">
        <v>64.03</v>
      </c>
      <c r="G3471" s="75" t="s">
        <v>229</v>
      </c>
      <c r="H3471" s="77" t="str">
        <f>VLOOKUP(DESPESAS[[#This Row],[Plano de Contas]],BASE!$B$3:$D$119,3,FALSE)</f>
        <v>Despesas Bancarias</v>
      </c>
      <c r="I3471" s="77" t="str">
        <f>IFERROR(VLOOKUP(DESPESAS[[#This Row],[Fornecedor]],Tabela2[],2,FALSE),"")</f>
        <v/>
      </c>
      <c r="J3471" s="77" t="str">
        <f>IFERROR(VLOOKUP(DESPESAS[[#This Row],[Plano de Contas]],BASE!$B$3:$F$119,4,FALSE),"")</f>
        <v>8 - DESPESAS FINANCEIRAS</v>
      </c>
      <c r="K3471" s="77" t="str">
        <f>IFERROR(VLOOKUP(DESPESAS[[#This Row],[Plano de Contas]],BASE!$B$3:$H$119,5,FALSE),"")</f>
        <v>FINANCEIRO</v>
      </c>
      <c r="L3471" s="77">
        <f>IFERROR(VLOOKUP(DESPESAS[[#This Row],[Plano de Contas]],BASE!$B$3:$H$119,6,FALSE),"")</f>
        <v>0</v>
      </c>
      <c r="M3471" s="77" t="str">
        <f>VLOOKUP(DESPESAS[[#This Row],[Plano de Contas]],BASE!$B$3:$H$119,7,FALSE)</f>
        <v>LETÍCIA</v>
      </c>
    </row>
    <row r="3472" spans="1:13" x14ac:dyDescent="0.25">
      <c r="A3472" s="74">
        <v>200684</v>
      </c>
      <c r="B3472" s="75" t="s">
        <v>232</v>
      </c>
      <c r="C3472" s="75" t="s">
        <v>478</v>
      </c>
      <c r="D3472" s="76">
        <v>46128</v>
      </c>
      <c r="E3472" s="75" t="s">
        <v>230</v>
      </c>
      <c r="F3472" s="74">
        <v>120.32</v>
      </c>
      <c r="G3472" s="75" t="s">
        <v>229</v>
      </c>
      <c r="H3472" s="77" t="str">
        <f>VLOOKUP(DESPESAS[[#This Row],[Plano de Contas]],BASE!$B$3:$D$119,3,FALSE)</f>
        <v>Despesas Bancarias</v>
      </c>
      <c r="I3472" s="77" t="str">
        <f>IFERROR(VLOOKUP(DESPESAS[[#This Row],[Fornecedor]],Tabela2[],2,FALSE),"")</f>
        <v/>
      </c>
      <c r="J3472" s="77" t="str">
        <f>IFERROR(VLOOKUP(DESPESAS[[#This Row],[Plano de Contas]],BASE!$B$3:$F$119,4,FALSE),"")</f>
        <v>8 - DESPESAS FINANCEIRAS</v>
      </c>
      <c r="K3472" s="77" t="str">
        <f>IFERROR(VLOOKUP(DESPESAS[[#This Row],[Plano de Contas]],BASE!$B$3:$H$119,5,FALSE),"")</f>
        <v>FINANCEIRO</v>
      </c>
      <c r="L3472" s="77">
        <f>IFERROR(VLOOKUP(DESPESAS[[#This Row],[Plano de Contas]],BASE!$B$3:$H$119,6,FALSE),"")</f>
        <v>0</v>
      </c>
      <c r="M3472" s="77" t="str">
        <f>VLOOKUP(DESPESAS[[#This Row],[Plano de Contas]],BASE!$B$3:$H$119,7,FALSE)</f>
        <v>LETÍCIA</v>
      </c>
    </row>
    <row r="3473" spans="1:13" x14ac:dyDescent="0.25">
      <c r="A3473" s="74">
        <v>200685</v>
      </c>
      <c r="B3473" s="75" t="s">
        <v>232</v>
      </c>
      <c r="C3473" s="75" t="s">
        <v>477</v>
      </c>
      <c r="D3473" s="76">
        <v>46128</v>
      </c>
      <c r="E3473" s="75" t="s">
        <v>230</v>
      </c>
      <c r="F3473" s="74">
        <v>376.01</v>
      </c>
      <c r="G3473" s="75" t="s">
        <v>251</v>
      </c>
      <c r="H3473" s="77" t="str">
        <f>VLOOKUP(DESPESAS[[#This Row],[Plano de Contas]],BASE!$B$3:$D$119,3,FALSE)</f>
        <v>Juros Pagos - Antecipação de Crédito</v>
      </c>
      <c r="I3473" s="77" t="str">
        <f>IFERROR(VLOOKUP(DESPESAS[[#This Row],[Fornecedor]],Tabela2[],2,FALSE),"")</f>
        <v/>
      </c>
      <c r="J3473" s="77" t="str">
        <f>IFERROR(VLOOKUP(DESPESAS[[#This Row],[Plano de Contas]],BASE!$B$3:$F$119,4,FALSE),"")</f>
        <v>8 - DESPESAS FINANCEIRAS</v>
      </c>
      <c r="K3473" s="77" t="str">
        <f>IFERROR(VLOOKUP(DESPESAS[[#This Row],[Plano de Contas]],BASE!$B$3:$H$119,5,FALSE),"")</f>
        <v>FINANCEIRO</v>
      </c>
      <c r="L3473" s="77">
        <f>IFERROR(VLOOKUP(DESPESAS[[#This Row],[Plano de Contas]],BASE!$B$3:$H$119,6,FALSE),"")</f>
        <v>0</v>
      </c>
      <c r="M3473" s="77" t="str">
        <f>VLOOKUP(DESPESAS[[#This Row],[Plano de Contas]],BASE!$B$3:$H$119,7,FALSE)</f>
        <v>LETÍCIA</v>
      </c>
    </row>
    <row r="3474" spans="1:13" x14ac:dyDescent="0.25">
      <c r="A3474" s="74">
        <v>200686</v>
      </c>
      <c r="B3474" s="75" t="s">
        <v>232</v>
      </c>
      <c r="C3474" s="75" t="s">
        <v>476</v>
      </c>
      <c r="D3474" s="76">
        <v>46128</v>
      </c>
      <c r="E3474" s="75" t="s">
        <v>475</v>
      </c>
      <c r="F3474" s="74">
        <v>1310.5</v>
      </c>
      <c r="G3474" s="75" t="s">
        <v>244</v>
      </c>
      <c r="H3474" s="77" t="str">
        <f>VLOOKUP(DESPESAS[[#This Row],[Plano de Contas]],BASE!$B$3:$D$119,3,FALSE)</f>
        <v>Material de Expediente (Prod)</v>
      </c>
      <c r="I3474" s="77" t="str">
        <f>IFERROR(VLOOKUP(DESPESAS[[#This Row],[Fornecedor]],Tabela2[],2,FALSE),"")</f>
        <v/>
      </c>
      <c r="J3474" s="77" t="str">
        <f>IFERROR(VLOOKUP(DESPESAS[[#This Row],[Plano de Contas]],BASE!$B$3:$F$119,4,FALSE),"")</f>
        <v>2 - CUSTOS DIRETOS</v>
      </c>
      <c r="K3474" s="77" t="str">
        <f>IFERROR(VLOOKUP(DESPESAS[[#This Row],[Plano de Contas]],BASE!$B$3:$H$119,5,FALSE),"")</f>
        <v>PRODUÇÃO</v>
      </c>
      <c r="L3474" s="77">
        <f>IFERROR(VLOOKUP(DESPESAS[[#This Row],[Plano de Contas]],BASE!$B$3:$H$119,6,FALSE),"")</f>
        <v>0</v>
      </c>
      <c r="M3474" s="77" t="str">
        <f>VLOOKUP(DESPESAS[[#This Row],[Plano de Contas]],BASE!$B$3:$H$119,7,FALSE)</f>
        <v>RAFAEL</v>
      </c>
    </row>
    <row r="3475" spans="1:13" x14ac:dyDescent="0.25">
      <c r="A3475" s="74">
        <v>200688</v>
      </c>
      <c r="B3475" s="75" t="s">
        <v>232</v>
      </c>
      <c r="C3475" s="75" t="s">
        <v>373</v>
      </c>
      <c r="D3475" s="76">
        <v>46128</v>
      </c>
      <c r="E3475" s="75" t="s">
        <v>474</v>
      </c>
      <c r="F3475" s="74">
        <v>9536.2800000000007</v>
      </c>
      <c r="G3475" s="75" t="s">
        <v>473</v>
      </c>
      <c r="H3475" s="77" t="str">
        <f>VLOOKUP(DESPESAS[[#This Row],[Plano de Contas]],BASE!$B$3:$D$119,3,FALSE)</f>
        <v>Rescisões (Adm)</v>
      </c>
      <c r="I3475" s="77" t="str">
        <f>IFERROR(VLOOKUP(DESPESAS[[#This Row],[Fornecedor]],Tabela2[],2,FALSE),"")</f>
        <v/>
      </c>
      <c r="J3475" s="77" t="str">
        <f>IFERROR(VLOOKUP(DESPESAS[[#This Row],[Plano de Contas]],BASE!$B$3:$F$119,4,FALSE),"")</f>
        <v>4 - GASTOS COM PESSOAL</v>
      </c>
      <c r="K3475" s="77" t="str">
        <f>IFERROR(VLOOKUP(DESPESAS[[#This Row],[Plano de Contas]],BASE!$B$3:$H$119,5,FALSE),"")</f>
        <v>DH</v>
      </c>
      <c r="L3475" s="77">
        <f>IFERROR(VLOOKUP(DESPESAS[[#This Row],[Plano de Contas]],BASE!$B$3:$H$119,6,FALSE),"")</f>
        <v>0</v>
      </c>
      <c r="M3475" s="77" t="str">
        <f>VLOOKUP(DESPESAS[[#This Row],[Plano de Contas]],BASE!$B$3:$H$119,7,FALSE)</f>
        <v>RAFAEL</v>
      </c>
    </row>
    <row r="3476" spans="1:13" x14ac:dyDescent="0.25">
      <c r="A3476" s="74">
        <v>200689</v>
      </c>
      <c r="B3476" s="75" t="s">
        <v>232</v>
      </c>
      <c r="C3476" s="75" t="s">
        <v>372</v>
      </c>
      <c r="D3476" s="76">
        <v>46128</v>
      </c>
      <c r="E3476" s="75" t="s">
        <v>474</v>
      </c>
      <c r="F3476" s="74">
        <v>2881.07</v>
      </c>
      <c r="G3476" s="75" t="s">
        <v>473</v>
      </c>
      <c r="H3476" s="77" t="str">
        <f>VLOOKUP(DESPESAS[[#This Row],[Plano de Contas]],BASE!$B$3:$D$119,3,FALSE)</f>
        <v>Rescisões (Adm)</v>
      </c>
      <c r="I3476" s="77" t="str">
        <f>IFERROR(VLOOKUP(DESPESAS[[#This Row],[Fornecedor]],Tabela2[],2,FALSE),"")</f>
        <v/>
      </c>
      <c r="J3476" s="77" t="str">
        <f>IFERROR(VLOOKUP(DESPESAS[[#This Row],[Plano de Contas]],BASE!$B$3:$F$119,4,FALSE),"")</f>
        <v>4 - GASTOS COM PESSOAL</v>
      </c>
      <c r="K3476" s="77" t="str">
        <f>IFERROR(VLOOKUP(DESPESAS[[#This Row],[Plano de Contas]],BASE!$B$3:$H$119,5,FALSE),"")</f>
        <v>DH</v>
      </c>
      <c r="L3476" s="77">
        <f>IFERROR(VLOOKUP(DESPESAS[[#This Row],[Plano de Contas]],BASE!$B$3:$H$119,6,FALSE),"")</f>
        <v>0</v>
      </c>
      <c r="M3476" s="77" t="str">
        <f>VLOOKUP(DESPESAS[[#This Row],[Plano de Contas]],BASE!$B$3:$H$119,7,FALSE)</f>
        <v>RAFAEL</v>
      </c>
    </row>
    <row r="3477" spans="1:13" x14ac:dyDescent="0.25">
      <c r="A3477" s="74">
        <v>200690</v>
      </c>
      <c r="B3477" s="75" t="s">
        <v>232</v>
      </c>
      <c r="C3477" s="75" t="s">
        <v>472</v>
      </c>
      <c r="D3477" s="76">
        <v>46128</v>
      </c>
      <c r="E3477" s="75" t="s">
        <v>471</v>
      </c>
      <c r="F3477" s="74">
        <v>510</v>
      </c>
      <c r="G3477" s="75" t="s">
        <v>470</v>
      </c>
      <c r="H3477" s="77" t="str">
        <f>VLOOKUP(DESPESAS[[#This Row],[Plano de Contas]],BASE!$B$3:$D$119,3,FALSE)</f>
        <v>Desenvolvimento de Novos Produtos</v>
      </c>
      <c r="I3477" s="77" t="str">
        <f>IFERROR(VLOOKUP(DESPESAS[[#This Row],[Fornecedor]],Tabela2[],2,FALSE),"")</f>
        <v/>
      </c>
      <c r="J3477" s="77" t="str">
        <f>IFERROR(VLOOKUP(DESPESAS[[#This Row],[Plano de Contas]],BASE!$B$3:$F$119,4,FALSE),"")</f>
        <v>6 - DESPESA COM VENDAS</v>
      </c>
      <c r="K3477" s="77" t="str">
        <f>IFERROR(VLOOKUP(DESPESAS[[#This Row],[Plano de Contas]],BASE!$B$3:$H$119,5,FALSE),"")</f>
        <v>DESENVOLVIMENTO</v>
      </c>
      <c r="L3477" s="77">
        <f>IFERROR(VLOOKUP(DESPESAS[[#This Row],[Plano de Contas]],BASE!$B$3:$H$119,6,FALSE),"")</f>
        <v>0</v>
      </c>
      <c r="M3477" s="77" t="str">
        <f>VLOOKUP(DESPESAS[[#This Row],[Plano de Contas]],BASE!$B$3:$H$119,7,FALSE)</f>
        <v>RAFAEL</v>
      </c>
    </row>
    <row r="3478" spans="1:13" x14ac:dyDescent="0.25">
      <c r="A3478" s="74">
        <v>200691</v>
      </c>
      <c r="B3478" s="75" t="s">
        <v>281</v>
      </c>
      <c r="C3478" s="75" t="s">
        <v>432</v>
      </c>
      <c r="D3478" s="76">
        <v>46128</v>
      </c>
      <c r="E3478" s="75" t="s">
        <v>469</v>
      </c>
      <c r="F3478" s="74">
        <v>500</v>
      </c>
      <c r="G3478" s="75" t="s">
        <v>430</v>
      </c>
      <c r="H3478" s="77" t="str">
        <f>VLOOKUP(DESPESAS[[#This Row],[Plano de Contas]],BASE!$B$3:$D$119,3,FALSE)</f>
        <v>Salarios e Ordenados MOD</v>
      </c>
      <c r="I3478" s="77" t="str">
        <f>IFERROR(VLOOKUP(DESPESAS[[#This Row],[Fornecedor]],Tabela2[],2,FALSE),"")</f>
        <v/>
      </c>
      <c r="J3478" s="77" t="str">
        <f>IFERROR(VLOOKUP(DESPESAS[[#This Row],[Plano de Contas]],BASE!$B$3:$F$119,4,FALSE),"")</f>
        <v>2 - CUSTOS DIRETOS</v>
      </c>
      <c r="K3478" s="77" t="str">
        <f>IFERROR(VLOOKUP(DESPESAS[[#This Row],[Plano de Contas]],BASE!$B$3:$H$119,5,FALSE),"")</f>
        <v>DH</v>
      </c>
      <c r="L3478" s="77" t="str">
        <f>IFERROR(VLOOKUP(DESPESAS[[#This Row],[Plano de Contas]],BASE!$B$3:$H$119,6,FALSE),"")</f>
        <v>CUSTO MÃO DE OBRA DIRETA</v>
      </c>
      <c r="M3478" s="77" t="str">
        <f>VLOOKUP(DESPESAS[[#This Row],[Plano de Contas]],BASE!$B$3:$H$119,7,FALSE)</f>
        <v>RAFAEL</v>
      </c>
    </row>
    <row r="3479" spans="1:13" x14ac:dyDescent="0.25">
      <c r="A3479" s="74">
        <v>200694</v>
      </c>
      <c r="B3479" s="75" t="s">
        <v>221</v>
      </c>
      <c r="C3479" s="75" t="s">
        <v>468</v>
      </c>
      <c r="D3479" s="76">
        <v>46128</v>
      </c>
      <c r="E3479" s="75" t="s">
        <v>467</v>
      </c>
      <c r="F3479" s="74">
        <v>30</v>
      </c>
      <c r="G3479" s="75" t="s">
        <v>225</v>
      </c>
      <c r="H3479" s="77" t="str">
        <f>VLOOKUP(DESPESAS[[#This Row],[Plano de Contas]],BASE!$B$3:$D$119,3,FALSE)</f>
        <v>Despesas de Outros Gastos Não Operacionais</v>
      </c>
      <c r="I3479" s="77" t="str">
        <f>IFERROR(VLOOKUP(DESPESAS[[#This Row],[Fornecedor]],Tabela2[],2,FALSE),"")</f>
        <v/>
      </c>
      <c r="J3479" s="77" t="str">
        <f>IFERROR(VLOOKUP(DESPESAS[[#This Row],[Plano de Contas]],BASE!$B$3:$F$119,4,FALSE),"")</f>
        <v>8 - DESPESAS FINANCEIRAS</v>
      </c>
      <c r="K3479" s="77" t="str">
        <f>IFERROR(VLOOKUP(DESPESAS[[#This Row],[Plano de Contas]],BASE!$B$3:$H$119,5,FALSE),"")</f>
        <v>FINANCEIRO</v>
      </c>
      <c r="L3479" s="77">
        <f>IFERROR(VLOOKUP(DESPESAS[[#This Row],[Plano de Contas]],BASE!$B$3:$H$119,6,FALSE),"")</f>
        <v>0</v>
      </c>
      <c r="M3479" s="77" t="str">
        <f>VLOOKUP(DESPESAS[[#This Row],[Plano de Contas]],BASE!$B$3:$H$119,7,FALSE)</f>
        <v>LETÍCIA</v>
      </c>
    </row>
    <row r="3480" spans="1:13" x14ac:dyDescent="0.25">
      <c r="A3480" s="74">
        <v>200696</v>
      </c>
      <c r="B3480" s="75" t="s">
        <v>232</v>
      </c>
      <c r="C3480" s="75" t="s">
        <v>466</v>
      </c>
      <c r="D3480" s="76">
        <v>46129</v>
      </c>
      <c r="E3480" s="75" t="s">
        <v>327</v>
      </c>
      <c r="F3480" s="74">
        <v>136.03</v>
      </c>
      <c r="G3480" s="75" t="s">
        <v>326</v>
      </c>
      <c r="H3480" s="77" t="str">
        <f>VLOOKUP(DESPESAS[[#This Row],[Plano de Contas]],BASE!$B$3:$D$119,3,FALSE)</f>
        <v>Frete sobre Compras</v>
      </c>
      <c r="I3480" s="77" t="str">
        <f>IFERROR(VLOOKUP(DESPESAS[[#This Row],[Fornecedor]],Tabela2[],2,FALSE),"")</f>
        <v>SERVIÇOS FRETE</v>
      </c>
      <c r="J3480" s="77" t="str">
        <f>IFERROR(VLOOKUP(DESPESAS[[#This Row],[Plano de Contas]],BASE!$B$3:$F$119,4,FALSE),"")</f>
        <v>1 - CPV</v>
      </c>
      <c r="K3480" s="77" t="str">
        <f>IFERROR(VLOOKUP(DESPESAS[[#This Row],[Plano de Contas]],BASE!$B$3:$H$119,5,FALSE),"")</f>
        <v>COMPRAS</v>
      </c>
      <c r="L3480" s="77">
        <f>IFERROR(VLOOKUP(DESPESAS[[#This Row],[Plano de Contas]],BASE!$B$3:$H$119,6,FALSE),"")</f>
        <v>0</v>
      </c>
      <c r="M3480" s="77" t="str">
        <f>VLOOKUP(DESPESAS[[#This Row],[Plano de Contas]],BASE!$B$3:$H$119,7,FALSE)</f>
        <v>MYLENA</v>
      </c>
    </row>
    <row r="3481" spans="1:13" x14ac:dyDescent="0.25">
      <c r="A3481" s="74">
        <v>200697</v>
      </c>
      <c r="B3481" s="75" t="s">
        <v>232</v>
      </c>
      <c r="C3481" s="75" t="s">
        <v>465</v>
      </c>
      <c r="D3481" s="76">
        <v>46129</v>
      </c>
      <c r="E3481" s="75" t="s">
        <v>327</v>
      </c>
      <c r="F3481" s="74">
        <v>124.92</v>
      </c>
      <c r="G3481" s="75" t="s">
        <v>326</v>
      </c>
      <c r="H3481" s="77" t="str">
        <f>VLOOKUP(DESPESAS[[#This Row],[Plano de Contas]],BASE!$B$3:$D$119,3,FALSE)</f>
        <v>Frete sobre Compras</v>
      </c>
      <c r="I3481" s="77" t="str">
        <f>IFERROR(VLOOKUP(DESPESAS[[#This Row],[Fornecedor]],Tabela2[],2,FALSE),"")</f>
        <v>SERVIÇOS FRETE</v>
      </c>
      <c r="J3481" s="77" t="str">
        <f>IFERROR(VLOOKUP(DESPESAS[[#This Row],[Plano de Contas]],BASE!$B$3:$F$119,4,FALSE),"")</f>
        <v>1 - CPV</v>
      </c>
      <c r="K3481" s="77" t="str">
        <f>IFERROR(VLOOKUP(DESPESAS[[#This Row],[Plano de Contas]],BASE!$B$3:$H$119,5,FALSE),"")</f>
        <v>COMPRAS</v>
      </c>
      <c r="L3481" s="77">
        <f>IFERROR(VLOOKUP(DESPESAS[[#This Row],[Plano de Contas]],BASE!$B$3:$H$119,6,FALSE),"")</f>
        <v>0</v>
      </c>
      <c r="M3481" s="77" t="str">
        <f>VLOOKUP(DESPESAS[[#This Row],[Plano de Contas]],BASE!$B$3:$H$119,7,FALSE)</f>
        <v>MYLENA</v>
      </c>
    </row>
    <row r="3482" spans="1:13" x14ac:dyDescent="0.25">
      <c r="A3482" s="74">
        <v>200698</v>
      </c>
      <c r="B3482" s="75" t="s">
        <v>232</v>
      </c>
      <c r="C3482" s="75" t="s">
        <v>464</v>
      </c>
      <c r="D3482" s="76">
        <v>46129</v>
      </c>
      <c r="E3482" s="75" t="s">
        <v>327</v>
      </c>
      <c r="F3482" s="74">
        <v>342.01</v>
      </c>
      <c r="G3482" s="75" t="s">
        <v>326</v>
      </c>
      <c r="H3482" s="77" t="str">
        <f>VLOOKUP(DESPESAS[[#This Row],[Plano de Contas]],BASE!$B$3:$D$119,3,FALSE)</f>
        <v>Frete sobre Compras</v>
      </c>
      <c r="I3482" s="77" t="str">
        <f>IFERROR(VLOOKUP(DESPESAS[[#This Row],[Fornecedor]],Tabela2[],2,FALSE),"")</f>
        <v>SERVIÇOS FRETE</v>
      </c>
      <c r="J3482" s="77" t="str">
        <f>IFERROR(VLOOKUP(DESPESAS[[#This Row],[Plano de Contas]],BASE!$B$3:$F$119,4,FALSE),"")</f>
        <v>1 - CPV</v>
      </c>
      <c r="K3482" s="77" t="str">
        <f>IFERROR(VLOOKUP(DESPESAS[[#This Row],[Plano de Contas]],BASE!$B$3:$H$119,5,FALSE),"")</f>
        <v>COMPRAS</v>
      </c>
      <c r="L3482" s="77">
        <f>IFERROR(VLOOKUP(DESPESAS[[#This Row],[Plano de Contas]],BASE!$B$3:$H$119,6,FALSE),"")</f>
        <v>0</v>
      </c>
      <c r="M3482" s="77" t="str">
        <f>VLOOKUP(DESPESAS[[#This Row],[Plano de Contas]],BASE!$B$3:$H$119,7,FALSE)</f>
        <v>MYLENA</v>
      </c>
    </row>
    <row r="3483" spans="1:13" x14ac:dyDescent="0.25">
      <c r="A3483" s="74">
        <v>200699</v>
      </c>
      <c r="B3483" s="75" t="s">
        <v>232</v>
      </c>
      <c r="C3483" s="75" t="s">
        <v>463</v>
      </c>
      <c r="D3483" s="76">
        <v>46129</v>
      </c>
      <c r="E3483" s="75" t="s">
        <v>409</v>
      </c>
      <c r="F3483" s="74">
        <v>151.1</v>
      </c>
      <c r="G3483" s="75" t="s">
        <v>326</v>
      </c>
      <c r="H3483" s="77" t="str">
        <f>VLOOKUP(DESPESAS[[#This Row],[Plano de Contas]],BASE!$B$3:$D$119,3,FALSE)</f>
        <v>Frete sobre Compras</v>
      </c>
      <c r="I3483" s="77" t="str">
        <f>IFERROR(VLOOKUP(DESPESAS[[#This Row],[Fornecedor]],Tabela2[],2,FALSE),"")</f>
        <v>SERVIÇOS FRETE</v>
      </c>
      <c r="J3483" s="77" t="str">
        <f>IFERROR(VLOOKUP(DESPESAS[[#This Row],[Plano de Contas]],BASE!$B$3:$F$119,4,FALSE),"")</f>
        <v>1 - CPV</v>
      </c>
      <c r="K3483" s="77" t="str">
        <f>IFERROR(VLOOKUP(DESPESAS[[#This Row],[Plano de Contas]],BASE!$B$3:$H$119,5,FALSE),"")</f>
        <v>COMPRAS</v>
      </c>
      <c r="L3483" s="77">
        <f>IFERROR(VLOOKUP(DESPESAS[[#This Row],[Plano de Contas]],BASE!$B$3:$H$119,6,FALSE),"")</f>
        <v>0</v>
      </c>
      <c r="M3483" s="77" t="str">
        <f>VLOOKUP(DESPESAS[[#This Row],[Plano de Contas]],BASE!$B$3:$H$119,7,FALSE)</f>
        <v>MYLENA</v>
      </c>
    </row>
    <row r="3484" spans="1:13" x14ac:dyDescent="0.25">
      <c r="A3484" s="74">
        <v>200700</v>
      </c>
      <c r="B3484" s="75" t="s">
        <v>232</v>
      </c>
      <c r="C3484" s="75" t="s">
        <v>462</v>
      </c>
      <c r="D3484" s="76">
        <v>46129</v>
      </c>
      <c r="E3484" s="75" t="s">
        <v>461</v>
      </c>
      <c r="F3484" s="74">
        <v>1</v>
      </c>
      <c r="G3484" s="75" t="s">
        <v>326</v>
      </c>
      <c r="H3484" s="77" t="str">
        <f>VLOOKUP(DESPESAS[[#This Row],[Plano de Contas]],BASE!$B$3:$D$119,3,FALSE)</f>
        <v>Frete sobre Compras</v>
      </c>
      <c r="I3484" s="77" t="str">
        <f>IFERROR(VLOOKUP(DESPESAS[[#This Row],[Fornecedor]],Tabela2[],2,FALSE),"")</f>
        <v/>
      </c>
      <c r="J3484" s="77" t="str">
        <f>IFERROR(VLOOKUP(DESPESAS[[#This Row],[Plano de Contas]],BASE!$B$3:$F$119,4,FALSE),"")</f>
        <v>1 - CPV</v>
      </c>
      <c r="K3484" s="77" t="str">
        <f>IFERROR(VLOOKUP(DESPESAS[[#This Row],[Plano de Contas]],BASE!$B$3:$H$119,5,FALSE),"")</f>
        <v>COMPRAS</v>
      </c>
      <c r="L3484" s="77">
        <f>IFERROR(VLOOKUP(DESPESAS[[#This Row],[Plano de Contas]],BASE!$B$3:$H$119,6,FALSE),"")</f>
        <v>0</v>
      </c>
      <c r="M3484" s="77" t="str">
        <f>VLOOKUP(DESPESAS[[#This Row],[Plano de Contas]],BASE!$B$3:$H$119,7,FALSE)</f>
        <v>MYLENA</v>
      </c>
    </row>
    <row r="3485" spans="1:13" x14ac:dyDescent="0.25">
      <c r="A3485" s="74">
        <v>200701</v>
      </c>
      <c r="B3485" s="75" t="s">
        <v>232</v>
      </c>
      <c r="C3485" s="75" t="s">
        <v>460</v>
      </c>
      <c r="D3485" s="76">
        <v>46128</v>
      </c>
      <c r="E3485" s="75" t="s">
        <v>230</v>
      </c>
      <c r="F3485" s="74">
        <v>19.75</v>
      </c>
      <c r="G3485" s="75" t="s">
        <v>236</v>
      </c>
      <c r="H3485" s="77" t="str">
        <f>VLOOKUP(DESPESAS[[#This Row],[Plano de Contas]],BASE!$B$3:$D$119,3,FALSE)</f>
        <v>Despesas de Cobranca</v>
      </c>
      <c r="I3485" s="77" t="str">
        <f>IFERROR(VLOOKUP(DESPESAS[[#This Row],[Fornecedor]],Tabela2[],2,FALSE),"")</f>
        <v/>
      </c>
      <c r="J3485" s="77" t="str">
        <f>IFERROR(VLOOKUP(DESPESAS[[#This Row],[Plano de Contas]],BASE!$B$3:$F$119,4,FALSE),"")</f>
        <v>8 - DESPESAS FINANCEIRAS</v>
      </c>
      <c r="K3485" s="77" t="str">
        <f>IFERROR(VLOOKUP(DESPESAS[[#This Row],[Plano de Contas]],BASE!$B$3:$H$119,5,FALSE),"")</f>
        <v>FINANCEIRO</v>
      </c>
      <c r="L3485" s="77">
        <f>IFERROR(VLOOKUP(DESPESAS[[#This Row],[Plano de Contas]],BASE!$B$3:$H$119,6,FALSE),"")</f>
        <v>0</v>
      </c>
      <c r="M3485" s="77" t="str">
        <f>VLOOKUP(DESPESAS[[#This Row],[Plano de Contas]],BASE!$B$3:$H$119,7,FALSE)</f>
        <v>LETÍCIA</v>
      </c>
    </row>
    <row r="3486" spans="1:13" x14ac:dyDescent="0.25">
      <c r="A3486" s="74">
        <v>200702</v>
      </c>
      <c r="B3486" s="75" t="s">
        <v>232</v>
      </c>
      <c r="C3486" s="75" t="s">
        <v>459</v>
      </c>
      <c r="D3486" s="76">
        <v>46129</v>
      </c>
      <c r="E3486" s="75" t="s">
        <v>230</v>
      </c>
      <c r="F3486" s="74">
        <v>0.64</v>
      </c>
      <c r="G3486" s="75" t="s">
        <v>229</v>
      </c>
      <c r="H3486" s="77" t="str">
        <f>VLOOKUP(DESPESAS[[#This Row],[Plano de Contas]],BASE!$B$3:$D$119,3,FALSE)</f>
        <v>Despesas Bancarias</v>
      </c>
      <c r="I3486" s="77" t="str">
        <f>IFERROR(VLOOKUP(DESPESAS[[#This Row],[Fornecedor]],Tabela2[],2,FALSE),"")</f>
        <v/>
      </c>
      <c r="J3486" s="77" t="str">
        <f>IFERROR(VLOOKUP(DESPESAS[[#This Row],[Plano de Contas]],BASE!$B$3:$F$119,4,FALSE),"")</f>
        <v>8 - DESPESAS FINANCEIRAS</v>
      </c>
      <c r="K3486" s="77" t="str">
        <f>IFERROR(VLOOKUP(DESPESAS[[#This Row],[Plano de Contas]],BASE!$B$3:$H$119,5,FALSE),"")</f>
        <v>FINANCEIRO</v>
      </c>
      <c r="L3486" s="77">
        <f>IFERROR(VLOOKUP(DESPESAS[[#This Row],[Plano de Contas]],BASE!$B$3:$H$119,6,FALSE),"")</f>
        <v>0</v>
      </c>
      <c r="M3486" s="77" t="str">
        <f>VLOOKUP(DESPESAS[[#This Row],[Plano de Contas]],BASE!$B$3:$H$119,7,FALSE)</f>
        <v>LETÍCIA</v>
      </c>
    </row>
    <row r="3487" spans="1:13" x14ac:dyDescent="0.25">
      <c r="A3487" s="74">
        <v>200703</v>
      </c>
      <c r="B3487" s="75" t="s">
        <v>232</v>
      </c>
      <c r="C3487" s="75" t="s">
        <v>458</v>
      </c>
      <c r="D3487" s="76">
        <v>46128</v>
      </c>
      <c r="E3487" s="75" t="s">
        <v>230</v>
      </c>
      <c r="F3487" s="74">
        <v>156.22999999999999</v>
      </c>
      <c r="G3487" s="75" t="s">
        <v>356</v>
      </c>
      <c r="H3487" s="77" t="str">
        <f>VLOOKUP(DESPESAS[[#This Row],[Plano de Contas]],BASE!$B$3:$D$119,3,FALSE)</f>
        <v>Despesas Cartorárias</v>
      </c>
      <c r="I3487" s="77" t="str">
        <f>IFERROR(VLOOKUP(DESPESAS[[#This Row],[Fornecedor]],Tabela2[],2,FALSE),"")</f>
        <v/>
      </c>
      <c r="J3487" s="77" t="str">
        <f>IFERROR(VLOOKUP(DESPESAS[[#This Row],[Plano de Contas]],BASE!$B$3:$F$119,4,FALSE),"")</f>
        <v>5 - DESPESAS ADMINISTRATIVAS</v>
      </c>
      <c r="K3487" s="77" t="str">
        <f>IFERROR(VLOOKUP(DESPESAS[[#This Row],[Plano de Contas]],BASE!$B$3:$H$119,5,FALSE),"")</f>
        <v>FINANCEIRO</v>
      </c>
      <c r="L3487" s="77">
        <f>IFERROR(VLOOKUP(DESPESAS[[#This Row],[Plano de Contas]],BASE!$B$3:$H$119,6,FALSE),"")</f>
        <v>0</v>
      </c>
      <c r="M3487" s="77" t="str">
        <f>VLOOKUP(DESPESAS[[#This Row],[Plano de Contas]],BASE!$B$3:$H$119,7,FALSE)</f>
        <v>LETÍCIA</v>
      </c>
    </row>
    <row r="3488" spans="1:13" x14ac:dyDescent="0.25">
      <c r="A3488" s="74">
        <v>200704</v>
      </c>
      <c r="B3488" s="75" t="s">
        <v>232</v>
      </c>
      <c r="C3488" s="75" t="s">
        <v>457</v>
      </c>
      <c r="D3488" s="76">
        <v>46128</v>
      </c>
      <c r="E3488" s="75" t="s">
        <v>230</v>
      </c>
      <c r="F3488" s="74">
        <v>41.82</v>
      </c>
      <c r="G3488" s="75" t="s">
        <v>356</v>
      </c>
      <c r="H3488" s="77" t="str">
        <f>VLOOKUP(DESPESAS[[#This Row],[Plano de Contas]],BASE!$B$3:$D$119,3,FALSE)</f>
        <v>Despesas Cartorárias</v>
      </c>
      <c r="I3488" s="77" t="str">
        <f>IFERROR(VLOOKUP(DESPESAS[[#This Row],[Fornecedor]],Tabela2[],2,FALSE),"")</f>
        <v/>
      </c>
      <c r="J3488" s="77" t="str">
        <f>IFERROR(VLOOKUP(DESPESAS[[#This Row],[Plano de Contas]],BASE!$B$3:$F$119,4,FALSE),"")</f>
        <v>5 - DESPESAS ADMINISTRATIVAS</v>
      </c>
      <c r="K3488" s="77" t="str">
        <f>IFERROR(VLOOKUP(DESPESAS[[#This Row],[Plano de Contas]],BASE!$B$3:$H$119,5,FALSE),"")</f>
        <v>FINANCEIRO</v>
      </c>
      <c r="L3488" s="77">
        <f>IFERROR(VLOOKUP(DESPESAS[[#This Row],[Plano de Contas]],BASE!$B$3:$H$119,6,FALSE),"")</f>
        <v>0</v>
      </c>
      <c r="M3488" s="77" t="str">
        <f>VLOOKUP(DESPESAS[[#This Row],[Plano de Contas]],BASE!$B$3:$H$119,7,FALSE)</f>
        <v>LETÍCIA</v>
      </c>
    </row>
    <row r="3489" spans="1:13" x14ac:dyDescent="0.25">
      <c r="A3489" s="74">
        <v>200705</v>
      </c>
      <c r="B3489" s="75" t="s">
        <v>232</v>
      </c>
      <c r="C3489" s="75" t="s">
        <v>456</v>
      </c>
      <c r="D3489" s="76">
        <v>46128</v>
      </c>
      <c r="E3489" s="75" t="s">
        <v>230</v>
      </c>
      <c r="F3489" s="74">
        <v>13.3</v>
      </c>
      <c r="G3489" s="75" t="s">
        <v>229</v>
      </c>
      <c r="H3489" s="77" t="str">
        <f>VLOOKUP(DESPESAS[[#This Row],[Plano de Contas]],BASE!$B$3:$D$119,3,FALSE)</f>
        <v>Despesas Bancarias</v>
      </c>
      <c r="I3489" s="77" t="str">
        <f>IFERROR(VLOOKUP(DESPESAS[[#This Row],[Fornecedor]],Tabela2[],2,FALSE),"")</f>
        <v/>
      </c>
      <c r="J3489" s="77" t="str">
        <f>IFERROR(VLOOKUP(DESPESAS[[#This Row],[Plano de Contas]],BASE!$B$3:$F$119,4,FALSE),"")</f>
        <v>8 - DESPESAS FINANCEIRAS</v>
      </c>
      <c r="K3489" s="77" t="str">
        <f>IFERROR(VLOOKUP(DESPESAS[[#This Row],[Plano de Contas]],BASE!$B$3:$H$119,5,FALSE),"")</f>
        <v>FINANCEIRO</v>
      </c>
      <c r="L3489" s="77">
        <f>IFERROR(VLOOKUP(DESPESAS[[#This Row],[Plano de Contas]],BASE!$B$3:$H$119,6,FALSE),"")</f>
        <v>0</v>
      </c>
      <c r="M3489" s="77" t="str">
        <f>VLOOKUP(DESPESAS[[#This Row],[Plano de Contas]],BASE!$B$3:$H$119,7,FALSE)</f>
        <v>LETÍCIA</v>
      </c>
    </row>
    <row r="3490" spans="1:13" x14ac:dyDescent="0.25">
      <c r="A3490" s="74">
        <v>200706</v>
      </c>
      <c r="B3490" s="75" t="s">
        <v>232</v>
      </c>
      <c r="C3490" s="75" t="s">
        <v>455</v>
      </c>
      <c r="D3490" s="76">
        <v>46128</v>
      </c>
      <c r="E3490" s="75" t="s">
        <v>230</v>
      </c>
      <c r="F3490" s="74">
        <v>5</v>
      </c>
      <c r="G3490" s="75" t="s">
        <v>229</v>
      </c>
      <c r="H3490" s="77" t="str">
        <f>VLOOKUP(DESPESAS[[#This Row],[Plano de Contas]],BASE!$B$3:$D$119,3,FALSE)</f>
        <v>Despesas Bancarias</v>
      </c>
      <c r="I3490" s="77" t="str">
        <f>IFERROR(VLOOKUP(DESPESAS[[#This Row],[Fornecedor]],Tabela2[],2,FALSE),"")</f>
        <v/>
      </c>
      <c r="J3490" s="77" t="str">
        <f>IFERROR(VLOOKUP(DESPESAS[[#This Row],[Plano de Contas]],BASE!$B$3:$F$119,4,FALSE),"")</f>
        <v>8 - DESPESAS FINANCEIRAS</v>
      </c>
      <c r="K3490" s="77" t="str">
        <f>IFERROR(VLOOKUP(DESPESAS[[#This Row],[Plano de Contas]],BASE!$B$3:$H$119,5,FALSE),"")</f>
        <v>FINANCEIRO</v>
      </c>
      <c r="L3490" s="77">
        <f>IFERROR(VLOOKUP(DESPESAS[[#This Row],[Plano de Contas]],BASE!$B$3:$H$119,6,FALSE),"")</f>
        <v>0</v>
      </c>
      <c r="M3490" s="77" t="str">
        <f>VLOOKUP(DESPESAS[[#This Row],[Plano de Contas]],BASE!$B$3:$H$119,7,FALSE)</f>
        <v>LETÍCIA</v>
      </c>
    </row>
    <row r="3491" spans="1:13" x14ac:dyDescent="0.25">
      <c r="A3491" s="74">
        <v>200707</v>
      </c>
      <c r="B3491" s="75" t="s">
        <v>232</v>
      </c>
      <c r="C3491" s="75" t="s">
        <v>454</v>
      </c>
      <c r="D3491" s="76">
        <v>46128</v>
      </c>
      <c r="E3491" s="75" t="s">
        <v>230</v>
      </c>
      <c r="F3491" s="74">
        <v>0.79</v>
      </c>
      <c r="G3491" s="75" t="s">
        <v>229</v>
      </c>
      <c r="H3491" s="77" t="str">
        <f>VLOOKUP(DESPESAS[[#This Row],[Plano de Contas]],BASE!$B$3:$D$119,3,FALSE)</f>
        <v>Despesas Bancarias</v>
      </c>
      <c r="I3491" s="77" t="str">
        <f>IFERROR(VLOOKUP(DESPESAS[[#This Row],[Fornecedor]],Tabela2[],2,FALSE),"")</f>
        <v/>
      </c>
      <c r="J3491" s="77" t="str">
        <f>IFERROR(VLOOKUP(DESPESAS[[#This Row],[Plano de Contas]],BASE!$B$3:$F$119,4,FALSE),"")</f>
        <v>8 - DESPESAS FINANCEIRAS</v>
      </c>
      <c r="K3491" s="77" t="str">
        <f>IFERROR(VLOOKUP(DESPESAS[[#This Row],[Plano de Contas]],BASE!$B$3:$H$119,5,FALSE),"")</f>
        <v>FINANCEIRO</v>
      </c>
      <c r="L3491" s="77">
        <f>IFERROR(VLOOKUP(DESPESAS[[#This Row],[Plano de Contas]],BASE!$B$3:$H$119,6,FALSE),"")</f>
        <v>0</v>
      </c>
      <c r="M3491" s="77" t="str">
        <f>VLOOKUP(DESPESAS[[#This Row],[Plano de Contas]],BASE!$B$3:$H$119,7,FALSE)</f>
        <v>LETÍCIA</v>
      </c>
    </row>
    <row r="3492" spans="1:13" x14ac:dyDescent="0.25">
      <c r="A3492" s="74">
        <v>200708</v>
      </c>
      <c r="B3492" s="75" t="s">
        <v>221</v>
      </c>
      <c r="C3492" s="75" t="s">
        <v>453</v>
      </c>
      <c r="D3492" s="76">
        <v>46129</v>
      </c>
      <c r="E3492" s="75" t="s">
        <v>245</v>
      </c>
      <c r="F3492" s="74">
        <v>160</v>
      </c>
      <c r="G3492" s="75" t="s">
        <v>244</v>
      </c>
      <c r="H3492" s="77" t="str">
        <f>VLOOKUP(DESPESAS[[#This Row],[Plano de Contas]],BASE!$B$3:$D$119,3,FALSE)</f>
        <v>Material de Expediente (Prod)</v>
      </c>
      <c r="I3492" s="77" t="str">
        <f>IFERROR(VLOOKUP(DESPESAS[[#This Row],[Fornecedor]],Tabela2[],2,FALSE),"")</f>
        <v>FERRAGENS GERAIS</v>
      </c>
      <c r="J3492" s="77" t="str">
        <f>IFERROR(VLOOKUP(DESPESAS[[#This Row],[Plano de Contas]],BASE!$B$3:$F$119,4,FALSE),"")</f>
        <v>2 - CUSTOS DIRETOS</v>
      </c>
      <c r="K3492" s="77" t="str">
        <f>IFERROR(VLOOKUP(DESPESAS[[#This Row],[Plano de Contas]],BASE!$B$3:$H$119,5,FALSE),"")</f>
        <v>PRODUÇÃO</v>
      </c>
      <c r="L3492" s="77">
        <f>IFERROR(VLOOKUP(DESPESAS[[#This Row],[Plano de Contas]],BASE!$B$3:$H$119,6,FALSE),"")</f>
        <v>0</v>
      </c>
      <c r="M3492" s="77" t="str">
        <f>VLOOKUP(DESPESAS[[#This Row],[Plano de Contas]],BASE!$B$3:$H$119,7,FALSE)</f>
        <v>RAFAEL</v>
      </c>
    </row>
    <row r="3493" spans="1:13" x14ac:dyDescent="0.25">
      <c r="A3493" s="74">
        <v>200709</v>
      </c>
      <c r="B3493" s="75" t="s">
        <v>221</v>
      </c>
      <c r="C3493" s="75" t="s">
        <v>452</v>
      </c>
      <c r="D3493" s="76">
        <v>46129</v>
      </c>
      <c r="E3493" s="75" t="s">
        <v>256</v>
      </c>
      <c r="F3493" s="74">
        <v>1476.2</v>
      </c>
      <c r="G3493" s="75" t="s">
        <v>255</v>
      </c>
      <c r="H3493" s="77" t="str">
        <f>VLOOKUP(DESPESAS[[#This Row],[Plano de Contas]],BASE!$B$3:$D$119,3,FALSE)</f>
        <v>Mostruário de Tecido</v>
      </c>
      <c r="I3493" s="77" t="str">
        <f>IFERROR(VLOOKUP(DESPESAS[[#This Row],[Fornecedor]],Tabela2[],2,FALSE),"")</f>
        <v/>
      </c>
      <c r="J3493" s="77" t="str">
        <f>IFERROR(VLOOKUP(DESPESAS[[#This Row],[Plano de Contas]],BASE!$B$3:$F$119,4,FALSE),"")</f>
        <v>6 - DESPESA COM VENDAS</v>
      </c>
      <c r="K3493" s="77" t="str">
        <f>IFERROR(VLOOKUP(DESPESAS[[#This Row],[Plano de Contas]],BASE!$B$3:$H$119,5,FALSE),"")</f>
        <v>COMERCIAL</v>
      </c>
      <c r="L3493" s="77">
        <f>IFERROR(VLOOKUP(DESPESAS[[#This Row],[Plano de Contas]],BASE!$B$3:$H$119,6,FALSE),"")</f>
        <v>0</v>
      </c>
      <c r="M3493" s="77" t="str">
        <f>VLOOKUP(DESPESAS[[#This Row],[Plano de Contas]],BASE!$B$3:$H$119,7,FALSE)</f>
        <v>LETÍCIA</v>
      </c>
    </row>
    <row r="3494" spans="1:13" x14ac:dyDescent="0.25">
      <c r="A3494" s="74">
        <v>200710</v>
      </c>
      <c r="B3494" s="75" t="s">
        <v>232</v>
      </c>
      <c r="C3494" s="75" t="s">
        <v>451</v>
      </c>
      <c r="D3494" s="76">
        <v>46129</v>
      </c>
      <c r="E3494" s="75" t="s">
        <v>327</v>
      </c>
      <c r="F3494" s="74">
        <v>514.1</v>
      </c>
      <c r="G3494" s="75" t="s">
        <v>326</v>
      </c>
      <c r="H3494" s="77" t="str">
        <f>VLOOKUP(DESPESAS[[#This Row],[Plano de Contas]],BASE!$B$3:$D$119,3,FALSE)</f>
        <v>Frete sobre Compras</v>
      </c>
      <c r="I3494" s="77" t="str">
        <f>IFERROR(VLOOKUP(DESPESAS[[#This Row],[Fornecedor]],Tabela2[],2,FALSE),"")</f>
        <v>SERVIÇOS FRETE</v>
      </c>
      <c r="J3494" s="77" t="str">
        <f>IFERROR(VLOOKUP(DESPESAS[[#This Row],[Plano de Contas]],BASE!$B$3:$F$119,4,FALSE),"")</f>
        <v>1 - CPV</v>
      </c>
      <c r="K3494" s="77" t="str">
        <f>IFERROR(VLOOKUP(DESPESAS[[#This Row],[Plano de Contas]],BASE!$B$3:$H$119,5,FALSE),"")</f>
        <v>COMPRAS</v>
      </c>
      <c r="L3494" s="77">
        <f>IFERROR(VLOOKUP(DESPESAS[[#This Row],[Plano de Contas]],BASE!$B$3:$H$119,6,FALSE),"")</f>
        <v>0</v>
      </c>
      <c r="M3494" s="77" t="str">
        <f>VLOOKUP(DESPESAS[[#This Row],[Plano de Contas]],BASE!$B$3:$H$119,7,FALSE)</f>
        <v>MYLENA</v>
      </c>
    </row>
    <row r="3495" spans="1:13" x14ac:dyDescent="0.25">
      <c r="A3495" s="74">
        <v>200711</v>
      </c>
      <c r="B3495" s="75" t="s">
        <v>221</v>
      </c>
      <c r="C3495" s="75" t="s">
        <v>450</v>
      </c>
      <c r="D3495" s="76">
        <v>46129</v>
      </c>
      <c r="E3495" s="75" t="s">
        <v>242</v>
      </c>
      <c r="F3495" s="74">
        <v>14.9</v>
      </c>
      <c r="G3495" s="75" t="s">
        <v>259</v>
      </c>
      <c r="H3495" s="77" t="str">
        <f>VLOOKUP(DESPESAS[[#This Row],[Plano de Contas]],BASE!$B$3:$D$119,3,FALSE)</f>
        <v>Manutenção Predial CIF</v>
      </c>
      <c r="I3495" s="77" t="str">
        <f>IFERROR(VLOOKUP(DESPESAS[[#This Row],[Fornecedor]],Tabela2[],2,FALSE),"")</f>
        <v/>
      </c>
      <c r="J3495" s="77" t="str">
        <f>IFERROR(VLOOKUP(DESPESAS[[#This Row],[Plano de Contas]],BASE!$B$3:$F$119,4,FALSE),"")</f>
        <v>3 - CUSTOS INDIRETOS</v>
      </c>
      <c r="K3495" s="77" t="str">
        <f>IFERROR(VLOOKUP(DESPESAS[[#This Row],[Plano de Contas]],BASE!$B$3:$H$119,5,FALSE),"")</f>
        <v>MANUTENÇÃO / TI</v>
      </c>
      <c r="L3495" s="77">
        <f>IFERROR(VLOOKUP(DESPESAS[[#This Row],[Plano de Contas]],BASE!$B$3:$H$119,6,FALSE),"")</f>
        <v>0</v>
      </c>
      <c r="M3495" s="77" t="str">
        <f>VLOOKUP(DESPESAS[[#This Row],[Plano de Contas]],BASE!$B$3:$H$119,7,FALSE)</f>
        <v>FÁBIO</v>
      </c>
    </row>
    <row r="3496" spans="1:13" x14ac:dyDescent="0.25">
      <c r="A3496" s="74">
        <v>200712</v>
      </c>
      <c r="B3496" s="75" t="s">
        <v>232</v>
      </c>
      <c r="C3496" s="75" t="s">
        <v>449</v>
      </c>
      <c r="D3496" s="76">
        <v>46129</v>
      </c>
      <c r="E3496" s="75" t="s">
        <v>327</v>
      </c>
      <c r="F3496" s="74">
        <v>184.49</v>
      </c>
      <c r="G3496" s="75" t="s">
        <v>326</v>
      </c>
      <c r="H3496" s="77" t="str">
        <f>VLOOKUP(DESPESAS[[#This Row],[Plano de Contas]],BASE!$B$3:$D$119,3,FALSE)</f>
        <v>Frete sobre Compras</v>
      </c>
      <c r="I3496" s="77" t="str">
        <f>IFERROR(VLOOKUP(DESPESAS[[#This Row],[Fornecedor]],Tabela2[],2,FALSE),"")</f>
        <v>SERVIÇOS FRETE</v>
      </c>
      <c r="J3496" s="77" t="str">
        <f>IFERROR(VLOOKUP(DESPESAS[[#This Row],[Plano de Contas]],BASE!$B$3:$F$119,4,FALSE),"")</f>
        <v>1 - CPV</v>
      </c>
      <c r="K3496" s="77" t="str">
        <f>IFERROR(VLOOKUP(DESPESAS[[#This Row],[Plano de Contas]],BASE!$B$3:$H$119,5,FALSE),"")</f>
        <v>COMPRAS</v>
      </c>
      <c r="L3496" s="77">
        <f>IFERROR(VLOOKUP(DESPESAS[[#This Row],[Plano de Contas]],BASE!$B$3:$H$119,6,FALSE),"")</f>
        <v>0</v>
      </c>
      <c r="M3496" s="77" t="str">
        <f>VLOOKUP(DESPESAS[[#This Row],[Plano de Contas]],BASE!$B$3:$H$119,7,FALSE)</f>
        <v>MYLENA</v>
      </c>
    </row>
    <row r="3497" spans="1:13" x14ac:dyDescent="0.25">
      <c r="A3497" s="74">
        <v>200713</v>
      </c>
      <c r="B3497" s="75" t="s">
        <v>221</v>
      </c>
      <c r="C3497" s="75" t="s">
        <v>448</v>
      </c>
      <c r="D3497" s="76">
        <v>46129</v>
      </c>
      <c r="E3497" s="75" t="s">
        <v>361</v>
      </c>
      <c r="F3497" s="74">
        <v>79.19</v>
      </c>
      <c r="G3497" s="75" t="s">
        <v>218</v>
      </c>
      <c r="H3497" s="77" t="str">
        <f>VLOOKUP(DESPESAS[[#This Row],[Plano de Contas]],BASE!$B$3:$D$119,3,FALSE)</f>
        <v>Manutenção de Equipamentos (Prod)</v>
      </c>
      <c r="I3497" s="77" t="str">
        <f>IFERROR(VLOOKUP(DESPESAS[[#This Row],[Fornecedor]],Tabela2[],2,FALSE),"")</f>
        <v/>
      </c>
      <c r="J3497" s="77" t="str">
        <f>IFERROR(VLOOKUP(DESPESAS[[#This Row],[Plano de Contas]],BASE!$B$3:$F$119,4,FALSE),"")</f>
        <v>3 - CUSTOS INDIRETOS</v>
      </c>
      <c r="K3497" s="77" t="str">
        <f>IFERROR(VLOOKUP(DESPESAS[[#This Row],[Plano de Contas]],BASE!$B$3:$H$119,5,FALSE),"")</f>
        <v>MANUTENÇÃO / TI</v>
      </c>
      <c r="L3497" s="77">
        <f>IFERROR(VLOOKUP(DESPESAS[[#This Row],[Plano de Contas]],BASE!$B$3:$H$119,6,FALSE),"")</f>
        <v>0</v>
      </c>
      <c r="M3497" s="77" t="str">
        <f>VLOOKUP(DESPESAS[[#This Row],[Plano de Contas]],BASE!$B$3:$H$119,7,FALSE)</f>
        <v>RAFAEL</v>
      </c>
    </row>
    <row r="3498" spans="1:13" x14ac:dyDescent="0.25">
      <c r="A3498" s="74">
        <v>200714</v>
      </c>
      <c r="B3498" s="75" t="s">
        <v>221</v>
      </c>
      <c r="C3498" s="75" t="s">
        <v>447</v>
      </c>
      <c r="D3498" s="76">
        <v>46129</v>
      </c>
      <c r="E3498" s="75" t="s">
        <v>446</v>
      </c>
      <c r="F3498" s="74">
        <v>143</v>
      </c>
      <c r="G3498" s="75" t="s">
        <v>374</v>
      </c>
      <c r="H3498" s="77" t="str">
        <f>VLOOKUP(DESPESAS[[#This Row],[Plano de Contas]],BASE!$B$3:$D$119,3,FALSE)</f>
        <v>Consultoria Empresarial</v>
      </c>
      <c r="I3498" s="77" t="str">
        <f>IFERROR(VLOOKUP(DESPESAS[[#This Row],[Fornecedor]],Tabela2[],2,FALSE),"")</f>
        <v/>
      </c>
      <c r="J3498" s="77" t="str">
        <f>IFERROR(VLOOKUP(DESPESAS[[#This Row],[Plano de Contas]],BASE!$B$3:$F$119,4,FALSE),"")</f>
        <v>7 - SERVIÇOS DE TERCEIROS</v>
      </c>
      <c r="K3498" s="77" t="str">
        <f>IFERROR(VLOOKUP(DESPESAS[[#This Row],[Plano de Contas]],BASE!$B$3:$H$119,5,FALSE),"")</f>
        <v>FINANCEIRO</v>
      </c>
      <c r="L3498" s="77">
        <f>IFERROR(VLOOKUP(DESPESAS[[#This Row],[Plano de Contas]],BASE!$B$3:$H$119,6,FALSE),"")</f>
        <v>0</v>
      </c>
      <c r="M3498" s="77" t="str">
        <f>VLOOKUP(DESPESAS[[#This Row],[Plano de Contas]],BASE!$B$3:$H$119,7,FALSE)</f>
        <v>LETÍCIA</v>
      </c>
    </row>
    <row r="3499" spans="1:13" x14ac:dyDescent="0.25">
      <c r="A3499" s="74">
        <v>200716</v>
      </c>
      <c r="B3499" s="75" t="s">
        <v>221</v>
      </c>
      <c r="C3499" s="75" t="s">
        <v>445</v>
      </c>
      <c r="D3499" s="76">
        <v>46129</v>
      </c>
      <c r="E3499" s="75" t="s">
        <v>230</v>
      </c>
      <c r="F3499" s="74">
        <v>9.9</v>
      </c>
      <c r="G3499" s="75" t="s">
        <v>229</v>
      </c>
      <c r="H3499" s="77" t="str">
        <f>VLOOKUP(DESPESAS[[#This Row],[Plano de Contas]],BASE!$B$3:$D$119,3,FALSE)</f>
        <v>Despesas Bancarias</v>
      </c>
      <c r="I3499" s="77" t="str">
        <f>IFERROR(VLOOKUP(DESPESAS[[#This Row],[Fornecedor]],Tabela2[],2,FALSE),"")</f>
        <v/>
      </c>
      <c r="J3499" s="77" t="str">
        <f>IFERROR(VLOOKUP(DESPESAS[[#This Row],[Plano de Contas]],BASE!$B$3:$F$119,4,FALSE),"")</f>
        <v>8 - DESPESAS FINANCEIRAS</v>
      </c>
      <c r="K3499" s="77" t="str">
        <f>IFERROR(VLOOKUP(DESPESAS[[#This Row],[Plano de Contas]],BASE!$B$3:$H$119,5,FALSE),"")</f>
        <v>FINANCEIRO</v>
      </c>
      <c r="L3499" s="77">
        <f>IFERROR(VLOOKUP(DESPESAS[[#This Row],[Plano de Contas]],BASE!$B$3:$H$119,6,FALSE),"")</f>
        <v>0</v>
      </c>
      <c r="M3499" s="77" t="str">
        <f>VLOOKUP(DESPESAS[[#This Row],[Plano de Contas]],BASE!$B$3:$H$119,7,FALSE)</f>
        <v>LETÍCIA</v>
      </c>
    </row>
    <row r="3500" spans="1:13" x14ac:dyDescent="0.25">
      <c r="A3500" s="74">
        <v>200717</v>
      </c>
      <c r="B3500" s="75" t="s">
        <v>221</v>
      </c>
      <c r="C3500" s="75" t="s">
        <v>444</v>
      </c>
      <c r="D3500" s="76">
        <v>46129</v>
      </c>
      <c r="E3500" s="75" t="s">
        <v>442</v>
      </c>
      <c r="F3500" s="74">
        <v>1990</v>
      </c>
      <c r="G3500" s="75" t="s">
        <v>262</v>
      </c>
      <c r="H3500" s="77" t="str">
        <f>VLOOKUP(DESPESAS[[#This Row],[Plano de Contas]],BASE!$B$3:$D$119,3,FALSE)</f>
        <v>Fretes Karams</v>
      </c>
      <c r="I3500" s="77" t="str">
        <f>IFERROR(VLOOKUP(DESPESAS[[#This Row],[Fornecedor]],Tabela2[],2,FALSE),"")</f>
        <v/>
      </c>
      <c r="J3500" s="77" t="str">
        <f>IFERROR(VLOOKUP(DESPESAS[[#This Row],[Plano de Contas]],BASE!$B$3:$F$119,4,FALSE),"")</f>
        <v>6 - DESPESA COM VENDAS</v>
      </c>
      <c r="K3500" s="77" t="str">
        <f>IFERROR(VLOOKUP(DESPESAS[[#This Row],[Plano de Contas]],BASE!$B$3:$H$119,5,FALSE),"")</f>
        <v>LOGÍSTICA</v>
      </c>
      <c r="L3500" s="77">
        <f>IFERROR(VLOOKUP(DESPESAS[[#This Row],[Plano de Contas]],BASE!$B$3:$H$119,6,FALSE),"")</f>
        <v>0</v>
      </c>
      <c r="M3500" s="77" t="str">
        <f>VLOOKUP(DESPESAS[[#This Row],[Plano de Contas]],BASE!$B$3:$H$119,7,FALSE)</f>
        <v>MYLENA</v>
      </c>
    </row>
    <row r="3501" spans="1:13" x14ac:dyDescent="0.25">
      <c r="A3501" s="74">
        <v>200718</v>
      </c>
      <c r="B3501" s="75" t="s">
        <v>221</v>
      </c>
      <c r="C3501" s="75" t="s">
        <v>443</v>
      </c>
      <c r="D3501" s="76">
        <v>46129</v>
      </c>
      <c r="E3501" s="75" t="s">
        <v>442</v>
      </c>
      <c r="F3501" s="74">
        <v>162.9</v>
      </c>
      <c r="G3501" s="75" t="s">
        <v>247</v>
      </c>
      <c r="H3501" s="77" t="str">
        <f>VLOOKUP(DESPESAS[[#This Row],[Plano de Contas]],BASE!$B$3:$D$119,3,FALSE)</f>
        <v>Manutenção com veiculos</v>
      </c>
      <c r="I3501" s="77" t="str">
        <f>IFERROR(VLOOKUP(DESPESAS[[#This Row],[Fornecedor]],Tabela2[],2,FALSE),"")</f>
        <v/>
      </c>
      <c r="J3501" s="77" t="str">
        <f>IFERROR(VLOOKUP(DESPESAS[[#This Row],[Plano de Contas]],BASE!$B$3:$F$119,4,FALSE),"")</f>
        <v>6 - DESPESA COM VENDAS</v>
      </c>
      <c r="K3501" s="77" t="str">
        <f>IFERROR(VLOOKUP(DESPESAS[[#This Row],[Plano de Contas]],BASE!$B$3:$H$119,5,FALSE),"")</f>
        <v>LOGÍSTICA</v>
      </c>
      <c r="L3501" s="77">
        <f>IFERROR(VLOOKUP(DESPESAS[[#This Row],[Plano de Contas]],BASE!$B$3:$H$119,6,FALSE),"")</f>
        <v>0</v>
      </c>
      <c r="M3501" s="77" t="str">
        <f>VLOOKUP(DESPESAS[[#This Row],[Plano de Contas]],BASE!$B$3:$H$119,7,FALSE)</f>
        <v>MYLENA</v>
      </c>
    </row>
    <row r="3502" spans="1:13" x14ac:dyDescent="0.25">
      <c r="A3502" s="74">
        <v>200719</v>
      </c>
      <c r="B3502" s="75" t="s">
        <v>221</v>
      </c>
      <c r="C3502" s="75" t="s">
        <v>441</v>
      </c>
      <c r="D3502" s="76">
        <v>46128</v>
      </c>
      <c r="E3502" s="75" t="s">
        <v>242</v>
      </c>
      <c r="F3502" s="74">
        <v>3594.84</v>
      </c>
      <c r="G3502" s="75" t="s">
        <v>241</v>
      </c>
      <c r="H3502" s="77" t="str">
        <f>VLOOKUP(DESPESAS[[#This Row],[Plano de Contas]],BASE!$B$3:$D$119,3,FALSE)</f>
        <v>Combustiveis Frota</v>
      </c>
      <c r="I3502" s="77" t="str">
        <f>IFERROR(VLOOKUP(DESPESAS[[#This Row],[Fornecedor]],Tabela2[],2,FALSE),"")</f>
        <v/>
      </c>
      <c r="J3502" s="77" t="str">
        <f>IFERROR(VLOOKUP(DESPESAS[[#This Row],[Plano de Contas]],BASE!$B$3:$F$119,4,FALSE),"")</f>
        <v>6 - DESPESA COM VENDAS</v>
      </c>
      <c r="K3502" s="77" t="str">
        <f>IFERROR(VLOOKUP(DESPESAS[[#This Row],[Plano de Contas]],BASE!$B$3:$H$119,5,FALSE),"")</f>
        <v>LOGÍSTICA</v>
      </c>
      <c r="L3502" s="77">
        <f>IFERROR(VLOOKUP(DESPESAS[[#This Row],[Plano de Contas]],BASE!$B$3:$H$119,6,FALSE),"")</f>
        <v>0</v>
      </c>
      <c r="M3502" s="77" t="str">
        <f>VLOOKUP(DESPESAS[[#This Row],[Plano de Contas]],BASE!$B$3:$H$119,7,FALSE)</f>
        <v>MYLENA</v>
      </c>
    </row>
    <row r="3503" spans="1:13" x14ac:dyDescent="0.25">
      <c r="A3503" s="74">
        <v>200720</v>
      </c>
      <c r="B3503" s="75" t="s">
        <v>232</v>
      </c>
      <c r="C3503" s="75" t="s">
        <v>440</v>
      </c>
      <c r="D3503" s="76">
        <v>46129</v>
      </c>
      <c r="E3503" s="75" t="s">
        <v>245</v>
      </c>
      <c r="F3503" s="74">
        <v>23</v>
      </c>
      <c r="G3503" s="75" t="s">
        <v>259</v>
      </c>
      <c r="H3503" s="77" t="str">
        <f>VLOOKUP(DESPESAS[[#This Row],[Plano de Contas]],BASE!$B$3:$D$119,3,FALSE)</f>
        <v>Manutenção Predial CIF</v>
      </c>
      <c r="I3503" s="77" t="str">
        <f>IFERROR(VLOOKUP(DESPESAS[[#This Row],[Fornecedor]],Tabela2[],2,FALSE),"")</f>
        <v>FERRAGENS GERAIS</v>
      </c>
      <c r="J3503" s="77" t="str">
        <f>IFERROR(VLOOKUP(DESPESAS[[#This Row],[Plano de Contas]],BASE!$B$3:$F$119,4,FALSE),"")</f>
        <v>3 - CUSTOS INDIRETOS</v>
      </c>
      <c r="K3503" s="77" t="str">
        <f>IFERROR(VLOOKUP(DESPESAS[[#This Row],[Plano de Contas]],BASE!$B$3:$H$119,5,FALSE),"")</f>
        <v>MANUTENÇÃO / TI</v>
      </c>
      <c r="L3503" s="77">
        <f>IFERROR(VLOOKUP(DESPESAS[[#This Row],[Plano de Contas]],BASE!$B$3:$H$119,6,FALSE),"")</f>
        <v>0</v>
      </c>
      <c r="M3503" s="77" t="str">
        <f>VLOOKUP(DESPESAS[[#This Row],[Plano de Contas]],BASE!$B$3:$H$119,7,FALSE)</f>
        <v>FÁBIO</v>
      </c>
    </row>
    <row r="3504" spans="1:13" x14ac:dyDescent="0.25">
      <c r="A3504" s="74">
        <v>200721</v>
      </c>
      <c r="B3504" s="75" t="s">
        <v>221</v>
      </c>
      <c r="C3504" s="75" t="s">
        <v>439</v>
      </c>
      <c r="D3504" s="76">
        <v>46129</v>
      </c>
      <c r="E3504" s="75" t="s">
        <v>245</v>
      </c>
      <c r="F3504" s="74">
        <v>73</v>
      </c>
      <c r="G3504" s="75" t="s">
        <v>331</v>
      </c>
      <c r="H3504" s="77" t="str">
        <f>VLOOKUP(DESPESAS[[#This Row],[Plano de Contas]],BASE!$B$3:$D$119,3,FALSE)</f>
        <v>Manutenção Predial (Adm)</v>
      </c>
      <c r="I3504" s="77" t="str">
        <f>IFERROR(VLOOKUP(DESPESAS[[#This Row],[Fornecedor]],Tabela2[],2,FALSE),"")</f>
        <v>FERRAGENS GERAIS</v>
      </c>
      <c r="J3504" s="77" t="str">
        <f>IFERROR(VLOOKUP(DESPESAS[[#This Row],[Plano de Contas]],BASE!$B$3:$F$119,4,FALSE),"")</f>
        <v>4 - GASTOS COM PESSOAL</v>
      </c>
      <c r="K3504" s="77" t="str">
        <f>IFERROR(VLOOKUP(DESPESAS[[#This Row],[Plano de Contas]],BASE!$B$3:$H$119,5,FALSE),"")</f>
        <v>MANUTENÇÃO / TI</v>
      </c>
      <c r="L3504" s="77">
        <f>IFERROR(VLOOKUP(DESPESAS[[#This Row],[Plano de Contas]],BASE!$B$3:$H$119,6,FALSE),"")</f>
        <v>0</v>
      </c>
      <c r="M3504" s="77" t="str">
        <f>VLOOKUP(DESPESAS[[#This Row],[Plano de Contas]],BASE!$B$3:$H$119,7,FALSE)</f>
        <v>FÁBIO</v>
      </c>
    </row>
    <row r="3505" spans="1:13" x14ac:dyDescent="0.25">
      <c r="A3505" s="74">
        <v>200722</v>
      </c>
      <c r="B3505" s="75" t="s">
        <v>232</v>
      </c>
      <c r="C3505" s="75" t="s">
        <v>438</v>
      </c>
      <c r="D3505" s="76">
        <v>46112</v>
      </c>
      <c r="E3505" s="75" t="s">
        <v>437</v>
      </c>
      <c r="F3505" s="74">
        <v>2381.64</v>
      </c>
      <c r="G3505" s="75" t="s">
        <v>436</v>
      </c>
      <c r="H3505" s="77" t="str">
        <f>VLOOKUP(DESPESAS[[#This Row],[Plano de Contas]],BASE!$B$3:$D$119,3,FALSE)</f>
        <v>FGTS (Adm)</v>
      </c>
      <c r="I3505" s="77" t="str">
        <f>IFERROR(VLOOKUP(DESPESAS[[#This Row],[Fornecedor]],Tabela2[],2,FALSE),"")</f>
        <v/>
      </c>
      <c r="J3505" s="77" t="str">
        <f>IFERROR(VLOOKUP(DESPESAS[[#This Row],[Plano de Contas]],BASE!$B$3:$F$119,4,FALSE),"")</f>
        <v>4 - GASTOS COM PESSOAL</v>
      </c>
      <c r="K3505" s="77" t="str">
        <f>IFERROR(VLOOKUP(DESPESAS[[#This Row],[Plano de Contas]],BASE!$B$3:$H$119,5,FALSE),"")</f>
        <v>DH</v>
      </c>
      <c r="L3505" s="77">
        <f>IFERROR(VLOOKUP(DESPESAS[[#This Row],[Plano de Contas]],BASE!$B$3:$H$119,6,FALSE),"")</f>
        <v>0</v>
      </c>
      <c r="M3505" s="77" t="str">
        <f>VLOOKUP(DESPESAS[[#This Row],[Plano de Contas]],BASE!$B$3:$H$119,7,FALSE)</f>
        <v>RAFAEL</v>
      </c>
    </row>
    <row r="3506" spans="1:13" x14ac:dyDescent="0.25">
      <c r="A3506" s="74">
        <v>200723</v>
      </c>
      <c r="B3506" s="75" t="s">
        <v>232</v>
      </c>
      <c r="C3506" s="75" t="s">
        <v>435</v>
      </c>
      <c r="D3506" s="76">
        <v>46129</v>
      </c>
      <c r="E3506" s="75" t="s">
        <v>230</v>
      </c>
      <c r="F3506" s="74">
        <v>114.23</v>
      </c>
      <c r="G3506" s="75" t="s">
        <v>229</v>
      </c>
      <c r="H3506" s="77" t="str">
        <f>VLOOKUP(DESPESAS[[#This Row],[Plano de Contas]],BASE!$B$3:$D$119,3,FALSE)</f>
        <v>Despesas Bancarias</v>
      </c>
      <c r="I3506" s="77" t="str">
        <f>IFERROR(VLOOKUP(DESPESAS[[#This Row],[Fornecedor]],Tabela2[],2,FALSE),"")</f>
        <v/>
      </c>
      <c r="J3506" s="77" t="str">
        <f>IFERROR(VLOOKUP(DESPESAS[[#This Row],[Plano de Contas]],BASE!$B$3:$F$119,4,FALSE),"")</f>
        <v>8 - DESPESAS FINANCEIRAS</v>
      </c>
      <c r="K3506" s="77" t="str">
        <f>IFERROR(VLOOKUP(DESPESAS[[#This Row],[Plano de Contas]],BASE!$B$3:$H$119,5,FALSE),"")</f>
        <v>FINANCEIRO</v>
      </c>
      <c r="L3506" s="77">
        <f>IFERROR(VLOOKUP(DESPESAS[[#This Row],[Plano de Contas]],BASE!$B$3:$H$119,6,FALSE),"")</f>
        <v>0</v>
      </c>
      <c r="M3506" s="77" t="str">
        <f>VLOOKUP(DESPESAS[[#This Row],[Plano de Contas]],BASE!$B$3:$H$119,7,FALSE)</f>
        <v>LETÍCIA</v>
      </c>
    </row>
    <row r="3507" spans="1:13" x14ac:dyDescent="0.25">
      <c r="A3507" s="74">
        <v>200724</v>
      </c>
      <c r="B3507" s="75" t="s">
        <v>232</v>
      </c>
      <c r="C3507" s="75" t="s">
        <v>434</v>
      </c>
      <c r="D3507" s="76">
        <v>46129</v>
      </c>
      <c r="E3507" s="75" t="s">
        <v>230</v>
      </c>
      <c r="F3507" s="74">
        <v>86.35</v>
      </c>
      <c r="G3507" s="75" t="s">
        <v>229</v>
      </c>
      <c r="H3507" s="77" t="str">
        <f>VLOOKUP(DESPESAS[[#This Row],[Plano de Contas]],BASE!$B$3:$D$119,3,FALSE)</f>
        <v>Despesas Bancarias</v>
      </c>
      <c r="I3507" s="77" t="str">
        <f>IFERROR(VLOOKUP(DESPESAS[[#This Row],[Fornecedor]],Tabela2[],2,FALSE),"")</f>
        <v/>
      </c>
      <c r="J3507" s="77" t="str">
        <f>IFERROR(VLOOKUP(DESPESAS[[#This Row],[Plano de Contas]],BASE!$B$3:$F$119,4,FALSE),"")</f>
        <v>8 - DESPESAS FINANCEIRAS</v>
      </c>
      <c r="K3507" s="77" t="str">
        <f>IFERROR(VLOOKUP(DESPESAS[[#This Row],[Plano de Contas]],BASE!$B$3:$H$119,5,FALSE),"")</f>
        <v>FINANCEIRO</v>
      </c>
      <c r="L3507" s="77">
        <f>IFERROR(VLOOKUP(DESPESAS[[#This Row],[Plano de Contas]],BASE!$B$3:$H$119,6,FALSE),"")</f>
        <v>0</v>
      </c>
      <c r="M3507" s="77" t="str">
        <f>VLOOKUP(DESPESAS[[#This Row],[Plano de Contas]],BASE!$B$3:$H$119,7,FALSE)</f>
        <v>LETÍCIA</v>
      </c>
    </row>
    <row r="3508" spans="1:13" x14ac:dyDescent="0.25">
      <c r="A3508" s="74">
        <v>200725</v>
      </c>
      <c r="B3508" s="75" t="s">
        <v>232</v>
      </c>
      <c r="C3508" s="75" t="s">
        <v>433</v>
      </c>
      <c r="D3508" s="76">
        <v>46129</v>
      </c>
      <c r="E3508" s="75" t="s">
        <v>230</v>
      </c>
      <c r="F3508" s="74">
        <v>706.83</v>
      </c>
      <c r="G3508" s="75" t="s">
        <v>251</v>
      </c>
      <c r="H3508" s="77" t="str">
        <f>VLOOKUP(DESPESAS[[#This Row],[Plano de Contas]],BASE!$B$3:$D$119,3,FALSE)</f>
        <v>Juros Pagos - Antecipação de Crédito</v>
      </c>
      <c r="I3508" s="77" t="str">
        <f>IFERROR(VLOOKUP(DESPESAS[[#This Row],[Fornecedor]],Tabela2[],2,FALSE),"")</f>
        <v/>
      </c>
      <c r="J3508" s="77" t="str">
        <f>IFERROR(VLOOKUP(DESPESAS[[#This Row],[Plano de Contas]],BASE!$B$3:$F$119,4,FALSE),"")</f>
        <v>8 - DESPESAS FINANCEIRAS</v>
      </c>
      <c r="K3508" s="77" t="str">
        <f>IFERROR(VLOOKUP(DESPESAS[[#This Row],[Plano de Contas]],BASE!$B$3:$H$119,5,FALSE),"")</f>
        <v>FINANCEIRO</v>
      </c>
      <c r="L3508" s="77">
        <f>IFERROR(VLOOKUP(DESPESAS[[#This Row],[Plano de Contas]],BASE!$B$3:$H$119,6,FALSE),"")</f>
        <v>0</v>
      </c>
      <c r="M3508" s="77" t="str">
        <f>VLOOKUP(DESPESAS[[#This Row],[Plano de Contas]],BASE!$B$3:$H$119,7,FALSE)</f>
        <v>LETÍCIA</v>
      </c>
    </row>
    <row r="3509" spans="1:13" x14ac:dyDescent="0.25">
      <c r="A3509" s="74">
        <v>200726</v>
      </c>
      <c r="B3509" s="75" t="s">
        <v>279</v>
      </c>
      <c r="C3509" s="75" t="s">
        <v>432</v>
      </c>
      <c r="D3509" s="76">
        <v>46129</v>
      </c>
      <c r="E3509" s="75" t="s">
        <v>431</v>
      </c>
      <c r="F3509" s="74">
        <v>800</v>
      </c>
      <c r="G3509" s="75" t="s">
        <v>430</v>
      </c>
      <c r="H3509" s="77" t="str">
        <f>VLOOKUP(DESPESAS[[#This Row],[Plano de Contas]],BASE!$B$3:$D$119,3,FALSE)</f>
        <v>Salarios e Ordenados MOD</v>
      </c>
      <c r="I3509" s="77" t="str">
        <f>IFERROR(VLOOKUP(DESPESAS[[#This Row],[Fornecedor]],Tabela2[],2,FALSE),"")</f>
        <v/>
      </c>
      <c r="J3509" s="77" t="str">
        <f>IFERROR(VLOOKUP(DESPESAS[[#This Row],[Plano de Contas]],BASE!$B$3:$F$119,4,FALSE),"")</f>
        <v>2 - CUSTOS DIRETOS</v>
      </c>
      <c r="K3509" s="77" t="str">
        <f>IFERROR(VLOOKUP(DESPESAS[[#This Row],[Plano de Contas]],BASE!$B$3:$H$119,5,FALSE),"")</f>
        <v>DH</v>
      </c>
      <c r="L3509" s="77" t="str">
        <f>IFERROR(VLOOKUP(DESPESAS[[#This Row],[Plano de Contas]],BASE!$B$3:$H$119,6,FALSE),"")</f>
        <v>CUSTO MÃO DE OBRA DIRETA</v>
      </c>
      <c r="M3509" s="77" t="str">
        <f>VLOOKUP(DESPESAS[[#This Row],[Plano de Contas]],BASE!$B$3:$H$119,7,FALSE)</f>
        <v>RAFAEL</v>
      </c>
    </row>
    <row r="3510" spans="1:13" x14ac:dyDescent="0.25">
      <c r="A3510" s="74">
        <v>200728</v>
      </c>
      <c r="B3510" s="75" t="s">
        <v>232</v>
      </c>
      <c r="C3510" s="75" t="s">
        <v>429</v>
      </c>
      <c r="D3510" s="76">
        <v>46125</v>
      </c>
      <c r="E3510" s="75" t="s">
        <v>428</v>
      </c>
      <c r="F3510" s="74">
        <v>1560</v>
      </c>
      <c r="G3510" s="75" t="s">
        <v>241</v>
      </c>
      <c r="H3510" s="77" t="str">
        <f>VLOOKUP(DESPESAS[[#This Row],[Plano de Contas]],BASE!$B$3:$D$119,3,FALSE)</f>
        <v>Combustiveis Frota</v>
      </c>
      <c r="I3510" s="77" t="str">
        <f>IFERROR(VLOOKUP(DESPESAS[[#This Row],[Fornecedor]],Tabela2[],2,FALSE),"")</f>
        <v/>
      </c>
      <c r="J3510" s="77" t="str">
        <f>IFERROR(VLOOKUP(DESPESAS[[#This Row],[Plano de Contas]],BASE!$B$3:$F$119,4,FALSE),"")</f>
        <v>6 - DESPESA COM VENDAS</v>
      </c>
      <c r="K3510" s="77" t="str">
        <f>IFERROR(VLOOKUP(DESPESAS[[#This Row],[Plano de Contas]],BASE!$B$3:$H$119,5,FALSE),"")</f>
        <v>LOGÍSTICA</v>
      </c>
      <c r="L3510" s="77">
        <f>IFERROR(VLOOKUP(DESPESAS[[#This Row],[Plano de Contas]],BASE!$B$3:$H$119,6,FALSE),"")</f>
        <v>0</v>
      </c>
      <c r="M3510" s="77" t="str">
        <f>VLOOKUP(DESPESAS[[#This Row],[Plano de Contas]],BASE!$B$3:$H$119,7,FALSE)</f>
        <v>MYLENA</v>
      </c>
    </row>
    <row r="3511" spans="1:13" x14ac:dyDescent="0.25">
      <c r="A3511" s="74">
        <v>200729</v>
      </c>
      <c r="B3511" s="75" t="s">
        <v>221</v>
      </c>
      <c r="C3511" s="75" t="s">
        <v>427</v>
      </c>
      <c r="D3511" s="76">
        <v>46127</v>
      </c>
      <c r="E3511" s="75" t="s">
        <v>242</v>
      </c>
      <c r="F3511" s="74">
        <v>203.3</v>
      </c>
      <c r="G3511" s="75" t="s">
        <v>423</v>
      </c>
      <c r="H3511" s="77" t="str">
        <f>VLOOKUP(DESPESAS[[#This Row],[Plano de Contas]],BASE!$B$3:$D$119,3,FALSE)</f>
        <v>Combustíveis (Adm)</v>
      </c>
      <c r="I3511" s="77" t="str">
        <f>IFERROR(VLOOKUP(DESPESAS[[#This Row],[Fornecedor]],Tabela2[],2,FALSE),"")</f>
        <v/>
      </c>
      <c r="J3511" s="77" t="str">
        <f>IFERROR(VLOOKUP(DESPESAS[[#This Row],[Plano de Contas]],BASE!$B$3:$F$119,4,FALSE),"")</f>
        <v>5 - DESPESAS ADMINISTRATIVAS</v>
      </c>
      <c r="K3511" s="77" t="str">
        <f>IFERROR(VLOOKUP(DESPESAS[[#This Row],[Plano de Contas]],BASE!$B$3:$H$119,5,FALSE),"")</f>
        <v>LOGÍSTICA</v>
      </c>
      <c r="L3511" s="77">
        <f>IFERROR(VLOOKUP(DESPESAS[[#This Row],[Plano de Contas]],BASE!$B$3:$H$119,6,FALSE),"")</f>
        <v>0</v>
      </c>
      <c r="M3511" s="77" t="str">
        <f>VLOOKUP(DESPESAS[[#This Row],[Plano de Contas]],BASE!$B$3:$H$119,7,FALSE)</f>
        <v>LETÍCIA</v>
      </c>
    </row>
    <row r="3512" spans="1:13" x14ac:dyDescent="0.25">
      <c r="A3512" s="74">
        <v>200730</v>
      </c>
      <c r="B3512" s="75" t="s">
        <v>221</v>
      </c>
      <c r="C3512" s="75" t="s">
        <v>426</v>
      </c>
      <c r="D3512" s="76">
        <v>46118</v>
      </c>
      <c r="E3512" s="75" t="s">
        <v>242</v>
      </c>
      <c r="F3512" s="74">
        <v>238.66</v>
      </c>
      <c r="G3512" s="75" t="s">
        <v>423</v>
      </c>
      <c r="H3512" s="77" t="str">
        <f>VLOOKUP(DESPESAS[[#This Row],[Plano de Contas]],BASE!$B$3:$D$119,3,FALSE)</f>
        <v>Combustíveis (Adm)</v>
      </c>
      <c r="I3512" s="77" t="str">
        <f>IFERROR(VLOOKUP(DESPESAS[[#This Row],[Fornecedor]],Tabela2[],2,FALSE),"")</f>
        <v/>
      </c>
      <c r="J3512" s="77" t="str">
        <f>IFERROR(VLOOKUP(DESPESAS[[#This Row],[Plano de Contas]],BASE!$B$3:$F$119,4,FALSE),"")</f>
        <v>5 - DESPESAS ADMINISTRATIVAS</v>
      </c>
      <c r="K3512" s="77" t="str">
        <f>IFERROR(VLOOKUP(DESPESAS[[#This Row],[Plano de Contas]],BASE!$B$3:$H$119,5,FALSE),"")</f>
        <v>LOGÍSTICA</v>
      </c>
      <c r="L3512" s="77">
        <f>IFERROR(VLOOKUP(DESPESAS[[#This Row],[Plano de Contas]],BASE!$B$3:$H$119,6,FALSE),"")</f>
        <v>0</v>
      </c>
      <c r="M3512" s="77" t="str">
        <f>VLOOKUP(DESPESAS[[#This Row],[Plano de Contas]],BASE!$B$3:$H$119,7,FALSE)</f>
        <v>LETÍCIA</v>
      </c>
    </row>
    <row r="3513" spans="1:13" x14ac:dyDescent="0.25">
      <c r="A3513" s="74">
        <v>200731</v>
      </c>
      <c r="B3513" s="75" t="s">
        <v>221</v>
      </c>
      <c r="C3513" s="75" t="s">
        <v>425</v>
      </c>
      <c r="D3513" s="76">
        <v>46122</v>
      </c>
      <c r="E3513" s="75" t="s">
        <v>424</v>
      </c>
      <c r="F3513" s="74">
        <v>301.16000000000003</v>
      </c>
      <c r="G3513" s="75" t="s">
        <v>423</v>
      </c>
      <c r="H3513" s="77" t="str">
        <f>VLOOKUP(DESPESAS[[#This Row],[Plano de Contas]],BASE!$B$3:$D$119,3,FALSE)</f>
        <v>Combustíveis (Adm)</v>
      </c>
      <c r="I3513" s="77" t="str">
        <f>IFERROR(VLOOKUP(DESPESAS[[#This Row],[Fornecedor]],Tabela2[],2,FALSE),"")</f>
        <v/>
      </c>
      <c r="J3513" s="77" t="str">
        <f>IFERROR(VLOOKUP(DESPESAS[[#This Row],[Plano de Contas]],BASE!$B$3:$F$119,4,FALSE),"")</f>
        <v>5 - DESPESAS ADMINISTRATIVAS</v>
      </c>
      <c r="K3513" s="77" t="str">
        <f>IFERROR(VLOOKUP(DESPESAS[[#This Row],[Plano de Contas]],BASE!$B$3:$H$119,5,FALSE),"")</f>
        <v>LOGÍSTICA</v>
      </c>
      <c r="L3513" s="77">
        <f>IFERROR(VLOOKUP(DESPESAS[[#This Row],[Plano de Contas]],BASE!$B$3:$H$119,6,FALSE),"")</f>
        <v>0</v>
      </c>
      <c r="M3513" s="77" t="str">
        <f>VLOOKUP(DESPESAS[[#This Row],[Plano de Contas]],BASE!$B$3:$H$119,7,FALSE)</f>
        <v>LETÍCIA</v>
      </c>
    </row>
    <row r="3514" spans="1:13" x14ac:dyDescent="0.25">
      <c r="A3514" s="74">
        <v>200732</v>
      </c>
      <c r="B3514" s="75" t="s">
        <v>221</v>
      </c>
      <c r="C3514" s="75" t="s">
        <v>422</v>
      </c>
      <c r="D3514" s="76">
        <v>46122</v>
      </c>
      <c r="E3514" s="75" t="s">
        <v>342</v>
      </c>
      <c r="F3514" s="74">
        <v>566.76</v>
      </c>
      <c r="G3514" s="75" t="s">
        <v>244</v>
      </c>
      <c r="H3514" s="77" t="str">
        <f>VLOOKUP(DESPESAS[[#This Row],[Plano de Contas]],BASE!$B$3:$D$119,3,FALSE)</f>
        <v>Material de Expediente (Prod)</v>
      </c>
      <c r="I3514" s="77" t="str">
        <f>IFERROR(VLOOKUP(DESPESAS[[#This Row],[Fornecedor]],Tabela2[],2,FALSE),"")</f>
        <v/>
      </c>
      <c r="J3514" s="77" t="str">
        <f>IFERROR(VLOOKUP(DESPESAS[[#This Row],[Plano de Contas]],BASE!$B$3:$F$119,4,FALSE),"")</f>
        <v>2 - CUSTOS DIRETOS</v>
      </c>
      <c r="K3514" s="77" t="str">
        <f>IFERROR(VLOOKUP(DESPESAS[[#This Row],[Plano de Contas]],BASE!$B$3:$H$119,5,FALSE),"")</f>
        <v>PRODUÇÃO</v>
      </c>
      <c r="L3514" s="77">
        <f>IFERROR(VLOOKUP(DESPESAS[[#This Row],[Plano de Contas]],BASE!$B$3:$H$119,6,FALSE),"")</f>
        <v>0</v>
      </c>
      <c r="M3514" s="77" t="str">
        <f>VLOOKUP(DESPESAS[[#This Row],[Plano de Contas]],BASE!$B$3:$H$119,7,FALSE)</f>
        <v>RAFAEL</v>
      </c>
    </row>
    <row r="3515" spans="1:13" x14ac:dyDescent="0.25">
      <c r="A3515" s="74">
        <v>200733</v>
      </c>
      <c r="B3515" s="75" t="s">
        <v>221</v>
      </c>
      <c r="C3515" s="75" t="s">
        <v>421</v>
      </c>
      <c r="D3515" s="76">
        <v>46122</v>
      </c>
      <c r="E3515" s="75" t="s">
        <v>342</v>
      </c>
      <c r="F3515" s="74">
        <v>259</v>
      </c>
      <c r="G3515" s="75" t="s">
        <v>420</v>
      </c>
      <c r="H3515" s="77" t="str">
        <f>VLOOKUP(DESPESAS[[#This Row],[Plano de Contas]],BASE!$B$3:$D$119,3,FALSE)</f>
        <v>Material de Expediente (Adm)</v>
      </c>
      <c r="I3515" s="77" t="str">
        <f>IFERROR(VLOOKUP(DESPESAS[[#This Row],[Fornecedor]],Tabela2[],2,FALSE),"")</f>
        <v/>
      </c>
      <c r="J3515" s="77" t="str">
        <f>IFERROR(VLOOKUP(DESPESAS[[#This Row],[Plano de Contas]],BASE!$B$3:$F$119,4,FALSE),"")</f>
        <v>5 - DESPESAS ADMINISTRATIVAS</v>
      </c>
      <c r="K3515" s="77" t="str">
        <f>IFERROR(VLOOKUP(DESPESAS[[#This Row],[Plano de Contas]],BASE!$B$3:$H$119,5,FALSE),"")</f>
        <v>ADMINISTRATIVO</v>
      </c>
      <c r="L3515" s="77">
        <f>IFERROR(VLOOKUP(DESPESAS[[#This Row],[Plano de Contas]],BASE!$B$3:$H$119,6,FALSE),"")</f>
        <v>0</v>
      </c>
      <c r="M3515" s="77" t="str">
        <f>VLOOKUP(DESPESAS[[#This Row],[Plano de Contas]],BASE!$B$3:$H$119,7,FALSE)</f>
        <v>LETÍCIA</v>
      </c>
    </row>
    <row r="3516" spans="1:13" x14ac:dyDescent="0.25">
      <c r="A3516" s="74">
        <v>200734</v>
      </c>
      <c r="B3516" s="75" t="s">
        <v>221</v>
      </c>
      <c r="C3516" s="75" t="s">
        <v>419</v>
      </c>
      <c r="D3516" s="76">
        <v>46132</v>
      </c>
      <c r="E3516" s="75" t="s">
        <v>265</v>
      </c>
      <c r="F3516" s="74">
        <v>95.9</v>
      </c>
      <c r="G3516" s="75" t="s">
        <v>262</v>
      </c>
      <c r="H3516" s="77" t="str">
        <f>VLOOKUP(DESPESAS[[#This Row],[Plano de Contas]],BASE!$B$3:$D$119,3,FALSE)</f>
        <v>Fretes Karams</v>
      </c>
      <c r="I3516" s="77" t="str">
        <f>IFERROR(VLOOKUP(DESPESAS[[#This Row],[Fornecedor]],Tabela2[],2,FALSE),"")</f>
        <v/>
      </c>
      <c r="J3516" s="77" t="str">
        <f>IFERROR(VLOOKUP(DESPESAS[[#This Row],[Plano de Contas]],BASE!$B$3:$F$119,4,FALSE),"")</f>
        <v>6 - DESPESA COM VENDAS</v>
      </c>
      <c r="K3516" s="77" t="str">
        <f>IFERROR(VLOOKUP(DESPESAS[[#This Row],[Plano de Contas]],BASE!$B$3:$H$119,5,FALSE),"")</f>
        <v>LOGÍSTICA</v>
      </c>
      <c r="L3516" s="77">
        <f>IFERROR(VLOOKUP(DESPESAS[[#This Row],[Plano de Contas]],BASE!$B$3:$H$119,6,FALSE),"")</f>
        <v>0</v>
      </c>
      <c r="M3516" s="77" t="str">
        <f>VLOOKUP(DESPESAS[[#This Row],[Plano de Contas]],BASE!$B$3:$H$119,7,FALSE)</f>
        <v>MYLENA</v>
      </c>
    </row>
    <row r="3517" spans="1:13" x14ac:dyDescent="0.25">
      <c r="A3517" s="74">
        <v>200735</v>
      </c>
      <c r="B3517" s="75" t="s">
        <v>221</v>
      </c>
      <c r="C3517" s="75" t="s">
        <v>418</v>
      </c>
      <c r="D3517" s="76">
        <v>46127</v>
      </c>
      <c r="E3517" s="75" t="s">
        <v>242</v>
      </c>
      <c r="F3517" s="74">
        <v>627.45000000000005</v>
      </c>
      <c r="G3517" s="75" t="s">
        <v>241</v>
      </c>
      <c r="H3517" s="77" t="str">
        <f>VLOOKUP(DESPESAS[[#This Row],[Plano de Contas]],BASE!$B$3:$D$119,3,FALSE)</f>
        <v>Combustiveis Frota</v>
      </c>
      <c r="I3517" s="77" t="str">
        <f>IFERROR(VLOOKUP(DESPESAS[[#This Row],[Fornecedor]],Tabela2[],2,FALSE),"")</f>
        <v/>
      </c>
      <c r="J3517" s="77" t="str">
        <f>IFERROR(VLOOKUP(DESPESAS[[#This Row],[Plano de Contas]],BASE!$B$3:$F$119,4,FALSE),"")</f>
        <v>6 - DESPESA COM VENDAS</v>
      </c>
      <c r="K3517" s="77" t="str">
        <f>IFERROR(VLOOKUP(DESPESAS[[#This Row],[Plano de Contas]],BASE!$B$3:$H$119,5,FALSE),"")</f>
        <v>LOGÍSTICA</v>
      </c>
      <c r="L3517" s="77">
        <f>IFERROR(VLOOKUP(DESPESAS[[#This Row],[Plano de Contas]],BASE!$B$3:$H$119,6,FALSE),"")</f>
        <v>0</v>
      </c>
      <c r="M3517" s="77" t="str">
        <f>VLOOKUP(DESPESAS[[#This Row],[Plano de Contas]],BASE!$B$3:$H$119,7,FALSE)</f>
        <v>MYLENA</v>
      </c>
    </row>
    <row r="3518" spans="1:13" x14ac:dyDescent="0.25">
      <c r="A3518" s="74">
        <v>200736</v>
      </c>
      <c r="B3518" s="75" t="s">
        <v>221</v>
      </c>
      <c r="C3518" s="75" t="s">
        <v>417</v>
      </c>
      <c r="D3518" s="76">
        <v>46126</v>
      </c>
      <c r="E3518" s="75" t="s">
        <v>242</v>
      </c>
      <c r="F3518" s="74">
        <v>238.97</v>
      </c>
      <c r="G3518" s="75" t="s">
        <v>241</v>
      </c>
      <c r="H3518" s="77" t="str">
        <f>VLOOKUP(DESPESAS[[#This Row],[Plano de Contas]],BASE!$B$3:$D$119,3,FALSE)</f>
        <v>Combustiveis Frota</v>
      </c>
      <c r="I3518" s="77" t="str">
        <f>IFERROR(VLOOKUP(DESPESAS[[#This Row],[Fornecedor]],Tabela2[],2,FALSE),"")</f>
        <v/>
      </c>
      <c r="J3518" s="77" t="str">
        <f>IFERROR(VLOOKUP(DESPESAS[[#This Row],[Plano de Contas]],BASE!$B$3:$F$119,4,FALSE),"")</f>
        <v>6 - DESPESA COM VENDAS</v>
      </c>
      <c r="K3518" s="77" t="str">
        <f>IFERROR(VLOOKUP(DESPESAS[[#This Row],[Plano de Contas]],BASE!$B$3:$H$119,5,FALSE),"")</f>
        <v>LOGÍSTICA</v>
      </c>
      <c r="L3518" s="77">
        <f>IFERROR(VLOOKUP(DESPESAS[[#This Row],[Plano de Contas]],BASE!$B$3:$H$119,6,FALSE),"")</f>
        <v>0</v>
      </c>
      <c r="M3518" s="77" t="str">
        <f>VLOOKUP(DESPESAS[[#This Row],[Plano de Contas]],BASE!$B$3:$H$119,7,FALSE)</f>
        <v>MYLENA</v>
      </c>
    </row>
    <row r="3519" spans="1:13" x14ac:dyDescent="0.25">
      <c r="A3519" s="74">
        <v>200737</v>
      </c>
      <c r="B3519" s="75" t="s">
        <v>232</v>
      </c>
      <c r="C3519" s="75" t="s">
        <v>416</v>
      </c>
      <c r="D3519" s="76">
        <v>46132</v>
      </c>
      <c r="E3519" s="75" t="s">
        <v>415</v>
      </c>
      <c r="F3519" s="74">
        <v>100</v>
      </c>
      <c r="G3519" s="75" t="s">
        <v>259</v>
      </c>
      <c r="H3519" s="77" t="str">
        <f>VLOOKUP(DESPESAS[[#This Row],[Plano de Contas]],BASE!$B$3:$D$119,3,FALSE)</f>
        <v>Manutenção Predial CIF</v>
      </c>
      <c r="I3519" s="77" t="str">
        <f>IFERROR(VLOOKUP(DESPESAS[[#This Row],[Fornecedor]],Tabela2[],2,FALSE),"")</f>
        <v/>
      </c>
      <c r="J3519" s="77" t="str">
        <f>IFERROR(VLOOKUP(DESPESAS[[#This Row],[Plano de Contas]],BASE!$B$3:$F$119,4,FALSE),"")</f>
        <v>3 - CUSTOS INDIRETOS</v>
      </c>
      <c r="K3519" s="77" t="str">
        <f>IFERROR(VLOOKUP(DESPESAS[[#This Row],[Plano de Contas]],BASE!$B$3:$H$119,5,FALSE),"")</f>
        <v>MANUTENÇÃO / TI</v>
      </c>
      <c r="L3519" s="77">
        <f>IFERROR(VLOOKUP(DESPESAS[[#This Row],[Plano de Contas]],BASE!$B$3:$H$119,6,FALSE),"")</f>
        <v>0</v>
      </c>
      <c r="M3519" s="77" t="str">
        <f>VLOOKUP(DESPESAS[[#This Row],[Plano de Contas]],BASE!$B$3:$H$119,7,FALSE)</f>
        <v>FÁBIO</v>
      </c>
    </row>
    <row r="3520" spans="1:13" x14ac:dyDescent="0.25">
      <c r="A3520" s="74">
        <v>200740</v>
      </c>
      <c r="B3520" s="75" t="s">
        <v>221</v>
      </c>
      <c r="C3520" s="75" t="s">
        <v>414</v>
      </c>
      <c r="D3520" s="76">
        <v>46132</v>
      </c>
      <c r="E3520" s="75" t="s">
        <v>413</v>
      </c>
      <c r="F3520" s="74">
        <v>1573</v>
      </c>
      <c r="G3520" s="75" t="s">
        <v>262</v>
      </c>
      <c r="H3520" s="77" t="str">
        <f>VLOOKUP(DESPESAS[[#This Row],[Plano de Contas]],BASE!$B$3:$D$119,3,FALSE)</f>
        <v>Fretes Karams</v>
      </c>
      <c r="I3520" s="77" t="str">
        <f>IFERROR(VLOOKUP(DESPESAS[[#This Row],[Fornecedor]],Tabela2[],2,FALSE),"")</f>
        <v/>
      </c>
      <c r="J3520" s="77" t="str">
        <f>IFERROR(VLOOKUP(DESPESAS[[#This Row],[Plano de Contas]],BASE!$B$3:$F$119,4,FALSE),"")</f>
        <v>6 - DESPESA COM VENDAS</v>
      </c>
      <c r="K3520" s="77" t="str">
        <f>IFERROR(VLOOKUP(DESPESAS[[#This Row],[Plano de Contas]],BASE!$B$3:$H$119,5,FALSE),"")</f>
        <v>LOGÍSTICA</v>
      </c>
      <c r="L3520" s="77">
        <f>IFERROR(VLOOKUP(DESPESAS[[#This Row],[Plano de Contas]],BASE!$B$3:$H$119,6,FALSE),"")</f>
        <v>0</v>
      </c>
      <c r="M3520" s="77" t="str">
        <f>VLOOKUP(DESPESAS[[#This Row],[Plano de Contas]],BASE!$B$3:$H$119,7,FALSE)</f>
        <v>MYLENA</v>
      </c>
    </row>
    <row r="3521" spans="1:13" x14ac:dyDescent="0.25">
      <c r="A3521" s="74">
        <v>200741</v>
      </c>
      <c r="B3521" s="75" t="s">
        <v>232</v>
      </c>
      <c r="C3521" s="75" t="s">
        <v>408</v>
      </c>
      <c r="D3521" s="76">
        <v>46129</v>
      </c>
      <c r="E3521" s="75" t="s">
        <v>230</v>
      </c>
      <c r="F3521" s="74">
        <v>9.19</v>
      </c>
      <c r="G3521" s="75" t="s">
        <v>356</v>
      </c>
      <c r="H3521" s="77" t="str">
        <f>VLOOKUP(DESPESAS[[#This Row],[Plano de Contas]],BASE!$B$3:$D$119,3,FALSE)</f>
        <v>Despesas Cartorárias</v>
      </c>
      <c r="I3521" s="77" t="str">
        <f>IFERROR(VLOOKUP(DESPESAS[[#This Row],[Fornecedor]],Tabela2[],2,FALSE),"")</f>
        <v/>
      </c>
      <c r="J3521" s="77" t="str">
        <f>IFERROR(VLOOKUP(DESPESAS[[#This Row],[Plano de Contas]],BASE!$B$3:$F$119,4,FALSE),"")</f>
        <v>5 - DESPESAS ADMINISTRATIVAS</v>
      </c>
      <c r="K3521" s="77" t="str">
        <f>IFERROR(VLOOKUP(DESPESAS[[#This Row],[Plano de Contas]],BASE!$B$3:$H$119,5,FALSE),"")</f>
        <v>FINANCEIRO</v>
      </c>
      <c r="L3521" s="77">
        <f>IFERROR(VLOOKUP(DESPESAS[[#This Row],[Plano de Contas]],BASE!$B$3:$H$119,6,FALSE),"")</f>
        <v>0</v>
      </c>
      <c r="M3521" s="77" t="str">
        <f>VLOOKUP(DESPESAS[[#This Row],[Plano de Contas]],BASE!$B$3:$H$119,7,FALSE)</f>
        <v>LETÍCIA</v>
      </c>
    </row>
    <row r="3522" spans="1:13" x14ac:dyDescent="0.25">
      <c r="A3522" s="74">
        <v>200742</v>
      </c>
      <c r="B3522" s="75" t="s">
        <v>232</v>
      </c>
      <c r="C3522" s="75" t="s">
        <v>407</v>
      </c>
      <c r="D3522" s="76">
        <v>46129</v>
      </c>
      <c r="E3522" s="75" t="s">
        <v>230</v>
      </c>
      <c r="F3522" s="74">
        <v>2.46</v>
      </c>
      <c r="G3522" s="75" t="s">
        <v>356</v>
      </c>
      <c r="H3522" s="77" t="str">
        <f>VLOOKUP(DESPESAS[[#This Row],[Plano de Contas]],BASE!$B$3:$D$119,3,FALSE)</f>
        <v>Despesas Cartorárias</v>
      </c>
      <c r="I3522" s="77" t="str">
        <f>IFERROR(VLOOKUP(DESPESAS[[#This Row],[Fornecedor]],Tabela2[],2,FALSE),"")</f>
        <v/>
      </c>
      <c r="J3522" s="77" t="str">
        <f>IFERROR(VLOOKUP(DESPESAS[[#This Row],[Plano de Contas]],BASE!$B$3:$F$119,4,FALSE),"")</f>
        <v>5 - DESPESAS ADMINISTRATIVAS</v>
      </c>
      <c r="K3522" s="77" t="str">
        <f>IFERROR(VLOOKUP(DESPESAS[[#This Row],[Plano de Contas]],BASE!$B$3:$H$119,5,FALSE),"")</f>
        <v>FINANCEIRO</v>
      </c>
      <c r="L3522" s="77">
        <f>IFERROR(VLOOKUP(DESPESAS[[#This Row],[Plano de Contas]],BASE!$B$3:$H$119,6,FALSE),"")</f>
        <v>0</v>
      </c>
      <c r="M3522" s="77" t="str">
        <f>VLOOKUP(DESPESAS[[#This Row],[Plano de Contas]],BASE!$B$3:$H$119,7,FALSE)</f>
        <v>LETÍCIA</v>
      </c>
    </row>
    <row r="3523" spans="1:13" x14ac:dyDescent="0.25">
      <c r="A3523" s="74">
        <v>200743</v>
      </c>
      <c r="B3523" s="75" t="s">
        <v>232</v>
      </c>
      <c r="C3523" s="75" t="s">
        <v>412</v>
      </c>
      <c r="D3523" s="76">
        <v>46129</v>
      </c>
      <c r="E3523" s="75" t="s">
        <v>230</v>
      </c>
      <c r="F3523" s="74">
        <v>10.27</v>
      </c>
      <c r="G3523" s="75" t="s">
        <v>236</v>
      </c>
      <c r="H3523" s="77" t="str">
        <f>VLOOKUP(DESPESAS[[#This Row],[Plano de Contas]],BASE!$B$3:$D$119,3,FALSE)</f>
        <v>Despesas de Cobranca</v>
      </c>
      <c r="I3523" s="77" t="str">
        <f>IFERROR(VLOOKUP(DESPESAS[[#This Row],[Fornecedor]],Tabela2[],2,FALSE),"")</f>
        <v/>
      </c>
      <c r="J3523" s="77" t="str">
        <f>IFERROR(VLOOKUP(DESPESAS[[#This Row],[Plano de Contas]],BASE!$B$3:$F$119,4,FALSE),"")</f>
        <v>8 - DESPESAS FINANCEIRAS</v>
      </c>
      <c r="K3523" s="77" t="str">
        <f>IFERROR(VLOOKUP(DESPESAS[[#This Row],[Plano de Contas]],BASE!$B$3:$H$119,5,FALSE),"")</f>
        <v>FINANCEIRO</v>
      </c>
      <c r="L3523" s="77">
        <f>IFERROR(VLOOKUP(DESPESAS[[#This Row],[Plano de Contas]],BASE!$B$3:$H$119,6,FALSE),"")</f>
        <v>0</v>
      </c>
      <c r="M3523" s="77" t="str">
        <f>VLOOKUP(DESPESAS[[#This Row],[Plano de Contas]],BASE!$B$3:$H$119,7,FALSE)</f>
        <v>LETÍCIA</v>
      </c>
    </row>
    <row r="3524" spans="1:13" x14ac:dyDescent="0.25">
      <c r="A3524" s="74">
        <v>200744</v>
      </c>
      <c r="B3524" s="75" t="s">
        <v>232</v>
      </c>
      <c r="C3524" s="75" t="s">
        <v>411</v>
      </c>
      <c r="D3524" s="76">
        <v>46132</v>
      </c>
      <c r="E3524" s="75" t="s">
        <v>230</v>
      </c>
      <c r="F3524" s="74">
        <v>0.33</v>
      </c>
      <c r="G3524" s="75" t="s">
        <v>229</v>
      </c>
      <c r="H3524" s="77" t="str">
        <f>VLOOKUP(DESPESAS[[#This Row],[Plano de Contas]],BASE!$B$3:$D$119,3,FALSE)</f>
        <v>Despesas Bancarias</v>
      </c>
      <c r="I3524" s="77" t="str">
        <f>IFERROR(VLOOKUP(DESPESAS[[#This Row],[Fornecedor]],Tabela2[],2,FALSE),"")</f>
        <v/>
      </c>
      <c r="J3524" s="77" t="str">
        <f>IFERROR(VLOOKUP(DESPESAS[[#This Row],[Plano de Contas]],BASE!$B$3:$F$119,4,FALSE),"")</f>
        <v>8 - DESPESAS FINANCEIRAS</v>
      </c>
      <c r="K3524" s="77" t="str">
        <f>IFERROR(VLOOKUP(DESPESAS[[#This Row],[Plano de Contas]],BASE!$B$3:$H$119,5,FALSE),"")</f>
        <v>FINANCEIRO</v>
      </c>
      <c r="L3524" s="77">
        <f>IFERROR(VLOOKUP(DESPESAS[[#This Row],[Plano de Contas]],BASE!$B$3:$H$119,6,FALSE),"")</f>
        <v>0</v>
      </c>
      <c r="M3524" s="77" t="str">
        <f>VLOOKUP(DESPESAS[[#This Row],[Plano de Contas]],BASE!$B$3:$H$119,7,FALSE)</f>
        <v>LETÍCIA</v>
      </c>
    </row>
    <row r="3525" spans="1:13" x14ac:dyDescent="0.25">
      <c r="A3525" s="74">
        <v>200745</v>
      </c>
      <c r="B3525" s="75" t="s">
        <v>232</v>
      </c>
      <c r="C3525" s="75" t="s">
        <v>410</v>
      </c>
      <c r="D3525" s="76">
        <v>46132</v>
      </c>
      <c r="E3525" s="75" t="s">
        <v>409</v>
      </c>
      <c r="F3525" s="74">
        <v>123.77</v>
      </c>
      <c r="G3525" s="75" t="s">
        <v>326</v>
      </c>
      <c r="H3525" s="77" t="str">
        <f>VLOOKUP(DESPESAS[[#This Row],[Plano de Contas]],BASE!$B$3:$D$119,3,FALSE)</f>
        <v>Frete sobre Compras</v>
      </c>
      <c r="I3525" s="77" t="str">
        <f>IFERROR(VLOOKUP(DESPESAS[[#This Row],[Fornecedor]],Tabela2[],2,FALSE),"")</f>
        <v>SERVIÇOS FRETE</v>
      </c>
      <c r="J3525" s="77" t="str">
        <f>IFERROR(VLOOKUP(DESPESAS[[#This Row],[Plano de Contas]],BASE!$B$3:$F$119,4,FALSE),"")</f>
        <v>1 - CPV</v>
      </c>
      <c r="K3525" s="77" t="str">
        <f>IFERROR(VLOOKUP(DESPESAS[[#This Row],[Plano de Contas]],BASE!$B$3:$H$119,5,FALSE),"")</f>
        <v>COMPRAS</v>
      </c>
      <c r="L3525" s="77">
        <f>IFERROR(VLOOKUP(DESPESAS[[#This Row],[Plano de Contas]],BASE!$B$3:$H$119,6,FALSE),"")</f>
        <v>0</v>
      </c>
      <c r="M3525" s="77" t="str">
        <f>VLOOKUP(DESPESAS[[#This Row],[Plano de Contas]],BASE!$B$3:$H$119,7,FALSE)</f>
        <v>MYLENA</v>
      </c>
    </row>
    <row r="3526" spans="1:13" x14ac:dyDescent="0.25">
      <c r="A3526" s="74">
        <v>200746</v>
      </c>
      <c r="B3526" s="75" t="s">
        <v>281</v>
      </c>
      <c r="C3526" s="75" t="s">
        <v>408</v>
      </c>
      <c r="D3526" s="76">
        <v>46129</v>
      </c>
      <c r="E3526" s="75" t="s">
        <v>230</v>
      </c>
      <c r="F3526" s="74">
        <v>9.19</v>
      </c>
      <c r="G3526" s="75" t="s">
        <v>356</v>
      </c>
      <c r="H3526" s="77" t="str">
        <f>VLOOKUP(DESPESAS[[#This Row],[Plano de Contas]],BASE!$B$3:$D$119,3,FALSE)</f>
        <v>Despesas Cartorárias</v>
      </c>
      <c r="I3526" s="77" t="str">
        <f>IFERROR(VLOOKUP(DESPESAS[[#This Row],[Fornecedor]],Tabela2[],2,FALSE),"")</f>
        <v/>
      </c>
      <c r="J3526" s="77" t="str">
        <f>IFERROR(VLOOKUP(DESPESAS[[#This Row],[Plano de Contas]],BASE!$B$3:$F$119,4,FALSE),"")</f>
        <v>5 - DESPESAS ADMINISTRATIVAS</v>
      </c>
      <c r="K3526" s="77" t="str">
        <f>IFERROR(VLOOKUP(DESPESAS[[#This Row],[Plano de Contas]],BASE!$B$3:$H$119,5,FALSE),"")</f>
        <v>FINANCEIRO</v>
      </c>
      <c r="L3526" s="77">
        <f>IFERROR(VLOOKUP(DESPESAS[[#This Row],[Plano de Contas]],BASE!$B$3:$H$119,6,FALSE),"")</f>
        <v>0</v>
      </c>
      <c r="M3526" s="77" t="str">
        <f>VLOOKUP(DESPESAS[[#This Row],[Plano de Contas]],BASE!$B$3:$H$119,7,FALSE)</f>
        <v>LETÍCIA</v>
      </c>
    </row>
    <row r="3527" spans="1:13" x14ac:dyDescent="0.25">
      <c r="A3527" s="74">
        <v>200747</v>
      </c>
      <c r="B3527" s="75" t="s">
        <v>281</v>
      </c>
      <c r="C3527" s="75" t="s">
        <v>407</v>
      </c>
      <c r="D3527" s="76">
        <v>46129</v>
      </c>
      <c r="E3527" s="75" t="s">
        <v>230</v>
      </c>
      <c r="F3527" s="74">
        <v>2.46</v>
      </c>
      <c r="G3527" s="75" t="s">
        <v>356</v>
      </c>
      <c r="H3527" s="77" t="str">
        <f>VLOOKUP(DESPESAS[[#This Row],[Plano de Contas]],BASE!$B$3:$D$119,3,FALSE)</f>
        <v>Despesas Cartorárias</v>
      </c>
      <c r="I3527" s="77" t="str">
        <f>IFERROR(VLOOKUP(DESPESAS[[#This Row],[Fornecedor]],Tabela2[],2,FALSE),"")</f>
        <v/>
      </c>
      <c r="J3527" s="77" t="str">
        <f>IFERROR(VLOOKUP(DESPESAS[[#This Row],[Plano de Contas]],BASE!$B$3:$F$119,4,FALSE),"")</f>
        <v>5 - DESPESAS ADMINISTRATIVAS</v>
      </c>
      <c r="K3527" s="77" t="str">
        <f>IFERROR(VLOOKUP(DESPESAS[[#This Row],[Plano de Contas]],BASE!$B$3:$H$119,5,FALSE),"")</f>
        <v>FINANCEIRO</v>
      </c>
      <c r="L3527" s="77">
        <f>IFERROR(VLOOKUP(DESPESAS[[#This Row],[Plano de Contas]],BASE!$B$3:$H$119,6,FALSE),"")</f>
        <v>0</v>
      </c>
      <c r="M3527" s="77" t="str">
        <f>VLOOKUP(DESPESAS[[#This Row],[Plano de Contas]],BASE!$B$3:$H$119,7,FALSE)</f>
        <v>LETÍCIA</v>
      </c>
    </row>
    <row r="3528" spans="1:13" x14ac:dyDescent="0.25">
      <c r="A3528" s="74">
        <v>200748</v>
      </c>
      <c r="B3528" s="75" t="s">
        <v>281</v>
      </c>
      <c r="C3528" s="75" t="s">
        <v>406</v>
      </c>
      <c r="D3528" s="76">
        <v>46129</v>
      </c>
      <c r="E3528" s="75" t="s">
        <v>230</v>
      </c>
      <c r="F3528" s="74">
        <v>4.74</v>
      </c>
      <c r="G3528" s="75" t="s">
        <v>236</v>
      </c>
      <c r="H3528" s="77" t="str">
        <f>VLOOKUP(DESPESAS[[#This Row],[Plano de Contas]],BASE!$B$3:$D$119,3,FALSE)</f>
        <v>Despesas de Cobranca</v>
      </c>
      <c r="I3528" s="77" t="str">
        <f>IFERROR(VLOOKUP(DESPESAS[[#This Row],[Fornecedor]],Tabela2[],2,FALSE),"")</f>
        <v/>
      </c>
      <c r="J3528" s="77" t="str">
        <f>IFERROR(VLOOKUP(DESPESAS[[#This Row],[Plano de Contas]],BASE!$B$3:$F$119,4,FALSE),"")</f>
        <v>8 - DESPESAS FINANCEIRAS</v>
      </c>
      <c r="K3528" s="77" t="str">
        <f>IFERROR(VLOOKUP(DESPESAS[[#This Row],[Plano de Contas]],BASE!$B$3:$H$119,5,FALSE),"")</f>
        <v>FINANCEIRO</v>
      </c>
      <c r="L3528" s="77">
        <f>IFERROR(VLOOKUP(DESPESAS[[#This Row],[Plano de Contas]],BASE!$B$3:$H$119,6,FALSE),"")</f>
        <v>0</v>
      </c>
      <c r="M3528" s="77" t="str">
        <f>VLOOKUP(DESPESAS[[#This Row],[Plano de Contas]],BASE!$B$3:$H$119,7,FALSE)</f>
        <v>LETÍCIA</v>
      </c>
    </row>
    <row r="3529" spans="1:13" x14ac:dyDescent="0.25">
      <c r="A3529" s="74">
        <v>200749</v>
      </c>
      <c r="B3529" s="75" t="s">
        <v>279</v>
      </c>
      <c r="C3529" s="75" t="s">
        <v>405</v>
      </c>
      <c r="D3529" s="76">
        <v>46129</v>
      </c>
      <c r="E3529" s="75" t="s">
        <v>230</v>
      </c>
      <c r="F3529" s="74">
        <v>27.57</v>
      </c>
      <c r="G3529" s="75" t="s">
        <v>356</v>
      </c>
      <c r="H3529" s="77" t="str">
        <f>VLOOKUP(DESPESAS[[#This Row],[Plano de Contas]],BASE!$B$3:$D$119,3,FALSE)</f>
        <v>Despesas Cartorárias</v>
      </c>
      <c r="I3529" s="77" t="str">
        <f>IFERROR(VLOOKUP(DESPESAS[[#This Row],[Fornecedor]],Tabela2[],2,FALSE),"")</f>
        <v/>
      </c>
      <c r="J3529" s="77" t="str">
        <f>IFERROR(VLOOKUP(DESPESAS[[#This Row],[Plano de Contas]],BASE!$B$3:$F$119,4,FALSE),"")</f>
        <v>5 - DESPESAS ADMINISTRATIVAS</v>
      </c>
      <c r="K3529" s="77" t="str">
        <f>IFERROR(VLOOKUP(DESPESAS[[#This Row],[Plano de Contas]],BASE!$B$3:$H$119,5,FALSE),"")</f>
        <v>FINANCEIRO</v>
      </c>
      <c r="L3529" s="77">
        <f>IFERROR(VLOOKUP(DESPESAS[[#This Row],[Plano de Contas]],BASE!$B$3:$H$119,6,FALSE),"")</f>
        <v>0</v>
      </c>
      <c r="M3529" s="77" t="str">
        <f>VLOOKUP(DESPESAS[[#This Row],[Plano de Contas]],BASE!$B$3:$H$119,7,FALSE)</f>
        <v>LETÍCIA</v>
      </c>
    </row>
    <row r="3530" spans="1:13" x14ac:dyDescent="0.25">
      <c r="A3530" s="74">
        <v>200750</v>
      </c>
      <c r="B3530" s="75" t="s">
        <v>279</v>
      </c>
      <c r="C3530" s="75" t="s">
        <v>404</v>
      </c>
      <c r="D3530" s="76">
        <v>46129</v>
      </c>
      <c r="E3530" s="75" t="s">
        <v>230</v>
      </c>
      <c r="F3530" s="74">
        <v>7.38</v>
      </c>
      <c r="G3530" s="75" t="s">
        <v>356</v>
      </c>
      <c r="H3530" s="77" t="str">
        <f>VLOOKUP(DESPESAS[[#This Row],[Plano de Contas]],BASE!$B$3:$D$119,3,FALSE)</f>
        <v>Despesas Cartorárias</v>
      </c>
      <c r="I3530" s="77" t="str">
        <f>IFERROR(VLOOKUP(DESPESAS[[#This Row],[Fornecedor]],Tabela2[],2,FALSE),"")</f>
        <v/>
      </c>
      <c r="J3530" s="77" t="str">
        <f>IFERROR(VLOOKUP(DESPESAS[[#This Row],[Plano de Contas]],BASE!$B$3:$F$119,4,FALSE),"")</f>
        <v>5 - DESPESAS ADMINISTRATIVAS</v>
      </c>
      <c r="K3530" s="77" t="str">
        <f>IFERROR(VLOOKUP(DESPESAS[[#This Row],[Plano de Contas]],BASE!$B$3:$H$119,5,FALSE),"")</f>
        <v>FINANCEIRO</v>
      </c>
      <c r="L3530" s="77">
        <f>IFERROR(VLOOKUP(DESPESAS[[#This Row],[Plano de Contas]],BASE!$B$3:$H$119,6,FALSE),"")</f>
        <v>0</v>
      </c>
      <c r="M3530" s="77" t="str">
        <f>VLOOKUP(DESPESAS[[#This Row],[Plano de Contas]],BASE!$B$3:$H$119,7,FALSE)</f>
        <v>LETÍCIA</v>
      </c>
    </row>
    <row r="3531" spans="1:13" x14ac:dyDescent="0.25">
      <c r="A3531" s="74">
        <v>200751</v>
      </c>
      <c r="B3531" s="75" t="s">
        <v>221</v>
      </c>
      <c r="C3531" s="75" t="s">
        <v>403</v>
      </c>
      <c r="D3531" s="76">
        <v>46132</v>
      </c>
      <c r="E3531" s="75" t="s">
        <v>402</v>
      </c>
      <c r="F3531" s="74">
        <v>1300</v>
      </c>
      <c r="G3531" s="75" t="s">
        <v>262</v>
      </c>
      <c r="H3531" s="77" t="str">
        <f>VLOOKUP(DESPESAS[[#This Row],[Plano de Contas]],BASE!$B$3:$D$119,3,FALSE)</f>
        <v>Fretes Karams</v>
      </c>
      <c r="I3531" s="77" t="str">
        <f>IFERROR(VLOOKUP(DESPESAS[[#This Row],[Fornecedor]],Tabela2[],2,FALSE),"")</f>
        <v/>
      </c>
      <c r="J3531" s="77" t="str">
        <f>IFERROR(VLOOKUP(DESPESAS[[#This Row],[Plano de Contas]],BASE!$B$3:$F$119,4,FALSE),"")</f>
        <v>6 - DESPESA COM VENDAS</v>
      </c>
      <c r="K3531" s="77" t="str">
        <f>IFERROR(VLOOKUP(DESPESAS[[#This Row],[Plano de Contas]],BASE!$B$3:$H$119,5,FALSE),"")</f>
        <v>LOGÍSTICA</v>
      </c>
      <c r="L3531" s="77">
        <f>IFERROR(VLOOKUP(DESPESAS[[#This Row],[Plano de Contas]],BASE!$B$3:$H$119,6,FALSE),"")</f>
        <v>0</v>
      </c>
      <c r="M3531" s="77" t="str">
        <f>VLOOKUP(DESPESAS[[#This Row],[Plano de Contas]],BASE!$B$3:$H$119,7,FALSE)</f>
        <v>MYLENA</v>
      </c>
    </row>
    <row r="3532" spans="1:13" x14ac:dyDescent="0.25">
      <c r="A3532" s="74">
        <v>200752</v>
      </c>
      <c r="B3532" s="75" t="s">
        <v>221</v>
      </c>
      <c r="C3532" s="75" t="s">
        <v>401</v>
      </c>
      <c r="D3532" s="76">
        <v>46129</v>
      </c>
      <c r="E3532" s="75" t="s">
        <v>242</v>
      </c>
      <c r="F3532" s="74">
        <v>1005.95</v>
      </c>
      <c r="G3532" s="75" t="s">
        <v>241</v>
      </c>
      <c r="H3532" s="77" t="str">
        <f>VLOOKUP(DESPESAS[[#This Row],[Plano de Contas]],BASE!$B$3:$D$119,3,FALSE)</f>
        <v>Combustiveis Frota</v>
      </c>
      <c r="I3532" s="77" t="str">
        <f>IFERROR(VLOOKUP(DESPESAS[[#This Row],[Fornecedor]],Tabela2[],2,FALSE),"")</f>
        <v/>
      </c>
      <c r="J3532" s="77" t="str">
        <f>IFERROR(VLOOKUP(DESPESAS[[#This Row],[Plano de Contas]],BASE!$B$3:$F$119,4,FALSE),"")</f>
        <v>6 - DESPESA COM VENDAS</v>
      </c>
      <c r="K3532" s="77" t="str">
        <f>IFERROR(VLOOKUP(DESPESAS[[#This Row],[Plano de Contas]],BASE!$B$3:$H$119,5,FALSE),"")</f>
        <v>LOGÍSTICA</v>
      </c>
      <c r="L3532" s="77">
        <f>IFERROR(VLOOKUP(DESPESAS[[#This Row],[Plano de Contas]],BASE!$B$3:$H$119,6,FALSE),"")</f>
        <v>0</v>
      </c>
      <c r="M3532" s="77" t="str">
        <f>VLOOKUP(DESPESAS[[#This Row],[Plano de Contas]],BASE!$B$3:$H$119,7,FALSE)</f>
        <v>MYLENA</v>
      </c>
    </row>
    <row r="3533" spans="1:13" x14ac:dyDescent="0.25">
      <c r="A3533" s="74">
        <v>200753</v>
      </c>
      <c r="B3533" s="75" t="s">
        <v>221</v>
      </c>
      <c r="C3533" s="75" t="s">
        <v>400</v>
      </c>
      <c r="D3533" s="76">
        <v>46128</v>
      </c>
      <c r="E3533" s="75" t="s">
        <v>399</v>
      </c>
      <c r="F3533" s="74">
        <v>5</v>
      </c>
      <c r="G3533" s="75" t="s">
        <v>244</v>
      </c>
      <c r="H3533" s="77" t="str">
        <f>VLOOKUP(DESPESAS[[#This Row],[Plano de Contas]],BASE!$B$3:$D$119,3,FALSE)</f>
        <v>Material de Expediente (Prod)</v>
      </c>
      <c r="I3533" s="77" t="str">
        <f>IFERROR(VLOOKUP(DESPESAS[[#This Row],[Fornecedor]],Tabela2[],2,FALSE),"")</f>
        <v/>
      </c>
      <c r="J3533" s="77" t="str">
        <f>IFERROR(VLOOKUP(DESPESAS[[#This Row],[Plano de Contas]],BASE!$B$3:$F$119,4,FALSE),"")</f>
        <v>2 - CUSTOS DIRETOS</v>
      </c>
      <c r="K3533" s="77" t="str">
        <f>IFERROR(VLOOKUP(DESPESAS[[#This Row],[Plano de Contas]],BASE!$B$3:$H$119,5,FALSE),"")</f>
        <v>PRODUÇÃO</v>
      </c>
      <c r="L3533" s="77">
        <f>IFERROR(VLOOKUP(DESPESAS[[#This Row],[Plano de Contas]],BASE!$B$3:$H$119,6,FALSE),"")</f>
        <v>0</v>
      </c>
      <c r="M3533" s="77" t="str">
        <f>VLOOKUP(DESPESAS[[#This Row],[Plano de Contas]],BASE!$B$3:$H$119,7,FALSE)</f>
        <v>RAFAEL</v>
      </c>
    </row>
    <row r="3534" spans="1:13" x14ac:dyDescent="0.25">
      <c r="A3534" s="74">
        <v>200754</v>
      </c>
      <c r="B3534" s="75" t="s">
        <v>232</v>
      </c>
      <c r="C3534" s="75" t="s">
        <v>398</v>
      </c>
      <c r="D3534" s="76">
        <v>46132</v>
      </c>
      <c r="E3534" s="75" t="s">
        <v>391</v>
      </c>
      <c r="F3534" s="74">
        <v>2590</v>
      </c>
      <c r="G3534" s="75" t="s">
        <v>241</v>
      </c>
      <c r="H3534" s="77" t="str">
        <f>VLOOKUP(DESPESAS[[#This Row],[Plano de Contas]],BASE!$B$3:$D$119,3,FALSE)</f>
        <v>Combustiveis Frota</v>
      </c>
      <c r="I3534" s="77" t="str">
        <f>IFERROR(VLOOKUP(DESPESAS[[#This Row],[Fornecedor]],Tabela2[],2,FALSE),"")</f>
        <v/>
      </c>
      <c r="J3534" s="77" t="str">
        <f>IFERROR(VLOOKUP(DESPESAS[[#This Row],[Plano de Contas]],BASE!$B$3:$F$119,4,FALSE),"")</f>
        <v>6 - DESPESA COM VENDAS</v>
      </c>
      <c r="K3534" s="77" t="str">
        <f>IFERROR(VLOOKUP(DESPESAS[[#This Row],[Plano de Contas]],BASE!$B$3:$H$119,5,FALSE),"")</f>
        <v>LOGÍSTICA</v>
      </c>
      <c r="L3534" s="77">
        <f>IFERROR(VLOOKUP(DESPESAS[[#This Row],[Plano de Contas]],BASE!$B$3:$H$119,6,FALSE),"")</f>
        <v>0</v>
      </c>
      <c r="M3534" s="77" t="str">
        <f>VLOOKUP(DESPESAS[[#This Row],[Plano de Contas]],BASE!$B$3:$H$119,7,FALSE)</f>
        <v>MYLENA</v>
      </c>
    </row>
    <row r="3535" spans="1:13" x14ac:dyDescent="0.25">
      <c r="A3535" s="74">
        <v>200755</v>
      </c>
      <c r="B3535" s="75" t="s">
        <v>232</v>
      </c>
      <c r="C3535" s="75" t="s">
        <v>397</v>
      </c>
      <c r="D3535" s="76">
        <v>46132</v>
      </c>
      <c r="E3535" s="75" t="s">
        <v>391</v>
      </c>
      <c r="F3535" s="74">
        <v>99.18</v>
      </c>
      <c r="G3535" s="75" t="s">
        <v>241</v>
      </c>
      <c r="H3535" s="77" t="str">
        <f>VLOOKUP(DESPESAS[[#This Row],[Plano de Contas]],BASE!$B$3:$D$119,3,FALSE)</f>
        <v>Combustiveis Frota</v>
      </c>
      <c r="I3535" s="77" t="str">
        <f>IFERROR(VLOOKUP(DESPESAS[[#This Row],[Fornecedor]],Tabela2[],2,FALSE),"")</f>
        <v/>
      </c>
      <c r="J3535" s="77" t="str">
        <f>IFERROR(VLOOKUP(DESPESAS[[#This Row],[Plano de Contas]],BASE!$B$3:$F$119,4,FALSE),"")</f>
        <v>6 - DESPESA COM VENDAS</v>
      </c>
      <c r="K3535" s="77" t="str">
        <f>IFERROR(VLOOKUP(DESPESAS[[#This Row],[Plano de Contas]],BASE!$B$3:$H$119,5,FALSE),"")</f>
        <v>LOGÍSTICA</v>
      </c>
      <c r="L3535" s="77">
        <f>IFERROR(VLOOKUP(DESPESAS[[#This Row],[Plano de Contas]],BASE!$B$3:$H$119,6,FALSE),"")</f>
        <v>0</v>
      </c>
      <c r="M3535" s="77" t="str">
        <f>VLOOKUP(DESPESAS[[#This Row],[Plano de Contas]],BASE!$B$3:$H$119,7,FALSE)</f>
        <v>MYLENA</v>
      </c>
    </row>
    <row r="3536" spans="1:13" x14ac:dyDescent="0.25">
      <c r="A3536" s="74">
        <v>200757</v>
      </c>
      <c r="B3536" s="75" t="s">
        <v>232</v>
      </c>
      <c r="C3536" s="75" t="s">
        <v>396</v>
      </c>
      <c r="D3536" s="76">
        <v>46132</v>
      </c>
      <c r="E3536" s="75" t="s">
        <v>394</v>
      </c>
      <c r="F3536" s="74">
        <v>94.95</v>
      </c>
      <c r="G3536" s="75" t="s">
        <v>241</v>
      </c>
      <c r="H3536" s="77" t="str">
        <f>VLOOKUP(DESPESAS[[#This Row],[Plano de Contas]],BASE!$B$3:$D$119,3,FALSE)</f>
        <v>Combustiveis Frota</v>
      </c>
      <c r="I3536" s="77" t="str">
        <f>IFERROR(VLOOKUP(DESPESAS[[#This Row],[Fornecedor]],Tabela2[],2,FALSE),"")</f>
        <v/>
      </c>
      <c r="J3536" s="77" t="str">
        <f>IFERROR(VLOOKUP(DESPESAS[[#This Row],[Plano de Contas]],BASE!$B$3:$F$119,4,FALSE),"")</f>
        <v>6 - DESPESA COM VENDAS</v>
      </c>
      <c r="K3536" s="77" t="str">
        <f>IFERROR(VLOOKUP(DESPESAS[[#This Row],[Plano de Contas]],BASE!$B$3:$H$119,5,FALSE),"")</f>
        <v>LOGÍSTICA</v>
      </c>
      <c r="L3536" s="77">
        <f>IFERROR(VLOOKUP(DESPESAS[[#This Row],[Plano de Contas]],BASE!$B$3:$H$119,6,FALSE),"")</f>
        <v>0</v>
      </c>
      <c r="M3536" s="77" t="str">
        <f>VLOOKUP(DESPESAS[[#This Row],[Plano de Contas]],BASE!$B$3:$H$119,7,FALSE)</f>
        <v>MYLENA</v>
      </c>
    </row>
    <row r="3537" spans="1:13" x14ac:dyDescent="0.25">
      <c r="A3537" s="74">
        <v>200758</v>
      </c>
      <c r="B3537" s="75" t="s">
        <v>232</v>
      </c>
      <c r="C3537" s="75" t="s">
        <v>395</v>
      </c>
      <c r="D3537" s="76">
        <v>46132</v>
      </c>
      <c r="E3537" s="75" t="s">
        <v>394</v>
      </c>
      <c r="F3537" s="74">
        <v>2398.9699999999998</v>
      </c>
      <c r="G3537" s="75" t="s">
        <v>241</v>
      </c>
      <c r="H3537" s="77" t="str">
        <f>VLOOKUP(DESPESAS[[#This Row],[Plano de Contas]],BASE!$B$3:$D$119,3,FALSE)</f>
        <v>Combustiveis Frota</v>
      </c>
      <c r="I3537" s="77" t="str">
        <f>IFERROR(VLOOKUP(DESPESAS[[#This Row],[Fornecedor]],Tabela2[],2,FALSE),"")</f>
        <v/>
      </c>
      <c r="J3537" s="77" t="str">
        <f>IFERROR(VLOOKUP(DESPESAS[[#This Row],[Plano de Contas]],BASE!$B$3:$F$119,4,FALSE),"")</f>
        <v>6 - DESPESA COM VENDAS</v>
      </c>
      <c r="K3537" s="77" t="str">
        <f>IFERROR(VLOOKUP(DESPESAS[[#This Row],[Plano de Contas]],BASE!$B$3:$H$119,5,FALSE),"")</f>
        <v>LOGÍSTICA</v>
      </c>
      <c r="L3537" s="77">
        <f>IFERROR(VLOOKUP(DESPESAS[[#This Row],[Plano de Contas]],BASE!$B$3:$H$119,6,FALSE),"")</f>
        <v>0</v>
      </c>
      <c r="M3537" s="77" t="str">
        <f>VLOOKUP(DESPESAS[[#This Row],[Plano de Contas]],BASE!$B$3:$H$119,7,FALSE)</f>
        <v>MYLENA</v>
      </c>
    </row>
    <row r="3538" spans="1:13" x14ac:dyDescent="0.25">
      <c r="A3538" s="74">
        <v>200759</v>
      </c>
      <c r="B3538" s="75" t="s">
        <v>232</v>
      </c>
      <c r="C3538" s="75" t="s">
        <v>393</v>
      </c>
      <c r="D3538" s="76">
        <v>46132</v>
      </c>
      <c r="E3538" s="75" t="s">
        <v>389</v>
      </c>
      <c r="F3538" s="74">
        <v>1232.24</v>
      </c>
      <c r="G3538" s="75" t="s">
        <v>241</v>
      </c>
      <c r="H3538" s="77" t="str">
        <f>VLOOKUP(DESPESAS[[#This Row],[Plano de Contas]],BASE!$B$3:$D$119,3,FALSE)</f>
        <v>Combustiveis Frota</v>
      </c>
      <c r="I3538" s="77" t="str">
        <f>IFERROR(VLOOKUP(DESPESAS[[#This Row],[Fornecedor]],Tabela2[],2,FALSE),"")</f>
        <v/>
      </c>
      <c r="J3538" s="77" t="str">
        <f>IFERROR(VLOOKUP(DESPESAS[[#This Row],[Plano de Contas]],BASE!$B$3:$F$119,4,FALSE),"")</f>
        <v>6 - DESPESA COM VENDAS</v>
      </c>
      <c r="K3538" s="77" t="str">
        <f>IFERROR(VLOOKUP(DESPESAS[[#This Row],[Plano de Contas]],BASE!$B$3:$H$119,5,FALSE),"")</f>
        <v>LOGÍSTICA</v>
      </c>
      <c r="L3538" s="77">
        <f>IFERROR(VLOOKUP(DESPESAS[[#This Row],[Plano de Contas]],BASE!$B$3:$H$119,6,FALSE),"")</f>
        <v>0</v>
      </c>
      <c r="M3538" s="77" t="str">
        <f>VLOOKUP(DESPESAS[[#This Row],[Plano de Contas]],BASE!$B$3:$H$119,7,FALSE)</f>
        <v>MYLENA</v>
      </c>
    </row>
    <row r="3539" spans="1:13" x14ac:dyDescent="0.25">
      <c r="A3539" s="74">
        <v>200760</v>
      </c>
      <c r="B3539" s="75" t="s">
        <v>232</v>
      </c>
      <c r="C3539" s="75" t="s">
        <v>392</v>
      </c>
      <c r="D3539" s="76">
        <v>46132</v>
      </c>
      <c r="E3539" s="75" t="s">
        <v>391</v>
      </c>
      <c r="F3539" s="74">
        <v>1900.01</v>
      </c>
      <c r="G3539" s="75" t="s">
        <v>241</v>
      </c>
      <c r="H3539" s="77" t="str">
        <f>VLOOKUP(DESPESAS[[#This Row],[Plano de Contas]],BASE!$B$3:$D$119,3,FALSE)</f>
        <v>Combustiveis Frota</v>
      </c>
      <c r="I3539" s="77" t="str">
        <f>IFERROR(VLOOKUP(DESPESAS[[#This Row],[Fornecedor]],Tabela2[],2,FALSE),"")</f>
        <v/>
      </c>
      <c r="J3539" s="77" t="str">
        <f>IFERROR(VLOOKUP(DESPESAS[[#This Row],[Plano de Contas]],BASE!$B$3:$F$119,4,FALSE),"")</f>
        <v>6 - DESPESA COM VENDAS</v>
      </c>
      <c r="K3539" s="77" t="str">
        <f>IFERROR(VLOOKUP(DESPESAS[[#This Row],[Plano de Contas]],BASE!$B$3:$H$119,5,FALSE),"")</f>
        <v>LOGÍSTICA</v>
      </c>
      <c r="L3539" s="77">
        <f>IFERROR(VLOOKUP(DESPESAS[[#This Row],[Plano de Contas]],BASE!$B$3:$H$119,6,FALSE),"")</f>
        <v>0</v>
      </c>
      <c r="M3539" s="77" t="str">
        <f>VLOOKUP(DESPESAS[[#This Row],[Plano de Contas]],BASE!$B$3:$H$119,7,FALSE)</f>
        <v>MYLENA</v>
      </c>
    </row>
    <row r="3540" spans="1:13" x14ac:dyDescent="0.25">
      <c r="A3540" s="74">
        <v>200761</v>
      </c>
      <c r="B3540" s="75" t="s">
        <v>232</v>
      </c>
      <c r="C3540" s="75" t="s">
        <v>390</v>
      </c>
      <c r="D3540" s="76">
        <v>46132</v>
      </c>
      <c r="E3540" s="75" t="s">
        <v>389</v>
      </c>
      <c r="F3540" s="74">
        <v>113.17</v>
      </c>
      <c r="G3540" s="75" t="s">
        <v>241</v>
      </c>
      <c r="H3540" s="77" t="str">
        <f>VLOOKUP(DESPESAS[[#This Row],[Plano de Contas]],BASE!$B$3:$D$119,3,FALSE)</f>
        <v>Combustiveis Frota</v>
      </c>
      <c r="I3540" s="77" t="str">
        <f>IFERROR(VLOOKUP(DESPESAS[[#This Row],[Fornecedor]],Tabela2[],2,FALSE),"")</f>
        <v/>
      </c>
      <c r="J3540" s="77" t="str">
        <f>IFERROR(VLOOKUP(DESPESAS[[#This Row],[Plano de Contas]],BASE!$B$3:$F$119,4,FALSE),"")</f>
        <v>6 - DESPESA COM VENDAS</v>
      </c>
      <c r="K3540" s="77" t="str">
        <f>IFERROR(VLOOKUP(DESPESAS[[#This Row],[Plano de Contas]],BASE!$B$3:$H$119,5,FALSE),"")</f>
        <v>LOGÍSTICA</v>
      </c>
      <c r="L3540" s="77">
        <f>IFERROR(VLOOKUP(DESPESAS[[#This Row],[Plano de Contas]],BASE!$B$3:$H$119,6,FALSE),"")</f>
        <v>0</v>
      </c>
      <c r="M3540" s="77" t="str">
        <f>VLOOKUP(DESPESAS[[#This Row],[Plano de Contas]],BASE!$B$3:$H$119,7,FALSE)</f>
        <v>MYLENA</v>
      </c>
    </row>
    <row r="3541" spans="1:13" x14ac:dyDescent="0.25">
      <c r="A3541" s="74">
        <v>200762</v>
      </c>
      <c r="B3541" s="75" t="s">
        <v>221</v>
      </c>
      <c r="C3541" s="75" t="s">
        <v>388</v>
      </c>
      <c r="D3541" s="76">
        <v>46132</v>
      </c>
      <c r="E3541" s="75" t="s">
        <v>366</v>
      </c>
      <c r="F3541" s="74">
        <v>2572.1</v>
      </c>
      <c r="G3541" s="75" t="s">
        <v>365</v>
      </c>
      <c r="H3541" s="77" t="str">
        <f>VLOOKUP(DESPESAS[[#This Row],[Plano de Contas]],BASE!$B$3:$D$119,3,FALSE)</f>
        <v>Pró-Labore</v>
      </c>
      <c r="I3541" s="77" t="str">
        <f>IFERROR(VLOOKUP(DESPESAS[[#This Row],[Fornecedor]],Tabela2[],2,FALSE),"")</f>
        <v/>
      </c>
      <c r="J3541" s="77" t="str">
        <f>IFERROR(VLOOKUP(DESPESAS[[#This Row],[Plano de Contas]],BASE!$B$3:$F$119,4,FALSE),"")</f>
        <v>4 - GASTOS COM PESSOAL</v>
      </c>
      <c r="K3541" s="77" t="str">
        <f>IFERROR(VLOOKUP(DESPESAS[[#This Row],[Plano de Contas]],BASE!$B$3:$H$119,5,FALSE),"")</f>
        <v>DIRETORIA</v>
      </c>
      <c r="L3541" s="77">
        <f>IFERROR(VLOOKUP(DESPESAS[[#This Row],[Plano de Contas]],BASE!$B$3:$H$119,6,FALSE),"")</f>
        <v>0</v>
      </c>
      <c r="M3541" s="77" t="str">
        <f>VLOOKUP(DESPESAS[[#This Row],[Plano de Contas]],BASE!$B$3:$H$119,7,FALSE)</f>
        <v>FÁBIO</v>
      </c>
    </row>
    <row r="3542" spans="1:13" x14ac:dyDescent="0.25">
      <c r="A3542" s="74">
        <v>200763</v>
      </c>
      <c r="B3542" s="75" t="s">
        <v>279</v>
      </c>
      <c r="C3542" s="75" t="s">
        <v>387</v>
      </c>
      <c r="D3542" s="76">
        <v>46132</v>
      </c>
      <c r="E3542" s="75" t="s">
        <v>230</v>
      </c>
      <c r="F3542" s="74">
        <v>244.93</v>
      </c>
      <c r="G3542" s="75" t="s">
        <v>229</v>
      </c>
      <c r="H3542" s="77" t="str">
        <f>VLOOKUP(DESPESAS[[#This Row],[Plano de Contas]],BASE!$B$3:$D$119,3,FALSE)</f>
        <v>Despesas Bancarias</v>
      </c>
      <c r="I3542" s="77" t="str">
        <f>IFERROR(VLOOKUP(DESPESAS[[#This Row],[Fornecedor]],Tabela2[],2,FALSE),"")</f>
        <v/>
      </c>
      <c r="J3542" s="77" t="str">
        <f>IFERROR(VLOOKUP(DESPESAS[[#This Row],[Plano de Contas]],BASE!$B$3:$F$119,4,FALSE),"")</f>
        <v>8 - DESPESAS FINANCEIRAS</v>
      </c>
      <c r="K3542" s="77" t="str">
        <f>IFERROR(VLOOKUP(DESPESAS[[#This Row],[Plano de Contas]],BASE!$B$3:$H$119,5,FALSE),"")</f>
        <v>FINANCEIRO</v>
      </c>
      <c r="L3542" s="77">
        <f>IFERROR(VLOOKUP(DESPESAS[[#This Row],[Plano de Contas]],BASE!$B$3:$H$119,6,FALSE),"")</f>
        <v>0</v>
      </c>
      <c r="M3542" s="77" t="str">
        <f>VLOOKUP(DESPESAS[[#This Row],[Plano de Contas]],BASE!$B$3:$H$119,7,FALSE)</f>
        <v>LETÍCIA</v>
      </c>
    </row>
    <row r="3543" spans="1:13" x14ac:dyDescent="0.25">
      <c r="A3543" s="74">
        <v>200764</v>
      </c>
      <c r="B3543" s="75" t="s">
        <v>279</v>
      </c>
      <c r="C3543" s="75" t="s">
        <v>386</v>
      </c>
      <c r="D3543" s="76">
        <v>46132</v>
      </c>
      <c r="E3543" s="75" t="s">
        <v>230</v>
      </c>
      <c r="F3543" s="74">
        <v>312.92</v>
      </c>
      <c r="G3543" s="75" t="s">
        <v>229</v>
      </c>
      <c r="H3543" s="77" t="str">
        <f>VLOOKUP(DESPESAS[[#This Row],[Plano de Contas]],BASE!$B$3:$D$119,3,FALSE)</f>
        <v>Despesas Bancarias</v>
      </c>
      <c r="I3543" s="77" t="str">
        <f>IFERROR(VLOOKUP(DESPESAS[[#This Row],[Fornecedor]],Tabela2[],2,FALSE),"")</f>
        <v/>
      </c>
      <c r="J3543" s="77" t="str">
        <f>IFERROR(VLOOKUP(DESPESAS[[#This Row],[Plano de Contas]],BASE!$B$3:$F$119,4,FALSE),"")</f>
        <v>8 - DESPESAS FINANCEIRAS</v>
      </c>
      <c r="K3543" s="77" t="str">
        <f>IFERROR(VLOOKUP(DESPESAS[[#This Row],[Plano de Contas]],BASE!$B$3:$H$119,5,FALSE),"")</f>
        <v>FINANCEIRO</v>
      </c>
      <c r="L3543" s="77">
        <f>IFERROR(VLOOKUP(DESPESAS[[#This Row],[Plano de Contas]],BASE!$B$3:$H$119,6,FALSE),"")</f>
        <v>0</v>
      </c>
      <c r="M3543" s="77" t="str">
        <f>VLOOKUP(DESPESAS[[#This Row],[Plano de Contas]],BASE!$B$3:$H$119,7,FALSE)</f>
        <v>LETÍCIA</v>
      </c>
    </row>
    <row r="3544" spans="1:13" x14ac:dyDescent="0.25">
      <c r="A3544" s="74">
        <v>200765</v>
      </c>
      <c r="B3544" s="75" t="s">
        <v>279</v>
      </c>
      <c r="C3544" s="75" t="s">
        <v>385</v>
      </c>
      <c r="D3544" s="76">
        <v>46132</v>
      </c>
      <c r="E3544" s="75" t="s">
        <v>230</v>
      </c>
      <c r="F3544" s="74">
        <v>1459.15</v>
      </c>
      <c r="G3544" s="75" t="s">
        <v>251</v>
      </c>
      <c r="H3544" s="77" t="str">
        <f>VLOOKUP(DESPESAS[[#This Row],[Plano de Contas]],BASE!$B$3:$D$119,3,FALSE)</f>
        <v>Juros Pagos - Antecipação de Crédito</v>
      </c>
      <c r="I3544" s="77" t="str">
        <f>IFERROR(VLOOKUP(DESPESAS[[#This Row],[Fornecedor]],Tabela2[],2,FALSE),"")</f>
        <v/>
      </c>
      <c r="J3544" s="77" t="str">
        <f>IFERROR(VLOOKUP(DESPESAS[[#This Row],[Plano de Contas]],BASE!$B$3:$F$119,4,FALSE),"")</f>
        <v>8 - DESPESAS FINANCEIRAS</v>
      </c>
      <c r="K3544" s="77" t="str">
        <f>IFERROR(VLOOKUP(DESPESAS[[#This Row],[Plano de Contas]],BASE!$B$3:$H$119,5,FALSE),"")</f>
        <v>FINANCEIRO</v>
      </c>
      <c r="L3544" s="77">
        <f>IFERROR(VLOOKUP(DESPESAS[[#This Row],[Plano de Contas]],BASE!$B$3:$H$119,6,FALSE),"")</f>
        <v>0</v>
      </c>
      <c r="M3544" s="77" t="str">
        <f>VLOOKUP(DESPESAS[[#This Row],[Plano de Contas]],BASE!$B$3:$H$119,7,FALSE)</f>
        <v>LETÍCIA</v>
      </c>
    </row>
    <row r="3545" spans="1:13" x14ac:dyDescent="0.25">
      <c r="A3545" s="74">
        <v>200766</v>
      </c>
      <c r="B3545" s="75" t="s">
        <v>232</v>
      </c>
      <c r="C3545" s="75" t="s">
        <v>384</v>
      </c>
      <c r="D3545" s="76">
        <v>46132</v>
      </c>
      <c r="E3545" s="75" t="s">
        <v>230</v>
      </c>
      <c r="F3545" s="74">
        <v>523.38</v>
      </c>
      <c r="G3545" s="75" t="s">
        <v>229</v>
      </c>
      <c r="H3545" s="77" t="str">
        <f>VLOOKUP(DESPESAS[[#This Row],[Plano de Contas]],BASE!$B$3:$D$119,3,FALSE)</f>
        <v>Despesas Bancarias</v>
      </c>
      <c r="I3545" s="77" t="str">
        <f>IFERROR(VLOOKUP(DESPESAS[[#This Row],[Fornecedor]],Tabela2[],2,FALSE),"")</f>
        <v/>
      </c>
      <c r="J3545" s="77" t="str">
        <f>IFERROR(VLOOKUP(DESPESAS[[#This Row],[Plano de Contas]],BASE!$B$3:$F$119,4,FALSE),"")</f>
        <v>8 - DESPESAS FINANCEIRAS</v>
      </c>
      <c r="K3545" s="77" t="str">
        <f>IFERROR(VLOOKUP(DESPESAS[[#This Row],[Plano de Contas]],BASE!$B$3:$H$119,5,FALSE),"")</f>
        <v>FINANCEIRO</v>
      </c>
      <c r="L3545" s="77">
        <f>IFERROR(VLOOKUP(DESPESAS[[#This Row],[Plano de Contas]],BASE!$B$3:$H$119,6,FALSE),"")</f>
        <v>0</v>
      </c>
      <c r="M3545" s="77" t="str">
        <f>VLOOKUP(DESPESAS[[#This Row],[Plano de Contas]],BASE!$B$3:$H$119,7,FALSE)</f>
        <v>LETÍCIA</v>
      </c>
    </row>
    <row r="3546" spans="1:13" x14ac:dyDescent="0.25">
      <c r="A3546" s="74">
        <v>200767</v>
      </c>
      <c r="B3546" s="75" t="s">
        <v>232</v>
      </c>
      <c r="C3546" s="75" t="s">
        <v>383</v>
      </c>
      <c r="D3546" s="76">
        <v>46132</v>
      </c>
      <c r="E3546" s="75" t="s">
        <v>230</v>
      </c>
      <c r="F3546" s="74">
        <v>527.9</v>
      </c>
      <c r="G3546" s="75" t="s">
        <v>229</v>
      </c>
      <c r="H3546" s="77" t="str">
        <f>VLOOKUP(DESPESAS[[#This Row],[Plano de Contas]],BASE!$B$3:$D$119,3,FALSE)</f>
        <v>Despesas Bancarias</v>
      </c>
      <c r="I3546" s="77" t="str">
        <f>IFERROR(VLOOKUP(DESPESAS[[#This Row],[Fornecedor]],Tabela2[],2,FALSE),"")</f>
        <v/>
      </c>
      <c r="J3546" s="77" t="str">
        <f>IFERROR(VLOOKUP(DESPESAS[[#This Row],[Plano de Contas]],BASE!$B$3:$F$119,4,FALSE),"")</f>
        <v>8 - DESPESAS FINANCEIRAS</v>
      </c>
      <c r="K3546" s="77" t="str">
        <f>IFERROR(VLOOKUP(DESPESAS[[#This Row],[Plano de Contas]],BASE!$B$3:$H$119,5,FALSE),"")</f>
        <v>FINANCEIRO</v>
      </c>
      <c r="L3546" s="77">
        <f>IFERROR(VLOOKUP(DESPESAS[[#This Row],[Plano de Contas]],BASE!$B$3:$H$119,6,FALSE),"")</f>
        <v>0</v>
      </c>
      <c r="M3546" s="77" t="str">
        <f>VLOOKUP(DESPESAS[[#This Row],[Plano de Contas]],BASE!$B$3:$H$119,7,FALSE)</f>
        <v>LETÍCIA</v>
      </c>
    </row>
    <row r="3547" spans="1:13" x14ac:dyDescent="0.25">
      <c r="A3547" s="74">
        <v>200768</v>
      </c>
      <c r="B3547" s="75" t="s">
        <v>232</v>
      </c>
      <c r="C3547" s="75" t="s">
        <v>382</v>
      </c>
      <c r="D3547" s="76">
        <v>46132</v>
      </c>
      <c r="E3547" s="75" t="s">
        <v>230</v>
      </c>
      <c r="F3547" s="74">
        <v>3226.85</v>
      </c>
      <c r="G3547" s="75" t="s">
        <v>251</v>
      </c>
      <c r="H3547" s="77" t="str">
        <f>VLOOKUP(DESPESAS[[#This Row],[Plano de Contas]],BASE!$B$3:$D$119,3,FALSE)</f>
        <v>Juros Pagos - Antecipação de Crédito</v>
      </c>
      <c r="I3547" s="77" t="str">
        <f>IFERROR(VLOOKUP(DESPESAS[[#This Row],[Fornecedor]],Tabela2[],2,FALSE),"")</f>
        <v/>
      </c>
      <c r="J3547" s="77" t="str">
        <f>IFERROR(VLOOKUP(DESPESAS[[#This Row],[Plano de Contas]],BASE!$B$3:$F$119,4,FALSE),"")</f>
        <v>8 - DESPESAS FINANCEIRAS</v>
      </c>
      <c r="K3547" s="77" t="str">
        <f>IFERROR(VLOOKUP(DESPESAS[[#This Row],[Plano de Contas]],BASE!$B$3:$H$119,5,FALSE),"")</f>
        <v>FINANCEIRO</v>
      </c>
      <c r="L3547" s="77">
        <f>IFERROR(VLOOKUP(DESPESAS[[#This Row],[Plano de Contas]],BASE!$B$3:$H$119,6,FALSE),"")</f>
        <v>0</v>
      </c>
      <c r="M3547" s="77" t="str">
        <f>VLOOKUP(DESPESAS[[#This Row],[Plano de Contas]],BASE!$B$3:$H$119,7,FALSE)</f>
        <v>LETÍCIA</v>
      </c>
    </row>
    <row r="3548" spans="1:13" x14ac:dyDescent="0.25">
      <c r="A3548" s="74">
        <v>200769</v>
      </c>
      <c r="B3548" s="75" t="s">
        <v>221</v>
      </c>
      <c r="C3548" s="75" t="s">
        <v>381</v>
      </c>
      <c r="D3548" s="76">
        <v>46132</v>
      </c>
      <c r="E3548" s="75" t="s">
        <v>380</v>
      </c>
      <c r="F3548" s="74">
        <v>24</v>
      </c>
      <c r="G3548" s="75" t="s">
        <v>360</v>
      </c>
      <c r="H3548" s="77" t="str">
        <f>VLOOKUP(DESPESAS[[#This Row],[Plano de Contas]],BASE!$B$3:$D$119,3,FALSE)</f>
        <v>Publicidade e Propaganda</v>
      </c>
      <c r="I3548" s="77" t="str">
        <f>IFERROR(VLOOKUP(DESPESAS[[#This Row],[Fornecedor]],Tabela2[],2,FALSE),"")</f>
        <v>COMPONENTES T.I</v>
      </c>
      <c r="J3548" s="77" t="str">
        <f>IFERROR(VLOOKUP(DESPESAS[[#This Row],[Plano de Contas]],BASE!$B$3:$F$119,4,FALSE),"")</f>
        <v>6 - DESPESA COM VENDAS</v>
      </c>
      <c r="K3548" s="77" t="str">
        <f>IFERROR(VLOOKUP(DESPESAS[[#This Row],[Plano de Contas]],BASE!$B$3:$H$119,5,FALSE),"")</f>
        <v>COMERCIAL</v>
      </c>
      <c r="L3548" s="77">
        <f>IFERROR(VLOOKUP(DESPESAS[[#This Row],[Plano de Contas]],BASE!$B$3:$H$119,6,FALSE),"")</f>
        <v>0</v>
      </c>
      <c r="M3548" s="77" t="str">
        <f>VLOOKUP(DESPESAS[[#This Row],[Plano de Contas]],BASE!$B$3:$H$119,7,FALSE)</f>
        <v>THAIS</v>
      </c>
    </row>
    <row r="3549" spans="1:13" x14ac:dyDescent="0.25">
      <c r="A3549" s="74">
        <v>200770</v>
      </c>
      <c r="B3549" s="75" t="s">
        <v>221</v>
      </c>
      <c r="C3549" s="75" t="s">
        <v>379</v>
      </c>
      <c r="D3549" s="76">
        <v>46132</v>
      </c>
      <c r="E3549" s="75" t="s">
        <v>256</v>
      </c>
      <c r="F3549" s="74">
        <v>32</v>
      </c>
      <c r="G3549" s="75" t="s">
        <v>255</v>
      </c>
      <c r="H3549" s="77" t="str">
        <f>VLOOKUP(DESPESAS[[#This Row],[Plano de Contas]],BASE!$B$3:$D$119,3,FALSE)</f>
        <v>Mostruário de Tecido</v>
      </c>
      <c r="I3549" s="77" t="str">
        <f>IFERROR(VLOOKUP(DESPESAS[[#This Row],[Fornecedor]],Tabela2[],2,FALSE),"")</f>
        <v/>
      </c>
      <c r="J3549" s="77" t="str">
        <f>IFERROR(VLOOKUP(DESPESAS[[#This Row],[Plano de Contas]],BASE!$B$3:$F$119,4,FALSE),"")</f>
        <v>6 - DESPESA COM VENDAS</v>
      </c>
      <c r="K3549" s="77" t="str">
        <f>IFERROR(VLOOKUP(DESPESAS[[#This Row],[Plano de Contas]],BASE!$B$3:$H$119,5,FALSE),"")</f>
        <v>COMERCIAL</v>
      </c>
      <c r="L3549" s="77">
        <f>IFERROR(VLOOKUP(DESPESAS[[#This Row],[Plano de Contas]],BASE!$B$3:$H$119,6,FALSE),"")</f>
        <v>0</v>
      </c>
      <c r="M3549" s="77" t="str">
        <f>VLOOKUP(DESPESAS[[#This Row],[Plano de Contas]],BASE!$B$3:$H$119,7,FALSE)</f>
        <v>LETÍCIA</v>
      </c>
    </row>
    <row r="3550" spans="1:13" x14ac:dyDescent="0.25">
      <c r="A3550" s="74">
        <v>200771</v>
      </c>
      <c r="B3550" s="75" t="s">
        <v>221</v>
      </c>
      <c r="C3550" s="75" t="s">
        <v>378</v>
      </c>
      <c r="D3550" s="76">
        <v>46132</v>
      </c>
      <c r="E3550" s="75" t="s">
        <v>256</v>
      </c>
      <c r="F3550" s="74">
        <v>507.4</v>
      </c>
      <c r="G3550" s="75" t="s">
        <v>255</v>
      </c>
      <c r="H3550" s="77" t="str">
        <f>VLOOKUP(DESPESAS[[#This Row],[Plano de Contas]],BASE!$B$3:$D$119,3,FALSE)</f>
        <v>Mostruário de Tecido</v>
      </c>
      <c r="I3550" s="77" t="str">
        <f>IFERROR(VLOOKUP(DESPESAS[[#This Row],[Fornecedor]],Tabela2[],2,FALSE),"")</f>
        <v/>
      </c>
      <c r="J3550" s="77" t="str">
        <f>IFERROR(VLOOKUP(DESPESAS[[#This Row],[Plano de Contas]],BASE!$B$3:$F$119,4,FALSE),"")</f>
        <v>6 - DESPESA COM VENDAS</v>
      </c>
      <c r="K3550" s="77" t="str">
        <f>IFERROR(VLOOKUP(DESPESAS[[#This Row],[Plano de Contas]],BASE!$B$3:$H$119,5,FALSE),"")</f>
        <v>COMERCIAL</v>
      </c>
      <c r="L3550" s="77">
        <f>IFERROR(VLOOKUP(DESPESAS[[#This Row],[Plano de Contas]],BASE!$B$3:$H$119,6,FALSE),"")</f>
        <v>0</v>
      </c>
      <c r="M3550" s="77" t="str">
        <f>VLOOKUP(DESPESAS[[#This Row],[Plano de Contas]],BASE!$B$3:$H$119,7,FALSE)</f>
        <v>LETÍCIA</v>
      </c>
    </row>
    <row r="3551" spans="1:13" x14ac:dyDescent="0.25">
      <c r="A3551" s="74">
        <v>200772</v>
      </c>
      <c r="B3551" s="75" t="s">
        <v>281</v>
      </c>
      <c r="C3551" s="75" t="s">
        <v>377</v>
      </c>
      <c r="D3551" s="76">
        <v>46132</v>
      </c>
      <c r="E3551" s="75" t="s">
        <v>230</v>
      </c>
      <c r="F3551" s="74">
        <v>79</v>
      </c>
      <c r="G3551" s="75" t="s">
        <v>229</v>
      </c>
      <c r="H3551" s="77" t="str">
        <f>VLOOKUP(DESPESAS[[#This Row],[Plano de Contas]],BASE!$B$3:$D$119,3,FALSE)</f>
        <v>Despesas Bancarias</v>
      </c>
      <c r="I3551" s="77" t="str">
        <f>IFERROR(VLOOKUP(DESPESAS[[#This Row],[Fornecedor]],Tabela2[],2,FALSE),"")</f>
        <v/>
      </c>
      <c r="J3551" s="77" t="str">
        <f>IFERROR(VLOOKUP(DESPESAS[[#This Row],[Plano de Contas]],BASE!$B$3:$F$119,4,FALSE),"")</f>
        <v>8 - DESPESAS FINANCEIRAS</v>
      </c>
      <c r="K3551" s="77" t="str">
        <f>IFERROR(VLOOKUP(DESPESAS[[#This Row],[Plano de Contas]],BASE!$B$3:$H$119,5,FALSE),"")</f>
        <v>FINANCEIRO</v>
      </c>
      <c r="L3551" s="77">
        <f>IFERROR(VLOOKUP(DESPESAS[[#This Row],[Plano de Contas]],BASE!$B$3:$H$119,6,FALSE),"")</f>
        <v>0</v>
      </c>
      <c r="M3551" s="77" t="str">
        <f>VLOOKUP(DESPESAS[[#This Row],[Plano de Contas]],BASE!$B$3:$H$119,7,FALSE)</f>
        <v>LETÍCIA</v>
      </c>
    </row>
    <row r="3552" spans="1:13" x14ac:dyDescent="0.25">
      <c r="A3552" s="74">
        <v>200775</v>
      </c>
      <c r="B3552" s="75" t="s">
        <v>221</v>
      </c>
      <c r="C3552" s="75" t="s">
        <v>376</v>
      </c>
      <c r="D3552" s="76">
        <v>46132</v>
      </c>
      <c r="E3552" s="75" t="s">
        <v>375</v>
      </c>
      <c r="F3552" s="74">
        <v>659.41</v>
      </c>
      <c r="G3552" s="75" t="s">
        <v>374</v>
      </c>
      <c r="H3552" s="77" t="str">
        <f>VLOOKUP(DESPESAS[[#This Row],[Plano de Contas]],BASE!$B$3:$D$119,3,FALSE)</f>
        <v>Consultoria Empresarial</v>
      </c>
      <c r="I3552" s="77" t="str">
        <f>IFERROR(VLOOKUP(DESPESAS[[#This Row],[Fornecedor]],Tabela2[],2,FALSE),"")</f>
        <v/>
      </c>
      <c r="J3552" s="77" t="str">
        <f>IFERROR(VLOOKUP(DESPESAS[[#This Row],[Plano de Contas]],BASE!$B$3:$F$119,4,FALSE),"")</f>
        <v>7 - SERVIÇOS DE TERCEIROS</v>
      </c>
      <c r="K3552" s="77" t="str">
        <f>IFERROR(VLOOKUP(DESPESAS[[#This Row],[Plano de Contas]],BASE!$B$3:$H$119,5,FALSE),"")</f>
        <v>FINANCEIRO</v>
      </c>
      <c r="L3552" s="77">
        <f>IFERROR(VLOOKUP(DESPESAS[[#This Row],[Plano de Contas]],BASE!$B$3:$H$119,6,FALSE),"")</f>
        <v>0</v>
      </c>
      <c r="M3552" s="77" t="str">
        <f>VLOOKUP(DESPESAS[[#This Row],[Plano de Contas]],BASE!$B$3:$H$119,7,FALSE)</f>
        <v>LETÍCIA</v>
      </c>
    </row>
    <row r="3553" spans="1:13" x14ac:dyDescent="0.25">
      <c r="A3553" s="74">
        <v>200776</v>
      </c>
      <c r="B3553" s="75" t="s">
        <v>232</v>
      </c>
      <c r="C3553" s="75" t="s">
        <v>373</v>
      </c>
      <c r="D3553" s="76">
        <v>46134</v>
      </c>
      <c r="E3553" s="75" t="s">
        <v>371</v>
      </c>
      <c r="F3553" s="74">
        <v>9236.7199999999993</v>
      </c>
      <c r="G3553" s="75" t="s">
        <v>370</v>
      </c>
      <c r="H3553" s="77" t="str">
        <f>VLOOKUP(DESPESAS[[#This Row],[Plano de Contas]],BASE!$B$3:$D$119,3,FALSE)</f>
        <v>Rescisões CIF</v>
      </c>
      <c r="I3553" s="77" t="str">
        <f>IFERROR(VLOOKUP(DESPESAS[[#This Row],[Fornecedor]],Tabela2[],2,FALSE),"")</f>
        <v/>
      </c>
      <c r="J3553" s="77" t="str">
        <f>IFERROR(VLOOKUP(DESPESAS[[#This Row],[Plano de Contas]],BASE!$B$3:$F$119,4,FALSE),"")</f>
        <v>3 - CUSTOS INDIRETOS</v>
      </c>
      <c r="K3553" s="77" t="str">
        <f>IFERROR(VLOOKUP(DESPESAS[[#This Row],[Plano de Contas]],BASE!$B$3:$H$119,5,FALSE),"")</f>
        <v>DH</v>
      </c>
      <c r="L3553" s="77">
        <f>IFERROR(VLOOKUP(DESPESAS[[#This Row],[Plano de Contas]],BASE!$B$3:$H$119,6,FALSE),"")</f>
        <v>0</v>
      </c>
      <c r="M3553" s="77" t="str">
        <f>VLOOKUP(DESPESAS[[#This Row],[Plano de Contas]],BASE!$B$3:$H$119,7,FALSE)</f>
        <v>RAFAEL</v>
      </c>
    </row>
    <row r="3554" spans="1:13" x14ac:dyDescent="0.25">
      <c r="A3554" s="74">
        <v>200777</v>
      </c>
      <c r="B3554" s="75" t="s">
        <v>232</v>
      </c>
      <c r="C3554" s="75" t="s">
        <v>372</v>
      </c>
      <c r="D3554" s="76">
        <v>46134</v>
      </c>
      <c r="E3554" s="75" t="s">
        <v>371</v>
      </c>
      <c r="F3554" s="74">
        <v>3922.79</v>
      </c>
      <c r="G3554" s="75" t="s">
        <v>370</v>
      </c>
      <c r="H3554" s="77" t="str">
        <f>VLOOKUP(DESPESAS[[#This Row],[Plano de Contas]],BASE!$B$3:$D$119,3,FALSE)</f>
        <v>Rescisões CIF</v>
      </c>
      <c r="I3554" s="77" t="str">
        <f>IFERROR(VLOOKUP(DESPESAS[[#This Row],[Fornecedor]],Tabela2[],2,FALSE),"")</f>
        <v/>
      </c>
      <c r="J3554" s="77" t="str">
        <f>IFERROR(VLOOKUP(DESPESAS[[#This Row],[Plano de Contas]],BASE!$B$3:$F$119,4,FALSE),"")</f>
        <v>3 - CUSTOS INDIRETOS</v>
      </c>
      <c r="K3554" s="77" t="str">
        <f>IFERROR(VLOOKUP(DESPESAS[[#This Row],[Plano de Contas]],BASE!$B$3:$H$119,5,FALSE),"")</f>
        <v>DH</v>
      </c>
      <c r="L3554" s="77">
        <f>IFERROR(VLOOKUP(DESPESAS[[#This Row],[Plano de Contas]],BASE!$B$3:$H$119,6,FALSE),"")</f>
        <v>0</v>
      </c>
      <c r="M3554" s="77" t="str">
        <f>VLOOKUP(DESPESAS[[#This Row],[Plano de Contas]],BASE!$B$3:$H$119,7,FALSE)</f>
        <v>RAFAEL</v>
      </c>
    </row>
    <row r="3555" spans="1:13" x14ac:dyDescent="0.25">
      <c r="A3555" s="74">
        <v>200778</v>
      </c>
      <c r="B3555" s="75" t="s">
        <v>281</v>
      </c>
      <c r="C3555" s="75" t="s">
        <v>367</v>
      </c>
      <c r="D3555" s="76">
        <v>46132</v>
      </c>
      <c r="E3555" s="75" t="s">
        <v>369</v>
      </c>
      <c r="F3555" s="74">
        <v>5315</v>
      </c>
      <c r="G3555" s="75" t="s">
        <v>365</v>
      </c>
      <c r="H3555" s="77" t="str">
        <f>VLOOKUP(DESPESAS[[#This Row],[Plano de Contas]],BASE!$B$3:$D$119,3,FALSE)</f>
        <v>Pró-Labore</v>
      </c>
      <c r="I3555" s="77" t="str">
        <f>IFERROR(VLOOKUP(DESPESAS[[#This Row],[Fornecedor]],Tabela2[],2,FALSE),"")</f>
        <v/>
      </c>
      <c r="J3555" s="77" t="str">
        <f>IFERROR(VLOOKUP(DESPESAS[[#This Row],[Plano de Contas]],BASE!$B$3:$F$119,4,FALSE),"")</f>
        <v>4 - GASTOS COM PESSOAL</v>
      </c>
      <c r="K3555" s="77" t="str">
        <f>IFERROR(VLOOKUP(DESPESAS[[#This Row],[Plano de Contas]],BASE!$B$3:$H$119,5,FALSE),"")</f>
        <v>DIRETORIA</v>
      </c>
      <c r="L3555" s="77">
        <f>IFERROR(VLOOKUP(DESPESAS[[#This Row],[Plano de Contas]],BASE!$B$3:$H$119,6,FALSE),"")</f>
        <v>0</v>
      </c>
      <c r="M3555" s="77" t="str">
        <f>VLOOKUP(DESPESAS[[#This Row],[Plano de Contas]],BASE!$B$3:$H$119,7,FALSE)</f>
        <v>FÁBIO</v>
      </c>
    </row>
    <row r="3556" spans="1:13" x14ac:dyDescent="0.25">
      <c r="A3556" s="74">
        <v>200779</v>
      </c>
      <c r="B3556" s="75" t="s">
        <v>279</v>
      </c>
      <c r="C3556" s="75" t="s">
        <v>367</v>
      </c>
      <c r="D3556" s="76">
        <v>46132</v>
      </c>
      <c r="E3556" s="75" t="s">
        <v>368</v>
      </c>
      <c r="F3556" s="74">
        <v>2870</v>
      </c>
      <c r="G3556" s="75" t="s">
        <v>365</v>
      </c>
      <c r="H3556" s="77" t="str">
        <f>VLOOKUP(DESPESAS[[#This Row],[Plano de Contas]],BASE!$B$3:$D$119,3,FALSE)</f>
        <v>Pró-Labore</v>
      </c>
      <c r="I3556" s="77" t="str">
        <f>IFERROR(VLOOKUP(DESPESAS[[#This Row],[Fornecedor]],Tabela2[],2,FALSE),"")</f>
        <v/>
      </c>
      <c r="J3556" s="77" t="str">
        <f>IFERROR(VLOOKUP(DESPESAS[[#This Row],[Plano de Contas]],BASE!$B$3:$F$119,4,FALSE),"")</f>
        <v>4 - GASTOS COM PESSOAL</v>
      </c>
      <c r="K3556" s="77" t="str">
        <f>IFERROR(VLOOKUP(DESPESAS[[#This Row],[Plano de Contas]],BASE!$B$3:$H$119,5,FALSE),"")</f>
        <v>DIRETORIA</v>
      </c>
      <c r="L3556" s="77">
        <f>IFERROR(VLOOKUP(DESPESAS[[#This Row],[Plano de Contas]],BASE!$B$3:$H$119,6,FALSE),"")</f>
        <v>0</v>
      </c>
      <c r="M3556" s="77" t="str">
        <f>VLOOKUP(DESPESAS[[#This Row],[Plano de Contas]],BASE!$B$3:$H$119,7,FALSE)</f>
        <v>FÁBIO</v>
      </c>
    </row>
    <row r="3557" spans="1:13" x14ac:dyDescent="0.25">
      <c r="A3557" s="74">
        <v>200780</v>
      </c>
      <c r="B3557" s="75" t="s">
        <v>221</v>
      </c>
      <c r="C3557" s="75" t="s">
        <v>367</v>
      </c>
      <c r="D3557" s="76">
        <v>46132</v>
      </c>
      <c r="E3557" s="75" t="s">
        <v>366</v>
      </c>
      <c r="F3557" s="74">
        <v>9500</v>
      </c>
      <c r="G3557" s="75" t="s">
        <v>365</v>
      </c>
      <c r="H3557" s="77" t="str">
        <f>VLOOKUP(DESPESAS[[#This Row],[Plano de Contas]],BASE!$B$3:$D$119,3,FALSE)</f>
        <v>Pró-Labore</v>
      </c>
      <c r="I3557" s="77" t="str">
        <f>IFERROR(VLOOKUP(DESPESAS[[#This Row],[Fornecedor]],Tabela2[],2,FALSE),"")</f>
        <v/>
      </c>
      <c r="J3557" s="77" t="str">
        <f>IFERROR(VLOOKUP(DESPESAS[[#This Row],[Plano de Contas]],BASE!$B$3:$F$119,4,FALSE),"")</f>
        <v>4 - GASTOS COM PESSOAL</v>
      </c>
      <c r="K3557" s="77" t="str">
        <f>IFERROR(VLOOKUP(DESPESAS[[#This Row],[Plano de Contas]],BASE!$B$3:$H$119,5,FALSE),"")</f>
        <v>DIRETORIA</v>
      </c>
      <c r="L3557" s="77">
        <f>IFERROR(VLOOKUP(DESPESAS[[#This Row],[Plano de Contas]],BASE!$B$3:$H$119,6,FALSE),"")</f>
        <v>0</v>
      </c>
      <c r="M3557" s="77" t="str">
        <f>VLOOKUP(DESPESAS[[#This Row],[Plano de Contas]],BASE!$B$3:$H$119,7,FALSE)</f>
        <v>FÁBIO</v>
      </c>
    </row>
    <row r="3558" spans="1:13" x14ac:dyDescent="0.25">
      <c r="A3558" s="74">
        <v>200782</v>
      </c>
      <c r="B3558" s="75" t="s">
        <v>221</v>
      </c>
      <c r="C3558" s="75" t="s">
        <v>362</v>
      </c>
      <c r="D3558" s="76">
        <v>46132</v>
      </c>
      <c r="E3558" s="75" t="s">
        <v>361</v>
      </c>
      <c r="F3558" s="74">
        <v>77.989999999999995</v>
      </c>
      <c r="G3558" s="75" t="s">
        <v>360</v>
      </c>
      <c r="H3558" s="77" t="str">
        <f>VLOOKUP(DESPESAS[[#This Row],[Plano de Contas]],BASE!$B$3:$D$119,3,FALSE)</f>
        <v>Publicidade e Propaganda</v>
      </c>
      <c r="I3558" s="77" t="str">
        <f>IFERROR(VLOOKUP(DESPESAS[[#This Row],[Fornecedor]],Tabela2[],2,FALSE),"")</f>
        <v/>
      </c>
      <c r="J3558" s="77" t="str">
        <f>IFERROR(VLOOKUP(DESPESAS[[#This Row],[Plano de Contas]],BASE!$B$3:$F$119,4,FALSE),"")</f>
        <v>6 - DESPESA COM VENDAS</v>
      </c>
      <c r="K3558" s="77" t="str">
        <f>IFERROR(VLOOKUP(DESPESAS[[#This Row],[Plano de Contas]],BASE!$B$3:$H$119,5,FALSE),"")</f>
        <v>COMERCIAL</v>
      </c>
      <c r="L3558" s="77">
        <f>IFERROR(VLOOKUP(DESPESAS[[#This Row],[Plano de Contas]],BASE!$B$3:$H$119,6,FALSE),"")</f>
        <v>0</v>
      </c>
      <c r="M3558" s="77" t="str">
        <f>VLOOKUP(DESPESAS[[#This Row],[Plano de Contas]],BASE!$B$3:$H$119,7,FALSE)</f>
        <v>THAIS</v>
      </c>
    </row>
    <row r="3559" spans="1:13" x14ac:dyDescent="0.25">
      <c r="A3559" s="74">
        <v>200784</v>
      </c>
      <c r="B3559" s="75" t="s">
        <v>232</v>
      </c>
      <c r="C3559" s="75" t="s">
        <v>359</v>
      </c>
      <c r="D3559" s="76">
        <v>46132</v>
      </c>
      <c r="E3559" s="75" t="s">
        <v>230</v>
      </c>
      <c r="F3559" s="74">
        <v>9.19</v>
      </c>
      <c r="G3559" s="75" t="s">
        <v>356</v>
      </c>
      <c r="H3559" s="77" t="str">
        <f>VLOOKUP(DESPESAS[[#This Row],[Plano de Contas]],BASE!$B$3:$D$119,3,FALSE)</f>
        <v>Despesas Cartorárias</v>
      </c>
      <c r="I3559" s="77" t="str">
        <f>IFERROR(VLOOKUP(DESPESAS[[#This Row],[Fornecedor]],Tabela2[],2,FALSE),"")</f>
        <v/>
      </c>
      <c r="J3559" s="77" t="str">
        <f>IFERROR(VLOOKUP(DESPESAS[[#This Row],[Plano de Contas]],BASE!$B$3:$F$119,4,FALSE),"")</f>
        <v>5 - DESPESAS ADMINISTRATIVAS</v>
      </c>
      <c r="K3559" s="77" t="str">
        <f>IFERROR(VLOOKUP(DESPESAS[[#This Row],[Plano de Contas]],BASE!$B$3:$H$119,5,FALSE),"")</f>
        <v>FINANCEIRO</v>
      </c>
      <c r="L3559" s="77">
        <f>IFERROR(VLOOKUP(DESPESAS[[#This Row],[Plano de Contas]],BASE!$B$3:$H$119,6,FALSE),"")</f>
        <v>0</v>
      </c>
      <c r="M3559" s="77" t="str">
        <f>VLOOKUP(DESPESAS[[#This Row],[Plano de Contas]],BASE!$B$3:$H$119,7,FALSE)</f>
        <v>LETÍCIA</v>
      </c>
    </row>
    <row r="3560" spans="1:13" x14ac:dyDescent="0.25">
      <c r="A3560" s="74">
        <v>200785</v>
      </c>
      <c r="B3560" s="75" t="s">
        <v>232</v>
      </c>
      <c r="C3560" s="75" t="s">
        <v>358</v>
      </c>
      <c r="D3560" s="76">
        <v>46132</v>
      </c>
      <c r="E3560" s="75" t="s">
        <v>230</v>
      </c>
      <c r="F3560" s="74">
        <v>22.91</v>
      </c>
      <c r="G3560" s="75" t="s">
        <v>236</v>
      </c>
      <c r="H3560" s="77" t="str">
        <f>VLOOKUP(DESPESAS[[#This Row],[Plano de Contas]],BASE!$B$3:$D$119,3,FALSE)</f>
        <v>Despesas de Cobranca</v>
      </c>
      <c r="I3560" s="77" t="str">
        <f>IFERROR(VLOOKUP(DESPESAS[[#This Row],[Fornecedor]],Tabela2[],2,FALSE),"")</f>
        <v/>
      </c>
      <c r="J3560" s="77" t="str">
        <f>IFERROR(VLOOKUP(DESPESAS[[#This Row],[Plano de Contas]],BASE!$B$3:$F$119,4,FALSE),"")</f>
        <v>8 - DESPESAS FINANCEIRAS</v>
      </c>
      <c r="K3560" s="77" t="str">
        <f>IFERROR(VLOOKUP(DESPESAS[[#This Row],[Plano de Contas]],BASE!$B$3:$H$119,5,FALSE),"")</f>
        <v>FINANCEIRO</v>
      </c>
      <c r="L3560" s="77">
        <f>IFERROR(VLOOKUP(DESPESAS[[#This Row],[Plano de Contas]],BASE!$B$3:$H$119,6,FALSE),"")</f>
        <v>0</v>
      </c>
      <c r="M3560" s="77" t="str">
        <f>VLOOKUP(DESPESAS[[#This Row],[Plano de Contas]],BASE!$B$3:$H$119,7,FALSE)</f>
        <v>LETÍCIA</v>
      </c>
    </row>
    <row r="3561" spans="1:13" x14ac:dyDescent="0.25">
      <c r="A3561" s="74">
        <v>200786</v>
      </c>
      <c r="B3561" s="75" t="s">
        <v>232</v>
      </c>
      <c r="C3561" s="75" t="s">
        <v>357</v>
      </c>
      <c r="D3561" s="76">
        <v>46132</v>
      </c>
      <c r="E3561" s="75" t="s">
        <v>230</v>
      </c>
      <c r="F3561" s="74">
        <v>2.46</v>
      </c>
      <c r="G3561" s="75" t="s">
        <v>356</v>
      </c>
      <c r="H3561" s="77" t="str">
        <f>VLOOKUP(DESPESAS[[#This Row],[Plano de Contas]],BASE!$B$3:$D$119,3,FALSE)</f>
        <v>Despesas Cartorárias</v>
      </c>
      <c r="I3561" s="77" t="str">
        <f>IFERROR(VLOOKUP(DESPESAS[[#This Row],[Fornecedor]],Tabela2[],2,FALSE),"")</f>
        <v/>
      </c>
      <c r="J3561" s="77" t="str">
        <f>IFERROR(VLOOKUP(DESPESAS[[#This Row],[Plano de Contas]],BASE!$B$3:$F$119,4,FALSE),"")</f>
        <v>5 - DESPESAS ADMINISTRATIVAS</v>
      </c>
      <c r="K3561" s="77" t="str">
        <f>IFERROR(VLOOKUP(DESPESAS[[#This Row],[Plano de Contas]],BASE!$B$3:$H$119,5,FALSE),"")</f>
        <v>FINANCEIRO</v>
      </c>
      <c r="L3561" s="77">
        <f>IFERROR(VLOOKUP(DESPESAS[[#This Row],[Plano de Contas]],BASE!$B$3:$H$119,6,FALSE),"")</f>
        <v>0</v>
      </c>
      <c r="M3561" s="77" t="str">
        <f>VLOOKUP(DESPESAS[[#This Row],[Plano de Contas]],BASE!$B$3:$H$119,7,FALSE)</f>
        <v>LETÍCIA</v>
      </c>
    </row>
    <row r="3562" spans="1:13" x14ac:dyDescent="0.25">
      <c r="A3562" s="74">
        <v>200787</v>
      </c>
      <c r="B3562" s="75" t="s">
        <v>232</v>
      </c>
      <c r="C3562" s="75" t="s">
        <v>355</v>
      </c>
      <c r="D3562" s="76">
        <v>46134</v>
      </c>
      <c r="E3562" s="75" t="s">
        <v>230</v>
      </c>
      <c r="F3562" s="74">
        <v>1.28</v>
      </c>
      <c r="G3562" s="75" t="s">
        <v>229</v>
      </c>
      <c r="H3562" s="77" t="str">
        <f>VLOOKUP(DESPESAS[[#This Row],[Plano de Contas]],BASE!$B$3:$D$119,3,FALSE)</f>
        <v>Despesas Bancarias</v>
      </c>
      <c r="I3562" s="77" t="str">
        <f>IFERROR(VLOOKUP(DESPESAS[[#This Row],[Fornecedor]],Tabela2[],2,FALSE),"")</f>
        <v/>
      </c>
      <c r="J3562" s="77" t="str">
        <f>IFERROR(VLOOKUP(DESPESAS[[#This Row],[Plano de Contas]],BASE!$B$3:$F$119,4,FALSE),"")</f>
        <v>8 - DESPESAS FINANCEIRAS</v>
      </c>
      <c r="K3562" s="77" t="str">
        <f>IFERROR(VLOOKUP(DESPESAS[[#This Row],[Plano de Contas]],BASE!$B$3:$H$119,5,FALSE),"")</f>
        <v>FINANCEIRO</v>
      </c>
      <c r="L3562" s="77">
        <f>IFERROR(VLOOKUP(DESPESAS[[#This Row],[Plano de Contas]],BASE!$B$3:$H$119,6,FALSE),"")</f>
        <v>0</v>
      </c>
      <c r="M3562" s="77" t="str">
        <f>VLOOKUP(DESPESAS[[#This Row],[Plano de Contas]],BASE!$B$3:$H$119,7,FALSE)</f>
        <v>LETÍCIA</v>
      </c>
    </row>
    <row r="3563" spans="1:13" x14ac:dyDescent="0.25">
      <c r="A3563" s="74">
        <v>200788</v>
      </c>
      <c r="B3563" s="75" t="s">
        <v>232</v>
      </c>
      <c r="C3563" s="75" t="s">
        <v>354</v>
      </c>
      <c r="D3563" s="76">
        <v>46134</v>
      </c>
      <c r="E3563" s="75" t="s">
        <v>230</v>
      </c>
      <c r="F3563" s="74">
        <v>7.68</v>
      </c>
      <c r="G3563" s="75" t="s">
        <v>251</v>
      </c>
      <c r="H3563" s="77" t="str">
        <f>VLOOKUP(DESPESAS[[#This Row],[Plano de Contas]],BASE!$B$3:$D$119,3,FALSE)</f>
        <v>Juros Pagos - Antecipação de Crédito</v>
      </c>
      <c r="I3563" s="77" t="str">
        <f>IFERROR(VLOOKUP(DESPESAS[[#This Row],[Fornecedor]],Tabela2[],2,FALSE),"")</f>
        <v/>
      </c>
      <c r="J3563" s="77" t="str">
        <f>IFERROR(VLOOKUP(DESPESAS[[#This Row],[Plano de Contas]],BASE!$B$3:$F$119,4,FALSE),"")</f>
        <v>8 - DESPESAS FINANCEIRAS</v>
      </c>
      <c r="K3563" s="77" t="str">
        <f>IFERROR(VLOOKUP(DESPESAS[[#This Row],[Plano de Contas]],BASE!$B$3:$H$119,5,FALSE),"")</f>
        <v>FINANCEIRO</v>
      </c>
      <c r="L3563" s="77">
        <f>IFERROR(VLOOKUP(DESPESAS[[#This Row],[Plano de Contas]],BASE!$B$3:$H$119,6,FALSE),"")</f>
        <v>0</v>
      </c>
      <c r="M3563" s="77" t="str">
        <f>VLOOKUP(DESPESAS[[#This Row],[Plano de Contas]],BASE!$B$3:$H$119,7,FALSE)</f>
        <v>LETÍCIA</v>
      </c>
    </row>
    <row r="3564" spans="1:13" x14ac:dyDescent="0.25">
      <c r="A3564" s="74">
        <v>200789</v>
      </c>
      <c r="B3564" s="75" t="s">
        <v>279</v>
      </c>
      <c r="C3564" s="75" t="s">
        <v>353</v>
      </c>
      <c r="D3564" s="76">
        <v>46132</v>
      </c>
      <c r="E3564" s="75" t="s">
        <v>230</v>
      </c>
      <c r="F3564" s="74">
        <v>4.74</v>
      </c>
      <c r="G3564" s="75" t="s">
        <v>236</v>
      </c>
      <c r="H3564" s="77" t="str">
        <f>VLOOKUP(DESPESAS[[#This Row],[Plano de Contas]],BASE!$B$3:$D$119,3,FALSE)</f>
        <v>Despesas de Cobranca</v>
      </c>
      <c r="I3564" s="77" t="str">
        <f>IFERROR(VLOOKUP(DESPESAS[[#This Row],[Fornecedor]],Tabela2[],2,FALSE),"")</f>
        <v/>
      </c>
      <c r="J3564" s="77" t="str">
        <f>IFERROR(VLOOKUP(DESPESAS[[#This Row],[Plano de Contas]],BASE!$B$3:$F$119,4,FALSE),"")</f>
        <v>8 - DESPESAS FINANCEIRAS</v>
      </c>
      <c r="K3564" s="77" t="str">
        <f>IFERROR(VLOOKUP(DESPESAS[[#This Row],[Plano de Contas]],BASE!$B$3:$H$119,5,FALSE),"")</f>
        <v>FINANCEIRO</v>
      </c>
      <c r="L3564" s="77">
        <f>IFERROR(VLOOKUP(DESPESAS[[#This Row],[Plano de Contas]],BASE!$B$3:$H$119,6,FALSE),"")</f>
        <v>0</v>
      </c>
      <c r="M3564" s="77" t="str">
        <f>VLOOKUP(DESPESAS[[#This Row],[Plano de Contas]],BASE!$B$3:$H$119,7,FALSE)</f>
        <v>LETÍCIA</v>
      </c>
    </row>
    <row r="3565" spans="1:13" x14ac:dyDescent="0.25">
      <c r="A3565" s="74">
        <v>200790</v>
      </c>
      <c r="B3565" s="75" t="s">
        <v>279</v>
      </c>
      <c r="C3565" s="75" t="s">
        <v>352</v>
      </c>
      <c r="D3565" s="76">
        <v>46134</v>
      </c>
      <c r="E3565" s="75" t="s">
        <v>230</v>
      </c>
      <c r="F3565" s="74">
        <v>1.45</v>
      </c>
      <c r="G3565" s="75" t="s">
        <v>229</v>
      </c>
      <c r="H3565" s="77" t="str">
        <f>VLOOKUP(DESPESAS[[#This Row],[Plano de Contas]],BASE!$B$3:$D$119,3,FALSE)</f>
        <v>Despesas Bancarias</v>
      </c>
      <c r="I3565" s="77" t="str">
        <f>IFERROR(VLOOKUP(DESPESAS[[#This Row],[Fornecedor]],Tabela2[],2,FALSE),"")</f>
        <v/>
      </c>
      <c r="J3565" s="77" t="str">
        <f>IFERROR(VLOOKUP(DESPESAS[[#This Row],[Plano de Contas]],BASE!$B$3:$F$119,4,FALSE),"")</f>
        <v>8 - DESPESAS FINANCEIRAS</v>
      </c>
      <c r="K3565" s="77" t="str">
        <f>IFERROR(VLOOKUP(DESPESAS[[#This Row],[Plano de Contas]],BASE!$B$3:$H$119,5,FALSE),"")</f>
        <v>FINANCEIRO</v>
      </c>
      <c r="L3565" s="77">
        <f>IFERROR(VLOOKUP(DESPESAS[[#This Row],[Plano de Contas]],BASE!$B$3:$H$119,6,FALSE),"")</f>
        <v>0</v>
      </c>
      <c r="M3565" s="77" t="str">
        <f>VLOOKUP(DESPESAS[[#This Row],[Plano de Contas]],BASE!$B$3:$H$119,7,FALSE)</f>
        <v>LETÍCIA</v>
      </c>
    </row>
    <row r="3566" spans="1:13" x14ac:dyDescent="0.25">
      <c r="A3566" s="74">
        <v>200791</v>
      </c>
      <c r="B3566" s="75" t="s">
        <v>279</v>
      </c>
      <c r="C3566" s="75" t="s">
        <v>351</v>
      </c>
      <c r="D3566" s="76">
        <v>46134</v>
      </c>
      <c r="E3566" s="75" t="s">
        <v>230</v>
      </c>
      <c r="F3566" s="74">
        <v>15</v>
      </c>
      <c r="G3566" s="75" t="s">
        <v>251</v>
      </c>
      <c r="H3566" s="77" t="str">
        <f>VLOOKUP(DESPESAS[[#This Row],[Plano de Contas]],BASE!$B$3:$D$119,3,FALSE)</f>
        <v>Juros Pagos - Antecipação de Crédito</v>
      </c>
      <c r="I3566" s="77" t="str">
        <f>IFERROR(VLOOKUP(DESPESAS[[#This Row],[Fornecedor]],Tabela2[],2,FALSE),"")</f>
        <v/>
      </c>
      <c r="J3566" s="77" t="str">
        <f>IFERROR(VLOOKUP(DESPESAS[[#This Row],[Plano de Contas]],BASE!$B$3:$F$119,4,FALSE),"")</f>
        <v>8 - DESPESAS FINANCEIRAS</v>
      </c>
      <c r="K3566" s="77" t="str">
        <f>IFERROR(VLOOKUP(DESPESAS[[#This Row],[Plano de Contas]],BASE!$B$3:$H$119,5,FALSE),"")</f>
        <v>FINANCEIRO</v>
      </c>
      <c r="L3566" s="77">
        <f>IFERROR(VLOOKUP(DESPESAS[[#This Row],[Plano de Contas]],BASE!$B$3:$H$119,6,FALSE),"")</f>
        <v>0</v>
      </c>
      <c r="M3566" s="77" t="str">
        <f>VLOOKUP(DESPESAS[[#This Row],[Plano de Contas]],BASE!$B$3:$H$119,7,FALSE)</f>
        <v>LETÍCIA</v>
      </c>
    </row>
    <row r="3567" spans="1:13" x14ac:dyDescent="0.25">
      <c r="A3567" s="74">
        <v>200792</v>
      </c>
      <c r="B3567" s="75" t="s">
        <v>281</v>
      </c>
      <c r="C3567" s="75" t="s">
        <v>350</v>
      </c>
      <c r="D3567" s="76">
        <v>46132</v>
      </c>
      <c r="E3567" s="75" t="s">
        <v>230</v>
      </c>
      <c r="F3567" s="74">
        <v>3.95</v>
      </c>
      <c r="G3567" s="75" t="s">
        <v>236</v>
      </c>
      <c r="H3567" s="77" t="str">
        <f>VLOOKUP(DESPESAS[[#This Row],[Plano de Contas]],BASE!$B$3:$D$119,3,FALSE)</f>
        <v>Despesas de Cobranca</v>
      </c>
      <c r="I3567" s="77" t="str">
        <f>IFERROR(VLOOKUP(DESPESAS[[#This Row],[Fornecedor]],Tabela2[],2,FALSE),"")</f>
        <v/>
      </c>
      <c r="J3567" s="77" t="str">
        <f>IFERROR(VLOOKUP(DESPESAS[[#This Row],[Plano de Contas]],BASE!$B$3:$F$119,4,FALSE),"")</f>
        <v>8 - DESPESAS FINANCEIRAS</v>
      </c>
      <c r="K3567" s="77" t="str">
        <f>IFERROR(VLOOKUP(DESPESAS[[#This Row],[Plano de Contas]],BASE!$B$3:$H$119,5,FALSE),"")</f>
        <v>FINANCEIRO</v>
      </c>
      <c r="L3567" s="77">
        <f>IFERROR(VLOOKUP(DESPESAS[[#This Row],[Plano de Contas]],BASE!$B$3:$H$119,6,FALSE),"")</f>
        <v>0</v>
      </c>
      <c r="M3567" s="77" t="str">
        <f>VLOOKUP(DESPESAS[[#This Row],[Plano de Contas]],BASE!$B$3:$H$119,7,FALSE)</f>
        <v>LETÍCIA</v>
      </c>
    </row>
    <row r="3568" spans="1:13" x14ac:dyDescent="0.25">
      <c r="A3568" s="74">
        <v>200793</v>
      </c>
      <c r="B3568" s="75" t="s">
        <v>232</v>
      </c>
      <c r="C3568" s="75" t="s">
        <v>349</v>
      </c>
      <c r="D3568" s="76">
        <v>46132</v>
      </c>
      <c r="E3568" s="75" t="s">
        <v>230</v>
      </c>
      <c r="F3568" s="74">
        <v>13.3</v>
      </c>
      <c r="G3568" s="75" t="s">
        <v>229</v>
      </c>
      <c r="H3568" s="77" t="str">
        <f>VLOOKUP(DESPESAS[[#This Row],[Plano de Contas]],BASE!$B$3:$D$119,3,FALSE)</f>
        <v>Despesas Bancarias</v>
      </c>
      <c r="I3568" s="77" t="str">
        <f>IFERROR(VLOOKUP(DESPESAS[[#This Row],[Fornecedor]],Tabela2[],2,FALSE),"")</f>
        <v/>
      </c>
      <c r="J3568" s="77" t="str">
        <f>IFERROR(VLOOKUP(DESPESAS[[#This Row],[Plano de Contas]],BASE!$B$3:$F$119,4,FALSE),"")</f>
        <v>8 - DESPESAS FINANCEIRAS</v>
      </c>
      <c r="K3568" s="77" t="str">
        <f>IFERROR(VLOOKUP(DESPESAS[[#This Row],[Plano de Contas]],BASE!$B$3:$H$119,5,FALSE),"")</f>
        <v>FINANCEIRO</v>
      </c>
      <c r="L3568" s="77">
        <f>IFERROR(VLOOKUP(DESPESAS[[#This Row],[Plano de Contas]],BASE!$B$3:$H$119,6,FALSE),"")</f>
        <v>0</v>
      </c>
      <c r="M3568" s="77" t="str">
        <f>VLOOKUP(DESPESAS[[#This Row],[Plano de Contas]],BASE!$B$3:$H$119,7,FALSE)</f>
        <v>LETÍCIA</v>
      </c>
    </row>
    <row r="3569" spans="1:13" x14ac:dyDescent="0.25">
      <c r="A3569" s="74">
        <v>200794</v>
      </c>
      <c r="B3569" s="75" t="s">
        <v>221</v>
      </c>
      <c r="C3569" s="75" t="s">
        <v>348</v>
      </c>
      <c r="D3569" s="76">
        <v>46132</v>
      </c>
      <c r="E3569" s="75" t="s">
        <v>347</v>
      </c>
      <c r="F3569" s="74">
        <v>227.01</v>
      </c>
      <c r="G3569" s="75" t="s">
        <v>244</v>
      </c>
      <c r="H3569" s="77" t="str">
        <f>VLOOKUP(DESPESAS[[#This Row],[Plano de Contas]],BASE!$B$3:$D$119,3,FALSE)</f>
        <v>Material de Expediente (Prod)</v>
      </c>
      <c r="I3569" s="77" t="str">
        <f>IFERROR(VLOOKUP(DESPESAS[[#This Row],[Fornecedor]],Tabela2[],2,FALSE),"")</f>
        <v/>
      </c>
      <c r="J3569" s="77" t="str">
        <f>IFERROR(VLOOKUP(DESPESAS[[#This Row],[Plano de Contas]],BASE!$B$3:$F$119,4,FALSE),"")</f>
        <v>2 - CUSTOS DIRETOS</v>
      </c>
      <c r="K3569" s="77" t="str">
        <f>IFERROR(VLOOKUP(DESPESAS[[#This Row],[Plano de Contas]],BASE!$B$3:$H$119,5,FALSE),"")</f>
        <v>PRODUÇÃO</v>
      </c>
      <c r="L3569" s="77">
        <f>IFERROR(VLOOKUP(DESPESAS[[#This Row],[Plano de Contas]],BASE!$B$3:$H$119,6,FALSE),"")</f>
        <v>0</v>
      </c>
      <c r="M3569" s="77" t="str">
        <f>VLOOKUP(DESPESAS[[#This Row],[Plano de Contas]],BASE!$B$3:$H$119,7,FALSE)</f>
        <v>RAFAEL</v>
      </c>
    </row>
    <row r="3570" spans="1:13" x14ac:dyDescent="0.25">
      <c r="A3570" s="74">
        <v>200796</v>
      </c>
      <c r="B3570" s="75" t="s">
        <v>232</v>
      </c>
      <c r="C3570" s="75" t="s">
        <v>346</v>
      </c>
      <c r="D3570" s="76">
        <v>46134</v>
      </c>
      <c r="E3570" s="75" t="s">
        <v>327</v>
      </c>
      <c r="F3570" s="74">
        <v>155.31</v>
      </c>
      <c r="G3570" s="75" t="s">
        <v>326</v>
      </c>
      <c r="H3570" s="77" t="str">
        <f>VLOOKUP(DESPESAS[[#This Row],[Plano de Contas]],BASE!$B$3:$D$119,3,FALSE)</f>
        <v>Frete sobre Compras</v>
      </c>
      <c r="I3570" s="77" t="str">
        <f>IFERROR(VLOOKUP(DESPESAS[[#This Row],[Fornecedor]],Tabela2[],2,FALSE),"")</f>
        <v>SERVIÇOS FRETE</v>
      </c>
      <c r="J3570" s="77" t="str">
        <f>IFERROR(VLOOKUP(DESPESAS[[#This Row],[Plano de Contas]],BASE!$B$3:$F$119,4,FALSE),"")</f>
        <v>1 - CPV</v>
      </c>
      <c r="K3570" s="77" t="str">
        <f>IFERROR(VLOOKUP(DESPESAS[[#This Row],[Plano de Contas]],BASE!$B$3:$H$119,5,FALSE),"")</f>
        <v>COMPRAS</v>
      </c>
      <c r="L3570" s="77">
        <f>IFERROR(VLOOKUP(DESPESAS[[#This Row],[Plano de Contas]],BASE!$B$3:$H$119,6,FALSE),"")</f>
        <v>0</v>
      </c>
      <c r="M3570" s="77" t="str">
        <f>VLOOKUP(DESPESAS[[#This Row],[Plano de Contas]],BASE!$B$3:$H$119,7,FALSE)</f>
        <v>MYLENA</v>
      </c>
    </row>
    <row r="3571" spans="1:13" x14ac:dyDescent="0.25">
      <c r="A3571" s="74">
        <v>200797</v>
      </c>
      <c r="B3571" s="75" t="s">
        <v>232</v>
      </c>
      <c r="C3571" s="75" t="s">
        <v>345</v>
      </c>
      <c r="D3571" s="76">
        <v>46134</v>
      </c>
      <c r="E3571" s="75" t="s">
        <v>327</v>
      </c>
      <c r="F3571" s="74">
        <v>314.14</v>
      </c>
      <c r="G3571" s="75" t="s">
        <v>326</v>
      </c>
      <c r="H3571" s="77" t="str">
        <f>VLOOKUP(DESPESAS[[#This Row],[Plano de Contas]],BASE!$B$3:$D$119,3,FALSE)</f>
        <v>Frete sobre Compras</v>
      </c>
      <c r="I3571" s="77" t="str">
        <f>IFERROR(VLOOKUP(DESPESAS[[#This Row],[Fornecedor]],Tabela2[],2,FALSE),"")</f>
        <v>SERVIÇOS FRETE</v>
      </c>
      <c r="J3571" s="77" t="str">
        <f>IFERROR(VLOOKUP(DESPESAS[[#This Row],[Plano de Contas]],BASE!$B$3:$F$119,4,FALSE),"")</f>
        <v>1 - CPV</v>
      </c>
      <c r="K3571" s="77" t="str">
        <f>IFERROR(VLOOKUP(DESPESAS[[#This Row],[Plano de Contas]],BASE!$B$3:$H$119,5,FALSE),"")</f>
        <v>COMPRAS</v>
      </c>
      <c r="L3571" s="77">
        <f>IFERROR(VLOOKUP(DESPESAS[[#This Row],[Plano de Contas]],BASE!$B$3:$H$119,6,FALSE),"")</f>
        <v>0</v>
      </c>
      <c r="M3571" s="77" t="str">
        <f>VLOOKUP(DESPESAS[[#This Row],[Plano de Contas]],BASE!$B$3:$H$119,7,FALSE)</f>
        <v>MYLENA</v>
      </c>
    </row>
    <row r="3572" spans="1:13" x14ac:dyDescent="0.25">
      <c r="A3572" s="74">
        <v>200798</v>
      </c>
      <c r="B3572" s="75" t="s">
        <v>232</v>
      </c>
      <c r="C3572" s="75" t="s">
        <v>344</v>
      </c>
      <c r="D3572" s="76">
        <v>46134</v>
      </c>
      <c r="E3572" s="75" t="s">
        <v>327</v>
      </c>
      <c r="F3572" s="74">
        <v>355.58</v>
      </c>
      <c r="G3572" s="75" t="s">
        <v>326</v>
      </c>
      <c r="H3572" s="77" t="str">
        <f>VLOOKUP(DESPESAS[[#This Row],[Plano de Contas]],BASE!$B$3:$D$119,3,FALSE)</f>
        <v>Frete sobre Compras</v>
      </c>
      <c r="I3572" s="77" t="str">
        <f>IFERROR(VLOOKUP(DESPESAS[[#This Row],[Fornecedor]],Tabela2[],2,FALSE),"")</f>
        <v>SERVIÇOS FRETE</v>
      </c>
      <c r="J3572" s="77" t="str">
        <f>IFERROR(VLOOKUP(DESPESAS[[#This Row],[Plano de Contas]],BASE!$B$3:$F$119,4,FALSE),"")</f>
        <v>1 - CPV</v>
      </c>
      <c r="K3572" s="77" t="str">
        <f>IFERROR(VLOOKUP(DESPESAS[[#This Row],[Plano de Contas]],BASE!$B$3:$H$119,5,FALSE),"")</f>
        <v>COMPRAS</v>
      </c>
      <c r="L3572" s="77">
        <f>IFERROR(VLOOKUP(DESPESAS[[#This Row],[Plano de Contas]],BASE!$B$3:$H$119,6,FALSE),"")</f>
        <v>0</v>
      </c>
      <c r="M3572" s="77" t="str">
        <f>VLOOKUP(DESPESAS[[#This Row],[Plano de Contas]],BASE!$B$3:$H$119,7,FALSE)</f>
        <v>MYLENA</v>
      </c>
    </row>
    <row r="3573" spans="1:13" x14ac:dyDescent="0.25">
      <c r="A3573" s="74">
        <v>200799</v>
      </c>
      <c r="B3573" s="75" t="s">
        <v>221</v>
      </c>
      <c r="C3573" s="75" t="s">
        <v>343</v>
      </c>
      <c r="D3573" s="76">
        <v>46134</v>
      </c>
      <c r="E3573" s="75" t="s">
        <v>342</v>
      </c>
      <c r="F3573" s="74">
        <v>36</v>
      </c>
      <c r="G3573" s="75" t="s">
        <v>244</v>
      </c>
      <c r="H3573" s="77" t="str">
        <f>VLOOKUP(DESPESAS[[#This Row],[Plano de Contas]],BASE!$B$3:$D$119,3,FALSE)</f>
        <v>Material de Expediente (Prod)</v>
      </c>
      <c r="I3573" s="77" t="str">
        <f>IFERROR(VLOOKUP(DESPESAS[[#This Row],[Fornecedor]],Tabela2[],2,FALSE),"")</f>
        <v/>
      </c>
      <c r="J3573" s="77" t="str">
        <f>IFERROR(VLOOKUP(DESPESAS[[#This Row],[Plano de Contas]],BASE!$B$3:$F$119,4,FALSE),"")</f>
        <v>2 - CUSTOS DIRETOS</v>
      </c>
      <c r="K3573" s="77" t="str">
        <f>IFERROR(VLOOKUP(DESPESAS[[#This Row],[Plano de Contas]],BASE!$B$3:$H$119,5,FALSE),"")</f>
        <v>PRODUÇÃO</v>
      </c>
      <c r="L3573" s="77">
        <f>IFERROR(VLOOKUP(DESPESAS[[#This Row],[Plano de Contas]],BASE!$B$3:$H$119,6,FALSE),"")</f>
        <v>0</v>
      </c>
      <c r="M3573" s="77" t="str">
        <f>VLOOKUP(DESPESAS[[#This Row],[Plano de Contas]],BASE!$B$3:$H$119,7,FALSE)</f>
        <v>RAFAEL</v>
      </c>
    </row>
    <row r="3574" spans="1:13" x14ac:dyDescent="0.25">
      <c r="A3574" s="74">
        <v>200800</v>
      </c>
      <c r="B3574" s="75" t="s">
        <v>232</v>
      </c>
      <c r="C3574" s="75" t="s">
        <v>341</v>
      </c>
      <c r="D3574" s="76">
        <v>46134</v>
      </c>
      <c r="E3574" s="75" t="s">
        <v>340</v>
      </c>
      <c r="F3574" s="74">
        <v>8000</v>
      </c>
      <c r="G3574" s="75" t="s">
        <v>326</v>
      </c>
      <c r="H3574" s="77" t="str">
        <f>VLOOKUP(DESPESAS[[#This Row],[Plano de Contas]],BASE!$B$3:$D$119,3,FALSE)</f>
        <v>Frete sobre Compras</v>
      </c>
      <c r="I3574" s="77" t="str">
        <f>IFERROR(VLOOKUP(DESPESAS[[#This Row],[Fornecedor]],Tabela2[],2,FALSE),"")</f>
        <v/>
      </c>
      <c r="J3574" s="77" t="str">
        <f>IFERROR(VLOOKUP(DESPESAS[[#This Row],[Plano de Contas]],BASE!$B$3:$F$119,4,FALSE),"")</f>
        <v>1 - CPV</v>
      </c>
      <c r="K3574" s="77" t="str">
        <f>IFERROR(VLOOKUP(DESPESAS[[#This Row],[Plano de Contas]],BASE!$B$3:$H$119,5,FALSE),"")</f>
        <v>COMPRAS</v>
      </c>
      <c r="L3574" s="77">
        <f>IFERROR(VLOOKUP(DESPESAS[[#This Row],[Plano de Contas]],BASE!$B$3:$H$119,6,FALSE),"")</f>
        <v>0</v>
      </c>
      <c r="M3574" s="77" t="str">
        <f>VLOOKUP(DESPESAS[[#This Row],[Plano de Contas]],BASE!$B$3:$H$119,7,FALSE)</f>
        <v>MYLENA</v>
      </c>
    </row>
    <row r="3575" spans="1:13" x14ac:dyDescent="0.25">
      <c r="A3575" s="74">
        <v>200801</v>
      </c>
      <c r="B3575" s="75" t="s">
        <v>221</v>
      </c>
      <c r="C3575" s="75" t="s">
        <v>339</v>
      </c>
      <c r="D3575" s="76">
        <v>46134</v>
      </c>
      <c r="E3575" s="75" t="s">
        <v>338</v>
      </c>
      <c r="F3575" s="74">
        <v>252</v>
      </c>
      <c r="G3575" s="75" t="s">
        <v>337</v>
      </c>
      <c r="H3575" s="77" t="str">
        <f>VLOOKUP(DESPESAS[[#This Row],[Plano de Contas]],BASE!$B$3:$D$119,3,FALSE)</f>
        <v>Vigilancia e Seguranca</v>
      </c>
      <c r="I3575" s="77" t="str">
        <f>IFERROR(VLOOKUP(DESPESAS[[#This Row],[Fornecedor]],Tabela2[],2,FALSE),"")</f>
        <v/>
      </c>
      <c r="J3575" s="77" t="str">
        <f>IFERROR(VLOOKUP(DESPESAS[[#This Row],[Plano de Contas]],BASE!$B$3:$F$119,4,FALSE),"")</f>
        <v>7 - SERVIÇOS DE TERCEIROS</v>
      </c>
      <c r="K3575" s="77" t="str">
        <f>IFERROR(VLOOKUP(DESPESAS[[#This Row],[Plano de Contas]],BASE!$B$3:$H$119,5,FALSE),"")</f>
        <v>FINANCEIRO</v>
      </c>
      <c r="L3575" s="77">
        <f>IFERROR(VLOOKUP(DESPESAS[[#This Row],[Plano de Contas]],BASE!$B$3:$H$119,6,FALSE),"")</f>
        <v>0</v>
      </c>
      <c r="M3575" s="77" t="str">
        <f>VLOOKUP(DESPESAS[[#This Row],[Plano de Contas]],BASE!$B$3:$H$119,7,FALSE)</f>
        <v>LETÍCIA</v>
      </c>
    </row>
    <row r="3576" spans="1:13" x14ac:dyDescent="0.25">
      <c r="A3576" s="74">
        <v>200802</v>
      </c>
      <c r="B3576" s="75" t="s">
        <v>232</v>
      </c>
      <c r="C3576" s="75" t="s">
        <v>336</v>
      </c>
      <c r="D3576" s="76">
        <v>46134</v>
      </c>
      <c r="E3576" s="75" t="s">
        <v>335</v>
      </c>
      <c r="F3576" s="74">
        <v>7076.8</v>
      </c>
      <c r="G3576" s="75" t="s">
        <v>334</v>
      </c>
      <c r="H3576" s="77" t="e">
        <f>VLOOKUP(DESPESAS[[#This Row],[Plano de Contas]],BASE!$B$3:$D$119,3,FALSE)</f>
        <v>#N/A</v>
      </c>
      <c r="I3576" s="77" t="str">
        <f>IFERROR(VLOOKUP(DESPESAS[[#This Row],[Fornecedor]],Tabela2[],2,FALSE),"")</f>
        <v/>
      </c>
      <c r="J3576" s="77" t="str">
        <f>IFERROR(VLOOKUP(DESPESAS[[#This Row],[Plano de Contas]],BASE!$B$3:$F$119,4,FALSE),"")</f>
        <v/>
      </c>
      <c r="K3576" s="77" t="str">
        <f>IFERROR(VLOOKUP(DESPESAS[[#This Row],[Plano de Contas]],BASE!$B$3:$H$119,5,FALSE),"")</f>
        <v/>
      </c>
      <c r="L3576" s="77" t="str">
        <f>IFERROR(VLOOKUP(DESPESAS[[#This Row],[Plano de Contas]],BASE!$B$3:$H$119,6,FALSE),"")</f>
        <v/>
      </c>
      <c r="M3576" s="77" t="e">
        <f>VLOOKUP(DESPESAS[[#This Row],[Plano de Contas]],BASE!$B$3:$H$119,7,FALSE)</f>
        <v>#N/A</v>
      </c>
    </row>
    <row r="3577" spans="1:13" x14ac:dyDescent="0.25">
      <c r="A3577" s="74">
        <v>200815</v>
      </c>
      <c r="B3577" s="75" t="s">
        <v>221</v>
      </c>
      <c r="C3577" s="75" t="s">
        <v>333</v>
      </c>
      <c r="D3577" s="76">
        <v>46134</v>
      </c>
      <c r="E3577" s="75" t="s">
        <v>332</v>
      </c>
      <c r="F3577" s="74">
        <v>7251.3</v>
      </c>
      <c r="G3577" s="75" t="s">
        <v>331</v>
      </c>
      <c r="H3577" s="77" t="str">
        <f>VLOOKUP(DESPESAS[[#This Row],[Plano de Contas]],BASE!$B$3:$D$119,3,FALSE)</f>
        <v>Manutenção Predial (Adm)</v>
      </c>
      <c r="I3577" s="77" t="str">
        <f>IFERROR(VLOOKUP(DESPESAS[[#This Row],[Fornecedor]],Tabela2[],2,FALSE),"")</f>
        <v/>
      </c>
      <c r="J3577" s="77" t="str">
        <f>IFERROR(VLOOKUP(DESPESAS[[#This Row],[Plano de Contas]],BASE!$B$3:$F$119,4,FALSE),"")</f>
        <v>4 - GASTOS COM PESSOAL</v>
      </c>
      <c r="K3577" s="77" t="str">
        <f>IFERROR(VLOOKUP(DESPESAS[[#This Row],[Plano de Contas]],BASE!$B$3:$H$119,5,FALSE),"")</f>
        <v>MANUTENÇÃO / TI</v>
      </c>
      <c r="L3577" s="77">
        <f>IFERROR(VLOOKUP(DESPESAS[[#This Row],[Plano de Contas]],BASE!$B$3:$H$119,6,FALSE),"")</f>
        <v>0</v>
      </c>
      <c r="M3577" s="77" t="str">
        <f>VLOOKUP(DESPESAS[[#This Row],[Plano de Contas]],BASE!$B$3:$H$119,7,FALSE)</f>
        <v>FÁBIO</v>
      </c>
    </row>
    <row r="3578" spans="1:13" x14ac:dyDescent="0.25">
      <c r="A3578" s="74">
        <v>200816</v>
      </c>
      <c r="B3578" s="75" t="s">
        <v>232</v>
      </c>
      <c r="C3578" s="75" t="s">
        <v>330</v>
      </c>
      <c r="D3578" s="76">
        <v>46134</v>
      </c>
      <c r="E3578" s="75" t="s">
        <v>329</v>
      </c>
      <c r="F3578" s="74">
        <v>178.18</v>
      </c>
      <c r="G3578" s="75" t="s">
        <v>326</v>
      </c>
      <c r="H3578" s="77" t="str">
        <f>VLOOKUP(DESPESAS[[#This Row],[Plano de Contas]],BASE!$B$3:$D$119,3,FALSE)</f>
        <v>Frete sobre Compras</v>
      </c>
      <c r="I3578" s="77" t="str">
        <f>IFERROR(VLOOKUP(DESPESAS[[#This Row],[Fornecedor]],Tabela2[],2,FALSE),"")</f>
        <v/>
      </c>
      <c r="J3578" s="77" t="str">
        <f>IFERROR(VLOOKUP(DESPESAS[[#This Row],[Plano de Contas]],BASE!$B$3:$F$119,4,FALSE),"")</f>
        <v>1 - CPV</v>
      </c>
      <c r="K3578" s="77" t="str">
        <f>IFERROR(VLOOKUP(DESPESAS[[#This Row],[Plano de Contas]],BASE!$B$3:$H$119,5,FALSE),"")</f>
        <v>COMPRAS</v>
      </c>
      <c r="L3578" s="77">
        <f>IFERROR(VLOOKUP(DESPESAS[[#This Row],[Plano de Contas]],BASE!$B$3:$H$119,6,FALSE),"")</f>
        <v>0</v>
      </c>
      <c r="M3578" s="77" t="str">
        <f>VLOOKUP(DESPESAS[[#This Row],[Plano de Contas]],BASE!$B$3:$H$119,7,FALSE)</f>
        <v>MYLENA</v>
      </c>
    </row>
    <row r="3579" spans="1:13" x14ac:dyDescent="0.25">
      <c r="A3579" s="74">
        <v>200817</v>
      </c>
      <c r="B3579" s="75" t="s">
        <v>232</v>
      </c>
      <c r="C3579" s="75" t="s">
        <v>328</v>
      </c>
      <c r="D3579" s="76">
        <v>46134</v>
      </c>
      <c r="E3579" s="75" t="s">
        <v>327</v>
      </c>
      <c r="F3579" s="74">
        <v>142.34</v>
      </c>
      <c r="G3579" s="75" t="s">
        <v>326</v>
      </c>
      <c r="H3579" s="77" t="str">
        <f>VLOOKUP(DESPESAS[[#This Row],[Plano de Contas]],BASE!$B$3:$D$119,3,FALSE)</f>
        <v>Frete sobre Compras</v>
      </c>
      <c r="I3579" s="77" t="str">
        <f>IFERROR(VLOOKUP(DESPESAS[[#This Row],[Fornecedor]],Tabela2[],2,FALSE),"")</f>
        <v>SERVIÇOS FRETE</v>
      </c>
      <c r="J3579" s="77" t="str">
        <f>IFERROR(VLOOKUP(DESPESAS[[#This Row],[Plano de Contas]],BASE!$B$3:$F$119,4,FALSE),"")</f>
        <v>1 - CPV</v>
      </c>
      <c r="K3579" s="77" t="str">
        <f>IFERROR(VLOOKUP(DESPESAS[[#This Row],[Plano de Contas]],BASE!$B$3:$H$119,5,FALSE),"")</f>
        <v>COMPRAS</v>
      </c>
      <c r="L3579" s="77">
        <f>IFERROR(VLOOKUP(DESPESAS[[#This Row],[Plano de Contas]],BASE!$B$3:$H$119,6,FALSE),"")</f>
        <v>0</v>
      </c>
      <c r="M3579" s="77" t="str">
        <f>VLOOKUP(DESPESAS[[#This Row],[Plano de Contas]],BASE!$B$3:$H$119,7,FALSE)</f>
        <v>MYLENA</v>
      </c>
    </row>
    <row r="3580" spans="1:13" x14ac:dyDescent="0.25">
      <c r="A3580" s="74">
        <v>200831</v>
      </c>
      <c r="B3580" s="75" t="s">
        <v>232</v>
      </c>
      <c r="C3580" s="75" t="s">
        <v>323</v>
      </c>
      <c r="D3580" s="76">
        <v>46134</v>
      </c>
      <c r="E3580" s="75" t="s">
        <v>322</v>
      </c>
      <c r="F3580" s="74">
        <v>280.01</v>
      </c>
      <c r="G3580" s="75" t="s">
        <v>218</v>
      </c>
      <c r="H3580" s="77" t="str">
        <f>VLOOKUP(DESPESAS[[#This Row],[Plano de Contas]],BASE!$B$3:$D$119,3,FALSE)</f>
        <v>Manutenção de Equipamentos (Prod)</v>
      </c>
      <c r="I3580" s="77" t="str">
        <f>IFERROR(VLOOKUP(DESPESAS[[#This Row],[Fornecedor]],Tabela2[],2,FALSE),"")</f>
        <v>CNC TECIDO</v>
      </c>
      <c r="J3580" s="77" t="str">
        <f>IFERROR(VLOOKUP(DESPESAS[[#This Row],[Plano de Contas]],BASE!$B$3:$F$119,4,FALSE),"")</f>
        <v>3 - CUSTOS INDIRETOS</v>
      </c>
      <c r="K3580" s="77" t="str">
        <f>IFERROR(VLOOKUP(DESPESAS[[#This Row],[Plano de Contas]],BASE!$B$3:$H$119,5,FALSE),"")</f>
        <v>MANUTENÇÃO / TI</v>
      </c>
      <c r="L3580" s="77">
        <f>IFERROR(VLOOKUP(DESPESAS[[#This Row],[Plano de Contas]],BASE!$B$3:$H$119,6,FALSE),"")</f>
        <v>0</v>
      </c>
      <c r="M3580" s="77" t="str">
        <f>VLOOKUP(DESPESAS[[#This Row],[Plano de Contas]],BASE!$B$3:$H$119,7,FALSE)</f>
        <v>RAFAEL</v>
      </c>
    </row>
    <row r="3581" spans="1:13" x14ac:dyDescent="0.25">
      <c r="A3581" s="74">
        <v>200832</v>
      </c>
      <c r="B3581" s="75" t="s">
        <v>221</v>
      </c>
      <c r="C3581" s="75" t="s">
        <v>321</v>
      </c>
      <c r="D3581" s="76">
        <v>46134</v>
      </c>
      <c r="E3581" s="75" t="s">
        <v>320</v>
      </c>
      <c r="F3581" s="74">
        <v>69</v>
      </c>
      <c r="G3581" s="75" t="s">
        <v>222</v>
      </c>
      <c r="H3581" s="77" t="str">
        <f>VLOOKUP(DESPESAS[[#This Row],[Plano de Contas]],BASE!$B$3:$D$119,3,FALSE)</f>
        <v>Alimentação</v>
      </c>
      <c r="I3581" s="77" t="str">
        <f>IFERROR(VLOOKUP(DESPESAS[[#This Row],[Fornecedor]],Tabela2[],2,FALSE),"")</f>
        <v/>
      </c>
      <c r="J3581" s="77" t="str">
        <f>IFERROR(VLOOKUP(DESPESAS[[#This Row],[Plano de Contas]],BASE!$B$3:$F$119,4,FALSE),"")</f>
        <v>5 - DESPESAS ADMINISTRATIVAS</v>
      </c>
      <c r="K3581" s="77" t="str">
        <f>IFERROR(VLOOKUP(DESPESAS[[#This Row],[Plano de Contas]],BASE!$B$3:$H$119,5,FALSE),"")</f>
        <v>FINANCEIRO</v>
      </c>
      <c r="L3581" s="77">
        <f>IFERROR(VLOOKUP(DESPESAS[[#This Row],[Plano de Contas]],BASE!$B$3:$H$119,6,FALSE),"")</f>
        <v>0</v>
      </c>
      <c r="M3581" s="77" t="str">
        <f>VLOOKUP(DESPESAS[[#This Row],[Plano de Contas]],BASE!$B$3:$H$119,7,FALSE)</f>
        <v>MYLENA</v>
      </c>
    </row>
    <row r="3582" spans="1:13" x14ac:dyDescent="0.25">
      <c r="A3582" s="74">
        <v>200833</v>
      </c>
      <c r="B3582" s="75" t="s">
        <v>232</v>
      </c>
      <c r="C3582" s="75" t="s">
        <v>319</v>
      </c>
      <c r="D3582" s="76">
        <v>46134</v>
      </c>
      <c r="E3582" s="75" t="s">
        <v>230</v>
      </c>
      <c r="F3582" s="74">
        <v>213.64</v>
      </c>
      <c r="G3582" s="75" t="s">
        <v>229</v>
      </c>
      <c r="H3582" s="77" t="str">
        <f>VLOOKUP(DESPESAS[[#This Row],[Plano de Contas]],BASE!$B$3:$D$119,3,FALSE)</f>
        <v>Despesas Bancarias</v>
      </c>
      <c r="I3582" s="77" t="str">
        <f>IFERROR(VLOOKUP(DESPESAS[[#This Row],[Fornecedor]],Tabela2[],2,FALSE),"")</f>
        <v/>
      </c>
      <c r="J3582" s="77" t="str">
        <f>IFERROR(VLOOKUP(DESPESAS[[#This Row],[Plano de Contas]],BASE!$B$3:$F$119,4,FALSE),"")</f>
        <v>8 - DESPESAS FINANCEIRAS</v>
      </c>
      <c r="K3582" s="77" t="str">
        <f>IFERROR(VLOOKUP(DESPESAS[[#This Row],[Plano de Contas]],BASE!$B$3:$H$119,5,FALSE),"")</f>
        <v>FINANCEIRO</v>
      </c>
      <c r="L3582" s="77">
        <f>IFERROR(VLOOKUP(DESPESAS[[#This Row],[Plano de Contas]],BASE!$B$3:$H$119,6,FALSE),"")</f>
        <v>0</v>
      </c>
      <c r="M3582" s="77" t="str">
        <f>VLOOKUP(DESPESAS[[#This Row],[Plano de Contas]],BASE!$B$3:$H$119,7,FALSE)</f>
        <v>LETÍCIA</v>
      </c>
    </row>
    <row r="3583" spans="1:13" x14ac:dyDescent="0.25">
      <c r="A3583" s="74">
        <v>200834</v>
      </c>
      <c r="B3583" s="75" t="s">
        <v>221</v>
      </c>
      <c r="C3583" s="75" t="s">
        <v>318</v>
      </c>
      <c r="D3583" s="76">
        <v>46134</v>
      </c>
      <c r="E3583" s="75" t="s">
        <v>317</v>
      </c>
      <c r="F3583" s="74">
        <v>155</v>
      </c>
      <c r="G3583" s="75" t="s">
        <v>259</v>
      </c>
      <c r="H3583" s="77" t="str">
        <f>VLOOKUP(DESPESAS[[#This Row],[Plano de Contas]],BASE!$B$3:$D$119,3,FALSE)</f>
        <v>Manutenção Predial CIF</v>
      </c>
      <c r="I3583" s="77" t="str">
        <f>IFERROR(VLOOKUP(DESPESAS[[#This Row],[Fornecedor]],Tabela2[],2,FALSE),"")</f>
        <v/>
      </c>
      <c r="J3583" s="77" t="str">
        <f>IFERROR(VLOOKUP(DESPESAS[[#This Row],[Plano de Contas]],BASE!$B$3:$F$119,4,FALSE),"")</f>
        <v>3 - CUSTOS INDIRETOS</v>
      </c>
      <c r="K3583" s="77" t="str">
        <f>IFERROR(VLOOKUP(DESPESAS[[#This Row],[Plano de Contas]],BASE!$B$3:$H$119,5,FALSE),"")</f>
        <v>MANUTENÇÃO / TI</v>
      </c>
      <c r="L3583" s="77">
        <f>IFERROR(VLOOKUP(DESPESAS[[#This Row],[Plano de Contas]],BASE!$B$3:$H$119,6,FALSE),"")</f>
        <v>0</v>
      </c>
      <c r="M3583" s="77" t="str">
        <f>VLOOKUP(DESPESAS[[#This Row],[Plano de Contas]],BASE!$B$3:$H$119,7,FALSE)</f>
        <v>FÁBIO</v>
      </c>
    </row>
    <row r="3584" spans="1:13" x14ac:dyDescent="0.25">
      <c r="A3584" s="74">
        <v>200835</v>
      </c>
      <c r="B3584" s="75" t="s">
        <v>232</v>
      </c>
      <c r="C3584" s="75" t="s">
        <v>316</v>
      </c>
      <c r="D3584" s="76">
        <v>46134</v>
      </c>
      <c r="E3584" s="75" t="s">
        <v>230</v>
      </c>
      <c r="F3584" s="74">
        <v>203.14</v>
      </c>
      <c r="G3584" s="75" t="s">
        <v>229</v>
      </c>
      <c r="H3584" s="77" t="str">
        <f>VLOOKUP(DESPESAS[[#This Row],[Plano de Contas]],BASE!$B$3:$D$119,3,FALSE)</f>
        <v>Despesas Bancarias</v>
      </c>
      <c r="I3584" s="77" t="str">
        <f>IFERROR(VLOOKUP(DESPESAS[[#This Row],[Fornecedor]],Tabela2[],2,FALSE),"")</f>
        <v/>
      </c>
      <c r="J3584" s="77" t="str">
        <f>IFERROR(VLOOKUP(DESPESAS[[#This Row],[Plano de Contas]],BASE!$B$3:$F$119,4,FALSE),"")</f>
        <v>8 - DESPESAS FINANCEIRAS</v>
      </c>
      <c r="K3584" s="77" t="str">
        <f>IFERROR(VLOOKUP(DESPESAS[[#This Row],[Plano de Contas]],BASE!$B$3:$H$119,5,FALSE),"")</f>
        <v>FINANCEIRO</v>
      </c>
      <c r="L3584" s="77">
        <f>IFERROR(VLOOKUP(DESPESAS[[#This Row],[Plano de Contas]],BASE!$B$3:$H$119,6,FALSE),"")</f>
        <v>0</v>
      </c>
      <c r="M3584" s="77" t="str">
        <f>VLOOKUP(DESPESAS[[#This Row],[Plano de Contas]],BASE!$B$3:$H$119,7,FALSE)</f>
        <v>LETÍCIA</v>
      </c>
    </row>
    <row r="3585" spans="1:13" x14ac:dyDescent="0.25">
      <c r="A3585" s="74">
        <v>200836</v>
      </c>
      <c r="B3585" s="75" t="s">
        <v>232</v>
      </c>
      <c r="C3585" s="75" t="s">
        <v>315</v>
      </c>
      <c r="D3585" s="76">
        <v>46134</v>
      </c>
      <c r="E3585" s="75" t="s">
        <v>230</v>
      </c>
      <c r="F3585" s="74">
        <v>1301</v>
      </c>
      <c r="G3585" s="75" t="s">
        <v>251</v>
      </c>
      <c r="H3585" s="77" t="str">
        <f>VLOOKUP(DESPESAS[[#This Row],[Plano de Contas]],BASE!$B$3:$D$119,3,FALSE)</f>
        <v>Juros Pagos - Antecipação de Crédito</v>
      </c>
      <c r="I3585" s="77" t="str">
        <f>IFERROR(VLOOKUP(DESPESAS[[#This Row],[Fornecedor]],Tabela2[],2,FALSE),"")</f>
        <v/>
      </c>
      <c r="J3585" s="77" t="str">
        <f>IFERROR(VLOOKUP(DESPESAS[[#This Row],[Plano de Contas]],BASE!$B$3:$F$119,4,FALSE),"")</f>
        <v>8 - DESPESAS FINANCEIRAS</v>
      </c>
      <c r="K3585" s="77" t="str">
        <f>IFERROR(VLOOKUP(DESPESAS[[#This Row],[Plano de Contas]],BASE!$B$3:$H$119,5,FALSE),"")</f>
        <v>FINANCEIRO</v>
      </c>
      <c r="L3585" s="77">
        <f>IFERROR(VLOOKUP(DESPESAS[[#This Row],[Plano de Contas]],BASE!$B$3:$H$119,6,FALSE),"")</f>
        <v>0</v>
      </c>
      <c r="M3585" s="77" t="str">
        <f>VLOOKUP(DESPESAS[[#This Row],[Plano de Contas]],BASE!$B$3:$H$119,7,FALSE)</f>
        <v>LETÍCIA</v>
      </c>
    </row>
    <row r="3586" spans="1:13" x14ac:dyDescent="0.25">
      <c r="A3586" s="74">
        <v>200837</v>
      </c>
      <c r="B3586" s="75" t="s">
        <v>232</v>
      </c>
      <c r="C3586" s="75" t="s">
        <v>314</v>
      </c>
      <c r="D3586" s="76">
        <v>46134</v>
      </c>
      <c r="E3586" s="75" t="s">
        <v>230</v>
      </c>
      <c r="F3586" s="74">
        <v>17.38</v>
      </c>
      <c r="G3586" s="75" t="s">
        <v>236</v>
      </c>
      <c r="H3586" s="77" t="str">
        <f>VLOOKUP(DESPESAS[[#This Row],[Plano de Contas]],BASE!$B$3:$D$119,3,FALSE)</f>
        <v>Despesas de Cobranca</v>
      </c>
      <c r="I3586" s="77" t="str">
        <f>IFERROR(VLOOKUP(DESPESAS[[#This Row],[Fornecedor]],Tabela2[],2,FALSE),"")</f>
        <v/>
      </c>
      <c r="J3586" s="77" t="str">
        <f>IFERROR(VLOOKUP(DESPESAS[[#This Row],[Plano de Contas]],BASE!$B$3:$F$119,4,FALSE),"")</f>
        <v>8 - DESPESAS FINANCEIRAS</v>
      </c>
      <c r="K3586" s="77" t="str">
        <f>IFERROR(VLOOKUP(DESPESAS[[#This Row],[Plano de Contas]],BASE!$B$3:$H$119,5,FALSE),"")</f>
        <v>FINANCEIRO</v>
      </c>
      <c r="L3586" s="77">
        <f>IFERROR(VLOOKUP(DESPESAS[[#This Row],[Plano de Contas]],BASE!$B$3:$H$119,6,FALSE),"")</f>
        <v>0</v>
      </c>
      <c r="M3586" s="77" t="str">
        <f>VLOOKUP(DESPESAS[[#This Row],[Plano de Contas]],BASE!$B$3:$H$119,7,FALSE)</f>
        <v>LETÍCIA</v>
      </c>
    </row>
    <row r="3587" spans="1:13" x14ac:dyDescent="0.25">
      <c r="A3587" s="74">
        <v>200838</v>
      </c>
      <c r="B3587" s="75" t="s">
        <v>232</v>
      </c>
      <c r="C3587" s="75" t="s">
        <v>313</v>
      </c>
      <c r="D3587" s="76">
        <v>46135</v>
      </c>
      <c r="E3587" s="75" t="s">
        <v>230</v>
      </c>
      <c r="F3587" s="74">
        <v>6.13</v>
      </c>
      <c r="G3587" s="75" t="s">
        <v>229</v>
      </c>
      <c r="H3587" s="77" t="str">
        <f>VLOOKUP(DESPESAS[[#This Row],[Plano de Contas]],BASE!$B$3:$D$119,3,FALSE)</f>
        <v>Despesas Bancarias</v>
      </c>
      <c r="I3587" s="77" t="str">
        <f>IFERROR(VLOOKUP(DESPESAS[[#This Row],[Fornecedor]],Tabela2[],2,FALSE),"")</f>
        <v/>
      </c>
      <c r="J3587" s="77" t="str">
        <f>IFERROR(VLOOKUP(DESPESAS[[#This Row],[Plano de Contas]],BASE!$B$3:$F$119,4,FALSE),"")</f>
        <v>8 - DESPESAS FINANCEIRAS</v>
      </c>
      <c r="K3587" s="77" t="str">
        <f>IFERROR(VLOOKUP(DESPESAS[[#This Row],[Plano de Contas]],BASE!$B$3:$H$119,5,FALSE),"")</f>
        <v>FINANCEIRO</v>
      </c>
      <c r="L3587" s="77">
        <f>IFERROR(VLOOKUP(DESPESAS[[#This Row],[Plano de Contas]],BASE!$B$3:$H$119,6,FALSE),"")</f>
        <v>0</v>
      </c>
      <c r="M3587" s="77" t="str">
        <f>VLOOKUP(DESPESAS[[#This Row],[Plano de Contas]],BASE!$B$3:$H$119,7,FALSE)</f>
        <v>LETÍCIA</v>
      </c>
    </row>
    <row r="3588" spans="1:13" x14ac:dyDescent="0.25">
      <c r="A3588" s="74">
        <v>200839</v>
      </c>
      <c r="B3588" s="75" t="s">
        <v>232</v>
      </c>
      <c r="C3588" s="75" t="s">
        <v>312</v>
      </c>
      <c r="D3588" s="76">
        <v>46135</v>
      </c>
      <c r="E3588" s="75" t="s">
        <v>230</v>
      </c>
      <c r="F3588" s="74">
        <v>53.17</v>
      </c>
      <c r="G3588" s="75" t="s">
        <v>251</v>
      </c>
      <c r="H3588" s="77" t="str">
        <f>VLOOKUP(DESPESAS[[#This Row],[Plano de Contas]],BASE!$B$3:$D$119,3,FALSE)</f>
        <v>Juros Pagos - Antecipação de Crédito</v>
      </c>
      <c r="I3588" s="77" t="str">
        <f>IFERROR(VLOOKUP(DESPESAS[[#This Row],[Fornecedor]],Tabela2[],2,FALSE),"")</f>
        <v/>
      </c>
      <c r="J3588" s="77" t="str">
        <f>IFERROR(VLOOKUP(DESPESAS[[#This Row],[Plano de Contas]],BASE!$B$3:$F$119,4,FALSE),"")</f>
        <v>8 - DESPESAS FINANCEIRAS</v>
      </c>
      <c r="K3588" s="77" t="str">
        <f>IFERROR(VLOOKUP(DESPESAS[[#This Row],[Plano de Contas]],BASE!$B$3:$H$119,5,FALSE),"")</f>
        <v>FINANCEIRO</v>
      </c>
      <c r="L3588" s="77">
        <f>IFERROR(VLOOKUP(DESPESAS[[#This Row],[Plano de Contas]],BASE!$B$3:$H$119,6,FALSE),"")</f>
        <v>0</v>
      </c>
      <c r="M3588" s="77" t="str">
        <f>VLOOKUP(DESPESAS[[#This Row],[Plano de Contas]],BASE!$B$3:$H$119,7,FALSE)</f>
        <v>LETÍCIA</v>
      </c>
    </row>
    <row r="3589" spans="1:13" x14ac:dyDescent="0.25">
      <c r="A3589" s="74">
        <v>200840</v>
      </c>
      <c r="B3589" s="75" t="s">
        <v>232</v>
      </c>
      <c r="C3589" s="75" t="s">
        <v>311</v>
      </c>
      <c r="D3589" s="76">
        <v>46134</v>
      </c>
      <c r="E3589" s="75" t="s">
        <v>230</v>
      </c>
      <c r="F3589" s="74">
        <v>5</v>
      </c>
      <c r="G3589" s="75" t="s">
        <v>229</v>
      </c>
      <c r="H3589" s="77" t="str">
        <f>VLOOKUP(DESPESAS[[#This Row],[Plano de Contas]],BASE!$B$3:$D$119,3,FALSE)</f>
        <v>Despesas Bancarias</v>
      </c>
      <c r="I3589" s="77" t="str">
        <f>IFERROR(VLOOKUP(DESPESAS[[#This Row],[Fornecedor]],Tabela2[],2,FALSE),"")</f>
        <v/>
      </c>
      <c r="J3589" s="77" t="str">
        <f>IFERROR(VLOOKUP(DESPESAS[[#This Row],[Plano de Contas]],BASE!$B$3:$F$119,4,FALSE),"")</f>
        <v>8 - DESPESAS FINANCEIRAS</v>
      </c>
      <c r="K3589" s="77" t="str">
        <f>IFERROR(VLOOKUP(DESPESAS[[#This Row],[Plano de Contas]],BASE!$B$3:$H$119,5,FALSE),"")</f>
        <v>FINANCEIRO</v>
      </c>
      <c r="L3589" s="77">
        <f>IFERROR(VLOOKUP(DESPESAS[[#This Row],[Plano de Contas]],BASE!$B$3:$H$119,6,FALSE),"")</f>
        <v>0</v>
      </c>
      <c r="M3589" s="77" t="str">
        <f>VLOOKUP(DESPESAS[[#This Row],[Plano de Contas]],BASE!$B$3:$H$119,7,FALSE)</f>
        <v>LETÍCIA</v>
      </c>
    </row>
    <row r="3590" spans="1:13" x14ac:dyDescent="0.25">
      <c r="A3590" s="74">
        <v>200841</v>
      </c>
      <c r="B3590" s="75" t="s">
        <v>232</v>
      </c>
      <c r="C3590" s="75" t="s">
        <v>310</v>
      </c>
      <c r="D3590" s="76">
        <v>46134</v>
      </c>
      <c r="E3590" s="75" t="s">
        <v>230</v>
      </c>
      <c r="F3590" s="74">
        <v>0.79</v>
      </c>
      <c r="G3590" s="75" t="s">
        <v>229</v>
      </c>
      <c r="H3590" s="77" t="str">
        <f>VLOOKUP(DESPESAS[[#This Row],[Plano de Contas]],BASE!$B$3:$D$119,3,FALSE)</f>
        <v>Despesas Bancarias</v>
      </c>
      <c r="I3590" s="77" t="str">
        <f>IFERROR(VLOOKUP(DESPESAS[[#This Row],[Fornecedor]],Tabela2[],2,FALSE),"")</f>
        <v/>
      </c>
      <c r="J3590" s="77" t="str">
        <f>IFERROR(VLOOKUP(DESPESAS[[#This Row],[Plano de Contas]],BASE!$B$3:$F$119,4,FALSE),"")</f>
        <v>8 - DESPESAS FINANCEIRAS</v>
      </c>
      <c r="K3590" s="77" t="str">
        <f>IFERROR(VLOOKUP(DESPESAS[[#This Row],[Plano de Contas]],BASE!$B$3:$H$119,5,FALSE),"")</f>
        <v>FINANCEIRO</v>
      </c>
      <c r="L3590" s="77">
        <f>IFERROR(VLOOKUP(DESPESAS[[#This Row],[Plano de Contas]],BASE!$B$3:$H$119,6,FALSE),"")</f>
        <v>0</v>
      </c>
      <c r="M3590" s="77" t="str">
        <f>VLOOKUP(DESPESAS[[#This Row],[Plano de Contas]],BASE!$B$3:$H$119,7,FALSE)</f>
        <v>LETÍCIA</v>
      </c>
    </row>
    <row r="3591" spans="1:13" x14ac:dyDescent="0.25">
      <c r="A3591" s="74">
        <v>200842</v>
      </c>
      <c r="B3591" s="75" t="s">
        <v>232</v>
      </c>
      <c r="C3591" s="75" t="s">
        <v>309</v>
      </c>
      <c r="D3591" s="76">
        <v>46134</v>
      </c>
      <c r="E3591" s="75" t="s">
        <v>230</v>
      </c>
      <c r="F3591" s="74">
        <v>3.8</v>
      </c>
      <c r="G3591" s="75" t="s">
        <v>229</v>
      </c>
      <c r="H3591" s="77" t="str">
        <f>VLOOKUP(DESPESAS[[#This Row],[Plano de Contas]],BASE!$B$3:$D$119,3,FALSE)</f>
        <v>Despesas Bancarias</v>
      </c>
      <c r="I3591" s="77" t="str">
        <f>IFERROR(VLOOKUP(DESPESAS[[#This Row],[Fornecedor]],Tabela2[],2,FALSE),"")</f>
        <v/>
      </c>
      <c r="J3591" s="77" t="str">
        <f>IFERROR(VLOOKUP(DESPESAS[[#This Row],[Plano de Contas]],BASE!$B$3:$F$119,4,FALSE),"")</f>
        <v>8 - DESPESAS FINANCEIRAS</v>
      </c>
      <c r="K3591" s="77" t="str">
        <f>IFERROR(VLOOKUP(DESPESAS[[#This Row],[Plano de Contas]],BASE!$B$3:$H$119,5,FALSE),"")</f>
        <v>FINANCEIRO</v>
      </c>
      <c r="L3591" s="77">
        <f>IFERROR(VLOOKUP(DESPESAS[[#This Row],[Plano de Contas]],BASE!$B$3:$H$119,6,FALSE),"")</f>
        <v>0</v>
      </c>
      <c r="M3591" s="77" t="str">
        <f>VLOOKUP(DESPESAS[[#This Row],[Plano de Contas]],BASE!$B$3:$H$119,7,FALSE)</f>
        <v>LETÍCIA</v>
      </c>
    </row>
    <row r="3592" spans="1:13" x14ac:dyDescent="0.25">
      <c r="A3592" s="74">
        <v>200843</v>
      </c>
      <c r="B3592" s="75" t="s">
        <v>221</v>
      </c>
      <c r="C3592" s="75" t="s">
        <v>308</v>
      </c>
      <c r="D3592" s="76">
        <v>46135</v>
      </c>
      <c r="E3592" s="75" t="s">
        <v>307</v>
      </c>
      <c r="F3592" s="74">
        <v>30</v>
      </c>
      <c r="G3592" s="75" t="s">
        <v>244</v>
      </c>
      <c r="H3592" s="77" t="str">
        <f>VLOOKUP(DESPESAS[[#This Row],[Plano de Contas]],BASE!$B$3:$D$119,3,FALSE)</f>
        <v>Material de Expediente (Prod)</v>
      </c>
      <c r="I3592" s="77" t="str">
        <f>IFERROR(VLOOKUP(DESPESAS[[#This Row],[Fornecedor]],Tabela2[],2,FALSE),"")</f>
        <v>FERRAGENS GERAIS</v>
      </c>
      <c r="J3592" s="77" t="str">
        <f>IFERROR(VLOOKUP(DESPESAS[[#This Row],[Plano de Contas]],BASE!$B$3:$F$119,4,FALSE),"")</f>
        <v>2 - CUSTOS DIRETOS</v>
      </c>
      <c r="K3592" s="77" t="str">
        <f>IFERROR(VLOOKUP(DESPESAS[[#This Row],[Plano de Contas]],BASE!$B$3:$H$119,5,FALSE),"")</f>
        <v>PRODUÇÃO</v>
      </c>
      <c r="L3592" s="77">
        <f>IFERROR(VLOOKUP(DESPESAS[[#This Row],[Plano de Contas]],BASE!$B$3:$H$119,6,FALSE),"")</f>
        <v>0</v>
      </c>
      <c r="M3592" s="77" t="str">
        <f>VLOOKUP(DESPESAS[[#This Row],[Plano de Contas]],BASE!$B$3:$H$119,7,FALSE)</f>
        <v>RAFAEL</v>
      </c>
    </row>
    <row r="3593" spans="1:13" x14ac:dyDescent="0.25">
      <c r="A3593" s="74">
        <v>200844</v>
      </c>
      <c r="B3593" s="75" t="s">
        <v>279</v>
      </c>
      <c r="C3593" s="75" t="s">
        <v>306</v>
      </c>
      <c r="D3593" s="76">
        <v>46134</v>
      </c>
      <c r="E3593" s="75" t="s">
        <v>230</v>
      </c>
      <c r="F3593" s="74">
        <v>1.58</v>
      </c>
      <c r="G3593" s="75" t="s">
        <v>236</v>
      </c>
      <c r="H3593" s="77" t="str">
        <f>VLOOKUP(DESPESAS[[#This Row],[Plano de Contas]],BASE!$B$3:$D$119,3,FALSE)</f>
        <v>Despesas de Cobranca</v>
      </c>
      <c r="I3593" s="77" t="str">
        <f>IFERROR(VLOOKUP(DESPESAS[[#This Row],[Fornecedor]],Tabela2[],2,FALSE),"")</f>
        <v/>
      </c>
      <c r="J3593" s="77" t="str">
        <f>IFERROR(VLOOKUP(DESPESAS[[#This Row],[Plano de Contas]],BASE!$B$3:$F$119,4,FALSE),"")</f>
        <v>8 - DESPESAS FINANCEIRAS</v>
      </c>
      <c r="K3593" s="77" t="str">
        <f>IFERROR(VLOOKUP(DESPESAS[[#This Row],[Plano de Contas]],BASE!$B$3:$H$119,5,FALSE),"")</f>
        <v>FINANCEIRO</v>
      </c>
      <c r="L3593" s="77">
        <f>IFERROR(VLOOKUP(DESPESAS[[#This Row],[Plano de Contas]],BASE!$B$3:$H$119,6,FALSE),"")</f>
        <v>0</v>
      </c>
      <c r="M3593" s="77" t="str">
        <f>VLOOKUP(DESPESAS[[#This Row],[Plano de Contas]],BASE!$B$3:$H$119,7,FALSE)</f>
        <v>LETÍCIA</v>
      </c>
    </row>
    <row r="3594" spans="1:13" x14ac:dyDescent="0.25">
      <c r="A3594" s="74">
        <v>200845</v>
      </c>
      <c r="B3594" s="75" t="s">
        <v>279</v>
      </c>
      <c r="C3594" s="75" t="s">
        <v>305</v>
      </c>
      <c r="D3594" s="76">
        <v>46135</v>
      </c>
      <c r="E3594" s="75" t="s">
        <v>230</v>
      </c>
      <c r="F3594" s="74">
        <v>0.44</v>
      </c>
      <c r="G3594" s="75" t="s">
        <v>229</v>
      </c>
      <c r="H3594" s="77" t="str">
        <f>VLOOKUP(DESPESAS[[#This Row],[Plano de Contas]],BASE!$B$3:$D$119,3,FALSE)</f>
        <v>Despesas Bancarias</v>
      </c>
      <c r="I3594" s="77" t="str">
        <f>IFERROR(VLOOKUP(DESPESAS[[#This Row],[Fornecedor]],Tabela2[],2,FALSE),"")</f>
        <v/>
      </c>
      <c r="J3594" s="77" t="str">
        <f>IFERROR(VLOOKUP(DESPESAS[[#This Row],[Plano de Contas]],BASE!$B$3:$F$119,4,FALSE),"")</f>
        <v>8 - DESPESAS FINANCEIRAS</v>
      </c>
      <c r="K3594" s="77" t="str">
        <f>IFERROR(VLOOKUP(DESPESAS[[#This Row],[Plano de Contas]],BASE!$B$3:$H$119,5,FALSE),"")</f>
        <v>FINANCEIRO</v>
      </c>
      <c r="L3594" s="77">
        <f>IFERROR(VLOOKUP(DESPESAS[[#This Row],[Plano de Contas]],BASE!$B$3:$H$119,6,FALSE),"")</f>
        <v>0</v>
      </c>
      <c r="M3594" s="77" t="str">
        <f>VLOOKUP(DESPESAS[[#This Row],[Plano de Contas]],BASE!$B$3:$H$119,7,FALSE)</f>
        <v>LETÍCIA</v>
      </c>
    </row>
    <row r="3595" spans="1:13" x14ac:dyDescent="0.25">
      <c r="A3595" s="74">
        <v>200846</v>
      </c>
      <c r="B3595" s="75" t="s">
        <v>232</v>
      </c>
      <c r="C3595" s="75" t="s">
        <v>304</v>
      </c>
      <c r="D3595" s="76">
        <v>46135</v>
      </c>
      <c r="E3595" s="75" t="s">
        <v>303</v>
      </c>
      <c r="F3595" s="74">
        <v>2200</v>
      </c>
      <c r="G3595" s="75" t="s">
        <v>247</v>
      </c>
      <c r="H3595" s="77" t="str">
        <f>VLOOKUP(DESPESAS[[#This Row],[Plano de Contas]],BASE!$B$3:$D$119,3,FALSE)</f>
        <v>Manutenção com veiculos</v>
      </c>
      <c r="I3595" s="77" t="str">
        <f>IFERROR(VLOOKUP(DESPESAS[[#This Row],[Fornecedor]],Tabela2[],2,FALSE),"")</f>
        <v/>
      </c>
      <c r="J3595" s="77" t="str">
        <f>IFERROR(VLOOKUP(DESPESAS[[#This Row],[Plano de Contas]],BASE!$B$3:$F$119,4,FALSE),"")</f>
        <v>6 - DESPESA COM VENDAS</v>
      </c>
      <c r="K3595" s="77" t="str">
        <f>IFERROR(VLOOKUP(DESPESAS[[#This Row],[Plano de Contas]],BASE!$B$3:$H$119,5,FALSE),"")</f>
        <v>LOGÍSTICA</v>
      </c>
      <c r="L3595" s="77">
        <f>IFERROR(VLOOKUP(DESPESAS[[#This Row],[Plano de Contas]],BASE!$B$3:$H$119,6,FALSE),"")</f>
        <v>0</v>
      </c>
      <c r="M3595" s="77" t="str">
        <f>VLOOKUP(DESPESAS[[#This Row],[Plano de Contas]],BASE!$B$3:$H$119,7,FALSE)</f>
        <v>MYLENA</v>
      </c>
    </row>
    <row r="3596" spans="1:13" x14ac:dyDescent="0.25">
      <c r="A3596" s="74">
        <v>200847</v>
      </c>
      <c r="B3596" s="75" t="s">
        <v>221</v>
      </c>
      <c r="C3596" s="75" t="s">
        <v>302</v>
      </c>
      <c r="D3596" s="76">
        <v>46135</v>
      </c>
      <c r="E3596" s="75" t="s">
        <v>301</v>
      </c>
      <c r="F3596" s="74">
        <v>80</v>
      </c>
      <c r="G3596" s="75" t="s">
        <v>247</v>
      </c>
      <c r="H3596" s="77" t="str">
        <f>VLOOKUP(DESPESAS[[#This Row],[Plano de Contas]],BASE!$B$3:$D$119,3,FALSE)</f>
        <v>Manutenção com veiculos</v>
      </c>
      <c r="I3596" s="77" t="str">
        <f>IFERROR(VLOOKUP(DESPESAS[[#This Row],[Fornecedor]],Tabela2[],2,FALSE),"")</f>
        <v/>
      </c>
      <c r="J3596" s="77" t="str">
        <f>IFERROR(VLOOKUP(DESPESAS[[#This Row],[Plano de Contas]],BASE!$B$3:$F$119,4,FALSE),"")</f>
        <v>6 - DESPESA COM VENDAS</v>
      </c>
      <c r="K3596" s="77" t="str">
        <f>IFERROR(VLOOKUP(DESPESAS[[#This Row],[Plano de Contas]],BASE!$B$3:$H$119,5,FALSE),"")</f>
        <v>LOGÍSTICA</v>
      </c>
      <c r="L3596" s="77">
        <f>IFERROR(VLOOKUP(DESPESAS[[#This Row],[Plano de Contas]],BASE!$B$3:$H$119,6,FALSE),"")</f>
        <v>0</v>
      </c>
      <c r="M3596" s="77" t="str">
        <f>VLOOKUP(DESPESAS[[#This Row],[Plano de Contas]],BASE!$B$3:$H$119,7,FALSE)</f>
        <v>MYLENA</v>
      </c>
    </row>
    <row r="3597" spans="1:13" x14ac:dyDescent="0.25">
      <c r="A3597" s="74">
        <v>200849</v>
      </c>
      <c r="B3597" s="75" t="s">
        <v>221</v>
      </c>
      <c r="C3597" s="75" t="s">
        <v>300</v>
      </c>
      <c r="D3597" s="76">
        <v>46135</v>
      </c>
      <c r="E3597" s="75" t="s">
        <v>292</v>
      </c>
      <c r="F3597" s="74">
        <v>70</v>
      </c>
      <c r="G3597" s="75" t="s">
        <v>247</v>
      </c>
      <c r="H3597" s="77" t="str">
        <f>VLOOKUP(DESPESAS[[#This Row],[Plano de Contas]],BASE!$B$3:$D$119,3,FALSE)</f>
        <v>Manutenção com veiculos</v>
      </c>
      <c r="I3597" s="77" t="str">
        <f>IFERROR(VLOOKUP(DESPESAS[[#This Row],[Fornecedor]],Tabela2[],2,FALSE),"")</f>
        <v>TORNO MECANICO</v>
      </c>
      <c r="J3597" s="77" t="str">
        <f>IFERROR(VLOOKUP(DESPESAS[[#This Row],[Plano de Contas]],BASE!$B$3:$F$119,4,FALSE),"")</f>
        <v>6 - DESPESA COM VENDAS</v>
      </c>
      <c r="K3597" s="77" t="str">
        <f>IFERROR(VLOOKUP(DESPESAS[[#This Row],[Plano de Contas]],BASE!$B$3:$H$119,5,FALSE),"")</f>
        <v>LOGÍSTICA</v>
      </c>
      <c r="L3597" s="77">
        <f>IFERROR(VLOOKUP(DESPESAS[[#This Row],[Plano de Contas]],BASE!$B$3:$H$119,6,FALSE),"")</f>
        <v>0</v>
      </c>
      <c r="M3597" s="77" t="str">
        <f>VLOOKUP(DESPESAS[[#This Row],[Plano de Contas]],BASE!$B$3:$H$119,7,FALSE)</f>
        <v>MYLENA</v>
      </c>
    </row>
    <row r="3598" spans="1:13" x14ac:dyDescent="0.25">
      <c r="A3598" s="74">
        <v>200850</v>
      </c>
      <c r="B3598" s="75" t="s">
        <v>232</v>
      </c>
      <c r="C3598" s="75" t="s">
        <v>299</v>
      </c>
      <c r="D3598" s="76">
        <v>46135</v>
      </c>
      <c r="E3598" s="75" t="s">
        <v>230</v>
      </c>
      <c r="F3598" s="74">
        <v>218.25</v>
      </c>
      <c r="G3598" s="75" t="s">
        <v>229</v>
      </c>
      <c r="H3598" s="77" t="str">
        <f>VLOOKUP(DESPESAS[[#This Row],[Plano de Contas]],BASE!$B$3:$D$119,3,FALSE)</f>
        <v>Despesas Bancarias</v>
      </c>
      <c r="I3598" s="77" t="str">
        <f>IFERROR(VLOOKUP(DESPESAS[[#This Row],[Fornecedor]],Tabela2[],2,FALSE),"")</f>
        <v/>
      </c>
      <c r="J3598" s="77" t="str">
        <f>IFERROR(VLOOKUP(DESPESAS[[#This Row],[Plano de Contas]],BASE!$B$3:$F$119,4,FALSE),"")</f>
        <v>8 - DESPESAS FINANCEIRAS</v>
      </c>
      <c r="K3598" s="77" t="str">
        <f>IFERROR(VLOOKUP(DESPESAS[[#This Row],[Plano de Contas]],BASE!$B$3:$H$119,5,FALSE),"")</f>
        <v>FINANCEIRO</v>
      </c>
      <c r="L3598" s="77">
        <f>IFERROR(VLOOKUP(DESPESAS[[#This Row],[Plano de Contas]],BASE!$B$3:$H$119,6,FALSE),"")</f>
        <v>0</v>
      </c>
      <c r="M3598" s="77" t="str">
        <f>VLOOKUP(DESPESAS[[#This Row],[Plano de Contas]],BASE!$B$3:$H$119,7,FALSE)</f>
        <v>LETÍCIA</v>
      </c>
    </row>
    <row r="3599" spans="1:13" x14ac:dyDescent="0.25">
      <c r="A3599" s="74">
        <v>200851</v>
      </c>
      <c r="B3599" s="75" t="s">
        <v>232</v>
      </c>
      <c r="C3599" s="75" t="s">
        <v>298</v>
      </c>
      <c r="D3599" s="76">
        <v>46135</v>
      </c>
      <c r="E3599" s="75" t="s">
        <v>230</v>
      </c>
      <c r="F3599" s="74">
        <v>197.57</v>
      </c>
      <c r="G3599" s="75" t="s">
        <v>229</v>
      </c>
      <c r="H3599" s="77" t="str">
        <f>VLOOKUP(DESPESAS[[#This Row],[Plano de Contas]],BASE!$B$3:$D$119,3,FALSE)</f>
        <v>Despesas Bancarias</v>
      </c>
      <c r="I3599" s="77" t="str">
        <f>IFERROR(VLOOKUP(DESPESAS[[#This Row],[Fornecedor]],Tabela2[],2,FALSE),"")</f>
        <v/>
      </c>
      <c r="J3599" s="77" t="str">
        <f>IFERROR(VLOOKUP(DESPESAS[[#This Row],[Plano de Contas]],BASE!$B$3:$F$119,4,FALSE),"")</f>
        <v>8 - DESPESAS FINANCEIRAS</v>
      </c>
      <c r="K3599" s="77" t="str">
        <f>IFERROR(VLOOKUP(DESPESAS[[#This Row],[Plano de Contas]],BASE!$B$3:$H$119,5,FALSE),"")</f>
        <v>FINANCEIRO</v>
      </c>
      <c r="L3599" s="77">
        <f>IFERROR(VLOOKUP(DESPESAS[[#This Row],[Plano de Contas]],BASE!$B$3:$H$119,6,FALSE),"")</f>
        <v>0</v>
      </c>
      <c r="M3599" s="77" t="str">
        <f>VLOOKUP(DESPESAS[[#This Row],[Plano de Contas]],BASE!$B$3:$H$119,7,FALSE)</f>
        <v>LETÍCIA</v>
      </c>
    </row>
    <row r="3600" spans="1:13" x14ac:dyDescent="0.25">
      <c r="A3600" s="74">
        <v>200852</v>
      </c>
      <c r="B3600" s="75" t="s">
        <v>232</v>
      </c>
      <c r="C3600" s="75" t="s">
        <v>297</v>
      </c>
      <c r="D3600" s="76">
        <v>46135</v>
      </c>
      <c r="E3600" s="75" t="s">
        <v>230</v>
      </c>
      <c r="F3600" s="74">
        <v>1325.42</v>
      </c>
      <c r="G3600" s="75" t="s">
        <v>251</v>
      </c>
      <c r="H3600" s="77" t="str">
        <f>VLOOKUP(DESPESAS[[#This Row],[Plano de Contas]],BASE!$B$3:$D$119,3,FALSE)</f>
        <v>Juros Pagos - Antecipação de Crédito</v>
      </c>
      <c r="I3600" s="77" t="str">
        <f>IFERROR(VLOOKUP(DESPESAS[[#This Row],[Fornecedor]],Tabela2[],2,FALSE),"")</f>
        <v/>
      </c>
      <c r="J3600" s="77" t="str">
        <f>IFERROR(VLOOKUP(DESPESAS[[#This Row],[Plano de Contas]],BASE!$B$3:$F$119,4,FALSE),"")</f>
        <v>8 - DESPESAS FINANCEIRAS</v>
      </c>
      <c r="K3600" s="77" t="str">
        <f>IFERROR(VLOOKUP(DESPESAS[[#This Row],[Plano de Contas]],BASE!$B$3:$H$119,5,FALSE),"")</f>
        <v>FINANCEIRO</v>
      </c>
      <c r="L3600" s="77">
        <f>IFERROR(VLOOKUP(DESPESAS[[#This Row],[Plano de Contas]],BASE!$B$3:$H$119,6,FALSE),"")</f>
        <v>0</v>
      </c>
      <c r="M3600" s="77" t="str">
        <f>VLOOKUP(DESPESAS[[#This Row],[Plano de Contas]],BASE!$B$3:$H$119,7,FALSE)</f>
        <v>LETÍCIA</v>
      </c>
    </row>
    <row r="3601" spans="1:13" x14ac:dyDescent="0.25">
      <c r="A3601" s="74">
        <v>200853</v>
      </c>
      <c r="B3601" s="75" t="s">
        <v>232</v>
      </c>
      <c r="C3601" s="75" t="s">
        <v>296</v>
      </c>
      <c r="D3601" s="76">
        <v>46135</v>
      </c>
      <c r="E3601" s="75" t="s">
        <v>295</v>
      </c>
      <c r="F3601" s="74">
        <v>1922.4</v>
      </c>
      <c r="G3601" s="75" t="s">
        <v>294</v>
      </c>
      <c r="H3601" s="77" t="str">
        <f>VLOOKUP(DESPESAS[[#This Row],[Plano de Contas]],BASE!$B$3:$D$119,3,FALSE)</f>
        <v>Insumos de Clientes</v>
      </c>
      <c r="I3601" s="77" t="str">
        <f>IFERROR(VLOOKUP(DESPESAS[[#This Row],[Fornecedor]],Tabela2[],2,FALSE),"")</f>
        <v/>
      </c>
      <c r="J3601" s="77" t="str">
        <f>IFERROR(VLOOKUP(DESPESAS[[#This Row],[Plano de Contas]],BASE!$B$3:$F$119,4,FALSE),"")</f>
        <v>8 - DESPESAS FINANCEIRAS</v>
      </c>
      <c r="K3601" s="77" t="str">
        <f>IFERROR(VLOOKUP(DESPESAS[[#This Row],[Plano de Contas]],BASE!$B$3:$H$119,5,FALSE),"")</f>
        <v>COMERCIAL</v>
      </c>
      <c r="L3601" s="77">
        <f>IFERROR(VLOOKUP(DESPESAS[[#This Row],[Plano de Contas]],BASE!$B$3:$H$119,6,FALSE),"")</f>
        <v>0</v>
      </c>
      <c r="M3601" s="77" t="str">
        <f>VLOOKUP(DESPESAS[[#This Row],[Plano de Contas]],BASE!$B$3:$H$119,7,FALSE)</f>
        <v>LETÍCIA</v>
      </c>
    </row>
    <row r="3602" spans="1:13" x14ac:dyDescent="0.25">
      <c r="A3602" s="74">
        <v>200854</v>
      </c>
      <c r="B3602" s="75" t="s">
        <v>221</v>
      </c>
      <c r="C3602" s="75" t="s">
        <v>293</v>
      </c>
      <c r="D3602" s="76">
        <v>46135</v>
      </c>
      <c r="E3602" s="75" t="s">
        <v>292</v>
      </c>
      <c r="F3602" s="74">
        <v>15</v>
      </c>
      <c r="G3602" s="75" t="s">
        <v>247</v>
      </c>
      <c r="H3602" s="77" t="str">
        <f>VLOOKUP(DESPESAS[[#This Row],[Plano de Contas]],BASE!$B$3:$D$119,3,FALSE)</f>
        <v>Manutenção com veiculos</v>
      </c>
      <c r="I3602" s="77" t="str">
        <f>IFERROR(VLOOKUP(DESPESAS[[#This Row],[Fornecedor]],Tabela2[],2,FALSE),"")</f>
        <v>TORNO MECANICO</v>
      </c>
      <c r="J3602" s="77" t="str">
        <f>IFERROR(VLOOKUP(DESPESAS[[#This Row],[Plano de Contas]],BASE!$B$3:$F$119,4,FALSE),"")</f>
        <v>6 - DESPESA COM VENDAS</v>
      </c>
      <c r="K3602" s="77" t="str">
        <f>IFERROR(VLOOKUP(DESPESAS[[#This Row],[Plano de Contas]],BASE!$B$3:$H$119,5,FALSE),"")</f>
        <v>LOGÍSTICA</v>
      </c>
      <c r="L3602" s="77">
        <f>IFERROR(VLOOKUP(DESPESAS[[#This Row],[Plano de Contas]],BASE!$B$3:$H$119,6,FALSE),"")</f>
        <v>0</v>
      </c>
      <c r="M3602" s="77" t="str">
        <f>VLOOKUP(DESPESAS[[#This Row],[Plano de Contas]],BASE!$B$3:$H$119,7,FALSE)</f>
        <v>MYLENA</v>
      </c>
    </row>
    <row r="3603" spans="1:13" x14ac:dyDescent="0.25">
      <c r="A3603" s="74">
        <v>200858</v>
      </c>
      <c r="B3603" s="75" t="s">
        <v>281</v>
      </c>
      <c r="C3603" s="75" t="s">
        <v>291</v>
      </c>
      <c r="D3603" s="76">
        <v>46135</v>
      </c>
      <c r="E3603" s="75" t="s">
        <v>290</v>
      </c>
      <c r="F3603" s="74">
        <v>91.72</v>
      </c>
      <c r="G3603" s="75" t="s">
        <v>289</v>
      </c>
      <c r="H3603" s="77" t="str">
        <f>VLOOKUP(DESPESAS[[#This Row],[Plano de Contas]],BASE!$B$3:$D$119,3,FALSE)</f>
        <v>Energia Eletrica (Adm)</v>
      </c>
      <c r="I3603" s="77" t="str">
        <f>IFERROR(VLOOKUP(DESPESAS[[#This Row],[Fornecedor]],Tabela2[],2,FALSE),"")</f>
        <v/>
      </c>
      <c r="J3603" s="77" t="str">
        <f>IFERROR(VLOOKUP(DESPESAS[[#This Row],[Plano de Contas]],BASE!$B$3:$F$119,4,FALSE),"")</f>
        <v>5 - DESPESAS ADMINISTRATIVAS</v>
      </c>
      <c r="K3603" s="77" t="str">
        <f>IFERROR(VLOOKUP(DESPESAS[[#This Row],[Plano de Contas]],BASE!$B$3:$H$119,5,FALSE),"")</f>
        <v>FINANCEIRO</v>
      </c>
      <c r="L3603" s="77">
        <f>IFERROR(VLOOKUP(DESPESAS[[#This Row],[Plano de Contas]],BASE!$B$3:$H$119,6,FALSE),"")</f>
        <v>0</v>
      </c>
      <c r="M3603" s="77" t="str">
        <f>VLOOKUP(DESPESAS[[#This Row],[Plano de Contas]],BASE!$B$3:$H$119,7,FALSE)</f>
        <v>LETÍCIA</v>
      </c>
    </row>
    <row r="3604" spans="1:13" x14ac:dyDescent="0.25">
      <c r="A3604" s="74">
        <v>200859</v>
      </c>
      <c r="B3604" s="75" t="s">
        <v>221</v>
      </c>
      <c r="C3604" s="75" t="s">
        <v>288</v>
      </c>
      <c r="D3604" s="76">
        <v>46135</v>
      </c>
      <c r="E3604" s="75" t="s">
        <v>287</v>
      </c>
      <c r="F3604" s="74">
        <v>140</v>
      </c>
      <c r="G3604" s="75" t="s">
        <v>247</v>
      </c>
      <c r="H3604" s="77" t="str">
        <f>VLOOKUP(DESPESAS[[#This Row],[Plano de Contas]],BASE!$B$3:$D$119,3,FALSE)</f>
        <v>Manutenção com veiculos</v>
      </c>
      <c r="I3604" s="77" t="str">
        <f>IFERROR(VLOOKUP(DESPESAS[[#This Row],[Fornecedor]],Tabela2[],2,FALSE),"")</f>
        <v/>
      </c>
      <c r="J3604" s="77" t="str">
        <f>IFERROR(VLOOKUP(DESPESAS[[#This Row],[Plano de Contas]],BASE!$B$3:$F$119,4,FALSE),"")</f>
        <v>6 - DESPESA COM VENDAS</v>
      </c>
      <c r="K3604" s="77" t="str">
        <f>IFERROR(VLOOKUP(DESPESAS[[#This Row],[Plano de Contas]],BASE!$B$3:$H$119,5,FALSE),"")</f>
        <v>LOGÍSTICA</v>
      </c>
      <c r="L3604" s="77">
        <f>IFERROR(VLOOKUP(DESPESAS[[#This Row],[Plano de Contas]],BASE!$B$3:$H$119,6,FALSE),"")</f>
        <v>0</v>
      </c>
      <c r="M3604" s="77" t="str">
        <f>VLOOKUP(DESPESAS[[#This Row],[Plano de Contas]],BASE!$B$3:$H$119,7,FALSE)</f>
        <v>MYLENA</v>
      </c>
    </row>
    <row r="3605" spans="1:13" x14ac:dyDescent="0.25">
      <c r="A3605" s="74">
        <v>200861</v>
      </c>
      <c r="B3605" s="75" t="s">
        <v>232</v>
      </c>
      <c r="C3605" s="75" t="s">
        <v>286</v>
      </c>
      <c r="D3605" s="76">
        <v>46135</v>
      </c>
      <c r="E3605" s="75" t="s">
        <v>230</v>
      </c>
      <c r="F3605" s="74">
        <v>7.9</v>
      </c>
      <c r="G3605" s="75" t="s">
        <v>236</v>
      </c>
      <c r="H3605" s="77" t="str">
        <f>VLOOKUP(DESPESAS[[#This Row],[Plano de Contas]],BASE!$B$3:$D$119,3,FALSE)</f>
        <v>Despesas de Cobranca</v>
      </c>
      <c r="I3605" s="77" t="str">
        <f>IFERROR(VLOOKUP(DESPESAS[[#This Row],[Fornecedor]],Tabela2[],2,FALSE),"")</f>
        <v/>
      </c>
      <c r="J3605" s="77" t="str">
        <f>IFERROR(VLOOKUP(DESPESAS[[#This Row],[Plano de Contas]],BASE!$B$3:$F$119,4,FALSE),"")</f>
        <v>8 - DESPESAS FINANCEIRAS</v>
      </c>
      <c r="K3605" s="77" t="str">
        <f>IFERROR(VLOOKUP(DESPESAS[[#This Row],[Plano de Contas]],BASE!$B$3:$H$119,5,FALSE),"")</f>
        <v>FINANCEIRO</v>
      </c>
      <c r="L3605" s="77">
        <f>IFERROR(VLOOKUP(DESPESAS[[#This Row],[Plano de Contas]],BASE!$B$3:$H$119,6,FALSE),"")</f>
        <v>0</v>
      </c>
      <c r="M3605" s="77" t="str">
        <f>VLOOKUP(DESPESAS[[#This Row],[Plano de Contas]],BASE!$B$3:$H$119,7,FALSE)</f>
        <v>LETÍCIA</v>
      </c>
    </row>
    <row r="3606" spans="1:13" x14ac:dyDescent="0.25">
      <c r="A3606" s="74">
        <v>200862</v>
      </c>
      <c r="B3606" s="75" t="s">
        <v>232</v>
      </c>
      <c r="C3606" s="75" t="s">
        <v>285</v>
      </c>
      <c r="D3606" s="76">
        <v>46136</v>
      </c>
      <c r="E3606" s="75" t="s">
        <v>230</v>
      </c>
      <c r="F3606" s="74">
        <v>0.42</v>
      </c>
      <c r="G3606" s="75" t="s">
        <v>229</v>
      </c>
      <c r="H3606" s="77" t="str">
        <f>VLOOKUP(DESPESAS[[#This Row],[Plano de Contas]],BASE!$B$3:$D$119,3,FALSE)</f>
        <v>Despesas Bancarias</v>
      </c>
      <c r="I3606" s="77" t="str">
        <f>IFERROR(VLOOKUP(DESPESAS[[#This Row],[Fornecedor]],Tabela2[],2,FALSE),"")</f>
        <v/>
      </c>
      <c r="J3606" s="77" t="str">
        <f>IFERROR(VLOOKUP(DESPESAS[[#This Row],[Plano de Contas]],BASE!$B$3:$F$119,4,FALSE),"")</f>
        <v>8 - DESPESAS FINANCEIRAS</v>
      </c>
      <c r="K3606" s="77" t="str">
        <f>IFERROR(VLOOKUP(DESPESAS[[#This Row],[Plano de Contas]],BASE!$B$3:$H$119,5,FALSE),"")</f>
        <v>FINANCEIRO</v>
      </c>
      <c r="L3606" s="77">
        <f>IFERROR(VLOOKUP(DESPESAS[[#This Row],[Plano de Contas]],BASE!$B$3:$H$119,6,FALSE),"")</f>
        <v>0</v>
      </c>
      <c r="M3606" s="77" t="str">
        <f>VLOOKUP(DESPESAS[[#This Row],[Plano de Contas]],BASE!$B$3:$H$119,7,FALSE)</f>
        <v>LETÍCIA</v>
      </c>
    </row>
    <row r="3607" spans="1:13" x14ac:dyDescent="0.25">
      <c r="A3607" s="74">
        <v>200863</v>
      </c>
      <c r="B3607" s="75" t="s">
        <v>232</v>
      </c>
      <c r="C3607" s="75" t="s">
        <v>284</v>
      </c>
      <c r="D3607" s="76">
        <v>46136</v>
      </c>
      <c r="E3607" s="75" t="s">
        <v>230</v>
      </c>
      <c r="F3607" s="74">
        <v>4.25</v>
      </c>
      <c r="G3607" s="75" t="s">
        <v>251</v>
      </c>
      <c r="H3607" s="77" t="str">
        <f>VLOOKUP(DESPESAS[[#This Row],[Plano de Contas]],BASE!$B$3:$D$119,3,FALSE)</f>
        <v>Juros Pagos - Antecipação de Crédito</v>
      </c>
      <c r="I3607" s="77" t="str">
        <f>IFERROR(VLOOKUP(DESPESAS[[#This Row],[Fornecedor]],Tabela2[],2,FALSE),"")</f>
        <v/>
      </c>
      <c r="J3607" s="77" t="str">
        <f>IFERROR(VLOOKUP(DESPESAS[[#This Row],[Plano de Contas]],BASE!$B$3:$F$119,4,FALSE),"")</f>
        <v>8 - DESPESAS FINANCEIRAS</v>
      </c>
      <c r="K3607" s="77" t="str">
        <f>IFERROR(VLOOKUP(DESPESAS[[#This Row],[Plano de Contas]],BASE!$B$3:$H$119,5,FALSE),"")</f>
        <v>FINANCEIRO</v>
      </c>
      <c r="L3607" s="77">
        <f>IFERROR(VLOOKUP(DESPESAS[[#This Row],[Plano de Contas]],BASE!$B$3:$H$119,6,FALSE),"")</f>
        <v>0</v>
      </c>
      <c r="M3607" s="77" t="str">
        <f>VLOOKUP(DESPESAS[[#This Row],[Plano de Contas]],BASE!$B$3:$H$119,7,FALSE)</f>
        <v>LETÍCIA</v>
      </c>
    </row>
    <row r="3608" spans="1:13" x14ac:dyDescent="0.25">
      <c r="A3608" s="74">
        <v>200864</v>
      </c>
      <c r="B3608" s="75" t="s">
        <v>232</v>
      </c>
      <c r="C3608" s="75" t="s">
        <v>283</v>
      </c>
      <c r="D3608" s="76">
        <v>46135</v>
      </c>
      <c r="E3608" s="75" t="s">
        <v>230</v>
      </c>
      <c r="F3608" s="74">
        <v>8.5500000000000007</v>
      </c>
      <c r="G3608" s="75" t="s">
        <v>236</v>
      </c>
      <c r="H3608" s="77" t="str">
        <f>VLOOKUP(DESPESAS[[#This Row],[Plano de Contas]],BASE!$B$3:$D$119,3,FALSE)</f>
        <v>Despesas de Cobranca</v>
      </c>
      <c r="I3608" s="77" t="str">
        <f>IFERROR(VLOOKUP(DESPESAS[[#This Row],[Fornecedor]],Tabela2[],2,FALSE),"")</f>
        <v/>
      </c>
      <c r="J3608" s="77" t="str">
        <f>IFERROR(VLOOKUP(DESPESAS[[#This Row],[Plano de Contas]],BASE!$B$3:$F$119,4,FALSE),"")</f>
        <v>8 - DESPESAS FINANCEIRAS</v>
      </c>
      <c r="K3608" s="77" t="str">
        <f>IFERROR(VLOOKUP(DESPESAS[[#This Row],[Plano de Contas]],BASE!$B$3:$H$119,5,FALSE),"")</f>
        <v>FINANCEIRO</v>
      </c>
      <c r="L3608" s="77">
        <f>IFERROR(VLOOKUP(DESPESAS[[#This Row],[Plano de Contas]],BASE!$B$3:$H$119,6,FALSE),"")</f>
        <v>0</v>
      </c>
      <c r="M3608" s="77" t="str">
        <f>VLOOKUP(DESPESAS[[#This Row],[Plano de Contas]],BASE!$B$3:$H$119,7,FALSE)</f>
        <v>LETÍCIA</v>
      </c>
    </row>
    <row r="3609" spans="1:13" x14ac:dyDescent="0.25">
      <c r="A3609" s="74">
        <v>200865</v>
      </c>
      <c r="B3609" s="75" t="s">
        <v>279</v>
      </c>
      <c r="C3609" s="75" t="s">
        <v>280</v>
      </c>
      <c r="D3609" s="76">
        <v>46135</v>
      </c>
      <c r="E3609" s="75" t="s">
        <v>230</v>
      </c>
      <c r="F3609" s="74">
        <v>0.79</v>
      </c>
      <c r="G3609" s="75" t="s">
        <v>236</v>
      </c>
      <c r="H3609" s="77" t="str">
        <f>VLOOKUP(DESPESAS[[#This Row],[Plano de Contas]],BASE!$B$3:$D$119,3,FALSE)</f>
        <v>Despesas de Cobranca</v>
      </c>
      <c r="I3609" s="77" t="str">
        <f>IFERROR(VLOOKUP(DESPESAS[[#This Row],[Fornecedor]],Tabela2[],2,FALSE),"")</f>
        <v/>
      </c>
      <c r="J3609" s="77" t="str">
        <f>IFERROR(VLOOKUP(DESPESAS[[#This Row],[Plano de Contas]],BASE!$B$3:$F$119,4,FALSE),"")</f>
        <v>8 - DESPESAS FINANCEIRAS</v>
      </c>
      <c r="K3609" s="77" t="str">
        <f>IFERROR(VLOOKUP(DESPESAS[[#This Row],[Plano de Contas]],BASE!$B$3:$H$119,5,FALSE),"")</f>
        <v>FINANCEIRO</v>
      </c>
      <c r="L3609" s="77">
        <f>IFERROR(VLOOKUP(DESPESAS[[#This Row],[Plano de Contas]],BASE!$B$3:$H$119,6,FALSE),"")</f>
        <v>0</v>
      </c>
      <c r="M3609" s="77" t="str">
        <f>VLOOKUP(DESPESAS[[#This Row],[Plano de Contas]],BASE!$B$3:$H$119,7,FALSE)</f>
        <v>LETÍCIA</v>
      </c>
    </row>
    <row r="3610" spans="1:13" x14ac:dyDescent="0.25">
      <c r="A3610" s="74">
        <v>200866</v>
      </c>
      <c r="B3610" s="75" t="s">
        <v>279</v>
      </c>
      <c r="C3610" s="75" t="s">
        <v>282</v>
      </c>
      <c r="D3610" s="76">
        <v>46136</v>
      </c>
      <c r="E3610" s="75" t="s">
        <v>230</v>
      </c>
      <c r="F3610" s="74">
        <v>0.81</v>
      </c>
      <c r="G3610" s="75" t="s">
        <v>229</v>
      </c>
      <c r="H3610" s="77" t="str">
        <f>VLOOKUP(DESPESAS[[#This Row],[Plano de Contas]],BASE!$B$3:$D$119,3,FALSE)</f>
        <v>Despesas Bancarias</v>
      </c>
      <c r="I3610" s="77" t="str">
        <f>IFERROR(VLOOKUP(DESPESAS[[#This Row],[Fornecedor]],Tabela2[],2,FALSE),"")</f>
        <v/>
      </c>
      <c r="J3610" s="77" t="str">
        <f>IFERROR(VLOOKUP(DESPESAS[[#This Row],[Plano de Contas]],BASE!$B$3:$F$119,4,FALSE),"")</f>
        <v>8 - DESPESAS FINANCEIRAS</v>
      </c>
      <c r="K3610" s="77" t="str">
        <f>IFERROR(VLOOKUP(DESPESAS[[#This Row],[Plano de Contas]],BASE!$B$3:$H$119,5,FALSE),"")</f>
        <v>FINANCEIRO</v>
      </c>
      <c r="L3610" s="77">
        <f>IFERROR(VLOOKUP(DESPESAS[[#This Row],[Plano de Contas]],BASE!$B$3:$H$119,6,FALSE),"")</f>
        <v>0</v>
      </c>
      <c r="M3610" s="77" t="str">
        <f>VLOOKUP(DESPESAS[[#This Row],[Plano de Contas]],BASE!$B$3:$H$119,7,FALSE)</f>
        <v>LETÍCIA</v>
      </c>
    </row>
    <row r="3611" spans="1:13" x14ac:dyDescent="0.25">
      <c r="A3611" s="74">
        <v>200867</v>
      </c>
      <c r="B3611" s="75" t="s">
        <v>281</v>
      </c>
      <c r="C3611" s="75" t="s">
        <v>280</v>
      </c>
      <c r="D3611" s="76">
        <v>46135</v>
      </c>
      <c r="E3611" s="75" t="s">
        <v>230</v>
      </c>
      <c r="F3611" s="74">
        <v>0.79</v>
      </c>
      <c r="G3611" s="75" t="s">
        <v>236</v>
      </c>
      <c r="H3611" s="77" t="str">
        <f>VLOOKUP(DESPESAS[[#This Row],[Plano de Contas]],BASE!$B$3:$D$119,3,FALSE)</f>
        <v>Despesas de Cobranca</v>
      </c>
      <c r="I3611" s="77" t="str">
        <f>IFERROR(VLOOKUP(DESPESAS[[#This Row],[Fornecedor]],Tabela2[],2,FALSE),"")</f>
        <v/>
      </c>
      <c r="J3611" s="77" t="str">
        <f>IFERROR(VLOOKUP(DESPESAS[[#This Row],[Plano de Contas]],BASE!$B$3:$F$119,4,FALSE),"")</f>
        <v>8 - DESPESAS FINANCEIRAS</v>
      </c>
      <c r="K3611" s="77" t="str">
        <f>IFERROR(VLOOKUP(DESPESAS[[#This Row],[Plano de Contas]],BASE!$B$3:$H$119,5,FALSE),"")</f>
        <v>FINANCEIRO</v>
      </c>
      <c r="L3611" s="77">
        <f>IFERROR(VLOOKUP(DESPESAS[[#This Row],[Plano de Contas]],BASE!$B$3:$H$119,6,FALSE),"")</f>
        <v>0</v>
      </c>
      <c r="M3611" s="77" t="str">
        <f>VLOOKUP(DESPESAS[[#This Row],[Plano de Contas]],BASE!$B$3:$H$119,7,FALSE)</f>
        <v>LETÍCIA</v>
      </c>
    </row>
    <row r="3612" spans="1:13" x14ac:dyDescent="0.25">
      <c r="A3612" s="74">
        <v>200868</v>
      </c>
      <c r="B3612" s="75" t="s">
        <v>279</v>
      </c>
      <c r="C3612" s="75" t="s">
        <v>278</v>
      </c>
      <c r="D3612" s="76">
        <v>46136</v>
      </c>
      <c r="E3612" s="75" t="s">
        <v>277</v>
      </c>
      <c r="F3612" s="74">
        <v>948.81</v>
      </c>
      <c r="G3612" s="75" t="s">
        <v>276</v>
      </c>
      <c r="H3612" s="77" t="str">
        <f>VLOOKUP(DESPESAS[[#This Row],[Plano de Contas]],BASE!$B$3:$D$119,3,FALSE)</f>
        <v>Férias MOD</v>
      </c>
      <c r="I3612" s="77" t="str">
        <f>IFERROR(VLOOKUP(DESPESAS[[#This Row],[Fornecedor]],Tabela2[],2,FALSE),"")</f>
        <v/>
      </c>
      <c r="J3612" s="77" t="str">
        <f>IFERROR(VLOOKUP(DESPESAS[[#This Row],[Plano de Contas]],BASE!$B$3:$F$119,4,FALSE),"")</f>
        <v>2 - CUSTOS DIRETOS</v>
      </c>
      <c r="K3612" s="77" t="str">
        <f>IFERROR(VLOOKUP(DESPESAS[[#This Row],[Plano de Contas]],BASE!$B$3:$H$119,5,FALSE),"")</f>
        <v>DH</v>
      </c>
      <c r="L3612" s="77" t="str">
        <f>IFERROR(VLOOKUP(DESPESAS[[#This Row],[Plano de Contas]],BASE!$B$3:$H$119,6,FALSE),"")</f>
        <v>CUSTO MÃO DE OBRA DIRETA</v>
      </c>
      <c r="M3612" s="77" t="str">
        <f>VLOOKUP(DESPESAS[[#This Row],[Plano de Contas]],BASE!$B$3:$H$119,7,FALSE)</f>
        <v>RAFAEL</v>
      </c>
    </row>
    <row r="3613" spans="1:13" x14ac:dyDescent="0.25">
      <c r="A3613" s="74">
        <v>200869</v>
      </c>
      <c r="B3613" s="75" t="s">
        <v>232</v>
      </c>
      <c r="C3613" s="75" t="s">
        <v>275</v>
      </c>
      <c r="D3613" s="76">
        <v>46132</v>
      </c>
      <c r="E3613" s="75" t="s">
        <v>274</v>
      </c>
      <c r="F3613" s="74">
        <v>531.29999999999995</v>
      </c>
      <c r="G3613" s="75" t="s">
        <v>241</v>
      </c>
      <c r="H3613" s="77" t="str">
        <f>VLOOKUP(DESPESAS[[#This Row],[Plano de Contas]],BASE!$B$3:$D$119,3,FALSE)</f>
        <v>Combustiveis Frota</v>
      </c>
      <c r="I3613" s="77" t="str">
        <f>IFERROR(VLOOKUP(DESPESAS[[#This Row],[Fornecedor]],Tabela2[],2,FALSE),"")</f>
        <v/>
      </c>
      <c r="J3613" s="77" t="str">
        <f>IFERROR(VLOOKUP(DESPESAS[[#This Row],[Plano de Contas]],BASE!$B$3:$F$119,4,FALSE),"")</f>
        <v>6 - DESPESA COM VENDAS</v>
      </c>
      <c r="K3613" s="77" t="str">
        <f>IFERROR(VLOOKUP(DESPESAS[[#This Row],[Plano de Contas]],BASE!$B$3:$H$119,5,FALSE),"")</f>
        <v>LOGÍSTICA</v>
      </c>
      <c r="L3613" s="77">
        <f>IFERROR(VLOOKUP(DESPESAS[[#This Row],[Plano de Contas]],BASE!$B$3:$H$119,6,FALSE),"")</f>
        <v>0</v>
      </c>
      <c r="M3613" s="77" t="str">
        <f>VLOOKUP(DESPESAS[[#This Row],[Plano de Contas]],BASE!$B$3:$H$119,7,FALSE)</f>
        <v>MYLENA</v>
      </c>
    </row>
    <row r="3614" spans="1:13" x14ac:dyDescent="0.25">
      <c r="A3614" s="74">
        <v>200870</v>
      </c>
      <c r="B3614" s="75" t="s">
        <v>221</v>
      </c>
      <c r="C3614" s="75" t="s">
        <v>273</v>
      </c>
      <c r="D3614" s="76">
        <v>46136</v>
      </c>
      <c r="E3614" s="75" t="s">
        <v>265</v>
      </c>
      <c r="F3614" s="74">
        <v>230</v>
      </c>
      <c r="G3614" s="75" t="s">
        <v>262</v>
      </c>
      <c r="H3614" s="77" t="str">
        <f>VLOOKUP(DESPESAS[[#This Row],[Plano de Contas]],BASE!$B$3:$D$119,3,FALSE)</f>
        <v>Fretes Karams</v>
      </c>
      <c r="I3614" s="77" t="str">
        <f>IFERROR(VLOOKUP(DESPESAS[[#This Row],[Fornecedor]],Tabela2[],2,FALSE),"")</f>
        <v/>
      </c>
      <c r="J3614" s="77" t="str">
        <f>IFERROR(VLOOKUP(DESPESAS[[#This Row],[Plano de Contas]],BASE!$B$3:$F$119,4,FALSE),"")</f>
        <v>6 - DESPESA COM VENDAS</v>
      </c>
      <c r="K3614" s="77" t="str">
        <f>IFERROR(VLOOKUP(DESPESAS[[#This Row],[Plano de Contas]],BASE!$B$3:$H$119,5,FALSE),"")</f>
        <v>LOGÍSTICA</v>
      </c>
      <c r="L3614" s="77">
        <f>IFERROR(VLOOKUP(DESPESAS[[#This Row],[Plano de Contas]],BASE!$B$3:$H$119,6,FALSE),"")</f>
        <v>0</v>
      </c>
      <c r="M3614" s="77" t="str">
        <f>VLOOKUP(DESPESAS[[#This Row],[Plano de Contas]],BASE!$B$3:$H$119,7,FALSE)</f>
        <v>MYLENA</v>
      </c>
    </row>
    <row r="3615" spans="1:13" x14ac:dyDescent="0.25">
      <c r="A3615" s="74">
        <v>200871</v>
      </c>
      <c r="B3615" s="75" t="s">
        <v>221</v>
      </c>
      <c r="C3615" s="75" t="s">
        <v>272</v>
      </c>
      <c r="D3615" s="76">
        <v>46129</v>
      </c>
      <c r="E3615" s="75" t="s">
        <v>242</v>
      </c>
      <c r="F3615" s="74">
        <v>41.32</v>
      </c>
      <c r="G3615" s="75" t="s">
        <v>241</v>
      </c>
      <c r="H3615" s="77" t="str">
        <f>VLOOKUP(DESPESAS[[#This Row],[Plano de Contas]],BASE!$B$3:$D$119,3,FALSE)</f>
        <v>Combustiveis Frota</v>
      </c>
      <c r="I3615" s="77" t="str">
        <f>IFERROR(VLOOKUP(DESPESAS[[#This Row],[Fornecedor]],Tabela2[],2,FALSE),"")</f>
        <v/>
      </c>
      <c r="J3615" s="77" t="str">
        <f>IFERROR(VLOOKUP(DESPESAS[[#This Row],[Plano de Contas]],BASE!$B$3:$F$119,4,FALSE),"")</f>
        <v>6 - DESPESA COM VENDAS</v>
      </c>
      <c r="K3615" s="77" t="str">
        <f>IFERROR(VLOOKUP(DESPESAS[[#This Row],[Plano de Contas]],BASE!$B$3:$H$119,5,FALSE),"")</f>
        <v>LOGÍSTICA</v>
      </c>
      <c r="L3615" s="77">
        <f>IFERROR(VLOOKUP(DESPESAS[[#This Row],[Plano de Contas]],BASE!$B$3:$H$119,6,FALSE),"")</f>
        <v>0</v>
      </c>
      <c r="M3615" s="77" t="str">
        <f>VLOOKUP(DESPESAS[[#This Row],[Plano de Contas]],BASE!$B$3:$H$119,7,FALSE)</f>
        <v>MYLENA</v>
      </c>
    </row>
    <row r="3616" spans="1:13" x14ac:dyDescent="0.25">
      <c r="A3616" s="74">
        <v>200872</v>
      </c>
      <c r="B3616" s="75" t="s">
        <v>221</v>
      </c>
      <c r="C3616" s="75" t="s">
        <v>271</v>
      </c>
      <c r="D3616" s="76">
        <v>46129</v>
      </c>
      <c r="E3616" s="75" t="s">
        <v>242</v>
      </c>
      <c r="F3616" s="74">
        <v>167.74</v>
      </c>
      <c r="G3616" s="75" t="s">
        <v>241</v>
      </c>
      <c r="H3616" s="77" t="str">
        <f>VLOOKUP(DESPESAS[[#This Row],[Plano de Contas]],BASE!$B$3:$D$119,3,FALSE)</f>
        <v>Combustiveis Frota</v>
      </c>
      <c r="I3616" s="77" t="str">
        <f>IFERROR(VLOOKUP(DESPESAS[[#This Row],[Fornecedor]],Tabela2[],2,FALSE),"")</f>
        <v/>
      </c>
      <c r="J3616" s="77" t="str">
        <f>IFERROR(VLOOKUP(DESPESAS[[#This Row],[Plano de Contas]],BASE!$B$3:$F$119,4,FALSE),"")</f>
        <v>6 - DESPESA COM VENDAS</v>
      </c>
      <c r="K3616" s="77" t="str">
        <f>IFERROR(VLOOKUP(DESPESAS[[#This Row],[Plano de Contas]],BASE!$B$3:$H$119,5,FALSE),"")</f>
        <v>LOGÍSTICA</v>
      </c>
      <c r="L3616" s="77">
        <f>IFERROR(VLOOKUP(DESPESAS[[#This Row],[Plano de Contas]],BASE!$B$3:$H$119,6,FALSE),"")</f>
        <v>0</v>
      </c>
      <c r="M3616" s="77" t="str">
        <f>VLOOKUP(DESPESAS[[#This Row],[Plano de Contas]],BASE!$B$3:$H$119,7,FALSE)</f>
        <v>MYLENA</v>
      </c>
    </row>
    <row r="3617" spans="1:13" x14ac:dyDescent="0.25">
      <c r="A3617" s="74">
        <v>200873</v>
      </c>
      <c r="B3617" s="75" t="s">
        <v>221</v>
      </c>
      <c r="C3617" s="75" t="s">
        <v>270</v>
      </c>
      <c r="D3617" s="76">
        <v>46132</v>
      </c>
      <c r="E3617" s="75" t="s">
        <v>242</v>
      </c>
      <c r="F3617" s="74">
        <v>756.34</v>
      </c>
      <c r="G3617" s="75" t="s">
        <v>262</v>
      </c>
      <c r="H3617" s="77" t="str">
        <f>VLOOKUP(DESPESAS[[#This Row],[Plano de Contas]],BASE!$B$3:$D$119,3,FALSE)</f>
        <v>Fretes Karams</v>
      </c>
      <c r="I3617" s="77" t="str">
        <f>IFERROR(VLOOKUP(DESPESAS[[#This Row],[Fornecedor]],Tabela2[],2,FALSE),"")</f>
        <v/>
      </c>
      <c r="J3617" s="77" t="str">
        <f>IFERROR(VLOOKUP(DESPESAS[[#This Row],[Plano de Contas]],BASE!$B$3:$F$119,4,FALSE),"")</f>
        <v>6 - DESPESA COM VENDAS</v>
      </c>
      <c r="K3617" s="77" t="str">
        <f>IFERROR(VLOOKUP(DESPESAS[[#This Row],[Plano de Contas]],BASE!$B$3:$H$119,5,FALSE),"")</f>
        <v>LOGÍSTICA</v>
      </c>
      <c r="L3617" s="77">
        <f>IFERROR(VLOOKUP(DESPESAS[[#This Row],[Plano de Contas]],BASE!$B$3:$H$119,6,FALSE),"")</f>
        <v>0</v>
      </c>
      <c r="M3617" s="77" t="str">
        <f>VLOOKUP(DESPESAS[[#This Row],[Plano de Contas]],BASE!$B$3:$H$119,7,FALSE)</f>
        <v>MYLENA</v>
      </c>
    </row>
    <row r="3618" spans="1:13" x14ac:dyDescent="0.25">
      <c r="A3618" s="74">
        <v>200874</v>
      </c>
      <c r="B3618" s="75" t="s">
        <v>221</v>
      </c>
      <c r="C3618" s="75" t="s">
        <v>269</v>
      </c>
      <c r="D3618" s="76">
        <v>46132</v>
      </c>
      <c r="E3618" s="75" t="s">
        <v>268</v>
      </c>
      <c r="F3618" s="74">
        <v>43.9</v>
      </c>
      <c r="G3618" s="75" t="s">
        <v>262</v>
      </c>
      <c r="H3618" s="77" t="str">
        <f>VLOOKUP(DESPESAS[[#This Row],[Plano de Contas]],BASE!$B$3:$D$119,3,FALSE)</f>
        <v>Fretes Karams</v>
      </c>
      <c r="I3618" s="77" t="str">
        <f>IFERROR(VLOOKUP(DESPESAS[[#This Row],[Fornecedor]],Tabela2[],2,FALSE),"")</f>
        <v/>
      </c>
      <c r="J3618" s="77" t="str">
        <f>IFERROR(VLOOKUP(DESPESAS[[#This Row],[Plano de Contas]],BASE!$B$3:$F$119,4,FALSE),"")</f>
        <v>6 - DESPESA COM VENDAS</v>
      </c>
      <c r="K3618" s="77" t="str">
        <f>IFERROR(VLOOKUP(DESPESAS[[#This Row],[Plano de Contas]],BASE!$B$3:$H$119,5,FALSE),"")</f>
        <v>LOGÍSTICA</v>
      </c>
      <c r="L3618" s="77">
        <f>IFERROR(VLOOKUP(DESPESAS[[#This Row],[Plano de Contas]],BASE!$B$3:$H$119,6,FALSE),"")</f>
        <v>0</v>
      </c>
      <c r="M3618" s="77" t="str">
        <f>VLOOKUP(DESPESAS[[#This Row],[Plano de Contas]],BASE!$B$3:$H$119,7,FALSE)</f>
        <v>MYLENA</v>
      </c>
    </row>
    <row r="3619" spans="1:13" x14ac:dyDescent="0.25">
      <c r="A3619" s="74">
        <v>200875</v>
      </c>
      <c r="B3619" s="75" t="s">
        <v>221</v>
      </c>
      <c r="C3619" s="75" t="s">
        <v>267</v>
      </c>
      <c r="D3619" s="76">
        <v>46132</v>
      </c>
      <c r="E3619" s="75" t="s">
        <v>242</v>
      </c>
      <c r="F3619" s="74">
        <v>981.02</v>
      </c>
      <c r="G3619" s="75" t="s">
        <v>241</v>
      </c>
      <c r="H3619" s="77" t="str">
        <f>VLOOKUP(DESPESAS[[#This Row],[Plano de Contas]],BASE!$B$3:$D$119,3,FALSE)</f>
        <v>Combustiveis Frota</v>
      </c>
      <c r="I3619" s="77" t="str">
        <f>IFERROR(VLOOKUP(DESPESAS[[#This Row],[Fornecedor]],Tabela2[],2,FALSE),"")</f>
        <v/>
      </c>
      <c r="J3619" s="77" t="str">
        <f>IFERROR(VLOOKUP(DESPESAS[[#This Row],[Plano de Contas]],BASE!$B$3:$F$119,4,FALSE),"")</f>
        <v>6 - DESPESA COM VENDAS</v>
      </c>
      <c r="K3619" s="77" t="str">
        <f>IFERROR(VLOOKUP(DESPESAS[[#This Row],[Plano de Contas]],BASE!$B$3:$H$119,5,FALSE),"")</f>
        <v>LOGÍSTICA</v>
      </c>
      <c r="L3619" s="77">
        <f>IFERROR(VLOOKUP(DESPESAS[[#This Row],[Plano de Contas]],BASE!$B$3:$H$119,6,FALSE),"")</f>
        <v>0</v>
      </c>
      <c r="M3619" s="77" t="str">
        <f>VLOOKUP(DESPESAS[[#This Row],[Plano de Contas]],BASE!$B$3:$H$119,7,FALSE)</f>
        <v>MYLENA</v>
      </c>
    </row>
    <row r="3620" spans="1:13" x14ac:dyDescent="0.25">
      <c r="A3620" s="74">
        <v>200876</v>
      </c>
      <c r="B3620" s="75" t="s">
        <v>221</v>
      </c>
      <c r="C3620" s="75" t="s">
        <v>266</v>
      </c>
      <c r="D3620" s="76">
        <v>46136</v>
      </c>
      <c r="E3620" s="75" t="s">
        <v>265</v>
      </c>
      <c r="F3620" s="74">
        <v>87.8</v>
      </c>
      <c r="G3620" s="75" t="s">
        <v>262</v>
      </c>
      <c r="H3620" s="77" t="str">
        <f>VLOOKUP(DESPESAS[[#This Row],[Plano de Contas]],BASE!$B$3:$D$119,3,FALSE)</f>
        <v>Fretes Karams</v>
      </c>
      <c r="I3620" s="77" t="str">
        <f>IFERROR(VLOOKUP(DESPESAS[[#This Row],[Fornecedor]],Tabela2[],2,FALSE),"")</f>
        <v/>
      </c>
      <c r="J3620" s="77" t="str">
        <f>IFERROR(VLOOKUP(DESPESAS[[#This Row],[Plano de Contas]],BASE!$B$3:$F$119,4,FALSE),"")</f>
        <v>6 - DESPESA COM VENDAS</v>
      </c>
      <c r="K3620" s="77" t="str">
        <f>IFERROR(VLOOKUP(DESPESAS[[#This Row],[Plano de Contas]],BASE!$B$3:$H$119,5,FALSE),"")</f>
        <v>LOGÍSTICA</v>
      </c>
      <c r="L3620" s="77">
        <f>IFERROR(VLOOKUP(DESPESAS[[#This Row],[Plano de Contas]],BASE!$B$3:$H$119,6,FALSE),"")</f>
        <v>0</v>
      </c>
      <c r="M3620" s="77" t="str">
        <f>VLOOKUP(DESPESAS[[#This Row],[Plano de Contas]],BASE!$B$3:$H$119,7,FALSE)</f>
        <v>MYLENA</v>
      </c>
    </row>
    <row r="3621" spans="1:13" x14ac:dyDescent="0.25">
      <c r="A3621" s="74">
        <v>200877</v>
      </c>
      <c r="B3621" s="75" t="s">
        <v>221</v>
      </c>
      <c r="C3621" s="75" t="s">
        <v>264</v>
      </c>
      <c r="D3621" s="76">
        <v>46134</v>
      </c>
      <c r="E3621" s="75" t="s">
        <v>242</v>
      </c>
      <c r="F3621" s="74">
        <v>59.8</v>
      </c>
      <c r="G3621" s="75" t="s">
        <v>241</v>
      </c>
      <c r="H3621" s="77" t="str">
        <f>VLOOKUP(DESPESAS[[#This Row],[Plano de Contas]],BASE!$B$3:$D$119,3,FALSE)</f>
        <v>Combustiveis Frota</v>
      </c>
      <c r="I3621" s="77" t="str">
        <f>IFERROR(VLOOKUP(DESPESAS[[#This Row],[Fornecedor]],Tabela2[],2,FALSE),"")</f>
        <v/>
      </c>
      <c r="J3621" s="77" t="str">
        <f>IFERROR(VLOOKUP(DESPESAS[[#This Row],[Plano de Contas]],BASE!$B$3:$F$119,4,FALSE),"")</f>
        <v>6 - DESPESA COM VENDAS</v>
      </c>
      <c r="K3621" s="77" t="str">
        <f>IFERROR(VLOOKUP(DESPESAS[[#This Row],[Plano de Contas]],BASE!$B$3:$H$119,5,FALSE),"")</f>
        <v>LOGÍSTICA</v>
      </c>
      <c r="L3621" s="77">
        <f>IFERROR(VLOOKUP(DESPESAS[[#This Row],[Plano de Contas]],BASE!$B$3:$H$119,6,FALSE),"")</f>
        <v>0</v>
      </c>
      <c r="M3621" s="77" t="str">
        <f>VLOOKUP(DESPESAS[[#This Row],[Plano de Contas]],BASE!$B$3:$H$119,7,FALSE)</f>
        <v>MYLENA</v>
      </c>
    </row>
    <row r="3622" spans="1:13" x14ac:dyDescent="0.25">
      <c r="A3622" s="74">
        <v>200878</v>
      </c>
      <c r="B3622" s="75" t="s">
        <v>221</v>
      </c>
      <c r="C3622" s="75" t="s">
        <v>263</v>
      </c>
      <c r="D3622" s="76">
        <v>46134</v>
      </c>
      <c r="E3622" s="75" t="s">
        <v>242</v>
      </c>
      <c r="F3622" s="74">
        <v>726.96</v>
      </c>
      <c r="G3622" s="75" t="s">
        <v>262</v>
      </c>
      <c r="H3622" s="77" t="str">
        <f>VLOOKUP(DESPESAS[[#This Row],[Plano de Contas]],BASE!$B$3:$D$119,3,FALSE)</f>
        <v>Fretes Karams</v>
      </c>
      <c r="I3622" s="77" t="str">
        <f>IFERROR(VLOOKUP(DESPESAS[[#This Row],[Fornecedor]],Tabela2[],2,FALSE),"")</f>
        <v/>
      </c>
      <c r="J3622" s="77" t="str">
        <f>IFERROR(VLOOKUP(DESPESAS[[#This Row],[Plano de Contas]],BASE!$B$3:$F$119,4,FALSE),"")</f>
        <v>6 - DESPESA COM VENDAS</v>
      </c>
      <c r="K3622" s="77" t="str">
        <f>IFERROR(VLOOKUP(DESPESAS[[#This Row],[Plano de Contas]],BASE!$B$3:$H$119,5,FALSE),"")</f>
        <v>LOGÍSTICA</v>
      </c>
      <c r="L3622" s="77">
        <f>IFERROR(VLOOKUP(DESPESAS[[#This Row],[Plano de Contas]],BASE!$B$3:$H$119,6,FALSE),"")</f>
        <v>0</v>
      </c>
      <c r="M3622" s="77" t="str">
        <f>VLOOKUP(DESPESAS[[#This Row],[Plano de Contas]],BASE!$B$3:$H$119,7,FALSE)</f>
        <v>MYLENA</v>
      </c>
    </row>
    <row r="3623" spans="1:13" x14ac:dyDescent="0.25">
      <c r="A3623" s="74">
        <v>200879</v>
      </c>
      <c r="B3623" s="75" t="s">
        <v>232</v>
      </c>
      <c r="C3623" s="75" t="s">
        <v>261</v>
      </c>
      <c r="D3623" s="76">
        <v>46136</v>
      </c>
      <c r="E3623" s="75" t="s">
        <v>260</v>
      </c>
      <c r="F3623" s="74">
        <v>608</v>
      </c>
      <c r="G3623" s="75" t="s">
        <v>259</v>
      </c>
      <c r="H3623" s="77" t="str">
        <f>VLOOKUP(DESPESAS[[#This Row],[Plano de Contas]],BASE!$B$3:$D$119,3,FALSE)</f>
        <v>Manutenção Predial CIF</v>
      </c>
      <c r="I3623" s="77" t="str">
        <f>IFERROR(VLOOKUP(DESPESAS[[#This Row],[Fornecedor]],Tabela2[],2,FALSE),"")</f>
        <v>PEÇAS DE FERRAMENTAS</v>
      </c>
      <c r="J3623" s="77" t="str">
        <f>IFERROR(VLOOKUP(DESPESAS[[#This Row],[Plano de Contas]],BASE!$B$3:$F$119,4,FALSE),"")</f>
        <v>3 - CUSTOS INDIRETOS</v>
      </c>
      <c r="K3623" s="77" t="str">
        <f>IFERROR(VLOOKUP(DESPESAS[[#This Row],[Plano de Contas]],BASE!$B$3:$H$119,5,FALSE),"")</f>
        <v>MANUTENÇÃO / TI</v>
      </c>
      <c r="L3623" s="77">
        <f>IFERROR(VLOOKUP(DESPESAS[[#This Row],[Plano de Contas]],BASE!$B$3:$H$119,6,FALSE),"")</f>
        <v>0</v>
      </c>
      <c r="M3623" s="77" t="str">
        <f>VLOOKUP(DESPESAS[[#This Row],[Plano de Contas]],BASE!$B$3:$H$119,7,FALSE)</f>
        <v>FÁBIO</v>
      </c>
    </row>
    <row r="3624" spans="1:13" x14ac:dyDescent="0.25">
      <c r="A3624" s="74">
        <v>200880</v>
      </c>
      <c r="B3624" s="75" t="s">
        <v>221</v>
      </c>
      <c r="C3624" s="75" t="s">
        <v>258</v>
      </c>
      <c r="D3624" s="76">
        <v>46136</v>
      </c>
      <c r="E3624" s="75" t="s">
        <v>256</v>
      </c>
      <c r="F3624" s="74">
        <v>96.1</v>
      </c>
      <c r="G3624" s="75" t="s">
        <v>255</v>
      </c>
      <c r="H3624" s="77" t="str">
        <f>VLOOKUP(DESPESAS[[#This Row],[Plano de Contas]],BASE!$B$3:$D$119,3,FALSE)</f>
        <v>Mostruário de Tecido</v>
      </c>
      <c r="I3624" s="77" t="str">
        <f>IFERROR(VLOOKUP(DESPESAS[[#This Row],[Fornecedor]],Tabela2[],2,FALSE),"")</f>
        <v/>
      </c>
      <c r="J3624" s="77" t="str">
        <f>IFERROR(VLOOKUP(DESPESAS[[#This Row],[Plano de Contas]],BASE!$B$3:$F$119,4,FALSE),"")</f>
        <v>6 - DESPESA COM VENDAS</v>
      </c>
      <c r="K3624" s="77" t="str">
        <f>IFERROR(VLOOKUP(DESPESAS[[#This Row],[Plano de Contas]],BASE!$B$3:$H$119,5,FALSE),"")</f>
        <v>COMERCIAL</v>
      </c>
      <c r="L3624" s="77">
        <f>IFERROR(VLOOKUP(DESPESAS[[#This Row],[Plano de Contas]],BASE!$B$3:$H$119,6,FALSE),"")</f>
        <v>0</v>
      </c>
      <c r="M3624" s="77" t="str">
        <f>VLOOKUP(DESPESAS[[#This Row],[Plano de Contas]],BASE!$B$3:$H$119,7,FALSE)</f>
        <v>LETÍCIA</v>
      </c>
    </row>
    <row r="3625" spans="1:13" x14ac:dyDescent="0.25">
      <c r="A3625" s="74">
        <v>200881</v>
      </c>
      <c r="B3625" s="75" t="s">
        <v>221</v>
      </c>
      <c r="C3625" s="75" t="s">
        <v>257</v>
      </c>
      <c r="D3625" s="76">
        <v>46136</v>
      </c>
      <c r="E3625" s="75" t="s">
        <v>256</v>
      </c>
      <c r="F3625" s="74">
        <v>1135.43</v>
      </c>
      <c r="G3625" s="75" t="s">
        <v>255</v>
      </c>
      <c r="H3625" s="77" t="str">
        <f>VLOOKUP(DESPESAS[[#This Row],[Plano de Contas]],BASE!$B$3:$D$119,3,FALSE)</f>
        <v>Mostruário de Tecido</v>
      </c>
      <c r="I3625" s="77" t="str">
        <f>IFERROR(VLOOKUP(DESPESAS[[#This Row],[Fornecedor]],Tabela2[],2,FALSE),"")</f>
        <v/>
      </c>
      <c r="J3625" s="77" t="str">
        <f>IFERROR(VLOOKUP(DESPESAS[[#This Row],[Plano de Contas]],BASE!$B$3:$F$119,4,FALSE),"")</f>
        <v>6 - DESPESA COM VENDAS</v>
      </c>
      <c r="K3625" s="77" t="str">
        <f>IFERROR(VLOOKUP(DESPESAS[[#This Row],[Plano de Contas]],BASE!$B$3:$H$119,5,FALSE),"")</f>
        <v>COMERCIAL</v>
      </c>
      <c r="L3625" s="77">
        <f>IFERROR(VLOOKUP(DESPESAS[[#This Row],[Plano de Contas]],BASE!$B$3:$H$119,6,FALSE),"")</f>
        <v>0</v>
      </c>
      <c r="M3625" s="77" t="str">
        <f>VLOOKUP(DESPESAS[[#This Row],[Plano de Contas]],BASE!$B$3:$H$119,7,FALSE)</f>
        <v>LETÍCIA</v>
      </c>
    </row>
    <row r="3626" spans="1:13" x14ac:dyDescent="0.25">
      <c r="A3626" s="74">
        <v>200883</v>
      </c>
      <c r="B3626" s="75" t="s">
        <v>232</v>
      </c>
      <c r="C3626" s="75" t="s">
        <v>254</v>
      </c>
      <c r="D3626" s="76">
        <v>46136</v>
      </c>
      <c r="E3626" s="75" t="s">
        <v>230</v>
      </c>
      <c r="F3626" s="74">
        <v>263.87</v>
      </c>
      <c r="G3626" s="75" t="s">
        <v>229</v>
      </c>
      <c r="H3626" s="77" t="str">
        <f>VLOOKUP(DESPESAS[[#This Row],[Plano de Contas]],BASE!$B$3:$D$119,3,FALSE)</f>
        <v>Despesas Bancarias</v>
      </c>
      <c r="I3626" s="77" t="str">
        <f>IFERROR(VLOOKUP(DESPESAS[[#This Row],[Fornecedor]],Tabela2[],2,FALSE),"")</f>
        <v/>
      </c>
      <c r="J3626" s="77" t="str">
        <f>IFERROR(VLOOKUP(DESPESAS[[#This Row],[Plano de Contas]],BASE!$B$3:$F$119,4,FALSE),"")</f>
        <v>8 - DESPESAS FINANCEIRAS</v>
      </c>
      <c r="K3626" s="77" t="str">
        <f>IFERROR(VLOOKUP(DESPESAS[[#This Row],[Plano de Contas]],BASE!$B$3:$H$119,5,FALSE),"")</f>
        <v>FINANCEIRO</v>
      </c>
      <c r="L3626" s="77">
        <f>IFERROR(VLOOKUP(DESPESAS[[#This Row],[Plano de Contas]],BASE!$B$3:$H$119,6,FALSE),"")</f>
        <v>0</v>
      </c>
      <c r="M3626" s="77" t="str">
        <f>VLOOKUP(DESPESAS[[#This Row],[Plano de Contas]],BASE!$B$3:$H$119,7,FALSE)</f>
        <v>LETÍCIA</v>
      </c>
    </row>
    <row r="3627" spans="1:13" x14ac:dyDescent="0.25">
      <c r="A3627" s="74">
        <v>200884</v>
      </c>
      <c r="B3627" s="75" t="s">
        <v>232</v>
      </c>
      <c r="C3627" s="75" t="s">
        <v>253</v>
      </c>
      <c r="D3627" s="76">
        <v>46136</v>
      </c>
      <c r="E3627" s="75" t="s">
        <v>230</v>
      </c>
      <c r="F3627" s="74">
        <v>257.16000000000003</v>
      </c>
      <c r="G3627" s="75" t="s">
        <v>229</v>
      </c>
      <c r="H3627" s="77" t="str">
        <f>VLOOKUP(DESPESAS[[#This Row],[Plano de Contas]],BASE!$B$3:$D$119,3,FALSE)</f>
        <v>Despesas Bancarias</v>
      </c>
      <c r="I3627" s="77" t="str">
        <f>IFERROR(VLOOKUP(DESPESAS[[#This Row],[Fornecedor]],Tabela2[],2,FALSE),"")</f>
        <v/>
      </c>
      <c r="J3627" s="77" t="str">
        <f>IFERROR(VLOOKUP(DESPESAS[[#This Row],[Plano de Contas]],BASE!$B$3:$F$119,4,FALSE),"")</f>
        <v>8 - DESPESAS FINANCEIRAS</v>
      </c>
      <c r="K3627" s="77" t="str">
        <f>IFERROR(VLOOKUP(DESPESAS[[#This Row],[Plano de Contas]],BASE!$B$3:$H$119,5,FALSE),"")</f>
        <v>FINANCEIRO</v>
      </c>
      <c r="L3627" s="77">
        <f>IFERROR(VLOOKUP(DESPESAS[[#This Row],[Plano de Contas]],BASE!$B$3:$H$119,6,FALSE),"")</f>
        <v>0</v>
      </c>
      <c r="M3627" s="77" t="str">
        <f>VLOOKUP(DESPESAS[[#This Row],[Plano de Contas]],BASE!$B$3:$H$119,7,FALSE)</f>
        <v>LETÍCIA</v>
      </c>
    </row>
    <row r="3628" spans="1:13" x14ac:dyDescent="0.25">
      <c r="A3628" s="74">
        <v>200885</v>
      </c>
      <c r="B3628" s="75" t="s">
        <v>232</v>
      </c>
      <c r="C3628" s="75" t="s">
        <v>252</v>
      </c>
      <c r="D3628" s="76">
        <v>46136</v>
      </c>
      <c r="E3628" s="75" t="s">
        <v>230</v>
      </c>
      <c r="F3628" s="74">
        <v>1619.58</v>
      </c>
      <c r="G3628" s="75" t="s">
        <v>251</v>
      </c>
      <c r="H3628" s="77" t="str">
        <f>VLOOKUP(DESPESAS[[#This Row],[Plano de Contas]],BASE!$B$3:$D$119,3,FALSE)</f>
        <v>Juros Pagos - Antecipação de Crédito</v>
      </c>
      <c r="I3628" s="77" t="str">
        <f>IFERROR(VLOOKUP(DESPESAS[[#This Row],[Fornecedor]],Tabela2[],2,FALSE),"")</f>
        <v/>
      </c>
      <c r="J3628" s="77" t="str">
        <f>IFERROR(VLOOKUP(DESPESAS[[#This Row],[Plano de Contas]],BASE!$B$3:$F$119,4,FALSE),"")</f>
        <v>8 - DESPESAS FINANCEIRAS</v>
      </c>
      <c r="K3628" s="77" t="str">
        <f>IFERROR(VLOOKUP(DESPESAS[[#This Row],[Plano de Contas]],BASE!$B$3:$H$119,5,FALSE),"")</f>
        <v>FINANCEIRO</v>
      </c>
      <c r="L3628" s="77">
        <f>IFERROR(VLOOKUP(DESPESAS[[#This Row],[Plano de Contas]],BASE!$B$3:$H$119,6,FALSE),"")</f>
        <v>0</v>
      </c>
      <c r="M3628" s="77" t="str">
        <f>VLOOKUP(DESPESAS[[#This Row],[Plano de Contas]],BASE!$B$3:$H$119,7,FALSE)</f>
        <v>LETÍCIA</v>
      </c>
    </row>
    <row r="3629" spans="1:13" x14ac:dyDescent="0.25">
      <c r="A3629" s="74">
        <v>200886</v>
      </c>
      <c r="B3629" s="75" t="s">
        <v>221</v>
      </c>
      <c r="C3629" s="75" t="s">
        <v>250</v>
      </c>
      <c r="D3629" s="76">
        <v>46136</v>
      </c>
      <c r="E3629" s="75" t="s">
        <v>248</v>
      </c>
      <c r="F3629" s="74">
        <v>255</v>
      </c>
      <c r="G3629" s="75" t="s">
        <v>247</v>
      </c>
      <c r="H3629" s="77" t="str">
        <f>VLOOKUP(DESPESAS[[#This Row],[Plano de Contas]],BASE!$B$3:$D$119,3,FALSE)</f>
        <v>Manutenção com veiculos</v>
      </c>
      <c r="I3629" s="77" t="str">
        <f>IFERROR(VLOOKUP(DESPESAS[[#This Row],[Fornecedor]],Tabela2[],2,FALSE),"")</f>
        <v/>
      </c>
      <c r="J3629" s="77" t="str">
        <f>IFERROR(VLOOKUP(DESPESAS[[#This Row],[Plano de Contas]],BASE!$B$3:$F$119,4,FALSE),"")</f>
        <v>6 - DESPESA COM VENDAS</v>
      </c>
      <c r="K3629" s="77" t="str">
        <f>IFERROR(VLOOKUP(DESPESAS[[#This Row],[Plano de Contas]],BASE!$B$3:$H$119,5,FALSE),"")</f>
        <v>LOGÍSTICA</v>
      </c>
      <c r="L3629" s="77">
        <f>IFERROR(VLOOKUP(DESPESAS[[#This Row],[Plano de Contas]],BASE!$B$3:$H$119,6,FALSE),"")</f>
        <v>0</v>
      </c>
      <c r="M3629" s="77" t="str">
        <f>VLOOKUP(DESPESAS[[#This Row],[Plano de Contas]],BASE!$B$3:$H$119,7,FALSE)</f>
        <v>MYLENA</v>
      </c>
    </row>
    <row r="3630" spans="1:13" x14ac:dyDescent="0.25">
      <c r="A3630" s="74">
        <v>200887</v>
      </c>
      <c r="B3630" s="75" t="s">
        <v>221</v>
      </c>
      <c r="C3630" s="75" t="s">
        <v>249</v>
      </c>
      <c r="D3630" s="76">
        <v>46136</v>
      </c>
      <c r="E3630" s="75" t="s">
        <v>248</v>
      </c>
      <c r="F3630" s="74">
        <v>470</v>
      </c>
      <c r="G3630" s="75" t="s">
        <v>247</v>
      </c>
      <c r="H3630" s="77" t="str">
        <f>VLOOKUP(DESPESAS[[#This Row],[Plano de Contas]],BASE!$B$3:$D$119,3,FALSE)</f>
        <v>Manutenção com veiculos</v>
      </c>
      <c r="I3630" s="77" t="str">
        <f>IFERROR(VLOOKUP(DESPESAS[[#This Row],[Fornecedor]],Tabela2[],2,FALSE),"")</f>
        <v/>
      </c>
      <c r="J3630" s="77" t="str">
        <f>IFERROR(VLOOKUP(DESPESAS[[#This Row],[Plano de Contas]],BASE!$B$3:$F$119,4,FALSE),"")</f>
        <v>6 - DESPESA COM VENDAS</v>
      </c>
      <c r="K3630" s="77" t="str">
        <f>IFERROR(VLOOKUP(DESPESAS[[#This Row],[Plano de Contas]],BASE!$B$3:$H$119,5,FALSE),"")</f>
        <v>LOGÍSTICA</v>
      </c>
      <c r="L3630" s="77">
        <f>IFERROR(VLOOKUP(DESPESAS[[#This Row],[Plano de Contas]],BASE!$B$3:$H$119,6,FALSE),"")</f>
        <v>0</v>
      </c>
      <c r="M3630" s="77" t="str">
        <f>VLOOKUP(DESPESAS[[#This Row],[Plano de Contas]],BASE!$B$3:$H$119,7,FALSE)</f>
        <v>MYLENA</v>
      </c>
    </row>
    <row r="3631" spans="1:13" x14ac:dyDescent="0.25">
      <c r="A3631" s="74">
        <v>200889</v>
      </c>
      <c r="B3631" s="75" t="s">
        <v>221</v>
      </c>
      <c r="C3631" s="75" t="s">
        <v>246</v>
      </c>
      <c r="D3631" s="76">
        <v>46136</v>
      </c>
      <c r="E3631" s="75" t="s">
        <v>245</v>
      </c>
      <c r="F3631" s="74">
        <v>110</v>
      </c>
      <c r="G3631" s="75" t="s">
        <v>244</v>
      </c>
      <c r="H3631" s="77" t="str">
        <f>VLOOKUP(DESPESAS[[#This Row],[Plano de Contas]],BASE!$B$3:$D$119,3,FALSE)</f>
        <v>Material de Expediente (Prod)</v>
      </c>
      <c r="I3631" s="77" t="str">
        <f>IFERROR(VLOOKUP(DESPESAS[[#This Row],[Fornecedor]],Tabela2[],2,FALSE),"")</f>
        <v>FERRAGENS GERAIS</v>
      </c>
      <c r="J3631" s="77" t="str">
        <f>IFERROR(VLOOKUP(DESPESAS[[#This Row],[Plano de Contas]],BASE!$B$3:$F$119,4,FALSE),"")</f>
        <v>2 - CUSTOS DIRETOS</v>
      </c>
      <c r="K3631" s="77" t="str">
        <f>IFERROR(VLOOKUP(DESPESAS[[#This Row],[Plano de Contas]],BASE!$B$3:$H$119,5,FALSE),"")</f>
        <v>PRODUÇÃO</v>
      </c>
      <c r="L3631" s="77">
        <f>IFERROR(VLOOKUP(DESPESAS[[#This Row],[Plano de Contas]],BASE!$B$3:$H$119,6,FALSE),"")</f>
        <v>0</v>
      </c>
      <c r="M3631" s="77" t="str">
        <f>VLOOKUP(DESPESAS[[#This Row],[Plano de Contas]],BASE!$B$3:$H$119,7,FALSE)</f>
        <v>RAFAEL</v>
      </c>
    </row>
    <row r="3632" spans="1:13" x14ac:dyDescent="0.25">
      <c r="A3632" s="74">
        <v>200890</v>
      </c>
      <c r="B3632" s="75" t="s">
        <v>221</v>
      </c>
      <c r="C3632" s="75" t="s">
        <v>243</v>
      </c>
      <c r="D3632" s="76">
        <v>46139</v>
      </c>
      <c r="E3632" s="75" t="s">
        <v>242</v>
      </c>
      <c r="F3632" s="74">
        <v>49.8</v>
      </c>
      <c r="G3632" s="75" t="s">
        <v>241</v>
      </c>
      <c r="H3632" s="77" t="str">
        <f>VLOOKUP(DESPESAS[[#This Row],[Plano de Contas]],BASE!$B$3:$D$119,3,FALSE)</f>
        <v>Combustiveis Frota</v>
      </c>
      <c r="I3632" s="77" t="str">
        <f>IFERROR(VLOOKUP(DESPESAS[[#This Row],[Fornecedor]],Tabela2[],2,FALSE),"")</f>
        <v/>
      </c>
      <c r="J3632" s="77" t="str">
        <f>IFERROR(VLOOKUP(DESPESAS[[#This Row],[Plano de Contas]],BASE!$B$3:$F$119,4,FALSE),"")</f>
        <v>6 - DESPESA COM VENDAS</v>
      </c>
      <c r="K3632" s="77" t="str">
        <f>IFERROR(VLOOKUP(DESPESAS[[#This Row],[Plano de Contas]],BASE!$B$3:$H$119,5,FALSE),"")</f>
        <v>LOGÍSTICA</v>
      </c>
      <c r="L3632" s="77">
        <f>IFERROR(VLOOKUP(DESPESAS[[#This Row],[Plano de Contas]],BASE!$B$3:$H$119,6,FALSE),"")</f>
        <v>0</v>
      </c>
      <c r="M3632" s="77" t="str">
        <f>VLOOKUP(DESPESAS[[#This Row],[Plano de Contas]],BASE!$B$3:$H$119,7,FALSE)</f>
        <v>MYLENA</v>
      </c>
    </row>
    <row r="3633" spans="1:13" x14ac:dyDescent="0.25">
      <c r="A3633" s="74">
        <v>200894</v>
      </c>
      <c r="B3633" s="75" t="s">
        <v>232</v>
      </c>
      <c r="C3633" s="75" t="s">
        <v>237</v>
      </c>
      <c r="D3633" s="76">
        <v>46136</v>
      </c>
      <c r="E3633" s="75" t="s">
        <v>230</v>
      </c>
      <c r="F3633" s="74">
        <v>7.11</v>
      </c>
      <c r="G3633" s="75" t="s">
        <v>236</v>
      </c>
      <c r="H3633" s="77" t="str">
        <f>VLOOKUP(DESPESAS[[#This Row],[Plano de Contas]],BASE!$B$3:$D$119,3,FALSE)</f>
        <v>Despesas de Cobranca</v>
      </c>
      <c r="I3633" s="77" t="str">
        <f>IFERROR(VLOOKUP(DESPESAS[[#This Row],[Fornecedor]],Tabela2[],2,FALSE),"")</f>
        <v/>
      </c>
      <c r="J3633" s="77" t="str">
        <f>IFERROR(VLOOKUP(DESPESAS[[#This Row],[Plano de Contas]],BASE!$B$3:$F$119,4,FALSE),"")</f>
        <v>8 - DESPESAS FINANCEIRAS</v>
      </c>
      <c r="K3633" s="77" t="str">
        <f>IFERROR(VLOOKUP(DESPESAS[[#This Row],[Plano de Contas]],BASE!$B$3:$H$119,5,FALSE),"")</f>
        <v>FINANCEIRO</v>
      </c>
      <c r="L3633" s="77">
        <f>IFERROR(VLOOKUP(DESPESAS[[#This Row],[Plano de Contas]],BASE!$B$3:$H$119,6,FALSE),"")</f>
        <v>0</v>
      </c>
      <c r="M3633" s="77" t="str">
        <f>VLOOKUP(DESPESAS[[#This Row],[Plano de Contas]],BASE!$B$3:$H$119,7,FALSE)</f>
        <v>LETÍCIA</v>
      </c>
    </row>
    <row r="3634" spans="1:13" x14ac:dyDescent="0.25">
      <c r="A3634" s="74">
        <v>200895</v>
      </c>
      <c r="B3634" s="75" t="s">
        <v>232</v>
      </c>
      <c r="C3634" s="75" t="s">
        <v>235</v>
      </c>
      <c r="D3634" s="76">
        <v>46139</v>
      </c>
      <c r="E3634" s="75" t="s">
        <v>230</v>
      </c>
      <c r="F3634" s="74">
        <v>5.82</v>
      </c>
      <c r="G3634" s="75" t="s">
        <v>229</v>
      </c>
      <c r="H3634" s="77" t="str">
        <f>VLOOKUP(DESPESAS[[#This Row],[Plano de Contas]],BASE!$B$3:$D$119,3,FALSE)</f>
        <v>Despesas Bancarias</v>
      </c>
      <c r="I3634" s="77" t="str">
        <f>IFERROR(VLOOKUP(DESPESAS[[#This Row],[Fornecedor]],Tabela2[],2,FALSE),"")</f>
        <v/>
      </c>
      <c r="J3634" s="77" t="str">
        <f>IFERROR(VLOOKUP(DESPESAS[[#This Row],[Plano de Contas]],BASE!$B$3:$F$119,4,FALSE),"")</f>
        <v>8 - DESPESAS FINANCEIRAS</v>
      </c>
      <c r="K3634" s="77" t="str">
        <f>IFERROR(VLOOKUP(DESPESAS[[#This Row],[Plano de Contas]],BASE!$B$3:$H$119,5,FALSE),"")</f>
        <v>FINANCEIRO</v>
      </c>
      <c r="L3634" s="77">
        <f>IFERROR(VLOOKUP(DESPESAS[[#This Row],[Plano de Contas]],BASE!$B$3:$H$119,6,FALSE),"")</f>
        <v>0</v>
      </c>
      <c r="M3634" s="77" t="str">
        <f>VLOOKUP(DESPESAS[[#This Row],[Plano de Contas]],BASE!$B$3:$H$119,7,FALSE)</f>
        <v>LETÍCIA</v>
      </c>
    </row>
    <row r="3635" spans="1:13" x14ac:dyDescent="0.25">
      <c r="A3635" s="74">
        <v>200896</v>
      </c>
      <c r="B3635" s="75" t="s">
        <v>232</v>
      </c>
      <c r="C3635" s="75" t="s">
        <v>234</v>
      </c>
      <c r="D3635" s="76">
        <v>46136</v>
      </c>
      <c r="E3635" s="75" t="s">
        <v>230</v>
      </c>
      <c r="F3635" s="74">
        <v>0.79</v>
      </c>
      <c r="G3635" s="75" t="s">
        <v>229</v>
      </c>
      <c r="H3635" s="77" t="str">
        <f>VLOOKUP(DESPESAS[[#This Row],[Plano de Contas]],BASE!$B$3:$D$119,3,FALSE)</f>
        <v>Despesas Bancarias</v>
      </c>
      <c r="I3635" s="77" t="str">
        <f>IFERROR(VLOOKUP(DESPESAS[[#This Row],[Fornecedor]],Tabela2[],2,FALSE),"")</f>
        <v/>
      </c>
      <c r="J3635" s="77" t="str">
        <f>IFERROR(VLOOKUP(DESPESAS[[#This Row],[Plano de Contas]],BASE!$B$3:$F$119,4,FALSE),"")</f>
        <v>8 - DESPESAS FINANCEIRAS</v>
      </c>
      <c r="K3635" s="77" t="str">
        <f>IFERROR(VLOOKUP(DESPESAS[[#This Row],[Plano de Contas]],BASE!$B$3:$H$119,5,FALSE),"")</f>
        <v>FINANCEIRO</v>
      </c>
      <c r="L3635" s="77">
        <f>IFERROR(VLOOKUP(DESPESAS[[#This Row],[Plano de Contas]],BASE!$B$3:$H$119,6,FALSE),"")</f>
        <v>0</v>
      </c>
      <c r="M3635" s="77" t="str">
        <f>VLOOKUP(DESPESAS[[#This Row],[Plano de Contas]],BASE!$B$3:$H$119,7,FALSE)</f>
        <v>LETÍCIA</v>
      </c>
    </row>
    <row r="3636" spans="1:13" x14ac:dyDescent="0.25">
      <c r="A3636" s="74">
        <v>200897</v>
      </c>
      <c r="B3636" s="75" t="s">
        <v>232</v>
      </c>
      <c r="C3636" s="75" t="s">
        <v>233</v>
      </c>
      <c r="D3636" s="76">
        <v>46139</v>
      </c>
      <c r="E3636" s="75" t="s">
        <v>230</v>
      </c>
      <c r="F3636" s="74">
        <v>5</v>
      </c>
      <c r="G3636" s="75" t="s">
        <v>229</v>
      </c>
      <c r="H3636" s="77" t="str">
        <f>VLOOKUP(DESPESAS[[#This Row],[Plano de Contas]],BASE!$B$3:$D$119,3,FALSE)</f>
        <v>Despesas Bancarias</v>
      </c>
      <c r="I3636" s="77" t="str">
        <f>IFERROR(VLOOKUP(DESPESAS[[#This Row],[Fornecedor]],Tabela2[],2,FALSE),"")</f>
        <v/>
      </c>
      <c r="J3636" s="77" t="str">
        <f>IFERROR(VLOOKUP(DESPESAS[[#This Row],[Plano de Contas]],BASE!$B$3:$F$119,4,FALSE),"")</f>
        <v>8 - DESPESAS FINANCEIRAS</v>
      </c>
      <c r="K3636" s="77" t="str">
        <f>IFERROR(VLOOKUP(DESPESAS[[#This Row],[Plano de Contas]],BASE!$B$3:$H$119,5,FALSE),"")</f>
        <v>FINANCEIRO</v>
      </c>
      <c r="L3636" s="77">
        <f>IFERROR(VLOOKUP(DESPESAS[[#This Row],[Plano de Contas]],BASE!$B$3:$H$119,6,FALSE),"")</f>
        <v>0</v>
      </c>
      <c r="M3636" s="77" t="str">
        <f>VLOOKUP(DESPESAS[[#This Row],[Plano de Contas]],BASE!$B$3:$H$119,7,FALSE)</f>
        <v>LETÍCIA</v>
      </c>
    </row>
    <row r="3637" spans="1:13" x14ac:dyDescent="0.25">
      <c r="A3637" s="74">
        <v>200898</v>
      </c>
      <c r="B3637" s="75" t="s">
        <v>232</v>
      </c>
      <c r="C3637" s="75" t="s">
        <v>231</v>
      </c>
      <c r="D3637" s="76">
        <v>46136</v>
      </c>
      <c r="E3637" s="75" t="s">
        <v>230</v>
      </c>
      <c r="F3637" s="74">
        <v>5.7</v>
      </c>
      <c r="G3637" s="75" t="s">
        <v>229</v>
      </c>
      <c r="H3637" s="77" t="str">
        <f>VLOOKUP(DESPESAS[[#This Row],[Plano de Contas]],BASE!$B$3:$D$119,3,FALSE)</f>
        <v>Despesas Bancarias</v>
      </c>
      <c r="I3637" s="77" t="str">
        <f>IFERROR(VLOOKUP(DESPESAS[[#This Row],[Fornecedor]],Tabela2[],2,FALSE),"")</f>
        <v/>
      </c>
      <c r="J3637" s="77" t="str">
        <f>IFERROR(VLOOKUP(DESPESAS[[#This Row],[Plano de Contas]],BASE!$B$3:$F$119,4,FALSE),"")</f>
        <v>8 - DESPESAS FINANCEIRAS</v>
      </c>
      <c r="K3637" s="77" t="str">
        <f>IFERROR(VLOOKUP(DESPESAS[[#This Row],[Plano de Contas]],BASE!$B$3:$H$119,5,FALSE),"")</f>
        <v>FINANCEIRO</v>
      </c>
      <c r="L3637" s="77">
        <f>IFERROR(VLOOKUP(DESPESAS[[#This Row],[Plano de Contas]],BASE!$B$3:$H$119,6,FALSE),"")</f>
        <v>0</v>
      </c>
      <c r="M3637" s="77" t="str">
        <f>VLOOKUP(DESPESAS[[#This Row],[Plano de Contas]],BASE!$B$3:$H$119,7,FALSE)</f>
        <v>LETÍCIA</v>
      </c>
    </row>
    <row r="3638" spans="1:13" x14ac:dyDescent="0.25">
      <c r="A3638" s="74">
        <v>200899</v>
      </c>
      <c r="B3638" s="75" t="s">
        <v>221</v>
      </c>
      <c r="C3638" s="75" t="s">
        <v>228</v>
      </c>
      <c r="D3638" s="76">
        <v>46134</v>
      </c>
      <c r="E3638" s="75" t="s">
        <v>226</v>
      </c>
      <c r="F3638" s="74">
        <v>15</v>
      </c>
      <c r="G3638" s="75" t="s">
        <v>225</v>
      </c>
      <c r="H3638" s="77" t="str">
        <f>VLOOKUP(DESPESAS[[#This Row],[Plano de Contas]],BASE!$B$3:$D$119,3,FALSE)</f>
        <v>Despesas de Outros Gastos Não Operacionais</v>
      </c>
      <c r="I3638" s="77" t="str">
        <f>IFERROR(VLOOKUP(DESPESAS[[#This Row],[Fornecedor]],Tabela2[],2,FALSE),"")</f>
        <v/>
      </c>
      <c r="J3638" s="77" t="str">
        <f>IFERROR(VLOOKUP(DESPESAS[[#This Row],[Plano de Contas]],BASE!$B$3:$F$119,4,FALSE),"")</f>
        <v>8 - DESPESAS FINANCEIRAS</v>
      </c>
      <c r="K3638" s="77" t="str">
        <f>IFERROR(VLOOKUP(DESPESAS[[#This Row],[Plano de Contas]],BASE!$B$3:$H$119,5,FALSE),"")</f>
        <v>FINANCEIRO</v>
      </c>
      <c r="L3638" s="77">
        <f>IFERROR(VLOOKUP(DESPESAS[[#This Row],[Plano de Contas]],BASE!$B$3:$H$119,6,FALSE),"")</f>
        <v>0</v>
      </c>
      <c r="M3638" s="77" t="str">
        <f>VLOOKUP(DESPESAS[[#This Row],[Plano de Contas]],BASE!$B$3:$H$119,7,FALSE)</f>
        <v>LETÍCIA</v>
      </c>
    </row>
    <row r="3639" spans="1:13" x14ac:dyDescent="0.25">
      <c r="A3639" s="74">
        <v>200900</v>
      </c>
      <c r="B3639" s="75" t="s">
        <v>221</v>
      </c>
      <c r="C3639" s="75" t="s">
        <v>227</v>
      </c>
      <c r="D3639" s="76">
        <v>46139</v>
      </c>
      <c r="E3639" s="75" t="s">
        <v>226</v>
      </c>
      <c r="F3639" s="74">
        <v>5</v>
      </c>
      <c r="G3639" s="75" t="s">
        <v>225</v>
      </c>
      <c r="H3639" s="77" t="str">
        <f>VLOOKUP(DESPESAS[[#This Row],[Plano de Contas]],BASE!$B$3:$D$119,3,FALSE)</f>
        <v>Despesas de Outros Gastos Não Operacionais</v>
      </c>
      <c r="I3639" s="77" t="str">
        <f>IFERROR(VLOOKUP(DESPESAS[[#This Row],[Fornecedor]],Tabela2[],2,FALSE),"")</f>
        <v/>
      </c>
      <c r="J3639" s="77" t="str">
        <f>IFERROR(VLOOKUP(DESPESAS[[#This Row],[Plano de Contas]],BASE!$B$3:$F$119,4,FALSE),"")</f>
        <v>8 - DESPESAS FINANCEIRAS</v>
      </c>
      <c r="K3639" s="77" t="str">
        <f>IFERROR(VLOOKUP(DESPESAS[[#This Row],[Plano de Contas]],BASE!$B$3:$H$119,5,FALSE),"")</f>
        <v>FINANCEIRO</v>
      </c>
      <c r="L3639" s="77">
        <f>IFERROR(VLOOKUP(DESPESAS[[#This Row],[Plano de Contas]],BASE!$B$3:$H$119,6,FALSE),"")</f>
        <v>0</v>
      </c>
      <c r="M3639" s="77" t="str">
        <f>VLOOKUP(DESPESAS[[#This Row],[Plano de Contas]],BASE!$B$3:$H$119,7,FALSE)</f>
        <v>LETÍCIA</v>
      </c>
    </row>
    <row r="3640" spans="1:13" x14ac:dyDescent="0.25">
      <c r="A3640" s="74">
        <v>200901</v>
      </c>
      <c r="B3640" s="75" t="s">
        <v>221</v>
      </c>
      <c r="C3640" s="75" t="s">
        <v>224</v>
      </c>
      <c r="D3640" s="76">
        <v>46139</v>
      </c>
      <c r="E3640" s="75" t="s">
        <v>223</v>
      </c>
      <c r="F3640" s="74">
        <v>23</v>
      </c>
      <c r="G3640" s="75" t="s">
        <v>222</v>
      </c>
      <c r="H3640" s="77" t="str">
        <f>VLOOKUP(DESPESAS[[#This Row],[Plano de Contas]],BASE!$B$3:$D$119,3,FALSE)</f>
        <v>Alimentação</v>
      </c>
      <c r="I3640" s="77" t="str">
        <f>IFERROR(VLOOKUP(DESPESAS[[#This Row],[Fornecedor]],Tabela2[],2,FALSE),"")</f>
        <v/>
      </c>
      <c r="J3640" s="77" t="str">
        <f>IFERROR(VLOOKUP(DESPESAS[[#This Row],[Plano de Contas]],BASE!$B$3:$F$119,4,FALSE),"")</f>
        <v>5 - DESPESAS ADMINISTRATIVAS</v>
      </c>
      <c r="K3640" s="77" t="str">
        <f>IFERROR(VLOOKUP(DESPESAS[[#This Row],[Plano de Contas]],BASE!$B$3:$H$119,5,FALSE),"")</f>
        <v>FINANCEIRO</v>
      </c>
      <c r="L3640" s="77">
        <f>IFERROR(VLOOKUP(DESPESAS[[#This Row],[Plano de Contas]],BASE!$B$3:$H$119,6,FALSE),"")</f>
        <v>0</v>
      </c>
      <c r="M3640" s="77" t="str">
        <f>VLOOKUP(DESPESAS[[#This Row],[Plano de Contas]],BASE!$B$3:$H$119,7,FALSE)</f>
        <v>MYLENA</v>
      </c>
    </row>
    <row r="3641" spans="1:13" x14ac:dyDescent="0.25">
      <c r="A3641" s="74">
        <v>200902</v>
      </c>
      <c r="B3641" s="75" t="s">
        <v>221</v>
      </c>
      <c r="C3641" s="75" t="s">
        <v>220</v>
      </c>
      <c r="D3641" s="76">
        <v>46139</v>
      </c>
      <c r="E3641" s="75" t="s">
        <v>219</v>
      </c>
      <c r="F3641" s="74">
        <v>640</v>
      </c>
      <c r="G3641" s="75" t="s">
        <v>218</v>
      </c>
      <c r="H3641" s="77" t="str">
        <f>VLOOKUP(DESPESAS[[#This Row],[Plano de Contas]],BASE!$B$3:$D$119,3,FALSE)</f>
        <v>Manutenção de Equipamentos (Prod)</v>
      </c>
      <c r="I3641" s="77" t="str">
        <f>IFERROR(VLOOKUP(DESPESAS[[#This Row],[Fornecedor]],Tabela2[],2,FALSE),"")</f>
        <v>MAQUINAS DE COSTURA</v>
      </c>
      <c r="J3641" s="77" t="str">
        <f>IFERROR(VLOOKUP(DESPESAS[[#This Row],[Plano de Contas]],BASE!$B$3:$F$119,4,FALSE),"")</f>
        <v>3 - CUSTOS INDIRETOS</v>
      </c>
      <c r="K3641" s="77" t="str">
        <f>IFERROR(VLOOKUP(DESPESAS[[#This Row],[Plano de Contas]],BASE!$B$3:$H$119,5,FALSE),"")</f>
        <v>MANUTENÇÃO / TI</v>
      </c>
      <c r="L3641" s="77">
        <f>IFERROR(VLOOKUP(DESPESAS[[#This Row],[Plano de Contas]],BASE!$B$3:$H$119,6,FALSE),"")</f>
        <v>0</v>
      </c>
      <c r="M3641" s="77" t="str">
        <f>VLOOKUP(DESPESAS[[#This Row],[Plano de Contas]],BASE!$B$3:$H$119,7,FALSE)</f>
        <v>RAFAEL</v>
      </c>
    </row>
    <row r="3642" spans="1:13" x14ac:dyDescent="0.25">
      <c r="A3642" s="74">
        <v>200903</v>
      </c>
      <c r="B3642" s="75" t="s">
        <v>221</v>
      </c>
      <c r="C3642" s="75" t="s">
        <v>3663</v>
      </c>
      <c r="D3642" s="76">
        <v>46139</v>
      </c>
      <c r="E3642" s="75" t="s">
        <v>1262</v>
      </c>
      <c r="F3642" s="74">
        <v>48</v>
      </c>
      <c r="G3642" s="75" t="s">
        <v>374</v>
      </c>
      <c r="H3642" s="77" t="str">
        <f>VLOOKUP(DESPESAS[[#This Row],[Plano de Contas]],BASE!$B$3:$D$119,3,FALSE)</f>
        <v>Consultoria Empresarial</v>
      </c>
      <c r="I3642" s="77" t="str">
        <f>IFERROR(VLOOKUP(DESPESAS[[#This Row],[Fornecedor]],Tabela2[],2,FALSE),"")</f>
        <v/>
      </c>
      <c r="J3642" s="77" t="str">
        <f>IFERROR(VLOOKUP(DESPESAS[[#This Row],[Plano de Contas]],BASE!$B$3:$F$119,4,FALSE),"")</f>
        <v>7 - SERVIÇOS DE TERCEIROS</v>
      </c>
      <c r="K3642" s="77" t="str">
        <f>IFERROR(VLOOKUP(DESPESAS[[#This Row],[Plano de Contas]],BASE!$B$3:$H$119,5,FALSE),"")</f>
        <v>FINANCEIRO</v>
      </c>
      <c r="L3642" s="77">
        <f>IFERROR(VLOOKUP(DESPESAS[[#This Row],[Plano de Contas]],BASE!$B$3:$H$119,6,FALSE),"")</f>
        <v>0</v>
      </c>
      <c r="M3642" s="77" t="str">
        <f>VLOOKUP(DESPESAS[[#This Row],[Plano de Contas]],BASE!$B$3:$H$119,7,FALSE)</f>
        <v>LETÍCIA</v>
      </c>
    </row>
    <row r="3643" spans="1:13" x14ac:dyDescent="0.25">
      <c r="A3643" s="74">
        <v>200904</v>
      </c>
      <c r="B3643" s="75" t="s">
        <v>232</v>
      </c>
      <c r="C3643" s="75" t="s">
        <v>3664</v>
      </c>
      <c r="D3643" s="76">
        <v>46139</v>
      </c>
      <c r="E3643" s="75" t="s">
        <v>230</v>
      </c>
      <c r="F3643" s="74">
        <v>1010.66</v>
      </c>
      <c r="G3643" s="75" t="s">
        <v>251</v>
      </c>
      <c r="H3643" s="77" t="str">
        <f>VLOOKUP(DESPESAS[[#This Row],[Plano de Contas]],BASE!$B$3:$D$119,3,FALSE)</f>
        <v>Juros Pagos - Antecipação de Crédito</v>
      </c>
      <c r="I3643" s="77" t="str">
        <f>IFERROR(VLOOKUP(DESPESAS[[#This Row],[Fornecedor]],Tabela2[],2,FALSE),"")</f>
        <v/>
      </c>
      <c r="J3643" s="77" t="str">
        <f>IFERROR(VLOOKUP(DESPESAS[[#This Row],[Plano de Contas]],BASE!$B$3:$F$119,4,FALSE),"")</f>
        <v>8 - DESPESAS FINANCEIRAS</v>
      </c>
      <c r="K3643" s="77" t="str">
        <f>IFERROR(VLOOKUP(DESPESAS[[#This Row],[Plano de Contas]],BASE!$B$3:$H$119,5,FALSE),"")</f>
        <v>FINANCEIRO</v>
      </c>
      <c r="L3643" s="77">
        <f>IFERROR(VLOOKUP(DESPESAS[[#This Row],[Plano de Contas]],BASE!$B$3:$H$119,6,FALSE),"")</f>
        <v>0</v>
      </c>
      <c r="M3643" s="77" t="str">
        <f>VLOOKUP(DESPESAS[[#This Row],[Plano de Contas]],BASE!$B$3:$H$119,7,FALSE)</f>
        <v>LETÍCIA</v>
      </c>
    </row>
    <row r="3644" spans="1:13" x14ac:dyDescent="0.25">
      <c r="A3644" s="74">
        <v>200905</v>
      </c>
      <c r="B3644" s="75" t="s">
        <v>232</v>
      </c>
      <c r="C3644" s="75" t="s">
        <v>3665</v>
      </c>
      <c r="D3644" s="76">
        <v>46139</v>
      </c>
      <c r="E3644" s="75" t="s">
        <v>230</v>
      </c>
      <c r="F3644" s="74">
        <v>161.30000000000001</v>
      </c>
      <c r="G3644" s="75" t="s">
        <v>229</v>
      </c>
      <c r="H3644" s="77" t="str">
        <f>VLOOKUP(DESPESAS[[#This Row],[Plano de Contas]],BASE!$B$3:$D$119,3,FALSE)</f>
        <v>Despesas Bancarias</v>
      </c>
      <c r="I3644" s="77" t="str">
        <f>IFERROR(VLOOKUP(DESPESAS[[#This Row],[Fornecedor]],Tabela2[],2,FALSE),"")</f>
        <v/>
      </c>
      <c r="J3644" s="77" t="str">
        <f>IFERROR(VLOOKUP(DESPESAS[[#This Row],[Plano de Contas]],BASE!$B$3:$F$119,4,FALSE),"")</f>
        <v>8 - DESPESAS FINANCEIRAS</v>
      </c>
      <c r="K3644" s="77" t="str">
        <f>IFERROR(VLOOKUP(DESPESAS[[#This Row],[Plano de Contas]],BASE!$B$3:$H$119,5,FALSE),"")</f>
        <v>FINANCEIRO</v>
      </c>
      <c r="L3644" s="77">
        <f>IFERROR(VLOOKUP(DESPESAS[[#This Row],[Plano de Contas]],BASE!$B$3:$H$119,6,FALSE),"")</f>
        <v>0</v>
      </c>
      <c r="M3644" s="77" t="str">
        <f>VLOOKUP(DESPESAS[[#This Row],[Plano de Contas]],BASE!$B$3:$H$119,7,FALSE)</f>
        <v>LETÍCIA</v>
      </c>
    </row>
    <row r="3645" spans="1:13" x14ac:dyDescent="0.25">
      <c r="A3645" s="74">
        <v>200906</v>
      </c>
      <c r="B3645" s="75" t="s">
        <v>232</v>
      </c>
      <c r="C3645" s="75" t="s">
        <v>3666</v>
      </c>
      <c r="D3645" s="76">
        <v>46139</v>
      </c>
      <c r="E3645" s="75" t="s">
        <v>230</v>
      </c>
      <c r="F3645" s="74">
        <v>105.04</v>
      </c>
      <c r="G3645" s="75" t="s">
        <v>229</v>
      </c>
      <c r="H3645" s="77" t="str">
        <f>VLOOKUP(DESPESAS[[#This Row],[Plano de Contas]],BASE!$B$3:$D$119,3,FALSE)</f>
        <v>Despesas Bancarias</v>
      </c>
      <c r="I3645" s="77" t="str">
        <f>IFERROR(VLOOKUP(DESPESAS[[#This Row],[Fornecedor]],Tabela2[],2,FALSE),"")</f>
        <v/>
      </c>
      <c r="J3645" s="77" t="str">
        <f>IFERROR(VLOOKUP(DESPESAS[[#This Row],[Plano de Contas]],BASE!$B$3:$F$119,4,FALSE),"")</f>
        <v>8 - DESPESAS FINANCEIRAS</v>
      </c>
      <c r="K3645" s="77" t="str">
        <f>IFERROR(VLOOKUP(DESPESAS[[#This Row],[Plano de Contas]],BASE!$B$3:$H$119,5,FALSE),"")</f>
        <v>FINANCEIRO</v>
      </c>
      <c r="L3645" s="77">
        <f>IFERROR(VLOOKUP(DESPESAS[[#This Row],[Plano de Contas]],BASE!$B$3:$H$119,6,FALSE),"")</f>
        <v>0</v>
      </c>
      <c r="M3645" s="77" t="str">
        <f>VLOOKUP(DESPESAS[[#This Row],[Plano de Contas]],BASE!$B$3:$H$119,7,FALSE)</f>
        <v>LETÍCIA</v>
      </c>
    </row>
    <row r="3646" spans="1:13" x14ac:dyDescent="0.25">
      <c r="A3646" s="74">
        <v>200907</v>
      </c>
      <c r="B3646" s="75" t="s">
        <v>221</v>
      </c>
      <c r="C3646" s="75" t="s">
        <v>3663</v>
      </c>
      <c r="D3646" s="76">
        <v>46139</v>
      </c>
      <c r="E3646" s="75" t="s">
        <v>320</v>
      </c>
      <c r="F3646" s="74">
        <v>240</v>
      </c>
      <c r="G3646" s="75" t="s">
        <v>374</v>
      </c>
      <c r="H3646" s="77" t="str">
        <f>VLOOKUP(DESPESAS[[#This Row],[Plano de Contas]],BASE!$B$3:$D$119,3,FALSE)</f>
        <v>Consultoria Empresarial</v>
      </c>
      <c r="I3646" s="77" t="str">
        <f>IFERROR(VLOOKUP(DESPESAS[[#This Row],[Fornecedor]],Tabela2[],2,FALSE),"")</f>
        <v/>
      </c>
      <c r="J3646" s="77" t="str">
        <f>IFERROR(VLOOKUP(DESPESAS[[#This Row],[Plano de Contas]],BASE!$B$3:$F$119,4,FALSE),"")</f>
        <v>7 - SERVIÇOS DE TERCEIROS</v>
      </c>
      <c r="K3646" s="77" t="str">
        <f>IFERROR(VLOOKUP(DESPESAS[[#This Row],[Plano de Contas]],BASE!$B$3:$H$119,5,FALSE),"")</f>
        <v>FINANCEIRO</v>
      </c>
      <c r="L3646" s="77">
        <f>IFERROR(VLOOKUP(DESPESAS[[#This Row],[Plano de Contas]],BASE!$B$3:$H$119,6,FALSE),"")</f>
        <v>0</v>
      </c>
      <c r="M3646" s="77" t="str">
        <f>VLOOKUP(DESPESAS[[#This Row],[Plano de Contas]],BASE!$B$3:$H$119,7,FALSE)</f>
        <v>LETÍCIA</v>
      </c>
    </row>
    <row r="3647" spans="1:13" x14ac:dyDescent="0.25">
      <c r="A3647" s="74">
        <v>200908</v>
      </c>
      <c r="B3647" s="75" t="s">
        <v>221</v>
      </c>
      <c r="C3647" s="75" t="s">
        <v>3667</v>
      </c>
      <c r="D3647" s="76">
        <v>46139</v>
      </c>
      <c r="E3647" s="75" t="s">
        <v>245</v>
      </c>
      <c r="F3647" s="74">
        <v>64</v>
      </c>
      <c r="G3647" s="75" t="s">
        <v>218</v>
      </c>
      <c r="H3647" s="77" t="str">
        <f>VLOOKUP(DESPESAS[[#This Row],[Plano de Contas]],BASE!$B$3:$D$119,3,FALSE)</f>
        <v>Manutenção de Equipamentos (Prod)</v>
      </c>
      <c r="I3647" s="77" t="str">
        <f>IFERROR(VLOOKUP(DESPESAS[[#This Row],[Fornecedor]],Tabela2[],2,FALSE),"")</f>
        <v>FERRAGENS GERAIS</v>
      </c>
      <c r="J3647" s="77" t="str">
        <f>IFERROR(VLOOKUP(DESPESAS[[#This Row],[Plano de Contas]],BASE!$B$3:$F$119,4,FALSE),"")</f>
        <v>3 - CUSTOS INDIRETOS</v>
      </c>
      <c r="K3647" s="77" t="str">
        <f>IFERROR(VLOOKUP(DESPESAS[[#This Row],[Plano de Contas]],BASE!$B$3:$H$119,5,FALSE),"")</f>
        <v>MANUTENÇÃO / TI</v>
      </c>
      <c r="L3647" s="77">
        <f>IFERROR(VLOOKUP(DESPESAS[[#This Row],[Plano de Contas]],BASE!$B$3:$H$119,6,FALSE),"")</f>
        <v>0</v>
      </c>
      <c r="M3647" s="77" t="str">
        <f>VLOOKUP(DESPESAS[[#This Row],[Plano de Contas]],BASE!$B$3:$H$119,7,FALSE)</f>
        <v>RAFAEL</v>
      </c>
    </row>
    <row r="3648" spans="1:13" x14ac:dyDescent="0.25">
      <c r="A3648" s="74">
        <v>200910</v>
      </c>
      <c r="B3648" s="75" t="s">
        <v>221</v>
      </c>
      <c r="C3648" s="75" t="s">
        <v>3668</v>
      </c>
      <c r="D3648" s="76">
        <v>46139</v>
      </c>
      <c r="E3648" s="75" t="s">
        <v>1004</v>
      </c>
      <c r="F3648" s="74">
        <v>24</v>
      </c>
      <c r="G3648" s="75" t="s">
        <v>420</v>
      </c>
      <c r="H3648" s="77" t="str">
        <f>VLOOKUP(DESPESAS[[#This Row],[Plano de Contas]],BASE!$B$3:$D$119,3,FALSE)</f>
        <v>Material de Expediente (Adm)</v>
      </c>
      <c r="I3648" s="77" t="str">
        <f>IFERROR(VLOOKUP(DESPESAS[[#This Row],[Fornecedor]],Tabela2[],2,FALSE),"")</f>
        <v/>
      </c>
      <c r="J3648" s="77" t="str">
        <f>IFERROR(VLOOKUP(DESPESAS[[#This Row],[Plano de Contas]],BASE!$B$3:$F$119,4,FALSE),"")</f>
        <v>5 - DESPESAS ADMINISTRATIVAS</v>
      </c>
      <c r="K3648" s="77" t="str">
        <f>IFERROR(VLOOKUP(DESPESAS[[#This Row],[Plano de Contas]],BASE!$B$3:$H$119,5,FALSE),"")</f>
        <v>ADMINISTRATIVO</v>
      </c>
      <c r="L3648" s="77">
        <f>IFERROR(VLOOKUP(DESPESAS[[#This Row],[Plano de Contas]],BASE!$B$3:$H$119,6,FALSE),"")</f>
        <v>0</v>
      </c>
      <c r="M3648" s="77" t="str">
        <f>VLOOKUP(DESPESAS[[#This Row],[Plano de Contas]],BASE!$B$3:$H$119,7,FALSE)</f>
        <v>LETÍCIA</v>
      </c>
    </row>
    <row r="3649" spans="1:13" x14ac:dyDescent="0.25">
      <c r="A3649" s="74">
        <v>200911</v>
      </c>
      <c r="B3649" s="75" t="s">
        <v>232</v>
      </c>
      <c r="C3649" s="75" t="s">
        <v>3669</v>
      </c>
      <c r="D3649" s="76">
        <v>46139</v>
      </c>
      <c r="E3649" s="75" t="s">
        <v>573</v>
      </c>
      <c r="F3649" s="74">
        <v>1533.34</v>
      </c>
      <c r="G3649" s="75" t="s">
        <v>572</v>
      </c>
      <c r="H3649" s="77" t="str">
        <f>VLOOKUP(DESPESAS[[#This Row],[Plano de Contas]],BASE!$B$3:$D$119,3,FALSE)</f>
        <v>Comissões sobre Vendas Externo</v>
      </c>
      <c r="I3649" s="77" t="str">
        <f>IFERROR(VLOOKUP(DESPESAS[[#This Row],[Fornecedor]],Tabela2[],2,FALSE),"")</f>
        <v/>
      </c>
      <c r="J3649" s="77" t="str">
        <f>IFERROR(VLOOKUP(DESPESAS[[#This Row],[Plano de Contas]],BASE!$B$3:$F$119,4,FALSE),"")</f>
        <v>6 - DESPESA COM VENDAS</v>
      </c>
      <c r="K3649" s="77" t="str">
        <f>IFERROR(VLOOKUP(DESPESAS[[#This Row],[Plano de Contas]],BASE!$B$3:$H$119,5,FALSE),"")</f>
        <v>COMERCIAL</v>
      </c>
      <c r="L3649" s="77">
        <f>IFERROR(VLOOKUP(DESPESAS[[#This Row],[Plano de Contas]],BASE!$B$3:$H$119,6,FALSE),"")</f>
        <v>0</v>
      </c>
      <c r="M3649" s="77" t="str">
        <f>VLOOKUP(DESPESAS[[#This Row],[Plano de Contas]],BASE!$B$3:$H$119,7,FALSE)</f>
        <v>LETÍCIA</v>
      </c>
    </row>
    <row r="3650" spans="1:13" x14ac:dyDescent="0.25">
      <c r="A3650" s="74">
        <v>200912</v>
      </c>
      <c r="B3650" s="75" t="s">
        <v>232</v>
      </c>
      <c r="C3650" s="75" t="s">
        <v>3669</v>
      </c>
      <c r="D3650" s="76">
        <v>46139</v>
      </c>
      <c r="E3650" s="75" t="s">
        <v>790</v>
      </c>
      <c r="F3650" s="74">
        <v>291.3</v>
      </c>
      <c r="G3650" s="75" t="s">
        <v>572</v>
      </c>
      <c r="H3650" s="77" t="str">
        <f>VLOOKUP(DESPESAS[[#This Row],[Plano de Contas]],BASE!$B$3:$D$119,3,FALSE)</f>
        <v>Comissões sobre Vendas Externo</v>
      </c>
      <c r="I3650" s="77" t="str">
        <f>IFERROR(VLOOKUP(DESPESAS[[#This Row],[Fornecedor]],Tabela2[],2,FALSE),"")</f>
        <v/>
      </c>
      <c r="J3650" s="77" t="str">
        <f>IFERROR(VLOOKUP(DESPESAS[[#This Row],[Plano de Contas]],BASE!$B$3:$F$119,4,FALSE),"")</f>
        <v>6 - DESPESA COM VENDAS</v>
      </c>
      <c r="K3650" s="77" t="str">
        <f>IFERROR(VLOOKUP(DESPESAS[[#This Row],[Plano de Contas]],BASE!$B$3:$H$119,5,FALSE),"")</f>
        <v>COMERCIAL</v>
      </c>
      <c r="L3650" s="77">
        <f>IFERROR(VLOOKUP(DESPESAS[[#This Row],[Plano de Contas]],BASE!$B$3:$H$119,6,FALSE),"")</f>
        <v>0</v>
      </c>
      <c r="M3650" s="77" t="str">
        <f>VLOOKUP(DESPESAS[[#This Row],[Plano de Contas]],BASE!$B$3:$H$119,7,FALSE)</f>
        <v>LETÍCIA</v>
      </c>
    </row>
    <row r="3651" spans="1:13" x14ac:dyDescent="0.25">
      <c r="A3651" s="74">
        <v>200913</v>
      </c>
      <c r="B3651" s="75" t="s">
        <v>232</v>
      </c>
      <c r="C3651" s="75" t="s">
        <v>3669</v>
      </c>
      <c r="D3651" s="76">
        <v>46139</v>
      </c>
      <c r="E3651" s="75" t="s">
        <v>789</v>
      </c>
      <c r="F3651" s="74">
        <v>8976.36</v>
      </c>
      <c r="G3651" s="75" t="s">
        <v>572</v>
      </c>
      <c r="H3651" s="77" t="str">
        <f>VLOOKUP(DESPESAS[[#This Row],[Plano de Contas]],BASE!$B$3:$D$119,3,FALSE)</f>
        <v>Comissões sobre Vendas Externo</v>
      </c>
      <c r="I3651" s="77" t="str">
        <f>IFERROR(VLOOKUP(DESPESAS[[#This Row],[Fornecedor]],Tabela2[],2,FALSE),"")</f>
        <v/>
      </c>
      <c r="J3651" s="77" t="str">
        <f>IFERROR(VLOOKUP(DESPESAS[[#This Row],[Plano de Contas]],BASE!$B$3:$F$119,4,FALSE),"")</f>
        <v>6 - DESPESA COM VENDAS</v>
      </c>
      <c r="K3651" s="77" t="str">
        <f>IFERROR(VLOOKUP(DESPESAS[[#This Row],[Plano de Contas]],BASE!$B$3:$H$119,5,FALSE),"")</f>
        <v>COMERCIAL</v>
      </c>
      <c r="L3651" s="77">
        <f>IFERROR(VLOOKUP(DESPESAS[[#This Row],[Plano de Contas]],BASE!$B$3:$H$119,6,FALSE),"")</f>
        <v>0</v>
      </c>
      <c r="M3651" s="77" t="str">
        <f>VLOOKUP(DESPESAS[[#This Row],[Plano de Contas]],BASE!$B$3:$H$119,7,FALSE)</f>
        <v>LETÍCIA</v>
      </c>
    </row>
    <row r="3652" spans="1:13" x14ac:dyDescent="0.25">
      <c r="A3652" s="74">
        <v>200914</v>
      </c>
      <c r="B3652" s="75" t="s">
        <v>232</v>
      </c>
      <c r="C3652" s="75" t="s">
        <v>3669</v>
      </c>
      <c r="D3652" s="76">
        <v>46139</v>
      </c>
      <c r="E3652" s="75" t="s">
        <v>788</v>
      </c>
      <c r="F3652" s="74">
        <v>635.35</v>
      </c>
      <c r="G3652" s="75" t="s">
        <v>572</v>
      </c>
      <c r="H3652" s="77" t="str">
        <f>VLOOKUP(DESPESAS[[#This Row],[Plano de Contas]],BASE!$B$3:$D$119,3,FALSE)</f>
        <v>Comissões sobre Vendas Externo</v>
      </c>
      <c r="I3652" s="77" t="str">
        <f>IFERROR(VLOOKUP(DESPESAS[[#This Row],[Fornecedor]],Tabela2[],2,FALSE),"")</f>
        <v/>
      </c>
      <c r="J3652" s="77" t="str">
        <f>IFERROR(VLOOKUP(DESPESAS[[#This Row],[Plano de Contas]],BASE!$B$3:$F$119,4,FALSE),"")</f>
        <v>6 - DESPESA COM VENDAS</v>
      </c>
      <c r="K3652" s="77" t="str">
        <f>IFERROR(VLOOKUP(DESPESAS[[#This Row],[Plano de Contas]],BASE!$B$3:$H$119,5,FALSE),"")</f>
        <v>COMERCIAL</v>
      </c>
      <c r="L3652" s="77">
        <f>IFERROR(VLOOKUP(DESPESAS[[#This Row],[Plano de Contas]],BASE!$B$3:$H$119,6,FALSE),"")</f>
        <v>0</v>
      </c>
      <c r="M3652" s="77" t="str">
        <f>VLOOKUP(DESPESAS[[#This Row],[Plano de Contas]],BASE!$B$3:$H$119,7,FALSE)</f>
        <v>LETÍCIA</v>
      </c>
    </row>
    <row r="3653" spans="1:13" x14ac:dyDescent="0.25">
      <c r="A3653" s="74">
        <v>200915</v>
      </c>
      <c r="B3653" s="75" t="s">
        <v>232</v>
      </c>
      <c r="C3653" s="75" t="s">
        <v>3669</v>
      </c>
      <c r="D3653" s="76">
        <v>46139</v>
      </c>
      <c r="E3653" s="75" t="s">
        <v>787</v>
      </c>
      <c r="F3653" s="74">
        <v>461.75</v>
      </c>
      <c r="G3653" s="75" t="s">
        <v>572</v>
      </c>
      <c r="H3653" s="77" t="str">
        <f>VLOOKUP(DESPESAS[[#This Row],[Plano de Contas]],BASE!$B$3:$D$119,3,FALSE)</f>
        <v>Comissões sobre Vendas Externo</v>
      </c>
      <c r="I3653" s="77" t="str">
        <f>IFERROR(VLOOKUP(DESPESAS[[#This Row],[Fornecedor]],Tabela2[],2,FALSE),"")</f>
        <v/>
      </c>
      <c r="J3653" s="77" t="str">
        <f>IFERROR(VLOOKUP(DESPESAS[[#This Row],[Plano de Contas]],BASE!$B$3:$F$119,4,FALSE),"")</f>
        <v>6 - DESPESA COM VENDAS</v>
      </c>
      <c r="K3653" s="77" t="str">
        <f>IFERROR(VLOOKUP(DESPESAS[[#This Row],[Plano de Contas]],BASE!$B$3:$H$119,5,FALSE),"")</f>
        <v>COMERCIAL</v>
      </c>
      <c r="L3653" s="77">
        <f>IFERROR(VLOOKUP(DESPESAS[[#This Row],[Plano de Contas]],BASE!$B$3:$H$119,6,FALSE),"")</f>
        <v>0</v>
      </c>
      <c r="M3653" s="77" t="str">
        <f>VLOOKUP(DESPESAS[[#This Row],[Plano de Contas]],BASE!$B$3:$H$119,7,FALSE)</f>
        <v>LETÍCIA</v>
      </c>
    </row>
    <row r="3654" spans="1:13" x14ac:dyDescent="0.25">
      <c r="A3654" s="74">
        <v>200916</v>
      </c>
      <c r="B3654" s="75" t="s">
        <v>232</v>
      </c>
      <c r="C3654" s="75" t="s">
        <v>3669</v>
      </c>
      <c r="D3654" s="76">
        <v>46139</v>
      </c>
      <c r="E3654" s="75" t="s">
        <v>786</v>
      </c>
      <c r="F3654" s="74">
        <v>1496.23</v>
      </c>
      <c r="G3654" s="75" t="s">
        <v>572</v>
      </c>
      <c r="H3654" s="77" t="str">
        <f>VLOOKUP(DESPESAS[[#This Row],[Plano de Contas]],BASE!$B$3:$D$119,3,FALSE)</f>
        <v>Comissões sobre Vendas Externo</v>
      </c>
      <c r="I3654" s="77" t="str">
        <f>IFERROR(VLOOKUP(DESPESAS[[#This Row],[Fornecedor]],Tabela2[],2,FALSE),"")</f>
        <v/>
      </c>
      <c r="J3654" s="77" t="str">
        <f>IFERROR(VLOOKUP(DESPESAS[[#This Row],[Plano de Contas]],BASE!$B$3:$F$119,4,FALSE),"")</f>
        <v>6 - DESPESA COM VENDAS</v>
      </c>
      <c r="K3654" s="77" t="str">
        <f>IFERROR(VLOOKUP(DESPESAS[[#This Row],[Plano de Contas]],BASE!$B$3:$H$119,5,FALSE),"")</f>
        <v>COMERCIAL</v>
      </c>
      <c r="L3654" s="77">
        <f>IFERROR(VLOOKUP(DESPESAS[[#This Row],[Plano de Contas]],BASE!$B$3:$H$119,6,FALSE),"")</f>
        <v>0</v>
      </c>
      <c r="M3654" s="77" t="str">
        <f>VLOOKUP(DESPESAS[[#This Row],[Plano de Contas]],BASE!$B$3:$H$119,7,FALSE)</f>
        <v>LETÍCIA</v>
      </c>
    </row>
    <row r="3655" spans="1:13" x14ac:dyDescent="0.25">
      <c r="A3655" s="74">
        <v>200918</v>
      </c>
      <c r="B3655" s="75" t="s">
        <v>232</v>
      </c>
      <c r="C3655" s="75" t="s">
        <v>3669</v>
      </c>
      <c r="D3655" s="76">
        <v>46139</v>
      </c>
      <c r="E3655" s="75" t="s">
        <v>785</v>
      </c>
      <c r="F3655" s="74">
        <v>3401.22</v>
      </c>
      <c r="G3655" s="75" t="s">
        <v>572</v>
      </c>
      <c r="H3655" s="77" t="str">
        <f>VLOOKUP(DESPESAS[[#This Row],[Plano de Contas]],BASE!$B$3:$D$119,3,FALSE)</f>
        <v>Comissões sobre Vendas Externo</v>
      </c>
      <c r="I3655" s="77" t="str">
        <f>IFERROR(VLOOKUP(DESPESAS[[#This Row],[Fornecedor]],Tabela2[],2,FALSE),"")</f>
        <v/>
      </c>
      <c r="J3655" s="77" t="str">
        <f>IFERROR(VLOOKUP(DESPESAS[[#This Row],[Plano de Contas]],BASE!$B$3:$F$119,4,FALSE),"")</f>
        <v>6 - DESPESA COM VENDAS</v>
      </c>
      <c r="K3655" s="77" t="str">
        <f>IFERROR(VLOOKUP(DESPESAS[[#This Row],[Plano de Contas]],BASE!$B$3:$H$119,5,FALSE),"")</f>
        <v>COMERCIAL</v>
      </c>
      <c r="L3655" s="77">
        <f>IFERROR(VLOOKUP(DESPESAS[[#This Row],[Plano de Contas]],BASE!$B$3:$H$119,6,FALSE),"")</f>
        <v>0</v>
      </c>
      <c r="M3655" s="77" t="str">
        <f>VLOOKUP(DESPESAS[[#This Row],[Plano de Contas]],BASE!$B$3:$H$119,7,FALSE)</f>
        <v>LETÍCIA</v>
      </c>
    </row>
    <row r="3656" spans="1:13" x14ac:dyDescent="0.25">
      <c r="A3656" s="74">
        <v>200919</v>
      </c>
      <c r="B3656" s="75" t="s">
        <v>232</v>
      </c>
      <c r="C3656" s="75" t="s">
        <v>3669</v>
      </c>
      <c r="D3656" s="76">
        <v>46139</v>
      </c>
      <c r="E3656" s="75" t="s">
        <v>784</v>
      </c>
      <c r="F3656" s="74">
        <v>3559.5</v>
      </c>
      <c r="G3656" s="75" t="s">
        <v>572</v>
      </c>
      <c r="H3656" s="77" t="str">
        <f>VLOOKUP(DESPESAS[[#This Row],[Plano de Contas]],BASE!$B$3:$D$119,3,FALSE)</f>
        <v>Comissões sobre Vendas Externo</v>
      </c>
      <c r="I3656" s="77" t="str">
        <f>IFERROR(VLOOKUP(DESPESAS[[#This Row],[Fornecedor]],Tabela2[],2,FALSE),"")</f>
        <v/>
      </c>
      <c r="J3656" s="77" t="str">
        <f>IFERROR(VLOOKUP(DESPESAS[[#This Row],[Plano de Contas]],BASE!$B$3:$F$119,4,FALSE),"")</f>
        <v>6 - DESPESA COM VENDAS</v>
      </c>
      <c r="K3656" s="77" t="str">
        <f>IFERROR(VLOOKUP(DESPESAS[[#This Row],[Plano de Contas]],BASE!$B$3:$H$119,5,FALSE),"")</f>
        <v>COMERCIAL</v>
      </c>
      <c r="L3656" s="77">
        <f>IFERROR(VLOOKUP(DESPESAS[[#This Row],[Plano de Contas]],BASE!$B$3:$H$119,6,FALSE),"")</f>
        <v>0</v>
      </c>
      <c r="M3656" s="77" t="str">
        <f>VLOOKUP(DESPESAS[[#This Row],[Plano de Contas]],BASE!$B$3:$H$119,7,FALSE)</f>
        <v>LETÍCIA</v>
      </c>
    </row>
    <row r="3657" spans="1:13" x14ac:dyDescent="0.25">
      <c r="A3657" s="74">
        <v>200920</v>
      </c>
      <c r="B3657" s="75" t="s">
        <v>232</v>
      </c>
      <c r="C3657" s="75" t="s">
        <v>3669</v>
      </c>
      <c r="D3657" s="76">
        <v>46139</v>
      </c>
      <c r="E3657" s="75" t="s">
        <v>791</v>
      </c>
      <c r="F3657" s="74">
        <v>302.52999999999997</v>
      </c>
      <c r="G3657" s="75" t="s">
        <v>572</v>
      </c>
      <c r="H3657" s="77" t="str">
        <f>VLOOKUP(DESPESAS[[#This Row],[Plano de Contas]],BASE!$B$3:$D$119,3,FALSE)</f>
        <v>Comissões sobre Vendas Externo</v>
      </c>
      <c r="I3657" s="77" t="str">
        <f>IFERROR(VLOOKUP(DESPESAS[[#This Row],[Fornecedor]],Tabela2[],2,FALSE),"")</f>
        <v/>
      </c>
      <c r="J3657" s="77" t="str">
        <f>IFERROR(VLOOKUP(DESPESAS[[#This Row],[Plano de Contas]],BASE!$B$3:$F$119,4,FALSE),"")</f>
        <v>6 - DESPESA COM VENDAS</v>
      </c>
      <c r="K3657" s="77" t="str">
        <f>IFERROR(VLOOKUP(DESPESAS[[#This Row],[Plano de Contas]],BASE!$B$3:$H$119,5,FALSE),"")</f>
        <v>COMERCIAL</v>
      </c>
      <c r="L3657" s="77">
        <f>IFERROR(VLOOKUP(DESPESAS[[#This Row],[Plano de Contas]],BASE!$B$3:$H$119,6,FALSE),"")</f>
        <v>0</v>
      </c>
      <c r="M3657" s="77" t="str">
        <f>VLOOKUP(DESPESAS[[#This Row],[Plano de Contas]],BASE!$B$3:$H$119,7,FALSE)</f>
        <v>LETÍCIA</v>
      </c>
    </row>
    <row r="3658" spans="1:13" x14ac:dyDescent="0.25">
      <c r="A3658" s="74">
        <v>200921</v>
      </c>
      <c r="B3658" s="75" t="s">
        <v>221</v>
      </c>
      <c r="C3658" s="75" t="s">
        <v>3669</v>
      </c>
      <c r="D3658" s="76">
        <v>46139</v>
      </c>
      <c r="E3658" s="75" t="s">
        <v>573</v>
      </c>
      <c r="F3658" s="74">
        <v>98.25</v>
      </c>
      <c r="G3658" s="75" t="s">
        <v>572</v>
      </c>
      <c r="H3658" s="77" t="str">
        <f>VLOOKUP(DESPESAS[[#This Row],[Plano de Contas]],BASE!$B$3:$D$119,3,FALSE)</f>
        <v>Comissões sobre Vendas Externo</v>
      </c>
      <c r="I3658" s="77" t="str">
        <f>IFERROR(VLOOKUP(DESPESAS[[#This Row],[Fornecedor]],Tabela2[],2,FALSE),"")</f>
        <v/>
      </c>
      <c r="J3658" s="77" t="str">
        <f>IFERROR(VLOOKUP(DESPESAS[[#This Row],[Plano de Contas]],BASE!$B$3:$F$119,4,FALSE),"")</f>
        <v>6 - DESPESA COM VENDAS</v>
      </c>
      <c r="K3658" s="77" t="str">
        <f>IFERROR(VLOOKUP(DESPESAS[[#This Row],[Plano de Contas]],BASE!$B$3:$H$119,5,FALSE),"")</f>
        <v>COMERCIAL</v>
      </c>
      <c r="L3658" s="77">
        <f>IFERROR(VLOOKUP(DESPESAS[[#This Row],[Plano de Contas]],BASE!$B$3:$H$119,6,FALSE),"")</f>
        <v>0</v>
      </c>
      <c r="M3658" s="77" t="str">
        <f>VLOOKUP(DESPESAS[[#This Row],[Plano de Contas]],BASE!$B$3:$H$119,7,FALSE)</f>
        <v>LETÍCIA</v>
      </c>
    </row>
    <row r="3659" spans="1:13" x14ac:dyDescent="0.25">
      <c r="A3659" s="74">
        <v>200922</v>
      </c>
      <c r="B3659" s="75" t="s">
        <v>221</v>
      </c>
      <c r="C3659" s="75" t="s">
        <v>3669</v>
      </c>
      <c r="D3659" s="76">
        <v>46139</v>
      </c>
      <c r="E3659" s="75" t="s">
        <v>790</v>
      </c>
      <c r="F3659" s="74">
        <v>761.7</v>
      </c>
      <c r="G3659" s="75" t="s">
        <v>572</v>
      </c>
      <c r="H3659" s="77" t="str">
        <f>VLOOKUP(DESPESAS[[#This Row],[Plano de Contas]],BASE!$B$3:$D$119,3,FALSE)</f>
        <v>Comissões sobre Vendas Externo</v>
      </c>
      <c r="I3659" s="77" t="str">
        <f>IFERROR(VLOOKUP(DESPESAS[[#This Row],[Fornecedor]],Tabela2[],2,FALSE),"")</f>
        <v/>
      </c>
      <c r="J3659" s="77" t="str">
        <f>IFERROR(VLOOKUP(DESPESAS[[#This Row],[Plano de Contas]],BASE!$B$3:$F$119,4,FALSE),"")</f>
        <v>6 - DESPESA COM VENDAS</v>
      </c>
      <c r="K3659" s="77" t="str">
        <f>IFERROR(VLOOKUP(DESPESAS[[#This Row],[Plano de Contas]],BASE!$B$3:$H$119,5,FALSE),"")</f>
        <v>COMERCIAL</v>
      </c>
      <c r="L3659" s="77">
        <f>IFERROR(VLOOKUP(DESPESAS[[#This Row],[Plano de Contas]],BASE!$B$3:$H$119,6,FALSE),"")</f>
        <v>0</v>
      </c>
      <c r="M3659" s="77" t="str">
        <f>VLOOKUP(DESPESAS[[#This Row],[Plano de Contas]],BASE!$B$3:$H$119,7,FALSE)</f>
        <v>LETÍCIA</v>
      </c>
    </row>
    <row r="3660" spans="1:13" x14ac:dyDescent="0.25">
      <c r="A3660" s="74">
        <v>200923</v>
      </c>
      <c r="B3660" s="75" t="s">
        <v>221</v>
      </c>
      <c r="C3660" s="75" t="s">
        <v>3669</v>
      </c>
      <c r="D3660" s="76">
        <v>46139</v>
      </c>
      <c r="E3660" s="75" t="s">
        <v>789</v>
      </c>
      <c r="F3660" s="74">
        <v>1230.4100000000001</v>
      </c>
      <c r="G3660" s="75" t="s">
        <v>572</v>
      </c>
      <c r="H3660" s="77" t="str">
        <f>VLOOKUP(DESPESAS[[#This Row],[Plano de Contas]],BASE!$B$3:$D$119,3,FALSE)</f>
        <v>Comissões sobre Vendas Externo</v>
      </c>
      <c r="I3660" s="77" t="str">
        <f>IFERROR(VLOOKUP(DESPESAS[[#This Row],[Fornecedor]],Tabela2[],2,FALSE),"")</f>
        <v/>
      </c>
      <c r="J3660" s="77" t="str">
        <f>IFERROR(VLOOKUP(DESPESAS[[#This Row],[Plano de Contas]],BASE!$B$3:$F$119,4,FALSE),"")</f>
        <v>6 - DESPESA COM VENDAS</v>
      </c>
      <c r="K3660" s="77" t="str">
        <f>IFERROR(VLOOKUP(DESPESAS[[#This Row],[Plano de Contas]],BASE!$B$3:$H$119,5,FALSE),"")</f>
        <v>COMERCIAL</v>
      </c>
      <c r="L3660" s="77">
        <f>IFERROR(VLOOKUP(DESPESAS[[#This Row],[Plano de Contas]],BASE!$B$3:$H$119,6,FALSE),"")</f>
        <v>0</v>
      </c>
      <c r="M3660" s="77" t="str">
        <f>VLOOKUP(DESPESAS[[#This Row],[Plano de Contas]],BASE!$B$3:$H$119,7,FALSE)</f>
        <v>LETÍCIA</v>
      </c>
    </row>
    <row r="3661" spans="1:13" x14ac:dyDescent="0.25">
      <c r="A3661" s="74">
        <v>200924</v>
      </c>
      <c r="B3661" s="75" t="s">
        <v>221</v>
      </c>
      <c r="C3661" s="75" t="s">
        <v>3669</v>
      </c>
      <c r="D3661" s="76">
        <v>46139</v>
      </c>
      <c r="E3661" s="75" t="s">
        <v>787</v>
      </c>
      <c r="F3661" s="74">
        <v>425.94</v>
      </c>
      <c r="G3661" s="75" t="s">
        <v>572</v>
      </c>
      <c r="H3661" s="77" t="str">
        <f>VLOOKUP(DESPESAS[[#This Row],[Plano de Contas]],BASE!$B$3:$D$119,3,FALSE)</f>
        <v>Comissões sobre Vendas Externo</v>
      </c>
      <c r="I3661" s="77" t="str">
        <f>IFERROR(VLOOKUP(DESPESAS[[#This Row],[Fornecedor]],Tabela2[],2,FALSE),"")</f>
        <v/>
      </c>
      <c r="J3661" s="77" t="str">
        <f>IFERROR(VLOOKUP(DESPESAS[[#This Row],[Plano de Contas]],BASE!$B$3:$F$119,4,FALSE),"")</f>
        <v>6 - DESPESA COM VENDAS</v>
      </c>
      <c r="K3661" s="77" t="str">
        <f>IFERROR(VLOOKUP(DESPESAS[[#This Row],[Plano de Contas]],BASE!$B$3:$H$119,5,FALSE),"")</f>
        <v>COMERCIAL</v>
      </c>
      <c r="L3661" s="77">
        <f>IFERROR(VLOOKUP(DESPESAS[[#This Row],[Plano de Contas]],BASE!$B$3:$H$119,6,FALSE),"")</f>
        <v>0</v>
      </c>
      <c r="M3661" s="77" t="str">
        <f>VLOOKUP(DESPESAS[[#This Row],[Plano de Contas]],BASE!$B$3:$H$119,7,FALSE)</f>
        <v>LETÍCIA</v>
      </c>
    </row>
    <row r="3662" spans="1:13" x14ac:dyDescent="0.25">
      <c r="A3662" s="74">
        <v>200925</v>
      </c>
      <c r="B3662" s="75" t="s">
        <v>221</v>
      </c>
      <c r="C3662" s="75" t="s">
        <v>3669</v>
      </c>
      <c r="D3662" s="76">
        <v>46139</v>
      </c>
      <c r="E3662" s="75" t="s">
        <v>786</v>
      </c>
      <c r="F3662" s="74">
        <v>83.72</v>
      </c>
      <c r="G3662" s="75" t="s">
        <v>572</v>
      </c>
      <c r="H3662" s="77" t="str">
        <f>VLOOKUP(DESPESAS[[#This Row],[Plano de Contas]],BASE!$B$3:$D$119,3,FALSE)</f>
        <v>Comissões sobre Vendas Externo</v>
      </c>
      <c r="I3662" s="77" t="str">
        <f>IFERROR(VLOOKUP(DESPESAS[[#This Row],[Fornecedor]],Tabela2[],2,FALSE),"")</f>
        <v/>
      </c>
      <c r="J3662" s="77" t="str">
        <f>IFERROR(VLOOKUP(DESPESAS[[#This Row],[Plano de Contas]],BASE!$B$3:$F$119,4,FALSE),"")</f>
        <v>6 - DESPESA COM VENDAS</v>
      </c>
      <c r="K3662" s="77" t="str">
        <f>IFERROR(VLOOKUP(DESPESAS[[#This Row],[Plano de Contas]],BASE!$B$3:$H$119,5,FALSE),"")</f>
        <v>COMERCIAL</v>
      </c>
      <c r="L3662" s="77">
        <f>IFERROR(VLOOKUP(DESPESAS[[#This Row],[Plano de Contas]],BASE!$B$3:$H$119,6,FALSE),"")</f>
        <v>0</v>
      </c>
      <c r="M3662" s="77" t="str">
        <f>VLOOKUP(DESPESAS[[#This Row],[Plano de Contas]],BASE!$B$3:$H$119,7,FALSE)</f>
        <v>LETÍCIA</v>
      </c>
    </row>
    <row r="3663" spans="1:13" x14ac:dyDescent="0.25">
      <c r="A3663" s="74">
        <v>200926</v>
      </c>
      <c r="B3663" s="75" t="s">
        <v>221</v>
      </c>
      <c r="C3663" s="75" t="s">
        <v>3669</v>
      </c>
      <c r="D3663" s="76">
        <v>46139</v>
      </c>
      <c r="E3663" s="75" t="s">
        <v>784</v>
      </c>
      <c r="F3663" s="74">
        <v>968.52</v>
      </c>
      <c r="G3663" s="75" t="s">
        <v>572</v>
      </c>
      <c r="H3663" s="77" t="str">
        <f>VLOOKUP(DESPESAS[[#This Row],[Plano de Contas]],BASE!$B$3:$D$119,3,FALSE)</f>
        <v>Comissões sobre Vendas Externo</v>
      </c>
      <c r="I3663" s="77" t="str">
        <f>IFERROR(VLOOKUP(DESPESAS[[#This Row],[Fornecedor]],Tabela2[],2,FALSE),"")</f>
        <v/>
      </c>
      <c r="J3663" s="77" t="str">
        <f>IFERROR(VLOOKUP(DESPESAS[[#This Row],[Plano de Contas]],BASE!$B$3:$F$119,4,FALSE),"")</f>
        <v>6 - DESPESA COM VENDAS</v>
      </c>
      <c r="K3663" s="77" t="str">
        <f>IFERROR(VLOOKUP(DESPESAS[[#This Row],[Plano de Contas]],BASE!$B$3:$H$119,5,FALSE),"")</f>
        <v>COMERCIAL</v>
      </c>
      <c r="L3663" s="77">
        <f>IFERROR(VLOOKUP(DESPESAS[[#This Row],[Plano de Contas]],BASE!$B$3:$H$119,6,FALSE),"")</f>
        <v>0</v>
      </c>
      <c r="M3663" s="77" t="str">
        <f>VLOOKUP(DESPESAS[[#This Row],[Plano de Contas]],BASE!$B$3:$H$119,7,FALSE)</f>
        <v>LETÍCIA</v>
      </c>
    </row>
    <row r="3664" spans="1:13" x14ac:dyDescent="0.25">
      <c r="A3664" s="74">
        <v>200927</v>
      </c>
      <c r="B3664" s="75" t="s">
        <v>221</v>
      </c>
      <c r="C3664" s="75" t="s">
        <v>3669</v>
      </c>
      <c r="D3664" s="76">
        <v>46139</v>
      </c>
      <c r="E3664" s="75" t="s">
        <v>791</v>
      </c>
      <c r="F3664" s="74">
        <v>71.08</v>
      </c>
      <c r="G3664" s="75" t="s">
        <v>572</v>
      </c>
      <c r="H3664" s="77" t="str">
        <f>VLOOKUP(DESPESAS[[#This Row],[Plano de Contas]],BASE!$B$3:$D$119,3,FALSE)</f>
        <v>Comissões sobre Vendas Externo</v>
      </c>
      <c r="I3664" s="77" t="str">
        <f>IFERROR(VLOOKUP(DESPESAS[[#This Row],[Fornecedor]],Tabela2[],2,FALSE),"")</f>
        <v/>
      </c>
      <c r="J3664" s="77" t="str">
        <f>IFERROR(VLOOKUP(DESPESAS[[#This Row],[Plano de Contas]],BASE!$B$3:$F$119,4,FALSE),"")</f>
        <v>6 - DESPESA COM VENDAS</v>
      </c>
      <c r="K3664" s="77" t="str">
        <f>IFERROR(VLOOKUP(DESPESAS[[#This Row],[Plano de Contas]],BASE!$B$3:$H$119,5,FALSE),"")</f>
        <v>COMERCIAL</v>
      </c>
      <c r="L3664" s="77">
        <f>IFERROR(VLOOKUP(DESPESAS[[#This Row],[Plano de Contas]],BASE!$B$3:$H$119,6,FALSE),"")</f>
        <v>0</v>
      </c>
      <c r="M3664" s="77" t="str">
        <f>VLOOKUP(DESPESAS[[#This Row],[Plano de Contas]],BASE!$B$3:$H$119,7,FALSE)</f>
        <v>LETÍCIA</v>
      </c>
    </row>
    <row r="3665" spans="1:13" x14ac:dyDescent="0.25">
      <c r="A3665" s="74">
        <v>200929</v>
      </c>
      <c r="B3665" s="75" t="s">
        <v>281</v>
      </c>
      <c r="C3665" s="75" t="s">
        <v>3669</v>
      </c>
      <c r="D3665" s="76">
        <v>46139</v>
      </c>
      <c r="E3665" s="75" t="s">
        <v>573</v>
      </c>
      <c r="F3665" s="74">
        <v>2043.39</v>
      </c>
      <c r="G3665" s="75" t="s">
        <v>572</v>
      </c>
      <c r="H3665" s="77" t="str">
        <f>VLOOKUP(DESPESAS[[#This Row],[Plano de Contas]],BASE!$B$3:$D$119,3,FALSE)</f>
        <v>Comissões sobre Vendas Externo</v>
      </c>
      <c r="I3665" s="77" t="str">
        <f>IFERROR(VLOOKUP(DESPESAS[[#This Row],[Fornecedor]],Tabela2[],2,FALSE),"")</f>
        <v/>
      </c>
      <c r="J3665" s="77" t="str">
        <f>IFERROR(VLOOKUP(DESPESAS[[#This Row],[Plano de Contas]],BASE!$B$3:$F$119,4,FALSE),"")</f>
        <v>6 - DESPESA COM VENDAS</v>
      </c>
      <c r="K3665" s="77" t="str">
        <f>IFERROR(VLOOKUP(DESPESAS[[#This Row],[Plano de Contas]],BASE!$B$3:$H$119,5,FALSE),"")</f>
        <v>COMERCIAL</v>
      </c>
      <c r="L3665" s="77">
        <f>IFERROR(VLOOKUP(DESPESAS[[#This Row],[Plano de Contas]],BASE!$B$3:$H$119,6,FALSE),"")</f>
        <v>0</v>
      </c>
      <c r="M3665" s="77" t="str">
        <f>VLOOKUP(DESPESAS[[#This Row],[Plano de Contas]],BASE!$B$3:$H$119,7,FALSE)</f>
        <v>LETÍCIA</v>
      </c>
    </row>
    <row r="3666" spans="1:13" x14ac:dyDescent="0.25">
      <c r="A3666" s="74">
        <v>200930</v>
      </c>
      <c r="B3666" s="75" t="s">
        <v>281</v>
      </c>
      <c r="C3666" s="75" t="s">
        <v>3669</v>
      </c>
      <c r="D3666" s="76">
        <v>46139</v>
      </c>
      <c r="E3666" s="75" t="s">
        <v>790</v>
      </c>
      <c r="F3666" s="74">
        <v>835.78</v>
      </c>
      <c r="G3666" s="75" t="s">
        <v>572</v>
      </c>
      <c r="H3666" s="77" t="str">
        <f>VLOOKUP(DESPESAS[[#This Row],[Plano de Contas]],BASE!$B$3:$D$119,3,FALSE)</f>
        <v>Comissões sobre Vendas Externo</v>
      </c>
      <c r="I3666" s="77" t="str">
        <f>IFERROR(VLOOKUP(DESPESAS[[#This Row],[Fornecedor]],Tabela2[],2,FALSE),"")</f>
        <v/>
      </c>
      <c r="J3666" s="77" t="str">
        <f>IFERROR(VLOOKUP(DESPESAS[[#This Row],[Plano de Contas]],BASE!$B$3:$F$119,4,FALSE),"")</f>
        <v>6 - DESPESA COM VENDAS</v>
      </c>
      <c r="K3666" s="77" t="str">
        <f>IFERROR(VLOOKUP(DESPESAS[[#This Row],[Plano de Contas]],BASE!$B$3:$H$119,5,FALSE),"")</f>
        <v>COMERCIAL</v>
      </c>
      <c r="L3666" s="77">
        <f>IFERROR(VLOOKUP(DESPESAS[[#This Row],[Plano de Contas]],BASE!$B$3:$H$119,6,FALSE),"")</f>
        <v>0</v>
      </c>
      <c r="M3666" s="77" t="str">
        <f>VLOOKUP(DESPESAS[[#This Row],[Plano de Contas]],BASE!$B$3:$H$119,7,FALSE)</f>
        <v>LETÍCIA</v>
      </c>
    </row>
    <row r="3667" spans="1:13" x14ac:dyDescent="0.25">
      <c r="A3667" s="74">
        <v>200931</v>
      </c>
      <c r="B3667" s="75" t="s">
        <v>281</v>
      </c>
      <c r="C3667" s="75" t="s">
        <v>3669</v>
      </c>
      <c r="D3667" s="76">
        <v>46139</v>
      </c>
      <c r="E3667" s="75" t="s">
        <v>789</v>
      </c>
      <c r="F3667" s="74">
        <v>1057.69</v>
      </c>
      <c r="G3667" s="75" t="s">
        <v>572</v>
      </c>
      <c r="H3667" s="77" t="str">
        <f>VLOOKUP(DESPESAS[[#This Row],[Plano de Contas]],BASE!$B$3:$D$119,3,FALSE)</f>
        <v>Comissões sobre Vendas Externo</v>
      </c>
      <c r="I3667" s="77" t="str">
        <f>IFERROR(VLOOKUP(DESPESAS[[#This Row],[Fornecedor]],Tabela2[],2,FALSE),"")</f>
        <v/>
      </c>
      <c r="J3667" s="77" t="str">
        <f>IFERROR(VLOOKUP(DESPESAS[[#This Row],[Plano de Contas]],BASE!$B$3:$F$119,4,FALSE),"")</f>
        <v>6 - DESPESA COM VENDAS</v>
      </c>
      <c r="K3667" s="77" t="str">
        <f>IFERROR(VLOOKUP(DESPESAS[[#This Row],[Plano de Contas]],BASE!$B$3:$H$119,5,FALSE),"")</f>
        <v>COMERCIAL</v>
      </c>
      <c r="L3667" s="77">
        <f>IFERROR(VLOOKUP(DESPESAS[[#This Row],[Plano de Contas]],BASE!$B$3:$H$119,6,FALSE),"")</f>
        <v>0</v>
      </c>
      <c r="M3667" s="77" t="str">
        <f>VLOOKUP(DESPESAS[[#This Row],[Plano de Contas]],BASE!$B$3:$H$119,7,FALSE)</f>
        <v>LETÍCIA</v>
      </c>
    </row>
    <row r="3668" spans="1:13" x14ac:dyDescent="0.25">
      <c r="A3668" s="74">
        <v>200932</v>
      </c>
      <c r="B3668" s="75" t="s">
        <v>281</v>
      </c>
      <c r="C3668" s="75" t="s">
        <v>3669</v>
      </c>
      <c r="D3668" s="76">
        <v>46139</v>
      </c>
      <c r="E3668" s="75" t="s">
        <v>788</v>
      </c>
      <c r="F3668" s="74">
        <v>346.93</v>
      </c>
      <c r="G3668" s="75" t="s">
        <v>572</v>
      </c>
      <c r="H3668" s="77" t="str">
        <f>VLOOKUP(DESPESAS[[#This Row],[Plano de Contas]],BASE!$B$3:$D$119,3,FALSE)</f>
        <v>Comissões sobre Vendas Externo</v>
      </c>
      <c r="I3668" s="77" t="str">
        <f>IFERROR(VLOOKUP(DESPESAS[[#This Row],[Fornecedor]],Tabela2[],2,FALSE),"")</f>
        <v/>
      </c>
      <c r="J3668" s="77" t="str">
        <f>IFERROR(VLOOKUP(DESPESAS[[#This Row],[Plano de Contas]],BASE!$B$3:$F$119,4,FALSE),"")</f>
        <v>6 - DESPESA COM VENDAS</v>
      </c>
      <c r="K3668" s="77" t="str">
        <f>IFERROR(VLOOKUP(DESPESAS[[#This Row],[Plano de Contas]],BASE!$B$3:$H$119,5,FALSE),"")</f>
        <v>COMERCIAL</v>
      </c>
      <c r="L3668" s="77">
        <f>IFERROR(VLOOKUP(DESPESAS[[#This Row],[Plano de Contas]],BASE!$B$3:$H$119,6,FALSE),"")</f>
        <v>0</v>
      </c>
      <c r="M3668" s="77" t="str">
        <f>VLOOKUP(DESPESAS[[#This Row],[Plano de Contas]],BASE!$B$3:$H$119,7,FALSE)</f>
        <v>LETÍCIA</v>
      </c>
    </row>
    <row r="3669" spans="1:13" x14ac:dyDescent="0.25">
      <c r="A3669" s="74">
        <v>200933</v>
      </c>
      <c r="B3669" s="75" t="s">
        <v>281</v>
      </c>
      <c r="C3669" s="75" t="s">
        <v>3669</v>
      </c>
      <c r="D3669" s="76">
        <v>46139</v>
      </c>
      <c r="E3669" s="75" t="s">
        <v>786</v>
      </c>
      <c r="F3669" s="74">
        <v>458.92</v>
      </c>
      <c r="G3669" s="75" t="s">
        <v>572</v>
      </c>
      <c r="H3669" s="77" t="str">
        <f>VLOOKUP(DESPESAS[[#This Row],[Plano de Contas]],BASE!$B$3:$D$119,3,FALSE)</f>
        <v>Comissões sobre Vendas Externo</v>
      </c>
      <c r="I3669" s="77" t="str">
        <f>IFERROR(VLOOKUP(DESPESAS[[#This Row],[Fornecedor]],Tabela2[],2,FALSE),"")</f>
        <v/>
      </c>
      <c r="J3669" s="77" t="str">
        <f>IFERROR(VLOOKUP(DESPESAS[[#This Row],[Plano de Contas]],BASE!$B$3:$F$119,4,FALSE),"")</f>
        <v>6 - DESPESA COM VENDAS</v>
      </c>
      <c r="K3669" s="77" t="str">
        <f>IFERROR(VLOOKUP(DESPESAS[[#This Row],[Plano de Contas]],BASE!$B$3:$H$119,5,FALSE),"")</f>
        <v>COMERCIAL</v>
      </c>
      <c r="L3669" s="77">
        <f>IFERROR(VLOOKUP(DESPESAS[[#This Row],[Plano de Contas]],BASE!$B$3:$H$119,6,FALSE),"")</f>
        <v>0</v>
      </c>
      <c r="M3669" s="77" t="str">
        <f>VLOOKUP(DESPESAS[[#This Row],[Plano de Contas]],BASE!$B$3:$H$119,7,FALSE)</f>
        <v>LETÍCIA</v>
      </c>
    </row>
    <row r="3670" spans="1:13" x14ac:dyDescent="0.25">
      <c r="A3670" s="74">
        <v>200934</v>
      </c>
      <c r="B3670" s="75" t="s">
        <v>281</v>
      </c>
      <c r="C3670" s="75" t="s">
        <v>3669</v>
      </c>
      <c r="D3670" s="76">
        <v>46139</v>
      </c>
      <c r="E3670" s="75" t="s">
        <v>784</v>
      </c>
      <c r="F3670" s="74">
        <v>351.21</v>
      </c>
      <c r="G3670" s="75" t="s">
        <v>572</v>
      </c>
      <c r="H3670" s="77" t="str">
        <f>VLOOKUP(DESPESAS[[#This Row],[Plano de Contas]],BASE!$B$3:$D$119,3,FALSE)</f>
        <v>Comissões sobre Vendas Externo</v>
      </c>
      <c r="I3670" s="77" t="str">
        <f>IFERROR(VLOOKUP(DESPESAS[[#This Row],[Fornecedor]],Tabela2[],2,FALSE),"")</f>
        <v/>
      </c>
      <c r="J3670" s="77" t="str">
        <f>IFERROR(VLOOKUP(DESPESAS[[#This Row],[Plano de Contas]],BASE!$B$3:$F$119,4,FALSE),"")</f>
        <v>6 - DESPESA COM VENDAS</v>
      </c>
      <c r="K3670" s="77" t="str">
        <f>IFERROR(VLOOKUP(DESPESAS[[#This Row],[Plano de Contas]],BASE!$B$3:$H$119,5,FALSE),"")</f>
        <v>COMERCIAL</v>
      </c>
      <c r="L3670" s="77">
        <f>IFERROR(VLOOKUP(DESPESAS[[#This Row],[Plano de Contas]],BASE!$B$3:$H$119,6,FALSE),"")</f>
        <v>0</v>
      </c>
      <c r="M3670" s="77" t="str">
        <f>VLOOKUP(DESPESAS[[#This Row],[Plano de Contas]],BASE!$B$3:$H$119,7,FALSE)</f>
        <v>LETÍCIA</v>
      </c>
    </row>
    <row r="3671" spans="1:13" x14ac:dyDescent="0.25">
      <c r="A3671" s="74">
        <v>200936</v>
      </c>
      <c r="B3671" s="75" t="s">
        <v>279</v>
      </c>
      <c r="C3671" s="75" t="s">
        <v>3669</v>
      </c>
      <c r="D3671" s="76">
        <v>46139</v>
      </c>
      <c r="E3671" s="75" t="s">
        <v>790</v>
      </c>
      <c r="F3671" s="74">
        <v>188.55</v>
      </c>
      <c r="G3671" s="75" t="s">
        <v>572</v>
      </c>
      <c r="H3671" s="77" t="str">
        <f>VLOOKUP(DESPESAS[[#This Row],[Plano de Contas]],BASE!$B$3:$D$119,3,FALSE)</f>
        <v>Comissões sobre Vendas Externo</v>
      </c>
      <c r="I3671" s="77" t="str">
        <f>IFERROR(VLOOKUP(DESPESAS[[#This Row],[Fornecedor]],Tabela2[],2,FALSE),"")</f>
        <v/>
      </c>
      <c r="J3671" s="77" t="str">
        <f>IFERROR(VLOOKUP(DESPESAS[[#This Row],[Plano de Contas]],BASE!$B$3:$F$119,4,FALSE),"")</f>
        <v>6 - DESPESA COM VENDAS</v>
      </c>
      <c r="K3671" s="77" t="str">
        <f>IFERROR(VLOOKUP(DESPESAS[[#This Row],[Plano de Contas]],BASE!$B$3:$H$119,5,FALSE),"")</f>
        <v>COMERCIAL</v>
      </c>
      <c r="L3671" s="77">
        <f>IFERROR(VLOOKUP(DESPESAS[[#This Row],[Plano de Contas]],BASE!$B$3:$H$119,6,FALSE),"")</f>
        <v>0</v>
      </c>
      <c r="M3671" s="77" t="str">
        <f>VLOOKUP(DESPESAS[[#This Row],[Plano de Contas]],BASE!$B$3:$H$119,7,FALSE)</f>
        <v>LETÍCIA</v>
      </c>
    </row>
    <row r="3672" spans="1:13" x14ac:dyDescent="0.25">
      <c r="A3672" s="74">
        <v>200937</v>
      </c>
      <c r="B3672" s="75" t="s">
        <v>279</v>
      </c>
      <c r="C3672" s="75" t="s">
        <v>3669</v>
      </c>
      <c r="D3672" s="76">
        <v>46139</v>
      </c>
      <c r="E3672" s="75" t="s">
        <v>789</v>
      </c>
      <c r="F3672" s="74">
        <v>1153.78</v>
      </c>
      <c r="G3672" s="75" t="s">
        <v>572</v>
      </c>
      <c r="H3672" s="77" t="str">
        <f>VLOOKUP(DESPESAS[[#This Row],[Plano de Contas]],BASE!$B$3:$D$119,3,FALSE)</f>
        <v>Comissões sobre Vendas Externo</v>
      </c>
      <c r="I3672" s="77" t="str">
        <f>IFERROR(VLOOKUP(DESPESAS[[#This Row],[Fornecedor]],Tabela2[],2,FALSE),"")</f>
        <v/>
      </c>
      <c r="J3672" s="77" t="str">
        <f>IFERROR(VLOOKUP(DESPESAS[[#This Row],[Plano de Contas]],BASE!$B$3:$F$119,4,FALSE),"")</f>
        <v>6 - DESPESA COM VENDAS</v>
      </c>
      <c r="K3672" s="77" t="str">
        <f>IFERROR(VLOOKUP(DESPESAS[[#This Row],[Plano de Contas]],BASE!$B$3:$H$119,5,FALSE),"")</f>
        <v>COMERCIAL</v>
      </c>
      <c r="L3672" s="77">
        <f>IFERROR(VLOOKUP(DESPESAS[[#This Row],[Plano de Contas]],BASE!$B$3:$H$119,6,FALSE),"")</f>
        <v>0</v>
      </c>
      <c r="M3672" s="77" t="str">
        <f>VLOOKUP(DESPESAS[[#This Row],[Plano de Contas]],BASE!$B$3:$H$119,7,FALSE)</f>
        <v>LETÍCIA</v>
      </c>
    </row>
    <row r="3673" spans="1:13" x14ac:dyDescent="0.25">
      <c r="A3673" s="74">
        <v>200938</v>
      </c>
      <c r="B3673" s="75" t="s">
        <v>279</v>
      </c>
      <c r="C3673" s="75" t="s">
        <v>3669</v>
      </c>
      <c r="D3673" s="76">
        <v>46139</v>
      </c>
      <c r="E3673" s="75" t="s">
        <v>788</v>
      </c>
      <c r="F3673" s="74">
        <v>1527.15</v>
      </c>
      <c r="G3673" s="75" t="s">
        <v>572</v>
      </c>
      <c r="H3673" s="77" t="str">
        <f>VLOOKUP(DESPESAS[[#This Row],[Plano de Contas]],BASE!$B$3:$D$119,3,FALSE)</f>
        <v>Comissões sobre Vendas Externo</v>
      </c>
      <c r="I3673" s="77" t="str">
        <f>IFERROR(VLOOKUP(DESPESAS[[#This Row],[Fornecedor]],Tabela2[],2,FALSE),"")</f>
        <v/>
      </c>
      <c r="J3673" s="77" t="str">
        <f>IFERROR(VLOOKUP(DESPESAS[[#This Row],[Plano de Contas]],BASE!$B$3:$F$119,4,FALSE),"")</f>
        <v>6 - DESPESA COM VENDAS</v>
      </c>
      <c r="K3673" s="77" t="str">
        <f>IFERROR(VLOOKUP(DESPESAS[[#This Row],[Plano de Contas]],BASE!$B$3:$H$119,5,FALSE),"")</f>
        <v>COMERCIAL</v>
      </c>
      <c r="L3673" s="77">
        <f>IFERROR(VLOOKUP(DESPESAS[[#This Row],[Plano de Contas]],BASE!$B$3:$H$119,6,FALSE),"")</f>
        <v>0</v>
      </c>
      <c r="M3673" s="77" t="str">
        <f>VLOOKUP(DESPESAS[[#This Row],[Plano de Contas]],BASE!$B$3:$H$119,7,FALSE)</f>
        <v>LETÍCIA</v>
      </c>
    </row>
    <row r="3674" spans="1:13" x14ac:dyDescent="0.25">
      <c r="A3674" s="74">
        <v>200939</v>
      </c>
      <c r="B3674" s="75" t="s">
        <v>279</v>
      </c>
      <c r="C3674" s="75" t="s">
        <v>3669</v>
      </c>
      <c r="D3674" s="76">
        <v>46139</v>
      </c>
      <c r="E3674" s="75" t="s">
        <v>787</v>
      </c>
      <c r="F3674" s="74">
        <v>351.77</v>
      </c>
      <c r="G3674" s="75" t="s">
        <v>572</v>
      </c>
      <c r="H3674" s="77" t="str">
        <f>VLOOKUP(DESPESAS[[#This Row],[Plano de Contas]],BASE!$B$3:$D$119,3,FALSE)</f>
        <v>Comissões sobre Vendas Externo</v>
      </c>
      <c r="I3674" s="77" t="str">
        <f>IFERROR(VLOOKUP(DESPESAS[[#This Row],[Fornecedor]],Tabela2[],2,FALSE),"")</f>
        <v/>
      </c>
      <c r="J3674" s="77" t="str">
        <f>IFERROR(VLOOKUP(DESPESAS[[#This Row],[Plano de Contas]],BASE!$B$3:$F$119,4,FALSE),"")</f>
        <v>6 - DESPESA COM VENDAS</v>
      </c>
      <c r="K3674" s="77" t="str">
        <f>IFERROR(VLOOKUP(DESPESAS[[#This Row],[Plano de Contas]],BASE!$B$3:$H$119,5,FALSE),"")</f>
        <v>COMERCIAL</v>
      </c>
      <c r="L3674" s="77">
        <f>IFERROR(VLOOKUP(DESPESAS[[#This Row],[Plano de Contas]],BASE!$B$3:$H$119,6,FALSE),"")</f>
        <v>0</v>
      </c>
      <c r="M3674" s="77" t="str">
        <f>VLOOKUP(DESPESAS[[#This Row],[Plano de Contas]],BASE!$B$3:$H$119,7,FALSE)</f>
        <v>LETÍCIA</v>
      </c>
    </row>
    <row r="3675" spans="1:13" x14ac:dyDescent="0.25">
      <c r="A3675" s="74">
        <v>200940</v>
      </c>
      <c r="B3675" s="75" t="s">
        <v>279</v>
      </c>
      <c r="C3675" s="75" t="s">
        <v>3669</v>
      </c>
      <c r="D3675" s="76">
        <v>46139</v>
      </c>
      <c r="E3675" s="75" t="s">
        <v>784</v>
      </c>
      <c r="F3675" s="74">
        <v>1991.59</v>
      </c>
      <c r="G3675" s="75" t="s">
        <v>572</v>
      </c>
      <c r="H3675" s="77" t="str">
        <f>VLOOKUP(DESPESAS[[#This Row],[Plano de Contas]],BASE!$B$3:$D$119,3,FALSE)</f>
        <v>Comissões sobre Vendas Externo</v>
      </c>
      <c r="I3675" s="77" t="str">
        <f>IFERROR(VLOOKUP(DESPESAS[[#This Row],[Fornecedor]],Tabela2[],2,FALSE),"")</f>
        <v/>
      </c>
      <c r="J3675" s="77" t="str">
        <f>IFERROR(VLOOKUP(DESPESAS[[#This Row],[Plano de Contas]],BASE!$B$3:$F$119,4,FALSE),"")</f>
        <v>6 - DESPESA COM VENDAS</v>
      </c>
      <c r="K3675" s="77" t="str">
        <f>IFERROR(VLOOKUP(DESPESAS[[#This Row],[Plano de Contas]],BASE!$B$3:$H$119,5,FALSE),"")</f>
        <v>COMERCIAL</v>
      </c>
      <c r="L3675" s="77">
        <f>IFERROR(VLOOKUP(DESPESAS[[#This Row],[Plano de Contas]],BASE!$B$3:$H$119,6,FALSE),"")</f>
        <v>0</v>
      </c>
      <c r="M3675" s="77" t="str">
        <f>VLOOKUP(DESPESAS[[#This Row],[Plano de Contas]],BASE!$B$3:$H$119,7,FALSE)</f>
        <v>LETÍCIA</v>
      </c>
    </row>
    <row r="3676" spans="1:13" x14ac:dyDescent="0.25">
      <c r="A3676" s="74">
        <v>200942</v>
      </c>
      <c r="B3676" s="75" t="s">
        <v>232</v>
      </c>
      <c r="C3676" s="75" t="s">
        <v>3670</v>
      </c>
      <c r="D3676" s="76">
        <v>46139</v>
      </c>
      <c r="E3676" s="75" t="s">
        <v>471</v>
      </c>
      <c r="F3676" s="74">
        <v>278</v>
      </c>
      <c r="G3676" s="75" t="s">
        <v>244</v>
      </c>
      <c r="H3676" s="77" t="str">
        <f>VLOOKUP(DESPESAS[[#This Row],[Plano de Contas]],BASE!$B$3:$D$119,3,FALSE)</f>
        <v>Material de Expediente (Prod)</v>
      </c>
      <c r="I3676" s="77" t="str">
        <f>IFERROR(VLOOKUP(DESPESAS[[#This Row],[Fornecedor]],Tabela2[],2,FALSE),"")</f>
        <v/>
      </c>
      <c r="J3676" s="77" t="str">
        <f>IFERROR(VLOOKUP(DESPESAS[[#This Row],[Plano de Contas]],BASE!$B$3:$F$119,4,FALSE),"")</f>
        <v>2 - CUSTOS DIRETOS</v>
      </c>
      <c r="K3676" s="77" t="str">
        <f>IFERROR(VLOOKUP(DESPESAS[[#This Row],[Plano de Contas]],BASE!$B$3:$H$119,5,FALSE),"")</f>
        <v>PRODUÇÃO</v>
      </c>
      <c r="L3676" s="77">
        <f>IFERROR(VLOOKUP(DESPESAS[[#This Row],[Plano de Contas]],BASE!$B$3:$H$119,6,FALSE),"")</f>
        <v>0</v>
      </c>
      <c r="M3676" s="77" t="str">
        <f>VLOOKUP(DESPESAS[[#This Row],[Plano de Contas]],BASE!$B$3:$H$119,7,FALSE)</f>
        <v>RAFAEL</v>
      </c>
    </row>
    <row r="3677" spans="1:13" x14ac:dyDescent="0.25">
      <c r="A3677" s="74">
        <v>200943</v>
      </c>
      <c r="B3677" s="75" t="s">
        <v>232</v>
      </c>
      <c r="C3677" s="75" t="s">
        <v>3671</v>
      </c>
      <c r="D3677" s="76">
        <v>46139</v>
      </c>
      <c r="E3677" s="75" t="s">
        <v>471</v>
      </c>
      <c r="F3677" s="74">
        <v>450</v>
      </c>
      <c r="G3677" s="75" t="s">
        <v>244</v>
      </c>
      <c r="H3677" s="77" t="str">
        <f>VLOOKUP(DESPESAS[[#This Row],[Plano de Contas]],BASE!$B$3:$D$119,3,FALSE)</f>
        <v>Material de Expediente (Prod)</v>
      </c>
      <c r="I3677" s="77" t="str">
        <f>IFERROR(VLOOKUP(DESPESAS[[#This Row],[Fornecedor]],Tabela2[],2,FALSE),"")</f>
        <v/>
      </c>
      <c r="J3677" s="77" t="str">
        <f>IFERROR(VLOOKUP(DESPESAS[[#This Row],[Plano de Contas]],BASE!$B$3:$F$119,4,FALSE),"")</f>
        <v>2 - CUSTOS DIRETOS</v>
      </c>
      <c r="K3677" s="77" t="str">
        <f>IFERROR(VLOOKUP(DESPESAS[[#This Row],[Plano de Contas]],BASE!$B$3:$H$119,5,FALSE),"")</f>
        <v>PRODUÇÃO</v>
      </c>
      <c r="L3677" s="77">
        <f>IFERROR(VLOOKUP(DESPESAS[[#This Row],[Plano de Contas]],BASE!$B$3:$H$119,6,FALSE),"")</f>
        <v>0</v>
      </c>
      <c r="M3677" s="77" t="str">
        <f>VLOOKUP(DESPESAS[[#This Row],[Plano de Contas]],BASE!$B$3:$H$119,7,FALSE)</f>
        <v>RAFAEL</v>
      </c>
    </row>
    <row r="3678" spans="1:13" x14ac:dyDescent="0.25">
      <c r="A3678" s="74">
        <v>200944</v>
      </c>
      <c r="B3678" s="75" t="s">
        <v>221</v>
      </c>
      <c r="C3678" s="75" t="s">
        <v>3672</v>
      </c>
      <c r="D3678" s="76">
        <v>46139</v>
      </c>
      <c r="E3678" s="75" t="s">
        <v>968</v>
      </c>
      <c r="F3678" s="74">
        <v>119</v>
      </c>
      <c r="G3678" s="75" t="s">
        <v>1342</v>
      </c>
      <c r="H3678" s="77" t="str">
        <f>VLOOKUP(DESPESAS[[#This Row],[Plano de Contas]],BASE!$B$3:$D$119,3,FALSE)</f>
        <v>Copa</v>
      </c>
      <c r="I3678" s="77" t="str">
        <f>IFERROR(VLOOKUP(DESPESAS[[#This Row],[Fornecedor]],Tabela2[],2,FALSE),"")</f>
        <v/>
      </c>
      <c r="J3678" s="77" t="str">
        <f>IFERROR(VLOOKUP(DESPESAS[[#This Row],[Plano de Contas]],BASE!$B$3:$F$119,4,FALSE),"")</f>
        <v>5 - DESPESAS ADMINISTRATIVAS</v>
      </c>
      <c r="K3678" s="77" t="str">
        <f>IFERROR(VLOOKUP(DESPESAS[[#This Row],[Plano de Contas]],BASE!$B$3:$H$119,5,FALSE),"")</f>
        <v>ADMINISTRATIVO</v>
      </c>
      <c r="L3678" s="77">
        <f>IFERROR(VLOOKUP(DESPESAS[[#This Row],[Plano de Contas]],BASE!$B$3:$H$119,6,FALSE),"")</f>
        <v>0</v>
      </c>
      <c r="M3678" s="77" t="str">
        <f>VLOOKUP(DESPESAS[[#This Row],[Plano de Contas]],BASE!$B$3:$H$119,7,FALSE)</f>
        <v>LETÍCIA</v>
      </c>
    </row>
    <row r="3679" spans="1:13" x14ac:dyDescent="0.25">
      <c r="A3679" s="74">
        <v>200945</v>
      </c>
      <c r="B3679" s="75" t="s">
        <v>232</v>
      </c>
      <c r="C3679" s="75" t="s">
        <v>3673</v>
      </c>
      <c r="D3679" s="76">
        <v>46139</v>
      </c>
      <c r="E3679" s="75" t="s">
        <v>327</v>
      </c>
      <c r="F3679" s="74">
        <v>98.35</v>
      </c>
      <c r="G3679" s="75" t="s">
        <v>218</v>
      </c>
      <c r="H3679" s="77" t="str">
        <f>VLOOKUP(DESPESAS[[#This Row],[Plano de Contas]],BASE!$B$3:$D$119,3,FALSE)</f>
        <v>Manutenção de Equipamentos (Prod)</v>
      </c>
      <c r="I3679" s="77" t="str">
        <f>IFERROR(VLOOKUP(DESPESAS[[#This Row],[Fornecedor]],Tabela2[],2,FALSE),"")</f>
        <v>SERVIÇOS FRETE</v>
      </c>
      <c r="J3679" s="77" t="str">
        <f>IFERROR(VLOOKUP(DESPESAS[[#This Row],[Plano de Contas]],BASE!$B$3:$F$119,4,FALSE),"")</f>
        <v>3 - CUSTOS INDIRETOS</v>
      </c>
      <c r="K3679" s="77" t="str">
        <f>IFERROR(VLOOKUP(DESPESAS[[#This Row],[Plano de Contas]],BASE!$B$3:$H$119,5,FALSE),"")</f>
        <v>MANUTENÇÃO / TI</v>
      </c>
      <c r="L3679" s="77">
        <f>IFERROR(VLOOKUP(DESPESAS[[#This Row],[Plano de Contas]],BASE!$B$3:$H$119,6,FALSE),"")</f>
        <v>0</v>
      </c>
      <c r="M3679" s="77" t="str">
        <f>VLOOKUP(DESPESAS[[#This Row],[Plano de Contas]],BASE!$B$3:$H$119,7,FALSE)</f>
        <v>RAFAEL</v>
      </c>
    </row>
    <row r="3680" spans="1:13" x14ac:dyDescent="0.25">
      <c r="A3680" s="74">
        <v>200946</v>
      </c>
      <c r="B3680" s="75" t="s">
        <v>221</v>
      </c>
      <c r="C3680" s="75" t="s">
        <v>3674</v>
      </c>
      <c r="D3680" s="76">
        <v>46139</v>
      </c>
      <c r="E3680" s="75" t="s">
        <v>1505</v>
      </c>
      <c r="F3680" s="74">
        <v>60</v>
      </c>
      <c r="G3680" s="75" t="s">
        <v>374</v>
      </c>
      <c r="H3680" s="77" t="str">
        <f>VLOOKUP(DESPESAS[[#This Row],[Plano de Contas]],BASE!$B$3:$D$119,3,FALSE)</f>
        <v>Consultoria Empresarial</v>
      </c>
      <c r="I3680" s="77" t="str">
        <f>IFERROR(VLOOKUP(DESPESAS[[#This Row],[Fornecedor]],Tabela2[],2,FALSE),"")</f>
        <v/>
      </c>
      <c r="J3680" s="77" t="str">
        <f>IFERROR(VLOOKUP(DESPESAS[[#This Row],[Plano de Contas]],BASE!$B$3:$F$119,4,FALSE),"")</f>
        <v>7 - SERVIÇOS DE TERCEIROS</v>
      </c>
      <c r="K3680" s="77" t="str">
        <f>IFERROR(VLOOKUP(DESPESAS[[#This Row],[Plano de Contas]],BASE!$B$3:$H$119,5,FALSE),"")</f>
        <v>FINANCEIRO</v>
      </c>
      <c r="L3680" s="77">
        <f>IFERROR(VLOOKUP(DESPESAS[[#This Row],[Plano de Contas]],BASE!$B$3:$H$119,6,FALSE),"")</f>
        <v>0</v>
      </c>
      <c r="M3680" s="77" t="str">
        <f>VLOOKUP(DESPESAS[[#This Row],[Plano de Contas]],BASE!$B$3:$H$119,7,FALSE)</f>
        <v>LETÍCIA</v>
      </c>
    </row>
    <row r="3681" spans="1:13" x14ac:dyDescent="0.25">
      <c r="A3681" s="74">
        <v>200947</v>
      </c>
      <c r="B3681" s="75" t="s">
        <v>221</v>
      </c>
      <c r="C3681" s="75" t="s">
        <v>3725</v>
      </c>
      <c r="D3681" s="76">
        <v>46142</v>
      </c>
      <c r="E3681" s="75" t="s">
        <v>768</v>
      </c>
      <c r="F3681" s="74">
        <v>178.31</v>
      </c>
      <c r="G3681" s="75" t="s">
        <v>772</v>
      </c>
      <c r="H3681" s="77" t="str">
        <f>VLOOKUP(DESPESAS[[#This Row],[Plano de Contas]],BASE!$B$3:$D$119,3,FALSE)</f>
        <v>INSS (Adm)</v>
      </c>
      <c r="I3681" s="77" t="str">
        <f>IFERROR(VLOOKUP(DESPESAS[[#This Row],[Fornecedor]],Tabela2[],2,FALSE),"")</f>
        <v/>
      </c>
      <c r="J3681" s="77" t="str">
        <f>IFERROR(VLOOKUP(DESPESAS[[#This Row],[Plano de Contas]],BASE!$B$3:$F$119,4,FALSE),"")</f>
        <v>4 - GASTOS COM PESSOAL</v>
      </c>
      <c r="K3681" s="77" t="str">
        <f>IFERROR(VLOOKUP(DESPESAS[[#This Row],[Plano de Contas]],BASE!$B$3:$H$119,5,FALSE),"")</f>
        <v>DH</v>
      </c>
      <c r="L3681" s="77">
        <f>IFERROR(VLOOKUP(DESPESAS[[#This Row],[Plano de Contas]],BASE!$B$3:$H$119,6,FALSE),"")</f>
        <v>0</v>
      </c>
      <c r="M3681" s="77" t="str">
        <f>VLOOKUP(DESPESAS[[#This Row],[Plano de Contas]],BASE!$B$3:$H$119,7,FALSE)</f>
        <v>RAFAEL</v>
      </c>
    </row>
    <row r="3682" spans="1:13" x14ac:dyDescent="0.25">
      <c r="A3682" s="74">
        <v>200948</v>
      </c>
      <c r="B3682" s="75" t="s">
        <v>232</v>
      </c>
      <c r="C3682" s="75" t="s">
        <v>3675</v>
      </c>
      <c r="D3682" s="76">
        <v>46140</v>
      </c>
      <c r="E3682" s="75" t="s">
        <v>347</v>
      </c>
      <c r="F3682" s="74">
        <v>396.96</v>
      </c>
      <c r="G3682" s="75" t="s">
        <v>583</v>
      </c>
      <c r="H3682" s="77" t="str">
        <f>VLOOKUP(DESPESAS[[#This Row],[Plano de Contas]],BASE!$B$3:$D$119,3,FALSE)</f>
        <v>Multas de Trânsito</v>
      </c>
      <c r="I3682" s="77" t="str">
        <f>IFERROR(VLOOKUP(DESPESAS[[#This Row],[Fornecedor]],Tabela2[],2,FALSE),"")</f>
        <v/>
      </c>
      <c r="J3682" s="77" t="str">
        <f>IFERROR(VLOOKUP(DESPESAS[[#This Row],[Plano de Contas]],BASE!$B$3:$F$119,4,FALSE),"")</f>
        <v>6 - DESPESA COM VENDAS</v>
      </c>
      <c r="K3682" s="77" t="str">
        <f>IFERROR(VLOOKUP(DESPESAS[[#This Row],[Plano de Contas]],BASE!$B$3:$H$119,5,FALSE),"")</f>
        <v>LOGÍSTICA</v>
      </c>
      <c r="L3682" s="77">
        <f>IFERROR(VLOOKUP(DESPESAS[[#This Row],[Plano de Contas]],BASE!$B$3:$H$119,6,FALSE),"")</f>
        <v>0</v>
      </c>
      <c r="M3682" s="77" t="str">
        <f>VLOOKUP(DESPESAS[[#This Row],[Plano de Contas]],BASE!$B$3:$H$119,7,FALSE)</f>
        <v>MYLENA</v>
      </c>
    </row>
    <row r="3683" spans="1:13" x14ac:dyDescent="0.25">
      <c r="A3683" s="74">
        <v>200949</v>
      </c>
      <c r="B3683" s="75" t="s">
        <v>232</v>
      </c>
      <c r="C3683" s="75" t="s">
        <v>3676</v>
      </c>
      <c r="D3683" s="76">
        <v>46140</v>
      </c>
      <c r="E3683" s="75" t="s">
        <v>347</v>
      </c>
      <c r="F3683" s="74">
        <v>312.36</v>
      </c>
      <c r="G3683" s="75" t="s">
        <v>583</v>
      </c>
      <c r="H3683" s="77" t="str">
        <f>VLOOKUP(DESPESAS[[#This Row],[Plano de Contas]],BASE!$B$3:$D$119,3,FALSE)</f>
        <v>Multas de Trânsito</v>
      </c>
      <c r="I3683" s="77" t="str">
        <f>IFERROR(VLOOKUP(DESPESAS[[#This Row],[Fornecedor]],Tabela2[],2,FALSE),"")</f>
        <v/>
      </c>
      <c r="J3683" s="77" t="str">
        <f>IFERROR(VLOOKUP(DESPESAS[[#This Row],[Plano de Contas]],BASE!$B$3:$F$119,4,FALSE),"")</f>
        <v>6 - DESPESA COM VENDAS</v>
      </c>
      <c r="K3683" s="77" t="str">
        <f>IFERROR(VLOOKUP(DESPESAS[[#This Row],[Plano de Contas]],BASE!$B$3:$H$119,5,FALSE),"")</f>
        <v>LOGÍSTICA</v>
      </c>
      <c r="L3683" s="77">
        <f>IFERROR(VLOOKUP(DESPESAS[[#This Row],[Plano de Contas]],BASE!$B$3:$H$119,6,FALSE),"")</f>
        <v>0</v>
      </c>
      <c r="M3683" s="77" t="str">
        <f>VLOOKUP(DESPESAS[[#This Row],[Plano de Contas]],BASE!$B$3:$H$119,7,FALSE)</f>
        <v>MYLENA</v>
      </c>
    </row>
    <row r="3684" spans="1:13" x14ac:dyDescent="0.25">
      <c r="A3684" s="74">
        <v>200950</v>
      </c>
      <c r="B3684" s="75" t="s">
        <v>221</v>
      </c>
      <c r="C3684" s="75" t="s">
        <v>3677</v>
      </c>
      <c r="D3684" s="76">
        <v>46140</v>
      </c>
      <c r="E3684" s="75" t="s">
        <v>540</v>
      </c>
      <c r="F3684" s="74">
        <v>1068.3699999999999</v>
      </c>
      <c r="G3684" s="75" t="s">
        <v>2203</v>
      </c>
      <c r="H3684" s="77" t="str">
        <f>VLOOKUP(DESPESAS[[#This Row],[Plano de Contas]],BASE!$B$3:$D$119,3,FALSE)</f>
        <v>Curadoria</v>
      </c>
      <c r="I3684" s="77" t="str">
        <f>IFERROR(VLOOKUP(DESPESAS[[#This Row],[Fornecedor]],Tabela2[],2,FALSE),"")</f>
        <v/>
      </c>
      <c r="J3684" s="77" t="str">
        <f>IFERROR(VLOOKUP(DESPESAS[[#This Row],[Plano de Contas]],BASE!$B$3:$F$119,4,FALSE),"")</f>
        <v>7 - SERVIÇOS DE TERCEIROS</v>
      </c>
      <c r="K3684" s="77" t="str">
        <f>IFERROR(VLOOKUP(DESPESAS[[#This Row],[Plano de Contas]],BASE!$B$3:$H$119,5,FALSE),"")</f>
        <v>FINANCEIRO</v>
      </c>
      <c r="L3684" s="77">
        <f>IFERROR(VLOOKUP(DESPESAS[[#This Row],[Plano de Contas]],BASE!$B$3:$H$119,6,FALSE),"")</f>
        <v>0</v>
      </c>
      <c r="M3684" s="77" t="str">
        <f>VLOOKUP(DESPESAS[[#This Row],[Plano de Contas]],BASE!$B$3:$H$119,7,FALSE)</f>
        <v>LETÍCIA</v>
      </c>
    </row>
    <row r="3685" spans="1:13" x14ac:dyDescent="0.25">
      <c r="A3685" s="74">
        <v>200951</v>
      </c>
      <c r="B3685" s="75" t="s">
        <v>221</v>
      </c>
      <c r="C3685" s="75" t="s">
        <v>3678</v>
      </c>
      <c r="D3685" s="76">
        <v>46140</v>
      </c>
      <c r="E3685" s="75" t="s">
        <v>242</v>
      </c>
      <c r="F3685" s="74">
        <v>44.91</v>
      </c>
      <c r="G3685" s="75" t="s">
        <v>374</v>
      </c>
      <c r="H3685" s="77" t="str">
        <f>VLOOKUP(DESPESAS[[#This Row],[Plano de Contas]],BASE!$B$3:$D$119,3,FALSE)</f>
        <v>Consultoria Empresarial</v>
      </c>
      <c r="I3685" s="77" t="str">
        <f>IFERROR(VLOOKUP(DESPESAS[[#This Row],[Fornecedor]],Tabela2[],2,FALSE),"")</f>
        <v/>
      </c>
      <c r="J3685" s="77" t="str">
        <f>IFERROR(VLOOKUP(DESPESAS[[#This Row],[Plano de Contas]],BASE!$B$3:$F$119,4,FALSE),"")</f>
        <v>7 - SERVIÇOS DE TERCEIROS</v>
      </c>
      <c r="K3685" s="77" t="str">
        <f>IFERROR(VLOOKUP(DESPESAS[[#This Row],[Plano de Contas]],BASE!$B$3:$H$119,5,FALSE),"")</f>
        <v>FINANCEIRO</v>
      </c>
      <c r="L3685" s="77">
        <f>IFERROR(VLOOKUP(DESPESAS[[#This Row],[Plano de Contas]],BASE!$B$3:$H$119,6,FALSE),"")</f>
        <v>0</v>
      </c>
      <c r="M3685" s="77" t="str">
        <f>VLOOKUP(DESPESAS[[#This Row],[Plano de Contas]],BASE!$B$3:$H$119,7,FALSE)</f>
        <v>LETÍCIA</v>
      </c>
    </row>
    <row r="3686" spans="1:13" x14ac:dyDescent="0.25">
      <c r="A3686" s="74">
        <v>200952</v>
      </c>
      <c r="B3686" s="75" t="s">
        <v>232</v>
      </c>
      <c r="C3686" s="75" t="s">
        <v>3679</v>
      </c>
      <c r="D3686" s="76">
        <v>46139</v>
      </c>
      <c r="E3686" s="75" t="s">
        <v>230</v>
      </c>
      <c r="F3686" s="74">
        <v>45.82</v>
      </c>
      <c r="G3686" s="75" t="s">
        <v>236</v>
      </c>
      <c r="H3686" s="77" t="str">
        <f>VLOOKUP(DESPESAS[[#This Row],[Plano de Contas]],BASE!$B$3:$D$119,3,FALSE)</f>
        <v>Despesas de Cobranca</v>
      </c>
      <c r="I3686" s="77" t="str">
        <f>IFERROR(VLOOKUP(DESPESAS[[#This Row],[Fornecedor]],Tabela2[],2,FALSE),"")</f>
        <v/>
      </c>
      <c r="J3686" s="77" t="str">
        <f>IFERROR(VLOOKUP(DESPESAS[[#This Row],[Plano de Contas]],BASE!$B$3:$F$119,4,FALSE),"")</f>
        <v>8 - DESPESAS FINANCEIRAS</v>
      </c>
      <c r="K3686" s="77" t="str">
        <f>IFERROR(VLOOKUP(DESPESAS[[#This Row],[Plano de Contas]],BASE!$B$3:$H$119,5,FALSE),"")</f>
        <v>FINANCEIRO</v>
      </c>
      <c r="L3686" s="77">
        <f>IFERROR(VLOOKUP(DESPESAS[[#This Row],[Plano de Contas]],BASE!$B$3:$H$119,6,FALSE),"")</f>
        <v>0</v>
      </c>
      <c r="M3686" s="77" t="str">
        <f>VLOOKUP(DESPESAS[[#This Row],[Plano de Contas]],BASE!$B$3:$H$119,7,FALSE)</f>
        <v>LETÍCIA</v>
      </c>
    </row>
    <row r="3687" spans="1:13" x14ac:dyDescent="0.25">
      <c r="A3687" s="74">
        <v>200953</v>
      </c>
      <c r="B3687" s="75" t="s">
        <v>232</v>
      </c>
      <c r="C3687" s="75" t="s">
        <v>3680</v>
      </c>
      <c r="D3687" s="76">
        <v>46140</v>
      </c>
      <c r="E3687" s="75" t="s">
        <v>230</v>
      </c>
      <c r="F3687" s="74">
        <v>6.24</v>
      </c>
      <c r="G3687" s="75" t="s">
        <v>229</v>
      </c>
      <c r="H3687" s="77" t="str">
        <f>VLOOKUP(DESPESAS[[#This Row],[Plano de Contas]],BASE!$B$3:$D$119,3,FALSE)</f>
        <v>Despesas Bancarias</v>
      </c>
      <c r="I3687" s="77" t="str">
        <f>IFERROR(VLOOKUP(DESPESAS[[#This Row],[Fornecedor]],Tabela2[],2,FALSE),"")</f>
        <v/>
      </c>
      <c r="J3687" s="77" t="str">
        <f>IFERROR(VLOOKUP(DESPESAS[[#This Row],[Plano de Contas]],BASE!$B$3:$F$119,4,FALSE),"")</f>
        <v>8 - DESPESAS FINANCEIRAS</v>
      </c>
      <c r="K3687" s="77" t="str">
        <f>IFERROR(VLOOKUP(DESPESAS[[#This Row],[Plano de Contas]],BASE!$B$3:$H$119,5,FALSE),"")</f>
        <v>FINANCEIRO</v>
      </c>
      <c r="L3687" s="77">
        <f>IFERROR(VLOOKUP(DESPESAS[[#This Row],[Plano de Contas]],BASE!$B$3:$H$119,6,FALSE),"")</f>
        <v>0</v>
      </c>
      <c r="M3687" s="77" t="str">
        <f>VLOOKUP(DESPESAS[[#This Row],[Plano de Contas]],BASE!$B$3:$H$119,7,FALSE)</f>
        <v>LETÍCIA</v>
      </c>
    </row>
    <row r="3688" spans="1:13" x14ac:dyDescent="0.25">
      <c r="A3688" s="74">
        <v>200954</v>
      </c>
      <c r="B3688" s="75" t="s">
        <v>232</v>
      </c>
      <c r="C3688" s="75" t="s">
        <v>3681</v>
      </c>
      <c r="D3688" s="76">
        <v>46139</v>
      </c>
      <c r="E3688" s="75" t="s">
        <v>230</v>
      </c>
      <c r="F3688" s="74">
        <v>9.19</v>
      </c>
      <c r="G3688" s="75" t="s">
        <v>356</v>
      </c>
      <c r="H3688" s="77" t="str">
        <f>VLOOKUP(DESPESAS[[#This Row],[Plano de Contas]],BASE!$B$3:$D$119,3,FALSE)</f>
        <v>Despesas Cartorárias</v>
      </c>
      <c r="I3688" s="77" t="str">
        <f>IFERROR(VLOOKUP(DESPESAS[[#This Row],[Fornecedor]],Tabela2[],2,FALSE),"")</f>
        <v/>
      </c>
      <c r="J3688" s="77" t="str">
        <f>IFERROR(VLOOKUP(DESPESAS[[#This Row],[Plano de Contas]],BASE!$B$3:$F$119,4,FALSE),"")</f>
        <v>5 - DESPESAS ADMINISTRATIVAS</v>
      </c>
      <c r="K3688" s="77" t="str">
        <f>IFERROR(VLOOKUP(DESPESAS[[#This Row],[Plano de Contas]],BASE!$B$3:$H$119,5,FALSE),"")</f>
        <v>FINANCEIRO</v>
      </c>
      <c r="L3688" s="77">
        <f>IFERROR(VLOOKUP(DESPESAS[[#This Row],[Plano de Contas]],BASE!$B$3:$H$119,6,FALSE),"")</f>
        <v>0</v>
      </c>
      <c r="M3688" s="77" t="str">
        <f>VLOOKUP(DESPESAS[[#This Row],[Plano de Contas]],BASE!$B$3:$H$119,7,FALSE)</f>
        <v>LETÍCIA</v>
      </c>
    </row>
    <row r="3689" spans="1:13" x14ac:dyDescent="0.25">
      <c r="A3689" s="74">
        <v>200955</v>
      </c>
      <c r="B3689" s="75" t="s">
        <v>232</v>
      </c>
      <c r="C3689" s="75" t="s">
        <v>3682</v>
      </c>
      <c r="D3689" s="76">
        <v>46139</v>
      </c>
      <c r="E3689" s="75" t="s">
        <v>230</v>
      </c>
      <c r="F3689" s="74">
        <v>2.46</v>
      </c>
      <c r="G3689" s="75" t="s">
        <v>356</v>
      </c>
      <c r="H3689" s="77" t="str">
        <f>VLOOKUP(DESPESAS[[#This Row],[Plano de Contas]],BASE!$B$3:$D$119,3,FALSE)</f>
        <v>Despesas Cartorárias</v>
      </c>
      <c r="I3689" s="77" t="str">
        <f>IFERROR(VLOOKUP(DESPESAS[[#This Row],[Fornecedor]],Tabela2[],2,FALSE),"")</f>
        <v/>
      </c>
      <c r="J3689" s="77" t="str">
        <f>IFERROR(VLOOKUP(DESPESAS[[#This Row],[Plano de Contas]],BASE!$B$3:$F$119,4,FALSE),"")</f>
        <v>5 - DESPESAS ADMINISTRATIVAS</v>
      </c>
      <c r="K3689" s="77" t="str">
        <f>IFERROR(VLOOKUP(DESPESAS[[#This Row],[Plano de Contas]],BASE!$B$3:$H$119,5,FALSE),"")</f>
        <v>FINANCEIRO</v>
      </c>
      <c r="L3689" s="77">
        <f>IFERROR(VLOOKUP(DESPESAS[[#This Row],[Plano de Contas]],BASE!$B$3:$H$119,6,FALSE),"")</f>
        <v>0</v>
      </c>
      <c r="M3689" s="77" t="str">
        <f>VLOOKUP(DESPESAS[[#This Row],[Plano de Contas]],BASE!$B$3:$H$119,7,FALSE)</f>
        <v>LETÍCIA</v>
      </c>
    </row>
    <row r="3690" spans="1:13" x14ac:dyDescent="0.25">
      <c r="A3690" s="74">
        <v>200957</v>
      </c>
      <c r="B3690" s="75" t="s">
        <v>232</v>
      </c>
      <c r="C3690" s="75" t="s">
        <v>3683</v>
      </c>
      <c r="D3690" s="76">
        <v>46140</v>
      </c>
      <c r="E3690" s="75" t="s">
        <v>230</v>
      </c>
      <c r="F3690" s="74">
        <v>46.55</v>
      </c>
      <c r="G3690" s="75" t="s">
        <v>251</v>
      </c>
      <c r="H3690" s="77" t="str">
        <f>VLOOKUP(DESPESAS[[#This Row],[Plano de Contas]],BASE!$B$3:$D$119,3,FALSE)</f>
        <v>Juros Pagos - Antecipação de Crédito</v>
      </c>
      <c r="I3690" s="77" t="str">
        <f>IFERROR(VLOOKUP(DESPESAS[[#This Row],[Fornecedor]],Tabela2[],2,FALSE),"")</f>
        <v/>
      </c>
      <c r="J3690" s="77" t="str">
        <f>IFERROR(VLOOKUP(DESPESAS[[#This Row],[Plano de Contas]],BASE!$B$3:$F$119,4,FALSE),"")</f>
        <v>8 - DESPESAS FINANCEIRAS</v>
      </c>
      <c r="K3690" s="77" t="str">
        <f>IFERROR(VLOOKUP(DESPESAS[[#This Row],[Plano de Contas]],BASE!$B$3:$H$119,5,FALSE),"")</f>
        <v>FINANCEIRO</v>
      </c>
      <c r="L3690" s="77">
        <f>IFERROR(VLOOKUP(DESPESAS[[#This Row],[Plano de Contas]],BASE!$B$3:$H$119,6,FALSE),"")</f>
        <v>0</v>
      </c>
      <c r="M3690" s="77" t="str">
        <f>VLOOKUP(DESPESAS[[#This Row],[Plano de Contas]],BASE!$B$3:$H$119,7,FALSE)</f>
        <v>LETÍCIA</v>
      </c>
    </row>
    <row r="3691" spans="1:13" x14ac:dyDescent="0.25">
      <c r="A3691" s="74">
        <v>200958</v>
      </c>
      <c r="B3691" s="75" t="s">
        <v>221</v>
      </c>
      <c r="C3691" s="75" t="s">
        <v>3684</v>
      </c>
      <c r="D3691" s="76">
        <v>46140</v>
      </c>
      <c r="E3691" s="75" t="s">
        <v>399</v>
      </c>
      <c r="F3691" s="74">
        <v>26.28</v>
      </c>
      <c r="G3691" s="75" t="s">
        <v>1342</v>
      </c>
      <c r="H3691" s="77" t="str">
        <f>VLOOKUP(DESPESAS[[#This Row],[Plano de Contas]],BASE!$B$3:$D$119,3,FALSE)</f>
        <v>Copa</v>
      </c>
      <c r="I3691" s="77" t="str">
        <f>IFERROR(VLOOKUP(DESPESAS[[#This Row],[Fornecedor]],Tabela2[],2,FALSE),"")</f>
        <v/>
      </c>
      <c r="J3691" s="77" t="str">
        <f>IFERROR(VLOOKUP(DESPESAS[[#This Row],[Plano de Contas]],BASE!$B$3:$F$119,4,FALSE),"")</f>
        <v>5 - DESPESAS ADMINISTRATIVAS</v>
      </c>
      <c r="K3691" s="77" t="str">
        <f>IFERROR(VLOOKUP(DESPESAS[[#This Row],[Plano de Contas]],BASE!$B$3:$H$119,5,FALSE),"")</f>
        <v>ADMINISTRATIVO</v>
      </c>
      <c r="L3691" s="77">
        <f>IFERROR(VLOOKUP(DESPESAS[[#This Row],[Plano de Contas]],BASE!$B$3:$H$119,6,FALSE),"")</f>
        <v>0</v>
      </c>
      <c r="M3691" s="77" t="str">
        <f>VLOOKUP(DESPESAS[[#This Row],[Plano de Contas]],BASE!$B$3:$H$119,7,FALSE)</f>
        <v>LETÍCIA</v>
      </c>
    </row>
    <row r="3692" spans="1:13" x14ac:dyDescent="0.25">
      <c r="A3692" s="74">
        <v>200959</v>
      </c>
      <c r="B3692" s="75" t="s">
        <v>279</v>
      </c>
      <c r="C3692" s="75" t="s">
        <v>3685</v>
      </c>
      <c r="D3692" s="76">
        <v>46139</v>
      </c>
      <c r="E3692" s="75" t="s">
        <v>230</v>
      </c>
      <c r="F3692" s="74">
        <v>3.95</v>
      </c>
      <c r="G3692" s="75" t="s">
        <v>236</v>
      </c>
      <c r="H3692" s="77" t="str">
        <f>VLOOKUP(DESPESAS[[#This Row],[Plano de Contas]],BASE!$B$3:$D$119,3,FALSE)</f>
        <v>Despesas de Cobranca</v>
      </c>
      <c r="I3692" s="77" t="str">
        <f>IFERROR(VLOOKUP(DESPESAS[[#This Row],[Fornecedor]],Tabela2[],2,FALSE),"")</f>
        <v/>
      </c>
      <c r="J3692" s="77" t="str">
        <f>IFERROR(VLOOKUP(DESPESAS[[#This Row],[Plano de Contas]],BASE!$B$3:$F$119,4,FALSE),"")</f>
        <v>8 - DESPESAS FINANCEIRAS</v>
      </c>
      <c r="K3692" s="77" t="str">
        <f>IFERROR(VLOOKUP(DESPESAS[[#This Row],[Plano de Contas]],BASE!$B$3:$H$119,5,FALSE),"")</f>
        <v>FINANCEIRO</v>
      </c>
      <c r="L3692" s="77">
        <f>IFERROR(VLOOKUP(DESPESAS[[#This Row],[Plano de Contas]],BASE!$B$3:$H$119,6,FALSE),"")</f>
        <v>0</v>
      </c>
      <c r="M3692" s="77" t="str">
        <f>VLOOKUP(DESPESAS[[#This Row],[Plano de Contas]],BASE!$B$3:$H$119,7,FALSE)</f>
        <v>LETÍCIA</v>
      </c>
    </row>
    <row r="3693" spans="1:13" x14ac:dyDescent="0.25">
      <c r="A3693" s="74">
        <v>200960</v>
      </c>
      <c r="B3693" s="75" t="s">
        <v>281</v>
      </c>
      <c r="C3693" s="75" t="s">
        <v>3686</v>
      </c>
      <c r="D3693" s="76">
        <v>46139</v>
      </c>
      <c r="E3693" s="75" t="s">
        <v>230</v>
      </c>
      <c r="F3693" s="74">
        <v>7.9</v>
      </c>
      <c r="G3693" s="75" t="s">
        <v>236</v>
      </c>
      <c r="H3693" s="77" t="str">
        <f>VLOOKUP(DESPESAS[[#This Row],[Plano de Contas]],BASE!$B$3:$D$119,3,FALSE)</f>
        <v>Despesas de Cobranca</v>
      </c>
      <c r="I3693" s="77" t="str">
        <f>IFERROR(VLOOKUP(DESPESAS[[#This Row],[Fornecedor]],Tabela2[],2,FALSE),"")</f>
        <v/>
      </c>
      <c r="J3693" s="77" t="str">
        <f>IFERROR(VLOOKUP(DESPESAS[[#This Row],[Plano de Contas]],BASE!$B$3:$F$119,4,FALSE),"")</f>
        <v>8 - DESPESAS FINANCEIRAS</v>
      </c>
      <c r="K3693" s="77" t="str">
        <f>IFERROR(VLOOKUP(DESPESAS[[#This Row],[Plano de Contas]],BASE!$B$3:$H$119,5,FALSE),"")</f>
        <v>FINANCEIRO</v>
      </c>
      <c r="L3693" s="77">
        <f>IFERROR(VLOOKUP(DESPESAS[[#This Row],[Plano de Contas]],BASE!$B$3:$H$119,6,FALSE),"")</f>
        <v>0</v>
      </c>
      <c r="M3693" s="77" t="str">
        <f>VLOOKUP(DESPESAS[[#This Row],[Plano de Contas]],BASE!$B$3:$H$119,7,FALSE)</f>
        <v>LETÍCIA</v>
      </c>
    </row>
    <row r="3694" spans="1:13" x14ac:dyDescent="0.25">
      <c r="A3694" s="74">
        <v>200961</v>
      </c>
      <c r="B3694" s="75" t="s">
        <v>221</v>
      </c>
      <c r="C3694" s="75" t="s">
        <v>3687</v>
      </c>
      <c r="D3694" s="76">
        <v>46139</v>
      </c>
      <c r="E3694" s="75" t="s">
        <v>575</v>
      </c>
      <c r="F3694" s="74">
        <v>11.4</v>
      </c>
      <c r="G3694" s="75" t="s">
        <v>236</v>
      </c>
      <c r="H3694" s="77" t="str">
        <f>VLOOKUP(DESPESAS[[#This Row],[Plano de Contas]],BASE!$B$3:$D$119,3,FALSE)</f>
        <v>Despesas de Cobranca</v>
      </c>
      <c r="I3694" s="77" t="str">
        <f>IFERROR(VLOOKUP(DESPESAS[[#This Row],[Fornecedor]],Tabela2[],2,FALSE),"")</f>
        <v/>
      </c>
      <c r="J3694" s="77" t="str">
        <f>IFERROR(VLOOKUP(DESPESAS[[#This Row],[Plano de Contas]],BASE!$B$3:$F$119,4,FALSE),"")</f>
        <v>8 - DESPESAS FINANCEIRAS</v>
      </c>
      <c r="K3694" s="77" t="str">
        <f>IFERROR(VLOOKUP(DESPESAS[[#This Row],[Plano de Contas]],BASE!$B$3:$H$119,5,FALSE),"")</f>
        <v>FINANCEIRO</v>
      </c>
      <c r="L3694" s="77">
        <f>IFERROR(VLOOKUP(DESPESAS[[#This Row],[Plano de Contas]],BASE!$B$3:$H$119,6,FALSE),"")</f>
        <v>0</v>
      </c>
      <c r="M3694" s="77" t="str">
        <f>VLOOKUP(DESPESAS[[#This Row],[Plano de Contas]],BASE!$B$3:$H$119,7,FALSE)</f>
        <v>LETÍCIA</v>
      </c>
    </row>
    <row r="3695" spans="1:13" x14ac:dyDescent="0.25">
      <c r="A3695" s="74">
        <v>200962</v>
      </c>
      <c r="B3695" s="75" t="s">
        <v>221</v>
      </c>
      <c r="C3695" s="75" t="s">
        <v>3688</v>
      </c>
      <c r="D3695" s="76">
        <v>46139</v>
      </c>
      <c r="E3695" s="75" t="s">
        <v>1186</v>
      </c>
      <c r="F3695" s="74">
        <v>734.29</v>
      </c>
      <c r="G3695" s="75" t="s">
        <v>480</v>
      </c>
      <c r="H3695" s="77" t="str">
        <f>VLOOKUP(DESPESAS[[#This Row],[Plano de Contas]],BASE!$B$3:$D$119,3,FALSE)</f>
        <v>Viagens e Estadias c/ Vendas</v>
      </c>
      <c r="I3695" s="77" t="str">
        <f>IFERROR(VLOOKUP(DESPESAS[[#This Row],[Fornecedor]],Tabela2[],2,FALSE),"")</f>
        <v/>
      </c>
      <c r="J3695" s="77" t="str">
        <f>IFERROR(VLOOKUP(DESPESAS[[#This Row],[Plano de Contas]],BASE!$B$3:$F$119,4,FALSE),"")</f>
        <v>6 - DESPESA COM VENDAS</v>
      </c>
      <c r="K3695" s="77" t="str">
        <f>IFERROR(VLOOKUP(DESPESAS[[#This Row],[Plano de Contas]],BASE!$B$3:$H$119,5,FALSE),"")</f>
        <v>COMERCIAL</v>
      </c>
      <c r="L3695" s="77">
        <f>IFERROR(VLOOKUP(DESPESAS[[#This Row],[Plano de Contas]],BASE!$B$3:$H$119,6,FALSE),"")</f>
        <v>0</v>
      </c>
      <c r="M3695" s="77" t="str">
        <f>VLOOKUP(DESPESAS[[#This Row],[Plano de Contas]],BASE!$B$3:$H$119,7,FALSE)</f>
        <v>LETÍCIA</v>
      </c>
    </row>
    <row r="3696" spans="1:13" x14ac:dyDescent="0.25">
      <c r="A3696" s="74">
        <v>200963</v>
      </c>
      <c r="B3696" s="75" t="s">
        <v>232</v>
      </c>
      <c r="C3696" s="75" t="s">
        <v>3689</v>
      </c>
      <c r="D3696" s="76">
        <v>46140</v>
      </c>
      <c r="E3696" s="75" t="s">
        <v>230</v>
      </c>
      <c r="F3696" s="74">
        <v>4.82</v>
      </c>
      <c r="G3696" s="75" t="s">
        <v>251</v>
      </c>
      <c r="H3696" s="77" t="str">
        <f>VLOOKUP(DESPESAS[[#This Row],[Plano de Contas]],BASE!$B$3:$D$119,3,FALSE)</f>
        <v>Juros Pagos - Antecipação de Crédito</v>
      </c>
      <c r="I3696" s="77" t="str">
        <f>IFERROR(VLOOKUP(DESPESAS[[#This Row],[Fornecedor]],Tabela2[],2,FALSE),"")</f>
        <v/>
      </c>
      <c r="J3696" s="77" t="str">
        <f>IFERROR(VLOOKUP(DESPESAS[[#This Row],[Plano de Contas]],BASE!$B$3:$F$119,4,FALSE),"")</f>
        <v>8 - DESPESAS FINANCEIRAS</v>
      </c>
      <c r="K3696" s="77" t="str">
        <f>IFERROR(VLOOKUP(DESPESAS[[#This Row],[Plano de Contas]],BASE!$B$3:$H$119,5,FALSE),"")</f>
        <v>FINANCEIRO</v>
      </c>
      <c r="L3696" s="77">
        <f>IFERROR(VLOOKUP(DESPESAS[[#This Row],[Plano de Contas]],BASE!$B$3:$H$119,6,FALSE),"")</f>
        <v>0</v>
      </c>
      <c r="M3696" s="77" t="str">
        <f>VLOOKUP(DESPESAS[[#This Row],[Plano de Contas]],BASE!$B$3:$H$119,7,FALSE)</f>
        <v>LETÍCIA</v>
      </c>
    </row>
    <row r="3697" spans="1:13" x14ac:dyDescent="0.25">
      <c r="A3697" s="74">
        <v>200964</v>
      </c>
      <c r="B3697" s="75" t="s">
        <v>221</v>
      </c>
      <c r="C3697" s="75" t="s">
        <v>3678</v>
      </c>
      <c r="D3697" s="76">
        <v>46140</v>
      </c>
      <c r="E3697" s="75" t="s">
        <v>1503</v>
      </c>
      <c r="F3697" s="74">
        <v>115</v>
      </c>
      <c r="G3697" s="75" t="s">
        <v>374</v>
      </c>
      <c r="H3697" s="77" t="str">
        <f>VLOOKUP(DESPESAS[[#This Row],[Plano de Contas]],BASE!$B$3:$D$119,3,FALSE)</f>
        <v>Consultoria Empresarial</v>
      </c>
      <c r="I3697" s="77" t="str">
        <f>IFERROR(VLOOKUP(DESPESAS[[#This Row],[Fornecedor]],Tabela2[],2,FALSE),"")</f>
        <v/>
      </c>
      <c r="J3697" s="77" t="str">
        <f>IFERROR(VLOOKUP(DESPESAS[[#This Row],[Plano de Contas]],BASE!$B$3:$F$119,4,FALSE),"")</f>
        <v>7 - SERVIÇOS DE TERCEIROS</v>
      </c>
      <c r="K3697" s="77" t="str">
        <f>IFERROR(VLOOKUP(DESPESAS[[#This Row],[Plano de Contas]],BASE!$B$3:$H$119,5,FALSE),"")</f>
        <v>FINANCEIRO</v>
      </c>
      <c r="L3697" s="77">
        <f>IFERROR(VLOOKUP(DESPESAS[[#This Row],[Plano de Contas]],BASE!$B$3:$H$119,6,FALSE),"")</f>
        <v>0</v>
      </c>
      <c r="M3697" s="77" t="str">
        <f>VLOOKUP(DESPESAS[[#This Row],[Plano de Contas]],BASE!$B$3:$H$119,7,FALSE)</f>
        <v>LETÍCIA</v>
      </c>
    </row>
    <row r="3698" spans="1:13" x14ac:dyDescent="0.25">
      <c r="A3698" s="74">
        <v>200966</v>
      </c>
      <c r="B3698" s="75" t="s">
        <v>232</v>
      </c>
      <c r="C3698" s="75" t="s">
        <v>1156</v>
      </c>
      <c r="D3698" s="76">
        <v>46142</v>
      </c>
      <c r="E3698" s="75" t="s">
        <v>703</v>
      </c>
      <c r="F3698" s="74">
        <v>5020.4399999999996</v>
      </c>
      <c r="G3698" s="75" t="s">
        <v>1148</v>
      </c>
      <c r="H3698" s="77" t="str">
        <f>VLOOKUP(DESPESAS[[#This Row],[Plano de Contas]],BASE!$B$3:$D$119,3,FALSE)</f>
        <v>Pedágio Frota</v>
      </c>
      <c r="I3698" s="77" t="str">
        <f>IFERROR(VLOOKUP(DESPESAS[[#This Row],[Fornecedor]],Tabela2[],2,FALSE),"")</f>
        <v/>
      </c>
      <c r="J3698" s="77" t="str">
        <f>IFERROR(VLOOKUP(DESPESAS[[#This Row],[Plano de Contas]],BASE!$B$3:$F$119,4,FALSE),"")</f>
        <v>6 - DESPESA COM VENDAS</v>
      </c>
      <c r="K3698" s="77" t="str">
        <f>IFERROR(VLOOKUP(DESPESAS[[#This Row],[Plano de Contas]],BASE!$B$3:$H$119,5,FALSE),"")</f>
        <v>LOGÍSTICA</v>
      </c>
      <c r="L3698" s="77">
        <f>IFERROR(VLOOKUP(DESPESAS[[#This Row],[Plano de Contas]],BASE!$B$3:$H$119,6,FALSE),"")</f>
        <v>0</v>
      </c>
      <c r="M3698" s="77" t="str">
        <f>VLOOKUP(DESPESAS[[#This Row],[Plano de Contas]],BASE!$B$3:$H$119,7,FALSE)</f>
        <v>MYLENA</v>
      </c>
    </row>
    <row r="3699" spans="1:13" x14ac:dyDescent="0.25">
      <c r="A3699" s="74">
        <v>200967</v>
      </c>
      <c r="B3699" s="75" t="s">
        <v>232</v>
      </c>
      <c r="C3699" s="75" t="s">
        <v>1155</v>
      </c>
      <c r="D3699" s="76">
        <v>46142</v>
      </c>
      <c r="E3699" s="75" t="s">
        <v>703</v>
      </c>
      <c r="F3699" s="74">
        <v>2739.1</v>
      </c>
      <c r="G3699" s="75" t="s">
        <v>1148</v>
      </c>
      <c r="H3699" s="77" t="str">
        <f>VLOOKUP(DESPESAS[[#This Row],[Plano de Contas]],BASE!$B$3:$D$119,3,FALSE)</f>
        <v>Pedágio Frota</v>
      </c>
      <c r="I3699" s="77" t="str">
        <f>IFERROR(VLOOKUP(DESPESAS[[#This Row],[Fornecedor]],Tabela2[],2,FALSE),"")</f>
        <v/>
      </c>
      <c r="J3699" s="77" t="str">
        <f>IFERROR(VLOOKUP(DESPESAS[[#This Row],[Plano de Contas]],BASE!$B$3:$F$119,4,FALSE),"")</f>
        <v>6 - DESPESA COM VENDAS</v>
      </c>
      <c r="K3699" s="77" t="str">
        <f>IFERROR(VLOOKUP(DESPESAS[[#This Row],[Plano de Contas]],BASE!$B$3:$H$119,5,FALSE),"")</f>
        <v>LOGÍSTICA</v>
      </c>
      <c r="L3699" s="77">
        <f>IFERROR(VLOOKUP(DESPESAS[[#This Row],[Plano de Contas]],BASE!$B$3:$H$119,6,FALSE),"")</f>
        <v>0</v>
      </c>
      <c r="M3699" s="77" t="str">
        <f>VLOOKUP(DESPESAS[[#This Row],[Plano de Contas]],BASE!$B$3:$H$119,7,FALSE)</f>
        <v>MYLENA</v>
      </c>
    </row>
    <row r="3700" spans="1:13" x14ac:dyDescent="0.25">
      <c r="A3700" s="74">
        <v>200968</v>
      </c>
      <c r="B3700" s="75" t="s">
        <v>232</v>
      </c>
      <c r="C3700" s="75" t="s">
        <v>3690</v>
      </c>
      <c r="D3700" s="76">
        <v>46140</v>
      </c>
      <c r="E3700" s="75" t="s">
        <v>230</v>
      </c>
      <c r="F3700" s="74">
        <v>49.82</v>
      </c>
      <c r="G3700" s="75" t="s">
        <v>251</v>
      </c>
      <c r="H3700" s="77" t="str">
        <f>VLOOKUP(DESPESAS[[#This Row],[Plano de Contas]],BASE!$B$3:$D$119,3,FALSE)</f>
        <v>Juros Pagos - Antecipação de Crédito</v>
      </c>
      <c r="I3700" s="77" t="str">
        <f>IFERROR(VLOOKUP(DESPESAS[[#This Row],[Fornecedor]],Tabela2[],2,FALSE),"")</f>
        <v/>
      </c>
      <c r="J3700" s="77" t="str">
        <f>IFERROR(VLOOKUP(DESPESAS[[#This Row],[Plano de Contas]],BASE!$B$3:$F$119,4,FALSE),"")</f>
        <v>8 - DESPESAS FINANCEIRAS</v>
      </c>
      <c r="K3700" s="77" t="str">
        <f>IFERROR(VLOOKUP(DESPESAS[[#This Row],[Plano de Contas]],BASE!$B$3:$H$119,5,FALSE),"")</f>
        <v>FINANCEIRO</v>
      </c>
      <c r="L3700" s="77">
        <f>IFERROR(VLOOKUP(DESPESAS[[#This Row],[Plano de Contas]],BASE!$B$3:$H$119,6,FALSE),"")</f>
        <v>0</v>
      </c>
      <c r="M3700" s="77" t="str">
        <f>VLOOKUP(DESPESAS[[#This Row],[Plano de Contas]],BASE!$B$3:$H$119,7,FALSE)</f>
        <v>LETÍCIA</v>
      </c>
    </row>
    <row r="3701" spans="1:13" x14ac:dyDescent="0.25">
      <c r="A3701" s="74">
        <v>200969</v>
      </c>
      <c r="B3701" s="75" t="s">
        <v>232</v>
      </c>
      <c r="C3701" s="75" t="s">
        <v>1154</v>
      </c>
      <c r="D3701" s="76">
        <v>46142</v>
      </c>
      <c r="E3701" s="75" t="s">
        <v>703</v>
      </c>
      <c r="F3701" s="74">
        <v>49.8</v>
      </c>
      <c r="G3701" s="75" t="s">
        <v>1148</v>
      </c>
      <c r="H3701" s="77" t="str">
        <f>VLOOKUP(DESPESAS[[#This Row],[Plano de Contas]],BASE!$B$3:$D$119,3,FALSE)</f>
        <v>Pedágio Frota</v>
      </c>
      <c r="I3701" s="77" t="str">
        <f>IFERROR(VLOOKUP(DESPESAS[[#This Row],[Fornecedor]],Tabela2[],2,FALSE),"")</f>
        <v/>
      </c>
      <c r="J3701" s="77" t="str">
        <f>IFERROR(VLOOKUP(DESPESAS[[#This Row],[Plano de Contas]],BASE!$B$3:$F$119,4,FALSE),"")</f>
        <v>6 - DESPESA COM VENDAS</v>
      </c>
      <c r="K3701" s="77" t="str">
        <f>IFERROR(VLOOKUP(DESPESAS[[#This Row],[Plano de Contas]],BASE!$B$3:$H$119,5,FALSE),"")</f>
        <v>LOGÍSTICA</v>
      </c>
      <c r="L3701" s="77">
        <f>IFERROR(VLOOKUP(DESPESAS[[#This Row],[Plano de Contas]],BASE!$B$3:$H$119,6,FALSE),"")</f>
        <v>0</v>
      </c>
      <c r="M3701" s="77" t="str">
        <f>VLOOKUP(DESPESAS[[#This Row],[Plano de Contas]],BASE!$B$3:$H$119,7,FALSE)</f>
        <v>MYLENA</v>
      </c>
    </row>
    <row r="3702" spans="1:13" x14ac:dyDescent="0.25">
      <c r="A3702" s="74">
        <v>200970</v>
      </c>
      <c r="B3702" s="75" t="s">
        <v>232</v>
      </c>
      <c r="C3702" s="75" t="s">
        <v>3691</v>
      </c>
      <c r="D3702" s="76">
        <v>46140</v>
      </c>
      <c r="E3702" s="75" t="s">
        <v>230</v>
      </c>
      <c r="F3702" s="74">
        <v>26.22</v>
      </c>
      <c r="G3702" s="75" t="s">
        <v>251</v>
      </c>
      <c r="H3702" s="77" t="str">
        <f>VLOOKUP(DESPESAS[[#This Row],[Plano de Contas]],BASE!$B$3:$D$119,3,FALSE)</f>
        <v>Juros Pagos - Antecipação de Crédito</v>
      </c>
      <c r="I3702" s="77" t="str">
        <f>IFERROR(VLOOKUP(DESPESAS[[#This Row],[Fornecedor]],Tabela2[],2,FALSE),"")</f>
        <v/>
      </c>
      <c r="J3702" s="77" t="str">
        <f>IFERROR(VLOOKUP(DESPESAS[[#This Row],[Plano de Contas]],BASE!$B$3:$F$119,4,FALSE),"")</f>
        <v>8 - DESPESAS FINANCEIRAS</v>
      </c>
      <c r="K3702" s="77" t="str">
        <f>IFERROR(VLOOKUP(DESPESAS[[#This Row],[Plano de Contas]],BASE!$B$3:$H$119,5,FALSE),"")</f>
        <v>FINANCEIRO</v>
      </c>
      <c r="L3702" s="77">
        <f>IFERROR(VLOOKUP(DESPESAS[[#This Row],[Plano de Contas]],BASE!$B$3:$H$119,6,FALSE),"")</f>
        <v>0</v>
      </c>
      <c r="M3702" s="77" t="str">
        <f>VLOOKUP(DESPESAS[[#This Row],[Plano de Contas]],BASE!$B$3:$H$119,7,FALSE)</f>
        <v>LETÍCIA</v>
      </c>
    </row>
    <row r="3703" spans="1:13" x14ac:dyDescent="0.25">
      <c r="A3703" s="74">
        <v>200971</v>
      </c>
      <c r="B3703" s="75" t="s">
        <v>232</v>
      </c>
      <c r="C3703" s="75" t="s">
        <v>1153</v>
      </c>
      <c r="D3703" s="76">
        <v>46142</v>
      </c>
      <c r="E3703" s="75" t="s">
        <v>703</v>
      </c>
      <c r="F3703" s="74">
        <v>56.9</v>
      </c>
      <c r="G3703" s="75" t="s">
        <v>1148</v>
      </c>
      <c r="H3703" s="77" t="str">
        <f>VLOOKUP(DESPESAS[[#This Row],[Plano de Contas]],BASE!$B$3:$D$119,3,FALSE)</f>
        <v>Pedágio Frota</v>
      </c>
      <c r="I3703" s="77" t="str">
        <f>IFERROR(VLOOKUP(DESPESAS[[#This Row],[Fornecedor]],Tabela2[],2,FALSE),"")</f>
        <v/>
      </c>
      <c r="J3703" s="77" t="str">
        <f>IFERROR(VLOOKUP(DESPESAS[[#This Row],[Plano de Contas]],BASE!$B$3:$F$119,4,FALSE),"")</f>
        <v>6 - DESPESA COM VENDAS</v>
      </c>
      <c r="K3703" s="77" t="str">
        <f>IFERROR(VLOOKUP(DESPESAS[[#This Row],[Plano de Contas]],BASE!$B$3:$H$119,5,FALSE),"")</f>
        <v>LOGÍSTICA</v>
      </c>
      <c r="L3703" s="77">
        <f>IFERROR(VLOOKUP(DESPESAS[[#This Row],[Plano de Contas]],BASE!$B$3:$H$119,6,FALSE),"")</f>
        <v>0</v>
      </c>
      <c r="M3703" s="77" t="str">
        <f>VLOOKUP(DESPESAS[[#This Row],[Plano de Contas]],BASE!$B$3:$H$119,7,FALSE)</f>
        <v>MYLENA</v>
      </c>
    </row>
    <row r="3704" spans="1:13" x14ac:dyDescent="0.25">
      <c r="A3704" s="74">
        <v>200972</v>
      </c>
      <c r="B3704" s="75" t="s">
        <v>232</v>
      </c>
      <c r="C3704" s="75" t="s">
        <v>1152</v>
      </c>
      <c r="D3704" s="76">
        <v>46142</v>
      </c>
      <c r="E3704" s="75" t="s">
        <v>703</v>
      </c>
      <c r="F3704" s="74">
        <v>49.8</v>
      </c>
      <c r="G3704" s="75" t="s">
        <v>1148</v>
      </c>
      <c r="H3704" s="77" t="str">
        <f>VLOOKUP(DESPESAS[[#This Row],[Plano de Contas]],BASE!$B$3:$D$119,3,FALSE)</f>
        <v>Pedágio Frota</v>
      </c>
      <c r="I3704" s="77" t="str">
        <f>IFERROR(VLOOKUP(DESPESAS[[#This Row],[Fornecedor]],Tabela2[],2,FALSE),"")</f>
        <v/>
      </c>
      <c r="J3704" s="77" t="str">
        <f>IFERROR(VLOOKUP(DESPESAS[[#This Row],[Plano de Contas]],BASE!$B$3:$F$119,4,FALSE),"")</f>
        <v>6 - DESPESA COM VENDAS</v>
      </c>
      <c r="K3704" s="77" t="str">
        <f>IFERROR(VLOOKUP(DESPESAS[[#This Row],[Plano de Contas]],BASE!$B$3:$H$119,5,FALSE),"")</f>
        <v>LOGÍSTICA</v>
      </c>
      <c r="L3704" s="77">
        <f>IFERROR(VLOOKUP(DESPESAS[[#This Row],[Plano de Contas]],BASE!$B$3:$H$119,6,FALSE),"")</f>
        <v>0</v>
      </c>
      <c r="M3704" s="77" t="str">
        <f>VLOOKUP(DESPESAS[[#This Row],[Plano de Contas]],BASE!$B$3:$H$119,7,FALSE)</f>
        <v>MYLENA</v>
      </c>
    </row>
    <row r="3705" spans="1:13" x14ac:dyDescent="0.25">
      <c r="A3705" s="74">
        <v>200973</v>
      </c>
      <c r="B3705" s="75" t="s">
        <v>232</v>
      </c>
      <c r="C3705" s="75" t="s">
        <v>1151</v>
      </c>
      <c r="D3705" s="76">
        <v>46142</v>
      </c>
      <c r="E3705" s="75" t="s">
        <v>703</v>
      </c>
      <c r="F3705" s="74">
        <v>1615.38</v>
      </c>
      <c r="G3705" s="75" t="s">
        <v>1148</v>
      </c>
      <c r="H3705" s="77" t="str">
        <f>VLOOKUP(DESPESAS[[#This Row],[Plano de Contas]],BASE!$B$3:$D$119,3,FALSE)</f>
        <v>Pedágio Frota</v>
      </c>
      <c r="I3705" s="77" t="str">
        <f>IFERROR(VLOOKUP(DESPESAS[[#This Row],[Fornecedor]],Tabela2[],2,FALSE),"")</f>
        <v/>
      </c>
      <c r="J3705" s="77" t="str">
        <f>IFERROR(VLOOKUP(DESPESAS[[#This Row],[Plano de Contas]],BASE!$B$3:$F$119,4,FALSE),"")</f>
        <v>6 - DESPESA COM VENDAS</v>
      </c>
      <c r="K3705" s="77" t="str">
        <f>IFERROR(VLOOKUP(DESPESAS[[#This Row],[Plano de Contas]],BASE!$B$3:$H$119,5,FALSE),"")</f>
        <v>LOGÍSTICA</v>
      </c>
      <c r="L3705" s="77">
        <f>IFERROR(VLOOKUP(DESPESAS[[#This Row],[Plano de Contas]],BASE!$B$3:$H$119,6,FALSE),"")</f>
        <v>0</v>
      </c>
      <c r="M3705" s="77" t="str">
        <f>VLOOKUP(DESPESAS[[#This Row],[Plano de Contas]],BASE!$B$3:$H$119,7,FALSE)</f>
        <v>MYLENA</v>
      </c>
    </row>
    <row r="3706" spans="1:13" x14ac:dyDescent="0.25">
      <c r="A3706" s="74">
        <v>200974</v>
      </c>
      <c r="B3706" s="75" t="s">
        <v>232</v>
      </c>
      <c r="C3706" s="75" t="s">
        <v>3692</v>
      </c>
      <c r="D3706" s="76">
        <v>46140</v>
      </c>
      <c r="E3706" s="75" t="s">
        <v>230</v>
      </c>
      <c r="F3706" s="74">
        <v>2.54</v>
      </c>
      <c r="G3706" s="75" t="s">
        <v>229</v>
      </c>
      <c r="H3706" s="77" t="str">
        <f>VLOOKUP(DESPESAS[[#This Row],[Plano de Contas]],BASE!$B$3:$D$119,3,FALSE)</f>
        <v>Despesas Bancarias</v>
      </c>
      <c r="I3706" s="77" t="str">
        <f>IFERROR(VLOOKUP(DESPESAS[[#This Row],[Fornecedor]],Tabela2[],2,FALSE),"")</f>
        <v/>
      </c>
      <c r="J3706" s="77" t="str">
        <f>IFERROR(VLOOKUP(DESPESAS[[#This Row],[Plano de Contas]],BASE!$B$3:$F$119,4,FALSE),"")</f>
        <v>8 - DESPESAS FINANCEIRAS</v>
      </c>
      <c r="K3706" s="77" t="str">
        <f>IFERROR(VLOOKUP(DESPESAS[[#This Row],[Plano de Contas]],BASE!$B$3:$H$119,5,FALSE),"")</f>
        <v>FINANCEIRO</v>
      </c>
      <c r="L3706" s="77">
        <f>IFERROR(VLOOKUP(DESPESAS[[#This Row],[Plano de Contas]],BASE!$B$3:$H$119,6,FALSE),"")</f>
        <v>0</v>
      </c>
      <c r="M3706" s="77" t="str">
        <f>VLOOKUP(DESPESAS[[#This Row],[Plano de Contas]],BASE!$B$3:$H$119,7,FALSE)</f>
        <v>LETÍCIA</v>
      </c>
    </row>
    <row r="3707" spans="1:13" x14ac:dyDescent="0.25">
      <c r="A3707" s="74">
        <v>200975</v>
      </c>
      <c r="B3707" s="75" t="s">
        <v>232</v>
      </c>
      <c r="C3707" s="75" t="s">
        <v>1150</v>
      </c>
      <c r="D3707" s="76">
        <v>46142</v>
      </c>
      <c r="E3707" s="75" t="s">
        <v>703</v>
      </c>
      <c r="F3707" s="74">
        <v>49.8</v>
      </c>
      <c r="G3707" s="75" t="s">
        <v>1148</v>
      </c>
      <c r="H3707" s="77" t="str">
        <f>VLOOKUP(DESPESAS[[#This Row],[Plano de Contas]],BASE!$B$3:$D$119,3,FALSE)</f>
        <v>Pedágio Frota</v>
      </c>
      <c r="I3707" s="77" t="str">
        <f>IFERROR(VLOOKUP(DESPESAS[[#This Row],[Fornecedor]],Tabela2[],2,FALSE),"")</f>
        <v/>
      </c>
      <c r="J3707" s="77" t="str">
        <f>IFERROR(VLOOKUP(DESPESAS[[#This Row],[Plano de Contas]],BASE!$B$3:$F$119,4,FALSE),"")</f>
        <v>6 - DESPESA COM VENDAS</v>
      </c>
      <c r="K3707" s="77" t="str">
        <f>IFERROR(VLOOKUP(DESPESAS[[#This Row],[Plano de Contas]],BASE!$B$3:$H$119,5,FALSE),"")</f>
        <v>LOGÍSTICA</v>
      </c>
      <c r="L3707" s="77">
        <f>IFERROR(VLOOKUP(DESPESAS[[#This Row],[Plano de Contas]],BASE!$B$3:$H$119,6,FALSE),"")</f>
        <v>0</v>
      </c>
      <c r="M3707" s="77" t="str">
        <f>VLOOKUP(DESPESAS[[#This Row],[Plano de Contas]],BASE!$B$3:$H$119,7,FALSE)</f>
        <v>MYLENA</v>
      </c>
    </row>
    <row r="3708" spans="1:13" x14ac:dyDescent="0.25">
      <c r="A3708" s="74">
        <v>200976</v>
      </c>
      <c r="B3708" s="75" t="s">
        <v>232</v>
      </c>
      <c r="C3708" s="75" t="s">
        <v>1149</v>
      </c>
      <c r="D3708" s="76">
        <v>46142</v>
      </c>
      <c r="E3708" s="75" t="s">
        <v>703</v>
      </c>
      <c r="F3708" s="74">
        <v>248.88</v>
      </c>
      <c r="G3708" s="75" t="s">
        <v>1148</v>
      </c>
      <c r="H3708" s="77" t="str">
        <f>VLOOKUP(DESPESAS[[#This Row],[Plano de Contas]],BASE!$B$3:$D$119,3,FALSE)</f>
        <v>Pedágio Frota</v>
      </c>
      <c r="I3708" s="77" t="str">
        <f>IFERROR(VLOOKUP(DESPESAS[[#This Row],[Fornecedor]],Tabela2[],2,FALSE),"")</f>
        <v/>
      </c>
      <c r="J3708" s="77" t="str">
        <f>IFERROR(VLOOKUP(DESPESAS[[#This Row],[Plano de Contas]],BASE!$B$3:$F$119,4,FALSE),"")</f>
        <v>6 - DESPESA COM VENDAS</v>
      </c>
      <c r="K3708" s="77" t="str">
        <f>IFERROR(VLOOKUP(DESPESAS[[#This Row],[Plano de Contas]],BASE!$B$3:$H$119,5,FALSE),"")</f>
        <v>LOGÍSTICA</v>
      </c>
      <c r="L3708" s="77">
        <f>IFERROR(VLOOKUP(DESPESAS[[#This Row],[Plano de Contas]],BASE!$B$3:$H$119,6,FALSE),"")</f>
        <v>0</v>
      </c>
      <c r="M3708" s="77" t="str">
        <f>VLOOKUP(DESPESAS[[#This Row],[Plano de Contas]],BASE!$B$3:$H$119,7,FALSE)</f>
        <v>MYLENA</v>
      </c>
    </row>
    <row r="3709" spans="1:13" x14ac:dyDescent="0.25">
      <c r="A3709" s="74">
        <v>200977</v>
      </c>
      <c r="B3709" s="75" t="s">
        <v>232</v>
      </c>
      <c r="C3709" s="75" t="s">
        <v>3693</v>
      </c>
      <c r="D3709" s="76">
        <v>46140</v>
      </c>
      <c r="E3709" s="75" t="s">
        <v>230</v>
      </c>
      <c r="F3709" s="74">
        <v>338.82</v>
      </c>
      <c r="G3709" s="75" t="s">
        <v>229</v>
      </c>
      <c r="H3709" s="77" t="str">
        <f>VLOOKUP(DESPESAS[[#This Row],[Plano de Contas]],BASE!$B$3:$D$119,3,FALSE)</f>
        <v>Despesas Bancarias</v>
      </c>
      <c r="I3709" s="77" t="str">
        <f>IFERROR(VLOOKUP(DESPESAS[[#This Row],[Fornecedor]],Tabela2[],2,FALSE),"")</f>
        <v/>
      </c>
      <c r="J3709" s="77" t="str">
        <f>IFERROR(VLOOKUP(DESPESAS[[#This Row],[Plano de Contas]],BASE!$B$3:$F$119,4,FALSE),"")</f>
        <v>8 - DESPESAS FINANCEIRAS</v>
      </c>
      <c r="K3709" s="77" t="str">
        <f>IFERROR(VLOOKUP(DESPESAS[[#This Row],[Plano de Contas]],BASE!$B$3:$H$119,5,FALSE),"")</f>
        <v>FINANCEIRO</v>
      </c>
      <c r="L3709" s="77">
        <f>IFERROR(VLOOKUP(DESPESAS[[#This Row],[Plano de Contas]],BASE!$B$3:$H$119,6,FALSE),"")</f>
        <v>0</v>
      </c>
      <c r="M3709" s="77" t="str">
        <f>VLOOKUP(DESPESAS[[#This Row],[Plano de Contas]],BASE!$B$3:$H$119,7,FALSE)</f>
        <v>LETÍCIA</v>
      </c>
    </row>
    <row r="3710" spans="1:13" x14ac:dyDescent="0.25">
      <c r="A3710" s="74">
        <v>200978</v>
      </c>
      <c r="B3710" s="75" t="s">
        <v>232</v>
      </c>
      <c r="C3710" s="75" t="s">
        <v>3694</v>
      </c>
      <c r="D3710" s="76">
        <v>46140</v>
      </c>
      <c r="E3710" s="75" t="s">
        <v>230</v>
      </c>
      <c r="F3710" s="74">
        <v>303.3</v>
      </c>
      <c r="G3710" s="75" t="s">
        <v>229</v>
      </c>
      <c r="H3710" s="77" t="str">
        <f>VLOOKUP(DESPESAS[[#This Row],[Plano de Contas]],BASE!$B$3:$D$119,3,FALSE)</f>
        <v>Despesas Bancarias</v>
      </c>
      <c r="I3710" s="77" t="str">
        <f>IFERROR(VLOOKUP(DESPESAS[[#This Row],[Fornecedor]],Tabela2[],2,FALSE),"")</f>
        <v/>
      </c>
      <c r="J3710" s="77" t="str">
        <f>IFERROR(VLOOKUP(DESPESAS[[#This Row],[Plano de Contas]],BASE!$B$3:$F$119,4,FALSE),"")</f>
        <v>8 - DESPESAS FINANCEIRAS</v>
      </c>
      <c r="K3710" s="77" t="str">
        <f>IFERROR(VLOOKUP(DESPESAS[[#This Row],[Plano de Contas]],BASE!$B$3:$H$119,5,FALSE),"")</f>
        <v>FINANCEIRO</v>
      </c>
      <c r="L3710" s="77">
        <f>IFERROR(VLOOKUP(DESPESAS[[#This Row],[Plano de Contas]],BASE!$B$3:$H$119,6,FALSE),"")</f>
        <v>0</v>
      </c>
      <c r="M3710" s="77" t="str">
        <f>VLOOKUP(DESPESAS[[#This Row],[Plano de Contas]],BASE!$B$3:$H$119,7,FALSE)</f>
        <v>LETÍCIA</v>
      </c>
    </row>
    <row r="3711" spans="1:13" x14ac:dyDescent="0.25">
      <c r="A3711" s="74">
        <v>200979</v>
      </c>
      <c r="B3711" s="75" t="s">
        <v>232</v>
      </c>
      <c r="C3711" s="75" t="s">
        <v>3695</v>
      </c>
      <c r="D3711" s="76">
        <v>46140</v>
      </c>
      <c r="E3711" s="75" t="s">
        <v>230</v>
      </c>
      <c r="F3711" s="74">
        <v>2075.73</v>
      </c>
      <c r="G3711" s="75" t="s">
        <v>251</v>
      </c>
      <c r="H3711" s="77" t="str">
        <f>VLOOKUP(DESPESAS[[#This Row],[Plano de Contas]],BASE!$B$3:$D$119,3,FALSE)</f>
        <v>Juros Pagos - Antecipação de Crédito</v>
      </c>
      <c r="I3711" s="77" t="str">
        <f>IFERROR(VLOOKUP(DESPESAS[[#This Row],[Fornecedor]],Tabela2[],2,FALSE),"")</f>
        <v/>
      </c>
      <c r="J3711" s="77" t="str">
        <f>IFERROR(VLOOKUP(DESPESAS[[#This Row],[Plano de Contas]],BASE!$B$3:$F$119,4,FALSE),"")</f>
        <v>8 - DESPESAS FINANCEIRAS</v>
      </c>
      <c r="K3711" s="77" t="str">
        <f>IFERROR(VLOOKUP(DESPESAS[[#This Row],[Plano de Contas]],BASE!$B$3:$H$119,5,FALSE),"")</f>
        <v>FINANCEIRO</v>
      </c>
      <c r="L3711" s="77">
        <f>IFERROR(VLOOKUP(DESPESAS[[#This Row],[Plano de Contas]],BASE!$B$3:$H$119,6,FALSE),"")</f>
        <v>0</v>
      </c>
      <c r="M3711" s="77" t="str">
        <f>VLOOKUP(DESPESAS[[#This Row],[Plano de Contas]],BASE!$B$3:$H$119,7,FALSE)</f>
        <v>LETÍCIA</v>
      </c>
    </row>
    <row r="3712" spans="1:13" x14ac:dyDescent="0.25">
      <c r="A3712" s="74">
        <v>200980</v>
      </c>
      <c r="B3712" s="75" t="s">
        <v>232</v>
      </c>
      <c r="C3712" s="75" t="s">
        <v>3726</v>
      </c>
      <c r="D3712" s="76">
        <v>46142</v>
      </c>
      <c r="E3712" s="75" t="s">
        <v>1079</v>
      </c>
      <c r="F3712" s="74">
        <v>351</v>
      </c>
      <c r="G3712" s="75" t="s">
        <v>1078</v>
      </c>
      <c r="H3712" s="77" t="str">
        <f>VLOOKUP(DESPESAS[[#This Row],[Plano de Contas]],BASE!$B$3:$D$119,3,FALSE)</f>
        <v>SPC/Serasa/Associacao</v>
      </c>
      <c r="I3712" s="77" t="str">
        <f>IFERROR(VLOOKUP(DESPESAS[[#This Row],[Fornecedor]],Tabela2[],2,FALSE),"")</f>
        <v/>
      </c>
      <c r="J3712" s="77" t="str">
        <f>IFERROR(VLOOKUP(DESPESAS[[#This Row],[Plano de Contas]],BASE!$B$3:$F$119,4,FALSE),"")</f>
        <v>5 - DESPESAS ADMINISTRATIVAS</v>
      </c>
      <c r="K3712" s="77" t="str">
        <f>IFERROR(VLOOKUP(DESPESAS[[#This Row],[Plano de Contas]],BASE!$B$3:$H$119,5,FALSE),"")</f>
        <v>FINANCEIRO</v>
      </c>
      <c r="L3712" s="77">
        <f>IFERROR(VLOOKUP(DESPESAS[[#This Row],[Plano de Contas]],BASE!$B$3:$H$119,6,FALSE),"")</f>
        <v>0</v>
      </c>
      <c r="M3712" s="77" t="str">
        <f>VLOOKUP(DESPESAS[[#This Row],[Plano de Contas]],BASE!$B$3:$H$119,7,FALSE)</f>
        <v>LETÍCIA</v>
      </c>
    </row>
    <row r="3713" spans="1:13" x14ac:dyDescent="0.25">
      <c r="A3713" s="74">
        <v>200993</v>
      </c>
      <c r="B3713" s="75" t="s">
        <v>232</v>
      </c>
      <c r="C3713" s="75" t="s">
        <v>3696</v>
      </c>
      <c r="D3713" s="76">
        <v>46140</v>
      </c>
      <c r="E3713" s="75" t="s">
        <v>2266</v>
      </c>
      <c r="F3713" s="74">
        <v>86.94</v>
      </c>
      <c r="G3713" s="75" t="s">
        <v>241</v>
      </c>
      <c r="H3713" s="77" t="str">
        <f>VLOOKUP(DESPESAS[[#This Row],[Plano de Contas]],BASE!$B$3:$D$119,3,FALSE)</f>
        <v>Combustiveis Frota</v>
      </c>
      <c r="I3713" s="77" t="str">
        <f>IFERROR(VLOOKUP(DESPESAS[[#This Row],[Fornecedor]],Tabela2[],2,FALSE),"")</f>
        <v/>
      </c>
      <c r="J3713" s="77" t="str">
        <f>IFERROR(VLOOKUP(DESPESAS[[#This Row],[Plano de Contas]],BASE!$B$3:$F$119,4,FALSE),"")</f>
        <v>6 - DESPESA COM VENDAS</v>
      </c>
      <c r="K3713" s="77" t="str">
        <f>IFERROR(VLOOKUP(DESPESAS[[#This Row],[Plano de Contas]],BASE!$B$3:$H$119,5,FALSE),"")</f>
        <v>LOGÍSTICA</v>
      </c>
      <c r="L3713" s="77">
        <f>IFERROR(VLOOKUP(DESPESAS[[#This Row],[Plano de Contas]],BASE!$B$3:$H$119,6,FALSE),"")</f>
        <v>0</v>
      </c>
      <c r="M3713" s="77" t="str">
        <f>VLOOKUP(DESPESAS[[#This Row],[Plano de Contas]],BASE!$B$3:$H$119,7,FALSE)</f>
        <v>MYLENA</v>
      </c>
    </row>
    <row r="3714" spans="1:13" x14ac:dyDescent="0.25">
      <c r="A3714" s="74">
        <v>200994</v>
      </c>
      <c r="B3714" s="75" t="s">
        <v>232</v>
      </c>
      <c r="C3714" s="75" t="s">
        <v>3697</v>
      </c>
      <c r="D3714" s="76">
        <v>46140</v>
      </c>
      <c r="E3714" s="75" t="s">
        <v>391</v>
      </c>
      <c r="F3714" s="74">
        <v>3407.01</v>
      </c>
      <c r="G3714" s="75" t="s">
        <v>241</v>
      </c>
      <c r="H3714" s="77" t="str">
        <f>VLOOKUP(DESPESAS[[#This Row],[Plano de Contas]],BASE!$B$3:$D$119,3,FALSE)</f>
        <v>Combustiveis Frota</v>
      </c>
      <c r="I3714" s="77" t="str">
        <f>IFERROR(VLOOKUP(DESPESAS[[#This Row],[Fornecedor]],Tabela2[],2,FALSE),"")</f>
        <v/>
      </c>
      <c r="J3714" s="77" t="str">
        <f>IFERROR(VLOOKUP(DESPESAS[[#This Row],[Plano de Contas]],BASE!$B$3:$F$119,4,FALSE),"")</f>
        <v>6 - DESPESA COM VENDAS</v>
      </c>
      <c r="K3714" s="77" t="str">
        <f>IFERROR(VLOOKUP(DESPESAS[[#This Row],[Plano de Contas]],BASE!$B$3:$H$119,5,FALSE),"")</f>
        <v>LOGÍSTICA</v>
      </c>
      <c r="L3714" s="77">
        <f>IFERROR(VLOOKUP(DESPESAS[[#This Row],[Plano de Contas]],BASE!$B$3:$H$119,6,FALSE),"")</f>
        <v>0</v>
      </c>
      <c r="M3714" s="77" t="str">
        <f>VLOOKUP(DESPESAS[[#This Row],[Plano de Contas]],BASE!$B$3:$H$119,7,FALSE)</f>
        <v>MYLENA</v>
      </c>
    </row>
    <row r="3715" spans="1:13" x14ac:dyDescent="0.25">
      <c r="A3715" s="74">
        <v>200995</v>
      </c>
      <c r="B3715" s="75" t="s">
        <v>221</v>
      </c>
      <c r="C3715" s="75" t="s">
        <v>3698</v>
      </c>
      <c r="D3715" s="76">
        <v>46139</v>
      </c>
      <c r="E3715" s="75" t="s">
        <v>242</v>
      </c>
      <c r="F3715" s="74">
        <v>215.06</v>
      </c>
      <c r="G3715" s="75" t="s">
        <v>423</v>
      </c>
      <c r="H3715" s="77" t="str">
        <f>VLOOKUP(DESPESAS[[#This Row],[Plano de Contas]],BASE!$B$3:$D$119,3,FALSE)</f>
        <v>Combustíveis (Adm)</v>
      </c>
      <c r="I3715" s="77" t="str">
        <f>IFERROR(VLOOKUP(DESPESAS[[#This Row],[Fornecedor]],Tabela2[],2,FALSE),"")</f>
        <v/>
      </c>
      <c r="J3715" s="77" t="str">
        <f>IFERROR(VLOOKUP(DESPESAS[[#This Row],[Plano de Contas]],BASE!$B$3:$F$119,4,FALSE),"")</f>
        <v>5 - DESPESAS ADMINISTRATIVAS</v>
      </c>
      <c r="K3715" s="77" t="str">
        <f>IFERROR(VLOOKUP(DESPESAS[[#This Row],[Plano de Contas]],BASE!$B$3:$H$119,5,FALSE),"")</f>
        <v>LOGÍSTICA</v>
      </c>
      <c r="L3715" s="77">
        <f>IFERROR(VLOOKUP(DESPESAS[[#This Row],[Plano de Contas]],BASE!$B$3:$H$119,6,FALSE),"")</f>
        <v>0</v>
      </c>
      <c r="M3715" s="77" t="str">
        <f>VLOOKUP(DESPESAS[[#This Row],[Plano de Contas]],BASE!$B$3:$H$119,7,FALSE)</f>
        <v>LETÍCIA</v>
      </c>
    </row>
    <row r="3716" spans="1:13" x14ac:dyDescent="0.25">
      <c r="A3716" s="74">
        <v>200996</v>
      </c>
      <c r="B3716" s="75" t="s">
        <v>221</v>
      </c>
      <c r="C3716" s="75" t="s">
        <v>3699</v>
      </c>
      <c r="D3716" s="76">
        <v>46140</v>
      </c>
      <c r="E3716" s="75" t="s">
        <v>413</v>
      </c>
      <c r="F3716" s="74">
        <v>1655.95</v>
      </c>
      <c r="G3716" s="75" t="s">
        <v>262</v>
      </c>
      <c r="H3716" s="77" t="str">
        <f>VLOOKUP(DESPESAS[[#This Row],[Plano de Contas]],BASE!$B$3:$D$119,3,FALSE)</f>
        <v>Fretes Karams</v>
      </c>
      <c r="I3716" s="77" t="str">
        <f>IFERROR(VLOOKUP(DESPESAS[[#This Row],[Fornecedor]],Tabela2[],2,FALSE),"")</f>
        <v/>
      </c>
      <c r="J3716" s="77" t="str">
        <f>IFERROR(VLOOKUP(DESPESAS[[#This Row],[Plano de Contas]],BASE!$B$3:$F$119,4,FALSE),"")</f>
        <v>6 - DESPESA COM VENDAS</v>
      </c>
      <c r="K3716" s="77" t="str">
        <f>IFERROR(VLOOKUP(DESPESAS[[#This Row],[Plano de Contas]],BASE!$B$3:$H$119,5,FALSE),"")</f>
        <v>LOGÍSTICA</v>
      </c>
      <c r="L3716" s="77">
        <f>IFERROR(VLOOKUP(DESPESAS[[#This Row],[Plano de Contas]],BASE!$B$3:$H$119,6,FALSE),"")</f>
        <v>0</v>
      </c>
      <c r="M3716" s="77" t="str">
        <f>VLOOKUP(DESPESAS[[#This Row],[Plano de Contas]],BASE!$B$3:$H$119,7,FALSE)</f>
        <v>MYLENA</v>
      </c>
    </row>
    <row r="3717" spans="1:13" x14ac:dyDescent="0.25">
      <c r="A3717" s="74">
        <v>200997</v>
      </c>
      <c r="B3717" s="75" t="s">
        <v>221</v>
      </c>
      <c r="C3717" s="75" t="s">
        <v>3700</v>
      </c>
      <c r="D3717" s="76">
        <v>46140</v>
      </c>
      <c r="E3717" s="75" t="s">
        <v>242</v>
      </c>
      <c r="F3717" s="74">
        <v>1552.13</v>
      </c>
      <c r="G3717" s="75" t="s">
        <v>241</v>
      </c>
      <c r="H3717" s="77" t="str">
        <f>VLOOKUP(DESPESAS[[#This Row],[Plano de Contas]],BASE!$B$3:$D$119,3,FALSE)</f>
        <v>Combustiveis Frota</v>
      </c>
      <c r="I3717" s="77" t="str">
        <f>IFERROR(VLOOKUP(DESPESAS[[#This Row],[Fornecedor]],Tabela2[],2,FALSE),"")</f>
        <v/>
      </c>
      <c r="J3717" s="77" t="str">
        <f>IFERROR(VLOOKUP(DESPESAS[[#This Row],[Plano de Contas]],BASE!$B$3:$F$119,4,FALSE),"")</f>
        <v>6 - DESPESA COM VENDAS</v>
      </c>
      <c r="K3717" s="77" t="str">
        <f>IFERROR(VLOOKUP(DESPESAS[[#This Row],[Plano de Contas]],BASE!$B$3:$H$119,5,FALSE),"")</f>
        <v>LOGÍSTICA</v>
      </c>
      <c r="L3717" s="77">
        <f>IFERROR(VLOOKUP(DESPESAS[[#This Row],[Plano de Contas]],BASE!$B$3:$H$119,6,FALSE),"")</f>
        <v>0</v>
      </c>
      <c r="M3717" s="77" t="str">
        <f>VLOOKUP(DESPESAS[[#This Row],[Plano de Contas]],BASE!$B$3:$H$119,7,FALSE)</f>
        <v>MYLENA</v>
      </c>
    </row>
    <row r="3718" spans="1:13" x14ac:dyDescent="0.25">
      <c r="A3718" s="74">
        <v>200999</v>
      </c>
      <c r="B3718" s="75" t="s">
        <v>232</v>
      </c>
      <c r="C3718" s="75" t="s">
        <v>3701</v>
      </c>
      <c r="D3718" s="76">
        <v>46140</v>
      </c>
      <c r="E3718" s="75" t="s">
        <v>347</v>
      </c>
      <c r="F3718" s="74">
        <v>130.16</v>
      </c>
      <c r="G3718" s="75" t="s">
        <v>583</v>
      </c>
      <c r="H3718" s="77" t="str">
        <f>VLOOKUP(DESPESAS[[#This Row],[Plano de Contas]],BASE!$B$3:$D$119,3,FALSE)</f>
        <v>Multas de Trânsito</v>
      </c>
      <c r="I3718" s="77" t="str">
        <f>IFERROR(VLOOKUP(DESPESAS[[#This Row],[Fornecedor]],Tabela2[],2,FALSE),"")</f>
        <v/>
      </c>
      <c r="J3718" s="77" t="str">
        <f>IFERROR(VLOOKUP(DESPESAS[[#This Row],[Plano de Contas]],BASE!$B$3:$F$119,4,FALSE),"")</f>
        <v>6 - DESPESA COM VENDAS</v>
      </c>
      <c r="K3718" s="77" t="str">
        <f>IFERROR(VLOOKUP(DESPESAS[[#This Row],[Plano de Contas]],BASE!$B$3:$H$119,5,FALSE),"")</f>
        <v>LOGÍSTICA</v>
      </c>
      <c r="L3718" s="77">
        <f>IFERROR(VLOOKUP(DESPESAS[[#This Row],[Plano de Contas]],BASE!$B$3:$H$119,6,FALSE),"")</f>
        <v>0</v>
      </c>
      <c r="M3718" s="77" t="str">
        <f>VLOOKUP(DESPESAS[[#This Row],[Plano de Contas]],BASE!$B$3:$H$119,7,FALSE)</f>
        <v>MYLENA</v>
      </c>
    </row>
    <row r="3719" spans="1:13" x14ac:dyDescent="0.25">
      <c r="A3719" s="74">
        <v>201000</v>
      </c>
      <c r="B3719" s="75" t="s">
        <v>221</v>
      </c>
      <c r="C3719" s="75" t="s">
        <v>3702</v>
      </c>
      <c r="D3719" s="76">
        <v>46141</v>
      </c>
      <c r="E3719" s="75" t="s">
        <v>239</v>
      </c>
      <c r="F3719" s="74">
        <v>37.5</v>
      </c>
      <c r="G3719" s="75" t="s">
        <v>238</v>
      </c>
      <c r="H3719" s="77" t="str">
        <f>VLOOKUP(DESPESAS[[#This Row],[Plano de Contas]],BASE!$B$3:$D$119,3,FALSE)</f>
        <v>Consultoria Comercial</v>
      </c>
      <c r="I3719" s="77" t="str">
        <f>IFERROR(VLOOKUP(DESPESAS[[#This Row],[Fornecedor]],Tabela2[],2,FALSE),"")</f>
        <v/>
      </c>
      <c r="J3719" s="77" t="str">
        <f>IFERROR(VLOOKUP(DESPESAS[[#This Row],[Plano de Contas]],BASE!$B$3:$F$119,4,FALSE),"")</f>
        <v>6 - DESPESA COM VENDAS</v>
      </c>
      <c r="K3719" s="77" t="str">
        <f>IFERROR(VLOOKUP(DESPESAS[[#This Row],[Plano de Contas]],BASE!$B$3:$H$119,5,FALSE),"")</f>
        <v>COMERCIAL</v>
      </c>
      <c r="L3719" s="77">
        <f>IFERROR(VLOOKUP(DESPESAS[[#This Row],[Plano de Contas]],BASE!$B$3:$H$119,6,FALSE),"")</f>
        <v>0</v>
      </c>
      <c r="M3719" s="77" t="str">
        <f>VLOOKUP(DESPESAS[[#This Row],[Plano de Contas]],BASE!$B$3:$H$119,7,FALSE)</f>
        <v>LETÍCIA</v>
      </c>
    </row>
    <row r="3720" spans="1:13" x14ac:dyDescent="0.25">
      <c r="A3720" s="74">
        <v>201001</v>
      </c>
      <c r="B3720" s="75" t="s">
        <v>232</v>
      </c>
      <c r="C3720" s="75" t="s">
        <v>3703</v>
      </c>
      <c r="D3720" s="76">
        <v>46140</v>
      </c>
      <c r="E3720" s="75" t="s">
        <v>230</v>
      </c>
      <c r="F3720" s="74">
        <v>15.01</v>
      </c>
      <c r="G3720" s="75" t="s">
        <v>236</v>
      </c>
      <c r="H3720" s="77" t="str">
        <f>VLOOKUP(DESPESAS[[#This Row],[Plano de Contas]],BASE!$B$3:$D$119,3,FALSE)</f>
        <v>Despesas de Cobranca</v>
      </c>
      <c r="I3720" s="77" t="str">
        <f>IFERROR(VLOOKUP(DESPESAS[[#This Row],[Fornecedor]],Tabela2[],2,FALSE),"")</f>
        <v/>
      </c>
      <c r="J3720" s="77" t="str">
        <f>IFERROR(VLOOKUP(DESPESAS[[#This Row],[Plano de Contas]],BASE!$B$3:$F$119,4,FALSE),"")</f>
        <v>8 - DESPESAS FINANCEIRAS</v>
      </c>
      <c r="K3720" s="77" t="str">
        <f>IFERROR(VLOOKUP(DESPESAS[[#This Row],[Plano de Contas]],BASE!$B$3:$H$119,5,FALSE),"")</f>
        <v>FINANCEIRO</v>
      </c>
      <c r="L3720" s="77">
        <f>IFERROR(VLOOKUP(DESPESAS[[#This Row],[Plano de Contas]],BASE!$B$3:$H$119,6,FALSE),"")</f>
        <v>0</v>
      </c>
      <c r="M3720" s="77" t="str">
        <f>VLOOKUP(DESPESAS[[#This Row],[Plano de Contas]],BASE!$B$3:$H$119,7,FALSE)</f>
        <v>LETÍCIA</v>
      </c>
    </row>
    <row r="3721" spans="1:13" x14ac:dyDescent="0.25">
      <c r="A3721" s="74">
        <v>201002</v>
      </c>
      <c r="B3721" s="75" t="s">
        <v>279</v>
      </c>
      <c r="C3721" s="75" t="s">
        <v>3704</v>
      </c>
      <c r="D3721" s="76">
        <v>46140</v>
      </c>
      <c r="E3721" s="75" t="s">
        <v>230</v>
      </c>
      <c r="F3721" s="74">
        <v>3.16</v>
      </c>
      <c r="G3721" s="75" t="s">
        <v>236</v>
      </c>
      <c r="H3721" s="77" t="str">
        <f>VLOOKUP(DESPESAS[[#This Row],[Plano de Contas]],BASE!$B$3:$D$119,3,FALSE)</f>
        <v>Despesas de Cobranca</v>
      </c>
      <c r="I3721" s="77" t="str">
        <f>IFERROR(VLOOKUP(DESPESAS[[#This Row],[Fornecedor]],Tabela2[],2,FALSE),"")</f>
        <v/>
      </c>
      <c r="J3721" s="77" t="str">
        <f>IFERROR(VLOOKUP(DESPESAS[[#This Row],[Plano de Contas]],BASE!$B$3:$F$119,4,FALSE),"")</f>
        <v>8 - DESPESAS FINANCEIRAS</v>
      </c>
      <c r="K3721" s="77" t="str">
        <f>IFERROR(VLOOKUP(DESPESAS[[#This Row],[Plano de Contas]],BASE!$B$3:$H$119,5,FALSE),"")</f>
        <v>FINANCEIRO</v>
      </c>
      <c r="L3721" s="77">
        <f>IFERROR(VLOOKUP(DESPESAS[[#This Row],[Plano de Contas]],BASE!$B$3:$H$119,6,FALSE),"")</f>
        <v>0</v>
      </c>
      <c r="M3721" s="77" t="str">
        <f>VLOOKUP(DESPESAS[[#This Row],[Plano de Contas]],BASE!$B$3:$H$119,7,FALSE)</f>
        <v>LETÍCIA</v>
      </c>
    </row>
    <row r="3722" spans="1:13" x14ac:dyDescent="0.25">
      <c r="A3722" s="74">
        <v>201003</v>
      </c>
      <c r="B3722" s="75" t="s">
        <v>232</v>
      </c>
      <c r="C3722" s="75" t="s">
        <v>3705</v>
      </c>
      <c r="D3722" s="76">
        <v>46141</v>
      </c>
      <c r="E3722" s="75" t="s">
        <v>230</v>
      </c>
      <c r="F3722" s="74">
        <v>3.95</v>
      </c>
      <c r="G3722" s="75" t="s">
        <v>229</v>
      </c>
      <c r="H3722" s="77" t="str">
        <f>VLOOKUP(DESPESAS[[#This Row],[Plano de Contas]],BASE!$B$3:$D$119,3,FALSE)</f>
        <v>Despesas Bancarias</v>
      </c>
      <c r="I3722" s="77" t="str">
        <f>IFERROR(VLOOKUP(DESPESAS[[#This Row],[Fornecedor]],Tabela2[],2,FALSE),"")</f>
        <v/>
      </c>
      <c r="J3722" s="77" t="str">
        <f>IFERROR(VLOOKUP(DESPESAS[[#This Row],[Plano de Contas]],BASE!$B$3:$F$119,4,FALSE),"")</f>
        <v>8 - DESPESAS FINANCEIRAS</v>
      </c>
      <c r="K3722" s="77" t="str">
        <f>IFERROR(VLOOKUP(DESPESAS[[#This Row],[Plano de Contas]],BASE!$B$3:$H$119,5,FALSE),"")</f>
        <v>FINANCEIRO</v>
      </c>
      <c r="L3722" s="77">
        <f>IFERROR(VLOOKUP(DESPESAS[[#This Row],[Plano de Contas]],BASE!$B$3:$H$119,6,FALSE),"")</f>
        <v>0</v>
      </c>
      <c r="M3722" s="77" t="str">
        <f>VLOOKUP(DESPESAS[[#This Row],[Plano de Contas]],BASE!$B$3:$H$119,7,FALSE)</f>
        <v>LETÍCIA</v>
      </c>
    </row>
    <row r="3723" spans="1:13" x14ac:dyDescent="0.25">
      <c r="A3723" s="74">
        <v>201004</v>
      </c>
      <c r="B3723" s="75" t="s">
        <v>232</v>
      </c>
      <c r="C3723" s="75" t="s">
        <v>3706</v>
      </c>
      <c r="D3723" s="76">
        <v>46140</v>
      </c>
      <c r="E3723" s="75" t="s">
        <v>230</v>
      </c>
      <c r="F3723" s="74">
        <v>5</v>
      </c>
      <c r="G3723" s="75" t="s">
        <v>229</v>
      </c>
      <c r="H3723" s="77" t="str">
        <f>VLOOKUP(DESPESAS[[#This Row],[Plano de Contas]],BASE!$B$3:$D$119,3,FALSE)</f>
        <v>Despesas Bancarias</v>
      </c>
      <c r="I3723" s="77" t="str">
        <f>IFERROR(VLOOKUP(DESPESAS[[#This Row],[Fornecedor]],Tabela2[],2,FALSE),"")</f>
        <v/>
      </c>
      <c r="J3723" s="77" t="str">
        <f>IFERROR(VLOOKUP(DESPESAS[[#This Row],[Plano de Contas]],BASE!$B$3:$F$119,4,FALSE),"")</f>
        <v>8 - DESPESAS FINANCEIRAS</v>
      </c>
      <c r="K3723" s="77" t="str">
        <f>IFERROR(VLOOKUP(DESPESAS[[#This Row],[Plano de Contas]],BASE!$B$3:$H$119,5,FALSE),"")</f>
        <v>FINANCEIRO</v>
      </c>
      <c r="L3723" s="77">
        <f>IFERROR(VLOOKUP(DESPESAS[[#This Row],[Plano de Contas]],BASE!$B$3:$H$119,6,FALSE),"")</f>
        <v>0</v>
      </c>
      <c r="M3723" s="77" t="str">
        <f>VLOOKUP(DESPESAS[[#This Row],[Plano de Contas]],BASE!$B$3:$H$119,7,FALSE)</f>
        <v>LETÍCIA</v>
      </c>
    </row>
    <row r="3724" spans="1:13" x14ac:dyDescent="0.25">
      <c r="A3724" s="74">
        <v>201005</v>
      </c>
      <c r="B3724" s="75" t="s">
        <v>221</v>
      </c>
      <c r="C3724" s="75" t="s">
        <v>3707</v>
      </c>
      <c r="D3724" s="76">
        <v>46140</v>
      </c>
      <c r="E3724" s="75" t="s">
        <v>575</v>
      </c>
      <c r="F3724" s="74">
        <v>1.9</v>
      </c>
      <c r="G3724" s="75" t="s">
        <v>236</v>
      </c>
      <c r="H3724" s="77" t="str">
        <f>VLOOKUP(DESPESAS[[#This Row],[Plano de Contas]],BASE!$B$3:$D$119,3,FALSE)</f>
        <v>Despesas de Cobranca</v>
      </c>
      <c r="I3724" s="77" t="str">
        <f>IFERROR(VLOOKUP(DESPESAS[[#This Row],[Fornecedor]],Tabela2[],2,FALSE),"")</f>
        <v/>
      </c>
      <c r="J3724" s="77" t="str">
        <f>IFERROR(VLOOKUP(DESPESAS[[#This Row],[Plano de Contas]],BASE!$B$3:$F$119,4,FALSE),"")</f>
        <v>8 - DESPESAS FINANCEIRAS</v>
      </c>
      <c r="K3724" s="77" t="str">
        <f>IFERROR(VLOOKUP(DESPESAS[[#This Row],[Plano de Contas]],BASE!$B$3:$H$119,5,FALSE),"")</f>
        <v>FINANCEIRO</v>
      </c>
      <c r="L3724" s="77">
        <f>IFERROR(VLOOKUP(DESPESAS[[#This Row],[Plano de Contas]],BASE!$B$3:$H$119,6,FALSE),"")</f>
        <v>0</v>
      </c>
      <c r="M3724" s="77" t="str">
        <f>VLOOKUP(DESPESAS[[#This Row],[Plano de Contas]],BASE!$B$3:$H$119,7,FALSE)</f>
        <v>LETÍCIA</v>
      </c>
    </row>
    <row r="3725" spans="1:13" x14ac:dyDescent="0.25">
      <c r="A3725" s="74">
        <v>201006</v>
      </c>
      <c r="B3725" s="75" t="s">
        <v>232</v>
      </c>
      <c r="C3725" s="75" t="s">
        <v>3708</v>
      </c>
      <c r="D3725" s="76">
        <v>46141</v>
      </c>
      <c r="E3725" s="75" t="s">
        <v>2567</v>
      </c>
      <c r="F3725" s="74">
        <v>3991.56</v>
      </c>
      <c r="G3725" s="75" t="s">
        <v>225</v>
      </c>
      <c r="H3725" s="77" t="str">
        <f>VLOOKUP(DESPESAS[[#This Row],[Plano de Contas]],BASE!$B$3:$D$119,3,FALSE)</f>
        <v>Despesas de Outros Gastos Não Operacionais</v>
      </c>
      <c r="I3725" s="77" t="str">
        <f>IFERROR(VLOOKUP(DESPESAS[[#This Row],[Fornecedor]],Tabela2[],2,FALSE),"")</f>
        <v/>
      </c>
      <c r="J3725" s="77" t="str">
        <f>IFERROR(VLOOKUP(DESPESAS[[#This Row],[Plano de Contas]],BASE!$B$3:$F$119,4,FALSE),"")</f>
        <v>8 - DESPESAS FINANCEIRAS</v>
      </c>
      <c r="K3725" s="77" t="str">
        <f>IFERROR(VLOOKUP(DESPESAS[[#This Row],[Plano de Contas]],BASE!$B$3:$H$119,5,FALSE),"")</f>
        <v>FINANCEIRO</v>
      </c>
      <c r="L3725" s="77">
        <f>IFERROR(VLOOKUP(DESPESAS[[#This Row],[Plano de Contas]],BASE!$B$3:$H$119,6,FALSE),"")</f>
        <v>0</v>
      </c>
      <c r="M3725" s="77" t="str">
        <f>VLOOKUP(DESPESAS[[#This Row],[Plano de Contas]],BASE!$B$3:$H$119,7,FALSE)</f>
        <v>LETÍCIA</v>
      </c>
    </row>
    <row r="3726" spans="1:13" x14ac:dyDescent="0.25">
      <c r="A3726" s="74">
        <v>201007</v>
      </c>
      <c r="B3726" s="75" t="s">
        <v>221</v>
      </c>
      <c r="C3726" s="75" t="s">
        <v>3709</v>
      </c>
      <c r="D3726" s="76">
        <v>46141</v>
      </c>
      <c r="E3726" s="75" t="s">
        <v>239</v>
      </c>
      <c r="F3726" s="74">
        <v>161.55000000000001</v>
      </c>
      <c r="G3726" s="75" t="s">
        <v>238</v>
      </c>
      <c r="H3726" s="77" t="str">
        <f>VLOOKUP(DESPESAS[[#This Row],[Plano de Contas]],BASE!$B$3:$D$119,3,FALSE)</f>
        <v>Consultoria Comercial</v>
      </c>
      <c r="I3726" s="77" t="str">
        <f>IFERROR(VLOOKUP(DESPESAS[[#This Row],[Fornecedor]],Tabela2[],2,FALSE),"")</f>
        <v/>
      </c>
      <c r="J3726" s="77" t="str">
        <f>IFERROR(VLOOKUP(DESPESAS[[#This Row],[Plano de Contas]],BASE!$B$3:$F$119,4,FALSE),"")</f>
        <v>6 - DESPESA COM VENDAS</v>
      </c>
      <c r="K3726" s="77" t="str">
        <f>IFERROR(VLOOKUP(DESPESAS[[#This Row],[Plano de Contas]],BASE!$B$3:$H$119,5,FALSE),"")</f>
        <v>COMERCIAL</v>
      </c>
      <c r="L3726" s="77">
        <f>IFERROR(VLOOKUP(DESPESAS[[#This Row],[Plano de Contas]],BASE!$B$3:$H$119,6,FALSE),"")</f>
        <v>0</v>
      </c>
      <c r="M3726" s="77" t="str">
        <f>VLOOKUP(DESPESAS[[#This Row],[Plano de Contas]],BASE!$B$3:$H$119,7,FALSE)</f>
        <v>LETÍCIA</v>
      </c>
    </row>
    <row r="3727" spans="1:13" x14ac:dyDescent="0.25">
      <c r="A3727" s="74">
        <v>201008</v>
      </c>
      <c r="B3727" s="75" t="s">
        <v>686</v>
      </c>
      <c r="C3727" s="75" t="s">
        <v>3710</v>
      </c>
      <c r="D3727" s="76">
        <v>46141</v>
      </c>
      <c r="E3727" s="75" t="s">
        <v>1345</v>
      </c>
      <c r="F3727" s="74">
        <v>303</v>
      </c>
      <c r="G3727" s="75" t="s">
        <v>374</v>
      </c>
      <c r="H3727" s="77" t="str">
        <f>VLOOKUP(DESPESAS[[#This Row],[Plano de Contas]],BASE!$B$3:$D$119,3,FALSE)</f>
        <v>Consultoria Empresarial</v>
      </c>
      <c r="I3727" s="77" t="str">
        <f>IFERROR(VLOOKUP(DESPESAS[[#This Row],[Fornecedor]],Tabela2[],2,FALSE),"")</f>
        <v/>
      </c>
      <c r="J3727" s="77" t="str">
        <f>IFERROR(VLOOKUP(DESPESAS[[#This Row],[Plano de Contas]],BASE!$B$3:$F$119,4,FALSE),"")</f>
        <v>7 - SERVIÇOS DE TERCEIROS</v>
      </c>
      <c r="K3727" s="77" t="str">
        <f>IFERROR(VLOOKUP(DESPESAS[[#This Row],[Plano de Contas]],BASE!$B$3:$H$119,5,FALSE),"")</f>
        <v>FINANCEIRO</v>
      </c>
      <c r="L3727" s="77">
        <f>IFERROR(VLOOKUP(DESPESAS[[#This Row],[Plano de Contas]],BASE!$B$3:$H$119,6,FALSE),"")</f>
        <v>0</v>
      </c>
      <c r="M3727" s="77" t="str">
        <f>VLOOKUP(DESPESAS[[#This Row],[Plano de Contas]],BASE!$B$3:$H$119,7,FALSE)</f>
        <v>LETÍCIA</v>
      </c>
    </row>
    <row r="3728" spans="1:13" x14ac:dyDescent="0.25">
      <c r="A3728" s="74">
        <v>201010</v>
      </c>
      <c r="B3728" s="75" t="s">
        <v>232</v>
      </c>
      <c r="C3728" s="75" t="s">
        <v>3711</v>
      </c>
      <c r="D3728" s="76">
        <v>46141</v>
      </c>
      <c r="E3728" s="75" t="s">
        <v>347</v>
      </c>
      <c r="F3728" s="74">
        <v>130.16</v>
      </c>
      <c r="G3728" s="75" t="s">
        <v>583</v>
      </c>
      <c r="H3728" s="77" t="str">
        <f>VLOOKUP(DESPESAS[[#This Row],[Plano de Contas]],BASE!$B$3:$D$119,3,FALSE)</f>
        <v>Multas de Trânsito</v>
      </c>
      <c r="I3728" s="77" t="str">
        <f>IFERROR(VLOOKUP(DESPESAS[[#This Row],[Fornecedor]],Tabela2[],2,FALSE),"")</f>
        <v/>
      </c>
      <c r="J3728" s="77" t="str">
        <f>IFERROR(VLOOKUP(DESPESAS[[#This Row],[Plano de Contas]],BASE!$B$3:$F$119,4,FALSE),"")</f>
        <v>6 - DESPESA COM VENDAS</v>
      </c>
      <c r="K3728" s="77" t="str">
        <f>IFERROR(VLOOKUP(DESPESAS[[#This Row],[Plano de Contas]],BASE!$B$3:$H$119,5,FALSE),"")</f>
        <v>LOGÍSTICA</v>
      </c>
      <c r="L3728" s="77">
        <f>IFERROR(VLOOKUP(DESPESAS[[#This Row],[Plano de Contas]],BASE!$B$3:$H$119,6,FALSE),"")</f>
        <v>0</v>
      </c>
      <c r="M3728" s="77" t="str">
        <f>VLOOKUP(DESPESAS[[#This Row],[Plano de Contas]],BASE!$B$3:$H$119,7,FALSE)</f>
        <v>MYLENA</v>
      </c>
    </row>
    <row r="3729" spans="1:13" x14ac:dyDescent="0.25">
      <c r="A3729" s="74">
        <v>201011</v>
      </c>
      <c r="B3729" s="75" t="s">
        <v>232</v>
      </c>
      <c r="C3729" s="75" t="s">
        <v>3712</v>
      </c>
      <c r="D3729" s="76">
        <v>46141</v>
      </c>
      <c r="E3729" s="75" t="s">
        <v>347</v>
      </c>
      <c r="F3729" s="74">
        <v>130.16</v>
      </c>
      <c r="G3729" s="75" t="s">
        <v>583</v>
      </c>
      <c r="H3729" s="77" t="str">
        <f>VLOOKUP(DESPESAS[[#This Row],[Plano de Contas]],BASE!$B$3:$D$119,3,FALSE)</f>
        <v>Multas de Trânsito</v>
      </c>
      <c r="I3729" s="77" t="str">
        <f>IFERROR(VLOOKUP(DESPESAS[[#This Row],[Fornecedor]],Tabela2[],2,FALSE),"")</f>
        <v/>
      </c>
      <c r="J3729" s="77" t="str">
        <f>IFERROR(VLOOKUP(DESPESAS[[#This Row],[Plano de Contas]],BASE!$B$3:$F$119,4,FALSE),"")</f>
        <v>6 - DESPESA COM VENDAS</v>
      </c>
      <c r="K3729" s="77" t="str">
        <f>IFERROR(VLOOKUP(DESPESAS[[#This Row],[Plano de Contas]],BASE!$B$3:$H$119,5,FALSE),"")</f>
        <v>LOGÍSTICA</v>
      </c>
      <c r="L3729" s="77">
        <f>IFERROR(VLOOKUP(DESPESAS[[#This Row],[Plano de Contas]],BASE!$B$3:$H$119,6,FALSE),"")</f>
        <v>0</v>
      </c>
      <c r="M3729" s="77" t="str">
        <f>VLOOKUP(DESPESAS[[#This Row],[Plano de Contas]],BASE!$B$3:$H$119,7,FALSE)</f>
        <v>MYLENA</v>
      </c>
    </row>
    <row r="3730" spans="1:13" x14ac:dyDescent="0.25">
      <c r="A3730" s="74">
        <v>201012</v>
      </c>
      <c r="B3730" s="75" t="s">
        <v>281</v>
      </c>
      <c r="C3730" s="75" t="s">
        <v>3713</v>
      </c>
      <c r="D3730" s="76">
        <v>46141</v>
      </c>
      <c r="E3730" s="75" t="s">
        <v>1544</v>
      </c>
      <c r="F3730" s="74">
        <v>214.21</v>
      </c>
      <c r="G3730" s="75" t="s">
        <v>225</v>
      </c>
      <c r="H3730" s="77" t="str">
        <f>VLOOKUP(DESPESAS[[#This Row],[Plano de Contas]],BASE!$B$3:$D$119,3,FALSE)</f>
        <v>Despesas de Outros Gastos Não Operacionais</v>
      </c>
      <c r="I3730" s="77" t="str">
        <f>IFERROR(VLOOKUP(DESPESAS[[#This Row],[Fornecedor]],Tabela2[],2,FALSE),"")</f>
        <v/>
      </c>
      <c r="J3730" s="77" t="str">
        <f>IFERROR(VLOOKUP(DESPESAS[[#This Row],[Plano de Contas]],BASE!$B$3:$F$119,4,FALSE),"")</f>
        <v>8 - DESPESAS FINANCEIRAS</v>
      </c>
      <c r="K3730" s="77" t="str">
        <f>IFERROR(VLOOKUP(DESPESAS[[#This Row],[Plano de Contas]],BASE!$B$3:$H$119,5,FALSE),"")</f>
        <v>FINANCEIRO</v>
      </c>
      <c r="L3730" s="77">
        <f>IFERROR(VLOOKUP(DESPESAS[[#This Row],[Plano de Contas]],BASE!$B$3:$H$119,6,FALSE),"")</f>
        <v>0</v>
      </c>
      <c r="M3730" s="77" t="str">
        <f>VLOOKUP(DESPESAS[[#This Row],[Plano de Contas]],BASE!$B$3:$H$119,7,FALSE)</f>
        <v>LETÍCIA</v>
      </c>
    </row>
    <row r="3731" spans="1:13" x14ac:dyDescent="0.25">
      <c r="A3731" s="74">
        <v>201013</v>
      </c>
      <c r="B3731" s="75" t="s">
        <v>221</v>
      </c>
      <c r="C3731" s="75" t="s">
        <v>3678</v>
      </c>
      <c r="D3731" s="76">
        <v>46140</v>
      </c>
      <c r="E3731" s="75" t="s">
        <v>320</v>
      </c>
      <c r="F3731" s="74">
        <v>284</v>
      </c>
      <c r="G3731" s="75" t="s">
        <v>222</v>
      </c>
      <c r="H3731" s="77" t="str">
        <f>VLOOKUP(DESPESAS[[#This Row],[Plano de Contas]],BASE!$B$3:$D$119,3,FALSE)</f>
        <v>Alimentação</v>
      </c>
      <c r="I3731" s="77" t="str">
        <f>IFERROR(VLOOKUP(DESPESAS[[#This Row],[Fornecedor]],Tabela2[],2,FALSE),"")</f>
        <v/>
      </c>
      <c r="J3731" s="77" t="str">
        <f>IFERROR(VLOOKUP(DESPESAS[[#This Row],[Plano de Contas]],BASE!$B$3:$F$119,4,FALSE),"")</f>
        <v>5 - DESPESAS ADMINISTRATIVAS</v>
      </c>
      <c r="K3731" s="77" t="str">
        <f>IFERROR(VLOOKUP(DESPESAS[[#This Row],[Plano de Contas]],BASE!$B$3:$H$119,5,FALSE),"")</f>
        <v>FINANCEIRO</v>
      </c>
      <c r="L3731" s="77">
        <f>IFERROR(VLOOKUP(DESPESAS[[#This Row],[Plano de Contas]],BASE!$B$3:$H$119,6,FALSE),"")</f>
        <v>0</v>
      </c>
      <c r="M3731" s="77" t="str">
        <f>VLOOKUP(DESPESAS[[#This Row],[Plano de Contas]],BASE!$B$3:$H$119,7,FALSE)</f>
        <v>MYLENA</v>
      </c>
    </row>
    <row r="3732" spans="1:13" x14ac:dyDescent="0.25">
      <c r="A3732" s="74">
        <v>201014</v>
      </c>
      <c r="B3732" s="75" t="s">
        <v>279</v>
      </c>
      <c r="C3732" s="75" t="s">
        <v>3714</v>
      </c>
      <c r="D3732" s="76">
        <v>46141</v>
      </c>
      <c r="E3732" s="75" t="s">
        <v>230</v>
      </c>
      <c r="F3732" s="74">
        <v>2.94</v>
      </c>
      <c r="G3732" s="75" t="s">
        <v>251</v>
      </c>
      <c r="H3732" s="77" t="str">
        <f>VLOOKUP(DESPESAS[[#This Row],[Plano de Contas]],BASE!$B$3:$D$119,3,FALSE)</f>
        <v>Juros Pagos - Antecipação de Crédito</v>
      </c>
      <c r="I3732" s="77" t="str">
        <f>IFERROR(VLOOKUP(DESPESAS[[#This Row],[Fornecedor]],Tabela2[],2,FALSE),"")</f>
        <v/>
      </c>
      <c r="J3732" s="77" t="str">
        <f>IFERROR(VLOOKUP(DESPESAS[[#This Row],[Plano de Contas]],BASE!$B$3:$F$119,4,FALSE),"")</f>
        <v>8 - DESPESAS FINANCEIRAS</v>
      </c>
      <c r="K3732" s="77" t="str">
        <f>IFERROR(VLOOKUP(DESPESAS[[#This Row],[Plano de Contas]],BASE!$B$3:$H$119,5,FALSE),"")</f>
        <v>FINANCEIRO</v>
      </c>
      <c r="L3732" s="77">
        <f>IFERROR(VLOOKUP(DESPESAS[[#This Row],[Plano de Contas]],BASE!$B$3:$H$119,6,FALSE),"")</f>
        <v>0</v>
      </c>
      <c r="M3732" s="77" t="str">
        <f>VLOOKUP(DESPESAS[[#This Row],[Plano de Contas]],BASE!$B$3:$H$119,7,FALSE)</f>
        <v>LETÍCIA</v>
      </c>
    </row>
    <row r="3733" spans="1:13" x14ac:dyDescent="0.25">
      <c r="A3733" s="74">
        <v>201015</v>
      </c>
      <c r="B3733" s="75" t="s">
        <v>279</v>
      </c>
      <c r="C3733" s="75" t="s">
        <v>3715</v>
      </c>
      <c r="D3733" s="76">
        <v>46141</v>
      </c>
      <c r="E3733" s="75" t="s">
        <v>230</v>
      </c>
      <c r="F3733" s="74">
        <v>0.28999999999999998</v>
      </c>
      <c r="G3733" s="75" t="s">
        <v>229</v>
      </c>
      <c r="H3733" s="77" t="str">
        <f>VLOOKUP(DESPESAS[[#This Row],[Plano de Contas]],BASE!$B$3:$D$119,3,FALSE)</f>
        <v>Despesas Bancarias</v>
      </c>
      <c r="I3733" s="77" t="str">
        <f>IFERROR(VLOOKUP(DESPESAS[[#This Row],[Fornecedor]],Tabela2[],2,FALSE),"")</f>
        <v/>
      </c>
      <c r="J3733" s="77" t="str">
        <f>IFERROR(VLOOKUP(DESPESAS[[#This Row],[Plano de Contas]],BASE!$B$3:$F$119,4,FALSE),"")</f>
        <v>8 - DESPESAS FINANCEIRAS</v>
      </c>
      <c r="K3733" s="77" t="str">
        <f>IFERROR(VLOOKUP(DESPESAS[[#This Row],[Plano de Contas]],BASE!$B$3:$H$119,5,FALSE),"")</f>
        <v>FINANCEIRO</v>
      </c>
      <c r="L3733" s="77">
        <f>IFERROR(VLOOKUP(DESPESAS[[#This Row],[Plano de Contas]],BASE!$B$3:$H$119,6,FALSE),"")</f>
        <v>0</v>
      </c>
      <c r="M3733" s="77" t="str">
        <f>VLOOKUP(DESPESAS[[#This Row],[Plano de Contas]],BASE!$B$3:$H$119,7,FALSE)</f>
        <v>LETÍCIA</v>
      </c>
    </row>
    <row r="3734" spans="1:13" x14ac:dyDescent="0.25">
      <c r="A3734" s="74">
        <v>201016</v>
      </c>
      <c r="B3734" s="75" t="s">
        <v>221</v>
      </c>
      <c r="C3734" s="75" t="s">
        <v>3716</v>
      </c>
      <c r="D3734" s="76">
        <v>46139</v>
      </c>
      <c r="E3734" s="75" t="s">
        <v>347</v>
      </c>
      <c r="F3734" s="74">
        <v>573</v>
      </c>
      <c r="G3734" s="75" t="s">
        <v>374</v>
      </c>
      <c r="H3734" s="77" t="str">
        <f>VLOOKUP(DESPESAS[[#This Row],[Plano de Contas]],BASE!$B$3:$D$119,3,FALSE)</f>
        <v>Consultoria Empresarial</v>
      </c>
      <c r="I3734" s="77" t="str">
        <f>IFERROR(VLOOKUP(DESPESAS[[#This Row],[Fornecedor]],Tabela2[],2,FALSE),"")</f>
        <v/>
      </c>
      <c r="J3734" s="77" t="str">
        <f>IFERROR(VLOOKUP(DESPESAS[[#This Row],[Plano de Contas]],BASE!$B$3:$F$119,4,FALSE),"")</f>
        <v>7 - SERVIÇOS DE TERCEIROS</v>
      </c>
      <c r="K3734" s="77" t="str">
        <f>IFERROR(VLOOKUP(DESPESAS[[#This Row],[Plano de Contas]],BASE!$B$3:$H$119,5,FALSE),"")</f>
        <v>FINANCEIRO</v>
      </c>
      <c r="L3734" s="77">
        <f>IFERROR(VLOOKUP(DESPESAS[[#This Row],[Plano de Contas]],BASE!$B$3:$H$119,6,FALSE),"")</f>
        <v>0</v>
      </c>
      <c r="M3734" s="77" t="str">
        <f>VLOOKUP(DESPESAS[[#This Row],[Plano de Contas]],BASE!$B$3:$H$119,7,FALSE)</f>
        <v>LETÍCIA</v>
      </c>
    </row>
    <row r="3735" spans="1:13" x14ac:dyDescent="0.25">
      <c r="A3735" s="74">
        <v>201017</v>
      </c>
      <c r="B3735" s="75" t="s">
        <v>232</v>
      </c>
      <c r="C3735" s="75" t="s">
        <v>3717</v>
      </c>
      <c r="D3735" s="76">
        <v>46141</v>
      </c>
      <c r="E3735" s="75" t="s">
        <v>230</v>
      </c>
      <c r="F3735" s="74">
        <v>14.13</v>
      </c>
      <c r="G3735" s="75" t="s">
        <v>236</v>
      </c>
      <c r="H3735" s="77" t="str">
        <f>VLOOKUP(DESPESAS[[#This Row],[Plano de Contas]],BASE!$B$3:$D$119,3,FALSE)</f>
        <v>Despesas de Cobranca</v>
      </c>
      <c r="I3735" s="77" t="str">
        <f>IFERROR(VLOOKUP(DESPESAS[[#This Row],[Fornecedor]],Tabela2[],2,FALSE),"")</f>
        <v/>
      </c>
      <c r="J3735" s="77" t="str">
        <f>IFERROR(VLOOKUP(DESPESAS[[#This Row],[Plano de Contas]],BASE!$B$3:$F$119,4,FALSE),"")</f>
        <v>8 - DESPESAS FINANCEIRAS</v>
      </c>
      <c r="K3735" s="77" t="str">
        <f>IFERROR(VLOOKUP(DESPESAS[[#This Row],[Plano de Contas]],BASE!$B$3:$H$119,5,FALSE),"")</f>
        <v>FINANCEIRO</v>
      </c>
      <c r="L3735" s="77">
        <f>IFERROR(VLOOKUP(DESPESAS[[#This Row],[Plano de Contas]],BASE!$B$3:$H$119,6,FALSE),"")</f>
        <v>0</v>
      </c>
      <c r="M3735" s="77" t="str">
        <f>VLOOKUP(DESPESAS[[#This Row],[Plano de Contas]],BASE!$B$3:$H$119,7,FALSE)</f>
        <v>LETÍCIA</v>
      </c>
    </row>
    <row r="3736" spans="1:13" x14ac:dyDescent="0.25">
      <c r="A3736" s="74">
        <v>201018</v>
      </c>
      <c r="B3736" s="75" t="s">
        <v>232</v>
      </c>
      <c r="C3736" s="75" t="s">
        <v>3718</v>
      </c>
      <c r="D3736" s="76">
        <v>46141</v>
      </c>
      <c r="E3736" s="75" t="s">
        <v>1544</v>
      </c>
      <c r="F3736" s="74">
        <v>360</v>
      </c>
      <c r="G3736" s="75" t="s">
        <v>294</v>
      </c>
      <c r="H3736" s="77" t="str">
        <f>VLOOKUP(DESPESAS[[#This Row],[Plano de Contas]],BASE!$B$3:$D$119,3,FALSE)</f>
        <v>Insumos de Clientes</v>
      </c>
      <c r="I3736" s="77" t="str">
        <f>IFERROR(VLOOKUP(DESPESAS[[#This Row],[Fornecedor]],Tabela2[],2,FALSE),"")</f>
        <v/>
      </c>
      <c r="J3736" s="77" t="str">
        <f>IFERROR(VLOOKUP(DESPESAS[[#This Row],[Plano de Contas]],BASE!$B$3:$F$119,4,FALSE),"")</f>
        <v>8 - DESPESAS FINANCEIRAS</v>
      </c>
      <c r="K3736" s="77" t="str">
        <f>IFERROR(VLOOKUP(DESPESAS[[#This Row],[Plano de Contas]],BASE!$B$3:$H$119,5,FALSE),"")</f>
        <v>COMERCIAL</v>
      </c>
      <c r="L3736" s="77">
        <f>IFERROR(VLOOKUP(DESPESAS[[#This Row],[Plano de Contas]],BASE!$B$3:$H$119,6,FALSE),"")</f>
        <v>0</v>
      </c>
      <c r="M3736" s="77" t="str">
        <f>VLOOKUP(DESPESAS[[#This Row],[Plano de Contas]],BASE!$B$3:$H$119,7,FALSE)</f>
        <v>LETÍCIA</v>
      </c>
    </row>
    <row r="3737" spans="1:13" x14ac:dyDescent="0.25">
      <c r="A3737" s="74">
        <v>201019</v>
      </c>
      <c r="B3737" s="75" t="s">
        <v>232</v>
      </c>
      <c r="C3737" s="75" t="s">
        <v>3719</v>
      </c>
      <c r="D3737" s="76">
        <v>46141</v>
      </c>
      <c r="E3737" s="75" t="s">
        <v>230</v>
      </c>
      <c r="F3737" s="74">
        <v>1.4</v>
      </c>
      <c r="G3737" s="75" t="s">
        <v>229</v>
      </c>
      <c r="H3737" s="77" t="str">
        <f>VLOOKUP(DESPESAS[[#This Row],[Plano de Contas]],BASE!$B$3:$D$119,3,FALSE)</f>
        <v>Despesas Bancarias</v>
      </c>
      <c r="I3737" s="77" t="str">
        <f>IFERROR(VLOOKUP(DESPESAS[[#This Row],[Fornecedor]],Tabela2[],2,FALSE),"")</f>
        <v/>
      </c>
      <c r="J3737" s="77" t="str">
        <f>IFERROR(VLOOKUP(DESPESAS[[#This Row],[Plano de Contas]],BASE!$B$3:$F$119,4,FALSE),"")</f>
        <v>8 - DESPESAS FINANCEIRAS</v>
      </c>
      <c r="K3737" s="77" t="str">
        <f>IFERROR(VLOOKUP(DESPESAS[[#This Row],[Plano de Contas]],BASE!$B$3:$H$119,5,FALSE),"")</f>
        <v>FINANCEIRO</v>
      </c>
      <c r="L3737" s="77">
        <f>IFERROR(VLOOKUP(DESPESAS[[#This Row],[Plano de Contas]],BASE!$B$3:$H$119,6,FALSE),"")</f>
        <v>0</v>
      </c>
      <c r="M3737" s="77" t="str">
        <f>VLOOKUP(DESPESAS[[#This Row],[Plano de Contas]],BASE!$B$3:$H$119,7,FALSE)</f>
        <v>LETÍCIA</v>
      </c>
    </row>
    <row r="3738" spans="1:13" x14ac:dyDescent="0.25">
      <c r="A3738" s="74">
        <v>201020</v>
      </c>
      <c r="B3738" s="75" t="s">
        <v>232</v>
      </c>
      <c r="C3738" s="75" t="s">
        <v>3727</v>
      </c>
      <c r="D3738" s="76">
        <v>46141</v>
      </c>
      <c r="E3738" s="75" t="s">
        <v>230</v>
      </c>
      <c r="F3738" s="74">
        <v>150.19</v>
      </c>
      <c r="G3738" s="75" t="s">
        <v>229</v>
      </c>
      <c r="H3738" s="77" t="str">
        <f>VLOOKUP(DESPESAS[[#This Row],[Plano de Contas]],BASE!$B$3:$D$119,3,FALSE)</f>
        <v>Despesas Bancarias</v>
      </c>
      <c r="I3738" s="77" t="str">
        <f>IFERROR(VLOOKUP(DESPESAS[[#This Row],[Fornecedor]],Tabela2[],2,FALSE),"")</f>
        <v/>
      </c>
      <c r="J3738" s="77" t="str">
        <f>IFERROR(VLOOKUP(DESPESAS[[#This Row],[Plano de Contas]],BASE!$B$3:$F$119,4,FALSE),"")</f>
        <v>8 - DESPESAS FINANCEIRAS</v>
      </c>
      <c r="K3738" s="77" t="str">
        <f>IFERROR(VLOOKUP(DESPESAS[[#This Row],[Plano de Contas]],BASE!$B$3:$H$119,5,FALSE),"")</f>
        <v>FINANCEIRO</v>
      </c>
      <c r="L3738" s="77">
        <f>IFERROR(VLOOKUP(DESPESAS[[#This Row],[Plano de Contas]],BASE!$B$3:$H$119,6,FALSE),"")</f>
        <v>0</v>
      </c>
      <c r="M3738" s="77" t="str">
        <f>VLOOKUP(DESPESAS[[#This Row],[Plano de Contas]],BASE!$B$3:$H$119,7,FALSE)</f>
        <v>LETÍCIA</v>
      </c>
    </row>
    <row r="3739" spans="1:13" x14ac:dyDescent="0.25">
      <c r="A3739" s="74">
        <v>201021</v>
      </c>
      <c r="B3739" s="75" t="s">
        <v>232</v>
      </c>
      <c r="C3739" s="75" t="s">
        <v>3728</v>
      </c>
      <c r="D3739" s="76">
        <v>46141</v>
      </c>
      <c r="E3739" s="75" t="s">
        <v>230</v>
      </c>
      <c r="F3739" s="74">
        <v>230.03</v>
      </c>
      <c r="G3739" s="75" t="s">
        <v>229</v>
      </c>
      <c r="H3739" s="77" t="str">
        <f>VLOOKUP(DESPESAS[[#This Row],[Plano de Contas]],BASE!$B$3:$D$119,3,FALSE)</f>
        <v>Despesas Bancarias</v>
      </c>
      <c r="I3739" s="77" t="str">
        <f>IFERROR(VLOOKUP(DESPESAS[[#This Row],[Fornecedor]],Tabela2[],2,FALSE),"")</f>
        <v/>
      </c>
      <c r="J3739" s="77" t="str">
        <f>IFERROR(VLOOKUP(DESPESAS[[#This Row],[Plano de Contas]],BASE!$B$3:$F$119,4,FALSE),"")</f>
        <v>8 - DESPESAS FINANCEIRAS</v>
      </c>
      <c r="K3739" s="77" t="str">
        <f>IFERROR(VLOOKUP(DESPESAS[[#This Row],[Plano de Contas]],BASE!$B$3:$H$119,5,FALSE),"")</f>
        <v>FINANCEIRO</v>
      </c>
      <c r="L3739" s="77">
        <f>IFERROR(VLOOKUP(DESPESAS[[#This Row],[Plano de Contas]],BASE!$B$3:$H$119,6,FALSE),"")</f>
        <v>0</v>
      </c>
      <c r="M3739" s="77" t="str">
        <f>VLOOKUP(DESPESAS[[#This Row],[Plano de Contas]],BASE!$B$3:$H$119,7,FALSE)</f>
        <v>LETÍCIA</v>
      </c>
    </row>
    <row r="3740" spans="1:13" x14ac:dyDescent="0.25">
      <c r="A3740" s="74">
        <v>201022</v>
      </c>
      <c r="B3740" s="75" t="s">
        <v>232</v>
      </c>
      <c r="C3740" s="75" t="s">
        <v>3729</v>
      </c>
      <c r="D3740" s="76">
        <v>46141</v>
      </c>
      <c r="E3740" s="75" t="s">
        <v>230</v>
      </c>
      <c r="F3740" s="74">
        <v>889.05</v>
      </c>
      <c r="G3740" s="75" t="s">
        <v>251</v>
      </c>
      <c r="H3740" s="77" t="str">
        <f>VLOOKUP(DESPESAS[[#This Row],[Plano de Contas]],BASE!$B$3:$D$119,3,FALSE)</f>
        <v>Juros Pagos - Antecipação de Crédito</v>
      </c>
      <c r="I3740" s="77" t="str">
        <f>IFERROR(VLOOKUP(DESPESAS[[#This Row],[Fornecedor]],Tabela2[],2,FALSE),"")</f>
        <v/>
      </c>
      <c r="J3740" s="77" t="str">
        <f>IFERROR(VLOOKUP(DESPESAS[[#This Row],[Plano de Contas]],BASE!$B$3:$F$119,4,FALSE),"")</f>
        <v>8 - DESPESAS FINANCEIRAS</v>
      </c>
      <c r="K3740" s="77" t="str">
        <f>IFERROR(VLOOKUP(DESPESAS[[#This Row],[Plano de Contas]],BASE!$B$3:$H$119,5,FALSE),"")</f>
        <v>FINANCEIRO</v>
      </c>
      <c r="L3740" s="77">
        <f>IFERROR(VLOOKUP(DESPESAS[[#This Row],[Plano de Contas]],BASE!$B$3:$H$119,6,FALSE),"")</f>
        <v>0</v>
      </c>
      <c r="M3740" s="77" t="str">
        <f>VLOOKUP(DESPESAS[[#This Row],[Plano de Contas]],BASE!$B$3:$H$119,7,FALSE)</f>
        <v>LETÍCIA</v>
      </c>
    </row>
    <row r="3741" spans="1:13" x14ac:dyDescent="0.25">
      <c r="A3741" s="74">
        <v>201026</v>
      </c>
      <c r="B3741" s="75" t="s">
        <v>232</v>
      </c>
      <c r="C3741" s="75" t="s">
        <v>3730</v>
      </c>
      <c r="D3741" s="76">
        <v>46142</v>
      </c>
      <c r="E3741" s="75" t="s">
        <v>891</v>
      </c>
      <c r="F3741" s="74">
        <v>781.55</v>
      </c>
      <c r="G3741" s="75" t="s">
        <v>276</v>
      </c>
      <c r="H3741" s="77" t="str">
        <f>VLOOKUP(DESPESAS[[#This Row],[Plano de Contas]],BASE!$B$3:$D$119,3,FALSE)</f>
        <v>Férias MOD</v>
      </c>
      <c r="I3741" s="77" t="str">
        <f>IFERROR(VLOOKUP(DESPESAS[[#This Row],[Fornecedor]],Tabela2[],2,FALSE),"")</f>
        <v/>
      </c>
      <c r="J3741" s="77" t="str">
        <f>IFERROR(VLOOKUP(DESPESAS[[#This Row],[Plano de Contas]],BASE!$B$3:$F$119,4,FALSE),"")</f>
        <v>2 - CUSTOS DIRETOS</v>
      </c>
      <c r="K3741" s="77" t="str">
        <f>IFERROR(VLOOKUP(DESPESAS[[#This Row],[Plano de Contas]],BASE!$B$3:$H$119,5,FALSE),"")</f>
        <v>DH</v>
      </c>
      <c r="L3741" s="77" t="str">
        <f>IFERROR(VLOOKUP(DESPESAS[[#This Row],[Plano de Contas]],BASE!$B$3:$H$119,6,FALSE),"")</f>
        <v>CUSTO MÃO DE OBRA DIRETA</v>
      </c>
      <c r="M3741" s="77" t="str">
        <f>VLOOKUP(DESPESAS[[#This Row],[Plano de Contas]],BASE!$B$3:$H$119,7,FALSE)</f>
        <v>RAFAEL</v>
      </c>
    </row>
    <row r="3742" spans="1:13" x14ac:dyDescent="0.25">
      <c r="A3742" s="74">
        <v>201032</v>
      </c>
      <c r="B3742" s="75" t="s">
        <v>279</v>
      </c>
      <c r="C3742" s="75" t="s">
        <v>3730</v>
      </c>
      <c r="D3742" s="76">
        <v>46142</v>
      </c>
      <c r="E3742" s="75" t="s">
        <v>920</v>
      </c>
      <c r="F3742" s="74">
        <v>733.86</v>
      </c>
      <c r="G3742" s="75" t="s">
        <v>276</v>
      </c>
      <c r="H3742" s="77" t="str">
        <f>VLOOKUP(DESPESAS[[#This Row],[Plano de Contas]],BASE!$B$3:$D$119,3,FALSE)</f>
        <v>Férias MOD</v>
      </c>
      <c r="I3742" s="77" t="str">
        <f>IFERROR(VLOOKUP(DESPESAS[[#This Row],[Fornecedor]],Tabela2[],2,FALSE),"")</f>
        <v/>
      </c>
      <c r="J3742" s="77" t="str">
        <f>IFERROR(VLOOKUP(DESPESAS[[#This Row],[Plano de Contas]],BASE!$B$3:$F$119,4,FALSE),"")</f>
        <v>2 - CUSTOS DIRETOS</v>
      </c>
      <c r="K3742" s="77" t="str">
        <f>IFERROR(VLOOKUP(DESPESAS[[#This Row],[Plano de Contas]],BASE!$B$3:$H$119,5,FALSE),"")</f>
        <v>DH</v>
      </c>
      <c r="L3742" s="77" t="str">
        <f>IFERROR(VLOOKUP(DESPESAS[[#This Row],[Plano de Contas]],BASE!$B$3:$H$119,6,FALSE),"")</f>
        <v>CUSTO MÃO DE OBRA DIRETA</v>
      </c>
      <c r="M3742" s="77" t="str">
        <f>VLOOKUP(DESPESAS[[#This Row],[Plano de Contas]],BASE!$B$3:$H$119,7,FALSE)</f>
        <v>RAFAEL</v>
      </c>
    </row>
    <row r="3743" spans="1:13" x14ac:dyDescent="0.25">
      <c r="A3743" s="74">
        <v>201033</v>
      </c>
      <c r="B3743" s="75" t="s">
        <v>232</v>
      </c>
      <c r="C3743" s="75" t="s">
        <v>3731</v>
      </c>
      <c r="D3743" s="76">
        <v>46141</v>
      </c>
      <c r="E3743" s="75" t="s">
        <v>471</v>
      </c>
      <c r="F3743" s="74">
        <v>225</v>
      </c>
      <c r="G3743" s="75" t="s">
        <v>244</v>
      </c>
      <c r="H3743" s="77" t="str">
        <f>VLOOKUP(DESPESAS[[#This Row],[Plano de Contas]],BASE!$B$3:$D$119,3,FALSE)</f>
        <v>Material de Expediente (Prod)</v>
      </c>
      <c r="I3743" s="77" t="str">
        <f>IFERROR(VLOOKUP(DESPESAS[[#This Row],[Fornecedor]],Tabela2[],2,FALSE),"")</f>
        <v/>
      </c>
      <c r="J3743" s="77" t="str">
        <f>IFERROR(VLOOKUP(DESPESAS[[#This Row],[Plano de Contas]],BASE!$B$3:$F$119,4,FALSE),"")</f>
        <v>2 - CUSTOS DIRETOS</v>
      </c>
      <c r="K3743" s="77" t="str">
        <f>IFERROR(VLOOKUP(DESPESAS[[#This Row],[Plano de Contas]],BASE!$B$3:$H$119,5,FALSE),"")</f>
        <v>PRODUÇÃO</v>
      </c>
      <c r="L3743" s="77">
        <f>IFERROR(VLOOKUP(DESPESAS[[#This Row],[Plano de Contas]],BASE!$B$3:$H$119,6,FALSE),"")</f>
        <v>0</v>
      </c>
      <c r="M3743" s="77" t="str">
        <f>VLOOKUP(DESPESAS[[#This Row],[Plano de Contas]],BASE!$B$3:$H$119,7,FALSE)</f>
        <v>RAFAEL</v>
      </c>
    </row>
    <row r="3744" spans="1:13" x14ac:dyDescent="0.25">
      <c r="A3744" s="74">
        <v>201034</v>
      </c>
      <c r="B3744" s="75" t="s">
        <v>279</v>
      </c>
      <c r="C3744" s="75" t="s">
        <v>763</v>
      </c>
      <c r="D3744" s="76">
        <v>46142</v>
      </c>
      <c r="E3744" s="75" t="s">
        <v>919</v>
      </c>
      <c r="F3744" s="74">
        <v>1026.8399999999999</v>
      </c>
      <c r="G3744" s="75" t="s">
        <v>276</v>
      </c>
      <c r="H3744" s="77" t="str">
        <f>VLOOKUP(DESPESAS[[#This Row],[Plano de Contas]],BASE!$B$3:$D$119,3,FALSE)</f>
        <v>Férias MOD</v>
      </c>
      <c r="I3744" s="77" t="str">
        <f>IFERROR(VLOOKUP(DESPESAS[[#This Row],[Fornecedor]],Tabela2[],2,FALSE),"")</f>
        <v/>
      </c>
      <c r="J3744" s="77" t="str">
        <f>IFERROR(VLOOKUP(DESPESAS[[#This Row],[Plano de Contas]],BASE!$B$3:$F$119,4,FALSE),"")</f>
        <v>2 - CUSTOS DIRETOS</v>
      </c>
      <c r="K3744" s="77" t="str">
        <f>IFERROR(VLOOKUP(DESPESAS[[#This Row],[Plano de Contas]],BASE!$B$3:$H$119,5,FALSE),"")</f>
        <v>DH</v>
      </c>
      <c r="L3744" s="77" t="str">
        <f>IFERROR(VLOOKUP(DESPESAS[[#This Row],[Plano de Contas]],BASE!$B$3:$H$119,6,FALSE),"")</f>
        <v>CUSTO MÃO DE OBRA DIRETA</v>
      </c>
      <c r="M3744" s="77" t="str">
        <f>VLOOKUP(DESPESAS[[#This Row],[Plano de Contas]],BASE!$B$3:$H$119,7,FALSE)</f>
        <v>RAFAEL</v>
      </c>
    </row>
    <row r="3745" spans="1:13" x14ac:dyDescent="0.25">
      <c r="A3745" s="74">
        <v>201035</v>
      </c>
      <c r="B3745" s="75" t="s">
        <v>279</v>
      </c>
      <c r="C3745" s="75" t="s">
        <v>3730</v>
      </c>
      <c r="D3745" s="76">
        <v>46142</v>
      </c>
      <c r="E3745" s="75" t="s">
        <v>918</v>
      </c>
      <c r="F3745" s="74">
        <v>840.08</v>
      </c>
      <c r="G3745" s="75" t="s">
        <v>276</v>
      </c>
      <c r="H3745" s="77" t="str">
        <f>VLOOKUP(DESPESAS[[#This Row],[Plano de Contas]],BASE!$B$3:$D$119,3,FALSE)</f>
        <v>Férias MOD</v>
      </c>
      <c r="I3745" s="77" t="str">
        <f>IFERROR(VLOOKUP(DESPESAS[[#This Row],[Fornecedor]],Tabela2[],2,FALSE),"")</f>
        <v/>
      </c>
      <c r="J3745" s="77" t="str">
        <f>IFERROR(VLOOKUP(DESPESAS[[#This Row],[Plano de Contas]],BASE!$B$3:$F$119,4,FALSE),"")</f>
        <v>2 - CUSTOS DIRETOS</v>
      </c>
      <c r="K3745" s="77" t="str">
        <f>IFERROR(VLOOKUP(DESPESAS[[#This Row],[Plano de Contas]],BASE!$B$3:$H$119,5,FALSE),"")</f>
        <v>DH</v>
      </c>
      <c r="L3745" s="77" t="str">
        <f>IFERROR(VLOOKUP(DESPESAS[[#This Row],[Plano de Contas]],BASE!$B$3:$H$119,6,FALSE),"")</f>
        <v>CUSTO MÃO DE OBRA DIRETA</v>
      </c>
      <c r="M3745" s="77" t="str">
        <f>VLOOKUP(DESPESAS[[#This Row],[Plano de Contas]],BASE!$B$3:$H$119,7,FALSE)</f>
        <v>RAFAEL</v>
      </c>
    </row>
    <row r="3746" spans="1:13" x14ac:dyDescent="0.25">
      <c r="A3746" s="74">
        <v>201036</v>
      </c>
      <c r="B3746" s="75" t="s">
        <v>232</v>
      </c>
      <c r="C3746" s="75" t="s">
        <v>3732</v>
      </c>
      <c r="D3746" s="76">
        <v>46141</v>
      </c>
      <c r="E3746" s="75" t="s">
        <v>230</v>
      </c>
      <c r="F3746" s="74">
        <v>15.01</v>
      </c>
      <c r="G3746" s="75" t="s">
        <v>236</v>
      </c>
      <c r="H3746" s="77" t="str">
        <f>VLOOKUP(DESPESAS[[#This Row],[Plano de Contas]],BASE!$B$3:$D$119,3,FALSE)</f>
        <v>Despesas de Cobranca</v>
      </c>
      <c r="I3746" s="77" t="str">
        <f>IFERROR(VLOOKUP(DESPESAS[[#This Row],[Fornecedor]],Tabela2[],2,FALSE),"")</f>
        <v/>
      </c>
      <c r="J3746" s="77" t="str">
        <f>IFERROR(VLOOKUP(DESPESAS[[#This Row],[Plano de Contas]],BASE!$B$3:$F$119,4,FALSE),"")</f>
        <v>8 - DESPESAS FINANCEIRAS</v>
      </c>
      <c r="K3746" s="77" t="str">
        <f>IFERROR(VLOOKUP(DESPESAS[[#This Row],[Plano de Contas]],BASE!$B$3:$H$119,5,FALSE),"")</f>
        <v>FINANCEIRO</v>
      </c>
      <c r="L3746" s="77">
        <f>IFERROR(VLOOKUP(DESPESAS[[#This Row],[Plano de Contas]],BASE!$B$3:$H$119,6,FALSE),"")</f>
        <v>0</v>
      </c>
      <c r="M3746" s="77" t="str">
        <f>VLOOKUP(DESPESAS[[#This Row],[Plano de Contas]],BASE!$B$3:$H$119,7,FALSE)</f>
        <v>LETÍCIA</v>
      </c>
    </row>
    <row r="3747" spans="1:13" x14ac:dyDescent="0.25">
      <c r="A3747" s="74">
        <v>201037</v>
      </c>
      <c r="B3747" s="75" t="s">
        <v>279</v>
      </c>
      <c r="C3747" s="75" t="s">
        <v>3733</v>
      </c>
      <c r="D3747" s="76">
        <v>46141</v>
      </c>
      <c r="E3747" s="75" t="s">
        <v>230</v>
      </c>
      <c r="F3747" s="74">
        <v>1.58</v>
      </c>
      <c r="G3747" s="75" t="s">
        <v>236</v>
      </c>
      <c r="H3747" s="77" t="str">
        <f>VLOOKUP(DESPESAS[[#This Row],[Plano de Contas]],BASE!$B$3:$D$119,3,FALSE)</f>
        <v>Despesas de Cobranca</v>
      </c>
      <c r="I3747" s="77" t="str">
        <f>IFERROR(VLOOKUP(DESPESAS[[#This Row],[Fornecedor]],Tabela2[],2,FALSE),"")</f>
        <v/>
      </c>
      <c r="J3747" s="77" t="str">
        <f>IFERROR(VLOOKUP(DESPESAS[[#This Row],[Plano de Contas]],BASE!$B$3:$F$119,4,FALSE),"")</f>
        <v>8 - DESPESAS FINANCEIRAS</v>
      </c>
      <c r="K3747" s="77" t="str">
        <f>IFERROR(VLOOKUP(DESPESAS[[#This Row],[Plano de Contas]],BASE!$B$3:$H$119,5,FALSE),"")</f>
        <v>FINANCEIRO</v>
      </c>
      <c r="L3747" s="77">
        <f>IFERROR(VLOOKUP(DESPESAS[[#This Row],[Plano de Contas]],BASE!$B$3:$H$119,6,FALSE),"")</f>
        <v>0</v>
      </c>
      <c r="M3747" s="77" t="str">
        <f>VLOOKUP(DESPESAS[[#This Row],[Plano de Contas]],BASE!$B$3:$H$119,7,FALSE)</f>
        <v>LETÍCIA</v>
      </c>
    </row>
    <row r="3748" spans="1:13" x14ac:dyDescent="0.25">
      <c r="A3748" s="74">
        <v>201038</v>
      </c>
      <c r="B3748" s="75" t="s">
        <v>281</v>
      </c>
      <c r="C3748" s="75" t="s">
        <v>3733</v>
      </c>
      <c r="D3748" s="76">
        <v>46141</v>
      </c>
      <c r="E3748" s="75" t="s">
        <v>230</v>
      </c>
      <c r="F3748" s="74">
        <v>1.58</v>
      </c>
      <c r="G3748" s="75" t="s">
        <v>236</v>
      </c>
      <c r="H3748" s="77" t="str">
        <f>VLOOKUP(DESPESAS[[#This Row],[Plano de Contas]],BASE!$B$3:$D$119,3,FALSE)</f>
        <v>Despesas de Cobranca</v>
      </c>
      <c r="I3748" s="77" t="str">
        <f>IFERROR(VLOOKUP(DESPESAS[[#This Row],[Fornecedor]],Tabela2[],2,FALSE),"")</f>
        <v/>
      </c>
      <c r="J3748" s="77" t="str">
        <f>IFERROR(VLOOKUP(DESPESAS[[#This Row],[Plano de Contas]],BASE!$B$3:$F$119,4,FALSE),"")</f>
        <v>8 - DESPESAS FINANCEIRAS</v>
      </c>
      <c r="K3748" s="77" t="str">
        <f>IFERROR(VLOOKUP(DESPESAS[[#This Row],[Plano de Contas]],BASE!$B$3:$H$119,5,FALSE),"")</f>
        <v>FINANCEIRO</v>
      </c>
      <c r="L3748" s="77">
        <f>IFERROR(VLOOKUP(DESPESAS[[#This Row],[Plano de Contas]],BASE!$B$3:$H$119,6,FALSE),"")</f>
        <v>0</v>
      </c>
      <c r="M3748" s="77" t="str">
        <f>VLOOKUP(DESPESAS[[#This Row],[Plano de Contas]],BASE!$B$3:$H$119,7,FALSE)</f>
        <v>LETÍCIA</v>
      </c>
    </row>
    <row r="3749" spans="1:13" x14ac:dyDescent="0.25">
      <c r="A3749" s="74">
        <v>201039</v>
      </c>
      <c r="B3749" s="75" t="s">
        <v>232</v>
      </c>
      <c r="C3749" s="75" t="s">
        <v>3734</v>
      </c>
      <c r="D3749" s="76">
        <v>46142</v>
      </c>
      <c r="E3749" s="75" t="s">
        <v>230</v>
      </c>
      <c r="F3749" s="74">
        <v>5.35</v>
      </c>
      <c r="G3749" s="75" t="s">
        <v>236</v>
      </c>
      <c r="H3749" s="77" t="str">
        <f>VLOOKUP(DESPESAS[[#This Row],[Plano de Contas]],BASE!$B$3:$D$119,3,FALSE)</f>
        <v>Despesas de Cobranca</v>
      </c>
      <c r="I3749" s="77" t="str">
        <f>IFERROR(VLOOKUP(DESPESAS[[#This Row],[Fornecedor]],Tabela2[],2,FALSE),"")</f>
        <v/>
      </c>
      <c r="J3749" s="77" t="str">
        <f>IFERROR(VLOOKUP(DESPESAS[[#This Row],[Plano de Contas]],BASE!$B$3:$F$119,4,FALSE),"")</f>
        <v>8 - DESPESAS FINANCEIRAS</v>
      </c>
      <c r="K3749" s="77" t="str">
        <f>IFERROR(VLOOKUP(DESPESAS[[#This Row],[Plano de Contas]],BASE!$B$3:$H$119,5,FALSE),"")</f>
        <v>FINANCEIRO</v>
      </c>
      <c r="L3749" s="77">
        <f>IFERROR(VLOOKUP(DESPESAS[[#This Row],[Plano de Contas]],BASE!$B$3:$H$119,6,FALSE),"")</f>
        <v>0</v>
      </c>
      <c r="M3749" s="77" t="str">
        <f>VLOOKUP(DESPESAS[[#This Row],[Plano de Contas]],BASE!$B$3:$H$119,7,FALSE)</f>
        <v>LETÍCIA</v>
      </c>
    </row>
    <row r="3750" spans="1:13" x14ac:dyDescent="0.25">
      <c r="A3750" s="74">
        <v>201040</v>
      </c>
      <c r="B3750" s="75" t="s">
        <v>232</v>
      </c>
      <c r="C3750" s="75" t="s">
        <v>3735</v>
      </c>
      <c r="D3750" s="76">
        <v>46142</v>
      </c>
      <c r="E3750" s="75" t="s">
        <v>3736</v>
      </c>
      <c r="F3750" s="74">
        <v>475.13</v>
      </c>
      <c r="G3750" s="75" t="s">
        <v>225</v>
      </c>
      <c r="H3750" s="77" t="str">
        <f>VLOOKUP(DESPESAS[[#This Row],[Plano de Contas]],BASE!$B$3:$D$119,3,FALSE)</f>
        <v>Despesas de Outros Gastos Não Operacionais</v>
      </c>
      <c r="I3750" s="77" t="str">
        <f>IFERROR(VLOOKUP(DESPESAS[[#This Row],[Fornecedor]],Tabela2[],2,FALSE),"")</f>
        <v/>
      </c>
      <c r="J3750" s="77" t="str">
        <f>IFERROR(VLOOKUP(DESPESAS[[#This Row],[Plano de Contas]],BASE!$B$3:$F$119,4,FALSE),"")</f>
        <v>8 - DESPESAS FINANCEIRAS</v>
      </c>
      <c r="K3750" s="77" t="str">
        <f>IFERROR(VLOOKUP(DESPESAS[[#This Row],[Plano de Contas]],BASE!$B$3:$H$119,5,FALSE),"")</f>
        <v>FINANCEIRO</v>
      </c>
      <c r="L3750" s="77">
        <f>IFERROR(VLOOKUP(DESPESAS[[#This Row],[Plano de Contas]],BASE!$B$3:$H$119,6,FALSE),"")</f>
        <v>0</v>
      </c>
      <c r="M3750" s="77" t="str">
        <f>VLOOKUP(DESPESAS[[#This Row],[Plano de Contas]],BASE!$B$3:$H$119,7,FALSE)</f>
        <v>LETÍCIA</v>
      </c>
    </row>
    <row r="3751" spans="1:13" x14ac:dyDescent="0.25">
      <c r="A3751" s="74">
        <v>201041</v>
      </c>
      <c r="B3751" s="75" t="s">
        <v>232</v>
      </c>
      <c r="C3751" s="75" t="s">
        <v>3737</v>
      </c>
      <c r="D3751" s="76">
        <v>46142</v>
      </c>
      <c r="E3751" s="75" t="s">
        <v>329</v>
      </c>
      <c r="F3751" s="74">
        <v>149.07</v>
      </c>
      <c r="G3751" s="75" t="s">
        <v>326</v>
      </c>
      <c r="H3751" s="77" t="str">
        <f>VLOOKUP(DESPESAS[[#This Row],[Plano de Contas]],BASE!$B$3:$D$119,3,FALSE)</f>
        <v>Frete sobre Compras</v>
      </c>
      <c r="I3751" s="77" t="str">
        <f>IFERROR(VLOOKUP(DESPESAS[[#This Row],[Fornecedor]],Tabela2[],2,FALSE),"")</f>
        <v/>
      </c>
      <c r="J3751" s="77" t="str">
        <f>IFERROR(VLOOKUP(DESPESAS[[#This Row],[Plano de Contas]],BASE!$B$3:$F$119,4,FALSE),"")</f>
        <v>1 - CPV</v>
      </c>
      <c r="K3751" s="77" t="str">
        <f>IFERROR(VLOOKUP(DESPESAS[[#This Row],[Plano de Contas]],BASE!$B$3:$H$119,5,FALSE),"")</f>
        <v>COMPRAS</v>
      </c>
      <c r="L3751" s="77">
        <f>IFERROR(VLOOKUP(DESPESAS[[#This Row],[Plano de Contas]],BASE!$B$3:$H$119,6,FALSE),"")</f>
        <v>0</v>
      </c>
      <c r="M3751" s="77" t="str">
        <f>VLOOKUP(DESPESAS[[#This Row],[Plano de Contas]],BASE!$B$3:$H$119,7,FALSE)</f>
        <v>MYLENA</v>
      </c>
    </row>
    <row r="3752" spans="1:13" x14ac:dyDescent="0.25">
      <c r="A3752" s="74">
        <v>201042</v>
      </c>
      <c r="B3752" s="75" t="s">
        <v>232</v>
      </c>
      <c r="C3752" s="75" t="s">
        <v>3738</v>
      </c>
      <c r="D3752" s="76">
        <v>46142</v>
      </c>
      <c r="E3752" s="75" t="s">
        <v>327</v>
      </c>
      <c r="F3752" s="74">
        <v>117.3</v>
      </c>
      <c r="G3752" s="75" t="s">
        <v>326</v>
      </c>
      <c r="H3752" s="77" t="str">
        <f>VLOOKUP(DESPESAS[[#This Row],[Plano de Contas]],BASE!$B$3:$D$119,3,FALSE)</f>
        <v>Frete sobre Compras</v>
      </c>
      <c r="I3752" s="77" t="str">
        <f>IFERROR(VLOOKUP(DESPESAS[[#This Row],[Fornecedor]],Tabela2[],2,FALSE),"")</f>
        <v>SERVIÇOS FRETE</v>
      </c>
      <c r="J3752" s="77" t="str">
        <f>IFERROR(VLOOKUP(DESPESAS[[#This Row],[Plano de Contas]],BASE!$B$3:$F$119,4,FALSE),"")</f>
        <v>1 - CPV</v>
      </c>
      <c r="K3752" s="77" t="str">
        <f>IFERROR(VLOOKUP(DESPESAS[[#This Row],[Plano de Contas]],BASE!$B$3:$H$119,5,FALSE),"")</f>
        <v>COMPRAS</v>
      </c>
      <c r="L3752" s="77">
        <f>IFERROR(VLOOKUP(DESPESAS[[#This Row],[Plano de Contas]],BASE!$B$3:$H$119,6,FALSE),"")</f>
        <v>0</v>
      </c>
      <c r="M3752" s="77" t="str">
        <f>VLOOKUP(DESPESAS[[#This Row],[Plano de Contas]],BASE!$B$3:$H$119,7,FALSE)</f>
        <v>MYLENA</v>
      </c>
    </row>
    <row r="3753" spans="1:13" x14ac:dyDescent="0.25">
      <c r="A3753" s="74">
        <v>201043</v>
      </c>
      <c r="B3753" s="75" t="s">
        <v>221</v>
      </c>
      <c r="C3753" s="75" t="s">
        <v>240</v>
      </c>
      <c r="D3753" s="76">
        <v>46134</v>
      </c>
      <c r="E3753" s="75" t="s">
        <v>239</v>
      </c>
      <c r="F3753" s="74">
        <v>144.11000000000001</v>
      </c>
      <c r="G3753" s="75" t="s">
        <v>238</v>
      </c>
      <c r="H3753" s="77" t="str">
        <f>VLOOKUP(DESPESAS[[#This Row],[Plano de Contas]],BASE!$B$3:$D$119,3,FALSE)</f>
        <v>Consultoria Comercial</v>
      </c>
      <c r="I3753" s="77" t="str">
        <f>IFERROR(VLOOKUP(DESPESAS[[#This Row],[Fornecedor]],Tabela2[],2,FALSE),"")</f>
        <v/>
      </c>
      <c r="J3753" s="77" t="str">
        <f>IFERROR(VLOOKUP(DESPESAS[[#This Row],[Plano de Contas]],BASE!$B$3:$F$119,4,FALSE),"")</f>
        <v>6 - DESPESA COM VENDAS</v>
      </c>
      <c r="K3753" s="77" t="str">
        <f>IFERROR(VLOOKUP(DESPESAS[[#This Row],[Plano de Contas]],BASE!$B$3:$H$119,5,FALSE),"")</f>
        <v>COMERCIAL</v>
      </c>
      <c r="L3753" s="77">
        <f>IFERROR(VLOOKUP(DESPESAS[[#This Row],[Plano de Contas]],BASE!$B$3:$H$119,6,FALSE),"")</f>
        <v>0</v>
      </c>
      <c r="M3753" s="77" t="str">
        <f>VLOOKUP(DESPESAS[[#This Row],[Plano de Contas]],BASE!$B$3:$H$119,7,FALSE)</f>
        <v>LETÍCIA</v>
      </c>
    </row>
    <row r="3754" spans="1:13" x14ac:dyDescent="0.25">
      <c r="A3754" s="74">
        <v>201044</v>
      </c>
      <c r="B3754" s="75" t="s">
        <v>232</v>
      </c>
      <c r="C3754" s="75" t="s">
        <v>3739</v>
      </c>
      <c r="D3754" s="76">
        <v>46142</v>
      </c>
      <c r="E3754" s="75" t="s">
        <v>409</v>
      </c>
      <c r="F3754" s="74">
        <v>127.05</v>
      </c>
      <c r="G3754" s="75" t="s">
        <v>326</v>
      </c>
      <c r="H3754" s="77" t="str">
        <f>VLOOKUP(DESPESAS[[#This Row],[Plano de Contas]],BASE!$B$3:$D$119,3,FALSE)</f>
        <v>Frete sobre Compras</v>
      </c>
      <c r="I3754" s="77" t="str">
        <f>IFERROR(VLOOKUP(DESPESAS[[#This Row],[Fornecedor]],Tabela2[],2,FALSE),"")</f>
        <v>SERVIÇOS FRETE</v>
      </c>
      <c r="J3754" s="77" t="str">
        <f>IFERROR(VLOOKUP(DESPESAS[[#This Row],[Plano de Contas]],BASE!$B$3:$F$119,4,FALSE),"")</f>
        <v>1 - CPV</v>
      </c>
      <c r="K3754" s="77" t="str">
        <f>IFERROR(VLOOKUP(DESPESAS[[#This Row],[Plano de Contas]],BASE!$B$3:$H$119,5,FALSE),"")</f>
        <v>COMPRAS</v>
      </c>
      <c r="L3754" s="77">
        <f>IFERROR(VLOOKUP(DESPESAS[[#This Row],[Plano de Contas]],BASE!$B$3:$H$119,6,FALSE),"")</f>
        <v>0</v>
      </c>
      <c r="M3754" s="77" t="str">
        <f>VLOOKUP(DESPESAS[[#This Row],[Plano de Contas]],BASE!$B$3:$H$119,7,FALSE)</f>
        <v>MYLENA</v>
      </c>
    </row>
    <row r="3755" spans="1:13" x14ac:dyDescent="0.25">
      <c r="A3755" s="74">
        <v>201046</v>
      </c>
      <c r="B3755" s="75" t="s">
        <v>232</v>
      </c>
      <c r="C3755" s="75" t="s">
        <v>3740</v>
      </c>
      <c r="D3755" s="76">
        <v>46142</v>
      </c>
      <c r="E3755" s="75" t="s">
        <v>499</v>
      </c>
      <c r="F3755" s="74">
        <v>76.59</v>
      </c>
      <c r="G3755" s="75" t="s">
        <v>326</v>
      </c>
      <c r="H3755" s="77" t="str">
        <f>VLOOKUP(DESPESAS[[#This Row],[Plano de Contas]],BASE!$B$3:$D$119,3,FALSE)</f>
        <v>Frete sobre Compras</v>
      </c>
      <c r="I3755" s="77" t="str">
        <f>IFERROR(VLOOKUP(DESPESAS[[#This Row],[Fornecedor]],Tabela2[],2,FALSE),"")</f>
        <v/>
      </c>
      <c r="J3755" s="77" t="str">
        <f>IFERROR(VLOOKUP(DESPESAS[[#This Row],[Plano de Contas]],BASE!$B$3:$F$119,4,FALSE),"")</f>
        <v>1 - CPV</v>
      </c>
      <c r="K3755" s="77" t="str">
        <f>IFERROR(VLOOKUP(DESPESAS[[#This Row],[Plano de Contas]],BASE!$B$3:$H$119,5,FALSE),"")</f>
        <v>COMPRAS</v>
      </c>
      <c r="L3755" s="77">
        <f>IFERROR(VLOOKUP(DESPESAS[[#This Row],[Plano de Contas]],BASE!$B$3:$H$119,6,FALSE),"")</f>
        <v>0</v>
      </c>
      <c r="M3755" s="77" t="str">
        <f>VLOOKUP(DESPESAS[[#This Row],[Plano de Contas]],BASE!$B$3:$H$119,7,FALSE)</f>
        <v>MYLENA</v>
      </c>
    </row>
    <row r="3756" spans="1:13" x14ac:dyDescent="0.25">
      <c r="A3756" s="74">
        <v>201047</v>
      </c>
      <c r="B3756" s="75" t="s">
        <v>221</v>
      </c>
      <c r="C3756" s="75" t="s">
        <v>3741</v>
      </c>
      <c r="D3756" s="76">
        <v>46142</v>
      </c>
      <c r="E3756" s="75" t="s">
        <v>1748</v>
      </c>
      <c r="F3756" s="74">
        <v>340</v>
      </c>
      <c r="G3756" s="75" t="s">
        <v>259</v>
      </c>
      <c r="H3756" s="77" t="str">
        <f>VLOOKUP(DESPESAS[[#This Row],[Plano de Contas]],BASE!$B$3:$D$119,3,FALSE)</f>
        <v>Manutenção Predial CIF</v>
      </c>
      <c r="I3756" s="77" t="str">
        <f>IFERROR(VLOOKUP(DESPESAS[[#This Row],[Fornecedor]],Tabela2[],2,FALSE),"")</f>
        <v/>
      </c>
      <c r="J3756" s="77" t="str">
        <f>IFERROR(VLOOKUP(DESPESAS[[#This Row],[Plano de Contas]],BASE!$B$3:$F$119,4,FALSE),"")</f>
        <v>3 - CUSTOS INDIRETOS</v>
      </c>
      <c r="K3756" s="77" t="str">
        <f>IFERROR(VLOOKUP(DESPESAS[[#This Row],[Plano de Contas]],BASE!$B$3:$H$119,5,FALSE),"")</f>
        <v>MANUTENÇÃO / TI</v>
      </c>
      <c r="L3756" s="77">
        <f>IFERROR(VLOOKUP(DESPESAS[[#This Row],[Plano de Contas]],BASE!$B$3:$H$119,6,FALSE),"")</f>
        <v>0</v>
      </c>
      <c r="M3756" s="77" t="str">
        <f>VLOOKUP(DESPESAS[[#This Row],[Plano de Contas]],BASE!$B$3:$H$119,7,FALSE)</f>
        <v>FÁBIO</v>
      </c>
    </row>
    <row r="3757" spans="1:13" x14ac:dyDescent="0.25">
      <c r="A3757" s="74">
        <v>201051</v>
      </c>
      <c r="B3757" s="75" t="s">
        <v>232</v>
      </c>
      <c r="C3757" s="75" t="s">
        <v>3742</v>
      </c>
      <c r="D3757" s="76">
        <v>46142</v>
      </c>
      <c r="E3757" s="75" t="s">
        <v>260</v>
      </c>
      <c r="F3757" s="74">
        <v>2118.25</v>
      </c>
      <c r="G3757" s="75" t="s">
        <v>244</v>
      </c>
      <c r="H3757" s="77" t="str">
        <f>VLOOKUP(DESPESAS[[#This Row],[Plano de Contas]],BASE!$B$3:$D$119,3,FALSE)</f>
        <v>Material de Expediente (Prod)</v>
      </c>
      <c r="I3757" s="77" t="str">
        <f>IFERROR(VLOOKUP(DESPESAS[[#This Row],[Fornecedor]],Tabela2[],2,FALSE),"")</f>
        <v>PEÇAS DE FERRAMENTAS</v>
      </c>
      <c r="J3757" s="77" t="str">
        <f>IFERROR(VLOOKUP(DESPESAS[[#This Row],[Plano de Contas]],BASE!$B$3:$F$119,4,FALSE),"")</f>
        <v>2 - CUSTOS DIRETOS</v>
      </c>
      <c r="K3757" s="77" t="str">
        <f>IFERROR(VLOOKUP(DESPESAS[[#This Row],[Plano de Contas]],BASE!$B$3:$H$119,5,FALSE),"")</f>
        <v>PRODUÇÃO</v>
      </c>
      <c r="L3757" s="77">
        <f>IFERROR(VLOOKUP(DESPESAS[[#This Row],[Plano de Contas]],BASE!$B$3:$H$119,6,FALSE),"")</f>
        <v>0</v>
      </c>
      <c r="M3757" s="77" t="str">
        <f>VLOOKUP(DESPESAS[[#This Row],[Plano de Contas]],BASE!$B$3:$H$119,7,FALSE)</f>
        <v>RAFAEL</v>
      </c>
    </row>
    <row r="3758" spans="1:13" x14ac:dyDescent="0.25">
      <c r="A3758" s="74">
        <v>201052</v>
      </c>
      <c r="B3758" s="75" t="s">
        <v>221</v>
      </c>
      <c r="C3758" s="75" t="s">
        <v>3743</v>
      </c>
      <c r="D3758" s="76">
        <v>46142</v>
      </c>
      <c r="E3758" s="75" t="s">
        <v>245</v>
      </c>
      <c r="F3758" s="74">
        <v>205</v>
      </c>
      <c r="G3758" s="75" t="s">
        <v>259</v>
      </c>
      <c r="H3758" s="77" t="str">
        <f>VLOOKUP(DESPESAS[[#This Row],[Plano de Contas]],BASE!$B$3:$D$119,3,FALSE)</f>
        <v>Manutenção Predial CIF</v>
      </c>
      <c r="I3758" s="77" t="str">
        <f>IFERROR(VLOOKUP(DESPESAS[[#This Row],[Fornecedor]],Tabela2[],2,FALSE),"")</f>
        <v>FERRAGENS GERAIS</v>
      </c>
      <c r="J3758" s="77" t="str">
        <f>IFERROR(VLOOKUP(DESPESAS[[#This Row],[Plano de Contas]],BASE!$B$3:$F$119,4,FALSE),"")</f>
        <v>3 - CUSTOS INDIRETOS</v>
      </c>
      <c r="K3758" s="77" t="str">
        <f>IFERROR(VLOOKUP(DESPESAS[[#This Row],[Plano de Contas]],BASE!$B$3:$H$119,5,FALSE),"")</f>
        <v>MANUTENÇÃO / TI</v>
      </c>
      <c r="L3758" s="77">
        <f>IFERROR(VLOOKUP(DESPESAS[[#This Row],[Plano de Contas]],BASE!$B$3:$H$119,6,FALSE),"")</f>
        <v>0</v>
      </c>
      <c r="M3758" s="77" t="str">
        <f>VLOOKUP(DESPESAS[[#This Row],[Plano de Contas]],BASE!$B$3:$H$119,7,FALSE)</f>
        <v>FÁBIO</v>
      </c>
    </row>
    <row r="3759" spans="1:13" x14ac:dyDescent="0.25">
      <c r="A3759" s="74">
        <v>201077</v>
      </c>
      <c r="B3759" s="75" t="s">
        <v>232</v>
      </c>
      <c r="C3759" s="75" t="s">
        <v>3744</v>
      </c>
      <c r="D3759" s="76">
        <v>46142</v>
      </c>
      <c r="E3759" s="75" t="s">
        <v>2421</v>
      </c>
      <c r="F3759" s="74">
        <v>6000</v>
      </c>
      <c r="G3759" s="75" t="s">
        <v>470</v>
      </c>
      <c r="H3759" s="77" t="str">
        <f>VLOOKUP(DESPESAS[[#This Row],[Plano de Contas]],BASE!$B$3:$D$119,3,FALSE)</f>
        <v>Desenvolvimento de Novos Produtos</v>
      </c>
      <c r="I3759" s="77" t="str">
        <f>IFERROR(VLOOKUP(DESPESAS[[#This Row],[Fornecedor]],Tabela2[],2,FALSE),"")</f>
        <v/>
      </c>
      <c r="J3759" s="77" t="str">
        <f>IFERROR(VLOOKUP(DESPESAS[[#This Row],[Plano de Contas]],BASE!$B$3:$F$119,4,FALSE),"")</f>
        <v>6 - DESPESA COM VENDAS</v>
      </c>
      <c r="K3759" s="77" t="str">
        <f>IFERROR(VLOOKUP(DESPESAS[[#This Row],[Plano de Contas]],BASE!$B$3:$H$119,5,FALSE),"")</f>
        <v>DESENVOLVIMENTO</v>
      </c>
      <c r="L3759" s="77">
        <f>IFERROR(VLOOKUP(DESPESAS[[#This Row],[Plano de Contas]],BASE!$B$3:$H$119,6,FALSE),"")</f>
        <v>0</v>
      </c>
      <c r="M3759" s="77" t="str">
        <f>VLOOKUP(DESPESAS[[#This Row],[Plano de Contas]],BASE!$B$3:$H$119,7,FALSE)</f>
        <v>RAFAEL</v>
      </c>
    </row>
    <row r="3760" spans="1:13" x14ac:dyDescent="0.25">
      <c r="A3760" s="74">
        <v>201078</v>
      </c>
      <c r="B3760" s="75" t="s">
        <v>232</v>
      </c>
      <c r="C3760" s="75" t="s">
        <v>3744</v>
      </c>
      <c r="D3760" s="76">
        <v>46142</v>
      </c>
      <c r="E3760" s="75" t="s">
        <v>2421</v>
      </c>
      <c r="F3760" s="74">
        <v>6000</v>
      </c>
      <c r="G3760" s="75" t="s">
        <v>470</v>
      </c>
      <c r="H3760" s="77" t="str">
        <f>VLOOKUP(DESPESAS[[#This Row],[Plano de Contas]],BASE!$B$3:$D$119,3,FALSE)</f>
        <v>Desenvolvimento de Novos Produtos</v>
      </c>
      <c r="I3760" s="77" t="str">
        <f>IFERROR(VLOOKUP(DESPESAS[[#This Row],[Fornecedor]],Tabela2[],2,FALSE),"")</f>
        <v/>
      </c>
      <c r="J3760" s="77" t="str">
        <f>IFERROR(VLOOKUP(DESPESAS[[#This Row],[Plano de Contas]],BASE!$B$3:$F$119,4,FALSE),"")</f>
        <v>6 - DESPESA COM VENDAS</v>
      </c>
      <c r="K3760" s="77" t="str">
        <f>IFERROR(VLOOKUP(DESPESAS[[#This Row],[Plano de Contas]],BASE!$B$3:$H$119,5,FALSE),"")</f>
        <v>DESENVOLVIMENTO</v>
      </c>
      <c r="L3760" s="77">
        <f>IFERROR(VLOOKUP(DESPESAS[[#This Row],[Plano de Contas]],BASE!$B$3:$H$119,6,FALSE),"")</f>
        <v>0</v>
      </c>
      <c r="M3760" s="77" t="str">
        <f>VLOOKUP(DESPESAS[[#This Row],[Plano de Contas]],BASE!$B$3:$H$119,7,FALSE)</f>
        <v>RAFAEL</v>
      </c>
    </row>
    <row r="3761" spans="1:13" x14ac:dyDescent="0.25">
      <c r="A3761" s="74">
        <v>201101</v>
      </c>
      <c r="B3761" s="75" t="s">
        <v>232</v>
      </c>
      <c r="C3761" s="75" t="s">
        <v>3745</v>
      </c>
      <c r="D3761" s="76">
        <v>46142</v>
      </c>
      <c r="E3761" s="75" t="s">
        <v>322</v>
      </c>
      <c r="F3761" s="74">
        <v>5788.1</v>
      </c>
      <c r="G3761" s="75" t="s">
        <v>244</v>
      </c>
      <c r="H3761" s="77" t="str">
        <f>VLOOKUP(DESPESAS[[#This Row],[Plano de Contas]],BASE!$B$3:$D$119,3,FALSE)</f>
        <v>Material de Expediente (Prod)</v>
      </c>
      <c r="I3761" s="77" t="str">
        <f>IFERROR(VLOOKUP(DESPESAS[[#This Row],[Fornecedor]],Tabela2[],2,FALSE),"")</f>
        <v>CNC TECIDO</v>
      </c>
      <c r="J3761" s="77" t="str">
        <f>IFERROR(VLOOKUP(DESPESAS[[#This Row],[Plano de Contas]],BASE!$B$3:$F$119,4,FALSE),"")</f>
        <v>2 - CUSTOS DIRETOS</v>
      </c>
      <c r="K3761" s="77" t="str">
        <f>IFERROR(VLOOKUP(DESPESAS[[#This Row],[Plano de Contas]],BASE!$B$3:$H$119,5,FALSE),"")</f>
        <v>PRODUÇÃO</v>
      </c>
      <c r="L3761" s="77">
        <f>IFERROR(VLOOKUP(DESPESAS[[#This Row],[Plano de Contas]],BASE!$B$3:$H$119,6,FALSE),"")</f>
        <v>0</v>
      </c>
      <c r="M3761" s="77" t="str">
        <f>VLOOKUP(DESPESAS[[#This Row],[Plano de Contas]],BASE!$B$3:$H$119,7,FALSE)</f>
        <v>RAFAEL</v>
      </c>
    </row>
    <row r="3762" spans="1:13" x14ac:dyDescent="0.25">
      <c r="A3762" s="74">
        <v>201103</v>
      </c>
      <c r="B3762" s="75" t="s">
        <v>279</v>
      </c>
      <c r="C3762" s="75" t="s">
        <v>3746</v>
      </c>
      <c r="D3762" s="76">
        <v>46140</v>
      </c>
      <c r="E3762" s="75" t="s">
        <v>850</v>
      </c>
      <c r="F3762" s="74">
        <v>1291.02</v>
      </c>
      <c r="G3762" s="75" t="s">
        <v>276</v>
      </c>
      <c r="H3762" s="77" t="str">
        <f>VLOOKUP(DESPESAS[[#This Row],[Plano de Contas]],BASE!$B$3:$D$119,3,FALSE)</f>
        <v>Férias MOD</v>
      </c>
      <c r="I3762" s="77" t="str">
        <f>IFERROR(VLOOKUP(DESPESAS[[#This Row],[Fornecedor]],Tabela2[],2,FALSE),"")</f>
        <v/>
      </c>
      <c r="J3762" s="77" t="str">
        <f>IFERROR(VLOOKUP(DESPESAS[[#This Row],[Plano de Contas]],BASE!$B$3:$F$119,4,FALSE),"")</f>
        <v>2 - CUSTOS DIRETOS</v>
      </c>
      <c r="K3762" s="77" t="str">
        <f>IFERROR(VLOOKUP(DESPESAS[[#This Row],[Plano de Contas]],BASE!$B$3:$H$119,5,FALSE),"")</f>
        <v>DH</v>
      </c>
      <c r="L3762" s="77" t="str">
        <f>IFERROR(VLOOKUP(DESPESAS[[#This Row],[Plano de Contas]],BASE!$B$3:$H$119,6,FALSE),"")</f>
        <v>CUSTO MÃO DE OBRA DIRETA</v>
      </c>
      <c r="M3762" s="77" t="str">
        <f>VLOOKUP(DESPESAS[[#This Row],[Plano de Contas]],BASE!$B$3:$H$119,7,FALSE)</f>
        <v>RAFAEL</v>
      </c>
    </row>
    <row r="3763" spans="1:13" x14ac:dyDescent="0.25">
      <c r="A3763" s="74">
        <v>201104</v>
      </c>
      <c r="B3763" s="75" t="s">
        <v>232</v>
      </c>
      <c r="C3763" s="75" t="s">
        <v>3747</v>
      </c>
      <c r="D3763" s="76">
        <v>46142</v>
      </c>
      <c r="E3763" s="75" t="s">
        <v>230</v>
      </c>
      <c r="F3763" s="74">
        <v>0.94</v>
      </c>
      <c r="G3763" s="75" t="s">
        <v>251</v>
      </c>
      <c r="H3763" s="77" t="str">
        <f>VLOOKUP(DESPESAS[[#This Row],[Plano de Contas]],BASE!$B$3:$D$119,3,FALSE)</f>
        <v>Juros Pagos - Antecipação de Crédito</v>
      </c>
      <c r="I3763" s="77" t="str">
        <f>IFERROR(VLOOKUP(DESPESAS[[#This Row],[Fornecedor]],Tabela2[],2,FALSE),"")</f>
        <v/>
      </c>
      <c r="J3763" s="77" t="str">
        <f>IFERROR(VLOOKUP(DESPESAS[[#This Row],[Plano de Contas]],BASE!$B$3:$F$119,4,FALSE),"")</f>
        <v>8 - DESPESAS FINANCEIRAS</v>
      </c>
      <c r="K3763" s="77" t="str">
        <f>IFERROR(VLOOKUP(DESPESAS[[#This Row],[Plano de Contas]],BASE!$B$3:$H$119,5,FALSE),"")</f>
        <v>FINANCEIRO</v>
      </c>
      <c r="L3763" s="77">
        <f>IFERROR(VLOOKUP(DESPESAS[[#This Row],[Plano de Contas]],BASE!$B$3:$H$119,6,FALSE),"")</f>
        <v>0</v>
      </c>
      <c r="M3763" s="77" t="str">
        <f>VLOOKUP(DESPESAS[[#This Row],[Plano de Contas]],BASE!$B$3:$H$119,7,FALSE)</f>
        <v>LETÍCIA</v>
      </c>
    </row>
    <row r="3764" spans="1:13" x14ac:dyDescent="0.25">
      <c r="A3764" s="74">
        <v>201105</v>
      </c>
      <c r="B3764" s="75" t="s">
        <v>232</v>
      </c>
      <c r="C3764" s="75" t="s">
        <v>3748</v>
      </c>
      <c r="D3764" s="76">
        <v>46142</v>
      </c>
      <c r="E3764" s="75" t="s">
        <v>230</v>
      </c>
      <c r="F3764" s="74">
        <v>0.1</v>
      </c>
      <c r="G3764" s="75" t="s">
        <v>229</v>
      </c>
      <c r="H3764" s="77" t="str">
        <f>VLOOKUP(DESPESAS[[#This Row],[Plano de Contas]],BASE!$B$3:$D$119,3,FALSE)</f>
        <v>Despesas Bancarias</v>
      </c>
      <c r="I3764" s="77" t="str">
        <f>IFERROR(VLOOKUP(DESPESAS[[#This Row],[Fornecedor]],Tabela2[],2,FALSE),"")</f>
        <v/>
      </c>
      <c r="J3764" s="77" t="str">
        <f>IFERROR(VLOOKUP(DESPESAS[[#This Row],[Plano de Contas]],BASE!$B$3:$F$119,4,FALSE),"")</f>
        <v>8 - DESPESAS FINANCEIRAS</v>
      </c>
      <c r="K3764" s="77" t="str">
        <f>IFERROR(VLOOKUP(DESPESAS[[#This Row],[Plano de Contas]],BASE!$B$3:$H$119,5,FALSE),"")</f>
        <v>FINANCEIRO</v>
      </c>
      <c r="L3764" s="77">
        <f>IFERROR(VLOOKUP(DESPESAS[[#This Row],[Plano de Contas]],BASE!$B$3:$H$119,6,FALSE),"")</f>
        <v>0</v>
      </c>
      <c r="M3764" s="77" t="str">
        <f>VLOOKUP(DESPESAS[[#This Row],[Plano de Contas]],BASE!$B$3:$H$119,7,FALSE)</f>
        <v>LETÍCIA</v>
      </c>
    </row>
    <row r="3765" spans="1:13" x14ac:dyDescent="0.25">
      <c r="A3765" s="74">
        <v>201107</v>
      </c>
      <c r="B3765" s="75" t="s">
        <v>232</v>
      </c>
      <c r="C3765" s="75" t="s">
        <v>3768</v>
      </c>
      <c r="D3765" s="76">
        <v>46142</v>
      </c>
      <c r="E3765" s="75" t="s">
        <v>230</v>
      </c>
      <c r="F3765" s="74">
        <v>22.12</v>
      </c>
      <c r="G3765" s="75" t="s">
        <v>236</v>
      </c>
      <c r="H3765" s="77" t="str">
        <f>VLOOKUP(DESPESAS[[#This Row],[Plano de Contas]],BASE!$B$3:$D$119,3,FALSE)</f>
        <v>Despesas de Cobranca</v>
      </c>
      <c r="I3765" s="77" t="str">
        <f>IFERROR(VLOOKUP(DESPESAS[[#This Row],[Fornecedor]],Tabela2[],2,FALSE),"")</f>
        <v/>
      </c>
      <c r="J3765" s="77" t="str">
        <f>IFERROR(VLOOKUP(DESPESAS[[#This Row],[Plano de Contas]],BASE!$B$3:$F$119,4,FALSE),"")</f>
        <v>8 - DESPESAS FINANCEIRAS</v>
      </c>
      <c r="K3765" s="77" t="str">
        <f>IFERROR(VLOOKUP(DESPESAS[[#This Row],[Plano de Contas]],BASE!$B$3:$H$119,5,FALSE),"")</f>
        <v>FINANCEIRO</v>
      </c>
      <c r="L3765" s="77">
        <f>IFERROR(VLOOKUP(DESPESAS[[#This Row],[Plano de Contas]],BASE!$B$3:$H$119,6,FALSE),"")</f>
        <v>0</v>
      </c>
      <c r="M3765" s="77" t="str">
        <f>VLOOKUP(DESPESAS[[#This Row],[Plano de Contas]],BASE!$B$3:$H$119,7,FALSE)</f>
        <v>LETÍCIA</v>
      </c>
    </row>
    <row r="3766" spans="1:13" x14ac:dyDescent="0.25">
      <c r="A3766" s="74">
        <v>201108</v>
      </c>
      <c r="B3766" s="75" t="s">
        <v>232</v>
      </c>
      <c r="C3766" s="75" t="s">
        <v>3769</v>
      </c>
      <c r="D3766" s="76">
        <v>46147</v>
      </c>
      <c r="E3766" s="75" t="s">
        <v>1028</v>
      </c>
      <c r="F3766" s="74">
        <v>49.9</v>
      </c>
      <c r="G3766" s="75" t="s">
        <v>1006</v>
      </c>
      <c r="H3766" s="77" t="str">
        <f>VLOOKUP(DESPESAS[[#This Row],[Plano de Contas]],BASE!$B$3:$D$119,3,FALSE)</f>
        <v>Material de Limpeza (Adm)</v>
      </c>
      <c r="I3766" s="77" t="str">
        <f>IFERROR(VLOOKUP(DESPESAS[[#This Row],[Fornecedor]],Tabela2[],2,FALSE),"")</f>
        <v/>
      </c>
      <c r="J3766" s="77" t="str">
        <f>IFERROR(VLOOKUP(DESPESAS[[#This Row],[Plano de Contas]],BASE!$B$3:$F$119,4,FALSE),"")</f>
        <v>5 - DESPESAS ADMINISTRATIVAS</v>
      </c>
      <c r="K3766" s="77" t="str">
        <f>IFERROR(VLOOKUP(DESPESAS[[#This Row],[Plano de Contas]],BASE!$B$3:$H$119,5,FALSE),"")</f>
        <v>ADMINISTRATIVO</v>
      </c>
      <c r="L3766" s="77">
        <f>IFERROR(VLOOKUP(DESPESAS[[#This Row],[Plano de Contas]],BASE!$B$3:$H$119,6,FALSE),"")</f>
        <v>0</v>
      </c>
      <c r="M3766" s="77" t="str">
        <f>VLOOKUP(DESPESAS[[#This Row],[Plano de Contas]],BASE!$B$3:$H$119,7,FALSE)</f>
        <v>MYLENA</v>
      </c>
    </row>
    <row r="3767" spans="1:13" x14ac:dyDescent="0.25">
      <c r="A3767" s="74">
        <v>201109</v>
      </c>
      <c r="B3767" s="75" t="s">
        <v>232</v>
      </c>
      <c r="C3767" s="75" t="s">
        <v>3770</v>
      </c>
      <c r="D3767" s="76">
        <v>46147</v>
      </c>
      <c r="E3767" s="75" t="s">
        <v>1028</v>
      </c>
      <c r="F3767" s="74">
        <v>149.69999999999999</v>
      </c>
      <c r="G3767" s="75" t="s">
        <v>489</v>
      </c>
      <c r="H3767" s="77" t="str">
        <f>VLOOKUP(DESPESAS[[#This Row],[Plano de Contas]],BASE!$B$3:$D$119,3,FALSE)</f>
        <v>Material de Limpeza CIF</v>
      </c>
      <c r="I3767" s="77" t="str">
        <f>IFERROR(VLOOKUP(DESPESAS[[#This Row],[Fornecedor]],Tabela2[],2,FALSE),"")</f>
        <v/>
      </c>
      <c r="J3767" s="77" t="str">
        <f>IFERROR(VLOOKUP(DESPESAS[[#This Row],[Plano de Contas]],BASE!$B$3:$F$119,4,FALSE),"")</f>
        <v>3 - CUSTOS INDIRETOS</v>
      </c>
      <c r="K3767" s="77" t="str">
        <f>IFERROR(VLOOKUP(DESPESAS[[#This Row],[Plano de Contas]],BASE!$B$3:$H$119,5,FALSE),"")</f>
        <v>COMPRAS</v>
      </c>
      <c r="L3767" s="77">
        <f>IFERROR(VLOOKUP(DESPESAS[[#This Row],[Plano de Contas]],BASE!$B$3:$H$119,6,FALSE),"")</f>
        <v>0</v>
      </c>
      <c r="M3767" s="77" t="str">
        <f>VLOOKUP(DESPESAS[[#This Row],[Plano de Contas]],BASE!$B$3:$H$119,7,FALSE)</f>
        <v>MYLENA</v>
      </c>
    </row>
    <row r="3768" spans="1:13" x14ac:dyDescent="0.25">
      <c r="A3768" s="74">
        <v>201110</v>
      </c>
      <c r="B3768" s="75" t="s">
        <v>279</v>
      </c>
      <c r="C3768" s="75" t="s">
        <v>3771</v>
      </c>
      <c r="D3768" s="76">
        <v>46142</v>
      </c>
      <c r="E3768" s="75" t="s">
        <v>230</v>
      </c>
      <c r="F3768" s="74">
        <v>4.74</v>
      </c>
      <c r="G3768" s="75" t="s">
        <v>236</v>
      </c>
      <c r="H3768" s="77" t="str">
        <f>VLOOKUP(DESPESAS[[#This Row],[Plano de Contas]],BASE!$B$3:$D$119,3,FALSE)</f>
        <v>Despesas de Cobranca</v>
      </c>
      <c r="I3768" s="77" t="str">
        <f>IFERROR(VLOOKUP(DESPESAS[[#This Row],[Fornecedor]],Tabela2[],2,FALSE),"")</f>
        <v/>
      </c>
      <c r="J3768" s="77" t="str">
        <f>IFERROR(VLOOKUP(DESPESAS[[#This Row],[Plano de Contas]],BASE!$B$3:$F$119,4,FALSE),"")</f>
        <v>8 - DESPESAS FINANCEIRAS</v>
      </c>
      <c r="K3768" s="77" t="str">
        <f>IFERROR(VLOOKUP(DESPESAS[[#This Row],[Plano de Contas]],BASE!$B$3:$H$119,5,FALSE),"")</f>
        <v>FINANCEIRO</v>
      </c>
      <c r="L3768" s="77">
        <f>IFERROR(VLOOKUP(DESPESAS[[#This Row],[Plano de Contas]],BASE!$B$3:$H$119,6,FALSE),"")</f>
        <v>0</v>
      </c>
      <c r="M3768" s="77" t="str">
        <f>VLOOKUP(DESPESAS[[#This Row],[Plano de Contas]],BASE!$B$3:$H$119,7,FALSE)</f>
        <v>LETÍCIA</v>
      </c>
    </row>
    <row r="3769" spans="1:13" x14ac:dyDescent="0.25">
      <c r="A3769" s="74">
        <v>201111</v>
      </c>
      <c r="B3769" s="75" t="s">
        <v>281</v>
      </c>
      <c r="C3769" s="75" t="s">
        <v>3772</v>
      </c>
      <c r="D3769" s="76">
        <v>46142</v>
      </c>
      <c r="E3769" s="75" t="s">
        <v>230</v>
      </c>
      <c r="F3769" s="74">
        <v>3.16</v>
      </c>
      <c r="G3769" s="75" t="s">
        <v>236</v>
      </c>
      <c r="H3769" s="77" t="str">
        <f>VLOOKUP(DESPESAS[[#This Row],[Plano de Contas]],BASE!$B$3:$D$119,3,FALSE)</f>
        <v>Despesas de Cobranca</v>
      </c>
      <c r="I3769" s="77" t="str">
        <f>IFERROR(VLOOKUP(DESPESAS[[#This Row],[Fornecedor]],Tabela2[],2,FALSE),"")</f>
        <v/>
      </c>
      <c r="J3769" s="77" t="str">
        <f>IFERROR(VLOOKUP(DESPESAS[[#This Row],[Plano de Contas]],BASE!$B$3:$F$119,4,FALSE),"")</f>
        <v>8 - DESPESAS FINANCEIRAS</v>
      </c>
      <c r="K3769" s="77" t="str">
        <f>IFERROR(VLOOKUP(DESPESAS[[#This Row],[Plano de Contas]],BASE!$B$3:$H$119,5,FALSE),"")</f>
        <v>FINANCEIRO</v>
      </c>
      <c r="L3769" s="77">
        <f>IFERROR(VLOOKUP(DESPESAS[[#This Row],[Plano de Contas]],BASE!$B$3:$H$119,6,FALSE),"")</f>
        <v>0</v>
      </c>
      <c r="M3769" s="77" t="str">
        <f>VLOOKUP(DESPESAS[[#This Row],[Plano de Contas]],BASE!$B$3:$H$119,7,FALSE)</f>
        <v>LETÍCIA</v>
      </c>
    </row>
    <row r="3770" spans="1:13" x14ac:dyDescent="0.25">
      <c r="A3770" s="74">
        <v>201112</v>
      </c>
      <c r="B3770" s="75" t="s">
        <v>221</v>
      </c>
      <c r="C3770" s="75" t="s">
        <v>3773</v>
      </c>
      <c r="D3770" s="76">
        <v>46142</v>
      </c>
      <c r="E3770" s="75" t="s">
        <v>575</v>
      </c>
      <c r="F3770" s="74">
        <v>11.4</v>
      </c>
      <c r="G3770" s="75" t="s">
        <v>236</v>
      </c>
      <c r="H3770" s="77" t="str">
        <f>VLOOKUP(DESPESAS[[#This Row],[Plano de Contas]],BASE!$B$3:$D$119,3,FALSE)</f>
        <v>Despesas de Cobranca</v>
      </c>
      <c r="I3770" s="77" t="str">
        <f>IFERROR(VLOOKUP(DESPESAS[[#This Row],[Fornecedor]],Tabela2[],2,FALSE),"")</f>
        <v/>
      </c>
      <c r="J3770" s="77" t="str">
        <f>IFERROR(VLOOKUP(DESPESAS[[#This Row],[Plano de Contas]],BASE!$B$3:$F$119,4,FALSE),"")</f>
        <v>8 - DESPESAS FINANCEIRAS</v>
      </c>
      <c r="K3770" s="77" t="str">
        <f>IFERROR(VLOOKUP(DESPESAS[[#This Row],[Plano de Contas]],BASE!$B$3:$H$119,5,FALSE),"")</f>
        <v>FINANCEIRO</v>
      </c>
      <c r="L3770" s="77">
        <f>IFERROR(VLOOKUP(DESPESAS[[#This Row],[Plano de Contas]],BASE!$B$3:$H$119,6,FALSE),"")</f>
        <v>0</v>
      </c>
      <c r="M3770" s="77" t="str">
        <f>VLOOKUP(DESPESAS[[#This Row],[Plano de Contas]],BASE!$B$3:$H$119,7,FALSE)</f>
        <v>LETÍCIA</v>
      </c>
    </row>
    <row r="3771" spans="1:13" x14ac:dyDescent="0.25">
      <c r="A3771" s="74">
        <v>201113</v>
      </c>
      <c r="B3771" s="75" t="s">
        <v>221</v>
      </c>
      <c r="C3771" s="75" t="s">
        <v>3774</v>
      </c>
      <c r="D3771" s="76">
        <v>46146</v>
      </c>
      <c r="E3771" s="75" t="s">
        <v>3775</v>
      </c>
      <c r="F3771" s="74">
        <v>378</v>
      </c>
      <c r="G3771" s="75" t="s">
        <v>326</v>
      </c>
      <c r="H3771" s="77" t="str">
        <f>VLOOKUP(DESPESAS[[#This Row],[Plano de Contas]],BASE!$B$3:$D$119,3,FALSE)</f>
        <v>Frete sobre Compras</v>
      </c>
      <c r="I3771" s="77" t="str">
        <f>IFERROR(VLOOKUP(DESPESAS[[#This Row],[Fornecedor]],Tabela2[],2,FALSE),"")</f>
        <v/>
      </c>
      <c r="J3771" s="77" t="str">
        <f>IFERROR(VLOOKUP(DESPESAS[[#This Row],[Plano de Contas]],BASE!$B$3:$F$119,4,FALSE),"")</f>
        <v>1 - CPV</v>
      </c>
      <c r="K3771" s="77" t="str">
        <f>IFERROR(VLOOKUP(DESPESAS[[#This Row],[Plano de Contas]],BASE!$B$3:$H$119,5,FALSE),"")</f>
        <v>COMPRAS</v>
      </c>
      <c r="L3771" s="77">
        <f>IFERROR(VLOOKUP(DESPESAS[[#This Row],[Plano de Contas]],BASE!$B$3:$H$119,6,FALSE),"")</f>
        <v>0</v>
      </c>
      <c r="M3771" s="77" t="str">
        <f>VLOOKUP(DESPESAS[[#This Row],[Plano de Contas]],BASE!$B$3:$H$119,7,FALSE)</f>
        <v>MYLENA</v>
      </c>
    </row>
    <row r="3772" spans="1:13" x14ac:dyDescent="0.25">
      <c r="A3772" s="74">
        <v>201114</v>
      </c>
      <c r="B3772" s="75" t="s">
        <v>221</v>
      </c>
      <c r="C3772" s="75" t="s">
        <v>3776</v>
      </c>
      <c r="D3772" s="76">
        <v>46146</v>
      </c>
      <c r="E3772" s="75" t="s">
        <v>347</v>
      </c>
      <c r="F3772" s="74">
        <v>24.6</v>
      </c>
      <c r="G3772" s="75" t="s">
        <v>1318</v>
      </c>
      <c r="H3772" s="77" t="str">
        <f>VLOOKUP(DESPESAS[[#This Row],[Plano de Contas]],BASE!$B$3:$D$119,3,FALSE)</f>
        <v>Feiras e Eventos</v>
      </c>
      <c r="I3772" s="77" t="str">
        <f>IFERROR(VLOOKUP(DESPESAS[[#This Row],[Fornecedor]],Tabela2[],2,FALSE),"")</f>
        <v/>
      </c>
      <c r="J3772" s="77" t="str">
        <f>IFERROR(VLOOKUP(DESPESAS[[#This Row],[Plano de Contas]],BASE!$B$3:$F$119,4,FALSE),"")</f>
        <v>6 - DESPESA COM VENDAS</v>
      </c>
      <c r="K3772" s="77" t="str">
        <f>IFERROR(VLOOKUP(DESPESAS[[#This Row],[Plano de Contas]],BASE!$B$3:$H$119,5,FALSE),"")</f>
        <v>COMERCIAL</v>
      </c>
      <c r="L3772" s="77">
        <f>IFERROR(VLOOKUP(DESPESAS[[#This Row],[Plano de Contas]],BASE!$B$3:$H$119,6,FALSE),"")</f>
        <v>0</v>
      </c>
      <c r="M3772" s="77" t="str">
        <f>VLOOKUP(DESPESAS[[#This Row],[Plano de Contas]],BASE!$B$3:$H$119,7,FALSE)</f>
        <v>THAIS</v>
      </c>
    </row>
    <row r="3773" spans="1:13" x14ac:dyDescent="0.25">
      <c r="A3773" s="74">
        <v>201115</v>
      </c>
      <c r="B3773" s="75" t="s">
        <v>221</v>
      </c>
      <c r="C3773" s="75" t="s">
        <v>3777</v>
      </c>
      <c r="D3773" s="76">
        <v>46146</v>
      </c>
      <c r="E3773" s="75" t="s">
        <v>3778</v>
      </c>
      <c r="F3773" s="74">
        <v>51</v>
      </c>
      <c r="G3773" s="75" t="s">
        <v>854</v>
      </c>
      <c r="H3773" s="77" t="str">
        <f>VLOOKUP(DESPESAS[[#This Row],[Plano de Contas]],BASE!$B$3:$D$119,3,FALSE)</f>
        <v>Confraternização</v>
      </c>
      <c r="I3773" s="77" t="str">
        <f>IFERROR(VLOOKUP(DESPESAS[[#This Row],[Fornecedor]],Tabela2[],2,FALSE),"")</f>
        <v/>
      </c>
      <c r="J3773" s="77" t="str">
        <f>IFERROR(VLOOKUP(DESPESAS[[#This Row],[Plano de Contas]],BASE!$B$3:$F$119,4,FALSE),"")</f>
        <v>4 - GASTOS COM PESSOAL</v>
      </c>
      <c r="K3773" s="77" t="str">
        <f>IFERROR(VLOOKUP(DESPESAS[[#This Row],[Plano de Contas]],BASE!$B$3:$H$119,5,FALSE),"")</f>
        <v>DH</v>
      </c>
      <c r="L3773" s="77">
        <f>IFERROR(VLOOKUP(DESPESAS[[#This Row],[Plano de Contas]],BASE!$B$3:$H$119,6,FALSE),"")</f>
        <v>0</v>
      </c>
      <c r="M3773" s="77" t="str">
        <f>VLOOKUP(DESPESAS[[#This Row],[Plano de Contas]],BASE!$B$3:$H$119,7,FALSE)</f>
        <v>MYLENA</v>
      </c>
    </row>
    <row r="3774" spans="1:13" x14ac:dyDescent="0.25">
      <c r="A3774" s="74">
        <v>201116</v>
      </c>
      <c r="B3774" s="75" t="s">
        <v>221</v>
      </c>
      <c r="C3774" s="75" t="s">
        <v>3779</v>
      </c>
      <c r="D3774" s="76">
        <v>46142</v>
      </c>
      <c r="E3774" s="75" t="s">
        <v>442</v>
      </c>
      <c r="F3774" s="74">
        <v>2091</v>
      </c>
      <c r="G3774" s="75" t="s">
        <v>262</v>
      </c>
      <c r="H3774" s="77" t="str">
        <f>VLOOKUP(DESPESAS[[#This Row],[Plano de Contas]],BASE!$B$3:$D$119,3,FALSE)</f>
        <v>Fretes Karams</v>
      </c>
      <c r="I3774" s="77" t="str">
        <f>IFERROR(VLOOKUP(DESPESAS[[#This Row],[Fornecedor]],Tabela2[],2,FALSE),"")</f>
        <v/>
      </c>
      <c r="J3774" s="77" t="str">
        <f>IFERROR(VLOOKUP(DESPESAS[[#This Row],[Plano de Contas]],BASE!$B$3:$F$119,4,FALSE),"")</f>
        <v>6 - DESPESA COM VENDAS</v>
      </c>
      <c r="K3774" s="77" t="str">
        <f>IFERROR(VLOOKUP(DESPESAS[[#This Row],[Plano de Contas]],BASE!$B$3:$H$119,5,FALSE),"")</f>
        <v>LOGÍSTICA</v>
      </c>
      <c r="L3774" s="77">
        <f>IFERROR(VLOOKUP(DESPESAS[[#This Row],[Plano de Contas]],BASE!$B$3:$H$119,6,FALSE),"")</f>
        <v>0</v>
      </c>
      <c r="M3774" s="77" t="str">
        <f>VLOOKUP(DESPESAS[[#This Row],[Plano de Contas]],BASE!$B$3:$H$119,7,FALSE)</f>
        <v>MYLENA</v>
      </c>
    </row>
    <row r="3775" spans="1:13" x14ac:dyDescent="0.25">
      <c r="A3775" s="74">
        <v>201117</v>
      </c>
      <c r="B3775" s="75" t="s">
        <v>221</v>
      </c>
      <c r="C3775" s="75" t="s">
        <v>3780</v>
      </c>
      <c r="D3775" s="76">
        <v>46142</v>
      </c>
      <c r="E3775" s="75" t="s">
        <v>413</v>
      </c>
      <c r="F3775" s="74">
        <v>1516</v>
      </c>
      <c r="G3775" s="75" t="s">
        <v>262</v>
      </c>
      <c r="H3775" s="77" t="str">
        <f>VLOOKUP(DESPESAS[[#This Row],[Plano de Contas]],BASE!$B$3:$D$119,3,FALSE)</f>
        <v>Fretes Karams</v>
      </c>
      <c r="I3775" s="77" t="str">
        <f>IFERROR(VLOOKUP(DESPESAS[[#This Row],[Fornecedor]],Tabela2[],2,FALSE),"")</f>
        <v/>
      </c>
      <c r="J3775" s="77" t="str">
        <f>IFERROR(VLOOKUP(DESPESAS[[#This Row],[Plano de Contas]],BASE!$B$3:$F$119,4,FALSE),"")</f>
        <v>6 - DESPESA COM VENDAS</v>
      </c>
      <c r="K3775" s="77" t="str">
        <f>IFERROR(VLOOKUP(DESPESAS[[#This Row],[Plano de Contas]],BASE!$B$3:$H$119,5,FALSE),"")</f>
        <v>LOGÍSTICA</v>
      </c>
      <c r="L3775" s="77">
        <f>IFERROR(VLOOKUP(DESPESAS[[#This Row],[Plano de Contas]],BASE!$B$3:$H$119,6,FALSE),"")</f>
        <v>0</v>
      </c>
      <c r="M3775" s="77" t="str">
        <f>VLOOKUP(DESPESAS[[#This Row],[Plano de Contas]],BASE!$B$3:$H$119,7,FALSE)</f>
        <v>MYLENA</v>
      </c>
    </row>
    <row r="3776" spans="1:13" x14ac:dyDescent="0.25">
      <c r="A3776" s="74">
        <v>201118</v>
      </c>
      <c r="B3776" s="75" t="s">
        <v>221</v>
      </c>
      <c r="C3776" s="75" t="s">
        <v>3781</v>
      </c>
      <c r="D3776" s="76">
        <v>46146</v>
      </c>
      <c r="E3776" s="75" t="s">
        <v>640</v>
      </c>
      <c r="F3776" s="74">
        <v>1370.85</v>
      </c>
      <c r="G3776" s="75" t="s">
        <v>365</v>
      </c>
      <c r="H3776" s="77" t="str">
        <f>VLOOKUP(DESPESAS[[#This Row],[Plano de Contas]],BASE!$B$3:$D$119,3,FALSE)</f>
        <v>Pró-Labore</v>
      </c>
      <c r="I3776" s="77" t="str">
        <f>IFERROR(VLOOKUP(DESPESAS[[#This Row],[Fornecedor]],Tabela2[],2,FALSE),"")</f>
        <v/>
      </c>
      <c r="J3776" s="77" t="str">
        <f>IFERROR(VLOOKUP(DESPESAS[[#This Row],[Plano de Contas]],BASE!$B$3:$F$119,4,FALSE),"")</f>
        <v>4 - GASTOS COM PESSOAL</v>
      </c>
      <c r="K3776" s="77" t="str">
        <f>IFERROR(VLOOKUP(DESPESAS[[#This Row],[Plano de Contas]],BASE!$B$3:$H$119,5,FALSE),"")</f>
        <v>DIRETORIA</v>
      </c>
      <c r="L3776" s="77">
        <f>IFERROR(VLOOKUP(DESPESAS[[#This Row],[Plano de Contas]],BASE!$B$3:$H$119,6,FALSE),"")</f>
        <v>0</v>
      </c>
      <c r="M3776" s="77" t="str">
        <f>VLOOKUP(DESPESAS[[#This Row],[Plano de Contas]],BASE!$B$3:$H$119,7,FALSE)</f>
        <v>FÁBIO</v>
      </c>
    </row>
    <row r="3777" spans="1:13" x14ac:dyDescent="0.25">
      <c r="A3777" s="74">
        <v>201119</v>
      </c>
      <c r="B3777" s="75" t="s">
        <v>221</v>
      </c>
      <c r="C3777" s="75" t="s">
        <v>3782</v>
      </c>
      <c r="D3777" s="76">
        <v>46146</v>
      </c>
      <c r="E3777" s="75" t="s">
        <v>640</v>
      </c>
      <c r="F3777" s="74">
        <v>1370.85</v>
      </c>
      <c r="G3777" s="75" t="s">
        <v>365</v>
      </c>
      <c r="H3777" s="77" t="str">
        <f>VLOOKUP(DESPESAS[[#This Row],[Plano de Contas]],BASE!$B$3:$D$119,3,FALSE)</f>
        <v>Pró-Labore</v>
      </c>
      <c r="I3777" s="77" t="str">
        <f>IFERROR(VLOOKUP(DESPESAS[[#This Row],[Fornecedor]],Tabela2[],2,FALSE),"")</f>
        <v/>
      </c>
      <c r="J3777" s="77" t="str">
        <f>IFERROR(VLOOKUP(DESPESAS[[#This Row],[Plano de Contas]],BASE!$B$3:$F$119,4,FALSE),"")</f>
        <v>4 - GASTOS COM PESSOAL</v>
      </c>
      <c r="K3777" s="77" t="str">
        <f>IFERROR(VLOOKUP(DESPESAS[[#This Row],[Plano de Contas]],BASE!$B$3:$H$119,5,FALSE),"")</f>
        <v>DIRETORIA</v>
      </c>
      <c r="L3777" s="77">
        <f>IFERROR(VLOOKUP(DESPESAS[[#This Row],[Plano de Contas]],BASE!$B$3:$H$119,6,FALSE),"")</f>
        <v>0</v>
      </c>
      <c r="M3777" s="77" t="str">
        <f>VLOOKUP(DESPESAS[[#This Row],[Plano de Contas]],BASE!$B$3:$H$119,7,FALSE)</f>
        <v>FÁBIO</v>
      </c>
    </row>
    <row r="3778" spans="1:13" x14ac:dyDescent="0.25">
      <c r="A3778" s="74">
        <v>201120</v>
      </c>
      <c r="B3778" s="75" t="s">
        <v>221</v>
      </c>
      <c r="C3778" s="75" t="s">
        <v>3783</v>
      </c>
      <c r="D3778" s="76">
        <v>46146</v>
      </c>
      <c r="E3778" s="75" t="s">
        <v>640</v>
      </c>
      <c r="F3778" s="74">
        <v>808.51</v>
      </c>
      <c r="G3778" s="75" t="s">
        <v>365</v>
      </c>
      <c r="H3778" s="77" t="str">
        <f>VLOOKUP(DESPESAS[[#This Row],[Plano de Contas]],BASE!$B$3:$D$119,3,FALSE)</f>
        <v>Pró-Labore</v>
      </c>
      <c r="I3778" s="77" t="str">
        <f>IFERROR(VLOOKUP(DESPESAS[[#This Row],[Fornecedor]],Tabela2[],2,FALSE),"")</f>
        <v/>
      </c>
      <c r="J3778" s="77" t="str">
        <f>IFERROR(VLOOKUP(DESPESAS[[#This Row],[Plano de Contas]],BASE!$B$3:$F$119,4,FALSE),"")</f>
        <v>4 - GASTOS COM PESSOAL</v>
      </c>
      <c r="K3778" s="77" t="str">
        <f>IFERROR(VLOOKUP(DESPESAS[[#This Row],[Plano de Contas]],BASE!$B$3:$H$119,5,FALSE),"")</f>
        <v>DIRETORIA</v>
      </c>
      <c r="L3778" s="77">
        <f>IFERROR(VLOOKUP(DESPESAS[[#This Row],[Plano de Contas]],BASE!$B$3:$H$119,6,FALSE),"")</f>
        <v>0</v>
      </c>
      <c r="M3778" s="77" t="str">
        <f>VLOOKUP(DESPESAS[[#This Row],[Plano de Contas]],BASE!$B$3:$H$119,7,FALSE)</f>
        <v>FÁBIO</v>
      </c>
    </row>
    <row r="3779" spans="1:13" x14ac:dyDescent="0.25">
      <c r="A3779" s="74">
        <v>201121</v>
      </c>
      <c r="B3779" s="75" t="s">
        <v>221</v>
      </c>
      <c r="C3779" s="75" t="s">
        <v>3784</v>
      </c>
      <c r="D3779" s="76">
        <v>46146</v>
      </c>
      <c r="E3779" s="75" t="s">
        <v>640</v>
      </c>
      <c r="F3779" s="74">
        <v>1138.4000000000001</v>
      </c>
      <c r="G3779" s="75" t="s">
        <v>365</v>
      </c>
      <c r="H3779" s="77" t="str">
        <f>VLOOKUP(DESPESAS[[#This Row],[Plano de Contas]],BASE!$B$3:$D$119,3,FALSE)</f>
        <v>Pró-Labore</v>
      </c>
      <c r="I3779" s="77" t="str">
        <f>IFERROR(VLOOKUP(DESPESAS[[#This Row],[Fornecedor]],Tabela2[],2,FALSE),"")</f>
        <v/>
      </c>
      <c r="J3779" s="77" t="str">
        <f>IFERROR(VLOOKUP(DESPESAS[[#This Row],[Plano de Contas]],BASE!$B$3:$F$119,4,FALSE),"")</f>
        <v>4 - GASTOS COM PESSOAL</v>
      </c>
      <c r="K3779" s="77" t="str">
        <f>IFERROR(VLOOKUP(DESPESAS[[#This Row],[Plano de Contas]],BASE!$B$3:$H$119,5,FALSE),"")</f>
        <v>DIRETORIA</v>
      </c>
      <c r="L3779" s="77">
        <f>IFERROR(VLOOKUP(DESPESAS[[#This Row],[Plano de Contas]],BASE!$B$3:$H$119,6,FALSE),"")</f>
        <v>0</v>
      </c>
      <c r="M3779" s="77" t="str">
        <f>VLOOKUP(DESPESAS[[#This Row],[Plano de Contas]],BASE!$B$3:$H$119,7,FALSE)</f>
        <v>FÁBIO</v>
      </c>
    </row>
    <row r="3780" spans="1:13" x14ac:dyDescent="0.25">
      <c r="A3780" s="74">
        <v>201122</v>
      </c>
      <c r="B3780" s="75" t="s">
        <v>221</v>
      </c>
      <c r="C3780" s="75" t="s">
        <v>3785</v>
      </c>
      <c r="D3780" s="76">
        <v>46146</v>
      </c>
      <c r="E3780" s="75" t="s">
        <v>242</v>
      </c>
      <c r="F3780" s="74">
        <v>2202.41</v>
      </c>
      <c r="G3780" s="75" t="s">
        <v>241</v>
      </c>
      <c r="H3780" s="77" t="str">
        <f>VLOOKUP(DESPESAS[[#This Row],[Plano de Contas]],BASE!$B$3:$D$119,3,FALSE)</f>
        <v>Combustiveis Frota</v>
      </c>
      <c r="I3780" s="77" t="str">
        <f>IFERROR(VLOOKUP(DESPESAS[[#This Row],[Fornecedor]],Tabela2[],2,FALSE),"")</f>
        <v/>
      </c>
      <c r="J3780" s="77" t="str">
        <f>IFERROR(VLOOKUP(DESPESAS[[#This Row],[Plano de Contas]],BASE!$B$3:$F$119,4,FALSE),"")</f>
        <v>6 - DESPESA COM VENDAS</v>
      </c>
      <c r="K3780" s="77" t="str">
        <f>IFERROR(VLOOKUP(DESPESAS[[#This Row],[Plano de Contas]],BASE!$B$3:$H$119,5,FALSE),"")</f>
        <v>LOGÍSTICA</v>
      </c>
      <c r="L3780" s="77">
        <f>IFERROR(VLOOKUP(DESPESAS[[#This Row],[Plano de Contas]],BASE!$B$3:$H$119,6,FALSE),"")</f>
        <v>0</v>
      </c>
      <c r="M3780" s="77" t="str">
        <f>VLOOKUP(DESPESAS[[#This Row],[Plano de Contas]],BASE!$B$3:$H$119,7,FALSE)</f>
        <v>MYLENA</v>
      </c>
    </row>
    <row r="3781" spans="1:13" x14ac:dyDescent="0.25">
      <c r="A3781" s="74">
        <v>201123</v>
      </c>
      <c r="B3781" s="75" t="s">
        <v>221</v>
      </c>
      <c r="C3781" s="75" t="s">
        <v>3786</v>
      </c>
      <c r="D3781" s="76">
        <v>46146</v>
      </c>
      <c r="E3781" s="75" t="s">
        <v>242</v>
      </c>
      <c r="F3781" s="74">
        <v>119.9</v>
      </c>
      <c r="G3781" s="75" t="s">
        <v>247</v>
      </c>
      <c r="H3781" s="77" t="str">
        <f>VLOOKUP(DESPESAS[[#This Row],[Plano de Contas]],BASE!$B$3:$D$119,3,FALSE)</f>
        <v>Manutenção com veiculos</v>
      </c>
      <c r="I3781" s="77" t="str">
        <f>IFERROR(VLOOKUP(DESPESAS[[#This Row],[Fornecedor]],Tabela2[],2,FALSE),"")</f>
        <v/>
      </c>
      <c r="J3781" s="77" t="str">
        <f>IFERROR(VLOOKUP(DESPESAS[[#This Row],[Plano de Contas]],BASE!$B$3:$F$119,4,FALSE),"")</f>
        <v>6 - DESPESA COM VENDAS</v>
      </c>
      <c r="K3781" s="77" t="str">
        <f>IFERROR(VLOOKUP(DESPESAS[[#This Row],[Plano de Contas]],BASE!$B$3:$H$119,5,FALSE),"")</f>
        <v>LOGÍSTICA</v>
      </c>
      <c r="L3781" s="77">
        <f>IFERROR(VLOOKUP(DESPESAS[[#This Row],[Plano de Contas]],BASE!$B$3:$H$119,6,FALSE),"")</f>
        <v>0</v>
      </c>
      <c r="M3781" s="77" t="str">
        <f>VLOOKUP(DESPESAS[[#This Row],[Plano de Contas]],BASE!$B$3:$H$119,7,FALSE)</f>
        <v>MYLENA</v>
      </c>
    </row>
    <row r="3782" spans="1:13" x14ac:dyDescent="0.25">
      <c r="A3782" s="74">
        <v>201124</v>
      </c>
      <c r="B3782" s="75" t="s">
        <v>221</v>
      </c>
      <c r="C3782" s="75" t="s">
        <v>3787</v>
      </c>
      <c r="D3782" s="76">
        <v>46146</v>
      </c>
      <c r="E3782" s="75" t="s">
        <v>640</v>
      </c>
      <c r="F3782" s="74">
        <v>1326.87</v>
      </c>
      <c r="G3782" s="75" t="s">
        <v>365</v>
      </c>
      <c r="H3782" s="77" t="str">
        <f>VLOOKUP(DESPESAS[[#This Row],[Plano de Contas]],BASE!$B$3:$D$119,3,FALSE)</f>
        <v>Pró-Labore</v>
      </c>
      <c r="I3782" s="77" t="str">
        <f>IFERROR(VLOOKUP(DESPESAS[[#This Row],[Fornecedor]],Tabela2[],2,FALSE),"")</f>
        <v/>
      </c>
      <c r="J3782" s="77" t="str">
        <f>IFERROR(VLOOKUP(DESPESAS[[#This Row],[Plano de Contas]],BASE!$B$3:$F$119,4,FALSE),"")</f>
        <v>4 - GASTOS COM PESSOAL</v>
      </c>
      <c r="K3782" s="77" t="str">
        <f>IFERROR(VLOOKUP(DESPESAS[[#This Row],[Plano de Contas]],BASE!$B$3:$H$119,5,FALSE),"")</f>
        <v>DIRETORIA</v>
      </c>
      <c r="L3782" s="77">
        <f>IFERROR(VLOOKUP(DESPESAS[[#This Row],[Plano de Contas]],BASE!$B$3:$H$119,6,FALSE),"")</f>
        <v>0</v>
      </c>
      <c r="M3782" s="77" t="str">
        <f>VLOOKUP(DESPESAS[[#This Row],[Plano de Contas]],BASE!$B$3:$H$119,7,FALSE)</f>
        <v>FÁBIO</v>
      </c>
    </row>
    <row r="3783" spans="1:13" x14ac:dyDescent="0.25">
      <c r="A3783" s="74">
        <v>201125</v>
      </c>
      <c r="B3783" s="75" t="s">
        <v>232</v>
      </c>
      <c r="C3783" s="75" t="s">
        <v>3788</v>
      </c>
      <c r="D3783" s="76">
        <v>46140</v>
      </c>
      <c r="E3783" s="75" t="s">
        <v>1234</v>
      </c>
      <c r="F3783" s="74">
        <v>1478</v>
      </c>
      <c r="G3783" s="75" t="s">
        <v>241</v>
      </c>
      <c r="H3783" s="77" t="str">
        <f>VLOOKUP(DESPESAS[[#This Row],[Plano de Contas]],BASE!$B$3:$D$119,3,FALSE)</f>
        <v>Combustiveis Frota</v>
      </c>
      <c r="I3783" s="77" t="str">
        <f>IFERROR(VLOOKUP(DESPESAS[[#This Row],[Fornecedor]],Tabela2[],2,FALSE),"")</f>
        <v/>
      </c>
      <c r="J3783" s="77" t="str">
        <f>IFERROR(VLOOKUP(DESPESAS[[#This Row],[Plano de Contas]],BASE!$B$3:$F$119,4,FALSE),"")</f>
        <v>6 - DESPESA COM VENDAS</v>
      </c>
      <c r="K3783" s="77" t="str">
        <f>IFERROR(VLOOKUP(DESPESAS[[#This Row],[Plano de Contas]],BASE!$B$3:$H$119,5,FALSE),"")</f>
        <v>LOGÍSTICA</v>
      </c>
      <c r="L3783" s="77">
        <f>IFERROR(VLOOKUP(DESPESAS[[#This Row],[Plano de Contas]],BASE!$B$3:$H$119,6,FALSE),"")</f>
        <v>0</v>
      </c>
      <c r="M3783" s="77" t="str">
        <f>VLOOKUP(DESPESAS[[#This Row],[Plano de Contas]],BASE!$B$3:$H$119,7,FALSE)</f>
        <v>MYLENA</v>
      </c>
    </row>
    <row r="3784" spans="1:13" x14ac:dyDescent="0.25">
      <c r="A3784" s="74">
        <v>201126</v>
      </c>
      <c r="B3784" s="75" t="s">
        <v>232</v>
      </c>
      <c r="C3784" s="75" t="s">
        <v>3789</v>
      </c>
      <c r="D3784" s="76">
        <v>46146</v>
      </c>
      <c r="E3784" s="75" t="s">
        <v>391</v>
      </c>
      <c r="F3784" s="74">
        <v>1098.8</v>
      </c>
      <c r="G3784" s="75" t="s">
        <v>241</v>
      </c>
      <c r="H3784" s="77" t="str">
        <f>VLOOKUP(DESPESAS[[#This Row],[Plano de Contas]],BASE!$B$3:$D$119,3,FALSE)</f>
        <v>Combustiveis Frota</v>
      </c>
      <c r="I3784" s="77" t="str">
        <f>IFERROR(VLOOKUP(DESPESAS[[#This Row],[Fornecedor]],Tabela2[],2,FALSE),"")</f>
        <v/>
      </c>
      <c r="J3784" s="77" t="str">
        <f>IFERROR(VLOOKUP(DESPESAS[[#This Row],[Plano de Contas]],BASE!$B$3:$F$119,4,FALSE),"")</f>
        <v>6 - DESPESA COM VENDAS</v>
      </c>
      <c r="K3784" s="77" t="str">
        <f>IFERROR(VLOOKUP(DESPESAS[[#This Row],[Plano de Contas]],BASE!$B$3:$H$119,5,FALSE),"")</f>
        <v>LOGÍSTICA</v>
      </c>
      <c r="L3784" s="77">
        <f>IFERROR(VLOOKUP(DESPESAS[[#This Row],[Plano de Contas]],BASE!$B$3:$H$119,6,FALSE),"")</f>
        <v>0</v>
      </c>
      <c r="M3784" s="77" t="str">
        <f>VLOOKUP(DESPESAS[[#This Row],[Plano de Contas]],BASE!$B$3:$H$119,7,FALSE)</f>
        <v>MYLENA</v>
      </c>
    </row>
    <row r="3785" spans="1:13" x14ac:dyDescent="0.25">
      <c r="A3785" s="74">
        <v>201127</v>
      </c>
      <c r="B3785" s="75" t="s">
        <v>232</v>
      </c>
      <c r="C3785" s="75" t="s">
        <v>3790</v>
      </c>
      <c r="D3785" s="76">
        <v>46146</v>
      </c>
      <c r="E3785" s="75" t="s">
        <v>3791</v>
      </c>
      <c r="F3785" s="74">
        <v>105.34</v>
      </c>
      <c r="G3785" s="75" t="s">
        <v>241</v>
      </c>
      <c r="H3785" s="77" t="str">
        <f>VLOOKUP(DESPESAS[[#This Row],[Plano de Contas]],BASE!$B$3:$D$119,3,FALSE)</f>
        <v>Combustiveis Frota</v>
      </c>
      <c r="I3785" s="77" t="str">
        <f>IFERROR(VLOOKUP(DESPESAS[[#This Row],[Fornecedor]],Tabela2[],2,FALSE),"")</f>
        <v/>
      </c>
      <c r="J3785" s="77" t="str">
        <f>IFERROR(VLOOKUP(DESPESAS[[#This Row],[Plano de Contas]],BASE!$B$3:$F$119,4,FALSE),"")</f>
        <v>6 - DESPESA COM VENDAS</v>
      </c>
      <c r="K3785" s="77" t="str">
        <f>IFERROR(VLOOKUP(DESPESAS[[#This Row],[Plano de Contas]],BASE!$B$3:$H$119,5,FALSE),"")</f>
        <v>LOGÍSTICA</v>
      </c>
      <c r="L3785" s="77">
        <f>IFERROR(VLOOKUP(DESPESAS[[#This Row],[Plano de Contas]],BASE!$B$3:$H$119,6,FALSE),"")</f>
        <v>0</v>
      </c>
      <c r="M3785" s="77" t="str">
        <f>VLOOKUP(DESPESAS[[#This Row],[Plano de Contas]],BASE!$B$3:$H$119,7,FALSE)</f>
        <v>MYLENA</v>
      </c>
    </row>
    <row r="3786" spans="1:13" x14ac:dyDescent="0.25">
      <c r="A3786" s="74">
        <v>201128</v>
      </c>
      <c r="B3786" s="75" t="s">
        <v>232</v>
      </c>
      <c r="C3786" s="75" t="s">
        <v>3792</v>
      </c>
      <c r="D3786" s="76">
        <v>46146</v>
      </c>
      <c r="E3786" s="75" t="s">
        <v>3793</v>
      </c>
      <c r="F3786" s="74">
        <v>99.61</v>
      </c>
      <c r="G3786" s="75" t="s">
        <v>241</v>
      </c>
      <c r="H3786" s="77" t="str">
        <f>VLOOKUP(DESPESAS[[#This Row],[Plano de Contas]],BASE!$B$3:$D$119,3,FALSE)</f>
        <v>Combustiveis Frota</v>
      </c>
      <c r="I3786" s="77" t="str">
        <f>IFERROR(VLOOKUP(DESPESAS[[#This Row],[Fornecedor]],Tabela2[],2,FALSE),"")</f>
        <v/>
      </c>
      <c r="J3786" s="77" t="str">
        <f>IFERROR(VLOOKUP(DESPESAS[[#This Row],[Plano de Contas]],BASE!$B$3:$F$119,4,FALSE),"")</f>
        <v>6 - DESPESA COM VENDAS</v>
      </c>
      <c r="K3786" s="77" t="str">
        <f>IFERROR(VLOOKUP(DESPESAS[[#This Row],[Plano de Contas]],BASE!$B$3:$H$119,5,FALSE),"")</f>
        <v>LOGÍSTICA</v>
      </c>
      <c r="L3786" s="77">
        <f>IFERROR(VLOOKUP(DESPESAS[[#This Row],[Plano de Contas]],BASE!$B$3:$H$119,6,FALSE),"")</f>
        <v>0</v>
      </c>
      <c r="M3786" s="77" t="str">
        <f>VLOOKUP(DESPESAS[[#This Row],[Plano de Contas]],BASE!$B$3:$H$119,7,FALSE)</f>
        <v>MYLENA</v>
      </c>
    </row>
    <row r="3787" spans="1:13" x14ac:dyDescent="0.25">
      <c r="A3787" s="74">
        <v>201129</v>
      </c>
      <c r="B3787" s="75" t="s">
        <v>232</v>
      </c>
      <c r="C3787" s="75" t="s">
        <v>3794</v>
      </c>
      <c r="D3787" s="76">
        <v>46146</v>
      </c>
      <c r="E3787" s="75" t="s">
        <v>3791</v>
      </c>
      <c r="F3787" s="74">
        <v>1181.54</v>
      </c>
      <c r="G3787" s="75" t="s">
        <v>241</v>
      </c>
      <c r="H3787" s="77" t="str">
        <f>VLOOKUP(DESPESAS[[#This Row],[Plano de Contas]],BASE!$B$3:$D$119,3,FALSE)</f>
        <v>Combustiveis Frota</v>
      </c>
      <c r="I3787" s="77" t="str">
        <f>IFERROR(VLOOKUP(DESPESAS[[#This Row],[Fornecedor]],Tabela2[],2,FALSE),"")</f>
        <v/>
      </c>
      <c r="J3787" s="77" t="str">
        <f>IFERROR(VLOOKUP(DESPESAS[[#This Row],[Plano de Contas]],BASE!$B$3:$F$119,4,FALSE),"")</f>
        <v>6 - DESPESA COM VENDAS</v>
      </c>
      <c r="K3787" s="77" t="str">
        <f>IFERROR(VLOOKUP(DESPESAS[[#This Row],[Plano de Contas]],BASE!$B$3:$H$119,5,FALSE),"")</f>
        <v>LOGÍSTICA</v>
      </c>
      <c r="L3787" s="77">
        <f>IFERROR(VLOOKUP(DESPESAS[[#This Row],[Plano de Contas]],BASE!$B$3:$H$119,6,FALSE),"")</f>
        <v>0</v>
      </c>
      <c r="M3787" s="77" t="str">
        <f>VLOOKUP(DESPESAS[[#This Row],[Plano de Contas]],BASE!$B$3:$H$119,7,FALSE)</f>
        <v>MYLENA</v>
      </c>
    </row>
    <row r="3788" spans="1:13" x14ac:dyDescent="0.25">
      <c r="A3788" s="74">
        <v>201130</v>
      </c>
      <c r="B3788" s="75" t="s">
        <v>232</v>
      </c>
      <c r="C3788" s="75" t="s">
        <v>3795</v>
      </c>
      <c r="D3788" s="76">
        <v>46146</v>
      </c>
      <c r="E3788" s="75" t="s">
        <v>3793</v>
      </c>
      <c r="F3788" s="74">
        <v>1001.49</v>
      </c>
      <c r="G3788" s="75" t="s">
        <v>241</v>
      </c>
      <c r="H3788" s="77" t="str">
        <f>VLOOKUP(DESPESAS[[#This Row],[Plano de Contas]],BASE!$B$3:$D$119,3,FALSE)</f>
        <v>Combustiveis Frota</v>
      </c>
      <c r="I3788" s="77" t="str">
        <f>IFERROR(VLOOKUP(DESPESAS[[#This Row],[Fornecedor]],Tabela2[],2,FALSE),"")</f>
        <v/>
      </c>
      <c r="J3788" s="77" t="str">
        <f>IFERROR(VLOOKUP(DESPESAS[[#This Row],[Plano de Contas]],BASE!$B$3:$F$119,4,FALSE),"")</f>
        <v>6 - DESPESA COM VENDAS</v>
      </c>
      <c r="K3788" s="77" t="str">
        <f>IFERROR(VLOOKUP(DESPESAS[[#This Row],[Plano de Contas]],BASE!$B$3:$H$119,5,FALSE),"")</f>
        <v>LOGÍSTICA</v>
      </c>
      <c r="L3788" s="77">
        <f>IFERROR(VLOOKUP(DESPESAS[[#This Row],[Plano de Contas]],BASE!$B$3:$H$119,6,FALSE),"")</f>
        <v>0</v>
      </c>
      <c r="M3788" s="77" t="str">
        <f>VLOOKUP(DESPESAS[[#This Row],[Plano de Contas]],BASE!$B$3:$H$119,7,FALSE)</f>
        <v>MYLENA</v>
      </c>
    </row>
    <row r="3789" spans="1:13" x14ac:dyDescent="0.25">
      <c r="A3789" s="74">
        <v>201131</v>
      </c>
      <c r="B3789" s="75" t="s">
        <v>232</v>
      </c>
      <c r="C3789" s="75" t="s">
        <v>3796</v>
      </c>
      <c r="D3789" s="76">
        <v>46146</v>
      </c>
      <c r="E3789" s="75" t="s">
        <v>3797</v>
      </c>
      <c r="F3789" s="74">
        <v>1287.9000000000001</v>
      </c>
      <c r="G3789" s="75" t="s">
        <v>241</v>
      </c>
      <c r="H3789" s="77" t="str">
        <f>VLOOKUP(DESPESAS[[#This Row],[Plano de Contas]],BASE!$B$3:$D$119,3,FALSE)</f>
        <v>Combustiveis Frota</v>
      </c>
      <c r="I3789" s="77" t="str">
        <f>IFERROR(VLOOKUP(DESPESAS[[#This Row],[Fornecedor]],Tabela2[],2,FALSE),"")</f>
        <v/>
      </c>
      <c r="J3789" s="77" t="str">
        <f>IFERROR(VLOOKUP(DESPESAS[[#This Row],[Plano de Contas]],BASE!$B$3:$F$119,4,FALSE),"")</f>
        <v>6 - DESPESA COM VENDAS</v>
      </c>
      <c r="K3789" s="77" t="str">
        <f>IFERROR(VLOOKUP(DESPESAS[[#This Row],[Plano de Contas]],BASE!$B$3:$H$119,5,FALSE),"")</f>
        <v>LOGÍSTICA</v>
      </c>
      <c r="L3789" s="77">
        <f>IFERROR(VLOOKUP(DESPESAS[[#This Row],[Plano de Contas]],BASE!$B$3:$H$119,6,FALSE),"")</f>
        <v>0</v>
      </c>
      <c r="M3789" s="77" t="str">
        <f>VLOOKUP(DESPESAS[[#This Row],[Plano de Contas]],BASE!$B$3:$H$119,7,FALSE)</f>
        <v>MYLENA</v>
      </c>
    </row>
    <row r="3790" spans="1:13" x14ac:dyDescent="0.25">
      <c r="A3790" s="74">
        <v>201132</v>
      </c>
      <c r="B3790" s="75" t="s">
        <v>221</v>
      </c>
      <c r="C3790" s="75" t="s">
        <v>3798</v>
      </c>
      <c r="D3790" s="76">
        <v>46142</v>
      </c>
      <c r="E3790" s="75" t="s">
        <v>242</v>
      </c>
      <c r="F3790" s="74">
        <v>2681.69</v>
      </c>
      <c r="G3790" s="75" t="s">
        <v>241</v>
      </c>
      <c r="H3790" s="77" t="str">
        <f>VLOOKUP(DESPESAS[[#This Row],[Plano de Contas]],BASE!$B$3:$D$119,3,FALSE)</f>
        <v>Combustiveis Frota</v>
      </c>
      <c r="I3790" s="77" t="str">
        <f>IFERROR(VLOOKUP(DESPESAS[[#This Row],[Fornecedor]],Tabela2[],2,FALSE),"")</f>
        <v/>
      </c>
      <c r="J3790" s="77" t="str">
        <f>IFERROR(VLOOKUP(DESPESAS[[#This Row],[Plano de Contas]],BASE!$B$3:$F$119,4,FALSE),"")</f>
        <v>6 - DESPESA COM VENDAS</v>
      </c>
      <c r="K3790" s="77" t="str">
        <f>IFERROR(VLOOKUP(DESPESAS[[#This Row],[Plano de Contas]],BASE!$B$3:$H$119,5,FALSE),"")</f>
        <v>LOGÍSTICA</v>
      </c>
      <c r="L3790" s="77">
        <f>IFERROR(VLOOKUP(DESPESAS[[#This Row],[Plano de Contas]],BASE!$B$3:$H$119,6,FALSE),"")</f>
        <v>0</v>
      </c>
      <c r="M3790" s="77" t="str">
        <f>VLOOKUP(DESPESAS[[#This Row],[Plano de Contas]],BASE!$B$3:$H$119,7,FALSE)</f>
        <v>MYLENA</v>
      </c>
    </row>
    <row r="3791" spans="1:13" x14ac:dyDescent="0.25">
      <c r="A3791" s="74">
        <v>201134</v>
      </c>
      <c r="B3791" s="75" t="s">
        <v>221</v>
      </c>
      <c r="C3791" s="75" t="s">
        <v>3799</v>
      </c>
      <c r="D3791" s="76">
        <v>46142</v>
      </c>
      <c r="E3791" s="75" t="s">
        <v>265</v>
      </c>
      <c r="F3791" s="74">
        <v>40</v>
      </c>
      <c r="G3791" s="75" t="s">
        <v>247</v>
      </c>
      <c r="H3791" s="77" t="str">
        <f>VLOOKUP(DESPESAS[[#This Row],[Plano de Contas]],BASE!$B$3:$D$119,3,FALSE)</f>
        <v>Manutenção com veiculos</v>
      </c>
      <c r="I3791" s="77" t="str">
        <f>IFERROR(VLOOKUP(DESPESAS[[#This Row],[Fornecedor]],Tabela2[],2,FALSE),"")</f>
        <v/>
      </c>
      <c r="J3791" s="77" t="str">
        <f>IFERROR(VLOOKUP(DESPESAS[[#This Row],[Plano de Contas]],BASE!$B$3:$F$119,4,FALSE),"")</f>
        <v>6 - DESPESA COM VENDAS</v>
      </c>
      <c r="K3791" s="77" t="str">
        <f>IFERROR(VLOOKUP(DESPESAS[[#This Row],[Plano de Contas]],BASE!$B$3:$H$119,5,FALSE),"")</f>
        <v>LOGÍSTICA</v>
      </c>
      <c r="L3791" s="77">
        <f>IFERROR(VLOOKUP(DESPESAS[[#This Row],[Plano de Contas]],BASE!$B$3:$H$119,6,FALSE),"")</f>
        <v>0</v>
      </c>
      <c r="M3791" s="77" t="str">
        <f>VLOOKUP(DESPESAS[[#This Row],[Plano de Contas]],BASE!$B$3:$H$119,7,FALSE)</f>
        <v>MYLENA</v>
      </c>
    </row>
    <row r="3792" spans="1:13" x14ac:dyDescent="0.25">
      <c r="A3792" s="74">
        <v>201135</v>
      </c>
      <c r="B3792" s="75" t="s">
        <v>221</v>
      </c>
      <c r="C3792" s="75" t="s">
        <v>3800</v>
      </c>
      <c r="D3792" s="76">
        <v>46142</v>
      </c>
      <c r="E3792" s="75" t="s">
        <v>265</v>
      </c>
      <c r="F3792" s="74">
        <v>53.4</v>
      </c>
      <c r="G3792" s="75" t="s">
        <v>262</v>
      </c>
      <c r="H3792" s="77" t="str">
        <f>VLOOKUP(DESPESAS[[#This Row],[Plano de Contas]],BASE!$B$3:$D$119,3,FALSE)</f>
        <v>Fretes Karams</v>
      </c>
      <c r="I3792" s="77" t="str">
        <f>IFERROR(VLOOKUP(DESPESAS[[#This Row],[Fornecedor]],Tabela2[],2,FALSE),"")</f>
        <v/>
      </c>
      <c r="J3792" s="77" t="str">
        <f>IFERROR(VLOOKUP(DESPESAS[[#This Row],[Plano de Contas]],BASE!$B$3:$F$119,4,FALSE),"")</f>
        <v>6 - DESPESA COM VENDAS</v>
      </c>
      <c r="K3792" s="77" t="str">
        <f>IFERROR(VLOOKUP(DESPESAS[[#This Row],[Plano de Contas]],BASE!$B$3:$H$119,5,FALSE),"")</f>
        <v>LOGÍSTICA</v>
      </c>
      <c r="L3792" s="77">
        <f>IFERROR(VLOOKUP(DESPESAS[[#This Row],[Plano de Contas]],BASE!$B$3:$H$119,6,FALSE),"")</f>
        <v>0</v>
      </c>
      <c r="M3792" s="77" t="str">
        <f>VLOOKUP(DESPESAS[[#This Row],[Plano de Contas]],BASE!$B$3:$H$119,7,FALSE)</f>
        <v>MYLENA</v>
      </c>
    </row>
    <row r="3793" spans="1:13" x14ac:dyDescent="0.25">
      <c r="A3793" s="74">
        <v>201136</v>
      </c>
      <c r="B3793" s="75" t="s">
        <v>221</v>
      </c>
      <c r="C3793" s="75" t="s">
        <v>3801</v>
      </c>
      <c r="D3793" s="76">
        <v>46141</v>
      </c>
      <c r="E3793" s="75" t="s">
        <v>242</v>
      </c>
      <c r="F3793" s="74">
        <v>714.49</v>
      </c>
      <c r="G3793" s="75" t="s">
        <v>241</v>
      </c>
      <c r="H3793" s="77" t="str">
        <f>VLOOKUP(DESPESAS[[#This Row],[Plano de Contas]],BASE!$B$3:$D$119,3,FALSE)</f>
        <v>Combustiveis Frota</v>
      </c>
      <c r="I3793" s="77" t="str">
        <f>IFERROR(VLOOKUP(DESPESAS[[#This Row],[Fornecedor]],Tabela2[],2,FALSE),"")</f>
        <v/>
      </c>
      <c r="J3793" s="77" t="str">
        <f>IFERROR(VLOOKUP(DESPESAS[[#This Row],[Plano de Contas]],BASE!$B$3:$F$119,4,FALSE),"")</f>
        <v>6 - DESPESA COM VENDAS</v>
      </c>
      <c r="K3793" s="77" t="str">
        <f>IFERROR(VLOOKUP(DESPESAS[[#This Row],[Plano de Contas]],BASE!$B$3:$H$119,5,FALSE),"")</f>
        <v>LOGÍSTICA</v>
      </c>
      <c r="L3793" s="77">
        <f>IFERROR(VLOOKUP(DESPESAS[[#This Row],[Plano de Contas]],BASE!$B$3:$H$119,6,FALSE),"")</f>
        <v>0</v>
      </c>
      <c r="M3793" s="77" t="str">
        <f>VLOOKUP(DESPESAS[[#This Row],[Plano de Contas]],BASE!$B$3:$H$119,7,FALSE)</f>
        <v>MYLENA</v>
      </c>
    </row>
    <row r="3794" spans="1:13" x14ac:dyDescent="0.25">
      <c r="A3794" s="74">
        <v>201137</v>
      </c>
      <c r="B3794" s="75" t="s">
        <v>221</v>
      </c>
      <c r="C3794" s="75" t="s">
        <v>3802</v>
      </c>
      <c r="D3794" s="76">
        <v>46140</v>
      </c>
      <c r="E3794" s="75" t="s">
        <v>242</v>
      </c>
      <c r="F3794" s="74">
        <v>333.91</v>
      </c>
      <c r="G3794" s="75" t="s">
        <v>241</v>
      </c>
      <c r="H3794" s="77" t="str">
        <f>VLOOKUP(DESPESAS[[#This Row],[Plano de Contas]],BASE!$B$3:$D$119,3,FALSE)</f>
        <v>Combustiveis Frota</v>
      </c>
      <c r="I3794" s="77" t="str">
        <f>IFERROR(VLOOKUP(DESPESAS[[#This Row],[Fornecedor]],Tabela2[],2,FALSE),"")</f>
        <v/>
      </c>
      <c r="J3794" s="77" t="str">
        <f>IFERROR(VLOOKUP(DESPESAS[[#This Row],[Plano de Contas]],BASE!$B$3:$F$119,4,FALSE),"")</f>
        <v>6 - DESPESA COM VENDAS</v>
      </c>
      <c r="K3794" s="77" t="str">
        <f>IFERROR(VLOOKUP(DESPESAS[[#This Row],[Plano de Contas]],BASE!$B$3:$H$119,5,FALSE),"")</f>
        <v>LOGÍSTICA</v>
      </c>
      <c r="L3794" s="77">
        <f>IFERROR(VLOOKUP(DESPESAS[[#This Row],[Plano de Contas]],BASE!$B$3:$H$119,6,FALSE),"")</f>
        <v>0</v>
      </c>
      <c r="M3794" s="77" t="str">
        <f>VLOOKUP(DESPESAS[[#This Row],[Plano de Contas]],BASE!$B$3:$H$119,7,FALSE)</f>
        <v>MYLENA</v>
      </c>
    </row>
    <row r="3795" spans="1:13" x14ac:dyDescent="0.25">
      <c r="A3795" s="74">
        <v>201138</v>
      </c>
      <c r="B3795" s="75" t="s">
        <v>232</v>
      </c>
      <c r="C3795" s="75" t="s">
        <v>3803</v>
      </c>
      <c r="D3795" s="76">
        <v>46142</v>
      </c>
      <c r="E3795" s="75" t="s">
        <v>2700</v>
      </c>
      <c r="F3795" s="74">
        <v>11003.55</v>
      </c>
      <c r="G3795" s="75" t="s">
        <v>561</v>
      </c>
      <c r="H3795" s="77" t="str">
        <f>VLOOKUP(DESPESAS[[#This Row],[Plano de Contas]],BASE!$B$3:$D$119,3,FALSE)</f>
        <v>Sistemas de Informação</v>
      </c>
      <c r="I3795" s="77" t="str">
        <f>IFERROR(VLOOKUP(DESPESAS[[#This Row],[Fornecedor]],Tabela2[],2,FALSE),"")</f>
        <v>SKETCHUP</v>
      </c>
      <c r="J3795" s="77" t="str">
        <f>IFERROR(VLOOKUP(DESPESAS[[#This Row],[Plano de Contas]],BASE!$B$3:$F$119,4,FALSE),"")</f>
        <v>7 - SERVIÇOS DE TERCEIROS</v>
      </c>
      <c r="K3795" s="77" t="str">
        <f>IFERROR(VLOOKUP(DESPESAS[[#This Row],[Plano de Contas]],BASE!$B$3:$H$119,5,FALSE),"")</f>
        <v>MANUTENÇÃO / TI</v>
      </c>
      <c r="L3795" s="77">
        <f>IFERROR(VLOOKUP(DESPESAS[[#This Row],[Plano de Contas]],BASE!$B$3:$H$119,6,FALSE),"")</f>
        <v>0</v>
      </c>
      <c r="M3795" s="77" t="str">
        <f>VLOOKUP(DESPESAS[[#This Row],[Plano de Contas]],BASE!$B$3:$H$119,7,FALSE)</f>
        <v>LETÍCIA</v>
      </c>
    </row>
    <row r="3796" spans="1:13" x14ac:dyDescent="0.25">
      <c r="A3796" s="74">
        <v>201139</v>
      </c>
      <c r="B3796" s="75" t="s">
        <v>221</v>
      </c>
      <c r="C3796" s="75" t="s">
        <v>3804</v>
      </c>
      <c r="D3796" s="76">
        <v>46146</v>
      </c>
      <c r="E3796" s="75" t="s">
        <v>361</v>
      </c>
      <c r="F3796" s="74">
        <v>50</v>
      </c>
      <c r="G3796" s="75" t="s">
        <v>244</v>
      </c>
      <c r="H3796" s="77" t="str">
        <f>VLOOKUP(DESPESAS[[#This Row],[Plano de Contas]],BASE!$B$3:$D$119,3,FALSE)</f>
        <v>Material de Expediente (Prod)</v>
      </c>
      <c r="I3796" s="77" t="str">
        <f>IFERROR(VLOOKUP(DESPESAS[[#This Row],[Fornecedor]],Tabela2[],2,FALSE),"")</f>
        <v/>
      </c>
      <c r="J3796" s="77" t="str">
        <f>IFERROR(VLOOKUP(DESPESAS[[#This Row],[Plano de Contas]],BASE!$B$3:$F$119,4,FALSE),"")</f>
        <v>2 - CUSTOS DIRETOS</v>
      </c>
      <c r="K3796" s="77" t="str">
        <f>IFERROR(VLOOKUP(DESPESAS[[#This Row],[Plano de Contas]],BASE!$B$3:$H$119,5,FALSE),"")</f>
        <v>PRODUÇÃO</v>
      </c>
      <c r="L3796" s="77">
        <f>IFERROR(VLOOKUP(DESPESAS[[#This Row],[Plano de Contas]],BASE!$B$3:$H$119,6,FALSE),"")</f>
        <v>0</v>
      </c>
      <c r="M3796" s="77" t="str">
        <f>VLOOKUP(DESPESAS[[#This Row],[Plano de Contas]],BASE!$B$3:$H$119,7,FALSE)</f>
        <v>RAFAEL</v>
      </c>
    </row>
    <row r="3797" spans="1:13" x14ac:dyDescent="0.25">
      <c r="A3797" s="74">
        <v>201141</v>
      </c>
      <c r="B3797" s="75" t="s">
        <v>221</v>
      </c>
      <c r="C3797" s="75" t="s">
        <v>3730</v>
      </c>
      <c r="D3797" s="76">
        <v>46147</v>
      </c>
      <c r="E3797" s="75" t="s">
        <v>918</v>
      </c>
      <c r="F3797" s="74">
        <v>1358.46</v>
      </c>
      <c r="G3797" s="75" t="s">
        <v>276</v>
      </c>
      <c r="H3797" s="77" t="str">
        <f>VLOOKUP(DESPESAS[[#This Row],[Plano de Contas]],BASE!$B$3:$D$119,3,FALSE)</f>
        <v>Férias MOD</v>
      </c>
      <c r="I3797" s="77" t="str">
        <f>IFERROR(VLOOKUP(DESPESAS[[#This Row],[Fornecedor]],Tabela2[],2,FALSE),"")</f>
        <v/>
      </c>
      <c r="J3797" s="77" t="str">
        <f>IFERROR(VLOOKUP(DESPESAS[[#This Row],[Plano de Contas]],BASE!$B$3:$F$119,4,FALSE),"")</f>
        <v>2 - CUSTOS DIRETOS</v>
      </c>
      <c r="K3797" s="77" t="str">
        <f>IFERROR(VLOOKUP(DESPESAS[[#This Row],[Plano de Contas]],BASE!$B$3:$H$119,5,FALSE),"")</f>
        <v>DH</v>
      </c>
      <c r="L3797" s="77" t="str">
        <f>IFERROR(VLOOKUP(DESPESAS[[#This Row],[Plano de Contas]],BASE!$B$3:$H$119,6,FALSE),"")</f>
        <v>CUSTO MÃO DE OBRA DIRETA</v>
      </c>
      <c r="M3797" s="77" t="str">
        <f>VLOOKUP(DESPESAS[[#This Row],[Plano de Contas]],BASE!$B$3:$H$119,7,FALSE)</f>
        <v>RAFAEL</v>
      </c>
    </row>
    <row r="3798" spans="1:13" x14ac:dyDescent="0.25">
      <c r="A3798" s="74">
        <v>201142</v>
      </c>
      <c r="B3798" s="75" t="s">
        <v>221</v>
      </c>
      <c r="C3798" s="75" t="s">
        <v>3805</v>
      </c>
      <c r="D3798" s="76">
        <v>46142</v>
      </c>
      <c r="E3798" s="75" t="s">
        <v>256</v>
      </c>
      <c r="F3798" s="74">
        <v>57.66</v>
      </c>
      <c r="G3798" s="75" t="s">
        <v>255</v>
      </c>
      <c r="H3798" s="77" t="str">
        <f>VLOOKUP(DESPESAS[[#This Row],[Plano de Contas]],BASE!$B$3:$D$119,3,FALSE)</f>
        <v>Mostruário de Tecido</v>
      </c>
      <c r="I3798" s="77" t="str">
        <f>IFERROR(VLOOKUP(DESPESAS[[#This Row],[Fornecedor]],Tabela2[],2,FALSE),"")</f>
        <v/>
      </c>
      <c r="J3798" s="77" t="str">
        <f>IFERROR(VLOOKUP(DESPESAS[[#This Row],[Plano de Contas]],BASE!$B$3:$F$119,4,FALSE),"")</f>
        <v>6 - DESPESA COM VENDAS</v>
      </c>
      <c r="K3798" s="77" t="str">
        <f>IFERROR(VLOOKUP(DESPESAS[[#This Row],[Plano de Contas]],BASE!$B$3:$H$119,5,FALSE),"")</f>
        <v>COMERCIAL</v>
      </c>
      <c r="L3798" s="77">
        <f>IFERROR(VLOOKUP(DESPESAS[[#This Row],[Plano de Contas]],BASE!$B$3:$H$119,6,FALSE),"")</f>
        <v>0</v>
      </c>
      <c r="M3798" s="77" t="str">
        <f>VLOOKUP(DESPESAS[[#This Row],[Plano de Contas]],BASE!$B$3:$H$119,7,FALSE)</f>
        <v>LETÍCIA</v>
      </c>
    </row>
    <row r="3799" spans="1:13" x14ac:dyDescent="0.25">
      <c r="A3799" s="74">
        <v>201143</v>
      </c>
      <c r="B3799" s="75" t="s">
        <v>221</v>
      </c>
      <c r="C3799" s="75" t="s">
        <v>3806</v>
      </c>
      <c r="D3799" s="76">
        <v>46142</v>
      </c>
      <c r="E3799" s="75" t="s">
        <v>256</v>
      </c>
      <c r="F3799" s="74">
        <v>734.69</v>
      </c>
      <c r="G3799" s="75" t="s">
        <v>255</v>
      </c>
      <c r="H3799" s="77" t="str">
        <f>VLOOKUP(DESPESAS[[#This Row],[Plano de Contas]],BASE!$B$3:$D$119,3,FALSE)</f>
        <v>Mostruário de Tecido</v>
      </c>
      <c r="I3799" s="77" t="str">
        <f>IFERROR(VLOOKUP(DESPESAS[[#This Row],[Fornecedor]],Tabela2[],2,FALSE),"")</f>
        <v/>
      </c>
      <c r="J3799" s="77" t="str">
        <f>IFERROR(VLOOKUP(DESPESAS[[#This Row],[Plano de Contas]],BASE!$B$3:$F$119,4,FALSE),"")</f>
        <v>6 - DESPESA COM VENDAS</v>
      </c>
      <c r="K3799" s="77" t="str">
        <f>IFERROR(VLOOKUP(DESPESAS[[#This Row],[Plano de Contas]],BASE!$B$3:$H$119,5,FALSE),"")</f>
        <v>COMERCIAL</v>
      </c>
      <c r="L3799" s="77">
        <f>IFERROR(VLOOKUP(DESPESAS[[#This Row],[Plano de Contas]],BASE!$B$3:$H$119,6,FALSE),"")</f>
        <v>0</v>
      </c>
      <c r="M3799" s="77" t="str">
        <f>VLOOKUP(DESPESAS[[#This Row],[Plano de Contas]],BASE!$B$3:$H$119,7,FALSE)</f>
        <v>LETÍCIA</v>
      </c>
    </row>
    <row r="3800" spans="1:13" x14ac:dyDescent="0.25">
      <c r="A3800" s="74">
        <v>201144</v>
      </c>
      <c r="B3800" s="75" t="s">
        <v>232</v>
      </c>
      <c r="C3800" s="75" t="s">
        <v>3807</v>
      </c>
      <c r="D3800" s="76">
        <v>46146</v>
      </c>
      <c r="E3800" s="75" t="s">
        <v>230</v>
      </c>
      <c r="F3800" s="74">
        <v>305.14999999999998</v>
      </c>
      <c r="G3800" s="75" t="s">
        <v>229</v>
      </c>
      <c r="H3800" s="77" t="str">
        <f>VLOOKUP(DESPESAS[[#This Row],[Plano de Contas]],BASE!$B$3:$D$119,3,FALSE)</f>
        <v>Despesas Bancarias</v>
      </c>
      <c r="I3800" s="77" t="str">
        <f>IFERROR(VLOOKUP(DESPESAS[[#This Row],[Fornecedor]],Tabela2[],2,FALSE),"")</f>
        <v/>
      </c>
      <c r="J3800" s="77" t="str">
        <f>IFERROR(VLOOKUP(DESPESAS[[#This Row],[Plano de Contas]],BASE!$B$3:$F$119,4,FALSE),"")</f>
        <v>8 - DESPESAS FINANCEIRAS</v>
      </c>
      <c r="K3800" s="77" t="str">
        <f>IFERROR(VLOOKUP(DESPESAS[[#This Row],[Plano de Contas]],BASE!$B$3:$H$119,5,FALSE),"")</f>
        <v>FINANCEIRO</v>
      </c>
      <c r="L3800" s="77">
        <f>IFERROR(VLOOKUP(DESPESAS[[#This Row],[Plano de Contas]],BASE!$B$3:$H$119,6,FALSE),"")</f>
        <v>0</v>
      </c>
      <c r="M3800" s="77" t="str">
        <f>VLOOKUP(DESPESAS[[#This Row],[Plano de Contas]],BASE!$B$3:$H$119,7,FALSE)</f>
        <v>LETÍCIA</v>
      </c>
    </row>
    <row r="3801" spans="1:13" x14ac:dyDescent="0.25">
      <c r="A3801" s="74">
        <v>201145</v>
      </c>
      <c r="B3801" s="75" t="s">
        <v>232</v>
      </c>
      <c r="C3801" s="75" t="s">
        <v>3808</v>
      </c>
      <c r="D3801" s="76">
        <v>46146</v>
      </c>
      <c r="E3801" s="75" t="s">
        <v>230</v>
      </c>
      <c r="F3801" s="74">
        <v>266.22000000000003</v>
      </c>
      <c r="G3801" s="75" t="s">
        <v>229</v>
      </c>
      <c r="H3801" s="77" t="str">
        <f>VLOOKUP(DESPESAS[[#This Row],[Plano de Contas]],BASE!$B$3:$D$119,3,FALSE)</f>
        <v>Despesas Bancarias</v>
      </c>
      <c r="I3801" s="77" t="str">
        <f>IFERROR(VLOOKUP(DESPESAS[[#This Row],[Fornecedor]],Tabela2[],2,FALSE),"")</f>
        <v/>
      </c>
      <c r="J3801" s="77" t="str">
        <f>IFERROR(VLOOKUP(DESPESAS[[#This Row],[Plano de Contas]],BASE!$B$3:$F$119,4,FALSE),"")</f>
        <v>8 - DESPESAS FINANCEIRAS</v>
      </c>
      <c r="K3801" s="77" t="str">
        <f>IFERROR(VLOOKUP(DESPESAS[[#This Row],[Plano de Contas]],BASE!$B$3:$H$119,5,FALSE),"")</f>
        <v>FINANCEIRO</v>
      </c>
      <c r="L3801" s="77">
        <f>IFERROR(VLOOKUP(DESPESAS[[#This Row],[Plano de Contas]],BASE!$B$3:$H$119,6,FALSE),"")</f>
        <v>0</v>
      </c>
      <c r="M3801" s="77" t="str">
        <f>VLOOKUP(DESPESAS[[#This Row],[Plano de Contas]],BASE!$B$3:$H$119,7,FALSE)</f>
        <v>LETÍCIA</v>
      </c>
    </row>
    <row r="3802" spans="1:13" x14ac:dyDescent="0.25">
      <c r="A3802" s="74">
        <v>201146</v>
      </c>
      <c r="B3802" s="75" t="s">
        <v>232</v>
      </c>
      <c r="C3802" s="75" t="s">
        <v>3809</v>
      </c>
      <c r="D3802" s="76">
        <v>46146</v>
      </c>
      <c r="E3802" s="75" t="s">
        <v>230</v>
      </c>
      <c r="F3802" s="74">
        <v>1865.64</v>
      </c>
      <c r="G3802" s="75" t="s">
        <v>251</v>
      </c>
      <c r="H3802" s="77" t="str">
        <f>VLOOKUP(DESPESAS[[#This Row],[Plano de Contas]],BASE!$B$3:$D$119,3,FALSE)</f>
        <v>Juros Pagos - Antecipação de Crédito</v>
      </c>
      <c r="I3802" s="77" t="str">
        <f>IFERROR(VLOOKUP(DESPESAS[[#This Row],[Fornecedor]],Tabela2[],2,FALSE),"")</f>
        <v/>
      </c>
      <c r="J3802" s="77" t="str">
        <f>IFERROR(VLOOKUP(DESPESAS[[#This Row],[Plano de Contas]],BASE!$B$3:$F$119,4,FALSE),"")</f>
        <v>8 - DESPESAS FINANCEIRAS</v>
      </c>
      <c r="K3802" s="77" t="str">
        <f>IFERROR(VLOOKUP(DESPESAS[[#This Row],[Plano de Contas]],BASE!$B$3:$H$119,5,FALSE),"")</f>
        <v>FINANCEIRO</v>
      </c>
      <c r="L3802" s="77">
        <f>IFERROR(VLOOKUP(DESPESAS[[#This Row],[Plano de Contas]],BASE!$B$3:$H$119,6,FALSE),"")</f>
        <v>0</v>
      </c>
      <c r="M3802" s="77" t="str">
        <f>VLOOKUP(DESPESAS[[#This Row],[Plano de Contas]],BASE!$B$3:$H$119,7,FALSE)</f>
        <v>LETÍCIA</v>
      </c>
    </row>
    <row r="3803" spans="1:13" x14ac:dyDescent="0.25">
      <c r="A3803" s="74">
        <v>201147</v>
      </c>
      <c r="B3803" s="75" t="s">
        <v>232</v>
      </c>
      <c r="C3803" s="75" t="s">
        <v>3810</v>
      </c>
      <c r="D3803" s="76">
        <v>46146</v>
      </c>
      <c r="E3803" s="75" t="s">
        <v>230</v>
      </c>
      <c r="F3803" s="74">
        <v>205.22</v>
      </c>
      <c r="G3803" s="75" t="s">
        <v>229</v>
      </c>
      <c r="H3803" s="77" t="str">
        <f>VLOOKUP(DESPESAS[[#This Row],[Plano de Contas]],BASE!$B$3:$D$119,3,FALSE)</f>
        <v>Despesas Bancarias</v>
      </c>
      <c r="I3803" s="77" t="str">
        <f>IFERROR(VLOOKUP(DESPESAS[[#This Row],[Fornecedor]],Tabela2[],2,FALSE),"")</f>
        <v/>
      </c>
      <c r="J3803" s="77" t="str">
        <f>IFERROR(VLOOKUP(DESPESAS[[#This Row],[Plano de Contas]],BASE!$B$3:$F$119,4,FALSE),"")</f>
        <v>8 - DESPESAS FINANCEIRAS</v>
      </c>
      <c r="K3803" s="77" t="str">
        <f>IFERROR(VLOOKUP(DESPESAS[[#This Row],[Plano de Contas]],BASE!$B$3:$H$119,5,FALSE),"")</f>
        <v>FINANCEIRO</v>
      </c>
      <c r="L3803" s="77">
        <f>IFERROR(VLOOKUP(DESPESAS[[#This Row],[Plano de Contas]],BASE!$B$3:$H$119,6,FALSE),"")</f>
        <v>0</v>
      </c>
      <c r="M3803" s="77" t="str">
        <f>VLOOKUP(DESPESAS[[#This Row],[Plano de Contas]],BASE!$B$3:$H$119,7,FALSE)</f>
        <v>LETÍCIA</v>
      </c>
    </row>
    <row r="3804" spans="1:13" x14ac:dyDescent="0.25">
      <c r="A3804" s="74">
        <v>201148</v>
      </c>
      <c r="B3804" s="75" t="s">
        <v>232</v>
      </c>
      <c r="C3804" s="75" t="s">
        <v>3811</v>
      </c>
      <c r="D3804" s="76">
        <v>46146</v>
      </c>
      <c r="E3804" s="75" t="s">
        <v>230</v>
      </c>
      <c r="F3804" s="74">
        <v>35.549999999999997</v>
      </c>
      <c r="G3804" s="75" t="s">
        <v>236</v>
      </c>
      <c r="H3804" s="77" t="str">
        <f>VLOOKUP(DESPESAS[[#This Row],[Plano de Contas]],BASE!$B$3:$D$119,3,FALSE)</f>
        <v>Despesas de Cobranca</v>
      </c>
      <c r="I3804" s="77" t="str">
        <f>IFERROR(VLOOKUP(DESPESAS[[#This Row],[Fornecedor]],Tabela2[],2,FALSE),"")</f>
        <v/>
      </c>
      <c r="J3804" s="77" t="str">
        <f>IFERROR(VLOOKUP(DESPESAS[[#This Row],[Plano de Contas]],BASE!$B$3:$F$119,4,FALSE),"")</f>
        <v>8 - DESPESAS FINANCEIRAS</v>
      </c>
      <c r="K3804" s="77" t="str">
        <f>IFERROR(VLOOKUP(DESPESAS[[#This Row],[Plano de Contas]],BASE!$B$3:$H$119,5,FALSE),"")</f>
        <v>FINANCEIRO</v>
      </c>
      <c r="L3804" s="77">
        <f>IFERROR(VLOOKUP(DESPESAS[[#This Row],[Plano de Contas]],BASE!$B$3:$H$119,6,FALSE),"")</f>
        <v>0</v>
      </c>
      <c r="M3804" s="77" t="str">
        <f>VLOOKUP(DESPESAS[[#This Row],[Plano de Contas]],BASE!$B$3:$H$119,7,FALSE)</f>
        <v>LETÍCIA</v>
      </c>
    </row>
    <row r="3805" spans="1:13" x14ac:dyDescent="0.25">
      <c r="A3805" s="74">
        <v>201149</v>
      </c>
      <c r="B3805" s="75" t="s">
        <v>232</v>
      </c>
      <c r="C3805" s="75" t="s">
        <v>3812</v>
      </c>
      <c r="D3805" s="76">
        <v>46147</v>
      </c>
      <c r="E3805" s="75" t="s">
        <v>230</v>
      </c>
      <c r="F3805" s="74">
        <v>0.27</v>
      </c>
      <c r="G3805" s="75" t="s">
        <v>229</v>
      </c>
      <c r="H3805" s="77" t="str">
        <f>VLOOKUP(DESPESAS[[#This Row],[Plano de Contas]],BASE!$B$3:$D$119,3,FALSE)</f>
        <v>Despesas Bancarias</v>
      </c>
      <c r="I3805" s="77" t="str">
        <f>IFERROR(VLOOKUP(DESPESAS[[#This Row],[Fornecedor]],Tabela2[],2,FALSE),"")</f>
        <v/>
      </c>
      <c r="J3805" s="77" t="str">
        <f>IFERROR(VLOOKUP(DESPESAS[[#This Row],[Plano de Contas]],BASE!$B$3:$F$119,4,FALSE),"")</f>
        <v>8 - DESPESAS FINANCEIRAS</v>
      </c>
      <c r="K3805" s="77" t="str">
        <f>IFERROR(VLOOKUP(DESPESAS[[#This Row],[Plano de Contas]],BASE!$B$3:$H$119,5,FALSE),"")</f>
        <v>FINANCEIRO</v>
      </c>
      <c r="L3805" s="77">
        <f>IFERROR(VLOOKUP(DESPESAS[[#This Row],[Plano de Contas]],BASE!$B$3:$H$119,6,FALSE),"")</f>
        <v>0</v>
      </c>
      <c r="M3805" s="77" t="str">
        <f>VLOOKUP(DESPESAS[[#This Row],[Plano de Contas]],BASE!$B$3:$H$119,7,FALSE)</f>
        <v>LETÍCIA</v>
      </c>
    </row>
    <row r="3806" spans="1:13" x14ac:dyDescent="0.25">
      <c r="A3806" s="74">
        <v>201150</v>
      </c>
      <c r="B3806" s="75" t="s">
        <v>232</v>
      </c>
      <c r="C3806" s="75" t="s">
        <v>3813</v>
      </c>
      <c r="D3806" s="76">
        <v>46146</v>
      </c>
      <c r="E3806" s="75" t="s">
        <v>230</v>
      </c>
      <c r="F3806" s="74">
        <v>7.9</v>
      </c>
      <c r="G3806" s="75" t="s">
        <v>229</v>
      </c>
      <c r="H3806" s="77" t="str">
        <f>VLOOKUP(DESPESAS[[#This Row],[Plano de Contas]],BASE!$B$3:$D$119,3,FALSE)</f>
        <v>Despesas Bancarias</v>
      </c>
      <c r="I3806" s="77" t="str">
        <f>IFERROR(VLOOKUP(DESPESAS[[#This Row],[Fornecedor]],Tabela2[],2,FALSE),"")</f>
        <v/>
      </c>
      <c r="J3806" s="77" t="str">
        <f>IFERROR(VLOOKUP(DESPESAS[[#This Row],[Plano de Contas]],BASE!$B$3:$F$119,4,FALSE),"")</f>
        <v>8 - DESPESAS FINANCEIRAS</v>
      </c>
      <c r="K3806" s="77" t="str">
        <f>IFERROR(VLOOKUP(DESPESAS[[#This Row],[Plano de Contas]],BASE!$B$3:$H$119,5,FALSE),"")</f>
        <v>FINANCEIRO</v>
      </c>
      <c r="L3806" s="77">
        <f>IFERROR(VLOOKUP(DESPESAS[[#This Row],[Plano de Contas]],BASE!$B$3:$H$119,6,FALSE),"")</f>
        <v>0</v>
      </c>
      <c r="M3806" s="77" t="str">
        <f>VLOOKUP(DESPESAS[[#This Row],[Plano de Contas]],BASE!$B$3:$H$119,7,FALSE)</f>
        <v>LETÍCIA</v>
      </c>
    </row>
    <row r="3807" spans="1:13" x14ac:dyDescent="0.25">
      <c r="A3807" s="74">
        <v>201151</v>
      </c>
      <c r="B3807" s="75" t="s">
        <v>281</v>
      </c>
      <c r="C3807" s="75" t="s">
        <v>3814</v>
      </c>
      <c r="D3807" s="76">
        <v>46146</v>
      </c>
      <c r="E3807" s="75" t="s">
        <v>230</v>
      </c>
      <c r="F3807" s="74">
        <v>19</v>
      </c>
      <c r="G3807" s="75" t="s">
        <v>229</v>
      </c>
      <c r="H3807" s="77" t="str">
        <f>VLOOKUP(DESPESAS[[#This Row],[Plano de Contas]],BASE!$B$3:$D$119,3,FALSE)</f>
        <v>Despesas Bancarias</v>
      </c>
      <c r="I3807" s="77" t="str">
        <f>IFERROR(VLOOKUP(DESPESAS[[#This Row],[Fornecedor]],Tabela2[],2,FALSE),"")</f>
        <v/>
      </c>
      <c r="J3807" s="77" t="str">
        <f>IFERROR(VLOOKUP(DESPESAS[[#This Row],[Plano de Contas]],BASE!$B$3:$F$119,4,FALSE),"")</f>
        <v>8 - DESPESAS FINANCEIRAS</v>
      </c>
      <c r="K3807" s="77" t="str">
        <f>IFERROR(VLOOKUP(DESPESAS[[#This Row],[Plano de Contas]],BASE!$B$3:$H$119,5,FALSE),"")</f>
        <v>FINANCEIRO</v>
      </c>
      <c r="L3807" s="77">
        <f>IFERROR(VLOOKUP(DESPESAS[[#This Row],[Plano de Contas]],BASE!$B$3:$H$119,6,FALSE),"")</f>
        <v>0</v>
      </c>
      <c r="M3807" s="77" t="str">
        <f>VLOOKUP(DESPESAS[[#This Row],[Plano de Contas]],BASE!$B$3:$H$119,7,FALSE)</f>
        <v>LETÍCIA</v>
      </c>
    </row>
    <row r="3808" spans="1:13" x14ac:dyDescent="0.25">
      <c r="A3808" s="74">
        <v>201152</v>
      </c>
      <c r="B3808" s="75" t="s">
        <v>281</v>
      </c>
      <c r="C3808" s="75" t="s">
        <v>2384</v>
      </c>
      <c r="D3808" s="76">
        <v>46146</v>
      </c>
      <c r="E3808" s="75" t="s">
        <v>230</v>
      </c>
      <c r="F3808" s="74">
        <v>5.53</v>
      </c>
      <c r="G3808" s="75" t="s">
        <v>236</v>
      </c>
      <c r="H3808" s="77" t="str">
        <f>VLOOKUP(DESPESAS[[#This Row],[Plano de Contas]],BASE!$B$3:$D$119,3,FALSE)</f>
        <v>Despesas de Cobranca</v>
      </c>
      <c r="I3808" s="77" t="str">
        <f>IFERROR(VLOOKUP(DESPESAS[[#This Row],[Fornecedor]],Tabela2[],2,FALSE),"")</f>
        <v/>
      </c>
      <c r="J3808" s="77" t="str">
        <f>IFERROR(VLOOKUP(DESPESAS[[#This Row],[Plano de Contas]],BASE!$B$3:$F$119,4,FALSE),"")</f>
        <v>8 - DESPESAS FINANCEIRAS</v>
      </c>
      <c r="K3808" s="77" t="str">
        <f>IFERROR(VLOOKUP(DESPESAS[[#This Row],[Plano de Contas]],BASE!$B$3:$H$119,5,FALSE),"")</f>
        <v>FINANCEIRO</v>
      </c>
      <c r="L3808" s="77">
        <f>IFERROR(VLOOKUP(DESPESAS[[#This Row],[Plano de Contas]],BASE!$B$3:$H$119,6,FALSE),"")</f>
        <v>0</v>
      </c>
      <c r="M3808" s="77" t="str">
        <f>VLOOKUP(DESPESAS[[#This Row],[Plano de Contas]],BASE!$B$3:$H$119,7,FALSE)</f>
        <v>LETÍCIA</v>
      </c>
    </row>
    <row r="3809" spans="1:13" x14ac:dyDescent="0.25">
      <c r="A3809" s="74">
        <v>201153</v>
      </c>
      <c r="B3809" s="75" t="s">
        <v>232</v>
      </c>
      <c r="C3809" s="75" t="s">
        <v>3815</v>
      </c>
      <c r="D3809" s="76">
        <v>46147</v>
      </c>
      <c r="E3809" s="75" t="s">
        <v>230</v>
      </c>
      <c r="F3809" s="74">
        <v>60</v>
      </c>
      <c r="G3809" s="75" t="s">
        <v>229</v>
      </c>
      <c r="H3809" s="77" t="str">
        <f>VLOOKUP(DESPESAS[[#This Row],[Plano de Contas]],BASE!$B$3:$D$119,3,FALSE)</f>
        <v>Despesas Bancarias</v>
      </c>
      <c r="I3809" s="77" t="str">
        <f>IFERROR(VLOOKUP(DESPESAS[[#This Row],[Fornecedor]],Tabela2[],2,FALSE),"")</f>
        <v/>
      </c>
      <c r="J3809" s="77" t="str">
        <f>IFERROR(VLOOKUP(DESPESAS[[#This Row],[Plano de Contas]],BASE!$B$3:$F$119,4,FALSE),"")</f>
        <v>8 - DESPESAS FINANCEIRAS</v>
      </c>
      <c r="K3809" s="77" t="str">
        <f>IFERROR(VLOOKUP(DESPESAS[[#This Row],[Plano de Contas]],BASE!$B$3:$H$119,5,FALSE),"")</f>
        <v>FINANCEIRO</v>
      </c>
      <c r="L3809" s="77">
        <f>IFERROR(VLOOKUP(DESPESAS[[#This Row],[Plano de Contas]],BASE!$B$3:$H$119,6,FALSE),"")</f>
        <v>0</v>
      </c>
      <c r="M3809" s="77" t="str">
        <f>VLOOKUP(DESPESAS[[#This Row],[Plano de Contas]],BASE!$B$3:$H$119,7,FALSE)</f>
        <v>LETÍCIA</v>
      </c>
    </row>
    <row r="3810" spans="1:13" x14ac:dyDescent="0.25">
      <c r="A3810" s="74">
        <v>201154</v>
      </c>
      <c r="B3810" s="75" t="s">
        <v>232</v>
      </c>
      <c r="C3810" s="75" t="s">
        <v>3816</v>
      </c>
      <c r="D3810" s="76">
        <v>46146</v>
      </c>
      <c r="E3810" s="75" t="s">
        <v>230</v>
      </c>
      <c r="F3810" s="74">
        <v>2.85</v>
      </c>
      <c r="G3810" s="75" t="s">
        <v>229</v>
      </c>
      <c r="H3810" s="77" t="str">
        <f>VLOOKUP(DESPESAS[[#This Row],[Plano de Contas]],BASE!$B$3:$D$119,3,FALSE)</f>
        <v>Despesas Bancarias</v>
      </c>
      <c r="I3810" s="77" t="str">
        <f>IFERROR(VLOOKUP(DESPESAS[[#This Row],[Fornecedor]],Tabela2[],2,FALSE),"")</f>
        <v/>
      </c>
      <c r="J3810" s="77" t="str">
        <f>IFERROR(VLOOKUP(DESPESAS[[#This Row],[Plano de Contas]],BASE!$B$3:$F$119,4,FALSE),"")</f>
        <v>8 - DESPESAS FINANCEIRAS</v>
      </c>
      <c r="K3810" s="77" t="str">
        <f>IFERROR(VLOOKUP(DESPESAS[[#This Row],[Plano de Contas]],BASE!$B$3:$H$119,5,FALSE),"")</f>
        <v>FINANCEIRO</v>
      </c>
      <c r="L3810" s="77">
        <f>IFERROR(VLOOKUP(DESPESAS[[#This Row],[Plano de Contas]],BASE!$B$3:$H$119,6,FALSE),"")</f>
        <v>0</v>
      </c>
      <c r="M3810" s="77" t="str">
        <f>VLOOKUP(DESPESAS[[#This Row],[Plano de Contas]],BASE!$B$3:$H$119,7,FALSE)</f>
        <v>LETÍCIA</v>
      </c>
    </row>
    <row r="3811" spans="1:13" x14ac:dyDescent="0.25">
      <c r="A3811" s="74">
        <v>201156</v>
      </c>
      <c r="B3811" s="75" t="s">
        <v>232</v>
      </c>
      <c r="C3811" s="75" t="s">
        <v>3817</v>
      </c>
      <c r="D3811" s="76">
        <v>46147</v>
      </c>
      <c r="E3811" s="75" t="s">
        <v>335</v>
      </c>
      <c r="F3811" s="74">
        <v>9103.6</v>
      </c>
      <c r="G3811" s="75" t="s">
        <v>606</v>
      </c>
      <c r="H3811" s="77" t="str">
        <f>VLOOKUP(DESPESAS[[#This Row],[Plano de Contas]],BASE!$B$3:$D$119,3,FALSE)</f>
        <v>EPIs/Uniformes (Prod)</v>
      </c>
      <c r="I3811" s="77" t="str">
        <f>IFERROR(VLOOKUP(DESPESAS[[#This Row],[Fornecedor]],Tabela2[],2,FALSE),"")</f>
        <v/>
      </c>
      <c r="J3811" s="77" t="str">
        <f>IFERROR(VLOOKUP(DESPESAS[[#This Row],[Plano de Contas]],BASE!$B$3:$F$119,4,FALSE),"")</f>
        <v>2 - CUSTOS DIRETOS</v>
      </c>
      <c r="K3811" s="77" t="str">
        <f>IFERROR(VLOOKUP(DESPESAS[[#This Row],[Plano de Contas]],BASE!$B$3:$H$119,5,FALSE),"")</f>
        <v>COMPRAS</v>
      </c>
      <c r="L3811" s="77">
        <f>IFERROR(VLOOKUP(DESPESAS[[#This Row],[Plano de Contas]],BASE!$B$3:$H$119,6,FALSE),"")</f>
        <v>0</v>
      </c>
      <c r="M3811" s="77" t="str">
        <f>VLOOKUP(DESPESAS[[#This Row],[Plano de Contas]],BASE!$B$3:$H$119,7,FALSE)</f>
        <v>RAFAEL</v>
      </c>
    </row>
    <row r="3812" spans="1:13" x14ac:dyDescent="0.25">
      <c r="A3812" s="74">
        <v>201157</v>
      </c>
      <c r="B3812" s="75" t="s">
        <v>221</v>
      </c>
      <c r="C3812" s="75" t="s">
        <v>3818</v>
      </c>
      <c r="D3812" s="76">
        <v>46146</v>
      </c>
      <c r="E3812" s="75" t="s">
        <v>320</v>
      </c>
      <c r="F3812" s="74">
        <v>140</v>
      </c>
      <c r="G3812" s="75" t="s">
        <v>222</v>
      </c>
      <c r="H3812" s="77" t="str">
        <f>VLOOKUP(DESPESAS[[#This Row],[Plano de Contas]],BASE!$B$3:$D$119,3,FALSE)</f>
        <v>Alimentação</v>
      </c>
      <c r="I3812" s="77" t="str">
        <f>IFERROR(VLOOKUP(DESPESAS[[#This Row],[Fornecedor]],Tabela2[],2,FALSE),"")</f>
        <v/>
      </c>
      <c r="J3812" s="77" t="str">
        <f>IFERROR(VLOOKUP(DESPESAS[[#This Row],[Plano de Contas]],BASE!$B$3:$F$119,4,FALSE),"")</f>
        <v>5 - DESPESAS ADMINISTRATIVAS</v>
      </c>
      <c r="K3812" s="77" t="str">
        <f>IFERROR(VLOOKUP(DESPESAS[[#This Row],[Plano de Contas]],BASE!$B$3:$H$119,5,FALSE),"")</f>
        <v>FINANCEIRO</v>
      </c>
      <c r="L3812" s="77">
        <f>IFERROR(VLOOKUP(DESPESAS[[#This Row],[Plano de Contas]],BASE!$B$3:$H$119,6,FALSE),"")</f>
        <v>0</v>
      </c>
      <c r="M3812" s="77" t="str">
        <f>VLOOKUP(DESPESAS[[#This Row],[Plano de Contas]],BASE!$B$3:$H$119,7,FALSE)</f>
        <v>MYLENA</v>
      </c>
    </row>
    <row r="3813" spans="1:13" x14ac:dyDescent="0.25">
      <c r="A3813" s="74">
        <v>201158</v>
      </c>
      <c r="B3813" s="75" t="s">
        <v>232</v>
      </c>
      <c r="C3813" s="75" t="s">
        <v>3819</v>
      </c>
      <c r="D3813" s="76">
        <v>46147</v>
      </c>
      <c r="E3813" s="75" t="s">
        <v>327</v>
      </c>
      <c r="F3813" s="74">
        <v>247.49</v>
      </c>
      <c r="G3813" s="75" t="s">
        <v>326</v>
      </c>
      <c r="H3813" s="77" t="str">
        <f>VLOOKUP(DESPESAS[[#This Row],[Plano de Contas]],BASE!$B$3:$D$119,3,FALSE)</f>
        <v>Frete sobre Compras</v>
      </c>
      <c r="I3813" s="77" t="str">
        <f>IFERROR(VLOOKUP(DESPESAS[[#This Row],[Fornecedor]],Tabela2[],2,FALSE),"")</f>
        <v>SERVIÇOS FRETE</v>
      </c>
      <c r="J3813" s="77" t="str">
        <f>IFERROR(VLOOKUP(DESPESAS[[#This Row],[Plano de Contas]],BASE!$B$3:$F$119,4,FALSE),"")</f>
        <v>1 - CPV</v>
      </c>
      <c r="K3813" s="77" t="str">
        <f>IFERROR(VLOOKUP(DESPESAS[[#This Row],[Plano de Contas]],BASE!$B$3:$H$119,5,FALSE),"")</f>
        <v>COMPRAS</v>
      </c>
      <c r="L3813" s="77">
        <f>IFERROR(VLOOKUP(DESPESAS[[#This Row],[Plano de Contas]],BASE!$B$3:$H$119,6,FALSE),"")</f>
        <v>0</v>
      </c>
      <c r="M3813" s="77" t="str">
        <f>VLOOKUP(DESPESAS[[#This Row],[Plano de Contas]],BASE!$B$3:$H$119,7,FALSE)</f>
        <v>MYLENA</v>
      </c>
    </row>
    <row r="3814" spans="1:13" x14ac:dyDescent="0.25">
      <c r="A3814" s="74">
        <v>201159</v>
      </c>
      <c r="B3814" s="75" t="s">
        <v>221</v>
      </c>
      <c r="C3814" s="75" t="s">
        <v>3820</v>
      </c>
      <c r="D3814" s="76">
        <v>46147</v>
      </c>
      <c r="E3814" s="75" t="s">
        <v>245</v>
      </c>
      <c r="F3814" s="74">
        <v>590</v>
      </c>
      <c r="G3814" s="75" t="s">
        <v>259</v>
      </c>
      <c r="H3814" s="77" t="str">
        <f>VLOOKUP(DESPESAS[[#This Row],[Plano de Contas]],BASE!$B$3:$D$119,3,FALSE)</f>
        <v>Manutenção Predial CIF</v>
      </c>
      <c r="I3814" s="77" t="str">
        <f>IFERROR(VLOOKUP(DESPESAS[[#This Row],[Fornecedor]],Tabela2[],2,FALSE),"")</f>
        <v>FERRAGENS GERAIS</v>
      </c>
      <c r="J3814" s="77" t="str">
        <f>IFERROR(VLOOKUP(DESPESAS[[#This Row],[Plano de Contas]],BASE!$B$3:$F$119,4,FALSE),"")</f>
        <v>3 - CUSTOS INDIRETOS</v>
      </c>
      <c r="K3814" s="77" t="str">
        <f>IFERROR(VLOOKUP(DESPESAS[[#This Row],[Plano de Contas]],BASE!$B$3:$H$119,5,FALSE),"")</f>
        <v>MANUTENÇÃO / TI</v>
      </c>
      <c r="L3814" s="77">
        <f>IFERROR(VLOOKUP(DESPESAS[[#This Row],[Plano de Contas]],BASE!$B$3:$H$119,6,FALSE),"")</f>
        <v>0</v>
      </c>
      <c r="M3814" s="77" t="str">
        <f>VLOOKUP(DESPESAS[[#This Row],[Plano de Contas]],BASE!$B$3:$H$119,7,FALSE)</f>
        <v>FÁBIO</v>
      </c>
    </row>
    <row r="3815" spans="1:13" x14ac:dyDescent="0.25">
      <c r="A3815" s="74">
        <v>201160</v>
      </c>
      <c r="B3815" s="75" t="s">
        <v>232</v>
      </c>
      <c r="C3815" s="75" t="s">
        <v>3821</v>
      </c>
      <c r="D3815" s="76">
        <v>46147</v>
      </c>
      <c r="E3815" s="75" t="s">
        <v>230</v>
      </c>
      <c r="F3815" s="74">
        <v>398.39</v>
      </c>
      <c r="G3815" s="75" t="s">
        <v>229</v>
      </c>
      <c r="H3815" s="77" t="str">
        <f>VLOOKUP(DESPESAS[[#This Row],[Plano de Contas]],BASE!$B$3:$D$119,3,FALSE)</f>
        <v>Despesas Bancarias</v>
      </c>
      <c r="I3815" s="77" t="str">
        <f>IFERROR(VLOOKUP(DESPESAS[[#This Row],[Fornecedor]],Tabela2[],2,FALSE),"")</f>
        <v/>
      </c>
      <c r="J3815" s="77" t="str">
        <f>IFERROR(VLOOKUP(DESPESAS[[#This Row],[Plano de Contas]],BASE!$B$3:$F$119,4,FALSE),"")</f>
        <v>8 - DESPESAS FINANCEIRAS</v>
      </c>
      <c r="K3815" s="77" t="str">
        <f>IFERROR(VLOOKUP(DESPESAS[[#This Row],[Plano de Contas]],BASE!$B$3:$H$119,5,FALSE),"")</f>
        <v>FINANCEIRO</v>
      </c>
      <c r="L3815" s="77">
        <f>IFERROR(VLOOKUP(DESPESAS[[#This Row],[Plano de Contas]],BASE!$B$3:$H$119,6,FALSE),"")</f>
        <v>0</v>
      </c>
      <c r="M3815" s="77" t="str">
        <f>VLOOKUP(DESPESAS[[#This Row],[Plano de Contas]],BASE!$B$3:$H$119,7,FALSE)</f>
        <v>LETÍCIA</v>
      </c>
    </row>
    <row r="3816" spans="1:13" x14ac:dyDescent="0.25">
      <c r="A3816" s="74">
        <v>201161</v>
      </c>
      <c r="B3816" s="75" t="s">
        <v>232</v>
      </c>
      <c r="C3816" s="75" t="s">
        <v>3822</v>
      </c>
      <c r="D3816" s="76">
        <v>46147</v>
      </c>
      <c r="E3816" s="75" t="s">
        <v>230</v>
      </c>
      <c r="F3816" s="74">
        <v>333.25</v>
      </c>
      <c r="G3816" s="75" t="s">
        <v>229</v>
      </c>
      <c r="H3816" s="77" t="str">
        <f>VLOOKUP(DESPESAS[[#This Row],[Plano de Contas]],BASE!$B$3:$D$119,3,FALSE)</f>
        <v>Despesas Bancarias</v>
      </c>
      <c r="I3816" s="77" t="str">
        <f>IFERROR(VLOOKUP(DESPESAS[[#This Row],[Fornecedor]],Tabela2[],2,FALSE),"")</f>
        <v/>
      </c>
      <c r="J3816" s="77" t="str">
        <f>IFERROR(VLOOKUP(DESPESAS[[#This Row],[Plano de Contas]],BASE!$B$3:$F$119,4,FALSE),"")</f>
        <v>8 - DESPESAS FINANCEIRAS</v>
      </c>
      <c r="K3816" s="77" t="str">
        <f>IFERROR(VLOOKUP(DESPESAS[[#This Row],[Plano de Contas]],BASE!$B$3:$H$119,5,FALSE),"")</f>
        <v>FINANCEIRO</v>
      </c>
      <c r="L3816" s="77">
        <f>IFERROR(VLOOKUP(DESPESAS[[#This Row],[Plano de Contas]],BASE!$B$3:$H$119,6,FALSE),"")</f>
        <v>0</v>
      </c>
      <c r="M3816" s="77" t="str">
        <f>VLOOKUP(DESPESAS[[#This Row],[Plano de Contas]],BASE!$B$3:$H$119,7,FALSE)</f>
        <v>LETÍCIA</v>
      </c>
    </row>
    <row r="3817" spans="1:13" x14ac:dyDescent="0.25">
      <c r="A3817" s="74">
        <v>201162</v>
      </c>
      <c r="B3817" s="75" t="s">
        <v>232</v>
      </c>
      <c r="C3817" s="75" t="s">
        <v>3823</v>
      </c>
      <c r="D3817" s="76">
        <v>46147</v>
      </c>
      <c r="E3817" s="75" t="s">
        <v>230</v>
      </c>
      <c r="F3817" s="74">
        <v>2468.65</v>
      </c>
      <c r="G3817" s="75" t="s">
        <v>251</v>
      </c>
      <c r="H3817" s="77" t="str">
        <f>VLOOKUP(DESPESAS[[#This Row],[Plano de Contas]],BASE!$B$3:$D$119,3,FALSE)</f>
        <v>Juros Pagos - Antecipação de Crédito</v>
      </c>
      <c r="I3817" s="77" t="str">
        <f>IFERROR(VLOOKUP(DESPESAS[[#This Row],[Fornecedor]],Tabela2[],2,FALSE),"")</f>
        <v/>
      </c>
      <c r="J3817" s="77" t="str">
        <f>IFERROR(VLOOKUP(DESPESAS[[#This Row],[Plano de Contas]],BASE!$B$3:$F$119,4,FALSE),"")</f>
        <v>8 - DESPESAS FINANCEIRAS</v>
      </c>
      <c r="K3817" s="77" t="str">
        <f>IFERROR(VLOOKUP(DESPESAS[[#This Row],[Plano de Contas]],BASE!$B$3:$H$119,5,FALSE),"")</f>
        <v>FINANCEIRO</v>
      </c>
      <c r="L3817" s="77">
        <f>IFERROR(VLOOKUP(DESPESAS[[#This Row],[Plano de Contas]],BASE!$B$3:$H$119,6,FALSE),"")</f>
        <v>0</v>
      </c>
      <c r="M3817" s="77" t="str">
        <f>VLOOKUP(DESPESAS[[#This Row],[Plano de Contas]],BASE!$B$3:$H$119,7,FALSE)</f>
        <v>LETÍCIA</v>
      </c>
    </row>
    <row r="3818" spans="1:13" x14ac:dyDescent="0.25">
      <c r="A3818" s="74">
        <v>201163</v>
      </c>
      <c r="B3818" s="75" t="s">
        <v>221</v>
      </c>
      <c r="C3818" s="75" t="s">
        <v>3824</v>
      </c>
      <c r="D3818" s="76">
        <v>46147</v>
      </c>
      <c r="E3818" s="75" t="s">
        <v>570</v>
      </c>
      <c r="F3818" s="74">
        <v>16000</v>
      </c>
      <c r="G3818" s="75" t="s">
        <v>365</v>
      </c>
      <c r="H3818" s="77" t="str">
        <f>VLOOKUP(DESPESAS[[#This Row],[Plano de Contas]],BASE!$B$3:$D$119,3,FALSE)</f>
        <v>Pró-Labore</v>
      </c>
      <c r="I3818" s="77" t="str">
        <f>IFERROR(VLOOKUP(DESPESAS[[#This Row],[Fornecedor]],Tabela2[],2,FALSE),"")</f>
        <v/>
      </c>
      <c r="J3818" s="77" t="str">
        <f>IFERROR(VLOOKUP(DESPESAS[[#This Row],[Plano de Contas]],BASE!$B$3:$F$119,4,FALSE),"")</f>
        <v>4 - GASTOS COM PESSOAL</v>
      </c>
      <c r="K3818" s="77" t="str">
        <f>IFERROR(VLOOKUP(DESPESAS[[#This Row],[Plano de Contas]],BASE!$B$3:$H$119,5,FALSE),"")</f>
        <v>DIRETORIA</v>
      </c>
      <c r="L3818" s="77">
        <f>IFERROR(VLOOKUP(DESPESAS[[#This Row],[Plano de Contas]],BASE!$B$3:$H$119,6,FALSE),"")</f>
        <v>0</v>
      </c>
      <c r="M3818" s="77" t="str">
        <f>VLOOKUP(DESPESAS[[#This Row],[Plano de Contas]],BASE!$B$3:$H$119,7,FALSE)</f>
        <v>FÁBIO</v>
      </c>
    </row>
    <row r="3819" spans="1:13" x14ac:dyDescent="0.25">
      <c r="A3819" s="74">
        <v>201164</v>
      </c>
      <c r="B3819" s="75" t="s">
        <v>281</v>
      </c>
      <c r="C3819" s="75" t="s">
        <v>3825</v>
      </c>
      <c r="D3819" s="76">
        <v>46147</v>
      </c>
      <c r="E3819" s="75" t="s">
        <v>369</v>
      </c>
      <c r="F3819" s="74">
        <v>10000</v>
      </c>
      <c r="G3819" s="75" t="s">
        <v>365</v>
      </c>
      <c r="H3819" s="77" t="str">
        <f>VLOOKUP(DESPESAS[[#This Row],[Plano de Contas]],BASE!$B$3:$D$119,3,FALSE)</f>
        <v>Pró-Labore</v>
      </c>
      <c r="I3819" s="77" t="str">
        <f>IFERROR(VLOOKUP(DESPESAS[[#This Row],[Fornecedor]],Tabela2[],2,FALSE),"")</f>
        <v/>
      </c>
      <c r="J3819" s="77" t="str">
        <f>IFERROR(VLOOKUP(DESPESAS[[#This Row],[Plano de Contas]],BASE!$B$3:$F$119,4,FALSE),"")</f>
        <v>4 - GASTOS COM PESSOAL</v>
      </c>
      <c r="K3819" s="77" t="str">
        <f>IFERROR(VLOOKUP(DESPESAS[[#This Row],[Plano de Contas]],BASE!$B$3:$H$119,5,FALSE),"")</f>
        <v>DIRETORIA</v>
      </c>
      <c r="L3819" s="77">
        <f>IFERROR(VLOOKUP(DESPESAS[[#This Row],[Plano de Contas]],BASE!$B$3:$H$119,6,FALSE),"")</f>
        <v>0</v>
      </c>
      <c r="M3819" s="77" t="str">
        <f>VLOOKUP(DESPESAS[[#This Row],[Plano de Contas]],BASE!$B$3:$H$119,7,FALSE)</f>
        <v>FÁBIO</v>
      </c>
    </row>
    <row r="3820" spans="1:13" x14ac:dyDescent="0.25">
      <c r="A3820" s="74">
        <v>201165</v>
      </c>
      <c r="B3820" s="75" t="s">
        <v>279</v>
      </c>
      <c r="C3820" s="75" t="s">
        <v>3825</v>
      </c>
      <c r="D3820" s="76">
        <v>46147</v>
      </c>
      <c r="E3820" s="75" t="s">
        <v>368</v>
      </c>
      <c r="F3820" s="74">
        <v>9000</v>
      </c>
      <c r="G3820" s="75" t="s">
        <v>365</v>
      </c>
      <c r="H3820" s="77" t="str">
        <f>VLOOKUP(DESPESAS[[#This Row],[Plano de Contas]],BASE!$B$3:$D$119,3,FALSE)</f>
        <v>Pró-Labore</v>
      </c>
      <c r="I3820" s="77" t="str">
        <f>IFERROR(VLOOKUP(DESPESAS[[#This Row],[Fornecedor]],Tabela2[],2,FALSE),"")</f>
        <v/>
      </c>
      <c r="J3820" s="77" t="str">
        <f>IFERROR(VLOOKUP(DESPESAS[[#This Row],[Plano de Contas]],BASE!$B$3:$F$119,4,FALSE),"")</f>
        <v>4 - GASTOS COM PESSOAL</v>
      </c>
      <c r="K3820" s="77" t="str">
        <f>IFERROR(VLOOKUP(DESPESAS[[#This Row],[Plano de Contas]],BASE!$B$3:$H$119,5,FALSE),"")</f>
        <v>DIRETORIA</v>
      </c>
      <c r="L3820" s="77">
        <f>IFERROR(VLOOKUP(DESPESAS[[#This Row],[Plano de Contas]],BASE!$B$3:$H$119,6,FALSE),"")</f>
        <v>0</v>
      </c>
      <c r="M3820" s="77" t="str">
        <f>VLOOKUP(DESPESAS[[#This Row],[Plano de Contas]],BASE!$B$3:$H$119,7,FALSE)</f>
        <v>FÁBIO</v>
      </c>
    </row>
    <row r="3821" spans="1:13" x14ac:dyDescent="0.25">
      <c r="A3821" s="74">
        <v>201166</v>
      </c>
      <c r="B3821" s="75" t="s">
        <v>221</v>
      </c>
      <c r="C3821" s="75" t="s">
        <v>3825</v>
      </c>
      <c r="D3821" s="76">
        <v>46147</v>
      </c>
      <c r="E3821" s="75" t="s">
        <v>366</v>
      </c>
      <c r="F3821" s="74">
        <v>15000</v>
      </c>
      <c r="G3821" s="75" t="s">
        <v>365</v>
      </c>
      <c r="H3821" s="77" t="str">
        <f>VLOOKUP(DESPESAS[[#This Row],[Plano de Contas]],BASE!$B$3:$D$119,3,FALSE)</f>
        <v>Pró-Labore</v>
      </c>
      <c r="I3821" s="77" t="str">
        <f>IFERROR(VLOOKUP(DESPESAS[[#This Row],[Fornecedor]],Tabela2[],2,FALSE),"")</f>
        <v/>
      </c>
      <c r="J3821" s="77" t="str">
        <f>IFERROR(VLOOKUP(DESPESAS[[#This Row],[Plano de Contas]],BASE!$B$3:$F$119,4,FALSE),"")</f>
        <v>4 - GASTOS COM PESSOAL</v>
      </c>
      <c r="K3821" s="77" t="str">
        <f>IFERROR(VLOOKUP(DESPESAS[[#This Row],[Plano de Contas]],BASE!$B$3:$H$119,5,FALSE),"")</f>
        <v>DIRETORIA</v>
      </c>
      <c r="L3821" s="77">
        <f>IFERROR(VLOOKUP(DESPESAS[[#This Row],[Plano de Contas]],BASE!$B$3:$H$119,6,FALSE),"")</f>
        <v>0</v>
      </c>
      <c r="M3821" s="77" t="str">
        <f>VLOOKUP(DESPESAS[[#This Row],[Plano de Contas]],BASE!$B$3:$H$119,7,FALSE)</f>
        <v>FÁBIO</v>
      </c>
    </row>
    <row r="3822" spans="1:13" x14ac:dyDescent="0.25">
      <c r="A3822" s="74">
        <v>201167</v>
      </c>
      <c r="B3822" s="75" t="s">
        <v>232</v>
      </c>
      <c r="C3822" s="75" t="s">
        <v>3826</v>
      </c>
      <c r="D3822" s="76">
        <v>46147</v>
      </c>
      <c r="E3822" s="75" t="s">
        <v>230</v>
      </c>
      <c r="F3822" s="74">
        <v>239.67</v>
      </c>
      <c r="G3822" s="75" t="s">
        <v>229</v>
      </c>
      <c r="H3822" s="77" t="str">
        <f>VLOOKUP(DESPESAS[[#This Row],[Plano de Contas]],BASE!$B$3:$D$119,3,FALSE)</f>
        <v>Despesas Bancarias</v>
      </c>
      <c r="I3822" s="77" t="str">
        <f>IFERROR(VLOOKUP(DESPESAS[[#This Row],[Fornecedor]],Tabela2[],2,FALSE),"")</f>
        <v/>
      </c>
      <c r="J3822" s="77" t="str">
        <f>IFERROR(VLOOKUP(DESPESAS[[#This Row],[Plano de Contas]],BASE!$B$3:$F$119,4,FALSE),"")</f>
        <v>8 - DESPESAS FINANCEIRAS</v>
      </c>
      <c r="K3822" s="77" t="str">
        <f>IFERROR(VLOOKUP(DESPESAS[[#This Row],[Plano de Contas]],BASE!$B$3:$H$119,5,FALSE),"")</f>
        <v>FINANCEIRO</v>
      </c>
      <c r="L3822" s="77">
        <f>IFERROR(VLOOKUP(DESPESAS[[#This Row],[Plano de Contas]],BASE!$B$3:$H$119,6,FALSE),"")</f>
        <v>0</v>
      </c>
      <c r="M3822" s="77" t="str">
        <f>VLOOKUP(DESPESAS[[#This Row],[Plano de Contas]],BASE!$B$3:$H$119,7,FALSE)</f>
        <v>LETÍCIA</v>
      </c>
    </row>
    <row r="3823" spans="1:13" x14ac:dyDescent="0.25">
      <c r="A3823" s="74">
        <v>201168</v>
      </c>
      <c r="B3823" s="75" t="s">
        <v>221</v>
      </c>
      <c r="C3823" s="75" t="s">
        <v>3827</v>
      </c>
      <c r="D3823" s="76">
        <v>46147</v>
      </c>
      <c r="E3823" s="75" t="s">
        <v>996</v>
      </c>
      <c r="F3823" s="74">
        <v>65</v>
      </c>
      <c r="G3823" s="75" t="s">
        <v>470</v>
      </c>
      <c r="H3823" s="77" t="str">
        <f>VLOOKUP(DESPESAS[[#This Row],[Plano de Contas]],BASE!$B$3:$D$119,3,FALSE)</f>
        <v>Desenvolvimento de Novos Produtos</v>
      </c>
      <c r="I3823" s="77" t="str">
        <f>IFERROR(VLOOKUP(DESPESAS[[#This Row],[Fornecedor]],Tabela2[],2,FALSE),"")</f>
        <v/>
      </c>
      <c r="J3823" s="77" t="str">
        <f>IFERROR(VLOOKUP(DESPESAS[[#This Row],[Plano de Contas]],BASE!$B$3:$F$119,4,FALSE),"")</f>
        <v>6 - DESPESA COM VENDAS</v>
      </c>
      <c r="K3823" s="77" t="str">
        <f>IFERROR(VLOOKUP(DESPESAS[[#This Row],[Plano de Contas]],BASE!$B$3:$H$119,5,FALSE),"")</f>
        <v>DESENVOLVIMENTO</v>
      </c>
      <c r="L3823" s="77">
        <f>IFERROR(VLOOKUP(DESPESAS[[#This Row],[Plano de Contas]],BASE!$B$3:$H$119,6,FALSE),"")</f>
        <v>0</v>
      </c>
      <c r="M3823" s="77" t="str">
        <f>VLOOKUP(DESPESAS[[#This Row],[Plano de Contas]],BASE!$B$3:$H$119,7,FALSE)</f>
        <v>RAFAEL</v>
      </c>
    </row>
    <row r="3824" spans="1:13" x14ac:dyDescent="0.25">
      <c r="A3824" s="74">
        <v>201169</v>
      </c>
      <c r="B3824" s="75" t="s">
        <v>232</v>
      </c>
      <c r="C3824" s="75" t="s">
        <v>3828</v>
      </c>
      <c r="D3824" s="76">
        <v>46147</v>
      </c>
      <c r="E3824" s="75" t="s">
        <v>230</v>
      </c>
      <c r="F3824" s="74">
        <v>8.69</v>
      </c>
      <c r="G3824" s="75" t="s">
        <v>236</v>
      </c>
      <c r="H3824" s="77" t="str">
        <f>VLOOKUP(DESPESAS[[#This Row],[Plano de Contas]],BASE!$B$3:$D$119,3,FALSE)</f>
        <v>Despesas de Cobranca</v>
      </c>
      <c r="I3824" s="77" t="str">
        <f>IFERROR(VLOOKUP(DESPESAS[[#This Row],[Fornecedor]],Tabela2[],2,FALSE),"")</f>
        <v/>
      </c>
      <c r="J3824" s="77" t="str">
        <f>IFERROR(VLOOKUP(DESPESAS[[#This Row],[Plano de Contas]],BASE!$B$3:$F$119,4,FALSE),"")</f>
        <v>8 - DESPESAS FINANCEIRAS</v>
      </c>
      <c r="K3824" s="77" t="str">
        <f>IFERROR(VLOOKUP(DESPESAS[[#This Row],[Plano de Contas]],BASE!$B$3:$H$119,5,FALSE),"")</f>
        <v>FINANCEIRO</v>
      </c>
      <c r="L3824" s="77">
        <f>IFERROR(VLOOKUP(DESPESAS[[#This Row],[Plano de Contas]],BASE!$B$3:$H$119,6,FALSE),"")</f>
        <v>0</v>
      </c>
      <c r="M3824" s="77" t="str">
        <f>VLOOKUP(DESPESAS[[#This Row],[Plano de Contas]],BASE!$B$3:$H$119,7,FALSE)</f>
        <v>LETÍCIA</v>
      </c>
    </row>
    <row r="3825" spans="1:13" x14ac:dyDescent="0.25">
      <c r="A3825" s="74">
        <v>201171</v>
      </c>
      <c r="B3825" s="75" t="s">
        <v>279</v>
      </c>
      <c r="C3825" s="75" t="s">
        <v>3829</v>
      </c>
      <c r="D3825" s="76">
        <v>46147</v>
      </c>
      <c r="E3825" s="75" t="s">
        <v>230</v>
      </c>
      <c r="F3825" s="74">
        <v>0.79</v>
      </c>
      <c r="G3825" s="75" t="s">
        <v>236</v>
      </c>
      <c r="H3825" s="77" t="str">
        <f>VLOOKUP(DESPESAS[[#This Row],[Plano de Contas]],BASE!$B$3:$D$119,3,FALSE)</f>
        <v>Despesas de Cobranca</v>
      </c>
      <c r="I3825" s="77" t="str">
        <f>IFERROR(VLOOKUP(DESPESAS[[#This Row],[Fornecedor]],Tabela2[],2,FALSE),"")</f>
        <v/>
      </c>
      <c r="J3825" s="77" t="str">
        <f>IFERROR(VLOOKUP(DESPESAS[[#This Row],[Plano de Contas]],BASE!$B$3:$F$119,4,FALSE),"")</f>
        <v>8 - DESPESAS FINANCEIRAS</v>
      </c>
      <c r="K3825" s="77" t="str">
        <f>IFERROR(VLOOKUP(DESPESAS[[#This Row],[Plano de Contas]],BASE!$B$3:$H$119,5,FALSE),"")</f>
        <v>FINANCEIRO</v>
      </c>
      <c r="L3825" s="77">
        <f>IFERROR(VLOOKUP(DESPESAS[[#This Row],[Plano de Contas]],BASE!$B$3:$H$119,6,FALSE),"")</f>
        <v>0</v>
      </c>
      <c r="M3825" s="77" t="str">
        <f>VLOOKUP(DESPESAS[[#This Row],[Plano de Contas]],BASE!$B$3:$H$119,7,FALSE)</f>
        <v>LETÍCIA</v>
      </c>
    </row>
    <row r="3826" spans="1:13" x14ac:dyDescent="0.25">
      <c r="A3826" s="74">
        <v>201173</v>
      </c>
      <c r="B3826" s="75" t="s">
        <v>221</v>
      </c>
      <c r="C3826" s="75" t="s">
        <v>3830</v>
      </c>
      <c r="D3826" s="76">
        <v>46148</v>
      </c>
      <c r="E3826" s="75" t="s">
        <v>970</v>
      </c>
      <c r="F3826" s="74">
        <v>70</v>
      </c>
      <c r="G3826" s="75" t="s">
        <v>489</v>
      </c>
      <c r="H3826" s="77" t="str">
        <f>VLOOKUP(DESPESAS[[#This Row],[Plano de Contas]],BASE!$B$3:$D$119,3,FALSE)</f>
        <v>Material de Limpeza CIF</v>
      </c>
      <c r="I3826" s="77" t="str">
        <f>IFERROR(VLOOKUP(DESPESAS[[#This Row],[Fornecedor]],Tabela2[],2,FALSE),"")</f>
        <v/>
      </c>
      <c r="J3826" s="77" t="str">
        <f>IFERROR(VLOOKUP(DESPESAS[[#This Row],[Plano de Contas]],BASE!$B$3:$F$119,4,FALSE),"")</f>
        <v>3 - CUSTOS INDIRETOS</v>
      </c>
      <c r="K3826" s="77" t="str">
        <f>IFERROR(VLOOKUP(DESPESAS[[#This Row],[Plano de Contas]],BASE!$B$3:$H$119,5,FALSE),"")</f>
        <v>COMPRAS</v>
      </c>
      <c r="L3826" s="77">
        <f>IFERROR(VLOOKUP(DESPESAS[[#This Row],[Plano de Contas]],BASE!$B$3:$H$119,6,FALSE),"")</f>
        <v>0</v>
      </c>
      <c r="M3826" s="77" t="str">
        <f>VLOOKUP(DESPESAS[[#This Row],[Plano de Contas]],BASE!$B$3:$H$119,7,FALSE)</f>
        <v>MYLENA</v>
      </c>
    </row>
    <row r="3827" spans="1:13" x14ac:dyDescent="0.25">
      <c r="A3827" s="74">
        <v>201174</v>
      </c>
      <c r="B3827" s="75" t="s">
        <v>281</v>
      </c>
      <c r="C3827" s="75" t="s">
        <v>3831</v>
      </c>
      <c r="D3827" s="76">
        <v>46148</v>
      </c>
      <c r="E3827" s="75" t="s">
        <v>1007</v>
      </c>
      <c r="F3827" s="74">
        <v>1525</v>
      </c>
      <c r="G3827" s="75" t="s">
        <v>489</v>
      </c>
      <c r="H3827" s="77" t="str">
        <f>VLOOKUP(DESPESAS[[#This Row],[Plano de Contas]],BASE!$B$3:$D$119,3,FALSE)</f>
        <v>Material de Limpeza CIF</v>
      </c>
      <c r="I3827" s="77" t="str">
        <f>IFERROR(VLOOKUP(DESPESAS[[#This Row],[Fornecedor]],Tabela2[],2,FALSE),"")</f>
        <v/>
      </c>
      <c r="J3827" s="77" t="str">
        <f>IFERROR(VLOOKUP(DESPESAS[[#This Row],[Plano de Contas]],BASE!$B$3:$F$119,4,FALSE),"")</f>
        <v>3 - CUSTOS INDIRETOS</v>
      </c>
      <c r="K3827" s="77" t="str">
        <f>IFERROR(VLOOKUP(DESPESAS[[#This Row],[Plano de Contas]],BASE!$B$3:$H$119,5,FALSE),"")</f>
        <v>COMPRAS</v>
      </c>
      <c r="L3827" s="77">
        <f>IFERROR(VLOOKUP(DESPESAS[[#This Row],[Plano de Contas]],BASE!$B$3:$H$119,6,FALSE),"")</f>
        <v>0</v>
      </c>
      <c r="M3827" s="77" t="str">
        <f>VLOOKUP(DESPESAS[[#This Row],[Plano de Contas]],BASE!$B$3:$H$119,7,FALSE)</f>
        <v>MYLENA</v>
      </c>
    </row>
    <row r="3828" spans="1:13" x14ac:dyDescent="0.25">
      <c r="A3828" s="74">
        <v>201175</v>
      </c>
      <c r="B3828" s="75" t="s">
        <v>281</v>
      </c>
      <c r="C3828" s="75" t="s">
        <v>3832</v>
      </c>
      <c r="D3828" s="76">
        <v>46148</v>
      </c>
      <c r="E3828" s="75" t="s">
        <v>1007</v>
      </c>
      <c r="F3828" s="74">
        <v>512.5</v>
      </c>
      <c r="G3828" s="75" t="s">
        <v>1006</v>
      </c>
      <c r="H3828" s="77" t="str">
        <f>VLOOKUP(DESPESAS[[#This Row],[Plano de Contas]],BASE!$B$3:$D$119,3,FALSE)</f>
        <v>Material de Limpeza (Adm)</v>
      </c>
      <c r="I3828" s="77" t="str">
        <f>IFERROR(VLOOKUP(DESPESAS[[#This Row],[Fornecedor]],Tabela2[],2,FALSE),"")</f>
        <v/>
      </c>
      <c r="J3828" s="77" t="str">
        <f>IFERROR(VLOOKUP(DESPESAS[[#This Row],[Plano de Contas]],BASE!$B$3:$F$119,4,FALSE),"")</f>
        <v>5 - DESPESAS ADMINISTRATIVAS</v>
      </c>
      <c r="K3828" s="77" t="str">
        <f>IFERROR(VLOOKUP(DESPESAS[[#This Row],[Plano de Contas]],BASE!$B$3:$H$119,5,FALSE),"")</f>
        <v>ADMINISTRATIVO</v>
      </c>
      <c r="L3828" s="77">
        <f>IFERROR(VLOOKUP(DESPESAS[[#This Row],[Plano de Contas]],BASE!$B$3:$H$119,6,FALSE),"")</f>
        <v>0</v>
      </c>
      <c r="M3828" s="77" t="str">
        <f>VLOOKUP(DESPESAS[[#This Row],[Plano de Contas]],BASE!$B$3:$H$119,7,FALSE)</f>
        <v>MYLENA</v>
      </c>
    </row>
    <row r="3829" spans="1:13" x14ac:dyDescent="0.25">
      <c r="A3829" s="74">
        <v>201187</v>
      </c>
      <c r="B3829" s="75" t="s">
        <v>221</v>
      </c>
      <c r="C3829" s="75" t="s">
        <v>3833</v>
      </c>
      <c r="D3829" s="76">
        <v>46148</v>
      </c>
      <c r="E3829" s="75" t="s">
        <v>366</v>
      </c>
      <c r="F3829" s="74">
        <v>500</v>
      </c>
      <c r="G3829" s="75" t="s">
        <v>365</v>
      </c>
      <c r="H3829" s="77" t="str">
        <f>VLOOKUP(DESPESAS[[#This Row],[Plano de Contas]],BASE!$B$3:$D$119,3,FALSE)</f>
        <v>Pró-Labore</v>
      </c>
      <c r="I3829" s="77" t="str">
        <f>IFERROR(VLOOKUP(DESPESAS[[#This Row],[Fornecedor]],Tabela2[],2,FALSE),"")</f>
        <v/>
      </c>
      <c r="J3829" s="77" t="str">
        <f>IFERROR(VLOOKUP(DESPESAS[[#This Row],[Plano de Contas]],BASE!$B$3:$F$119,4,FALSE),"")</f>
        <v>4 - GASTOS COM PESSOAL</v>
      </c>
      <c r="K3829" s="77" t="str">
        <f>IFERROR(VLOOKUP(DESPESAS[[#This Row],[Plano de Contas]],BASE!$B$3:$H$119,5,FALSE),"")</f>
        <v>DIRETORIA</v>
      </c>
      <c r="L3829" s="77">
        <f>IFERROR(VLOOKUP(DESPESAS[[#This Row],[Plano de Contas]],BASE!$B$3:$H$119,6,FALSE),"")</f>
        <v>0</v>
      </c>
      <c r="M3829" s="77" t="str">
        <f>VLOOKUP(DESPESAS[[#This Row],[Plano de Contas]],BASE!$B$3:$H$119,7,FALSE)</f>
        <v>FÁBIO</v>
      </c>
    </row>
    <row r="3830" spans="1:13" x14ac:dyDescent="0.25">
      <c r="A3830" s="74">
        <v>201190</v>
      </c>
      <c r="B3830" s="75" t="s">
        <v>232</v>
      </c>
      <c r="C3830" s="75" t="s">
        <v>373</v>
      </c>
      <c r="D3830" s="76">
        <v>46148</v>
      </c>
      <c r="E3830" s="75" t="s">
        <v>884</v>
      </c>
      <c r="F3830" s="74">
        <v>1694.75</v>
      </c>
      <c r="G3830" s="75" t="s">
        <v>1378</v>
      </c>
      <c r="H3830" s="77" t="str">
        <f>VLOOKUP(DESPESAS[[#This Row],[Plano de Contas]],BASE!$B$3:$D$119,3,FALSE)</f>
        <v>Rescisões MOD</v>
      </c>
      <c r="I3830" s="77" t="str">
        <f>IFERROR(VLOOKUP(DESPESAS[[#This Row],[Fornecedor]],Tabela2[],2,FALSE),"")</f>
        <v/>
      </c>
      <c r="J3830" s="77" t="str">
        <f>IFERROR(VLOOKUP(DESPESAS[[#This Row],[Plano de Contas]],BASE!$B$3:$F$119,4,FALSE),"")</f>
        <v>2 - CUSTOS DIRETOS</v>
      </c>
      <c r="K3830" s="77" t="str">
        <f>IFERROR(VLOOKUP(DESPESAS[[#This Row],[Plano de Contas]],BASE!$B$3:$H$119,5,FALSE),"")</f>
        <v>DH</v>
      </c>
      <c r="L3830" s="77">
        <f>IFERROR(VLOOKUP(DESPESAS[[#This Row],[Plano de Contas]],BASE!$B$3:$H$119,6,FALSE),"")</f>
        <v>0</v>
      </c>
      <c r="M3830" s="77" t="str">
        <f>VLOOKUP(DESPESAS[[#This Row],[Plano de Contas]],BASE!$B$3:$H$119,7,FALSE)</f>
        <v>RAFAEL</v>
      </c>
    </row>
    <row r="3831" spans="1:13" x14ac:dyDescent="0.25">
      <c r="A3831" s="74">
        <v>201191</v>
      </c>
      <c r="B3831" s="75" t="s">
        <v>232</v>
      </c>
      <c r="C3831" s="75" t="s">
        <v>3834</v>
      </c>
      <c r="D3831" s="76">
        <v>46148</v>
      </c>
      <c r="E3831" s="75" t="s">
        <v>409</v>
      </c>
      <c r="F3831" s="74">
        <v>122.93</v>
      </c>
      <c r="G3831" s="75" t="s">
        <v>326</v>
      </c>
      <c r="H3831" s="77" t="str">
        <f>VLOOKUP(DESPESAS[[#This Row],[Plano de Contas]],BASE!$B$3:$D$119,3,FALSE)</f>
        <v>Frete sobre Compras</v>
      </c>
      <c r="I3831" s="77" t="str">
        <f>IFERROR(VLOOKUP(DESPESAS[[#This Row],[Fornecedor]],Tabela2[],2,FALSE),"")</f>
        <v>SERVIÇOS FRETE</v>
      </c>
      <c r="J3831" s="77" t="str">
        <f>IFERROR(VLOOKUP(DESPESAS[[#This Row],[Plano de Contas]],BASE!$B$3:$F$119,4,FALSE),"")</f>
        <v>1 - CPV</v>
      </c>
      <c r="K3831" s="77" t="str">
        <f>IFERROR(VLOOKUP(DESPESAS[[#This Row],[Plano de Contas]],BASE!$B$3:$H$119,5,FALSE),"")</f>
        <v>COMPRAS</v>
      </c>
      <c r="L3831" s="77">
        <f>IFERROR(VLOOKUP(DESPESAS[[#This Row],[Plano de Contas]],BASE!$B$3:$H$119,6,FALSE),"")</f>
        <v>0</v>
      </c>
      <c r="M3831" s="77" t="str">
        <f>VLOOKUP(DESPESAS[[#This Row],[Plano de Contas]],BASE!$B$3:$H$119,7,FALSE)</f>
        <v>MYLENA</v>
      </c>
    </row>
    <row r="3832" spans="1:13" x14ac:dyDescent="0.25">
      <c r="A3832" s="74">
        <v>201192</v>
      </c>
      <c r="B3832" s="75" t="s">
        <v>221</v>
      </c>
      <c r="C3832" s="75" t="s">
        <v>3835</v>
      </c>
      <c r="D3832" s="76">
        <v>46148</v>
      </c>
      <c r="E3832" s="75" t="s">
        <v>245</v>
      </c>
      <c r="F3832" s="74">
        <v>64</v>
      </c>
      <c r="G3832" s="75" t="s">
        <v>259</v>
      </c>
      <c r="H3832" s="77" t="str">
        <f>VLOOKUP(DESPESAS[[#This Row],[Plano de Contas]],BASE!$B$3:$D$119,3,FALSE)</f>
        <v>Manutenção Predial CIF</v>
      </c>
      <c r="I3832" s="77" t="str">
        <f>IFERROR(VLOOKUP(DESPESAS[[#This Row],[Fornecedor]],Tabela2[],2,FALSE),"")</f>
        <v>FERRAGENS GERAIS</v>
      </c>
      <c r="J3832" s="77" t="str">
        <f>IFERROR(VLOOKUP(DESPESAS[[#This Row],[Plano de Contas]],BASE!$B$3:$F$119,4,FALSE),"")</f>
        <v>3 - CUSTOS INDIRETOS</v>
      </c>
      <c r="K3832" s="77" t="str">
        <f>IFERROR(VLOOKUP(DESPESAS[[#This Row],[Plano de Contas]],BASE!$B$3:$H$119,5,FALSE),"")</f>
        <v>MANUTENÇÃO / TI</v>
      </c>
      <c r="L3832" s="77">
        <f>IFERROR(VLOOKUP(DESPESAS[[#This Row],[Plano de Contas]],BASE!$B$3:$H$119,6,FALSE),"")</f>
        <v>0</v>
      </c>
      <c r="M3832" s="77" t="str">
        <f>VLOOKUP(DESPESAS[[#This Row],[Plano de Contas]],BASE!$B$3:$H$119,7,FALSE)</f>
        <v>FÁBIO</v>
      </c>
    </row>
    <row r="3833" spans="1:13" x14ac:dyDescent="0.25">
      <c r="A3833" s="74">
        <v>201193</v>
      </c>
      <c r="B3833" s="75" t="s">
        <v>221</v>
      </c>
      <c r="C3833" s="75" t="s">
        <v>3836</v>
      </c>
      <c r="D3833" s="76">
        <v>46148</v>
      </c>
      <c r="E3833" s="75" t="s">
        <v>245</v>
      </c>
      <c r="F3833" s="74">
        <v>235</v>
      </c>
      <c r="G3833" s="75" t="s">
        <v>259</v>
      </c>
      <c r="H3833" s="77" t="str">
        <f>VLOOKUP(DESPESAS[[#This Row],[Plano de Contas]],BASE!$B$3:$D$119,3,FALSE)</f>
        <v>Manutenção Predial CIF</v>
      </c>
      <c r="I3833" s="77" t="str">
        <f>IFERROR(VLOOKUP(DESPESAS[[#This Row],[Fornecedor]],Tabela2[],2,FALSE),"")</f>
        <v>FERRAGENS GERAIS</v>
      </c>
      <c r="J3833" s="77" t="str">
        <f>IFERROR(VLOOKUP(DESPESAS[[#This Row],[Plano de Contas]],BASE!$B$3:$F$119,4,FALSE),"")</f>
        <v>3 - CUSTOS INDIRETOS</v>
      </c>
      <c r="K3833" s="77" t="str">
        <f>IFERROR(VLOOKUP(DESPESAS[[#This Row],[Plano de Contas]],BASE!$B$3:$H$119,5,FALSE),"")</f>
        <v>MANUTENÇÃO / TI</v>
      </c>
      <c r="L3833" s="77">
        <f>IFERROR(VLOOKUP(DESPESAS[[#This Row],[Plano de Contas]],BASE!$B$3:$H$119,6,FALSE),"")</f>
        <v>0</v>
      </c>
      <c r="M3833" s="77" t="str">
        <f>VLOOKUP(DESPESAS[[#This Row],[Plano de Contas]],BASE!$B$3:$H$119,7,FALSE)</f>
        <v>FÁBIO</v>
      </c>
    </row>
    <row r="3834" spans="1:13" x14ac:dyDescent="0.25">
      <c r="A3834" s="74">
        <v>201194</v>
      </c>
      <c r="B3834" s="75" t="s">
        <v>232</v>
      </c>
      <c r="C3834" s="75" t="s">
        <v>2067</v>
      </c>
      <c r="D3834" s="76">
        <v>46148</v>
      </c>
      <c r="E3834" s="75" t="s">
        <v>230</v>
      </c>
      <c r="F3834" s="74">
        <v>402.71</v>
      </c>
      <c r="G3834" s="75" t="s">
        <v>229</v>
      </c>
      <c r="H3834" s="77" t="str">
        <f>VLOOKUP(DESPESAS[[#This Row],[Plano de Contas]],BASE!$B$3:$D$119,3,FALSE)</f>
        <v>Despesas Bancarias</v>
      </c>
      <c r="I3834" s="77" t="str">
        <f>IFERROR(VLOOKUP(DESPESAS[[#This Row],[Fornecedor]],Tabela2[],2,FALSE),"")</f>
        <v/>
      </c>
      <c r="J3834" s="77" t="str">
        <f>IFERROR(VLOOKUP(DESPESAS[[#This Row],[Plano de Contas]],BASE!$B$3:$F$119,4,FALSE),"")</f>
        <v>8 - DESPESAS FINANCEIRAS</v>
      </c>
      <c r="K3834" s="77" t="str">
        <f>IFERROR(VLOOKUP(DESPESAS[[#This Row],[Plano de Contas]],BASE!$B$3:$H$119,5,FALSE),"")</f>
        <v>FINANCEIRO</v>
      </c>
      <c r="L3834" s="77">
        <f>IFERROR(VLOOKUP(DESPESAS[[#This Row],[Plano de Contas]],BASE!$B$3:$H$119,6,FALSE),"")</f>
        <v>0</v>
      </c>
      <c r="M3834" s="77" t="str">
        <f>VLOOKUP(DESPESAS[[#This Row],[Plano de Contas]],BASE!$B$3:$H$119,7,FALSE)</f>
        <v>LETÍCIA</v>
      </c>
    </row>
    <row r="3835" spans="1:13" x14ac:dyDescent="0.25">
      <c r="A3835" s="74">
        <v>201195</v>
      </c>
      <c r="B3835" s="75" t="s">
        <v>232</v>
      </c>
      <c r="C3835" s="75" t="s">
        <v>3837</v>
      </c>
      <c r="D3835" s="76">
        <v>46148</v>
      </c>
      <c r="E3835" s="75" t="s">
        <v>230</v>
      </c>
      <c r="F3835" s="74">
        <v>250.99</v>
      </c>
      <c r="G3835" s="75" t="s">
        <v>229</v>
      </c>
      <c r="H3835" s="77" t="str">
        <f>VLOOKUP(DESPESAS[[#This Row],[Plano de Contas]],BASE!$B$3:$D$119,3,FALSE)</f>
        <v>Despesas Bancarias</v>
      </c>
      <c r="I3835" s="77" t="str">
        <f>IFERROR(VLOOKUP(DESPESAS[[#This Row],[Fornecedor]],Tabela2[],2,FALSE),"")</f>
        <v/>
      </c>
      <c r="J3835" s="77" t="str">
        <f>IFERROR(VLOOKUP(DESPESAS[[#This Row],[Plano de Contas]],BASE!$B$3:$F$119,4,FALSE),"")</f>
        <v>8 - DESPESAS FINANCEIRAS</v>
      </c>
      <c r="K3835" s="77" t="str">
        <f>IFERROR(VLOOKUP(DESPESAS[[#This Row],[Plano de Contas]],BASE!$B$3:$H$119,5,FALSE),"")</f>
        <v>FINANCEIRO</v>
      </c>
      <c r="L3835" s="77">
        <f>IFERROR(VLOOKUP(DESPESAS[[#This Row],[Plano de Contas]],BASE!$B$3:$H$119,6,FALSE),"")</f>
        <v>0</v>
      </c>
      <c r="M3835" s="77" t="str">
        <f>VLOOKUP(DESPESAS[[#This Row],[Plano de Contas]],BASE!$B$3:$H$119,7,FALSE)</f>
        <v>LETÍCIA</v>
      </c>
    </row>
    <row r="3836" spans="1:13" x14ac:dyDescent="0.25">
      <c r="A3836" s="74">
        <v>201196</v>
      </c>
      <c r="B3836" s="75" t="s">
        <v>232</v>
      </c>
      <c r="C3836" s="75" t="s">
        <v>3838</v>
      </c>
      <c r="D3836" s="76">
        <v>46148</v>
      </c>
      <c r="E3836" s="75" t="s">
        <v>230</v>
      </c>
      <c r="F3836" s="74">
        <v>2530.42</v>
      </c>
      <c r="G3836" s="75" t="s">
        <v>251</v>
      </c>
      <c r="H3836" s="77" t="str">
        <f>VLOOKUP(DESPESAS[[#This Row],[Plano de Contas]],BASE!$B$3:$D$119,3,FALSE)</f>
        <v>Juros Pagos - Antecipação de Crédito</v>
      </c>
      <c r="I3836" s="77" t="str">
        <f>IFERROR(VLOOKUP(DESPESAS[[#This Row],[Fornecedor]],Tabela2[],2,FALSE),"")</f>
        <v/>
      </c>
      <c r="J3836" s="77" t="str">
        <f>IFERROR(VLOOKUP(DESPESAS[[#This Row],[Plano de Contas]],BASE!$B$3:$F$119,4,FALSE),"")</f>
        <v>8 - DESPESAS FINANCEIRAS</v>
      </c>
      <c r="K3836" s="77" t="str">
        <f>IFERROR(VLOOKUP(DESPESAS[[#This Row],[Plano de Contas]],BASE!$B$3:$H$119,5,FALSE),"")</f>
        <v>FINANCEIRO</v>
      </c>
      <c r="L3836" s="77">
        <f>IFERROR(VLOOKUP(DESPESAS[[#This Row],[Plano de Contas]],BASE!$B$3:$H$119,6,FALSE),"")</f>
        <v>0</v>
      </c>
      <c r="M3836" s="77" t="str">
        <f>VLOOKUP(DESPESAS[[#This Row],[Plano de Contas]],BASE!$B$3:$H$119,7,FALSE)</f>
        <v>LETÍCIA</v>
      </c>
    </row>
    <row r="3837" spans="1:13" x14ac:dyDescent="0.25">
      <c r="A3837" s="74">
        <v>201197</v>
      </c>
      <c r="B3837" s="75" t="s">
        <v>221</v>
      </c>
      <c r="C3837" s="75" t="s">
        <v>3839</v>
      </c>
      <c r="D3837" s="76">
        <v>46148</v>
      </c>
      <c r="E3837" s="75" t="s">
        <v>242</v>
      </c>
      <c r="F3837" s="74">
        <v>48.88</v>
      </c>
      <c r="G3837" s="75" t="s">
        <v>244</v>
      </c>
      <c r="H3837" s="77" t="str">
        <f>VLOOKUP(DESPESAS[[#This Row],[Plano de Contas]],BASE!$B$3:$D$119,3,FALSE)</f>
        <v>Material de Expediente (Prod)</v>
      </c>
      <c r="I3837" s="77" t="str">
        <f>IFERROR(VLOOKUP(DESPESAS[[#This Row],[Fornecedor]],Tabela2[],2,FALSE),"")</f>
        <v/>
      </c>
      <c r="J3837" s="77" t="str">
        <f>IFERROR(VLOOKUP(DESPESAS[[#This Row],[Plano de Contas]],BASE!$B$3:$F$119,4,FALSE),"")</f>
        <v>2 - CUSTOS DIRETOS</v>
      </c>
      <c r="K3837" s="77" t="str">
        <f>IFERROR(VLOOKUP(DESPESAS[[#This Row],[Plano de Contas]],BASE!$B$3:$H$119,5,FALSE),"")</f>
        <v>PRODUÇÃO</v>
      </c>
      <c r="L3837" s="77">
        <f>IFERROR(VLOOKUP(DESPESAS[[#This Row],[Plano de Contas]],BASE!$B$3:$H$119,6,FALSE),"")</f>
        <v>0</v>
      </c>
      <c r="M3837" s="77" t="str">
        <f>VLOOKUP(DESPESAS[[#This Row],[Plano de Contas]],BASE!$B$3:$H$119,7,FALSE)</f>
        <v>RAFAEL</v>
      </c>
    </row>
    <row r="3838" spans="1:13" x14ac:dyDescent="0.25">
      <c r="A3838" s="74">
        <v>201198</v>
      </c>
      <c r="B3838" s="75" t="s">
        <v>232</v>
      </c>
      <c r="C3838" s="75" t="s">
        <v>3840</v>
      </c>
      <c r="D3838" s="76">
        <v>46142</v>
      </c>
      <c r="E3838" s="75" t="s">
        <v>899</v>
      </c>
      <c r="F3838" s="74">
        <v>2707.07</v>
      </c>
      <c r="G3838" s="75" t="s">
        <v>430</v>
      </c>
      <c r="H3838" s="77" t="str">
        <f>VLOOKUP(DESPESAS[[#This Row],[Plano de Contas]],BASE!$B$3:$D$119,3,FALSE)</f>
        <v>Salarios e Ordenados MOD</v>
      </c>
      <c r="I3838" s="77" t="str">
        <f>IFERROR(VLOOKUP(DESPESAS[[#This Row],[Fornecedor]],Tabela2[],2,FALSE),"")</f>
        <v/>
      </c>
      <c r="J3838" s="77" t="str">
        <f>IFERROR(VLOOKUP(DESPESAS[[#This Row],[Plano de Contas]],BASE!$B$3:$F$119,4,FALSE),"")</f>
        <v>2 - CUSTOS DIRETOS</v>
      </c>
      <c r="K3838" s="77" t="str">
        <f>IFERROR(VLOOKUP(DESPESAS[[#This Row],[Plano de Contas]],BASE!$B$3:$H$119,5,FALSE),"")</f>
        <v>DH</v>
      </c>
      <c r="L3838" s="77" t="str">
        <f>IFERROR(VLOOKUP(DESPESAS[[#This Row],[Plano de Contas]],BASE!$B$3:$H$119,6,FALSE),"")</f>
        <v>CUSTO MÃO DE OBRA DIRETA</v>
      </c>
      <c r="M3838" s="77" t="str">
        <f>VLOOKUP(DESPESAS[[#This Row],[Plano de Contas]],BASE!$B$3:$H$119,7,FALSE)</f>
        <v>RAFAEL</v>
      </c>
    </row>
    <row r="3839" spans="1:13" x14ac:dyDescent="0.25">
      <c r="A3839" s="74">
        <v>201199</v>
      </c>
      <c r="B3839" s="75" t="s">
        <v>232</v>
      </c>
      <c r="C3839" s="75" t="s">
        <v>3841</v>
      </c>
      <c r="D3839" s="76">
        <v>46148</v>
      </c>
      <c r="E3839" s="75" t="s">
        <v>1506</v>
      </c>
      <c r="F3839" s="74">
        <v>549</v>
      </c>
      <c r="G3839" s="75" t="s">
        <v>1037</v>
      </c>
      <c r="H3839" s="77" t="str">
        <f>VLOOKUP(DESPESAS[[#This Row],[Plano de Contas]],BASE!$B$3:$D$119,3,FALSE)</f>
        <v>Construções e Reformas</v>
      </c>
      <c r="I3839" s="77" t="str">
        <f>IFERROR(VLOOKUP(DESPESAS[[#This Row],[Fornecedor]],Tabela2[],2,FALSE),"")</f>
        <v/>
      </c>
      <c r="J3839" s="77" t="str">
        <f>IFERROR(VLOOKUP(DESPESAS[[#This Row],[Plano de Contas]],BASE!$B$3:$F$119,4,FALSE),"")</f>
        <v>9 - INVESTIMENTOS</v>
      </c>
      <c r="K3839" s="77" t="str">
        <f>IFERROR(VLOOKUP(DESPESAS[[#This Row],[Plano de Contas]],BASE!$B$3:$H$119,5,FALSE),"")</f>
        <v>MANUTENÇÃO / TI</v>
      </c>
      <c r="L3839" s="77">
        <f>IFERROR(VLOOKUP(DESPESAS[[#This Row],[Plano de Contas]],BASE!$B$3:$H$119,6,FALSE),"")</f>
        <v>0</v>
      </c>
      <c r="M3839" s="77" t="str">
        <f>VLOOKUP(DESPESAS[[#This Row],[Plano de Contas]],BASE!$B$3:$H$119,7,FALSE)</f>
        <v>FÁBIO</v>
      </c>
    </row>
    <row r="3840" spans="1:13" x14ac:dyDescent="0.25">
      <c r="A3840" s="74">
        <v>201202</v>
      </c>
      <c r="B3840" s="75" t="s">
        <v>232</v>
      </c>
      <c r="C3840" s="75" t="s">
        <v>3840</v>
      </c>
      <c r="D3840" s="76">
        <v>46142</v>
      </c>
      <c r="E3840" s="75" t="s">
        <v>897</v>
      </c>
      <c r="F3840" s="74">
        <v>3015.86</v>
      </c>
      <c r="G3840" s="75" t="s">
        <v>430</v>
      </c>
      <c r="H3840" s="77" t="str">
        <f>VLOOKUP(DESPESAS[[#This Row],[Plano de Contas]],BASE!$B$3:$D$119,3,FALSE)</f>
        <v>Salarios e Ordenados MOD</v>
      </c>
      <c r="I3840" s="77" t="str">
        <f>IFERROR(VLOOKUP(DESPESAS[[#This Row],[Fornecedor]],Tabela2[],2,FALSE),"")</f>
        <v/>
      </c>
      <c r="J3840" s="77" t="str">
        <f>IFERROR(VLOOKUP(DESPESAS[[#This Row],[Plano de Contas]],BASE!$B$3:$F$119,4,FALSE),"")</f>
        <v>2 - CUSTOS DIRETOS</v>
      </c>
      <c r="K3840" s="77" t="str">
        <f>IFERROR(VLOOKUP(DESPESAS[[#This Row],[Plano de Contas]],BASE!$B$3:$H$119,5,FALSE),"")</f>
        <v>DH</v>
      </c>
      <c r="L3840" s="77" t="str">
        <f>IFERROR(VLOOKUP(DESPESAS[[#This Row],[Plano de Contas]],BASE!$B$3:$H$119,6,FALSE),"")</f>
        <v>CUSTO MÃO DE OBRA DIRETA</v>
      </c>
      <c r="M3840" s="77" t="str">
        <f>VLOOKUP(DESPESAS[[#This Row],[Plano de Contas]],BASE!$B$3:$H$119,7,FALSE)</f>
        <v>RAFAEL</v>
      </c>
    </row>
    <row r="3841" spans="1:13" x14ac:dyDescent="0.25">
      <c r="A3841" s="74">
        <v>201203</v>
      </c>
      <c r="B3841" s="75" t="s">
        <v>232</v>
      </c>
      <c r="C3841" s="75" t="s">
        <v>3842</v>
      </c>
      <c r="D3841" s="76">
        <v>46142</v>
      </c>
      <c r="E3841" s="75" t="s">
        <v>327</v>
      </c>
      <c r="F3841" s="74">
        <v>137.18</v>
      </c>
      <c r="G3841" s="75" t="s">
        <v>244</v>
      </c>
      <c r="H3841" s="77" t="str">
        <f>VLOOKUP(DESPESAS[[#This Row],[Plano de Contas]],BASE!$B$3:$D$119,3,FALSE)</f>
        <v>Material de Expediente (Prod)</v>
      </c>
      <c r="I3841" s="77" t="str">
        <f>IFERROR(VLOOKUP(DESPESAS[[#This Row],[Fornecedor]],Tabela2[],2,FALSE),"")</f>
        <v>SERVIÇOS FRETE</v>
      </c>
      <c r="J3841" s="77" t="str">
        <f>IFERROR(VLOOKUP(DESPESAS[[#This Row],[Plano de Contas]],BASE!$B$3:$F$119,4,FALSE),"")</f>
        <v>2 - CUSTOS DIRETOS</v>
      </c>
      <c r="K3841" s="77" t="str">
        <f>IFERROR(VLOOKUP(DESPESAS[[#This Row],[Plano de Contas]],BASE!$B$3:$H$119,5,FALSE),"")</f>
        <v>PRODUÇÃO</v>
      </c>
      <c r="L3841" s="77">
        <f>IFERROR(VLOOKUP(DESPESAS[[#This Row],[Plano de Contas]],BASE!$B$3:$H$119,6,FALSE),"")</f>
        <v>0</v>
      </c>
      <c r="M3841" s="77" t="str">
        <f>VLOOKUP(DESPESAS[[#This Row],[Plano de Contas]],BASE!$B$3:$H$119,7,FALSE)</f>
        <v>RAFAEL</v>
      </c>
    </row>
    <row r="3842" spans="1:13" x14ac:dyDescent="0.25">
      <c r="A3842" s="74">
        <v>201204</v>
      </c>
      <c r="B3842" s="75" t="s">
        <v>232</v>
      </c>
      <c r="C3842" s="75" t="s">
        <v>3840</v>
      </c>
      <c r="D3842" s="76">
        <v>46142</v>
      </c>
      <c r="E3842" s="75" t="s">
        <v>895</v>
      </c>
      <c r="F3842" s="74">
        <v>3126.08</v>
      </c>
      <c r="G3842" s="75" t="s">
        <v>430</v>
      </c>
      <c r="H3842" s="77" t="str">
        <f>VLOOKUP(DESPESAS[[#This Row],[Plano de Contas]],BASE!$B$3:$D$119,3,FALSE)</f>
        <v>Salarios e Ordenados MOD</v>
      </c>
      <c r="I3842" s="77" t="str">
        <f>IFERROR(VLOOKUP(DESPESAS[[#This Row],[Fornecedor]],Tabela2[],2,FALSE),"")</f>
        <v/>
      </c>
      <c r="J3842" s="77" t="str">
        <f>IFERROR(VLOOKUP(DESPESAS[[#This Row],[Plano de Contas]],BASE!$B$3:$F$119,4,FALSE),"")</f>
        <v>2 - CUSTOS DIRETOS</v>
      </c>
      <c r="K3842" s="77" t="str">
        <f>IFERROR(VLOOKUP(DESPESAS[[#This Row],[Plano de Contas]],BASE!$B$3:$H$119,5,FALSE),"")</f>
        <v>DH</v>
      </c>
      <c r="L3842" s="77" t="str">
        <f>IFERROR(VLOOKUP(DESPESAS[[#This Row],[Plano de Contas]],BASE!$B$3:$H$119,6,FALSE),"")</f>
        <v>CUSTO MÃO DE OBRA DIRETA</v>
      </c>
      <c r="M3842" s="77" t="str">
        <f>VLOOKUP(DESPESAS[[#This Row],[Plano de Contas]],BASE!$B$3:$H$119,7,FALSE)</f>
        <v>RAFAEL</v>
      </c>
    </row>
    <row r="3843" spans="1:13" x14ac:dyDescent="0.25">
      <c r="A3843" s="74">
        <v>201205</v>
      </c>
      <c r="B3843" s="75" t="s">
        <v>221</v>
      </c>
      <c r="C3843" s="75" t="s">
        <v>3843</v>
      </c>
      <c r="D3843" s="76">
        <v>46148</v>
      </c>
      <c r="E3843" s="75" t="s">
        <v>3844</v>
      </c>
      <c r="F3843" s="74">
        <v>125</v>
      </c>
      <c r="G3843" s="75" t="s">
        <v>1318</v>
      </c>
      <c r="H3843" s="77" t="str">
        <f>VLOOKUP(DESPESAS[[#This Row],[Plano de Contas]],BASE!$B$3:$D$119,3,FALSE)</f>
        <v>Feiras e Eventos</v>
      </c>
      <c r="I3843" s="77" t="str">
        <f>IFERROR(VLOOKUP(DESPESAS[[#This Row],[Fornecedor]],Tabela2[],2,FALSE),"")</f>
        <v/>
      </c>
      <c r="J3843" s="77" t="str">
        <f>IFERROR(VLOOKUP(DESPESAS[[#This Row],[Plano de Contas]],BASE!$B$3:$F$119,4,FALSE),"")</f>
        <v>6 - DESPESA COM VENDAS</v>
      </c>
      <c r="K3843" s="77" t="str">
        <f>IFERROR(VLOOKUP(DESPESAS[[#This Row],[Plano de Contas]],BASE!$B$3:$H$119,5,FALSE),"")</f>
        <v>COMERCIAL</v>
      </c>
      <c r="L3843" s="77">
        <f>IFERROR(VLOOKUP(DESPESAS[[#This Row],[Plano de Contas]],BASE!$B$3:$H$119,6,FALSE),"")</f>
        <v>0</v>
      </c>
      <c r="M3843" s="77" t="str">
        <f>VLOOKUP(DESPESAS[[#This Row],[Plano de Contas]],BASE!$B$3:$H$119,7,FALSE)</f>
        <v>THAIS</v>
      </c>
    </row>
    <row r="3844" spans="1:13" x14ac:dyDescent="0.25">
      <c r="A3844" s="74">
        <v>201206</v>
      </c>
      <c r="B3844" s="75" t="s">
        <v>232</v>
      </c>
      <c r="C3844" s="75" t="s">
        <v>3840</v>
      </c>
      <c r="D3844" s="76">
        <v>46142</v>
      </c>
      <c r="E3844" s="75" t="s">
        <v>894</v>
      </c>
      <c r="F3844" s="74">
        <v>4056.73</v>
      </c>
      <c r="G3844" s="75" t="s">
        <v>430</v>
      </c>
      <c r="H3844" s="77" t="str">
        <f>VLOOKUP(DESPESAS[[#This Row],[Plano de Contas]],BASE!$B$3:$D$119,3,FALSE)</f>
        <v>Salarios e Ordenados MOD</v>
      </c>
      <c r="I3844" s="77" t="str">
        <f>IFERROR(VLOOKUP(DESPESAS[[#This Row],[Fornecedor]],Tabela2[],2,FALSE),"")</f>
        <v/>
      </c>
      <c r="J3844" s="77" t="str">
        <f>IFERROR(VLOOKUP(DESPESAS[[#This Row],[Plano de Contas]],BASE!$B$3:$F$119,4,FALSE),"")</f>
        <v>2 - CUSTOS DIRETOS</v>
      </c>
      <c r="K3844" s="77" t="str">
        <f>IFERROR(VLOOKUP(DESPESAS[[#This Row],[Plano de Contas]],BASE!$B$3:$H$119,5,FALSE),"")</f>
        <v>DH</v>
      </c>
      <c r="L3844" s="77" t="str">
        <f>IFERROR(VLOOKUP(DESPESAS[[#This Row],[Plano de Contas]],BASE!$B$3:$H$119,6,FALSE),"")</f>
        <v>CUSTO MÃO DE OBRA DIRETA</v>
      </c>
      <c r="M3844" s="77" t="str">
        <f>VLOOKUP(DESPESAS[[#This Row],[Plano de Contas]],BASE!$B$3:$H$119,7,FALSE)</f>
        <v>RAFAEL</v>
      </c>
    </row>
    <row r="3845" spans="1:13" x14ac:dyDescent="0.25">
      <c r="A3845" s="74">
        <v>201207</v>
      </c>
      <c r="B3845" s="75" t="s">
        <v>232</v>
      </c>
      <c r="C3845" s="75" t="s">
        <v>3845</v>
      </c>
      <c r="D3845" s="76">
        <v>46148</v>
      </c>
      <c r="E3845" s="75" t="s">
        <v>1435</v>
      </c>
      <c r="F3845" s="74">
        <v>2166</v>
      </c>
      <c r="G3845" s="75" t="s">
        <v>244</v>
      </c>
      <c r="H3845" s="77" t="str">
        <f>VLOOKUP(DESPESAS[[#This Row],[Plano de Contas]],BASE!$B$3:$D$119,3,FALSE)</f>
        <v>Material de Expediente (Prod)</v>
      </c>
      <c r="I3845" s="77" t="str">
        <f>IFERROR(VLOOKUP(DESPESAS[[#This Row],[Fornecedor]],Tabela2[],2,FALSE),"")</f>
        <v/>
      </c>
      <c r="J3845" s="77" t="str">
        <f>IFERROR(VLOOKUP(DESPESAS[[#This Row],[Plano de Contas]],BASE!$B$3:$F$119,4,FALSE),"")</f>
        <v>2 - CUSTOS DIRETOS</v>
      </c>
      <c r="K3845" s="77" t="str">
        <f>IFERROR(VLOOKUP(DESPESAS[[#This Row],[Plano de Contas]],BASE!$B$3:$H$119,5,FALSE),"")</f>
        <v>PRODUÇÃO</v>
      </c>
      <c r="L3845" s="77">
        <f>IFERROR(VLOOKUP(DESPESAS[[#This Row],[Plano de Contas]],BASE!$B$3:$H$119,6,FALSE),"")</f>
        <v>0</v>
      </c>
      <c r="M3845" s="77" t="str">
        <f>VLOOKUP(DESPESAS[[#This Row],[Plano de Contas]],BASE!$B$3:$H$119,7,FALSE)</f>
        <v>RAFAEL</v>
      </c>
    </row>
    <row r="3846" spans="1:13" x14ac:dyDescent="0.25">
      <c r="A3846" s="74">
        <v>201208</v>
      </c>
      <c r="B3846" s="75" t="s">
        <v>232</v>
      </c>
      <c r="C3846" s="75" t="s">
        <v>3840</v>
      </c>
      <c r="D3846" s="76">
        <v>46142</v>
      </c>
      <c r="E3846" s="75" t="s">
        <v>893</v>
      </c>
      <c r="F3846" s="74">
        <v>2399.9299999999998</v>
      </c>
      <c r="G3846" s="75" t="s">
        <v>653</v>
      </c>
      <c r="H3846" s="77" t="str">
        <f>VLOOKUP(DESPESAS[[#This Row],[Plano de Contas]],BASE!$B$3:$D$119,3,FALSE)</f>
        <v>Salarios e Ordenados CIF</v>
      </c>
      <c r="I3846" s="77" t="str">
        <f>IFERROR(VLOOKUP(DESPESAS[[#This Row],[Fornecedor]],Tabela2[],2,FALSE),"")</f>
        <v/>
      </c>
      <c r="J3846" s="77" t="str">
        <f>IFERROR(VLOOKUP(DESPESAS[[#This Row],[Plano de Contas]],BASE!$B$3:$F$119,4,FALSE),"")</f>
        <v>3 - CUSTOS INDIRETOS</v>
      </c>
      <c r="K3846" s="77" t="str">
        <f>IFERROR(VLOOKUP(DESPESAS[[#This Row],[Plano de Contas]],BASE!$B$3:$H$119,5,FALSE),"")</f>
        <v>DH</v>
      </c>
      <c r="L3846" s="77" t="str">
        <f>IFERROR(VLOOKUP(DESPESAS[[#This Row],[Plano de Contas]],BASE!$B$3:$H$119,6,FALSE),"")</f>
        <v>CUSTO MÃO DE OBRA DIRETA</v>
      </c>
      <c r="M3846" s="77" t="str">
        <f>VLOOKUP(DESPESAS[[#This Row],[Plano de Contas]],BASE!$B$3:$H$119,7,FALSE)</f>
        <v>RAFAEL</v>
      </c>
    </row>
    <row r="3847" spans="1:13" x14ac:dyDescent="0.25">
      <c r="A3847" s="74">
        <v>201209</v>
      </c>
      <c r="B3847" s="75" t="s">
        <v>221</v>
      </c>
      <c r="C3847" s="75" t="s">
        <v>3843</v>
      </c>
      <c r="D3847" s="76">
        <v>46148</v>
      </c>
      <c r="E3847" s="75" t="s">
        <v>1503</v>
      </c>
      <c r="F3847" s="74">
        <v>145</v>
      </c>
      <c r="G3847" s="75" t="s">
        <v>1318</v>
      </c>
      <c r="H3847" s="77" t="str">
        <f>VLOOKUP(DESPESAS[[#This Row],[Plano de Contas]],BASE!$B$3:$D$119,3,FALSE)</f>
        <v>Feiras e Eventos</v>
      </c>
      <c r="I3847" s="77" t="str">
        <f>IFERROR(VLOOKUP(DESPESAS[[#This Row],[Fornecedor]],Tabela2[],2,FALSE),"")</f>
        <v/>
      </c>
      <c r="J3847" s="77" t="str">
        <f>IFERROR(VLOOKUP(DESPESAS[[#This Row],[Plano de Contas]],BASE!$B$3:$F$119,4,FALSE),"")</f>
        <v>6 - DESPESA COM VENDAS</v>
      </c>
      <c r="K3847" s="77" t="str">
        <f>IFERROR(VLOOKUP(DESPESAS[[#This Row],[Plano de Contas]],BASE!$B$3:$H$119,5,FALSE),"")</f>
        <v>COMERCIAL</v>
      </c>
      <c r="L3847" s="77">
        <f>IFERROR(VLOOKUP(DESPESAS[[#This Row],[Plano de Contas]],BASE!$B$3:$H$119,6,FALSE),"")</f>
        <v>0</v>
      </c>
      <c r="M3847" s="77" t="str">
        <f>VLOOKUP(DESPESAS[[#This Row],[Plano de Contas]],BASE!$B$3:$H$119,7,FALSE)</f>
        <v>THAIS</v>
      </c>
    </row>
    <row r="3848" spans="1:13" x14ac:dyDescent="0.25">
      <c r="A3848" s="74">
        <v>201210</v>
      </c>
      <c r="B3848" s="75" t="s">
        <v>232</v>
      </c>
      <c r="C3848" s="75" t="s">
        <v>3840</v>
      </c>
      <c r="D3848" s="76">
        <v>46142</v>
      </c>
      <c r="E3848" s="75" t="s">
        <v>892</v>
      </c>
      <c r="F3848" s="74">
        <v>2768.59</v>
      </c>
      <c r="G3848" s="75" t="s">
        <v>430</v>
      </c>
      <c r="H3848" s="77" t="str">
        <f>VLOOKUP(DESPESAS[[#This Row],[Plano de Contas]],BASE!$B$3:$D$119,3,FALSE)</f>
        <v>Salarios e Ordenados MOD</v>
      </c>
      <c r="I3848" s="77" t="str">
        <f>IFERROR(VLOOKUP(DESPESAS[[#This Row],[Fornecedor]],Tabela2[],2,FALSE),"")</f>
        <v/>
      </c>
      <c r="J3848" s="77" t="str">
        <f>IFERROR(VLOOKUP(DESPESAS[[#This Row],[Plano de Contas]],BASE!$B$3:$F$119,4,FALSE),"")</f>
        <v>2 - CUSTOS DIRETOS</v>
      </c>
      <c r="K3848" s="77" t="str">
        <f>IFERROR(VLOOKUP(DESPESAS[[#This Row],[Plano de Contas]],BASE!$B$3:$H$119,5,FALSE),"")</f>
        <v>DH</v>
      </c>
      <c r="L3848" s="77" t="str">
        <f>IFERROR(VLOOKUP(DESPESAS[[#This Row],[Plano de Contas]],BASE!$B$3:$H$119,6,FALSE),"")</f>
        <v>CUSTO MÃO DE OBRA DIRETA</v>
      </c>
      <c r="M3848" s="77" t="str">
        <f>VLOOKUP(DESPESAS[[#This Row],[Plano de Contas]],BASE!$B$3:$H$119,7,FALSE)</f>
        <v>RAFAEL</v>
      </c>
    </row>
    <row r="3849" spans="1:13" x14ac:dyDescent="0.25">
      <c r="A3849" s="74">
        <v>201211</v>
      </c>
      <c r="B3849" s="75" t="s">
        <v>232</v>
      </c>
      <c r="C3849" s="75" t="s">
        <v>3846</v>
      </c>
      <c r="D3849" s="76">
        <v>46148</v>
      </c>
      <c r="E3849" s="75" t="s">
        <v>327</v>
      </c>
      <c r="F3849" s="74">
        <v>99.28</v>
      </c>
      <c r="G3849" s="75" t="s">
        <v>244</v>
      </c>
      <c r="H3849" s="77" t="str">
        <f>VLOOKUP(DESPESAS[[#This Row],[Plano de Contas]],BASE!$B$3:$D$119,3,FALSE)</f>
        <v>Material de Expediente (Prod)</v>
      </c>
      <c r="I3849" s="77" t="str">
        <f>IFERROR(VLOOKUP(DESPESAS[[#This Row],[Fornecedor]],Tabela2[],2,FALSE),"")</f>
        <v>SERVIÇOS FRETE</v>
      </c>
      <c r="J3849" s="77" t="str">
        <f>IFERROR(VLOOKUP(DESPESAS[[#This Row],[Plano de Contas]],BASE!$B$3:$F$119,4,FALSE),"")</f>
        <v>2 - CUSTOS DIRETOS</v>
      </c>
      <c r="K3849" s="77" t="str">
        <f>IFERROR(VLOOKUP(DESPESAS[[#This Row],[Plano de Contas]],BASE!$B$3:$H$119,5,FALSE),"")</f>
        <v>PRODUÇÃO</v>
      </c>
      <c r="L3849" s="77">
        <f>IFERROR(VLOOKUP(DESPESAS[[#This Row],[Plano de Contas]],BASE!$B$3:$H$119,6,FALSE),"")</f>
        <v>0</v>
      </c>
      <c r="M3849" s="77" t="str">
        <f>VLOOKUP(DESPESAS[[#This Row],[Plano de Contas]],BASE!$B$3:$H$119,7,FALSE)</f>
        <v>RAFAEL</v>
      </c>
    </row>
    <row r="3850" spans="1:13" x14ac:dyDescent="0.25">
      <c r="A3850" s="74">
        <v>201212</v>
      </c>
      <c r="B3850" s="75" t="s">
        <v>232</v>
      </c>
      <c r="C3850" s="75" t="s">
        <v>3840</v>
      </c>
      <c r="D3850" s="76">
        <v>46142</v>
      </c>
      <c r="E3850" s="75" t="s">
        <v>226</v>
      </c>
      <c r="F3850" s="74">
        <v>3151.7</v>
      </c>
      <c r="G3850" s="75" t="s">
        <v>653</v>
      </c>
      <c r="H3850" s="77" t="str">
        <f>VLOOKUP(DESPESAS[[#This Row],[Plano de Contas]],BASE!$B$3:$D$119,3,FALSE)</f>
        <v>Salarios e Ordenados CIF</v>
      </c>
      <c r="I3850" s="77" t="str">
        <f>IFERROR(VLOOKUP(DESPESAS[[#This Row],[Fornecedor]],Tabela2[],2,FALSE),"")</f>
        <v/>
      </c>
      <c r="J3850" s="77" t="str">
        <f>IFERROR(VLOOKUP(DESPESAS[[#This Row],[Plano de Contas]],BASE!$B$3:$F$119,4,FALSE),"")</f>
        <v>3 - CUSTOS INDIRETOS</v>
      </c>
      <c r="K3850" s="77" t="str">
        <f>IFERROR(VLOOKUP(DESPESAS[[#This Row],[Plano de Contas]],BASE!$B$3:$H$119,5,FALSE),"")</f>
        <v>DH</v>
      </c>
      <c r="L3850" s="77" t="str">
        <f>IFERROR(VLOOKUP(DESPESAS[[#This Row],[Plano de Contas]],BASE!$B$3:$H$119,6,FALSE),"")</f>
        <v>CUSTO MÃO DE OBRA DIRETA</v>
      </c>
      <c r="M3850" s="77" t="str">
        <f>VLOOKUP(DESPESAS[[#This Row],[Plano de Contas]],BASE!$B$3:$H$119,7,FALSE)</f>
        <v>RAFAEL</v>
      </c>
    </row>
    <row r="3851" spans="1:13" x14ac:dyDescent="0.25">
      <c r="A3851" s="74">
        <v>201215</v>
      </c>
      <c r="B3851" s="75" t="s">
        <v>221</v>
      </c>
      <c r="C3851" s="75" t="s">
        <v>3847</v>
      </c>
      <c r="D3851" s="76">
        <v>46148</v>
      </c>
      <c r="E3851" s="75" t="s">
        <v>3253</v>
      </c>
      <c r="F3851" s="74">
        <v>960</v>
      </c>
      <c r="G3851" s="75" t="s">
        <v>854</v>
      </c>
      <c r="H3851" s="77" t="str">
        <f>VLOOKUP(DESPESAS[[#This Row],[Plano de Contas]],BASE!$B$3:$D$119,3,FALSE)</f>
        <v>Confraternização</v>
      </c>
      <c r="I3851" s="77" t="str">
        <f>IFERROR(VLOOKUP(DESPESAS[[#This Row],[Fornecedor]],Tabela2[],2,FALSE),"")</f>
        <v/>
      </c>
      <c r="J3851" s="77" t="str">
        <f>IFERROR(VLOOKUP(DESPESAS[[#This Row],[Plano de Contas]],BASE!$B$3:$F$119,4,FALSE),"")</f>
        <v>4 - GASTOS COM PESSOAL</v>
      </c>
      <c r="K3851" s="77" t="str">
        <f>IFERROR(VLOOKUP(DESPESAS[[#This Row],[Plano de Contas]],BASE!$B$3:$H$119,5,FALSE),"")</f>
        <v>DH</v>
      </c>
      <c r="L3851" s="77">
        <f>IFERROR(VLOOKUP(DESPESAS[[#This Row],[Plano de Contas]],BASE!$B$3:$H$119,6,FALSE),"")</f>
        <v>0</v>
      </c>
      <c r="M3851" s="77" t="str">
        <f>VLOOKUP(DESPESAS[[#This Row],[Plano de Contas]],BASE!$B$3:$H$119,7,FALSE)</f>
        <v>MYLENA</v>
      </c>
    </row>
    <row r="3852" spans="1:13" x14ac:dyDescent="0.25">
      <c r="A3852" s="74">
        <v>201216</v>
      </c>
      <c r="B3852" s="75" t="s">
        <v>221</v>
      </c>
      <c r="C3852" s="75" t="s">
        <v>3848</v>
      </c>
      <c r="D3852" s="76">
        <v>46148</v>
      </c>
      <c r="E3852" s="75" t="s">
        <v>399</v>
      </c>
      <c r="F3852" s="74">
        <v>297.33999999999997</v>
      </c>
      <c r="G3852" s="75" t="s">
        <v>1318</v>
      </c>
      <c r="H3852" s="77" t="str">
        <f>VLOOKUP(DESPESAS[[#This Row],[Plano de Contas]],BASE!$B$3:$D$119,3,FALSE)</f>
        <v>Feiras e Eventos</v>
      </c>
      <c r="I3852" s="77" t="str">
        <f>IFERROR(VLOOKUP(DESPESAS[[#This Row],[Fornecedor]],Tabela2[],2,FALSE),"")</f>
        <v/>
      </c>
      <c r="J3852" s="77" t="str">
        <f>IFERROR(VLOOKUP(DESPESAS[[#This Row],[Plano de Contas]],BASE!$B$3:$F$119,4,FALSE),"")</f>
        <v>6 - DESPESA COM VENDAS</v>
      </c>
      <c r="K3852" s="77" t="str">
        <f>IFERROR(VLOOKUP(DESPESAS[[#This Row],[Plano de Contas]],BASE!$B$3:$H$119,5,FALSE),"")</f>
        <v>COMERCIAL</v>
      </c>
      <c r="L3852" s="77">
        <f>IFERROR(VLOOKUP(DESPESAS[[#This Row],[Plano de Contas]],BASE!$B$3:$H$119,6,FALSE),"")</f>
        <v>0</v>
      </c>
      <c r="M3852" s="77" t="str">
        <f>VLOOKUP(DESPESAS[[#This Row],[Plano de Contas]],BASE!$B$3:$H$119,7,FALSE)</f>
        <v>THAIS</v>
      </c>
    </row>
    <row r="3853" spans="1:13" x14ac:dyDescent="0.25">
      <c r="A3853" s="74">
        <v>201217</v>
      </c>
      <c r="B3853" s="75" t="s">
        <v>232</v>
      </c>
      <c r="C3853" s="75" t="s">
        <v>3840</v>
      </c>
      <c r="D3853" s="76">
        <v>46142</v>
      </c>
      <c r="E3853" s="75" t="s">
        <v>890</v>
      </c>
      <c r="F3853" s="74">
        <v>948.18</v>
      </c>
      <c r="G3853" s="75" t="s">
        <v>627</v>
      </c>
      <c r="H3853" s="77" t="str">
        <f>VLOOKUP(DESPESAS[[#This Row],[Plano de Contas]],BASE!$B$3:$D$119,3,FALSE)</f>
        <v>Salarios e Ordenados (Adm)</v>
      </c>
      <c r="I3853" s="77" t="str">
        <f>IFERROR(VLOOKUP(DESPESAS[[#This Row],[Fornecedor]],Tabela2[],2,FALSE),"")</f>
        <v/>
      </c>
      <c r="J3853" s="77" t="str">
        <f>IFERROR(VLOOKUP(DESPESAS[[#This Row],[Plano de Contas]],BASE!$B$3:$F$119,4,FALSE),"")</f>
        <v>4 - GASTOS COM PESSOAL</v>
      </c>
      <c r="K3853" s="77" t="str">
        <f>IFERROR(VLOOKUP(DESPESAS[[#This Row],[Plano de Contas]],BASE!$B$3:$H$119,5,FALSE),"")</f>
        <v>DH</v>
      </c>
      <c r="L3853" s="77">
        <f>IFERROR(VLOOKUP(DESPESAS[[#This Row],[Plano de Contas]],BASE!$B$3:$H$119,6,FALSE),"")</f>
        <v>0</v>
      </c>
      <c r="M3853" s="77" t="str">
        <f>VLOOKUP(DESPESAS[[#This Row],[Plano de Contas]],BASE!$B$3:$H$119,7,FALSE)</f>
        <v>RAFAEL</v>
      </c>
    </row>
    <row r="3854" spans="1:13" x14ac:dyDescent="0.25">
      <c r="A3854" s="74">
        <v>201218</v>
      </c>
      <c r="B3854" s="75" t="s">
        <v>232</v>
      </c>
      <c r="C3854" s="75" t="s">
        <v>3840</v>
      </c>
      <c r="D3854" s="76">
        <v>46142</v>
      </c>
      <c r="E3854" s="75" t="s">
        <v>889</v>
      </c>
      <c r="F3854" s="74">
        <v>2877.42</v>
      </c>
      <c r="G3854" s="75" t="s">
        <v>430</v>
      </c>
      <c r="H3854" s="77" t="str">
        <f>VLOOKUP(DESPESAS[[#This Row],[Plano de Contas]],BASE!$B$3:$D$119,3,FALSE)</f>
        <v>Salarios e Ordenados MOD</v>
      </c>
      <c r="I3854" s="77" t="str">
        <f>IFERROR(VLOOKUP(DESPESAS[[#This Row],[Fornecedor]],Tabela2[],2,FALSE),"")</f>
        <v/>
      </c>
      <c r="J3854" s="77" t="str">
        <f>IFERROR(VLOOKUP(DESPESAS[[#This Row],[Plano de Contas]],BASE!$B$3:$F$119,4,FALSE),"")</f>
        <v>2 - CUSTOS DIRETOS</v>
      </c>
      <c r="K3854" s="77" t="str">
        <f>IFERROR(VLOOKUP(DESPESAS[[#This Row],[Plano de Contas]],BASE!$B$3:$H$119,5,FALSE),"")</f>
        <v>DH</v>
      </c>
      <c r="L3854" s="77" t="str">
        <f>IFERROR(VLOOKUP(DESPESAS[[#This Row],[Plano de Contas]],BASE!$B$3:$H$119,6,FALSE),"")</f>
        <v>CUSTO MÃO DE OBRA DIRETA</v>
      </c>
      <c r="M3854" s="77" t="str">
        <f>VLOOKUP(DESPESAS[[#This Row],[Plano de Contas]],BASE!$B$3:$H$119,7,FALSE)</f>
        <v>RAFAEL</v>
      </c>
    </row>
    <row r="3855" spans="1:13" x14ac:dyDescent="0.25">
      <c r="A3855" s="74">
        <v>201219</v>
      </c>
      <c r="B3855" s="75" t="s">
        <v>221</v>
      </c>
      <c r="C3855" s="75" t="s">
        <v>3843</v>
      </c>
      <c r="D3855" s="76">
        <v>46148</v>
      </c>
      <c r="E3855" s="75" t="s">
        <v>3849</v>
      </c>
      <c r="F3855" s="74">
        <v>199</v>
      </c>
      <c r="G3855" s="75" t="s">
        <v>1318</v>
      </c>
      <c r="H3855" s="77" t="str">
        <f>VLOOKUP(DESPESAS[[#This Row],[Plano de Contas]],BASE!$B$3:$D$119,3,FALSE)</f>
        <v>Feiras e Eventos</v>
      </c>
      <c r="I3855" s="77" t="str">
        <f>IFERROR(VLOOKUP(DESPESAS[[#This Row],[Fornecedor]],Tabela2[],2,FALSE),"")</f>
        <v/>
      </c>
      <c r="J3855" s="77" t="str">
        <f>IFERROR(VLOOKUP(DESPESAS[[#This Row],[Plano de Contas]],BASE!$B$3:$F$119,4,FALSE),"")</f>
        <v>6 - DESPESA COM VENDAS</v>
      </c>
      <c r="K3855" s="77" t="str">
        <f>IFERROR(VLOOKUP(DESPESAS[[#This Row],[Plano de Contas]],BASE!$B$3:$H$119,5,FALSE),"")</f>
        <v>COMERCIAL</v>
      </c>
      <c r="L3855" s="77">
        <f>IFERROR(VLOOKUP(DESPESAS[[#This Row],[Plano de Contas]],BASE!$B$3:$H$119,6,FALSE),"")</f>
        <v>0</v>
      </c>
      <c r="M3855" s="77" t="str">
        <f>VLOOKUP(DESPESAS[[#This Row],[Plano de Contas]],BASE!$B$3:$H$119,7,FALSE)</f>
        <v>THAIS</v>
      </c>
    </row>
    <row r="3856" spans="1:13" x14ac:dyDescent="0.25">
      <c r="A3856" s="74">
        <v>201220</v>
      </c>
      <c r="B3856" s="75" t="s">
        <v>232</v>
      </c>
      <c r="C3856" s="75" t="s">
        <v>3840</v>
      </c>
      <c r="D3856" s="76">
        <v>46142</v>
      </c>
      <c r="E3856" s="75" t="s">
        <v>888</v>
      </c>
      <c r="F3856" s="74">
        <v>4369.41</v>
      </c>
      <c r="G3856" s="75" t="s">
        <v>627</v>
      </c>
      <c r="H3856" s="77" t="str">
        <f>VLOOKUP(DESPESAS[[#This Row],[Plano de Contas]],BASE!$B$3:$D$119,3,FALSE)</f>
        <v>Salarios e Ordenados (Adm)</v>
      </c>
      <c r="I3856" s="77" t="str">
        <f>IFERROR(VLOOKUP(DESPESAS[[#This Row],[Fornecedor]],Tabela2[],2,FALSE),"")</f>
        <v/>
      </c>
      <c r="J3856" s="77" t="str">
        <f>IFERROR(VLOOKUP(DESPESAS[[#This Row],[Plano de Contas]],BASE!$B$3:$F$119,4,FALSE),"")</f>
        <v>4 - GASTOS COM PESSOAL</v>
      </c>
      <c r="K3856" s="77" t="str">
        <f>IFERROR(VLOOKUP(DESPESAS[[#This Row],[Plano de Contas]],BASE!$B$3:$H$119,5,FALSE),"")</f>
        <v>DH</v>
      </c>
      <c r="L3856" s="77">
        <f>IFERROR(VLOOKUP(DESPESAS[[#This Row],[Plano de Contas]],BASE!$B$3:$H$119,6,FALSE),"")</f>
        <v>0</v>
      </c>
      <c r="M3856" s="77" t="str">
        <f>VLOOKUP(DESPESAS[[#This Row],[Plano de Contas]],BASE!$B$3:$H$119,7,FALSE)</f>
        <v>RAFAEL</v>
      </c>
    </row>
    <row r="3857" spans="1:13" x14ac:dyDescent="0.25">
      <c r="A3857" s="74">
        <v>201221</v>
      </c>
      <c r="B3857" s="75" t="s">
        <v>232</v>
      </c>
      <c r="C3857" s="75" t="s">
        <v>3840</v>
      </c>
      <c r="D3857" s="76">
        <v>46142</v>
      </c>
      <c r="E3857" s="75" t="s">
        <v>753</v>
      </c>
      <c r="F3857" s="74">
        <v>2049.4</v>
      </c>
      <c r="G3857" s="75" t="s">
        <v>627</v>
      </c>
      <c r="H3857" s="77" t="str">
        <f>VLOOKUP(DESPESAS[[#This Row],[Plano de Contas]],BASE!$B$3:$D$119,3,FALSE)</f>
        <v>Salarios e Ordenados (Adm)</v>
      </c>
      <c r="I3857" s="77" t="str">
        <f>IFERROR(VLOOKUP(DESPESAS[[#This Row],[Fornecedor]],Tabela2[],2,FALSE),"")</f>
        <v/>
      </c>
      <c r="J3857" s="77" t="str">
        <f>IFERROR(VLOOKUP(DESPESAS[[#This Row],[Plano de Contas]],BASE!$B$3:$F$119,4,FALSE),"")</f>
        <v>4 - GASTOS COM PESSOAL</v>
      </c>
      <c r="K3857" s="77" t="str">
        <f>IFERROR(VLOOKUP(DESPESAS[[#This Row],[Plano de Contas]],BASE!$B$3:$H$119,5,FALSE),"")</f>
        <v>DH</v>
      </c>
      <c r="L3857" s="77">
        <f>IFERROR(VLOOKUP(DESPESAS[[#This Row],[Plano de Contas]],BASE!$B$3:$H$119,6,FALSE),"")</f>
        <v>0</v>
      </c>
      <c r="M3857" s="77" t="str">
        <f>VLOOKUP(DESPESAS[[#This Row],[Plano de Contas]],BASE!$B$3:$H$119,7,FALSE)</f>
        <v>RAFAEL</v>
      </c>
    </row>
    <row r="3858" spans="1:13" x14ac:dyDescent="0.25">
      <c r="A3858" s="74">
        <v>201222</v>
      </c>
      <c r="B3858" s="75" t="s">
        <v>232</v>
      </c>
      <c r="C3858" s="75" t="s">
        <v>3840</v>
      </c>
      <c r="D3858" s="76">
        <v>46142</v>
      </c>
      <c r="E3858" s="75" t="s">
        <v>887</v>
      </c>
      <c r="F3858" s="74">
        <v>3486.26</v>
      </c>
      <c r="G3858" s="75" t="s">
        <v>430</v>
      </c>
      <c r="H3858" s="77" t="str">
        <f>VLOOKUP(DESPESAS[[#This Row],[Plano de Contas]],BASE!$B$3:$D$119,3,FALSE)</f>
        <v>Salarios e Ordenados MOD</v>
      </c>
      <c r="I3858" s="77" t="str">
        <f>IFERROR(VLOOKUP(DESPESAS[[#This Row],[Fornecedor]],Tabela2[],2,FALSE),"")</f>
        <v/>
      </c>
      <c r="J3858" s="77" t="str">
        <f>IFERROR(VLOOKUP(DESPESAS[[#This Row],[Plano de Contas]],BASE!$B$3:$F$119,4,FALSE),"")</f>
        <v>2 - CUSTOS DIRETOS</v>
      </c>
      <c r="K3858" s="77" t="str">
        <f>IFERROR(VLOOKUP(DESPESAS[[#This Row],[Plano de Contas]],BASE!$B$3:$H$119,5,FALSE),"")</f>
        <v>DH</v>
      </c>
      <c r="L3858" s="77" t="str">
        <f>IFERROR(VLOOKUP(DESPESAS[[#This Row],[Plano de Contas]],BASE!$B$3:$H$119,6,FALSE),"")</f>
        <v>CUSTO MÃO DE OBRA DIRETA</v>
      </c>
      <c r="M3858" s="77" t="str">
        <f>VLOOKUP(DESPESAS[[#This Row],[Plano de Contas]],BASE!$B$3:$H$119,7,FALSE)</f>
        <v>RAFAEL</v>
      </c>
    </row>
    <row r="3859" spans="1:13" x14ac:dyDescent="0.25">
      <c r="A3859" s="74">
        <v>201223</v>
      </c>
      <c r="B3859" s="75" t="s">
        <v>232</v>
      </c>
      <c r="C3859" s="75" t="s">
        <v>3840</v>
      </c>
      <c r="D3859" s="76">
        <v>46142</v>
      </c>
      <c r="E3859" s="75" t="s">
        <v>886</v>
      </c>
      <c r="F3859" s="74">
        <v>1263.05</v>
      </c>
      <c r="G3859" s="75" t="s">
        <v>430</v>
      </c>
      <c r="H3859" s="77" t="str">
        <f>VLOOKUP(DESPESAS[[#This Row],[Plano de Contas]],BASE!$B$3:$D$119,3,FALSE)</f>
        <v>Salarios e Ordenados MOD</v>
      </c>
      <c r="I3859" s="77" t="str">
        <f>IFERROR(VLOOKUP(DESPESAS[[#This Row],[Fornecedor]],Tabela2[],2,FALSE),"")</f>
        <v/>
      </c>
      <c r="J3859" s="77" t="str">
        <f>IFERROR(VLOOKUP(DESPESAS[[#This Row],[Plano de Contas]],BASE!$B$3:$F$119,4,FALSE),"")</f>
        <v>2 - CUSTOS DIRETOS</v>
      </c>
      <c r="K3859" s="77" t="str">
        <f>IFERROR(VLOOKUP(DESPESAS[[#This Row],[Plano de Contas]],BASE!$B$3:$H$119,5,FALSE),"")</f>
        <v>DH</v>
      </c>
      <c r="L3859" s="77" t="str">
        <f>IFERROR(VLOOKUP(DESPESAS[[#This Row],[Plano de Contas]],BASE!$B$3:$H$119,6,FALSE),"")</f>
        <v>CUSTO MÃO DE OBRA DIRETA</v>
      </c>
      <c r="M3859" s="77" t="str">
        <f>VLOOKUP(DESPESAS[[#This Row],[Plano de Contas]],BASE!$B$3:$H$119,7,FALSE)</f>
        <v>RAFAEL</v>
      </c>
    </row>
    <row r="3860" spans="1:13" x14ac:dyDescent="0.25">
      <c r="A3860" s="74">
        <v>201224</v>
      </c>
      <c r="B3860" s="75" t="s">
        <v>232</v>
      </c>
      <c r="C3860" s="75" t="s">
        <v>3840</v>
      </c>
      <c r="D3860" s="76">
        <v>46142</v>
      </c>
      <c r="E3860" s="75" t="s">
        <v>885</v>
      </c>
      <c r="F3860" s="74">
        <v>2751.42</v>
      </c>
      <c r="G3860" s="75" t="s">
        <v>653</v>
      </c>
      <c r="H3860" s="77" t="str">
        <f>VLOOKUP(DESPESAS[[#This Row],[Plano de Contas]],BASE!$B$3:$D$119,3,FALSE)</f>
        <v>Salarios e Ordenados CIF</v>
      </c>
      <c r="I3860" s="77" t="str">
        <f>IFERROR(VLOOKUP(DESPESAS[[#This Row],[Fornecedor]],Tabela2[],2,FALSE),"")</f>
        <v/>
      </c>
      <c r="J3860" s="77" t="str">
        <f>IFERROR(VLOOKUP(DESPESAS[[#This Row],[Plano de Contas]],BASE!$B$3:$F$119,4,FALSE),"")</f>
        <v>3 - CUSTOS INDIRETOS</v>
      </c>
      <c r="K3860" s="77" t="str">
        <f>IFERROR(VLOOKUP(DESPESAS[[#This Row],[Plano de Contas]],BASE!$B$3:$H$119,5,FALSE),"")</f>
        <v>DH</v>
      </c>
      <c r="L3860" s="77" t="str">
        <f>IFERROR(VLOOKUP(DESPESAS[[#This Row],[Plano de Contas]],BASE!$B$3:$H$119,6,FALSE),"")</f>
        <v>CUSTO MÃO DE OBRA DIRETA</v>
      </c>
      <c r="M3860" s="77" t="str">
        <f>VLOOKUP(DESPESAS[[#This Row],[Plano de Contas]],BASE!$B$3:$H$119,7,FALSE)</f>
        <v>RAFAEL</v>
      </c>
    </row>
    <row r="3861" spans="1:13" x14ac:dyDescent="0.25">
      <c r="A3861" s="74">
        <v>201225</v>
      </c>
      <c r="B3861" s="75" t="s">
        <v>232</v>
      </c>
      <c r="C3861" s="75" t="s">
        <v>3840</v>
      </c>
      <c r="D3861" s="76">
        <v>46142</v>
      </c>
      <c r="E3861" s="75" t="s">
        <v>891</v>
      </c>
      <c r="F3861" s="74">
        <v>2833.48</v>
      </c>
      <c r="G3861" s="75" t="s">
        <v>430</v>
      </c>
      <c r="H3861" s="77" t="str">
        <f>VLOOKUP(DESPESAS[[#This Row],[Plano de Contas]],BASE!$B$3:$D$119,3,FALSE)</f>
        <v>Salarios e Ordenados MOD</v>
      </c>
      <c r="I3861" s="77" t="str">
        <f>IFERROR(VLOOKUP(DESPESAS[[#This Row],[Fornecedor]],Tabela2[],2,FALSE),"")</f>
        <v/>
      </c>
      <c r="J3861" s="77" t="str">
        <f>IFERROR(VLOOKUP(DESPESAS[[#This Row],[Plano de Contas]],BASE!$B$3:$F$119,4,FALSE),"")</f>
        <v>2 - CUSTOS DIRETOS</v>
      </c>
      <c r="K3861" s="77" t="str">
        <f>IFERROR(VLOOKUP(DESPESAS[[#This Row],[Plano de Contas]],BASE!$B$3:$H$119,5,FALSE),"")</f>
        <v>DH</v>
      </c>
      <c r="L3861" s="77" t="str">
        <f>IFERROR(VLOOKUP(DESPESAS[[#This Row],[Plano de Contas]],BASE!$B$3:$H$119,6,FALSE),"")</f>
        <v>CUSTO MÃO DE OBRA DIRETA</v>
      </c>
      <c r="M3861" s="77" t="str">
        <f>VLOOKUP(DESPESAS[[#This Row],[Plano de Contas]],BASE!$B$3:$H$119,7,FALSE)</f>
        <v>RAFAEL</v>
      </c>
    </row>
    <row r="3862" spans="1:13" x14ac:dyDescent="0.25">
      <c r="A3862" s="74">
        <v>201227</v>
      </c>
      <c r="B3862" s="75" t="s">
        <v>232</v>
      </c>
      <c r="C3862" s="75" t="s">
        <v>3840</v>
      </c>
      <c r="D3862" s="76">
        <v>46142</v>
      </c>
      <c r="E3862" s="75" t="s">
        <v>883</v>
      </c>
      <c r="F3862" s="74">
        <v>948.18</v>
      </c>
      <c r="G3862" s="75" t="s">
        <v>627</v>
      </c>
      <c r="H3862" s="77" t="str">
        <f>VLOOKUP(DESPESAS[[#This Row],[Plano de Contas]],BASE!$B$3:$D$119,3,FALSE)</f>
        <v>Salarios e Ordenados (Adm)</v>
      </c>
      <c r="I3862" s="77" t="str">
        <f>IFERROR(VLOOKUP(DESPESAS[[#This Row],[Fornecedor]],Tabela2[],2,FALSE),"")</f>
        <v/>
      </c>
      <c r="J3862" s="77" t="str">
        <f>IFERROR(VLOOKUP(DESPESAS[[#This Row],[Plano de Contas]],BASE!$B$3:$F$119,4,FALSE),"")</f>
        <v>4 - GASTOS COM PESSOAL</v>
      </c>
      <c r="K3862" s="77" t="str">
        <f>IFERROR(VLOOKUP(DESPESAS[[#This Row],[Plano de Contas]],BASE!$B$3:$H$119,5,FALSE),"")</f>
        <v>DH</v>
      </c>
      <c r="L3862" s="77">
        <f>IFERROR(VLOOKUP(DESPESAS[[#This Row],[Plano de Contas]],BASE!$B$3:$H$119,6,FALSE),"")</f>
        <v>0</v>
      </c>
      <c r="M3862" s="77" t="str">
        <f>VLOOKUP(DESPESAS[[#This Row],[Plano de Contas]],BASE!$B$3:$H$119,7,FALSE)</f>
        <v>RAFAEL</v>
      </c>
    </row>
    <row r="3863" spans="1:13" x14ac:dyDescent="0.25">
      <c r="A3863" s="74">
        <v>201228</v>
      </c>
      <c r="B3863" s="75" t="s">
        <v>232</v>
      </c>
      <c r="C3863" s="75" t="s">
        <v>3840</v>
      </c>
      <c r="D3863" s="76">
        <v>46142</v>
      </c>
      <c r="E3863" s="75" t="s">
        <v>882</v>
      </c>
      <c r="F3863" s="74">
        <v>1878.38</v>
      </c>
      <c r="G3863" s="75" t="s">
        <v>430</v>
      </c>
      <c r="H3863" s="77" t="str">
        <f>VLOOKUP(DESPESAS[[#This Row],[Plano de Contas]],BASE!$B$3:$D$119,3,FALSE)</f>
        <v>Salarios e Ordenados MOD</v>
      </c>
      <c r="I3863" s="77" t="str">
        <f>IFERROR(VLOOKUP(DESPESAS[[#This Row],[Fornecedor]],Tabela2[],2,FALSE),"")</f>
        <v/>
      </c>
      <c r="J3863" s="77" t="str">
        <f>IFERROR(VLOOKUP(DESPESAS[[#This Row],[Plano de Contas]],BASE!$B$3:$F$119,4,FALSE),"")</f>
        <v>2 - CUSTOS DIRETOS</v>
      </c>
      <c r="K3863" s="77" t="str">
        <f>IFERROR(VLOOKUP(DESPESAS[[#This Row],[Plano de Contas]],BASE!$B$3:$H$119,5,FALSE),"")</f>
        <v>DH</v>
      </c>
      <c r="L3863" s="77" t="str">
        <f>IFERROR(VLOOKUP(DESPESAS[[#This Row],[Plano de Contas]],BASE!$B$3:$H$119,6,FALSE),"")</f>
        <v>CUSTO MÃO DE OBRA DIRETA</v>
      </c>
      <c r="M3863" s="77" t="str">
        <f>VLOOKUP(DESPESAS[[#This Row],[Plano de Contas]],BASE!$B$3:$H$119,7,FALSE)</f>
        <v>RAFAEL</v>
      </c>
    </row>
    <row r="3864" spans="1:13" x14ac:dyDescent="0.25">
      <c r="A3864" s="74">
        <v>201234</v>
      </c>
      <c r="B3864" s="75" t="s">
        <v>232</v>
      </c>
      <c r="C3864" s="75" t="s">
        <v>3840</v>
      </c>
      <c r="D3864" s="76">
        <v>46142</v>
      </c>
      <c r="E3864" s="75" t="s">
        <v>881</v>
      </c>
      <c r="F3864" s="74">
        <v>1993.51</v>
      </c>
      <c r="G3864" s="75" t="s">
        <v>430</v>
      </c>
      <c r="H3864" s="77" t="str">
        <f>VLOOKUP(DESPESAS[[#This Row],[Plano de Contas]],BASE!$B$3:$D$119,3,FALSE)</f>
        <v>Salarios e Ordenados MOD</v>
      </c>
      <c r="I3864" s="77" t="str">
        <f>IFERROR(VLOOKUP(DESPESAS[[#This Row],[Fornecedor]],Tabela2[],2,FALSE),"")</f>
        <v/>
      </c>
      <c r="J3864" s="77" t="str">
        <f>IFERROR(VLOOKUP(DESPESAS[[#This Row],[Plano de Contas]],BASE!$B$3:$F$119,4,FALSE),"")</f>
        <v>2 - CUSTOS DIRETOS</v>
      </c>
      <c r="K3864" s="77" t="str">
        <f>IFERROR(VLOOKUP(DESPESAS[[#This Row],[Plano de Contas]],BASE!$B$3:$H$119,5,FALSE),"")</f>
        <v>DH</v>
      </c>
      <c r="L3864" s="77" t="str">
        <f>IFERROR(VLOOKUP(DESPESAS[[#This Row],[Plano de Contas]],BASE!$B$3:$H$119,6,FALSE),"")</f>
        <v>CUSTO MÃO DE OBRA DIRETA</v>
      </c>
      <c r="M3864" s="77" t="str">
        <f>VLOOKUP(DESPESAS[[#This Row],[Plano de Contas]],BASE!$B$3:$H$119,7,FALSE)</f>
        <v>RAFAEL</v>
      </c>
    </row>
    <row r="3865" spans="1:13" x14ac:dyDescent="0.25">
      <c r="A3865" s="74">
        <v>201235</v>
      </c>
      <c r="B3865" s="75" t="s">
        <v>232</v>
      </c>
      <c r="C3865" s="75" t="s">
        <v>3840</v>
      </c>
      <c r="D3865" s="76">
        <v>46142</v>
      </c>
      <c r="E3865" s="75" t="s">
        <v>880</v>
      </c>
      <c r="F3865" s="74">
        <v>3435.24</v>
      </c>
      <c r="G3865" s="75" t="s">
        <v>430</v>
      </c>
      <c r="H3865" s="77" t="str">
        <f>VLOOKUP(DESPESAS[[#This Row],[Plano de Contas]],BASE!$B$3:$D$119,3,FALSE)</f>
        <v>Salarios e Ordenados MOD</v>
      </c>
      <c r="I3865" s="77" t="str">
        <f>IFERROR(VLOOKUP(DESPESAS[[#This Row],[Fornecedor]],Tabela2[],2,FALSE),"")</f>
        <v/>
      </c>
      <c r="J3865" s="77" t="str">
        <f>IFERROR(VLOOKUP(DESPESAS[[#This Row],[Plano de Contas]],BASE!$B$3:$F$119,4,FALSE),"")</f>
        <v>2 - CUSTOS DIRETOS</v>
      </c>
      <c r="K3865" s="77" t="str">
        <f>IFERROR(VLOOKUP(DESPESAS[[#This Row],[Plano de Contas]],BASE!$B$3:$H$119,5,FALSE),"")</f>
        <v>DH</v>
      </c>
      <c r="L3865" s="77" t="str">
        <f>IFERROR(VLOOKUP(DESPESAS[[#This Row],[Plano de Contas]],BASE!$B$3:$H$119,6,FALSE),"")</f>
        <v>CUSTO MÃO DE OBRA DIRETA</v>
      </c>
      <c r="M3865" s="77" t="str">
        <f>VLOOKUP(DESPESAS[[#This Row],[Plano de Contas]],BASE!$B$3:$H$119,7,FALSE)</f>
        <v>RAFAEL</v>
      </c>
    </row>
    <row r="3866" spans="1:13" x14ac:dyDescent="0.25">
      <c r="A3866" s="74">
        <v>201237</v>
      </c>
      <c r="B3866" s="75" t="s">
        <v>232</v>
      </c>
      <c r="C3866" s="75" t="s">
        <v>3840</v>
      </c>
      <c r="D3866" s="76">
        <v>46142</v>
      </c>
      <c r="E3866" s="75" t="s">
        <v>879</v>
      </c>
      <c r="F3866" s="74">
        <v>3978.68</v>
      </c>
      <c r="G3866" s="75" t="s">
        <v>653</v>
      </c>
      <c r="H3866" s="77" t="str">
        <f>VLOOKUP(DESPESAS[[#This Row],[Plano de Contas]],BASE!$B$3:$D$119,3,FALSE)</f>
        <v>Salarios e Ordenados CIF</v>
      </c>
      <c r="I3866" s="77" t="str">
        <f>IFERROR(VLOOKUP(DESPESAS[[#This Row],[Fornecedor]],Tabela2[],2,FALSE),"")</f>
        <v/>
      </c>
      <c r="J3866" s="77" t="str">
        <f>IFERROR(VLOOKUP(DESPESAS[[#This Row],[Plano de Contas]],BASE!$B$3:$F$119,4,FALSE),"")</f>
        <v>3 - CUSTOS INDIRETOS</v>
      </c>
      <c r="K3866" s="77" t="str">
        <f>IFERROR(VLOOKUP(DESPESAS[[#This Row],[Plano de Contas]],BASE!$B$3:$H$119,5,FALSE),"")</f>
        <v>DH</v>
      </c>
      <c r="L3866" s="77" t="str">
        <f>IFERROR(VLOOKUP(DESPESAS[[#This Row],[Plano de Contas]],BASE!$B$3:$H$119,6,FALSE),"")</f>
        <v>CUSTO MÃO DE OBRA DIRETA</v>
      </c>
      <c r="M3866" s="77" t="str">
        <f>VLOOKUP(DESPESAS[[#This Row],[Plano de Contas]],BASE!$B$3:$H$119,7,FALSE)</f>
        <v>RAFAEL</v>
      </c>
    </row>
    <row r="3867" spans="1:13" x14ac:dyDescent="0.25">
      <c r="A3867" s="74">
        <v>201241</v>
      </c>
      <c r="B3867" s="75" t="s">
        <v>232</v>
      </c>
      <c r="C3867" s="75" t="s">
        <v>3840</v>
      </c>
      <c r="D3867" s="76">
        <v>46142</v>
      </c>
      <c r="E3867" s="75" t="s">
        <v>878</v>
      </c>
      <c r="F3867" s="74">
        <v>3518.02</v>
      </c>
      <c r="G3867" s="75" t="s">
        <v>627</v>
      </c>
      <c r="H3867" s="77" t="str">
        <f>VLOOKUP(DESPESAS[[#This Row],[Plano de Contas]],BASE!$B$3:$D$119,3,FALSE)</f>
        <v>Salarios e Ordenados (Adm)</v>
      </c>
      <c r="I3867" s="77" t="str">
        <f>IFERROR(VLOOKUP(DESPESAS[[#This Row],[Fornecedor]],Tabela2[],2,FALSE),"")</f>
        <v/>
      </c>
      <c r="J3867" s="77" t="str">
        <f>IFERROR(VLOOKUP(DESPESAS[[#This Row],[Plano de Contas]],BASE!$B$3:$F$119,4,FALSE),"")</f>
        <v>4 - GASTOS COM PESSOAL</v>
      </c>
      <c r="K3867" s="77" t="str">
        <f>IFERROR(VLOOKUP(DESPESAS[[#This Row],[Plano de Contas]],BASE!$B$3:$H$119,5,FALSE),"")</f>
        <v>DH</v>
      </c>
      <c r="L3867" s="77">
        <f>IFERROR(VLOOKUP(DESPESAS[[#This Row],[Plano de Contas]],BASE!$B$3:$H$119,6,FALSE),"")</f>
        <v>0</v>
      </c>
      <c r="M3867" s="77" t="str">
        <f>VLOOKUP(DESPESAS[[#This Row],[Plano de Contas]],BASE!$B$3:$H$119,7,FALSE)</f>
        <v>RAFAEL</v>
      </c>
    </row>
    <row r="3868" spans="1:13" x14ac:dyDescent="0.25">
      <c r="A3868" s="74">
        <v>201244</v>
      </c>
      <c r="B3868" s="75" t="s">
        <v>232</v>
      </c>
      <c r="C3868" s="75" t="s">
        <v>3840</v>
      </c>
      <c r="D3868" s="76">
        <v>46142</v>
      </c>
      <c r="E3868" s="75" t="s">
        <v>877</v>
      </c>
      <c r="F3868" s="74">
        <v>1949.82</v>
      </c>
      <c r="G3868" s="75" t="s">
        <v>430</v>
      </c>
      <c r="H3868" s="77" t="str">
        <f>VLOOKUP(DESPESAS[[#This Row],[Plano de Contas]],BASE!$B$3:$D$119,3,FALSE)</f>
        <v>Salarios e Ordenados MOD</v>
      </c>
      <c r="I3868" s="77" t="str">
        <f>IFERROR(VLOOKUP(DESPESAS[[#This Row],[Fornecedor]],Tabela2[],2,FALSE),"")</f>
        <v/>
      </c>
      <c r="J3868" s="77" t="str">
        <f>IFERROR(VLOOKUP(DESPESAS[[#This Row],[Plano de Contas]],BASE!$B$3:$F$119,4,FALSE),"")</f>
        <v>2 - CUSTOS DIRETOS</v>
      </c>
      <c r="K3868" s="77" t="str">
        <f>IFERROR(VLOOKUP(DESPESAS[[#This Row],[Plano de Contas]],BASE!$B$3:$H$119,5,FALSE),"")</f>
        <v>DH</v>
      </c>
      <c r="L3868" s="77" t="str">
        <f>IFERROR(VLOOKUP(DESPESAS[[#This Row],[Plano de Contas]],BASE!$B$3:$H$119,6,FALSE),"")</f>
        <v>CUSTO MÃO DE OBRA DIRETA</v>
      </c>
      <c r="M3868" s="77" t="str">
        <f>VLOOKUP(DESPESAS[[#This Row],[Plano de Contas]],BASE!$B$3:$H$119,7,FALSE)</f>
        <v>RAFAEL</v>
      </c>
    </row>
    <row r="3869" spans="1:13" x14ac:dyDescent="0.25">
      <c r="A3869" s="74">
        <v>201250</v>
      </c>
      <c r="B3869" s="75" t="s">
        <v>232</v>
      </c>
      <c r="C3869" s="75" t="s">
        <v>3840</v>
      </c>
      <c r="D3869" s="76">
        <v>46142</v>
      </c>
      <c r="E3869" s="75" t="s">
        <v>874</v>
      </c>
      <c r="F3869" s="74">
        <v>1986.28</v>
      </c>
      <c r="G3869" s="75" t="s">
        <v>627</v>
      </c>
      <c r="H3869" s="77" t="str">
        <f>VLOOKUP(DESPESAS[[#This Row],[Plano de Contas]],BASE!$B$3:$D$119,3,FALSE)</f>
        <v>Salarios e Ordenados (Adm)</v>
      </c>
      <c r="I3869" s="77" t="str">
        <f>IFERROR(VLOOKUP(DESPESAS[[#This Row],[Fornecedor]],Tabela2[],2,FALSE),"")</f>
        <v/>
      </c>
      <c r="J3869" s="77" t="str">
        <f>IFERROR(VLOOKUP(DESPESAS[[#This Row],[Plano de Contas]],BASE!$B$3:$F$119,4,FALSE),"")</f>
        <v>4 - GASTOS COM PESSOAL</v>
      </c>
      <c r="K3869" s="77" t="str">
        <f>IFERROR(VLOOKUP(DESPESAS[[#This Row],[Plano de Contas]],BASE!$B$3:$H$119,5,FALSE),"")</f>
        <v>DH</v>
      </c>
      <c r="L3869" s="77">
        <f>IFERROR(VLOOKUP(DESPESAS[[#This Row],[Plano de Contas]],BASE!$B$3:$H$119,6,FALSE),"")</f>
        <v>0</v>
      </c>
      <c r="M3869" s="77" t="str">
        <f>VLOOKUP(DESPESAS[[#This Row],[Plano de Contas]],BASE!$B$3:$H$119,7,FALSE)</f>
        <v>RAFAEL</v>
      </c>
    </row>
    <row r="3870" spans="1:13" x14ac:dyDescent="0.25">
      <c r="A3870" s="74">
        <v>201253</v>
      </c>
      <c r="B3870" s="75" t="s">
        <v>232</v>
      </c>
      <c r="C3870" s="75" t="s">
        <v>3840</v>
      </c>
      <c r="D3870" s="76">
        <v>46142</v>
      </c>
      <c r="E3870" s="75" t="s">
        <v>873</v>
      </c>
      <c r="F3870" s="74">
        <v>2436.2600000000002</v>
      </c>
      <c r="G3870" s="75" t="s">
        <v>627</v>
      </c>
      <c r="H3870" s="77" t="str">
        <f>VLOOKUP(DESPESAS[[#This Row],[Plano de Contas]],BASE!$B$3:$D$119,3,FALSE)</f>
        <v>Salarios e Ordenados (Adm)</v>
      </c>
      <c r="I3870" s="77" t="str">
        <f>IFERROR(VLOOKUP(DESPESAS[[#This Row],[Fornecedor]],Tabela2[],2,FALSE),"")</f>
        <v/>
      </c>
      <c r="J3870" s="77" t="str">
        <f>IFERROR(VLOOKUP(DESPESAS[[#This Row],[Plano de Contas]],BASE!$B$3:$F$119,4,FALSE),"")</f>
        <v>4 - GASTOS COM PESSOAL</v>
      </c>
      <c r="K3870" s="77" t="str">
        <f>IFERROR(VLOOKUP(DESPESAS[[#This Row],[Plano de Contas]],BASE!$B$3:$H$119,5,FALSE),"")</f>
        <v>DH</v>
      </c>
      <c r="L3870" s="77">
        <f>IFERROR(VLOOKUP(DESPESAS[[#This Row],[Plano de Contas]],BASE!$B$3:$H$119,6,FALSE),"")</f>
        <v>0</v>
      </c>
      <c r="M3870" s="77" t="str">
        <f>VLOOKUP(DESPESAS[[#This Row],[Plano de Contas]],BASE!$B$3:$H$119,7,FALSE)</f>
        <v>RAFAEL</v>
      </c>
    </row>
    <row r="3871" spans="1:13" x14ac:dyDescent="0.25">
      <c r="A3871" s="74">
        <v>201255</v>
      </c>
      <c r="B3871" s="75" t="s">
        <v>232</v>
      </c>
      <c r="C3871" s="75" t="s">
        <v>3840</v>
      </c>
      <c r="D3871" s="76">
        <v>46142</v>
      </c>
      <c r="E3871" s="75" t="s">
        <v>872</v>
      </c>
      <c r="F3871" s="74">
        <v>2389.37</v>
      </c>
      <c r="G3871" s="75" t="s">
        <v>430</v>
      </c>
      <c r="H3871" s="77" t="str">
        <f>VLOOKUP(DESPESAS[[#This Row],[Plano de Contas]],BASE!$B$3:$D$119,3,FALSE)</f>
        <v>Salarios e Ordenados MOD</v>
      </c>
      <c r="I3871" s="77" t="str">
        <f>IFERROR(VLOOKUP(DESPESAS[[#This Row],[Fornecedor]],Tabela2[],2,FALSE),"")</f>
        <v/>
      </c>
      <c r="J3871" s="77" t="str">
        <f>IFERROR(VLOOKUP(DESPESAS[[#This Row],[Plano de Contas]],BASE!$B$3:$F$119,4,FALSE),"")</f>
        <v>2 - CUSTOS DIRETOS</v>
      </c>
      <c r="K3871" s="77" t="str">
        <f>IFERROR(VLOOKUP(DESPESAS[[#This Row],[Plano de Contas]],BASE!$B$3:$H$119,5,FALSE),"")</f>
        <v>DH</v>
      </c>
      <c r="L3871" s="77" t="str">
        <f>IFERROR(VLOOKUP(DESPESAS[[#This Row],[Plano de Contas]],BASE!$B$3:$H$119,6,FALSE),"")</f>
        <v>CUSTO MÃO DE OBRA DIRETA</v>
      </c>
      <c r="M3871" s="77" t="str">
        <f>VLOOKUP(DESPESAS[[#This Row],[Plano de Contas]],BASE!$B$3:$H$119,7,FALSE)</f>
        <v>RAFAEL</v>
      </c>
    </row>
    <row r="3872" spans="1:13" x14ac:dyDescent="0.25">
      <c r="A3872" s="74">
        <v>201257</v>
      </c>
      <c r="B3872" s="75" t="s">
        <v>232</v>
      </c>
      <c r="C3872" s="75" t="s">
        <v>3840</v>
      </c>
      <c r="D3872" s="76">
        <v>46142</v>
      </c>
      <c r="E3872" s="75" t="s">
        <v>871</v>
      </c>
      <c r="F3872" s="74">
        <v>2157.35</v>
      </c>
      <c r="G3872" s="75" t="s">
        <v>430</v>
      </c>
      <c r="H3872" s="77" t="str">
        <f>VLOOKUP(DESPESAS[[#This Row],[Plano de Contas]],BASE!$B$3:$D$119,3,FALSE)</f>
        <v>Salarios e Ordenados MOD</v>
      </c>
      <c r="I3872" s="77" t="str">
        <f>IFERROR(VLOOKUP(DESPESAS[[#This Row],[Fornecedor]],Tabela2[],2,FALSE),"")</f>
        <v/>
      </c>
      <c r="J3872" s="77" t="str">
        <f>IFERROR(VLOOKUP(DESPESAS[[#This Row],[Plano de Contas]],BASE!$B$3:$F$119,4,FALSE),"")</f>
        <v>2 - CUSTOS DIRETOS</v>
      </c>
      <c r="K3872" s="77" t="str">
        <f>IFERROR(VLOOKUP(DESPESAS[[#This Row],[Plano de Contas]],BASE!$B$3:$H$119,5,FALSE),"")</f>
        <v>DH</v>
      </c>
      <c r="L3872" s="77" t="str">
        <f>IFERROR(VLOOKUP(DESPESAS[[#This Row],[Plano de Contas]],BASE!$B$3:$H$119,6,FALSE),"")</f>
        <v>CUSTO MÃO DE OBRA DIRETA</v>
      </c>
      <c r="M3872" s="77" t="str">
        <f>VLOOKUP(DESPESAS[[#This Row],[Plano de Contas]],BASE!$B$3:$H$119,7,FALSE)</f>
        <v>RAFAEL</v>
      </c>
    </row>
    <row r="3873" spans="1:13" x14ac:dyDescent="0.25">
      <c r="A3873" s="74">
        <v>201259</v>
      </c>
      <c r="B3873" s="75" t="s">
        <v>232</v>
      </c>
      <c r="C3873" s="75" t="s">
        <v>3840</v>
      </c>
      <c r="D3873" s="76">
        <v>46142</v>
      </c>
      <c r="E3873" s="75" t="s">
        <v>870</v>
      </c>
      <c r="F3873" s="74">
        <v>2985.17</v>
      </c>
      <c r="G3873" s="75" t="s">
        <v>627</v>
      </c>
      <c r="H3873" s="77" t="str">
        <f>VLOOKUP(DESPESAS[[#This Row],[Plano de Contas]],BASE!$B$3:$D$119,3,FALSE)</f>
        <v>Salarios e Ordenados (Adm)</v>
      </c>
      <c r="I3873" s="77" t="str">
        <f>IFERROR(VLOOKUP(DESPESAS[[#This Row],[Fornecedor]],Tabela2[],2,FALSE),"")</f>
        <v/>
      </c>
      <c r="J3873" s="77" t="str">
        <f>IFERROR(VLOOKUP(DESPESAS[[#This Row],[Plano de Contas]],BASE!$B$3:$F$119,4,FALSE),"")</f>
        <v>4 - GASTOS COM PESSOAL</v>
      </c>
      <c r="K3873" s="77" t="str">
        <f>IFERROR(VLOOKUP(DESPESAS[[#This Row],[Plano de Contas]],BASE!$B$3:$H$119,5,FALSE),"")</f>
        <v>DH</v>
      </c>
      <c r="L3873" s="77">
        <f>IFERROR(VLOOKUP(DESPESAS[[#This Row],[Plano de Contas]],BASE!$B$3:$H$119,6,FALSE),"")</f>
        <v>0</v>
      </c>
      <c r="M3873" s="77" t="str">
        <f>VLOOKUP(DESPESAS[[#This Row],[Plano de Contas]],BASE!$B$3:$H$119,7,FALSE)</f>
        <v>RAFAEL</v>
      </c>
    </row>
    <row r="3874" spans="1:13" x14ac:dyDescent="0.25">
      <c r="A3874" s="74">
        <v>201260</v>
      </c>
      <c r="B3874" s="75" t="s">
        <v>232</v>
      </c>
      <c r="C3874" s="75" t="s">
        <v>3840</v>
      </c>
      <c r="D3874" s="76">
        <v>46142</v>
      </c>
      <c r="E3874" s="75" t="s">
        <v>869</v>
      </c>
      <c r="F3874" s="74">
        <v>2723.66</v>
      </c>
      <c r="G3874" s="75" t="s">
        <v>430</v>
      </c>
      <c r="H3874" s="77" t="str">
        <f>VLOOKUP(DESPESAS[[#This Row],[Plano de Contas]],BASE!$B$3:$D$119,3,FALSE)</f>
        <v>Salarios e Ordenados MOD</v>
      </c>
      <c r="I3874" s="77" t="str">
        <f>IFERROR(VLOOKUP(DESPESAS[[#This Row],[Fornecedor]],Tabela2[],2,FALSE),"")</f>
        <v/>
      </c>
      <c r="J3874" s="77" t="str">
        <f>IFERROR(VLOOKUP(DESPESAS[[#This Row],[Plano de Contas]],BASE!$B$3:$F$119,4,FALSE),"")</f>
        <v>2 - CUSTOS DIRETOS</v>
      </c>
      <c r="K3874" s="77" t="str">
        <f>IFERROR(VLOOKUP(DESPESAS[[#This Row],[Plano de Contas]],BASE!$B$3:$H$119,5,FALSE),"")</f>
        <v>DH</v>
      </c>
      <c r="L3874" s="77" t="str">
        <f>IFERROR(VLOOKUP(DESPESAS[[#This Row],[Plano de Contas]],BASE!$B$3:$H$119,6,FALSE),"")</f>
        <v>CUSTO MÃO DE OBRA DIRETA</v>
      </c>
      <c r="M3874" s="77" t="str">
        <f>VLOOKUP(DESPESAS[[#This Row],[Plano de Contas]],BASE!$B$3:$H$119,7,FALSE)</f>
        <v>RAFAEL</v>
      </c>
    </row>
    <row r="3875" spans="1:13" x14ac:dyDescent="0.25">
      <c r="A3875" s="74">
        <v>201261</v>
      </c>
      <c r="B3875" s="75" t="s">
        <v>281</v>
      </c>
      <c r="C3875" s="75" t="s">
        <v>3840</v>
      </c>
      <c r="D3875" s="76">
        <v>46142</v>
      </c>
      <c r="E3875" s="75" t="s">
        <v>964</v>
      </c>
      <c r="F3875" s="74">
        <v>2246.65</v>
      </c>
      <c r="G3875" s="75" t="s">
        <v>430</v>
      </c>
      <c r="H3875" s="77" t="str">
        <f>VLOOKUP(DESPESAS[[#This Row],[Plano de Contas]],BASE!$B$3:$D$119,3,FALSE)</f>
        <v>Salarios e Ordenados MOD</v>
      </c>
      <c r="I3875" s="77" t="str">
        <f>IFERROR(VLOOKUP(DESPESAS[[#This Row],[Fornecedor]],Tabela2[],2,FALSE),"")</f>
        <v/>
      </c>
      <c r="J3875" s="77" t="str">
        <f>IFERROR(VLOOKUP(DESPESAS[[#This Row],[Plano de Contas]],BASE!$B$3:$F$119,4,FALSE),"")</f>
        <v>2 - CUSTOS DIRETOS</v>
      </c>
      <c r="K3875" s="77" t="str">
        <f>IFERROR(VLOOKUP(DESPESAS[[#This Row],[Plano de Contas]],BASE!$B$3:$H$119,5,FALSE),"")</f>
        <v>DH</v>
      </c>
      <c r="L3875" s="77" t="str">
        <f>IFERROR(VLOOKUP(DESPESAS[[#This Row],[Plano de Contas]],BASE!$B$3:$H$119,6,FALSE),"")</f>
        <v>CUSTO MÃO DE OBRA DIRETA</v>
      </c>
      <c r="M3875" s="77" t="str">
        <f>VLOOKUP(DESPESAS[[#This Row],[Plano de Contas]],BASE!$B$3:$H$119,7,FALSE)</f>
        <v>RAFAEL</v>
      </c>
    </row>
    <row r="3876" spans="1:13" x14ac:dyDescent="0.25">
      <c r="A3876" s="74">
        <v>201262</v>
      </c>
      <c r="B3876" s="75" t="s">
        <v>232</v>
      </c>
      <c r="C3876" s="75" t="s">
        <v>3840</v>
      </c>
      <c r="D3876" s="76">
        <v>46142</v>
      </c>
      <c r="E3876" s="75" t="s">
        <v>868</v>
      </c>
      <c r="F3876" s="74">
        <v>2075.41</v>
      </c>
      <c r="G3876" s="75" t="s">
        <v>430</v>
      </c>
      <c r="H3876" s="77" t="str">
        <f>VLOOKUP(DESPESAS[[#This Row],[Plano de Contas]],BASE!$B$3:$D$119,3,FALSE)</f>
        <v>Salarios e Ordenados MOD</v>
      </c>
      <c r="I3876" s="77" t="str">
        <f>IFERROR(VLOOKUP(DESPESAS[[#This Row],[Fornecedor]],Tabela2[],2,FALSE),"")</f>
        <v/>
      </c>
      <c r="J3876" s="77" t="str">
        <f>IFERROR(VLOOKUP(DESPESAS[[#This Row],[Plano de Contas]],BASE!$B$3:$F$119,4,FALSE),"")</f>
        <v>2 - CUSTOS DIRETOS</v>
      </c>
      <c r="K3876" s="77" t="str">
        <f>IFERROR(VLOOKUP(DESPESAS[[#This Row],[Plano de Contas]],BASE!$B$3:$H$119,5,FALSE),"")</f>
        <v>DH</v>
      </c>
      <c r="L3876" s="77" t="str">
        <f>IFERROR(VLOOKUP(DESPESAS[[#This Row],[Plano de Contas]],BASE!$B$3:$H$119,6,FALSE),"")</f>
        <v>CUSTO MÃO DE OBRA DIRETA</v>
      </c>
      <c r="M3876" s="77" t="str">
        <f>VLOOKUP(DESPESAS[[#This Row],[Plano de Contas]],BASE!$B$3:$H$119,7,FALSE)</f>
        <v>RAFAEL</v>
      </c>
    </row>
    <row r="3877" spans="1:13" x14ac:dyDescent="0.25">
      <c r="A3877" s="74">
        <v>201264</v>
      </c>
      <c r="B3877" s="75" t="s">
        <v>232</v>
      </c>
      <c r="C3877" s="75" t="s">
        <v>3840</v>
      </c>
      <c r="D3877" s="76">
        <v>46142</v>
      </c>
      <c r="E3877" s="75" t="s">
        <v>867</v>
      </c>
      <c r="F3877" s="74">
        <v>2002.17</v>
      </c>
      <c r="G3877" s="75" t="s">
        <v>430</v>
      </c>
      <c r="H3877" s="77" t="str">
        <f>VLOOKUP(DESPESAS[[#This Row],[Plano de Contas]],BASE!$B$3:$D$119,3,FALSE)</f>
        <v>Salarios e Ordenados MOD</v>
      </c>
      <c r="I3877" s="77" t="str">
        <f>IFERROR(VLOOKUP(DESPESAS[[#This Row],[Fornecedor]],Tabela2[],2,FALSE),"")</f>
        <v/>
      </c>
      <c r="J3877" s="77" t="str">
        <f>IFERROR(VLOOKUP(DESPESAS[[#This Row],[Plano de Contas]],BASE!$B$3:$F$119,4,FALSE),"")</f>
        <v>2 - CUSTOS DIRETOS</v>
      </c>
      <c r="K3877" s="77" t="str">
        <f>IFERROR(VLOOKUP(DESPESAS[[#This Row],[Plano de Contas]],BASE!$B$3:$H$119,5,FALSE),"")</f>
        <v>DH</v>
      </c>
      <c r="L3877" s="77" t="str">
        <f>IFERROR(VLOOKUP(DESPESAS[[#This Row],[Plano de Contas]],BASE!$B$3:$H$119,6,FALSE),"")</f>
        <v>CUSTO MÃO DE OBRA DIRETA</v>
      </c>
      <c r="M3877" s="77" t="str">
        <f>VLOOKUP(DESPESAS[[#This Row],[Plano de Contas]],BASE!$B$3:$H$119,7,FALSE)</f>
        <v>RAFAEL</v>
      </c>
    </row>
    <row r="3878" spans="1:13" x14ac:dyDescent="0.25">
      <c r="A3878" s="74">
        <v>201265</v>
      </c>
      <c r="B3878" s="75" t="s">
        <v>281</v>
      </c>
      <c r="C3878" s="75" t="s">
        <v>3840</v>
      </c>
      <c r="D3878" s="76">
        <v>46142</v>
      </c>
      <c r="E3878" s="75" t="s">
        <v>962</v>
      </c>
      <c r="F3878" s="74">
        <v>3982.29</v>
      </c>
      <c r="G3878" s="75" t="s">
        <v>653</v>
      </c>
      <c r="H3878" s="77" t="str">
        <f>VLOOKUP(DESPESAS[[#This Row],[Plano de Contas]],BASE!$B$3:$D$119,3,FALSE)</f>
        <v>Salarios e Ordenados CIF</v>
      </c>
      <c r="I3878" s="77" t="str">
        <f>IFERROR(VLOOKUP(DESPESAS[[#This Row],[Fornecedor]],Tabela2[],2,FALSE),"")</f>
        <v/>
      </c>
      <c r="J3878" s="77" t="str">
        <f>IFERROR(VLOOKUP(DESPESAS[[#This Row],[Plano de Contas]],BASE!$B$3:$F$119,4,FALSE),"")</f>
        <v>3 - CUSTOS INDIRETOS</v>
      </c>
      <c r="K3878" s="77" t="str">
        <f>IFERROR(VLOOKUP(DESPESAS[[#This Row],[Plano de Contas]],BASE!$B$3:$H$119,5,FALSE),"")</f>
        <v>DH</v>
      </c>
      <c r="L3878" s="77" t="str">
        <f>IFERROR(VLOOKUP(DESPESAS[[#This Row],[Plano de Contas]],BASE!$B$3:$H$119,6,FALSE),"")</f>
        <v>CUSTO MÃO DE OBRA DIRETA</v>
      </c>
      <c r="M3878" s="77" t="str">
        <f>VLOOKUP(DESPESAS[[#This Row],[Plano de Contas]],BASE!$B$3:$H$119,7,FALSE)</f>
        <v>RAFAEL</v>
      </c>
    </row>
    <row r="3879" spans="1:13" x14ac:dyDescent="0.25">
      <c r="A3879" s="74">
        <v>201266</v>
      </c>
      <c r="B3879" s="75" t="s">
        <v>281</v>
      </c>
      <c r="C3879" s="75" t="s">
        <v>3840</v>
      </c>
      <c r="D3879" s="76">
        <v>46142</v>
      </c>
      <c r="E3879" s="75" t="s">
        <v>961</v>
      </c>
      <c r="F3879" s="74">
        <v>2343.5100000000002</v>
      </c>
      <c r="G3879" s="75" t="s">
        <v>653</v>
      </c>
      <c r="H3879" s="77" t="str">
        <f>VLOOKUP(DESPESAS[[#This Row],[Plano de Contas]],BASE!$B$3:$D$119,3,FALSE)</f>
        <v>Salarios e Ordenados CIF</v>
      </c>
      <c r="I3879" s="77" t="str">
        <f>IFERROR(VLOOKUP(DESPESAS[[#This Row],[Fornecedor]],Tabela2[],2,FALSE),"")</f>
        <v/>
      </c>
      <c r="J3879" s="77" t="str">
        <f>IFERROR(VLOOKUP(DESPESAS[[#This Row],[Plano de Contas]],BASE!$B$3:$F$119,4,FALSE),"")</f>
        <v>3 - CUSTOS INDIRETOS</v>
      </c>
      <c r="K3879" s="77" t="str">
        <f>IFERROR(VLOOKUP(DESPESAS[[#This Row],[Plano de Contas]],BASE!$B$3:$H$119,5,FALSE),"")</f>
        <v>DH</v>
      </c>
      <c r="L3879" s="77" t="str">
        <f>IFERROR(VLOOKUP(DESPESAS[[#This Row],[Plano de Contas]],BASE!$B$3:$H$119,6,FALSE),"")</f>
        <v>CUSTO MÃO DE OBRA DIRETA</v>
      </c>
      <c r="M3879" s="77" t="str">
        <f>VLOOKUP(DESPESAS[[#This Row],[Plano de Contas]],BASE!$B$3:$H$119,7,FALSE)</f>
        <v>RAFAEL</v>
      </c>
    </row>
    <row r="3880" spans="1:13" x14ac:dyDescent="0.25">
      <c r="A3880" s="74">
        <v>201267</v>
      </c>
      <c r="B3880" s="75" t="s">
        <v>232</v>
      </c>
      <c r="C3880" s="75" t="s">
        <v>3840</v>
      </c>
      <c r="D3880" s="76">
        <v>46142</v>
      </c>
      <c r="E3880" s="75" t="s">
        <v>866</v>
      </c>
      <c r="F3880" s="74">
        <v>2669.75</v>
      </c>
      <c r="G3880" s="75" t="s">
        <v>627</v>
      </c>
      <c r="H3880" s="77" t="str">
        <f>VLOOKUP(DESPESAS[[#This Row],[Plano de Contas]],BASE!$B$3:$D$119,3,FALSE)</f>
        <v>Salarios e Ordenados (Adm)</v>
      </c>
      <c r="I3880" s="77" t="str">
        <f>IFERROR(VLOOKUP(DESPESAS[[#This Row],[Fornecedor]],Tabela2[],2,FALSE),"")</f>
        <v/>
      </c>
      <c r="J3880" s="77" t="str">
        <f>IFERROR(VLOOKUP(DESPESAS[[#This Row],[Plano de Contas]],BASE!$B$3:$F$119,4,FALSE),"")</f>
        <v>4 - GASTOS COM PESSOAL</v>
      </c>
      <c r="K3880" s="77" t="str">
        <f>IFERROR(VLOOKUP(DESPESAS[[#This Row],[Plano de Contas]],BASE!$B$3:$H$119,5,FALSE),"")</f>
        <v>DH</v>
      </c>
      <c r="L3880" s="77">
        <f>IFERROR(VLOOKUP(DESPESAS[[#This Row],[Plano de Contas]],BASE!$B$3:$H$119,6,FALSE),"")</f>
        <v>0</v>
      </c>
      <c r="M3880" s="77" t="str">
        <f>VLOOKUP(DESPESAS[[#This Row],[Plano de Contas]],BASE!$B$3:$H$119,7,FALSE)</f>
        <v>RAFAEL</v>
      </c>
    </row>
    <row r="3881" spans="1:13" x14ac:dyDescent="0.25">
      <c r="A3881" s="74">
        <v>201268</v>
      </c>
      <c r="B3881" s="75" t="s">
        <v>281</v>
      </c>
      <c r="C3881" s="75" t="s">
        <v>3850</v>
      </c>
      <c r="D3881" s="76">
        <v>46142</v>
      </c>
      <c r="E3881" s="75" t="s">
        <v>963</v>
      </c>
      <c r="F3881" s="74">
        <v>2953.37</v>
      </c>
      <c r="G3881" s="75" t="s">
        <v>430</v>
      </c>
      <c r="H3881" s="77" t="str">
        <f>VLOOKUP(DESPESAS[[#This Row],[Plano de Contas]],BASE!$B$3:$D$119,3,FALSE)</f>
        <v>Salarios e Ordenados MOD</v>
      </c>
      <c r="I3881" s="77" t="str">
        <f>IFERROR(VLOOKUP(DESPESAS[[#This Row],[Fornecedor]],Tabela2[],2,FALSE),"")</f>
        <v/>
      </c>
      <c r="J3881" s="77" t="str">
        <f>IFERROR(VLOOKUP(DESPESAS[[#This Row],[Plano de Contas]],BASE!$B$3:$F$119,4,FALSE),"")</f>
        <v>2 - CUSTOS DIRETOS</v>
      </c>
      <c r="K3881" s="77" t="str">
        <f>IFERROR(VLOOKUP(DESPESAS[[#This Row],[Plano de Contas]],BASE!$B$3:$H$119,5,FALSE),"")</f>
        <v>DH</v>
      </c>
      <c r="L3881" s="77" t="str">
        <f>IFERROR(VLOOKUP(DESPESAS[[#This Row],[Plano de Contas]],BASE!$B$3:$H$119,6,FALSE),"")</f>
        <v>CUSTO MÃO DE OBRA DIRETA</v>
      </c>
      <c r="M3881" s="77" t="str">
        <f>VLOOKUP(DESPESAS[[#This Row],[Plano de Contas]],BASE!$B$3:$H$119,7,FALSE)</f>
        <v>RAFAEL</v>
      </c>
    </row>
    <row r="3882" spans="1:13" x14ac:dyDescent="0.25">
      <c r="A3882" s="74">
        <v>201269</v>
      </c>
      <c r="B3882" s="75" t="s">
        <v>232</v>
      </c>
      <c r="C3882" s="75" t="s">
        <v>3840</v>
      </c>
      <c r="D3882" s="76">
        <v>46142</v>
      </c>
      <c r="E3882" s="75" t="s">
        <v>864</v>
      </c>
      <c r="F3882" s="74">
        <v>2215.4</v>
      </c>
      <c r="G3882" s="75" t="s">
        <v>430</v>
      </c>
      <c r="H3882" s="77" t="str">
        <f>VLOOKUP(DESPESAS[[#This Row],[Plano de Contas]],BASE!$B$3:$D$119,3,FALSE)</f>
        <v>Salarios e Ordenados MOD</v>
      </c>
      <c r="I3882" s="77" t="str">
        <f>IFERROR(VLOOKUP(DESPESAS[[#This Row],[Fornecedor]],Tabela2[],2,FALSE),"")</f>
        <v/>
      </c>
      <c r="J3882" s="77" t="str">
        <f>IFERROR(VLOOKUP(DESPESAS[[#This Row],[Plano de Contas]],BASE!$B$3:$F$119,4,FALSE),"")</f>
        <v>2 - CUSTOS DIRETOS</v>
      </c>
      <c r="K3882" s="77" t="str">
        <f>IFERROR(VLOOKUP(DESPESAS[[#This Row],[Plano de Contas]],BASE!$B$3:$H$119,5,FALSE),"")</f>
        <v>DH</v>
      </c>
      <c r="L3882" s="77" t="str">
        <f>IFERROR(VLOOKUP(DESPESAS[[#This Row],[Plano de Contas]],BASE!$B$3:$H$119,6,FALSE),"")</f>
        <v>CUSTO MÃO DE OBRA DIRETA</v>
      </c>
      <c r="M3882" s="77" t="str">
        <f>VLOOKUP(DESPESAS[[#This Row],[Plano de Contas]],BASE!$B$3:$H$119,7,FALSE)</f>
        <v>RAFAEL</v>
      </c>
    </row>
    <row r="3883" spans="1:13" x14ac:dyDescent="0.25">
      <c r="A3883" s="74">
        <v>201270</v>
      </c>
      <c r="B3883" s="75" t="s">
        <v>281</v>
      </c>
      <c r="C3883" s="75" t="s">
        <v>3840</v>
      </c>
      <c r="D3883" s="76">
        <v>46142</v>
      </c>
      <c r="E3883" s="75" t="s">
        <v>3851</v>
      </c>
      <c r="F3883" s="74">
        <v>2240.89</v>
      </c>
      <c r="G3883" s="75" t="s">
        <v>430</v>
      </c>
      <c r="H3883" s="77" t="str">
        <f>VLOOKUP(DESPESAS[[#This Row],[Plano de Contas]],BASE!$B$3:$D$119,3,FALSE)</f>
        <v>Salarios e Ordenados MOD</v>
      </c>
      <c r="I3883" s="77" t="str">
        <f>IFERROR(VLOOKUP(DESPESAS[[#This Row],[Fornecedor]],Tabela2[],2,FALSE),"")</f>
        <v/>
      </c>
      <c r="J3883" s="77" t="str">
        <f>IFERROR(VLOOKUP(DESPESAS[[#This Row],[Plano de Contas]],BASE!$B$3:$F$119,4,FALSE),"")</f>
        <v>2 - CUSTOS DIRETOS</v>
      </c>
      <c r="K3883" s="77" t="str">
        <f>IFERROR(VLOOKUP(DESPESAS[[#This Row],[Plano de Contas]],BASE!$B$3:$H$119,5,FALSE),"")</f>
        <v>DH</v>
      </c>
      <c r="L3883" s="77" t="str">
        <f>IFERROR(VLOOKUP(DESPESAS[[#This Row],[Plano de Contas]],BASE!$B$3:$H$119,6,FALSE),"")</f>
        <v>CUSTO MÃO DE OBRA DIRETA</v>
      </c>
      <c r="M3883" s="77" t="str">
        <f>VLOOKUP(DESPESAS[[#This Row],[Plano de Contas]],BASE!$B$3:$H$119,7,FALSE)</f>
        <v>RAFAEL</v>
      </c>
    </row>
    <row r="3884" spans="1:13" x14ac:dyDescent="0.25">
      <c r="A3884" s="74">
        <v>201271</v>
      </c>
      <c r="B3884" s="75" t="s">
        <v>281</v>
      </c>
      <c r="C3884" s="75" t="s">
        <v>3840</v>
      </c>
      <c r="D3884" s="76">
        <v>46142</v>
      </c>
      <c r="E3884" s="75" t="s">
        <v>960</v>
      </c>
      <c r="F3884" s="74">
        <v>3035.88</v>
      </c>
      <c r="G3884" s="75" t="s">
        <v>430</v>
      </c>
      <c r="H3884" s="77" t="str">
        <f>VLOOKUP(DESPESAS[[#This Row],[Plano de Contas]],BASE!$B$3:$D$119,3,FALSE)</f>
        <v>Salarios e Ordenados MOD</v>
      </c>
      <c r="I3884" s="77" t="str">
        <f>IFERROR(VLOOKUP(DESPESAS[[#This Row],[Fornecedor]],Tabela2[],2,FALSE),"")</f>
        <v/>
      </c>
      <c r="J3884" s="77" t="str">
        <f>IFERROR(VLOOKUP(DESPESAS[[#This Row],[Plano de Contas]],BASE!$B$3:$F$119,4,FALSE),"")</f>
        <v>2 - CUSTOS DIRETOS</v>
      </c>
      <c r="K3884" s="77" t="str">
        <f>IFERROR(VLOOKUP(DESPESAS[[#This Row],[Plano de Contas]],BASE!$B$3:$H$119,5,FALSE),"")</f>
        <v>DH</v>
      </c>
      <c r="L3884" s="77" t="str">
        <f>IFERROR(VLOOKUP(DESPESAS[[#This Row],[Plano de Contas]],BASE!$B$3:$H$119,6,FALSE),"")</f>
        <v>CUSTO MÃO DE OBRA DIRETA</v>
      </c>
      <c r="M3884" s="77" t="str">
        <f>VLOOKUP(DESPESAS[[#This Row],[Plano de Contas]],BASE!$B$3:$H$119,7,FALSE)</f>
        <v>RAFAEL</v>
      </c>
    </row>
    <row r="3885" spans="1:13" x14ac:dyDescent="0.25">
      <c r="A3885" s="74">
        <v>201272</v>
      </c>
      <c r="B3885" s="75" t="s">
        <v>281</v>
      </c>
      <c r="C3885" s="75" t="s">
        <v>3840</v>
      </c>
      <c r="D3885" s="76">
        <v>46142</v>
      </c>
      <c r="E3885" s="75" t="s">
        <v>959</v>
      </c>
      <c r="F3885" s="74">
        <v>1986.28</v>
      </c>
      <c r="G3885" s="75" t="s">
        <v>627</v>
      </c>
      <c r="H3885" s="77" t="str">
        <f>VLOOKUP(DESPESAS[[#This Row],[Plano de Contas]],BASE!$B$3:$D$119,3,FALSE)</f>
        <v>Salarios e Ordenados (Adm)</v>
      </c>
      <c r="I3885" s="77" t="str">
        <f>IFERROR(VLOOKUP(DESPESAS[[#This Row],[Fornecedor]],Tabela2[],2,FALSE),"")</f>
        <v/>
      </c>
      <c r="J3885" s="77" t="str">
        <f>IFERROR(VLOOKUP(DESPESAS[[#This Row],[Plano de Contas]],BASE!$B$3:$F$119,4,FALSE),"")</f>
        <v>4 - GASTOS COM PESSOAL</v>
      </c>
      <c r="K3885" s="77" t="str">
        <f>IFERROR(VLOOKUP(DESPESAS[[#This Row],[Plano de Contas]],BASE!$B$3:$H$119,5,FALSE),"")</f>
        <v>DH</v>
      </c>
      <c r="L3885" s="77">
        <f>IFERROR(VLOOKUP(DESPESAS[[#This Row],[Plano de Contas]],BASE!$B$3:$H$119,6,FALSE),"")</f>
        <v>0</v>
      </c>
      <c r="M3885" s="77" t="str">
        <f>VLOOKUP(DESPESAS[[#This Row],[Plano de Contas]],BASE!$B$3:$H$119,7,FALSE)</f>
        <v>RAFAEL</v>
      </c>
    </row>
    <row r="3886" spans="1:13" x14ac:dyDescent="0.25">
      <c r="A3886" s="74">
        <v>201273</v>
      </c>
      <c r="B3886" s="75" t="s">
        <v>281</v>
      </c>
      <c r="C3886" s="75" t="s">
        <v>3840</v>
      </c>
      <c r="D3886" s="76">
        <v>46142</v>
      </c>
      <c r="E3886" s="75" t="s">
        <v>469</v>
      </c>
      <c r="F3886" s="74">
        <v>1396.37</v>
      </c>
      <c r="G3886" s="75" t="s">
        <v>430</v>
      </c>
      <c r="H3886" s="77" t="str">
        <f>VLOOKUP(DESPESAS[[#This Row],[Plano de Contas]],BASE!$B$3:$D$119,3,FALSE)</f>
        <v>Salarios e Ordenados MOD</v>
      </c>
      <c r="I3886" s="77" t="str">
        <f>IFERROR(VLOOKUP(DESPESAS[[#This Row],[Fornecedor]],Tabela2[],2,FALSE),"")</f>
        <v/>
      </c>
      <c r="J3886" s="77" t="str">
        <f>IFERROR(VLOOKUP(DESPESAS[[#This Row],[Plano de Contas]],BASE!$B$3:$F$119,4,FALSE),"")</f>
        <v>2 - CUSTOS DIRETOS</v>
      </c>
      <c r="K3886" s="77" t="str">
        <f>IFERROR(VLOOKUP(DESPESAS[[#This Row],[Plano de Contas]],BASE!$B$3:$H$119,5,FALSE),"")</f>
        <v>DH</v>
      </c>
      <c r="L3886" s="77" t="str">
        <f>IFERROR(VLOOKUP(DESPESAS[[#This Row],[Plano de Contas]],BASE!$B$3:$H$119,6,FALSE),"")</f>
        <v>CUSTO MÃO DE OBRA DIRETA</v>
      </c>
      <c r="M3886" s="77" t="str">
        <f>VLOOKUP(DESPESAS[[#This Row],[Plano de Contas]],BASE!$B$3:$H$119,7,FALSE)</f>
        <v>RAFAEL</v>
      </c>
    </row>
    <row r="3887" spans="1:13" x14ac:dyDescent="0.25">
      <c r="A3887" s="74">
        <v>201274</v>
      </c>
      <c r="B3887" s="75" t="s">
        <v>281</v>
      </c>
      <c r="C3887" s="75" t="s">
        <v>3840</v>
      </c>
      <c r="D3887" s="76">
        <v>46142</v>
      </c>
      <c r="E3887" s="75" t="s">
        <v>958</v>
      </c>
      <c r="F3887" s="74">
        <v>2354.6999999999998</v>
      </c>
      <c r="G3887" s="75" t="s">
        <v>627</v>
      </c>
      <c r="H3887" s="77" t="str">
        <f>VLOOKUP(DESPESAS[[#This Row],[Plano de Contas]],BASE!$B$3:$D$119,3,FALSE)</f>
        <v>Salarios e Ordenados (Adm)</v>
      </c>
      <c r="I3887" s="77" t="str">
        <f>IFERROR(VLOOKUP(DESPESAS[[#This Row],[Fornecedor]],Tabela2[],2,FALSE),"")</f>
        <v/>
      </c>
      <c r="J3887" s="77" t="str">
        <f>IFERROR(VLOOKUP(DESPESAS[[#This Row],[Plano de Contas]],BASE!$B$3:$F$119,4,FALSE),"")</f>
        <v>4 - GASTOS COM PESSOAL</v>
      </c>
      <c r="K3887" s="77" t="str">
        <f>IFERROR(VLOOKUP(DESPESAS[[#This Row],[Plano de Contas]],BASE!$B$3:$H$119,5,FALSE),"")</f>
        <v>DH</v>
      </c>
      <c r="L3887" s="77">
        <f>IFERROR(VLOOKUP(DESPESAS[[#This Row],[Plano de Contas]],BASE!$B$3:$H$119,6,FALSE),"")</f>
        <v>0</v>
      </c>
      <c r="M3887" s="77" t="str">
        <f>VLOOKUP(DESPESAS[[#This Row],[Plano de Contas]],BASE!$B$3:$H$119,7,FALSE)</f>
        <v>RAFAEL</v>
      </c>
    </row>
    <row r="3888" spans="1:13" x14ac:dyDescent="0.25">
      <c r="A3888" s="74">
        <v>201275</v>
      </c>
      <c r="B3888" s="75" t="s">
        <v>281</v>
      </c>
      <c r="C3888" s="75" t="s">
        <v>3852</v>
      </c>
      <c r="D3888" s="76">
        <v>46142</v>
      </c>
      <c r="E3888" s="75" t="s">
        <v>957</v>
      </c>
      <c r="F3888" s="74">
        <v>2529.85</v>
      </c>
      <c r="G3888" s="75" t="s">
        <v>430</v>
      </c>
      <c r="H3888" s="77" t="str">
        <f>VLOOKUP(DESPESAS[[#This Row],[Plano de Contas]],BASE!$B$3:$D$119,3,FALSE)</f>
        <v>Salarios e Ordenados MOD</v>
      </c>
      <c r="I3888" s="77" t="str">
        <f>IFERROR(VLOOKUP(DESPESAS[[#This Row],[Fornecedor]],Tabela2[],2,FALSE),"")</f>
        <v/>
      </c>
      <c r="J3888" s="77" t="str">
        <f>IFERROR(VLOOKUP(DESPESAS[[#This Row],[Plano de Contas]],BASE!$B$3:$F$119,4,FALSE),"")</f>
        <v>2 - CUSTOS DIRETOS</v>
      </c>
      <c r="K3888" s="77" t="str">
        <f>IFERROR(VLOOKUP(DESPESAS[[#This Row],[Plano de Contas]],BASE!$B$3:$H$119,5,FALSE),"")</f>
        <v>DH</v>
      </c>
      <c r="L3888" s="77" t="str">
        <f>IFERROR(VLOOKUP(DESPESAS[[#This Row],[Plano de Contas]],BASE!$B$3:$H$119,6,FALSE),"")</f>
        <v>CUSTO MÃO DE OBRA DIRETA</v>
      </c>
      <c r="M3888" s="77" t="str">
        <f>VLOOKUP(DESPESAS[[#This Row],[Plano de Contas]],BASE!$B$3:$H$119,7,FALSE)</f>
        <v>RAFAEL</v>
      </c>
    </row>
    <row r="3889" spans="1:13" x14ac:dyDescent="0.25">
      <c r="A3889" s="74">
        <v>201276</v>
      </c>
      <c r="B3889" s="75" t="s">
        <v>281</v>
      </c>
      <c r="C3889" s="75" t="s">
        <v>3840</v>
      </c>
      <c r="D3889" s="76">
        <v>46142</v>
      </c>
      <c r="E3889" s="75" t="s">
        <v>845</v>
      </c>
      <c r="F3889" s="74">
        <v>3019.54</v>
      </c>
      <c r="G3889" s="75" t="s">
        <v>430</v>
      </c>
      <c r="H3889" s="77" t="str">
        <f>VLOOKUP(DESPESAS[[#This Row],[Plano de Contas]],BASE!$B$3:$D$119,3,FALSE)</f>
        <v>Salarios e Ordenados MOD</v>
      </c>
      <c r="I3889" s="77" t="str">
        <f>IFERROR(VLOOKUP(DESPESAS[[#This Row],[Fornecedor]],Tabela2[],2,FALSE),"")</f>
        <v/>
      </c>
      <c r="J3889" s="77" t="str">
        <f>IFERROR(VLOOKUP(DESPESAS[[#This Row],[Plano de Contas]],BASE!$B$3:$F$119,4,FALSE),"")</f>
        <v>2 - CUSTOS DIRETOS</v>
      </c>
      <c r="K3889" s="77" t="str">
        <f>IFERROR(VLOOKUP(DESPESAS[[#This Row],[Plano de Contas]],BASE!$B$3:$H$119,5,FALSE),"")</f>
        <v>DH</v>
      </c>
      <c r="L3889" s="77" t="str">
        <f>IFERROR(VLOOKUP(DESPESAS[[#This Row],[Plano de Contas]],BASE!$B$3:$H$119,6,FALSE),"")</f>
        <v>CUSTO MÃO DE OBRA DIRETA</v>
      </c>
      <c r="M3889" s="77" t="str">
        <f>VLOOKUP(DESPESAS[[#This Row],[Plano de Contas]],BASE!$B$3:$H$119,7,FALSE)</f>
        <v>RAFAEL</v>
      </c>
    </row>
    <row r="3890" spans="1:13" x14ac:dyDescent="0.25">
      <c r="A3890" s="74">
        <v>201277</v>
      </c>
      <c r="B3890" s="75" t="s">
        <v>281</v>
      </c>
      <c r="C3890" s="75" t="s">
        <v>3840</v>
      </c>
      <c r="D3890" s="76">
        <v>46142</v>
      </c>
      <c r="E3890" s="75" t="s">
        <v>956</v>
      </c>
      <c r="F3890" s="74">
        <v>1976.21</v>
      </c>
      <c r="G3890" s="75" t="s">
        <v>430</v>
      </c>
      <c r="H3890" s="77" t="str">
        <f>VLOOKUP(DESPESAS[[#This Row],[Plano de Contas]],BASE!$B$3:$D$119,3,FALSE)</f>
        <v>Salarios e Ordenados MOD</v>
      </c>
      <c r="I3890" s="77" t="str">
        <f>IFERROR(VLOOKUP(DESPESAS[[#This Row],[Fornecedor]],Tabela2[],2,FALSE),"")</f>
        <v/>
      </c>
      <c r="J3890" s="77" t="str">
        <f>IFERROR(VLOOKUP(DESPESAS[[#This Row],[Plano de Contas]],BASE!$B$3:$F$119,4,FALSE),"")</f>
        <v>2 - CUSTOS DIRETOS</v>
      </c>
      <c r="K3890" s="77" t="str">
        <f>IFERROR(VLOOKUP(DESPESAS[[#This Row],[Plano de Contas]],BASE!$B$3:$H$119,5,FALSE),"")</f>
        <v>DH</v>
      </c>
      <c r="L3890" s="77" t="str">
        <f>IFERROR(VLOOKUP(DESPESAS[[#This Row],[Plano de Contas]],BASE!$B$3:$H$119,6,FALSE),"")</f>
        <v>CUSTO MÃO DE OBRA DIRETA</v>
      </c>
      <c r="M3890" s="77" t="str">
        <f>VLOOKUP(DESPESAS[[#This Row],[Plano de Contas]],BASE!$B$3:$H$119,7,FALSE)</f>
        <v>RAFAEL</v>
      </c>
    </row>
    <row r="3891" spans="1:13" x14ac:dyDescent="0.25">
      <c r="A3891" s="74">
        <v>201278</v>
      </c>
      <c r="B3891" s="75" t="s">
        <v>281</v>
      </c>
      <c r="C3891" s="75" t="s">
        <v>3840</v>
      </c>
      <c r="D3891" s="76">
        <v>46142</v>
      </c>
      <c r="E3891" s="75" t="s">
        <v>766</v>
      </c>
      <c r="F3891" s="74">
        <v>1485.74</v>
      </c>
      <c r="G3891" s="75" t="s">
        <v>430</v>
      </c>
      <c r="H3891" s="77" t="str">
        <f>VLOOKUP(DESPESAS[[#This Row],[Plano de Contas]],BASE!$B$3:$D$119,3,FALSE)</f>
        <v>Salarios e Ordenados MOD</v>
      </c>
      <c r="I3891" s="77" t="str">
        <f>IFERROR(VLOOKUP(DESPESAS[[#This Row],[Fornecedor]],Tabela2[],2,FALSE),"")</f>
        <v/>
      </c>
      <c r="J3891" s="77" t="str">
        <f>IFERROR(VLOOKUP(DESPESAS[[#This Row],[Plano de Contas]],BASE!$B$3:$F$119,4,FALSE),"")</f>
        <v>2 - CUSTOS DIRETOS</v>
      </c>
      <c r="K3891" s="77" t="str">
        <f>IFERROR(VLOOKUP(DESPESAS[[#This Row],[Plano de Contas]],BASE!$B$3:$H$119,5,FALSE),"")</f>
        <v>DH</v>
      </c>
      <c r="L3891" s="77" t="str">
        <f>IFERROR(VLOOKUP(DESPESAS[[#This Row],[Plano de Contas]],BASE!$B$3:$H$119,6,FALSE),"")</f>
        <v>CUSTO MÃO DE OBRA DIRETA</v>
      </c>
      <c r="M3891" s="77" t="str">
        <f>VLOOKUP(DESPESAS[[#This Row],[Plano de Contas]],BASE!$B$3:$H$119,7,FALSE)</f>
        <v>RAFAEL</v>
      </c>
    </row>
    <row r="3892" spans="1:13" x14ac:dyDescent="0.25">
      <c r="A3892" s="74">
        <v>201279</v>
      </c>
      <c r="B3892" s="75" t="s">
        <v>281</v>
      </c>
      <c r="C3892" s="75" t="s">
        <v>3840</v>
      </c>
      <c r="D3892" s="76">
        <v>46142</v>
      </c>
      <c r="E3892" s="75" t="s">
        <v>955</v>
      </c>
      <c r="F3892" s="74">
        <v>2018.32</v>
      </c>
      <c r="G3892" s="75" t="s">
        <v>430</v>
      </c>
      <c r="H3892" s="77" t="str">
        <f>VLOOKUP(DESPESAS[[#This Row],[Plano de Contas]],BASE!$B$3:$D$119,3,FALSE)</f>
        <v>Salarios e Ordenados MOD</v>
      </c>
      <c r="I3892" s="77" t="str">
        <f>IFERROR(VLOOKUP(DESPESAS[[#This Row],[Fornecedor]],Tabela2[],2,FALSE),"")</f>
        <v/>
      </c>
      <c r="J3892" s="77" t="str">
        <f>IFERROR(VLOOKUP(DESPESAS[[#This Row],[Plano de Contas]],BASE!$B$3:$F$119,4,FALSE),"")</f>
        <v>2 - CUSTOS DIRETOS</v>
      </c>
      <c r="K3892" s="77" t="str">
        <f>IFERROR(VLOOKUP(DESPESAS[[#This Row],[Plano de Contas]],BASE!$B$3:$H$119,5,FALSE),"")</f>
        <v>DH</v>
      </c>
      <c r="L3892" s="77" t="str">
        <f>IFERROR(VLOOKUP(DESPESAS[[#This Row],[Plano de Contas]],BASE!$B$3:$H$119,6,FALSE),"")</f>
        <v>CUSTO MÃO DE OBRA DIRETA</v>
      </c>
      <c r="M3892" s="77" t="str">
        <f>VLOOKUP(DESPESAS[[#This Row],[Plano de Contas]],BASE!$B$3:$H$119,7,FALSE)</f>
        <v>RAFAEL</v>
      </c>
    </row>
    <row r="3893" spans="1:13" x14ac:dyDescent="0.25">
      <c r="A3893" s="74">
        <v>201280</v>
      </c>
      <c r="B3893" s="75" t="s">
        <v>281</v>
      </c>
      <c r="C3893" s="75" t="s">
        <v>3840</v>
      </c>
      <c r="D3893" s="76">
        <v>46142</v>
      </c>
      <c r="E3893" s="75" t="s">
        <v>954</v>
      </c>
      <c r="F3893" s="74">
        <v>2248.7800000000002</v>
      </c>
      <c r="G3893" s="75" t="s">
        <v>430</v>
      </c>
      <c r="H3893" s="77" t="str">
        <f>VLOOKUP(DESPESAS[[#This Row],[Plano de Contas]],BASE!$B$3:$D$119,3,FALSE)</f>
        <v>Salarios e Ordenados MOD</v>
      </c>
      <c r="I3893" s="77" t="str">
        <f>IFERROR(VLOOKUP(DESPESAS[[#This Row],[Fornecedor]],Tabela2[],2,FALSE),"")</f>
        <v/>
      </c>
      <c r="J3893" s="77" t="str">
        <f>IFERROR(VLOOKUP(DESPESAS[[#This Row],[Plano de Contas]],BASE!$B$3:$F$119,4,FALSE),"")</f>
        <v>2 - CUSTOS DIRETOS</v>
      </c>
      <c r="K3893" s="77" t="str">
        <f>IFERROR(VLOOKUP(DESPESAS[[#This Row],[Plano de Contas]],BASE!$B$3:$H$119,5,FALSE),"")</f>
        <v>DH</v>
      </c>
      <c r="L3893" s="77" t="str">
        <f>IFERROR(VLOOKUP(DESPESAS[[#This Row],[Plano de Contas]],BASE!$B$3:$H$119,6,FALSE),"")</f>
        <v>CUSTO MÃO DE OBRA DIRETA</v>
      </c>
      <c r="M3893" s="77" t="str">
        <f>VLOOKUP(DESPESAS[[#This Row],[Plano de Contas]],BASE!$B$3:$H$119,7,FALSE)</f>
        <v>RAFAEL</v>
      </c>
    </row>
    <row r="3894" spans="1:13" x14ac:dyDescent="0.25">
      <c r="A3894" s="74">
        <v>201281</v>
      </c>
      <c r="B3894" s="75" t="s">
        <v>281</v>
      </c>
      <c r="C3894" s="75" t="s">
        <v>3840</v>
      </c>
      <c r="D3894" s="76">
        <v>46142</v>
      </c>
      <c r="E3894" s="75" t="s">
        <v>953</v>
      </c>
      <c r="F3894" s="74">
        <v>2171.0100000000002</v>
      </c>
      <c r="G3894" s="75" t="s">
        <v>430</v>
      </c>
      <c r="H3894" s="77" t="str">
        <f>VLOOKUP(DESPESAS[[#This Row],[Plano de Contas]],BASE!$B$3:$D$119,3,FALSE)</f>
        <v>Salarios e Ordenados MOD</v>
      </c>
      <c r="I3894" s="77" t="str">
        <f>IFERROR(VLOOKUP(DESPESAS[[#This Row],[Fornecedor]],Tabela2[],2,FALSE),"")</f>
        <v/>
      </c>
      <c r="J3894" s="77" t="str">
        <f>IFERROR(VLOOKUP(DESPESAS[[#This Row],[Plano de Contas]],BASE!$B$3:$F$119,4,FALSE),"")</f>
        <v>2 - CUSTOS DIRETOS</v>
      </c>
      <c r="K3894" s="77" t="str">
        <f>IFERROR(VLOOKUP(DESPESAS[[#This Row],[Plano de Contas]],BASE!$B$3:$H$119,5,FALSE),"")</f>
        <v>DH</v>
      </c>
      <c r="L3894" s="77" t="str">
        <f>IFERROR(VLOOKUP(DESPESAS[[#This Row],[Plano de Contas]],BASE!$B$3:$H$119,6,FALSE),"")</f>
        <v>CUSTO MÃO DE OBRA DIRETA</v>
      </c>
      <c r="M3894" s="77" t="str">
        <f>VLOOKUP(DESPESAS[[#This Row],[Plano de Contas]],BASE!$B$3:$H$119,7,FALSE)</f>
        <v>RAFAEL</v>
      </c>
    </row>
    <row r="3895" spans="1:13" x14ac:dyDescent="0.25">
      <c r="A3895" s="74">
        <v>201282</v>
      </c>
      <c r="B3895" s="75" t="s">
        <v>281</v>
      </c>
      <c r="C3895" s="75" t="s">
        <v>3840</v>
      </c>
      <c r="D3895" s="76">
        <v>46142</v>
      </c>
      <c r="E3895" s="75" t="s">
        <v>952</v>
      </c>
      <c r="F3895" s="74">
        <v>2454.75</v>
      </c>
      <c r="G3895" s="75" t="s">
        <v>430</v>
      </c>
      <c r="H3895" s="77" t="str">
        <f>VLOOKUP(DESPESAS[[#This Row],[Plano de Contas]],BASE!$B$3:$D$119,3,FALSE)</f>
        <v>Salarios e Ordenados MOD</v>
      </c>
      <c r="I3895" s="77" t="str">
        <f>IFERROR(VLOOKUP(DESPESAS[[#This Row],[Fornecedor]],Tabela2[],2,FALSE),"")</f>
        <v/>
      </c>
      <c r="J3895" s="77" t="str">
        <f>IFERROR(VLOOKUP(DESPESAS[[#This Row],[Plano de Contas]],BASE!$B$3:$F$119,4,FALSE),"")</f>
        <v>2 - CUSTOS DIRETOS</v>
      </c>
      <c r="K3895" s="77" t="str">
        <f>IFERROR(VLOOKUP(DESPESAS[[#This Row],[Plano de Contas]],BASE!$B$3:$H$119,5,FALSE),"")</f>
        <v>DH</v>
      </c>
      <c r="L3895" s="77" t="str">
        <f>IFERROR(VLOOKUP(DESPESAS[[#This Row],[Plano de Contas]],BASE!$B$3:$H$119,6,FALSE),"")</f>
        <v>CUSTO MÃO DE OBRA DIRETA</v>
      </c>
      <c r="M3895" s="77" t="str">
        <f>VLOOKUP(DESPESAS[[#This Row],[Plano de Contas]],BASE!$B$3:$H$119,7,FALSE)</f>
        <v>RAFAEL</v>
      </c>
    </row>
    <row r="3896" spans="1:13" x14ac:dyDescent="0.25">
      <c r="A3896" s="74">
        <v>201283</v>
      </c>
      <c r="B3896" s="75" t="s">
        <v>281</v>
      </c>
      <c r="C3896" s="75" t="s">
        <v>3840</v>
      </c>
      <c r="D3896" s="76">
        <v>46142</v>
      </c>
      <c r="E3896" s="75" t="s">
        <v>951</v>
      </c>
      <c r="F3896" s="74">
        <v>2184.36</v>
      </c>
      <c r="G3896" s="75" t="s">
        <v>430</v>
      </c>
      <c r="H3896" s="77" t="str">
        <f>VLOOKUP(DESPESAS[[#This Row],[Plano de Contas]],BASE!$B$3:$D$119,3,FALSE)</f>
        <v>Salarios e Ordenados MOD</v>
      </c>
      <c r="I3896" s="77" t="str">
        <f>IFERROR(VLOOKUP(DESPESAS[[#This Row],[Fornecedor]],Tabela2[],2,FALSE),"")</f>
        <v/>
      </c>
      <c r="J3896" s="77" t="str">
        <f>IFERROR(VLOOKUP(DESPESAS[[#This Row],[Plano de Contas]],BASE!$B$3:$F$119,4,FALSE),"")</f>
        <v>2 - CUSTOS DIRETOS</v>
      </c>
      <c r="K3896" s="77" t="str">
        <f>IFERROR(VLOOKUP(DESPESAS[[#This Row],[Plano de Contas]],BASE!$B$3:$H$119,5,FALSE),"")</f>
        <v>DH</v>
      </c>
      <c r="L3896" s="77" t="str">
        <f>IFERROR(VLOOKUP(DESPESAS[[#This Row],[Plano de Contas]],BASE!$B$3:$H$119,6,FALSE),"")</f>
        <v>CUSTO MÃO DE OBRA DIRETA</v>
      </c>
      <c r="M3896" s="77" t="str">
        <f>VLOOKUP(DESPESAS[[#This Row],[Plano de Contas]],BASE!$B$3:$H$119,7,FALSE)</f>
        <v>RAFAEL</v>
      </c>
    </row>
    <row r="3897" spans="1:13" x14ac:dyDescent="0.25">
      <c r="A3897" s="74">
        <v>201284</v>
      </c>
      <c r="B3897" s="75" t="s">
        <v>281</v>
      </c>
      <c r="C3897" s="75" t="s">
        <v>3840</v>
      </c>
      <c r="D3897" s="76">
        <v>46142</v>
      </c>
      <c r="E3897" s="75" t="s">
        <v>950</v>
      </c>
      <c r="F3897" s="74">
        <v>2204.2800000000002</v>
      </c>
      <c r="G3897" s="75" t="s">
        <v>430</v>
      </c>
      <c r="H3897" s="77" t="str">
        <f>VLOOKUP(DESPESAS[[#This Row],[Plano de Contas]],BASE!$B$3:$D$119,3,FALSE)</f>
        <v>Salarios e Ordenados MOD</v>
      </c>
      <c r="I3897" s="77" t="str">
        <f>IFERROR(VLOOKUP(DESPESAS[[#This Row],[Fornecedor]],Tabela2[],2,FALSE),"")</f>
        <v/>
      </c>
      <c r="J3897" s="77" t="str">
        <f>IFERROR(VLOOKUP(DESPESAS[[#This Row],[Plano de Contas]],BASE!$B$3:$F$119,4,FALSE),"")</f>
        <v>2 - CUSTOS DIRETOS</v>
      </c>
      <c r="K3897" s="77" t="str">
        <f>IFERROR(VLOOKUP(DESPESAS[[#This Row],[Plano de Contas]],BASE!$B$3:$H$119,5,FALSE),"")</f>
        <v>DH</v>
      </c>
      <c r="L3897" s="77" t="str">
        <f>IFERROR(VLOOKUP(DESPESAS[[#This Row],[Plano de Contas]],BASE!$B$3:$H$119,6,FALSE),"")</f>
        <v>CUSTO MÃO DE OBRA DIRETA</v>
      </c>
      <c r="M3897" s="77" t="str">
        <f>VLOOKUP(DESPESAS[[#This Row],[Plano de Contas]],BASE!$B$3:$H$119,7,FALSE)</f>
        <v>RAFAEL</v>
      </c>
    </row>
    <row r="3898" spans="1:13" x14ac:dyDescent="0.25">
      <c r="A3898" s="74">
        <v>201286</v>
      </c>
      <c r="B3898" s="75" t="s">
        <v>279</v>
      </c>
      <c r="C3898" s="75" t="s">
        <v>3840</v>
      </c>
      <c r="D3898" s="76">
        <v>46142</v>
      </c>
      <c r="E3898" s="75" t="s">
        <v>944</v>
      </c>
      <c r="F3898" s="74">
        <v>873.94</v>
      </c>
      <c r="G3898" s="75" t="s">
        <v>430</v>
      </c>
      <c r="H3898" s="77" t="str">
        <f>VLOOKUP(DESPESAS[[#This Row],[Plano de Contas]],BASE!$B$3:$D$119,3,FALSE)</f>
        <v>Salarios e Ordenados MOD</v>
      </c>
      <c r="I3898" s="77" t="str">
        <f>IFERROR(VLOOKUP(DESPESAS[[#This Row],[Fornecedor]],Tabela2[],2,FALSE),"")</f>
        <v/>
      </c>
      <c r="J3898" s="77" t="str">
        <f>IFERROR(VLOOKUP(DESPESAS[[#This Row],[Plano de Contas]],BASE!$B$3:$F$119,4,FALSE),"")</f>
        <v>2 - CUSTOS DIRETOS</v>
      </c>
      <c r="K3898" s="77" t="str">
        <f>IFERROR(VLOOKUP(DESPESAS[[#This Row],[Plano de Contas]],BASE!$B$3:$H$119,5,FALSE),"")</f>
        <v>DH</v>
      </c>
      <c r="L3898" s="77" t="str">
        <f>IFERROR(VLOOKUP(DESPESAS[[#This Row],[Plano de Contas]],BASE!$B$3:$H$119,6,FALSE),"")</f>
        <v>CUSTO MÃO DE OBRA DIRETA</v>
      </c>
      <c r="M3898" s="77" t="str">
        <f>VLOOKUP(DESPESAS[[#This Row],[Plano de Contas]],BASE!$B$3:$H$119,7,FALSE)</f>
        <v>RAFAEL</v>
      </c>
    </row>
    <row r="3899" spans="1:13" x14ac:dyDescent="0.25">
      <c r="A3899" s="74">
        <v>201287</v>
      </c>
      <c r="B3899" s="75" t="s">
        <v>279</v>
      </c>
      <c r="C3899" s="75" t="s">
        <v>3840</v>
      </c>
      <c r="D3899" s="76">
        <v>46142</v>
      </c>
      <c r="E3899" s="75" t="s">
        <v>943</v>
      </c>
      <c r="F3899" s="74">
        <v>2576.87</v>
      </c>
      <c r="G3899" s="75" t="s">
        <v>430</v>
      </c>
      <c r="H3899" s="77" t="str">
        <f>VLOOKUP(DESPESAS[[#This Row],[Plano de Contas]],BASE!$B$3:$D$119,3,FALSE)</f>
        <v>Salarios e Ordenados MOD</v>
      </c>
      <c r="I3899" s="77" t="str">
        <f>IFERROR(VLOOKUP(DESPESAS[[#This Row],[Fornecedor]],Tabela2[],2,FALSE),"")</f>
        <v/>
      </c>
      <c r="J3899" s="77" t="str">
        <f>IFERROR(VLOOKUP(DESPESAS[[#This Row],[Plano de Contas]],BASE!$B$3:$F$119,4,FALSE),"")</f>
        <v>2 - CUSTOS DIRETOS</v>
      </c>
      <c r="K3899" s="77" t="str">
        <f>IFERROR(VLOOKUP(DESPESAS[[#This Row],[Plano de Contas]],BASE!$B$3:$H$119,5,FALSE),"")</f>
        <v>DH</v>
      </c>
      <c r="L3899" s="77" t="str">
        <f>IFERROR(VLOOKUP(DESPESAS[[#This Row],[Plano de Contas]],BASE!$B$3:$H$119,6,FALSE),"")</f>
        <v>CUSTO MÃO DE OBRA DIRETA</v>
      </c>
      <c r="M3899" s="77" t="str">
        <f>VLOOKUP(DESPESAS[[#This Row],[Plano de Contas]],BASE!$B$3:$H$119,7,FALSE)</f>
        <v>RAFAEL</v>
      </c>
    </row>
    <row r="3900" spans="1:13" x14ac:dyDescent="0.25">
      <c r="A3900" s="74">
        <v>201288</v>
      </c>
      <c r="B3900" s="75" t="s">
        <v>279</v>
      </c>
      <c r="C3900" s="75" t="s">
        <v>3840</v>
      </c>
      <c r="D3900" s="76">
        <v>46142</v>
      </c>
      <c r="E3900" s="75" t="s">
        <v>942</v>
      </c>
      <c r="F3900" s="74">
        <v>3209.65</v>
      </c>
      <c r="G3900" s="75" t="s">
        <v>430</v>
      </c>
      <c r="H3900" s="77" t="str">
        <f>VLOOKUP(DESPESAS[[#This Row],[Plano de Contas]],BASE!$B$3:$D$119,3,FALSE)</f>
        <v>Salarios e Ordenados MOD</v>
      </c>
      <c r="I3900" s="77" t="str">
        <f>IFERROR(VLOOKUP(DESPESAS[[#This Row],[Fornecedor]],Tabela2[],2,FALSE),"")</f>
        <v/>
      </c>
      <c r="J3900" s="77" t="str">
        <f>IFERROR(VLOOKUP(DESPESAS[[#This Row],[Plano de Contas]],BASE!$B$3:$F$119,4,FALSE),"")</f>
        <v>2 - CUSTOS DIRETOS</v>
      </c>
      <c r="K3900" s="77" t="str">
        <f>IFERROR(VLOOKUP(DESPESAS[[#This Row],[Plano de Contas]],BASE!$B$3:$H$119,5,FALSE),"")</f>
        <v>DH</v>
      </c>
      <c r="L3900" s="77" t="str">
        <f>IFERROR(VLOOKUP(DESPESAS[[#This Row],[Plano de Contas]],BASE!$B$3:$H$119,6,FALSE),"")</f>
        <v>CUSTO MÃO DE OBRA DIRETA</v>
      </c>
      <c r="M3900" s="77" t="str">
        <f>VLOOKUP(DESPESAS[[#This Row],[Plano de Contas]],BASE!$B$3:$H$119,7,FALSE)</f>
        <v>RAFAEL</v>
      </c>
    </row>
    <row r="3901" spans="1:13" x14ac:dyDescent="0.25">
      <c r="A3901" s="74">
        <v>201289</v>
      </c>
      <c r="B3901" s="75" t="s">
        <v>279</v>
      </c>
      <c r="C3901" s="75" t="s">
        <v>3840</v>
      </c>
      <c r="D3901" s="76">
        <v>46142</v>
      </c>
      <c r="E3901" s="75" t="s">
        <v>940</v>
      </c>
      <c r="F3901" s="74">
        <v>3963.71</v>
      </c>
      <c r="G3901" s="75" t="s">
        <v>430</v>
      </c>
      <c r="H3901" s="77" t="str">
        <f>VLOOKUP(DESPESAS[[#This Row],[Plano de Contas]],BASE!$B$3:$D$119,3,FALSE)</f>
        <v>Salarios e Ordenados MOD</v>
      </c>
      <c r="I3901" s="77" t="str">
        <f>IFERROR(VLOOKUP(DESPESAS[[#This Row],[Fornecedor]],Tabela2[],2,FALSE),"")</f>
        <v/>
      </c>
      <c r="J3901" s="77" t="str">
        <f>IFERROR(VLOOKUP(DESPESAS[[#This Row],[Plano de Contas]],BASE!$B$3:$F$119,4,FALSE),"")</f>
        <v>2 - CUSTOS DIRETOS</v>
      </c>
      <c r="K3901" s="77" t="str">
        <f>IFERROR(VLOOKUP(DESPESAS[[#This Row],[Plano de Contas]],BASE!$B$3:$H$119,5,FALSE),"")</f>
        <v>DH</v>
      </c>
      <c r="L3901" s="77" t="str">
        <f>IFERROR(VLOOKUP(DESPESAS[[#This Row],[Plano de Contas]],BASE!$B$3:$H$119,6,FALSE),"")</f>
        <v>CUSTO MÃO DE OBRA DIRETA</v>
      </c>
      <c r="M3901" s="77" t="str">
        <f>VLOOKUP(DESPESAS[[#This Row],[Plano de Contas]],BASE!$B$3:$H$119,7,FALSE)</f>
        <v>RAFAEL</v>
      </c>
    </row>
    <row r="3902" spans="1:13" x14ac:dyDescent="0.25">
      <c r="A3902" s="74">
        <v>201290</v>
      </c>
      <c r="B3902" s="75" t="s">
        <v>279</v>
      </c>
      <c r="C3902" s="75" t="s">
        <v>3840</v>
      </c>
      <c r="D3902" s="76">
        <v>46142</v>
      </c>
      <c r="E3902" s="75" t="s">
        <v>754</v>
      </c>
      <c r="F3902" s="74">
        <v>2282.58</v>
      </c>
      <c r="G3902" s="75" t="s">
        <v>627</v>
      </c>
      <c r="H3902" s="77" t="str">
        <f>VLOOKUP(DESPESAS[[#This Row],[Plano de Contas]],BASE!$B$3:$D$119,3,FALSE)</f>
        <v>Salarios e Ordenados (Adm)</v>
      </c>
      <c r="I3902" s="77" t="str">
        <f>IFERROR(VLOOKUP(DESPESAS[[#This Row],[Fornecedor]],Tabela2[],2,FALSE),"")</f>
        <v/>
      </c>
      <c r="J3902" s="77" t="str">
        <f>IFERROR(VLOOKUP(DESPESAS[[#This Row],[Plano de Contas]],BASE!$B$3:$F$119,4,FALSE),"")</f>
        <v>4 - GASTOS COM PESSOAL</v>
      </c>
      <c r="K3902" s="77" t="str">
        <f>IFERROR(VLOOKUP(DESPESAS[[#This Row],[Plano de Contas]],BASE!$B$3:$H$119,5,FALSE),"")</f>
        <v>DH</v>
      </c>
      <c r="L3902" s="77">
        <f>IFERROR(VLOOKUP(DESPESAS[[#This Row],[Plano de Contas]],BASE!$B$3:$H$119,6,FALSE),"")</f>
        <v>0</v>
      </c>
      <c r="M3902" s="77" t="str">
        <f>VLOOKUP(DESPESAS[[#This Row],[Plano de Contas]],BASE!$B$3:$H$119,7,FALSE)</f>
        <v>RAFAEL</v>
      </c>
    </row>
    <row r="3903" spans="1:13" x14ac:dyDescent="0.25">
      <c r="A3903" s="74">
        <v>201291</v>
      </c>
      <c r="B3903" s="75" t="s">
        <v>279</v>
      </c>
      <c r="C3903" s="75" t="s">
        <v>3840</v>
      </c>
      <c r="D3903" s="76">
        <v>46142</v>
      </c>
      <c r="E3903" s="75" t="s">
        <v>939</v>
      </c>
      <c r="F3903" s="74">
        <v>2380.91</v>
      </c>
      <c r="G3903" s="75" t="s">
        <v>430</v>
      </c>
      <c r="H3903" s="77" t="str">
        <f>VLOOKUP(DESPESAS[[#This Row],[Plano de Contas]],BASE!$B$3:$D$119,3,FALSE)</f>
        <v>Salarios e Ordenados MOD</v>
      </c>
      <c r="I3903" s="77" t="str">
        <f>IFERROR(VLOOKUP(DESPESAS[[#This Row],[Fornecedor]],Tabela2[],2,FALSE),"")</f>
        <v/>
      </c>
      <c r="J3903" s="77" t="str">
        <f>IFERROR(VLOOKUP(DESPESAS[[#This Row],[Plano de Contas]],BASE!$B$3:$F$119,4,FALSE),"")</f>
        <v>2 - CUSTOS DIRETOS</v>
      </c>
      <c r="K3903" s="77" t="str">
        <f>IFERROR(VLOOKUP(DESPESAS[[#This Row],[Plano de Contas]],BASE!$B$3:$H$119,5,FALSE),"")</f>
        <v>DH</v>
      </c>
      <c r="L3903" s="77" t="str">
        <f>IFERROR(VLOOKUP(DESPESAS[[#This Row],[Plano de Contas]],BASE!$B$3:$H$119,6,FALSE),"")</f>
        <v>CUSTO MÃO DE OBRA DIRETA</v>
      </c>
      <c r="M3903" s="77" t="str">
        <f>VLOOKUP(DESPESAS[[#This Row],[Plano de Contas]],BASE!$B$3:$H$119,7,FALSE)</f>
        <v>RAFAEL</v>
      </c>
    </row>
    <row r="3904" spans="1:13" x14ac:dyDescent="0.25">
      <c r="A3904" s="74">
        <v>201292</v>
      </c>
      <c r="B3904" s="75" t="s">
        <v>279</v>
      </c>
      <c r="C3904" s="75" t="s">
        <v>3840</v>
      </c>
      <c r="D3904" s="76">
        <v>46142</v>
      </c>
      <c r="E3904" s="75" t="s">
        <v>765</v>
      </c>
      <c r="F3904" s="74">
        <v>1214.03</v>
      </c>
      <c r="G3904" s="75" t="s">
        <v>430</v>
      </c>
      <c r="H3904" s="77" t="str">
        <f>VLOOKUP(DESPESAS[[#This Row],[Plano de Contas]],BASE!$B$3:$D$119,3,FALSE)</f>
        <v>Salarios e Ordenados MOD</v>
      </c>
      <c r="I3904" s="77" t="str">
        <f>IFERROR(VLOOKUP(DESPESAS[[#This Row],[Fornecedor]],Tabela2[],2,FALSE),"")</f>
        <v/>
      </c>
      <c r="J3904" s="77" t="str">
        <f>IFERROR(VLOOKUP(DESPESAS[[#This Row],[Plano de Contas]],BASE!$B$3:$F$119,4,FALSE),"")</f>
        <v>2 - CUSTOS DIRETOS</v>
      </c>
      <c r="K3904" s="77" t="str">
        <f>IFERROR(VLOOKUP(DESPESAS[[#This Row],[Plano de Contas]],BASE!$B$3:$H$119,5,FALSE),"")</f>
        <v>DH</v>
      </c>
      <c r="L3904" s="77" t="str">
        <f>IFERROR(VLOOKUP(DESPESAS[[#This Row],[Plano de Contas]],BASE!$B$3:$H$119,6,FALSE),"")</f>
        <v>CUSTO MÃO DE OBRA DIRETA</v>
      </c>
      <c r="M3904" s="77" t="str">
        <f>VLOOKUP(DESPESAS[[#This Row],[Plano de Contas]],BASE!$B$3:$H$119,7,FALSE)</f>
        <v>RAFAEL</v>
      </c>
    </row>
    <row r="3905" spans="1:13" x14ac:dyDescent="0.25">
      <c r="A3905" s="74">
        <v>201293</v>
      </c>
      <c r="B3905" s="75" t="s">
        <v>279</v>
      </c>
      <c r="C3905" s="75" t="s">
        <v>3840</v>
      </c>
      <c r="D3905" s="76">
        <v>46142</v>
      </c>
      <c r="E3905" s="75" t="s">
        <v>938</v>
      </c>
      <c r="F3905" s="74">
        <v>3766.44</v>
      </c>
      <c r="G3905" s="75" t="s">
        <v>430</v>
      </c>
      <c r="H3905" s="77" t="str">
        <f>VLOOKUP(DESPESAS[[#This Row],[Plano de Contas]],BASE!$B$3:$D$119,3,FALSE)</f>
        <v>Salarios e Ordenados MOD</v>
      </c>
      <c r="I3905" s="77" t="str">
        <f>IFERROR(VLOOKUP(DESPESAS[[#This Row],[Fornecedor]],Tabela2[],2,FALSE),"")</f>
        <v/>
      </c>
      <c r="J3905" s="77" t="str">
        <f>IFERROR(VLOOKUP(DESPESAS[[#This Row],[Plano de Contas]],BASE!$B$3:$F$119,4,FALSE),"")</f>
        <v>2 - CUSTOS DIRETOS</v>
      </c>
      <c r="K3905" s="77" t="str">
        <f>IFERROR(VLOOKUP(DESPESAS[[#This Row],[Plano de Contas]],BASE!$B$3:$H$119,5,FALSE),"")</f>
        <v>DH</v>
      </c>
      <c r="L3905" s="77" t="str">
        <f>IFERROR(VLOOKUP(DESPESAS[[#This Row],[Plano de Contas]],BASE!$B$3:$H$119,6,FALSE),"")</f>
        <v>CUSTO MÃO DE OBRA DIRETA</v>
      </c>
      <c r="M3905" s="77" t="str">
        <f>VLOOKUP(DESPESAS[[#This Row],[Plano de Contas]],BASE!$B$3:$H$119,7,FALSE)</f>
        <v>RAFAEL</v>
      </c>
    </row>
    <row r="3906" spans="1:13" x14ac:dyDescent="0.25">
      <c r="A3906" s="74">
        <v>201294</v>
      </c>
      <c r="B3906" s="75" t="s">
        <v>279</v>
      </c>
      <c r="C3906" s="75" t="s">
        <v>3840</v>
      </c>
      <c r="D3906" s="76">
        <v>46142</v>
      </c>
      <c r="E3906" s="75" t="s">
        <v>937</v>
      </c>
      <c r="F3906" s="74">
        <v>3926.17</v>
      </c>
      <c r="G3906" s="75" t="s">
        <v>430</v>
      </c>
      <c r="H3906" s="77" t="str">
        <f>VLOOKUP(DESPESAS[[#This Row],[Plano de Contas]],BASE!$B$3:$D$119,3,FALSE)</f>
        <v>Salarios e Ordenados MOD</v>
      </c>
      <c r="I3906" s="77" t="str">
        <f>IFERROR(VLOOKUP(DESPESAS[[#This Row],[Fornecedor]],Tabela2[],2,FALSE),"")</f>
        <v/>
      </c>
      <c r="J3906" s="77" t="str">
        <f>IFERROR(VLOOKUP(DESPESAS[[#This Row],[Plano de Contas]],BASE!$B$3:$F$119,4,FALSE),"")</f>
        <v>2 - CUSTOS DIRETOS</v>
      </c>
      <c r="K3906" s="77" t="str">
        <f>IFERROR(VLOOKUP(DESPESAS[[#This Row],[Plano de Contas]],BASE!$B$3:$H$119,5,FALSE),"")</f>
        <v>DH</v>
      </c>
      <c r="L3906" s="77" t="str">
        <f>IFERROR(VLOOKUP(DESPESAS[[#This Row],[Plano de Contas]],BASE!$B$3:$H$119,6,FALSE),"")</f>
        <v>CUSTO MÃO DE OBRA DIRETA</v>
      </c>
      <c r="M3906" s="77" t="str">
        <f>VLOOKUP(DESPESAS[[#This Row],[Plano de Contas]],BASE!$B$3:$H$119,7,FALSE)</f>
        <v>RAFAEL</v>
      </c>
    </row>
    <row r="3907" spans="1:13" x14ac:dyDescent="0.25">
      <c r="A3907" s="74">
        <v>201295</v>
      </c>
      <c r="B3907" s="75" t="s">
        <v>279</v>
      </c>
      <c r="C3907" s="75" t="s">
        <v>3840</v>
      </c>
      <c r="D3907" s="76">
        <v>46142</v>
      </c>
      <c r="E3907" s="75" t="s">
        <v>936</v>
      </c>
      <c r="F3907" s="74">
        <v>2671.1</v>
      </c>
      <c r="G3907" s="75" t="s">
        <v>430</v>
      </c>
      <c r="H3907" s="77" t="str">
        <f>VLOOKUP(DESPESAS[[#This Row],[Plano de Contas]],BASE!$B$3:$D$119,3,FALSE)</f>
        <v>Salarios e Ordenados MOD</v>
      </c>
      <c r="I3907" s="77" t="str">
        <f>IFERROR(VLOOKUP(DESPESAS[[#This Row],[Fornecedor]],Tabela2[],2,FALSE),"")</f>
        <v/>
      </c>
      <c r="J3907" s="77" t="str">
        <f>IFERROR(VLOOKUP(DESPESAS[[#This Row],[Plano de Contas]],BASE!$B$3:$F$119,4,FALSE),"")</f>
        <v>2 - CUSTOS DIRETOS</v>
      </c>
      <c r="K3907" s="77" t="str">
        <f>IFERROR(VLOOKUP(DESPESAS[[#This Row],[Plano de Contas]],BASE!$B$3:$H$119,5,FALSE),"")</f>
        <v>DH</v>
      </c>
      <c r="L3907" s="77" t="str">
        <f>IFERROR(VLOOKUP(DESPESAS[[#This Row],[Plano de Contas]],BASE!$B$3:$H$119,6,FALSE),"")</f>
        <v>CUSTO MÃO DE OBRA DIRETA</v>
      </c>
      <c r="M3907" s="77" t="str">
        <f>VLOOKUP(DESPESAS[[#This Row],[Plano de Contas]],BASE!$B$3:$H$119,7,FALSE)</f>
        <v>RAFAEL</v>
      </c>
    </row>
    <row r="3908" spans="1:13" x14ac:dyDescent="0.25">
      <c r="A3908" s="74">
        <v>201296</v>
      </c>
      <c r="B3908" s="75" t="s">
        <v>279</v>
      </c>
      <c r="C3908" s="75" t="s">
        <v>3840</v>
      </c>
      <c r="D3908" s="76">
        <v>46142</v>
      </c>
      <c r="E3908" s="75" t="s">
        <v>764</v>
      </c>
      <c r="F3908" s="74">
        <v>1617.74</v>
      </c>
      <c r="G3908" s="75" t="s">
        <v>430</v>
      </c>
      <c r="H3908" s="77" t="str">
        <f>VLOOKUP(DESPESAS[[#This Row],[Plano de Contas]],BASE!$B$3:$D$119,3,FALSE)</f>
        <v>Salarios e Ordenados MOD</v>
      </c>
      <c r="I3908" s="77" t="str">
        <f>IFERROR(VLOOKUP(DESPESAS[[#This Row],[Fornecedor]],Tabela2[],2,FALSE),"")</f>
        <v/>
      </c>
      <c r="J3908" s="77" t="str">
        <f>IFERROR(VLOOKUP(DESPESAS[[#This Row],[Plano de Contas]],BASE!$B$3:$F$119,4,FALSE),"")</f>
        <v>2 - CUSTOS DIRETOS</v>
      </c>
      <c r="K3908" s="77" t="str">
        <f>IFERROR(VLOOKUP(DESPESAS[[#This Row],[Plano de Contas]],BASE!$B$3:$H$119,5,FALSE),"")</f>
        <v>DH</v>
      </c>
      <c r="L3908" s="77" t="str">
        <f>IFERROR(VLOOKUP(DESPESAS[[#This Row],[Plano de Contas]],BASE!$B$3:$H$119,6,FALSE),"")</f>
        <v>CUSTO MÃO DE OBRA DIRETA</v>
      </c>
      <c r="M3908" s="77" t="str">
        <f>VLOOKUP(DESPESAS[[#This Row],[Plano de Contas]],BASE!$B$3:$H$119,7,FALSE)</f>
        <v>RAFAEL</v>
      </c>
    </row>
    <row r="3909" spans="1:13" x14ac:dyDescent="0.25">
      <c r="A3909" s="74">
        <v>201297</v>
      </c>
      <c r="B3909" s="75" t="s">
        <v>279</v>
      </c>
      <c r="C3909" s="75" t="s">
        <v>3840</v>
      </c>
      <c r="D3909" s="76">
        <v>46142</v>
      </c>
      <c r="E3909" s="75" t="s">
        <v>935</v>
      </c>
      <c r="F3909" s="74">
        <v>2026.51</v>
      </c>
      <c r="G3909" s="75" t="s">
        <v>430</v>
      </c>
      <c r="H3909" s="77" t="str">
        <f>VLOOKUP(DESPESAS[[#This Row],[Plano de Contas]],BASE!$B$3:$D$119,3,FALSE)</f>
        <v>Salarios e Ordenados MOD</v>
      </c>
      <c r="I3909" s="77" t="str">
        <f>IFERROR(VLOOKUP(DESPESAS[[#This Row],[Fornecedor]],Tabela2[],2,FALSE),"")</f>
        <v/>
      </c>
      <c r="J3909" s="77" t="str">
        <f>IFERROR(VLOOKUP(DESPESAS[[#This Row],[Plano de Contas]],BASE!$B$3:$F$119,4,FALSE),"")</f>
        <v>2 - CUSTOS DIRETOS</v>
      </c>
      <c r="K3909" s="77" t="str">
        <f>IFERROR(VLOOKUP(DESPESAS[[#This Row],[Plano de Contas]],BASE!$B$3:$H$119,5,FALSE),"")</f>
        <v>DH</v>
      </c>
      <c r="L3909" s="77" t="str">
        <f>IFERROR(VLOOKUP(DESPESAS[[#This Row],[Plano de Contas]],BASE!$B$3:$H$119,6,FALSE),"")</f>
        <v>CUSTO MÃO DE OBRA DIRETA</v>
      </c>
      <c r="M3909" s="77" t="str">
        <f>VLOOKUP(DESPESAS[[#This Row],[Plano de Contas]],BASE!$B$3:$H$119,7,FALSE)</f>
        <v>RAFAEL</v>
      </c>
    </row>
    <row r="3910" spans="1:13" x14ac:dyDescent="0.25">
      <c r="A3910" s="74">
        <v>201298</v>
      </c>
      <c r="B3910" s="75" t="s">
        <v>279</v>
      </c>
      <c r="C3910" s="75" t="s">
        <v>3840</v>
      </c>
      <c r="D3910" s="76">
        <v>46142</v>
      </c>
      <c r="E3910" s="75" t="s">
        <v>934</v>
      </c>
      <c r="F3910" s="74">
        <v>2514.89</v>
      </c>
      <c r="G3910" s="75" t="s">
        <v>430</v>
      </c>
      <c r="H3910" s="77" t="str">
        <f>VLOOKUP(DESPESAS[[#This Row],[Plano de Contas]],BASE!$B$3:$D$119,3,FALSE)</f>
        <v>Salarios e Ordenados MOD</v>
      </c>
      <c r="I3910" s="77" t="str">
        <f>IFERROR(VLOOKUP(DESPESAS[[#This Row],[Fornecedor]],Tabela2[],2,FALSE),"")</f>
        <v/>
      </c>
      <c r="J3910" s="77" t="str">
        <f>IFERROR(VLOOKUP(DESPESAS[[#This Row],[Plano de Contas]],BASE!$B$3:$F$119,4,FALSE),"")</f>
        <v>2 - CUSTOS DIRETOS</v>
      </c>
      <c r="K3910" s="77" t="str">
        <f>IFERROR(VLOOKUP(DESPESAS[[#This Row],[Plano de Contas]],BASE!$B$3:$H$119,5,FALSE),"")</f>
        <v>DH</v>
      </c>
      <c r="L3910" s="77" t="str">
        <f>IFERROR(VLOOKUP(DESPESAS[[#This Row],[Plano de Contas]],BASE!$B$3:$H$119,6,FALSE),"")</f>
        <v>CUSTO MÃO DE OBRA DIRETA</v>
      </c>
      <c r="M3910" s="77" t="str">
        <f>VLOOKUP(DESPESAS[[#This Row],[Plano de Contas]],BASE!$B$3:$H$119,7,FALSE)</f>
        <v>RAFAEL</v>
      </c>
    </row>
    <row r="3911" spans="1:13" x14ac:dyDescent="0.25">
      <c r="A3911" s="74">
        <v>201299</v>
      </c>
      <c r="B3911" s="75" t="s">
        <v>279</v>
      </c>
      <c r="C3911" s="75" t="s">
        <v>3840</v>
      </c>
      <c r="D3911" s="76">
        <v>46142</v>
      </c>
      <c r="E3911" s="75" t="s">
        <v>933</v>
      </c>
      <c r="F3911" s="74">
        <v>4136.67</v>
      </c>
      <c r="G3911" s="75" t="s">
        <v>430</v>
      </c>
      <c r="H3911" s="77" t="str">
        <f>VLOOKUP(DESPESAS[[#This Row],[Plano de Contas]],BASE!$B$3:$D$119,3,FALSE)</f>
        <v>Salarios e Ordenados MOD</v>
      </c>
      <c r="I3911" s="77" t="str">
        <f>IFERROR(VLOOKUP(DESPESAS[[#This Row],[Fornecedor]],Tabela2[],2,FALSE),"")</f>
        <v/>
      </c>
      <c r="J3911" s="77" t="str">
        <f>IFERROR(VLOOKUP(DESPESAS[[#This Row],[Plano de Contas]],BASE!$B$3:$F$119,4,FALSE),"")</f>
        <v>2 - CUSTOS DIRETOS</v>
      </c>
      <c r="K3911" s="77" t="str">
        <f>IFERROR(VLOOKUP(DESPESAS[[#This Row],[Plano de Contas]],BASE!$B$3:$H$119,5,FALSE),"")</f>
        <v>DH</v>
      </c>
      <c r="L3911" s="77" t="str">
        <f>IFERROR(VLOOKUP(DESPESAS[[#This Row],[Plano de Contas]],BASE!$B$3:$H$119,6,FALSE),"")</f>
        <v>CUSTO MÃO DE OBRA DIRETA</v>
      </c>
      <c r="M3911" s="77" t="str">
        <f>VLOOKUP(DESPESAS[[#This Row],[Plano de Contas]],BASE!$B$3:$H$119,7,FALSE)</f>
        <v>RAFAEL</v>
      </c>
    </row>
    <row r="3912" spans="1:13" x14ac:dyDescent="0.25">
      <c r="A3912" s="74">
        <v>201300</v>
      </c>
      <c r="B3912" s="75" t="s">
        <v>279</v>
      </c>
      <c r="C3912" s="75" t="s">
        <v>3840</v>
      </c>
      <c r="D3912" s="76">
        <v>46142</v>
      </c>
      <c r="E3912" s="75" t="s">
        <v>431</v>
      </c>
      <c r="F3912" s="74">
        <v>2536.25</v>
      </c>
      <c r="G3912" s="75" t="s">
        <v>430</v>
      </c>
      <c r="H3912" s="77" t="str">
        <f>VLOOKUP(DESPESAS[[#This Row],[Plano de Contas]],BASE!$B$3:$D$119,3,FALSE)</f>
        <v>Salarios e Ordenados MOD</v>
      </c>
      <c r="I3912" s="77" t="str">
        <f>IFERROR(VLOOKUP(DESPESAS[[#This Row],[Fornecedor]],Tabela2[],2,FALSE),"")</f>
        <v/>
      </c>
      <c r="J3912" s="77" t="str">
        <f>IFERROR(VLOOKUP(DESPESAS[[#This Row],[Plano de Contas]],BASE!$B$3:$F$119,4,FALSE),"")</f>
        <v>2 - CUSTOS DIRETOS</v>
      </c>
      <c r="K3912" s="77" t="str">
        <f>IFERROR(VLOOKUP(DESPESAS[[#This Row],[Plano de Contas]],BASE!$B$3:$H$119,5,FALSE),"")</f>
        <v>DH</v>
      </c>
      <c r="L3912" s="77" t="str">
        <f>IFERROR(VLOOKUP(DESPESAS[[#This Row],[Plano de Contas]],BASE!$B$3:$H$119,6,FALSE),"")</f>
        <v>CUSTO MÃO DE OBRA DIRETA</v>
      </c>
      <c r="M3912" s="77" t="str">
        <f>VLOOKUP(DESPESAS[[#This Row],[Plano de Contas]],BASE!$B$3:$H$119,7,FALSE)</f>
        <v>RAFAEL</v>
      </c>
    </row>
    <row r="3913" spans="1:13" x14ac:dyDescent="0.25">
      <c r="A3913" s="74">
        <v>201301</v>
      </c>
      <c r="B3913" s="75" t="s">
        <v>279</v>
      </c>
      <c r="C3913" s="75" t="s">
        <v>3840</v>
      </c>
      <c r="D3913" s="76">
        <v>46142</v>
      </c>
      <c r="E3913" s="75" t="s">
        <v>932</v>
      </c>
      <c r="F3913" s="74">
        <v>2593.0300000000002</v>
      </c>
      <c r="G3913" s="75" t="s">
        <v>430</v>
      </c>
      <c r="H3913" s="77" t="str">
        <f>VLOOKUP(DESPESAS[[#This Row],[Plano de Contas]],BASE!$B$3:$D$119,3,FALSE)</f>
        <v>Salarios e Ordenados MOD</v>
      </c>
      <c r="I3913" s="77" t="str">
        <f>IFERROR(VLOOKUP(DESPESAS[[#This Row],[Fornecedor]],Tabela2[],2,FALSE),"")</f>
        <v/>
      </c>
      <c r="J3913" s="77" t="str">
        <f>IFERROR(VLOOKUP(DESPESAS[[#This Row],[Plano de Contas]],BASE!$B$3:$F$119,4,FALSE),"")</f>
        <v>2 - CUSTOS DIRETOS</v>
      </c>
      <c r="K3913" s="77" t="str">
        <f>IFERROR(VLOOKUP(DESPESAS[[#This Row],[Plano de Contas]],BASE!$B$3:$H$119,5,FALSE),"")</f>
        <v>DH</v>
      </c>
      <c r="L3913" s="77" t="str">
        <f>IFERROR(VLOOKUP(DESPESAS[[#This Row],[Plano de Contas]],BASE!$B$3:$H$119,6,FALSE),"")</f>
        <v>CUSTO MÃO DE OBRA DIRETA</v>
      </c>
      <c r="M3913" s="77" t="str">
        <f>VLOOKUP(DESPESAS[[#This Row],[Plano de Contas]],BASE!$B$3:$H$119,7,FALSE)</f>
        <v>RAFAEL</v>
      </c>
    </row>
    <row r="3914" spans="1:13" x14ac:dyDescent="0.25">
      <c r="A3914" s="74">
        <v>201302</v>
      </c>
      <c r="B3914" s="75" t="s">
        <v>279</v>
      </c>
      <c r="C3914" s="75" t="s">
        <v>3840</v>
      </c>
      <c r="D3914" s="76">
        <v>46142</v>
      </c>
      <c r="E3914" s="75" t="s">
        <v>931</v>
      </c>
      <c r="F3914" s="74">
        <v>3329.29</v>
      </c>
      <c r="G3914" s="75" t="s">
        <v>430</v>
      </c>
      <c r="H3914" s="77" t="str">
        <f>VLOOKUP(DESPESAS[[#This Row],[Plano de Contas]],BASE!$B$3:$D$119,3,FALSE)</f>
        <v>Salarios e Ordenados MOD</v>
      </c>
      <c r="I3914" s="77" t="str">
        <f>IFERROR(VLOOKUP(DESPESAS[[#This Row],[Fornecedor]],Tabela2[],2,FALSE),"")</f>
        <v/>
      </c>
      <c r="J3914" s="77" t="str">
        <f>IFERROR(VLOOKUP(DESPESAS[[#This Row],[Plano de Contas]],BASE!$B$3:$F$119,4,FALSE),"")</f>
        <v>2 - CUSTOS DIRETOS</v>
      </c>
      <c r="K3914" s="77" t="str">
        <f>IFERROR(VLOOKUP(DESPESAS[[#This Row],[Plano de Contas]],BASE!$B$3:$H$119,5,FALSE),"")</f>
        <v>DH</v>
      </c>
      <c r="L3914" s="77" t="str">
        <f>IFERROR(VLOOKUP(DESPESAS[[#This Row],[Plano de Contas]],BASE!$B$3:$H$119,6,FALSE),"")</f>
        <v>CUSTO MÃO DE OBRA DIRETA</v>
      </c>
      <c r="M3914" s="77" t="str">
        <f>VLOOKUP(DESPESAS[[#This Row],[Plano de Contas]],BASE!$B$3:$H$119,7,FALSE)</f>
        <v>RAFAEL</v>
      </c>
    </row>
    <row r="3915" spans="1:13" x14ac:dyDescent="0.25">
      <c r="A3915" s="74">
        <v>201303</v>
      </c>
      <c r="B3915" s="75" t="s">
        <v>279</v>
      </c>
      <c r="C3915" s="75" t="s">
        <v>3840</v>
      </c>
      <c r="D3915" s="76">
        <v>46142</v>
      </c>
      <c r="E3915" s="75" t="s">
        <v>930</v>
      </c>
      <c r="F3915" s="74">
        <v>3055.62</v>
      </c>
      <c r="G3915" s="75" t="s">
        <v>430</v>
      </c>
      <c r="H3915" s="77" t="str">
        <f>VLOOKUP(DESPESAS[[#This Row],[Plano de Contas]],BASE!$B$3:$D$119,3,FALSE)</f>
        <v>Salarios e Ordenados MOD</v>
      </c>
      <c r="I3915" s="77" t="str">
        <f>IFERROR(VLOOKUP(DESPESAS[[#This Row],[Fornecedor]],Tabela2[],2,FALSE),"")</f>
        <v/>
      </c>
      <c r="J3915" s="77" t="str">
        <f>IFERROR(VLOOKUP(DESPESAS[[#This Row],[Plano de Contas]],BASE!$B$3:$F$119,4,FALSE),"")</f>
        <v>2 - CUSTOS DIRETOS</v>
      </c>
      <c r="K3915" s="77" t="str">
        <f>IFERROR(VLOOKUP(DESPESAS[[#This Row],[Plano de Contas]],BASE!$B$3:$H$119,5,FALSE),"")</f>
        <v>DH</v>
      </c>
      <c r="L3915" s="77" t="str">
        <f>IFERROR(VLOOKUP(DESPESAS[[#This Row],[Plano de Contas]],BASE!$B$3:$H$119,6,FALSE),"")</f>
        <v>CUSTO MÃO DE OBRA DIRETA</v>
      </c>
      <c r="M3915" s="77" t="str">
        <f>VLOOKUP(DESPESAS[[#This Row],[Plano de Contas]],BASE!$B$3:$H$119,7,FALSE)</f>
        <v>RAFAEL</v>
      </c>
    </row>
    <row r="3916" spans="1:13" x14ac:dyDescent="0.25">
      <c r="A3916" s="74">
        <v>201305</v>
      </c>
      <c r="B3916" s="75" t="s">
        <v>279</v>
      </c>
      <c r="C3916" s="75" t="s">
        <v>3840</v>
      </c>
      <c r="D3916" s="76">
        <v>46142</v>
      </c>
      <c r="E3916" s="75" t="s">
        <v>928</v>
      </c>
      <c r="F3916" s="74">
        <v>2322.2399999999998</v>
      </c>
      <c r="G3916" s="75" t="s">
        <v>430</v>
      </c>
      <c r="H3916" s="77" t="str">
        <f>VLOOKUP(DESPESAS[[#This Row],[Plano de Contas]],BASE!$B$3:$D$119,3,FALSE)</f>
        <v>Salarios e Ordenados MOD</v>
      </c>
      <c r="I3916" s="77" t="str">
        <f>IFERROR(VLOOKUP(DESPESAS[[#This Row],[Fornecedor]],Tabela2[],2,FALSE),"")</f>
        <v/>
      </c>
      <c r="J3916" s="77" t="str">
        <f>IFERROR(VLOOKUP(DESPESAS[[#This Row],[Plano de Contas]],BASE!$B$3:$F$119,4,FALSE),"")</f>
        <v>2 - CUSTOS DIRETOS</v>
      </c>
      <c r="K3916" s="77" t="str">
        <f>IFERROR(VLOOKUP(DESPESAS[[#This Row],[Plano de Contas]],BASE!$B$3:$H$119,5,FALSE),"")</f>
        <v>DH</v>
      </c>
      <c r="L3916" s="77" t="str">
        <f>IFERROR(VLOOKUP(DESPESAS[[#This Row],[Plano de Contas]],BASE!$B$3:$H$119,6,FALSE),"")</f>
        <v>CUSTO MÃO DE OBRA DIRETA</v>
      </c>
      <c r="M3916" s="77" t="str">
        <f>VLOOKUP(DESPESAS[[#This Row],[Plano de Contas]],BASE!$B$3:$H$119,7,FALSE)</f>
        <v>RAFAEL</v>
      </c>
    </row>
    <row r="3917" spans="1:13" x14ac:dyDescent="0.25">
      <c r="A3917" s="74">
        <v>201306</v>
      </c>
      <c r="B3917" s="75" t="s">
        <v>279</v>
      </c>
      <c r="C3917" s="75" t="s">
        <v>3840</v>
      </c>
      <c r="D3917" s="76">
        <v>46142</v>
      </c>
      <c r="E3917" s="75" t="s">
        <v>484</v>
      </c>
      <c r="F3917" s="74">
        <v>1484.69</v>
      </c>
      <c r="G3917" s="75" t="s">
        <v>627</v>
      </c>
      <c r="H3917" s="77" t="str">
        <f>VLOOKUP(DESPESAS[[#This Row],[Plano de Contas]],BASE!$B$3:$D$119,3,FALSE)</f>
        <v>Salarios e Ordenados (Adm)</v>
      </c>
      <c r="I3917" s="77" t="str">
        <f>IFERROR(VLOOKUP(DESPESAS[[#This Row],[Fornecedor]],Tabela2[],2,FALSE),"")</f>
        <v/>
      </c>
      <c r="J3917" s="77" t="str">
        <f>IFERROR(VLOOKUP(DESPESAS[[#This Row],[Plano de Contas]],BASE!$B$3:$F$119,4,FALSE),"")</f>
        <v>4 - GASTOS COM PESSOAL</v>
      </c>
      <c r="K3917" s="77" t="str">
        <f>IFERROR(VLOOKUP(DESPESAS[[#This Row],[Plano de Contas]],BASE!$B$3:$H$119,5,FALSE),"")</f>
        <v>DH</v>
      </c>
      <c r="L3917" s="77">
        <f>IFERROR(VLOOKUP(DESPESAS[[#This Row],[Plano de Contas]],BASE!$B$3:$H$119,6,FALSE),"")</f>
        <v>0</v>
      </c>
      <c r="M3917" s="77" t="str">
        <f>VLOOKUP(DESPESAS[[#This Row],[Plano de Contas]],BASE!$B$3:$H$119,7,FALSE)</f>
        <v>RAFAEL</v>
      </c>
    </row>
    <row r="3918" spans="1:13" x14ac:dyDescent="0.25">
      <c r="A3918" s="74">
        <v>201307</v>
      </c>
      <c r="B3918" s="75" t="s">
        <v>279</v>
      </c>
      <c r="C3918" s="75" t="s">
        <v>3840</v>
      </c>
      <c r="D3918" s="76">
        <v>46142</v>
      </c>
      <c r="E3918" s="75" t="s">
        <v>927</v>
      </c>
      <c r="F3918" s="74">
        <v>2321.23</v>
      </c>
      <c r="G3918" s="75" t="s">
        <v>430</v>
      </c>
      <c r="H3918" s="77" t="str">
        <f>VLOOKUP(DESPESAS[[#This Row],[Plano de Contas]],BASE!$B$3:$D$119,3,FALSE)</f>
        <v>Salarios e Ordenados MOD</v>
      </c>
      <c r="I3918" s="77" t="str">
        <f>IFERROR(VLOOKUP(DESPESAS[[#This Row],[Fornecedor]],Tabela2[],2,FALSE),"")</f>
        <v/>
      </c>
      <c r="J3918" s="77" t="str">
        <f>IFERROR(VLOOKUP(DESPESAS[[#This Row],[Plano de Contas]],BASE!$B$3:$F$119,4,FALSE),"")</f>
        <v>2 - CUSTOS DIRETOS</v>
      </c>
      <c r="K3918" s="77" t="str">
        <f>IFERROR(VLOOKUP(DESPESAS[[#This Row],[Plano de Contas]],BASE!$B$3:$H$119,5,FALSE),"")</f>
        <v>DH</v>
      </c>
      <c r="L3918" s="77" t="str">
        <f>IFERROR(VLOOKUP(DESPESAS[[#This Row],[Plano de Contas]],BASE!$B$3:$H$119,6,FALSE),"")</f>
        <v>CUSTO MÃO DE OBRA DIRETA</v>
      </c>
      <c r="M3918" s="77" t="str">
        <f>VLOOKUP(DESPESAS[[#This Row],[Plano de Contas]],BASE!$B$3:$H$119,7,FALSE)</f>
        <v>RAFAEL</v>
      </c>
    </row>
    <row r="3919" spans="1:13" x14ac:dyDescent="0.25">
      <c r="A3919" s="74">
        <v>201308</v>
      </c>
      <c r="B3919" s="75" t="s">
        <v>279</v>
      </c>
      <c r="C3919" s="75" t="s">
        <v>3840</v>
      </c>
      <c r="D3919" s="76">
        <v>46142</v>
      </c>
      <c r="E3919" s="75" t="s">
        <v>762</v>
      </c>
      <c r="F3919" s="74">
        <v>1079.54</v>
      </c>
      <c r="G3919" s="75" t="s">
        <v>430</v>
      </c>
      <c r="H3919" s="77" t="str">
        <f>VLOOKUP(DESPESAS[[#This Row],[Plano de Contas]],BASE!$B$3:$D$119,3,FALSE)</f>
        <v>Salarios e Ordenados MOD</v>
      </c>
      <c r="I3919" s="77" t="str">
        <f>IFERROR(VLOOKUP(DESPESAS[[#This Row],[Fornecedor]],Tabela2[],2,FALSE),"")</f>
        <v/>
      </c>
      <c r="J3919" s="77" t="str">
        <f>IFERROR(VLOOKUP(DESPESAS[[#This Row],[Plano de Contas]],BASE!$B$3:$F$119,4,FALSE),"")</f>
        <v>2 - CUSTOS DIRETOS</v>
      </c>
      <c r="K3919" s="77" t="str">
        <f>IFERROR(VLOOKUP(DESPESAS[[#This Row],[Plano de Contas]],BASE!$B$3:$H$119,5,FALSE),"")</f>
        <v>DH</v>
      </c>
      <c r="L3919" s="77" t="str">
        <f>IFERROR(VLOOKUP(DESPESAS[[#This Row],[Plano de Contas]],BASE!$B$3:$H$119,6,FALSE),"")</f>
        <v>CUSTO MÃO DE OBRA DIRETA</v>
      </c>
      <c r="M3919" s="77" t="str">
        <f>VLOOKUP(DESPESAS[[#This Row],[Plano de Contas]],BASE!$B$3:$H$119,7,FALSE)</f>
        <v>RAFAEL</v>
      </c>
    </row>
    <row r="3920" spans="1:13" x14ac:dyDescent="0.25">
      <c r="A3920" s="74">
        <v>201314</v>
      </c>
      <c r="B3920" s="75" t="s">
        <v>232</v>
      </c>
      <c r="C3920" s="75" t="s">
        <v>3840</v>
      </c>
      <c r="D3920" s="76">
        <v>46142</v>
      </c>
      <c r="E3920" s="75" t="s">
        <v>876</v>
      </c>
      <c r="F3920" s="74">
        <v>2029.43</v>
      </c>
      <c r="G3920" s="75" t="s">
        <v>430</v>
      </c>
      <c r="H3920" s="77" t="str">
        <f>VLOOKUP(DESPESAS[[#This Row],[Plano de Contas]],BASE!$B$3:$D$119,3,FALSE)</f>
        <v>Salarios e Ordenados MOD</v>
      </c>
      <c r="I3920" s="77" t="str">
        <f>IFERROR(VLOOKUP(DESPESAS[[#This Row],[Fornecedor]],Tabela2[],2,FALSE),"")</f>
        <v/>
      </c>
      <c r="J3920" s="77" t="str">
        <f>IFERROR(VLOOKUP(DESPESAS[[#This Row],[Plano de Contas]],BASE!$B$3:$F$119,4,FALSE),"")</f>
        <v>2 - CUSTOS DIRETOS</v>
      </c>
      <c r="K3920" s="77" t="str">
        <f>IFERROR(VLOOKUP(DESPESAS[[#This Row],[Plano de Contas]],BASE!$B$3:$H$119,5,FALSE),"")</f>
        <v>DH</v>
      </c>
      <c r="L3920" s="77" t="str">
        <f>IFERROR(VLOOKUP(DESPESAS[[#This Row],[Plano de Contas]],BASE!$B$3:$H$119,6,FALSE),"")</f>
        <v>CUSTO MÃO DE OBRA DIRETA</v>
      </c>
      <c r="M3920" s="77" t="str">
        <f>VLOOKUP(DESPESAS[[#This Row],[Plano de Contas]],BASE!$B$3:$H$119,7,FALSE)</f>
        <v>RAFAEL</v>
      </c>
    </row>
    <row r="3921" spans="1:13" x14ac:dyDescent="0.25">
      <c r="A3921" s="74">
        <v>201317</v>
      </c>
      <c r="B3921" s="75" t="s">
        <v>279</v>
      </c>
      <c r="C3921" s="75" t="s">
        <v>3840</v>
      </c>
      <c r="D3921" s="76">
        <v>46142</v>
      </c>
      <c r="E3921" s="75" t="s">
        <v>926</v>
      </c>
      <c r="F3921" s="74">
        <v>2979.46</v>
      </c>
      <c r="G3921" s="75" t="s">
        <v>627</v>
      </c>
      <c r="H3921" s="77" t="str">
        <f>VLOOKUP(DESPESAS[[#This Row],[Plano de Contas]],BASE!$B$3:$D$119,3,FALSE)</f>
        <v>Salarios e Ordenados (Adm)</v>
      </c>
      <c r="I3921" s="77" t="str">
        <f>IFERROR(VLOOKUP(DESPESAS[[#This Row],[Fornecedor]],Tabela2[],2,FALSE),"")</f>
        <v/>
      </c>
      <c r="J3921" s="77" t="str">
        <f>IFERROR(VLOOKUP(DESPESAS[[#This Row],[Plano de Contas]],BASE!$B$3:$F$119,4,FALSE),"")</f>
        <v>4 - GASTOS COM PESSOAL</v>
      </c>
      <c r="K3921" s="77" t="str">
        <f>IFERROR(VLOOKUP(DESPESAS[[#This Row],[Plano de Contas]],BASE!$B$3:$H$119,5,FALSE),"")</f>
        <v>DH</v>
      </c>
      <c r="L3921" s="77">
        <f>IFERROR(VLOOKUP(DESPESAS[[#This Row],[Plano de Contas]],BASE!$B$3:$H$119,6,FALSE),"")</f>
        <v>0</v>
      </c>
      <c r="M3921" s="77" t="str">
        <f>VLOOKUP(DESPESAS[[#This Row],[Plano de Contas]],BASE!$B$3:$H$119,7,FALSE)</f>
        <v>RAFAEL</v>
      </c>
    </row>
    <row r="3922" spans="1:13" x14ac:dyDescent="0.25">
      <c r="A3922" s="74">
        <v>201318</v>
      </c>
      <c r="B3922" s="75" t="s">
        <v>279</v>
      </c>
      <c r="C3922" s="75" t="s">
        <v>3840</v>
      </c>
      <c r="D3922" s="76">
        <v>46142</v>
      </c>
      <c r="E3922" s="75" t="s">
        <v>925</v>
      </c>
      <c r="F3922" s="74">
        <v>3312.98</v>
      </c>
      <c r="G3922" s="75" t="s">
        <v>430</v>
      </c>
      <c r="H3922" s="77" t="str">
        <f>VLOOKUP(DESPESAS[[#This Row],[Plano de Contas]],BASE!$B$3:$D$119,3,FALSE)</f>
        <v>Salarios e Ordenados MOD</v>
      </c>
      <c r="I3922" s="77" t="str">
        <f>IFERROR(VLOOKUP(DESPESAS[[#This Row],[Fornecedor]],Tabela2[],2,FALSE),"")</f>
        <v/>
      </c>
      <c r="J3922" s="77" t="str">
        <f>IFERROR(VLOOKUP(DESPESAS[[#This Row],[Plano de Contas]],BASE!$B$3:$F$119,4,FALSE),"")</f>
        <v>2 - CUSTOS DIRETOS</v>
      </c>
      <c r="K3922" s="77" t="str">
        <f>IFERROR(VLOOKUP(DESPESAS[[#This Row],[Plano de Contas]],BASE!$B$3:$H$119,5,FALSE),"")</f>
        <v>DH</v>
      </c>
      <c r="L3922" s="77" t="str">
        <f>IFERROR(VLOOKUP(DESPESAS[[#This Row],[Plano de Contas]],BASE!$B$3:$H$119,6,FALSE),"")</f>
        <v>CUSTO MÃO DE OBRA DIRETA</v>
      </c>
      <c r="M3922" s="77" t="str">
        <f>VLOOKUP(DESPESAS[[#This Row],[Plano de Contas]],BASE!$B$3:$H$119,7,FALSE)</f>
        <v>RAFAEL</v>
      </c>
    </row>
    <row r="3923" spans="1:13" x14ac:dyDescent="0.25">
      <c r="A3923" s="74">
        <v>201319</v>
      </c>
      <c r="B3923" s="75" t="s">
        <v>279</v>
      </c>
      <c r="C3923" s="75" t="s">
        <v>3840</v>
      </c>
      <c r="D3923" s="76">
        <v>46142</v>
      </c>
      <c r="E3923" s="75" t="s">
        <v>924</v>
      </c>
      <c r="F3923" s="74">
        <v>4570.46</v>
      </c>
      <c r="G3923" s="75" t="s">
        <v>627</v>
      </c>
      <c r="H3923" s="77" t="str">
        <f>VLOOKUP(DESPESAS[[#This Row],[Plano de Contas]],BASE!$B$3:$D$119,3,FALSE)</f>
        <v>Salarios e Ordenados (Adm)</v>
      </c>
      <c r="I3923" s="77" t="str">
        <f>IFERROR(VLOOKUP(DESPESAS[[#This Row],[Fornecedor]],Tabela2[],2,FALSE),"")</f>
        <v/>
      </c>
      <c r="J3923" s="77" t="str">
        <f>IFERROR(VLOOKUP(DESPESAS[[#This Row],[Plano de Contas]],BASE!$B$3:$F$119,4,FALSE),"")</f>
        <v>4 - GASTOS COM PESSOAL</v>
      </c>
      <c r="K3923" s="77" t="str">
        <f>IFERROR(VLOOKUP(DESPESAS[[#This Row],[Plano de Contas]],BASE!$B$3:$H$119,5,FALSE),"")</f>
        <v>DH</v>
      </c>
      <c r="L3923" s="77">
        <f>IFERROR(VLOOKUP(DESPESAS[[#This Row],[Plano de Contas]],BASE!$B$3:$H$119,6,FALSE),"")</f>
        <v>0</v>
      </c>
      <c r="M3923" s="77" t="str">
        <f>VLOOKUP(DESPESAS[[#This Row],[Plano de Contas]],BASE!$B$3:$H$119,7,FALSE)</f>
        <v>RAFAEL</v>
      </c>
    </row>
    <row r="3924" spans="1:13" x14ac:dyDescent="0.25">
      <c r="A3924" s="74">
        <v>201320</v>
      </c>
      <c r="B3924" s="75" t="s">
        <v>279</v>
      </c>
      <c r="C3924" s="75" t="s">
        <v>3840</v>
      </c>
      <c r="D3924" s="76">
        <v>46142</v>
      </c>
      <c r="E3924" s="75" t="s">
        <v>923</v>
      </c>
      <c r="F3924" s="74">
        <v>2595.41</v>
      </c>
      <c r="G3924" s="75" t="s">
        <v>430</v>
      </c>
      <c r="H3924" s="77" t="str">
        <f>VLOOKUP(DESPESAS[[#This Row],[Plano de Contas]],BASE!$B$3:$D$119,3,FALSE)</f>
        <v>Salarios e Ordenados MOD</v>
      </c>
      <c r="I3924" s="77" t="str">
        <f>IFERROR(VLOOKUP(DESPESAS[[#This Row],[Fornecedor]],Tabela2[],2,FALSE),"")</f>
        <v/>
      </c>
      <c r="J3924" s="77" t="str">
        <f>IFERROR(VLOOKUP(DESPESAS[[#This Row],[Plano de Contas]],BASE!$B$3:$F$119,4,FALSE),"")</f>
        <v>2 - CUSTOS DIRETOS</v>
      </c>
      <c r="K3924" s="77" t="str">
        <f>IFERROR(VLOOKUP(DESPESAS[[#This Row],[Plano de Contas]],BASE!$B$3:$H$119,5,FALSE),"")</f>
        <v>DH</v>
      </c>
      <c r="L3924" s="77" t="str">
        <f>IFERROR(VLOOKUP(DESPESAS[[#This Row],[Plano de Contas]],BASE!$B$3:$H$119,6,FALSE),"")</f>
        <v>CUSTO MÃO DE OBRA DIRETA</v>
      </c>
      <c r="M3924" s="77" t="str">
        <f>VLOOKUP(DESPESAS[[#This Row],[Plano de Contas]],BASE!$B$3:$H$119,7,FALSE)</f>
        <v>RAFAEL</v>
      </c>
    </row>
    <row r="3925" spans="1:13" x14ac:dyDescent="0.25">
      <c r="A3925" s="74">
        <v>201321</v>
      </c>
      <c r="B3925" s="75" t="s">
        <v>232</v>
      </c>
      <c r="C3925" s="75" t="s">
        <v>3853</v>
      </c>
      <c r="D3925" s="76">
        <v>46148</v>
      </c>
      <c r="E3925" s="75" t="s">
        <v>230</v>
      </c>
      <c r="F3925" s="74">
        <v>1.58</v>
      </c>
      <c r="G3925" s="75" t="s">
        <v>229</v>
      </c>
      <c r="H3925" s="77" t="str">
        <f>VLOOKUP(DESPESAS[[#This Row],[Plano de Contas]],BASE!$B$3:$D$119,3,FALSE)</f>
        <v>Despesas Bancarias</v>
      </c>
      <c r="I3925" s="77" t="str">
        <f>IFERROR(VLOOKUP(DESPESAS[[#This Row],[Fornecedor]],Tabela2[],2,FALSE),"")</f>
        <v/>
      </c>
      <c r="J3925" s="77" t="str">
        <f>IFERROR(VLOOKUP(DESPESAS[[#This Row],[Plano de Contas]],BASE!$B$3:$F$119,4,FALSE),"")</f>
        <v>8 - DESPESAS FINANCEIRAS</v>
      </c>
      <c r="K3925" s="77" t="str">
        <f>IFERROR(VLOOKUP(DESPESAS[[#This Row],[Plano de Contas]],BASE!$B$3:$H$119,5,FALSE),"")</f>
        <v>FINANCEIRO</v>
      </c>
      <c r="L3925" s="77">
        <f>IFERROR(VLOOKUP(DESPESAS[[#This Row],[Plano de Contas]],BASE!$B$3:$H$119,6,FALSE),"")</f>
        <v>0</v>
      </c>
      <c r="M3925" s="77" t="str">
        <f>VLOOKUP(DESPESAS[[#This Row],[Plano de Contas]],BASE!$B$3:$H$119,7,FALSE)</f>
        <v>LETÍCIA</v>
      </c>
    </row>
    <row r="3926" spans="1:13" x14ac:dyDescent="0.25">
      <c r="A3926" s="74">
        <v>201322</v>
      </c>
      <c r="B3926" s="75" t="s">
        <v>279</v>
      </c>
      <c r="C3926" s="75" t="s">
        <v>3840</v>
      </c>
      <c r="D3926" s="76">
        <v>46142</v>
      </c>
      <c r="E3926" s="75" t="s">
        <v>3854</v>
      </c>
      <c r="F3926" s="74">
        <v>1662.32</v>
      </c>
      <c r="G3926" s="75" t="s">
        <v>627</v>
      </c>
      <c r="H3926" s="77" t="str">
        <f>VLOOKUP(DESPESAS[[#This Row],[Plano de Contas]],BASE!$B$3:$D$119,3,FALSE)</f>
        <v>Salarios e Ordenados (Adm)</v>
      </c>
      <c r="I3926" s="77" t="str">
        <f>IFERROR(VLOOKUP(DESPESAS[[#This Row],[Fornecedor]],Tabela2[],2,FALSE),"")</f>
        <v/>
      </c>
      <c r="J3926" s="77" t="str">
        <f>IFERROR(VLOOKUP(DESPESAS[[#This Row],[Plano de Contas]],BASE!$B$3:$F$119,4,FALSE),"")</f>
        <v>4 - GASTOS COM PESSOAL</v>
      </c>
      <c r="K3926" s="77" t="str">
        <f>IFERROR(VLOOKUP(DESPESAS[[#This Row],[Plano de Contas]],BASE!$B$3:$H$119,5,FALSE),"")</f>
        <v>DH</v>
      </c>
      <c r="L3926" s="77">
        <f>IFERROR(VLOOKUP(DESPESAS[[#This Row],[Plano de Contas]],BASE!$B$3:$H$119,6,FALSE),"")</f>
        <v>0</v>
      </c>
      <c r="M3926" s="77" t="str">
        <f>VLOOKUP(DESPESAS[[#This Row],[Plano de Contas]],BASE!$B$3:$H$119,7,FALSE)</f>
        <v>RAFAEL</v>
      </c>
    </row>
    <row r="3927" spans="1:13" x14ac:dyDescent="0.25">
      <c r="A3927" s="74">
        <v>201323</v>
      </c>
      <c r="B3927" s="75" t="s">
        <v>279</v>
      </c>
      <c r="C3927" s="75" t="s">
        <v>3840</v>
      </c>
      <c r="D3927" s="76">
        <v>46142</v>
      </c>
      <c r="E3927" s="75" t="s">
        <v>922</v>
      </c>
      <c r="F3927" s="74">
        <v>1632.7</v>
      </c>
      <c r="G3927" s="75" t="s">
        <v>430</v>
      </c>
      <c r="H3927" s="77" t="str">
        <f>VLOOKUP(DESPESAS[[#This Row],[Plano de Contas]],BASE!$B$3:$D$119,3,FALSE)</f>
        <v>Salarios e Ordenados MOD</v>
      </c>
      <c r="I3927" s="77" t="str">
        <f>IFERROR(VLOOKUP(DESPESAS[[#This Row],[Fornecedor]],Tabela2[],2,FALSE),"")</f>
        <v/>
      </c>
      <c r="J3927" s="77" t="str">
        <f>IFERROR(VLOOKUP(DESPESAS[[#This Row],[Plano de Contas]],BASE!$B$3:$F$119,4,FALSE),"")</f>
        <v>2 - CUSTOS DIRETOS</v>
      </c>
      <c r="K3927" s="77" t="str">
        <f>IFERROR(VLOOKUP(DESPESAS[[#This Row],[Plano de Contas]],BASE!$B$3:$H$119,5,FALSE),"")</f>
        <v>DH</v>
      </c>
      <c r="L3927" s="77" t="str">
        <f>IFERROR(VLOOKUP(DESPESAS[[#This Row],[Plano de Contas]],BASE!$B$3:$H$119,6,FALSE),"")</f>
        <v>CUSTO MÃO DE OBRA DIRETA</v>
      </c>
      <c r="M3927" s="77" t="str">
        <f>VLOOKUP(DESPESAS[[#This Row],[Plano de Contas]],BASE!$B$3:$H$119,7,FALSE)</f>
        <v>RAFAEL</v>
      </c>
    </row>
    <row r="3928" spans="1:13" x14ac:dyDescent="0.25">
      <c r="A3928" s="74">
        <v>201324</v>
      </c>
      <c r="B3928" s="75" t="s">
        <v>279</v>
      </c>
      <c r="C3928" s="75" t="s">
        <v>3840</v>
      </c>
      <c r="D3928" s="76">
        <v>46142</v>
      </c>
      <c r="E3928" s="75" t="s">
        <v>921</v>
      </c>
      <c r="F3928" s="74">
        <v>2114.04</v>
      </c>
      <c r="G3928" s="75" t="s">
        <v>653</v>
      </c>
      <c r="H3928" s="77" t="str">
        <f>VLOOKUP(DESPESAS[[#This Row],[Plano de Contas]],BASE!$B$3:$D$119,3,FALSE)</f>
        <v>Salarios e Ordenados CIF</v>
      </c>
      <c r="I3928" s="77" t="str">
        <f>IFERROR(VLOOKUP(DESPESAS[[#This Row],[Fornecedor]],Tabela2[],2,FALSE),"")</f>
        <v/>
      </c>
      <c r="J3928" s="77" t="str">
        <f>IFERROR(VLOOKUP(DESPESAS[[#This Row],[Plano de Contas]],BASE!$B$3:$F$119,4,FALSE),"")</f>
        <v>3 - CUSTOS INDIRETOS</v>
      </c>
      <c r="K3928" s="77" t="str">
        <f>IFERROR(VLOOKUP(DESPESAS[[#This Row],[Plano de Contas]],BASE!$B$3:$H$119,5,FALSE),"")</f>
        <v>DH</v>
      </c>
      <c r="L3928" s="77" t="str">
        <f>IFERROR(VLOOKUP(DESPESAS[[#This Row],[Plano de Contas]],BASE!$B$3:$H$119,6,FALSE),"")</f>
        <v>CUSTO MÃO DE OBRA DIRETA</v>
      </c>
      <c r="M3928" s="77" t="str">
        <f>VLOOKUP(DESPESAS[[#This Row],[Plano de Contas]],BASE!$B$3:$H$119,7,FALSE)</f>
        <v>RAFAEL</v>
      </c>
    </row>
    <row r="3929" spans="1:13" x14ac:dyDescent="0.25">
      <c r="A3929" s="74">
        <v>201325</v>
      </c>
      <c r="B3929" s="75" t="s">
        <v>279</v>
      </c>
      <c r="C3929" s="75" t="s">
        <v>3840</v>
      </c>
      <c r="D3929" s="76">
        <v>46142</v>
      </c>
      <c r="E3929" s="75" t="s">
        <v>920</v>
      </c>
      <c r="F3929" s="74">
        <v>2186.85</v>
      </c>
      <c r="G3929" s="75" t="s">
        <v>430</v>
      </c>
      <c r="H3929" s="77" t="str">
        <f>VLOOKUP(DESPESAS[[#This Row],[Plano de Contas]],BASE!$B$3:$D$119,3,FALSE)</f>
        <v>Salarios e Ordenados MOD</v>
      </c>
      <c r="I3929" s="77" t="str">
        <f>IFERROR(VLOOKUP(DESPESAS[[#This Row],[Fornecedor]],Tabela2[],2,FALSE),"")</f>
        <v/>
      </c>
      <c r="J3929" s="77" t="str">
        <f>IFERROR(VLOOKUP(DESPESAS[[#This Row],[Plano de Contas]],BASE!$B$3:$F$119,4,FALSE),"")</f>
        <v>2 - CUSTOS DIRETOS</v>
      </c>
      <c r="K3929" s="77" t="str">
        <f>IFERROR(VLOOKUP(DESPESAS[[#This Row],[Plano de Contas]],BASE!$B$3:$H$119,5,FALSE),"")</f>
        <v>DH</v>
      </c>
      <c r="L3929" s="77" t="str">
        <f>IFERROR(VLOOKUP(DESPESAS[[#This Row],[Plano de Contas]],BASE!$B$3:$H$119,6,FALSE),"")</f>
        <v>CUSTO MÃO DE OBRA DIRETA</v>
      </c>
      <c r="M3929" s="77" t="str">
        <f>VLOOKUP(DESPESAS[[#This Row],[Plano de Contas]],BASE!$B$3:$H$119,7,FALSE)</f>
        <v>RAFAEL</v>
      </c>
    </row>
    <row r="3930" spans="1:13" x14ac:dyDescent="0.25">
      <c r="A3930" s="74">
        <v>201326</v>
      </c>
      <c r="B3930" s="75" t="s">
        <v>279</v>
      </c>
      <c r="C3930" s="75" t="s">
        <v>3840</v>
      </c>
      <c r="D3930" s="76">
        <v>46142</v>
      </c>
      <c r="E3930" s="75" t="s">
        <v>919</v>
      </c>
      <c r="F3930" s="74">
        <v>1751.56</v>
      </c>
      <c r="G3930" s="75" t="s">
        <v>430</v>
      </c>
      <c r="H3930" s="77" t="str">
        <f>VLOOKUP(DESPESAS[[#This Row],[Plano de Contas]],BASE!$B$3:$D$119,3,FALSE)</f>
        <v>Salarios e Ordenados MOD</v>
      </c>
      <c r="I3930" s="77" t="str">
        <f>IFERROR(VLOOKUP(DESPESAS[[#This Row],[Fornecedor]],Tabela2[],2,FALSE),"")</f>
        <v/>
      </c>
      <c r="J3930" s="77" t="str">
        <f>IFERROR(VLOOKUP(DESPESAS[[#This Row],[Plano de Contas]],BASE!$B$3:$F$119,4,FALSE),"")</f>
        <v>2 - CUSTOS DIRETOS</v>
      </c>
      <c r="K3930" s="77" t="str">
        <f>IFERROR(VLOOKUP(DESPESAS[[#This Row],[Plano de Contas]],BASE!$B$3:$H$119,5,FALSE),"")</f>
        <v>DH</v>
      </c>
      <c r="L3930" s="77" t="str">
        <f>IFERROR(VLOOKUP(DESPESAS[[#This Row],[Plano de Contas]],BASE!$B$3:$H$119,6,FALSE),"")</f>
        <v>CUSTO MÃO DE OBRA DIRETA</v>
      </c>
      <c r="M3930" s="77" t="str">
        <f>VLOOKUP(DESPESAS[[#This Row],[Plano de Contas]],BASE!$B$3:$H$119,7,FALSE)</f>
        <v>RAFAEL</v>
      </c>
    </row>
    <row r="3931" spans="1:13" x14ac:dyDescent="0.25">
      <c r="A3931" s="74">
        <v>201327</v>
      </c>
      <c r="B3931" s="75" t="s">
        <v>279</v>
      </c>
      <c r="C3931" s="75" t="s">
        <v>3840</v>
      </c>
      <c r="D3931" s="76">
        <v>46142</v>
      </c>
      <c r="E3931" s="75" t="s">
        <v>918</v>
      </c>
      <c r="F3931" s="74">
        <v>3382.99</v>
      </c>
      <c r="G3931" s="75" t="s">
        <v>430</v>
      </c>
      <c r="H3931" s="77" t="str">
        <f>VLOOKUP(DESPESAS[[#This Row],[Plano de Contas]],BASE!$B$3:$D$119,3,FALSE)</f>
        <v>Salarios e Ordenados MOD</v>
      </c>
      <c r="I3931" s="77" t="str">
        <f>IFERROR(VLOOKUP(DESPESAS[[#This Row],[Fornecedor]],Tabela2[],2,FALSE),"")</f>
        <v/>
      </c>
      <c r="J3931" s="77" t="str">
        <f>IFERROR(VLOOKUP(DESPESAS[[#This Row],[Plano de Contas]],BASE!$B$3:$F$119,4,FALSE),"")</f>
        <v>2 - CUSTOS DIRETOS</v>
      </c>
      <c r="K3931" s="77" t="str">
        <f>IFERROR(VLOOKUP(DESPESAS[[#This Row],[Plano de Contas]],BASE!$B$3:$H$119,5,FALSE),"")</f>
        <v>DH</v>
      </c>
      <c r="L3931" s="77" t="str">
        <f>IFERROR(VLOOKUP(DESPESAS[[#This Row],[Plano de Contas]],BASE!$B$3:$H$119,6,FALSE),"")</f>
        <v>CUSTO MÃO DE OBRA DIRETA</v>
      </c>
      <c r="M3931" s="77" t="str">
        <f>VLOOKUP(DESPESAS[[#This Row],[Plano de Contas]],BASE!$B$3:$H$119,7,FALSE)</f>
        <v>RAFAEL</v>
      </c>
    </row>
    <row r="3932" spans="1:13" x14ac:dyDescent="0.25">
      <c r="A3932" s="74">
        <v>201328</v>
      </c>
      <c r="B3932" s="75" t="s">
        <v>279</v>
      </c>
      <c r="C3932" s="75" t="s">
        <v>3840</v>
      </c>
      <c r="D3932" s="76">
        <v>46142</v>
      </c>
      <c r="E3932" s="75" t="s">
        <v>917</v>
      </c>
      <c r="F3932" s="74">
        <v>1129.1300000000001</v>
      </c>
      <c r="G3932" s="75" t="s">
        <v>627</v>
      </c>
      <c r="H3932" s="77" t="str">
        <f>VLOOKUP(DESPESAS[[#This Row],[Plano de Contas]],BASE!$B$3:$D$119,3,FALSE)</f>
        <v>Salarios e Ordenados (Adm)</v>
      </c>
      <c r="I3932" s="77" t="str">
        <f>IFERROR(VLOOKUP(DESPESAS[[#This Row],[Fornecedor]],Tabela2[],2,FALSE),"")</f>
        <v/>
      </c>
      <c r="J3932" s="77" t="str">
        <f>IFERROR(VLOOKUP(DESPESAS[[#This Row],[Plano de Contas]],BASE!$B$3:$F$119,4,FALSE),"")</f>
        <v>4 - GASTOS COM PESSOAL</v>
      </c>
      <c r="K3932" s="77" t="str">
        <f>IFERROR(VLOOKUP(DESPESAS[[#This Row],[Plano de Contas]],BASE!$B$3:$H$119,5,FALSE),"")</f>
        <v>DH</v>
      </c>
      <c r="L3932" s="77">
        <f>IFERROR(VLOOKUP(DESPESAS[[#This Row],[Plano de Contas]],BASE!$B$3:$H$119,6,FALSE),"")</f>
        <v>0</v>
      </c>
      <c r="M3932" s="77" t="str">
        <f>VLOOKUP(DESPESAS[[#This Row],[Plano de Contas]],BASE!$B$3:$H$119,7,FALSE)</f>
        <v>RAFAEL</v>
      </c>
    </row>
    <row r="3933" spans="1:13" x14ac:dyDescent="0.25">
      <c r="A3933" s="74">
        <v>201329</v>
      </c>
      <c r="B3933" s="75" t="s">
        <v>279</v>
      </c>
      <c r="C3933" s="75" t="s">
        <v>3840</v>
      </c>
      <c r="D3933" s="76">
        <v>46142</v>
      </c>
      <c r="E3933" s="75" t="s">
        <v>3855</v>
      </c>
      <c r="F3933" s="74">
        <v>1196.58</v>
      </c>
      <c r="G3933" s="75" t="s">
        <v>653</v>
      </c>
      <c r="H3933" s="77" t="str">
        <f>VLOOKUP(DESPESAS[[#This Row],[Plano de Contas]],BASE!$B$3:$D$119,3,FALSE)</f>
        <v>Salarios e Ordenados CIF</v>
      </c>
      <c r="I3933" s="77" t="str">
        <f>IFERROR(VLOOKUP(DESPESAS[[#This Row],[Fornecedor]],Tabela2[],2,FALSE),"")</f>
        <v/>
      </c>
      <c r="J3933" s="77" t="str">
        <f>IFERROR(VLOOKUP(DESPESAS[[#This Row],[Plano de Contas]],BASE!$B$3:$F$119,4,FALSE),"")</f>
        <v>3 - CUSTOS INDIRETOS</v>
      </c>
      <c r="K3933" s="77" t="str">
        <f>IFERROR(VLOOKUP(DESPESAS[[#This Row],[Plano de Contas]],BASE!$B$3:$H$119,5,FALSE),"")</f>
        <v>DH</v>
      </c>
      <c r="L3933" s="77" t="str">
        <f>IFERROR(VLOOKUP(DESPESAS[[#This Row],[Plano de Contas]],BASE!$B$3:$H$119,6,FALSE),"")</f>
        <v>CUSTO MÃO DE OBRA DIRETA</v>
      </c>
      <c r="M3933" s="77" t="str">
        <f>VLOOKUP(DESPESAS[[#This Row],[Plano de Contas]],BASE!$B$3:$H$119,7,FALSE)</f>
        <v>RAFAEL</v>
      </c>
    </row>
    <row r="3934" spans="1:13" x14ac:dyDescent="0.25">
      <c r="A3934" s="74">
        <v>201330</v>
      </c>
      <c r="B3934" s="75" t="s">
        <v>279</v>
      </c>
      <c r="C3934" s="75" t="s">
        <v>3840</v>
      </c>
      <c r="D3934" s="76">
        <v>46142</v>
      </c>
      <c r="E3934" s="75" t="s">
        <v>752</v>
      </c>
      <c r="F3934" s="74">
        <v>5416.61</v>
      </c>
      <c r="G3934" s="75" t="s">
        <v>627</v>
      </c>
      <c r="H3934" s="77" t="str">
        <f>VLOOKUP(DESPESAS[[#This Row],[Plano de Contas]],BASE!$B$3:$D$119,3,FALSE)</f>
        <v>Salarios e Ordenados (Adm)</v>
      </c>
      <c r="I3934" s="77" t="str">
        <f>IFERROR(VLOOKUP(DESPESAS[[#This Row],[Fornecedor]],Tabela2[],2,FALSE),"")</f>
        <v/>
      </c>
      <c r="J3934" s="77" t="str">
        <f>IFERROR(VLOOKUP(DESPESAS[[#This Row],[Plano de Contas]],BASE!$B$3:$F$119,4,FALSE),"")</f>
        <v>4 - GASTOS COM PESSOAL</v>
      </c>
      <c r="K3934" s="77" t="str">
        <f>IFERROR(VLOOKUP(DESPESAS[[#This Row],[Plano de Contas]],BASE!$B$3:$H$119,5,FALSE),"")</f>
        <v>DH</v>
      </c>
      <c r="L3934" s="77">
        <f>IFERROR(VLOOKUP(DESPESAS[[#This Row],[Plano de Contas]],BASE!$B$3:$H$119,6,FALSE),"")</f>
        <v>0</v>
      </c>
      <c r="M3934" s="77" t="str">
        <f>VLOOKUP(DESPESAS[[#This Row],[Plano de Contas]],BASE!$B$3:$H$119,7,FALSE)</f>
        <v>RAFAEL</v>
      </c>
    </row>
    <row r="3935" spans="1:13" x14ac:dyDescent="0.25">
      <c r="A3935" s="74">
        <v>201331</v>
      </c>
      <c r="B3935" s="75" t="s">
        <v>279</v>
      </c>
      <c r="C3935" s="75" t="s">
        <v>3840</v>
      </c>
      <c r="D3935" s="76">
        <v>46142</v>
      </c>
      <c r="E3935" s="75" t="s">
        <v>916</v>
      </c>
      <c r="F3935" s="74">
        <v>4092.15</v>
      </c>
      <c r="G3935" s="75" t="s">
        <v>627</v>
      </c>
      <c r="H3935" s="77" t="str">
        <f>VLOOKUP(DESPESAS[[#This Row],[Plano de Contas]],BASE!$B$3:$D$119,3,FALSE)</f>
        <v>Salarios e Ordenados (Adm)</v>
      </c>
      <c r="I3935" s="77" t="str">
        <f>IFERROR(VLOOKUP(DESPESAS[[#This Row],[Fornecedor]],Tabela2[],2,FALSE),"")</f>
        <v/>
      </c>
      <c r="J3935" s="77" t="str">
        <f>IFERROR(VLOOKUP(DESPESAS[[#This Row],[Plano de Contas]],BASE!$B$3:$F$119,4,FALSE),"")</f>
        <v>4 - GASTOS COM PESSOAL</v>
      </c>
      <c r="K3935" s="77" t="str">
        <f>IFERROR(VLOOKUP(DESPESAS[[#This Row],[Plano de Contas]],BASE!$B$3:$H$119,5,FALSE),"")</f>
        <v>DH</v>
      </c>
      <c r="L3935" s="77">
        <f>IFERROR(VLOOKUP(DESPESAS[[#This Row],[Plano de Contas]],BASE!$B$3:$H$119,6,FALSE),"")</f>
        <v>0</v>
      </c>
      <c r="M3935" s="77" t="str">
        <f>VLOOKUP(DESPESAS[[#This Row],[Plano de Contas]],BASE!$B$3:$H$119,7,FALSE)</f>
        <v>RAFAEL</v>
      </c>
    </row>
    <row r="3936" spans="1:13" x14ac:dyDescent="0.25">
      <c r="A3936" s="74">
        <v>201332</v>
      </c>
      <c r="B3936" s="75" t="s">
        <v>281</v>
      </c>
      <c r="C3936" s="75" t="s">
        <v>3856</v>
      </c>
      <c r="D3936" s="76">
        <v>46148</v>
      </c>
      <c r="E3936" s="75" t="s">
        <v>230</v>
      </c>
      <c r="F3936" s="74">
        <v>0.79</v>
      </c>
      <c r="G3936" s="75" t="s">
        <v>236</v>
      </c>
      <c r="H3936" s="77" t="str">
        <f>VLOOKUP(DESPESAS[[#This Row],[Plano de Contas]],BASE!$B$3:$D$119,3,FALSE)</f>
        <v>Despesas de Cobranca</v>
      </c>
      <c r="I3936" s="77" t="str">
        <f>IFERROR(VLOOKUP(DESPESAS[[#This Row],[Fornecedor]],Tabela2[],2,FALSE),"")</f>
        <v/>
      </c>
      <c r="J3936" s="77" t="str">
        <f>IFERROR(VLOOKUP(DESPESAS[[#This Row],[Plano de Contas]],BASE!$B$3:$F$119,4,FALSE),"")</f>
        <v>8 - DESPESAS FINANCEIRAS</v>
      </c>
      <c r="K3936" s="77" t="str">
        <f>IFERROR(VLOOKUP(DESPESAS[[#This Row],[Plano de Contas]],BASE!$B$3:$H$119,5,FALSE),"")</f>
        <v>FINANCEIRO</v>
      </c>
      <c r="L3936" s="77">
        <f>IFERROR(VLOOKUP(DESPESAS[[#This Row],[Plano de Contas]],BASE!$B$3:$H$119,6,FALSE),"")</f>
        <v>0</v>
      </c>
      <c r="M3936" s="77" t="str">
        <f>VLOOKUP(DESPESAS[[#This Row],[Plano de Contas]],BASE!$B$3:$H$119,7,FALSE)</f>
        <v>LETÍCIA</v>
      </c>
    </row>
    <row r="3937" spans="1:13" x14ac:dyDescent="0.25">
      <c r="A3937" s="74">
        <v>201333</v>
      </c>
      <c r="B3937" s="75" t="s">
        <v>279</v>
      </c>
      <c r="C3937" s="75" t="s">
        <v>3840</v>
      </c>
      <c r="D3937" s="76">
        <v>46142</v>
      </c>
      <c r="E3937" s="75" t="s">
        <v>900</v>
      </c>
      <c r="F3937" s="74">
        <v>2474.9699999999998</v>
      </c>
      <c r="G3937" s="75" t="s">
        <v>653</v>
      </c>
      <c r="H3937" s="77" t="str">
        <f>VLOOKUP(DESPESAS[[#This Row],[Plano de Contas]],BASE!$B$3:$D$119,3,FALSE)</f>
        <v>Salarios e Ordenados CIF</v>
      </c>
      <c r="I3937" s="77" t="str">
        <f>IFERROR(VLOOKUP(DESPESAS[[#This Row],[Fornecedor]],Tabela2[],2,FALSE),"")</f>
        <v/>
      </c>
      <c r="J3937" s="77" t="str">
        <f>IFERROR(VLOOKUP(DESPESAS[[#This Row],[Plano de Contas]],BASE!$B$3:$F$119,4,FALSE),"")</f>
        <v>3 - CUSTOS INDIRETOS</v>
      </c>
      <c r="K3937" s="77" t="str">
        <f>IFERROR(VLOOKUP(DESPESAS[[#This Row],[Plano de Contas]],BASE!$B$3:$H$119,5,FALSE),"")</f>
        <v>DH</v>
      </c>
      <c r="L3937" s="77" t="str">
        <f>IFERROR(VLOOKUP(DESPESAS[[#This Row],[Plano de Contas]],BASE!$B$3:$H$119,6,FALSE),"")</f>
        <v>CUSTO MÃO DE OBRA DIRETA</v>
      </c>
      <c r="M3937" s="77" t="str">
        <f>VLOOKUP(DESPESAS[[#This Row],[Plano de Contas]],BASE!$B$3:$H$119,7,FALSE)</f>
        <v>RAFAEL</v>
      </c>
    </row>
    <row r="3938" spans="1:13" x14ac:dyDescent="0.25">
      <c r="A3938" s="74">
        <v>201334</v>
      </c>
      <c r="B3938" s="75" t="s">
        <v>279</v>
      </c>
      <c r="C3938" s="75" t="s">
        <v>3857</v>
      </c>
      <c r="D3938" s="76">
        <v>46142</v>
      </c>
      <c r="E3938" s="75" t="s">
        <v>900</v>
      </c>
      <c r="F3938" s="74">
        <v>1061.73</v>
      </c>
      <c r="G3938" s="75" t="s">
        <v>653</v>
      </c>
      <c r="H3938" s="77" t="str">
        <f>VLOOKUP(DESPESAS[[#This Row],[Plano de Contas]],BASE!$B$3:$D$119,3,FALSE)</f>
        <v>Salarios e Ordenados CIF</v>
      </c>
      <c r="I3938" s="77" t="str">
        <f>IFERROR(VLOOKUP(DESPESAS[[#This Row],[Fornecedor]],Tabela2[],2,FALSE),"")</f>
        <v/>
      </c>
      <c r="J3938" s="77" t="str">
        <f>IFERROR(VLOOKUP(DESPESAS[[#This Row],[Plano de Contas]],BASE!$B$3:$F$119,4,FALSE),"")</f>
        <v>3 - CUSTOS INDIRETOS</v>
      </c>
      <c r="K3938" s="77" t="str">
        <f>IFERROR(VLOOKUP(DESPESAS[[#This Row],[Plano de Contas]],BASE!$B$3:$H$119,5,FALSE),"")</f>
        <v>DH</v>
      </c>
      <c r="L3938" s="77" t="str">
        <f>IFERROR(VLOOKUP(DESPESAS[[#This Row],[Plano de Contas]],BASE!$B$3:$H$119,6,FALSE),"")</f>
        <v>CUSTO MÃO DE OBRA DIRETA</v>
      </c>
      <c r="M3938" s="77" t="str">
        <f>VLOOKUP(DESPESAS[[#This Row],[Plano de Contas]],BASE!$B$3:$H$119,7,FALSE)</f>
        <v>RAFAEL</v>
      </c>
    </row>
    <row r="3939" spans="1:13" x14ac:dyDescent="0.25">
      <c r="A3939" s="74">
        <v>201335</v>
      </c>
      <c r="B3939" s="75" t="s">
        <v>279</v>
      </c>
      <c r="C3939" s="75" t="s">
        <v>3840</v>
      </c>
      <c r="D3939" s="76">
        <v>46142</v>
      </c>
      <c r="E3939" s="75" t="s">
        <v>915</v>
      </c>
      <c r="F3939" s="74">
        <v>3393.47</v>
      </c>
      <c r="G3939" s="75" t="s">
        <v>430</v>
      </c>
      <c r="H3939" s="77" t="str">
        <f>VLOOKUP(DESPESAS[[#This Row],[Plano de Contas]],BASE!$B$3:$D$119,3,FALSE)</f>
        <v>Salarios e Ordenados MOD</v>
      </c>
      <c r="I3939" s="77" t="str">
        <f>IFERROR(VLOOKUP(DESPESAS[[#This Row],[Fornecedor]],Tabela2[],2,FALSE),"")</f>
        <v/>
      </c>
      <c r="J3939" s="77" t="str">
        <f>IFERROR(VLOOKUP(DESPESAS[[#This Row],[Plano de Contas]],BASE!$B$3:$F$119,4,FALSE),"")</f>
        <v>2 - CUSTOS DIRETOS</v>
      </c>
      <c r="K3939" s="77" t="str">
        <f>IFERROR(VLOOKUP(DESPESAS[[#This Row],[Plano de Contas]],BASE!$B$3:$H$119,5,FALSE),"")</f>
        <v>DH</v>
      </c>
      <c r="L3939" s="77" t="str">
        <f>IFERROR(VLOOKUP(DESPESAS[[#This Row],[Plano de Contas]],BASE!$B$3:$H$119,6,FALSE),"")</f>
        <v>CUSTO MÃO DE OBRA DIRETA</v>
      </c>
      <c r="M3939" s="77" t="str">
        <f>VLOOKUP(DESPESAS[[#This Row],[Plano de Contas]],BASE!$B$3:$H$119,7,FALSE)</f>
        <v>RAFAEL</v>
      </c>
    </row>
    <row r="3940" spans="1:13" x14ac:dyDescent="0.25">
      <c r="A3940" s="74">
        <v>201336</v>
      </c>
      <c r="B3940" s="75" t="s">
        <v>232</v>
      </c>
      <c r="C3940" s="75" t="s">
        <v>3858</v>
      </c>
      <c r="D3940" s="76">
        <v>46147</v>
      </c>
      <c r="E3940" s="75" t="s">
        <v>230</v>
      </c>
      <c r="F3940" s="74">
        <v>431.13</v>
      </c>
      <c r="G3940" s="75" t="s">
        <v>229</v>
      </c>
      <c r="H3940" s="77" t="str">
        <f>VLOOKUP(DESPESAS[[#This Row],[Plano de Contas]],BASE!$B$3:$D$119,3,FALSE)</f>
        <v>Despesas Bancarias</v>
      </c>
      <c r="I3940" s="77" t="str">
        <f>IFERROR(VLOOKUP(DESPESAS[[#This Row],[Fornecedor]],Tabela2[],2,FALSE),"")</f>
        <v/>
      </c>
      <c r="J3940" s="77" t="str">
        <f>IFERROR(VLOOKUP(DESPESAS[[#This Row],[Plano de Contas]],BASE!$B$3:$F$119,4,FALSE),"")</f>
        <v>8 - DESPESAS FINANCEIRAS</v>
      </c>
      <c r="K3940" s="77" t="str">
        <f>IFERROR(VLOOKUP(DESPESAS[[#This Row],[Plano de Contas]],BASE!$B$3:$H$119,5,FALSE),"")</f>
        <v>FINANCEIRO</v>
      </c>
      <c r="L3940" s="77">
        <f>IFERROR(VLOOKUP(DESPESAS[[#This Row],[Plano de Contas]],BASE!$B$3:$H$119,6,FALSE),"")</f>
        <v>0</v>
      </c>
      <c r="M3940" s="77" t="str">
        <f>VLOOKUP(DESPESAS[[#This Row],[Plano de Contas]],BASE!$B$3:$H$119,7,FALSE)</f>
        <v>LETÍCIA</v>
      </c>
    </row>
    <row r="3941" spans="1:13" x14ac:dyDescent="0.25">
      <c r="A3941" s="74">
        <v>201337</v>
      </c>
      <c r="B3941" s="75" t="s">
        <v>279</v>
      </c>
      <c r="C3941" s="75" t="s">
        <v>3840</v>
      </c>
      <c r="D3941" s="76">
        <v>46142</v>
      </c>
      <c r="E3941" s="75" t="s">
        <v>914</v>
      </c>
      <c r="F3941" s="74">
        <v>3436</v>
      </c>
      <c r="G3941" s="75" t="s">
        <v>430</v>
      </c>
      <c r="H3941" s="77" t="str">
        <f>VLOOKUP(DESPESAS[[#This Row],[Plano de Contas]],BASE!$B$3:$D$119,3,FALSE)</f>
        <v>Salarios e Ordenados MOD</v>
      </c>
      <c r="I3941" s="77" t="str">
        <f>IFERROR(VLOOKUP(DESPESAS[[#This Row],[Fornecedor]],Tabela2[],2,FALSE),"")</f>
        <v/>
      </c>
      <c r="J3941" s="77" t="str">
        <f>IFERROR(VLOOKUP(DESPESAS[[#This Row],[Plano de Contas]],BASE!$B$3:$F$119,4,FALSE),"")</f>
        <v>2 - CUSTOS DIRETOS</v>
      </c>
      <c r="K3941" s="77" t="str">
        <f>IFERROR(VLOOKUP(DESPESAS[[#This Row],[Plano de Contas]],BASE!$B$3:$H$119,5,FALSE),"")</f>
        <v>DH</v>
      </c>
      <c r="L3941" s="77" t="str">
        <f>IFERROR(VLOOKUP(DESPESAS[[#This Row],[Plano de Contas]],BASE!$B$3:$H$119,6,FALSE),"")</f>
        <v>CUSTO MÃO DE OBRA DIRETA</v>
      </c>
      <c r="M3941" s="77" t="str">
        <f>VLOOKUP(DESPESAS[[#This Row],[Plano de Contas]],BASE!$B$3:$H$119,7,FALSE)</f>
        <v>RAFAEL</v>
      </c>
    </row>
    <row r="3942" spans="1:13" x14ac:dyDescent="0.25">
      <c r="A3942" s="74">
        <v>201338</v>
      </c>
      <c r="B3942" s="75" t="s">
        <v>279</v>
      </c>
      <c r="C3942" s="75" t="s">
        <v>3840</v>
      </c>
      <c r="D3942" s="76">
        <v>46142</v>
      </c>
      <c r="E3942" s="75" t="s">
        <v>913</v>
      </c>
      <c r="F3942" s="74">
        <v>2815.46</v>
      </c>
      <c r="G3942" s="75" t="s">
        <v>653</v>
      </c>
      <c r="H3942" s="77" t="str">
        <f>VLOOKUP(DESPESAS[[#This Row],[Plano de Contas]],BASE!$B$3:$D$119,3,FALSE)</f>
        <v>Salarios e Ordenados CIF</v>
      </c>
      <c r="I3942" s="77" t="str">
        <f>IFERROR(VLOOKUP(DESPESAS[[#This Row],[Fornecedor]],Tabela2[],2,FALSE),"")</f>
        <v/>
      </c>
      <c r="J3942" s="77" t="str">
        <f>IFERROR(VLOOKUP(DESPESAS[[#This Row],[Plano de Contas]],BASE!$B$3:$F$119,4,FALSE),"")</f>
        <v>3 - CUSTOS INDIRETOS</v>
      </c>
      <c r="K3942" s="77" t="str">
        <f>IFERROR(VLOOKUP(DESPESAS[[#This Row],[Plano de Contas]],BASE!$B$3:$H$119,5,FALSE),"")</f>
        <v>DH</v>
      </c>
      <c r="L3942" s="77" t="str">
        <f>IFERROR(VLOOKUP(DESPESAS[[#This Row],[Plano de Contas]],BASE!$B$3:$H$119,6,FALSE),"")</f>
        <v>CUSTO MÃO DE OBRA DIRETA</v>
      </c>
      <c r="M3942" s="77" t="str">
        <f>VLOOKUP(DESPESAS[[#This Row],[Plano de Contas]],BASE!$B$3:$H$119,7,FALSE)</f>
        <v>RAFAEL</v>
      </c>
    </row>
    <row r="3943" spans="1:13" x14ac:dyDescent="0.25">
      <c r="A3943" s="74">
        <v>201339</v>
      </c>
      <c r="B3943" s="75" t="s">
        <v>279</v>
      </c>
      <c r="C3943" s="75" t="s">
        <v>3840</v>
      </c>
      <c r="D3943" s="76">
        <v>46142</v>
      </c>
      <c r="E3943" s="75" t="s">
        <v>850</v>
      </c>
      <c r="F3943" s="74">
        <v>2617.7600000000002</v>
      </c>
      <c r="G3943" s="75" t="s">
        <v>430</v>
      </c>
      <c r="H3943" s="77" t="str">
        <f>VLOOKUP(DESPESAS[[#This Row],[Plano de Contas]],BASE!$B$3:$D$119,3,FALSE)</f>
        <v>Salarios e Ordenados MOD</v>
      </c>
      <c r="I3943" s="77" t="str">
        <f>IFERROR(VLOOKUP(DESPESAS[[#This Row],[Fornecedor]],Tabela2[],2,FALSE),"")</f>
        <v/>
      </c>
      <c r="J3943" s="77" t="str">
        <f>IFERROR(VLOOKUP(DESPESAS[[#This Row],[Plano de Contas]],BASE!$B$3:$F$119,4,FALSE),"")</f>
        <v>2 - CUSTOS DIRETOS</v>
      </c>
      <c r="K3943" s="77" t="str">
        <f>IFERROR(VLOOKUP(DESPESAS[[#This Row],[Plano de Contas]],BASE!$B$3:$H$119,5,FALSE),"")</f>
        <v>DH</v>
      </c>
      <c r="L3943" s="77" t="str">
        <f>IFERROR(VLOOKUP(DESPESAS[[#This Row],[Plano de Contas]],BASE!$B$3:$H$119,6,FALSE),"")</f>
        <v>CUSTO MÃO DE OBRA DIRETA</v>
      </c>
      <c r="M3943" s="77" t="str">
        <f>VLOOKUP(DESPESAS[[#This Row],[Plano de Contas]],BASE!$B$3:$H$119,7,FALSE)</f>
        <v>RAFAEL</v>
      </c>
    </row>
    <row r="3944" spans="1:13" x14ac:dyDescent="0.25">
      <c r="A3944" s="74">
        <v>201340</v>
      </c>
      <c r="B3944" s="75" t="s">
        <v>279</v>
      </c>
      <c r="C3944" s="75" t="s">
        <v>3840</v>
      </c>
      <c r="D3944" s="76">
        <v>46142</v>
      </c>
      <c r="E3944" s="75" t="s">
        <v>912</v>
      </c>
      <c r="F3944" s="74">
        <v>2564.75</v>
      </c>
      <c r="G3944" s="75" t="s">
        <v>430</v>
      </c>
      <c r="H3944" s="77" t="str">
        <f>VLOOKUP(DESPESAS[[#This Row],[Plano de Contas]],BASE!$B$3:$D$119,3,FALSE)</f>
        <v>Salarios e Ordenados MOD</v>
      </c>
      <c r="I3944" s="77" t="str">
        <f>IFERROR(VLOOKUP(DESPESAS[[#This Row],[Fornecedor]],Tabela2[],2,FALSE),"")</f>
        <v/>
      </c>
      <c r="J3944" s="77" t="str">
        <f>IFERROR(VLOOKUP(DESPESAS[[#This Row],[Plano de Contas]],BASE!$B$3:$F$119,4,FALSE),"")</f>
        <v>2 - CUSTOS DIRETOS</v>
      </c>
      <c r="K3944" s="77" t="str">
        <f>IFERROR(VLOOKUP(DESPESAS[[#This Row],[Plano de Contas]],BASE!$B$3:$H$119,5,FALSE),"")</f>
        <v>DH</v>
      </c>
      <c r="L3944" s="77" t="str">
        <f>IFERROR(VLOOKUP(DESPESAS[[#This Row],[Plano de Contas]],BASE!$B$3:$H$119,6,FALSE),"")</f>
        <v>CUSTO MÃO DE OBRA DIRETA</v>
      </c>
      <c r="M3944" s="77" t="str">
        <f>VLOOKUP(DESPESAS[[#This Row],[Plano de Contas]],BASE!$B$3:$H$119,7,FALSE)</f>
        <v>RAFAEL</v>
      </c>
    </row>
    <row r="3945" spans="1:13" x14ac:dyDescent="0.25">
      <c r="A3945" s="74">
        <v>201342</v>
      </c>
      <c r="B3945" s="75" t="s">
        <v>279</v>
      </c>
      <c r="C3945" s="75" t="s">
        <v>3840</v>
      </c>
      <c r="D3945" s="76">
        <v>46142</v>
      </c>
      <c r="E3945" s="75" t="s">
        <v>911</v>
      </c>
      <c r="F3945" s="74">
        <v>1768.93</v>
      </c>
      <c r="G3945" s="75" t="s">
        <v>430</v>
      </c>
      <c r="H3945" s="77" t="str">
        <f>VLOOKUP(DESPESAS[[#This Row],[Plano de Contas]],BASE!$B$3:$D$119,3,FALSE)</f>
        <v>Salarios e Ordenados MOD</v>
      </c>
      <c r="I3945" s="77" t="str">
        <f>IFERROR(VLOOKUP(DESPESAS[[#This Row],[Fornecedor]],Tabela2[],2,FALSE),"")</f>
        <v/>
      </c>
      <c r="J3945" s="77" t="str">
        <f>IFERROR(VLOOKUP(DESPESAS[[#This Row],[Plano de Contas]],BASE!$B$3:$F$119,4,FALSE),"")</f>
        <v>2 - CUSTOS DIRETOS</v>
      </c>
      <c r="K3945" s="77" t="str">
        <f>IFERROR(VLOOKUP(DESPESAS[[#This Row],[Plano de Contas]],BASE!$B$3:$H$119,5,FALSE),"")</f>
        <v>DH</v>
      </c>
      <c r="L3945" s="77" t="str">
        <f>IFERROR(VLOOKUP(DESPESAS[[#This Row],[Plano de Contas]],BASE!$B$3:$H$119,6,FALSE),"")</f>
        <v>CUSTO MÃO DE OBRA DIRETA</v>
      </c>
      <c r="M3945" s="77" t="str">
        <f>VLOOKUP(DESPESAS[[#This Row],[Plano de Contas]],BASE!$B$3:$H$119,7,FALSE)</f>
        <v>RAFAEL</v>
      </c>
    </row>
    <row r="3946" spans="1:13" x14ac:dyDescent="0.25">
      <c r="A3946" s="74">
        <v>201343</v>
      </c>
      <c r="B3946" s="75" t="s">
        <v>221</v>
      </c>
      <c r="C3946" s="75" t="s">
        <v>3859</v>
      </c>
      <c r="D3946" s="76">
        <v>46148</v>
      </c>
      <c r="E3946" s="75" t="s">
        <v>347</v>
      </c>
      <c r="F3946" s="74">
        <v>246</v>
      </c>
      <c r="G3946" s="75" t="s">
        <v>1318</v>
      </c>
      <c r="H3946" s="77" t="str">
        <f>VLOOKUP(DESPESAS[[#This Row],[Plano de Contas]],BASE!$B$3:$D$119,3,FALSE)</f>
        <v>Feiras e Eventos</v>
      </c>
      <c r="I3946" s="77" t="str">
        <f>IFERROR(VLOOKUP(DESPESAS[[#This Row],[Fornecedor]],Tabela2[],2,FALSE),"")</f>
        <v/>
      </c>
      <c r="J3946" s="77" t="str">
        <f>IFERROR(VLOOKUP(DESPESAS[[#This Row],[Plano de Contas]],BASE!$B$3:$F$119,4,FALSE),"")</f>
        <v>6 - DESPESA COM VENDAS</v>
      </c>
      <c r="K3946" s="77" t="str">
        <f>IFERROR(VLOOKUP(DESPESAS[[#This Row],[Plano de Contas]],BASE!$B$3:$H$119,5,FALSE),"")</f>
        <v>COMERCIAL</v>
      </c>
      <c r="L3946" s="77">
        <f>IFERROR(VLOOKUP(DESPESAS[[#This Row],[Plano de Contas]],BASE!$B$3:$H$119,6,FALSE),"")</f>
        <v>0</v>
      </c>
      <c r="M3946" s="77" t="str">
        <f>VLOOKUP(DESPESAS[[#This Row],[Plano de Contas]],BASE!$B$3:$H$119,7,FALSE)</f>
        <v>THAIS</v>
      </c>
    </row>
    <row r="3947" spans="1:13" x14ac:dyDescent="0.25">
      <c r="A3947" s="74">
        <v>201344</v>
      </c>
      <c r="B3947" s="75" t="s">
        <v>279</v>
      </c>
      <c r="C3947" s="75" t="s">
        <v>3840</v>
      </c>
      <c r="D3947" s="76">
        <v>46142</v>
      </c>
      <c r="E3947" s="75" t="s">
        <v>277</v>
      </c>
      <c r="F3947" s="74">
        <v>1883.28</v>
      </c>
      <c r="G3947" s="75" t="s">
        <v>430</v>
      </c>
      <c r="H3947" s="77" t="str">
        <f>VLOOKUP(DESPESAS[[#This Row],[Plano de Contas]],BASE!$B$3:$D$119,3,FALSE)</f>
        <v>Salarios e Ordenados MOD</v>
      </c>
      <c r="I3947" s="77" t="str">
        <f>IFERROR(VLOOKUP(DESPESAS[[#This Row],[Fornecedor]],Tabela2[],2,FALSE),"")</f>
        <v/>
      </c>
      <c r="J3947" s="77" t="str">
        <f>IFERROR(VLOOKUP(DESPESAS[[#This Row],[Plano de Contas]],BASE!$B$3:$F$119,4,FALSE),"")</f>
        <v>2 - CUSTOS DIRETOS</v>
      </c>
      <c r="K3947" s="77" t="str">
        <f>IFERROR(VLOOKUP(DESPESAS[[#This Row],[Plano de Contas]],BASE!$B$3:$H$119,5,FALSE),"")</f>
        <v>DH</v>
      </c>
      <c r="L3947" s="77" t="str">
        <f>IFERROR(VLOOKUP(DESPESAS[[#This Row],[Plano de Contas]],BASE!$B$3:$H$119,6,FALSE),"")</f>
        <v>CUSTO MÃO DE OBRA DIRETA</v>
      </c>
      <c r="M3947" s="77" t="str">
        <f>VLOOKUP(DESPESAS[[#This Row],[Plano de Contas]],BASE!$B$3:$H$119,7,FALSE)</f>
        <v>RAFAEL</v>
      </c>
    </row>
    <row r="3948" spans="1:13" x14ac:dyDescent="0.25">
      <c r="A3948" s="74">
        <v>201345</v>
      </c>
      <c r="B3948" s="75" t="s">
        <v>279</v>
      </c>
      <c r="C3948" s="75" t="s">
        <v>3840</v>
      </c>
      <c r="D3948" s="76">
        <v>46142</v>
      </c>
      <c r="E3948" s="75" t="s">
        <v>910</v>
      </c>
      <c r="F3948" s="74">
        <v>2224.73</v>
      </c>
      <c r="G3948" s="75" t="s">
        <v>627</v>
      </c>
      <c r="H3948" s="77" t="str">
        <f>VLOOKUP(DESPESAS[[#This Row],[Plano de Contas]],BASE!$B$3:$D$119,3,FALSE)</f>
        <v>Salarios e Ordenados (Adm)</v>
      </c>
      <c r="I3948" s="77" t="str">
        <f>IFERROR(VLOOKUP(DESPESAS[[#This Row],[Fornecedor]],Tabela2[],2,FALSE),"")</f>
        <v/>
      </c>
      <c r="J3948" s="77" t="str">
        <f>IFERROR(VLOOKUP(DESPESAS[[#This Row],[Plano de Contas]],BASE!$B$3:$F$119,4,FALSE),"")</f>
        <v>4 - GASTOS COM PESSOAL</v>
      </c>
      <c r="K3948" s="77" t="str">
        <f>IFERROR(VLOOKUP(DESPESAS[[#This Row],[Plano de Contas]],BASE!$B$3:$H$119,5,FALSE),"")</f>
        <v>DH</v>
      </c>
      <c r="L3948" s="77">
        <f>IFERROR(VLOOKUP(DESPESAS[[#This Row],[Plano de Contas]],BASE!$B$3:$H$119,6,FALSE),"")</f>
        <v>0</v>
      </c>
      <c r="M3948" s="77" t="str">
        <f>VLOOKUP(DESPESAS[[#This Row],[Plano de Contas]],BASE!$B$3:$H$119,7,FALSE)</f>
        <v>RAFAEL</v>
      </c>
    </row>
    <row r="3949" spans="1:13" x14ac:dyDescent="0.25">
      <c r="A3949" s="74">
        <v>201346</v>
      </c>
      <c r="B3949" s="75" t="s">
        <v>279</v>
      </c>
      <c r="C3949" s="75" t="s">
        <v>3840</v>
      </c>
      <c r="D3949" s="76">
        <v>46142</v>
      </c>
      <c r="E3949" s="75" t="s">
        <v>3860</v>
      </c>
      <c r="F3949" s="74">
        <v>102.93</v>
      </c>
      <c r="G3949" s="75" t="s">
        <v>430</v>
      </c>
      <c r="H3949" s="77" t="str">
        <f>VLOOKUP(DESPESAS[[#This Row],[Plano de Contas]],BASE!$B$3:$D$119,3,FALSE)</f>
        <v>Salarios e Ordenados MOD</v>
      </c>
      <c r="I3949" s="77" t="str">
        <f>IFERROR(VLOOKUP(DESPESAS[[#This Row],[Fornecedor]],Tabela2[],2,FALSE),"")</f>
        <v/>
      </c>
      <c r="J3949" s="77" t="str">
        <f>IFERROR(VLOOKUP(DESPESAS[[#This Row],[Plano de Contas]],BASE!$B$3:$F$119,4,FALSE),"")</f>
        <v>2 - CUSTOS DIRETOS</v>
      </c>
      <c r="K3949" s="77" t="str">
        <f>IFERROR(VLOOKUP(DESPESAS[[#This Row],[Plano de Contas]],BASE!$B$3:$H$119,5,FALSE),"")</f>
        <v>DH</v>
      </c>
      <c r="L3949" s="77" t="str">
        <f>IFERROR(VLOOKUP(DESPESAS[[#This Row],[Plano de Contas]],BASE!$B$3:$H$119,6,FALSE),"")</f>
        <v>CUSTO MÃO DE OBRA DIRETA</v>
      </c>
      <c r="M3949" s="77" t="str">
        <f>VLOOKUP(DESPESAS[[#This Row],[Plano de Contas]],BASE!$B$3:$H$119,7,FALSE)</f>
        <v>RAFAEL</v>
      </c>
    </row>
    <row r="3950" spans="1:13" x14ac:dyDescent="0.25">
      <c r="A3950" s="74">
        <v>201347</v>
      </c>
      <c r="B3950" s="75" t="s">
        <v>279</v>
      </c>
      <c r="C3950" s="75" t="s">
        <v>3840</v>
      </c>
      <c r="D3950" s="76">
        <v>46142</v>
      </c>
      <c r="E3950" s="75" t="s">
        <v>909</v>
      </c>
      <c r="F3950" s="74">
        <v>4328.66</v>
      </c>
      <c r="G3950" s="75" t="s">
        <v>430</v>
      </c>
      <c r="H3950" s="77" t="str">
        <f>VLOOKUP(DESPESAS[[#This Row],[Plano de Contas]],BASE!$B$3:$D$119,3,FALSE)</f>
        <v>Salarios e Ordenados MOD</v>
      </c>
      <c r="I3950" s="77" t="str">
        <f>IFERROR(VLOOKUP(DESPESAS[[#This Row],[Fornecedor]],Tabela2[],2,FALSE),"")</f>
        <v/>
      </c>
      <c r="J3950" s="77" t="str">
        <f>IFERROR(VLOOKUP(DESPESAS[[#This Row],[Plano de Contas]],BASE!$B$3:$F$119,4,FALSE),"")</f>
        <v>2 - CUSTOS DIRETOS</v>
      </c>
      <c r="K3950" s="77" t="str">
        <f>IFERROR(VLOOKUP(DESPESAS[[#This Row],[Plano de Contas]],BASE!$B$3:$H$119,5,FALSE),"")</f>
        <v>DH</v>
      </c>
      <c r="L3950" s="77" t="str">
        <f>IFERROR(VLOOKUP(DESPESAS[[#This Row],[Plano de Contas]],BASE!$B$3:$H$119,6,FALSE),"")</f>
        <v>CUSTO MÃO DE OBRA DIRETA</v>
      </c>
      <c r="M3950" s="77" t="str">
        <f>VLOOKUP(DESPESAS[[#This Row],[Plano de Contas]],BASE!$B$3:$H$119,7,FALSE)</f>
        <v>RAFAEL</v>
      </c>
    </row>
    <row r="3951" spans="1:13" x14ac:dyDescent="0.25">
      <c r="A3951" s="74">
        <v>201349</v>
      </c>
      <c r="B3951" s="75" t="s">
        <v>279</v>
      </c>
      <c r="C3951" s="75" t="s">
        <v>3840</v>
      </c>
      <c r="D3951" s="76">
        <v>46142</v>
      </c>
      <c r="E3951" s="75" t="s">
        <v>3861</v>
      </c>
      <c r="F3951" s="74">
        <v>2261.69</v>
      </c>
      <c r="G3951" s="75" t="s">
        <v>430</v>
      </c>
      <c r="H3951" s="77" t="str">
        <f>VLOOKUP(DESPESAS[[#This Row],[Plano de Contas]],BASE!$B$3:$D$119,3,FALSE)</f>
        <v>Salarios e Ordenados MOD</v>
      </c>
      <c r="I3951" s="77" t="str">
        <f>IFERROR(VLOOKUP(DESPESAS[[#This Row],[Fornecedor]],Tabela2[],2,FALSE),"")</f>
        <v/>
      </c>
      <c r="J3951" s="77" t="str">
        <f>IFERROR(VLOOKUP(DESPESAS[[#This Row],[Plano de Contas]],BASE!$B$3:$F$119,4,FALSE),"")</f>
        <v>2 - CUSTOS DIRETOS</v>
      </c>
      <c r="K3951" s="77" t="str">
        <f>IFERROR(VLOOKUP(DESPESAS[[#This Row],[Plano de Contas]],BASE!$B$3:$H$119,5,FALSE),"")</f>
        <v>DH</v>
      </c>
      <c r="L3951" s="77" t="str">
        <f>IFERROR(VLOOKUP(DESPESAS[[#This Row],[Plano de Contas]],BASE!$B$3:$H$119,6,FALSE),"")</f>
        <v>CUSTO MÃO DE OBRA DIRETA</v>
      </c>
      <c r="M3951" s="77" t="str">
        <f>VLOOKUP(DESPESAS[[#This Row],[Plano de Contas]],BASE!$B$3:$H$119,7,FALSE)</f>
        <v>RAFAEL</v>
      </c>
    </row>
    <row r="3952" spans="1:13" x14ac:dyDescent="0.25">
      <c r="A3952" s="74">
        <v>201350</v>
      </c>
      <c r="B3952" s="75" t="s">
        <v>279</v>
      </c>
      <c r="C3952" s="75" t="s">
        <v>3840</v>
      </c>
      <c r="D3952" s="76">
        <v>46142</v>
      </c>
      <c r="E3952" s="75" t="s">
        <v>908</v>
      </c>
      <c r="F3952" s="74">
        <v>2971.85</v>
      </c>
      <c r="G3952" s="75" t="s">
        <v>430</v>
      </c>
      <c r="H3952" s="77" t="str">
        <f>VLOOKUP(DESPESAS[[#This Row],[Plano de Contas]],BASE!$B$3:$D$119,3,FALSE)</f>
        <v>Salarios e Ordenados MOD</v>
      </c>
      <c r="I3952" s="77" t="str">
        <f>IFERROR(VLOOKUP(DESPESAS[[#This Row],[Fornecedor]],Tabela2[],2,FALSE),"")</f>
        <v/>
      </c>
      <c r="J3952" s="77" t="str">
        <f>IFERROR(VLOOKUP(DESPESAS[[#This Row],[Plano de Contas]],BASE!$B$3:$F$119,4,FALSE),"")</f>
        <v>2 - CUSTOS DIRETOS</v>
      </c>
      <c r="K3952" s="77" t="str">
        <f>IFERROR(VLOOKUP(DESPESAS[[#This Row],[Plano de Contas]],BASE!$B$3:$H$119,5,FALSE),"")</f>
        <v>DH</v>
      </c>
      <c r="L3952" s="77" t="str">
        <f>IFERROR(VLOOKUP(DESPESAS[[#This Row],[Plano de Contas]],BASE!$B$3:$H$119,6,FALSE),"")</f>
        <v>CUSTO MÃO DE OBRA DIRETA</v>
      </c>
      <c r="M3952" s="77" t="str">
        <f>VLOOKUP(DESPESAS[[#This Row],[Plano de Contas]],BASE!$B$3:$H$119,7,FALSE)</f>
        <v>RAFAEL</v>
      </c>
    </row>
    <row r="3953" spans="1:13" x14ac:dyDescent="0.25">
      <c r="A3953" s="74">
        <v>201351</v>
      </c>
      <c r="B3953" s="75" t="s">
        <v>279</v>
      </c>
      <c r="C3953" s="75" t="s">
        <v>3840</v>
      </c>
      <c r="D3953" s="76">
        <v>46142</v>
      </c>
      <c r="E3953" s="75" t="s">
        <v>847</v>
      </c>
      <c r="F3953" s="74">
        <v>3342.95</v>
      </c>
      <c r="G3953" s="75" t="s">
        <v>430</v>
      </c>
      <c r="H3953" s="77" t="str">
        <f>VLOOKUP(DESPESAS[[#This Row],[Plano de Contas]],BASE!$B$3:$D$119,3,FALSE)</f>
        <v>Salarios e Ordenados MOD</v>
      </c>
      <c r="I3953" s="77" t="str">
        <f>IFERROR(VLOOKUP(DESPESAS[[#This Row],[Fornecedor]],Tabela2[],2,FALSE),"")</f>
        <v/>
      </c>
      <c r="J3953" s="77" t="str">
        <f>IFERROR(VLOOKUP(DESPESAS[[#This Row],[Plano de Contas]],BASE!$B$3:$F$119,4,FALSE),"")</f>
        <v>2 - CUSTOS DIRETOS</v>
      </c>
      <c r="K3953" s="77" t="str">
        <f>IFERROR(VLOOKUP(DESPESAS[[#This Row],[Plano de Contas]],BASE!$B$3:$H$119,5,FALSE),"")</f>
        <v>DH</v>
      </c>
      <c r="L3953" s="77" t="str">
        <f>IFERROR(VLOOKUP(DESPESAS[[#This Row],[Plano de Contas]],BASE!$B$3:$H$119,6,FALSE),"")</f>
        <v>CUSTO MÃO DE OBRA DIRETA</v>
      </c>
      <c r="M3953" s="77" t="str">
        <f>VLOOKUP(DESPESAS[[#This Row],[Plano de Contas]],BASE!$B$3:$H$119,7,FALSE)</f>
        <v>RAFAEL</v>
      </c>
    </row>
    <row r="3954" spans="1:13" x14ac:dyDescent="0.25">
      <c r="A3954" s="74">
        <v>201352</v>
      </c>
      <c r="B3954" s="75" t="s">
        <v>279</v>
      </c>
      <c r="C3954" s="75" t="s">
        <v>3840</v>
      </c>
      <c r="D3954" s="76">
        <v>46142</v>
      </c>
      <c r="E3954" s="75" t="s">
        <v>907</v>
      </c>
      <c r="F3954" s="74">
        <v>4158.92</v>
      </c>
      <c r="G3954" s="75" t="s">
        <v>430</v>
      </c>
      <c r="H3954" s="77" t="str">
        <f>VLOOKUP(DESPESAS[[#This Row],[Plano de Contas]],BASE!$B$3:$D$119,3,FALSE)</f>
        <v>Salarios e Ordenados MOD</v>
      </c>
      <c r="I3954" s="77" t="str">
        <f>IFERROR(VLOOKUP(DESPESAS[[#This Row],[Fornecedor]],Tabela2[],2,FALSE),"")</f>
        <v/>
      </c>
      <c r="J3954" s="77" t="str">
        <f>IFERROR(VLOOKUP(DESPESAS[[#This Row],[Plano de Contas]],BASE!$B$3:$F$119,4,FALSE),"")</f>
        <v>2 - CUSTOS DIRETOS</v>
      </c>
      <c r="K3954" s="77" t="str">
        <f>IFERROR(VLOOKUP(DESPESAS[[#This Row],[Plano de Contas]],BASE!$B$3:$H$119,5,FALSE),"")</f>
        <v>DH</v>
      </c>
      <c r="L3954" s="77" t="str">
        <f>IFERROR(VLOOKUP(DESPESAS[[#This Row],[Plano de Contas]],BASE!$B$3:$H$119,6,FALSE),"")</f>
        <v>CUSTO MÃO DE OBRA DIRETA</v>
      </c>
      <c r="M3954" s="77" t="str">
        <f>VLOOKUP(DESPESAS[[#This Row],[Plano de Contas]],BASE!$B$3:$H$119,7,FALSE)</f>
        <v>RAFAEL</v>
      </c>
    </row>
    <row r="3955" spans="1:13" x14ac:dyDescent="0.25">
      <c r="A3955" s="74">
        <v>201353</v>
      </c>
      <c r="B3955" s="75" t="s">
        <v>279</v>
      </c>
      <c r="C3955" s="75" t="s">
        <v>3840</v>
      </c>
      <c r="D3955" s="76">
        <v>46142</v>
      </c>
      <c r="E3955" s="75" t="s">
        <v>906</v>
      </c>
      <c r="F3955" s="74">
        <v>2022.91</v>
      </c>
      <c r="G3955" s="75" t="s">
        <v>627</v>
      </c>
      <c r="H3955" s="77" t="str">
        <f>VLOOKUP(DESPESAS[[#This Row],[Plano de Contas]],BASE!$B$3:$D$119,3,FALSE)</f>
        <v>Salarios e Ordenados (Adm)</v>
      </c>
      <c r="I3955" s="77" t="str">
        <f>IFERROR(VLOOKUP(DESPESAS[[#This Row],[Fornecedor]],Tabela2[],2,FALSE),"")</f>
        <v/>
      </c>
      <c r="J3955" s="77" t="str">
        <f>IFERROR(VLOOKUP(DESPESAS[[#This Row],[Plano de Contas]],BASE!$B$3:$F$119,4,FALSE),"")</f>
        <v>4 - GASTOS COM PESSOAL</v>
      </c>
      <c r="K3955" s="77" t="str">
        <f>IFERROR(VLOOKUP(DESPESAS[[#This Row],[Plano de Contas]],BASE!$B$3:$H$119,5,FALSE),"")</f>
        <v>DH</v>
      </c>
      <c r="L3955" s="77">
        <f>IFERROR(VLOOKUP(DESPESAS[[#This Row],[Plano de Contas]],BASE!$B$3:$H$119,6,FALSE),"")</f>
        <v>0</v>
      </c>
      <c r="M3955" s="77" t="str">
        <f>VLOOKUP(DESPESAS[[#This Row],[Plano de Contas]],BASE!$B$3:$H$119,7,FALSE)</f>
        <v>RAFAEL</v>
      </c>
    </row>
    <row r="3956" spans="1:13" x14ac:dyDescent="0.25">
      <c r="A3956" s="74">
        <v>201354</v>
      </c>
      <c r="B3956" s="75" t="s">
        <v>279</v>
      </c>
      <c r="C3956" s="75" t="s">
        <v>3840</v>
      </c>
      <c r="D3956" s="76">
        <v>46142</v>
      </c>
      <c r="E3956" s="75" t="s">
        <v>905</v>
      </c>
      <c r="F3956" s="74">
        <v>3570.09</v>
      </c>
      <c r="G3956" s="75" t="s">
        <v>430</v>
      </c>
      <c r="H3956" s="77" t="str">
        <f>VLOOKUP(DESPESAS[[#This Row],[Plano de Contas]],BASE!$B$3:$D$119,3,FALSE)</f>
        <v>Salarios e Ordenados MOD</v>
      </c>
      <c r="I3956" s="77" t="str">
        <f>IFERROR(VLOOKUP(DESPESAS[[#This Row],[Fornecedor]],Tabela2[],2,FALSE),"")</f>
        <v/>
      </c>
      <c r="J3956" s="77" t="str">
        <f>IFERROR(VLOOKUP(DESPESAS[[#This Row],[Plano de Contas]],BASE!$B$3:$F$119,4,FALSE),"")</f>
        <v>2 - CUSTOS DIRETOS</v>
      </c>
      <c r="K3956" s="77" t="str">
        <f>IFERROR(VLOOKUP(DESPESAS[[#This Row],[Plano de Contas]],BASE!$B$3:$H$119,5,FALSE),"")</f>
        <v>DH</v>
      </c>
      <c r="L3956" s="77" t="str">
        <f>IFERROR(VLOOKUP(DESPESAS[[#This Row],[Plano de Contas]],BASE!$B$3:$H$119,6,FALSE),"")</f>
        <v>CUSTO MÃO DE OBRA DIRETA</v>
      </c>
      <c r="M3956" s="77" t="str">
        <f>VLOOKUP(DESPESAS[[#This Row],[Plano de Contas]],BASE!$B$3:$H$119,7,FALSE)</f>
        <v>RAFAEL</v>
      </c>
    </row>
    <row r="3957" spans="1:13" x14ac:dyDescent="0.25">
      <c r="A3957" s="74">
        <v>201355</v>
      </c>
      <c r="B3957" s="75" t="s">
        <v>279</v>
      </c>
      <c r="C3957" s="75" t="s">
        <v>3840</v>
      </c>
      <c r="D3957" s="76">
        <v>46142</v>
      </c>
      <c r="E3957" s="75" t="s">
        <v>904</v>
      </c>
      <c r="F3957" s="74">
        <v>2267.54</v>
      </c>
      <c r="G3957" s="75" t="s">
        <v>627</v>
      </c>
      <c r="H3957" s="77" t="str">
        <f>VLOOKUP(DESPESAS[[#This Row],[Plano de Contas]],BASE!$B$3:$D$119,3,FALSE)</f>
        <v>Salarios e Ordenados (Adm)</v>
      </c>
      <c r="I3957" s="77" t="str">
        <f>IFERROR(VLOOKUP(DESPESAS[[#This Row],[Fornecedor]],Tabela2[],2,FALSE),"")</f>
        <v/>
      </c>
      <c r="J3957" s="77" t="str">
        <f>IFERROR(VLOOKUP(DESPESAS[[#This Row],[Plano de Contas]],BASE!$B$3:$F$119,4,FALSE),"")</f>
        <v>4 - GASTOS COM PESSOAL</v>
      </c>
      <c r="K3957" s="77" t="str">
        <f>IFERROR(VLOOKUP(DESPESAS[[#This Row],[Plano de Contas]],BASE!$B$3:$H$119,5,FALSE),"")</f>
        <v>DH</v>
      </c>
      <c r="L3957" s="77">
        <f>IFERROR(VLOOKUP(DESPESAS[[#This Row],[Plano de Contas]],BASE!$B$3:$H$119,6,FALSE),"")</f>
        <v>0</v>
      </c>
      <c r="M3957" s="77" t="str">
        <f>VLOOKUP(DESPESAS[[#This Row],[Plano de Contas]],BASE!$B$3:$H$119,7,FALSE)</f>
        <v>RAFAEL</v>
      </c>
    </row>
    <row r="3958" spans="1:13" x14ac:dyDescent="0.25">
      <c r="A3958" s="74">
        <v>201356</v>
      </c>
      <c r="B3958" s="75" t="s">
        <v>279</v>
      </c>
      <c r="C3958" s="75" t="s">
        <v>3840</v>
      </c>
      <c r="D3958" s="76">
        <v>46142</v>
      </c>
      <c r="E3958" s="75" t="s">
        <v>903</v>
      </c>
      <c r="F3958" s="74">
        <v>2408.9899999999998</v>
      </c>
      <c r="G3958" s="75" t="s">
        <v>430</v>
      </c>
      <c r="H3958" s="77" t="str">
        <f>VLOOKUP(DESPESAS[[#This Row],[Plano de Contas]],BASE!$B$3:$D$119,3,FALSE)</f>
        <v>Salarios e Ordenados MOD</v>
      </c>
      <c r="I3958" s="77" t="str">
        <f>IFERROR(VLOOKUP(DESPESAS[[#This Row],[Fornecedor]],Tabela2[],2,FALSE),"")</f>
        <v/>
      </c>
      <c r="J3958" s="77" t="str">
        <f>IFERROR(VLOOKUP(DESPESAS[[#This Row],[Plano de Contas]],BASE!$B$3:$F$119,4,FALSE),"")</f>
        <v>2 - CUSTOS DIRETOS</v>
      </c>
      <c r="K3958" s="77" t="str">
        <f>IFERROR(VLOOKUP(DESPESAS[[#This Row],[Plano de Contas]],BASE!$B$3:$H$119,5,FALSE),"")</f>
        <v>DH</v>
      </c>
      <c r="L3958" s="77" t="str">
        <f>IFERROR(VLOOKUP(DESPESAS[[#This Row],[Plano de Contas]],BASE!$B$3:$H$119,6,FALSE),"")</f>
        <v>CUSTO MÃO DE OBRA DIRETA</v>
      </c>
      <c r="M3958" s="77" t="str">
        <f>VLOOKUP(DESPESAS[[#This Row],[Plano de Contas]],BASE!$B$3:$H$119,7,FALSE)</f>
        <v>RAFAEL</v>
      </c>
    </row>
    <row r="3959" spans="1:13" x14ac:dyDescent="0.25">
      <c r="A3959" s="74">
        <v>201357</v>
      </c>
      <c r="B3959" s="75" t="s">
        <v>279</v>
      </c>
      <c r="C3959" s="75" t="s">
        <v>3852</v>
      </c>
      <c r="D3959" s="76">
        <v>46142</v>
      </c>
      <c r="E3959" s="75" t="s">
        <v>843</v>
      </c>
      <c r="F3959" s="74">
        <v>4678.8500000000004</v>
      </c>
      <c r="G3959" s="75" t="s">
        <v>627</v>
      </c>
      <c r="H3959" s="77" t="str">
        <f>VLOOKUP(DESPESAS[[#This Row],[Plano de Contas]],BASE!$B$3:$D$119,3,FALSE)</f>
        <v>Salarios e Ordenados (Adm)</v>
      </c>
      <c r="I3959" s="77" t="str">
        <f>IFERROR(VLOOKUP(DESPESAS[[#This Row],[Fornecedor]],Tabela2[],2,FALSE),"")</f>
        <v/>
      </c>
      <c r="J3959" s="77" t="str">
        <f>IFERROR(VLOOKUP(DESPESAS[[#This Row],[Plano de Contas]],BASE!$B$3:$F$119,4,FALSE),"")</f>
        <v>4 - GASTOS COM PESSOAL</v>
      </c>
      <c r="K3959" s="77" t="str">
        <f>IFERROR(VLOOKUP(DESPESAS[[#This Row],[Plano de Contas]],BASE!$B$3:$H$119,5,FALSE),"")</f>
        <v>DH</v>
      </c>
      <c r="L3959" s="77">
        <f>IFERROR(VLOOKUP(DESPESAS[[#This Row],[Plano de Contas]],BASE!$B$3:$H$119,6,FALSE),"")</f>
        <v>0</v>
      </c>
      <c r="M3959" s="77" t="str">
        <f>VLOOKUP(DESPESAS[[#This Row],[Plano de Contas]],BASE!$B$3:$H$119,7,FALSE)</f>
        <v>RAFAEL</v>
      </c>
    </row>
    <row r="3960" spans="1:13" x14ac:dyDescent="0.25">
      <c r="A3960" s="74">
        <v>201358</v>
      </c>
      <c r="B3960" s="75" t="s">
        <v>279</v>
      </c>
      <c r="C3960" s="75" t="s">
        <v>3840</v>
      </c>
      <c r="D3960" s="76">
        <v>46142</v>
      </c>
      <c r="E3960" s="75" t="s">
        <v>902</v>
      </c>
      <c r="F3960" s="74">
        <v>2877.07</v>
      </c>
      <c r="G3960" s="75" t="s">
        <v>430</v>
      </c>
      <c r="H3960" s="77" t="str">
        <f>VLOOKUP(DESPESAS[[#This Row],[Plano de Contas]],BASE!$B$3:$D$119,3,FALSE)</f>
        <v>Salarios e Ordenados MOD</v>
      </c>
      <c r="I3960" s="77" t="str">
        <f>IFERROR(VLOOKUP(DESPESAS[[#This Row],[Fornecedor]],Tabela2[],2,FALSE),"")</f>
        <v/>
      </c>
      <c r="J3960" s="77" t="str">
        <f>IFERROR(VLOOKUP(DESPESAS[[#This Row],[Plano de Contas]],BASE!$B$3:$F$119,4,FALSE),"")</f>
        <v>2 - CUSTOS DIRETOS</v>
      </c>
      <c r="K3960" s="77" t="str">
        <f>IFERROR(VLOOKUP(DESPESAS[[#This Row],[Plano de Contas]],BASE!$B$3:$H$119,5,FALSE),"")</f>
        <v>DH</v>
      </c>
      <c r="L3960" s="77" t="str">
        <f>IFERROR(VLOOKUP(DESPESAS[[#This Row],[Plano de Contas]],BASE!$B$3:$H$119,6,FALSE),"")</f>
        <v>CUSTO MÃO DE OBRA DIRETA</v>
      </c>
      <c r="M3960" s="77" t="str">
        <f>VLOOKUP(DESPESAS[[#This Row],[Plano de Contas]],BASE!$B$3:$H$119,7,FALSE)</f>
        <v>RAFAEL</v>
      </c>
    </row>
    <row r="3961" spans="1:13" x14ac:dyDescent="0.25">
      <c r="A3961" s="74">
        <v>201360</v>
      </c>
      <c r="B3961" s="75" t="s">
        <v>232</v>
      </c>
      <c r="C3961" s="75" t="s">
        <v>372</v>
      </c>
      <c r="D3961" s="76">
        <v>46149</v>
      </c>
      <c r="E3961" s="75" t="s">
        <v>896</v>
      </c>
      <c r="F3961" s="74">
        <v>4411.0200000000004</v>
      </c>
      <c r="G3961" s="75" t="s">
        <v>370</v>
      </c>
      <c r="H3961" s="77" t="str">
        <f>VLOOKUP(DESPESAS[[#This Row],[Plano de Contas]],BASE!$B$3:$D$119,3,FALSE)</f>
        <v>Rescisões CIF</v>
      </c>
      <c r="I3961" s="77" t="str">
        <f>IFERROR(VLOOKUP(DESPESAS[[#This Row],[Fornecedor]],Tabela2[],2,FALSE),"")</f>
        <v/>
      </c>
      <c r="J3961" s="77" t="str">
        <f>IFERROR(VLOOKUP(DESPESAS[[#This Row],[Plano de Contas]],BASE!$B$3:$F$119,4,FALSE),"")</f>
        <v>3 - CUSTOS INDIRETOS</v>
      </c>
      <c r="K3961" s="77" t="str">
        <f>IFERROR(VLOOKUP(DESPESAS[[#This Row],[Plano de Contas]],BASE!$B$3:$H$119,5,FALSE),"")</f>
        <v>DH</v>
      </c>
      <c r="L3961" s="77">
        <f>IFERROR(VLOOKUP(DESPESAS[[#This Row],[Plano de Contas]],BASE!$B$3:$H$119,6,FALSE),"")</f>
        <v>0</v>
      </c>
      <c r="M3961" s="77" t="str">
        <f>VLOOKUP(DESPESAS[[#This Row],[Plano de Contas]],BASE!$B$3:$H$119,7,FALSE)</f>
        <v>RAFAEL</v>
      </c>
    </row>
    <row r="3962" spans="1:13" x14ac:dyDescent="0.25">
      <c r="A3962" s="74">
        <v>201362</v>
      </c>
      <c r="B3962" s="75" t="s">
        <v>221</v>
      </c>
      <c r="C3962" s="75" t="s">
        <v>3862</v>
      </c>
      <c r="D3962" s="76">
        <v>46149</v>
      </c>
      <c r="E3962" s="75" t="s">
        <v>1089</v>
      </c>
      <c r="F3962" s="74">
        <v>143.16999999999999</v>
      </c>
      <c r="G3962" s="75" t="s">
        <v>854</v>
      </c>
      <c r="H3962" s="77" t="str">
        <f>VLOOKUP(DESPESAS[[#This Row],[Plano de Contas]],BASE!$B$3:$D$119,3,FALSE)</f>
        <v>Confraternização</v>
      </c>
      <c r="I3962" s="77" t="str">
        <f>IFERROR(VLOOKUP(DESPESAS[[#This Row],[Fornecedor]],Tabela2[],2,FALSE),"")</f>
        <v/>
      </c>
      <c r="J3962" s="77" t="str">
        <f>IFERROR(VLOOKUP(DESPESAS[[#This Row],[Plano de Contas]],BASE!$B$3:$F$119,4,FALSE),"")</f>
        <v>4 - GASTOS COM PESSOAL</v>
      </c>
      <c r="K3962" s="77" t="str">
        <f>IFERROR(VLOOKUP(DESPESAS[[#This Row],[Plano de Contas]],BASE!$B$3:$H$119,5,FALSE),"")</f>
        <v>DH</v>
      </c>
      <c r="L3962" s="77">
        <f>IFERROR(VLOOKUP(DESPESAS[[#This Row],[Plano de Contas]],BASE!$B$3:$H$119,6,FALSE),"")</f>
        <v>0</v>
      </c>
      <c r="M3962" s="77" t="str">
        <f>VLOOKUP(DESPESAS[[#This Row],[Plano de Contas]],BASE!$B$3:$H$119,7,FALSE)</f>
        <v>MYLENA</v>
      </c>
    </row>
    <row r="3963" spans="1:13" x14ac:dyDescent="0.25">
      <c r="A3963" s="74">
        <v>201363</v>
      </c>
      <c r="B3963" s="75" t="s">
        <v>232</v>
      </c>
      <c r="C3963" s="75" t="s">
        <v>373</v>
      </c>
      <c r="D3963" s="76">
        <v>46149</v>
      </c>
      <c r="E3963" s="75" t="s">
        <v>896</v>
      </c>
      <c r="F3963" s="74">
        <v>8365.43</v>
      </c>
      <c r="G3963" s="75" t="s">
        <v>370</v>
      </c>
      <c r="H3963" s="77" t="str">
        <f>VLOOKUP(DESPESAS[[#This Row],[Plano de Contas]],BASE!$B$3:$D$119,3,FALSE)</f>
        <v>Rescisões CIF</v>
      </c>
      <c r="I3963" s="77" t="str">
        <f>IFERROR(VLOOKUP(DESPESAS[[#This Row],[Fornecedor]],Tabela2[],2,FALSE),"")</f>
        <v/>
      </c>
      <c r="J3963" s="77" t="str">
        <f>IFERROR(VLOOKUP(DESPESAS[[#This Row],[Plano de Contas]],BASE!$B$3:$F$119,4,FALSE),"")</f>
        <v>3 - CUSTOS INDIRETOS</v>
      </c>
      <c r="K3963" s="77" t="str">
        <f>IFERROR(VLOOKUP(DESPESAS[[#This Row],[Plano de Contas]],BASE!$B$3:$H$119,5,FALSE),"")</f>
        <v>DH</v>
      </c>
      <c r="L3963" s="77">
        <f>IFERROR(VLOOKUP(DESPESAS[[#This Row],[Plano de Contas]],BASE!$B$3:$H$119,6,FALSE),"")</f>
        <v>0</v>
      </c>
      <c r="M3963" s="77" t="str">
        <f>VLOOKUP(DESPESAS[[#This Row],[Plano de Contas]],BASE!$B$3:$H$119,7,FALSE)</f>
        <v>RAFAEL</v>
      </c>
    </row>
    <row r="3964" spans="1:13" x14ac:dyDescent="0.25">
      <c r="A3964" s="74">
        <v>201364</v>
      </c>
      <c r="B3964" s="75" t="s">
        <v>279</v>
      </c>
      <c r="C3964" s="75" t="s">
        <v>3840</v>
      </c>
      <c r="D3964" s="76">
        <v>46142</v>
      </c>
      <c r="E3964" s="75" t="s">
        <v>941</v>
      </c>
      <c r="F3964" s="74">
        <v>833.38</v>
      </c>
      <c r="G3964" s="75" t="s">
        <v>430</v>
      </c>
      <c r="H3964" s="77" t="str">
        <f>VLOOKUP(DESPESAS[[#This Row],[Plano de Contas]],BASE!$B$3:$D$119,3,FALSE)</f>
        <v>Salarios e Ordenados MOD</v>
      </c>
      <c r="I3964" s="77" t="str">
        <f>IFERROR(VLOOKUP(DESPESAS[[#This Row],[Fornecedor]],Tabela2[],2,FALSE),"")</f>
        <v/>
      </c>
      <c r="J3964" s="77" t="str">
        <f>IFERROR(VLOOKUP(DESPESAS[[#This Row],[Plano de Contas]],BASE!$B$3:$F$119,4,FALSE),"")</f>
        <v>2 - CUSTOS DIRETOS</v>
      </c>
      <c r="K3964" s="77" t="str">
        <f>IFERROR(VLOOKUP(DESPESAS[[#This Row],[Plano de Contas]],BASE!$B$3:$H$119,5,FALSE),"")</f>
        <v>DH</v>
      </c>
      <c r="L3964" s="77" t="str">
        <f>IFERROR(VLOOKUP(DESPESAS[[#This Row],[Plano de Contas]],BASE!$B$3:$H$119,6,FALSE),"")</f>
        <v>CUSTO MÃO DE OBRA DIRETA</v>
      </c>
      <c r="M3964" s="77" t="str">
        <f>VLOOKUP(DESPESAS[[#This Row],[Plano de Contas]],BASE!$B$3:$H$119,7,FALSE)</f>
        <v>RAFAEL</v>
      </c>
    </row>
    <row r="3965" spans="1:13" x14ac:dyDescent="0.25">
      <c r="A3965" s="74">
        <v>201365</v>
      </c>
      <c r="B3965" s="75" t="s">
        <v>232</v>
      </c>
      <c r="C3965" s="75" t="s">
        <v>3863</v>
      </c>
      <c r="D3965" s="76">
        <v>46149</v>
      </c>
      <c r="E3965" s="75" t="s">
        <v>2122</v>
      </c>
      <c r="F3965" s="74">
        <v>322.48</v>
      </c>
      <c r="G3965" s="75" t="s">
        <v>326</v>
      </c>
      <c r="H3965" s="77" t="str">
        <f>VLOOKUP(DESPESAS[[#This Row],[Plano de Contas]],BASE!$B$3:$D$119,3,FALSE)</f>
        <v>Frete sobre Compras</v>
      </c>
      <c r="I3965" s="77" t="str">
        <f>IFERROR(VLOOKUP(DESPESAS[[#This Row],[Fornecedor]],Tabela2[],2,FALSE),"")</f>
        <v/>
      </c>
      <c r="J3965" s="77" t="str">
        <f>IFERROR(VLOOKUP(DESPESAS[[#This Row],[Plano de Contas]],BASE!$B$3:$F$119,4,FALSE),"")</f>
        <v>1 - CPV</v>
      </c>
      <c r="K3965" s="77" t="str">
        <f>IFERROR(VLOOKUP(DESPESAS[[#This Row],[Plano de Contas]],BASE!$B$3:$H$119,5,FALSE),"")</f>
        <v>COMPRAS</v>
      </c>
      <c r="L3965" s="77">
        <f>IFERROR(VLOOKUP(DESPESAS[[#This Row],[Plano de Contas]],BASE!$B$3:$H$119,6,FALSE),"")</f>
        <v>0</v>
      </c>
      <c r="M3965" s="77" t="str">
        <f>VLOOKUP(DESPESAS[[#This Row],[Plano de Contas]],BASE!$B$3:$H$119,7,FALSE)</f>
        <v>MYLENA</v>
      </c>
    </row>
    <row r="3966" spans="1:13" x14ac:dyDescent="0.25">
      <c r="A3966" s="74">
        <v>201366</v>
      </c>
      <c r="B3966" s="75" t="s">
        <v>221</v>
      </c>
      <c r="C3966" s="75" t="s">
        <v>3864</v>
      </c>
      <c r="D3966" s="76">
        <v>46149</v>
      </c>
      <c r="E3966" s="75" t="s">
        <v>338</v>
      </c>
      <c r="F3966" s="74">
        <v>232</v>
      </c>
      <c r="G3966" s="75" t="s">
        <v>337</v>
      </c>
      <c r="H3966" s="77" t="str">
        <f>VLOOKUP(DESPESAS[[#This Row],[Plano de Contas]],BASE!$B$3:$D$119,3,FALSE)</f>
        <v>Vigilancia e Seguranca</v>
      </c>
      <c r="I3966" s="77" t="str">
        <f>IFERROR(VLOOKUP(DESPESAS[[#This Row],[Fornecedor]],Tabela2[],2,FALSE),"")</f>
        <v/>
      </c>
      <c r="J3966" s="77" t="str">
        <f>IFERROR(VLOOKUP(DESPESAS[[#This Row],[Plano de Contas]],BASE!$B$3:$F$119,4,FALSE),"")</f>
        <v>7 - SERVIÇOS DE TERCEIROS</v>
      </c>
      <c r="K3966" s="77" t="str">
        <f>IFERROR(VLOOKUP(DESPESAS[[#This Row],[Plano de Contas]],BASE!$B$3:$H$119,5,FALSE),"")</f>
        <v>FINANCEIRO</v>
      </c>
      <c r="L3966" s="77">
        <f>IFERROR(VLOOKUP(DESPESAS[[#This Row],[Plano de Contas]],BASE!$B$3:$H$119,6,FALSE),"")</f>
        <v>0</v>
      </c>
      <c r="M3966" s="77" t="str">
        <f>VLOOKUP(DESPESAS[[#This Row],[Plano de Contas]],BASE!$B$3:$H$119,7,FALSE)</f>
        <v>LETÍCIA</v>
      </c>
    </row>
    <row r="3967" spans="1:13" x14ac:dyDescent="0.25">
      <c r="A3967" s="74">
        <v>201367</v>
      </c>
      <c r="B3967" s="75" t="s">
        <v>232</v>
      </c>
      <c r="C3967" s="75" t="s">
        <v>3865</v>
      </c>
      <c r="D3967" s="76">
        <v>46149</v>
      </c>
      <c r="E3967" s="75" t="s">
        <v>327</v>
      </c>
      <c r="F3967" s="74">
        <v>926.68</v>
      </c>
      <c r="G3967" s="75" t="s">
        <v>326</v>
      </c>
      <c r="H3967" s="77" t="str">
        <f>VLOOKUP(DESPESAS[[#This Row],[Plano de Contas]],BASE!$B$3:$D$119,3,FALSE)</f>
        <v>Frete sobre Compras</v>
      </c>
      <c r="I3967" s="77" t="str">
        <f>IFERROR(VLOOKUP(DESPESAS[[#This Row],[Fornecedor]],Tabela2[],2,FALSE),"")</f>
        <v>SERVIÇOS FRETE</v>
      </c>
      <c r="J3967" s="77" t="str">
        <f>IFERROR(VLOOKUP(DESPESAS[[#This Row],[Plano de Contas]],BASE!$B$3:$F$119,4,FALSE),"")</f>
        <v>1 - CPV</v>
      </c>
      <c r="K3967" s="77" t="str">
        <f>IFERROR(VLOOKUP(DESPESAS[[#This Row],[Plano de Contas]],BASE!$B$3:$H$119,5,FALSE),"")</f>
        <v>COMPRAS</v>
      </c>
      <c r="L3967" s="77">
        <f>IFERROR(VLOOKUP(DESPESAS[[#This Row],[Plano de Contas]],BASE!$B$3:$H$119,6,FALSE),"")</f>
        <v>0</v>
      </c>
      <c r="M3967" s="77" t="str">
        <f>VLOOKUP(DESPESAS[[#This Row],[Plano de Contas]],BASE!$B$3:$H$119,7,FALSE)</f>
        <v>MYLENA</v>
      </c>
    </row>
    <row r="3968" spans="1:13" x14ac:dyDescent="0.25">
      <c r="A3968" s="74">
        <v>201368</v>
      </c>
      <c r="B3968" s="75" t="s">
        <v>221</v>
      </c>
      <c r="C3968" s="75" t="s">
        <v>3866</v>
      </c>
      <c r="D3968" s="76">
        <v>46143</v>
      </c>
      <c r="E3968" s="75" t="s">
        <v>1229</v>
      </c>
      <c r="F3968" s="74">
        <v>229.4</v>
      </c>
      <c r="G3968" s="75" t="s">
        <v>480</v>
      </c>
      <c r="H3968" s="77" t="str">
        <f>VLOOKUP(DESPESAS[[#This Row],[Plano de Contas]],BASE!$B$3:$D$119,3,FALSE)</f>
        <v>Viagens e Estadias c/ Vendas</v>
      </c>
      <c r="I3968" s="77" t="str">
        <f>IFERROR(VLOOKUP(DESPESAS[[#This Row],[Fornecedor]],Tabela2[],2,FALSE),"")</f>
        <v/>
      </c>
      <c r="J3968" s="77" t="str">
        <f>IFERROR(VLOOKUP(DESPESAS[[#This Row],[Plano de Contas]],BASE!$B$3:$F$119,4,FALSE),"")</f>
        <v>6 - DESPESA COM VENDAS</v>
      </c>
      <c r="K3968" s="77" t="str">
        <f>IFERROR(VLOOKUP(DESPESAS[[#This Row],[Plano de Contas]],BASE!$B$3:$H$119,5,FALSE),"")</f>
        <v>COMERCIAL</v>
      </c>
      <c r="L3968" s="77">
        <f>IFERROR(VLOOKUP(DESPESAS[[#This Row],[Plano de Contas]],BASE!$B$3:$H$119,6,FALSE),"")</f>
        <v>0</v>
      </c>
      <c r="M3968" s="77" t="str">
        <f>VLOOKUP(DESPESAS[[#This Row],[Plano de Contas]],BASE!$B$3:$H$119,7,FALSE)</f>
        <v>LETÍCIA</v>
      </c>
    </row>
    <row r="3969" spans="1:13" x14ac:dyDescent="0.25">
      <c r="A3969" s="74">
        <v>201369</v>
      </c>
      <c r="B3969" s="75" t="s">
        <v>221</v>
      </c>
      <c r="C3969" s="75" t="s">
        <v>3866</v>
      </c>
      <c r="D3969" s="76">
        <v>46143</v>
      </c>
      <c r="E3969" s="75" t="s">
        <v>3867</v>
      </c>
      <c r="F3969" s="74">
        <v>355.96</v>
      </c>
      <c r="G3969" s="75" t="s">
        <v>480</v>
      </c>
      <c r="H3969" s="77" t="str">
        <f>VLOOKUP(DESPESAS[[#This Row],[Plano de Contas]],BASE!$B$3:$D$119,3,FALSE)</f>
        <v>Viagens e Estadias c/ Vendas</v>
      </c>
      <c r="I3969" s="77" t="str">
        <f>IFERROR(VLOOKUP(DESPESAS[[#This Row],[Fornecedor]],Tabela2[],2,FALSE),"")</f>
        <v/>
      </c>
      <c r="J3969" s="77" t="str">
        <f>IFERROR(VLOOKUP(DESPESAS[[#This Row],[Plano de Contas]],BASE!$B$3:$F$119,4,FALSE),"")</f>
        <v>6 - DESPESA COM VENDAS</v>
      </c>
      <c r="K3969" s="77" t="str">
        <f>IFERROR(VLOOKUP(DESPESAS[[#This Row],[Plano de Contas]],BASE!$B$3:$H$119,5,FALSE),"")</f>
        <v>COMERCIAL</v>
      </c>
      <c r="L3969" s="77">
        <f>IFERROR(VLOOKUP(DESPESAS[[#This Row],[Plano de Contas]],BASE!$B$3:$H$119,6,FALSE),"")</f>
        <v>0</v>
      </c>
      <c r="M3969" s="77" t="str">
        <f>VLOOKUP(DESPESAS[[#This Row],[Plano de Contas]],BASE!$B$3:$H$119,7,FALSE)</f>
        <v>LETÍCIA</v>
      </c>
    </row>
    <row r="3970" spans="1:13" x14ac:dyDescent="0.25">
      <c r="A3970" s="74">
        <v>201370</v>
      </c>
      <c r="B3970" s="75" t="s">
        <v>221</v>
      </c>
      <c r="C3970" s="75" t="s">
        <v>3868</v>
      </c>
      <c r="D3970" s="76">
        <v>46143</v>
      </c>
      <c r="E3970" s="75" t="s">
        <v>3869</v>
      </c>
      <c r="F3970" s="74">
        <v>359.48</v>
      </c>
      <c r="G3970" s="75" t="s">
        <v>1318</v>
      </c>
      <c r="H3970" s="77" t="str">
        <f>VLOOKUP(DESPESAS[[#This Row],[Plano de Contas]],BASE!$B$3:$D$119,3,FALSE)</f>
        <v>Feiras e Eventos</v>
      </c>
      <c r="I3970" s="77" t="str">
        <f>IFERROR(VLOOKUP(DESPESAS[[#This Row],[Fornecedor]],Tabela2[],2,FALSE),"")</f>
        <v/>
      </c>
      <c r="J3970" s="77" t="str">
        <f>IFERROR(VLOOKUP(DESPESAS[[#This Row],[Plano de Contas]],BASE!$B$3:$F$119,4,FALSE),"")</f>
        <v>6 - DESPESA COM VENDAS</v>
      </c>
      <c r="K3970" s="77" t="str">
        <f>IFERROR(VLOOKUP(DESPESAS[[#This Row],[Plano de Contas]],BASE!$B$3:$H$119,5,FALSE),"")</f>
        <v>COMERCIAL</v>
      </c>
      <c r="L3970" s="77">
        <f>IFERROR(VLOOKUP(DESPESAS[[#This Row],[Plano de Contas]],BASE!$B$3:$H$119,6,FALSE),"")</f>
        <v>0</v>
      </c>
      <c r="M3970" s="77" t="str">
        <f>VLOOKUP(DESPESAS[[#This Row],[Plano de Contas]],BASE!$B$3:$H$119,7,FALSE)</f>
        <v>THAIS</v>
      </c>
    </row>
    <row r="3971" spans="1:13" x14ac:dyDescent="0.25">
      <c r="A3971" s="74">
        <v>201371</v>
      </c>
      <c r="B3971" s="75" t="s">
        <v>281</v>
      </c>
      <c r="C3971" s="75" t="s">
        <v>3870</v>
      </c>
      <c r="D3971" s="76">
        <v>46149</v>
      </c>
      <c r="E3971" s="75" t="s">
        <v>2122</v>
      </c>
      <c r="F3971" s="74">
        <v>228.88</v>
      </c>
      <c r="G3971" s="75" t="s">
        <v>326</v>
      </c>
      <c r="H3971" s="77" t="str">
        <f>VLOOKUP(DESPESAS[[#This Row],[Plano de Contas]],BASE!$B$3:$D$119,3,FALSE)</f>
        <v>Frete sobre Compras</v>
      </c>
      <c r="I3971" s="77" t="str">
        <f>IFERROR(VLOOKUP(DESPESAS[[#This Row],[Fornecedor]],Tabela2[],2,FALSE),"")</f>
        <v/>
      </c>
      <c r="J3971" s="77" t="str">
        <f>IFERROR(VLOOKUP(DESPESAS[[#This Row],[Plano de Contas]],BASE!$B$3:$F$119,4,FALSE),"")</f>
        <v>1 - CPV</v>
      </c>
      <c r="K3971" s="77" t="str">
        <f>IFERROR(VLOOKUP(DESPESAS[[#This Row],[Plano de Contas]],BASE!$B$3:$H$119,5,FALSE),"")</f>
        <v>COMPRAS</v>
      </c>
      <c r="L3971" s="77">
        <f>IFERROR(VLOOKUP(DESPESAS[[#This Row],[Plano de Contas]],BASE!$B$3:$H$119,6,FALSE),"")</f>
        <v>0</v>
      </c>
      <c r="M3971" s="77" t="str">
        <f>VLOOKUP(DESPESAS[[#This Row],[Plano de Contas]],BASE!$B$3:$H$119,7,FALSE)</f>
        <v>MYLENA</v>
      </c>
    </row>
    <row r="3972" spans="1:13" x14ac:dyDescent="0.25">
      <c r="A3972" s="74">
        <v>201373</v>
      </c>
      <c r="B3972" s="75" t="s">
        <v>232</v>
      </c>
      <c r="C3972" s="75" t="s">
        <v>3871</v>
      </c>
      <c r="D3972" s="76">
        <v>46149</v>
      </c>
      <c r="E3972" s="75" t="s">
        <v>3872</v>
      </c>
      <c r="F3972" s="74">
        <v>4543</v>
      </c>
      <c r="G3972" s="75" t="s">
        <v>255</v>
      </c>
      <c r="H3972" s="77" t="str">
        <f>VLOOKUP(DESPESAS[[#This Row],[Plano de Contas]],BASE!$B$3:$D$119,3,FALSE)</f>
        <v>Mostruário de Tecido</v>
      </c>
      <c r="I3972" s="77" t="str">
        <f>IFERROR(VLOOKUP(DESPESAS[[#This Row],[Fornecedor]],Tabela2[],2,FALSE),"")</f>
        <v/>
      </c>
      <c r="J3972" s="77" t="str">
        <f>IFERROR(VLOOKUP(DESPESAS[[#This Row],[Plano de Contas]],BASE!$B$3:$F$119,4,FALSE),"")</f>
        <v>6 - DESPESA COM VENDAS</v>
      </c>
      <c r="K3972" s="77" t="str">
        <f>IFERROR(VLOOKUP(DESPESAS[[#This Row],[Plano de Contas]],BASE!$B$3:$H$119,5,FALSE),"")</f>
        <v>COMERCIAL</v>
      </c>
      <c r="L3972" s="77">
        <f>IFERROR(VLOOKUP(DESPESAS[[#This Row],[Plano de Contas]],BASE!$B$3:$H$119,6,FALSE),"")</f>
        <v>0</v>
      </c>
      <c r="M3972" s="77" t="str">
        <f>VLOOKUP(DESPESAS[[#This Row],[Plano de Contas]],BASE!$B$3:$H$119,7,FALSE)</f>
        <v>LETÍCIA</v>
      </c>
    </row>
    <row r="3973" spans="1:13" x14ac:dyDescent="0.25">
      <c r="A3973" s="74">
        <v>201374</v>
      </c>
      <c r="B3973" s="75" t="s">
        <v>221</v>
      </c>
      <c r="C3973" s="75" t="s">
        <v>3868</v>
      </c>
      <c r="D3973" s="76">
        <v>46143</v>
      </c>
      <c r="E3973" s="75" t="s">
        <v>1089</v>
      </c>
      <c r="F3973" s="74">
        <v>1184.6099999999999</v>
      </c>
      <c r="G3973" s="75" t="s">
        <v>1318</v>
      </c>
      <c r="H3973" s="77" t="str">
        <f>VLOOKUP(DESPESAS[[#This Row],[Plano de Contas]],BASE!$B$3:$D$119,3,FALSE)</f>
        <v>Feiras e Eventos</v>
      </c>
      <c r="I3973" s="77" t="str">
        <f>IFERROR(VLOOKUP(DESPESAS[[#This Row],[Fornecedor]],Tabela2[],2,FALSE),"")</f>
        <v/>
      </c>
      <c r="J3973" s="77" t="str">
        <f>IFERROR(VLOOKUP(DESPESAS[[#This Row],[Plano de Contas]],BASE!$B$3:$F$119,4,FALSE),"")</f>
        <v>6 - DESPESA COM VENDAS</v>
      </c>
      <c r="K3973" s="77" t="str">
        <f>IFERROR(VLOOKUP(DESPESAS[[#This Row],[Plano de Contas]],BASE!$B$3:$H$119,5,FALSE),"")</f>
        <v>COMERCIAL</v>
      </c>
      <c r="L3973" s="77">
        <f>IFERROR(VLOOKUP(DESPESAS[[#This Row],[Plano de Contas]],BASE!$B$3:$H$119,6,FALSE),"")</f>
        <v>0</v>
      </c>
      <c r="M3973" s="77" t="str">
        <f>VLOOKUP(DESPESAS[[#This Row],[Plano de Contas]],BASE!$B$3:$H$119,7,FALSE)</f>
        <v>THAIS</v>
      </c>
    </row>
    <row r="3974" spans="1:13" x14ac:dyDescent="0.25">
      <c r="A3974" s="74">
        <v>201375</v>
      </c>
      <c r="B3974" s="75" t="s">
        <v>232</v>
      </c>
      <c r="C3974" s="75" t="s">
        <v>3873</v>
      </c>
      <c r="D3974" s="76">
        <v>46149</v>
      </c>
      <c r="E3974" s="75" t="s">
        <v>409</v>
      </c>
      <c r="F3974" s="74">
        <v>241.75</v>
      </c>
      <c r="G3974" s="75" t="s">
        <v>255</v>
      </c>
      <c r="H3974" s="77" t="str">
        <f>VLOOKUP(DESPESAS[[#This Row],[Plano de Contas]],BASE!$B$3:$D$119,3,FALSE)</f>
        <v>Mostruário de Tecido</v>
      </c>
      <c r="I3974" s="77" t="str">
        <f>IFERROR(VLOOKUP(DESPESAS[[#This Row],[Fornecedor]],Tabela2[],2,FALSE),"")</f>
        <v>SERVIÇOS FRETE</v>
      </c>
      <c r="J3974" s="77" t="str">
        <f>IFERROR(VLOOKUP(DESPESAS[[#This Row],[Plano de Contas]],BASE!$B$3:$F$119,4,FALSE),"")</f>
        <v>6 - DESPESA COM VENDAS</v>
      </c>
      <c r="K3974" s="77" t="str">
        <f>IFERROR(VLOOKUP(DESPESAS[[#This Row],[Plano de Contas]],BASE!$B$3:$H$119,5,FALSE),"")</f>
        <v>COMERCIAL</v>
      </c>
      <c r="L3974" s="77">
        <f>IFERROR(VLOOKUP(DESPESAS[[#This Row],[Plano de Contas]],BASE!$B$3:$H$119,6,FALSE),"")</f>
        <v>0</v>
      </c>
      <c r="M3974" s="77" t="str">
        <f>VLOOKUP(DESPESAS[[#This Row],[Plano de Contas]],BASE!$B$3:$H$119,7,FALSE)</f>
        <v>LETÍCIA</v>
      </c>
    </row>
    <row r="3975" spans="1:13" x14ac:dyDescent="0.25">
      <c r="A3975" s="74">
        <v>201376</v>
      </c>
      <c r="B3975" s="75" t="s">
        <v>221</v>
      </c>
      <c r="C3975" s="75" t="s">
        <v>3874</v>
      </c>
      <c r="D3975" s="76">
        <v>46148</v>
      </c>
      <c r="E3975" s="75" t="s">
        <v>3875</v>
      </c>
      <c r="F3975" s="74">
        <v>650</v>
      </c>
      <c r="G3975" s="75" t="s">
        <v>225</v>
      </c>
      <c r="H3975" s="77" t="str">
        <f>VLOOKUP(DESPESAS[[#This Row],[Plano de Contas]],BASE!$B$3:$D$119,3,FALSE)</f>
        <v>Despesas de Outros Gastos Não Operacionais</v>
      </c>
      <c r="I3975" s="77" t="str">
        <f>IFERROR(VLOOKUP(DESPESAS[[#This Row],[Fornecedor]],Tabela2[],2,FALSE),"")</f>
        <v/>
      </c>
      <c r="J3975" s="77" t="str">
        <f>IFERROR(VLOOKUP(DESPESAS[[#This Row],[Plano de Contas]],BASE!$B$3:$F$119,4,FALSE),"")</f>
        <v>8 - DESPESAS FINANCEIRAS</v>
      </c>
      <c r="K3975" s="77" t="str">
        <f>IFERROR(VLOOKUP(DESPESAS[[#This Row],[Plano de Contas]],BASE!$B$3:$H$119,5,FALSE),"")</f>
        <v>FINANCEIRO</v>
      </c>
      <c r="L3975" s="77">
        <f>IFERROR(VLOOKUP(DESPESAS[[#This Row],[Plano de Contas]],BASE!$B$3:$H$119,6,FALSE),"")</f>
        <v>0</v>
      </c>
      <c r="M3975" s="77" t="str">
        <f>VLOOKUP(DESPESAS[[#This Row],[Plano de Contas]],BASE!$B$3:$H$119,7,FALSE)</f>
        <v>LETÍCIA</v>
      </c>
    </row>
    <row r="3976" spans="1:13" x14ac:dyDescent="0.25">
      <c r="A3976" s="74">
        <v>201377</v>
      </c>
      <c r="B3976" s="75" t="s">
        <v>279</v>
      </c>
      <c r="C3976" s="75" t="s">
        <v>3876</v>
      </c>
      <c r="D3976" s="76">
        <v>46149</v>
      </c>
      <c r="E3976" s="75" t="s">
        <v>2122</v>
      </c>
      <c r="F3976" s="74">
        <v>203.84</v>
      </c>
      <c r="G3976" s="75" t="s">
        <v>326</v>
      </c>
      <c r="H3976" s="77" t="str">
        <f>VLOOKUP(DESPESAS[[#This Row],[Plano de Contas]],BASE!$B$3:$D$119,3,FALSE)</f>
        <v>Frete sobre Compras</v>
      </c>
      <c r="I3976" s="77" t="str">
        <f>IFERROR(VLOOKUP(DESPESAS[[#This Row],[Fornecedor]],Tabela2[],2,FALSE),"")</f>
        <v/>
      </c>
      <c r="J3976" s="77" t="str">
        <f>IFERROR(VLOOKUP(DESPESAS[[#This Row],[Plano de Contas]],BASE!$B$3:$F$119,4,FALSE),"")</f>
        <v>1 - CPV</v>
      </c>
      <c r="K3976" s="77" t="str">
        <f>IFERROR(VLOOKUP(DESPESAS[[#This Row],[Plano de Contas]],BASE!$B$3:$H$119,5,FALSE),"")</f>
        <v>COMPRAS</v>
      </c>
      <c r="L3976" s="77">
        <f>IFERROR(VLOOKUP(DESPESAS[[#This Row],[Plano de Contas]],BASE!$B$3:$H$119,6,FALSE),"")</f>
        <v>0</v>
      </c>
      <c r="M3976" s="77" t="str">
        <f>VLOOKUP(DESPESAS[[#This Row],[Plano de Contas]],BASE!$B$3:$H$119,7,FALSE)</f>
        <v>MYLENA</v>
      </c>
    </row>
    <row r="3977" spans="1:13" x14ac:dyDescent="0.25">
      <c r="A3977" s="74">
        <v>201379</v>
      </c>
      <c r="B3977" s="75" t="s">
        <v>232</v>
      </c>
      <c r="C3977" s="75" t="s">
        <v>3877</v>
      </c>
      <c r="D3977" s="76">
        <v>46149</v>
      </c>
      <c r="E3977" s="75" t="s">
        <v>589</v>
      </c>
      <c r="F3977" s="74">
        <v>464</v>
      </c>
      <c r="G3977" s="75" t="s">
        <v>218</v>
      </c>
      <c r="H3977" s="77" t="str">
        <f>VLOOKUP(DESPESAS[[#This Row],[Plano de Contas]],BASE!$B$3:$D$119,3,FALSE)</f>
        <v>Manutenção de Equipamentos (Prod)</v>
      </c>
      <c r="I3977" s="77" t="str">
        <f>IFERROR(VLOOKUP(DESPESAS[[#This Row],[Fornecedor]],Tabela2[],2,FALSE),"")</f>
        <v>COMPRESSORES</v>
      </c>
      <c r="J3977" s="77" t="str">
        <f>IFERROR(VLOOKUP(DESPESAS[[#This Row],[Plano de Contas]],BASE!$B$3:$F$119,4,FALSE),"")</f>
        <v>3 - CUSTOS INDIRETOS</v>
      </c>
      <c r="K3977" s="77" t="str">
        <f>IFERROR(VLOOKUP(DESPESAS[[#This Row],[Plano de Contas]],BASE!$B$3:$H$119,5,FALSE),"")</f>
        <v>MANUTENÇÃO / TI</v>
      </c>
      <c r="L3977" s="77">
        <f>IFERROR(VLOOKUP(DESPESAS[[#This Row],[Plano de Contas]],BASE!$B$3:$H$119,6,FALSE),"")</f>
        <v>0</v>
      </c>
      <c r="M3977" s="77" t="str">
        <f>VLOOKUP(DESPESAS[[#This Row],[Plano de Contas]],BASE!$B$3:$H$119,7,FALSE)</f>
        <v>RAFAEL</v>
      </c>
    </row>
    <row r="3978" spans="1:13" x14ac:dyDescent="0.25">
      <c r="A3978" s="74">
        <v>201380</v>
      </c>
      <c r="B3978" s="75" t="s">
        <v>221</v>
      </c>
      <c r="C3978" s="75" t="s">
        <v>3878</v>
      </c>
      <c r="D3978" s="76">
        <v>46149</v>
      </c>
      <c r="E3978" s="75" t="s">
        <v>3879</v>
      </c>
      <c r="F3978" s="74">
        <v>20.55</v>
      </c>
      <c r="G3978" s="75" t="s">
        <v>561</v>
      </c>
      <c r="H3978" s="77" t="str">
        <f>VLOOKUP(DESPESAS[[#This Row],[Plano de Contas]],BASE!$B$3:$D$119,3,FALSE)</f>
        <v>Sistemas de Informação</v>
      </c>
      <c r="I3978" s="77" t="str">
        <f>IFERROR(VLOOKUP(DESPESAS[[#This Row],[Fornecedor]],Tabela2[],2,FALSE),"")</f>
        <v/>
      </c>
      <c r="J3978" s="77" t="str">
        <f>IFERROR(VLOOKUP(DESPESAS[[#This Row],[Plano de Contas]],BASE!$B$3:$F$119,4,FALSE),"")</f>
        <v>7 - SERVIÇOS DE TERCEIROS</v>
      </c>
      <c r="K3978" s="77" t="str">
        <f>IFERROR(VLOOKUP(DESPESAS[[#This Row],[Plano de Contas]],BASE!$B$3:$H$119,5,FALSE),"")</f>
        <v>MANUTENÇÃO / TI</v>
      </c>
      <c r="L3978" s="77">
        <f>IFERROR(VLOOKUP(DESPESAS[[#This Row],[Plano de Contas]],BASE!$B$3:$H$119,6,FALSE),"")</f>
        <v>0</v>
      </c>
      <c r="M3978" s="77" t="str">
        <f>VLOOKUP(DESPESAS[[#This Row],[Plano de Contas]],BASE!$B$3:$H$119,7,FALSE)</f>
        <v>LETÍCIA</v>
      </c>
    </row>
    <row r="3979" spans="1:13" x14ac:dyDescent="0.25">
      <c r="A3979" s="74">
        <v>201381</v>
      </c>
      <c r="B3979" s="75" t="s">
        <v>232</v>
      </c>
      <c r="C3979" s="75" t="s">
        <v>3880</v>
      </c>
      <c r="D3979" s="76">
        <v>46149</v>
      </c>
      <c r="E3979" s="75" t="s">
        <v>1438</v>
      </c>
      <c r="F3979" s="74">
        <v>210</v>
      </c>
      <c r="G3979" s="75" t="s">
        <v>218</v>
      </c>
      <c r="H3979" s="77" t="str">
        <f>VLOOKUP(DESPESAS[[#This Row],[Plano de Contas]],BASE!$B$3:$D$119,3,FALSE)</f>
        <v>Manutenção de Equipamentos (Prod)</v>
      </c>
      <c r="I3979" s="77" t="str">
        <f>IFERROR(VLOOKUP(DESPESAS[[#This Row],[Fornecedor]],Tabela2[],2,FALSE),"")</f>
        <v>MATERIAIS PNEUMATICOS</v>
      </c>
      <c r="J3979" s="77" t="str">
        <f>IFERROR(VLOOKUP(DESPESAS[[#This Row],[Plano de Contas]],BASE!$B$3:$F$119,4,FALSE),"")</f>
        <v>3 - CUSTOS INDIRETOS</v>
      </c>
      <c r="K3979" s="77" t="str">
        <f>IFERROR(VLOOKUP(DESPESAS[[#This Row],[Plano de Contas]],BASE!$B$3:$H$119,5,FALSE),"")</f>
        <v>MANUTENÇÃO / TI</v>
      </c>
      <c r="L3979" s="77">
        <f>IFERROR(VLOOKUP(DESPESAS[[#This Row],[Plano de Contas]],BASE!$B$3:$H$119,6,FALSE),"")</f>
        <v>0</v>
      </c>
      <c r="M3979" s="77" t="str">
        <f>VLOOKUP(DESPESAS[[#This Row],[Plano de Contas]],BASE!$B$3:$H$119,7,FALSE)</f>
        <v>RAFAEL</v>
      </c>
    </row>
    <row r="3980" spans="1:13" x14ac:dyDescent="0.25">
      <c r="A3980" s="74">
        <v>201382</v>
      </c>
      <c r="B3980" s="75" t="s">
        <v>221</v>
      </c>
      <c r="C3980" s="75" t="s">
        <v>3881</v>
      </c>
      <c r="D3980" s="76">
        <v>46149</v>
      </c>
      <c r="E3980" s="75" t="s">
        <v>502</v>
      </c>
      <c r="F3980" s="74">
        <v>230</v>
      </c>
      <c r="G3980" s="75" t="s">
        <v>241</v>
      </c>
      <c r="H3980" s="77" t="str">
        <f>VLOOKUP(DESPESAS[[#This Row],[Plano de Contas]],BASE!$B$3:$D$119,3,FALSE)</f>
        <v>Combustiveis Frota</v>
      </c>
      <c r="I3980" s="77" t="str">
        <f>IFERROR(VLOOKUP(DESPESAS[[#This Row],[Fornecedor]],Tabela2[],2,FALSE),"")</f>
        <v/>
      </c>
      <c r="J3980" s="77" t="str">
        <f>IFERROR(VLOOKUP(DESPESAS[[#This Row],[Plano de Contas]],BASE!$B$3:$F$119,4,FALSE),"")</f>
        <v>6 - DESPESA COM VENDAS</v>
      </c>
      <c r="K3980" s="77" t="str">
        <f>IFERROR(VLOOKUP(DESPESAS[[#This Row],[Plano de Contas]],BASE!$B$3:$H$119,5,FALSE),"")</f>
        <v>LOGÍSTICA</v>
      </c>
      <c r="L3980" s="77">
        <f>IFERROR(VLOOKUP(DESPESAS[[#This Row],[Plano de Contas]],BASE!$B$3:$H$119,6,FALSE),"")</f>
        <v>0</v>
      </c>
      <c r="M3980" s="77" t="str">
        <f>VLOOKUP(DESPESAS[[#This Row],[Plano de Contas]],BASE!$B$3:$H$119,7,FALSE)</f>
        <v>MYLENA</v>
      </c>
    </row>
    <row r="3981" spans="1:13" x14ac:dyDescent="0.25">
      <c r="A3981" s="74">
        <v>201383</v>
      </c>
      <c r="B3981" s="75" t="s">
        <v>221</v>
      </c>
      <c r="C3981" s="75" t="s">
        <v>3882</v>
      </c>
      <c r="D3981" s="76">
        <v>46149</v>
      </c>
      <c r="E3981" s="75" t="s">
        <v>307</v>
      </c>
      <c r="F3981" s="74">
        <v>55.5</v>
      </c>
      <c r="G3981" s="75" t="s">
        <v>247</v>
      </c>
      <c r="H3981" s="77" t="str">
        <f>VLOOKUP(DESPESAS[[#This Row],[Plano de Contas]],BASE!$B$3:$D$119,3,FALSE)</f>
        <v>Manutenção com veiculos</v>
      </c>
      <c r="I3981" s="77" t="str">
        <f>IFERROR(VLOOKUP(DESPESAS[[#This Row],[Fornecedor]],Tabela2[],2,FALSE),"")</f>
        <v>FERRAGENS GERAIS</v>
      </c>
      <c r="J3981" s="77" t="str">
        <f>IFERROR(VLOOKUP(DESPESAS[[#This Row],[Plano de Contas]],BASE!$B$3:$F$119,4,FALSE),"")</f>
        <v>6 - DESPESA COM VENDAS</v>
      </c>
      <c r="K3981" s="77" t="str">
        <f>IFERROR(VLOOKUP(DESPESAS[[#This Row],[Plano de Contas]],BASE!$B$3:$H$119,5,FALSE),"")</f>
        <v>LOGÍSTICA</v>
      </c>
      <c r="L3981" s="77">
        <f>IFERROR(VLOOKUP(DESPESAS[[#This Row],[Plano de Contas]],BASE!$B$3:$H$119,6,FALSE),"")</f>
        <v>0</v>
      </c>
      <c r="M3981" s="77" t="str">
        <f>VLOOKUP(DESPESAS[[#This Row],[Plano de Contas]],BASE!$B$3:$H$119,7,FALSE)</f>
        <v>MYLENA</v>
      </c>
    </row>
    <row r="3982" spans="1:13" x14ac:dyDescent="0.25">
      <c r="A3982" s="74">
        <v>201384</v>
      </c>
      <c r="B3982" s="75" t="s">
        <v>221</v>
      </c>
      <c r="C3982" s="75" t="s">
        <v>3883</v>
      </c>
      <c r="D3982" s="76">
        <v>46149</v>
      </c>
      <c r="E3982" s="75" t="s">
        <v>301</v>
      </c>
      <c r="F3982" s="74">
        <v>40</v>
      </c>
      <c r="G3982" s="75" t="s">
        <v>247</v>
      </c>
      <c r="H3982" s="77" t="str">
        <f>VLOOKUP(DESPESAS[[#This Row],[Plano de Contas]],BASE!$B$3:$D$119,3,FALSE)</f>
        <v>Manutenção com veiculos</v>
      </c>
      <c r="I3982" s="77" t="str">
        <f>IFERROR(VLOOKUP(DESPESAS[[#This Row],[Fornecedor]],Tabela2[],2,FALSE),"")</f>
        <v/>
      </c>
      <c r="J3982" s="77" t="str">
        <f>IFERROR(VLOOKUP(DESPESAS[[#This Row],[Plano de Contas]],BASE!$B$3:$F$119,4,FALSE),"")</f>
        <v>6 - DESPESA COM VENDAS</v>
      </c>
      <c r="K3982" s="77" t="str">
        <f>IFERROR(VLOOKUP(DESPESAS[[#This Row],[Plano de Contas]],BASE!$B$3:$H$119,5,FALSE),"")</f>
        <v>LOGÍSTICA</v>
      </c>
      <c r="L3982" s="77">
        <f>IFERROR(VLOOKUP(DESPESAS[[#This Row],[Plano de Contas]],BASE!$B$3:$H$119,6,FALSE),"")</f>
        <v>0</v>
      </c>
      <c r="M3982" s="77" t="str">
        <f>VLOOKUP(DESPESAS[[#This Row],[Plano de Contas]],BASE!$B$3:$H$119,7,FALSE)</f>
        <v>MYLENA</v>
      </c>
    </row>
    <row r="3983" spans="1:13" x14ac:dyDescent="0.25">
      <c r="A3983" s="74">
        <v>201385</v>
      </c>
      <c r="B3983" s="75" t="s">
        <v>232</v>
      </c>
      <c r="C3983" s="75" t="s">
        <v>3884</v>
      </c>
      <c r="D3983" s="76">
        <v>46149</v>
      </c>
      <c r="E3983" s="75" t="s">
        <v>230</v>
      </c>
      <c r="F3983" s="74">
        <v>1024.93</v>
      </c>
      <c r="G3983" s="75" t="s">
        <v>229</v>
      </c>
      <c r="H3983" s="77" t="str">
        <f>VLOOKUP(DESPESAS[[#This Row],[Plano de Contas]],BASE!$B$3:$D$119,3,FALSE)</f>
        <v>Despesas Bancarias</v>
      </c>
      <c r="I3983" s="77" t="str">
        <f>IFERROR(VLOOKUP(DESPESAS[[#This Row],[Fornecedor]],Tabela2[],2,FALSE),"")</f>
        <v/>
      </c>
      <c r="J3983" s="77" t="str">
        <f>IFERROR(VLOOKUP(DESPESAS[[#This Row],[Plano de Contas]],BASE!$B$3:$F$119,4,FALSE),"")</f>
        <v>8 - DESPESAS FINANCEIRAS</v>
      </c>
      <c r="K3983" s="77" t="str">
        <f>IFERROR(VLOOKUP(DESPESAS[[#This Row],[Plano de Contas]],BASE!$B$3:$H$119,5,FALSE),"")</f>
        <v>FINANCEIRO</v>
      </c>
      <c r="L3983" s="77">
        <f>IFERROR(VLOOKUP(DESPESAS[[#This Row],[Plano de Contas]],BASE!$B$3:$H$119,6,FALSE),"")</f>
        <v>0</v>
      </c>
      <c r="M3983" s="77" t="str">
        <f>VLOOKUP(DESPESAS[[#This Row],[Plano de Contas]],BASE!$B$3:$H$119,7,FALSE)</f>
        <v>LETÍCIA</v>
      </c>
    </row>
    <row r="3984" spans="1:13" x14ac:dyDescent="0.25">
      <c r="A3984" s="74">
        <v>201386</v>
      </c>
      <c r="B3984" s="75" t="s">
        <v>232</v>
      </c>
      <c r="C3984" s="75" t="s">
        <v>3885</v>
      </c>
      <c r="D3984" s="76">
        <v>46149</v>
      </c>
      <c r="E3984" s="75" t="s">
        <v>230</v>
      </c>
      <c r="F3984" s="74">
        <v>700.84</v>
      </c>
      <c r="G3984" s="75" t="s">
        <v>229</v>
      </c>
      <c r="H3984" s="77" t="str">
        <f>VLOOKUP(DESPESAS[[#This Row],[Plano de Contas]],BASE!$B$3:$D$119,3,FALSE)</f>
        <v>Despesas Bancarias</v>
      </c>
      <c r="I3984" s="77" t="str">
        <f>IFERROR(VLOOKUP(DESPESAS[[#This Row],[Fornecedor]],Tabela2[],2,FALSE),"")</f>
        <v/>
      </c>
      <c r="J3984" s="77" t="str">
        <f>IFERROR(VLOOKUP(DESPESAS[[#This Row],[Plano de Contas]],BASE!$B$3:$F$119,4,FALSE),"")</f>
        <v>8 - DESPESAS FINANCEIRAS</v>
      </c>
      <c r="K3984" s="77" t="str">
        <f>IFERROR(VLOOKUP(DESPESAS[[#This Row],[Plano de Contas]],BASE!$B$3:$H$119,5,FALSE),"")</f>
        <v>FINANCEIRO</v>
      </c>
      <c r="L3984" s="77">
        <f>IFERROR(VLOOKUP(DESPESAS[[#This Row],[Plano de Contas]],BASE!$B$3:$H$119,6,FALSE),"")</f>
        <v>0</v>
      </c>
      <c r="M3984" s="77" t="str">
        <f>VLOOKUP(DESPESAS[[#This Row],[Plano de Contas]],BASE!$B$3:$H$119,7,FALSE)</f>
        <v>LETÍCIA</v>
      </c>
    </row>
    <row r="3985" spans="1:13" x14ac:dyDescent="0.25">
      <c r="A3985" s="74">
        <v>201387</v>
      </c>
      <c r="B3985" s="75" t="s">
        <v>232</v>
      </c>
      <c r="C3985" s="75" t="s">
        <v>3886</v>
      </c>
      <c r="D3985" s="76">
        <v>46149</v>
      </c>
      <c r="E3985" s="75" t="s">
        <v>230</v>
      </c>
      <c r="F3985" s="74">
        <v>6446.51</v>
      </c>
      <c r="G3985" s="75" t="s">
        <v>251</v>
      </c>
      <c r="H3985" s="77" t="str">
        <f>VLOOKUP(DESPESAS[[#This Row],[Plano de Contas]],BASE!$B$3:$D$119,3,FALSE)</f>
        <v>Juros Pagos - Antecipação de Crédito</v>
      </c>
      <c r="I3985" s="77" t="str">
        <f>IFERROR(VLOOKUP(DESPESAS[[#This Row],[Fornecedor]],Tabela2[],2,FALSE),"")</f>
        <v/>
      </c>
      <c r="J3985" s="77" t="str">
        <f>IFERROR(VLOOKUP(DESPESAS[[#This Row],[Plano de Contas]],BASE!$B$3:$F$119,4,FALSE),"")</f>
        <v>8 - DESPESAS FINANCEIRAS</v>
      </c>
      <c r="K3985" s="77" t="str">
        <f>IFERROR(VLOOKUP(DESPESAS[[#This Row],[Plano de Contas]],BASE!$B$3:$H$119,5,FALSE),"")</f>
        <v>FINANCEIRO</v>
      </c>
      <c r="L3985" s="77">
        <f>IFERROR(VLOOKUP(DESPESAS[[#This Row],[Plano de Contas]],BASE!$B$3:$H$119,6,FALSE),"")</f>
        <v>0</v>
      </c>
      <c r="M3985" s="77" t="str">
        <f>VLOOKUP(DESPESAS[[#This Row],[Plano de Contas]],BASE!$B$3:$H$119,7,FALSE)</f>
        <v>LETÍCIA</v>
      </c>
    </row>
    <row r="3986" spans="1:13" x14ac:dyDescent="0.25">
      <c r="A3986" s="74">
        <v>201389</v>
      </c>
      <c r="B3986" s="75" t="s">
        <v>279</v>
      </c>
      <c r="C3986" s="75" t="s">
        <v>3887</v>
      </c>
      <c r="D3986" s="76">
        <v>46149</v>
      </c>
      <c r="E3986" s="75" t="s">
        <v>230</v>
      </c>
      <c r="F3986" s="74">
        <v>475.41</v>
      </c>
      <c r="G3986" s="75" t="s">
        <v>229</v>
      </c>
      <c r="H3986" s="77" t="str">
        <f>VLOOKUP(DESPESAS[[#This Row],[Plano de Contas]],BASE!$B$3:$D$119,3,FALSE)</f>
        <v>Despesas Bancarias</v>
      </c>
      <c r="I3986" s="77" t="str">
        <f>IFERROR(VLOOKUP(DESPESAS[[#This Row],[Fornecedor]],Tabela2[],2,FALSE),"")</f>
        <v/>
      </c>
      <c r="J3986" s="77" t="str">
        <f>IFERROR(VLOOKUP(DESPESAS[[#This Row],[Plano de Contas]],BASE!$B$3:$F$119,4,FALSE),"")</f>
        <v>8 - DESPESAS FINANCEIRAS</v>
      </c>
      <c r="K3986" s="77" t="str">
        <f>IFERROR(VLOOKUP(DESPESAS[[#This Row],[Plano de Contas]],BASE!$B$3:$H$119,5,FALSE),"")</f>
        <v>FINANCEIRO</v>
      </c>
      <c r="L3986" s="77">
        <f>IFERROR(VLOOKUP(DESPESAS[[#This Row],[Plano de Contas]],BASE!$B$3:$H$119,6,FALSE),"")</f>
        <v>0</v>
      </c>
      <c r="M3986" s="77" t="str">
        <f>VLOOKUP(DESPESAS[[#This Row],[Plano de Contas]],BASE!$B$3:$H$119,7,FALSE)</f>
        <v>LETÍCIA</v>
      </c>
    </row>
    <row r="3987" spans="1:13" x14ac:dyDescent="0.25">
      <c r="A3987" s="74">
        <v>201390</v>
      </c>
      <c r="B3987" s="75" t="s">
        <v>279</v>
      </c>
      <c r="C3987" s="75" t="s">
        <v>3888</v>
      </c>
      <c r="D3987" s="76">
        <v>46149</v>
      </c>
      <c r="E3987" s="75" t="s">
        <v>230</v>
      </c>
      <c r="F3987" s="74">
        <v>399.52</v>
      </c>
      <c r="G3987" s="75" t="s">
        <v>229</v>
      </c>
      <c r="H3987" s="77" t="str">
        <f>VLOOKUP(DESPESAS[[#This Row],[Plano de Contas]],BASE!$B$3:$D$119,3,FALSE)</f>
        <v>Despesas Bancarias</v>
      </c>
      <c r="I3987" s="77" t="str">
        <f>IFERROR(VLOOKUP(DESPESAS[[#This Row],[Fornecedor]],Tabela2[],2,FALSE),"")</f>
        <v/>
      </c>
      <c r="J3987" s="77" t="str">
        <f>IFERROR(VLOOKUP(DESPESAS[[#This Row],[Plano de Contas]],BASE!$B$3:$F$119,4,FALSE),"")</f>
        <v>8 - DESPESAS FINANCEIRAS</v>
      </c>
      <c r="K3987" s="77" t="str">
        <f>IFERROR(VLOOKUP(DESPESAS[[#This Row],[Plano de Contas]],BASE!$B$3:$H$119,5,FALSE),"")</f>
        <v>FINANCEIRO</v>
      </c>
      <c r="L3987" s="77">
        <f>IFERROR(VLOOKUP(DESPESAS[[#This Row],[Plano de Contas]],BASE!$B$3:$H$119,6,FALSE),"")</f>
        <v>0</v>
      </c>
      <c r="M3987" s="77" t="str">
        <f>VLOOKUP(DESPESAS[[#This Row],[Plano de Contas]],BASE!$B$3:$H$119,7,FALSE)</f>
        <v>LETÍCIA</v>
      </c>
    </row>
    <row r="3988" spans="1:13" x14ac:dyDescent="0.25">
      <c r="A3988" s="74">
        <v>201391</v>
      </c>
      <c r="B3988" s="75" t="s">
        <v>279</v>
      </c>
      <c r="C3988" s="75" t="s">
        <v>3886</v>
      </c>
      <c r="D3988" s="76">
        <v>46149</v>
      </c>
      <c r="E3988" s="75" t="s">
        <v>230</v>
      </c>
      <c r="F3988" s="74">
        <v>2923.52</v>
      </c>
      <c r="G3988" s="75" t="s">
        <v>251</v>
      </c>
      <c r="H3988" s="77" t="str">
        <f>VLOOKUP(DESPESAS[[#This Row],[Plano de Contas]],BASE!$B$3:$D$119,3,FALSE)</f>
        <v>Juros Pagos - Antecipação de Crédito</v>
      </c>
      <c r="I3988" s="77" t="str">
        <f>IFERROR(VLOOKUP(DESPESAS[[#This Row],[Fornecedor]],Tabela2[],2,FALSE),"")</f>
        <v/>
      </c>
      <c r="J3988" s="77" t="str">
        <f>IFERROR(VLOOKUP(DESPESAS[[#This Row],[Plano de Contas]],BASE!$B$3:$F$119,4,FALSE),"")</f>
        <v>8 - DESPESAS FINANCEIRAS</v>
      </c>
      <c r="K3988" s="77" t="str">
        <f>IFERROR(VLOOKUP(DESPESAS[[#This Row],[Plano de Contas]],BASE!$B$3:$H$119,5,FALSE),"")</f>
        <v>FINANCEIRO</v>
      </c>
      <c r="L3988" s="77">
        <f>IFERROR(VLOOKUP(DESPESAS[[#This Row],[Plano de Contas]],BASE!$B$3:$H$119,6,FALSE),"")</f>
        <v>0</v>
      </c>
      <c r="M3988" s="77" t="str">
        <f>VLOOKUP(DESPESAS[[#This Row],[Plano de Contas]],BASE!$B$3:$H$119,7,FALSE)</f>
        <v>LETÍCIA</v>
      </c>
    </row>
    <row r="3989" spans="1:13" x14ac:dyDescent="0.25">
      <c r="A3989" s="74">
        <v>201392</v>
      </c>
      <c r="B3989" s="75" t="s">
        <v>232</v>
      </c>
      <c r="C3989" s="75" t="s">
        <v>3889</v>
      </c>
      <c r="D3989" s="76">
        <v>46149</v>
      </c>
      <c r="E3989" s="75" t="s">
        <v>409</v>
      </c>
      <c r="F3989" s="74">
        <v>125.07</v>
      </c>
      <c r="G3989" s="75" t="s">
        <v>326</v>
      </c>
      <c r="H3989" s="77" t="str">
        <f>VLOOKUP(DESPESAS[[#This Row],[Plano de Contas]],BASE!$B$3:$D$119,3,FALSE)</f>
        <v>Frete sobre Compras</v>
      </c>
      <c r="I3989" s="77" t="str">
        <f>IFERROR(VLOOKUP(DESPESAS[[#This Row],[Fornecedor]],Tabela2[],2,FALSE),"")</f>
        <v>SERVIÇOS FRETE</v>
      </c>
      <c r="J3989" s="77" t="str">
        <f>IFERROR(VLOOKUP(DESPESAS[[#This Row],[Plano de Contas]],BASE!$B$3:$F$119,4,FALSE),"")</f>
        <v>1 - CPV</v>
      </c>
      <c r="K3989" s="77" t="str">
        <f>IFERROR(VLOOKUP(DESPESAS[[#This Row],[Plano de Contas]],BASE!$B$3:$H$119,5,FALSE),"")</f>
        <v>COMPRAS</v>
      </c>
      <c r="L3989" s="77">
        <f>IFERROR(VLOOKUP(DESPESAS[[#This Row],[Plano de Contas]],BASE!$B$3:$H$119,6,FALSE),"")</f>
        <v>0</v>
      </c>
      <c r="M3989" s="77" t="str">
        <f>VLOOKUP(DESPESAS[[#This Row],[Plano de Contas]],BASE!$B$3:$H$119,7,FALSE)</f>
        <v>MYLENA</v>
      </c>
    </row>
    <row r="3990" spans="1:13" x14ac:dyDescent="0.25">
      <c r="A3990" s="74">
        <v>201393</v>
      </c>
      <c r="B3990" s="75" t="s">
        <v>232</v>
      </c>
      <c r="C3990" s="75" t="s">
        <v>3890</v>
      </c>
      <c r="D3990" s="76">
        <v>46149</v>
      </c>
      <c r="E3990" s="75" t="s">
        <v>409</v>
      </c>
      <c r="F3990" s="74">
        <v>126.8</v>
      </c>
      <c r="G3990" s="75" t="s">
        <v>326</v>
      </c>
      <c r="H3990" s="77" t="str">
        <f>VLOOKUP(DESPESAS[[#This Row],[Plano de Contas]],BASE!$B$3:$D$119,3,FALSE)</f>
        <v>Frete sobre Compras</v>
      </c>
      <c r="I3990" s="77" t="str">
        <f>IFERROR(VLOOKUP(DESPESAS[[#This Row],[Fornecedor]],Tabela2[],2,FALSE),"")</f>
        <v>SERVIÇOS FRETE</v>
      </c>
      <c r="J3990" s="77" t="str">
        <f>IFERROR(VLOOKUP(DESPESAS[[#This Row],[Plano de Contas]],BASE!$B$3:$F$119,4,FALSE),"")</f>
        <v>1 - CPV</v>
      </c>
      <c r="K3990" s="77" t="str">
        <f>IFERROR(VLOOKUP(DESPESAS[[#This Row],[Plano de Contas]],BASE!$B$3:$H$119,5,FALSE),"")</f>
        <v>COMPRAS</v>
      </c>
      <c r="L3990" s="77">
        <f>IFERROR(VLOOKUP(DESPESAS[[#This Row],[Plano de Contas]],BASE!$B$3:$H$119,6,FALSE),"")</f>
        <v>0</v>
      </c>
      <c r="M3990" s="77" t="str">
        <f>VLOOKUP(DESPESAS[[#This Row],[Plano de Contas]],BASE!$B$3:$H$119,7,FALSE)</f>
        <v>MYLENA</v>
      </c>
    </row>
    <row r="3991" spans="1:13" x14ac:dyDescent="0.25">
      <c r="A3991" s="74">
        <v>201394</v>
      </c>
      <c r="B3991" s="75" t="s">
        <v>232</v>
      </c>
      <c r="C3991" s="75" t="s">
        <v>3891</v>
      </c>
      <c r="D3991" s="76">
        <v>46149</v>
      </c>
      <c r="E3991" s="75" t="s">
        <v>3892</v>
      </c>
      <c r="F3991" s="74">
        <v>270</v>
      </c>
      <c r="G3991" s="75" t="s">
        <v>294</v>
      </c>
      <c r="H3991" s="77" t="str">
        <f>VLOOKUP(DESPESAS[[#This Row],[Plano de Contas]],BASE!$B$3:$D$119,3,FALSE)</f>
        <v>Insumos de Clientes</v>
      </c>
      <c r="I3991" s="77" t="str">
        <f>IFERROR(VLOOKUP(DESPESAS[[#This Row],[Fornecedor]],Tabela2[],2,FALSE),"")</f>
        <v/>
      </c>
      <c r="J3991" s="77" t="str">
        <f>IFERROR(VLOOKUP(DESPESAS[[#This Row],[Plano de Contas]],BASE!$B$3:$F$119,4,FALSE),"")</f>
        <v>8 - DESPESAS FINANCEIRAS</v>
      </c>
      <c r="K3991" s="77" t="str">
        <f>IFERROR(VLOOKUP(DESPESAS[[#This Row],[Plano de Contas]],BASE!$B$3:$H$119,5,FALSE),"")</f>
        <v>COMERCIAL</v>
      </c>
      <c r="L3991" s="77">
        <f>IFERROR(VLOOKUP(DESPESAS[[#This Row],[Plano de Contas]],BASE!$B$3:$H$119,6,FALSE),"")</f>
        <v>0</v>
      </c>
      <c r="M3991" s="77" t="str">
        <f>VLOOKUP(DESPESAS[[#This Row],[Plano de Contas]],BASE!$B$3:$H$119,7,FALSE)</f>
        <v>LETÍCIA</v>
      </c>
    </row>
    <row r="3992" spans="1:13" x14ac:dyDescent="0.25">
      <c r="A3992" s="74">
        <v>201395</v>
      </c>
      <c r="B3992" s="75" t="s">
        <v>221</v>
      </c>
      <c r="C3992" s="75" t="s">
        <v>2085</v>
      </c>
      <c r="D3992" s="76">
        <v>46149</v>
      </c>
      <c r="E3992" s="75" t="s">
        <v>1636</v>
      </c>
      <c r="F3992" s="74">
        <v>159</v>
      </c>
      <c r="G3992" s="75" t="s">
        <v>693</v>
      </c>
      <c r="H3992" s="77" t="str">
        <f>VLOOKUP(DESPESAS[[#This Row],[Plano de Contas]],BASE!$B$3:$D$119,3,FALSE)</f>
        <v>Computadores e Periféricos</v>
      </c>
      <c r="I3992" s="77" t="str">
        <f>IFERROR(VLOOKUP(DESPESAS[[#This Row],[Fornecedor]],Tabela2[],2,FALSE),"")</f>
        <v/>
      </c>
      <c r="J3992" s="77" t="str">
        <f>IFERROR(VLOOKUP(DESPESAS[[#This Row],[Plano de Contas]],BASE!$B$3:$F$119,4,FALSE),"")</f>
        <v>9 - INVESTIMENTOS</v>
      </c>
      <c r="K3992" s="77" t="str">
        <f>IFERROR(VLOOKUP(DESPESAS[[#This Row],[Plano de Contas]],BASE!$B$3:$H$119,5,FALSE),"")</f>
        <v>MANUTENÇÃO / TI</v>
      </c>
      <c r="L3992" s="77">
        <f>IFERROR(VLOOKUP(DESPESAS[[#This Row],[Plano de Contas]],BASE!$B$3:$H$119,6,FALSE),"")</f>
        <v>0</v>
      </c>
      <c r="M3992" s="77" t="str">
        <f>VLOOKUP(DESPESAS[[#This Row],[Plano de Contas]],BASE!$B$3:$H$119,7,FALSE)</f>
        <v>RAFAEL</v>
      </c>
    </row>
    <row r="3993" spans="1:13" x14ac:dyDescent="0.25">
      <c r="A3993" s="74">
        <v>201396</v>
      </c>
      <c r="B3993" s="75" t="s">
        <v>232</v>
      </c>
      <c r="C3993" s="75" t="s">
        <v>3893</v>
      </c>
      <c r="D3993" s="76">
        <v>46149</v>
      </c>
      <c r="E3993" s="75" t="s">
        <v>327</v>
      </c>
      <c r="F3993" s="74">
        <v>227.85</v>
      </c>
      <c r="G3993" s="75" t="s">
        <v>326</v>
      </c>
      <c r="H3993" s="77" t="str">
        <f>VLOOKUP(DESPESAS[[#This Row],[Plano de Contas]],BASE!$B$3:$D$119,3,FALSE)</f>
        <v>Frete sobre Compras</v>
      </c>
      <c r="I3993" s="77" t="str">
        <f>IFERROR(VLOOKUP(DESPESAS[[#This Row],[Fornecedor]],Tabela2[],2,FALSE),"")</f>
        <v>SERVIÇOS FRETE</v>
      </c>
      <c r="J3993" s="77" t="str">
        <f>IFERROR(VLOOKUP(DESPESAS[[#This Row],[Plano de Contas]],BASE!$B$3:$F$119,4,FALSE),"")</f>
        <v>1 - CPV</v>
      </c>
      <c r="K3993" s="77" t="str">
        <f>IFERROR(VLOOKUP(DESPESAS[[#This Row],[Plano de Contas]],BASE!$B$3:$H$119,5,FALSE),"")</f>
        <v>COMPRAS</v>
      </c>
      <c r="L3993" s="77">
        <f>IFERROR(VLOOKUP(DESPESAS[[#This Row],[Plano de Contas]],BASE!$B$3:$H$119,6,FALSE),"")</f>
        <v>0</v>
      </c>
      <c r="M3993" s="77" t="str">
        <f>VLOOKUP(DESPESAS[[#This Row],[Plano de Contas]],BASE!$B$3:$H$119,7,FALSE)</f>
        <v>MYLENA</v>
      </c>
    </row>
    <row r="3994" spans="1:13" x14ac:dyDescent="0.25">
      <c r="A3994" s="74">
        <v>201397</v>
      </c>
      <c r="B3994" s="75" t="s">
        <v>221</v>
      </c>
      <c r="C3994" s="75" t="s">
        <v>3894</v>
      </c>
      <c r="D3994" s="76">
        <v>46149</v>
      </c>
      <c r="E3994" s="75" t="s">
        <v>320</v>
      </c>
      <c r="F3994" s="74">
        <v>18</v>
      </c>
      <c r="G3994" s="75" t="s">
        <v>238</v>
      </c>
      <c r="H3994" s="77" t="str">
        <f>VLOOKUP(DESPESAS[[#This Row],[Plano de Contas]],BASE!$B$3:$D$119,3,FALSE)</f>
        <v>Consultoria Comercial</v>
      </c>
      <c r="I3994" s="77" t="str">
        <f>IFERROR(VLOOKUP(DESPESAS[[#This Row],[Fornecedor]],Tabela2[],2,FALSE),"")</f>
        <v/>
      </c>
      <c r="J3994" s="77" t="str">
        <f>IFERROR(VLOOKUP(DESPESAS[[#This Row],[Plano de Contas]],BASE!$B$3:$F$119,4,FALSE),"")</f>
        <v>6 - DESPESA COM VENDAS</v>
      </c>
      <c r="K3994" s="77" t="str">
        <f>IFERROR(VLOOKUP(DESPESAS[[#This Row],[Plano de Contas]],BASE!$B$3:$H$119,5,FALSE),"")</f>
        <v>COMERCIAL</v>
      </c>
      <c r="L3994" s="77">
        <f>IFERROR(VLOOKUP(DESPESAS[[#This Row],[Plano de Contas]],BASE!$B$3:$H$119,6,FALSE),"")</f>
        <v>0</v>
      </c>
      <c r="M3994" s="77" t="str">
        <f>VLOOKUP(DESPESAS[[#This Row],[Plano de Contas]],BASE!$B$3:$H$119,7,FALSE)</f>
        <v>LETÍCIA</v>
      </c>
    </row>
    <row r="3995" spans="1:13" x14ac:dyDescent="0.25">
      <c r="A3995" s="74">
        <v>201398</v>
      </c>
      <c r="B3995" s="75" t="s">
        <v>221</v>
      </c>
      <c r="C3995" s="75" t="s">
        <v>3895</v>
      </c>
      <c r="D3995" s="76">
        <v>46149</v>
      </c>
      <c r="E3995" s="75" t="s">
        <v>239</v>
      </c>
      <c r="F3995" s="74">
        <v>177.78</v>
      </c>
      <c r="G3995" s="75" t="s">
        <v>238</v>
      </c>
      <c r="H3995" s="77" t="str">
        <f>VLOOKUP(DESPESAS[[#This Row],[Plano de Contas]],BASE!$B$3:$D$119,3,FALSE)</f>
        <v>Consultoria Comercial</v>
      </c>
      <c r="I3995" s="77" t="str">
        <f>IFERROR(VLOOKUP(DESPESAS[[#This Row],[Fornecedor]],Tabela2[],2,FALSE),"")</f>
        <v/>
      </c>
      <c r="J3995" s="77" t="str">
        <f>IFERROR(VLOOKUP(DESPESAS[[#This Row],[Plano de Contas]],BASE!$B$3:$F$119,4,FALSE),"")</f>
        <v>6 - DESPESA COM VENDAS</v>
      </c>
      <c r="K3995" s="77" t="str">
        <f>IFERROR(VLOOKUP(DESPESAS[[#This Row],[Plano de Contas]],BASE!$B$3:$H$119,5,FALSE),"")</f>
        <v>COMERCIAL</v>
      </c>
      <c r="L3995" s="77">
        <f>IFERROR(VLOOKUP(DESPESAS[[#This Row],[Plano de Contas]],BASE!$B$3:$H$119,6,FALSE),"")</f>
        <v>0</v>
      </c>
      <c r="M3995" s="77" t="str">
        <f>VLOOKUP(DESPESAS[[#This Row],[Plano de Contas]],BASE!$B$3:$H$119,7,FALSE)</f>
        <v>LETÍCIA</v>
      </c>
    </row>
    <row r="3996" spans="1:13" x14ac:dyDescent="0.25">
      <c r="A3996" s="74">
        <v>201399</v>
      </c>
      <c r="B3996" s="75" t="s">
        <v>221</v>
      </c>
      <c r="C3996" s="75" t="s">
        <v>3894</v>
      </c>
      <c r="D3996" s="76">
        <v>46149</v>
      </c>
      <c r="E3996" s="75" t="s">
        <v>239</v>
      </c>
      <c r="F3996" s="74">
        <v>31</v>
      </c>
      <c r="G3996" s="75" t="s">
        <v>238</v>
      </c>
      <c r="H3996" s="77" t="str">
        <f>VLOOKUP(DESPESAS[[#This Row],[Plano de Contas]],BASE!$B$3:$D$119,3,FALSE)</f>
        <v>Consultoria Comercial</v>
      </c>
      <c r="I3996" s="77" t="str">
        <f>IFERROR(VLOOKUP(DESPESAS[[#This Row],[Fornecedor]],Tabela2[],2,FALSE),"")</f>
        <v/>
      </c>
      <c r="J3996" s="77" t="str">
        <f>IFERROR(VLOOKUP(DESPESAS[[#This Row],[Plano de Contas]],BASE!$B$3:$F$119,4,FALSE),"")</f>
        <v>6 - DESPESA COM VENDAS</v>
      </c>
      <c r="K3996" s="77" t="str">
        <f>IFERROR(VLOOKUP(DESPESAS[[#This Row],[Plano de Contas]],BASE!$B$3:$H$119,5,FALSE),"")</f>
        <v>COMERCIAL</v>
      </c>
      <c r="L3996" s="77">
        <f>IFERROR(VLOOKUP(DESPESAS[[#This Row],[Plano de Contas]],BASE!$B$3:$H$119,6,FALSE),"")</f>
        <v>0</v>
      </c>
      <c r="M3996" s="77" t="str">
        <f>VLOOKUP(DESPESAS[[#This Row],[Plano de Contas]],BASE!$B$3:$H$119,7,FALSE)</f>
        <v>LETÍCIA</v>
      </c>
    </row>
    <row r="3997" spans="1:13" x14ac:dyDescent="0.25">
      <c r="A3997" s="74">
        <v>201400</v>
      </c>
      <c r="B3997" s="75" t="s">
        <v>232</v>
      </c>
      <c r="C3997" s="75" t="s">
        <v>3896</v>
      </c>
      <c r="D3997" s="76">
        <v>46147</v>
      </c>
      <c r="E3997" s="75" t="s">
        <v>734</v>
      </c>
      <c r="F3997" s="74">
        <v>591.20000000000005</v>
      </c>
      <c r="G3997" s="75" t="s">
        <v>241</v>
      </c>
      <c r="H3997" s="77" t="str">
        <f>VLOOKUP(DESPESAS[[#This Row],[Plano de Contas]],BASE!$B$3:$D$119,3,FALSE)</f>
        <v>Combustiveis Frota</v>
      </c>
      <c r="I3997" s="77" t="str">
        <f>IFERROR(VLOOKUP(DESPESAS[[#This Row],[Fornecedor]],Tabela2[],2,FALSE),"")</f>
        <v/>
      </c>
      <c r="J3997" s="77" t="str">
        <f>IFERROR(VLOOKUP(DESPESAS[[#This Row],[Plano de Contas]],BASE!$B$3:$F$119,4,FALSE),"")</f>
        <v>6 - DESPESA COM VENDAS</v>
      </c>
      <c r="K3997" s="77" t="str">
        <f>IFERROR(VLOOKUP(DESPESAS[[#This Row],[Plano de Contas]],BASE!$B$3:$H$119,5,FALSE),"")</f>
        <v>LOGÍSTICA</v>
      </c>
      <c r="L3997" s="77">
        <f>IFERROR(VLOOKUP(DESPESAS[[#This Row],[Plano de Contas]],BASE!$B$3:$H$119,6,FALSE),"")</f>
        <v>0</v>
      </c>
      <c r="M3997" s="77" t="str">
        <f>VLOOKUP(DESPESAS[[#This Row],[Plano de Contas]],BASE!$B$3:$H$119,7,FALSE)</f>
        <v>MYLENA</v>
      </c>
    </row>
    <row r="3998" spans="1:13" x14ac:dyDescent="0.25">
      <c r="A3998" s="74">
        <v>201401</v>
      </c>
      <c r="B3998" s="75" t="s">
        <v>281</v>
      </c>
      <c r="C3998" s="75" t="s">
        <v>3897</v>
      </c>
      <c r="D3998" s="76">
        <v>46149</v>
      </c>
      <c r="E3998" s="75" t="s">
        <v>490</v>
      </c>
      <c r="F3998" s="74">
        <v>340.58</v>
      </c>
      <c r="G3998" s="75" t="s">
        <v>1006</v>
      </c>
      <c r="H3998" s="77" t="str">
        <f>VLOOKUP(DESPESAS[[#This Row],[Plano de Contas]],BASE!$B$3:$D$119,3,FALSE)</f>
        <v>Material de Limpeza (Adm)</v>
      </c>
      <c r="I3998" s="77" t="str">
        <f>IFERROR(VLOOKUP(DESPESAS[[#This Row],[Fornecedor]],Tabela2[],2,FALSE),"")</f>
        <v/>
      </c>
      <c r="J3998" s="77" t="str">
        <f>IFERROR(VLOOKUP(DESPESAS[[#This Row],[Plano de Contas]],BASE!$B$3:$F$119,4,FALSE),"")</f>
        <v>5 - DESPESAS ADMINISTRATIVAS</v>
      </c>
      <c r="K3998" s="77" t="str">
        <f>IFERROR(VLOOKUP(DESPESAS[[#This Row],[Plano de Contas]],BASE!$B$3:$H$119,5,FALSE),"")</f>
        <v>ADMINISTRATIVO</v>
      </c>
      <c r="L3998" s="77">
        <f>IFERROR(VLOOKUP(DESPESAS[[#This Row],[Plano de Contas]],BASE!$B$3:$H$119,6,FALSE),"")</f>
        <v>0</v>
      </c>
      <c r="M3998" s="77" t="str">
        <f>VLOOKUP(DESPESAS[[#This Row],[Plano de Contas]],BASE!$B$3:$H$119,7,FALSE)</f>
        <v>MYLENA</v>
      </c>
    </row>
    <row r="3999" spans="1:13" x14ac:dyDescent="0.25">
      <c r="A3999" s="74">
        <v>201402</v>
      </c>
      <c r="B3999" s="75" t="s">
        <v>232</v>
      </c>
      <c r="C3999" s="75" t="s">
        <v>3898</v>
      </c>
      <c r="D3999" s="76">
        <v>46147</v>
      </c>
      <c r="E3999" s="75" t="s">
        <v>734</v>
      </c>
      <c r="F3999" s="74">
        <v>87.67</v>
      </c>
      <c r="G3999" s="75" t="s">
        <v>241</v>
      </c>
      <c r="H3999" s="77" t="str">
        <f>VLOOKUP(DESPESAS[[#This Row],[Plano de Contas]],BASE!$B$3:$D$119,3,FALSE)</f>
        <v>Combustiveis Frota</v>
      </c>
      <c r="I3999" s="77" t="str">
        <f>IFERROR(VLOOKUP(DESPESAS[[#This Row],[Fornecedor]],Tabela2[],2,FALSE),"")</f>
        <v/>
      </c>
      <c r="J3999" s="77" t="str">
        <f>IFERROR(VLOOKUP(DESPESAS[[#This Row],[Plano de Contas]],BASE!$B$3:$F$119,4,FALSE),"")</f>
        <v>6 - DESPESA COM VENDAS</v>
      </c>
      <c r="K3999" s="77" t="str">
        <f>IFERROR(VLOOKUP(DESPESAS[[#This Row],[Plano de Contas]],BASE!$B$3:$H$119,5,FALSE),"")</f>
        <v>LOGÍSTICA</v>
      </c>
      <c r="L3999" s="77">
        <f>IFERROR(VLOOKUP(DESPESAS[[#This Row],[Plano de Contas]],BASE!$B$3:$H$119,6,FALSE),"")</f>
        <v>0</v>
      </c>
      <c r="M3999" s="77" t="str">
        <f>VLOOKUP(DESPESAS[[#This Row],[Plano de Contas]],BASE!$B$3:$H$119,7,FALSE)</f>
        <v>MYLENA</v>
      </c>
    </row>
    <row r="4000" spans="1:13" x14ac:dyDescent="0.25">
      <c r="A4000" s="74">
        <v>201403</v>
      </c>
      <c r="B4000" s="75" t="s">
        <v>232</v>
      </c>
      <c r="C4000" s="75" t="s">
        <v>3899</v>
      </c>
      <c r="D4000" s="76">
        <v>46149</v>
      </c>
      <c r="E4000" s="75" t="s">
        <v>347</v>
      </c>
      <c r="F4000" s="74">
        <v>208.26</v>
      </c>
      <c r="G4000" s="75" t="s">
        <v>583</v>
      </c>
      <c r="H4000" s="77" t="str">
        <f>VLOOKUP(DESPESAS[[#This Row],[Plano de Contas]],BASE!$B$3:$D$119,3,FALSE)</f>
        <v>Multas de Trânsito</v>
      </c>
      <c r="I4000" s="77" t="str">
        <f>IFERROR(VLOOKUP(DESPESAS[[#This Row],[Fornecedor]],Tabela2[],2,FALSE),"")</f>
        <v/>
      </c>
      <c r="J4000" s="77" t="str">
        <f>IFERROR(VLOOKUP(DESPESAS[[#This Row],[Plano de Contas]],BASE!$B$3:$F$119,4,FALSE),"")</f>
        <v>6 - DESPESA COM VENDAS</v>
      </c>
      <c r="K4000" s="77" t="str">
        <f>IFERROR(VLOOKUP(DESPESAS[[#This Row],[Plano de Contas]],BASE!$B$3:$H$119,5,FALSE),"")</f>
        <v>LOGÍSTICA</v>
      </c>
      <c r="L4000" s="77">
        <f>IFERROR(VLOOKUP(DESPESAS[[#This Row],[Plano de Contas]],BASE!$B$3:$H$119,6,FALSE),"")</f>
        <v>0</v>
      </c>
      <c r="M4000" s="77" t="str">
        <f>VLOOKUP(DESPESAS[[#This Row],[Plano de Contas]],BASE!$B$3:$H$119,7,FALSE)</f>
        <v>MYLENA</v>
      </c>
    </row>
    <row r="4001" spans="1:13" x14ac:dyDescent="0.25">
      <c r="A4001" s="74">
        <v>201404</v>
      </c>
      <c r="B4001" s="75" t="s">
        <v>281</v>
      </c>
      <c r="C4001" s="75" t="s">
        <v>3900</v>
      </c>
      <c r="D4001" s="76">
        <v>46149</v>
      </c>
      <c r="E4001" s="75" t="s">
        <v>490</v>
      </c>
      <c r="F4001" s="74">
        <v>367.69</v>
      </c>
      <c r="G4001" s="75" t="s">
        <v>489</v>
      </c>
      <c r="H4001" s="77" t="str">
        <f>VLOOKUP(DESPESAS[[#This Row],[Plano de Contas]],BASE!$B$3:$D$119,3,FALSE)</f>
        <v>Material de Limpeza CIF</v>
      </c>
      <c r="I4001" s="77" t="str">
        <f>IFERROR(VLOOKUP(DESPESAS[[#This Row],[Fornecedor]],Tabela2[],2,FALSE),"")</f>
        <v/>
      </c>
      <c r="J4001" s="77" t="str">
        <f>IFERROR(VLOOKUP(DESPESAS[[#This Row],[Plano de Contas]],BASE!$B$3:$F$119,4,FALSE),"")</f>
        <v>3 - CUSTOS INDIRETOS</v>
      </c>
      <c r="K4001" s="77" t="str">
        <f>IFERROR(VLOOKUP(DESPESAS[[#This Row],[Plano de Contas]],BASE!$B$3:$H$119,5,FALSE),"")</f>
        <v>COMPRAS</v>
      </c>
      <c r="L4001" s="77">
        <f>IFERROR(VLOOKUP(DESPESAS[[#This Row],[Plano de Contas]],BASE!$B$3:$H$119,6,FALSE),"")</f>
        <v>0</v>
      </c>
      <c r="M4001" s="77" t="str">
        <f>VLOOKUP(DESPESAS[[#This Row],[Plano de Contas]],BASE!$B$3:$H$119,7,FALSE)</f>
        <v>MYLENA</v>
      </c>
    </row>
    <row r="4002" spans="1:13" x14ac:dyDescent="0.25">
      <c r="A4002" s="74">
        <v>201406</v>
      </c>
      <c r="B4002" s="75" t="s">
        <v>232</v>
      </c>
      <c r="C4002" s="75" t="s">
        <v>1768</v>
      </c>
      <c r="D4002" s="76">
        <v>46149</v>
      </c>
      <c r="E4002" s="75" t="s">
        <v>1583</v>
      </c>
      <c r="F4002" s="74">
        <v>700</v>
      </c>
      <c r="G4002" s="75" t="s">
        <v>1582</v>
      </c>
      <c r="H4002" s="77" t="str">
        <f>VLOOKUP(DESPESAS[[#This Row],[Plano de Contas]],BASE!$B$3:$D$119,3,FALSE)</f>
        <v>Contabilidade</v>
      </c>
      <c r="I4002" s="77" t="str">
        <f>IFERROR(VLOOKUP(DESPESAS[[#This Row],[Fornecedor]],Tabela2[],2,FALSE),"")</f>
        <v/>
      </c>
      <c r="J4002" s="77" t="str">
        <f>IFERROR(VLOOKUP(DESPESAS[[#This Row],[Plano de Contas]],BASE!$B$3:$F$119,4,FALSE),"")</f>
        <v>7 - SERVIÇOS DE TERCEIROS</v>
      </c>
      <c r="K4002" s="77" t="str">
        <f>IFERROR(VLOOKUP(DESPESAS[[#This Row],[Plano de Contas]],BASE!$B$3:$H$119,5,FALSE),"")</f>
        <v>FINANCEIRO</v>
      </c>
      <c r="L4002" s="77">
        <f>IFERROR(VLOOKUP(DESPESAS[[#This Row],[Plano de Contas]],BASE!$B$3:$H$119,6,FALSE),"")</f>
        <v>0</v>
      </c>
      <c r="M4002" s="77" t="str">
        <f>VLOOKUP(DESPESAS[[#This Row],[Plano de Contas]],BASE!$B$3:$H$119,7,FALSE)</f>
        <v>LETÍCIA</v>
      </c>
    </row>
    <row r="4003" spans="1:13" x14ac:dyDescent="0.25">
      <c r="A4003" s="74">
        <v>201455</v>
      </c>
      <c r="B4003" s="75" t="s">
        <v>221</v>
      </c>
      <c r="C4003" s="75" t="s">
        <v>3901</v>
      </c>
      <c r="D4003" s="76">
        <v>46147</v>
      </c>
      <c r="E4003" s="75" t="s">
        <v>242</v>
      </c>
      <c r="F4003" s="74">
        <v>50.49</v>
      </c>
      <c r="G4003" s="75" t="s">
        <v>423</v>
      </c>
      <c r="H4003" s="77" t="str">
        <f>VLOOKUP(DESPESAS[[#This Row],[Plano de Contas]],BASE!$B$3:$D$119,3,FALSE)</f>
        <v>Combustíveis (Adm)</v>
      </c>
      <c r="I4003" s="77" t="str">
        <f>IFERROR(VLOOKUP(DESPESAS[[#This Row],[Fornecedor]],Tabela2[],2,FALSE),"")</f>
        <v/>
      </c>
      <c r="J4003" s="77" t="str">
        <f>IFERROR(VLOOKUP(DESPESAS[[#This Row],[Plano de Contas]],BASE!$B$3:$F$119,4,FALSE),"")</f>
        <v>5 - DESPESAS ADMINISTRATIVAS</v>
      </c>
      <c r="K4003" s="77" t="str">
        <f>IFERROR(VLOOKUP(DESPESAS[[#This Row],[Plano de Contas]],BASE!$B$3:$H$119,5,FALSE),"")</f>
        <v>LOGÍSTICA</v>
      </c>
      <c r="L4003" s="77">
        <f>IFERROR(VLOOKUP(DESPESAS[[#This Row],[Plano de Contas]],BASE!$B$3:$H$119,6,FALSE),"")</f>
        <v>0</v>
      </c>
      <c r="M4003" s="77" t="str">
        <f>VLOOKUP(DESPESAS[[#This Row],[Plano de Contas]],BASE!$B$3:$H$119,7,FALSE)</f>
        <v>LETÍCIA</v>
      </c>
    </row>
    <row r="4004" spans="1:13" x14ac:dyDescent="0.25">
      <c r="A4004" s="74">
        <v>201457</v>
      </c>
      <c r="B4004" s="75" t="s">
        <v>221</v>
      </c>
      <c r="C4004" s="75" t="s">
        <v>3902</v>
      </c>
      <c r="D4004" s="76">
        <v>46147</v>
      </c>
      <c r="E4004" s="75" t="s">
        <v>242</v>
      </c>
      <c r="F4004" s="74">
        <v>158.82</v>
      </c>
      <c r="G4004" s="75" t="s">
        <v>1318</v>
      </c>
      <c r="H4004" s="77" t="str">
        <f>VLOOKUP(DESPESAS[[#This Row],[Plano de Contas]],BASE!$B$3:$D$119,3,FALSE)</f>
        <v>Feiras e Eventos</v>
      </c>
      <c r="I4004" s="77" t="str">
        <f>IFERROR(VLOOKUP(DESPESAS[[#This Row],[Fornecedor]],Tabela2[],2,FALSE),"")</f>
        <v/>
      </c>
      <c r="J4004" s="77" t="str">
        <f>IFERROR(VLOOKUP(DESPESAS[[#This Row],[Plano de Contas]],BASE!$B$3:$F$119,4,FALSE),"")</f>
        <v>6 - DESPESA COM VENDAS</v>
      </c>
      <c r="K4004" s="77" t="str">
        <f>IFERROR(VLOOKUP(DESPESAS[[#This Row],[Plano de Contas]],BASE!$B$3:$H$119,5,FALSE),"")</f>
        <v>COMERCIAL</v>
      </c>
      <c r="L4004" s="77">
        <f>IFERROR(VLOOKUP(DESPESAS[[#This Row],[Plano de Contas]],BASE!$B$3:$H$119,6,FALSE),"")</f>
        <v>0</v>
      </c>
      <c r="M4004" s="77" t="str">
        <f>VLOOKUP(DESPESAS[[#This Row],[Plano de Contas]],BASE!$B$3:$H$119,7,FALSE)</f>
        <v>THAIS</v>
      </c>
    </row>
    <row r="4005" spans="1:13" x14ac:dyDescent="0.25">
      <c r="A4005" s="74">
        <v>201458</v>
      </c>
      <c r="B4005" s="75" t="s">
        <v>221</v>
      </c>
      <c r="C4005" s="75" t="s">
        <v>3903</v>
      </c>
      <c r="D4005" s="76">
        <v>46148</v>
      </c>
      <c r="E4005" s="75" t="s">
        <v>242</v>
      </c>
      <c r="F4005" s="74">
        <v>210.33</v>
      </c>
      <c r="G4005" s="75" t="s">
        <v>1318</v>
      </c>
      <c r="H4005" s="77" t="str">
        <f>VLOOKUP(DESPESAS[[#This Row],[Plano de Contas]],BASE!$B$3:$D$119,3,FALSE)</f>
        <v>Feiras e Eventos</v>
      </c>
      <c r="I4005" s="77" t="str">
        <f>IFERROR(VLOOKUP(DESPESAS[[#This Row],[Fornecedor]],Tabela2[],2,FALSE),"")</f>
        <v/>
      </c>
      <c r="J4005" s="77" t="str">
        <f>IFERROR(VLOOKUP(DESPESAS[[#This Row],[Plano de Contas]],BASE!$B$3:$F$119,4,FALSE),"")</f>
        <v>6 - DESPESA COM VENDAS</v>
      </c>
      <c r="K4005" s="77" t="str">
        <f>IFERROR(VLOOKUP(DESPESAS[[#This Row],[Plano de Contas]],BASE!$B$3:$H$119,5,FALSE),"")</f>
        <v>COMERCIAL</v>
      </c>
      <c r="L4005" s="77">
        <f>IFERROR(VLOOKUP(DESPESAS[[#This Row],[Plano de Contas]],BASE!$B$3:$H$119,6,FALSE),"")</f>
        <v>0</v>
      </c>
      <c r="M4005" s="77" t="str">
        <f>VLOOKUP(DESPESAS[[#This Row],[Plano de Contas]],BASE!$B$3:$H$119,7,FALSE)</f>
        <v>THAIS</v>
      </c>
    </row>
    <row r="4006" spans="1:13" x14ac:dyDescent="0.25">
      <c r="A4006" s="74">
        <v>201459</v>
      </c>
      <c r="B4006" s="75" t="s">
        <v>232</v>
      </c>
      <c r="C4006" s="75" t="s">
        <v>3904</v>
      </c>
      <c r="D4006" s="76">
        <v>46149</v>
      </c>
      <c r="E4006" s="75" t="s">
        <v>1076</v>
      </c>
      <c r="F4006" s="74">
        <v>1519.79</v>
      </c>
      <c r="G4006" s="75" t="s">
        <v>1075</v>
      </c>
      <c r="H4006" s="77" t="str">
        <f>VLOOKUP(DESPESAS[[#This Row],[Plano de Contas]],BASE!$B$3:$D$119,3,FALSE)</f>
        <v>Fretes Ass. Técnica</v>
      </c>
      <c r="I4006" s="77" t="str">
        <f>IFERROR(VLOOKUP(DESPESAS[[#This Row],[Fornecedor]],Tabela2[],2,FALSE),"")</f>
        <v/>
      </c>
      <c r="J4006" s="77" t="str">
        <f>IFERROR(VLOOKUP(DESPESAS[[#This Row],[Plano de Contas]],BASE!$B$3:$F$119,4,FALSE),"")</f>
        <v>6 - DESPESA COM VENDAS</v>
      </c>
      <c r="K4006" s="77" t="str">
        <f>IFERROR(VLOOKUP(DESPESAS[[#This Row],[Plano de Contas]],BASE!$B$3:$H$119,5,FALSE),"")</f>
        <v>LOGÍSTICA</v>
      </c>
      <c r="L4006" s="77">
        <f>IFERROR(VLOOKUP(DESPESAS[[#This Row],[Plano de Contas]],BASE!$B$3:$H$119,6,FALSE),"")</f>
        <v>0</v>
      </c>
      <c r="M4006" s="77" t="str">
        <f>VLOOKUP(DESPESAS[[#This Row],[Plano de Contas]],BASE!$B$3:$H$119,7,FALSE)</f>
        <v>MYLENA</v>
      </c>
    </row>
    <row r="4007" spans="1:13" x14ac:dyDescent="0.25">
      <c r="A4007" s="74">
        <v>201460</v>
      </c>
      <c r="B4007" s="75" t="s">
        <v>232</v>
      </c>
      <c r="C4007" s="75" t="s">
        <v>3905</v>
      </c>
      <c r="D4007" s="76">
        <v>46149</v>
      </c>
      <c r="E4007" s="75" t="s">
        <v>366</v>
      </c>
      <c r="F4007" s="74">
        <v>180754.29</v>
      </c>
      <c r="G4007" s="75" t="s">
        <v>225</v>
      </c>
      <c r="H4007" s="77" t="str">
        <f>VLOOKUP(DESPESAS[[#This Row],[Plano de Contas]],BASE!$B$3:$D$119,3,FALSE)</f>
        <v>Despesas de Outros Gastos Não Operacionais</v>
      </c>
      <c r="I4007" s="77" t="str">
        <f>IFERROR(VLOOKUP(DESPESAS[[#This Row],[Fornecedor]],Tabela2[],2,FALSE),"")</f>
        <v/>
      </c>
      <c r="J4007" s="77" t="str">
        <f>IFERROR(VLOOKUP(DESPESAS[[#This Row],[Plano de Contas]],BASE!$B$3:$F$119,4,FALSE),"")</f>
        <v>8 - DESPESAS FINANCEIRAS</v>
      </c>
      <c r="K4007" s="77" t="str">
        <f>IFERROR(VLOOKUP(DESPESAS[[#This Row],[Plano de Contas]],BASE!$B$3:$H$119,5,FALSE),"")</f>
        <v>FINANCEIRO</v>
      </c>
      <c r="L4007" s="77">
        <f>IFERROR(VLOOKUP(DESPESAS[[#This Row],[Plano de Contas]],BASE!$B$3:$H$119,6,FALSE),"")</f>
        <v>0</v>
      </c>
      <c r="M4007" s="77" t="str">
        <f>VLOOKUP(DESPESAS[[#This Row],[Plano de Contas]],BASE!$B$3:$H$119,7,FALSE)</f>
        <v>LETÍCIA</v>
      </c>
    </row>
    <row r="4008" spans="1:13" x14ac:dyDescent="0.25">
      <c r="A4008" s="74">
        <v>201465</v>
      </c>
      <c r="B4008" s="75" t="s">
        <v>279</v>
      </c>
      <c r="C4008" s="75" t="s">
        <v>3906</v>
      </c>
      <c r="D4008" s="76">
        <v>46142</v>
      </c>
      <c r="E4008" s="75" t="s">
        <v>1132</v>
      </c>
      <c r="F4008" s="74">
        <v>200</v>
      </c>
      <c r="G4008" s="75" t="s">
        <v>642</v>
      </c>
      <c r="H4008" s="77" t="str">
        <f>VLOOKUP(DESPESAS[[#This Row],[Plano de Contas]],BASE!$B$3:$D$119,3,FALSE)</f>
        <v>Gratificacoes MOD</v>
      </c>
      <c r="I4008" s="77" t="str">
        <f>IFERROR(VLOOKUP(DESPESAS[[#This Row],[Fornecedor]],Tabela2[],2,FALSE),"")</f>
        <v/>
      </c>
      <c r="J4008" s="77" t="str">
        <f>IFERROR(VLOOKUP(DESPESAS[[#This Row],[Plano de Contas]],BASE!$B$3:$F$119,4,FALSE),"")</f>
        <v>2 - CUSTOS DIRETOS</v>
      </c>
      <c r="K4008" s="77" t="str">
        <f>IFERROR(VLOOKUP(DESPESAS[[#This Row],[Plano de Contas]],BASE!$B$3:$H$119,5,FALSE),"")</f>
        <v>DH</v>
      </c>
      <c r="L4008" s="77" t="str">
        <f>IFERROR(VLOOKUP(DESPESAS[[#This Row],[Plano de Contas]],BASE!$B$3:$H$119,6,FALSE),"")</f>
        <v>CUSTO MÃO DE OBRA DIRETA</v>
      </c>
      <c r="M4008" s="77" t="str">
        <f>VLOOKUP(DESPESAS[[#This Row],[Plano de Contas]],BASE!$B$3:$H$119,7,FALSE)</f>
        <v>RAFAEL</v>
      </c>
    </row>
    <row r="4009" spans="1:13" x14ac:dyDescent="0.25">
      <c r="A4009" s="74">
        <v>201466</v>
      </c>
      <c r="B4009" s="75" t="s">
        <v>279</v>
      </c>
      <c r="C4009" s="75" t="s">
        <v>1134</v>
      </c>
      <c r="D4009" s="76">
        <v>46142</v>
      </c>
      <c r="E4009" s="75" t="s">
        <v>1132</v>
      </c>
      <c r="F4009" s="74">
        <v>600</v>
      </c>
      <c r="G4009" s="75" t="s">
        <v>649</v>
      </c>
      <c r="H4009" s="77" t="str">
        <f>VLOOKUP(DESPESAS[[#This Row],[Plano de Contas]],BASE!$B$3:$D$119,3,FALSE)</f>
        <v>Gratificações CIF</v>
      </c>
      <c r="I4009" s="77" t="str">
        <f>IFERROR(VLOOKUP(DESPESAS[[#This Row],[Fornecedor]],Tabela2[],2,FALSE),"")</f>
        <v/>
      </c>
      <c r="J4009" s="77" t="str">
        <f>IFERROR(VLOOKUP(DESPESAS[[#This Row],[Plano de Contas]],BASE!$B$3:$F$119,4,FALSE),"")</f>
        <v>3 - CUSTOS INDIRETOS</v>
      </c>
      <c r="K4009" s="77" t="str">
        <f>IFERROR(VLOOKUP(DESPESAS[[#This Row],[Plano de Contas]],BASE!$B$3:$H$119,5,FALSE),"")</f>
        <v>DH</v>
      </c>
      <c r="L4009" s="77" t="str">
        <f>IFERROR(VLOOKUP(DESPESAS[[#This Row],[Plano de Contas]],BASE!$B$3:$H$119,6,FALSE),"")</f>
        <v>CUSTO MÃO DE OBRA DIRETA</v>
      </c>
      <c r="M4009" s="77" t="str">
        <f>VLOOKUP(DESPESAS[[#This Row],[Plano de Contas]],BASE!$B$3:$H$119,7,FALSE)</f>
        <v>RAFAEL</v>
      </c>
    </row>
    <row r="4010" spans="1:13" x14ac:dyDescent="0.25">
      <c r="A4010" s="74">
        <v>201467</v>
      </c>
      <c r="B4010" s="75" t="s">
        <v>232</v>
      </c>
      <c r="C4010" s="75" t="s">
        <v>1133</v>
      </c>
      <c r="D4010" s="76">
        <v>46142</v>
      </c>
      <c r="E4010" s="75" t="s">
        <v>1132</v>
      </c>
      <c r="F4010" s="74">
        <v>200</v>
      </c>
      <c r="G4010" s="75" t="s">
        <v>642</v>
      </c>
      <c r="H4010" s="77" t="str">
        <f>VLOOKUP(DESPESAS[[#This Row],[Plano de Contas]],BASE!$B$3:$D$119,3,FALSE)</f>
        <v>Gratificacoes MOD</v>
      </c>
      <c r="I4010" s="77" t="str">
        <f>IFERROR(VLOOKUP(DESPESAS[[#This Row],[Fornecedor]],Tabela2[],2,FALSE),"")</f>
        <v/>
      </c>
      <c r="J4010" s="77" t="str">
        <f>IFERROR(VLOOKUP(DESPESAS[[#This Row],[Plano de Contas]],BASE!$B$3:$F$119,4,FALSE),"")</f>
        <v>2 - CUSTOS DIRETOS</v>
      </c>
      <c r="K4010" s="77" t="str">
        <f>IFERROR(VLOOKUP(DESPESAS[[#This Row],[Plano de Contas]],BASE!$B$3:$H$119,5,FALSE),"")</f>
        <v>DH</v>
      </c>
      <c r="L4010" s="77" t="str">
        <f>IFERROR(VLOOKUP(DESPESAS[[#This Row],[Plano de Contas]],BASE!$B$3:$H$119,6,FALSE),"")</f>
        <v>CUSTO MÃO DE OBRA DIRETA</v>
      </c>
      <c r="M4010" s="77" t="str">
        <f>VLOOKUP(DESPESAS[[#This Row],[Plano de Contas]],BASE!$B$3:$H$119,7,FALSE)</f>
        <v>RAFAEL</v>
      </c>
    </row>
    <row r="4011" spans="1:13" x14ac:dyDescent="0.25">
      <c r="A4011" s="74">
        <v>201468</v>
      </c>
      <c r="B4011" s="75" t="s">
        <v>232</v>
      </c>
      <c r="C4011" s="75" t="s">
        <v>1134</v>
      </c>
      <c r="D4011" s="76">
        <v>46142</v>
      </c>
      <c r="E4011" s="75" t="s">
        <v>1132</v>
      </c>
      <c r="F4011" s="74">
        <v>250</v>
      </c>
      <c r="G4011" s="75" t="s">
        <v>649</v>
      </c>
      <c r="H4011" s="77" t="str">
        <f>VLOOKUP(DESPESAS[[#This Row],[Plano de Contas]],BASE!$B$3:$D$119,3,FALSE)</f>
        <v>Gratificações CIF</v>
      </c>
      <c r="I4011" s="77" t="str">
        <f>IFERROR(VLOOKUP(DESPESAS[[#This Row],[Fornecedor]],Tabela2[],2,FALSE),"")</f>
        <v/>
      </c>
      <c r="J4011" s="77" t="str">
        <f>IFERROR(VLOOKUP(DESPESAS[[#This Row],[Plano de Contas]],BASE!$B$3:$F$119,4,FALSE),"")</f>
        <v>3 - CUSTOS INDIRETOS</v>
      </c>
      <c r="K4011" s="77" t="str">
        <f>IFERROR(VLOOKUP(DESPESAS[[#This Row],[Plano de Contas]],BASE!$B$3:$H$119,5,FALSE),"")</f>
        <v>DH</v>
      </c>
      <c r="L4011" s="77" t="str">
        <f>IFERROR(VLOOKUP(DESPESAS[[#This Row],[Plano de Contas]],BASE!$B$3:$H$119,6,FALSE),"")</f>
        <v>CUSTO MÃO DE OBRA DIRETA</v>
      </c>
      <c r="M4011" s="77" t="str">
        <f>VLOOKUP(DESPESAS[[#This Row],[Plano de Contas]],BASE!$B$3:$H$119,7,FALSE)</f>
        <v>RAFAEL</v>
      </c>
    </row>
    <row r="4012" spans="1:13" x14ac:dyDescent="0.25">
      <c r="A4012" s="74">
        <v>201472</v>
      </c>
      <c r="B4012" s="75" t="s">
        <v>232</v>
      </c>
      <c r="C4012" s="75" t="s">
        <v>3907</v>
      </c>
      <c r="D4012" s="76">
        <v>46149</v>
      </c>
      <c r="E4012" s="75" t="s">
        <v>230</v>
      </c>
      <c r="F4012" s="74">
        <v>18.170000000000002</v>
      </c>
      <c r="G4012" s="75" t="s">
        <v>236</v>
      </c>
      <c r="H4012" s="77" t="str">
        <f>VLOOKUP(DESPESAS[[#This Row],[Plano de Contas]],BASE!$B$3:$D$119,3,FALSE)</f>
        <v>Despesas de Cobranca</v>
      </c>
      <c r="I4012" s="77" t="str">
        <f>IFERROR(VLOOKUP(DESPESAS[[#This Row],[Fornecedor]],Tabela2[],2,FALSE),"")</f>
        <v/>
      </c>
      <c r="J4012" s="77" t="str">
        <f>IFERROR(VLOOKUP(DESPESAS[[#This Row],[Plano de Contas]],BASE!$B$3:$F$119,4,FALSE),"")</f>
        <v>8 - DESPESAS FINANCEIRAS</v>
      </c>
      <c r="K4012" s="77" t="str">
        <f>IFERROR(VLOOKUP(DESPESAS[[#This Row],[Plano de Contas]],BASE!$B$3:$H$119,5,FALSE),"")</f>
        <v>FINANCEIRO</v>
      </c>
      <c r="L4012" s="77">
        <f>IFERROR(VLOOKUP(DESPESAS[[#This Row],[Plano de Contas]],BASE!$B$3:$H$119,6,FALSE),"")</f>
        <v>0</v>
      </c>
      <c r="M4012" s="77" t="str">
        <f>VLOOKUP(DESPESAS[[#This Row],[Plano de Contas]],BASE!$B$3:$H$119,7,FALSE)</f>
        <v>LETÍCIA</v>
      </c>
    </row>
    <row r="4013" spans="1:13" x14ac:dyDescent="0.25">
      <c r="A4013" s="74">
        <v>201474</v>
      </c>
      <c r="B4013" s="75" t="s">
        <v>232</v>
      </c>
      <c r="C4013" s="75" t="s">
        <v>3908</v>
      </c>
      <c r="D4013" s="76">
        <v>46150</v>
      </c>
      <c r="E4013" s="75" t="s">
        <v>230</v>
      </c>
      <c r="F4013" s="74">
        <v>2.73</v>
      </c>
      <c r="G4013" s="75" t="s">
        <v>229</v>
      </c>
      <c r="H4013" s="77" t="str">
        <f>VLOOKUP(DESPESAS[[#This Row],[Plano de Contas]],BASE!$B$3:$D$119,3,FALSE)</f>
        <v>Despesas Bancarias</v>
      </c>
      <c r="I4013" s="77" t="str">
        <f>IFERROR(VLOOKUP(DESPESAS[[#This Row],[Fornecedor]],Tabela2[],2,FALSE),"")</f>
        <v/>
      </c>
      <c r="J4013" s="77" t="str">
        <f>IFERROR(VLOOKUP(DESPESAS[[#This Row],[Plano de Contas]],BASE!$B$3:$F$119,4,FALSE),"")</f>
        <v>8 - DESPESAS FINANCEIRAS</v>
      </c>
      <c r="K4013" s="77" t="str">
        <f>IFERROR(VLOOKUP(DESPESAS[[#This Row],[Plano de Contas]],BASE!$B$3:$H$119,5,FALSE),"")</f>
        <v>FINANCEIRO</v>
      </c>
      <c r="L4013" s="77">
        <f>IFERROR(VLOOKUP(DESPESAS[[#This Row],[Plano de Contas]],BASE!$B$3:$H$119,6,FALSE),"")</f>
        <v>0</v>
      </c>
      <c r="M4013" s="77" t="str">
        <f>VLOOKUP(DESPESAS[[#This Row],[Plano de Contas]],BASE!$B$3:$H$119,7,FALSE)</f>
        <v>LETÍCIA</v>
      </c>
    </row>
    <row r="4014" spans="1:13" x14ac:dyDescent="0.25">
      <c r="A4014" s="74">
        <v>201475</v>
      </c>
      <c r="B4014" s="75" t="s">
        <v>281</v>
      </c>
      <c r="C4014" s="75" t="s">
        <v>3909</v>
      </c>
      <c r="D4014" s="76">
        <v>46149</v>
      </c>
      <c r="E4014" s="75" t="s">
        <v>230</v>
      </c>
      <c r="F4014" s="74">
        <v>2.37</v>
      </c>
      <c r="G4014" s="75" t="s">
        <v>236</v>
      </c>
      <c r="H4014" s="77" t="str">
        <f>VLOOKUP(DESPESAS[[#This Row],[Plano de Contas]],BASE!$B$3:$D$119,3,FALSE)</f>
        <v>Despesas de Cobranca</v>
      </c>
      <c r="I4014" s="77" t="str">
        <f>IFERROR(VLOOKUP(DESPESAS[[#This Row],[Fornecedor]],Tabela2[],2,FALSE),"")</f>
        <v/>
      </c>
      <c r="J4014" s="77" t="str">
        <f>IFERROR(VLOOKUP(DESPESAS[[#This Row],[Plano de Contas]],BASE!$B$3:$F$119,4,FALSE),"")</f>
        <v>8 - DESPESAS FINANCEIRAS</v>
      </c>
      <c r="K4014" s="77" t="str">
        <f>IFERROR(VLOOKUP(DESPESAS[[#This Row],[Plano de Contas]],BASE!$B$3:$H$119,5,FALSE),"")</f>
        <v>FINANCEIRO</v>
      </c>
      <c r="L4014" s="77">
        <f>IFERROR(VLOOKUP(DESPESAS[[#This Row],[Plano de Contas]],BASE!$B$3:$H$119,6,FALSE),"")</f>
        <v>0</v>
      </c>
      <c r="M4014" s="77" t="str">
        <f>VLOOKUP(DESPESAS[[#This Row],[Plano de Contas]],BASE!$B$3:$H$119,7,FALSE)</f>
        <v>LETÍCIA</v>
      </c>
    </row>
    <row r="4015" spans="1:13" x14ac:dyDescent="0.25">
      <c r="A4015" s="74">
        <v>201476</v>
      </c>
      <c r="B4015" s="75" t="s">
        <v>232</v>
      </c>
      <c r="C4015" s="75" t="s">
        <v>3910</v>
      </c>
      <c r="D4015" s="76">
        <v>46150</v>
      </c>
      <c r="E4015" s="75" t="s">
        <v>230</v>
      </c>
      <c r="F4015" s="74">
        <v>2.85</v>
      </c>
      <c r="G4015" s="75" t="s">
        <v>236</v>
      </c>
      <c r="H4015" s="77" t="str">
        <f>VLOOKUP(DESPESAS[[#This Row],[Plano de Contas]],BASE!$B$3:$D$119,3,FALSE)</f>
        <v>Despesas de Cobranca</v>
      </c>
      <c r="I4015" s="77" t="str">
        <f>IFERROR(VLOOKUP(DESPESAS[[#This Row],[Fornecedor]],Tabela2[],2,FALSE),"")</f>
        <v/>
      </c>
      <c r="J4015" s="77" t="str">
        <f>IFERROR(VLOOKUP(DESPESAS[[#This Row],[Plano de Contas]],BASE!$B$3:$F$119,4,FALSE),"")</f>
        <v>8 - DESPESAS FINANCEIRAS</v>
      </c>
      <c r="K4015" s="77" t="str">
        <f>IFERROR(VLOOKUP(DESPESAS[[#This Row],[Plano de Contas]],BASE!$B$3:$H$119,5,FALSE),"")</f>
        <v>FINANCEIRO</v>
      </c>
      <c r="L4015" s="77">
        <f>IFERROR(VLOOKUP(DESPESAS[[#This Row],[Plano de Contas]],BASE!$B$3:$H$119,6,FALSE),"")</f>
        <v>0</v>
      </c>
      <c r="M4015" s="77" t="str">
        <f>VLOOKUP(DESPESAS[[#This Row],[Plano de Contas]],BASE!$B$3:$H$119,7,FALSE)</f>
        <v>LETÍCIA</v>
      </c>
    </row>
    <row r="4016" spans="1:13" x14ac:dyDescent="0.25">
      <c r="A4016" s="74">
        <v>201477</v>
      </c>
      <c r="B4016" s="75" t="s">
        <v>221</v>
      </c>
      <c r="C4016" s="75" t="s">
        <v>3843</v>
      </c>
      <c r="D4016" s="76">
        <v>46150</v>
      </c>
      <c r="E4016" s="75" t="s">
        <v>347</v>
      </c>
      <c r="F4016" s="74">
        <v>80</v>
      </c>
      <c r="G4016" s="75" t="s">
        <v>1318</v>
      </c>
      <c r="H4016" s="77" t="str">
        <f>VLOOKUP(DESPESAS[[#This Row],[Plano de Contas]],BASE!$B$3:$D$119,3,FALSE)</f>
        <v>Feiras e Eventos</v>
      </c>
      <c r="I4016" s="77" t="str">
        <f>IFERROR(VLOOKUP(DESPESAS[[#This Row],[Fornecedor]],Tabela2[],2,FALSE),"")</f>
        <v/>
      </c>
      <c r="J4016" s="77" t="str">
        <f>IFERROR(VLOOKUP(DESPESAS[[#This Row],[Plano de Contas]],BASE!$B$3:$F$119,4,FALSE),"")</f>
        <v>6 - DESPESA COM VENDAS</v>
      </c>
      <c r="K4016" s="77" t="str">
        <f>IFERROR(VLOOKUP(DESPESAS[[#This Row],[Plano de Contas]],BASE!$B$3:$H$119,5,FALSE),"")</f>
        <v>COMERCIAL</v>
      </c>
      <c r="L4016" s="77">
        <f>IFERROR(VLOOKUP(DESPESAS[[#This Row],[Plano de Contas]],BASE!$B$3:$H$119,6,FALSE),"")</f>
        <v>0</v>
      </c>
      <c r="M4016" s="77" t="str">
        <f>VLOOKUP(DESPESAS[[#This Row],[Plano de Contas]],BASE!$B$3:$H$119,7,FALSE)</f>
        <v>THAIS</v>
      </c>
    </row>
    <row r="4017" spans="1:13" x14ac:dyDescent="0.25">
      <c r="A4017" s="74">
        <v>201479</v>
      </c>
      <c r="B4017" s="75" t="s">
        <v>279</v>
      </c>
      <c r="C4017" s="75" t="s">
        <v>3911</v>
      </c>
      <c r="D4017" s="76">
        <v>46150</v>
      </c>
      <c r="E4017" s="75" t="s">
        <v>230</v>
      </c>
      <c r="F4017" s="74">
        <v>0.8</v>
      </c>
      <c r="G4017" s="75" t="s">
        <v>229</v>
      </c>
      <c r="H4017" s="77" t="str">
        <f>VLOOKUP(DESPESAS[[#This Row],[Plano de Contas]],BASE!$B$3:$D$119,3,FALSE)</f>
        <v>Despesas Bancarias</v>
      </c>
      <c r="I4017" s="77" t="str">
        <f>IFERROR(VLOOKUP(DESPESAS[[#This Row],[Fornecedor]],Tabela2[],2,FALSE),"")</f>
        <v/>
      </c>
      <c r="J4017" s="77" t="str">
        <f>IFERROR(VLOOKUP(DESPESAS[[#This Row],[Plano de Contas]],BASE!$B$3:$F$119,4,FALSE),"")</f>
        <v>8 - DESPESAS FINANCEIRAS</v>
      </c>
      <c r="K4017" s="77" t="str">
        <f>IFERROR(VLOOKUP(DESPESAS[[#This Row],[Plano de Contas]],BASE!$B$3:$H$119,5,FALSE),"")</f>
        <v>FINANCEIRO</v>
      </c>
      <c r="L4017" s="77">
        <f>IFERROR(VLOOKUP(DESPESAS[[#This Row],[Plano de Contas]],BASE!$B$3:$H$119,6,FALSE),"")</f>
        <v>0</v>
      </c>
      <c r="M4017" s="77" t="str">
        <f>VLOOKUP(DESPESAS[[#This Row],[Plano de Contas]],BASE!$B$3:$H$119,7,FALSE)</f>
        <v>LETÍCIA</v>
      </c>
    </row>
    <row r="4018" spans="1:13" x14ac:dyDescent="0.25">
      <c r="A4018" s="74">
        <v>201480</v>
      </c>
      <c r="B4018" s="75" t="s">
        <v>279</v>
      </c>
      <c r="C4018" s="75" t="s">
        <v>3912</v>
      </c>
      <c r="D4018" s="76">
        <v>46149</v>
      </c>
      <c r="E4018" s="75" t="s">
        <v>230</v>
      </c>
      <c r="F4018" s="74">
        <v>4.74</v>
      </c>
      <c r="G4018" s="75" t="s">
        <v>236</v>
      </c>
      <c r="H4018" s="77" t="str">
        <f>VLOOKUP(DESPESAS[[#This Row],[Plano de Contas]],BASE!$B$3:$D$119,3,FALSE)</f>
        <v>Despesas de Cobranca</v>
      </c>
      <c r="I4018" s="77" t="str">
        <f>IFERROR(VLOOKUP(DESPESAS[[#This Row],[Fornecedor]],Tabela2[],2,FALSE),"")</f>
        <v/>
      </c>
      <c r="J4018" s="77" t="str">
        <f>IFERROR(VLOOKUP(DESPESAS[[#This Row],[Plano de Contas]],BASE!$B$3:$F$119,4,FALSE),"")</f>
        <v>8 - DESPESAS FINANCEIRAS</v>
      </c>
      <c r="K4018" s="77" t="str">
        <f>IFERROR(VLOOKUP(DESPESAS[[#This Row],[Plano de Contas]],BASE!$B$3:$H$119,5,FALSE),"")</f>
        <v>FINANCEIRO</v>
      </c>
      <c r="L4018" s="77">
        <f>IFERROR(VLOOKUP(DESPESAS[[#This Row],[Plano de Contas]],BASE!$B$3:$H$119,6,FALSE),"")</f>
        <v>0</v>
      </c>
      <c r="M4018" s="77" t="str">
        <f>VLOOKUP(DESPESAS[[#This Row],[Plano de Contas]],BASE!$B$3:$H$119,7,FALSE)</f>
        <v>LETÍCIA</v>
      </c>
    </row>
    <row r="4019" spans="1:13" x14ac:dyDescent="0.25">
      <c r="A4019" s="74">
        <v>201481</v>
      </c>
      <c r="B4019" s="75" t="s">
        <v>281</v>
      </c>
      <c r="C4019" s="75" t="s">
        <v>1134</v>
      </c>
      <c r="D4019" s="76">
        <v>46142</v>
      </c>
      <c r="E4019" s="75" t="s">
        <v>1132</v>
      </c>
      <c r="F4019" s="74">
        <v>200</v>
      </c>
      <c r="G4019" s="75" t="s">
        <v>649</v>
      </c>
      <c r="H4019" s="77" t="str">
        <f>VLOOKUP(DESPESAS[[#This Row],[Plano de Contas]],BASE!$B$3:$D$119,3,FALSE)</f>
        <v>Gratificações CIF</v>
      </c>
      <c r="I4019" s="77" t="str">
        <f>IFERROR(VLOOKUP(DESPESAS[[#This Row],[Fornecedor]],Tabela2[],2,FALSE),"")</f>
        <v/>
      </c>
      <c r="J4019" s="77" t="str">
        <f>IFERROR(VLOOKUP(DESPESAS[[#This Row],[Plano de Contas]],BASE!$B$3:$F$119,4,FALSE),"")</f>
        <v>3 - CUSTOS INDIRETOS</v>
      </c>
      <c r="K4019" s="77" t="str">
        <f>IFERROR(VLOOKUP(DESPESAS[[#This Row],[Plano de Contas]],BASE!$B$3:$H$119,5,FALSE),"")</f>
        <v>DH</v>
      </c>
      <c r="L4019" s="77" t="str">
        <f>IFERROR(VLOOKUP(DESPESAS[[#This Row],[Plano de Contas]],BASE!$B$3:$H$119,6,FALSE),"")</f>
        <v>CUSTO MÃO DE OBRA DIRETA</v>
      </c>
      <c r="M4019" s="77" t="str">
        <f>VLOOKUP(DESPESAS[[#This Row],[Plano de Contas]],BASE!$B$3:$H$119,7,FALSE)</f>
        <v>RAFAEL</v>
      </c>
    </row>
    <row r="4020" spans="1:13" x14ac:dyDescent="0.25">
      <c r="A4020" s="74">
        <v>201482</v>
      </c>
      <c r="B4020" s="75" t="s">
        <v>221</v>
      </c>
      <c r="C4020" s="75" t="s">
        <v>3913</v>
      </c>
      <c r="D4020" s="76">
        <v>46150</v>
      </c>
      <c r="E4020" s="75" t="s">
        <v>573</v>
      </c>
      <c r="F4020" s="74">
        <v>96.36</v>
      </c>
      <c r="G4020" s="75" t="s">
        <v>572</v>
      </c>
      <c r="H4020" s="77" t="str">
        <f>VLOOKUP(DESPESAS[[#This Row],[Plano de Contas]],BASE!$B$3:$D$119,3,FALSE)</f>
        <v>Comissões sobre Vendas Externo</v>
      </c>
      <c r="I4020" s="77" t="str">
        <f>IFERROR(VLOOKUP(DESPESAS[[#This Row],[Fornecedor]],Tabela2[],2,FALSE),"")</f>
        <v/>
      </c>
      <c r="J4020" s="77" t="str">
        <f>IFERROR(VLOOKUP(DESPESAS[[#This Row],[Plano de Contas]],BASE!$B$3:$F$119,4,FALSE),"")</f>
        <v>6 - DESPESA COM VENDAS</v>
      </c>
      <c r="K4020" s="77" t="str">
        <f>IFERROR(VLOOKUP(DESPESAS[[#This Row],[Plano de Contas]],BASE!$B$3:$H$119,5,FALSE),"")</f>
        <v>COMERCIAL</v>
      </c>
      <c r="L4020" s="77">
        <f>IFERROR(VLOOKUP(DESPESAS[[#This Row],[Plano de Contas]],BASE!$B$3:$H$119,6,FALSE),"")</f>
        <v>0</v>
      </c>
      <c r="M4020" s="77" t="str">
        <f>VLOOKUP(DESPESAS[[#This Row],[Plano de Contas]],BASE!$B$3:$H$119,7,FALSE)</f>
        <v>LETÍCIA</v>
      </c>
    </row>
    <row r="4021" spans="1:13" x14ac:dyDescent="0.25">
      <c r="A4021" s="74">
        <v>201483</v>
      </c>
      <c r="B4021" s="75" t="s">
        <v>221</v>
      </c>
      <c r="C4021" s="75" t="s">
        <v>3913</v>
      </c>
      <c r="D4021" s="76">
        <v>46150</v>
      </c>
      <c r="E4021" s="75" t="s">
        <v>790</v>
      </c>
      <c r="F4021" s="74">
        <v>115.94</v>
      </c>
      <c r="G4021" s="75" t="s">
        <v>572</v>
      </c>
      <c r="H4021" s="77" t="str">
        <f>VLOOKUP(DESPESAS[[#This Row],[Plano de Contas]],BASE!$B$3:$D$119,3,FALSE)</f>
        <v>Comissões sobre Vendas Externo</v>
      </c>
      <c r="I4021" s="77" t="str">
        <f>IFERROR(VLOOKUP(DESPESAS[[#This Row],[Fornecedor]],Tabela2[],2,FALSE),"")</f>
        <v/>
      </c>
      <c r="J4021" s="77" t="str">
        <f>IFERROR(VLOOKUP(DESPESAS[[#This Row],[Plano de Contas]],BASE!$B$3:$F$119,4,FALSE),"")</f>
        <v>6 - DESPESA COM VENDAS</v>
      </c>
      <c r="K4021" s="77" t="str">
        <f>IFERROR(VLOOKUP(DESPESAS[[#This Row],[Plano de Contas]],BASE!$B$3:$H$119,5,FALSE),"")</f>
        <v>COMERCIAL</v>
      </c>
      <c r="L4021" s="77">
        <f>IFERROR(VLOOKUP(DESPESAS[[#This Row],[Plano de Contas]],BASE!$B$3:$H$119,6,FALSE),"")</f>
        <v>0</v>
      </c>
      <c r="M4021" s="77" t="str">
        <f>VLOOKUP(DESPESAS[[#This Row],[Plano de Contas]],BASE!$B$3:$H$119,7,FALSE)</f>
        <v>LETÍCIA</v>
      </c>
    </row>
    <row r="4022" spans="1:13" x14ac:dyDescent="0.25">
      <c r="A4022" s="74">
        <v>201484</v>
      </c>
      <c r="B4022" s="75" t="s">
        <v>221</v>
      </c>
      <c r="C4022" s="75" t="s">
        <v>3913</v>
      </c>
      <c r="D4022" s="76">
        <v>46150</v>
      </c>
      <c r="E4022" s="75" t="s">
        <v>789</v>
      </c>
      <c r="F4022" s="74">
        <v>2342.96</v>
      </c>
      <c r="G4022" s="75" t="s">
        <v>572</v>
      </c>
      <c r="H4022" s="77" t="str">
        <f>VLOOKUP(DESPESAS[[#This Row],[Plano de Contas]],BASE!$B$3:$D$119,3,FALSE)</f>
        <v>Comissões sobre Vendas Externo</v>
      </c>
      <c r="I4022" s="77" t="str">
        <f>IFERROR(VLOOKUP(DESPESAS[[#This Row],[Fornecedor]],Tabela2[],2,FALSE),"")</f>
        <v/>
      </c>
      <c r="J4022" s="77" t="str">
        <f>IFERROR(VLOOKUP(DESPESAS[[#This Row],[Plano de Contas]],BASE!$B$3:$F$119,4,FALSE),"")</f>
        <v>6 - DESPESA COM VENDAS</v>
      </c>
      <c r="K4022" s="77" t="str">
        <f>IFERROR(VLOOKUP(DESPESAS[[#This Row],[Plano de Contas]],BASE!$B$3:$H$119,5,FALSE),"")</f>
        <v>COMERCIAL</v>
      </c>
      <c r="L4022" s="77">
        <f>IFERROR(VLOOKUP(DESPESAS[[#This Row],[Plano de Contas]],BASE!$B$3:$H$119,6,FALSE),"")</f>
        <v>0</v>
      </c>
      <c r="M4022" s="77" t="str">
        <f>VLOOKUP(DESPESAS[[#This Row],[Plano de Contas]],BASE!$B$3:$H$119,7,FALSE)</f>
        <v>LETÍCIA</v>
      </c>
    </row>
    <row r="4023" spans="1:13" x14ac:dyDescent="0.25">
      <c r="A4023" s="74">
        <v>201485</v>
      </c>
      <c r="B4023" s="75" t="s">
        <v>221</v>
      </c>
      <c r="C4023" s="75" t="s">
        <v>3913</v>
      </c>
      <c r="D4023" s="76">
        <v>46150</v>
      </c>
      <c r="E4023" s="75" t="s">
        <v>788</v>
      </c>
      <c r="F4023" s="74">
        <v>469.02</v>
      </c>
      <c r="G4023" s="75" t="s">
        <v>572</v>
      </c>
      <c r="H4023" s="77" t="str">
        <f>VLOOKUP(DESPESAS[[#This Row],[Plano de Contas]],BASE!$B$3:$D$119,3,FALSE)</f>
        <v>Comissões sobre Vendas Externo</v>
      </c>
      <c r="I4023" s="77" t="str">
        <f>IFERROR(VLOOKUP(DESPESAS[[#This Row],[Fornecedor]],Tabela2[],2,FALSE),"")</f>
        <v/>
      </c>
      <c r="J4023" s="77" t="str">
        <f>IFERROR(VLOOKUP(DESPESAS[[#This Row],[Plano de Contas]],BASE!$B$3:$F$119,4,FALSE),"")</f>
        <v>6 - DESPESA COM VENDAS</v>
      </c>
      <c r="K4023" s="77" t="str">
        <f>IFERROR(VLOOKUP(DESPESAS[[#This Row],[Plano de Contas]],BASE!$B$3:$H$119,5,FALSE),"")</f>
        <v>COMERCIAL</v>
      </c>
      <c r="L4023" s="77">
        <f>IFERROR(VLOOKUP(DESPESAS[[#This Row],[Plano de Contas]],BASE!$B$3:$H$119,6,FALSE),"")</f>
        <v>0</v>
      </c>
      <c r="M4023" s="77" t="str">
        <f>VLOOKUP(DESPESAS[[#This Row],[Plano de Contas]],BASE!$B$3:$H$119,7,FALSE)</f>
        <v>LETÍCIA</v>
      </c>
    </row>
    <row r="4024" spans="1:13" x14ac:dyDescent="0.25">
      <c r="A4024" s="74">
        <v>201486</v>
      </c>
      <c r="B4024" s="75" t="s">
        <v>221</v>
      </c>
      <c r="C4024" s="75" t="s">
        <v>3913</v>
      </c>
      <c r="D4024" s="76">
        <v>46150</v>
      </c>
      <c r="E4024" s="75" t="s">
        <v>787</v>
      </c>
      <c r="F4024" s="74">
        <v>2524.75</v>
      </c>
      <c r="G4024" s="75" t="s">
        <v>572</v>
      </c>
      <c r="H4024" s="77" t="str">
        <f>VLOOKUP(DESPESAS[[#This Row],[Plano de Contas]],BASE!$B$3:$D$119,3,FALSE)</f>
        <v>Comissões sobre Vendas Externo</v>
      </c>
      <c r="I4024" s="77" t="str">
        <f>IFERROR(VLOOKUP(DESPESAS[[#This Row],[Fornecedor]],Tabela2[],2,FALSE),"")</f>
        <v/>
      </c>
      <c r="J4024" s="77" t="str">
        <f>IFERROR(VLOOKUP(DESPESAS[[#This Row],[Plano de Contas]],BASE!$B$3:$F$119,4,FALSE),"")</f>
        <v>6 - DESPESA COM VENDAS</v>
      </c>
      <c r="K4024" s="77" t="str">
        <f>IFERROR(VLOOKUP(DESPESAS[[#This Row],[Plano de Contas]],BASE!$B$3:$H$119,5,FALSE),"")</f>
        <v>COMERCIAL</v>
      </c>
      <c r="L4024" s="77">
        <f>IFERROR(VLOOKUP(DESPESAS[[#This Row],[Plano de Contas]],BASE!$B$3:$H$119,6,FALSE),"")</f>
        <v>0</v>
      </c>
      <c r="M4024" s="77" t="str">
        <f>VLOOKUP(DESPESAS[[#This Row],[Plano de Contas]],BASE!$B$3:$H$119,7,FALSE)</f>
        <v>LETÍCIA</v>
      </c>
    </row>
    <row r="4025" spans="1:13" x14ac:dyDescent="0.25">
      <c r="A4025" s="74">
        <v>201487</v>
      </c>
      <c r="B4025" s="75" t="s">
        <v>221</v>
      </c>
      <c r="C4025" s="75" t="s">
        <v>3914</v>
      </c>
      <c r="D4025" s="76">
        <v>46149</v>
      </c>
      <c r="E4025" s="75" t="s">
        <v>347</v>
      </c>
      <c r="F4025" s="74">
        <v>170.03</v>
      </c>
      <c r="G4025" s="75" t="s">
        <v>244</v>
      </c>
      <c r="H4025" s="77" t="str">
        <f>VLOOKUP(DESPESAS[[#This Row],[Plano de Contas]],BASE!$B$3:$D$119,3,FALSE)</f>
        <v>Material de Expediente (Prod)</v>
      </c>
      <c r="I4025" s="77" t="str">
        <f>IFERROR(VLOOKUP(DESPESAS[[#This Row],[Fornecedor]],Tabela2[],2,FALSE),"")</f>
        <v/>
      </c>
      <c r="J4025" s="77" t="str">
        <f>IFERROR(VLOOKUP(DESPESAS[[#This Row],[Plano de Contas]],BASE!$B$3:$F$119,4,FALSE),"")</f>
        <v>2 - CUSTOS DIRETOS</v>
      </c>
      <c r="K4025" s="77" t="str">
        <f>IFERROR(VLOOKUP(DESPESAS[[#This Row],[Plano de Contas]],BASE!$B$3:$H$119,5,FALSE),"")</f>
        <v>PRODUÇÃO</v>
      </c>
      <c r="L4025" s="77">
        <f>IFERROR(VLOOKUP(DESPESAS[[#This Row],[Plano de Contas]],BASE!$B$3:$H$119,6,FALSE),"")</f>
        <v>0</v>
      </c>
      <c r="M4025" s="77" t="str">
        <f>VLOOKUP(DESPESAS[[#This Row],[Plano de Contas]],BASE!$B$3:$H$119,7,FALSE)</f>
        <v>RAFAEL</v>
      </c>
    </row>
    <row r="4026" spans="1:13" x14ac:dyDescent="0.25">
      <c r="A4026" s="74">
        <v>201488</v>
      </c>
      <c r="B4026" s="75" t="s">
        <v>221</v>
      </c>
      <c r="C4026" s="75" t="s">
        <v>3915</v>
      </c>
      <c r="D4026" s="76">
        <v>46150</v>
      </c>
      <c r="E4026" s="75" t="s">
        <v>786</v>
      </c>
      <c r="F4026" s="74">
        <v>57.19</v>
      </c>
      <c r="G4026" s="75" t="s">
        <v>572</v>
      </c>
      <c r="H4026" s="77" t="str">
        <f>VLOOKUP(DESPESAS[[#This Row],[Plano de Contas]],BASE!$B$3:$D$119,3,FALSE)</f>
        <v>Comissões sobre Vendas Externo</v>
      </c>
      <c r="I4026" s="77" t="str">
        <f>IFERROR(VLOOKUP(DESPESAS[[#This Row],[Fornecedor]],Tabela2[],2,FALSE),"")</f>
        <v/>
      </c>
      <c r="J4026" s="77" t="str">
        <f>IFERROR(VLOOKUP(DESPESAS[[#This Row],[Plano de Contas]],BASE!$B$3:$F$119,4,FALSE),"")</f>
        <v>6 - DESPESA COM VENDAS</v>
      </c>
      <c r="K4026" s="77" t="str">
        <f>IFERROR(VLOOKUP(DESPESAS[[#This Row],[Plano de Contas]],BASE!$B$3:$H$119,5,FALSE),"")</f>
        <v>COMERCIAL</v>
      </c>
      <c r="L4026" s="77">
        <f>IFERROR(VLOOKUP(DESPESAS[[#This Row],[Plano de Contas]],BASE!$B$3:$H$119,6,FALSE),"")</f>
        <v>0</v>
      </c>
      <c r="M4026" s="77" t="str">
        <f>VLOOKUP(DESPESAS[[#This Row],[Plano de Contas]],BASE!$B$3:$H$119,7,FALSE)</f>
        <v>LETÍCIA</v>
      </c>
    </row>
    <row r="4027" spans="1:13" x14ac:dyDescent="0.25">
      <c r="A4027" s="74">
        <v>201489</v>
      </c>
      <c r="B4027" s="75" t="s">
        <v>221</v>
      </c>
      <c r="C4027" s="75" t="s">
        <v>3913</v>
      </c>
      <c r="D4027" s="76">
        <v>46150</v>
      </c>
      <c r="E4027" s="75" t="s">
        <v>785</v>
      </c>
      <c r="F4027" s="74">
        <v>577.21</v>
      </c>
      <c r="G4027" s="75" t="s">
        <v>572</v>
      </c>
      <c r="H4027" s="77" t="str">
        <f>VLOOKUP(DESPESAS[[#This Row],[Plano de Contas]],BASE!$B$3:$D$119,3,FALSE)</f>
        <v>Comissões sobre Vendas Externo</v>
      </c>
      <c r="I4027" s="77" t="str">
        <f>IFERROR(VLOOKUP(DESPESAS[[#This Row],[Fornecedor]],Tabela2[],2,FALSE),"")</f>
        <v/>
      </c>
      <c r="J4027" s="77" t="str">
        <f>IFERROR(VLOOKUP(DESPESAS[[#This Row],[Plano de Contas]],BASE!$B$3:$F$119,4,FALSE),"")</f>
        <v>6 - DESPESA COM VENDAS</v>
      </c>
      <c r="K4027" s="77" t="str">
        <f>IFERROR(VLOOKUP(DESPESAS[[#This Row],[Plano de Contas]],BASE!$B$3:$H$119,5,FALSE),"")</f>
        <v>COMERCIAL</v>
      </c>
      <c r="L4027" s="77">
        <f>IFERROR(VLOOKUP(DESPESAS[[#This Row],[Plano de Contas]],BASE!$B$3:$H$119,6,FALSE),"")</f>
        <v>0</v>
      </c>
      <c r="M4027" s="77" t="str">
        <f>VLOOKUP(DESPESAS[[#This Row],[Plano de Contas]],BASE!$B$3:$H$119,7,FALSE)</f>
        <v>LETÍCIA</v>
      </c>
    </row>
    <row r="4028" spans="1:13" x14ac:dyDescent="0.25">
      <c r="A4028" s="74">
        <v>201490</v>
      </c>
      <c r="B4028" s="75" t="s">
        <v>221</v>
      </c>
      <c r="C4028" s="75" t="s">
        <v>3913</v>
      </c>
      <c r="D4028" s="76">
        <v>46150</v>
      </c>
      <c r="E4028" s="75" t="s">
        <v>791</v>
      </c>
      <c r="F4028" s="74">
        <v>1013.36</v>
      </c>
      <c r="G4028" s="75" t="s">
        <v>572</v>
      </c>
      <c r="H4028" s="77" t="str">
        <f>VLOOKUP(DESPESAS[[#This Row],[Plano de Contas]],BASE!$B$3:$D$119,3,FALSE)</f>
        <v>Comissões sobre Vendas Externo</v>
      </c>
      <c r="I4028" s="77" t="str">
        <f>IFERROR(VLOOKUP(DESPESAS[[#This Row],[Fornecedor]],Tabela2[],2,FALSE),"")</f>
        <v/>
      </c>
      <c r="J4028" s="77" t="str">
        <f>IFERROR(VLOOKUP(DESPESAS[[#This Row],[Plano de Contas]],BASE!$B$3:$F$119,4,FALSE),"")</f>
        <v>6 - DESPESA COM VENDAS</v>
      </c>
      <c r="K4028" s="77" t="str">
        <f>IFERROR(VLOOKUP(DESPESAS[[#This Row],[Plano de Contas]],BASE!$B$3:$H$119,5,FALSE),"")</f>
        <v>COMERCIAL</v>
      </c>
      <c r="L4028" s="77">
        <f>IFERROR(VLOOKUP(DESPESAS[[#This Row],[Plano de Contas]],BASE!$B$3:$H$119,6,FALSE),"")</f>
        <v>0</v>
      </c>
      <c r="M4028" s="77" t="str">
        <f>VLOOKUP(DESPESAS[[#This Row],[Plano de Contas]],BASE!$B$3:$H$119,7,FALSE)</f>
        <v>LETÍCIA</v>
      </c>
    </row>
    <row r="4029" spans="1:13" x14ac:dyDescent="0.25">
      <c r="A4029" s="74">
        <v>201491</v>
      </c>
      <c r="B4029" s="75" t="s">
        <v>221</v>
      </c>
      <c r="C4029" s="75" t="s">
        <v>3913</v>
      </c>
      <c r="D4029" s="76">
        <v>46150</v>
      </c>
      <c r="E4029" s="75" t="s">
        <v>784</v>
      </c>
      <c r="F4029" s="74">
        <v>1750.11</v>
      </c>
      <c r="G4029" s="75" t="s">
        <v>572</v>
      </c>
      <c r="H4029" s="77" t="str">
        <f>VLOOKUP(DESPESAS[[#This Row],[Plano de Contas]],BASE!$B$3:$D$119,3,FALSE)</f>
        <v>Comissões sobre Vendas Externo</v>
      </c>
      <c r="I4029" s="77" t="str">
        <f>IFERROR(VLOOKUP(DESPESAS[[#This Row],[Fornecedor]],Tabela2[],2,FALSE),"")</f>
        <v/>
      </c>
      <c r="J4029" s="77" t="str">
        <f>IFERROR(VLOOKUP(DESPESAS[[#This Row],[Plano de Contas]],BASE!$B$3:$F$119,4,FALSE),"")</f>
        <v>6 - DESPESA COM VENDAS</v>
      </c>
      <c r="K4029" s="77" t="str">
        <f>IFERROR(VLOOKUP(DESPESAS[[#This Row],[Plano de Contas]],BASE!$B$3:$H$119,5,FALSE),"")</f>
        <v>COMERCIAL</v>
      </c>
      <c r="L4029" s="77">
        <f>IFERROR(VLOOKUP(DESPESAS[[#This Row],[Plano de Contas]],BASE!$B$3:$H$119,6,FALSE),"")</f>
        <v>0</v>
      </c>
      <c r="M4029" s="77" t="str">
        <f>VLOOKUP(DESPESAS[[#This Row],[Plano de Contas]],BASE!$B$3:$H$119,7,FALSE)</f>
        <v>LETÍCIA</v>
      </c>
    </row>
    <row r="4030" spans="1:13" x14ac:dyDescent="0.25">
      <c r="A4030" s="74">
        <v>201492</v>
      </c>
      <c r="B4030" s="75" t="s">
        <v>232</v>
      </c>
      <c r="C4030" s="75" t="s">
        <v>3913</v>
      </c>
      <c r="D4030" s="76">
        <v>46150</v>
      </c>
      <c r="E4030" s="75" t="s">
        <v>573</v>
      </c>
      <c r="F4030" s="74">
        <v>1513.93</v>
      </c>
      <c r="G4030" s="75" t="s">
        <v>572</v>
      </c>
      <c r="H4030" s="77" t="str">
        <f>VLOOKUP(DESPESAS[[#This Row],[Plano de Contas]],BASE!$B$3:$D$119,3,FALSE)</f>
        <v>Comissões sobre Vendas Externo</v>
      </c>
      <c r="I4030" s="77" t="str">
        <f>IFERROR(VLOOKUP(DESPESAS[[#This Row],[Fornecedor]],Tabela2[],2,FALSE),"")</f>
        <v/>
      </c>
      <c r="J4030" s="77" t="str">
        <f>IFERROR(VLOOKUP(DESPESAS[[#This Row],[Plano de Contas]],BASE!$B$3:$F$119,4,FALSE),"")</f>
        <v>6 - DESPESA COM VENDAS</v>
      </c>
      <c r="K4030" s="77" t="str">
        <f>IFERROR(VLOOKUP(DESPESAS[[#This Row],[Plano de Contas]],BASE!$B$3:$H$119,5,FALSE),"")</f>
        <v>COMERCIAL</v>
      </c>
      <c r="L4030" s="77">
        <f>IFERROR(VLOOKUP(DESPESAS[[#This Row],[Plano de Contas]],BASE!$B$3:$H$119,6,FALSE),"")</f>
        <v>0</v>
      </c>
      <c r="M4030" s="77" t="str">
        <f>VLOOKUP(DESPESAS[[#This Row],[Plano de Contas]],BASE!$B$3:$H$119,7,FALSE)</f>
        <v>LETÍCIA</v>
      </c>
    </row>
    <row r="4031" spans="1:13" x14ac:dyDescent="0.25">
      <c r="A4031" s="74">
        <v>201493</v>
      </c>
      <c r="B4031" s="75" t="s">
        <v>232</v>
      </c>
      <c r="C4031" s="75" t="s">
        <v>3913</v>
      </c>
      <c r="D4031" s="76">
        <v>46150</v>
      </c>
      <c r="E4031" s="75" t="s">
        <v>790</v>
      </c>
      <c r="F4031" s="74">
        <v>889.81</v>
      </c>
      <c r="G4031" s="75" t="s">
        <v>572</v>
      </c>
      <c r="H4031" s="77" t="str">
        <f>VLOOKUP(DESPESAS[[#This Row],[Plano de Contas]],BASE!$B$3:$D$119,3,FALSE)</f>
        <v>Comissões sobre Vendas Externo</v>
      </c>
      <c r="I4031" s="77" t="str">
        <f>IFERROR(VLOOKUP(DESPESAS[[#This Row],[Fornecedor]],Tabela2[],2,FALSE),"")</f>
        <v/>
      </c>
      <c r="J4031" s="77" t="str">
        <f>IFERROR(VLOOKUP(DESPESAS[[#This Row],[Plano de Contas]],BASE!$B$3:$F$119,4,FALSE),"")</f>
        <v>6 - DESPESA COM VENDAS</v>
      </c>
      <c r="K4031" s="77" t="str">
        <f>IFERROR(VLOOKUP(DESPESAS[[#This Row],[Plano de Contas]],BASE!$B$3:$H$119,5,FALSE),"")</f>
        <v>COMERCIAL</v>
      </c>
      <c r="L4031" s="77">
        <f>IFERROR(VLOOKUP(DESPESAS[[#This Row],[Plano de Contas]],BASE!$B$3:$H$119,6,FALSE),"")</f>
        <v>0</v>
      </c>
      <c r="M4031" s="77" t="str">
        <f>VLOOKUP(DESPESAS[[#This Row],[Plano de Contas]],BASE!$B$3:$H$119,7,FALSE)</f>
        <v>LETÍCIA</v>
      </c>
    </row>
    <row r="4032" spans="1:13" x14ac:dyDescent="0.25">
      <c r="A4032" s="74">
        <v>201494</v>
      </c>
      <c r="B4032" s="75" t="s">
        <v>232</v>
      </c>
      <c r="C4032" s="75" t="s">
        <v>3913</v>
      </c>
      <c r="D4032" s="76">
        <v>46150</v>
      </c>
      <c r="E4032" s="75" t="s">
        <v>789</v>
      </c>
      <c r="F4032" s="74">
        <v>12105.69</v>
      </c>
      <c r="G4032" s="75" t="s">
        <v>572</v>
      </c>
      <c r="H4032" s="77" t="str">
        <f>VLOOKUP(DESPESAS[[#This Row],[Plano de Contas]],BASE!$B$3:$D$119,3,FALSE)</f>
        <v>Comissões sobre Vendas Externo</v>
      </c>
      <c r="I4032" s="77" t="str">
        <f>IFERROR(VLOOKUP(DESPESAS[[#This Row],[Fornecedor]],Tabela2[],2,FALSE),"")</f>
        <v/>
      </c>
      <c r="J4032" s="77" t="str">
        <f>IFERROR(VLOOKUP(DESPESAS[[#This Row],[Plano de Contas]],BASE!$B$3:$F$119,4,FALSE),"")</f>
        <v>6 - DESPESA COM VENDAS</v>
      </c>
      <c r="K4032" s="77" t="str">
        <f>IFERROR(VLOOKUP(DESPESAS[[#This Row],[Plano de Contas]],BASE!$B$3:$H$119,5,FALSE),"")</f>
        <v>COMERCIAL</v>
      </c>
      <c r="L4032" s="77">
        <f>IFERROR(VLOOKUP(DESPESAS[[#This Row],[Plano de Contas]],BASE!$B$3:$H$119,6,FALSE),"")</f>
        <v>0</v>
      </c>
      <c r="M4032" s="77" t="str">
        <f>VLOOKUP(DESPESAS[[#This Row],[Plano de Contas]],BASE!$B$3:$H$119,7,FALSE)</f>
        <v>LETÍCIA</v>
      </c>
    </row>
    <row r="4033" spans="1:13" x14ac:dyDescent="0.25">
      <c r="A4033" s="74">
        <v>201495</v>
      </c>
      <c r="B4033" s="75" t="s">
        <v>232</v>
      </c>
      <c r="C4033" s="75" t="s">
        <v>3913</v>
      </c>
      <c r="D4033" s="76">
        <v>46150</v>
      </c>
      <c r="E4033" s="75" t="s">
        <v>788</v>
      </c>
      <c r="F4033" s="74">
        <v>4167.45</v>
      </c>
      <c r="G4033" s="75" t="s">
        <v>572</v>
      </c>
      <c r="H4033" s="77" t="str">
        <f>VLOOKUP(DESPESAS[[#This Row],[Plano de Contas]],BASE!$B$3:$D$119,3,FALSE)</f>
        <v>Comissões sobre Vendas Externo</v>
      </c>
      <c r="I4033" s="77" t="str">
        <f>IFERROR(VLOOKUP(DESPESAS[[#This Row],[Fornecedor]],Tabela2[],2,FALSE),"")</f>
        <v/>
      </c>
      <c r="J4033" s="77" t="str">
        <f>IFERROR(VLOOKUP(DESPESAS[[#This Row],[Plano de Contas]],BASE!$B$3:$F$119,4,FALSE),"")</f>
        <v>6 - DESPESA COM VENDAS</v>
      </c>
      <c r="K4033" s="77" t="str">
        <f>IFERROR(VLOOKUP(DESPESAS[[#This Row],[Plano de Contas]],BASE!$B$3:$H$119,5,FALSE),"")</f>
        <v>COMERCIAL</v>
      </c>
      <c r="L4033" s="77">
        <f>IFERROR(VLOOKUP(DESPESAS[[#This Row],[Plano de Contas]],BASE!$B$3:$H$119,6,FALSE),"")</f>
        <v>0</v>
      </c>
      <c r="M4033" s="77" t="str">
        <f>VLOOKUP(DESPESAS[[#This Row],[Plano de Contas]],BASE!$B$3:$H$119,7,FALSE)</f>
        <v>LETÍCIA</v>
      </c>
    </row>
    <row r="4034" spans="1:13" x14ac:dyDescent="0.25">
      <c r="A4034" s="74">
        <v>201496</v>
      </c>
      <c r="B4034" s="75" t="s">
        <v>232</v>
      </c>
      <c r="C4034" s="75" t="s">
        <v>3913</v>
      </c>
      <c r="D4034" s="76">
        <v>46150</v>
      </c>
      <c r="E4034" s="75" t="s">
        <v>787</v>
      </c>
      <c r="F4034" s="74">
        <v>2185.88</v>
      </c>
      <c r="G4034" s="75" t="s">
        <v>572</v>
      </c>
      <c r="H4034" s="77" t="str">
        <f>VLOOKUP(DESPESAS[[#This Row],[Plano de Contas]],BASE!$B$3:$D$119,3,FALSE)</f>
        <v>Comissões sobre Vendas Externo</v>
      </c>
      <c r="I4034" s="77" t="str">
        <f>IFERROR(VLOOKUP(DESPESAS[[#This Row],[Fornecedor]],Tabela2[],2,FALSE),"")</f>
        <v/>
      </c>
      <c r="J4034" s="77" t="str">
        <f>IFERROR(VLOOKUP(DESPESAS[[#This Row],[Plano de Contas]],BASE!$B$3:$F$119,4,FALSE),"")</f>
        <v>6 - DESPESA COM VENDAS</v>
      </c>
      <c r="K4034" s="77" t="str">
        <f>IFERROR(VLOOKUP(DESPESAS[[#This Row],[Plano de Contas]],BASE!$B$3:$H$119,5,FALSE),"")</f>
        <v>COMERCIAL</v>
      </c>
      <c r="L4034" s="77">
        <f>IFERROR(VLOOKUP(DESPESAS[[#This Row],[Plano de Contas]],BASE!$B$3:$H$119,6,FALSE),"")</f>
        <v>0</v>
      </c>
      <c r="M4034" s="77" t="str">
        <f>VLOOKUP(DESPESAS[[#This Row],[Plano de Contas]],BASE!$B$3:$H$119,7,FALSE)</f>
        <v>LETÍCIA</v>
      </c>
    </row>
    <row r="4035" spans="1:13" x14ac:dyDescent="0.25">
      <c r="A4035" s="74">
        <v>201497</v>
      </c>
      <c r="B4035" s="75" t="s">
        <v>232</v>
      </c>
      <c r="C4035" s="75" t="s">
        <v>3913</v>
      </c>
      <c r="D4035" s="76">
        <v>46150</v>
      </c>
      <c r="E4035" s="75" t="s">
        <v>786</v>
      </c>
      <c r="F4035" s="74">
        <v>380.24</v>
      </c>
      <c r="G4035" s="75" t="s">
        <v>572</v>
      </c>
      <c r="H4035" s="77" t="str">
        <f>VLOOKUP(DESPESAS[[#This Row],[Plano de Contas]],BASE!$B$3:$D$119,3,FALSE)</f>
        <v>Comissões sobre Vendas Externo</v>
      </c>
      <c r="I4035" s="77" t="str">
        <f>IFERROR(VLOOKUP(DESPESAS[[#This Row],[Fornecedor]],Tabela2[],2,FALSE),"")</f>
        <v/>
      </c>
      <c r="J4035" s="77" t="str">
        <f>IFERROR(VLOOKUP(DESPESAS[[#This Row],[Plano de Contas]],BASE!$B$3:$F$119,4,FALSE),"")</f>
        <v>6 - DESPESA COM VENDAS</v>
      </c>
      <c r="K4035" s="77" t="str">
        <f>IFERROR(VLOOKUP(DESPESAS[[#This Row],[Plano de Contas]],BASE!$B$3:$H$119,5,FALSE),"")</f>
        <v>COMERCIAL</v>
      </c>
      <c r="L4035" s="77">
        <f>IFERROR(VLOOKUP(DESPESAS[[#This Row],[Plano de Contas]],BASE!$B$3:$H$119,6,FALSE),"")</f>
        <v>0</v>
      </c>
      <c r="M4035" s="77" t="str">
        <f>VLOOKUP(DESPESAS[[#This Row],[Plano de Contas]],BASE!$B$3:$H$119,7,FALSE)</f>
        <v>LETÍCIA</v>
      </c>
    </row>
    <row r="4036" spans="1:13" x14ac:dyDescent="0.25">
      <c r="A4036" s="74">
        <v>201498</v>
      </c>
      <c r="B4036" s="75" t="s">
        <v>232</v>
      </c>
      <c r="C4036" s="75" t="s">
        <v>3913</v>
      </c>
      <c r="D4036" s="76">
        <v>46150</v>
      </c>
      <c r="E4036" s="75" t="s">
        <v>785</v>
      </c>
      <c r="F4036" s="74">
        <v>4851.71</v>
      </c>
      <c r="G4036" s="75" t="s">
        <v>572</v>
      </c>
      <c r="H4036" s="77" t="str">
        <f>VLOOKUP(DESPESAS[[#This Row],[Plano de Contas]],BASE!$B$3:$D$119,3,FALSE)</f>
        <v>Comissões sobre Vendas Externo</v>
      </c>
      <c r="I4036" s="77" t="str">
        <f>IFERROR(VLOOKUP(DESPESAS[[#This Row],[Fornecedor]],Tabela2[],2,FALSE),"")</f>
        <v/>
      </c>
      <c r="J4036" s="77" t="str">
        <f>IFERROR(VLOOKUP(DESPESAS[[#This Row],[Plano de Contas]],BASE!$B$3:$F$119,4,FALSE),"")</f>
        <v>6 - DESPESA COM VENDAS</v>
      </c>
      <c r="K4036" s="77" t="str">
        <f>IFERROR(VLOOKUP(DESPESAS[[#This Row],[Plano de Contas]],BASE!$B$3:$H$119,5,FALSE),"")</f>
        <v>COMERCIAL</v>
      </c>
      <c r="L4036" s="77">
        <f>IFERROR(VLOOKUP(DESPESAS[[#This Row],[Plano de Contas]],BASE!$B$3:$H$119,6,FALSE),"")</f>
        <v>0</v>
      </c>
      <c r="M4036" s="77" t="str">
        <f>VLOOKUP(DESPESAS[[#This Row],[Plano de Contas]],BASE!$B$3:$H$119,7,FALSE)</f>
        <v>LETÍCIA</v>
      </c>
    </row>
    <row r="4037" spans="1:13" x14ac:dyDescent="0.25">
      <c r="A4037" s="74">
        <v>201499</v>
      </c>
      <c r="B4037" s="75" t="s">
        <v>232</v>
      </c>
      <c r="C4037" s="75" t="s">
        <v>3913</v>
      </c>
      <c r="D4037" s="76">
        <v>46150</v>
      </c>
      <c r="E4037" s="75" t="s">
        <v>791</v>
      </c>
      <c r="F4037" s="74">
        <v>3014.66</v>
      </c>
      <c r="G4037" s="75" t="s">
        <v>572</v>
      </c>
      <c r="H4037" s="77" t="str">
        <f>VLOOKUP(DESPESAS[[#This Row],[Plano de Contas]],BASE!$B$3:$D$119,3,FALSE)</f>
        <v>Comissões sobre Vendas Externo</v>
      </c>
      <c r="I4037" s="77" t="str">
        <f>IFERROR(VLOOKUP(DESPESAS[[#This Row],[Fornecedor]],Tabela2[],2,FALSE),"")</f>
        <v/>
      </c>
      <c r="J4037" s="77" t="str">
        <f>IFERROR(VLOOKUP(DESPESAS[[#This Row],[Plano de Contas]],BASE!$B$3:$F$119,4,FALSE),"")</f>
        <v>6 - DESPESA COM VENDAS</v>
      </c>
      <c r="K4037" s="77" t="str">
        <f>IFERROR(VLOOKUP(DESPESAS[[#This Row],[Plano de Contas]],BASE!$B$3:$H$119,5,FALSE),"")</f>
        <v>COMERCIAL</v>
      </c>
      <c r="L4037" s="77">
        <f>IFERROR(VLOOKUP(DESPESAS[[#This Row],[Plano de Contas]],BASE!$B$3:$H$119,6,FALSE),"")</f>
        <v>0</v>
      </c>
      <c r="M4037" s="77" t="str">
        <f>VLOOKUP(DESPESAS[[#This Row],[Plano de Contas]],BASE!$B$3:$H$119,7,FALSE)</f>
        <v>LETÍCIA</v>
      </c>
    </row>
    <row r="4038" spans="1:13" x14ac:dyDescent="0.25">
      <c r="A4038" s="74">
        <v>201500</v>
      </c>
      <c r="B4038" s="75" t="s">
        <v>232</v>
      </c>
      <c r="C4038" s="75" t="s">
        <v>3913</v>
      </c>
      <c r="D4038" s="76">
        <v>46150</v>
      </c>
      <c r="E4038" s="75" t="s">
        <v>784</v>
      </c>
      <c r="F4038" s="74">
        <v>5333.78</v>
      </c>
      <c r="G4038" s="75" t="s">
        <v>572</v>
      </c>
      <c r="H4038" s="77" t="str">
        <f>VLOOKUP(DESPESAS[[#This Row],[Plano de Contas]],BASE!$B$3:$D$119,3,FALSE)</f>
        <v>Comissões sobre Vendas Externo</v>
      </c>
      <c r="I4038" s="77" t="str">
        <f>IFERROR(VLOOKUP(DESPESAS[[#This Row],[Fornecedor]],Tabela2[],2,FALSE),"")</f>
        <v/>
      </c>
      <c r="J4038" s="77" t="str">
        <f>IFERROR(VLOOKUP(DESPESAS[[#This Row],[Plano de Contas]],BASE!$B$3:$F$119,4,FALSE),"")</f>
        <v>6 - DESPESA COM VENDAS</v>
      </c>
      <c r="K4038" s="77" t="str">
        <f>IFERROR(VLOOKUP(DESPESAS[[#This Row],[Plano de Contas]],BASE!$B$3:$H$119,5,FALSE),"")</f>
        <v>COMERCIAL</v>
      </c>
      <c r="L4038" s="77">
        <f>IFERROR(VLOOKUP(DESPESAS[[#This Row],[Plano de Contas]],BASE!$B$3:$H$119,6,FALSE),"")</f>
        <v>0</v>
      </c>
      <c r="M4038" s="77" t="str">
        <f>VLOOKUP(DESPESAS[[#This Row],[Plano de Contas]],BASE!$B$3:$H$119,7,FALSE)</f>
        <v>LETÍCIA</v>
      </c>
    </row>
    <row r="4039" spans="1:13" x14ac:dyDescent="0.25">
      <c r="A4039" s="74">
        <v>201501</v>
      </c>
      <c r="B4039" s="75" t="s">
        <v>221</v>
      </c>
      <c r="C4039" s="75" t="s">
        <v>3916</v>
      </c>
      <c r="D4039" s="76">
        <v>46150</v>
      </c>
      <c r="E4039" s="75" t="s">
        <v>3917</v>
      </c>
      <c r="F4039" s="74">
        <v>100</v>
      </c>
      <c r="G4039" s="75" t="s">
        <v>218</v>
      </c>
      <c r="H4039" s="77" t="str">
        <f>VLOOKUP(DESPESAS[[#This Row],[Plano de Contas]],BASE!$B$3:$D$119,3,FALSE)</f>
        <v>Manutenção de Equipamentos (Prod)</v>
      </c>
      <c r="I4039" s="77" t="str">
        <f>IFERROR(VLOOKUP(DESPESAS[[#This Row],[Fornecedor]],Tabela2[],2,FALSE),"")</f>
        <v/>
      </c>
      <c r="J4039" s="77" t="str">
        <f>IFERROR(VLOOKUP(DESPESAS[[#This Row],[Plano de Contas]],BASE!$B$3:$F$119,4,FALSE),"")</f>
        <v>3 - CUSTOS INDIRETOS</v>
      </c>
      <c r="K4039" s="77" t="str">
        <f>IFERROR(VLOOKUP(DESPESAS[[#This Row],[Plano de Contas]],BASE!$B$3:$H$119,5,FALSE),"")</f>
        <v>MANUTENÇÃO / TI</v>
      </c>
      <c r="L4039" s="77">
        <f>IFERROR(VLOOKUP(DESPESAS[[#This Row],[Plano de Contas]],BASE!$B$3:$H$119,6,FALSE),"")</f>
        <v>0</v>
      </c>
      <c r="M4039" s="77" t="str">
        <f>VLOOKUP(DESPESAS[[#This Row],[Plano de Contas]],BASE!$B$3:$H$119,7,FALSE)</f>
        <v>RAFAEL</v>
      </c>
    </row>
    <row r="4040" spans="1:13" x14ac:dyDescent="0.25">
      <c r="A4040" s="74">
        <v>201502</v>
      </c>
      <c r="B4040" s="75" t="s">
        <v>281</v>
      </c>
      <c r="C4040" s="75" t="s">
        <v>3913</v>
      </c>
      <c r="D4040" s="76">
        <v>46150</v>
      </c>
      <c r="E4040" s="75" t="s">
        <v>573</v>
      </c>
      <c r="F4040" s="74">
        <v>1612.38</v>
      </c>
      <c r="G4040" s="75" t="s">
        <v>572</v>
      </c>
      <c r="H4040" s="77" t="str">
        <f>VLOOKUP(DESPESAS[[#This Row],[Plano de Contas]],BASE!$B$3:$D$119,3,FALSE)</f>
        <v>Comissões sobre Vendas Externo</v>
      </c>
      <c r="I4040" s="77" t="str">
        <f>IFERROR(VLOOKUP(DESPESAS[[#This Row],[Fornecedor]],Tabela2[],2,FALSE),"")</f>
        <v/>
      </c>
      <c r="J4040" s="77" t="str">
        <f>IFERROR(VLOOKUP(DESPESAS[[#This Row],[Plano de Contas]],BASE!$B$3:$F$119,4,FALSE),"")</f>
        <v>6 - DESPESA COM VENDAS</v>
      </c>
      <c r="K4040" s="77" t="str">
        <f>IFERROR(VLOOKUP(DESPESAS[[#This Row],[Plano de Contas]],BASE!$B$3:$H$119,5,FALSE),"")</f>
        <v>COMERCIAL</v>
      </c>
      <c r="L4040" s="77">
        <f>IFERROR(VLOOKUP(DESPESAS[[#This Row],[Plano de Contas]],BASE!$B$3:$H$119,6,FALSE),"")</f>
        <v>0</v>
      </c>
      <c r="M4040" s="77" t="str">
        <f>VLOOKUP(DESPESAS[[#This Row],[Plano de Contas]],BASE!$B$3:$H$119,7,FALSE)</f>
        <v>LETÍCIA</v>
      </c>
    </row>
    <row r="4041" spans="1:13" x14ac:dyDescent="0.25">
      <c r="A4041" s="74">
        <v>201503</v>
      </c>
      <c r="B4041" s="75" t="s">
        <v>281</v>
      </c>
      <c r="C4041" s="75" t="s">
        <v>3913</v>
      </c>
      <c r="D4041" s="76">
        <v>46150</v>
      </c>
      <c r="E4041" s="75" t="s">
        <v>790</v>
      </c>
      <c r="F4041" s="74">
        <v>747.61</v>
      </c>
      <c r="G4041" s="75" t="s">
        <v>572</v>
      </c>
      <c r="H4041" s="77" t="str">
        <f>VLOOKUP(DESPESAS[[#This Row],[Plano de Contas]],BASE!$B$3:$D$119,3,FALSE)</f>
        <v>Comissões sobre Vendas Externo</v>
      </c>
      <c r="I4041" s="77" t="str">
        <f>IFERROR(VLOOKUP(DESPESAS[[#This Row],[Fornecedor]],Tabela2[],2,FALSE),"")</f>
        <v/>
      </c>
      <c r="J4041" s="77" t="str">
        <f>IFERROR(VLOOKUP(DESPESAS[[#This Row],[Plano de Contas]],BASE!$B$3:$F$119,4,FALSE),"")</f>
        <v>6 - DESPESA COM VENDAS</v>
      </c>
      <c r="K4041" s="77" t="str">
        <f>IFERROR(VLOOKUP(DESPESAS[[#This Row],[Plano de Contas]],BASE!$B$3:$H$119,5,FALSE),"")</f>
        <v>COMERCIAL</v>
      </c>
      <c r="L4041" s="77">
        <f>IFERROR(VLOOKUP(DESPESAS[[#This Row],[Plano de Contas]],BASE!$B$3:$H$119,6,FALSE),"")</f>
        <v>0</v>
      </c>
      <c r="M4041" s="77" t="str">
        <f>VLOOKUP(DESPESAS[[#This Row],[Plano de Contas]],BASE!$B$3:$H$119,7,FALSE)</f>
        <v>LETÍCIA</v>
      </c>
    </row>
    <row r="4042" spans="1:13" x14ac:dyDescent="0.25">
      <c r="A4042" s="74">
        <v>201504</v>
      </c>
      <c r="B4042" s="75" t="s">
        <v>281</v>
      </c>
      <c r="C4042" s="75" t="s">
        <v>3913</v>
      </c>
      <c r="D4042" s="76">
        <v>46150</v>
      </c>
      <c r="E4042" s="75" t="s">
        <v>789</v>
      </c>
      <c r="F4042" s="74">
        <v>1468.74</v>
      </c>
      <c r="G4042" s="75" t="s">
        <v>572</v>
      </c>
      <c r="H4042" s="77" t="str">
        <f>VLOOKUP(DESPESAS[[#This Row],[Plano de Contas]],BASE!$B$3:$D$119,3,FALSE)</f>
        <v>Comissões sobre Vendas Externo</v>
      </c>
      <c r="I4042" s="77" t="str">
        <f>IFERROR(VLOOKUP(DESPESAS[[#This Row],[Fornecedor]],Tabela2[],2,FALSE),"")</f>
        <v/>
      </c>
      <c r="J4042" s="77" t="str">
        <f>IFERROR(VLOOKUP(DESPESAS[[#This Row],[Plano de Contas]],BASE!$B$3:$F$119,4,FALSE),"")</f>
        <v>6 - DESPESA COM VENDAS</v>
      </c>
      <c r="K4042" s="77" t="str">
        <f>IFERROR(VLOOKUP(DESPESAS[[#This Row],[Plano de Contas]],BASE!$B$3:$H$119,5,FALSE),"")</f>
        <v>COMERCIAL</v>
      </c>
      <c r="L4042" s="77">
        <f>IFERROR(VLOOKUP(DESPESAS[[#This Row],[Plano de Contas]],BASE!$B$3:$H$119,6,FALSE),"")</f>
        <v>0</v>
      </c>
      <c r="M4042" s="77" t="str">
        <f>VLOOKUP(DESPESAS[[#This Row],[Plano de Contas]],BASE!$B$3:$H$119,7,FALSE)</f>
        <v>LETÍCIA</v>
      </c>
    </row>
    <row r="4043" spans="1:13" x14ac:dyDescent="0.25">
      <c r="A4043" s="74">
        <v>201505</v>
      </c>
      <c r="B4043" s="75" t="s">
        <v>281</v>
      </c>
      <c r="C4043" s="75" t="s">
        <v>3913</v>
      </c>
      <c r="D4043" s="76">
        <v>46150</v>
      </c>
      <c r="E4043" s="75" t="s">
        <v>788</v>
      </c>
      <c r="F4043" s="74">
        <v>1906.3</v>
      </c>
      <c r="G4043" s="75" t="s">
        <v>572</v>
      </c>
      <c r="H4043" s="77" t="str">
        <f>VLOOKUP(DESPESAS[[#This Row],[Plano de Contas]],BASE!$B$3:$D$119,3,FALSE)</f>
        <v>Comissões sobre Vendas Externo</v>
      </c>
      <c r="I4043" s="77" t="str">
        <f>IFERROR(VLOOKUP(DESPESAS[[#This Row],[Fornecedor]],Tabela2[],2,FALSE),"")</f>
        <v/>
      </c>
      <c r="J4043" s="77" t="str">
        <f>IFERROR(VLOOKUP(DESPESAS[[#This Row],[Plano de Contas]],BASE!$B$3:$F$119,4,FALSE),"")</f>
        <v>6 - DESPESA COM VENDAS</v>
      </c>
      <c r="K4043" s="77" t="str">
        <f>IFERROR(VLOOKUP(DESPESAS[[#This Row],[Plano de Contas]],BASE!$B$3:$H$119,5,FALSE),"")</f>
        <v>COMERCIAL</v>
      </c>
      <c r="L4043" s="77">
        <f>IFERROR(VLOOKUP(DESPESAS[[#This Row],[Plano de Contas]],BASE!$B$3:$H$119,6,FALSE),"")</f>
        <v>0</v>
      </c>
      <c r="M4043" s="77" t="str">
        <f>VLOOKUP(DESPESAS[[#This Row],[Plano de Contas]],BASE!$B$3:$H$119,7,FALSE)</f>
        <v>LETÍCIA</v>
      </c>
    </row>
    <row r="4044" spans="1:13" x14ac:dyDescent="0.25">
      <c r="A4044" s="74">
        <v>201506</v>
      </c>
      <c r="B4044" s="75" t="s">
        <v>281</v>
      </c>
      <c r="C4044" s="75" t="s">
        <v>3913</v>
      </c>
      <c r="D4044" s="76">
        <v>46150</v>
      </c>
      <c r="E4044" s="75" t="s">
        <v>787</v>
      </c>
      <c r="F4044" s="74">
        <v>242.09</v>
      </c>
      <c r="G4044" s="75" t="s">
        <v>572</v>
      </c>
      <c r="H4044" s="77" t="str">
        <f>VLOOKUP(DESPESAS[[#This Row],[Plano de Contas]],BASE!$B$3:$D$119,3,FALSE)</f>
        <v>Comissões sobre Vendas Externo</v>
      </c>
      <c r="I4044" s="77" t="str">
        <f>IFERROR(VLOOKUP(DESPESAS[[#This Row],[Fornecedor]],Tabela2[],2,FALSE),"")</f>
        <v/>
      </c>
      <c r="J4044" s="77" t="str">
        <f>IFERROR(VLOOKUP(DESPESAS[[#This Row],[Plano de Contas]],BASE!$B$3:$F$119,4,FALSE),"")</f>
        <v>6 - DESPESA COM VENDAS</v>
      </c>
      <c r="K4044" s="77" t="str">
        <f>IFERROR(VLOOKUP(DESPESAS[[#This Row],[Plano de Contas]],BASE!$B$3:$H$119,5,FALSE),"")</f>
        <v>COMERCIAL</v>
      </c>
      <c r="L4044" s="77">
        <f>IFERROR(VLOOKUP(DESPESAS[[#This Row],[Plano de Contas]],BASE!$B$3:$H$119,6,FALSE),"")</f>
        <v>0</v>
      </c>
      <c r="M4044" s="77" t="str">
        <f>VLOOKUP(DESPESAS[[#This Row],[Plano de Contas]],BASE!$B$3:$H$119,7,FALSE)</f>
        <v>LETÍCIA</v>
      </c>
    </row>
    <row r="4045" spans="1:13" x14ac:dyDescent="0.25">
      <c r="A4045" s="74">
        <v>201507</v>
      </c>
      <c r="B4045" s="75" t="s">
        <v>281</v>
      </c>
      <c r="C4045" s="75" t="s">
        <v>3913</v>
      </c>
      <c r="D4045" s="76">
        <v>46150</v>
      </c>
      <c r="E4045" s="75" t="s">
        <v>786</v>
      </c>
      <c r="F4045" s="74">
        <v>140.26</v>
      </c>
      <c r="G4045" s="75" t="s">
        <v>572</v>
      </c>
      <c r="H4045" s="77" t="str">
        <f>VLOOKUP(DESPESAS[[#This Row],[Plano de Contas]],BASE!$B$3:$D$119,3,FALSE)</f>
        <v>Comissões sobre Vendas Externo</v>
      </c>
      <c r="I4045" s="77" t="str">
        <f>IFERROR(VLOOKUP(DESPESAS[[#This Row],[Fornecedor]],Tabela2[],2,FALSE),"")</f>
        <v/>
      </c>
      <c r="J4045" s="77" t="str">
        <f>IFERROR(VLOOKUP(DESPESAS[[#This Row],[Plano de Contas]],BASE!$B$3:$F$119,4,FALSE),"")</f>
        <v>6 - DESPESA COM VENDAS</v>
      </c>
      <c r="K4045" s="77" t="str">
        <f>IFERROR(VLOOKUP(DESPESAS[[#This Row],[Plano de Contas]],BASE!$B$3:$H$119,5,FALSE),"")</f>
        <v>COMERCIAL</v>
      </c>
      <c r="L4045" s="77">
        <f>IFERROR(VLOOKUP(DESPESAS[[#This Row],[Plano de Contas]],BASE!$B$3:$H$119,6,FALSE),"")</f>
        <v>0</v>
      </c>
      <c r="M4045" s="77" t="str">
        <f>VLOOKUP(DESPESAS[[#This Row],[Plano de Contas]],BASE!$B$3:$H$119,7,FALSE)</f>
        <v>LETÍCIA</v>
      </c>
    </row>
    <row r="4046" spans="1:13" x14ac:dyDescent="0.25">
      <c r="A4046" s="74">
        <v>201508</v>
      </c>
      <c r="B4046" s="75" t="s">
        <v>281</v>
      </c>
      <c r="C4046" s="75" t="s">
        <v>3913</v>
      </c>
      <c r="D4046" s="76">
        <v>46150</v>
      </c>
      <c r="E4046" s="75" t="s">
        <v>791</v>
      </c>
      <c r="F4046" s="74">
        <v>400.29</v>
      </c>
      <c r="G4046" s="75" t="s">
        <v>572</v>
      </c>
      <c r="H4046" s="77" t="str">
        <f>VLOOKUP(DESPESAS[[#This Row],[Plano de Contas]],BASE!$B$3:$D$119,3,FALSE)</f>
        <v>Comissões sobre Vendas Externo</v>
      </c>
      <c r="I4046" s="77" t="str">
        <f>IFERROR(VLOOKUP(DESPESAS[[#This Row],[Fornecedor]],Tabela2[],2,FALSE),"")</f>
        <v/>
      </c>
      <c r="J4046" s="77" t="str">
        <f>IFERROR(VLOOKUP(DESPESAS[[#This Row],[Plano de Contas]],BASE!$B$3:$F$119,4,FALSE),"")</f>
        <v>6 - DESPESA COM VENDAS</v>
      </c>
      <c r="K4046" s="77" t="str">
        <f>IFERROR(VLOOKUP(DESPESAS[[#This Row],[Plano de Contas]],BASE!$B$3:$H$119,5,FALSE),"")</f>
        <v>COMERCIAL</v>
      </c>
      <c r="L4046" s="77">
        <f>IFERROR(VLOOKUP(DESPESAS[[#This Row],[Plano de Contas]],BASE!$B$3:$H$119,6,FALSE),"")</f>
        <v>0</v>
      </c>
      <c r="M4046" s="77" t="str">
        <f>VLOOKUP(DESPESAS[[#This Row],[Plano de Contas]],BASE!$B$3:$H$119,7,FALSE)</f>
        <v>LETÍCIA</v>
      </c>
    </row>
    <row r="4047" spans="1:13" x14ac:dyDescent="0.25">
      <c r="A4047" s="74">
        <v>201509</v>
      </c>
      <c r="B4047" s="75" t="s">
        <v>281</v>
      </c>
      <c r="C4047" s="75" t="s">
        <v>3913</v>
      </c>
      <c r="D4047" s="76">
        <v>46150</v>
      </c>
      <c r="E4047" s="75" t="s">
        <v>784</v>
      </c>
      <c r="F4047" s="74">
        <v>734.25</v>
      </c>
      <c r="G4047" s="75" t="s">
        <v>572</v>
      </c>
      <c r="H4047" s="77" t="str">
        <f>VLOOKUP(DESPESAS[[#This Row],[Plano de Contas]],BASE!$B$3:$D$119,3,FALSE)</f>
        <v>Comissões sobre Vendas Externo</v>
      </c>
      <c r="I4047" s="77" t="str">
        <f>IFERROR(VLOOKUP(DESPESAS[[#This Row],[Fornecedor]],Tabela2[],2,FALSE),"")</f>
        <v/>
      </c>
      <c r="J4047" s="77" t="str">
        <f>IFERROR(VLOOKUP(DESPESAS[[#This Row],[Plano de Contas]],BASE!$B$3:$F$119,4,FALSE),"")</f>
        <v>6 - DESPESA COM VENDAS</v>
      </c>
      <c r="K4047" s="77" t="str">
        <f>IFERROR(VLOOKUP(DESPESAS[[#This Row],[Plano de Contas]],BASE!$B$3:$H$119,5,FALSE),"")</f>
        <v>COMERCIAL</v>
      </c>
      <c r="L4047" s="77">
        <f>IFERROR(VLOOKUP(DESPESAS[[#This Row],[Plano de Contas]],BASE!$B$3:$H$119,6,FALSE),"")</f>
        <v>0</v>
      </c>
      <c r="M4047" s="77" t="str">
        <f>VLOOKUP(DESPESAS[[#This Row],[Plano de Contas]],BASE!$B$3:$H$119,7,FALSE)</f>
        <v>LETÍCIA</v>
      </c>
    </row>
    <row r="4048" spans="1:13" x14ac:dyDescent="0.25">
      <c r="A4048" s="74">
        <v>201510</v>
      </c>
      <c r="B4048" s="75" t="s">
        <v>279</v>
      </c>
      <c r="C4048" s="75" t="s">
        <v>3913</v>
      </c>
      <c r="D4048" s="76">
        <v>46150</v>
      </c>
      <c r="E4048" s="75" t="s">
        <v>573</v>
      </c>
      <c r="F4048" s="74">
        <v>474.49</v>
      </c>
      <c r="G4048" s="75" t="s">
        <v>572</v>
      </c>
      <c r="H4048" s="77" t="str">
        <f>VLOOKUP(DESPESAS[[#This Row],[Plano de Contas]],BASE!$B$3:$D$119,3,FALSE)</f>
        <v>Comissões sobre Vendas Externo</v>
      </c>
      <c r="I4048" s="77" t="str">
        <f>IFERROR(VLOOKUP(DESPESAS[[#This Row],[Fornecedor]],Tabela2[],2,FALSE),"")</f>
        <v/>
      </c>
      <c r="J4048" s="77" t="str">
        <f>IFERROR(VLOOKUP(DESPESAS[[#This Row],[Plano de Contas]],BASE!$B$3:$F$119,4,FALSE),"")</f>
        <v>6 - DESPESA COM VENDAS</v>
      </c>
      <c r="K4048" s="77" t="str">
        <f>IFERROR(VLOOKUP(DESPESAS[[#This Row],[Plano de Contas]],BASE!$B$3:$H$119,5,FALSE),"")</f>
        <v>COMERCIAL</v>
      </c>
      <c r="L4048" s="77">
        <f>IFERROR(VLOOKUP(DESPESAS[[#This Row],[Plano de Contas]],BASE!$B$3:$H$119,6,FALSE),"")</f>
        <v>0</v>
      </c>
      <c r="M4048" s="77" t="str">
        <f>VLOOKUP(DESPESAS[[#This Row],[Plano de Contas]],BASE!$B$3:$H$119,7,FALSE)</f>
        <v>LETÍCIA</v>
      </c>
    </row>
    <row r="4049" spans="1:13" x14ac:dyDescent="0.25">
      <c r="A4049" s="74">
        <v>201511</v>
      </c>
      <c r="B4049" s="75" t="s">
        <v>279</v>
      </c>
      <c r="C4049" s="75" t="s">
        <v>3913</v>
      </c>
      <c r="D4049" s="76">
        <v>46150</v>
      </c>
      <c r="E4049" s="75" t="s">
        <v>789</v>
      </c>
      <c r="F4049" s="74">
        <v>698.45</v>
      </c>
      <c r="G4049" s="75" t="s">
        <v>572</v>
      </c>
      <c r="H4049" s="77" t="str">
        <f>VLOOKUP(DESPESAS[[#This Row],[Plano de Contas]],BASE!$B$3:$D$119,3,FALSE)</f>
        <v>Comissões sobre Vendas Externo</v>
      </c>
      <c r="I4049" s="77" t="str">
        <f>IFERROR(VLOOKUP(DESPESAS[[#This Row],[Fornecedor]],Tabela2[],2,FALSE),"")</f>
        <v/>
      </c>
      <c r="J4049" s="77" t="str">
        <f>IFERROR(VLOOKUP(DESPESAS[[#This Row],[Plano de Contas]],BASE!$B$3:$F$119,4,FALSE),"")</f>
        <v>6 - DESPESA COM VENDAS</v>
      </c>
      <c r="K4049" s="77" t="str">
        <f>IFERROR(VLOOKUP(DESPESAS[[#This Row],[Plano de Contas]],BASE!$B$3:$H$119,5,FALSE),"")</f>
        <v>COMERCIAL</v>
      </c>
      <c r="L4049" s="77">
        <f>IFERROR(VLOOKUP(DESPESAS[[#This Row],[Plano de Contas]],BASE!$B$3:$H$119,6,FALSE),"")</f>
        <v>0</v>
      </c>
      <c r="M4049" s="77" t="str">
        <f>VLOOKUP(DESPESAS[[#This Row],[Plano de Contas]],BASE!$B$3:$H$119,7,FALSE)</f>
        <v>LETÍCIA</v>
      </c>
    </row>
    <row r="4050" spans="1:13" x14ac:dyDescent="0.25">
      <c r="A4050" s="74">
        <v>201512</v>
      </c>
      <c r="B4050" s="75" t="s">
        <v>279</v>
      </c>
      <c r="C4050" s="75" t="s">
        <v>3913</v>
      </c>
      <c r="D4050" s="76">
        <v>46150</v>
      </c>
      <c r="E4050" s="75" t="s">
        <v>788</v>
      </c>
      <c r="F4050" s="74">
        <v>636.41999999999996</v>
      </c>
      <c r="G4050" s="75" t="s">
        <v>572</v>
      </c>
      <c r="H4050" s="77" t="str">
        <f>VLOOKUP(DESPESAS[[#This Row],[Plano de Contas]],BASE!$B$3:$D$119,3,FALSE)</f>
        <v>Comissões sobre Vendas Externo</v>
      </c>
      <c r="I4050" s="77" t="str">
        <f>IFERROR(VLOOKUP(DESPESAS[[#This Row],[Fornecedor]],Tabela2[],2,FALSE),"")</f>
        <v/>
      </c>
      <c r="J4050" s="77" t="str">
        <f>IFERROR(VLOOKUP(DESPESAS[[#This Row],[Plano de Contas]],BASE!$B$3:$F$119,4,FALSE),"")</f>
        <v>6 - DESPESA COM VENDAS</v>
      </c>
      <c r="K4050" s="77" t="str">
        <f>IFERROR(VLOOKUP(DESPESAS[[#This Row],[Plano de Contas]],BASE!$B$3:$H$119,5,FALSE),"")</f>
        <v>COMERCIAL</v>
      </c>
      <c r="L4050" s="77">
        <f>IFERROR(VLOOKUP(DESPESAS[[#This Row],[Plano de Contas]],BASE!$B$3:$H$119,6,FALSE),"")</f>
        <v>0</v>
      </c>
      <c r="M4050" s="77" t="str">
        <f>VLOOKUP(DESPESAS[[#This Row],[Plano de Contas]],BASE!$B$3:$H$119,7,FALSE)</f>
        <v>LETÍCIA</v>
      </c>
    </row>
    <row r="4051" spans="1:13" x14ac:dyDescent="0.25">
      <c r="A4051" s="74">
        <v>201513</v>
      </c>
      <c r="B4051" s="75" t="s">
        <v>279</v>
      </c>
      <c r="C4051" s="75" t="s">
        <v>3913</v>
      </c>
      <c r="D4051" s="76">
        <v>46150</v>
      </c>
      <c r="E4051" s="75" t="s">
        <v>787</v>
      </c>
      <c r="F4051" s="74">
        <v>1345.94</v>
      </c>
      <c r="G4051" s="75" t="s">
        <v>572</v>
      </c>
      <c r="H4051" s="77" t="str">
        <f>VLOOKUP(DESPESAS[[#This Row],[Plano de Contas]],BASE!$B$3:$D$119,3,FALSE)</f>
        <v>Comissões sobre Vendas Externo</v>
      </c>
      <c r="I4051" s="77" t="str">
        <f>IFERROR(VLOOKUP(DESPESAS[[#This Row],[Fornecedor]],Tabela2[],2,FALSE),"")</f>
        <v/>
      </c>
      <c r="J4051" s="77" t="str">
        <f>IFERROR(VLOOKUP(DESPESAS[[#This Row],[Plano de Contas]],BASE!$B$3:$F$119,4,FALSE),"")</f>
        <v>6 - DESPESA COM VENDAS</v>
      </c>
      <c r="K4051" s="77" t="str">
        <f>IFERROR(VLOOKUP(DESPESAS[[#This Row],[Plano de Contas]],BASE!$B$3:$H$119,5,FALSE),"")</f>
        <v>COMERCIAL</v>
      </c>
      <c r="L4051" s="77">
        <f>IFERROR(VLOOKUP(DESPESAS[[#This Row],[Plano de Contas]],BASE!$B$3:$H$119,6,FALSE),"")</f>
        <v>0</v>
      </c>
      <c r="M4051" s="77" t="str">
        <f>VLOOKUP(DESPESAS[[#This Row],[Plano de Contas]],BASE!$B$3:$H$119,7,FALSE)</f>
        <v>LETÍCIA</v>
      </c>
    </row>
    <row r="4052" spans="1:13" x14ac:dyDescent="0.25">
      <c r="A4052" s="74">
        <v>201514</v>
      </c>
      <c r="B4052" s="75" t="s">
        <v>279</v>
      </c>
      <c r="C4052" s="75" t="s">
        <v>3913</v>
      </c>
      <c r="D4052" s="76">
        <v>46150</v>
      </c>
      <c r="E4052" s="75" t="s">
        <v>786</v>
      </c>
      <c r="F4052" s="74">
        <v>707.23</v>
      </c>
      <c r="G4052" s="75" t="s">
        <v>572</v>
      </c>
      <c r="H4052" s="77" t="str">
        <f>VLOOKUP(DESPESAS[[#This Row],[Plano de Contas]],BASE!$B$3:$D$119,3,FALSE)</f>
        <v>Comissões sobre Vendas Externo</v>
      </c>
      <c r="I4052" s="77" t="str">
        <f>IFERROR(VLOOKUP(DESPESAS[[#This Row],[Fornecedor]],Tabela2[],2,FALSE),"")</f>
        <v/>
      </c>
      <c r="J4052" s="77" t="str">
        <f>IFERROR(VLOOKUP(DESPESAS[[#This Row],[Plano de Contas]],BASE!$B$3:$F$119,4,FALSE),"")</f>
        <v>6 - DESPESA COM VENDAS</v>
      </c>
      <c r="K4052" s="77" t="str">
        <f>IFERROR(VLOOKUP(DESPESAS[[#This Row],[Plano de Contas]],BASE!$B$3:$H$119,5,FALSE),"")</f>
        <v>COMERCIAL</v>
      </c>
      <c r="L4052" s="77">
        <f>IFERROR(VLOOKUP(DESPESAS[[#This Row],[Plano de Contas]],BASE!$B$3:$H$119,6,FALSE),"")</f>
        <v>0</v>
      </c>
      <c r="M4052" s="77" t="str">
        <f>VLOOKUP(DESPESAS[[#This Row],[Plano de Contas]],BASE!$B$3:$H$119,7,FALSE)</f>
        <v>LETÍCIA</v>
      </c>
    </row>
    <row r="4053" spans="1:13" x14ac:dyDescent="0.25">
      <c r="A4053" s="74">
        <v>201515</v>
      </c>
      <c r="B4053" s="75" t="s">
        <v>279</v>
      </c>
      <c r="C4053" s="75" t="s">
        <v>3913</v>
      </c>
      <c r="D4053" s="76">
        <v>46150</v>
      </c>
      <c r="E4053" s="75" t="s">
        <v>785</v>
      </c>
      <c r="F4053" s="74">
        <v>294.02999999999997</v>
      </c>
      <c r="G4053" s="75" t="s">
        <v>572</v>
      </c>
      <c r="H4053" s="77" t="str">
        <f>VLOOKUP(DESPESAS[[#This Row],[Plano de Contas]],BASE!$B$3:$D$119,3,FALSE)</f>
        <v>Comissões sobre Vendas Externo</v>
      </c>
      <c r="I4053" s="77" t="str">
        <f>IFERROR(VLOOKUP(DESPESAS[[#This Row],[Fornecedor]],Tabela2[],2,FALSE),"")</f>
        <v/>
      </c>
      <c r="J4053" s="77" t="str">
        <f>IFERROR(VLOOKUP(DESPESAS[[#This Row],[Plano de Contas]],BASE!$B$3:$F$119,4,FALSE),"")</f>
        <v>6 - DESPESA COM VENDAS</v>
      </c>
      <c r="K4053" s="77" t="str">
        <f>IFERROR(VLOOKUP(DESPESAS[[#This Row],[Plano de Contas]],BASE!$B$3:$H$119,5,FALSE),"")</f>
        <v>COMERCIAL</v>
      </c>
      <c r="L4053" s="77">
        <f>IFERROR(VLOOKUP(DESPESAS[[#This Row],[Plano de Contas]],BASE!$B$3:$H$119,6,FALSE),"")</f>
        <v>0</v>
      </c>
      <c r="M4053" s="77" t="str">
        <f>VLOOKUP(DESPESAS[[#This Row],[Plano de Contas]],BASE!$B$3:$H$119,7,FALSE)</f>
        <v>LETÍCIA</v>
      </c>
    </row>
    <row r="4054" spans="1:13" x14ac:dyDescent="0.25">
      <c r="A4054" s="74">
        <v>201516</v>
      </c>
      <c r="B4054" s="75" t="s">
        <v>279</v>
      </c>
      <c r="C4054" s="75" t="s">
        <v>3913</v>
      </c>
      <c r="D4054" s="76">
        <v>46150</v>
      </c>
      <c r="E4054" s="75" t="s">
        <v>791</v>
      </c>
      <c r="F4054" s="74">
        <v>408.67</v>
      </c>
      <c r="G4054" s="75" t="s">
        <v>572</v>
      </c>
      <c r="H4054" s="77" t="str">
        <f>VLOOKUP(DESPESAS[[#This Row],[Plano de Contas]],BASE!$B$3:$D$119,3,FALSE)</f>
        <v>Comissões sobre Vendas Externo</v>
      </c>
      <c r="I4054" s="77" t="str">
        <f>IFERROR(VLOOKUP(DESPESAS[[#This Row],[Fornecedor]],Tabela2[],2,FALSE),"")</f>
        <v/>
      </c>
      <c r="J4054" s="77" t="str">
        <f>IFERROR(VLOOKUP(DESPESAS[[#This Row],[Plano de Contas]],BASE!$B$3:$F$119,4,FALSE),"")</f>
        <v>6 - DESPESA COM VENDAS</v>
      </c>
      <c r="K4054" s="77" t="str">
        <f>IFERROR(VLOOKUP(DESPESAS[[#This Row],[Plano de Contas]],BASE!$B$3:$H$119,5,FALSE),"")</f>
        <v>COMERCIAL</v>
      </c>
      <c r="L4054" s="77">
        <f>IFERROR(VLOOKUP(DESPESAS[[#This Row],[Plano de Contas]],BASE!$B$3:$H$119,6,FALSE),"")</f>
        <v>0</v>
      </c>
      <c r="M4054" s="77" t="str">
        <f>VLOOKUP(DESPESAS[[#This Row],[Plano de Contas]],BASE!$B$3:$H$119,7,FALSE)</f>
        <v>LETÍCIA</v>
      </c>
    </row>
    <row r="4055" spans="1:13" x14ac:dyDescent="0.25">
      <c r="A4055" s="74">
        <v>201517</v>
      </c>
      <c r="B4055" s="75" t="s">
        <v>279</v>
      </c>
      <c r="C4055" s="75" t="s">
        <v>3913</v>
      </c>
      <c r="D4055" s="76">
        <v>46150</v>
      </c>
      <c r="E4055" s="75" t="s">
        <v>784</v>
      </c>
      <c r="F4055" s="74">
        <v>661.99</v>
      </c>
      <c r="G4055" s="75" t="s">
        <v>572</v>
      </c>
      <c r="H4055" s="77" t="str">
        <f>VLOOKUP(DESPESAS[[#This Row],[Plano de Contas]],BASE!$B$3:$D$119,3,FALSE)</f>
        <v>Comissões sobre Vendas Externo</v>
      </c>
      <c r="I4055" s="77" t="str">
        <f>IFERROR(VLOOKUP(DESPESAS[[#This Row],[Fornecedor]],Tabela2[],2,FALSE),"")</f>
        <v/>
      </c>
      <c r="J4055" s="77" t="str">
        <f>IFERROR(VLOOKUP(DESPESAS[[#This Row],[Plano de Contas]],BASE!$B$3:$F$119,4,FALSE),"")</f>
        <v>6 - DESPESA COM VENDAS</v>
      </c>
      <c r="K4055" s="77" t="str">
        <f>IFERROR(VLOOKUP(DESPESAS[[#This Row],[Plano de Contas]],BASE!$B$3:$H$119,5,FALSE),"")</f>
        <v>COMERCIAL</v>
      </c>
      <c r="L4055" s="77">
        <f>IFERROR(VLOOKUP(DESPESAS[[#This Row],[Plano de Contas]],BASE!$B$3:$H$119,6,FALSE),"")</f>
        <v>0</v>
      </c>
      <c r="M4055" s="77" t="str">
        <f>VLOOKUP(DESPESAS[[#This Row],[Plano de Contas]],BASE!$B$3:$H$119,7,FALSE)</f>
        <v>LETÍCIA</v>
      </c>
    </row>
    <row r="4056" spans="1:13" x14ac:dyDescent="0.25">
      <c r="A4056" s="74">
        <v>201519</v>
      </c>
      <c r="B4056" s="75" t="s">
        <v>232</v>
      </c>
      <c r="C4056" s="75" t="s">
        <v>3918</v>
      </c>
      <c r="D4056" s="76">
        <v>46152</v>
      </c>
      <c r="E4056" s="75" t="s">
        <v>3081</v>
      </c>
      <c r="F4056" s="74">
        <v>119.86</v>
      </c>
      <c r="G4056" s="75" t="s">
        <v>3083</v>
      </c>
      <c r="H4056" s="77" t="str">
        <f>VLOOKUP(DESPESAS[[#This Row],[Plano de Contas]],BASE!$B$3:$D$119,3,FALSE)</f>
        <v>Consórcios</v>
      </c>
      <c r="I4056" s="77" t="str">
        <f>IFERROR(VLOOKUP(DESPESAS[[#This Row],[Fornecedor]],Tabela2[],2,FALSE),"")</f>
        <v/>
      </c>
      <c r="J4056" s="77" t="str">
        <f>IFERROR(VLOOKUP(DESPESAS[[#This Row],[Plano de Contas]],BASE!$B$3:$F$119,4,FALSE),"")</f>
        <v>9 - INVESTIMENTOS</v>
      </c>
      <c r="K4056" s="77" t="str">
        <f>IFERROR(VLOOKUP(DESPESAS[[#This Row],[Plano de Contas]],BASE!$B$3:$H$119,5,FALSE),"")</f>
        <v>FINANCEIRO</v>
      </c>
      <c r="L4056" s="77">
        <f>IFERROR(VLOOKUP(DESPESAS[[#This Row],[Plano de Contas]],BASE!$B$3:$H$119,6,FALSE),"")</f>
        <v>0</v>
      </c>
      <c r="M4056" s="77" t="str">
        <f>VLOOKUP(DESPESAS[[#This Row],[Plano de Contas]],BASE!$B$3:$H$119,7,FALSE)</f>
        <v>FÁBIO</v>
      </c>
    </row>
    <row r="4057" spans="1:13" x14ac:dyDescent="0.25">
      <c r="A4057" s="74">
        <v>201520</v>
      </c>
      <c r="B4057" s="75" t="s">
        <v>221</v>
      </c>
      <c r="C4057" s="75" t="s">
        <v>3919</v>
      </c>
      <c r="D4057" s="76">
        <v>46150</v>
      </c>
      <c r="E4057" s="75" t="s">
        <v>3920</v>
      </c>
      <c r="F4057" s="74">
        <v>350</v>
      </c>
      <c r="G4057" s="75" t="s">
        <v>225</v>
      </c>
      <c r="H4057" s="77" t="str">
        <f>VLOOKUP(DESPESAS[[#This Row],[Plano de Contas]],BASE!$B$3:$D$119,3,FALSE)</f>
        <v>Despesas de Outros Gastos Não Operacionais</v>
      </c>
      <c r="I4057" s="77" t="str">
        <f>IFERROR(VLOOKUP(DESPESAS[[#This Row],[Fornecedor]],Tabela2[],2,FALSE),"")</f>
        <v/>
      </c>
      <c r="J4057" s="77" t="str">
        <f>IFERROR(VLOOKUP(DESPESAS[[#This Row],[Plano de Contas]],BASE!$B$3:$F$119,4,FALSE),"")</f>
        <v>8 - DESPESAS FINANCEIRAS</v>
      </c>
      <c r="K4057" s="77" t="str">
        <f>IFERROR(VLOOKUP(DESPESAS[[#This Row],[Plano de Contas]],BASE!$B$3:$H$119,5,FALSE),"")</f>
        <v>FINANCEIRO</v>
      </c>
      <c r="L4057" s="77">
        <f>IFERROR(VLOOKUP(DESPESAS[[#This Row],[Plano de Contas]],BASE!$B$3:$H$119,6,FALSE),"")</f>
        <v>0</v>
      </c>
      <c r="M4057" s="77" t="str">
        <f>VLOOKUP(DESPESAS[[#This Row],[Plano de Contas]],BASE!$B$3:$H$119,7,FALSE)</f>
        <v>LETÍCIA</v>
      </c>
    </row>
    <row r="4058" spans="1:13" x14ac:dyDescent="0.25">
      <c r="A4058" s="74">
        <v>201521</v>
      </c>
      <c r="B4058" s="75" t="s">
        <v>232</v>
      </c>
      <c r="C4058" s="75" t="s">
        <v>3921</v>
      </c>
      <c r="D4058" s="76">
        <v>46152</v>
      </c>
      <c r="E4058" s="75" t="s">
        <v>816</v>
      </c>
      <c r="F4058" s="74">
        <v>111</v>
      </c>
      <c r="G4058" s="75" t="s">
        <v>815</v>
      </c>
      <c r="H4058" s="77" t="str">
        <f>VLOOKUP(DESPESAS[[#This Row],[Plano de Contas]],BASE!$B$3:$D$119,3,FALSE)</f>
        <v>Rastreamento de frota</v>
      </c>
      <c r="I4058" s="77" t="str">
        <f>IFERROR(VLOOKUP(DESPESAS[[#This Row],[Fornecedor]],Tabela2[],2,FALSE),"")</f>
        <v/>
      </c>
      <c r="J4058" s="77" t="str">
        <f>IFERROR(VLOOKUP(DESPESAS[[#This Row],[Plano de Contas]],BASE!$B$3:$F$119,4,FALSE),"")</f>
        <v>5 - DESPESAS ADMINISTRATIVAS</v>
      </c>
      <c r="K4058" s="77" t="str">
        <f>IFERROR(VLOOKUP(DESPESAS[[#This Row],[Plano de Contas]],BASE!$B$3:$H$119,5,FALSE),"")</f>
        <v>LOGÍSTICA</v>
      </c>
      <c r="L4058" s="77">
        <f>IFERROR(VLOOKUP(DESPESAS[[#This Row],[Plano de Contas]],BASE!$B$3:$H$119,6,FALSE),"")</f>
        <v>0</v>
      </c>
      <c r="M4058" s="77" t="str">
        <f>VLOOKUP(DESPESAS[[#This Row],[Plano de Contas]],BASE!$B$3:$H$119,7,FALSE)</f>
        <v>MYLENA</v>
      </c>
    </row>
    <row r="4059" spans="1:13" x14ac:dyDescent="0.25">
      <c r="A4059" s="74">
        <v>201522</v>
      </c>
      <c r="B4059" s="75" t="s">
        <v>221</v>
      </c>
      <c r="C4059" s="75" t="s">
        <v>3922</v>
      </c>
      <c r="D4059" s="76">
        <v>46152</v>
      </c>
      <c r="E4059" s="75" t="s">
        <v>816</v>
      </c>
      <c r="F4059" s="74">
        <v>259</v>
      </c>
      <c r="G4059" s="75" t="s">
        <v>815</v>
      </c>
      <c r="H4059" s="77" t="str">
        <f>VLOOKUP(DESPESAS[[#This Row],[Plano de Contas]],BASE!$B$3:$D$119,3,FALSE)</f>
        <v>Rastreamento de frota</v>
      </c>
      <c r="I4059" s="77" t="str">
        <f>IFERROR(VLOOKUP(DESPESAS[[#This Row],[Fornecedor]],Tabela2[],2,FALSE),"")</f>
        <v/>
      </c>
      <c r="J4059" s="77" t="str">
        <f>IFERROR(VLOOKUP(DESPESAS[[#This Row],[Plano de Contas]],BASE!$B$3:$F$119,4,FALSE),"")</f>
        <v>5 - DESPESAS ADMINISTRATIVAS</v>
      </c>
      <c r="K4059" s="77" t="str">
        <f>IFERROR(VLOOKUP(DESPESAS[[#This Row],[Plano de Contas]],BASE!$B$3:$H$119,5,FALSE),"")</f>
        <v>LOGÍSTICA</v>
      </c>
      <c r="L4059" s="77">
        <f>IFERROR(VLOOKUP(DESPESAS[[#This Row],[Plano de Contas]],BASE!$B$3:$H$119,6,FALSE),"")</f>
        <v>0</v>
      </c>
      <c r="M4059" s="77" t="str">
        <f>VLOOKUP(DESPESAS[[#This Row],[Plano de Contas]],BASE!$B$3:$H$119,7,FALSE)</f>
        <v>MYLENA</v>
      </c>
    </row>
    <row r="4060" spans="1:13" x14ac:dyDescent="0.25">
      <c r="A4060" s="74">
        <v>201523</v>
      </c>
      <c r="B4060" s="75" t="s">
        <v>232</v>
      </c>
      <c r="C4060" s="75" t="s">
        <v>3923</v>
      </c>
      <c r="D4060" s="76">
        <v>46150</v>
      </c>
      <c r="E4060" s="75" t="s">
        <v>3924</v>
      </c>
      <c r="F4060" s="74">
        <v>1063.5</v>
      </c>
      <c r="G4060" s="75" t="s">
        <v>241</v>
      </c>
      <c r="H4060" s="77" t="str">
        <f>VLOOKUP(DESPESAS[[#This Row],[Plano de Contas]],BASE!$B$3:$D$119,3,FALSE)</f>
        <v>Combustiveis Frota</v>
      </c>
      <c r="I4060" s="77" t="str">
        <f>IFERROR(VLOOKUP(DESPESAS[[#This Row],[Fornecedor]],Tabela2[],2,FALSE),"")</f>
        <v/>
      </c>
      <c r="J4060" s="77" t="str">
        <f>IFERROR(VLOOKUP(DESPESAS[[#This Row],[Plano de Contas]],BASE!$B$3:$F$119,4,FALSE),"")</f>
        <v>6 - DESPESA COM VENDAS</v>
      </c>
      <c r="K4060" s="77" t="str">
        <f>IFERROR(VLOOKUP(DESPESAS[[#This Row],[Plano de Contas]],BASE!$B$3:$H$119,5,FALSE),"")</f>
        <v>LOGÍSTICA</v>
      </c>
      <c r="L4060" s="77">
        <f>IFERROR(VLOOKUP(DESPESAS[[#This Row],[Plano de Contas]],BASE!$B$3:$H$119,6,FALSE),"")</f>
        <v>0</v>
      </c>
      <c r="M4060" s="77" t="str">
        <f>VLOOKUP(DESPESAS[[#This Row],[Plano de Contas]],BASE!$B$3:$H$119,7,FALSE)</f>
        <v>MYLENA</v>
      </c>
    </row>
    <row r="4061" spans="1:13" x14ac:dyDescent="0.25">
      <c r="A4061" s="74">
        <v>201525</v>
      </c>
      <c r="B4061" s="75" t="s">
        <v>232</v>
      </c>
      <c r="C4061" s="75" t="s">
        <v>3925</v>
      </c>
      <c r="D4061" s="76">
        <v>46142</v>
      </c>
      <c r="E4061" s="75" t="s">
        <v>831</v>
      </c>
      <c r="F4061" s="74">
        <v>22804.06</v>
      </c>
      <c r="G4061" s="75" t="s">
        <v>830</v>
      </c>
      <c r="H4061" s="77" t="str">
        <f>VLOOKUP(DESPESAS[[#This Row],[Plano de Contas]],BASE!$B$3:$D$119,3,FALSE)</f>
        <v>ICMS</v>
      </c>
      <c r="I4061" s="77" t="str">
        <f>IFERROR(VLOOKUP(DESPESAS[[#This Row],[Fornecedor]],Tabela2[],2,FALSE),"")</f>
        <v/>
      </c>
      <c r="J4061" s="77" t="str">
        <f>IFERROR(VLOOKUP(DESPESAS[[#This Row],[Plano de Contas]],BASE!$B$3:$F$119,4,FALSE),"")</f>
        <v>0 - TRIBUTOS</v>
      </c>
      <c r="K4061" s="77" t="str">
        <f>IFERROR(VLOOKUP(DESPESAS[[#This Row],[Plano de Contas]],BASE!$B$3:$H$119,5,FALSE),"")</f>
        <v>FINANCEIRO</v>
      </c>
      <c r="L4061" s="77">
        <f>IFERROR(VLOOKUP(DESPESAS[[#This Row],[Plano de Contas]],BASE!$B$3:$H$119,6,FALSE),"")</f>
        <v>0</v>
      </c>
      <c r="M4061" s="77" t="str">
        <f>VLOOKUP(DESPESAS[[#This Row],[Plano de Contas]],BASE!$B$3:$H$119,7,FALSE)</f>
        <v>LETÍCIA</v>
      </c>
    </row>
    <row r="4062" spans="1:13" x14ac:dyDescent="0.25">
      <c r="A4062" s="74">
        <v>201526</v>
      </c>
      <c r="B4062" s="75" t="s">
        <v>232</v>
      </c>
      <c r="C4062" s="75" t="s">
        <v>3926</v>
      </c>
      <c r="D4062" s="76">
        <v>46142</v>
      </c>
      <c r="E4062" s="75" t="s">
        <v>825</v>
      </c>
      <c r="F4062" s="74">
        <v>11442.92</v>
      </c>
      <c r="G4062" s="75" t="s">
        <v>839</v>
      </c>
      <c r="H4062" s="77" t="str">
        <f>VLOOKUP(DESPESAS[[#This Row],[Plano de Contas]],BASE!$B$3:$D$119,3,FALSE)</f>
        <v>COFINS</v>
      </c>
      <c r="I4062" s="77" t="str">
        <f>IFERROR(VLOOKUP(DESPESAS[[#This Row],[Fornecedor]],Tabela2[],2,FALSE),"")</f>
        <v/>
      </c>
      <c r="J4062" s="77" t="str">
        <f>IFERROR(VLOOKUP(DESPESAS[[#This Row],[Plano de Contas]],BASE!$B$3:$F$119,4,FALSE),"")</f>
        <v>0 - TRIBUTOS</v>
      </c>
      <c r="K4062" s="77" t="str">
        <f>IFERROR(VLOOKUP(DESPESAS[[#This Row],[Plano de Contas]],BASE!$B$3:$H$119,5,FALSE),"")</f>
        <v>FINANCEIRO</v>
      </c>
      <c r="L4062" s="77">
        <f>IFERROR(VLOOKUP(DESPESAS[[#This Row],[Plano de Contas]],BASE!$B$3:$H$119,6,FALSE),"")</f>
        <v>0</v>
      </c>
      <c r="M4062" s="77" t="str">
        <f>VLOOKUP(DESPESAS[[#This Row],[Plano de Contas]],BASE!$B$3:$H$119,7,FALSE)</f>
        <v>LETÍCIA</v>
      </c>
    </row>
    <row r="4063" spans="1:13" x14ac:dyDescent="0.25">
      <c r="A4063" s="74">
        <v>201527</v>
      </c>
      <c r="B4063" s="75" t="s">
        <v>232</v>
      </c>
      <c r="C4063" s="75" t="s">
        <v>3927</v>
      </c>
      <c r="D4063" s="76">
        <v>46142</v>
      </c>
      <c r="E4063" s="75" t="s">
        <v>825</v>
      </c>
      <c r="F4063" s="74">
        <v>2462.42</v>
      </c>
      <c r="G4063" s="75" t="s">
        <v>836</v>
      </c>
      <c r="H4063" s="77" t="str">
        <f>VLOOKUP(DESPESAS[[#This Row],[Plano de Contas]],BASE!$B$3:$D$119,3,FALSE)</f>
        <v>PIS</v>
      </c>
      <c r="I4063" s="77" t="str">
        <f>IFERROR(VLOOKUP(DESPESAS[[#This Row],[Fornecedor]],Tabela2[],2,FALSE),"")</f>
        <v/>
      </c>
      <c r="J4063" s="77" t="str">
        <f>IFERROR(VLOOKUP(DESPESAS[[#This Row],[Plano de Contas]],BASE!$B$3:$F$119,4,FALSE),"")</f>
        <v>0 - TRIBUTOS</v>
      </c>
      <c r="K4063" s="77" t="str">
        <f>IFERROR(VLOOKUP(DESPESAS[[#This Row],[Plano de Contas]],BASE!$B$3:$H$119,5,FALSE),"")</f>
        <v>FINANCEIRO</v>
      </c>
      <c r="L4063" s="77">
        <f>IFERROR(VLOOKUP(DESPESAS[[#This Row],[Plano de Contas]],BASE!$B$3:$H$119,6,FALSE),"")</f>
        <v>0</v>
      </c>
      <c r="M4063" s="77" t="str">
        <f>VLOOKUP(DESPESAS[[#This Row],[Plano de Contas]],BASE!$B$3:$H$119,7,FALSE)</f>
        <v>LETÍCIA</v>
      </c>
    </row>
    <row r="4064" spans="1:13" x14ac:dyDescent="0.25">
      <c r="A4064" s="74">
        <v>201528</v>
      </c>
      <c r="B4064" s="75" t="s">
        <v>232</v>
      </c>
      <c r="C4064" s="75" t="s">
        <v>3928</v>
      </c>
      <c r="D4064" s="76">
        <v>46142</v>
      </c>
      <c r="E4064" s="75" t="s">
        <v>825</v>
      </c>
      <c r="F4064" s="74">
        <v>20723.310000000001</v>
      </c>
      <c r="G4064" s="75" t="s">
        <v>834</v>
      </c>
      <c r="H4064" s="77" t="str">
        <f>VLOOKUP(DESPESAS[[#This Row],[Plano de Contas]],BASE!$B$3:$D$119,3,FALSE)</f>
        <v>IPI</v>
      </c>
      <c r="I4064" s="77" t="str">
        <f>IFERROR(VLOOKUP(DESPESAS[[#This Row],[Fornecedor]],Tabela2[],2,FALSE),"")</f>
        <v/>
      </c>
      <c r="J4064" s="77" t="str">
        <f>IFERROR(VLOOKUP(DESPESAS[[#This Row],[Plano de Contas]],BASE!$B$3:$F$119,4,FALSE),"")</f>
        <v>0 - TRIBUTOS</v>
      </c>
      <c r="K4064" s="77" t="str">
        <f>IFERROR(VLOOKUP(DESPESAS[[#This Row],[Plano de Contas]],BASE!$B$3:$H$119,5,FALSE),"")</f>
        <v>FINANCEIRO</v>
      </c>
      <c r="L4064" s="77">
        <f>IFERROR(VLOOKUP(DESPESAS[[#This Row],[Plano de Contas]],BASE!$B$3:$H$119,6,FALSE),"")</f>
        <v>0</v>
      </c>
      <c r="M4064" s="77" t="str">
        <f>VLOOKUP(DESPESAS[[#This Row],[Plano de Contas]],BASE!$B$3:$H$119,7,FALSE)</f>
        <v>LETÍCIA</v>
      </c>
    </row>
    <row r="4065" spans="1:13" x14ac:dyDescent="0.25">
      <c r="A4065" s="74">
        <v>201529</v>
      </c>
      <c r="B4065" s="75" t="s">
        <v>232</v>
      </c>
      <c r="C4065" s="75" t="s">
        <v>3929</v>
      </c>
      <c r="D4065" s="76">
        <v>46142</v>
      </c>
      <c r="E4065" s="75" t="s">
        <v>825</v>
      </c>
      <c r="F4065" s="74">
        <v>4716.6899999999996</v>
      </c>
      <c r="G4065" s="75" t="s">
        <v>824</v>
      </c>
      <c r="H4065" s="77" t="str">
        <f>VLOOKUP(DESPESAS[[#This Row],[Plano de Contas]],BASE!$B$3:$D$119,3,FALSE)</f>
        <v>Outros Impostos</v>
      </c>
      <c r="I4065" s="77" t="str">
        <f>IFERROR(VLOOKUP(DESPESAS[[#This Row],[Fornecedor]],Tabela2[],2,FALSE),"")</f>
        <v/>
      </c>
      <c r="J4065" s="77" t="str">
        <f>IFERROR(VLOOKUP(DESPESAS[[#This Row],[Plano de Contas]],BASE!$B$3:$F$119,4,FALSE),"")</f>
        <v>0 - TRIBUTOS</v>
      </c>
      <c r="K4065" s="77" t="str">
        <f>IFERROR(VLOOKUP(DESPESAS[[#This Row],[Plano de Contas]],BASE!$B$3:$H$119,5,FALSE),"")</f>
        <v>FINANCEIRO</v>
      </c>
      <c r="L4065" s="77">
        <f>IFERROR(VLOOKUP(DESPESAS[[#This Row],[Plano de Contas]],BASE!$B$3:$H$119,6,FALSE),"")</f>
        <v>0</v>
      </c>
      <c r="M4065" s="77" t="str">
        <f>VLOOKUP(DESPESAS[[#This Row],[Plano de Contas]],BASE!$B$3:$H$119,7,FALSE)</f>
        <v>LETÍCIA</v>
      </c>
    </row>
    <row r="4066" spans="1:13" x14ac:dyDescent="0.25">
      <c r="A4066" s="74">
        <v>201531</v>
      </c>
      <c r="B4066" s="75" t="s">
        <v>279</v>
      </c>
      <c r="C4066" s="75" t="s">
        <v>3930</v>
      </c>
      <c r="D4066" s="76">
        <v>46142</v>
      </c>
      <c r="E4066" s="75" t="s">
        <v>828</v>
      </c>
      <c r="F4066" s="74">
        <v>36694.550000000003</v>
      </c>
      <c r="G4066" s="75" t="s">
        <v>827</v>
      </c>
      <c r="H4066" s="77" t="str">
        <f>VLOOKUP(DESPESAS[[#This Row],[Plano de Contas]],BASE!$B$3:$D$119,3,FALSE)</f>
        <v>Simples Nacional</v>
      </c>
      <c r="I4066" s="77" t="str">
        <f>IFERROR(VLOOKUP(DESPESAS[[#This Row],[Fornecedor]],Tabela2[],2,FALSE),"")</f>
        <v/>
      </c>
      <c r="J4066" s="77" t="str">
        <f>IFERROR(VLOOKUP(DESPESAS[[#This Row],[Plano de Contas]],BASE!$B$3:$F$119,4,FALSE),"")</f>
        <v>0 - TRIBUTOS</v>
      </c>
      <c r="K4066" s="77" t="str">
        <f>IFERROR(VLOOKUP(DESPESAS[[#This Row],[Plano de Contas]],BASE!$B$3:$H$119,5,FALSE),"")</f>
        <v>FINANCEIRO</v>
      </c>
      <c r="L4066" s="77">
        <f>IFERROR(VLOOKUP(DESPESAS[[#This Row],[Plano de Contas]],BASE!$B$3:$H$119,6,FALSE),"")</f>
        <v>0</v>
      </c>
      <c r="M4066" s="77" t="str">
        <f>VLOOKUP(DESPESAS[[#This Row],[Plano de Contas]],BASE!$B$3:$H$119,7,FALSE)</f>
        <v>LETÍCIA</v>
      </c>
    </row>
    <row r="4067" spans="1:13" x14ac:dyDescent="0.25">
      <c r="A4067" s="74">
        <v>201532</v>
      </c>
      <c r="B4067" s="75" t="s">
        <v>279</v>
      </c>
      <c r="C4067" s="75" t="s">
        <v>3931</v>
      </c>
      <c r="D4067" s="76">
        <v>46142</v>
      </c>
      <c r="E4067" s="75" t="s">
        <v>831</v>
      </c>
      <c r="F4067" s="74">
        <v>793.8</v>
      </c>
      <c r="G4067" s="75" t="s">
        <v>830</v>
      </c>
      <c r="H4067" s="77" t="str">
        <f>VLOOKUP(DESPESAS[[#This Row],[Plano de Contas]],BASE!$B$3:$D$119,3,FALSE)</f>
        <v>ICMS</v>
      </c>
      <c r="I4067" s="77" t="str">
        <f>IFERROR(VLOOKUP(DESPESAS[[#This Row],[Fornecedor]],Tabela2[],2,FALSE),"")</f>
        <v/>
      </c>
      <c r="J4067" s="77" t="str">
        <f>IFERROR(VLOOKUP(DESPESAS[[#This Row],[Plano de Contas]],BASE!$B$3:$F$119,4,FALSE),"")</f>
        <v>0 - TRIBUTOS</v>
      </c>
      <c r="K4067" s="77" t="str">
        <f>IFERROR(VLOOKUP(DESPESAS[[#This Row],[Plano de Contas]],BASE!$B$3:$H$119,5,FALSE),"")</f>
        <v>FINANCEIRO</v>
      </c>
      <c r="L4067" s="77">
        <f>IFERROR(VLOOKUP(DESPESAS[[#This Row],[Plano de Contas]],BASE!$B$3:$H$119,6,FALSE),"")</f>
        <v>0</v>
      </c>
      <c r="M4067" s="77" t="str">
        <f>VLOOKUP(DESPESAS[[#This Row],[Plano de Contas]],BASE!$B$3:$H$119,7,FALSE)</f>
        <v>LETÍCIA</v>
      </c>
    </row>
    <row r="4068" spans="1:13" x14ac:dyDescent="0.25">
      <c r="A4068" s="74">
        <v>201533</v>
      </c>
      <c r="B4068" s="75" t="s">
        <v>281</v>
      </c>
      <c r="C4068" s="75" t="s">
        <v>3931</v>
      </c>
      <c r="D4068" s="76">
        <v>46142</v>
      </c>
      <c r="E4068" s="75" t="s">
        <v>831</v>
      </c>
      <c r="F4068" s="74">
        <v>466.2</v>
      </c>
      <c r="G4068" s="75" t="s">
        <v>830</v>
      </c>
      <c r="H4068" s="77" t="str">
        <f>VLOOKUP(DESPESAS[[#This Row],[Plano de Contas]],BASE!$B$3:$D$119,3,FALSE)</f>
        <v>ICMS</v>
      </c>
      <c r="I4068" s="77" t="str">
        <f>IFERROR(VLOOKUP(DESPESAS[[#This Row],[Fornecedor]],Tabela2[],2,FALSE),"")</f>
        <v/>
      </c>
      <c r="J4068" s="77" t="str">
        <f>IFERROR(VLOOKUP(DESPESAS[[#This Row],[Plano de Contas]],BASE!$B$3:$F$119,4,FALSE),"")</f>
        <v>0 - TRIBUTOS</v>
      </c>
      <c r="K4068" s="77" t="str">
        <f>IFERROR(VLOOKUP(DESPESAS[[#This Row],[Plano de Contas]],BASE!$B$3:$H$119,5,FALSE),"")</f>
        <v>FINANCEIRO</v>
      </c>
      <c r="L4068" s="77">
        <f>IFERROR(VLOOKUP(DESPESAS[[#This Row],[Plano de Contas]],BASE!$B$3:$H$119,6,FALSE),"")</f>
        <v>0</v>
      </c>
      <c r="M4068" s="77" t="str">
        <f>VLOOKUP(DESPESAS[[#This Row],[Plano de Contas]],BASE!$B$3:$H$119,7,FALSE)</f>
        <v>LETÍCIA</v>
      </c>
    </row>
    <row r="4069" spans="1:13" x14ac:dyDescent="0.25">
      <c r="A4069" s="74">
        <v>201534</v>
      </c>
      <c r="B4069" s="75" t="s">
        <v>281</v>
      </c>
      <c r="C4069" s="75" t="s">
        <v>3932</v>
      </c>
      <c r="D4069" s="76">
        <v>46142</v>
      </c>
      <c r="E4069" s="75" t="s">
        <v>831</v>
      </c>
      <c r="F4069" s="74">
        <v>797.77</v>
      </c>
      <c r="G4069" s="75" t="s">
        <v>830</v>
      </c>
      <c r="H4069" s="77" t="str">
        <f>VLOOKUP(DESPESAS[[#This Row],[Plano de Contas]],BASE!$B$3:$D$119,3,FALSE)</f>
        <v>ICMS</v>
      </c>
      <c r="I4069" s="77" t="str">
        <f>IFERROR(VLOOKUP(DESPESAS[[#This Row],[Fornecedor]],Tabela2[],2,FALSE),"")</f>
        <v/>
      </c>
      <c r="J4069" s="77" t="str">
        <f>IFERROR(VLOOKUP(DESPESAS[[#This Row],[Plano de Contas]],BASE!$B$3:$F$119,4,FALSE),"")</f>
        <v>0 - TRIBUTOS</v>
      </c>
      <c r="K4069" s="77" t="str">
        <f>IFERROR(VLOOKUP(DESPESAS[[#This Row],[Plano de Contas]],BASE!$B$3:$H$119,5,FALSE),"")</f>
        <v>FINANCEIRO</v>
      </c>
      <c r="L4069" s="77">
        <f>IFERROR(VLOOKUP(DESPESAS[[#This Row],[Plano de Contas]],BASE!$B$3:$H$119,6,FALSE),"")</f>
        <v>0</v>
      </c>
      <c r="M4069" s="77" t="str">
        <f>VLOOKUP(DESPESAS[[#This Row],[Plano de Contas]],BASE!$B$3:$H$119,7,FALSE)</f>
        <v>LETÍCIA</v>
      </c>
    </row>
    <row r="4070" spans="1:13" x14ac:dyDescent="0.25">
      <c r="A4070" s="74">
        <v>201536</v>
      </c>
      <c r="B4070" s="75" t="s">
        <v>281</v>
      </c>
      <c r="C4070" s="75" t="s">
        <v>3930</v>
      </c>
      <c r="D4070" s="76">
        <v>46142</v>
      </c>
      <c r="E4070" s="75" t="s">
        <v>828</v>
      </c>
      <c r="F4070" s="74">
        <v>33516.22</v>
      </c>
      <c r="G4070" s="75" t="s">
        <v>827</v>
      </c>
      <c r="H4070" s="77" t="str">
        <f>VLOOKUP(DESPESAS[[#This Row],[Plano de Contas]],BASE!$B$3:$D$119,3,FALSE)</f>
        <v>Simples Nacional</v>
      </c>
      <c r="I4070" s="77" t="str">
        <f>IFERROR(VLOOKUP(DESPESAS[[#This Row],[Fornecedor]],Tabela2[],2,FALSE),"")</f>
        <v/>
      </c>
      <c r="J4070" s="77" t="str">
        <f>IFERROR(VLOOKUP(DESPESAS[[#This Row],[Plano de Contas]],BASE!$B$3:$F$119,4,FALSE),"")</f>
        <v>0 - TRIBUTOS</v>
      </c>
      <c r="K4070" s="77" t="str">
        <f>IFERROR(VLOOKUP(DESPESAS[[#This Row],[Plano de Contas]],BASE!$B$3:$H$119,5,FALSE),"")</f>
        <v>FINANCEIRO</v>
      </c>
      <c r="L4070" s="77">
        <f>IFERROR(VLOOKUP(DESPESAS[[#This Row],[Plano de Contas]],BASE!$B$3:$H$119,6,FALSE),"")</f>
        <v>0</v>
      </c>
      <c r="M4070" s="77" t="str">
        <f>VLOOKUP(DESPESAS[[#This Row],[Plano de Contas]],BASE!$B$3:$H$119,7,FALSE)</f>
        <v>LETÍCIA</v>
      </c>
    </row>
    <row r="4071" spans="1:13" x14ac:dyDescent="0.25">
      <c r="A4071" s="74">
        <v>201537</v>
      </c>
      <c r="B4071" s="75" t="s">
        <v>221</v>
      </c>
      <c r="C4071" s="75" t="s">
        <v>3933</v>
      </c>
      <c r="D4071" s="76">
        <v>46141</v>
      </c>
      <c r="E4071" s="75" t="s">
        <v>242</v>
      </c>
      <c r="F4071" s="74">
        <v>161.9</v>
      </c>
      <c r="G4071" s="75" t="s">
        <v>247</v>
      </c>
      <c r="H4071" s="77" t="str">
        <f>VLOOKUP(DESPESAS[[#This Row],[Plano de Contas]],BASE!$B$3:$D$119,3,FALSE)</f>
        <v>Manutenção com veiculos</v>
      </c>
      <c r="I4071" s="77" t="str">
        <f>IFERROR(VLOOKUP(DESPESAS[[#This Row],[Fornecedor]],Tabela2[],2,FALSE),"")</f>
        <v/>
      </c>
      <c r="J4071" s="77" t="str">
        <f>IFERROR(VLOOKUP(DESPESAS[[#This Row],[Plano de Contas]],BASE!$B$3:$F$119,4,FALSE),"")</f>
        <v>6 - DESPESA COM VENDAS</v>
      </c>
      <c r="K4071" s="77" t="str">
        <f>IFERROR(VLOOKUP(DESPESAS[[#This Row],[Plano de Contas]],BASE!$B$3:$H$119,5,FALSE),"")</f>
        <v>LOGÍSTICA</v>
      </c>
      <c r="L4071" s="77">
        <f>IFERROR(VLOOKUP(DESPESAS[[#This Row],[Plano de Contas]],BASE!$B$3:$H$119,6,FALSE),"")</f>
        <v>0</v>
      </c>
      <c r="M4071" s="77" t="str">
        <f>VLOOKUP(DESPESAS[[#This Row],[Plano de Contas]],BASE!$B$3:$H$119,7,FALSE)</f>
        <v>MYLENA</v>
      </c>
    </row>
    <row r="4072" spans="1:13" x14ac:dyDescent="0.25">
      <c r="A4072" s="74">
        <v>201538</v>
      </c>
      <c r="B4072" s="75" t="s">
        <v>221</v>
      </c>
      <c r="C4072" s="75" t="s">
        <v>3934</v>
      </c>
      <c r="D4072" s="76">
        <v>46150</v>
      </c>
      <c r="E4072" s="75" t="s">
        <v>265</v>
      </c>
      <c r="F4072" s="74">
        <v>74</v>
      </c>
      <c r="G4072" s="75" t="s">
        <v>262</v>
      </c>
      <c r="H4072" s="77" t="str">
        <f>VLOOKUP(DESPESAS[[#This Row],[Plano de Contas]],BASE!$B$3:$D$119,3,FALSE)</f>
        <v>Fretes Karams</v>
      </c>
      <c r="I4072" s="77" t="str">
        <f>IFERROR(VLOOKUP(DESPESAS[[#This Row],[Fornecedor]],Tabela2[],2,FALSE),"")</f>
        <v/>
      </c>
      <c r="J4072" s="77" t="str">
        <f>IFERROR(VLOOKUP(DESPESAS[[#This Row],[Plano de Contas]],BASE!$B$3:$F$119,4,FALSE),"")</f>
        <v>6 - DESPESA COM VENDAS</v>
      </c>
      <c r="K4072" s="77" t="str">
        <f>IFERROR(VLOOKUP(DESPESAS[[#This Row],[Plano de Contas]],BASE!$B$3:$H$119,5,FALSE),"")</f>
        <v>LOGÍSTICA</v>
      </c>
      <c r="L4072" s="77">
        <f>IFERROR(VLOOKUP(DESPESAS[[#This Row],[Plano de Contas]],BASE!$B$3:$H$119,6,FALSE),"")</f>
        <v>0</v>
      </c>
      <c r="M4072" s="77" t="str">
        <f>VLOOKUP(DESPESAS[[#This Row],[Plano de Contas]],BASE!$B$3:$H$119,7,FALSE)</f>
        <v>MYLENA</v>
      </c>
    </row>
    <row r="4073" spans="1:13" x14ac:dyDescent="0.25">
      <c r="A4073" s="74">
        <v>201539</v>
      </c>
      <c r="B4073" s="75" t="s">
        <v>221</v>
      </c>
      <c r="C4073" s="75" t="s">
        <v>3935</v>
      </c>
      <c r="D4073" s="76">
        <v>46150</v>
      </c>
      <c r="E4073" s="75" t="s">
        <v>242</v>
      </c>
      <c r="F4073" s="74">
        <v>60.1</v>
      </c>
      <c r="G4073" s="75" t="s">
        <v>241</v>
      </c>
      <c r="H4073" s="77" t="str">
        <f>VLOOKUP(DESPESAS[[#This Row],[Plano de Contas]],BASE!$B$3:$D$119,3,FALSE)</f>
        <v>Combustiveis Frota</v>
      </c>
      <c r="I4073" s="77" t="str">
        <f>IFERROR(VLOOKUP(DESPESAS[[#This Row],[Fornecedor]],Tabela2[],2,FALSE),"")</f>
        <v/>
      </c>
      <c r="J4073" s="77" t="str">
        <f>IFERROR(VLOOKUP(DESPESAS[[#This Row],[Plano de Contas]],BASE!$B$3:$F$119,4,FALSE),"")</f>
        <v>6 - DESPESA COM VENDAS</v>
      </c>
      <c r="K4073" s="77" t="str">
        <f>IFERROR(VLOOKUP(DESPESAS[[#This Row],[Plano de Contas]],BASE!$B$3:$H$119,5,FALSE),"")</f>
        <v>LOGÍSTICA</v>
      </c>
      <c r="L4073" s="77">
        <f>IFERROR(VLOOKUP(DESPESAS[[#This Row],[Plano de Contas]],BASE!$B$3:$H$119,6,FALSE),"")</f>
        <v>0</v>
      </c>
      <c r="M4073" s="77" t="str">
        <f>VLOOKUP(DESPESAS[[#This Row],[Plano de Contas]],BASE!$B$3:$H$119,7,FALSE)</f>
        <v>MYLENA</v>
      </c>
    </row>
    <row r="4074" spans="1:13" x14ac:dyDescent="0.25">
      <c r="A4074" s="74">
        <v>201540</v>
      </c>
      <c r="B4074" s="75" t="s">
        <v>221</v>
      </c>
      <c r="C4074" s="75" t="s">
        <v>3936</v>
      </c>
      <c r="D4074" s="76">
        <v>46150</v>
      </c>
      <c r="E4074" s="75" t="s">
        <v>242</v>
      </c>
      <c r="F4074" s="74">
        <v>743.65</v>
      </c>
      <c r="G4074" s="75" t="s">
        <v>241</v>
      </c>
      <c r="H4074" s="77" t="str">
        <f>VLOOKUP(DESPESAS[[#This Row],[Plano de Contas]],BASE!$B$3:$D$119,3,FALSE)</f>
        <v>Combustiveis Frota</v>
      </c>
      <c r="I4074" s="77" t="str">
        <f>IFERROR(VLOOKUP(DESPESAS[[#This Row],[Fornecedor]],Tabela2[],2,FALSE),"")</f>
        <v/>
      </c>
      <c r="J4074" s="77" t="str">
        <f>IFERROR(VLOOKUP(DESPESAS[[#This Row],[Plano de Contas]],BASE!$B$3:$F$119,4,FALSE),"")</f>
        <v>6 - DESPESA COM VENDAS</v>
      </c>
      <c r="K4074" s="77" t="str">
        <f>IFERROR(VLOOKUP(DESPESAS[[#This Row],[Plano de Contas]],BASE!$B$3:$H$119,5,FALSE),"")</f>
        <v>LOGÍSTICA</v>
      </c>
      <c r="L4074" s="77">
        <f>IFERROR(VLOOKUP(DESPESAS[[#This Row],[Plano de Contas]],BASE!$B$3:$H$119,6,FALSE),"")</f>
        <v>0</v>
      </c>
      <c r="M4074" s="77" t="str">
        <f>VLOOKUP(DESPESAS[[#This Row],[Plano de Contas]],BASE!$B$3:$H$119,7,FALSE)</f>
        <v>MYLENA</v>
      </c>
    </row>
    <row r="4075" spans="1:13" x14ac:dyDescent="0.25">
      <c r="A4075" s="74">
        <v>201541</v>
      </c>
      <c r="B4075" s="75" t="s">
        <v>221</v>
      </c>
      <c r="C4075" s="75" t="s">
        <v>3937</v>
      </c>
      <c r="D4075" s="76">
        <v>46150</v>
      </c>
      <c r="E4075" s="75" t="s">
        <v>268</v>
      </c>
      <c r="F4075" s="74">
        <v>90.25</v>
      </c>
      <c r="G4075" s="75" t="s">
        <v>262</v>
      </c>
      <c r="H4075" s="77" t="str">
        <f>VLOOKUP(DESPESAS[[#This Row],[Plano de Contas]],BASE!$B$3:$D$119,3,FALSE)</f>
        <v>Fretes Karams</v>
      </c>
      <c r="I4075" s="77" t="str">
        <f>IFERROR(VLOOKUP(DESPESAS[[#This Row],[Fornecedor]],Tabela2[],2,FALSE),"")</f>
        <v/>
      </c>
      <c r="J4075" s="77" t="str">
        <f>IFERROR(VLOOKUP(DESPESAS[[#This Row],[Plano de Contas]],BASE!$B$3:$F$119,4,FALSE),"")</f>
        <v>6 - DESPESA COM VENDAS</v>
      </c>
      <c r="K4075" s="77" t="str">
        <f>IFERROR(VLOOKUP(DESPESAS[[#This Row],[Plano de Contas]],BASE!$B$3:$H$119,5,FALSE),"")</f>
        <v>LOGÍSTICA</v>
      </c>
      <c r="L4075" s="77">
        <f>IFERROR(VLOOKUP(DESPESAS[[#This Row],[Plano de Contas]],BASE!$B$3:$H$119,6,FALSE),"")</f>
        <v>0</v>
      </c>
      <c r="M4075" s="77" t="str">
        <f>VLOOKUP(DESPESAS[[#This Row],[Plano de Contas]],BASE!$B$3:$H$119,7,FALSE)</f>
        <v>MYLENA</v>
      </c>
    </row>
    <row r="4076" spans="1:13" x14ac:dyDescent="0.25">
      <c r="A4076" s="74">
        <v>201542</v>
      </c>
      <c r="B4076" s="75" t="s">
        <v>221</v>
      </c>
      <c r="C4076" s="75" t="s">
        <v>3938</v>
      </c>
      <c r="D4076" s="76">
        <v>46150</v>
      </c>
      <c r="E4076" s="75" t="s">
        <v>467</v>
      </c>
      <c r="F4076" s="74">
        <v>30</v>
      </c>
      <c r="G4076" s="75" t="s">
        <v>225</v>
      </c>
      <c r="H4076" s="77" t="str">
        <f>VLOOKUP(DESPESAS[[#This Row],[Plano de Contas]],BASE!$B$3:$D$119,3,FALSE)</f>
        <v>Despesas de Outros Gastos Não Operacionais</v>
      </c>
      <c r="I4076" s="77" t="str">
        <f>IFERROR(VLOOKUP(DESPESAS[[#This Row],[Fornecedor]],Tabela2[],2,FALSE),"")</f>
        <v/>
      </c>
      <c r="J4076" s="77" t="str">
        <f>IFERROR(VLOOKUP(DESPESAS[[#This Row],[Plano de Contas]],BASE!$B$3:$F$119,4,FALSE),"")</f>
        <v>8 - DESPESAS FINANCEIRAS</v>
      </c>
      <c r="K4076" s="77" t="str">
        <f>IFERROR(VLOOKUP(DESPESAS[[#This Row],[Plano de Contas]],BASE!$B$3:$H$119,5,FALSE),"")</f>
        <v>FINANCEIRO</v>
      </c>
      <c r="L4076" s="77">
        <f>IFERROR(VLOOKUP(DESPESAS[[#This Row],[Plano de Contas]],BASE!$B$3:$H$119,6,FALSE),"")</f>
        <v>0</v>
      </c>
      <c r="M4076" s="77" t="str">
        <f>VLOOKUP(DESPESAS[[#This Row],[Plano de Contas]],BASE!$B$3:$H$119,7,FALSE)</f>
        <v>LETÍCIA</v>
      </c>
    </row>
    <row r="4077" spans="1:13" x14ac:dyDescent="0.25">
      <c r="A4077" s="74">
        <v>201543</v>
      </c>
      <c r="B4077" s="75" t="s">
        <v>221</v>
      </c>
      <c r="C4077" s="75" t="s">
        <v>3939</v>
      </c>
      <c r="D4077" s="76">
        <v>46150</v>
      </c>
      <c r="E4077" s="75" t="s">
        <v>242</v>
      </c>
      <c r="F4077" s="74">
        <v>707.07</v>
      </c>
      <c r="G4077" s="75" t="s">
        <v>241</v>
      </c>
      <c r="H4077" s="77" t="str">
        <f>VLOOKUP(DESPESAS[[#This Row],[Plano de Contas]],BASE!$B$3:$D$119,3,FALSE)</f>
        <v>Combustiveis Frota</v>
      </c>
      <c r="I4077" s="77" t="str">
        <f>IFERROR(VLOOKUP(DESPESAS[[#This Row],[Fornecedor]],Tabela2[],2,FALSE),"")</f>
        <v/>
      </c>
      <c r="J4077" s="77" t="str">
        <f>IFERROR(VLOOKUP(DESPESAS[[#This Row],[Plano de Contas]],BASE!$B$3:$F$119,4,FALSE),"")</f>
        <v>6 - DESPESA COM VENDAS</v>
      </c>
      <c r="K4077" s="77" t="str">
        <f>IFERROR(VLOOKUP(DESPESAS[[#This Row],[Plano de Contas]],BASE!$B$3:$H$119,5,FALSE),"")</f>
        <v>LOGÍSTICA</v>
      </c>
      <c r="L4077" s="77">
        <f>IFERROR(VLOOKUP(DESPESAS[[#This Row],[Plano de Contas]],BASE!$B$3:$H$119,6,FALSE),"")</f>
        <v>0</v>
      </c>
      <c r="M4077" s="77" t="str">
        <f>VLOOKUP(DESPESAS[[#This Row],[Plano de Contas]],BASE!$B$3:$H$119,7,FALSE)</f>
        <v>MYLENA</v>
      </c>
    </row>
    <row r="4078" spans="1:13" x14ac:dyDescent="0.25">
      <c r="A4078" s="74">
        <v>201544</v>
      </c>
      <c r="B4078" s="75" t="s">
        <v>221</v>
      </c>
      <c r="C4078" s="75" t="s">
        <v>3940</v>
      </c>
      <c r="D4078" s="76">
        <v>46150</v>
      </c>
      <c r="E4078" s="75" t="s">
        <v>242</v>
      </c>
      <c r="F4078" s="74">
        <v>49.45</v>
      </c>
      <c r="G4078" s="75" t="s">
        <v>241</v>
      </c>
      <c r="H4078" s="77" t="str">
        <f>VLOOKUP(DESPESAS[[#This Row],[Plano de Contas]],BASE!$B$3:$D$119,3,FALSE)</f>
        <v>Combustiveis Frota</v>
      </c>
      <c r="I4078" s="77" t="str">
        <f>IFERROR(VLOOKUP(DESPESAS[[#This Row],[Fornecedor]],Tabela2[],2,FALSE),"")</f>
        <v/>
      </c>
      <c r="J4078" s="77" t="str">
        <f>IFERROR(VLOOKUP(DESPESAS[[#This Row],[Plano de Contas]],BASE!$B$3:$F$119,4,FALSE),"")</f>
        <v>6 - DESPESA COM VENDAS</v>
      </c>
      <c r="K4078" s="77" t="str">
        <f>IFERROR(VLOOKUP(DESPESAS[[#This Row],[Plano de Contas]],BASE!$B$3:$H$119,5,FALSE),"")</f>
        <v>LOGÍSTICA</v>
      </c>
      <c r="L4078" s="77">
        <f>IFERROR(VLOOKUP(DESPESAS[[#This Row],[Plano de Contas]],BASE!$B$3:$H$119,6,FALSE),"")</f>
        <v>0</v>
      </c>
      <c r="M4078" s="77" t="str">
        <f>VLOOKUP(DESPESAS[[#This Row],[Plano de Contas]],BASE!$B$3:$H$119,7,FALSE)</f>
        <v>MYLENA</v>
      </c>
    </row>
    <row r="4079" spans="1:13" x14ac:dyDescent="0.25">
      <c r="A4079" s="74">
        <v>201546</v>
      </c>
      <c r="B4079" s="75" t="s">
        <v>221</v>
      </c>
      <c r="C4079" s="75" t="s">
        <v>3941</v>
      </c>
      <c r="D4079" s="76">
        <v>46153</v>
      </c>
      <c r="E4079" s="75" t="s">
        <v>245</v>
      </c>
      <c r="F4079" s="74">
        <v>5.4</v>
      </c>
      <c r="G4079" s="75" t="s">
        <v>247</v>
      </c>
      <c r="H4079" s="77" t="str">
        <f>VLOOKUP(DESPESAS[[#This Row],[Plano de Contas]],BASE!$B$3:$D$119,3,FALSE)</f>
        <v>Manutenção com veiculos</v>
      </c>
      <c r="I4079" s="77" t="str">
        <f>IFERROR(VLOOKUP(DESPESAS[[#This Row],[Fornecedor]],Tabela2[],2,FALSE),"")</f>
        <v>FERRAGENS GERAIS</v>
      </c>
      <c r="J4079" s="77" t="str">
        <f>IFERROR(VLOOKUP(DESPESAS[[#This Row],[Plano de Contas]],BASE!$B$3:$F$119,4,FALSE),"")</f>
        <v>6 - DESPESA COM VENDAS</v>
      </c>
      <c r="K4079" s="77" t="str">
        <f>IFERROR(VLOOKUP(DESPESAS[[#This Row],[Plano de Contas]],BASE!$B$3:$H$119,5,FALSE),"")</f>
        <v>LOGÍSTICA</v>
      </c>
      <c r="L4079" s="77">
        <f>IFERROR(VLOOKUP(DESPESAS[[#This Row],[Plano de Contas]],BASE!$B$3:$H$119,6,FALSE),"")</f>
        <v>0</v>
      </c>
      <c r="M4079" s="77" t="str">
        <f>VLOOKUP(DESPESAS[[#This Row],[Plano de Contas]],BASE!$B$3:$H$119,7,FALSE)</f>
        <v>MYLENA</v>
      </c>
    </row>
    <row r="4080" spans="1:13" x14ac:dyDescent="0.25">
      <c r="A4080" s="74">
        <v>201548</v>
      </c>
      <c r="B4080" s="75" t="s">
        <v>221</v>
      </c>
      <c r="C4080" s="75" t="s">
        <v>3942</v>
      </c>
      <c r="D4080" s="76">
        <v>46153</v>
      </c>
      <c r="E4080" s="75" t="s">
        <v>317</v>
      </c>
      <c r="F4080" s="74">
        <v>175</v>
      </c>
      <c r="G4080" s="75" t="s">
        <v>1037</v>
      </c>
      <c r="H4080" s="77" t="str">
        <f>VLOOKUP(DESPESAS[[#This Row],[Plano de Contas]],BASE!$B$3:$D$119,3,FALSE)</f>
        <v>Construções e Reformas</v>
      </c>
      <c r="I4080" s="77" t="str">
        <f>IFERROR(VLOOKUP(DESPESAS[[#This Row],[Fornecedor]],Tabela2[],2,FALSE),"")</f>
        <v/>
      </c>
      <c r="J4080" s="77" t="str">
        <f>IFERROR(VLOOKUP(DESPESAS[[#This Row],[Plano de Contas]],BASE!$B$3:$F$119,4,FALSE),"")</f>
        <v>9 - INVESTIMENTOS</v>
      </c>
      <c r="K4080" s="77" t="str">
        <f>IFERROR(VLOOKUP(DESPESAS[[#This Row],[Plano de Contas]],BASE!$B$3:$H$119,5,FALSE),"")</f>
        <v>MANUTENÇÃO / TI</v>
      </c>
      <c r="L4080" s="77">
        <f>IFERROR(VLOOKUP(DESPESAS[[#This Row],[Plano de Contas]],BASE!$B$3:$H$119,6,FALSE),"")</f>
        <v>0</v>
      </c>
      <c r="M4080" s="77" t="str">
        <f>VLOOKUP(DESPESAS[[#This Row],[Plano de Contas]],BASE!$B$3:$H$119,7,FALSE)</f>
        <v>FÁBIO</v>
      </c>
    </row>
    <row r="4081" spans="1:13" x14ac:dyDescent="0.25">
      <c r="A4081" s="74">
        <v>201549</v>
      </c>
      <c r="B4081" s="75" t="s">
        <v>221</v>
      </c>
      <c r="C4081" s="75" t="s">
        <v>3943</v>
      </c>
      <c r="D4081" s="76">
        <v>46153</v>
      </c>
      <c r="E4081" s="75" t="s">
        <v>317</v>
      </c>
      <c r="F4081" s="74">
        <v>65</v>
      </c>
      <c r="G4081" s="75" t="s">
        <v>244</v>
      </c>
      <c r="H4081" s="77" t="str">
        <f>VLOOKUP(DESPESAS[[#This Row],[Plano de Contas]],BASE!$B$3:$D$119,3,FALSE)</f>
        <v>Material de Expediente (Prod)</v>
      </c>
      <c r="I4081" s="77" t="str">
        <f>IFERROR(VLOOKUP(DESPESAS[[#This Row],[Fornecedor]],Tabela2[],2,FALSE),"")</f>
        <v/>
      </c>
      <c r="J4081" s="77" t="str">
        <f>IFERROR(VLOOKUP(DESPESAS[[#This Row],[Plano de Contas]],BASE!$B$3:$F$119,4,FALSE),"")</f>
        <v>2 - CUSTOS DIRETOS</v>
      </c>
      <c r="K4081" s="77" t="str">
        <f>IFERROR(VLOOKUP(DESPESAS[[#This Row],[Plano de Contas]],BASE!$B$3:$H$119,5,FALSE),"")</f>
        <v>PRODUÇÃO</v>
      </c>
      <c r="L4081" s="77">
        <f>IFERROR(VLOOKUP(DESPESAS[[#This Row],[Plano de Contas]],BASE!$B$3:$H$119,6,FALSE),"")</f>
        <v>0</v>
      </c>
      <c r="M4081" s="77" t="str">
        <f>VLOOKUP(DESPESAS[[#This Row],[Plano de Contas]],BASE!$B$3:$H$119,7,FALSE)</f>
        <v>RAFAEL</v>
      </c>
    </row>
    <row r="4082" spans="1:13" x14ac:dyDescent="0.25">
      <c r="A4082" s="74">
        <v>201550</v>
      </c>
      <c r="B4082" s="75" t="s">
        <v>221</v>
      </c>
      <c r="C4082" s="75" t="s">
        <v>3944</v>
      </c>
      <c r="D4082" s="76">
        <v>46153</v>
      </c>
      <c r="E4082" s="75" t="s">
        <v>256</v>
      </c>
      <c r="F4082" s="74">
        <v>488.16</v>
      </c>
      <c r="G4082" s="75" t="s">
        <v>255</v>
      </c>
      <c r="H4082" s="77" t="str">
        <f>VLOOKUP(DESPESAS[[#This Row],[Plano de Contas]],BASE!$B$3:$D$119,3,FALSE)</f>
        <v>Mostruário de Tecido</v>
      </c>
      <c r="I4082" s="77" t="str">
        <f>IFERROR(VLOOKUP(DESPESAS[[#This Row],[Fornecedor]],Tabela2[],2,FALSE),"")</f>
        <v/>
      </c>
      <c r="J4082" s="77" t="str">
        <f>IFERROR(VLOOKUP(DESPESAS[[#This Row],[Plano de Contas]],BASE!$B$3:$F$119,4,FALSE),"")</f>
        <v>6 - DESPESA COM VENDAS</v>
      </c>
      <c r="K4082" s="77" t="str">
        <f>IFERROR(VLOOKUP(DESPESAS[[#This Row],[Plano de Contas]],BASE!$B$3:$H$119,5,FALSE),"")</f>
        <v>COMERCIAL</v>
      </c>
      <c r="L4082" s="77">
        <f>IFERROR(VLOOKUP(DESPESAS[[#This Row],[Plano de Contas]],BASE!$B$3:$H$119,6,FALSE),"")</f>
        <v>0</v>
      </c>
      <c r="M4082" s="77" t="str">
        <f>VLOOKUP(DESPESAS[[#This Row],[Plano de Contas]],BASE!$B$3:$H$119,7,FALSE)</f>
        <v>LETÍCIA</v>
      </c>
    </row>
    <row r="4083" spans="1:13" x14ac:dyDescent="0.25">
      <c r="A4083" s="74">
        <v>201551</v>
      </c>
      <c r="B4083" s="75" t="s">
        <v>221</v>
      </c>
      <c r="C4083" s="75" t="s">
        <v>3945</v>
      </c>
      <c r="D4083" s="76">
        <v>46153</v>
      </c>
      <c r="E4083" s="75" t="s">
        <v>256</v>
      </c>
      <c r="F4083" s="74">
        <v>1068.6400000000001</v>
      </c>
      <c r="G4083" s="75" t="s">
        <v>255</v>
      </c>
      <c r="H4083" s="77" t="str">
        <f>VLOOKUP(DESPESAS[[#This Row],[Plano de Contas]],BASE!$B$3:$D$119,3,FALSE)</f>
        <v>Mostruário de Tecido</v>
      </c>
      <c r="I4083" s="77" t="str">
        <f>IFERROR(VLOOKUP(DESPESAS[[#This Row],[Fornecedor]],Tabela2[],2,FALSE),"")</f>
        <v/>
      </c>
      <c r="J4083" s="77" t="str">
        <f>IFERROR(VLOOKUP(DESPESAS[[#This Row],[Plano de Contas]],BASE!$B$3:$F$119,4,FALSE),"")</f>
        <v>6 - DESPESA COM VENDAS</v>
      </c>
      <c r="K4083" s="77" t="str">
        <f>IFERROR(VLOOKUP(DESPESAS[[#This Row],[Plano de Contas]],BASE!$B$3:$H$119,5,FALSE),"")</f>
        <v>COMERCIAL</v>
      </c>
      <c r="L4083" s="77">
        <f>IFERROR(VLOOKUP(DESPESAS[[#This Row],[Plano de Contas]],BASE!$B$3:$H$119,6,FALSE),"")</f>
        <v>0</v>
      </c>
      <c r="M4083" s="77" t="str">
        <f>VLOOKUP(DESPESAS[[#This Row],[Plano de Contas]],BASE!$B$3:$H$119,7,FALSE)</f>
        <v>LETÍCIA</v>
      </c>
    </row>
    <row r="4084" spans="1:13" x14ac:dyDescent="0.25">
      <c r="A4084" s="74">
        <v>201552</v>
      </c>
      <c r="B4084" s="75" t="s">
        <v>232</v>
      </c>
      <c r="C4084" s="75" t="s">
        <v>3946</v>
      </c>
      <c r="D4084" s="76">
        <v>46150</v>
      </c>
      <c r="E4084" s="75" t="s">
        <v>230</v>
      </c>
      <c r="F4084" s="74">
        <v>2.37</v>
      </c>
      <c r="G4084" s="75" t="s">
        <v>236</v>
      </c>
      <c r="H4084" s="77" t="str">
        <f>VLOOKUP(DESPESAS[[#This Row],[Plano de Contas]],BASE!$B$3:$D$119,3,FALSE)</f>
        <v>Despesas de Cobranca</v>
      </c>
      <c r="I4084" s="77" t="str">
        <f>IFERROR(VLOOKUP(DESPESAS[[#This Row],[Fornecedor]],Tabela2[],2,FALSE),"")</f>
        <v/>
      </c>
      <c r="J4084" s="77" t="str">
        <f>IFERROR(VLOOKUP(DESPESAS[[#This Row],[Plano de Contas]],BASE!$B$3:$F$119,4,FALSE),"")</f>
        <v>8 - DESPESAS FINANCEIRAS</v>
      </c>
      <c r="K4084" s="77" t="str">
        <f>IFERROR(VLOOKUP(DESPESAS[[#This Row],[Plano de Contas]],BASE!$B$3:$H$119,5,FALSE),"")</f>
        <v>FINANCEIRO</v>
      </c>
      <c r="L4084" s="77">
        <f>IFERROR(VLOOKUP(DESPESAS[[#This Row],[Plano de Contas]],BASE!$B$3:$H$119,6,FALSE),"")</f>
        <v>0</v>
      </c>
      <c r="M4084" s="77" t="str">
        <f>VLOOKUP(DESPESAS[[#This Row],[Plano de Contas]],BASE!$B$3:$H$119,7,FALSE)</f>
        <v>LETÍCIA</v>
      </c>
    </row>
    <row r="4085" spans="1:13" x14ac:dyDescent="0.25">
      <c r="A4085" s="74">
        <v>201553</v>
      </c>
      <c r="B4085" s="75" t="s">
        <v>232</v>
      </c>
      <c r="C4085" s="75" t="s">
        <v>3947</v>
      </c>
      <c r="D4085" s="76">
        <v>46153</v>
      </c>
      <c r="E4085" s="75" t="s">
        <v>230</v>
      </c>
      <c r="F4085" s="74">
        <v>5.48</v>
      </c>
      <c r="G4085" s="75" t="s">
        <v>229</v>
      </c>
      <c r="H4085" s="77" t="str">
        <f>VLOOKUP(DESPESAS[[#This Row],[Plano de Contas]],BASE!$B$3:$D$119,3,FALSE)</f>
        <v>Despesas Bancarias</v>
      </c>
      <c r="I4085" s="77" t="str">
        <f>IFERROR(VLOOKUP(DESPESAS[[#This Row],[Fornecedor]],Tabela2[],2,FALSE),"")</f>
        <v/>
      </c>
      <c r="J4085" s="77" t="str">
        <f>IFERROR(VLOOKUP(DESPESAS[[#This Row],[Plano de Contas]],BASE!$B$3:$F$119,4,FALSE),"")</f>
        <v>8 - DESPESAS FINANCEIRAS</v>
      </c>
      <c r="K4085" s="77" t="str">
        <f>IFERROR(VLOOKUP(DESPESAS[[#This Row],[Plano de Contas]],BASE!$B$3:$H$119,5,FALSE),"")</f>
        <v>FINANCEIRO</v>
      </c>
      <c r="L4085" s="77">
        <f>IFERROR(VLOOKUP(DESPESAS[[#This Row],[Plano de Contas]],BASE!$B$3:$H$119,6,FALSE),"")</f>
        <v>0</v>
      </c>
      <c r="M4085" s="77" t="str">
        <f>VLOOKUP(DESPESAS[[#This Row],[Plano de Contas]],BASE!$B$3:$H$119,7,FALSE)</f>
        <v>LETÍCIA</v>
      </c>
    </row>
    <row r="4086" spans="1:13" x14ac:dyDescent="0.25">
      <c r="A4086" s="74">
        <v>201554</v>
      </c>
      <c r="B4086" s="75" t="s">
        <v>221</v>
      </c>
      <c r="C4086" s="75" t="s">
        <v>3948</v>
      </c>
      <c r="D4086" s="76">
        <v>46153</v>
      </c>
      <c r="E4086" s="75" t="s">
        <v>3949</v>
      </c>
      <c r="F4086" s="74">
        <v>350</v>
      </c>
      <c r="G4086" s="75" t="s">
        <v>247</v>
      </c>
      <c r="H4086" s="77" t="str">
        <f>VLOOKUP(DESPESAS[[#This Row],[Plano de Contas]],BASE!$B$3:$D$119,3,FALSE)</f>
        <v>Manutenção com veiculos</v>
      </c>
      <c r="I4086" s="77" t="str">
        <f>IFERROR(VLOOKUP(DESPESAS[[#This Row],[Fornecedor]],Tabela2[],2,FALSE),"")</f>
        <v/>
      </c>
      <c r="J4086" s="77" t="str">
        <f>IFERROR(VLOOKUP(DESPESAS[[#This Row],[Plano de Contas]],BASE!$B$3:$F$119,4,FALSE),"")</f>
        <v>6 - DESPESA COM VENDAS</v>
      </c>
      <c r="K4086" s="77" t="str">
        <f>IFERROR(VLOOKUP(DESPESAS[[#This Row],[Plano de Contas]],BASE!$B$3:$H$119,5,FALSE),"")</f>
        <v>LOGÍSTICA</v>
      </c>
      <c r="L4086" s="77">
        <f>IFERROR(VLOOKUP(DESPESAS[[#This Row],[Plano de Contas]],BASE!$B$3:$H$119,6,FALSE),"")</f>
        <v>0</v>
      </c>
      <c r="M4086" s="77" t="str">
        <f>VLOOKUP(DESPESAS[[#This Row],[Plano de Contas]],BASE!$B$3:$H$119,7,FALSE)</f>
        <v>MYLENA</v>
      </c>
    </row>
    <row r="4087" spans="1:13" x14ac:dyDescent="0.25">
      <c r="A4087" s="74">
        <v>201555</v>
      </c>
      <c r="B4087" s="75" t="s">
        <v>232</v>
      </c>
      <c r="C4087" s="75" t="s">
        <v>3950</v>
      </c>
      <c r="D4087" s="76">
        <v>46153</v>
      </c>
      <c r="E4087" s="75" t="s">
        <v>230</v>
      </c>
      <c r="F4087" s="74">
        <v>38.65</v>
      </c>
      <c r="G4087" s="75" t="s">
        <v>251</v>
      </c>
      <c r="H4087" s="77" t="str">
        <f>VLOOKUP(DESPESAS[[#This Row],[Plano de Contas]],BASE!$B$3:$D$119,3,FALSE)</f>
        <v>Juros Pagos - Antecipação de Crédito</v>
      </c>
      <c r="I4087" s="77" t="str">
        <f>IFERROR(VLOOKUP(DESPESAS[[#This Row],[Fornecedor]],Tabela2[],2,FALSE),"")</f>
        <v/>
      </c>
      <c r="J4087" s="77" t="str">
        <f>IFERROR(VLOOKUP(DESPESAS[[#This Row],[Plano de Contas]],BASE!$B$3:$F$119,4,FALSE),"")</f>
        <v>8 - DESPESAS FINANCEIRAS</v>
      </c>
      <c r="K4087" s="77" t="str">
        <f>IFERROR(VLOOKUP(DESPESAS[[#This Row],[Plano de Contas]],BASE!$B$3:$H$119,5,FALSE),"")</f>
        <v>FINANCEIRO</v>
      </c>
      <c r="L4087" s="77">
        <f>IFERROR(VLOOKUP(DESPESAS[[#This Row],[Plano de Contas]],BASE!$B$3:$H$119,6,FALSE),"")</f>
        <v>0</v>
      </c>
      <c r="M4087" s="77" t="str">
        <f>VLOOKUP(DESPESAS[[#This Row],[Plano de Contas]],BASE!$B$3:$H$119,7,FALSE)</f>
        <v>LETÍCIA</v>
      </c>
    </row>
    <row r="4088" spans="1:13" x14ac:dyDescent="0.25">
      <c r="A4088" s="74">
        <v>201556</v>
      </c>
      <c r="B4088" s="75" t="s">
        <v>232</v>
      </c>
      <c r="C4088" s="75" t="s">
        <v>3951</v>
      </c>
      <c r="D4088" s="76">
        <v>46153</v>
      </c>
      <c r="E4088" s="75" t="s">
        <v>607</v>
      </c>
      <c r="F4088" s="74">
        <v>3050.98</v>
      </c>
      <c r="G4088" s="75" t="s">
        <v>244</v>
      </c>
      <c r="H4088" s="77" t="str">
        <f>VLOOKUP(DESPESAS[[#This Row],[Plano de Contas]],BASE!$B$3:$D$119,3,FALSE)</f>
        <v>Material de Expediente (Prod)</v>
      </c>
      <c r="I4088" s="77" t="str">
        <f>IFERROR(VLOOKUP(DESPESAS[[#This Row],[Fornecedor]],Tabela2[],2,FALSE),"")</f>
        <v>FERRAGENS GERAIS</v>
      </c>
      <c r="J4088" s="77" t="str">
        <f>IFERROR(VLOOKUP(DESPESAS[[#This Row],[Plano de Contas]],BASE!$B$3:$F$119,4,FALSE),"")</f>
        <v>2 - CUSTOS DIRETOS</v>
      </c>
      <c r="K4088" s="77" t="str">
        <f>IFERROR(VLOOKUP(DESPESAS[[#This Row],[Plano de Contas]],BASE!$B$3:$H$119,5,FALSE),"")</f>
        <v>PRODUÇÃO</v>
      </c>
      <c r="L4088" s="77">
        <f>IFERROR(VLOOKUP(DESPESAS[[#This Row],[Plano de Contas]],BASE!$B$3:$H$119,6,FALSE),"")</f>
        <v>0</v>
      </c>
      <c r="M4088" s="77" t="str">
        <f>VLOOKUP(DESPESAS[[#This Row],[Plano de Contas]],BASE!$B$3:$H$119,7,FALSE)</f>
        <v>RAFAEL</v>
      </c>
    </row>
    <row r="4089" spans="1:13" x14ac:dyDescent="0.25">
      <c r="A4089" s="74">
        <v>201557</v>
      </c>
      <c r="B4089" s="75" t="s">
        <v>279</v>
      </c>
      <c r="C4089" s="75" t="s">
        <v>3165</v>
      </c>
      <c r="D4089" s="76">
        <v>46153</v>
      </c>
      <c r="E4089" s="75" t="s">
        <v>748</v>
      </c>
      <c r="F4089" s="74">
        <v>339</v>
      </c>
      <c r="G4089" s="75" t="s">
        <v>225</v>
      </c>
      <c r="H4089" s="77" t="str">
        <f>VLOOKUP(DESPESAS[[#This Row],[Plano de Contas]],BASE!$B$3:$D$119,3,FALSE)</f>
        <v>Despesas de Outros Gastos Não Operacionais</v>
      </c>
      <c r="I4089" s="77" t="str">
        <f>IFERROR(VLOOKUP(DESPESAS[[#This Row],[Fornecedor]],Tabela2[],2,FALSE),"")</f>
        <v/>
      </c>
      <c r="J4089" s="77" t="str">
        <f>IFERROR(VLOOKUP(DESPESAS[[#This Row],[Plano de Contas]],BASE!$B$3:$F$119,4,FALSE),"")</f>
        <v>8 - DESPESAS FINANCEIRAS</v>
      </c>
      <c r="K4089" s="77" t="str">
        <f>IFERROR(VLOOKUP(DESPESAS[[#This Row],[Plano de Contas]],BASE!$B$3:$H$119,5,FALSE),"")</f>
        <v>FINANCEIRO</v>
      </c>
      <c r="L4089" s="77">
        <f>IFERROR(VLOOKUP(DESPESAS[[#This Row],[Plano de Contas]],BASE!$B$3:$H$119,6,FALSE),"")</f>
        <v>0</v>
      </c>
      <c r="M4089" s="77" t="str">
        <f>VLOOKUP(DESPESAS[[#This Row],[Plano de Contas]],BASE!$B$3:$H$119,7,FALSE)</f>
        <v>LETÍCIA</v>
      </c>
    </row>
    <row r="4090" spans="1:13" x14ac:dyDescent="0.25">
      <c r="A4090" s="74">
        <v>201558</v>
      </c>
      <c r="B4090" s="75" t="s">
        <v>221</v>
      </c>
      <c r="C4090" s="75" t="s">
        <v>3952</v>
      </c>
      <c r="D4090" s="76">
        <v>46153</v>
      </c>
      <c r="E4090" s="75" t="s">
        <v>675</v>
      </c>
      <c r="F4090" s="74">
        <v>100</v>
      </c>
      <c r="G4090" s="75" t="s">
        <v>244</v>
      </c>
      <c r="H4090" s="77" t="str">
        <f>VLOOKUP(DESPESAS[[#This Row],[Plano de Contas]],BASE!$B$3:$D$119,3,FALSE)</f>
        <v>Material de Expediente (Prod)</v>
      </c>
      <c r="I4090" s="77" t="str">
        <f>IFERROR(VLOOKUP(DESPESAS[[#This Row],[Fornecedor]],Tabela2[],2,FALSE),"")</f>
        <v/>
      </c>
      <c r="J4090" s="77" t="str">
        <f>IFERROR(VLOOKUP(DESPESAS[[#This Row],[Plano de Contas]],BASE!$B$3:$F$119,4,FALSE),"")</f>
        <v>2 - CUSTOS DIRETOS</v>
      </c>
      <c r="K4090" s="77" t="str">
        <f>IFERROR(VLOOKUP(DESPESAS[[#This Row],[Plano de Contas]],BASE!$B$3:$H$119,5,FALSE),"")</f>
        <v>PRODUÇÃO</v>
      </c>
      <c r="L4090" s="77">
        <f>IFERROR(VLOOKUP(DESPESAS[[#This Row],[Plano de Contas]],BASE!$B$3:$H$119,6,FALSE),"")</f>
        <v>0</v>
      </c>
      <c r="M4090" s="77" t="str">
        <f>VLOOKUP(DESPESAS[[#This Row],[Plano de Contas]],BASE!$B$3:$H$119,7,FALSE)</f>
        <v>RAFAEL</v>
      </c>
    </row>
    <row r="4091" spans="1:13" x14ac:dyDescent="0.25">
      <c r="A4091" s="74">
        <v>201559</v>
      </c>
      <c r="B4091" s="75" t="s">
        <v>221</v>
      </c>
      <c r="C4091" s="75" t="s">
        <v>3953</v>
      </c>
      <c r="D4091" s="76">
        <v>46150</v>
      </c>
      <c r="E4091" s="75" t="s">
        <v>575</v>
      </c>
      <c r="F4091" s="74">
        <v>0.95</v>
      </c>
      <c r="G4091" s="75" t="s">
        <v>236</v>
      </c>
      <c r="H4091" s="77" t="str">
        <f>VLOOKUP(DESPESAS[[#This Row],[Plano de Contas]],BASE!$B$3:$D$119,3,FALSE)</f>
        <v>Despesas de Cobranca</v>
      </c>
      <c r="I4091" s="77" t="str">
        <f>IFERROR(VLOOKUP(DESPESAS[[#This Row],[Fornecedor]],Tabela2[],2,FALSE),"")</f>
        <v/>
      </c>
      <c r="J4091" s="77" t="str">
        <f>IFERROR(VLOOKUP(DESPESAS[[#This Row],[Plano de Contas]],BASE!$B$3:$F$119,4,FALSE),"")</f>
        <v>8 - DESPESAS FINANCEIRAS</v>
      </c>
      <c r="K4091" s="77" t="str">
        <f>IFERROR(VLOOKUP(DESPESAS[[#This Row],[Plano de Contas]],BASE!$B$3:$H$119,5,FALSE),"")</f>
        <v>FINANCEIRO</v>
      </c>
      <c r="L4091" s="77">
        <f>IFERROR(VLOOKUP(DESPESAS[[#This Row],[Plano de Contas]],BASE!$B$3:$H$119,6,FALSE),"")</f>
        <v>0</v>
      </c>
      <c r="M4091" s="77" t="str">
        <f>VLOOKUP(DESPESAS[[#This Row],[Plano de Contas]],BASE!$B$3:$H$119,7,FALSE)</f>
        <v>LETÍCIA</v>
      </c>
    </row>
    <row r="4092" spans="1:13" x14ac:dyDescent="0.25">
      <c r="A4092" s="74">
        <v>201563</v>
      </c>
      <c r="B4092" s="75" t="s">
        <v>221</v>
      </c>
      <c r="C4092" s="75" t="s">
        <v>3954</v>
      </c>
      <c r="D4092" s="76">
        <v>46153</v>
      </c>
      <c r="E4092" s="75" t="s">
        <v>3955</v>
      </c>
      <c r="F4092" s="74">
        <v>250</v>
      </c>
      <c r="G4092" s="75" t="s">
        <v>1075</v>
      </c>
      <c r="H4092" s="77" t="str">
        <f>VLOOKUP(DESPESAS[[#This Row],[Plano de Contas]],BASE!$B$3:$D$119,3,FALSE)</f>
        <v>Fretes Ass. Técnica</v>
      </c>
      <c r="I4092" s="77" t="str">
        <f>IFERROR(VLOOKUP(DESPESAS[[#This Row],[Fornecedor]],Tabela2[],2,FALSE),"")</f>
        <v/>
      </c>
      <c r="J4092" s="77" t="str">
        <f>IFERROR(VLOOKUP(DESPESAS[[#This Row],[Plano de Contas]],BASE!$B$3:$F$119,4,FALSE),"")</f>
        <v>6 - DESPESA COM VENDAS</v>
      </c>
      <c r="K4092" s="77" t="str">
        <f>IFERROR(VLOOKUP(DESPESAS[[#This Row],[Plano de Contas]],BASE!$B$3:$H$119,5,FALSE),"")</f>
        <v>LOGÍSTICA</v>
      </c>
      <c r="L4092" s="77">
        <f>IFERROR(VLOOKUP(DESPESAS[[#This Row],[Plano de Contas]],BASE!$B$3:$H$119,6,FALSE),"")</f>
        <v>0</v>
      </c>
      <c r="M4092" s="77" t="str">
        <f>VLOOKUP(DESPESAS[[#This Row],[Plano de Contas]],BASE!$B$3:$H$119,7,FALSE)</f>
        <v>MYLENA</v>
      </c>
    </row>
    <row r="4093" spans="1:13" x14ac:dyDescent="0.25">
      <c r="A4093" s="74">
        <v>201564</v>
      </c>
      <c r="B4093" s="75" t="s">
        <v>221</v>
      </c>
      <c r="C4093" s="75" t="s">
        <v>3956</v>
      </c>
      <c r="D4093" s="76">
        <v>46153</v>
      </c>
      <c r="E4093" s="75" t="s">
        <v>402</v>
      </c>
      <c r="F4093" s="74">
        <v>1337.5</v>
      </c>
      <c r="G4093" s="75" t="s">
        <v>262</v>
      </c>
      <c r="H4093" s="77" t="str">
        <f>VLOOKUP(DESPESAS[[#This Row],[Plano de Contas]],BASE!$B$3:$D$119,3,FALSE)</f>
        <v>Fretes Karams</v>
      </c>
      <c r="I4093" s="77" t="str">
        <f>IFERROR(VLOOKUP(DESPESAS[[#This Row],[Fornecedor]],Tabela2[],2,FALSE),"")</f>
        <v/>
      </c>
      <c r="J4093" s="77" t="str">
        <f>IFERROR(VLOOKUP(DESPESAS[[#This Row],[Plano de Contas]],BASE!$B$3:$F$119,4,FALSE),"")</f>
        <v>6 - DESPESA COM VENDAS</v>
      </c>
      <c r="K4093" s="77" t="str">
        <f>IFERROR(VLOOKUP(DESPESAS[[#This Row],[Plano de Contas]],BASE!$B$3:$H$119,5,FALSE),"")</f>
        <v>LOGÍSTICA</v>
      </c>
      <c r="L4093" s="77">
        <f>IFERROR(VLOOKUP(DESPESAS[[#This Row],[Plano de Contas]],BASE!$B$3:$H$119,6,FALSE),"")</f>
        <v>0</v>
      </c>
      <c r="M4093" s="77" t="str">
        <f>VLOOKUP(DESPESAS[[#This Row],[Plano de Contas]],BASE!$B$3:$H$119,7,FALSE)</f>
        <v>MYLENA</v>
      </c>
    </row>
    <row r="4094" spans="1:13" x14ac:dyDescent="0.25">
      <c r="A4094" s="74">
        <v>201565</v>
      </c>
      <c r="B4094" s="75" t="s">
        <v>221</v>
      </c>
      <c r="C4094" s="75" t="s">
        <v>2327</v>
      </c>
      <c r="D4094" s="76">
        <v>46153</v>
      </c>
      <c r="E4094" s="75" t="s">
        <v>402</v>
      </c>
      <c r="F4094" s="74">
        <v>20</v>
      </c>
      <c r="G4094" s="75" t="s">
        <v>247</v>
      </c>
      <c r="H4094" s="77" t="str">
        <f>VLOOKUP(DESPESAS[[#This Row],[Plano de Contas]],BASE!$B$3:$D$119,3,FALSE)</f>
        <v>Manutenção com veiculos</v>
      </c>
      <c r="I4094" s="77" t="str">
        <f>IFERROR(VLOOKUP(DESPESAS[[#This Row],[Fornecedor]],Tabela2[],2,FALSE),"")</f>
        <v/>
      </c>
      <c r="J4094" s="77" t="str">
        <f>IFERROR(VLOOKUP(DESPESAS[[#This Row],[Plano de Contas]],BASE!$B$3:$F$119,4,FALSE),"")</f>
        <v>6 - DESPESA COM VENDAS</v>
      </c>
      <c r="K4094" s="77" t="str">
        <f>IFERROR(VLOOKUP(DESPESAS[[#This Row],[Plano de Contas]],BASE!$B$3:$H$119,5,FALSE),"")</f>
        <v>LOGÍSTICA</v>
      </c>
      <c r="L4094" s="77">
        <f>IFERROR(VLOOKUP(DESPESAS[[#This Row],[Plano de Contas]],BASE!$B$3:$H$119,6,FALSE),"")</f>
        <v>0</v>
      </c>
      <c r="M4094" s="77" t="str">
        <f>VLOOKUP(DESPESAS[[#This Row],[Plano de Contas]],BASE!$B$3:$H$119,7,FALSE)</f>
        <v>MYLENA</v>
      </c>
    </row>
    <row r="4095" spans="1:13" x14ac:dyDescent="0.25">
      <c r="A4095" s="74">
        <v>201566</v>
      </c>
      <c r="B4095" s="75" t="s">
        <v>221</v>
      </c>
      <c r="C4095" s="75" t="s">
        <v>3957</v>
      </c>
      <c r="D4095" s="76">
        <v>46153</v>
      </c>
      <c r="E4095" s="75" t="s">
        <v>242</v>
      </c>
      <c r="F4095" s="74">
        <v>25.42</v>
      </c>
      <c r="G4095" s="75" t="s">
        <v>241</v>
      </c>
      <c r="H4095" s="77" t="str">
        <f>VLOOKUP(DESPESAS[[#This Row],[Plano de Contas]],BASE!$B$3:$D$119,3,FALSE)</f>
        <v>Combustiveis Frota</v>
      </c>
      <c r="I4095" s="77" t="str">
        <f>IFERROR(VLOOKUP(DESPESAS[[#This Row],[Fornecedor]],Tabela2[],2,FALSE),"")</f>
        <v/>
      </c>
      <c r="J4095" s="77" t="str">
        <f>IFERROR(VLOOKUP(DESPESAS[[#This Row],[Plano de Contas]],BASE!$B$3:$F$119,4,FALSE),"")</f>
        <v>6 - DESPESA COM VENDAS</v>
      </c>
      <c r="K4095" s="77" t="str">
        <f>IFERROR(VLOOKUP(DESPESAS[[#This Row],[Plano de Contas]],BASE!$B$3:$H$119,5,FALSE),"")</f>
        <v>LOGÍSTICA</v>
      </c>
      <c r="L4095" s="77">
        <f>IFERROR(VLOOKUP(DESPESAS[[#This Row],[Plano de Contas]],BASE!$B$3:$H$119,6,FALSE),"")</f>
        <v>0</v>
      </c>
      <c r="M4095" s="77" t="str">
        <f>VLOOKUP(DESPESAS[[#This Row],[Plano de Contas]],BASE!$B$3:$H$119,7,FALSE)</f>
        <v>MYLENA</v>
      </c>
    </row>
    <row r="4096" spans="1:13" x14ac:dyDescent="0.25">
      <c r="A4096" s="74">
        <v>201567</v>
      </c>
      <c r="B4096" s="75" t="s">
        <v>221</v>
      </c>
      <c r="C4096" s="75" t="s">
        <v>3958</v>
      </c>
      <c r="D4096" s="76">
        <v>46153</v>
      </c>
      <c r="E4096" s="75" t="s">
        <v>242</v>
      </c>
      <c r="F4096" s="74">
        <v>3201.63</v>
      </c>
      <c r="G4096" s="75" t="s">
        <v>241</v>
      </c>
      <c r="H4096" s="77" t="str">
        <f>VLOOKUP(DESPESAS[[#This Row],[Plano de Contas]],BASE!$B$3:$D$119,3,FALSE)</f>
        <v>Combustiveis Frota</v>
      </c>
      <c r="I4096" s="77" t="str">
        <f>IFERROR(VLOOKUP(DESPESAS[[#This Row],[Fornecedor]],Tabela2[],2,FALSE),"")</f>
        <v/>
      </c>
      <c r="J4096" s="77" t="str">
        <f>IFERROR(VLOOKUP(DESPESAS[[#This Row],[Plano de Contas]],BASE!$B$3:$F$119,4,FALSE),"")</f>
        <v>6 - DESPESA COM VENDAS</v>
      </c>
      <c r="K4096" s="77" t="str">
        <f>IFERROR(VLOOKUP(DESPESAS[[#This Row],[Plano de Contas]],BASE!$B$3:$H$119,5,FALSE),"")</f>
        <v>LOGÍSTICA</v>
      </c>
      <c r="L4096" s="77">
        <f>IFERROR(VLOOKUP(DESPESAS[[#This Row],[Plano de Contas]],BASE!$B$3:$H$119,6,FALSE),"")</f>
        <v>0</v>
      </c>
      <c r="M4096" s="77" t="str">
        <f>VLOOKUP(DESPESAS[[#This Row],[Plano de Contas]],BASE!$B$3:$H$119,7,FALSE)</f>
        <v>MYLENA</v>
      </c>
    </row>
    <row r="4097" spans="1:13" x14ac:dyDescent="0.25">
      <c r="A4097" s="74">
        <v>201568</v>
      </c>
      <c r="B4097" s="75" t="s">
        <v>221</v>
      </c>
      <c r="C4097" s="75" t="s">
        <v>3959</v>
      </c>
      <c r="D4097" s="76">
        <v>46153</v>
      </c>
      <c r="E4097" s="75" t="s">
        <v>442</v>
      </c>
      <c r="F4097" s="74">
        <v>2020</v>
      </c>
      <c r="G4097" s="75" t="s">
        <v>262</v>
      </c>
      <c r="H4097" s="77" t="str">
        <f>VLOOKUP(DESPESAS[[#This Row],[Plano de Contas]],BASE!$B$3:$D$119,3,FALSE)</f>
        <v>Fretes Karams</v>
      </c>
      <c r="I4097" s="77" t="str">
        <f>IFERROR(VLOOKUP(DESPESAS[[#This Row],[Fornecedor]],Tabela2[],2,FALSE),"")</f>
        <v/>
      </c>
      <c r="J4097" s="77" t="str">
        <f>IFERROR(VLOOKUP(DESPESAS[[#This Row],[Plano de Contas]],BASE!$B$3:$F$119,4,FALSE),"")</f>
        <v>6 - DESPESA COM VENDAS</v>
      </c>
      <c r="K4097" s="77" t="str">
        <f>IFERROR(VLOOKUP(DESPESAS[[#This Row],[Plano de Contas]],BASE!$B$3:$H$119,5,FALSE),"")</f>
        <v>LOGÍSTICA</v>
      </c>
      <c r="L4097" s="77">
        <f>IFERROR(VLOOKUP(DESPESAS[[#This Row],[Plano de Contas]],BASE!$B$3:$H$119,6,FALSE),"")</f>
        <v>0</v>
      </c>
      <c r="M4097" s="77" t="str">
        <f>VLOOKUP(DESPESAS[[#This Row],[Plano de Contas]],BASE!$B$3:$H$119,7,FALSE)</f>
        <v>MYLENA</v>
      </c>
    </row>
    <row r="4098" spans="1:13" x14ac:dyDescent="0.25">
      <c r="A4098" s="74">
        <v>201569</v>
      </c>
      <c r="B4098" s="75" t="s">
        <v>221</v>
      </c>
      <c r="C4098" s="75" t="s">
        <v>3960</v>
      </c>
      <c r="D4098" s="76">
        <v>46153</v>
      </c>
      <c r="E4098" s="75" t="s">
        <v>242</v>
      </c>
      <c r="F4098" s="74">
        <v>3378.45</v>
      </c>
      <c r="G4098" s="75" t="s">
        <v>241</v>
      </c>
      <c r="H4098" s="77" t="str">
        <f>VLOOKUP(DESPESAS[[#This Row],[Plano de Contas]],BASE!$B$3:$D$119,3,FALSE)</f>
        <v>Combustiveis Frota</v>
      </c>
      <c r="I4098" s="77" t="str">
        <f>IFERROR(VLOOKUP(DESPESAS[[#This Row],[Fornecedor]],Tabela2[],2,FALSE),"")</f>
        <v/>
      </c>
      <c r="J4098" s="77" t="str">
        <f>IFERROR(VLOOKUP(DESPESAS[[#This Row],[Plano de Contas]],BASE!$B$3:$F$119,4,FALSE),"")</f>
        <v>6 - DESPESA COM VENDAS</v>
      </c>
      <c r="K4098" s="77" t="str">
        <f>IFERROR(VLOOKUP(DESPESAS[[#This Row],[Plano de Contas]],BASE!$B$3:$H$119,5,FALSE),"")</f>
        <v>LOGÍSTICA</v>
      </c>
      <c r="L4098" s="77">
        <f>IFERROR(VLOOKUP(DESPESAS[[#This Row],[Plano de Contas]],BASE!$B$3:$H$119,6,FALSE),"")</f>
        <v>0</v>
      </c>
      <c r="M4098" s="77" t="str">
        <f>VLOOKUP(DESPESAS[[#This Row],[Plano de Contas]],BASE!$B$3:$H$119,7,FALSE)</f>
        <v>MYLENA</v>
      </c>
    </row>
    <row r="4099" spans="1:13" x14ac:dyDescent="0.25">
      <c r="A4099" s="74">
        <v>201570</v>
      </c>
      <c r="B4099" s="75" t="s">
        <v>221</v>
      </c>
      <c r="C4099" s="75" t="s">
        <v>3961</v>
      </c>
      <c r="D4099" s="76">
        <v>46153</v>
      </c>
      <c r="E4099" s="75" t="s">
        <v>413</v>
      </c>
      <c r="F4099" s="74">
        <v>1743</v>
      </c>
      <c r="G4099" s="75" t="s">
        <v>262</v>
      </c>
      <c r="H4099" s="77" t="str">
        <f>VLOOKUP(DESPESAS[[#This Row],[Plano de Contas]],BASE!$B$3:$D$119,3,FALSE)</f>
        <v>Fretes Karams</v>
      </c>
      <c r="I4099" s="77" t="str">
        <f>IFERROR(VLOOKUP(DESPESAS[[#This Row],[Fornecedor]],Tabela2[],2,FALSE),"")</f>
        <v/>
      </c>
      <c r="J4099" s="77" t="str">
        <f>IFERROR(VLOOKUP(DESPESAS[[#This Row],[Plano de Contas]],BASE!$B$3:$F$119,4,FALSE),"")</f>
        <v>6 - DESPESA COM VENDAS</v>
      </c>
      <c r="K4099" s="77" t="str">
        <f>IFERROR(VLOOKUP(DESPESAS[[#This Row],[Plano de Contas]],BASE!$B$3:$H$119,5,FALSE),"")</f>
        <v>LOGÍSTICA</v>
      </c>
      <c r="L4099" s="77">
        <f>IFERROR(VLOOKUP(DESPESAS[[#This Row],[Plano de Contas]],BASE!$B$3:$H$119,6,FALSE),"")</f>
        <v>0</v>
      </c>
      <c r="M4099" s="77" t="str">
        <f>VLOOKUP(DESPESAS[[#This Row],[Plano de Contas]],BASE!$B$3:$H$119,7,FALSE)</f>
        <v>MYLENA</v>
      </c>
    </row>
    <row r="4100" spans="1:13" x14ac:dyDescent="0.25">
      <c r="A4100" s="74">
        <v>201571</v>
      </c>
      <c r="B4100" s="75" t="s">
        <v>221</v>
      </c>
      <c r="C4100" s="75" t="s">
        <v>3962</v>
      </c>
      <c r="D4100" s="76">
        <v>46153</v>
      </c>
      <c r="E4100" s="75" t="s">
        <v>242</v>
      </c>
      <c r="F4100" s="74">
        <v>2932.7</v>
      </c>
      <c r="G4100" s="75" t="s">
        <v>241</v>
      </c>
      <c r="H4100" s="77" t="str">
        <f>VLOOKUP(DESPESAS[[#This Row],[Plano de Contas]],BASE!$B$3:$D$119,3,FALSE)</f>
        <v>Combustiveis Frota</v>
      </c>
      <c r="I4100" s="77" t="str">
        <f>IFERROR(VLOOKUP(DESPESAS[[#This Row],[Fornecedor]],Tabela2[],2,FALSE),"")</f>
        <v/>
      </c>
      <c r="J4100" s="77" t="str">
        <f>IFERROR(VLOOKUP(DESPESAS[[#This Row],[Plano de Contas]],BASE!$B$3:$F$119,4,FALSE),"")</f>
        <v>6 - DESPESA COM VENDAS</v>
      </c>
      <c r="K4100" s="77" t="str">
        <f>IFERROR(VLOOKUP(DESPESAS[[#This Row],[Plano de Contas]],BASE!$B$3:$H$119,5,FALSE),"")</f>
        <v>LOGÍSTICA</v>
      </c>
      <c r="L4100" s="77">
        <f>IFERROR(VLOOKUP(DESPESAS[[#This Row],[Plano de Contas]],BASE!$B$3:$H$119,6,FALSE),"")</f>
        <v>0</v>
      </c>
      <c r="M4100" s="77" t="str">
        <f>VLOOKUP(DESPESAS[[#This Row],[Plano de Contas]],BASE!$B$3:$H$119,7,FALSE)</f>
        <v>MYLENA</v>
      </c>
    </row>
    <row r="4101" spans="1:13" x14ac:dyDescent="0.25">
      <c r="A4101" s="74">
        <v>201572</v>
      </c>
      <c r="B4101" s="75" t="s">
        <v>232</v>
      </c>
      <c r="C4101" s="75" t="s">
        <v>3963</v>
      </c>
      <c r="D4101" s="76">
        <v>46153</v>
      </c>
      <c r="E4101" s="75" t="s">
        <v>391</v>
      </c>
      <c r="F4101" s="74">
        <v>999.6</v>
      </c>
      <c r="G4101" s="75" t="s">
        <v>241</v>
      </c>
      <c r="H4101" s="77" t="str">
        <f>VLOOKUP(DESPESAS[[#This Row],[Plano de Contas]],BASE!$B$3:$D$119,3,FALSE)</f>
        <v>Combustiveis Frota</v>
      </c>
      <c r="I4101" s="77" t="str">
        <f>IFERROR(VLOOKUP(DESPESAS[[#This Row],[Fornecedor]],Tabela2[],2,FALSE),"")</f>
        <v/>
      </c>
      <c r="J4101" s="77" t="str">
        <f>IFERROR(VLOOKUP(DESPESAS[[#This Row],[Plano de Contas]],BASE!$B$3:$F$119,4,FALSE),"")</f>
        <v>6 - DESPESA COM VENDAS</v>
      </c>
      <c r="K4101" s="77" t="str">
        <f>IFERROR(VLOOKUP(DESPESAS[[#This Row],[Plano de Contas]],BASE!$B$3:$H$119,5,FALSE),"")</f>
        <v>LOGÍSTICA</v>
      </c>
      <c r="L4101" s="77">
        <f>IFERROR(VLOOKUP(DESPESAS[[#This Row],[Plano de Contas]],BASE!$B$3:$H$119,6,FALSE),"")</f>
        <v>0</v>
      </c>
      <c r="M4101" s="77" t="str">
        <f>VLOOKUP(DESPESAS[[#This Row],[Plano de Contas]],BASE!$B$3:$H$119,7,FALSE)</f>
        <v>MYLENA</v>
      </c>
    </row>
    <row r="4102" spans="1:13" x14ac:dyDescent="0.25">
      <c r="A4102" s="74">
        <v>201573</v>
      </c>
      <c r="B4102" s="75" t="s">
        <v>232</v>
      </c>
      <c r="C4102" s="75" t="s">
        <v>3964</v>
      </c>
      <c r="D4102" s="76">
        <v>46153</v>
      </c>
      <c r="E4102" s="75" t="s">
        <v>394</v>
      </c>
      <c r="F4102" s="74">
        <v>1162.1300000000001</v>
      </c>
      <c r="G4102" s="75" t="s">
        <v>241</v>
      </c>
      <c r="H4102" s="77" t="str">
        <f>VLOOKUP(DESPESAS[[#This Row],[Plano de Contas]],BASE!$B$3:$D$119,3,FALSE)</f>
        <v>Combustiveis Frota</v>
      </c>
      <c r="I4102" s="77" t="str">
        <f>IFERROR(VLOOKUP(DESPESAS[[#This Row],[Fornecedor]],Tabela2[],2,FALSE),"")</f>
        <v/>
      </c>
      <c r="J4102" s="77" t="str">
        <f>IFERROR(VLOOKUP(DESPESAS[[#This Row],[Plano de Contas]],BASE!$B$3:$F$119,4,FALSE),"")</f>
        <v>6 - DESPESA COM VENDAS</v>
      </c>
      <c r="K4102" s="77" t="str">
        <f>IFERROR(VLOOKUP(DESPESAS[[#This Row],[Plano de Contas]],BASE!$B$3:$H$119,5,FALSE),"")</f>
        <v>LOGÍSTICA</v>
      </c>
      <c r="L4102" s="77">
        <f>IFERROR(VLOOKUP(DESPESAS[[#This Row],[Plano de Contas]],BASE!$B$3:$H$119,6,FALSE),"")</f>
        <v>0</v>
      </c>
      <c r="M4102" s="77" t="str">
        <f>VLOOKUP(DESPESAS[[#This Row],[Plano de Contas]],BASE!$B$3:$H$119,7,FALSE)</f>
        <v>MYLENA</v>
      </c>
    </row>
    <row r="4103" spans="1:13" x14ac:dyDescent="0.25">
      <c r="A4103" s="74">
        <v>201574</v>
      </c>
      <c r="B4103" s="75" t="s">
        <v>232</v>
      </c>
      <c r="C4103" s="75" t="s">
        <v>3965</v>
      </c>
      <c r="D4103" s="76">
        <v>46153</v>
      </c>
      <c r="E4103" s="75" t="s">
        <v>391</v>
      </c>
      <c r="F4103" s="74">
        <v>71.28</v>
      </c>
      <c r="G4103" s="75" t="s">
        <v>241</v>
      </c>
      <c r="H4103" s="77" t="str">
        <f>VLOOKUP(DESPESAS[[#This Row],[Plano de Contas]],BASE!$B$3:$D$119,3,FALSE)</f>
        <v>Combustiveis Frota</v>
      </c>
      <c r="I4103" s="77" t="str">
        <f>IFERROR(VLOOKUP(DESPESAS[[#This Row],[Fornecedor]],Tabela2[],2,FALSE),"")</f>
        <v/>
      </c>
      <c r="J4103" s="77" t="str">
        <f>IFERROR(VLOOKUP(DESPESAS[[#This Row],[Plano de Contas]],BASE!$B$3:$F$119,4,FALSE),"")</f>
        <v>6 - DESPESA COM VENDAS</v>
      </c>
      <c r="K4103" s="77" t="str">
        <f>IFERROR(VLOOKUP(DESPESAS[[#This Row],[Plano de Contas]],BASE!$B$3:$H$119,5,FALSE),"")</f>
        <v>LOGÍSTICA</v>
      </c>
      <c r="L4103" s="77">
        <f>IFERROR(VLOOKUP(DESPESAS[[#This Row],[Plano de Contas]],BASE!$B$3:$H$119,6,FALSE),"")</f>
        <v>0</v>
      </c>
      <c r="M4103" s="77" t="str">
        <f>VLOOKUP(DESPESAS[[#This Row],[Plano de Contas]],BASE!$B$3:$H$119,7,FALSE)</f>
        <v>MYLENA</v>
      </c>
    </row>
    <row r="4104" spans="1:13" x14ac:dyDescent="0.25">
      <c r="A4104" s="74">
        <v>201575</v>
      </c>
      <c r="B4104" s="75" t="s">
        <v>232</v>
      </c>
      <c r="C4104" s="75" t="s">
        <v>3718</v>
      </c>
      <c r="D4104" s="76">
        <v>46153</v>
      </c>
      <c r="E4104" s="75" t="s">
        <v>1063</v>
      </c>
      <c r="F4104" s="74">
        <v>110.77</v>
      </c>
      <c r="G4104" s="75" t="s">
        <v>241</v>
      </c>
      <c r="H4104" s="77" t="str">
        <f>VLOOKUP(DESPESAS[[#This Row],[Plano de Contas]],BASE!$B$3:$D$119,3,FALSE)</f>
        <v>Combustiveis Frota</v>
      </c>
      <c r="I4104" s="77" t="str">
        <f>IFERROR(VLOOKUP(DESPESAS[[#This Row],[Fornecedor]],Tabela2[],2,FALSE),"")</f>
        <v/>
      </c>
      <c r="J4104" s="77" t="str">
        <f>IFERROR(VLOOKUP(DESPESAS[[#This Row],[Plano de Contas]],BASE!$B$3:$F$119,4,FALSE),"")</f>
        <v>6 - DESPESA COM VENDAS</v>
      </c>
      <c r="K4104" s="77" t="str">
        <f>IFERROR(VLOOKUP(DESPESAS[[#This Row],[Plano de Contas]],BASE!$B$3:$H$119,5,FALSE),"")</f>
        <v>LOGÍSTICA</v>
      </c>
      <c r="L4104" s="77">
        <f>IFERROR(VLOOKUP(DESPESAS[[#This Row],[Plano de Contas]],BASE!$B$3:$H$119,6,FALSE),"")</f>
        <v>0</v>
      </c>
      <c r="M4104" s="77" t="str">
        <f>VLOOKUP(DESPESAS[[#This Row],[Plano de Contas]],BASE!$B$3:$H$119,7,FALSE)</f>
        <v>MYLENA</v>
      </c>
    </row>
    <row r="4105" spans="1:13" x14ac:dyDescent="0.25">
      <c r="A4105" s="74">
        <v>201576</v>
      </c>
      <c r="B4105" s="75" t="s">
        <v>232</v>
      </c>
      <c r="C4105" s="75" t="s">
        <v>3966</v>
      </c>
      <c r="D4105" s="76">
        <v>46142</v>
      </c>
      <c r="E4105" s="75" t="s">
        <v>540</v>
      </c>
      <c r="F4105" s="74">
        <v>24283.41</v>
      </c>
      <c r="G4105" s="75" t="s">
        <v>539</v>
      </c>
      <c r="H4105" s="77" t="str">
        <f>VLOOKUP(DESPESAS[[#This Row],[Plano de Contas]],BASE!$B$3:$D$119,3,FALSE)</f>
        <v>Royalties</v>
      </c>
      <c r="I4105" s="77" t="str">
        <f>IFERROR(VLOOKUP(DESPESAS[[#This Row],[Fornecedor]],Tabela2[],2,FALSE),"")</f>
        <v/>
      </c>
      <c r="J4105" s="77" t="str">
        <f>IFERROR(VLOOKUP(DESPESAS[[#This Row],[Plano de Contas]],BASE!$B$3:$F$119,4,FALSE),"")</f>
        <v>6 - DESPESA COM VENDAS</v>
      </c>
      <c r="K4105" s="77" t="str">
        <f>IFERROR(VLOOKUP(DESPESAS[[#This Row],[Plano de Contas]],BASE!$B$3:$H$119,5,FALSE),"")</f>
        <v>COMERCIAL</v>
      </c>
      <c r="L4105" s="77">
        <f>IFERROR(VLOOKUP(DESPESAS[[#This Row],[Plano de Contas]],BASE!$B$3:$H$119,6,FALSE),"")</f>
        <v>0</v>
      </c>
      <c r="M4105" s="77" t="str">
        <f>VLOOKUP(DESPESAS[[#This Row],[Plano de Contas]],BASE!$B$3:$H$119,7,FALSE)</f>
        <v>LETÍCIA</v>
      </c>
    </row>
    <row r="4106" spans="1:13" x14ac:dyDescent="0.25">
      <c r="A4106" s="74">
        <v>201578</v>
      </c>
      <c r="B4106" s="75" t="s">
        <v>232</v>
      </c>
      <c r="C4106" s="75" t="s">
        <v>3966</v>
      </c>
      <c r="D4106" s="76">
        <v>46142</v>
      </c>
      <c r="E4106" s="75" t="s">
        <v>796</v>
      </c>
      <c r="F4106" s="74">
        <v>17.55</v>
      </c>
      <c r="G4106" s="75" t="s">
        <v>539</v>
      </c>
      <c r="H4106" s="77" t="str">
        <f>VLOOKUP(DESPESAS[[#This Row],[Plano de Contas]],BASE!$B$3:$D$119,3,FALSE)</f>
        <v>Royalties</v>
      </c>
      <c r="I4106" s="77" t="str">
        <f>IFERROR(VLOOKUP(DESPESAS[[#This Row],[Fornecedor]],Tabela2[],2,FALSE),"")</f>
        <v/>
      </c>
      <c r="J4106" s="77" t="str">
        <f>IFERROR(VLOOKUP(DESPESAS[[#This Row],[Plano de Contas]],BASE!$B$3:$F$119,4,FALSE),"")</f>
        <v>6 - DESPESA COM VENDAS</v>
      </c>
      <c r="K4106" s="77" t="str">
        <f>IFERROR(VLOOKUP(DESPESAS[[#This Row],[Plano de Contas]],BASE!$B$3:$H$119,5,FALSE),"")</f>
        <v>COMERCIAL</v>
      </c>
      <c r="L4106" s="77">
        <f>IFERROR(VLOOKUP(DESPESAS[[#This Row],[Plano de Contas]],BASE!$B$3:$H$119,6,FALSE),"")</f>
        <v>0</v>
      </c>
      <c r="M4106" s="77" t="str">
        <f>VLOOKUP(DESPESAS[[#This Row],[Plano de Contas]],BASE!$B$3:$H$119,7,FALSE)</f>
        <v>LETÍCIA</v>
      </c>
    </row>
    <row r="4107" spans="1:13" x14ac:dyDescent="0.25">
      <c r="A4107" s="74">
        <v>201579</v>
      </c>
      <c r="B4107" s="75" t="s">
        <v>232</v>
      </c>
      <c r="C4107" s="75" t="s">
        <v>3966</v>
      </c>
      <c r="D4107" s="76">
        <v>46142</v>
      </c>
      <c r="E4107" s="75" t="s">
        <v>795</v>
      </c>
      <c r="F4107" s="74">
        <v>10654.87</v>
      </c>
      <c r="G4107" s="75" t="s">
        <v>539</v>
      </c>
      <c r="H4107" s="77" t="str">
        <f>VLOOKUP(DESPESAS[[#This Row],[Plano de Contas]],BASE!$B$3:$D$119,3,FALSE)</f>
        <v>Royalties</v>
      </c>
      <c r="I4107" s="77" t="str">
        <f>IFERROR(VLOOKUP(DESPESAS[[#This Row],[Fornecedor]],Tabela2[],2,FALSE),"")</f>
        <v/>
      </c>
      <c r="J4107" s="77" t="str">
        <f>IFERROR(VLOOKUP(DESPESAS[[#This Row],[Plano de Contas]],BASE!$B$3:$F$119,4,FALSE),"")</f>
        <v>6 - DESPESA COM VENDAS</v>
      </c>
      <c r="K4107" s="77" t="str">
        <f>IFERROR(VLOOKUP(DESPESAS[[#This Row],[Plano de Contas]],BASE!$B$3:$H$119,5,FALSE),"")</f>
        <v>COMERCIAL</v>
      </c>
      <c r="L4107" s="77">
        <f>IFERROR(VLOOKUP(DESPESAS[[#This Row],[Plano de Contas]],BASE!$B$3:$H$119,6,FALSE),"")</f>
        <v>0</v>
      </c>
      <c r="M4107" s="77" t="str">
        <f>VLOOKUP(DESPESAS[[#This Row],[Plano de Contas]],BASE!$B$3:$H$119,7,FALSE)</f>
        <v>LETÍCIA</v>
      </c>
    </row>
    <row r="4108" spans="1:13" x14ac:dyDescent="0.25">
      <c r="A4108" s="74">
        <v>201580</v>
      </c>
      <c r="B4108" s="75" t="s">
        <v>232</v>
      </c>
      <c r="C4108" s="75" t="s">
        <v>3966</v>
      </c>
      <c r="D4108" s="76">
        <v>46142</v>
      </c>
      <c r="E4108" s="75" t="s">
        <v>800</v>
      </c>
      <c r="F4108" s="74">
        <v>176.85</v>
      </c>
      <c r="G4108" s="75" t="s">
        <v>539</v>
      </c>
      <c r="H4108" s="77" t="str">
        <f>VLOOKUP(DESPESAS[[#This Row],[Plano de Contas]],BASE!$B$3:$D$119,3,FALSE)</f>
        <v>Royalties</v>
      </c>
      <c r="I4108" s="77" t="str">
        <f>IFERROR(VLOOKUP(DESPESAS[[#This Row],[Fornecedor]],Tabela2[],2,FALSE),"")</f>
        <v/>
      </c>
      <c r="J4108" s="77" t="str">
        <f>IFERROR(VLOOKUP(DESPESAS[[#This Row],[Plano de Contas]],BASE!$B$3:$F$119,4,FALSE),"")</f>
        <v>6 - DESPESA COM VENDAS</v>
      </c>
      <c r="K4108" s="77" t="str">
        <f>IFERROR(VLOOKUP(DESPESAS[[#This Row],[Plano de Contas]],BASE!$B$3:$H$119,5,FALSE),"")</f>
        <v>COMERCIAL</v>
      </c>
      <c r="L4108" s="77">
        <f>IFERROR(VLOOKUP(DESPESAS[[#This Row],[Plano de Contas]],BASE!$B$3:$H$119,6,FALSE),"")</f>
        <v>0</v>
      </c>
      <c r="M4108" s="77" t="str">
        <f>VLOOKUP(DESPESAS[[#This Row],[Plano de Contas]],BASE!$B$3:$H$119,7,FALSE)</f>
        <v>LETÍCIA</v>
      </c>
    </row>
    <row r="4109" spans="1:13" x14ac:dyDescent="0.25">
      <c r="A4109" s="74">
        <v>201581</v>
      </c>
      <c r="B4109" s="75" t="s">
        <v>232</v>
      </c>
      <c r="C4109" s="75" t="s">
        <v>3966</v>
      </c>
      <c r="D4109" s="76">
        <v>46142</v>
      </c>
      <c r="E4109" s="75" t="s">
        <v>798</v>
      </c>
      <c r="F4109" s="74">
        <v>342.65</v>
      </c>
      <c r="G4109" s="75" t="s">
        <v>539</v>
      </c>
      <c r="H4109" s="77" t="str">
        <f>VLOOKUP(DESPESAS[[#This Row],[Plano de Contas]],BASE!$B$3:$D$119,3,FALSE)</f>
        <v>Royalties</v>
      </c>
      <c r="I4109" s="77" t="str">
        <f>IFERROR(VLOOKUP(DESPESAS[[#This Row],[Fornecedor]],Tabela2[],2,FALSE),"")</f>
        <v/>
      </c>
      <c r="J4109" s="77" t="str">
        <f>IFERROR(VLOOKUP(DESPESAS[[#This Row],[Plano de Contas]],BASE!$B$3:$F$119,4,FALSE),"")</f>
        <v>6 - DESPESA COM VENDAS</v>
      </c>
      <c r="K4109" s="77" t="str">
        <f>IFERROR(VLOOKUP(DESPESAS[[#This Row],[Plano de Contas]],BASE!$B$3:$H$119,5,FALSE),"")</f>
        <v>COMERCIAL</v>
      </c>
      <c r="L4109" s="77">
        <f>IFERROR(VLOOKUP(DESPESAS[[#This Row],[Plano de Contas]],BASE!$B$3:$H$119,6,FALSE),"")</f>
        <v>0</v>
      </c>
      <c r="M4109" s="77" t="str">
        <f>VLOOKUP(DESPESAS[[#This Row],[Plano de Contas]],BASE!$B$3:$H$119,7,FALSE)</f>
        <v>LETÍCIA</v>
      </c>
    </row>
    <row r="4110" spans="1:13" x14ac:dyDescent="0.25">
      <c r="A4110" s="74">
        <v>201582</v>
      </c>
      <c r="B4110" s="75" t="s">
        <v>232</v>
      </c>
      <c r="C4110" s="75" t="s">
        <v>3966</v>
      </c>
      <c r="D4110" s="76">
        <v>46142</v>
      </c>
      <c r="E4110" s="75" t="s">
        <v>797</v>
      </c>
      <c r="F4110" s="74">
        <v>3752.44</v>
      </c>
      <c r="G4110" s="75" t="s">
        <v>539</v>
      </c>
      <c r="H4110" s="77" t="str">
        <f>VLOOKUP(DESPESAS[[#This Row],[Plano de Contas]],BASE!$B$3:$D$119,3,FALSE)</f>
        <v>Royalties</v>
      </c>
      <c r="I4110" s="77" t="str">
        <f>IFERROR(VLOOKUP(DESPESAS[[#This Row],[Fornecedor]],Tabela2[],2,FALSE),"")</f>
        <v/>
      </c>
      <c r="J4110" s="77" t="str">
        <f>IFERROR(VLOOKUP(DESPESAS[[#This Row],[Plano de Contas]],BASE!$B$3:$F$119,4,FALSE),"")</f>
        <v>6 - DESPESA COM VENDAS</v>
      </c>
      <c r="K4110" s="77" t="str">
        <f>IFERROR(VLOOKUP(DESPESAS[[#This Row],[Plano de Contas]],BASE!$B$3:$H$119,5,FALSE),"")</f>
        <v>COMERCIAL</v>
      </c>
      <c r="L4110" s="77">
        <f>IFERROR(VLOOKUP(DESPESAS[[#This Row],[Plano de Contas]],BASE!$B$3:$H$119,6,FALSE),"")</f>
        <v>0</v>
      </c>
      <c r="M4110" s="77" t="str">
        <f>VLOOKUP(DESPESAS[[#This Row],[Plano de Contas]],BASE!$B$3:$H$119,7,FALSE)</f>
        <v>LETÍCIA</v>
      </c>
    </row>
    <row r="4111" spans="1:13" x14ac:dyDescent="0.25">
      <c r="A4111" s="74">
        <v>201583</v>
      </c>
      <c r="B4111" s="75" t="s">
        <v>232</v>
      </c>
      <c r="C4111" s="75" t="s">
        <v>3966</v>
      </c>
      <c r="D4111" s="76">
        <v>46142</v>
      </c>
      <c r="E4111" s="75" t="s">
        <v>1644</v>
      </c>
      <c r="F4111" s="74">
        <v>418.09</v>
      </c>
      <c r="G4111" s="75" t="s">
        <v>539</v>
      </c>
      <c r="H4111" s="77" t="str">
        <f>VLOOKUP(DESPESAS[[#This Row],[Plano de Contas]],BASE!$B$3:$D$119,3,FALSE)</f>
        <v>Royalties</v>
      </c>
      <c r="I4111" s="77" t="str">
        <f>IFERROR(VLOOKUP(DESPESAS[[#This Row],[Fornecedor]],Tabela2[],2,FALSE),"")</f>
        <v/>
      </c>
      <c r="J4111" s="77" t="str">
        <f>IFERROR(VLOOKUP(DESPESAS[[#This Row],[Plano de Contas]],BASE!$B$3:$F$119,4,FALSE),"")</f>
        <v>6 - DESPESA COM VENDAS</v>
      </c>
      <c r="K4111" s="77" t="str">
        <f>IFERROR(VLOOKUP(DESPESAS[[#This Row],[Plano de Contas]],BASE!$B$3:$H$119,5,FALSE),"")</f>
        <v>COMERCIAL</v>
      </c>
      <c r="L4111" s="77">
        <f>IFERROR(VLOOKUP(DESPESAS[[#This Row],[Plano de Contas]],BASE!$B$3:$H$119,6,FALSE),"")</f>
        <v>0</v>
      </c>
      <c r="M4111" s="77" t="str">
        <f>VLOOKUP(DESPESAS[[#This Row],[Plano de Contas]],BASE!$B$3:$H$119,7,FALSE)</f>
        <v>LETÍCIA</v>
      </c>
    </row>
    <row r="4112" spans="1:13" x14ac:dyDescent="0.25">
      <c r="A4112" s="74">
        <v>201584</v>
      </c>
      <c r="B4112" s="75" t="s">
        <v>232</v>
      </c>
      <c r="C4112" s="75" t="s">
        <v>3966</v>
      </c>
      <c r="D4112" s="76">
        <v>46142</v>
      </c>
      <c r="E4112" s="75" t="s">
        <v>793</v>
      </c>
      <c r="F4112" s="74">
        <v>1648.02</v>
      </c>
      <c r="G4112" s="75" t="s">
        <v>539</v>
      </c>
      <c r="H4112" s="77" t="str">
        <f>VLOOKUP(DESPESAS[[#This Row],[Plano de Contas]],BASE!$B$3:$D$119,3,FALSE)</f>
        <v>Royalties</v>
      </c>
      <c r="I4112" s="77" t="str">
        <f>IFERROR(VLOOKUP(DESPESAS[[#This Row],[Fornecedor]],Tabela2[],2,FALSE),"")</f>
        <v/>
      </c>
      <c r="J4112" s="77" t="str">
        <f>IFERROR(VLOOKUP(DESPESAS[[#This Row],[Plano de Contas]],BASE!$B$3:$F$119,4,FALSE),"")</f>
        <v>6 - DESPESA COM VENDAS</v>
      </c>
      <c r="K4112" s="77" t="str">
        <f>IFERROR(VLOOKUP(DESPESAS[[#This Row],[Plano de Contas]],BASE!$B$3:$H$119,5,FALSE),"")</f>
        <v>COMERCIAL</v>
      </c>
      <c r="L4112" s="77">
        <f>IFERROR(VLOOKUP(DESPESAS[[#This Row],[Plano de Contas]],BASE!$B$3:$H$119,6,FALSE),"")</f>
        <v>0</v>
      </c>
      <c r="M4112" s="77" t="str">
        <f>VLOOKUP(DESPESAS[[#This Row],[Plano de Contas]],BASE!$B$3:$H$119,7,FALSE)</f>
        <v>LETÍCIA</v>
      </c>
    </row>
    <row r="4113" spans="1:13" x14ac:dyDescent="0.25">
      <c r="A4113" s="74">
        <v>201585</v>
      </c>
      <c r="B4113" s="75" t="s">
        <v>232</v>
      </c>
      <c r="C4113" s="75" t="s">
        <v>3966</v>
      </c>
      <c r="D4113" s="76">
        <v>46142</v>
      </c>
      <c r="E4113" s="75" t="s">
        <v>794</v>
      </c>
      <c r="F4113" s="74">
        <v>3584.44</v>
      </c>
      <c r="G4113" s="75" t="s">
        <v>539</v>
      </c>
      <c r="H4113" s="77" t="str">
        <f>VLOOKUP(DESPESAS[[#This Row],[Plano de Contas]],BASE!$B$3:$D$119,3,FALSE)</f>
        <v>Royalties</v>
      </c>
      <c r="I4113" s="77" t="str">
        <f>IFERROR(VLOOKUP(DESPESAS[[#This Row],[Fornecedor]],Tabela2[],2,FALSE),"")</f>
        <v/>
      </c>
      <c r="J4113" s="77" t="str">
        <f>IFERROR(VLOOKUP(DESPESAS[[#This Row],[Plano de Contas]],BASE!$B$3:$F$119,4,FALSE),"")</f>
        <v>6 - DESPESA COM VENDAS</v>
      </c>
      <c r="K4113" s="77" t="str">
        <f>IFERROR(VLOOKUP(DESPESAS[[#This Row],[Plano de Contas]],BASE!$B$3:$H$119,5,FALSE),"")</f>
        <v>COMERCIAL</v>
      </c>
      <c r="L4113" s="77">
        <f>IFERROR(VLOOKUP(DESPESAS[[#This Row],[Plano de Contas]],BASE!$B$3:$H$119,6,FALSE),"")</f>
        <v>0</v>
      </c>
      <c r="M4113" s="77" t="str">
        <f>VLOOKUP(DESPESAS[[#This Row],[Plano de Contas]],BASE!$B$3:$H$119,7,FALSE)</f>
        <v>LETÍCIA</v>
      </c>
    </row>
    <row r="4114" spans="1:13" x14ac:dyDescent="0.25">
      <c r="A4114" s="74">
        <v>201586</v>
      </c>
      <c r="B4114" s="75" t="s">
        <v>232</v>
      </c>
      <c r="C4114" s="75" t="s">
        <v>3966</v>
      </c>
      <c r="D4114" s="76">
        <v>46142</v>
      </c>
      <c r="E4114" s="75" t="s">
        <v>792</v>
      </c>
      <c r="F4114" s="74">
        <v>691.81</v>
      </c>
      <c r="G4114" s="75" t="s">
        <v>539</v>
      </c>
      <c r="H4114" s="77" t="str">
        <f>VLOOKUP(DESPESAS[[#This Row],[Plano de Contas]],BASE!$B$3:$D$119,3,FALSE)</f>
        <v>Royalties</v>
      </c>
      <c r="I4114" s="77" t="str">
        <f>IFERROR(VLOOKUP(DESPESAS[[#This Row],[Fornecedor]],Tabela2[],2,FALSE),"")</f>
        <v/>
      </c>
      <c r="J4114" s="77" t="str">
        <f>IFERROR(VLOOKUP(DESPESAS[[#This Row],[Plano de Contas]],BASE!$B$3:$F$119,4,FALSE),"")</f>
        <v>6 - DESPESA COM VENDAS</v>
      </c>
      <c r="K4114" s="77" t="str">
        <f>IFERROR(VLOOKUP(DESPESAS[[#This Row],[Plano de Contas]],BASE!$B$3:$H$119,5,FALSE),"")</f>
        <v>COMERCIAL</v>
      </c>
      <c r="L4114" s="77">
        <f>IFERROR(VLOOKUP(DESPESAS[[#This Row],[Plano de Contas]],BASE!$B$3:$H$119,6,FALSE),"")</f>
        <v>0</v>
      </c>
      <c r="M4114" s="77" t="str">
        <f>VLOOKUP(DESPESAS[[#This Row],[Plano de Contas]],BASE!$B$3:$H$119,7,FALSE)</f>
        <v>LETÍCIA</v>
      </c>
    </row>
    <row r="4115" spans="1:13" x14ac:dyDescent="0.25">
      <c r="A4115" s="74">
        <v>201587</v>
      </c>
      <c r="B4115" s="75" t="s">
        <v>279</v>
      </c>
      <c r="C4115" s="75" t="s">
        <v>3966</v>
      </c>
      <c r="D4115" s="76">
        <v>46142</v>
      </c>
      <c r="E4115" s="75" t="s">
        <v>540</v>
      </c>
      <c r="F4115" s="74">
        <v>1103.1400000000001</v>
      </c>
      <c r="G4115" s="75" t="s">
        <v>539</v>
      </c>
      <c r="H4115" s="77" t="str">
        <f>VLOOKUP(DESPESAS[[#This Row],[Plano de Contas]],BASE!$B$3:$D$119,3,FALSE)</f>
        <v>Royalties</v>
      </c>
      <c r="I4115" s="77" t="str">
        <f>IFERROR(VLOOKUP(DESPESAS[[#This Row],[Fornecedor]],Tabela2[],2,FALSE),"")</f>
        <v/>
      </c>
      <c r="J4115" s="77" t="str">
        <f>IFERROR(VLOOKUP(DESPESAS[[#This Row],[Plano de Contas]],BASE!$B$3:$F$119,4,FALSE),"")</f>
        <v>6 - DESPESA COM VENDAS</v>
      </c>
      <c r="K4115" s="77" t="str">
        <f>IFERROR(VLOOKUP(DESPESAS[[#This Row],[Plano de Contas]],BASE!$B$3:$H$119,5,FALSE),"")</f>
        <v>COMERCIAL</v>
      </c>
      <c r="L4115" s="77">
        <f>IFERROR(VLOOKUP(DESPESAS[[#This Row],[Plano de Contas]],BASE!$B$3:$H$119,6,FALSE),"")</f>
        <v>0</v>
      </c>
      <c r="M4115" s="77" t="str">
        <f>VLOOKUP(DESPESAS[[#This Row],[Plano de Contas]],BASE!$B$3:$H$119,7,FALSE)</f>
        <v>LETÍCIA</v>
      </c>
    </row>
    <row r="4116" spans="1:13" x14ac:dyDescent="0.25">
      <c r="A4116" s="74">
        <v>201588</v>
      </c>
      <c r="B4116" s="75" t="s">
        <v>279</v>
      </c>
      <c r="C4116" s="75" t="s">
        <v>3966</v>
      </c>
      <c r="D4116" s="76">
        <v>46142</v>
      </c>
      <c r="E4116" s="75" t="s">
        <v>796</v>
      </c>
      <c r="F4116" s="74">
        <v>720.55</v>
      </c>
      <c r="G4116" s="75" t="s">
        <v>539</v>
      </c>
      <c r="H4116" s="77" t="str">
        <f>VLOOKUP(DESPESAS[[#This Row],[Plano de Contas]],BASE!$B$3:$D$119,3,FALSE)</f>
        <v>Royalties</v>
      </c>
      <c r="I4116" s="77" t="str">
        <f>IFERROR(VLOOKUP(DESPESAS[[#This Row],[Fornecedor]],Tabela2[],2,FALSE),"")</f>
        <v/>
      </c>
      <c r="J4116" s="77" t="str">
        <f>IFERROR(VLOOKUP(DESPESAS[[#This Row],[Plano de Contas]],BASE!$B$3:$F$119,4,FALSE),"")</f>
        <v>6 - DESPESA COM VENDAS</v>
      </c>
      <c r="K4116" s="77" t="str">
        <f>IFERROR(VLOOKUP(DESPESAS[[#This Row],[Plano de Contas]],BASE!$B$3:$H$119,5,FALSE),"")</f>
        <v>COMERCIAL</v>
      </c>
      <c r="L4116" s="77">
        <f>IFERROR(VLOOKUP(DESPESAS[[#This Row],[Plano de Contas]],BASE!$B$3:$H$119,6,FALSE),"")</f>
        <v>0</v>
      </c>
      <c r="M4116" s="77" t="str">
        <f>VLOOKUP(DESPESAS[[#This Row],[Plano de Contas]],BASE!$B$3:$H$119,7,FALSE)</f>
        <v>LETÍCIA</v>
      </c>
    </row>
    <row r="4117" spans="1:13" x14ac:dyDescent="0.25">
      <c r="A4117" s="74">
        <v>201589</v>
      </c>
      <c r="B4117" s="75" t="s">
        <v>279</v>
      </c>
      <c r="C4117" s="75" t="s">
        <v>3966</v>
      </c>
      <c r="D4117" s="76">
        <v>46142</v>
      </c>
      <c r="E4117" s="75" t="s">
        <v>795</v>
      </c>
      <c r="F4117" s="74">
        <v>846.25</v>
      </c>
      <c r="G4117" s="75" t="s">
        <v>539</v>
      </c>
      <c r="H4117" s="77" t="str">
        <f>VLOOKUP(DESPESAS[[#This Row],[Plano de Contas]],BASE!$B$3:$D$119,3,FALSE)</f>
        <v>Royalties</v>
      </c>
      <c r="I4117" s="77" t="str">
        <f>IFERROR(VLOOKUP(DESPESAS[[#This Row],[Fornecedor]],Tabela2[],2,FALSE),"")</f>
        <v/>
      </c>
      <c r="J4117" s="77" t="str">
        <f>IFERROR(VLOOKUP(DESPESAS[[#This Row],[Plano de Contas]],BASE!$B$3:$F$119,4,FALSE),"")</f>
        <v>6 - DESPESA COM VENDAS</v>
      </c>
      <c r="K4117" s="77" t="str">
        <f>IFERROR(VLOOKUP(DESPESAS[[#This Row],[Plano de Contas]],BASE!$B$3:$H$119,5,FALSE),"")</f>
        <v>COMERCIAL</v>
      </c>
      <c r="L4117" s="77">
        <f>IFERROR(VLOOKUP(DESPESAS[[#This Row],[Plano de Contas]],BASE!$B$3:$H$119,6,FALSE),"")</f>
        <v>0</v>
      </c>
      <c r="M4117" s="77" t="str">
        <f>VLOOKUP(DESPESAS[[#This Row],[Plano de Contas]],BASE!$B$3:$H$119,7,FALSE)</f>
        <v>LETÍCIA</v>
      </c>
    </row>
    <row r="4118" spans="1:13" x14ac:dyDescent="0.25">
      <c r="A4118" s="74">
        <v>201590</v>
      </c>
      <c r="B4118" s="75" t="s">
        <v>279</v>
      </c>
      <c r="C4118" s="75" t="s">
        <v>3966</v>
      </c>
      <c r="D4118" s="76">
        <v>46142</v>
      </c>
      <c r="E4118" s="75" t="s">
        <v>794</v>
      </c>
      <c r="F4118" s="74">
        <v>117.9</v>
      </c>
      <c r="G4118" s="75" t="s">
        <v>539</v>
      </c>
      <c r="H4118" s="77" t="str">
        <f>VLOOKUP(DESPESAS[[#This Row],[Plano de Contas]],BASE!$B$3:$D$119,3,FALSE)</f>
        <v>Royalties</v>
      </c>
      <c r="I4118" s="77" t="str">
        <f>IFERROR(VLOOKUP(DESPESAS[[#This Row],[Fornecedor]],Tabela2[],2,FALSE),"")</f>
        <v/>
      </c>
      <c r="J4118" s="77" t="str">
        <f>IFERROR(VLOOKUP(DESPESAS[[#This Row],[Plano de Contas]],BASE!$B$3:$F$119,4,FALSE),"")</f>
        <v>6 - DESPESA COM VENDAS</v>
      </c>
      <c r="K4118" s="77" t="str">
        <f>IFERROR(VLOOKUP(DESPESAS[[#This Row],[Plano de Contas]],BASE!$B$3:$H$119,5,FALSE),"")</f>
        <v>COMERCIAL</v>
      </c>
      <c r="L4118" s="77">
        <f>IFERROR(VLOOKUP(DESPESAS[[#This Row],[Plano de Contas]],BASE!$B$3:$H$119,6,FALSE),"")</f>
        <v>0</v>
      </c>
      <c r="M4118" s="77" t="str">
        <f>VLOOKUP(DESPESAS[[#This Row],[Plano de Contas]],BASE!$B$3:$H$119,7,FALSE)</f>
        <v>LETÍCIA</v>
      </c>
    </row>
    <row r="4119" spans="1:13" x14ac:dyDescent="0.25">
      <c r="A4119" s="74">
        <v>201592</v>
      </c>
      <c r="B4119" s="75" t="s">
        <v>281</v>
      </c>
      <c r="C4119" s="75" t="s">
        <v>3966</v>
      </c>
      <c r="D4119" s="76">
        <v>46142</v>
      </c>
      <c r="E4119" s="75" t="s">
        <v>540</v>
      </c>
      <c r="F4119" s="74">
        <v>1876.66</v>
      </c>
      <c r="G4119" s="75" t="s">
        <v>539</v>
      </c>
      <c r="H4119" s="77" t="str">
        <f>VLOOKUP(DESPESAS[[#This Row],[Plano de Contas]],BASE!$B$3:$D$119,3,FALSE)</f>
        <v>Royalties</v>
      </c>
      <c r="I4119" s="77" t="str">
        <f>IFERROR(VLOOKUP(DESPESAS[[#This Row],[Fornecedor]],Tabela2[],2,FALSE),"")</f>
        <v/>
      </c>
      <c r="J4119" s="77" t="str">
        <f>IFERROR(VLOOKUP(DESPESAS[[#This Row],[Plano de Contas]],BASE!$B$3:$F$119,4,FALSE),"")</f>
        <v>6 - DESPESA COM VENDAS</v>
      </c>
      <c r="K4119" s="77" t="str">
        <f>IFERROR(VLOOKUP(DESPESAS[[#This Row],[Plano de Contas]],BASE!$B$3:$H$119,5,FALSE),"")</f>
        <v>COMERCIAL</v>
      </c>
      <c r="L4119" s="77">
        <f>IFERROR(VLOOKUP(DESPESAS[[#This Row],[Plano de Contas]],BASE!$B$3:$H$119,6,FALSE),"")</f>
        <v>0</v>
      </c>
      <c r="M4119" s="77" t="str">
        <f>VLOOKUP(DESPESAS[[#This Row],[Plano de Contas]],BASE!$B$3:$H$119,7,FALSE)</f>
        <v>LETÍCIA</v>
      </c>
    </row>
    <row r="4120" spans="1:13" x14ac:dyDescent="0.25">
      <c r="A4120" s="74">
        <v>201593</v>
      </c>
      <c r="B4120" s="75" t="s">
        <v>281</v>
      </c>
      <c r="C4120" s="75" t="s">
        <v>3966</v>
      </c>
      <c r="D4120" s="76">
        <v>46142</v>
      </c>
      <c r="E4120" s="75" t="s">
        <v>795</v>
      </c>
      <c r="F4120" s="74">
        <v>427.01</v>
      </c>
      <c r="G4120" s="75" t="s">
        <v>539</v>
      </c>
      <c r="H4120" s="77" t="str">
        <f>VLOOKUP(DESPESAS[[#This Row],[Plano de Contas]],BASE!$B$3:$D$119,3,FALSE)</f>
        <v>Royalties</v>
      </c>
      <c r="I4120" s="77" t="str">
        <f>IFERROR(VLOOKUP(DESPESAS[[#This Row],[Fornecedor]],Tabela2[],2,FALSE),"")</f>
        <v/>
      </c>
      <c r="J4120" s="77" t="str">
        <f>IFERROR(VLOOKUP(DESPESAS[[#This Row],[Plano de Contas]],BASE!$B$3:$F$119,4,FALSE),"")</f>
        <v>6 - DESPESA COM VENDAS</v>
      </c>
      <c r="K4120" s="77" t="str">
        <f>IFERROR(VLOOKUP(DESPESAS[[#This Row],[Plano de Contas]],BASE!$B$3:$H$119,5,FALSE),"")</f>
        <v>COMERCIAL</v>
      </c>
      <c r="L4120" s="77">
        <f>IFERROR(VLOOKUP(DESPESAS[[#This Row],[Plano de Contas]],BASE!$B$3:$H$119,6,FALSE),"")</f>
        <v>0</v>
      </c>
      <c r="M4120" s="77" t="str">
        <f>VLOOKUP(DESPESAS[[#This Row],[Plano de Contas]],BASE!$B$3:$H$119,7,FALSE)</f>
        <v>LETÍCIA</v>
      </c>
    </row>
    <row r="4121" spans="1:13" x14ac:dyDescent="0.25">
      <c r="A4121" s="74">
        <v>201594</v>
      </c>
      <c r="B4121" s="75" t="s">
        <v>281</v>
      </c>
      <c r="C4121" s="75" t="s">
        <v>3966</v>
      </c>
      <c r="D4121" s="76">
        <v>46142</v>
      </c>
      <c r="E4121" s="75" t="s">
        <v>3967</v>
      </c>
      <c r="F4121" s="74">
        <v>1144.03</v>
      </c>
      <c r="G4121" s="75" t="s">
        <v>539</v>
      </c>
      <c r="H4121" s="77" t="str">
        <f>VLOOKUP(DESPESAS[[#This Row],[Plano de Contas]],BASE!$B$3:$D$119,3,FALSE)</f>
        <v>Royalties</v>
      </c>
      <c r="I4121" s="77" t="str">
        <f>IFERROR(VLOOKUP(DESPESAS[[#This Row],[Fornecedor]],Tabela2[],2,FALSE),"")</f>
        <v/>
      </c>
      <c r="J4121" s="77" t="str">
        <f>IFERROR(VLOOKUP(DESPESAS[[#This Row],[Plano de Contas]],BASE!$B$3:$F$119,4,FALSE),"")</f>
        <v>6 - DESPESA COM VENDAS</v>
      </c>
      <c r="K4121" s="77" t="str">
        <f>IFERROR(VLOOKUP(DESPESAS[[#This Row],[Plano de Contas]],BASE!$B$3:$H$119,5,FALSE),"")</f>
        <v>COMERCIAL</v>
      </c>
      <c r="L4121" s="77">
        <f>IFERROR(VLOOKUP(DESPESAS[[#This Row],[Plano de Contas]],BASE!$B$3:$H$119,6,FALSE),"")</f>
        <v>0</v>
      </c>
      <c r="M4121" s="77" t="str">
        <f>VLOOKUP(DESPESAS[[#This Row],[Plano de Contas]],BASE!$B$3:$H$119,7,FALSE)</f>
        <v>LETÍCIA</v>
      </c>
    </row>
    <row r="4122" spans="1:13" x14ac:dyDescent="0.25">
      <c r="A4122" s="74">
        <v>201595</v>
      </c>
      <c r="B4122" s="75" t="s">
        <v>281</v>
      </c>
      <c r="C4122" s="75" t="s">
        <v>3966</v>
      </c>
      <c r="D4122" s="76">
        <v>46142</v>
      </c>
      <c r="E4122" s="75" t="s">
        <v>797</v>
      </c>
      <c r="F4122" s="74">
        <v>4991.6000000000004</v>
      </c>
      <c r="G4122" s="75" t="s">
        <v>539</v>
      </c>
      <c r="H4122" s="77" t="str">
        <f>VLOOKUP(DESPESAS[[#This Row],[Plano de Contas]],BASE!$B$3:$D$119,3,FALSE)</f>
        <v>Royalties</v>
      </c>
      <c r="I4122" s="77" t="str">
        <f>IFERROR(VLOOKUP(DESPESAS[[#This Row],[Fornecedor]],Tabela2[],2,FALSE),"")</f>
        <v/>
      </c>
      <c r="J4122" s="77" t="str">
        <f>IFERROR(VLOOKUP(DESPESAS[[#This Row],[Plano de Contas]],BASE!$B$3:$F$119,4,FALSE),"")</f>
        <v>6 - DESPESA COM VENDAS</v>
      </c>
      <c r="K4122" s="77" t="str">
        <f>IFERROR(VLOOKUP(DESPESAS[[#This Row],[Plano de Contas]],BASE!$B$3:$H$119,5,FALSE),"")</f>
        <v>COMERCIAL</v>
      </c>
      <c r="L4122" s="77">
        <f>IFERROR(VLOOKUP(DESPESAS[[#This Row],[Plano de Contas]],BASE!$B$3:$H$119,6,FALSE),"")</f>
        <v>0</v>
      </c>
      <c r="M4122" s="77" t="str">
        <f>VLOOKUP(DESPESAS[[#This Row],[Plano de Contas]],BASE!$B$3:$H$119,7,FALSE)</f>
        <v>LETÍCIA</v>
      </c>
    </row>
    <row r="4123" spans="1:13" x14ac:dyDescent="0.25">
      <c r="A4123" s="74">
        <v>201596</v>
      </c>
      <c r="B4123" s="75" t="s">
        <v>281</v>
      </c>
      <c r="C4123" s="75" t="s">
        <v>3966</v>
      </c>
      <c r="D4123" s="76">
        <v>46142</v>
      </c>
      <c r="E4123" s="75" t="s">
        <v>3968</v>
      </c>
      <c r="F4123" s="74">
        <v>1036.8699999999999</v>
      </c>
      <c r="G4123" s="75" t="s">
        <v>539</v>
      </c>
      <c r="H4123" s="77" t="str">
        <f>VLOOKUP(DESPESAS[[#This Row],[Plano de Contas]],BASE!$B$3:$D$119,3,FALSE)</f>
        <v>Royalties</v>
      </c>
      <c r="I4123" s="77" t="str">
        <f>IFERROR(VLOOKUP(DESPESAS[[#This Row],[Fornecedor]],Tabela2[],2,FALSE),"")</f>
        <v/>
      </c>
      <c r="J4123" s="77" t="str">
        <f>IFERROR(VLOOKUP(DESPESAS[[#This Row],[Plano de Contas]],BASE!$B$3:$F$119,4,FALSE),"")</f>
        <v>6 - DESPESA COM VENDAS</v>
      </c>
      <c r="K4123" s="77" t="str">
        <f>IFERROR(VLOOKUP(DESPESAS[[#This Row],[Plano de Contas]],BASE!$B$3:$H$119,5,FALSE),"")</f>
        <v>COMERCIAL</v>
      </c>
      <c r="L4123" s="77">
        <f>IFERROR(VLOOKUP(DESPESAS[[#This Row],[Plano de Contas]],BASE!$B$3:$H$119,6,FALSE),"")</f>
        <v>0</v>
      </c>
      <c r="M4123" s="77" t="str">
        <f>VLOOKUP(DESPESAS[[#This Row],[Plano de Contas]],BASE!$B$3:$H$119,7,FALSE)</f>
        <v>LETÍCIA</v>
      </c>
    </row>
    <row r="4124" spans="1:13" x14ac:dyDescent="0.25">
      <c r="A4124" s="74">
        <v>201598</v>
      </c>
      <c r="B4124" s="75" t="s">
        <v>281</v>
      </c>
      <c r="C4124" s="75" t="s">
        <v>3969</v>
      </c>
      <c r="D4124" s="76">
        <v>46142</v>
      </c>
      <c r="E4124" s="75" t="s">
        <v>793</v>
      </c>
      <c r="F4124" s="74">
        <v>2744.85</v>
      </c>
      <c r="G4124" s="75" t="s">
        <v>539</v>
      </c>
      <c r="H4124" s="77" t="str">
        <f>VLOOKUP(DESPESAS[[#This Row],[Plano de Contas]],BASE!$B$3:$D$119,3,FALSE)</f>
        <v>Royalties</v>
      </c>
      <c r="I4124" s="77" t="str">
        <f>IFERROR(VLOOKUP(DESPESAS[[#This Row],[Fornecedor]],Tabela2[],2,FALSE),"")</f>
        <v/>
      </c>
      <c r="J4124" s="77" t="str">
        <f>IFERROR(VLOOKUP(DESPESAS[[#This Row],[Plano de Contas]],BASE!$B$3:$F$119,4,FALSE),"")</f>
        <v>6 - DESPESA COM VENDAS</v>
      </c>
      <c r="K4124" s="77" t="str">
        <f>IFERROR(VLOOKUP(DESPESAS[[#This Row],[Plano de Contas]],BASE!$B$3:$H$119,5,FALSE),"")</f>
        <v>COMERCIAL</v>
      </c>
      <c r="L4124" s="77">
        <f>IFERROR(VLOOKUP(DESPESAS[[#This Row],[Plano de Contas]],BASE!$B$3:$H$119,6,FALSE),"")</f>
        <v>0</v>
      </c>
      <c r="M4124" s="77" t="str">
        <f>VLOOKUP(DESPESAS[[#This Row],[Plano de Contas]],BASE!$B$3:$H$119,7,FALSE)</f>
        <v>LETÍCIA</v>
      </c>
    </row>
    <row r="4125" spans="1:13" x14ac:dyDescent="0.25">
      <c r="A4125" s="74">
        <v>201600</v>
      </c>
      <c r="B4125" s="75" t="s">
        <v>281</v>
      </c>
      <c r="C4125" s="75" t="s">
        <v>3966</v>
      </c>
      <c r="D4125" s="76">
        <v>46142</v>
      </c>
      <c r="E4125" s="75" t="s">
        <v>792</v>
      </c>
      <c r="F4125" s="74">
        <v>648.87</v>
      </c>
      <c r="G4125" s="75" t="s">
        <v>539</v>
      </c>
      <c r="H4125" s="77" t="str">
        <f>VLOOKUP(DESPESAS[[#This Row],[Plano de Contas]],BASE!$B$3:$D$119,3,FALSE)</f>
        <v>Royalties</v>
      </c>
      <c r="I4125" s="77" t="str">
        <f>IFERROR(VLOOKUP(DESPESAS[[#This Row],[Fornecedor]],Tabela2[],2,FALSE),"")</f>
        <v/>
      </c>
      <c r="J4125" s="77" t="str">
        <f>IFERROR(VLOOKUP(DESPESAS[[#This Row],[Plano de Contas]],BASE!$B$3:$F$119,4,FALSE),"")</f>
        <v>6 - DESPESA COM VENDAS</v>
      </c>
      <c r="K4125" s="77" t="str">
        <f>IFERROR(VLOOKUP(DESPESAS[[#This Row],[Plano de Contas]],BASE!$B$3:$H$119,5,FALSE),"")</f>
        <v>COMERCIAL</v>
      </c>
      <c r="L4125" s="77">
        <f>IFERROR(VLOOKUP(DESPESAS[[#This Row],[Plano de Contas]],BASE!$B$3:$H$119,6,FALSE),"")</f>
        <v>0</v>
      </c>
      <c r="M4125" s="77" t="str">
        <f>VLOOKUP(DESPESAS[[#This Row],[Plano de Contas]],BASE!$B$3:$H$119,7,FALSE)</f>
        <v>LETÍCIA</v>
      </c>
    </row>
    <row r="4126" spans="1:13" x14ac:dyDescent="0.25">
      <c r="A4126" s="74">
        <v>201601</v>
      </c>
      <c r="B4126" s="75" t="s">
        <v>232</v>
      </c>
      <c r="C4126" s="75" t="s">
        <v>3970</v>
      </c>
      <c r="D4126" s="76">
        <v>46153</v>
      </c>
      <c r="E4126" s="75" t="s">
        <v>3971</v>
      </c>
      <c r="F4126" s="74">
        <v>365.6</v>
      </c>
      <c r="G4126" s="75" t="s">
        <v>218</v>
      </c>
      <c r="H4126" s="77" t="str">
        <f>VLOOKUP(DESPESAS[[#This Row],[Plano de Contas]],BASE!$B$3:$D$119,3,FALSE)</f>
        <v>Manutenção de Equipamentos (Prod)</v>
      </c>
      <c r="I4126" s="77" t="str">
        <f>IFERROR(VLOOKUP(DESPESAS[[#This Row],[Fornecedor]],Tabela2[],2,FALSE),"")</f>
        <v/>
      </c>
      <c r="J4126" s="77" t="str">
        <f>IFERROR(VLOOKUP(DESPESAS[[#This Row],[Plano de Contas]],BASE!$B$3:$F$119,4,FALSE),"")</f>
        <v>3 - CUSTOS INDIRETOS</v>
      </c>
      <c r="K4126" s="77" t="str">
        <f>IFERROR(VLOOKUP(DESPESAS[[#This Row],[Plano de Contas]],BASE!$B$3:$H$119,5,FALSE),"")</f>
        <v>MANUTENÇÃO / TI</v>
      </c>
      <c r="L4126" s="77">
        <f>IFERROR(VLOOKUP(DESPESAS[[#This Row],[Plano de Contas]],BASE!$B$3:$H$119,6,FALSE),"")</f>
        <v>0</v>
      </c>
      <c r="M4126" s="77" t="str">
        <f>VLOOKUP(DESPESAS[[#This Row],[Plano de Contas]],BASE!$B$3:$H$119,7,FALSE)</f>
        <v>RAFAEL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6E31-0779-4CF4-BB2C-949614D3C188}">
  <sheetPr>
    <tabColor rgb="FFFFFF00"/>
  </sheetPr>
  <dimension ref="A2:B51"/>
  <sheetViews>
    <sheetView workbookViewId="0">
      <selection activeCell="D96" sqref="D96"/>
    </sheetView>
  </sheetViews>
  <sheetFormatPr defaultColWidth="8.85546875" defaultRowHeight="12.75" x14ac:dyDescent="0.25"/>
  <cols>
    <col min="1" max="1" width="57.28515625" style="53" bestFit="1" customWidth="1"/>
    <col min="2" max="2" width="29" style="53" bestFit="1" customWidth="1"/>
    <col min="3" max="16384" width="8.85546875" style="53"/>
  </cols>
  <sheetData>
    <row r="2" spans="1:2" x14ac:dyDescent="0.25">
      <c r="A2" s="58" t="s">
        <v>3497</v>
      </c>
      <c r="B2" s="58" t="s">
        <v>3496</v>
      </c>
    </row>
    <row r="3" spans="1:2" x14ac:dyDescent="0.25">
      <c r="A3" s="53" t="s">
        <v>3495</v>
      </c>
      <c r="B3" s="53" t="s">
        <v>3494</v>
      </c>
    </row>
    <row r="4" spans="1:2" x14ac:dyDescent="0.25">
      <c r="A4" s="53" t="s">
        <v>2515</v>
      </c>
      <c r="B4" s="53" t="s">
        <v>3493</v>
      </c>
    </row>
    <row r="5" spans="1:2" x14ac:dyDescent="0.25">
      <c r="A5" s="53" t="s">
        <v>999</v>
      </c>
      <c r="B5" s="53" t="s">
        <v>3492</v>
      </c>
    </row>
    <row r="6" spans="1:2" x14ac:dyDescent="0.25">
      <c r="A6" s="53" t="s">
        <v>322</v>
      </c>
      <c r="B6" s="53" t="s">
        <v>3492</v>
      </c>
    </row>
    <row r="7" spans="1:2" x14ac:dyDescent="0.25">
      <c r="A7" s="53" t="s">
        <v>380</v>
      </c>
      <c r="B7" s="53" t="s">
        <v>3491</v>
      </c>
    </row>
    <row r="8" spans="1:2" x14ac:dyDescent="0.25">
      <c r="A8" s="53" t="s">
        <v>589</v>
      </c>
      <c r="B8" s="53" t="s">
        <v>3489</v>
      </c>
    </row>
    <row r="9" spans="1:2" x14ac:dyDescent="0.25">
      <c r="A9" s="53" t="s">
        <v>3490</v>
      </c>
      <c r="B9" s="53" t="s">
        <v>3489</v>
      </c>
    </row>
    <row r="10" spans="1:2" x14ac:dyDescent="0.25">
      <c r="A10" s="53" t="s">
        <v>245</v>
      </c>
      <c r="B10" s="53" t="s">
        <v>3460</v>
      </c>
    </row>
    <row r="11" spans="1:2" x14ac:dyDescent="0.25">
      <c r="A11" s="53" t="s">
        <v>607</v>
      </c>
      <c r="B11" s="53" t="s">
        <v>3460</v>
      </c>
    </row>
    <row r="12" spans="1:2" x14ac:dyDescent="0.25">
      <c r="A12" s="53" t="s">
        <v>307</v>
      </c>
      <c r="B12" s="53" t="s">
        <v>3460</v>
      </c>
    </row>
    <row r="13" spans="1:2" x14ac:dyDescent="0.25">
      <c r="A13" s="57" t="s">
        <v>3488</v>
      </c>
      <c r="B13" s="53" t="s">
        <v>3487</v>
      </c>
    </row>
    <row r="14" spans="1:2" x14ac:dyDescent="0.25">
      <c r="A14" s="53" t="s">
        <v>3486</v>
      </c>
      <c r="B14" s="53" t="s">
        <v>3485</v>
      </c>
    </row>
    <row r="15" spans="1:2" x14ac:dyDescent="0.25">
      <c r="A15" s="56" t="s">
        <v>3484</v>
      </c>
      <c r="B15" s="56" t="s">
        <v>3446</v>
      </c>
    </row>
    <row r="16" spans="1:2" x14ac:dyDescent="0.25">
      <c r="A16" s="56" t="s">
        <v>3483</v>
      </c>
      <c r="B16" s="56" t="s">
        <v>3446</v>
      </c>
    </row>
    <row r="17" spans="1:2" x14ac:dyDescent="0.25">
      <c r="A17" s="53" t="s">
        <v>615</v>
      </c>
      <c r="B17" s="53" t="s">
        <v>3481</v>
      </c>
    </row>
    <row r="18" spans="1:2" x14ac:dyDescent="0.25">
      <c r="A18" s="53" t="s">
        <v>3482</v>
      </c>
      <c r="B18" s="53" t="s">
        <v>3481</v>
      </c>
    </row>
    <row r="19" spans="1:2" x14ac:dyDescent="0.25">
      <c r="A19" s="53" t="s">
        <v>3480</v>
      </c>
      <c r="B19" s="53" t="s">
        <v>3479</v>
      </c>
    </row>
    <row r="20" spans="1:2" x14ac:dyDescent="0.25">
      <c r="A20" s="53" t="s">
        <v>619</v>
      </c>
      <c r="B20" s="53" t="s">
        <v>3457</v>
      </c>
    </row>
    <row r="21" spans="1:2" x14ac:dyDescent="0.25">
      <c r="A21" s="53" t="s">
        <v>219</v>
      </c>
      <c r="B21" s="53" t="s">
        <v>3457</v>
      </c>
    </row>
    <row r="22" spans="1:2" x14ac:dyDescent="0.25">
      <c r="A22" s="53" t="s">
        <v>3478</v>
      </c>
      <c r="B22" s="53" t="s">
        <v>3457</v>
      </c>
    </row>
    <row r="23" spans="1:2" x14ac:dyDescent="0.25">
      <c r="A23" s="53" t="s">
        <v>3477</v>
      </c>
      <c r="B23" s="53" t="s">
        <v>3476</v>
      </c>
    </row>
    <row r="24" spans="1:2" x14ac:dyDescent="0.25">
      <c r="A24" s="53" t="s">
        <v>1872</v>
      </c>
      <c r="B24" s="53" t="s">
        <v>3476</v>
      </c>
    </row>
    <row r="25" spans="1:2" x14ac:dyDescent="0.25">
      <c r="A25" s="53" t="s">
        <v>1438</v>
      </c>
      <c r="B25" s="53" t="s">
        <v>3475</v>
      </c>
    </row>
    <row r="26" spans="1:2" x14ac:dyDescent="0.25">
      <c r="A26" s="53" t="s">
        <v>3474</v>
      </c>
      <c r="B26" s="53" t="s">
        <v>3473</v>
      </c>
    </row>
    <row r="27" spans="1:2" x14ac:dyDescent="0.25">
      <c r="A27" s="53" t="s">
        <v>3472</v>
      </c>
      <c r="B27" s="53" t="s">
        <v>3471</v>
      </c>
    </row>
    <row r="28" spans="1:2" x14ac:dyDescent="0.25">
      <c r="A28" s="53" t="s">
        <v>260</v>
      </c>
      <c r="B28" s="53" t="s">
        <v>3458</v>
      </c>
    </row>
    <row r="29" spans="1:2" x14ac:dyDescent="0.25">
      <c r="A29" s="53" t="s">
        <v>1311</v>
      </c>
      <c r="B29" s="53" t="s">
        <v>3470</v>
      </c>
    </row>
    <row r="30" spans="1:2" x14ac:dyDescent="0.25">
      <c r="A30" s="56" t="s">
        <v>3469</v>
      </c>
      <c r="B30" s="56" t="s">
        <v>3468</v>
      </c>
    </row>
    <row r="31" spans="1:2" x14ac:dyDescent="0.25">
      <c r="A31" s="53" t="s">
        <v>3467</v>
      </c>
      <c r="B31" s="53" t="s">
        <v>3466</v>
      </c>
    </row>
    <row r="32" spans="1:2" x14ac:dyDescent="0.25">
      <c r="A32" s="53" t="s">
        <v>2270</v>
      </c>
      <c r="B32" s="53" t="s">
        <v>3465</v>
      </c>
    </row>
    <row r="33" spans="1:2" x14ac:dyDescent="0.25">
      <c r="A33" s="53" t="s">
        <v>327</v>
      </c>
      <c r="B33" s="53" t="s">
        <v>3465</v>
      </c>
    </row>
    <row r="34" spans="1:2" x14ac:dyDescent="0.25">
      <c r="A34" s="53" t="s">
        <v>409</v>
      </c>
      <c r="B34" s="53" t="s">
        <v>3465</v>
      </c>
    </row>
    <row r="35" spans="1:2" x14ac:dyDescent="0.25">
      <c r="A35" s="57" t="s">
        <v>3464</v>
      </c>
      <c r="B35" s="53" t="s">
        <v>3463</v>
      </c>
    </row>
    <row r="36" spans="1:2" x14ac:dyDescent="0.25">
      <c r="A36" s="53" t="s">
        <v>292</v>
      </c>
      <c r="B36" s="53" t="s">
        <v>3462</v>
      </c>
    </row>
    <row r="37" spans="1:2" x14ac:dyDescent="0.25">
      <c r="A37" s="53" t="s">
        <v>3461</v>
      </c>
      <c r="B37" s="53" t="s">
        <v>3458</v>
      </c>
    </row>
    <row r="38" spans="1:2" x14ac:dyDescent="0.25">
      <c r="A38" s="53" t="s">
        <v>2829</v>
      </c>
      <c r="B38" s="53" t="s">
        <v>3460</v>
      </c>
    </row>
    <row r="39" spans="1:2" x14ac:dyDescent="0.25">
      <c r="A39" s="53" t="s">
        <v>3459</v>
      </c>
      <c r="B39" s="53" t="s">
        <v>3458</v>
      </c>
    </row>
    <row r="40" spans="1:2" x14ac:dyDescent="0.25">
      <c r="A40" s="53" t="s">
        <v>1951</v>
      </c>
      <c r="B40" s="53" t="s">
        <v>3457</v>
      </c>
    </row>
    <row r="41" spans="1:2" x14ac:dyDescent="0.25">
      <c r="A41" s="53" t="s">
        <v>566</v>
      </c>
      <c r="B41" s="53" t="s">
        <v>3456</v>
      </c>
    </row>
    <row r="42" spans="1:2" x14ac:dyDescent="0.25">
      <c r="A42" s="53" t="s">
        <v>1587</v>
      </c>
      <c r="B42" s="53" t="s">
        <v>3455</v>
      </c>
    </row>
    <row r="43" spans="1:2" x14ac:dyDescent="0.25">
      <c r="A43" s="53" t="s">
        <v>3369</v>
      </c>
      <c r="B43" s="53" t="s">
        <v>3454</v>
      </c>
    </row>
    <row r="44" spans="1:2" x14ac:dyDescent="0.25">
      <c r="A44" s="53" t="s">
        <v>1440</v>
      </c>
      <c r="B44" s="53" t="s">
        <v>3453</v>
      </c>
    </row>
    <row r="45" spans="1:2" x14ac:dyDescent="0.25">
      <c r="A45" s="53" t="s">
        <v>2700</v>
      </c>
      <c r="B45" s="53" t="s">
        <v>3452</v>
      </c>
    </row>
    <row r="46" spans="1:2" x14ac:dyDescent="0.25">
      <c r="A46" s="53" t="s">
        <v>3108</v>
      </c>
      <c r="B46" s="53" t="s">
        <v>3451</v>
      </c>
    </row>
    <row r="47" spans="1:2" x14ac:dyDescent="0.25">
      <c r="A47" s="53" t="s">
        <v>3157</v>
      </c>
      <c r="B47" s="53" t="s">
        <v>3450</v>
      </c>
    </row>
    <row r="48" spans="1:2" x14ac:dyDescent="0.25">
      <c r="A48" s="53" t="s">
        <v>3449</v>
      </c>
      <c r="B48" s="53" t="s">
        <v>3448</v>
      </c>
    </row>
    <row r="49" spans="1:2" x14ac:dyDescent="0.25">
      <c r="A49" s="56" t="s">
        <v>3447</v>
      </c>
      <c r="B49" s="56" t="s">
        <v>3446</v>
      </c>
    </row>
    <row r="50" spans="1:2" x14ac:dyDescent="0.25">
      <c r="A50" s="53" t="s">
        <v>3118</v>
      </c>
      <c r="B50" s="53" t="s">
        <v>3445</v>
      </c>
    </row>
    <row r="51" spans="1:2" x14ac:dyDescent="0.25">
      <c r="A51" s="53" t="s">
        <v>2651</v>
      </c>
      <c r="B51" s="53" t="s">
        <v>3444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76D3-A0C4-475B-8924-4B53A22D008F}">
  <dimension ref="B1:H120"/>
  <sheetViews>
    <sheetView workbookViewId="0"/>
  </sheetViews>
  <sheetFormatPr defaultColWidth="8.85546875" defaultRowHeight="15" x14ac:dyDescent="0.25"/>
  <cols>
    <col min="1" max="1" width="1.28515625" style="54" customWidth="1"/>
    <col min="2" max="2" width="46.28515625" style="54" bestFit="1" customWidth="1"/>
    <col min="3" max="3" width="7.7109375" style="54" bestFit="1" customWidth="1"/>
    <col min="4" max="4" width="38.7109375" style="54" bestFit="1" customWidth="1"/>
    <col min="5" max="5" width="29.85546875" style="54" bestFit="1" customWidth="1"/>
    <col min="6" max="6" width="25.7109375" style="54" bestFit="1" customWidth="1"/>
    <col min="7" max="7" width="25.7109375" style="54" customWidth="1"/>
    <col min="8" max="8" width="13.28515625" style="54" bestFit="1" customWidth="1"/>
    <col min="9" max="16384" width="8.85546875" style="54"/>
  </cols>
  <sheetData>
    <row r="1" spans="2:8" ht="7.15" customHeight="1" x14ac:dyDescent="0.25"/>
    <row r="2" spans="2:8" x14ac:dyDescent="0.25">
      <c r="B2" s="63" t="s">
        <v>3437</v>
      </c>
      <c r="C2" s="63" t="s">
        <v>3652</v>
      </c>
      <c r="D2" s="63" t="s">
        <v>3651</v>
      </c>
      <c r="E2" s="63" t="s">
        <v>3434</v>
      </c>
      <c r="F2" s="63" t="s">
        <v>3433</v>
      </c>
      <c r="G2" s="63" t="s">
        <v>3432</v>
      </c>
      <c r="H2" s="63" t="s">
        <v>3431</v>
      </c>
    </row>
    <row r="3" spans="2:8" x14ac:dyDescent="0.25">
      <c r="B3" s="60" t="s">
        <v>588</v>
      </c>
      <c r="C3" s="60" t="s">
        <v>3650</v>
      </c>
      <c r="D3" s="60" t="s">
        <v>193</v>
      </c>
      <c r="E3" s="60" t="s">
        <v>197</v>
      </c>
      <c r="F3" s="60" t="s">
        <v>3524</v>
      </c>
      <c r="G3" s="60"/>
      <c r="H3" s="60" t="s">
        <v>3548</v>
      </c>
    </row>
    <row r="4" spans="2:8" x14ac:dyDescent="0.25">
      <c r="B4" s="60" t="s">
        <v>1285</v>
      </c>
      <c r="C4" s="60" t="s">
        <v>3649</v>
      </c>
      <c r="D4" s="60" t="s">
        <v>194</v>
      </c>
      <c r="E4" s="60" t="s">
        <v>197</v>
      </c>
      <c r="F4" s="60" t="s">
        <v>3532</v>
      </c>
      <c r="G4" s="60"/>
      <c r="H4" s="60" t="s">
        <v>3548</v>
      </c>
    </row>
    <row r="5" spans="2:8" x14ac:dyDescent="0.25">
      <c r="B5" s="60" t="s">
        <v>693</v>
      </c>
      <c r="C5" s="60" t="s">
        <v>3648</v>
      </c>
      <c r="D5" s="60" t="s">
        <v>190</v>
      </c>
      <c r="E5" s="60" t="s">
        <v>197</v>
      </c>
      <c r="F5" s="60" t="s">
        <v>3524</v>
      </c>
      <c r="G5" s="60"/>
      <c r="H5" s="60" t="s">
        <v>3548</v>
      </c>
    </row>
    <row r="6" spans="2:8" x14ac:dyDescent="0.25">
      <c r="B6" s="60" t="s">
        <v>1037</v>
      </c>
      <c r="C6" s="60" t="s">
        <v>3647</v>
      </c>
      <c r="D6" s="60" t="s">
        <v>192</v>
      </c>
      <c r="E6" s="60" t="s">
        <v>197</v>
      </c>
      <c r="F6" s="60" t="s">
        <v>3524</v>
      </c>
      <c r="G6" s="60"/>
      <c r="H6" s="60" t="s">
        <v>3513</v>
      </c>
    </row>
    <row r="7" spans="2:8" x14ac:dyDescent="0.25">
      <c r="B7" s="60" t="s">
        <v>3083</v>
      </c>
      <c r="C7" s="60" t="s">
        <v>3646</v>
      </c>
      <c r="D7" s="60" t="s">
        <v>191</v>
      </c>
      <c r="E7" s="60" t="s">
        <v>197</v>
      </c>
      <c r="F7" s="60" t="s">
        <v>3368</v>
      </c>
      <c r="G7" s="60"/>
      <c r="H7" s="60" t="s">
        <v>3513</v>
      </c>
    </row>
    <row r="8" spans="2:8" x14ac:dyDescent="0.25">
      <c r="B8" s="60" t="s">
        <v>3080</v>
      </c>
      <c r="C8" s="60" t="s">
        <v>3645</v>
      </c>
      <c r="D8" s="60" t="s">
        <v>3644</v>
      </c>
      <c r="E8" s="60" t="s">
        <v>197</v>
      </c>
      <c r="F8" s="60" t="s">
        <v>3368</v>
      </c>
      <c r="G8" s="60"/>
      <c r="H8" s="60" t="s">
        <v>3513</v>
      </c>
    </row>
    <row r="9" spans="2:8" x14ac:dyDescent="0.25">
      <c r="B9" s="60" t="s">
        <v>3643</v>
      </c>
      <c r="C9" s="60" t="s">
        <v>3642</v>
      </c>
      <c r="D9" s="60" t="s">
        <v>3641</v>
      </c>
      <c r="E9" s="60"/>
      <c r="F9" s="60"/>
      <c r="G9" s="60"/>
      <c r="H9" s="60" t="s">
        <v>3595</v>
      </c>
    </row>
    <row r="10" spans="2:8" x14ac:dyDescent="0.25">
      <c r="B10" s="60" t="s">
        <v>3405</v>
      </c>
      <c r="C10" s="60" t="s">
        <v>3640</v>
      </c>
      <c r="D10" s="60" t="s">
        <v>187</v>
      </c>
      <c r="E10" s="60" t="s">
        <v>210</v>
      </c>
      <c r="F10" s="60" t="s">
        <v>3368</v>
      </c>
      <c r="G10" s="60"/>
      <c r="H10" s="60" t="s">
        <v>3498</v>
      </c>
    </row>
    <row r="11" spans="2:8" x14ac:dyDescent="0.25">
      <c r="B11" s="60" t="s">
        <v>827</v>
      </c>
      <c r="C11" s="60" t="s">
        <v>3639</v>
      </c>
      <c r="D11" s="60" t="s">
        <v>2</v>
      </c>
      <c r="E11" s="60" t="s">
        <v>210</v>
      </c>
      <c r="F11" s="60" t="s">
        <v>3368</v>
      </c>
      <c r="G11" s="60"/>
      <c r="H11" s="60" t="s">
        <v>3498</v>
      </c>
    </row>
    <row r="12" spans="2:8" x14ac:dyDescent="0.25">
      <c r="B12" s="60" t="s">
        <v>830</v>
      </c>
      <c r="C12" s="60" t="s">
        <v>3638</v>
      </c>
      <c r="D12" s="60" t="s">
        <v>3</v>
      </c>
      <c r="E12" s="60" t="s">
        <v>210</v>
      </c>
      <c r="F12" s="60" t="s">
        <v>3368</v>
      </c>
      <c r="G12" s="60"/>
      <c r="H12" s="60" t="s">
        <v>3498</v>
      </c>
    </row>
    <row r="13" spans="2:8" x14ac:dyDescent="0.25">
      <c r="B13" s="60" t="s">
        <v>836</v>
      </c>
      <c r="C13" s="60" t="s">
        <v>3637</v>
      </c>
      <c r="D13" s="60" t="s">
        <v>4</v>
      </c>
      <c r="E13" s="60" t="s">
        <v>210</v>
      </c>
      <c r="F13" s="60" t="s">
        <v>3368</v>
      </c>
      <c r="G13" s="60"/>
      <c r="H13" s="60" t="s">
        <v>3498</v>
      </c>
    </row>
    <row r="14" spans="2:8" x14ac:dyDescent="0.25">
      <c r="B14" s="60" t="s">
        <v>839</v>
      </c>
      <c r="C14" s="60" t="s">
        <v>3636</v>
      </c>
      <c r="D14" s="60" t="s">
        <v>6</v>
      </c>
      <c r="E14" s="60" t="s">
        <v>210</v>
      </c>
      <c r="F14" s="60" t="s">
        <v>3368</v>
      </c>
      <c r="G14" s="60"/>
      <c r="H14" s="60" t="s">
        <v>3498</v>
      </c>
    </row>
    <row r="15" spans="2:8" x14ac:dyDescent="0.25">
      <c r="B15" s="60" t="s">
        <v>834</v>
      </c>
      <c r="C15" s="60" t="s">
        <v>3635</v>
      </c>
      <c r="D15" s="60" t="s">
        <v>5</v>
      </c>
      <c r="E15" s="60" t="s">
        <v>210</v>
      </c>
      <c r="F15" s="60" t="s">
        <v>3368</v>
      </c>
      <c r="G15" s="60"/>
      <c r="H15" s="60" t="s">
        <v>3498</v>
      </c>
    </row>
    <row r="16" spans="2:8" x14ac:dyDescent="0.25">
      <c r="B16" s="60" t="s">
        <v>824</v>
      </c>
      <c r="C16" s="60" t="s">
        <v>3634</v>
      </c>
      <c r="D16" s="60" t="s">
        <v>7</v>
      </c>
      <c r="E16" s="60" t="s">
        <v>210</v>
      </c>
      <c r="F16" s="60" t="s">
        <v>3368</v>
      </c>
      <c r="G16" s="60"/>
      <c r="H16" s="60" t="s">
        <v>3498</v>
      </c>
    </row>
    <row r="17" spans="2:8" x14ac:dyDescent="0.25">
      <c r="B17" s="60" t="s">
        <v>3412</v>
      </c>
      <c r="C17" s="60" t="s">
        <v>3633</v>
      </c>
      <c r="D17" s="60" t="s">
        <v>10</v>
      </c>
      <c r="E17" s="60" t="s">
        <v>209</v>
      </c>
      <c r="F17" s="61" t="s">
        <v>3507</v>
      </c>
      <c r="G17" s="61"/>
      <c r="H17" s="61" t="s">
        <v>3506</v>
      </c>
    </row>
    <row r="18" spans="2:8" x14ac:dyDescent="0.25">
      <c r="B18" s="60" t="s">
        <v>326</v>
      </c>
      <c r="C18" s="60" t="s">
        <v>3632</v>
      </c>
      <c r="D18" s="60" t="s">
        <v>208</v>
      </c>
      <c r="E18" s="60" t="s">
        <v>209</v>
      </c>
      <c r="F18" s="61" t="s">
        <v>3507</v>
      </c>
      <c r="G18" s="61"/>
      <c r="H18" s="61" t="s">
        <v>3506</v>
      </c>
    </row>
    <row r="19" spans="2:8" x14ac:dyDescent="0.25">
      <c r="B19" s="60" t="s">
        <v>3631</v>
      </c>
      <c r="C19" s="60" t="s">
        <v>3630</v>
      </c>
      <c r="D19" s="60" t="s">
        <v>12</v>
      </c>
      <c r="E19" s="60" t="s">
        <v>209</v>
      </c>
      <c r="F19" s="61" t="s">
        <v>3507</v>
      </c>
      <c r="G19" s="61"/>
      <c r="H19" s="61" t="s">
        <v>3506</v>
      </c>
    </row>
    <row r="20" spans="2:8" x14ac:dyDescent="0.25">
      <c r="B20" s="60" t="s">
        <v>3410</v>
      </c>
      <c r="C20" s="60" t="s">
        <v>3629</v>
      </c>
      <c r="D20" s="60" t="s">
        <v>14</v>
      </c>
      <c r="E20" s="60" t="s">
        <v>209</v>
      </c>
      <c r="F20" s="61" t="s">
        <v>3507</v>
      </c>
      <c r="G20" s="61"/>
      <c r="H20" s="61" t="s">
        <v>3506</v>
      </c>
    </row>
    <row r="21" spans="2:8" x14ac:dyDescent="0.25">
      <c r="B21" s="60" t="s">
        <v>823</v>
      </c>
      <c r="C21" s="60" t="s">
        <v>3628</v>
      </c>
      <c r="D21" s="60" t="s">
        <v>17</v>
      </c>
      <c r="E21" s="60" t="s">
        <v>207</v>
      </c>
      <c r="F21" s="60" t="s">
        <v>3621</v>
      </c>
      <c r="G21" s="60"/>
      <c r="H21" s="61" t="s">
        <v>3548</v>
      </c>
    </row>
    <row r="22" spans="2:8" x14ac:dyDescent="0.25">
      <c r="B22" s="60" t="s">
        <v>546</v>
      </c>
      <c r="C22" s="60" t="s">
        <v>3627</v>
      </c>
      <c r="D22" s="60" t="s">
        <v>26</v>
      </c>
      <c r="E22" s="60" t="s">
        <v>207</v>
      </c>
      <c r="F22" s="61" t="s">
        <v>3549</v>
      </c>
      <c r="G22" s="61" t="s">
        <v>3589</v>
      </c>
      <c r="H22" s="60" t="s">
        <v>3548</v>
      </c>
    </row>
    <row r="23" spans="2:8" x14ac:dyDescent="0.25">
      <c r="B23" s="60" t="s">
        <v>779</v>
      </c>
      <c r="C23" s="60" t="s">
        <v>3626</v>
      </c>
      <c r="D23" s="60" t="s">
        <v>27</v>
      </c>
      <c r="E23" s="60" t="s">
        <v>207</v>
      </c>
      <c r="F23" s="61" t="s">
        <v>3549</v>
      </c>
      <c r="G23" s="61" t="s">
        <v>3589</v>
      </c>
      <c r="H23" s="60" t="s">
        <v>3548</v>
      </c>
    </row>
    <row r="24" spans="2:8" x14ac:dyDescent="0.25">
      <c r="B24" s="60" t="s">
        <v>767</v>
      </c>
      <c r="C24" s="60" t="s">
        <v>3625</v>
      </c>
      <c r="D24" s="60" t="s">
        <v>28</v>
      </c>
      <c r="E24" s="60" t="s">
        <v>207</v>
      </c>
      <c r="F24" s="61" t="s">
        <v>3549</v>
      </c>
      <c r="G24" s="61" t="s">
        <v>3589</v>
      </c>
      <c r="H24" s="60" t="s">
        <v>3548</v>
      </c>
    </row>
    <row r="25" spans="2:8" x14ac:dyDescent="0.25">
      <c r="B25" s="60" t="s">
        <v>276</v>
      </c>
      <c r="C25" s="60" t="s">
        <v>3624</v>
      </c>
      <c r="D25" s="60" t="s">
        <v>29</v>
      </c>
      <c r="E25" s="60" t="s">
        <v>207</v>
      </c>
      <c r="F25" s="61" t="s">
        <v>3549</v>
      </c>
      <c r="G25" s="61" t="s">
        <v>3589</v>
      </c>
      <c r="H25" s="60" t="s">
        <v>3548</v>
      </c>
    </row>
    <row r="26" spans="2:8" x14ac:dyDescent="0.25">
      <c r="B26" s="60" t="s">
        <v>1761</v>
      </c>
      <c r="C26" s="60" t="s">
        <v>3623</v>
      </c>
      <c r="D26" s="60" t="s">
        <v>205</v>
      </c>
      <c r="E26" s="60" t="s">
        <v>206</v>
      </c>
      <c r="F26" s="61" t="s">
        <v>3549</v>
      </c>
      <c r="G26" s="61" t="s">
        <v>3589</v>
      </c>
      <c r="H26" s="60" t="s">
        <v>3548</v>
      </c>
    </row>
    <row r="27" spans="2:8" x14ac:dyDescent="0.25">
      <c r="B27" s="60" t="s">
        <v>244</v>
      </c>
      <c r="C27" s="60" t="s">
        <v>3622</v>
      </c>
      <c r="D27" s="60" t="s">
        <v>18</v>
      </c>
      <c r="E27" s="60" t="s">
        <v>207</v>
      </c>
      <c r="F27" s="60" t="s">
        <v>3621</v>
      </c>
      <c r="G27" s="60"/>
      <c r="H27" s="60" t="s">
        <v>3548</v>
      </c>
    </row>
    <row r="28" spans="2:8" x14ac:dyDescent="0.25">
      <c r="B28" s="60" t="s">
        <v>606</v>
      </c>
      <c r="C28" s="60" t="s">
        <v>3620</v>
      </c>
      <c r="D28" s="60" t="s">
        <v>19</v>
      </c>
      <c r="E28" s="60" t="s">
        <v>207</v>
      </c>
      <c r="F28" s="60" t="s">
        <v>3507</v>
      </c>
      <c r="G28" s="60"/>
      <c r="H28" s="60" t="s">
        <v>3548</v>
      </c>
    </row>
    <row r="29" spans="2:8" x14ac:dyDescent="0.25">
      <c r="B29" s="60" t="s">
        <v>430</v>
      </c>
      <c r="C29" s="60" t="s">
        <v>3619</v>
      </c>
      <c r="D29" s="60" t="s">
        <v>20</v>
      </c>
      <c r="E29" s="60" t="s">
        <v>207</v>
      </c>
      <c r="F29" s="61" t="s">
        <v>3549</v>
      </c>
      <c r="G29" s="61" t="s">
        <v>3589</v>
      </c>
      <c r="H29" s="60" t="s">
        <v>3548</v>
      </c>
    </row>
    <row r="30" spans="2:8" x14ac:dyDescent="0.25">
      <c r="B30" s="60" t="s">
        <v>3618</v>
      </c>
      <c r="C30" s="60" t="s">
        <v>3617</v>
      </c>
      <c r="D30" s="60" t="s">
        <v>21</v>
      </c>
      <c r="E30" s="60" t="s">
        <v>207</v>
      </c>
      <c r="F30" s="61" t="s">
        <v>3549</v>
      </c>
      <c r="G30" s="61" t="s">
        <v>3589</v>
      </c>
      <c r="H30" s="60" t="s">
        <v>3548</v>
      </c>
    </row>
    <row r="31" spans="2:8" x14ac:dyDescent="0.25">
      <c r="B31" s="60" t="s">
        <v>642</v>
      </c>
      <c r="C31" s="60" t="s">
        <v>3616</v>
      </c>
      <c r="D31" s="60" t="s">
        <v>23</v>
      </c>
      <c r="E31" s="60" t="s">
        <v>207</v>
      </c>
      <c r="F31" s="61" t="s">
        <v>3549</v>
      </c>
      <c r="G31" s="61" t="s">
        <v>3589</v>
      </c>
      <c r="H31" s="60" t="s">
        <v>3548</v>
      </c>
    </row>
    <row r="32" spans="2:8" x14ac:dyDescent="0.25">
      <c r="B32" s="60" t="s">
        <v>1378</v>
      </c>
      <c r="C32" s="60" t="s">
        <v>3615</v>
      </c>
      <c r="D32" s="60" t="s">
        <v>24</v>
      </c>
      <c r="E32" s="60" t="s">
        <v>207</v>
      </c>
      <c r="F32" s="61" t="s">
        <v>3549</v>
      </c>
      <c r="G32" s="60"/>
      <c r="H32" s="60" t="s">
        <v>3548</v>
      </c>
    </row>
    <row r="33" spans="2:8" x14ac:dyDescent="0.25">
      <c r="B33" s="60" t="s">
        <v>979</v>
      </c>
      <c r="C33" s="60" t="s">
        <v>3614</v>
      </c>
      <c r="D33" s="60" t="s">
        <v>25</v>
      </c>
      <c r="E33" s="60" t="s">
        <v>207</v>
      </c>
      <c r="F33" s="61" t="s">
        <v>3549</v>
      </c>
      <c r="G33" s="61" t="s">
        <v>3589</v>
      </c>
      <c r="H33" s="60" t="s">
        <v>3548</v>
      </c>
    </row>
    <row r="34" spans="2:8" x14ac:dyDescent="0.25">
      <c r="B34" s="60" t="s">
        <v>218</v>
      </c>
      <c r="C34" s="60" t="s">
        <v>3613</v>
      </c>
      <c r="D34" s="60" t="s">
        <v>31</v>
      </c>
      <c r="E34" s="60" t="s">
        <v>206</v>
      </c>
      <c r="F34" s="60" t="s">
        <v>3524</v>
      </c>
      <c r="G34" s="61"/>
      <c r="H34" s="60" t="s">
        <v>3548</v>
      </c>
    </row>
    <row r="35" spans="2:8" x14ac:dyDescent="0.25">
      <c r="B35" s="60" t="s">
        <v>630</v>
      </c>
      <c r="C35" s="60" t="s">
        <v>3612</v>
      </c>
      <c r="D35" s="60" t="s">
        <v>37</v>
      </c>
      <c r="E35" s="60" t="s">
        <v>206</v>
      </c>
      <c r="F35" s="61" t="s">
        <v>3549</v>
      </c>
      <c r="G35" s="62"/>
      <c r="H35" s="60" t="s">
        <v>3548</v>
      </c>
    </row>
    <row r="36" spans="2:8" x14ac:dyDescent="0.25">
      <c r="B36" s="60" t="s">
        <v>781</v>
      </c>
      <c r="C36" s="60" t="s">
        <v>3611</v>
      </c>
      <c r="D36" s="60" t="s">
        <v>39</v>
      </c>
      <c r="E36" s="60" t="s">
        <v>206</v>
      </c>
      <c r="F36" s="61" t="s">
        <v>3549</v>
      </c>
      <c r="G36" s="61" t="s">
        <v>3589</v>
      </c>
      <c r="H36" s="60" t="s">
        <v>3548</v>
      </c>
    </row>
    <row r="37" spans="2:8" x14ac:dyDescent="0.25">
      <c r="B37" s="60" t="s">
        <v>770</v>
      </c>
      <c r="C37" s="60" t="s">
        <v>3610</v>
      </c>
      <c r="D37" s="60" t="s">
        <v>40</v>
      </c>
      <c r="E37" s="60" t="s">
        <v>206</v>
      </c>
      <c r="F37" s="61" t="s">
        <v>3549</v>
      </c>
      <c r="G37" s="61" t="s">
        <v>3589</v>
      </c>
      <c r="H37" s="60" t="s">
        <v>3548</v>
      </c>
    </row>
    <row r="38" spans="2:8" x14ac:dyDescent="0.25">
      <c r="B38" s="60" t="s">
        <v>1027</v>
      </c>
      <c r="C38" s="60" t="s">
        <v>3609</v>
      </c>
      <c r="D38" s="60" t="s">
        <v>41</v>
      </c>
      <c r="E38" s="60" t="s">
        <v>206</v>
      </c>
      <c r="F38" s="61" t="s">
        <v>3549</v>
      </c>
      <c r="G38" s="61" t="s">
        <v>3589</v>
      </c>
      <c r="H38" s="60" t="s">
        <v>3548</v>
      </c>
    </row>
    <row r="39" spans="2:8" x14ac:dyDescent="0.25">
      <c r="B39" s="60" t="s">
        <v>1884</v>
      </c>
      <c r="C39" s="60" t="s">
        <v>3608</v>
      </c>
      <c r="D39" s="60" t="s">
        <v>42</v>
      </c>
      <c r="E39" s="60" t="s">
        <v>206</v>
      </c>
      <c r="F39" s="61" t="s">
        <v>3549</v>
      </c>
      <c r="G39" s="61" t="s">
        <v>3589</v>
      </c>
      <c r="H39" s="60" t="s">
        <v>3548</v>
      </c>
    </row>
    <row r="40" spans="2:8" x14ac:dyDescent="0.25">
      <c r="B40" s="60" t="s">
        <v>324</v>
      </c>
      <c r="C40" s="60" t="s">
        <v>3607</v>
      </c>
      <c r="D40" s="60" t="s">
        <v>43</v>
      </c>
      <c r="E40" s="60" t="s">
        <v>206</v>
      </c>
      <c r="F40" s="61" t="s">
        <v>3549</v>
      </c>
      <c r="G40" s="60"/>
      <c r="H40" s="60" t="s">
        <v>3513</v>
      </c>
    </row>
    <row r="41" spans="2:8" x14ac:dyDescent="0.25">
      <c r="B41" s="60" t="s">
        <v>3606</v>
      </c>
      <c r="C41" s="60" t="s">
        <v>3605</v>
      </c>
      <c r="D41" s="60" t="s">
        <v>22</v>
      </c>
      <c r="E41" s="60" t="s">
        <v>207</v>
      </c>
      <c r="F41" s="61" t="s">
        <v>3549</v>
      </c>
      <c r="G41" s="61" t="s">
        <v>3589</v>
      </c>
      <c r="H41" s="60" t="s">
        <v>3548</v>
      </c>
    </row>
    <row r="42" spans="2:8" x14ac:dyDescent="0.25">
      <c r="B42" s="60" t="s">
        <v>3604</v>
      </c>
      <c r="C42" s="60" t="s">
        <v>3603</v>
      </c>
      <c r="D42" s="60" t="s">
        <v>52</v>
      </c>
      <c r="E42" s="60" t="s">
        <v>204</v>
      </c>
      <c r="F42" s="61" t="s">
        <v>3549</v>
      </c>
      <c r="G42" s="61"/>
      <c r="H42" s="60" t="s">
        <v>3548</v>
      </c>
    </row>
    <row r="43" spans="2:8" x14ac:dyDescent="0.25">
      <c r="B43" s="60" t="s">
        <v>3602</v>
      </c>
      <c r="C43" s="60" t="s">
        <v>3601</v>
      </c>
      <c r="D43" s="60" t="s">
        <v>34</v>
      </c>
      <c r="E43" s="60" t="s">
        <v>206</v>
      </c>
      <c r="F43" s="61" t="s">
        <v>3549</v>
      </c>
      <c r="G43" s="61" t="s">
        <v>3589</v>
      </c>
      <c r="H43" s="60" t="s">
        <v>3548</v>
      </c>
    </row>
    <row r="44" spans="2:8" x14ac:dyDescent="0.25">
      <c r="B44" s="60" t="s">
        <v>489</v>
      </c>
      <c r="C44" s="60" t="s">
        <v>3600</v>
      </c>
      <c r="D44" s="60" t="s">
        <v>44</v>
      </c>
      <c r="E44" s="60" t="s">
        <v>206</v>
      </c>
      <c r="F44" s="60" t="s">
        <v>3507</v>
      </c>
      <c r="G44" s="60"/>
      <c r="H44" s="60" t="s">
        <v>3506</v>
      </c>
    </row>
    <row r="45" spans="2:8" x14ac:dyDescent="0.25">
      <c r="B45" s="60" t="s">
        <v>259</v>
      </c>
      <c r="C45" s="60" t="s">
        <v>3599</v>
      </c>
      <c r="D45" s="60" t="s">
        <v>45</v>
      </c>
      <c r="E45" s="60" t="s">
        <v>206</v>
      </c>
      <c r="F45" s="60" t="s">
        <v>3524</v>
      </c>
      <c r="G45" s="60"/>
      <c r="H45" s="60" t="s">
        <v>3513</v>
      </c>
    </row>
    <row r="46" spans="2:8" x14ac:dyDescent="0.25">
      <c r="B46" s="60" t="s">
        <v>486</v>
      </c>
      <c r="C46" s="60" t="s">
        <v>3598</v>
      </c>
      <c r="D46" s="60" t="s">
        <v>46</v>
      </c>
      <c r="E46" s="60" t="s">
        <v>206</v>
      </c>
      <c r="F46" s="60" t="s">
        <v>3368</v>
      </c>
      <c r="G46" s="60"/>
      <c r="H46" s="60" t="s">
        <v>3498</v>
      </c>
    </row>
    <row r="47" spans="2:8" x14ac:dyDescent="0.25">
      <c r="B47" s="60" t="s">
        <v>1051</v>
      </c>
      <c r="C47" s="60" t="s">
        <v>3597</v>
      </c>
      <c r="D47" s="60" t="s">
        <v>3596</v>
      </c>
      <c r="E47" s="60"/>
      <c r="F47" s="60"/>
      <c r="G47" s="60"/>
      <c r="H47" s="60" t="s">
        <v>3595</v>
      </c>
    </row>
    <row r="48" spans="2:8" x14ac:dyDescent="0.25">
      <c r="B48" s="60" t="s">
        <v>653</v>
      </c>
      <c r="C48" s="60" t="s">
        <v>3594</v>
      </c>
      <c r="D48" s="60" t="s">
        <v>32</v>
      </c>
      <c r="E48" s="60" t="s">
        <v>206</v>
      </c>
      <c r="F48" s="61" t="s">
        <v>3549</v>
      </c>
      <c r="G48" s="61" t="s">
        <v>3589</v>
      </c>
      <c r="H48" s="60" t="s">
        <v>3548</v>
      </c>
    </row>
    <row r="49" spans="2:8" x14ac:dyDescent="0.25">
      <c r="B49" s="60" t="s">
        <v>2682</v>
      </c>
      <c r="C49" s="60" t="s">
        <v>3593</v>
      </c>
      <c r="D49" s="60" t="s">
        <v>33</v>
      </c>
      <c r="E49" s="60" t="s">
        <v>206</v>
      </c>
      <c r="F49" s="61" t="s">
        <v>3549</v>
      </c>
      <c r="G49" s="61" t="s">
        <v>3589</v>
      </c>
      <c r="H49" s="60" t="s">
        <v>3548</v>
      </c>
    </row>
    <row r="50" spans="2:8" x14ac:dyDescent="0.25">
      <c r="B50" s="60" t="s">
        <v>649</v>
      </c>
      <c r="C50" s="60" t="s">
        <v>3592</v>
      </c>
      <c r="D50" s="60" t="s">
        <v>35</v>
      </c>
      <c r="E50" s="60" t="s">
        <v>206</v>
      </c>
      <c r="F50" s="61" t="s">
        <v>3549</v>
      </c>
      <c r="G50" s="61" t="s">
        <v>3589</v>
      </c>
      <c r="H50" s="60" t="s">
        <v>3548</v>
      </c>
    </row>
    <row r="51" spans="2:8" x14ac:dyDescent="0.25">
      <c r="B51" s="60" t="s">
        <v>370</v>
      </c>
      <c r="C51" s="60" t="s">
        <v>3591</v>
      </c>
      <c r="D51" s="60" t="s">
        <v>36</v>
      </c>
      <c r="E51" s="60" t="s">
        <v>206</v>
      </c>
      <c r="F51" s="61" t="s">
        <v>3549</v>
      </c>
      <c r="G51" s="61"/>
      <c r="H51" s="60" t="s">
        <v>3548</v>
      </c>
    </row>
    <row r="52" spans="2:8" x14ac:dyDescent="0.25">
      <c r="B52" s="60" t="s">
        <v>544</v>
      </c>
      <c r="C52" s="60" t="s">
        <v>3590</v>
      </c>
      <c r="D52" s="60" t="s">
        <v>38</v>
      </c>
      <c r="E52" s="60" t="s">
        <v>206</v>
      </c>
      <c r="F52" s="61" t="s">
        <v>3549</v>
      </c>
      <c r="G52" s="61" t="s">
        <v>3589</v>
      </c>
      <c r="H52" s="60" t="s">
        <v>3548</v>
      </c>
    </row>
    <row r="53" spans="2:8" x14ac:dyDescent="0.25">
      <c r="B53" s="60" t="s">
        <v>568</v>
      </c>
      <c r="C53" s="60" t="s">
        <v>3588</v>
      </c>
      <c r="D53" s="60" t="s">
        <v>83</v>
      </c>
      <c r="E53" s="60" t="s">
        <v>202</v>
      </c>
      <c r="F53" s="60" t="s">
        <v>3543</v>
      </c>
      <c r="G53" s="60"/>
      <c r="H53" s="60" t="s">
        <v>3506</v>
      </c>
    </row>
    <row r="54" spans="2:8" x14ac:dyDescent="0.25">
      <c r="B54" s="60" t="s">
        <v>1075</v>
      </c>
      <c r="C54" s="60" t="s">
        <v>3587</v>
      </c>
      <c r="D54" s="60" t="s">
        <v>92</v>
      </c>
      <c r="E54" s="60" t="s">
        <v>202</v>
      </c>
      <c r="F54" s="60" t="s">
        <v>3543</v>
      </c>
      <c r="G54" s="60"/>
      <c r="H54" s="60" t="s">
        <v>3506</v>
      </c>
    </row>
    <row r="55" spans="2:8" x14ac:dyDescent="0.25">
      <c r="B55" s="60" t="s">
        <v>1318</v>
      </c>
      <c r="C55" s="60" t="s">
        <v>3586</v>
      </c>
      <c r="D55" s="60" t="s">
        <v>93</v>
      </c>
      <c r="E55" s="60" t="s">
        <v>202</v>
      </c>
      <c r="F55" s="60" t="s">
        <v>3510</v>
      </c>
      <c r="G55" s="60"/>
      <c r="H55" s="60" t="s">
        <v>3574</v>
      </c>
    </row>
    <row r="56" spans="2:8" x14ac:dyDescent="0.25">
      <c r="B56" s="60" t="s">
        <v>2863</v>
      </c>
      <c r="C56" s="60" t="s">
        <v>3585</v>
      </c>
      <c r="D56" s="60" t="s">
        <v>94</v>
      </c>
      <c r="E56" s="60" t="s">
        <v>202</v>
      </c>
      <c r="F56" s="60" t="s">
        <v>3510</v>
      </c>
      <c r="G56" s="60"/>
      <c r="H56" s="60" t="s">
        <v>3574</v>
      </c>
    </row>
    <row r="57" spans="2:8" x14ac:dyDescent="0.25">
      <c r="B57" s="60" t="s">
        <v>480</v>
      </c>
      <c r="C57" s="60" t="s">
        <v>3584</v>
      </c>
      <c r="D57" s="60" t="s">
        <v>95</v>
      </c>
      <c r="E57" s="60" t="s">
        <v>202</v>
      </c>
      <c r="F57" s="60" t="s">
        <v>3510</v>
      </c>
      <c r="G57" s="60"/>
      <c r="H57" s="60" t="s">
        <v>3498</v>
      </c>
    </row>
    <row r="58" spans="2:8" x14ac:dyDescent="0.25">
      <c r="B58" s="60" t="s">
        <v>751</v>
      </c>
      <c r="C58" s="60" t="s">
        <v>3583</v>
      </c>
      <c r="D58" s="60" t="s">
        <v>97</v>
      </c>
      <c r="E58" s="60" t="s">
        <v>202</v>
      </c>
      <c r="F58" s="60" t="s">
        <v>3510</v>
      </c>
      <c r="G58" s="60"/>
      <c r="H58" s="60" t="s">
        <v>3498</v>
      </c>
    </row>
    <row r="59" spans="2:8" x14ac:dyDescent="0.25">
      <c r="B59" s="60" t="s">
        <v>572</v>
      </c>
      <c r="C59" s="60" t="s">
        <v>3582</v>
      </c>
      <c r="D59" s="60" t="s">
        <v>98</v>
      </c>
      <c r="E59" s="60" t="s">
        <v>202</v>
      </c>
      <c r="F59" s="60" t="s">
        <v>3510</v>
      </c>
      <c r="G59" s="60"/>
      <c r="H59" s="60" t="s">
        <v>3498</v>
      </c>
    </row>
    <row r="60" spans="2:8" x14ac:dyDescent="0.25">
      <c r="B60" s="60" t="s">
        <v>238</v>
      </c>
      <c r="C60" s="60" t="s">
        <v>3581</v>
      </c>
      <c r="D60" s="60" t="s">
        <v>96</v>
      </c>
      <c r="E60" s="60" t="s">
        <v>202</v>
      </c>
      <c r="F60" s="60" t="s">
        <v>3510</v>
      </c>
      <c r="G60" s="60"/>
      <c r="H60" s="60" t="s">
        <v>3498</v>
      </c>
    </row>
    <row r="61" spans="2:8" x14ac:dyDescent="0.25">
      <c r="B61" s="60" t="s">
        <v>3580</v>
      </c>
      <c r="C61" s="60" t="s">
        <v>3579</v>
      </c>
      <c r="D61" s="60" t="s">
        <v>99</v>
      </c>
      <c r="E61" s="60" t="s">
        <v>202</v>
      </c>
      <c r="F61" s="60" t="s">
        <v>3510</v>
      </c>
      <c r="G61" s="60"/>
      <c r="H61" s="60" t="s">
        <v>3498</v>
      </c>
    </row>
    <row r="62" spans="2:8" x14ac:dyDescent="0.25">
      <c r="B62" s="60" t="s">
        <v>539</v>
      </c>
      <c r="C62" s="60" t="s">
        <v>3578</v>
      </c>
      <c r="D62" s="60" t="s">
        <v>100</v>
      </c>
      <c r="E62" s="60" t="s">
        <v>202</v>
      </c>
      <c r="F62" s="60" t="s">
        <v>3510</v>
      </c>
      <c r="G62" s="60"/>
      <c r="H62" s="60" t="s">
        <v>3498</v>
      </c>
    </row>
    <row r="63" spans="2:8" x14ac:dyDescent="0.25">
      <c r="B63" s="60" t="s">
        <v>255</v>
      </c>
      <c r="C63" s="60" t="s">
        <v>3577</v>
      </c>
      <c r="D63" s="60" t="s">
        <v>101</v>
      </c>
      <c r="E63" s="60" t="s">
        <v>202</v>
      </c>
      <c r="F63" s="60" t="s">
        <v>3510</v>
      </c>
      <c r="G63" s="60"/>
      <c r="H63" s="60" t="s">
        <v>3498</v>
      </c>
    </row>
    <row r="64" spans="2:8" x14ac:dyDescent="0.25">
      <c r="B64" s="60" t="s">
        <v>241</v>
      </c>
      <c r="C64" s="60" t="s">
        <v>3576</v>
      </c>
      <c r="D64" s="60" t="s">
        <v>84</v>
      </c>
      <c r="E64" s="60" t="s">
        <v>202</v>
      </c>
      <c r="F64" s="60" t="s">
        <v>3543</v>
      </c>
      <c r="G64" s="60"/>
      <c r="H64" s="60" t="s">
        <v>3506</v>
      </c>
    </row>
    <row r="65" spans="2:8" x14ac:dyDescent="0.25">
      <c r="B65" s="60" t="s">
        <v>360</v>
      </c>
      <c r="C65" s="60" t="s">
        <v>3575</v>
      </c>
      <c r="D65" s="60" t="s">
        <v>102</v>
      </c>
      <c r="E65" s="60" t="s">
        <v>202</v>
      </c>
      <c r="F65" s="60" t="s">
        <v>3510</v>
      </c>
      <c r="G65" s="60"/>
      <c r="H65" s="60" t="s">
        <v>3574</v>
      </c>
    </row>
    <row r="66" spans="2:8" x14ac:dyDescent="0.25">
      <c r="B66" s="60" t="s">
        <v>470</v>
      </c>
      <c r="C66" s="60" t="s">
        <v>3573</v>
      </c>
      <c r="D66" s="60" t="s">
        <v>103</v>
      </c>
      <c r="E66" s="60" t="s">
        <v>202</v>
      </c>
      <c r="F66" s="60" t="s">
        <v>3572</v>
      </c>
      <c r="G66" s="60"/>
      <c r="H66" s="60" t="s">
        <v>3548</v>
      </c>
    </row>
    <row r="67" spans="2:8" x14ac:dyDescent="0.25">
      <c r="B67" s="60" t="s">
        <v>1148</v>
      </c>
      <c r="C67" s="60" t="s">
        <v>3571</v>
      </c>
      <c r="D67" s="60" t="s">
        <v>85</v>
      </c>
      <c r="E67" s="60" t="s">
        <v>202</v>
      </c>
      <c r="F67" s="60" t="s">
        <v>3543</v>
      </c>
      <c r="G67" s="60"/>
      <c r="H67" s="60" t="s">
        <v>3506</v>
      </c>
    </row>
    <row r="68" spans="2:8" x14ac:dyDescent="0.25">
      <c r="B68" s="60" t="s">
        <v>3059</v>
      </c>
      <c r="C68" s="60" t="s">
        <v>3570</v>
      </c>
      <c r="D68" s="60" t="s">
        <v>86</v>
      </c>
      <c r="E68" s="60" t="s">
        <v>202</v>
      </c>
      <c r="F68" s="60" t="s">
        <v>3543</v>
      </c>
      <c r="G68" s="60"/>
      <c r="H68" s="60" t="s">
        <v>3506</v>
      </c>
    </row>
    <row r="69" spans="2:8" x14ac:dyDescent="0.25">
      <c r="B69" s="60" t="s">
        <v>583</v>
      </c>
      <c r="C69" s="60" t="s">
        <v>3569</v>
      </c>
      <c r="D69" s="60" t="s">
        <v>87</v>
      </c>
      <c r="E69" s="60" t="s">
        <v>202</v>
      </c>
      <c r="F69" s="60" t="s">
        <v>3543</v>
      </c>
      <c r="G69" s="60"/>
      <c r="H69" s="60" t="s">
        <v>3506</v>
      </c>
    </row>
    <row r="70" spans="2:8" x14ac:dyDescent="0.25">
      <c r="B70" s="60" t="s">
        <v>247</v>
      </c>
      <c r="C70" s="60" t="s">
        <v>3568</v>
      </c>
      <c r="D70" s="60" t="s">
        <v>88</v>
      </c>
      <c r="E70" s="60" t="s">
        <v>202</v>
      </c>
      <c r="F70" s="60" t="s">
        <v>3543</v>
      </c>
      <c r="G70" s="60"/>
      <c r="H70" s="60" t="s">
        <v>3506</v>
      </c>
    </row>
    <row r="71" spans="2:8" x14ac:dyDescent="0.25">
      <c r="B71" s="60" t="s">
        <v>1388</v>
      </c>
      <c r="C71" s="60" t="s">
        <v>3567</v>
      </c>
      <c r="D71" s="60" t="s">
        <v>89</v>
      </c>
      <c r="E71" s="60" t="s">
        <v>202</v>
      </c>
      <c r="F71" s="60" t="s">
        <v>3543</v>
      </c>
      <c r="G71" s="60"/>
      <c r="H71" s="60" t="s">
        <v>3506</v>
      </c>
    </row>
    <row r="72" spans="2:8" x14ac:dyDescent="0.25">
      <c r="B72" s="60" t="s">
        <v>262</v>
      </c>
      <c r="C72" s="60" t="s">
        <v>3566</v>
      </c>
      <c r="D72" s="60" t="s">
        <v>90</v>
      </c>
      <c r="E72" s="60" t="s">
        <v>202</v>
      </c>
      <c r="F72" s="60" t="s">
        <v>3543</v>
      </c>
      <c r="G72" s="60"/>
      <c r="H72" s="60" t="s">
        <v>3506</v>
      </c>
    </row>
    <row r="73" spans="2:8" x14ac:dyDescent="0.25">
      <c r="B73" s="60" t="s">
        <v>3565</v>
      </c>
      <c r="C73" s="60" t="s">
        <v>3564</v>
      </c>
      <c r="D73" s="60" t="s">
        <v>91</v>
      </c>
      <c r="E73" s="60" t="s">
        <v>202</v>
      </c>
      <c r="F73" s="60" t="s">
        <v>3368</v>
      </c>
      <c r="G73" s="60"/>
      <c r="H73" s="60" t="s">
        <v>3506</v>
      </c>
    </row>
    <row r="74" spans="2:8" x14ac:dyDescent="0.25">
      <c r="B74" s="60" t="s">
        <v>365</v>
      </c>
      <c r="C74" s="60" t="s">
        <v>3563</v>
      </c>
      <c r="D74" s="60" t="s">
        <v>49</v>
      </c>
      <c r="E74" s="60" t="s">
        <v>204</v>
      </c>
      <c r="F74" s="60" t="s">
        <v>3514</v>
      </c>
      <c r="G74" s="60"/>
      <c r="H74" s="60" t="s">
        <v>3513</v>
      </c>
    </row>
    <row r="75" spans="2:8" x14ac:dyDescent="0.25">
      <c r="B75" s="60" t="s">
        <v>542</v>
      </c>
      <c r="C75" s="60" t="s">
        <v>3562</v>
      </c>
      <c r="D75" s="60" t="s">
        <v>59</v>
      </c>
      <c r="E75" s="60" t="s">
        <v>204</v>
      </c>
      <c r="F75" s="60" t="s">
        <v>3549</v>
      </c>
      <c r="G75" s="60"/>
      <c r="H75" s="60" t="s">
        <v>3548</v>
      </c>
    </row>
    <row r="76" spans="2:8" x14ac:dyDescent="0.25">
      <c r="B76" s="60" t="s">
        <v>772</v>
      </c>
      <c r="C76" s="60" t="s">
        <v>3561</v>
      </c>
      <c r="D76" s="60" t="s">
        <v>60</v>
      </c>
      <c r="E76" s="60" t="s">
        <v>204</v>
      </c>
      <c r="F76" s="60" t="s">
        <v>3549</v>
      </c>
      <c r="G76" s="60"/>
      <c r="H76" s="60" t="s">
        <v>3548</v>
      </c>
    </row>
    <row r="77" spans="2:8" x14ac:dyDescent="0.25">
      <c r="B77" s="60" t="s">
        <v>436</v>
      </c>
      <c r="C77" s="60" t="s">
        <v>3560</v>
      </c>
      <c r="D77" s="60" t="s">
        <v>61</v>
      </c>
      <c r="E77" s="60" t="s">
        <v>204</v>
      </c>
      <c r="F77" s="60" t="s">
        <v>3549</v>
      </c>
      <c r="G77" s="60"/>
      <c r="H77" s="60" t="s">
        <v>3548</v>
      </c>
    </row>
    <row r="78" spans="2:8" x14ac:dyDescent="0.25">
      <c r="B78" s="60" t="s">
        <v>3559</v>
      </c>
      <c r="C78" s="60" t="s">
        <v>3558</v>
      </c>
      <c r="D78" s="60" t="s">
        <v>62</v>
      </c>
      <c r="E78" s="60" t="s">
        <v>204</v>
      </c>
      <c r="F78" s="60" t="s">
        <v>3549</v>
      </c>
      <c r="G78" s="60"/>
      <c r="H78" s="60" t="s">
        <v>3548</v>
      </c>
    </row>
    <row r="79" spans="2:8" x14ac:dyDescent="0.25">
      <c r="B79" s="60" t="s">
        <v>331</v>
      </c>
      <c r="C79" s="60" t="s">
        <v>3557</v>
      </c>
      <c r="D79" s="60" t="s">
        <v>63</v>
      </c>
      <c r="E79" s="60" t="s">
        <v>204</v>
      </c>
      <c r="F79" s="60" t="s">
        <v>3524</v>
      </c>
      <c r="G79" s="60"/>
      <c r="H79" s="60" t="s">
        <v>3513</v>
      </c>
    </row>
    <row r="80" spans="2:8" x14ac:dyDescent="0.25">
      <c r="B80" s="60" t="s">
        <v>747</v>
      </c>
      <c r="C80" s="60" t="s">
        <v>3556</v>
      </c>
      <c r="D80" s="60" t="s">
        <v>64</v>
      </c>
      <c r="E80" s="60" t="s">
        <v>204</v>
      </c>
      <c r="F80" s="60" t="s">
        <v>3514</v>
      </c>
      <c r="G80" s="60"/>
      <c r="H80" s="60" t="s">
        <v>3513</v>
      </c>
    </row>
    <row r="81" spans="2:8" x14ac:dyDescent="0.25">
      <c r="B81" s="60" t="s">
        <v>854</v>
      </c>
      <c r="C81" s="60" t="s">
        <v>3555</v>
      </c>
      <c r="D81" s="60" t="s">
        <v>65</v>
      </c>
      <c r="E81" s="60" t="s">
        <v>204</v>
      </c>
      <c r="F81" s="60" t="s">
        <v>3549</v>
      </c>
      <c r="G81" s="60"/>
      <c r="H81" s="60" t="s">
        <v>3506</v>
      </c>
    </row>
    <row r="82" spans="2:8" x14ac:dyDescent="0.25">
      <c r="B82" s="60" t="s">
        <v>627</v>
      </c>
      <c r="C82" s="60" t="s">
        <v>3554</v>
      </c>
      <c r="D82" s="60" t="s">
        <v>50</v>
      </c>
      <c r="E82" s="60" t="s">
        <v>204</v>
      </c>
      <c r="F82" s="60" t="s">
        <v>3549</v>
      </c>
      <c r="G82" s="60"/>
      <c r="H82" s="61" t="s">
        <v>3548</v>
      </c>
    </row>
    <row r="83" spans="2:8" x14ac:dyDescent="0.25">
      <c r="B83" s="60" t="s">
        <v>483</v>
      </c>
      <c r="C83" s="60" t="s">
        <v>3553</v>
      </c>
      <c r="D83" s="60" t="s">
        <v>53</v>
      </c>
      <c r="E83" s="60" t="s">
        <v>204</v>
      </c>
      <c r="F83" s="60" t="s">
        <v>3549</v>
      </c>
      <c r="G83" s="60"/>
      <c r="H83" s="60" t="s">
        <v>3548</v>
      </c>
    </row>
    <row r="84" spans="2:8" x14ac:dyDescent="0.25">
      <c r="B84" s="60" t="s">
        <v>644</v>
      </c>
      <c r="C84" s="60" t="s">
        <v>3552</v>
      </c>
      <c r="D84" s="60" t="s">
        <v>54</v>
      </c>
      <c r="E84" s="60" t="s">
        <v>204</v>
      </c>
      <c r="F84" s="60" t="s">
        <v>3549</v>
      </c>
      <c r="G84" s="60"/>
      <c r="H84" s="60" t="s">
        <v>3548</v>
      </c>
    </row>
    <row r="85" spans="2:8" x14ac:dyDescent="0.25">
      <c r="B85" s="60" t="s">
        <v>473</v>
      </c>
      <c r="C85" s="60" t="s">
        <v>3551</v>
      </c>
      <c r="D85" s="60" t="s">
        <v>56</v>
      </c>
      <c r="E85" s="60" t="s">
        <v>204</v>
      </c>
      <c r="F85" s="60" t="s">
        <v>3549</v>
      </c>
      <c r="G85" s="60"/>
      <c r="H85" s="60" t="s">
        <v>3548</v>
      </c>
    </row>
    <row r="86" spans="2:8" x14ac:dyDescent="0.25">
      <c r="B86" s="60" t="s">
        <v>2198</v>
      </c>
      <c r="C86" s="60" t="s">
        <v>3550</v>
      </c>
      <c r="D86" s="60" t="s">
        <v>58</v>
      </c>
      <c r="E86" s="60" t="s">
        <v>204</v>
      </c>
      <c r="F86" s="60" t="s">
        <v>3549</v>
      </c>
      <c r="G86" s="60"/>
      <c r="H86" s="60" t="s">
        <v>3548</v>
      </c>
    </row>
    <row r="87" spans="2:8" x14ac:dyDescent="0.25">
      <c r="B87" s="60" t="s">
        <v>2461</v>
      </c>
      <c r="C87" s="60" t="s">
        <v>3547</v>
      </c>
      <c r="D87" s="60" t="s">
        <v>67</v>
      </c>
      <c r="E87" s="60" t="s">
        <v>203</v>
      </c>
      <c r="F87" s="60" t="s">
        <v>3368</v>
      </c>
      <c r="G87" s="60"/>
      <c r="H87" s="60" t="s">
        <v>3498</v>
      </c>
    </row>
    <row r="88" spans="2:8" x14ac:dyDescent="0.25">
      <c r="B88" s="60" t="s">
        <v>2999</v>
      </c>
      <c r="C88" s="60" t="s">
        <v>3546</v>
      </c>
      <c r="D88" s="60" t="s">
        <v>76</v>
      </c>
      <c r="E88" s="60" t="s">
        <v>203</v>
      </c>
      <c r="F88" s="60" t="s">
        <v>3543</v>
      </c>
      <c r="G88" s="60"/>
      <c r="H88" s="60" t="s">
        <v>3506</v>
      </c>
    </row>
    <row r="89" spans="2:8" x14ac:dyDescent="0.25">
      <c r="B89" s="60" t="s">
        <v>423</v>
      </c>
      <c r="C89" s="60" t="s">
        <v>3545</v>
      </c>
      <c r="D89" s="60" t="s">
        <v>77</v>
      </c>
      <c r="E89" s="60" t="s">
        <v>203</v>
      </c>
      <c r="F89" s="60" t="s">
        <v>3543</v>
      </c>
      <c r="G89" s="60"/>
      <c r="H89" s="60" t="s">
        <v>3498</v>
      </c>
    </row>
    <row r="90" spans="2:8" x14ac:dyDescent="0.25">
      <c r="B90" s="60" t="s">
        <v>815</v>
      </c>
      <c r="C90" s="60" t="s">
        <v>3544</v>
      </c>
      <c r="D90" s="60" t="s">
        <v>78</v>
      </c>
      <c r="E90" s="60" t="s">
        <v>203</v>
      </c>
      <c r="F90" s="60" t="s">
        <v>3543</v>
      </c>
      <c r="G90" s="60"/>
      <c r="H90" s="60" t="s">
        <v>3506</v>
      </c>
    </row>
    <row r="91" spans="2:8" x14ac:dyDescent="0.25">
      <c r="B91" s="60" t="s">
        <v>3542</v>
      </c>
      <c r="C91" s="60" t="s">
        <v>3541</v>
      </c>
      <c r="D91" s="60" t="s">
        <v>79</v>
      </c>
      <c r="E91" s="60" t="s">
        <v>203</v>
      </c>
      <c r="F91" s="60" t="s">
        <v>3368</v>
      </c>
      <c r="G91" s="60"/>
      <c r="H91" s="60" t="s">
        <v>3498</v>
      </c>
    </row>
    <row r="92" spans="2:8" x14ac:dyDescent="0.25">
      <c r="B92" s="60" t="s">
        <v>222</v>
      </c>
      <c r="C92" s="60" t="s">
        <v>3540</v>
      </c>
      <c r="D92" s="60" t="s">
        <v>80</v>
      </c>
      <c r="E92" s="60" t="s">
        <v>203</v>
      </c>
      <c r="F92" s="60" t="s">
        <v>3368</v>
      </c>
      <c r="G92" s="60"/>
      <c r="H92" s="60" t="s">
        <v>3506</v>
      </c>
    </row>
    <row r="93" spans="2:8" x14ac:dyDescent="0.25">
      <c r="B93" s="60" t="s">
        <v>3311</v>
      </c>
      <c r="C93" s="60" t="s">
        <v>3539</v>
      </c>
      <c r="D93" s="60" t="s">
        <v>81</v>
      </c>
      <c r="E93" s="60" t="s">
        <v>203</v>
      </c>
      <c r="F93" s="60" t="s">
        <v>3368</v>
      </c>
      <c r="G93" s="60"/>
      <c r="H93" s="60" t="s">
        <v>3498</v>
      </c>
    </row>
    <row r="94" spans="2:8" x14ac:dyDescent="0.25">
      <c r="B94" s="60" t="s">
        <v>363</v>
      </c>
      <c r="C94" s="60" t="s">
        <v>3538</v>
      </c>
      <c r="D94" s="60" t="s">
        <v>68</v>
      </c>
      <c r="E94" s="60" t="s">
        <v>203</v>
      </c>
      <c r="F94" s="60" t="s">
        <v>3368</v>
      </c>
      <c r="G94" s="60"/>
      <c r="H94" s="60" t="s">
        <v>3498</v>
      </c>
    </row>
    <row r="95" spans="2:8" x14ac:dyDescent="0.25">
      <c r="B95" s="60" t="s">
        <v>289</v>
      </c>
      <c r="C95" s="60" t="s">
        <v>3537</v>
      </c>
      <c r="D95" s="60" t="s">
        <v>69</v>
      </c>
      <c r="E95" s="60" t="s">
        <v>203</v>
      </c>
      <c r="F95" s="60" t="s">
        <v>3368</v>
      </c>
      <c r="G95" s="60"/>
      <c r="H95" s="60" t="s">
        <v>3498</v>
      </c>
    </row>
    <row r="96" spans="2:8" x14ac:dyDescent="0.25">
      <c r="B96" s="60" t="s">
        <v>2062</v>
      </c>
      <c r="C96" s="60" t="s">
        <v>3536</v>
      </c>
      <c r="D96" s="60" t="s">
        <v>70</v>
      </c>
      <c r="E96" s="60" t="s">
        <v>203</v>
      </c>
      <c r="F96" s="60" t="s">
        <v>3524</v>
      </c>
      <c r="G96" s="60"/>
      <c r="H96" s="60" t="s">
        <v>3498</v>
      </c>
    </row>
    <row r="97" spans="2:8" x14ac:dyDescent="0.25">
      <c r="B97" s="60" t="s">
        <v>420</v>
      </c>
      <c r="C97" s="60" t="s">
        <v>3535</v>
      </c>
      <c r="D97" s="60" t="s">
        <v>71</v>
      </c>
      <c r="E97" s="60" t="s">
        <v>203</v>
      </c>
      <c r="F97" s="60" t="s">
        <v>3532</v>
      </c>
      <c r="G97" s="60"/>
      <c r="H97" s="60" t="s">
        <v>3498</v>
      </c>
    </row>
    <row r="98" spans="2:8" x14ac:dyDescent="0.25">
      <c r="B98" s="60" t="s">
        <v>1006</v>
      </c>
      <c r="C98" s="60" t="s">
        <v>3534</v>
      </c>
      <c r="D98" s="60" t="s">
        <v>72</v>
      </c>
      <c r="E98" s="60" t="s">
        <v>203</v>
      </c>
      <c r="F98" s="60" t="s">
        <v>3532</v>
      </c>
      <c r="G98" s="60"/>
      <c r="H98" s="60" t="s">
        <v>3506</v>
      </c>
    </row>
    <row r="99" spans="2:8" x14ac:dyDescent="0.25">
      <c r="B99" s="60" t="s">
        <v>1342</v>
      </c>
      <c r="C99" s="60" t="s">
        <v>3533</v>
      </c>
      <c r="D99" s="60" t="s">
        <v>73</v>
      </c>
      <c r="E99" s="60" t="s">
        <v>203</v>
      </c>
      <c r="F99" s="60" t="s">
        <v>3532</v>
      </c>
      <c r="G99" s="60"/>
      <c r="H99" s="60" t="s">
        <v>3498</v>
      </c>
    </row>
    <row r="100" spans="2:8" x14ac:dyDescent="0.25">
      <c r="B100" s="60" t="s">
        <v>1078</v>
      </c>
      <c r="C100" s="60" t="s">
        <v>3531</v>
      </c>
      <c r="D100" s="60" t="s">
        <v>74</v>
      </c>
      <c r="E100" s="60" t="s">
        <v>203</v>
      </c>
      <c r="F100" s="60" t="s">
        <v>3368</v>
      </c>
      <c r="G100" s="60"/>
      <c r="H100" s="60" t="s">
        <v>3498</v>
      </c>
    </row>
    <row r="101" spans="2:8" x14ac:dyDescent="0.25">
      <c r="B101" s="60" t="s">
        <v>356</v>
      </c>
      <c r="C101" s="60" t="s">
        <v>3530</v>
      </c>
      <c r="D101" s="60" t="s">
        <v>75</v>
      </c>
      <c r="E101" s="60" t="s">
        <v>203</v>
      </c>
      <c r="F101" s="60" t="s">
        <v>3368</v>
      </c>
      <c r="G101" s="60"/>
      <c r="H101" s="60" t="s">
        <v>3498</v>
      </c>
    </row>
    <row r="102" spans="2:8" x14ac:dyDescent="0.25">
      <c r="B102" s="60" t="s">
        <v>1582</v>
      </c>
      <c r="C102" s="60" t="s">
        <v>3529</v>
      </c>
      <c r="D102" s="60" t="s">
        <v>105</v>
      </c>
      <c r="E102" s="60" t="s">
        <v>201</v>
      </c>
      <c r="F102" s="60" t="s">
        <v>3368</v>
      </c>
      <c r="G102" s="60"/>
      <c r="H102" s="60" t="s">
        <v>3498</v>
      </c>
    </row>
    <row r="103" spans="2:8" x14ac:dyDescent="0.25">
      <c r="B103" s="60" t="s">
        <v>374</v>
      </c>
      <c r="C103" s="60" t="s">
        <v>3528</v>
      </c>
      <c r="D103" s="60" t="s">
        <v>106</v>
      </c>
      <c r="E103" s="60" t="s">
        <v>201</v>
      </c>
      <c r="F103" s="60" t="s">
        <v>3368</v>
      </c>
      <c r="G103" s="60"/>
      <c r="H103" s="60" t="s">
        <v>3498</v>
      </c>
    </row>
    <row r="104" spans="2:8" x14ac:dyDescent="0.25">
      <c r="B104" s="60" t="s">
        <v>1868</v>
      </c>
      <c r="C104" s="60" t="s">
        <v>3527</v>
      </c>
      <c r="D104" s="60" t="s">
        <v>107</v>
      </c>
      <c r="E104" s="60" t="s">
        <v>201</v>
      </c>
      <c r="F104" s="60" t="s">
        <v>3368</v>
      </c>
      <c r="G104" s="60"/>
      <c r="H104" s="60" t="s">
        <v>3498</v>
      </c>
    </row>
    <row r="105" spans="2:8" x14ac:dyDescent="0.25">
      <c r="B105" s="60" t="s">
        <v>2203</v>
      </c>
      <c r="C105" s="60" t="s">
        <v>3526</v>
      </c>
      <c r="D105" s="60" t="s">
        <v>108</v>
      </c>
      <c r="E105" s="60" t="s">
        <v>201</v>
      </c>
      <c r="F105" s="60" t="s">
        <v>3368</v>
      </c>
      <c r="G105" s="60"/>
      <c r="H105" s="60" t="s">
        <v>3498</v>
      </c>
    </row>
    <row r="106" spans="2:8" x14ac:dyDescent="0.25">
      <c r="B106" s="60" t="s">
        <v>561</v>
      </c>
      <c r="C106" s="60" t="s">
        <v>3525</v>
      </c>
      <c r="D106" s="60" t="s">
        <v>109</v>
      </c>
      <c r="E106" s="60" t="s">
        <v>201</v>
      </c>
      <c r="F106" s="60" t="s">
        <v>3524</v>
      </c>
      <c r="G106" s="60"/>
      <c r="H106" s="60" t="s">
        <v>3498</v>
      </c>
    </row>
    <row r="107" spans="2:8" x14ac:dyDescent="0.25">
      <c r="B107" s="60" t="s">
        <v>337</v>
      </c>
      <c r="C107" s="60" t="s">
        <v>3523</v>
      </c>
      <c r="D107" s="60" t="s">
        <v>110</v>
      </c>
      <c r="E107" s="60" t="s">
        <v>201</v>
      </c>
      <c r="F107" s="60" t="s">
        <v>3368</v>
      </c>
      <c r="G107" s="60"/>
      <c r="H107" s="60" t="s">
        <v>3498</v>
      </c>
    </row>
    <row r="108" spans="2:8" x14ac:dyDescent="0.25">
      <c r="B108" s="60" t="s">
        <v>719</v>
      </c>
      <c r="C108" s="60" t="s">
        <v>3522</v>
      </c>
      <c r="D108" s="60" t="s">
        <v>111</v>
      </c>
      <c r="E108" s="60" t="s">
        <v>201</v>
      </c>
      <c r="F108" s="60" t="s">
        <v>3368</v>
      </c>
      <c r="G108" s="60"/>
      <c r="H108" s="60" t="s">
        <v>3498</v>
      </c>
    </row>
    <row r="109" spans="2:8" x14ac:dyDescent="0.25">
      <c r="B109" s="60" t="s">
        <v>229</v>
      </c>
      <c r="C109" s="60" t="s">
        <v>3521</v>
      </c>
      <c r="D109" s="60" t="s">
        <v>123</v>
      </c>
      <c r="E109" s="60" t="s">
        <v>199</v>
      </c>
      <c r="F109" s="60" t="s">
        <v>3368</v>
      </c>
      <c r="G109" s="60"/>
      <c r="H109" s="60" t="s">
        <v>3498</v>
      </c>
    </row>
    <row r="110" spans="2:8" x14ac:dyDescent="0.25">
      <c r="B110" s="60" t="s">
        <v>251</v>
      </c>
      <c r="C110" s="60" t="s">
        <v>3520</v>
      </c>
      <c r="D110" s="60" t="s">
        <v>124</v>
      </c>
      <c r="E110" s="60" t="s">
        <v>199</v>
      </c>
      <c r="F110" s="60" t="s">
        <v>3368</v>
      </c>
      <c r="G110" s="60"/>
      <c r="H110" s="60" t="s">
        <v>3498</v>
      </c>
    </row>
    <row r="111" spans="2:8" x14ac:dyDescent="0.25">
      <c r="B111" s="60" t="s">
        <v>2060</v>
      </c>
      <c r="C111" s="60" t="s">
        <v>3519</v>
      </c>
      <c r="D111" s="60" t="s">
        <v>125</v>
      </c>
      <c r="E111" s="60" t="s">
        <v>199</v>
      </c>
      <c r="F111" s="60" t="s">
        <v>3368</v>
      </c>
      <c r="G111" s="60"/>
      <c r="H111" s="60" t="s">
        <v>3498</v>
      </c>
    </row>
    <row r="112" spans="2:8" x14ac:dyDescent="0.25">
      <c r="B112" s="60" t="s">
        <v>236</v>
      </c>
      <c r="C112" s="60" t="s">
        <v>3518</v>
      </c>
      <c r="D112" s="60" t="s">
        <v>126</v>
      </c>
      <c r="E112" s="60" t="s">
        <v>199</v>
      </c>
      <c r="F112" s="60" t="s">
        <v>3368</v>
      </c>
      <c r="G112" s="60"/>
      <c r="H112" s="60" t="s">
        <v>3498</v>
      </c>
    </row>
    <row r="113" spans="2:8" x14ac:dyDescent="0.25">
      <c r="B113" s="60" t="s">
        <v>3517</v>
      </c>
      <c r="C113" s="60" t="s">
        <v>3516</v>
      </c>
      <c r="D113" s="60" t="s">
        <v>3515</v>
      </c>
      <c r="E113" s="60" t="s">
        <v>199</v>
      </c>
      <c r="F113" s="60" t="s">
        <v>3514</v>
      </c>
      <c r="G113" s="60"/>
      <c r="H113" s="60" t="s">
        <v>3513</v>
      </c>
    </row>
    <row r="114" spans="2:8" x14ac:dyDescent="0.25">
      <c r="B114" s="60" t="s">
        <v>225</v>
      </c>
      <c r="C114" s="60" t="s">
        <v>3512</v>
      </c>
      <c r="D114" s="60" t="s">
        <v>128</v>
      </c>
      <c r="E114" s="60" t="s">
        <v>199</v>
      </c>
      <c r="F114" s="60" t="s">
        <v>3368</v>
      </c>
      <c r="G114" s="60"/>
      <c r="H114" s="60" t="s">
        <v>3498</v>
      </c>
    </row>
    <row r="115" spans="2:8" x14ac:dyDescent="0.25">
      <c r="B115" s="60" t="s">
        <v>294</v>
      </c>
      <c r="C115" s="60" t="s">
        <v>3511</v>
      </c>
      <c r="D115" s="60" t="s">
        <v>198</v>
      </c>
      <c r="E115" s="60" t="s">
        <v>199</v>
      </c>
      <c r="F115" s="60" t="s">
        <v>3510</v>
      </c>
      <c r="G115" s="60"/>
      <c r="H115" s="60" t="s">
        <v>3498</v>
      </c>
    </row>
    <row r="116" spans="2:8" x14ac:dyDescent="0.25">
      <c r="B116" s="60" t="s">
        <v>3509</v>
      </c>
      <c r="C116" s="60" t="s">
        <v>3508</v>
      </c>
      <c r="D116" s="60" t="s">
        <v>13</v>
      </c>
      <c r="E116" s="60" t="s">
        <v>209</v>
      </c>
      <c r="F116" s="60" t="s">
        <v>3507</v>
      </c>
      <c r="G116" s="60"/>
      <c r="H116" s="60" t="s">
        <v>3506</v>
      </c>
    </row>
    <row r="117" spans="2:8" x14ac:dyDescent="0.25">
      <c r="B117" s="60" t="s">
        <v>3505</v>
      </c>
      <c r="C117" s="60" t="s">
        <v>3504</v>
      </c>
      <c r="D117" s="60" t="s">
        <v>3503</v>
      </c>
      <c r="E117" s="60" t="s">
        <v>199</v>
      </c>
      <c r="F117" s="60" t="s">
        <v>3368</v>
      </c>
      <c r="G117" s="60"/>
      <c r="H117" s="60" t="s">
        <v>3498</v>
      </c>
    </row>
    <row r="118" spans="2:8" x14ac:dyDescent="0.25">
      <c r="B118" s="60" t="s">
        <v>3502</v>
      </c>
      <c r="C118" s="60" t="s">
        <v>3501</v>
      </c>
      <c r="D118" s="60" t="s">
        <v>3500</v>
      </c>
      <c r="E118" s="60" t="s">
        <v>199</v>
      </c>
      <c r="F118" s="60" t="s">
        <v>3368</v>
      </c>
      <c r="G118" s="60"/>
      <c r="H118" s="60" t="s">
        <v>3498</v>
      </c>
    </row>
    <row r="119" spans="2:8" x14ac:dyDescent="0.25">
      <c r="B119" s="60" t="s">
        <v>1462</v>
      </c>
      <c r="C119" s="60" t="s">
        <v>3499</v>
      </c>
      <c r="D119" s="60" t="s">
        <v>200</v>
      </c>
      <c r="E119" s="60" t="s">
        <v>201</v>
      </c>
      <c r="F119" s="60" t="s">
        <v>3368</v>
      </c>
      <c r="G119" s="60"/>
      <c r="H119" s="60" t="s">
        <v>3498</v>
      </c>
    </row>
    <row r="120" spans="2:8" x14ac:dyDescent="0.25">
      <c r="B120" s="59">
        <f>COUNTA(B3:B119)</f>
        <v>117</v>
      </c>
      <c r="C120" s="59"/>
      <c r="D120" s="59"/>
      <c r="E120" s="59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49D41A-661C-4C92-BB42-11A74102B5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Claude Log</vt:lpstr>
      <vt:lpstr>Acompanhamento Orçamento</vt:lpstr>
      <vt:lpstr>RESUMO</vt:lpstr>
      <vt:lpstr>DESPESAS</vt:lpstr>
      <vt:lpstr>FORNECEDORES MANUTENÇÃO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Crompton</dc:creator>
  <cp:lastModifiedBy>Rafael Kato</cp:lastModifiedBy>
  <cp:lastPrinted>2026-02-06T19:31:58Z</cp:lastPrinted>
  <dcterms:created xsi:type="dcterms:W3CDTF">2025-10-21T16:15:12Z</dcterms:created>
  <dcterms:modified xsi:type="dcterms:W3CDTF">2026-05-11T16:56:43Z</dcterms:modified>
</cp:coreProperties>
</file>